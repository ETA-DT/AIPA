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9200" windowHeight="7065"/>
  </bookViews>
  <sheets>
    <sheet name="Context" sheetId="4" r:id="rId1"/>
    <sheet name="Input" sheetId="1" r:id="rId2"/>
    <sheet name="Input_DBS" sheetId="6" state="hidden" r:id="rId3"/>
    <sheet name="Synthèse" sheetId="8" r:id="rId4"/>
    <sheet name="Restitution" sheetId="5" r:id="rId5"/>
  </sheets>
  <functionGroups builtInGroupCount="17"/>
  <definedNames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_YTD">Context!$D$6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S_Absenteism">Input!$F$67:$R$67</definedName>
    <definedName name="DBSS_Biofuel">Input!$F$48:$R$48</definedName>
    <definedName name="DBSS_Drive_open_positions">Input!$F$71:$R$71</definedName>
    <definedName name="DBSS_Driver_Turnover">Input!$F$69:$R$69</definedName>
    <definedName name="DBSS_Elec">Input!$F$52:$R$52</definedName>
    <definedName name="DBSS_FTE">Input!$F$43:$R$43</definedName>
    <definedName name="DBSS_FTE_Maintenance_Others">Input!$F$41:$R$41</definedName>
    <definedName name="DBSS_FTE_Maintenance_Technicians">Input!$F$36:$R$37</definedName>
    <definedName name="DBSS_FTE_Operation_Drivers">Input!$F$32:$R$34</definedName>
    <definedName name="DBSS_Fuel">Input!$F$46:$R$46</definedName>
    <definedName name="DBSS_Gas">Input!$F$50:$R$50</definedName>
    <definedName name="DBSS_Km">Input!$F$20:$R$30</definedName>
    <definedName name="DBSS_nb_BRT">Input!$F$62:$R$62</definedName>
    <definedName name="DBSS_nb_Bus">Input!$F$54:$R$54</definedName>
    <definedName name="DBSS_nb_Ferries">Input!$G$64:$R$64</definedName>
    <definedName name="DBSS_nb_Heavy_rail">Input!$G$60:$R$60</definedName>
    <definedName name="DBSS_nb_light_vehicles">Input!$F$56:$R$56</definedName>
    <definedName name="DBSS_nb_LRV">Input!$F$58:$R$58</definedName>
    <definedName name="DBSS_Operations_other">Input!$F$39:$R$39</definedName>
    <definedName name="Default_Legal_Organization">Context!$D$16</definedName>
    <definedName name="Default_Management_Organization">Context!$D$8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Data">Input!$E$4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Input!$A$12:$S$73</definedName>
    <definedName name="Print_Area" localSheetId="2">Input_DBS!$A$12:$S$73</definedName>
    <definedName name="Print_Area" localSheetId="4">Restitution!$A$12:$I$380</definedName>
    <definedName name="Print_Area" localSheetId="3">Synthèse!$A$12:$AU$380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Context!$D$3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Context!$D$2</definedName>
    <definedName name="xServer">Context!$D$4</definedName>
    <definedName name="z_Current_Period_N_1">Context!$D$11</definedName>
    <definedName name="z_Current_Phase">Context!$F$31</definedName>
    <definedName name="z_Current_Year">Context!$D$7</definedName>
    <definedName name="z_Forecast_Phase">Context!$D$13</definedName>
    <definedName name="z_Legal_Entity">Context!$F$28</definedName>
    <definedName name="z_Source_Entity">Context!$D$15</definedName>
    <definedName name="z_UM_Selected">Context!$F$29</definedName>
    <definedName name="z_Year_N_1">Context!$D$10</definedName>
    <definedName name="z_Year_Selected">Context!$D$9</definedName>
    <definedName name="zYearSelected">Context!$D$9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D5" i="4" l="1"/>
  <c r="D6" i="4"/>
  <c r="G34" i="4"/>
  <c r="D7" i="4"/>
  <c r="G31" i="4"/>
  <c r="D9" i="4"/>
  <c r="D10" i="4"/>
  <c r="D11" i="4"/>
  <c r="G33" i="4"/>
  <c r="D16" i="4"/>
  <c r="F29" i="4"/>
  <c r="F28" i="4"/>
  <c r="D15" i="4"/>
  <c r="C2" i="6"/>
  <c r="C3" i="6"/>
  <c r="C4" i="6"/>
  <c r="C5" i="6"/>
  <c r="C7" i="6"/>
  <c r="C6" i="6"/>
  <c r="C1" i="6"/>
  <c r="F1" i="6"/>
  <c r="F2" i="6"/>
  <c r="E1" i="6"/>
  <c r="F67" i="6"/>
  <c r="AU1" i="8"/>
  <c r="AH1" i="8"/>
  <c r="C5" i="8"/>
  <c r="H2" i="5"/>
  <c r="H17" i="5"/>
  <c r="F34" i="4"/>
  <c r="F33" i="4"/>
  <c r="G2" i="5"/>
  <c r="G17" i="5"/>
  <c r="F31" i="4"/>
  <c r="F2" i="5"/>
  <c r="F17" i="5"/>
  <c r="H53" i="1"/>
  <c r="I53" i="1"/>
  <c r="J53" i="1"/>
  <c r="K53" i="1"/>
  <c r="L53" i="1"/>
  <c r="M53" i="1"/>
  <c r="N53" i="1"/>
  <c r="O53" i="1"/>
  <c r="P53" i="1"/>
  <c r="Q53" i="1"/>
  <c r="R53" i="1"/>
  <c r="E9" i="8"/>
  <c r="C7" i="8"/>
  <c r="F37" i="4"/>
  <c r="C4" i="8"/>
  <c r="F36" i="4"/>
  <c r="C3" i="8"/>
  <c r="E373" i="8"/>
  <c r="E371" i="8"/>
  <c r="E370" i="8"/>
  <c r="E368" i="8"/>
  <c r="E367" i="8"/>
  <c r="E366" i="8"/>
  <c r="E365" i="8"/>
  <c r="E364" i="8"/>
  <c r="E359" i="8"/>
  <c r="C2" i="1"/>
  <c r="F32" i="6"/>
  <c r="R1" i="6"/>
  <c r="R71" i="6"/>
  <c r="Q1" i="6"/>
  <c r="Q71" i="6"/>
  <c r="P1" i="6"/>
  <c r="P71" i="6"/>
  <c r="O1" i="6"/>
  <c r="O71" i="6"/>
  <c r="N1" i="6"/>
  <c r="N71" i="6"/>
  <c r="M1" i="6"/>
  <c r="M71" i="6"/>
  <c r="L1" i="6"/>
  <c r="L71" i="6"/>
  <c r="K1" i="6"/>
  <c r="K71" i="6"/>
  <c r="J1" i="6"/>
  <c r="J71" i="6"/>
  <c r="I1" i="6"/>
  <c r="I71" i="6"/>
  <c r="H1" i="6"/>
  <c r="H71" i="6"/>
  <c r="G1" i="6"/>
  <c r="G71" i="6"/>
  <c r="F71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R67" i="6"/>
  <c r="Q67" i="6"/>
  <c r="P67" i="6"/>
  <c r="O67" i="6"/>
  <c r="N67" i="6"/>
  <c r="M67" i="6"/>
  <c r="L67" i="6"/>
  <c r="K67" i="6"/>
  <c r="J67" i="6"/>
  <c r="I67" i="6"/>
  <c r="H67" i="6"/>
  <c r="G67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R34" i="6"/>
  <c r="Q34" i="6"/>
  <c r="P34" i="6"/>
  <c r="O34" i="6"/>
  <c r="N34" i="6"/>
  <c r="M34" i="6"/>
  <c r="L34" i="6"/>
  <c r="K34" i="6"/>
  <c r="J34" i="6"/>
  <c r="I34" i="6"/>
  <c r="H34" i="6"/>
  <c r="G34" i="6"/>
  <c r="R33" i="6"/>
  <c r="Q33" i="6"/>
  <c r="P33" i="6"/>
  <c r="O33" i="6"/>
  <c r="N33" i="6"/>
  <c r="M33" i="6"/>
  <c r="L33" i="6"/>
  <c r="K33" i="6"/>
  <c r="J33" i="6"/>
  <c r="I33" i="6"/>
  <c r="H33" i="6"/>
  <c r="G33" i="6"/>
  <c r="R32" i="6"/>
  <c r="Q32" i="6"/>
  <c r="P32" i="6"/>
  <c r="O32" i="6"/>
  <c r="N32" i="6"/>
  <c r="M32" i="6"/>
  <c r="L32" i="6"/>
  <c r="K32" i="6"/>
  <c r="J32" i="6"/>
  <c r="I32" i="6"/>
  <c r="H32" i="6"/>
  <c r="G32" i="6"/>
  <c r="F34" i="6"/>
  <c r="F33" i="6"/>
  <c r="G31" i="1"/>
  <c r="D8" i="4"/>
  <c r="F20" i="6"/>
  <c r="F31" i="6"/>
  <c r="H20" i="6"/>
  <c r="I20" i="6"/>
  <c r="J20" i="6"/>
  <c r="K20" i="6"/>
  <c r="L20" i="6"/>
  <c r="M20" i="6"/>
  <c r="N20" i="6"/>
  <c r="O20" i="6"/>
  <c r="P20" i="6"/>
  <c r="Q20" i="6"/>
  <c r="R20" i="6"/>
  <c r="S1" i="6"/>
  <c r="H21" i="6"/>
  <c r="I21" i="6"/>
  <c r="J21" i="6"/>
  <c r="K21" i="6"/>
  <c r="L21" i="6"/>
  <c r="M21" i="6"/>
  <c r="N21" i="6"/>
  <c r="O21" i="6"/>
  <c r="P21" i="6"/>
  <c r="Q21" i="6"/>
  <c r="R21" i="6"/>
  <c r="H22" i="6"/>
  <c r="I22" i="6"/>
  <c r="J22" i="6"/>
  <c r="K22" i="6"/>
  <c r="L22" i="6"/>
  <c r="M22" i="6"/>
  <c r="N22" i="6"/>
  <c r="O22" i="6"/>
  <c r="P22" i="6"/>
  <c r="Q22" i="6"/>
  <c r="R22" i="6"/>
  <c r="H23" i="6"/>
  <c r="I23" i="6"/>
  <c r="J23" i="6"/>
  <c r="K23" i="6"/>
  <c r="L23" i="6"/>
  <c r="M23" i="6"/>
  <c r="N23" i="6"/>
  <c r="O23" i="6"/>
  <c r="P23" i="6"/>
  <c r="Q23" i="6"/>
  <c r="R23" i="6"/>
  <c r="H24" i="6"/>
  <c r="I24" i="6"/>
  <c r="J24" i="6"/>
  <c r="K24" i="6"/>
  <c r="L24" i="6"/>
  <c r="M24" i="6"/>
  <c r="N24" i="6"/>
  <c r="O24" i="6"/>
  <c r="P24" i="6"/>
  <c r="Q24" i="6"/>
  <c r="R24" i="6"/>
  <c r="H25" i="6"/>
  <c r="I25" i="6"/>
  <c r="J25" i="6"/>
  <c r="K25" i="6"/>
  <c r="L25" i="6"/>
  <c r="M25" i="6"/>
  <c r="N25" i="6"/>
  <c r="O25" i="6"/>
  <c r="P25" i="6"/>
  <c r="Q25" i="6"/>
  <c r="R25" i="6"/>
  <c r="H26" i="6"/>
  <c r="I26" i="6"/>
  <c r="J26" i="6"/>
  <c r="K26" i="6"/>
  <c r="L26" i="6"/>
  <c r="M26" i="6"/>
  <c r="N26" i="6"/>
  <c r="O26" i="6"/>
  <c r="P26" i="6"/>
  <c r="Q26" i="6"/>
  <c r="R26" i="6"/>
  <c r="H27" i="6"/>
  <c r="I27" i="6"/>
  <c r="J27" i="6"/>
  <c r="K27" i="6"/>
  <c r="L27" i="6"/>
  <c r="M27" i="6"/>
  <c r="N27" i="6"/>
  <c r="O27" i="6"/>
  <c r="P27" i="6"/>
  <c r="Q27" i="6"/>
  <c r="R27" i="6"/>
  <c r="H28" i="6"/>
  <c r="I28" i="6"/>
  <c r="J28" i="6"/>
  <c r="K28" i="6"/>
  <c r="L28" i="6"/>
  <c r="M28" i="6"/>
  <c r="N28" i="6"/>
  <c r="O28" i="6"/>
  <c r="P28" i="6"/>
  <c r="Q28" i="6"/>
  <c r="R28" i="6"/>
  <c r="H29" i="6"/>
  <c r="I29" i="6"/>
  <c r="J29" i="6"/>
  <c r="K29" i="6"/>
  <c r="L29" i="6"/>
  <c r="M29" i="6"/>
  <c r="N29" i="6"/>
  <c r="O29" i="6"/>
  <c r="P29" i="6"/>
  <c r="Q29" i="6"/>
  <c r="R29" i="6"/>
  <c r="H30" i="6"/>
  <c r="I30" i="6"/>
  <c r="J30" i="6"/>
  <c r="K30" i="6"/>
  <c r="L30" i="6"/>
  <c r="M30" i="6"/>
  <c r="N30" i="6"/>
  <c r="O30" i="6"/>
  <c r="P30" i="6"/>
  <c r="Q30" i="6"/>
  <c r="R30" i="6"/>
  <c r="G21" i="6"/>
  <c r="G22" i="6"/>
  <c r="G23" i="6"/>
  <c r="G24" i="6"/>
  <c r="G25" i="6"/>
  <c r="G26" i="6"/>
  <c r="G27" i="6"/>
  <c r="G28" i="6"/>
  <c r="G29" i="6"/>
  <c r="G30" i="6"/>
  <c r="G20" i="6"/>
  <c r="F21" i="6"/>
  <c r="F22" i="6"/>
  <c r="F23" i="6"/>
  <c r="F24" i="6"/>
  <c r="F25" i="6"/>
  <c r="F26" i="6"/>
  <c r="F27" i="6"/>
  <c r="F28" i="6"/>
  <c r="F29" i="6"/>
  <c r="F30" i="6"/>
  <c r="C3" i="1"/>
  <c r="C4" i="1"/>
  <c r="C5" i="1"/>
  <c r="C7" i="1"/>
  <c r="C1" i="1"/>
  <c r="S1" i="1"/>
  <c r="S20" i="1"/>
  <c r="F1" i="1"/>
  <c r="H17" i="1"/>
  <c r="I17" i="1"/>
  <c r="J17" i="1"/>
  <c r="K17" i="1"/>
  <c r="L17" i="1"/>
  <c r="M17" i="1"/>
  <c r="N17" i="1"/>
  <c r="O17" i="1"/>
  <c r="P17" i="1"/>
  <c r="Q17" i="1"/>
  <c r="R17" i="1"/>
  <c r="S17" i="1"/>
  <c r="H1" i="1"/>
  <c r="H18" i="1"/>
  <c r="I1" i="1"/>
  <c r="I18" i="1"/>
  <c r="J1" i="1"/>
  <c r="J18" i="1"/>
  <c r="K1" i="1"/>
  <c r="K18" i="1"/>
  <c r="L1" i="1"/>
  <c r="L18" i="1"/>
  <c r="M1" i="1"/>
  <c r="M18" i="1"/>
  <c r="N1" i="1"/>
  <c r="N18" i="1"/>
  <c r="O1" i="1"/>
  <c r="O18" i="1"/>
  <c r="P1" i="1"/>
  <c r="P18" i="1"/>
  <c r="Q1" i="1"/>
  <c r="Q18" i="1"/>
  <c r="R1" i="1"/>
  <c r="R18" i="1"/>
  <c r="S18" i="1"/>
  <c r="G1" i="1"/>
  <c r="F2" i="1"/>
  <c r="F17" i="1"/>
  <c r="G17" i="1"/>
  <c r="F18" i="1"/>
  <c r="G18" i="1"/>
  <c r="S21" i="1"/>
  <c r="S22" i="1"/>
  <c r="S23" i="1"/>
  <c r="S24" i="1"/>
  <c r="S25" i="1"/>
  <c r="S26" i="1"/>
  <c r="S27" i="1"/>
  <c r="S28" i="1"/>
  <c r="S29" i="1"/>
  <c r="S30" i="1"/>
  <c r="F31" i="1"/>
  <c r="S31" i="1"/>
  <c r="S32" i="1"/>
  <c r="S33" i="1"/>
  <c r="S34" i="1"/>
  <c r="F35" i="1"/>
  <c r="G35" i="1"/>
  <c r="S35" i="1"/>
  <c r="S36" i="1"/>
  <c r="S37" i="1"/>
  <c r="F38" i="1"/>
  <c r="G38" i="1"/>
  <c r="S38" i="1"/>
  <c r="S39" i="1"/>
  <c r="F40" i="1"/>
  <c r="G40" i="1"/>
  <c r="S40" i="1"/>
  <c r="S41" i="1"/>
  <c r="F42" i="1"/>
  <c r="G42" i="1"/>
  <c r="S42" i="1"/>
  <c r="S43" i="1"/>
  <c r="F44" i="1"/>
  <c r="G44" i="1"/>
  <c r="S44" i="1"/>
  <c r="S46" i="1"/>
  <c r="F47" i="1"/>
  <c r="G47" i="1"/>
  <c r="S47" i="1"/>
  <c r="S48" i="1"/>
  <c r="F49" i="1"/>
  <c r="G49" i="1"/>
  <c r="S49" i="1"/>
  <c r="S50" i="1"/>
  <c r="F51" i="1"/>
  <c r="G51" i="1"/>
  <c r="S51" i="1"/>
  <c r="S52" i="1"/>
  <c r="F53" i="1"/>
  <c r="G53" i="1"/>
  <c r="S53" i="1"/>
  <c r="S54" i="1"/>
  <c r="F55" i="1"/>
  <c r="G55" i="1"/>
  <c r="S55" i="1"/>
  <c r="S56" i="1"/>
  <c r="F57" i="1"/>
  <c r="G57" i="1"/>
  <c r="S57" i="1"/>
  <c r="S58" i="1"/>
  <c r="F59" i="1"/>
  <c r="G59" i="1"/>
  <c r="S59" i="1"/>
  <c r="S60" i="1"/>
  <c r="F61" i="1"/>
  <c r="G61" i="1"/>
  <c r="S61" i="1"/>
  <c r="S62" i="1"/>
  <c r="F63" i="1"/>
  <c r="G63" i="1"/>
  <c r="S63" i="1"/>
  <c r="S64" i="1"/>
  <c r="F65" i="1"/>
  <c r="G65" i="1"/>
  <c r="S65" i="1"/>
  <c r="S67" i="1"/>
  <c r="F68" i="1"/>
  <c r="G68" i="1"/>
  <c r="S68" i="1"/>
  <c r="S69" i="1"/>
  <c r="F70" i="1"/>
  <c r="G70" i="1"/>
  <c r="S70" i="1"/>
  <c r="S71" i="1"/>
  <c r="F72" i="1"/>
  <c r="G72" i="1"/>
  <c r="S72" i="1"/>
  <c r="C1" i="8"/>
  <c r="AU303" i="8"/>
  <c r="AU341" i="8"/>
  <c r="AU342" i="8"/>
  <c r="AU379" i="8"/>
  <c r="AT1" i="8"/>
  <c r="AT303" i="8"/>
  <c r="AT341" i="8"/>
  <c r="AT342" i="8"/>
  <c r="AT379" i="8"/>
  <c r="AS1" i="8"/>
  <c r="AS303" i="8"/>
  <c r="AS341" i="8"/>
  <c r="AS342" i="8"/>
  <c r="AS379" i="8"/>
  <c r="AR1" i="8"/>
  <c r="AR303" i="8"/>
  <c r="AR341" i="8"/>
  <c r="AR342" i="8"/>
  <c r="AR379" i="8"/>
  <c r="AQ1" i="8"/>
  <c r="AQ303" i="8"/>
  <c r="AQ341" i="8"/>
  <c r="AQ342" i="8"/>
  <c r="AQ379" i="8"/>
  <c r="AP1" i="8"/>
  <c r="AP303" i="8"/>
  <c r="AP341" i="8"/>
  <c r="AP342" i="8"/>
  <c r="AP379" i="8"/>
  <c r="AO1" i="8"/>
  <c r="AO303" i="8"/>
  <c r="AO341" i="8"/>
  <c r="AO342" i="8"/>
  <c r="AO379" i="8"/>
  <c r="AN1" i="8"/>
  <c r="AN303" i="8"/>
  <c r="AN341" i="8"/>
  <c r="AN342" i="8"/>
  <c r="AN379" i="8"/>
  <c r="AM1" i="8"/>
  <c r="AM303" i="8"/>
  <c r="AM341" i="8"/>
  <c r="AM342" i="8"/>
  <c r="AM379" i="8"/>
  <c r="AL1" i="8"/>
  <c r="AL303" i="8"/>
  <c r="AL341" i="8"/>
  <c r="AL342" i="8"/>
  <c r="AL379" i="8"/>
  <c r="AK1" i="8"/>
  <c r="AK303" i="8"/>
  <c r="AK341" i="8"/>
  <c r="AK342" i="8"/>
  <c r="AK379" i="8"/>
  <c r="AJ1" i="8"/>
  <c r="AJ303" i="8"/>
  <c r="AJ341" i="8"/>
  <c r="AJ342" i="8"/>
  <c r="AJ379" i="8"/>
  <c r="AI1" i="8"/>
  <c r="AI303" i="8"/>
  <c r="AI341" i="8"/>
  <c r="AI342" i="8"/>
  <c r="AI379" i="8"/>
  <c r="AH303" i="8"/>
  <c r="AH341" i="8"/>
  <c r="AH342" i="8"/>
  <c r="AH379" i="8"/>
  <c r="AG1" i="8"/>
  <c r="AG303" i="8"/>
  <c r="AG341" i="8"/>
  <c r="AG342" i="8"/>
  <c r="AG379" i="8"/>
  <c r="AF1" i="8"/>
  <c r="AF303" i="8"/>
  <c r="AF341" i="8"/>
  <c r="AF342" i="8"/>
  <c r="AF379" i="8"/>
  <c r="AE1" i="8"/>
  <c r="AE303" i="8"/>
  <c r="AE341" i="8"/>
  <c r="AE342" i="8"/>
  <c r="AE379" i="8"/>
  <c r="AD1" i="8"/>
  <c r="AD303" i="8"/>
  <c r="AD341" i="8"/>
  <c r="AD342" i="8"/>
  <c r="AD379" i="8"/>
  <c r="AC1" i="8"/>
  <c r="AC303" i="8"/>
  <c r="AC341" i="8"/>
  <c r="AC342" i="8"/>
  <c r="AC379" i="8"/>
  <c r="AB1" i="8"/>
  <c r="AB303" i="8"/>
  <c r="AB341" i="8"/>
  <c r="AB342" i="8"/>
  <c r="AB379" i="8"/>
  <c r="AA1" i="8"/>
  <c r="AA303" i="8"/>
  <c r="AA341" i="8"/>
  <c r="AA342" i="8"/>
  <c r="AA379" i="8"/>
  <c r="Z1" i="8"/>
  <c r="Z303" i="8"/>
  <c r="Z341" i="8"/>
  <c r="Z342" i="8"/>
  <c r="Z379" i="8"/>
  <c r="Y1" i="8"/>
  <c r="Y303" i="8"/>
  <c r="Y341" i="8"/>
  <c r="Y342" i="8"/>
  <c r="Y379" i="8"/>
  <c r="X1" i="8"/>
  <c r="X303" i="8"/>
  <c r="X341" i="8"/>
  <c r="X342" i="8"/>
  <c r="X379" i="8"/>
  <c r="W1" i="8"/>
  <c r="W303" i="8"/>
  <c r="W341" i="8"/>
  <c r="W342" i="8"/>
  <c r="W379" i="8"/>
  <c r="V1" i="8"/>
  <c r="V303" i="8"/>
  <c r="V341" i="8"/>
  <c r="V342" i="8"/>
  <c r="V379" i="8"/>
  <c r="U1" i="8"/>
  <c r="U303" i="8"/>
  <c r="U341" i="8"/>
  <c r="U342" i="8"/>
  <c r="U379" i="8"/>
  <c r="T1" i="8"/>
  <c r="T303" i="8"/>
  <c r="T341" i="8"/>
  <c r="T342" i="8"/>
  <c r="T379" i="8"/>
  <c r="S1" i="8"/>
  <c r="S303" i="8"/>
  <c r="S341" i="8"/>
  <c r="S342" i="8"/>
  <c r="S379" i="8"/>
  <c r="R1" i="8"/>
  <c r="R303" i="8"/>
  <c r="R341" i="8"/>
  <c r="R342" i="8"/>
  <c r="R379" i="8"/>
  <c r="Q1" i="8"/>
  <c r="Q303" i="8"/>
  <c r="Q341" i="8"/>
  <c r="Q342" i="8"/>
  <c r="Q379" i="8"/>
  <c r="P1" i="8"/>
  <c r="P303" i="8"/>
  <c r="P341" i="8"/>
  <c r="P342" i="8"/>
  <c r="P379" i="8"/>
  <c r="O1" i="8"/>
  <c r="O303" i="8"/>
  <c r="O341" i="8"/>
  <c r="O342" i="8"/>
  <c r="O379" i="8"/>
  <c r="N1" i="8"/>
  <c r="N303" i="8"/>
  <c r="N341" i="8"/>
  <c r="N342" i="8"/>
  <c r="N379" i="8"/>
  <c r="M1" i="8"/>
  <c r="M303" i="8"/>
  <c r="M341" i="8"/>
  <c r="M342" i="8"/>
  <c r="M379" i="8"/>
  <c r="L1" i="8"/>
  <c r="L303" i="8"/>
  <c r="L341" i="8"/>
  <c r="L342" i="8"/>
  <c r="L379" i="8"/>
  <c r="K1" i="8"/>
  <c r="K303" i="8"/>
  <c r="K341" i="8"/>
  <c r="K342" i="8"/>
  <c r="K379" i="8"/>
  <c r="J1" i="8"/>
  <c r="J303" i="8"/>
  <c r="J341" i="8"/>
  <c r="J342" i="8"/>
  <c r="J379" i="8"/>
  <c r="I1" i="8"/>
  <c r="I303" i="8"/>
  <c r="I341" i="8"/>
  <c r="I342" i="8"/>
  <c r="I379" i="8"/>
  <c r="H1" i="8"/>
  <c r="H303" i="8"/>
  <c r="H341" i="8"/>
  <c r="H342" i="8"/>
  <c r="H379" i="8"/>
  <c r="G1" i="8"/>
  <c r="G303" i="8"/>
  <c r="G341" i="8"/>
  <c r="G342" i="8"/>
  <c r="G379" i="8"/>
  <c r="F1" i="8"/>
  <c r="F303" i="8"/>
  <c r="F341" i="8"/>
  <c r="F342" i="8"/>
  <c r="F379" i="8"/>
  <c r="AU302" i="8"/>
  <c r="AU339" i="8"/>
  <c r="AU340" i="8"/>
  <c r="AU378" i="8"/>
  <c r="AT302" i="8"/>
  <c r="AT339" i="8"/>
  <c r="AT340" i="8"/>
  <c r="AT378" i="8"/>
  <c r="AS302" i="8"/>
  <c r="AS339" i="8"/>
  <c r="AS340" i="8"/>
  <c r="AS378" i="8"/>
  <c r="AR302" i="8"/>
  <c r="AR339" i="8"/>
  <c r="AR340" i="8"/>
  <c r="AR378" i="8"/>
  <c r="AQ302" i="8"/>
  <c r="AQ339" i="8"/>
  <c r="AQ340" i="8"/>
  <c r="AQ378" i="8"/>
  <c r="AP302" i="8"/>
  <c r="AP339" i="8"/>
  <c r="AP340" i="8"/>
  <c r="AP378" i="8"/>
  <c r="AO302" i="8"/>
  <c r="AO339" i="8"/>
  <c r="AO340" i="8"/>
  <c r="AO378" i="8"/>
  <c r="AN302" i="8"/>
  <c r="AN339" i="8"/>
  <c r="AN340" i="8"/>
  <c r="AN378" i="8"/>
  <c r="AM302" i="8"/>
  <c r="AM339" i="8"/>
  <c r="AM340" i="8"/>
  <c r="AM378" i="8"/>
  <c r="AL302" i="8"/>
  <c r="AL339" i="8"/>
  <c r="AL340" i="8"/>
  <c r="AL378" i="8"/>
  <c r="AK302" i="8"/>
  <c r="AK339" i="8"/>
  <c r="AK340" i="8"/>
  <c r="AK378" i="8"/>
  <c r="AJ302" i="8"/>
  <c r="AJ339" i="8"/>
  <c r="AJ340" i="8"/>
  <c r="AJ378" i="8"/>
  <c r="AI302" i="8"/>
  <c r="AI339" i="8"/>
  <c r="AI340" i="8"/>
  <c r="AI378" i="8"/>
  <c r="AH302" i="8"/>
  <c r="AH339" i="8"/>
  <c r="AH340" i="8"/>
  <c r="AH378" i="8"/>
  <c r="AG302" i="8"/>
  <c r="AG339" i="8"/>
  <c r="AG340" i="8"/>
  <c r="AG378" i="8"/>
  <c r="AF302" i="8"/>
  <c r="AF339" i="8"/>
  <c r="AF340" i="8"/>
  <c r="AF378" i="8"/>
  <c r="AE302" i="8"/>
  <c r="AE339" i="8"/>
  <c r="AE340" i="8"/>
  <c r="AE378" i="8"/>
  <c r="AD302" i="8"/>
  <c r="AD339" i="8"/>
  <c r="AD340" i="8"/>
  <c r="AD378" i="8"/>
  <c r="AC302" i="8"/>
  <c r="AC339" i="8"/>
  <c r="AC340" i="8"/>
  <c r="AC378" i="8"/>
  <c r="AB302" i="8"/>
  <c r="AB339" i="8"/>
  <c r="AB340" i="8"/>
  <c r="AB378" i="8"/>
  <c r="AA302" i="8"/>
  <c r="AA339" i="8"/>
  <c r="AA340" i="8"/>
  <c r="AA378" i="8"/>
  <c r="Z302" i="8"/>
  <c r="Z339" i="8"/>
  <c r="Z340" i="8"/>
  <c r="Z378" i="8"/>
  <c r="Y302" i="8"/>
  <c r="Y339" i="8"/>
  <c r="Y340" i="8"/>
  <c r="Y378" i="8"/>
  <c r="X302" i="8"/>
  <c r="X339" i="8"/>
  <c r="X340" i="8"/>
  <c r="X378" i="8"/>
  <c r="W302" i="8"/>
  <c r="W339" i="8"/>
  <c r="W340" i="8"/>
  <c r="W378" i="8"/>
  <c r="V302" i="8"/>
  <c r="V339" i="8"/>
  <c r="V340" i="8"/>
  <c r="V378" i="8"/>
  <c r="U302" i="8"/>
  <c r="U339" i="8"/>
  <c r="U340" i="8"/>
  <c r="U378" i="8"/>
  <c r="T302" i="8"/>
  <c r="T339" i="8"/>
  <c r="T340" i="8"/>
  <c r="T378" i="8"/>
  <c r="S302" i="8"/>
  <c r="S339" i="8"/>
  <c r="S340" i="8"/>
  <c r="S378" i="8"/>
  <c r="R302" i="8"/>
  <c r="R339" i="8"/>
  <c r="R340" i="8"/>
  <c r="R378" i="8"/>
  <c r="Q302" i="8"/>
  <c r="Q339" i="8"/>
  <c r="Q340" i="8"/>
  <c r="Q378" i="8"/>
  <c r="P302" i="8"/>
  <c r="P339" i="8"/>
  <c r="P340" i="8"/>
  <c r="P378" i="8"/>
  <c r="O302" i="8"/>
  <c r="O339" i="8"/>
  <c r="O340" i="8"/>
  <c r="O378" i="8"/>
  <c r="N302" i="8"/>
  <c r="N339" i="8"/>
  <c r="N340" i="8"/>
  <c r="N378" i="8"/>
  <c r="M302" i="8"/>
  <c r="M339" i="8"/>
  <c r="M340" i="8"/>
  <c r="M378" i="8"/>
  <c r="L302" i="8"/>
  <c r="L339" i="8"/>
  <c r="L340" i="8"/>
  <c r="L378" i="8"/>
  <c r="K302" i="8"/>
  <c r="K339" i="8"/>
  <c r="K340" i="8"/>
  <c r="K378" i="8"/>
  <c r="J302" i="8"/>
  <c r="J339" i="8"/>
  <c r="J340" i="8"/>
  <c r="J378" i="8"/>
  <c r="I302" i="8"/>
  <c r="I339" i="8"/>
  <c r="I340" i="8"/>
  <c r="I378" i="8"/>
  <c r="H302" i="8"/>
  <c r="H339" i="8"/>
  <c r="H340" i="8"/>
  <c r="H378" i="8"/>
  <c r="G302" i="8"/>
  <c r="G339" i="8"/>
  <c r="G340" i="8"/>
  <c r="G378" i="8"/>
  <c r="F302" i="8"/>
  <c r="F339" i="8"/>
  <c r="F340" i="8"/>
  <c r="F378" i="8"/>
  <c r="AU301" i="8"/>
  <c r="AU337" i="8"/>
  <c r="AU338" i="8"/>
  <c r="AU377" i="8"/>
  <c r="AT301" i="8"/>
  <c r="AT337" i="8"/>
  <c r="AT338" i="8"/>
  <c r="AT377" i="8"/>
  <c r="AS301" i="8"/>
  <c r="AS337" i="8"/>
  <c r="AS338" i="8"/>
  <c r="AS377" i="8"/>
  <c r="AR301" i="8"/>
  <c r="AR337" i="8"/>
  <c r="AR338" i="8"/>
  <c r="AR377" i="8"/>
  <c r="AQ301" i="8"/>
  <c r="AQ337" i="8"/>
  <c r="AQ338" i="8"/>
  <c r="AQ377" i="8"/>
  <c r="AP301" i="8"/>
  <c r="AP337" i="8"/>
  <c r="AP338" i="8"/>
  <c r="AP377" i="8"/>
  <c r="AO301" i="8"/>
  <c r="AO337" i="8"/>
  <c r="AO338" i="8"/>
  <c r="AO377" i="8"/>
  <c r="AN301" i="8"/>
  <c r="AN337" i="8"/>
  <c r="AN338" i="8"/>
  <c r="AN377" i="8"/>
  <c r="AM301" i="8"/>
  <c r="AM337" i="8"/>
  <c r="AM338" i="8"/>
  <c r="AM377" i="8"/>
  <c r="AL301" i="8"/>
  <c r="AL337" i="8"/>
  <c r="AL338" i="8"/>
  <c r="AL377" i="8"/>
  <c r="AK301" i="8"/>
  <c r="AK337" i="8"/>
  <c r="AK338" i="8"/>
  <c r="AK377" i="8"/>
  <c r="AJ301" i="8"/>
  <c r="AJ337" i="8"/>
  <c r="AJ338" i="8"/>
  <c r="AJ377" i="8"/>
  <c r="AI301" i="8"/>
  <c r="AI337" i="8"/>
  <c r="AI338" i="8"/>
  <c r="AI377" i="8"/>
  <c r="AH301" i="8"/>
  <c r="AH337" i="8"/>
  <c r="AH338" i="8"/>
  <c r="AH377" i="8"/>
  <c r="AG301" i="8"/>
  <c r="AG337" i="8"/>
  <c r="AG338" i="8"/>
  <c r="AG377" i="8"/>
  <c r="AF301" i="8"/>
  <c r="AF337" i="8"/>
  <c r="AF338" i="8"/>
  <c r="AF377" i="8"/>
  <c r="AE301" i="8"/>
  <c r="AE337" i="8"/>
  <c r="AE338" i="8"/>
  <c r="AE377" i="8"/>
  <c r="AD301" i="8"/>
  <c r="AD337" i="8"/>
  <c r="AD338" i="8"/>
  <c r="AD377" i="8"/>
  <c r="AC301" i="8"/>
  <c r="AC337" i="8"/>
  <c r="AC338" i="8"/>
  <c r="AC377" i="8"/>
  <c r="AB301" i="8"/>
  <c r="AB337" i="8"/>
  <c r="AB338" i="8"/>
  <c r="AB377" i="8"/>
  <c r="AA301" i="8"/>
  <c r="AA337" i="8"/>
  <c r="AA338" i="8"/>
  <c r="AA377" i="8"/>
  <c r="Z301" i="8"/>
  <c r="Z337" i="8"/>
  <c r="Z338" i="8"/>
  <c r="Z377" i="8"/>
  <c r="Y301" i="8"/>
  <c r="Y337" i="8"/>
  <c r="Y338" i="8"/>
  <c r="Y377" i="8"/>
  <c r="X301" i="8"/>
  <c r="X337" i="8"/>
  <c r="X338" i="8"/>
  <c r="X377" i="8"/>
  <c r="W301" i="8"/>
  <c r="W337" i="8"/>
  <c r="W338" i="8"/>
  <c r="W377" i="8"/>
  <c r="V301" i="8"/>
  <c r="V337" i="8"/>
  <c r="V338" i="8"/>
  <c r="V377" i="8"/>
  <c r="U301" i="8"/>
  <c r="U337" i="8"/>
  <c r="U338" i="8"/>
  <c r="U377" i="8"/>
  <c r="T301" i="8"/>
  <c r="T337" i="8"/>
  <c r="T338" i="8"/>
  <c r="T377" i="8"/>
  <c r="S301" i="8"/>
  <c r="S337" i="8"/>
  <c r="S338" i="8"/>
  <c r="S377" i="8"/>
  <c r="R301" i="8"/>
  <c r="R337" i="8"/>
  <c r="R338" i="8"/>
  <c r="R377" i="8"/>
  <c r="Q301" i="8"/>
  <c r="Q337" i="8"/>
  <c r="Q338" i="8"/>
  <c r="Q377" i="8"/>
  <c r="P301" i="8"/>
  <c r="P337" i="8"/>
  <c r="P338" i="8"/>
  <c r="P377" i="8"/>
  <c r="O301" i="8"/>
  <c r="O337" i="8"/>
  <c r="O338" i="8"/>
  <c r="O377" i="8"/>
  <c r="N301" i="8"/>
  <c r="N337" i="8"/>
  <c r="N338" i="8"/>
  <c r="N377" i="8"/>
  <c r="M301" i="8"/>
  <c r="M337" i="8"/>
  <c r="M338" i="8"/>
  <c r="M377" i="8"/>
  <c r="L301" i="8"/>
  <c r="L337" i="8"/>
  <c r="L338" i="8"/>
  <c r="L377" i="8"/>
  <c r="K301" i="8"/>
  <c r="K337" i="8"/>
  <c r="K338" i="8"/>
  <c r="K377" i="8"/>
  <c r="J301" i="8"/>
  <c r="J337" i="8"/>
  <c r="J338" i="8"/>
  <c r="J377" i="8"/>
  <c r="I301" i="8"/>
  <c r="I337" i="8"/>
  <c r="I338" i="8"/>
  <c r="I377" i="8"/>
  <c r="H301" i="8"/>
  <c r="H337" i="8"/>
  <c r="H338" i="8"/>
  <c r="H377" i="8"/>
  <c r="G301" i="8"/>
  <c r="G337" i="8"/>
  <c r="G338" i="8"/>
  <c r="G377" i="8"/>
  <c r="F301" i="8"/>
  <c r="F337" i="8"/>
  <c r="F338" i="8"/>
  <c r="F377" i="8"/>
  <c r="AU300" i="8"/>
  <c r="AU335" i="8"/>
  <c r="AU336" i="8"/>
  <c r="AU376" i="8"/>
  <c r="AT300" i="8"/>
  <c r="AT335" i="8"/>
  <c r="AT336" i="8"/>
  <c r="AT376" i="8"/>
  <c r="AS300" i="8"/>
  <c r="AS335" i="8"/>
  <c r="AS336" i="8"/>
  <c r="AS376" i="8"/>
  <c r="AR300" i="8"/>
  <c r="AR335" i="8"/>
  <c r="AR336" i="8"/>
  <c r="AR376" i="8"/>
  <c r="AQ300" i="8"/>
  <c r="AQ335" i="8"/>
  <c r="AQ336" i="8"/>
  <c r="AQ376" i="8"/>
  <c r="AP300" i="8"/>
  <c r="AP335" i="8"/>
  <c r="AP336" i="8"/>
  <c r="AP376" i="8"/>
  <c r="AO300" i="8"/>
  <c r="AO335" i="8"/>
  <c r="AO336" i="8"/>
  <c r="AO376" i="8"/>
  <c r="AN300" i="8"/>
  <c r="AN335" i="8"/>
  <c r="AN336" i="8"/>
  <c r="AN376" i="8"/>
  <c r="AM300" i="8"/>
  <c r="AM335" i="8"/>
  <c r="AM336" i="8"/>
  <c r="AM376" i="8"/>
  <c r="AL300" i="8"/>
  <c r="AL335" i="8"/>
  <c r="AL336" i="8"/>
  <c r="AL376" i="8"/>
  <c r="AK300" i="8"/>
  <c r="AK335" i="8"/>
  <c r="AK336" i="8"/>
  <c r="AK376" i="8"/>
  <c r="AJ300" i="8"/>
  <c r="AJ335" i="8"/>
  <c r="AJ336" i="8"/>
  <c r="AJ376" i="8"/>
  <c r="AI300" i="8"/>
  <c r="AI335" i="8"/>
  <c r="AI336" i="8"/>
  <c r="AI376" i="8"/>
  <c r="AH300" i="8"/>
  <c r="AH335" i="8"/>
  <c r="AH336" i="8"/>
  <c r="AH376" i="8"/>
  <c r="AG300" i="8"/>
  <c r="AG335" i="8"/>
  <c r="AG336" i="8"/>
  <c r="AG376" i="8"/>
  <c r="AF300" i="8"/>
  <c r="AF335" i="8"/>
  <c r="AF336" i="8"/>
  <c r="AF376" i="8"/>
  <c r="AE300" i="8"/>
  <c r="AE335" i="8"/>
  <c r="AE336" i="8"/>
  <c r="AE376" i="8"/>
  <c r="AD300" i="8"/>
  <c r="AD335" i="8"/>
  <c r="AD336" i="8"/>
  <c r="AD376" i="8"/>
  <c r="AC300" i="8"/>
  <c r="AC335" i="8"/>
  <c r="AC336" i="8"/>
  <c r="AC376" i="8"/>
  <c r="AB300" i="8"/>
  <c r="AB335" i="8"/>
  <c r="AB336" i="8"/>
  <c r="AB376" i="8"/>
  <c r="AA300" i="8"/>
  <c r="AA335" i="8"/>
  <c r="AA336" i="8"/>
  <c r="AA376" i="8"/>
  <c r="Z300" i="8"/>
  <c r="Z335" i="8"/>
  <c r="Z336" i="8"/>
  <c r="Z376" i="8"/>
  <c r="Y300" i="8"/>
  <c r="Y335" i="8"/>
  <c r="Y336" i="8"/>
  <c r="Y376" i="8"/>
  <c r="X300" i="8"/>
  <c r="X335" i="8"/>
  <c r="X336" i="8"/>
  <c r="X376" i="8"/>
  <c r="W300" i="8"/>
  <c r="W335" i="8"/>
  <c r="W336" i="8"/>
  <c r="W376" i="8"/>
  <c r="V300" i="8"/>
  <c r="V335" i="8"/>
  <c r="V336" i="8"/>
  <c r="V376" i="8"/>
  <c r="U300" i="8"/>
  <c r="U335" i="8"/>
  <c r="U336" i="8"/>
  <c r="U376" i="8"/>
  <c r="T300" i="8"/>
  <c r="T335" i="8"/>
  <c r="T336" i="8"/>
  <c r="T376" i="8"/>
  <c r="S300" i="8"/>
  <c r="S335" i="8"/>
  <c r="S336" i="8"/>
  <c r="S376" i="8"/>
  <c r="R300" i="8"/>
  <c r="R335" i="8"/>
  <c r="R336" i="8"/>
  <c r="R376" i="8"/>
  <c r="Q300" i="8"/>
  <c r="Q335" i="8"/>
  <c r="Q336" i="8"/>
  <c r="Q376" i="8"/>
  <c r="P300" i="8"/>
  <c r="P335" i="8"/>
  <c r="P336" i="8"/>
  <c r="P376" i="8"/>
  <c r="O300" i="8"/>
  <c r="O335" i="8"/>
  <c r="O336" i="8"/>
  <c r="O376" i="8"/>
  <c r="N300" i="8"/>
  <c r="N335" i="8"/>
  <c r="N336" i="8"/>
  <c r="N376" i="8"/>
  <c r="M300" i="8"/>
  <c r="M335" i="8"/>
  <c r="M336" i="8"/>
  <c r="M376" i="8"/>
  <c r="L300" i="8"/>
  <c r="L335" i="8"/>
  <c r="L336" i="8"/>
  <c r="L376" i="8"/>
  <c r="K300" i="8"/>
  <c r="K335" i="8"/>
  <c r="K336" i="8"/>
  <c r="K376" i="8"/>
  <c r="J300" i="8"/>
  <c r="J335" i="8"/>
  <c r="J336" i="8"/>
  <c r="J376" i="8"/>
  <c r="I300" i="8"/>
  <c r="I335" i="8"/>
  <c r="I336" i="8"/>
  <c r="I376" i="8"/>
  <c r="H300" i="8"/>
  <c r="H335" i="8"/>
  <c r="H336" i="8"/>
  <c r="H376" i="8"/>
  <c r="G300" i="8"/>
  <c r="G335" i="8"/>
  <c r="G336" i="8"/>
  <c r="G376" i="8"/>
  <c r="F300" i="8"/>
  <c r="F335" i="8"/>
  <c r="F336" i="8"/>
  <c r="F376" i="8"/>
  <c r="AU299" i="8"/>
  <c r="AU333" i="8"/>
  <c r="AU334" i="8"/>
  <c r="AU375" i="8"/>
  <c r="AT299" i="8"/>
  <c r="AT333" i="8"/>
  <c r="AT334" i="8"/>
  <c r="AT375" i="8"/>
  <c r="AS299" i="8"/>
  <c r="AS333" i="8"/>
  <c r="AS334" i="8"/>
  <c r="AS375" i="8"/>
  <c r="AR299" i="8"/>
  <c r="AR333" i="8"/>
  <c r="AR334" i="8"/>
  <c r="AR375" i="8"/>
  <c r="AQ299" i="8"/>
  <c r="AQ333" i="8"/>
  <c r="AQ334" i="8"/>
  <c r="AQ375" i="8"/>
  <c r="AP299" i="8"/>
  <c r="AP333" i="8"/>
  <c r="AP334" i="8"/>
  <c r="AP375" i="8"/>
  <c r="AO299" i="8"/>
  <c r="AO333" i="8"/>
  <c r="AO334" i="8"/>
  <c r="AO375" i="8"/>
  <c r="AN299" i="8"/>
  <c r="AN333" i="8"/>
  <c r="AN334" i="8"/>
  <c r="AN375" i="8"/>
  <c r="AM299" i="8"/>
  <c r="AM333" i="8"/>
  <c r="AM334" i="8"/>
  <c r="AM375" i="8"/>
  <c r="AL299" i="8"/>
  <c r="AL333" i="8"/>
  <c r="AL334" i="8"/>
  <c r="AL375" i="8"/>
  <c r="AK299" i="8"/>
  <c r="AK333" i="8"/>
  <c r="AK334" i="8"/>
  <c r="AK375" i="8"/>
  <c r="AJ299" i="8"/>
  <c r="AJ333" i="8"/>
  <c r="AJ334" i="8"/>
  <c r="AJ375" i="8"/>
  <c r="AI299" i="8"/>
  <c r="AI333" i="8"/>
  <c r="AI334" i="8"/>
  <c r="AI375" i="8"/>
  <c r="AH299" i="8"/>
  <c r="AH333" i="8"/>
  <c r="AH334" i="8"/>
  <c r="AH375" i="8"/>
  <c r="AG299" i="8"/>
  <c r="AG333" i="8"/>
  <c r="AG334" i="8"/>
  <c r="AG375" i="8"/>
  <c r="AF299" i="8"/>
  <c r="AF333" i="8"/>
  <c r="AF334" i="8"/>
  <c r="AF375" i="8"/>
  <c r="AE299" i="8"/>
  <c r="AE333" i="8"/>
  <c r="AE334" i="8"/>
  <c r="AE375" i="8"/>
  <c r="AD299" i="8"/>
  <c r="AD333" i="8"/>
  <c r="AD334" i="8"/>
  <c r="AD375" i="8"/>
  <c r="AC299" i="8"/>
  <c r="AC333" i="8"/>
  <c r="AC334" i="8"/>
  <c r="AC375" i="8"/>
  <c r="AB299" i="8"/>
  <c r="AB333" i="8"/>
  <c r="AB334" i="8"/>
  <c r="AB375" i="8"/>
  <c r="AA299" i="8"/>
  <c r="AA333" i="8"/>
  <c r="AA334" i="8"/>
  <c r="AA375" i="8"/>
  <c r="Z299" i="8"/>
  <c r="Z333" i="8"/>
  <c r="Z334" i="8"/>
  <c r="Z375" i="8"/>
  <c r="Y299" i="8"/>
  <c r="Y333" i="8"/>
  <c r="Y334" i="8"/>
  <c r="Y375" i="8"/>
  <c r="X299" i="8"/>
  <c r="X333" i="8"/>
  <c r="X334" i="8"/>
  <c r="X375" i="8"/>
  <c r="W299" i="8"/>
  <c r="W333" i="8"/>
  <c r="W334" i="8"/>
  <c r="W375" i="8"/>
  <c r="V299" i="8"/>
  <c r="V333" i="8"/>
  <c r="V334" i="8"/>
  <c r="V375" i="8"/>
  <c r="U299" i="8"/>
  <c r="U333" i="8"/>
  <c r="U334" i="8"/>
  <c r="U375" i="8"/>
  <c r="T299" i="8"/>
  <c r="T333" i="8"/>
  <c r="T334" i="8"/>
  <c r="T375" i="8"/>
  <c r="S299" i="8"/>
  <c r="S333" i="8"/>
  <c r="S334" i="8"/>
  <c r="S375" i="8"/>
  <c r="R299" i="8"/>
  <c r="R333" i="8"/>
  <c r="R334" i="8"/>
  <c r="R375" i="8"/>
  <c r="Q299" i="8"/>
  <c r="Q333" i="8"/>
  <c r="Q334" i="8"/>
  <c r="Q375" i="8"/>
  <c r="P299" i="8"/>
  <c r="P333" i="8"/>
  <c r="P334" i="8"/>
  <c r="P375" i="8"/>
  <c r="O299" i="8"/>
  <c r="O333" i="8"/>
  <c r="O334" i="8"/>
  <c r="O375" i="8"/>
  <c r="N299" i="8"/>
  <c r="N333" i="8"/>
  <c r="N334" i="8"/>
  <c r="N375" i="8"/>
  <c r="M299" i="8"/>
  <c r="M333" i="8"/>
  <c r="M334" i="8"/>
  <c r="M375" i="8"/>
  <c r="L299" i="8"/>
  <c r="L333" i="8"/>
  <c r="L334" i="8"/>
  <c r="L375" i="8"/>
  <c r="K299" i="8"/>
  <c r="K333" i="8"/>
  <c r="K334" i="8"/>
  <c r="K375" i="8"/>
  <c r="J299" i="8"/>
  <c r="J333" i="8"/>
  <c r="J334" i="8"/>
  <c r="J375" i="8"/>
  <c r="I299" i="8"/>
  <c r="I333" i="8"/>
  <c r="I334" i="8"/>
  <c r="I375" i="8"/>
  <c r="H299" i="8"/>
  <c r="H333" i="8"/>
  <c r="H334" i="8"/>
  <c r="H375" i="8"/>
  <c r="G299" i="8"/>
  <c r="G333" i="8"/>
  <c r="G334" i="8"/>
  <c r="G375" i="8"/>
  <c r="F299" i="8"/>
  <c r="F333" i="8"/>
  <c r="F334" i="8"/>
  <c r="F375" i="8"/>
  <c r="AU298" i="8"/>
  <c r="AU331" i="8"/>
  <c r="AU332" i="8"/>
  <c r="AU374" i="8"/>
  <c r="AT298" i="8"/>
  <c r="AT331" i="8"/>
  <c r="AT332" i="8"/>
  <c r="AT374" i="8"/>
  <c r="AS298" i="8"/>
  <c r="AS331" i="8"/>
  <c r="AS332" i="8"/>
  <c r="AS374" i="8"/>
  <c r="AR298" i="8"/>
  <c r="AR331" i="8"/>
  <c r="AR332" i="8"/>
  <c r="AR374" i="8"/>
  <c r="AQ298" i="8"/>
  <c r="AQ331" i="8"/>
  <c r="AQ332" i="8"/>
  <c r="AQ374" i="8"/>
  <c r="AP298" i="8"/>
  <c r="AP331" i="8"/>
  <c r="AP332" i="8"/>
  <c r="AP374" i="8"/>
  <c r="AO298" i="8"/>
  <c r="AO331" i="8"/>
  <c r="AO332" i="8"/>
  <c r="AO374" i="8"/>
  <c r="AN298" i="8"/>
  <c r="AN331" i="8"/>
  <c r="AN332" i="8"/>
  <c r="AN374" i="8"/>
  <c r="AM298" i="8"/>
  <c r="AM331" i="8"/>
  <c r="AM332" i="8"/>
  <c r="AM374" i="8"/>
  <c r="AL298" i="8"/>
  <c r="AL331" i="8"/>
  <c r="AL332" i="8"/>
  <c r="AL374" i="8"/>
  <c r="AK298" i="8"/>
  <c r="AK331" i="8"/>
  <c r="AK332" i="8"/>
  <c r="AK374" i="8"/>
  <c r="AJ298" i="8"/>
  <c r="AJ331" i="8"/>
  <c r="AJ332" i="8"/>
  <c r="AJ374" i="8"/>
  <c r="AI298" i="8"/>
  <c r="AI331" i="8"/>
  <c r="AI332" i="8"/>
  <c r="AI374" i="8"/>
  <c r="AH298" i="8"/>
  <c r="AH331" i="8"/>
  <c r="AH332" i="8"/>
  <c r="AH374" i="8"/>
  <c r="AG298" i="8"/>
  <c r="AG331" i="8"/>
  <c r="AG332" i="8"/>
  <c r="AG374" i="8"/>
  <c r="AF298" i="8"/>
  <c r="AF331" i="8"/>
  <c r="AF332" i="8"/>
  <c r="AF374" i="8"/>
  <c r="AE298" i="8"/>
  <c r="AE331" i="8"/>
  <c r="AE332" i="8"/>
  <c r="AE374" i="8"/>
  <c r="AD298" i="8"/>
  <c r="AD331" i="8"/>
  <c r="AD332" i="8"/>
  <c r="AD374" i="8"/>
  <c r="AC298" i="8"/>
  <c r="AC331" i="8"/>
  <c r="AC332" i="8"/>
  <c r="AC374" i="8"/>
  <c r="AB298" i="8"/>
  <c r="AB331" i="8"/>
  <c r="AB332" i="8"/>
  <c r="AB374" i="8"/>
  <c r="AA298" i="8"/>
  <c r="AA331" i="8"/>
  <c r="AA332" i="8"/>
  <c r="AA374" i="8"/>
  <c r="Z298" i="8"/>
  <c r="Z331" i="8"/>
  <c r="Z332" i="8"/>
  <c r="Z374" i="8"/>
  <c r="Y298" i="8"/>
  <c r="Y331" i="8"/>
  <c r="Y332" i="8"/>
  <c r="Y374" i="8"/>
  <c r="X298" i="8"/>
  <c r="X331" i="8"/>
  <c r="X332" i="8"/>
  <c r="X374" i="8"/>
  <c r="W298" i="8"/>
  <c r="W331" i="8"/>
  <c r="W332" i="8"/>
  <c r="W374" i="8"/>
  <c r="V298" i="8"/>
  <c r="V331" i="8"/>
  <c r="V332" i="8"/>
  <c r="V374" i="8"/>
  <c r="U298" i="8"/>
  <c r="U331" i="8"/>
  <c r="U332" i="8"/>
  <c r="U374" i="8"/>
  <c r="T298" i="8"/>
  <c r="T331" i="8"/>
  <c r="T332" i="8"/>
  <c r="T374" i="8"/>
  <c r="S298" i="8"/>
  <c r="S331" i="8"/>
  <c r="S332" i="8"/>
  <c r="S374" i="8"/>
  <c r="R298" i="8"/>
  <c r="R331" i="8"/>
  <c r="R332" i="8"/>
  <c r="R374" i="8"/>
  <c r="Q298" i="8"/>
  <c r="Q331" i="8"/>
  <c r="Q332" i="8"/>
  <c r="Q374" i="8"/>
  <c r="P298" i="8"/>
  <c r="P331" i="8"/>
  <c r="P332" i="8"/>
  <c r="P374" i="8"/>
  <c r="O298" i="8"/>
  <c r="O331" i="8"/>
  <c r="O332" i="8"/>
  <c r="O374" i="8"/>
  <c r="N298" i="8"/>
  <c r="N331" i="8"/>
  <c r="N332" i="8"/>
  <c r="N374" i="8"/>
  <c r="M298" i="8"/>
  <c r="M331" i="8"/>
  <c r="M332" i="8"/>
  <c r="M374" i="8"/>
  <c r="L298" i="8"/>
  <c r="L331" i="8"/>
  <c r="L332" i="8"/>
  <c r="L374" i="8"/>
  <c r="K298" i="8"/>
  <c r="K331" i="8"/>
  <c r="K332" i="8"/>
  <c r="K374" i="8"/>
  <c r="J298" i="8"/>
  <c r="J331" i="8"/>
  <c r="J332" i="8"/>
  <c r="J374" i="8"/>
  <c r="I298" i="8"/>
  <c r="I331" i="8"/>
  <c r="I332" i="8"/>
  <c r="I374" i="8"/>
  <c r="H298" i="8"/>
  <c r="H331" i="8"/>
  <c r="H332" i="8"/>
  <c r="H374" i="8"/>
  <c r="G298" i="8"/>
  <c r="G331" i="8"/>
  <c r="G332" i="8"/>
  <c r="G374" i="8"/>
  <c r="F298" i="8"/>
  <c r="F331" i="8"/>
  <c r="F332" i="8"/>
  <c r="F374" i="8"/>
  <c r="AU56" i="8"/>
  <c r="AU58" i="8"/>
  <c r="AU59" i="8"/>
  <c r="AU60" i="8"/>
  <c r="AU61" i="8"/>
  <c r="AU62" i="8"/>
  <c r="AU63" i="8"/>
  <c r="AU64" i="8"/>
  <c r="AU65" i="8"/>
  <c r="AU66" i="8"/>
  <c r="AU67" i="8"/>
  <c r="AU68" i="8"/>
  <c r="AU69" i="8"/>
  <c r="AU70" i="8"/>
  <c r="AU71" i="8"/>
  <c r="AU72" i="8"/>
  <c r="AU73" i="8"/>
  <c r="AU74" i="8"/>
  <c r="AU75" i="8"/>
  <c r="AU76" i="8"/>
  <c r="AU77" i="8"/>
  <c r="AU78" i="8"/>
  <c r="AU79" i="8"/>
  <c r="AU54" i="8"/>
  <c r="AU55" i="8"/>
  <c r="AU52" i="8"/>
  <c r="AU53" i="8"/>
  <c r="AU50" i="8"/>
  <c r="AU51" i="8"/>
  <c r="AU48" i="8"/>
  <c r="AU49" i="8"/>
  <c r="AU45" i="8"/>
  <c r="AU46" i="8"/>
  <c r="AU47" i="8"/>
  <c r="AU42" i="8"/>
  <c r="AU43" i="8"/>
  <c r="AU44" i="8"/>
  <c r="AU80" i="8"/>
  <c r="AU297" i="8"/>
  <c r="AU308" i="8"/>
  <c r="AU373" i="8"/>
  <c r="AT56" i="8"/>
  <c r="AT58" i="8"/>
  <c r="AT59" i="8"/>
  <c r="AT60" i="8"/>
  <c r="AT61" i="8"/>
  <c r="AT62" i="8"/>
  <c r="AT63" i="8"/>
  <c r="AT64" i="8"/>
  <c r="AT65" i="8"/>
  <c r="AT66" i="8"/>
  <c r="AT67" i="8"/>
  <c r="AT68" i="8"/>
  <c r="AT69" i="8"/>
  <c r="AT70" i="8"/>
  <c r="AT71" i="8"/>
  <c r="AT72" i="8"/>
  <c r="AT73" i="8"/>
  <c r="AT74" i="8"/>
  <c r="AT75" i="8"/>
  <c r="AT76" i="8"/>
  <c r="AT77" i="8"/>
  <c r="AT78" i="8"/>
  <c r="AT79" i="8"/>
  <c r="AT54" i="8"/>
  <c r="AT55" i="8"/>
  <c r="AT52" i="8"/>
  <c r="AT53" i="8"/>
  <c r="AT50" i="8"/>
  <c r="AT51" i="8"/>
  <c r="AT48" i="8"/>
  <c r="AT49" i="8"/>
  <c r="AT45" i="8"/>
  <c r="AT46" i="8"/>
  <c r="AT47" i="8"/>
  <c r="AT42" i="8"/>
  <c r="AT43" i="8"/>
  <c r="AT44" i="8"/>
  <c r="AT80" i="8"/>
  <c r="AT297" i="8"/>
  <c r="AT308" i="8"/>
  <c r="AT373" i="8"/>
  <c r="AS56" i="8"/>
  <c r="AS58" i="8"/>
  <c r="AS59" i="8"/>
  <c r="AS60" i="8"/>
  <c r="AS61" i="8"/>
  <c r="AS62" i="8"/>
  <c r="AS63" i="8"/>
  <c r="AS64" i="8"/>
  <c r="AS65" i="8"/>
  <c r="AS66" i="8"/>
  <c r="AS67" i="8"/>
  <c r="AS68" i="8"/>
  <c r="AS69" i="8"/>
  <c r="AS70" i="8"/>
  <c r="AS71" i="8"/>
  <c r="AS72" i="8"/>
  <c r="AS73" i="8"/>
  <c r="AS74" i="8"/>
  <c r="AS75" i="8"/>
  <c r="AS76" i="8"/>
  <c r="AS77" i="8"/>
  <c r="AS78" i="8"/>
  <c r="AS79" i="8"/>
  <c r="AS54" i="8"/>
  <c r="AS55" i="8"/>
  <c r="AS52" i="8"/>
  <c r="AS53" i="8"/>
  <c r="AS50" i="8"/>
  <c r="AS51" i="8"/>
  <c r="AS48" i="8"/>
  <c r="AS49" i="8"/>
  <c r="AS45" i="8"/>
  <c r="AS46" i="8"/>
  <c r="AS47" i="8"/>
  <c r="AS42" i="8"/>
  <c r="AS43" i="8"/>
  <c r="AS44" i="8"/>
  <c r="AS80" i="8"/>
  <c r="AS297" i="8"/>
  <c r="AS308" i="8"/>
  <c r="AS373" i="8"/>
  <c r="AR56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0" i="8"/>
  <c r="AR71" i="8"/>
  <c r="AR72" i="8"/>
  <c r="AR73" i="8"/>
  <c r="AR74" i="8"/>
  <c r="AR75" i="8"/>
  <c r="AR76" i="8"/>
  <c r="AR77" i="8"/>
  <c r="AR78" i="8"/>
  <c r="AR79" i="8"/>
  <c r="AR54" i="8"/>
  <c r="AR55" i="8"/>
  <c r="AR52" i="8"/>
  <c r="AR53" i="8"/>
  <c r="AR50" i="8"/>
  <c r="AR51" i="8"/>
  <c r="AR48" i="8"/>
  <c r="AR49" i="8"/>
  <c r="AR45" i="8"/>
  <c r="AR46" i="8"/>
  <c r="AR47" i="8"/>
  <c r="AR42" i="8"/>
  <c r="AR43" i="8"/>
  <c r="AR44" i="8"/>
  <c r="AR80" i="8"/>
  <c r="AR297" i="8"/>
  <c r="AR308" i="8"/>
  <c r="AR373" i="8"/>
  <c r="AQ56" i="8"/>
  <c r="AQ58" i="8"/>
  <c r="AQ59" i="8"/>
  <c r="AQ60" i="8"/>
  <c r="AQ61" i="8"/>
  <c r="AQ62" i="8"/>
  <c r="AQ63" i="8"/>
  <c r="AQ64" i="8"/>
  <c r="AQ65" i="8"/>
  <c r="AQ66" i="8"/>
  <c r="AQ67" i="8"/>
  <c r="AQ68" i="8"/>
  <c r="AQ69" i="8"/>
  <c r="AQ70" i="8"/>
  <c r="AQ71" i="8"/>
  <c r="AQ72" i="8"/>
  <c r="AQ73" i="8"/>
  <c r="AQ74" i="8"/>
  <c r="AQ75" i="8"/>
  <c r="AQ76" i="8"/>
  <c r="AQ77" i="8"/>
  <c r="AQ78" i="8"/>
  <c r="AQ79" i="8"/>
  <c r="AQ54" i="8"/>
  <c r="AQ55" i="8"/>
  <c r="AQ52" i="8"/>
  <c r="AQ53" i="8"/>
  <c r="AQ50" i="8"/>
  <c r="AQ51" i="8"/>
  <c r="AQ48" i="8"/>
  <c r="AQ49" i="8"/>
  <c r="AQ45" i="8"/>
  <c r="AQ46" i="8"/>
  <c r="AQ47" i="8"/>
  <c r="AQ42" i="8"/>
  <c r="AQ43" i="8"/>
  <c r="AQ44" i="8"/>
  <c r="AQ80" i="8"/>
  <c r="AQ297" i="8"/>
  <c r="AQ308" i="8"/>
  <c r="AQ373" i="8"/>
  <c r="AP56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54" i="8"/>
  <c r="AP55" i="8"/>
  <c r="AP52" i="8"/>
  <c r="AP53" i="8"/>
  <c r="AP50" i="8"/>
  <c r="AP51" i="8"/>
  <c r="AP48" i="8"/>
  <c r="AP49" i="8"/>
  <c r="AP45" i="8"/>
  <c r="AP46" i="8"/>
  <c r="AP47" i="8"/>
  <c r="AP42" i="8"/>
  <c r="AP43" i="8"/>
  <c r="AP44" i="8"/>
  <c r="AP80" i="8"/>
  <c r="AP297" i="8"/>
  <c r="AP308" i="8"/>
  <c r="AP373" i="8"/>
  <c r="AO56" i="8"/>
  <c r="AO58" i="8"/>
  <c r="AO59" i="8"/>
  <c r="AO60" i="8"/>
  <c r="AO61" i="8"/>
  <c r="AO62" i="8"/>
  <c r="AO63" i="8"/>
  <c r="AO64" i="8"/>
  <c r="AO65" i="8"/>
  <c r="AO66" i="8"/>
  <c r="AO67" i="8"/>
  <c r="AO68" i="8"/>
  <c r="AO69" i="8"/>
  <c r="AO70" i="8"/>
  <c r="AO71" i="8"/>
  <c r="AO72" i="8"/>
  <c r="AO73" i="8"/>
  <c r="AO74" i="8"/>
  <c r="AO75" i="8"/>
  <c r="AO76" i="8"/>
  <c r="AO77" i="8"/>
  <c r="AO78" i="8"/>
  <c r="AO79" i="8"/>
  <c r="AO54" i="8"/>
  <c r="AO55" i="8"/>
  <c r="AO52" i="8"/>
  <c r="AO53" i="8"/>
  <c r="AO50" i="8"/>
  <c r="AO51" i="8"/>
  <c r="AO48" i="8"/>
  <c r="AO49" i="8"/>
  <c r="AO45" i="8"/>
  <c r="AO46" i="8"/>
  <c r="AO47" i="8"/>
  <c r="AO42" i="8"/>
  <c r="AO43" i="8"/>
  <c r="AO44" i="8"/>
  <c r="AO80" i="8"/>
  <c r="AO297" i="8"/>
  <c r="AO308" i="8"/>
  <c r="AO373" i="8"/>
  <c r="AN56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54" i="8"/>
  <c r="AN55" i="8"/>
  <c r="AN52" i="8"/>
  <c r="AN53" i="8"/>
  <c r="AN50" i="8"/>
  <c r="AN51" i="8"/>
  <c r="AN48" i="8"/>
  <c r="AN49" i="8"/>
  <c r="AN45" i="8"/>
  <c r="AN46" i="8"/>
  <c r="AN47" i="8"/>
  <c r="AN42" i="8"/>
  <c r="AN43" i="8"/>
  <c r="AN44" i="8"/>
  <c r="AN80" i="8"/>
  <c r="AN297" i="8"/>
  <c r="AN308" i="8"/>
  <c r="AN373" i="8"/>
  <c r="AM56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54" i="8"/>
  <c r="AM55" i="8"/>
  <c r="AM52" i="8"/>
  <c r="AM53" i="8"/>
  <c r="AM50" i="8"/>
  <c r="AM51" i="8"/>
  <c r="AM48" i="8"/>
  <c r="AM49" i="8"/>
  <c r="AM45" i="8"/>
  <c r="AM46" i="8"/>
  <c r="AM47" i="8"/>
  <c r="AM42" i="8"/>
  <c r="AM43" i="8"/>
  <c r="AM44" i="8"/>
  <c r="AM80" i="8"/>
  <c r="AM297" i="8"/>
  <c r="AM308" i="8"/>
  <c r="AM373" i="8"/>
  <c r="AL56" i="8"/>
  <c r="AL58" i="8"/>
  <c r="AL59" i="8"/>
  <c r="AL60" i="8"/>
  <c r="AL61" i="8"/>
  <c r="AL62" i="8"/>
  <c r="AL63" i="8"/>
  <c r="AL64" i="8"/>
  <c r="AL65" i="8"/>
  <c r="AL66" i="8"/>
  <c r="AL67" i="8"/>
  <c r="AL68" i="8"/>
  <c r="AL69" i="8"/>
  <c r="AL70" i="8"/>
  <c r="AL71" i="8"/>
  <c r="AL72" i="8"/>
  <c r="AL73" i="8"/>
  <c r="AL74" i="8"/>
  <c r="AL75" i="8"/>
  <c r="AL76" i="8"/>
  <c r="AL77" i="8"/>
  <c r="AL78" i="8"/>
  <c r="AL79" i="8"/>
  <c r="AL54" i="8"/>
  <c r="AL55" i="8"/>
  <c r="AL52" i="8"/>
  <c r="AL53" i="8"/>
  <c r="AL50" i="8"/>
  <c r="AL51" i="8"/>
  <c r="AL48" i="8"/>
  <c r="AL49" i="8"/>
  <c r="AL45" i="8"/>
  <c r="AL46" i="8"/>
  <c r="AL47" i="8"/>
  <c r="AL42" i="8"/>
  <c r="AL43" i="8"/>
  <c r="AL44" i="8"/>
  <c r="AL80" i="8"/>
  <c r="AL297" i="8"/>
  <c r="AL308" i="8"/>
  <c r="AL373" i="8"/>
  <c r="AK56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54" i="8"/>
  <c r="AK55" i="8"/>
  <c r="AK52" i="8"/>
  <c r="AK53" i="8"/>
  <c r="AK50" i="8"/>
  <c r="AK51" i="8"/>
  <c r="AK48" i="8"/>
  <c r="AK49" i="8"/>
  <c r="AK45" i="8"/>
  <c r="AK46" i="8"/>
  <c r="AK47" i="8"/>
  <c r="AK42" i="8"/>
  <c r="AK43" i="8"/>
  <c r="AK44" i="8"/>
  <c r="AK80" i="8"/>
  <c r="AK297" i="8"/>
  <c r="AK308" i="8"/>
  <c r="AK373" i="8"/>
  <c r="AJ56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54" i="8"/>
  <c r="AJ55" i="8"/>
  <c r="AJ52" i="8"/>
  <c r="AJ53" i="8"/>
  <c r="AJ50" i="8"/>
  <c r="AJ51" i="8"/>
  <c r="AJ48" i="8"/>
  <c r="AJ49" i="8"/>
  <c r="AJ45" i="8"/>
  <c r="AJ46" i="8"/>
  <c r="AJ47" i="8"/>
  <c r="AJ42" i="8"/>
  <c r="AJ43" i="8"/>
  <c r="AJ44" i="8"/>
  <c r="AJ80" i="8"/>
  <c r="AJ297" i="8"/>
  <c r="AJ308" i="8"/>
  <c r="AJ373" i="8"/>
  <c r="AI56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54" i="8"/>
  <c r="AI55" i="8"/>
  <c r="AI52" i="8"/>
  <c r="AI53" i="8"/>
  <c r="AI50" i="8"/>
  <c r="AI51" i="8"/>
  <c r="AI48" i="8"/>
  <c r="AI49" i="8"/>
  <c r="AI45" i="8"/>
  <c r="AI46" i="8"/>
  <c r="AI47" i="8"/>
  <c r="AI42" i="8"/>
  <c r="AI43" i="8"/>
  <c r="AI44" i="8"/>
  <c r="AI80" i="8"/>
  <c r="AI297" i="8"/>
  <c r="AI308" i="8"/>
  <c r="AI373" i="8"/>
  <c r="AH56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54" i="8"/>
  <c r="AH55" i="8"/>
  <c r="AH52" i="8"/>
  <c r="AH53" i="8"/>
  <c r="AH50" i="8"/>
  <c r="AH51" i="8"/>
  <c r="AH48" i="8"/>
  <c r="AH49" i="8"/>
  <c r="AH45" i="8"/>
  <c r="AH46" i="8"/>
  <c r="AH47" i="8"/>
  <c r="AH42" i="8"/>
  <c r="AH43" i="8"/>
  <c r="AH44" i="8"/>
  <c r="AH80" i="8"/>
  <c r="AH297" i="8"/>
  <c r="AH308" i="8"/>
  <c r="AH373" i="8"/>
  <c r="AG56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54" i="8"/>
  <c r="AG55" i="8"/>
  <c r="AG52" i="8"/>
  <c r="AG53" i="8"/>
  <c r="AG50" i="8"/>
  <c r="AG51" i="8"/>
  <c r="AG48" i="8"/>
  <c r="AG49" i="8"/>
  <c r="AG45" i="8"/>
  <c r="AG46" i="8"/>
  <c r="AG47" i="8"/>
  <c r="AG42" i="8"/>
  <c r="AG43" i="8"/>
  <c r="AG44" i="8"/>
  <c r="AG80" i="8"/>
  <c r="AG297" i="8"/>
  <c r="AG308" i="8"/>
  <c r="AG373" i="8"/>
  <c r="AF56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54" i="8"/>
  <c r="AF55" i="8"/>
  <c r="AF52" i="8"/>
  <c r="AF53" i="8"/>
  <c r="AF50" i="8"/>
  <c r="AF51" i="8"/>
  <c r="AF48" i="8"/>
  <c r="AF49" i="8"/>
  <c r="AF45" i="8"/>
  <c r="AF46" i="8"/>
  <c r="AF47" i="8"/>
  <c r="AF42" i="8"/>
  <c r="AF43" i="8"/>
  <c r="AF44" i="8"/>
  <c r="AF80" i="8"/>
  <c r="AF297" i="8"/>
  <c r="AF308" i="8"/>
  <c r="AF373" i="8"/>
  <c r="AE56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54" i="8"/>
  <c r="AE55" i="8"/>
  <c r="AE52" i="8"/>
  <c r="AE53" i="8"/>
  <c r="AE50" i="8"/>
  <c r="AE51" i="8"/>
  <c r="AE48" i="8"/>
  <c r="AE49" i="8"/>
  <c r="AE45" i="8"/>
  <c r="AE46" i="8"/>
  <c r="AE47" i="8"/>
  <c r="AE42" i="8"/>
  <c r="AE43" i="8"/>
  <c r="AE44" i="8"/>
  <c r="AE80" i="8"/>
  <c r="AE297" i="8"/>
  <c r="AE308" i="8"/>
  <c r="AE373" i="8"/>
  <c r="AD56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54" i="8"/>
  <c r="AD55" i="8"/>
  <c r="AD52" i="8"/>
  <c r="AD53" i="8"/>
  <c r="AD50" i="8"/>
  <c r="AD51" i="8"/>
  <c r="AD48" i="8"/>
  <c r="AD49" i="8"/>
  <c r="AD45" i="8"/>
  <c r="AD46" i="8"/>
  <c r="AD47" i="8"/>
  <c r="AD42" i="8"/>
  <c r="AD43" i="8"/>
  <c r="AD44" i="8"/>
  <c r="AD80" i="8"/>
  <c r="AD297" i="8"/>
  <c r="AD308" i="8"/>
  <c r="AD373" i="8"/>
  <c r="AC56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54" i="8"/>
  <c r="AC55" i="8"/>
  <c r="AC52" i="8"/>
  <c r="AC53" i="8"/>
  <c r="AC50" i="8"/>
  <c r="AC51" i="8"/>
  <c r="AC48" i="8"/>
  <c r="AC49" i="8"/>
  <c r="AC45" i="8"/>
  <c r="AC46" i="8"/>
  <c r="AC47" i="8"/>
  <c r="AC42" i="8"/>
  <c r="AC43" i="8"/>
  <c r="AC44" i="8"/>
  <c r="AC80" i="8"/>
  <c r="AC297" i="8"/>
  <c r="AC308" i="8"/>
  <c r="AC373" i="8"/>
  <c r="AB56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54" i="8"/>
  <c r="AB55" i="8"/>
  <c r="AB52" i="8"/>
  <c r="AB53" i="8"/>
  <c r="AB50" i="8"/>
  <c r="AB51" i="8"/>
  <c r="AB48" i="8"/>
  <c r="AB49" i="8"/>
  <c r="AB45" i="8"/>
  <c r="AB46" i="8"/>
  <c r="AB47" i="8"/>
  <c r="AB42" i="8"/>
  <c r="AB43" i="8"/>
  <c r="AB44" i="8"/>
  <c r="AB80" i="8"/>
  <c r="AB297" i="8"/>
  <c r="AB308" i="8"/>
  <c r="AB373" i="8"/>
  <c r="AA56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54" i="8"/>
  <c r="AA55" i="8"/>
  <c r="AA52" i="8"/>
  <c r="AA53" i="8"/>
  <c r="AA50" i="8"/>
  <c r="AA51" i="8"/>
  <c r="AA48" i="8"/>
  <c r="AA49" i="8"/>
  <c r="AA45" i="8"/>
  <c r="AA46" i="8"/>
  <c r="AA47" i="8"/>
  <c r="AA42" i="8"/>
  <c r="AA43" i="8"/>
  <c r="AA44" i="8"/>
  <c r="AA80" i="8"/>
  <c r="AA297" i="8"/>
  <c r="AA308" i="8"/>
  <c r="AA373" i="8"/>
  <c r="Z56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54" i="8"/>
  <c r="Z55" i="8"/>
  <c r="Z52" i="8"/>
  <c r="Z53" i="8"/>
  <c r="Z50" i="8"/>
  <c r="Z51" i="8"/>
  <c r="Z48" i="8"/>
  <c r="Z49" i="8"/>
  <c r="Z45" i="8"/>
  <c r="Z46" i="8"/>
  <c r="Z47" i="8"/>
  <c r="Z42" i="8"/>
  <c r="Z43" i="8"/>
  <c r="Z44" i="8"/>
  <c r="Z80" i="8"/>
  <c r="Z297" i="8"/>
  <c r="Z308" i="8"/>
  <c r="Z373" i="8"/>
  <c r="Y56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54" i="8"/>
  <c r="Y55" i="8"/>
  <c r="Y52" i="8"/>
  <c r="Y53" i="8"/>
  <c r="Y50" i="8"/>
  <c r="Y51" i="8"/>
  <c r="Y48" i="8"/>
  <c r="Y49" i="8"/>
  <c r="Y45" i="8"/>
  <c r="Y46" i="8"/>
  <c r="Y47" i="8"/>
  <c r="Y42" i="8"/>
  <c r="Y43" i="8"/>
  <c r="Y44" i="8"/>
  <c r="Y80" i="8"/>
  <c r="Y297" i="8"/>
  <c r="Y308" i="8"/>
  <c r="Y373" i="8"/>
  <c r="X56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54" i="8"/>
  <c r="X55" i="8"/>
  <c r="X52" i="8"/>
  <c r="X53" i="8"/>
  <c r="X50" i="8"/>
  <c r="X51" i="8"/>
  <c r="X48" i="8"/>
  <c r="X49" i="8"/>
  <c r="X45" i="8"/>
  <c r="X46" i="8"/>
  <c r="X47" i="8"/>
  <c r="X42" i="8"/>
  <c r="X43" i="8"/>
  <c r="X44" i="8"/>
  <c r="X80" i="8"/>
  <c r="X297" i="8"/>
  <c r="X308" i="8"/>
  <c r="X373" i="8"/>
  <c r="W56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54" i="8"/>
  <c r="W55" i="8"/>
  <c r="W52" i="8"/>
  <c r="W53" i="8"/>
  <c r="W50" i="8"/>
  <c r="W51" i="8"/>
  <c r="W48" i="8"/>
  <c r="W49" i="8"/>
  <c r="W45" i="8"/>
  <c r="W46" i="8"/>
  <c r="W47" i="8"/>
  <c r="W42" i="8"/>
  <c r="W43" i="8"/>
  <c r="W44" i="8"/>
  <c r="W80" i="8"/>
  <c r="W297" i="8"/>
  <c r="W308" i="8"/>
  <c r="W373" i="8"/>
  <c r="V56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54" i="8"/>
  <c r="V55" i="8"/>
  <c r="V52" i="8"/>
  <c r="V53" i="8"/>
  <c r="V50" i="8"/>
  <c r="V51" i="8"/>
  <c r="V48" i="8"/>
  <c r="V49" i="8"/>
  <c r="V45" i="8"/>
  <c r="V46" i="8"/>
  <c r="V47" i="8"/>
  <c r="V42" i="8"/>
  <c r="V43" i="8"/>
  <c r="V44" i="8"/>
  <c r="V80" i="8"/>
  <c r="V297" i="8"/>
  <c r="V308" i="8"/>
  <c r="V373" i="8"/>
  <c r="U56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54" i="8"/>
  <c r="U55" i="8"/>
  <c r="U52" i="8"/>
  <c r="U53" i="8"/>
  <c r="U50" i="8"/>
  <c r="U51" i="8"/>
  <c r="U48" i="8"/>
  <c r="U49" i="8"/>
  <c r="U45" i="8"/>
  <c r="U46" i="8"/>
  <c r="U47" i="8"/>
  <c r="U42" i="8"/>
  <c r="U43" i="8"/>
  <c r="U44" i="8"/>
  <c r="U80" i="8"/>
  <c r="U297" i="8"/>
  <c r="U308" i="8"/>
  <c r="U373" i="8"/>
  <c r="T56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54" i="8"/>
  <c r="T55" i="8"/>
  <c r="T52" i="8"/>
  <c r="T53" i="8"/>
  <c r="T50" i="8"/>
  <c r="T51" i="8"/>
  <c r="T48" i="8"/>
  <c r="T49" i="8"/>
  <c r="T45" i="8"/>
  <c r="T46" i="8"/>
  <c r="T47" i="8"/>
  <c r="T42" i="8"/>
  <c r="T43" i="8"/>
  <c r="T44" i="8"/>
  <c r="T80" i="8"/>
  <c r="T297" i="8"/>
  <c r="T308" i="8"/>
  <c r="T373" i="8"/>
  <c r="S56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54" i="8"/>
  <c r="S55" i="8"/>
  <c r="S52" i="8"/>
  <c r="S53" i="8"/>
  <c r="S50" i="8"/>
  <c r="S51" i="8"/>
  <c r="S48" i="8"/>
  <c r="S49" i="8"/>
  <c r="S45" i="8"/>
  <c r="S46" i="8"/>
  <c r="S47" i="8"/>
  <c r="S42" i="8"/>
  <c r="S43" i="8"/>
  <c r="S44" i="8"/>
  <c r="S80" i="8"/>
  <c r="S297" i="8"/>
  <c r="S308" i="8"/>
  <c r="S373" i="8"/>
  <c r="R56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54" i="8"/>
  <c r="R55" i="8"/>
  <c r="R52" i="8"/>
  <c r="R53" i="8"/>
  <c r="R50" i="8"/>
  <c r="R51" i="8"/>
  <c r="R48" i="8"/>
  <c r="R49" i="8"/>
  <c r="R45" i="8"/>
  <c r="R46" i="8"/>
  <c r="R47" i="8"/>
  <c r="R42" i="8"/>
  <c r="R43" i="8"/>
  <c r="R44" i="8"/>
  <c r="R80" i="8"/>
  <c r="R297" i="8"/>
  <c r="R308" i="8"/>
  <c r="R373" i="8"/>
  <c r="Q56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54" i="8"/>
  <c r="Q55" i="8"/>
  <c r="Q52" i="8"/>
  <c r="Q53" i="8"/>
  <c r="Q50" i="8"/>
  <c r="Q51" i="8"/>
  <c r="Q48" i="8"/>
  <c r="Q49" i="8"/>
  <c r="Q45" i="8"/>
  <c r="Q46" i="8"/>
  <c r="Q47" i="8"/>
  <c r="Q42" i="8"/>
  <c r="Q43" i="8"/>
  <c r="Q44" i="8"/>
  <c r="Q80" i="8"/>
  <c r="Q297" i="8"/>
  <c r="Q308" i="8"/>
  <c r="Q373" i="8"/>
  <c r="P56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54" i="8"/>
  <c r="P55" i="8"/>
  <c r="P52" i="8"/>
  <c r="P53" i="8"/>
  <c r="P50" i="8"/>
  <c r="P51" i="8"/>
  <c r="P48" i="8"/>
  <c r="P49" i="8"/>
  <c r="P45" i="8"/>
  <c r="P46" i="8"/>
  <c r="P47" i="8"/>
  <c r="P42" i="8"/>
  <c r="P43" i="8"/>
  <c r="P44" i="8"/>
  <c r="P80" i="8"/>
  <c r="P297" i="8"/>
  <c r="P308" i="8"/>
  <c r="P373" i="8"/>
  <c r="O56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54" i="8"/>
  <c r="O55" i="8"/>
  <c r="O52" i="8"/>
  <c r="O53" i="8"/>
  <c r="O50" i="8"/>
  <c r="O51" i="8"/>
  <c r="O48" i="8"/>
  <c r="O49" i="8"/>
  <c r="O45" i="8"/>
  <c r="O46" i="8"/>
  <c r="O47" i="8"/>
  <c r="O42" i="8"/>
  <c r="O43" i="8"/>
  <c r="O44" i="8"/>
  <c r="O80" i="8"/>
  <c r="O297" i="8"/>
  <c r="O308" i="8"/>
  <c r="O373" i="8"/>
  <c r="N56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54" i="8"/>
  <c r="N55" i="8"/>
  <c r="N52" i="8"/>
  <c r="N53" i="8"/>
  <c r="N50" i="8"/>
  <c r="N51" i="8"/>
  <c r="N48" i="8"/>
  <c r="N49" i="8"/>
  <c r="N45" i="8"/>
  <c r="N46" i="8"/>
  <c r="N47" i="8"/>
  <c r="N42" i="8"/>
  <c r="N43" i="8"/>
  <c r="N44" i="8"/>
  <c r="N80" i="8"/>
  <c r="N297" i="8"/>
  <c r="N308" i="8"/>
  <c r="N373" i="8"/>
  <c r="M56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54" i="8"/>
  <c r="M55" i="8"/>
  <c r="M52" i="8"/>
  <c r="M53" i="8"/>
  <c r="M50" i="8"/>
  <c r="M51" i="8"/>
  <c r="M48" i="8"/>
  <c r="M49" i="8"/>
  <c r="M45" i="8"/>
  <c r="M46" i="8"/>
  <c r="M47" i="8"/>
  <c r="M42" i="8"/>
  <c r="M43" i="8"/>
  <c r="M44" i="8"/>
  <c r="M80" i="8"/>
  <c r="M297" i="8"/>
  <c r="M308" i="8"/>
  <c r="M373" i="8"/>
  <c r="L56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54" i="8"/>
  <c r="L55" i="8"/>
  <c r="L52" i="8"/>
  <c r="L53" i="8"/>
  <c r="L50" i="8"/>
  <c r="L51" i="8"/>
  <c r="L48" i="8"/>
  <c r="L49" i="8"/>
  <c r="L45" i="8"/>
  <c r="L46" i="8"/>
  <c r="L47" i="8"/>
  <c r="L42" i="8"/>
  <c r="L43" i="8"/>
  <c r="L44" i="8"/>
  <c r="L80" i="8"/>
  <c r="L297" i="8"/>
  <c r="L308" i="8"/>
  <c r="L373" i="8"/>
  <c r="K56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54" i="8"/>
  <c r="K55" i="8"/>
  <c r="K52" i="8"/>
  <c r="K53" i="8"/>
  <c r="K50" i="8"/>
  <c r="K51" i="8"/>
  <c r="K48" i="8"/>
  <c r="K49" i="8"/>
  <c r="K45" i="8"/>
  <c r="K46" i="8"/>
  <c r="K47" i="8"/>
  <c r="K42" i="8"/>
  <c r="K43" i="8"/>
  <c r="K44" i="8"/>
  <c r="K80" i="8"/>
  <c r="K297" i="8"/>
  <c r="K308" i="8"/>
  <c r="K373" i="8"/>
  <c r="J56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54" i="8"/>
  <c r="J55" i="8"/>
  <c r="J52" i="8"/>
  <c r="J53" i="8"/>
  <c r="J50" i="8"/>
  <c r="J51" i="8"/>
  <c r="J48" i="8"/>
  <c r="J49" i="8"/>
  <c r="J45" i="8"/>
  <c r="J46" i="8"/>
  <c r="J47" i="8"/>
  <c r="J42" i="8"/>
  <c r="J43" i="8"/>
  <c r="J44" i="8"/>
  <c r="J80" i="8"/>
  <c r="J297" i="8"/>
  <c r="J308" i="8"/>
  <c r="J373" i="8"/>
  <c r="I56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54" i="8"/>
  <c r="I55" i="8"/>
  <c r="I52" i="8"/>
  <c r="I53" i="8"/>
  <c r="I50" i="8"/>
  <c r="I51" i="8"/>
  <c r="I48" i="8"/>
  <c r="I49" i="8"/>
  <c r="I45" i="8"/>
  <c r="I46" i="8"/>
  <c r="I47" i="8"/>
  <c r="I42" i="8"/>
  <c r="I43" i="8"/>
  <c r="I44" i="8"/>
  <c r="I80" i="8"/>
  <c r="I297" i="8"/>
  <c r="I308" i="8"/>
  <c r="I373" i="8"/>
  <c r="H56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54" i="8"/>
  <c r="H55" i="8"/>
  <c r="H52" i="8"/>
  <c r="H53" i="8"/>
  <c r="H50" i="8"/>
  <c r="H51" i="8"/>
  <c r="H48" i="8"/>
  <c r="H49" i="8"/>
  <c r="H45" i="8"/>
  <c r="H46" i="8"/>
  <c r="H47" i="8"/>
  <c r="H42" i="8"/>
  <c r="H43" i="8"/>
  <c r="H44" i="8"/>
  <c r="H80" i="8"/>
  <c r="H297" i="8"/>
  <c r="H308" i="8"/>
  <c r="H373" i="8"/>
  <c r="G56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54" i="8"/>
  <c r="G55" i="8"/>
  <c r="G52" i="8"/>
  <c r="G53" i="8"/>
  <c r="G50" i="8"/>
  <c r="G51" i="8"/>
  <c r="G48" i="8"/>
  <c r="G49" i="8"/>
  <c r="G45" i="8"/>
  <c r="G46" i="8"/>
  <c r="G47" i="8"/>
  <c r="G42" i="8"/>
  <c r="G43" i="8"/>
  <c r="G44" i="8"/>
  <c r="G80" i="8"/>
  <c r="G297" i="8"/>
  <c r="G308" i="8"/>
  <c r="G373" i="8"/>
  <c r="F56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54" i="8"/>
  <c r="F55" i="8"/>
  <c r="F52" i="8"/>
  <c r="F53" i="8"/>
  <c r="F50" i="8"/>
  <c r="F51" i="8"/>
  <c r="F48" i="8"/>
  <c r="F49" i="8"/>
  <c r="F45" i="8"/>
  <c r="F46" i="8"/>
  <c r="F47" i="8"/>
  <c r="F42" i="8"/>
  <c r="F43" i="8"/>
  <c r="F44" i="8"/>
  <c r="F80" i="8"/>
  <c r="F297" i="8"/>
  <c r="F308" i="8"/>
  <c r="F373" i="8"/>
  <c r="AU313" i="8"/>
  <c r="AU314" i="8"/>
  <c r="AU315" i="8"/>
  <c r="AU372" i="8"/>
  <c r="AT313" i="8"/>
  <c r="AT314" i="8"/>
  <c r="AT315" i="8"/>
  <c r="AT372" i="8"/>
  <c r="AS313" i="8"/>
  <c r="AS314" i="8"/>
  <c r="AS315" i="8"/>
  <c r="AS372" i="8"/>
  <c r="AR313" i="8"/>
  <c r="AR314" i="8"/>
  <c r="AR315" i="8"/>
  <c r="AR372" i="8"/>
  <c r="AQ313" i="8"/>
  <c r="AQ314" i="8"/>
  <c r="AQ315" i="8"/>
  <c r="AQ372" i="8"/>
  <c r="AP313" i="8"/>
  <c r="AP314" i="8"/>
  <c r="AP315" i="8"/>
  <c r="AP372" i="8"/>
  <c r="AO313" i="8"/>
  <c r="AO314" i="8"/>
  <c r="AO315" i="8"/>
  <c r="AO372" i="8"/>
  <c r="AN313" i="8"/>
  <c r="AN314" i="8"/>
  <c r="AN315" i="8"/>
  <c r="AN372" i="8"/>
  <c r="AM313" i="8"/>
  <c r="AM314" i="8"/>
  <c r="AM315" i="8"/>
  <c r="AM372" i="8"/>
  <c r="AL313" i="8"/>
  <c r="AL314" i="8"/>
  <c r="AL315" i="8"/>
  <c r="AL372" i="8"/>
  <c r="AK313" i="8"/>
  <c r="AK314" i="8"/>
  <c r="AK315" i="8"/>
  <c r="AK372" i="8"/>
  <c r="AJ313" i="8"/>
  <c r="AJ314" i="8"/>
  <c r="AJ315" i="8"/>
  <c r="AJ372" i="8"/>
  <c r="AI313" i="8"/>
  <c r="AI314" i="8"/>
  <c r="AI315" i="8"/>
  <c r="AI372" i="8"/>
  <c r="AH313" i="8"/>
  <c r="AH314" i="8"/>
  <c r="AH315" i="8"/>
  <c r="AH372" i="8"/>
  <c r="AG313" i="8"/>
  <c r="AG314" i="8"/>
  <c r="AG315" i="8"/>
  <c r="AG372" i="8"/>
  <c r="AF313" i="8"/>
  <c r="AF314" i="8"/>
  <c r="AF315" i="8"/>
  <c r="AF372" i="8"/>
  <c r="AE313" i="8"/>
  <c r="AE314" i="8"/>
  <c r="AE315" i="8"/>
  <c r="AE372" i="8"/>
  <c r="AD313" i="8"/>
  <c r="AD314" i="8"/>
  <c r="AD315" i="8"/>
  <c r="AD372" i="8"/>
  <c r="AC313" i="8"/>
  <c r="AC314" i="8"/>
  <c r="AC315" i="8"/>
  <c r="AC372" i="8"/>
  <c r="AB313" i="8"/>
  <c r="AB314" i="8"/>
  <c r="AB315" i="8"/>
  <c r="AB372" i="8"/>
  <c r="AA313" i="8"/>
  <c r="AA314" i="8"/>
  <c r="AA315" i="8"/>
  <c r="AA372" i="8"/>
  <c r="Z313" i="8"/>
  <c r="Z314" i="8"/>
  <c r="Z315" i="8"/>
  <c r="Z372" i="8"/>
  <c r="Y313" i="8"/>
  <c r="Y314" i="8"/>
  <c r="Y315" i="8"/>
  <c r="Y372" i="8"/>
  <c r="X313" i="8"/>
  <c r="X314" i="8"/>
  <c r="X315" i="8"/>
  <c r="X372" i="8"/>
  <c r="W313" i="8"/>
  <c r="W314" i="8"/>
  <c r="W315" i="8"/>
  <c r="W372" i="8"/>
  <c r="V313" i="8"/>
  <c r="V314" i="8"/>
  <c r="V315" i="8"/>
  <c r="V372" i="8"/>
  <c r="U313" i="8"/>
  <c r="U314" i="8"/>
  <c r="U315" i="8"/>
  <c r="U372" i="8"/>
  <c r="T313" i="8"/>
  <c r="T314" i="8"/>
  <c r="T315" i="8"/>
  <c r="T372" i="8"/>
  <c r="S313" i="8"/>
  <c r="S314" i="8"/>
  <c r="S315" i="8"/>
  <c r="S372" i="8"/>
  <c r="R313" i="8"/>
  <c r="R314" i="8"/>
  <c r="R315" i="8"/>
  <c r="R372" i="8"/>
  <c r="Q313" i="8"/>
  <c r="Q314" i="8"/>
  <c r="Q315" i="8"/>
  <c r="Q372" i="8"/>
  <c r="P313" i="8"/>
  <c r="P314" i="8"/>
  <c r="P315" i="8"/>
  <c r="P372" i="8"/>
  <c r="O313" i="8"/>
  <c r="O314" i="8"/>
  <c r="O315" i="8"/>
  <c r="O372" i="8"/>
  <c r="N313" i="8"/>
  <c r="N314" i="8"/>
  <c r="N315" i="8"/>
  <c r="N372" i="8"/>
  <c r="M313" i="8"/>
  <c r="M314" i="8"/>
  <c r="M315" i="8"/>
  <c r="M372" i="8"/>
  <c r="L313" i="8"/>
  <c r="L314" i="8"/>
  <c r="L315" i="8"/>
  <c r="L372" i="8"/>
  <c r="K313" i="8"/>
  <c r="K314" i="8"/>
  <c r="K315" i="8"/>
  <c r="K372" i="8"/>
  <c r="J313" i="8"/>
  <c r="J314" i="8"/>
  <c r="J315" i="8"/>
  <c r="J372" i="8"/>
  <c r="I313" i="8"/>
  <c r="I314" i="8"/>
  <c r="I315" i="8"/>
  <c r="I372" i="8"/>
  <c r="H313" i="8"/>
  <c r="H314" i="8"/>
  <c r="H315" i="8"/>
  <c r="H372" i="8"/>
  <c r="G313" i="8"/>
  <c r="G314" i="8"/>
  <c r="G315" i="8"/>
  <c r="G372" i="8"/>
  <c r="F313" i="8"/>
  <c r="F314" i="8"/>
  <c r="F315" i="8"/>
  <c r="F372" i="8"/>
  <c r="AU371" i="8"/>
  <c r="AT371" i="8"/>
  <c r="AS371" i="8"/>
  <c r="AR371" i="8"/>
  <c r="AQ371" i="8"/>
  <c r="AP371" i="8"/>
  <c r="AO371" i="8"/>
  <c r="AN371" i="8"/>
  <c r="AM371" i="8"/>
  <c r="AL371" i="8"/>
  <c r="AK371" i="8"/>
  <c r="AJ371" i="8"/>
  <c r="AI371" i="8"/>
  <c r="AH371" i="8"/>
  <c r="AG371" i="8"/>
  <c r="AF371" i="8"/>
  <c r="AE371" i="8"/>
  <c r="AD371" i="8"/>
  <c r="AC371" i="8"/>
  <c r="AB371" i="8"/>
  <c r="AA371" i="8"/>
  <c r="Z371" i="8"/>
  <c r="Y371" i="8"/>
  <c r="X371" i="8"/>
  <c r="W371" i="8"/>
  <c r="V371" i="8"/>
  <c r="U371" i="8"/>
  <c r="T371" i="8"/>
  <c r="S371" i="8"/>
  <c r="R371" i="8"/>
  <c r="Q371" i="8"/>
  <c r="P371" i="8"/>
  <c r="O371" i="8"/>
  <c r="N371" i="8"/>
  <c r="M371" i="8"/>
  <c r="L371" i="8"/>
  <c r="K371" i="8"/>
  <c r="J371" i="8"/>
  <c r="I371" i="8"/>
  <c r="H371" i="8"/>
  <c r="G371" i="8"/>
  <c r="F371" i="8"/>
  <c r="AU370" i="8"/>
  <c r="AT370" i="8"/>
  <c r="AS370" i="8"/>
  <c r="AR370" i="8"/>
  <c r="AQ370" i="8"/>
  <c r="AP370" i="8"/>
  <c r="AO370" i="8"/>
  <c r="AN370" i="8"/>
  <c r="AM370" i="8"/>
  <c r="AL370" i="8"/>
  <c r="AK370" i="8"/>
  <c r="AJ370" i="8"/>
  <c r="AI370" i="8"/>
  <c r="AH370" i="8"/>
  <c r="AG370" i="8"/>
  <c r="AF370" i="8"/>
  <c r="AE370" i="8"/>
  <c r="AD370" i="8"/>
  <c r="AC370" i="8"/>
  <c r="AB370" i="8"/>
  <c r="AA370" i="8"/>
  <c r="Z370" i="8"/>
  <c r="Y370" i="8"/>
  <c r="X370" i="8"/>
  <c r="W370" i="8"/>
  <c r="V370" i="8"/>
  <c r="U370" i="8"/>
  <c r="T370" i="8"/>
  <c r="S370" i="8"/>
  <c r="R370" i="8"/>
  <c r="Q370" i="8"/>
  <c r="P370" i="8"/>
  <c r="O370" i="8"/>
  <c r="N370" i="8"/>
  <c r="M370" i="8"/>
  <c r="L370" i="8"/>
  <c r="K370" i="8"/>
  <c r="J370" i="8"/>
  <c r="I370" i="8"/>
  <c r="H370" i="8"/>
  <c r="G370" i="8"/>
  <c r="F370" i="8"/>
  <c r="AU309" i="8"/>
  <c r="AU310" i="8"/>
  <c r="AU311" i="8"/>
  <c r="AU312" i="8"/>
  <c r="AU369" i="8"/>
  <c r="AT309" i="8"/>
  <c r="AT310" i="8"/>
  <c r="AT311" i="8"/>
  <c r="AT312" i="8"/>
  <c r="AT369" i="8"/>
  <c r="AS309" i="8"/>
  <c r="AS310" i="8"/>
  <c r="AS311" i="8"/>
  <c r="AS312" i="8"/>
  <c r="AS369" i="8"/>
  <c r="AR309" i="8"/>
  <c r="AR310" i="8"/>
  <c r="AR311" i="8"/>
  <c r="AR312" i="8"/>
  <c r="AR369" i="8"/>
  <c r="AQ309" i="8"/>
  <c r="AQ310" i="8"/>
  <c r="AQ311" i="8"/>
  <c r="AQ312" i="8"/>
  <c r="AQ369" i="8"/>
  <c r="AP309" i="8"/>
  <c r="AP310" i="8"/>
  <c r="AP311" i="8"/>
  <c r="AP312" i="8"/>
  <c r="AP369" i="8"/>
  <c r="AO309" i="8"/>
  <c r="AO310" i="8"/>
  <c r="AO311" i="8"/>
  <c r="AO312" i="8"/>
  <c r="AO369" i="8"/>
  <c r="AN309" i="8"/>
  <c r="AN310" i="8"/>
  <c r="AN311" i="8"/>
  <c r="AN312" i="8"/>
  <c r="AN369" i="8"/>
  <c r="AM309" i="8"/>
  <c r="AM310" i="8"/>
  <c r="AM311" i="8"/>
  <c r="AM312" i="8"/>
  <c r="AM369" i="8"/>
  <c r="AL309" i="8"/>
  <c r="AL310" i="8"/>
  <c r="AL311" i="8"/>
  <c r="AL312" i="8"/>
  <c r="AL369" i="8"/>
  <c r="AK309" i="8"/>
  <c r="AK310" i="8"/>
  <c r="AK311" i="8"/>
  <c r="AK312" i="8"/>
  <c r="AK369" i="8"/>
  <c r="AJ309" i="8"/>
  <c r="AJ310" i="8"/>
  <c r="AJ311" i="8"/>
  <c r="AJ312" i="8"/>
  <c r="AJ369" i="8"/>
  <c r="AI309" i="8"/>
  <c r="AI310" i="8"/>
  <c r="AI311" i="8"/>
  <c r="AI312" i="8"/>
  <c r="AI369" i="8"/>
  <c r="AH309" i="8"/>
  <c r="AH310" i="8"/>
  <c r="AH311" i="8"/>
  <c r="AH312" i="8"/>
  <c r="AH369" i="8"/>
  <c r="AG309" i="8"/>
  <c r="AG310" i="8"/>
  <c r="AG311" i="8"/>
  <c r="AG312" i="8"/>
  <c r="AG369" i="8"/>
  <c r="AF309" i="8"/>
  <c r="AF310" i="8"/>
  <c r="AF311" i="8"/>
  <c r="AF312" i="8"/>
  <c r="AF369" i="8"/>
  <c r="AE309" i="8"/>
  <c r="AE310" i="8"/>
  <c r="AE311" i="8"/>
  <c r="AE312" i="8"/>
  <c r="AE369" i="8"/>
  <c r="AD309" i="8"/>
  <c r="AD310" i="8"/>
  <c r="AD311" i="8"/>
  <c r="AD312" i="8"/>
  <c r="AD369" i="8"/>
  <c r="AC309" i="8"/>
  <c r="AC310" i="8"/>
  <c r="AC311" i="8"/>
  <c r="AC312" i="8"/>
  <c r="AC369" i="8"/>
  <c r="AB309" i="8"/>
  <c r="AB310" i="8"/>
  <c r="AB311" i="8"/>
  <c r="AB312" i="8"/>
  <c r="AB369" i="8"/>
  <c r="AA309" i="8"/>
  <c r="AA310" i="8"/>
  <c r="AA311" i="8"/>
  <c r="AA312" i="8"/>
  <c r="AA369" i="8"/>
  <c r="Z309" i="8"/>
  <c r="Z310" i="8"/>
  <c r="Z311" i="8"/>
  <c r="Z312" i="8"/>
  <c r="Z369" i="8"/>
  <c r="Y309" i="8"/>
  <c r="Y310" i="8"/>
  <c r="Y311" i="8"/>
  <c r="Y312" i="8"/>
  <c r="Y369" i="8"/>
  <c r="X309" i="8"/>
  <c r="X310" i="8"/>
  <c r="X311" i="8"/>
  <c r="X312" i="8"/>
  <c r="X369" i="8"/>
  <c r="W309" i="8"/>
  <c r="W310" i="8"/>
  <c r="W311" i="8"/>
  <c r="W312" i="8"/>
  <c r="W369" i="8"/>
  <c r="V309" i="8"/>
  <c r="V310" i="8"/>
  <c r="V311" i="8"/>
  <c r="V312" i="8"/>
  <c r="V369" i="8"/>
  <c r="U309" i="8"/>
  <c r="U310" i="8"/>
  <c r="U311" i="8"/>
  <c r="U312" i="8"/>
  <c r="U369" i="8"/>
  <c r="T309" i="8"/>
  <c r="T310" i="8"/>
  <c r="T311" i="8"/>
  <c r="T312" i="8"/>
  <c r="T369" i="8"/>
  <c r="S309" i="8"/>
  <c r="S310" i="8"/>
  <c r="S311" i="8"/>
  <c r="S312" i="8"/>
  <c r="S369" i="8"/>
  <c r="R309" i="8"/>
  <c r="R310" i="8"/>
  <c r="R311" i="8"/>
  <c r="R312" i="8"/>
  <c r="R369" i="8"/>
  <c r="Q309" i="8"/>
  <c r="Q310" i="8"/>
  <c r="Q311" i="8"/>
  <c r="Q312" i="8"/>
  <c r="Q369" i="8"/>
  <c r="P309" i="8"/>
  <c r="P310" i="8"/>
  <c r="P311" i="8"/>
  <c r="P312" i="8"/>
  <c r="P369" i="8"/>
  <c r="O309" i="8"/>
  <c r="O310" i="8"/>
  <c r="O311" i="8"/>
  <c r="O312" i="8"/>
  <c r="O369" i="8"/>
  <c r="N309" i="8"/>
  <c r="N310" i="8"/>
  <c r="N311" i="8"/>
  <c r="N312" i="8"/>
  <c r="N369" i="8"/>
  <c r="M309" i="8"/>
  <c r="M310" i="8"/>
  <c r="M311" i="8"/>
  <c r="M312" i="8"/>
  <c r="M369" i="8"/>
  <c r="L309" i="8"/>
  <c r="L310" i="8"/>
  <c r="L311" i="8"/>
  <c r="L312" i="8"/>
  <c r="L369" i="8"/>
  <c r="K309" i="8"/>
  <c r="K310" i="8"/>
  <c r="K311" i="8"/>
  <c r="K312" i="8"/>
  <c r="K369" i="8"/>
  <c r="J309" i="8"/>
  <c r="J310" i="8"/>
  <c r="J311" i="8"/>
  <c r="J312" i="8"/>
  <c r="J369" i="8"/>
  <c r="I309" i="8"/>
  <c r="I310" i="8"/>
  <c r="I311" i="8"/>
  <c r="I312" i="8"/>
  <c r="I369" i="8"/>
  <c r="H309" i="8"/>
  <c r="H310" i="8"/>
  <c r="H311" i="8"/>
  <c r="H312" i="8"/>
  <c r="H369" i="8"/>
  <c r="G309" i="8"/>
  <c r="G310" i="8"/>
  <c r="G311" i="8"/>
  <c r="G312" i="8"/>
  <c r="G369" i="8"/>
  <c r="F309" i="8"/>
  <c r="F310" i="8"/>
  <c r="F311" i="8"/>
  <c r="F312" i="8"/>
  <c r="F369" i="8"/>
  <c r="AU31" i="8"/>
  <c r="AU32" i="8"/>
  <c r="AU33" i="8"/>
  <c r="AU34" i="8"/>
  <c r="AU35" i="8"/>
  <c r="AU36" i="8"/>
  <c r="AU37" i="8"/>
  <c r="AU38" i="8"/>
  <c r="AU39" i="8"/>
  <c r="AU40" i="8"/>
  <c r="AU41" i="8"/>
  <c r="AU368" i="8"/>
  <c r="AT31" i="8"/>
  <c r="AT32" i="8"/>
  <c r="AT33" i="8"/>
  <c r="AT34" i="8"/>
  <c r="AT35" i="8"/>
  <c r="AT36" i="8"/>
  <c r="AT37" i="8"/>
  <c r="AT38" i="8"/>
  <c r="AT39" i="8"/>
  <c r="AT40" i="8"/>
  <c r="AT41" i="8"/>
  <c r="AT368" i="8"/>
  <c r="AS31" i="8"/>
  <c r="AS32" i="8"/>
  <c r="AS33" i="8"/>
  <c r="AS34" i="8"/>
  <c r="AS35" i="8"/>
  <c r="AS36" i="8"/>
  <c r="AS37" i="8"/>
  <c r="AS38" i="8"/>
  <c r="AS39" i="8"/>
  <c r="AS40" i="8"/>
  <c r="AS41" i="8"/>
  <c r="AS368" i="8"/>
  <c r="AR31" i="8"/>
  <c r="AR32" i="8"/>
  <c r="AR33" i="8"/>
  <c r="AR34" i="8"/>
  <c r="AR35" i="8"/>
  <c r="AR36" i="8"/>
  <c r="AR37" i="8"/>
  <c r="AR38" i="8"/>
  <c r="AR39" i="8"/>
  <c r="AR40" i="8"/>
  <c r="AR41" i="8"/>
  <c r="AR368" i="8"/>
  <c r="AQ31" i="8"/>
  <c r="AQ32" i="8"/>
  <c r="AQ33" i="8"/>
  <c r="AQ34" i="8"/>
  <c r="AQ35" i="8"/>
  <c r="AQ36" i="8"/>
  <c r="AQ37" i="8"/>
  <c r="AQ38" i="8"/>
  <c r="AQ39" i="8"/>
  <c r="AQ40" i="8"/>
  <c r="AQ41" i="8"/>
  <c r="AQ368" i="8"/>
  <c r="AP31" i="8"/>
  <c r="AP32" i="8"/>
  <c r="AP33" i="8"/>
  <c r="AP34" i="8"/>
  <c r="AP35" i="8"/>
  <c r="AP36" i="8"/>
  <c r="AP37" i="8"/>
  <c r="AP38" i="8"/>
  <c r="AP39" i="8"/>
  <c r="AP40" i="8"/>
  <c r="AP41" i="8"/>
  <c r="AP368" i="8"/>
  <c r="AO31" i="8"/>
  <c r="AO32" i="8"/>
  <c r="AO33" i="8"/>
  <c r="AO34" i="8"/>
  <c r="AO35" i="8"/>
  <c r="AO36" i="8"/>
  <c r="AO37" i="8"/>
  <c r="AO38" i="8"/>
  <c r="AO39" i="8"/>
  <c r="AO40" i="8"/>
  <c r="AO41" i="8"/>
  <c r="AO368" i="8"/>
  <c r="AN31" i="8"/>
  <c r="AN32" i="8"/>
  <c r="AN33" i="8"/>
  <c r="AN34" i="8"/>
  <c r="AN35" i="8"/>
  <c r="AN36" i="8"/>
  <c r="AN37" i="8"/>
  <c r="AN38" i="8"/>
  <c r="AN39" i="8"/>
  <c r="AN40" i="8"/>
  <c r="AN41" i="8"/>
  <c r="AN368" i="8"/>
  <c r="AM31" i="8"/>
  <c r="AM32" i="8"/>
  <c r="AM33" i="8"/>
  <c r="AM34" i="8"/>
  <c r="AM35" i="8"/>
  <c r="AM36" i="8"/>
  <c r="AM37" i="8"/>
  <c r="AM38" i="8"/>
  <c r="AM39" i="8"/>
  <c r="AM40" i="8"/>
  <c r="AM41" i="8"/>
  <c r="AM368" i="8"/>
  <c r="AL31" i="8"/>
  <c r="AL32" i="8"/>
  <c r="AL33" i="8"/>
  <c r="AL34" i="8"/>
  <c r="AL35" i="8"/>
  <c r="AL36" i="8"/>
  <c r="AL37" i="8"/>
  <c r="AL38" i="8"/>
  <c r="AL39" i="8"/>
  <c r="AL40" i="8"/>
  <c r="AL41" i="8"/>
  <c r="AL368" i="8"/>
  <c r="AK31" i="8"/>
  <c r="AK32" i="8"/>
  <c r="AK33" i="8"/>
  <c r="AK34" i="8"/>
  <c r="AK35" i="8"/>
  <c r="AK36" i="8"/>
  <c r="AK37" i="8"/>
  <c r="AK38" i="8"/>
  <c r="AK39" i="8"/>
  <c r="AK40" i="8"/>
  <c r="AK41" i="8"/>
  <c r="AK368" i="8"/>
  <c r="AJ31" i="8"/>
  <c r="AJ32" i="8"/>
  <c r="AJ33" i="8"/>
  <c r="AJ34" i="8"/>
  <c r="AJ35" i="8"/>
  <c r="AJ36" i="8"/>
  <c r="AJ37" i="8"/>
  <c r="AJ38" i="8"/>
  <c r="AJ39" i="8"/>
  <c r="AJ40" i="8"/>
  <c r="AJ41" i="8"/>
  <c r="AJ368" i="8"/>
  <c r="AI31" i="8"/>
  <c r="AI32" i="8"/>
  <c r="AI33" i="8"/>
  <c r="AI34" i="8"/>
  <c r="AI35" i="8"/>
  <c r="AI36" i="8"/>
  <c r="AI37" i="8"/>
  <c r="AI38" i="8"/>
  <c r="AI39" i="8"/>
  <c r="AI40" i="8"/>
  <c r="AI41" i="8"/>
  <c r="AI368" i="8"/>
  <c r="AH31" i="8"/>
  <c r="AH32" i="8"/>
  <c r="AH33" i="8"/>
  <c r="AH34" i="8"/>
  <c r="AH35" i="8"/>
  <c r="AH36" i="8"/>
  <c r="AH37" i="8"/>
  <c r="AH38" i="8"/>
  <c r="AH39" i="8"/>
  <c r="AH40" i="8"/>
  <c r="AH41" i="8"/>
  <c r="AH368" i="8"/>
  <c r="AG31" i="8"/>
  <c r="AG32" i="8"/>
  <c r="AG33" i="8"/>
  <c r="AG34" i="8"/>
  <c r="AG35" i="8"/>
  <c r="AG36" i="8"/>
  <c r="AG37" i="8"/>
  <c r="AG38" i="8"/>
  <c r="AG39" i="8"/>
  <c r="AG40" i="8"/>
  <c r="AG41" i="8"/>
  <c r="AG368" i="8"/>
  <c r="AF31" i="8"/>
  <c r="AF32" i="8"/>
  <c r="AF33" i="8"/>
  <c r="AF34" i="8"/>
  <c r="AF35" i="8"/>
  <c r="AF36" i="8"/>
  <c r="AF37" i="8"/>
  <c r="AF38" i="8"/>
  <c r="AF39" i="8"/>
  <c r="AF40" i="8"/>
  <c r="AF41" i="8"/>
  <c r="AF368" i="8"/>
  <c r="AE31" i="8"/>
  <c r="AE32" i="8"/>
  <c r="AE33" i="8"/>
  <c r="AE34" i="8"/>
  <c r="AE35" i="8"/>
  <c r="AE36" i="8"/>
  <c r="AE37" i="8"/>
  <c r="AE38" i="8"/>
  <c r="AE39" i="8"/>
  <c r="AE40" i="8"/>
  <c r="AE41" i="8"/>
  <c r="AE368" i="8"/>
  <c r="AD31" i="8"/>
  <c r="AD32" i="8"/>
  <c r="AD33" i="8"/>
  <c r="AD34" i="8"/>
  <c r="AD35" i="8"/>
  <c r="AD36" i="8"/>
  <c r="AD37" i="8"/>
  <c r="AD38" i="8"/>
  <c r="AD39" i="8"/>
  <c r="AD40" i="8"/>
  <c r="AD41" i="8"/>
  <c r="AD368" i="8"/>
  <c r="AC31" i="8"/>
  <c r="AC32" i="8"/>
  <c r="AC33" i="8"/>
  <c r="AC34" i="8"/>
  <c r="AC35" i="8"/>
  <c r="AC36" i="8"/>
  <c r="AC37" i="8"/>
  <c r="AC38" i="8"/>
  <c r="AC39" i="8"/>
  <c r="AC40" i="8"/>
  <c r="AC41" i="8"/>
  <c r="AC368" i="8"/>
  <c r="AB31" i="8"/>
  <c r="AB32" i="8"/>
  <c r="AB33" i="8"/>
  <c r="AB34" i="8"/>
  <c r="AB35" i="8"/>
  <c r="AB36" i="8"/>
  <c r="AB37" i="8"/>
  <c r="AB38" i="8"/>
  <c r="AB39" i="8"/>
  <c r="AB40" i="8"/>
  <c r="AB41" i="8"/>
  <c r="AB368" i="8"/>
  <c r="AA31" i="8"/>
  <c r="AA32" i="8"/>
  <c r="AA33" i="8"/>
  <c r="AA34" i="8"/>
  <c r="AA35" i="8"/>
  <c r="AA36" i="8"/>
  <c r="AA37" i="8"/>
  <c r="AA38" i="8"/>
  <c r="AA39" i="8"/>
  <c r="AA40" i="8"/>
  <c r="AA41" i="8"/>
  <c r="AA368" i="8"/>
  <c r="Z31" i="8"/>
  <c r="Z32" i="8"/>
  <c r="Z33" i="8"/>
  <c r="Z34" i="8"/>
  <c r="Z35" i="8"/>
  <c r="Z36" i="8"/>
  <c r="Z37" i="8"/>
  <c r="Z38" i="8"/>
  <c r="Z39" i="8"/>
  <c r="Z40" i="8"/>
  <c r="Z41" i="8"/>
  <c r="Z368" i="8"/>
  <c r="Y31" i="8"/>
  <c r="Y32" i="8"/>
  <c r="Y33" i="8"/>
  <c r="Y34" i="8"/>
  <c r="Y35" i="8"/>
  <c r="Y36" i="8"/>
  <c r="Y37" i="8"/>
  <c r="Y38" i="8"/>
  <c r="Y39" i="8"/>
  <c r="Y40" i="8"/>
  <c r="Y41" i="8"/>
  <c r="Y368" i="8"/>
  <c r="X31" i="8"/>
  <c r="X32" i="8"/>
  <c r="X33" i="8"/>
  <c r="X34" i="8"/>
  <c r="X35" i="8"/>
  <c r="X36" i="8"/>
  <c r="X37" i="8"/>
  <c r="X38" i="8"/>
  <c r="X39" i="8"/>
  <c r="X40" i="8"/>
  <c r="X41" i="8"/>
  <c r="X368" i="8"/>
  <c r="W31" i="8"/>
  <c r="W32" i="8"/>
  <c r="W33" i="8"/>
  <c r="W34" i="8"/>
  <c r="W35" i="8"/>
  <c r="W36" i="8"/>
  <c r="W37" i="8"/>
  <c r="W38" i="8"/>
  <c r="W39" i="8"/>
  <c r="W40" i="8"/>
  <c r="W41" i="8"/>
  <c r="W368" i="8"/>
  <c r="V31" i="8"/>
  <c r="V32" i="8"/>
  <c r="V33" i="8"/>
  <c r="V34" i="8"/>
  <c r="V35" i="8"/>
  <c r="V36" i="8"/>
  <c r="V37" i="8"/>
  <c r="V38" i="8"/>
  <c r="V39" i="8"/>
  <c r="V40" i="8"/>
  <c r="V41" i="8"/>
  <c r="V368" i="8"/>
  <c r="U31" i="8"/>
  <c r="U32" i="8"/>
  <c r="U33" i="8"/>
  <c r="U34" i="8"/>
  <c r="U35" i="8"/>
  <c r="U36" i="8"/>
  <c r="U37" i="8"/>
  <c r="U38" i="8"/>
  <c r="U39" i="8"/>
  <c r="U40" i="8"/>
  <c r="U41" i="8"/>
  <c r="U368" i="8"/>
  <c r="T31" i="8"/>
  <c r="T32" i="8"/>
  <c r="T33" i="8"/>
  <c r="T34" i="8"/>
  <c r="T35" i="8"/>
  <c r="T36" i="8"/>
  <c r="T37" i="8"/>
  <c r="T38" i="8"/>
  <c r="T39" i="8"/>
  <c r="T40" i="8"/>
  <c r="T41" i="8"/>
  <c r="T368" i="8"/>
  <c r="S31" i="8"/>
  <c r="S32" i="8"/>
  <c r="S33" i="8"/>
  <c r="S34" i="8"/>
  <c r="S35" i="8"/>
  <c r="S36" i="8"/>
  <c r="S37" i="8"/>
  <c r="S38" i="8"/>
  <c r="S39" i="8"/>
  <c r="S40" i="8"/>
  <c r="S41" i="8"/>
  <c r="S368" i="8"/>
  <c r="R31" i="8"/>
  <c r="R32" i="8"/>
  <c r="R33" i="8"/>
  <c r="R34" i="8"/>
  <c r="R35" i="8"/>
  <c r="R36" i="8"/>
  <c r="R37" i="8"/>
  <c r="R38" i="8"/>
  <c r="R39" i="8"/>
  <c r="R40" i="8"/>
  <c r="R41" i="8"/>
  <c r="R368" i="8"/>
  <c r="Q31" i="8"/>
  <c r="Q32" i="8"/>
  <c r="Q33" i="8"/>
  <c r="Q34" i="8"/>
  <c r="Q35" i="8"/>
  <c r="Q36" i="8"/>
  <c r="Q37" i="8"/>
  <c r="Q38" i="8"/>
  <c r="Q39" i="8"/>
  <c r="Q40" i="8"/>
  <c r="Q41" i="8"/>
  <c r="Q368" i="8"/>
  <c r="P31" i="8"/>
  <c r="P32" i="8"/>
  <c r="P33" i="8"/>
  <c r="P34" i="8"/>
  <c r="P35" i="8"/>
  <c r="P36" i="8"/>
  <c r="P37" i="8"/>
  <c r="P38" i="8"/>
  <c r="P39" i="8"/>
  <c r="P40" i="8"/>
  <c r="P41" i="8"/>
  <c r="P368" i="8"/>
  <c r="O31" i="8"/>
  <c r="O32" i="8"/>
  <c r="O33" i="8"/>
  <c r="O34" i="8"/>
  <c r="O35" i="8"/>
  <c r="O36" i="8"/>
  <c r="O37" i="8"/>
  <c r="O38" i="8"/>
  <c r="O39" i="8"/>
  <c r="O40" i="8"/>
  <c r="O41" i="8"/>
  <c r="O368" i="8"/>
  <c r="N31" i="8"/>
  <c r="N32" i="8"/>
  <c r="N33" i="8"/>
  <c r="N34" i="8"/>
  <c r="N35" i="8"/>
  <c r="N36" i="8"/>
  <c r="N37" i="8"/>
  <c r="N38" i="8"/>
  <c r="N39" i="8"/>
  <c r="N40" i="8"/>
  <c r="N41" i="8"/>
  <c r="N368" i="8"/>
  <c r="M31" i="8"/>
  <c r="M32" i="8"/>
  <c r="M33" i="8"/>
  <c r="M34" i="8"/>
  <c r="M35" i="8"/>
  <c r="M36" i="8"/>
  <c r="M37" i="8"/>
  <c r="M38" i="8"/>
  <c r="M39" i="8"/>
  <c r="M40" i="8"/>
  <c r="M41" i="8"/>
  <c r="M368" i="8"/>
  <c r="L31" i="8"/>
  <c r="L32" i="8"/>
  <c r="L33" i="8"/>
  <c r="L34" i="8"/>
  <c r="L35" i="8"/>
  <c r="L36" i="8"/>
  <c r="L37" i="8"/>
  <c r="L38" i="8"/>
  <c r="L39" i="8"/>
  <c r="L40" i="8"/>
  <c r="L41" i="8"/>
  <c r="L368" i="8"/>
  <c r="K31" i="8"/>
  <c r="K32" i="8"/>
  <c r="K33" i="8"/>
  <c r="K34" i="8"/>
  <c r="K35" i="8"/>
  <c r="K36" i="8"/>
  <c r="K37" i="8"/>
  <c r="K38" i="8"/>
  <c r="K39" i="8"/>
  <c r="K40" i="8"/>
  <c r="K41" i="8"/>
  <c r="K368" i="8"/>
  <c r="J31" i="8"/>
  <c r="J32" i="8"/>
  <c r="J33" i="8"/>
  <c r="J34" i="8"/>
  <c r="J35" i="8"/>
  <c r="J36" i="8"/>
  <c r="J37" i="8"/>
  <c r="J38" i="8"/>
  <c r="J39" i="8"/>
  <c r="J40" i="8"/>
  <c r="J41" i="8"/>
  <c r="J368" i="8"/>
  <c r="I31" i="8"/>
  <c r="I32" i="8"/>
  <c r="I33" i="8"/>
  <c r="I34" i="8"/>
  <c r="I35" i="8"/>
  <c r="I36" i="8"/>
  <c r="I37" i="8"/>
  <c r="I38" i="8"/>
  <c r="I39" i="8"/>
  <c r="I40" i="8"/>
  <c r="I41" i="8"/>
  <c r="I368" i="8"/>
  <c r="H31" i="8"/>
  <c r="H32" i="8"/>
  <c r="H33" i="8"/>
  <c r="H34" i="8"/>
  <c r="H35" i="8"/>
  <c r="H36" i="8"/>
  <c r="H37" i="8"/>
  <c r="H38" i="8"/>
  <c r="H39" i="8"/>
  <c r="H40" i="8"/>
  <c r="H41" i="8"/>
  <c r="H368" i="8"/>
  <c r="G31" i="8"/>
  <c r="G32" i="8"/>
  <c r="G33" i="8"/>
  <c r="G34" i="8"/>
  <c r="G35" i="8"/>
  <c r="G36" i="8"/>
  <c r="G37" i="8"/>
  <c r="G38" i="8"/>
  <c r="G39" i="8"/>
  <c r="G40" i="8"/>
  <c r="G41" i="8"/>
  <c r="G368" i="8"/>
  <c r="F31" i="8"/>
  <c r="F32" i="8"/>
  <c r="F33" i="8"/>
  <c r="F34" i="8"/>
  <c r="F35" i="8"/>
  <c r="F36" i="8"/>
  <c r="F37" i="8"/>
  <c r="F38" i="8"/>
  <c r="F39" i="8"/>
  <c r="F40" i="8"/>
  <c r="F41" i="8"/>
  <c r="F368" i="8"/>
  <c r="AU81" i="8"/>
  <c r="AU82" i="8"/>
  <c r="AU83" i="8"/>
  <c r="AU329" i="8"/>
  <c r="AU330" i="8"/>
  <c r="AU367" i="8"/>
  <c r="AT81" i="8"/>
  <c r="AT82" i="8"/>
  <c r="AT83" i="8"/>
  <c r="AT329" i="8"/>
  <c r="AT330" i="8"/>
  <c r="AT367" i="8"/>
  <c r="AS81" i="8"/>
  <c r="AS82" i="8"/>
  <c r="AS83" i="8"/>
  <c r="AS329" i="8"/>
  <c r="AS330" i="8"/>
  <c r="AS367" i="8"/>
  <c r="AR81" i="8"/>
  <c r="AR82" i="8"/>
  <c r="AR83" i="8"/>
  <c r="AR329" i="8"/>
  <c r="AR330" i="8"/>
  <c r="AR367" i="8"/>
  <c r="AQ81" i="8"/>
  <c r="AQ82" i="8"/>
  <c r="AQ83" i="8"/>
  <c r="AQ329" i="8"/>
  <c r="AQ330" i="8"/>
  <c r="AQ367" i="8"/>
  <c r="AP81" i="8"/>
  <c r="AP82" i="8"/>
  <c r="AP83" i="8"/>
  <c r="AP329" i="8"/>
  <c r="AP330" i="8"/>
  <c r="AP367" i="8"/>
  <c r="AO81" i="8"/>
  <c r="AO82" i="8"/>
  <c r="AO83" i="8"/>
  <c r="AO329" i="8"/>
  <c r="AO330" i="8"/>
  <c r="AO367" i="8"/>
  <c r="AN81" i="8"/>
  <c r="AN82" i="8"/>
  <c r="AN83" i="8"/>
  <c r="AN329" i="8"/>
  <c r="AN330" i="8"/>
  <c r="AN367" i="8"/>
  <c r="AM81" i="8"/>
  <c r="AM82" i="8"/>
  <c r="AM83" i="8"/>
  <c r="AM329" i="8"/>
  <c r="AM330" i="8"/>
  <c r="AM367" i="8"/>
  <c r="AL81" i="8"/>
  <c r="AL82" i="8"/>
  <c r="AL83" i="8"/>
  <c r="AL329" i="8"/>
  <c r="AL330" i="8"/>
  <c r="AL367" i="8"/>
  <c r="AK81" i="8"/>
  <c r="AK82" i="8"/>
  <c r="AK83" i="8"/>
  <c r="AK329" i="8"/>
  <c r="AK330" i="8"/>
  <c r="AK367" i="8"/>
  <c r="AJ81" i="8"/>
  <c r="AJ82" i="8"/>
  <c r="AJ83" i="8"/>
  <c r="AJ329" i="8"/>
  <c r="AJ330" i="8"/>
  <c r="AJ367" i="8"/>
  <c r="AI81" i="8"/>
  <c r="AI82" i="8"/>
  <c r="AI83" i="8"/>
  <c r="AI329" i="8"/>
  <c r="AI330" i="8"/>
  <c r="AI367" i="8"/>
  <c r="AH81" i="8"/>
  <c r="AH82" i="8"/>
  <c r="AH83" i="8"/>
  <c r="AH329" i="8"/>
  <c r="AH330" i="8"/>
  <c r="AH367" i="8"/>
  <c r="AG81" i="8"/>
  <c r="AG82" i="8"/>
  <c r="AG83" i="8"/>
  <c r="AG329" i="8"/>
  <c r="AG330" i="8"/>
  <c r="AG367" i="8"/>
  <c r="AF81" i="8"/>
  <c r="AF82" i="8"/>
  <c r="AF83" i="8"/>
  <c r="AF329" i="8"/>
  <c r="AF330" i="8"/>
  <c r="AF367" i="8"/>
  <c r="AE81" i="8"/>
  <c r="AE82" i="8"/>
  <c r="AE83" i="8"/>
  <c r="AE329" i="8"/>
  <c r="AE330" i="8"/>
  <c r="AE367" i="8"/>
  <c r="AD81" i="8"/>
  <c r="AD82" i="8"/>
  <c r="AD83" i="8"/>
  <c r="AD329" i="8"/>
  <c r="AD330" i="8"/>
  <c r="AD367" i="8"/>
  <c r="AC81" i="8"/>
  <c r="AC82" i="8"/>
  <c r="AC83" i="8"/>
  <c r="AC329" i="8"/>
  <c r="AC330" i="8"/>
  <c r="AC367" i="8"/>
  <c r="AB81" i="8"/>
  <c r="AB82" i="8"/>
  <c r="AB83" i="8"/>
  <c r="AB329" i="8"/>
  <c r="AB330" i="8"/>
  <c r="AB367" i="8"/>
  <c r="AA81" i="8"/>
  <c r="AA82" i="8"/>
  <c r="AA83" i="8"/>
  <c r="AA329" i="8"/>
  <c r="AA330" i="8"/>
  <c r="AA367" i="8"/>
  <c r="Z81" i="8"/>
  <c r="Z82" i="8"/>
  <c r="Z83" i="8"/>
  <c r="Z329" i="8"/>
  <c r="Z330" i="8"/>
  <c r="Z367" i="8"/>
  <c r="Y81" i="8"/>
  <c r="Y82" i="8"/>
  <c r="Y83" i="8"/>
  <c r="Y329" i="8"/>
  <c r="Y330" i="8"/>
  <c r="Y367" i="8"/>
  <c r="X81" i="8"/>
  <c r="X82" i="8"/>
  <c r="X83" i="8"/>
  <c r="X329" i="8"/>
  <c r="X330" i="8"/>
  <c r="X367" i="8"/>
  <c r="W81" i="8"/>
  <c r="W82" i="8"/>
  <c r="W83" i="8"/>
  <c r="W329" i="8"/>
  <c r="W330" i="8"/>
  <c r="W367" i="8"/>
  <c r="V81" i="8"/>
  <c r="V82" i="8"/>
  <c r="V83" i="8"/>
  <c r="V329" i="8"/>
  <c r="V330" i="8"/>
  <c r="V367" i="8"/>
  <c r="U81" i="8"/>
  <c r="U82" i="8"/>
  <c r="U83" i="8"/>
  <c r="U329" i="8"/>
  <c r="U330" i="8"/>
  <c r="U367" i="8"/>
  <c r="T81" i="8"/>
  <c r="T82" i="8"/>
  <c r="T83" i="8"/>
  <c r="T329" i="8"/>
  <c r="T330" i="8"/>
  <c r="T367" i="8"/>
  <c r="S81" i="8"/>
  <c r="S82" i="8"/>
  <c r="S83" i="8"/>
  <c r="S329" i="8"/>
  <c r="S330" i="8"/>
  <c r="S367" i="8"/>
  <c r="R81" i="8"/>
  <c r="R82" i="8"/>
  <c r="R83" i="8"/>
  <c r="R329" i="8"/>
  <c r="R330" i="8"/>
  <c r="R367" i="8"/>
  <c r="Q81" i="8"/>
  <c r="Q82" i="8"/>
  <c r="Q83" i="8"/>
  <c r="Q329" i="8"/>
  <c r="Q330" i="8"/>
  <c r="Q367" i="8"/>
  <c r="P81" i="8"/>
  <c r="P82" i="8"/>
  <c r="P83" i="8"/>
  <c r="P329" i="8"/>
  <c r="P330" i="8"/>
  <c r="P367" i="8"/>
  <c r="O81" i="8"/>
  <c r="O82" i="8"/>
  <c r="O83" i="8"/>
  <c r="O329" i="8"/>
  <c r="O330" i="8"/>
  <c r="O367" i="8"/>
  <c r="N81" i="8"/>
  <c r="N82" i="8"/>
  <c r="N83" i="8"/>
  <c r="N329" i="8"/>
  <c r="N330" i="8"/>
  <c r="N367" i="8"/>
  <c r="M81" i="8"/>
  <c r="M82" i="8"/>
  <c r="M83" i="8"/>
  <c r="M329" i="8"/>
  <c r="M330" i="8"/>
  <c r="M367" i="8"/>
  <c r="L81" i="8"/>
  <c r="L82" i="8"/>
  <c r="L83" i="8"/>
  <c r="L329" i="8"/>
  <c r="L330" i="8"/>
  <c r="L367" i="8"/>
  <c r="K81" i="8"/>
  <c r="K82" i="8"/>
  <c r="K83" i="8"/>
  <c r="K329" i="8"/>
  <c r="K330" i="8"/>
  <c r="K367" i="8"/>
  <c r="J81" i="8"/>
  <c r="J82" i="8"/>
  <c r="J83" i="8"/>
  <c r="J329" i="8"/>
  <c r="J330" i="8"/>
  <c r="J367" i="8"/>
  <c r="I81" i="8"/>
  <c r="I82" i="8"/>
  <c r="I83" i="8"/>
  <c r="I329" i="8"/>
  <c r="I330" i="8"/>
  <c r="I367" i="8"/>
  <c r="H81" i="8"/>
  <c r="H82" i="8"/>
  <c r="H83" i="8"/>
  <c r="H329" i="8"/>
  <c r="H330" i="8"/>
  <c r="H367" i="8"/>
  <c r="G81" i="8"/>
  <c r="G82" i="8"/>
  <c r="G83" i="8"/>
  <c r="G329" i="8"/>
  <c r="G330" i="8"/>
  <c r="G367" i="8"/>
  <c r="F81" i="8"/>
  <c r="F82" i="8"/>
  <c r="F83" i="8"/>
  <c r="F329" i="8"/>
  <c r="F330" i="8"/>
  <c r="F367" i="8"/>
  <c r="AU92" i="8"/>
  <c r="AU93" i="8"/>
  <c r="AU94" i="8"/>
  <c r="AU327" i="8"/>
  <c r="AU328" i="8"/>
  <c r="AU366" i="8"/>
  <c r="AT92" i="8"/>
  <c r="AT93" i="8"/>
  <c r="AT94" i="8"/>
  <c r="AT327" i="8"/>
  <c r="AT328" i="8"/>
  <c r="AT366" i="8"/>
  <c r="AS92" i="8"/>
  <c r="AS93" i="8"/>
  <c r="AS94" i="8"/>
  <c r="AS327" i="8"/>
  <c r="AS328" i="8"/>
  <c r="AS366" i="8"/>
  <c r="AR92" i="8"/>
  <c r="AR93" i="8"/>
  <c r="AR94" i="8"/>
  <c r="AR327" i="8"/>
  <c r="AR328" i="8"/>
  <c r="AR366" i="8"/>
  <c r="AQ92" i="8"/>
  <c r="AQ93" i="8"/>
  <c r="AQ94" i="8"/>
  <c r="AQ327" i="8"/>
  <c r="AQ328" i="8"/>
  <c r="AQ366" i="8"/>
  <c r="AP92" i="8"/>
  <c r="AP93" i="8"/>
  <c r="AP94" i="8"/>
  <c r="AP327" i="8"/>
  <c r="AP328" i="8"/>
  <c r="AP366" i="8"/>
  <c r="AO92" i="8"/>
  <c r="AO93" i="8"/>
  <c r="AO94" i="8"/>
  <c r="AO327" i="8"/>
  <c r="AO328" i="8"/>
  <c r="AO366" i="8"/>
  <c r="AN92" i="8"/>
  <c r="AN93" i="8"/>
  <c r="AN94" i="8"/>
  <c r="AN327" i="8"/>
  <c r="AN328" i="8"/>
  <c r="AN366" i="8"/>
  <c r="AM92" i="8"/>
  <c r="AM93" i="8"/>
  <c r="AM94" i="8"/>
  <c r="AM327" i="8"/>
  <c r="AM328" i="8"/>
  <c r="AM366" i="8"/>
  <c r="AL92" i="8"/>
  <c r="AL93" i="8"/>
  <c r="AL94" i="8"/>
  <c r="AL327" i="8"/>
  <c r="AL328" i="8"/>
  <c r="AL366" i="8"/>
  <c r="AK92" i="8"/>
  <c r="AK93" i="8"/>
  <c r="AK94" i="8"/>
  <c r="AK327" i="8"/>
  <c r="AK328" i="8"/>
  <c r="AK366" i="8"/>
  <c r="AJ92" i="8"/>
  <c r="AJ93" i="8"/>
  <c r="AJ94" i="8"/>
  <c r="AJ327" i="8"/>
  <c r="AJ328" i="8"/>
  <c r="AJ366" i="8"/>
  <c r="AI92" i="8"/>
  <c r="AI93" i="8"/>
  <c r="AI94" i="8"/>
  <c r="AI327" i="8"/>
  <c r="AI328" i="8"/>
  <c r="AI366" i="8"/>
  <c r="AH92" i="8"/>
  <c r="AH93" i="8"/>
  <c r="AH94" i="8"/>
  <c r="AH327" i="8"/>
  <c r="AH328" i="8"/>
  <c r="AH366" i="8"/>
  <c r="AG92" i="8"/>
  <c r="AG93" i="8"/>
  <c r="AG94" i="8"/>
  <c r="AG327" i="8"/>
  <c r="AG328" i="8"/>
  <c r="AG366" i="8"/>
  <c r="AF92" i="8"/>
  <c r="AF93" i="8"/>
  <c r="AF94" i="8"/>
  <c r="AF327" i="8"/>
  <c r="AF328" i="8"/>
  <c r="AF366" i="8"/>
  <c r="AE92" i="8"/>
  <c r="AE93" i="8"/>
  <c r="AE94" i="8"/>
  <c r="AE327" i="8"/>
  <c r="AE328" i="8"/>
  <c r="AE366" i="8"/>
  <c r="AD92" i="8"/>
  <c r="AD93" i="8"/>
  <c r="AD94" i="8"/>
  <c r="AD327" i="8"/>
  <c r="AD328" i="8"/>
  <c r="AD366" i="8"/>
  <c r="AC92" i="8"/>
  <c r="AC93" i="8"/>
  <c r="AC94" i="8"/>
  <c r="AC327" i="8"/>
  <c r="AC328" i="8"/>
  <c r="AC366" i="8"/>
  <c r="AB92" i="8"/>
  <c r="AB93" i="8"/>
  <c r="AB94" i="8"/>
  <c r="AB327" i="8"/>
  <c r="AB328" i="8"/>
  <c r="AB366" i="8"/>
  <c r="AA92" i="8"/>
  <c r="AA93" i="8"/>
  <c r="AA94" i="8"/>
  <c r="AA327" i="8"/>
  <c r="AA328" i="8"/>
  <c r="AA366" i="8"/>
  <c r="Z92" i="8"/>
  <c r="Z93" i="8"/>
  <c r="Z94" i="8"/>
  <c r="Z327" i="8"/>
  <c r="Z328" i="8"/>
  <c r="Z366" i="8"/>
  <c r="Y92" i="8"/>
  <c r="Y93" i="8"/>
  <c r="Y94" i="8"/>
  <c r="Y327" i="8"/>
  <c r="Y328" i="8"/>
  <c r="Y366" i="8"/>
  <c r="X92" i="8"/>
  <c r="X93" i="8"/>
  <c r="X94" i="8"/>
  <c r="X327" i="8"/>
  <c r="X328" i="8"/>
  <c r="X366" i="8"/>
  <c r="W92" i="8"/>
  <c r="W93" i="8"/>
  <c r="W94" i="8"/>
  <c r="W327" i="8"/>
  <c r="W328" i="8"/>
  <c r="W366" i="8"/>
  <c r="V92" i="8"/>
  <c r="V93" i="8"/>
  <c r="V94" i="8"/>
  <c r="V327" i="8"/>
  <c r="V328" i="8"/>
  <c r="V366" i="8"/>
  <c r="U92" i="8"/>
  <c r="U93" i="8"/>
  <c r="U94" i="8"/>
  <c r="U327" i="8"/>
  <c r="U328" i="8"/>
  <c r="U366" i="8"/>
  <c r="T92" i="8"/>
  <c r="T93" i="8"/>
  <c r="T94" i="8"/>
  <c r="T327" i="8"/>
  <c r="T328" i="8"/>
  <c r="T366" i="8"/>
  <c r="S92" i="8"/>
  <c r="S93" i="8"/>
  <c r="S94" i="8"/>
  <c r="S327" i="8"/>
  <c r="S328" i="8"/>
  <c r="S366" i="8"/>
  <c r="R92" i="8"/>
  <c r="R93" i="8"/>
  <c r="R94" i="8"/>
  <c r="R327" i="8"/>
  <c r="R328" i="8"/>
  <c r="R366" i="8"/>
  <c r="Q92" i="8"/>
  <c r="Q93" i="8"/>
  <c r="Q94" i="8"/>
  <c r="Q327" i="8"/>
  <c r="Q328" i="8"/>
  <c r="Q366" i="8"/>
  <c r="P92" i="8"/>
  <c r="P93" i="8"/>
  <c r="P94" i="8"/>
  <c r="P327" i="8"/>
  <c r="P328" i="8"/>
  <c r="P366" i="8"/>
  <c r="O92" i="8"/>
  <c r="O93" i="8"/>
  <c r="O94" i="8"/>
  <c r="O327" i="8"/>
  <c r="O328" i="8"/>
  <c r="O366" i="8"/>
  <c r="N92" i="8"/>
  <c r="N93" i="8"/>
  <c r="N94" i="8"/>
  <c r="N327" i="8"/>
  <c r="N328" i="8"/>
  <c r="N366" i="8"/>
  <c r="M92" i="8"/>
  <c r="M93" i="8"/>
  <c r="M94" i="8"/>
  <c r="M327" i="8"/>
  <c r="M328" i="8"/>
  <c r="M366" i="8"/>
  <c r="L92" i="8"/>
  <c r="L93" i="8"/>
  <c r="L94" i="8"/>
  <c r="L327" i="8"/>
  <c r="L328" i="8"/>
  <c r="L366" i="8"/>
  <c r="K92" i="8"/>
  <c r="K93" i="8"/>
  <c r="K94" i="8"/>
  <c r="K327" i="8"/>
  <c r="K328" i="8"/>
  <c r="K366" i="8"/>
  <c r="J92" i="8"/>
  <c r="J93" i="8"/>
  <c r="J94" i="8"/>
  <c r="J327" i="8"/>
  <c r="J328" i="8"/>
  <c r="J366" i="8"/>
  <c r="I92" i="8"/>
  <c r="I93" i="8"/>
  <c r="I94" i="8"/>
  <c r="I327" i="8"/>
  <c r="I328" i="8"/>
  <c r="I366" i="8"/>
  <c r="H92" i="8"/>
  <c r="H93" i="8"/>
  <c r="H94" i="8"/>
  <c r="H327" i="8"/>
  <c r="H328" i="8"/>
  <c r="H366" i="8"/>
  <c r="G92" i="8"/>
  <c r="G93" i="8"/>
  <c r="G94" i="8"/>
  <c r="G327" i="8"/>
  <c r="G328" i="8"/>
  <c r="G366" i="8"/>
  <c r="F92" i="8"/>
  <c r="F93" i="8"/>
  <c r="F94" i="8"/>
  <c r="F327" i="8"/>
  <c r="F328" i="8"/>
  <c r="F366" i="8"/>
  <c r="AU89" i="8"/>
  <c r="AU90" i="8"/>
  <c r="AU91" i="8"/>
  <c r="AU325" i="8"/>
  <c r="AU326" i="8"/>
  <c r="AU365" i="8"/>
  <c r="AT89" i="8"/>
  <c r="AT90" i="8"/>
  <c r="AT91" i="8"/>
  <c r="AT325" i="8"/>
  <c r="AT326" i="8"/>
  <c r="AT365" i="8"/>
  <c r="AS89" i="8"/>
  <c r="AS90" i="8"/>
  <c r="AS91" i="8"/>
  <c r="AS325" i="8"/>
  <c r="AS326" i="8"/>
  <c r="AS365" i="8"/>
  <c r="AR89" i="8"/>
  <c r="AR90" i="8"/>
  <c r="AR91" i="8"/>
  <c r="AR325" i="8"/>
  <c r="AR326" i="8"/>
  <c r="AR365" i="8"/>
  <c r="AQ89" i="8"/>
  <c r="AQ90" i="8"/>
  <c r="AQ91" i="8"/>
  <c r="AQ325" i="8"/>
  <c r="AQ326" i="8"/>
  <c r="AQ365" i="8"/>
  <c r="AP89" i="8"/>
  <c r="AP90" i="8"/>
  <c r="AP91" i="8"/>
  <c r="AP325" i="8"/>
  <c r="AP326" i="8"/>
  <c r="AP365" i="8"/>
  <c r="AO89" i="8"/>
  <c r="AO90" i="8"/>
  <c r="AO91" i="8"/>
  <c r="AO325" i="8"/>
  <c r="AO326" i="8"/>
  <c r="AO365" i="8"/>
  <c r="AN89" i="8"/>
  <c r="AN90" i="8"/>
  <c r="AN91" i="8"/>
  <c r="AN325" i="8"/>
  <c r="AN326" i="8"/>
  <c r="AN365" i="8"/>
  <c r="AM89" i="8"/>
  <c r="AM90" i="8"/>
  <c r="AM91" i="8"/>
  <c r="AM325" i="8"/>
  <c r="AM326" i="8"/>
  <c r="AM365" i="8"/>
  <c r="AL89" i="8"/>
  <c r="AL90" i="8"/>
  <c r="AL91" i="8"/>
  <c r="AL325" i="8"/>
  <c r="AL326" i="8"/>
  <c r="AL365" i="8"/>
  <c r="AK89" i="8"/>
  <c r="AK90" i="8"/>
  <c r="AK91" i="8"/>
  <c r="AK325" i="8"/>
  <c r="AK326" i="8"/>
  <c r="AK365" i="8"/>
  <c r="AJ89" i="8"/>
  <c r="AJ90" i="8"/>
  <c r="AJ91" i="8"/>
  <c r="AJ325" i="8"/>
  <c r="AJ326" i="8"/>
  <c r="AJ365" i="8"/>
  <c r="AI89" i="8"/>
  <c r="AI90" i="8"/>
  <c r="AI91" i="8"/>
  <c r="AI325" i="8"/>
  <c r="AI326" i="8"/>
  <c r="AI365" i="8"/>
  <c r="AH89" i="8"/>
  <c r="AH90" i="8"/>
  <c r="AH91" i="8"/>
  <c r="AH325" i="8"/>
  <c r="AH326" i="8"/>
  <c r="AH365" i="8"/>
  <c r="AG89" i="8"/>
  <c r="AG90" i="8"/>
  <c r="AG91" i="8"/>
  <c r="AG325" i="8"/>
  <c r="AG326" i="8"/>
  <c r="AG365" i="8"/>
  <c r="AF89" i="8"/>
  <c r="AF90" i="8"/>
  <c r="AF91" i="8"/>
  <c r="AF325" i="8"/>
  <c r="AF326" i="8"/>
  <c r="AF365" i="8"/>
  <c r="AE89" i="8"/>
  <c r="AE90" i="8"/>
  <c r="AE91" i="8"/>
  <c r="AE325" i="8"/>
  <c r="AE326" i="8"/>
  <c r="AE365" i="8"/>
  <c r="AD89" i="8"/>
  <c r="AD90" i="8"/>
  <c r="AD91" i="8"/>
  <c r="AD325" i="8"/>
  <c r="AD326" i="8"/>
  <c r="AD365" i="8"/>
  <c r="AC89" i="8"/>
  <c r="AC90" i="8"/>
  <c r="AC91" i="8"/>
  <c r="AC325" i="8"/>
  <c r="AC326" i="8"/>
  <c r="AC365" i="8"/>
  <c r="AB89" i="8"/>
  <c r="AB90" i="8"/>
  <c r="AB91" i="8"/>
  <c r="AB325" i="8"/>
  <c r="AB326" i="8"/>
  <c r="AB365" i="8"/>
  <c r="AA89" i="8"/>
  <c r="AA90" i="8"/>
  <c r="AA91" i="8"/>
  <c r="AA325" i="8"/>
  <c r="AA326" i="8"/>
  <c r="AA365" i="8"/>
  <c r="Z89" i="8"/>
  <c r="Z90" i="8"/>
  <c r="Z91" i="8"/>
  <c r="Z325" i="8"/>
  <c r="Z326" i="8"/>
  <c r="Z365" i="8"/>
  <c r="Y89" i="8"/>
  <c r="Y90" i="8"/>
  <c r="Y91" i="8"/>
  <c r="Y325" i="8"/>
  <c r="Y326" i="8"/>
  <c r="Y365" i="8"/>
  <c r="X89" i="8"/>
  <c r="X90" i="8"/>
  <c r="X91" i="8"/>
  <c r="X325" i="8"/>
  <c r="X326" i="8"/>
  <c r="X365" i="8"/>
  <c r="W89" i="8"/>
  <c r="W90" i="8"/>
  <c r="W91" i="8"/>
  <c r="W325" i="8"/>
  <c r="W326" i="8"/>
  <c r="W365" i="8"/>
  <c r="V89" i="8"/>
  <c r="V90" i="8"/>
  <c r="V91" i="8"/>
  <c r="V325" i="8"/>
  <c r="V326" i="8"/>
  <c r="V365" i="8"/>
  <c r="U89" i="8"/>
  <c r="U90" i="8"/>
  <c r="U91" i="8"/>
  <c r="U325" i="8"/>
  <c r="U326" i="8"/>
  <c r="U365" i="8"/>
  <c r="T89" i="8"/>
  <c r="T90" i="8"/>
  <c r="T91" i="8"/>
  <c r="T325" i="8"/>
  <c r="T326" i="8"/>
  <c r="T365" i="8"/>
  <c r="S89" i="8"/>
  <c r="S90" i="8"/>
  <c r="S91" i="8"/>
  <c r="S325" i="8"/>
  <c r="S326" i="8"/>
  <c r="S365" i="8"/>
  <c r="R89" i="8"/>
  <c r="R90" i="8"/>
  <c r="R91" i="8"/>
  <c r="R325" i="8"/>
  <c r="R326" i="8"/>
  <c r="R365" i="8"/>
  <c r="Q89" i="8"/>
  <c r="Q90" i="8"/>
  <c r="Q91" i="8"/>
  <c r="Q325" i="8"/>
  <c r="Q326" i="8"/>
  <c r="Q365" i="8"/>
  <c r="P89" i="8"/>
  <c r="P90" i="8"/>
  <c r="P91" i="8"/>
  <c r="P325" i="8"/>
  <c r="P326" i="8"/>
  <c r="P365" i="8"/>
  <c r="O89" i="8"/>
  <c r="O90" i="8"/>
  <c r="O91" i="8"/>
  <c r="O325" i="8"/>
  <c r="O326" i="8"/>
  <c r="O365" i="8"/>
  <c r="N89" i="8"/>
  <c r="N90" i="8"/>
  <c r="N91" i="8"/>
  <c r="N325" i="8"/>
  <c r="N326" i="8"/>
  <c r="N365" i="8"/>
  <c r="M89" i="8"/>
  <c r="M90" i="8"/>
  <c r="M91" i="8"/>
  <c r="M325" i="8"/>
  <c r="M326" i="8"/>
  <c r="M365" i="8"/>
  <c r="L89" i="8"/>
  <c r="L90" i="8"/>
  <c r="L91" i="8"/>
  <c r="L325" i="8"/>
  <c r="L326" i="8"/>
  <c r="L365" i="8"/>
  <c r="K89" i="8"/>
  <c r="K90" i="8"/>
  <c r="K91" i="8"/>
  <c r="K325" i="8"/>
  <c r="K326" i="8"/>
  <c r="K365" i="8"/>
  <c r="J89" i="8"/>
  <c r="J90" i="8"/>
  <c r="J91" i="8"/>
  <c r="J325" i="8"/>
  <c r="J326" i="8"/>
  <c r="J365" i="8"/>
  <c r="I89" i="8"/>
  <c r="I90" i="8"/>
  <c r="I91" i="8"/>
  <c r="I325" i="8"/>
  <c r="I326" i="8"/>
  <c r="I365" i="8"/>
  <c r="H89" i="8"/>
  <c r="H90" i="8"/>
  <c r="H91" i="8"/>
  <c r="H325" i="8"/>
  <c r="H326" i="8"/>
  <c r="H365" i="8"/>
  <c r="G89" i="8"/>
  <c r="G90" i="8"/>
  <c r="G91" i="8"/>
  <c r="G325" i="8"/>
  <c r="G326" i="8"/>
  <c r="G365" i="8"/>
  <c r="F89" i="8"/>
  <c r="F90" i="8"/>
  <c r="F91" i="8"/>
  <c r="F325" i="8"/>
  <c r="F326" i="8"/>
  <c r="F365" i="8"/>
  <c r="AU84" i="8"/>
  <c r="AU85" i="8"/>
  <c r="AU86" i="8"/>
  <c r="AU87" i="8"/>
  <c r="AU88" i="8"/>
  <c r="AU323" i="8"/>
  <c r="AU324" i="8"/>
  <c r="AU364" i="8"/>
  <c r="AT84" i="8"/>
  <c r="AT85" i="8"/>
  <c r="AT86" i="8"/>
  <c r="AT87" i="8"/>
  <c r="AT88" i="8"/>
  <c r="AT323" i="8"/>
  <c r="AT324" i="8"/>
  <c r="AT364" i="8"/>
  <c r="AS84" i="8"/>
  <c r="AS85" i="8"/>
  <c r="AS86" i="8"/>
  <c r="AS87" i="8"/>
  <c r="AS88" i="8"/>
  <c r="AS323" i="8"/>
  <c r="AS324" i="8"/>
  <c r="AS364" i="8"/>
  <c r="AR84" i="8"/>
  <c r="AR85" i="8"/>
  <c r="AR86" i="8"/>
  <c r="AR87" i="8"/>
  <c r="AR88" i="8"/>
  <c r="AR323" i="8"/>
  <c r="AR324" i="8"/>
  <c r="AR364" i="8"/>
  <c r="AQ84" i="8"/>
  <c r="AQ85" i="8"/>
  <c r="AQ86" i="8"/>
  <c r="AQ87" i="8"/>
  <c r="AQ88" i="8"/>
  <c r="AQ323" i="8"/>
  <c r="AQ324" i="8"/>
  <c r="AQ364" i="8"/>
  <c r="AP84" i="8"/>
  <c r="AP85" i="8"/>
  <c r="AP86" i="8"/>
  <c r="AP87" i="8"/>
  <c r="AP88" i="8"/>
  <c r="AP323" i="8"/>
  <c r="AP324" i="8"/>
  <c r="AP364" i="8"/>
  <c r="AO84" i="8"/>
  <c r="AO85" i="8"/>
  <c r="AO86" i="8"/>
  <c r="AO87" i="8"/>
  <c r="AO88" i="8"/>
  <c r="AO323" i="8"/>
  <c r="AO324" i="8"/>
  <c r="AO364" i="8"/>
  <c r="AN84" i="8"/>
  <c r="AN85" i="8"/>
  <c r="AN86" i="8"/>
  <c r="AN87" i="8"/>
  <c r="AN88" i="8"/>
  <c r="AN323" i="8"/>
  <c r="AN324" i="8"/>
  <c r="AN364" i="8"/>
  <c r="AM84" i="8"/>
  <c r="AM85" i="8"/>
  <c r="AM86" i="8"/>
  <c r="AM87" i="8"/>
  <c r="AM88" i="8"/>
  <c r="AM323" i="8"/>
  <c r="AM324" i="8"/>
  <c r="AM364" i="8"/>
  <c r="AL84" i="8"/>
  <c r="AL85" i="8"/>
  <c r="AL86" i="8"/>
  <c r="AL87" i="8"/>
  <c r="AL88" i="8"/>
  <c r="AL323" i="8"/>
  <c r="AL324" i="8"/>
  <c r="AL364" i="8"/>
  <c r="AK84" i="8"/>
  <c r="AK85" i="8"/>
  <c r="AK86" i="8"/>
  <c r="AK87" i="8"/>
  <c r="AK88" i="8"/>
  <c r="AK323" i="8"/>
  <c r="AK324" i="8"/>
  <c r="AK364" i="8"/>
  <c r="AJ84" i="8"/>
  <c r="AJ85" i="8"/>
  <c r="AJ86" i="8"/>
  <c r="AJ87" i="8"/>
  <c r="AJ88" i="8"/>
  <c r="AJ323" i="8"/>
  <c r="AJ324" i="8"/>
  <c r="AJ364" i="8"/>
  <c r="AI84" i="8"/>
  <c r="AI85" i="8"/>
  <c r="AI86" i="8"/>
  <c r="AI87" i="8"/>
  <c r="AI88" i="8"/>
  <c r="AI323" i="8"/>
  <c r="AI324" i="8"/>
  <c r="AI364" i="8"/>
  <c r="AH84" i="8"/>
  <c r="AH85" i="8"/>
  <c r="AH86" i="8"/>
  <c r="AH87" i="8"/>
  <c r="AH88" i="8"/>
  <c r="AH323" i="8"/>
  <c r="AH324" i="8"/>
  <c r="AH364" i="8"/>
  <c r="AG84" i="8"/>
  <c r="AG85" i="8"/>
  <c r="AG86" i="8"/>
  <c r="AG87" i="8"/>
  <c r="AG88" i="8"/>
  <c r="AG323" i="8"/>
  <c r="AG324" i="8"/>
  <c r="AG364" i="8"/>
  <c r="AF84" i="8"/>
  <c r="AF85" i="8"/>
  <c r="AF86" i="8"/>
  <c r="AF87" i="8"/>
  <c r="AF88" i="8"/>
  <c r="AF323" i="8"/>
  <c r="AF324" i="8"/>
  <c r="AF364" i="8"/>
  <c r="AE84" i="8"/>
  <c r="AE85" i="8"/>
  <c r="AE86" i="8"/>
  <c r="AE87" i="8"/>
  <c r="AE88" i="8"/>
  <c r="AE323" i="8"/>
  <c r="AE324" i="8"/>
  <c r="AE364" i="8"/>
  <c r="AD84" i="8"/>
  <c r="AD85" i="8"/>
  <c r="AD86" i="8"/>
  <c r="AD87" i="8"/>
  <c r="AD88" i="8"/>
  <c r="AD323" i="8"/>
  <c r="AD324" i="8"/>
  <c r="AD364" i="8"/>
  <c r="AC84" i="8"/>
  <c r="AC85" i="8"/>
  <c r="AC86" i="8"/>
  <c r="AC87" i="8"/>
  <c r="AC88" i="8"/>
  <c r="AC323" i="8"/>
  <c r="AC324" i="8"/>
  <c r="AC364" i="8"/>
  <c r="AB84" i="8"/>
  <c r="AB85" i="8"/>
  <c r="AB86" i="8"/>
  <c r="AB87" i="8"/>
  <c r="AB88" i="8"/>
  <c r="AB323" i="8"/>
  <c r="AB324" i="8"/>
  <c r="AB364" i="8"/>
  <c r="AA84" i="8"/>
  <c r="AA85" i="8"/>
  <c r="AA86" i="8"/>
  <c r="AA87" i="8"/>
  <c r="AA88" i="8"/>
  <c r="AA323" i="8"/>
  <c r="AA324" i="8"/>
  <c r="AA364" i="8"/>
  <c r="Z84" i="8"/>
  <c r="Z85" i="8"/>
  <c r="Z86" i="8"/>
  <c r="Z87" i="8"/>
  <c r="Z88" i="8"/>
  <c r="Z323" i="8"/>
  <c r="Z324" i="8"/>
  <c r="Z364" i="8"/>
  <c r="Y84" i="8"/>
  <c r="Y85" i="8"/>
  <c r="Y86" i="8"/>
  <c r="Y87" i="8"/>
  <c r="Y88" i="8"/>
  <c r="Y323" i="8"/>
  <c r="Y324" i="8"/>
  <c r="Y364" i="8"/>
  <c r="X84" i="8"/>
  <c r="X85" i="8"/>
  <c r="X86" i="8"/>
  <c r="X87" i="8"/>
  <c r="X88" i="8"/>
  <c r="X323" i="8"/>
  <c r="X324" i="8"/>
  <c r="X364" i="8"/>
  <c r="W84" i="8"/>
  <c r="W85" i="8"/>
  <c r="W86" i="8"/>
  <c r="W87" i="8"/>
  <c r="W88" i="8"/>
  <c r="W323" i="8"/>
  <c r="W324" i="8"/>
  <c r="W364" i="8"/>
  <c r="V84" i="8"/>
  <c r="V85" i="8"/>
  <c r="V86" i="8"/>
  <c r="V87" i="8"/>
  <c r="V88" i="8"/>
  <c r="V323" i="8"/>
  <c r="V324" i="8"/>
  <c r="V364" i="8"/>
  <c r="U84" i="8"/>
  <c r="U85" i="8"/>
  <c r="U86" i="8"/>
  <c r="U87" i="8"/>
  <c r="U88" i="8"/>
  <c r="U323" i="8"/>
  <c r="U324" i="8"/>
  <c r="U364" i="8"/>
  <c r="T84" i="8"/>
  <c r="T85" i="8"/>
  <c r="T86" i="8"/>
  <c r="T87" i="8"/>
  <c r="T88" i="8"/>
  <c r="T323" i="8"/>
  <c r="T324" i="8"/>
  <c r="T364" i="8"/>
  <c r="S84" i="8"/>
  <c r="S85" i="8"/>
  <c r="S86" i="8"/>
  <c r="S87" i="8"/>
  <c r="S88" i="8"/>
  <c r="S323" i="8"/>
  <c r="S324" i="8"/>
  <c r="S364" i="8"/>
  <c r="R84" i="8"/>
  <c r="R85" i="8"/>
  <c r="R86" i="8"/>
  <c r="R87" i="8"/>
  <c r="R88" i="8"/>
  <c r="R323" i="8"/>
  <c r="R324" i="8"/>
  <c r="R364" i="8"/>
  <c r="Q84" i="8"/>
  <c r="Q85" i="8"/>
  <c r="Q86" i="8"/>
  <c r="Q87" i="8"/>
  <c r="Q88" i="8"/>
  <c r="Q323" i="8"/>
  <c r="Q324" i="8"/>
  <c r="Q364" i="8"/>
  <c r="P84" i="8"/>
  <c r="P85" i="8"/>
  <c r="P86" i="8"/>
  <c r="P87" i="8"/>
  <c r="P88" i="8"/>
  <c r="P323" i="8"/>
  <c r="P324" i="8"/>
  <c r="P364" i="8"/>
  <c r="O84" i="8"/>
  <c r="O85" i="8"/>
  <c r="O86" i="8"/>
  <c r="O87" i="8"/>
  <c r="O88" i="8"/>
  <c r="O323" i="8"/>
  <c r="O324" i="8"/>
  <c r="O364" i="8"/>
  <c r="N84" i="8"/>
  <c r="N85" i="8"/>
  <c r="N86" i="8"/>
  <c r="N87" i="8"/>
  <c r="N88" i="8"/>
  <c r="N323" i="8"/>
  <c r="N324" i="8"/>
  <c r="N364" i="8"/>
  <c r="M84" i="8"/>
  <c r="M85" i="8"/>
  <c r="M86" i="8"/>
  <c r="M87" i="8"/>
  <c r="M88" i="8"/>
  <c r="M323" i="8"/>
  <c r="M324" i="8"/>
  <c r="M364" i="8"/>
  <c r="L84" i="8"/>
  <c r="L85" i="8"/>
  <c r="L86" i="8"/>
  <c r="L87" i="8"/>
  <c r="L88" i="8"/>
  <c r="L323" i="8"/>
  <c r="L324" i="8"/>
  <c r="L364" i="8"/>
  <c r="K84" i="8"/>
  <c r="K85" i="8"/>
  <c r="K86" i="8"/>
  <c r="K87" i="8"/>
  <c r="K88" i="8"/>
  <c r="K323" i="8"/>
  <c r="K324" i="8"/>
  <c r="K364" i="8"/>
  <c r="J84" i="8"/>
  <c r="J85" i="8"/>
  <c r="J86" i="8"/>
  <c r="J87" i="8"/>
  <c r="J88" i="8"/>
  <c r="J323" i="8"/>
  <c r="J324" i="8"/>
  <c r="J364" i="8"/>
  <c r="I84" i="8"/>
  <c r="I85" i="8"/>
  <c r="I86" i="8"/>
  <c r="I87" i="8"/>
  <c r="I88" i="8"/>
  <c r="I323" i="8"/>
  <c r="I324" i="8"/>
  <c r="I364" i="8"/>
  <c r="H84" i="8"/>
  <c r="H85" i="8"/>
  <c r="H86" i="8"/>
  <c r="H87" i="8"/>
  <c r="H88" i="8"/>
  <c r="H323" i="8"/>
  <c r="H324" i="8"/>
  <c r="H364" i="8"/>
  <c r="G84" i="8"/>
  <c r="G85" i="8"/>
  <c r="G86" i="8"/>
  <c r="G87" i="8"/>
  <c r="G88" i="8"/>
  <c r="G323" i="8"/>
  <c r="G324" i="8"/>
  <c r="G364" i="8"/>
  <c r="F84" i="8"/>
  <c r="F85" i="8"/>
  <c r="F86" i="8"/>
  <c r="F87" i="8"/>
  <c r="F88" i="8"/>
  <c r="F323" i="8"/>
  <c r="F324" i="8"/>
  <c r="F364" i="8"/>
  <c r="AU306" i="8"/>
  <c r="AU363" i="8"/>
  <c r="AT306" i="8"/>
  <c r="AT363" i="8"/>
  <c r="AS306" i="8"/>
  <c r="AS363" i="8"/>
  <c r="AR306" i="8"/>
  <c r="AR363" i="8"/>
  <c r="AQ306" i="8"/>
  <c r="AQ363" i="8"/>
  <c r="AP306" i="8"/>
  <c r="AP363" i="8"/>
  <c r="AO306" i="8"/>
  <c r="AO363" i="8"/>
  <c r="AN306" i="8"/>
  <c r="AN363" i="8"/>
  <c r="AM306" i="8"/>
  <c r="AM363" i="8"/>
  <c r="AL306" i="8"/>
  <c r="AL363" i="8"/>
  <c r="AK306" i="8"/>
  <c r="AK363" i="8"/>
  <c r="AJ306" i="8"/>
  <c r="AJ363" i="8"/>
  <c r="AI306" i="8"/>
  <c r="AI363" i="8"/>
  <c r="AH306" i="8"/>
  <c r="AH363" i="8"/>
  <c r="AG306" i="8"/>
  <c r="AG363" i="8"/>
  <c r="AF306" i="8"/>
  <c r="AF363" i="8"/>
  <c r="AE306" i="8"/>
  <c r="AE363" i="8"/>
  <c r="AD306" i="8"/>
  <c r="AD363" i="8"/>
  <c r="AC306" i="8"/>
  <c r="AC363" i="8"/>
  <c r="AB306" i="8"/>
  <c r="AB363" i="8"/>
  <c r="AA306" i="8"/>
  <c r="AA363" i="8"/>
  <c r="Z306" i="8"/>
  <c r="Z363" i="8"/>
  <c r="Y306" i="8"/>
  <c r="Y363" i="8"/>
  <c r="X306" i="8"/>
  <c r="X363" i="8"/>
  <c r="W306" i="8"/>
  <c r="W363" i="8"/>
  <c r="V306" i="8"/>
  <c r="V363" i="8"/>
  <c r="U306" i="8"/>
  <c r="U363" i="8"/>
  <c r="T306" i="8"/>
  <c r="T363" i="8"/>
  <c r="S306" i="8"/>
  <c r="S363" i="8"/>
  <c r="R306" i="8"/>
  <c r="R363" i="8"/>
  <c r="Q306" i="8"/>
  <c r="Q363" i="8"/>
  <c r="P306" i="8"/>
  <c r="P363" i="8"/>
  <c r="O306" i="8"/>
  <c r="O363" i="8"/>
  <c r="N306" i="8"/>
  <c r="N363" i="8"/>
  <c r="M306" i="8"/>
  <c r="M363" i="8"/>
  <c r="L306" i="8"/>
  <c r="L363" i="8"/>
  <c r="K306" i="8"/>
  <c r="K363" i="8"/>
  <c r="J306" i="8"/>
  <c r="J363" i="8"/>
  <c r="I306" i="8"/>
  <c r="I363" i="8"/>
  <c r="H306" i="8"/>
  <c r="H363" i="8"/>
  <c r="G306" i="8"/>
  <c r="G363" i="8"/>
  <c r="F306" i="8"/>
  <c r="F363" i="8"/>
  <c r="AU307" i="8"/>
  <c r="AU362" i="8"/>
  <c r="AT307" i="8"/>
  <c r="AT362" i="8"/>
  <c r="AS307" i="8"/>
  <c r="AS362" i="8"/>
  <c r="AR307" i="8"/>
  <c r="AR362" i="8"/>
  <c r="AQ307" i="8"/>
  <c r="AQ362" i="8"/>
  <c r="AP307" i="8"/>
  <c r="AP362" i="8"/>
  <c r="AO307" i="8"/>
  <c r="AO362" i="8"/>
  <c r="AN307" i="8"/>
  <c r="AN362" i="8"/>
  <c r="AM307" i="8"/>
  <c r="AM362" i="8"/>
  <c r="AL307" i="8"/>
  <c r="AL362" i="8"/>
  <c r="AK307" i="8"/>
  <c r="AK362" i="8"/>
  <c r="AJ307" i="8"/>
  <c r="AJ362" i="8"/>
  <c r="AI307" i="8"/>
  <c r="AI362" i="8"/>
  <c r="AH307" i="8"/>
  <c r="AH362" i="8"/>
  <c r="AG307" i="8"/>
  <c r="AG362" i="8"/>
  <c r="AF307" i="8"/>
  <c r="AF362" i="8"/>
  <c r="AE307" i="8"/>
  <c r="AE362" i="8"/>
  <c r="AD307" i="8"/>
  <c r="AD362" i="8"/>
  <c r="AC307" i="8"/>
  <c r="AC362" i="8"/>
  <c r="AB307" i="8"/>
  <c r="AB362" i="8"/>
  <c r="AA307" i="8"/>
  <c r="AA362" i="8"/>
  <c r="Z307" i="8"/>
  <c r="Z362" i="8"/>
  <c r="Y307" i="8"/>
  <c r="Y362" i="8"/>
  <c r="X307" i="8"/>
  <c r="X362" i="8"/>
  <c r="W307" i="8"/>
  <c r="W362" i="8"/>
  <c r="V307" i="8"/>
  <c r="V362" i="8"/>
  <c r="U307" i="8"/>
  <c r="U362" i="8"/>
  <c r="T307" i="8"/>
  <c r="T362" i="8"/>
  <c r="S307" i="8"/>
  <c r="S362" i="8"/>
  <c r="R307" i="8"/>
  <c r="R362" i="8"/>
  <c r="Q307" i="8"/>
  <c r="Q362" i="8"/>
  <c r="P307" i="8"/>
  <c r="P362" i="8"/>
  <c r="O307" i="8"/>
  <c r="O362" i="8"/>
  <c r="N307" i="8"/>
  <c r="N362" i="8"/>
  <c r="M307" i="8"/>
  <c r="M362" i="8"/>
  <c r="L307" i="8"/>
  <c r="L362" i="8"/>
  <c r="K307" i="8"/>
  <c r="K362" i="8"/>
  <c r="J307" i="8"/>
  <c r="J362" i="8"/>
  <c r="I307" i="8"/>
  <c r="I362" i="8"/>
  <c r="H307" i="8"/>
  <c r="H362" i="8"/>
  <c r="G307" i="8"/>
  <c r="G362" i="8"/>
  <c r="F307" i="8"/>
  <c r="F362" i="8"/>
  <c r="AU305" i="8"/>
  <c r="AU361" i="8"/>
  <c r="AT305" i="8"/>
  <c r="AT361" i="8"/>
  <c r="AS305" i="8"/>
  <c r="AS361" i="8"/>
  <c r="AR305" i="8"/>
  <c r="AR361" i="8"/>
  <c r="AQ305" i="8"/>
  <c r="AQ361" i="8"/>
  <c r="AP305" i="8"/>
  <c r="AP361" i="8"/>
  <c r="AO305" i="8"/>
  <c r="AO361" i="8"/>
  <c r="AN305" i="8"/>
  <c r="AN361" i="8"/>
  <c r="AM305" i="8"/>
  <c r="AM361" i="8"/>
  <c r="AL305" i="8"/>
  <c r="AL361" i="8"/>
  <c r="AK305" i="8"/>
  <c r="AK361" i="8"/>
  <c r="AJ305" i="8"/>
  <c r="AJ361" i="8"/>
  <c r="AI305" i="8"/>
  <c r="AI361" i="8"/>
  <c r="AH305" i="8"/>
  <c r="AH361" i="8"/>
  <c r="AG305" i="8"/>
  <c r="AG361" i="8"/>
  <c r="AF305" i="8"/>
  <c r="AF361" i="8"/>
  <c r="AE305" i="8"/>
  <c r="AE361" i="8"/>
  <c r="AD305" i="8"/>
  <c r="AD361" i="8"/>
  <c r="AC305" i="8"/>
  <c r="AC361" i="8"/>
  <c r="AB305" i="8"/>
  <c r="AB361" i="8"/>
  <c r="AA305" i="8"/>
  <c r="AA361" i="8"/>
  <c r="Z305" i="8"/>
  <c r="Z361" i="8"/>
  <c r="Y305" i="8"/>
  <c r="Y361" i="8"/>
  <c r="X305" i="8"/>
  <c r="X361" i="8"/>
  <c r="W305" i="8"/>
  <c r="W361" i="8"/>
  <c r="V305" i="8"/>
  <c r="V361" i="8"/>
  <c r="U305" i="8"/>
  <c r="U361" i="8"/>
  <c r="T305" i="8"/>
  <c r="T361" i="8"/>
  <c r="S305" i="8"/>
  <c r="S361" i="8"/>
  <c r="R305" i="8"/>
  <c r="R361" i="8"/>
  <c r="Q305" i="8"/>
  <c r="Q361" i="8"/>
  <c r="P305" i="8"/>
  <c r="P361" i="8"/>
  <c r="O305" i="8"/>
  <c r="O361" i="8"/>
  <c r="N305" i="8"/>
  <c r="N361" i="8"/>
  <c r="M305" i="8"/>
  <c r="M361" i="8"/>
  <c r="L305" i="8"/>
  <c r="L361" i="8"/>
  <c r="K305" i="8"/>
  <c r="K361" i="8"/>
  <c r="J305" i="8"/>
  <c r="J361" i="8"/>
  <c r="I305" i="8"/>
  <c r="I361" i="8"/>
  <c r="H305" i="8"/>
  <c r="H361" i="8"/>
  <c r="G305" i="8"/>
  <c r="G361" i="8"/>
  <c r="F305" i="8"/>
  <c r="F361" i="8"/>
  <c r="AU304" i="8"/>
  <c r="AU360" i="8"/>
  <c r="AT304" i="8"/>
  <c r="AT360" i="8"/>
  <c r="AS304" i="8"/>
  <c r="AS360" i="8"/>
  <c r="AR304" i="8"/>
  <c r="AR360" i="8"/>
  <c r="AQ304" i="8"/>
  <c r="AQ360" i="8"/>
  <c r="AP304" i="8"/>
  <c r="AP360" i="8"/>
  <c r="AO304" i="8"/>
  <c r="AO360" i="8"/>
  <c r="AN304" i="8"/>
  <c r="AN360" i="8"/>
  <c r="AM304" i="8"/>
  <c r="AM360" i="8"/>
  <c r="AL304" i="8"/>
  <c r="AL360" i="8"/>
  <c r="AK304" i="8"/>
  <c r="AK360" i="8"/>
  <c r="AJ304" i="8"/>
  <c r="AJ360" i="8"/>
  <c r="AI304" i="8"/>
  <c r="AI360" i="8"/>
  <c r="AH304" i="8"/>
  <c r="AH360" i="8"/>
  <c r="AG304" i="8"/>
  <c r="AG360" i="8"/>
  <c r="AF304" i="8"/>
  <c r="AF360" i="8"/>
  <c r="AE304" i="8"/>
  <c r="AE360" i="8"/>
  <c r="AD304" i="8"/>
  <c r="AD360" i="8"/>
  <c r="AC304" i="8"/>
  <c r="AC360" i="8"/>
  <c r="AB304" i="8"/>
  <c r="AB360" i="8"/>
  <c r="AA304" i="8"/>
  <c r="AA360" i="8"/>
  <c r="Z304" i="8"/>
  <c r="Z360" i="8"/>
  <c r="Y304" i="8"/>
  <c r="Y360" i="8"/>
  <c r="X304" i="8"/>
  <c r="X360" i="8"/>
  <c r="W304" i="8"/>
  <c r="W360" i="8"/>
  <c r="V304" i="8"/>
  <c r="V360" i="8"/>
  <c r="U304" i="8"/>
  <c r="U360" i="8"/>
  <c r="T304" i="8"/>
  <c r="T360" i="8"/>
  <c r="S304" i="8"/>
  <c r="S360" i="8"/>
  <c r="R304" i="8"/>
  <c r="R360" i="8"/>
  <c r="Q304" i="8"/>
  <c r="Q360" i="8"/>
  <c r="P304" i="8"/>
  <c r="P360" i="8"/>
  <c r="O304" i="8"/>
  <c r="O360" i="8"/>
  <c r="N304" i="8"/>
  <c r="N360" i="8"/>
  <c r="M304" i="8"/>
  <c r="M360" i="8"/>
  <c r="L304" i="8"/>
  <c r="L360" i="8"/>
  <c r="K304" i="8"/>
  <c r="K360" i="8"/>
  <c r="J304" i="8"/>
  <c r="J360" i="8"/>
  <c r="I304" i="8"/>
  <c r="I360" i="8"/>
  <c r="H304" i="8"/>
  <c r="H360" i="8"/>
  <c r="G304" i="8"/>
  <c r="G360" i="8"/>
  <c r="F304" i="8"/>
  <c r="F360" i="8"/>
  <c r="AU20" i="8"/>
  <c r="AU21" i="8"/>
  <c r="AU359" i="8"/>
  <c r="AT20" i="8"/>
  <c r="AT21" i="8"/>
  <c r="AT359" i="8"/>
  <c r="AS20" i="8"/>
  <c r="AS21" i="8"/>
  <c r="AS359" i="8"/>
  <c r="AR20" i="8"/>
  <c r="AR21" i="8"/>
  <c r="AR359" i="8"/>
  <c r="AQ20" i="8"/>
  <c r="AQ21" i="8"/>
  <c r="AQ359" i="8"/>
  <c r="AP20" i="8"/>
  <c r="AP21" i="8"/>
  <c r="AP359" i="8"/>
  <c r="AO20" i="8"/>
  <c r="AO21" i="8"/>
  <c r="AO359" i="8"/>
  <c r="AN20" i="8"/>
  <c r="AN21" i="8"/>
  <c r="AN359" i="8"/>
  <c r="AM20" i="8"/>
  <c r="AM21" i="8"/>
  <c r="AM359" i="8"/>
  <c r="AL20" i="8"/>
  <c r="AL21" i="8"/>
  <c r="AL359" i="8"/>
  <c r="AK20" i="8"/>
  <c r="AK21" i="8"/>
  <c r="AK359" i="8"/>
  <c r="AJ20" i="8"/>
  <c r="AJ21" i="8"/>
  <c r="AJ359" i="8"/>
  <c r="AI20" i="8"/>
  <c r="AI21" i="8"/>
  <c r="AI359" i="8"/>
  <c r="AH20" i="8"/>
  <c r="AH21" i="8"/>
  <c r="AH359" i="8"/>
  <c r="AG20" i="8"/>
  <c r="AG21" i="8"/>
  <c r="AG359" i="8"/>
  <c r="AF20" i="8"/>
  <c r="AF21" i="8"/>
  <c r="AF359" i="8"/>
  <c r="AE20" i="8"/>
  <c r="AE21" i="8"/>
  <c r="AE359" i="8"/>
  <c r="AD20" i="8"/>
  <c r="AD21" i="8"/>
  <c r="AD359" i="8"/>
  <c r="AC20" i="8"/>
  <c r="AC21" i="8"/>
  <c r="AC359" i="8"/>
  <c r="AB20" i="8"/>
  <c r="AB21" i="8"/>
  <c r="AB359" i="8"/>
  <c r="AA20" i="8"/>
  <c r="AA21" i="8"/>
  <c r="AA359" i="8"/>
  <c r="Z20" i="8"/>
  <c r="Z21" i="8"/>
  <c r="Z359" i="8"/>
  <c r="Y20" i="8"/>
  <c r="Y21" i="8"/>
  <c r="Y359" i="8"/>
  <c r="X20" i="8"/>
  <c r="X21" i="8"/>
  <c r="X359" i="8"/>
  <c r="W20" i="8"/>
  <c r="W21" i="8"/>
  <c r="W359" i="8"/>
  <c r="V20" i="8"/>
  <c r="V21" i="8"/>
  <c r="V359" i="8"/>
  <c r="U20" i="8"/>
  <c r="U21" i="8"/>
  <c r="U359" i="8"/>
  <c r="T20" i="8"/>
  <c r="T21" i="8"/>
  <c r="T359" i="8"/>
  <c r="S20" i="8"/>
  <c r="S21" i="8"/>
  <c r="S359" i="8"/>
  <c r="R20" i="8"/>
  <c r="R21" i="8"/>
  <c r="R359" i="8"/>
  <c r="Q20" i="8"/>
  <c r="Q21" i="8"/>
  <c r="Q359" i="8"/>
  <c r="P20" i="8"/>
  <c r="P21" i="8"/>
  <c r="P359" i="8"/>
  <c r="O20" i="8"/>
  <c r="O21" i="8"/>
  <c r="O359" i="8"/>
  <c r="N20" i="8"/>
  <c r="N21" i="8"/>
  <c r="N359" i="8"/>
  <c r="M20" i="8"/>
  <c r="M21" i="8"/>
  <c r="M359" i="8"/>
  <c r="L20" i="8"/>
  <c r="L21" i="8"/>
  <c r="L359" i="8"/>
  <c r="K20" i="8"/>
  <c r="K21" i="8"/>
  <c r="K359" i="8"/>
  <c r="J20" i="8"/>
  <c r="J21" i="8"/>
  <c r="J359" i="8"/>
  <c r="I20" i="8"/>
  <c r="I21" i="8"/>
  <c r="I359" i="8"/>
  <c r="H20" i="8"/>
  <c r="H21" i="8"/>
  <c r="H359" i="8"/>
  <c r="G20" i="8"/>
  <c r="G21" i="8"/>
  <c r="G359" i="8"/>
  <c r="F20" i="8"/>
  <c r="F21" i="8"/>
  <c r="F359" i="8"/>
  <c r="AU224" i="8"/>
  <c r="AU223" i="8"/>
  <c r="AU225" i="8"/>
  <c r="AU226" i="8"/>
  <c r="AU227" i="8"/>
  <c r="AU228" i="8"/>
  <c r="AU229" i="8"/>
  <c r="AU230" i="8"/>
  <c r="AU231" i="8"/>
  <c r="AU232" i="8"/>
  <c r="AU233" i="8"/>
  <c r="AU234" i="8"/>
  <c r="AU235" i="8"/>
  <c r="AU236" i="8"/>
  <c r="AU237" i="8"/>
  <c r="AU238" i="8"/>
  <c r="AU239" i="8"/>
  <c r="AU240" i="8"/>
  <c r="AU241" i="8"/>
  <c r="AU242" i="8"/>
  <c r="AU243" i="8"/>
  <c r="AU244" i="8"/>
  <c r="AU245" i="8"/>
  <c r="AU246" i="8"/>
  <c r="AU247" i="8"/>
  <c r="AU248" i="8"/>
  <c r="AU249" i="8"/>
  <c r="AU250" i="8"/>
  <c r="AU251" i="8"/>
  <c r="AU252" i="8"/>
  <c r="AU253" i="8"/>
  <c r="AU254" i="8"/>
  <c r="AU255" i="8"/>
  <c r="AU256" i="8"/>
  <c r="AU257" i="8"/>
  <c r="AU258" i="8"/>
  <c r="AU29" i="8"/>
  <c r="AU23" i="8"/>
  <c r="AU24" i="8"/>
  <c r="AU30" i="8"/>
  <c r="AU357" i="8"/>
  <c r="AT224" i="8"/>
  <c r="AT223" i="8"/>
  <c r="AT225" i="8"/>
  <c r="AT226" i="8"/>
  <c r="AT227" i="8"/>
  <c r="AT228" i="8"/>
  <c r="AT229" i="8"/>
  <c r="AT230" i="8"/>
  <c r="AT231" i="8"/>
  <c r="AT232" i="8"/>
  <c r="AT233" i="8"/>
  <c r="AT234" i="8"/>
  <c r="AT235" i="8"/>
  <c r="AT236" i="8"/>
  <c r="AT237" i="8"/>
  <c r="AT238" i="8"/>
  <c r="AT239" i="8"/>
  <c r="AT240" i="8"/>
  <c r="AT241" i="8"/>
  <c r="AT242" i="8"/>
  <c r="AT243" i="8"/>
  <c r="AT244" i="8"/>
  <c r="AT245" i="8"/>
  <c r="AT246" i="8"/>
  <c r="AT247" i="8"/>
  <c r="AT248" i="8"/>
  <c r="AT249" i="8"/>
  <c r="AT250" i="8"/>
  <c r="AT251" i="8"/>
  <c r="AT252" i="8"/>
  <c r="AT253" i="8"/>
  <c r="AT254" i="8"/>
  <c r="AT255" i="8"/>
  <c r="AT256" i="8"/>
  <c r="AT257" i="8"/>
  <c r="AT258" i="8"/>
  <c r="AT29" i="8"/>
  <c r="AT23" i="8"/>
  <c r="AT24" i="8"/>
  <c r="AT30" i="8"/>
  <c r="AT357" i="8"/>
  <c r="AS224" i="8"/>
  <c r="AS223" i="8"/>
  <c r="AS225" i="8"/>
  <c r="AS226" i="8"/>
  <c r="AS227" i="8"/>
  <c r="AS228" i="8"/>
  <c r="AS229" i="8"/>
  <c r="AS230" i="8"/>
  <c r="AS231" i="8"/>
  <c r="AS232" i="8"/>
  <c r="AS233" i="8"/>
  <c r="AS234" i="8"/>
  <c r="AS235" i="8"/>
  <c r="AS236" i="8"/>
  <c r="AS237" i="8"/>
  <c r="AS238" i="8"/>
  <c r="AS239" i="8"/>
  <c r="AS240" i="8"/>
  <c r="AS241" i="8"/>
  <c r="AS242" i="8"/>
  <c r="AS243" i="8"/>
  <c r="AS244" i="8"/>
  <c r="AS245" i="8"/>
  <c r="AS246" i="8"/>
  <c r="AS247" i="8"/>
  <c r="AS248" i="8"/>
  <c r="AS249" i="8"/>
  <c r="AS250" i="8"/>
  <c r="AS251" i="8"/>
  <c r="AS252" i="8"/>
  <c r="AS253" i="8"/>
  <c r="AS254" i="8"/>
  <c r="AS255" i="8"/>
  <c r="AS256" i="8"/>
  <c r="AS257" i="8"/>
  <c r="AS258" i="8"/>
  <c r="AS29" i="8"/>
  <c r="AS23" i="8"/>
  <c r="AS24" i="8"/>
  <c r="AS30" i="8"/>
  <c r="AS357" i="8"/>
  <c r="AR224" i="8"/>
  <c r="AR223" i="8"/>
  <c r="AR225" i="8"/>
  <c r="AR226" i="8"/>
  <c r="AR227" i="8"/>
  <c r="AR228" i="8"/>
  <c r="AR229" i="8"/>
  <c r="AR230" i="8"/>
  <c r="AR231" i="8"/>
  <c r="AR232" i="8"/>
  <c r="AR233" i="8"/>
  <c r="AR234" i="8"/>
  <c r="AR235" i="8"/>
  <c r="AR236" i="8"/>
  <c r="AR237" i="8"/>
  <c r="AR238" i="8"/>
  <c r="AR239" i="8"/>
  <c r="AR240" i="8"/>
  <c r="AR241" i="8"/>
  <c r="AR242" i="8"/>
  <c r="AR243" i="8"/>
  <c r="AR244" i="8"/>
  <c r="AR245" i="8"/>
  <c r="AR246" i="8"/>
  <c r="AR247" i="8"/>
  <c r="AR248" i="8"/>
  <c r="AR249" i="8"/>
  <c r="AR250" i="8"/>
  <c r="AR251" i="8"/>
  <c r="AR252" i="8"/>
  <c r="AR253" i="8"/>
  <c r="AR254" i="8"/>
  <c r="AR255" i="8"/>
  <c r="AR256" i="8"/>
  <c r="AR257" i="8"/>
  <c r="AR258" i="8"/>
  <c r="AR29" i="8"/>
  <c r="AR23" i="8"/>
  <c r="AR24" i="8"/>
  <c r="AR30" i="8"/>
  <c r="AR357" i="8"/>
  <c r="AQ224" i="8"/>
  <c r="AQ223" i="8"/>
  <c r="AQ225" i="8"/>
  <c r="AQ226" i="8"/>
  <c r="AQ227" i="8"/>
  <c r="AQ228" i="8"/>
  <c r="AQ229" i="8"/>
  <c r="AQ230" i="8"/>
  <c r="AQ231" i="8"/>
  <c r="AQ232" i="8"/>
  <c r="AQ233" i="8"/>
  <c r="AQ234" i="8"/>
  <c r="AQ235" i="8"/>
  <c r="AQ236" i="8"/>
  <c r="AQ237" i="8"/>
  <c r="AQ238" i="8"/>
  <c r="AQ239" i="8"/>
  <c r="AQ240" i="8"/>
  <c r="AQ241" i="8"/>
  <c r="AQ242" i="8"/>
  <c r="AQ243" i="8"/>
  <c r="AQ244" i="8"/>
  <c r="AQ245" i="8"/>
  <c r="AQ246" i="8"/>
  <c r="AQ247" i="8"/>
  <c r="AQ248" i="8"/>
  <c r="AQ249" i="8"/>
  <c r="AQ250" i="8"/>
  <c r="AQ251" i="8"/>
  <c r="AQ252" i="8"/>
  <c r="AQ253" i="8"/>
  <c r="AQ254" i="8"/>
  <c r="AQ255" i="8"/>
  <c r="AQ256" i="8"/>
  <c r="AQ257" i="8"/>
  <c r="AQ258" i="8"/>
  <c r="AQ29" i="8"/>
  <c r="AQ23" i="8"/>
  <c r="AQ24" i="8"/>
  <c r="AQ30" i="8"/>
  <c r="AQ357" i="8"/>
  <c r="AP224" i="8"/>
  <c r="AP223" i="8"/>
  <c r="AP225" i="8"/>
  <c r="AP226" i="8"/>
  <c r="AP227" i="8"/>
  <c r="AP228" i="8"/>
  <c r="AP229" i="8"/>
  <c r="AP230" i="8"/>
  <c r="AP231" i="8"/>
  <c r="AP232" i="8"/>
  <c r="AP233" i="8"/>
  <c r="AP234" i="8"/>
  <c r="AP235" i="8"/>
  <c r="AP236" i="8"/>
  <c r="AP237" i="8"/>
  <c r="AP238" i="8"/>
  <c r="AP239" i="8"/>
  <c r="AP240" i="8"/>
  <c r="AP241" i="8"/>
  <c r="AP242" i="8"/>
  <c r="AP243" i="8"/>
  <c r="AP244" i="8"/>
  <c r="AP245" i="8"/>
  <c r="AP246" i="8"/>
  <c r="AP247" i="8"/>
  <c r="AP248" i="8"/>
  <c r="AP249" i="8"/>
  <c r="AP250" i="8"/>
  <c r="AP251" i="8"/>
  <c r="AP252" i="8"/>
  <c r="AP253" i="8"/>
  <c r="AP254" i="8"/>
  <c r="AP255" i="8"/>
  <c r="AP256" i="8"/>
  <c r="AP257" i="8"/>
  <c r="AP258" i="8"/>
  <c r="AP29" i="8"/>
  <c r="AP23" i="8"/>
  <c r="AP24" i="8"/>
  <c r="AP30" i="8"/>
  <c r="AP357" i="8"/>
  <c r="AO224" i="8"/>
  <c r="AO223" i="8"/>
  <c r="AO225" i="8"/>
  <c r="AO226" i="8"/>
  <c r="AO227" i="8"/>
  <c r="AO228" i="8"/>
  <c r="AO229" i="8"/>
  <c r="AO230" i="8"/>
  <c r="AO231" i="8"/>
  <c r="AO232" i="8"/>
  <c r="AO233" i="8"/>
  <c r="AO234" i="8"/>
  <c r="AO235" i="8"/>
  <c r="AO236" i="8"/>
  <c r="AO237" i="8"/>
  <c r="AO238" i="8"/>
  <c r="AO239" i="8"/>
  <c r="AO240" i="8"/>
  <c r="AO241" i="8"/>
  <c r="AO242" i="8"/>
  <c r="AO243" i="8"/>
  <c r="AO244" i="8"/>
  <c r="AO245" i="8"/>
  <c r="AO246" i="8"/>
  <c r="AO247" i="8"/>
  <c r="AO248" i="8"/>
  <c r="AO249" i="8"/>
  <c r="AO250" i="8"/>
  <c r="AO251" i="8"/>
  <c r="AO252" i="8"/>
  <c r="AO253" i="8"/>
  <c r="AO254" i="8"/>
  <c r="AO255" i="8"/>
  <c r="AO256" i="8"/>
  <c r="AO257" i="8"/>
  <c r="AO258" i="8"/>
  <c r="AO29" i="8"/>
  <c r="AO23" i="8"/>
  <c r="AO24" i="8"/>
  <c r="AO30" i="8"/>
  <c r="AO357" i="8"/>
  <c r="AN224" i="8"/>
  <c r="AN223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43" i="8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9" i="8"/>
  <c r="AN23" i="8"/>
  <c r="AN24" i="8"/>
  <c r="AN30" i="8"/>
  <c r="AN357" i="8"/>
  <c r="AM224" i="8"/>
  <c r="AM223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45" i="8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9" i="8"/>
  <c r="AM23" i="8"/>
  <c r="AM24" i="8"/>
  <c r="AM30" i="8"/>
  <c r="AM357" i="8"/>
  <c r="AL224" i="8"/>
  <c r="AL223" i="8"/>
  <c r="AL225" i="8"/>
  <c r="AL226" i="8"/>
  <c r="AL227" i="8"/>
  <c r="AL228" i="8"/>
  <c r="AL229" i="8"/>
  <c r="AL230" i="8"/>
  <c r="AL231" i="8"/>
  <c r="AL232" i="8"/>
  <c r="AL233" i="8"/>
  <c r="AL234" i="8"/>
  <c r="AL235" i="8"/>
  <c r="AL236" i="8"/>
  <c r="AL237" i="8"/>
  <c r="AL238" i="8"/>
  <c r="AL239" i="8"/>
  <c r="AL240" i="8"/>
  <c r="AL241" i="8"/>
  <c r="AL242" i="8"/>
  <c r="AL243" i="8"/>
  <c r="AL244" i="8"/>
  <c r="AL245" i="8"/>
  <c r="AL246" i="8"/>
  <c r="AL247" i="8"/>
  <c r="AL248" i="8"/>
  <c r="AL249" i="8"/>
  <c r="AL250" i="8"/>
  <c r="AL251" i="8"/>
  <c r="AL252" i="8"/>
  <c r="AL253" i="8"/>
  <c r="AL254" i="8"/>
  <c r="AL255" i="8"/>
  <c r="AL256" i="8"/>
  <c r="AL257" i="8"/>
  <c r="AL258" i="8"/>
  <c r="AL29" i="8"/>
  <c r="AL23" i="8"/>
  <c r="AL24" i="8"/>
  <c r="AL30" i="8"/>
  <c r="AL357" i="8"/>
  <c r="AK224" i="8"/>
  <c r="AK223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9" i="8"/>
  <c r="AK23" i="8"/>
  <c r="AK24" i="8"/>
  <c r="AK30" i="8"/>
  <c r="AK357" i="8"/>
  <c r="AJ224" i="8"/>
  <c r="AJ223" i="8"/>
  <c r="AJ225" i="8"/>
  <c r="AJ226" i="8"/>
  <c r="AJ227" i="8"/>
  <c r="AJ228" i="8"/>
  <c r="AJ229" i="8"/>
  <c r="AJ230" i="8"/>
  <c r="AJ231" i="8"/>
  <c r="AJ232" i="8"/>
  <c r="AJ233" i="8"/>
  <c r="AJ234" i="8"/>
  <c r="AJ235" i="8"/>
  <c r="AJ236" i="8"/>
  <c r="AJ237" i="8"/>
  <c r="AJ238" i="8"/>
  <c r="AJ239" i="8"/>
  <c r="AJ240" i="8"/>
  <c r="AJ241" i="8"/>
  <c r="AJ242" i="8"/>
  <c r="AJ243" i="8"/>
  <c r="AJ244" i="8"/>
  <c r="AJ245" i="8"/>
  <c r="AJ246" i="8"/>
  <c r="AJ247" i="8"/>
  <c r="AJ248" i="8"/>
  <c r="AJ249" i="8"/>
  <c r="AJ250" i="8"/>
  <c r="AJ251" i="8"/>
  <c r="AJ252" i="8"/>
  <c r="AJ253" i="8"/>
  <c r="AJ254" i="8"/>
  <c r="AJ255" i="8"/>
  <c r="AJ256" i="8"/>
  <c r="AJ257" i="8"/>
  <c r="AJ258" i="8"/>
  <c r="AJ29" i="8"/>
  <c r="AJ23" i="8"/>
  <c r="AJ24" i="8"/>
  <c r="AJ30" i="8"/>
  <c r="AJ357" i="8"/>
  <c r="AI224" i="8"/>
  <c r="AI223" i="8"/>
  <c r="AI225" i="8"/>
  <c r="AI226" i="8"/>
  <c r="AI227" i="8"/>
  <c r="AI228" i="8"/>
  <c r="AI229" i="8"/>
  <c r="AI230" i="8"/>
  <c r="AI231" i="8"/>
  <c r="AI232" i="8"/>
  <c r="AI233" i="8"/>
  <c r="AI234" i="8"/>
  <c r="AI235" i="8"/>
  <c r="AI236" i="8"/>
  <c r="AI237" i="8"/>
  <c r="AI238" i="8"/>
  <c r="AI239" i="8"/>
  <c r="AI240" i="8"/>
  <c r="AI241" i="8"/>
  <c r="AI242" i="8"/>
  <c r="AI243" i="8"/>
  <c r="AI244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9" i="8"/>
  <c r="AI23" i="8"/>
  <c r="AI24" i="8"/>
  <c r="AI30" i="8"/>
  <c r="AI357" i="8"/>
  <c r="AH224" i="8"/>
  <c r="AH223" i="8"/>
  <c r="AH225" i="8"/>
  <c r="AH226" i="8"/>
  <c r="AH227" i="8"/>
  <c r="AH228" i="8"/>
  <c r="AH229" i="8"/>
  <c r="AH230" i="8"/>
  <c r="AH231" i="8"/>
  <c r="AH232" i="8"/>
  <c r="AH233" i="8"/>
  <c r="AH234" i="8"/>
  <c r="AH235" i="8"/>
  <c r="AH236" i="8"/>
  <c r="AH237" i="8"/>
  <c r="AH238" i="8"/>
  <c r="AH239" i="8"/>
  <c r="AH240" i="8"/>
  <c r="AH241" i="8"/>
  <c r="AH242" i="8"/>
  <c r="AH243" i="8"/>
  <c r="AH244" i="8"/>
  <c r="AH245" i="8"/>
  <c r="AH246" i="8"/>
  <c r="AH247" i="8"/>
  <c r="AH248" i="8"/>
  <c r="AH249" i="8"/>
  <c r="AH250" i="8"/>
  <c r="AH251" i="8"/>
  <c r="AH252" i="8"/>
  <c r="AH253" i="8"/>
  <c r="AH254" i="8"/>
  <c r="AH255" i="8"/>
  <c r="AH256" i="8"/>
  <c r="AH257" i="8"/>
  <c r="AH258" i="8"/>
  <c r="AH29" i="8"/>
  <c r="AH23" i="8"/>
  <c r="AH24" i="8"/>
  <c r="AH30" i="8"/>
  <c r="AH357" i="8"/>
  <c r="AG224" i="8"/>
  <c r="AG223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9" i="8"/>
  <c r="AG23" i="8"/>
  <c r="AG24" i="8"/>
  <c r="AG30" i="8"/>
  <c r="AG357" i="8"/>
  <c r="AF224" i="8"/>
  <c r="AF223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9" i="8"/>
  <c r="AF23" i="8"/>
  <c r="AF24" i="8"/>
  <c r="AF30" i="8"/>
  <c r="AF357" i="8"/>
  <c r="AE224" i="8"/>
  <c r="AE223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9" i="8"/>
  <c r="AE23" i="8"/>
  <c r="AE24" i="8"/>
  <c r="AE30" i="8"/>
  <c r="AE357" i="8"/>
  <c r="AD224" i="8"/>
  <c r="AD223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9" i="8"/>
  <c r="AD23" i="8"/>
  <c r="AD24" i="8"/>
  <c r="AD30" i="8"/>
  <c r="AD357" i="8"/>
  <c r="AC224" i="8"/>
  <c r="AC223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9" i="8"/>
  <c r="AC23" i="8"/>
  <c r="AC24" i="8"/>
  <c r="AC30" i="8"/>
  <c r="AC357" i="8"/>
  <c r="AB224" i="8"/>
  <c r="AB223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9" i="8"/>
  <c r="AB23" i="8"/>
  <c r="AB24" i="8"/>
  <c r="AB30" i="8"/>
  <c r="AB357" i="8"/>
  <c r="AA224" i="8"/>
  <c r="AA223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9" i="8"/>
  <c r="AA23" i="8"/>
  <c r="AA24" i="8"/>
  <c r="AA30" i="8"/>
  <c r="AA357" i="8"/>
  <c r="Z224" i="8"/>
  <c r="Z223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9" i="8"/>
  <c r="Z23" i="8"/>
  <c r="Z24" i="8"/>
  <c r="Z30" i="8"/>
  <c r="Z357" i="8"/>
  <c r="Y224" i="8"/>
  <c r="Y223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9" i="8"/>
  <c r="Y23" i="8"/>
  <c r="Y24" i="8"/>
  <c r="Y30" i="8"/>
  <c r="Y357" i="8"/>
  <c r="X224" i="8"/>
  <c r="X223" i="8"/>
  <c r="X225" i="8"/>
  <c r="X226" i="8"/>
  <c r="X227" i="8"/>
  <c r="X228" i="8"/>
  <c r="X229" i="8"/>
  <c r="X230" i="8"/>
  <c r="X231" i="8"/>
  <c r="X232" i="8"/>
  <c r="X233" i="8"/>
  <c r="X234" i="8"/>
  <c r="X235" i="8"/>
  <c r="X236" i="8"/>
  <c r="X237" i="8"/>
  <c r="X238" i="8"/>
  <c r="X239" i="8"/>
  <c r="X240" i="8"/>
  <c r="X241" i="8"/>
  <c r="X242" i="8"/>
  <c r="X243" i="8"/>
  <c r="X244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9" i="8"/>
  <c r="X23" i="8"/>
  <c r="X24" i="8"/>
  <c r="X30" i="8"/>
  <c r="X357" i="8"/>
  <c r="W224" i="8"/>
  <c r="W223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9" i="8"/>
  <c r="W23" i="8"/>
  <c r="W24" i="8"/>
  <c r="W30" i="8"/>
  <c r="W357" i="8"/>
  <c r="V224" i="8"/>
  <c r="V223" i="8"/>
  <c r="V225" i="8"/>
  <c r="V226" i="8"/>
  <c r="V227" i="8"/>
  <c r="V228" i="8"/>
  <c r="V229" i="8"/>
  <c r="V230" i="8"/>
  <c r="V231" i="8"/>
  <c r="V232" i="8"/>
  <c r="V233" i="8"/>
  <c r="V234" i="8"/>
  <c r="V235" i="8"/>
  <c r="V236" i="8"/>
  <c r="V237" i="8"/>
  <c r="V238" i="8"/>
  <c r="V239" i="8"/>
  <c r="V240" i="8"/>
  <c r="V241" i="8"/>
  <c r="V242" i="8"/>
  <c r="V243" i="8"/>
  <c r="V244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9" i="8"/>
  <c r="V23" i="8"/>
  <c r="V24" i="8"/>
  <c r="V30" i="8"/>
  <c r="V357" i="8"/>
  <c r="U224" i="8"/>
  <c r="U223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9" i="8"/>
  <c r="U23" i="8"/>
  <c r="U24" i="8"/>
  <c r="U30" i="8"/>
  <c r="U357" i="8"/>
  <c r="T224" i="8"/>
  <c r="T223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9" i="8"/>
  <c r="T23" i="8"/>
  <c r="T24" i="8"/>
  <c r="T30" i="8"/>
  <c r="T357" i="8"/>
  <c r="S224" i="8"/>
  <c r="S223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9" i="8"/>
  <c r="S23" i="8"/>
  <c r="S24" i="8"/>
  <c r="S30" i="8"/>
  <c r="S357" i="8"/>
  <c r="R224" i="8"/>
  <c r="R223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9" i="8"/>
  <c r="R23" i="8"/>
  <c r="R24" i="8"/>
  <c r="R30" i="8"/>
  <c r="R357" i="8"/>
  <c r="Q224" i="8"/>
  <c r="Q223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9" i="8"/>
  <c r="Q23" i="8"/>
  <c r="Q24" i="8"/>
  <c r="Q30" i="8"/>
  <c r="Q357" i="8"/>
  <c r="P224" i="8"/>
  <c r="P223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9" i="8"/>
  <c r="P23" i="8"/>
  <c r="P24" i="8"/>
  <c r="P30" i="8"/>
  <c r="P357" i="8"/>
  <c r="O224" i="8"/>
  <c r="O223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9" i="8"/>
  <c r="O23" i="8"/>
  <c r="O24" i="8"/>
  <c r="O30" i="8"/>
  <c r="O357" i="8"/>
  <c r="N224" i="8"/>
  <c r="N223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9" i="8"/>
  <c r="N23" i="8"/>
  <c r="N24" i="8"/>
  <c r="N30" i="8"/>
  <c r="N357" i="8"/>
  <c r="M224" i="8"/>
  <c r="M223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9" i="8"/>
  <c r="M23" i="8"/>
  <c r="M24" i="8"/>
  <c r="M30" i="8"/>
  <c r="M357" i="8"/>
  <c r="L224" i="8"/>
  <c r="L223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9" i="8"/>
  <c r="L23" i="8"/>
  <c r="L24" i="8"/>
  <c r="L30" i="8"/>
  <c r="L357" i="8"/>
  <c r="K224" i="8"/>
  <c r="K223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9" i="8"/>
  <c r="K23" i="8"/>
  <c r="K24" i="8"/>
  <c r="K30" i="8"/>
  <c r="K357" i="8"/>
  <c r="J224" i="8"/>
  <c r="J223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9" i="8"/>
  <c r="J23" i="8"/>
  <c r="J24" i="8"/>
  <c r="J30" i="8"/>
  <c r="J357" i="8"/>
  <c r="I224" i="8"/>
  <c r="I223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9" i="8"/>
  <c r="I23" i="8"/>
  <c r="I24" i="8"/>
  <c r="I30" i="8"/>
  <c r="I357" i="8"/>
  <c r="H224" i="8"/>
  <c r="H223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9" i="8"/>
  <c r="H23" i="8"/>
  <c r="H24" i="8"/>
  <c r="H30" i="8"/>
  <c r="H357" i="8"/>
  <c r="G224" i="8"/>
  <c r="G223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9" i="8"/>
  <c r="G23" i="8"/>
  <c r="G24" i="8"/>
  <c r="G30" i="8"/>
  <c r="G357" i="8"/>
  <c r="F224" i="8"/>
  <c r="F223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9" i="8"/>
  <c r="F23" i="8"/>
  <c r="F24" i="8"/>
  <c r="F30" i="8"/>
  <c r="F357" i="8"/>
  <c r="AU170" i="8"/>
  <c r="AU171" i="8"/>
  <c r="AU172" i="8"/>
  <c r="AU173" i="8"/>
  <c r="AU174" i="8"/>
  <c r="AU175" i="8"/>
  <c r="AU176" i="8"/>
  <c r="AU177" i="8"/>
  <c r="AU178" i="8"/>
  <c r="AU179" i="8"/>
  <c r="AU180" i="8"/>
  <c r="AU181" i="8"/>
  <c r="AU182" i="8"/>
  <c r="AU183" i="8"/>
  <c r="AU184" i="8"/>
  <c r="AU185" i="8"/>
  <c r="AU152" i="8"/>
  <c r="AU153" i="8"/>
  <c r="AU154" i="8"/>
  <c r="AU155" i="8"/>
  <c r="AU156" i="8"/>
  <c r="AU157" i="8"/>
  <c r="AU158" i="8"/>
  <c r="AU159" i="8"/>
  <c r="AU160" i="8"/>
  <c r="AU161" i="8"/>
  <c r="AU162" i="8"/>
  <c r="AU163" i="8"/>
  <c r="AU164" i="8"/>
  <c r="AU165" i="8"/>
  <c r="AU166" i="8"/>
  <c r="AU167" i="8"/>
  <c r="AU168" i="8"/>
  <c r="AU169" i="8"/>
  <c r="AU138" i="8"/>
  <c r="AU139" i="8"/>
  <c r="AU140" i="8"/>
  <c r="AU141" i="8"/>
  <c r="AU142" i="8"/>
  <c r="AU143" i="8"/>
  <c r="AU144" i="8"/>
  <c r="AU145" i="8"/>
  <c r="AU146" i="8"/>
  <c r="AU147" i="8"/>
  <c r="AU148" i="8"/>
  <c r="AU149" i="8"/>
  <c r="AU150" i="8"/>
  <c r="AU151" i="8"/>
  <c r="AU129" i="8"/>
  <c r="AU130" i="8"/>
  <c r="AU131" i="8"/>
  <c r="AU132" i="8"/>
  <c r="AU133" i="8"/>
  <c r="AU134" i="8"/>
  <c r="AU135" i="8"/>
  <c r="AU136" i="8"/>
  <c r="AU137" i="8"/>
  <c r="AU115" i="8"/>
  <c r="AU116" i="8"/>
  <c r="AU117" i="8"/>
  <c r="AU118" i="8"/>
  <c r="AU119" i="8"/>
  <c r="AU120" i="8"/>
  <c r="AU121" i="8"/>
  <c r="AU122" i="8"/>
  <c r="AU123" i="8"/>
  <c r="AU124" i="8"/>
  <c r="AU125" i="8"/>
  <c r="AU126" i="8"/>
  <c r="AU127" i="8"/>
  <c r="AU128" i="8"/>
  <c r="AU186" i="8"/>
  <c r="AU356" i="8"/>
  <c r="AT170" i="8"/>
  <c r="AT171" i="8"/>
  <c r="AT172" i="8"/>
  <c r="AT173" i="8"/>
  <c r="AT174" i="8"/>
  <c r="AT175" i="8"/>
  <c r="AT176" i="8"/>
  <c r="AT177" i="8"/>
  <c r="AT178" i="8"/>
  <c r="AT179" i="8"/>
  <c r="AT180" i="8"/>
  <c r="AT181" i="8"/>
  <c r="AT182" i="8"/>
  <c r="AT183" i="8"/>
  <c r="AT184" i="8"/>
  <c r="AT185" i="8"/>
  <c r="AT152" i="8"/>
  <c r="AT153" i="8"/>
  <c r="AT154" i="8"/>
  <c r="AT155" i="8"/>
  <c r="AT156" i="8"/>
  <c r="AT157" i="8"/>
  <c r="AT158" i="8"/>
  <c r="AT159" i="8"/>
  <c r="AT160" i="8"/>
  <c r="AT161" i="8"/>
  <c r="AT162" i="8"/>
  <c r="AT163" i="8"/>
  <c r="AT164" i="8"/>
  <c r="AT165" i="8"/>
  <c r="AT166" i="8"/>
  <c r="AT167" i="8"/>
  <c r="AT168" i="8"/>
  <c r="AT169" i="8"/>
  <c r="AT138" i="8"/>
  <c r="AT139" i="8"/>
  <c r="AT140" i="8"/>
  <c r="AT141" i="8"/>
  <c r="AT142" i="8"/>
  <c r="AT143" i="8"/>
  <c r="AT144" i="8"/>
  <c r="AT145" i="8"/>
  <c r="AT146" i="8"/>
  <c r="AT147" i="8"/>
  <c r="AT148" i="8"/>
  <c r="AT149" i="8"/>
  <c r="AT150" i="8"/>
  <c r="AT151" i="8"/>
  <c r="AT129" i="8"/>
  <c r="AT130" i="8"/>
  <c r="AT131" i="8"/>
  <c r="AT132" i="8"/>
  <c r="AT133" i="8"/>
  <c r="AT134" i="8"/>
  <c r="AT135" i="8"/>
  <c r="AT136" i="8"/>
  <c r="AT137" i="8"/>
  <c r="AT115" i="8"/>
  <c r="AT116" i="8"/>
  <c r="AT117" i="8"/>
  <c r="AT118" i="8"/>
  <c r="AT119" i="8"/>
  <c r="AT120" i="8"/>
  <c r="AT121" i="8"/>
  <c r="AT122" i="8"/>
  <c r="AT123" i="8"/>
  <c r="AT124" i="8"/>
  <c r="AT125" i="8"/>
  <c r="AT126" i="8"/>
  <c r="AT127" i="8"/>
  <c r="AT128" i="8"/>
  <c r="AT186" i="8"/>
  <c r="AT356" i="8"/>
  <c r="AS170" i="8"/>
  <c r="AS171" i="8"/>
  <c r="AS172" i="8"/>
  <c r="AS173" i="8"/>
  <c r="AS174" i="8"/>
  <c r="AS175" i="8"/>
  <c r="AS176" i="8"/>
  <c r="AS177" i="8"/>
  <c r="AS178" i="8"/>
  <c r="AS179" i="8"/>
  <c r="AS180" i="8"/>
  <c r="AS181" i="8"/>
  <c r="AS182" i="8"/>
  <c r="AS183" i="8"/>
  <c r="AS184" i="8"/>
  <c r="AS185" i="8"/>
  <c r="AS152" i="8"/>
  <c r="AS153" i="8"/>
  <c r="AS154" i="8"/>
  <c r="AS155" i="8"/>
  <c r="AS156" i="8"/>
  <c r="AS157" i="8"/>
  <c r="AS158" i="8"/>
  <c r="AS159" i="8"/>
  <c r="AS160" i="8"/>
  <c r="AS161" i="8"/>
  <c r="AS162" i="8"/>
  <c r="AS163" i="8"/>
  <c r="AS164" i="8"/>
  <c r="AS165" i="8"/>
  <c r="AS166" i="8"/>
  <c r="AS167" i="8"/>
  <c r="AS168" i="8"/>
  <c r="AS169" i="8"/>
  <c r="AS138" i="8"/>
  <c r="AS139" i="8"/>
  <c r="AS140" i="8"/>
  <c r="AS141" i="8"/>
  <c r="AS142" i="8"/>
  <c r="AS143" i="8"/>
  <c r="AS144" i="8"/>
  <c r="AS145" i="8"/>
  <c r="AS146" i="8"/>
  <c r="AS147" i="8"/>
  <c r="AS148" i="8"/>
  <c r="AS149" i="8"/>
  <c r="AS150" i="8"/>
  <c r="AS151" i="8"/>
  <c r="AS129" i="8"/>
  <c r="AS130" i="8"/>
  <c r="AS131" i="8"/>
  <c r="AS132" i="8"/>
  <c r="AS133" i="8"/>
  <c r="AS134" i="8"/>
  <c r="AS135" i="8"/>
  <c r="AS136" i="8"/>
  <c r="AS137" i="8"/>
  <c r="AS115" i="8"/>
  <c r="AS116" i="8"/>
  <c r="AS117" i="8"/>
  <c r="AS118" i="8"/>
  <c r="AS119" i="8"/>
  <c r="AS120" i="8"/>
  <c r="AS121" i="8"/>
  <c r="AS122" i="8"/>
  <c r="AS123" i="8"/>
  <c r="AS124" i="8"/>
  <c r="AS125" i="8"/>
  <c r="AS126" i="8"/>
  <c r="AS127" i="8"/>
  <c r="AS128" i="8"/>
  <c r="AS186" i="8"/>
  <c r="AS356" i="8"/>
  <c r="AR170" i="8"/>
  <c r="AR171" i="8"/>
  <c r="AR172" i="8"/>
  <c r="AR173" i="8"/>
  <c r="AR174" i="8"/>
  <c r="AR175" i="8"/>
  <c r="AR176" i="8"/>
  <c r="AR177" i="8"/>
  <c r="AR178" i="8"/>
  <c r="AR179" i="8"/>
  <c r="AR180" i="8"/>
  <c r="AR181" i="8"/>
  <c r="AR182" i="8"/>
  <c r="AR183" i="8"/>
  <c r="AR184" i="8"/>
  <c r="AR185" i="8"/>
  <c r="AR152" i="8"/>
  <c r="AR153" i="8"/>
  <c r="AR154" i="8"/>
  <c r="AR155" i="8"/>
  <c r="AR156" i="8"/>
  <c r="AR157" i="8"/>
  <c r="AR158" i="8"/>
  <c r="AR159" i="8"/>
  <c r="AR160" i="8"/>
  <c r="AR161" i="8"/>
  <c r="AR162" i="8"/>
  <c r="AR163" i="8"/>
  <c r="AR164" i="8"/>
  <c r="AR165" i="8"/>
  <c r="AR166" i="8"/>
  <c r="AR167" i="8"/>
  <c r="AR168" i="8"/>
  <c r="AR169" i="8"/>
  <c r="AR138" i="8"/>
  <c r="AR139" i="8"/>
  <c r="AR140" i="8"/>
  <c r="AR141" i="8"/>
  <c r="AR142" i="8"/>
  <c r="AR143" i="8"/>
  <c r="AR144" i="8"/>
  <c r="AR145" i="8"/>
  <c r="AR146" i="8"/>
  <c r="AR147" i="8"/>
  <c r="AR148" i="8"/>
  <c r="AR149" i="8"/>
  <c r="AR150" i="8"/>
  <c r="AR151" i="8"/>
  <c r="AR129" i="8"/>
  <c r="AR130" i="8"/>
  <c r="AR131" i="8"/>
  <c r="AR132" i="8"/>
  <c r="AR133" i="8"/>
  <c r="AR134" i="8"/>
  <c r="AR135" i="8"/>
  <c r="AR136" i="8"/>
  <c r="AR137" i="8"/>
  <c r="AR115" i="8"/>
  <c r="AR116" i="8"/>
  <c r="AR117" i="8"/>
  <c r="AR118" i="8"/>
  <c r="AR119" i="8"/>
  <c r="AR120" i="8"/>
  <c r="AR121" i="8"/>
  <c r="AR122" i="8"/>
  <c r="AR123" i="8"/>
  <c r="AR124" i="8"/>
  <c r="AR125" i="8"/>
  <c r="AR126" i="8"/>
  <c r="AR127" i="8"/>
  <c r="AR128" i="8"/>
  <c r="AR186" i="8"/>
  <c r="AR356" i="8"/>
  <c r="AQ170" i="8"/>
  <c r="AQ171" i="8"/>
  <c r="AQ172" i="8"/>
  <c r="AQ173" i="8"/>
  <c r="AQ174" i="8"/>
  <c r="AQ175" i="8"/>
  <c r="AQ176" i="8"/>
  <c r="AQ177" i="8"/>
  <c r="AQ178" i="8"/>
  <c r="AQ179" i="8"/>
  <c r="AQ180" i="8"/>
  <c r="AQ181" i="8"/>
  <c r="AQ182" i="8"/>
  <c r="AQ183" i="8"/>
  <c r="AQ184" i="8"/>
  <c r="AQ185" i="8"/>
  <c r="AQ152" i="8"/>
  <c r="AQ153" i="8"/>
  <c r="AQ154" i="8"/>
  <c r="AQ155" i="8"/>
  <c r="AQ156" i="8"/>
  <c r="AQ157" i="8"/>
  <c r="AQ158" i="8"/>
  <c r="AQ159" i="8"/>
  <c r="AQ160" i="8"/>
  <c r="AQ161" i="8"/>
  <c r="AQ162" i="8"/>
  <c r="AQ163" i="8"/>
  <c r="AQ164" i="8"/>
  <c r="AQ165" i="8"/>
  <c r="AQ166" i="8"/>
  <c r="AQ167" i="8"/>
  <c r="AQ168" i="8"/>
  <c r="AQ169" i="8"/>
  <c r="AQ138" i="8"/>
  <c r="AQ139" i="8"/>
  <c r="AQ140" i="8"/>
  <c r="AQ141" i="8"/>
  <c r="AQ142" i="8"/>
  <c r="AQ143" i="8"/>
  <c r="AQ144" i="8"/>
  <c r="AQ145" i="8"/>
  <c r="AQ146" i="8"/>
  <c r="AQ147" i="8"/>
  <c r="AQ148" i="8"/>
  <c r="AQ149" i="8"/>
  <c r="AQ150" i="8"/>
  <c r="AQ151" i="8"/>
  <c r="AQ129" i="8"/>
  <c r="AQ130" i="8"/>
  <c r="AQ131" i="8"/>
  <c r="AQ132" i="8"/>
  <c r="AQ133" i="8"/>
  <c r="AQ134" i="8"/>
  <c r="AQ135" i="8"/>
  <c r="AQ136" i="8"/>
  <c r="AQ137" i="8"/>
  <c r="AQ115" i="8"/>
  <c r="AQ116" i="8"/>
  <c r="AQ117" i="8"/>
  <c r="AQ118" i="8"/>
  <c r="AQ119" i="8"/>
  <c r="AQ120" i="8"/>
  <c r="AQ121" i="8"/>
  <c r="AQ122" i="8"/>
  <c r="AQ123" i="8"/>
  <c r="AQ124" i="8"/>
  <c r="AQ125" i="8"/>
  <c r="AQ126" i="8"/>
  <c r="AQ127" i="8"/>
  <c r="AQ128" i="8"/>
  <c r="AQ186" i="8"/>
  <c r="AQ356" i="8"/>
  <c r="AP170" i="8"/>
  <c r="AP171" i="8"/>
  <c r="AP172" i="8"/>
  <c r="AP173" i="8"/>
  <c r="AP174" i="8"/>
  <c r="AP175" i="8"/>
  <c r="AP176" i="8"/>
  <c r="AP177" i="8"/>
  <c r="AP178" i="8"/>
  <c r="AP179" i="8"/>
  <c r="AP180" i="8"/>
  <c r="AP181" i="8"/>
  <c r="AP182" i="8"/>
  <c r="AP183" i="8"/>
  <c r="AP184" i="8"/>
  <c r="AP185" i="8"/>
  <c r="AP152" i="8"/>
  <c r="AP153" i="8"/>
  <c r="AP154" i="8"/>
  <c r="AP155" i="8"/>
  <c r="AP156" i="8"/>
  <c r="AP157" i="8"/>
  <c r="AP158" i="8"/>
  <c r="AP159" i="8"/>
  <c r="AP160" i="8"/>
  <c r="AP161" i="8"/>
  <c r="AP162" i="8"/>
  <c r="AP163" i="8"/>
  <c r="AP164" i="8"/>
  <c r="AP165" i="8"/>
  <c r="AP166" i="8"/>
  <c r="AP167" i="8"/>
  <c r="AP168" i="8"/>
  <c r="AP169" i="8"/>
  <c r="AP138" i="8"/>
  <c r="AP139" i="8"/>
  <c r="AP140" i="8"/>
  <c r="AP141" i="8"/>
  <c r="AP142" i="8"/>
  <c r="AP143" i="8"/>
  <c r="AP144" i="8"/>
  <c r="AP145" i="8"/>
  <c r="AP146" i="8"/>
  <c r="AP147" i="8"/>
  <c r="AP148" i="8"/>
  <c r="AP149" i="8"/>
  <c r="AP150" i="8"/>
  <c r="AP151" i="8"/>
  <c r="AP129" i="8"/>
  <c r="AP130" i="8"/>
  <c r="AP131" i="8"/>
  <c r="AP132" i="8"/>
  <c r="AP133" i="8"/>
  <c r="AP134" i="8"/>
  <c r="AP135" i="8"/>
  <c r="AP136" i="8"/>
  <c r="AP137" i="8"/>
  <c r="AP115" i="8"/>
  <c r="AP116" i="8"/>
  <c r="AP117" i="8"/>
  <c r="AP118" i="8"/>
  <c r="AP119" i="8"/>
  <c r="AP120" i="8"/>
  <c r="AP121" i="8"/>
  <c r="AP122" i="8"/>
  <c r="AP123" i="8"/>
  <c r="AP124" i="8"/>
  <c r="AP125" i="8"/>
  <c r="AP126" i="8"/>
  <c r="AP127" i="8"/>
  <c r="AP128" i="8"/>
  <c r="AP186" i="8"/>
  <c r="AP356" i="8"/>
  <c r="AO170" i="8"/>
  <c r="AO171" i="8"/>
  <c r="AO172" i="8"/>
  <c r="AO173" i="8"/>
  <c r="AO174" i="8"/>
  <c r="AO175" i="8"/>
  <c r="AO176" i="8"/>
  <c r="AO177" i="8"/>
  <c r="AO178" i="8"/>
  <c r="AO179" i="8"/>
  <c r="AO180" i="8"/>
  <c r="AO181" i="8"/>
  <c r="AO182" i="8"/>
  <c r="AO183" i="8"/>
  <c r="AO184" i="8"/>
  <c r="AO185" i="8"/>
  <c r="AO152" i="8"/>
  <c r="AO153" i="8"/>
  <c r="AO154" i="8"/>
  <c r="AO155" i="8"/>
  <c r="AO156" i="8"/>
  <c r="AO157" i="8"/>
  <c r="AO158" i="8"/>
  <c r="AO159" i="8"/>
  <c r="AO160" i="8"/>
  <c r="AO161" i="8"/>
  <c r="AO162" i="8"/>
  <c r="AO163" i="8"/>
  <c r="AO164" i="8"/>
  <c r="AO165" i="8"/>
  <c r="AO166" i="8"/>
  <c r="AO167" i="8"/>
  <c r="AO168" i="8"/>
  <c r="AO169" i="8"/>
  <c r="AO138" i="8"/>
  <c r="AO139" i="8"/>
  <c r="AO140" i="8"/>
  <c r="AO141" i="8"/>
  <c r="AO142" i="8"/>
  <c r="AO143" i="8"/>
  <c r="AO144" i="8"/>
  <c r="AO145" i="8"/>
  <c r="AO146" i="8"/>
  <c r="AO147" i="8"/>
  <c r="AO148" i="8"/>
  <c r="AO149" i="8"/>
  <c r="AO150" i="8"/>
  <c r="AO151" i="8"/>
  <c r="AO129" i="8"/>
  <c r="AO130" i="8"/>
  <c r="AO131" i="8"/>
  <c r="AO132" i="8"/>
  <c r="AO133" i="8"/>
  <c r="AO134" i="8"/>
  <c r="AO135" i="8"/>
  <c r="AO136" i="8"/>
  <c r="AO137" i="8"/>
  <c r="AO115" i="8"/>
  <c r="AO116" i="8"/>
  <c r="AO117" i="8"/>
  <c r="AO118" i="8"/>
  <c r="AO119" i="8"/>
  <c r="AO120" i="8"/>
  <c r="AO121" i="8"/>
  <c r="AO122" i="8"/>
  <c r="AO123" i="8"/>
  <c r="AO124" i="8"/>
  <c r="AO125" i="8"/>
  <c r="AO126" i="8"/>
  <c r="AO127" i="8"/>
  <c r="AO128" i="8"/>
  <c r="AO186" i="8"/>
  <c r="AO356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29" i="8"/>
  <c r="AN130" i="8"/>
  <c r="AN131" i="8"/>
  <c r="AN132" i="8"/>
  <c r="AN133" i="8"/>
  <c r="AN134" i="8"/>
  <c r="AN135" i="8"/>
  <c r="AN136" i="8"/>
  <c r="AN137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86" i="8"/>
  <c r="AN356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29" i="8"/>
  <c r="AM130" i="8"/>
  <c r="AM131" i="8"/>
  <c r="AM132" i="8"/>
  <c r="AM133" i="8"/>
  <c r="AM134" i="8"/>
  <c r="AM135" i="8"/>
  <c r="AM136" i="8"/>
  <c r="AM137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86" i="8"/>
  <c r="AM356" i="8"/>
  <c r="AL170" i="8"/>
  <c r="AL171" i="8"/>
  <c r="AL172" i="8"/>
  <c r="AL173" i="8"/>
  <c r="AL174" i="8"/>
  <c r="AL175" i="8"/>
  <c r="AL176" i="8"/>
  <c r="AL177" i="8"/>
  <c r="AL178" i="8"/>
  <c r="AL179" i="8"/>
  <c r="AL180" i="8"/>
  <c r="AL181" i="8"/>
  <c r="AL182" i="8"/>
  <c r="AL183" i="8"/>
  <c r="AL184" i="8"/>
  <c r="AL185" i="8"/>
  <c r="AL152" i="8"/>
  <c r="AL153" i="8"/>
  <c r="AL154" i="8"/>
  <c r="AL155" i="8"/>
  <c r="AL156" i="8"/>
  <c r="AL157" i="8"/>
  <c r="AL158" i="8"/>
  <c r="AL159" i="8"/>
  <c r="AL160" i="8"/>
  <c r="AL161" i="8"/>
  <c r="AL162" i="8"/>
  <c r="AL163" i="8"/>
  <c r="AL164" i="8"/>
  <c r="AL165" i="8"/>
  <c r="AL166" i="8"/>
  <c r="AL167" i="8"/>
  <c r="AL168" i="8"/>
  <c r="AL169" i="8"/>
  <c r="AL138" i="8"/>
  <c r="AL139" i="8"/>
  <c r="AL140" i="8"/>
  <c r="AL141" i="8"/>
  <c r="AL142" i="8"/>
  <c r="AL143" i="8"/>
  <c r="AL144" i="8"/>
  <c r="AL145" i="8"/>
  <c r="AL146" i="8"/>
  <c r="AL147" i="8"/>
  <c r="AL148" i="8"/>
  <c r="AL149" i="8"/>
  <c r="AL150" i="8"/>
  <c r="AL151" i="8"/>
  <c r="AL129" i="8"/>
  <c r="AL130" i="8"/>
  <c r="AL131" i="8"/>
  <c r="AL132" i="8"/>
  <c r="AL133" i="8"/>
  <c r="AL134" i="8"/>
  <c r="AL135" i="8"/>
  <c r="AL136" i="8"/>
  <c r="AL137" i="8"/>
  <c r="AL115" i="8"/>
  <c r="AL116" i="8"/>
  <c r="AL117" i="8"/>
  <c r="AL118" i="8"/>
  <c r="AL119" i="8"/>
  <c r="AL120" i="8"/>
  <c r="AL121" i="8"/>
  <c r="AL122" i="8"/>
  <c r="AL123" i="8"/>
  <c r="AL124" i="8"/>
  <c r="AL125" i="8"/>
  <c r="AL126" i="8"/>
  <c r="AL127" i="8"/>
  <c r="AL128" i="8"/>
  <c r="AL186" i="8"/>
  <c r="AL356" i="8"/>
  <c r="AK170" i="8"/>
  <c r="AK171" i="8"/>
  <c r="AK172" i="8"/>
  <c r="AK173" i="8"/>
  <c r="AK174" i="8"/>
  <c r="AK175" i="8"/>
  <c r="AK176" i="8"/>
  <c r="AK177" i="8"/>
  <c r="AK178" i="8"/>
  <c r="AK179" i="8"/>
  <c r="AK180" i="8"/>
  <c r="AK181" i="8"/>
  <c r="AK182" i="8"/>
  <c r="AK183" i="8"/>
  <c r="AK184" i="8"/>
  <c r="AK185" i="8"/>
  <c r="AK152" i="8"/>
  <c r="AK153" i="8"/>
  <c r="AK154" i="8"/>
  <c r="AK155" i="8"/>
  <c r="AK156" i="8"/>
  <c r="AK157" i="8"/>
  <c r="AK158" i="8"/>
  <c r="AK159" i="8"/>
  <c r="AK160" i="8"/>
  <c r="AK161" i="8"/>
  <c r="AK162" i="8"/>
  <c r="AK163" i="8"/>
  <c r="AK164" i="8"/>
  <c r="AK165" i="8"/>
  <c r="AK166" i="8"/>
  <c r="AK167" i="8"/>
  <c r="AK168" i="8"/>
  <c r="AK169" i="8"/>
  <c r="AK138" i="8"/>
  <c r="AK139" i="8"/>
  <c r="AK140" i="8"/>
  <c r="AK141" i="8"/>
  <c r="AK142" i="8"/>
  <c r="AK143" i="8"/>
  <c r="AK144" i="8"/>
  <c r="AK145" i="8"/>
  <c r="AK146" i="8"/>
  <c r="AK147" i="8"/>
  <c r="AK148" i="8"/>
  <c r="AK149" i="8"/>
  <c r="AK150" i="8"/>
  <c r="AK151" i="8"/>
  <c r="AK129" i="8"/>
  <c r="AK130" i="8"/>
  <c r="AK131" i="8"/>
  <c r="AK132" i="8"/>
  <c r="AK133" i="8"/>
  <c r="AK134" i="8"/>
  <c r="AK135" i="8"/>
  <c r="AK136" i="8"/>
  <c r="AK137" i="8"/>
  <c r="AK115" i="8"/>
  <c r="AK116" i="8"/>
  <c r="AK117" i="8"/>
  <c r="AK118" i="8"/>
  <c r="AK119" i="8"/>
  <c r="AK120" i="8"/>
  <c r="AK121" i="8"/>
  <c r="AK122" i="8"/>
  <c r="AK123" i="8"/>
  <c r="AK124" i="8"/>
  <c r="AK125" i="8"/>
  <c r="AK126" i="8"/>
  <c r="AK127" i="8"/>
  <c r="AK128" i="8"/>
  <c r="AK186" i="8"/>
  <c r="AK356" i="8"/>
  <c r="AJ170" i="8"/>
  <c r="AJ171" i="8"/>
  <c r="AJ172" i="8"/>
  <c r="AJ173" i="8"/>
  <c r="AJ174" i="8"/>
  <c r="AJ175" i="8"/>
  <c r="AJ176" i="8"/>
  <c r="AJ177" i="8"/>
  <c r="AJ178" i="8"/>
  <c r="AJ179" i="8"/>
  <c r="AJ180" i="8"/>
  <c r="AJ181" i="8"/>
  <c r="AJ182" i="8"/>
  <c r="AJ183" i="8"/>
  <c r="AJ184" i="8"/>
  <c r="AJ185" i="8"/>
  <c r="AJ152" i="8"/>
  <c r="AJ153" i="8"/>
  <c r="AJ154" i="8"/>
  <c r="AJ155" i="8"/>
  <c r="AJ156" i="8"/>
  <c r="AJ157" i="8"/>
  <c r="AJ158" i="8"/>
  <c r="AJ159" i="8"/>
  <c r="AJ160" i="8"/>
  <c r="AJ161" i="8"/>
  <c r="AJ162" i="8"/>
  <c r="AJ163" i="8"/>
  <c r="AJ164" i="8"/>
  <c r="AJ165" i="8"/>
  <c r="AJ166" i="8"/>
  <c r="AJ167" i="8"/>
  <c r="AJ168" i="8"/>
  <c r="AJ169" i="8"/>
  <c r="AJ138" i="8"/>
  <c r="AJ139" i="8"/>
  <c r="AJ140" i="8"/>
  <c r="AJ141" i="8"/>
  <c r="AJ142" i="8"/>
  <c r="AJ143" i="8"/>
  <c r="AJ144" i="8"/>
  <c r="AJ145" i="8"/>
  <c r="AJ146" i="8"/>
  <c r="AJ147" i="8"/>
  <c r="AJ148" i="8"/>
  <c r="AJ149" i="8"/>
  <c r="AJ150" i="8"/>
  <c r="AJ151" i="8"/>
  <c r="AJ129" i="8"/>
  <c r="AJ130" i="8"/>
  <c r="AJ131" i="8"/>
  <c r="AJ132" i="8"/>
  <c r="AJ133" i="8"/>
  <c r="AJ134" i="8"/>
  <c r="AJ135" i="8"/>
  <c r="AJ136" i="8"/>
  <c r="AJ137" i="8"/>
  <c r="AJ115" i="8"/>
  <c r="AJ116" i="8"/>
  <c r="AJ117" i="8"/>
  <c r="AJ118" i="8"/>
  <c r="AJ119" i="8"/>
  <c r="AJ120" i="8"/>
  <c r="AJ121" i="8"/>
  <c r="AJ122" i="8"/>
  <c r="AJ123" i="8"/>
  <c r="AJ124" i="8"/>
  <c r="AJ125" i="8"/>
  <c r="AJ126" i="8"/>
  <c r="AJ127" i="8"/>
  <c r="AJ128" i="8"/>
  <c r="AJ186" i="8"/>
  <c r="AJ356" i="8"/>
  <c r="AI170" i="8"/>
  <c r="AI171" i="8"/>
  <c r="AI172" i="8"/>
  <c r="AI173" i="8"/>
  <c r="AI174" i="8"/>
  <c r="AI175" i="8"/>
  <c r="AI176" i="8"/>
  <c r="AI177" i="8"/>
  <c r="AI178" i="8"/>
  <c r="AI179" i="8"/>
  <c r="AI180" i="8"/>
  <c r="AI181" i="8"/>
  <c r="AI182" i="8"/>
  <c r="AI183" i="8"/>
  <c r="AI184" i="8"/>
  <c r="AI185" i="8"/>
  <c r="AI152" i="8"/>
  <c r="AI153" i="8"/>
  <c r="AI154" i="8"/>
  <c r="AI155" i="8"/>
  <c r="AI156" i="8"/>
  <c r="AI157" i="8"/>
  <c r="AI158" i="8"/>
  <c r="AI159" i="8"/>
  <c r="AI160" i="8"/>
  <c r="AI161" i="8"/>
  <c r="AI162" i="8"/>
  <c r="AI163" i="8"/>
  <c r="AI164" i="8"/>
  <c r="AI165" i="8"/>
  <c r="AI166" i="8"/>
  <c r="AI167" i="8"/>
  <c r="AI168" i="8"/>
  <c r="AI169" i="8"/>
  <c r="AI138" i="8"/>
  <c r="AI139" i="8"/>
  <c r="AI140" i="8"/>
  <c r="AI141" i="8"/>
  <c r="AI142" i="8"/>
  <c r="AI143" i="8"/>
  <c r="AI144" i="8"/>
  <c r="AI145" i="8"/>
  <c r="AI146" i="8"/>
  <c r="AI147" i="8"/>
  <c r="AI148" i="8"/>
  <c r="AI149" i="8"/>
  <c r="AI150" i="8"/>
  <c r="AI151" i="8"/>
  <c r="AI129" i="8"/>
  <c r="AI130" i="8"/>
  <c r="AI131" i="8"/>
  <c r="AI132" i="8"/>
  <c r="AI133" i="8"/>
  <c r="AI134" i="8"/>
  <c r="AI135" i="8"/>
  <c r="AI136" i="8"/>
  <c r="AI137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I127" i="8"/>
  <c r="AI128" i="8"/>
  <c r="AI186" i="8"/>
  <c r="AI356" i="8"/>
  <c r="AH170" i="8"/>
  <c r="AH171" i="8"/>
  <c r="AH172" i="8"/>
  <c r="AH173" i="8"/>
  <c r="AH174" i="8"/>
  <c r="AH175" i="8"/>
  <c r="AH176" i="8"/>
  <c r="AH177" i="8"/>
  <c r="AH178" i="8"/>
  <c r="AH179" i="8"/>
  <c r="AH180" i="8"/>
  <c r="AH181" i="8"/>
  <c r="AH182" i="8"/>
  <c r="AH183" i="8"/>
  <c r="AH184" i="8"/>
  <c r="AH185" i="8"/>
  <c r="AH152" i="8"/>
  <c r="AH153" i="8"/>
  <c r="AH154" i="8"/>
  <c r="AH155" i="8"/>
  <c r="AH156" i="8"/>
  <c r="AH157" i="8"/>
  <c r="AH158" i="8"/>
  <c r="AH159" i="8"/>
  <c r="AH160" i="8"/>
  <c r="AH161" i="8"/>
  <c r="AH162" i="8"/>
  <c r="AH163" i="8"/>
  <c r="AH164" i="8"/>
  <c r="AH165" i="8"/>
  <c r="AH166" i="8"/>
  <c r="AH167" i="8"/>
  <c r="AH168" i="8"/>
  <c r="AH169" i="8"/>
  <c r="AH138" i="8"/>
  <c r="AH139" i="8"/>
  <c r="AH140" i="8"/>
  <c r="AH141" i="8"/>
  <c r="AH142" i="8"/>
  <c r="AH143" i="8"/>
  <c r="AH144" i="8"/>
  <c r="AH145" i="8"/>
  <c r="AH146" i="8"/>
  <c r="AH147" i="8"/>
  <c r="AH148" i="8"/>
  <c r="AH149" i="8"/>
  <c r="AH150" i="8"/>
  <c r="AH151" i="8"/>
  <c r="AH129" i="8"/>
  <c r="AH130" i="8"/>
  <c r="AH131" i="8"/>
  <c r="AH132" i="8"/>
  <c r="AH133" i="8"/>
  <c r="AH134" i="8"/>
  <c r="AH135" i="8"/>
  <c r="AH136" i="8"/>
  <c r="AH137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H127" i="8"/>
  <c r="AH128" i="8"/>
  <c r="AH186" i="8"/>
  <c r="AH356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29" i="8"/>
  <c r="AG130" i="8"/>
  <c r="AG131" i="8"/>
  <c r="AG132" i="8"/>
  <c r="AG133" i="8"/>
  <c r="AG134" i="8"/>
  <c r="AG135" i="8"/>
  <c r="AG136" i="8"/>
  <c r="AG137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86" i="8"/>
  <c r="AG356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29" i="8"/>
  <c r="AF130" i="8"/>
  <c r="AF131" i="8"/>
  <c r="AF132" i="8"/>
  <c r="AF133" i="8"/>
  <c r="AF134" i="8"/>
  <c r="AF135" i="8"/>
  <c r="AF136" i="8"/>
  <c r="AF137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86" i="8"/>
  <c r="AF356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29" i="8"/>
  <c r="AE130" i="8"/>
  <c r="AE131" i="8"/>
  <c r="AE132" i="8"/>
  <c r="AE133" i="8"/>
  <c r="AE134" i="8"/>
  <c r="AE135" i="8"/>
  <c r="AE136" i="8"/>
  <c r="AE137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86" i="8"/>
  <c r="AE356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29" i="8"/>
  <c r="AD130" i="8"/>
  <c r="AD131" i="8"/>
  <c r="AD132" i="8"/>
  <c r="AD133" i="8"/>
  <c r="AD134" i="8"/>
  <c r="AD135" i="8"/>
  <c r="AD136" i="8"/>
  <c r="AD137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86" i="8"/>
  <c r="AD356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29" i="8"/>
  <c r="AC130" i="8"/>
  <c r="AC131" i="8"/>
  <c r="AC132" i="8"/>
  <c r="AC133" i="8"/>
  <c r="AC134" i="8"/>
  <c r="AC135" i="8"/>
  <c r="AC136" i="8"/>
  <c r="AC137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86" i="8"/>
  <c r="AC356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29" i="8"/>
  <c r="AB130" i="8"/>
  <c r="AB131" i="8"/>
  <c r="AB132" i="8"/>
  <c r="AB133" i="8"/>
  <c r="AB134" i="8"/>
  <c r="AB135" i="8"/>
  <c r="AB136" i="8"/>
  <c r="AB137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86" i="8"/>
  <c r="AB356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29" i="8"/>
  <c r="AA130" i="8"/>
  <c r="AA131" i="8"/>
  <c r="AA132" i="8"/>
  <c r="AA133" i="8"/>
  <c r="AA134" i="8"/>
  <c r="AA135" i="8"/>
  <c r="AA136" i="8"/>
  <c r="AA137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86" i="8"/>
  <c r="AA356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29" i="8"/>
  <c r="Z130" i="8"/>
  <c r="Z131" i="8"/>
  <c r="Z132" i="8"/>
  <c r="Z133" i="8"/>
  <c r="Z134" i="8"/>
  <c r="Z135" i="8"/>
  <c r="Z136" i="8"/>
  <c r="Z137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86" i="8"/>
  <c r="Z356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29" i="8"/>
  <c r="Y130" i="8"/>
  <c r="Y131" i="8"/>
  <c r="Y132" i="8"/>
  <c r="Y133" i="8"/>
  <c r="Y134" i="8"/>
  <c r="Y135" i="8"/>
  <c r="Y136" i="8"/>
  <c r="Y137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86" i="8"/>
  <c r="Y356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29" i="8"/>
  <c r="X130" i="8"/>
  <c r="X131" i="8"/>
  <c r="X132" i="8"/>
  <c r="X133" i="8"/>
  <c r="X134" i="8"/>
  <c r="X135" i="8"/>
  <c r="X136" i="8"/>
  <c r="X137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86" i="8"/>
  <c r="X356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29" i="8"/>
  <c r="W130" i="8"/>
  <c r="W131" i="8"/>
  <c r="W132" i="8"/>
  <c r="W133" i="8"/>
  <c r="W134" i="8"/>
  <c r="W135" i="8"/>
  <c r="W136" i="8"/>
  <c r="W137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86" i="8"/>
  <c r="W356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V183" i="8"/>
  <c r="V184" i="8"/>
  <c r="V185" i="8"/>
  <c r="V152" i="8"/>
  <c r="V153" i="8"/>
  <c r="V154" i="8"/>
  <c r="V155" i="8"/>
  <c r="V156" i="8"/>
  <c r="V157" i="8"/>
  <c r="V158" i="8"/>
  <c r="V159" i="8"/>
  <c r="V160" i="8"/>
  <c r="V161" i="8"/>
  <c r="V162" i="8"/>
  <c r="V163" i="8"/>
  <c r="V164" i="8"/>
  <c r="V165" i="8"/>
  <c r="V166" i="8"/>
  <c r="V167" i="8"/>
  <c r="V168" i="8"/>
  <c r="V169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29" i="8"/>
  <c r="V130" i="8"/>
  <c r="V131" i="8"/>
  <c r="V132" i="8"/>
  <c r="V133" i="8"/>
  <c r="V134" i="8"/>
  <c r="V135" i="8"/>
  <c r="V136" i="8"/>
  <c r="V137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86" i="8"/>
  <c r="V356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29" i="8"/>
  <c r="U130" i="8"/>
  <c r="U131" i="8"/>
  <c r="U132" i="8"/>
  <c r="U133" i="8"/>
  <c r="U134" i="8"/>
  <c r="U135" i="8"/>
  <c r="U136" i="8"/>
  <c r="U137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86" i="8"/>
  <c r="U356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29" i="8"/>
  <c r="T130" i="8"/>
  <c r="T131" i="8"/>
  <c r="T132" i="8"/>
  <c r="T133" i="8"/>
  <c r="T134" i="8"/>
  <c r="T135" i="8"/>
  <c r="T136" i="8"/>
  <c r="T137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86" i="8"/>
  <c r="T356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29" i="8"/>
  <c r="S130" i="8"/>
  <c r="S131" i="8"/>
  <c r="S132" i="8"/>
  <c r="S133" i="8"/>
  <c r="S134" i="8"/>
  <c r="S135" i="8"/>
  <c r="S136" i="8"/>
  <c r="S137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86" i="8"/>
  <c r="S356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29" i="8"/>
  <c r="R130" i="8"/>
  <c r="R131" i="8"/>
  <c r="R132" i="8"/>
  <c r="R133" i="8"/>
  <c r="R134" i="8"/>
  <c r="R135" i="8"/>
  <c r="R136" i="8"/>
  <c r="R137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86" i="8"/>
  <c r="R356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29" i="8"/>
  <c r="Q130" i="8"/>
  <c r="Q131" i="8"/>
  <c r="Q132" i="8"/>
  <c r="Q133" i="8"/>
  <c r="Q134" i="8"/>
  <c r="Q135" i="8"/>
  <c r="Q136" i="8"/>
  <c r="Q137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86" i="8"/>
  <c r="Q356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29" i="8"/>
  <c r="P130" i="8"/>
  <c r="P131" i="8"/>
  <c r="P132" i="8"/>
  <c r="P133" i="8"/>
  <c r="P134" i="8"/>
  <c r="P135" i="8"/>
  <c r="P136" i="8"/>
  <c r="P137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86" i="8"/>
  <c r="P356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29" i="8"/>
  <c r="O130" i="8"/>
  <c r="O131" i="8"/>
  <c r="O132" i="8"/>
  <c r="O133" i="8"/>
  <c r="O134" i="8"/>
  <c r="O135" i="8"/>
  <c r="O136" i="8"/>
  <c r="O137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86" i="8"/>
  <c r="O356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29" i="8"/>
  <c r="N130" i="8"/>
  <c r="N131" i="8"/>
  <c r="N132" i="8"/>
  <c r="N133" i="8"/>
  <c r="N134" i="8"/>
  <c r="N135" i="8"/>
  <c r="N136" i="8"/>
  <c r="N137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86" i="8"/>
  <c r="N356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29" i="8"/>
  <c r="M130" i="8"/>
  <c r="M131" i="8"/>
  <c r="M132" i="8"/>
  <c r="M133" i="8"/>
  <c r="M134" i="8"/>
  <c r="M135" i="8"/>
  <c r="M136" i="8"/>
  <c r="M137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86" i="8"/>
  <c r="M356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29" i="8"/>
  <c r="L130" i="8"/>
  <c r="L131" i="8"/>
  <c r="L132" i="8"/>
  <c r="L133" i="8"/>
  <c r="L134" i="8"/>
  <c r="L135" i="8"/>
  <c r="L136" i="8"/>
  <c r="L137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86" i="8"/>
  <c r="L356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29" i="8"/>
  <c r="K130" i="8"/>
  <c r="K131" i="8"/>
  <c r="K132" i="8"/>
  <c r="K133" i="8"/>
  <c r="K134" i="8"/>
  <c r="K135" i="8"/>
  <c r="K136" i="8"/>
  <c r="K137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86" i="8"/>
  <c r="K356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29" i="8"/>
  <c r="J130" i="8"/>
  <c r="J131" i="8"/>
  <c r="J132" i="8"/>
  <c r="J133" i="8"/>
  <c r="J134" i="8"/>
  <c r="J135" i="8"/>
  <c r="J136" i="8"/>
  <c r="J137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86" i="8"/>
  <c r="J356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29" i="8"/>
  <c r="I130" i="8"/>
  <c r="I131" i="8"/>
  <c r="I132" i="8"/>
  <c r="I133" i="8"/>
  <c r="I134" i="8"/>
  <c r="I135" i="8"/>
  <c r="I136" i="8"/>
  <c r="I137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86" i="8"/>
  <c r="I356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29" i="8"/>
  <c r="H130" i="8"/>
  <c r="H131" i="8"/>
  <c r="H132" i="8"/>
  <c r="H133" i="8"/>
  <c r="H134" i="8"/>
  <c r="H135" i="8"/>
  <c r="H136" i="8"/>
  <c r="H137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86" i="8"/>
  <c r="H356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29" i="8"/>
  <c r="G130" i="8"/>
  <c r="G131" i="8"/>
  <c r="G132" i="8"/>
  <c r="G133" i="8"/>
  <c r="G134" i="8"/>
  <c r="G135" i="8"/>
  <c r="G136" i="8"/>
  <c r="G137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86" i="8"/>
  <c r="G356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29" i="8"/>
  <c r="F130" i="8"/>
  <c r="F131" i="8"/>
  <c r="F132" i="8"/>
  <c r="F133" i="8"/>
  <c r="F134" i="8"/>
  <c r="F135" i="8"/>
  <c r="F136" i="8"/>
  <c r="F137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86" i="8"/>
  <c r="F356" i="8"/>
  <c r="AU110" i="8"/>
  <c r="AU111" i="8"/>
  <c r="AU112" i="8"/>
  <c r="AU113" i="8"/>
  <c r="AU99" i="8"/>
  <c r="AU100" i="8"/>
  <c r="AU101" i="8"/>
  <c r="AU102" i="8"/>
  <c r="AU103" i="8"/>
  <c r="AU104" i="8"/>
  <c r="AU105" i="8"/>
  <c r="AU106" i="8"/>
  <c r="AU107" i="8"/>
  <c r="AU108" i="8"/>
  <c r="AU109" i="8"/>
  <c r="AU114" i="8"/>
  <c r="AU355" i="8"/>
  <c r="AT110" i="8"/>
  <c r="AT111" i="8"/>
  <c r="AT112" i="8"/>
  <c r="AT113" i="8"/>
  <c r="AT99" i="8"/>
  <c r="AT100" i="8"/>
  <c r="AT101" i="8"/>
  <c r="AT102" i="8"/>
  <c r="AT103" i="8"/>
  <c r="AT104" i="8"/>
  <c r="AT105" i="8"/>
  <c r="AT106" i="8"/>
  <c r="AT107" i="8"/>
  <c r="AT108" i="8"/>
  <c r="AT109" i="8"/>
  <c r="AT114" i="8"/>
  <c r="AT355" i="8"/>
  <c r="AS110" i="8"/>
  <c r="AS111" i="8"/>
  <c r="AS112" i="8"/>
  <c r="AS113" i="8"/>
  <c r="AS99" i="8"/>
  <c r="AS100" i="8"/>
  <c r="AS101" i="8"/>
  <c r="AS102" i="8"/>
  <c r="AS103" i="8"/>
  <c r="AS104" i="8"/>
  <c r="AS105" i="8"/>
  <c r="AS106" i="8"/>
  <c r="AS107" i="8"/>
  <c r="AS108" i="8"/>
  <c r="AS109" i="8"/>
  <c r="AS114" i="8"/>
  <c r="AS355" i="8"/>
  <c r="AR110" i="8"/>
  <c r="AR111" i="8"/>
  <c r="AR112" i="8"/>
  <c r="AR113" i="8"/>
  <c r="AR99" i="8"/>
  <c r="AR100" i="8"/>
  <c r="AR101" i="8"/>
  <c r="AR102" i="8"/>
  <c r="AR103" i="8"/>
  <c r="AR104" i="8"/>
  <c r="AR105" i="8"/>
  <c r="AR106" i="8"/>
  <c r="AR107" i="8"/>
  <c r="AR108" i="8"/>
  <c r="AR109" i="8"/>
  <c r="AR114" i="8"/>
  <c r="AR355" i="8"/>
  <c r="AQ110" i="8"/>
  <c r="AQ111" i="8"/>
  <c r="AQ112" i="8"/>
  <c r="AQ113" i="8"/>
  <c r="AQ99" i="8"/>
  <c r="AQ100" i="8"/>
  <c r="AQ101" i="8"/>
  <c r="AQ102" i="8"/>
  <c r="AQ103" i="8"/>
  <c r="AQ104" i="8"/>
  <c r="AQ105" i="8"/>
  <c r="AQ106" i="8"/>
  <c r="AQ107" i="8"/>
  <c r="AQ108" i="8"/>
  <c r="AQ109" i="8"/>
  <c r="AQ114" i="8"/>
  <c r="AQ355" i="8"/>
  <c r="AP110" i="8"/>
  <c r="AP111" i="8"/>
  <c r="AP112" i="8"/>
  <c r="AP113" i="8"/>
  <c r="AP99" i="8"/>
  <c r="AP100" i="8"/>
  <c r="AP101" i="8"/>
  <c r="AP102" i="8"/>
  <c r="AP103" i="8"/>
  <c r="AP104" i="8"/>
  <c r="AP105" i="8"/>
  <c r="AP106" i="8"/>
  <c r="AP107" i="8"/>
  <c r="AP108" i="8"/>
  <c r="AP109" i="8"/>
  <c r="AP114" i="8"/>
  <c r="AP355" i="8"/>
  <c r="AO110" i="8"/>
  <c r="AO111" i="8"/>
  <c r="AO112" i="8"/>
  <c r="AO113" i="8"/>
  <c r="AO99" i="8"/>
  <c r="AO100" i="8"/>
  <c r="AO101" i="8"/>
  <c r="AO102" i="8"/>
  <c r="AO103" i="8"/>
  <c r="AO104" i="8"/>
  <c r="AO105" i="8"/>
  <c r="AO106" i="8"/>
  <c r="AO107" i="8"/>
  <c r="AO108" i="8"/>
  <c r="AO109" i="8"/>
  <c r="AO114" i="8"/>
  <c r="AO355" i="8"/>
  <c r="AN110" i="8"/>
  <c r="AN111" i="8"/>
  <c r="AN112" i="8"/>
  <c r="AN113" i="8"/>
  <c r="AN99" i="8"/>
  <c r="AN100" i="8"/>
  <c r="AN101" i="8"/>
  <c r="AN102" i="8"/>
  <c r="AN103" i="8"/>
  <c r="AN104" i="8"/>
  <c r="AN105" i="8"/>
  <c r="AN106" i="8"/>
  <c r="AN107" i="8"/>
  <c r="AN108" i="8"/>
  <c r="AN109" i="8"/>
  <c r="AN114" i="8"/>
  <c r="AN355" i="8"/>
  <c r="AM110" i="8"/>
  <c r="AM111" i="8"/>
  <c r="AM112" i="8"/>
  <c r="AM113" i="8"/>
  <c r="AM99" i="8"/>
  <c r="AM100" i="8"/>
  <c r="AM101" i="8"/>
  <c r="AM102" i="8"/>
  <c r="AM103" i="8"/>
  <c r="AM104" i="8"/>
  <c r="AM105" i="8"/>
  <c r="AM106" i="8"/>
  <c r="AM107" i="8"/>
  <c r="AM108" i="8"/>
  <c r="AM109" i="8"/>
  <c r="AM114" i="8"/>
  <c r="AM355" i="8"/>
  <c r="AL110" i="8"/>
  <c r="AL111" i="8"/>
  <c r="AL112" i="8"/>
  <c r="AL113" i="8"/>
  <c r="AL99" i="8"/>
  <c r="AL100" i="8"/>
  <c r="AL101" i="8"/>
  <c r="AL102" i="8"/>
  <c r="AL103" i="8"/>
  <c r="AL104" i="8"/>
  <c r="AL105" i="8"/>
  <c r="AL106" i="8"/>
  <c r="AL107" i="8"/>
  <c r="AL108" i="8"/>
  <c r="AL109" i="8"/>
  <c r="AL114" i="8"/>
  <c r="AL355" i="8"/>
  <c r="AK110" i="8"/>
  <c r="AK111" i="8"/>
  <c r="AK112" i="8"/>
  <c r="AK113" i="8"/>
  <c r="AK99" i="8"/>
  <c r="AK100" i="8"/>
  <c r="AK101" i="8"/>
  <c r="AK102" i="8"/>
  <c r="AK103" i="8"/>
  <c r="AK104" i="8"/>
  <c r="AK105" i="8"/>
  <c r="AK106" i="8"/>
  <c r="AK107" i="8"/>
  <c r="AK108" i="8"/>
  <c r="AK109" i="8"/>
  <c r="AK114" i="8"/>
  <c r="AK355" i="8"/>
  <c r="AJ110" i="8"/>
  <c r="AJ111" i="8"/>
  <c r="AJ112" i="8"/>
  <c r="AJ113" i="8"/>
  <c r="AJ99" i="8"/>
  <c r="AJ100" i="8"/>
  <c r="AJ101" i="8"/>
  <c r="AJ102" i="8"/>
  <c r="AJ103" i="8"/>
  <c r="AJ104" i="8"/>
  <c r="AJ105" i="8"/>
  <c r="AJ106" i="8"/>
  <c r="AJ107" i="8"/>
  <c r="AJ108" i="8"/>
  <c r="AJ109" i="8"/>
  <c r="AJ114" i="8"/>
  <c r="AJ355" i="8"/>
  <c r="AI110" i="8"/>
  <c r="AI111" i="8"/>
  <c r="AI112" i="8"/>
  <c r="AI113" i="8"/>
  <c r="AI99" i="8"/>
  <c r="AI100" i="8"/>
  <c r="AI101" i="8"/>
  <c r="AI102" i="8"/>
  <c r="AI103" i="8"/>
  <c r="AI104" i="8"/>
  <c r="AI105" i="8"/>
  <c r="AI106" i="8"/>
  <c r="AI107" i="8"/>
  <c r="AI108" i="8"/>
  <c r="AI109" i="8"/>
  <c r="AI114" i="8"/>
  <c r="AI355" i="8"/>
  <c r="AH110" i="8"/>
  <c r="AH111" i="8"/>
  <c r="AH112" i="8"/>
  <c r="AH113" i="8"/>
  <c r="AH99" i="8"/>
  <c r="AH100" i="8"/>
  <c r="AH101" i="8"/>
  <c r="AH102" i="8"/>
  <c r="AH103" i="8"/>
  <c r="AH104" i="8"/>
  <c r="AH105" i="8"/>
  <c r="AH106" i="8"/>
  <c r="AH107" i="8"/>
  <c r="AH108" i="8"/>
  <c r="AH109" i="8"/>
  <c r="AH114" i="8"/>
  <c r="AH355" i="8"/>
  <c r="AG110" i="8"/>
  <c r="AG111" i="8"/>
  <c r="AG112" i="8"/>
  <c r="AG113" i="8"/>
  <c r="AG99" i="8"/>
  <c r="AG100" i="8"/>
  <c r="AG101" i="8"/>
  <c r="AG102" i="8"/>
  <c r="AG103" i="8"/>
  <c r="AG104" i="8"/>
  <c r="AG105" i="8"/>
  <c r="AG106" i="8"/>
  <c r="AG107" i="8"/>
  <c r="AG108" i="8"/>
  <c r="AG109" i="8"/>
  <c r="AG114" i="8"/>
  <c r="AG355" i="8"/>
  <c r="AF110" i="8"/>
  <c r="AF111" i="8"/>
  <c r="AF112" i="8"/>
  <c r="AF113" i="8"/>
  <c r="AF99" i="8"/>
  <c r="AF100" i="8"/>
  <c r="AF101" i="8"/>
  <c r="AF102" i="8"/>
  <c r="AF103" i="8"/>
  <c r="AF104" i="8"/>
  <c r="AF105" i="8"/>
  <c r="AF106" i="8"/>
  <c r="AF107" i="8"/>
  <c r="AF108" i="8"/>
  <c r="AF109" i="8"/>
  <c r="AF114" i="8"/>
  <c r="AF355" i="8"/>
  <c r="AE110" i="8"/>
  <c r="AE111" i="8"/>
  <c r="AE112" i="8"/>
  <c r="AE113" i="8"/>
  <c r="AE99" i="8"/>
  <c r="AE100" i="8"/>
  <c r="AE101" i="8"/>
  <c r="AE102" i="8"/>
  <c r="AE103" i="8"/>
  <c r="AE104" i="8"/>
  <c r="AE105" i="8"/>
  <c r="AE106" i="8"/>
  <c r="AE107" i="8"/>
  <c r="AE108" i="8"/>
  <c r="AE109" i="8"/>
  <c r="AE114" i="8"/>
  <c r="AE355" i="8"/>
  <c r="AD110" i="8"/>
  <c r="AD111" i="8"/>
  <c r="AD112" i="8"/>
  <c r="AD113" i="8"/>
  <c r="AD99" i="8"/>
  <c r="AD100" i="8"/>
  <c r="AD101" i="8"/>
  <c r="AD102" i="8"/>
  <c r="AD103" i="8"/>
  <c r="AD104" i="8"/>
  <c r="AD105" i="8"/>
  <c r="AD106" i="8"/>
  <c r="AD107" i="8"/>
  <c r="AD108" i="8"/>
  <c r="AD109" i="8"/>
  <c r="AD114" i="8"/>
  <c r="AD355" i="8"/>
  <c r="AC110" i="8"/>
  <c r="AC111" i="8"/>
  <c r="AC112" i="8"/>
  <c r="AC113" i="8"/>
  <c r="AC99" i="8"/>
  <c r="AC100" i="8"/>
  <c r="AC101" i="8"/>
  <c r="AC102" i="8"/>
  <c r="AC103" i="8"/>
  <c r="AC104" i="8"/>
  <c r="AC105" i="8"/>
  <c r="AC106" i="8"/>
  <c r="AC107" i="8"/>
  <c r="AC108" i="8"/>
  <c r="AC109" i="8"/>
  <c r="AC114" i="8"/>
  <c r="AC355" i="8"/>
  <c r="AB110" i="8"/>
  <c r="AB111" i="8"/>
  <c r="AB112" i="8"/>
  <c r="AB113" i="8"/>
  <c r="AB99" i="8"/>
  <c r="AB100" i="8"/>
  <c r="AB101" i="8"/>
  <c r="AB102" i="8"/>
  <c r="AB103" i="8"/>
  <c r="AB104" i="8"/>
  <c r="AB105" i="8"/>
  <c r="AB106" i="8"/>
  <c r="AB107" i="8"/>
  <c r="AB108" i="8"/>
  <c r="AB109" i="8"/>
  <c r="AB114" i="8"/>
  <c r="AB355" i="8"/>
  <c r="AA110" i="8"/>
  <c r="AA111" i="8"/>
  <c r="AA112" i="8"/>
  <c r="AA113" i="8"/>
  <c r="AA99" i="8"/>
  <c r="AA100" i="8"/>
  <c r="AA101" i="8"/>
  <c r="AA102" i="8"/>
  <c r="AA103" i="8"/>
  <c r="AA104" i="8"/>
  <c r="AA105" i="8"/>
  <c r="AA106" i="8"/>
  <c r="AA107" i="8"/>
  <c r="AA108" i="8"/>
  <c r="AA109" i="8"/>
  <c r="AA114" i="8"/>
  <c r="AA355" i="8"/>
  <c r="Z110" i="8"/>
  <c r="Z111" i="8"/>
  <c r="Z112" i="8"/>
  <c r="Z113" i="8"/>
  <c r="Z99" i="8"/>
  <c r="Z100" i="8"/>
  <c r="Z101" i="8"/>
  <c r="Z102" i="8"/>
  <c r="Z103" i="8"/>
  <c r="Z104" i="8"/>
  <c r="Z105" i="8"/>
  <c r="Z106" i="8"/>
  <c r="Z107" i="8"/>
  <c r="Z108" i="8"/>
  <c r="Z109" i="8"/>
  <c r="Z114" i="8"/>
  <c r="Z355" i="8"/>
  <c r="Y110" i="8"/>
  <c r="Y111" i="8"/>
  <c r="Y112" i="8"/>
  <c r="Y113" i="8"/>
  <c r="Y99" i="8"/>
  <c r="Y100" i="8"/>
  <c r="Y101" i="8"/>
  <c r="Y102" i="8"/>
  <c r="Y103" i="8"/>
  <c r="Y104" i="8"/>
  <c r="Y105" i="8"/>
  <c r="Y106" i="8"/>
  <c r="Y107" i="8"/>
  <c r="Y108" i="8"/>
  <c r="Y109" i="8"/>
  <c r="Y114" i="8"/>
  <c r="Y355" i="8"/>
  <c r="X110" i="8"/>
  <c r="X111" i="8"/>
  <c r="X112" i="8"/>
  <c r="X113" i="8"/>
  <c r="X99" i="8"/>
  <c r="X100" i="8"/>
  <c r="X101" i="8"/>
  <c r="X102" i="8"/>
  <c r="X103" i="8"/>
  <c r="X104" i="8"/>
  <c r="X105" i="8"/>
  <c r="X106" i="8"/>
  <c r="X107" i="8"/>
  <c r="X108" i="8"/>
  <c r="X109" i="8"/>
  <c r="X114" i="8"/>
  <c r="X355" i="8"/>
  <c r="W110" i="8"/>
  <c r="W111" i="8"/>
  <c r="W112" i="8"/>
  <c r="W113" i="8"/>
  <c r="W99" i="8"/>
  <c r="W100" i="8"/>
  <c r="W101" i="8"/>
  <c r="W102" i="8"/>
  <c r="W103" i="8"/>
  <c r="W104" i="8"/>
  <c r="W105" i="8"/>
  <c r="W106" i="8"/>
  <c r="W107" i="8"/>
  <c r="W108" i="8"/>
  <c r="W109" i="8"/>
  <c r="W114" i="8"/>
  <c r="W355" i="8"/>
  <c r="V110" i="8"/>
  <c r="V111" i="8"/>
  <c r="V112" i="8"/>
  <c r="V113" i="8"/>
  <c r="V99" i="8"/>
  <c r="V100" i="8"/>
  <c r="V101" i="8"/>
  <c r="V102" i="8"/>
  <c r="V103" i="8"/>
  <c r="V104" i="8"/>
  <c r="V105" i="8"/>
  <c r="V106" i="8"/>
  <c r="V107" i="8"/>
  <c r="V108" i="8"/>
  <c r="V109" i="8"/>
  <c r="V114" i="8"/>
  <c r="V355" i="8"/>
  <c r="U110" i="8"/>
  <c r="U111" i="8"/>
  <c r="U112" i="8"/>
  <c r="U113" i="8"/>
  <c r="U99" i="8"/>
  <c r="U100" i="8"/>
  <c r="U101" i="8"/>
  <c r="U102" i="8"/>
  <c r="U103" i="8"/>
  <c r="U104" i="8"/>
  <c r="U105" i="8"/>
  <c r="U106" i="8"/>
  <c r="U107" i="8"/>
  <c r="U108" i="8"/>
  <c r="U109" i="8"/>
  <c r="U114" i="8"/>
  <c r="U355" i="8"/>
  <c r="T110" i="8"/>
  <c r="T111" i="8"/>
  <c r="T112" i="8"/>
  <c r="T113" i="8"/>
  <c r="T99" i="8"/>
  <c r="T100" i="8"/>
  <c r="T101" i="8"/>
  <c r="T102" i="8"/>
  <c r="T103" i="8"/>
  <c r="T104" i="8"/>
  <c r="T105" i="8"/>
  <c r="T106" i="8"/>
  <c r="T107" i="8"/>
  <c r="T108" i="8"/>
  <c r="T109" i="8"/>
  <c r="T114" i="8"/>
  <c r="T355" i="8"/>
  <c r="S110" i="8"/>
  <c r="S111" i="8"/>
  <c r="S112" i="8"/>
  <c r="S113" i="8"/>
  <c r="S99" i="8"/>
  <c r="S100" i="8"/>
  <c r="S101" i="8"/>
  <c r="S102" i="8"/>
  <c r="S103" i="8"/>
  <c r="S104" i="8"/>
  <c r="S105" i="8"/>
  <c r="S106" i="8"/>
  <c r="S107" i="8"/>
  <c r="S108" i="8"/>
  <c r="S109" i="8"/>
  <c r="S114" i="8"/>
  <c r="S355" i="8"/>
  <c r="R110" i="8"/>
  <c r="R111" i="8"/>
  <c r="R112" i="8"/>
  <c r="R113" i="8"/>
  <c r="R99" i="8"/>
  <c r="R100" i="8"/>
  <c r="R101" i="8"/>
  <c r="R102" i="8"/>
  <c r="R103" i="8"/>
  <c r="R104" i="8"/>
  <c r="R105" i="8"/>
  <c r="R106" i="8"/>
  <c r="R107" i="8"/>
  <c r="R108" i="8"/>
  <c r="R109" i="8"/>
  <c r="R114" i="8"/>
  <c r="R355" i="8"/>
  <c r="Q110" i="8"/>
  <c r="Q111" i="8"/>
  <c r="Q112" i="8"/>
  <c r="Q113" i="8"/>
  <c r="Q99" i="8"/>
  <c r="Q100" i="8"/>
  <c r="Q101" i="8"/>
  <c r="Q102" i="8"/>
  <c r="Q103" i="8"/>
  <c r="Q104" i="8"/>
  <c r="Q105" i="8"/>
  <c r="Q106" i="8"/>
  <c r="Q107" i="8"/>
  <c r="Q108" i="8"/>
  <c r="Q109" i="8"/>
  <c r="Q114" i="8"/>
  <c r="Q355" i="8"/>
  <c r="P110" i="8"/>
  <c r="P111" i="8"/>
  <c r="P112" i="8"/>
  <c r="P113" i="8"/>
  <c r="P99" i="8"/>
  <c r="P100" i="8"/>
  <c r="P101" i="8"/>
  <c r="P102" i="8"/>
  <c r="P103" i="8"/>
  <c r="P104" i="8"/>
  <c r="P105" i="8"/>
  <c r="P106" i="8"/>
  <c r="P107" i="8"/>
  <c r="P108" i="8"/>
  <c r="P109" i="8"/>
  <c r="P114" i="8"/>
  <c r="P355" i="8"/>
  <c r="O110" i="8"/>
  <c r="O111" i="8"/>
  <c r="O112" i="8"/>
  <c r="O113" i="8"/>
  <c r="O99" i="8"/>
  <c r="O100" i="8"/>
  <c r="O101" i="8"/>
  <c r="O102" i="8"/>
  <c r="O103" i="8"/>
  <c r="O104" i="8"/>
  <c r="O105" i="8"/>
  <c r="O106" i="8"/>
  <c r="O107" i="8"/>
  <c r="O108" i="8"/>
  <c r="O109" i="8"/>
  <c r="O114" i="8"/>
  <c r="O355" i="8"/>
  <c r="N110" i="8"/>
  <c r="N111" i="8"/>
  <c r="N112" i="8"/>
  <c r="N113" i="8"/>
  <c r="N99" i="8"/>
  <c r="N100" i="8"/>
  <c r="N101" i="8"/>
  <c r="N102" i="8"/>
  <c r="N103" i="8"/>
  <c r="N104" i="8"/>
  <c r="N105" i="8"/>
  <c r="N106" i="8"/>
  <c r="N107" i="8"/>
  <c r="N108" i="8"/>
  <c r="N109" i="8"/>
  <c r="N114" i="8"/>
  <c r="N355" i="8"/>
  <c r="M110" i="8"/>
  <c r="M111" i="8"/>
  <c r="M112" i="8"/>
  <c r="M113" i="8"/>
  <c r="M99" i="8"/>
  <c r="M100" i="8"/>
  <c r="M101" i="8"/>
  <c r="M102" i="8"/>
  <c r="M103" i="8"/>
  <c r="M104" i="8"/>
  <c r="M105" i="8"/>
  <c r="M106" i="8"/>
  <c r="M107" i="8"/>
  <c r="M108" i="8"/>
  <c r="M109" i="8"/>
  <c r="M114" i="8"/>
  <c r="M355" i="8"/>
  <c r="L110" i="8"/>
  <c r="L111" i="8"/>
  <c r="L112" i="8"/>
  <c r="L113" i="8"/>
  <c r="L99" i="8"/>
  <c r="L100" i="8"/>
  <c r="L101" i="8"/>
  <c r="L102" i="8"/>
  <c r="L103" i="8"/>
  <c r="L104" i="8"/>
  <c r="L105" i="8"/>
  <c r="L106" i="8"/>
  <c r="L107" i="8"/>
  <c r="L108" i="8"/>
  <c r="L109" i="8"/>
  <c r="L114" i="8"/>
  <c r="L355" i="8"/>
  <c r="K110" i="8"/>
  <c r="K111" i="8"/>
  <c r="K112" i="8"/>
  <c r="K113" i="8"/>
  <c r="K99" i="8"/>
  <c r="K100" i="8"/>
  <c r="K101" i="8"/>
  <c r="K102" i="8"/>
  <c r="K103" i="8"/>
  <c r="K104" i="8"/>
  <c r="K105" i="8"/>
  <c r="K106" i="8"/>
  <c r="K107" i="8"/>
  <c r="K108" i="8"/>
  <c r="K109" i="8"/>
  <c r="K114" i="8"/>
  <c r="K355" i="8"/>
  <c r="J110" i="8"/>
  <c r="J111" i="8"/>
  <c r="J112" i="8"/>
  <c r="J113" i="8"/>
  <c r="J99" i="8"/>
  <c r="J100" i="8"/>
  <c r="J101" i="8"/>
  <c r="J102" i="8"/>
  <c r="J103" i="8"/>
  <c r="J104" i="8"/>
  <c r="J105" i="8"/>
  <c r="J106" i="8"/>
  <c r="J107" i="8"/>
  <c r="J108" i="8"/>
  <c r="J109" i="8"/>
  <c r="J114" i="8"/>
  <c r="J355" i="8"/>
  <c r="I110" i="8"/>
  <c r="I111" i="8"/>
  <c r="I112" i="8"/>
  <c r="I113" i="8"/>
  <c r="I99" i="8"/>
  <c r="I100" i="8"/>
  <c r="I101" i="8"/>
  <c r="I102" i="8"/>
  <c r="I103" i="8"/>
  <c r="I104" i="8"/>
  <c r="I105" i="8"/>
  <c r="I106" i="8"/>
  <c r="I107" i="8"/>
  <c r="I108" i="8"/>
  <c r="I109" i="8"/>
  <c r="I114" i="8"/>
  <c r="I355" i="8"/>
  <c r="H110" i="8"/>
  <c r="H111" i="8"/>
  <c r="H112" i="8"/>
  <c r="H113" i="8"/>
  <c r="H99" i="8"/>
  <c r="H100" i="8"/>
  <c r="H101" i="8"/>
  <c r="H102" i="8"/>
  <c r="H103" i="8"/>
  <c r="H104" i="8"/>
  <c r="H105" i="8"/>
  <c r="H106" i="8"/>
  <c r="H107" i="8"/>
  <c r="H108" i="8"/>
  <c r="H109" i="8"/>
  <c r="H114" i="8"/>
  <c r="H355" i="8"/>
  <c r="G110" i="8"/>
  <c r="G111" i="8"/>
  <c r="G112" i="8"/>
  <c r="G113" i="8"/>
  <c r="G99" i="8"/>
  <c r="G100" i="8"/>
  <c r="G101" i="8"/>
  <c r="G102" i="8"/>
  <c r="G103" i="8"/>
  <c r="G104" i="8"/>
  <c r="G105" i="8"/>
  <c r="G106" i="8"/>
  <c r="G107" i="8"/>
  <c r="G108" i="8"/>
  <c r="G109" i="8"/>
  <c r="G114" i="8"/>
  <c r="G355" i="8"/>
  <c r="F110" i="8"/>
  <c r="F111" i="8"/>
  <c r="F112" i="8"/>
  <c r="F113" i="8"/>
  <c r="F99" i="8"/>
  <c r="F100" i="8"/>
  <c r="F101" i="8"/>
  <c r="F102" i="8"/>
  <c r="F103" i="8"/>
  <c r="F104" i="8"/>
  <c r="F105" i="8"/>
  <c r="F106" i="8"/>
  <c r="F107" i="8"/>
  <c r="F108" i="8"/>
  <c r="F109" i="8"/>
  <c r="F114" i="8"/>
  <c r="F355" i="8"/>
  <c r="AU95" i="8"/>
  <c r="AU96" i="8"/>
  <c r="AU97" i="8"/>
  <c r="AU98" i="8"/>
  <c r="AU354" i="8"/>
  <c r="AT95" i="8"/>
  <c r="AT96" i="8"/>
  <c r="AT97" i="8"/>
  <c r="AT98" i="8"/>
  <c r="AT354" i="8"/>
  <c r="AS95" i="8"/>
  <c r="AS96" i="8"/>
  <c r="AS97" i="8"/>
  <c r="AS98" i="8"/>
  <c r="AS354" i="8"/>
  <c r="AR95" i="8"/>
  <c r="AR96" i="8"/>
  <c r="AR97" i="8"/>
  <c r="AR98" i="8"/>
  <c r="AR354" i="8"/>
  <c r="AQ95" i="8"/>
  <c r="AQ96" i="8"/>
  <c r="AQ97" i="8"/>
  <c r="AQ98" i="8"/>
  <c r="AQ354" i="8"/>
  <c r="AP95" i="8"/>
  <c r="AP96" i="8"/>
  <c r="AP97" i="8"/>
  <c r="AP98" i="8"/>
  <c r="AP354" i="8"/>
  <c r="AO95" i="8"/>
  <c r="AO96" i="8"/>
  <c r="AO97" i="8"/>
  <c r="AO98" i="8"/>
  <c r="AO354" i="8"/>
  <c r="AN95" i="8"/>
  <c r="AN96" i="8"/>
  <c r="AN97" i="8"/>
  <c r="AN98" i="8"/>
  <c r="AN354" i="8"/>
  <c r="AM95" i="8"/>
  <c r="AM96" i="8"/>
  <c r="AM97" i="8"/>
  <c r="AM98" i="8"/>
  <c r="AM354" i="8"/>
  <c r="AL95" i="8"/>
  <c r="AL96" i="8"/>
  <c r="AL97" i="8"/>
  <c r="AL98" i="8"/>
  <c r="AL354" i="8"/>
  <c r="AK95" i="8"/>
  <c r="AK96" i="8"/>
  <c r="AK97" i="8"/>
  <c r="AK98" i="8"/>
  <c r="AK354" i="8"/>
  <c r="AJ95" i="8"/>
  <c r="AJ96" i="8"/>
  <c r="AJ97" i="8"/>
  <c r="AJ98" i="8"/>
  <c r="AJ354" i="8"/>
  <c r="AI95" i="8"/>
  <c r="AI96" i="8"/>
  <c r="AI97" i="8"/>
  <c r="AI98" i="8"/>
  <c r="AI354" i="8"/>
  <c r="AH95" i="8"/>
  <c r="AH96" i="8"/>
  <c r="AH97" i="8"/>
  <c r="AH98" i="8"/>
  <c r="AH354" i="8"/>
  <c r="AG95" i="8"/>
  <c r="AG96" i="8"/>
  <c r="AG97" i="8"/>
  <c r="AG98" i="8"/>
  <c r="AG354" i="8"/>
  <c r="AF95" i="8"/>
  <c r="AF96" i="8"/>
  <c r="AF97" i="8"/>
  <c r="AF98" i="8"/>
  <c r="AF354" i="8"/>
  <c r="AE95" i="8"/>
  <c r="AE96" i="8"/>
  <c r="AE97" i="8"/>
  <c r="AE98" i="8"/>
  <c r="AE354" i="8"/>
  <c r="AD95" i="8"/>
  <c r="AD96" i="8"/>
  <c r="AD97" i="8"/>
  <c r="AD98" i="8"/>
  <c r="AD354" i="8"/>
  <c r="AC95" i="8"/>
  <c r="AC96" i="8"/>
  <c r="AC97" i="8"/>
  <c r="AC98" i="8"/>
  <c r="AC354" i="8"/>
  <c r="AB95" i="8"/>
  <c r="AB96" i="8"/>
  <c r="AB97" i="8"/>
  <c r="AB98" i="8"/>
  <c r="AB354" i="8"/>
  <c r="AA95" i="8"/>
  <c r="AA96" i="8"/>
  <c r="AA97" i="8"/>
  <c r="AA98" i="8"/>
  <c r="AA354" i="8"/>
  <c r="Z95" i="8"/>
  <c r="Z96" i="8"/>
  <c r="Z97" i="8"/>
  <c r="Z98" i="8"/>
  <c r="Z354" i="8"/>
  <c r="Y95" i="8"/>
  <c r="Y96" i="8"/>
  <c r="Y97" i="8"/>
  <c r="Y98" i="8"/>
  <c r="Y354" i="8"/>
  <c r="X95" i="8"/>
  <c r="X96" i="8"/>
  <c r="X97" i="8"/>
  <c r="X98" i="8"/>
  <c r="X354" i="8"/>
  <c r="W95" i="8"/>
  <c r="W96" i="8"/>
  <c r="W97" i="8"/>
  <c r="W98" i="8"/>
  <c r="W354" i="8"/>
  <c r="V95" i="8"/>
  <c r="V96" i="8"/>
  <c r="V97" i="8"/>
  <c r="V98" i="8"/>
  <c r="V354" i="8"/>
  <c r="U95" i="8"/>
  <c r="U96" i="8"/>
  <c r="U97" i="8"/>
  <c r="U98" i="8"/>
  <c r="U354" i="8"/>
  <c r="T95" i="8"/>
  <c r="T96" i="8"/>
  <c r="T97" i="8"/>
  <c r="T98" i="8"/>
  <c r="T354" i="8"/>
  <c r="S95" i="8"/>
  <c r="S96" i="8"/>
  <c r="S97" i="8"/>
  <c r="S98" i="8"/>
  <c r="S354" i="8"/>
  <c r="R95" i="8"/>
  <c r="R96" i="8"/>
  <c r="R97" i="8"/>
  <c r="R98" i="8"/>
  <c r="R354" i="8"/>
  <c r="Q95" i="8"/>
  <c r="Q96" i="8"/>
  <c r="Q97" i="8"/>
  <c r="Q98" i="8"/>
  <c r="Q354" i="8"/>
  <c r="P95" i="8"/>
  <c r="P96" i="8"/>
  <c r="P97" i="8"/>
  <c r="P98" i="8"/>
  <c r="P354" i="8"/>
  <c r="O95" i="8"/>
  <c r="O96" i="8"/>
  <c r="O97" i="8"/>
  <c r="O98" i="8"/>
  <c r="O354" i="8"/>
  <c r="N95" i="8"/>
  <c r="N96" i="8"/>
  <c r="N97" i="8"/>
  <c r="N98" i="8"/>
  <c r="N354" i="8"/>
  <c r="M95" i="8"/>
  <c r="M96" i="8"/>
  <c r="M97" i="8"/>
  <c r="M98" i="8"/>
  <c r="M354" i="8"/>
  <c r="L95" i="8"/>
  <c r="L96" i="8"/>
  <c r="L97" i="8"/>
  <c r="L98" i="8"/>
  <c r="L354" i="8"/>
  <c r="K95" i="8"/>
  <c r="K96" i="8"/>
  <c r="K97" i="8"/>
  <c r="K98" i="8"/>
  <c r="K354" i="8"/>
  <c r="J95" i="8"/>
  <c r="J96" i="8"/>
  <c r="J97" i="8"/>
  <c r="J98" i="8"/>
  <c r="J354" i="8"/>
  <c r="I95" i="8"/>
  <c r="I96" i="8"/>
  <c r="I97" i="8"/>
  <c r="I98" i="8"/>
  <c r="I354" i="8"/>
  <c r="H95" i="8"/>
  <c r="H96" i="8"/>
  <c r="H97" i="8"/>
  <c r="H98" i="8"/>
  <c r="H354" i="8"/>
  <c r="G95" i="8"/>
  <c r="G96" i="8"/>
  <c r="G97" i="8"/>
  <c r="G98" i="8"/>
  <c r="G354" i="8"/>
  <c r="F95" i="8"/>
  <c r="F96" i="8"/>
  <c r="F97" i="8"/>
  <c r="F98" i="8"/>
  <c r="F354" i="8"/>
  <c r="AU353" i="8"/>
  <c r="AT353" i="8"/>
  <c r="AS353" i="8"/>
  <c r="AR353" i="8"/>
  <c r="AQ353" i="8"/>
  <c r="AP353" i="8"/>
  <c r="AO353" i="8"/>
  <c r="AN353" i="8"/>
  <c r="AM353" i="8"/>
  <c r="AL353" i="8"/>
  <c r="AK353" i="8"/>
  <c r="AJ353" i="8"/>
  <c r="AI353" i="8"/>
  <c r="AH353" i="8"/>
  <c r="AG353" i="8"/>
  <c r="AF353" i="8"/>
  <c r="AE353" i="8"/>
  <c r="AD353" i="8"/>
  <c r="AC353" i="8"/>
  <c r="AB353" i="8"/>
  <c r="AA353" i="8"/>
  <c r="Z353" i="8"/>
  <c r="Y353" i="8"/>
  <c r="X353" i="8"/>
  <c r="W353" i="8"/>
  <c r="V353" i="8"/>
  <c r="U353" i="8"/>
  <c r="T353" i="8"/>
  <c r="S353" i="8"/>
  <c r="R353" i="8"/>
  <c r="Q353" i="8"/>
  <c r="P353" i="8"/>
  <c r="O353" i="8"/>
  <c r="N353" i="8"/>
  <c r="M353" i="8"/>
  <c r="L353" i="8"/>
  <c r="K353" i="8"/>
  <c r="J353" i="8"/>
  <c r="I353" i="8"/>
  <c r="H353" i="8"/>
  <c r="G353" i="8"/>
  <c r="F353" i="8"/>
  <c r="AU352" i="8"/>
  <c r="AT352" i="8"/>
  <c r="AS352" i="8"/>
  <c r="AR352" i="8"/>
  <c r="AQ352" i="8"/>
  <c r="AP352" i="8"/>
  <c r="AO352" i="8"/>
  <c r="AN352" i="8"/>
  <c r="AM352" i="8"/>
  <c r="AL352" i="8"/>
  <c r="AK352" i="8"/>
  <c r="AJ352" i="8"/>
  <c r="AI352" i="8"/>
  <c r="AH352" i="8"/>
  <c r="AG352" i="8"/>
  <c r="AF352" i="8"/>
  <c r="AE352" i="8"/>
  <c r="AD352" i="8"/>
  <c r="AC352" i="8"/>
  <c r="AB352" i="8"/>
  <c r="AA352" i="8"/>
  <c r="Z352" i="8"/>
  <c r="Y352" i="8"/>
  <c r="X352" i="8"/>
  <c r="W352" i="8"/>
  <c r="V352" i="8"/>
  <c r="U352" i="8"/>
  <c r="T352" i="8"/>
  <c r="S352" i="8"/>
  <c r="R352" i="8"/>
  <c r="Q352" i="8"/>
  <c r="P352" i="8"/>
  <c r="O352" i="8"/>
  <c r="N352" i="8"/>
  <c r="M352" i="8"/>
  <c r="L352" i="8"/>
  <c r="K352" i="8"/>
  <c r="J352" i="8"/>
  <c r="I352" i="8"/>
  <c r="H352" i="8"/>
  <c r="G352" i="8"/>
  <c r="F352" i="8"/>
  <c r="AU348" i="8"/>
  <c r="AU349" i="8"/>
  <c r="AT348" i="8"/>
  <c r="AT349" i="8"/>
  <c r="AS348" i="8"/>
  <c r="AS349" i="8"/>
  <c r="AR348" i="8"/>
  <c r="AR349" i="8"/>
  <c r="AQ348" i="8"/>
  <c r="AQ349" i="8"/>
  <c r="AP348" i="8"/>
  <c r="AP349" i="8"/>
  <c r="AO348" i="8"/>
  <c r="AO349" i="8"/>
  <c r="AN348" i="8"/>
  <c r="AN349" i="8"/>
  <c r="AM348" i="8"/>
  <c r="AM349" i="8"/>
  <c r="AL348" i="8"/>
  <c r="AL349" i="8"/>
  <c r="AK348" i="8"/>
  <c r="AK349" i="8"/>
  <c r="AJ348" i="8"/>
  <c r="AJ349" i="8"/>
  <c r="AI348" i="8"/>
  <c r="AI349" i="8"/>
  <c r="AH348" i="8"/>
  <c r="AH349" i="8"/>
  <c r="AG348" i="8"/>
  <c r="AG349" i="8"/>
  <c r="AF348" i="8"/>
  <c r="AF349" i="8"/>
  <c r="AE348" i="8"/>
  <c r="AE349" i="8"/>
  <c r="AD348" i="8"/>
  <c r="AD349" i="8"/>
  <c r="AC348" i="8"/>
  <c r="AC349" i="8"/>
  <c r="AB348" i="8"/>
  <c r="AB349" i="8"/>
  <c r="AA348" i="8"/>
  <c r="AA349" i="8"/>
  <c r="Z348" i="8"/>
  <c r="Z349" i="8"/>
  <c r="Y348" i="8"/>
  <c r="Y349" i="8"/>
  <c r="X348" i="8"/>
  <c r="X349" i="8"/>
  <c r="W348" i="8"/>
  <c r="W349" i="8"/>
  <c r="V348" i="8"/>
  <c r="V349" i="8"/>
  <c r="U348" i="8"/>
  <c r="U349" i="8"/>
  <c r="T348" i="8"/>
  <c r="T349" i="8"/>
  <c r="S348" i="8"/>
  <c r="S349" i="8"/>
  <c r="R348" i="8"/>
  <c r="R349" i="8"/>
  <c r="Q348" i="8"/>
  <c r="Q349" i="8"/>
  <c r="P348" i="8"/>
  <c r="P349" i="8"/>
  <c r="O348" i="8"/>
  <c r="O349" i="8"/>
  <c r="N348" i="8"/>
  <c r="N349" i="8"/>
  <c r="M348" i="8"/>
  <c r="M349" i="8"/>
  <c r="L348" i="8"/>
  <c r="L349" i="8"/>
  <c r="K348" i="8"/>
  <c r="K349" i="8"/>
  <c r="J348" i="8"/>
  <c r="J349" i="8"/>
  <c r="I348" i="8"/>
  <c r="I349" i="8"/>
  <c r="H348" i="8"/>
  <c r="H349" i="8"/>
  <c r="G348" i="8"/>
  <c r="G349" i="8"/>
  <c r="F348" i="8"/>
  <c r="F349" i="8"/>
  <c r="E348" i="8"/>
  <c r="AU346" i="8"/>
  <c r="AU347" i="8"/>
  <c r="AT346" i="8"/>
  <c r="AT347" i="8"/>
  <c r="AS346" i="8"/>
  <c r="AS347" i="8"/>
  <c r="AR346" i="8"/>
  <c r="AR347" i="8"/>
  <c r="AQ346" i="8"/>
  <c r="AQ347" i="8"/>
  <c r="AP346" i="8"/>
  <c r="AP347" i="8"/>
  <c r="AO346" i="8"/>
  <c r="AO347" i="8"/>
  <c r="AN346" i="8"/>
  <c r="AN347" i="8"/>
  <c r="AM346" i="8"/>
  <c r="AM347" i="8"/>
  <c r="AL346" i="8"/>
  <c r="AL347" i="8"/>
  <c r="AK346" i="8"/>
  <c r="AK347" i="8"/>
  <c r="AJ346" i="8"/>
  <c r="AJ347" i="8"/>
  <c r="AI346" i="8"/>
  <c r="AI347" i="8"/>
  <c r="AH346" i="8"/>
  <c r="AH347" i="8"/>
  <c r="AG346" i="8"/>
  <c r="AG347" i="8"/>
  <c r="AF346" i="8"/>
  <c r="AF347" i="8"/>
  <c r="AE346" i="8"/>
  <c r="AE347" i="8"/>
  <c r="AD346" i="8"/>
  <c r="AD347" i="8"/>
  <c r="AC346" i="8"/>
  <c r="AC347" i="8"/>
  <c r="AB346" i="8"/>
  <c r="AB347" i="8"/>
  <c r="AA346" i="8"/>
  <c r="AA347" i="8"/>
  <c r="Z346" i="8"/>
  <c r="Z347" i="8"/>
  <c r="Y346" i="8"/>
  <c r="Y347" i="8"/>
  <c r="X346" i="8"/>
  <c r="X347" i="8"/>
  <c r="W346" i="8"/>
  <c r="W347" i="8"/>
  <c r="V346" i="8"/>
  <c r="V347" i="8"/>
  <c r="U346" i="8"/>
  <c r="U347" i="8"/>
  <c r="T346" i="8"/>
  <c r="T347" i="8"/>
  <c r="S346" i="8"/>
  <c r="S347" i="8"/>
  <c r="R346" i="8"/>
  <c r="R347" i="8"/>
  <c r="Q346" i="8"/>
  <c r="Q347" i="8"/>
  <c r="P346" i="8"/>
  <c r="P347" i="8"/>
  <c r="O346" i="8"/>
  <c r="O347" i="8"/>
  <c r="N346" i="8"/>
  <c r="N347" i="8"/>
  <c r="M346" i="8"/>
  <c r="M347" i="8"/>
  <c r="L346" i="8"/>
  <c r="L347" i="8"/>
  <c r="K346" i="8"/>
  <c r="K347" i="8"/>
  <c r="J346" i="8"/>
  <c r="J347" i="8"/>
  <c r="I346" i="8"/>
  <c r="I347" i="8"/>
  <c r="H346" i="8"/>
  <c r="H347" i="8"/>
  <c r="G346" i="8"/>
  <c r="G347" i="8"/>
  <c r="F346" i="8"/>
  <c r="F347" i="8"/>
  <c r="E346" i="8"/>
  <c r="AU344" i="8"/>
  <c r="AU345" i="8"/>
  <c r="AT344" i="8"/>
  <c r="AT345" i="8"/>
  <c r="AS344" i="8"/>
  <c r="AS345" i="8"/>
  <c r="AR344" i="8"/>
  <c r="AR345" i="8"/>
  <c r="AQ344" i="8"/>
  <c r="AQ345" i="8"/>
  <c r="AP344" i="8"/>
  <c r="AP345" i="8"/>
  <c r="AO344" i="8"/>
  <c r="AO345" i="8"/>
  <c r="AN344" i="8"/>
  <c r="AN345" i="8"/>
  <c r="AM344" i="8"/>
  <c r="AM345" i="8"/>
  <c r="AL344" i="8"/>
  <c r="AL345" i="8"/>
  <c r="AK344" i="8"/>
  <c r="AK345" i="8"/>
  <c r="AJ344" i="8"/>
  <c r="AJ345" i="8"/>
  <c r="AI344" i="8"/>
  <c r="AI345" i="8"/>
  <c r="AH344" i="8"/>
  <c r="AH345" i="8"/>
  <c r="AG344" i="8"/>
  <c r="AG345" i="8"/>
  <c r="AF344" i="8"/>
  <c r="AF345" i="8"/>
  <c r="AE344" i="8"/>
  <c r="AE345" i="8"/>
  <c r="AD344" i="8"/>
  <c r="AD345" i="8"/>
  <c r="AC344" i="8"/>
  <c r="AC345" i="8"/>
  <c r="AB344" i="8"/>
  <c r="AB345" i="8"/>
  <c r="AA344" i="8"/>
  <c r="AA345" i="8"/>
  <c r="Z344" i="8"/>
  <c r="Z345" i="8"/>
  <c r="Y344" i="8"/>
  <c r="Y345" i="8"/>
  <c r="X344" i="8"/>
  <c r="X345" i="8"/>
  <c r="W344" i="8"/>
  <c r="W345" i="8"/>
  <c r="V344" i="8"/>
  <c r="V345" i="8"/>
  <c r="U344" i="8"/>
  <c r="U345" i="8"/>
  <c r="T344" i="8"/>
  <c r="T345" i="8"/>
  <c r="S344" i="8"/>
  <c r="S345" i="8"/>
  <c r="R344" i="8"/>
  <c r="R345" i="8"/>
  <c r="Q344" i="8"/>
  <c r="Q345" i="8"/>
  <c r="P344" i="8"/>
  <c r="P345" i="8"/>
  <c r="O344" i="8"/>
  <c r="O345" i="8"/>
  <c r="N344" i="8"/>
  <c r="N345" i="8"/>
  <c r="M344" i="8"/>
  <c r="M345" i="8"/>
  <c r="L344" i="8"/>
  <c r="L345" i="8"/>
  <c r="K344" i="8"/>
  <c r="K345" i="8"/>
  <c r="J344" i="8"/>
  <c r="J345" i="8"/>
  <c r="I344" i="8"/>
  <c r="I345" i="8"/>
  <c r="H344" i="8"/>
  <c r="H345" i="8"/>
  <c r="G344" i="8"/>
  <c r="G345" i="8"/>
  <c r="F344" i="8"/>
  <c r="F345" i="8"/>
  <c r="E344" i="8"/>
  <c r="E341" i="8"/>
  <c r="E339" i="8"/>
  <c r="E337" i="8"/>
  <c r="E335" i="8"/>
  <c r="E333" i="8"/>
  <c r="E331" i="8"/>
  <c r="E329" i="8"/>
  <c r="E327" i="8"/>
  <c r="E325" i="8"/>
  <c r="E323" i="8"/>
  <c r="AU320" i="8"/>
  <c r="AU321" i="8"/>
  <c r="AT320" i="8"/>
  <c r="AT321" i="8"/>
  <c r="AS320" i="8"/>
  <c r="AS321" i="8"/>
  <c r="AR320" i="8"/>
  <c r="AR321" i="8"/>
  <c r="AQ320" i="8"/>
  <c r="AQ321" i="8"/>
  <c r="AP320" i="8"/>
  <c r="AP321" i="8"/>
  <c r="AO320" i="8"/>
  <c r="AO321" i="8"/>
  <c r="AN320" i="8"/>
  <c r="AN321" i="8"/>
  <c r="AM320" i="8"/>
  <c r="AM321" i="8"/>
  <c r="AL320" i="8"/>
  <c r="AL321" i="8"/>
  <c r="AK320" i="8"/>
  <c r="AK321" i="8"/>
  <c r="AJ320" i="8"/>
  <c r="AJ321" i="8"/>
  <c r="AI320" i="8"/>
  <c r="AI321" i="8"/>
  <c r="AH320" i="8"/>
  <c r="AH321" i="8"/>
  <c r="AG320" i="8"/>
  <c r="AG321" i="8"/>
  <c r="AF320" i="8"/>
  <c r="AF321" i="8"/>
  <c r="AE320" i="8"/>
  <c r="AE321" i="8"/>
  <c r="AD320" i="8"/>
  <c r="AD321" i="8"/>
  <c r="AC320" i="8"/>
  <c r="AC321" i="8"/>
  <c r="AB320" i="8"/>
  <c r="AB321" i="8"/>
  <c r="AA320" i="8"/>
  <c r="AA321" i="8"/>
  <c r="Z320" i="8"/>
  <c r="Z321" i="8"/>
  <c r="Y320" i="8"/>
  <c r="Y321" i="8"/>
  <c r="X320" i="8"/>
  <c r="X321" i="8"/>
  <c r="W320" i="8"/>
  <c r="W321" i="8"/>
  <c r="V320" i="8"/>
  <c r="V321" i="8"/>
  <c r="U320" i="8"/>
  <c r="U321" i="8"/>
  <c r="T320" i="8"/>
  <c r="T321" i="8"/>
  <c r="S320" i="8"/>
  <c r="S321" i="8"/>
  <c r="R320" i="8"/>
  <c r="R321" i="8"/>
  <c r="Q320" i="8"/>
  <c r="Q321" i="8"/>
  <c r="P320" i="8"/>
  <c r="P321" i="8"/>
  <c r="O320" i="8"/>
  <c r="O321" i="8"/>
  <c r="N320" i="8"/>
  <c r="N321" i="8"/>
  <c r="M320" i="8"/>
  <c r="M321" i="8"/>
  <c r="L320" i="8"/>
  <c r="L321" i="8"/>
  <c r="K320" i="8"/>
  <c r="K321" i="8"/>
  <c r="J320" i="8"/>
  <c r="J321" i="8"/>
  <c r="I320" i="8"/>
  <c r="I321" i="8"/>
  <c r="H320" i="8"/>
  <c r="H321" i="8"/>
  <c r="G320" i="8"/>
  <c r="G321" i="8"/>
  <c r="F320" i="8"/>
  <c r="F321" i="8"/>
  <c r="E320" i="8"/>
  <c r="AU318" i="8"/>
  <c r="AU319" i="8"/>
  <c r="AT318" i="8"/>
  <c r="AT319" i="8"/>
  <c r="AS318" i="8"/>
  <c r="AS319" i="8"/>
  <c r="AR318" i="8"/>
  <c r="AR319" i="8"/>
  <c r="AQ318" i="8"/>
  <c r="AQ319" i="8"/>
  <c r="AP318" i="8"/>
  <c r="AP319" i="8"/>
  <c r="AO318" i="8"/>
  <c r="AO319" i="8"/>
  <c r="AN318" i="8"/>
  <c r="AN319" i="8"/>
  <c r="AM318" i="8"/>
  <c r="AM319" i="8"/>
  <c r="AL318" i="8"/>
  <c r="AL319" i="8"/>
  <c r="AK318" i="8"/>
  <c r="AK319" i="8"/>
  <c r="AJ318" i="8"/>
  <c r="AJ319" i="8"/>
  <c r="AI318" i="8"/>
  <c r="AI319" i="8"/>
  <c r="AH318" i="8"/>
  <c r="AH319" i="8"/>
  <c r="AG318" i="8"/>
  <c r="AG319" i="8"/>
  <c r="AF318" i="8"/>
  <c r="AF319" i="8"/>
  <c r="AE318" i="8"/>
  <c r="AE319" i="8"/>
  <c r="AD318" i="8"/>
  <c r="AD319" i="8"/>
  <c r="AC318" i="8"/>
  <c r="AC319" i="8"/>
  <c r="AB318" i="8"/>
  <c r="AB319" i="8"/>
  <c r="AA318" i="8"/>
  <c r="AA319" i="8"/>
  <c r="Z318" i="8"/>
  <c r="Z319" i="8"/>
  <c r="Y318" i="8"/>
  <c r="Y319" i="8"/>
  <c r="X318" i="8"/>
  <c r="X319" i="8"/>
  <c r="W318" i="8"/>
  <c r="W319" i="8"/>
  <c r="V318" i="8"/>
  <c r="V319" i="8"/>
  <c r="U318" i="8"/>
  <c r="U319" i="8"/>
  <c r="T318" i="8"/>
  <c r="T319" i="8"/>
  <c r="S318" i="8"/>
  <c r="S319" i="8"/>
  <c r="R318" i="8"/>
  <c r="R319" i="8"/>
  <c r="Q318" i="8"/>
  <c r="Q319" i="8"/>
  <c r="P318" i="8"/>
  <c r="P319" i="8"/>
  <c r="O318" i="8"/>
  <c r="O319" i="8"/>
  <c r="N318" i="8"/>
  <c r="N319" i="8"/>
  <c r="M318" i="8"/>
  <c r="M319" i="8"/>
  <c r="L318" i="8"/>
  <c r="L319" i="8"/>
  <c r="K318" i="8"/>
  <c r="K319" i="8"/>
  <c r="J318" i="8"/>
  <c r="J319" i="8"/>
  <c r="I318" i="8"/>
  <c r="I319" i="8"/>
  <c r="H318" i="8"/>
  <c r="H319" i="8"/>
  <c r="G318" i="8"/>
  <c r="G319" i="8"/>
  <c r="F318" i="8"/>
  <c r="F319" i="8"/>
  <c r="E318" i="8"/>
  <c r="AU316" i="8"/>
  <c r="AU317" i="8"/>
  <c r="AT316" i="8"/>
  <c r="AT317" i="8"/>
  <c r="AS316" i="8"/>
  <c r="AS317" i="8"/>
  <c r="AR316" i="8"/>
  <c r="AR317" i="8"/>
  <c r="AQ316" i="8"/>
  <c r="AQ317" i="8"/>
  <c r="AP316" i="8"/>
  <c r="AP317" i="8"/>
  <c r="AO316" i="8"/>
  <c r="AO317" i="8"/>
  <c r="AN316" i="8"/>
  <c r="AN317" i="8"/>
  <c r="AM316" i="8"/>
  <c r="AM317" i="8"/>
  <c r="AL316" i="8"/>
  <c r="AL317" i="8"/>
  <c r="AK316" i="8"/>
  <c r="AK317" i="8"/>
  <c r="AJ316" i="8"/>
  <c r="AJ317" i="8"/>
  <c r="AI316" i="8"/>
  <c r="AI317" i="8"/>
  <c r="AH316" i="8"/>
  <c r="AH317" i="8"/>
  <c r="AG316" i="8"/>
  <c r="AG317" i="8"/>
  <c r="AF316" i="8"/>
  <c r="AF317" i="8"/>
  <c r="AE316" i="8"/>
  <c r="AE317" i="8"/>
  <c r="AD316" i="8"/>
  <c r="AD317" i="8"/>
  <c r="AC316" i="8"/>
  <c r="AC317" i="8"/>
  <c r="AB316" i="8"/>
  <c r="AB317" i="8"/>
  <c r="AA316" i="8"/>
  <c r="AA317" i="8"/>
  <c r="Z316" i="8"/>
  <c r="Z317" i="8"/>
  <c r="Y316" i="8"/>
  <c r="Y317" i="8"/>
  <c r="X316" i="8"/>
  <c r="X317" i="8"/>
  <c r="W316" i="8"/>
  <c r="W317" i="8"/>
  <c r="V316" i="8"/>
  <c r="V317" i="8"/>
  <c r="U316" i="8"/>
  <c r="U317" i="8"/>
  <c r="T316" i="8"/>
  <c r="T317" i="8"/>
  <c r="S316" i="8"/>
  <c r="S317" i="8"/>
  <c r="R316" i="8"/>
  <c r="R317" i="8"/>
  <c r="Q316" i="8"/>
  <c r="Q317" i="8"/>
  <c r="P316" i="8"/>
  <c r="P317" i="8"/>
  <c r="O316" i="8"/>
  <c r="O317" i="8"/>
  <c r="N316" i="8"/>
  <c r="N317" i="8"/>
  <c r="M316" i="8"/>
  <c r="M317" i="8"/>
  <c r="L316" i="8"/>
  <c r="L317" i="8"/>
  <c r="K316" i="8"/>
  <c r="K317" i="8"/>
  <c r="J316" i="8"/>
  <c r="J317" i="8"/>
  <c r="I316" i="8"/>
  <c r="I317" i="8"/>
  <c r="H316" i="8"/>
  <c r="H317" i="8"/>
  <c r="G316" i="8"/>
  <c r="G317" i="8"/>
  <c r="F316" i="8"/>
  <c r="F317" i="8"/>
  <c r="E316" i="8"/>
  <c r="E314" i="8"/>
  <c r="E313" i="8"/>
  <c r="E311" i="8"/>
  <c r="E310" i="8"/>
  <c r="E309" i="8"/>
  <c r="E307" i="8"/>
  <c r="E306" i="8"/>
  <c r="E305" i="8"/>
  <c r="E304" i="8"/>
  <c r="E303" i="8"/>
  <c r="E302" i="8"/>
  <c r="E301" i="8"/>
  <c r="E300" i="8"/>
  <c r="E299" i="8"/>
  <c r="E298" i="8"/>
  <c r="E297" i="8"/>
  <c r="AU294" i="8"/>
  <c r="AT294" i="8"/>
  <c r="AS294" i="8"/>
  <c r="AR294" i="8"/>
  <c r="AQ294" i="8"/>
  <c r="AP294" i="8"/>
  <c r="AO294" i="8"/>
  <c r="AN294" i="8"/>
  <c r="AM294" i="8"/>
  <c r="AL294" i="8"/>
  <c r="AK294" i="8"/>
  <c r="AJ294" i="8"/>
  <c r="AI294" i="8"/>
  <c r="AH294" i="8"/>
  <c r="AG294" i="8"/>
  <c r="AF294" i="8"/>
  <c r="AE294" i="8"/>
  <c r="AD294" i="8"/>
  <c r="AC294" i="8"/>
  <c r="AB294" i="8"/>
  <c r="AA294" i="8"/>
  <c r="Z294" i="8"/>
  <c r="Y294" i="8"/>
  <c r="X294" i="8"/>
  <c r="W294" i="8"/>
  <c r="V294" i="8"/>
  <c r="U294" i="8"/>
  <c r="T294" i="8"/>
  <c r="S294" i="8"/>
  <c r="R294" i="8"/>
  <c r="Q294" i="8"/>
  <c r="P294" i="8"/>
  <c r="O294" i="8"/>
  <c r="N294" i="8"/>
  <c r="M294" i="8"/>
  <c r="L294" i="8"/>
  <c r="K294" i="8"/>
  <c r="J294" i="8"/>
  <c r="I294" i="8"/>
  <c r="H294" i="8"/>
  <c r="G294" i="8"/>
  <c r="F294" i="8"/>
  <c r="E294" i="8"/>
  <c r="AU293" i="8"/>
  <c r="AT293" i="8"/>
  <c r="AS293" i="8"/>
  <c r="AR293" i="8"/>
  <c r="AQ293" i="8"/>
  <c r="AP293" i="8"/>
  <c r="AO293" i="8"/>
  <c r="AN293" i="8"/>
  <c r="AM293" i="8"/>
  <c r="AL293" i="8"/>
  <c r="AK293" i="8"/>
  <c r="AJ293" i="8"/>
  <c r="AI293" i="8"/>
  <c r="AH293" i="8"/>
  <c r="AG293" i="8"/>
  <c r="AF293" i="8"/>
  <c r="AE293" i="8"/>
  <c r="AD293" i="8"/>
  <c r="AC293" i="8"/>
  <c r="AB293" i="8"/>
  <c r="AA293" i="8"/>
  <c r="Z293" i="8"/>
  <c r="Y293" i="8"/>
  <c r="X293" i="8"/>
  <c r="W293" i="8"/>
  <c r="V293" i="8"/>
  <c r="U293" i="8"/>
  <c r="T293" i="8"/>
  <c r="S293" i="8"/>
  <c r="R293" i="8"/>
  <c r="Q293" i="8"/>
  <c r="P293" i="8"/>
  <c r="O293" i="8"/>
  <c r="N293" i="8"/>
  <c r="M293" i="8"/>
  <c r="L293" i="8"/>
  <c r="K293" i="8"/>
  <c r="J293" i="8"/>
  <c r="I293" i="8"/>
  <c r="H293" i="8"/>
  <c r="G293" i="8"/>
  <c r="F293" i="8"/>
  <c r="AU279" i="8"/>
  <c r="AU280" i="8"/>
  <c r="AU281" i="8"/>
  <c r="AU282" i="8"/>
  <c r="AU283" i="8"/>
  <c r="AU284" i="8"/>
  <c r="AU288" i="8"/>
  <c r="AU289" i="8"/>
  <c r="AU290" i="8"/>
  <c r="AU291" i="8"/>
  <c r="AT279" i="8"/>
  <c r="AT280" i="8"/>
  <c r="AT281" i="8"/>
  <c r="AT282" i="8"/>
  <c r="AT283" i="8"/>
  <c r="AT284" i="8"/>
  <c r="AT288" i="8"/>
  <c r="AT289" i="8"/>
  <c r="AT290" i="8"/>
  <c r="AT291" i="8"/>
  <c r="AS279" i="8"/>
  <c r="AS280" i="8"/>
  <c r="AS281" i="8"/>
  <c r="AS282" i="8"/>
  <c r="AS283" i="8"/>
  <c r="AS284" i="8"/>
  <c r="AS288" i="8"/>
  <c r="AS289" i="8"/>
  <c r="AS290" i="8"/>
  <c r="AS291" i="8"/>
  <c r="AR279" i="8"/>
  <c r="AR280" i="8"/>
  <c r="AR281" i="8"/>
  <c r="AR282" i="8"/>
  <c r="AR283" i="8"/>
  <c r="AR284" i="8"/>
  <c r="AR288" i="8"/>
  <c r="AR289" i="8"/>
  <c r="AR290" i="8"/>
  <c r="AR291" i="8"/>
  <c r="AQ279" i="8"/>
  <c r="AQ280" i="8"/>
  <c r="AQ281" i="8"/>
  <c r="AQ282" i="8"/>
  <c r="AQ283" i="8"/>
  <c r="AQ284" i="8"/>
  <c r="AQ288" i="8"/>
  <c r="AQ289" i="8"/>
  <c r="AQ290" i="8"/>
  <c r="AQ291" i="8"/>
  <c r="AP279" i="8"/>
  <c r="AP280" i="8"/>
  <c r="AP281" i="8"/>
  <c r="AP282" i="8"/>
  <c r="AP283" i="8"/>
  <c r="AP284" i="8"/>
  <c r="AP288" i="8"/>
  <c r="AP289" i="8"/>
  <c r="AP290" i="8"/>
  <c r="AP291" i="8"/>
  <c r="AO279" i="8"/>
  <c r="AO280" i="8"/>
  <c r="AO281" i="8"/>
  <c r="AO282" i="8"/>
  <c r="AO283" i="8"/>
  <c r="AO284" i="8"/>
  <c r="AO288" i="8"/>
  <c r="AO289" i="8"/>
  <c r="AO290" i="8"/>
  <c r="AO291" i="8"/>
  <c r="AN279" i="8"/>
  <c r="AN280" i="8"/>
  <c r="AN281" i="8"/>
  <c r="AN282" i="8"/>
  <c r="AN283" i="8"/>
  <c r="AN284" i="8"/>
  <c r="AN288" i="8"/>
  <c r="AN289" i="8"/>
  <c r="AN290" i="8"/>
  <c r="AN291" i="8"/>
  <c r="AM279" i="8"/>
  <c r="AM280" i="8"/>
  <c r="AM281" i="8"/>
  <c r="AM282" i="8"/>
  <c r="AM283" i="8"/>
  <c r="AM284" i="8"/>
  <c r="AM288" i="8"/>
  <c r="AM289" i="8"/>
  <c r="AM290" i="8"/>
  <c r="AM291" i="8"/>
  <c r="AL279" i="8"/>
  <c r="AL280" i="8"/>
  <c r="AL281" i="8"/>
  <c r="AL282" i="8"/>
  <c r="AL283" i="8"/>
  <c r="AL284" i="8"/>
  <c r="AL288" i="8"/>
  <c r="AL289" i="8"/>
  <c r="AL290" i="8"/>
  <c r="AL291" i="8"/>
  <c r="AK279" i="8"/>
  <c r="AK280" i="8"/>
  <c r="AK281" i="8"/>
  <c r="AK282" i="8"/>
  <c r="AK283" i="8"/>
  <c r="AK284" i="8"/>
  <c r="AK288" i="8"/>
  <c r="AK289" i="8"/>
  <c r="AK290" i="8"/>
  <c r="AK291" i="8"/>
  <c r="AJ279" i="8"/>
  <c r="AJ280" i="8"/>
  <c r="AJ281" i="8"/>
  <c r="AJ282" i="8"/>
  <c r="AJ283" i="8"/>
  <c r="AJ284" i="8"/>
  <c r="AJ288" i="8"/>
  <c r="AJ289" i="8"/>
  <c r="AJ290" i="8"/>
  <c r="AJ291" i="8"/>
  <c r="AI279" i="8"/>
  <c r="AI280" i="8"/>
  <c r="AI281" i="8"/>
  <c r="AI282" i="8"/>
  <c r="AI283" i="8"/>
  <c r="AI284" i="8"/>
  <c r="AI288" i="8"/>
  <c r="AI289" i="8"/>
  <c r="AI290" i="8"/>
  <c r="AI291" i="8"/>
  <c r="AH279" i="8"/>
  <c r="AH280" i="8"/>
  <c r="AH281" i="8"/>
  <c r="AH282" i="8"/>
  <c r="AH283" i="8"/>
  <c r="AH284" i="8"/>
  <c r="AH288" i="8"/>
  <c r="AH289" i="8"/>
  <c r="AH290" i="8"/>
  <c r="AH291" i="8"/>
  <c r="AG279" i="8"/>
  <c r="AG280" i="8"/>
  <c r="AG281" i="8"/>
  <c r="AG282" i="8"/>
  <c r="AG283" i="8"/>
  <c r="AG284" i="8"/>
  <c r="AG288" i="8"/>
  <c r="AG289" i="8"/>
  <c r="AG290" i="8"/>
  <c r="AG291" i="8"/>
  <c r="AF279" i="8"/>
  <c r="AF280" i="8"/>
  <c r="AF281" i="8"/>
  <c r="AF282" i="8"/>
  <c r="AF283" i="8"/>
  <c r="AF284" i="8"/>
  <c r="AF288" i="8"/>
  <c r="AF289" i="8"/>
  <c r="AF290" i="8"/>
  <c r="AF291" i="8"/>
  <c r="AE279" i="8"/>
  <c r="AE280" i="8"/>
  <c r="AE281" i="8"/>
  <c r="AE282" i="8"/>
  <c r="AE283" i="8"/>
  <c r="AE284" i="8"/>
  <c r="AE288" i="8"/>
  <c r="AE289" i="8"/>
  <c r="AE290" i="8"/>
  <c r="AE291" i="8"/>
  <c r="AD279" i="8"/>
  <c r="AD280" i="8"/>
  <c r="AD281" i="8"/>
  <c r="AD282" i="8"/>
  <c r="AD283" i="8"/>
  <c r="AD284" i="8"/>
  <c r="AD288" i="8"/>
  <c r="AD289" i="8"/>
  <c r="AD290" i="8"/>
  <c r="AD291" i="8"/>
  <c r="AC279" i="8"/>
  <c r="AC280" i="8"/>
  <c r="AC281" i="8"/>
  <c r="AC282" i="8"/>
  <c r="AC283" i="8"/>
  <c r="AC284" i="8"/>
  <c r="AC288" i="8"/>
  <c r="AC289" i="8"/>
  <c r="AC290" i="8"/>
  <c r="AC291" i="8"/>
  <c r="AB279" i="8"/>
  <c r="AB280" i="8"/>
  <c r="AB281" i="8"/>
  <c r="AB282" i="8"/>
  <c r="AB283" i="8"/>
  <c r="AB284" i="8"/>
  <c r="AB288" i="8"/>
  <c r="AB289" i="8"/>
  <c r="AB290" i="8"/>
  <c r="AB291" i="8"/>
  <c r="AA279" i="8"/>
  <c r="AA280" i="8"/>
  <c r="AA281" i="8"/>
  <c r="AA282" i="8"/>
  <c r="AA283" i="8"/>
  <c r="AA284" i="8"/>
  <c r="AA288" i="8"/>
  <c r="AA289" i="8"/>
  <c r="AA290" i="8"/>
  <c r="AA291" i="8"/>
  <c r="Z279" i="8"/>
  <c r="Z280" i="8"/>
  <c r="Z281" i="8"/>
  <c r="Z282" i="8"/>
  <c r="Z283" i="8"/>
  <c r="Z284" i="8"/>
  <c r="Z288" i="8"/>
  <c r="Z289" i="8"/>
  <c r="Z290" i="8"/>
  <c r="Z291" i="8"/>
  <c r="Y279" i="8"/>
  <c r="Y280" i="8"/>
  <c r="Y281" i="8"/>
  <c r="Y282" i="8"/>
  <c r="Y283" i="8"/>
  <c r="Y284" i="8"/>
  <c r="Y288" i="8"/>
  <c r="Y289" i="8"/>
  <c r="Y290" i="8"/>
  <c r="Y291" i="8"/>
  <c r="X279" i="8"/>
  <c r="X280" i="8"/>
  <c r="X281" i="8"/>
  <c r="X282" i="8"/>
  <c r="X283" i="8"/>
  <c r="X284" i="8"/>
  <c r="X288" i="8"/>
  <c r="X289" i="8"/>
  <c r="X290" i="8"/>
  <c r="X291" i="8"/>
  <c r="W279" i="8"/>
  <c r="W280" i="8"/>
  <c r="W281" i="8"/>
  <c r="W282" i="8"/>
  <c r="W283" i="8"/>
  <c r="W284" i="8"/>
  <c r="W288" i="8"/>
  <c r="W289" i="8"/>
  <c r="W290" i="8"/>
  <c r="W291" i="8"/>
  <c r="V279" i="8"/>
  <c r="V280" i="8"/>
  <c r="V281" i="8"/>
  <c r="V282" i="8"/>
  <c r="V283" i="8"/>
  <c r="V284" i="8"/>
  <c r="V288" i="8"/>
  <c r="V289" i="8"/>
  <c r="V290" i="8"/>
  <c r="V291" i="8"/>
  <c r="U279" i="8"/>
  <c r="U280" i="8"/>
  <c r="U281" i="8"/>
  <c r="U282" i="8"/>
  <c r="U283" i="8"/>
  <c r="U284" i="8"/>
  <c r="U288" i="8"/>
  <c r="U289" i="8"/>
  <c r="U290" i="8"/>
  <c r="U291" i="8"/>
  <c r="T279" i="8"/>
  <c r="T280" i="8"/>
  <c r="T281" i="8"/>
  <c r="T282" i="8"/>
  <c r="T283" i="8"/>
  <c r="T284" i="8"/>
  <c r="T288" i="8"/>
  <c r="T289" i="8"/>
  <c r="T290" i="8"/>
  <c r="T291" i="8"/>
  <c r="S279" i="8"/>
  <c r="S280" i="8"/>
  <c r="S281" i="8"/>
  <c r="S282" i="8"/>
  <c r="S283" i="8"/>
  <c r="S284" i="8"/>
  <c r="S288" i="8"/>
  <c r="S289" i="8"/>
  <c r="S290" i="8"/>
  <c r="S291" i="8"/>
  <c r="R279" i="8"/>
  <c r="R280" i="8"/>
  <c r="R281" i="8"/>
  <c r="R282" i="8"/>
  <c r="R283" i="8"/>
  <c r="R284" i="8"/>
  <c r="R288" i="8"/>
  <c r="R289" i="8"/>
  <c r="R290" i="8"/>
  <c r="R291" i="8"/>
  <c r="Q279" i="8"/>
  <c r="Q280" i="8"/>
  <c r="Q281" i="8"/>
  <c r="Q282" i="8"/>
  <c r="Q283" i="8"/>
  <c r="Q284" i="8"/>
  <c r="Q288" i="8"/>
  <c r="Q289" i="8"/>
  <c r="Q290" i="8"/>
  <c r="Q291" i="8"/>
  <c r="P279" i="8"/>
  <c r="P280" i="8"/>
  <c r="P281" i="8"/>
  <c r="P282" i="8"/>
  <c r="P283" i="8"/>
  <c r="P284" i="8"/>
  <c r="P288" i="8"/>
  <c r="P289" i="8"/>
  <c r="P290" i="8"/>
  <c r="P291" i="8"/>
  <c r="O279" i="8"/>
  <c r="O280" i="8"/>
  <c r="O281" i="8"/>
  <c r="O282" i="8"/>
  <c r="O283" i="8"/>
  <c r="O284" i="8"/>
  <c r="O288" i="8"/>
  <c r="O289" i="8"/>
  <c r="O290" i="8"/>
  <c r="O291" i="8"/>
  <c r="N279" i="8"/>
  <c r="N280" i="8"/>
  <c r="N281" i="8"/>
  <c r="N282" i="8"/>
  <c r="N283" i="8"/>
  <c r="N284" i="8"/>
  <c r="N288" i="8"/>
  <c r="N289" i="8"/>
  <c r="N290" i="8"/>
  <c r="N291" i="8"/>
  <c r="M279" i="8"/>
  <c r="M280" i="8"/>
  <c r="M281" i="8"/>
  <c r="M282" i="8"/>
  <c r="M283" i="8"/>
  <c r="M284" i="8"/>
  <c r="M288" i="8"/>
  <c r="M289" i="8"/>
  <c r="M290" i="8"/>
  <c r="M291" i="8"/>
  <c r="L279" i="8"/>
  <c r="L280" i="8"/>
  <c r="L281" i="8"/>
  <c r="L282" i="8"/>
  <c r="L283" i="8"/>
  <c r="L284" i="8"/>
  <c r="L288" i="8"/>
  <c r="L289" i="8"/>
  <c r="L290" i="8"/>
  <c r="L291" i="8"/>
  <c r="K279" i="8"/>
  <c r="K280" i="8"/>
  <c r="K281" i="8"/>
  <c r="K282" i="8"/>
  <c r="K283" i="8"/>
  <c r="K284" i="8"/>
  <c r="K288" i="8"/>
  <c r="K289" i="8"/>
  <c r="K290" i="8"/>
  <c r="K291" i="8"/>
  <c r="J279" i="8"/>
  <c r="J280" i="8"/>
  <c r="J281" i="8"/>
  <c r="J282" i="8"/>
  <c r="J283" i="8"/>
  <c r="J284" i="8"/>
  <c r="J288" i="8"/>
  <c r="J289" i="8"/>
  <c r="J290" i="8"/>
  <c r="J291" i="8"/>
  <c r="I279" i="8"/>
  <c r="I280" i="8"/>
  <c r="I281" i="8"/>
  <c r="I282" i="8"/>
  <c r="I283" i="8"/>
  <c r="I284" i="8"/>
  <c r="I288" i="8"/>
  <c r="I289" i="8"/>
  <c r="I290" i="8"/>
  <c r="I291" i="8"/>
  <c r="H279" i="8"/>
  <c r="H280" i="8"/>
  <c r="H281" i="8"/>
  <c r="H282" i="8"/>
  <c r="H283" i="8"/>
  <c r="H284" i="8"/>
  <c r="H288" i="8"/>
  <c r="H289" i="8"/>
  <c r="H290" i="8"/>
  <c r="H291" i="8"/>
  <c r="G279" i="8"/>
  <c r="G280" i="8"/>
  <c r="G281" i="8"/>
  <c r="G282" i="8"/>
  <c r="G283" i="8"/>
  <c r="G284" i="8"/>
  <c r="G288" i="8"/>
  <c r="G289" i="8"/>
  <c r="G290" i="8"/>
  <c r="G291" i="8"/>
  <c r="F279" i="8"/>
  <c r="F280" i="8"/>
  <c r="F281" i="8"/>
  <c r="F282" i="8"/>
  <c r="F283" i="8"/>
  <c r="F284" i="8"/>
  <c r="F288" i="8"/>
  <c r="F289" i="8"/>
  <c r="F290" i="8"/>
  <c r="F291" i="8"/>
  <c r="E289" i="8"/>
  <c r="E288" i="8"/>
  <c r="AU287" i="8"/>
  <c r="AT287" i="8"/>
  <c r="AS287" i="8"/>
  <c r="AR287" i="8"/>
  <c r="AQ287" i="8"/>
  <c r="AP287" i="8"/>
  <c r="AO287" i="8"/>
  <c r="AN287" i="8"/>
  <c r="AM287" i="8"/>
  <c r="AL287" i="8"/>
  <c r="AK287" i="8"/>
  <c r="AJ287" i="8"/>
  <c r="AI287" i="8"/>
  <c r="AH287" i="8"/>
  <c r="AG287" i="8"/>
  <c r="AF287" i="8"/>
  <c r="AE287" i="8"/>
  <c r="AD287" i="8"/>
  <c r="AC287" i="8"/>
  <c r="AB287" i="8"/>
  <c r="AA287" i="8"/>
  <c r="Z287" i="8"/>
  <c r="Y287" i="8"/>
  <c r="X287" i="8"/>
  <c r="W287" i="8"/>
  <c r="V287" i="8"/>
  <c r="U287" i="8"/>
  <c r="T287" i="8"/>
  <c r="S287" i="8"/>
  <c r="R287" i="8"/>
  <c r="Q287" i="8"/>
  <c r="P287" i="8"/>
  <c r="O287" i="8"/>
  <c r="N287" i="8"/>
  <c r="M287" i="8"/>
  <c r="L287" i="8"/>
  <c r="K287" i="8"/>
  <c r="J287" i="8"/>
  <c r="I287" i="8"/>
  <c r="H287" i="8"/>
  <c r="G287" i="8"/>
  <c r="F287" i="8"/>
  <c r="E286" i="8"/>
  <c r="E285" i="8"/>
  <c r="E282" i="8"/>
  <c r="E280" i="8"/>
  <c r="E279" i="8"/>
  <c r="AU274" i="8"/>
  <c r="AU275" i="8"/>
  <c r="AU25" i="8"/>
  <c r="AU26" i="8"/>
  <c r="AU27" i="8"/>
  <c r="AU187" i="8"/>
  <c r="AU188" i="8"/>
  <c r="AU189" i="8"/>
  <c r="AU190" i="8"/>
  <c r="AU191" i="8"/>
  <c r="AU192" i="8"/>
  <c r="AU194" i="8"/>
  <c r="AU195" i="8"/>
  <c r="AU196" i="8"/>
  <c r="AU197" i="8"/>
  <c r="AU198" i="8"/>
  <c r="AU199" i="8"/>
  <c r="AU200" i="8"/>
  <c r="AU201" i="8"/>
  <c r="AU202" i="8"/>
  <c r="AU203" i="8"/>
  <c r="AU204" i="8"/>
  <c r="AU205" i="8"/>
  <c r="AU206" i="8"/>
  <c r="AU207" i="8"/>
  <c r="AU208" i="8"/>
  <c r="AU209" i="8"/>
  <c r="AU210" i="8"/>
  <c r="AU211" i="8"/>
  <c r="AU212" i="8"/>
  <c r="AU213" i="8"/>
  <c r="AU214" i="8"/>
  <c r="AU215" i="8"/>
  <c r="AU216" i="8"/>
  <c r="AU217" i="8"/>
  <c r="AU218" i="8"/>
  <c r="AU219" i="8"/>
  <c r="AU221" i="8"/>
  <c r="AU259" i="8"/>
  <c r="AU260" i="8"/>
  <c r="AU261" i="8"/>
  <c r="AU262" i="8"/>
  <c r="AU263" i="8"/>
  <c r="AU264" i="8"/>
  <c r="AU265" i="8"/>
  <c r="AU266" i="8"/>
  <c r="AU267" i="8"/>
  <c r="AU268" i="8"/>
  <c r="AU269" i="8"/>
  <c r="AU270" i="8"/>
  <c r="AU271" i="8"/>
  <c r="AU277" i="8"/>
  <c r="AT274" i="8"/>
  <c r="AT275" i="8"/>
  <c r="AT25" i="8"/>
  <c r="AT26" i="8"/>
  <c r="AT27" i="8"/>
  <c r="AT187" i="8"/>
  <c r="AT188" i="8"/>
  <c r="AT189" i="8"/>
  <c r="AT190" i="8"/>
  <c r="AT191" i="8"/>
  <c r="AT192" i="8"/>
  <c r="AT194" i="8"/>
  <c r="AT195" i="8"/>
  <c r="AT196" i="8"/>
  <c r="AT197" i="8"/>
  <c r="AT198" i="8"/>
  <c r="AT199" i="8"/>
  <c r="AT200" i="8"/>
  <c r="AT201" i="8"/>
  <c r="AT202" i="8"/>
  <c r="AT203" i="8"/>
  <c r="AT204" i="8"/>
  <c r="AT205" i="8"/>
  <c r="AT206" i="8"/>
  <c r="AT207" i="8"/>
  <c r="AT208" i="8"/>
  <c r="AT209" i="8"/>
  <c r="AT210" i="8"/>
  <c r="AT211" i="8"/>
  <c r="AT212" i="8"/>
  <c r="AT213" i="8"/>
  <c r="AT214" i="8"/>
  <c r="AT215" i="8"/>
  <c r="AT216" i="8"/>
  <c r="AT217" i="8"/>
  <c r="AT218" i="8"/>
  <c r="AT219" i="8"/>
  <c r="AT221" i="8"/>
  <c r="AT259" i="8"/>
  <c r="AT260" i="8"/>
  <c r="AT261" i="8"/>
  <c r="AT262" i="8"/>
  <c r="AT263" i="8"/>
  <c r="AT264" i="8"/>
  <c r="AT265" i="8"/>
  <c r="AT266" i="8"/>
  <c r="AT267" i="8"/>
  <c r="AT268" i="8"/>
  <c r="AT269" i="8"/>
  <c r="AT270" i="8"/>
  <c r="AT271" i="8"/>
  <c r="AT277" i="8"/>
  <c r="AS274" i="8"/>
  <c r="AS275" i="8"/>
  <c r="AS25" i="8"/>
  <c r="AS26" i="8"/>
  <c r="AS27" i="8"/>
  <c r="AS187" i="8"/>
  <c r="AS188" i="8"/>
  <c r="AS189" i="8"/>
  <c r="AS190" i="8"/>
  <c r="AS191" i="8"/>
  <c r="AS192" i="8"/>
  <c r="AS194" i="8"/>
  <c r="AS195" i="8"/>
  <c r="AS196" i="8"/>
  <c r="AS197" i="8"/>
  <c r="AS198" i="8"/>
  <c r="AS199" i="8"/>
  <c r="AS200" i="8"/>
  <c r="AS201" i="8"/>
  <c r="AS202" i="8"/>
  <c r="AS203" i="8"/>
  <c r="AS204" i="8"/>
  <c r="AS205" i="8"/>
  <c r="AS206" i="8"/>
  <c r="AS207" i="8"/>
  <c r="AS208" i="8"/>
  <c r="AS209" i="8"/>
  <c r="AS210" i="8"/>
  <c r="AS211" i="8"/>
  <c r="AS212" i="8"/>
  <c r="AS213" i="8"/>
  <c r="AS214" i="8"/>
  <c r="AS215" i="8"/>
  <c r="AS216" i="8"/>
  <c r="AS217" i="8"/>
  <c r="AS218" i="8"/>
  <c r="AS219" i="8"/>
  <c r="AS221" i="8"/>
  <c r="AS259" i="8"/>
  <c r="AS260" i="8"/>
  <c r="AS261" i="8"/>
  <c r="AS262" i="8"/>
  <c r="AS263" i="8"/>
  <c r="AS264" i="8"/>
  <c r="AS265" i="8"/>
  <c r="AS266" i="8"/>
  <c r="AS267" i="8"/>
  <c r="AS268" i="8"/>
  <c r="AS269" i="8"/>
  <c r="AS270" i="8"/>
  <c r="AS271" i="8"/>
  <c r="AS277" i="8"/>
  <c r="AR274" i="8"/>
  <c r="AR275" i="8"/>
  <c r="AR25" i="8"/>
  <c r="AR26" i="8"/>
  <c r="AR27" i="8"/>
  <c r="AR187" i="8"/>
  <c r="AR188" i="8"/>
  <c r="AR189" i="8"/>
  <c r="AR190" i="8"/>
  <c r="AR191" i="8"/>
  <c r="AR192" i="8"/>
  <c r="AR194" i="8"/>
  <c r="AR195" i="8"/>
  <c r="AR196" i="8"/>
  <c r="AR197" i="8"/>
  <c r="AR198" i="8"/>
  <c r="AR199" i="8"/>
  <c r="AR200" i="8"/>
  <c r="AR201" i="8"/>
  <c r="AR202" i="8"/>
  <c r="AR203" i="8"/>
  <c r="AR204" i="8"/>
  <c r="AR205" i="8"/>
  <c r="AR206" i="8"/>
  <c r="AR207" i="8"/>
  <c r="AR208" i="8"/>
  <c r="AR209" i="8"/>
  <c r="AR210" i="8"/>
  <c r="AR211" i="8"/>
  <c r="AR212" i="8"/>
  <c r="AR213" i="8"/>
  <c r="AR214" i="8"/>
  <c r="AR215" i="8"/>
  <c r="AR216" i="8"/>
  <c r="AR217" i="8"/>
  <c r="AR218" i="8"/>
  <c r="AR219" i="8"/>
  <c r="AR221" i="8"/>
  <c r="AR259" i="8"/>
  <c r="AR260" i="8"/>
  <c r="AR261" i="8"/>
  <c r="AR262" i="8"/>
  <c r="AR263" i="8"/>
  <c r="AR264" i="8"/>
  <c r="AR265" i="8"/>
  <c r="AR266" i="8"/>
  <c r="AR267" i="8"/>
  <c r="AR268" i="8"/>
  <c r="AR269" i="8"/>
  <c r="AR270" i="8"/>
  <c r="AR271" i="8"/>
  <c r="AR277" i="8"/>
  <c r="AQ274" i="8"/>
  <c r="AQ275" i="8"/>
  <c r="AQ25" i="8"/>
  <c r="AQ26" i="8"/>
  <c r="AQ27" i="8"/>
  <c r="AQ187" i="8"/>
  <c r="AQ188" i="8"/>
  <c r="AQ189" i="8"/>
  <c r="AQ190" i="8"/>
  <c r="AQ191" i="8"/>
  <c r="AQ192" i="8"/>
  <c r="AQ194" i="8"/>
  <c r="AQ195" i="8"/>
  <c r="AQ196" i="8"/>
  <c r="AQ197" i="8"/>
  <c r="AQ198" i="8"/>
  <c r="AQ199" i="8"/>
  <c r="AQ200" i="8"/>
  <c r="AQ201" i="8"/>
  <c r="AQ202" i="8"/>
  <c r="AQ203" i="8"/>
  <c r="AQ204" i="8"/>
  <c r="AQ205" i="8"/>
  <c r="AQ206" i="8"/>
  <c r="AQ207" i="8"/>
  <c r="AQ208" i="8"/>
  <c r="AQ209" i="8"/>
  <c r="AQ210" i="8"/>
  <c r="AQ211" i="8"/>
  <c r="AQ212" i="8"/>
  <c r="AQ213" i="8"/>
  <c r="AQ214" i="8"/>
  <c r="AQ215" i="8"/>
  <c r="AQ216" i="8"/>
  <c r="AQ217" i="8"/>
  <c r="AQ218" i="8"/>
  <c r="AQ219" i="8"/>
  <c r="AQ221" i="8"/>
  <c r="AQ259" i="8"/>
  <c r="AQ260" i="8"/>
  <c r="AQ261" i="8"/>
  <c r="AQ262" i="8"/>
  <c r="AQ263" i="8"/>
  <c r="AQ264" i="8"/>
  <c r="AQ265" i="8"/>
  <c r="AQ266" i="8"/>
  <c r="AQ267" i="8"/>
  <c r="AQ268" i="8"/>
  <c r="AQ269" i="8"/>
  <c r="AQ270" i="8"/>
  <c r="AQ271" i="8"/>
  <c r="AQ277" i="8"/>
  <c r="AP274" i="8"/>
  <c r="AP275" i="8"/>
  <c r="AP25" i="8"/>
  <c r="AP26" i="8"/>
  <c r="AP27" i="8"/>
  <c r="AP187" i="8"/>
  <c r="AP188" i="8"/>
  <c r="AP189" i="8"/>
  <c r="AP190" i="8"/>
  <c r="AP191" i="8"/>
  <c r="AP192" i="8"/>
  <c r="AP194" i="8"/>
  <c r="AP195" i="8"/>
  <c r="AP196" i="8"/>
  <c r="AP197" i="8"/>
  <c r="AP198" i="8"/>
  <c r="AP199" i="8"/>
  <c r="AP200" i="8"/>
  <c r="AP201" i="8"/>
  <c r="AP202" i="8"/>
  <c r="AP203" i="8"/>
  <c r="AP204" i="8"/>
  <c r="AP205" i="8"/>
  <c r="AP206" i="8"/>
  <c r="AP207" i="8"/>
  <c r="AP208" i="8"/>
  <c r="AP209" i="8"/>
  <c r="AP210" i="8"/>
  <c r="AP211" i="8"/>
  <c r="AP212" i="8"/>
  <c r="AP213" i="8"/>
  <c r="AP214" i="8"/>
  <c r="AP215" i="8"/>
  <c r="AP216" i="8"/>
  <c r="AP217" i="8"/>
  <c r="AP218" i="8"/>
  <c r="AP219" i="8"/>
  <c r="AP221" i="8"/>
  <c r="AP259" i="8"/>
  <c r="AP260" i="8"/>
  <c r="AP261" i="8"/>
  <c r="AP262" i="8"/>
  <c r="AP263" i="8"/>
  <c r="AP264" i="8"/>
  <c r="AP265" i="8"/>
  <c r="AP266" i="8"/>
  <c r="AP267" i="8"/>
  <c r="AP268" i="8"/>
  <c r="AP269" i="8"/>
  <c r="AP270" i="8"/>
  <c r="AP271" i="8"/>
  <c r="AP277" i="8"/>
  <c r="AO274" i="8"/>
  <c r="AO275" i="8"/>
  <c r="AO25" i="8"/>
  <c r="AO26" i="8"/>
  <c r="AO27" i="8"/>
  <c r="AO187" i="8"/>
  <c r="AO188" i="8"/>
  <c r="AO189" i="8"/>
  <c r="AO190" i="8"/>
  <c r="AO191" i="8"/>
  <c r="AO192" i="8"/>
  <c r="AO194" i="8"/>
  <c r="AO195" i="8"/>
  <c r="AO196" i="8"/>
  <c r="AO197" i="8"/>
  <c r="AO198" i="8"/>
  <c r="AO199" i="8"/>
  <c r="AO200" i="8"/>
  <c r="AO201" i="8"/>
  <c r="AO202" i="8"/>
  <c r="AO203" i="8"/>
  <c r="AO204" i="8"/>
  <c r="AO205" i="8"/>
  <c r="AO206" i="8"/>
  <c r="AO207" i="8"/>
  <c r="AO208" i="8"/>
  <c r="AO209" i="8"/>
  <c r="AO210" i="8"/>
  <c r="AO211" i="8"/>
  <c r="AO212" i="8"/>
  <c r="AO213" i="8"/>
  <c r="AO214" i="8"/>
  <c r="AO215" i="8"/>
  <c r="AO216" i="8"/>
  <c r="AO217" i="8"/>
  <c r="AO218" i="8"/>
  <c r="AO219" i="8"/>
  <c r="AO221" i="8"/>
  <c r="AO259" i="8"/>
  <c r="AO260" i="8"/>
  <c r="AO261" i="8"/>
  <c r="AO262" i="8"/>
  <c r="AO263" i="8"/>
  <c r="AO264" i="8"/>
  <c r="AO265" i="8"/>
  <c r="AO266" i="8"/>
  <c r="AO267" i="8"/>
  <c r="AO268" i="8"/>
  <c r="AO269" i="8"/>
  <c r="AO270" i="8"/>
  <c r="AO271" i="8"/>
  <c r="AO277" i="8"/>
  <c r="AN274" i="8"/>
  <c r="AN275" i="8"/>
  <c r="AN25" i="8"/>
  <c r="AN26" i="8"/>
  <c r="AN27" i="8"/>
  <c r="AN187" i="8"/>
  <c r="AN188" i="8"/>
  <c r="AN189" i="8"/>
  <c r="AN190" i="8"/>
  <c r="AN191" i="8"/>
  <c r="AN192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1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7" i="8"/>
  <c r="AM274" i="8"/>
  <c r="AM275" i="8"/>
  <c r="AM25" i="8"/>
  <c r="AM26" i="8"/>
  <c r="AM27" i="8"/>
  <c r="AM187" i="8"/>
  <c r="AM188" i="8"/>
  <c r="AM189" i="8"/>
  <c r="AM190" i="8"/>
  <c r="AM191" i="8"/>
  <c r="AM192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1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7" i="8"/>
  <c r="AL274" i="8"/>
  <c r="AL275" i="8"/>
  <c r="AL25" i="8"/>
  <c r="AL26" i="8"/>
  <c r="AL27" i="8"/>
  <c r="AL187" i="8"/>
  <c r="AL188" i="8"/>
  <c r="AL189" i="8"/>
  <c r="AL190" i="8"/>
  <c r="AL191" i="8"/>
  <c r="AL192" i="8"/>
  <c r="AL194" i="8"/>
  <c r="AL195" i="8"/>
  <c r="AL196" i="8"/>
  <c r="AL197" i="8"/>
  <c r="AL198" i="8"/>
  <c r="AL199" i="8"/>
  <c r="AL200" i="8"/>
  <c r="AL201" i="8"/>
  <c r="AL202" i="8"/>
  <c r="AL203" i="8"/>
  <c r="AL204" i="8"/>
  <c r="AL205" i="8"/>
  <c r="AL206" i="8"/>
  <c r="AL207" i="8"/>
  <c r="AL208" i="8"/>
  <c r="AL209" i="8"/>
  <c r="AL210" i="8"/>
  <c r="AL211" i="8"/>
  <c r="AL212" i="8"/>
  <c r="AL213" i="8"/>
  <c r="AL214" i="8"/>
  <c r="AL215" i="8"/>
  <c r="AL216" i="8"/>
  <c r="AL217" i="8"/>
  <c r="AL218" i="8"/>
  <c r="AL219" i="8"/>
  <c r="AL221" i="8"/>
  <c r="AL259" i="8"/>
  <c r="AL260" i="8"/>
  <c r="AL261" i="8"/>
  <c r="AL262" i="8"/>
  <c r="AL263" i="8"/>
  <c r="AL264" i="8"/>
  <c r="AL265" i="8"/>
  <c r="AL266" i="8"/>
  <c r="AL267" i="8"/>
  <c r="AL268" i="8"/>
  <c r="AL269" i="8"/>
  <c r="AL270" i="8"/>
  <c r="AL271" i="8"/>
  <c r="AL277" i="8"/>
  <c r="AK274" i="8"/>
  <c r="AK275" i="8"/>
  <c r="AK25" i="8"/>
  <c r="AK26" i="8"/>
  <c r="AK27" i="8"/>
  <c r="AK187" i="8"/>
  <c r="AK188" i="8"/>
  <c r="AK189" i="8"/>
  <c r="AK190" i="8"/>
  <c r="AK191" i="8"/>
  <c r="AK192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1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7" i="8"/>
  <c r="AJ274" i="8"/>
  <c r="AJ275" i="8"/>
  <c r="AJ25" i="8"/>
  <c r="AJ26" i="8"/>
  <c r="AJ27" i="8"/>
  <c r="AJ187" i="8"/>
  <c r="AJ188" i="8"/>
  <c r="AJ189" i="8"/>
  <c r="AJ190" i="8"/>
  <c r="AJ191" i="8"/>
  <c r="AJ192" i="8"/>
  <c r="AJ194" i="8"/>
  <c r="AJ195" i="8"/>
  <c r="AJ196" i="8"/>
  <c r="AJ197" i="8"/>
  <c r="AJ198" i="8"/>
  <c r="AJ199" i="8"/>
  <c r="AJ200" i="8"/>
  <c r="AJ201" i="8"/>
  <c r="AJ202" i="8"/>
  <c r="AJ203" i="8"/>
  <c r="AJ204" i="8"/>
  <c r="AJ205" i="8"/>
  <c r="AJ206" i="8"/>
  <c r="AJ207" i="8"/>
  <c r="AJ208" i="8"/>
  <c r="AJ209" i="8"/>
  <c r="AJ210" i="8"/>
  <c r="AJ211" i="8"/>
  <c r="AJ212" i="8"/>
  <c r="AJ213" i="8"/>
  <c r="AJ214" i="8"/>
  <c r="AJ215" i="8"/>
  <c r="AJ216" i="8"/>
  <c r="AJ217" i="8"/>
  <c r="AJ218" i="8"/>
  <c r="AJ219" i="8"/>
  <c r="AJ221" i="8"/>
  <c r="AJ259" i="8"/>
  <c r="AJ260" i="8"/>
  <c r="AJ261" i="8"/>
  <c r="AJ262" i="8"/>
  <c r="AJ263" i="8"/>
  <c r="AJ264" i="8"/>
  <c r="AJ265" i="8"/>
  <c r="AJ266" i="8"/>
  <c r="AJ267" i="8"/>
  <c r="AJ268" i="8"/>
  <c r="AJ269" i="8"/>
  <c r="AJ270" i="8"/>
  <c r="AJ271" i="8"/>
  <c r="AJ277" i="8"/>
  <c r="AI274" i="8"/>
  <c r="AI275" i="8"/>
  <c r="AI25" i="8"/>
  <c r="AI26" i="8"/>
  <c r="AI27" i="8"/>
  <c r="AI187" i="8"/>
  <c r="AI188" i="8"/>
  <c r="AI189" i="8"/>
  <c r="AI190" i="8"/>
  <c r="AI191" i="8"/>
  <c r="AI192" i="8"/>
  <c r="AI194" i="8"/>
  <c r="AI195" i="8"/>
  <c r="AI196" i="8"/>
  <c r="AI197" i="8"/>
  <c r="AI198" i="8"/>
  <c r="AI199" i="8"/>
  <c r="AI200" i="8"/>
  <c r="AI201" i="8"/>
  <c r="AI202" i="8"/>
  <c r="AI203" i="8"/>
  <c r="AI204" i="8"/>
  <c r="AI205" i="8"/>
  <c r="AI206" i="8"/>
  <c r="AI207" i="8"/>
  <c r="AI208" i="8"/>
  <c r="AI209" i="8"/>
  <c r="AI210" i="8"/>
  <c r="AI211" i="8"/>
  <c r="AI212" i="8"/>
  <c r="AI213" i="8"/>
  <c r="AI214" i="8"/>
  <c r="AI215" i="8"/>
  <c r="AI216" i="8"/>
  <c r="AI217" i="8"/>
  <c r="AI218" i="8"/>
  <c r="AI219" i="8"/>
  <c r="AI221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7" i="8"/>
  <c r="AH274" i="8"/>
  <c r="AH275" i="8"/>
  <c r="AH25" i="8"/>
  <c r="AH26" i="8"/>
  <c r="AH27" i="8"/>
  <c r="AH187" i="8"/>
  <c r="AH188" i="8"/>
  <c r="AH189" i="8"/>
  <c r="AH190" i="8"/>
  <c r="AH191" i="8"/>
  <c r="AH192" i="8"/>
  <c r="AH194" i="8"/>
  <c r="AH195" i="8"/>
  <c r="AH196" i="8"/>
  <c r="AH197" i="8"/>
  <c r="AH198" i="8"/>
  <c r="AH199" i="8"/>
  <c r="AH200" i="8"/>
  <c r="AH201" i="8"/>
  <c r="AH202" i="8"/>
  <c r="AH203" i="8"/>
  <c r="AH204" i="8"/>
  <c r="AH205" i="8"/>
  <c r="AH206" i="8"/>
  <c r="AH207" i="8"/>
  <c r="AH208" i="8"/>
  <c r="AH209" i="8"/>
  <c r="AH210" i="8"/>
  <c r="AH211" i="8"/>
  <c r="AH212" i="8"/>
  <c r="AH213" i="8"/>
  <c r="AH214" i="8"/>
  <c r="AH215" i="8"/>
  <c r="AH216" i="8"/>
  <c r="AH217" i="8"/>
  <c r="AH218" i="8"/>
  <c r="AH219" i="8"/>
  <c r="AH221" i="8"/>
  <c r="AH259" i="8"/>
  <c r="AH260" i="8"/>
  <c r="AH261" i="8"/>
  <c r="AH262" i="8"/>
  <c r="AH263" i="8"/>
  <c r="AH264" i="8"/>
  <c r="AH265" i="8"/>
  <c r="AH266" i="8"/>
  <c r="AH267" i="8"/>
  <c r="AH268" i="8"/>
  <c r="AH269" i="8"/>
  <c r="AH270" i="8"/>
  <c r="AH271" i="8"/>
  <c r="AH277" i="8"/>
  <c r="AG274" i="8"/>
  <c r="AG275" i="8"/>
  <c r="AG25" i="8"/>
  <c r="AG26" i="8"/>
  <c r="AG27" i="8"/>
  <c r="AG187" i="8"/>
  <c r="AG188" i="8"/>
  <c r="AG189" i="8"/>
  <c r="AG190" i="8"/>
  <c r="AG191" i="8"/>
  <c r="AG192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1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7" i="8"/>
  <c r="AF274" i="8"/>
  <c r="AF275" i="8"/>
  <c r="AF25" i="8"/>
  <c r="AF26" i="8"/>
  <c r="AF27" i="8"/>
  <c r="AF187" i="8"/>
  <c r="AF188" i="8"/>
  <c r="AF189" i="8"/>
  <c r="AF190" i="8"/>
  <c r="AF191" i="8"/>
  <c r="AF192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1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7" i="8"/>
  <c r="AE274" i="8"/>
  <c r="AE275" i="8"/>
  <c r="AE25" i="8"/>
  <c r="AE26" i="8"/>
  <c r="AE27" i="8"/>
  <c r="AE187" i="8"/>
  <c r="AE188" i="8"/>
  <c r="AE189" i="8"/>
  <c r="AE190" i="8"/>
  <c r="AE191" i="8"/>
  <c r="AE192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1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7" i="8"/>
  <c r="AD274" i="8"/>
  <c r="AD275" i="8"/>
  <c r="AD25" i="8"/>
  <c r="AD26" i="8"/>
  <c r="AD27" i="8"/>
  <c r="AD187" i="8"/>
  <c r="AD188" i="8"/>
  <c r="AD189" i="8"/>
  <c r="AD190" i="8"/>
  <c r="AD191" i="8"/>
  <c r="AD192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1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7" i="8"/>
  <c r="AC274" i="8"/>
  <c r="AC275" i="8"/>
  <c r="AC25" i="8"/>
  <c r="AC26" i="8"/>
  <c r="AC27" i="8"/>
  <c r="AC187" i="8"/>
  <c r="AC188" i="8"/>
  <c r="AC189" i="8"/>
  <c r="AC190" i="8"/>
  <c r="AC191" i="8"/>
  <c r="AC192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1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7" i="8"/>
  <c r="AB274" i="8"/>
  <c r="AB275" i="8"/>
  <c r="AB25" i="8"/>
  <c r="AB26" i="8"/>
  <c r="AB27" i="8"/>
  <c r="AB187" i="8"/>
  <c r="AB188" i="8"/>
  <c r="AB189" i="8"/>
  <c r="AB190" i="8"/>
  <c r="AB191" i="8"/>
  <c r="AB192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16" i="8"/>
  <c r="AB217" i="8"/>
  <c r="AB218" i="8"/>
  <c r="AB219" i="8"/>
  <c r="AB221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7" i="8"/>
  <c r="AA274" i="8"/>
  <c r="AA275" i="8"/>
  <c r="AA25" i="8"/>
  <c r="AA26" i="8"/>
  <c r="AA27" i="8"/>
  <c r="AA187" i="8"/>
  <c r="AA188" i="8"/>
  <c r="AA189" i="8"/>
  <c r="AA190" i="8"/>
  <c r="AA191" i="8"/>
  <c r="AA192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1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7" i="8"/>
  <c r="Z274" i="8"/>
  <c r="Z275" i="8"/>
  <c r="Z25" i="8"/>
  <c r="Z26" i="8"/>
  <c r="Z27" i="8"/>
  <c r="Z187" i="8"/>
  <c r="Z188" i="8"/>
  <c r="Z189" i="8"/>
  <c r="Z190" i="8"/>
  <c r="Z191" i="8"/>
  <c r="Z192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1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7" i="8"/>
  <c r="Y274" i="8"/>
  <c r="Y275" i="8"/>
  <c r="Y25" i="8"/>
  <c r="Y26" i="8"/>
  <c r="Y27" i="8"/>
  <c r="Y187" i="8"/>
  <c r="Y188" i="8"/>
  <c r="Y189" i="8"/>
  <c r="Y190" i="8"/>
  <c r="Y191" i="8"/>
  <c r="Y192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1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7" i="8"/>
  <c r="X274" i="8"/>
  <c r="X275" i="8"/>
  <c r="X25" i="8"/>
  <c r="X26" i="8"/>
  <c r="X27" i="8"/>
  <c r="X187" i="8"/>
  <c r="X188" i="8"/>
  <c r="X189" i="8"/>
  <c r="X190" i="8"/>
  <c r="X191" i="8"/>
  <c r="X192" i="8"/>
  <c r="X194" i="8"/>
  <c r="X195" i="8"/>
  <c r="X196" i="8"/>
  <c r="X197" i="8"/>
  <c r="X198" i="8"/>
  <c r="X199" i="8"/>
  <c r="X200" i="8"/>
  <c r="X201" i="8"/>
  <c r="X202" i="8"/>
  <c r="X203" i="8"/>
  <c r="X204" i="8"/>
  <c r="X205" i="8"/>
  <c r="X206" i="8"/>
  <c r="X207" i="8"/>
  <c r="X208" i="8"/>
  <c r="X209" i="8"/>
  <c r="X210" i="8"/>
  <c r="X211" i="8"/>
  <c r="X212" i="8"/>
  <c r="X213" i="8"/>
  <c r="X214" i="8"/>
  <c r="X215" i="8"/>
  <c r="X216" i="8"/>
  <c r="X217" i="8"/>
  <c r="X218" i="8"/>
  <c r="X219" i="8"/>
  <c r="X221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7" i="8"/>
  <c r="W274" i="8"/>
  <c r="W275" i="8"/>
  <c r="W25" i="8"/>
  <c r="W26" i="8"/>
  <c r="W27" i="8"/>
  <c r="W187" i="8"/>
  <c r="W188" i="8"/>
  <c r="W189" i="8"/>
  <c r="W190" i="8"/>
  <c r="W191" i="8"/>
  <c r="W192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1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7" i="8"/>
  <c r="V274" i="8"/>
  <c r="V275" i="8"/>
  <c r="V25" i="8"/>
  <c r="V26" i="8"/>
  <c r="V27" i="8"/>
  <c r="V187" i="8"/>
  <c r="V188" i="8"/>
  <c r="V189" i="8"/>
  <c r="V190" i="8"/>
  <c r="V191" i="8"/>
  <c r="V192" i="8"/>
  <c r="V194" i="8"/>
  <c r="V195" i="8"/>
  <c r="V196" i="8"/>
  <c r="V197" i="8"/>
  <c r="V198" i="8"/>
  <c r="V199" i="8"/>
  <c r="V200" i="8"/>
  <c r="V201" i="8"/>
  <c r="V202" i="8"/>
  <c r="V203" i="8"/>
  <c r="V204" i="8"/>
  <c r="V205" i="8"/>
  <c r="V206" i="8"/>
  <c r="V207" i="8"/>
  <c r="V208" i="8"/>
  <c r="V209" i="8"/>
  <c r="V210" i="8"/>
  <c r="V211" i="8"/>
  <c r="V212" i="8"/>
  <c r="V213" i="8"/>
  <c r="V214" i="8"/>
  <c r="V215" i="8"/>
  <c r="V216" i="8"/>
  <c r="V217" i="8"/>
  <c r="V218" i="8"/>
  <c r="V219" i="8"/>
  <c r="V221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7" i="8"/>
  <c r="U274" i="8"/>
  <c r="U275" i="8"/>
  <c r="U25" i="8"/>
  <c r="U26" i="8"/>
  <c r="U27" i="8"/>
  <c r="U187" i="8"/>
  <c r="U188" i="8"/>
  <c r="U189" i="8"/>
  <c r="U190" i="8"/>
  <c r="U191" i="8"/>
  <c r="U192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1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7" i="8"/>
  <c r="T274" i="8"/>
  <c r="T275" i="8"/>
  <c r="T25" i="8"/>
  <c r="T26" i="8"/>
  <c r="T27" i="8"/>
  <c r="T187" i="8"/>
  <c r="T188" i="8"/>
  <c r="T189" i="8"/>
  <c r="T190" i="8"/>
  <c r="T191" i="8"/>
  <c r="T192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1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7" i="8"/>
  <c r="S274" i="8"/>
  <c r="S275" i="8"/>
  <c r="S25" i="8"/>
  <c r="S26" i="8"/>
  <c r="S27" i="8"/>
  <c r="S187" i="8"/>
  <c r="S188" i="8"/>
  <c r="S189" i="8"/>
  <c r="S190" i="8"/>
  <c r="S191" i="8"/>
  <c r="S192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1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7" i="8"/>
  <c r="R274" i="8"/>
  <c r="R275" i="8"/>
  <c r="R25" i="8"/>
  <c r="R26" i="8"/>
  <c r="R27" i="8"/>
  <c r="R187" i="8"/>
  <c r="R188" i="8"/>
  <c r="R189" i="8"/>
  <c r="R190" i="8"/>
  <c r="R191" i="8"/>
  <c r="R192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1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7" i="8"/>
  <c r="Q274" i="8"/>
  <c r="Q275" i="8"/>
  <c r="Q25" i="8"/>
  <c r="Q26" i="8"/>
  <c r="Q27" i="8"/>
  <c r="Q187" i="8"/>
  <c r="Q188" i="8"/>
  <c r="Q189" i="8"/>
  <c r="Q190" i="8"/>
  <c r="Q191" i="8"/>
  <c r="Q192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1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7" i="8"/>
  <c r="P274" i="8"/>
  <c r="P275" i="8"/>
  <c r="P25" i="8"/>
  <c r="P26" i="8"/>
  <c r="P27" i="8"/>
  <c r="P187" i="8"/>
  <c r="P188" i="8"/>
  <c r="P189" i="8"/>
  <c r="P190" i="8"/>
  <c r="P191" i="8"/>
  <c r="P192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1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7" i="8"/>
  <c r="O274" i="8"/>
  <c r="O275" i="8"/>
  <c r="O25" i="8"/>
  <c r="O26" i="8"/>
  <c r="O27" i="8"/>
  <c r="O187" i="8"/>
  <c r="O188" i="8"/>
  <c r="O189" i="8"/>
  <c r="O190" i="8"/>
  <c r="O191" i="8"/>
  <c r="O192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1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7" i="8"/>
  <c r="N274" i="8"/>
  <c r="N275" i="8"/>
  <c r="N25" i="8"/>
  <c r="N26" i="8"/>
  <c r="N27" i="8"/>
  <c r="N187" i="8"/>
  <c r="N188" i="8"/>
  <c r="N189" i="8"/>
  <c r="N190" i="8"/>
  <c r="N191" i="8"/>
  <c r="N192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1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7" i="8"/>
  <c r="M274" i="8"/>
  <c r="M275" i="8"/>
  <c r="M25" i="8"/>
  <c r="M26" i="8"/>
  <c r="M27" i="8"/>
  <c r="M187" i="8"/>
  <c r="M188" i="8"/>
  <c r="M189" i="8"/>
  <c r="M190" i="8"/>
  <c r="M191" i="8"/>
  <c r="M192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1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7" i="8"/>
  <c r="L274" i="8"/>
  <c r="L275" i="8"/>
  <c r="L25" i="8"/>
  <c r="L26" i="8"/>
  <c r="L27" i="8"/>
  <c r="L187" i="8"/>
  <c r="L188" i="8"/>
  <c r="L189" i="8"/>
  <c r="L190" i="8"/>
  <c r="L191" i="8"/>
  <c r="L192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1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7" i="8"/>
  <c r="K274" i="8"/>
  <c r="K275" i="8"/>
  <c r="K25" i="8"/>
  <c r="K26" i="8"/>
  <c r="K27" i="8"/>
  <c r="K187" i="8"/>
  <c r="K188" i="8"/>
  <c r="K189" i="8"/>
  <c r="K190" i="8"/>
  <c r="K191" i="8"/>
  <c r="K192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1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7" i="8"/>
  <c r="J274" i="8"/>
  <c r="J275" i="8"/>
  <c r="J25" i="8"/>
  <c r="J26" i="8"/>
  <c r="J27" i="8"/>
  <c r="J187" i="8"/>
  <c r="J188" i="8"/>
  <c r="J189" i="8"/>
  <c r="J190" i="8"/>
  <c r="J191" i="8"/>
  <c r="J192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1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7" i="8"/>
  <c r="I274" i="8"/>
  <c r="I275" i="8"/>
  <c r="I25" i="8"/>
  <c r="I26" i="8"/>
  <c r="I27" i="8"/>
  <c r="I187" i="8"/>
  <c r="I188" i="8"/>
  <c r="I189" i="8"/>
  <c r="I190" i="8"/>
  <c r="I191" i="8"/>
  <c r="I192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1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7" i="8"/>
  <c r="H274" i="8"/>
  <c r="H275" i="8"/>
  <c r="H25" i="8"/>
  <c r="H26" i="8"/>
  <c r="H27" i="8"/>
  <c r="H187" i="8"/>
  <c r="H188" i="8"/>
  <c r="H189" i="8"/>
  <c r="H190" i="8"/>
  <c r="H191" i="8"/>
  <c r="H192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1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7" i="8"/>
  <c r="G274" i="8"/>
  <c r="G275" i="8"/>
  <c r="G25" i="8"/>
  <c r="G26" i="8"/>
  <c r="G27" i="8"/>
  <c r="G187" i="8"/>
  <c r="G188" i="8"/>
  <c r="G189" i="8"/>
  <c r="G190" i="8"/>
  <c r="G191" i="8"/>
  <c r="G192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1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7" i="8"/>
  <c r="F274" i="8"/>
  <c r="F275" i="8"/>
  <c r="F25" i="8"/>
  <c r="F26" i="8"/>
  <c r="F27" i="8"/>
  <c r="F187" i="8"/>
  <c r="F188" i="8"/>
  <c r="F189" i="8"/>
  <c r="F190" i="8"/>
  <c r="F191" i="8"/>
  <c r="F192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1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7" i="8"/>
  <c r="AU276" i="8"/>
  <c r="AT276" i="8"/>
  <c r="AS276" i="8"/>
  <c r="AR276" i="8"/>
  <c r="AQ276" i="8"/>
  <c r="AP276" i="8"/>
  <c r="AO276" i="8"/>
  <c r="AN276" i="8"/>
  <c r="AM276" i="8"/>
  <c r="AL276" i="8"/>
  <c r="AK276" i="8"/>
  <c r="AJ276" i="8"/>
  <c r="AI276" i="8"/>
  <c r="AH276" i="8"/>
  <c r="AG276" i="8"/>
  <c r="AF276" i="8"/>
  <c r="AE276" i="8"/>
  <c r="AD276" i="8"/>
  <c r="AC276" i="8"/>
  <c r="AB276" i="8"/>
  <c r="AA276" i="8"/>
  <c r="Z276" i="8"/>
  <c r="Y276" i="8"/>
  <c r="X276" i="8"/>
  <c r="W276" i="8"/>
  <c r="V276" i="8"/>
  <c r="U276" i="8"/>
  <c r="T276" i="8"/>
  <c r="S276" i="8"/>
  <c r="R276" i="8"/>
  <c r="Q276" i="8"/>
  <c r="P276" i="8"/>
  <c r="O276" i="8"/>
  <c r="N276" i="8"/>
  <c r="M276" i="8"/>
  <c r="L276" i="8"/>
  <c r="K276" i="8"/>
  <c r="J276" i="8"/>
  <c r="I276" i="8"/>
  <c r="H276" i="8"/>
  <c r="G276" i="8"/>
  <c r="F276" i="8"/>
  <c r="E274" i="8"/>
  <c r="AU272" i="8"/>
  <c r="AU273" i="8"/>
  <c r="AT272" i="8"/>
  <c r="AT273" i="8"/>
  <c r="AS272" i="8"/>
  <c r="AS273" i="8"/>
  <c r="AR272" i="8"/>
  <c r="AR273" i="8"/>
  <c r="AQ272" i="8"/>
  <c r="AQ273" i="8"/>
  <c r="AP272" i="8"/>
  <c r="AP273" i="8"/>
  <c r="AO272" i="8"/>
  <c r="AO273" i="8"/>
  <c r="AN272" i="8"/>
  <c r="AN273" i="8"/>
  <c r="AM272" i="8"/>
  <c r="AM273" i="8"/>
  <c r="AL272" i="8"/>
  <c r="AL273" i="8"/>
  <c r="AK272" i="8"/>
  <c r="AK273" i="8"/>
  <c r="AJ272" i="8"/>
  <c r="AJ273" i="8"/>
  <c r="AI272" i="8"/>
  <c r="AI273" i="8"/>
  <c r="AH272" i="8"/>
  <c r="AH273" i="8"/>
  <c r="AG272" i="8"/>
  <c r="AG273" i="8"/>
  <c r="AF272" i="8"/>
  <c r="AF273" i="8"/>
  <c r="AE272" i="8"/>
  <c r="AE273" i="8"/>
  <c r="AD272" i="8"/>
  <c r="AD273" i="8"/>
  <c r="AC272" i="8"/>
  <c r="AC273" i="8"/>
  <c r="AB272" i="8"/>
  <c r="AB273" i="8"/>
  <c r="AA272" i="8"/>
  <c r="AA273" i="8"/>
  <c r="Z272" i="8"/>
  <c r="Z273" i="8"/>
  <c r="Y272" i="8"/>
  <c r="Y273" i="8"/>
  <c r="X272" i="8"/>
  <c r="X273" i="8"/>
  <c r="W272" i="8"/>
  <c r="W273" i="8"/>
  <c r="V272" i="8"/>
  <c r="V273" i="8"/>
  <c r="U272" i="8"/>
  <c r="U273" i="8"/>
  <c r="T272" i="8"/>
  <c r="T273" i="8"/>
  <c r="S272" i="8"/>
  <c r="S273" i="8"/>
  <c r="R272" i="8"/>
  <c r="R273" i="8"/>
  <c r="Q272" i="8"/>
  <c r="Q273" i="8"/>
  <c r="P272" i="8"/>
  <c r="P273" i="8"/>
  <c r="O272" i="8"/>
  <c r="O273" i="8"/>
  <c r="N272" i="8"/>
  <c r="N273" i="8"/>
  <c r="M272" i="8"/>
  <c r="M273" i="8"/>
  <c r="L272" i="8"/>
  <c r="L273" i="8"/>
  <c r="K272" i="8"/>
  <c r="K273" i="8"/>
  <c r="J272" i="8"/>
  <c r="J273" i="8"/>
  <c r="I272" i="8"/>
  <c r="I273" i="8"/>
  <c r="H272" i="8"/>
  <c r="H273" i="8"/>
  <c r="G272" i="8"/>
  <c r="G273" i="8"/>
  <c r="F272" i="8"/>
  <c r="F273" i="8"/>
  <c r="E272" i="8"/>
  <c r="E270" i="8"/>
  <c r="E269" i="8"/>
  <c r="E268" i="8"/>
  <c r="E267" i="8"/>
  <c r="E265" i="8"/>
  <c r="E264" i="8"/>
  <c r="E263" i="8"/>
  <c r="E262" i="8"/>
  <c r="E260" i="8"/>
  <c r="E259" i="8"/>
  <c r="E256" i="8"/>
  <c r="E254" i="8"/>
  <c r="E252" i="8"/>
  <c r="E250" i="8"/>
  <c r="E248" i="8"/>
  <c r="E246" i="8"/>
  <c r="E244" i="8"/>
  <c r="E242" i="8"/>
  <c r="E240" i="8"/>
  <c r="E238" i="8"/>
  <c r="E236" i="8"/>
  <c r="E234" i="8"/>
  <c r="E232" i="8"/>
  <c r="E230" i="8"/>
  <c r="E228" i="8"/>
  <c r="E226" i="8"/>
  <c r="E224" i="8"/>
  <c r="E223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6" i="8"/>
  <c r="E135" i="8"/>
  <c r="E134" i="8"/>
  <c r="E133" i="8"/>
  <c r="E132" i="8"/>
  <c r="E131" i="8"/>
  <c r="E130" i="8"/>
  <c r="E129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2" i="8"/>
  <c r="E111" i="8"/>
  <c r="E110" i="8"/>
  <c r="E108" i="8"/>
  <c r="E107" i="8"/>
  <c r="E106" i="8"/>
  <c r="E105" i="8"/>
  <c r="E104" i="8"/>
  <c r="E103" i="8"/>
  <c r="E102" i="8"/>
  <c r="E101" i="8"/>
  <c r="E100" i="8"/>
  <c r="E99" i="8"/>
  <c r="E96" i="8"/>
  <c r="E95" i="8"/>
  <c r="E93" i="8"/>
  <c r="E92" i="8"/>
  <c r="E90" i="8"/>
  <c r="E89" i="8"/>
  <c r="E87" i="8"/>
  <c r="E86" i="8"/>
  <c r="E85" i="8"/>
  <c r="E84" i="8"/>
  <c r="E82" i="8"/>
  <c r="E81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4" i="8"/>
  <c r="E52" i="8"/>
  <c r="E50" i="8"/>
  <c r="E48" i="8"/>
  <c r="E46" i="8"/>
  <c r="E45" i="8"/>
  <c r="E43" i="8"/>
  <c r="E42" i="8"/>
  <c r="E40" i="8"/>
  <c r="E39" i="8"/>
  <c r="E38" i="8"/>
  <c r="E37" i="8"/>
  <c r="E36" i="8"/>
  <c r="E35" i="8"/>
  <c r="E34" i="8"/>
  <c r="E33" i="8"/>
  <c r="E32" i="8"/>
  <c r="E31" i="8"/>
  <c r="E29" i="8"/>
  <c r="E25" i="8"/>
  <c r="E23" i="8"/>
  <c r="E20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E12" i="8"/>
  <c r="E5" i="1"/>
  <c r="D2" i="4"/>
  <c r="G36" i="4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R31" i="6"/>
  <c r="Q31" i="6"/>
  <c r="P31" i="6"/>
  <c r="O31" i="6"/>
  <c r="N31" i="6"/>
  <c r="M31" i="6"/>
  <c r="L31" i="6"/>
  <c r="K31" i="6"/>
  <c r="J31" i="6"/>
  <c r="I31" i="6"/>
  <c r="H31" i="6"/>
  <c r="G31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1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69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7" i="6"/>
  <c r="E64" i="6"/>
  <c r="E62" i="6"/>
  <c r="E60" i="6"/>
  <c r="E58" i="6"/>
  <c r="E56" i="6"/>
  <c r="E54" i="6"/>
  <c r="E52" i="6"/>
  <c r="E50" i="6"/>
  <c r="E48" i="6"/>
  <c r="E46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3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1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39" i="6"/>
  <c r="E37" i="6"/>
  <c r="E36" i="6"/>
  <c r="E34" i="6"/>
  <c r="E33" i="6"/>
  <c r="E32" i="6"/>
  <c r="E30" i="6"/>
  <c r="E29" i="6"/>
  <c r="E28" i="6"/>
  <c r="E27" i="6"/>
  <c r="E26" i="6"/>
  <c r="E25" i="6"/>
  <c r="E24" i="6"/>
  <c r="E23" i="6"/>
  <c r="E22" i="6"/>
  <c r="E21" i="6"/>
  <c r="E20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7" i="6"/>
  <c r="E12" i="6"/>
  <c r="E9" i="6"/>
  <c r="E12" i="5"/>
  <c r="E12" i="1"/>
  <c r="C5" i="5"/>
  <c r="C3" i="5"/>
  <c r="C4" i="5"/>
  <c r="C7" i="5"/>
  <c r="C1" i="5"/>
  <c r="G1" i="5"/>
  <c r="G42" i="5"/>
  <c r="G43" i="5"/>
  <c r="G44" i="5"/>
  <c r="G313" i="5"/>
  <c r="G314" i="5"/>
  <c r="G315" i="5"/>
  <c r="G371" i="5"/>
  <c r="H1" i="5"/>
  <c r="H42" i="5"/>
  <c r="H43" i="5"/>
  <c r="H44" i="5"/>
  <c r="H313" i="5"/>
  <c r="H314" i="5"/>
  <c r="H315" i="5"/>
  <c r="H371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72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72" i="5"/>
  <c r="F1" i="5"/>
  <c r="F42" i="5"/>
  <c r="F43" i="5"/>
  <c r="F44" i="5"/>
  <c r="F313" i="5"/>
  <c r="F314" i="5"/>
  <c r="F315" i="5"/>
  <c r="F371" i="5"/>
  <c r="G56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54" i="5"/>
  <c r="G55" i="5"/>
  <c r="G52" i="5"/>
  <c r="G53" i="5"/>
  <c r="G50" i="5"/>
  <c r="G51" i="5"/>
  <c r="G48" i="5"/>
  <c r="G49" i="5"/>
  <c r="G45" i="5"/>
  <c r="G46" i="5"/>
  <c r="G47" i="5"/>
  <c r="G80" i="5"/>
  <c r="G370" i="5"/>
  <c r="H56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54" i="5"/>
  <c r="H55" i="5"/>
  <c r="H52" i="5"/>
  <c r="H53" i="5"/>
  <c r="H50" i="5"/>
  <c r="H51" i="5"/>
  <c r="H48" i="5"/>
  <c r="H49" i="5"/>
  <c r="H45" i="5"/>
  <c r="H46" i="5"/>
  <c r="H47" i="5"/>
  <c r="H80" i="5"/>
  <c r="H370" i="5"/>
  <c r="F56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54" i="5"/>
  <c r="F55" i="5"/>
  <c r="F52" i="5"/>
  <c r="F53" i="5"/>
  <c r="F50" i="5"/>
  <c r="F51" i="5"/>
  <c r="F48" i="5"/>
  <c r="F49" i="5"/>
  <c r="F45" i="5"/>
  <c r="F46" i="5"/>
  <c r="F47" i="5"/>
  <c r="F8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70" i="5"/>
  <c r="G110" i="5"/>
  <c r="G111" i="5"/>
  <c r="G112" i="5"/>
  <c r="G113" i="5"/>
  <c r="G99" i="5"/>
  <c r="G100" i="5"/>
  <c r="G101" i="5"/>
  <c r="G102" i="5"/>
  <c r="G103" i="5"/>
  <c r="G104" i="5"/>
  <c r="G105" i="5"/>
  <c r="G106" i="5"/>
  <c r="G107" i="5"/>
  <c r="G108" i="5"/>
  <c r="G109" i="5"/>
  <c r="G114" i="5"/>
  <c r="G29" i="5"/>
  <c r="G23" i="5"/>
  <c r="G24" i="5"/>
  <c r="G30" i="5"/>
  <c r="G355" i="5"/>
  <c r="H110" i="5"/>
  <c r="H111" i="5"/>
  <c r="H112" i="5"/>
  <c r="H113" i="5"/>
  <c r="H99" i="5"/>
  <c r="H100" i="5"/>
  <c r="H101" i="5"/>
  <c r="H102" i="5"/>
  <c r="H103" i="5"/>
  <c r="H104" i="5"/>
  <c r="H105" i="5"/>
  <c r="H106" i="5"/>
  <c r="H107" i="5"/>
  <c r="H108" i="5"/>
  <c r="H109" i="5"/>
  <c r="H114" i="5"/>
  <c r="H29" i="5"/>
  <c r="H23" i="5"/>
  <c r="H24" i="5"/>
  <c r="H30" i="5"/>
  <c r="H355" i="5"/>
  <c r="F110" i="5"/>
  <c r="F111" i="5"/>
  <c r="F112" i="5"/>
  <c r="F113" i="5"/>
  <c r="F99" i="5"/>
  <c r="F100" i="5"/>
  <c r="F101" i="5"/>
  <c r="F102" i="5"/>
  <c r="F103" i="5"/>
  <c r="F104" i="5"/>
  <c r="F105" i="5"/>
  <c r="F106" i="5"/>
  <c r="F107" i="5"/>
  <c r="F108" i="5"/>
  <c r="F109" i="5"/>
  <c r="F114" i="5"/>
  <c r="F29" i="5"/>
  <c r="F23" i="5"/>
  <c r="F24" i="5"/>
  <c r="F30" i="5"/>
  <c r="F355" i="5"/>
  <c r="E325" i="5"/>
  <c r="E9" i="5"/>
  <c r="E9" i="1"/>
  <c r="F274" i="5"/>
  <c r="F275" i="5"/>
  <c r="F20" i="5"/>
  <c r="F21" i="5"/>
  <c r="F276" i="5"/>
  <c r="H274" i="5"/>
  <c r="H275" i="5"/>
  <c r="H20" i="5"/>
  <c r="H21" i="5"/>
  <c r="H276" i="5"/>
  <c r="K276" i="5"/>
  <c r="G274" i="5"/>
  <c r="G275" i="5"/>
  <c r="G20" i="5"/>
  <c r="G21" i="5"/>
  <c r="G276" i="5"/>
  <c r="J276" i="5"/>
  <c r="G18" i="5"/>
  <c r="J17" i="5"/>
  <c r="F297" i="5"/>
  <c r="F308" i="5"/>
  <c r="F373" i="5"/>
  <c r="G294" i="5"/>
  <c r="H294" i="5"/>
  <c r="F294" i="5"/>
  <c r="E294" i="5"/>
  <c r="G31" i="5"/>
  <c r="G32" i="5"/>
  <c r="G33" i="5"/>
  <c r="G34" i="5"/>
  <c r="G35" i="5"/>
  <c r="G36" i="5"/>
  <c r="G37" i="5"/>
  <c r="G38" i="5"/>
  <c r="G39" i="5"/>
  <c r="G40" i="5"/>
  <c r="G41" i="5"/>
  <c r="G352" i="5"/>
  <c r="H31" i="5"/>
  <c r="H32" i="5"/>
  <c r="H33" i="5"/>
  <c r="H34" i="5"/>
  <c r="H35" i="5"/>
  <c r="H36" i="5"/>
  <c r="H37" i="5"/>
  <c r="H38" i="5"/>
  <c r="H39" i="5"/>
  <c r="H40" i="5"/>
  <c r="H41" i="5"/>
  <c r="H352" i="5"/>
  <c r="G353" i="5"/>
  <c r="H353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354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354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29" i="5"/>
  <c r="G130" i="5"/>
  <c r="G131" i="5"/>
  <c r="G132" i="5"/>
  <c r="G133" i="5"/>
  <c r="G134" i="5"/>
  <c r="G135" i="5"/>
  <c r="G136" i="5"/>
  <c r="G137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86" i="5"/>
  <c r="G356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29" i="5"/>
  <c r="H130" i="5"/>
  <c r="H131" i="5"/>
  <c r="H132" i="5"/>
  <c r="H133" i="5"/>
  <c r="H134" i="5"/>
  <c r="H135" i="5"/>
  <c r="H136" i="5"/>
  <c r="H137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86" i="5"/>
  <c r="H356" i="5"/>
  <c r="G224" i="5"/>
  <c r="G223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357" i="5"/>
  <c r="H224" i="5"/>
  <c r="H223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357" i="5"/>
  <c r="F224" i="5"/>
  <c r="F223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357" i="5"/>
  <c r="F31" i="5"/>
  <c r="F32" i="5"/>
  <c r="F33" i="5"/>
  <c r="F34" i="5"/>
  <c r="F35" i="5"/>
  <c r="F36" i="5"/>
  <c r="F37" i="5"/>
  <c r="F38" i="5"/>
  <c r="F39" i="5"/>
  <c r="F40" i="5"/>
  <c r="F41" i="5"/>
  <c r="F352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29" i="5"/>
  <c r="F130" i="5"/>
  <c r="F131" i="5"/>
  <c r="F132" i="5"/>
  <c r="F133" i="5"/>
  <c r="F134" i="5"/>
  <c r="F135" i="5"/>
  <c r="F136" i="5"/>
  <c r="F137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86" i="5"/>
  <c r="F356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354" i="5"/>
  <c r="F353" i="5"/>
  <c r="G297" i="5"/>
  <c r="G308" i="5"/>
  <c r="G373" i="5"/>
  <c r="H297" i="5"/>
  <c r="H308" i="5"/>
  <c r="H373" i="5"/>
  <c r="E371" i="5"/>
  <c r="E373" i="5"/>
  <c r="E48" i="1"/>
  <c r="J21" i="5"/>
  <c r="J24" i="5"/>
  <c r="F25" i="5"/>
  <c r="G25" i="5"/>
  <c r="J25" i="5"/>
  <c r="F26" i="5"/>
  <c r="G26" i="5"/>
  <c r="J26" i="5"/>
  <c r="F27" i="5"/>
  <c r="G27" i="5"/>
  <c r="J27" i="5"/>
  <c r="J30" i="5"/>
  <c r="J31" i="5"/>
  <c r="J32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109" i="5"/>
  <c r="J113" i="5"/>
  <c r="J114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F187" i="5"/>
  <c r="G187" i="5"/>
  <c r="J187" i="5"/>
  <c r="F188" i="5"/>
  <c r="G188" i="5"/>
  <c r="J188" i="5"/>
  <c r="F189" i="5"/>
  <c r="G189" i="5"/>
  <c r="J189" i="5"/>
  <c r="F190" i="5"/>
  <c r="G190" i="5"/>
  <c r="J190" i="5"/>
  <c r="F191" i="5"/>
  <c r="G191" i="5"/>
  <c r="J191" i="5"/>
  <c r="F192" i="5"/>
  <c r="G192" i="5"/>
  <c r="J192" i="5"/>
  <c r="J193" i="5"/>
  <c r="F194" i="5"/>
  <c r="G194" i="5"/>
  <c r="J194" i="5"/>
  <c r="F195" i="5"/>
  <c r="G195" i="5"/>
  <c r="J195" i="5"/>
  <c r="F196" i="5"/>
  <c r="G196" i="5"/>
  <c r="J196" i="5"/>
  <c r="F197" i="5"/>
  <c r="G197" i="5"/>
  <c r="J197" i="5"/>
  <c r="F198" i="5"/>
  <c r="G198" i="5"/>
  <c r="J198" i="5"/>
  <c r="F199" i="5"/>
  <c r="G199" i="5"/>
  <c r="J199" i="5"/>
  <c r="F200" i="5"/>
  <c r="G200" i="5"/>
  <c r="J200" i="5"/>
  <c r="F201" i="5"/>
  <c r="G201" i="5"/>
  <c r="J201" i="5"/>
  <c r="F202" i="5"/>
  <c r="G202" i="5"/>
  <c r="J202" i="5"/>
  <c r="F203" i="5"/>
  <c r="G203" i="5"/>
  <c r="J203" i="5"/>
  <c r="F204" i="5"/>
  <c r="G204" i="5"/>
  <c r="J204" i="5"/>
  <c r="F205" i="5"/>
  <c r="G205" i="5"/>
  <c r="J205" i="5"/>
  <c r="F206" i="5"/>
  <c r="G206" i="5"/>
  <c r="J206" i="5"/>
  <c r="F207" i="5"/>
  <c r="G207" i="5"/>
  <c r="J207" i="5"/>
  <c r="F208" i="5"/>
  <c r="G208" i="5"/>
  <c r="J208" i="5"/>
  <c r="F209" i="5"/>
  <c r="G209" i="5"/>
  <c r="J209" i="5"/>
  <c r="F210" i="5"/>
  <c r="G210" i="5"/>
  <c r="J210" i="5"/>
  <c r="F211" i="5"/>
  <c r="G211" i="5"/>
  <c r="J211" i="5"/>
  <c r="F212" i="5"/>
  <c r="G212" i="5"/>
  <c r="J212" i="5"/>
  <c r="F213" i="5"/>
  <c r="G213" i="5"/>
  <c r="J213" i="5"/>
  <c r="F214" i="5"/>
  <c r="G214" i="5"/>
  <c r="J214" i="5"/>
  <c r="F215" i="5"/>
  <c r="G215" i="5"/>
  <c r="J215" i="5"/>
  <c r="F216" i="5"/>
  <c r="G216" i="5"/>
  <c r="J216" i="5"/>
  <c r="F217" i="5"/>
  <c r="G217" i="5"/>
  <c r="J217" i="5"/>
  <c r="F218" i="5"/>
  <c r="G218" i="5"/>
  <c r="J218" i="5"/>
  <c r="F219" i="5"/>
  <c r="G219" i="5"/>
  <c r="J219" i="5"/>
  <c r="F221" i="5"/>
  <c r="G221" i="5"/>
  <c r="J221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F259" i="5"/>
  <c r="F260" i="5"/>
  <c r="F261" i="5"/>
  <c r="G259" i="5"/>
  <c r="G260" i="5"/>
  <c r="G261" i="5"/>
  <c r="J261" i="5"/>
  <c r="F262" i="5"/>
  <c r="F263" i="5"/>
  <c r="F264" i="5"/>
  <c r="F265" i="5"/>
  <c r="F266" i="5"/>
  <c r="G262" i="5"/>
  <c r="G263" i="5"/>
  <c r="G264" i="5"/>
  <c r="G265" i="5"/>
  <c r="G266" i="5"/>
  <c r="J266" i="5"/>
  <c r="F267" i="5"/>
  <c r="F268" i="5"/>
  <c r="F269" i="5"/>
  <c r="F270" i="5"/>
  <c r="F271" i="5"/>
  <c r="G267" i="5"/>
  <c r="G268" i="5"/>
  <c r="G269" i="5"/>
  <c r="G270" i="5"/>
  <c r="G271" i="5"/>
  <c r="J271" i="5"/>
  <c r="F272" i="5"/>
  <c r="F273" i="5"/>
  <c r="G272" i="5"/>
  <c r="G273" i="5"/>
  <c r="J273" i="5"/>
  <c r="J275" i="5"/>
  <c r="F279" i="5"/>
  <c r="F280" i="5"/>
  <c r="F281" i="5"/>
  <c r="G279" i="5"/>
  <c r="G280" i="5"/>
  <c r="G281" i="5"/>
  <c r="J281" i="5"/>
  <c r="F282" i="5"/>
  <c r="G282" i="5"/>
  <c r="J282" i="5"/>
  <c r="F283" i="5"/>
  <c r="G283" i="5"/>
  <c r="J283" i="5"/>
  <c r="F284" i="5"/>
  <c r="G284" i="5"/>
  <c r="J284" i="5"/>
  <c r="J285" i="5"/>
  <c r="J286" i="5"/>
  <c r="F287" i="5"/>
  <c r="G287" i="5"/>
  <c r="J287" i="5"/>
  <c r="F288" i="5"/>
  <c r="G288" i="5"/>
  <c r="J288" i="5"/>
  <c r="F289" i="5"/>
  <c r="G289" i="5"/>
  <c r="J289" i="5"/>
  <c r="F290" i="5"/>
  <c r="G290" i="5"/>
  <c r="J290" i="5"/>
  <c r="F291" i="5"/>
  <c r="G291" i="5"/>
  <c r="J291" i="5"/>
  <c r="F293" i="5"/>
  <c r="G293" i="5"/>
  <c r="J293" i="5"/>
  <c r="J294" i="5"/>
  <c r="J308" i="5"/>
  <c r="F309" i="5"/>
  <c r="G309" i="5"/>
  <c r="J309" i="5"/>
  <c r="F310" i="5"/>
  <c r="G310" i="5"/>
  <c r="J310" i="5"/>
  <c r="F311" i="5"/>
  <c r="G311" i="5"/>
  <c r="J311" i="5"/>
  <c r="F312" i="5"/>
  <c r="G312" i="5"/>
  <c r="J312" i="5"/>
  <c r="J313" i="5"/>
  <c r="J314" i="5"/>
  <c r="J315" i="5"/>
  <c r="F316" i="5"/>
  <c r="G316" i="5"/>
  <c r="J316" i="5"/>
  <c r="F317" i="5"/>
  <c r="G317" i="5"/>
  <c r="J317" i="5"/>
  <c r="F318" i="5"/>
  <c r="G318" i="5"/>
  <c r="J318" i="5"/>
  <c r="F319" i="5"/>
  <c r="G319" i="5"/>
  <c r="J319" i="5"/>
  <c r="F320" i="5"/>
  <c r="G320" i="5"/>
  <c r="J320" i="5"/>
  <c r="F321" i="5"/>
  <c r="G321" i="5"/>
  <c r="J321" i="5"/>
  <c r="F323" i="5"/>
  <c r="F324" i="5"/>
  <c r="G323" i="5"/>
  <c r="G324" i="5"/>
  <c r="J324" i="5"/>
  <c r="F325" i="5"/>
  <c r="G325" i="5"/>
  <c r="J325" i="5"/>
  <c r="F326" i="5"/>
  <c r="G326" i="5"/>
  <c r="J326" i="5"/>
  <c r="F327" i="5"/>
  <c r="G327" i="5"/>
  <c r="J327" i="5"/>
  <c r="F328" i="5"/>
  <c r="G328" i="5"/>
  <c r="J328" i="5"/>
  <c r="F329" i="5"/>
  <c r="G329" i="5"/>
  <c r="J329" i="5"/>
  <c r="F330" i="5"/>
  <c r="G330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F344" i="5"/>
  <c r="F345" i="5"/>
  <c r="G344" i="5"/>
  <c r="G345" i="5"/>
  <c r="J345" i="5"/>
  <c r="F346" i="5"/>
  <c r="G346" i="5"/>
  <c r="J346" i="5"/>
  <c r="F347" i="5"/>
  <c r="G347" i="5"/>
  <c r="J347" i="5"/>
  <c r="F348" i="5"/>
  <c r="G348" i="5"/>
  <c r="J348" i="5"/>
  <c r="F349" i="5"/>
  <c r="G349" i="5"/>
  <c r="J349" i="5"/>
  <c r="J352" i="5"/>
  <c r="J353" i="5"/>
  <c r="J354" i="5"/>
  <c r="J355" i="5"/>
  <c r="J356" i="5"/>
  <c r="J357" i="5"/>
  <c r="F359" i="5"/>
  <c r="G359" i="5"/>
  <c r="J359" i="5"/>
  <c r="F304" i="5"/>
  <c r="F360" i="5"/>
  <c r="G304" i="5"/>
  <c r="G360" i="5"/>
  <c r="J360" i="5"/>
  <c r="F305" i="5"/>
  <c r="F361" i="5"/>
  <c r="G305" i="5"/>
  <c r="G361" i="5"/>
  <c r="J361" i="5"/>
  <c r="F307" i="5"/>
  <c r="F362" i="5"/>
  <c r="G307" i="5"/>
  <c r="G362" i="5"/>
  <c r="J362" i="5"/>
  <c r="F306" i="5"/>
  <c r="F363" i="5"/>
  <c r="G306" i="5"/>
  <c r="G363" i="5"/>
  <c r="J363" i="5"/>
  <c r="F364" i="5"/>
  <c r="G364" i="5"/>
  <c r="J364" i="5"/>
  <c r="F365" i="5"/>
  <c r="G365" i="5"/>
  <c r="J365" i="5"/>
  <c r="F366" i="5"/>
  <c r="G366" i="5"/>
  <c r="J366" i="5"/>
  <c r="F367" i="5"/>
  <c r="G367" i="5"/>
  <c r="J367" i="5"/>
  <c r="F368" i="5"/>
  <c r="G368" i="5"/>
  <c r="J368" i="5"/>
  <c r="F369" i="5"/>
  <c r="G369" i="5"/>
  <c r="J369" i="5"/>
  <c r="J370" i="5"/>
  <c r="J371" i="5"/>
  <c r="F372" i="5"/>
  <c r="J372" i="5"/>
  <c r="F298" i="5"/>
  <c r="F374" i="5"/>
  <c r="G298" i="5"/>
  <c r="G374" i="5"/>
  <c r="J374" i="5"/>
  <c r="F299" i="5"/>
  <c r="F375" i="5"/>
  <c r="G299" i="5"/>
  <c r="G375" i="5"/>
  <c r="J375" i="5"/>
  <c r="F300" i="5"/>
  <c r="F376" i="5"/>
  <c r="G300" i="5"/>
  <c r="G376" i="5"/>
  <c r="J376" i="5"/>
  <c r="F301" i="5"/>
  <c r="F377" i="5"/>
  <c r="G301" i="5"/>
  <c r="G377" i="5"/>
  <c r="J377" i="5"/>
  <c r="F302" i="5"/>
  <c r="F378" i="5"/>
  <c r="G302" i="5"/>
  <c r="G378" i="5"/>
  <c r="J378" i="5"/>
  <c r="F303" i="5"/>
  <c r="F379" i="5"/>
  <c r="G303" i="5"/>
  <c r="G379" i="5"/>
  <c r="J379" i="5"/>
  <c r="K275" i="5"/>
  <c r="K273" i="5"/>
  <c r="K221" i="5"/>
  <c r="K219" i="5"/>
  <c r="K353" i="5"/>
  <c r="K354" i="5"/>
  <c r="K355" i="5"/>
  <c r="K356" i="5"/>
  <c r="K357" i="5"/>
  <c r="H359" i="5"/>
  <c r="K359" i="5"/>
  <c r="H323" i="5"/>
  <c r="H324" i="5"/>
  <c r="H304" i="5"/>
  <c r="H360" i="5"/>
  <c r="K360" i="5"/>
  <c r="H325" i="5"/>
  <c r="H326" i="5"/>
  <c r="H305" i="5"/>
  <c r="H361" i="5"/>
  <c r="K361" i="5"/>
  <c r="H327" i="5"/>
  <c r="H328" i="5"/>
  <c r="H307" i="5"/>
  <c r="H362" i="5"/>
  <c r="K362" i="5"/>
  <c r="H329" i="5"/>
  <c r="H330" i="5"/>
  <c r="H306" i="5"/>
  <c r="H363" i="5"/>
  <c r="K363" i="5"/>
  <c r="H364" i="5"/>
  <c r="K364" i="5"/>
  <c r="H365" i="5"/>
  <c r="K365" i="5"/>
  <c r="H366" i="5"/>
  <c r="K366" i="5"/>
  <c r="H367" i="5"/>
  <c r="K367" i="5"/>
  <c r="H309" i="5"/>
  <c r="H310" i="5"/>
  <c r="H311" i="5"/>
  <c r="H312" i="5"/>
  <c r="H368" i="5"/>
  <c r="K368" i="5"/>
  <c r="H369" i="5"/>
  <c r="K369" i="5"/>
  <c r="K370" i="5"/>
  <c r="H316" i="5"/>
  <c r="H317" i="5"/>
  <c r="H318" i="5"/>
  <c r="H319" i="5"/>
  <c r="K371" i="5"/>
  <c r="K372" i="5"/>
  <c r="H298" i="5"/>
  <c r="H374" i="5"/>
  <c r="K374" i="5"/>
  <c r="H299" i="5"/>
  <c r="H375" i="5"/>
  <c r="K375" i="5"/>
  <c r="H300" i="5"/>
  <c r="H376" i="5"/>
  <c r="K376" i="5"/>
  <c r="H301" i="5"/>
  <c r="H377" i="5"/>
  <c r="K377" i="5"/>
  <c r="H302" i="5"/>
  <c r="H378" i="5"/>
  <c r="K378" i="5"/>
  <c r="H303" i="5"/>
  <c r="H379" i="5"/>
  <c r="K379" i="5"/>
  <c r="K352" i="5"/>
  <c r="H346" i="5"/>
  <c r="K346" i="5"/>
  <c r="H347" i="5"/>
  <c r="K347" i="5"/>
  <c r="H348" i="5"/>
  <c r="K348" i="5"/>
  <c r="H349" i="5"/>
  <c r="K349" i="5"/>
  <c r="H344" i="5"/>
  <c r="H345" i="5"/>
  <c r="K345" i="5"/>
  <c r="K342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24" i="5"/>
  <c r="K309" i="5"/>
  <c r="K310" i="5"/>
  <c r="K311" i="5"/>
  <c r="K312" i="5"/>
  <c r="K313" i="5"/>
  <c r="K314" i="5"/>
  <c r="K315" i="5"/>
  <c r="K316" i="5"/>
  <c r="K317" i="5"/>
  <c r="K318" i="5"/>
  <c r="K319" i="5"/>
  <c r="H320" i="5"/>
  <c r="K320" i="5"/>
  <c r="H321" i="5"/>
  <c r="K321" i="5"/>
  <c r="K308" i="5"/>
  <c r="H293" i="5"/>
  <c r="K293" i="5"/>
  <c r="H282" i="5"/>
  <c r="K282" i="5"/>
  <c r="H283" i="5"/>
  <c r="K283" i="5"/>
  <c r="H284" i="5"/>
  <c r="K284" i="5"/>
  <c r="K285" i="5"/>
  <c r="K286" i="5"/>
  <c r="H287" i="5"/>
  <c r="K287" i="5"/>
  <c r="H288" i="5"/>
  <c r="K288" i="5"/>
  <c r="H289" i="5"/>
  <c r="K289" i="5"/>
  <c r="H290" i="5"/>
  <c r="K290" i="5"/>
  <c r="H279" i="5"/>
  <c r="H280" i="5"/>
  <c r="H281" i="5"/>
  <c r="K281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25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H187" i="5"/>
  <c r="K187" i="5"/>
  <c r="H188" i="5"/>
  <c r="K188" i="5"/>
  <c r="H189" i="5"/>
  <c r="K189" i="5"/>
  <c r="H190" i="5"/>
  <c r="K190" i="5"/>
  <c r="H191" i="5"/>
  <c r="K191" i="5"/>
  <c r="H192" i="5"/>
  <c r="K192" i="5"/>
  <c r="K193" i="5"/>
  <c r="H194" i="5"/>
  <c r="K194" i="5"/>
  <c r="H195" i="5"/>
  <c r="K195" i="5"/>
  <c r="H196" i="5"/>
  <c r="K196" i="5"/>
  <c r="H197" i="5"/>
  <c r="K197" i="5"/>
  <c r="H198" i="5"/>
  <c r="K198" i="5"/>
  <c r="H199" i="5"/>
  <c r="K199" i="5"/>
  <c r="H200" i="5"/>
  <c r="K200" i="5"/>
  <c r="H201" i="5"/>
  <c r="K201" i="5"/>
  <c r="H202" i="5"/>
  <c r="K202" i="5"/>
  <c r="H203" i="5"/>
  <c r="K203" i="5"/>
  <c r="H204" i="5"/>
  <c r="K204" i="5"/>
  <c r="H205" i="5"/>
  <c r="K205" i="5"/>
  <c r="H206" i="5"/>
  <c r="K206" i="5"/>
  <c r="H207" i="5"/>
  <c r="K207" i="5"/>
  <c r="H208" i="5"/>
  <c r="K208" i="5"/>
  <c r="H209" i="5"/>
  <c r="K209" i="5"/>
  <c r="H210" i="5"/>
  <c r="K210" i="5"/>
  <c r="H211" i="5"/>
  <c r="K211" i="5"/>
  <c r="H212" i="5"/>
  <c r="K212" i="5"/>
  <c r="H213" i="5"/>
  <c r="K213" i="5"/>
  <c r="H214" i="5"/>
  <c r="K214" i="5"/>
  <c r="H215" i="5"/>
  <c r="K215" i="5"/>
  <c r="H216" i="5"/>
  <c r="K216" i="5"/>
  <c r="H217" i="5"/>
  <c r="K217" i="5"/>
  <c r="H218" i="5"/>
  <c r="K218" i="5"/>
  <c r="K128" i="5"/>
  <c r="K113" i="5"/>
  <c r="K109" i="5"/>
  <c r="K294" i="5"/>
  <c r="H291" i="5"/>
  <c r="K291" i="5"/>
  <c r="H267" i="5"/>
  <c r="H268" i="5"/>
  <c r="H269" i="5"/>
  <c r="H270" i="5"/>
  <c r="H271" i="5"/>
  <c r="K271" i="5"/>
  <c r="H262" i="5"/>
  <c r="H263" i="5"/>
  <c r="H264" i="5"/>
  <c r="H265" i="5"/>
  <c r="H266" i="5"/>
  <c r="K266" i="5"/>
  <c r="H259" i="5"/>
  <c r="H260" i="5"/>
  <c r="H261" i="5"/>
  <c r="K261" i="5"/>
  <c r="K258" i="5"/>
  <c r="K114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83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44" i="5"/>
  <c r="K42" i="5"/>
  <c r="K98" i="5"/>
  <c r="K80" i="5"/>
  <c r="K43" i="5"/>
  <c r="K41" i="5"/>
  <c r="K32" i="5"/>
  <c r="K31" i="5"/>
  <c r="K30" i="5"/>
  <c r="K27" i="5"/>
  <c r="H25" i="5"/>
  <c r="K25" i="5"/>
  <c r="H26" i="5"/>
  <c r="K26" i="5"/>
  <c r="K24" i="5"/>
  <c r="K21" i="5"/>
  <c r="H18" i="5"/>
  <c r="K17" i="5"/>
  <c r="E69" i="1"/>
  <c r="F18" i="5"/>
  <c r="E370" i="5"/>
  <c r="E368" i="5"/>
  <c r="E367" i="5"/>
  <c r="E366" i="5"/>
  <c r="E365" i="5"/>
  <c r="E364" i="5"/>
  <c r="E359" i="5"/>
  <c r="E348" i="5"/>
  <c r="E346" i="5"/>
  <c r="E344" i="5"/>
  <c r="E341" i="5"/>
  <c r="E339" i="5"/>
  <c r="E337" i="5"/>
  <c r="E335" i="5"/>
  <c r="E333" i="5"/>
  <c r="E331" i="5"/>
  <c r="E329" i="5"/>
  <c r="E327" i="5"/>
  <c r="E323" i="5"/>
  <c r="E320" i="5"/>
  <c r="E318" i="5"/>
  <c r="E316" i="5"/>
  <c r="E314" i="5"/>
  <c r="E313" i="5"/>
  <c r="E311" i="5"/>
  <c r="E310" i="5"/>
  <c r="E309" i="5"/>
  <c r="E307" i="5"/>
  <c r="E306" i="5"/>
  <c r="E305" i="5"/>
  <c r="E304" i="5"/>
  <c r="E303" i="5"/>
  <c r="E302" i="5"/>
  <c r="E301" i="5"/>
  <c r="E300" i="5"/>
  <c r="E299" i="5"/>
  <c r="E298" i="5"/>
  <c r="E297" i="5"/>
  <c r="E289" i="5"/>
  <c r="E288" i="5"/>
  <c r="E286" i="5"/>
  <c r="E285" i="5"/>
  <c r="E282" i="5"/>
  <c r="E280" i="5"/>
  <c r="E279" i="5"/>
  <c r="H27" i="5"/>
  <c r="H219" i="5"/>
  <c r="H221" i="5"/>
  <c r="H277" i="5"/>
  <c r="G277" i="5"/>
  <c r="F277" i="5"/>
  <c r="E274" i="5"/>
  <c r="H272" i="5"/>
  <c r="H273" i="5"/>
  <c r="E272" i="5"/>
  <c r="E270" i="5"/>
  <c r="E269" i="5"/>
  <c r="E268" i="5"/>
  <c r="E267" i="5"/>
  <c r="E265" i="5"/>
  <c r="E264" i="5"/>
  <c r="E263" i="5"/>
  <c r="E262" i="5"/>
  <c r="E260" i="5"/>
  <c r="E259" i="5"/>
  <c r="E256" i="5"/>
  <c r="E254" i="5"/>
  <c r="E252" i="5"/>
  <c r="E250" i="5"/>
  <c r="E248" i="5"/>
  <c r="E246" i="5"/>
  <c r="E244" i="5"/>
  <c r="E242" i="5"/>
  <c r="E240" i="5"/>
  <c r="E238" i="5"/>
  <c r="E236" i="5"/>
  <c r="E234" i="5"/>
  <c r="E232" i="5"/>
  <c r="E230" i="5"/>
  <c r="E228" i="5"/>
  <c r="E226" i="5"/>
  <c r="E224" i="5"/>
  <c r="E223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6" i="5"/>
  <c r="E135" i="5"/>
  <c r="E134" i="5"/>
  <c r="E133" i="5"/>
  <c r="E132" i="5"/>
  <c r="E131" i="5"/>
  <c r="E130" i="5"/>
  <c r="E129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2" i="5"/>
  <c r="E111" i="5"/>
  <c r="E110" i="5"/>
  <c r="E108" i="5"/>
  <c r="E107" i="5"/>
  <c r="E106" i="5"/>
  <c r="E105" i="5"/>
  <c r="E104" i="5"/>
  <c r="E103" i="5"/>
  <c r="E102" i="5"/>
  <c r="E101" i="5"/>
  <c r="E100" i="5"/>
  <c r="E99" i="5"/>
  <c r="E96" i="5"/>
  <c r="E95" i="5"/>
  <c r="E93" i="5"/>
  <c r="E92" i="5"/>
  <c r="E90" i="5"/>
  <c r="E89" i="5"/>
  <c r="E87" i="5"/>
  <c r="E86" i="5"/>
  <c r="E85" i="5"/>
  <c r="E84" i="5"/>
  <c r="E82" i="5"/>
  <c r="E81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4" i="5"/>
  <c r="E52" i="5"/>
  <c r="E50" i="5"/>
  <c r="E48" i="5"/>
  <c r="E46" i="5"/>
  <c r="E45" i="5"/>
  <c r="E43" i="5"/>
  <c r="E42" i="5"/>
  <c r="E40" i="5"/>
  <c r="E39" i="5"/>
  <c r="E38" i="5"/>
  <c r="E37" i="5"/>
  <c r="E36" i="5"/>
  <c r="E35" i="5"/>
  <c r="E34" i="5"/>
  <c r="E33" i="5"/>
  <c r="E32" i="5"/>
  <c r="E31" i="5"/>
  <c r="E29" i="5"/>
  <c r="E25" i="5"/>
  <c r="E23" i="5"/>
  <c r="E20" i="5"/>
  <c r="E17" i="5"/>
  <c r="E71" i="1"/>
  <c r="E67" i="1"/>
  <c r="E64" i="1"/>
  <c r="E62" i="1"/>
  <c r="E60" i="1"/>
  <c r="E58" i="1"/>
  <c r="E56" i="1"/>
  <c r="E54" i="1"/>
  <c r="E52" i="1"/>
  <c r="E50" i="1"/>
  <c r="E46" i="1"/>
  <c r="E43" i="1"/>
  <c r="E41" i="1"/>
  <c r="E39" i="1"/>
  <c r="E37" i="1"/>
  <c r="E36" i="1"/>
  <c r="E34" i="1"/>
  <c r="E33" i="1"/>
  <c r="E32" i="1"/>
  <c r="E21" i="1"/>
  <c r="E22" i="1"/>
  <c r="E23" i="1"/>
  <c r="E24" i="1"/>
  <c r="E25" i="1"/>
  <c r="E26" i="1"/>
  <c r="E27" i="1"/>
  <c r="E28" i="1"/>
  <c r="E29" i="1"/>
  <c r="E30" i="1"/>
  <c r="E20" i="1"/>
  <c r="D12" i="4"/>
  <c r="D13" i="4"/>
  <c r="D18" i="4"/>
  <c r="D14" i="4"/>
  <c r="E17" i="1"/>
</calcChain>
</file>

<file path=xl/sharedStrings.xml><?xml version="1.0" encoding="utf-8"?>
<sst xmlns="http://schemas.openxmlformats.org/spreadsheetml/2006/main" count="1173" uniqueCount="386">
  <si>
    <t>Context selection</t>
  </si>
  <si>
    <t>Management unit</t>
  </si>
  <si>
    <t>Current phase &amp; period</t>
  </si>
  <si>
    <t>Comparison 1</t>
  </si>
  <si>
    <t>Comparison 2</t>
  </si>
  <si>
    <t>Currency</t>
  </si>
  <si>
    <t>Refresh Data</t>
  </si>
  <si>
    <t>CUBE:</t>
  </si>
  <si>
    <t>Activity</t>
  </si>
  <si>
    <t>Gaap</t>
  </si>
  <si>
    <t>Legal_Organization</t>
  </si>
  <si>
    <t>Integration_Rate</t>
  </si>
  <si>
    <t>Management_Organization</t>
  </si>
  <si>
    <t>P&amp;L indicators</t>
  </si>
  <si>
    <t>REVENUE FROM ORDINARY ACTIVITIES</t>
  </si>
  <si>
    <t>Revenue of subcontracted transport activity</t>
  </si>
  <si>
    <t>Cost of subcontracted transport activity</t>
  </si>
  <si>
    <t>GROSS MARGIN on subcontracted activity</t>
  </si>
  <si>
    <t>Revenue (net of subcontracting)</t>
  </si>
  <si>
    <t>D - Driving Costs</t>
  </si>
  <si>
    <t>Maintenance &amp; Cleaning Staff</t>
  </si>
  <si>
    <t>Maintenance Subcontracting</t>
  </si>
  <si>
    <t>Cleaning Subcontracting</t>
  </si>
  <si>
    <t>Parts</t>
  </si>
  <si>
    <t>Tyres</t>
  </si>
  <si>
    <t>Lubricants</t>
  </si>
  <si>
    <t>Other Maintenance</t>
  </si>
  <si>
    <t>M - Maintenance Costs</t>
  </si>
  <si>
    <t>Electricity (traction)</t>
  </si>
  <si>
    <t>Fuel</t>
  </si>
  <si>
    <t>Biofuel</t>
  </si>
  <si>
    <t>Gas (traction)</t>
  </si>
  <si>
    <t>Other</t>
  </si>
  <si>
    <t xml:space="preserve">E - Energy Costs </t>
  </si>
  <si>
    <t>Renting / Fleet depreciation</t>
  </si>
  <si>
    <t>F - Fleet Costs</t>
  </si>
  <si>
    <t>Insurance &amp; Damages</t>
  </si>
  <si>
    <t>Support to operations</t>
  </si>
  <si>
    <t>Infrastructure Costs</t>
  </si>
  <si>
    <t>O - Other Costs</t>
  </si>
  <si>
    <t>Vector Reconciliation (unallocated Gross Margin items)</t>
  </si>
  <si>
    <t>GROSS MARGIN excluding subcontracted activity</t>
  </si>
  <si>
    <t>GROSS MARGIN</t>
  </si>
  <si>
    <t>Business Dev. &amp; Commercial</t>
  </si>
  <si>
    <t>Communications</t>
  </si>
  <si>
    <t>Finance</t>
  </si>
  <si>
    <t>General Management</t>
  </si>
  <si>
    <t>Facility Management</t>
  </si>
  <si>
    <t>HR</t>
  </si>
  <si>
    <t>Internal Audit</t>
  </si>
  <si>
    <t>IT</t>
  </si>
  <si>
    <t>Legal</t>
  </si>
  <si>
    <t>Purchasing</t>
  </si>
  <si>
    <t>R&amp;D</t>
  </si>
  <si>
    <t>Risk management</t>
  </si>
  <si>
    <t>QHSE</t>
  </si>
  <si>
    <t>Technical department</t>
  </si>
  <si>
    <t>Tax management</t>
  </si>
  <si>
    <t>Management fees</t>
  </si>
  <si>
    <t>Vector Reconciliation (unallocated SG&amp;A items)</t>
  </si>
  <si>
    <t>SG&amp;A</t>
  </si>
  <si>
    <t>OTHER OPERATING REVENUE AND EXPENSE</t>
  </si>
  <si>
    <t>PROFIT OR LOSS OF JOINT VENTURES</t>
  </si>
  <si>
    <t>PROFIT OR LOSS OF ASSOCIATES</t>
  </si>
  <si>
    <t>EBIT before MF</t>
  </si>
  <si>
    <t>EBIT after MF</t>
  </si>
  <si>
    <t>% EBIT after MF</t>
  </si>
  <si>
    <t>CAPEX</t>
  </si>
  <si>
    <t>Net Industrial CAPEX - Rolling stock</t>
  </si>
  <si>
    <t>Net Industrial CAPEX - Buildings plants &amp; equipment</t>
  </si>
  <si>
    <t>Net Industrial CAPEX - IT</t>
  </si>
  <si>
    <t>Net Industrial CAPEX - Other</t>
  </si>
  <si>
    <t>TOTAL CAPEX</t>
  </si>
  <si>
    <t>Capital employed with IFRS16 rights-of-use</t>
  </si>
  <si>
    <t>Tot_km_fuel</t>
  </si>
  <si>
    <t>Tot_km_biofuel</t>
  </si>
  <si>
    <t>Tot_km_elec</t>
  </si>
  <si>
    <t>Tot_km_gas</t>
  </si>
  <si>
    <t>Working units</t>
  </si>
  <si>
    <t>Total km (production)</t>
  </si>
  <si>
    <t>FTE Operations - Drivers</t>
  </si>
  <si>
    <t>FTE Maintenance - Technicians</t>
  </si>
  <si>
    <t>FTE Operations - Others</t>
  </si>
  <si>
    <t>FTE Maintenance - Others</t>
  </si>
  <si>
    <t>Total FTEs</t>
  </si>
  <si>
    <t>Fuel liters</t>
  </si>
  <si>
    <t>Biofuel liters</t>
  </si>
  <si>
    <t>kWh gas</t>
  </si>
  <si>
    <t>kWh electricity</t>
  </si>
  <si>
    <t>Fleet (Bus/Coach)</t>
  </si>
  <si>
    <t>Fleet (Light vehicles)</t>
  </si>
  <si>
    <t>Fleet (LRV)</t>
  </si>
  <si>
    <t>Fleet (Heavy Rail)</t>
  </si>
  <si>
    <t>Fleet (BRT)</t>
  </si>
  <si>
    <t>Fleet (Ferries)</t>
  </si>
  <si>
    <t>Driver absenteeism (%)</t>
  </si>
  <si>
    <t>Driver open positions</t>
  </si>
  <si>
    <t>Other KPIs</t>
  </si>
  <si>
    <t>% Driving cost</t>
  </si>
  <si>
    <t>% Maintenance</t>
  </si>
  <si>
    <t>% Energy cost</t>
  </si>
  <si>
    <t>% Fleet cost</t>
  </si>
  <si>
    <t>% Other costs</t>
  </si>
  <si>
    <t>% SG&amp;A</t>
  </si>
  <si>
    <t>(E1) Efficiency L/km (fuel)</t>
  </si>
  <si>
    <t>(E1) Efficiency L/km (biofuel)</t>
  </si>
  <si>
    <t>(E1) Efficiency kWh/km (gas)</t>
  </si>
  <si>
    <t>(E1) Efficiency kWh/km (electricity)</t>
  </si>
  <si>
    <t>(D2) Productivity km/FTE</t>
  </si>
  <si>
    <t>(M3) Tech FTE/veh</t>
  </si>
  <si>
    <t>Administration Generic Context :</t>
  </si>
  <si>
    <t>Server</t>
  </si>
  <si>
    <t>xServer</t>
  </si>
  <si>
    <t>tango_core_model:</t>
  </si>
  <si>
    <t>Current_Period</t>
  </si>
  <si>
    <t>z_Year</t>
  </si>
  <si>
    <t>Default_UM</t>
  </si>
  <si>
    <t>z_Year_Selected</t>
  </si>
  <si>
    <t>z_Year_N-1</t>
  </si>
  <si>
    <t>Forecast_Phase</t>
  </si>
  <si>
    <t>z_Forecast_phase</t>
  </si>
  <si>
    <t>z_Current_N-1</t>
  </si>
  <si>
    <t>z_Current_Period</t>
  </si>
  <si>
    <t>z_Year_BUG_FOR</t>
  </si>
  <si>
    <t>PL0000_DO</t>
  </si>
  <si>
    <t>TPL10_dest_nosub</t>
  </si>
  <si>
    <t>TPL10_nat</t>
  </si>
  <si>
    <t/>
  </si>
  <si>
    <t>PL1003_RC_30</t>
  </si>
  <si>
    <t>PL1115S</t>
  </si>
  <si>
    <t>PL1110_DO_10</t>
  </si>
  <si>
    <t>PL1115_DO_20</t>
  </si>
  <si>
    <t>PL1115_DO_99</t>
  </si>
  <si>
    <t>PL1140_DO_10</t>
  </si>
  <si>
    <t>PL1150_DO_10</t>
  </si>
  <si>
    <t>PL1150_DO_11</t>
  </si>
  <si>
    <t>PL1150_DO_90</t>
  </si>
  <si>
    <t>PL1151_DO_10</t>
  </si>
  <si>
    <t>PL1151_DO_11</t>
  </si>
  <si>
    <t>PL1155_DO_10</t>
  </si>
  <si>
    <t>PL1110_MF_10</t>
  </si>
  <si>
    <t>PL1115_MF_20</t>
  </si>
  <si>
    <t>PL1115_MF_11</t>
  </si>
  <si>
    <t>PL1115_MF_25</t>
  </si>
  <si>
    <t>PL1115_MF_12</t>
  </si>
  <si>
    <t>PL1115_MF_30</t>
  </si>
  <si>
    <t>PL1115_MF_31</t>
  </si>
  <si>
    <t>PL1115_MF_32</t>
  </si>
  <si>
    <t>PL1115_MF_99</t>
  </si>
  <si>
    <t>PL1115_ST_10</t>
  </si>
  <si>
    <t>PL1116_MF</t>
  </si>
  <si>
    <t>PL1116_ST</t>
  </si>
  <si>
    <t>PL1117_MF</t>
  </si>
  <si>
    <t>PL1117_ST</t>
  </si>
  <si>
    <t>PL1118_MF</t>
  </si>
  <si>
    <t>PL1118_ST</t>
  </si>
  <si>
    <t>PL1140_MF_10</t>
  </si>
  <si>
    <t>PL1145_MF</t>
  </si>
  <si>
    <t>PL1150_MF_10</t>
  </si>
  <si>
    <t>PL1150_MF_11</t>
  </si>
  <si>
    <t>PL1150_MF_20</t>
  </si>
  <si>
    <t>PL1150_MF_21</t>
  </si>
  <si>
    <t>PL1150_MF_90</t>
  </si>
  <si>
    <t>PL1151_MF_10</t>
  </si>
  <si>
    <t>PL1151_MF_11</t>
  </si>
  <si>
    <t>PL1151_MF_20</t>
  </si>
  <si>
    <t>PL1151_MF_21</t>
  </si>
  <si>
    <t>PL1155_MF_99</t>
  </si>
  <si>
    <t>PL1160_MF_15</t>
  </si>
  <si>
    <t>PL1162_MF</t>
  </si>
  <si>
    <t>PL1162_ST</t>
  </si>
  <si>
    <t>PL1115_ET_83</t>
  </si>
  <si>
    <t>PL1155_ET_18</t>
  </si>
  <si>
    <t>PL1115_ET_80</t>
  </si>
  <si>
    <t>PL1115_ET_801</t>
  </si>
  <si>
    <t>PL1115_ET_802</t>
  </si>
  <si>
    <t>PL1155_ET_15</t>
  </si>
  <si>
    <t>PL1115_ET_81</t>
  </si>
  <si>
    <t>PL1155_ET_16</t>
  </si>
  <si>
    <t>PL1115_ET_82</t>
  </si>
  <si>
    <t>PL1155_ET_17</t>
  </si>
  <si>
    <t>PL1115_ET_99</t>
  </si>
  <si>
    <t>PL1155_ET_99</t>
  </si>
  <si>
    <t>PL1115_FL_55</t>
  </si>
  <si>
    <t>PL1115_FL_56</t>
  </si>
  <si>
    <t>PL1116_FL</t>
  </si>
  <si>
    <t>PL1117_FL</t>
  </si>
  <si>
    <t>PL1118_FL</t>
  </si>
  <si>
    <t>PL1140_FL_05</t>
  </si>
  <si>
    <t>PL1150_FL_10</t>
  </si>
  <si>
    <t>PL1151_FL_10</t>
  </si>
  <si>
    <t>PL1160_FL_10</t>
  </si>
  <si>
    <t>PL1162_FL</t>
  </si>
  <si>
    <t>PL1115_FL_65</t>
  </si>
  <si>
    <t>PL1115_FL_70</t>
  </si>
  <si>
    <t>PL1155_FL_99</t>
  </si>
  <si>
    <t>PL1110_CD_10</t>
  </si>
  <si>
    <t>PL1110_CD_20</t>
  </si>
  <si>
    <t>PL1110_CD_30</t>
  </si>
  <si>
    <t>PL1115_CD_20</t>
  </si>
  <si>
    <t>PL1115_CD_40</t>
  </si>
  <si>
    <t>PL1115_CD_45</t>
  </si>
  <si>
    <t>PL1115_CD_50</t>
  </si>
  <si>
    <t>PL1115_CD_51</t>
  </si>
  <si>
    <t>PL1115_CD_99</t>
  </si>
  <si>
    <t>PL1140_CD_10</t>
  </si>
  <si>
    <t>PL1150_CD_15</t>
  </si>
  <si>
    <t>PL1150_CD_25</t>
  </si>
  <si>
    <t>PL1150_CD_90</t>
  </si>
  <si>
    <t>PL1110_CS_10</t>
  </si>
  <si>
    <t>PL1155_CS_99</t>
  </si>
  <si>
    <t>PL1115_CS_20</t>
  </si>
  <si>
    <t>PL1115_CS_99</t>
  </si>
  <si>
    <t>PL1140_CS_05</t>
  </si>
  <si>
    <t>PL1150_CS_10</t>
  </si>
  <si>
    <t>PL1150_CS_11</t>
  </si>
  <si>
    <t>PL1150_CS_90</t>
  </si>
  <si>
    <t>Cust_service</t>
  </si>
  <si>
    <t>PL1110_DS_10</t>
  </si>
  <si>
    <t>PL1116_DS</t>
  </si>
  <si>
    <t>PL1145_DS</t>
  </si>
  <si>
    <t>PL1155_DS_99</t>
  </si>
  <si>
    <t>PL1115_DS_20</t>
  </si>
  <si>
    <t>PL1115_DS_70</t>
  </si>
  <si>
    <t>PL1115_DS_75</t>
  </si>
  <si>
    <t>PL1115_DS_99</t>
  </si>
  <si>
    <t>PL1118_DS</t>
  </si>
  <si>
    <t>PL1140_DS_10</t>
  </si>
  <si>
    <t>PL1150_DS_10</t>
  </si>
  <si>
    <t>PL1150_DS_11</t>
  </si>
  <si>
    <t>PL1150_DS_90</t>
  </si>
  <si>
    <t>PL1116_IN</t>
  </si>
  <si>
    <t>PL1155_IN_99</t>
  </si>
  <si>
    <t>PL1115_IN_60</t>
  </si>
  <si>
    <t>PL1115_IN_65</t>
  </si>
  <si>
    <t>PL1115_IN_55</t>
  </si>
  <si>
    <t>PL1140_IN_05</t>
  </si>
  <si>
    <t>PL1160_IN_15</t>
  </si>
  <si>
    <t>PL1150_IN_90</t>
  </si>
  <si>
    <t>PL1110_MI_10</t>
  </si>
  <si>
    <t>PL1116_MI</t>
  </si>
  <si>
    <t>PL1145_MI</t>
  </si>
  <si>
    <t>PL1155_MI_99</t>
  </si>
  <si>
    <t>PL1115_MI_99</t>
  </si>
  <si>
    <t>PL1115_MI_12</t>
  </si>
  <si>
    <t>PL1115_MI_11</t>
  </si>
  <si>
    <t>PL1140_MI_10</t>
  </si>
  <si>
    <t>PL1150_MI_10</t>
  </si>
  <si>
    <t>PL1100_AC</t>
  </si>
  <si>
    <t>PL1110_AC_20</t>
  </si>
  <si>
    <t>PL1115_AC_65</t>
  </si>
  <si>
    <t>PL1116_AC</t>
  </si>
  <si>
    <t>PL1126_AC</t>
  </si>
  <si>
    <t>PL1140_AC_10</t>
  </si>
  <si>
    <t>PL1155_AC_99</t>
  </si>
  <si>
    <t>PL1165_AC</t>
  </si>
  <si>
    <t>PL1145_AC</t>
  </si>
  <si>
    <t>PL1150_AC_30</t>
  </si>
  <si>
    <t>PL1150_AC_31</t>
  </si>
  <si>
    <t>PL1150_AC_90</t>
  </si>
  <si>
    <t>PL1150_AC_91</t>
  </si>
  <si>
    <t>PL1170_AC</t>
  </si>
  <si>
    <t>PL1175_AC</t>
  </si>
  <si>
    <t>PL1100_XX</t>
  </si>
  <si>
    <t>PL1105_XX</t>
  </si>
  <si>
    <t>PL1110_XX</t>
  </si>
  <si>
    <t>PL1111_XX</t>
  </si>
  <si>
    <t>PL1115_XX</t>
  </si>
  <si>
    <t>PL1115A_XX</t>
  </si>
  <si>
    <t>PL1115S_XX</t>
  </si>
  <si>
    <t>PL1116_XX</t>
  </si>
  <si>
    <t>PL1117_XX</t>
  </si>
  <si>
    <t>PL1118_XX</t>
  </si>
  <si>
    <t>PL1120_XX</t>
  </si>
  <si>
    <t>PL1125_XX</t>
  </si>
  <si>
    <t>PL1126_XX</t>
  </si>
  <si>
    <t>PL1130_XX</t>
  </si>
  <si>
    <t>PL1135_XX</t>
  </si>
  <si>
    <t>PL1140_XX</t>
  </si>
  <si>
    <t>PL1145_XX</t>
  </si>
  <si>
    <t>PL1150_XX</t>
  </si>
  <si>
    <t>PL1151_XX</t>
  </si>
  <si>
    <t>PL1155_XX</t>
  </si>
  <si>
    <t>PL1160_XX</t>
  </si>
  <si>
    <t>PL1161_XX</t>
  </si>
  <si>
    <t>PL1162_XX</t>
  </si>
  <si>
    <t>PL1165_XX</t>
  </si>
  <si>
    <t>PL1170_XX</t>
  </si>
  <si>
    <t>PL1175_XX</t>
  </si>
  <si>
    <t>PL1180_XX</t>
  </si>
  <si>
    <t>PL1181_XX</t>
  </si>
  <si>
    <t>PL1182_XX</t>
  </si>
  <si>
    <t>PL1183_XX</t>
  </si>
  <si>
    <t>PL1184_XX</t>
  </si>
  <si>
    <t>GROSS_MARGIN_dest</t>
  </si>
  <si>
    <t>PL0000_BD</t>
  </si>
  <si>
    <t>PL0000_TPL12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</si>
  <si>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</si>
  <si>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</si>
  <si>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</si>
  <si>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</si>
  <si>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</si>
  <si>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</si>
  <si>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</si>
  <si>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</si>
  <si>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PL0000_PU</t>
  </si>
  <si>
    <t>PL0000_RD</t>
  </si>
  <si>
    <t>PL0000_RM</t>
  </si>
  <si>
    <t>PL0000_SE</t>
  </si>
  <si>
    <t>PL0000_TD</t>
  </si>
  <si>
    <t>PL0000_TM</t>
  </si>
  <si>
    <t>PL0000_MGF</t>
  </si>
  <si>
    <t>PL0000_TPL13</t>
  </si>
  <si>
    <t>PL0000_OO</t>
  </si>
  <si>
    <t>PL0000_TPL14</t>
  </si>
  <si>
    <t>PL1500_JV</t>
  </si>
  <si>
    <t>PL1500_XX</t>
  </si>
  <si>
    <t>PL1520_JV</t>
  </si>
  <si>
    <t>PL1520_XX</t>
  </si>
  <si>
    <t>PL1600_AS</t>
  </si>
  <si>
    <t>PL1600_XX</t>
  </si>
  <si>
    <t>PL1620_AS</t>
  </si>
  <si>
    <t>PL1620_XX</t>
  </si>
  <si>
    <t>TPL5</t>
  </si>
  <si>
    <t>RESOP_bef_mgmt_fees</t>
  </si>
  <si>
    <t>TPL1_nat</t>
  </si>
  <si>
    <t>CAPEX_RS</t>
  </si>
  <si>
    <t>DISP_RS</t>
  </si>
  <si>
    <t>CAPEX_BE</t>
  </si>
  <si>
    <t>DISP_BE</t>
  </si>
  <si>
    <t>CAPEX_Other</t>
  </si>
  <si>
    <t>DISP_Other</t>
  </si>
  <si>
    <t>TCI1A</t>
  </si>
  <si>
    <t>Tot_km</t>
  </si>
  <si>
    <t>Nb_Drivers</t>
  </si>
  <si>
    <t>Nb_Conductors</t>
  </si>
  <si>
    <t>Nb_Maintenance_team</t>
  </si>
  <si>
    <t>Nb_FTE</t>
  </si>
  <si>
    <t>Fuel_consu</t>
  </si>
  <si>
    <t>Biofuel_consu</t>
  </si>
  <si>
    <t>Gas_consu_kwh</t>
  </si>
  <si>
    <t>Elec_consu</t>
  </si>
  <si>
    <t>Tot_km_bus_coach</t>
  </si>
  <si>
    <t>Tot_km_light_vehicle</t>
  </si>
  <si>
    <t>Tot_km_LRV</t>
  </si>
  <si>
    <t>Tot_km_heavy_rail</t>
  </si>
  <si>
    <t>Tot_km_BRT</t>
  </si>
  <si>
    <t>Tot_km_ferries</t>
  </si>
  <si>
    <t>Nb_FTE_Drivers</t>
  </si>
  <si>
    <t>Nb_FTE_Maintenance_Technicians</t>
  </si>
  <si>
    <t>Nb_FTE_Operations_Others</t>
  </si>
  <si>
    <t>Nb_FTE_Maintenance_Others</t>
  </si>
  <si>
    <t>CAPEX_IT</t>
  </si>
  <si>
    <t>DISP_IT</t>
  </si>
  <si>
    <t>Tot_nb_bus_coach</t>
  </si>
  <si>
    <t>Tot_nb_light_vehicle</t>
  </si>
  <si>
    <t>Tot_nb_LRV</t>
  </si>
  <si>
    <t>Tot_nb_heavy_rail</t>
  </si>
  <si>
    <t>Tot_nb_BRT</t>
  </si>
  <si>
    <t>Tot_nb_ferries</t>
  </si>
  <si>
    <t>Driver_absenteeism</t>
  </si>
  <si>
    <t>Driver_turnover</t>
  </si>
  <si>
    <t>Nb_Driver_open_positions</t>
  </si>
  <si>
    <t>Customer Service</t>
  </si>
  <si>
    <t>tango_core_model</t>
  </si>
  <si>
    <t>PL1155_ET_17 - Reinvoicing - Gas</t>
  </si>
  <si>
    <t>Driver turnover (%)</t>
  </si>
  <si>
    <t>Legal Entity</t>
  </si>
  <si>
    <t>APP</t>
  </si>
  <si>
    <t>Tot_act</t>
  </si>
  <si>
    <t>z_Legal_Organization</t>
  </si>
  <si>
    <t>ROCE</t>
  </si>
  <si>
    <t>(F1) Productivity km/veh (Bus/Coach)</t>
  </si>
  <si>
    <t>(F1) Productivity km/veh (Light vehicles)</t>
  </si>
  <si>
    <t>(F1) Productivity km/veh (LRV)</t>
  </si>
  <si>
    <t>(F1) Productivity km/veh (Heavy Rail)</t>
  </si>
  <si>
    <t>(F1) Productivity km/veh (BRT)</t>
  </si>
  <si>
    <t>(F1) Productivity km/veh (Ferries)</t>
  </si>
  <si>
    <t>Restit</t>
  </si>
  <si>
    <t>ACT</t>
  </si>
  <si>
    <t>BUDG_VC</t>
  </si>
  <si>
    <t>Host</t>
  </si>
  <si>
    <t>z_Source_Entity</t>
  </si>
  <si>
    <t>ACT_TOT</t>
  </si>
  <si>
    <t>BUDG_VC_TOT</t>
  </si>
  <si>
    <t>NO_APP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</si>
</sst>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-* #,##0.0\ _€_-;\-* #,##0.0\ _€_-;_-* &quot;-&quot;??\ _€_-;_-@_-"/>
    <numFmt numFmtId="168" formatCode="_-* #,##0.0\ _€_-;\-* #,##0.0\ _€_-;_-* &quot;-&quot;?\ _€_-;_-@_-"/>
    <numFmt numFmtId="169" formatCode="0.0%"/>
    <numFmt numFmtId="170" formatCode="&quot;$&quot;\ \ \ #,##0;\(&quot;$&quot;\ \ \ #,##0\)"/>
    <numFmt numFmtId="171" formatCode="#,##0;\(#,##0\)"/>
    <numFmt numFmtId="172" formatCode="#,##0.0;\(#,##0.0\);\-"/>
    <numFmt numFmtId="173" formatCode="_(* #,##0_);_(* \(#,##0\);_(* &quot;&quot;\ \-\ &quot;&quot;_);_(@_)"/>
    <numFmt numFmtId="174" formatCode="_(* #,##0.0_%_);_(* \(#,##0.0_%\);_(* &quot; - &quot;_%_);_(@_)"/>
    <numFmt numFmtId="175" formatCode="_(* #,##0.0%_);_(* \(#,##0.0%\);_(* &quot; - &quot;\%_);_(@_)"/>
    <numFmt numFmtId="176" formatCode="_(* #,##0_);_(* \(#,##0\);_(* &quot; - &quot;_);_(@_)"/>
    <numFmt numFmtId="177" formatCode="_(* #,##0.0_);_(* \(#,##0.0\);_(* &quot; - &quot;_);_(@_)"/>
    <numFmt numFmtId="178" formatCode="_(* #,##0.00_);_(* \(#,##0.00\);_(* &quot; - &quot;_);_(@_)"/>
    <numFmt numFmtId="179" formatCode="_(* #,##0.000_);_(* \(#,##0.000\);_(* &quot; - &quot;_);_(@_)"/>
    <numFmt numFmtId="180" formatCode="#,##0;\(#,##0\);&quot;-&quot;"/>
    <numFmt numFmtId="181" formatCode="#,##0.0_)\x;\(#,##0.0\)\x;#,##0.0_)\x;@_)_x"/>
    <numFmt numFmtId="182" formatCode="#,##0.0&quot; &quot;;\(#,##0.0\)&quot;&quot;;&quot;- &quot;"/>
    <numFmt numFmtId="183" formatCode="_-* #,##0.0000\ _€_-;\-* #,##0.0000\ _€_-;_-* &quot;-&quot;????\ _€_-;_-@_-"/>
    <numFmt numFmtId="184" formatCode="_-* #,##0.000\ _€_-;\-* #,##0.000\ _€_-;_-* &quot;-&quot;?\ _€_-;_-@_-"/>
    <numFmt numFmtId="185" formatCode="#,##0.0\ _€;\-#,##0.0\ _€;&quot;-&quot;"/>
    <numFmt numFmtId="186" formatCode="_(&quot;$&quot;* #,##0.00_);_(&quot;$&quot;* \(#,##0.00\);_(&quot;$&quot;* &quot;-&quot;??_);_(@_)"/>
  </numFmts>
  <fonts count="9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Verdana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2"/>
      <name val="Times New Roman"/>
      <family val="1"/>
    </font>
    <font>
      <sz val="11"/>
      <color indexed="10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sz val="11"/>
      <color indexed="62"/>
      <name val="Calibri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1"/>
      <color indexed="60"/>
      <name val="Calibri"/>
      <family val="2"/>
    </font>
    <font>
      <sz val="10"/>
      <name val="Courier"/>
      <family val="3"/>
    </font>
    <font>
      <sz val="12"/>
      <name val="Arial MT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1"/>
      <color indexed="17"/>
      <name val="Calibri"/>
      <family val="2"/>
    </font>
    <font>
      <sz val="10"/>
      <color indexed="12"/>
      <name val="Times New Roman"/>
      <family val="1"/>
    </font>
    <font>
      <b/>
      <sz val="11"/>
      <color indexed="63"/>
      <name val="Calibri"/>
      <family val="2"/>
    </font>
    <font>
      <b/>
      <sz val="8"/>
      <name val="Arial"/>
      <family val="2"/>
    </font>
    <font>
      <i/>
      <sz val="11"/>
      <color indexed="23"/>
      <name val="Calibri"/>
      <family val="2"/>
    </font>
    <font>
      <b/>
      <sz val="12"/>
      <name val="Avant Garde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name val="Helv"/>
    </font>
    <font>
      <b/>
      <sz val="11"/>
      <color indexed="9"/>
      <name val="Calibri"/>
      <family val="2"/>
    </font>
    <font>
      <b/>
      <sz val="10"/>
      <color indexed="12"/>
      <name val="Book Antiqua"/>
      <family val="1"/>
    </font>
    <font>
      <i/>
      <sz val="11"/>
      <color rgb="FFFF0000"/>
      <name val="Calibri"/>
      <family val="2"/>
      <scheme val="minor"/>
    </font>
    <font>
      <b/>
      <sz val="11"/>
      <color rgb="FF3391AA"/>
      <name val="Calibri"/>
      <family val="2"/>
      <scheme val="minor"/>
    </font>
    <font>
      <b/>
      <sz val="14"/>
      <color rgb="FF3391AA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Arial"/>
      <family val="2"/>
    </font>
    <font>
      <sz val="12"/>
      <color indexed="8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3391AA"/>
      <name val="Calibri"/>
      <family val="2"/>
    </font>
    <font>
      <b/>
      <sz val="12"/>
      <color indexed="9"/>
      <name val="Calibri"/>
      <family val="2"/>
    </font>
    <font>
      <b/>
      <sz val="11"/>
      <color rgb="FFFF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65"/>
        <bgColor indexed="1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B8C7"/>
        <bgColor indexed="64"/>
      </patternFill>
    </fill>
    <fill>
      <patternFill patternType="solid">
        <fgColor rgb="FFB5E3E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99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</borders>
  <cellStyleXfs count="429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Border="0" applyAlignment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2" fillId="0" borderId="0" applyAlignment="0"/>
    <xf numFmtId="10" fontId="13" fillId="0" borderId="0"/>
    <xf numFmtId="9" fontId="14" fillId="0" borderId="0"/>
    <xf numFmtId="0" fontId="14" fillId="0" borderId="0"/>
    <xf numFmtId="10" fontId="14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1" fontId="14" fillId="0" borderId="0"/>
    <xf numFmtId="3" fontId="12" fillId="0" borderId="0"/>
    <xf numFmtId="2" fontId="12" fillId="0" borderId="0"/>
    <xf numFmtId="10" fontId="12" fillId="0" borderId="0" applyFont="0" applyBorder="0" applyAlignment="0">
      <alignment horizontal="centerContinuous"/>
    </xf>
    <xf numFmtId="0" fontId="15" fillId="0" borderId="11" applyFont="0" applyFill="0" applyBorder="0" applyAlignment="0" applyProtection="0"/>
    <xf numFmtId="171" fontId="14" fillId="0" borderId="0"/>
    <xf numFmtId="171" fontId="14" fillId="0" borderId="0"/>
    <xf numFmtId="171" fontId="14" fillId="0" borderId="0"/>
    <xf numFmtId="1" fontId="12" fillId="0" borderId="0" applyFont="0" applyAlignment="0">
      <alignment horizontal="centerContinuous"/>
    </xf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8" fillId="0" borderId="7" applyFont="0">
      <alignment horizontal="centerContinuous"/>
    </xf>
    <xf numFmtId="0" fontId="19" fillId="0" borderId="0" applyNumberFormat="0" applyFill="0" applyBorder="0" applyAlignment="0" applyProtection="0"/>
    <xf numFmtId="0" fontId="20" fillId="0" borderId="0"/>
    <xf numFmtId="9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14" fillId="0" borderId="0"/>
    <xf numFmtId="38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4" fillId="0" borderId="0"/>
    <xf numFmtId="0" fontId="18" fillId="0" borderId="7" applyNumberFormat="0" applyFill="0" applyAlignment="0" applyProtection="0"/>
    <xf numFmtId="0" fontId="22" fillId="0" borderId="7" applyNumberFormat="0" applyFont="0" applyFill="0" applyAlignment="0" applyProtection="0"/>
    <xf numFmtId="0" fontId="20" fillId="0" borderId="6"/>
    <xf numFmtId="0" fontId="14" fillId="0" borderId="7">
      <alignment horizontal="centerContinuous"/>
    </xf>
    <xf numFmtId="0" fontId="21" fillId="0" borderId="12" applyBorder="0">
      <alignment horizontal="centerContinuous"/>
    </xf>
    <xf numFmtId="0" fontId="1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13" fillId="0" borderId="0"/>
    <xf numFmtId="0" fontId="24" fillId="0" borderId="0"/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4" fillId="0" borderId="0"/>
    <xf numFmtId="37" fontId="14" fillId="0" borderId="0">
      <alignment horizontal="center"/>
    </xf>
    <xf numFmtId="0" fontId="18" fillId="0" borderId="0"/>
    <xf numFmtId="0" fontId="25" fillId="28" borderId="13" applyNumberFormat="0" applyAlignment="0" applyProtection="0"/>
    <xf numFmtId="0" fontId="26" fillId="0" borderId="14" applyNumberFormat="0" applyFill="0" applyAlignment="0" applyProtection="0"/>
    <xf numFmtId="172" fontId="21" fillId="0" borderId="0">
      <alignment horizontal="right" wrapText="1"/>
    </xf>
    <xf numFmtId="0" fontId="14" fillId="0" borderId="0"/>
    <xf numFmtId="0" fontId="27" fillId="0" borderId="0" applyFont="0" applyFill="0" applyBorder="0" applyAlignment="0" applyProtection="0"/>
    <xf numFmtId="40" fontId="27" fillId="0" borderId="0" applyFont="0" applyFill="0" applyBorder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9" fontId="29" fillId="30" borderId="0">
      <alignment vertical="center"/>
    </xf>
    <xf numFmtId="0" fontId="14" fillId="0" borderId="0" applyFont="0" applyFill="0" applyBorder="0" applyAlignment="0" applyProtection="0"/>
    <xf numFmtId="173" fontId="30" fillId="31" borderId="0">
      <alignment horizontal="right"/>
    </xf>
    <xf numFmtId="164" fontId="21" fillId="0" borderId="0" applyFont="0" applyFill="0" applyBorder="0" applyAlignment="0" applyProtection="0"/>
    <xf numFmtId="0" fontId="31" fillId="15" borderId="13" applyNumberFormat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74" fontId="32" fillId="0" borderId="0">
      <alignment horizontal="right" vertical="top"/>
    </xf>
    <xf numFmtId="175" fontId="33" fillId="0" borderId="0">
      <alignment horizontal="right" vertical="top"/>
    </xf>
    <xf numFmtId="175" fontId="32" fillId="0" borderId="0">
      <alignment horizontal="right" vertical="top"/>
    </xf>
    <xf numFmtId="176" fontId="33" fillId="0" borderId="0" applyFill="0" applyBorder="0">
      <alignment horizontal="right" vertical="top"/>
    </xf>
    <xf numFmtId="177" fontId="33" fillId="0" borderId="0" applyFill="0" applyBorder="0">
      <alignment horizontal="right" vertical="top"/>
    </xf>
    <xf numFmtId="178" fontId="33" fillId="0" borderId="0" applyFill="0" applyBorder="0">
      <alignment horizontal="right" vertical="top"/>
    </xf>
    <xf numFmtId="179" fontId="33" fillId="0" borderId="0" applyFill="0" applyBorder="0">
      <alignment horizontal="right" vertical="top"/>
    </xf>
    <xf numFmtId="0" fontId="34" fillId="0" borderId="0">
      <alignment horizontal="center" wrapText="1"/>
    </xf>
    <xf numFmtId="180" fontId="35" fillId="0" borderId="0" applyFill="0" applyBorder="0">
      <alignment vertical="top"/>
    </xf>
    <xf numFmtId="180" fontId="36" fillId="0" borderId="0" applyFill="0" applyBorder="0" applyProtection="0">
      <alignment vertical="top"/>
    </xf>
    <xf numFmtId="180" fontId="37" fillId="0" borderId="0">
      <alignment vertical="top"/>
    </xf>
    <xf numFmtId="165" fontId="33" fillId="0" borderId="0" applyFill="0" applyBorder="0" applyAlignment="0" applyProtection="0">
      <alignment horizontal="right" vertical="top"/>
    </xf>
    <xf numFmtId="180" fontId="38" fillId="0" borderId="0"/>
    <xf numFmtId="0" fontId="33" fillId="0" borderId="0" applyFill="0" applyBorder="0">
      <alignment horizontal="left" vertical="top"/>
    </xf>
    <xf numFmtId="0" fontId="39" fillId="0" borderId="0" applyNumberFormat="0" applyFill="0" applyBorder="0" applyAlignment="0" applyProtection="0"/>
    <xf numFmtId="0" fontId="29" fillId="32" borderId="0">
      <alignment horizontal="right" vertical="center"/>
    </xf>
    <xf numFmtId="0" fontId="21" fillId="33" borderId="0"/>
    <xf numFmtId="0" fontId="40" fillId="0" borderId="0" applyNumberFormat="0" applyFill="0" applyProtection="0">
      <alignment horizontal="left"/>
    </xf>
    <xf numFmtId="0" fontId="41" fillId="0" borderId="0" applyNumberFormat="0" applyFill="0" applyBorder="0" applyAlignment="0" applyProtection="0"/>
    <xf numFmtId="0" fontId="14" fillId="16" borderId="0" applyNumberFormat="0" applyFont="0" applyBorder="0" applyAlignment="0">
      <protection locked="0"/>
    </xf>
    <xf numFmtId="0" fontId="13" fillId="0" borderId="0" applyNumberFormat="0" applyFill="0" applyBorder="0" applyAlignment="0">
      <protection locked="0"/>
    </xf>
    <xf numFmtId="0" fontId="42" fillId="0" borderId="0" applyNumberFormat="0" applyFill="0" applyBorder="0" applyAlignment="0"/>
    <xf numFmtId="0" fontId="43" fillId="11" borderId="0" applyNumberFormat="0" applyBorder="0" applyAlignment="0" applyProtection="0"/>
    <xf numFmtId="38" fontId="44" fillId="0" borderId="0"/>
    <xf numFmtId="38" fontId="45" fillId="0" borderId="0"/>
    <xf numFmtId="38" fontId="46" fillId="0" borderId="0"/>
    <xf numFmtId="38" fontId="47" fillId="0" borderId="0"/>
    <xf numFmtId="0" fontId="48" fillId="0" borderId="0"/>
    <xf numFmtId="0" fontId="48" fillId="0" borderId="0"/>
    <xf numFmtId="0" fontId="29" fillId="34" borderId="0">
      <alignment horizontal="right" vertical="center"/>
    </xf>
    <xf numFmtId="164" fontId="1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49" fontId="49" fillId="30" borderId="0">
      <alignment horizontal="centerContinuous" vertical="center"/>
    </xf>
    <xf numFmtId="0" fontId="50" fillId="35" borderId="0" applyNumberFormat="0" applyBorder="0" applyAlignment="0" applyProtection="0"/>
    <xf numFmtId="0" fontId="20" fillId="0" borderId="0">
      <alignment horizontal="left"/>
    </xf>
    <xf numFmtId="0" fontId="5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53" fillId="0" borderId="0"/>
    <xf numFmtId="0" fontId="2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54" fillId="31" borderId="0">
      <alignment horizontal="left" vertical="top" wrapText="1"/>
    </xf>
    <xf numFmtId="10" fontId="14" fillId="0" borderId="3"/>
    <xf numFmtId="10" fontId="14" fillId="0" borderId="3"/>
    <xf numFmtId="10" fontId="14" fillId="0" borderId="3"/>
    <xf numFmtId="10" fontId="14" fillId="0" borderId="3"/>
    <xf numFmtId="49" fontId="55" fillId="0" borderId="7" applyFill="0" applyProtection="0">
      <alignment vertical="center"/>
    </xf>
    <xf numFmtId="0" fontId="20" fillId="0" borderId="0"/>
    <xf numFmtId="0" fontId="56" fillId="0" borderId="0"/>
    <xf numFmtId="9" fontId="22" fillId="0" borderId="0" applyFont="0" applyFill="0" applyBorder="0" applyAlignment="0" applyProtection="0"/>
    <xf numFmtId="0" fontId="57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9" fontId="2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59" fillId="0" borderId="7"/>
    <xf numFmtId="10" fontId="20" fillId="0" borderId="2"/>
    <xf numFmtId="10" fontId="21" fillId="0" borderId="0"/>
    <xf numFmtId="2" fontId="14" fillId="0" borderId="0">
      <alignment horizontal="right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0"/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1" fillId="0" borderId="0">
      <alignment horizontal="center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2" fillId="12" borderId="0" applyNumberFormat="0" applyBorder="0" applyAlignment="0" applyProtection="0"/>
    <xf numFmtId="0" fontId="63" fillId="33" borderId="0" applyNumberFormat="0" applyFont="0" applyBorder="0" applyAlignment="0" applyProtection="0"/>
    <xf numFmtId="0" fontId="29" fillId="30" borderId="0">
      <alignment horizontal="right" vertical="center"/>
    </xf>
    <xf numFmtId="0" fontId="64" fillId="28" borderId="16" applyNumberFormat="0" applyAlignment="0" applyProtection="0"/>
    <xf numFmtId="0" fontId="21" fillId="0" borderId="0"/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"/>
    </xf>
    <xf numFmtId="0" fontId="65" fillId="31" borderId="0"/>
    <xf numFmtId="0" fontId="30" fillId="31" borderId="0">
      <alignment horizontal="left"/>
    </xf>
    <xf numFmtId="0" fontId="30" fillId="31" borderId="0">
      <alignment horizontal="left" indent="1"/>
    </xf>
    <xf numFmtId="0" fontId="30" fillId="31" borderId="0">
      <alignment horizontal="left" vertical="center" indent="2"/>
    </xf>
    <xf numFmtId="0" fontId="66" fillId="0" borderId="0" applyNumberFormat="0" applyFill="0" applyBorder="0" applyAlignment="0" applyProtection="0"/>
    <xf numFmtId="0" fontId="67" fillId="0" borderId="5" applyNumberFormat="0" applyFill="0" applyBorder="0" applyAlignment="0" applyProtection="0">
      <alignment horizontal="left"/>
    </xf>
    <xf numFmtId="0" fontId="68" fillId="0" borderId="0" applyNumberFormat="0" applyFill="0" applyBorder="0" applyAlignment="0" applyProtection="0"/>
    <xf numFmtId="0" fontId="69" fillId="0" borderId="17" applyNumberFormat="0" applyFill="0" applyAlignment="0" applyProtection="0"/>
    <xf numFmtId="0" fontId="70" fillId="0" borderId="18" applyNumberFormat="0" applyFill="0" applyAlignment="0" applyProtection="0"/>
    <xf numFmtId="0" fontId="71" fillId="0" borderId="19" applyNumberFormat="0" applyFill="0" applyAlignment="0" applyProtection="0"/>
    <xf numFmtId="0" fontId="71" fillId="0" borderId="0" applyNumberFormat="0" applyFill="0" applyBorder="0" applyAlignment="0" applyProtection="0"/>
    <xf numFmtId="0" fontId="22" fillId="0" borderId="20" applyNumberFormat="0" applyFont="0" applyFill="0" applyAlignment="0" applyProtection="0"/>
    <xf numFmtId="0" fontId="72" fillId="0" borderId="21" applyNumberFormat="0" applyFill="0" applyAlignment="0" applyProtection="0"/>
    <xf numFmtId="0" fontId="73" fillId="0" borderId="0"/>
    <xf numFmtId="0" fontId="74" fillId="36" borderId="22" applyNumberFormat="0" applyAlignment="0" applyProtection="0"/>
    <xf numFmtId="1" fontId="75" fillId="0" borderId="7">
      <alignment horizontal="center"/>
    </xf>
    <xf numFmtId="182" fontId="14" fillId="0" borderId="0" applyFont="0" applyFill="0" applyBorder="0" applyAlignment="0" applyProtection="0">
      <alignment horizontal="right" vertical="center"/>
    </xf>
    <xf numFmtId="0" fontId="21" fillId="0" borderId="0"/>
    <xf numFmtId="164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44" fontId="21" fillId="0" borderId="0" applyFont="0" applyFill="0" applyBorder="0" applyAlignment="0" applyProtection="0"/>
  </cellStyleXfs>
  <cellXfs count="143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5" fillId="3" borderId="0" xfId="0" applyFont="1" applyFill="1" applyAlignment="1">
      <alignment horizontal="center"/>
    </xf>
    <xf numFmtId="167" fontId="4" fillId="0" borderId="0" xfId="1" applyNumberFormat="1" applyFont="1" applyAlignment="1">
      <alignment horizontal="center"/>
    </xf>
    <xf numFmtId="167" fontId="4" fillId="0" borderId="0" xfId="1" applyNumberFormat="1" applyFont="1" applyBorder="1" applyAlignment="1">
      <alignment horizontal="center"/>
    </xf>
    <xf numFmtId="0" fontId="9" fillId="0" borderId="0" xfId="0" applyFont="1"/>
    <xf numFmtId="0" fontId="6" fillId="3" borderId="0" xfId="0" applyFont="1" applyFill="1" applyAlignment="1">
      <alignment horizontal="center"/>
    </xf>
    <xf numFmtId="0" fontId="9" fillId="5" borderId="0" xfId="2" applyFont="1" applyFill="1" applyAlignment="1">
      <alignment horizontal="left" indent="2"/>
    </xf>
    <xf numFmtId="167" fontId="9" fillId="0" borderId="0" xfId="1" applyNumberFormat="1" applyFont="1" applyBorder="1" applyAlignment="1">
      <alignment horizontal="center"/>
    </xf>
    <xf numFmtId="0" fontId="6" fillId="4" borderId="4" xfId="7" applyFont="1" applyFill="1" applyBorder="1"/>
    <xf numFmtId="0" fontId="9" fillId="0" borderId="0" xfId="0" applyFont="1" applyAlignment="1">
      <alignment horizontal="center"/>
    </xf>
    <xf numFmtId="0" fontId="6" fillId="4" borderId="4" xfId="2" applyFont="1" applyFill="1" applyBorder="1"/>
    <xf numFmtId="0" fontId="9" fillId="7" borderId="0" xfId="2" applyFont="1" applyFill="1"/>
    <xf numFmtId="0" fontId="9" fillId="7" borderId="8" xfId="2" applyFont="1" applyFill="1" applyBorder="1"/>
    <xf numFmtId="167" fontId="9" fillId="7" borderId="8" xfId="0" applyNumberFormat="1" applyFont="1" applyFill="1" applyBorder="1" applyAlignment="1">
      <alignment horizontal="center"/>
    </xf>
    <xf numFmtId="0" fontId="9" fillId="7" borderId="6" xfId="2" applyFont="1" applyFill="1" applyBorder="1"/>
    <xf numFmtId="0" fontId="9" fillId="0" borderId="9" xfId="2" applyFont="1" applyBorder="1"/>
    <xf numFmtId="0" fontId="8" fillId="8" borderId="4" xfId="7" applyFont="1" applyFill="1" applyBorder="1"/>
    <xf numFmtId="0" fontId="11" fillId="9" borderId="4" xfId="7" applyFont="1" applyFill="1" applyBorder="1"/>
    <xf numFmtId="169" fontId="11" fillId="9" borderId="4" xfId="10" applyNumberFormat="1" applyFont="1" applyFill="1" applyBorder="1" applyAlignment="1">
      <alignment horizontal="right"/>
    </xf>
    <xf numFmtId="0" fontId="11" fillId="7" borderId="8" xfId="2" applyFont="1" applyFill="1" applyBorder="1"/>
    <xf numFmtId="168" fontId="9" fillId="0" borderId="0" xfId="1" applyNumberFormat="1" applyFont="1" applyBorder="1" applyAlignment="1">
      <alignment horizontal="center"/>
    </xf>
    <xf numFmtId="167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11" fillId="0" borderId="0" xfId="7" applyFont="1"/>
    <xf numFmtId="183" fontId="9" fillId="0" borderId="0" xfId="0" applyNumberFormat="1" applyFont="1" applyAlignment="1">
      <alignment horizontal="center"/>
    </xf>
    <xf numFmtId="168" fontId="6" fillId="3" borderId="0" xfId="0" applyNumberFormat="1" applyFont="1" applyFill="1" applyAlignment="1">
      <alignment horizontal="center"/>
    </xf>
    <xf numFmtId="184" fontId="9" fillId="0" borderId="0" xfId="1" applyNumberFormat="1" applyFont="1" applyFill="1" applyBorder="1" applyAlignment="1">
      <alignment horizontal="center"/>
    </xf>
    <xf numFmtId="185" fontId="6" fillId="4" borderId="4" xfId="1" applyNumberFormat="1" applyFont="1" applyFill="1" applyBorder="1" applyAlignment="1">
      <alignment horizontal="right"/>
    </xf>
    <xf numFmtId="185" fontId="9" fillId="0" borderId="0" xfId="1" applyNumberFormat="1" applyFont="1" applyBorder="1" applyAlignment="1">
      <alignment horizontal="right"/>
    </xf>
    <xf numFmtId="185" fontId="9" fillId="7" borderId="0" xfId="1" applyNumberFormat="1" applyFont="1" applyFill="1" applyBorder="1" applyAlignment="1">
      <alignment horizontal="right"/>
    </xf>
    <xf numFmtId="185" fontId="9" fillId="7" borderId="8" xfId="1" applyNumberFormat="1" applyFont="1" applyFill="1" applyBorder="1" applyAlignment="1">
      <alignment horizontal="right"/>
    </xf>
    <xf numFmtId="185" fontId="6" fillId="4" borderId="4" xfId="7" applyNumberFormat="1" applyFont="1" applyFill="1" applyBorder="1" applyAlignment="1">
      <alignment horizontal="right"/>
    </xf>
    <xf numFmtId="185" fontId="11" fillId="7" borderId="8" xfId="1" applyNumberFormat="1" applyFont="1" applyFill="1" applyBorder="1" applyAlignment="1">
      <alignment horizontal="right"/>
    </xf>
    <xf numFmtId="185" fontId="8" fillId="8" borderId="4" xfId="7" applyNumberFormat="1" applyFont="1" applyFill="1" applyBorder="1" applyAlignment="1">
      <alignment horizontal="right"/>
    </xf>
    <xf numFmtId="185" fontId="9" fillId="7" borderId="0" xfId="0" applyNumberFormat="1" applyFont="1" applyFill="1" applyAlignment="1">
      <alignment horizontal="right"/>
    </xf>
    <xf numFmtId="185" fontId="9" fillId="7" borderId="8" xfId="0" applyNumberFormat="1" applyFont="1" applyFill="1" applyBorder="1" applyAlignment="1">
      <alignment horizontal="right"/>
    </xf>
    <xf numFmtId="185" fontId="9" fillId="7" borderId="10" xfId="0" applyNumberFormat="1" applyFont="1" applyFill="1" applyBorder="1" applyAlignment="1">
      <alignment horizontal="right"/>
    </xf>
    <xf numFmtId="185" fontId="9" fillId="7" borderId="7" xfId="0" applyNumberFormat="1" applyFont="1" applyFill="1" applyBorder="1" applyAlignment="1">
      <alignment horizontal="right"/>
    </xf>
    <xf numFmtId="169" fontId="6" fillId="4" borderId="4" xfId="10" applyNumberFormat="1" applyFont="1" applyFill="1" applyBorder="1" applyAlignment="1">
      <alignment horizontal="right"/>
    </xf>
    <xf numFmtId="164" fontId="9" fillId="7" borderId="6" xfId="1" applyFont="1" applyFill="1" applyBorder="1" applyAlignment="1">
      <alignment horizontal="right"/>
    </xf>
    <xf numFmtId="164" fontId="9" fillId="7" borderId="0" xfId="1" applyFont="1" applyFill="1" applyBorder="1" applyAlignment="1">
      <alignment horizontal="right"/>
    </xf>
    <xf numFmtId="164" fontId="9" fillId="7" borderId="8" xfId="1" applyFont="1" applyFill="1" applyBorder="1" applyAlignment="1">
      <alignment horizontal="right"/>
    </xf>
    <xf numFmtId="164" fontId="9" fillId="7" borderId="7" xfId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78" fillId="0" borderId="0" xfId="0" applyFont="1"/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9" fillId="0" borderId="0" xfId="2" applyFont="1"/>
    <xf numFmtId="185" fontId="76" fillId="0" borderId="0" xfId="1" applyNumberFormat="1" applyFont="1" applyFill="1" applyBorder="1" applyAlignment="1">
      <alignment horizontal="right"/>
    </xf>
    <xf numFmtId="0" fontId="9" fillId="7" borderId="24" xfId="2" applyFont="1" applyFill="1" applyBorder="1"/>
    <xf numFmtId="0" fontId="7" fillId="0" borderId="0" xfId="0" applyFont="1" applyAlignment="1">
      <alignment vertical="center" textRotation="90"/>
    </xf>
    <xf numFmtId="169" fontId="6" fillId="0" borderId="0" xfId="10" applyNumberFormat="1" applyFont="1" applyFill="1" applyBorder="1" applyAlignment="1">
      <alignment horizontal="right"/>
    </xf>
    <xf numFmtId="164" fontId="9" fillId="0" borderId="0" xfId="1" applyFont="1" applyFill="1" applyBorder="1" applyAlignment="1">
      <alignment horizontal="right"/>
    </xf>
    <xf numFmtId="39" fontId="9" fillId="7" borderId="8" xfId="1" applyNumberFormat="1" applyFont="1" applyFill="1" applyBorder="1" applyAlignment="1">
      <alignment horizontal="right"/>
    </xf>
    <xf numFmtId="39" fontId="9" fillId="7" borderId="6" xfId="1" applyNumberFormat="1" applyFont="1" applyFill="1" applyBorder="1" applyAlignment="1">
      <alignment horizontal="right"/>
    </xf>
    <xf numFmtId="39" fontId="9" fillId="7" borderId="24" xfId="1" applyNumberFormat="1" applyFont="1" applyFill="1" applyBorder="1" applyAlignment="1">
      <alignment horizontal="right"/>
    </xf>
    <xf numFmtId="0" fontId="8" fillId="6" borderId="25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9" fillId="0" borderId="0" xfId="7" applyFont="1"/>
    <xf numFmtId="0" fontId="0" fillId="37" borderId="0" xfId="0" applyFill="1"/>
    <xf numFmtId="0" fontId="0" fillId="0" borderId="26" xfId="0" applyBorder="1"/>
    <xf numFmtId="0" fontId="80" fillId="0" borderId="26" xfId="0" applyFont="1" applyBorder="1"/>
    <xf numFmtId="0" fontId="82" fillId="0" borderId="0" xfId="0" quotePrefix="1" applyNumberFormat="1" applyFont="1" applyFill="1" applyBorder="1" applyAlignment="1" applyProtection="1">
      <alignment vertical="center"/>
    </xf>
    <xf numFmtId="0" fontId="77" fillId="0" borderId="23" xfId="0" applyFont="1" applyFill="1" applyBorder="1" applyAlignment="1">
      <alignment horizontal="center"/>
    </xf>
    <xf numFmtId="0" fontId="80" fillId="0" borderId="26" xfId="0" applyFont="1" applyFill="1" applyBorder="1"/>
    <xf numFmtId="0" fontId="0" fillId="0" borderId="26" xfId="0" applyBorder="1" applyAlignment="1">
      <alignment horizontal="left"/>
    </xf>
    <xf numFmtId="185" fontId="4" fillId="0" borderId="0" xfId="0" applyNumberFormat="1" applyFont="1" applyAlignment="1">
      <alignment horizontal="center"/>
    </xf>
    <xf numFmtId="0" fontId="80" fillId="0" borderId="0" xfId="0" applyFont="1" applyFill="1" applyBorder="1"/>
    <xf numFmtId="0" fontId="0" fillId="0" borderId="0" xfId="0" applyBorder="1"/>
    <xf numFmtId="0" fontId="4" fillId="37" borderId="0" xfId="0" applyFont="1" applyFill="1"/>
    <xf numFmtId="0" fontId="6" fillId="0" borderId="9" xfId="0" applyFont="1" applyFill="1" applyBorder="1" applyAlignment="1">
      <alignment horizontal="center"/>
    </xf>
    <xf numFmtId="0" fontId="16" fillId="0" borderId="0" xfId="0" applyNumberFormat="1" applyFont="1" applyFill="1" applyBorder="1" applyAlignment="1" applyProtection="1">
      <alignment horizontal="left" vertical="center" indent="1"/>
    </xf>
    <xf numFmtId="185" fontId="9" fillId="0" borderId="0" xfId="1" applyNumberFormat="1" applyFont="1" applyFill="1" applyBorder="1" applyAlignment="1">
      <alignment horizontal="right"/>
    </xf>
    <xf numFmtId="0" fontId="4" fillId="0" borderId="0" xfId="0" applyFont="1" applyFill="1"/>
    <xf numFmtId="10" fontId="9" fillId="7" borderId="6" xfId="10" applyNumberFormat="1" applyFont="1" applyFill="1" applyBorder="1" applyAlignment="1">
      <alignment horizontal="right"/>
    </xf>
    <xf numFmtId="10" fontId="9" fillId="7" borderId="8" xfId="10" applyNumberFormat="1" applyFont="1" applyFill="1" applyBorder="1" applyAlignment="1">
      <alignment horizontal="right"/>
    </xf>
    <xf numFmtId="10" fontId="9" fillId="7" borderId="0" xfId="10" applyNumberFormat="1" applyFont="1" applyFill="1" applyBorder="1" applyAlignment="1">
      <alignment horizontal="right"/>
    </xf>
    <xf numFmtId="10" fontId="9" fillId="7" borderId="24" xfId="10" applyNumberFormat="1" applyFont="1" applyFill="1" applyBorder="1" applyAlignment="1">
      <alignment horizontal="right"/>
    </xf>
    <xf numFmtId="0" fontId="83" fillId="38" borderId="0" xfId="0" applyNumberFormat="1" applyFont="1" applyFill="1" applyBorder="1" applyAlignment="1" applyProtection="1"/>
    <xf numFmtId="0" fontId="83" fillId="38" borderId="27" xfId="0" applyNumberFormat="1" applyFont="1" applyFill="1" applyBorder="1" applyAlignment="1" applyProtection="1"/>
    <xf numFmtId="0" fontId="83" fillId="38" borderId="28" xfId="0" applyNumberFormat="1" applyFont="1" applyFill="1" applyBorder="1" applyAlignment="1" applyProtection="1"/>
    <xf numFmtId="0" fontId="77" fillId="4" borderId="23" xfId="0" applyFont="1" applyFill="1" applyBorder="1" applyAlignment="1">
      <alignment horizontal="center" wrapText="1"/>
    </xf>
    <xf numFmtId="0" fontId="83" fillId="38" borderId="29" xfId="0" applyNumberFormat="1" applyFont="1" applyFill="1" applyBorder="1" applyAlignment="1" applyProtection="1"/>
    <xf numFmtId="0" fontId="83" fillId="38" borderId="30" xfId="0" applyNumberFormat="1" applyFont="1" applyFill="1" applyBorder="1" applyAlignment="1" applyProtection="1"/>
    <xf numFmtId="0" fontId="83" fillId="38" borderId="31" xfId="0" applyNumberFormat="1" applyFont="1" applyFill="1" applyBorder="1" applyAlignment="1" applyProtection="1"/>
    <xf numFmtId="0" fontId="77" fillId="0" borderId="23" xfId="0" applyFont="1" applyFill="1" applyBorder="1" applyAlignment="1">
      <alignment horizontal="centerContinuous" vertical="center" wrapText="1"/>
    </xf>
    <xf numFmtId="0" fontId="77" fillId="0" borderId="23" xfId="0" applyFont="1" applyFill="1" applyBorder="1" applyAlignment="1">
      <alignment horizontal="centerContinuous" vertical="center"/>
    </xf>
    <xf numFmtId="0" fontId="0" fillId="6" borderId="0" xfId="0" applyFill="1"/>
    <xf numFmtId="0" fontId="80" fillId="6" borderId="0" xfId="0" applyFont="1" applyFill="1" applyBorder="1"/>
    <xf numFmtId="0" fontId="85" fillId="6" borderId="0" xfId="0" applyFont="1" applyFill="1"/>
    <xf numFmtId="0" fontId="84" fillId="6" borderId="0" xfId="0" applyFont="1" applyFill="1" applyBorder="1"/>
    <xf numFmtId="0" fontId="88" fillId="39" borderId="32" xfId="0" applyNumberFormat="1" applyFont="1" applyFill="1" applyBorder="1" applyAlignment="1" applyProtection="1">
      <alignment horizontal="center"/>
    </xf>
    <xf numFmtId="185" fontId="89" fillId="8" borderId="33" xfId="0" applyNumberFormat="1" applyFont="1" applyFill="1" applyBorder="1" applyAlignment="1" applyProtection="1">
      <alignment horizontal="right"/>
    </xf>
    <xf numFmtId="185" fontId="9" fillId="0" borderId="34" xfId="1" applyNumberFormat="1" applyFont="1" applyFill="1" applyBorder="1" applyAlignment="1">
      <alignment horizontal="right"/>
    </xf>
    <xf numFmtId="185" fontId="9" fillId="7" borderId="35" xfId="1" applyNumberFormat="1" applyFont="1" applyFill="1" applyBorder="1" applyAlignment="1">
      <alignment horizontal="right"/>
    </xf>
    <xf numFmtId="185" fontId="9" fillId="7" borderId="34" xfId="1" applyNumberFormat="1" applyFont="1" applyFill="1" applyBorder="1" applyAlignment="1">
      <alignment horizontal="right"/>
    </xf>
    <xf numFmtId="185" fontId="9" fillId="7" borderId="30" xfId="1" applyNumberFormat="1" applyFont="1" applyFill="1" applyBorder="1" applyAlignment="1">
      <alignment horizontal="right"/>
    </xf>
    <xf numFmtId="0" fontId="77" fillId="4" borderId="0" xfId="0" applyFont="1" applyFill="1" applyBorder="1" applyAlignment="1">
      <alignment horizontal="center" wrapText="1"/>
    </xf>
    <xf numFmtId="185" fontId="9" fillId="40" borderId="0" xfId="1" applyNumberFormat="1" applyFont="1" applyFill="1" applyBorder="1" applyAlignment="1">
      <alignment horizontal="right"/>
    </xf>
    <xf numFmtId="0" fontId="9" fillId="7" borderId="30" xfId="2" applyFont="1" applyFill="1" applyBorder="1"/>
    <xf numFmtId="164" fontId="9" fillId="7" borderId="30" xfId="1" applyFont="1" applyFill="1" applyBorder="1" applyAlignment="1">
      <alignment horizontal="right"/>
    </xf>
    <xf numFmtId="0" fontId="7" fillId="6" borderId="0" xfId="0" applyFont="1" applyFill="1" applyAlignment="1">
      <alignment vertical="center" textRotation="90"/>
    </xf>
    <xf numFmtId="0" fontId="7" fillId="0" borderId="0" xfId="0" applyFont="1" applyFill="1" applyAlignment="1">
      <alignment vertical="center" textRotation="90"/>
    </xf>
    <xf numFmtId="0" fontId="9" fillId="7" borderId="9" xfId="2" applyFont="1" applyFill="1" applyBorder="1"/>
    <xf numFmtId="39" fontId="9" fillId="7" borderId="9" xfId="1" applyNumberFormat="1" applyFont="1" applyFill="1" applyBorder="1" applyAlignment="1">
      <alignment horizontal="right"/>
    </xf>
    <xf numFmtId="0" fontId="4" fillId="0" borderId="9" xfId="0" applyFont="1" applyBorder="1"/>
    <xf numFmtId="185" fontId="9" fillId="7" borderId="9" xfId="1" applyNumberFormat="1" applyFont="1" applyFill="1" applyBorder="1" applyAlignment="1">
      <alignment horizontal="right"/>
    </xf>
    <xf numFmtId="0" fontId="9" fillId="7" borderId="37" xfId="2" applyFont="1" applyFill="1" applyBorder="1"/>
    <xf numFmtId="39" fontId="9" fillId="7" borderId="37" xfId="1" applyNumberFormat="1" applyFont="1" applyFill="1" applyBorder="1" applyAlignment="1">
      <alignment horizontal="right"/>
    </xf>
    <xf numFmtId="185" fontId="9" fillId="7" borderId="36" xfId="1" applyNumberFormat="1" applyFont="1" applyFill="1" applyBorder="1" applyAlignment="1">
      <alignment horizontal="right"/>
    </xf>
    <xf numFmtId="0" fontId="4" fillId="0" borderId="0" xfId="0" applyFont="1" applyBorder="1"/>
    <xf numFmtId="185" fontId="9" fillId="7" borderId="25" xfId="1" applyNumberFormat="1" applyFont="1" applyFill="1" applyBorder="1" applyAlignment="1">
      <alignment horizontal="right"/>
    </xf>
    <xf numFmtId="185" fontId="6" fillId="4" borderId="30" xfId="1" applyNumberFormat="1" applyFont="1" applyFill="1" applyBorder="1" applyAlignment="1">
      <alignment horizontal="right"/>
    </xf>
    <xf numFmtId="0" fontId="9" fillId="5" borderId="8" xfId="2" applyFont="1" applyFill="1" applyBorder="1" applyAlignment="1">
      <alignment horizontal="left" indent="2"/>
    </xf>
    <xf numFmtId="0" fontId="0" fillId="0" borderId="0" xfId="0" applyAlignment="1">
      <alignment vertical="center"/>
    </xf>
    <xf numFmtId="22" fontId="4" fillId="0" borderId="0" xfId="0" applyNumberFormat="1" applyFont="1" applyAlignment="1">
      <alignment horizontal="left" vertical="center"/>
    </xf>
    <xf numFmtId="167" fontId="9" fillId="41" borderId="8" xfId="0" applyNumberFormat="1" applyFont="1" applyFill="1" applyBorder="1" applyAlignment="1">
      <alignment horizontal="center"/>
    </xf>
    <xf numFmtId="0" fontId="77" fillId="0" borderId="23" xfId="0" applyFont="1" applyFill="1" applyBorder="1" applyAlignment="1">
      <alignment horizontal="left"/>
    </xf>
    <xf numFmtId="0" fontId="90" fillId="0" borderId="23" xfId="0" applyFont="1" applyFill="1" applyBorder="1" applyAlignment="1">
      <alignment horizontal="left"/>
    </xf>
    <xf numFmtId="0" fontId="8" fillId="8" borderId="34" xfId="7" applyFont="1" applyFill="1" applyBorder="1"/>
    <xf numFmtId="185" fontId="8" fillId="8" borderId="34" xfId="7" applyNumberFormat="1" applyFont="1" applyFill="1" applyBorder="1" applyAlignment="1">
      <alignment horizontal="right"/>
    </xf>
    <xf numFmtId="0" fontId="6" fillId="4" borderId="34" xfId="2" applyFont="1" applyFill="1" applyBorder="1"/>
    <xf numFmtId="185" fontId="6" fillId="4" borderId="34" xfId="1" applyNumberFormat="1" applyFont="1" applyFill="1" applyBorder="1" applyAlignment="1">
      <alignment horizontal="right"/>
    </xf>
    <xf numFmtId="0" fontId="6" fillId="4" borderId="34" xfId="7" applyFont="1" applyFill="1" applyBorder="1"/>
    <xf numFmtId="185" fontId="6" fillId="4" borderId="34" xfId="7" applyNumberFormat="1" applyFont="1" applyFill="1" applyBorder="1" applyAlignment="1">
      <alignment horizontal="right"/>
    </xf>
    <xf numFmtId="0" fontId="11" fillId="9" borderId="34" xfId="7" applyFont="1" applyFill="1" applyBorder="1"/>
    <xf numFmtId="169" fontId="11" fillId="9" borderId="34" xfId="10" applyNumberFormat="1" applyFont="1" applyFill="1" applyBorder="1" applyAlignment="1">
      <alignment horizontal="right"/>
    </xf>
    <xf numFmtId="185" fontId="9" fillId="7" borderId="30" xfId="0" applyNumberFormat="1" applyFont="1" applyFill="1" applyBorder="1" applyAlignment="1">
      <alignment horizontal="right"/>
    </xf>
    <xf numFmtId="169" fontId="6" fillId="4" borderId="34" xfId="10" applyNumberFormat="1" applyFont="1" applyFill="1" applyBorder="1" applyAlignment="1">
      <alignment horizontal="right"/>
    </xf>
    <xf numFmtId="0" fontId="9" fillId="7" borderId="35" xfId="2" applyFont="1" applyFill="1" applyBorder="1"/>
    <xf numFmtId="164" fontId="9" fillId="7" borderId="35" xfId="1" applyFont="1" applyFill="1" applyBorder="1" applyAlignment="1">
      <alignment horizontal="right"/>
    </xf>
    <xf numFmtId="10" fontId="9" fillId="7" borderId="35" xfId="10" applyNumberFormat="1" applyFont="1" applyFill="1" applyBorder="1" applyAlignment="1">
      <alignment horizontal="right"/>
    </xf>
    <xf numFmtId="39" fontId="9" fillId="7" borderId="35" xfId="1" applyNumberFormat="1" applyFont="1" applyFill="1" applyBorder="1" applyAlignment="1">
      <alignment horizontal="right"/>
    </xf>
    <xf numFmtId="0" fontId="77" fillId="4" borderId="23" xfId="0" applyFont="1" applyFill="1" applyBorder="1" applyAlignment="1" applyProtection="1">
      <alignment horizontal="center" wrapText="1"/>
    </xf>
    <xf numFmtId="0" fontId="86" fillId="6" borderId="0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87" fillId="6" borderId="0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 textRotation="90"/>
    </xf>
    <xf numFmtId="0" fontId="89" fillId="6" borderId="0" xfId="0" applyNumberFormat="1" applyFont="1" applyFill="1" applyBorder="1" applyAlignment="1" applyProtection="1">
      <alignment horizontal="center" wrapText="1"/>
    </xf>
  </cellXfs>
  <cellStyles count="429">
    <cellStyle name="$   0,000" xfId="11"/>
    <cellStyle name="%" xfId="12"/>
    <cellStyle name="%0" xfId="13"/>
    <cellStyle name="%1" xfId="14"/>
    <cellStyle name="%2" xfId="15"/>
    <cellStyle name="£ BP" xfId="16"/>
    <cellStyle name="¥ JY" xfId="17"/>
    <cellStyle name="0" xfId="18"/>
    <cellStyle name="0,000" xfId="19"/>
    <cellStyle name="0.00" xfId="20"/>
    <cellStyle name="0.00%" xfId="21"/>
    <cellStyle name="0.0x" xfId="22"/>
    <cellStyle name="0_Actualisation provision contrat déficitaire SNCM 2010 V Def" xfId="23"/>
    <cellStyle name="0_Actualisation provision contrat déficitaire SNCM 2011 V3 30 05 2011" xfId="24"/>
    <cellStyle name="0_PPA SNCM - présentation CAC 28 06 2011" xfId="25"/>
    <cellStyle name="0_Simul location facturée par Trenitalia" xfId="26"/>
    <cellStyle name="20 % - Accent1 2" xfId="27"/>
    <cellStyle name="20 % - Accent1 2 2" xfId="28"/>
    <cellStyle name="20 % - Accent2 2" xfId="29"/>
    <cellStyle name="20 % - Accent2 2 2" xfId="30"/>
    <cellStyle name="20 % - Accent3 2" xfId="31"/>
    <cellStyle name="20 % - Accent3 2 2" xfId="32"/>
    <cellStyle name="20 % - Accent4 2" xfId="33"/>
    <cellStyle name="20 % - Accent4 2 2" xfId="34"/>
    <cellStyle name="20 % - Accent5 2" xfId="35"/>
    <cellStyle name="20 % - Accent5 2 2" xfId="36"/>
    <cellStyle name="20 % - Accent6 2" xfId="37"/>
    <cellStyle name="20 % - Accent6 2 2" xfId="38"/>
    <cellStyle name="40 % - Accent1 2" xfId="39"/>
    <cellStyle name="40 % - Accent1 2 2" xfId="40"/>
    <cellStyle name="40 % - Accent2 2" xfId="41"/>
    <cellStyle name="40 % - Accent2 2 2" xfId="42"/>
    <cellStyle name="40 % - Accent3 2" xfId="43"/>
    <cellStyle name="40 % - Accent3 2 2" xfId="44"/>
    <cellStyle name="40 % - Accent4 2" xfId="45"/>
    <cellStyle name="40 % - Accent4 2 2" xfId="46"/>
    <cellStyle name="40 % - Accent5 2" xfId="47"/>
    <cellStyle name="40 % - Accent5 2 2" xfId="48"/>
    <cellStyle name="40 % - Accent6 2" xfId="49"/>
    <cellStyle name="40 % - Accent6 2 2" xfId="50"/>
    <cellStyle name="60 % - Accent1 2" xfId="51"/>
    <cellStyle name="60 % - Accent2 2" xfId="52"/>
    <cellStyle name="60 % - Accent3 2" xfId="53"/>
    <cellStyle name="60 % - Accent4 2" xfId="54"/>
    <cellStyle name="60 % - Accent5 2" xfId="55"/>
    <cellStyle name="60 % - Accent6 2" xfId="56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at" xfId="63"/>
    <cellStyle name="Avertissement 2" xfId="64"/>
    <cellStyle name="b" xfId="65"/>
    <cellStyle name="b%0" xfId="66"/>
    <cellStyle name="b%1" xfId="67"/>
    <cellStyle name="b%2" xfId="68"/>
    <cellStyle name="b_Actualisation provision contrat déficitaire SNCM 2010 V Def" xfId="69"/>
    <cellStyle name="b_Actualisation provision contrat déficitaire SNCM 2011 V3 30 05 2011" xfId="70"/>
    <cellStyle name="b_LI819L_B13" xfId="71"/>
    <cellStyle name="b_PAO-CAF-RESOP_14_01_13 à 20h" xfId="72"/>
    <cellStyle name="b0" xfId="73"/>
    <cellStyle name="b09" xfId="74"/>
    <cellStyle name="b1" xfId="75"/>
    <cellStyle name="b2" xfId="76"/>
    <cellStyle name="Black" xfId="77"/>
    <cellStyle name="blue" xfId="78"/>
    <cellStyle name="bo" xfId="79"/>
    <cellStyle name="Bold/Border" xfId="80"/>
    <cellStyle name="Bottom" xfId="81"/>
    <cellStyle name="bout" xfId="82"/>
    <cellStyle name="bt" xfId="83"/>
    <cellStyle name="btit" xfId="84"/>
    <cellStyle name="Bullet" xfId="85"/>
    <cellStyle name="c" xfId="86"/>
    <cellStyle name="c_Actualisation provision contrat déficitaire SNCM 2010 V Def" xfId="87"/>
    <cellStyle name="c_Actualisation provision contrat déficitaire SNCM 2011 V3 30 05 2011" xfId="88"/>
    <cellStyle name="c_Grouse+Pelican" xfId="89"/>
    <cellStyle name="c_LI819L_B13" xfId="90"/>
    <cellStyle name="c_Macros" xfId="91"/>
    <cellStyle name="c_Macros (2)" xfId="92"/>
    <cellStyle name="c_Macros (2)_Actualisation provision contrat déficitaire SNCM 2010 V Def" xfId="93"/>
    <cellStyle name="c_Macros (2)_Actualisation provision contrat déficitaire SNCM 2011 V3 30 05 2011" xfId="94"/>
    <cellStyle name="c_Macros (2)_LI819L_B13" xfId="95"/>
    <cellStyle name="c_Macros (2)_PAO-CAF-RESOP_14_01_13 à 20h" xfId="96"/>
    <cellStyle name="c_Macros_Actualisation provision contrat déficitaire SNCM 2010 V Def" xfId="97"/>
    <cellStyle name="c_Macros_Actualisation provision contrat déficitaire SNCM 2011 V3 30 05 2011" xfId="98"/>
    <cellStyle name="c_Macros_LI819L_B13" xfId="99"/>
    <cellStyle name="c_Macros_PAO-CAF-RESOP_14_01_13 à 20h" xfId="100"/>
    <cellStyle name="c_Manager (2)" xfId="101"/>
    <cellStyle name="c_Manager (2)_Actualisation provision contrat déficitaire SNCM 2010 V Def" xfId="102"/>
    <cellStyle name="c_Manager (2)_Actualisation provision contrat déficitaire SNCM 2011 V3 30 05 2011" xfId="103"/>
    <cellStyle name="c_Manager (2)_LI819L_B13" xfId="104"/>
    <cellStyle name="c_Manager (2)_PAO-CAF-RESOP_14_01_13 à 20h" xfId="105"/>
    <cellStyle name="c_PAO-CAF-RESOP_14_01_13 à 20h" xfId="106"/>
    <cellStyle name="c0" xfId="107"/>
    <cellStyle name="cach" xfId="108"/>
    <cellStyle name="Calcul 2" xfId="109"/>
    <cellStyle name="Cellule liée 2" xfId="110"/>
    <cellStyle name="chiffre" xfId="111"/>
    <cellStyle name="co" xfId="112"/>
    <cellStyle name="Comma [1]" xfId="113"/>
    <cellStyle name="Comma [2]" xfId="114"/>
    <cellStyle name="Comma_Axmann Utopia toolbox all_in_one" xfId="426"/>
    <cellStyle name="Commentaire 2" xfId="115"/>
    <cellStyle name="Commentaire 2 2" xfId="116"/>
    <cellStyle name="Commentaire 2_Synthèse" xfId="117"/>
    <cellStyle name="Currency [1]" xfId="118"/>
    <cellStyle name="Currency [2]" xfId="119"/>
    <cellStyle name="Currency_Axmann Utopia toolbox all_in_one" xfId="427"/>
    <cellStyle name="Currency-Denomination" xfId="120"/>
    <cellStyle name="Dash" xfId="121"/>
    <cellStyle name="Decimal_0dp" xfId="122"/>
    <cellStyle name="Dezimal__Utopia Index Index und Guidance (Deutsch)" xfId="123"/>
    <cellStyle name="Entrée 2" xfId="124"/>
    <cellStyle name="Euro" xfId="125"/>
    <cellStyle name="Euro 2" xfId="126"/>
    <cellStyle name="Euro_Synthèse" xfId="428"/>
    <cellStyle name="EY%colcalc" xfId="127"/>
    <cellStyle name="EY%input" xfId="128"/>
    <cellStyle name="EY%rowcalc" xfId="129"/>
    <cellStyle name="EY0dp" xfId="130"/>
    <cellStyle name="EY1dp" xfId="131"/>
    <cellStyle name="EY2dp" xfId="132"/>
    <cellStyle name="EY3dp" xfId="133"/>
    <cellStyle name="EYColumnHeading" xfId="134"/>
    <cellStyle name="EYHeading1" xfId="135"/>
    <cellStyle name="EYheading2" xfId="136"/>
    <cellStyle name="EYheading3" xfId="137"/>
    <cellStyle name="EYnumber" xfId="138"/>
    <cellStyle name="EYSheetHeader1" xfId="139"/>
    <cellStyle name="EYtext" xfId="140"/>
    <cellStyle name="Followed Hyperlink" xfId="141"/>
    <cellStyle name="Forecast Cell Column Heading" xfId="142"/>
    <cellStyle name="FormattingSheetDelimitor" xfId="143"/>
    <cellStyle name="h" xfId="144"/>
    <cellStyle name="Hyperlink" xfId="145"/>
    <cellStyle name="Input" xfId="146"/>
    <cellStyle name="InputBlueFont" xfId="147"/>
    <cellStyle name="InputBlueFontLocked" xfId="148"/>
    <cellStyle name="Insatisfaisant 2" xfId="149"/>
    <cellStyle name="KPMG Heading 1" xfId="150"/>
    <cellStyle name="KPMG Heading 2" xfId="151"/>
    <cellStyle name="KPMG Heading 3" xfId="152"/>
    <cellStyle name="KPMG Heading 4" xfId="153"/>
    <cellStyle name="KPMG Normal" xfId="154"/>
    <cellStyle name="KPMG Normal Text" xfId="155"/>
    <cellStyle name="LTM Cell Column Heading" xfId="156"/>
    <cellStyle name="Milliers" xfId="1" builtinId="3"/>
    <cellStyle name="Milliers 2" xfId="4"/>
    <cellStyle name="Milliers 2 2" xfId="158"/>
    <cellStyle name="Milliers 2 3" xfId="159"/>
    <cellStyle name="Milliers 2 4" xfId="160"/>
    <cellStyle name="Milliers 2_Context" xfId="157"/>
    <cellStyle name="Milliers 3" xfId="5"/>
    <cellStyle name="Milliers 3 2" xfId="162"/>
    <cellStyle name="Milliers 3 3" xfId="163"/>
    <cellStyle name="Milliers 3_Context" xfId="161"/>
    <cellStyle name="Milliers 4" xfId="164"/>
    <cellStyle name="Milliers 5" xfId="165"/>
    <cellStyle name="Multiple" xfId="166"/>
    <cellStyle name="Multiple Cell Column Heading" xfId="167"/>
    <cellStyle name="Neutre 2" xfId="168"/>
    <cellStyle name="no" xfId="169"/>
    <cellStyle name="Non d‚fini" xfId="170"/>
    <cellStyle name="Normal" xfId="0" builtinId="0"/>
    <cellStyle name="Normal - Style1" xfId="171"/>
    <cellStyle name="Normal - Style2" xfId="172"/>
    <cellStyle name="Normal - Style3" xfId="173"/>
    <cellStyle name="Normal - Style4" xfId="174"/>
    <cellStyle name="Normal - Style5" xfId="175"/>
    <cellStyle name="Normal - Style6" xfId="176"/>
    <cellStyle name="Normal - Style7" xfId="177"/>
    <cellStyle name="Normal - Style8" xfId="178"/>
    <cellStyle name="Normal 10" xfId="179"/>
    <cellStyle name="Normal 10 2" xfId="180"/>
    <cellStyle name="Normal 10 2 2" xfId="181"/>
    <cellStyle name="Normal 10 2 3" xfId="182"/>
    <cellStyle name="Normal 10 3" xfId="183"/>
    <cellStyle name="Normal 10 4" xfId="184"/>
    <cellStyle name="Normal 11" xfId="185"/>
    <cellStyle name="Normal 12" xfId="186"/>
    <cellStyle name="Normal 13" xfId="187"/>
    <cellStyle name="Normal 14" xfId="188"/>
    <cellStyle name="Normal 15" xfId="189"/>
    <cellStyle name="Normal 16" xfId="190"/>
    <cellStyle name="Normal 17" xfId="191"/>
    <cellStyle name="Normal 18" xfId="192"/>
    <cellStyle name="Normal 19" xfId="193"/>
    <cellStyle name="Normal 2" xfId="6"/>
    <cellStyle name="Normal 2 10" xfId="195"/>
    <cellStyle name="Normal 2 11" xfId="196"/>
    <cellStyle name="Normal 2 12" xfId="197"/>
    <cellStyle name="Normal 2 13" xfId="198"/>
    <cellStyle name="Normal 2 14" xfId="199"/>
    <cellStyle name="Normal 2 15" xfId="200"/>
    <cellStyle name="Normal 2 16" xfId="201"/>
    <cellStyle name="Normal 2 17" xfId="202"/>
    <cellStyle name="Normal 2 2" xfId="203"/>
    <cellStyle name="Normal 2 3" xfId="204"/>
    <cellStyle name="Normal 2 4" xfId="205"/>
    <cellStyle name="Normal 2 5" xfId="206"/>
    <cellStyle name="Normal 2 6" xfId="207"/>
    <cellStyle name="Normal 2 7" xfId="208"/>
    <cellStyle name="Normal 2 8" xfId="209"/>
    <cellStyle name="Normal 2 9" xfId="210"/>
    <cellStyle name="Normal 2_Context" xfId="194"/>
    <cellStyle name="Normal 20" xfId="211"/>
    <cellStyle name="Normal 21" xfId="212"/>
    <cellStyle name="Normal 22" xfId="213"/>
    <cellStyle name="Normal 23" xfId="214"/>
    <cellStyle name="Normal 24" xfId="215"/>
    <cellStyle name="Normal 25" xfId="216"/>
    <cellStyle name="Normal 26" xfId="217"/>
    <cellStyle name="Normal 27" xfId="218"/>
    <cellStyle name="Normal 28" xfId="219"/>
    <cellStyle name="Normal 29" xfId="220"/>
    <cellStyle name="Normal 29 2" xfId="221"/>
    <cellStyle name="Normal 29 3" xfId="222"/>
    <cellStyle name="Normal 29_Synthèse" xfId="223"/>
    <cellStyle name="Normal 3" xfId="2"/>
    <cellStyle name="Normal 3 10" xfId="225"/>
    <cellStyle name="Normal 3 11" xfId="226"/>
    <cellStyle name="Normal 3 12" xfId="227"/>
    <cellStyle name="Normal 3 2" xfId="7"/>
    <cellStyle name="Normal 3 2 2" xfId="229"/>
    <cellStyle name="Normal 3 2_Context" xfId="228"/>
    <cellStyle name="Normal 3 3" xfId="230"/>
    <cellStyle name="Normal 3 4" xfId="231"/>
    <cellStyle name="Normal 3 5" xfId="232"/>
    <cellStyle name="Normal 3 6" xfId="233"/>
    <cellStyle name="Normal 3 7" xfId="234"/>
    <cellStyle name="Normal 3 8" xfId="235"/>
    <cellStyle name="Normal 3 9" xfId="236"/>
    <cellStyle name="Normal 3_Context" xfId="224"/>
    <cellStyle name="Normal 30" xfId="237"/>
    <cellStyle name="Normal 4" xfId="238"/>
    <cellStyle name="Normal 4 2" xfId="239"/>
    <cellStyle name="Normal 4_NBV" xfId="240"/>
    <cellStyle name="Normal 43 4" xfId="241"/>
    <cellStyle name="Normal 43 4 2" xfId="242"/>
    <cellStyle name="Normal 46 2" xfId="243"/>
    <cellStyle name="Normal 5" xfId="244"/>
    <cellStyle name="Normal 6" xfId="245"/>
    <cellStyle name="Normal 6 2" xfId="246"/>
    <cellStyle name="Normal 6 2 2" xfId="247"/>
    <cellStyle name="Normal 6 2 3" xfId="248"/>
    <cellStyle name="Normal 6 3" xfId="249"/>
    <cellStyle name="Normal 6 4" xfId="250"/>
    <cellStyle name="Normal 7" xfId="251"/>
    <cellStyle name="Normal 7 2" xfId="252"/>
    <cellStyle name="Normal 7 2 2" xfId="253"/>
    <cellStyle name="Normal 7 2 3" xfId="254"/>
    <cellStyle name="Normal 7 3" xfId="255"/>
    <cellStyle name="Normal 7 4" xfId="256"/>
    <cellStyle name="Normal 8" xfId="257"/>
    <cellStyle name="Normal 8 2" xfId="258"/>
    <cellStyle name="Normal 8 2 2" xfId="259"/>
    <cellStyle name="Normal 8 2 3" xfId="260"/>
    <cellStyle name="Normal 8 3" xfId="261"/>
    <cellStyle name="Normal 8 4" xfId="262"/>
    <cellStyle name="Normal 9" xfId="263"/>
    <cellStyle name="Normal 9 2" xfId="264"/>
    <cellStyle name="Normal 9 2 2" xfId="265"/>
    <cellStyle name="Normal 9 2 3" xfId="266"/>
    <cellStyle name="Normal 9 3" xfId="267"/>
    <cellStyle name="Normal 9 4" xfId="268"/>
    <cellStyle name="Note" xfId="3"/>
    <cellStyle name="Notes_multi" xfId="269"/>
    <cellStyle name="p" xfId="270"/>
    <cellStyle name="p_Actualisation provision contrat déficitaire SNCM 2010 V Def" xfId="271"/>
    <cellStyle name="p_Actualisation provision contrat déficitaire SNCM 2011 V3 30 05 2011" xfId="272"/>
    <cellStyle name="p_PPA SNCM - présentation CAC 28 06 2011" xfId="273"/>
    <cellStyle name="pb_page_heading_LS" xfId="274"/>
    <cellStyle name="pe" xfId="275"/>
    <cellStyle name="per" xfId="276"/>
    <cellStyle name="Percent [0]" xfId="277"/>
    <cellStyle name="Percent [1]" xfId="278"/>
    <cellStyle name="Percent [2]" xfId="279"/>
    <cellStyle name="Percent 2" xfId="8"/>
    <cellStyle name="Pound" xfId="280"/>
    <cellStyle name="Pound [1]" xfId="281"/>
    <cellStyle name="Pound [2]" xfId="282"/>
    <cellStyle name="Pourcentage" xfId="10" builtinId="5"/>
    <cellStyle name="Pourcentage 2" xfId="9"/>
    <cellStyle name="Pourcentage 2 2" xfId="283"/>
    <cellStyle name="Pourcentage 2 2 2" xfId="284"/>
    <cellStyle name="Pourcentage 2 3" xfId="285"/>
    <cellStyle name="Pourcentage 2 4" xfId="286"/>
    <cellStyle name="Pourcentage 2 5" xfId="287"/>
    <cellStyle name="Pourcentage 2 6" xfId="288"/>
    <cellStyle name="Pourcentage 2 7" xfId="289"/>
    <cellStyle name="Pourcentage 2 8" xfId="290"/>
    <cellStyle name="Pourcentage 3" xfId="291"/>
    <cellStyle name="Pourcentage 3 2" xfId="292"/>
    <cellStyle name="Pourcentage 3 3" xfId="293"/>
    <cellStyle name="Pourcentage 3 4" xfId="294"/>
    <cellStyle name="Pourcentage 4" xfId="295"/>
    <cellStyle name="Pourcentage 4 2" xfId="296"/>
    <cellStyle name="Pourcentage 5" xfId="297"/>
    <cellStyle name="ptit" xfId="298"/>
    <cellStyle name="rat" xfId="299"/>
    <cellStyle name="rate" xfId="300"/>
    <cellStyle name="ratio" xfId="301"/>
    <cellStyle name="s" xfId="302"/>
    <cellStyle name="s_Actualisation provision contrat déficitaire SNCM 2010 V Def" xfId="303"/>
    <cellStyle name="s_Actualisation provision contrat déficitaire SNCM 2011 V3 30 05 2011" xfId="304"/>
    <cellStyle name="s_Assumptions" xfId="305"/>
    <cellStyle name="s_Assumptions_Actualisation provision contrat déficitaire SNCM 2010 V Def" xfId="306"/>
    <cellStyle name="s_Assumptions_Actualisation provision contrat déficitaire SNCM 2011 V3 30 05 2011" xfId="307"/>
    <cellStyle name="s_Assumptions_LI819L_B13" xfId="308"/>
    <cellStyle name="s_Assumptions_PAO-CAF-RESOP_14_01_13 à 20h" xfId="309"/>
    <cellStyle name="s_B_S_Ratios _B" xfId="310"/>
    <cellStyle name="s_B_S_Ratios _B_Actualisation provision contrat déficitaire SNCM 2010 V Def" xfId="311"/>
    <cellStyle name="s_B_S_Ratios _B_Actualisation provision contrat déficitaire SNCM 2011 V3 30 05 2011" xfId="312"/>
    <cellStyle name="s_B_S_Ratios _B_LI819L_B13" xfId="313"/>
    <cellStyle name="s_B_S_Ratios _B_PAO-CAF-RESOP_14_01_13 à 20h" xfId="314"/>
    <cellStyle name="s_B_S_Ratios_T" xfId="315"/>
    <cellStyle name="s_B_S_Ratios_T_Actualisation provision contrat déficitaire SNCM 2010 V Def" xfId="316"/>
    <cellStyle name="s_B_S_Ratios_T_Actualisation provision contrat déficitaire SNCM 2011 V3 30 05 2011" xfId="317"/>
    <cellStyle name="s_B_S_Ratios_T_LI819L_B13" xfId="318"/>
    <cellStyle name="s_B_S_Ratios_T_PAO-CAF-RESOP_14_01_13 à 20h" xfId="319"/>
    <cellStyle name="s_DCFLBO Code" xfId="320"/>
    <cellStyle name="s_DCFLBO Code_1" xfId="321"/>
    <cellStyle name="s_DCFLBO Code_1_Actualisation provision contrat déficitaire SNCM 2010 V Def" xfId="322"/>
    <cellStyle name="s_DCFLBO Code_1_Actualisation provision contrat déficitaire SNCM 2011 V3 30 05 2011" xfId="323"/>
    <cellStyle name="s_DCFLBO Code_1_LI819L_B13" xfId="324"/>
    <cellStyle name="s_DCFLBO Code_1_PAO-CAF-RESOP_14_01_13 à 20h" xfId="325"/>
    <cellStyle name="s_DCFLBO Code_Actualisation provision contrat déficitaire SNCM 2010 V Def" xfId="326"/>
    <cellStyle name="s_DCFLBO Code_Actualisation provision contrat déficitaire SNCM 2011 V3 30 05 2011" xfId="327"/>
    <cellStyle name="s_DCFLBO Code_LI819L_B13" xfId="328"/>
    <cellStyle name="s_DCFLBO Code_PAO-CAF-RESOP_14_01_13 à 20h" xfId="329"/>
    <cellStyle name="s_Dilution" xfId="330"/>
    <cellStyle name="s_Dilution_Actualisation provision contrat déficitaire SNCM 2010 V Def" xfId="331"/>
    <cellStyle name="s_Dilution_Actualisation provision contrat déficitaire SNCM 2011 V3 30 05 2011" xfId="332"/>
    <cellStyle name="s_Dilution_LI819L_B13" xfId="333"/>
    <cellStyle name="s_Dilution_PAO-CAF-RESOP_14_01_13 à 20h" xfId="334"/>
    <cellStyle name="s_Financials_B" xfId="335"/>
    <cellStyle name="s_Financials_B_Actualisation provision contrat déficitaire SNCM 2010 V Def" xfId="336"/>
    <cellStyle name="s_Financials_B_Actualisation provision contrat déficitaire SNCM 2011 V3 30 05 2011" xfId="337"/>
    <cellStyle name="s_Financials_B_LI819L_B13" xfId="338"/>
    <cellStyle name="s_Financials_B_PAO-CAF-RESOP_14_01_13 à 20h" xfId="339"/>
    <cellStyle name="s_Financials_T" xfId="340"/>
    <cellStyle name="s_Financials_T_Actualisation provision contrat déficitaire SNCM 2010 V Def" xfId="341"/>
    <cellStyle name="s_Financials_T_Actualisation provision contrat déficitaire SNCM 2011 V3 30 05 2011" xfId="342"/>
    <cellStyle name="s_Financials_T_LI819L_B13" xfId="343"/>
    <cellStyle name="s_Financials_T_PAO-CAF-RESOP_14_01_13 à 20h" xfId="344"/>
    <cellStyle name="s_Grouse+Pelican" xfId="345"/>
    <cellStyle name="s_LI819L_B13" xfId="346"/>
    <cellStyle name="s_Matrix_B" xfId="347"/>
    <cellStyle name="s_Matrix_B_Actualisation provision contrat déficitaire SNCM 2010 V Def" xfId="348"/>
    <cellStyle name="s_Matrix_B_Actualisation provision contrat déficitaire SNCM 2011 V3 30 05 2011" xfId="349"/>
    <cellStyle name="s_Matrix_B_LI819L_B13" xfId="350"/>
    <cellStyle name="s_Matrix_B_PAO-CAF-RESOP_14_01_13 à 20h" xfId="351"/>
    <cellStyle name="s_Matrix_T" xfId="352"/>
    <cellStyle name="s_Matrix_T_Actualisation provision contrat déficitaire SNCM 2010 V Def" xfId="353"/>
    <cellStyle name="s_Matrix_T_Actualisation provision contrat déficitaire SNCM 2011 V3 30 05 2011" xfId="354"/>
    <cellStyle name="s_Matrix_T_LI819L_B13" xfId="355"/>
    <cellStyle name="s_Matrix_T_PAO-CAF-RESOP_14_01_13 à 20h" xfId="356"/>
    <cellStyle name="s_Merger" xfId="357"/>
    <cellStyle name="s_Merger_Actualisation provision contrat déficitaire SNCM 2010 V Def" xfId="358"/>
    <cellStyle name="s_Merger_Actualisation provision contrat déficitaire SNCM 2011 V3 30 05 2011" xfId="359"/>
    <cellStyle name="s_Merger_LI819L_B13" xfId="360"/>
    <cellStyle name="s_Merger_PAO-CAF-RESOP_14_01_13 à 20h" xfId="361"/>
    <cellStyle name="s_model2" xfId="362"/>
    <cellStyle name="s_model2_Actualisation provision contrat déficitaire SNCM 2010 V Def" xfId="363"/>
    <cellStyle name="s_model2_Actualisation provision contrat déficitaire SNCM 2011 V3 30 05 2011" xfId="364"/>
    <cellStyle name="s_model2_LI819L_B13" xfId="365"/>
    <cellStyle name="s_model2_PAO-CAF-RESOP_14_01_13 à 20h" xfId="366"/>
    <cellStyle name="s_P_L_Ratios" xfId="367"/>
    <cellStyle name="s_P_L_Ratios_Actualisation provision contrat déficitaire SNCM 2010 V Def" xfId="368"/>
    <cellStyle name="s_P_L_Ratios_Actualisation provision contrat déficitaire SNCM 2011 V3 30 05 2011" xfId="369"/>
    <cellStyle name="s_P_L_Ratios_B" xfId="370"/>
    <cellStyle name="s_P_L_Ratios_B_Actualisation provision contrat déficitaire SNCM 2010 V Def" xfId="371"/>
    <cellStyle name="s_P_L_Ratios_B_Actualisation provision contrat déficitaire SNCM 2011 V3 30 05 2011" xfId="372"/>
    <cellStyle name="s_P_L_Ratios_B_LI819L_B13" xfId="373"/>
    <cellStyle name="s_P_L_Ratios_B_PAO-CAF-RESOP_14_01_13 à 20h" xfId="374"/>
    <cellStyle name="s_P_L_Ratios_LI819L_B13" xfId="375"/>
    <cellStyle name="s_P_L_Ratios_PAO-CAF-RESOP_14_01_13 à 20h" xfId="376"/>
    <cellStyle name="s_PAO-CAF-RESOP_14_01_13 à 20h" xfId="377"/>
    <cellStyle name="s_S_By_S" xfId="378"/>
    <cellStyle name="s_S_By_S_Actualisation provision contrat déficitaire SNCM 2010 V Def" xfId="379"/>
    <cellStyle name="s_S_By_S_Actualisation provision contrat déficitaire SNCM 2011 V3 30 05 2011" xfId="380"/>
    <cellStyle name="s_S_By_S_LI819L_B13" xfId="381"/>
    <cellStyle name="s_S_By_S_PAO-CAF-RESOP_14_01_13 à 20h" xfId="382"/>
    <cellStyle name="s_Sheet5" xfId="383"/>
    <cellStyle name="s_Sheet5_Actualisation provision contrat déficitaire SNCM 2010 V Def" xfId="384"/>
    <cellStyle name="s_Sheet5_Actualisation provision contrat déficitaire SNCM 2011 V3 30 05 2011" xfId="385"/>
    <cellStyle name="s_Sheet5_LI819L_B13" xfId="386"/>
    <cellStyle name="s_Sheet5_PAO-CAF-RESOP_14_01_13 à 20h" xfId="387"/>
    <cellStyle name="s_Valuation " xfId="388"/>
    <cellStyle name="s_Valuation _Actualisation provision contrat déficitaire SNCM 2010 V Def" xfId="389"/>
    <cellStyle name="s_Valuation _Actualisation provision contrat déficitaire SNCM 2011 V3 30 05 2011" xfId="390"/>
    <cellStyle name="s_Valuation _LI819L_B13" xfId="391"/>
    <cellStyle name="s_Valuation _PAO-CAF-RESOP_14_01_13 à 20h" xfId="392"/>
    <cellStyle name="Satisfaisant 2" xfId="393"/>
    <cellStyle name="Shading" xfId="394"/>
    <cellStyle name="Single Cell Column Heading" xfId="395"/>
    <cellStyle name="Sortie 2" xfId="396"/>
    <cellStyle name="Standard__Utopia Index Index und Guidance (Deutsch)" xfId="397"/>
    <cellStyle name="t" xfId="398"/>
    <cellStyle name="t_Actualisation provision contrat déficitaire SNCM 2010 V Def" xfId="399"/>
    <cellStyle name="t_Actualisation provision contrat déficitaire SNCM 2011 V3 30 05 2011" xfId="400"/>
    <cellStyle name="t_LI819L_B13" xfId="401"/>
    <cellStyle name="t_Manager" xfId="402"/>
    <cellStyle name="t_Manager_Actualisation provision contrat déficitaire SNCM 2010 V Def" xfId="403"/>
    <cellStyle name="t_Manager_Actualisation provision contrat déficitaire SNCM 2011 V3 30 05 2011" xfId="404"/>
    <cellStyle name="t_Manager_LI819L_B13" xfId="405"/>
    <cellStyle name="t_Manager_PAO-CAF-RESOP_14_01_13 à 20h" xfId="406"/>
    <cellStyle name="t_PAO-CAF-RESOP_14_01_13 à 20h" xfId="407"/>
    <cellStyle name="Text Level 1" xfId="408"/>
    <cellStyle name="Text Level 2" xfId="409"/>
    <cellStyle name="Text Level 3" xfId="410"/>
    <cellStyle name="Text Level 4" xfId="411"/>
    <cellStyle name="Texte explicatif 2" xfId="412"/>
    <cellStyle name="Titles" xfId="413"/>
    <cellStyle name="Titre 2" xfId="414"/>
    <cellStyle name="Titre 1 2" xfId="415"/>
    <cellStyle name="Titre 2 2" xfId="416"/>
    <cellStyle name="Titre 3 2" xfId="417"/>
    <cellStyle name="Titre 4 2" xfId="418"/>
    <cellStyle name="Top_Double_Bottom" xfId="419"/>
    <cellStyle name="Total 2" xfId="420"/>
    <cellStyle name="UNDERRUBRIK" xfId="421"/>
    <cellStyle name="Vérification 2" xfId="422"/>
    <cellStyle name="Year" xfId="423"/>
    <cellStyle name="zoe" xfId="424"/>
    <cellStyle name="常规_Sheet1_Sub-consolidation Scope 2008 12 SX432 Lanzhou" xfId="425"/>
  </cellStyles>
  <dxfs count="0"/>
  <tableStyles count="0" defaultTableStyle="TableStyleMedium2" defaultPivotStyle="PivotStyleLight16"/>
  <colors>
    <mruColors>
      <color rgb="FFFFFF99"/>
      <color rgb="FF3391AA"/>
      <color rgb="FFB5E3E9"/>
      <color rgb="FF8FD4DD"/>
      <color rgb="FF49B8C7"/>
      <color rgb="FF3CADAA"/>
      <color rgb="FFF2B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673100</xdr:colOff>
      <xdr:row>22</xdr:row>
      <xdr:rowOff>50800</xdr:rowOff>
    </xdr:from>
    <xdr:to>
      <xdr:col>2</xdr:col>
      <xdr:colOff>958850</xdr:colOff>
      <xdr:row>48</xdr:row>
      <xdr:rowOff>98425</xdr:rowOff>
    </xdr:to>
    <xdr:pic>
      <xdr:nvPicPr>
        <xdr:cNvPr id="3" name="Imag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2813050"/>
          <a:ext cx="1085850" cy="475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40</xdr:row>
          <xdr:rowOff>76200</xdr:rowOff>
        </xdr:from>
        <xdr:to>
          <xdr:col>6</xdr:col>
          <xdr:colOff>1000125</xdr:colOff>
          <xdr:row>43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96341</xdr:colOff>
      <xdr:row>16</xdr:row>
      <xdr:rowOff>152400</xdr:rowOff>
    </xdr:from>
    <xdr:to>
      <xdr:col>2</xdr:col>
      <xdr:colOff>1142591</xdr:colOff>
      <xdr:row>20</xdr:row>
      <xdr:rowOff>25400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8591" y="152400"/>
          <a:ext cx="18971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166687</xdr:colOff>
      <xdr:row>7</xdr:row>
      <xdr:rowOff>140606</xdr:rowOff>
    </xdr:from>
    <xdr:to>
      <xdr:col>4</xdr:col>
      <xdr:colOff>1858509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" y="1386794"/>
          <a:ext cx="1969633" cy="7067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1905000</xdr:colOff>
          <xdr:row>12</xdr:row>
          <xdr:rowOff>9525</xdr:rowOff>
        </xdr:from>
        <xdr:to>
          <xdr:col>4</xdr:col>
          <xdr:colOff>3228975</xdr:colOff>
          <xdr:row>14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Retreive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3581400</xdr:colOff>
          <xdr:row>11</xdr:row>
          <xdr:rowOff>161925</xdr:rowOff>
        </xdr:from>
        <xdr:to>
          <xdr:col>4</xdr:col>
          <xdr:colOff>4914900</xdr:colOff>
          <xdr:row>14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9525</xdr:rowOff>
        </xdr:from>
        <xdr:to>
          <xdr:col>4</xdr:col>
          <xdr:colOff>1209675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2</xdr:col>
      <xdr:colOff>2120446</xdr:colOff>
      <xdr:row>10</xdr:row>
      <xdr:rowOff>307576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9525</xdr:rowOff>
        </xdr:from>
        <xdr:to>
          <xdr:col>4</xdr:col>
          <xdr:colOff>1209675</xdr:colOff>
          <xdr:row>14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4</xdr:col>
      <xdr:colOff>1763258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9525</xdr:rowOff>
        </xdr:from>
        <xdr:to>
          <xdr:col>4</xdr:col>
          <xdr:colOff>1228725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3607"/>
          <a:ext cx="1969633" cy="708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H40"/>
  <sheetViews>
    <sheetView showGridLines="0" tabSelected="1" topLeftCell="A17" zoomScaleNormal="100" workbookViewId="0">
      <selection activeCell="D18" sqref="D18:H20"/>
    </sheetView>
  </sheetViews>
  <sheetFormatPr baseColWidth="10" defaultColWidth="11.42578125" defaultRowHeight="15"/>
  <cols>
    <col min="1" max="1" width="3.140625" customWidth="1"/>
    <col min="3" max="3" width="30.42578125" bestFit="1" customWidth="1"/>
    <col min="4" max="4" width="24" customWidth="1"/>
    <col min="5" max="5" width="2.7109375" customWidth="1"/>
    <col min="6" max="6" width="24.7109375" customWidth="1"/>
    <col min="7" max="7" width="17" customWidth="1"/>
  </cols>
  <sheetData>
    <row r="1" spans="3:4" hidden="1">
      <c r="C1" s="62" t="s">
        <v>110</v>
      </c>
      <c r="D1" s="62"/>
    </row>
    <row r="2" spans="3:4" hidden="1">
      <c r="C2" s="64" t="s">
        <v>381</v>
      </c>
      <c r="D2" s="63" t="str">
        <f ca="1">_xll.DBRW("tango_core_model:z_Admin_Param","SERVER_NAME","STR_VAR1")</f>
        <v>FRSAPP021296</v>
      </c>
    </row>
    <row r="3" spans="3:4" hidden="1">
      <c r="C3" s="64" t="s">
        <v>111</v>
      </c>
      <c r="D3" s="63" t="s">
        <v>113</v>
      </c>
    </row>
    <row r="4" spans="3:4" hidden="1">
      <c r="C4" s="64" t="s">
        <v>112</v>
      </c>
      <c r="D4" s="63" t="s">
        <v>364</v>
      </c>
    </row>
    <row r="5" spans="3:4" hidden="1">
      <c r="C5" s="64" t="s">
        <v>114</v>
      </c>
      <c r="D5" s="63" t="str">
        <f ca="1">_xll.DBR(Server&amp;"z_Admin_Param","MONTH_ACTUAL", "STR_VAR1")</f>
        <v>2023.05</v>
      </c>
    </row>
    <row r="6" spans="3:4" hidden="1">
      <c r="C6" s="64" t="s">
        <v>122</v>
      </c>
      <c r="D6" s="63" t="str">
        <f ca="1">D5&amp;"_YTD"</f>
        <v>2023.05_YTD</v>
      </c>
    </row>
    <row r="7" spans="3:4" hidden="1">
      <c r="C7" s="64" t="s">
        <v>115</v>
      </c>
      <c r="D7" s="63" t="str">
        <f ca="1">_xll.DBR(Server&amp;"z_Admin_Param","YEAR_ACTUAL", "STR_VAR1")</f>
        <v>2023</v>
      </c>
    </row>
    <row r="8" spans="3:4" hidden="1">
      <c r="C8" s="67" t="s">
        <v>116</v>
      </c>
      <c r="D8" s="63" t="str">
        <f ca="1">_xll.DBR(Server&amp;"z_Client_Properties","Default_Management_Organization",_xll.TM1USER("tango_core_model"))</f>
        <v>NETH</v>
      </c>
    </row>
    <row r="9" spans="3:4" hidden="1">
      <c r="C9" s="67" t="s">
        <v>117</v>
      </c>
      <c r="D9" s="63" t="str">
        <f ca="1">LEFT($G$31,4)</f>
        <v>2023</v>
      </c>
    </row>
    <row r="10" spans="3:4" hidden="1">
      <c r="C10" s="67" t="s">
        <v>118</v>
      </c>
      <c r="D10" s="68">
        <f ca="1">z_Year_Selected-1</f>
        <v>2022</v>
      </c>
    </row>
    <row r="11" spans="3:4" hidden="1">
      <c r="C11" s="67" t="s">
        <v>121</v>
      </c>
      <c r="D11" s="68" t="str">
        <f ca="1">_xll.DBR(Server&amp;"}ElementAttributes_Period",Current_Period_YTD, "Prior Year")</f>
        <v>2022.05_YTD</v>
      </c>
    </row>
    <row r="12" spans="3:4" hidden="1">
      <c r="C12" s="67" t="s">
        <v>119</v>
      </c>
      <c r="D12" s="63" t="str">
        <f ca="1">_xll.DBR(Server&amp;"z_admin_param","TYPE_PHASE","STR_VAR1")</f>
        <v>Budget</v>
      </c>
    </row>
    <row r="13" spans="3:4" hidden="1">
      <c r="C13" s="67" t="s">
        <v>120</v>
      </c>
      <c r="D13" s="63" t="str">
        <f ca="1">IF($D$12="BUDGET","BUDG_VC_TOT",IF($D$12="Forecast1","FC_1_VC_TOT","FC_2_VC_TOT"))</f>
        <v>BUDG_VC_TOT</v>
      </c>
    </row>
    <row r="14" spans="3:4" hidden="1">
      <c r="C14" s="67" t="s">
        <v>123</v>
      </c>
      <c r="D14" s="63" t="str">
        <f ca="1">_xll.DBRW(Server&amp;"z_Admin_Param","YEAR_BUDGET_FORECAST", "STR_VAR1")</f>
        <v>2023</v>
      </c>
    </row>
    <row r="15" spans="3:4" hidden="1">
      <c r="C15" s="67" t="s">
        <v>382</v>
      </c>
      <c r="D15" s="63" t="str">
        <f ca="1">_xll.DBRW(Server&amp;"}ElementAttributes_Legal_Organization",z_Legal_Entity,"Source_entity")</f>
        <v/>
      </c>
    </row>
    <row r="16" spans="3:4" hidden="1">
      <c r="C16" s="67" t="s">
        <v>370</v>
      </c>
      <c r="D16" s="63" t="str">
        <f ca="1">_xll.DBR(Server&amp;"z_Client_Properties","Default_Legal_Organization",_xll.TM1USER("tango_core_model"))</f>
        <v>NETH</v>
      </c>
    </row>
    <row r="17" spans="2:8">
      <c r="C17" s="70"/>
      <c r="D17" s="71"/>
    </row>
    <row r="18" spans="2:8" ht="15" customHeight="1">
      <c r="B18" s="90"/>
      <c r="C18" s="91"/>
      <c r="D18" s="137" t="str">
        <f ca="1">"Reporting Europe "&amp;_xll.DBRA(Server&amp;"Management_Organization",$F$28,"English")&amp;", "&amp;$G$31</f>
        <v>Reporting Europe The Netherlands, 2023.05_YTD</v>
      </c>
      <c r="E18" s="137"/>
      <c r="F18" s="137"/>
      <c r="G18" s="137"/>
      <c r="H18" s="137"/>
    </row>
    <row r="19" spans="2:8" ht="15" customHeight="1">
      <c r="B19" s="90"/>
      <c r="C19" s="91"/>
      <c r="D19" s="137"/>
      <c r="E19" s="137"/>
      <c r="F19" s="137"/>
      <c r="G19" s="137"/>
      <c r="H19" s="137"/>
    </row>
    <row r="20" spans="2:8" ht="15" customHeight="1">
      <c r="B20" s="90"/>
      <c r="C20" s="91"/>
      <c r="D20" s="137"/>
      <c r="E20" s="137"/>
      <c r="F20" s="137"/>
      <c r="G20" s="137"/>
      <c r="H20" s="137"/>
    </row>
    <row r="21" spans="2:8">
      <c r="B21" s="46"/>
      <c r="C21" s="46"/>
      <c r="D21" s="46"/>
      <c r="E21" s="46"/>
      <c r="F21" s="46"/>
      <c r="G21" s="46"/>
      <c r="H21" s="46"/>
    </row>
    <row r="22" spans="2:8">
      <c r="B22" s="46"/>
      <c r="C22" s="46"/>
      <c r="D22" s="46"/>
      <c r="E22" s="46"/>
      <c r="F22" s="46"/>
      <c r="G22" s="46"/>
      <c r="H22" s="46"/>
    </row>
    <row r="24" spans="2:8" ht="18.75">
      <c r="D24" s="47" t="s">
        <v>0</v>
      </c>
    </row>
    <row r="25" spans="2:8">
      <c r="D25" s="49"/>
    </row>
    <row r="26" spans="2:8">
      <c r="F26" s="88"/>
    </row>
    <row r="27" spans="2:8">
      <c r="F27" s="88"/>
      <c r="G27" s="89"/>
    </row>
    <row r="28" spans="2:8">
      <c r="D28" s="49" t="s">
        <v>367</v>
      </c>
      <c r="F28" s="136" t="str">
        <f ca="1">_xll.SUBNM(Server&amp;"Legal_Organization","",Default_Legal_Organization)</f>
        <v>NETH</v>
      </c>
      <c r="G28" s="66"/>
      <c r="H28" s="120"/>
    </row>
    <row r="29" spans="2:8">
      <c r="D29" s="49" t="s">
        <v>1</v>
      </c>
      <c r="F29" s="100" t="str">
        <f ca="1">_xll.SUBNM(Server&amp;"Management_Organization","",Default_Legal_Organization)</f>
        <v>NETH</v>
      </c>
      <c r="G29" s="66"/>
      <c r="H29" s="120"/>
    </row>
    <row r="30" spans="2:8">
      <c r="D30" s="48"/>
      <c r="F30" s="46"/>
      <c r="G30" s="46"/>
    </row>
    <row r="31" spans="2:8">
      <c r="D31" s="49" t="s">
        <v>2</v>
      </c>
      <c r="F31" s="84" t="str">
        <f ca="1">_xll.SUBNM(Server&amp;"Phase","Default","ACT")</f>
        <v>ACT</v>
      </c>
      <c r="G31" s="94" t="str">
        <f ca="1">_xll.SUBNM(Server&amp;"Period",z_Current_Year&amp;"_YTD",Current_Period_YTD)</f>
        <v>2023.05_YTD</v>
      </c>
    </row>
    <row r="32" spans="2:8">
      <c r="D32" s="48"/>
      <c r="F32" s="46"/>
      <c r="G32" s="46"/>
    </row>
    <row r="33" spans="4:7">
      <c r="D33" s="49" t="s">
        <v>3</v>
      </c>
      <c r="F33" s="84" t="str">
        <f ca="1">_xll.SUBNM(Server&amp;"Phase","Default","ACT")</f>
        <v>ACT</v>
      </c>
      <c r="G33" s="84" t="str">
        <f ca="1">_xll.SUBNM(Server&amp;"Period",z_Year_N_1&amp;"_YTD",z_Current_Period_N_1)</f>
        <v>2022.05_YTD</v>
      </c>
    </row>
    <row r="34" spans="4:7">
      <c r="D34" s="49" t="s">
        <v>4</v>
      </c>
      <c r="F34" s="84" t="str">
        <f ca="1">_xll.SUBNM(Server&amp;"Phase","default","BUDG_VC")</f>
        <v>BUDG_VC</v>
      </c>
      <c r="G34" s="94" t="str">
        <f ca="1">_xll.SUBNM(Server&amp;"Period","ACTUAL_YTD",Current_Period_YTD)</f>
        <v>2023.05_YTD</v>
      </c>
    </row>
    <row r="36" spans="4:7">
      <c r="D36" s="49" t="s">
        <v>5</v>
      </c>
      <c r="F36" s="84" t="str">
        <f ca="1">_xll.SUBNM(Server&amp;"Currency","","LCL")</f>
        <v>LCL</v>
      </c>
      <c r="G36" s="121" t="str">
        <f ca="1">IF(F36&lt;&gt;"LCL","You need to select LCL to save updated data","")</f>
        <v/>
      </c>
    </row>
    <row r="37" spans="4:7">
      <c r="D37" s="49" t="s">
        <v>9</v>
      </c>
      <c r="F37" s="100" t="str">
        <f ca="1">_xll.SUBNM(Server&amp;"Gaap","","Local_Gaap_Mgmt_tool")</f>
        <v>Local_Gaap_Mgmt_tool</v>
      </c>
      <c r="G37" s="121"/>
    </row>
    <row r="40" spans="4:7" ht="18.75">
      <c r="D40" s="47" t="s">
        <v>6</v>
      </c>
    </row>
  </sheetData>
  <sheetProtection password="D70F" sheet="1" objects="1" scenarios="1"/>
  <protectedRanges>
    <protectedRange sqref="F28 F29 F31 G31 F33 F34 G34 G33 F36 F37" name="Contexte"/>
  </protectedRanges>
  <mergeCells count="1">
    <mergeCell ref="D18:H20"/>
  </mergeCells>
  <dataValidations count="1">
    <dataValidation allowBlank="1" showInputMessage="1" showErrorMessage="1" error="La valeur entrée n'est pas valide._x000a_Un utilisateur dispose de valeurs restreintes pouvant être entrées dans cette cellule." sqref="D12:D18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">
                <anchor moveWithCells="1" sizeWithCells="1">
                  <from>
                    <xdr:col>5</xdr:col>
                    <xdr:colOff>104775</xdr:colOff>
                    <xdr:row>40</xdr:row>
                    <xdr:rowOff>76200</xdr:rowOff>
                  </from>
                  <to>
                    <xdr:col>6</xdr:col>
                    <xdr:colOff>1000125</xdr:colOff>
                    <xdr:row>43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3391AA"/>
    <pageSetUpPr fitToPage="1"/>
  </sheetPr>
  <dimension ref="A1:S73"/>
  <sheetViews>
    <sheetView showGridLines="0" zoomScale="90" zoomScaleNormal="90" workbookViewId="0">
      <pane xSplit="5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/>
    </sheetView>
  </sheetViews>
  <sheetFormatPr baseColWidth="10" defaultColWidth="11.42578125" defaultRowHeight="14.25" outlineLevelRow="1" outlineLevelCol="1"/>
  <cols>
    <col min="1" max="1" width="40.5703125" style="1" hidden="1" customWidth="1"/>
    <col min="2" max="2" width="2.85546875" style="1" customWidth="1"/>
    <col min="3" max="3" width="35.5703125" style="1" hidden="1" customWidth="1"/>
    <col min="4" max="4" width="1.42578125" style="1" customWidth="1"/>
    <col min="5" max="5" width="125.140625" style="1" customWidth="1"/>
    <col min="6" max="18" width="17.85546875" style="2" customWidth="1" outlineLevel="1"/>
    <col min="19" max="19" width="8.5703125" style="2" bestFit="1" customWidth="1"/>
    <col min="20" max="16384" width="11.42578125" style="1"/>
  </cols>
  <sheetData>
    <row r="1" spans="1:19" hidden="1">
      <c r="A1" s="1" t="s">
        <v>7</v>
      </c>
      <c r="C1" s="1" t="str">
        <f ca="1">_xll.VIEW("tango_core_model:RP_PL",$C$2,$C$3,$C$4,$C$6,$C$5,$C$7,"!","!","!")</f>
        <v>tango_core_model:RP_PL</v>
      </c>
      <c r="F1" s="4" t="str">
        <f ca="1">Context!G31</f>
        <v>2023.05_YTD</v>
      </c>
      <c r="G1" s="4" t="str">
        <f ca="1">z_Current_Year&amp;".01_YTD"</f>
        <v>2023.01_YTD</v>
      </c>
      <c r="H1" s="4" t="str">
        <f ca="1">z_Current_Year&amp;".02_YTD"</f>
        <v>2023.02_YTD</v>
      </c>
      <c r="I1" s="4" t="str">
        <f ca="1">z_Current_Year&amp;".03_YTD"</f>
        <v>2023.03_YTD</v>
      </c>
      <c r="J1" s="4" t="str">
        <f ca="1">z_Current_Year&amp;".04_YTD"</f>
        <v>2023.04_YTD</v>
      </c>
      <c r="K1" s="4" t="str">
        <f ca="1">z_Current_Year&amp;".05_YTD"</f>
        <v>2023.05_YTD</v>
      </c>
      <c r="L1" s="4" t="str">
        <f ca="1">z_Current_Year&amp;".06_YTD"</f>
        <v>2023.06_YTD</v>
      </c>
      <c r="M1" s="4" t="str">
        <f ca="1">z_Current_Year&amp;".07_YTD"</f>
        <v>2023.07_YTD</v>
      </c>
      <c r="N1" s="4" t="str">
        <f ca="1">z_Current_Year&amp;".08_YTD"</f>
        <v>2023.08_YTD</v>
      </c>
      <c r="O1" s="4" t="str">
        <f ca="1">z_Current_Year&amp;".09_YTD"</f>
        <v>2023.09_YTD</v>
      </c>
      <c r="P1" s="4" t="str">
        <f ca="1">z_Current_Year&amp;".10_YTD"</f>
        <v>2023.10_YTD</v>
      </c>
      <c r="Q1" s="4" t="str">
        <f ca="1">z_Current_Year&amp;".11_YTD"</f>
        <v>2023.11_YTD</v>
      </c>
      <c r="R1" s="4" t="str">
        <f ca="1">z_Current_Year&amp;".12_YTD"</f>
        <v>2023.12_YTD</v>
      </c>
      <c r="S1" s="4" t="str">
        <f ca="1">z_Current_Year</f>
        <v>2023</v>
      </c>
    </row>
    <row r="2" spans="1:19" hidden="1">
      <c r="A2" s="3" t="s">
        <v>8</v>
      </c>
      <c r="B2" s="3"/>
      <c r="C2" s="1" t="str">
        <f ca="1">IF(_xll.DBRW(Server&amp;"}ElementAttributes_Management_Organization",z_UM_Selected,"Sub_activity")="","Tot_act",_xll.DBRW(Server&amp;"}ElementAttributes_Management_Organization",z_UM_Selected,"Sub_activity"))</f>
        <v>Tot_act</v>
      </c>
      <c r="F2" s="4" t="str">
        <f ca="1"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 hidden="1">
      <c r="A3" s="3" t="s">
        <v>5</v>
      </c>
      <c r="B3" s="3"/>
      <c r="C3" s="1" t="str">
        <f ca="1">Context!F36</f>
        <v>LCL</v>
      </c>
    </row>
    <row r="4" spans="1:19" hidden="1">
      <c r="A4" s="3" t="s">
        <v>9</v>
      </c>
      <c r="B4" s="3"/>
      <c r="C4" s="1" t="str">
        <f ca="1">IF(Flag_Send_Data="Restit",Context!F37,"Local_Gaap_Mgmt_tool")</f>
        <v>Local_Gaap_Mgmt_tool</v>
      </c>
      <c r="E4" s="2" t="s">
        <v>378</v>
      </c>
    </row>
    <row r="5" spans="1:19" hidden="1">
      <c r="A5" s="3" t="s">
        <v>10</v>
      </c>
      <c r="B5" s="3"/>
      <c r="C5" s="1" t="str">
        <f ca="1">z_Legal_Entity</f>
        <v>NETH</v>
      </c>
      <c r="E5" s="1" t="str">
        <f ca="1">_xll.DBRW(Server&amp;"}ElementAttributes_Legal_Organization",z_Legal_Entity,"Source_entity")</f>
        <v/>
      </c>
    </row>
    <row r="6" spans="1:19" hidden="1">
      <c r="A6" s="3" t="s">
        <v>11</v>
      </c>
      <c r="B6" s="3"/>
      <c r="C6" s="1" t="s">
        <v>385</v>
      </c>
    </row>
    <row r="7" spans="1:19" hidden="1">
      <c r="A7" s="3" t="s">
        <v>12</v>
      </c>
      <c r="B7" s="3"/>
      <c r="C7" s="1" t="str">
        <f ca="1">Context!F29</f>
        <v>NETH</v>
      </c>
    </row>
    <row r="8" spans="1:19">
      <c r="A8" s="3"/>
      <c r="B8" s="3"/>
    </row>
    <row r="9" spans="1:19" ht="14.45" customHeight="1">
      <c r="A9" s="3"/>
      <c r="B9" s="3"/>
      <c r="C9" s="92"/>
      <c r="D9" s="93"/>
      <c r="E9" s="140" t="str">
        <f ca="1">"Reporting Europe "&amp;Context!F28&amp;", "&amp;Context!$G$31</f>
        <v>Reporting Europe NETH, 2023.05_YTD</v>
      </c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</row>
    <row r="10" spans="1:19" ht="14.45" customHeight="1">
      <c r="A10" s="3"/>
      <c r="B10" s="3"/>
      <c r="C10" s="92"/>
      <c r="D10" s="93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</row>
    <row r="11" spans="1:19" ht="25.5" customHeight="1">
      <c r="C11" s="92"/>
      <c r="D11" s="93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</row>
    <row r="12" spans="1:19">
      <c r="A12" s="3"/>
      <c r="B12" s="3"/>
      <c r="E12" s="118">
        <f ca="1">NOW()</f>
        <v>45103.703838425929</v>
      </c>
    </row>
    <row r="17" spans="1:19" ht="15.75">
      <c r="E17" s="138" t="str">
        <f ca="1">C7</f>
        <v>NETH</v>
      </c>
      <c r="F17" s="59" t="str">
        <f t="shared" ref="F17:G17" ca="1" si="0">IF(F2="ACT","ACTUAL","BUDGET")</f>
        <v>ACTUAL</v>
      </c>
      <c r="G17" s="59" t="str">
        <f t="shared" ca="1" si="0"/>
        <v>BUDGET</v>
      </c>
      <c r="H17" s="59" t="str">
        <f t="shared" ref="H17:S17" ca="1" si="1">IF(H2="ACT","ACTUAL","BUDGET")</f>
        <v>BUDGET</v>
      </c>
      <c r="I17" s="59" t="str">
        <f t="shared" ca="1" si="1"/>
        <v>BUDGET</v>
      </c>
      <c r="J17" s="59" t="str">
        <f t="shared" ca="1" si="1"/>
        <v>BUDGET</v>
      </c>
      <c r="K17" s="59" t="str">
        <f t="shared" ca="1" si="1"/>
        <v>BUDGET</v>
      </c>
      <c r="L17" s="59" t="str">
        <f t="shared" ca="1" si="1"/>
        <v>BUDGET</v>
      </c>
      <c r="M17" s="59" t="str">
        <f t="shared" ca="1" si="1"/>
        <v>BUDGET</v>
      </c>
      <c r="N17" s="59" t="str">
        <f t="shared" ca="1" si="1"/>
        <v>BUDGET</v>
      </c>
      <c r="O17" s="59" t="str">
        <f t="shared" ca="1" si="1"/>
        <v>BUDGET</v>
      </c>
      <c r="P17" s="59" t="str">
        <f t="shared" ca="1" si="1"/>
        <v>BUDGET</v>
      </c>
      <c r="Q17" s="59" t="str">
        <f t="shared" ca="1" si="1"/>
        <v>BUDGET</v>
      </c>
      <c r="R17" s="59" t="str">
        <f t="shared" ca="1" si="1"/>
        <v>BUDGET</v>
      </c>
      <c r="S17" s="59" t="str">
        <f t="shared" ca="1" si="1"/>
        <v>ACTUAL</v>
      </c>
    </row>
    <row r="18" spans="1:19" ht="15.75">
      <c r="E18" s="139"/>
      <c r="F18" s="60" t="str">
        <f t="shared" ref="F18:G18" ca="1" si="2">F1</f>
        <v>2023.05_YTD</v>
      </c>
      <c r="G18" s="60" t="str">
        <f t="shared" ca="1" si="2"/>
        <v>2023.01_YTD</v>
      </c>
      <c r="H18" s="60" t="str">
        <f t="shared" ref="H18:S18" ca="1" si="3">H1</f>
        <v>2023.02_YTD</v>
      </c>
      <c r="I18" s="60" t="str">
        <f t="shared" ca="1" si="3"/>
        <v>2023.03_YTD</v>
      </c>
      <c r="J18" s="60" t="str">
        <f t="shared" ca="1" si="3"/>
        <v>2023.04_YTD</v>
      </c>
      <c r="K18" s="60" t="str">
        <f t="shared" ca="1" si="3"/>
        <v>2023.05_YTD</v>
      </c>
      <c r="L18" s="60" t="str">
        <f t="shared" ca="1" si="3"/>
        <v>2023.06_YTD</v>
      </c>
      <c r="M18" s="60" t="str">
        <f t="shared" ca="1" si="3"/>
        <v>2023.07_YTD</v>
      </c>
      <c r="N18" s="60" t="str">
        <f t="shared" ca="1" si="3"/>
        <v>2023.08_YTD</v>
      </c>
      <c r="O18" s="60" t="str">
        <f t="shared" ca="1" si="3"/>
        <v>2023.09_YTD</v>
      </c>
      <c r="P18" s="60" t="str">
        <f t="shared" ca="1" si="3"/>
        <v>2023.10_YTD</v>
      </c>
      <c r="Q18" s="60" t="str">
        <f t="shared" ca="1" si="3"/>
        <v>2023.11_YTD</v>
      </c>
      <c r="R18" s="60" t="str">
        <f t="shared" ca="1" si="3"/>
        <v>2023.12_YTD</v>
      </c>
      <c r="S18" s="60" t="str">
        <f t="shared" ca="1" si="3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5.75" outlineLevel="1">
      <c r="A20" s="1" t="s">
        <v>333</v>
      </c>
      <c r="E20" s="9" t="str">
        <f ca="1">_xll.DBRW(Server&amp;"}ElementAttributes_Indicator",A20,"code_English")</f>
        <v>Tot_km - Total KM self driven</v>
      </c>
      <c r="F20" s="119">
        <v>636268</v>
      </c>
      <c r="G20" s="119">
        <v>168417</v>
      </c>
      <c r="H20" s="119">
        <v>324957</v>
      </c>
      <c r="I20" s="119">
        <v>491458</v>
      </c>
      <c r="J20" s="119">
        <v>632924</v>
      </c>
      <c r="K20" s="119">
        <v>804731</v>
      </c>
      <c r="L20" s="119">
        <v>966929</v>
      </c>
      <c r="M20" s="119">
        <v>1113205</v>
      </c>
      <c r="N20" s="119">
        <v>1244053</v>
      </c>
      <c r="O20" s="119">
        <v>1405243</v>
      </c>
      <c r="P20" s="119">
        <v>1577050</v>
      </c>
      <c r="Q20" s="119">
        <v>1740256</v>
      </c>
      <c r="R20" s="119">
        <v>1911055</v>
      </c>
      <c r="S20" s="32" t="str">
        <f ca="1">_xll.DBRW($C$1,$C$2,$C$3,$C$4,$C$6,$C$5,$C$7,S$1,S$2,$A20)</f>
        <v>*KEY_ERR</v>
      </c>
    </row>
    <row r="21" spans="1:19" ht="15.75" outlineLevel="1">
      <c r="A21" s="74" t="s">
        <v>342</v>
      </c>
      <c r="B21" s="74"/>
      <c r="E21" s="9" t="str">
        <f ca="1">_xll.DBRW(Server&amp;"}ElementAttributes_Indicator",A21,"code_English")</f>
        <v>Tot_km_bus_coach - Total KM driven by buses/coaches</v>
      </c>
      <c r="F21" s="119">
        <v>0</v>
      </c>
      <c r="G21" s="119">
        <v>0</v>
      </c>
      <c r="H21" s="119">
        <v>0</v>
      </c>
      <c r="I21" s="119">
        <v>0</v>
      </c>
      <c r="J21" s="119">
        <v>0</v>
      </c>
      <c r="K21" s="119">
        <v>0</v>
      </c>
      <c r="L21" s="119">
        <v>0</v>
      </c>
      <c r="M21" s="119">
        <v>0</v>
      </c>
      <c r="N21" s="119">
        <v>0</v>
      </c>
      <c r="O21" s="119">
        <v>0</v>
      </c>
      <c r="P21" s="119">
        <v>0</v>
      </c>
      <c r="Q21" s="119">
        <v>0</v>
      </c>
      <c r="R21" s="119">
        <v>0</v>
      </c>
      <c r="S21" s="32" t="str">
        <f ca="1">_xll.DBRW($C$1,$C$2,$C$3,$C$4,$C$6,$C$5,$C$7,S$1,S$2,$A21)</f>
        <v>*KEY_ERR</v>
      </c>
    </row>
    <row r="22" spans="1:19" ht="15.75" outlineLevel="1">
      <c r="A22" s="74" t="s">
        <v>343</v>
      </c>
      <c r="B22" s="74"/>
      <c r="E22" s="9" t="str">
        <f ca="1">_xll.DBRW(Server&amp;"}ElementAttributes_Indicator",A22,"code_English")</f>
        <v>Tot_km_light_vehicle - Total KM driven by light vehicles</v>
      </c>
      <c r="F22" s="119">
        <v>0</v>
      </c>
      <c r="G22" s="119">
        <v>0</v>
      </c>
      <c r="H22" s="119">
        <v>0</v>
      </c>
      <c r="I22" s="119">
        <v>0</v>
      </c>
      <c r="J22" s="119">
        <v>0</v>
      </c>
      <c r="K22" s="119">
        <v>0</v>
      </c>
      <c r="L22" s="119">
        <v>0</v>
      </c>
      <c r="M22" s="119">
        <v>0</v>
      </c>
      <c r="N22" s="119">
        <v>0</v>
      </c>
      <c r="O22" s="119">
        <v>0</v>
      </c>
      <c r="P22" s="119">
        <v>0</v>
      </c>
      <c r="Q22" s="119">
        <v>0</v>
      </c>
      <c r="R22" s="119">
        <v>0</v>
      </c>
      <c r="S22" s="32" t="str">
        <f ca="1">_xll.DBRW($C$1,$C$2,$C$3,$C$4,$C$6,$C$5,$C$7,S$1,S$2,$A22)</f>
        <v>*KEY_ERR</v>
      </c>
    </row>
    <row r="23" spans="1:19" ht="15.75" outlineLevel="1">
      <c r="A23" s="74" t="s">
        <v>344</v>
      </c>
      <c r="B23" s="74"/>
      <c r="E23" s="9" t="str">
        <f ca="1">_xll.DBRW(Server&amp;"}ElementAttributes_Indicator",A23,"code_English")</f>
        <v>Tot_km_LRV - Total KM driven by LRV</v>
      </c>
      <c r="F23" s="119">
        <v>0</v>
      </c>
      <c r="G23" s="119">
        <v>0</v>
      </c>
      <c r="H23" s="119">
        <v>0</v>
      </c>
      <c r="I23" s="119">
        <v>0</v>
      </c>
      <c r="J23" s="119">
        <v>0</v>
      </c>
      <c r="K23" s="119">
        <v>0</v>
      </c>
      <c r="L23" s="119">
        <v>0</v>
      </c>
      <c r="M23" s="119">
        <v>0</v>
      </c>
      <c r="N23" s="119">
        <v>0</v>
      </c>
      <c r="O23" s="119">
        <v>0</v>
      </c>
      <c r="P23" s="119">
        <v>0</v>
      </c>
      <c r="Q23" s="119">
        <v>0</v>
      </c>
      <c r="R23" s="119">
        <v>0</v>
      </c>
      <c r="S23" s="32" t="str">
        <f ca="1">_xll.DBRW($C$1,$C$2,$C$3,$C$4,$C$6,$C$5,$C$7,S$1,S$2,$A23)</f>
        <v>*KEY_ERR</v>
      </c>
    </row>
    <row r="24" spans="1:19" ht="15.75" outlineLevel="1">
      <c r="A24" s="74" t="s">
        <v>345</v>
      </c>
      <c r="B24" s="74"/>
      <c r="E24" s="9" t="str">
        <f ca="1">_xll.DBRW(Server&amp;"}ElementAttributes_Indicator",A24,"code_English")</f>
        <v>Tot_km_heavy_rail - Total KM driven by heavy rail</v>
      </c>
      <c r="F24" s="119">
        <v>0</v>
      </c>
      <c r="G24" s="119">
        <v>0</v>
      </c>
      <c r="H24" s="119">
        <v>0</v>
      </c>
      <c r="I24" s="119">
        <v>0</v>
      </c>
      <c r="J24" s="119">
        <v>0</v>
      </c>
      <c r="K24" s="119">
        <v>0</v>
      </c>
      <c r="L24" s="119">
        <v>0</v>
      </c>
      <c r="M24" s="119">
        <v>0</v>
      </c>
      <c r="N24" s="119">
        <v>0</v>
      </c>
      <c r="O24" s="119">
        <v>0</v>
      </c>
      <c r="P24" s="119">
        <v>0</v>
      </c>
      <c r="Q24" s="119">
        <v>0</v>
      </c>
      <c r="R24" s="119">
        <v>0</v>
      </c>
      <c r="S24" s="32" t="str">
        <f ca="1">_xll.DBRW($C$1,$C$2,$C$3,$C$4,$C$6,$C$5,$C$7,S$1,S$2,$A24)</f>
        <v>*KEY_ERR</v>
      </c>
    </row>
    <row r="25" spans="1:19" ht="15.75" outlineLevel="1">
      <c r="A25" s="74" t="s">
        <v>346</v>
      </c>
      <c r="B25" s="74"/>
      <c r="E25" s="9" t="str">
        <f ca="1">_xll.DBRW(Server&amp;"}ElementAttributes_Indicator",A25,"code_English")</f>
        <v>Tot_km_BRT - Total KM driven by BRT</v>
      </c>
      <c r="F25" s="119">
        <v>0</v>
      </c>
      <c r="G25" s="119">
        <v>0</v>
      </c>
      <c r="H25" s="119">
        <v>0</v>
      </c>
      <c r="I25" s="119">
        <v>0</v>
      </c>
      <c r="J25" s="119">
        <v>0</v>
      </c>
      <c r="K25" s="119">
        <v>0</v>
      </c>
      <c r="L25" s="119">
        <v>0</v>
      </c>
      <c r="M25" s="119">
        <v>0</v>
      </c>
      <c r="N25" s="119">
        <v>0</v>
      </c>
      <c r="O25" s="119">
        <v>0</v>
      </c>
      <c r="P25" s="119">
        <v>0</v>
      </c>
      <c r="Q25" s="119">
        <v>0</v>
      </c>
      <c r="R25" s="119">
        <v>0</v>
      </c>
      <c r="S25" s="32" t="str">
        <f ca="1">_xll.DBRW($C$1,$C$2,$C$3,$C$4,$C$6,$C$5,$C$7,S$1,S$2,$A25)</f>
        <v>*KEY_ERR</v>
      </c>
    </row>
    <row r="26" spans="1:19" ht="15.75" outlineLevel="1">
      <c r="A26" s="74" t="s">
        <v>347</v>
      </c>
      <c r="B26" s="74"/>
      <c r="E26" s="9" t="str">
        <f ca="1">_xll.DBRW(Server&amp;"}ElementAttributes_Indicator",A26,"code_English")</f>
        <v>Tot_km_ferries - Total KM driven by ferries</v>
      </c>
      <c r="F26" s="119">
        <v>0</v>
      </c>
      <c r="G26" s="119">
        <v>0</v>
      </c>
      <c r="H26" s="119">
        <v>0</v>
      </c>
      <c r="I26" s="119">
        <v>0</v>
      </c>
      <c r="J26" s="119">
        <v>0</v>
      </c>
      <c r="K26" s="119">
        <v>0</v>
      </c>
      <c r="L26" s="119">
        <v>0</v>
      </c>
      <c r="M26" s="119">
        <v>0</v>
      </c>
      <c r="N26" s="119">
        <v>0</v>
      </c>
      <c r="O26" s="119">
        <v>0</v>
      </c>
      <c r="P26" s="119">
        <v>0</v>
      </c>
      <c r="Q26" s="119">
        <v>0</v>
      </c>
      <c r="R26" s="119">
        <v>0</v>
      </c>
      <c r="S26" s="32" t="str">
        <f ca="1">_xll.DBRW($C$1,$C$2,$C$3,$C$4,$C$6,$C$5,$C$7,S$1,S$2,$A26)</f>
        <v>*KEY_ERR</v>
      </c>
    </row>
    <row r="27" spans="1:19" ht="15.75" outlineLevel="1">
      <c r="A27" s="1" t="s">
        <v>74</v>
      </c>
      <c r="E27" s="9" t="str">
        <f ca="1">_xll.DBRW(Server&amp;"}ElementAttributes_Indicator",A27,"code_English")</f>
        <v>Tot_km_fuel - Total KM driven by fuel</v>
      </c>
      <c r="F27" s="119">
        <v>0</v>
      </c>
      <c r="G27" s="119">
        <v>0</v>
      </c>
      <c r="H27" s="119">
        <v>0</v>
      </c>
      <c r="I27" s="119">
        <v>0</v>
      </c>
      <c r="J27" s="119">
        <v>0</v>
      </c>
      <c r="K27" s="119">
        <v>0</v>
      </c>
      <c r="L27" s="119">
        <v>0</v>
      </c>
      <c r="M27" s="119">
        <v>0</v>
      </c>
      <c r="N27" s="119">
        <v>0</v>
      </c>
      <c r="O27" s="119">
        <v>0</v>
      </c>
      <c r="P27" s="119">
        <v>0</v>
      </c>
      <c r="Q27" s="119">
        <v>0</v>
      </c>
      <c r="R27" s="119">
        <v>0</v>
      </c>
      <c r="S27" s="32" t="str">
        <f ca="1">_xll.DBRW($C$1,$C$2,$C$3,$C$4,$C$6,$C$5,$C$7,S$1,S$2,$A27)</f>
        <v>*KEY_ERR</v>
      </c>
    </row>
    <row r="28" spans="1:19" ht="15.75" outlineLevel="1">
      <c r="A28" s="1" t="s">
        <v>75</v>
      </c>
      <c r="E28" s="9" t="str">
        <f ca="1">_xll.DBRW(Server&amp;"}ElementAttributes_Indicator",A28,"code_English")</f>
        <v>Tot_km_biofuel - Total KM driven by biofuel</v>
      </c>
      <c r="F28" s="119">
        <v>0</v>
      </c>
      <c r="G28" s="119">
        <v>0</v>
      </c>
      <c r="H28" s="119">
        <v>0</v>
      </c>
      <c r="I28" s="119">
        <v>0</v>
      </c>
      <c r="J28" s="119">
        <v>0</v>
      </c>
      <c r="K28" s="119">
        <v>0</v>
      </c>
      <c r="L28" s="119">
        <v>0</v>
      </c>
      <c r="M28" s="119">
        <v>0</v>
      </c>
      <c r="N28" s="119">
        <v>0</v>
      </c>
      <c r="O28" s="119">
        <v>0</v>
      </c>
      <c r="P28" s="119">
        <v>0</v>
      </c>
      <c r="Q28" s="119">
        <v>0</v>
      </c>
      <c r="R28" s="119">
        <v>0</v>
      </c>
      <c r="S28" s="32" t="str">
        <f ca="1">_xll.DBRW($C$1,$C$2,$C$3,$C$4,$C$6,$C$5,$C$7,S$1,S$2,$A28)</f>
        <v>*KEY_ERR</v>
      </c>
    </row>
    <row r="29" spans="1:19" ht="15.75" outlineLevel="1">
      <c r="A29" s="1" t="s">
        <v>76</v>
      </c>
      <c r="E29" s="9" t="str">
        <f ca="1">_xll.DBRW(Server&amp;"}ElementAttributes_Indicator",A29,"code_English")</f>
        <v>Tot_km_elec - Total KM driven by electricity</v>
      </c>
      <c r="F29" s="119">
        <v>0</v>
      </c>
      <c r="G29" s="119">
        <v>0</v>
      </c>
      <c r="H29" s="119">
        <v>0</v>
      </c>
      <c r="I29" s="119">
        <v>0</v>
      </c>
      <c r="J29" s="119">
        <v>0</v>
      </c>
      <c r="K29" s="119">
        <v>0</v>
      </c>
      <c r="L29" s="119">
        <v>0</v>
      </c>
      <c r="M29" s="119">
        <v>0</v>
      </c>
      <c r="N29" s="119">
        <v>0</v>
      </c>
      <c r="O29" s="119">
        <v>0</v>
      </c>
      <c r="P29" s="119">
        <v>0</v>
      </c>
      <c r="Q29" s="119">
        <v>0</v>
      </c>
      <c r="R29" s="119">
        <v>0</v>
      </c>
      <c r="S29" s="32" t="str">
        <f ca="1">_xll.DBRW($C$1,$C$2,$C$3,$C$4,$C$6,$C$5,$C$7,S$1,S$2,$A29)</f>
        <v>*KEY_ERR</v>
      </c>
    </row>
    <row r="30" spans="1:19" ht="15.75" outlineLevel="1">
      <c r="A30" s="1" t="s">
        <v>77</v>
      </c>
      <c r="E30" s="9" t="str">
        <f ca="1">_xll.DBRW(Server&amp;"}ElementAttributes_Indicator",A30,"code_English")</f>
        <v>Tot_km_gas - Total KM driven by gas</v>
      </c>
      <c r="F30" s="119">
        <v>0</v>
      </c>
      <c r="G30" s="119">
        <v>0</v>
      </c>
      <c r="H30" s="119">
        <v>0</v>
      </c>
      <c r="I30" s="119">
        <v>0</v>
      </c>
      <c r="J30" s="119">
        <v>0</v>
      </c>
      <c r="K30" s="119">
        <v>0</v>
      </c>
      <c r="L30" s="119">
        <v>0</v>
      </c>
      <c r="M30" s="119">
        <v>0</v>
      </c>
      <c r="N30" s="119">
        <v>0</v>
      </c>
      <c r="O30" s="119">
        <v>0</v>
      </c>
      <c r="P30" s="119">
        <v>0</v>
      </c>
      <c r="Q30" s="119">
        <v>0</v>
      </c>
      <c r="R30" s="119">
        <v>0</v>
      </c>
      <c r="S30" s="32" t="str">
        <f ca="1">_xll.DBRW($C$1,$C$2,$C$3,$C$4,$C$6,$C$5,$C$7,S$1,S$2,$A30)</f>
        <v>*KEY_ERR</v>
      </c>
    </row>
    <row r="31" spans="1:19" ht="15.75" customHeight="1">
      <c r="A31" s="1" t="s">
        <v>127</v>
      </c>
      <c r="C31" s="141" t="s">
        <v>78</v>
      </c>
      <c r="E31" s="17" t="s">
        <v>79</v>
      </c>
      <c r="F31" s="42">
        <f t="shared" ref="F31:S31" ca="1" si="4">F20</f>
        <v>636268</v>
      </c>
      <c r="G31" s="42">
        <f ca="1">G20</f>
        <v>168417</v>
      </c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42" t="str">
        <f t="shared" ca="1" si="4"/>
        <v>*KEY_ERR</v>
      </c>
    </row>
    <row r="32" spans="1:19" ht="15.75" customHeight="1" outlineLevel="1">
      <c r="A32" s="1" t="s">
        <v>334</v>
      </c>
      <c r="C32" s="141"/>
      <c r="E32" s="9" t="str">
        <f ca="1">_xll.DBRW(Server&amp;"}ElementAttributes_Indicator",A32,"code_English")</f>
        <v>Nb_Drivers - Number of drivers</v>
      </c>
      <c r="F32" s="119">
        <v>348</v>
      </c>
      <c r="G32" s="119">
        <v>86</v>
      </c>
      <c r="H32" s="119">
        <v>172</v>
      </c>
      <c r="I32" s="119">
        <v>257</v>
      </c>
      <c r="J32" s="119">
        <v>342</v>
      </c>
      <c r="K32" s="119">
        <v>427</v>
      </c>
      <c r="L32" s="119">
        <v>512</v>
      </c>
      <c r="M32" s="119">
        <v>597</v>
      </c>
      <c r="N32" s="119">
        <v>682</v>
      </c>
      <c r="O32" s="119">
        <v>767</v>
      </c>
      <c r="P32" s="119">
        <v>852</v>
      </c>
      <c r="Q32" s="119">
        <v>937</v>
      </c>
      <c r="R32" s="119">
        <v>1022</v>
      </c>
      <c r="S32" s="32" t="str">
        <f ca="1">_xll.DBRW($C$1,$C$2,$C$3,$C$4,$C$6,$C$5,$C$7,S$1,S$2,$A32)</f>
        <v>*KEY_ERR</v>
      </c>
    </row>
    <row r="33" spans="1:19" ht="15.75" customHeight="1" outlineLevel="1">
      <c r="A33" s="1" t="s">
        <v>335</v>
      </c>
      <c r="C33" s="141"/>
      <c r="E33" s="9" t="str">
        <f ca="1">_xll.DBRW(Server&amp;"}ElementAttributes_Indicator",A33,"code_English")</f>
        <v>Nb_Conductors - Number of conductors</v>
      </c>
      <c r="F33" s="119">
        <v>731</v>
      </c>
      <c r="G33" s="119">
        <v>187</v>
      </c>
      <c r="H33" s="119">
        <v>374</v>
      </c>
      <c r="I33" s="119">
        <v>561</v>
      </c>
      <c r="J33" s="119">
        <v>748</v>
      </c>
      <c r="K33" s="119">
        <v>935</v>
      </c>
      <c r="L33" s="119">
        <v>1122</v>
      </c>
      <c r="M33" s="119">
        <v>1309</v>
      </c>
      <c r="N33" s="119">
        <v>1496</v>
      </c>
      <c r="O33" s="119">
        <v>1683</v>
      </c>
      <c r="P33" s="119">
        <v>1870</v>
      </c>
      <c r="Q33" s="119">
        <v>2057</v>
      </c>
      <c r="R33" s="119">
        <v>2244</v>
      </c>
      <c r="S33" s="32" t="str">
        <f ca="1">_xll.DBRW($C$1,$C$2,$C$3,$C$4,$C$6,$C$5,$C$7,S$1,S$2,$A33)</f>
        <v>*KEY_ERR</v>
      </c>
    </row>
    <row r="34" spans="1:19" ht="15.75" customHeight="1" outlineLevel="1">
      <c r="A34" s="1" t="s">
        <v>348</v>
      </c>
      <c r="C34" s="141"/>
      <c r="E34" s="9" t="str">
        <f ca="1">_xll.DBRW(Server&amp;"}ElementAttributes_Indicator",A34,"code_English")</f>
        <v>Nb_FTE_Drivers - Number of FTE Drivers</v>
      </c>
      <c r="F34" s="119">
        <v>0</v>
      </c>
      <c r="G34" s="119">
        <v>0</v>
      </c>
      <c r="H34" s="119">
        <v>0</v>
      </c>
      <c r="I34" s="119">
        <v>0</v>
      </c>
      <c r="J34" s="119">
        <v>0</v>
      </c>
      <c r="K34" s="119">
        <v>0</v>
      </c>
      <c r="L34" s="119">
        <v>0</v>
      </c>
      <c r="M34" s="119">
        <v>0</v>
      </c>
      <c r="N34" s="119">
        <v>0</v>
      </c>
      <c r="O34" s="119">
        <v>0</v>
      </c>
      <c r="P34" s="119">
        <v>0</v>
      </c>
      <c r="Q34" s="119">
        <v>0</v>
      </c>
      <c r="R34" s="119">
        <v>0</v>
      </c>
      <c r="S34" s="32" t="str">
        <f ca="1">_xll.DBRW($C$1,$C$2,$C$3,$C$4,$C$6,$C$5,$C$7,S$1,S$2,$A34)</f>
        <v>*KEY_ERR</v>
      </c>
    </row>
    <row r="35" spans="1:19" ht="15.75">
      <c r="A35" s="1" t="s">
        <v>127</v>
      </c>
      <c r="C35" s="141"/>
      <c r="E35" s="15" t="s">
        <v>80</v>
      </c>
      <c r="F35" s="44">
        <f t="shared" ref="F35:S35" ca="1" si="5">SUM(F32:F34)</f>
        <v>1079</v>
      </c>
      <c r="G35" s="44">
        <f t="shared" ca="1" si="5"/>
        <v>273</v>
      </c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>
        <f t="shared" ca="1" si="5"/>
        <v>0</v>
      </c>
    </row>
    <row r="36" spans="1:19" ht="15.75" customHeight="1" outlineLevel="1">
      <c r="A36" s="1" t="s">
        <v>336</v>
      </c>
      <c r="C36" s="141"/>
      <c r="E36" s="9" t="str">
        <f ca="1">_xll.DBRW(Server&amp;"}ElementAttributes_Indicator",A36,"code_English")</f>
        <v>Nb_Maintenance_team - Number of Maintenance collaborators</v>
      </c>
      <c r="F36" s="119">
        <v>0</v>
      </c>
      <c r="G36" s="119">
        <v>0</v>
      </c>
      <c r="H36" s="119">
        <v>2312</v>
      </c>
      <c r="I36" s="119">
        <v>0</v>
      </c>
      <c r="J36" s="119">
        <v>0</v>
      </c>
      <c r="K36" s="119">
        <v>0</v>
      </c>
      <c r="L36" s="119">
        <v>0</v>
      </c>
      <c r="M36" s="119">
        <v>0</v>
      </c>
      <c r="N36" s="119">
        <v>0</v>
      </c>
      <c r="O36" s="119">
        <v>0</v>
      </c>
      <c r="P36" s="119">
        <v>0</v>
      </c>
      <c r="Q36" s="119">
        <v>0</v>
      </c>
      <c r="R36" s="119">
        <v>0</v>
      </c>
      <c r="S36" s="32" t="str">
        <f ca="1">_xll.DBRW($C$1,$C$2,$C$3,$C$4,$C$6,$C$5,$C$7,S$1,S$2,$A36)</f>
        <v>*KEY_ERR</v>
      </c>
    </row>
    <row r="37" spans="1:19" ht="15.75" customHeight="1" outlineLevel="1">
      <c r="A37" s="1" t="s">
        <v>349</v>
      </c>
      <c r="C37" s="141"/>
      <c r="E37" s="9" t="str">
        <f ca="1">_xll.DBRW(Server&amp;"}ElementAttributes_Indicator",A37,"code_English")</f>
        <v>Nb_FTE_Maintenance_Technicians - Number of FTE Technicians</v>
      </c>
      <c r="F37" s="119">
        <v>0</v>
      </c>
      <c r="G37" s="119">
        <v>0</v>
      </c>
      <c r="H37" s="119">
        <v>0</v>
      </c>
      <c r="I37" s="119">
        <v>0</v>
      </c>
      <c r="J37" s="119">
        <v>0</v>
      </c>
      <c r="K37" s="119">
        <v>0</v>
      </c>
      <c r="L37" s="119">
        <v>0</v>
      </c>
      <c r="M37" s="119">
        <v>0</v>
      </c>
      <c r="N37" s="119">
        <v>0</v>
      </c>
      <c r="O37" s="119">
        <v>0</v>
      </c>
      <c r="P37" s="119">
        <v>0</v>
      </c>
      <c r="Q37" s="119">
        <v>0</v>
      </c>
      <c r="R37" s="119">
        <v>0</v>
      </c>
      <c r="S37" s="32" t="str">
        <f ca="1">_xll.DBRW($C$1,$C$2,$C$3,$C$4,$C$6,$C$5,$C$7,S$1,S$2,$A37)</f>
        <v>*KEY_ERR</v>
      </c>
    </row>
    <row r="38" spans="1:19" ht="15.75">
      <c r="A38" s="1" t="s">
        <v>127</v>
      </c>
      <c r="C38" s="141"/>
      <c r="E38" s="15" t="s">
        <v>81</v>
      </c>
      <c r="F38" s="44">
        <f t="shared" ref="F38:S38" ca="1" si="6">SUM(F36:F37)</f>
        <v>0</v>
      </c>
      <c r="G38" s="44">
        <f t="shared" ca="1" si="6"/>
        <v>0</v>
      </c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>
        <f t="shared" ca="1" si="6"/>
        <v>0</v>
      </c>
    </row>
    <row r="39" spans="1:19" ht="15.75" customHeight="1" outlineLevel="1">
      <c r="A39" s="1" t="s">
        <v>350</v>
      </c>
      <c r="C39" s="141"/>
      <c r="E39" s="9" t="str">
        <f ca="1">_xll.DBRW(Server&amp;"}ElementAttributes_Indicator",A39,"code_English")</f>
        <v>Nb_FTE_Operations_Others - Number of FTE Other Operation Staff</v>
      </c>
      <c r="F39" s="119">
        <v>0</v>
      </c>
      <c r="G39" s="119">
        <v>0</v>
      </c>
      <c r="H39" s="119">
        <v>0</v>
      </c>
      <c r="I39" s="119">
        <v>0</v>
      </c>
      <c r="J39" s="119">
        <v>0</v>
      </c>
      <c r="K39" s="119">
        <v>0</v>
      </c>
      <c r="L39" s="119">
        <v>0</v>
      </c>
      <c r="M39" s="119">
        <v>0</v>
      </c>
      <c r="N39" s="119">
        <v>0</v>
      </c>
      <c r="O39" s="119">
        <v>0</v>
      </c>
      <c r="P39" s="119">
        <v>0</v>
      </c>
      <c r="Q39" s="119">
        <v>0</v>
      </c>
      <c r="R39" s="119">
        <v>0</v>
      </c>
      <c r="S39" s="32" t="str">
        <f ca="1">_xll.DBRW($C$1,$C$2,$C$3,$C$4,$C$6,$C$5,$C$7,S$1,S$2,$A39)</f>
        <v>*KEY_ERR</v>
      </c>
    </row>
    <row r="40" spans="1:19" ht="15.75">
      <c r="A40" s="1" t="s">
        <v>127</v>
      </c>
      <c r="C40" s="141"/>
      <c r="E40" s="81" t="s">
        <v>82</v>
      </c>
      <c r="F40" s="44">
        <f t="shared" ref="F40:S40" ca="1" si="7">SUM(F39)</f>
        <v>0</v>
      </c>
      <c r="G40" s="44">
        <f t="shared" ca="1" si="7"/>
        <v>0</v>
      </c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>
        <f t="shared" ca="1" si="7"/>
        <v>0</v>
      </c>
    </row>
    <row r="41" spans="1:19" ht="15.75" customHeight="1" outlineLevel="1">
      <c r="A41" s="1" t="s">
        <v>351</v>
      </c>
      <c r="C41" s="141"/>
      <c r="E41" s="9" t="str">
        <f ca="1">_xll.DBRW(Server&amp;"}ElementAttributes_Indicator",A41,"code_English")</f>
        <v>Nb_FTE_Maintenance_Others - Number of FTE Other Maintenance Staff</v>
      </c>
      <c r="F41" s="119">
        <v>0</v>
      </c>
      <c r="G41" s="119">
        <v>0</v>
      </c>
      <c r="H41" s="119">
        <v>0</v>
      </c>
      <c r="I41" s="119">
        <v>0</v>
      </c>
      <c r="J41" s="119">
        <v>0</v>
      </c>
      <c r="K41" s="119">
        <v>0</v>
      </c>
      <c r="L41" s="119">
        <v>0</v>
      </c>
      <c r="M41" s="119">
        <v>0</v>
      </c>
      <c r="N41" s="119">
        <v>0</v>
      </c>
      <c r="O41" s="119">
        <v>0</v>
      </c>
      <c r="P41" s="119">
        <v>0</v>
      </c>
      <c r="Q41" s="119">
        <v>0</v>
      </c>
      <c r="R41" s="119">
        <v>0</v>
      </c>
      <c r="S41" s="32" t="str">
        <f ca="1">_xll.DBRW($C$1,$C$2,$C$3,$C$4,$C$6,$C$5,$C$7,S$1,S$2,$A41)</f>
        <v>*KEY_ERR</v>
      </c>
    </row>
    <row r="42" spans="1:19" ht="15.75">
      <c r="A42" s="1" t="s">
        <v>127</v>
      </c>
      <c r="C42" s="141"/>
      <c r="E42" s="81" t="s">
        <v>83</v>
      </c>
      <c r="F42" s="43">
        <f t="shared" ref="F42:S42" ca="1" si="8">SUM(F41)</f>
        <v>0</v>
      </c>
      <c r="G42" s="43">
        <f t="shared" ca="1" si="8"/>
        <v>0</v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>
        <f t="shared" ca="1" si="8"/>
        <v>0</v>
      </c>
    </row>
    <row r="43" spans="1:19" ht="15.75" customHeight="1" outlineLevel="1">
      <c r="A43" s="1" t="s">
        <v>337</v>
      </c>
      <c r="C43" s="141"/>
      <c r="E43" s="9" t="str">
        <f ca="1">_xll.DBRW(Server&amp;"}ElementAttributes_Indicator",A43,"code_English")</f>
        <v>Nb_FTE - Number of Full Time Equivalent</v>
      </c>
      <c r="F43" s="119">
        <v>0</v>
      </c>
      <c r="G43" s="119">
        <v>0</v>
      </c>
      <c r="H43" s="119">
        <v>0</v>
      </c>
      <c r="I43" s="119">
        <v>0</v>
      </c>
      <c r="J43" s="119">
        <v>0</v>
      </c>
      <c r="K43" s="119">
        <v>0</v>
      </c>
      <c r="L43" s="119">
        <v>0</v>
      </c>
      <c r="M43" s="119">
        <v>0</v>
      </c>
      <c r="N43" s="119">
        <v>0</v>
      </c>
      <c r="O43" s="119">
        <v>0</v>
      </c>
      <c r="P43" s="119">
        <v>0</v>
      </c>
      <c r="Q43" s="119">
        <v>0</v>
      </c>
      <c r="R43" s="119">
        <v>0</v>
      </c>
      <c r="S43" s="32" t="str">
        <f ca="1">_xll.DBRW($C$1,$C$2,$C$3,$C$4,$C$6,$C$5,$C$7,S$1,S$2,$A43)</f>
        <v>*KEY_ERR</v>
      </c>
    </row>
    <row r="44" spans="1:19" ht="15.75">
      <c r="A44" s="1" t="s">
        <v>127</v>
      </c>
      <c r="C44" s="141"/>
      <c r="E44" s="82" t="s">
        <v>84</v>
      </c>
      <c r="F44" s="103">
        <f t="shared" ref="F44:S44" ca="1" si="9">SUM(F43)</f>
        <v>0</v>
      </c>
      <c r="G44" s="103">
        <f t="shared" ca="1" si="9"/>
        <v>0</v>
      </c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>
        <f t="shared" ca="1" si="9"/>
        <v>0</v>
      </c>
    </row>
    <row r="45" spans="1:19" ht="9" customHeight="1">
      <c r="A45" s="1" t="s">
        <v>127</v>
      </c>
      <c r="C45" s="141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1"/>
      <c r="E46" s="9" t="str">
        <f ca="1">_xll.DBRW(Server&amp;"}ElementAttributes_Indicator",A46,"code_English")</f>
        <v>Fuel_consu - Fuel consumed (liters)</v>
      </c>
      <c r="F46" s="119">
        <v>0</v>
      </c>
      <c r="G46" s="119">
        <v>0</v>
      </c>
      <c r="H46" s="119">
        <v>0</v>
      </c>
      <c r="I46" s="119">
        <v>0</v>
      </c>
      <c r="J46" s="119">
        <v>0</v>
      </c>
      <c r="K46" s="119">
        <v>0</v>
      </c>
      <c r="L46" s="119">
        <v>0</v>
      </c>
      <c r="M46" s="119">
        <v>0</v>
      </c>
      <c r="N46" s="119">
        <v>0</v>
      </c>
      <c r="O46" s="119">
        <v>0</v>
      </c>
      <c r="P46" s="119">
        <v>0</v>
      </c>
      <c r="Q46" s="119">
        <v>0</v>
      </c>
      <c r="R46" s="119">
        <v>0</v>
      </c>
      <c r="S46" s="32" t="str">
        <f ca="1">_xll.DBRW($C$1,$C$2,$C$3,$C$4,$C$6,$C$5,$C$7,S$1,S$2,$A46)</f>
        <v>*KEY_ERR</v>
      </c>
    </row>
    <row r="47" spans="1:19" ht="15.75">
      <c r="A47" s="1" t="s">
        <v>127</v>
      </c>
      <c r="C47" s="141"/>
      <c r="E47" s="17" t="s">
        <v>85</v>
      </c>
      <c r="F47" s="42">
        <f t="shared" ref="F47:G47" ca="1" si="10">SUM(F46)</f>
        <v>0</v>
      </c>
      <c r="G47" s="42">
        <f t="shared" ca="1" si="10"/>
        <v>0</v>
      </c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42">
        <f ca="1">SUM(S46)</f>
        <v>0</v>
      </c>
    </row>
    <row r="48" spans="1:19" ht="15.75" customHeight="1" outlineLevel="1">
      <c r="A48" s="1" t="s">
        <v>339</v>
      </c>
      <c r="C48" s="141"/>
      <c r="E48" s="9" t="str">
        <f ca="1">_xll.DBRW(Server&amp;"}ElementAttributes_Indicator",A48,"code_English")</f>
        <v>Biofuel_consu - Biofuel consumed (liters)</v>
      </c>
      <c r="F48" s="119">
        <v>0</v>
      </c>
      <c r="G48" s="119">
        <v>0</v>
      </c>
      <c r="H48" s="119">
        <v>0</v>
      </c>
      <c r="I48" s="119">
        <v>0</v>
      </c>
      <c r="J48" s="119">
        <v>0</v>
      </c>
      <c r="K48" s="119">
        <v>0</v>
      </c>
      <c r="L48" s="119">
        <v>0</v>
      </c>
      <c r="M48" s="119">
        <v>0</v>
      </c>
      <c r="N48" s="119">
        <v>0</v>
      </c>
      <c r="O48" s="119">
        <v>0</v>
      </c>
      <c r="P48" s="119">
        <v>0</v>
      </c>
      <c r="Q48" s="119">
        <v>0</v>
      </c>
      <c r="R48" s="119">
        <v>0</v>
      </c>
      <c r="S48" s="32" t="str">
        <f ca="1">_xll.DBRW($C$1,$C$2,$C$3,$C$4,$C$6,$C$5,$C$7,S$1,S$2,$A48)</f>
        <v>*KEY_ERR</v>
      </c>
    </row>
    <row r="49" spans="1:19" ht="15.75">
      <c r="A49" s="1" t="s">
        <v>127</v>
      </c>
      <c r="C49" s="141"/>
      <c r="E49" s="15" t="s">
        <v>86</v>
      </c>
      <c r="F49" s="44">
        <f t="shared" ref="F49:G49" ca="1" si="11">SUM(F48)</f>
        <v>0</v>
      </c>
      <c r="G49" s="44">
        <f t="shared" ca="1" si="11"/>
        <v>0</v>
      </c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>
        <f ca="1">SUM(S48)</f>
        <v>0</v>
      </c>
    </row>
    <row r="50" spans="1:19" ht="15.75" customHeight="1" outlineLevel="1">
      <c r="A50" s="1" t="s">
        <v>340</v>
      </c>
      <c r="C50" s="141"/>
      <c r="E50" s="9" t="str">
        <f ca="1">_xll.DBRW(Server&amp;"}ElementAttributes_Indicator",A50,"code_English")</f>
        <v>Gas_consu - Gas consumed (kwh)</v>
      </c>
      <c r="F50" s="119">
        <v>0</v>
      </c>
      <c r="G50" s="119">
        <v>0</v>
      </c>
      <c r="H50" s="119">
        <v>0</v>
      </c>
      <c r="I50" s="119">
        <v>0</v>
      </c>
      <c r="J50" s="119">
        <v>0</v>
      </c>
      <c r="K50" s="119">
        <v>0</v>
      </c>
      <c r="L50" s="119">
        <v>0</v>
      </c>
      <c r="M50" s="119">
        <v>0</v>
      </c>
      <c r="N50" s="119">
        <v>0</v>
      </c>
      <c r="O50" s="119">
        <v>0</v>
      </c>
      <c r="P50" s="119">
        <v>0</v>
      </c>
      <c r="Q50" s="119">
        <v>0</v>
      </c>
      <c r="R50" s="119">
        <v>0</v>
      </c>
      <c r="S50" s="32" t="str">
        <f ca="1">_xll.DBRW($C$1,$C$2,$C$3,$C$4,$C$6,$C$5,$C$7,S$1,S$2,$A50)</f>
        <v>*KEY_ERR</v>
      </c>
    </row>
    <row r="51" spans="1:19" ht="15.75">
      <c r="A51" s="1" t="s">
        <v>127</v>
      </c>
      <c r="C51" s="141"/>
      <c r="E51" s="15" t="s">
        <v>87</v>
      </c>
      <c r="F51" s="43">
        <f t="shared" ref="F51:G51" ca="1" si="12">SUM(F50)</f>
        <v>0</v>
      </c>
      <c r="G51" s="43">
        <f t="shared" ca="1" si="12"/>
        <v>0</v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>
        <f ca="1">SUM(S50)</f>
        <v>0</v>
      </c>
    </row>
    <row r="52" spans="1:19" ht="15.75" customHeight="1" outlineLevel="1">
      <c r="A52" s="1" t="s">
        <v>341</v>
      </c>
      <c r="C52" s="141"/>
      <c r="E52" s="9" t="str">
        <f ca="1">_xll.DBRW(Server&amp;"}ElementAttributes_Indicator",A52,"code_English")</f>
        <v>Elec_consu - Electricity consumed (kwh)</v>
      </c>
      <c r="F52" s="119">
        <v>5725360.5879999995</v>
      </c>
      <c r="G52" s="119">
        <v>1721315.9350000001</v>
      </c>
      <c r="H52" s="119">
        <v>3321242.2879999997</v>
      </c>
      <c r="I52" s="119">
        <v>5022975.6310000001</v>
      </c>
      <c r="J52" s="119">
        <v>6468837.273</v>
      </c>
      <c r="K52" s="119">
        <v>8224800.9040000001</v>
      </c>
      <c r="L52" s="119">
        <v>9882555.1809999999</v>
      </c>
      <c r="M52" s="119">
        <v>11377577.710000001</v>
      </c>
      <c r="N52" s="119">
        <v>12714917.460000001</v>
      </c>
      <c r="O52" s="119">
        <v>14362369.41</v>
      </c>
      <c r="P52" s="119">
        <v>16118333.039999999</v>
      </c>
      <c r="Q52" s="119">
        <v>17786389.640000001</v>
      </c>
      <c r="R52" s="119">
        <v>19532050.949999999</v>
      </c>
      <c r="S52" s="32" t="str">
        <f ca="1">_xll.DBRW($C$1,$C$2,$C$3,$C$4,$C$6,$C$5,$C$7,S$1,S$2,$A52)</f>
        <v>*KEY_ERR</v>
      </c>
    </row>
    <row r="53" spans="1:19" ht="15.75">
      <c r="A53" s="1" t="s">
        <v>127</v>
      </c>
      <c r="C53" s="141"/>
      <c r="E53" s="15" t="s">
        <v>88</v>
      </c>
      <c r="F53" s="44">
        <f t="shared" ref="F53:R63" ca="1" si="13">SUM(F52)</f>
        <v>5725360.5879999995</v>
      </c>
      <c r="G53" s="44">
        <f t="shared" ca="1" si="13"/>
        <v>1721315.9350000001</v>
      </c>
      <c r="H53" s="44">
        <f t="shared" ca="1" si="13"/>
        <v>3321242.2879999997</v>
      </c>
      <c r="I53" s="44">
        <f t="shared" ca="1" si="13"/>
        <v>5022975.6310000001</v>
      </c>
      <c r="J53" s="44">
        <f t="shared" ca="1" si="13"/>
        <v>6468837.273</v>
      </c>
      <c r="K53" s="44">
        <f t="shared" ca="1" si="13"/>
        <v>8224800.9040000001</v>
      </c>
      <c r="L53" s="44">
        <f t="shared" ca="1" si="13"/>
        <v>9882555.1809999999</v>
      </c>
      <c r="M53" s="44">
        <f t="shared" ca="1" si="13"/>
        <v>11377577.710000001</v>
      </c>
      <c r="N53" s="44">
        <f t="shared" ca="1" si="13"/>
        <v>12714917.460000001</v>
      </c>
      <c r="O53" s="44">
        <f t="shared" ca="1" si="13"/>
        <v>14362369.41</v>
      </c>
      <c r="P53" s="44">
        <f t="shared" ca="1" si="13"/>
        <v>16118333.039999999</v>
      </c>
      <c r="Q53" s="44">
        <f t="shared" ca="1" si="13"/>
        <v>17786389.640000001</v>
      </c>
      <c r="R53" s="44">
        <f t="shared" ca="1" si="13"/>
        <v>19532050.949999999</v>
      </c>
      <c r="S53" s="44">
        <f ca="1">SUM(S52)</f>
        <v>0</v>
      </c>
    </row>
    <row r="54" spans="1:19" ht="15.6" customHeight="1" outlineLevel="1">
      <c r="A54" s="1" t="s">
        <v>354</v>
      </c>
      <c r="C54" s="141"/>
      <c r="E54" s="9" t="str">
        <f ca="1">_xll.DBRW(Server&amp;"}ElementAttributes_Indicator",A54,"code_English")</f>
        <v>Tot_nb_bus_coach - Total number of buses/coaches</v>
      </c>
      <c r="F54" s="119">
        <v>0</v>
      </c>
      <c r="G54" s="119">
        <v>0</v>
      </c>
      <c r="H54" s="119">
        <v>0</v>
      </c>
      <c r="I54" s="119">
        <v>0</v>
      </c>
      <c r="J54" s="119">
        <v>0</v>
      </c>
      <c r="K54" s="119">
        <v>0</v>
      </c>
      <c r="L54" s="119">
        <v>0</v>
      </c>
      <c r="M54" s="119">
        <v>0</v>
      </c>
      <c r="N54" s="119">
        <v>0</v>
      </c>
      <c r="O54" s="119">
        <v>0</v>
      </c>
      <c r="P54" s="119">
        <v>0</v>
      </c>
      <c r="Q54" s="119">
        <v>0</v>
      </c>
      <c r="R54" s="119">
        <v>0</v>
      </c>
      <c r="S54" s="32" t="str">
        <f ca="1">_xll.DBRW($C$1,$C$2,$C$3,$C$4,$C$6,$C$5,$C$7,S$1,S$2,$A54)</f>
        <v>*KEY_ERR</v>
      </c>
    </row>
    <row r="55" spans="1:19" ht="15.75">
      <c r="A55" s="1" t="s">
        <v>127</v>
      </c>
      <c r="C55" s="141"/>
      <c r="E55" s="15" t="s">
        <v>89</v>
      </c>
      <c r="F55" s="44">
        <f t="shared" ca="1" si="13"/>
        <v>0</v>
      </c>
      <c r="G55" s="44">
        <f t="shared" ca="1" si="13"/>
        <v>0</v>
      </c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>
        <f ca="1">SUM(S54)</f>
        <v>0</v>
      </c>
    </row>
    <row r="56" spans="1:19" ht="15.6" customHeight="1" outlineLevel="1">
      <c r="A56" s="1" t="s">
        <v>355</v>
      </c>
      <c r="C56" s="141"/>
      <c r="E56" s="9" t="str">
        <f ca="1">_xll.DBRW(Server&amp;"}ElementAttributes_Indicator",A56,"code_English")</f>
        <v>Tot_nb_light_vehicle - Total number of light vehicles</v>
      </c>
      <c r="F56" s="119">
        <v>0</v>
      </c>
      <c r="G56" s="119">
        <v>0</v>
      </c>
      <c r="H56" s="119">
        <v>0</v>
      </c>
      <c r="I56" s="119">
        <v>0</v>
      </c>
      <c r="J56" s="119">
        <v>0</v>
      </c>
      <c r="K56" s="119">
        <v>0</v>
      </c>
      <c r="L56" s="119">
        <v>0</v>
      </c>
      <c r="M56" s="119">
        <v>0</v>
      </c>
      <c r="N56" s="119">
        <v>0</v>
      </c>
      <c r="O56" s="119">
        <v>0</v>
      </c>
      <c r="P56" s="119">
        <v>0</v>
      </c>
      <c r="Q56" s="119">
        <v>0</v>
      </c>
      <c r="R56" s="119">
        <v>0</v>
      </c>
      <c r="S56" s="32" t="str">
        <f ca="1">_xll.DBRW($C$1,$C$2,$C$3,$C$4,$C$6,$C$5,$C$7,S$1,S$2,$A56)</f>
        <v>*KEY_ERR</v>
      </c>
    </row>
    <row r="57" spans="1:19" ht="15.75">
      <c r="A57" s="1" t="s">
        <v>127</v>
      </c>
      <c r="C57" s="141"/>
      <c r="E57" s="15" t="s">
        <v>90</v>
      </c>
      <c r="F57" s="44">
        <f t="shared" ca="1" si="13"/>
        <v>0</v>
      </c>
      <c r="G57" s="44">
        <f t="shared" ca="1" si="13"/>
        <v>0</v>
      </c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>
        <f ca="1">SUM(S56)</f>
        <v>0</v>
      </c>
    </row>
    <row r="58" spans="1:19" ht="15.6" customHeight="1" outlineLevel="1">
      <c r="A58" s="1" t="s">
        <v>356</v>
      </c>
      <c r="C58" s="141"/>
      <c r="E58" s="9" t="str">
        <f ca="1">_xll.DBRW(Server&amp;"}ElementAttributes_Indicator",A58,"code_English")</f>
        <v>Tot_nb_LRV - Total number of LRV</v>
      </c>
      <c r="F58" s="119">
        <v>0</v>
      </c>
      <c r="G58" s="119">
        <v>0</v>
      </c>
      <c r="H58" s="119">
        <v>0</v>
      </c>
      <c r="I58" s="119">
        <v>0</v>
      </c>
      <c r="J58" s="119">
        <v>0</v>
      </c>
      <c r="K58" s="119">
        <v>0</v>
      </c>
      <c r="L58" s="119">
        <v>0</v>
      </c>
      <c r="M58" s="119">
        <v>0</v>
      </c>
      <c r="N58" s="119">
        <v>0</v>
      </c>
      <c r="O58" s="119">
        <v>0</v>
      </c>
      <c r="P58" s="119">
        <v>0</v>
      </c>
      <c r="Q58" s="119">
        <v>0</v>
      </c>
      <c r="R58" s="119">
        <v>0</v>
      </c>
      <c r="S58" s="32" t="str">
        <f ca="1">_xll.DBRW($C$1,$C$2,$C$3,$C$4,$C$6,$C$5,$C$7,S$1,S$2,$A58)</f>
        <v>*KEY_ERR</v>
      </c>
    </row>
    <row r="59" spans="1:19" ht="15.75">
      <c r="A59" s="1" t="s">
        <v>127</v>
      </c>
      <c r="C59" s="141"/>
      <c r="E59" s="15" t="s">
        <v>91</v>
      </c>
      <c r="F59" s="44">
        <f t="shared" ca="1" si="13"/>
        <v>0</v>
      </c>
      <c r="G59" s="44">
        <f t="shared" ca="1" si="13"/>
        <v>0</v>
      </c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>
        <f ca="1">SUM(S58)</f>
        <v>0</v>
      </c>
    </row>
    <row r="60" spans="1:19" ht="15.6" customHeight="1" outlineLevel="1">
      <c r="A60" s="1" t="s">
        <v>357</v>
      </c>
      <c r="C60" s="141"/>
      <c r="E60" s="9" t="str">
        <f ca="1">_xll.DBRW(Server&amp;"}ElementAttributes_Indicator",A60,"code_English")</f>
        <v>Tot_nb_heavy_rail - Total number of heavy rail</v>
      </c>
      <c r="F60" s="119">
        <v>0</v>
      </c>
      <c r="G60" s="119">
        <v>0</v>
      </c>
      <c r="H60" s="119">
        <v>0</v>
      </c>
      <c r="I60" s="119">
        <v>0</v>
      </c>
      <c r="J60" s="119">
        <v>0</v>
      </c>
      <c r="K60" s="119">
        <v>0</v>
      </c>
      <c r="L60" s="119">
        <v>0</v>
      </c>
      <c r="M60" s="119">
        <v>0</v>
      </c>
      <c r="N60" s="119">
        <v>0</v>
      </c>
      <c r="O60" s="119">
        <v>0</v>
      </c>
      <c r="P60" s="119">
        <v>0</v>
      </c>
      <c r="Q60" s="119">
        <v>0</v>
      </c>
      <c r="R60" s="119">
        <v>0</v>
      </c>
      <c r="S60" s="32" t="str">
        <f ca="1">_xll.DBRW($C$1,$C$2,$C$3,$C$4,$C$6,$C$5,$C$7,S$1,S$2,$A60)</f>
        <v>*KEY_ERR</v>
      </c>
    </row>
    <row r="61" spans="1:19" ht="15.75">
      <c r="A61" s="1" t="s">
        <v>127</v>
      </c>
      <c r="C61" s="141"/>
      <c r="E61" s="15" t="s">
        <v>92</v>
      </c>
      <c r="F61" s="44">
        <f t="shared" ca="1" si="13"/>
        <v>0</v>
      </c>
      <c r="G61" s="44">
        <f t="shared" ca="1" si="13"/>
        <v>0</v>
      </c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>
        <f ca="1">SUM(S60)</f>
        <v>0</v>
      </c>
    </row>
    <row r="62" spans="1:19" ht="15.6" customHeight="1" outlineLevel="1">
      <c r="A62" s="1" t="s">
        <v>358</v>
      </c>
      <c r="C62" s="141"/>
      <c r="E62" s="9" t="str">
        <f ca="1">_xll.DBRW(Server&amp;"}ElementAttributes_Indicator",A62,"code_English")</f>
        <v>Tot_nb_BRT - Total number of BRT</v>
      </c>
      <c r="F62" s="119">
        <v>0</v>
      </c>
      <c r="G62" s="119">
        <v>0</v>
      </c>
      <c r="H62" s="119">
        <v>0</v>
      </c>
      <c r="I62" s="119">
        <v>0</v>
      </c>
      <c r="J62" s="119">
        <v>0</v>
      </c>
      <c r="K62" s="119">
        <v>0</v>
      </c>
      <c r="L62" s="119">
        <v>0</v>
      </c>
      <c r="M62" s="119">
        <v>0</v>
      </c>
      <c r="N62" s="119">
        <v>0</v>
      </c>
      <c r="O62" s="119">
        <v>0</v>
      </c>
      <c r="P62" s="119">
        <v>0</v>
      </c>
      <c r="Q62" s="119">
        <v>0</v>
      </c>
      <c r="R62" s="119">
        <v>0</v>
      </c>
      <c r="S62" s="32" t="str">
        <f ca="1">_xll.DBRW($C$1,$C$2,$C$3,$C$4,$C$6,$C$5,$C$7,S$1,S$2,$A62)</f>
        <v>*KEY_ERR</v>
      </c>
    </row>
    <row r="63" spans="1:19" ht="15.75">
      <c r="A63" s="1" t="s">
        <v>127</v>
      </c>
      <c r="C63" s="141"/>
      <c r="E63" s="15" t="s">
        <v>93</v>
      </c>
      <c r="F63" s="44">
        <f t="shared" ca="1" si="13"/>
        <v>0</v>
      </c>
      <c r="G63" s="44">
        <f t="shared" ca="1" si="13"/>
        <v>0</v>
      </c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>
        <f ca="1">SUM(S62)</f>
        <v>0</v>
      </c>
    </row>
    <row r="64" spans="1:19" ht="15.75" customHeight="1" outlineLevel="1">
      <c r="A64" s="1" t="s">
        <v>359</v>
      </c>
      <c r="C64" s="141"/>
      <c r="E64" s="9" t="str">
        <f ca="1">_xll.DBRW(Server&amp;"}ElementAttributes_Indicator",A64,"code_English")</f>
        <v>Tot_nb_ferries - Total number of ferries</v>
      </c>
      <c r="F64" s="119">
        <v>0</v>
      </c>
      <c r="G64" s="119">
        <v>0</v>
      </c>
      <c r="H64" s="119">
        <v>0</v>
      </c>
      <c r="I64" s="119">
        <v>0</v>
      </c>
      <c r="J64" s="119">
        <v>0</v>
      </c>
      <c r="K64" s="119">
        <v>0</v>
      </c>
      <c r="L64" s="119">
        <v>0</v>
      </c>
      <c r="M64" s="119">
        <v>0</v>
      </c>
      <c r="N64" s="119">
        <v>0</v>
      </c>
      <c r="O64" s="119">
        <v>0</v>
      </c>
      <c r="P64" s="119">
        <v>0</v>
      </c>
      <c r="Q64" s="119">
        <v>0</v>
      </c>
      <c r="R64" s="119">
        <v>0</v>
      </c>
      <c r="S64" s="32" t="str">
        <f ca="1">_xll.DBRW($C$1,$C$2,$C$3,$C$4,$C$6,$C$5,$C$7,S$1,S$2,$A64)</f>
        <v>*KEY_ERR</v>
      </c>
    </row>
    <row r="65" spans="1:19" ht="15.75">
      <c r="A65" s="1" t="s">
        <v>127</v>
      </c>
      <c r="C65" s="141"/>
      <c r="E65" s="102" t="s">
        <v>94</v>
      </c>
      <c r="F65" s="103">
        <f t="shared" ref="F65:G65" ca="1" si="14">SUM(F64)</f>
        <v>0</v>
      </c>
      <c r="G65" s="103">
        <f t="shared" ca="1" si="14"/>
        <v>0</v>
      </c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>
        <f ca="1">SUM(S64)</f>
        <v>0</v>
      </c>
    </row>
    <row r="66" spans="1:19" ht="9" customHeight="1">
      <c r="A66" s="1" t="s">
        <v>127</v>
      </c>
      <c r="C66" s="105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4"/>
      <c r="E67" s="9" t="str">
        <f ca="1">_xll.DBRW(Server&amp;"}ElementAttributes_Indicator",A67,"code_English")</f>
        <v>Driver_absenteeism - Driver absenteeism in %</v>
      </c>
      <c r="F67" s="119">
        <v>65</v>
      </c>
      <c r="G67" s="119">
        <v>0</v>
      </c>
      <c r="H67" s="119">
        <v>0</v>
      </c>
      <c r="I67" s="119">
        <v>0</v>
      </c>
      <c r="J67" s="119">
        <v>0</v>
      </c>
      <c r="K67" s="119">
        <v>0</v>
      </c>
      <c r="L67" s="119">
        <v>0</v>
      </c>
      <c r="M67" s="119">
        <v>0</v>
      </c>
      <c r="N67" s="119">
        <v>0</v>
      </c>
      <c r="O67" s="119">
        <v>0</v>
      </c>
      <c r="P67" s="119">
        <v>0</v>
      </c>
      <c r="Q67" s="119">
        <v>0</v>
      </c>
      <c r="R67" s="119">
        <v>0</v>
      </c>
      <c r="S67" s="32" t="str">
        <f ca="1">_xll.DBRW($C$1,$C$2,$C$3,$C$4,$C$6,$C$5,$C$7,S$1,S$2,$A67)</f>
        <v>*KEY_ERR</v>
      </c>
    </row>
    <row r="68" spans="1:19" ht="15.75">
      <c r="A68" s="1" t="s">
        <v>127</v>
      </c>
      <c r="C68" s="141" t="s">
        <v>48</v>
      </c>
      <c r="E68" s="17" t="s">
        <v>95</v>
      </c>
      <c r="F68" s="42">
        <f ca="1">SUM(F67)</f>
        <v>65</v>
      </c>
      <c r="G68" s="42">
        <f t="shared" ref="G68" ca="1" si="15">SUM(G67)</f>
        <v>0</v>
      </c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42">
        <f ca="1">SUM(S67)</f>
        <v>0</v>
      </c>
    </row>
    <row r="69" spans="1:19" ht="15.75" customHeight="1" outlineLevel="1">
      <c r="A69" s="1" t="s">
        <v>361</v>
      </c>
      <c r="C69" s="141"/>
      <c r="E69" s="9" t="str">
        <f ca="1">_xll.DBRW(Server&amp;"}ElementAttributes_Indicator",A69,"code_English")</f>
        <v>Driver_turnover - Driver turnover in %</v>
      </c>
      <c r="F69" s="119">
        <v>0</v>
      </c>
      <c r="G69" s="119">
        <v>0</v>
      </c>
      <c r="H69" s="119">
        <v>0</v>
      </c>
      <c r="I69" s="119">
        <v>0</v>
      </c>
      <c r="J69" s="119">
        <v>0</v>
      </c>
      <c r="K69" s="119">
        <v>0</v>
      </c>
      <c r="L69" s="119">
        <v>0</v>
      </c>
      <c r="M69" s="119">
        <v>0</v>
      </c>
      <c r="N69" s="119">
        <v>0</v>
      </c>
      <c r="O69" s="119">
        <v>0</v>
      </c>
      <c r="P69" s="119">
        <v>0</v>
      </c>
      <c r="Q69" s="119">
        <v>0</v>
      </c>
      <c r="R69" s="119">
        <v>0</v>
      </c>
      <c r="S69" s="32" t="str">
        <f ca="1">_xll.DBRW($C$1,$C$2,$C$3,$C$4,$C$6,$C$5,$C$7,S$1,S$2,$A69)</f>
        <v>*KEY_ERR</v>
      </c>
    </row>
    <row r="70" spans="1:19" ht="15.75">
      <c r="A70" s="1" t="s">
        <v>127</v>
      </c>
      <c r="C70" s="141"/>
      <c r="E70" s="83" t="s">
        <v>366</v>
      </c>
      <c r="F70" s="44">
        <f ca="1">SUM(F69)</f>
        <v>0</v>
      </c>
      <c r="G70" s="44">
        <f t="shared" ref="G70" ca="1" si="16">SUM(G69)</f>
        <v>0</v>
      </c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>
        <f ca="1">SUM(S69)</f>
        <v>0</v>
      </c>
    </row>
    <row r="71" spans="1:19" ht="15.75" customHeight="1" outlineLevel="1">
      <c r="A71" s="1" t="s">
        <v>362</v>
      </c>
      <c r="C71" s="141"/>
      <c r="E71" s="9" t="str">
        <f ca="1">_xll.DBRW(Server&amp;"}ElementAttributes_Indicator",A71,"code_English")</f>
        <v>Nb_Driver_open_positions - Driver open positions</v>
      </c>
      <c r="F71" s="119">
        <v>0</v>
      </c>
      <c r="G71" s="119">
        <v>0</v>
      </c>
      <c r="H71" s="119">
        <v>0</v>
      </c>
      <c r="I71" s="119">
        <v>0</v>
      </c>
      <c r="J71" s="119">
        <v>0</v>
      </c>
      <c r="K71" s="119">
        <v>0</v>
      </c>
      <c r="L71" s="119">
        <v>0</v>
      </c>
      <c r="M71" s="119">
        <v>0</v>
      </c>
      <c r="N71" s="119">
        <v>0</v>
      </c>
      <c r="O71" s="119">
        <v>0</v>
      </c>
      <c r="P71" s="119">
        <v>0</v>
      </c>
      <c r="Q71" s="119">
        <v>0</v>
      </c>
      <c r="R71" s="119">
        <v>0</v>
      </c>
      <c r="S71" s="32" t="str">
        <f ca="1">_xll.DBRW($C$1,$C$2,$C$3,$C$4,$C$6,$C$5,$C$7,S$1,S$2,$A71)</f>
        <v>*KEY_ERR</v>
      </c>
    </row>
    <row r="72" spans="1:19" ht="15.75">
      <c r="C72" s="141"/>
      <c r="E72" s="86" t="s">
        <v>96</v>
      </c>
      <c r="F72" s="45">
        <f ca="1">SUM(F71)</f>
        <v>0</v>
      </c>
      <c r="G72" s="45">
        <f t="shared" ref="G72" ca="1" si="17">SUM(G71)</f>
        <v>0</v>
      </c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45">
        <f ca="1">SUM(S71)</f>
        <v>0</v>
      </c>
    </row>
    <row r="73" spans="1:19" ht="15.75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sheetProtection password="D70F" sheet="1" objects="1" scenarios="1" formatColumns="0" formatRows="0"/>
  <protectedRanges>
    <protectedRange sqref="F20:R30 F32:R34 F36:R37 F39:R39 F41:R41 F43:R43 F46:R46 F48:R48 F50:R50 F52:R52 F54:R54 F56:R56 F58:R58 F60:R60 F62:R62 F64:R64 F67:R67 F69:R69 F71:R71" name="Tot_km"/>
  </protectedRanges>
  <mergeCells count="4">
    <mergeCell ref="E17:E18"/>
    <mergeCell ref="E9:S11"/>
    <mergeCell ref="C31:C65"/>
    <mergeCell ref="C68:C72"/>
  </mergeCells>
  <dataValidations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trieveData">
                <anchor moveWithCells="1" sizeWithCells="1">
                  <from>
                    <xdr:col>4</xdr:col>
                    <xdr:colOff>1905000</xdr:colOff>
                    <xdr:row>12</xdr:row>
                    <xdr:rowOff>9525</xdr:rowOff>
                  </from>
                  <to>
                    <xdr:col>4</xdr:col>
                    <xdr:colOff>3228975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nvoi.Envoi">
                <anchor moveWithCells="1" sizeWithCells="1">
                  <from>
                    <xdr:col>4</xdr:col>
                    <xdr:colOff>3581400</xdr:colOff>
                    <xdr:row>11</xdr:row>
                    <xdr:rowOff>161925</xdr:rowOff>
                  </from>
                  <to>
                    <xdr:col>4</xdr:col>
                    <xdr:colOff>4914900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3391AA"/>
    <pageSetUpPr fitToPage="1"/>
  </sheetPr>
  <dimension ref="A1:S73"/>
  <sheetViews>
    <sheetView showGridLines="0" topLeftCell="D1" zoomScale="80" zoomScaleNormal="80" workbookViewId="0">
      <pane xSplit="2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/>
    </sheetView>
  </sheetViews>
  <sheetFormatPr baseColWidth="10" defaultColWidth="11.42578125" defaultRowHeight="14.25" outlineLevelRow="1" outlineLevelCol="1"/>
  <cols>
    <col min="1" max="1" width="40.5703125" style="1" bestFit="1" customWidth="1"/>
    <col min="2" max="2" width="2.85546875" style="1" customWidth="1"/>
    <col min="3" max="3" width="35.5703125" style="1" bestFit="1" customWidth="1"/>
    <col min="4" max="4" width="1.42578125" style="1" customWidth="1"/>
    <col min="5" max="5" width="140.7109375" style="1" bestFit="1" customWidth="1"/>
    <col min="6" max="17" width="18.7109375" style="2" bestFit="1" customWidth="1" outlineLevel="1"/>
    <col min="18" max="18" width="18.7109375" style="2" bestFit="1" customWidth="1"/>
    <col min="19" max="19" width="20" style="2" bestFit="1" customWidth="1" outlineLevel="1"/>
    <col min="20" max="16384" width="11.42578125" style="1"/>
  </cols>
  <sheetData>
    <row r="1" spans="1:19">
      <c r="A1" s="1" t="s">
        <v>7</v>
      </c>
      <c r="C1" s="1" t="str">
        <f ca="1">_xll.VIEW("tango_core_model:RP_PL",$C$2,$C$3,$C$4,$C$6,$C$5,$C$7,"!","!","!")</f>
        <v>tango_core_model:RP_PL</v>
      </c>
      <c r="E1" s="1" t="str">
        <f ca="1">_xll.VIEW("tango_core_model:ST_PL_YTD",$C$2,$C$3,$C$4,$C$5,$C$7,"!","!","!")</f>
        <v>tango_core_model:ST_PL_YTD</v>
      </c>
      <c r="F1" s="4" t="str">
        <f ca="1">Context!G31</f>
        <v>2023.05_YTD</v>
      </c>
      <c r="G1" s="4" t="str">
        <f ca="1">z_Current_Year&amp;".01_YTD"</f>
        <v>2023.01_YTD</v>
      </c>
      <c r="H1" s="4" t="str">
        <f ca="1">z_Current_Year&amp;".02_YTD"</f>
        <v>2023.02_YTD</v>
      </c>
      <c r="I1" s="4" t="str">
        <f ca="1">z_Current_Year&amp;".03_YTD"</f>
        <v>2023.03_YTD</v>
      </c>
      <c r="J1" s="4" t="str">
        <f ca="1">z_Current_Year&amp;".04_YTD"</f>
        <v>2023.04_YTD</v>
      </c>
      <c r="K1" s="4" t="str">
        <f ca="1">z_Current_Year&amp;".05_YTD"</f>
        <v>2023.05_YTD</v>
      </c>
      <c r="L1" s="4" t="str">
        <f ca="1">z_Current_Year&amp;".06_YTD"</f>
        <v>2023.06_YTD</v>
      </c>
      <c r="M1" s="4" t="str">
        <f ca="1">z_Current_Year&amp;".07_YTD"</f>
        <v>2023.07_YTD</v>
      </c>
      <c r="N1" s="4" t="str">
        <f ca="1">z_Current_Year&amp;".08_YTD"</f>
        <v>2023.08_YTD</v>
      </c>
      <c r="O1" s="4" t="str">
        <f ca="1">z_Current_Year&amp;".09_YTD"</f>
        <v>2023.09_YTD</v>
      </c>
      <c r="P1" s="4" t="str">
        <f ca="1">z_Current_Year&amp;".10_YTD"</f>
        <v>2023.10_YTD</v>
      </c>
      <c r="Q1" s="4" t="str">
        <f ca="1">z_Current_Year&amp;".11_YTD"</f>
        <v>2023.11_YTD</v>
      </c>
      <c r="R1" s="4" t="str">
        <f ca="1">z_Current_Year&amp;".12_YTD"</f>
        <v>2023.12_YTD</v>
      </c>
      <c r="S1" s="4" t="str">
        <f ca="1">z_Current_Year</f>
        <v>2023</v>
      </c>
    </row>
    <row r="2" spans="1:19">
      <c r="A2" s="3" t="s">
        <v>8</v>
      </c>
      <c r="B2" s="3"/>
      <c r="C2" s="1" t="str">
        <f ca="1">Input!C2</f>
        <v>Tot_act</v>
      </c>
      <c r="F2" s="4" t="str">
        <f ca="1"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>
      <c r="A3" s="3" t="s">
        <v>5</v>
      </c>
      <c r="B3" s="3"/>
      <c r="C3" s="1" t="str">
        <f ca="1">Context!F36</f>
        <v>LCL</v>
      </c>
    </row>
    <row r="4" spans="1:19">
      <c r="A4" s="3" t="s">
        <v>9</v>
      </c>
      <c r="B4" s="3"/>
      <c r="C4" s="1" t="str">
        <f ca="1">Context!F37</f>
        <v>Local_Gaap_Mgmt_tool</v>
      </c>
    </row>
    <row r="5" spans="1:19">
      <c r="A5" s="3" t="s">
        <v>10</v>
      </c>
      <c r="B5" s="3"/>
      <c r="C5" s="1" t="str">
        <f ca="1">z_Legal_Entity</f>
        <v>NETH</v>
      </c>
    </row>
    <row r="6" spans="1:19">
      <c r="A6" s="3" t="s">
        <v>11</v>
      </c>
      <c r="B6" s="3"/>
      <c r="C6" s="1" t="str">
        <f ca="1">Input!C6</f>
        <v>NO_APP</v>
      </c>
    </row>
    <row r="7" spans="1:19">
      <c r="A7" s="3" t="s">
        <v>12</v>
      </c>
      <c r="B7" s="3"/>
      <c r="C7" s="1" t="str">
        <f ca="1">Context!F29</f>
        <v>NETH</v>
      </c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9"/>
    </row>
    <row r="8" spans="1:19">
      <c r="A8" s="3"/>
      <c r="B8" s="3"/>
    </row>
    <row r="9" spans="1:19" ht="14.45" customHeight="1">
      <c r="A9" s="3"/>
      <c r="B9" s="3"/>
      <c r="C9" s="92"/>
      <c r="D9" s="93"/>
      <c r="E9" s="140" t="str">
        <f ca="1">"Reporting Europe "&amp;Context!F28&amp;", "&amp;Context!$G$31</f>
        <v>Reporting Europe NETH, 2023.05_YTD</v>
      </c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</row>
    <row r="10" spans="1:19" ht="14.45" customHeight="1">
      <c r="A10" s="3"/>
      <c r="B10" s="3"/>
      <c r="C10" s="92"/>
      <c r="D10" s="93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</row>
    <row r="11" spans="1:19" ht="25.5" customHeight="1">
      <c r="C11" s="92"/>
      <c r="D11" s="93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</row>
    <row r="12" spans="1:19">
      <c r="A12" s="3"/>
      <c r="B12" s="3"/>
      <c r="E12" s="118">
        <f ca="1">NOW()</f>
        <v>45103.703838773145</v>
      </c>
    </row>
    <row r="17" spans="1:19" ht="15.75">
      <c r="E17" s="138" t="str">
        <f ca="1">C7</f>
        <v>NETH</v>
      </c>
      <c r="F17" s="59" t="str">
        <f t="shared" ref="F17:S17" ca="1" si="0">IF(F2="ACT","ACTUAL","BUDGET")</f>
        <v>ACTUAL</v>
      </c>
      <c r="G17" s="59" t="str">
        <f t="shared" si="0"/>
        <v>BUDGET</v>
      </c>
      <c r="H17" s="59" t="str">
        <f t="shared" si="0"/>
        <v>BUDGET</v>
      </c>
      <c r="I17" s="59" t="str">
        <f t="shared" si="0"/>
        <v>BUDGET</v>
      </c>
      <c r="J17" s="59" t="str">
        <f t="shared" si="0"/>
        <v>BUDGET</v>
      </c>
      <c r="K17" s="59" t="str">
        <f t="shared" si="0"/>
        <v>BUDGET</v>
      </c>
      <c r="L17" s="59" t="str">
        <f t="shared" si="0"/>
        <v>BUDGET</v>
      </c>
      <c r="M17" s="59" t="str">
        <f t="shared" si="0"/>
        <v>BUDGET</v>
      </c>
      <c r="N17" s="59" t="str">
        <f t="shared" si="0"/>
        <v>BUDGET</v>
      </c>
      <c r="O17" s="59" t="str">
        <f t="shared" si="0"/>
        <v>BUDGET</v>
      </c>
      <c r="P17" s="59" t="str">
        <f t="shared" si="0"/>
        <v>BUDGET</v>
      </c>
      <c r="Q17" s="59" t="str">
        <f t="shared" si="0"/>
        <v>BUDGET</v>
      </c>
      <c r="R17" s="59" t="str">
        <f t="shared" si="0"/>
        <v>BUDGET</v>
      </c>
      <c r="S17" s="59" t="str">
        <f t="shared" si="0"/>
        <v>ACTUAL</v>
      </c>
    </row>
    <row r="18" spans="1:19" ht="15.75">
      <c r="E18" s="139"/>
      <c r="F18" s="60" t="str">
        <f t="shared" ref="F18:S18" ca="1" si="1">F1</f>
        <v>2023.05_YTD</v>
      </c>
      <c r="G18" s="60" t="str">
        <f t="shared" ca="1" si="1"/>
        <v>2023.01_YTD</v>
      </c>
      <c r="H18" s="60" t="str">
        <f t="shared" ca="1" si="1"/>
        <v>2023.02_YTD</v>
      </c>
      <c r="I18" s="60" t="str">
        <f t="shared" ca="1" si="1"/>
        <v>2023.03_YTD</v>
      </c>
      <c r="J18" s="60" t="str">
        <f t="shared" ca="1" si="1"/>
        <v>2023.04_YTD</v>
      </c>
      <c r="K18" s="60" t="str">
        <f t="shared" ca="1" si="1"/>
        <v>2023.05_YTD</v>
      </c>
      <c r="L18" s="60" t="str">
        <f t="shared" ca="1" si="1"/>
        <v>2023.06_YTD</v>
      </c>
      <c r="M18" s="60" t="str">
        <f t="shared" ca="1" si="1"/>
        <v>2023.07_YTD</v>
      </c>
      <c r="N18" s="60" t="str">
        <f t="shared" ca="1" si="1"/>
        <v>2023.08_YTD</v>
      </c>
      <c r="O18" s="60" t="str">
        <f t="shared" ca="1" si="1"/>
        <v>2023.09_YTD</v>
      </c>
      <c r="P18" s="60" t="str">
        <f t="shared" ca="1" si="1"/>
        <v>2023.10_YTD</v>
      </c>
      <c r="Q18" s="60" t="str">
        <f t="shared" ca="1" si="1"/>
        <v>2023.11_YTD</v>
      </c>
      <c r="R18" s="60" t="str">
        <f t="shared" ca="1" si="1"/>
        <v>2023.12_YTD</v>
      </c>
      <c r="S18" s="60" t="str">
        <f t="shared" ca="1" si="1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5.75" outlineLevel="1">
      <c r="A20" s="1" t="s">
        <v>333</v>
      </c>
      <c r="E20" s="9" t="str">
        <f ca="1">_xll.DBRW(Server&amp;"}ElementAttributes_Indicator",A20,"code_English")</f>
        <v>Tot_km - Total KM self driven</v>
      </c>
      <c r="F20" s="119">
        <f ca="1">IF(Flag_Send_Data="Restit",_xll.DBRW($C$1,$C$2,$C$3,$C$4,$C$6,$C$5,$C$7,F$1,F$2,$A20),_xll.DBSS(Input!F20,Input_DBS!$E$1,Input!$C$2,Input!$C$3,Input!$C$4,Input!$C$5,Input!$C$7,F$1,F$2,Input!$A20))</f>
        <v>0</v>
      </c>
      <c r="G20" s="119">
        <f ca="1">IF(Flag_Send_Data="Restit",_xll.DBRW($C$1,$C$2,$C$3,$C$4,$C$6,$C$5,$C$7,G$1,G$2,$A20),_xll.DBSS(Input!G20,Input_DBS!$E$1,Input!$C$2,Input!$C$3,Input!$C$4,Input!$C$5,Input!$C$7,G$1,G$2,Input!$A20))</f>
        <v>0</v>
      </c>
      <c r="H20" s="119">
        <f ca="1">IF(Flag_Send_Data="Restit",_xll.DBRW($C$1,$C$2,$C$3,$C$4,$C$6,$C$5,$C$7,H$1,H$2,$A20),_xll.DBSS(Input!H20,Input_DBS!$E$1,Input!$C$2,Input!$C$3,Input!$C$4,Input!$C$5,Input!$C$7,H$1,H$2,Input!$A20))</f>
        <v>0</v>
      </c>
      <c r="I20" s="119">
        <f ca="1">IF(Flag_Send_Data="Restit",_xll.DBRW($C$1,$C$2,$C$3,$C$4,$C$6,$C$5,$C$7,I$1,I$2,$A20),_xll.DBSS(Input!I20,Input_DBS!$E$1,Input!$C$2,Input!$C$3,Input!$C$4,Input!$C$5,Input!$C$7,I$1,I$2,Input!$A20))</f>
        <v>0</v>
      </c>
      <c r="J20" s="119">
        <f ca="1">IF(Flag_Send_Data="Restit",_xll.DBRW($C$1,$C$2,$C$3,$C$4,$C$6,$C$5,$C$7,J$1,J$2,$A20),_xll.DBSS(Input!J20,Input_DBS!$E$1,Input!$C$2,Input!$C$3,Input!$C$4,Input!$C$5,Input!$C$7,J$1,J$2,Input!$A20))</f>
        <v>0</v>
      </c>
      <c r="K20" s="119">
        <f ca="1">IF(Flag_Send_Data="Restit",_xll.DBRW($C$1,$C$2,$C$3,$C$4,$C$6,$C$5,$C$7,K$1,K$2,$A20),_xll.DBSS(Input!K20,Input_DBS!$E$1,Input!$C$2,Input!$C$3,Input!$C$4,Input!$C$5,Input!$C$7,K$1,K$2,Input!$A20))</f>
        <v>0</v>
      </c>
      <c r="L20" s="119">
        <f ca="1">IF(Flag_Send_Data="Restit",_xll.DBRW($C$1,$C$2,$C$3,$C$4,$C$6,$C$5,$C$7,L$1,L$2,$A20),_xll.DBSS(Input!L20,Input_DBS!$E$1,Input!$C$2,Input!$C$3,Input!$C$4,Input!$C$5,Input!$C$7,L$1,L$2,Input!$A20))</f>
        <v>0</v>
      </c>
      <c r="M20" s="119">
        <f ca="1">IF(Flag_Send_Data="Restit",_xll.DBRW($C$1,$C$2,$C$3,$C$4,$C$6,$C$5,$C$7,M$1,M$2,$A20),_xll.DBSS(Input!M20,Input_DBS!$E$1,Input!$C$2,Input!$C$3,Input!$C$4,Input!$C$5,Input!$C$7,M$1,M$2,Input!$A20))</f>
        <v>0</v>
      </c>
      <c r="N20" s="119">
        <f ca="1">IF(Flag_Send_Data="Restit",_xll.DBRW($C$1,$C$2,$C$3,$C$4,$C$6,$C$5,$C$7,N$1,N$2,$A20),_xll.DBSS(Input!N20,Input_DBS!$E$1,Input!$C$2,Input!$C$3,Input!$C$4,Input!$C$5,Input!$C$7,N$1,N$2,Input!$A20))</f>
        <v>0</v>
      </c>
      <c r="O20" s="119">
        <f ca="1">IF(Flag_Send_Data="Restit",_xll.DBRW($C$1,$C$2,$C$3,$C$4,$C$6,$C$5,$C$7,O$1,O$2,$A20),_xll.DBSS(Input!O20,Input_DBS!$E$1,Input!$C$2,Input!$C$3,Input!$C$4,Input!$C$5,Input!$C$7,O$1,O$2,Input!$A20))</f>
        <v>0</v>
      </c>
      <c r="P20" s="119">
        <f ca="1">IF(Flag_Send_Data="Restit",_xll.DBRW($C$1,$C$2,$C$3,$C$4,$C$6,$C$5,$C$7,P$1,P$2,$A20),_xll.DBSS(Input!P20,Input_DBS!$E$1,Input!$C$2,Input!$C$3,Input!$C$4,Input!$C$5,Input!$C$7,P$1,P$2,Input!$A20))</f>
        <v>0</v>
      </c>
      <c r="Q20" s="119">
        <f ca="1">IF(Flag_Send_Data="Restit",_xll.DBRW($C$1,$C$2,$C$3,$C$4,$C$6,$C$5,$C$7,Q$1,Q$2,$A20),_xll.DBSS(Input!Q20,Input_DBS!$E$1,Input!$C$2,Input!$C$3,Input!$C$4,Input!$C$5,Input!$C$7,Q$1,Q$2,Input!$A20))</f>
        <v>0</v>
      </c>
      <c r="R20" s="119">
        <f ca="1">IF(Flag_Send_Data="Restit",_xll.DBRW($C$1,$C$2,$C$3,$C$4,$C$6,$C$5,$C$7,R$1,R$2,$A20),_xll.DBSS(Input!R20,Input_DBS!$E$1,Input!$C$2,Input!$C$3,Input!$C$4,Input!$C$5,Input!$C$7,R$1,R$2,Input!$A20))</f>
        <v>0</v>
      </c>
      <c r="S20" s="119"/>
    </row>
    <row r="21" spans="1:19" ht="15.75" outlineLevel="1">
      <c r="A21" s="74" t="s">
        <v>342</v>
      </c>
      <c r="B21" s="74"/>
      <c r="E21" s="9" t="str">
        <f ca="1">_xll.DBRW(Server&amp;"}ElementAttributes_Indicator",A21,"code_English")</f>
        <v>Tot_km_bus_coach - Total KM driven by buses/coaches</v>
      </c>
      <c r="F21" s="119">
        <f ca="1">IF(Flag_Send_Data="Restit",_xll.DBRW($C$1,$C$2,$C$3,$C$4,$C$6,$C$5,$C$7,F$1,F$2,$A21),_xll.DBSS(Input!F21,Input_DBS!$E$1,Input!$C$2,Input!$C$3,Input!$C$4,Input!$C$5,Input!$C$7,F$1,F$2,Input!$A21))</f>
        <v>0</v>
      </c>
      <c r="G21" s="119">
        <f ca="1">IF(Flag_Send_Data="Restit",_xll.DBRW($C$1,$C$2,$C$3,$C$4,$C$6,$C$5,$C$7,G$1,G$2,$A21),_xll.DBSS(Input!G21,Input_DBS!$E$1,Input!$C$2,Input!$C$3,Input!$C$4,Input!$C$5,Input!$C$7,G$1,G$2,Input!$A21))</f>
        <v>0</v>
      </c>
      <c r="H21" s="119">
        <f ca="1">IF(Flag_Send_Data="Restit",_xll.DBRW($C$1,$C$2,$C$3,$C$4,$C$6,$C$5,$C$7,H$1,H$2,$A21),_xll.DBSS(Input!H21,Input_DBS!$E$1,Input!$C$2,Input!$C$3,Input!$C$4,Input!$C$5,Input!$C$7,H$1,H$2,Input!$A21))</f>
        <v>0</v>
      </c>
      <c r="I21" s="119">
        <f ca="1">IF(Flag_Send_Data="Restit",_xll.DBRW($C$1,$C$2,$C$3,$C$4,$C$6,$C$5,$C$7,I$1,I$2,$A21),_xll.DBSS(Input!I21,Input_DBS!$E$1,Input!$C$2,Input!$C$3,Input!$C$4,Input!$C$5,Input!$C$7,I$1,I$2,Input!$A21))</f>
        <v>0</v>
      </c>
      <c r="J21" s="119">
        <f ca="1">IF(Flag_Send_Data="Restit",_xll.DBRW($C$1,$C$2,$C$3,$C$4,$C$6,$C$5,$C$7,J$1,J$2,$A21),_xll.DBSS(Input!J21,Input_DBS!$E$1,Input!$C$2,Input!$C$3,Input!$C$4,Input!$C$5,Input!$C$7,J$1,J$2,Input!$A21))</f>
        <v>0</v>
      </c>
      <c r="K21" s="119">
        <f ca="1">IF(Flag_Send_Data="Restit",_xll.DBRW($C$1,$C$2,$C$3,$C$4,$C$6,$C$5,$C$7,K$1,K$2,$A21),_xll.DBSS(Input!K21,Input_DBS!$E$1,Input!$C$2,Input!$C$3,Input!$C$4,Input!$C$5,Input!$C$7,K$1,K$2,Input!$A21))</f>
        <v>0</v>
      </c>
      <c r="L21" s="119">
        <f ca="1">IF(Flag_Send_Data="Restit",_xll.DBRW($C$1,$C$2,$C$3,$C$4,$C$6,$C$5,$C$7,L$1,L$2,$A21),_xll.DBSS(Input!L21,Input_DBS!$E$1,Input!$C$2,Input!$C$3,Input!$C$4,Input!$C$5,Input!$C$7,L$1,L$2,Input!$A21))</f>
        <v>0</v>
      </c>
      <c r="M21" s="119">
        <f ca="1">IF(Flag_Send_Data="Restit",_xll.DBRW($C$1,$C$2,$C$3,$C$4,$C$6,$C$5,$C$7,M$1,M$2,$A21),_xll.DBSS(Input!M21,Input_DBS!$E$1,Input!$C$2,Input!$C$3,Input!$C$4,Input!$C$5,Input!$C$7,M$1,M$2,Input!$A21))</f>
        <v>0</v>
      </c>
      <c r="N21" s="119">
        <f ca="1">IF(Flag_Send_Data="Restit",_xll.DBRW($C$1,$C$2,$C$3,$C$4,$C$6,$C$5,$C$7,N$1,N$2,$A21),_xll.DBSS(Input!N21,Input_DBS!$E$1,Input!$C$2,Input!$C$3,Input!$C$4,Input!$C$5,Input!$C$7,N$1,N$2,Input!$A21))</f>
        <v>0</v>
      </c>
      <c r="O21" s="119">
        <f ca="1">IF(Flag_Send_Data="Restit",_xll.DBRW($C$1,$C$2,$C$3,$C$4,$C$6,$C$5,$C$7,O$1,O$2,$A21),_xll.DBSS(Input!O21,Input_DBS!$E$1,Input!$C$2,Input!$C$3,Input!$C$4,Input!$C$5,Input!$C$7,O$1,O$2,Input!$A21))</f>
        <v>0</v>
      </c>
      <c r="P21" s="119">
        <f ca="1">IF(Flag_Send_Data="Restit",_xll.DBRW($C$1,$C$2,$C$3,$C$4,$C$6,$C$5,$C$7,P$1,P$2,$A21),_xll.DBSS(Input!P21,Input_DBS!$E$1,Input!$C$2,Input!$C$3,Input!$C$4,Input!$C$5,Input!$C$7,P$1,P$2,Input!$A21))</f>
        <v>0</v>
      </c>
      <c r="Q21" s="119">
        <f ca="1">IF(Flag_Send_Data="Restit",_xll.DBRW($C$1,$C$2,$C$3,$C$4,$C$6,$C$5,$C$7,Q$1,Q$2,$A21),_xll.DBSS(Input!Q21,Input_DBS!$E$1,Input!$C$2,Input!$C$3,Input!$C$4,Input!$C$5,Input!$C$7,Q$1,Q$2,Input!$A21))</f>
        <v>0</v>
      </c>
      <c r="R21" s="119">
        <f ca="1">IF(Flag_Send_Data="Restit",_xll.DBRW($C$1,$C$2,$C$3,$C$4,$C$6,$C$5,$C$7,R$1,R$2,$A21),_xll.DBSS(Input!R21,Input_DBS!$E$1,Input!$C$2,Input!$C$3,Input!$C$4,Input!$C$5,Input!$C$7,R$1,R$2,Input!$A21))</f>
        <v>0</v>
      </c>
      <c r="S21" s="119"/>
    </row>
    <row r="22" spans="1:19" ht="15.75" outlineLevel="1">
      <c r="A22" s="74" t="s">
        <v>343</v>
      </c>
      <c r="B22" s="74"/>
      <c r="E22" s="9" t="str">
        <f ca="1">_xll.DBRW(Server&amp;"}ElementAttributes_Indicator",A22,"code_English")</f>
        <v>Tot_km_light_vehicle - Total KM driven by light vehicles</v>
      </c>
      <c r="F22" s="119">
        <f ca="1">IF(Flag_Send_Data="Restit",_xll.DBRW($C$1,$C$2,$C$3,$C$4,$C$6,$C$5,$C$7,F$1,F$2,$A22),_xll.DBSS(Input!F22,Input_DBS!$E$1,Input!$C$2,Input!$C$3,Input!$C$4,Input!$C$5,Input!$C$7,F$1,F$2,Input!$A22))</f>
        <v>0</v>
      </c>
      <c r="G22" s="119">
        <f ca="1">IF(Flag_Send_Data="Restit",_xll.DBRW($C$1,$C$2,$C$3,$C$4,$C$6,$C$5,$C$7,G$1,G$2,$A22),_xll.DBSS(Input!G22,Input_DBS!$E$1,Input!$C$2,Input!$C$3,Input!$C$4,Input!$C$5,Input!$C$7,G$1,G$2,Input!$A22))</f>
        <v>0</v>
      </c>
      <c r="H22" s="119">
        <f ca="1">IF(Flag_Send_Data="Restit",_xll.DBRW($C$1,$C$2,$C$3,$C$4,$C$6,$C$5,$C$7,H$1,H$2,$A22),_xll.DBSS(Input!H22,Input_DBS!$E$1,Input!$C$2,Input!$C$3,Input!$C$4,Input!$C$5,Input!$C$7,H$1,H$2,Input!$A22))</f>
        <v>0</v>
      </c>
      <c r="I22" s="119">
        <f ca="1">IF(Flag_Send_Data="Restit",_xll.DBRW($C$1,$C$2,$C$3,$C$4,$C$6,$C$5,$C$7,I$1,I$2,$A22),_xll.DBSS(Input!I22,Input_DBS!$E$1,Input!$C$2,Input!$C$3,Input!$C$4,Input!$C$5,Input!$C$7,I$1,I$2,Input!$A22))</f>
        <v>0</v>
      </c>
      <c r="J22" s="119">
        <f ca="1">IF(Flag_Send_Data="Restit",_xll.DBRW($C$1,$C$2,$C$3,$C$4,$C$6,$C$5,$C$7,J$1,J$2,$A22),_xll.DBSS(Input!J22,Input_DBS!$E$1,Input!$C$2,Input!$C$3,Input!$C$4,Input!$C$5,Input!$C$7,J$1,J$2,Input!$A22))</f>
        <v>0</v>
      </c>
      <c r="K22" s="119">
        <f ca="1">IF(Flag_Send_Data="Restit",_xll.DBRW($C$1,$C$2,$C$3,$C$4,$C$6,$C$5,$C$7,K$1,K$2,$A22),_xll.DBSS(Input!K22,Input_DBS!$E$1,Input!$C$2,Input!$C$3,Input!$C$4,Input!$C$5,Input!$C$7,K$1,K$2,Input!$A22))</f>
        <v>0</v>
      </c>
      <c r="L22" s="119">
        <f ca="1">IF(Flag_Send_Data="Restit",_xll.DBRW($C$1,$C$2,$C$3,$C$4,$C$6,$C$5,$C$7,L$1,L$2,$A22),_xll.DBSS(Input!L22,Input_DBS!$E$1,Input!$C$2,Input!$C$3,Input!$C$4,Input!$C$5,Input!$C$7,L$1,L$2,Input!$A22))</f>
        <v>0</v>
      </c>
      <c r="M22" s="119">
        <f ca="1">IF(Flag_Send_Data="Restit",_xll.DBRW($C$1,$C$2,$C$3,$C$4,$C$6,$C$5,$C$7,M$1,M$2,$A22),_xll.DBSS(Input!M22,Input_DBS!$E$1,Input!$C$2,Input!$C$3,Input!$C$4,Input!$C$5,Input!$C$7,M$1,M$2,Input!$A22))</f>
        <v>0</v>
      </c>
      <c r="N22" s="119">
        <f ca="1">IF(Flag_Send_Data="Restit",_xll.DBRW($C$1,$C$2,$C$3,$C$4,$C$6,$C$5,$C$7,N$1,N$2,$A22),_xll.DBSS(Input!N22,Input_DBS!$E$1,Input!$C$2,Input!$C$3,Input!$C$4,Input!$C$5,Input!$C$7,N$1,N$2,Input!$A22))</f>
        <v>0</v>
      </c>
      <c r="O22" s="119">
        <f ca="1">IF(Flag_Send_Data="Restit",_xll.DBRW($C$1,$C$2,$C$3,$C$4,$C$6,$C$5,$C$7,O$1,O$2,$A22),_xll.DBSS(Input!O22,Input_DBS!$E$1,Input!$C$2,Input!$C$3,Input!$C$4,Input!$C$5,Input!$C$7,O$1,O$2,Input!$A22))</f>
        <v>0</v>
      </c>
      <c r="P22" s="119">
        <f ca="1">IF(Flag_Send_Data="Restit",_xll.DBRW($C$1,$C$2,$C$3,$C$4,$C$6,$C$5,$C$7,P$1,P$2,$A22),_xll.DBSS(Input!P22,Input_DBS!$E$1,Input!$C$2,Input!$C$3,Input!$C$4,Input!$C$5,Input!$C$7,P$1,P$2,Input!$A22))</f>
        <v>0</v>
      </c>
      <c r="Q22" s="119">
        <f ca="1">IF(Flag_Send_Data="Restit",_xll.DBRW($C$1,$C$2,$C$3,$C$4,$C$6,$C$5,$C$7,Q$1,Q$2,$A22),_xll.DBSS(Input!Q22,Input_DBS!$E$1,Input!$C$2,Input!$C$3,Input!$C$4,Input!$C$5,Input!$C$7,Q$1,Q$2,Input!$A22))</f>
        <v>0</v>
      </c>
      <c r="R22" s="119">
        <f ca="1">IF(Flag_Send_Data="Restit",_xll.DBRW($C$1,$C$2,$C$3,$C$4,$C$6,$C$5,$C$7,R$1,R$2,$A22),_xll.DBSS(Input!R22,Input_DBS!$E$1,Input!$C$2,Input!$C$3,Input!$C$4,Input!$C$5,Input!$C$7,R$1,R$2,Input!$A22))</f>
        <v>0</v>
      </c>
      <c r="S22" s="119"/>
    </row>
    <row r="23" spans="1:19" ht="15.75" outlineLevel="1">
      <c r="A23" s="74" t="s">
        <v>344</v>
      </c>
      <c r="B23" s="74"/>
      <c r="E23" s="9" t="str">
        <f ca="1">_xll.DBRW(Server&amp;"}ElementAttributes_Indicator",A23,"code_English")</f>
        <v>Tot_km_LRV - Total KM driven by LRV</v>
      </c>
      <c r="F23" s="119">
        <f ca="1">IF(Flag_Send_Data="Restit",_xll.DBRW($C$1,$C$2,$C$3,$C$4,$C$6,$C$5,$C$7,F$1,F$2,$A23),_xll.DBSS(Input!F23,Input_DBS!$E$1,Input!$C$2,Input!$C$3,Input!$C$4,Input!$C$5,Input!$C$7,F$1,F$2,Input!$A23))</f>
        <v>0</v>
      </c>
      <c r="G23" s="119">
        <f ca="1">IF(Flag_Send_Data="Restit",_xll.DBRW($C$1,$C$2,$C$3,$C$4,$C$6,$C$5,$C$7,G$1,G$2,$A23),_xll.DBSS(Input!G23,Input_DBS!$E$1,Input!$C$2,Input!$C$3,Input!$C$4,Input!$C$5,Input!$C$7,G$1,G$2,Input!$A23))</f>
        <v>0</v>
      </c>
      <c r="H23" s="119">
        <f ca="1">IF(Flag_Send_Data="Restit",_xll.DBRW($C$1,$C$2,$C$3,$C$4,$C$6,$C$5,$C$7,H$1,H$2,$A23),_xll.DBSS(Input!H23,Input_DBS!$E$1,Input!$C$2,Input!$C$3,Input!$C$4,Input!$C$5,Input!$C$7,H$1,H$2,Input!$A23))</f>
        <v>0</v>
      </c>
      <c r="I23" s="119">
        <f ca="1">IF(Flag_Send_Data="Restit",_xll.DBRW($C$1,$C$2,$C$3,$C$4,$C$6,$C$5,$C$7,I$1,I$2,$A23),_xll.DBSS(Input!I23,Input_DBS!$E$1,Input!$C$2,Input!$C$3,Input!$C$4,Input!$C$5,Input!$C$7,I$1,I$2,Input!$A23))</f>
        <v>0</v>
      </c>
      <c r="J23" s="119">
        <f ca="1">IF(Flag_Send_Data="Restit",_xll.DBRW($C$1,$C$2,$C$3,$C$4,$C$6,$C$5,$C$7,J$1,J$2,$A23),_xll.DBSS(Input!J23,Input_DBS!$E$1,Input!$C$2,Input!$C$3,Input!$C$4,Input!$C$5,Input!$C$7,J$1,J$2,Input!$A23))</f>
        <v>0</v>
      </c>
      <c r="K23" s="119">
        <f ca="1">IF(Flag_Send_Data="Restit",_xll.DBRW($C$1,$C$2,$C$3,$C$4,$C$6,$C$5,$C$7,K$1,K$2,$A23),_xll.DBSS(Input!K23,Input_DBS!$E$1,Input!$C$2,Input!$C$3,Input!$C$4,Input!$C$5,Input!$C$7,K$1,K$2,Input!$A23))</f>
        <v>0</v>
      </c>
      <c r="L23" s="119">
        <f ca="1">IF(Flag_Send_Data="Restit",_xll.DBRW($C$1,$C$2,$C$3,$C$4,$C$6,$C$5,$C$7,L$1,L$2,$A23),_xll.DBSS(Input!L23,Input_DBS!$E$1,Input!$C$2,Input!$C$3,Input!$C$4,Input!$C$5,Input!$C$7,L$1,L$2,Input!$A23))</f>
        <v>0</v>
      </c>
      <c r="M23" s="119">
        <f ca="1">IF(Flag_Send_Data="Restit",_xll.DBRW($C$1,$C$2,$C$3,$C$4,$C$6,$C$5,$C$7,M$1,M$2,$A23),_xll.DBSS(Input!M23,Input_DBS!$E$1,Input!$C$2,Input!$C$3,Input!$C$4,Input!$C$5,Input!$C$7,M$1,M$2,Input!$A23))</f>
        <v>0</v>
      </c>
      <c r="N23" s="119">
        <f ca="1">IF(Flag_Send_Data="Restit",_xll.DBRW($C$1,$C$2,$C$3,$C$4,$C$6,$C$5,$C$7,N$1,N$2,$A23),_xll.DBSS(Input!N23,Input_DBS!$E$1,Input!$C$2,Input!$C$3,Input!$C$4,Input!$C$5,Input!$C$7,N$1,N$2,Input!$A23))</f>
        <v>0</v>
      </c>
      <c r="O23" s="119">
        <f ca="1">IF(Flag_Send_Data="Restit",_xll.DBRW($C$1,$C$2,$C$3,$C$4,$C$6,$C$5,$C$7,O$1,O$2,$A23),_xll.DBSS(Input!O23,Input_DBS!$E$1,Input!$C$2,Input!$C$3,Input!$C$4,Input!$C$5,Input!$C$7,O$1,O$2,Input!$A23))</f>
        <v>0</v>
      </c>
      <c r="P23" s="119">
        <f ca="1">IF(Flag_Send_Data="Restit",_xll.DBRW($C$1,$C$2,$C$3,$C$4,$C$6,$C$5,$C$7,P$1,P$2,$A23),_xll.DBSS(Input!P23,Input_DBS!$E$1,Input!$C$2,Input!$C$3,Input!$C$4,Input!$C$5,Input!$C$7,P$1,P$2,Input!$A23))</f>
        <v>0</v>
      </c>
      <c r="Q23" s="119">
        <f ca="1">IF(Flag_Send_Data="Restit",_xll.DBRW($C$1,$C$2,$C$3,$C$4,$C$6,$C$5,$C$7,Q$1,Q$2,$A23),_xll.DBSS(Input!Q23,Input_DBS!$E$1,Input!$C$2,Input!$C$3,Input!$C$4,Input!$C$5,Input!$C$7,Q$1,Q$2,Input!$A23))</f>
        <v>0</v>
      </c>
      <c r="R23" s="119">
        <f ca="1">IF(Flag_Send_Data="Restit",_xll.DBRW($C$1,$C$2,$C$3,$C$4,$C$6,$C$5,$C$7,R$1,R$2,$A23),_xll.DBSS(Input!R23,Input_DBS!$E$1,Input!$C$2,Input!$C$3,Input!$C$4,Input!$C$5,Input!$C$7,R$1,R$2,Input!$A23))</f>
        <v>0</v>
      </c>
      <c r="S23" s="119"/>
    </row>
    <row r="24" spans="1:19" ht="15.75" outlineLevel="1">
      <c r="A24" s="74" t="s">
        <v>345</v>
      </c>
      <c r="B24" s="74"/>
      <c r="E24" s="9" t="str">
        <f ca="1">_xll.DBRW(Server&amp;"}ElementAttributes_Indicator",A24,"code_English")</f>
        <v>Tot_km_heavy_rail - Total KM driven by heavy rail</v>
      </c>
      <c r="F24" s="119">
        <f ca="1">IF(Flag_Send_Data="Restit",_xll.DBRW($C$1,$C$2,$C$3,$C$4,$C$6,$C$5,$C$7,F$1,F$2,$A24),_xll.DBSS(Input!F24,Input_DBS!$E$1,Input!$C$2,Input!$C$3,Input!$C$4,Input!$C$5,Input!$C$7,F$1,F$2,Input!$A24))</f>
        <v>0</v>
      </c>
      <c r="G24" s="119">
        <f ca="1">IF(Flag_Send_Data="Restit",_xll.DBRW($C$1,$C$2,$C$3,$C$4,$C$6,$C$5,$C$7,G$1,G$2,$A24),_xll.DBSS(Input!G24,Input_DBS!$E$1,Input!$C$2,Input!$C$3,Input!$C$4,Input!$C$5,Input!$C$7,G$1,G$2,Input!$A24))</f>
        <v>0</v>
      </c>
      <c r="H24" s="119">
        <f ca="1">IF(Flag_Send_Data="Restit",_xll.DBRW($C$1,$C$2,$C$3,$C$4,$C$6,$C$5,$C$7,H$1,H$2,$A24),_xll.DBSS(Input!H24,Input_DBS!$E$1,Input!$C$2,Input!$C$3,Input!$C$4,Input!$C$5,Input!$C$7,H$1,H$2,Input!$A24))</f>
        <v>0</v>
      </c>
      <c r="I24" s="119">
        <f ca="1">IF(Flag_Send_Data="Restit",_xll.DBRW($C$1,$C$2,$C$3,$C$4,$C$6,$C$5,$C$7,I$1,I$2,$A24),_xll.DBSS(Input!I24,Input_DBS!$E$1,Input!$C$2,Input!$C$3,Input!$C$4,Input!$C$5,Input!$C$7,I$1,I$2,Input!$A24))</f>
        <v>0</v>
      </c>
      <c r="J24" s="119">
        <f ca="1">IF(Flag_Send_Data="Restit",_xll.DBRW($C$1,$C$2,$C$3,$C$4,$C$6,$C$5,$C$7,J$1,J$2,$A24),_xll.DBSS(Input!J24,Input_DBS!$E$1,Input!$C$2,Input!$C$3,Input!$C$4,Input!$C$5,Input!$C$7,J$1,J$2,Input!$A24))</f>
        <v>0</v>
      </c>
      <c r="K24" s="119">
        <f ca="1">IF(Flag_Send_Data="Restit",_xll.DBRW($C$1,$C$2,$C$3,$C$4,$C$6,$C$5,$C$7,K$1,K$2,$A24),_xll.DBSS(Input!K24,Input_DBS!$E$1,Input!$C$2,Input!$C$3,Input!$C$4,Input!$C$5,Input!$C$7,K$1,K$2,Input!$A24))</f>
        <v>0</v>
      </c>
      <c r="L24" s="119">
        <f ca="1">IF(Flag_Send_Data="Restit",_xll.DBRW($C$1,$C$2,$C$3,$C$4,$C$6,$C$5,$C$7,L$1,L$2,$A24),_xll.DBSS(Input!L24,Input_DBS!$E$1,Input!$C$2,Input!$C$3,Input!$C$4,Input!$C$5,Input!$C$7,L$1,L$2,Input!$A24))</f>
        <v>0</v>
      </c>
      <c r="M24" s="119">
        <f ca="1">IF(Flag_Send_Data="Restit",_xll.DBRW($C$1,$C$2,$C$3,$C$4,$C$6,$C$5,$C$7,M$1,M$2,$A24),_xll.DBSS(Input!M24,Input_DBS!$E$1,Input!$C$2,Input!$C$3,Input!$C$4,Input!$C$5,Input!$C$7,M$1,M$2,Input!$A24))</f>
        <v>0</v>
      </c>
      <c r="N24" s="119">
        <f ca="1">IF(Flag_Send_Data="Restit",_xll.DBRW($C$1,$C$2,$C$3,$C$4,$C$6,$C$5,$C$7,N$1,N$2,$A24),_xll.DBSS(Input!N24,Input_DBS!$E$1,Input!$C$2,Input!$C$3,Input!$C$4,Input!$C$5,Input!$C$7,N$1,N$2,Input!$A24))</f>
        <v>0</v>
      </c>
      <c r="O24" s="119">
        <f ca="1">IF(Flag_Send_Data="Restit",_xll.DBRW($C$1,$C$2,$C$3,$C$4,$C$6,$C$5,$C$7,O$1,O$2,$A24),_xll.DBSS(Input!O24,Input_DBS!$E$1,Input!$C$2,Input!$C$3,Input!$C$4,Input!$C$5,Input!$C$7,O$1,O$2,Input!$A24))</f>
        <v>0</v>
      </c>
      <c r="P24" s="119">
        <f ca="1">IF(Flag_Send_Data="Restit",_xll.DBRW($C$1,$C$2,$C$3,$C$4,$C$6,$C$5,$C$7,P$1,P$2,$A24),_xll.DBSS(Input!P24,Input_DBS!$E$1,Input!$C$2,Input!$C$3,Input!$C$4,Input!$C$5,Input!$C$7,P$1,P$2,Input!$A24))</f>
        <v>0</v>
      </c>
      <c r="Q24" s="119">
        <f ca="1">IF(Flag_Send_Data="Restit",_xll.DBRW($C$1,$C$2,$C$3,$C$4,$C$6,$C$5,$C$7,Q$1,Q$2,$A24),_xll.DBSS(Input!Q24,Input_DBS!$E$1,Input!$C$2,Input!$C$3,Input!$C$4,Input!$C$5,Input!$C$7,Q$1,Q$2,Input!$A24))</f>
        <v>0</v>
      </c>
      <c r="R24" s="119">
        <f ca="1">IF(Flag_Send_Data="Restit",_xll.DBRW($C$1,$C$2,$C$3,$C$4,$C$6,$C$5,$C$7,R$1,R$2,$A24),_xll.DBSS(Input!R24,Input_DBS!$E$1,Input!$C$2,Input!$C$3,Input!$C$4,Input!$C$5,Input!$C$7,R$1,R$2,Input!$A24))</f>
        <v>0</v>
      </c>
      <c r="S24" s="119"/>
    </row>
    <row r="25" spans="1:19" ht="15.75" outlineLevel="1">
      <c r="A25" s="74" t="s">
        <v>346</v>
      </c>
      <c r="B25" s="74"/>
      <c r="E25" s="9" t="str">
        <f ca="1">_xll.DBRW(Server&amp;"}ElementAttributes_Indicator",A25,"code_English")</f>
        <v>Tot_km_BRT - Total KM driven by BRT</v>
      </c>
      <c r="F25" s="119">
        <f ca="1">IF(Flag_Send_Data="Restit",_xll.DBRW($C$1,$C$2,$C$3,$C$4,$C$6,$C$5,$C$7,F$1,F$2,$A25),_xll.DBSS(Input!F25,Input_DBS!$E$1,Input!$C$2,Input!$C$3,Input!$C$4,Input!$C$5,Input!$C$7,F$1,F$2,Input!$A25))</f>
        <v>0</v>
      </c>
      <c r="G25" s="119">
        <f ca="1">IF(Flag_Send_Data="Restit",_xll.DBRW($C$1,$C$2,$C$3,$C$4,$C$6,$C$5,$C$7,G$1,G$2,$A25),_xll.DBSS(Input!G25,Input_DBS!$E$1,Input!$C$2,Input!$C$3,Input!$C$4,Input!$C$5,Input!$C$7,G$1,G$2,Input!$A25))</f>
        <v>0</v>
      </c>
      <c r="H25" s="119">
        <f ca="1">IF(Flag_Send_Data="Restit",_xll.DBRW($C$1,$C$2,$C$3,$C$4,$C$6,$C$5,$C$7,H$1,H$2,$A25),_xll.DBSS(Input!H25,Input_DBS!$E$1,Input!$C$2,Input!$C$3,Input!$C$4,Input!$C$5,Input!$C$7,H$1,H$2,Input!$A25))</f>
        <v>0</v>
      </c>
      <c r="I25" s="119">
        <f ca="1">IF(Flag_Send_Data="Restit",_xll.DBRW($C$1,$C$2,$C$3,$C$4,$C$6,$C$5,$C$7,I$1,I$2,$A25),_xll.DBSS(Input!I25,Input_DBS!$E$1,Input!$C$2,Input!$C$3,Input!$C$4,Input!$C$5,Input!$C$7,I$1,I$2,Input!$A25))</f>
        <v>0</v>
      </c>
      <c r="J25" s="119">
        <f ca="1">IF(Flag_Send_Data="Restit",_xll.DBRW($C$1,$C$2,$C$3,$C$4,$C$6,$C$5,$C$7,J$1,J$2,$A25),_xll.DBSS(Input!J25,Input_DBS!$E$1,Input!$C$2,Input!$C$3,Input!$C$4,Input!$C$5,Input!$C$7,J$1,J$2,Input!$A25))</f>
        <v>0</v>
      </c>
      <c r="K25" s="119">
        <f ca="1">IF(Flag_Send_Data="Restit",_xll.DBRW($C$1,$C$2,$C$3,$C$4,$C$6,$C$5,$C$7,K$1,K$2,$A25),_xll.DBSS(Input!K25,Input_DBS!$E$1,Input!$C$2,Input!$C$3,Input!$C$4,Input!$C$5,Input!$C$7,K$1,K$2,Input!$A25))</f>
        <v>0</v>
      </c>
      <c r="L25" s="119">
        <f ca="1">IF(Flag_Send_Data="Restit",_xll.DBRW($C$1,$C$2,$C$3,$C$4,$C$6,$C$5,$C$7,L$1,L$2,$A25),_xll.DBSS(Input!L25,Input_DBS!$E$1,Input!$C$2,Input!$C$3,Input!$C$4,Input!$C$5,Input!$C$7,L$1,L$2,Input!$A25))</f>
        <v>0</v>
      </c>
      <c r="M25" s="119">
        <f ca="1">IF(Flag_Send_Data="Restit",_xll.DBRW($C$1,$C$2,$C$3,$C$4,$C$6,$C$5,$C$7,M$1,M$2,$A25),_xll.DBSS(Input!M25,Input_DBS!$E$1,Input!$C$2,Input!$C$3,Input!$C$4,Input!$C$5,Input!$C$7,M$1,M$2,Input!$A25))</f>
        <v>0</v>
      </c>
      <c r="N25" s="119">
        <f ca="1">IF(Flag_Send_Data="Restit",_xll.DBRW($C$1,$C$2,$C$3,$C$4,$C$6,$C$5,$C$7,N$1,N$2,$A25),_xll.DBSS(Input!N25,Input_DBS!$E$1,Input!$C$2,Input!$C$3,Input!$C$4,Input!$C$5,Input!$C$7,N$1,N$2,Input!$A25))</f>
        <v>0</v>
      </c>
      <c r="O25" s="119">
        <f ca="1">IF(Flag_Send_Data="Restit",_xll.DBRW($C$1,$C$2,$C$3,$C$4,$C$6,$C$5,$C$7,O$1,O$2,$A25),_xll.DBSS(Input!O25,Input_DBS!$E$1,Input!$C$2,Input!$C$3,Input!$C$4,Input!$C$5,Input!$C$7,O$1,O$2,Input!$A25))</f>
        <v>0</v>
      </c>
      <c r="P25" s="119">
        <f ca="1">IF(Flag_Send_Data="Restit",_xll.DBRW($C$1,$C$2,$C$3,$C$4,$C$6,$C$5,$C$7,P$1,P$2,$A25),_xll.DBSS(Input!P25,Input_DBS!$E$1,Input!$C$2,Input!$C$3,Input!$C$4,Input!$C$5,Input!$C$7,P$1,P$2,Input!$A25))</f>
        <v>0</v>
      </c>
      <c r="Q25" s="119">
        <f ca="1">IF(Flag_Send_Data="Restit",_xll.DBRW($C$1,$C$2,$C$3,$C$4,$C$6,$C$5,$C$7,Q$1,Q$2,$A25),_xll.DBSS(Input!Q25,Input_DBS!$E$1,Input!$C$2,Input!$C$3,Input!$C$4,Input!$C$5,Input!$C$7,Q$1,Q$2,Input!$A25))</f>
        <v>0</v>
      </c>
      <c r="R25" s="119">
        <f ca="1">IF(Flag_Send_Data="Restit",_xll.DBRW($C$1,$C$2,$C$3,$C$4,$C$6,$C$5,$C$7,R$1,R$2,$A25),_xll.DBSS(Input!R25,Input_DBS!$E$1,Input!$C$2,Input!$C$3,Input!$C$4,Input!$C$5,Input!$C$7,R$1,R$2,Input!$A25))</f>
        <v>0</v>
      </c>
      <c r="S25" s="119"/>
    </row>
    <row r="26" spans="1:19" ht="15.75" outlineLevel="1">
      <c r="A26" s="74" t="s">
        <v>347</v>
      </c>
      <c r="B26" s="74"/>
      <c r="E26" s="9" t="str">
        <f ca="1">_xll.DBRW(Server&amp;"}ElementAttributes_Indicator",A26,"code_English")</f>
        <v>Tot_km_ferries - Total KM driven by ferries</v>
      </c>
      <c r="F26" s="119">
        <f ca="1">IF(Flag_Send_Data="Restit",_xll.DBRW($C$1,$C$2,$C$3,$C$4,$C$6,$C$5,$C$7,F$1,F$2,$A26),_xll.DBSS(Input!F26,Input_DBS!$E$1,Input!$C$2,Input!$C$3,Input!$C$4,Input!$C$5,Input!$C$7,F$1,F$2,Input!$A26))</f>
        <v>0</v>
      </c>
      <c r="G26" s="119">
        <f ca="1">IF(Flag_Send_Data="Restit",_xll.DBRW($C$1,$C$2,$C$3,$C$4,$C$6,$C$5,$C$7,G$1,G$2,$A26),_xll.DBSS(Input!G26,Input_DBS!$E$1,Input!$C$2,Input!$C$3,Input!$C$4,Input!$C$5,Input!$C$7,G$1,G$2,Input!$A26))</f>
        <v>0</v>
      </c>
      <c r="H26" s="119">
        <f ca="1">IF(Flag_Send_Data="Restit",_xll.DBRW($C$1,$C$2,$C$3,$C$4,$C$6,$C$5,$C$7,H$1,H$2,$A26),_xll.DBSS(Input!H26,Input_DBS!$E$1,Input!$C$2,Input!$C$3,Input!$C$4,Input!$C$5,Input!$C$7,H$1,H$2,Input!$A26))</f>
        <v>0</v>
      </c>
      <c r="I26" s="119">
        <f ca="1">IF(Flag_Send_Data="Restit",_xll.DBRW($C$1,$C$2,$C$3,$C$4,$C$6,$C$5,$C$7,I$1,I$2,$A26),_xll.DBSS(Input!I26,Input_DBS!$E$1,Input!$C$2,Input!$C$3,Input!$C$4,Input!$C$5,Input!$C$7,I$1,I$2,Input!$A26))</f>
        <v>0</v>
      </c>
      <c r="J26" s="119">
        <f ca="1">IF(Flag_Send_Data="Restit",_xll.DBRW($C$1,$C$2,$C$3,$C$4,$C$6,$C$5,$C$7,J$1,J$2,$A26),_xll.DBSS(Input!J26,Input_DBS!$E$1,Input!$C$2,Input!$C$3,Input!$C$4,Input!$C$5,Input!$C$7,J$1,J$2,Input!$A26))</f>
        <v>0</v>
      </c>
      <c r="K26" s="119">
        <f ca="1">IF(Flag_Send_Data="Restit",_xll.DBRW($C$1,$C$2,$C$3,$C$4,$C$6,$C$5,$C$7,K$1,K$2,$A26),_xll.DBSS(Input!K26,Input_DBS!$E$1,Input!$C$2,Input!$C$3,Input!$C$4,Input!$C$5,Input!$C$7,K$1,K$2,Input!$A26))</f>
        <v>0</v>
      </c>
      <c r="L26" s="119">
        <f ca="1">IF(Flag_Send_Data="Restit",_xll.DBRW($C$1,$C$2,$C$3,$C$4,$C$6,$C$5,$C$7,L$1,L$2,$A26),_xll.DBSS(Input!L26,Input_DBS!$E$1,Input!$C$2,Input!$C$3,Input!$C$4,Input!$C$5,Input!$C$7,L$1,L$2,Input!$A26))</f>
        <v>0</v>
      </c>
      <c r="M26" s="119">
        <f ca="1">IF(Flag_Send_Data="Restit",_xll.DBRW($C$1,$C$2,$C$3,$C$4,$C$6,$C$5,$C$7,M$1,M$2,$A26),_xll.DBSS(Input!M26,Input_DBS!$E$1,Input!$C$2,Input!$C$3,Input!$C$4,Input!$C$5,Input!$C$7,M$1,M$2,Input!$A26))</f>
        <v>0</v>
      </c>
      <c r="N26" s="119">
        <f ca="1">IF(Flag_Send_Data="Restit",_xll.DBRW($C$1,$C$2,$C$3,$C$4,$C$6,$C$5,$C$7,N$1,N$2,$A26),_xll.DBSS(Input!N26,Input_DBS!$E$1,Input!$C$2,Input!$C$3,Input!$C$4,Input!$C$5,Input!$C$7,N$1,N$2,Input!$A26))</f>
        <v>0</v>
      </c>
      <c r="O26" s="119">
        <f ca="1">IF(Flag_Send_Data="Restit",_xll.DBRW($C$1,$C$2,$C$3,$C$4,$C$6,$C$5,$C$7,O$1,O$2,$A26),_xll.DBSS(Input!O26,Input_DBS!$E$1,Input!$C$2,Input!$C$3,Input!$C$4,Input!$C$5,Input!$C$7,O$1,O$2,Input!$A26))</f>
        <v>0</v>
      </c>
      <c r="P26" s="119">
        <f ca="1">IF(Flag_Send_Data="Restit",_xll.DBRW($C$1,$C$2,$C$3,$C$4,$C$6,$C$5,$C$7,P$1,P$2,$A26),_xll.DBSS(Input!P26,Input_DBS!$E$1,Input!$C$2,Input!$C$3,Input!$C$4,Input!$C$5,Input!$C$7,P$1,P$2,Input!$A26))</f>
        <v>0</v>
      </c>
      <c r="Q26" s="119">
        <f ca="1">IF(Flag_Send_Data="Restit",_xll.DBRW($C$1,$C$2,$C$3,$C$4,$C$6,$C$5,$C$7,Q$1,Q$2,$A26),_xll.DBSS(Input!Q26,Input_DBS!$E$1,Input!$C$2,Input!$C$3,Input!$C$4,Input!$C$5,Input!$C$7,Q$1,Q$2,Input!$A26))</f>
        <v>0</v>
      </c>
      <c r="R26" s="119">
        <f ca="1">IF(Flag_Send_Data="Restit",_xll.DBRW($C$1,$C$2,$C$3,$C$4,$C$6,$C$5,$C$7,R$1,R$2,$A26),_xll.DBSS(Input!R26,Input_DBS!$E$1,Input!$C$2,Input!$C$3,Input!$C$4,Input!$C$5,Input!$C$7,R$1,R$2,Input!$A26))</f>
        <v>0</v>
      </c>
      <c r="S26" s="119"/>
    </row>
    <row r="27" spans="1:19" ht="15.75" outlineLevel="1">
      <c r="A27" s="1" t="s">
        <v>74</v>
      </c>
      <c r="E27" s="9" t="str">
        <f ca="1">_xll.DBRW(Server&amp;"}ElementAttributes_Indicator",A27,"code_English")</f>
        <v>Tot_km_fuel - Total KM driven by fuel</v>
      </c>
      <c r="F27" s="119">
        <f ca="1">IF(Flag_Send_Data="Restit",_xll.DBRW($C$1,$C$2,$C$3,$C$4,$C$6,$C$5,$C$7,F$1,F$2,$A27),_xll.DBSS(Input!F27,Input_DBS!$E$1,Input!$C$2,Input!$C$3,Input!$C$4,Input!$C$5,Input!$C$7,F$1,F$2,Input!$A27))</f>
        <v>0</v>
      </c>
      <c r="G27" s="119">
        <f ca="1">IF(Flag_Send_Data="Restit",_xll.DBRW($C$1,$C$2,$C$3,$C$4,$C$6,$C$5,$C$7,G$1,G$2,$A27),_xll.DBSS(Input!G27,Input_DBS!$E$1,Input!$C$2,Input!$C$3,Input!$C$4,Input!$C$5,Input!$C$7,G$1,G$2,Input!$A27))</f>
        <v>0</v>
      </c>
      <c r="H27" s="119">
        <f ca="1">IF(Flag_Send_Data="Restit",_xll.DBRW($C$1,$C$2,$C$3,$C$4,$C$6,$C$5,$C$7,H$1,H$2,$A27),_xll.DBSS(Input!H27,Input_DBS!$E$1,Input!$C$2,Input!$C$3,Input!$C$4,Input!$C$5,Input!$C$7,H$1,H$2,Input!$A27))</f>
        <v>0</v>
      </c>
      <c r="I27" s="119">
        <f ca="1">IF(Flag_Send_Data="Restit",_xll.DBRW($C$1,$C$2,$C$3,$C$4,$C$6,$C$5,$C$7,I$1,I$2,$A27),_xll.DBSS(Input!I27,Input_DBS!$E$1,Input!$C$2,Input!$C$3,Input!$C$4,Input!$C$5,Input!$C$7,I$1,I$2,Input!$A27))</f>
        <v>0</v>
      </c>
      <c r="J27" s="119">
        <f ca="1">IF(Flag_Send_Data="Restit",_xll.DBRW($C$1,$C$2,$C$3,$C$4,$C$6,$C$5,$C$7,J$1,J$2,$A27),_xll.DBSS(Input!J27,Input_DBS!$E$1,Input!$C$2,Input!$C$3,Input!$C$4,Input!$C$5,Input!$C$7,J$1,J$2,Input!$A27))</f>
        <v>0</v>
      </c>
      <c r="K27" s="119">
        <f ca="1">IF(Flag_Send_Data="Restit",_xll.DBRW($C$1,$C$2,$C$3,$C$4,$C$6,$C$5,$C$7,K$1,K$2,$A27),_xll.DBSS(Input!K27,Input_DBS!$E$1,Input!$C$2,Input!$C$3,Input!$C$4,Input!$C$5,Input!$C$7,K$1,K$2,Input!$A27))</f>
        <v>0</v>
      </c>
      <c r="L27" s="119">
        <f ca="1">IF(Flag_Send_Data="Restit",_xll.DBRW($C$1,$C$2,$C$3,$C$4,$C$6,$C$5,$C$7,L$1,L$2,$A27),_xll.DBSS(Input!L27,Input_DBS!$E$1,Input!$C$2,Input!$C$3,Input!$C$4,Input!$C$5,Input!$C$7,L$1,L$2,Input!$A27))</f>
        <v>0</v>
      </c>
      <c r="M27" s="119">
        <f ca="1">IF(Flag_Send_Data="Restit",_xll.DBRW($C$1,$C$2,$C$3,$C$4,$C$6,$C$5,$C$7,M$1,M$2,$A27),_xll.DBSS(Input!M27,Input_DBS!$E$1,Input!$C$2,Input!$C$3,Input!$C$4,Input!$C$5,Input!$C$7,M$1,M$2,Input!$A27))</f>
        <v>0</v>
      </c>
      <c r="N27" s="119">
        <f ca="1">IF(Flag_Send_Data="Restit",_xll.DBRW($C$1,$C$2,$C$3,$C$4,$C$6,$C$5,$C$7,N$1,N$2,$A27),_xll.DBSS(Input!N27,Input_DBS!$E$1,Input!$C$2,Input!$C$3,Input!$C$4,Input!$C$5,Input!$C$7,N$1,N$2,Input!$A27))</f>
        <v>0</v>
      </c>
      <c r="O27" s="119">
        <f ca="1">IF(Flag_Send_Data="Restit",_xll.DBRW($C$1,$C$2,$C$3,$C$4,$C$6,$C$5,$C$7,O$1,O$2,$A27),_xll.DBSS(Input!O27,Input_DBS!$E$1,Input!$C$2,Input!$C$3,Input!$C$4,Input!$C$5,Input!$C$7,O$1,O$2,Input!$A27))</f>
        <v>0</v>
      </c>
      <c r="P27" s="119">
        <f ca="1">IF(Flag_Send_Data="Restit",_xll.DBRW($C$1,$C$2,$C$3,$C$4,$C$6,$C$5,$C$7,P$1,P$2,$A27),_xll.DBSS(Input!P27,Input_DBS!$E$1,Input!$C$2,Input!$C$3,Input!$C$4,Input!$C$5,Input!$C$7,P$1,P$2,Input!$A27))</f>
        <v>0</v>
      </c>
      <c r="Q27" s="119">
        <f ca="1">IF(Flag_Send_Data="Restit",_xll.DBRW($C$1,$C$2,$C$3,$C$4,$C$6,$C$5,$C$7,Q$1,Q$2,$A27),_xll.DBSS(Input!Q27,Input_DBS!$E$1,Input!$C$2,Input!$C$3,Input!$C$4,Input!$C$5,Input!$C$7,Q$1,Q$2,Input!$A27))</f>
        <v>0</v>
      </c>
      <c r="R27" s="119">
        <f ca="1">IF(Flag_Send_Data="Restit",_xll.DBRW($C$1,$C$2,$C$3,$C$4,$C$6,$C$5,$C$7,R$1,R$2,$A27),_xll.DBSS(Input!R27,Input_DBS!$E$1,Input!$C$2,Input!$C$3,Input!$C$4,Input!$C$5,Input!$C$7,R$1,R$2,Input!$A27))</f>
        <v>0</v>
      </c>
      <c r="S27" s="119"/>
    </row>
    <row r="28" spans="1:19" ht="15.75" outlineLevel="1">
      <c r="A28" s="1" t="s">
        <v>75</v>
      </c>
      <c r="E28" s="9" t="str">
        <f ca="1">_xll.DBRW(Server&amp;"}ElementAttributes_Indicator",A28,"code_English")</f>
        <v>Tot_km_biofuel - Total KM driven by biofuel</v>
      </c>
      <c r="F28" s="119">
        <f ca="1">IF(Flag_Send_Data="Restit",_xll.DBRW($C$1,$C$2,$C$3,$C$4,$C$6,$C$5,$C$7,F$1,F$2,$A28),_xll.DBSS(Input!F28,Input_DBS!$E$1,Input!$C$2,Input!$C$3,Input!$C$4,Input!$C$5,Input!$C$7,F$1,F$2,Input!$A28))</f>
        <v>0</v>
      </c>
      <c r="G28" s="119">
        <f ca="1">IF(Flag_Send_Data="Restit",_xll.DBRW($C$1,$C$2,$C$3,$C$4,$C$6,$C$5,$C$7,G$1,G$2,$A28),_xll.DBSS(Input!G28,Input_DBS!$E$1,Input!$C$2,Input!$C$3,Input!$C$4,Input!$C$5,Input!$C$7,G$1,G$2,Input!$A28))</f>
        <v>0</v>
      </c>
      <c r="H28" s="119">
        <f ca="1">IF(Flag_Send_Data="Restit",_xll.DBRW($C$1,$C$2,$C$3,$C$4,$C$6,$C$5,$C$7,H$1,H$2,$A28),_xll.DBSS(Input!H28,Input_DBS!$E$1,Input!$C$2,Input!$C$3,Input!$C$4,Input!$C$5,Input!$C$7,H$1,H$2,Input!$A28))</f>
        <v>0</v>
      </c>
      <c r="I28" s="119">
        <f ca="1">IF(Flag_Send_Data="Restit",_xll.DBRW($C$1,$C$2,$C$3,$C$4,$C$6,$C$5,$C$7,I$1,I$2,$A28),_xll.DBSS(Input!I28,Input_DBS!$E$1,Input!$C$2,Input!$C$3,Input!$C$4,Input!$C$5,Input!$C$7,I$1,I$2,Input!$A28))</f>
        <v>0</v>
      </c>
      <c r="J28" s="119">
        <f ca="1">IF(Flag_Send_Data="Restit",_xll.DBRW($C$1,$C$2,$C$3,$C$4,$C$6,$C$5,$C$7,J$1,J$2,$A28),_xll.DBSS(Input!J28,Input_DBS!$E$1,Input!$C$2,Input!$C$3,Input!$C$4,Input!$C$5,Input!$C$7,J$1,J$2,Input!$A28))</f>
        <v>0</v>
      </c>
      <c r="K28" s="119">
        <f ca="1">IF(Flag_Send_Data="Restit",_xll.DBRW($C$1,$C$2,$C$3,$C$4,$C$6,$C$5,$C$7,K$1,K$2,$A28),_xll.DBSS(Input!K28,Input_DBS!$E$1,Input!$C$2,Input!$C$3,Input!$C$4,Input!$C$5,Input!$C$7,K$1,K$2,Input!$A28))</f>
        <v>0</v>
      </c>
      <c r="L28" s="119">
        <f ca="1">IF(Flag_Send_Data="Restit",_xll.DBRW($C$1,$C$2,$C$3,$C$4,$C$6,$C$5,$C$7,L$1,L$2,$A28),_xll.DBSS(Input!L28,Input_DBS!$E$1,Input!$C$2,Input!$C$3,Input!$C$4,Input!$C$5,Input!$C$7,L$1,L$2,Input!$A28))</f>
        <v>0</v>
      </c>
      <c r="M28" s="119">
        <f ca="1">IF(Flag_Send_Data="Restit",_xll.DBRW($C$1,$C$2,$C$3,$C$4,$C$6,$C$5,$C$7,M$1,M$2,$A28),_xll.DBSS(Input!M28,Input_DBS!$E$1,Input!$C$2,Input!$C$3,Input!$C$4,Input!$C$5,Input!$C$7,M$1,M$2,Input!$A28))</f>
        <v>0</v>
      </c>
      <c r="N28" s="119">
        <f ca="1">IF(Flag_Send_Data="Restit",_xll.DBRW($C$1,$C$2,$C$3,$C$4,$C$6,$C$5,$C$7,N$1,N$2,$A28),_xll.DBSS(Input!N28,Input_DBS!$E$1,Input!$C$2,Input!$C$3,Input!$C$4,Input!$C$5,Input!$C$7,N$1,N$2,Input!$A28))</f>
        <v>0</v>
      </c>
      <c r="O28" s="119">
        <f ca="1">IF(Flag_Send_Data="Restit",_xll.DBRW($C$1,$C$2,$C$3,$C$4,$C$6,$C$5,$C$7,O$1,O$2,$A28),_xll.DBSS(Input!O28,Input_DBS!$E$1,Input!$C$2,Input!$C$3,Input!$C$4,Input!$C$5,Input!$C$7,O$1,O$2,Input!$A28))</f>
        <v>0</v>
      </c>
      <c r="P28" s="119">
        <f ca="1">IF(Flag_Send_Data="Restit",_xll.DBRW($C$1,$C$2,$C$3,$C$4,$C$6,$C$5,$C$7,P$1,P$2,$A28),_xll.DBSS(Input!P28,Input_DBS!$E$1,Input!$C$2,Input!$C$3,Input!$C$4,Input!$C$5,Input!$C$7,P$1,P$2,Input!$A28))</f>
        <v>0</v>
      </c>
      <c r="Q28" s="119">
        <f ca="1">IF(Flag_Send_Data="Restit",_xll.DBRW($C$1,$C$2,$C$3,$C$4,$C$6,$C$5,$C$7,Q$1,Q$2,$A28),_xll.DBSS(Input!Q28,Input_DBS!$E$1,Input!$C$2,Input!$C$3,Input!$C$4,Input!$C$5,Input!$C$7,Q$1,Q$2,Input!$A28))</f>
        <v>0</v>
      </c>
      <c r="R28" s="119">
        <f ca="1">IF(Flag_Send_Data="Restit",_xll.DBRW($C$1,$C$2,$C$3,$C$4,$C$6,$C$5,$C$7,R$1,R$2,$A28),_xll.DBSS(Input!R28,Input_DBS!$E$1,Input!$C$2,Input!$C$3,Input!$C$4,Input!$C$5,Input!$C$7,R$1,R$2,Input!$A28))</f>
        <v>0</v>
      </c>
      <c r="S28" s="119"/>
    </row>
    <row r="29" spans="1:19" ht="15.75" outlineLevel="1">
      <c r="A29" s="1" t="s">
        <v>76</v>
      </c>
      <c r="E29" s="9" t="str">
        <f ca="1">_xll.DBRW(Server&amp;"}ElementAttributes_Indicator",A29,"code_English")</f>
        <v>Tot_km_elec - Total KM driven by electricity</v>
      </c>
      <c r="F29" s="119">
        <f ca="1">IF(Flag_Send_Data="Restit",_xll.DBRW($C$1,$C$2,$C$3,$C$4,$C$6,$C$5,$C$7,F$1,F$2,$A29),_xll.DBSS(Input!F29,Input_DBS!$E$1,Input!$C$2,Input!$C$3,Input!$C$4,Input!$C$5,Input!$C$7,F$1,F$2,Input!$A29))</f>
        <v>0</v>
      </c>
      <c r="G29" s="119">
        <f ca="1">IF(Flag_Send_Data="Restit",_xll.DBRW($C$1,$C$2,$C$3,$C$4,$C$6,$C$5,$C$7,G$1,G$2,$A29),_xll.DBSS(Input!G29,Input_DBS!$E$1,Input!$C$2,Input!$C$3,Input!$C$4,Input!$C$5,Input!$C$7,G$1,G$2,Input!$A29))</f>
        <v>0</v>
      </c>
      <c r="H29" s="119">
        <f ca="1">IF(Flag_Send_Data="Restit",_xll.DBRW($C$1,$C$2,$C$3,$C$4,$C$6,$C$5,$C$7,H$1,H$2,$A29),_xll.DBSS(Input!H29,Input_DBS!$E$1,Input!$C$2,Input!$C$3,Input!$C$4,Input!$C$5,Input!$C$7,H$1,H$2,Input!$A29))</f>
        <v>0</v>
      </c>
      <c r="I29" s="119">
        <f ca="1">IF(Flag_Send_Data="Restit",_xll.DBRW($C$1,$C$2,$C$3,$C$4,$C$6,$C$5,$C$7,I$1,I$2,$A29),_xll.DBSS(Input!I29,Input_DBS!$E$1,Input!$C$2,Input!$C$3,Input!$C$4,Input!$C$5,Input!$C$7,I$1,I$2,Input!$A29))</f>
        <v>0</v>
      </c>
      <c r="J29" s="119">
        <f ca="1">IF(Flag_Send_Data="Restit",_xll.DBRW($C$1,$C$2,$C$3,$C$4,$C$6,$C$5,$C$7,J$1,J$2,$A29),_xll.DBSS(Input!J29,Input_DBS!$E$1,Input!$C$2,Input!$C$3,Input!$C$4,Input!$C$5,Input!$C$7,J$1,J$2,Input!$A29))</f>
        <v>0</v>
      </c>
      <c r="K29" s="119">
        <f ca="1">IF(Flag_Send_Data="Restit",_xll.DBRW($C$1,$C$2,$C$3,$C$4,$C$6,$C$5,$C$7,K$1,K$2,$A29),_xll.DBSS(Input!K29,Input_DBS!$E$1,Input!$C$2,Input!$C$3,Input!$C$4,Input!$C$5,Input!$C$7,K$1,K$2,Input!$A29))</f>
        <v>0</v>
      </c>
      <c r="L29" s="119">
        <f ca="1">IF(Flag_Send_Data="Restit",_xll.DBRW($C$1,$C$2,$C$3,$C$4,$C$6,$C$5,$C$7,L$1,L$2,$A29),_xll.DBSS(Input!L29,Input_DBS!$E$1,Input!$C$2,Input!$C$3,Input!$C$4,Input!$C$5,Input!$C$7,L$1,L$2,Input!$A29))</f>
        <v>0</v>
      </c>
      <c r="M29" s="119">
        <f ca="1">IF(Flag_Send_Data="Restit",_xll.DBRW($C$1,$C$2,$C$3,$C$4,$C$6,$C$5,$C$7,M$1,M$2,$A29),_xll.DBSS(Input!M29,Input_DBS!$E$1,Input!$C$2,Input!$C$3,Input!$C$4,Input!$C$5,Input!$C$7,M$1,M$2,Input!$A29))</f>
        <v>0</v>
      </c>
      <c r="N29" s="119">
        <f ca="1">IF(Flag_Send_Data="Restit",_xll.DBRW($C$1,$C$2,$C$3,$C$4,$C$6,$C$5,$C$7,N$1,N$2,$A29),_xll.DBSS(Input!N29,Input_DBS!$E$1,Input!$C$2,Input!$C$3,Input!$C$4,Input!$C$5,Input!$C$7,N$1,N$2,Input!$A29))</f>
        <v>0</v>
      </c>
      <c r="O29" s="119">
        <f ca="1">IF(Flag_Send_Data="Restit",_xll.DBRW($C$1,$C$2,$C$3,$C$4,$C$6,$C$5,$C$7,O$1,O$2,$A29),_xll.DBSS(Input!O29,Input_DBS!$E$1,Input!$C$2,Input!$C$3,Input!$C$4,Input!$C$5,Input!$C$7,O$1,O$2,Input!$A29))</f>
        <v>0</v>
      </c>
      <c r="P29" s="119">
        <f ca="1">IF(Flag_Send_Data="Restit",_xll.DBRW($C$1,$C$2,$C$3,$C$4,$C$6,$C$5,$C$7,P$1,P$2,$A29),_xll.DBSS(Input!P29,Input_DBS!$E$1,Input!$C$2,Input!$C$3,Input!$C$4,Input!$C$5,Input!$C$7,P$1,P$2,Input!$A29))</f>
        <v>0</v>
      </c>
      <c r="Q29" s="119">
        <f ca="1">IF(Flag_Send_Data="Restit",_xll.DBRW($C$1,$C$2,$C$3,$C$4,$C$6,$C$5,$C$7,Q$1,Q$2,$A29),_xll.DBSS(Input!Q29,Input_DBS!$E$1,Input!$C$2,Input!$C$3,Input!$C$4,Input!$C$5,Input!$C$7,Q$1,Q$2,Input!$A29))</f>
        <v>0</v>
      </c>
      <c r="R29" s="119">
        <f ca="1">IF(Flag_Send_Data="Restit",_xll.DBRW($C$1,$C$2,$C$3,$C$4,$C$6,$C$5,$C$7,R$1,R$2,$A29),_xll.DBSS(Input!R29,Input_DBS!$E$1,Input!$C$2,Input!$C$3,Input!$C$4,Input!$C$5,Input!$C$7,R$1,R$2,Input!$A29))</f>
        <v>0</v>
      </c>
      <c r="S29" s="119"/>
    </row>
    <row r="30" spans="1:19" ht="15.75" outlineLevel="1">
      <c r="A30" s="1" t="s">
        <v>77</v>
      </c>
      <c r="E30" s="9" t="str">
        <f ca="1">_xll.DBRW(Server&amp;"}ElementAttributes_Indicator",A30,"code_English")</f>
        <v>Tot_km_gas - Total KM driven by gas</v>
      </c>
      <c r="F30" s="119">
        <f ca="1">IF(Flag_Send_Data="Restit",_xll.DBRW($C$1,$C$2,$C$3,$C$4,$C$6,$C$5,$C$7,F$1,F$2,$A30),_xll.DBSS(Input!F30,Input_DBS!$E$1,Input!$C$2,Input!$C$3,Input!$C$4,Input!$C$5,Input!$C$7,F$1,F$2,Input!$A30))</f>
        <v>0</v>
      </c>
      <c r="G30" s="119">
        <f ca="1">IF(Flag_Send_Data="Restit",_xll.DBRW($C$1,$C$2,$C$3,$C$4,$C$6,$C$5,$C$7,G$1,G$2,$A30),_xll.DBSS(Input!G30,Input_DBS!$E$1,Input!$C$2,Input!$C$3,Input!$C$4,Input!$C$5,Input!$C$7,G$1,G$2,Input!$A30))</f>
        <v>0</v>
      </c>
      <c r="H30" s="119">
        <f ca="1">IF(Flag_Send_Data="Restit",_xll.DBRW($C$1,$C$2,$C$3,$C$4,$C$6,$C$5,$C$7,H$1,H$2,$A30),_xll.DBSS(Input!H30,Input_DBS!$E$1,Input!$C$2,Input!$C$3,Input!$C$4,Input!$C$5,Input!$C$7,H$1,H$2,Input!$A30))</f>
        <v>0</v>
      </c>
      <c r="I30" s="119">
        <f ca="1">IF(Flag_Send_Data="Restit",_xll.DBRW($C$1,$C$2,$C$3,$C$4,$C$6,$C$5,$C$7,I$1,I$2,$A30),_xll.DBSS(Input!I30,Input_DBS!$E$1,Input!$C$2,Input!$C$3,Input!$C$4,Input!$C$5,Input!$C$7,I$1,I$2,Input!$A30))</f>
        <v>0</v>
      </c>
      <c r="J30" s="119">
        <f ca="1">IF(Flag_Send_Data="Restit",_xll.DBRW($C$1,$C$2,$C$3,$C$4,$C$6,$C$5,$C$7,J$1,J$2,$A30),_xll.DBSS(Input!J30,Input_DBS!$E$1,Input!$C$2,Input!$C$3,Input!$C$4,Input!$C$5,Input!$C$7,J$1,J$2,Input!$A30))</f>
        <v>0</v>
      </c>
      <c r="K30" s="119">
        <f ca="1">IF(Flag_Send_Data="Restit",_xll.DBRW($C$1,$C$2,$C$3,$C$4,$C$6,$C$5,$C$7,K$1,K$2,$A30),_xll.DBSS(Input!K30,Input_DBS!$E$1,Input!$C$2,Input!$C$3,Input!$C$4,Input!$C$5,Input!$C$7,K$1,K$2,Input!$A30))</f>
        <v>0</v>
      </c>
      <c r="L30" s="119">
        <f ca="1">IF(Flag_Send_Data="Restit",_xll.DBRW($C$1,$C$2,$C$3,$C$4,$C$6,$C$5,$C$7,L$1,L$2,$A30),_xll.DBSS(Input!L30,Input_DBS!$E$1,Input!$C$2,Input!$C$3,Input!$C$4,Input!$C$5,Input!$C$7,L$1,L$2,Input!$A30))</f>
        <v>0</v>
      </c>
      <c r="M30" s="119">
        <f ca="1">IF(Flag_Send_Data="Restit",_xll.DBRW($C$1,$C$2,$C$3,$C$4,$C$6,$C$5,$C$7,M$1,M$2,$A30),_xll.DBSS(Input!M30,Input_DBS!$E$1,Input!$C$2,Input!$C$3,Input!$C$4,Input!$C$5,Input!$C$7,M$1,M$2,Input!$A30))</f>
        <v>0</v>
      </c>
      <c r="N30" s="119">
        <f ca="1">IF(Flag_Send_Data="Restit",_xll.DBRW($C$1,$C$2,$C$3,$C$4,$C$6,$C$5,$C$7,N$1,N$2,$A30),_xll.DBSS(Input!N30,Input_DBS!$E$1,Input!$C$2,Input!$C$3,Input!$C$4,Input!$C$5,Input!$C$7,N$1,N$2,Input!$A30))</f>
        <v>0</v>
      </c>
      <c r="O30" s="119">
        <f ca="1">IF(Flag_Send_Data="Restit",_xll.DBRW($C$1,$C$2,$C$3,$C$4,$C$6,$C$5,$C$7,O$1,O$2,$A30),_xll.DBSS(Input!O30,Input_DBS!$E$1,Input!$C$2,Input!$C$3,Input!$C$4,Input!$C$5,Input!$C$7,O$1,O$2,Input!$A30))</f>
        <v>0</v>
      </c>
      <c r="P30" s="119">
        <f ca="1">IF(Flag_Send_Data="Restit",_xll.DBRW($C$1,$C$2,$C$3,$C$4,$C$6,$C$5,$C$7,P$1,P$2,$A30),_xll.DBSS(Input!P30,Input_DBS!$E$1,Input!$C$2,Input!$C$3,Input!$C$4,Input!$C$5,Input!$C$7,P$1,P$2,Input!$A30))</f>
        <v>0</v>
      </c>
      <c r="Q30" s="119">
        <f ca="1">IF(Flag_Send_Data="Restit",_xll.DBRW($C$1,$C$2,$C$3,$C$4,$C$6,$C$5,$C$7,Q$1,Q$2,$A30),_xll.DBSS(Input!Q30,Input_DBS!$E$1,Input!$C$2,Input!$C$3,Input!$C$4,Input!$C$5,Input!$C$7,Q$1,Q$2,Input!$A30))</f>
        <v>0</v>
      </c>
      <c r="R30" s="119">
        <f ca="1">IF(Flag_Send_Data="Restit",_xll.DBRW($C$1,$C$2,$C$3,$C$4,$C$6,$C$5,$C$7,R$1,R$2,$A30),_xll.DBSS(Input!R30,Input_DBS!$E$1,Input!$C$2,Input!$C$3,Input!$C$4,Input!$C$5,Input!$C$7,R$1,R$2,Input!$A30))</f>
        <v>0</v>
      </c>
      <c r="S30" s="119"/>
    </row>
    <row r="31" spans="1:19" ht="15.75" customHeight="1">
      <c r="A31" s="1" t="s">
        <v>127</v>
      </c>
      <c r="C31" s="141" t="s">
        <v>78</v>
      </c>
      <c r="E31" s="17" t="s">
        <v>79</v>
      </c>
      <c r="F31" s="42">
        <f ca="1">F20</f>
        <v>0</v>
      </c>
      <c r="G31" s="42">
        <f t="shared" ref="G31:R31" ca="1" si="2">G20</f>
        <v>0</v>
      </c>
      <c r="H31" s="42">
        <f t="shared" ca="1" si="2"/>
        <v>0</v>
      </c>
      <c r="I31" s="42">
        <f t="shared" ca="1" si="2"/>
        <v>0</v>
      </c>
      <c r="J31" s="42">
        <f t="shared" ca="1" si="2"/>
        <v>0</v>
      </c>
      <c r="K31" s="42">
        <f t="shared" ca="1" si="2"/>
        <v>0</v>
      </c>
      <c r="L31" s="42">
        <f t="shared" ca="1" si="2"/>
        <v>0</v>
      </c>
      <c r="M31" s="42">
        <f t="shared" ca="1" si="2"/>
        <v>0</v>
      </c>
      <c r="N31" s="42">
        <f t="shared" ca="1" si="2"/>
        <v>0</v>
      </c>
      <c r="O31" s="42">
        <f t="shared" ca="1" si="2"/>
        <v>0</v>
      </c>
      <c r="P31" s="42">
        <f t="shared" ca="1" si="2"/>
        <v>0</v>
      </c>
      <c r="Q31" s="42">
        <f t="shared" ca="1" si="2"/>
        <v>0</v>
      </c>
      <c r="R31" s="42">
        <f t="shared" ca="1" si="2"/>
        <v>0</v>
      </c>
      <c r="S31" s="42"/>
    </row>
    <row r="32" spans="1:19" ht="15.75" customHeight="1" outlineLevel="1">
      <c r="A32" s="1" t="s">
        <v>334</v>
      </c>
      <c r="C32" s="141"/>
      <c r="E32" s="9" t="str">
        <f ca="1">_xll.DBRW(Server&amp;"}ElementAttributes_Indicator",A32,"code_English")</f>
        <v>Nb_Drivers - Number of drivers</v>
      </c>
      <c r="F32" s="119">
        <f ca="1">IF(Flag_Send_Data="Restit",_xll.DBRW($C$1,$C$2,$C$3,$C$4,$C$6,$C$5,$C$7,F$1,F$2,$A32),_xll.DBSS(Input!F32,Input_DBS!$E$1,Input!$C$2,Input!$C$3,Input!$C$4,Input!$C$5,Input!$C$7,F$1,F$2,Input!$A32))</f>
        <v>0</v>
      </c>
      <c r="G32" s="119">
        <f ca="1">IF(Flag_Send_Data="Restit",_xll.DBRW($C$1,$C$2,$C$3,$C$4,$C$6,$C$5,$C$7,G$1,G$2,$A32),_xll.DBSS(Input!G32,Input_DBS!$E$1,Input!$C$2,Input!$C$3,Input!$C$4,Input!$C$5,Input!$C$7,G$1,G$2,Input!$A32))</f>
        <v>0</v>
      </c>
      <c r="H32" s="119">
        <f ca="1">IF(Flag_Send_Data="Restit",_xll.DBRW($C$1,$C$2,$C$3,$C$4,$C$6,$C$5,$C$7,H$1,H$2,$A32),_xll.DBSS(Input!H32,Input_DBS!$E$1,Input!$C$2,Input!$C$3,Input!$C$4,Input!$C$5,Input!$C$7,H$1,H$2,Input!$A32))</f>
        <v>0</v>
      </c>
      <c r="I32" s="119">
        <f ca="1">IF(Flag_Send_Data="Restit",_xll.DBRW($C$1,$C$2,$C$3,$C$4,$C$6,$C$5,$C$7,I$1,I$2,$A32),_xll.DBSS(Input!I32,Input_DBS!$E$1,Input!$C$2,Input!$C$3,Input!$C$4,Input!$C$5,Input!$C$7,I$1,I$2,Input!$A32))</f>
        <v>0</v>
      </c>
      <c r="J32" s="119">
        <f ca="1">IF(Flag_Send_Data="Restit",_xll.DBRW($C$1,$C$2,$C$3,$C$4,$C$6,$C$5,$C$7,J$1,J$2,$A32),_xll.DBSS(Input!J32,Input_DBS!$E$1,Input!$C$2,Input!$C$3,Input!$C$4,Input!$C$5,Input!$C$7,J$1,J$2,Input!$A32))</f>
        <v>0</v>
      </c>
      <c r="K32" s="119">
        <f ca="1">IF(Flag_Send_Data="Restit",_xll.DBRW($C$1,$C$2,$C$3,$C$4,$C$6,$C$5,$C$7,K$1,K$2,$A32),_xll.DBSS(Input!K32,Input_DBS!$E$1,Input!$C$2,Input!$C$3,Input!$C$4,Input!$C$5,Input!$C$7,K$1,K$2,Input!$A32))</f>
        <v>0</v>
      </c>
      <c r="L32" s="119">
        <f ca="1">IF(Flag_Send_Data="Restit",_xll.DBRW($C$1,$C$2,$C$3,$C$4,$C$6,$C$5,$C$7,L$1,L$2,$A32),_xll.DBSS(Input!L32,Input_DBS!$E$1,Input!$C$2,Input!$C$3,Input!$C$4,Input!$C$5,Input!$C$7,L$1,L$2,Input!$A32))</f>
        <v>0</v>
      </c>
      <c r="M32" s="119">
        <f ca="1">IF(Flag_Send_Data="Restit",_xll.DBRW($C$1,$C$2,$C$3,$C$4,$C$6,$C$5,$C$7,M$1,M$2,$A32),_xll.DBSS(Input!M32,Input_DBS!$E$1,Input!$C$2,Input!$C$3,Input!$C$4,Input!$C$5,Input!$C$7,M$1,M$2,Input!$A32))</f>
        <v>0</v>
      </c>
      <c r="N32" s="119">
        <f ca="1">IF(Flag_Send_Data="Restit",_xll.DBRW($C$1,$C$2,$C$3,$C$4,$C$6,$C$5,$C$7,N$1,N$2,$A32),_xll.DBSS(Input!N32,Input_DBS!$E$1,Input!$C$2,Input!$C$3,Input!$C$4,Input!$C$5,Input!$C$7,N$1,N$2,Input!$A32))</f>
        <v>0</v>
      </c>
      <c r="O32" s="119">
        <f ca="1">IF(Flag_Send_Data="Restit",_xll.DBRW($C$1,$C$2,$C$3,$C$4,$C$6,$C$5,$C$7,O$1,O$2,$A32),_xll.DBSS(Input!O32,Input_DBS!$E$1,Input!$C$2,Input!$C$3,Input!$C$4,Input!$C$5,Input!$C$7,O$1,O$2,Input!$A32))</f>
        <v>0</v>
      </c>
      <c r="P32" s="119">
        <f ca="1">IF(Flag_Send_Data="Restit",_xll.DBRW($C$1,$C$2,$C$3,$C$4,$C$6,$C$5,$C$7,P$1,P$2,$A32),_xll.DBSS(Input!P32,Input_DBS!$E$1,Input!$C$2,Input!$C$3,Input!$C$4,Input!$C$5,Input!$C$7,P$1,P$2,Input!$A32))</f>
        <v>0</v>
      </c>
      <c r="Q32" s="119">
        <f ca="1">IF(Flag_Send_Data="Restit",_xll.DBRW($C$1,$C$2,$C$3,$C$4,$C$6,$C$5,$C$7,Q$1,Q$2,$A32),_xll.DBSS(Input!Q32,Input_DBS!$E$1,Input!$C$2,Input!$C$3,Input!$C$4,Input!$C$5,Input!$C$7,Q$1,Q$2,Input!$A32))</f>
        <v>0</v>
      </c>
      <c r="R32" s="119">
        <f ca="1">IF(Flag_Send_Data="Restit",_xll.DBRW($C$1,$C$2,$C$3,$C$4,$C$6,$C$5,$C$7,R$1,R$2,$A32),_xll.DBSS(Input!R32,Input_DBS!$E$1,Input!$C$2,Input!$C$3,Input!$C$4,Input!$C$5,Input!$C$7,R$1,R$2,Input!$A32))</f>
        <v>0</v>
      </c>
      <c r="S32" s="119"/>
    </row>
    <row r="33" spans="1:19" ht="15.75" customHeight="1" outlineLevel="1">
      <c r="A33" s="1" t="s">
        <v>335</v>
      </c>
      <c r="C33" s="141"/>
      <c r="E33" s="9" t="str">
        <f ca="1">_xll.DBRW(Server&amp;"}ElementAttributes_Indicator",A33,"code_English")</f>
        <v>Nb_Conductors - Number of conductors</v>
      </c>
      <c r="F33" s="119">
        <f ca="1">IF(Flag_Send_Data="Restit",_xll.DBRW($C$1,$C$2,$C$3,$C$4,$C$6,$C$5,$C$7,F$1,F$2,$A33),_xll.DBSS(Input!F33,Input_DBS!$E$1,Input!$C$2,Input!$C$3,Input!$C$4,Input!$C$5,Input!$C$7,F$1,F$2,Input!$A33))</f>
        <v>0</v>
      </c>
      <c r="G33" s="119">
        <f ca="1">IF(Flag_Send_Data="Restit",_xll.DBRW($C$1,$C$2,$C$3,$C$4,$C$6,$C$5,$C$7,G$1,G$2,$A33),_xll.DBSS(Input!G33,Input_DBS!$E$1,Input!$C$2,Input!$C$3,Input!$C$4,Input!$C$5,Input!$C$7,G$1,G$2,Input!$A33))</f>
        <v>0</v>
      </c>
      <c r="H33" s="119">
        <f ca="1">IF(Flag_Send_Data="Restit",_xll.DBRW($C$1,$C$2,$C$3,$C$4,$C$6,$C$5,$C$7,H$1,H$2,$A33),_xll.DBSS(Input!H33,Input_DBS!$E$1,Input!$C$2,Input!$C$3,Input!$C$4,Input!$C$5,Input!$C$7,H$1,H$2,Input!$A33))</f>
        <v>0</v>
      </c>
      <c r="I33" s="119">
        <f ca="1">IF(Flag_Send_Data="Restit",_xll.DBRW($C$1,$C$2,$C$3,$C$4,$C$6,$C$5,$C$7,I$1,I$2,$A33),_xll.DBSS(Input!I33,Input_DBS!$E$1,Input!$C$2,Input!$C$3,Input!$C$4,Input!$C$5,Input!$C$7,I$1,I$2,Input!$A33))</f>
        <v>0</v>
      </c>
      <c r="J33" s="119">
        <f ca="1">IF(Flag_Send_Data="Restit",_xll.DBRW($C$1,$C$2,$C$3,$C$4,$C$6,$C$5,$C$7,J$1,J$2,$A33),_xll.DBSS(Input!J33,Input_DBS!$E$1,Input!$C$2,Input!$C$3,Input!$C$4,Input!$C$5,Input!$C$7,J$1,J$2,Input!$A33))</f>
        <v>0</v>
      </c>
      <c r="K33" s="119">
        <f ca="1">IF(Flag_Send_Data="Restit",_xll.DBRW($C$1,$C$2,$C$3,$C$4,$C$6,$C$5,$C$7,K$1,K$2,$A33),_xll.DBSS(Input!K33,Input_DBS!$E$1,Input!$C$2,Input!$C$3,Input!$C$4,Input!$C$5,Input!$C$7,K$1,K$2,Input!$A33))</f>
        <v>0</v>
      </c>
      <c r="L33" s="119">
        <f ca="1">IF(Flag_Send_Data="Restit",_xll.DBRW($C$1,$C$2,$C$3,$C$4,$C$6,$C$5,$C$7,L$1,L$2,$A33),_xll.DBSS(Input!L33,Input_DBS!$E$1,Input!$C$2,Input!$C$3,Input!$C$4,Input!$C$5,Input!$C$7,L$1,L$2,Input!$A33))</f>
        <v>0</v>
      </c>
      <c r="M33" s="119">
        <f ca="1">IF(Flag_Send_Data="Restit",_xll.DBRW($C$1,$C$2,$C$3,$C$4,$C$6,$C$5,$C$7,M$1,M$2,$A33),_xll.DBSS(Input!M33,Input_DBS!$E$1,Input!$C$2,Input!$C$3,Input!$C$4,Input!$C$5,Input!$C$7,M$1,M$2,Input!$A33))</f>
        <v>0</v>
      </c>
      <c r="N33" s="119">
        <f ca="1">IF(Flag_Send_Data="Restit",_xll.DBRW($C$1,$C$2,$C$3,$C$4,$C$6,$C$5,$C$7,N$1,N$2,$A33),_xll.DBSS(Input!N33,Input_DBS!$E$1,Input!$C$2,Input!$C$3,Input!$C$4,Input!$C$5,Input!$C$7,N$1,N$2,Input!$A33))</f>
        <v>0</v>
      </c>
      <c r="O33" s="119">
        <f ca="1">IF(Flag_Send_Data="Restit",_xll.DBRW($C$1,$C$2,$C$3,$C$4,$C$6,$C$5,$C$7,O$1,O$2,$A33),_xll.DBSS(Input!O33,Input_DBS!$E$1,Input!$C$2,Input!$C$3,Input!$C$4,Input!$C$5,Input!$C$7,O$1,O$2,Input!$A33))</f>
        <v>0</v>
      </c>
      <c r="P33" s="119">
        <f ca="1">IF(Flag_Send_Data="Restit",_xll.DBRW($C$1,$C$2,$C$3,$C$4,$C$6,$C$5,$C$7,P$1,P$2,$A33),_xll.DBSS(Input!P33,Input_DBS!$E$1,Input!$C$2,Input!$C$3,Input!$C$4,Input!$C$5,Input!$C$7,P$1,P$2,Input!$A33))</f>
        <v>0</v>
      </c>
      <c r="Q33" s="119">
        <f ca="1">IF(Flag_Send_Data="Restit",_xll.DBRW($C$1,$C$2,$C$3,$C$4,$C$6,$C$5,$C$7,Q$1,Q$2,$A33),_xll.DBSS(Input!Q33,Input_DBS!$E$1,Input!$C$2,Input!$C$3,Input!$C$4,Input!$C$5,Input!$C$7,Q$1,Q$2,Input!$A33))</f>
        <v>0</v>
      </c>
      <c r="R33" s="119">
        <f ca="1">IF(Flag_Send_Data="Restit",_xll.DBRW($C$1,$C$2,$C$3,$C$4,$C$6,$C$5,$C$7,R$1,R$2,$A33),_xll.DBSS(Input!R33,Input_DBS!$E$1,Input!$C$2,Input!$C$3,Input!$C$4,Input!$C$5,Input!$C$7,R$1,R$2,Input!$A33))</f>
        <v>0</v>
      </c>
      <c r="S33" s="119"/>
    </row>
    <row r="34" spans="1:19" ht="15.75" customHeight="1" outlineLevel="1">
      <c r="A34" s="1" t="s">
        <v>348</v>
      </c>
      <c r="C34" s="141"/>
      <c r="E34" s="9" t="str">
        <f ca="1">_xll.DBRW(Server&amp;"}ElementAttributes_Indicator",A34,"code_English")</f>
        <v>Nb_FTE_Drivers - Number of FTE Drivers</v>
      </c>
      <c r="F34" s="119">
        <f ca="1">IF(Flag_Send_Data="Restit",_xll.DBRW($C$1,$C$2,$C$3,$C$4,$C$6,$C$5,$C$7,F$1,F$2,$A34),_xll.DBSS(Input!F34,Input_DBS!$E$1,Input!$C$2,Input!$C$3,Input!$C$4,Input!$C$5,Input!$C$7,F$1,F$2,Input!$A34))</f>
        <v>0</v>
      </c>
      <c r="G34" s="119">
        <f ca="1">IF(Flag_Send_Data="Restit",_xll.DBRW($C$1,$C$2,$C$3,$C$4,$C$6,$C$5,$C$7,G$1,G$2,$A34),_xll.DBSS(Input!G34,Input_DBS!$E$1,Input!$C$2,Input!$C$3,Input!$C$4,Input!$C$5,Input!$C$7,G$1,G$2,Input!$A34))</f>
        <v>0</v>
      </c>
      <c r="H34" s="119">
        <f ca="1">IF(Flag_Send_Data="Restit",_xll.DBRW($C$1,$C$2,$C$3,$C$4,$C$6,$C$5,$C$7,H$1,H$2,$A34),_xll.DBSS(Input!H34,Input_DBS!$E$1,Input!$C$2,Input!$C$3,Input!$C$4,Input!$C$5,Input!$C$7,H$1,H$2,Input!$A34))</f>
        <v>0</v>
      </c>
      <c r="I34" s="119">
        <f ca="1">IF(Flag_Send_Data="Restit",_xll.DBRW($C$1,$C$2,$C$3,$C$4,$C$6,$C$5,$C$7,I$1,I$2,$A34),_xll.DBSS(Input!I34,Input_DBS!$E$1,Input!$C$2,Input!$C$3,Input!$C$4,Input!$C$5,Input!$C$7,I$1,I$2,Input!$A34))</f>
        <v>0</v>
      </c>
      <c r="J34" s="119">
        <f ca="1">IF(Flag_Send_Data="Restit",_xll.DBRW($C$1,$C$2,$C$3,$C$4,$C$6,$C$5,$C$7,J$1,J$2,$A34),_xll.DBSS(Input!J34,Input_DBS!$E$1,Input!$C$2,Input!$C$3,Input!$C$4,Input!$C$5,Input!$C$7,J$1,J$2,Input!$A34))</f>
        <v>0</v>
      </c>
      <c r="K34" s="119">
        <f ca="1">IF(Flag_Send_Data="Restit",_xll.DBRW($C$1,$C$2,$C$3,$C$4,$C$6,$C$5,$C$7,K$1,K$2,$A34),_xll.DBSS(Input!K34,Input_DBS!$E$1,Input!$C$2,Input!$C$3,Input!$C$4,Input!$C$5,Input!$C$7,K$1,K$2,Input!$A34))</f>
        <v>0</v>
      </c>
      <c r="L34" s="119">
        <f ca="1">IF(Flag_Send_Data="Restit",_xll.DBRW($C$1,$C$2,$C$3,$C$4,$C$6,$C$5,$C$7,L$1,L$2,$A34),_xll.DBSS(Input!L34,Input_DBS!$E$1,Input!$C$2,Input!$C$3,Input!$C$4,Input!$C$5,Input!$C$7,L$1,L$2,Input!$A34))</f>
        <v>0</v>
      </c>
      <c r="M34" s="119">
        <f ca="1">IF(Flag_Send_Data="Restit",_xll.DBRW($C$1,$C$2,$C$3,$C$4,$C$6,$C$5,$C$7,M$1,M$2,$A34),_xll.DBSS(Input!M34,Input_DBS!$E$1,Input!$C$2,Input!$C$3,Input!$C$4,Input!$C$5,Input!$C$7,M$1,M$2,Input!$A34))</f>
        <v>0</v>
      </c>
      <c r="N34" s="119">
        <f ca="1">IF(Flag_Send_Data="Restit",_xll.DBRW($C$1,$C$2,$C$3,$C$4,$C$6,$C$5,$C$7,N$1,N$2,$A34),_xll.DBSS(Input!N34,Input_DBS!$E$1,Input!$C$2,Input!$C$3,Input!$C$4,Input!$C$5,Input!$C$7,N$1,N$2,Input!$A34))</f>
        <v>0</v>
      </c>
      <c r="O34" s="119">
        <f ca="1">IF(Flag_Send_Data="Restit",_xll.DBRW($C$1,$C$2,$C$3,$C$4,$C$6,$C$5,$C$7,O$1,O$2,$A34),_xll.DBSS(Input!O34,Input_DBS!$E$1,Input!$C$2,Input!$C$3,Input!$C$4,Input!$C$5,Input!$C$7,O$1,O$2,Input!$A34))</f>
        <v>0</v>
      </c>
      <c r="P34" s="119">
        <f ca="1">IF(Flag_Send_Data="Restit",_xll.DBRW($C$1,$C$2,$C$3,$C$4,$C$6,$C$5,$C$7,P$1,P$2,$A34),_xll.DBSS(Input!P34,Input_DBS!$E$1,Input!$C$2,Input!$C$3,Input!$C$4,Input!$C$5,Input!$C$7,P$1,P$2,Input!$A34))</f>
        <v>0</v>
      </c>
      <c r="Q34" s="119">
        <f ca="1">IF(Flag_Send_Data="Restit",_xll.DBRW($C$1,$C$2,$C$3,$C$4,$C$6,$C$5,$C$7,Q$1,Q$2,$A34),_xll.DBSS(Input!Q34,Input_DBS!$E$1,Input!$C$2,Input!$C$3,Input!$C$4,Input!$C$5,Input!$C$7,Q$1,Q$2,Input!$A34))</f>
        <v>0</v>
      </c>
      <c r="R34" s="119">
        <f ca="1">IF(Flag_Send_Data="Restit",_xll.DBRW($C$1,$C$2,$C$3,$C$4,$C$6,$C$5,$C$7,R$1,R$2,$A34),_xll.DBSS(Input!R34,Input_DBS!$E$1,Input!$C$2,Input!$C$3,Input!$C$4,Input!$C$5,Input!$C$7,R$1,R$2,Input!$A34))</f>
        <v>0</v>
      </c>
      <c r="S34" s="119"/>
    </row>
    <row r="35" spans="1:19" ht="15.75">
      <c r="A35" s="1" t="s">
        <v>127</v>
      </c>
      <c r="C35" s="141"/>
      <c r="E35" s="15" t="s">
        <v>80</v>
      </c>
      <c r="F35" s="44">
        <f t="shared" ref="F35:R35" ca="1" si="3">SUM(F32:F34)</f>
        <v>0</v>
      </c>
      <c r="G35" s="44">
        <f t="shared" ca="1" si="3"/>
        <v>0</v>
      </c>
      <c r="H35" s="44">
        <f t="shared" ca="1" si="3"/>
        <v>0</v>
      </c>
      <c r="I35" s="44">
        <f t="shared" ca="1" si="3"/>
        <v>0</v>
      </c>
      <c r="J35" s="44">
        <f t="shared" ca="1" si="3"/>
        <v>0</v>
      </c>
      <c r="K35" s="44">
        <f t="shared" ca="1" si="3"/>
        <v>0</v>
      </c>
      <c r="L35" s="44">
        <f t="shared" ca="1" si="3"/>
        <v>0</v>
      </c>
      <c r="M35" s="44">
        <f t="shared" ca="1" si="3"/>
        <v>0</v>
      </c>
      <c r="N35" s="44">
        <f t="shared" ca="1" si="3"/>
        <v>0</v>
      </c>
      <c r="O35" s="44">
        <f t="shared" ca="1" si="3"/>
        <v>0</v>
      </c>
      <c r="P35" s="44">
        <f t="shared" ca="1" si="3"/>
        <v>0</v>
      </c>
      <c r="Q35" s="44">
        <f t="shared" ca="1" si="3"/>
        <v>0</v>
      </c>
      <c r="R35" s="44">
        <f t="shared" ca="1" si="3"/>
        <v>0</v>
      </c>
      <c r="S35" s="44"/>
    </row>
    <row r="36" spans="1:19" ht="15.75" customHeight="1" outlineLevel="1">
      <c r="A36" s="1" t="s">
        <v>336</v>
      </c>
      <c r="C36" s="141"/>
      <c r="E36" s="9" t="str">
        <f ca="1">_xll.DBRW(Server&amp;"}ElementAttributes_Indicator",A36,"code_English")</f>
        <v>Nb_Maintenance_team - Number of Maintenance collaborators</v>
      </c>
      <c r="F36" s="119">
        <f ca="1">IF(Flag_Send_Data="Restit",_xll.DBRW($C$1,$C$2,$C$3,$C$4,$C$6,$C$5,$C$7,F$1,F$2,$A36),_xll.DBSS(Input!F36,Input_DBS!$E$1,Input!$C$2,Input!$C$3,Input!$C$4,Input!$C$5,Input!$C$7,F$1,F$2,Input!$A36))</f>
        <v>0</v>
      </c>
      <c r="G36" s="119">
        <f ca="1">IF(Flag_Send_Data="Restit",_xll.DBRW($C$1,$C$2,$C$3,$C$4,$C$6,$C$5,$C$7,G$1,G$2,$A36),_xll.DBSS(Input!G36,Input_DBS!$E$1,Input!$C$2,Input!$C$3,Input!$C$4,Input!$C$5,Input!$C$7,G$1,G$2,Input!$A36))</f>
        <v>0</v>
      </c>
      <c r="H36" s="119">
        <f ca="1">IF(Flag_Send_Data="Restit",_xll.DBRW($C$1,$C$2,$C$3,$C$4,$C$6,$C$5,$C$7,H$1,H$2,$A36),_xll.DBSS(Input!H36,Input_DBS!$E$1,Input!$C$2,Input!$C$3,Input!$C$4,Input!$C$5,Input!$C$7,H$1,H$2,Input!$A36))</f>
        <v>0</v>
      </c>
      <c r="I36" s="119">
        <f ca="1">IF(Flag_Send_Data="Restit",_xll.DBRW($C$1,$C$2,$C$3,$C$4,$C$6,$C$5,$C$7,I$1,I$2,$A36),_xll.DBSS(Input!I36,Input_DBS!$E$1,Input!$C$2,Input!$C$3,Input!$C$4,Input!$C$5,Input!$C$7,I$1,I$2,Input!$A36))</f>
        <v>0</v>
      </c>
      <c r="J36" s="119">
        <f ca="1">IF(Flag_Send_Data="Restit",_xll.DBRW($C$1,$C$2,$C$3,$C$4,$C$6,$C$5,$C$7,J$1,J$2,$A36),_xll.DBSS(Input!J36,Input_DBS!$E$1,Input!$C$2,Input!$C$3,Input!$C$4,Input!$C$5,Input!$C$7,J$1,J$2,Input!$A36))</f>
        <v>0</v>
      </c>
      <c r="K36" s="119">
        <f ca="1">IF(Flag_Send_Data="Restit",_xll.DBRW($C$1,$C$2,$C$3,$C$4,$C$6,$C$5,$C$7,K$1,K$2,$A36),_xll.DBSS(Input!K36,Input_DBS!$E$1,Input!$C$2,Input!$C$3,Input!$C$4,Input!$C$5,Input!$C$7,K$1,K$2,Input!$A36))</f>
        <v>0</v>
      </c>
      <c r="L36" s="119">
        <f ca="1">IF(Flag_Send_Data="Restit",_xll.DBRW($C$1,$C$2,$C$3,$C$4,$C$6,$C$5,$C$7,L$1,L$2,$A36),_xll.DBSS(Input!L36,Input_DBS!$E$1,Input!$C$2,Input!$C$3,Input!$C$4,Input!$C$5,Input!$C$7,L$1,L$2,Input!$A36))</f>
        <v>0</v>
      </c>
      <c r="M36" s="119">
        <f ca="1">IF(Flag_Send_Data="Restit",_xll.DBRW($C$1,$C$2,$C$3,$C$4,$C$6,$C$5,$C$7,M$1,M$2,$A36),_xll.DBSS(Input!M36,Input_DBS!$E$1,Input!$C$2,Input!$C$3,Input!$C$4,Input!$C$5,Input!$C$7,M$1,M$2,Input!$A36))</f>
        <v>0</v>
      </c>
      <c r="N36" s="119">
        <f ca="1">IF(Flag_Send_Data="Restit",_xll.DBRW($C$1,$C$2,$C$3,$C$4,$C$6,$C$5,$C$7,N$1,N$2,$A36),_xll.DBSS(Input!N36,Input_DBS!$E$1,Input!$C$2,Input!$C$3,Input!$C$4,Input!$C$5,Input!$C$7,N$1,N$2,Input!$A36))</f>
        <v>0</v>
      </c>
      <c r="O36" s="119">
        <f ca="1">IF(Flag_Send_Data="Restit",_xll.DBRW($C$1,$C$2,$C$3,$C$4,$C$6,$C$5,$C$7,O$1,O$2,$A36),_xll.DBSS(Input!O36,Input_DBS!$E$1,Input!$C$2,Input!$C$3,Input!$C$4,Input!$C$5,Input!$C$7,O$1,O$2,Input!$A36))</f>
        <v>0</v>
      </c>
      <c r="P36" s="119">
        <f ca="1">IF(Flag_Send_Data="Restit",_xll.DBRW($C$1,$C$2,$C$3,$C$4,$C$6,$C$5,$C$7,P$1,P$2,$A36),_xll.DBSS(Input!P36,Input_DBS!$E$1,Input!$C$2,Input!$C$3,Input!$C$4,Input!$C$5,Input!$C$7,P$1,P$2,Input!$A36))</f>
        <v>0</v>
      </c>
      <c r="Q36" s="119">
        <f ca="1">IF(Flag_Send_Data="Restit",_xll.DBRW($C$1,$C$2,$C$3,$C$4,$C$6,$C$5,$C$7,Q$1,Q$2,$A36),_xll.DBSS(Input!Q36,Input_DBS!$E$1,Input!$C$2,Input!$C$3,Input!$C$4,Input!$C$5,Input!$C$7,Q$1,Q$2,Input!$A36))</f>
        <v>0</v>
      </c>
      <c r="R36" s="119">
        <f ca="1">IF(Flag_Send_Data="Restit",_xll.DBRW($C$1,$C$2,$C$3,$C$4,$C$6,$C$5,$C$7,R$1,R$2,$A36),_xll.DBSS(Input!R36,Input_DBS!$E$1,Input!$C$2,Input!$C$3,Input!$C$4,Input!$C$5,Input!$C$7,R$1,R$2,Input!$A36))</f>
        <v>0</v>
      </c>
      <c r="S36" s="119"/>
    </row>
    <row r="37" spans="1:19" ht="15.75" customHeight="1" outlineLevel="1">
      <c r="A37" s="1" t="s">
        <v>349</v>
      </c>
      <c r="C37" s="141"/>
      <c r="E37" s="9" t="str">
        <f ca="1">_xll.DBRW(Server&amp;"}ElementAttributes_Indicator",A37,"code_English")</f>
        <v>Nb_FTE_Maintenance_Technicians - Number of FTE Technicians</v>
      </c>
      <c r="F37" s="119">
        <f ca="1">IF(Flag_Send_Data="Restit",_xll.DBRW($C$1,$C$2,$C$3,$C$4,$C$6,$C$5,$C$7,F$1,F$2,$A37),_xll.DBSS(Input!F37,Input_DBS!$E$1,Input!$C$2,Input!$C$3,Input!$C$4,Input!$C$5,Input!$C$7,F$1,F$2,Input!$A37))</f>
        <v>0</v>
      </c>
      <c r="G37" s="119">
        <f ca="1">IF(Flag_Send_Data="Restit",_xll.DBRW($C$1,$C$2,$C$3,$C$4,$C$6,$C$5,$C$7,G$1,G$2,$A37),_xll.DBSS(Input!G37,Input_DBS!$E$1,Input!$C$2,Input!$C$3,Input!$C$4,Input!$C$5,Input!$C$7,G$1,G$2,Input!$A37))</f>
        <v>0</v>
      </c>
      <c r="H37" s="119">
        <f ca="1">IF(Flag_Send_Data="Restit",_xll.DBRW($C$1,$C$2,$C$3,$C$4,$C$6,$C$5,$C$7,H$1,H$2,$A37),_xll.DBSS(Input!H37,Input_DBS!$E$1,Input!$C$2,Input!$C$3,Input!$C$4,Input!$C$5,Input!$C$7,H$1,H$2,Input!$A37))</f>
        <v>0</v>
      </c>
      <c r="I37" s="119">
        <f ca="1">IF(Flag_Send_Data="Restit",_xll.DBRW($C$1,$C$2,$C$3,$C$4,$C$6,$C$5,$C$7,I$1,I$2,$A37),_xll.DBSS(Input!I37,Input_DBS!$E$1,Input!$C$2,Input!$C$3,Input!$C$4,Input!$C$5,Input!$C$7,I$1,I$2,Input!$A37))</f>
        <v>0</v>
      </c>
      <c r="J37" s="119">
        <f ca="1">IF(Flag_Send_Data="Restit",_xll.DBRW($C$1,$C$2,$C$3,$C$4,$C$6,$C$5,$C$7,J$1,J$2,$A37),_xll.DBSS(Input!J37,Input_DBS!$E$1,Input!$C$2,Input!$C$3,Input!$C$4,Input!$C$5,Input!$C$7,J$1,J$2,Input!$A37))</f>
        <v>0</v>
      </c>
      <c r="K37" s="119">
        <f ca="1">IF(Flag_Send_Data="Restit",_xll.DBRW($C$1,$C$2,$C$3,$C$4,$C$6,$C$5,$C$7,K$1,K$2,$A37),_xll.DBSS(Input!K37,Input_DBS!$E$1,Input!$C$2,Input!$C$3,Input!$C$4,Input!$C$5,Input!$C$7,K$1,K$2,Input!$A37))</f>
        <v>0</v>
      </c>
      <c r="L37" s="119">
        <f ca="1">IF(Flag_Send_Data="Restit",_xll.DBRW($C$1,$C$2,$C$3,$C$4,$C$6,$C$5,$C$7,L$1,L$2,$A37),_xll.DBSS(Input!L37,Input_DBS!$E$1,Input!$C$2,Input!$C$3,Input!$C$4,Input!$C$5,Input!$C$7,L$1,L$2,Input!$A37))</f>
        <v>0</v>
      </c>
      <c r="M37" s="119">
        <f ca="1">IF(Flag_Send_Data="Restit",_xll.DBRW($C$1,$C$2,$C$3,$C$4,$C$6,$C$5,$C$7,M$1,M$2,$A37),_xll.DBSS(Input!M37,Input_DBS!$E$1,Input!$C$2,Input!$C$3,Input!$C$4,Input!$C$5,Input!$C$7,M$1,M$2,Input!$A37))</f>
        <v>0</v>
      </c>
      <c r="N37" s="119">
        <f ca="1">IF(Flag_Send_Data="Restit",_xll.DBRW($C$1,$C$2,$C$3,$C$4,$C$6,$C$5,$C$7,N$1,N$2,$A37),_xll.DBSS(Input!N37,Input_DBS!$E$1,Input!$C$2,Input!$C$3,Input!$C$4,Input!$C$5,Input!$C$7,N$1,N$2,Input!$A37))</f>
        <v>0</v>
      </c>
      <c r="O37" s="119">
        <f ca="1">IF(Flag_Send_Data="Restit",_xll.DBRW($C$1,$C$2,$C$3,$C$4,$C$6,$C$5,$C$7,O$1,O$2,$A37),_xll.DBSS(Input!O37,Input_DBS!$E$1,Input!$C$2,Input!$C$3,Input!$C$4,Input!$C$5,Input!$C$7,O$1,O$2,Input!$A37))</f>
        <v>0</v>
      </c>
      <c r="P37" s="119">
        <f ca="1">IF(Flag_Send_Data="Restit",_xll.DBRW($C$1,$C$2,$C$3,$C$4,$C$6,$C$5,$C$7,P$1,P$2,$A37),_xll.DBSS(Input!P37,Input_DBS!$E$1,Input!$C$2,Input!$C$3,Input!$C$4,Input!$C$5,Input!$C$7,P$1,P$2,Input!$A37))</f>
        <v>0</v>
      </c>
      <c r="Q37" s="119">
        <f ca="1">IF(Flag_Send_Data="Restit",_xll.DBRW($C$1,$C$2,$C$3,$C$4,$C$6,$C$5,$C$7,Q$1,Q$2,$A37),_xll.DBSS(Input!Q37,Input_DBS!$E$1,Input!$C$2,Input!$C$3,Input!$C$4,Input!$C$5,Input!$C$7,Q$1,Q$2,Input!$A37))</f>
        <v>0</v>
      </c>
      <c r="R37" s="119">
        <f ca="1">IF(Flag_Send_Data="Restit",_xll.DBRW($C$1,$C$2,$C$3,$C$4,$C$6,$C$5,$C$7,R$1,R$2,$A37),_xll.DBSS(Input!R37,Input_DBS!$E$1,Input!$C$2,Input!$C$3,Input!$C$4,Input!$C$5,Input!$C$7,R$1,R$2,Input!$A37))</f>
        <v>0</v>
      </c>
      <c r="S37" s="119"/>
    </row>
    <row r="38" spans="1:19" ht="15.75">
      <c r="A38" s="1" t="s">
        <v>127</v>
      </c>
      <c r="C38" s="141"/>
      <c r="E38" s="15" t="s">
        <v>81</v>
      </c>
      <c r="F38" s="44">
        <f t="shared" ref="F38:R38" ca="1" si="4">SUM(F36:F37)</f>
        <v>0</v>
      </c>
      <c r="G38" s="44">
        <f t="shared" ca="1" si="4"/>
        <v>0</v>
      </c>
      <c r="H38" s="44">
        <f t="shared" ca="1" si="4"/>
        <v>0</v>
      </c>
      <c r="I38" s="44">
        <f t="shared" ca="1" si="4"/>
        <v>0</v>
      </c>
      <c r="J38" s="44">
        <f t="shared" ca="1" si="4"/>
        <v>0</v>
      </c>
      <c r="K38" s="44">
        <f t="shared" ca="1" si="4"/>
        <v>0</v>
      </c>
      <c r="L38" s="44">
        <f t="shared" ca="1" si="4"/>
        <v>0</v>
      </c>
      <c r="M38" s="44">
        <f t="shared" ca="1" si="4"/>
        <v>0</v>
      </c>
      <c r="N38" s="44">
        <f t="shared" ca="1" si="4"/>
        <v>0</v>
      </c>
      <c r="O38" s="44">
        <f t="shared" ca="1" si="4"/>
        <v>0</v>
      </c>
      <c r="P38" s="44">
        <f t="shared" ca="1" si="4"/>
        <v>0</v>
      </c>
      <c r="Q38" s="44">
        <f t="shared" ca="1" si="4"/>
        <v>0</v>
      </c>
      <c r="R38" s="44">
        <f t="shared" ca="1" si="4"/>
        <v>0</v>
      </c>
      <c r="S38" s="44"/>
    </row>
    <row r="39" spans="1:19" ht="15.75" customHeight="1" outlineLevel="1">
      <c r="A39" s="1" t="s">
        <v>350</v>
      </c>
      <c r="C39" s="141"/>
      <c r="E39" s="9" t="str">
        <f ca="1">_xll.DBRW(Server&amp;"}ElementAttributes_Indicator",A39,"code_English")</f>
        <v>Nb_FTE_Operations_Others - Number of FTE Other Operation Staff</v>
      </c>
      <c r="F39" s="119">
        <f ca="1">IF(Flag_Send_Data="Restit",_xll.DBRW($C$1,$C$2,$C$3,$C$4,$C$6,$C$5,$C$7,F$1,F$2,$A39),_xll.DBSS(Input!F39,Input_DBS!$E$1,Input!$C$2,Input!$C$3,Input!$C$4,Input!$C$5,Input!$C$7,F$1,F$2,Input!$A39))</f>
        <v>0</v>
      </c>
      <c r="G39" s="119">
        <f ca="1">IF(Flag_Send_Data="Restit",_xll.DBRW($C$1,$C$2,$C$3,$C$4,$C$6,$C$5,$C$7,G$1,G$2,$A39),_xll.DBSS(Input!G39,Input_DBS!$E$1,Input!$C$2,Input!$C$3,Input!$C$4,Input!$C$5,Input!$C$7,G$1,G$2,Input!$A39))</f>
        <v>0</v>
      </c>
      <c r="H39" s="119">
        <f ca="1">IF(Flag_Send_Data="Restit",_xll.DBRW($C$1,$C$2,$C$3,$C$4,$C$6,$C$5,$C$7,H$1,H$2,$A39),_xll.DBSS(Input!H39,Input_DBS!$E$1,Input!$C$2,Input!$C$3,Input!$C$4,Input!$C$5,Input!$C$7,H$1,H$2,Input!$A39))</f>
        <v>0</v>
      </c>
      <c r="I39" s="119">
        <f ca="1">IF(Flag_Send_Data="Restit",_xll.DBRW($C$1,$C$2,$C$3,$C$4,$C$6,$C$5,$C$7,I$1,I$2,$A39),_xll.DBSS(Input!I39,Input_DBS!$E$1,Input!$C$2,Input!$C$3,Input!$C$4,Input!$C$5,Input!$C$7,I$1,I$2,Input!$A39))</f>
        <v>0</v>
      </c>
      <c r="J39" s="119">
        <f ca="1">IF(Flag_Send_Data="Restit",_xll.DBRW($C$1,$C$2,$C$3,$C$4,$C$6,$C$5,$C$7,J$1,J$2,$A39),_xll.DBSS(Input!J39,Input_DBS!$E$1,Input!$C$2,Input!$C$3,Input!$C$4,Input!$C$5,Input!$C$7,J$1,J$2,Input!$A39))</f>
        <v>0</v>
      </c>
      <c r="K39" s="119">
        <f ca="1">IF(Flag_Send_Data="Restit",_xll.DBRW($C$1,$C$2,$C$3,$C$4,$C$6,$C$5,$C$7,K$1,K$2,$A39),_xll.DBSS(Input!K39,Input_DBS!$E$1,Input!$C$2,Input!$C$3,Input!$C$4,Input!$C$5,Input!$C$7,K$1,K$2,Input!$A39))</f>
        <v>0</v>
      </c>
      <c r="L39" s="119">
        <f ca="1">IF(Flag_Send_Data="Restit",_xll.DBRW($C$1,$C$2,$C$3,$C$4,$C$6,$C$5,$C$7,L$1,L$2,$A39),_xll.DBSS(Input!L39,Input_DBS!$E$1,Input!$C$2,Input!$C$3,Input!$C$4,Input!$C$5,Input!$C$7,L$1,L$2,Input!$A39))</f>
        <v>0</v>
      </c>
      <c r="M39" s="119">
        <f ca="1">IF(Flag_Send_Data="Restit",_xll.DBRW($C$1,$C$2,$C$3,$C$4,$C$6,$C$5,$C$7,M$1,M$2,$A39),_xll.DBSS(Input!M39,Input_DBS!$E$1,Input!$C$2,Input!$C$3,Input!$C$4,Input!$C$5,Input!$C$7,M$1,M$2,Input!$A39))</f>
        <v>0</v>
      </c>
      <c r="N39" s="119">
        <f ca="1">IF(Flag_Send_Data="Restit",_xll.DBRW($C$1,$C$2,$C$3,$C$4,$C$6,$C$5,$C$7,N$1,N$2,$A39),_xll.DBSS(Input!N39,Input_DBS!$E$1,Input!$C$2,Input!$C$3,Input!$C$4,Input!$C$5,Input!$C$7,N$1,N$2,Input!$A39))</f>
        <v>0</v>
      </c>
      <c r="O39" s="119">
        <f ca="1">IF(Flag_Send_Data="Restit",_xll.DBRW($C$1,$C$2,$C$3,$C$4,$C$6,$C$5,$C$7,O$1,O$2,$A39),_xll.DBSS(Input!O39,Input_DBS!$E$1,Input!$C$2,Input!$C$3,Input!$C$4,Input!$C$5,Input!$C$7,O$1,O$2,Input!$A39))</f>
        <v>0</v>
      </c>
      <c r="P39" s="119">
        <f ca="1">IF(Flag_Send_Data="Restit",_xll.DBRW($C$1,$C$2,$C$3,$C$4,$C$6,$C$5,$C$7,P$1,P$2,$A39),_xll.DBSS(Input!P39,Input_DBS!$E$1,Input!$C$2,Input!$C$3,Input!$C$4,Input!$C$5,Input!$C$7,P$1,P$2,Input!$A39))</f>
        <v>0</v>
      </c>
      <c r="Q39" s="119">
        <f ca="1">IF(Flag_Send_Data="Restit",_xll.DBRW($C$1,$C$2,$C$3,$C$4,$C$6,$C$5,$C$7,Q$1,Q$2,$A39),_xll.DBSS(Input!Q39,Input_DBS!$E$1,Input!$C$2,Input!$C$3,Input!$C$4,Input!$C$5,Input!$C$7,Q$1,Q$2,Input!$A39))</f>
        <v>0</v>
      </c>
      <c r="R39" s="119">
        <f ca="1">IF(Flag_Send_Data="Restit",_xll.DBRW($C$1,$C$2,$C$3,$C$4,$C$6,$C$5,$C$7,R$1,R$2,$A39),_xll.DBSS(Input!R39,Input_DBS!$E$1,Input!$C$2,Input!$C$3,Input!$C$4,Input!$C$5,Input!$C$7,R$1,R$2,Input!$A39))</f>
        <v>0</v>
      </c>
      <c r="S39" s="119"/>
    </row>
    <row r="40" spans="1:19" ht="15.75">
      <c r="A40" s="1" t="s">
        <v>127</v>
      </c>
      <c r="C40" s="141"/>
      <c r="E40" s="81" t="s">
        <v>82</v>
      </c>
      <c r="F40" s="44">
        <f t="shared" ref="F40:R40" ca="1" si="5">SUM(F39)</f>
        <v>0</v>
      </c>
      <c r="G40" s="44">
        <f t="shared" ca="1" si="5"/>
        <v>0</v>
      </c>
      <c r="H40" s="44">
        <f t="shared" ca="1" si="5"/>
        <v>0</v>
      </c>
      <c r="I40" s="44">
        <f t="shared" ca="1" si="5"/>
        <v>0</v>
      </c>
      <c r="J40" s="44">
        <f t="shared" ca="1" si="5"/>
        <v>0</v>
      </c>
      <c r="K40" s="44">
        <f t="shared" ca="1" si="5"/>
        <v>0</v>
      </c>
      <c r="L40" s="44">
        <f t="shared" ca="1" si="5"/>
        <v>0</v>
      </c>
      <c r="M40" s="44">
        <f t="shared" ca="1" si="5"/>
        <v>0</v>
      </c>
      <c r="N40" s="44">
        <f t="shared" ca="1" si="5"/>
        <v>0</v>
      </c>
      <c r="O40" s="44">
        <f t="shared" ca="1" si="5"/>
        <v>0</v>
      </c>
      <c r="P40" s="44">
        <f t="shared" ca="1" si="5"/>
        <v>0</v>
      </c>
      <c r="Q40" s="44">
        <f t="shared" ca="1" si="5"/>
        <v>0</v>
      </c>
      <c r="R40" s="44">
        <f t="shared" ca="1" si="5"/>
        <v>0</v>
      </c>
      <c r="S40" s="44"/>
    </row>
    <row r="41" spans="1:19" ht="15.75" customHeight="1" outlineLevel="1">
      <c r="A41" s="1" t="s">
        <v>351</v>
      </c>
      <c r="C41" s="141"/>
      <c r="E41" s="9" t="str">
        <f ca="1">_xll.DBRW(Server&amp;"}ElementAttributes_Indicator",A41,"code_English")</f>
        <v>Nb_FTE_Maintenance_Others - Number of FTE Other Maintenance Staff</v>
      </c>
      <c r="F41" s="119">
        <f ca="1">IF(Flag_Send_Data="Restit",_xll.DBRW($C$1,$C$2,$C$3,$C$4,$C$6,$C$5,$C$7,F$1,F$2,$A41),_xll.DBSS(Input!F41,Input_DBS!$E$1,Input!$C$2,Input!$C$3,Input!$C$4,Input!$C$5,Input!$C$7,F$1,F$2,Input!$A41))</f>
        <v>0</v>
      </c>
      <c r="G41" s="119">
        <f ca="1">IF(Flag_Send_Data="Restit",_xll.DBRW($C$1,$C$2,$C$3,$C$4,$C$6,$C$5,$C$7,G$1,G$2,$A41),_xll.DBSS(Input!G41,Input_DBS!$E$1,Input!$C$2,Input!$C$3,Input!$C$4,Input!$C$5,Input!$C$7,G$1,G$2,Input!$A41))</f>
        <v>0</v>
      </c>
      <c r="H41" s="119">
        <f ca="1">IF(Flag_Send_Data="Restit",_xll.DBRW($C$1,$C$2,$C$3,$C$4,$C$6,$C$5,$C$7,H$1,H$2,$A41),_xll.DBSS(Input!H41,Input_DBS!$E$1,Input!$C$2,Input!$C$3,Input!$C$4,Input!$C$5,Input!$C$7,H$1,H$2,Input!$A41))</f>
        <v>0</v>
      </c>
      <c r="I41" s="119">
        <f ca="1">IF(Flag_Send_Data="Restit",_xll.DBRW($C$1,$C$2,$C$3,$C$4,$C$6,$C$5,$C$7,I$1,I$2,$A41),_xll.DBSS(Input!I41,Input_DBS!$E$1,Input!$C$2,Input!$C$3,Input!$C$4,Input!$C$5,Input!$C$7,I$1,I$2,Input!$A41))</f>
        <v>0</v>
      </c>
      <c r="J41" s="119">
        <f ca="1">IF(Flag_Send_Data="Restit",_xll.DBRW($C$1,$C$2,$C$3,$C$4,$C$6,$C$5,$C$7,J$1,J$2,$A41),_xll.DBSS(Input!J41,Input_DBS!$E$1,Input!$C$2,Input!$C$3,Input!$C$4,Input!$C$5,Input!$C$7,J$1,J$2,Input!$A41))</f>
        <v>0</v>
      </c>
      <c r="K41" s="119">
        <f ca="1">IF(Flag_Send_Data="Restit",_xll.DBRW($C$1,$C$2,$C$3,$C$4,$C$6,$C$5,$C$7,K$1,K$2,$A41),_xll.DBSS(Input!K41,Input_DBS!$E$1,Input!$C$2,Input!$C$3,Input!$C$4,Input!$C$5,Input!$C$7,K$1,K$2,Input!$A41))</f>
        <v>0</v>
      </c>
      <c r="L41" s="119">
        <f ca="1">IF(Flag_Send_Data="Restit",_xll.DBRW($C$1,$C$2,$C$3,$C$4,$C$6,$C$5,$C$7,L$1,L$2,$A41),_xll.DBSS(Input!L41,Input_DBS!$E$1,Input!$C$2,Input!$C$3,Input!$C$4,Input!$C$5,Input!$C$7,L$1,L$2,Input!$A41))</f>
        <v>0</v>
      </c>
      <c r="M41" s="119">
        <f ca="1">IF(Flag_Send_Data="Restit",_xll.DBRW($C$1,$C$2,$C$3,$C$4,$C$6,$C$5,$C$7,M$1,M$2,$A41),_xll.DBSS(Input!M41,Input_DBS!$E$1,Input!$C$2,Input!$C$3,Input!$C$4,Input!$C$5,Input!$C$7,M$1,M$2,Input!$A41))</f>
        <v>0</v>
      </c>
      <c r="N41" s="119">
        <f ca="1">IF(Flag_Send_Data="Restit",_xll.DBRW($C$1,$C$2,$C$3,$C$4,$C$6,$C$5,$C$7,N$1,N$2,$A41),_xll.DBSS(Input!N41,Input_DBS!$E$1,Input!$C$2,Input!$C$3,Input!$C$4,Input!$C$5,Input!$C$7,N$1,N$2,Input!$A41))</f>
        <v>0</v>
      </c>
      <c r="O41" s="119">
        <f ca="1">IF(Flag_Send_Data="Restit",_xll.DBRW($C$1,$C$2,$C$3,$C$4,$C$6,$C$5,$C$7,O$1,O$2,$A41),_xll.DBSS(Input!O41,Input_DBS!$E$1,Input!$C$2,Input!$C$3,Input!$C$4,Input!$C$5,Input!$C$7,O$1,O$2,Input!$A41))</f>
        <v>0</v>
      </c>
      <c r="P41" s="119">
        <f ca="1">IF(Flag_Send_Data="Restit",_xll.DBRW($C$1,$C$2,$C$3,$C$4,$C$6,$C$5,$C$7,P$1,P$2,$A41),_xll.DBSS(Input!P41,Input_DBS!$E$1,Input!$C$2,Input!$C$3,Input!$C$4,Input!$C$5,Input!$C$7,P$1,P$2,Input!$A41))</f>
        <v>0</v>
      </c>
      <c r="Q41" s="119">
        <f ca="1">IF(Flag_Send_Data="Restit",_xll.DBRW($C$1,$C$2,$C$3,$C$4,$C$6,$C$5,$C$7,Q$1,Q$2,$A41),_xll.DBSS(Input!Q41,Input_DBS!$E$1,Input!$C$2,Input!$C$3,Input!$C$4,Input!$C$5,Input!$C$7,Q$1,Q$2,Input!$A41))</f>
        <v>0</v>
      </c>
      <c r="R41" s="119">
        <f ca="1">IF(Flag_Send_Data="Restit",_xll.DBRW($C$1,$C$2,$C$3,$C$4,$C$6,$C$5,$C$7,R$1,R$2,$A41),_xll.DBSS(Input!R41,Input_DBS!$E$1,Input!$C$2,Input!$C$3,Input!$C$4,Input!$C$5,Input!$C$7,R$1,R$2,Input!$A41))</f>
        <v>0</v>
      </c>
      <c r="S41" s="119"/>
    </row>
    <row r="42" spans="1:19" ht="15.75">
      <c r="A42" s="1" t="s">
        <v>127</v>
      </c>
      <c r="C42" s="141"/>
      <c r="E42" s="81" t="s">
        <v>83</v>
      </c>
      <c r="F42" s="43">
        <f t="shared" ref="F42:R42" ca="1" si="6">SUM(F41)</f>
        <v>0</v>
      </c>
      <c r="G42" s="43">
        <f t="shared" ca="1" si="6"/>
        <v>0</v>
      </c>
      <c r="H42" s="43">
        <f t="shared" ca="1" si="6"/>
        <v>0</v>
      </c>
      <c r="I42" s="43">
        <f t="shared" ca="1" si="6"/>
        <v>0</v>
      </c>
      <c r="J42" s="43">
        <f t="shared" ca="1" si="6"/>
        <v>0</v>
      </c>
      <c r="K42" s="43">
        <f t="shared" ca="1" si="6"/>
        <v>0</v>
      </c>
      <c r="L42" s="43">
        <f t="shared" ca="1" si="6"/>
        <v>0</v>
      </c>
      <c r="M42" s="43">
        <f t="shared" ca="1" si="6"/>
        <v>0</v>
      </c>
      <c r="N42" s="43">
        <f t="shared" ca="1" si="6"/>
        <v>0</v>
      </c>
      <c r="O42" s="43">
        <f t="shared" ca="1" si="6"/>
        <v>0</v>
      </c>
      <c r="P42" s="43">
        <f t="shared" ca="1" si="6"/>
        <v>0</v>
      </c>
      <c r="Q42" s="43">
        <f t="shared" ca="1" si="6"/>
        <v>0</v>
      </c>
      <c r="R42" s="43">
        <f t="shared" ca="1" si="6"/>
        <v>0</v>
      </c>
      <c r="S42" s="43"/>
    </row>
    <row r="43" spans="1:19" ht="15.75" customHeight="1" outlineLevel="1">
      <c r="A43" s="1" t="s">
        <v>337</v>
      </c>
      <c r="C43" s="141"/>
      <c r="E43" s="9" t="str">
        <f ca="1">_xll.DBRW(Server&amp;"}ElementAttributes_Indicator",A43,"code_English")</f>
        <v>Nb_FTE - Number of Full Time Equivalent</v>
      </c>
      <c r="F43" s="119">
        <f ca="1">IF(Flag_Send_Data="Restit",_xll.DBRW($C$1,$C$2,$C$3,$C$4,$C$6,$C$5,$C$7,F$1,F$2,$A43),_xll.DBSS(Input!F43,Input_DBS!$E$1,Input!$C$2,Input!$C$3,Input!$C$4,Input!$C$5,Input!$C$7,F$1,F$2,Input!$A43))</f>
        <v>0</v>
      </c>
      <c r="G43" s="119">
        <f ca="1">IF(Flag_Send_Data="Restit",_xll.DBRW($C$1,$C$2,$C$3,$C$4,$C$6,$C$5,$C$7,G$1,G$2,$A43),_xll.DBSS(Input!G43,Input_DBS!$E$1,Input!$C$2,Input!$C$3,Input!$C$4,Input!$C$5,Input!$C$7,G$1,G$2,Input!$A43))</f>
        <v>0</v>
      </c>
      <c r="H43" s="119">
        <f ca="1">IF(Flag_Send_Data="Restit",_xll.DBRW($C$1,$C$2,$C$3,$C$4,$C$6,$C$5,$C$7,H$1,H$2,$A43),_xll.DBSS(Input!H43,Input_DBS!$E$1,Input!$C$2,Input!$C$3,Input!$C$4,Input!$C$5,Input!$C$7,H$1,H$2,Input!$A43))</f>
        <v>0</v>
      </c>
      <c r="I43" s="119">
        <f ca="1">IF(Flag_Send_Data="Restit",_xll.DBRW($C$1,$C$2,$C$3,$C$4,$C$6,$C$5,$C$7,I$1,I$2,$A43),_xll.DBSS(Input!I43,Input_DBS!$E$1,Input!$C$2,Input!$C$3,Input!$C$4,Input!$C$5,Input!$C$7,I$1,I$2,Input!$A43))</f>
        <v>0</v>
      </c>
      <c r="J43" s="119">
        <f ca="1">IF(Flag_Send_Data="Restit",_xll.DBRW($C$1,$C$2,$C$3,$C$4,$C$6,$C$5,$C$7,J$1,J$2,$A43),_xll.DBSS(Input!J43,Input_DBS!$E$1,Input!$C$2,Input!$C$3,Input!$C$4,Input!$C$5,Input!$C$7,J$1,J$2,Input!$A43))</f>
        <v>0</v>
      </c>
      <c r="K43" s="119">
        <f ca="1">IF(Flag_Send_Data="Restit",_xll.DBRW($C$1,$C$2,$C$3,$C$4,$C$6,$C$5,$C$7,K$1,K$2,$A43),_xll.DBSS(Input!K43,Input_DBS!$E$1,Input!$C$2,Input!$C$3,Input!$C$4,Input!$C$5,Input!$C$7,K$1,K$2,Input!$A43))</f>
        <v>0</v>
      </c>
      <c r="L43" s="119">
        <f ca="1">IF(Flag_Send_Data="Restit",_xll.DBRW($C$1,$C$2,$C$3,$C$4,$C$6,$C$5,$C$7,L$1,L$2,$A43),_xll.DBSS(Input!L43,Input_DBS!$E$1,Input!$C$2,Input!$C$3,Input!$C$4,Input!$C$5,Input!$C$7,L$1,L$2,Input!$A43))</f>
        <v>0</v>
      </c>
      <c r="M43" s="119">
        <f ca="1">IF(Flag_Send_Data="Restit",_xll.DBRW($C$1,$C$2,$C$3,$C$4,$C$6,$C$5,$C$7,M$1,M$2,$A43),_xll.DBSS(Input!M43,Input_DBS!$E$1,Input!$C$2,Input!$C$3,Input!$C$4,Input!$C$5,Input!$C$7,M$1,M$2,Input!$A43))</f>
        <v>0</v>
      </c>
      <c r="N43" s="119">
        <f ca="1">IF(Flag_Send_Data="Restit",_xll.DBRW($C$1,$C$2,$C$3,$C$4,$C$6,$C$5,$C$7,N$1,N$2,$A43),_xll.DBSS(Input!N43,Input_DBS!$E$1,Input!$C$2,Input!$C$3,Input!$C$4,Input!$C$5,Input!$C$7,N$1,N$2,Input!$A43))</f>
        <v>0</v>
      </c>
      <c r="O43" s="119">
        <f ca="1">IF(Flag_Send_Data="Restit",_xll.DBRW($C$1,$C$2,$C$3,$C$4,$C$6,$C$5,$C$7,O$1,O$2,$A43),_xll.DBSS(Input!O43,Input_DBS!$E$1,Input!$C$2,Input!$C$3,Input!$C$4,Input!$C$5,Input!$C$7,O$1,O$2,Input!$A43))</f>
        <v>0</v>
      </c>
      <c r="P43" s="119">
        <f ca="1">IF(Flag_Send_Data="Restit",_xll.DBRW($C$1,$C$2,$C$3,$C$4,$C$6,$C$5,$C$7,P$1,P$2,$A43),_xll.DBSS(Input!P43,Input_DBS!$E$1,Input!$C$2,Input!$C$3,Input!$C$4,Input!$C$5,Input!$C$7,P$1,P$2,Input!$A43))</f>
        <v>0</v>
      </c>
      <c r="Q43" s="119">
        <f ca="1">IF(Flag_Send_Data="Restit",_xll.DBRW($C$1,$C$2,$C$3,$C$4,$C$6,$C$5,$C$7,Q$1,Q$2,$A43),_xll.DBSS(Input!Q43,Input_DBS!$E$1,Input!$C$2,Input!$C$3,Input!$C$4,Input!$C$5,Input!$C$7,Q$1,Q$2,Input!$A43))</f>
        <v>0</v>
      </c>
      <c r="R43" s="119">
        <f ca="1">IF(Flag_Send_Data="Restit",_xll.DBRW($C$1,$C$2,$C$3,$C$4,$C$6,$C$5,$C$7,R$1,R$2,$A43),_xll.DBSS(Input!R43,Input_DBS!$E$1,Input!$C$2,Input!$C$3,Input!$C$4,Input!$C$5,Input!$C$7,R$1,R$2,Input!$A43))</f>
        <v>0</v>
      </c>
      <c r="S43" s="119"/>
    </row>
    <row r="44" spans="1:19" ht="15.75">
      <c r="A44" s="1" t="s">
        <v>127</v>
      </c>
      <c r="C44" s="141"/>
      <c r="E44" s="82" t="s">
        <v>84</v>
      </c>
      <c r="F44" s="103">
        <f t="shared" ref="F44:R44" ca="1" si="7">SUM(F43)</f>
        <v>0</v>
      </c>
      <c r="G44" s="103">
        <f t="shared" ca="1" si="7"/>
        <v>0</v>
      </c>
      <c r="H44" s="103">
        <f t="shared" ca="1" si="7"/>
        <v>0</v>
      </c>
      <c r="I44" s="103">
        <f t="shared" ca="1" si="7"/>
        <v>0</v>
      </c>
      <c r="J44" s="103">
        <f t="shared" ca="1" si="7"/>
        <v>0</v>
      </c>
      <c r="K44" s="103">
        <f t="shared" ca="1" si="7"/>
        <v>0</v>
      </c>
      <c r="L44" s="103">
        <f t="shared" ca="1" si="7"/>
        <v>0</v>
      </c>
      <c r="M44" s="103">
        <f t="shared" ca="1" si="7"/>
        <v>0</v>
      </c>
      <c r="N44" s="103">
        <f t="shared" ca="1" si="7"/>
        <v>0</v>
      </c>
      <c r="O44" s="103">
        <f t="shared" ca="1" si="7"/>
        <v>0</v>
      </c>
      <c r="P44" s="103">
        <f t="shared" ca="1" si="7"/>
        <v>0</v>
      </c>
      <c r="Q44" s="103">
        <f t="shared" ca="1" si="7"/>
        <v>0</v>
      </c>
      <c r="R44" s="103">
        <f t="shared" ca="1" si="7"/>
        <v>0</v>
      </c>
      <c r="S44" s="103"/>
    </row>
    <row r="45" spans="1:19" ht="9" customHeight="1">
      <c r="A45" s="1" t="s">
        <v>127</v>
      </c>
      <c r="C45" s="141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1"/>
      <c r="E46" s="9" t="str">
        <f ca="1">_xll.DBRW(Server&amp;"}ElementAttributes_Indicator",A46,"code_English")</f>
        <v>Fuel_consu - Fuel consumed (liters)</v>
      </c>
      <c r="F46" s="119">
        <f ca="1">IF(Flag_Send_Data="Restit",_xll.DBRW($C$1,$C$2,$C$3,$C$4,$C$6,$C$5,$C$7,F$1,F$2,$A46),_xll.DBSS(Input!F46,Input_DBS!$E$1,Input!$C$2,Input!$C$3,Input!$C$4,Input!$C$5,Input!$C$7,F$1,F$2,Input!$A46))</f>
        <v>0</v>
      </c>
      <c r="G46" s="119">
        <f ca="1">IF(Flag_Send_Data="Restit",_xll.DBRW($C$1,$C$2,$C$3,$C$4,$C$6,$C$5,$C$7,G$1,G$2,$A46),_xll.DBSS(Input!G46,Input_DBS!$E$1,Input!$C$2,Input!$C$3,Input!$C$4,Input!$C$5,Input!$C$7,G$1,G$2,Input!$A46))</f>
        <v>0</v>
      </c>
      <c r="H46" s="119">
        <f ca="1">IF(Flag_Send_Data="Restit",_xll.DBRW($C$1,$C$2,$C$3,$C$4,$C$6,$C$5,$C$7,H$1,H$2,$A46),_xll.DBSS(Input!H46,Input_DBS!$E$1,Input!$C$2,Input!$C$3,Input!$C$4,Input!$C$5,Input!$C$7,H$1,H$2,Input!$A46))</f>
        <v>0</v>
      </c>
      <c r="I46" s="119">
        <f ca="1">IF(Flag_Send_Data="Restit",_xll.DBRW($C$1,$C$2,$C$3,$C$4,$C$6,$C$5,$C$7,I$1,I$2,$A46),_xll.DBSS(Input!I46,Input_DBS!$E$1,Input!$C$2,Input!$C$3,Input!$C$4,Input!$C$5,Input!$C$7,I$1,I$2,Input!$A46))</f>
        <v>0</v>
      </c>
      <c r="J46" s="119">
        <f ca="1">IF(Flag_Send_Data="Restit",_xll.DBRW($C$1,$C$2,$C$3,$C$4,$C$6,$C$5,$C$7,J$1,J$2,$A46),_xll.DBSS(Input!J46,Input_DBS!$E$1,Input!$C$2,Input!$C$3,Input!$C$4,Input!$C$5,Input!$C$7,J$1,J$2,Input!$A46))</f>
        <v>0</v>
      </c>
      <c r="K46" s="119">
        <f ca="1">IF(Flag_Send_Data="Restit",_xll.DBRW($C$1,$C$2,$C$3,$C$4,$C$6,$C$5,$C$7,K$1,K$2,$A46),_xll.DBSS(Input!K46,Input_DBS!$E$1,Input!$C$2,Input!$C$3,Input!$C$4,Input!$C$5,Input!$C$7,K$1,K$2,Input!$A46))</f>
        <v>0</v>
      </c>
      <c r="L46" s="119">
        <f ca="1">IF(Flag_Send_Data="Restit",_xll.DBRW($C$1,$C$2,$C$3,$C$4,$C$6,$C$5,$C$7,L$1,L$2,$A46),_xll.DBSS(Input!L46,Input_DBS!$E$1,Input!$C$2,Input!$C$3,Input!$C$4,Input!$C$5,Input!$C$7,L$1,L$2,Input!$A46))</f>
        <v>0</v>
      </c>
      <c r="M46" s="119">
        <f ca="1">IF(Flag_Send_Data="Restit",_xll.DBRW($C$1,$C$2,$C$3,$C$4,$C$6,$C$5,$C$7,M$1,M$2,$A46),_xll.DBSS(Input!M46,Input_DBS!$E$1,Input!$C$2,Input!$C$3,Input!$C$4,Input!$C$5,Input!$C$7,M$1,M$2,Input!$A46))</f>
        <v>0</v>
      </c>
      <c r="N46" s="119">
        <f ca="1">IF(Flag_Send_Data="Restit",_xll.DBRW($C$1,$C$2,$C$3,$C$4,$C$6,$C$5,$C$7,N$1,N$2,$A46),_xll.DBSS(Input!N46,Input_DBS!$E$1,Input!$C$2,Input!$C$3,Input!$C$4,Input!$C$5,Input!$C$7,N$1,N$2,Input!$A46))</f>
        <v>0</v>
      </c>
      <c r="O46" s="119">
        <f ca="1">IF(Flag_Send_Data="Restit",_xll.DBRW($C$1,$C$2,$C$3,$C$4,$C$6,$C$5,$C$7,O$1,O$2,$A46),_xll.DBSS(Input!O46,Input_DBS!$E$1,Input!$C$2,Input!$C$3,Input!$C$4,Input!$C$5,Input!$C$7,O$1,O$2,Input!$A46))</f>
        <v>0</v>
      </c>
      <c r="P46" s="119">
        <f ca="1">IF(Flag_Send_Data="Restit",_xll.DBRW($C$1,$C$2,$C$3,$C$4,$C$6,$C$5,$C$7,P$1,P$2,$A46),_xll.DBSS(Input!P46,Input_DBS!$E$1,Input!$C$2,Input!$C$3,Input!$C$4,Input!$C$5,Input!$C$7,P$1,P$2,Input!$A46))</f>
        <v>0</v>
      </c>
      <c r="Q46" s="119">
        <f ca="1">IF(Flag_Send_Data="Restit",_xll.DBRW($C$1,$C$2,$C$3,$C$4,$C$6,$C$5,$C$7,Q$1,Q$2,$A46),_xll.DBSS(Input!Q46,Input_DBS!$E$1,Input!$C$2,Input!$C$3,Input!$C$4,Input!$C$5,Input!$C$7,Q$1,Q$2,Input!$A46))</f>
        <v>0</v>
      </c>
      <c r="R46" s="119">
        <f ca="1">IF(Flag_Send_Data="Restit",_xll.DBRW($C$1,$C$2,$C$3,$C$4,$C$6,$C$5,$C$7,R$1,R$2,$A46),_xll.DBSS(Input!R46,Input_DBS!$E$1,Input!$C$2,Input!$C$3,Input!$C$4,Input!$C$5,Input!$C$7,R$1,R$2,Input!$A46))</f>
        <v>0</v>
      </c>
      <c r="S46" s="119"/>
    </row>
    <row r="47" spans="1:19" ht="15.75">
      <c r="A47" s="1" t="s">
        <v>127</v>
      </c>
      <c r="C47" s="141"/>
      <c r="E47" s="17" t="s">
        <v>85</v>
      </c>
      <c r="F47" s="42">
        <f t="shared" ref="F47:Q47" ca="1" si="8">SUM(F46)</f>
        <v>0</v>
      </c>
      <c r="G47" s="42">
        <f t="shared" ca="1" si="8"/>
        <v>0</v>
      </c>
      <c r="H47" s="42">
        <f t="shared" ca="1" si="8"/>
        <v>0</v>
      </c>
      <c r="I47" s="42">
        <f t="shared" ca="1" si="8"/>
        <v>0</v>
      </c>
      <c r="J47" s="42">
        <f t="shared" ca="1" si="8"/>
        <v>0</v>
      </c>
      <c r="K47" s="42">
        <f t="shared" ca="1" si="8"/>
        <v>0</v>
      </c>
      <c r="L47" s="42">
        <f t="shared" ca="1" si="8"/>
        <v>0</v>
      </c>
      <c r="M47" s="42">
        <f t="shared" ca="1" si="8"/>
        <v>0</v>
      </c>
      <c r="N47" s="42">
        <f t="shared" ca="1" si="8"/>
        <v>0</v>
      </c>
      <c r="O47" s="42">
        <f t="shared" ca="1" si="8"/>
        <v>0</v>
      </c>
      <c r="P47" s="42">
        <f t="shared" ca="1" si="8"/>
        <v>0</v>
      </c>
      <c r="Q47" s="42">
        <f t="shared" ca="1" si="8"/>
        <v>0</v>
      </c>
      <c r="R47" s="42">
        <f ca="1">SUM(R46)</f>
        <v>0</v>
      </c>
      <c r="S47" s="42"/>
    </row>
    <row r="48" spans="1:19" ht="15.75" customHeight="1" outlineLevel="1">
      <c r="A48" s="1" t="s">
        <v>339</v>
      </c>
      <c r="C48" s="141"/>
      <c r="E48" s="9" t="str">
        <f ca="1">_xll.DBRW(Server&amp;"}ElementAttributes_Indicator",A48,"code_English")</f>
        <v>Biofuel_consu - Biofuel consumed (liters)</v>
      </c>
      <c r="F48" s="119">
        <f ca="1">IF(Flag_Send_Data="Restit",_xll.DBRW($C$1,$C$2,$C$3,$C$4,$C$6,$C$5,$C$7,F$1,F$2,$A48),_xll.DBSS(Input!F48,Input_DBS!$E$1,Input!$C$2,Input!$C$3,Input!$C$4,Input!$C$5,Input!$C$7,F$1,F$2,Input!$A48))</f>
        <v>0</v>
      </c>
      <c r="G48" s="119">
        <f ca="1">IF(Flag_Send_Data="Restit",_xll.DBRW($C$1,$C$2,$C$3,$C$4,$C$6,$C$5,$C$7,G$1,G$2,$A48),_xll.DBSS(Input!G48,Input_DBS!$E$1,Input!$C$2,Input!$C$3,Input!$C$4,Input!$C$5,Input!$C$7,G$1,G$2,Input!$A48))</f>
        <v>0</v>
      </c>
      <c r="H48" s="119">
        <f ca="1">IF(Flag_Send_Data="Restit",_xll.DBRW($C$1,$C$2,$C$3,$C$4,$C$6,$C$5,$C$7,H$1,H$2,$A48),_xll.DBSS(Input!H48,Input_DBS!$E$1,Input!$C$2,Input!$C$3,Input!$C$4,Input!$C$5,Input!$C$7,H$1,H$2,Input!$A48))</f>
        <v>0</v>
      </c>
      <c r="I48" s="119">
        <f ca="1">IF(Flag_Send_Data="Restit",_xll.DBRW($C$1,$C$2,$C$3,$C$4,$C$6,$C$5,$C$7,I$1,I$2,$A48),_xll.DBSS(Input!I48,Input_DBS!$E$1,Input!$C$2,Input!$C$3,Input!$C$4,Input!$C$5,Input!$C$7,I$1,I$2,Input!$A48))</f>
        <v>0</v>
      </c>
      <c r="J48" s="119">
        <f ca="1">IF(Flag_Send_Data="Restit",_xll.DBRW($C$1,$C$2,$C$3,$C$4,$C$6,$C$5,$C$7,J$1,J$2,$A48),_xll.DBSS(Input!J48,Input_DBS!$E$1,Input!$C$2,Input!$C$3,Input!$C$4,Input!$C$5,Input!$C$7,J$1,J$2,Input!$A48))</f>
        <v>0</v>
      </c>
      <c r="K48" s="119">
        <f ca="1">IF(Flag_Send_Data="Restit",_xll.DBRW($C$1,$C$2,$C$3,$C$4,$C$6,$C$5,$C$7,K$1,K$2,$A48),_xll.DBSS(Input!K48,Input_DBS!$E$1,Input!$C$2,Input!$C$3,Input!$C$4,Input!$C$5,Input!$C$7,K$1,K$2,Input!$A48))</f>
        <v>0</v>
      </c>
      <c r="L48" s="119">
        <f ca="1">IF(Flag_Send_Data="Restit",_xll.DBRW($C$1,$C$2,$C$3,$C$4,$C$6,$C$5,$C$7,L$1,L$2,$A48),_xll.DBSS(Input!L48,Input_DBS!$E$1,Input!$C$2,Input!$C$3,Input!$C$4,Input!$C$5,Input!$C$7,L$1,L$2,Input!$A48))</f>
        <v>0</v>
      </c>
      <c r="M48" s="119">
        <f ca="1">IF(Flag_Send_Data="Restit",_xll.DBRW($C$1,$C$2,$C$3,$C$4,$C$6,$C$5,$C$7,M$1,M$2,$A48),_xll.DBSS(Input!M48,Input_DBS!$E$1,Input!$C$2,Input!$C$3,Input!$C$4,Input!$C$5,Input!$C$7,M$1,M$2,Input!$A48))</f>
        <v>0</v>
      </c>
      <c r="N48" s="119">
        <f ca="1">IF(Flag_Send_Data="Restit",_xll.DBRW($C$1,$C$2,$C$3,$C$4,$C$6,$C$5,$C$7,N$1,N$2,$A48),_xll.DBSS(Input!N48,Input_DBS!$E$1,Input!$C$2,Input!$C$3,Input!$C$4,Input!$C$5,Input!$C$7,N$1,N$2,Input!$A48))</f>
        <v>0</v>
      </c>
      <c r="O48" s="119">
        <f ca="1">IF(Flag_Send_Data="Restit",_xll.DBRW($C$1,$C$2,$C$3,$C$4,$C$6,$C$5,$C$7,O$1,O$2,$A48),_xll.DBSS(Input!O48,Input_DBS!$E$1,Input!$C$2,Input!$C$3,Input!$C$4,Input!$C$5,Input!$C$7,O$1,O$2,Input!$A48))</f>
        <v>0</v>
      </c>
      <c r="P48" s="119">
        <f ca="1">IF(Flag_Send_Data="Restit",_xll.DBRW($C$1,$C$2,$C$3,$C$4,$C$6,$C$5,$C$7,P$1,P$2,$A48),_xll.DBSS(Input!P48,Input_DBS!$E$1,Input!$C$2,Input!$C$3,Input!$C$4,Input!$C$5,Input!$C$7,P$1,P$2,Input!$A48))</f>
        <v>0</v>
      </c>
      <c r="Q48" s="119">
        <f ca="1">IF(Flag_Send_Data="Restit",_xll.DBRW($C$1,$C$2,$C$3,$C$4,$C$6,$C$5,$C$7,Q$1,Q$2,$A48),_xll.DBSS(Input!Q48,Input_DBS!$E$1,Input!$C$2,Input!$C$3,Input!$C$4,Input!$C$5,Input!$C$7,Q$1,Q$2,Input!$A48))</f>
        <v>0</v>
      </c>
      <c r="R48" s="119">
        <f ca="1">IF(Flag_Send_Data="Restit",_xll.DBRW($C$1,$C$2,$C$3,$C$4,$C$6,$C$5,$C$7,R$1,R$2,$A48),_xll.DBSS(Input!R48,Input_DBS!$E$1,Input!$C$2,Input!$C$3,Input!$C$4,Input!$C$5,Input!$C$7,R$1,R$2,Input!$A48))</f>
        <v>0</v>
      </c>
      <c r="S48" s="119"/>
    </row>
    <row r="49" spans="1:19" ht="15.75">
      <c r="A49" s="1" t="s">
        <v>127</v>
      </c>
      <c r="C49" s="141"/>
      <c r="E49" s="15" t="s">
        <v>86</v>
      </c>
      <c r="F49" s="44">
        <f t="shared" ref="F49:Q49" ca="1" si="9">SUM(F48)</f>
        <v>0</v>
      </c>
      <c r="G49" s="44">
        <f t="shared" ca="1" si="9"/>
        <v>0</v>
      </c>
      <c r="H49" s="44">
        <f t="shared" ca="1" si="9"/>
        <v>0</v>
      </c>
      <c r="I49" s="44">
        <f t="shared" ca="1" si="9"/>
        <v>0</v>
      </c>
      <c r="J49" s="44">
        <f t="shared" ca="1" si="9"/>
        <v>0</v>
      </c>
      <c r="K49" s="44">
        <f t="shared" ca="1" si="9"/>
        <v>0</v>
      </c>
      <c r="L49" s="44">
        <f t="shared" ca="1" si="9"/>
        <v>0</v>
      </c>
      <c r="M49" s="44">
        <f t="shared" ca="1" si="9"/>
        <v>0</v>
      </c>
      <c r="N49" s="44">
        <f t="shared" ca="1" si="9"/>
        <v>0</v>
      </c>
      <c r="O49" s="44">
        <f t="shared" ca="1" si="9"/>
        <v>0</v>
      </c>
      <c r="P49" s="44">
        <f t="shared" ca="1" si="9"/>
        <v>0</v>
      </c>
      <c r="Q49" s="44">
        <f t="shared" ca="1" si="9"/>
        <v>0</v>
      </c>
      <c r="R49" s="44">
        <f ca="1">SUM(R48)</f>
        <v>0</v>
      </c>
      <c r="S49" s="44"/>
    </row>
    <row r="50" spans="1:19" ht="15.75" customHeight="1" outlineLevel="1">
      <c r="A50" s="1" t="s">
        <v>340</v>
      </c>
      <c r="C50" s="141"/>
      <c r="E50" s="9" t="str">
        <f ca="1">_xll.DBRW(Server&amp;"}ElementAttributes_Indicator",A50,"code_English")</f>
        <v>Gas_consu - Gas consumed (kwh)</v>
      </c>
      <c r="F50" s="119">
        <f ca="1">IF(Flag_Send_Data="Restit",_xll.DBRW($C$1,$C$2,$C$3,$C$4,$C$6,$C$5,$C$7,F$1,F$2,$A50),_xll.DBSS(Input!F50,Input_DBS!$E$1,Input!$C$2,Input!$C$3,Input!$C$4,Input!$C$5,Input!$C$7,F$1,F$2,Input!$A50))</f>
        <v>0</v>
      </c>
      <c r="G50" s="119">
        <f ca="1">IF(Flag_Send_Data="Restit",_xll.DBRW($C$1,$C$2,$C$3,$C$4,$C$6,$C$5,$C$7,G$1,G$2,$A50),_xll.DBSS(Input!G50,Input_DBS!$E$1,Input!$C$2,Input!$C$3,Input!$C$4,Input!$C$5,Input!$C$7,G$1,G$2,Input!$A50))</f>
        <v>0</v>
      </c>
      <c r="H50" s="119">
        <f ca="1">IF(Flag_Send_Data="Restit",_xll.DBRW($C$1,$C$2,$C$3,$C$4,$C$6,$C$5,$C$7,H$1,H$2,$A50),_xll.DBSS(Input!H50,Input_DBS!$E$1,Input!$C$2,Input!$C$3,Input!$C$4,Input!$C$5,Input!$C$7,H$1,H$2,Input!$A50))</f>
        <v>0</v>
      </c>
      <c r="I50" s="119">
        <f ca="1">IF(Flag_Send_Data="Restit",_xll.DBRW($C$1,$C$2,$C$3,$C$4,$C$6,$C$5,$C$7,I$1,I$2,$A50),_xll.DBSS(Input!I50,Input_DBS!$E$1,Input!$C$2,Input!$C$3,Input!$C$4,Input!$C$5,Input!$C$7,I$1,I$2,Input!$A50))</f>
        <v>0</v>
      </c>
      <c r="J50" s="119">
        <f ca="1">IF(Flag_Send_Data="Restit",_xll.DBRW($C$1,$C$2,$C$3,$C$4,$C$6,$C$5,$C$7,J$1,J$2,$A50),_xll.DBSS(Input!J50,Input_DBS!$E$1,Input!$C$2,Input!$C$3,Input!$C$4,Input!$C$5,Input!$C$7,J$1,J$2,Input!$A50))</f>
        <v>0</v>
      </c>
      <c r="K50" s="119">
        <f ca="1">IF(Flag_Send_Data="Restit",_xll.DBRW($C$1,$C$2,$C$3,$C$4,$C$6,$C$5,$C$7,K$1,K$2,$A50),_xll.DBSS(Input!K50,Input_DBS!$E$1,Input!$C$2,Input!$C$3,Input!$C$4,Input!$C$5,Input!$C$7,K$1,K$2,Input!$A50))</f>
        <v>0</v>
      </c>
      <c r="L50" s="119">
        <f ca="1">IF(Flag_Send_Data="Restit",_xll.DBRW($C$1,$C$2,$C$3,$C$4,$C$6,$C$5,$C$7,L$1,L$2,$A50),_xll.DBSS(Input!L50,Input_DBS!$E$1,Input!$C$2,Input!$C$3,Input!$C$4,Input!$C$5,Input!$C$7,L$1,L$2,Input!$A50))</f>
        <v>0</v>
      </c>
      <c r="M50" s="119">
        <f ca="1">IF(Flag_Send_Data="Restit",_xll.DBRW($C$1,$C$2,$C$3,$C$4,$C$6,$C$5,$C$7,M$1,M$2,$A50),_xll.DBSS(Input!M50,Input_DBS!$E$1,Input!$C$2,Input!$C$3,Input!$C$4,Input!$C$5,Input!$C$7,M$1,M$2,Input!$A50))</f>
        <v>0</v>
      </c>
      <c r="N50" s="119">
        <f ca="1">IF(Flag_Send_Data="Restit",_xll.DBRW($C$1,$C$2,$C$3,$C$4,$C$6,$C$5,$C$7,N$1,N$2,$A50),_xll.DBSS(Input!N50,Input_DBS!$E$1,Input!$C$2,Input!$C$3,Input!$C$4,Input!$C$5,Input!$C$7,N$1,N$2,Input!$A50))</f>
        <v>0</v>
      </c>
      <c r="O50" s="119">
        <f ca="1">IF(Flag_Send_Data="Restit",_xll.DBRW($C$1,$C$2,$C$3,$C$4,$C$6,$C$5,$C$7,O$1,O$2,$A50),_xll.DBSS(Input!O50,Input_DBS!$E$1,Input!$C$2,Input!$C$3,Input!$C$4,Input!$C$5,Input!$C$7,O$1,O$2,Input!$A50))</f>
        <v>0</v>
      </c>
      <c r="P50" s="119">
        <f ca="1">IF(Flag_Send_Data="Restit",_xll.DBRW($C$1,$C$2,$C$3,$C$4,$C$6,$C$5,$C$7,P$1,P$2,$A50),_xll.DBSS(Input!P50,Input_DBS!$E$1,Input!$C$2,Input!$C$3,Input!$C$4,Input!$C$5,Input!$C$7,P$1,P$2,Input!$A50))</f>
        <v>0</v>
      </c>
      <c r="Q50" s="119">
        <f ca="1">IF(Flag_Send_Data="Restit",_xll.DBRW($C$1,$C$2,$C$3,$C$4,$C$6,$C$5,$C$7,Q$1,Q$2,$A50),_xll.DBSS(Input!Q50,Input_DBS!$E$1,Input!$C$2,Input!$C$3,Input!$C$4,Input!$C$5,Input!$C$7,Q$1,Q$2,Input!$A50))</f>
        <v>0</v>
      </c>
      <c r="R50" s="119">
        <f ca="1">IF(Flag_Send_Data="Restit",_xll.DBRW($C$1,$C$2,$C$3,$C$4,$C$6,$C$5,$C$7,R$1,R$2,$A50),_xll.DBSS(Input!R50,Input_DBS!$E$1,Input!$C$2,Input!$C$3,Input!$C$4,Input!$C$5,Input!$C$7,R$1,R$2,Input!$A50))</f>
        <v>0</v>
      </c>
      <c r="S50" s="119"/>
    </row>
    <row r="51" spans="1:19" ht="15.75">
      <c r="A51" s="1" t="s">
        <v>127</v>
      </c>
      <c r="C51" s="141"/>
      <c r="E51" s="15" t="s">
        <v>87</v>
      </c>
      <c r="F51" s="43">
        <f t="shared" ref="F51:Q51" ca="1" si="10">SUM(F50)</f>
        <v>0</v>
      </c>
      <c r="G51" s="43">
        <f t="shared" ca="1" si="10"/>
        <v>0</v>
      </c>
      <c r="H51" s="43">
        <f t="shared" ca="1" si="10"/>
        <v>0</v>
      </c>
      <c r="I51" s="43">
        <f t="shared" ca="1" si="10"/>
        <v>0</v>
      </c>
      <c r="J51" s="43">
        <f t="shared" ca="1" si="10"/>
        <v>0</v>
      </c>
      <c r="K51" s="43">
        <f t="shared" ca="1" si="10"/>
        <v>0</v>
      </c>
      <c r="L51" s="43">
        <f t="shared" ca="1" si="10"/>
        <v>0</v>
      </c>
      <c r="M51" s="43">
        <f t="shared" ca="1" si="10"/>
        <v>0</v>
      </c>
      <c r="N51" s="43">
        <f t="shared" ca="1" si="10"/>
        <v>0</v>
      </c>
      <c r="O51" s="43">
        <f t="shared" ca="1" si="10"/>
        <v>0</v>
      </c>
      <c r="P51" s="43">
        <f t="shared" ca="1" si="10"/>
        <v>0</v>
      </c>
      <c r="Q51" s="43">
        <f t="shared" ca="1" si="10"/>
        <v>0</v>
      </c>
      <c r="R51" s="43">
        <f ca="1">SUM(R50)</f>
        <v>0</v>
      </c>
      <c r="S51" s="43"/>
    </row>
    <row r="52" spans="1:19" ht="15.75" customHeight="1" outlineLevel="1">
      <c r="A52" s="1" t="s">
        <v>341</v>
      </c>
      <c r="C52" s="141"/>
      <c r="E52" s="9" t="str">
        <f ca="1">_xll.DBRW(Server&amp;"}ElementAttributes_Indicator",A52,"code_English")</f>
        <v>Elec_consu - Electricity consumed (kwh)</v>
      </c>
      <c r="F52" s="119">
        <f ca="1">IF(Flag_Send_Data="Restit",_xll.DBRW($C$1,$C$2,$C$3,$C$4,$C$6,$C$5,$C$7,F$1,F$2,$A52),_xll.DBSS(Input!F52,Input_DBS!$E$1,Input!$C$2,Input!$C$3,Input!$C$4,Input!$C$5,Input!$C$7,F$1,F$2,Input!$A52))</f>
        <v>0</v>
      </c>
      <c r="G52" s="119">
        <f ca="1">IF(Flag_Send_Data="Restit",_xll.DBRW($C$1,$C$2,$C$3,$C$4,$C$6,$C$5,$C$7,G$1,G$2,$A52),_xll.DBSS(Input!G52,Input_DBS!$E$1,Input!$C$2,Input!$C$3,Input!$C$4,Input!$C$5,Input!$C$7,G$1,G$2,Input!$A52))</f>
        <v>0</v>
      </c>
      <c r="H52" s="119">
        <f ca="1">IF(Flag_Send_Data="Restit",_xll.DBRW($C$1,$C$2,$C$3,$C$4,$C$6,$C$5,$C$7,H$1,H$2,$A52),_xll.DBSS(Input!H52,Input_DBS!$E$1,Input!$C$2,Input!$C$3,Input!$C$4,Input!$C$5,Input!$C$7,H$1,H$2,Input!$A52))</f>
        <v>0</v>
      </c>
      <c r="I52" s="119">
        <f ca="1">IF(Flag_Send_Data="Restit",_xll.DBRW($C$1,$C$2,$C$3,$C$4,$C$6,$C$5,$C$7,I$1,I$2,$A52),_xll.DBSS(Input!I52,Input_DBS!$E$1,Input!$C$2,Input!$C$3,Input!$C$4,Input!$C$5,Input!$C$7,I$1,I$2,Input!$A52))</f>
        <v>0</v>
      </c>
      <c r="J52" s="119">
        <f ca="1">IF(Flag_Send_Data="Restit",_xll.DBRW($C$1,$C$2,$C$3,$C$4,$C$6,$C$5,$C$7,J$1,J$2,$A52),_xll.DBSS(Input!J52,Input_DBS!$E$1,Input!$C$2,Input!$C$3,Input!$C$4,Input!$C$5,Input!$C$7,J$1,J$2,Input!$A52))</f>
        <v>0</v>
      </c>
      <c r="K52" s="119">
        <f ca="1">IF(Flag_Send_Data="Restit",_xll.DBRW($C$1,$C$2,$C$3,$C$4,$C$6,$C$5,$C$7,K$1,K$2,$A52),_xll.DBSS(Input!K52,Input_DBS!$E$1,Input!$C$2,Input!$C$3,Input!$C$4,Input!$C$5,Input!$C$7,K$1,K$2,Input!$A52))</f>
        <v>0</v>
      </c>
      <c r="L52" s="119">
        <f ca="1">IF(Flag_Send_Data="Restit",_xll.DBRW($C$1,$C$2,$C$3,$C$4,$C$6,$C$5,$C$7,L$1,L$2,$A52),_xll.DBSS(Input!L52,Input_DBS!$E$1,Input!$C$2,Input!$C$3,Input!$C$4,Input!$C$5,Input!$C$7,L$1,L$2,Input!$A52))</f>
        <v>0</v>
      </c>
      <c r="M52" s="119">
        <f ca="1">IF(Flag_Send_Data="Restit",_xll.DBRW($C$1,$C$2,$C$3,$C$4,$C$6,$C$5,$C$7,M$1,M$2,$A52),_xll.DBSS(Input!M52,Input_DBS!$E$1,Input!$C$2,Input!$C$3,Input!$C$4,Input!$C$5,Input!$C$7,M$1,M$2,Input!$A52))</f>
        <v>0</v>
      </c>
      <c r="N52" s="119">
        <f ca="1">IF(Flag_Send_Data="Restit",_xll.DBRW($C$1,$C$2,$C$3,$C$4,$C$6,$C$5,$C$7,N$1,N$2,$A52),_xll.DBSS(Input!N52,Input_DBS!$E$1,Input!$C$2,Input!$C$3,Input!$C$4,Input!$C$5,Input!$C$7,N$1,N$2,Input!$A52))</f>
        <v>0</v>
      </c>
      <c r="O52" s="119">
        <f ca="1">IF(Flag_Send_Data="Restit",_xll.DBRW($C$1,$C$2,$C$3,$C$4,$C$6,$C$5,$C$7,O$1,O$2,$A52),_xll.DBSS(Input!O52,Input_DBS!$E$1,Input!$C$2,Input!$C$3,Input!$C$4,Input!$C$5,Input!$C$7,O$1,O$2,Input!$A52))</f>
        <v>0</v>
      </c>
      <c r="P52" s="119">
        <f ca="1">IF(Flag_Send_Data="Restit",_xll.DBRW($C$1,$C$2,$C$3,$C$4,$C$6,$C$5,$C$7,P$1,P$2,$A52),_xll.DBSS(Input!P52,Input_DBS!$E$1,Input!$C$2,Input!$C$3,Input!$C$4,Input!$C$5,Input!$C$7,P$1,P$2,Input!$A52))</f>
        <v>0</v>
      </c>
      <c r="Q52" s="119">
        <f ca="1">IF(Flag_Send_Data="Restit",_xll.DBRW($C$1,$C$2,$C$3,$C$4,$C$6,$C$5,$C$7,Q$1,Q$2,$A52),_xll.DBSS(Input!Q52,Input_DBS!$E$1,Input!$C$2,Input!$C$3,Input!$C$4,Input!$C$5,Input!$C$7,Q$1,Q$2,Input!$A52))</f>
        <v>0</v>
      </c>
      <c r="R52" s="119">
        <f ca="1">IF(Flag_Send_Data="Restit",_xll.DBRW($C$1,$C$2,$C$3,$C$4,$C$6,$C$5,$C$7,R$1,R$2,$A52),_xll.DBSS(Input!R52,Input_DBS!$E$1,Input!$C$2,Input!$C$3,Input!$C$4,Input!$C$5,Input!$C$7,R$1,R$2,Input!$A52))</f>
        <v>0</v>
      </c>
      <c r="S52" s="119"/>
    </row>
    <row r="53" spans="1:19" ht="15.75">
      <c r="A53" s="1" t="s">
        <v>127</v>
      </c>
      <c r="C53" s="141"/>
      <c r="E53" s="15" t="s">
        <v>88</v>
      </c>
      <c r="F53" s="44">
        <f t="shared" ref="F53:Q63" ca="1" si="11">SUM(F52)</f>
        <v>0</v>
      </c>
      <c r="G53" s="44">
        <f t="shared" ca="1" si="11"/>
        <v>0</v>
      </c>
      <c r="H53" s="44">
        <f t="shared" ca="1" si="11"/>
        <v>0</v>
      </c>
      <c r="I53" s="44">
        <f t="shared" ca="1" si="11"/>
        <v>0</v>
      </c>
      <c r="J53" s="44">
        <f t="shared" ca="1" si="11"/>
        <v>0</v>
      </c>
      <c r="K53" s="44">
        <f t="shared" ca="1" si="11"/>
        <v>0</v>
      </c>
      <c r="L53" s="44">
        <f t="shared" ca="1" si="11"/>
        <v>0</v>
      </c>
      <c r="M53" s="44">
        <f t="shared" ca="1" si="11"/>
        <v>0</v>
      </c>
      <c r="N53" s="44">
        <f t="shared" ca="1" si="11"/>
        <v>0</v>
      </c>
      <c r="O53" s="44">
        <f t="shared" ca="1" si="11"/>
        <v>0</v>
      </c>
      <c r="P53" s="44">
        <f t="shared" ca="1" si="11"/>
        <v>0</v>
      </c>
      <c r="Q53" s="44">
        <f t="shared" ca="1" si="11"/>
        <v>0</v>
      </c>
      <c r="R53" s="44">
        <f ca="1">SUM(R52)</f>
        <v>0</v>
      </c>
      <c r="S53" s="44"/>
    </row>
    <row r="54" spans="1:19" ht="15.6" customHeight="1" outlineLevel="1">
      <c r="A54" s="1" t="s">
        <v>354</v>
      </c>
      <c r="C54" s="141"/>
      <c r="E54" s="9" t="str">
        <f ca="1">_xll.DBRW(Server&amp;"}ElementAttributes_Indicator",A54,"code_English")</f>
        <v>Tot_nb_bus_coach - Total number of buses/coaches</v>
      </c>
      <c r="F54" s="119">
        <f ca="1">IF(Flag_Send_Data="Restit",_xll.DBRW($C$1,$C$2,$C$3,$C$4,$C$6,$C$5,$C$7,F$1,F$2,$A54),_xll.DBSS(Input!F54,Input_DBS!$E$1,Input!$C$2,Input!$C$3,Input!$C$4,Input!$C$5,Input!$C$7,F$1,F$2,Input!$A54))</f>
        <v>0</v>
      </c>
      <c r="G54" s="119">
        <f ca="1">IF(Flag_Send_Data="Restit",_xll.DBRW($C$1,$C$2,$C$3,$C$4,$C$6,$C$5,$C$7,G$1,G$2,$A54),_xll.DBSS(Input!G54,Input_DBS!$E$1,Input!$C$2,Input!$C$3,Input!$C$4,Input!$C$5,Input!$C$7,G$1,G$2,Input!$A54))</f>
        <v>0</v>
      </c>
      <c r="H54" s="119">
        <f ca="1">IF(Flag_Send_Data="Restit",_xll.DBRW($C$1,$C$2,$C$3,$C$4,$C$6,$C$5,$C$7,H$1,H$2,$A54),_xll.DBSS(Input!H54,Input_DBS!$E$1,Input!$C$2,Input!$C$3,Input!$C$4,Input!$C$5,Input!$C$7,H$1,H$2,Input!$A54))</f>
        <v>0</v>
      </c>
      <c r="I54" s="119">
        <f ca="1">IF(Flag_Send_Data="Restit",_xll.DBRW($C$1,$C$2,$C$3,$C$4,$C$6,$C$5,$C$7,I$1,I$2,$A54),_xll.DBSS(Input!I54,Input_DBS!$E$1,Input!$C$2,Input!$C$3,Input!$C$4,Input!$C$5,Input!$C$7,I$1,I$2,Input!$A54))</f>
        <v>0</v>
      </c>
      <c r="J54" s="119">
        <f ca="1">IF(Flag_Send_Data="Restit",_xll.DBRW($C$1,$C$2,$C$3,$C$4,$C$6,$C$5,$C$7,J$1,J$2,$A54),_xll.DBSS(Input!J54,Input_DBS!$E$1,Input!$C$2,Input!$C$3,Input!$C$4,Input!$C$5,Input!$C$7,J$1,J$2,Input!$A54))</f>
        <v>0</v>
      </c>
      <c r="K54" s="119">
        <f ca="1">IF(Flag_Send_Data="Restit",_xll.DBRW($C$1,$C$2,$C$3,$C$4,$C$6,$C$5,$C$7,K$1,K$2,$A54),_xll.DBSS(Input!K54,Input_DBS!$E$1,Input!$C$2,Input!$C$3,Input!$C$4,Input!$C$5,Input!$C$7,K$1,K$2,Input!$A54))</f>
        <v>0</v>
      </c>
      <c r="L54" s="119">
        <f ca="1">IF(Flag_Send_Data="Restit",_xll.DBRW($C$1,$C$2,$C$3,$C$4,$C$6,$C$5,$C$7,L$1,L$2,$A54),_xll.DBSS(Input!L54,Input_DBS!$E$1,Input!$C$2,Input!$C$3,Input!$C$4,Input!$C$5,Input!$C$7,L$1,L$2,Input!$A54))</f>
        <v>0</v>
      </c>
      <c r="M54" s="119">
        <f ca="1">IF(Flag_Send_Data="Restit",_xll.DBRW($C$1,$C$2,$C$3,$C$4,$C$6,$C$5,$C$7,M$1,M$2,$A54),_xll.DBSS(Input!M54,Input_DBS!$E$1,Input!$C$2,Input!$C$3,Input!$C$4,Input!$C$5,Input!$C$7,M$1,M$2,Input!$A54))</f>
        <v>0</v>
      </c>
      <c r="N54" s="119">
        <f ca="1">IF(Flag_Send_Data="Restit",_xll.DBRW($C$1,$C$2,$C$3,$C$4,$C$6,$C$5,$C$7,N$1,N$2,$A54),_xll.DBSS(Input!N54,Input_DBS!$E$1,Input!$C$2,Input!$C$3,Input!$C$4,Input!$C$5,Input!$C$7,N$1,N$2,Input!$A54))</f>
        <v>0</v>
      </c>
      <c r="O54" s="119">
        <f ca="1">IF(Flag_Send_Data="Restit",_xll.DBRW($C$1,$C$2,$C$3,$C$4,$C$6,$C$5,$C$7,O$1,O$2,$A54),_xll.DBSS(Input!O54,Input_DBS!$E$1,Input!$C$2,Input!$C$3,Input!$C$4,Input!$C$5,Input!$C$7,O$1,O$2,Input!$A54))</f>
        <v>0</v>
      </c>
      <c r="P54" s="119">
        <f ca="1">IF(Flag_Send_Data="Restit",_xll.DBRW($C$1,$C$2,$C$3,$C$4,$C$6,$C$5,$C$7,P$1,P$2,$A54),_xll.DBSS(Input!P54,Input_DBS!$E$1,Input!$C$2,Input!$C$3,Input!$C$4,Input!$C$5,Input!$C$7,P$1,P$2,Input!$A54))</f>
        <v>0</v>
      </c>
      <c r="Q54" s="119">
        <f ca="1">IF(Flag_Send_Data="Restit",_xll.DBRW($C$1,$C$2,$C$3,$C$4,$C$6,$C$5,$C$7,Q$1,Q$2,$A54),_xll.DBSS(Input!Q54,Input_DBS!$E$1,Input!$C$2,Input!$C$3,Input!$C$4,Input!$C$5,Input!$C$7,Q$1,Q$2,Input!$A54))</f>
        <v>0</v>
      </c>
      <c r="R54" s="119">
        <f ca="1">IF(Flag_Send_Data="Restit",_xll.DBRW($C$1,$C$2,$C$3,$C$4,$C$6,$C$5,$C$7,R$1,R$2,$A54),_xll.DBSS(Input!R54,Input_DBS!$E$1,Input!$C$2,Input!$C$3,Input!$C$4,Input!$C$5,Input!$C$7,R$1,R$2,Input!$A54))</f>
        <v>0</v>
      </c>
      <c r="S54" s="119"/>
    </row>
    <row r="55" spans="1:19" ht="15.75">
      <c r="A55" s="1" t="s">
        <v>127</v>
      </c>
      <c r="C55" s="141"/>
      <c r="E55" s="15" t="s">
        <v>89</v>
      </c>
      <c r="F55" s="44">
        <f t="shared" ca="1" si="11"/>
        <v>0</v>
      </c>
      <c r="G55" s="44">
        <f t="shared" ca="1" si="11"/>
        <v>0</v>
      </c>
      <c r="H55" s="44">
        <f t="shared" ca="1" si="11"/>
        <v>0</v>
      </c>
      <c r="I55" s="44">
        <f t="shared" ca="1" si="11"/>
        <v>0</v>
      </c>
      <c r="J55" s="44">
        <f t="shared" ca="1" si="11"/>
        <v>0</v>
      </c>
      <c r="K55" s="44">
        <f t="shared" ca="1" si="11"/>
        <v>0</v>
      </c>
      <c r="L55" s="44">
        <f t="shared" ca="1" si="11"/>
        <v>0</v>
      </c>
      <c r="M55" s="44">
        <f t="shared" ca="1" si="11"/>
        <v>0</v>
      </c>
      <c r="N55" s="44">
        <f t="shared" ca="1" si="11"/>
        <v>0</v>
      </c>
      <c r="O55" s="44">
        <f t="shared" ca="1" si="11"/>
        <v>0</v>
      </c>
      <c r="P55" s="44">
        <f t="shared" ca="1" si="11"/>
        <v>0</v>
      </c>
      <c r="Q55" s="44">
        <f t="shared" ca="1" si="11"/>
        <v>0</v>
      </c>
      <c r="R55" s="44">
        <f ca="1">SUM(R54)</f>
        <v>0</v>
      </c>
      <c r="S55" s="44"/>
    </row>
    <row r="56" spans="1:19" ht="15.6" customHeight="1" outlineLevel="1">
      <c r="A56" s="1" t="s">
        <v>355</v>
      </c>
      <c r="C56" s="141"/>
      <c r="E56" s="9" t="str">
        <f ca="1">_xll.DBRW(Server&amp;"}ElementAttributes_Indicator",A56,"code_English")</f>
        <v>Tot_nb_light_vehicle - Total number of light vehicles</v>
      </c>
      <c r="F56" s="119">
        <f ca="1">IF(Flag_Send_Data="Restit",_xll.DBRW($C$1,$C$2,$C$3,$C$4,$C$6,$C$5,$C$7,F$1,F$2,$A56),_xll.DBSS(Input!F56,Input_DBS!$E$1,Input!$C$2,Input!$C$3,Input!$C$4,Input!$C$5,Input!$C$7,F$1,F$2,Input!$A56))</f>
        <v>0</v>
      </c>
      <c r="G56" s="119">
        <f ca="1">IF(Flag_Send_Data="Restit",_xll.DBRW($C$1,$C$2,$C$3,$C$4,$C$6,$C$5,$C$7,G$1,G$2,$A56),_xll.DBSS(Input!G56,Input_DBS!$E$1,Input!$C$2,Input!$C$3,Input!$C$4,Input!$C$5,Input!$C$7,G$1,G$2,Input!$A56))</f>
        <v>0</v>
      </c>
      <c r="H56" s="119">
        <f ca="1">IF(Flag_Send_Data="Restit",_xll.DBRW($C$1,$C$2,$C$3,$C$4,$C$6,$C$5,$C$7,H$1,H$2,$A56),_xll.DBSS(Input!H56,Input_DBS!$E$1,Input!$C$2,Input!$C$3,Input!$C$4,Input!$C$5,Input!$C$7,H$1,H$2,Input!$A56))</f>
        <v>0</v>
      </c>
      <c r="I56" s="119">
        <f ca="1">IF(Flag_Send_Data="Restit",_xll.DBRW($C$1,$C$2,$C$3,$C$4,$C$6,$C$5,$C$7,I$1,I$2,$A56),_xll.DBSS(Input!I56,Input_DBS!$E$1,Input!$C$2,Input!$C$3,Input!$C$4,Input!$C$5,Input!$C$7,I$1,I$2,Input!$A56))</f>
        <v>0</v>
      </c>
      <c r="J56" s="119">
        <f ca="1">IF(Flag_Send_Data="Restit",_xll.DBRW($C$1,$C$2,$C$3,$C$4,$C$6,$C$5,$C$7,J$1,J$2,$A56),_xll.DBSS(Input!J56,Input_DBS!$E$1,Input!$C$2,Input!$C$3,Input!$C$4,Input!$C$5,Input!$C$7,J$1,J$2,Input!$A56))</f>
        <v>0</v>
      </c>
      <c r="K56" s="119">
        <f ca="1">IF(Flag_Send_Data="Restit",_xll.DBRW($C$1,$C$2,$C$3,$C$4,$C$6,$C$5,$C$7,K$1,K$2,$A56),_xll.DBSS(Input!K56,Input_DBS!$E$1,Input!$C$2,Input!$C$3,Input!$C$4,Input!$C$5,Input!$C$7,K$1,K$2,Input!$A56))</f>
        <v>0</v>
      </c>
      <c r="L56" s="119">
        <f ca="1">IF(Flag_Send_Data="Restit",_xll.DBRW($C$1,$C$2,$C$3,$C$4,$C$6,$C$5,$C$7,L$1,L$2,$A56),_xll.DBSS(Input!L56,Input_DBS!$E$1,Input!$C$2,Input!$C$3,Input!$C$4,Input!$C$5,Input!$C$7,L$1,L$2,Input!$A56))</f>
        <v>0</v>
      </c>
      <c r="M56" s="119">
        <f ca="1">IF(Flag_Send_Data="Restit",_xll.DBRW($C$1,$C$2,$C$3,$C$4,$C$6,$C$5,$C$7,M$1,M$2,$A56),_xll.DBSS(Input!M56,Input_DBS!$E$1,Input!$C$2,Input!$C$3,Input!$C$4,Input!$C$5,Input!$C$7,M$1,M$2,Input!$A56))</f>
        <v>0</v>
      </c>
      <c r="N56" s="119">
        <f ca="1">IF(Flag_Send_Data="Restit",_xll.DBRW($C$1,$C$2,$C$3,$C$4,$C$6,$C$5,$C$7,N$1,N$2,$A56),_xll.DBSS(Input!N56,Input_DBS!$E$1,Input!$C$2,Input!$C$3,Input!$C$4,Input!$C$5,Input!$C$7,N$1,N$2,Input!$A56))</f>
        <v>0</v>
      </c>
      <c r="O56" s="119">
        <f ca="1">IF(Flag_Send_Data="Restit",_xll.DBRW($C$1,$C$2,$C$3,$C$4,$C$6,$C$5,$C$7,O$1,O$2,$A56),_xll.DBSS(Input!O56,Input_DBS!$E$1,Input!$C$2,Input!$C$3,Input!$C$4,Input!$C$5,Input!$C$7,O$1,O$2,Input!$A56))</f>
        <v>0</v>
      </c>
      <c r="P56" s="119">
        <f ca="1">IF(Flag_Send_Data="Restit",_xll.DBRW($C$1,$C$2,$C$3,$C$4,$C$6,$C$5,$C$7,P$1,P$2,$A56),_xll.DBSS(Input!P56,Input_DBS!$E$1,Input!$C$2,Input!$C$3,Input!$C$4,Input!$C$5,Input!$C$7,P$1,P$2,Input!$A56))</f>
        <v>0</v>
      </c>
      <c r="Q56" s="119">
        <f ca="1">IF(Flag_Send_Data="Restit",_xll.DBRW($C$1,$C$2,$C$3,$C$4,$C$6,$C$5,$C$7,Q$1,Q$2,$A56),_xll.DBSS(Input!Q56,Input_DBS!$E$1,Input!$C$2,Input!$C$3,Input!$C$4,Input!$C$5,Input!$C$7,Q$1,Q$2,Input!$A56))</f>
        <v>0</v>
      </c>
      <c r="R56" s="119">
        <f ca="1">IF(Flag_Send_Data="Restit",_xll.DBRW($C$1,$C$2,$C$3,$C$4,$C$6,$C$5,$C$7,R$1,R$2,$A56),_xll.DBSS(Input!R56,Input_DBS!$E$1,Input!$C$2,Input!$C$3,Input!$C$4,Input!$C$5,Input!$C$7,R$1,R$2,Input!$A56))</f>
        <v>0</v>
      </c>
      <c r="S56" s="119"/>
    </row>
    <row r="57" spans="1:19" ht="15.75">
      <c r="A57" s="1" t="s">
        <v>127</v>
      </c>
      <c r="C57" s="141"/>
      <c r="E57" s="15" t="s">
        <v>90</v>
      </c>
      <c r="F57" s="44">
        <f t="shared" ca="1" si="11"/>
        <v>0</v>
      </c>
      <c r="G57" s="44">
        <f t="shared" ca="1" si="11"/>
        <v>0</v>
      </c>
      <c r="H57" s="44">
        <f t="shared" ca="1" si="11"/>
        <v>0</v>
      </c>
      <c r="I57" s="44">
        <f t="shared" ca="1" si="11"/>
        <v>0</v>
      </c>
      <c r="J57" s="44">
        <f t="shared" ca="1" si="11"/>
        <v>0</v>
      </c>
      <c r="K57" s="44">
        <f t="shared" ca="1" si="11"/>
        <v>0</v>
      </c>
      <c r="L57" s="44">
        <f t="shared" ca="1" si="11"/>
        <v>0</v>
      </c>
      <c r="M57" s="44">
        <f t="shared" ca="1" si="11"/>
        <v>0</v>
      </c>
      <c r="N57" s="44">
        <f t="shared" ca="1" si="11"/>
        <v>0</v>
      </c>
      <c r="O57" s="44">
        <f t="shared" ca="1" si="11"/>
        <v>0</v>
      </c>
      <c r="P57" s="44">
        <f t="shared" ca="1" si="11"/>
        <v>0</v>
      </c>
      <c r="Q57" s="44">
        <f t="shared" ca="1" si="11"/>
        <v>0</v>
      </c>
      <c r="R57" s="44">
        <f ca="1">SUM(R56)</f>
        <v>0</v>
      </c>
      <c r="S57" s="44"/>
    </row>
    <row r="58" spans="1:19" ht="15.6" customHeight="1" outlineLevel="1">
      <c r="A58" s="1" t="s">
        <v>356</v>
      </c>
      <c r="C58" s="141"/>
      <c r="E58" s="9" t="str">
        <f ca="1">_xll.DBRW(Server&amp;"}ElementAttributes_Indicator",A58,"code_English")</f>
        <v>Tot_nb_LRV - Total number of LRV</v>
      </c>
      <c r="F58" s="119">
        <f ca="1">IF(Flag_Send_Data="Restit",_xll.DBRW($C$1,$C$2,$C$3,$C$4,$C$6,$C$5,$C$7,F$1,F$2,$A58),_xll.DBSS(Input!F58,Input_DBS!$E$1,Input!$C$2,Input!$C$3,Input!$C$4,Input!$C$5,Input!$C$7,F$1,F$2,Input!$A58))</f>
        <v>0</v>
      </c>
      <c r="G58" s="119">
        <f ca="1">IF(Flag_Send_Data="Restit",_xll.DBRW($C$1,$C$2,$C$3,$C$4,$C$6,$C$5,$C$7,G$1,G$2,$A58),_xll.DBSS(Input!G58,Input_DBS!$E$1,Input!$C$2,Input!$C$3,Input!$C$4,Input!$C$5,Input!$C$7,G$1,G$2,Input!$A58))</f>
        <v>0</v>
      </c>
      <c r="H58" s="119">
        <f ca="1">IF(Flag_Send_Data="Restit",_xll.DBRW($C$1,$C$2,$C$3,$C$4,$C$6,$C$5,$C$7,H$1,H$2,$A58),_xll.DBSS(Input!H58,Input_DBS!$E$1,Input!$C$2,Input!$C$3,Input!$C$4,Input!$C$5,Input!$C$7,H$1,H$2,Input!$A58))</f>
        <v>0</v>
      </c>
      <c r="I58" s="119">
        <f ca="1">IF(Flag_Send_Data="Restit",_xll.DBRW($C$1,$C$2,$C$3,$C$4,$C$6,$C$5,$C$7,I$1,I$2,$A58),_xll.DBSS(Input!I58,Input_DBS!$E$1,Input!$C$2,Input!$C$3,Input!$C$4,Input!$C$5,Input!$C$7,I$1,I$2,Input!$A58))</f>
        <v>0</v>
      </c>
      <c r="J58" s="119">
        <f ca="1">IF(Flag_Send_Data="Restit",_xll.DBRW($C$1,$C$2,$C$3,$C$4,$C$6,$C$5,$C$7,J$1,J$2,$A58),_xll.DBSS(Input!J58,Input_DBS!$E$1,Input!$C$2,Input!$C$3,Input!$C$4,Input!$C$5,Input!$C$7,J$1,J$2,Input!$A58))</f>
        <v>0</v>
      </c>
      <c r="K58" s="119">
        <f ca="1">IF(Flag_Send_Data="Restit",_xll.DBRW($C$1,$C$2,$C$3,$C$4,$C$6,$C$5,$C$7,K$1,K$2,$A58),_xll.DBSS(Input!K58,Input_DBS!$E$1,Input!$C$2,Input!$C$3,Input!$C$4,Input!$C$5,Input!$C$7,K$1,K$2,Input!$A58))</f>
        <v>0</v>
      </c>
      <c r="L58" s="119">
        <f ca="1">IF(Flag_Send_Data="Restit",_xll.DBRW($C$1,$C$2,$C$3,$C$4,$C$6,$C$5,$C$7,L$1,L$2,$A58),_xll.DBSS(Input!L58,Input_DBS!$E$1,Input!$C$2,Input!$C$3,Input!$C$4,Input!$C$5,Input!$C$7,L$1,L$2,Input!$A58))</f>
        <v>0</v>
      </c>
      <c r="M58" s="119">
        <f ca="1">IF(Flag_Send_Data="Restit",_xll.DBRW($C$1,$C$2,$C$3,$C$4,$C$6,$C$5,$C$7,M$1,M$2,$A58),_xll.DBSS(Input!M58,Input_DBS!$E$1,Input!$C$2,Input!$C$3,Input!$C$4,Input!$C$5,Input!$C$7,M$1,M$2,Input!$A58))</f>
        <v>0</v>
      </c>
      <c r="N58" s="119">
        <f ca="1">IF(Flag_Send_Data="Restit",_xll.DBRW($C$1,$C$2,$C$3,$C$4,$C$6,$C$5,$C$7,N$1,N$2,$A58),_xll.DBSS(Input!N58,Input_DBS!$E$1,Input!$C$2,Input!$C$3,Input!$C$4,Input!$C$5,Input!$C$7,N$1,N$2,Input!$A58))</f>
        <v>0</v>
      </c>
      <c r="O58" s="119">
        <f ca="1">IF(Flag_Send_Data="Restit",_xll.DBRW($C$1,$C$2,$C$3,$C$4,$C$6,$C$5,$C$7,O$1,O$2,$A58),_xll.DBSS(Input!O58,Input_DBS!$E$1,Input!$C$2,Input!$C$3,Input!$C$4,Input!$C$5,Input!$C$7,O$1,O$2,Input!$A58))</f>
        <v>0</v>
      </c>
      <c r="P58" s="119">
        <f ca="1">IF(Flag_Send_Data="Restit",_xll.DBRW($C$1,$C$2,$C$3,$C$4,$C$6,$C$5,$C$7,P$1,P$2,$A58),_xll.DBSS(Input!P58,Input_DBS!$E$1,Input!$C$2,Input!$C$3,Input!$C$4,Input!$C$5,Input!$C$7,P$1,P$2,Input!$A58))</f>
        <v>0</v>
      </c>
      <c r="Q58" s="119">
        <f ca="1">IF(Flag_Send_Data="Restit",_xll.DBRW($C$1,$C$2,$C$3,$C$4,$C$6,$C$5,$C$7,Q$1,Q$2,$A58),_xll.DBSS(Input!Q58,Input_DBS!$E$1,Input!$C$2,Input!$C$3,Input!$C$4,Input!$C$5,Input!$C$7,Q$1,Q$2,Input!$A58))</f>
        <v>0</v>
      </c>
      <c r="R58" s="119">
        <f ca="1">IF(Flag_Send_Data="Restit",_xll.DBRW($C$1,$C$2,$C$3,$C$4,$C$6,$C$5,$C$7,R$1,R$2,$A58),_xll.DBSS(Input!R58,Input_DBS!$E$1,Input!$C$2,Input!$C$3,Input!$C$4,Input!$C$5,Input!$C$7,R$1,R$2,Input!$A58))</f>
        <v>0</v>
      </c>
      <c r="S58" s="119"/>
    </row>
    <row r="59" spans="1:19" ht="15.75">
      <c r="A59" s="1" t="s">
        <v>127</v>
      </c>
      <c r="C59" s="141"/>
      <c r="E59" s="15" t="s">
        <v>91</v>
      </c>
      <c r="F59" s="44">
        <f t="shared" ca="1" si="11"/>
        <v>0</v>
      </c>
      <c r="G59" s="44">
        <f t="shared" ca="1" si="11"/>
        <v>0</v>
      </c>
      <c r="H59" s="44">
        <f t="shared" ca="1" si="11"/>
        <v>0</v>
      </c>
      <c r="I59" s="44">
        <f t="shared" ca="1" si="11"/>
        <v>0</v>
      </c>
      <c r="J59" s="44">
        <f t="shared" ca="1" si="11"/>
        <v>0</v>
      </c>
      <c r="K59" s="44">
        <f t="shared" ca="1" si="11"/>
        <v>0</v>
      </c>
      <c r="L59" s="44">
        <f t="shared" ca="1" si="11"/>
        <v>0</v>
      </c>
      <c r="M59" s="44">
        <f t="shared" ca="1" si="11"/>
        <v>0</v>
      </c>
      <c r="N59" s="44">
        <f t="shared" ca="1" si="11"/>
        <v>0</v>
      </c>
      <c r="O59" s="44">
        <f t="shared" ca="1" si="11"/>
        <v>0</v>
      </c>
      <c r="P59" s="44">
        <f t="shared" ca="1" si="11"/>
        <v>0</v>
      </c>
      <c r="Q59" s="44">
        <f t="shared" ca="1" si="11"/>
        <v>0</v>
      </c>
      <c r="R59" s="44">
        <f ca="1">SUM(R58)</f>
        <v>0</v>
      </c>
      <c r="S59" s="44"/>
    </row>
    <row r="60" spans="1:19" ht="15.6" customHeight="1" outlineLevel="1">
      <c r="A60" s="1" t="s">
        <v>357</v>
      </c>
      <c r="C60" s="141"/>
      <c r="E60" s="9" t="str">
        <f ca="1">_xll.DBRW(Server&amp;"}ElementAttributes_Indicator",A60,"code_English")</f>
        <v>Tot_nb_heavy_rail - Total number of heavy rail</v>
      </c>
      <c r="F60" s="119">
        <f ca="1">IF(Flag_Send_Data="Restit",_xll.DBRW($C$1,$C$2,$C$3,$C$4,$C$6,$C$5,$C$7,F$1,F$2,$A60),_xll.DBSS(Input!F60,Input_DBS!$E$1,Input!$C$2,Input!$C$3,Input!$C$4,Input!$C$5,Input!$C$7,F$1,F$2,Input!$A60))</f>
        <v>0</v>
      </c>
      <c r="G60" s="119">
        <f ca="1">IF(Flag_Send_Data="Restit",_xll.DBRW($C$1,$C$2,$C$3,$C$4,$C$6,$C$5,$C$7,G$1,G$2,$A60),_xll.DBSS(Input!G60,Input_DBS!$E$1,Input!$C$2,Input!$C$3,Input!$C$4,Input!$C$5,Input!$C$7,G$1,G$2,Input!$A60))</f>
        <v>0</v>
      </c>
      <c r="H60" s="119">
        <f ca="1">IF(Flag_Send_Data="Restit",_xll.DBRW($C$1,$C$2,$C$3,$C$4,$C$6,$C$5,$C$7,H$1,H$2,$A60),_xll.DBSS(Input!H60,Input_DBS!$E$1,Input!$C$2,Input!$C$3,Input!$C$4,Input!$C$5,Input!$C$7,H$1,H$2,Input!$A60))</f>
        <v>0</v>
      </c>
      <c r="I60" s="119">
        <f ca="1">IF(Flag_Send_Data="Restit",_xll.DBRW($C$1,$C$2,$C$3,$C$4,$C$6,$C$5,$C$7,I$1,I$2,$A60),_xll.DBSS(Input!I60,Input_DBS!$E$1,Input!$C$2,Input!$C$3,Input!$C$4,Input!$C$5,Input!$C$7,I$1,I$2,Input!$A60))</f>
        <v>0</v>
      </c>
      <c r="J60" s="119">
        <f ca="1">IF(Flag_Send_Data="Restit",_xll.DBRW($C$1,$C$2,$C$3,$C$4,$C$6,$C$5,$C$7,J$1,J$2,$A60),_xll.DBSS(Input!J60,Input_DBS!$E$1,Input!$C$2,Input!$C$3,Input!$C$4,Input!$C$5,Input!$C$7,J$1,J$2,Input!$A60))</f>
        <v>0</v>
      </c>
      <c r="K60" s="119">
        <f ca="1">IF(Flag_Send_Data="Restit",_xll.DBRW($C$1,$C$2,$C$3,$C$4,$C$6,$C$5,$C$7,K$1,K$2,$A60),_xll.DBSS(Input!K60,Input_DBS!$E$1,Input!$C$2,Input!$C$3,Input!$C$4,Input!$C$5,Input!$C$7,K$1,K$2,Input!$A60))</f>
        <v>0</v>
      </c>
      <c r="L60" s="119">
        <f ca="1">IF(Flag_Send_Data="Restit",_xll.DBRW($C$1,$C$2,$C$3,$C$4,$C$6,$C$5,$C$7,L$1,L$2,$A60),_xll.DBSS(Input!L60,Input_DBS!$E$1,Input!$C$2,Input!$C$3,Input!$C$4,Input!$C$5,Input!$C$7,L$1,L$2,Input!$A60))</f>
        <v>0</v>
      </c>
      <c r="M60" s="119">
        <f ca="1">IF(Flag_Send_Data="Restit",_xll.DBRW($C$1,$C$2,$C$3,$C$4,$C$6,$C$5,$C$7,M$1,M$2,$A60),_xll.DBSS(Input!M60,Input_DBS!$E$1,Input!$C$2,Input!$C$3,Input!$C$4,Input!$C$5,Input!$C$7,M$1,M$2,Input!$A60))</f>
        <v>0</v>
      </c>
      <c r="N60" s="119">
        <f ca="1">IF(Flag_Send_Data="Restit",_xll.DBRW($C$1,$C$2,$C$3,$C$4,$C$6,$C$5,$C$7,N$1,N$2,$A60),_xll.DBSS(Input!N60,Input_DBS!$E$1,Input!$C$2,Input!$C$3,Input!$C$4,Input!$C$5,Input!$C$7,N$1,N$2,Input!$A60))</f>
        <v>0</v>
      </c>
      <c r="O60" s="119">
        <f ca="1">IF(Flag_Send_Data="Restit",_xll.DBRW($C$1,$C$2,$C$3,$C$4,$C$6,$C$5,$C$7,O$1,O$2,$A60),_xll.DBSS(Input!O60,Input_DBS!$E$1,Input!$C$2,Input!$C$3,Input!$C$4,Input!$C$5,Input!$C$7,O$1,O$2,Input!$A60))</f>
        <v>0</v>
      </c>
      <c r="P60" s="119">
        <f ca="1">IF(Flag_Send_Data="Restit",_xll.DBRW($C$1,$C$2,$C$3,$C$4,$C$6,$C$5,$C$7,P$1,P$2,$A60),_xll.DBSS(Input!P60,Input_DBS!$E$1,Input!$C$2,Input!$C$3,Input!$C$4,Input!$C$5,Input!$C$7,P$1,P$2,Input!$A60))</f>
        <v>0</v>
      </c>
      <c r="Q60" s="119">
        <f ca="1">IF(Flag_Send_Data="Restit",_xll.DBRW($C$1,$C$2,$C$3,$C$4,$C$6,$C$5,$C$7,Q$1,Q$2,$A60),_xll.DBSS(Input!Q60,Input_DBS!$E$1,Input!$C$2,Input!$C$3,Input!$C$4,Input!$C$5,Input!$C$7,Q$1,Q$2,Input!$A60))</f>
        <v>0</v>
      </c>
      <c r="R60" s="119">
        <f ca="1">IF(Flag_Send_Data="Restit",_xll.DBRW($C$1,$C$2,$C$3,$C$4,$C$6,$C$5,$C$7,R$1,R$2,$A60),_xll.DBSS(Input!R60,Input_DBS!$E$1,Input!$C$2,Input!$C$3,Input!$C$4,Input!$C$5,Input!$C$7,R$1,R$2,Input!$A60))</f>
        <v>0</v>
      </c>
      <c r="S60" s="119"/>
    </row>
    <row r="61" spans="1:19" ht="15.75">
      <c r="A61" s="1" t="s">
        <v>127</v>
      </c>
      <c r="C61" s="141"/>
      <c r="E61" s="15" t="s">
        <v>92</v>
      </c>
      <c r="F61" s="44">
        <f t="shared" ca="1" si="11"/>
        <v>0</v>
      </c>
      <c r="G61" s="44">
        <f t="shared" ca="1" si="11"/>
        <v>0</v>
      </c>
      <c r="H61" s="44">
        <f t="shared" ca="1" si="11"/>
        <v>0</v>
      </c>
      <c r="I61" s="44">
        <f t="shared" ca="1" si="11"/>
        <v>0</v>
      </c>
      <c r="J61" s="44">
        <f t="shared" ca="1" si="11"/>
        <v>0</v>
      </c>
      <c r="K61" s="44">
        <f t="shared" ca="1" si="11"/>
        <v>0</v>
      </c>
      <c r="L61" s="44">
        <f t="shared" ca="1" si="11"/>
        <v>0</v>
      </c>
      <c r="M61" s="44">
        <f t="shared" ca="1" si="11"/>
        <v>0</v>
      </c>
      <c r="N61" s="44">
        <f t="shared" ca="1" si="11"/>
        <v>0</v>
      </c>
      <c r="O61" s="44">
        <f t="shared" ca="1" si="11"/>
        <v>0</v>
      </c>
      <c r="P61" s="44">
        <f t="shared" ca="1" si="11"/>
        <v>0</v>
      </c>
      <c r="Q61" s="44">
        <f t="shared" ca="1" si="11"/>
        <v>0</v>
      </c>
      <c r="R61" s="44">
        <f ca="1">SUM(R60)</f>
        <v>0</v>
      </c>
      <c r="S61" s="44"/>
    </row>
    <row r="62" spans="1:19" ht="15.6" customHeight="1" outlineLevel="1">
      <c r="A62" s="1" t="s">
        <v>358</v>
      </c>
      <c r="C62" s="141"/>
      <c r="E62" s="9" t="str">
        <f ca="1">_xll.DBRW(Server&amp;"}ElementAttributes_Indicator",A62,"code_English")</f>
        <v>Tot_nb_BRT - Total number of BRT</v>
      </c>
      <c r="F62" s="119">
        <f ca="1">IF(Flag_Send_Data="Restit",_xll.DBRW($C$1,$C$2,$C$3,$C$4,$C$6,$C$5,$C$7,F$1,F$2,$A62),_xll.DBSS(Input!F62,Input_DBS!$E$1,Input!$C$2,Input!$C$3,Input!$C$4,Input!$C$5,Input!$C$7,F$1,F$2,Input!$A62))</f>
        <v>0</v>
      </c>
      <c r="G62" s="119">
        <f ca="1">IF(Flag_Send_Data="Restit",_xll.DBRW($C$1,$C$2,$C$3,$C$4,$C$6,$C$5,$C$7,G$1,G$2,$A62),_xll.DBSS(Input!G62,Input_DBS!$E$1,Input!$C$2,Input!$C$3,Input!$C$4,Input!$C$5,Input!$C$7,G$1,G$2,Input!$A62))</f>
        <v>0</v>
      </c>
      <c r="H62" s="119">
        <f ca="1">IF(Flag_Send_Data="Restit",_xll.DBRW($C$1,$C$2,$C$3,$C$4,$C$6,$C$5,$C$7,H$1,H$2,$A62),_xll.DBSS(Input!H62,Input_DBS!$E$1,Input!$C$2,Input!$C$3,Input!$C$4,Input!$C$5,Input!$C$7,H$1,H$2,Input!$A62))</f>
        <v>0</v>
      </c>
      <c r="I62" s="119">
        <f ca="1">IF(Flag_Send_Data="Restit",_xll.DBRW($C$1,$C$2,$C$3,$C$4,$C$6,$C$5,$C$7,I$1,I$2,$A62),_xll.DBSS(Input!I62,Input_DBS!$E$1,Input!$C$2,Input!$C$3,Input!$C$4,Input!$C$5,Input!$C$7,I$1,I$2,Input!$A62))</f>
        <v>0</v>
      </c>
      <c r="J62" s="119">
        <f ca="1">IF(Flag_Send_Data="Restit",_xll.DBRW($C$1,$C$2,$C$3,$C$4,$C$6,$C$5,$C$7,J$1,J$2,$A62),_xll.DBSS(Input!J62,Input_DBS!$E$1,Input!$C$2,Input!$C$3,Input!$C$4,Input!$C$5,Input!$C$7,J$1,J$2,Input!$A62))</f>
        <v>0</v>
      </c>
      <c r="K62" s="119">
        <f ca="1">IF(Flag_Send_Data="Restit",_xll.DBRW($C$1,$C$2,$C$3,$C$4,$C$6,$C$5,$C$7,K$1,K$2,$A62),_xll.DBSS(Input!K62,Input_DBS!$E$1,Input!$C$2,Input!$C$3,Input!$C$4,Input!$C$5,Input!$C$7,K$1,K$2,Input!$A62))</f>
        <v>0</v>
      </c>
      <c r="L62" s="119">
        <f ca="1">IF(Flag_Send_Data="Restit",_xll.DBRW($C$1,$C$2,$C$3,$C$4,$C$6,$C$5,$C$7,L$1,L$2,$A62),_xll.DBSS(Input!L62,Input_DBS!$E$1,Input!$C$2,Input!$C$3,Input!$C$4,Input!$C$5,Input!$C$7,L$1,L$2,Input!$A62))</f>
        <v>0</v>
      </c>
      <c r="M62" s="119">
        <f ca="1">IF(Flag_Send_Data="Restit",_xll.DBRW($C$1,$C$2,$C$3,$C$4,$C$6,$C$5,$C$7,M$1,M$2,$A62),_xll.DBSS(Input!M62,Input_DBS!$E$1,Input!$C$2,Input!$C$3,Input!$C$4,Input!$C$5,Input!$C$7,M$1,M$2,Input!$A62))</f>
        <v>0</v>
      </c>
      <c r="N62" s="119">
        <f ca="1">IF(Flag_Send_Data="Restit",_xll.DBRW($C$1,$C$2,$C$3,$C$4,$C$6,$C$5,$C$7,N$1,N$2,$A62),_xll.DBSS(Input!N62,Input_DBS!$E$1,Input!$C$2,Input!$C$3,Input!$C$4,Input!$C$5,Input!$C$7,N$1,N$2,Input!$A62))</f>
        <v>0</v>
      </c>
      <c r="O62" s="119">
        <f ca="1">IF(Flag_Send_Data="Restit",_xll.DBRW($C$1,$C$2,$C$3,$C$4,$C$6,$C$5,$C$7,O$1,O$2,$A62),_xll.DBSS(Input!O62,Input_DBS!$E$1,Input!$C$2,Input!$C$3,Input!$C$4,Input!$C$5,Input!$C$7,O$1,O$2,Input!$A62))</f>
        <v>0</v>
      </c>
      <c r="P62" s="119">
        <f ca="1">IF(Flag_Send_Data="Restit",_xll.DBRW($C$1,$C$2,$C$3,$C$4,$C$6,$C$5,$C$7,P$1,P$2,$A62),_xll.DBSS(Input!P62,Input_DBS!$E$1,Input!$C$2,Input!$C$3,Input!$C$4,Input!$C$5,Input!$C$7,P$1,P$2,Input!$A62))</f>
        <v>0</v>
      </c>
      <c r="Q62" s="119">
        <f ca="1">IF(Flag_Send_Data="Restit",_xll.DBRW($C$1,$C$2,$C$3,$C$4,$C$6,$C$5,$C$7,Q$1,Q$2,$A62),_xll.DBSS(Input!Q62,Input_DBS!$E$1,Input!$C$2,Input!$C$3,Input!$C$4,Input!$C$5,Input!$C$7,Q$1,Q$2,Input!$A62))</f>
        <v>0</v>
      </c>
      <c r="R62" s="119">
        <f ca="1">IF(Flag_Send_Data="Restit",_xll.DBRW($C$1,$C$2,$C$3,$C$4,$C$6,$C$5,$C$7,R$1,R$2,$A62),_xll.DBSS(Input!R62,Input_DBS!$E$1,Input!$C$2,Input!$C$3,Input!$C$4,Input!$C$5,Input!$C$7,R$1,R$2,Input!$A62))</f>
        <v>0</v>
      </c>
      <c r="S62" s="119"/>
    </row>
    <row r="63" spans="1:19" ht="15.75">
      <c r="A63" s="1" t="s">
        <v>127</v>
      </c>
      <c r="C63" s="141"/>
      <c r="E63" s="15" t="s">
        <v>93</v>
      </c>
      <c r="F63" s="44">
        <f t="shared" ca="1" si="11"/>
        <v>0</v>
      </c>
      <c r="G63" s="44">
        <f t="shared" ca="1" si="11"/>
        <v>0</v>
      </c>
      <c r="H63" s="44">
        <f t="shared" ca="1" si="11"/>
        <v>0</v>
      </c>
      <c r="I63" s="44">
        <f t="shared" ca="1" si="11"/>
        <v>0</v>
      </c>
      <c r="J63" s="44">
        <f t="shared" ca="1" si="11"/>
        <v>0</v>
      </c>
      <c r="K63" s="44">
        <f t="shared" ca="1" si="11"/>
        <v>0</v>
      </c>
      <c r="L63" s="44">
        <f t="shared" ca="1" si="11"/>
        <v>0</v>
      </c>
      <c r="M63" s="44">
        <f t="shared" ca="1" si="11"/>
        <v>0</v>
      </c>
      <c r="N63" s="44">
        <f t="shared" ca="1" si="11"/>
        <v>0</v>
      </c>
      <c r="O63" s="44">
        <f t="shared" ca="1" si="11"/>
        <v>0</v>
      </c>
      <c r="P63" s="44">
        <f t="shared" ca="1" si="11"/>
        <v>0</v>
      </c>
      <c r="Q63" s="44">
        <f t="shared" ca="1" si="11"/>
        <v>0</v>
      </c>
      <c r="R63" s="44">
        <f ca="1">SUM(R62)</f>
        <v>0</v>
      </c>
      <c r="S63" s="44"/>
    </row>
    <row r="64" spans="1:19" ht="15.75" customHeight="1" outlineLevel="1">
      <c r="A64" s="1" t="s">
        <v>359</v>
      </c>
      <c r="C64" s="141"/>
      <c r="E64" s="9" t="str">
        <f ca="1">_xll.DBRW(Server&amp;"}ElementAttributes_Indicator",A64,"code_English")</f>
        <v>Tot_nb_ferries - Total number of ferries</v>
      </c>
      <c r="F64" s="119">
        <f ca="1">IF(Flag_Send_Data="Restit",_xll.DBRW($C$1,$C$2,$C$3,$C$4,$C$6,$C$5,$C$7,F$1,F$2,$A64),_xll.DBSS(Input!F64,Input_DBS!$E$1,Input!$C$2,Input!$C$3,Input!$C$4,Input!$C$5,Input!$C$7,F$1,F$2,Input!$A64))</f>
        <v>0</v>
      </c>
      <c r="G64" s="119">
        <f ca="1">IF(Flag_Send_Data="Restit",_xll.DBRW($C$1,$C$2,$C$3,$C$4,$C$6,$C$5,$C$7,G$1,G$2,$A64),_xll.DBSS(Input!G64,Input_DBS!$E$1,Input!$C$2,Input!$C$3,Input!$C$4,Input!$C$5,Input!$C$7,G$1,G$2,Input!$A64))</f>
        <v>0</v>
      </c>
      <c r="H64" s="119">
        <f ca="1">IF(Flag_Send_Data="Restit",_xll.DBRW($C$1,$C$2,$C$3,$C$4,$C$6,$C$5,$C$7,H$1,H$2,$A64),_xll.DBSS(Input!H64,Input_DBS!$E$1,Input!$C$2,Input!$C$3,Input!$C$4,Input!$C$5,Input!$C$7,H$1,H$2,Input!$A64))</f>
        <v>0</v>
      </c>
      <c r="I64" s="119">
        <f ca="1">IF(Flag_Send_Data="Restit",_xll.DBRW($C$1,$C$2,$C$3,$C$4,$C$6,$C$5,$C$7,I$1,I$2,$A64),_xll.DBSS(Input!I64,Input_DBS!$E$1,Input!$C$2,Input!$C$3,Input!$C$4,Input!$C$5,Input!$C$7,I$1,I$2,Input!$A64))</f>
        <v>0</v>
      </c>
      <c r="J64" s="119">
        <f ca="1">IF(Flag_Send_Data="Restit",_xll.DBRW($C$1,$C$2,$C$3,$C$4,$C$6,$C$5,$C$7,J$1,J$2,$A64),_xll.DBSS(Input!J64,Input_DBS!$E$1,Input!$C$2,Input!$C$3,Input!$C$4,Input!$C$5,Input!$C$7,J$1,J$2,Input!$A64))</f>
        <v>0</v>
      </c>
      <c r="K64" s="119">
        <f ca="1">IF(Flag_Send_Data="Restit",_xll.DBRW($C$1,$C$2,$C$3,$C$4,$C$6,$C$5,$C$7,K$1,K$2,$A64),_xll.DBSS(Input!K64,Input_DBS!$E$1,Input!$C$2,Input!$C$3,Input!$C$4,Input!$C$5,Input!$C$7,K$1,K$2,Input!$A64))</f>
        <v>0</v>
      </c>
      <c r="L64" s="119">
        <f ca="1">IF(Flag_Send_Data="Restit",_xll.DBRW($C$1,$C$2,$C$3,$C$4,$C$6,$C$5,$C$7,L$1,L$2,$A64),_xll.DBSS(Input!L64,Input_DBS!$E$1,Input!$C$2,Input!$C$3,Input!$C$4,Input!$C$5,Input!$C$7,L$1,L$2,Input!$A64))</f>
        <v>0</v>
      </c>
      <c r="M64" s="119">
        <f ca="1">IF(Flag_Send_Data="Restit",_xll.DBRW($C$1,$C$2,$C$3,$C$4,$C$6,$C$5,$C$7,M$1,M$2,$A64),_xll.DBSS(Input!M64,Input_DBS!$E$1,Input!$C$2,Input!$C$3,Input!$C$4,Input!$C$5,Input!$C$7,M$1,M$2,Input!$A64))</f>
        <v>0</v>
      </c>
      <c r="N64" s="119">
        <f ca="1">IF(Flag_Send_Data="Restit",_xll.DBRW($C$1,$C$2,$C$3,$C$4,$C$6,$C$5,$C$7,N$1,N$2,$A64),_xll.DBSS(Input!N64,Input_DBS!$E$1,Input!$C$2,Input!$C$3,Input!$C$4,Input!$C$5,Input!$C$7,N$1,N$2,Input!$A64))</f>
        <v>0</v>
      </c>
      <c r="O64" s="119">
        <f ca="1">IF(Flag_Send_Data="Restit",_xll.DBRW($C$1,$C$2,$C$3,$C$4,$C$6,$C$5,$C$7,O$1,O$2,$A64),_xll.DBSS(Input!O64,Input_DBS!$E$1,Input!$C$2,Input!$C$3,Input!$C$4,Input!$C$5,Input!$C$7,O$1,O$2,Input!$A64))</f>
        <v>0</v>
      </c>
      <c r="P64" s="119">
        <f ca="1">IF(Flag_Send_Data="Restit",_xll.DBRW($C$1,$C$2,$C$3,$C$4,$C$6,$C$5,$C$7,P$1,P$2,$A64),_xll.DBSS(Input!P64,Input_DBS!$E$1,Input!$C$2,Input!$C$3,Input!$C$4,Input!$C$5,Input!$C$7,P$1,P$2,Input!$A64))</f>
        <v>0</v>
      </c>
      <c r="Q64" s="119">
        <f ca="1">IF(Flag_Send_Data="Restit",_xll.DBRW($C$1,$C$2,$C$3,$C$4,$C$6,$C$5,$C$7,Q$1,Q$2,$A64),_xll.DBSS(Input!Q64,Input_DBS!$E$1,Input!$C$2,Input!$C$3,Input!$C$4,Input!$C$5,Input!$C$7,Q$1,Q$2,Input!$A64))</f>
        <v>0</v>
      </c>
      <c r="R64" s="119">
        <f ca="1">IF(Flag_Send_Data="Restit",_xll.DBRW($C$1,$C$2,$C$3,$C$4,$C$6,$C$5,$C$7,R$1,R$2,$A64),_xll.DBSS(Input!R64,Input_DBS!$E$1,Input!$C$2,Input!$C$3,Input!$C$4,Input!$C$5,Input!$C$7,R$1,R$2,Input!$A64))</f>
        <v>0</v>
      </c>
      <c r="S64" s="119"/>
    </row>
    <row r="65" spans="1:19" ht="15.75">
      <c r="A65" s="1" t="s">
        <v>127</v>
      </c>
      <c r="C65" s="141"/>
      <c r="E65" s="102" t="s">
        <v>94</v>
      </c>
      <c r="F65" s="103">
        <f t="shared" ref="F65:Q65" ca="1" si="12">SUM(F64)</f>
        <v>0</v>
      </c>
      <c r="G65" s="103">
        <f t="shared" ca="1" si="12"/>
        <v>0</v>
      </c>
      <c r="H65" s="103">
        <f t="shared" ca="1" si="12"/>
        <v>0</v>
      </c>
      <c r="I65" s="103">
        <f t="shared" ca="1" si="12"/>
        <v>0</v>
      </c>
      <c r="J65" s="103">
        <f t="shared" ca="1" si="12"/>
        <v>0</v>
      </c>
      <c r="K65" s="103">
        <f t="shared" ca="1" si="12"/>
        <v>0</v>
      </c>
      <c r="L65" s="103">
        <f t="shared" ca="1" si="12"/>
        <v>0</v>
      </c>
      <c r="M65" s="103">
        <f t="shared" ca="1" si="12"/>
        <v>0</v>
      </c>
      <c r="N65" s="103">
        <f t="shared" ca="1" si="12"/>
        <v>0</v>
      </c>
      <c r="O65" s="103">
        <f t="shared" ca="1" si="12"/>
        <v>0</v>
      </c>
      <c r="P65" s="103">
        <f t="shared" ca="1" si="12"/>
        <v>0</v>
      </c>
      <c r="Q65" s="103">
        <f t="shared" ca="1" si="12"/>
        <v>0</v>
      </c>
      <c r="R65" s="103">
        <f ca="1">SUM(R64)</f>
        <v>0</v>
      </c>
      <c r="S65" s="103"/>
    </row>
    <row r="66" spans="1:19" ht="9" customHeight="1">
      <c r="A66" s="1" t="s">
        <v>127</v>
      </c>
      <c r="C66" s="105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4"/>
      <c r="E67" s="9" t="str">
        <f ca="1">_xll.DBRW(Server&amp;"}ElementAttributes_Indicator",A67,"code_English")</f>
        <v>Driver_absenteeism - Driver absenteeism in %</v>
      </c>
      <c r="F67" s="119">
        <f ca="1">IF(Flag_Send_Data="Restit",_xll.DBRW($C$1,$C$2,$C$3,$C$4,$C$6,$C$5,$C$7,F$1,F$2,$A67),_xll.DBSS(Input!F67,Input_DBS!$E$1,Input!$C$2,Input!$C$3,Input!$C$4,Input!$C$5,Input!$C$7,F$1,F$2,Input!$A67))</f>
        <v>0</v>
      </c>
      <c r="G67" s="119">
        <f ca="1">IF(Flag_Send_Data="Restit",_xll.DBRW($C$1,$C$2,$C$3,$C$4,$C$6,$C$5,$C$7,G$1,G$2,$A67),_xll.DBSS(Input!G67,Input_DBS!$E$1,Input!$C$2,Input!$C$3,Input!$C$4,Input!$C$5,Input!$C$7,G$1,G$2,Input!$A67))</f>
        <v>0</v>
      </c>
      <c r="H67" s="119">
        <f ca="1">IF(Flag_Send_Data="Restit",_xll.DBRW($C$1,$C$2,$C$3,$C$4,$C$6,$C$5,$C$7,H$1,H$2,$A67),_xll.DBSS(Input!H67,Input_DBS!$E$1,Input!$C$2,Input!$C$3,Input!$C$4,Input!$C$5,Input!$C$7,H$1,H$2,Input!$A67))</f>
        <v>0</v>
      </c>
      <c r="I67" s="119">
        <f ca="1">IF(Flag_Send_Data="Restit",_xll.DBRW($C$1,$C$2,$C$3,$C$4,$C$6,$C$5,$C$7,I$1,I$2,$A67),_xll.DBSS(Input!I67,Input_DBS!$E$1,Input!$C$2,Input!$C$3,Input!$C$4,Input!$C$5,Input!$C$7,I$1,I$2,Input!$A67))</f>
        <v>0</v>
      </c>
      <c r="J67" s="119">
        <f ca="1">IF(Flag_Send_Data="Restit",_xll.DBRW($C$1,$C$2,$C$3,$C$4,$C$6,$C$5,$C$7,J$1,J$2,$A67),_xll.DBSS(Input!J67,Input_DBS!$E$1,Input!$C$2,Input!$C$3,Input!$C$4,Input!$C$5,Input!$C$7,J$1,J$2,Input!$A67))</f>
        <v>0</v>
      </c>
      <c r="K67" s="119">
        <f ca="1">IF(Flag_Send_Data="Restit",_xll.DBRW($C$1,$C$2,$C$3,$C$4,$C$6,$C$5,$C$7,K$1,K$2,$A67),_xll.DBSS(Input!K67,Input_DBS!$E$1,Input!$C$2,Input!$C$3,Input!$C$4,Input!$C$5,Input!$C$7,K$1,K$2,Input!$A67))</f>
        <v>0</v>
      </c>
      <c r="L67" s="119">
        <f ca="1">IF(Flag_Send_Data="Restit",_xll.DBRW($C$1,$C$2,$C$3,$C$4,$C$6,$C$5,$C$7,L$1,L$2,$A67),_xll.DBSS(Input!L67,Input_DBS!$E$1,Input!$C$2,Input!$C$3,Input!$C$4,Input!$C$5,Input!$C$7,L$1,L$2,Input!$A67))</f>
        <v>0</v>
      </c>
      <c r="M67" s="119">
        <f ca="1">IF(Flag_Send_Data="Restit",_xll.DBRW($C$1,$C$2,$C$3,$C$4,$C$6,$C$5,$C$7,M$1,M$2,$A67),_xll.DBSS(Input!M67,Input_DBS!$E$1,Input!$C$2,Input!$C$3,Input!$C$4,Input!$C$5,Input!$C$7,M$1,M$2,Input!$A67))</f>
        <v>0</v>
      </c>
      <c r="N67" s="119">
        <f ca="1">IF(Flag_Send_Data="Restit",_xll.DBRW($C$1,$C$2,$C$3,$C$4,$C$6,$C$5,$C$7,N$1,N$2,$A67),_xll.DBSS(Input!N67,Input_DBS!$E$1,Input!$C$2,Input!$C$3,Input!$C$4,Input!$C$5,Input!$C$7,N$1,N$2,Input!$A67))</f>
        <v>0</v>
      </c>
      <c r="O67" s="119">
        <f ca="1">IF(Flag_Send_Data="Restit",_xll.DBRW($C$1,$C$2,$C$3,$C$4,$C$6,$C$5,$C$7,O$1,O$2,$A67),_xll.DBSS(Input!O67,Input_DBS!$E$1,Input!$C$2,Input!$C$3,Input!$C$4,Input!$C$5,Input!$C$7,O$1,O$2,Input!$A67))</f>
        <v>0</v>
      </c>
      <c r="P67" s="119">
        <f ca="1">IF(Flag_Send_Data="Restit",_xll.DBRW($C$1,$C$2,$C$3,$C$4,$C$6,$C$5,$C$7,P$1,P$2,$A67),_xll.DBSS(Input!P67,Input_DBS!$E$1,Input!$C$2,Input!$C$3,Input!$C$4,Input!$C$5,Input!$C$7,P$1,P$2,Input!$A67))</f>
        <v>0</v>
      </c>
      <c r="Q67" s="119">
        <f ca="1">IF(Flag_Send_Data="Restit",_xll.DBRW($C$1,$C$2,$C$3,$C$4,$C$6,$C$5,$C$7,Q$1,Q$2,$A67),_xll.DBSS(Input!Q67,Input_DBS!$E$1,Input!$C$2,Input!$C$3,Input!$C$4,Input!$C$5,Input!$C$7,Q$1,Q$2,Input!$A67))</f>
        <v>0</v>
      </c>
      <c r="R67" s="119">
        <f ca="1">IF(Flag_Send_Data="Restit",_xll.DBRW($C$1,$C$2,$C$3,$C$4,$C$6,$C$5,$C$7,R$1,R$2,$A67),_xll.DBSS(Input!R67,Input_DBS!$E$1,Input!$C$2,Input!$C$3,Input!$C$4,Input!$C$5,Input!$C$7,R$1,R$2,Input!$A67))</f>
        <v>0</v>
      </c>
      <c r="S67" s="119"/>
    </row>
    <row r="68" spans="1:19" ht="15.75">
      <c r="A68" s="1" t="s">
        <v>127</v>
      </c>
      <c r="C68" s="141" t="s">
        <v>48</v>
      </c>
      <c r="E68" s="17" t="s">
        <v>95</v>
      </c>
      <c r="F68" s="42">
        <f t="shared" ref="F68:Q68" ca="1" si="13">SUM(F67)</f>
        <v>0</v>
      </c>
      <c r="G68" s="42">
        <f t="shared" ca="1" si="13"/>
        <v>0</v>
      </c>
      <c r="H68" s="42">
        <f t="shared" ca="1" si="13"/>
        <v>0</v>
      </c>
      <c r="I68" s="42">
        <f t="shared" ca="1" si="13"/>
        <v>0</v>
      </c>
      <c r="J68" s="42">
        <f t="shared" ca="1" si="13"/>
        <v>0</v>
      </c>
      <c r="K68" s="42">
        <f t="shared" ca="1" si="13"/>
        <v>0</v>
      </c>
      <c r="L68" s="42">
        <f t="shared" ca="1" si="13"/>
        <v>0</v>
      </c>
      <c r="M68" s="42">
        <f t="shared" ca="1" si="13"/>
        <v>0</v>
      </c>
      <c r="N68" s="42">
        <f t="shared" ca="1" si="13"/>
        <v>0</v>
      </c>
      <c r="O68" s="42">
        <f t="shared" ca="1" si="13"/>
        <v>0</v>
      </c>
      <c r="P68" s="42">
        <f t="shared" ca="1" si="13"/>
        <v>0</v>
      </c>
      <c r="Q68" s="42">
        <f t="shared" ca="1" si="13"/>
        <v>0</v>
      </c>
      <c r="R68" s="42">
        <f ca="1">SUM(R67)</f>
        <v>0</v>
      </c>
      <c r="S68" s="42"/>
    </row>
    <row r="69" spans="1:19" ht="15.75" customHeight="1" outlineLevel="1">
      <c r="A69" s="1" t="s">
        <v>361</v>
      </c>
      <c r="C69" s="141"/>
      <c r="E69" s="9" t="str">
        <f ca="1">_xll.DBRW(Server&amp;"}ElementAttributes_Indicator",A69,"code_English")</f>
        <v>Driver_turnover - Driver turnover in %</v>
      </c>
      <c r="F69" s="119">
        <f ca="1">IF(Flag_Send_Data="Restit",_xll.DBRW($C$1,$C$2,$C$3,$C$4,$C$6,$C$5,$C$7,F$1,F$2,$A69),_xll.DBSS(Input!F69,Input_DBS!$E$1,Input!$C$2,Input!$C$3,Input!$C$4,Input!$C$5,Input!$C$7,F$1,F$2,Input!$A69))</f>
        <v>0</v>
      </c>
      <c r="G69" s="119">
        <f ca="1">IF(Flag_Send_Data="Restit",_xll.DBRW($C$1,$C$2,$C$3,$C$4,$C$6,$C$5,$C$7,G$1,G$2,$A69),_xll.DBSS(Input!G69,Input_DBS!$E$1,Input!$C$2,Input!$C$3,Input!$C$4,Input!$C$5,Input!$C$7,G$1,G$2,Input!$A69))</f>
        <v>0</v>
      </c>
      <c r="H69" s="119">
        <f ca="1">IF(Flag_Send_Data="Restit",_xll.DBRW($C$1,$C$2,$C$3,$C$4,$C$6,$C$5,$C$7,H$1,H$2,$A69),_xll.DBSS(Input!H69,Input_DBS!$E$1,Input!$C$2,Input!$C$3,Input!$C$4,Input!$C$5,Input!$C$7,H$1,H$2,Input!$A69))</f>
        <v>0</v>
      </c>
      <c r="I69" s="119">
        <f ca="1">IF(Flag_Send_Data="Restit",_xll.DBRW($C$1,$C$2,$C$3,$C$4,$C$6,$C$5,$C$7,I$1,I$2,$A69),_xll.DBSS(Input!I69,Input_DBS!$E$1,Input!$C$2,Input!$C$3,Input!$C$4,Input!$C$5,Input!$C$7,I$1,I$2,Input!$A69))</f>
        <v>0</v>
      </c>
      <c r="J69" s="119">
        <f ca="1">IF(Flag_Send_Data="Restit",_xll.DBRW($C$1,$C$2,$C$3,$C$4,$C$6,$C$5,$C$7,J$1,J$2,$A69),_xll.DBSS(Input!J69,Input_DBS!$E$1,Input!$C$2,Input!$C$3,Input!$C$4,Input!$C$5,Input!$C$7,J$1,J$2,Input!$A69))</f>
        <v>0</v>
      </c>
      <c r="K69" s="119">
        <f ca="1">IF(Flag_Send_Data="Restit",_xll.DBRW($C$1,$C$2,$C$3,$C$4,$C$6,$C$5,$C$7,K$1,K$2,$A69),_xll.DBSS(Input!K69,Input_DBS!$E$1,Input!$C$2,Input!$C$3,Input!$C$4,Input!$C$5,Input!$C$7,K$1,K$2,Input!$A69))</f>
        <v>0</v>
      </c>
      <c r="L69" s="119">
        <f ca="1">IF(Flag_Send_Data="Restit",_xll.DBRW($C$1,$C$2,$C$3,$C$4,$C$6,$C$5,$C$7,L$1,L$2,$A69),_xll.DBSS(Input!L69,Input_DBS!$E$1,Input!$C$2,Input!$C$3,Input!$C$4,Input!$C$5,Input!$C$7,L$1,L$2,Input!$A69))</f>
        <v>0</v>
      </c>
      <c r="M69" s="119">
        <f ca="1">IF(Flag_Send_Data="Restit",_xll.DBRW($C$1,$C$2,$C$3,$C$4,$C$6,$C$5,$C$7,M$1,M$2,$A69),_xll.DBSS(Input!M69,Input_DBS!$E$1,Input!$C$2,Input!$C$3,Input!$C$4,Input!$C$5,Input!$C$7,M$1,M$2,Input!$A69))</f>
        <v>0</v>
      </c>
      <c r="N69" s="119">
        <f ca="1">IF(Flag_Send_Data="Restit",_xll.DBRW($C$1,$C$2,$C$3,$C$4,$C$6,$C$5,$C$7,N$1,N$2,$A69),_xll.DBSS(Input!N69,Input_DBS!$E$1,Input!$C$2,Input!$C$3,Input!$C$4,Input!$C$5,Input!$C$7,N$1,N$2,Input!$A69))</f>
        <v>0</v>
      </c>
      <c r="O69" s="119">
        <f ca="1">IF(Flag_Send_Data="Restit",_xll.DBRW($C$1,$C$2,$C$3,$C$4,$C$6,$C$5,$C$7,O$1,O$2,$A69),_xll.DBSS(Input!O69,Input_DBS!$E$1,Input!$C$2,Input!$C$3,Input!$C$4,Input!$C$5,Input!$C$7,O$1,O$2,Input!$A69))</f>
        <v>0</v>
      </c>
      <c r="P69" s="119">
        <f ca="1">IF(Flag_Send_Data="Restit",_xll.DBRW($C$1,$C$2,$C$3,$C$4,$C$6,$C$5,$C$7,P$1,P$2,$A69),_xll.DBSS(Input!P69,Input_DBS!$E$1,Input!$C$2,Input!$C$3,Input!$C$4,Input!$C$5,Input!$C$7,P$1,P$2,Input!$A69))</f>
        <v>0</v>
      </c>
      <c r="Q69" s="119">
        <f ca="1">IF(Flag_Send_Data="Restit",_xll.DBRW($C$1,$C$2,$C$3,$C$4,$C$6,$C$5,$C$7,Q$1,Q$2,$A69),_xll.DBSS(Input!Q69,Input_DBS!$E$1,Input!$C$2,Input!$C$3,Input!$C$4,Input!$C$5,Input!$C$7,Q$1,Q$2,Input!$A69))</f>
        <v>0</v>
      </c>
      <c r="R69" s="119">
        <f ca="1">IF(Flag_Send_Data="Restit",_xll.DBRW($C$1,$C$2,$C$3,$C$4,$C$6,$C$5,$C$7,R$1,R$2,$A69),_xll.DBSS(Input!R69,Input_DBS!$E$1,Input!$C$2,Input!$C$3,Input!$C$4,Input!$C$5,Input!$C$7,R$1,R$2,Input!$A69))</f>
        <v>0</v>
      </c>
      <c r="S69" s="119"/>
    </row>
    <row r="70" spans="1:19" ht="15.75">
      <c r="A70" s="1" t="s">
        <v>127</v>
      </c>
      <c r="C70" s="141"/>
      <c r="E70" s="83" t="s">
        <v>366</v>
      </c>
      <c r="F70" s="44">
        <f t="shared" ref="F70:Q70" ca="1" si="14">SUM(F69)</f>
        <v>0</v>
      </c>
      <c r="G70" s="44">
        <f t="shared" ca="1" si="14"/>
        <v>0</v>
      </c>
      <c r="H70" s="44">
        <f t="shared" ca="1" si="14"/>
        <v>0</v>
      </c>
      <c r="I70" s="44">
        <f t="shared" ca="1" si="14"/>
        <v>0</v>
      </c>
      <c r="J70" s="44">
        <f t="shared" ca="1" si="14"/>
        <v>0</v>
      </c>
      <c r="K70" s="44">
        <f t="shared" ca="1" si="14"/>
        <v>0</v>
      </c>
      <c r="L70" s="44">
        <f t="shared" ca="1" si="14"/>
        <v>0</v>
      </c>
      <c r="M70" s="44">
        <f t="shared" ca="1" si="14"/>
        <v>0</v>
      </c>
      <c r="N70" s="44">
        <f t="shared" ca="1" si="14"/>
        <v>0</v>
      </c>
      <c r="O70" s="44">
        <f t="shared" ca="1" si="14"/>
        <v>0</v>
      </c>
      <c r="P70" s="44">
        <f t="shared" ca="1" si="14"/>
        <v>0</v>
      </c>
      <c r="Q70" s="44">
        <f t="shared" ca="1" si="14"/>
        <v>0</v>
      </c>
      <c r="R70" s="44">
        <f ca="1">SUM(R69)</f>
        <v>0</v>
      </c>
      <c r="S70" s="44"/>
    </row>
    <row r="71" spans="1:19" ht="15.75" customHeight="1" outlineLevel="1">
      <c r="A71" s="1" t="s">
        <v>362</v>
      </c>
      <c r="C71" s="141"/>
      <c r="E71" s="9" t="str">
        <f ca="1">_xll.DBRW(Server&amp;"}ElementAttributes_Indicator",A71,"code_English")</f>
        <v>Nb_Driver_open_positions - Driver open positions</v>
      </c>
      <c r="F71" s="119">
        <f ca="1">IF(Flag_Send_Data="Restit",_xll.DBRW($C$1,$C$2,$C$3,$C$4,$C$6,$C$5,$C$7,F$1,F$2,$A71),_xll.DBSS(Input!F71,Input_DBS!$E$1,Input!$C$2,Input!$C$3,Input!$C$4,Input!$C$5,Input!$C$7,F$1,F$2,Input!$A71))</f>
        <v>0</v>
      </c>
      <c r="G71" s="119">
        <f ca="1">IF(Flag_Send_Data="Restit",_xll.DBRW($C$1,$C$2,$C$3,$C$4,$C$6,$C$5,$C$7,G$1,G$2,$A71),_xll.DBSS(Input!G71,Input_DBS!$E$1,Input!$C$2,Input!$C$3,Input!$C$4,Input!$C$5,Input!$C$7,G$1,G$2,Input!$A71))</f>
        <v>0</v>
      </c>
      <c r="H71" s="119">
        <f ca="1">IF(Flag_Send_Data="Restit",_xll.DBRW($C$1,$C$2,$C$3,$C$4,$C$6,$C$5,$C$7,H$1,H$2,$A71),_xll.DBSS(Input!H71,Input_DBS!$E$1,Input!$C$2,Input!$C$3,Input!$C$4,Input!$C$5,Input!$C$7,H$1,H$2,Input!$A71))</f>
        <v>0</v>
      </c>
      <c r="I71" s="119">
        <f ca="1">IF(Flag_Send_Data="Restit",_xll.DBRW($C$1,$C$2,$C$3,$C$4,$C$6,$C$5,$C$7,I$1,I$2,$A71),_xll.DBSS(Input!I71,Input_DBS!$E$1,Input!$C$2,Input!$C$3,Input!$C$4,Input!$C$5,Input!$C$7,I$1,I$2,Input!$A71))</f>
        <v>0</v>
      </c>
      <c r="J71" s="119">
        <f ca="1">IF(Flag_Send_Data="Restit",_xll.DBRW($C$1,$C$2,$C$3,$C$4,$C$6,$C$5,$C$7,J$1,J$2,$A71),_xll.DBSS(Input!J71,Input_DBS!$E$1,Input!$C$2,Input!$C$3,Input!$C$4,Input!$C$5,Input!$C$7,J$1,J$2,Input!$A71))</f>
        <v>0</v>
      </c>
      <c r="K71" s="119">
        <f ca="1">IF(Flag_Send_Data="Restit",_xll.DBRW($C$1,$C$2,$C$3,$C$4,$C$6,$C$5,$C$7,K$1,K$2,$A71),_xll.DBSS(Input!K71,Input_DBS!$E$1,Input!$C$2,Input!$C$3,Input!$C$4,Input!$C$5,Input!$C$7,K$1,K$2,Input!$A71))</f>
        <v>0</v>
      </c>
      <c r="L71" s="119">
        <f ca="1">IF(Flag_Send_Data="Restit",_xll.DBRW($C$1,$C$2,$C$3,$C$4,$C$6,$C$5,$C$7,L$1,L$2,$A71),_xll.DBSS(Input!L71,Input_DBS!$E$1,Input!$C$2,Input!$C$3,Input!$C$4,Input!$C$5,Input!$C$7,L$1,L$2,Input!$A71))</f>
        <v>0</v>
      </c>
      <c r="M71" s="119">
        <f ca="1">IF(Flag_Send_Data="Restit",_xll.DBRW($C$1,$C$2,$C$3,$C$4,$C$6,$C$5,$C$7,M$1,M$2,$A71),_xll.DBSS(Input!M71,Input_DBS!$E$1,Input!$C$2,Input!$C$3,Input!$C$4,Input!$C$5,Input!$C$7,M$1,M$2,Input!$A71))</f>
        <v>0</v>
      </c>
      <c r="N71" s="119">
        <f ca="1">IF(Flag_Send_Data="Restit",_xll.DBRW($C$1,$C$2,$C$3,$C$4,$C$6,$C$5,$C$7,N$1,N$2,$A71),_xll.DBSS(Input!N71,Input_DBS!$E$1,Input!$C$2,Input!$C$3,Input!$C$4,Input!$C$5,Input!$C$7,N$1,N$2,Input!$A71))</f>
        <v>0</v>
      </c>
      <c r="O71" s="119">
        <f ca="1">IF(Flag_Send_Data="Restit",_xll.DBRW($C$1,$C$2,$C$3,$C$4,$C$6,$C$5,$C$7,O$1,O$2,$A71),_xll.DBSS(Input!O71,Input_DBS!$E$1,Input!$C$2,Input!$C$3,Input!$C$4,Input!$C$5,Input!$C$7,O$1,O$2,Input!$A71))</f>
        <v>0</v>
      </c>
      <c r="P71" s="119">
        <f ca="1">IF(Flag_Send_Data="Restit",_xll.DBRW($C$1,$C$2,$C$3,$C$4,$C$6,$C$5,$C$7,P$1,P$2,$A71),_xll.DBSS(Input!P71,Input_DBS!$E$1,Input!$C$2,Input!$C$3,Input!$C$4,Input!$C$5,Input!$C$7,P$1,P$2,Input!$A71))</f>
        <v>0</v>
      </c>
      <c r="Q71" s="119">
        <f ca="1">IF(Flag_Send_Data="Restit",_xll.DBRW($C$1,$C$2,$C$3,$C$4,$C$6,$C$5,$C$7,Q$1,Q$2,$A71),_xll.DBSS(Input!Q71,Input_DBS!$E$1,Input!$C$2,Input!$C$3,Input!$C$4,Input!$C$5,Input!$C$7,Q$1,Q$2,Input!$A71))</f>
        <v>0</v>
      </c>
      <c r="R71" s="119">
        <f ca="1">IF(Flag_Send_Data="Restit",_xll.DBRW($C$1,$C$2,$C$3,$C$4,$C$6,$C$5,$C$7,R$1,R$2,$A71),_xll.DBSS(Input!R71,Input_DBS!$E$1,Input!$C$2,Input!$C$3,Input!$C$4,Input!$C$5,Input!$C$7,R$1,R$2,Input!$A71))</f>
        <v>0</v>
      </c>
      <c r="S71" s="119"/>
    </row>
    <row r="72" spans="1:19" ht="15.75">
      <c r="C72" s="141"/>
      <c r="E72" s="86" t="s">
        <v>96</v>
      </c>
      <c r="F72" s="45">
        <f t="shared" ref="F72:Q72" ca="1" si="15">SUM(F71)</f>
        <v>0</v>
      </c>
      <c r="G72" s="45">
        <f t="shared" ca="1" si="15"/>
        <v>0</v>
      </c>
      <c r="H72" s="45">
        <f t="shared" ca="1" si="15"/>
        <v>0</v>
      </c>
      <c r="I72" s="45">
        <f t="shared" ca="1" si="15"/>
        <v>0</v>
      </c>
      <c r="J72" s="45">
        <f t="shared" ca="1" si="15"/>
        <v>0</v>
      </c>
      <c r="K72" s="45">
        <f t="shared" ca="1" si="15"/>
        <v>0</v>
      </c>
      <c r="L72" s="45">
        <f t="shared" ca="1" si="15"/>
        <v>0</v>
      </c>
      <c r="M72" s="45">
        <f t="shared" ca="1" si="15"/>
        <v>0</v>
      </c>
      <c r="N72" s="45">
        <f t="shared" ca="1" si="15"/>
        <v>0</v>
      </c>
      <c r="O72" s="45">
        <f t="shared" ca="1" si="15"/>
        <v>0</v>
      </c>
      <c r="P72" s="45">
        <f t="shared" ca="1" si="15"/>
        <v>0</v>
      </c>
      <c r="Q72" s="45">
        <f t="shared" ca="1" si="15"/>
        <v>0</v>
      </c>
      <c r="R72" s="45">
        <f ca="1">SUM(R71)</f>
        <v>0</v>
      </c>
      <c r="S72" s="45"/>
    </row>
    <row r="73" spans="1:19" ht="15.75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mergeCells count="4">
    <mergeCell ref="E9:S11"/>
    <mergeCell ref="E17:E18"/>
    <mergeCell ref="C31:C65"/>
    <mergeCell ref="C68:C72"/>
  </mergeCells>
  <dataValidations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_value">
                <anchor moveWithCells="1" siz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4</xdr:col>
                    <xdr:colOff>1209675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3391AA"/>
    <pageSetUpPr fitToPage="1"/>
  </sheetPr>
  <dimension ref="A1:AU381"/>
  <sheetViews>
    <sheetView showGridLines="0" topLeftCell="B8" zoomScale="80" zoomScaleNormal="80" workbookViewId="0"/>
  </sheetViews>
  <sheetFormatPr baseColWidth="10" defaultColWidth="11.42578125" defaultRowHeight="14.25" outlineLevelRow="2" outlineLevelCol="1"/>
  <cols>
    <col min="1" max="1" width="27.7109375" style="1" hidden="1" customWidth="1"/>
    <col min="2" max="2" width="2.85546875" style="1" customWidth="1"/>
    <col min="3" max="3" width="3.85546875" style="1" customWidth="1"/>
    <col min="4" max="4" width="1.42578125" style="1" customWidth="1"/>
    <col min="5" max="5" width="60.5703125" style="1" customWidth="1"/>
    <col min="6" max="8" width="18.7109375" style="2" bestFit="1" customWidth="1"/>
    <col min="9" max="20" width="18.7109375" style="2" hidden="1" customWidth="1" outlineLevel="1"/>
    <col min="21" max="21" width="18.7109375" style="2" bestFit="1" customWidth="1" collapsed="1"/>
    <col min="22" max="33" width="20" style="2" hidden="1" customWidth="1" outlineLevel="1"/>
    <col min="34" max="34" width="20" style="2" bestFit="1" customWidth="1" collapsed="1"/>
    <col min="35" max="46" width="18.7109375" style="2" hidden="1" customWidth="1" outlineLevel="1"/>
    <col min="47" max="47" width="17.42578125" style="2" bestFit="1" customWidth="1" collapsed="1"/>
    <col min="48" max="16384" width="11.42578125" style="1"/>
  </cols>
  <sheetData>
    <row r="1" spans="1:47" ht="15.75" hidden="1">
      <c r="A1" s="1" t="s">
        <v>7</v>
      </c>
      <c r="C1" s="1" t="str">
        <f ca="1">_xll.VIEW("tango_core_model:Report_PL",$C$2,$C$3,$C$4,$C$6,$C$5,$C$7,"!","!","!")</f>
        <v>tango_core_model:Report_PL</v>
      </c>
      <c r="F1" s="73">
        <f ca="1">z_Year_Selected -4</f>
        <v>2019</v>
      </c>
      <c r="G1" s="73">
        <f ca="1">z_Year_Selected -3</f>
        <v>2020</v>
      </c>
      <c r="H1" s="73">
        <f ca="1">z_Year_Selected -2</f>
        <v>2021</v>
      </c>
      <c r="I1" s="4" t="str">
        <f ca="1">z_Year_N_1&amp;".01_YTD"</f>
        <v>2022.01_YTD</v>
      </c>
      <c r="J1" s="4" t="str">
        <f ca="1">z_Year_N_1&amp;".02_YTD"</f>
        <v>2022.02_YTD</v>
      </c>
      <c r="K1" s="4" t="str">
        <f ca="1">z_Year_N_1&amp;".03_YTD"</f>
        <v>2022.03_YTD</v>
      </c>
      <c r="L1" s="4" t="str">
        <f ca="1">z_Year_N_1&amp;".04_YTD"</f>
        <v>2022.04_YTD</v>
      </c>
      <c r="M1" s="4" t="str">
        <f ca="1">z_Year_N_1&amp;".05_YTD"</f>
        <v>2022.05_YTD</v>
      </c>
      <c r="N1" s="4" t="str">
        <f ca="1">z_Year_N_1&amp;".06_YTD"</f>
        <v>2022.06_YTD</v>
      </c>
      <c r="O1" s="4" t="str">
        <f ca="1">z_Year_N_1&amp;".07_YTD"</f>
        <v>2022.07_YTD</v>
      </c>
      <c r="P1" s="4" t="str">
        <f ca="1">z_Year_N_1&amp;".08_YTD"</f>
        <v>2022.08_YTD</v>
      </c>
      <c r="Q1" s="4" t="str">
        <f ca="1">z_Year_N_1&amp;".09_YTD"</f>
        <v>2022.09_YTD</v>
      </c>
      <c r="R1" s="4" t="str">
        <f ca="1">z_Year_N_1&amp;".10_YTD"</f>
        <v>2022.10_YTD</v>
      </c>
      <c r="S1" s="4" t="str">
        <f ca="1">z_Year_N_1&amp;".11_YTD"</f>
        <v>2022.11_YTD</v>
      </c>
      <c r="T1" s="4" t="str">
        <f ca="1">z_Year_N_1&amp;".12_YTD"</f>
        <v>2022.12_YTD</v>
      </c>
      <c r="U1" s="4">
        <f ca="1">z_Year_N_1</f>
        <v>2022</v>
      </c>
      <c r="V1" s="4" t="str">
        <f ca="1">z_Current_Year&amp;".01_YTD"</f>
        <v>2023.01_YTD</v>
      </c>
      <c r="W1" s="4" t="str">
        <f ca="1">z_Current_Year&amp;".02_YTD"</f>
        <v>2023.02_YTD</v>
      </c>
      <c r="X1" s="4" t="str">
        <f ca="1">z_Current_Year&amp;".03_YTD"</f>
        <v>2023.03_YTD</v>
      </c>
      <c r="Y1" s="4" t="str">
        <f ca="1">z_Current_Year&amp;".04_YTD"</f>
        <v>2023.04_YTD</v>
      </c>
      <c r="Z1" s="4" t="str">
        <f ca="1">z_Current_Year&amp;".05_YTD"</f>
        <v>2023.05_YTD</v>
      </c>
      <c r="AA1" s="4" t="str">
        <f ca="1">z_Current_Year&amp;".06_YTD"</f>
        <v>2023.06_YTD</v>
      </c>
      <c r="AB1" s="4" t="str">
        <f ca="1">z_Current_Year&amp;".07_YTD"</f>
        <v>2023.07_YTD</v>
      </c>
      <c r="AC1" s="4" t="str">
        <f ca="1">z_Current_Year&amp;".08_YTD"</f>
        <v>2023.08_YTD</v>
      </c>
      <c r="AD1" s="4" t="str">
        <f ca="1">z_Current_Year&amp;".09_YTD"</f>
        <v>2023.09_YTD</v>
      </c>
      <c r="AE1" s="4" t="str">
        <f ca="1">z_Current_Year&amp;".10_YTD"</f>
        <v>2023.10_YTD</v>
      </c>
      <c r="AF1" s="4" t="str">
        <f ca="1">z_Current_Year&amp;".11_YTD"</f>
        <v>2023.11_YTD</v>
      </c>
      <c r="AG1" s="4" t="str">
        <f ca="1">z_Current_Year&amp;".12_YTD"</f>
        <v>2023.12_YTD</v>
      </c>
      <c r="AH1" s="4" t="str">
        <f ca="1">z_Year_Selected</f>
        <v>2023</v>
      </c>
      <c r="AI1" s="4" t="str">
        <f ca="1">z_Current_Year&amp;".01_YTD"</f>
        <v>2023.01_YTD</v>
      </c>
      <c r="AJ1" s="4" t="str">
        <f ca="1">z_Current_Year&amp;".02_YTD"</f>
        <v>2023.02_YTD</v>
      </c>
      <c r="AK1" s="4" t="str">
        <f ca="1">z_Current_Year&amp;".03_YTD"</f>
        <v>2023.03_YTD</v>
      </c>
      <c r="AL1" s="4" t="str">
        <f ca="1">z_Current_Year&amp;".04_YTD"</f>
        <v>2023.04_YTD</v>
      </c>
      <c r="AM1" s="4" t="str">
        <f ca="1">z_Current_Year&amp;".05_YTD"</f>
        <v>2023.05_YTD</v>
      </c>
      <c r="AN1" s="4" t="str">
        <f ca="1">z_Current_Year&amp;".06_YTD"</f>
        <v>2023.06_YTD</v>
      </c>
      <c r="AO1" s="4" t="str">
        <f ca="1">z_Current_Year&amp;".07_YTD"</f>
        <v>2023.07_YTD</v>
      </c>
      <c r="AP1" s="4" t="str">
        <f ca="1">z_Current_Year&amp;".08_YTD"</f>
        <v>2023.08_YTD</v>
      </c>
      <c r="AQ1" s="4" t="str">
        <f ca="1">z_Current_Year&amp;".09_YTD"</f>
        <v>2023.09_YTD</v>
      </c>
      <c r="AR1" s="4" t="str">
        <f ca="1">z_Current_Year&amp;".10_YTD"</f>
        <v>2023.10_YTD</v>
      </c>
      <c r="AS1" s="4" t="str">
        <f ca="1">z_Current_Year&amp;".11_YTD"</f>
        <v>2023.11_YTD</v>
      </c>
      <c r="AT1" s="4" t="str">
        <f ca="1">z_Current_Year&amp;".12_YTD"</f>
        <v>2023.12_YTD</v>
      </c>
      <c r="AU1" s="4" t="str">
        <f ca="1">z_Year_Selected</f>
        <v>2023</v>
      </c>
    </row>
    <row r="2" spans="1:47" hidden="1">
      <c r="A2" s="3" t="s">
        <v>8</v>
      </c>
      <c r="B2" s="3"/>
      <c r="C2" s="1" t="s">
        <v>369</v>
      </c>
      <c r="F2" s="4" t="s">
        <v>383</v>
      </c>
      <c r="G2" s="4" t="s">
        <v>383</v>
      </c>
      <c r="H2" s="4" t="s">
        <v>383</v>
      </c>
      <c r="I2" s="4" t="s">
        <v>383</v>
      </c>
      <c r="J2" s="4" t="s">
        <v>383</v>
      </c>
      <c r="K2" s="4" t="s">
        <v>383</v>
      </c>
      <c r="L2" s="4" t="s">
        <v>383</v>
      </c>
      <c r="M2" s="4" t="s">
        <v>383</v>
      </c>
      <c r="N2" s="4" t="s">
        <v>383</v>
      </c>
      <c r="O2" s="4" t="s">
        <v>383</v>
      </c>
      <c r="P2" s="4" t="s">
        <v>383</v>
      </c>
      <c r="Q2" s="4" t="s">
        <v>383</v>
      </c>
      <c r="R2" s="4" t="s">
        <v>383</v>
      </c>
      <c r="S2" s="4" t="s">
        <v>383</v>
      </c>
      <c r="T2" s="4" t="s">
        <v>383</v>
      </c>
      <c r="U2" s="4" t="s">
        <v>383</v>
      </c>
      <c r="V2" s="4" t="s">
        <v>384</v>
      </c>
      <c r="W2" s="4" t="s">
        <v>384</v>
      </c>
      <c r="X2" s="4" t="s">
        <v>384</v>
      </c>
      <c r="Y2" s="4" t="s">
        <v>384</v>
      </c>
      <c r="Z2" s="4" t="s">
        <v>384</v>
      </c>
      <c r="AA2" s="4" t="s">
        <v>384</v>
      </c>
      <c r="AB2" s="4" t="s">
        <v>384</v>
      </c>
      <c r="AC2" s="4" t="s">
        <v>384</v>
      </c>
      <c r="AD2" s="4" t="s">
        <v>384</v>
      </c>
      <c r="AE2" s="4" t="s">
        <v>384</v>
      </c>
      <c r="AF2" s="4" t="s">
        <v>384</v>
      </c>
      <c r="AG2" s="4" t="s">
        <v>384</v>
      </c>
      <c r="AH2" s="4" t="s">
        <v>384</v>
      </c>
      <c r="AI2" s="4" t="s">
        <v>383</v>
      </c>
      <c r="AJ2" s="4" t="s">
        <v>383</v>
      </c>
      <c r="AK2" s="4" t="s">
        <v>383</v>
      </c>
      <c r="AL2" s="4" t="s">
        <v>383</v>
      </c>
      <c r="AM2" s="4" t="s">
        <v>383</v>
      </c>
      <c r="AN2" s="4" t="s">
        <v>383</v>
      </c>
      <c r="AO2" s="4" t="s">
        <v>383</v>
      </c>
      <c r="AP2" s="4" t="s">
        <v>383</v>
      </c>
      <c r="AQ2" s="4" t="s">
        <v>383</v>
      </c>
      <c r="AR2" s="4" t="s">
        <v>383</v>
      </c>
      <c r="AS2" s="4" t="s">
        <v>383</v>
      </c>
      <c r="AT2" s="4" t="s">
        <v>383</v>
      </c>
      <c r="AU2" s="4" t="s">
        <v>383</v>
      </c>
    </row>
    <row r="3" spans="1:47" hidden="1">
      <c r="A3" s="3" t="s">
        <v>5</v>
      </c>
      <c r="B3" s="3"/>
      <c r="C3" s="1" t="str">
        <f ca="1">Context!F36</f>
        <v>LCL</v>
      </c>
    </row>
    <row r="4" spans="1:47" hidden="1">
      <c r="A4" s="3" t="s">
        <v>9</v>
      </c>
      <c r="B4" s="3"/>
      <c r="C4" s="1" t="str">
        <f ca="1">Context!F37</f>
        <v>Local_Gaap_Mgmt_tool</v>
      </c>
    </row>
    <row r="5" spans="1:47" hidden="1">
      <c r="A5" s="3" t="s">
        <v>10</v>
      </c>
      <c r="B5" s="3"/>
      <c r="C5" s="1" t="str">
        <f ca="1">z_Legal_Entity</f>
        <v>NETH</v>
      </c>
    </row>
    <row r="6" spans="1:47" hidden="1">
      <c r="A6" s="3" t="s">
        <v>11</v>
      </c>
      <c r="B6" s="3"/>
      <c r="C6" s="1" t="s">
        <v>368</v>
      </c>
    </row>
    <row r="7" spans="1:47" hidden="1">
      <c r="A7" s="3" t="s">
        <v>12</v>
      </c>
      <c r="B7" s="3"/>
      <c r="C7" s="1" t="str">
        <f ca="1">z_UM_Selected</f>
        <v>NETH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9"/>
    </row>
    <row r="8" spans="1:47">
      <c r="A8" s="3"/>
      <c r="B8" s="3"/>
    </row>
    <row r="9" spans="1:47" ht="14.45" customHeight="1">
      <c r="A9" s="3"/>
      <c r="B9" s="3"/>
      <c r="C9" s="92"/>
      <c r="D9" s="93"/>
      <c r="E9" s="140" t="str">
        <f ca="1">"Reporting Europe "&amp;Context!F28&amp;", "&amp;Context!G31</f>
        <v>Reporting Europe NETH, 2023.05_YTD</v>
      </c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</row>
    <row r="10" spans="1:47" ht="14.45" customHeight="1">
      <c r="A10" s="3"/>
      <c r="B10" s="3"/>
      <c r="C10" s="92"/>
      <c r="D10" s="93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</row>
    <row r="11" spans="1:47" ht="25.5" customHeight="1">
      <c r="C11" s="92"/>
      <c r="D11" s="93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</row>
    <row r="12" spans="1:47">
      <c r="A12" s="3"/>
      <c r="B12" s="3"/>
      <c r="E12" s="118">
        <f ca="1">NOW()</f>
        <v>45103.703850115744</v>
      </c>
    </row>
    <row r="17" spans="1:47" ht="15.75">
      <c r="E17" s="138" t="str">
        <f ca="1">C7</f>
        <v>NETH</v>
      </c>
      <c r="F17" s="59" t="str">
        <f t="shared" ref="F17:AU17" ca="1" si="0">IF(F2="ACT_TOT","ACTUAL","BUDGET")</f>
        <v>ACTUAL</v>
      </c>
      <c r="G17" s="59" t="str">
        <f t="shared" ca="1" si="0"/>
        <v>ACTUAL</v>
      </c>
      <c r="H17" s="59" t="str">
        <f t="shared" ca="1" si="0"/>
        <v>ACTUAL</v>
      </c>
      <c r="I17" s="59" t="str">
        <f t="shared" ca="1" si="0"/>
        <v>ACTUAL</v>
      </c>
      <c r="J17" s="59" t="str">
        <f t="shared" ca="1" si="0"/>
        <v>ACTUAL</v>
      </c>
      <c r="K17" s="59" t="str">
        <f t="shared" ca="1" si="0"/>
        <v>ACTUAL</v>
      </c>
      <c r="L17" s="59" t="str">
        <f t="shared" ca="1" si="0"/>
        <v>ACTUAL</v>
      </c>
      <c r="M17" s="59" t="str">
        <f t="shared" ca="1" si="0"/>
        <v>ACTUAL</v>
      </c>
      <c r="N17" s="59" t="str">
        <f t="shared" ca="1" si="0"/>
        <v>ACTUAL</v>
      </c>
      <c r="O17" s="59" t="str">
        <f t="shared" ca="1" si="0"/>
        <v>ACTUAL</v>
      </c>
      <c r="P17" s="59" t="str">
        <f t="shared" ca="1" si="0"/>
        <v>ACTUAL</v>
      </c>
      <c r="Q17" s="59" t="str">
        <f t="shared" ca="1" si="0"/>
        <v>ACTUAL</v>
      </c>
      <c r="R17" s="59" t="str">
        <f t="shared" ca="1" si="0"/>
        <v>ACTUAL</v>
      </c>
      <c r="S17" s="59" t="str">
        <f t="shared" ca="1" si="0"/>
        <v>ACTUAL</v>
      </c>
      <c r="T17" s="59" t="str">
        <f t="shared" ca="1" si="0"/>
        <v>ACTUAL</v>
      </c>
      <c r="U17" s="59" t="str">
        <f t="shared" ca="1" si="0"/>
        <v>ACTUAL</v>
      </c>
      <c r="V17" s="59" t="str">
        <f t="shared" ca="1" si="0"/>
        <v>BUDGET</v>
      </c>
      <c r="W17" s="59" t="str">
        <f t="shared" ca="1" si="0"/>
        <v>BUDGET</v>
      </c>
      <c r="X17" s="59" t="str">
        <f t="shared" ca="1" si="0"/>
        <v>BUDGET</v>
      </c>
      <c r="Y17" s="59" t="str">
        <f t="shared" ca="1" si="0"/>
        <v>BUDGET</v>
      </c>
      <c r="Z17" s="59" t="str">
        <f t="shared" ca="1" si="0"/>
        <v>BUDGET</v>
      </c>
      <c r="AA17" s="59" t="str">
        <f t="shared" ca="1" si="0"/>
        <v>BUDGET</v>
      </c>
      <c r="AB17" s="59" t="str">
        <f t="shared" ca="1" si="0"/>
        <v>BUDGET</v>
      </c>
      <c r="AC17" s="59" t="str">
        <f t="shared" ca="1" si="0"/>
        <v>BUDGET</v>
      </c>
      <c r="AD17" s="59" t="str">
        <f t="shared" ca="1" si="0"/>
        <v>BUDGET</v>
      </c>
      <c r="AE17" s="59" t="str">
        <f t="shared" ca="1" si="0"/>
        <v>BUDGET</v>
      </c>
      <c r="AF17" s="59" t="str">
        <f t="shared" ca="1" si="0"/>
        <v>BUDGET</v>
      </c>
      <c r="AG17" s="59" t="str">
        <f t="shared" ca="1" si="0"/>
        <v>BUDGET</v>
      </c>
      <c r="AH17" s="59" t="str">
        <f t="shared" ca="1" si="0"/>
        <v>BUDGET</v>
      </c>
      <c r="AI17" s="59" t="str">
        <f t="shared" ca="1" si="0"/>
        <v>ACTUAL</v>
      </c>
      <c r="AJ17" s="59" t="str">
        <f t="shared" ca="1" si="0"/>
        <v>ACTUAL</v>
      </c>
      <c r="AK17" s="59" t="str">
        <f t="shared" ca="1" si="0"/>
        <v>ACTUAL</v>
      </c>
      <c r="AL17" s="59" t="str">
        <f t="shared" ca="1" si="0"/>
        <v>ACTUAL</v>
      </c>
      <c r="AM17" s="59" t="str">
        <f t="shared" ca="1" si="0"/>
        <v>ACTUAL</v>
      </c>
      <c r="AN17" s="59" t="str">
        <f t="shared" ca="1" si="0"/>
        <v>ACTUAL</v>
      </c>
      <c r="AO17" s="59" t="str">
        <f t="shared" ca="1" si="0"/>
        <v>ACTUAL</v>
      </c>
      <c r="AP17" s="59" t="str">
        <f t="shared" ca="1" si="0"/>
        <v>ACTUAL</v>
      </c>
      <c r="AQ17" s="59" t="str">
        <f t="shared" ca="1" si="0"/>
        <v>ACTUAL</v>
      </c>
      <c r="AR17" s="59" t="str">
        <f t="shared" ca="1" si="0"/>
        <v>ACTUAL</v>
      </c>
      <c r="AS17" s="59" t="str">
        <f t="shared" ca="1" si="0"/>
        <v>ACTUAL</v>
      </c>
      <c r="AT17" s="59" t="str">
        <f t="shared" ca="1" si="0"/>
        <v>ACTUAL</v>
      </c>
      <c r="AU17" s="59" t="str">
        <f t="shared" ca="1" si="0"/>
        <v>ACTUAL</v>
      </c>
    </row>
    <row r="18" spans="1:47" ht="15.75">
      <c r="E18" s="139"/>
      <c r="F18" s="60">
        <f t="shared" ref="F18:AU18" ca="1" si="1">F1</f>
        <v>2019</v>
      </c>
      <c r="G18" s="60">
        <f t="shared" ca="1" si="1"/>
        <v>2020</v>
      </c>
      <c r="H18" s="60">
        <f t="shared" ca="1" si="1"/>
        <v>2021</v>
      </c>
      <c r="I18" s="60" t="str">
        <f t="shared" ca="1" si="1"/>
        <v>2022.01_YTD</v>
      </c>
      <c r="J18" s="60" t="str">
        <f t="shared" ca="1" si="1"/>
        <v>2022.02_YTD</v>
      </c>
      <c r="K18" s="60" t="str">
        <f t="shared" ca="1" si="1"/>
        <v>2022.03_YTD</v>
      </c>
      <c r="L18" s="60" t="str">
        <f t="shared" ca="1" si="1"/>
        <v>2022.04_YTD</v>
      </c>
      <c r="M18" s="60" t="str">
        <f t="shared" ca="1" si="1"/>
        <v>2022.05_YTD</v>
      </c>
      <c r="N18" s="60" t="str">
        <f t="shared" ca="1" si="1"/>
        <v>2022.06_YTD</v>
      </c>
      <c r="O18" s="60" t="str">
        <f t="shared" ca="1" si="1"/>
        <v>2022.07_YTD</v>
      </c>
      <c r="P18" s="60" t="str">
        <f t="shared" ca="1" si="1"/>
        <v>2022.08_YTD</v>
      </c>
      <c r="Q18" s="60" t="str">
        <f t="shared" ca="1" si="1"/>
        <v>2022.09_YTD</v>
      </c>
      <c r="R18" s="60" t="str">
        <f t="shared" ca="1" si="1"/>
        <v>2022.10_YTD</v>
      </c>
      <c r="S18" s="60" t="str">
        <f t="shared" ca="1" si="1"/>
        <v>2022.11_YTD</v>
      </c>
      <c r="T18" s="60" t="str">
        <f t="shared" ca="1" si="1"/>
        <v>2022.12_YTD</v>
      </c>
      <c r="U18" s="60">
        <f t="shared" ca="1" si="1"/>
        <v>2022</v>
      </c>
      <c r="V18" s="60" t="str">
        <f t="shared" ca="1" si="1"/>
        <v>2023.01_YTD</v>
      </c>
      <c r="W18" s="60" t="str">
        <f t="shared" ca="1" si="1"/>
        <v>2023.02_YTD</v>
      </c>
      <c r="X18" s="60" t="str">
        <f t="shared" ca="1" si="1"/>
        <v>2023.03_YTD</v>
      </c>
      <c r="Y18" s="60" t="str">
        <f t="shared" ca="1" si="1"/>
        <v>2023.04_YTD</v>
      </c>
      <c r="Z18" s="60" t="str">
        <f t="shared" ca="1" si="1"/>
        <v>2023.05_YTD</v>
      </c>
      <c r="AA18" s="60" t="str">
        <f t="shared" ca="1" si="1"/>
        <v>2023.06_YTD</v>
      </c>
      <c r="AB18" s="60" t="str">
        <f t="shared" ca="1" si="1"/>
        <v>2023.07_YTD</v>
      </c>
      <c r="AC18" s="60" t="str">
        <f t="shared" ca="1" si="1"/>
        <v>2023.08_YTD</v>
      </c>
      <c r="AD18" s="60" t="str">
        <f t="shared" ca="1" si="1"/>
        <v>2023.09_YTD</v>
      </c>
      <c r="AE18" s="60" t="str">
        <f t="shared" ca="1" si="1"/>
        <v>2023.10_YTD</v>
      </c>
      <c r="AF18" s="60" t="str">
        <f t="shared" ca="1" si="1"/>
        <v>2023.11_YTD</v>
      </c>
      <c r="AG18" s="60" t="str">
        <f t="shared" ca="1" si="1"/>
        <v>2023.12_YTD</v>
      </c>
      <c r="AH18" s="60" t="str">
        <f t="shared" ca="1" si="1"/>
        <v>2023</v>
      </c>
      <c r="AI18" s="60" t="str">
        <f t="shared" ca="1" si="1"/>
        <v>2023.01_YTD</v>
      </c>
      <c r="AJ18" s="60" t="str">
        <f t="shared" ca="1" si="1"/>
        <v>2023.02_YTD</v>
      </c>
      <c r="AK18" s="60" t="str">
        <f t="shared" ca="1" si="1"/>
        <v>2023.03_YTD</v>
      </c>
      <c r="AL18" s="60" t="str">
        <f t="shared" ca="1" si="1"/>
        <v>2023.04_YTD</v>
      </c>
      <c r="AM18" s="60" t="str">
        <f t="shared" ca="1" si="1"/>
        <v>2023.05_YTD</v>
      </c>
      <c r="AN18" s="60" t="str">
        <f t="shared" ca="1" si="1"/>
        <v>2023.06_YTD</v>
      </c>
      <c r="AO18" s="60" t="str">
        <f t="shared" ca="1" si="1"/>
        <v>2023.07_YTD</v>
      </c>
      <c r="AP18" s="60" t="str">
        <f t="shared" ca="1" si="1"/>
        <v>2023.08_YTD</v>
      </c>
      <c r="AQ18" s="60" t="str">
        <f t="shared" ca="1" si="1"/>
        <v>2023.09_YTD</v>
      </c>
      <c r="AR18" s="60" t="str">
        <f t="shared" ca="1" si="1"/>
        <v>2023.10_YTD</v>
      </c>
      <c r="AS18" s="60" t="str">
        <f t="shared" ca="1" si="1"/>
        <v>2023.11_YTD</v>
      </c>
      <c r="AT18" s="60" t="str">
        <f t="shared" ca="1" si="1"/>
        <v>2023.12_YTD</v>
      </c>
      <c r="AU18" s="60" t="str">
        <f t="shared" ca="1" si="1"/>
        <v>2023</v>
      </c>
    </row>
    <row r="19" spans="1:47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47" ht="15.75" outlineLevel="1">
      <c r="A20" s="1" t="s">
        <v>126</v>
      </c>
      <c r="E20" s="9" t="str">
        <f ca="1">_xll.DBRW(Server&amp;"}ElementAttributes_Indicator",A20,"code_English")</f>
        <v>TPL10_nat - REVENUE FROM ORDINARY ACTIVITIES (by nature)</v>
      </c>
      <c r="F20" s="10">
        <f ca="1">_xll.DBRW($C$1,$C$2,$C$3,$C$4,$C$6,$C$5,$C$7,F$1,F$2,A20)</f>
        <v>717839393.6099999</v>
      </c>
      <c r="G20" s="10">
        <f ca="1">_xll.DBRW($C$1,$C$2,$C$3,$C$4,$C$6,$C$5,$C$7,G$1,G$2,A20)</f>
        <v>631536258.30000007</v>
      </c>
      <c r="H20" s="10">
        <f ca="1">_xll.DBRW($C$1,$C$2,$C$3,$C$4,$C$6,$C$5,$C$7,H$1,H$2,A20)</f>
        <v>641292800.67000008</v>
      </c>
      <c r="I20" s="10">
        <f ca="1">_xll.DBRW($C$1,$C$2,$C$3,$C$4,$C$6,$C$5,$C$7,I$1,I$2,A20)</f>
        <v>55946681.329999998</v>
      </c>
      <c r="J20" s="10">
        <f ca="1">_xll.DBRW($C$1,$C$2,$C$3,$C$4,$C$6,$C$5,$C$7,J$1,J$2,A20)</f>
        <v>111351834.70999999</v>
      </c>
      <c r="K20" s="10">
        <f ca="1">_xll.DBRW($C$1,$C$2,$C$3,$C$4,$C$6,$C$5,$C$7,K$1,K$2,A20)</f>
        <v>173468598.06999999</v>
      </c>
      <c r="L20" s="10">
        <f ca="1">_xll.DBRW($C$1,$C$2,$C$3,$C$4,$C$6,$C$5,$C$7,L$1,L$2,A20)</f>
        <v>229681423.86000004</v>
      </c>
      <c r="M20" s="10">
        <f ca="1">_xll.DBRW($C$1,$C$2,$C$3,$C$4,$C$6,$C$5,$C$7,M$1,M$2,A20)</f>
        <v>288499654.70000005</v>
      </c>
      <c r="N20" s="10">
        <f ca="1">_xll.DBRW($C$1,$C$2,$C$3,$C$4,$C$6,$C$5,$C$7,N$1,N$2,A20)</f>
        <v>348366221.60000008</v>
      </c>
      <c r="O20" s="10">
        <f ca="1">_xll.DBRW($C$1,$C$2,$C$3,$C$4,$C$6,$C$5,$C$7,O$1,O$2,A20)</f>
        <v>348366221.60000008</v>
      </c>
      <c r="P20" s="10">
        <f ca="1">_xll.DBRW($C$1,$C$2,$C$3,$C$4,$C$6,$C$5,$C$7,P$1,P$2,A20)</f>
        <v>348366221.60000008</v>
      </c>
      <c r="Q20" s="10">
        <f ca="1">_xll.DBRW($C$1,$C$2,$C$3,$C$4,$C$6,$C$5,$C$7,Q$1,Q$2,A20)</f>
        <v>348366221.60000008</v>
      </c>
      <c r="R20" s="10">
        <f ca="1">_xll.DBRW($C$1,$C$2,$C$3,$C$4,$C$6,$C$5,$C$7,R$1,R$2,A20)</f>
        <v>348366221.60000008</v>
      </c>
      <c r="S20" s="10">
        <f ca="1">_xll.DBRW($C$1,$C$2,$C$3,$C$4,$C$6,$C$5,$C$7,S$1,S$2,A20)</f>
        <v>348366221.60000008</v>
      </c>
      <c r="T20" s="10">
        <f ca="1">_xll.DBRW($C$1,$C$2,$C$3,$C$4,$C$6,$C$5,$C$7,T$1,T$2,A20)</f>
        <v>348366221.60000008</v>
      </c>
      <c r="U20" s="10">
        <f ca="1">_xll.DBRW($C$1,$C$2,$C$3,$C$4,$C$6,$C$5,$C$7,U$1,U$2,A20)</f>
        <v>348366221.60000008</v>
      </c>
      <c r="V20" s="10">
        <f ca="1">_xll.DBRW($C$1,$C$2,$C$3,$C$4,$C$6,$C$5,$C$7,V$1,V$2,A20)</f>
        <v>0</v>
      </c>
      <c r="W20" s="10">
        <f ca="1">_xll.DBRW($C$1,$C$2,$C$3,$C$4,$C$6,$C$5,$C$7,W$1,W$2,A20)</f>
        <v>0</v>
      </c>
      <c r="X20" s="10">
        <f ca="1">_xll.DBRW($C$1,$C$2,$C$3,$C$4,$C$6,$C$5,$C$7,X$1,X$2,A20)</f>
        <v>0</v>
      </c>
      <c r="Y20" s="10">
        <f ca="1">_xll.DBRW($C$1,$C$2,$C$3,$C$4,$C$6,$C$5,$C$7,Y$1,Y$2,A20)</f>
        <v>0</v>
      </c>
      <c r="Z20" s="10">
        <f ca="1">_xll.DBRW($C$1,$C$2,$C$3,$C$4,$C$6,$C$5,$C$7,Z$1,Z$2,A20)</f>
        <v>0</v>
      </c>
      <c r="AA20" s="10">
        <f ca="1">_xll.DBRW($C$1,$C$2,$C$3,$C$4,$C$6,$C$5,$C$7,AA$1,AA$2,A20)</f>
        <v>0</v>
      </c>
      <c r="AB20" s="10">
        <f ca="1">_xll.DBRW($C$1,$C$2,$C$3,$C$4,$C$6,$C$5,$C$7,AB$1,AB$2,A20)</f>
        <v>0</v>
      </c>
      <c r="AC20" s="10">
        <f ca="1">_xll.DBRW($C$1,$C$2,$C$3,$C$4,$C$6,$C$5,$C$7,AC$1,AC$2,A20)</f>
        <v>0</v>
      </c>
      <c r="AD20" s="10">
        <f ca="1">_xll.DBRW($C$1,$C$2,$C$3,$C$4,$C$6,$C$5,$C$7,AD$1,AD$2,A20)</f>
        <v>0</v>
      </c>
      <c r="AE20" s="10">
        <f ca="1">_xll.DBRW($C$1,$C$2,$C$3,$C$4,$C$6,$C$5,$C$7,AE$1,AE$2,A20)</f>
        <v>0</v>
      </c>
      <c r="AF20" s="10">
        <f ca="1">_xll.DBRW($C$1,$C$2,$C$3,$C$4,$C$6,$C$5,$C$7,AF$1,AF$2,A20)</f>
        <v>0</v>
      </c>
      <c r="AG20" s="10">
        <f ca="1">_xll.DBRW($C$1,$C$2,$C$3,$C$4,$C$6,$C$5,$C$7,AG$1,AG$2,A20)</f>
        <v>0</v>
      </c>
      <c r="AH20" s="23">
        <f ca="1">_xll.DBRW($C$1,$C$2,$C$3,$C$4,$C$6,$C$5,$C$7,AH$1,AH$2,A20)</f>
        <v>0</v>
      </c>
      <c r="AI20" s="10">
        <f ca="1">_xll.DBRW($C$1,$C$2,$C$3,$C$4,$C$6,$C$5,$C$7,AI$1,AI$2,A20)</f>
        <v>0</v>
      </c>
      <c r="AJ20" s="10">
        <f ca="1">_xll.DBRW($C$1,$C$2,$C$3,$C$4,$C$6,$C$5,$C$7,AJ$1,AJ$2,A20)</f>
        <v>0</v>
      </c>
      <c r="AK20" s="10">
        <f ca="1">_xll.DBRW($C$1,$C$2,$C$3,$C$4,$C$6,$C$5,$C$7,AK$1,AK$2,A20)</f>
        <v>0</v>
      </c>
      <c r="AL20" s="10">
        <f ca="1">_xll.DBRW($C$1,$C$2,$C$3,$C$4,$C$6,$C$5,$C$7,AL$1,AL$2,A20)</f>
        <v>0</v>
      </c>
      <c r="AM20" s="10">
        <f ca="1">_xll.DBRW($C$1,$C$2,$C$3,$C$4,$C$6,$C$5,$C$7,AM$1,AM$2,A20)</f>
        <v>0</v>
      </c>
      <c r="AN20" s="10">
        <f ca="1">_xll.DBRW($C$1,$C$2,$C$3,$C$4,$C$6,$C$5,$C$7,AN$1,AN$2,A20)</f>
        <v>0</v>
      </c>
      <c r="AO20" s="10">
        <f ca="1">_xll.DBRW($C$1,$C$2,$C$3,$C$4,$C$6,$C$5,$C$7,AO$1,AO$2,A20)</f>
        <v>0</v>
      </c>
      <c r="AP20" s="10">
        <f ca="1">_xll.DBRW($C$1,$C$2,$C$3,$C$4,$C$6,$C$5,$C$7,AP$1,AP$2,A20)</f>
        <v>0</v>
      </c>
      <c r="AQ20" s="10">
        <f ca="1">_xll.DBRW($C$1,$C$2,$C$3,$C$4,$C$6,$C$5,$C$7,AQ$1,AQ$2,A20)</f>
        <v>0</v>
      </c>
      <c r="AR20" s="10">
        <f ca="1">_xll.DBRW($C$1,$C$2,$C$3,$C$4,$C$6,$C$5,$C$7,AR$1,AR$2,A20)</f>
        <v>0</v>
      </c>
      <c r="AS20" s="10">
        <f ca="1">_xll.DBRW($C$1,$C$2,$C$3,$C$4,$C$6,$C$5,$C$7,AS$1,AS$2,A20)</f>
        <v>0</v>
      </c>
      <c r="AT20" s="10">
        <f ca="1">_xll.DBRW($C$1,$C$2,$C$3,$C$4,$C$6,$C$5,$C$7,AT$1,AT$2,A20)</f>
        <v>0</v>
      </c>
      <c r="AU20" s="10">
        <f ca="1">_xll.DBRW($C$1,$C$2,$C$3,$C$4,$C$6,$C$5,$C$7,AU$1,AU$2,A20)</f>
        <v>0</v>
      </c>
    </row>
    <row r="21" spans="1:47" ht="15.75" customHeight="1">
      <c r="A21" s="1" t="s">
        <v>127</v>
      </c>
      <c r="C21" s="141" t="s">
        <v>13</v>
      </c>
      <c r="E21" s="122" t="s">
        <v>14</v>
      </c>
      <c r="F21" s="123">
        <f t="shared" ref="F21:AU21" ca="1" si="2">F20</f>
        <v>717839393.6099999</v>
      </c>
      <c r="G21" s="123">
        <f t="shared" ca="1" si="2"/>
        <v>631536258.30000007</v>
      </c>
      <c r="H21" s="123">
        <f t="shared" ca="1" si="2"/>
        <v>641292800.67000008</v>
      </c>
      <c r="I21" s="123">
        <f t="shared" ca="1" si="2"/>
        <v>55946681.329999998</v>
      </c>
      <c r="J21" s="123">
        <f t="shared" ca="1" si="2"/>
        <v>111351834.70999999</v>
      </c>
      <c r="K21" s="123">
        <f t="shared" ca="1" si="2"/>
        <v>173468598.06999999</v>
      </c>
      <c r="L21" s="123">
        <f t="shared" ca="1" si="2"/>
        <v>229681423.86000004</v>
      </c>
      <c r="M21" s="123">
        <f t="shared" ca="1" si="2"/>
        <v>288499654.70000005</v>
      </c>
      <c r="N21" s="123">
        <f t="shared" ca="1" si="2"/>
        <v>348366221.60000008</v>
      </c>
      <c r="O21" s="123">
        <f t="shared" ca="1" si="2"/>
        <v>348366221.60000008</v>
      </c>
      <c r="P21" s="123">
        <f t="shared" ca="1" si="2"/>
        <v>348366221.60000008</v>
      </c>
      <c r="Q21" s="123">
        <f t="shared" ca="1" si="2"/>
        <v>348366221.60000008</v>
      </c>
      <c r="R21" s="123">
        <f t="shared" ca="1" si="2"/>
        <v>348366221.60000008</v>
      </c>
      <c r="S21" s="123">
        <f t="shared" ca="1" si="2"/>
        <v>348366221.60000008</v>
      </c>
      <c r="T21" s="123">
        <f t="shared" ca="1" si="2"/>
        <v>348366221.60000008</v>
      </c>
      <c r="U21" s="123">
        <f t="shared" ca="1" si="2"/>
        <v>348366221.60000008</v>
      </c>
      <c r="V21" s="123">
        <f t="shared" ca="1" si="2"/>
        <v>0</v>
      </c>
      <c r="W21" s="123">
        <f t="shared" ca="1" si="2"/>
        <v>0</v>
      </c>
      <c r="X21" s="123">
        <f t="shared" ca="1" si="2"/>
        <v>0</v>
      </c>
      <c r="Y21" s="123">
        <f t="shared" ca="1" si="2"/>
        <v>0</v>
      </c>
      <c r="Z21" s="123">
        <f t="shared" ca="1" si="2"/>
        <v>0</v>
      </c>
      <c r="AA21" s="123">
        <f t="shared" ca="1" si="2"/>
        <v>0</v>
      </c>
      <c r="AB21" s="123">
        <f t="shared" ca="1" si="2"/>
        <v>0</v>
      </c>
      <c r="AC21" s="123">
        <f t="shared" ca="1" si="2"/>
        <v>0</v>
      </c>
      <c r="AD21" s="123">
        <f t="shared" ca="1" si="2"/>
        <v>0</v>
      </c>
      <c r="AE21" s="123">
        <f t="shared" ca="1" si="2"/>
        <v>0</v>
      </c>
      <c r="AF21" s="123">
        <f t="shared" ca="1" si="2"/>
        <v>0</v>
      </c>
      <c r="AG21" s="123">
        <f t="shared" ca="1" si="2"/>
        <v>0</v>
      </c>
      <c r="AH21" s="123">
        <f t="shared" ca="1" si="2"/>
        <v>0</v>
      </c>
      <c r="AI21" s="123">
        <f t="shared" ca="1" si="2"/>
        <v>0</v>
      </c>
      <c r="AJ21" s="123">
        <f t="shared" ca="1" si="2"/>
        <v>0</v>
      </c>
      <c r="AK21" s="123">
        <f t="shared" ca="1" si="2"/>
        <v>0</v>
      </c>
      <c r="AL21" s="123">
        <f t="shared" ca="1" si="2"/>
        <v>0</v>
      </c>
      <c r="AM21" s="123">
        <f t="shared" ca="1" si="2"/>
        <v>0</v>
      </c>
      <c r="AN21" s="123">
        <f t="shared" ca="1" si="2"/>
        <v>0</v>
      </c>
      <c r="AO21" s="123">
        <f t="shared" ca="1" si="2"/>
        <v>0</v>
      </c>
      <c r="AP21" s="123">
        <f t="shared" ca="1" si="2"/>
        <v>0</v>
      </c>
      <c r="AQ21" s="123">
        <f t="shared" ca="1" si="2"/>
        <v>0</v>
      </c>
      <c r="AR21" s="123">
        <f t="shared" ca="1" si="2"/>
        <v>0</v>
      </c>
      <c r="AS21" s="123">
        <f t="shared" ca="1" si="2"/>
        <v>0</v>
      </c>
      <c r="AT21" s="123">
        <f t="shared" ca="1" si="2"/>
        <v>0</v>
      </c>
      <c r="AU21" s="123">
        <f t="shared" ca="1" si="2"/>
        <v>0</v>
      </c>
    </row>
    <row r="22" spans="1:47" ht="7.5" customHeight="1">
      <c r="A22" s="1" t="s">
        <v>127</v>
      </c>
      <c r="C22" s="141"/>
      <c r="E22" s="7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47" ht="15.75" hidden="1" customHeight="1" outlineLevel="1">
      <c r="A23" s="1" t="s">
        <v>128</v>
      </c>
      <c r="C23" s="141"/>
      <c r="E23" s="9" t="str">
        <f ca="1">_xll.DBRW(Server&amp;"}ElementAttributes_Indicator",A23,"code_English")</f>
        <v>PL1003_RC_30 - Other transportation revenue (incl. subcontracting revenue)</v>
      </c>
      <c r="F23" s="10">
        <f ca="1">_xll.DBRW($C$1,$C$2,$C$3,$C$4,$C$6,$C$5,$C$7,F$1,F$2,A23)</f>
        <v>53633840.979999997</v>
      </c>
      <c r="G23" s="10">
        <f ca="1">_xll.DBRW($C$1,$C$2,$C$3,$C$4,$C$6,$C$5,$C$7,G$1,G$2,A23)</f>
        <v>39395515.339999996</v>
      </c>
      <c r="H23" s="10">
        <f ca="1">_xll.DBRW($C$1,$C$2,$C$3,$C$4,$C$6,$C$5,$C$7,H$1,H$2,A23)</f>
        <v>38730554.229999997</v>
      </c>
      <c r="I23" s="10">
        <f ca="1">_xll.DBRW($C$1,$C$2,$C$3,$C$4,$C$6,$C$5,$C$7,I$1,I$2,A23)</f>
        <v>3599695.2800000003</v>
      </c>
      <c r="J23" s="10">
        <f ca="1">_xll.DBRW($C$1,$C$2,$C$3,$C$4,$C$6,$C$5,$C$7,J$1,J$2,A23)</f>
        <v>7013261.9400000004</v>
      </c>
      <c r="K23" s="10">
        <f ca="1">_xll.DBRW($C$1,$C$2,$C$3,$C$4,$C$6,$C$5,$C$7,K$1,K$2,A23)</f>
        <v>11356129.25</v>
      </c>
      <c r="L23" s="10">
        <f ca="1">_xll.DBRW($C$1,$C$2,$C$3,$C$4,$C$6,$C$5,$C$7,L$1,L$2,A23)</f>
        <v>14755208.829999998</v>
      </c>
      <c r="M23" s="10">
        <f ca="1">_xll.DBRW($C$1,$C$2,$C$3,$C$4,$C$6,$C$5,$C$7,M$1,M$2,A23)</f>
        <v>18089001.159999996</v>
      </c>
      <c r="N23" s="10">
        <f ca="1">_xll.DBRW($C$1,$C$2,$C$3,$C$4,$C$6,$C$5,$C$7,N$1,N$2,A23)</f>
        <v>21985469.539999995</v>
      </c>
      <c r="O23" s="10">
        <f ca="1">_xll.DBRW($C$1,$C$2,$C$3,$C$4,$C$6,$C$5,$C$7,O$1,O$2,A23)</f>
        <v>21985469.539999995</v>
      </c>
      <c r="P23" s="10">
        <f ca="1">_xll.DBRW($C$1,$C$2,$C$3,$C$4,$C$6,$C$5,$C$7,P$1,P$2,A23)</f>
        <v>21985469.539999995</v>
      </c>
      <c r="Q23" s="10">
        <f ca="1">_xll.DBRW($C$1,$C$2,$C$3,$C$4,$C$6,$C$5,$C$7,Q$1,Q$2,A23)</f>
        <v>21985469.539999995</v>
      </c>
      <c r="R23" s="10">
        <f ca="1">_xll.DBRW($C$1,$C$2,$C$3,$C$4,$C$6,$C$5,$C$7,R$1,R$2,A23)</f>
        <v>21985469.539999995</v>
      </c>
      <c r="S23" s="10">
        <f ca="1">_xll.DBRW($C$1,$C$2,$C$3,$C$4,$C$6,$C$5,$C$7,S$1,S$2,A23)</f>
        <v>21985469.539999995</v>
      </c>
      <c r="T23" s="10">
        <f ca="1">_xll.DBRW($C$1,$C$2,$C$3,$C$4,$C$6,$C$5,$C$7,T$1,T$2,A23)</f>
        <v>21985469.539999995</v>
      </c>
      <c r="U23" s="10">
        <f ca="1">_xll.DBRW($C$1,$C$2,$C$3,$C$4,$C$6,$C$5,$C$7,U$1,U$2,A23)</f>
        <v>21985469.539999995</v>
      </c>
      <c r="V23" s="10">
        <f ca="1">_xll.DBRW($C$1,$C$2,$C$3,$C$4,$C$6,$C$5,$C$7,V$1,V$2,A23)</f>
        <v>0</v>
      </c>
      <c r="W23" s="10">
        <f ca="1">_xll.DBRW($C$1,$C$2,$C$3,$C$4,$C$6,$C$5,$C$7,W$1,W$2,A23)</f>
        <v>0</v>
      </c>
      <c r="X23" s="10">
        <f ca="1">_xll.DBRW($C$1,$C$2,$C$3,$C$4,$C$6,$C$5,$C$7,X$1,X$2,A23)</f>
        <v>0</v>
      </c>
      <c r="Y23" s="10">
        <f ca="1">_xll.DBRW($C$1,$C$2,$C$3,$C$4,$C$6,$C$5,$C$7,Y$1,Y$2,A23)</f>
        <v>0</v>
      </c>
      <c r="Z23" s="10">
        <f ca="1">_xll.DBRW($C$1,$C$2,$C$3,$C$4,$C$6,$C$5,$C$7,Z$1,Z$2,A23)</f>
        <v>0</v>
      </c>
      <c r="AA23" s="10">
        <f ca="1">_xll.DBRW($C$1,$C$2,$C$3,$C$4,$C$6,$C$5,$C$7,AA$1,AA$2,A23)</f>
        <v>0</v>
      </c>
      <c r="AB23" s="10">
        <f ca="1">_xll.DBRW($C$1,$C$2,$C$3,$C$4,$C$6,$C$5,$C$7,AB$1,AB$2,A23)</f>
        <v>0</v>
      </c>
      <c r="AC23" s="10">
        <f ca="1">_xll.DBRW($C$1,$C$2,$C$3,$C$4,$C$6,$C$5,$C$7,AC$1,AC$2,A23)</f>
        <v>0</v>
      </c>
      <c r="AD23" s="10">
        <f ca="1">_xll.DBRW($C$1,$C$2,$C$3,$C$4,$C$6,$C$5,$C$7,AD$1,AD$2,A23)</f>
        <v>0</v>
      </c>
      <c r="AE23" s="10">
        <f ca="1">_xll.DBRW($C$1,$C$2,$C$3,$C$4,$C$6,$C$5,$C$7,AE$1,AE$2,A23)</f>
        <v>0</v>
      </c>
      <c r="AF23" s="10">
        <f ca="1">_xll.DBRW($C$1,$C$2,$C$3,$C$4,$C$6,$C$5,$C$7,AF$1,AF$2,A23)</f>
        <v>0</v>
      </c>
      <c r="AG23" s="10">
        <f ca="1">_xll.DBRW($C$1,$C$2,$C$3,$C$4,$C$6,$C$5,$C$7,AG$1,AG$2,A23)</f>
        <v>0</v>
      </c>
      <c r="AH23" s="10">
        <f ca="1">_xll.DBRW($C$1,$C$2,$C$3,$C$4,$C$6,$C$5,$C$7,AH$1,AH$2,A23)</f>
        <v>0</v>
      </c>
      <c r="AI23" s="10">
        <f ca="1">_xll.DBRW($C$1,$C$2,$C$3,$C$4,$C$6,$C$5,$C$7,AI$1,AI$2,A23)</f>
        <v>0</v>
      </c>
      <c r="AJ23" s="10">
        <f ca="1">_xll.DBRW($C$1,$C$2,$C$3,$C$4,$C$6,$C$5,$C$7,AJ$1,AJ$2,A23)</f>
        <v>0</v>
      </c>
      <c r="AK23" s="10">
        <f ca="1">_xll.DBRW($C$1,$C$2,$C$3,$C$4,$C$6,$C$5,$C$7,AK$1,AK$2,A23)</f>
        <v>0</v>
      </c>
      <c r="AL23" s="10">
        <f ca="1">_xll.DBRW($C$1,$C$2,$C$3,$C$4,$C$6,$C$5,$C$7,AL$1,AL$2,A23)</f>
        <v>0</v>
      </c>
      <c r="AM23" s="10">
        <f ca="1">_xll.DBRW($C$1,$C$2,$C$3,$C$4,$C$6,$C$5,$C$7,AM$1,AM$2,A23)</f>
        <v>0</v>
      </c>
      <c r="AN23" s="10">
        <f ca="1">_xll.DBRW($C$1,$C$2,$C$3,$C$4,$C$6,$C$5,$C$7,AN$1,AN$2,A23)</f>
        <v>0</v>
      </c>
      <c r="AO23" s="10">
        <f ca="1">_xll.DBRW($C$1,$C$2,$C$3,$C$4,$C$6,$C$5,$C$7,AO$1,AO$2,A23)</f>
        <v>0</v>
      </c>
      <c r="AP23" s="10">
        <f ca="1">_xll.DBRW($C$1,$C$2,$C$3,$C$4,$C$6,$C$5,$C$7,AP$1,AP$2,A23)</f>
        <v>0</v>
      </c>
      <c r="AQ23" s="10">
        <f ca="1">_xll.DBRW($C$1,$C$2,$C$3,$C$4,$C$6,$C$5,$C$7,AQ$1,AQ$2,A23)</f>
        <v>0</v>
      </c>
      <c r="AR23" s="10">
        <f ca="1">_xll.DBRW($C$1,$C$2,$C$3,$C$4,$C$6,$C$5,$C$7,AR$1,AR$2,A23)</f>
        <v>0</v>
      </c>
      <c r="AS23" s="10">
        <f ca="1">_xll.DBRW($C$1,$C$2,$C$3,$C$4,$C$6,$C$5,$C$7,AS$1,AS$2,A23)</f>
        <v>0</v>
      </c>
      <c r="AT23" s="10">
        <f ca="1">_xll.DBRW($C$1,$C$2,$C$3,$C$4,$C$6,$C$5,$C$7,AT$1,AT$2,A23)</f>
        <v>0</v>
      </c>
      <c r="AU23" s="10">
        <f ca="1">_xll.DBRW($C$1,$C$2,$C$3,$C$4,$C$6,$C$5,$C$7,AU$1,AU$2,A23)</f>
        <v>0</v>
      </c>
    </row>
    <row r="24" spans="1:47" ht="15.75" customHeight="1" collapsed="1">
      <c r="A24" s="1" t="s">
        <v>127</v>
      </c>
      <c r="C24" s="141"/>
      <c r="E24" s="124" t="s">
        <v>15</v>
      </c>
      <c r="F24" s="125">
        <f t="shared" ref="F24:T24" ca="1" si="3">F23</f>
        <v>53633840.979999997</v>
      </c>
      <c r="G24" s="125">
        <f t="shared" ca="1" si="3"/>
        <v>39395515.339999996</v>
      </c>
      <c r="H24" s="125">
        <f t="shared" ca="1" si="3"/>
        <v>38730554.229999997</v>
      </c>
      <c r="I24" s="125">
        <f t="shared" ca="1" si="3"/>
        <v>3599695.2800000003</v>
      </c>
      <c r="J24" s="125">
        <f t="shared" ca="1" si="3"/>
        <v>7013261.9400000004</v>
      </c>
      <c r="K24" s="125">
        <f t="shared" ca="1" si="3"/>
        <v>11356129.25</v>
      </c>
      <c r="L24" s="125">
        <f t="shared" ca="1" si="3"/>
        <v>14755208.829999998</v>
      </c>
      <c r="M24" s="125">
        <f t="shared" ca="1" si="3"/>
        <v>18089001.159999996</v>
      </c>
      <c r="N24" s="125">
        <f t="shared" ca="1" si="3"/>
        <v>21985469.539999995</v>
      </c>
      <c r="O24" s="125">
        <f t="shared" ca="1" si="3"/>
        <v>21985469.539999995</v>
      </c>
      <c r="P24" s="125">
        <f t="shared" ca="1" si="3"/>
        <v>21985469.539999995</v>
      </c>
      <c r="Q24" s="125">
        <f t="shared" ca="1" si="3"/>
        <v>21985469.539999995</v>
      </c>
      <c r="R24" s="125">
        <f t="shared" ca="1" si="3"/>
        <v>21985469.539999995</v>
      </c>
      <c r="S24" s="125">
        <f t="shared" ca="1" si="3"/>
        <v>21985469.539999995</v>
      </c>
      <c r="T24" s="125">
        <f t="shared" ca="1" si="3"/>
        <v>21985469.539999995</v>
      </c>
      <c r="U24" s="125">
        <f ca="1">U23</f>
        <v>21985469.539999995</v>
      </c>
      <c r="V24" s="125">
        <f t="shared" ref="V24:AG24" ca="1" si="4">V23</f>
        <v>0</v>
      </c>
      <c r="W24" s="125">
        <f t="shared" ca="1" si="4"/>
        <v>0</v>
      </c>
      <c r="X24" s="125">
        <f t="shared" ca="1" si="4"/>
        <v>0</v>
      </c>
      <c r="Y24" s="125">
        <f t="shared" ca="1" si="4"/>
        <v>0</v>
      </c>
      <c r="Z24" s="125">
        <f t="shared" ca="1" si="4"/>
        <v>0</v>
      </c>
      <c r="AA24" s="125">
        <f t="shared" ca="1" si="4"/>
        <v>0</v>
      </c>
      <c r="AB24" s="125">
        <f t="shared" ca="1" si="4"/>
        <v>0</v>
      </c>
      <c r="AC24" s="125">
        <f t="shared" ca="1" si="4"/>
        <v>0</v>
      </c>
      <c r="AD24" s="125">
        <f t="shared" ca="1" si="4"/>
        <v>0</v>
      </c>
      <c r="AE24" s="125">
        <f t="shared" ca="1" si="4"/>
        <v>0</v>
      </c>
      <c r="AF24" s="125">
        <f t="shared" ca="1" si="4"/>
        <v>0</v>
      </c>
      <c r="AG24" s="125">
        <f t="shared" ca="1" si="4"/>
        <v>0</v>
      </c>
      <c r="AH24" s="125">
        <f ca="1">AH23</f>
        <v>0</v>
      </c>
      <c r="AI24" s="125">
        <f t="shared" ref="AI24:AT24" ca="1" si="5">AI23</f>
        <v>0</v>
      </c>
      <c r="AJ24" s="125">
        <f t="shared" ca="1" si="5"/>
        <v>0</v>
      </c>
      <c r="AK24" s="125">
        <f t="shared" ca="1" si="5"/>
        <v>0</v>
      </c>
      <c r="AL24" s="125">
        <f t="shared" ca="1" si="5"/>
        <v>0</v>
      </c>
      <c r="AM24" s="125">
        <f t="shared" ca="1" si="5"/>
        <v>0</v>
      </c>
      <c r="AN24" s="125">
        <f t="shared" ca="1" si="5"/>
        <v>0</v>
      </c>
      <c r="AO24" s="125">
        <f t="shared" ca="1" si="5"/>
        <v>0</v>
      </c>
      <c r="AP24" s="125">
        <f t="shared" ca="1" si="5"/>
        <v>0</v>
      </c>
      <c r="AQ24" s="125">
        <f t="shared" ca="1" si="5"/>
        <v>0</v>
      </c>
      <c r="AR24" s="125">
        <f t="shared" ca="1" si="5"/>
        <v>0</v>
      </c>
      <c r="AS24" s="125">
        <f t="shared" ca="1" si="5"/>
        <v>0</v>
      </c>
      <c r="AT24" s="125">
        <f t="shared" ca="1" si="5"/>
        <v>0</v>
      </c>
      <c r="AU24" s="125">
        <f ca="1">AU23</f>
        <v>0</v>
      </c>
    </row>
    <row r="25" spans="1:47" ht="15.75" hidden="1" customHeight="1" outlineLevel="1">
      <c r="A25" s="1" t="s">
        <v>129</v>
      </c>
      <c r="C25" s="141"/>
      <c r="E25" s="9" t="str">
        <f ca="1">_xll.DBRW(Server&amp;"}ElementAttributes_Indicator",A25,"code_English")</f>
        <v>PL1115S - COS - Subcontracting transportation costs</v>
      </c>
      <c r="F25" s="31">
        <f ca="1">_xll.DBRW($C$1,$C$2,$C$3,$C$4,$C$6,$C$5,$C$7,F$1,F$2,A25)</f>
        <v>-84546896.190000013</v>
      </c>
      <c r="G25" s="31">
        <f ca="1">_xll.DBRW($C$1,$C$2,$C$3,$C$4,$C$6,$C$5,$C$7,G$1,G$2,A25)</f>
        <v>-73684765.310000002</v>
      </c>
      <c r="H25" s="31">
        <f ca="1">_xll.DBRW($C$1,$C$2,$C$3,$C$4,$C$6,$C$5,$C$7,H$1,H$2,A25)</f>
        <v>-63166239.740000002</v>
      </c>
      <c r="I25" s="31">
        <f ca="1">_xll.DBRW($C$1,$C$2,$C$3,$C$4,$C$6,$C$5,$C$7,I$1,I$2,A25)</f>
        <v>-5025469.58</v>
      </c>
      <c r="J25" s="31">
        <f ca="1">_xll.DBRW($C$1,$C$2,$C$3,$C$4,$C$6,$C$5,$C$7,J$1,J$2,A25)</f>
        <v>-9704513.2000000011</v>
      </c>
      <c r="K25" s="31">
        <f ca="1">_xll.DBRW($C$1,$C$2,$C$3,$C$4,$C$6,$C$5,$C$7,K$1,K$2,A25)</f>
        <v>-16221171.580000002</v>
      </c>
      <c r="L25" s="31">
        <f ca="1">_xll.DBRW($C$1,$C$2,$C$3,$C$4,$C$6,$C$5,$C$7,L$1,L$2,A25)</f>
        <v>-21346108.57</v>
      </c>
      <c r="M25" s="31">
        <f ca="1">_xll.DBRW($C$1,$C$2,$C$3,$C$4,$C$6,$C$5,$C$7,M$1,M$2,A25)</f>
        <v>-26616432.25</v>
      </c>
      <c r="N25" s="31">
        <f ca="1">_xll.DBRW($C$1,$C$2,$C$3,$C$4,$C$6,$C$5,$C$7,N$1,N$2,A25)</f>
        <v>-32454094.579999998</v>
      </c>
      <c r="O25" s="31">
        <f ca="1">_xll.DBRW($C$1,$C$2,$C$3,$C$4,$C$6,$C$5,$C$7,O$1,O$2,A25)</f>
        <v>-32454094.579999998</v>
      </c>
      <c r="P25" s="31">
        <f ca="1">_xll.DBRW($C$1,$C$2,$C$3,$C$4,$C$6,$C$5,$C$7,P$1,P$2,A25)</f>
        <v>-32454094.579999998</v>
      </c>
      <c r="Q25" s="31">
        <f ca="1">_xll.DBRW($C$1,$C$2,$C$3,$C$4,$C$6,$C$5,$C$7,Q$1,Q$2,A25)</f>
        <v>-32454094.579999998</v>
      </c>
      <c r="R25" s="31">
        <f ca="1">_xll.DBRW($C$1,$C$2,$C$3,$C$4,$C$6,$C$5,$C$7,R$1,R$2,A25)</f>
        <v>-32454094.579999998</v>
      </c>
      <c r="S25" s="31">
        <f ca="1">_xll.DBRW($C$1,$C$2,$C$3,$C$4,$C$6,$C$5,$C$7,S$1,S$2,A25)</f>
        <v>-32454094.579999998</v>
      </c>
      <c r="T25" s="31">
        <f ca="1">_xll.DBRW($C$1,$C$2,$C$3,$C$4,$C$6,$C$5,$C$7,T$1,T$2,A25)</f>
        <v>-32454094.579999998</v>
      </c>
      <c r="U25" s="31">
        <f ca="1">_xll.DBRW($C$1,$C$2,$C$3,$C$4,$C$6,$C$5,$C$7,U$1,U$2,A25)</f>
        <v>-32454094.579999998</v>
      </c>
      <c r="V25" s="31">
        <f ca="1">_xll.DBRW($C$1,$C$2,$C$3,$C$4,$C$6,$C$5,$C$7,V$1,V$2,A25)</f>
        <v>0</v>
      </c>
      <c r="W25" s="31">
        <f ca="1">_xll.DBRW($C$1,$C$2,$C$3,$C$4,$C$6,$C$5,$C$7,W$1,W$2,A25)</f>
        <v>0</v>
      </c>
      <c r="X25" s="31">
        <f ca="1">_xll.DBRW($C$1,$C$2,$C$3,$C$4,$C$6,$C$5,$C$7,X$1,X$2,A25)</f>
        <v>0</v>
      </c>
      <c r="Y25" s="31">
        <f ca="1">_xll.DBRW($C$1,$C$2,$C$3,$C$4,$C$6,$C$5,$C$7,Y$1,Y$2,A25)</f>
        <v>0</v>
      </c>
      <c r="Z25" s="31">
        <f ca="1">_xll.DBRW($C$1,$C$2,$C$3,$C$4,$C$6,$C$5,$C$7,Z$1,Z$2,A25)</f>
        <v>0</v>
      </c>
      <c r="AA25" s="31">
        <f ca="1">_xll.DBRW($C$1,$C$2,$C$3,$C$4,$C$6,$C$5,$C$7,AA$1,AA$2,A25)</f>
        <v>0</v>
      </c>
      <c r="AB25" s="31">
        <f ca="1">_xll.DBRW($C$1,$C$2,$C$3,$C$4,$C$6,$C$5,$C$7,AB$1,AB$2,A25)</f>
        <v>0</v>
      </c>
      <c r="AC25" s="31">
        <f ca="1">_xll.DBRW($C$1,$C$2,$C$3,$C$4,$C$6,$C$5,$C$7,AC$1,AC$2,A25)</f>
        <v>0</v>
      </c>
      <c r="AD25" s="31">
        <f ca="1">_xll.DBRW($C$1,$C$2,$C$3,$C$4,$C$6,$C$5,$C$7,AD$1,AD$2,A25)</f>
        <v>0</v>
      </c>
      <c r="AE25" s="31">
        <f ca="1">_xll.DBRW($C$1,$C$2,$C$3,$C$4,$C$6,$C$5,$C$7,AE$1,AE$2,A25)</f>
        <v>0</v>
      </c>
      <c r="AF25" s="31">
        <f ca="1">_xll.DBRW($C$1,$C$2,$C$3,$C$4,$C$6,$C$5,$C$7,AF$1,AF$2,A25)</f>
        <v>0</v>
      </c>
      <c r="AG25" s="31">
        <f ca="1">_xll.DBRW($C$1,$C$2,$C$3,$C$4,$C$6,$C$5,$C$7,AG$1,AG$2,A25)</f>
        <v>0</v>
      </c>
      <c r="AH25" s="31">
        <f ca="1">_xll.DBRW($C$1,$C$2,$C$3,$C$4,$C$6,$C$5,$C$7,AH$1,AH$2,A25)</f>
        <v>0</v>
      </c>
      <c r="AI25" s="31">
        <f ca="1">_xll.DBRW($C$1,$C$2,$C$3,$C$4,$C$6,$C$5,$C$7,AI$1,AI$2,A25)</f>
        <v>0</v>
      </c>
      <c r="AJ25" s="31">
        <f ca="1">_xll.DBRW($C$1,$C$2,$C$3,$C$4,$C$6,$C$5,$C$7,AJ$1,AJ$2,A25)</f>
        <v>0</v>
      </c>
      <c r="AK25" s="31">
        <f ca="1">_xll.DBRW($C$1,$C$2,$C$3,$C$4,$C$6,$C$5,$C$7,AK$1,AK$2,A25)</f>
        <v>0</v>
      </c>
      <c r="AL25" s="31">
        <f ca="1">_xll.DBRW($C$1,$C$2,$C$3,$C$4,$C$6,$C$5,$C$7,AL$1,AL$2,A25)</f>
        <v>0</v>
      </c>
      <c r="AM25" s="31">
        <f ca="1">_xll.DBRW($C$1,$C$2,$C$3,$C$4,$C$6,$C$5,$C$7,AM$1,AM$2,A25)</f>
        <v>0</v>
      </c>
      <c r="AN25" s="31">
        <f ca="1">_xll.DBRW($C$1,$C$2,$C$3,$C$4,$C$6,$C$5,$C$7,AN$1,AN$2,A25)</f>
        <v>0</v>
      </c>
      <c r="AO25" s="31">
        <f ca="1">_xll.DBRW($C$1,$C$2,$C$3,$C$4,$C$6,$C$5,$C$7,AO$1,AO$2,A25)</f>
        <v>0</v>
      </c>
      <c r="AP25" s="31">
        <f ca="1">_xll.DBRW($C$1,$C$2,$C$3,$C$4,$C$6,$C$5,$C$7,AP$1,AP$2,A25)</f>
        <v>0</v>
      </c>
      <c r="AQ25" s="31">
        <f ca="1">_xll.DBRW($C$1,$C$2,$C$3,$C$4,$C$6,$C$5,$C$7,AQ$1,AQ$2,A25)</f>
        <v>0</v>
      </c>
      <c r="AR25" s="31">
        <f ca="1">_xll.DBRW($C$1,$C$2,$C$3,$C$4,$C$6,$C$5,$C$7,AR$1,AR$2,A25)</f>
        <v>0</v>
      </c>
      <c r="AS25" s="31">
        <f ca="1">_xll.DBRW($C$1,$C$2,$C$3,$C$4,$C$6,$C$5,$C$7,AS$1,AS$2,A25)</f>
        <v>0</v>
      </c>
      <c r="AT25" s="31">
        <f ca="1">_xll.DBRW($C$1,$C$2,$C$3,$C$4,$C$6,$C$5,$C$7,AT$1,AT$2,A25)</f>
        <v>0</v>
      </c>
      <c r="AU25" s="31">
        <f ca="1">_xll.DBRW($C$1,$C$2,$C$3,$C$4,$C$6,$C$5,$C$7,AU$1,AU$2,A25)</f>
        <v>0</v>
      </c>
    </row>
    <row r="26" spans="1:47" ht="15.75" collapsed="1">
      <c r="A26" s="1" t="s">
        <v>127</v>
      </c>
      <c r="C26" s="141"/>
      <c r="E26" s="124" t="s">
        <v>16</v>
      </c>
      <c r="F26" s="125">
        <f t="shared" ref="F26:T26" ca="1" si="6">F25</f>
        <v>-84546896.190000013</v>
      </c>
      <c r="G26" s="125">
        <f t="shared" ca="1" si="6"/>
        <v>-73684765.310000002</v>
      </c>
      <c r="H26" s="125">
        <f t="shared" ca="1" si="6"/>
        <v>-63166239.740000002</v>
      </c>
      <c r="I26" s="125">
        <f t="shared" ca="1" si="6"/>
        <v>-5025469.58</v>
      </c>
      <c r="J26" s="125">
        <f t="shared" ca="1" si="6"/>
        <v>-9704513.2000000011</v>
      </c>
      <c r="K26" s="125">
        <f t="shared" ca="1" si="6"/>
        <v>-16221171.580000002</v>
      </c>
      <c r="L26" s="125">
        <f t="shared" ca="1" si="6"/>
        <v>-21346108.57</v>
      </c>
      <c r="M26" s="125">
        <f t="shared" ca="1" si="6"/>
        <v>-26616432.25</v>
      </c>
      <c r="N26" s="125">
        <f t="shared" ca="1" si="6"/>
        <v>-32454094.579999998</v>
      </c>
      <c r="O26" s="125">
        <f t="shared" ca="1" si="6"/>
        <v>-32454094.579999998</v>
      </c>
      <c r="P26" s="125">
        <f t="shared" ca="1" si="6"/>
        <v>-32454094.579999998</v>
      </c>
      <c r="Q26" s="125">
        <f t="shared" ca="1" si="6"/>
        <v>-32454094.579999998</v>
      </c>
      <c r="R26" s="125">
        <f t="shared" ca="1" si="6"/>
        <v>-32454094.579999998</v>
      </c>
      <c r="S26" s="125">
        <f t="shared" ca="1" si="6"/>
        <v>-32454094.579999998</v>
      </c>
      <c r="T26" s="125">
        <f t="shared" ca="1" si="6"/>
        <v>-32454094.579999998</v>
      </c>
      <c r="U26" s="125">
        <f ca="1">U25</f>
        <v>-32454094.579999998</v>
      </c>
      <c r="V26" s="125">
        <f t="shared" ref="V26:AG26" ca="1" si="7">V25</f>
        <v>0</v>
      </c>
      <c r="W26" s="125">
        <f t="shared" ca="1" si="7"/>
        <v>0</v>
      </c>
      <c r="X26" s="125">
        <f t="shared" ca="1" si="7"/>
        <v>0</v>
      </c>
      <c r="Y26" s="125">
        <f t="shared" ca="1" si="7"/>
        <v>0</v>
      </c>
      <c r="Z26" s="125">
        <f t="shared" ca="1" si="7"/>
        <v>0</v>
      </c>
      <c r="AA26" s="125">
        <f t="shared" ca="1" si="7"/>
        <v>0</v>
      </c>
      <c r="AB26" s="125">
        <f t="shared" ca="1" si="7"/>
        <v>0</v>
      </c>
      <c r="AC26" s="125">
        <f t="shared" ca="1" si="7"/>
        <v>0</v>
      </c>
      <c r="AD26" s="125">
        <f t="shared" ca="1" si="7"/>
        <v>0</v>
      </c>
      <c r="AE26" s="125">
        <f t="shared" ca="1" si="7"/>
        <v>0</v>
      </c>
      <c r="AF26" s="125">
        <f t="shared" ca="1" si="7"/>
        <v>0</v>
      </c>
      <c r="AG26" s="125">
        <f t="shared" ca="1" si="7"/>
        <v>0</v>
      </c>
      <c r="AH26" s="125">
        <f ca="1">AH25</f>
        <v>0</v>
      </c>
      <c r="AI26" s="125">
        <f t="shared" ref="AI26:AT26" ca="1" si="8">AI25</f>
        <v>0</v>
      </c>
      <c r="AJ26" s="125">
        <f t="shared" ca="1" si="8"/>
        <v>0</v>
      </c>
      <c r="AK26" s="125">
        <f t="shared" ca="1" si="8"/>
        <v>0</v>
      </c>
      <c r="AL26" s="125">
        <f t="shared" ca="1" si="8"/>
        <v>0</v>
      </c>
      <c r="AM26" s="125">
        <f t="shared" ca="1" si="8"/>
        <v>0</v>
      </c>
      <c r="AN26" s="125">
        <f t="shared" ca="1" si="8"/>
        <v>0</v>
      </c>
      <c r="AO26" s="125">
        <f t="shared" ca="1" si="8"/>
        <v>0</v>
      </c>
      <c r="AP26" s="125">
        <f t="shared" ca="1" si="8"/>
        <v>0</v>
      </c>
      <c r="AQ26" s="125">
        <f t="shared" ca="1" si="8"/>
        <v>0</v>
      </c>
      <c r="AR26" s="125">
        <f t="shared" ca="1" si="8"/>
        <v>0</v>
      </c>
      <c r="AS26" s="125">
        <f t="shared" ca="1" si="8"/>
        <v>0</v>
      </c>
      <c r="AT26" s="125">
        <f t="shared" ca="1" si="8"/>
        <v>0</v>
      </c>
      <c r="AU26" s="125">
        <f ca="1">AU25</f>
        <v>0</v>
      </c>
    </row>
    <row r="27" spans="1:47" ht="15.75">
      <c r="A27" s="1" t="s">
        <v>127</v>
      </c>
      <c r="C27" s="141"/>
      <c r="E27" s="122" t="s">
        <v>17</v>
      </c>
      <c r="F27" s="123">
        <f t="shared" ref="F27:T27" ca="1" si="9">F24+F26</f>
        <v>-30913055.210000016</v>
      </c>
      <c r="G27" s="123">
        <f t="shared" ca="1" si="9"/>
        <v>-34289249.970000006</v>
      </c>
      <c r="H27" s="123">
        <f t="shared" ca="1" si="9"/>
        <v>-24435685.510000005</v>
      </c>
      <c r="I27" s="123">
        <f t="shared" ca="1" si="9"/>
        <v>-1425774.2999999998</v>
      </c>
      <c r="J27" s="123">
        <f t="shared" ca="1" si="9"/>
        <v>-2691251.2600000007</v>
      </c>
      <c r="K27" s="123">
        <f t="shared" ca="1" si="9"/>
        <v>-4865042.3300000019</v>
      </c>
      <c r="L27" s="123">
        <f t="shared" ca="1" si="9"/>
        <v>-6590899.7400000021</v>
      </c>
      <c r="M27" s="123">
        <f t="shared" ca="1" si="9"/>
        <v>-8527431.0900000036</v>
      </c>
      <c r="N27" s="123">
        <f t="shared" ca="1" si="9"/>
        <v>-10468625.040000003</v>
      </c>
      <c r="O27" s="123">
        <f t="shared" ca="1" si="9"/>
        <v>-10468625.040000003</v>
      </c>
      <c r="P27" s="123">
        <f t="shared" ca="1" si="9"/>
        <v>-10468625.040000003</v>
      </c>
      <c r="Q27" s="123">
        <f t="shared" ca="1" si="9"/>
        <v>-10468625.040000003</v>
      </c>
      <c r="R27" s="123">
        <f t="shared" ca="1" si="9"/>
        <v>-10468625.040000003</v>
      </c>
      <c r="S27" s="123">
        <f t="shared" ca="1" si="9"/>
        <v>-10468625.040000003</v>
      </c>
      <c r="T27" s="123">
        <f t="shared" ca="1" si="9"/>
        <v>-10468625.040000003</v>
      </c>
      <c r="U27" s="123">
        <f ca="1">U24+U26</f>
        <v>-10468625.040000003</v>
      </c>
      <c r="V27" s="123">
        <f t="shared" ref="V27:AG27" ca="1" si="10">V24+V26</f>
        <v>0</v>
      </c>
      <c r="W27" s="123">
        <f t="shared" ca="1" si="10"/>
        <v>0</v>
      </c>
      <c r="X27" s="123">
        <f t="shared" ca="1" si="10"/>
        <v>0</v>
      </c>
      <c r="Y27" s="123">
        <f t="shared" ca="1" si="10"/>
        <v>0</v>
      </c>
      <c r="Z27" s="123">
        <f t="shared" ca="1" si="10"/>
        <v>0</v>
      </c>
      <c r="AA27" s="123">
        <f t="shared" ca="1" si="10"/>
        <v>0</v>
      </c>
      <c r="AB27" s="123">
        <f t="shared" ca="1" si="10"/>
        <v>0</v>
      </c>
      <c r="AC27" s="123">
        <f t="shared" ca="1" si="10"/>
        <v>0</v>
      </c>
      <c r="AD27" s="123">
        <f t="shared" ca="1" si="10"/>
        <v>0</v>
      </c>
      <c r="AE27" s="123">
        <f t="shared" ca="1" si="10"/>
        <v>0</v>
      </c>
      <c r="AF27" s="123">
        <f t="shared" ca="1" si="10"/>
        <v>0</v>
      </c>
      <c r="AG27" s="123">
        <f t="shared" ca="1" si="10"/>
        <v>0</v>
      </c>
      <c r="AH27" s="123">
        <f ca="1">AH24+AH26</f>
        <v>0</v>
      </c>
      <c r="AI27" s="123">
        <f t="shared" ref="AI27:AT27" ca="1" si="11">AI24+AI26</f>
        <v>0</v>
      </c>
      <c r="AJ27" s="123">
        <f t="shared" ca="1" si="11"/>
        <v>0</v>
      </c>
      <c r="AK27" s="123">
        <f t="shared" ca="1" si="11"/>
        <v>0</v>
      </c>
      <c r="AL27" s="123">
        <f t="shared" ca="1" si="11"/>
        <v>0</v>
      </c>
      <c r="AM27" s="123">
        <f t="shared" ca="1" si="11"/>
        <v>0</v>
      </c>
      <c r="AN27" s="123">
        <f t="shared" ca="1" si="11"/>
        <v>0</v>
      </c>
      <c r="AO27" s="123">
        <f t="shared" ca="1" si="11"/>
        <v>0</v>
      </c>
      <c r="AP27" s="123">
        <f t="shared" ca="1" si="11"/>
        <v>0</v>
      </c>
      <c r="AQ27" s="123">
        <f t="shared" ca="1" si="11"/>
        <v>0</v>
      </c>
      <c r="AR27" s="123">
        <f t="shared" ca="1" si="11"/>
        <v>0</v>
      </c>
      <c r="AS27" s="123">
        <f t="shared" ca="1" si="11"/>
        <v>0</v>
      </c>
      <c r="AT27" s="123">
        <f t="shared" ca="1" si="11"/>
        <v>0</v>
      </c>
      <c r="AU27" s="123">
        <f ca="1">AU24+AU26</f>
        <v>0</v>
      </c>
    </row>
    <row r="28" spans="1:47" ht="9" customHeight="1">
      <c r="A28" s="1" t="s">
        <v>127</v>
      </c>
      <c r="C28" s="141"/>
      <c r="E28" s="7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24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2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</row>
    <row r="29" spans="1:47" ht="15.75" hidden="1" customHeight="1" outlineLevel="1">
      <c r="A29" s="1" t="s">
        <v>126</v>
      </c>
      <c r="C29" s="141"/>
      <c r="E29" s="9" t="str">
        <f ca="1">_xll.DBRW(Server&amp;"}ElementAttributes_Indicator",A30,"code_English")</f>
        <v>TPL10_dest_nosub - REVENUE FROM ORDINARY ACTIVITIES (ROA) net of subcontracted transport and reinvoicing</v>
      </c>
      <c r="F29" s="10">
        <f ca="1">_xll.DBRW($C$1,$C$2,$C$3,$C$4,$C$6,$C$5,$C$7,F$1,F$2,A29)</f>
        <v>717839393.6099999</v>
      </c>
      <c r="G29" s="10">
        <f ca="1">_xll.DBRW($C$1,$C$2,$C$3,$C$4,$C$6,$C$5,$C$7,G$1,G$2,A29)</f>
        <v>631536258.30000007</v>
      </c>
      <c r="H29" s="10">
        <f ca="1">_xll.DBRW($C$1,$C$2,$C$3,$C$4,$C$6,$C$5,$C$7,H$1,H$2,A29)</f>
        <v>641292800.67000008</v>
      </c>
      <c r="I29" s="10">
        <f ca="1">_xll.DBRW($C$1,$C$2,$C$3,$C$4,$C$6,$C$5,$C$7,I$1,I$2,A29)</f>
        <v>55946681.329999998</v>
      </c>
      <c r="J29" s="10">
        <f ca="1">_xll.DBRW($C$1,$C$2,$C$3,$C$4,$C$6,$C$5,$C$7,J$1,J$2,A29)</f>
        <v>111351834.70999999</v>
      </c>
      <c r="K29" s="10">
        <f ca="1">_xll.DBRW($C$1,$C$2,$C$3,$C$4,$C$6,$C$5,$C$7,K$1,K$2,A29)</f>
        <v>173468598.06999999</v>
      </c>
      <c r="L29" s="10">
        <f ca="1">_xll.DBRW($C$1,$C$2,$C$3,$C$4,$C$6,$C$5,$C$7,L$1,L$2,A29)</f>
        <v>229681423.86000004</v>
      </c>
      <c r="M29" s="10">
        <f ca="1">_xll.DBRW($C$1,$C$2,$C$3,$C$4,$C$6,$C$5,$C$7,M$1,M$2,A29)</f>
        <v>288499654.70000005</v>
      </c>
      <c r="N29" s="10">
        <f ca="1">_xll.DBRW($C$1,$C$2,$C$3,$C$4,$C$6,$C$5,$C$7,N$1,N$2,A29)</f>
        <v>348366221.60000008</v>
      </c>
      <c r="O29" s="10">
        <f ca="1">_xll.DBRW($C$1,$C$2,$C$3,$C$4,$C$6,$C$5,$C$7,O$1,O$2,A29)</f>
        <v>348366221.60000008</v>
      </c>
      <c r="P29" s="10">
        <f ca="1">_xll.DBRW($C$1,$C$2,$C$3,$C$4,$C$6,$C$5,$C$7,P$1,P$2,A29)</f>
        <v>348366221.60000008</v>
      </c>
      <c r="Q29" s="10">
        <f ca="1">_xll.DBRW($C$1,$C$2,$C$3,$C$4,$C$6,$C$5,$C$7,Q$1,Q$2,A29)</f>
        <v>348366221.60000008</v>
      </c>
      <c r="R29" s="10">
        <f ca="1">_xll.DBRW($C$1,$C$2,$C$3,$C$4,$C$6,$C$5,$C$7,R$1,R$2,A29)</f>
        <v>348366221.60000008</v>
      </c>
      <c r="S29" s="10">
        <f ca="1">_xll.DBRW($C$1,$C$2,$C$3,$C$4,$C$6,$C$5,$C$7,S$1,S$2,A29)</f>
        <v>348366221.60000008</v>
      </c>
      <c r="T29" s="10">
        <f ca="1">_xll.DBRW($C$1,$C$2,$C$3,$C$4,$C$6,$C$5,$C$7,T$1,T$2,A29)</f>
        <v>348366221.60000008</v>
      </c>
      <c r="U29" s="10">
        <f ca="1">_xll.DBRW($C$1,$C$2,$C$3,$C$4,$C$6,$C$5,$C$7,U$1,U$2,A29)</f>
        <v>348366221.60000008</v>
      </c>
      <c r="V29" s="10">
        <f ca="1">_xll.DBRW($C$1,$C$2,$C$3,$C$4,$C$6,$C$5,$C$7,V$1,V$2,A29)</f>
        <v>0</v>
      </c>
      <c r="W29" s="10">
        <f ca="1">_xll.DBRW($C$1,$C$2,$C$3,$C$4,$C$6,$C$5,$C$7,W$1,W$2,A29)</f>
        <v>0</v>
      </c>
      <c r="X29" s="10">
        <f ca="1">_xll.DBRW($C$1,$C$2,$C$3,$C$4,$C$6,$C$5,$C$7,X$1,X$2,A29)</f>
        <v>0</v>
      </c>
      <c r="Y29" s="10">
        <f ca="1">_xll.DBRW($C$1,$C$2,$C$3,$C$4,$C$6,$C$5,$C$7,Y$1,Y$2,A29)</f>
        <v>0</v>
      </c>
      <c r="Z29" s="10">
        <f ca="1">_xll.DBRW($C$1,$C$2,$C$3,$C$4,$C$6,$C$5,$C$7,Z$1,Z$2,A29)</f>
        <v>0</v>
      </c>
      <c r="AA29" s="10">
        <f ca="1">_xll.DBRW($C$1,$C$2,$C$3,$C$4,$C$6,$C$5,$C$7,AA$1,AA$2,A29)</f>
        <v>0</v>
      </c>
      <c r="AB29" s="10">
        <f ca="1">_xll.DBRW($C$1,$C$2,$C$3,$C$4,$C$6,$C$5,$C$7,AB$1,AB$2,A29)</f>
        <v>0</v>
      </c>
      <c r="AC29" s="10">
        <f ca="1">_xll.DBRW($C$1,$C$2,$C$3,$C$4,$C$6,$C$5,$C$7,AC$1,AC$2,A29)</f>
        <v>0</v>
      </c>
      <c r="AD29" s="10">
        <f ca="1">_xll.DBRW($C$1,$C$2,$C$3,$C$4,$C$6,$C$5,$C$7,AD$1,AD$2,A29)</f>
        <v>0</v>
      </c>
      <c r="AE29" s="10">
        <f ca="1">_xll.DBRW($C$1,$C$2,$C$3,$C$4,$C$6,$C$5,$C$7,AE$1,AE$2,A29)</f>
        <v>0</v>
      </c>
      <c r="AF29" s="10">
        <f ca="1">_xll.DBRW($C$1,$C$2,$C$3,$C$4,$C$6,$C$5,$C$7,AF$1,AF$2,A29)</f>
        <v>0</v>
      </c>
      <c r="AG29" s="10">
        <f ca="1">_xll.DBRW($C$1,$C$2,$C$3,$C$4,$C$6,$C$5,$C$7,AG$1,AG$2,A29)</f>
        <v>0</v>
      </c>
      <c r="AH29" s="23">
        <f ca="1">_xll.DBRW($C$1,$C$2,$C$3,$C$4,$C$6,$C$5,$C$7,AH$1,AH$2,A29)</f>
        <v>0</v>
      </c>
      <c r="AI29" s="10">
        <f ca="1">_xll.DBRW($C$1,$C$2,$C$3,$C$4,$C$6,$C$5,$C$7,AI$1,AI$2,A29)</f>
        <v>0</v>
      </c>
      <c r="AJ29" s="10">
        <f ca="1">_xll.DBRW($C$1,$C$2,$C$3,$C$4,$C$6,$C$5,$C$7,AJ$1,AJ$2,A29)</f>
        <v>0</v>
      </c>
      <c r="AK29" s="10">
        <f ca="1">_xll.DBRW($C$1,$C$2,$C$3,$C$4,$C$6,$C$5,$C$7,AK$1,AK$2,A29)</f>
        <v>0</v>
      </c>
      <c r="AL29" s="10">
        <f ca="1">_xll.DBRW($C$1,$C$2,$C$3,$C$4,$C$6,$C$5,$C$7,AL$1,AL$2,A29)</f>
        <v>0</v>
      </c>
      <c r="AM29" s="10">
        <f ca="1">_xll.DBRW($C$1,$C$2,$C$3,$C$4,$C$6,$C$5,$C$7,AM$1,AM$2,A29)</f>
        <v>0</v>
      </c>
      <c r="AN29" s="10">
        <f ca="1">_xll.DBRW($C$1,$C$2,$C$3,$C$4,$C$6,$C$5,$C$7,AN$1,AN$2,A29)</f>
        <v>0</v>
      </c>
      <c r="AO29" s="10">
        <f ca="1">_xll.DBRW($C$1,$C$2,$C$3,$C$4,$C$6,$C$5,$C$7,AO$1,AO$2,A29)</f>
        <v>0</v>
      </c>
      <c r="AP29" s="10">
        <f ca="1">_xll.DBRW($C$1,$C$2,$C$3,$C$4,$C$6,$C$5,$C$7,AP$1,AP$2,A29)</f>
        <v>0</v>
      </c>
      <c r="AQ29" s="10">
        <f ca="1">_xll.DBRW($C$1,$C$2,$C$3,$C$4,$C$6,$C$5,$C$7,AQ$1,AQ$2,A29)</f>
        <v>0</v>
      </c>
      <c r="AR29" s="10">
        <f ca="1">_xll.DBRW($C$1,$C$2,$C$3,$C$4,$C$6,$C$5,$C$7,AR$1,AR$2,A29)</f>
        <v>0</v>
      </c>
      <c r="AS29" s="10">
        <f ca="1">_xll.DBRW($C$1,$C$2,$C$3,$C$4,$C$6,$C$5,$C$7,AS$1,AS$2,A29)</f>
        <v>0</v>
      </c>
      <c r="AT29" s="10">
        <f ca="1">_xll.DBRW($C$1,$C$2,$C$3,$C$4,$C$6,$C$5,$C$7,AT$1,AT$2,A29)</f>
        <v>0</v>
      </c>
      <c r="AU29" s="10">
        <f ca="1">_xll.DBRW($C$1,$C$2,$C$3,$C$4,$C$6,$C$5,$C$7,AU$1,AU$2,A29)</f>
        <v>0</v>
      </c>
    </row>
    <row r="30" spans="1:47" ht="15.75" collapsed="1">
      <c r="A30" s="72" t="s">
        <v>125</v>
      </c>
      <c r="B30" s="76"/>
      <c r="C30" s="141"/>
      <c r="E30" s="124" t="s">
        <v>18</v>
      </c>
      <c r="F30" s="125">
        <f t="shared" ref="F30:T30" ca="1" si="12">F29-F24</f>
        <v>664205552.62999988</v>
      </c>
      <c r="G30" s="125">
        <f t="shared" ca="1" si="12"/>
        <v>592140742.96000004</v>
      </c>
      <c r="H30" s="125">
        <f t="shared" ca="1" si="12"/>
        <v>602562246.44000006</v>
      </c>
      <c r="I30" s="125">
        <f t="shared" ca="1" si="12"/>
        <v>52346986.049999997</v>
      </c>
      <c r="J30" s="125">
        <f t="shared" ca="1" si="12"/>
        <v>104338572.77</v>
      </c>
      <c r="K30" s="125">
        <f t="shared" ca="1" si="12"/>
        <v>162112468.81999999</v>
      </c>
      <c r="L30" s="125">
        <f t="shared" ca="1" si="12"/>
        <v>214926215.03000003</v>
      </c>
      <c r="M30" s="125">
        <f t="shared" ca="1" si="12"/>
        <v>270410653.54000008</v>
      </c>
      <c r="N30" s="125">
        <f t="shared" ca="1" si="12"/>
        <v>326380752.06000006</v>
      </c>
      <c r="O30" s="125">
        <f t="shared" ca="1" si="12"/>
        <v>326380752.06000006</v>
      </c>
      <c r="P30" s="125">
        <f t="shared" ca="1" si="12"/>
        <v>326380752.06000006</v>
      </c>
      <c r="Q30" s="125">
        <f t="shared" ca="1" si="12"/>
        <v>326380752.06000006</v>
      </c>
      <c r="R30" s="125">
        <f t="shared" ca="1" si="12"/>
        <v>326380752.06000006</v>
      </c>
      <c r="S30" s="125">
        <f t="shared" ca="1" si="12"/>
        <v>326380752.06000006</v>
      </c>
      <c r="T30" s="125">
        <f t="shared" ca="1" si="12"/>
        <v>326380752.06000006</v>
      </c>
      <c r="U30" s="125">
        <f ca="1">U29-U24</f>
        <v>326380752.06000006</v>
      </c>
      <c r="V30" s="125">
        <f t="shared" ref="V30:AG30" ca="1" si="13">V29-V24</f>
        <v>0</v>
      </c>
      <c r="W30" s="125">
        <f t="shared" ca="1" si="13"/>
        <v>0</v>
      </c>
      <c r="X30" s="125">
        <f t="shared" ca="1" si="13"/>
        <v>0</v>
      </c>
      <c r="Y30" s="125">
        <f t="shared" ca="1" si="13"/>
        <v>0</v>
      </c>
      <c r="Z30" s="125">
        <f t="shared" ca="1" si="13"/>
        <v>0</v>
      </c>
      <c r="AA30" s="125">
        <f t="shared" ca="1" si="13"/>
        <v>0</v>
      </c>
      <c r="AB30" s="125">
        <f t="shared" ca="1" si="13"/>
        <v>0</v>
      </c>
      <c r="AC30" s="125">
        <f t="shared" ca="1" si="13"/>
        <v>0</v>
      </c>
      <c r="AD30" s="125">
        <f t="shared" ca="1" si="13"/>
        <v>0</v>
      </c>
      <c r="AE30" s="125">
        <f t="shared" ca="1" si="13"/>
        <v>0</v>
      </c>
      <c r="AF30" s="125">
        <f t="shared" ca="1" si="13"/>
        <v>0</v>
      </c>
      <c r="AG30" s="125">
        <f t="shared" ca="1" si="13"/>
        <v>0</v>
      </c>
      <c r="AH30" s="125">
        <f ca="1">AH29-AH24</f>
        <v>0</v>
      </c>
      <c r="AI30" s="125">
        <f t="shared" ref="AI30:AT30" ca="1" si="14">AI29-AI24</f>
        <v>0</v>
      </c>
      <c r="AJ30" s="125">
        <f t="shared" ca="1" si="14"/>
        <v>0</v>
      </c>
      <c r="AK30" s="125">
        <f t="shared" ca="1" si="14"/>
        <v>0</v>
      </c>
      <c r="AL30" s="125">
        <f t="shared" ca="1" si="14"/>
        <v>0</v>
      </c>
      <c r="AM30" s="125">
        <f t="shared" ca="1" si="14"/>
        <v>0</v>
      </c>
      <c r="AN30" s="125">
        <f t="shared" ca="1" si="14"/>
        <v>0</v>
      </c>
      <c r="AO30" s="125">
        <f t="shared" ca="1" si="14"/>
        <v>0</v>
      </c>
      <c r="AP30" s="125">
        <f t="shared" ca="1" si="14"/>
        <v>0</v>
      </c>
      <c r="AQ30" s="125">
        <f t="shared" ca="1" si="14"/>
        <v>0</v>
      </c>
      <c r="AR30" s="125">
        <f t="shared" ca="1" si="14"/>
        <v>0</v>
      </c>
      <c r="AS30" s="125">
        <f t="shared" ca="1" si="14"/>
        <v>0</v>
      </c>
      <c r="AT30" s="125">
        <f t="shared" ca="1" si="14"/>
        <v>0</v>
      </c>
      <c r="AU30" s="125">
        <f ca="1">AU29-AU24</f>
        <v>0</v>
      </c>
    </row>
    <row r="31" spans="1:47" ht="15.75" hidden="1" customHeight="1" outlineLevel="1">
      <c r="A31" s="1" t="s">
        <v>130</v>
      </c>
      <c r="C31" s="141"/>
      <c r="E31" s="9" t="str">
        <f ca="1">_xll.DBRW(Server&amp;"}ElementAttributes_Indicator",A31,"code_English")</f>
        <v>PL1110_DO_10 - Staff costs (DO)</v>
      </c>
      <c r="F31" s="31">
        <f ca="1">_xll.DBRW($C$1,$C$2,$C$3,$C$4,$C$6,$C$5,$C$7,F$1,F$2,A31)</f>
        <v>-292572841.98000002</v>
      </c>
      <c r="G31" s="31">
        <f ca="1">_xll.DBRW($C$1,$C$2,$C$3,$C$4,$C$6,$C$5,$C$7,G$1,G$2,A31)</f>
        <v>-260344890.39000002</v>
      </c>
      <c r="H31" s="31">
        <f ca="1">_xll.DBRW($C$1,$C$2,$C$3,$C$4,$C$6,$C$5,$C$7,H$1,H$2,A31)</f>
        <v>-246131291.13999996</v>
      </c>
      <c r="I31" s="31">
        <f ca="1">_xll.DBRW($C$1,$C$2,$C$3,$C$4,$C$6,$C$5,$C$7,I$1,I$2,A31)</f>
        <v>-22697254.010000005</v>
      </c>
      <c r="J31" s="31">
        <f ca="1">_xll.DBRW($C$1,$C$2,$C$3,$C$4,$C$6,$C$5,$C$7,J$1,J$2,A31)</f>
        <v>-45480745.930000007</v>
      </c>
      <c r="K31" s="31">
        <f ca="1">_xll.DBRW($C$1,$C$2,$C$3,$C$4,$C$6,$C$5,$C$7,K$1,K$2,A31)</f>
        <v>-69889723.310000002</v>
      </c>
      <c r="L31" s="31">
        <f ca="1">_xll.DBRW($C$1,$C$2,$C$3,$C$4,$C$6,$C$5,$C$7,L$1,L$2,A31)</f>
        <v>-92104017.609999999</v>
      </c>
      <c r="M31" s="31">
        <f ca="1">_xll.DBRW($C$1,$C$2,$C$3,$C$4,$C$6,$C$5,$C$7,M$1,M$2,A31)</f>
        <v>-115288030.28999999</v>
      </c>
      <c r="N31" s="31">
        <f ca="1">_xll.DBRW($C$1,$C$2,$C$3,$C$4,$C$6,$C$5,$C$7,N$1,N$2,A31)</f>
        <v>-138465156.15000001</v>
      </c>
      <c r="O31" s="31">
        <f ca="1">_xll.DBRW($C$1,$C$2,$C$3,$C$4,$C$6,$C$5,$C$7,O$1,O$2,A31)</f>
        <v>-138465156.15000001</v>
      </c>
      <c r="P31" s="31">
        <f ca="1">_xll.DBRW($C$1,$C$2,$C$3,$C$4,$C$6,$C$5,$C$7,P$1,P$2,A31)</f>
        <v>-138465156.15000001</v>
      </c>
      <c r="Q31" s="31">
        <f ca="1">_xll.DBRW($C$1,$C$2,$C$3,$C$4,$C$6,$C$5,$C$7,Q$1,Q$2,A31)</f>
        <v>-138465156.15000001</v>
      </c>
      <c r="R31" s="31">
        <f ca="1">_xll.DBRW($C$1,$C$2,$C$3,$C$4,$C$6,$C$5,$C$7,R$1,R$2,A31)</f>
        <v>-138465156.15000001</v>
      </c>
      <c r="S31" s="31">
        <f ca="1">_xll.DBRW($C$1,$C$2,$C$3,$C$4,$C$6,$C$5,$C$7,S$1,S$2,A31)</f>
        <v>-138465156.15000001</v>
      </c>
      <c r="T31" s="31">
        <f ca="1">_xll.DBRW($C$1,$C$2,$C$3,$C$4,$C$6,$C$5,$C$7,T$1,T$2,A31)</f>
        <v>-138465156.15000001</v>
      </c>
      <c r="U31" s="31">
        <f ca="1">_xll.DBRW($C$1,$C$2,$C$3,$C$4,$C$6,$C$5,$C$7,U$1,U$2,A31)</f>
        <v>-138465156.15000001</v>
      </c>
      <c r="V31" s="31">
        <f ca="1">_xll.DBRW($C$1,$C$2,$C$3,$C$4,$C$6,$C$5,$C$7,V$1,V$2,A31)</f>
        <v>0</v>
      </c>
      <c r="W31" s="31">
        <f ca="1">_xll.DBRW($C$1,$C$2,$C$3,$C$4,$C$6,$C$5,$C$7,W$1,W$2,A31)</f>
        <v>0</v>
      </c>
      <c r="X31" s="31">
        <f ca="1">_xll.DBRW($C$1,$C$2,$C$3,$C$4,$C$6,$C$5,$C$7,X$1,X$2,A31)</f>
        <v>0</v>
      </c>
      <c r="Y31" s="31">
        <f ca="1">_xll.DBRW($C$1,$C$2,$C$3,$C$4,$C$6,$C$5,$C$7,Y$1,Y$2,A31)</f>
        <v>0</v>
      </c>
      <c r="Z31" s="31">
        <f ca="1">_xll.DBRW($C$1,$C$2,$C$3,$C$4,$C$6,$C$5,$C$7,Z$1,Z$2,A31)</f>
        <v>0</v>
      </c>
      <c r="AA31" s="31">
        <f ca="1">_xll.DBRW($C$1,$C$2,$C$3,$C$4,$C$6,$C$5,$C$7,AA$1,AA$2,A31)</f>
        <v>0</v>
      </c>
      <c r="AB31" s="31">
        <f ca="1">_xll.DBRW($C$1,$C$2,$C$3,$C$4,$C$6,$C$5,$C$7,AB$1,AB$2,A31)</f>
        <v>0</v>
      </c>
      <c r="AC31" s="31">
        <f ca="1">_xll.DBRW($C$1,$C$2,$C$3,$C$4,$C$6,$C$5,$C$7,AC$1,AC$2,A31)</f>
        <v>0</v>
      </c>
      <c r="AD31" s="31">
        <f ca="1">_xll.DBRW($C$1,$C$2,$C$3,$C$4,$C$6,$C$5,$C$7,AD$1,AD$2,A31)</f>
        <v>0</v>
      </c>
      <c r="AE31" s="31">
        <f ca="1">_xll.DBRW($C$1,$C$2,$C$3,$C$4,$C$6,$C$5,$C$7,AE$1,AE$2,A31)</f>
        <v>0</v>
      </c>
      <c r="AF31" s="31">
        <f ca="1">_xll.DBRW($C$1,$C$2,$C$3,$C$4,$C$6,$C$5,$C$7,AF$1,AF$2,A31)</f>
        <v>0</v>
      </c>
      <c r="AG31" s="31">
        <f ca="1">_xll.DBRW($C$1,$C$2,$C$3,$C$4,$C$6,$C$5,$C$7,AG$1,AG$2,A31)</f>
        <v>0</v>
      </c>
      <c r="AH31" s="31">
        <f ca="1">_xll.DBRW($C$1,$C$2,$C$3,$C$4,$C$6,$C$5,$C$7,AH$1,AH$2,A31)</f>
        <v>0</v>
      </c>
      <c r="AI31" s="31">
        <f ca="1">_xll.DBRW($C$1,$C$2,$C$3,$C$4,$C$6,$C$5,$C$7,AI$1,AI$2,A31)</f>
        <v>0</v>
      </c>
      <c r="AJ31" s="31">
        <f ca="1">_xll.DBRW($C$1,$C$2,$C$3,$C$4,$C$6,$C$5,$C$7,AJ$1,AJ$2,A31)</f>
        <v>0</v>
      </c>
      <c r="AK31" s="31">
        <f ca="1">_xll.DBRW($C$1,$C$2,$C$3,$C$4,$C$6,$C$5,$C$7,AK$1,AK$2,A31)</f>
        <v>0</v>
      </c>
      <c r="AL31" s="31">
        <f ca="1">_xll.DBRW($C$1,$C$2,$C$3,$C$4,$C$6,$C$5,$C$7,AL$1,AL$2,A31)</f>
        <v>0</v>
      </c>
      <c r="AM31" s="31">
        <f ca="1">_xll.DBRW($C$1,$C$2,$C$3,$C$4,$C$6,$C$5,$C$7,AM$1,AM$2,A31)</f>
        <v>0</v>
      </c>
      <c r="AN31" s="31">
        <f ca="1">_xll.DBRW($C$1,$C$2,$C$3,$C$4,$C$6,$C$5,$C$7,AN$1,AN$2,A31)</f>
        <v>0</v>
      </c>
      <c r="AO31" s="31">
        <f ca="1">_xll.DBRW($C$1,$C$2,$C$3,$C$4,$C$6,$C$5,$C$7,AO$1,AO$2,A31)</f>
        <v>0</v>
      </c>
      <c r="AP31" s="31">
        <f ca="1">_xll.DBRW($C$1,$C$2,$C$3,$C$4,$C$6,$C$5,$C$7,AP$1,AP$2,A31)</f>
        <v>0</v>
      </c>
      <c r="AQ31" s="31">
        <f ca="1">_xll.DBRW($C$1,$C$2,$C$3,$C$4,$C$6,$C$5,$C$7,AQ$1,AQ$2,A31)</f>
        <v>0</v>
      </c>
      <c r="AR31" s="31">
        <f ca="1">_xll.DBRW($C$1,$C$2,$C$3,$C$4,$C$6,$C$5,$C$7,AR$1,AR$2,A31)</f>
        <v>0</v>
      </c>
      <c r="AS31" s="31">
        <f ca="1">_xll.DBRW($C$1,$C$2,$C$3,$C$4,$C$6,$C$5,$C$7,AS$1,AS$2,A31)</f>
        <v>0</v>
      </c>
      <c r="AT31" s="31">
        <f ca="1">_xll.DBRW($C$1,$C$2,$C$3,$C$4,$C$6,$C$5,$C$7,AT$1,AT$2,A31)</f>
        <v>0</v>
      </c>
      <c r="AU31" s="31">
        <f ca="1">_xll.DBRW($C$1,$C$2,$C$3,$C$4,$C$6,$C$5,$C$7,AU$1,AU$2,A31)</f>
        <v>0</v>
      </c>
    </row>
    <row r="32" spans="1:47" ht="15.75" hidden="1" customHeight="1" outlineLevel="1">
      <c r="A32" s="1" t="s">
        <v>131</v>
      </c>
      <c r="C32" s="141"/>
      <c r="E32" s="9" t="str">
        <f ca="1">_xll.DBRW(Server&amp;"}ElementAttributes_Indicator",A32,"code_English")</f>
        <v>PL1115_DO_20 - Interim staff (DO)</v>
      </c>
      <c r="F32" s="31">
        <f ca="1">_xll.DBRW($C$1,$C$2,$C$3,$C$4,$C$6,$C$5,$C$7,F$1,F$2,A32)</f>
        <v>0</v>
      </c>
      <c r="G32" s="31">
        <f ca="1">_xll.DBRW($C$1,$C$2,$C$3,$C$4,$C$6,$C$5,$C$7,G$1,G$2,A32)</f>
        <v>0</v>
      </c>
      <c r="H32" s="31">
        <f ca="1">_xll.DBRW($C$1,$C$2,$C$3,$C$4,$C$6,$C$5,$C$7,H$1,H$2,A32)</f>
        <v>0</v>
      </c>
      <c r="I32" s="31">
        <f ca="1">_xll.DBRW($C$1,$C$2,$C$3,$C$4,$C$6,$C$5,$C$7,I$1,I$2,A32)</f>
        <v>0</v>
      </c>
      <c r="J32" s="31">
        <f ca="1">_xll.DBRW($C$1,$C$2,$C$3,$C$4,$C$6,$C$5,$C$7,J$1,J$2,A32)</f>
        <v>0</v>
      </c>
      <c r="K32" s="31">
        <f ca="1">_xll.DBRW($C$1,$C$2,$C$3,$C$4,$C$6,$C$5,$C$7,K$1,K$2,A32)</f>
        <v>0</v>
      </c>
      <c r="L32" s="31">
        <f ca="1">_xll.DBRW($C$1,$C$2,$C$3,$C$4,$C$6,$C$5,$C$7,L$1,L$2,A32)</f>
        <v>0</v>
      </c>
      <c r="M32" s="31">
        <f ca="1">_xll.DBRW($C$1,$C$2,$C$3,$C$4,$C$6,$C$5,$C$7,M$1,M$2,A32)</f>
        <v>0</v>
      </c>
      <c r="N32" s="31">
        <f ca="1">_xll.DBRW($C$1,$C$2,$C$3,$C$4,$C$6,$C$5,$C$7,N$1,N$2,A32)</f>
        <v>0</v>
      </c>
      <c r="O32" s="31">
        <f ca="1">_xll.DBRW($C$1,$C$2,$C$3,$C$4,$C$6,$C$5,$C$7,O$1,O$2,A32)</f>
        <v>0</v>
      </c>
      <c r="P32" s="31">
        <f ca="1">_xll.DBRW($C$1,$C$2,$C$3,$C$4,$C$6,$C$5,$C$7,P$1,P$2,A32)</f>
        <v>0</v>
      </c>
      <c r="Q32" s="31">
        <f ca="1">_xll.DBRW($C$1,$C$2,$C$3,$C$4,$C$6,$C$5,$C$7,Q$1,Q$2,A32)</f>
        <v>0</v>
      </c>
      <c r="R32" s="31">
        <f ca="1">_xll.DBRW($C$1,$C$2,$C$3,$C$4,$C$6,$C$5,$C$7,R$1,R$2,A32)</f>
        <v>0</v>
      </c>
      <c r="S32" s="31">
        <f ca="1">_xll.DBRW($C$1,$C$2,$C$3,$C$4,$C$6,$C$5,$C$7,S$1,S$2,A32)</f>
        <v>0</v>
      </c>
      <c r="T32" s="31">
        <f ca="1">_xll.DBRW($C$1,$C$2,$C$3,$C$4,$C$6,$C$5,$C$7,T$1,T$2,A32)</f>
        <v>0</v>
      </c>
      <c r="U32" s="31">
        <f ca="1">_xll.DBRW($C$1,$C$2,$C$3,$C$4,$C$6,$C$5,$C$7,U$1,U$2,A32)</f>
        <v>0</v>
      </c>
      <c r="V32" s="31">
        <f ca="1">_xll.DBRW($C$1,$C$2,$C$3,$C$4,$C$6,$C$5,$C$7,V$1,V$2,A32)</f>
        <v>0</v>
      </c>
      <c r="W32" s="31">
        <f ca="1">_xll.DBRW($C$1,$C$2,$C$3,$C$4,$C$6,$C$5,$C$7,W$1,W$2,A32)</f>
        <v>0</v>
      </c>
      <c r="X32" s="31">
        <f ca="1">_xll.DBRW($C$1,$C$2,$C$3,$C$4,$C$6,$C$5,$C$7,X$1,X$2,A32)</f>
        <v>0</v>
      </c>
      <c r="Y32" s="31">
        <f ca="1">_xll.DBRW($C$1,$C$2,$C$3,$C$4,$C$6,$C$5,$C$7,Y$1,Y$2,A32)</f>
        <v>0</v>
      </c>
      <c r="Z32" s="31">
        <f ca="1">_xll.DBRW($C$1,$C$2,$C$3,$C$4,$C$6,$C$5,$C$7,Z$1,Z$2,A32)</f>
        <v>0</v>
      </c>
      <c r="AA32" s="31">
        <f ca="1">_xll.DBRW($C$1,$C$2,$C$3,$C$4,$C$6,$C$5,$C$7,AA$1,AA$2,A32)</f>
        <v>0</v>
      </c>
      <c r="AB32" s="31">
        <f ca="1">_xll.DBRW($C$1,$C$2,$C$3,$C$4,$C$6,$C$5,$C$7,AB$1,AB$2,A32)</f>
        <v>0</v>
      </c>
      <c r="AC32" s="31">
        <f ca="1">_xll.DBRW($C$1,$C$2,$C$3,$C$4,$C$6,$C$5,$C$7,AC$1,AC$2,A32)</f>
        <v>0</v>
      </c>
      <c r="AD32" s="31">
        <f ca="1">_xll.DBRW($C$1,$C$2,$C$3,$C$4,$C$6,$C$5,$C$7,AD$1,AD$2,A32)</f>
        <v>0</v>
      </c>
      <c r="AE32" s="31">
        <f ca="1">_xll.DBRW($C$1,$C$2,$C$3,$C$4,$C$6,$C$5,$C$7,AE$1,AE$2,A32)</f>
        <v>0</v>
      </c>
      <c r="AF32" s="31">
        <f ca="1">_xll.DBRW($C$1,$C$2,$C$3,$C$4,$C$6,$C$5,$C$7,AF$1,AF$2,A32)</f>
        <v>0</v>
      </c>
      <c r="AG32" s="31">
        <f ca="1">_xll.DBRW($C$1,$C$2,$C$3,$C$4,$C$6,$C$5,$C$7,AG$1,AG$2,A32)</f>
        <v>0</v>
      </c>
      <c r="AH32" s="31">
        <f ca="1">_xll.DBRW($C$1,$C$2,$C$3,$C$4,$C$6,$C$5,$C$7,AH$1,AH$2,A32)</f>
        <v>0</v>
      </c>
      <c r="AI32" s="31">
        <f ca="1">_xll.DBRW($C$1,$C$2,$C$3,$C$4,$C$6,$C$5,$C$7,AI$1,AI$2,A32)</f>
        <v>0</v>
      </c>
      <c r="AJ32" s="31">
        <f ca="1">_xll.DBRW($C$1,$C$2,$C$3,$C$4,$C$6,$C$5,$C$7,AJ$1,AJ$2,A32)</f>
        <v>0</v>
      </c>
      <c r="AK32" s="31">
        <f ca="1">_xll.DBRW($C$1,$C$2,$C$3,$C$4,$C$6,$C$5,$C$7,AK$1,AK$2,A32)</f>
        <v>0</v>
      </c>
      <c r="AL32" s="31">
        <f ca="1">_xll.DBRW($C$1,$C$2,$C$3,$C$4,$C$6,$C$5,$C$7,AL$1,AL$2,A32)</f>
        <v>0</v>
      </c>
      <c r="AM32" s="31">
        <f ca="1">_xll.DBRW($C$1,$C$2,$C$3,$C$4,$C$6,$C$5,$C$7,AM$1,AM$2,A32)</f>
        <v>0</v>
      </c>
      <c r="AN32" s="31">
        <f ca="1">_xll.DBRW($C$1,$C$2,$C$3,$C$4,$C$6,$C$5,$C$7,AN$1,AN$2,A32)</f>
        <v>0</v>
      </c>
      <c r="AO32" s="31">
        <f ca="1">_xll.DBRW($C$1,$C$2,$C$3,$C$4,$C$6,$C$5,$C$7,AO$1,AO$2,A32)</f>
        <v>0</v>
      </c>
      <c r="AP32" s="31">
        <f ca="1">_xll.DBRW($C$1,$C$2,$C$3,$C$4,$C$6,$C$5,$C$7,AP$1,AP$2,A32)</f>
        <v>0</v>
      </c>
      <c r="AQ32" s="31">
        <f ca="1">_xll.DBRW($C$1,$C$2,$C$3,$C$4,$C$6,$C$5,$C$7,AQ$1,AQ$2,A32)</f>
        <v>0</v>
      </c>
      <c r="AR32" s="31">
        <f ca="1">_xll.DBRW($C$1,$C$2,$C$3,$C$4,$C$6,$C$5,$C$7,AR$1,AR$2,A32)</f>
        <v>0</v>
      </c>
      <c r="AS32" s="31">
        <f ca="1">_xll.DBRW($C$1,$C$2,$C$3,$C$4,$C$6,$C$5,$C$7,AS$1,AS$2,A32)</f>
        <v>0</v>
      </c>
      <c r="AT32" s="31">
        <f ca="1">_xll.DBRW($C$1,$C$2,$C$3,$C$4,$C$6,$C$5,$C$7,AT$1,AT$2,A32)</f>
        <v>0</v>
      </c>
      <c r="AU32" s="31">
        <f ca="1">_xll.DBRW($C$1,$C$2,$C$3,$C$4,$C$6,$C$5,$C$7,AU$1,AU$2,A32)</f>
        <v>0</v>
      </c>
    </row>
    <row r="33" spans="1:47" ht="15.75" hidden="1" customHeight="1" outlineLevel="1">
      <c r="A33" s="1" t="s">
        <v>132</v>
      </c>
      <c r="C33" s="141"/>
      <c r="E33" s="9" t="str">
        <f ca="1">_xll.DBRW(Server&amp;"}ElementAttributes_Indicator",A33,"code_English")</f>
        <v>PL1115_DO_99 - Others (DO)</v>
      </c>
      <c r="F33" s="31">
        <f ca="1">_xll.DBRW($C$1,$C$2,$C$3,$C$4,$C$6,$C$5,$C$7,F$1,F$2,A33)</f>
        <v>-60022.65</v>
      </c>
      <c r="G33" s="31">
        <f ca="1">_xll.DBRW($C$1,$C$2,$C$3,$C$4,$C$6,$C$5,$C$7,G$1,G$2,A33)</f>
        <v>-59855.75</v>
      </c>
      <c r="H33" s="31">
        <f ca="1">_xll.DBRW($C$1,$C$2,$C$3,$C$4,$C$6,$C$5,$C$7,H$1,H$2,A33)</f>
        <v>-268</v>
      </c>
      <c r="I33" s="31">
        <f ca="1">_xll.DBRW($C$1,$C$2,$C$3,$C$4,$C$6,$C$5,$C$7,I$1,I$2,A33)</f>
        <v>0</v>
      </c>
      <c r="J33" s="31">
        <f ca="1">_xll.DBRW($C$1,$C$2,$C$3,$C$4,$C$6,$C$5,$C$7,J$1,J$2,A33)</f>
        <v>0</v>
      </c>
      <c r="K33" s="31">
        <f ca="1">_xll.DBRW($C$1,$C$2,$C$3,$C$4,$C$6,$C$5,$C$7,K$1,K$2,A33)</f>
        <v>0</v>
      </c>
      <c r="L33" s="31">
        <f ca="1">_xll.DBRW($C$1,$C$2,$C$3,$C$4,$C$6,$C$5,$C$7,L$1,L$2,A33)</f>
        <v>0</v>
      </c>
      <c r="M33" s="31">
        <f ca="1">_xll.DBRW($C$1,$C$2,$C$3,$C$4,$C$6,$C$5,$C$7,M$1,M$2,A33)</f>
        <v>-11</v>
      </c>
      <c r="N33" s="31">
        <f ca="1">_xll.DBRW($C$1,$C$2,$C$3,$C$4,$C$6,$C$5,$C$7,N$1,N$2,A33)</f>
        <v>-11</v>
      </c>
      <c r="O33" s="31">
        <f ca="1">_xll.DBRW($C$1,$C$2,$C$3,$C$4,$C$6,$C$5,$C$7,O$1,O$2,A33)</f>
        <v>-11</v>
      </c>
      <c r="P33" s="31">
        <f ca="1">_xll.DBRW($C$1,$C$2,$C$3,$C$4,$C$6,$C$5,$C$7,P$1,P$2,A33)</f>
        <v>-11</v>
      </c>
      <c r="Q33" s="31">
        <f ca="1">_xll.DBRW($C$1,$C$2,$C$3,$C$4,$C$6,$C$5,$C$7,Q$1,Q$2,A33)</f>
        <v>-11</v>
      </c>
      <c r="R33" s="31">
        <f ca="1">_xll.DBRW($C$1,$C$2,$C$3,$C$4,$C$6,$C$5,$C$7,R$1,R$2,A33)</f>
        <v>-11</v>
      </c>
      <c r="S33" s="31">
        <f ca="1">_xll.DBRW($C$1,$C$2,$C$3,$C$4,$C$6,$C$5,$C$7,S$1,S$2,A33)</f>
        <v>-11</v>
      </c>
      <c r="T33" s="31">
        <f ca="1">_xll.DBRW($C$1,$C$2,$C$3,$C$4,$C$6,$C$5,$C$7,T$1,T$2,A33)</f>
        <v>-11</v>
      </c>
      <c r="U33" s="31">
        <f ca="1">_xll.DBRW($C$1,$C$2,$C$3,$C$4,$C$6,$C$5,$C$7,U$1,U$2,A33)</f>
        <v>-11</v>
      </c>
      <c r="V33" s="31">
        <f ca="1">_xll.DBRW($C$1,$C$2,$C$3,$C$4,$C$6,$C$5,$C$7,V$1,V$2,A33)</f>
        <v>0</v>
      </c>
      <c r="W33" s="31">
        <f ca="1">_xll.DBRW($C$1,$C$2,$C$3,$C$4,$C$6,$C$5,$C$7,W$1,W$2,A33)</f>
        <v>0</v>
      </c>
      <c r="X33" s="31">
        <f ca="1">_xll.DBRW($C$1,$C$2,$C$3,$C$4,$C$6,$C$5,$C$7,X$1,X$2,A33)</f>
        <v>0</v>
      </c>
      <c r="Y33" s="31">
        <f ca="1">_xll.DBRW($C$1,$C$2,$C$3,$C$4,$C$6,$C$5,$C$7,Y$1,Y$2,A33)</f>
        <v>0</v>
      </c>
      <c r="Z33" s="31">
        <f ca="1">_xll.DBRW($C$1,$C$2,$C$3,$C$4,$C$6,$C$5,$C$7,Z$1,Z$2,A33)</f>
        <v>0</v>
      </c>
      <c r="AA33" s="31">
        <f ca="1">_xll.DBRW($C$1,$C$2,$C$3,$C$4,$C$6,$C$5,$C$7,AA$1,AA$2,A33)</f>
        <v>0</v>
      </c>
      <c r="AB33" s="31">
        <f ca="1">_xll.DBRW($C$1,$C$2,$C$3,$C$4,$C$6,$C$5,$C$7,AB$1,AB$2,A33)</f>
        <v>0</v>
      </c>
      <c r="AC33" s="31">
        <f ca="1">_xll.DBRW($C$1,$C$2,$C$3,$C$4,$C$6,$C$5,$C$7,AC$1,AC$2,A33)</f>
        <v>0</v>
      </c>
      <c r="AD33" s="31">
        <f ca="1">_xll.DBRW($C$1,$C$2,$C$3,$C$4,$C$6,$C$5,$C$7,AD$1,AD$2,A33)</f>
        <v>0</v>
      </c>
      <c r="AE33" s="31">
        <f ca="1">_xll.DBRW($C$1,$C$2,$C$3,$C$4,$C$6,$C$5,$C$7,AE$1,AE$2,A33)</f>
        <v>0</v>
      </c>
      <c r="AF33" s="31">
        <f ca="1">_xll.DBRW($C$1,$C$2,$C$3,$C$4,$C$6,$C$5,$C$7,AF$1,AF$2,A33)</f>
        <v>0</v>
      </c>
      <c r="AG33" s="31">
        <f ca="1">_xll.DBRW($C$1,$C$2,$C$3,$C$4,$C$6,$C$5,$C$7,AG$1,AG$2,A33)</f>
        <v>0</v>
      </c>
      <c r="AH33" s="31">
        <f ca="1">_xll.DBRW($C$1,$C$2,$C$3,$C$4,$C$6,$C$5,$C$7,AH$1,AH$2,A33)</f>
        <v>0</v>
      </c>
      <c r="AI33" s="31">
        <f ca="1">_xll.DBRW($C$1,$C$2,$C$3,$C$4,$C$6,$C$5,$C$7,AI$1,AI$2,A33)</f>
        <v>0</v>
      </c>
      <c r="AJ33" s="31">
        <f ca="1">_xll.DBRW($C$1,$C$2,$C$3,$C$4,$C$6,$C$5,$C$7,AJ$1,AJ$2,A33)</f>
        <v>0</v>
      </c>
      <c r="AK33" s="31">
        <f ca="1">_xll.DBRW($C$1,$C$2,$C$3,$C$4,$C$6,$C$5,$C$7,AK$1,AK$2,A33)</f>
        <v>0</v>
      </c>
      <c r="AL33" s="31">
        <f ca="1">_xll.DBRW($C$1,$C$2,$C$3,$C$4,$C$6,$C$5,$C$7,AL$1,AL$2,A33)</f>
        <v>0</v>
      </c>
      <c r="AM33" s="31">
        <f ca="1">_xll.DBRW($C$1,$C$2,$C$3,$C$4,$C$6,$C$5,$C$7,AM$1,AM$2,A33)</f>
        <v>0</v>
      </c>
      <c r="AN33" s="31">
        <f ca="1">_xll.DBRW($C$1,$C$2,$C$3,$C$4,$C$6,$C$5,$C$7,AN$1,AN$2,A33)</f>
        <v>0</v>
      </c>
      <c r="AO33" s="31">
        <f ca="1">_xll.DBRW($C$1,$C$2,$C$3,$C$4,$C$6,$C$5,$C$7,AO$1,AO$2,A33)</f>
        <v>0</v>
      </c>
      <c r="AP33" s="31">
        <f ca="1">_xll.DBRW($C$1,$C$2,$C$3,$C$4,$C$6,$C$5,$C$7,AP$1,AP$2,A33)</f>
        <v>0</v>
      </c>
      <c r="AQ33" s="31">
        <f ca="1">_xll.DBRW($C$1,$C$2,$C$3,$C$4,$C$6,$C$5,$C$7,AQ$1,AQ$2,A33)</f>
        <v>0</v>
      </c>
      <c r="AR33" s="31">
        <f ca="1">_xll.DBRW($C$1,$C$2,$C$3,$C$4,$C$6,$C$5,$C$7,AR$1,AR$2,A33)</f>
        <v>0</v>
      </c>
      <c r="AS33" s="31">
        <f ca="1">_xll.DBRW($C$1,$C$2,$C$3,$C$4,$C$6,$C$5,$C$7,AS$1,AS$2,A33)</f>
        <v>0</v>
      </c>
      <c r="AT33" s="31">
        <f ca="1">_xll.DBRW($C$1,$C$2,$C$3,$C$4,$C$6,$C$5,$C$7,AT$1,AT$2,A33)</f>
        <v>0</v>
      </c>
      <c r="AU33" s="31">
        <f ca="1">_xll.DBRW($C$1,$C$2,$C$3,$C$4,$C$6,$C$5,$C$7,AU$1,AU$2,A33)</f>
        <v>0</v>
      </c>
    </row>
    <row r="34" spans="1:47" ht="15.75" hidden="1" customHeight="1" outlineLevel="1">
      <c r="A34" s="1" t="s">
        <v>133</v>
      </c>
      <c r="C34" s="141"/>
      <c r="E34" s="9" t="str">
        <f ca="1">_xll.DBRW(Server&amp;"}ElementAttributes_Indicator",A34,"code_English")</f>
        <v>PL1140_DO_10 - Amortization of pensions</v>
      </c>
      <c r="F34" s="31">
        <f ca="1">_xll.DBRW($C$1,$C$2,$C$3,$C$4,$C$6,$C$5,$C$7,F$1,F$2,A34)</f>
        <v>0</v>
      </c>
      <c r="G34" s="31">
        <f ca="1">_xll.DBRW($C$1,$C$2,$C$3,$C$4,$C$6,$C$5,$C$7,G$1,G$2,A34)</f>
        <v>0</v>
      </c>
      <c r="H34" s="31">
        <f ca="1">_xll.DBRW($C$1,$C$2,$C$3,$C$4,$C$6,$C$5,$C$7,H$1,H$2,A34)</f>
        <v>0</v>
      </c>
      <c r="I34" s="31">
        <f ca="1">_xll.DBRW($C$1,$C$2,$C$3,$C$4,$C$6,$C$5,$C$7,I$1,I$2,A34)</f>
        <v>0</v>
      </c>
      <c r="J34" s="31">
        <f ca="1">_xll.DBRW($C$1,$C$2,$C$3,$C$4,$C$6,$C$5,$C$7,J$1,J$2,A34)</f>
        <v>0</v>
      </c>
      <c r="K34" s="31">
        <f ca="1">_xll.DBRW($C$1,$C$2,$C$3,$C$4,$C$6,$C$5,$C$7,K$1,K$2,A34)</f>
        <v>0</v>
      </c>
      <c r="L34" s="31">
        <f ca="1">_xll.DBRW($C$1,$C$2,$C$3,$C$4,$C$6,$C$5,$C$7,L$1,L$2,A34)</f>
        <v>0</v>
      </c>
      <c r="M34" s="31">
        <f ca="1">_xll.DBRW($C$1,$C$2,$C$3,$C$4,$C$6,$C$5,$C$7,M$1,M$2,A34)</f>
        <v>0</v>
      </c>
      <c r="N34" s="31">
        <f ca="1">_xll.DBRW($C$1,$C$2,$C$3,$C$4,$C$6,$C$5,$C$7,N$1,N$2,A34)</f>
        <v>0</v>
      </c>
      <c r="O34" s="31">
        <f ca="1">_xll.DBRW($C$1,$C$2,$C$3,$C$4,$C$6,$C$5,$C$7,O$1,O$2,A34)</f>
        <v>0</v>
      </c>
      <c r="P34" s="31">
        <f ca="1">_xll.DBRW($C$1,$C$2,$C$3,$C$4,$C$6,$C$5,$C$7,P$1,P$2,A34)</f>
        <v>0</v>
      </c>
      <c r="Q34" s="31">
        <f ca="1">_xll.DBRW($C$1,$C$2,$C$3,$C$4,$C$6,$C$5,$C$7,Q$1,Q$2,A34)</f>
        <v>0</v>
      </c>
      <c r="R34" s="31">
        <f ca="1">_xll.DBRW($C$1,$C$2,$C$3,$C$4,$C$6,$C$5,$C$7,R$1,R$2,A34)</f>
        <v>0</v>
      </c>
      <c r="S34" s="31">
        <f ca="1">_xll.DBRW($C$1,$C$2,$C$3,$C$4,$C$6,$C$5,$C$7,S$1,S$2,A34)</f>
        <v>0</v>
      </c>
      <c r="T34" s="31">
        <f ca="1">_xll.DBRW($C$1,$C$2,$C$3,$C$4,$C$6,$C$5,$C$7,T$1,T$2,A34)</f>
        <v>0</v>
      </c>
      <c r="U34" s="31">
        <f ca="1">_xll.DBRW($C$1,$C$2,$C$3,$C$4,$C$6,$C$5,$C$7,U$1,U$2,A34)</f>
        <v>0</v>
      </c>
      <c r="V34" s="31">
        <f ca="1">_xll.DBRW($C$1,$C$2,$C$3,$C$4,$C$6,$C$5,$C$7,V$1,V$2,A34)</f>
        <v>0</v>
      </c>
      <c r="W34" s="31">
        <f ca="1">_xll.DBRW($C$1,$C$2,$C$3,$C$4,$C$6,$C$5,$C$7,W$1,W$2,A34)</f>
        <v>0</v>
      </c>
      <c r="X34" s="31">
        <f ca="1">_xll.DBRW($C$1,$C$2,$C$3,$C$4,$C$6,$C$5,$C$7,X$1,X$2,A34)</f>
        <v>0</v>
      </c>
      <c r="Y34" s="31">
        <f ca="1">_xll.DBRW($C$1,$C$2,$C$3,$C$4,$C$6,$C$5,$C$7,Y$1,Y$2,A34)</f>
        <v>0</v>
      </c>
      <c r="Z34" s="31">
        <f ca="1">_xll.DBRW($C$1,$C$2,$C$3,$C$4,$C$6,$C$5,$C$7,Z$1,Z$2,A34)</f>
        <v>0</v>
      </c>
      <c r="AA34" s="31">
        <f ca="1">_xll.DBRW($C$1,$C$2,$C$3,$C$4,$C$6,$C$5,$C$7,AA$1,AA$2,A34)</f>
        <v>0</v>
      </c>
      <c r="AB34" s="31">
        <f ca="1">_xll.DBRW($C$1,$C$2,$C$3,$C$4,$C$6,$C$5,$C$7,AB$1,AB$2,A34)</f>
        <v>0</v>
      </c>
      <c r="AC34" s="31">
        <f ca="1">_xll.DBRW($C$1,$C$2,$C$3,$C$4,$C$6,$C$5,$C$7,AC$1,AC$2,A34)</f>
        <v>0</v>
      </c>
      <c r="AD34" s="31">
        <f ca="1">_xll.DBRW($C$1,$C$2,$C$3,$C$4,$C$6,$C$5,$C$7,AD$1,AD$2,A34)</f>
        <v>0</v>
      </c>
      <c r="AE34" s="31">
        <f ca="1">_xll.DBRW($C$1,$C$2,$C$3,$C$4,$C$6,$C$5,$C$7,AE$1,AE$2,A34)</f>
        <v>0</v>
      </c>
      <c r="AF34" s="31">
        <f ca="1">_xll.DBRW($C$1,$C$2,$C$3,$C$4,$C$6,$C$5,$C$7,AF$1,AF$2,A34)</f>
        <v>0</v>
      </c>
      <c r="AG34" s="31">
        <f ca="1">_xll.DBRW($C$1,$C$2,$C$3,$C$4,$C$6,$C$5,$C$7,AG$1,AG$2,A34)</f>
        <v>0</v>
      </c>
      <c r="AH34" s="31">
        <f ca="1">_xll.DBRW($C$1,$C$2,$C$3,$C$4,$C$6,$C$5,$C$7,AH$1,AH$2,A34)</f>
        <v>0</v>
      </c>
      <c r="AI34" s="31">
        <f ca="1">_xll.DBRW($C$1,$C$2,$C$3,$C$4,$C$6,$C$5,$C$7,AI$1,AI$2,A34)</f>
        <v>0</v>
      </c>
      <c r="AJ34" s="31">
        <f ca="1">_xll.DBRW($C$1,$C$2,$C$3,$C$4,$C$6,$C$5,$C$7,AJ$1,AJ$2,A34)</f>
        <v>0</v>
      </c>
      <c r="AK34" s="31">
        <f ca="1">_xll.DBRW($C$1,$C$2,$C$3,$C$4,$C$6,$C$5,$C$7,AK$1,AK$2,A34)</f>
        <v>0</v>
      </c>
      <c r="AL34" s="31">
        <f ca="1">_xll.DBRW($C$1,$C$2,$C$3,$C$4,$C$6,$C$5,$C$7,AL$1,AL$2,A34)</f>
        <v>0</v>
      </c>
      <c r="AM34" s="31">
        <f ca="1">_xll.DBRW($C$1,$C$2,$C$3,$C$4,$C$6,$C$5,$C$7,AM$1,AM$2,A34)</f>
        <v>0</v>
      </c>
      <c r="AN34" s="31">
        <f ca="1">_xll.DBRW($C$1,$C$2,$C$3,$C$4,$C$6,$C$5,$C$7,AN$1,AN$2,A34)</f>
        <v>0</v>
      </c>
      <c r="AO34" s="31">
        <f ca="1">_xll.DBRW($C$1,$C$2,$C$3,$C$4,$C$6,$C$5,$C$7,AO$1,AO$2,A34)</f>
        <v>0</v>
      </c>
      <c r="AP34" s="31">
        <f ca="1">_xll.DBRW($C$1,$C$2,$C$3,$C$4,$C$6,$C$5,$C$7,AP$1,AP$2,A34)</f>
        <v>0</v>
      </c>
      <c r="AQ34" s="31">
        <f ca="1">_xll.DBRW($C$1,$C$2,$C$3,$C$4,$C$6,$C$5,$C$7,AQ$1,AQ$2,A34)</f>
        <v>0</v>
      </c>
      <c r="AR34" s="31">
        <f ca="1">_xll.DBRW($C$1,$C$2,$C$3,$C$4,$C$6,$C$5,$C$7,AR$1,AR$2,A34)</f>
        <v>0</v>
      </c>
      <c r="AS34" s="31">
        <f ca="1">_xll.DBRW($C$1,$C$2,$C$3,$C$4,$C$6,$C$5,$C$7,AS$1,AS$2,A34)</f>
        <v>0</v>
      </c>
      <c r="AT34" s="31">
        <f ca="1">_xll.DBRW($C$1,$C$2,$C$3,$C$4,$C$6,$C$5,$C$7,AT$1,AT$2,A34)</f>
        <v>0</v>
      </c>
      <c r="AU34" s="31">
        <f ca="1">_xll.DBRW($C$1,$C$2,$C$3,$C$4,$C$6,$C$5,$C$7,AU$1,AU$2,A34)</f>
        <v>0</v>
      </c>
    </row>
    <row r="35" spans="1:47" ht="15.75" hidden="1" customHeight="1" outlineLevel="1">
      <c r="A35" s="1" t="s">
        <v>134</v>
      </c>
      <c r="C35" s="141"/>
      <c r="E35" s="9" t="str">
        <f ca="1">_xll.DBRW(Server&amp;"}ElementAttributes_Indicator",A35,"code_English")</f>
        <v>PL1150_DO_10 - Impairment (other than working capital) and provisions - related to staff costs (DO)</v>
      </c>
      <c r="F35" s="31">
        <f ca="1">_xll.DBRW($C$1,$C$2,$C$3,$C$4,$C$6,$C$5,$C$7,F$1,F$2,A35)</f>
        <v>782900.79000000015</v>
      </c>
      <c r="G35" s="31">
        <f ca="1">_xll.DBRW($C$1,$C$2,$C$3,$C$4,$C$6,$C$5,$C$7,G$1,G$2,A35)</f>
        <v>-492601.42</v>
      </c>
      <c r="H35" s="31">
        <f ca="1">_xll.DBRW($C$1,$C$2,$C$3,$C$4,$C$6,$C$5,$C$7,H$1,H$2,A35)</f>
        <v>-333673.02000000008</v>
      </c>
      <c r="I35" s="31">
        <f ca="1">_xll.DBRW($C$1,$C$2,$C$3,$C$4,$C$6,$C$5,$C$7,I$1,I$2,A35)</f>
        <v>4788.51</v>
      </c>
      <c r="J35" s="31">
        <f ca="1">_xll.DBRW($C$1,$C$2,$C$3,$C$4,$C$6,$C$5,$C$7,J$1,J$2,A35)</f>
        <v>15729.960000000001</v>
      </c>
      <c r="K35" s="31">
        <f ca="1">_xll.DBRW($C$1,$C$2,$C$3,$C$4,$C$6,$C$5,$C$7,K$1,K$2,A35)</f>
        <v>14839.430000000006</v>
      </c>
      <c r="L35" s="31">
        <f ca="1">_xll.DBRW($C$1,$C$2,$C$3,$C$4,$C$6,$C$5,$C$7,L$1,L$2,A35)</f>
        <v>29564.620000000003</v>
      </c>
      <c r="M35" s="31">
        <f ca="1">_xll.DBRW($C$1,$C$2,$C$3,$C$4,$C$6,$C$5,$C$7,M$1,M$2,A35)</f>
        <v>61127.270000000004</v>
      </c>
      <c r="N35" s="31">
        <f ca="1">_xll.DBRW($C$1,$C$2,$C$3,$C$4,$C$6,$C$5,$C$7,N$1,N$2,A35)</f>
        <v>68580.740000000005</v>
      </c>
      <c r="O35" s="31">
        <f ca="1">_xll.DBRW($C$1,$C$2,$C$3,$C$4,$C$6,$C$5,$C$7,O$1,O$2,A35)</f>
        <v>68580.740000000005</v>
      </c>
      <c r="P35" s="31">
        <f ca="1">_xll.DBRW($C$1,$C$2,$C$3,$C$4,$C$6,$C$5,$C$7,P$1,P$2,A35)</f>
        <v>68580.740000000005</v>
      </c>
      <c r="Q35" s="31">
        <f ca="1">_xll.DBRW($C$1,$C$2,$C$3,$C$4,$C$6,$C$5,$C$7,Q$1,Q$2,A35)</f>
        <v>68580.740000000005</v>
      </c>
      <c r="R35" s="31">
        <f ca="1">_xll.DBRW($C$1,$C$2,$C$3,$C$4,$C$6,$C$5,$C$7,R$1,R$2,A35)</f>
        <v>68580.740000000005</v>
      </c>
      <c r="S35" s="31">
        <f ca="1">_xll.DBRW($C$1,$C$2,$C$3,$C$4,$C$6,$C$5,$C$7,S$1,S$2,A35)</f>
        <v>68580.740000000005</v>
      </c>
      <c r="T35" s="31">
        <f ca="1">_xll.DBRW($C$1,$C$2,$C$3,$C$4,$C$6,$C$5,$C$7,T$1,T$2,A35)</f>
        <v>68580.740000000005</v>
      </c>
      <c r="U35" s="31">
        <f ca="1">_xll.DBRW($C$1,$C$2,$C$3,$C$4,$C$6,$C$5,$C$7,U$1,U$2,A35)</f>
        <v>68580.740000000005</v>
      </c>
      <c r="V35" s="31">
        <f ca="1">_xll.DBRW($C$1,$C$2,$C$3,$C$4,$C$6,$C$5,$C$7,V$1,V$2,A35)</f>
        <v>0</v>
      </c>
      <c r="W35" s="31">
        <f ca="1">_xll.DBRW($C$1,$C$2,$C$3,$C$4,$C$6,$C$5,$C$7,W$1,W$2,A35)</f>
        <v>0</v>
      </c>
      <c r="X35" s="31">
        <f ca="1">_xll.DBRW($C$1,$C$2,$C$3,$C$4,$C$6,$C$5,$C$7,X$1,X$2,A35)</f>
        <v>0</v>
      </c>
      <c r="Y35" s="31">
        <f ca="1">_xll.DBRW($C$1,$C$2,$C$3,$C$4,$C$6,$C$5,$C$7,Y$1,Y$2,A35)</f>
        <v>0</v>
      </c>
      <c r="Z35" s="31">
        <f ca="1">_xll.DBRW($C$1,$C$2,$C$3,$C$4,$C$6,$C$5,$C$7,Z$1,Z$2,A35)</f>
        <v>0</v>
      </c>
      <c r="AA35" s="31">
        <f ca="1">_xll.DBRW($C$1,$C$2,$C$3,$C$4,$C$6,$C$5,$C$7,AA$1,AA$2,A35)</f>
        <v>0</v>
      </c>
      <c r="AB35" s="31">
        <f ca="1">_xll.DBRW($C$1,$C$2,$C$3,$C$4,$C$6,$C$5,$C$7,AB$1,AB$2,A35)</f>
        <v>0</v>
      </c>
      <c r="AC35" s="31">
        <f ca="1">_xll.DBRW($C$1,$C$2,$C$3,$C$4,$C$6,$C$5,$C$7,AC$1,AC$2,A35)</f>
        <v>0</v>
      </c>
      <c r="AD35" s="31">
        <f ca="1">_xll.DBRW($C$1,$C$2,$C$3,$C$4,$C$6,$C$5,$C$7,AD$1,AD$2,A35)</f>
        <v>0</v>
      </c>
      <c r="AE35" s="31">
        <f ca="1">_xll.DBRW($C$1,$C$2,$C$3,$C$4,$C$6,$C$5,$C$7,AE$1,AE$2,A35)</f>
        <v>0</v>
      </c>
      <c r="AF35" s="31">
        <f ca="1">_xll.DBRW($C$1,$C$2,$C$3,$C$4,$C$6,$C$5,$C$7,AF$1,AF$2,A35)</f>
        <v>0</v>
      </c>
      <c r="AG35" s="31">
        <f ca="1">_xll.DBRW($C$1,$C$2,$C$3,$C$4,$C$6,$C$5,$C$7,AG$1,AG$2,A35)</f>
        <v>0</v>
      </c>
      <c r="AH35" s="31">
        <f ca="1">_xll.DBRW($C$1,$C$2,$C$3,$C$4,$C$6,$C$5,$C$7,AH$1,AH$2,A35)</f>
        <v>0</v>
      </c>
      <c r="AI35" s="31">
        <f ca="1">_xll.DBRW($C$1,$C$2,$C$3,$C$4,$C$6,$C$5,$C$7,AI$1,AI$2,A35)</f>
        <v>0</v>
      </c>
      <c r="AJ35" s="31">
        <f ca="1">_xll.DBRW($C$1,$C$2,$C$3,$C$4,$C$6,$C$5,$C$7,AJ$1,AJ$2,A35)</f>
        <v>0</v>
      </c>
      <c r="AK35" s="31">
        <f ca="1">_xll.DBRW($C$1,$C$2,$C$3,$C$4,$C$6,$C$5,$C$7,AK$1,AK$2,A35)</f>
        <v>0</v>
      </c>
      <c r="AL35" s="31">
        <f ca="1">_xll.DBRW($C$1,$C$2,$C$3,$C$4,$C$6,$C$5,$C$7,AL$1,AL$2,A35)</f>
        <v>0</v>
      </c>
      <c r="AM35" s="31">
        <f ca="1">_xll.DBRW($C$1,$C$2,$C$3,$C$4,$C$6,$C$5,$C$7,AM$1,AM$2,A35)</f>
        <v>0</v>
      </c>
      <c r="AN35" s="31">
        <f ca="1">_xll.DBRW($C$1,$C$2,$C$3,$C$4,$C$6,$C$5,$C$7,AN$1,AN$2,A35)</f>
        <v>0</v>
      </c>
      <c r="AO35" s="31">
        <f ca="1">_xll.DBRW($C$1,$C$2,$C$3,$C$4,$C$6,$C$5,$C$7,AO$1,AO$2,A35)</f>
        <v>0</v>
      </c>
      <c r="AP35" s="31">
        <f ca="1">_xll.DBRW($C$1,$C$2,$C$3,$C$4,$C$6,$C$5,$C$7,AP$1,AP$2,A35)</f>
        <v>0</v>
      </c>
      <c r="AQ35" s="31">
        <f ca="1">_xll.DBRW($C$1,$C$2,$C$3,$C$4,$C$6,$C$5,$C$7,AQ$1,AQ$2,A35)</f>
        <v>0</v>
      </c>
      <c r="AR35" s="31">
        <f ca="1">_xll.DBRW($C$1,$C$2,$C$3,$C$4,$C$6,$C$5,$C$7,AR$1,AR$2,A35)</f>
        <v>0</v>
      </c>
      <c r="AS35" s="31">
        <f ca="1">_xll.DBRW($C$1,$C$2,$C$3,$C$4,$C$6,$C$5,$C$7,AS$1,AS$2,A35)</f>
        <v>0</v>
      </c>
      <c r="AT35" s="31">
        <f ca="1">_xll.DBRW($C$1,$C$2,$C$3,$C$4,$C$6,$C$5,$C$7,AT$1,AT$2,A35)</f>
        <v>0</v>
      </c>
      <c r="AU35" s="31">
        <f ca="1">_xll.DBRW($C$1,$C$2,$C$3,$C$4,$C$6,$C$5,$C$7,AU$1,AU$2,A35)</f>
        <v>0</v>
      </c>
    </row>
    <row r="36" spans="1:47" ht="15.75" hidden="1" customHeight="1" outlineLevel="1">
      <c r="A36" s="1" t="s">
        <v>135</v>
      </c>
      <c r="C36" s="141"/>
      <c r="E36" s="9" t="str">
        <f ca="1">_xll.DBRW(Server&amp;"}ElementAttributes_Indicator",A36,"code_English")</f>
        <v>PL1150_DO_11 - Impairment (other than working capital) and provisions - related to staff costs - Reversal (DO)</v>
      </c>
      <c r="F36" s="31">
        <f ca="1">_xll.DBRW($C$1,$C$2,$C$3,$C$4,$C$6,$C$5,$C$7,F$1,F$2,A36)</f>
        <v>0</v>
      </c>
      <c r="G36" s="31">
        <f ca="1">_xll.DBRW($C$1,$C$2,$C$3,$C$4,$C$6,$C$5,$C$7,G$1,G$2,A36)</f>
        <v>0</v>
      </c>
      <c r="H36" s="31">
        <f ca="1">_xll.DBRW($C$1,$C$2,$C$3,$C$4,$C$6,$C$5,$C$7,H$1,H$2,A36)</f>
        <v>0</v>
      </c>
      <c r="I36" s="31">
        <f ca="1">_xll.DBRW($C$1,$C$2,$C$3,$C$4,$C$6,$C$5,$C$7,I$1,I$2,A36)</f>
        <v>0</v>
      </c>
      <c r="J36" s="31">
        <f ca="1">_xll.DBRW($C$1,$C$2,$C$3,$C$4,$C$6,$C$5,$C$7,J$1,J$2,A36)</f>
        <v>0</v>
      </c>
      <c r="K36" s="31">
        <f ca="1">_xll.DBRW($C$1,$C$2,$C$3,$C$4,$C$6,$C$5,$C$7,K$1,K$2,A36)</f>
        <v>0</v>
      </c>
      <c r="L36" s="31">
        <f ca="1">_xll.DBRW($C$1,$C$2,$C$3,$C$4,$C$6,$C$5,$C$7,L$1,L$2,A36)</f>
        <v>0</v>
      </c>
      <c r="M36" s="31">
        <f ca="1">_xll.DBRW($C$1,$C$2,$C$3,$C$4,$C$6,$C$5,$C$7,M$1,M$2,A36)</f>
        <v>0</v>
      </c>
      <c r="N36" s="31">
        <f ca="1">_xll.DBRW($C$1,$C$2,$C$3,$C$4,$C$6,$C$5,$C$7,N$1,N$2,A36)</f>
        <v>0</v>
      </c>
      <c r="O36" s="31">
        <f ca="1">_xll.DBRW($C$1,$C$2,$C$3,$C$4,$C$6,$C$5,$C$7,O$1,O$2,A36)</f>
        <v>0</v>
      </c>
      <c r="P36" s="31">
        <f ca="1">_xll.DBRW($C$1,$C$2,$C$3,$C$4,$C$6,$C$5,$C$7,P$1,P$2,A36)</f>
        <v>0</v>
      </c>
      <c r="Q36" s="31">
        <f ca="1">_xll.DBRW($C$1,$C$2,$C$3,$C$4,$C$6,$C$5,$C$7,Q$1,Q$2,A36)</f>
        <v>0</v>
      </c>
      <c r="R36" s="31">
        <f ca="1">_xll.DBRW($C$1,$C$2,$C$3,$C$4,$C$6,$C$5,$C$7,R$1,R$2,A36)</f>
        <v>0</v>
      </c>
      <c r="S36" s="31">
        <f ca="1">_xll.DBRW($C$1,$C$2,$C$3,$C$4,$C$6,$C$5,$C$7,S$1,S$2,A36)</f>
        <v>0</v>
      </c>
      <c r="T36" s="31">
        <f ca="1">_xll.DBRW($C$1,$C$2,$C$3,$C$4,$C$6,$C$5,$C$7,T$1,T$2,A36)</f>
        <v>0</v>
      </c>
      <c r="U36" s="31">
        <f ca="1">_xll.DBRW($C$1,$C$2,$C$3,$C$4,$C$6,$C$5,$C$7,U$1,U$2,A36)</f>
        <v>0</v>
      </c>
      <c r="V36" s="31">
        <f ca="1">_xll.DBRW($C$1,$C$2,$C$3,$C$4,$C$6,$C$5,$C$7,V$1,V$2,A36)</f>
        <v>0</v>
      </c>
      <c r="W36" s="31">
        <f ca="1">_xll.DBRW($C$1,$C$2,$C$3,$C$4,$C$6,$C$5,$C$7,W$1,W$2,A36)</f>
        <v>0</v>
      </c>
      <c r="X36" s="31">
        <f ca="1">_xll.DBRW($C$1,$C$2,$C$3,$C$4,$C$6,$C$5,$C$7,X$1,X$2,A36)</f>
        <v>0</v>
      </c>
      <c r="Y36" s="31">
        <f ca="1">_xll.DBRW($C$1,$C$2,$C$3,$C$4,$C$6,$C$5,$C$7,Y$1,Y$2,A36)</f>
        <v>0</v>
      </c>
      <c r="Z36" s="31">
        <f ca="1">_xll.DBRW($C$1,$C$2,$C$3,$C$4,$C$6,$C$5,$C$7,Z$1,Z$2,A36)</f>
        <v>0</v>
      </c>
      <c r="AA36" s="31">
        <f ca="1">_xll.DBRW($C$1,$C$2,$C$3,$C$4,$C$6,$C$5,$C$7,AA$1,AA$2,A36)</f>
        <v>0</v>
      </c>
      <c r="AB36" s="31">
        <f ca="1">_xll.DBRW($C$1,$C$2,$C$3,$C$4,$C$6,$C$5,$C$7,AB$1,AB$2,A36)</f>
        <v>0</v>
      </c>
      <c r="AC36" s="31">
        <f ca="1">_xll.DBRW($C$1,$C$2,$C$3,$C$4,$C$6,$C$5,$C$7,AC$1,AC$2,A36)</f>
        <v>0</v>
      </c>
      <c r="AD36" s="31">
        <f ca="1">_xll.DBRW($C$1,$C$2,$C$3,$C$4,$C$6,$C$5,$C$7,AD$1,AD$2,A36)</f>
        <v>0</v>
      </c>
      <c r="AE36" s="31">
        <f ca="1">_xll.DBRW($C$1,$C$2,$C$3,$C$4,$C$6,$C$5,$C$7,AE$1,AE$2,A36)</f>
        <v>0</v>
      </c>
      <c r="AF36" s="31">
        <f ca="1">_xll.DBRW($C$1,$C$2,$C$3,$C$4,$C$6,$C$5,$C$7,AF$1,AF$2,A36)</f>
        <v>0</v>
      </c>
      <c r="AG36" s="31">
        <f ca="1">_xll.DBRW($C$1,$C$2,$C$3,$C$4,$C$6,$C$5,$C$7,AG$1,AG$2,A36)</f>
        <v>0</v>
      </c>
      <c r="AH36" s="31">
        <f ca="1">_xll.DBRW($C$1,$C$2,$C$3,$C$4,$C$6,$C$5,$C$7,AH$1,AH$2,A36)</f>
        <v>0</v>
      </c>
      <c r="AI36" s="31">
        <f ca="1">_xll.DBRW($C$1,$C$2,$C$3,$C$4,$C$6,$C$5,$C$7,AI$1,AI$2,A36)</f>
        <v>0</v>
      </c>
      <c r="AJ36" s="31">
        <f ca="1">_xll.DBRW($C$1,$C$2,$C$3,$C$4,$C$6,$C$5,$C$7,AJ$1,AJ$2,A36)</f>
        <v>0</v>
      </c>
      <c r="AK36" s="31">
        <f ca="1">_xll.DBRW($C$1,$C$2,$C$3,$C$4,$C$6,$C$5,$C$7,AK$1,AK$2,A36)</f>
        <v>0</v>
      </c>
      <c r="AL36" s="31">
        <f ca="1">_xll.DBRW($C$1,$C$2,$C$3,$C$4,$C$6,$C$5,$C$7,AL$1,AL$2,A36)</f>
        <v>0</v>
      </c>
      <c r="AM36" s="31">
        <f ca="1">_xll.DBRW($C$1,$C$2,$C$3,$C$4,$C$6,$C$5,$C$7,AM$1,AM$2,A36)</f>
        <v>0</v>
      </c>
      <c r="AN36" s="31">
        <f ca="1">_xll.DBRW($C$1,$C$2,$C$3,$C$4,$C$6,$C$5,$C$7,AN$1,AN$2,A36)</f>
        <v>0</v>
      </c>
      <c r="AO36" s="31">
        <f ca="1">_xll.DBRW($C$1,$C$2,$C$3,$C$4,$C$6,$C$5,$C$7,AO$1,AO$2,A36)</f>
        <v>0</v>
      </c>
      <c r="AP36" s="31">
        <f ca="1">_xll.DBRW($C$1,$C$2,$C$3,$C$4,$C$6,$C$5,$C$7,AP$1,AP$2,A36)</f>
        <v>0</v>
      </c>
      <c r="AQ36" s="31">
        <f ca="1">_xll.DBRW($C$1,$C$2,$C$3,$C$4,$C$6,$C$5,$C$7,AQ$1,AQ$2,A36)</f>
        <v>0</v>
      </c>
      <c r="AR36" s="31">
        <f ca="1">_xll.DBRW($C$1,$C$2,$C$3,$C$4,$C$6,$C$5,$C$7,AR$1,AR$2,A36)</f>
        <v>0</v>
      </c>
      <c r="AS36" s="31">
        <f ca="1">_xll.DBRW($C$1,$C$2,$C$3,$C$4,$C$6,$C$5,$C$7,AS$1,AS$2,A36)</f>
        <v>0</v>
      </c>
      <c r="AT36" s="31">
        <f ca="1">_xll.DBRW($C$1,$C$2,$C$3,$C$4,$C$6,$C$5,$C$7,AT$1,AT$2,A36)</f>
        <v>0</v>
      </c>
      <c r="AU36" s="31">
        <f ca="1">_xll.DBRW($C$1,$C$2,$C$3,$C$4,$C$6,$C$5,$C$7,AU$1,AU$2,A36)</f>
        <v>0</v>
      </c>
    </row>
    <row r="37" spans="1:47" ht="15.75" hidden="1" customHeight="1" outlineLevel="1">
      <c r="A37" s="1" t="s">
        <v>136</v>
      </c>
      <c r="C37" s="141"/>
      <c r="E37" s="9" t="str">
        <f ca="1">_xll.DBRW(Server&amp;"}ElementAttributes_Indicator",A37,"code_English")</f>
        <v>PL1150_DO_90 - Impairment (other than working capital) and provisions - other (DO)</v>
      </c>
      <c r="F37" s="31">
        <f ca="1">_xll.DBRW($C$1,$C$2,$C$3,$C$4,$C$6,$C$5,$C$7,F$1,F$2,A37)</f>
        <v>0</v>
      </c>
      <c r="G37" s="31">
        <f ca="1">_xll.DBRW($C$1,$C$2,$C$3,$C$4,$C$6,$C$5,$C$7,G$1,G$2,A37)</f>
        <v>0</v>
      </c>
      <c r="H37" s="31">
        <f ca="1">_xll.DBRW($C$1,$C$2,$C$3,$C$4,$C$6,$C$5,$C$7,H$1,H$2,A37)</f>
        <v>0</v>
      </c>
      <c r="I37" s="31">
        <f ca="1">_xll.DBRW($C$1,$C$2,$C$3,$C$4,$C$6,$C$5,$C$7,I$1,I$2,A37)</f>
        <v>0</v>
      </c>
      <c r="J37" s="31">
        <f ca="1">_xll.DBRW($C$1,$C$2,$C$3,$C$4,$C$6,$C$5,$C$7,J$1,J$2,A37)</f>
        <v>0</v>
      </c>
      <c r="K37" s="31">
        <f ca="1">_xll.DBRW($C$1,$C$2,$C$3,$C$4,$C$6,$C$5,$C$7,K$1,K$2,A37)</f>
        <v>0</v>
      </c>
      <c r="L37" s="31">
        <f ca="1">_xll.DBRW($C$1,$C$2,$C$3,$C$4,$C$6,$C$5,$C$7,L$1,L$2,A37)</f>
        <v>0</v>
      </c>
      <c r="M37" s="31">
        <f ca="1">_xll.DBRW($C$1,$C$2,$C$3,$C$4,$C$6,$C$5,$C$7,M$1,M$2,A37)</f>
        <v>0</v>
      </c>
      <c r="N37" s="31">
        <f ca="1">_xll.DBRW($C$1,$C$2,$C$3,$C$4,$C$6,$C$5,$C$7,N$1,N$2,A37)</f>
        <v>0</v>
      </c>
      <c r="O37" s="31">
        <f ca="1">_xll.DBRW($C$1,$C$2,$C$3,$C$4,$C$6,$C$5,$C$7,O$1,O$2,A37)</f>
        <v>0</v>
      </c>
      <c r="P37" s="31">
        <f ca="1">_xll.DBRW($C$1,$C$2,$C$3,$C$4,$C$6,$C$5,$C$7,P$1,P$2,A37)</f>
        <v>0</v>
      </c>
      <c r="Q37" s="31">
        <f ca="1">_xll.DBRW($C$1,$C$2,$C$3,$C$4,$C$6,$C$5,$C$7,Q$1,Q$2,A37)</f>
        <v>0</v>
      </c>
      <c r="R37" s="31">
        <f ca="1">_xll.DBRW($C$1,$C$2,$C$3,$C$4,$C$6,$C$5,$C$7,R$1,R$2,A37)</f>
        <v>0</v>
      </c>
      <c r="S37" s="31">
        <f ca="1">_xll.DBRW($C$1,$C$2,$C$3,$C$4,$C$6,$C$5,$C$7,S$1,S$2,A37)</f>
        <v>0</v>
      </c>
      <c r="T37" s="31">
        <f ca="1">_xll.DBRW($C$1,$C$2,$C$3,$C$4,$C$6,$C$5,$C$7,T$1,T$2,A37)</f>
        <v>0</v>
      </c>
      <c r="U37" s="31">
        <f ca="1">_xll.DBRW($C$1,$C$2,$C$3,$C$4,$C$6,$C$5,$C$7,U$1,U$2,A37)</f>
        <v>0</v>
      </c>
      <c r="V37" s="31">
        <f ca="1">_xll.DBRW($C$1,$C$2,$C$3,$C$4,$C$6,$C$5,$C$7,V$1,V$2,A37)</f>
        <v>0</v>
      </c>
      <c r="W37" s="31">
        <f ca="1">_xll.DBRW($C$1,$C$2,$C$3,$C$4,$C$6,$C$5,$C$7,W$1,W$2,A37)</f>
        <v>0</v>
      </c>
      <c r="X37" s="31">
        <f ca="1">_xll.DBRW($C$1,$C$2,$C$3,$C$4,$C$6,$C$5,$C$7,X$1,X$2,A37)</f>
        <v>0</v>
      </c>
      <c r="Y37" s="31">
        <f ca="1">_xll.DBRW($C$1,$C$2,$C$3,$C$4,$C$6,$C$5,$C$7,Y$1,Y$2,A37)</f>
        <v>0</v>
      </c>
      <c r="Z37" s="31">
        <f ca="1">_xll.DBRW($C$1,$C$2,$C$3,$C$4,$C$6,$C$5,$C$7,Z$1,Z$2,A37)</f>
        <v>0</v>
      </c>
      <c r="AA37" s="31">
        <f ca="1">_xll.DBRW($C$1,$C$2,$C$3,$C$4,$C$6,$C$5,$C$7,AA$1,AA$2,A37)</f>
        <v>0</v>
      </c>
      <c r="AB37" s="31">
        <f ca="1">_xll.DBRW($C$1,$C$2,$C$3,$C$4,$C$6,$C$5,$C$7,AB$1,AB$2,A37)</f>
        <v>0</v>
      </c>
      <c r="AC37" s="31">
        <f ca="1">_xll.DBRW($C$1,$C$2,$C$3,$C$4,$C$6,$C$5,$C$7,AC$1,AC$2,A37)</f>
        <v>0</v>
      </c>
      <c r="AD37" s="31">
        <f ca="1">_xll.DBRW($C$1,$C$2,$C$3,$C$4,$C$6,$C$5,$C$7,AD$1,AD$2,A37)</f>
        <v>0</v>
      </c>
      <c r="AE37" s="31">
        <f ca="1">_xll.DBRW($C$1,$C$2,$C$3,$C$4,$C$6,$C$5,$C$7,AE$1,AE$2,A37)</f>
        <v>0</v>
      </c>
      <c r="AF37" s="31">
        <f ca="1">_xll.DBRW($C$1,$C$2,$C$3,$C$4,$C$6,$C$5,$C$7,AF$1,AF$2,A37)</f>
        <v>0</v>
      </c>
      <c r="AG37" s="31">
        <f ca="1">_xll.DBRW($C$1,$C$2,$C$3,$C$4,$C$6,$C$5,$C$7,AG$1,AG$2,A37)</f>
        <v>0</v>
      </c>
      <c r="AH37" s="31">
        <f ca="1">_xll.DBRW($C$1,$C$2,$C$3,$C$4,$C$6,$C$5,$C$7,AH$1,AH$2,A37)</f>
        <v>0</v>
      </c>
      <c r="AI37" s="31">
        <f ca="1">_xll.DBRW($C$1,$C$2,$C$3,$C$4,$C$6,$C$5,$C$7,AI$1,AI$2,A37)</f>
        <v>0</v>
      </c>
      <c r="AJ37" s="31">
        <f ca="1">_xll.DBRW($C$1,$C$2,$C$3,$C$4,$C$6,$C$5,$C$7,AJ$1,AJ$2,A37)</f>
        <v>0</v>
      </c>
      <c r="AK37" s="31">
        <f ca="1">_xll.DBRW($C$1,$C$2,$C$3,$C$4,$C$6,$C$5,$C$7,AK$1,AK$2,A37)</f>
        <v>0</v>
      </c>
      <c r="AL37" s="31">
        <f ca="1">_xll.DBRW($C$1,$C$2,$C$3,$C$4,$C$6,$C$5,$C$7,AL$1,AL$2,A37)</f>
        <v>0</v>
      </c>
      <c r="AM37" s="31">
        <f ca="1">_xll.DBRW($C$1,$C$2,$C$3,$C$4,$C$6,$C$5,$C$7,AM$1,AM$2,A37)</f>
        <v>0</v>
      </c>
      <c r="AN37" s="31">
        <f ca="1">_xll.DBRW($C$1,$C$2,$C$3,$C$4,$C$6,$C$5,$C$7,AN$1,AN$2,A37)</f>
        <v>0</v>
      </c>
      <c r="AO37" s="31">
        <f ca="1">_xll.DBRW($C$1,$C$2,$C$3,$C$4,$C$6,$C$5,$C$7,AO$1,AO$2,A37)</f>
        <v>0</v>
      </c>
      <c r="AP37" s="31">
        <f ca="1">_xll.DBRW($C$1,$C$2,$C$3,$C$4,$C$6,$C$5,$C$7,AP$1,AP$2,A37)</f>
        <v>0</v>
      </c>
      <c r="AQ37" s="31">
        <f ca="1">_xll.DBRW($C$1,$C$2,$C$3,$C$4,$C$6,$C$5,$C$7,AQ$1,AQ$2,A37)</f>
        <v>0</v>
      </c>
      <c r="AR37" s="31">
        <f ca="1">_xll.DBRW($C$1,$C$2,$C$3,$C$4,$C$6,$C$5,$C$7,AR$1,AR$2,A37)</f>
        <v>0</v>
      </c>
      <c r="AS37" s="31">
        <f ca="1">_xll.DBRW($C$1,$C$2,$C$3,$C$4,$C$6,$C$5,$C$7,AS$1,AS$2,A37)</f>
        <v>0</v>
      </c>
      <c r="AT37" s="31">
        <f ca="1">_xll.DBRW($C$1,$C$2,$C$3,$C$4,$C$6,$C$5,$C$7,AT$1,AT$2,A37)</f>
        <v>0</v>
      </c>
      <c r="AU37" s="31">
        <f ca="1">_xll.DBRW($C$1,$C$2,$C$3,$C$4,$C$6,$C$5,$C$7,AU$1,AU$2,A37)</f>
        <v>0</v>
      </c>
    </row>
    <row r="38" spans="1:47" ht="15.75" hidden="1" customHeight="1" outlineLevel="1">
      <c r="A38" s="1" t="s">
        <v>137</v>
      </c>
      <c r="C38" s="141"/>
      <c r="E38" s="9" t="str">
        <f ca="1">_xll.DBRW(Server&amp;"}ElementAttributes_Indicator",A38,"code_English")</f>
        <v>PL1151_DO_10 - Impact of change in revaluation rate on provisions for losses on LT contracts - related to staff costs (DO)</v>
      </c>
      <c r="F38" s="31">
        <f ca="1">_xll.DBRW($C$1,$C$2,$C$3,$C$4,$C$6,$C$5,$C$7,F$1,F$2,A38)</f>
        <v>0</v>
      </c>
      <c r="G38" s="31">
        <f ca="1">_xll.DBRW($C$1,$C$2,$C$3,$C$4,$C$6,$C$5,$C$7,G$1,G$2,A38)</f>
        <v>0</v>
      </c>
      <c r="H38" s="31">
        <f ca="1">_xll.DBRW($C$1,$C$2,$C$3,$C$4,$C$6,$C$5,$C$7,H$1,H$2,A38)</f>
        <v>0</v>
      </c>
      <c r="I38" s="31">
        <f ca="1">_xll.DBRW($C$1,$C$2,$C$3,$C$4,$C$6,$C$5,$C$7,I$1,I$2,A38)</f>
        <v>0</v>
      </c>
      <c r="J38" s="31">
        <f ca="1">_xll.DBRW($C$1,$C$2,$C$3,$C$4,$C$6,$C$5,$C$7,J$1,J$2,A38)</f>
        <v>0</v>
      </c>
      <c r="K38" s="31">
        <f ca="1">_xll.DBRW($C$1,$C$2,$C$3,$C$4,$C$6,$C$5,$C$7,K$1,K$2,A38)</f>
        <v>0</v>
      </c>
      <c r="L38" s="31">
        <f ca="1">_xll.DBRW($C$1,$C$2,$C$3,$C$4,$C$6,$C$5,$C$7,L$1,L$2,A38)</f>
        <v>0</v>
      </c>
      <c r="M38" s="31">
        <f ca="1">_xll.DBRW($C$1,$C$2,$C$3,$C$4,$C$6,$C$5,$C$7,M$1,M$2,A38)</f>
        <v>0</v>
      </c>
      <c r="N38" s="31">
        <f ca="1">_xll.DBRW($C$1,$C$2,$C$3,$C$4,$C$6,$C$5,$C$7,N$1,N$2,A38)</f>
        <v>0</v>
      </c>
      <c r="O38" s="31">
        <f ca="1">_xll.DBRW($C$1,$C$2,$C$3,$C$4,$C$6,$C$5,$C$7,O$1,O$2,A38)</f>
        <v>0</v>
      </c>
      <c r="P38" s="31">
        <f ca="1">_xll.DBRW($C$1,$C$2,$C$3,$C$4,$C$6,$C$5,$C$7,P$1,P$2,A38)</f>
        <v>0</v>
      </c>
      <c r="Q38" s="31">
        <f ca="1">_xll.DBRW($C$1,$C$2,$C$3,$C$4,$C$6,$C$5,$C$7,Q$1,Q$2,A38)</f>
        <v>0</v>
      </c>
      <c r="R38" s="31">
        <f ca="1">_xll.DBRW($C$1,$C$2,$C$3,$C$4,$C$6,$C$5,$C$7,R$1,R$2,A38)</f>
        <v>0</v>
      </c>
      <c r="S38" s="31">
        <f ca="1">_xll.DBRW($C$1,$C$2,$C$3,$C$4,$C$6,$C$5,$C$7,S$1,S$2,A38)</f>
        <v>0</v>
      </c>
      <c r="T38" s="31">
        <f ca="1">_xll.DBRW($C$1,$C$2,$C$3,$C$4,$C$6,$C$5,$C$7,T$1,T$2,A38)</f>
        <v>0</v>
      </c>
      <c r="U38" s="31">
        <f ca="1">_xll.DBRW($C$1,$C$2,$C$3,$C$4,$C$6,$C$5,$C$7,U$1,U$2,A38)</f>
        <v>0</v>
      </c>
      <c r="V38" s="31">
        <f ca="1">_xll.DBRW($C$1,$C$2,$C$3,$C$4,$C$6,$C$5,$C$7,V$1,V$2,A38)</f>
        <v>0</v>
      </c>
      <c r="W38" s="31">
        <f ca="1">_xll.DBRW($C$1,$C$2,$C$3,$C$4,$C$6,$C$5,$C$7,W$1,W$2,A38)</f>
        <v>0</v>
      </c>
      <c r="X38" s="31">
        <f ca="1">_xll.DBRW($C$1,$C$2,$C$3,$C$4,$C$6,$C$5,$C$7,X$1,X$2,A38)</f>
        <v>0</v>
      </c>
      <c r="Y38" s="31">
        <f ca="1">_xll.DBRW($C$1,$C$2,$C$3,$C$4,$C$6,$C$5,$C$7,Y$1,Y$2,A38)</f>
        <v>0</v>
      </c>
      <c r="Z38" s="31">
        <f ca="1">_xll.DBRW($C$1,$C$2,$C$3,$C$4,$C$6,$C$5,$C$7,Z$1,Z$2,A38)</f>
        <v>0</v>
      </c>
      <c r="AA38" s="31">
        <f ca="1">_xll.DBRW($C$1,$C$2,$C$3,$C$4,$C$6,$C$5,$C$7,AA$1,AA$2,A38)</f>
        <v>0</v>
      </c>
      <c r="AB38" s="31">
        <f ca="1">_xll.DBRW($C$1,$C$2,$C$3,$C$4,$C$6,$C$5,$C$7,AB$1,AB$2,A38)</f>
        <v>0</v>
      </c>
      <c r="AC38" s="31">
        <f ca="1">_xll.DBRW($C$1,$C$2,$C$3,$C$4,$C$6,$C$5,$C$7,AC$1,AC$2,A38)</f>
        <v>0</v>
      </c>
      <c r="AD38" s="31">
        <f ca="1">_xll.DBRW($C$1,$C$2,$C$3,$C$4,$C$6,$C$5,$C$7,AD$1,AD$2,A38)</f>
        <v>0</v>
      </c>
      <c r="AE38" s="31">
        <f ca="1">_xll.DBRW($C$1,$C$2,$C$3,$C$4,$C$6,$C$5,$C$7,AE$1,AE$2,A38)</f>
        <v>0</v>
      </c>
      <c r="AF38" s="31">
        <f ca="1">_xll.DBRW($C$1,$C$2,$C$3,$C$4,$C$6,$C$5,$C$7,AF$1,AF$2,A38)</f>
        <v>0</v>
      </c>
      <c r="AG38" s="31">
        <f ca="1">_xll.DBRW($C$1,$C$2,$C$3,$C$4,$C$6,$C$5,$C$7,AG$1,AG$2,A38)</f>
        <v>0</v>
      </c>
      <c r="AH38" s="31">
        <f ca="1">_xll.DBRW($C$1,$C$2,$C$3,$C$4,$C$6,$C$5,$C$7,AH$1,AH$2,A38)</f>
        <v>0</v>
      </c>
      <c r="AI38" s="31">
        <f ca="1">_xll.DBRW($C$1,$C$2,$C$3,$C$4,$C$6,$C$5,$C$7,AI$1,AI$2,A38)</f>
        <v>0</v>
      </c>
      <c r="AJ38" s="31">
        <f ca="1">_xll.DBRW($C$1,$C$2,$C$3,$C$4,$C$6,$C$5,$C$7,AJ$1,AJ$2,A38)</f>
        <v>0</v>
      </c>
      <c r="AK38" s="31">
        <f ca="1">_xll.DBRW($C$1,$C$2,$C$3,$C$4,$C$6,$C$5,$C$7,AK$1,AK$2,A38)</f>
        <v>0</v>
      </c>
      <c r="AL38" s="31">
        <f ca="1">_xll.DBRW($C$1,$C$2,$C$3,$C$4,$C$6,$C$5,$C$7,AL$1,AL$2,A38)</f>
        <v>0</v>
      </c>
      <c r="AM38" s="31">
        <f ca="1">_xll.DBRW($C$1,$C$2,$C$3,$C$4,$C$6,$C$5,$C$7,AM$1,AM$2,A38)</f>
        <v>0</v>
      </c>
      <c r="AN38" s="31">
        <f ca="1">_xll.DBRW($C$1,$C$2,$C$3,$C$4,$C$6,$C$5,$C$7,AN$1,AN$2,A38)</f>
        <v>0</v>
      </c>
      <c r="AO38" s="31">
        <f ca="1">_xll.DBRW($C$1,$C$2,$C$3,$C$4,$C$6,$C$5,$C$7,AO$1,AO$2,A38)</f>
        <v>0</v>
      </c>
      <c r="AP38" s="31">
        <f ca="1">_xll.DBRW($C$1,$C$2,$C$3,$C$4,$C$6,$C$5,$C$7,AP$1,AP$2,A38)</f>
        <v>0</v>
      </c>
      <c r="AQ38" s="31">
        <f ca="1">_xll.DBRW($C$1,$C$2,$C$3,$C$4,$C$6,$C$5,$C$7,AQ$1,AQ$2,A38)</f>
        <v>0</v>
      </c>
      <c r="AR38" s="31">
        <f ca="1">_xll.DBRW($C$1,$C$2,$C$3,$C$4,$C$6,$C$5,$C$7,AR$1,AR$2,A38)</f>
        <v>0</v>
      </c>
      <c r="AS38" s="31">
        <f ca="1">_xll.DBRW($C$1,$C$2,$C$3,$C$4,$C$6,$C$5,$C$7,AS$1,AS$2,A38)</f>
        <v>0</v>
      </c>
      <c r="AT38" s="31">
        <f ca="1">_xll.DBRW($C$1,$C$2,$C$3,$C$4,$C$6,$C$5,$C$7,AT$1,AT$2,A38)</f>
        <v>0</v>
      </c>
      <c r="AU38" s="31">
        <f ca="1">_xll.DBRW($C$1,$C$2,$C$3,$C$4,$C$6,$C$5,$C$7,AU$1,AU$2,A38)</f>
        <v>0</v>
      </c>
    </row>
    <row r="39" spans="1:47" ht="15.75" hidden="1" customHeight="1" outlineLevel="1">
      <c r="A39" s="1" t="s">
        <v>138</v>
      </c>
      <c r="C39" s="141"/>
      <c r="E39" s="9" t="str">
        <f ca="1">_xll.DBRW(Server&amp;"}ElementAttributes_Indicator",A39,"code_English")</f>
        <v>PL1151_DO_11 - Impact of change in revaluation rate on provisions for losses on LT contracts  - related to staff costs - Reversal (DO)</v>
      </c>
      <c r="F39" s="31">
        <f ca="1">_xll.DBRW($C$1,$C$2,$C$3,$C$4,$C$6,$C$5,$C$7,F$1,F$2,A39)</f>
        <v>0</v>
      </c>
      <c r="G39" s="31">
        <f ca="1">_xll.DBRW($C$1,$C$2,$C$3,$C$4,$C$6,$C$5,$C$7,G$1,G$2,A39)</f>
        <v>0</v>
      </c>
      <c r="H39" s="31">
        <f ca="1">_xll.DBRW($C$1,$C$2,$C$3,$C$4,$C$6,$C$5,$C$7,H$1,H$2,A39)</f>
        <v>0</v>
      </c>
      <c r="I39" s="31">
        <f ca="1">_xll.DBRW($C$1,$C$2,$C$3,$C$4,$C$6,$C$5,$C$7,I$1,I$2,A39)</f>
        <v>0</v>
      </c>
      <c r="J39" s="31">
        <f ca="1">_xll.DBRW($C$1,$C$2,$C$3,$C$4,$C$6,$C$5,$C$7,J$1,J$2,A39)</f>
        <v>0</v>
      </c>
      <c r="K39" s="31">
        <f ca="1">_xll.DBRW($C$1,$C$2,$C$3,$C$4,$C$6,$C$5,$C$7,K$1,K$2,A39)</f>
        <v>0</v>
      </c>
      <c r="L39" s="31">
        <f ca="1">_xll.DBRW($C$1,$C$2,$C$3,$C$4,$C$6,$C$5,$C$7,L$1,L$2,A39)</f>
        <v>0</v>
      </c>
      <c r="M39" s="31">
        <f ca="1">_xll.DBRW($C$1,$C$2,$C$3,$C$4,$C$6,$C$5,$C$7,M$1,M$2,A39)</f>
        <v>0</v>
      </c>
      <c r="N39" s="31">
        <f ca="1">_xll.DBRW($C$1,$C$2,$C$3,$C$4,$C$6,$C$5,$C$7,N$1,N$2,A39)</f>
        <v>0</v>
      </c>
      <c r="O39" s="31">
        <f ca="1">_xll.DBRW($C$1,$C$2,$C$3,$C$4,$C$6,$C$5,$C$7,O$1,O$2,A39)</f>
        <v>0</v>
      </c>
      <c r="P39" s="31">
        <f ca="1">_xll.DBRW($C$1,$C$2,$C$3,$C$4,$C$6,$C$5,$C$7,P$1,P$2,A39)</f>
        <v>0</v>
      </c>
      <c r="Q39" s="31">
        <f ca="1">_xll.DBRW($C$1,$C$2,$C$3,$C$4,$C$6,$C$5,$C$7,Q$1,Q$2,A39)</f>
        <v>0</v>
      </c>
      <c r="R39" s="31">
        <f ca="1">_xll.DBRW($C$1,$C$2,$C$3,$C$4,$C$6,$C$5,$C$7,R$1,R$2,A39)</f>
        <v>0</v>
      </c>
      <c r="S39" s="31">
        <f ca="1">_xll.DBRW($C$1,$C$2,$C$3,$C$4,$C$6,$C$5,$C$7,S$1,S$2,A39)</f>
        <v>0</v>
      </c>
      <c r="T39" s="31">
        <f ca="1">_xll.DBRW($C$1,$C$2,$C$3,$C$4,$C$6,$C$5,$C$7,T$1,T$2,A39)</f>
        <v>0</v>
      </c>
      <c r="U39" s="31">
        <f ca="1">_xll.DBRW($C$1,$C$2,$C$3,$C$4,$C$6,$C$5,$C$7,U$1,U$2,A39)</f>
        <v>0</v>
      </c>
      <c r="V39" s="31">
        <f ca="1">_xll.DBRW($C$1,$C$2,$C$3,$C$4,$C$6,$C$5,$C$7,V$1,V$2,A39)</f>
        <v>0</v>
      </c>
      <c r="W39" s="31">
        <f ca="1">_xll.DBRW($C$1,$C$2,$C$3,$C$4,$C$6,$C$5,$C$7,W$1,W$2,A39)</f>
        <v>0</v>
      </c>
      <c r="X39" s="31">
        <f ca="1">_xll.DBRW($C$1,$C$2,$C$3,$C$4,$C$6,$C$5,$C$7,X$1,X$2,A39)</f>
        <v>0</v>
      </c>
      <c r="Y39" s="31">
        <f ca="1">_xll.DBRW($C$1,$C$2,$C$3,$C$4,$C$6,$C$5,$C$7,Y$1,Y$2,A39)</f>
        <v>0</v>
      </c>
      <c r="Z39" s="31">
        <f ca="1">_xll.DBRW($C$1,$C$2,$C$3,$C$4,$C$6,$C$5,$C$7,Z$1,Z$2,A39)</f>
        <v>0</v>
      </c>
      <c r="AA39" s="31">
        <f ca="1">_xll.DBRW($C$1,$C$2,$C$3,$C$4,$C$6,$C$5,$C$7,AA$1,AA$2,A39)</f>
        <v>0</v>
      </c>
      <c r="AB39" s="31">
        <f ca="1">_xll.DBRW($C$1,$C$2,$C$3,$C$4,$C$6,$C$5,$C$7,AB$1,AB$2,A39)</f>
        <v>0</v>
      </c>
      <c r="AC39" s="31">
        <f ca="1">_xll.DBRW($C$1,$C$2,$C$3,$C$4,$C$6,$C$5,$C$7,AC$1,AC$2,A39)</f>
        <v>0</v>
      </c>
      <c r="AD39" s="31">
        <f ca="1">_xll.DBRW($C$1,$C$2,$C$3,$C$4,$C$6,$C$5,$C$7,AD$1,AD$2,A39)</f>
        <v>0</v>
      </c>
      <c r="AE39" s="31">
        <f ca="1">_xll.DBRW($C$1,$C$2,$C$3,$C$4,$C$6,$C$5,$C$7,AE$1,AE$2,A39)</f>
        <v>0</v>
      </c>
      <c r="AF39" s="31">
        <f ca="1">_xll.DBRW($C$1,$C$2,$C$3,$C$4,$C$6,$C$5,$C$7,AF$1,AF$2,A39)</f>
        <v>0</v>
      </c>
      <c r="AG39" s="31">
        <f ca="1">_xll.DBRW($C$1,$C$2,$C$3,$C$4,$C$6,$C$5,$C$7,AG$1,AG$2,A39)</f>
        <v>0</v>
      </c>
      <c r="AH39" s="31">
        <f ca="1">_xll.DBRW($C$1,$C$2,$C$3,$C$4,$C$6,$C$5,$C$7,AH$1,AH$2,A39)</f>
        <v>0</v>
      </c>
      <c r="AI39" s="31">
        <f ca="1">_xll.DBRW($C$1,$C$2,$C$3,$C$4,$C$6,$C$5,$C$7,AI$1,AI$2,A39)</f>
        <v>0</v>
      </c>
      <c r="AJ39" s="31">
        <f ca="1">_xll.DBRW($C$1,$C$2,$C$3,$C$4,$C$6,$C$5,$C$7,AJ$1,AJ$2,A39)</f>
        <v>0</v>
      </c>
      <c r="AK39" s="31">
        <f ca="1">_xll.DBRW($C$1,$C$2,$C$3,$C$4,$C$6,$C$5,$C$7,AK$1,AK$2,A39)</f>
        <v>0</v>
      </c>
      <c r="AL39" s="31">
        <f ca="1">_xll.DBRW($C$1,$C$2,$C$3,$C$4,$C$6,$C$5,$C$7,AL$1,AL$2,A39)</f>
        <v>0</v>
      </c>
      <c r="AM39" s="31">
        <f ca="1">_xll.DBRW($C$1,$C$2,$C$3,$C$4,$C$6,$C$5,$C$7,AM$1,AM$2,A39)</f>
        <v>0</v>
      </c>
      <c r="AN39" s="31">
        <f ca="1">_xll.DBRW($C$1,$C$2,$C$3,$C$4,$C$6,$C$5,$C$7,AN$1,AN$2,A39)</f>
        <v>0</v>
      </c>
      <c r="AO39" s="31">
        <f ca="1">_xll.DBRW($C$1,$C$2,$C$3,$C$4,$C$6,$C$5,$C$7,AO$1,AO$2,A39)</f>
        <v>0</v>
      </c>
      <c r="AP39" s="31">
        <f ca="1">_xll.DBRW($C$1,$C$2,$C$3,$C$4,$C$6,$C$5,$C$7,AP$1,AP$2,A39)</f>
        <v>0</v>
      </c>
      <c r="AQ39" s="31">
        <f ca="1">_xll.DBRW($C$1,$C$2,$C$3,$C$4,$C$6,$C$5,$C$7,AQ$1,AQ$2,A39)</f>
        <v>0</v>
      </c>
      <c r="AR39" s="31">
        <f ca="1">_xll.DBRW($C$1,$C$2,$C$3,$C$4,$C$6,$C$5,$C$7,AR$1,AR$2,A39)</f>
        <v>0</v>
      </c>
      <c r="AS39" s="31">
        <f ca="1">_xll.DBRW($C$1,$C$2,$C$3,$C$4,$C$6,$C$5,$C$7,AS$1,AS$2,A39)</f>
        <v>0</v>
      </c>
      <c r="AT39" s="31">
        <f ca="1">_xll.DBRW($C$1,$C$2,$C$3,$C$4,$C$6,$C$5,$C$7,AT$1,AT$2,A39)</f>
        <v>0</v>
      </c>
      <c r="AU39" s="31">
        <f ca="1">_xll.DBRW($C$1,$C$2,$C$3,$C$4,$C$6,$C$5,$C$7,AU$1,AU$2,A39)</f>
        <v>0</v>
      </c>
    </row>
    <row r="40" spans="1:47" ht="15.75" hidden="1" customHeight="1" outlineLevel="1">
      <c r="A40" s="1" t="s">
        <v>139</v>
      </c>
      <c r="C40" s="141"/>
      <c r="E40" s="9" t="str">
        <f ca="1">_xll.DBRW(Server&amp;"}ElementAttributes_Indicator",A40,"code_English")</f>
        <v>PL1155_DO_10 - Reinvoicing - Others (DO)</v>
      </c>
      <c r="F40" s="31">
        <f ca="1">_xll.DBRW($C$1,$C$2,$C$3,$C$4,$C$6,$C$5,$C$7,F$1,F$2,A40)</f>
        <v>0</v>
      </c>
      <c r="G40" s="31">
        <f ca="1">_xll.DBRW($C$1,$C$2,$C$3,$C$4,$C$6,$C$5,$C$7,G$1,G$2,A40)</f>
        <v>0</v>
      </c>
      <c r="H40" s="31">
        <f ca="1">_xll.DBRW($C$1,$C$2,$C$3,$C$4,$C$6,$C$5,$C$7,H$1,H$2,A40)</f>
        <v>0</v>
      </c>
      <c r="I40" s="31">
        <f ca="1">_xll.DBRW($C$1,$C$2,$C$3,$C$4,$C$6,$C$5,$C$7,I$1,I$2,A40)</f>
        <v>0</v>
      </c>
      <c r="J40" s="31">
        <f ca="1">_xll.DBRW($C$1,$C$2,$C$3,$C$4,$C$6,$C$5,$C$7,J$1,J$2,A40)</f>
        <v>0</v>
      </c>
      <c r="K40" s="31">
        <f ca="1">_xll.DBRW($C$1,$C$2,$C$3,$C$4,$C$6,$C$5,$C$7,K$1,K$2,A40)</f>
        <v>0</v>
      </c>
      <c r="L40" s="31">
        <f ca="1">_xll.DBRW($C$1,$C$2,$C$3,$C$4,$C$6,$C$5,$C$7,L$1,L$2,A40)</f>
        <v>0</v>
      </c>
      <c r="M40" s="31">
        <f ca="1">_xll.DBRW($C$1,$C$2,$C$3,$C$4,$C$6,$C$5,$C$7,M$1,M$2,A40)</f>
        <v>0</v>
      </c>
      <c r="N40" s="31">
        <f ca="1">_xll.DBRW($C$1,$C$2,$C$3,$C$4,$C$6,$C$5,$C$7,N$1,N$2,A40)</f>
        <v>0</v>
      </c>
      <c r="O40" s="31">
        <f ca="1">_xll.DBRW($C$1,$C$2,$C$3,$C$4,$C$6,$C$5,$C$7,O$1,O$2,A40)</f>
        <v>0</v>
      </c>
      <c r="P40" s="31">
        <f ca="1">_xll.DBRW($C$1,$C$2,$C$3,$C$4,$C$6,$C$5,$C$7,P$1,P$2,A40)</f>
        <v>0</v>
      </c>
      <c r="Q40" s="31">
        <f ca="1">_xll.DBRW($C$1,$C$2,$C$3,$C$4,$C$6,$C$5,$C$7,Q$1,Q$2,A40)</f>
        <v>0</v>
      </c>
      <c r="R40" s="31">
        <f ca="1">_xll.DBRW($C$1,$C$2,$C$3,$C$4,$C$6,$C$5,$C$7,R$1,R$2,A40)</f>
        <v>0</v>
      </c>
      <c r="S40" s="31">
        <f ca="1">_xll.DBRW($C$1,$C$2,$C$3,$C$4,$C$6,$C$5,$C$7,S$1,S$2,A40)</f>
        <v>0</v>
      </c>
      <c r="T40" s="31">
        <f ca="1">_xll.DBRW($C$1,$C$2,$C$3,$C$4,$C$6,$C$5,$C$7,T$1,T$2,A40)</f>
        <v>0</v>
      </c>
      <c r="U40" s="31">
        <f ca="1">_xll.DBRW($C$1,$C$2,$C$3,$C$4,$C$6,$C$5,$C$7,U$1,U$2,A40)</f>
        <v>0</v>
      </c>
      <c r="V40" s="31">
        <f ca="1">_xll.DBRW($C$1,$C$2,$C$3,$C$4,$C$6,$C$5,$C$7,V$1,V$2,A40)</f>
        <v>0</v>
      </c>
      <c r="W40" s="31">
        <f ca="1">_xll.DBRW($C$1,$C$2,$C$3,$C$4,$C$6,$C$5,$C$7,W$1,W$2,A40)</f>
        <v>0</v>
      </c>
      <c r="X40" s="31">
        <f ca="1">_xll.DBRW($C$1,$C$2,$C$3,$C$4,$C$6,$C$5,$C$7,X$1,X$2,A40)</f>
        <v>0</v>
      </c>
      <c r="Y40" s="31">
        <f ca="1">_xll.DBRW($C$1,$C$2,$C$3,$C$4,$C$6,$C$5,$C$7,Y$1,Y$2,A40)</f>
        <v>0</v>
      </c>
      <c r="Z40" s="31">
        <f ca="1">_xll.DBRW($C$1,$C$2,$C$3,$C$4,$C$6,$C$5,$C$7,Z$1,Z$2,A40)</f>
        <v>0</v>
      </c>
      <c r="AA40" s="31">
        <f ca="1">_xll.DBRW($C$1,$C$2,$C$3,$C$4,$C$6,$C$5,$C$7,AA$1,AA$2,A40)</f>
        <v>0</v>
      </c>
      <c r="AB40" s="31">
        <f ca="1">_xll.DBRW($C$1,$C$2,$C$3,$C$4,$C$6,$C$5,$C$7,AB$1,AB$2,A40)</f>
        <v>0</v>
      </c>
      <c r="AC40" s="31">
        <f ca="1">_xll.DBRW($C$1,$C$2,$C$3,$C$4,$C$6,$C$5,$C$7,AC$1,AC$2,A40)</f>
        <v>0</v>
      </c>
      <c r="AD40" s="31">
        <f ca="1">_xll.DBRW($C$1,$C$2,$C$3,$C$4,$C$6,$C$5,$C$7,AD$1,AD$2,A40)</f>
        <v>0</v>
      </c>
      <c r="AE40" s="31">
        <f ca="1">_xll.DBRW($C$1,$C$2,$C$3,$C$4,$C$6,$C$5,$C$7,AE$1,AE$2,A40)</f>
        <v>0</v>
      </c>
      <c r="AF40" s="31">
        <f ca="1">_xll.DBRW($C$1,$C$2,$C$3,$C$4,$C$6,$C$5,$C$7,AF$1,AF$2,A40)</f>
        <v>0</v>
      </c>
      <c r="AG40" s="31">
        <f ca="1">_xll.DBRW($C$1,$C$2,$C$3,$C$4,$C$6,$C$5,$C$7,AG$1,AG$2,A40)</f>
        <v>0</v>
      </c>
      <c r="AH40" s="31">
        <f ca="1">_xll.DBRW($C$1,$C$2,$C$3,$C$4,$C$6,$C$5,$C$7,AH$1,AH$2,A40)</f>
        <v>0</v>
      </c>
      <c r="AI40" s="31">
        <f ca="1">_xll.DBRW($C$1,$C$2,$C$3,$C$4,$C$6,$C$5,$C$7,AI$1,AI$2,A40)</f>
        <v>0</v>
      </c>
      <c r="AJ40" s="31">
        <f ca="1">_xll.DBRW($C$1,$C$2,$C$3,$C$4,$C$6,$C$5,$C$7,AJ$1,AJ$2,A40)</f>
        <v>0</v>
      </c>
      <c r="AK40" s="31">
        <f ca="1">_xll.DBRW($C$1,$C$2,$C$3,$C$4,$C$6,$C$5,$C$7,AK$1,AK$2,A40)</f>
        <v>0</v>
      </c>
      <c r="AL40" s="31">
        <f ca="1">_xll.DBRW($C$1,$C$2,$C$3,$C$4,$C$6,$C$5,$C$7,AL$1,AL$2,A40)</f>
        <v>0</v>
      </c>
      <c r="AM40" s="31">
        <f ca="1">_xll.DBRW($C$1,$C$2,$C$3,$C$4,$C$6,$C$5,$C$7,AM$1,AM$2,A40)</f>
        <v>0</v>
      </c>
      <c r="AN40" s="31">
        <f ca="1">_xll.DBRW($C$1,$C$2,$C$3,$C$4,$C$6,$C$5,$C$7,AN$1,AN$2,A40)</f>
        <v>0</v>
      </c>
      <c r="AO40" s="31">
        <f ca="1">_xll.DBRW($C$1,$C$2,$C$3,$C$4,$C$6,$C$5,$C$7,AO$1,AO$2,A40)</f>
        <v>0</v>
      </c>
      <c r="AP40" s="31">
        <f ca="1">_xll.DBRW($C$1,$C$2,$C$3,$C$4,$C$6,$C$5,$C$7,AP$1,AP$2,A40)</f>
        <v>0</v>
      </c>
      <c r="AQ40" s="31">
        <f ca="1">_xll.DBRW($C$1,$C$2,$C$3,$C$4,$C$6,$C$5,$C$7,AQ$1,AQ$2,A40)</f>
        <v>0</v>
      </c>
      <c r="AR40" s="31">
        <f ca="1">_xll.DBRW($C$1,$C$2,$C$3,$C$4,$C$6,$C$5,$C$7,AR$1,AR$2,A40)</f>
        <v>0</v>
      </c>
      <c r="AS40" s="31">
        <f ca="1">_xll.DBRW($C$1,$C$2,$C$3,$C$4,$C$6,$C$5,$C$7,AS$1,AS$2,A40)</f>
        <v>0</v>
      </c>
      <c r="AT40" s="31">
        <f ca="1">_xll.DBRW($C$1,$C$2,$C$3,$C$4,$C$6,$C$5,$C$7,AT$1,AT$2,A40)</f>
        <v>0</v>
      </c>
      <c r="AU40" s="31">
        <f ca="1">_xll.DBRW($C$1,$C$2,$C$3,$C$4,$C$6,$C$5,$C$7,AU$1,AU$2,A40)</f>
        <v>0</v>
      </c>
    </row>
    <row r="41" spans="1:47" ht="15.75" collapsed="1">
      <c r="A41" s="72" t="s">
        <v>124</v>
      </c>
      <c r="B41" s="76"/>
      <c r="C41" s="141"/>
      <c r="E41" s="124" t="s">
        <v>19</v>
      </c>
      <c r="F41" s="125">
        <f t="shared" ref="F41:T41" ca="1" si="15">SUM(F31:F40)</f>
        <v>-291849963.83999997</v>
      </c>
      <c r="G41" s="125">
        <f t="shared" ca="1" si="15"/>
        <v>-260897347.56</v>
      </c>
      <c r="H41" s="125">
        <f t="shared" ca="1" si="15"/>
        <v>-246465232.15999997</v>
      </c>
      <c r="I41" s="125">
        <f t="shared" ca="1" si="15"/>
        <v>-22692465.500000004</v>
      </c>
      <c r="J41" s="125">
        <f t="shared" ca="1" si="15"/>
        <v>-45465015.970000006</v>
      </c>
      <c r="K41" s="125">
        <f t="shared" ca="1" si="15"/>
        <v>-69874883.879999995</v>
      </c>
      <c r="L41" s="125">
        <f t="shared" ca="1" si="15"/>
        <v>-92074452.989999995</v>
      </c>
      <c r="M41" s="125">
        <f t="shared" ca="1" si="15"/>
        <v>-115226914.02</v>
      </c>
      <c r="N41" s="125">
        <f t="shared" ca="1" si="15"/>
        <v>-138396586.41</v>
      </c>
      <c r="O41" s="125">
        <f t="shared" ca="1" si="15"/>
        <v>-138396586.41</v>
      </c>
      <c r="P41" s="125">
        <f t="shared" ca="1" si="15"/>
        <v>-138396586.41</v>
      </c>
      <c r="Q41" s="125">
        <f t="shared" ca="1" si="15"/>
        <v>-138396586.41</v>
      </c>
      <c r="R41" s="125">
        <f t="shared" ca="1" si="15"/>
        <v>-138396586.41</v>
      </c>
      <c r="S41" s="125">
        <f t="shared" ca="1" si="15"/>
        <v>-138396586.41</v>
      </c>
      <c r="T41" s="125">
        <f t="shared" ca="1" si="15"/>
        <v>-138396586.41</v>
      </c>
      <c r="U41" s="125">
        <f ca="1">SUM(U31:U40)</f>
        <v>-138396586.41</v>
      </c>
      <c r="V41" s="125">
        <f t="shared" ref="V41:AG41" ca="1" si="16">SUM(V31:V40)</f>
        <v>0</v>
      </c>
      <c r="W41" s="125">
        <f t="shared" ca="1" si="16"/>
        <v>0</v>
      </c>
      <c r="X41" s="125">
        <f t="shared" ca="1" si="16"/>
        <v>0</v>
      </c>
      <c r="Y41" s="125">
        <f t="shared" ca="1" si="16"/>
        <v>0</v>
      </c>
      <c r="Z41" s="125">
        <f t="shared" ca="1" si="16"/>
        <v>0</v>
      </c>
      <c r="AA41" s="125">
        <f t="shared" ca="1" si="16"/>
        <v>0</v>
      </c>
      <c r="AB41" s="125">
        <f t="shared" ca="1" si="16"/>
        <v>0</v>
      </c>
      <c r="AC41" s="125">
        <f t="shared" ca="1" si="16"/>
        <v>0</v>
      </c>
      <c r="AD41" s="125">
        <f t="shared" ca="1" si="16"/>
        <v>0</v>
      </c>
      <c r="AE41" s="125">
        <f t="shared" ca="1" si="16"/>
        <v>0</v>
      </c>
      <c r="AF41" s="125">
        <f t="shared" ca="1" si="16"/>
        <v>0</v>
      </c>
      <c r="AG41" s="125">
        <f t="shared" ca="1" si="16"/>
        <v>0</v>
      </c>
      <c r="AH41" s="125">
        <f ca="1">SUM(AH31:AH40)</f>
        <v>0</v>
      </c>
      <c r="AI41" s="125">
        <f t="shared" ref="AI41:AT41" ca="1" si="17">SUM(AI31:AI40)</f>
        <v>0</v>
      </c>
      <c r="AJ41" s="125">
        <f t="shared" ca="1" si="17"/>
        <v>0</v>
      </c>
      <c r="AK41" s="125">
        <f t="shared" ca="1" si="17"/>
        <v>0</v>
      </c>
      <c r="AL41" s="125">
        <f t="shared" ca="1" si="17"/>
        <v>0</v>
      </c>
      <c r="AM41" s="125">
        <f t="shared" ca="1" si="17"/>
        <v>0</v>
      </c>
      <c r="AN41" s="125">
        <f t="shared" ca="1" si="17"/>
        <v>0</v>
      </c>
      <c r="AO41" s="125">
        <f t="shared" ca="1" si="17"/>
        <v>0</v>
      </c>
      <c r="AP41" s="125">
        <f t="shared" ca="1" si="17"/>
        <v>0</v>
      </c>
      <c r="AQ41" s="125">
        <f t="shared" ca="1" si="17"/>
        <v>0</v>
      </c>
      <c r="AR41" s="125">
        <f t="shared" ca="1" si="17"/>
        <v>0</v>
      </c>
      <c r="AS41" s="125">
        <f t="shared" ca="1" si="17"/>
        <v>0</v>
      </c>
      <c r="AT41" s="125">
        <f t="shared" ca="1" si="17"/>
        <v>0</v>
      </c>
      <c r="AU41" s="125">
        <f ca="1">SUM(AU31:AU40)</f>
        <v>0</v>
      </c>
    </row>
    <row r="42" spans="1:47" ht="15.75" hidden="1" customHeight="1" outlineLevel="1">
      <c r="A42" s="1" t="s">
        <v>140</v>
      </c>
      <c r="C42" s="141"/>
      <c r="E42" s="9" t="str">
        <f ca="1">_xll.DBRW(Server&amp;"}ElementAttributes_Indicator",A42,"code_English")</f>
        <v>PL1110_MF_10 - Staff costs (MF)</v>
      </c>
      <c r="F42" s="31">
        <f ca="1">_xll.DBRW($C$1,$C$2,$C$3,$C$4,$C$6,$C$5,$C$7,F$1,F$2,A42)</f>
        <v>-10680397.709999999</v>
      </c>
      <c r="G42" s="31">
        <f ca="1">_xll.DBRW($C$1,$C$2,$C$3,$C$4,$C$6,$C$5,$C$7,G$1,G$2,A42)</f>
        <v>-10244151.739999998</v>
      </c>
      <c r="H42" s="31">
        <f ca="1">_xll.DBRW($C$1,$C$2,$C$3,$C$4,$C$6,$C$5,$C$7,H$1,H$2,A42)</f>
        <v>-8941072.9400000013</v>
      </c>
      <c r="I42" s="31">
        <f ca="1">_xll.DBRW($C$1,$C$2,$C$3,$C$4,$C$6,$C$5,$C$7,I$1,I$2,A42)</f>
        <v>-730762.72</v>
      </c>
      <c r="J42" s="31">
        <f ca="1">_xll.DBRW($C$1,$C$2,$C$3,$C$4,$C$6,$C$5,$C$7,J$1,J$2,A42)</f>
        <v>-1461835.7799999998</v>
      </c>
      <c r="K42" s="31">
        <f ca="1">_xll.DBRW($C$1,$C$2,$C$3,$C$4,$C$6,$C$5,$C$7,K$1,K$2,A42)</f>
        <v>-2242099.4300000002</v>
      </c>
      <c r="L42" s="31">
        <f ca="1">_xll.DBRW($C$1,$C$2,$C$3,$C$4,$C$6,$C$5,$C$7,L$1,L$2,A42)</f>
        <v>-3014069.54</v>
      </c>
      <c r="M42" s="31">
        <f ca="1">_xll.DBRW($C$1,$C$2,$C$3,$C$4,$C$6,$C$5,$C$7,M$1,M$2,A42)</f>
        <v>-3730108.75</v>
      </c>
      <c r="N42" s="31">
        <f ca="1">_xll.DBRW($C$1,$C$2,$C$3,$C$4,$C$6,$C$5,$C$7,N$1,N$2,A42)</f>
        <v>-4423819.7699999996</v>
      </c>
      <c r="O42" s="31">
        <f ca="1">_xll.DBRW($C$1,$C$2,$C$3,$C$4,$C$6,$C$5,$C$7,O$1,O$2,A42)</f>
        <v>-4423819.7699999996</v>
      </c>
      <c r="P42" s="31">
        <f ca="1">_xll.DBRW($C$1,$C$2,$C$3,$C$4,$C$6,$C$5,$C$7,P$1,P$2,A42)</f>
        <v>-4423819.7699999996</v>
      </c>
      <c r="Q42" s="31">
        <f ca="1">_xll.DBRW($C$1,$C$2,$C$3,$C$4,$C$6,$C$5,$C$7,Q$1,Q$2,A42)</f>
        <v>-4423819.7699999996</v>
      </c>
      <c r="R42" s="31">
        <f ca="1">_xll.DBRW($C$1,$C$2,$C$3,$C$4,$C$6,$C$5,$C$7,R$1,R$2,A42)</f>
        <v>-4423819.7699999996</v>
      </c>
      <c r="S42" s="31">
        <f ca="1">_xll.DBRW($C$1,$C$2,$C$3,$C$4,$C$6,$C$5,$C$7,S$1,S$2,A42)</f>
        <v>-4423819.7699999996</v>
      </c>
      <c r="T42" s="31">
        <f ca="1">_xll.DBRW($C$1,$C$2,$C$3,$C$4,$C$6,$C$5,$C$7,T$1,T$2,A42)</f>
        <v>-4423819.7699999996</v>
      </c>
      <c r="U42" s="31">
        <f ca="1">_xll.DBRW($C$1,$C$2,$C$3,$C$4,$C$6,$C$5,$C$7,U$1,U$2,A42)</f>
        <v>-4423819.7699999996</v>
      </c>
      <c r="V42" s="31">
        <f ca="1">_xll.DBRW($C$1,$C$2,$C$3,$C$4,$C$6,$C$5,$C$7,V$1,V$2,A42)</f>
        <v>0</v>
      </c>
      <c r="W42" s="31">
        <f ca="1">_xll.DBRW($C$1,$C$2,$C$3,$C$4,$C$6,$C$5,$C$7,W$1,W$2,A42)</f>
        <v>0</v>
      </c>
      <c r="X42" s="31">
        <f ca="1">_xll.DBRW($C$1,$C$2,$C$3,$C$4,$C$6,$C$5,$C$7,X$1,X$2,A42)</f>
        <v>0</v>
      </c>
      <c r="Y42" s="31">
        <f ca="1">_xll.DBRW($C$1,$C$2,$C$3,$C$4,$C$6,$C$5,$C$7,Y$1,Y$2,A42)</f>
        <v>0</v>
      </c>
      <c r="Z42" s="31">
        <f ca="1">_xll.DBRW($C$1,$C$2,$C$3,$C$4,$C$6,$C$5,$C$7,Z$1,Z$2,A42)</f>
        <v>0</v>
      </c>
      <c r="AA42" s="31">
        <f ca="1">_xll.DBRW($C$1,$C$2,$C$3,$C$4,$C$6,$C$5,$C$7,AA$1,AA$2,A42)</f>
        <v>0</v>
      </c>
      <c r="AB42" s="31">
        <f ca="1">_xll.DBRW($C$1,$C$2,$C$3,$C$4,$C$6,$C$5,$C$7,AB$1,AB$2,A42)</f>
        <v>0</v>
      </c>
      <c r="AC42" s="31">
        <f ca="1">_xll.DBRW($C$1,$C$2,$C$3,$C$4,$C$6,$C$5,$C$7,AC$1,AC$2,A42)</f>
        <v>0</v>
      </c>
      <c r="AD42" s="31">
        <f ca="1">_xll.DBRW($C$1,$C$2,$C$3,$C$4,$C$6,$C$5,$C$7,AD$1,AD$2,A42)</f>
        <v>0</v>
      </c>
      <c r="AE42" s="31">
        <f ca="1">_xll.DBRW($C$1,$C$2,$C$3,$C$4,$C$6,$C$5,$C$7,AE$1,AE$2,A42)</f>
        <v>0</v>
      </c>
      <c r="AF42" s="31">
        <f ca="1">_xll.DBRW($C$1,$C$2,$C$3,$C$4,$C$6,$C$5,$C$7,AF$1,AF$2,A42)</f>
        <v>0</v>
      </c>
      <c r="AG42" s="31">
        <f ca="1">_xll.DBRW($C$1,$C$2,$C$3,$C$4,$C$6,$C$5,$C$7,AG$1,AG$2,A42)</f>
        <v>0</v>
      </c>
      <c r="AH42" s="31">
        <f ca="1">_xll.DBRW($C$1,$C$2,$C$3,$C$4,$C$6,$C$5,$C$7,AH$1,AH$2,A42)</f>
        <v>0</v>
      </c>
      <c r="AI42" s="31">
        <f ca="1">_xll.DBRW($C$1,$C$2,$C$3,$C$4,$C$6,$C$5,$C$7,AI$1,AI$2,A42)</f>
        <v>0</v>
      </c>
      <c r="AJ42" s="31">
        <f ca="1">_xll.DBRW($C$1,$C$2,$C$3,$C$4,$C$6,$C$5,$C$7,AJ$1,AJ$2,A42)</f>
        <v>0</v>
      </c>
      <c r="AK42" s="31">
        <f ca="1">_xll.DBRW($C$1,$C$2,$C$3,$C$4,$C$6,$C$5,$C$7,AK$1,AK$2,A42)</f>
        <v>0</v>
      </c>
      <c r="AL42" s="31">
        <f ca="1">_xll.DBRW($C$1,$C$2,$C$3,$C$4,$C$6,$C$5,$C$7,AL$1,AL$2,A42)</f>
        <v>0</v>
      </c>
      <c r="AM42" s="31">
        <f ca="1">_xll.DBRW($C$1,$C$2,$C$3,$C$4,$C$6,$C$5,$C$7,AM$1,AM$2,A42)</f>
        <v>0</v>
      </c>
      <c r="AN42" s="31">
        <f ca="1">_xll.DBRW($C$1,$C$2,$C$3,$C$4,$C$6,$C$5,$C$7,AN$1,AN$2,A42)</f>
        <v>0</v>
      </c>
      <c r="AO42" s="31">
        <f ca="1">_xll.DBRW($C$1,$C$2,$C$3,$C$4,$C$6,$C$5,$C$7,AO$1,AO$2,A42)</f>
        <v>0</v>
      </c>
      <c r="AP42" s="31">
        <f ca="1">_xll.DBRW($C$1,$C$2,$C$3,$C$4,$C$6,$C$5,$C$7,AP$1,AP$2,A42)</f>
        <v>0</v>
      </c>
      <c r="AQ42" s="31">
        <f ca="1">_xll.DBRW($C$1,$C$2,$C$3,$C$4,$C$6,$C$5,$C$7,AQ$1,AQ$2,A42)</f>
        <v>0</v>
      </c>
      <c r="AR42" s="31">
        <f ca="1">_xll.DBRW($C$1,$C$2,$C$3,$C$4,$C$6,$C$5,$C$7,AR$1,AR$2,A42)</f>
        <v>0</v>
      </c>
      <c r="AS42" s="31">
        <f ca="1">_xll.DBRW($C$1,$C$2,$C$3,$C$4,$C$6,$C$5,$C$7,AS$1,AS$2,A42)</f>
        <v>0</v>
      </c>
      <c r="AT42" s="31">
        <f ca="1">_xll.DBRW($C$1,$C$2,$C$3,$C$4,$C$6,$C$5,$C$7,AT$1,AT$2,A42)</f>
        <v>0</v>
      </c>
      <c r="AU42" s="31">
        <f ca="1">_xll.DBRW($C$1,$C$2,$C$3,$C$4,$C$6,$C$5,$C$7,AU$1,AU$2,A42)</f>
        <v>0</v>
      </c>
    </row>
    <row r="43" spans="1:47" ht="15.75" hidden="1" customHeight="1" outlineLevel="1">
      <c r="A43" s="1" t="s">
        <v>141</v>
      </c>
      <c r="C43" s="141"/>
      <c r="E43" s="9" t="str">
        <f ca="1">_xll.DBRW(Server&amp;"}ElementAttributes_Indicator",A43,"code_English")</f>
        <v>PL1115_MF_20 - Interim staff (MF)</v>
      </c>
      <c r="F43" s="31">
        <f ca="1">_xll.DBRW($C$1,$C$2,$C$3,$C$4,$C$6,$C$5,$C$7,F$1,F$2,A43)</f>
        <v>0</v>
      </c>
      <c r="G43" s="31">
        <f ca="1">_xll.DBRW($C$1,$C$2,$C$3,$C$4,$C$6,$C$5,$C$7,G$1,G$2,A43)</f>
        <v>0</v>
      </c>
      <c r="H43" s="31">
        <f ca="1">_xll.DBRW($C$1,$C$2,$C$3,$C$4,$C$6,$C$5,$C$7,H$1,H$2,A43)</f>
        <v>0</v>
      </c>
      <c r="I43" s="31">
        <f ca="1">_xll.DBRW($C$1,$C$2,$C$3,$C$4,$C$6,$C$5,$C$7,I$1,I$2,A43)</f>
        <v>0</v>
      </c>
      <c r="J43" s="31">
        <f ca="1">_xll.DBRW($C$1,$C$2,$C$3,$C$4,$C$6,$C$5,$C$7,J$1,J$2,A43)</f>
        <v>0</v>
      </c>
      <c r="K43" s="31">
        <f ca="1">_xll.DBRW($C$1,$C$2,$C$3,$C$4,$C$6,$C$5,$C$7,K$1,K$2,A43)</f>
        <v>0</v>
      </c>
      <c r="L43" s="31">
        <f ca="1">_xll.DBRW($C$1,$C$2,$C$3,$C$4,$C$6,$C$5,$C$7,L$1,L$2,A43)</f>
        <v>0</v>
      </c>
      <c r="M43" s="31">
        <f ca="1">_xll.DBRW($C$1,$C$2,$C$3,$C$4,$C$6,$C$5,$C$7,M$1,M$2,A43)</f>
        <v>0</v>
      </c>
      <c r="N43" s="31">
        <f ca="1">_xll.DBRW($C$1,$C$2,$C$3,$C$4,$C$6,$C$5,$C$7,N$1,N$2,A43)</f>
        <v>0</v>
      </c>
      <c r="O43" s="31">
        <f ca="1">_xll.DBRW($C$1,$C$2,$C$3,$C$4,$C$6,$C$5,$C$7,O$1,O$2,A43)</f>
        <v>0</v>
      </c>
      <c r="P43" s="31">
        <f ca="1">_xll.DBRW($C$1,$C$2,$C$3,$C$4,$C$6,$C$5,$C$7,P$1,P$2,A43)</f>
        <v>0</v>
      </c>
      <c r="Q43" s="31">
        <f ca="1">_xll.DBRW($C$1,$C$2,$C$3,$C$4,$C$6,$C$5,$C$7,Q$1,Q$2,A43)</f>
        <v>0</v>
      </c>
      <c r="R43" s="31">
        <f ca="1">_xll.DBRW($C$1,$C$2,$C$3,$C$4,$C$6,$C$5,$C$7,R$1,R$2,A43)</f>
        <v>0</v>
      </c>
      <c r="S43" s="31">
        <f ca="1">_xll.DBRW($C$1,$C$2,$C$3,$C$4,$C$6,$C$5,$C$7,S$1,S$2,A43)</f>
        <v>0</v>
      </c>
      <c r="T43" s="31">
        <f ca="1">_xll.DBRW($C$1,$C$2,$C$3,$C$4,$C$6,$C$5,$C$7,T$1,T$2,A43)</f>
        <v>0</v>
      </c>
      <c r="U43" s="31">
        <f ca="1">_xll.DBRW($C$1,$C$2,$C$3,$C$4,$C$6,$C$5,$C$7,U$1,U$2,A43)</f>
        <v>0</v>
      </c>
      <c r="V43" s="31">
        <f ca="1">_xll.DBRW($C$1,$C$2,$C$3,$C$4,$C$6,$C$5,$C$7,V$1,V$2,A43)</f>
        <v>0</v>
      </c>
      <c r="W43" s="31">
        <f ca="1">_xll.DBRW($C$1,$C$2,$C$3,$C$4,$C$6,$C$5,$C$7,W$1,W$2,A43)</f>
        <v>0</v>
      </c>
      <c r="X43" s="31">
        <f ca="1">_xll.DBRW($C$1,$C$2,$C$3,$C$4,$C$6,$C$5,$C$7,X$1,X$2,A43)</f>
        <v>0</v>
      </c>
      <c r="Y43" s="31">
        <f ca="1">_xll.DBRW($C$1,$C$2,$C$3,$C$4,$C$6,$C$5,$C$7,Y$1,Y$2,A43)</f>
        <v>0</v>
      </c>
      <c r="Z43" s="31">
        <f ca="1">_xll.DBRW($C$1,$C$2,$C$3,$C$4,$C$6,$C$5,$C$7,Z$1,Z$2,A43)</f>
        <v>0</v>
      </c>
      <c r="AA43" s="31">
        <f ca="1">_xll.DBRW($C$1,$C$2,$C$3,$C$4,$C$6,$C$5,$C$7,AA$1,AA$2,A43)</f>
        <v>0</v>
      </c>
      <c r="AB43" s="31">
        <f ca="1">_xll.DBRW($C$1,$C$2,$C$3,$C$4,$C$6,$C$5,$C$7,AB$1,AB$2,A43)</f>
        <v>0</v>
      </c>
      <c r="AC43" s="31">
        <f ca="1">_xll.DBRW($C$1,$C$2,$C$3,$C$4,$C$6,$C$5,$C$7,AC$1,AC$2,A43)</f>
        <v>0</v>
      </c>
      <c r="AD43" s="31">
        <f ca="1">_xll.DBRW($C$1,$C$2,$C$3,$C$4,$C$6,$C$5,$C$7,AD$1,AD$2,A43)</f>
        <v>0</v>
      </c>
      <c r="AE43" s="31">
        <f ca="1">_xll.DBRW($C$1,$C$2,$C$3,$C$4,$C$6,$C$5,$C$7,AE$1,AE$2,A43)</f>
        <v>0</v>
      </c>
      <c r="AF43" s="31">
        <f ca="1">_xll.DBRW($C$1,$C$2,$C$3,$C$4,$C$6,$C$5,$C$7,AF$1,AF$2,A43)</f>
        <v>0</v>
      </c>
      <c r="AG43" s="31">
        <f ca="1">_xll.DBRW($C$1,$C$2,$C$3,$C$4,$C$6,$C$5,$C$7,AG$1,AG$2,A43)</f>
        <v>0</v>
      </c>
      <c r="AH43" s="31">
        <f ca="1">_xll.DBRW($C$1,$C$2,$C$3,$C$4,$C$6,$C$5,$C$7,AH$1,AH$2,A43)</f>
        <v>0</v>
      </c>
      <c r="AI43" s="31">
        <f ca="1">_xll.DBRW($C$1,$C$2,$C$3,$C$4,$C$6,$C$5,$C$7,AI$1,AI$2,A43)</f>
        <v>0</v>
      </c>
      <c r="AJ43" s="31">
        <f ca="1">_xll.DBRW($C$1,$C$2,$C$3,$C$4,$C$6,$C$5,$C$7,AJ$1,AJ$2,A43)</f>
        <v>0</v>
      </c>
      <c r="AK43" s="31">
        <f ca="1">_xll.DBRW($C$1,$C$2,$C$3,$C$4,$C$6,$C$5,$C$7,AK$1,AK$2,A43)</f>
        <v>0</v>
      </c>
      <c r="AL43" s="31">
        <f ca="1">_xll.DBRW($C$1,$C$2,$C$3,$C$4,$C$6,$C$5,$C$7,AL$1,AL$2,A43)</f>
        <v>0</v>
      </c>
      <c r="AM43" s="31">
        <f ca="1">_xll.DBRW($C$1,$C$2,$C$3,$C$4,$C$6,$C$5,$C$7,AM$1,AM$2,A43)</f>
        <v>0</v>
      </c>
      <c r="AN43" s="31">
        <f ca="1">_xll.DBRW($C$1,$C$2,$C$3,$C$4,$C$6,$C$5,$C$7,AN$1,AN$2,A43)</f>
        <v>0</v>
      </c>
      <c r="AO43" s="31">
        <f ca="1">_xll.DBRW($C$1,$C$2,$C$3,$C$4,$C$6,$C$5,$C$7,AO$1,AO$2,A43)</f>
        <v>0</v>
      </c>
      <c r="AP43" s="31">
        <f ca="1">_xll.DBRW($C$1,$C$2,$C$3,$C$4,$C$6,$C$5,$C$7,AP$1,AP$2,A43)</f>
        <v>0</v>
      </c>
      <c r="AQ43" s="31">
        <f ca="1">_xll.DBRW($C$1,$C$2,$C$3,$C$4,$C$6,$C$5,$C$7,AQ$1,AQ$2,A43)</f>
        <v>0</v>
      </c>
      <c r="AR43" s="31">
        <f ca="1">_xll.DBRW($C$1,$C$2,$C$3,$C$4,$C$6,$C$5,$C$7,AR$1,AR$2,A43)</f>
        <v>0</v>
      </c>
      <c r="AS43" s="31">
        <f ca="1">_xll.DBRW($C$1,$C$2,$C$3,$C$4,$C$6,$C$5,$C$7,AS$1,AS$2,A43)</f>
        <v>0</v>
      </c>
      <c r="AT43" s="31">
        <f ca="1">_xll.DBRW($C$1,$C$2,$C$3,$C$4,$C$6,$C$5,$C$7,AT$1,AT$2,A43)</f>
        <v>0</v>
      </c>
      <c r="AU43" s="31">
        <f ca="1">_xll.DBRW($C$1,$C$2,$C$3,$C$4,$C$6,$C$5,$C$7,AU$1,AU$2,A43)</f>
        <v>0</v>
      </c>
    </row>
    <row r="44" spans="1:47" ht="15.75" hidden="1" outlineLevel="1" collapsed="1">
      <c r="A44" s="1" t="s">
        <v>127</v>
      </c>
      <c r="C44" s="141"/>
      <c r="E44" s="14" t="s">
        <v>20</v>
      </c>
      <c r="F44" s="32">
        <f t="shared" ref="F44:T44" ca="1" si="18">SUM(F42:F43)</f>
        <v>-10680397.709999999</v>
      </c>
      <c r="G44" s="32">
        <f t="shared" ca="1" si="18"/>
        <v>-10244151.739999998</v>
      </c>
      <c r="H44" s="32">
        <f t="shared" ca="1" si="18"/>
        <v>-8941072.9400000013</v>
      </c>
      <c r="I44" s="32">
        <f t="shared" ca="1" si="18"/>
        <v>-730762.72</v>
      </c>
      <c r="J44" s="32">
        <f t="shared" ca="1" si="18"/>
        <v>-1461835.7799999998</v>
      </c>
      <c r="K44" s="32">
        <f t="shared" ca="1" si="18"/>
        <v>-2242099.4300000002</v>
      </c>
      <c r="L44" s="32">
        <f t="shared" ca="1" si="18"/>
        <v>-3014069.54</v>
      </c>
      <c r="M44" s="32">
        <f t="shared" ca="1" si="18"/>
        <v>-3730108.75</v>
      </c>
      <c r="N44" s="32">
        <f t="shared" ca="1" si="18"/>
        <v>-4423819.7699999996</v>
      </c>
      <c r="O44" s="32">
        <f t="shared" ca="1" si="18"/>
        <v>-4423819.7699999996</v>
      </c>
      <c r="P44" s="32">
        <f t="shared" ca="1" si="18"/>
        <v>-4423819.7699999996</v>
      </c>
      <c r="Q44" s="32">
        <f t="shared" ca="1" si="18"/>
        <v>-4423819.7699999996</v>
      </c>
      <c r="R44" s="32">
        <f t="shared" ca="1" si="18"/>
        <v>-4423819.7699999996</v>
      </c>
      <c r="S44" s="32">
        <f t="shared" ca="1" si="18"/>
        <v>-4423819.7699999996</v>
      </c>
      <c r="T44" s="32">
        <f t="shared" ca="1" si="18"/>
        <v>-4423819.7699999996</v>
      </c>
      <c r="U44" s="32">
        <f ca="1">SUM(U42:U43)</f>
        <v>-4423819.7699999996</v>
      </c>
      <c r="V44" s="32">
        <f t="shared" ref="V44:AG44" ca="1" si="19">SUM(V42:V43)</f>
        <v>0</v>
      </c>
      <c r="W44" s="32">
        <f t="shared" ca="1" si="19"/>
        <v>0</v>
      </c>
      <c r="X44" s="32">
        <f t="shared" ca="1" si="19"/>
        <v>0</v>
      </c>
      <c r="Y44" s="32">
        <f t="shared" ca="1" si="19"/>
        <v>0</v>
      </c>
      <c r="Z44" s="32">
        <f t="shared" ca="1" si="19"/>
        <v>0</v>
      </c>
      <c r="AA44" s="32">
        <f t="shared" ca="1" si="19"/>
        <v>0</v>
      </c>
      <c r="AB44" s="32">
        <f t="shared" ca="1" si="19"/>
        <v>0</v>
      </c>
      <c r="AC44" s="32">
        <f t="shared" ca="1" si="19"/>
        <v>0</v>
      </c>
      <c r="AD44" s="32">
        <f t="shared" ca="1" si="19"/>
        <v>0</v>
      </c>
      <c r="AE44" s="32">
        <f t="shared" ca="1" si="19"/>
        <v>0</v>
      </c>
      <c r="AF44" s="32">
        <f t="shared" ca="1" si="19"/>
        <v>0</v>
      </c>
      <c r="AG44" s="32">
        <f t="shared" ca="1" si="19"/>
        <v>0</v>
      </c>
      <c r="AH44" s="32">
        <f ca="1">SUM(AH42:AH43)</f>
        <v>0</v>
      </c>
      <c r="AI44" s="32">
        <f t="shared" ref="AI44:AT44" ca="1" si="20">SUM(AI42:AI43)</f>
        <v>0</v>
      </c>
      <c r="AJ44" s="32">
        <f t="shared" ca="1" si="20"/>
        <v>0</v>
      </c>
      <c r="AK44" s="32">
        <f t="shared" ca="1" si="20"/>
        <v>0</v>
      </c>
      <c r="AL44" s="32">
        <f t="shared" ca="1" si="20"/>
        <v>0</v>
      </c>
      <c r="AM44" s="32">
        <f t="shared" ca="1" si="20"/>
        <v>0</v>
      </c>
      <c r="AN44" s="32">
        <f t="shared" ca="1" si="20"/>
        <v>0</v>
      </c>
      <c r="AO44" s="32">
        <f t="shared" ca="1" si="20"/>
        <v>0</v>
      </c>
      <c r="AP44" s="32">
        <f t="shared" ca="1" si="20"/>
        <v>0</v>
      </c>
      <c r="AQ44" s="32">
        <f t="shared" ca="1" si="20"/>
        <v>0</v>
      </c>
      <c r="AR44" s="32">
        <f t="shared" ca="1" si="20"/>
        <v>0</v>
      </c>
      <c r="AS44" s="32">
        <f t="shared" ca="1" si="20"/>
        <v>0</v>
      </c>
      <c r="AT44" s="32">
        <f t="shared" ca="1" si="20"/>
        <v>0</v>
      </c>
      <c r="AU44" s="32">
        <f ca="1">SUM(AU42:AU43)</f>
        <v>0</v>
      </c>
    </row>
    <row r="45" spans="1:47" ht="15.75" hidden="1" customHeight="1" outlineLevel="2">
      <c r="A45" s="1" t="s">
        <v>142</v>
      </c>
      <c r="C45" s="141"/>
      <c r="E45" s="9" t="str">
        <f ca="1">_xll.DBRW(Server&amp;"}ElementAttributes_Indicator",A45,"code_English")</f>
        <v>PL1115_MF_11 - Subcontracting maintenance (MF)</v>
      </c>
      <c r="F45" s="32">
        <f ca="1">_xll.DBRW($C$1,$C$2,$C$3,$C$4,$C$6,$C$5,$C$7,F$1,F$2,A45)</f>
        <v>0</v>
      </c>
      <c r="G45" s="32">
        <f ca="1">_xll.DBRW($C$1,$C$2,$C$3,$C$4,$C$6,$C$5,$C$7,G$1,G$2,A45)</f>
        <v>0</v>
      </c>
      <c r="H45" s="32">
        <f ca="1">_xll.DBRW($C$1,$C$2,$C$3,$C$4,$C$6,$C$5,$C$7,H$1,H$2,A45)</f>
        <v>0</v>
      </c>
      <c r="I45" s="32">
        <f ca="1">_xll.DBRW($C$1,$C$2,$C$3,$C$4,$C$6,$C$5,$C$7,I$1,I$2,A45)</f>
        <v>0</v>
      </c>
      <c r="J45" s="32">
        <f ca="1">_xll.DBRW($C$1,$C$2,$C$3,$C$4,$C$6,$C$5,$C$7,J$1,J$2,A45)</f>
        <v>0</v>
      </c>
      <c r="K45" s="32">
        <f ca="1">_xll.DBRW($C$1,$C$2,$C$3,$C$4,$C$6,$C$5,$C$7,K$1,K$2,A45)</f>
        <v>0</v>
      </c>
      <c r="L45" s="32">
        <f ca="1">_xll.DBRW($C$1,$C$2,$C$3,$C$4,$C$6,$C$5,$C$7,L$1,L$2,A45)</f>
        <v>0</v>
      </c>
      <c r="M45" s="32">
        <f ca="1">_xll.DBRW($C$1,$C$2,$C$3,$C$4,$C$6,$C$5,$C$7,M$1,M$2,A45)</f>
        <v>0</v>
      </c>
      <c r="N45" s="32">
        <f ca="1">_xll.DBRW($C$1,$C$2,$C$3,$C$4,$C$6,$C$5,$C$7,N$1,N$2,A45)</f>
        <v>0</v>
      </c>
      <c r="O45" s="32">
        <f ca="1">_xll.DBRW($C$1,$C$2,$C$3,$C$4,$C$6,$C$5,$C$7,O$1,O$2,A45)</f>
        <v>0</v>
      </c>
      <c r="P45" s="32">
        <f ca="1">_xll.DBRW($C$1,$C$2,$C$3,$C$4,$C$6,$C$5,$C$7,P$1,P$2,A45)</f>
        <v>0</v>
      </c>
      <c r="Q45" s="32">
        <f ca="1">_xll.DBRW($C$1,$C$2,$C$3,$C$4,$C$6,$C$5,$C$7,Q$1,Q$2,A45)</f>
        <v>0</v>
      </c>
      <c r="R45" s="32">
        <f ca="1">_xll.DBRW($C$1,$C$2,$C$3,$C$4,$C$6,$C$5,$C$7,R$1,R$2,A45)</f>
        <v>0</v>
      </c>
      <c r="S45" s="32">
        <f ca="1">_xll.DBRW($C$1,$C$2,$C$3,$C$4,$C$6,$C$5,$C$7,S$1,S$2,A45)</f>
        <v>0</v>
      </c>
      <c r="T45" s="32">
        <f ca="1">_xll.DBRW($C$1,$C$2,$C$3,$C$4,$C$6,$C$5,$C$7,T$1,T$2,A45)</f>
        <v>0</v>
      </c>
      <c r="U45" s="32">
        <f ca="1">_xll.DBRW($C$1,$C$2,$C$3,$C$4,$C$6,$C$5,$C$7,U$1,U$2,A45)</f>
        <v>0</v>
      </c>
      <c r="V45" s="32">
        <f ca="1">_xll.DBRW($C$1,$C$2,$C$3,$C$4,$C$6,$C$5,$C$7,V$1,V$2,A45)</f>
        <v>0</v>
      </c>
      <c r="W45" s="32">
        <f ca="1">_xll.DBRW($C$1,$C$2,$C$3,$C$4,$C$6,$C$5,$C$7,W$1,W$2,A45)</f>
        <v>0</v>
      </c>
      <c r="X45" s="32">
        <f ca="1">_xll.DBRW($C$1,$C$2,$C$3,$C$4,$C$6,$C$5,$C$7,X$1,X$2,A45)</f>
        <v>0</v>
      </c>
      <c r="Y45" s="32">
        <f ca="1">_xll.DBRW($C$1,$C$2,$C$3,$C$4,$C$6,$C$5,$C$7,Y$1,Y$2,A45)</f>
        <v>0</v>
      </c>
      <c r="Z45" s="32">
        <f ca="1">_xll.DBRW($C$1,$C$2,$C$3,$C$4,$C$6,$C$5,$C$7,Z$1,Z$2,A45)</f>
        <v>0</v>
      </c>
      <c r="AA45" s="32">
        <f ca="1">_xll.DBRW($C$1,$C$2,$C$3,$C$4,$C$6,$C$5,$C$7,AA$1,AA$2,A45)</f>
        <v>0</v>
      </c>
      <c r="AB45" s="32">
        <f ca="1">_xll.DBRW($C$1,$C$2,$C$3,$C$4,$C$6,$C$5,$C$7,AB$1,AB$2,A45)</f>
        <v>0</v>
      </c>
      <c r="AC45" s="32">
        <f ca="1">_xll.DBRW($C$1,$C$2,$C$3,$C$4,$C$6,$C$5,$C$7,AC$1,AC$2,A45)</f>
        <v>0</v>
      </c>
      <c r="AD45" s="32">
        <f ca="1">_xll.DBRW($C$1,$C$2,$C$3,$C$4,$C$6,$C$5,$C$7,AD$1,AD$2,A45)</f>
        <v>0</v>
      </c>
      <c r="AE45" s="32">
        <f ca="1">_xll.DBRW($C$1,$C$2,$C$3,$C$4,$C$6,$C$5,$C$7,AE$1,AE$2,A45)</f>
        <v>0</v>
      </c>
      <c r="AF45" s="32">
        <f ca="1">_xll.DBRW($C$1,$C$2,$C$3,$C$4,$C$6,$C$5,$C$7,AF$1,AF$2,A45)</f>
        <v>0</v>
      </c>
      <c r="AG45" s="32">
        <f ca="1">_xll.DBRW($C$1,$C$2,$C$3,$C$4,$C$6,$C$5,$C$7,AG$1,AG$2,A45)</f>
        <v>0</v>
      </c>
      <c r="AH45" s="32">
        <f ca="1">_xll.DBRW($C$1,$C$2,$C$3,$C$4,$C$6,$C$5,$C$7,AH$1,AH$2,A45)</f>
        <v>0</v>
      </c>
      <c r="AI45" s="32">
        <f ca="1">_xll.DBRW($C$1,$C$2,$C$3,$C$4,$C$6,$C$5,$C$7,AI$1,AI$2,A45)</f>
        <v>0</v>
      </c>
      <c r="AJ45" s="32">
        <f ca="1">_xll.DBRW($C$1,$C$2,$C$3,$C$4,$C$6,$C$5,$C$7,AJ$1,AJ$2,A45)</f>
        <v>0</v>
      </c>
      <c r="AK45" s="32">
        <f ca="1">_xll.DBRW($C$1,$C$2,$C$3,$C$4,$C$6,$C$5,$C$7,AK$1,AK$2,A45)</f>
        <v>0</v>
      </c>
      <c r="AL45" s="32">
        <f ca="1">_xll.DBRW($C$1,$C$2,$C$3,$C$4,$C$6,$C$5,$C$7,AL$1,AL$2,A45)</f>
        <v>0</v>
      </c>
      <c r="AM45" s="32">
        <f ca="1">_xll.DBRW($C$1,$C$2,$C$3,$C$4,$C$6,$C$5,$C$7,AM$1,AM$2,A45)</f>
        <v>0</v>
      </c>
      <c r="AN45" s="32">
        <f ca="1">_xll.DBRW($C$1,$C$2,$C$3,$C$4,$C$6,$C$5,$C$7,AN$1,AN$2,A45)</f>
        <v>0</v>
      </c>
      <c r="AO45" s="32">
        <f ca="1">_xll.DBRW($C$1,$C$2,$C$3,$C$4,$C$6,$C$5,$C$7,AO$1,AO$2,A45)</f>
        <v>0</v>
      </c>
      <c r="AP45" s="32">
        <f ca="1">_xll.DBRW($C$1,$C$2,$C$3,$C$4,$C$6,$C$5,$C$7,AP$1,AP$2,A45)</f>
        <v>0</v>
      </c>
      <c r="AQ45" s="32">
        <f ca="1">_xll.DBRW($C$1,$C$2,$C$3,$C$4,$C$6,$C$5,$C$7,AQ$1,AQ$2,A45)</f>
        <v>0</v>
      </c>
      <c r="AR45" s="32">
        <f ca="1">_xll.DBRW($C$1,$C$2,$C$3,$C$4,$C$6,$C$5,$C$7,AR$1,AR$2,A45)</f>
        <v>0</v>
      </c>
      <c r="AS45" s="32">
        <f ca="1">_xll.DBRW($C$1,$C$2,$C$3,$C$4,$C$6,$C$5,$C$7,AS$1,AS$2,A45)</f>
        <v>0</v>
      </c>
      <c r="AT45" s="32">
        <f ca="1">_xll.DBRW($C$1,$C$2,$C$3,$C$4,$C$6,$C$5,$C$7,AT$1,AT$2,A45)</f>
        <v>0</v>
      </c>
      <c r="AU45" s="32">
        <f ca="1">_xll.DBRW($C$1,$C$2,$C$3,$C$4,$C$6,$C$5,$C$7,AU$1,AU$2,A45)</f>
        <v>0</v>
      </c>
    </row>
    <row r="46" spans="1:47" ht="15.75" hidden="1" customHeight="1" outlineLevel="2">
      <c r="A46" s="1" t="s">
        <v>143</v>
      </c>
      <c r="C46" s="141"/>
      <c r="E46" s="9" t="str">
        <f ca="1">_xll.DBRW(Server&amp;"}ElementAttributes_Indicator",A46,"code_English")</f>
        <v>PL1115_MF_25 - Major maintenance</v>
      </c>
      <c r="F46" s="32">
        <f ca="1">_xll.DBRW($C$1,$C$2,$C$3,$C$4,$C$6,$C$5,$C$7,F$1,F$2,A46)</f>
        <v>0</v>
      </c>
      <c r="G46" s="32">
        <f ca="1">_xll.DBRW($C$1,$C$2,$C$3,$C$4,$C$6,$C$5,$C$7,G$1,G$2,A46)</f>
        <v>0</v>
      </c>
      <c r="H46" s="32">
        <f ca="1">_xll.DBRW($C$1,$C$2,$C$3,$C$4,$C$6,$C$5,$C$7,H$1,H$2,A46)</f>
        <v>0</v>
      </c>
      <c r="I46" s="32">
        <f ca="1">_xll.DBRW($C$1,$C$2,$C$3,$C$4,$C$6,$C$5,$C$7,I$1,I$2,A46)</f>
        <v>0</v>
      </c>
      <c r="J46" s="32">
        <f ca="1">_xll.DBRW($C$1,$C$2,$C$3,$C$4,$C$6,$C$5,$C$7,J$1,J$2,A46)</f>
        <v>0</v>
      </c>
      <c r="K46" s="32">
        <f ca="1">_xll.DBRW($C$1,$C$2,$C$3,$C$4,$C$6,$C$5,$C$7,K$1,K$2,A46)</f>
        <v>0</v>
      </c>
      <c r="L46" s="32">
        <f ca="1">_xll.DBRW($C$1,$C$2,$C$3,$C$4,$C$6,$C$5,$C$7,L$1,L$2,A46)</f>
        <v>0</v>
      </c>
      <c r="M46" s="32">
        <f ca="1">_xll.DBRW($C$1,$C$2,$C$3,$C$4,$C$6,$C$5,$C$7,M$1,M$2,A46)</f>
        <v>0</v>
      </c>
      <c r="N46" s="32">
        <f ca="1">_xll.DBRW($C$1,$C$2,$C$3,$C$4,$C$6,$C$5,$C$7,N$1,N$2,A46)</f>
        <v>0</v>
      </c>
      <c r="O46" s="32">
        <f ca="1">_xll.DBRW($C$1,$C$2,$C$3,$C$4,$C$6,$C$5,$C$7,O$1,O$2,A46)</f>
        <v>0</v>
      </c>
      <c r="P46" s="32">
        <f ca="1">_xll.DBRW($C$1,$C$2,$C$3,$C$4,$C$6,$C$5,$C$7,P$1,P$2,A46)</f>
        <v>0</v>
      </c>
      <c r="Q46" s="32">
        <f ca="1">_xll.DBRW($C$1,$C$2,$C$3,$C$4,$C$6,$C$5,$C$7,Q$1,Q$2,A46)</f>
        <v>0</v>
      </c>
      <c r="R46" s="32">
        <f ca="1">_xll.DBRW($C$1,$C$2,$C$3,$C$4,$C$6,$C$5,$C$7,R$1,R$2,A46)</f>
        <v>0</v>
      </c>
      <c r="S46" s="32">
        <f ca="1">_xll.DBRW($C$1,$C$2,$C$3,$C$4,$C$6,$C$5,$C$7,S$1,S$2,A46)</f>
        <v>0</v>
      </c>
      <c r="T46" s="32">
        <f ca="1">_xll.DBRW($C$1,$C$2,$C$3,$C$4,$C$6,$C$5,$C$7,T$1,T$2,A46)</f>
        <v>0</v>
      </c>
      <c r="U46" s="32">
        <f ca="1">_xll.DBRW($C$1,$C$2,$C$3,$C$4,$C$6,$C$5,$C$7,U$1,U$2,A46)</f>
        <v>0</v>
      </c>
      <c r="V46" s="32">
        <f ca="1">_xll.DBRW($C$1,$C$2,$C$3,$C$4,$C$6,$C$5,$C$7,V$1,V$2,A46)</f>
        <v>0</v>
      </c>
      <c r="W46" s="32">
        <f ca="1">_xll.DBRW($C$1,$C$2,$C$3,$C$4,$C$6,$C$5,$C$7,W$1,W$2,A46)</f>
        <v>0</v>
      </c>
      <c r="X46" s="32">
        <f ca="1">_xll.DBRW($C$1,$C$2,$C$3,$C$4,$C$6,$C$5,$C$7,X$1,X$2,A46)</f>
        <v>0</v>
      </c>
      <c r="Y46" s="32">
        <f ca="1">_xll.DBRW($C$1,$C$2,$C$3,$C$4,$C$6,$C$5,$C$7,Y$1,Y$2,A46)</f>
        <v>0</v>
      </c>
      <c r="Z46" s="32">
        <f ca="1">_xll.DBRW($C$1,$C$2,$C$3,$C$4,$C$6,$C$5,$C$7,Z$1,Z$2,A46)</f>
        <v>0</v>
      </c>
      <c r="AA46" s="32">
        <f ca="1">_xll.DBRW($C$1,$C$2,$C$3,$C$4,$C$6,$C$5,$C$7,AA$1,AA$2,A46)</f>
        <v>0</v>
      </c>
      <c r="AB46" s="32">
        <f ca="1">_xll.DBRW($C$1,$C$2,$C$3,$C$4,$C$6,$C$5,$C$7,AB$1,AB$2,A46)</f>
        <v>0</v>
      </c>
      <c r="AC46" s="32">
        <f ca="1">_xll.DBRW($C$1,$C$2,$C$3,$C$4,$C$6,$C$5,$C$7,AC$1,AC$2,A46)</f>
        <v>0</v>
      </c>
      <c r="AD46" s="32">
        <f ca="1">_xll.DBRW($C$1,$C$2,$C$3,$C$4,$C$6,$C$5,$C$7,AD$1,AD$2,A46)</f>
        <v>0</v>
      </c>
      <c r="AE46" s="32">
        <f ca="1">_xll.DBRW($C$1,$C$2,$C$3,$C$4,$C$6,$C$5,$C$7,AE$1,AE$2,A46)</f>
        <v>0</v>
      </c>
      <c r="AF46" s="32">
        <f ca="1">_xll.DBRW($C$1,$C$2,$C$3,$C$4,$C$6,$C$5,$C$7,AF$1,AF$2,A46)</f>
        <v>0</v>
      </c>
      <c r="AG46" s="32">
        <f ca="1">_xll.DBRW($C$1,$C$2,$C$3,$C$4,$C$6,$C$5,$C$7,AG$1,AG$2,A46)</f>
        <v>0</v>
      </c>
      <c r="AH46" s="32">
        <f ca="1">_xll.DBRW($C$1,$C$2,$C$3,$C$4,$C$6,$C$5,$C$7,AH$1,AH$2,A46)</f>
        <v>0</v>
      </c>
      <c r="AI46" s="32">
        <f ca="1">_xll.DBRW($C$1,$C$2,$C$3,$C$4,$C$6,$C$5,$C$7,AI$1,AI$2,A46)</f>
        <v>0</v>
      </c>
      <c r="AJ46" s="32">
        <f ca="1">_xll.DBRW($C$1,$C$2,$C$3,$C$4,$C$6,$C$5,$C$7,AJ$1,AJ$2,A46)</f>
        <v>0</v>
      </c>
      <c r="AK46" s="32">
        <f ca="1">_xll.DBRW($C$1,$C$2,$C$3,$C$4,$C$6,$C$5,$C$7,AK$1,AK$2,A46)</f>
        <v>0</v>
      </c>
      <c r="AL46" s="32">
        <f ca="1">_xll.DBRW($C$1,$C$2,$C$3,$C$4,$C$6,$C$5,$C$7,AL$1,AL$2,A46)</f>
        <v>0</v>
      </c>
      <c r="AM46" s="32">
        <f ca="1">_xll.DBRW($C$1,$C$2,$C$3,$C$4,$C$6,$C$5,$C$7,AM$1,AM$2,A46)</f>
        <v>0</v>
      </c>
      <c r="AN46" s="32">
        <f ca="1">_xll.DBRW($C$1,$C$2,$C$3,$C$4,$C$6,$C$5,$C$7,AN$1,AN$2,A46)</f>
        <v>0</v>
      </c>
      <c r="AO46" s="32">
        <f ca="1">_xll.DBRW($C$1,$C$2,$C$3,$C$4,$C$6,$C$5,$C$7,AO$1,AO$2,A46)</f>
        <v>0</v>
      </c>
      <c r="AP46" s="32">
        <f ca="1">_xll.DBRW($C$1,$C$2,$C$3,$C$4,$C$6,$C$5,$C$7,AP$1,AP$2,A46)</f>
        <v>0</v>
      </c>
      <c r="AQ46" s="32">
        <f ca="1">_xll.DBRW($C$1,$C$2,$C$3,$C$4,$C$6,$C$5,$C$7,AQ$1,AQ$2,A46)</f>
        <v>0</v>
      </c>
      <c r="AR46" s="32">
        <f ca="1">_xll.DBRW($C$1,$C$2,$C$3,$C$4,$C$6,$C$5,$C$7,AR$1,AR$2,A46)</f>
        <v>0</v>
      </c>
      <c r="AS46" s="32">
        <f ca="1">_xll.DBRW($C$1,$C$2,$C$3,$C$4,$C$6,$C$5,$C$7,AS$1,AS$2,A46)</f>
        <v>0</v>
      </c>
      <c r="AT46" s="32">
        <f ca="1">_xll.DBRW($C$1,$C$2,$C$3,$C$4,$C$6,$C$5,$C$7,AT$1,AT$2,A46)</f>
        <v>0</v>
      </c>
      <c r="AU46" s="32">
        <f ca="1">_xll.DBRW($C$1,$C$2,$C$3,$C$4,$C$6,$C$5,$C$7,AU$1,AU$2,A46)</f>
        <v>0</v>
      </c>
    </row>
    <row r="47" spans="1:47" ht="15.75" hidden="1" outlineLevel="1">
      <c r="A47" s="1" t="s">
        <v>127</v>
      </c>
      <c r="C47" s="141"/>
      <c r="E47" s="15" t="s">
        <v>21</v>
      </c>
      <c r="F47" s="33">
        <f t="shared" ref="F47:T47" ca="1" si="21">SUM(F45:F46)</f>
        <v>0</v>
      </c>
      <c r="G47" s="33">
        <f t="shared" ca="1" si="21"/>
        <v>0</v>
      </c>
      <c r="H47" s="33">
        <f t="shared" ca="1" si="21"/>
        <v>0</v>
      </c>
      <c r="I47" s="33">
        <f t="shared" ca="1" si="21"/>
        <v>0</v>
      </c>
      <c r="J47" s="33">
        <f t="shared" ca="1" si="21"/>
        <v>0</v>
      </c>
      <c r="K47" s="33">
        <f t="shared" ca="1" si="21"/>
        <v>0</v>
      </c>
      <c r="L47" s="33">
        <f t="shared" ca="1" si="21"/>
        <v>0</v>
      </c>
      <c r="M47" s="33">
        <f t="shared" ca="1" si="21"/>
        <v>0</v>
      </c>
      <c r="N47" s="33">
        <f t="shared" ca="1" si="21"/>
        <v>0</v>
      </c>
      <c r="O47" s="33">
        <f t="shared" ca="1" si="21"/>
        <v>0</v>
      </c>
      <c r="P47" s="33">
        <f t="shared" ca="1" si="21"/>
        <v>0</v>
      </c>
      <c r="Q47" s="33">
        <f t="shared" ca="1" si="21"/>
        <v>0</v>
      </c>
      <c r="R47" s="33">
        <f t="shared" ca="1" si="21"/>
        <v>0</v>
      </c>
      <c r="S47" s="33">
        <f t="shared" ca="1" si="21"/>
        <v>0</v>
      </c>
      <c r="T47" s="33">
        <f t="shared" ca="1" si="21"/>
        <v>0</v>
      </c>
      <c r="U47" s="33">
        <f ca="1">SUM(U45:U46)</f>
        <v>0</v>
      </c>
      <c r="V47" s="33">
        <f ca="1">SUM(V45:V46)</f>
        <v>0</v>
      </c>
      <c r="W47" s="33">
        <f t="shared" ref="W47:AG47" ca="1" si="22">SUM(W45:W46)</f>
        <v>0</v>
      </c>
      <c r="X47" s="33">
        <f t="shared" ca="1" si="22"/>
        <v>0</v>
      </c>
      <c r="Y47" s="33">
        <f t="shared" ca="1" si="22"/>
        <v>0</v>
      </c>
      <c r="Z47" s="33">
        <f t="shared" ca="1" si="22"/>
        <v>0</v>
      </c>
      <c r="AA47" s="33">
        <f t="shared" ca="1" si="22"/>
        <v>0</v>
      </c>
      <c r="AB47" s="33">
        <f t="shared" ca="1" si="22"/>
        <v>0</v>
      </c>
      <c r="AC47" s="33">
        <f t="shared" ca="1" si="22"/>
        <v>0</v>
      </c>
      <c r="AD47" s="33">
        <f t="shared" ca="1" si="22"/>
        <v>0</v>
      </c>
      <c r="AE47" s="33">
        <f t="shared" ca="1" si="22"/>
        <v>0</v>
      </c>
      <c r="AF47" s="33">
        <f t="shared" ca="1" si="22"/>
        <v>0</v>
      </c>
      <c r="AG47" s="33">
        <f t="shared" ca="1" si="22"/>
        <v>0</v>
      </c>
      <c r="AH47" s="33">
        <f ca="1">SUM(AH45:AH46)</f>
        <v>0</v>
      </c>
      <c r="AI47" s="33">
        <f ca="1">SUM(AI45:AI46)</f>
        <v>0</v>
      </c>
      <c r="AJ47" s="33">
        <f t="shared" ref="AJ47:AT47" ca="1" si="23">SUM(AJ45:AJ46)</f>
        <v>0</v>
      </c>
      <c r="AK47" s="33">
        <f t="shared" ca="1" si="23"/>
        <v>0</v>
      </c>
      <c r="AL47" s="33">
        <f t="shared" ca="1" si="23"/>
        <v>0</v>
      </c>
      <c r="AM47" s="33">
        <f t="shared" ca="1" si="23"/>
        <v>0</v>
      </c>
      <c r="AN47" s="33">
        <f t="shared" ca="1" si="23"/>
        <v>0</v>
      </c>
      <c r="AO47" s="33">
        <f t="shared" ca="1" si="23"/>
        <v>0</v>
      </c>
      <c r="AP47" s="33">
        <f t="shared" ca="1" si="23"/>
        <v>0</v>
      </c>
      <c r="AQ47" s="33">
        <f t="shared" ca="1" si="23"/>
        <v>0</v>
      </c>
      <c r="AR47" s="33">
        <f t="shared" ca="1" si="23"/>
        <v>0</v>
      </c>
      <c r="AS47" s="33">
        <f t="shared" ca="1" si="23"/>
        <v>0</v>
      </c>
      <c r="AT47" s="33">
        <f t="shared" ca="1" si="23"/>
        <v>0</v>
      </c>
      <c r="AU47" s="33">
        <f ca="1">SUM(AU45:AU46)</f>
        <v>0</v>
      </c>
    </row>
    <row r="48" spans="1:47" ht="15.75" hidden="1" customHeight="1" outlineLevel="2">
      <c r="A48" s="1" t="s">
        <v>144</v>
      </c>
      <c r="C48" s="141"/>
      <c r="E48" s="9" t="str">
        <f ca="1">_xll.DBRW(Server&amp;"}ElementAttributes_Indicator",A48,"code_English")</f>
        <v>PL1115_MF_12 - Subcontracting cleaning (MF)</v>
      </c>
      <c r="F48" s="32">
        <f ca="1">_xll.DBRW($C$1,$C$2,$C$3,$C$4,$C$6,$C$5,$C$7,F$1,F$2,A48)</f>
        <v>0</v>
      </c>
      <c r="G48" s="32">
        <f ca="1">_xll.DBRW($C$1,$C$2,$C$3,$C$4,$C$6,$C$5,$C$7,G$1,G$2,A48)</f>
        <v>0</v>
      </c>
      <c r="H48" s="32">
        <f ca="1">_xll.DBRW($C$1,$C$2,$C$3,$C$4,$C$6,$C$5,$C$7,H$1,H$2,A48)</f>
        <v>0</v>
      </c>
      <c r="I48" s="32">
        <f ca="1">_xll.DBRW($C$1,$C$2,$C$3,$C$4,$C$6,$C$5,$C$7,I$1,I$2,A48)</f>
        <v>0</v>
      </c>
      <c r="J48" s="32">
        <f ca="1">_xll.DBRW($C$1,$C$2,$C$3,$C$4,$C$6,$C$5,$C$7,J$1,J$2,A48)</f>
        <v>0</v>
      </c>
      <c r="K48" s="32">
        <f ca="1">_xll.DBRW($C$1,$C$2,$C$3,$C$4,$C$6,$C$5,$C$7,K$1,K$2,A48)</f>
        <v>0</v>
      </c>
      <c r="L48" s="32">
        <f ca="1">_xll.DBRW($C$1,$C$2,$C$3,$C$4,$C$6,$C$5,$C$7,L$1,L$2,A48)</f>
        <v>0</v>
      </c>
      <c r="M48" s="32">
        <f ca="1">_xll.DBRW($C$1,$C$2,$C$3,$C$4,$C$6,$C$5,$C$7,M$1,M$2,A48)</f>
        <v>0</v>
      </c>
      <c r="N48" s="32">
        <f ca="1">_xll.DBRW($C$1,$C$2,$C$3,$C$4,$C$6,$C$5,$C$7,N$1,N$2,A48)</f>
        <v>0</v>
      </c>
      <c r="O48" s="32">
        <f ca="1">_xll.DBRW($C$1,$C$2,$C$3,$C$4,$C$6,$C$5,$C$7,O$1,O$2,A48)</f>
        <v>0</v>
      </c>
      <c r="P48" s="32">
        <f ca="1">_xll.DBRW($C$1,$C$2,$C$3,$C$4,$C$6,$C$5,$C$7,P$1,P$2,A48)</f>
        <v>0</v>
      </c>
      <c r="Q48" s="32">
        <f ca="1">_xll.DBRW($C$1,$C$2,$C$3,$C$4,$C$6,$C$5,$C$7,Q$1,Q$2,A48)</f>
        <v>0</v>
      </c>
      <c r="R48" s="32">
        <f ca="1">_xll.DBRW($C$1,$C$2,$C$3,$C$4,$C$6,$C$5,$C$7,R$1,R$2,A48)</f>
        <v>0</v>
      </c>
      <c r="S48" s="32">
        <f ca="1">_xll.DBRW($C$1,$C$2,$C$3,$C$4,$C$6,$C$5,$C$7,S$1,S$2,A48)</f>
        <v>0</v>
      </c>
      <c r="T48" s="32">
        <f ca="1">_xll.DBRW($C$1,$C$2,$C$3,$C$4,$C$6,$C$5,$C$7,T$1,T$2,A48)</f>
        <v>0</v>
      </c>
      <c r="U48" s="32">
        <f ca="1">_xll.DBRW($C$1,$C$2,$C$3,$C$4,$C$6,$C$5,$C$7,U$1,U$2,A48)</f>
        <v>0</v>
      </c>
      <c r="V48" s="32">
        <f ca="1">_xll.DBRW($C$1,$C$2,$C$3,$C$4,$C$6,$C$5,$C$7,V$1,V$2,A48)</f>
        <v>0</v>
      </c>
      <c r="W48" s="32">
        <f ca="1">_xll.DBRW($C$1,$C$2,$C$3,$C$4,$C$6,$C$5,$C$7,W$1,W$2,A48)</f>
        <v>0</v>
      </c>
      <c r="X48" s="32">
        <f ca="1">_xll.DBRW($C$1,$C$2,$C$3,$C$4,$C$6,$C$5,$C$7,X$1,X$2,A48)</f>
        <v>0</v>
      </c>
      <c r="Y48" s="32">
        <f ca="1">_xll.DBRW($C$1,$C$2,$C$3,$C$4,$C$6,$C$5,$C$7,Y$1,Y$2,A48)</f>
        <v>0</v>
      </c>
      <c r="Z48" s="32">
        <f ca="1">_xll.DBRW($C$1,$C$2,$C$3,$C$4,$C$6,$C$5,$C$7,Z$1,Z$2,A48)</f>
        <v>0</v>
      </c>
      <c r="AA48" s="32">
        <f ca="1">_xll.DBRW($C$1,$C$2,$C$3,$C$4,$C$6,$C$5,$C$7,AA$1,AA$2,A48)</f>
        <v>0</v>
      </c>
      <c r="AB48" s="32">
        <f ca="1">_xll.DBRW($C$1,$C$2,$C$3,$C$4,$C$6,$C$5,$C$7,AB$1,AB$2,A48)</f>
        <v>0</v>
      </c>
      <c r="AC48" s="32">
        <f ca="1">_xll.DBRW($C$1,$C$2,$C$3,$C$4,$C$6,$C$5,$C$7,AC$1,AC$2,A48)</f>
        <v>0</v>
      </c>
      <c r="AD48" s="32">
        <f ca="1">_xll.DBRW($C$1,$C$2,$C$3,$C$4,$C$6,$C$5,$C$7,AD$1,AD$2,A48)</f>
        <v>0</v>
      </c>
      <c r="AE48" s="32">
        <f ca="1">_xll.DBRW($C$1,$C$2,$C$3,$C$4,$C$6,$C$5,$C$7,AE$1,AE$2,A48)</f>
        <v>0</v>
      </c>
      <c r="AF48" s="32">
        <f ca="1">_xll.DBRW($C$1,$C$2,$C$3,$C$4,$C$6,$C$5,$C$7,AF$1,AF$2,A48)</f>
        <v>0</v>
      </c>
      <c r="AG48" s="32">
        <f ca="1">_xll.DBRW($C$1,$C$2,$C$3,$C$4,$C$6,$C$5,$C$7,AG$1,AG$2,A48)</f>
        <v>0</v>
      </c>
      <c r="AH48" s="32">
        <f ca="1">_xll.DBRW($C$1,$C$2,$C$3,$C$4,$C$6,$C$5,$C$7,AH$1,AH$2,A48)</f>
        <v>0</v>
      </c>
      <c r="AI48" s="32">
        <f ca="1">_xll.DBRW($C$1,$C$2,$C$3,$C$4,$C$6,$C$5,$C$7,AI$1,AI$2,A48)</f>
        <v>0</v>
      </c>
      <c r="AJ48" s="32">
        <f ca="1">_xll.DBRW($C$1,$C$2,$C$3,$C$4,$C$6,$C$5,$C$7,AJ$1,AJ$2,A48)</f>
        <v>0</v>
      </c>
      <c r="AK48" s="32">
        <f ca="1">_xll.DBRW($C$1,$C$2,$C$3,$C$4,$C$6,$C$5,$C$7,AK$1,AK$2,A48)</f>
        <v>0</v>
      </c>
      <c r="AL48" s="32">
        <f ca="1">_xll.DBRW($C$1,$C$2,$C$3,$C$4,$C$6,$C$5,$C$7,AL$1,AL$2,A48)</f>
        <v>0</v>
      </c>
      <c r="AM48" s="32">
        <f ca="1">_xll.DBRW($C$1,$C$2,$C$3,$C$4,$C$6,$C$5,$C$7,AM$1,AM$2,A48)</f>
        <v>0</v>
      </c>
      <c r="AN48" s="32">
        <f ca="1">_xll.DBRW($C$1,$C$2,$C$3,$C$4,$C$6,$C$5,$C$7,AN$1,AN$2,A48)</f>
        <v>0</v>
      </c>
      <c r="AO48" s="32">
        <f ca="1">_xll.DBRW($C$1,$C$2,$C$3,$C$4,$C$6,$C$5,$C$7,AO$1,AO$2,A48)</f>
        <v>0</v>
      </c>
      <c r="AP48" s="32">
        <f ca="1">_xll.DBRW($C$1,$C$2,$C$3,$C$4,$C$6,$C$5,$C$7,AP$1,AP$2,A48)</f>
        <v>0</v>
      </c>
      <c r="AQ48" s="32">
        <f ca="1">_xll.DBRW($C$1,$C$2,$C$3,$C$4,$C$6,$C$5,$C$7,AQ$1,AQ$2,A48)</f>
        <v>0</v>
      </c>
      <c r="AR48" s="32">
        <f ca="1">_xll.DBRW($C$1,$C$2,$C$3,$C$4,$C$6,$C$5,$C$7,AR$1,AR$2,A48)</f>
        <v>0</v>
      </c>
      <c r="AS48" s="32">
        <f ca="1">_xll.DBRW($C$1,$C$2,$C$3,$C$4,$C$6,$C$5,$C$7,AS$1,AS$2,A48)</f>
        <v>0</v>
      </c>
      <c r="AT48" s="32">
        <f ca="1">_xll.DBRW($C$1,$C$2,$C$3,$C$4,$C$6,$C$5,$C$7,AT$1,AT$2,A48)</f>
        <v>0</v>
      </c>
      <c r="AU48" s="32">
        <f ca="1">_xll.DBRW($C$1,$C$2,$C$3,$C$4,$C$6,$C$5,$C$7,AU$1,AU$2,A48)</f>
        <v>0</v>
      </c>
    </row>
    <row r="49" spans="1:47" ht="15.75" hidden="1" outlineLevel="1">
      <c r="A49" s="1" t="s">
        <v>127</v>
      </c>
      <c r="C49" s="141"/>
      <c r="E49" s="15" t="s">
        <v>22</v>
      </c>
      <c r="F49" s="33">
        <f t="shared" ref="F49:T49" ca="1" si="24">SUM(F48)</f>
        <v>0</v>
      </c>
      <c r="G49" s="33">
        <f t="shared" ca="1" si="24"/>
        <v>0</v>
      </c>
      <c r="H49" s="33">
        <f t="shared" ca="1" si="24"/>
        <v>0</v>
      </c>
      <c r="I49" s="33">
        <f t="shared" ca="1" si="24"/>
        <v>0</v>
      </c>
      <c r="J49" s="33">
        <f t="shared" ca="1" si="24"/>
        <v>0</v>
      </c>
      <c r="K49" s="33">
        <f t="shared" ca="1" si="24"/>
        <v>0</v>
      </c>
      <c r="L49" s="33">
        <f t="shared" ca="1" si="24"/>
        <v>0</v>
      </c>
      <c r="M49" s="33">
        <f t="shared" ca="1" si="24"/>
        <v>0</v>
      </c>
      <c r="N49" s="33">
        <f t="shared" ca="1" si="24"/>
        <v>0</v>
      </c>
      <c r="O49" s="33">
        <f t="shared" ca="1" si="24"/>
        <v>0</v>
      </c>
      <c r="P49" s="33">
        <f t="shared" ca="1" si="24"/>
        <v>0</v>
      </c>
      <c r="Q49" s="33">
        <f t="shared" ca="1" si="24"/>
        <v>0</v>
      </c>
      <c r="R49" s="33">
        <f t="shared" ca="1" si="24"/>
        <v>0</v>
      </c>
      <c r="S49" s="33">
        <f t="shared" ca="1" si="24"/>
        <v>0</v>
      </c>
      <c r="T49" s="33">
        <f t="shared" ca="1" si="24"/>
        <v>0</v>
      </c>
      <c r="U49" s="33">
        <f ca="1">SUM(U48)</f>
        <v>0</v>
      </c>
      <c r="V49" s="33">
        <f t="shared" ref="V49:AG49" ca="1" si="25">SUM(V48)</f>
        <v>0</v>
      </c>
      <c r="W49" s="33">
        <f t="shared" ca="1" si="25"/>
        <v>0</v>
      </c>
      <c r="X49" s="33">
        <f t="shared" ca="1" si="25"/>
        <v>0</v>
      </c>
      <c r="Y49" s="33">
        <f t="shared" ca="1" si="25"/>
        <v>0</v>
      </c>
      <c r="Z49" s="33">
        <f t="shared" ca="1" si="25"/>
        <v>0</v>
      </c>
      <c r="AA49" s="33">
        <f t="shared" ca="1" si="25"/>
        <v>0</v>
      </c>
      <c r="AB49" s="33">
        <f t="shared" ca="1" si="25"/>
        <v>0</v>
      </c>
      <c r="AC49" s="33">
        <f t="shared" ca="1" si="25"/>
        <v>0</v>
      </c>
      <c r="AD49" s="33">
        <f t="shared" ca="1" si="25"/>
        <v>0</v>
      </c>
      <c r="AE49" s="33">
        <f t="shared" ca="1" si="25"/>
        <v>0</v>
      </c>
      <c r="AF49" s="33">
        <f t="shared" ca="1" si="25"/>
        <v>0</v>
      </c>
      <c r="AG49" s="33">
        <f t="shared" ca="1" si="25"/>
        <v>0</v>
      </c>
      <c r="AH49" s="33">
        <f ca="1">SUM(AH48)</f>
        <v>0</v>
      </c>
      <c r="AI49" s="33">
        <f t="shared" ref="AI49:AT49" ca="1" si="26">SUM(AI48)</f>
        <v>0</v>
      </c>
      <c r="AJ49" s="33">
        <f t="shared" ca="1" si="26"/>
        <v>0</v>
      </c>
      <c r="AK49" s="33">
        <f t="shared" ca="1" si="26"/>
        <v>0</v>
      </c>
      <c r="AL49" s="33">
        <f t="shared" ca="1" si="26"/>
        <v>0</v>
      </c>
      <c r="AM49" s="33">
        <f t="shared" ca="1" si="26"/>
        <v>0</v>
      </c>
      <c r="AN49" s="33">
        <f t="shared" ca="1" si="26"/>
        <v>0</v>
      </c>
      <c r="AO49" s="33">
        <f t="shared" ca="1" si="26"/>
        <v>0</v>
      </c>
      <c r="AP49" s="33">
        <f t="shared" ca="1" si="26"/>
        <v>0</v>
      </c>
      <c r="AQ49" s="33">
        <f t="shared" ca="1" si="26"/>
        <v>0</v>
      </c>
      <c r="AR49" s="33">
        <f t="shared" ca="1" si="26"/>
        <v>0</v>
      </c>
      <c r="AS49" s="33">
        <f t="shared" ca="1" si="26"/>
        <v>0</v>
      </c>
      <c r="AT49" s="33">
        <f t="shared" ca="1" si="26"/>
        <v>0</v>
      </c>
      <c r="AU49" s="33">
        <f ca="1">SUM(AU48)</f>
        <v>0</v>
      </c>
    </row>
    <row r="50" spans="1:47" ht="15.75" hidden="1" customHeight="1" outlineLevel="2">
      <c r="A50" s="1" t="s">
        <v>145</v>
      </c>
      <c r="C50" s="141"/>
      <c r="E50" s="9" t="str">
        <f ca="1">_xll.DBRW(Server&amp;"}ElementAttributes_Indicator",A50,"code_English")</f>
        <v>PL1115_MF_30 - Spare parts for maintenance of rolling stock</v>
      </c>
      <c r="F50" s="32">
        <f ca="1">_xll.DBRW($C$1,$C$2,$C$3,$C$4,$C$6,$C$5,$C$7,F$1,F$2,A50)</f>
        <v>0</v>
      </c>
      <c r="G50" s="32">
        <f ca="1">_xll.DBRW($C$1,$C$2,$C$3,$C$4,$C$6,$C$5,$C$7,G$1,G$2,A50)</f>
        <v>0</v>
      </c>
      <c r="H50" s="32">
        <f ca="1">_xll.DBRW($C$1,$C$2,$C$3,$C$4,$C$6,$C$5,$C$7,H$1,H$2,A50)</f>
        <v>0</v>
      </c>
      <c r="I50" s="32">
        <f ca="1">_xll.DBRW($C$1,$C$2,$C$3,$C$4,$C$6,$C$5,$C$7,I$1,I$2,A50)</f>
        <v>0</v>
      </c>
      <c r="J50" s="32">
        <f ca="1">_xll.DBRW($C$1,$C$2,$C$3,$C$4,$C$6,$C$5,$C$7,J$1,J$2,A50)</f>
        <v>0</v>
      </c>
      <c r="K50" s="32">
        <f ca="1">_xll.DBRW($C$1,$C$2,$C$3,$C$4,$C$6,$C$5,$C$7,K$1,K$2,A50)</f>
        <v>0</v>
      </c>
      <c r="L50" s="32">
        <f ca="1">_xll.DBRW($C$1,$C$2,$C$3,$C$4,$C$6,$C$5,$C$7,L$1,L$2,A50)</f>
        <v>0</v>
      </c>
      <c r="M50" s="32">
        <f ca="1">_xll.DBRW($C$1,$C$2,$C$3,$C$4,$C$6,$C$5,$C$7,M$1,M$2,A50)</f>
        <v>0</v>
      </c>
      <c r="N50" s="32">
        <f ca="1">_xll.DBRW($C$1,$C$2,$C$3,$C$4,$C$6,$C$5,$C$7,N$1,N$2,A50)</f>
        <v>0</v>
      </c>
      <c r="O50" s="32">
        <f ca="1">_xll.DBRW($C$1,$C$2,$C$3,$C$4,$C$6,$C$5,$C$7,O$1,O$2,A50)</f>
        <v>0</v>
      </c>
      <c r="P50" s="32">
        <f ca="1">_xll.DBRW($C$1,$C$2,$C$3,$C$4,$C$6,$C$5,$C$7,P$1,P$2,A50)</f>
        <v>0</v>
      </c>
      <c r="Q50" s="32">
        <f ca="1">_xll.DBRW($C$1,$C$2,$C$3,$C$4,$C$6,$C$5,$C$7,Q$1,Q$2,A50)</f>
        <v>0</v>
      </c>
      <c r="R50" s="32">
        <f ca="1">_xll.DBRW($C$1,$C$2,$C$3,$C$4,$C$6,$C$5,$C$7,R$1,R$2,A50)</f>
        <v>0</v>
      </c>
      <c r="S50" s="32">
        <f ca="1">_xll.DBRW($C$1,$C$2,$C$3,$C$4,$C$6,$C$5,$C$7,S$1,S$2,A50)</f>
        <v>0</v>
      </c>
      <c r="T50" s="32">
        <f ca="1">_xll.DBRW($C$1,$C$2,$C$3,$C$4,$C$6,$C$5,$C$7,T$1,T$2,A50)</f>
        <v>0</v>
      </c>
      <c r="U50" s="32">
        <f ca="1">_xll.DBRW($C$1,$C$2,$C$3,$C$4,$C$6,$C$5,$C$7,U$1,U$2,A50)</f>
        <v>0</v>
      </c>
      <c r="V50" s="32">
        <f ca="1">_xll.DBRW($C$1,$C$2,$C$3,$C$4,$C$6,$C$5,$C$7,V$1,V$2,A50)</f>
        <v>0</v>
      </c>
      <c r="W50" s="32">
        <f ca="1">_xll.DBRW($C$1,$C$2,$C$3,$C$4,$C$6,$C$5,$C$7,W$1,W$2,A50)</f>
        <v>0</v>
      </c>
      <c r="X50" s="32">
        <f ca="1">_xll.DBRW($C$1,$C$2,$C$3,$C$4,$C$6,$C$5,$C$7,X$1,X$2,A50)</f>
        <v>0</v>
      </c>
      <c r="Y50" s="32">
        <f ca="1">_xll.DBRW($C$1,$C$2,$C$3,$C$4,$C$6,$C$5,$C$7,Y$1,Y$2,A50)</f>
        <v>0</v>
      </c>
      <c r="Z50" s="32">
        <f ca="1">_xll.DBRW($C$1,$C$2,$C$3,$C$4,$C$6,$C$5,$C$7,Z$1,Z$2,A50)</f>
        <v>0</v>
      </c>
      <c r="AA50" s="32">
        <f ca="1">_xll.DBRW($C$1,$C$2,$C$3,$C$4,$C$6,$C$5,$C$7,AA$1,AA$2,A50)</f>
        <v>0</v>
      </c>
      <c r="AB50" s="32">
        <f ca="1">_xll.DBRW($C$1,$C$2,$C$3,$C$4,$C$6,$C$5,$C$7,AB$1,AB$2,A50)</f>
        <v>0</v>
      </c>
      <c r="AC50" s="32">
        <f ca="1">_xll.DBRW($C$1,$C$2,$C$3,$C$4,$C$6,$C$5,$C$7,AC$1,AC$2,A50)</f>
        <v>0</v>
      </c>
      <c r="AD50" s="32">
        <f ca="1">_xll.DBRW($C$1,$C$2,$C$3,$C$4,$C$6,$C$5,$C$7,AD$1,AD$2,A50)</f>
        <v>0</v>
      </c>
      <c r="AE50" s="32">
        <f ca="1">_xll.DBRW($C$1,$C$2,$C$3,$C$4,$C$6,$C$5,$C$7,AE$1,AE$2,A50)</f>
        <v>0</v>
      </c>
      <c r="AF50" s="32">
        <f ca="1">_xll.DBRW($C$1,$C$2,$C$3,$C$4,$C$6,$C$5,$C$7,AF$1,AF$2,A50)</f>
        <v>0</v>
      </c>
      <c r="AG50" s="32">
        <f ca="1">_xll.DBRW($C$1,$C$2,$C$3,$C$4,$C$6,$C$5,$C$7,AG$1,AG$2,A50)</f>
        <v>0</v>
      </c>
      <c r="AH50" s="32">
        <f ca="1">_xll.DBRW($C$1,$C$2,$C$3,$C$4,$C$6,$C$5,$C$7,AH$1,AH$2,A50)</f>
        <v>0</v>
      </c>
      <c r="AI50" s="32">
        <f ca="1">_xll.DBRW($C$1,$C$2,$C$3,$C$4,$C$6,$C$5,$C$7,AI$1,AI$2,A50)</f>
        <v>0</v>
      </c>
      <c r="AJ50" s="32">
        <f ca="1">_xll.DBRW($C$1,$C$2,$C$3,$C$4,$C$6,$C$5,$C$7,AJ$1,AJ$2,A50)</f>
        <v>0</v>
      </c>
      <c r="AK50" s="32">
        <f ca="1">_xll.DBRW($C$1,$C$2,$C$3,$C$4,$C$6,$C$5,$C$7,AK$1,AK$2,A50)</f>
        <v>0</v>
      </c>
      <c r="AL50" s="32">
        <f ca="1">_xll.DBRW($C$1,$C$2,$C$3,$C$4,$C$6,$C$5,$C$7,AL$1,AL$2,A50)</f>
        <v>0</v>
      </c>
      <c r="AM50" s="32">
        <f ca="1">_xll.DBRW($C$1,$C$2,$C$3,$C$4,$C$6,$C$5,$C$7,AM$1,AM$2,A50)</f>
        <v>0</v>
      </c>
      <c r="AN50" s="32">
        <f ca="1">_xll.DBRW($C$1,$C$2,$C$3,$C$4,$C$6,$C$5,$C$7,AN$1,AN$2,A50)</f>
        <v>0</v>
      </c>
      <c r="AO50" s="32">
        <f ca="1">_xll.DBRW($C$1,$C$2,$C$3,$C$4,$C$6,$C$5,$C$7,AO$1,AO$2,A50)</f>
        <v>0</v>
      </c>
      <c r="AP50" s="32">
        <f ca="1">_xll.DBRW($C$1,$C$2,$C$3,$C$4,$C$6,$C$5,$C$7,AP$1,AP$2,A50)</f>
        <v>0</v>
      </c>
      <c r="AQ50" s="32">
        <f ca="1">_xll.DBRW($C$1,$C$2,$C$3,$C$4,$C$6,$C$5,$C$7,AQ$1,AQ$2,A50)</f>
        <v>0</v>
      </c>
      <c r="AR50" s="32">
        <f ca="1">_xll.DBRW($C$1,$C$2,$C$3,$C$4,$C$6,$C$5,$C$7,AR$1,AR$2,A50)</f>
        <v>0</v>
      </c>
      <c r="AS50" s="32">
        <f ca="1">_xll.DBRW($C$1,$C$2,$C$3,$C$4,$C$6,$C$5,$C$7,AS$1,AS$2,A50)</f>
        <v>0</v>
      </c>
      <c r="AT50" s="32">
        <f ca="1">_xll.DBRW($C$1,$C$2,$C$3,$C$4,$C$6,$C$5,$C$7,AT$1,AT$2,A50)</f>
        <v>0</v>
      </c>
      <c r="AU50" s="32">
        <f ca="1">_xll.DBRW($C$1,$C$2,$C$3,$C$4,$C$6,$C$5,$C$7,AU$1,AU$2,A50)</f>
        <v>0</v>
      </c>
    </row>
    <row r="51" spans="1:47" ht="15.75" hidden="1" outlineLevel="1">
      <c r="A51" s="1" t="s">
        <v>127</v>
      </c>
      <c r="C51" s="141"/>
      <c r="E51" s="15" t="s">
        <v>23</v>
      </c>
      <c r="F51" s="33">
        <f t="shared" ref="F51:T51" ca="1" si="27">SUM(F50)</f>
        <v>0</v>
      </c>
      <c r="G51" s="33">
        <f t="shared" ca="1" si="27"/>
        <v>0</v>
      </c>
      <c r="H51" s="33">
        <f t="shared" ca="1" si="27"/>
        <v>0</v>
      </c>
      <c r="I51" s="33">
        <f t="shared" ca="1" si="27"/>
        <v>0</v>
      </c>
      <c r="J51" s="33">
        <f t="shared" ca="1" si="27"/>
        <v>0</v>
      </c>
      <c r="K51" s="33">
        <f t="shared" ca="1" si="27"/>
        <v>0</v>
      </c>
      <c r="L51" s="33">
        <f t="shared" ca="1" si="27"/>
        <v>0</v>
      </c>
      <c r="M51" s="33">
        <f t="shared" ca="1" si="27"/>
        <v>0</v>
      </c>
      <c r="N51" s="33">
        <f t="shared" ca="1" si="27"/>
        <v>0</v>
      </c>
      <c r="O51" s="33">
        <f t="shared" ca="1" si="27"/>
        <v>0</v>
      </c>
      <c r="P51" s="33">
        <f t="shared" ca="1" si="27"/>
        <v>0</v>
      </c>
      <c r="Q51" s="33">
        <f t="shared" ca="1" si="27"/>
        <v>0</v>
      </c>
      <c r="R51" s="33">
        <f t="shared" ca="1" si="27"/>
        <v>0</v>
      </c>
      <c r="S51" s="33">
        <f t="shared" ca="1" si="27"/>
        <v>0</v>
      </c>
      <c r="T51" s="33">
        <f t="shared" ca="1" si="27"/>
        <v>0</v>
      </c>
      <c r="U51" s="33">
        <f ca="1">SUM(U50)</f>
        <v>0</v>
      </c>
      <c r="V51" s="33">
        <f t="shared" ref="V51:AG51" ca="1" si="28">SUM(V50)</f>
        <v>0</v>
      </c>
      <c r="W51" s="33">
        <f t="shared" ca="1" si="28"/>
        <v>0</v>
      </c>
      <c r="X51" s="33">
        <f t="shared" ca="1" si="28"/>
        <v>0</v>
      </c>
      <c r="Y51" s="33">
        <f t="shared" ca="1" si="28"/>
        <v>0</v>
      </c>
      <c r="Z51" s="33">
        <f t="shared" ca="1" si="28"/>
        <v>0</v>
      </c>
      <c r="AA51" s="33">
        <f t="shared" ca="1" si="28"/>
        <v>0</v>
      </c>
      <c r="AB51" s="33">
        <f t="shared" ca="1" si="28"/>
        <v>0</v>
      </c>
      <c r="AC51" s="33">
        <f t="shared" ca="1" si="28"/>
        <v>0</v>
      </c>
      <c r="AD51" s="33">
        <f t="shared" ca="1" si="28"/>
        <v>0</v>
      </c>
      <c r="AE51" s="33">
        <f t="shared" ca="1" si="28"/>
        <v>0</v>
      </c>
      <c r="AF51" s="33">
        <f t="shared" ca="1" si="28"/>
        <v>0</v>
      </c>
      <c r="AG51" s="33">
        <f t="shared" ca="1" si="28"/>
        <v>0</v>
      </c>
      <c r="AH51" s="33">
        <f ca="1">SUM(AH50)</f>
        <v>0</v>
      </c>
      <c r="AI51" s="33">
        <f t="shared" ref="AI51:AT51" ca="1" si="29">SUM(AI50)</f>
        <v>0</v>
      </c>
      <c r="AJ51" s="33">
        <f t="shared" ca="1" si="29"/>
        <v>0</v>
      </c>
      <c r="AK51" s="33">
        <f t="shared" ca="1" si="29"/>
        <v>0</v>
      </c>
      <c r="AL51" s="33">
        <f t="shared" ca="1" si="29"/>
        <v>0</v>
      </c>
      <c r="AM51" s="33">
        <f t="shared" ca="1" si="29"/>
        <v>0</v>
      </c>
      <c r="AN51" s="33">
        <f t="shared" ca="1" si="29"/>
        <v>0</v>
      </c>
      <c r="AO51" s="33">
        <f t="shared" ca="1" si="29"/>
        <v>0</v>
      </c>
      <c r="AP51" s="33">
        <f t="shared" ca="1" si="29"/>
        <v>0</v>
      </c>
      <c r="AQ51" s="33">
        <f t="shared" ca="1" si="29"/>
        <v>0</v>
      </c>
      <c r="AR51" s="33">
        <f t="shared" ca="1" si="29"/>
        <v>0</v>
      </c>
      <c r="AS51" s="33">
        <f t="shared" ca="1" si="29"/>
        <v>0</v>
      </c>
      <c r="AT51" s="33">
        <f t="shared" ca="1" si="29"/>
        <v>0</v>
      </c>
      <c r="AU51" s="33">
        <f ca="1">SUM(AU50)</f>
        <v>0</v>
      </c>
    </row>
    <row r="52" spans="1:47" ht="15.75" hidden="1" customHeight="1" outlineLevel="2">
      <c r="A52" s="1" t="s">
        <v>146</v>
      </c>
      <c r="C52" s="141"/>
      <c r="E52" s="9" t="str">
        <f ca="1">_xll.DBRW(Server&amp;"}ElementAttributes_Indicator",A52,"code_English")</f>
        <v>PL1115_MF_31 - Tyres</v>
      </c>
      <c r="F52" s="32">
        <f ca="1">_xll.DBRW($C$1,$C$2,$C$3,$C$4,$C$6,$C$5,$C$7,F$1,F$2,A52)</f>
        <v>0</v>
      </c>
      <c r="G52" s="32">
        <f ca="1">_xll.DBRW($C$1,$C$2,$C$3,$C$4,$C$6,$C$5,$C$7,G$1,G$2,A52)</f>
        <v>0</v>
      </c>
      <c r="H52" s="32">
        <f ca="1">_xll.DBRW($C$1,$C$2,$C$3,$C$4,$C$6,$C$5,$C$7,H$1,H$2,A52)</f>
        <v>0</v>
      </c>
      <c r="I52" s="32">
        <f ca="1">_xll.DBRW($C$1,$C$2,$C$3,$C$4,$C$6,$C$5,$C$7,I$1,I$2,A52)</f>
        <v>0</v>
      </c>
      <c r="J52" s="32">
        <f ca="1">_xll.DBRW($C$1,$C$2,$C$3,$C$4,$C$6,$C$5,$C$7,J$1,J$2,A52)</f>
        <v>0</v>
      </c>
      <c r="K52" s="32">
        <f ca="1">_xll.DBRW($C$1,$C$2,$C$3,$C$4,$C$6,$C$5,$C$7,K$1,K$2,A52)</f>
        <v>0</v>
      </c>
      <c r="L52" s="32">
        <f ca="1">_xll.DBRW($C$1,$C$2,$C$3,$C$4,$C$6,$C$5,$C$7,L$1,L$2,A52)</f>
        <v>0</v>
      </c>
      <c r="M52" s="32">
        <f ca="1">_xll.DBRW($C$1,$C$2,$C$3,$C$4,$C$6,$C$5,$C$7,M$1,M$2,A52)</f>
        <v>0</v>
      </c>
      <c r="N52" s="32">
        <f ca="1">_xll.DBRW($C$1,$C$2,$C$3,$C$4,$C$6,$C$5,$C$7,N$1,N$2,A52)</f>
        <v>0</v>
      </c>
      <c r="O52" s="32">
        <f ca="1">_xll.DBRW($C$1,$C$2,$C$3,$C$4,$C$6,$C$5,$C$7,O$1,O$2,A52)</f>
        <v>0</v>
      </c>
      <c r="P52" s="32">
        <f ca="1">_xll.DBRW($C$1,$C$2,$C$3,$C$4,$C$6,$C$5,$C$7,P$1,P$2,A52)</f>
        <v>0</v>
      </c>
      <c r="Q52" s="32">
        <f ca="1">_xll.DBRW($C$1,$C$2,$C$3,$C$4,$C$6,$C$5,$C$7,Q$1,Q$2,A52)</f>
        <v>0</v>
      </c>
      <c r="R52" s="32">
        <f ca="1">_xll.DBRW($C$1,$C$2,$C$3,$C$4,$C$6,$C$5,$C$7,R$1,R$2,A52)</f>
        <v>0</v>
      </c>
      <c r="S52" s="32">
        <f ca="1">_xll.DBRW($C$1,$C$2,$C$3,$C$4,$C$6,$C$5,$C$7,S$1,S$2,A52)</f>
        <v>0</v>
      </c>
      <c r="T52" s="32">
        <f ca="1">_xll.DBRW($C$1,$C$2,$C$3,$C$4,$C$6,$C$5,$C$7,T$1,T$2,A52)</f>
        <v>0</v>
      </c>
      <c r="U52" s="32">
        <f ca="1">_xll.DBRW($C$1,$C$2,$C$3,$C$4,$C$6,$C$5,$C$7,U$1,U$2,A52)</f>
        <v>0</v>
      </c>
      <c r="V52" s="32">
        <f ca="1">_xll.DBRW($C$1,$C$2,$C$3,$C$4,$C$6,$C$5,$C$7,V$1,V$2,A52)</f>
        <v>0</v>
      </c>
      <c r="W52" s="32">
        <f ca="1">_xll.DBRW($C$1,$C$2,$C$3,$C$4,$C$6,$C$5,$C$7,W$1,W$2,A52)</f>
        <v>0</v>
      </c>
      <c r="X52" s="32">
        <f ca="1">_xll.DBRW($C$1,$C$2,$C$3,$C$4,$C$6,$C$5,$C$7,X$1,X$2,A52)</f>
        <v>0</v>
      </c>
      <c r="Y52" s="32">
        <f ca="1">_xll.DBRW($C$1,$C$2,$C$3,$C$4,$C$6,$C$5,$C$7,Y$1,Y$2,A52)</f>
        <v>0</v>
      </c>
      <c r="Z52" s="32">
        <f ca="1">_xll.DBRW($C$1,$C$2,$C$3,$C$4,$C$6,$C$5,$C$7,Z$1,Z$2,A52)</f>
        <v>0</v>
      </c>
      <c r="AA52" s="32">
        <f ca="1">_xll.DBRW($C$1,$C$2,$C$3,$C$4,$C$6,$C$5,$C$7,AA$1,AA$2,A52)</f>
        <v>0</v>
      </c>
      <c r="AB52" s="32">
        <f ca="1">_xll.DBRW($C$1,$C$2,$C$3,$C$4,$C$6,$C$5,$C$7,AB$1,AB$2,A52)</f>
        <v>0</v>
      </c>
      <c r="AC52" s="32">
        <f ca="1">_xll.DBRW($C$1,$C$2,$C$3,$C$4,$C$6,$C$5,$C$7,AC$1,AC$2,A52)</f>
        <v>0</v>
      </c>
      <c r="AD52" s="32">
        <f ca="1">_xll.DBRW($C$1,$C$2,$C$3,$C$4,$C$6,$C$5,$C$7,AD$1,AD$2,A52)</f>
        <v>0</v>
      </c>
      <c r="AE52" s="32">
        <f ca="1">_xll.DBRW($C$1,$C$2,$C$3,$C$4,$C$6,$C$5,$C$7,AE$1,AE$2,A52)</f>
        <v>0</v>
      </c>
      <c r="AF52" s="32">
        <f ca="1">_xll.DBRW($C$1,$C$2,$C$3,$C$4,$C$6,$C$5,$C$7,AF$1,AF$2,A52)</f>
        <v>0</v>
      </c>
      <c r="AG52" s="32">
        <f ca="1">_xll.DBRW($C$1,$C$2,$C$3,$C$4,$C$6,$C$5,$C$7,AG$1,AG$2,A52)</f>
        <v>0</v>
      </c>
      <c r="AH52" s="32">
        <f ca="1">_xll.DBRW($C$1,$C$2,$C$3,$C$4,$C$6,$C$5,$C$7,AH$1,AH$2,A52)</f>
        <v>0</v>
      </c>
      <c r="AI52" s="32">
        <f ca="1">_xll.DBRW($C$1,$C$2,$C$3,$C$4,$C$6,$C$5,$C$7,AI$1,AI$2,A52)</f>
        <v>0</v>
      </c>
      <c r="AJ52" s="32">
        <f ca="1">_xll.DBRW($C$1,$C$2,$C$3,$C$4,$C$6,$C$5,$C$7,AJ$1,AJ$2,A52)</f>
        <v>0</v>
      </c>
      <c r="AK52" s="32">
        <f ca="1">_xll.DBRW($C$1,$C$2,$C$3,$C$4,$C$6,$C$5,$C$7,AK$1,AK$2,A52)</f>
        <v>0</v>
      </c>
      <c r="AL52" s="32">
        <f ca="1">_xll.DBRW($C$1,$C$2,$C$3,$C$4,$C$6,$C$5,$C$7,AL$1,AL$2,A52)</f>
        <v>0</v>
      </c>
      <c r="AM52" s="32">
        <f ca="1">_xll.DBRW($C$1,$C$2,$C$3,$C$4,$C$6,$C$5,$C$7,AM$1,AM$2,A52)</f>
        <v>0</v>
      </c>
      <c r="AN52" s="32">
        <f ca="1">_xll.DBRW($C$1,$C$2,$C$3,$C$4,$C$6,$C$5,$C$7,AN$1,AN$2,A52)</f>
        <v>0</v>
      </c>
      <c r="AO52" s="32">
        <f ca="1">_xll.DBRW($C$1,$C$2,$C$3,$C$4,$C$6,$C$5,$C$7,AO$1,AO$2,A52)</f>
        <v>0</v>
      </c>
      <c r="AP52" s="32">
        <f ca="1">_xll.DBRW($C$1,$C$2,$C$3,$C$4,$C$6,$C$5,$C$7,AP$1,AP$2,A52)</f>
        <v>0</v>
      </c>
      <c r="AQ52" s="32">
        <f ca="1">_xll.DBRW($C$1,$C$2,$C$3,$C$4,$C$6,$C$5,$C$7,AQ$1,AQ$2,A52)</f>
        <v>0</v>
      </c>
      <c r="AR52" s="32">
        <f ca="1">_xll.DBRW($C$1,$C$2,$C$3,$C$4,$C$6,$C$5,$C$7,AR$1,AR$2,A52)</f>
        <v>0</v>
      </c>
      <c r="AS52" s="32">
        <f ca="1">_xll.DBRW($C$1,$C$2,$C$3,$C$4,$C$6,$C$5,$C$7,AS$1,AS$2,A52)</f>
        <v>0</v>
      </c>
      <c r="AT52" s="32">
        <f ca="1">_xll.DBRW($C$1,$C$2,$C$3,$C$4,$C$6,$C$5,$C$7,AT$1,AT$2,A52)</f>
        <v>0</v>
      </c>
      <c r="AU52" s="32">
        <f ca="1">_xll.DBRW($C$1,$C$2,$C$3,$C$4,$C$6,$C$5,$C$7,AU$1,AU$2,A52)</f>
        <v>0</v>
      </c>
    </row>
    <row r="53" spans="1:47" ht="15.75" hidden="1" outlineLevel="1">
      <c r="A53" s="1" t="s">
        <v>146</v>
      </c>
      <c r="C53" s="141"/>
      <c r="E53" s="15" t="s">
        <v>24</v>
      </c>
      <c r="F53" s="33">
        <f t="shared" ref="F53:T53" ca="1" si="30">SUM(F52)</f>
        <v>0</v>
      </c>
      <c r="G53" s="33">
        <f t="shared" ca="1" si="30"/>
        <v>0</v>
      </c>
      <c r="H53" s="33">
        <f t="shared" ca="1" si="30"/>
        <v>0</v>
      </c>
      <c r="I53" s="33">
        <f t="shared" ca="1" si="30"/>
        <v>0</v>
      </c>
      <c r="J53" s="33">
        <f t="shared" ca="1" si="30"/>
        <v>0</v>
      </c>
      <c r="K53" s="33">
        <f t="shared" ca="1" si="30"/>
        <v>0</v>
      </c>
      <c r="L53" s="33">
        <f t="shared" ca="1" si="30"/>
        <v>0</v>
      </c>
      <c r="M53" s="33">
        <f t="shared" ca="1" si="30"/>
        <v>0</v>
      </c>
      <c r="N53" s="33">
        <f t="shared" ca="1" si="30"/>
        <v>0</v>
      </c>
      <c r="O53" s="33">
        <f t="shared" ca="1" si="30"/>
        <v>0</v>
      </c>
      <c r="P53" s="33">
        <f t="shared" ca="1" si="30"/>
        <v>0</v>
      </c>
      <c r="Q53" s="33">
        <f t="shared" ca="1" si="30"/>
        <v>0</v>
      </c>
      <c r="R53" s="33">
        <f t="shared" ca="1" si="30"/>
        <v>0</v>
      </c>
      <c r="S53" s="33">
        <f t="shared" ca="1" si="30"/>
        <v>0</v>
      </c>
      <c r="T53" s="33">
        <f t="shared" ca="1" si="30"/>
        <v>0</v>
      </c>
      <c r="U53" s="33">
        <f ca="1">SUM(U52)</f>
        <v>0</v>
      </c>
      <c r="V53" s="33">
        <f t="shared" ref="V53:AG53" ca="1" si="31">SUM(V52)</f>
        <v>0</v>
      </c>
      <c r="W53" s="33">
        <f t="shared" ca="1" si="31"/>
        <v>0</v>
      </c>
      <c r="X53" s="33">
        <f t="shared" ca="1" si="31"/>
        <v>0</v>
      </c>
      <c r="Y53" s="33">
        <f t="shared" ca="1" si="31"/>
        <v>0</v>
      </c>
      <c r="Z53" s="33">
        <f t="shared" ca="1" si="31"/>
        <v>0</v>
      </c>
      <c r="AA53" s="33">
        <f t="shared" ca="1" si="31"/>
        <v>0</v>
      </c>
      <c r="AB53" s="33">
        <f t="shared" ca="1" si="31"/>
        <v>0</v>
      </c>
      <c r="AC53" s="33">
        <f t="shared" ca="1" si="31"/>
        <v>0</v>
      </c>
      <c r="AD53" s="33">
        <f t="shared" ca="1" si="31"/>
        <v>0</v>
      </c>
      <c r="AE53" s="33">
        <f t="shared" ca="1" si="31"/>
        <v>0</v>
      </c>
      <c r="AF53" s="33">
        <f t="shared" ca="1" si="31"/>
        <v>0</v>
      </c>
      <c r="AG53" s="33">
        <f t="shared" ca="1" si="31"/>
        <v>0</v>
      </c>
      <c r="AH53" s="33">
        <f ca="1">SUM(AH52)</f>
        <v>0</v>
      </c>
      <c r="AI53" s="33">
        <f t="shared" ref="AI53:AT53" ca="1" si="32">SUM(AI52)</f>
        <v>0</v>
      </c>
      <c r="AJ53" s="33">
        <f t="shared" ca="1" si="32"/>
        <v>0</v>
      </c>
      <c r="AK53" s="33">
        <f t="shared" ca="1" si="32"/>
        <v>0</v>
      </c>
      <c r="AL53" s="33">
        <f t="shared" ca="1" si="32"/>
        <v>0</v>
      </c>
      <c r="AM53" s="33">
        <f t="shared" ca="1" si="32"/>
        <v>0</v>
      </c>
      <c r="AN53" s="33">
        <f t="shared" ca="1" si="32"/>
        <v>0</v>
      </c>
      <c r="AO53" s="33">
        <f t="shared" ca="1" si="32"/>
        <v>0</v>
      </c>
      <c r="AP53" s="33">
        <f t="shared" ca="1" si="32"/>
        <v>0</v>
      </c>
      <c r="AQ53" s="33">
        <f t="shared" ca="1" si="32"/>
        <v>0</v>
      </c>
      <c r="AR53" s="33">
        <f t="shared" ca="1" si="32"/>
        <v>0</v>
      </c>
      <c r="AS53" s="33">
        <f t="shared" ca="1" si="32"/>
        <v>0</v>
      </c>
      <c r="AT53" s="33">
        <f t="shared" ca="1" si="32"/>
        <v>0</v>
      </c>
      <c r="AU53" s="33">
        <f ca="1">SUM(AU52)</f>
        <v>0</v>
      </c>
    </row>
    <row r="54" spans="1:47" ht="15.75" hidden="1" customHeight="1" outlineLevel="2">
      <c r="A54" s="1" t="s">
        <v>147</v>
      </c>
      <c r="C54" s="141"/>
      <c r="E54" s="9" t="str">
        <f ca="1">_xll.DBRW(Server&amp;"}ElementAttributes_Indicator",A54,"code_English")</f>
        <v>PL1115_MF_32 - Lubricants</v>
      </c>
      <c r="F54" s="32">
        <f ca="1">_xll.DBRW($C$1,$C$2,$C$3,$C$4,$C$6,$C$5,$C$7,F$1,F$2,A54)</f>
        <v>0</v>
      </c>
      <c r="G54" s="32">
        <f ca="1">_xll.DBRW($C$1,$C$2,$C$3,$C$4,$C$6,$C$5,$C$7,G$1,G$2,A54)</f>
        <v>0</v>
      </c>
      <c r="H54" s="32">
        <f ca="1">_xll.DBRW($C$1,$C$2,$C$3,$C$4,$C$6,$C$5,$C$7,H$1,H$2,A54)</f>
        <v>0</v>
      </c>
      <c r="I54" s="32">
        <f ca="1">_xll.DBRW($C$1,$C$2,$C$3,$C$4,$C$6,$C$5,$C$7,I$1,I$2,A54)</f>
        <v>0</v>
      </c>
      <c r="J54" s="32">
        <f ca="1">_xll.DBRW($C$1,$C$2,$C$3,$C$4,$C$6,$C$5,$C$7,J$1,J$2,A54)</f>
        <v>0</v>
      </c>
      <c r="K54" s="32">
        <f ca="1">_xll.DBRW($C$1,$C$2,$C$3,$C$4,$C$6,$C$5,$C$7,K$1,K$2,A54)</f>
        <v>0</v>
      </c>
      <c r="L54" s="32">
        <f ca="1">_xll.DBRW($C$1,$C$2,$C$3,$C$4,$C$6,$C$5,$C$7,L$1,L$2,A54)</f>
        <v>0</v>
      </c>
      <c r="M54" s="32">
        <f ca="1">_xll.DBRW($C$1,$C$2,$C$3,$C$4,$C$6,$C$5,$C$7,M$1,M$2,A54)</f>
        <v>0</v>
      </c>
      <c r="N54" s="32">
        <f ca="1">_xll.DBRW($C$1,$C$2,$C$3,$C$4,$C$6,$C$5,$C$7,N$1,N$2,A54)</f>
        <v>0</v>
      </c>
      <c r="O54" s="32">
        <f ca="1">_xll.DBRW($C$1,$C$2,$C$3,$C$4,$C$6,$C$5,$C$7,O$1,O$2,A54)</f>
        <v>0</v>
      </c>
      <c r="P54" s="32">
        <f ca="1">_xll.DBRW($C$1,$C$2,$C$3,$C$4,$C$6,$C$5,$C$7,P$1,P$2,A54)</f>
        <v>0</v>
      </c>
      <c r="Q54" s="32">
        <f ca="1">_xll.DBRW($C$1,$C$2,$C$3,$C$4,$C$6,$C$5,$C$7,Q$1,Q$2,A54)</f>
        <v>0</v>
      </c>
      <c r="R54" s="32">
        <f ca="1">_xll.DBRW($C$1,$C$2,$C$3,$C$4,$C$6,$C$5,$C$7,R$1,R$2,A54)</f>
        <v>0</v>
      </c>
      <c r="S54" s="32">
        <f ca="1">_xll.DBRW($C$1,$C$2,$C$3,$C$4,$C$6,$C$5,$C$7,S$1,S$2,A54)</f>
        <v>0</v>
      </c>
      <c r="T54" s="32">
        <f ca="1">_xll.DBRW($C$1,$C$2,$C$3,$C$4,$C$6,$C$5,$C$7,T$1,T$2,A54)</f>
        <v>0</v>
      </c>
      <c r="U54" s="32">
        <f ca="1">_xll.DBRW($C$1,$C$2,$C$3,$C$4,$C$6,$C$5,$C$7,U$1,U$2,A54)</f>
        <v>0</v>
      </c>
      <c r="V54" s="32">
        <f ca="1">_xll.DBRW($C$1,$C$2,$C$3,$C$4,$C$6,$C$5,$C$7,V$1,V$2,A54)</f>
        <v>0</v>
      </c>
      <c r="W54" s="32">
        <f ca="1">_xll.DBRW($C$1,$C$2,$C$3,$C$4,$C$6,$C$5,$C$7,W$1,W$2,A54)</f>
        <v>0</v>
      </c>
      <c r="X54" s="32">
        <f ca="1">_xll.DBRW($C$1,$C$2,$C$3,$C$4,$C$6,$C$5,$C$7,X$1,X$2,A54)</f>
        <v>0</v>
      </c>
      <c r="Y54" s="32">
        <f ca="1">_xll.DBRW($C$1,$C$2,$C$3,$C$4,$C$6,$C$5,$C$7,Y$1,Y$2,A54)</f>
        <v>0</v>
      </c>
      <c r="Z54" s="32">
        <f ca="1">_xll.DBRW($C$1,$C$2,$C$3,$C$4,$C$6,$C$5,$C$7,Z$1,Z$2,A54)</f>
        <v>0</v>
      </c>
      <c r="AA54" s="32">
        <f ca="1">_xll.DBRW($C$1,$C$2,$C$3,$C$4,$C$6,$C$5,$C$7,AA$1,AA$2,A54)</f>
        <v>0</v>
      </c>
      <c r="AB54" s="32">
        <f ca="1">_xll.DBRW($C$1,$C$2,$C$3,$C$4,$C$6,$C$5,$C$7,AB$1,AB$2,A54)</f>
        <v>0</v>
      </c>
      <c r="AC54" s="32">
        <f ca="1">_xll.DBRW($C$1,$C$2,$C$3,$C$4,$C$6,$C$5,$C$7,AC$1,AC$2,A54)</f>
        <v>0</v>
      </c>
      <c r="AD54" s="32">
        <f ca="1">_xll.DBRW($C$1,$C$2,$C$3,$C$4,$C$6,$C$5,$C$7,AD$1,AD$2,A54)</f>
        <v>0</v>
      </c>
      <c r="AE54" s="32">
        <f ca="1">_xll.DBRW($C$1,$C$2,$C$3,$C$4,$C$6,$C$5,$C$7,AE$1,AE$2,A54)</f>
        <v>0</v>
      </c>
      <c r="AF54" s="32">
        <f ca="1">_xll.DBRW($C$1,$C$2,$C$3,$C$4,$C$6,$C$5,$C$7,AF$1,AF$2,A54)</f>
        <v>0</v>
      </c>
      <c r="AG54" s="32">
        <f ca="1">_xll.DBRW($C$1,$C$2,$C$3,$C$4,$C$6,$C$5,$C$7,AG$1,AG$2,A54)</f>
        <v>0</v>
      </c>
      <c r="AH54" s="32">
        <f ca="1">_xll.DBRW($C$1,$C$2,$C$3,$C$4,$C$6,$C$5,$C$7,AH$1,AH$2,A54)</f>
        <v>0</v>
      </c>
      <c r="AI54" s="32">
        <f ca="1">_xll.DBRW($C$1,$C$2,$C$3,$C$4,$C$6,$C$5,$C$7,AI$1,AI$2,A54)</f>
        <v>0</v>
      </c>
      <c r="AJ54" s="32">
        <f ca="1">_xll.DBRW($C$1,$C$2,$C$3,$C$4,$C$6,$C$5,$C$7,AJ$1,AJ$2,A54)</f>
        <v>0</v>
      </c>
      <c r="AK54" s="32">
        <f ca="1">_xll.DBRW($C$1,$C$2,$C$3,$C$4,$C$6,$C$5,$C$7,AK$1,AK$2,A54)</f>
        <v>0</v>
      </c>
      <c r="AL54" s="32">
        <f ca="1">_xll.DBRW($C$1,$C$2,$C$3,$C$4,$C$6,$C$5,$C$7,AL$1,AL$2,A54)</f>
        <v>0</v>
      </c>
      <c r="AM54" s="32">
        <f ca="1">_xll.DBRW($C$1,$C$2,$C$3,$C$4,$C$6,$C$5,$C$7,AM$1,AM$2,A54)</f>
        <v>0</v>
      </c>
      <c r="AN54" s="32">
        <f ca="1">_xll.DBRW($C$1,$C$2,$C$3,$C$4,$C$6,$C$5,$C$7,AN$1,AN$2,A54)</f>
        <v>0</v>
      </c>
      <c r="AO54" s="32">
        <f ca="1">_xll.DBRW($C$1,$C$2,$C$3,$C$4,$C$6,$C$5,$C$7,AO$1,AO$2,A54)</f>
        <v>0</v>
      </c>
      <c r="AP54" s="32">
        <f ca="1">_xll.DBRW($C$1,$C$2,$C$3,$C$4,$C$6,$C$5,$C$7,AP$1,AP$2,A54)</f>
        <v>0</v>
      </c>
      <c r="AQ54" s="32">
        <f ca="1">_xll.DBRW($C$1,$C$2,$C$3,$C$4,$C$6,$C$5,$C$7,AQ$1,AQ$2,A54)</f>
        <v>0</v>
      </c>
      <c r="AR54" s="32">
        <f ca="1">_xll.DBRW($C$1,$C$2,$C$3,$C$4,$C$6,$C$5,$C$7,AR$1,AR$2,A54)</f>
        <v>0</v>
      </c>
      <c r="AS54" s="32">
        <f ca="1">_xll.DBRW($C$1,$C$2,$C$3,$C$4,$C$6,$C$5,$C$7,AS$1,AS$2,A54)</f>
        <v>0</v>
      </c>
      <c r="AT54" s="32">
        <f ca="1">_xll.DBRW($C$1,$C$2,$C$3,$C$4,$C$6,$C$5,$C$7,AT$1,AT$2,A54)</f>
        <v>0</v>
      </c>
      <c r="AU54" s="32">
        <f ca="1">_xll.DBRW($C$1,$C$2,$C$3,$C$4,$C$6,$C$5,$C$7,AU$1,AU$2,A54)</f>
        <v>0</v>
      </c>
    </row>
    <row r="55" spans="1:47" ht="15.75" hidden="1" outlineLevel="1">
      <c r="A55" s="1" t="s">
        <v>147</v>
      </c>
      <c r="C55" s="141"/>
      <c r="E55" s="15" t="s">
        <v>25</v>
      </c>
      <c r="F55" s="33">
        <f t="shared" ref="F55:T55" ca="1" si="33">SUM(F54)</f>
        <v>0</v>
      </c>
      <c r="G55" s="33">
        <f t="shared" ca="1" si="33"/>
        <v>0</v>
      </c>
      <c r="H55" s="33">
        <f t="shared" ca="1" si="33"/>
        <v>0</v>
      </c>
      <c r="I55" s="33">
        <f t="shared" ca="1" si="33"/>
        <v>0</v>
      </c>
      <c r="J55" s="33">
        <f t="shared" ca="1" si="33"/>
        <v>0</v>
      </c>
      <c r="K55" s="33">
        <f t="shared" ca="1" si="33"/>
        <v>0</v>
      </c>
      <c r="L55" s="33">
        <f t="shared" ca="1" si="33"/>
        <v>0</v>
      </c>
      <c r="M55" s="33">
        <f t="shared" ca="1" si="33"/>
        <v>0</v>
      </c>
      <c r="N55" s="33">
        <f t="shared" ca="1" si="33"/>
        <v>0</v>
      </c>
      <c r="O55" s="33">
        <f t="shared" ca="1" si="33"/>
        <v>0</v>
      </c>
      <c r="P55" s="33">
        <f t="shared" ca="1" si="33"/>
        <v>0</v>
      </c>
      <c r="Q55" s="33">
        <f t="shared" ca="1" si="33"/>
        <v>0</v>
      </c>
      <c r="R55" s="33">
        <f t="shared" ca="1" si="33"/>
        <v>0</v>
      </c>
      <c r="S55" s="33">
        <f t="shared" ca="1" si="33"/>
        <v>0</v>
      </c>
      <c r="T55" s="33">
        <f t="shared" ca="1" si="33"/>
        <v>0</v>
      </c>
      <c r="U55" s="33">
        <f ca="1">SUM(U54)</f>
        <v>0</v>
      </c>
      <c r="V55" s="33">
        <f t="shared" ref="V55:AG55" ca="1" si="34">SUM(V54)</f>
        <v>0</v>
      </c>
      <c r="W55" s="33">
        <f t="shared" ca="1" si="34"/>
        <v>0</v>
      </c>
      <c r="X55" s="33">
        <f t="shared" ca="1" si="34"/>
        <v>0</v>
      </c>
      <c r="Y55" s="33">
        <f t="shared" ca="1" si="34"/>
        <v>0</v>
      </c>
      <c r="Z55" s="33">
        <f t="shared" ca="1" si="34"/>
        <v>0</v>
      </c>
      <c r="AA55" s="33">
        <f t="shared" ca="1" si="34"/>
        <v>0</v>
      </c>
      <c r="AB55" s="33">
        <f t="shared" ca="1" si="34"/>
        <v>0</v>
      </c>
      <c r="AC55" s="33">
        <f t="shared" ca="1" si="34"/>
        <v>0</v>
      </c>
      <c r="AD55" s="33">
        <f t="shared" ca="1" si="34"/>
        <v>0</v>
      </c>
      <c r="AE55" s="33">
        <f t="shared" ca="1" si="34"/>
        <v>0</v>
      </c>
      <c r="AF55" s="33">
        <f t="shared" ca="1" si="34"/>
        <v>0</v>
      </c>
      <c r="AG55" s="33">
        <f t="shared" ca="1" si="34"/>
        <v>0</v>
      </c>
      <c r="AH55" s="33">
        <f ca="1">SUM(AH54)</f>
        <v>0</v>
      </c>
      <c r="AI55" s="33">
        <f t="shared" ref="AI55:AT55" ca="1" si="35">SUM(AI54)</f>
        <v>0</v>
      </c>
      <c r="AJ55" s="33">
        <f t="shared" ca="1" si="35"/>
        <v>0</v>
      </c>
      <c r="AK55" s="33">
        <f t="shared" ca="1" si="35"/>
        <v>0</v>
      </c>
      <c r="AL55" s="33">
        <f t="shared" ca="1" si="35"/>
        <v>0</v>
      </c>
      <c r="AM55" s="33">
        <f t="shared" ca="1" si="35"/>
        <v>0</v>
      </c>
      <c r="AN55" s="33">
        <f t="shared" ca="1" si="35"/>
        <v>0</v>
      </c>
      <c r="AO55" s="33">
        <f t="shared" ca="1" si="35"/>
        <v>0</v>
      </c>
      <c r="AP55" s="33">
        <f t="shared" ca="1" si="35"/>
        <v>0</v>
      </c>
      <c r="AQ55" s="33">
        <f t="shared" ca="1" si="35"/>
        <v>0</v>
      </c>
      <c r="AR55" s="33">
        <f t="shared" ca="1" si="35"/>
        <v>0</v>
      </c>
      <c r="AS55" s="33">
        <f t="shared" ca="1" si="35"/>
        <v>0</v>
      </c>
      <c r="AT55" s="33">
        <f t="shared" ca="1" si="35"/>
        <v>0</v>
      </c>
      <c r="AU55" s="33">
        <f ca="1">SUM(AU54)</f>
        <v>0</v>
      </c>
    </row>
    <row r="56" spans="1:47" ht="15.75" hidden="1" customHeight="1" outlineLevel="2">
      <c r="A56" s="1" t="s">
        <v>148</v>
      </c>
      <c r="C56" s="141"/>
      <c r="E56" s="9" t="str">
        <f ca="1">_xll.DBRW(Server&amp;"}ElementAttributes_Indicator",A56,"code_English")</f>
        <v>PL1115_MF_99 - Others (MF)</v>
      </c>
      <c r="F56" s="32">
        <f ca="1">_xll.DBRW($C$1,$C$2,$C$3,$C$4,$C$6,$C$5,$C$7,F$1,F$2,A56)</f>
        <v>-44089048.620000005</v>
      </c>
      <c r="G56" s="32">
        <f ca="1">_xll.DBRW($C$1,$C$2,$C$3,$C$4,$C$6,$C$5,$C$7,G$1,G$2,A56)</f>
        <v>-43101180.619999997</v>
      </c>
      <c r="H56" s="32">
        <f ca="1">_xll.DBRW($C$1,$C$2,$C$3,$C$4,$C$6,$C$5,$C$7,H$1,H$2,A56)</f>
        <v>-42315021.160000011</v>
      </c>
      <c r="I56" s="32">
        <f ca="1">_xll.DBRW($C$1,$C$2,$C$3,$C$4,$C$6,$C$5,$C$7,I$1,I$2,A56)</f>
        <v>-3553887.5599999996</v>
      </c>
      <c r="J56" s="32">
        <f ca="1">_xll.DBRW($C$1,$C$2,$C$3,$C$4,$C$6,$C$5,$C$7,J$1,J$2,A56)</f>
        <v>-7334080.7199999997</v>
      </c>
      <c r="K56" s="32">
        <f ca="1">_xll.DBRW($C$1,$C$2,$C$3,$C$4,$C$6,$C$5,$C$7,K$1,K$2,A56)</f>
        <v>-11468986.34</v>
      </c>
      <c r="L56" s="32">
        <f ca="1">_xll.DBRW($C$1,$C$2,$C$3,$C$4,$C$6,$C$5,$C$7,L$1,L$2,A56)</f>
        <v>-14939387.699999999</v>
      </c>
      <c r="M56" s="32">
        <f ca="1">_xll.DBRW($C$1,$C$2,$C$3,$C$4,$C$6,$C$5,$C$7,M$1,M$2,A56)</f>
        <v>-20167243.890000001</v>
      </c>
      <c r="N56" s="32">
        <f ca="1">_xll.DBRW($C$1,$C$2,$C$3,$C$4,$C$6,$C$5,$C$7,N$1,N$2,A56)</f>
        <v>-23416822.350000001</v>
      </c>
      <c r="O56" s="32">
        <f ca="1">_xll.DBRW($C$1,$C$2,$C$3,$C$4,$C$6,$C$5,$C$7,O$1,O$2,A56)</f>
        <v>-23416822.350000001</v>
      </c>
      <c r="P56" s="32">
        <f ca="1">_xll.DBRW($C$1,$C$2,$C$3,$C$4,$C$6,$C$5,$C$7,P$1,P$2,A56)</f>
        <v>-23416822.350000001</v>
      </c>
      <c r="Q56" s="32">
        <f ca="1">_xll.DBRW($C$1,$C$2,$C$3,$C$4,$C$6,$C$5,$C$7,Q$1,Q$2,A56)</f>
        <v>-23416822.350000001</v>
      </c>
      <c r="R56" s="32">
        <f ca="1">_xll.DBRW($C$1,$C$2,$C$3,$C$4,$C$6,$C$5,$C$7,R$1,R$2,A56)</f>
        <v>-23416822.350000001</v>
      </c>
      <c r="S56" s="32">
        <f ca="1">_xll.DBRW($C$1,$C$2,$C$3,$C$4,$C$6,$C$5,$C$7,S$1,S$2,A56)</f>
        <v>-23416822.350000001</v>
      </c>
      <c r="T56" s="32">
        <f ca="1">_xll.DBRW($C$1,$C$2,$C$3,$C$4,$C$6,$C$5,$C$7,T$1,T$2,A56)</f>
        <v>-23416822.350000001</v>
      </c>
      <c r="U56" s="32">
        <f ca="1">_xll.DBRW($C$1,$C$2,$C$3,$C$4,$C$6,$C$5,$C$7,U$1,U$2,A56)</f>
        <v>-23416822.350000001</v>
      </c>
      <c r="V56" s="32">
        <f ca="1">_xll.DBRW($C$1,$C$2,$C$3,$C$4,$C$6,$C$5,$C$7,V$1,V$2,A56)</f>
        <v>0</v>
      </c>
      <c r="W56" s="32">
        <f ca="1">_xll.DBRW($C$1,$C$2,$C$3,$C$4,$C$6,$C$5,$C$7,W$1,W$2,A56)</f>
        <v>0</v>
      </c>
      <c r="X56" s="32">
        <f ca="1">_xll.DBRW($C$1,$C$2,$C$3,$C$4,$C$6,$C$5,$C$7,X$1,X$2,A56)</f>
        <v>0</v>
      </c>
      <c r="Y56" s="32">
        <f ca="1">_xll.DBRW($C$1,$C$2,$C$3,$C$4,$C$6,$C$5,$C$7,Y$1,Y$2,A56)</f>
        <v>0</v>
      </c>
      <c r="Z56" s="32">
        <f ca="1">_xll.DBRW($C$1,$C$2,$C$3,$C$4,$C$6,$C$5,$C$7,Z$1,Z$2,A56)</f>
        <v>0</v>
      </c>
      <c r="AA56" s="32">
        <f ca="1">_xll.DBRW($C$1,$C$2,$C$3,$C$4,$C$6,$C$5,$C$7,AA$1,AA$2,A56)</f>
        <v>0</v>
      </c>
      <c r="AB56" s="32">
        <f ca="1">_xll.DBRW($C$1,$C$2,$C$3,$C$4,$C$6,$C$5,$C$7,AB$1,AB$2,A56)</f>
        <v>0</v>
      </c>
      <c r="AC56" s="32">
        <f ca="1">_xll.DBRW($C$1,$C$2,$C$3,$C$4,$C$6,$C$5,$C$7,AC$1,AC$2,A56)</f>
        <v>0</v>
      </c>
      <c r="AD56" s="32">
        <f ca="1">_xll.DBRW($C$1,$C$2,$C$3,$C$4,$C$6,$C$5,$C$7,AD$1,AD$2,A56)</f>
        <v>0</v>
      </c>
      <c r="AE56" s="32">
        <f ca="1">_xll.DBRW($C$1,$C$2,$C$3,$C$4,$C$6,$C$5,$C$7,AE$1,AE$2,A56)</f>
        <v>0</v>
      </c>
      <c r="AF56" s="32">
        <f ca="1">_xll.DBRW($C$1,$C$2,$C$3,$C$4,$C$6,$C$5,$C$7,AF$1,AF$2,A56)</f>
        <v>0</v>
      </c>
      <c r="AG56" s="32">
        <f ca="1">_xll.DBRW($C$1,$C$2,$C$3,$C$4,$C$6,$C$5,$C$7,AG$1,AG$2,A56)</f>
        <v>0</v>
      </c>
      <c r="AH56" s="32">
        <f ca="1">_xll.DBRW($C$1,$C$2,$C$3,$C$4,$C$6,$C$5,$C$7,AH$1,AH$2,A56)</f>
        <v>0</v>
      </c>
      <c r="AI56" s="32">
        <f ca="1">_xll.DBRW($C$1,$C$2,$C$3,$C$4,$C$6,$C$5,$C$7,AI$1,AI$2,A56)</f>
        <v>0</v>
      </c>
      <c r="AJ56" s="32">
        <f ca="1">_xll.DBRW($C$1,$C$2,$C$3,$C$4,$C$6,$C$5,$C$7,AJ$1,AJ$2,A56)</f>
        <v>0</v>
      </c>
      <c r="AK56" s="32">
        <f ca="1">_xll.DBRW($C$1,$C$2,$C$3,$C$4,$C$6,$C$5,$C$7,AK$1,AK$2,A56)</f>
        <v>0</v>
      </c>
      <c r="AL56" s="32">
        <f ca="1">_xll.DBRW($C$1,$C$2,$C$3,$C$4,$C$6,$C$5,$C$7,AL$1,AL$2,A56)</f>
        <v>0</v>
      </c>
      <c r="AM56" s="32">
        <f ca="1">_xll.DBRW($C$1,$C$2,$C$3,$C$4,$C$6,$C$5,$C$7,AM$1,AM$2,A56)</f>
        <v>0</v>
      </c>
      <c r="AN56" s="32">
        <f ca="1">_xll.DBRW($C$1,$C$2,$C$3,$C$4,$C$6,$C$5,$C$7,AN$1,AN$2,A56)</f>
        <v>0</v>
      </c>
      <c r="AO56" s="32">
        <f ca="1">_xll.DBRW($C$1,$C$2,$C$3,$C$4,$C$6,$C$5,$C$7,AO$1,AO$2,A56)</f>
        <v>0</v>
      </c>
      <c r="AP56" s="32">
        <f ca="1">_xll.DBRW($C$1,$C$2,$C$3,$C$4,$C$6,$C$5,$C$7,AP$1,AP$2,A56)</f>
        <v>0</v>
      </c>
      <c r="AQ56" s="32">
        <f ca="1">_xll.DBRW($C$1,$C$2,$C$3,$C$4,$C$6,$C$5,$C$7,AQ$1,AQ$2,A56)</f>
        <v>0</v>
      </c>
      <c r="AR56" s="32">
        <f ca="1">_xll.DBRW($C$1,$C$2,$C$3,$C$4,$C$6,$C$5,$C$7,AR$1,AR$2,A56)</f>
        <v>0</v>
      </c>
      <c r="AS56" s="32">
        <f ca="1">_xll.DBRW($C$1,$C$2,$C$3,$C$4,$C$6,$C$5,$C$7,AS$1,AS$2,A56)</f>
        <v>0</v>
      </c>
      <c r="AT56" s="32">
        <f ca="1">_xll.DBRW($C$1,$C$2,$C$3,$C$4,$C$6,$C$5,$C$7,AT$1,AT$2,A56)</f>
        <v>0</v>
      </c>
      <c r="AU56" s="32">
        <f ca="1">_xll.DBRW($C$1,$C$2,$C$3,$C$4,$C$6,$C$5,$C$7,AU$1,AU$2,A56)</f>
        <v>0</v>
      </c>
    </row>
    <row r="57" spans="1:47" ht="15.75" hidden="1" customHeight="1" outlineLevel="2">
      <c r="A57" s="1" t="s">
        <v>149</v>
      </c>
      <c r="C57" s="141"/>
      <c r="E57" s="9" t="str">
        <f ca="1">_xll.DBRW(Server&amp;"}ElementAttributes_Indicator",A57,"code_English")</f>
        <v>PL1115_ST_10 - Subcontracting transport (ST)</v>
      </c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  <c r="AT57" s="101"/>
      <c r="AU57" s="101"/>
    </row>
    <row r="58" spans="1:47" ht="15.75" hidden="1" customHeight="1" outlineLevel="2">
      <c r="A58" s="1" t="s">
        <v>150</v>
      </c>
      <c r="C58" s="141"/>
      <c r="E58" s="9" t="str">
        <f ca="1">_xll.DBRW(Server&amp;"}ElementAttributes_Indicator",A58,"code_English")</f>
        <v>PL1116_MF - COS - Lease expenses (MF)</v>
      </c>
      <c r="F58" s="32">
        <f ca="1">_xll.DBRW($C$1,$C$2,$C$3,$C$4,$C$6,$C$5,$C$7,F$1,F$2,A58)</f>
        <v>0</v>
      </c>
      <c r="G58" s="32">
        <f ca="1">_xll.DBRW($C$1,$C$2,$C$3,$C$4,$C$6,$C$5,$C$7,G$1,G$2,A58)</f>
        <v>0</v>
      </c>
      <c r="H58" s="32">
        <f ca="1">_xll.DBRW($C$1,$C$2,$C$3,$C$4,$C$6,$C$5,$C$7,H$1,H$2,A58)</f>
        <v>0</v>
      </c>
      <c r="I58" s="32">
        <f ca="1">_xll.DBRW($C$1,$C$2,$C$3,$C$4,$C$6,$C$5,$C$7,I$1,I$2,A58)</f>
        <v>0</v>
      </c>
      <c r="J58" s="32">
        <f ca="1">_xll.DBRW($C$1,$C$2,$C$3,$C$4,$C$6,$C$5,$C$7,J$1,J$2,A58)</f>
        <v>0</v>
      </c>
      <c r="K58" s="32">
        <f ca="1">_xll.DBRW($C$1,$C$2,$C$3,$C$4,$C$6,$C$5,$C$7,K$1,K$2,A58)</f>
        <v>0</v>
      </c>
      <c r="L58" s="32">
        <f ca="1">_xll.DBRW($C$1,$C$2,$C$3,$C$4,$C$6,$C$5,$C$7,L$1,L$2,A58)</f>
        <v>0</v>
      </c>
      <c r="M58" s="32">
        <f ca="1">_xll.DBRW($C$1,$C$2,$C$3,$C$4,$C$6,$C$5,$C$7,M$1,M$2,A58)</f>
        <v>0</v>
      </c>
      <c r="N58" s="32">
        <f ca="1">_xll.DBRW($C$1,$C$2,$C$3,$C$4,$C$6,$C$5,$C$7,N$1,N$2,A58)</f>
        <v>0</v>
      </c>
      <c r="O58" s="32">
        <f ca="1">_xll.DBRW($C$1,$C$2,$C$3,$C$4,$C$6,$C$5,$C$7,O$1,O$2,A58)</f>
        <v>0</v>
      </c>
      <c r="P58" s="32">
        <f ca="1">_xll.DBRW($C$1,$C$2,$C$3,$C$4,$C$6,$C$5,$C$7,P$1,P$2,A58)</f>
        <v>0</v>
      </c>
      <c r="Q58" s="32">
        <f ca="1">_xll.DBRW($C$1,$C$2,$C$3,$C$4,$C$6,$C$5,$C$7,Q$1,Q$2,A58)</f>
        <v>0</v>
      </c>
      <c r="R58" s="32">
        <f ca="1">_xll.DBRW($C$1,$C$2,$C$3,$C$4,$C$6,$C$5,$C$7,R$1,R$2,A58)</f>
        <v>0</v>
      </c>
      <c r="S58" s="32">
        <f ca="1">_xll.DBRW($C$1,$C$2,$C$3,$C$4,$C$6,$C$5,$C$7,S$1,S$2,A58)</f>
        <v>0</v>
      </c>
      <c r="T58" s="32">
        <f ca="1">_xll.DBRW($C$1,$C$2,$C$3,$C$4,$C$6,$C$5,$C$7,T$1,T$2,A58)</f>
        <v>0</v>
      </c>
      <c r="U58" s="32">
        <f ca="1">_xll.DBRW($C$1,$C$2,$C$3,$C$4,$C$6,$C$5,$C$7,U$1,U$2,A58)</f>
        <v>0</v>
      </c>
      <c r="V58" s="32">
        <f ca="1">_xll.DBRW($C$1,$C$2,$C$3,$C$4,$C$6,$C$5,$C$7,V$1,V$2,A58)</f>
        <v>0</v>
      </c>
      <c r="W58" s="32">
        <f ca="1">_xll.DBRW($C$1,$C$2,$C$3,$C$4,$C$6,$C$5,$C$7,W$1,W$2,A58)</f>
        <v>0</v>
      </c>
      <c r="X58" s="32">
        <f ca="1">_xll.DBRW($C$1,$C$2,$C$3,$C$4,$C$6,$C$5,$C$7,X$1,X$2,A58)</f>
        <v>0</v>
      </c>
      <c r="Y58" s="32">
        <f ca="1">_xll.DBRW($C$1,$C$2,$C$3,$C$4,$C$6,$C$5,$C$7,Y$1,Y$2,A58)</f>
        <v>0</v>
      </c>
      <c r="Z58" s="32">
        <f ca="1">_xll.DBRW($C$1,$C$2,$C$3,$C$4,$C$6,$C$5,$C$7,Z$1,Z$2,A58)</f>
        <v>0</v>
      </c>
      <c r="AA58" s="32">
        <f ca="1">_xll.DBRW($C$1,$C$2,$C$3,$C$4,$C$6,$C$5,$C$7,AA$1,AA$2,A58)</f>
        <v>0</v>
      </c>
      <c r="AB58" s="32">
        <f ca="1">_xll.DBRW($C$1,$C$2,$C$3,$C$4,$C$6,$C$5,$C$7,AB$1,AB$2,A58)</f>
        <v>0</v>
      </c>
      <c r="AC58" s="32">
        <f ca="1">_xll.DBRW($C$1,$C$2,$C$3,$C$4,$C$6,$C$5,$C$7,AC$1,AC$2,A58)</f>
        <v>0</v>
      </c>
      <c r="AD58" s="32">
        <f ca="1">_xll.DBRW($C$1,$C$2,$C$3,$C$4,$C$6,$C$5,$C$7,AD$1,AD$2,A58)</f>
        <v>0</v>
      </c>
      <c r="AE58" s="32">
        <f ca="1">_xll.DBRW($C$1,$C$2,$C$3,$C$4,$C$6,$C$5,$C$7,AE$1,AE$2,A58)</f>
        <v>0</v>
      </c>
      <c r="AF58" s="32">
        <f ca="1">_xll.DBRW($C$1,$C$2,$C$3,$C$4,$C$6,$C$5,$C$7,AF$1,AF$2,A58)</f>
        <v>0</v>
      </c>
      <c r="AG58" s="32">
        <f ca="1">_xll.DBRW($C$1,$C$2,$C$3,$C$4,$C$6,$C$5,$C$7,AG$1,AG$2,A58)</f>
        <v>0</v>
      </c>
      <c r="AH58" s="32">
        <f ca="1">_xll.DBRW($C$1,$C$2,$C$3,$C$4,$C$6,$C$5,$C$7,AH$1,AH$2,A58)</f>
        <v>0</v>
      </c>
      <c r="AI58" s="32">
        <f ca="1">_xll.DBRW($C$1,$C$2,$C$3,$C$4,$C$6,$C$5,$C$7,AI$1,AI$2,A58)</f>
        <v>0</v>
      </c>
      <c r="AJ58" s="32">
        <f ca="1">_xll.DBRW($C$1,$C$2,$C$3,$C$4,$C$6,$C$5,$C$7,AJ$1,AJ$2,A58)</f>
        <v>0</v>
      </c>
      <c r="AK58" s="32">
        <f ca="1">_xll.DBRW($C$1,$C$2,$C$3,$C$4,$C$6,$C$5,$C$7,AK$1,AK$2,A58)</f>
        <v>0</v>
      </c>
      <c r="AL58" s="32">
        <f ca="1">_xll.DBRW($C$1,$C$2,$C$3,$C$4,$C$6,$C$5,$C$7,AL$1,AL$2,A58)</f>
        <v>0</v>
      </c>
      <c r="AM58" s="32">
        <f ca="1">_xll.DBRW($C$1,$C$2,$C$3,$C$4,$C$6,$C$5,$C$7,AM$1,AM$2,A58)</f>
        <v>0</v>
      </c>
      <c r="AN58" s="32">
        <f ca="1">_xll.DBRW($C$1,$C$2,$C$3,$C$4,$C$6,$C$5,$C$7,AN$1,AN$2,A58)</f>
        <v>0</v>
      </c>
      <c r="AO58" s="32">
        <f ca="1">_xll.DBRW($C$1,$C$2,$C$3,$C$4,$C$6,$C$5,$C$7,AO$1,AO$2,A58)</f>
        <v>0</v>
      </c>
      <c r="AP58" s="32">
        <f ca="1">_xll.DBRW($C$1,$C$2,$C$3,$C$4,$C$6,$C$5,$C$7,AP$1,AP$2,A58)</f>
        <v>0</v>
      </c>
      <c r="AQ58" s="32">
        <f ca="1">_xll.DBRW($C$1,$C$2,$C$3,$C$4,$C$6,$C$5,$C$7,AQ$1,AQ$2,A58)</f>
        <v>0</v>
      </c>
      <c r="AR58" s="32">
        <f ca="1">_xll.DBRW($C$1,$C$2,$C$3,$C$4,$C$6,$C$5,$C$7,AR$1,AR$2,A58)</f>
        <v>0</v>
      </c>
      <c r="AS58" s="32">
        <f ca="1">_xll.DBRW($C$1,$C$2,$C$3,$C$4,$C$6,$C$5,$C$7,AS$1,AS$2,A58)</f>
        <v>0</v>
      </c>
      <c r="AT58" s="32">
        <f ca="1">_xll.DBRW($C$1,$C$2,$C$3,$C$4,$C$6,$C$5,$C$7,AT$1,AT$2,A58)</f>
        <v>0</v>
      </c>
      <c r="AU58" s="32">
        <f ca="1">_xll.DBRW($C$1,$C$2,$C$3,$C$4,$C$6,$C$5,$C$7,AU$1,AU$2,A58)</f>
        <v>0</v>
      </c>
    </row>
    <row r="59" spans="1:47" ht="15.75" hidden="1" customHeight="1" outlineLevel="2">
      <c r="A59" s="1" t="s">
        <v>151</v>
      </c>
      <c r="C59" s="141"/>
      <c r="E59" s="9" t="str">
        <f ca="1">_xll.DBRW(Server&amp;"}ElementAttributes_Indicator",A59,"code_English")</f>
        <v>PL1116_ST - COS - Lease expenses (ST)</v>
      </c>
      <c r="F59" s="32">
        <f ca="1">_xll.DBRW($C$1,$C$2,$C$3,$C$4,$C$6,$C$5,$C$7,F$1,F$2,A59)</f>
        <v>0</v>
      </c>
      <c r="G59" s="32">
        <f ca="1">_xll.DBRW($C$1,$C$2,$C$3,$C$4,$C$6,$C$5,$C$7,G$1,G$2,A59)</f>
        <v>0</v>
      </c>
      <c r="H59" s="32">
        <f ca="1">_xll.DBRW($C$1,$C$2,$C$3,$C$4,$C$6,$C$5,$C$7,H$1,H$2,A59)</f>
        <v>0</v>
      </c>
      <c r="I59" s="32">
        <f ca="1">_xll.DBRW($C$1,$C$2,$C$3,$C$4,$C$6,$C$5,$C$7,I$1,I$2,A59)</f>
        <v>0</v>
      </c>
      <c r="J59" s="32">
        <f ca="1">_xll.DBRW($C$1,$C$2,$C$3,$C$4,$C$6,$C$5,$C$7,J$1,J$2,A59)</f>
        <v>0</v>
      </c>
      <c r="K59" s="32">
        <f ca="1">_xll.DBRW($C$1,$C$2,$C$3,$C$4,$C$6,$C$5,$C$7,K$1,K$2,A59)</f>
        <v>0</v>
      </c>
      <c r="L59" s="32">
        <f ca="1">_xll.DBRW($C$1,$C$2,$C$3,$C$4,$C$6,$C$5,$C$7,L$1,L$2,A59)</f>
        <v>0</v>
      </c>
      <c r="M59" s="32">
        <f ca="1">_xll.DBRW($C$1,$C$2,$C$3,$C$4,$C$6,$C$5,$C$7,M$1,M$2,A59)</f>
        <v>0</v>
      </c>
      <c r="N59" s="32">
        <f ca="1">_xll.DBRW($C$1,$C$2,$C$3,$C$4,$C$6,$C$5,$C$7,N$1,N$2,A59)</f>
        <v>0</v>
      </c>
      <c r="O59" s="32">
        <f ca="1">_xll.DBRW($C$1,$C$2,$C$3,$C$4,$C$6,$C$5,$C$7,O$1,O$2,A59)</f>
        <v>0</v>
      </c>
      <c r="P59" s="32">
        <f ca="1">_xll.DBRW($C$1,$C$2,$C$3,$C$4,$C$6,$C$5,$C$7,P$1,P$2,A59)</f>
        <v>0</v>
      </c>
      <c r="Q59" s="32">
        <f ca="1">_xll.DBRW($C$1,$C$2,$C$3,$C$4,$C$6,$C$5,$C$7,Q$1,Q$2,A59)</f>
        <v>0</v>
      </c>
      <c r="R59" s="32">
        <f ca="1">_xll.DBRW($C$1,$C$2,$C$3,$C$4,$C$6,$C$5,$C$7,R$1,R$2,A59)</f>
        <v>0</v>
      </c>
      <c r="S59" s="32">
        <f ca="1">_xll.DBRW($C$1,$C$2,$C$3,$C$4,$C$6,$C$5,$C$7,S$1,S$2,A59)</f>
        <v>0</v>
      </c>
      <c r="T59" s="32">
        <f ca="1">_xll.DBRW($C$1,$C$2,$C$3,$C$4,$C$6,$C$5,$C$7,T$1,T$2,A59)</f>
        <v>0</v>
      </c>
      <c r="U59" s="32">
        <f ca="1">_xll.DBRW($C$1,$C$2,$C$3,$C$4,$C$6,$C$5,$C$7,U$1,U$2,A59)</f>
        <v>0</v>
      </c>
      <c r="V59" s="32">
        <f ca="1">_xll.DBRW($C$1,$C$2,$C$3,$C$4,$C$6,$C$5,$C$7,V$1,V$2,A59)</f>
        <v>0</v>
      </c>
      <c r="W59" s="32">
        <f ca="1">_xll.DBRW($C$1,$C$2,$C$3,$C$4,$C$6,$C$5,$C$7,W$1,W$2,A59)</f>
        <v>0</v>
      </c>
      <c r="X59" s="32">
        <f ca="1">_xll.DBRW($C$1,$C$2,$C$3,$C$4,$C$6,$C$5,$C$7,X$1,X$2,A59)</f>
        <v>0</v>
      </c>
      <c r="Y59" s="32">
        <f ca="1">_xll.DBRW($C$1,$C$2,$C$3,$C$4,$C$6,$C$5,$C$7,Y$1,Y$2,A59)</f>
        <v>0</v>
      </c>
      <c r="Z59" s="32">
        <f ca="1">_xll.DBRW($C$1,$C$2,$C$3,$C$4,$C$6,$C$5,$C$7,Z$1,Z$2,A59)</f>
        <v>0</v>
      </c>
      <c r="AA59" s="32">
        <f ca="1">_xll.DBRW($C$1,$C$2,$C$3,$C$4,$C$6,$C$5,$C$7,AA$1,AA$2,A59)</f>
        <v>0</v>
      </c>
      <c r="AB59" s="32">
        <f ca="1">_xll.DBRW($C$1,$C$2,$C$3,$C$4,$C$6,$C$5,$C$7,AB$1,AB$2,A59)</f>
        <v>0</v>
      </c>
      <c r="AC59" s="32">
        <f ca="1">_xll.DBRW($C$1,$C$2,$C$3,$C$4,$C$6,$C$5,$C$7,AC$1,AC$2,A59)</f>
        <v>0</v>
      </c>
      <c r="AD59" s="32">
        <f ca="1">_xll.DBRW($C$1,$C$2,$C$3,$C$4,$C$6,$C$5,$C$7,AD$1,AD$2,A59)</f>
        <v>0</v>
      </c>
      <c r="AE59" s="32">
        <f ca="1">_xll.DBRW($C$1,$C$2,$C$3,$C$4,$C$6,$C$5,$C$7,AE$1,AE$2,A59)</f>
        <v>0</v>
      </c>
      <c r="AF59" s="32">
        <f ca="1">_xll.DBRW($C$1,$C$2,$C$3,$C$4,$C$6,$C$5,$C$7,AF$1,AF$2,A59)</f>
        <v>0</v>
      </c>
      <c r="AG59" s="32">
        <f ca="1">_xll.DBRW($C$1,$C$2,$C$3,$C$4,$C$6,$C$5,$C$7,AG$1,AG$2,A59)</f>
        <v>0</v>
      </c>
      <c r="AH59" s="32">
        <f ca="1">_xll.DBRW($C$1,$C$2,$C$3,$C$4,$C$6,$C$5,$C$7,AH$1,AH$2,A59)</f>
        <v>0</v>
      </c>
      <c r="AI59" s="32">
        <f ca="1">_xll.DBRW($C$1,$C$2,$C$3,$C$4,$C$6,$C$5,$C$7,AI$1,AI$2,A59)</f>
        <v>0</v>
      </c>
      <c r="AJ59" s="32">
        <f ca="1">_xll.DBRW($C$1,$C$2,$C$3,$C$4,$C$6,$C$5,$C$7,AJ$1,AJ$2,A59)</f>
        <v>0</v>
      </c>
      <c r="AK59" s="32">
        <f ca="1">_xll.DBRW($C$1,$C$2,$C$3,$C$4,$C$6,$C$5,$C$7,AK$1,AK$2,A59)</f>
        <v>0</v>
      </c>
      <c r="AL59" s="32">
        <f ca="1">_xll.DBRW($C$1,$C$2,$C$3,$C$4,$C$6,$C$5,$C$7,AL$1,AL$2,A59)</f>
        <v>0</v>
      </c>
      <c r="AM59" s="32">
        <f ca="1">_xll.DBRW($C$1,$C$2,$C$3,$C$4,$C$6,$C$5,$C$7,AM$1,AM$2,A59)</f>
        <v>0</v>
      </c>
      <c r="AN59" s="32">
        <f ca="1">_xll.DBRW($C$1,$C$2,$C$3,$C$4,$C$6,$C$5,$C$7,AN$1,AN$2,A59)</f>
        <v>0</v>
      </c>
      <c r="AO59" s="32">
        <f ca="1">_xll.DBRW($C$1,$C$2,$C$3,$C$4,$C$6,$C$5,$C$7,AO$1,AO$2,A59)</f>
        <v>0</v>
      </c>
      <c r="AP59" s="32">
        <f ca="1">_xll.DBRW($C$1,$C$2,$C$3,$C$4,$C$6,$C$5,$C$7,AP$1,AP$2,A59)</f>
        <v>0</v>
      </c>
      <c r="AQ59" s="32">
        <f ca="1">_xll.DBRW($C$1,$C$2,$C$3,$C$4,$C$6,$C$5,$C$7,AQ$1,AQ$2,A59)</f>
        <v>0</v>
      </c>
      <c r="AR59" s="32">
        <f ca="1">_xll.DBRW($C$1,$C$2,$C$3,$C$4,$C$6,$C$5,$C$7,AR$1,AR$2,A59)</f>
        <v>0</v>
      </c>
      <c r="AS59" s="32">
        <f ca="1">_xll.DBRW($C$1,$C$2,$C$3,$C$4,$C$6,$C$5,$C$7,AS$1,AS$2,A59)</f>
        <v>0</v>
      </c>
      <c r="AT59" s="32">
        <f ca="1">_xll.DBRW($C$1,$C$2,$C$3,$C$4,$C$6,$C$5,$C$7,AT$1,AT$2,A59)</f>
        <v>0</v>
      </c>
      <c r="AU59" s="32">
        <f ca="1">_xll.DBRW($C$1,$C$2,$C$3,$C$4,$C$6,$C$5,$C$7,AU$1,AU$2,A59)</f>
        <v>0</v>
      </c>
    </row>
    <row r="60" spans="1:47" ht="15.75" hidden="1" customHeight="1" outlineLevel="2">
      <c r="A60" s="1" t="s">
        <v>152</v>
      </c>
      <c r="C60" s="141"/>
      <c r="E60" s="9" t="str">
        <f ca="1">_xll.DBRW(Server&amp;"}ElementAttributes_Indicator",A60,"code_English")</f>
        <v>PL1117_MF - COS - Lease expenses (IFRIC12) (MF)</v>
      </c>
      <c r="F60" s="32">
        <f ca="1">_xll.DBRW($C$1,$C$2,$C$3,$C$4,$C$6,$C$5,$C$7,F$1,F$2,A60)</f>
        <v>0</v>
      </c>
      <c r="G60" s="32">
        <f ca="1">_xll.DBRW($C$1,$C$2,$C$3,$C$4,$C$6,$C$5,$C$7,G$1,G$2,A60)</f>
        <v>0</v>
      </c>
      <c r="H60" s="32">
        <f ca="1">_xll.DBRW($C$1,$C$2,$C$3,$C$4,$C$6,$C$5,$C$7,H$1,H$2,A60)</f>
        <v>0</v>
      </c>
      <c r="I60" s="32">
        <f ca="1">_xll.DBRW($C$1,$C$2,$C$3,$C$4,$C$6,$C$5,$C$7,I$1,I$2,A60)</f>
        <v>0</v>
      </c>
      <c r="J60" s="32">
        <f ca="1">_xll.DBRW($C$1,$C$2,$C$3,$C$4,$C$6,$C$5,$C$7,J$1,J$2,A60)</f>
        <v>0</v>
      </c>
      <c r="K60" s="32">
        <f ca="1">_xll.DBRW($C$1,$C$2,$C$3,$C$4,$C$6,$C$5,$C$7,K$1,K$2,A60)</f>
        <v>0</v>
      </c>
      <c r="L60" s="32">
        <f ca="1">_xll.DBRW($C$1,$C$2,$C$3,$C$4,$C$6,$C$5,$C$7,L$1,L$2,A60)</f>
        <v>0</v>
      </c>
      <c r="M60" s="32">
        <f ca="1">_xll.DBRW($C$1,$C$2,$C$3,$C$4,$C$6,$C$5,$C$7,M$1,M$2,A60)</f>
        <v>0</v>
      </c>
      <c r="N60" s="32">
        <f ca="1">_xll.DBRW($C$1,$C$2,$C$3,$C$4,$C$6,$C$5,$C$7,N$1,N$2,A60)</f>
        <v>0</v>
      </c>
      <c r="O60" s="32">
        <f ca="1">_xll.DBRW($C$1,$C$2,$C$3,$C$4,$C$6,$C$5,$C$7,O$1,O$2,A60)</f>
        <v>0</v>
      </c>
      <c r="P60" s="32">
        <f ca="1">_xll.DBRW($C$1,$C$2,$C$3,$C$4,$C$6,$C$5,$C$7,P$1,P$2,A60)</f>
        <v>0</v>
      </c>
      <c r="Q60" s="32">
        <f ca="1">_xll.DBRW($C$1,$C$2,$C$3,$C$4,$C$6,$C$5,$C$7,Q$1,Q$2,A60)</f>
        <v>0</v>
      </c>
      <c r="R60" s="32">
        <f ca="1">_xll.DBRW($C$1,$C$2,$C$3,$C$4,$C$6,$C$5,$C$7,R$1,R$2,A60)</f>
        <v>0</v>
      </c>
      <c r="S60" s="32">
        <f ca="1">_xll.DBRW($C$1,$C$2,$C$3,$C$4,$C$6,$C$5,$C$7,S$1,S$2,A60)</f>
        <v>0</v>
      </c>
      <c r="T60" s="32">
        <f ca="1">_xll.DBRW($C$1,$C$2,$C$3,$C$4,$C$6,$C$5,$C$7,T$1,T$2,A60)</f>
        <v>0</v>
      </c>
      <c r="U60" s="32">
        <f ca="1">_xll.DBRW($C$1,$C$2,$C$3,$C$4,$C$6,$C$5,$C$7,U$1,U$2,A60)</f>
        <v>0</v>
      </c>
      <c r="V60" s="32">
        <f ca="1">_xll.DBRW($C$1,$C$2,$C$3,$C$4,$C$6,$C$5,$C$7,V$1,V$2,A60)</f>
        <v>0</v>
      </c>
      <c r="W60" s="32">
        <f ca="1">_xll.DBRW($C$1,$C$2,$C$3,$C$4,$C$6,$C$5,$C$7,W$1,W$2,A60)</f>
        <v>0</v>
      </c>
      <c r="X60" s="32">
        <f ca="1">_xll.DBRW($C$1,$C$2,$C$3,$C$4,$C$6,$C$5,$C$7,X$1,X$2,A60)</f>
        <v>0</v>
      </c>
      <c r="Y60" s="32">
        <f ca="1">_xll.DBRW($C$1,$C$2,$C$3,$C$4,$C$6,$C$5,$C$7,Y$1,Y$2,A60)</f>
        <v>0</v>
      </c>
      <c r="Z60" s="32">
        <f ca="1">_xll.DBRW($C$1,$C$2,$C$3,$C$4,$C$6,$C$5,$C$7,Z$1,Z$2,A60)</f>
        <v>0</v>
      </c>
      <c r="AA60" s="32">
        <f ca="1">_xll.DBRW($C$1,$C$2,$C$3,$C$4,$C$6,$C$5,$C$7,AA$1,AA$2,A60)</f>
        <v>0</v>
      </c>
      <c r="AB60" s="32">
        <f ca="1">_xll.DBRW($C$1,$C$2,$C$3,$C$4,$C$6,$C$5,$C$7,AB$1,AB$2,A60)</f>
        <v>0</v>
      </c>
      <c r="AC60" s="32">
        <f ca="1">_xll.DBRW($C$1,$C$2,$C$3,$C$4,$C$6,$C$5,$C$7,AC$1,AC$2,A60)</f>
        <v>0</v>
      </c>
      <c r="AD60" s="32">
        <f ca="1">_xll.DBRW($C$1,$C$2,$C$3,$C$4,$C$6,$C$5,$C$7,AD$1,AD$2,A60)</f>
        <v>0</v>
      </c>
      <c r="AE60" s="32">
        <f ca="1">_xll.DBRW($C$1,$C$2,$C$3,$C$4,$C$6,$C$5,$C$7,AE$1,AE$2,A60)</f>
        <v>0</v>
      </c>
      <c r="AF60" s="32">
        <f ca="1">_xll.DBRW($C$1,$C$2,$C$3,$C$4,$C$6,$C$5,$C$7,AF$1,AF$2,A60)</f>
        <v>0</v>
      </c>
      <c r="AG60" s="32">
        <f ca="1">_xll.DBRW($C$1,$C$2,$C$3,$C$4,$C$6,$C$5,$C$7,AG$1,AG$2,A60)</f>
        <v>0</v>
      </c>
      <c r="AH60" s="32">
        <f ca="1">_xll.DBRW($C$1,$C$2,$C$3,$C$4,$C$6,$C$5,$C$7,AH$1,AH$2,A60)</f>
        <v>0</v>
      </c>
      <c r="AI60" s="32">
        <f ca="1">_xll.DBRW($C$1,$C$2,$C$3,$C$4,$C$6,$C$5,$C$7,AI$1,AI$2,A60)</f>
        <v>0</v>
      </c>
      <c r="AJ60" s="32">
        <f ca="1">_xll.DBRW($C$1,$C$2,$C$3,$C$4,$C$6,$C$5,$C$7,AJ$1,AJ$2,A60)</f>
        <v>0</v>
      </c>
      <c r="AK60" s="32">
        <f ca="1">_xll.DBRW($C$1,$C$2,$C$3,$C$4,$C$6,$C$5,$C$7,AK$1,AK$2,A60)</f>
        <v>0</v>
      </c>
      <c r="AL60" s="32">
        <f ca="1">_xll.DBRW($C$1,$C$2,$C$3,$C$4,$C$6,$C$5,$C$7,AL$1,AL$2,A60)</f>
        <v>0</v>
      </c>
      <c r="AM60" s="32">
        <f ca="1">_xll.DBRW($C$1,$C$2,$C$3,$C$4,$C$6,$C$5,$C$7,AM$1,AM$2,A60)</f>
        <v>0</v>
      </c>
      <c r="AN60" s="32">
        <f ca="1">_xll.DBRW($C$1,$C$2,$C$3,$C$4,$C$6,$C$5,$C$7,AN$1,AN$2,A60)</f>
        <v>0</v>
      </c>
      <c r="AO60" s="32">
        <f ca="1">_xll.DBRW($C$1,$C$2,$C$3,$C$4,$C$6,$C$5,$C$7,AO$1,AO$2,A60)</f>
        <v>0</v>
      </c>
      <c r="AP60" s="32">
        <f ca="1">_xll.DBRW($C$1,$C$2,$C$3,$C$4,$C$6,$C$5,$C$7,AP$1,AP$2,A60)</f>
        <v>0</v>
      </c>
      <c r="AQ60" s="32">
        <f ca="1">_xll.DBRW($C$1,$C$2,$C$3,$C$4,$C$6,$C$5,$C$7,AQ$1,AQ$2,A60)</f>
        <v>0</v>
      </c>
      <c r="AR60" s="32">
        <f ca="1">_xll.DBRW($C$1,$C$2,$C$3,$C$4,$C$6,$C$5,$C$7,AR$1,AR$2,A60)</f>
        <v>0</v>
      </c>
      <c r="AS60" s="32">
        <f ca="1">_xll.DBRW($C$1,$C$2,$C$3,$C$4,$C$6,$C$5,$C$7,AS$1,AS$2,A60)</f>
        <v>0</v>
      </c>
      <c r="AT60" s="32">
        <f ca="1">_xll.DBRW($C$1,$C$2,$C$3,$C$4,$C$6,$C$5,$C$7,AT$1,AT$2,A60)</f>
        <v>0</v>
      </c>
      <c r="AU60" s="32">
        <f ca="1">_xll.DBRW($C$1,$C$2,$C$3,$C$4,$C$6,$C$5,$C$7,AU$1,AU$2,A60)</f>
        <v>0</v>
      </c>
    </row>
    <row r="61" spans="1:47" ht="15.75" hidden="1" customHeight="1" outlineLevel="2">
      <c r="A61" s="1" t="s">
        <v>153</v>
      </c>
      <c r="C61" s="141"/>
      <c r="E61" s="9" t="str">
        <f ca="1">_xll.DBRW(Server&amp;"}ElementAttributes_Indicator",A61,"code_English")</f>
        <v>PL1117_ST - COS - Lease expenses (IFRIC12) (ST)</v>
      </c>
      <c r="F61" s="32">
        <f ca="1">_xll.DBRW($C$1,$C$2,$C$3,$C$4,$C$6,$C$5,$C$7,F$1,F$2,A61)</f>
        <v>0</v>
      </c>
      <c r="G61" s="32">
        <f ca="1">_xll.DBRW($C$1,$C$2,$C$3,$C$4,$C$6,$C$5,$C$7,G$1,G$2,A61)</f>
        <v>0</v>
      </c>
      <c r="H61" s="32">
        <f ca="1">_xll.DBRW($C$1,$C$2,$C$3,$C$4,$C$6,$C$5,$C$7,H$1,H$2,A61)</f>
        <v>0</v>
      </c>
      <c r="I61" s="32">
        <f ca="1">_xll.DBRW($C$1,$C$2,$C$3,$C$4,$C$6,$C$5,$C$7,I$1,I$2,A61)</f>
        <v>0</v>
      </c>
      <c r="J61" s="32">
        <f ca="1">_xll.DBRW($C$1,$C$2,$C$3,$C$4,$C$6,$C$5,$C$7,J$1,J$2,A61)</f>
        <v>0</v>
      </c>
      <c r="K61" s="32">
        <f ca="1">_xll.DBRW($C$1,$C$2,$C$3,$C$4,$C$6,$C$5,$C$7,K$1,K$2,A61)</f>
        <v>0</v>
      </c>
      <c r="L61" s="32">
        <f ca="1">_xll.DBRW($C$1,$C$2,$C$3,$C$4,$C$6,$C$5,$C$7,L$1,L$2,A61)</f>
        <v>0</v>
      </c>
      <c r="M61" s="32">
        <f ca="1">_xll.DBRW($C$1,$C$2,$C$3,$C$4,$C$6,$C$5,$C$7,M$1,M$2,A61)</f>
        <v>0</v>
      </c>
      <c r="N61" s="32">
        <f ca="1">_xll.DBRW($C$1,$C$2,$C$3,$C$4,$C$6,$C$5,$C$7,N$1,N$2,A61)</f>
        <v>0</v>
      </c>
      <c r="O61" s="32">
        <f ca="1">_xll.DBRW($C$1,$C$2,$C$3,$C$4,$C$6,$C$5,$C$7,O$1,O$2,A61)</f>
        <v>0</v>
      </c>
      <c r="P61" s="32">
        <f ca="1">_xll.DBRW($C$1,$C$2,$C$3,$C$4,$C$6,$C$5,$C$7,P$1,P$2,A61)</f>
        <v>0</v>
      </c>
      <c r="Q61" s="32">
        <f ca="1">_xll.DBRW($C$1,$C$2,$C$3,$C$4,$C$6,$C$5,$C$7,Q$1,Q$2,A61)</f>
        <v>0</v>
      </c>
      <c r="R61" s="32">
        <f ca="1">_xll.DBRW($C$1,$C$2,$C$3,$C$4,$C$6,$C$5,$C$7,R$1,R$2,A61)</f>
        <v>0</v>
      </c>
      <c r="S61" s="32">
        <f ca="1">_xll.DBRW($C$1,$C$2,$C$3,$C$4,$C$6,$C$5,$C$7,S$1,S$2,A61)</f>
        <v>0</v>
      </c>
      <c r="T61" s="32">
        <f ca="1">_xll.DBRW($C$1,$C$2,$C$3,$C$4,$C$6,$C$5,$C$7,T$1,T$2,A61)</f>
        <v>0</v>
      </c>
      <c r="U61" s="32">
        <f ca="1">_xll.DBRW($C$1,$C$2,$C$3,$C$4,$C$6,$C$5,$C$7,U$1,U$2,A61)</f>
        <v>0</v>
      </c>
      <c r="V61" s="32">
        <f ca="1">_xll.DBRW($C$1,$C$2,$C$3,$C$4,$C$6,$C$5,$C$7,V$1,V$2,A61)</f>
        <v>0</v>
      </c>
      <c r="W61" s="32">
        <f ca="1">_xll.DBRW($C$1,$C$2,$C$3,$C$4,$C$6,$C$5,$C$7,W$1,W$2,A61)</f>
        <v>0</v>
      </c>
      <c r="X61" s="32">
        <f ca="1">_xll.DBRW($C$1,$C$2,$C$3,$C$4,$C$6,$C$5,$C$7,X$1,X$2,A61)</f>
        <v>0</v>
      </c>
      <c r="Y61" s="32">
        <f ca="1">_xll.DBRW($C$1,$C$2,$C$3,$C$4,$C$6,$C$5,$C$7,Y$1,Y$2,A61)</f>
        <v>0</v>
      </c>
      <c r="Z61" s="32">
        <f ca="1">_xll.DBRW($C$1,$C$2,$C$3,$C$4,$C$6,$C$5,$C$7,Z$1,Z$2,A61)</f>
        <v>0</v>
      </c>
      <c r="AA61" s="32">
        <f ca="1">_xll.DBRW($C$1,$C$2,$C$3,$C$4,$C$6,$C$5,$C$7,AA$1,AA$2,A61)</f>
        <v>0</v>
      </c>
      <c r="AB61" s="32">
        <f ca="1">_xll.DBRW($C$1,$C$2,$C$3,$C$4,$C$6,$C$5,$C$7,AB$1,AB$2,A61)</f>
        <v>0</v>
      </c>
      <c r="AC61" s="32">
        <f ca="1">_xll.DBRW($C$1,$C$2,$C$3,$C$4,$C$6,$C$5,$C$7,AC$1,AC$2,A61)</f>
        <v>0</v>
      </c>
      <c r="AD61" s="32">
        <f ca="1">_xll.DBRW($C$1,$C$2,$C$3,$C$4,$C$6,$C$5,$C$7,AD$1,AD$2,A61)</f>
        <v>0</v>
      </c>
      <c r="AE61" s="32">
        <f ca="1">_xll.DBRW($C$1,$C$2,$C$3,$C$4,$C$6,$C$5,$C$7,AE$1,AE$2,A61)</f>
        <v>0</v>
      </c>
      <c r="AF61" s="32">
        <f ca="1">_xll.DBRW($C$1,$C$2,$C$3,$C$4,$C$6,$C$5,$C$7,AF$1,AF$2,A61)</f>
        <v>0</v>
      </c>
      <c r="AG61" s="32">
        <f ca="1">_xll.DBRW($C$1,$C$2,$C$3,$C$4,$C$6,$C$5,$C$7,AG$1,AG$2,A61)</f>
        <v>0</v>
      </c>
      <c r="AH61" s="32">
        <f ca="1">_xll.DBRW($C$1,$C$2,$C$3,$C$4,$C$6,$C$5,$C$7,AH$1,AH$2,A61)</f>
        <v>0</v>
      </c>
      <c r="AI61" s="32">
        <f ca="1">_xll.DBRW($C$1,$C$2,$C$3,$C$4,$C$6,$C$5,$C$7,AI$1,AI$2,A61)</f>
        <v>0</v>
      </c>
      <c r="AJ61" s="32">
        <f ca="1">_xll.DBRW($C$1,$C$2,$C$3,$C$4,$C$6,$C$5,$C$7,AJ$1,AJ$2,A61)</f>
        <v>0</v>
      </c>
      <c r="AK61" s="32">
        <f ca="1">_xll.DBRW($C$1,$C$2,$C$3,$C$4,$C$6,$C$5,$C$7,AK$1,AK$2,A61)</f>
        <v>0</v>
      </c>
      <c r="AL61" s="32">
        <f ca="1">_xll.DBRW($C$1,$C$2,$C$3,$C$4,$C$6,$C$5,$C$7,AL$1,AL$2,A61)</f>
        <v>0</v>
      </c>
      <c r="AM61" s="32">
        <f ca="1">_xll.DBRW($C$1,$C$2,$C$3,$C$4,$C$6,$C$5,$C$7,AM$1,AM$2,A61)</f>
        <v>0</v>
      </c>
      <c r="AN61" s="32">
        <f ca="1">_xll.DBRW($C$1,$C$2,$C$3,$C$4,$C$6,$C$5,$C$7,AN$1,AN$2,A61)</f>
        <v>0</v>
      </c>
      <c r="AO61" s="32">
        <f ca="1">_xll.DBRW($C$1,$C$2,$C$3,$C$4,$C$6,$C$5,$C$7,AO$1,AO$2,A61)</f>
        <v>0</v>
      </c>
      <c r="AP61" s="32">
        <f ca="1">_xll.DBRW($C$1,$C$2,$C$3,$C$4,$C$6,$C$5,$C$7,AP$1,AP$2,A61)</f>
        <v>0</v>
      </c>
      <c r="AQ61" s="32">
        <f ca="1">_xll.DBRW($C$1,$C$2,$C$3,$C$4,$C$6,$C$5,$C$7,AQ$1,AQ$2,A61)</f>
        <v>0</v>
      </c>
      <c r="AR61" s="32">
        <f ca="1">_xll.DBRW($C$1,$C$2,$C$3,$C$4,$C$6,$C$5,$C$7,AR$1,AR$2,A61)</f>
        <v>0</v>
      </c>
      <c r="AS61" s="32">
        <f ca="1">_xll.DBRW($C$1,$C$2,$C$3,$C$4,$C$6,$C$5,$C$7,AS$1,AS$2,A61)</f>
        <v>0</v>
      </c>
      <c r="AT61" s="32">
        <f ca="1">_xll.DBRW($C$1,$C$2,$C$3,$C$4,$C$6,$C$5,$C$7,AT$1,AT$2,A61)</f>
        <v>0</v>
      </c>
      <c r="AU61" s="32">
        <f ca="1">_xll.DBRW($C$1,$C$2,$C$3,$C$4,$C$6,$C$5,$C$7,AU$1,AU$2,A61)</f>
        <v>0</v>
      </c>
    </row>
    <row r="62" spans="1:47" ht="15.75" hidden="1" customHeight="1" outlineLevel="2">
      <c r="A62" s="1" t="s">
        <v>154</v>
      </c>
      <c r="C62" s="141"/>
      <c r="E62" s="9" t="str">
        <f ca="1">_xll.DBRW(Server&amp;"}ElementAttributes_Indicator",A62,"code_English")</f>
        <v>PL1118_MF - IFRS16 adjustment through P&amp;L (MF)</v>
      </c>
      <c r="F62" s="32">
        <f ca="1">_xll.DBRW($C$1,$C$2,$C$3,$C$4,$C$6,$C$5,$C$7,F$1,F$2,A62)</f>
        <v>0</v>
      </c>
      <c r="G62" s="32">
        <f ca="1">_xll.DBRW($C$1,$C$2,$C$3,$C$4,$C$6,$C$5,$C$7,G$1,G$2,A62)</f>
        <v>0</v>
      </c>
      <c r="H62" s="32">
        <f ca="1">_xll.DBRW($C$1,$C$2,$C$3,$C$4,$C$6,$C$5,$C$7,H$1,H$2,A62)</f>
        <v>0</v>
      </c>
      <c r="I62" s="32">
        <f ca="1">_xll.DBRW($C$1,$C$2,$C$3,$C$4,$C$6,$C$5,$C$7,I$1,I$2,A62)</f>
        <v>0</v>
      </c>
      <c r="J62" s="32">
        <f ca="1">_xll.DBRW($C$1,$C$2,$C$3,$C$4,$C$6,$C$5,$C$7,J$1,J$2,A62)</f>
        <v>0</v>
      </c>
      <c r="K62" s="32">
        <f ca="1">_xll.DBRW($C$1,$C$2,$C$3,$C$4,$C$6,$C$5,$C$7,K$1,K$2,A62)</f>
        <v>0</v>
      </c>
      <c r="L62" s="32">
        <f ca="1">_xll.DBRW($C$1,$C$2,$C$3,$C$4,$C$6,$C$5,$C$7,L$1,L$2,A62)</f>
        <v>0</v>
      </c>
      <c r="M62" s="32">
        <f ca="1">_xll.DBRW($C$1,$C$2,$C$3,$C$4,$C$6,$C$5,$C$7,M$1,M$2,A62)</f>
        <v>0</v>
      </c>
      <c r="N62" s="32">
        <f ca="1">_xll.DBRW($C$1,$C$2,$C$3,$C$4,$C$6,$C$5,$C$7,N$1,N$2,A62)</f>
        <v>0</v>
      </c>
      <c r="O62" s="32">
        <f ca="1">_xll.DBRW($C$1,$C$2,$C$3,$C$4,$C$6,$C$5,$C$7,O$1,O$2,A62)</f>
        <v>0</v>
      </c>
      <c r="P62" s="32">
        <f ca="1">_xll.DBRW($C$1,$C$2,$C$3,$C$4,$C$6,$C$5,$C$7,P$1,P$2,A62)</f>
        <v>0</v>
      </c>
      <c r="Q62" s="32">
        <f ca="1">_xll.DBRW($C$1,$C$2,$C$3,$C$4,$C$6,$C$5,$C$7,Q$1,Q$2,A62)</f>
        <v>0</v>
      </c>
      <c r="R62" s="32">
        <f ca="1">_xll.DBRW($C$1,$C$2,$C$3,$C$4,$C$6,$C$5,$C$7,R$1,R$2,A62)</f>
        <v>0</v>
      </c>
      <c r="S62" s="32">
        <f ca="1">_xll.DBRW($C$1,$C$2,$C$3,$C$4,$C$6,$C$5,$C$7,S$1,S$2,A62)</f>
        <v>0</v>
      </c>
      <c r="T62" s="32">
        <f ca="1">_xll.DBRW($C$1,$C$2,$C$3,$C$4,$C$6,$C$5,$C$7,T$1,T$2,A62)</f>
        <v>0</v>
      </c>
      <c r="U62" s="32">
        <f ca="1">_xll.DBRW($C$1,$C$2,$C$3,$C$4,$C$6,$C$5,$C$7,U$1,U$2,A62)</f>
        <v>0</v>
      </c>
      <c r="V62" s="32">
        <f ca="1">_xll.DBRW($C$1,$C$2,$C$3,$C$4,$C$6,$C$5,$C$7,V$1,V$2,A62)</f>
        <v>0</v>
      </c>
      <c r="W62" s="32">
        <f ca="1">_xll.DBRW($C$1,$C$2,$C$3,$C$4,$C$6,$C$5,$C$7,W$1,W$2,A62)</f>
        <v>0</v>
      </c>
      <c r="X62" s="32">
        <f ca="1">_xll.DBRW($C$1,$C$2,$C$3,$C$4,$C$6,$C$5,$C$7,X$1,X$2,A62)</f>
        <v>0</v>
      </c>
      <c r="Y62" s="32">
        <f ca="1">_xll.DBRW($C$1,$C$2,$C$3,$C$4,$C$6,$C$5,$C$7,Y$1,Y$2,A62)</f>
        <v>0</v>
      </c>
      <c r="Z62" s="32">
        <f ca="1">_xll.DBRW($C$1,$C$2,$C$3,$C$4,$C$6,$C$5,$C$7,Z$1,Z$2,A62)</f>
        <v>0</v>
      </c>
      <c r="AA62" s="32">
        <f ca="1">_xll.DBRW($C$1,$C$2,$C$3,$C$4,$C$6,$C$5,$C$7,AA$1,AA$2,A62)</f>
        <v>0</v>
      </c>
      <c r="AB62" s="32">
        <f ca="1">_xll.DBRW($C$1,$C$2,$C$3,$C$4,$C$6,$C$5,$C$7,AB$1,AB$2,A62)</f>
        <v>0</v>
      </c>
      <c r="AC62" s="32">
        <f ca="1">_xll.DBRW($C$1,$C$2,$C$3,$C$4,$C$6,$C$5,$C$7,AC$1,AC$2,A62)</f>
        <v>0</v>
      </c>
      <c r="AD62" s="32">
        <f ca="1">_xll.DBRW($C$1,$C$2,$C$3,$C$4,$C$6,$C$5,$C$7,AD$1,AD$2,A62)</f>
        <v>0</v>
      </c>
      <c r="AE62" s="32">
        <f ca="1">_xll.DBRW($C$1,$C$2,$C$3,$C$4,$C$6,$C$5,$C$7,AE$1,AE$2,A62)</f>
        <v>0</v>
      </c>
      <c r="AF62" s="32">
        <f ca="1">_xll.DBRW($C$1,$C$2,$C$3,$C$4,$C$6,$C$5,$C$7,AF$1,AF$2,A62)</f>
        <v>0</v>
      </c>
      <c r="AG62" s="32">
        <f ca="1">_xll.DBRW($C$1,$C$2,$C$3,$C$4,$C$6,$C$5,$C$7,AG$1,AG$2,A62)</f>
        <v>0</v>
      </c>
      <c r="AH62" s="32">
        <f ca="1">_xll.DBRW($C$1,$C$2,$C$3,$C$4,$C$6,$C$5,$C$7,AH$1,AH$2,A62)</f>
        <v>0</v>
      </c>
      <c r="AI62" s="32">
        <f ca="1">_xll.DBRW($C$1,$C$2,$C$3,$C$4,$C$6,$C$5,$C$7,AI$1,AI$2,A62)</f>
        <v>0</v>
      </c>
      <c r="AJ62" s="32">
        <f ca="1">_xll.DBRW($C$1,$C$2,$C$3,$C$4,$C$6,$C$5,$C$7,AJ$1,AJ$2,A62)</f>
        <v>0</v>
      </c>
      <c r="AK62" s="32">
        <f ca="1">_xll.DBRW($C$1,$C$2,$C$3,$C$4,$C$6,$C$5,$C$7,AK$1,AK$2,A62)</f>
        <v>0</v>
      </c>
      <c r="AL62" s="32">
        <f ca="1">_xll.DBRW($C$1,$C$2,$C$3,$C$4,$C$6,$C$5,$C$7,AL$1,AL$2,A62)</f>
        <v>0</v>
      </c>
      <c r="AM62" s="32">
        <f ca="1">_xll.DBRW($C$1,$C$2,$C$3,$C$4,$C$6,$C$5,$C$7,AM$1,AM$2,A62)</f>
        <v>0</v>
      </c>
      <c r="AN62" s="32">
        <f ca="1">_xll.DBRW($C$1,$C$2,$C$3,$C$4,$C$6,$C$5,$C$7,AN$1,AN$2,A62)</f>
        <v>0</v>
      </c>
      <c r="AO62" s="32">
        <f ca="1">_xll.DBRW($C$1,$C$2,$C$3,$C$4,$C$6,$C$5,$C$7,AO$1,AO$2,A62)</f>
        <v>0</v>
      </c>
      <c r="AP62" s="32">
        <f ca="1">_xll.DBRW($C$1,$C$2,$C$3,$C$4,$C$6,$C$5,$C$7,AP$1,AP$2,A62)</f>
        <v>0</v>
      </c>
      <c r="AQ62" s="32">
        <f ca="1">_xll.DBRW($C$1,$C$2,$C$3,$C$4,$C$6,$C$5,$C$7,AQ$1,AQ$2,A62)</f>
        <v>0</v>
      </c>
      <c r="AR62" s="32">
        <f ca="1">_xll.DBRW($C$1,$C$2,$C$3,$C$4,$C$6,$C$5,$C$7,AR$1,AR$2,A62)</f>
        <v>0</v>
      </c>
      <c r="AS62" s="32">
        <f ca="1">_xll.DBRW($C$1,$C$2,$C$3,$C$4,$C$6,$C$5,$C$7,AS$1,AS$2,A62)</f>
        <v>0</v>
      </c>
      <c r="AT62" s="32">
        <f ca="1">_xll.DBRW($C$1,$C$2,$C$3,$C$4,$C$6,$C$5,$C$7,AT$1,AT$2,A62)</f>
        <v>0</v>
      </c>
      <c r="AU62" s="32">
        <f ca="1">_xll.DBRW($C$1,$C$2,$C$3,$C$4,$C$6,$C$5,$C$7,AU$1,AU$2,A62)</f>
        <v>0</v>
      </c>
    </row>
    <row r="63" spans="1:47" ht="15.75" hidden="1" customHeight="1" outlineLevel="2">
      <c r="A63" s="1" t="s">
        <v>155</v>
      </c>
      <c r="C63" s="141"/>
      <c r="E63" s="9" t="str">
        <f ca="1">_xll.DBRW(Server&amp;"}ElementAttributes_Indicator",A63,"code_English")</f>
        <v>PL1118_ST - IFRS16 adjustment through P&amp;L (ST)</v>
      </c>
      <c r="F63" s="32">
        <f ca="1">_xll.DBRW($C$1,$C$2,$C$3,$C$4,$C$6,$C$5,$C$7,F$1,F$2,A63)</f>
        <v>0</v>
      </c>
      <c r="G63" s="32">
        <f ca="1">_xll.DBRW($C$1,$C$2,$C$3,$C$4,$C$6,$C$5,$C$7,G$1,G$2,A63)</f>
        <v>0</v>
      </c>
      <c r="H63" s="32">
        <f ca="1">_xll.DBRW($C$1,$C$2,$C$3,$C$4,$C$6,$C$5,$C$7,H$1,H$2,A63)</f>
        <v>0</v>
      </c>
      <c r="I63" s="32">
        <f ca="1">_xll.DBRW($C$1,$C$2,$C$3,$C$4,$C$6,$C$5,$C$7,I$1,I$2,A63)</f>
        <v>0</v>
      </c>
      <c r="J63" s="32">
        <f ca="1">_xll.DBRW($C$1,$C$2,$C$3,$C$4,$C$6,$C$5,$C$7,J$1,J$2,A63)</f>
        <v>0</v>
      </c>
      <c r="K63" s="32">
        <f ca="1">_xll.DBRW($C$1,$C$2,$C$3,$C$4,$C$6,$C$5,$C$7,K$1,K$2,A63)</f>
        <v>0</v>
      </c>
      <c r="L63" s="32">
        <f ca="1">_xll.DBRW($C$1,$C$2,$C$3,$C$4,$C$6,$C$5,$C$7,L$1,L$2,A63)</f>
        <v>0</v>
      </c>
      <c r="M63" s="32">
        <f ca="1">_xll.DBRW($C$1,$C$2,$C$3,$C$4,$C$6,$C$5,$C$7,M$1,M$2,A63)</f>
        <v>0</v>
      </c>
      <c r="N63" s="32">
        <f ca="1">_xll.DBRW($C$1,$C$2,$C$3,$C$4,$C$6,$C$5,$C$7,N$1,N$2,A63)</f>
        <v>0</v>
      </c>
      <c r="O63" s="32">
        <f ca="1">_xll.DBRW($C$1,$C$2,$C$3,$C$4,$C$6,$C$5,$C$7,O$1,O$2,A63)</f>
        <v>0</v>
      </c>
      <c r="P63" s="32">
        <f ca="1">_xll.DBRW($C$1,$C$2,$C$3,$C$4,$C$6,$C$5,$C$7,P$1,P$2,A63)</f>
        <v>0</v>
      </c>
      <c r="Q63" s="32">
        <f ca="1">_xll.DBRW($C$1,$C$2,$C$3,$C$4,$C$6,$C$5,$C$7,Q$1,Q$2,A63)</f>
        <v>0</v>
      </c>
      <c r="R63" s="32">
        <f ca="1">_xll.DBRW($C$1,$C$2,$C$3,$C$4,$C$6,$C$5,$C$7,R$1,R$2,A63)</f>
        <v>0</v>
      </c>
      <c r="S63" s="32">
        <f ca="1">_xll.DBRW($C$1,$C$2,$C$3,$C$4,$C$6,$C$5,$C$7,S$1,S$2,A63)</f>
        <v>0</v>
      </c>
      <c r="T63" s="32">
        <f ca="1">_xll.DBRW($C$1,$C$2,$C$3,$C$4,$C$6,$C$5,$C$7,T$1,T$2,A63)</f>
        <v>0</v>
      </c>
      <c r="U63" s="32">
        <f ca="1">_xll.DBRW($C$1,$C$2,$C$3,$C$4,$C$6,$C$5,$C$7,U$1,U$2,A63)</f>
        <v>0</v>
      </c>
      <c r="V63" s="32">
        <f ca="1">_xll.DBRW($C$1,$C$2,$C$3,$C$4,$C$6,$C$5,$C$7,V$1,V$2,A63)</f>
        <v>0</v>
      </c>
      <c r="W63" s="32">
        <f ca="1">_xll.DBRW($C$1,$C$2,$C$3,$C$4,$C$6,$C$5,$C$7,W$1,W$2,A63)</f>
        <v>0</v>
      </c>
      <c r="X63" s="32">
        <f ca="1">_xll.DBRW($C$1,$C$2,$C$3,$C$4,$C$6,$C$5,$C$7,X$1,X$2,A63)</f>
        <v>0</v>
      </c>
      <c r="Y63" s="32">
        <f ca="1">_xll.DBRW($C$1,$C$2,$C$3,$C$4,$C$6,$C$5,$C$7,Y$1,Y$2,A63)</f>
        <v>0</v>
      </c>
      <c r="Z63" s="32">
        <f ca="1">_xll.DBRW($C$1,$C$2,$C$3,$C$4,$C$6,$C$5,$C$7,Z$1,Z$2,A63)</f>
        <v>0</v>
      </c>
      <c r="AA63" s="32">
        <f ca="1">_xll.DBRW($C$1,$C$2,$C$3,$C$4,$C$6,$C$5,$C$7,AA$1,AA$2,A63)</f>
        <v>0</v>
      </c>
      <c r="AB63" s="32">
        <f ca="1">_xll.DBRW($C$1,$C$2,$C$3,$C$4,$C$6,$C$5,$C$7,AB$1,AB$2,A63)</f>
        <v>0</v>
      </c>
      <c r="AC63" s="32">
        <f ca="1">_xll.DBRW($C$1,$C$2,$C$3,$C$4,$C$6,$C$5,$C$7,AC$1,AC$2,A63)</f>
        <v>0</v>
      </c>
      <c r="AD63" s="32">
        <f ca="1">_xll.DBRW($C$1,$C$2,$C$3,$C$4,$C$6,$C$5,$C$7,AD$1,AD$2,A63)</f>
        <v>0</v>
      </c>
      <c r="AE63" s="32">
        <f ca="1">_xll.DBRW($C$1,$C$2,$C$3,$C$4,$C$6,$C$5,$C$7,AE$1,AE$2,A63)</f>
        <v>0</v>
      </c>
      <c r="AF63" s="32">
        <f ca="1">_xll.DBRW($C$1,$C$2,$C$3,$C$4,$C$6,$C$5,$C$7,AF$1,AF$2,A63)</f>
        <v>0</v>
      </c>
      <c r="AG63" s="32">
        <f ca="1">_xll.DBRW($C$1,$C$2,$C$3,$C$4,$C$6,$C$5,$C$7,AG$1,AG$2,A63)</f>
        <v>0</v>
      </c>
      <c r="AH63" s="32">
        <f ca="1">_xll.DBRW($C$1,$C$2,$C$3,$C$4,$C$6,$C$5,$C$7,AH$1,AH$2,A63)</f>
        <v>0</v>
      </c>
      <c r="AI63" s="32">
        <f ca="1">_xll.DBRW($C$1,$C$2,$C$3,$C$4,$C$6,$C$5,$C$7,AI$1,AI$2,A63)</f>
        <v>0</v>
      </c>
      <c r="AJ63" s="32">
        <f ca="1">_xll.DBRW($C$1,$C$2,$C$3,$C$4,$C$6,$C$5,$C$7,AJ$1,AJ$2,A63)</f>
        <v>0</v>
      </c>
      <c r="AK63" s="32">
        <f ca="1">_xll.DBRW($C$1,$C$2,$C$3,$C$4,$C$6,$C$5,$C$7,AK$1,AK$2,A63)</f>
        <v>0</v>
      </c>
      <c r="AL63" s="32">
        <f ca="1">_xll.DBRW($C$1,$C$2,$C$3,$C$4,$C$6,$C$5,$C$7,AL$1,AL$2,A63)</f>
        <v>0</v>
      </c>
      <c r="AM63" s="32">
        <f ca="1">_xll.DBRW($C$1,$C$2,$C$3,$C$4,$C$6,$C$5,$C$7,AM$1,AM$2,A63)</f>
        <v>0</v>
      </c>
      <c r="AN63" s="32">
        <f ca="1">_xll.DBRW($C$1,$C$2,$C$3,$C$4,$C$6,$C$5,$C$7,AN$1,AN$2,A63)</f>
        <v>0</v>
      </c>
      <c r="AO63" s="32">
        <f ca="1">_xll.DBRW($C$1,$C$2,$C$3,$C$4,$C$6,$C$5,$C$7,AO$1,AO$2,A63)</f>
        <v>0</v>
      </c>
      <c r="AP63" s="32">
        <f ca="1">_xll.DBRW($C$1,$C$2,$C$3,$C$4,$C$6,$C$5,$C$7,AP$1,AP$2,A63)</f>
        <v>0</v>
      </c>
      <c r="AQ63" s="32">
        <f ca="1">_xll.DBRW($C$1,$C$2,$C$3,$C$4,$C$6,$C$5,$C$7,AQ$1,AQ$2,A63)</f>
        <v>0</v>
      </c>
      <c r="AR63" s="32">
        <f ca="1">_xll.DBRW($C$1,$C$2,$C$3,$C$4,$C$6,$C$5,$C$7,AR$1,AR$2,A63)</f>
        <v>0</v>
      </c>
      <c r="AS63" s="32">
        <f ca="1">_xll.DBRW($C$1,$C$2,$C$3,$C$4,$C$6,$C$5,$C$7,AS$1,AS$2,A63)</f>
        <v>0</v>
      </c>
      <c r="AT63" s="32">
        <f ca="1">_xll.DBRW($C$1,$C$2,$C$3,$C$4,$C$6,$C$5,$C$7,AT$1,AT$2,A63)</f>
        <v>0</v>
      </c>
      <c r="AU63" s="32">
        <f ca="1">_xll.DBRW($C$1,$C$2,$C$3,$C$4,$C$6,$C$5,$C$7,AU$1,AU$2,A63)</f>
        <v>0</v>
      </c>
    </row>
    <row r="64" spans="1:47" ht="15.75" hidden="1" customHeight="1" outlineLevel="2">
      <c r="A64" s="1" t="s">
        <v>156</v>
      </c>
      <c r="C64" s="141"/>
      <c r="E64" s="9" t="str">
        <f ca="1">_xll.DBRW(Server&amp;"}ElementAttributes_Indicator",A64,"code_English")</f>
        <v>PL1140_MF_10 - Amortization (MF)</v>
      </c>
      <c r="F64" s="32">
        <f ca="1">_xll.DBRW($C$1,$C$2,$C$3,$C$4,$C$6,$C$5,$C$7,F$1,F$2,A64)</f>
        <v>0</v>
      </c>
      <c r="G64" s="32">
        <f ca="1">_xll.DBRW($C$1,$C$2,$C$3,$C$4,$C$6,$C$5,$C$7,G$1,G$2,A64)</f>
        <v>0</v>
      </c>
      <c r="H64" s="32">
        <f ca="1">_xll.DBRW($C$1,$C$2,$C$3,$C$4,$C$6,$C$5,$C$7,H$1,H$2,A64)</f>
        <v>0</v>
      </c>
      <c r="I64" s="32">
        <f ca="1">_xll.DBRW($C$1,$C$2,$C$3,$C$4,$C$6,$C$5,$C$7,I$1,I$2,A64)</f>
        <v>0</v>
      </c>
      <c r="J64" s="32">
        <f ca="1">_xll.DBRW($C$1,$C$2,$C$3,$C$4,$C$6,$C$5,$C$7,J$1,J$2,A64)</f>
        <v>0</v>
      </c>
      <c r="K64" s="32">
        <f ca="1">_xll.DBRW($C$1,$C$2,$C$3,$C$4,$C$6,$C$5,$C$7,K$1,K$2,A64)</f>
        <v>0</v>
      </c>
      <c r="L64" s="32">
        <f ca="1">_xll.DBRW($C$1,$C$2,$C$3,$C$4,$C$6,$C$5,$C$7,L$1,L$2,A64)</f>
        <v>0</v>
      </c>
      <c r="M64" s="32">
        <f ca="1">_xll.DBRW($C$1,$C$2,$C$3,$C$4,$C$6,$C$5,$C$7,M$1,M$2,A64)</f>
        <v>0</v>
      </c>
      <c r="N64" s="32">
        <f ca="1">_xll.DBRW($C$1,$C$2,$C$3,$C$4,$C$6,$C$5,$C$7,N$1,N$2,A64)</f>
        <v>0</v>
      </c>
      <c r="O64" s="32">
        <f ca="1">_xll.DBRW($C$1,$C$2,$C$3,$C$4,$C$6,$C$5,$C$7,O$1,O$2,A64)</f>
        <v>0</v>
      </c>
      <c r="P64" s="32">
        <f ca="1">_xll.DBRW($C$1,$C$2,$C$3,$C$4,$C$6,$C$5,$C$7,P$1,P$2,A64)</f>
        <v>0</v>
      </c>
      <c r="Q64" s="32">
        <f ca="1">_xll.DBRW($C$1,$C$2,$C$3,$C$4,$C$6,$C$5,$C$7,Q$1,Q$2,A64)</f>
        <v>0</v>
      </c>
      <c r="R64" s="32">
        <f ca="1">_xll.DBRW($C$1,$C$2,$C$3,$C$4,$C$6,$C$5,$C$7,R$1,R$2,A64)</f>
        <v>0</v>
      </c>
      <c r="S64" s="32">
        <f ca="1">_xll.DBRW($C$1,$C$2,$C$3,$C$4,$C$6,$C$5,$C$7,S$1,S$2,A64)</f>
        <v>0</v>
      </c>
      <c r="T64" s="32">
        <f ca="1">_xll.DBRW($C$1,$C$2,$C$3,$C$4,$C$6,$C$5,$C$7,T$1,T$2,A64)</f>
        <v>0</v>
      </c>
      <c r="U64" s="32">
        <f ca="1">_xll.DBRW($C$1,$C$2,$C$3,$C$4,$C$6,$C$5,$C$7,U$1,U$2,A64)</f>
        <v>0</v>
      </c>
      <c r="V64" s="32">
        <f ca="1">_xll.DBRW($C$1,$C$2,$C$3,$C$4,$C$6,$C$5,$C$7,V$1,V$2,A64)</f>
        <v>0</v>
      </c>
      <c r="W64" s="32">
        <f ca="1">_xll.DBRW($C$1,$C$2,$C$3,$C$4,$C$6,$C$5,$C$7,W$1,W$2,A64)</f>
        <v>0</v>
      </c>
      <c r="X64" s="32">
        <f ca="1">_xll.DBRW($C$1,$C$2,$C$3,$C$4,$C$6,$C$5,$C$7,X$1,X$2,A64)</f>
        <v>0</v>
      </c>
      <c r="Y64" s="32">
        <f ca="1">_xll.DBRW($C$1,$C$2,$C$3,$C$4,$C$6,$C$5,$C$7,Y$1,Y$2,A64)</f>
        <v>0</v>
      </c>
      <c r="Z64" s="32">
        <f ca="1">_xll.DBRW($C$1,$C$2,$C$3,$C$4,$C$6,$C$5,$C$7,Z$1,Z$2,A64)</f>
        <v>0</v>
      </c>
      <c r="AA64" s="32">
        <f ca="1">_xll.DBRW($C$1,$C$2,$C$3,$C$4,$C$6,$C$5,$C$7,AA$1,AA$2,A64)</f>
        <v>0</v>
      </c>
      <c r="AB64" s="32">
        <f ca="1">_xll.DBRW($C$1,$C$2,$C$3,$C$4,$C$6,$C$5,$C$7,AB$1,AB$2,A64)</f>
        <v>0</v>
      </c>
      <c r="AC64" s="32">
        <f ca="1">_xll.DBRW($C$1,$C$2,$C$3,$C$4,$C$6,$C$5,$C$7,AC$1,AC$2,A64)</f>
        <v>0</v>
      </c>
      <c r="AD64" s="32">
        <f ca="1">_xll.DBRW($C$1,$C$2,$C$3,$C$4,$C$6,$C$5,$C$7,AD$1,AD$2,A64)</f>
        <v>0</v>
      </c>
      <c r="AE64" s="32">
        <f ca="1">_xll.DBRW($C$1,$C$2,$C$3,$C$4,$C$6,$C$5,$C$7,AE$1,AE$2,A64)</f>
        <v>0</v>
      </c>
      <c r="AF64" s="32">
        <f ca="1">_xll.DBRW($C$1,$C$2,$C$3,$C$4,$C$6,$C$5,$C$7,AF$1,AF$2,A64)</f>
        <v>0</v>
      </c>
      <c r="AG64" s="32">
        <f ca="1">_xll.DBRW($C$1,$C$2,$C$3,$C$4,$C$6,$C$5,$C$7,AG$1,AG$2,A64)</f>
        <v>0</v>
      </c>
      <c r="AH64" s="32">
        <f ca="1">_xll.DBRW($C$1,$C$2,$C$3,$C$4,$C$6,$C$5,$C$7,AH$1,AH$2,A64)</f>
        <v>0</v>
      </c>
      <c r="AI64" s="32">
        <f ca="1">_xll.DBRW($C$1,$C$2,$C$3,$C$4,$C$6,$C$5,$C$7,AI$1,AI$2,A64)</f>
        <v>0</v>
      </c>
      <c r="AJ64" s="32">
        <f ca="1">_xll.DBRW($C$1,$C$2,$C$3,$C$4,$C$6,$C$5,$C$7,AJ$1,AJ$2,A64)</f>
        <v>0</v>
      </c>
      <c r="AK64" s="32">
        <f ca="1">_xll.DBRW($C$1,$C$2,$C$3,$C$4,$C$6,$C$5,$C$7,AK$1,AK$2,A64)</f>
        <v>0</v>
      </c>
      <c r="AL64" s="32">
        <f ca="1">_xll.DBRW($C$1,$C$2,$C$3,$C$4,$C$6,$C$5,$C$7,AL$1,AL$2,A64)</f>
        <v>0</v>
      </c>
      <c r="AM64" s="32">
        <f ca="1">_xll.DBRW($C$1,$C$2,$C$3,$C$4,$C$6,$C$5,$C$7,AM$1,AM$2,A64)</f>
        <v>0</v>
      </c>
      <c r="AN64" s="32">
        <f ca="1">_xll.DBRW($C$1,$C$2,$C$3,$C$4,$C$6,$C$5,$C$7,AN$1,AN$2,A64)</f>
        <v>0</v>
      </c>
      <c r="AO64" s="32">
        <f ca="1">_xll.DBRW($C$1,$C$2,$C$3,$C$4,$C$6,$C$5,$C$7,AO$1,AO$2,A64)</f>
        <v>0</v>
      </c>
      <c r="AP64" s="32">
        <f ca="1">_xll.DBRW($C$1,$C$2,$C$3,$C$4,$C$6,$C$5,$C$7,AP$1,AP$2,A64)</f>
        <v>0</v>
      </c>
      <c r="AQ64" s="32">
        <f ca="1">_xll.DBRW($C$1,$C$2,$C$3,$C$4,$C$6,$C$5,$C$7,AQ$1,AQ$2,A64)</f>
        <v>0</v>
      </c>
      <c r="AR64" s="32">
        <f ca="1">_xll.DBRW($C$1,$C$2,$C$3,$C$4,$C$6,$C$5,$C$7,AR$1,AR$2,A64)</f>
        <v>0</v>
      </c>
      <c r="AS64" s="32">
        <f ca="1">_xll.DBRW($C$1,$C$2,$C$3,$C$4,$C$6,$C$5,$C$7,AS$1,AS$2,A64)</f>
        <v>0</v>
      </c>
      <c r="AT64" s="32">
        <f ca="1">_xll.DBRW($C$1,$C$2,$C$3,$C$4,$C$6,$C$5,$C$7,AT$1,AT$2,A64)</f>
        <v>0</v>
      </c>
      <c r="AU64" s="32">
        <f ca="1">_xll.DBRW($C$1,$C$2,$C$3,$C$4,$C$6,$C$5,$C$7,AU$1,AU$2,A64)</f>
        <v>0</v>
      </c>
    </row>
    <row r="65" spans="1:47" ht="15.75" hidden="1" customHeight="1" outlineLevel="2">
      <c r="A65" s="1" t="s">
        <v>157</v>
      </c>
      <c r="C65" s="141"/>
      <c r="E65" s="9" t="str">
        <f ca="1">_xll.DBRW(Server&amp;"}ElementAttributes_Indicator",A65,"code_English")</f>
        <v>PL1145_MF - Impairment - working capital (MF)</v>
      </c>
      <c r="F65" s="32">
        <f ca="1">_xll.DBRW($C$1,$C$2,$C$3,$C$4,$C$6,$C$5,$C$7,F$1,F$2,A65)</f>
        <v>0</v>
      </c>
      <c r="G65" s="32">
        <f ca="1">_xll.DBRW($C$1,$C$2,$C$3,$C$4,$C$6,$C$5,$C$7,G$1,G$2,A65)</f>
        <v>0</v>
      </c>
      <c r="H65" s="32">
        <f ca="1">_xll.DBRW($C$1,$C$2,$C$3,$C$4,$C$6,$C$5,$C$7,H$1,H$2,A65)</f>
        <v>0</v>
      </c>
      <c r="I65" s="32">
        <f ca="1">_xll.DBRW($C$1,$C$2,$C$3,$C$4,$C$6,$C$5,$C$7,I$1,I$2,A65)</f>
        <v>0</v>
      </c>
      <c r="J65" s="32">
        <f ca="1">_xll.DBRW($C$1,$C$2,$C$3,$C$4,$C$6,$C$5,$C$7,J$1,J$2,A65)</f>
        <v>0</v>
      </c>
      <c r="K65" s="32">
        <f ca="1">_xll.DBRW($C$1,$C$2,$C$3,$C$4,$C$6,$C$5,$C$7,K$1,K$2,A65)</f>
        <v>0</v>
      </c>
      <c r="L65" s="32">
        <f ca="1">_xll.DBRW($C$1,$C$2,$C$3,$C$4,$C$6,$C$5,$C$7,L$1,L$2,A65)</f>
        <v>0</v>
      </c>
      <c r="M65" s="32">
        <f ca="1">_xll.DBRW($C$1,$C$2,$C$3,$C$4,$C$6,$C$5,$C$7,M$1,M$2,A65)</f>
        <v>0</v>
      </c>
      <c r="N65" s="32">
        <f ca="1">_xll.DBRW($C$1,$C$2,$C$3,$C$4,$C$6,$C$5,$C$7,N$1,N$2,A65)</f>
        <v>0</v>
      </c>
      <c r="O65" s="32">
        <f ca="1">_xll.DBRW($C$1,$C$2,$C$3,$C$4,$C$6,$C$5,$C$7,O$1,O$2,A65)</f>
        <v>0</v>
      </c>
      <c r="P65" s="32">
        <f ca="1">_xll.DBRW($C$1,$C$2,$C$3,$C$4,$C$6,$C$5,$C$7,P$1,P$2,A65)</f>
        <v>0</v>
      </c>
      <c r="Q65" s="32">
        <f ca="1">_xll.DBRW($C$1,$C$2,$C$3,$C$4,$C$6,$C$5,$C$7,Q$1,Q$2,A65)</f>
        <v>0</v>
      </c>
      <c r="R65" s="32">
        <f ca="1">_xll.DBRW($C$1,$C$2,$C$3,$C$4,$C$6,$C$5,$C$7,R$1,R$2,A65)</f>
        <v>0</v>
      </c>
      <c r="S65" s="32">
        <f ca="1">_xll.DBRW($C$1,$C$2,$C$3,$C$4,$C$6,$C$5,$C$7,S$1,S$2,A65)</f>
        <v>0</v>
      </c>
      <c r="T65" s="32">
        <f ca="1">_xll.DBRW($C$1,$C$2,$C$3,$C$4,$C$6,$C$5,$C$7,T$1,T$2,A65)</f>
        <v>0</v>
      </c>
      <c r="U65" s="32">
        <f ca="1">_xll.DBRW($C$1,$C$2,$C$3,$C$4,$C$6,$C$5,$C$7,U$1,U$2,A65)</f>
        <v>0</v>
      </c>
      <c r="V65" s="32">
        <f ca="1">_xll.DBRW($C$1,$C$2,$C$3,$C$4,$C$6,$C$5,$C$7,V$1,V$2,A65)</f>
        <v>0</v>
      </c>
      <c r="W65" s="32">
        <f ca="1">_xll.DBRW($C$1,$C$2,$C$3,$C$4,$C$6,$C$5,$C$7,W$1,W$2,A65)</f>
        <v>0</v>
      </c>
      <c r="X65" s="32">
        <f ca="1">_xll.DBRW($C$1,$C$2,$C$3,$C$4,$C$6,$C$5,$C$7,X$1,X$2,A65)</f>
        <v>0</v>
      </c>
      <c r="Y65" s="32">
        <f ca="1">_xll.DBRW($C$1,$C$2,$C$3,$C$4,$C$6,$C$5,$C$7,Y$1,Y$2,A65)</f>
        <v>0</v>
      </c>
      <c r="Z65" s="32">
        <f ca="1">_xll.DBRW($C$1,$C$2,$C$3,$C$4,$C$6,$C$5,$C$7,Z$1,Z$2,A65)</f>
        <v>0</v>
      </c>
      <c r="AA65" s="32">
        <f ca="1">_xll.DBRW($C$1,$C$2,$C$3,$C$4,$C$6,$C$5,$C$7,AA$1,AA$2,A65)</f>
        <v>0</v>
      </c>
      <c r="AB65" s="32">
        <f ca="1">_xll.DBRW($C$1,$C$2,$C$3,$C$4,$C$6,$C$5,$C$7,AB$1,AB$2,A65)</f>
        <v>0</v>
      </c>
      <c r="AC65" s="32">
        <f ca="1">_xll.DBRW($C$1,$C$2,$C$3,$C$4,$C$6,$C$5,$C$7,AC$1,AC$2,A65)</f>
        <v>0</v>
      </c>
      <c r="AD65" s="32">
        <f ca="1">_xll.DBRW($C$1,$C$2,$C$3,$C$4,$C$6,$C$5,$C$7,AD$1,AD$2,A65)</f>
        <v>0</v>
      </c>
      <c r="AE65" s="32">
        <f ca="1">_xll.DBRW($C$1,$C$2,$C$3,$C$4,$C$6,$C$5,$C$7,AE$1,AE$2,A65)</f>
        <v>0</v>
      </c>
      <c r="AF65" s="32">
        <f ca="1">_xll.DBRW($C$1,$C$2,$C$3,$C$4,$C$6,$C$5,$C$7,AF$1,AF$2,A65)</f>
        <v>0</v>
      </c>
      <c r="AG65" s="32">
        <f ca="1">_xll.DBRW($C$1,$C$2,$C$3,$C$4,$C$6,$C$5,$C$7,AG$1,AG$2,A65)</f>
        <v>0</v>
      </c>
      <c r="AH65" s="32">
        <f ca="1">_xll.DBRW($C$1,$C$2,$C$3,$C$4,$C$6,$C$5,$C$7,AH$1,AH$2,A65)</f>
        <v>0</v>
      </c>
      <c r="AI65" s="32">
        <f ca="1">_xll.DBRW($C$1,$C$2,$C$3,$C$4,$C$6,$C$5,$C$7,AI$1,AI$2,A65)</f>
        <v>0</v>
      </c>
      <c r="AJ65" s="32">
        <f ca="1">_xll.DBRW($C$1,$C$2,$C$3,$C$4,$C$6,$C$5,$C$7,AJ$1,AJ$2,A65)</f>
        <v>0</v>
      </c>
      <c r="AK65" s="32">
        <f ca="1">_xll.DBRW($C$1,$C$2,$C$3,$C$4,$C$6,$C$5,$C$7,AK$1,AK$2,A65)</f>
        <v>0</v>
      </c>
      <c r="AL65" s="32">
        <f ca="1">_xll.DBRW($C$1,$C$2,$C$3,$C$4,$C$6,$C$5,$C$7,AL$1,AL$2,A65)</f>
        <v>0</v>
      </c>
      <c r="AM65" s="32">
        <f ca="1">_xll.DBRW($C$1,$C$2,$C$3,$C$4,$C$6,$C$5,$C$7,AM$1,AM$2,A65)</f>
        <v>0</v>
      </c>
      <c r="AN65" s="32">
        <f ca="1">_xll.DBRW($C$1,$C$2,$C$3,$C$4,$C$6,$C$5,$C$7,AN$1,AN$2,A65)</f>
        <v>0</v>
      </c>
      <c r="AO65" s="32">
        <f ca="1">_xll.DBRW($C$1,$C$2,$C$3,$C$4,$C$6,$C$5,$C$7,AO$1,AO$2,A65)</f>
        <v>0</v>
      </c>
      <c r="AP65" s="32">
        <f ca="1">_xll.DBRW($C$1,$C$2,$C$3,$C$4,$C$6,$C$5,$C$7,AP$1,AP$2,A65)</f>
        <v>0</v>
      </c>
      <c r="AQ65" s="32">
        <f ca="1">_xll.DBRW($C$1,$C$2,$C$3,$C$4,$C$6,$C$5,$C$7,AQ$1,AQ$2,A65)</f>
        <v>0</v>
      </c>
      <c r="AR65" s="32">
        <f ca="1">_xll.DBRW($C$1,$C$2,$C$3,$C$4,$C$6,$C$5,$C$7,AR$1,AR$2,A65)</f>
        <v>0</v>
      </c>
      <c r="AS65" s="32">
        <f ca="1">_xll.DBRW($C$1,$C$2,$C$3,$C$4,$C$6,$C$5,$C$7,AS$1,AS$2,A65)</f>
        <v>0</v>
      </c>
      <c r="AT65" s="32">
        <f ca="1">_xll.DBRW($C$1,$C$2,$C$3,$C$4,$C$6,$C$5,$C$7,AT$1,AT$2,A65)</f>
        <v>0</v>
      </c>
      <c r="AU65" s="32">
        <f ca="1">_xll.DBRW($C$1,$C$2,$C$3,$C$4,$C$6,$C$5,$C$7,AU$1,AU$2,A65)</f>
        <v>0</v>
      </c>
    </row>
    <row r="66" spans="1:47" ht="15.75" hidden="1" customHeight="1" outlineLevel="2">
      <c r="A66" s="1" t="s">
        <v>158</v>
      </c>
      <c r="C66" s="141"/>
      <c r="E66" s="9" t="str">
        <f ca="1">_xll.DBRW(Server&amp;"}ElementAttributes_Indicator",A66,"code_English")</f>
        <v>PL1150_MF_10 - Impairment (other than working capital) and provisions - related to staff costs (MF)</v>
      </c>
      <c r="F66" s="32">
        <f ca="1">_xll.DBRW($C$1,$C$2,$C$3,$C$4,$C$6,$C$5,$C$7,F$1,F$2,A66)</f>
        <v>-275778.02</v>
      </c>
      <c r="G66" s="32">
        <f ca="1">_xll.DBRW($C$1,$C$2,$C$3,$C$4,$C$6,$C$5,$C$7,G$1,G$2,A66)</f>
        <v>-302025.06</v>
      </c>
      <c r="H66" s="32">
        <f ca="1">_xll.DBRW($C$1,$C$2,$C$3,$C$4,$C$6,$C$5,$C$7,H$1,H$2,A66)</f>
        <v>-494681.5</v>
      </c>
      <c r="I66" s="32">
        <f ca="1">_xll.DBRW($C$1,$C$2,$C$3,$C$4,$C$6,$C$5,$C$7,I$1,I$2,A66)</f>
        <v>-29584</v>
      </c>
      <c r="J66" s="32">
        <f ca="1">_xll.DBRW($C$1,$C$2,$C$3,$C$4,$C$6,$C$5,$C$7,J$1,J$2,A66)</f>
        <v>-59168</v>
      </c>
      <c r="K66" s="32">
        <f ca="1">_xll.DBRW($C$1,$C$2,$C$3,$C$4,$C$6,$C$5,$C$7,K$1,K$2,A66)</f>
        <v>-16173.080000000002</v>
      </c>
      <c r="L66" s="32">
        <f ca="1">_xll.DBRW($C$1,$C$2,$C$3,$C$4,$C$6,$C$5,$C$7,L$1,L$2,A66)</f>
        <v>-45757.08</v>
      </c>
      <c r="M66" s="32">
        <f ca="1">_xll.DBRW($C$1,$C$2,$C$3,$C$4,$C$6,$C$5,$C$7,M$1,M$2,A66)</f>
        <v>-42046.14</v>
      </c>
      <c r="N66" s="32">
        <f ca="1">_xll.DBRW($C$1,$C$2,$C$3,$C$4,$C$6,$C$5,$C$7,N$1,N$2,A66)</f>
        <v>-38335.199999999997</v>
      </c>
      <c r="O66" s="32">
        <f ca="1">_xll.DBRW($C$1,$C$2,$C$3,$C$4,$C$6,$C$5,$C$7,O$1,O$2,A66)</f>
        <v>-38335.199999999997</v>
      </c>
      <c r="P66" s="32">
        <f ca="1">_xll.DBRW($C$1,$C$2,$C$3,$C$4,$C$6,$C$5,$C$7,P$1,P$2,A66)</f>
        <v>-38335.199999999997</v>
      </c>
      <c r="Q66" s="32">
        <f ca="1">_xll.DBRW($C$1,$C$2,$C$3,$C$4,$C$6,$C$5,$C$7,Q$1,Q$2,A66)</f>
        <v>-38335.199999999997</v>
      </c>
      <c r="R66" s="32">
        <f ca="1">_xll.DBRW($C$1,$C$2,$C$3,$C$4,$C$6,$C$5,$C$7,R$1,R$2,A66)</f>
        <v>-38335.199999999997</v>
      </c>
      <c r="S66" s="32">
        <f ca="1">_xll.DBRW($C$1,$C$2,$C$3,$C$4,$C$6,$C$5,$C$7,S$1,S$2,A66)</f>
        <v>-38335.199999999997</v>
      </c>
      <c r="T66" s="32">
        <f ca="1">_xll.DBRW($C$1,$C$2,$C$3,$C$4,$C$6,$C$5,$C$7,T$1,T$2,A66)</f>
        <v>-38335.199999999997</v>
      </c>
      <c r="U66" s="32">
        <f ca="1">_xll.DBRW($C$1,$C$2,$C$3,$C$4,$C$6,$C$5,$C$7,U$1,U$2,A66)</f>
        <v>-38335.199999999997</v>
      </c>
      <c r="V66" s="32">
        <f ca="1">_xll.DBRW($C$1,$C$2,$C$3,$C$4,$C$6,$C$5,$C$7,V$1,V$2,A66)</f>
        <v>0</v>
      </c>
      <c r="W66" s="32">
        <f ca="1">_xll.DBRW($C$1,$C$2,$C$3,$C$4,$C$6,$C$5,$C$7,W$1,W$2,A66)</f>
        <v>0</v>
      </c>
      <c r="X66" s="32">
        <f ca="1">_xll.DBRW($C$1,$C$2,$C$3,$C$4,$C$6,$C$5,$C$7,X$1,X$2,A66)</f>
        <v>0</v>
      </c>
      <c r="Y66" s="32">
        <f ca="1">_xll.DBRW($C$1,$C$2,$C$3,$C$4,$C$6,$C$5,$C$7,Y$1,Y$2,A66)</f>
        <v>0</v>
      </c>
      <c r="Z66" s="32">
        <f ca="1">_xll.DBRW($C$1,$C$2,$C$3,$C$4,$C$6,$C$5,$C$7,Z$1,Z$2,A66)</f>
        <v>0</v>
      </c>
      <c r="AA66" s="32">
        <f ca="1">_xll.DBRW($C$1,$C$2,$C$3,$C$4,$C$6,$C$5,$C$7,AA$1,AA$2,A66)</f>
        <v>0</v>
      </c>
      <c r="AB66" s="32">
        <f ca="1">_xll.DBRW($C$1,$C$2,$C$3,$C$4,$C$6,$C$5,$C$7,AB$1,AB$2,A66)</f>
        <v>0</v>
      </c>
      <c r="AC66" s="32">
        <f ca="1">_xll.DBRW($C$1,$C$2,$C$3,$C$4,$C$6,$C$5,$C$7,AC$1,AC$2,A66)</f>
        <v>0</v>
      </c>
      <c r="AD66" s="32">
        <f ca="1">_xll.DBRW($C$1,$C$2,$C$3,$C$4,$C$6,$C$5,$C$7,AD$1,AD$2,A66)</f>
        <v>0</v>
      </c>
      <c r="AE66" s="32">
        <f ca="1">_xll.DBRW($C$1,$C$2,$C$3,$C$4,$C$6,$C$5,$C$7,AE$1,AE$2,A66)</f>
        <v>0</v>
      </c>
      <c r="AF66" s="32">
        <f ca="1">_xll.DBRW($C$1,$C$2,$C$3,$C$4,$C$6,$C$5,$C$7,AF$1,AF$2,A66)</f>
        <v>0</v>
      </c>
      <c r="AG66" s="32">
        <f ca="1">_xll.DBRW($C$1,$C$2,$C$3,$C$4,$C$6,$C$5,$C$7,AG$1,AG$2,A66)</f>
        <v>0</v>
      </c>
      <c r="AH66" s="32">
        <f ca="1">_xll.DBRW($C$1,$C$2,$C$3,$C$4,$C$6,$C$5,$C$7,AH$1,AH$2,A66)</f>
        <v>0</v>
      </c>
      <c r="AI66" s="32">
        <f ca="1">_xll.DBRW($C$1,$C$2,$C$3,$C$4,$C$6,$C$5,$C$7,AI$1,AI$2,A66)</f>
        <v>0</v>
      </c>
      <c r="AJ66" s="32">
        <f ca="1">_xll.DBRW($C$1,$C$2,$C$3,$C$4,$C$6,$C$5,$C$7,AJ$1,AJ$2,A66)</f>
        <v>0</v>
      </c>
      <c r="AK66" s="32">
        <f ca="1">_xll.DBRW($C$1,$C$2,$C$3,$C$4,$C$6,$C$5,$C$7,AK$1,AK$2,A66)</f>
        <v>0</v>
      </c>
      <c r="AL66" s="32">
        <f ca="1">_xll.DBRW($C$1,$C$2,$C$3,$C$4,$C$6,$C$5,$C$7,AL$1,AL$2,A66)</f>
        <v>0</v>
      </c>
      <c r="AM66" s="32">
        <f ca="1">_xll.DBRW($C$1,$C$2,$C$3,$C$4,$C$6,$C$5,$C$7,AM$1,AM$2,A66)</f>
        <v>0</v>
      </c>
      <c r="AN66" s="32">
        <f ca="1">_xll.DBRW($C$1,$C$2,$C$3,$C$4,$C$6,$C$5,$C$7,AN$1,AN$2,A66)</f>
        <v>0</v>
      </c>
      <c r="AO66" s="32">
        <f ca="1">_xll.DBRW($C$1,$C$2,$C$3,$C$4,$C$6,$C$5,$C$7,AO$1,AO$2,A66)</f>
        <v>0</v>
      </c>
      <c r="AP66" s="32">
        <f ca="1">_xll.DBRW($C$1,$C$2,$C$3,$C$4,$C$6,$C$5,$C$7,AP$1,AP$2,A66)</f>
        <v>0</v>
      </c>
      <c r="AQ66" s="32">
        <f ca="1">_xll.DBRW($C$1,$C$2,$C$3,$C$4,$C$6,$C$5,$C$7,AQ$1,AQ$2,A66)</f>
        <v>0</v>
      </c>
      <c r="AR66" s="32">
        <f ca="1">_xll.DBRW($C$1,$C$2,$C$3,$C$4,$C$6,$C$5,$C$7,AR$1,AR$2,A66)</f>
        <v>0</v>
      </c>
      <c r="AS66" s="32">
        <f ca="1">_xll.DBRW($C$1,$C$2,$C$3,$C$4,$C$6,$C$5,$C$7,AS$1,AS$2,A66)</f>
        <v>0</v>
      </c>
      <c r="AT66" s="32">
        <f ca="1">_xll.DBRW($C$1,$C$2,$C$3,$C$4,$C$6,$C$5,$C$7,AT$1,AT$2,A66)</f>
        <v>0</v>
      </c>
      <c r="AU66" s="32">
        <f ca="1">_xll.DBRW($C$1,$C$2,$C$3,$C$4,$C$6,$C$5,$C$7,AU$1,AU$2,A66)</f>
        <v>0</v>
      </c>
    </row>
    <row r="67" spans="1:47" ht="15.75" hidden="1" customHeight="1" outlineLevel="2">
      <c r="A67" s="1" t="s">
        <v>159</v>
      </c>
      <c r="C67" s="141"/>
      <c r="E67" s="9" t="str">
        <f ca="1">_xll.DBRW(Server&amp;"}ElementAttributes_Indicator",A67,"code_English")</f>
        <v>PL1150_MF_11 - Impairment (other than working capital) and provisions - related to staff costs - Reversal (MF)</v>
      </c>
      <c r="F67" s="32">
        <f ca="1">_xll.DBRW($C$1,$C$2,$C$3,$C$4,$C$6,$C$5,$C$7,F$1,F$2,A67)</f>
        <v>0</v>
      </c>
      <c r="G67" s="32">
        <f ca="1">_xll.DBRW($C$1,$C$2,$C$3,$C$4,$C$6,$C$5,$C$7,G$1,G$2,A67)</f>
        <v>0</v>
      </c>
      <c r="H67" s="32">
        <f ca="1">_xll.DBRW($C$1,$C$2,$C$3,$C$4,$C$6,$C$5,$C$7,H$1,H$2,A67)</f>
        <v>0</v>
      </c>
      <c r="I67" s="32">
        <f ca="1">_xll.DBRW($C$1,$C$2,$C$3,$C$4,$C$6,$C$5,$C$7,I$1,I$2,A67)</f>
        <v>0</v>
      </c>
      <c r="J67" s="32">
        <f ca="1">_xll.DBRW($C$1,$C$2,$C$3,$C$4,$C$6,$C$5,$C$7,J$1,J$2,A67)</f>
        <v>0</v>
      </c>
      <c r="K67" s="32">
        <f ca="1">_xll.DBRW($C$1,$C$2,$C$3,$C$4,$C$6,$C$5,$C$7,K$1,K$2,A67)</f>
        <v>0</v>
      </c>
      <c r="L67" s="32">
        <f ca="1">_xll.DBRW($C$1,$C$2,$C$3,$C$4,$C$6,$C$5,$C$7,L$1,L$2,A67)</f>
        <v>0</v>
      </c>
      <c r="M67" s="32">
        <f ca="1">_xll.DBRW($C$1,$C$2,$C$3,$C$4,$C$6,$C$5,$C$7,M$1,M$2,A67)</f>
        <v>0</v>
      </c>
      <c r="N67" s="32">
        <f ca="1">_xll.DBRW($C$1,$C$2,$C$3,$C$4,$C$6,$C$5,$C$7,N$1,N$2,A67)</f>
        <v>0</v>
      </c>
      <c r="O67" s="32">
        <f ca="1">_xll.DBRW($C$1,$C$2,$C$3,$C$4,$C$6,$C$5,$C$7,O$1,O$2,A67)</f>
        <v>0</v>
      </c>
      <c r="P67" s="32">
        <f ca="1">_xll.DBRW($C$1,$C$2,$C$3,$C$4,$C$6,$C$5,$C$7,P$1,P$2,A67)</f>
        <v>0</v>
      </c>
      <c r="Q67" s="32">
        <f ca="1">_xll.DBRW($C$1,$C$2,$C$3,$C$4,$C$6,$C$5,$C$7,Q$1,Q$2,A67)</f>
        <v>0</v>
      </c>
      <c r="R67" s="32">
        <f ca="1">_xll.DBRW($C$1,$C$2,$C$3,$C$4,$C$6,$C$5,$C$7,R$1,R$2,A67)</f>
        <v>0</v>
      </c>
      <c r="S67" s="32">
        <f ca="1">_xll.DBRW($C$1,$C$2,$C$3,$C$4,$C$6,$C$5,$C$7,S$1,S$2,A67)</f>
        <v>0</v>
      </c>
      <c r="T67" s="32">
        <f ca="1">_xll.DBRW($C$1,$C$2,$C$3,$C$4,$C$6,$C$5,$C$7,T$1,T$2,A67)</f>
        <v>0</v>
      </c>
      <c r="U67" s="32">
        <f ca="1">_xll.DBRW($C$1,$C$2,$C$3,$C$4,$C$6,$C$5,$C$7,U$1,U$2,A67)</f>
        <v>0</v>
      </c>
      <c r="V67" s="32">
        <f ca="1">_xll.DBRW($C$1,$C$2,$C$3,$C$4,$C$6,$C$5,$C$7,V$1,V$2,A67)</f>
        <v>0</v>
      </c>
      <c r="W67" s="32">
        <f ca="1">_xll.DBRW($C$1,$C$2,$C$3,$C$4,$C$6,$C$5,$C$7,W$1,W$2,A67)</f>
        <v>0</v>
      </c>
      <c r="X67" s="32">
        <f ca="1">_xll.DBRW($C$1,$C$2,$C$3,$C$4,$C$6,$C$5,$C$7,X$1,X$2,A67)</f>
        <v>0</v>
      </c>
      <c r="Y67" s="32">
        <f ca="1">_xll.DBRW($C$1,$C$2,$C$3,$C$4,$C$6,$C$5,$C$7,Y$1,Y$2,A67)</f>
        <v>0</v>
      </c>
      <c r="Z67" s="32">
        <f ca="1">_xll.DBRW($C$1,$C$2,$C$3,$C$4,$C$6,$C$5,$C$7,Z$1,Z$2,A67)</f>
        <v>0</v>
      </c>
      <c r="AA67" s="32">
        <f ca="1">_xll.DBRW($C$1,$C$2,$C$3,$C$4,$C$6,$C$5,$C$7,AA$1,AA$2,A67)</f>
        <v>0</v>
      </c>
      <c r="AB67" s="32">
        <f ca="1">_xll.DBRW($C$1,$C$2,$C$3,$C$4,$C$6,$C$5,$C$7,AB$1,AB$2,A67)</f>
        <v>0</v>
      </c>
      <c r="AC67" s="32">
        <f ca="1">_xll.DBRW($C$1,$C$2,$C$3,$C$4,$C$6,$C$5,$C$7,AC$1,AC$2,A67)</f>
        <v>0</v>
      </c>
      <c r="AD67" s="32">
        <f ca="1">_xll.DBRW($C$1,$C$2,$C$3,$C$4,$C$6,$C$5,$C$7,AD$1,AD$2,A67)</f>
        <v>0</v>
      </c>
      <c r="AE67" s="32">
        <f ca="1">_xll.DBRW($C$1,$C$2,$C$3,$C$4,$C$6,$C$5,$C$7,AE$1,AE$2,A67)</f>
        <v>0</v>
      </c>
      <c r="AF67" s="32">
        <f ca="1">_xll.DBRW($C$1,$C$2,$C$3,$C$4,$C$6,$C$5,$C$7,AF$1,AF$2,A67)</f>
        <v>0</v>
      </c>
      <c r="AG67" s="32">
        <f ca="1">_xll.DBRW($C$1,$C$2,$C$3,$C$4,$C$6,$C$5,$C$7,AG$1,AG$2,A67)</f>
        <v>0</v>
      </c>
      <c r="AH67" s="32">
        <f ca="1">_xll.DBRW($C$1,$C$2,$C$3,$C$4,$C$6,$C$5,$C$7,AH$1,AH$2,A67)</f>
        <v>0</v>
      </c>
      <c r="AI67" s="32">
        <f ca="1">_xll.DBRW($C$1,$C$2,$C$3,$C$4,$C$6,$C$5,$C$7,AI$1,AI$2,A67)</f>
        <v>0</v>
      </c>
      <c r="AJ67" s="32">
        <f ca="1">_xll.DBRW($C$1,$C$2,$C$3,$C$4,$C$6,$C$5,$C$7,AJ$1,AJ$2,A67)</f>
        <v>0</v>
      </c>
      <c r="AK67" s="32">
        <f ca="1">_xll.DBRW($C$1,$C$2,$C$3,$C$4,$C$6,$C$5,$C$7,AK$1,AK$2,A67)</f>
        <v>0</v>
      </c>
      <c r="AL67" s="32">
        <f ca="1">_xll.DBRW($C$1,$C$2,$C$3,$C$4,$C$6,$C$5,$C$7,AL$1,AL$2,A67)</f>
        <v>0</v>
      </c>
      <c r="AM67" s="32">
        <f ca="1">_xll.DBRW($C$1,$C$2,$C$3,$C$4,$C$6,$C$5,$C$7,AM$1,AM$2,A67)</f>
        <v>0</v>
      </c>
      <c r="AN67" s="32">
        <f ca="1">_xll.DBRW($C$1,$C$2,$C$3,$C$4,$C$6,$C$5,$C$7,AN$1,AN$2,A67)</f>
        <v>0</v>
      </c>
      <c r="AO67" s="32">
        <f ca="1">_xll.DBRW($C$1,$C$2,$C$3,$C$4,$C$6,$C$5,$C$7,AO$1,AO$2,A67)</f>
        <v>0</v>
      </c>
      <c r="AP67" s="32">
        <f ca="1">_xll.DBRW($C$1,$C$2,$C$3,$C$4,$C$6,$C$5,$C$7,AP$1,AP$2,A67)</f>
        <v>0</v>
      </c>
      <c r="AQ67" s="32">
        <f ca="1">_xll.DBRW($C$1,$C$2,$C$3,$C$4,$C$6,$C$5,$C$7,AQ$1,AQ$2,A67)</f>
        <v>0</v>
      </c>
      <c r="AR67" s="32">
        <f ca="1">_xll.DBRW($C$1,$C$2,$C$3,$C$4,$C$6,$C$5,$C$7,AR$1,AR$2,A67)</f>
        <v>0</v>
      </c>
      <c r="AS67" s="32">
        <f ca="1">_xll.DBRW($C$1,$C$2,$C$3,$C$4,$C$6,$C$5,$C$7,AS$1,AS$2,A67)</f>
        <v>0</v>
      </c>
      <c r="AT67" s="32">
        <f ca="1">_xll.DBRW($C$1,$C$2,$C$3,$C$4,$C$6,$C$5,$C$7,AT$1,AT$2,A67)</f>
        <v>0</v>
      </c>
      <c r="AU67" s="32">
        <f ca="1">_xll.DBRW($C$1,$C$2,$C$3,$C$4,$C$6,$C$5,$C$7,AU$1,AU$2,A67)</f>
        <v>0</v>
      </c>
    </row>
    <row r="68" spans="1:47" ht="15.75" hidden="1" customHeight="1" outlineLevel="2">
      <c r="A68" s="1" t="s">
        <v>160</v>
      </c>
      <c r="C68" s="141"/>
      <c r="E68" s="9" t="str">
        <f ca="1">_xll.DBRW(Server&amp;"}ElementAttributes_Indicator",A68,"code_English")</f>
        <v>PL1150_MF_20 - Impairment (other than working capital) and provisions - related to heavy maintenance</v>
      </c>
      <c r="F68" s="32">
        <f ca="1">_xll.DBRW($C$1,$C$2,$C$3,$C$4,$C$6,$C$5,$C$7,F$1,F$2,A68)</f>
        <v>0</v>
      </c>
      <c r="G68" s="32">
        <f ca="1">_xll.DBRW($C$1,$C$2,$C$3,$C$4,$C$6,$C$5,$C$7,G$1,G$2,A68)</f>
        <v>0</v>
      </c>
      <c r="H68" s="32">
        <f ca="1">_xll.DBRW($C$1,$C$2,$C$3,$C$4,$C$6,$C$5,$C$7,H$1,H$2,A68)</f>
        <v>0</v>
      </c>
      <c r="I68" s="32">
        <f ca="1">_xll.DBRW($C$1,$C$2,$C$3,$C$4,$C$6,$C$5,$C$7,I$1,I$2,A68)</f>
        <v>0</v>
      </c>
      <c r="J68" s="32">
        <f ca="1">_xll.DBRW($C$1,$C$2,$C$3,$C$4,$C$6,$C$5,$C$7,J$1,J$2,A68)</f>
        <v>0</v>
      </c>
      <c r="K68" s="32">
        <f ca="1">_xll.DBRW($C$1,$C$2,$C$3,$C$4,$C$6,$C$5,$C$7,K$1,K$2,A68)</f>
        <v>0</v>
      </c>
      <c r="L68" s="32">
        <f ca="1">_xll.DBRW($C$1,$C$2,$C$3,$C$4,$C$6,$C$5,$C$7,L$1,L$2,A68)</f>
        <v>0</v>
      </c>
      <c r="M68" s="32">
        <f ca="1">_xll.DBRW($C$1,$C$2,$C$3,$C$4,$C$6,$C$5,$C$7,M$1,M$2,A68)</f>
        <v>0</v>
      </c>
      <c r="N68" s="32">
        <f ca="1">_xll.DBRW($C$1,$C$2,$C$3,$C$4,$C$6,$C$5,$C$7,N$1,N$2,A68)</f>
        <v>0</v>
      </c>
      <c r="O68" s="32">
        <f ca="1">_xll.DBRW($C$1,$C$2,$C$3,$C$4,$C$6,$C$5,$C$7,O$1,O$2,A68)</f>
        <v>0</v>
      </c>
      <c r="P68" s="32">
        <f ca="1">_xll.DBRW($C$1,$C$2,$C$3,$C$4,$C$6,$C$5,$C$7,P$1,P$2,A68)</f>
        <v>0</v>
      </c>
      <c r="Q68" s="32">
        <f ca="1">_xll.DBRW($C$1,$C$2,$C$3,$C$4,$C$6,$C$5,$C$7,Q$1,Q$2,A68)</f>
        <v>0</v>
      </c>
      <c r="R68" s="32">
        <f ca="1">_xll.DBRW($C$1,$C$2,$C$3,$C$4,$C$6,$C$5,$C$7,R$1,R$2,A68)</f>
        <v>0</v>
      </c>
      <c r="S68" s="32">
        <f ca="1">_xll.DBRW($C$1,$C$2,$C$3,$C$4,$C$6,$C$5,$C$7,S$1,S$2,A68)</f>
        <v>0</v>
      </c>
      <c r="T68" s="32">
        <f ca="1">_xll.DBRW($C$1,$C$2,$C$3,$C$4,$C$6,$C$5,$C$7,T$1,T$2,A68)</f>
        <v>0</v>
      </c>
      <c r="U68" s="32">
        <f ca="1">_xll.DBRW($C$1,$C$2,$C$3,$C$4,$C$6,$C$5,$C$7,U$1,U$2,A68)</f>
        <v>0</v>
      </c>
      <c r="V68" s="32">
        <f ca="1">_xll.DBRW($C$1,$C$2,$C$3,$C$4,$C$6,$C$5,$C$7,V$1,V$2,A68)</f>
        <v>0</v>
      </c>
      <c r="W68" s="32">
        <f ca="1">_xll.DBRW($C$1,$C$2,$C$3,$C$4,$C$6,$C$5,$C$7,W$1,W$2,A68)</f>
        <v>0</v>
      </c>
      <c r="X68" s="32">
        <f ca="1">_xll.DBRW($C$1,$C$2,$C$3,$C$4,$C$6,$C$5,$C$7,X$1,X$2,A68)</f>
        <v>0</v>
      </c>
      <c r="Y68" s="32">
        <f ca="1">_xll.DBRW($C$1,$C$2,$C$3,$C$4,$C$6,$C$5,$C$7,Y$1,Y$2,A68)</f>
        <v>0</v>
      </c>
      <c r="Z68" s="32">
        <f ca="1">_xll.DBRW($C$1,$C$2,$C$3,$C$4,$C$6,$C$5,$C$7,Z$1,Z$2,A68)</f>
        <v>0</v>
      </c>
      <c r="AA68" s="32">
        <f ca="1">_xll.DBRW($C$1,$C$2,$C$3,$C$4,$C$6,$C$5,$C$7,AA$1,AA$2,A68)</f>
        <v>0</v>
      </c>
      <c r="AB68" s="32">
        <f ca="1">_xll.DBRW($C$1,$C$2,$C$3,$C$4,$C$6,$C$5,$C$7,AB$1,AB$2,A68)</f>
        <v>0</v>
      </c>
      <c r="AC68" s="32">
        <f ca="1">_xll.DBRW($C$1,$C$2,$C$3,$C$4,$C$6,$C$5,$C$7,AC$1,AC$2,A68)</f>
        <v>0</v>
      </c>
      <c r="AD68" s="32">
        <f ca="1">_xll.DBRW($C$1,$C$2,$C$3,$C$4,$C$6,$C$5,$C$7,AD$1,AD$2,A68)</f>
        <v>0</v>
      </c>
      <c r="AE68" s="32">
        <f ca="1">_xll.DBRW($C$1,$C$2,$C$3,$C$4,$C$6,$C$5,$C$7,AE$1,AE$2,A68)</f>
        <v>0</v>
      </c>
      <c r="AF68" s="32">
        <f ca="1">_xll.DBRW($C$1,$C$2,$C$3,$C$4,$C$6,$C$5,$C$7,AF$1,AF$2,A68)</f>
        <v>0</v>
      </c>
      <c r="AG68" s="32">
        <f ca="1">_xll.DBRW($C$1,$C$2,$C$3,$C$4,$C$6,$C$5,$C$7,AG$1,AG$2,A68)</f>
        <v>0</v>
      </c>
      <c r="AH68" s="32">
        <f ca="1">_xll.DBRW($C$1,$C$2,$C$3,$C$4,$C$6,$C$5,$C$7,AH$1,AH$2,A68)</f>
        <v>0</v>
      </c>
      <c r="AI68" s="32">
        <f ca="1">_xll.DBRW($C$1,$C$2,$C$3,$C$4,$C$6,$C$5,$C$7,AI$1,AI$2,A68)</f>
        <v>0</v>
      </c>
      <c r="AJ68" s="32">
        <f ca="1">_xll.DBRW($C$1,$C$2,$C$3,$C$4,$C$6,$C$5,$C$7,AJ$1,AJ$2,A68)</f>
        <v>0</v>
      </c>
      <c r="AK68" s="32">
        <f ca="1">_xll.DBRW($C$1,$C$2,$C$3,$C$4,$C$6,$C$5,$C$7,AK$1,AK$2,A68)</f>
        <v>0</v>
      </c>
      <c r="AL68" s="32">
        <f ca="1">_xll.DBRW($C$1,$C$2,$C$3,$C$4,$C$6,$C$5,$C$7,AL$1,AL$2,A68)</f>
        <v>0</v>
      </c>
      <c r="AM68" s="32">
        <f ca="1">_xll.DBRW($C$1,$C$2,$C$3,$C$4,$C$6,$C$5,$C$7,AM$1,AM$2,A68)</f>
        <v>0</v>
      </c>
      <c r="AN68" s="32">
        <f ca="1">_xll.DBRW($C$1,$C$2,$C$3,$C$4,$C$6,$C$5,$C$7,AN$1,AN$2,A68)</f>
        <v>0</v>
      </c>
      <c r="AO68" s="32">
        <f ca="1">_xll.DBRW($C$1,$C$2,$C$3,$C$4,$C$6,$C$5,$C$7,AO$1,AO$2,A68)</f>
        <v>0</v>
      </c>
      <c r="AP68" s="32">
        <f ca="1">_xll.DBRW($C$1,$C$2,$C$3,$C$4,$C$6,$C$5,$C$7,AP$1,AP$2,A68)</f>
        <v>0</v>
      </c>
      <c r="AQ68" s="32">
        <f ca="1">_xll.DBRW($C$1,$C$2,$C$3,$C$4,$C$6,$C$5,$C$7,AQ$1,AQ$2,A68)</f>
        <v>0</v>
      </c>
      <c r="AR68" s="32">
        <f ca="1">_xll.DBRW($C$1,$C$2,$C$3,$C$4,$C$6,$C$5,$C$7,AR$1,AR$2,A68)</f>
        <v>0</v>
      </c>
      <c r="AS68" s="32">
        <f ca="1">_xll.DBRW($C$1,$C$2,$C$3,$C$4,$C$6,$C$5,$C$7,AS$1,AS$2,A68)</f>
        <v>0</v>
      </c>
      <c r="AT68" s="32">
        <f ca="1">_xll.DBRW($C$1,$C$2,$C$3,$C$4,$C$6,$C$5,$C$7,AT$1,AT$2,A68)</f>
        <v>0</v>
      </c>
      <c r="AU68" s="32">
        <f ca="1">_xll.DBRW($C$1,$C$2,$C$3,$C$4,$C$6,$C$5,$C$7,AU$1,AU$2,A68)</f>
        <v>0</v>
      </c>
    </row>
    <row r="69" spans="1:47" ht="15.75" hidden="1" customHeight="1" outlineLevel="2">
      <c r="A69" s="1" t="s">
        <v>161</v>
      </c>
      <c r="C69" s="141"/>
      <c r="E69" s="9" t="str">
        <f ca="1">_xll.DBRW(Server&amp;"}ElementAttributes_Indicator",A69,"code_English")</f>
        <v>PL1150_MF_21 - Impairment (other than working capital) and provisions - related to heavy maintenance - Reversal</v>
      </c>
      <c r="F69" s="32">
        <f ca="1">_xll.DBRW($C$1,$C$2,$C$3,$C$4,$C$6,$C$5,$C$7,F$1,F$2,A69)</f>
        <v>0</v>
      </c>
      <c r="G69" s="32">
        <f ca="1">_xll.DBRW($C$1,$C$2,$C$3,$C$4,$C$6,$C$5,$C$7,G$1,G$2,A69)</f>
        <v>0</v>
      </c>
      <c r="H69" s="32">
        <f ca="1">_xll.DBRW($C$1,$C$2,$C$3,$C$4,$C$6,$C$5,$C$7,H$1,H$2,A69)</f>
        <v>0</v>
      </c>
      <c r="I69" s="32">
        <f ca="1">_xll.DBRW($C$1,$C$2,$C$3,$C$4,$C$6,$C$5,$C$7,I$1,I$2,A69)</f>
        <v>0</v>
      </c>
      <c r="J69" s="32">
        <f ca="1">_xll.DBRW($C$1,$C$2,$C$3,$C$4,$C$6,$C$5,$C$7,J$1,J$2,A69)</f>
        <v>0</v>
      </c>
      <c r="K69" s="32">
        <f ca="1">_xll.DBRW($C$1,$C$2,$C$3,$C$4,$C$6,$C$5,$C$7,K$1,K$2,A69)</f>
        <v>0</v>
      </c>
      <c r="L69" s="32">
        <f ca="1">_xll.DBRW($C$1,$C$2,$C$3,$C$4,$C$6,$C$5,$C$7,L$1,L$2,A69)</f>
        <v>0</v>
      </c>
      <c r="M69" s="32">
        <f ca="1">_xll.DBRW($C$1,$C$2,$C$3,$C$4,$C$6,$C$5,$C$7,M$1,M$2,A69)</f>
        <v>0</v>
      </c>
      <c r="N69" s="32">
        <f ca="1">_xll.DBRW($C$1,$C$2,$C$3,$C$4,$C$6,$C$5,$C$7,N$1,N$2,A69)</f>
        <v>0</v>
      </c>
      <c r="O69" s="32">
        <f ca="1">_xll.DBRW($C$1,$C$2,$C$3,$C$4,$C$6,$C$5,$C$7,O$1,O$2,A69)</f>
        <v>0</v>
      </c>
      <c r="P69" s="32">
        <f ca="1">_xll.DBRW($C$1,$C$2,$C$3,$C$4,$C$6,$C$5,$C$7,P$1,P$2,A69)</f>
        <v>0</v>
      </c>
      <c r="Q69" s="32">
        <f ca="1">_xll.DBRW($C$1,$C$2,$C$3,$C$4,$C$6,$C$5,$C$7,Q$1,Q$2,A69)</f>
        <v>0</v>
      </c>
      <c r="R69" s="32">
        <f ca="1">_xll.DBRW($C$1,$C$2,$C$3,$C$4,$C$6,$C$5,$C$7,R$1,R$2,A69)</f>
        <v>0</v>
      </c>
      <c r="S69" s="32">
        <f ca="1">_xll.DBRW($C$1,$C$2,$C$3,$C$4,$C$6,$C$5,$C$7,S$1,S$2,A69)</f>
        <v>0</v>
      </c>
      <c r="T69" s="32">
        <f ca="1">_xll.DBRW($C$1,$C$2,$C$3,$C$4,$C$6,$C$5,$C$7,T$1,T$2,A69)</f>
        <v>0</v>
      </c>
      <c r="U69" s="32">
        <f ca="1">_xll.DBRW($C$1,$C$2,$C$3,$C$4,$C$6,$C$5,$C$7,U$1,U$2,A69)</f>
        <v>0</v>
      </c>
      <c r="V69" s="32">
        <f ca="1">_xll.DBRW($C$1,$C$2,$C$3,$C$4,$C$6,$C$5,$C$7,V$1,V$2,A69)</f>
        <v>0</v>
      </c>
      <c r="W69" s="32">
        <f ca="1">_xll.DBRW($C$1,$C$2,$C$3,$C$4,$C$6,$C$5,$C$7,W$1,W$2,A69)</f>
        <v>0</v>
      </c>
      <c r="X69" s="32">
        <f ca="1">_xll.DBRW($C$1,$C$2,$C$3,$C$4,$C$6,$C$5,$C$7,X$1,X$2,A69)</f>
        <v>0</v>
      </c>
      <c r="Y69" s="32">
        <f ca="1">_xll.DBRW($C$1,$C$2,$C$3,$C$4,$C$6,$C$5,$C$7,Y$1,Y$2,A69)</f>
        <v>0</v>
      </c>
      <c r="Z69" s="32">
        <f ca="1">_xll.DBRW($C$1,$C$2,$C$3,$C$4,$C$6,$C$5,$C$7,Z$1,Z$2,A69)</f>
        <v>0</v>
      </c>
      <c r="AA69" s="32">
        <f ca="1">_xll.DBRW($C$1,$C$2,$C$3,$C$4,$C$6,$C$5,$C$7,AA$1,AA$2,A69)</f>
        <v>0</v>
      </c>
      <c r="AB69" s="32">
        <f ca="1">_xll.DBRW($C$1,$C$2,$C$3,$C$4,$C$6,$C$5,$C$7,AB$1,AB$2,A69)</f>
        <v>0</v>
      </c>
      <c r="AC69" s="32">
        <f ca="1">_xll.DBRW($C$1,$C$2,$C$3,$C$4,$C$6,$C$5,$C$7,AC$1,AC$2,A69)</f>
        <v>0</v>
      </c>
      <c r="AD69" s="32">
        <f ca="1">_xll.DBRW($C$1,$C$2,$C$3,$C$4,$C$6,$C$5,$C$7,AD$1,AD$2,A69)</f>
        <v>0</v>
      </c>
      <c r="AE69" s="32">
        <f ca="1">_xll.DBRW($C$1,$C$2,$C$3,$C$4,$C$6,$C$5,$C$7,AE$1,AE$2,A69)</f>
        <v>0</v>
      </c>
      <c r="AF69" s="32">
        <f ca="1">_xll.DBRW($C$1,$C$2,$C$3,$C$4,$C$6,$C$5,$C$7,AF$1,AF$2,A69)</f>
        <v>0</v>
      </c>
      <c r="AG69" s="32">
        <f ca="1">_xll.DBRW($C$1,$C$2,$C$3,$C$4,$C$6,$C$5,$C$7,AG$1,AG$2,A69)</f>
        <v>0</v>
      </c>
      <c r="AH69" s="32">
        <f ca="1">_xll.DBRW($C$1,$C$2,$C$3,$C$4,$C$6,$C$5,$C$7,AH$1,AH$2,A69)</f>
        <v>0</v>
      </c>
      <c r="AI69" s="32">
        <f ca="1">_xll.DBRW($C$1,$C$2,$C$3,$C$4,$C$6,$C$5,$C$7,AI$1,AI$2,A69)</f>
        <v>0</v>
      </c>
      <c r="AJ69" s="32">
        <f ca="1">_xll.DBRW($C$1,$C$2,$C$3,$C$4,$C$6,$C$5,$C$7,AJ$1,AJ$2,A69)</f>
        <v>0</v>
      </c>
      <c r="AK69" s="32">
        <f ca="1">_xll.DBRW($C$1,$C$2,$C$3,$C$4,$C$6,$C$5,$C$7,AK$1,AK$2,A69)</f>
        <v>0</v>
      </c>
      <c r="AL69" s="32">
        <f ca="1">_xll.DBRW($C$1,$C$2,$C$3,$C$4,$C$6,$C$5,$C$7,AL$1,AL$2,A69)</f>
        <v>0</v>
      </c>
      <c r="AM69" s="32">
        <f ca="1">_xll.DBRW($C$1,$C$2,$C$3,$C$4,$C$6,$C$5,$C$7,AM$1,AM$2,A69)</f>
        <v>0</v>
      </c>
      <c r="AN69" s="32">
        <f ca="1">_xll.DBRW($C$1,$C$2,$C$3,$C$4,$C$6,$C$5,$C$7,AN$1,AN$2,A69)</f>
        <v>0</v>
      </c>
      <c r="AO69" s="32">
        <f ca="1">_xll.DBRW($C$1,$C$2,$C$3,$C$4,$C$6,$C$5,$C$7,AO$1,AO$2,A69)</f>
        <v>0</v>
      </c>
      <c r="AP69" s="32">
        <f ca="1">_xll.DBRW($C$1,$C$2,$C$3,$C$4,$C$6,$C$5,$C$7,AP$1,AP$2,A69)</f>
        <v>0</v>
      </c>
      <c r="AQ69" s="32">
        <f ca="1">_xll.DBRW($C$1,$C$2,$C$3,$C$4,$C$6,$C$5,$C$7,AQ$1,AQ$2,A69)</f>
        <v>0</v>
      </c>
      <c r="AR69" s="32">
        <f ca="1">_xll.DBRW($C$1,$C$2,$C$3,$C$4,$C$6,$C$5,$C$7,AR$1,AR$2,A69)</f>
        <v>0</v>
      </c>
      <c r="AS69" s="32">
        <f ca="1">_xll.DBRW($C$1,$C$2,$C$3,$C$4,$C$6,$C$5,$C$7,AS$1,AS$2,A69)</f>
        <v>0</v>
      </c>
      <c r="AT69" s="32">
        <f ca="1">_xll.DBRW($C$1,$C$2,$C$3,$C$4,$C$6,$C$5,$C$7,AT$1,AT$2,A69)</f>
        <v>0</v>
      </c>
      <c r="AU69" s="32">
        <f ca="1">_xll.DBRW($C$1,$C$2,$C$3,$C$4,$C$6,$C$5,$C$7,AU$1,AU$2,A69)</f>
        <v>0</v>
      </c>
    </row>
    <row r="70" spans="1:47" ht="15.75" hidden="1" customHeight="1" outlineLevel="2">
      <c r="A70" s="1" t="s">
        <v>162</v>
      </c>
      <c r="C70" s="141"/>
      <c r="E70" s="9" t="str">
        <f ca="1">_xll.DBRW(Server&amp;"}ElementAttributes_Indicator",A70,"code_English")</f>
        <v>PL1150_MF_90 - Impairment (other than working capital) and provisions - others (MF)</v>
      </c>
      <c r="F70" s="32">
        <f ca="1">_xll.DBRW($C$1,$C$2,$C$3,$C$4,$C$6,$C$5,$C$7,F$1,F$2,A70)</f>
        <v>0</v>
      </c>
      <c r="G70" s="32">
        <f ca="1">_xll.DBRW($C$1,$C$2,$C$3,$C$4,$C$6,$C$5,$C$7,G$1,G$2,A70)</f>
        <v>0</v>
      </c>
      <c r="H70" s="32">
        <f ca="1">_xll.DBRW($C$1,$C$2,$C$3,$C$4,$C$6,$C$5,$C$7,H$1,H$2,A70)</f>
        <v>0</v>
      </c>
      <c r="I70" s="32">
        <f ca="1">_xll.DBRW($C$1,$C$2,$C$3,$C$4,$C$6,$C$5,$C$7,I$1,I$2,A70)</f>
        <v>0</v>
      </c>
      <c r="J70" s="32">
        <f ca="1">_xll.DBRW($C$1,$C$2,$C$3,$C$4,$C$6,$C$5,$C$7,J$1,J$2,A70)</f>
        <v>0</v>
      </c>
      <c r="K70" s="32">
        <f ca="1">_xll.DBRW($C$1,$C$2,$C$3,$C$4,$C$6,$C$5,$C$7,K$1,K$2,A70)</f>
        <v>0</v>
      </c>
      <c r="L70" s="32">
        <f ca="1">_xll.DBRW($C$1,$C$2,$C$3,$C$4,$C$6,$C$5,$C$7,L$1,L$2,A70)</f>
        <v>0</v>
      </c>
      <c r="M70" s="32">
        <f ca="1">_xll.DBRW($C$1,$C$2,$C$3,$C$4,$C$6,$C$5,$C$7,M$1,M$2,A70)</f>
        <v>0</v>
      </c>
      <c r="N70" s="32">
        <f ca="1">_xll.DBRW($C$1,$C$2,$C$3,$C$4,$C$6,$C$5,$C$7,N$1,N$2,A70)</f>
        <v>0</v>
      </c>
      <c r="O70" s="32">
        <f ca="1">_xll.DBRW($C$1,$C$2,$C$3,$C$4,$C$6,$C$5,$C$7,O$1,O$2,A70)</f>
        <v>0</v>
      </c>
      <c r="P70" s="32">
        <f ca="1">_xll.DBRW($C$1,$C$2,$C$3,$C$4,$C$6,$C$5,$C$7,P$1,P$2,A70)</f>
        <v>0</v>
      </c>
      <c r="Q70" s="32">
        <f ca="1">_xll.DBRW($C$1,$C$2,$C$3,$C$4,$C$6,$C$5,$C$7,Q$1,Q$2,A70)</f>
        <v>0</v>
      </c>
      <c r="R70" s="32">
        <f ca="1">_xll.DBRW($C$1,$C$2,$C$3,$C$4,$C$6,$C$5,$C$7,R$1,R$2,A70)</f>
        <v>0</v>
      </c>
      <c r="S70" s="32">
        <f ca="1">_xll.DBRW($C$1,$C$2,$C$3,$C$4,$C$6,$C$5,$C$7,S$1,S$2,A70)</f>
        <v>0</v>
      </c>
      <c r="T70" s="32">
        <f ca="1">_xll.DBRW($C$1,$C$2,$C$3,$C$4,$C$6,$C$5,$C$7,T$1,T$2,A70)</f>
        <v>0</v>
      </c>
      <c r="U70" s="32">
        <f ca="1">_xll.DBRW($C$1,$C$2,$C$3,$C$4,$C$6,$C$5,$C$7,U$1,U$2,A70)</f>
        <v>0</v>
      </c>
      <c r="V70" s="32">
        <f ca="1">_xll.DBRW($C$1,$C$2,$C$3,$C$4,$C$6,$C$5,$C$7,V$1,V$2,A70)</f>
        <v>0</v>
      </c>
      <c r="W70" s="32">
        <f ca="1">_xll.DBRW($C$1,$C$2,$C$3,$C$4,$C$6,$C$5,$C$7,W$1,W$2,A70)</f>
        <v>0</v>
      </c>
      <c r="X70" s="32">
        <f ca="1">_xll.DBRW($C$1,$C$2,$C$3,$C$4,$C$6,$C$5,$C$7,X$1,X$2,A70)</f>
        <v>0</v>
      </c>
      <c r="Y70" s="32">
        <f ca="1">_xll.DBRW($C$1,$C$2,$C$3,$C$4,$C$6,$C$5,$C$7,Y$1,Y$2,A70)</f>
        <v>0</v>
      </c>
      <c r="Z70" s="32">
        <f ca="1">_xll.DBRW($C$1,$C$2,$C$3,$C$4,$C$6,$C$5,$C$7,Z$1,Z$2,A70)</f>
        <v>0</v>
      </c>
      <c r="AA70" s="32">
        <f ca="1">_xll.DBRW($C$1,$C$2,$C$3,$C$4,$C$6,$C$5,$C$7,AA$1,AA$2,A70)</f>
        <v>0</v>
      </c>
      <c r="AB70" s="32">
        <f ca="1">_xll.DBRW($C$1,$C$2,$C$3,$C$4,$C$6,$C$5,$C$7,AB$1,AB$2,A70)</f>
        <v>0</v>
      </c>
      <c r="AC70" s="32">
        <f ca="1">_xll.DBRW($C$1,$C$2,$C$3,$C$4,$C$6,$C$5,$C$7,AC$1,AC$2,A70)</f>
        <v>0</v>
      </c>
      <c r="AD70" s="32">
        <f ca="1">_xll.DBRW($C$1,$C$2,$C$3,$C$4,$C$6,$C$5,$C$7,AD$1,AD$2,A70)</f>
        <v>0</v>
      </c>
      <c r="AE70" s="32">
        <f ca="1">_xll.DBRW($C$1,$C$2,$C$3,$C$4,$C$6,$C$5,$C$7,AE$1,AE$2,A70)</f>
        <v>0</v>
      </c>
      <c r="AF70" s="32">
        <f ca="1">_xll.DBRW($C$1,$C$2,$C$3,$C$4,$C$6,$C$5,$C$7,AF$1,AF$2,A70)</f>
        <v>0</v>
      </c>
      <c r="AG70" s="32">
        <f ca="1">_xll.DBRW($C$1,$C$2,$C$3,$C$4,$C$6,$C$5,$C$7,AG$1,AG$2,A70)</f>
        <v>0</v>
      </c>
      <c r="AH70" s="32">
        <f ca="1">_xll.DBRW($C$1,$C$2,$C$3,$C$4,$C$6,$C$5,$C$7,AH$1,AH$2,A70)</f>
        <v>0</v>
      </c>
      <c r="AI70" s="32">
        <f ca="1">_xll.DBRW($C$1,$C$2,$C$3,$C$4,$C$6,$C$5,$C$7,AI$1,AI$2,A70)</f>
        <v>0</v>
      </c>
      <c r="AJ70" s="32">
        <f ca="1">_xll.DBRW($C$1,$C$2,$C$3,$C$4,$C$6,$C$5,$C$7,AJ$1,AJ$2,A70)</f>
        <v>0</v>
      </c>
      <c r="AK70" s="32">
        <f ca="1">_xll.DBRW($C$1,$C$2,$C$3,$C$4,$C$6,$C$5,$C$7,AK$1,AK$2,A70)</f>
        <v>0</v>
      </c>
      <c r="AL70" s="32">
        <f ca="1">_xll.DBRW($C$1,$C$2,$C$3,$C$4,$C$6,$C$5,$C$7,AL$1,AL$2,A70)</f>
        <v>0</v>
      </c>
      <c r="AM70" s="32">
        <f ca="1">_xll.DBRW($C$1,$C$2,$C$3,$C$4,$C$6,$C$5,$C$7,AM$1,AM$2,A70)</f>
        <v>0</v>
      </c>
      <c r="AN70" s="32">
        <f ca="1">_xll.DBRW($C$1,$C$2,$C$3,$C$4,$C$6,$C$5,$C$7,AN$1,AN$2,A70)</f>
        <v>0</v>
      </c>
      <c r="AO70" s="32">
        <f ca="1">_xll.DBRW($C$1,$C$2,$C$3,$C$4,$C$6,$C$5,$C$7,AO$1,AO$2,A70)</f>
        <v>0</v>
      </c>
      <c r="AP70" s="32">
        <f ca="1">_xll.DBRW($C$1,$C$2,$C$3,$C$4,$C$6,$C$5,$C$7,AP$1,AP$2,A70)</f>
        <v>0</v>
      </c>
      <c r="AQ70" s="32">
        <f ca="1">_xll.DBRW($C$1,$C$2,$C$3,$C$4,$C$6,$C$5,$C$7,AQ$1,AQ$2,A70)</f>
        <v>0</v>
      </c>
      <c r="AR70" s="32">
        <f ca="1">_xll.DBRW($C$1,$C$2,$C$3,$C$4,$C$6,$C$5,$C$7,AR$1,AR$2,A70)</f>
        <v>0</v>
      </c>
      <c r="AS70" s="32">
        <f ca="1">_xll.DBRW($C$1,$C$2,$C$3,$C$4,$C$6,$C$5,$C$7,AS$1,AS$2,A70)</f>
        <v>0</v>
      </c>
      <c r="AT70" s="32">
        <f ca="1">_xll.DBRW($C$1,$C$2,$C$3,$C$4,$C$6,$C$5,$C$7,AT$1,AT$2,A70)</f>
        <v>0</v>
      </c>
      <c r="AU70" s="32">
        <f ca="1">_xll.DBRW($C$1,$C$2,$C$3,$C$4,$C$6,$C$5,$C$7,AU$1,AU$2,A70)</f>
        <v>0</v>
      </c>
    </row>
    <row r="71" spans="1:47" ht="15.75" hidden="1" customHeight="1" outlineLevel="2">
      <c r="A71" s="1" t="s">
        <v>163</v>
      </c>
      <c r="C71" s="141"/>
      <c r="E71" s="9" t="str">
        <f ca="1">_xll.DBRW(Server&amp;"}ElementAttributes_Indicator",A71,"code_English")</f>
        <v>PL1151_MF_10 - Impact of change in revaluation rate on provisions for losses on LT contracts - related to staff costs (MF)</v>
      </c>
      <c r="F71" s="32">
        <f ca="1">_xll.DBRW($C$1,$C$2,$C$3,$C$4,$C$6,$C$5,$C$7,F$1,F$2,A71)</f>
        <v>0</v>
      </c>
      <c r="G71" s="32">
        <f ca="1">_xll.DBRW($C$1,$C$2,$C$3,$C$4,$C$6,$C$5,$C$7,G$1,G$2,A71)</f>
        <v>0</v>
      </c>
      <c r="H71" s="32">
        <f ca="1">_xll.DBRW($C$1,$C$2,$C$3,$C$4,$C$6,$C$5,$C$7,H$1,H$2,A71)</f>
        <v>0</v>
      </c>
      <c r="I71" s="32">
        <f ca="1">_xll.DBRW($C$1,$C$2,$C$3,$C$4,$C$6,$C$5,$C$7,I$1,I$2,A71)</f>
        <v>0</v>
      </c>
      <c r="J71" s="32">
        <f ca="1">_xll.DBRW($C$1,$C$2,$C$3,$C$4,$C$6,$C$5,$C$7,J$1,J$2,A71)</f>
        <v>0</v>
      </c>
      <c r="K71" s="32">
        <f ca="1">_xll.DBRW($C$1,$C$2,$C$3,$C$4,$C$6,$C$5,$C$7,K$1,K$2,A71)</f>
        <v>0</v>
      </c>
      <c r="L71" s="32">
        <f ca="1">_xll.DBRW($C$1,$C$2,$C$3,$C$4,$C$6,$C$5,$C$7,L$1,L$2,A71)</f>
        <v>0</v>
      </c>
      <c r="M71" s="32">
        <f ca="1">_xll.DBRW($C$1,$C$2,$C$3,$C$4,$C$6,$C$5,$C$7,M$1,M$2,A71)</f>
        <v>0</v>
      </c>
      <c r="N71" s="32">
        <f ca="1">_xll.DBRW($C$1,$C$2,$C$3,$C$4,$C$6,$C$5,$C$7,N$1,N$2,A71)</f>
        <v>0</v>
      </c>
      <c r="O71" s="32">
        <f ca="1">_xll.DBRW($C$1,$C$2,$C$3,$C$4,$C$6,$C$5,$C$7,O$1,O$2,A71)</f>
        <v>0</v>
      </c>
      <c r="P71" s="32">
        <f ca="1">_xll.DBRW($C$1,$C$2,$C$3,$C$4,$C$6,$C$5,$C$7,P$1,P$2,A71)</f>
        <v>0</v>
      </c>
      <c r="Q71" s="32">
        <f ca="1">_xll.DBRW($C$1,$C$2,$C$3,$C$4,$C$6,$C$5,$C$7,Q$1,Q$2,A71)</f>
        <v>0</v>
      </c>
      <c r="R71" s="32">
        <f ca="1">_xll.DBRW($C$1,$C$2,$C$3,$C$4,$C$6,$C$5,$C$7,R$1,R$2,A71)</f>
        <v>0</v>
      </c>
      <c r="S71" s="32">
        <f ca="1">_xll.DBRW($C$1,$C$2,$C$3,$C$4,$C$6,$C$5,$C$7,S$1,S$2,A71)</f>
        <v>0</v>
      </c>
      <c r="T71" s="32">
        <f ca="1">_xll.DBRW($C$1,$C$2,$C$3,$C$4,$C$6,$C$5,$C$7,T$1,T$2,A71)</f>
        <v>0</v>
      </c>
      <c r="U71" s="32">
        <f ca="1">_xll.DBRW($C$1,$C$2,$C$3,$C$4,$C$6,$C$5,$C$7,U$1,U$2,A71)</f>
        <v>0</v>
      </c>
      <c r="V71" s="32">
        <f ca="1">_xll.DBRW($C$1,$C$2,$C$3,$C$4,$C$6,$C$5,$C$7,V$1,V$2,A71)</f>
        <v>0</v>
      </c>
      <c r="W71" s="32">
        <f ca="1">_xll.DBRW($C$1,$C$2,$C$3,$C$4,$C$6,$C$5,$C$7,W$1,W$2,A71)</f>
        <v>0</v>
      </c>
      <c r="X71" s="32">
        <f ca="1">_xll.DBRW($C$1,$C$2,$C$3,$C$4,$C$6,$C$5,$C$7,X$1,X$2,A71)</f>
        <v>0</v>
      </c>
      <c r="Y71" s="32">
        <f ca="1">_xll.DBRW($C$1,$C$2,$C$3,$C$4,$C$6,$C$5,$C$7,Y$1,Y$2,A71)</f>
        <v>0</v>
      </c>
      <c r="Z71" s="32">
        <f ca="1">_xll.DBRW($C$1,$C$2,$C$3,$C$4,$C$6,$C$5,$C$7,Z$1,Z$2,A71)</f>
        <v>0</v>
      </c>
      <c r="AA71" s="32">
        <f ca="1">_xll.DBRW($C$1,$C$2,$C$3,$C$4,$C$6,$C$5,$C$7,AA$1,AA$2,A71)</f>
        <v>0</v>
      </c>
      <c r="AB71" s="32">
        <f ca="1">_xll.DBRW($C$1,$C$2,$C$3,$C$4,$C$6,$C$5,$C$7,AB$1,AB$2,A71)</f>
        <v>0</v>
      </c>
      <c r="AC71" s="32">
        <f ca="1">_xll.DBRW($C$1,$C$2,$C$3,$C$4,$C$6,$C$5,$C$7,AC$1,AC$2,A71)</f>
        <v>0</v>
      </c>
      <c r="AD71" s="32">
        <f ca="1">_xll.DBRW($C$1,$C$2,$C$3,$C$4,$C$6,$C$5,$C$7,AD$1,AD$2,A71)</f>
        <v>0</v>
      </c>
      <c r="AE71" s="32">
        <f ca="1">_xll.DBRW($C$1,$C$2,$C$3,$C$4,$C$6,$C$5,$C$7,AE$1,AE$2,A71)</f>
        <v>0</v>
      </c>
      <c r="AF71" s="32">
        <f ca="1">_xll.DBRW($C$1,$C$2,$C$3,$C$4,$C$6,$C$5,$C$7,AF$1,AF$2,A71)</f>
        <v>0</v>
      </c>
      <c r="AG71" s="32">
        <f ca="1">_xll.DBRW($C$1,$C$2,$C$3,$C$4,$C$6,$C$5,$C$7,AG$1,AG$2,A71)</f>
        <v>0</v>
      </c>
      <c r="AH71" s="32">
        <f ca="1">_xll.DBRW($C$1,$C$2,$C$3,$C$4,$C$6,$C$5,$C$7,AH$1,AH$2,A71)</f>
        <v>0</v>
      </c>
      <c r="AI71" s="32">
        <f ca="1">_xll.DBRW($C$1,$C$2,$C$3,$C$4,$C$6,$C$5,$C$7,AI$1,AI$2,A71)</f>
        <v>0</v>
      </c>
      <c r="AJ71" s="32">
        <f ca="1">_xll.DBRW($C$1,$C$2,$C$3,$C$4,$C$6,$C$5,$C$7,AJ$1,AJ$2,A71)</f>
        <v>0</v>
      </c>
      <c r="AK71" s="32">
        <f ca="1">_xll.DBRW($C$1,$C$2,$C$3,$C$4,$C$6,$C$5,$C$7,AK$1,AK$2,A71)</f>
        <v>0</v>
      </c>
      <c r="AL71" s="32">
        <f ca="1">_xll.DBRW($C$1,$C$2,$C$3,$C$4,$C$6,$C$5,$C$7,AL$1,AL$2,A71)</f>
        <v>0</v>
      </c>
      <c r="AM71" s="32">
        <f ca="1">_xll.DBRW($C$1,$C$2,$C$3,$C$4,$C$6,$C$5,$C$7,AM$1,AM$2,A71)</f>
        <v>0</v>
      </c>
      <c r="AN71" s="32">
        <f ca="1">_xll.DBRW($C$1,$C$2,$C$3,$C$4,$C$6,$C$5,$C$7,AN$1,AN$2,A71)</f>
        <v>0</v>
      </c>
      <c r="AO71" s="32">
        <f ca="1">_xll.DBRW($C$1,$C$2,$C$3,$C$4,$C$6,$C$5,$C$7,AO$1,AO$2,A71)</f>
        <v>0</v>
      </c>
      <c r="AP71" s="32">
        <f ca="1">_xll.DBRW($C$1,$C$2,$C$3,$C$4,$C$6,$C$5,$C$7,AP$1,AP$2,A71)</f>
        <v>0</v>
      </c>
      <c r="AQ71" s="32">
        <f ca="1">_xll.DBRW($C$1,$C$2,$C$3,$C$4,$C$6,$C$5,$C$7,AQ$1,AQ$2,A71)</f>
        <v>0</v>
      </c>
      <c r="AR71" s="32">
        <f ca="1">_xll.DBRW($C$1,$C$2,$C$3,$C$4,$C$6,$C$5,$C$7,AR$1,AR$2,A71)</f>
        <v>0</v>
      </c>
      <c r="AS71" s="32">
        <f ca="1">_xll.DBRW($C$1,$C$2,$C$3,$C$4,$C$6,$C$5,$C$7,AS$1,AS$2,A71)</f>
        <v>0</v>
      </c>
      <c r="AT71" s="32">
        <f ca="1">_xll.DBRW($C$1,$C$2,$C$3,$C$4,$C$6,$C$5,$C$7,AT$1,AT$2,A71)</f>
        <v>0</v>
      </c>
      <c r="AU71" s="32">
        <f ca="1">_xll.DBRW($C$1,$C$2,$C$3,$C$4,$C$6,$C$5,$C$7,AU$1,AU$2,A71)</f>
        <v>0</v>
      </c>
    </row>
    <row r="72" spans="1:47" ht="15.75" hidden="1" customHeight="1" outlineLevel="2">
      <c r="A72" s="1" t="s">
        <v>164</v>
      </c>
      <c r="C72" s="141"/>
      <c r="E72" s="9" t="str">
        <f ca="1">_xll.DBRW(Server&amp;"}ElementAttributes_Indicator",A72,"code_English")</f>
        <v>PL1151_MF_11 - Impact of change in revaluation rate on provisions for losses on LT contracts - related to staff costs - Reversal (MF)</v>
      </c>
      <c r="F72" s="32">
        <f ca="1">_xll.DBRW($C$1,$C$2,$C$3,$C$4,$C$6,$C$5,$C$7,F$1,F$2,A72)</f>
        <v>0</v>
      </c>
      <c r="G72" s="32">
        <f ca="1">_xll.DBRW($C$1,$C$2,$C$3,$C$4,$C$6,$C$5,$C$7,G$1,G$2,A72)</f>
        <v>0</v>
      </c>
      <c r="H72" s="32">
        <f ca="1">_xll.DBRW($C$1,$C$2,$C$3,$C$4,$C$6,$C$5,$C$7,H$1,H$2,A72)</f>
        <v>0</v>
      </c>
      <c r="I72" s="32">
        <f ca="1">_xll.DBRW($C$1,$C$2,$C$3,$C$4,$C$6,$C$5,$C$7,I$1,I$2,A72)</f>
        <v>0</v>
      </c>
      <c r="J72" s="32">
        <f ca="1">_xll.DBRW($C$1,$C$2,$C$3,$C$4,$C$6,$C$5,$C$7,J$1,J$2,A72)</f>
        <v>0</v>
      </c>
      <c r="K72" s="32">
        <f ca="1">_xll.DBRW($C$1,$C$2,$C$3,$C$4,$C$6,$C$5,$C$7,K$1,K$2,A72)</f>
        <v>0</v>
      </c>
      <c r="L72" s="32">
        <f ca="1">_xll.DBRW($C$1,$C$2,$C$3,$C$4,$C$6,$C$5,$C$7,L$1,L$2,A72)</f>
        <v>0</v>
      </c>
      <c r="M72" s="32">
        <f ca="1">_xll.DBRW($C$1,$C$2,$C$3,$C$4,$C$6,$C$5,$C$7,M$1,M$2,A72)</f>
        <v>0</v>
      </c>
      <c r="N72" s="32">
        <f ca="1">_xll.DBRW($C$1,$C$2,$C$3,$C$4,$C$6,$C$5,$C$7,N$1,N$2,A72)</f>
        <v>0</v>
      </c>
      <c r="O72" s="32">
        <f ca="1">_xll.DBRW($C$1,$C$2,$C$3,$C$4,$C$6,$C$5,$C$7,O$1,O$2,A72)</f>
        <v>0</v>
      </c>
      <c r="P72" s="32">
        <f ca="1">_xll.DBRW($C$1,$C$2,$C$3,$C$4,$C$6,$C$5,$C$7,P$1,P$2,A72)</f>
        <v>0</v>
      </c>
      <c r="Q72" s="32">
        <f ca="1">_xll.DBRW($C$1,$C$2,$C$3,$C$4,$C$6,$C$5,$C$7,Q$1,Q$2,A72)</f>
        <v>0</v>
      </c>
      <c r="R72" s="32">
        <f ca="1">_xll.DBRW($C$1,$C$2,$C$3,$C$4,$C$6,$C$5,$C$7,R$1,R$2,A72)</f>
        <v>0</v>
      </c>
      <c r="S72" s="32">
        <f ca="1">_xll.DBRW($C$1,$C$2,$C$3,$C$4,$C$6,$C$5,$C$7,S$1,S$2,A72)</f>
        <v>0</v>
      </c>
      <c r="T72" s="32">
        <f ca="1">_xll.DBRW($C$1,$C$2,$C$3,$C$4,$C$6,$C$5,$C$7,T$1,T$2,A72)</f>
        <v>0</v>
      </c>
      <c r="U72" s="32">
        <f ca="1">_xll.DBRW($C$1,$C$2,$C$3,$C$4,$C$6,$C$5,$C$7,U$1,U$2,A72)</f>
        <v>0</v>
      </c>
      <c r="V72" s="32">
        <f ca="1">_xll.DBRW($C$1,$C$2,$C$3,$C$4,$C$6,$C$5,$C$7,V$1,V$2,A72)</f>
        <v>0</v>
      </c>
      <c r="W72" s="32">
        <f ca="1">_xll.DBRW($C$1,$C$2,$C$3,$C$4,$C$6,$C$5,$C$7,W$1,W$2,A72)</f>
        <v>0</v>
      </c>
      <c r="X72" s="32">
        <f ca="1">_xll.DBRW($C$1,$C$2,$C$3,$C$4,$C$6,$C$5,$C$7,X$1,X$2,A72)</f>
        <v>0</v>
      </c>
      <c r="Y72" s="32">
        <f ca="1">_xll.DBRW($C$1,$C$2,$C$3,$C$4,$C$6,$C$5,$C$7,Y$1,Y$2,A72)</f>
        <v>0</v>
      </c>
      <c r="Z72" s="32">
        <f ca="1">_xll.DBRW($C$1,$C$2,$C$3,$C$4,$C$6,$C$5,$C$7,Z$1,Z$2,A72)</f>
        <v>0</v>
      </c>
      <c r="AA72" s="32">
        <f ca="1">_xll.DBRW($C$1,$C$2,$C$3,$C$4,$C$6,$C$5,$C$7,AA$1,AA$2,A72)</f>
        <v>0</v>
      </c>
      <c r="AB72" s="32">
        <f ca="1">_xll.DBRW($C$1,$C$2,$C$3,$C$4,$C$6,$C$5,$C$7,AB$1,AB$2,A72)</f>
        <v>0</v>
      </c>
      <c r="AC72" s="32">
        <f ca="1">_xll.DBRW($C$1,$C$2,$C$3,$C$4,$C$6,$C$5,$C$7,AC$1,AC$2,A72)</f>
        <v>0</v>
      </c>
      <c r="AD72" s="32">
        <f ca="1">_xll.DBRW($C$1,$C$2,$C$3,$C$4,$C$6,$C$5,$C$7,AD$1,AD$2,A72)</f>
        <v>0</v>
      </c>
      <c r="AE72" s="32">
        <f ca="1">_xll.DBRW($C$1,$C$2,$C$3,$C$4,$C$6,$C$5,$C$7,AE$1,AE$2,A72)</f>
        <v>0</v>
      </c>
      <c r="AF72" s="32">
        <f ca="1">_xll.DBRW($C$1,$C$2,$C$3,$C$4,$C$6,$C$5,$C$7,AF$1,AF$2,A72)</f>
        <v>0</v>
      </c>
      <c r="AG72" s="32">
        <f ca="1">_xll.DBRW($C$1,$C$2,$C$3,$C$4,$C$6,$C$5,$C$7,AG$1,AG$2,A72)</f>
        <v>0</v>
      </c>
      <c r="AH72" s="32">
        <f ca="1">_xll.DBRW($C$1,$C$2,$C$3,$C$4,$C$6,$C$5,$C$7,AH$1,AH$2,A72)</f>
        <v>0</v>
      </c>
      <c r="AI72" s="32">
        <f ca="1">_xll.DBRW($C$1,$C$2,$C$3,$C$4,$C$6,$C$5,$C$7,AI$1,AI$2,A72)</f>
        <v>0</v>
      </c>
      <c r="AJ72" s="32">
        <f ca="1">_xll.DBRW($C$1,$C$2,$C$3,$C$4,$C$6,$C$5,$C$7,AJ$1,AJ$2,A72)</f>
        <v>0</v>
      </c>
      <c r="AK72" s="32">
        <f ca="1">_xll.DBRW($C$1,$C$2,$C$3,$C$4,$C$6,$C$5,$C$7,AK$1,AK$2,A72)</f>
        <v>0</v>
      </c>
      <c r="AL72" s="32">
        <f ca="1">_xll.DBRW($C$1,$C$2,$C$3,$C$4,$C$6,$C$5,$C$7,AL$1,AL$2,A72)</f>
        <v>0</v>
      </c>
      <c r="AM72" s="32">
        <f ca="1">_xll.DBRW($C$1,$C$2,$C$3,$C$4,$C$6,$C$5,$C$7,AM$1,AM$2,A72)</f>
        <v>0</v>
      </c>
      <c r="AN72" s="32">
        <f ca="1">_xll.DBRW($C$1,$C$2,$C$3,$C$4,$C$6,$C$5,$C$7,AN$1,AN$2,A72)</f>
        <v>0</v>
      </c>
      <c r="AO72" s="32">
        <f ca="1">_xll.DBRW($C$1,$C$2,$C$3,$C$4,$C$6,$C$5,$C$7,AO$1,AO$2,A72)</f>
        <v>0</v>
      </c>
      <c r="AP72" s="32">
        <f ca="1">_xll.DBRW($C$1,$C$2,$C$3,$C$4,$C$6,$C$5,$C$7,AP$1,AP$2,A72)</f>
        <v>0</v>
      </c>
      <c r="AQ72" s="32">
        <f ca="1">_xll.DBRW($C$1,$C$2,$C$3,$C$4,$C$6,$C$5,$C$7,AQ$1,AQ$2,A72)</f>
        <v>0</v>
      </c>
      <c r="AR72" s="32">
        <f ca="1">_xll.DBRW($C$1,$C$2,$C$3,$C$4,$C$6,$C$5,$C$7,AR$1,AR$2,A72)</f>
        <v>0</v>
      </c>
      <c r="AS72" s="32">
        <f ca="1">_xll.DBRW($C$1,$C$2,$C$3,$C$4,$C$6,$C$5,$C$7,AS$1,AS$2,A72)</f>
        <v>0</v>
      </c>
      <c r="AT72" s="32">
        <f ca="1">_xll.DBRW($C$1,$C$2,$C$3,$C$4,$C$6,$C$5,$C$7,AT$1,AT$2,A72)</f>
        <v>0</v>
      </c>
      <c r="AU72" s="32">
        <f ca="1">_xll.DBRW($C$1,$C$2,$C$3,$C$4,$C$6,$C$5,$C$7,AU$1,AU$2,A72)</f>
        <v>0</v>
      </c>
    </row>
    <row r="73" spans="1:47" ht="15.75" hidden="1" customHeight="1" outlineLevel="2">
      <c r="A73" s="1" t="s">
        <v>165</v>
      </c>
      <c r="C73" s="141"/>
      <c r="E73" s="9" t="str">
        <f ca="1">_xll.DBRW(Server&amp;"}ElementAttributes_Indicator",A73,"code_English")</f>
        <v>PL1151_MF_20 - Impact of change in revaluation rate on provisions for losses on LT contracts - related to heavy maintenance</v>
      </c>
      <c r="F73" s="32">
        <f ca="1">_xll.DBRW($C$1,$C$2,$C$3,$C$4,$C$6,$C$5,$C$7,F$1,F$2,A73)</f>
        <v>0</v>
      </c>
      <c r="G73" s="32">
        <f ca="1">_xll.DBRW($C$1,$C$2,$C$3,$C$4,$C$6,$C$5,$C$7,G$1,G$2,A73)</f>
        <v>0</v>
      </c>
      <c r="H73" s="32">
        <f ca="1">_xll.DBRW($C$1,$C$2,$C$3,$C$4,$C$6,$C$5,$C$7,H$1,H$2,A73)</f>
        <v>0</v>
      </c>
      <c r="I73" s="32">
        <f ca="1">_xll.DBRW($C$1,$C$2,$C$3,$C$4,$C$6,$C$5,$C$7,I$1,I$2,A73)</f>
        <v>0</v>
      </c>
      <c r="J73" s="32">
        <f ca="1">_xll.DBRW($C$1,$C$2,$C$3,$C$4,$C$6,$C$5,$C$7,J$1,J$2,A73)</f>
        <v>0</v>
      </c>
      <c r="K73" s="32">
        <f ca="1">_xll.DBRW($C$1,$C$2,$C$3,$C$4,$C$6,$C$5,$C$7,K$1,K$2,A73)</f>
        <v>0</v>
      </c>
      <c r="L73" s="32">
        <f ca="1">_xll.DBRW($C$1,$C$2,$C$3,$C$4,$C$6,$C$5,$C$7,L$1,L$2,A73)</f>
        <v>0</v>
      </c>
      <c r="M73" s="32">
        <f ca="1">_xll.DBRW($C$1,$C$2,$C$3,$C$4,$C$6,$C$5,$C$7,M$1,M$2,A73)</f>
        <v>0</v>
      </c>
      <c r="N73" s="32">
        <f ca="1">_xll.DBRW($C$1,$C$2,$C$3,$C$4,$C$6,$C$5,$C$7,N$1,N$2,A73)</f>
        <v>0</v>
      </c>
      <c r="O73" s="32">
        <f ca="1">_xll.DBRW($C$1,$C$2,$C$3,$C$4,$C$6,$C$5,$C$7,O$1,O$2,A73)</f>
        <v>0</v>
      </c>
      <c r="P73" s="32">
        <f ca="1">_xll.DBRW($C$1,$C$2,$C$3,$C$4,$C$6,$C$5,$C$7,P$1,P$2,A73)</f>
        <v>0</v>
      </c>
      <c r="Q73" s="32">
        <f ca="1">_xll.DBRW($C$1,$C$2,$C$3,$C$4,$C$6,$C$5,$C$7,Q$1,Q$2,A73)</f>
        <v>0</v>
      </c>
      <c r="R73" s="32">
        <f ca="1">_xll.DBRW($C$1,$C$2,$C$3,$C$4,$C$6,$C$5,$C$7,R$1,R$2,A73)</f>
        <v>0</v>
      </c>
      <c r="S73" s="32">
        <f ca="1">_xll.DBRW($C$1,$C$2,$C$3,$C$4,$C$6,$C$5,$C$7,S$1,S$2,A73)</f>
        <v>0</v>
      </c>
      <c r="T73" s="32">
        <f ca="1">_xll.DBRW($C$1,$C$2,$C$3,$C$4,$C$6,$C$5,$C$7,T$1,T$2,A73)</f>
        <v>0</v>
      </c>
      <c r="U73" s="32">
        <f ca="1">_xll.DBRW($C$1,$C$2,$C$3,$C$4,$C$6,$C$5,$C$7,U$1,U$2,A73)</f>
        <v>0</v>
      </c>
      <c r="V73" s="32">
        <f ca="1">_xll.DBRW($C$1,$C$2,$C$3,$C$4,$C$6,$C$5,$C$7,V$1,V$2,A73)</f>
        <v>0</v>
      </c>
      <c r="W73" s="32">
        <f ca="1">_xll.DBRW($C$1,$C$2,$C$3,$C$4,$C$6,$C$5,$C$7,W$1,W$2,A73)</f>
        <v>0</v>
      </c>
      <c r="X73" s="32">
        <f ca="1">_xll.DBRW($C$1,$C$2,$C$3,$C$4,$C$6,$C$5,$C$7,X$1,X$2,A73)</f>
        <v>0</v>
      </c>
      <c r="Y73" s="32">
        <f ca="1">_xll.DBRW($C$1,$C$2,$C$3,$C$4,$C$6,$C$5,$C$7,Y$1,Y$2,A73)</f>
        <v>0</v>
      </c>
      <c r="Z73" s="32">
        <f ca="1">_xll.DBRW($C$1,$C$2,$C$3,$C$4,$C$6,$C$5,$C$7,Z$1,Z$2,A73)</f>
        <v>0</v>
      </c>
      <c r="AA73" s="32">
        <f ca="1">_xll.DBRW($C$1,$C$2,$C$3,$C$4,$C$6,$C$5,$C$7,AA$1,AA$2,A73)</f>
        <v>0</v>
      </c>
      <c r="AB73" s="32">
        <f ca="1">_xll.DBRW($C$1,$C$2,$C$3,$C$4,$C$6,$C$5,$C$7,AB$1,AB$2,A73)</f>
        <v>0</v>
      </c>
      <c r="AC73" s="32">
        <f ca="1">_xll.DBRW($C$1,$C$2,$C$3,$C$4,$C$6,$C$5,$C$7,AC$1,AC$2,A73)</f>
        <v>0</v>
      </c>
      <c r="AD73" s="32">
        <f ca="1">_xll.DBRW($C$1,$C$2,$C$3,$C$4,$C$6,$C$5,$C$7,AD$1,AD$2,A73)</f>
        <v>0</v>
      </c>
      <c r="AE73" s="32">
        <f ca="1">_xll.DBRW($C$1,$C$2,$C$3,$C$4,$C$6,$C$5,$C$7,AE$1,AE$2,A73)</f>
        <v>0</v>
      </c>
      <c r="AF73" s="32">
        <f ca="1">_xll.DBRW($C$1,$C$2,$C$3,$C$4,$C$6,$C$5,$C$7,AF$1,AF$2,A73)</f>
        <v>0</v>
      </c>
      <c r="AG73" s="32">
        <f ca="1">_xll.DBRW($C$1,$C$2,$C$3,$C$4,$C$6,$C$5,$C$7,AG$1,AG$2,A73)</f>
        <v>0</v>
      </c>
      <c r="AH73" s="32">
        <f ca="1">_xll.DBRW($C$1,$C$2,$C$3,$C$4,$C$6,$C$5,$C$7,AH$1,AH$2,A73)</f>
        <v>0</v>
      </c>
      <c r="AI73" s="32">
        <f ca="1">_xll.DBRW($C$1,$C$2,$C$3,$C$4,$C$6,$C$5,$C$7,AI$1,AI$2,A73)</f>
        <v>0</v>
      </c>
      <c r="AJ73" s="32">
        <f ca="1">_xll.DBRW($C$1,$C$2,$C$3,$C$4,$C$6,$C$5,$C$7,AJ$1,AJ$2,A73)</f>
        <v>0</v>
      </c>
      <c r="AK73" s="32">
        <f ca="1">_xll.DBRW($C$1,$C$2,$C$3,$C$4,$C$6,$C$5,$C$7,AK$1,AK$2,A73)</f>
        <v>0</v>
      </c>
      <c r="AL73" s="32">
        <f ca="1">_xll.DBRW($C$1,$C$2,$C$3,$C$4,$C$6,$C$5,$C$7,AL$1,AL$2,A73)</f>
        <v>0</v>
      </c>
      <c r="AM73" s="32">
        <f ca="1">_xll.DBRW($C$1,$C$2,$C$3,$C$4,$C$6,$C$5,$C$7,AM$1,AM$2,A73)</f>
        <v>0</v>
      </c>
      <c r="AN73" s="32">
        <f ca="1">_xll.DBRW($C$1,$C$2,$C$3,$C$4,$C$6,$C$5,$C$7,AN$1,AN$2,A73)</f>
        <v>0</v>
      </c>
      <c r="AO73" s="32">
        <f ca="1">_xll.DBRW($C$1,$C$2,$C$3,$C$4,$C$6,$C$5,$C$7,AO$1,AO$2,A73)</f>
        <v>0</v>
      </c>
      <c r="AP73" s="32">
        <f ca="1">_xll.DBRW($C$1,$C$2,$C$3,$C$4,$C$6,$C$5,$C$7,AP$1,AP$2,A73)</f>
        <v>0</v>
      </c>
      <c r="AQ73" s="32">
        <f ca="1">_xll.DBRW($C$1,$C$2,$C$3,$C$4,$C$6,$C$5,$C$7,AQ$1,AQ$2,A73)</f>
        <v>0</v>
      </c>
      <c r="AR73" s="32">
        <f ca="1">_xll.DBRW($C$1,$C$2,$C$3,$C$4,$C$6,$C$5,$C$7,AR$1,AR$2,A73)</f>
        <v>0</v>
      </c>
      <c r="AS73" s="32">
        <f ca="1">_xll.DBRW($C$1,$C$2,$C$3,$C$4,$C$6,$C$5,$C$7,AS$1,AS$2,A73)</f>
        <v>0</v>
      </c>
      <c r="AT73" s="32">
        <f ca="1">_xll.DBRW($C$1,$C$2,$C$3,$C$4,$C$6,$C$5,$C$7,AT$1,AT$2,A73)</f>
        <v>0</v>
      </c>
      <c r="AU73" s="32">
        <f ca="1">_xll.DBRW($C$1,$C$2,$C$3,$C$4,$C$6,$C$5,$C$7,AU$1,AU$2,A73)</f>
        <v>0</v>
      </c>
    </row>
    <row r="74" spans="1:47" ht="15.75" hidden="1" customHeight="1" outlineLevel="2">
      <c r="A74" s="1" t="s">
        <v>166</v>
      </c>
      <c r="C74" s="141"/>
      <c r="E74" s="9" t="str">
        <f ca="1">_xll.DBRW(Server&amp;"}ElementAttributes_Indicator",A74,"code_English")</f>
        <v>PL1151_MF_21 - Impact of change in revaluation rate on provisions for losses on LT contracts - related to heavy maintenance - Reversal</v>
      </c>
      <c r="F74" s="32">
        <f ca="1">_xll.DBRW($C$1,$C$2,$C$3,$C$4,$C$6,$C$5,$C$7,F$1,F$2,A74)</f>
        <v>0</v>
      </c>
      <c r="G74" s="32">
        <f ca="1">_xll.DBRW($C$1,$C$2,$C$3,$C$4,$C$6,$C$5,$C$7,G$1,G$2,A74)</f>
        <v>0</v>
      </c>
      <c r="H74" s="32">
        <f ca="1">_xll.DBRW($C$1,$C$2,$C$3,$C$4,$C$6,$C$5,$C$7,H$1,H$2,A74)</f>
        <v>0</v>
      </c>
      <c r="I74" s="32">
        <f ca="1">_xll.DBRW($C$1,$C$2,$C$3,$C$4,$C$6,$C$5,$C$7,I$1,I$2,A74)</f>
        <v>0</v>
      </c>
      <c r="J74" s="32">
        <f ca="1">_xll.DBRW($C$1,$C$2,$C$3,$C$4,$C$6,$C$5,$C$7,J$1,J$2,A74)</f>
        <v>0</v>
      </c>
      <c r="K74" s="32">
        <f ca="1">_xll.DBRW($C$1,$C$2,$C$3,$C$4,$C$6,$C$5,$C$7,K$1,K$2,A74)</f>
        <v>0</v>
      </c>
      <c r="L74" s="32">
        <f ca="1">_xll.DBRW($C$1,$C$2,$C$3,$C$4,$C$6,$C$5,$C$7,L$1,L$2,A74)</f>
        <v>0</v>
      </c>
      <c r="M74" s="32">
        <f ca="1">_xll.DBRW($C$1,$C$2,$C$3,$C$4,$C$6,$C$5,$C$7,M$1,M$2,A74)</f>
        <v>0</v>
      </c>
      <c r="N74" s="32">
        <f ca="1">_xll.DBRW($C$1,$C$2,$C$3,$C$4,$C$6,$C$5,$C$7,N$1,N$2,A74)</f>
        <v>0</v>
      </c>
      <c r="O74" s="32">
        <f ca="1">_xll.DBRW($C$1,$C$2,$C$3,$C$4,$C$6,$C$5,$C$7,O$1,O$2,A74)</f>
        <v>0</v>
      </c>
      <c r="P74" s="32">
        <f ca="1">_xll.DBRW($C$1,$C$2,$C$3,$C$4,$C$6,$C$5,$C$7,P$1,P$2,A74)</f>
        <v>0</v>
      </c>
      <c r="Q74" s="32">
        <f ca="1">_xll.DBRW($C$1,$C$2,$C$3,$C$4,$C$6,$C$5,$C$7,Q$1,Q$2,A74)</f>
        <v>0</v>
      </c>
      <c r="R74" s="32">
        <f ca="1">_xll.DBRW($C$1,$C$2,$C$3,$C$4,$C$6,$C$5,$C$7,R$1,R$2,A74)</f>
        <v>0</v>
      </c>
      <c r="S74" s="32">
        <f ca="1">_xll.DBRW($C$1,$C$2,$C$3,$C$4,$C$6,$C$5,$C$7,S$1,S$2,A74)</f>
        <v>0</v>
      </c>
      <c r="T74" s="32">
        <f ca="1">_xll.DBRW($C$1,$C$2,$C$3,$C$4,$C$6,$C$5,$C$7,T$1,T$2,A74)</f>
        <v>0</v>
      </c>
      <c r="U74" s="32">
        <f ca="1">_xll.DBRW($C$1,$C$2,$C$3,$C$4,$C$6,$C$5,$C$7,U$1,U$2,A74)</f>
        <v>0</v>
      </c>
      <c r="V74" s="32">
        <f ca="1">_xll.DBRW($C$1,$C$2,$C$3,$C$4,$C$6,$C$5,$C$7,V$1,V$2,A74)</f>
        <v>0</v>
      </c>
      <c r="W74" s="32">
        <f ca="1">_xll.DBRW($C$1,$C$2,$C$3,$C$4,$C$6,$C$5,$C$7,W$1,W$2,A74)</f>
        <v>0</v>
      </c>
      <c r="X74" s="32">
        <f ca="1">_xll.DBRW($C$1,$C$2,$C$3,$C$4,$C$6,$C$5,$C$7,X$1,X$2,A74)</f>
        <v>0</v>
      </c>
      <c r="Y74" s="32">
        <f ca="1">_xll.DBRW($C$1,$C$2,$C$3,$C$4,$C$6,$C$5,$C$7,Y$1,Y$2,A74)</f>
        <v>0</v>
      </c>
      <c r="Z74" s="32">
        <f ca="1">_xll.DBRW($C$1,$C$2,$C$3,$C$4,$C$6,$C$5,$C$7,Z$1,Z$2,A74)</f>
        <v>0</v>
      </c>
      <c r="AA74" s="32">
        <f ca="1">_xll.DBRW($C$1,$C$2,$C$3,$C$4,$C$6,$C$5,$C$7,AA$1,AA$2,A74)</f>
        <v>0</v>
      </c>
      <c r="AB74" s="32">
        <f ca="1">_xll.DBRW($C$1,$C$2,$C$3,$C$4,$C$6,$C$5,$C$7,AB$1,AB$2,A74)</f>
        <v>0</v>
      </c>
      <c r="AC74" s="32">
        <f ca="1">_xll.DBRW($C$1,$C$2,$C$3,$C$4,$C$6,$C$5,$C$7,AC$1,AC$2,A74)</f>
        <v>0</v>
      </c>
      <c r="AD74" s="32">
        <f ca="1">_xll.DBRW($C$1,$C$2,$C$3,$C$4,$C$6,$C$5,$C$7,AD$1,AD$2,A74)</f>
        <v>0</v>
      </c>
      <c r="AE74" s="32">
        <f ca="1">_xll.DBRW($C$1,$C$2,$C$3,$C$4,$C$6,$C$5,$C$7,AE$1,AE$2,A74)</f>
        <v>0</v>
      </c>
      <c r="AF74" s="32">
        <f ca="1">_xll.DBRW($C$1,$C$2,$C$3,$C$4,$C$6,$C$5,$C$7,AF$1,AF$2,A74)</f>
        <v>0</v>
      </c>
      <c r="AG74" s="32">
        <f ca="1">_xll.DBRW($C$1,$C$2,$C$3,$C$4,$C$6,$C$5,$C$7,AG$1,AG$2,A74)</f>
        <v>0</v>
      </c>
      <c r="AH74" s="32">
        <f ca="1">_xll.DBRW($C$1,$C$2,$C$3,$C$4,$C$6,$C$5,$C$7,AH$1,AH$2,A74)</f>
        <v>0</v>
      </c>
      <c r="AI74" s="32">
        <f ca="1">_xll.DBRW($C$1,$C$2,$C$3,$C$4,$C$6,$C$5,$C$7,AI$1,AI$2,A74)</f>
        <v>0</v>
      </c>
      <c r="AJ74" s="32">
        <f ca="1">_xll.DBRW($C$1,$C$2,$C$3,$C$4,$C$6,$C$5,$C$7,AJ$1,AJ$2,A74)</f>
        <v>0</v>
      </c>
      <c r="AK74" s="32">
        <f ca="1">_xll.DBRW($C$1,$C$2,$C$3,$C$4,$C$6,$C$5,$C$7,AK$1,AK$2,A74)</f>
        <v>0</v>
      </c>
      <c r="AL74" s="32">
        <f ca="1">_xll.DBRW($C$1,$C$2,$C$3,$C$4,$C$6,$C$5,$C$7,AL$1,AL$2,A74)</f>
        <v>0</v>
      </c>
      <c r="AM74" s="32">
        <f ca="1">_xll.DBRW($C$1,$C$2,$C$3,$C$4,$C$6,$C$5,$C$7,AM$1,AM$2,A74)</f>
        <v>0</v>
      </c>
      <c r="AN74" s="32">
        <f ca="1">_xll.DBRW($C$1,$C$2,$C$3,$C$4,$C$6,$C$5,$C$7,AN$1,AN$2,A74)</f>
        <v>0</v>
      </c>
      <c r="AO74" s="32">
        <f ca="1">_xll.DBRW($C$1,$C$2,$C$3,$C$4,$C$6,$C$5,$C$7,AO$1,AO$2,A74)</f>
        <v>0</v>
      </c>
      <c r="AP74" s="32">
        <f ca="1">_xll.DBRW($C$1,$C$2,$C$3,$C$4,$C$6,$C$5,$C$7,AP$1,AP$2,A74)</f>
        <v>0</v>
      </c>
      <c r="AQ74" s="32">
        <f ca="1">_xll.DBRW($C$1,$C$2,$C$3,$C$4,$C$6,$C$5,$C$7,AQ$1,AQ$2,A74)</f>
        <v>0</v>
      </c>
      <c r="AR74" s="32">
        <f ca="1">_xll.DBRW($C$1,$C$2,$C$3,$C$4,$C$6,$C$5,$C$7,AR$1,AR$2,A74)</f>
        <v>0</v>
      </c>
      <c r="AS74" s="32">
        <f ca="1">_xll.DBRW($C$1,$C$2,$C$3,$C$4,$C$6,$C$5,$C$7,AS$1,AS$2,A74)</f>
        <v>0</v>
      </c>
      <c r="AT74" s="32">
        <f ca="1">_xll.DBRW($C$1,$C$2,$C$3,$C$4,$C$6,$C$5,$C$7,AT$1,AT$2,A74)</f>
        <v>0</v>
      </c>
      <c r="AU74" s="32">
        <f ca="1">_xll.DBRW($C$1,$C$2,$C$3,$C$4,$C$6,$C$5,$C$7,AU$1,AU$2,A74)</f>
        <v>0</v>
      </c>
    </row>
    <row r="75" spans="1:47" ht="15.75" hidden="1" customHeight="1" outlineLevel="2">
      <c r="A75" s="1" t="s">
        <v>167</v>
      </c>
      <c r="C75" s="141"/>
      <c r="E75" s="9" t="str">
        <f ca="1">_xll.DBRW(Server&amp;"}ElementAttributes_Indicator",A75,"code_English")</f>
        <v>PL1155_MF_99 - Reinvoicing - Others (MF)</v>
      </c>
      <c r="F75" s="32">
        <f ca="1">_xll.DBRW($C$1,$C$2,$C$3,$C$4,$C$6,$C$5,$C$7,F$1,F$2,A75)</f>
        <v>0</v>
      </c>
      <c r="G75" s="32">
        <f ca="1">_xll.DBRW($C$1,$C$2,$C$3,$C$4,$C$6,$C$5,$C$7,G$1,G$2,A75)</f>
        <v>0</v>
      </c>
      <c r="H75" s="32">
        <f ca="1">_xll.DBRW($C$1,$C$2,$C$3,$C$4,$C$6,$C$5,$C$7,H$1,H$2,A75)</f>
        <v>0</v>
      </c>
      <c r="I75" s="32">
        <f ca="1">_xll.DBRW($C$1,$C$2,$C$3,$C$4,$C$6,$C$5,$C$7,I$1,I$2,A75)</f>
        <v>0</v>
      </c>
      <c r="J75" s="32">
        <f ca="1">_xll.DBRW($C$1,$C$2,$C$3,$C$4,$C$6,$C$5,$C$7,J$1,J$2,A75)</f>
        <v>0</v>
      </c>
      <c r="K75" s="32">
        <f ca="1">_xll.DBRW($C$1,$C$2,$C$3,$C$4,$C$6,$C$5,$C$7,K$1,K$2,A75)</f>
        <v>0</v>
      </c>
      <c r="L75" s="32">
        <f ca="1">_xll.DBRW($C$1,$C$2,$C$3,$C$4,$C$6,$C$5,$C$7,L$1,L$2,A75)</f>
        <v>0</v>
      </c>
      <c r="M75" s="32">
        <f ca="1">_xll.DBRW($C$1,$C$2,$C$3,$C$4,$C$6,$C$5,$C$7,M$1,M$2,A75)</f>
        <v>0</v>
      </c>
      <c r="N75" s="32">
        <f ca="1">_xll.DBRW($C$1,$C$2,$C$3,$C$4,$C$6,$C$5,$C$7,N$1,N$2,A75)</f>
        <v>0</v>
      </c>
      <c r="O75" s="32">
        <f ca="1">_xll.DBRW($C$1,$C$2,$C$3,$C$4,$C$6,$C$5,$C$7,O$1,O$2,A75)</f>
        <v>0</v>
      </c>
      <c r="P75" s="32">
        <f ca="1">_xll.DBRW($C$1,$C$2,$C$3,$C$4,$C$6,$C$5,$C$7,P$1,P$2,A75)</f>
        <v>0</v>
      </c>
      <c r="Q75" s="32">
        <f ca="1">_xll.DBRW($C$1,$C$2,$C$3,$C$4,$C$6,$C$5,$C$7,Q$1,Q$2,A75)</f>
        <v>0</v>
      </c>
      <c r="R75" s="32">
        <f ca="1">_xll.DBRW($C$1,$C$2,$C$3,$C$4,$C$6,$C$5,$C$7,R$1,R$2,A75)</f>
        <v>0</v>
      </c>
      <c r="S75" s="32">
        <f ca="1">_xll.DBRW($C$1,$C$2,$C$3,$C$4,$C$6,$C$5,$C$7,S$1,S$2,A75)</f>
        <v>0</v>
      </c>
      <c r="T75" s="32">
        <f ca="1">_xll.DBRW($C$1,$C$2,$C$3,$C$4,$C$6,$C$5,$C$7,T$1,T$2,A75)</f>
        <v>0</v>
      </c>
      <c r="U75" s="32">
        <f ca="1">_xll.DBRW($C$1,$C$2,$C$3,$C$4,$C$6,$C$5,$C$7,U$1,U$2,A75)</f>
        <v>0</v>
      </c>
      <c r="V75" s="32">
        <f ca="1">_xll.DBRW($C$1,$C$2,$C$3,$C$4,$C$6,$C$5,$C$7,V$1,V$2,A75)</f>
        <v>0</v>
      </c>
      <c r="W75" s="32">
        <f ca="1">_xll.DBRW($C$1,$C$2,$C$3,$C$4,$C$6,$C$5,$C$7,W$1,W$2,A75)</f>
        <v>0</v>
      </c>
      <c r="X75" s="32">
        <f ca="1">_xll.DBRW($C$1,$C$2,$C$3,$C$4,$C$6,$C$5,$C$7,X$1,X$2,A75)</f>
        <v>0</v>
      </c>
      <c r="Y75" s="32">
        <f ca="1">_xll.DBRW($C$1,$C$2,$C$3,$C$4,$C$6,$C$5,$C$7,Y$1,Y$2,A75)</f>
        <v>0</v>
      </c>
      <c r="Z75" s="32">
        <f ca="1">_xll.DBRW($C$1,$C$2,$C$3,$C$4,$C$6,$C$5,$C$7,Z$1,Z$2,A75)</f>
        <v>0</v>
      </c>
      <c r="AA75" s="32">
        <f ca="1">_xll.DBRW($C$1,$C$2,$C$3,$C$4,$C$6,$C$5,$C$7,AA$1,AA$2,A75)</f>
        <v>0</v>
      </c>
      <c r="AB75" s="32">
        <f ca="1">_xll.DBRW($C$1,$C$2,$C$3,$C$4,$C$6,$C$5,$C$7,AB$1,AB$2,A75)</f>
        <v>0</v>
      </c>
      <c r="AC75" s="32">
        <f ca="1">_xll.DBRW($C$1,$C$2,$C$3,$C$4,$C$6,$C$5,$C$7,AC$1,AC$2,A75)</f>
        <v>0</v>
      </c>
      <c r="AD75" s="32">
        <f ca="1">_xll.DBRW($C$1,$C$2,$C$3,$C$4,$C$6,$C$5,$C$7,AD$1,AD$2,A75)</f>
        <v>0</v>
      </c>
      <c r="AE75" s="32">
        <f ca="1">_xll.DBRW($C$1,$C$2,$C$3,$C$4,$C$6,$C$5,$C$7,AE$1,AE$2,A75)</f>
        <v>0</v>
      </c>
      <c r="AF75" s="32">
        <f ca="1">_xll.DBRW($C$1,$C$2,$C$3,$C$4,$C$6,$C$5,$C$7,AF$1,AF$2,A75)</f>
        <v>0</v>
      </c>
      <c r="AG75" s="32">
        <f ca="1">_xll.DBRW($C$1,$C$2,$C$3,$C$4,$C$6,$C$5,$C$7,AG$1,AG$2,A75)</f>
        <v>0</v>
      </c>
      <c r="AH75" s="32">
        <f ca="1">_xll.DBRW($C$1,$C$2,$C$3,$C$4,$C$6,$C$5,$C$7,AH$1,AH$2,A75)</f>
        <v>0</v>
      </c>
      <c r="AI75" s="32">
        <f ca="1">_xll.DBRW($C$1,$C$2,$C$3,$C$4,$C$6,$C$5,$C$7,AI$1,AI$2,A75)</f>
        <v>0</v>
      </c>
      <c r="AJ75" s="32">
        <f ca="1">_xll.DBRW($C$1,$C$2,$C$3,$C$4,$C$6,$C$5,$C$7,AJ$1,AJ$2,A75)</f>
        <v>0</v>
      </c>
      <c r="AK75" s="32">
        <f ca="1">_xll.DBRW($C$1,$C$2,$C$3,$C$4,$C$6,$C$5,$C$7,AK$1,AK$2,A75)</f>
        <v>0</v>
      </c>
      <c r="AL75" s="32">
        <f ca="1">_xll.DBRW($C$1,$C$2,$C$3,$C$4,$C$6,$C$5,$C$7,AL$1,AL$2,A75)</f>
        <v>0</v>
      </c>
      <c r="AM75" s="32">
        <f ca="1">_xll.DBRW($C$1,$C$2,$C$3,$C$4,$C$6,$C$5,$C$7,AM$1,AM$2,A75)</f>
        <v>0</v>
      </c>
      <c r="AN75" s="32">
        <f ca="1">_xll.DBRW($C$1,$C$2,$C$3,$C$4,$C$6,$C$5,$C$7,AN$1,AN$2,A75)</f>
        <v>0</v>
      </c>
      <c r="AO75" s="32">
        <f ca="1">_xll.DBRW($C$1,$C$2,$C$3,$C$4,$C$6,$C$5,$C$7,AO$1,AO$2,A75)</f>
        <v>0</v>
      </c>
      <c r="AP75" s="32">
        <f ca="1">_xll.DBRW($C$1,$C$2,$C$3,$C$4,$C$6,$C$5,$C$7,AP$1,AP$2,A75)</f>
        <v>0</v>
      </c>
      <c r="AQ75" s="32">
        <f ca="1">_xll.DBRW($C$1,$C$2,$C$3,$C$4,$C$6,$C$5,$C$7,AQ$1,AQ$2,A75)</f>
        <v>0</v>
      </c>
      <c r="AR75" s="32">
        <f ca="1">_xll.DBRW($C$1,$C$2,$C$3,$C$4,$C$6,$C$5,$C$7,AR$1,AR$2,A75)</f>
        <v>0</v>
      </c>
      <c r="AS75" s="32">
        <f ca="1">_xll.DBRW($C$1,$C$2,$C$3,$C$4,$C$6,$C$5,$C$7,AS$1,AS$2,A75)</f>
        <v>0</v>
      </c>
      <c r="AT75" s="32">
        <f ca="1">_xll.DBRW($C$1,$C$2,$C$3,$C$4,$C$6,$C$5,$C$7,AT$1,AT$2,A75)</f>
        <v>0</v>
      </c>
      <c r="AU75" s="32">
        <f ca="1">_xll.DBRW($C$1,$C$2,$C$3,$C$4,$C$6,$C$5,$C$7,AU$1,AU$2,A75)</f>
        <v>0</v>
      </c>
    </row>
    <row r="76" spans="1:47" ht="15.75" hidden="1" customHeight="1" outlineLevel="2">
      <c r="A76" s="1" t="s">
        <v>168</v>
      </c>
      <c r="C76" s="141"/>
      <c r="E76" s="9" t="str">
        <f ca="1">_xll.DBRW(Server&amp;"}ElementAttributes_Indicator",A76,"code_English")</f>
        <v>PL1160_MF_15 - Gains/losses on disposal of tangible &amp; intangible fixed assets (MF)</v>
      </c>
      <c r="F76" s="32">
        <f ca="1">_xll.DBRW($C$1,$C$2,$C$3,$C$4,$C$6,$C$5,$C$7,F$1,F$2,A76)</f>
        <v>0</v>
      </c>
      <c r="G76" s="32">
        <f ca="1">_xll.DBRW($C$1,$C$2,$C$3,$C$4,$C$6,$C$5,$C$7,G$1,G$2,A76)</f>
        <v>0</v>
      </c>
      <c r="H76" s="32">
        <f ca="1">_xll.DBRW($C$1,$C$2,$C$3,$C$4,$C$6,$C$5,$C$7,H$1,H$2,A76)</f>
        <v>0</v>
      </c>
      <c r="I76" s="32">
        <f ca="1">_xll.DBRW($C$1,$C$2,$C$3,$C$4,$C$6,$C$5,$C$7,I$1,I$2,A76)</f>
        <v>0</v>
      </c>
      <c r="J76" s="32">
        <f ca="1">_xll.DBRW($C$1,$C$2,$C$3,$C$4,$C$6,$C$5,$C$7,J$1,J$2,A76)</f>
        <v>0</v>
      </c>
      <c r="K76" s="32">
        <f ca="1">_xll.DBRW($C$1,$C$2,$C$3,$C$4,$C$6,$C$5,$C$7,K$1,K$2,A76)</f>
        <v>0</v>
      </c>
      <c r="L76" s="32">
        <f ca="1">_xll.DBRW($C$1,$C$2,$C$3,$C$4,$C$6,$C$5,$C$7,L$1,L$2,A76)</f>
        <v>0</v>
      </c>
      <c r="M76" s="32">
        <f ca="1">_xll.DBRW($C$1,$C$2,$C$3,$C$4,$C$6,$C$5,$C$7,M$1,M$2,A76)</f>
        <v>0</v>
      </c>
      <c r="N76" s="32">
        <f ca="1">_xll.DBRW($C$1,$C$2,$C$3,$C$4,$C$6,$C$5,$C$7,N$1,N$2,A76)</f>
        <v>0</v>
      </c>
      <c r="O76" s="32">
        <f ca="1">_xll.DBRW($C$1,$C$2,$C$3,$C$4,$C$6,$C$5,$C$7,O$1,O$2,A76)</f>
        <v>0</v>
      </c>
      <c r="P76" s="32">
        <f ca="1">_xll.DBRW($C$1,$C$2,$C$3,$C$4,$C$6,$C$5,$C$7,P$1,P$2,A76)</f>
        <v>0</v>
      </c>
      <c r="Q76" s="32">
        <f ca="1">_xll.DBRW($C$1,$C$2,$C$3,$C$4,$C$6,$C$5,$C$7,Q$1,Q$2,A76)</f>
        <v>0</v>
      </c>
      <c r="R76" s="32">
        <f ca="1">_xll.DBRW($C$1,$C$2,$C$3,$C$4,$C$6,$C$5,$C$7,R$1,R$2,A76)</f>
        <v>0</v>
      </c>
      <c r="S76" s="32">
        <f ca="1">_xll.DBRW($C$1,$C$2,$C$3,$C$4,$C$6,$C$5,$C$7,S$1,S$2,A76)</f>
        <v>0</v>
      </c>
      <c r="T76" s="32">
        <f ca="1">_xll.DBRW($C$1,$C$2,$C$3,$C$4,$C$6,$C$5,$C$7,T$1,T$2,A76)</f>
        <v>0</v>
      </c>
      <c r="U76" s="32">
        <f ca="1">_xll.DBRW($C$1,$C$2,$C$3,$C$4,$C$6,$C$5,$C$7,U$1,U$2,A76)</f>
        <v>0</v>
      </c>
      <c r="V76" s="32">
        <f ca="1">_xll.DBRW($C$1,$C$2,$C$3,$C$4,$C$6,$C$5,$C$7,V$1,V$2,A76)</f>
        <v>0</v>
      </c>
      <c r="W76" s="32">
        <f ca="1">_xll.DBRW($C$1,$C$2,$C$3,$C$4,$C$6,$C$5,$C$7,W$1,W$2,A76)</f>
        <v>0</v>
      </c>
      <c r="X76" s="32">
        <f ca="1">_xll.DBRW($C$1,$C$2,$C$3,$C$4,$C$6,$C$5,$C$7,X$1,X$2,A76)</f>
        <v>0</v>
      </c>
      <c r="Y76" s="32">
        <f ca="1">_xll.DBRW($C$1,$C$2,$C$3,$C$4,$C$6,$C$5,$C$7,Y$1,Y$2,A76)</f>
        <v>0</v>
      </c>
      <c r="Z76" s="32">
        <f ca="1">_xll.DBRW($C$1,$C$2,$C$3,$C$4,$C$6,$C$5,$C$7,Z$1,Z$2,A76)</f>
        <v>0</v>
      </c>
      <c r="AA76" s="32">
        <f ca="1">_xll.DBRW($C$1,$C$2,$C$3,$C$4,$C$6,$C$5,$C$7,AA$1,AA$2,A76)</f>
        <v>0</v>
      </c>
      <c r="AB76" s="32">
        <f ca="1">_xll.DBRW($C$1,$C$2,$C$3,$C$4,$C$6,$C$5,$C$7,AB$1,AB$2,A76)</f>
        <v>0</v>
      </c>
      <c r="AC76" s="32">
        <f ca="1">_xll.DBRW($C$1,$C$2,$C$3,$C$4,$C$6,$C$5,$C$7,AC$1,AC$2,A76)</f>
        <v>0</v>
      </c>
      <c r="AD76" s="32">
        <f ca="1">_xll.DBRW($C$1,$C$2,$C$3,$C$4,$C$6,$C$5,$C$7,AD$1,AD$2,A76)</f>
        <v>0</v>
      </c>
      <c r="AE76" s="32">
        <f ca="1">_xll.DBRW($C$1,$C$2,$C$3,$C$4,$C$6,$C$5,$C$7,AE$1,AE$2,A76)</f>
        <v>0</v>
      </c>
      <c r="AF76" s="32">
        <f ca="1">_xll.DBRW($C$1,$C$2,$C$3,$C$4,$C$6,$C$5,$C$7,AF$1,AF$2,A76)</f>
        <v>0</v>
      </c>
      <c r="AG76" s="32">
        <f ca="1">_xll.DBRW($C$1,$C$2,$C$3,$C$4,$C$6,$C$5,$C$7,AG$1,AG$2,A76)</f>
        <v>0</v>
      </c>
      <c r="AH76" s="32">
        <f ca="1">_xll.DBRW($C$1,$C$2,$C$3,$C$4,$C$6,$C$5,$C$7,AH$1,AH$2,A76)</f>
        <v>0</v>
      </c>
      <c r="AI76" s="32">
        <f ca="1">_xll.DBRW($C$1,$C$2,$C$3,$C$4,$C$6,$C$5,$C$7,AI$1,AI$2,A76)</f>
        <v>0</v>
      </c>
      <c r="AJ76" s="32">
        <f ca="1">_xll.DBRW($C$1,$C$2,$C$3,$C$4,$C$6,$C$5,$C$7,AJ$1,AJ$2,A76)</f>
        <v>0</v>
      </c>
      <c r="AK76" s="32">
        <f ca="1">_xll.DBRW($C$1,$C$2,$C$3,$C$4,$C$6,$C$5,$C$7,AK$1,AK$2,A76)</f>
        <v>0</v>
      </c>
      <c r="AL76" s="32">
        <f ca="1">_xll.DBRW($C$1,$C$2,$C$3,$C$4,$C$6,$C$5,$C$7,AL$1,AL$2,A76)</f>
        <v>0</v>
      </c>
      <c r="AM76" s="32">
        <f ca="1">_xll.DBRW($C$1,$C$2,$C$3,$C$4,$C$6,$C$5,$C$7,AM$1,AM$2,A76)</f>
        <v>0</v>
      </c>
      <c r="AN76" s="32">
        <f ca="1">_xll.DBRW($C$1,$C$2,$C$3,$C$4,$C$6,$C$5,$C$7,AN$1,AN$2,A76)</f>
        <v>0</v>
      </c>
      <c r="AO76" s="32">
        <f ca="1">_xll.DBRW($C$1,$C$2,$C$3,$C$4,$C$6,$C$5,$C$7,AO$1,AO$2,A76)</f>
        <v>0</v>
      </c>
      <c r="AP76" s="32">
        <f ca="1">_xll.DBRW($C$1,$C$2,$C$3,$C$4,$C$6,$C$5,$C$7,AP$1,AP$2,A76)</f>
        <v>0</v>
      </c>
      <c r="AQ76" s="32">
        <f ca="1">_xll.DBRW($C$1,$C$2,$C$3,$C$4,$C$6,$C$5,$C$7,AQ$1,AQ$2,A76)</f>
        <v>0</v>
      </c>
      <c r="AR76" s="32">
        <f ca="1">_xll.DBRW($C$1,$C$2,$C$3,$C$4,$C$6,$C$5,$C$7,AR$1,AR$2,A76)</f>
        <v>0</v>
      </c>
      <c r="AS76" s="32">
        <f ca="1">_xll.DBRW($C$1,$C$2,$C$3,$C$4,$C$6,$C$5,$C$7,AS$1,AS$2,A76)</f>
        <v>0</v>
      </c>
      <c r="AT76" s="32">
        <f ca="1">_xll.DBRW($C$1,$C$2,$C$3,$C$4,$C$6,$C$5,$C$7,AT$1,AT$2,A76)</f>
        <v>0</v>
      </c>
      <c r="AU76" s="32">
        <f ca="1">_xll.DBRW($C$1,$C$2,$C$3,$C$4,$C$6,$C$5,$C$7,AU$1,AU$2,A76)</f>
        <v>0</v>
      </c>
    </row>
    <row r="77" spans="1:47" ht="15.75" hidden="1" customHeight="1" outlineLevel="2">
      <c r="A77" s="1" t="s">
        <v>169</v>
      </c>
      <c r="C77" s="141"/>
      <c r="E77" s="9" t="str">
        <f ca="1">_xll.DBRW(Server&amp;"}ElementAttributes_Indicator",A77,"code_English")</f>
        <v>PL1162_MF - COS - Gains/losses on disposal of right-of-use (MF)</v>
      </c>
      <c r="F77" s="32">
        <f ca="1">_xll.DBRW($C$1,$C$2,$C$3,$C$4,$C$6,$C$5,$C$7,F$1,F$2,A77)</f>
        <v>0</v>
      </c>
      <c r="G77" s="32">
        <f ca="1">_xll.DBRW($C$1,$C$2,$C$3,$C$4,$C$6,$C$5,$C$7,G$1,G$2,A77)</f>
        <v>0</v>
      </c>
      <c r="H77" s="32">
        <f ca="1">_xll.DBRW($C$1,$C$2,$C$3,$C$4,$C$6,$C$5,$C$7,H$1,H$2,A77)</f>
        <v>0</v>
      </c>
      <c r="I77" s="32">
        <f ca="1">_xll.DBRW($C$1,$C$2,$C$3,$C$4,$C$6,$C$5,$C$7,I$1,I$2,A77)</f>
        <v>0</v>
      </c>
      <c r="J77" s="32">
        <f ca="1">_xll.DBRW($C$1,$C$2,$C$3,$C$4,$C$6,$C$5,$C$7,J$1,J$2,A77)</f>
        <v>0</v>
      </c>
      <c r="K77" s="32">
        <f ca="1">_xll.DBRW($C$1,$C$2,$C$3,$C$4,$C$6,$C$5,$C$7,K$1,K$2,A77)</f>
        <v>0</v>
      </c>
      <c r="L77" s="32">
        <f ca="1">_xll.DBRW($C$1,$C$2,$C$3,$C$4,$C$6,$C$5,$C$7,L$1,L$2,A77)</f>
        <v>0</v>
      </c>
      <c r="M77" s="32">
        <f ca="1">_xll.DBRW($C$1,$C$2,$C$3,$C$4,$C$6,$C$5,$C$7,M$1,M$2,A77)</f>
        <v>0</v>
      </c>
      <c r="N77" s="32">
        <f ca="1">_xll.DBRW($C$1,$C$2,$C$3,$C$4,$C$6,$C$5,$C$7,N$1,N$2,A77)</f>
        <v>0</v>
      </c>
      <c r="O77" s="32">
        <f ca="1">_xll.DBRW($C$1,$C$2,$C$3,$C$4,$C$6,$C$5,$C$7,O$1,O$2,A77)</f>
        <v>0</v>
      </c>
      <c r="P77" s="32">
        <f ca="1">_xll.DBRW($C$1,$C$2,$C$3,$C$4,$C$6,$C$5,$C$7,P$1,P$2,A77)</f>
        <v>0</v>
      </c>
      <c r="Q77" s="32">
        <f ca="1">_xll.DBRW($C$1,$C$2,$C$3,$C$4,$C$6,$C$5,$C$7,Q$1,Q$2,A77)</f>
        <v>0</v>
      </c>
      <c r="R77" s="32">
        <f ca="1">_xll.DBRW($C$1,$C$2,$C$3,$C$4,$C$6,$C$5,$C$7,R$1,R$2,A77)</f>
        <v>0</v>
      </c>
      <c r="S77" s="32">
        <f ca="1">_xll.DBRW($C$1,$C$2,$C$3,$C$4,$C$6,$C$5,$C$7,S$1,S$2,A77)</f>
        <v>0</v>
      </c>
      <c r="T77" s="32">
        <f ca="1">_xll.DBRW($C$1,$C$2,$C$3,$C$4,$C$6,$C$5,$C$7,T$1,T$2,A77)</f>
        <v>0</v>
      </c>
      <c r="U77" s="32">
        <f ca="1">_xll.DBRW($C$1,$C$2,$C$3,$C$4,$C$6,$C$5,$C$7,U$1,U$2,A77)</f>
        <v>0</v>
      </c>
      <c r="V77" s="32">
        <f ca="1">_xll.DBRW($C$1,$C$2,$C$3,$C$4,$C$6,$C$5,$C$7,V$1,V$2,A77)</f>
        <v>0</v>
      </c>
      <c r="W77" s="32">
        <f ca="1">_xll.DBRW($C$1,$C$2,$C$3,$C$4,$C$6,$C$5,$C$7,W$1,W$2,A77)</f>
        <v>0</v>
      </c>
      <c r="X77" s="32">
        <f ca="1">_xll.DBRW($C$1,$C$2,$C$3,$C$4,$C$6,$C$5,$C$7,X$1,X$2,A77)</f>
        <v>0</v>
      </c>
      <c r="Y77" s="32">
        <f ca="1">_xll.DBRW($C$1,$C$2,$C$3,$C$4,$C$6,$C$5,$C$7,Y$1,Y$2,A77)</f>
        <v>0</v>
      </c>
      <c r="Z77" s="32">
        <f ca="1">_xll.DBRW($C$1,$C$2,$C$3,$C$4,$C$6,$C$5,$C$7,Z$1,Z$2,A77)</f>
        <v>0</v>
      </c>
      <c r="AA77" s="32">
        <f ca="1">_xll.DBRW($C$1,$C$2,$C$3,$C$4,$C$6,$C$5,$C$7,AA$1,AA$2,A77)</f>
        <v>0</v>
      </c>
      <c r="AB77" s="32">
        <f ca="1">_xll.DBRW($C$1,$C$2,$C$3,$C$4,$C$6,$C$5,$C$7,AB$1,AB$2,A77)</f>
        <v>0</v>
      </c>
      <c r="AC77" s="32">
        <f ca="1">_xll.DBRW($C$1,$C$2,$C$3,$C$4,$C$6,$C$5,$C$7,AC$1,AC$2,A77)</f>
        <v>0</v>
      </c>
      <c r="AD77" s="32">
        <f ca="1">_xll.DBRW($C$1,$C$2,$C$3,$C$4,$C$6,$C$5,$C$7,AD$1,AD$2,A77)</f>
        <v>0</v>
      </c>
      <c r="AE77" s="32">
        <f ca="1">_xll.DBRW($C$1,$C$2,$C$3,$C$4,$C$6,$C$5,$C$7,AE$1,AE$2,A77)</f>
        <v>0</v>
      </c>
      <c r="AF77" s="32">
        <f ca="1">_xll.DBRW($C$1,$C$2,$C$3,$C$4,$C$6,$C$5,$C$7,AF$1,AF$2,A77)</f>
        <v>0</v>
      </c>
      <c r="AG77" s="32">
        <f ca="1">_xll.DBRW($C$1,$C$2,$C$3,$C$4,$C$6,$C$5,$C$7,AG$1,AG$2,A77)</f>
        <v>0</v>
      </c>
      <c r="AH77" s="32">
        <f ca="1">_xll.DBRW($C$1,$C$2,$C$3,$C$4,$C$6,$C$5,$C$7,AH$1,AH$2,A77)</f>
        <v>0</v>
      </c>
      <c r="AI77" s="32">
        <f ca="1">_xll.DBRW($C$1,$C$2,$C$3,$C$4,$C$6,$C$5,$C$7,AI$1,AI$2,A77)</f>
        <v>0</v>
      </c>
      <c r="AJ77" s="32">
        <f ca="1">_xll.DBRW($C$1,$C$2,$C$3,$C$4,$C$6,$C$5,$C$7,AJ$1,AJ$2,A77)</f>
        <v>0</v>
      </c>
      <c r="AK77" s="32">
        <f ca="1">_xll.DBRW($C$1,$C$2,$C$3,$C$4,$C$6,$C$5,$C$7,AK$1,AK$2,A77)</f>
        <v>0</v>
      </c>
      <c r="AL77" s="32">
        <f ca="1">_xll.DBRW($C$1,$C$2,$C$3,$C$4,$C$6,$C$5,$C$7,AL$1,AL$2,A77)</f>
        <v>0</v>
      </c>
      <c r="AM77" s="32">
        <f ca="1">_xll.DBRW($C$1,$C$2,$C$3,$C$4,$C$6,$C$5,$C$7,AM$1,AM$2,A77)</f>
        <v>0</v>
      </c>
      <c r="AN77" s="32">
        <f ca="1">_xll.DBRW($C$1,$C$2,$C$3,$C$4,$C$6,$C$5,$C$7,AN$1,AN$2,A77)</f>
        <v>0</v>
      </c>
      <c r="AO77" s="32">
        <f ca="1">_xll.DBRW($C$1,$C$2,$C$3,$C$4,$C$6,$C$5,$C$7,AO$1,AO$2,A77)</f>
        <v>0</v>
      </c>
      <c r="AP77" s="32">
        <f ca="1">_xll.DBRW($C$1,$C$2,$C$3,$C$4,$C$6,$C$5,$C$7,AP$1,AP$2,A77)</f>
        <v>0</v>
      </c>
      <c r="AQ77" s="32">
        <f ca="1">_xll.DBRW($C$1,$C$2,$C$3,$C$4,$C$6,$C$5,$C$7,AQ$1,AQ$2,A77)</f>
        <v>0</v>
      </c>
      <c r="AR77" s="32">
        <f ca="1">_xll.DBRW($C$1,$C$2,$C$3,$C$4,$C$6,$C$5,$C$7,AR$1,AR$2,A77)</f>
        <v>0</v>
      </c>
      <c r="AS77" s="32">
        <f ca="1">_xll.DBRW($C$1,$C$2,$C$3,$C$4,$C$6,$C$5,$C$7,AS$1,AS$2,A77)</f>
        <v>0</v>
      </c>
      <c r="AT77" s="32">
        <f ca="1">_xll.DBRW($C$1,$C$2,$C$3,$C$4,$C$6,$C$5,$C$7,AT$1,AT$2,A77)</f>
        <v>0</v>
      </c>
      <c r="AU77" s="32">
        <f ca="1">_xll.DBRW($C$1,$C$2,$C$3,$C$4,$C$6,$C$5,$C$7,AU$1,AU$2,A77)</f>
        <v>0</v>
      </c>
    </row>
    <row r="78" spans="1:47" ht="15.75" hidden="1" customHeight="1" outlineLevel="2">
      <c r="A78" s="1" t="s">
        <v>170</v>
      </c>
      <c r="C78" s="141"/>
      <c r="E78" s="9" t="str">
        <f ca="1">_xll.DBRW(Server&amp;"}ElementAttributes_Indicator",A78,"code_English")</f>
        <v>PL1162_ST - COS - Gains/losses on disposal of right-of-use (ST)</v>
      </c>
      <c r="F78" s="32">
        <f ca="1">_xll.DBRW($C$1,$C$2,$C$3,$C$4,$C$6,$C$5,$C$7,F$1,F$2,A78)</f>
        <v>0</v>
      </c>
      <c r="G78" s="32">
        <f ca="1">_xll.DBRW($C$1,$C$2,$C$3,$C$4,$C$6,$C$5,$C$7,G$1,G$2,A78)</f>
        <v>0</v>
      </c>
      <c r="H78" s="32">
        <f ca="1">_xll.DBRW($C$1,$C$2,$C$3,$C$4,$C$6,$C$5,$C$7,H$1,H$2,A78)</f>
        <v>0</v>
      </c>
      <c r="I78" s="32">
        <f ca="1">_xll.DBRW($C$1,$C$2,$C$3,$C$4,$C$6,$C$5,$C$7,I$1,I$2,A78)</f>
        <v>0</v>
      </c>
      <c r="J78" s="32">
        <f ca="1">_xll.DBRW($C$1,$C$2,$C$3,$C$4,$C$6,$C$5,$C$7,J$1,J$2,A78)</f>
        <v>0</v>
      </c>
      <c r="K78" s="32">
        <f ca="1">_xll.DBRW($C$1,$C$2,$C$3,$C$4,$C$6,$C$5,$C$7,K$1,K$2,A78)</f>
        <v>0</v>
      </c>
      <c r="L78" s="32">
        <f ca="1">_xll.DBRW($C$1,$C$2,$C$3,$C$4,$C$6,$C$5,$C$7,L$1,L$2,A78)</f>
        <v>0</v>
      </c>
      <c r="M78" s="32">
        <f ca="1">_xll.DBRW($C$1,$C$2,$C$3,$C$4,$C$6,$C$5,$C$7,M$1,M$2,A78)</f>
        <v>0</v>
      </c>
      <c r="N78" s="32">
        <f ca="1">_xll.DBRW($C$1,$C$2,$C$3,$C$4,$C$6,$C$5,$C$7,N$1,N$2,A78)</f>
        <v>0</v>
      </c>
      <c r="O78" s="32">
        <f ca="1">_xll.DBRW($C$1,$C$2,$C$3,$C$4,$C$6,$C$5,$C$7,O$1,O$2,A78)</f>
        <v>0</v>
      </c>
      <c r="P78" s="32">
        <f ca="1">_xll.DBRW($C$1,$C$2,$C$3,$C$4,$C$6,$C$5,$C$7,P$1,P$2,A78)</f>
        <v>0</v>
      </c>
      <c r="Q78" s="32">
        <f ca="1">_xll.DBRW($C$1,$C$2,$C$3,$C$4,$C$6,$C$5,$C$7,Q$1,Q$2,A78)</f>
        <v>0</v>
      </c>
      <c r="R78" s="32">
        <f ca="1">_xll.DBRW($C$1,$C$2,$C$3,$C$4,$C$6,$C$5,$C$7,R$1,R$2,A78)</f>
        <v>0</v>
      </c>
      <c r="S78" s="32">
        <f ca="1">_xll.DBRW($C$1,$C$2,$C$3,$C$4,$C$6,$C$5,$C$7,S$1,S$2,A78)</f>
        <v>0</v>
      </c>
      <c r="T78" s="32">
        <f ca="1">_xll.DBRW($C$1,$C$2,$C$3,$C$4,$C$6,$C$5,$C$7,T$1,T$2,A78)</f>
        <v>0</v>
      </c>
      <c r="U78" s="32">
        <f ca="1">_xll.DBRW($C$1,$C$2,$C$3,$C$4,$C$6,$C$5,$C$7,U$1,U$2,A78)</f>
        <v>0</v>
      </c>
      <c r="V78" s="32">
        <f ca="1">_xll.DBRW($C$1,$C$2,$C$3,$C$4,$C$6,$C$5,$C$7,V$1,V$2,A78)</f>
        <v>0</v>
      </c>
      <c r="W78" s="32">
        <f ca="1">_xll.DBRW($C$1,$C$2,$C$3,$C$4,$C$6,$C$5,$C$7,W$1,W$2,A78)</f>
        <v>0</v>
      </c>
      <c r="X78" s="32">
        <f ca="1">_xll.DBRW($C$1,$C$2,$C$3,$C$4,$C$6,$C$5,$C$7,X$1,X$2,A78)</f>
        <v>0</v>
      </c>
      <c r="Y78" s="32">
        <f ca="1">_xll.DBRW($C$1,$C$2,$C$3,$C$4,$C$6,$C$5,$C$7,Y$1,Y$2,A78)</f>
        <v>0</v>
      </c>
      <c r="Z78" s="32">
        <f ca="1">_xll.DBRW($C$1,$C$2,$C$3,$C$4,$C$6,$C$5,$C$7,Z$1,Z$2,A78)</f>
        <v>0</v>
      </c>
      <c r="AA78" s="32">
        <f ca="1">_xll.DBRW($C$1,$C$2,$C$3,$C$4,$C$6,$C$5,$C$7,AA$1,AA$2,A78)</f>
        <v>0</v>
      </c>
      <c r="AB78" s="32">
        <f ca="1">_xll.DBRW($C$1,$C$2,$C$3,$C$4,$C$6,$C$5,$C$7,AB$1,AB$2,A78)</f>
        <v>0</v>
      </c>
      <c r="AC78" s="32">
        <f ca="1">_xll.DBRW($C$1,$C$2,$C$3,$C$4,$C$6,$C$5,$C$7,AC$1,AC$2,A78)</f>
        <v>0</v>
      </c>
      <c r="AD78" s="32">
        <f ca="1">_xll.DBRW($C$1,$C$2,$C$3,$C$4,$C$6,$C$5,$C$7,AD$1,AD$2,A78)</f>
        <v>0</v>
      </c>
      <c r="AE78" s="32">
        <f ca="1">_xll.DBRW($C$1,$C$2,$C$3,$C$4,$C$6,$C$5,$C$7,AE$1,AE$2,A78)</f>
        <v>0</v>
      </c>
      <c r="AF78" s="32">
        <f ca="1">_xll.DBRW($C$1,$C$2,$C$3,$C$4,$C$6,$C$5,$C$7,AF$1,AF$2,A78)</f>
        <v>0</v>
      </c>
      <c r="AG78" s="32">
        <f ca="1">_xll.DBRW($C$1,$C$2,$C$3,$C$4,$C$6,$C$5,$C$7,AG$1,AG$2,A78)</f>
        <v>0</v>
      </c>
      <c r="AH78" s="32">
        <f ca="1">_xll.DBRW($C$1,$C$2,$C$3,$C$4,$C$6,$C$5,$C$7,AH$1,AH$2,A78)</f>
        <v>0</v>
      </c>
      <c r="AI78" s="32">
        <f ca="1">_xll.DBRW($C$1,$C$2,$C$3,$C$4,$C$6,$C$5,$C$7,AI$1,AI$2,A78)</f>
        <v>0</v>
      </c>
      <c r="AJ78" s="32">
        <f ca="1">_xll.DBRW($C$1,$C$2,$C$3,$C$4,$C$6,$C$5,$C$7,AJ$1,AJ$2,A78)</f>
        <v>0</v>
      </c>
      <c r="AK78" s="32">
        <f ca="1">_xll.DBRW($C$1,$C$2,$C$3,$C$4,$C$6,$C$5,$C$7,AK$1,AK$2,A78)</f>
        <v>0</v>
      </c>
      <c r="AL78" s="32">
        <f ca="1">_xll.DBRW($C$1,$C$2,$C$3,$C$4,$C$6,$C$5,$C$7,AL$1,AL$2,A78)</f>
        <v>0</v>
      </c>
      <c r="AM78" s="32">
        <f ca="1">_xll.DBRW($C$1,$C$2,$C$3,$C$4,$C$6,$C$5,$C$7,AM$1,AM$2,A78)</f>
        <v>0</v>
      </c>
      <c r="AN78" s="32">
        <f ca="1">_xll.DBRW($C$1,$C$2,$C$3,$C$4,$C$6,$C$5,$C$7,AN$1,AN$2,A78)</f>
        <v>0</v>
      </c>
      <c r="AO78" s="32">
        <f ca="1">_xll.DBRW($C$1,$C$2,$C$3,$C$4,$C$6,$C$5,$C$7,AO$1,AO$2,A78)</f>
        <v>0</v>
      </c>
      <c r="AP78" s="32">
        <f ca="1">_xll.DBRW($C$1,$C$2,$C$3,$C$4,$C$6,$C$5,$C$7,AP$1,AP$2,A78)</f>
        <v>0</v>
      </c>
      <c r="AQ78" s="32">
        <f ca="1">_xll.DBRW($C$1,$C$2,$C$3,$C$4,$C$6,$C$5,$C$7,AQ$1,AQ$2,A78)</f>
        <v>0</v>
      </c>
      <c r="AR78" s="32">
        <f ca="1">_xll.DBRW($C$1,$C$2,$C$3,$C$4,$C$6,$C$5,$C$7,AR$1,AR$2,A78)</f>
        <v>0</v>
      </c>
      <c r="AS78" s="32">
        <f ca="1">_xll.DBRW($C$1,$C$2,$C$3,$C$4,$C$6,$C$5,$C$7,AS$1,AS$2,A78)</f>
        <v>0</v>
      </c>
      <c r="AT78" s="32">
        <f ca="1">_xll.DBRW($C$1,$C$2,$C$3,$C$4,$C$6,$C$5,$C$7,AT$1,AT$2,A78)</f>
        <v>0</v>
      </c>
      <c r="AU78" s="32">
        <f ca="1">_xll.DBRW($C$1,$C$2,$C$3,$C$4,$C$6,$C$5,$C$7,AU$1,AU$2,A78)</f>
        <v>0</v>
      </c>
    </row>
    <row r="79" spans="1:47" ht="15.75" hidden="1" outlineLevel="1">
      <c r="A79" s="1" t="s">
        <v>127</v>
      </c>
      <c r="C79" s="141"/>
      <c r="E79" s="14" t="s">
        <v>26</v>
      </c>
      <c r="F79" s="32">
        <f t="shared" ref="F79:T79" ca="1" si="36">SUM(F56:F78)</f>
        <v>-44364826.640000008</v>
      </c>
      <c r="G79" s="32">
        <f t="shared" ca="1" si="36"/>
        <v>-43403205.68</v>
      </c>
      <c r="H79" s="32">
        <f t="shared" ca="1" si="36"/>
        <v>-42809702.660000011</v>
      </c>
      <c r="I79" s="32">
        <f t="shared" ca="1" si="36"/>
        <v>-3583471.5599999996</v>
      </c>
      <c r="J79" s="32">
        <f t="shared" ca="1" si="36"/>
        <v>-7393248.7199999997</v>
      </c>
      <c r="K79" s="32">
        <f t="shared" ca="1" si="36"/>
        <v>-11485159.42</v>
      </c>
      <c r="L79" s="32">
        <f t="shared" ca="1" si="36"/>
        <v>-14985144.779999999</v>
      </c>
      <c r="M79" s="32">
        <f t="shared" ca="1" si="36"/>
        <v>-20209290.030000001</v>
      </c>
      <c r="N79" s="32">
        <f t="shared" ca="1" si="36"/>
        <v>-23455157.550000001</v>
      </c>
      <c r="O79" s="32">
        <f t="shared" ca="1" si="36"/>
        <v>-23455157.550000001</v>
      </c>
      <c r="P79" s="32">
        <f t="shared" ca="1" si="36"/>
        <v>-23455157.550000001</v>
      </c>
      <c r="Q79" s="32">
        <f t="shared" ca="1" si="36"/>
        <v>-23455157.550000001</v>
      </c>
      <c r="R79" s="32">
        <f t="shared" ca="1" si="36"/>
        <v>-23455157.550000001</v>
      </c>
      <c r="S79" s="32">
        <f t="shared" ca="1" si="36"/>
        <v>-23455157.550000001</v>
      </c>
      <c r="T79" s="32">
        <f t="shared" ca="1" si="36"/>
        <v>-23455157.550000001</v>
      </c>
      <c r="U79" s="32">
        <f ca="1">SUM(U56:U78)</f>
        <v>-23455157.550000001</v>
      </c>
      <c r="V79" s="32">
        <f t="shared" ref="V79:AG79" ca="1" si="37">SUM(V56:V78)</f>
        <v>0</v>
      </c>
      <c r="W79" s="32">
        <f t="shared" ca="1" si="37"/>
        <v>0</v>
      </c>
      <c r="X79" s="32">
        <f t="shared" ca="1" si="37"/>
        <v>0</v>
      </c>
      <c r="Y79" s="32">
        <f t="shared" ca="1" si="37"/>
        <v>0</v>
      </c>
      <c r="Z79" s="32">
        <f t="shared" ca="1" si="37"/>
        <v>0</v>
      </c>
      <c r="AA79" s="32">
        <f t="shared" ca="1" si="37"/>
        <v>0</v>
      </c>
      <c r="AB79" s="32">
        <f t="shared" ca="1" si="37"/>
        <v>0</v>
      </c>
      <c r="AC79" s="32">
        <f t="shared" ca="1" si="37"/>
        <v>0</v>
      </c>
      <c r="AD79" s="32">
        <f t="shared" ca="1" si="37"/>
        <v>0</v>
      </c>
      <c r="AE79" s="32">
        <f t="shared" ca="1" si="37"/>
        <v>0</v>
      </c>
      <c r="AF79" s="32">
        <f t="shared" ca="1" si="37"/>
        <v>0</v>
      </c>
      <c r="AG79" s="32">
        <f t="shared" ca="1" si="37"/>
        <v>0</v>
      </c>
      <c r="AH79" s="32">
        <f ca="1">SUM(AH56:AH78)</f>
        <v>0</v>
      </c>
      <c r="AI79" s="32">
        <f t="shared" ref="AI79:AT79" ca="1" si="38">SUM(AI56:AI78)</f>
        <v>0</v>
      </c>
      <c r="AJ79" s="32">
        <f t="shared" ca="1" si="38"/>
        <v>0</v>
      </c>
      <c r="AK79" s="32">
        <f t="shared" ca="1" si="38"/>
        <v>0</v>
      </c>
      <c r="AL79" s="32">
        <f t="shared" ca="1" si="38"/>
        <v>0</v>
      </c>
      <c r="AM79" s="32">
        <f t="shared" ca="1" si="38"/>
        <v>0</v>
      </c>
      <c r="AN79" s="32">
        <f t="shared" ca="1" si="38"/>
        <v>0</v>
      </c>
      <c r="AO79" s="32">
        <f t="shared" ca="1" si="38"/>
        <v>0</v>
      </c>
      <c r="AP79" s="32">
        <f t="shared" ca="1" si="38"/>
        <v>0</v>
      </c>
      <c r="AQ79" s="32">
        <f t="shared" ca="1" si="38"/>
        <v>0</v>
      </c>
      <c r="AR79" s="32">
        <f t="shared" ca="1" si="38"/>
        <v>0</v>
      </c>
      <c r="AS79" s="32">
        <f t="shared" ca="1" si="38"/>
        <v>0</v>
      </c>
      <c r="AT79" s="32">
        <f t="shared" ca="1" si="38"/>
        <v>0</v>
      </c>
      <c r="AU79" s="32">
        <f ca="1">SUM(AU56:AU78)</f>
        <v>0</v>
      </c>
    </row>
    <row r="80" spans="1:47" ht="15.75" collapsed="1">
      <c r="A80" s="1" t="s">
        <v>127</v>
      </c>
      <c r="C80" s="141"/>
      <c r="E80" s="126" t="s">
        <v>27</v>
      </c>
      <c r="F80" s="127">
        <f t="shared" ref="F80:T80" ca="1" si="39">F79+F55+F53+F51+F49+F47+F44</f>
        <v>-55045224.350000009</v>
      </c>
      <c r="G80" s="127">
        <f t="shared" ca="1" si="39"/>
        <v>-53647357.420000002</v>
      </c>
      <c r="H80" s="127">
        <f t="shared" ca="1" si="39"/>
        <v>-51750775.600000009</v>
      </c>
      <c r="I80" s="127">
        <f t="shared" ca="1" si="39"/>
        <v>-4314234.2799999993</v>
      </c>
      <c r="J80" s="127">
        <f t="shared" ca="1" si="39"/>
        <v>-8855084.5</v>
      </c>
      <c r="K80" s="127">
        <f t="shared" ca="1" si="39"/>
        <v>-13727258.85</v>
      </c>
      <c r="L80" s="127">
        <f t="shared" ca="1" si="39"/>
        <v>-17999214.32</v>
      </c>
      <c r="M80" s="127">
        <f t="shared" ca="1" si="39"/>
        <v>-23939398.780000001</v>
      </c>
      <c r="N80" s="127">
        <f t="shared" ca="1" si="39"/>
        <v>-27878977.32</v>
      </c>
      <c r="O80" s="127">
        <f t="shared" ca="1" si="39"/>
        <v>-27878977.32</v>
      </c>
      <c r="P80" s="127">
        <f t="shared" ca="1" si="39"/>
        <v>-27878977.32</v>
      </c>
      <c r="Q80" s="127">
        <f t="shared" ca="1" si="39"/>
        <v>-27878977.32</v>
      </c>
      <c r="R80" s="127">
        <f t="shared" ca="1" si="39"/>
        <v>-27878977.32</v>
      </c>
      <c r="S80" s="127">
        <f t="shared" ca="1" si="39"/>
        <v>-27878977.32</v>
      </c>
      <c r="T80" s="127">
        <f t="shared" ca="1" si="39"/>
        <v>-27878977.32</v>
      </c>
      <c r="U80" s="127">
        <f ca="1">U79+U55+U53+U51+U49+U47+U44</f>
        <v>-27878977.32</v>
      </c>
      <c r="V80" s="127">
        <f t="shared" ref="V80:AG80" ca="1" si="40">V79+V55+V53+V51+V49+V47+V44</f>
        <v>0</v>
      </c>
      <c r="W80" s="127">
        <f t="shared" ca="1" si="40"/>
        <v>0</v>
      </c>
      <c r="X80" s="127">
        <f t="shared" ca="1" si="40"/>
        <v>0</v>
      </c>
      <c r="Y80" s="127">
        <f t="shared" ca="1" si="40"/>
        <v>0</v>
      </c>
      <c r="Z80" s="127">
        <f t="shared" ca="1" si="40"/>
        <v>0</v>
      </c>
      <c r="AA80" s="127">
        <f t="shared" ca="1" si="40"/>
        <v>0</v>
      </c>
      <c r="AB80" s="127">
        <f t="shared" ca="1" si="40"/>
        <v>0</v>
      </c>
      <c r="AC80" s="127">
        <f t="shared" ca="1" si="40"/>
        <v>0</v>
      </c>
      <c r="AD80" s="127">
        <f t="shared" ca="1" si="40"/>
        <v>0</v>
      </c>
      <c r="AE80" s="127">
        <f t="shared" ca="1" si="40"/>
        <v>0</v>
      </c>
      <c r="AF80" s="127">
        <f t="shared" ca="1" si="40"/>
        <v>0</v>
      </c>
      <c r="AG80" s="127">
        <f t="shared" ca="1" si="40"/>
        <v>0</v>
      </c>
      <c r="AH80" s="127">
        <f ca="1">AH79+AH55+AH53+AH51+AH49+AH47+AH44</f>
        <v>0</v>
      </c>
      <c r="AI80" s="127">
        <f t="shared" ref="AI80:AT80" ca="1" si="41">AI79+AI55+AI53+AI51+AI49+AI47+AI44</f>
        <v>0</v>
      </c>
      <c r="AJ80" s="127">
        <f t="shared" ca="1" si="41"/>
        <v>0</v>
      </c>
      <c r="AK80" s="127">
        <f t="shared" ca="1" si="41"/>
        <v>0</v>
      </c>
      <c r="AL80" s="127">
        <f t="shared" ca="1" si="41"/>
        <v>0</v>
      </c>
      <c r="AM80" s="127">
        <f t="shared" ca="1" si="41"/>
        <v>0</v>
      </c>
      <c r="AN80" s="127">
        <f t="shared" ca="1" si="41"/>
        <v>0</v>
      </c>
      <c r="AO80" s="127">
        <f t="shared" ca="1" si="41"/>
        <v>0</v>
      </c>
      <c r="AP80" s="127">
        <f t="shared" ca="1" si="41"/>
        <v>0</v>
      </c>
      <c r="AQ80" s="127">
        <f t="shared" ca="1" si="41"/>
        <v>0</v>
      </c>
      <c r="AR80" s="127">
        <f t="shared" ca="1" si="41"/>
        <v>0</v>
      </c>
      <c r="AS80" s="127">
        <f t="shared" ca="1" si="41"/>
        <v>0</v>
      </c>
      <c r="AT80" s="127">
        <f t="shared" ca="1" si="41"/>
        <v>0</v>
      </c>
      <c r="AU80" s="127">
        <f ca="1">AU79+AU55+AU53+AU51+AU49+AU47+AU44</f>
        <v>0</v>
      </c>
    </row>
    <row r="81" spans="1:47" ht="15.75" hidden="1" customHeight="1" outlineLevel="1">
      <c r="A81" s="1" t="s">
        <v>171</v>
      </c>
      <c r="C81" s="141"/>
      <c r="E81" s="9" t="str">
        <f ca="1">_xll.DBRW(Server&amp;"}ElementAttributes_Indicator",A81,"code_English")</f>
        <v>PL1115_ET_83 - Electricity</v>
      </c>
      <c r="F81" s="31">
        <f ca="1">_xll.DBRW($C$1,$C$2,$C$3,$C$4,$C$6,$C$5,$C$7,F$1,F$2,A81)</f>
        <v>-1513871.4700000002</v>
      </c>
      <c r="G81" s="31">
        <f ca="1">_xll.DBRW($C$1,$C$2,$C$3,$C$4,$C$6,$C$5,$C$7,G$1,G$2,A81)</f>
        <v>-3450074.99</v>
      </c>
      <c r="H81" s="31">
        <f ca="1">_xll.DBRW($C$1,$C$2,$C$3,$C$4,$C$6,$C$5,$C$7,H$1,H$2,A81)</f>
        <v>-3556731.38</v>
      </c>
      <c r="I81" s="31">
        <f ca="1">_xll.DBRW($C$1,$C$2,$C$3,$C$4,$C$6,$C$5,$C$7,I$1,I$2,A81)</f>
        <v>-1342618.53</v>
      </c>
      <c r="J81" s="31">
        <f ca="1">_xll.DBRW($C$1,$C$2,$C$3,$C$4,$C$6,$C$5,$C$7,J$1,J$2,A81)</f>
        <v>-2234601.4500000002</v>
      </c>
      <c r="K81" s="31">
        <f ca="1">_xll.DBRW($C$1,$C$2,$C$3,$C$4,$C$6,$C$5,$C$7,K$1,K$2,A81)</f>
        <v>-3193087.19</v>
      </c>
      <c r="L81" s="31">
        <f ca="1">_xll.DBRW($C$1,$C$2,$C$3,$C$4,$C$6,$C$5,$C$7,L$1,L$2,A81)</f>
        <v>-4206345.38</v>
      </c>
      <c r="M81" s="31">
        <f ca="1">_xll.DBRW($C$1,$C$2,$C$3,$C$4,$C$6,$C$5,$C$7,M$1,M$2,A81)</f>
        <v>-5142683.83</v>
      </c>
      <c r="N81" s="31">
        <f ca="1">_xll.DBRW($C$1,$C$2,$C$3,$C$4,$C$6,$C$5,$C$7,N$1,N$2,A81)</f>
        <v>-5930642.0999999996</v>
      </c>
      <c r="O81" s="31">
        <f ca="1">_xll.DBRW($C$1,$C$2,$C$3,$C$4,$C$6,$C$5,$C$7,O$1,O$2,A81)</f>
        <v>-5930642.0999999996</v>
      </c>
      <c r="P81" s="31">
        <f ca="1">_xll.DBRW($C$1,$C$2,$C$3,$C$4,$C$6,$C$5,$C$7,P$1,P$2,A81)</f>
        <v>-5930642.0999999996</v>
      </c>
      <c r="Q81" s="31">
        <f ca="1">_xll.DBRW($C$1,$C$2,$C$3,$C$4,$C$6,$C$5,$C$7,Q$1,Q$2,A81)</f>
        <v>-5930642.0999999996</v>
      </c>
      <c r="R81" s="31">
        <f ca="1">_xll.DBRW($C$1,$C$2,$C$3,$C$4,$C$6,$C$5,$C$7,R$1,R$2,A81)</f>
        <v>-5930642.0999999996</v>
      </c>
      <c r="S81" s="31">
        <f ca="1">_xll.DBRW($C$1,$C$2,$C$3,$C$4,$C$6,$C$5,$C$7,S$1,S$2,A81)</f>
        <v>-5930642.0999999996</v>
      </c>
      <c r="T81" s="31">
        <f ca="1">_xll.DBRW($C$1,$C$2,$C$3,$C$4,$C$6,$C$5,$C$7,T$1,T$2,A81)</f>
        <v>-5930642.0999999996</v>
      </c>
      <c r="U81" s="31">
        <f ca="1">_xll.DBRW($C$1,$C$2,$C$3,$C$4,$C$6,$C$5,$C$7,U$1,U$2,A81)</f>
        <v>-5930642.0999999996</v>
      </c>
      <c r="V81" s="31">
        <f ca="1">_xll.DBRW($C$1,$C$2,$C$3,$C$4,$C$6,$C$5,$C$7,V$1,V$2,A81)</f>
        <v>0</v>
      </c>
      <c r="W81" s="31">
        <f ca="1">_xll.DBRW($C$1,$C$2,$C$3,$C$4,$C$6,$C$5,$C$7,W$1,W$2,A81)</f>
        <v>0</v>
      </c>
      <c r="X81" s="31">
        <f ca="1">_xll.DBRW($C$1,$C$2,$C$3,$C$4,$C$6,$C$5,$C$7,X$1,X$2,A81)</f>
        <v>0</v>
      </c>
      <c r="Y81" s="31">
        <f ca="1">_xll.DBRW($C$1,$C$2,$C$3,$C$4,$C$6,$C$5,$C$7,Y$1,Y$2,A81)</f>
        <v>0</v>
      </c>
      <c r="Z81" s="31">
        <f ca="1">_xll.DBRW($C$1,$C$2,$C$3,$C$4,$C$6,$C$5,$C$7,Z$1,Z$2,A81)</f>
        <v>0</v>
      </c>
      <c r="AA81" s="31">
        <f ca="1">_xll.DBRW($C$1,$C$2,$C$3,$C$4,$C$6,$C$5,$C$7,AA$1,AA$2,A81)</f>
        <v>0</v>
      </c>
      <c r="AB81" s="31">
        <f ca="1">_xll.DBRW($C$1,$C$2,$C$3,$C$4,$C$6,$C$5,$C$7,AB$1,AB$2,A81)</f>
        <v>0</v>
      </c>
      <c r="AC81" s="31">
        <f ca="1">_xll.DBRW($C$1,$C$2,$C$3,$C$4,$C$6,$C$5,$C$7,AC$1,AC$2,A81)</f>
        <v>0</v>
      </c>
      <c r="AD81" s="31">
        <f ca="1">_xll.DBRW($C$1,$C$2,$C$3,$C$4,$C$6,$C$5,$C$7,AD$1,AD$2,A81)</f>
        <v>0</v>
      </c>
      <c r="AE81" s="31">
        <f ca="1">_xll.DBRW($C$1,$C$2,$C$3,$C$4,$C$6,$C$5,$C$7,AE$1,AE$2,A81)</f>
        <v>0</v>
      </c>
      <c r="AF81" s="31">
        <f ca="1">_xll.DBRW($C$1,$C$2,$C$3,$C$4,$C$6,$C$5,$C$7,AF$1,AF$2,A81)</f>
        <v>0</v>
      </c>
      <c r="AG81" s="31">
        <f ca="1">_xll.DBRW($C$1,$C$2,$C$3,$C$4,$C$6,$C$5,$C$7,AG$1,AG$2,A81)</f>
        <v>0</v>
      </c>
      <c r="AH81" s="31">
        <f ca="1">_xll.DBRW($C$1,$C$2,$C$3,$C$4,$C$6,$C$5,$C$7,AH$1,AH$2,A81)</f>
        <v>0</v>
      </c>
      <c r="AI81" s="31">
        <f ca="1">_xll.DBRW($C$1,$C$2,$C$3,$C$4,$C$6,$C$5,$C$7,AI$1,AI$2,A81)</f>
        <v>0</v>
      </c>
      <c r="AJ81" s="31">
        <f ca="1">_xll.DBRW($C$1,$C$2,$C$3,$C$4,$C$6,$C$5,$C$7,AJ$1,AJ$2,A81)</f>
        <v>0</v>
      </c>
      <c r="AK81" s="31">
        <f ca="1">_xll.DBRW($C$1,$C$2,$C$3,$C$4,$C$6,$C$5,$C$7,AK$1,AK$2,A81)</f>
        <v>0</v>
      </c>
      <c r="AL81" s="31">
        <f ca="1">_xll.DBRW($C$1,$C$2,$C$3,$C$4,$C$6,$C$5,$C$7,AL$1,AL$2,A81)</f>
        <v>0</v>
      </c>
      <c r="AM81" s="31">
        <f ca="1">_xll.DBRW($C$1,$C$2,$C$3,$C$4,$C$6,$C$5,$C$7,AM$1,AM$2,A81)</f>
        <v>0</v>
      </c>
      <c r="AN81" s="31">
        <f ca="1">_xll.DBRW($C$1,$C$2,$C$3,$C$4,$C$6,$C$5,$C$7,AN$1,AN$2,A81)</f>
        <v>0</v>
      </c>
      <c r="AO81" s="31">
        <f ca="1">_xll.DBRW($C$1,$C$2,$C$3,$C$4,$C$6,$C$5,$C$7,AO$1,AO$2,A81)</f>
        <v>0</v>
      </c>
      <c r="AP81" s="31">
        <f ca="1">_xll.DBRW($C$1,$C$2,$C$3,$C$4,$C$6,$C$5,$C$7,AP$1,AP$2,A81)</f>
        <v>0</v>
      </c>
      <c r="AQ81" s="31">
        <f ca="1">_xll.DBRW($C$1,$C$2,$C$3,$C$4,$C$6,$C$5,$C$7,AQ$1,AQ$2,A81)</f>
        <v>0</v>
      </c>
      <c r="AR81" s="31">
        <f ca="1">_xll.DBRW($C$1,$C$2,$C$3,$C$4,$C$6,$C$5,$C$7,AR$1,AR$2,A81)</f>
        <v>0</v>
      </c>
      <c r="AS81" s="31">
        <f ca="1">_xll.DBRW($C$1,$C$2,$C$3,$C$4,$C$6,$C$5,$C$7,AS$1,AS$2,A81)</f>
        <v>0</v>
      </c>
      <c r="AT81" s="31">
        <f ca="1">_xll.DBRW($C$1,$C$2,$C$3,$C$4,$C$6,$C$5,$C$7,AT$1,AT$2,A81)</f>
        <v>0</v>
      </c>
      <c r="AU81" s="31">
        <f ca="1">_xll.DBRW($C$1,$C$2,$C$3,$C$4,$C$6,$C$5,$C$7,AU$1,AU$2,A81)</f>
        <v>0</v>
      </c>
    </row>
    <row r="82" spans="1:47" ht="15.75" hidden="1" customHeight="1" outlineLevel="1">
      <c r="A82" s="1" t="s">
        <v>172</v>
      </c>
      <c r="C82" s="141"/>
      <c r="E82" s="9" t="str">
        <f ca="1">_xll.DBRW(Server&amp;"}ElementAttributes_Indicator",A82,"code_English")</f>
        <v>PL1155_ET_18 - Reinvoicing - Electricity</v>
      </c>
      <c r="F82" s="31">
        <f ca="1">_xll.DBRW($C$1,$C$2,$C$3,$C$4,$C$6,$C$5,$C$7,F$1,F$2,A82)</f>
        <v>0</v>
      </c>
      <c r="G82" s="31">
        <f ca="1">_xll.DBRW($C$1,$C$2,$C$3,$C$4,$C$6,$C$5,$C$7,G$1,G$2,A82)</f>
        <v>0</v>
      </c>
      <c r="H82" s="31">
        <f ca="1">_xll.DBRW($C$1,$C$2,$C$3,$C$4,$C$6,$C$5,$C$7,H$1,H$2,A82)</f>
        <v>0</v>
      </c>
      <c r="I82" s="31">
        <f ca="1">_xll.DBRW($C$1,$C$2,$C$3,$C$4,$C$6,$C$5,$C$7,I$1,I$2,A82)</f>
        <v>0</v>
      </c>
      <c r="J82" s="31">
        <f ca="1">_xll.DBRW($C$1,$C$2,$C$3,$C$4,$C$6,$C$5,$C$7,J$1,J$2,A82)</f>
        <v>0</v>
      </c>
      <c r="K82" s="31">
        <f ca="1">_xll.DBRW($C$1,$C$2,$C$3,$C$4,$C$6,$C$5,$C$7,K$1,K$2,A82)</f>
        <v>0</v>
      </c>
      <c r="L82" s="31">
        <f ca="1">_xll.DBRW($C$1,$C$2,$C$3,$C$4,$C$6,$C$5,$C$7,L$1,L$2,A82)</f>
        <v>0</v>
      </c>
      <c r="M82" s="31">
        <f ca="1">_xll.DBRW($C$1,$C$2,$C$3,$C$4,$C$6,$C$5,$C$7,M$1,M$2,A82)</f>
        <v>0</v>
      </c>
      <c r="N82" s="31">
        <f ca="1">_xll.DBRW($C$1,$C$2,$C$3,$C$4,$C$6,$C$5,$C$7,N$1,N$2,A82)</f>
        <v>0</v>
      </c>
      <c r="O82" s="31">
        <f ca="1">_xll.DBRW($C$1,$C$2,$C$3,$C$4,$C$6,$C$5,$C$7,O$1,O$2,A82)</f>
        <v>0</v>
      </c>
      <c r="P82" s="31">
        <f ca="1">_xll.DBRW($C$1,$C$2,$C$3,$C$4,$C$6,$C$5,$C$7,P$1,P$2,A82)</f>
        <v>0</v>
      </c>
      <c r="Q82" s="31">
        <f ca="1">_xll.DBRW($C$1,$C$2,$C$3,$C$4,$C$6,$C$5,$C$7,Q$1,Q$2,A82)</f>
        <v>0</v>
      </c>
      <c r="R82" s="31">
        <f ca="1">_xll.DBRW($C$1,$C$2,$C$3,$C$4,$C$6,$C$5,$C$7,R$1,R$2,A82)</f>
        <v>0</v>
      </c>
      <c r="S82" s="31">
        <f ca="1">_xll.DBRW($C$1,$C$2,$C$3,$C$4,$C$6,$C$5,$C$7,S$1,S$2,A82)</f>
        <v>0</v>
      </c>
      <c r="T82" s="31">
        <f ca="1">_xll.DBRW($C$1,$C$2,$C$3,$C$4,$C$6,$C$5,$C$7,T$1,T$2,A82)</f>
        <v>0</v>
      </c>
      <c r="U82" s="31">
        <f ca="1">_xll.DBRW($C$1,$C$2,$C$3,$C$4,$C$6,$C$5,$C$7,U$1,U$2,A82)</f>
        <v>0</v>
      </c>
      <c r="V82" s="31">
        <f ca="1">_xll.DBRW($C$1,$C$2,$C$3,$C$4,$C$6,$C$5,$C$7,V$1,V$2,A82)</f>
        <v>0</v>
      </c>
      <c r="W82" s="31">
        <f ca="1">_xll.DBRW($C$1,$C$2,$C$3,$C$4,$C$6,$C$5,$C$7,W$1,W$2,A82)</f>
        <v>0</v>
      </c>
      <c r="X82" s="31">
        <f ca="1">_xll.DBRW($C$1,$C$2,$C$3,$C$4,$C$6,$C$5,$C$7,X$1,X$2,A82)</f>
        <v>0</v>
      </c>
      <c r="Y82" s="31">
        <f ca="1">_xll.DBRW($C$1,$C$2,$C$3,$C$4,$C$6,$C$5,$C$7,Y$1,Y$2,A82)</f>
        <v>0</v>
      </c>
      <c r="Z82" s="31">
        <f ca="1">_xll.DBRW($C$1,$C$2,$C$3,$C$4,$C$6,$C$5,$C$7,Z$1,Z$2,A82)</f>
        <v>0</v>
      </c>
      <c r="AA82" s="31">
        <f ca="1">_xll.DBRW($C$1,$C$2,$C$3,$C$4,$C$6,$C$5,$C$7,AA$1,AA$2,A82)</f>
        <v>0</v>
      </c>
      <c r="AB82" s="31">
        <f ca="1">_xll.DBRW($C$1,$C$2,$C$3,$C$4,$C$6,$C$5,$C$7,AB$1,AB$2,A82)</f>
        <v>0</v>
      </c>
      <c r="AC82" s="31">
        <f ca="1">_xll.DBRW($C$1,$C$2,$C$3,$C$4,$C$6,$C$5,$C$7,AC$1,AC$2,A82)</f>
        <v>0</v>
      </c>
      <c r="AD82" s="31">
        <f ca="1">_xll.DBRW($C$1,$C$2,$C$3,$C$4,$C$6,$C$5,$C$7,AD$1,AD$2,A82)</f>
        <v>0</v>
      </c>
      <c r="AE82" s="31">
        <f ca="1">_xll.DBRW($C$1,$C$2,$C$3,$C$4,$C$6,$C$5,$C$7,AE$1,AE$2,A82)</f>
        <v>0</v>
      </c>
      <c r="AF82" s="31">
        <f ca="1">_xll.DBRW($C$1,$C$2,$C$3,$C$4,$C$6,$C$5,$C$7,AF$1,AF$2,A82)</f>
        <v>0</v>
      </c>
      <c r="AG82" s="31">
        <f ca="1">_xll.DBRW($C$1,$C$2,$C$3,$C$4,$C$6,$C$5,$C$7,AG$1,AG$2,A82)</f>
        <v>0</v>
      </c>
      <c r="AH82" s="31">
        <f ca="1">_xll.DBRW($C$1,$C$2,$C$3,$C$4,$C$6,$C$5,$C$7,AH$1,AH$2,A82)</f>
        <v>0</v>
      </c>
      <c r="AI82" s="31">
        <f ca="1">_xll.DBRW($C$1,$C$2,$C$3,$C$4,$C$6,$C$5,$C$7,AI$1,AI$2,A82)</f>
        <v>0</v>
      </c>
      <c r="AJ82" s="31">
        <f ca="1">_xll.DBRW($C$1,$C$2,$C$3,$C$4,$C$6,$C$5,$C$7,AJ$1,AJ$2,A82)</f>
        <v>0</v>
      </c>
      <c r="AK82" s="31">
        <f ca="1">_xll.DBRW($C$1,$C$2,$C$3,$C$4,$C$6,$C$5,$C$7,AK$1,AK$2,A82)</f>
        <v>0</v>
      </c>
      <c r="AL82" s="31">
        <f ca="1">_xll.DBRW($C$1,$C$2,$C$3,$C$4,$C$6,$C$5,$C$7,AL$1,AL$2,A82)</f>
        <v>0</v>
      </c>
      <c r="AM82" s="31">
        <f ca="1">_xll.DBRW($C$1,$C$2,$C$3,$C$4,$C$6,$C$5,$C$7,AM$1,AM$2,A82)</f>
        <v>0</v>
      </c>
      <c r="AN82" s="31">
        <f ca="1">_xll.DBRW($C$1,$C$2,$C$3,$C$4,$C$6,$C$5,$C$7,AN$1,AN$2,A82)</f>
        <v>0</v>
      </c>
      <c r="AO82" s="31">
        <f ca="1">_xll.DBRW($C$1,$C$2,$C$3,$C$4,$C$6,$C$5,$C$7,AO$1,AO$2,A82)</f>
        <v>0</v>
      </c>
      <c r="AP82" s="31">
        <f ca="1">_xll.DBRW($C$1,$C$2,$C$3,$C$4,$C$6,$C$5,$C$7,AP$1,AP$2,A82)</f>
        <v>0</v>
      </c>
      <c r="AQ82" s="31">
        <f ca="1">_xll.DBRW($C$1,$C$2,$C$3,$C$4,$C$6,$C$5,$C$7,AQ$1,AQ$2,A82)</f>
        <v>0</v>
      </c>
      <c r="AR82" s="31">
        <f ca="1">_xll.DBRW($C$1,$C$2,$C$3,$C$4,$C$6,$C$5,$C$7,AR$1,AR$2,A82)</f>
        <v>0</v>
      </c>
      <c r="AS82" s="31">
        <f ca="1">_xll.DBRW($C$1,$C$2,$C$3,$C$4,$C$6,$C$5,$C$7,AS$1,AS$2,A82)</f>
        <v>0</v>
      </c>
      <c r="AT82" s="31">
        <f ca="1">_xll.DBRW($C$1,$C$2,$C$3,$C$4,$C$6,$C$5,$C$7,AT$1,AT$2,A82)</f>
        <v>0</v>
      </c>
      <c r="AU82" s="31">
        <f ca="1">_xll.DBRW($C$1,$C$2,$C$3,$C$4,$C$6,$C$5,$C$7,AU$1,AU$2,A82)</f>
        <v>0</v>
      </c>
    </row>
    <row r="83" spans="1:47" ht="15.75" hidden="1" outlineLevel="1" collapsed="1">
      <c r="A83" s="1" t="s">
        <v>127</v>
      </c>
      <c r="C83" s="141"/>
      <c r="E83" s="14" t="s">
        <v>28</v>
      </c>
      <c r="F83" s="32">
        <f t="shared" ref="F83:T83" ca="1" si="42">SUM(F81:F82)</f>
        <v>-1513871.4700000002</v>
      </c>
      <c r="G83" s="32">
        <f t="shared" ca="1" si="42"/>
        <v>-3450074.99</v>
      </c>
      <c r="H83" s="32">
        <f t="shared" ca="1" si="42"/>
        <v>-3556731.38</v>
      </c>
      <c r="I83" s="32">
        <f t="shared" ca="1" si="42"/>
        <v>-1342618.53</v>
      </c>
      <c r="J83" s="32">
        <f t="shared" ca="1" si="42"/>
        <v>-2234601.4500000002</v>
      </c>
      <c r="K83" s="32">
        <f t="shared" ca="1" si="42"/>
        <v>-3193087.19</v>
      </c>
      <c r="L83" s="32">
        <f t="shared" ca="1" si="42"/>
        <v>-4206345.38</v>
      </c>
      <c r="M83" s="32">
        <f t="shared" ca="1" si="42"/>
        <v>-5142683.83</v>
      </c>
      <c r="N83" s="32">
        <f t="shared" ca="1" si="42"/>
        <v>-5930642.0999999996</v>
      </c>
      <c r="O83" s="32">
        <f t="shared" ca="1" si="42"/>
        <v>-5930642.0999999996</v>
      </c>
      <c r="P83" s="32">
        <f t="shared" ca="1" si="42"/>
        <v>-5930642.0999999996</v>
      </c>
      <c r="Q83" s="32">
        <f t="shared" ca="1" si="42"/>
        <v>-5930642.0999999996</v>
      </c>
      <c r="R83" s="32">
        <f t="shared" ca="1" si="42"/>
        <v>-5930642.0999999996</v>
      </c>
      <c r="S83" s="32">
        <f t="shared" ca="1" si="42"/>
        <v>-5930642.0999999996</v>
      </c>
      <c r="T83" s="32">
        <f t="shared" ca="1" si="42"/>
        <v>-5930642.0999999996</v>
      </c>
      <c r="U83" s="32">
        <f ca="1">SUM(U81:U82)</f>
        <v>-5930642.0999999996</v>
      </c>
      <c r="V83" s="32">
        <f t="shared" ref="V83:AG83" ca="1" si="43">SUM(V81:V82)</f>
        <v>0</v>
      </c>
      <c r="W83" s="32">
        <f t="shared" ca="1" si="43"/>
        <v>0</v>
      </c>
      <c r="X83" s="32">
        <f t="shared" ca="1" si="43"/>
        <v>0</v>
      </c>
      <c r="Y83" s="32">
        <f t="shared" ca="1" si="43"/>
        <v>0</v>
      </c>
      <c r="Z83" s="32">
        <f t="shared" ca="1" si="43"/>
        <v>0</v>
      </c>
      <c r="AA83" s="32">
        <f t="shared" ca="1" si="43"/>
        <v>0</v>
      </c>
      <c r="AB83" s="32">
        <f t="shared" ca="1" si="43"/>
        <v>0</v>
      </c>
      <c r="AC83" s="32">
        <f t="shared" ca="1" si="43"/>
        <v>0</v>
      </c>
      <c r="AD83" s="32">
        <f t="shared" ca="1" si="43"/>
        <v>0</v>
      </c>
      <c r="AE83" s="32">
        <f t="shared" ca="1" si="43"/>
        <v>0</v>
      </c>
      <c r="AF83" s="32">
        <f t="shared" ca="1" si="43"/>
        <v>0</v>
      </c>
      <c r="AG83" s="32">
        <f t="shared" ca="1" si="43"/>
        <v>0</v>
      </c>
      <c r="AH83" s="32">
        <f ca="1">SUM(AH81:AH82)</f>
        <v>0</v>
      </c>
      <c r="AI83" s="32">
        <f t="shared" ref="AI83:AT83" ca="1" si="44">SUM(AI81:AI82)</f>
        <v>0</v>
      </c>
      <c r="AJ83" s="32">
        <f t="shared" ca="1" si="44"/>
        <v>0</v>
      </c>
      <c r="AK83" s="32">
        <f t="shared" ca="1" si="44"/>
        <v>0</v>
      </c>
      <c r="AL83" s="32">
        <f t="shared" ca="1" si="44"/>
        <v>0</v>
      </c>
      <c r="AM83" s="32">
        <f t="shared" ca="1" si="44"/>
        <v>0</v>
      </c>
      <c r="AN83" s="32">
        <f t="shared" ca="1" si="44"/>
        <v>0</v>
      </c>
      <c r="AO83" s="32">
        <f t="shared" ca="1" si="44"/>
        <v>0</v>
      </c>
      <c r="AP83" s="32">
        <f t="shared" ca="1" si="44"/>
        <v>0</v>
      </c>
      <c r="AQ83" s="32">
        <f t="shared" ca="1" si="44"/>
        <v>0</v>
      </c>
      <c r="AR83" s="32">
        <f t="shared" ca="1" si="44"/>
        <v>0</v>
      </c>
      <c r="AS83" s="32">
        <f t="shared" ca="1" si="44"/>
        <v>0</v>
      </c>
      <c r="AT83" s="32">
        <f t="shared" ca="1" si="44"/>
        <v>0</v>
      </c>
      <c r="AU83" s="32">
        <f ca="1">SUM(AU81:AU82)</f>
        <v>0</v>
      </c>
    </row>
    <row r="84" spans="1:47" ht="15.75" hidden="1" customHeight="1" outlineLevel="2">
      <c r="A84" s="1" t="s">
        <v>173</v>
      </c>
      <c r="C84" s="141"/>
      <c r="E84" s="9" t="str">
        <f ca="1">_xll.DBRW(Server&amp;"}ElementAttributes_Indicator",A84,"code_English")</f>
        <v>PL1115_ET_80 - Fuel</v>
      </c>
      <c r="F84" s="32">
        <f ca="1">_xll.DBRW($C$1,$C$2,$C$3,$C$4,$C$6,$C$5,$C$7,F$1,F$2,A84)</f>
        <v>-23861041.110000003</v>
      </c>
      <c r="G84" s="32">
        <f ca="1">_xll.DBRW($C$1,$C$2,$C$3,$C$4,$C$6,$C$5,$C$7,G$1,G$2,A84)</f>
        <v>-20375574.099999998</v>
      </c>
      <c r="H84" s="32">
        <f ca="1">_xll.DBRW($C$1,$C$2,$C$3,$C$4,$C$6,$C$5,$C$7,H$1,H$2,A84)</f>
        <v>-22876546.940000005</v>
      </c>
      <c r="I84" s="32">
        <f ca="1">_xll.DBRW($C$1,$C$2,$C$3,$C$4,$C$6,$C$5,$C$7,I$1,I$2,A84)</f>
        <v>-2205416.1999999997</v>
      </c>
      <c r="J84" s="32">
        <f ca="1">_xll.DBRW($C$1,$C$2,$C$3,$C$4,$C$6,$C$5,$C$7,J$1,J$2,A84)</f>
        <v>-4151342.46</v>
      </c>
      <c r="K84" s="32">
        <f ca="1">_xll.DBRW($C$1,$C$2,$C$3,$C$4,$C$6,$C$5,$C$7,K$1,K$2,A84)</f>
        <v>-6884600.4100000001</v>
      </c>
      <c r="L84" s="32">
        <f ca="1">_xll.DBRW($C$1,$C$2,$C$3,$C$4,$C$6,$C$5,$C$7,L$1,L$2,A84)</f>
        <v>-9471912.4900000002</v>
      </c>
      <c r="M84" s="32">
        <f ca="1">_xll.DBRW($C$1,$C$2,$C$3,$C$4,$C$6,$C$5,$C$7,M$1,M$2,A84)</f>
        <v>-11728424.27</v>
      </c>
      <c r="N84" s="32">
        <f ca="1">_xll.DBRW($C$1,$C$2,$C$3,$C$4,$C$6,$C$5,$C$7,N$1,N$2,A84)</f>
        <v>-14134934.26</v>
      </c>
      <c r="O84" s="32">
        <f ca="1">_xll.DBRW($C$1,$C$2,$C$3,$C$4,$C$6,$C$5,$C$7,O$1,O$2,A84)</f>
        <v>-14134934.26</v>
      </c>
      <c r="P84" s="32">
        <f ca="1">_xll.DBRW($C$1,$C$2,$C$3,$C$4,$C$6,$C$5,$C$7,P$1,P$2,A84)</f>
        <v>-14134934.26</v>
      </c>
      <c r="Q84" s="32">
        <f ca="1">_xll.DBRW($C$1,$C$2,$C$3,$C$4,$C$6,$C$5,$C$7,Q$1,Q$2,A84)</f>
        <v>-14134934.26</v>
      </c>
      <c r="R84" s="32">
        <f ca="1">_xll.DBRW($C$1,$C$2,$C$3,$C$4,$C$6,$C$5,$C$7,R$1,R$2,A84)</f>
        <v>-14134934.26</v>
      </c>
      <c r="S84" s="32">
        <f ca="1">_xll.DBRW($C$1,$C$2,$C$3,$C$4,$C$6,$C$5,$C$7,S$1,S$2,A84)</f>
        <v>-14134934.26</v>
      </c>
      <c r="T84" s="32">
        <f ca="1">_xll.DBRW($C$1,$C$2,$C$3,$C$4,$C$6,$C$5,$C$7,T$1,T$2,A84)</f>
        <v>-14134934.26</v>
      </c>
      <c r="U84" s="32">
        <f ca="1">_xll.DBRW($C$1,$C$2,$C$3,$C$4,$C$6,$C$5,$C$7,U$1,U$2,A84)</f>
        <v>-14134934.26</v>
      </c>
      <c r="V84" s="32">
        <f ca="1">_xll.DBRW($C$1,$C$2,$C$3,$C$4,$C$6,$C$5,$C$7,V$1,V$2,A84)</f>
        <v>0</v>
      </c>
      <c r="W84" s="32">
        <f ca="1">_xll.DBRW($C$1,$C$2,$C$3,$C$4,$C$6,$C$5,$C$7,W$1,W$2,A84)</f>
        <v>0</v>
      </c>
      <c r="X84" s="32">
        <f ca="1">_xll.DBRW($C$1,$C$2,$C$3,$C$4,$C$6,$C$5,$C$7,X$1,X$2,A84)</f>
        <v>0</v>
      </c>
      <c r="Y84" s="32">
        <f ca="1">_xll.DBRW($C$1,$C$2,$C$3,$C$4,$C$6,$C$5,$C$7,Y$1,Y$2,A84)</f>
        <v>0</v>
      </c>
      <c r="Z84" s="32">
        <f ca="1">_xll.DBRW($C$1,$C$2,$C$3,$C$4,$C$6,$C$5,$C$7,Z$1,Z$2,A84)</f>
        <v>0</v>
      </c>
      <c r="AA84" s="32">
        <f ca="1">_xll.DBRW($C$1,$C$2,$C$3,$C$4,$C$6,$C$5,$C$7,AA$1,AA$2,A84)</f>
        <v>0</v>
      </c>
      <c r="AB84" s="32">
        <f ca="1">_xll.DBRW($C$1,$C$2,$C$3,$C$4,$C$6,$C$5,$C$7,AB$1,AB$2,A84)</f>
        <v>0</v>
      </c>
      <c r="AC84" s="32">
        <f ca="1">_xll.DBRW($C$1,$C$2,$C$3,$C$4,$C$6,$C$5,$C$7,AC$1,AC$2,A84)</f>
        <v>0</v>
      </c>
      <c r="AD84" s="32">
        <f ca="1">_xll.DBRW($C$1,$C$2,$C$3,$C$4,$C$6,$C$5,$C$7,AD$1,AD$2,A84)</f>
        <v>0</v>
      </c>
      <c r="AE84" s="32">
        <f ca="1">_xll.DBRW($C$1,$C$2,$C$3,$C$4,$C$6,$C$5,$C$7,AE$1,AE$2,A84)</f>
        <v>0</v>
      </c>
      <c r="AF84" s="32">
        <f ca="1">_xll.DBRW($C$1,$C$2,$C$3,$C$4,$C$6,$C$5,$C$7,AF$1,AF$2,A84)</f>
        <v>0</v>
      </c>
      <c r="AG84" s="32">
        <f ca="1">_xll.DBRW($C$1,$C$2,$C$3,$C$4,$C$6,$C$5,$C$7,AG$1,AG$2,A84)</f>
        <v>0</v>
      </c>
      <c r="AH84" s="32">
        <f ca="1">_xll.DBRW($C$1,$C$2,$C$3,$C$4,$C$6,$C$5,$C$7,AH$1,AH$2,A84)</f>
        <v>0</v>
      </c>
      <c r="AI84" s="32">
        <f ca="1">_xll.DBRW($C$1,$C$2,$C$3,$C$4,$C$6,$C$5,$C$7,AI$1,AI$2,A84)</f>
        <v>0</v>
      </c>
      <c r="AJ84" s="32">
        <f ca="1">_xll.DBRW($C$1,$C$2,$C$3,$C$4,$C$6,$C$5,$C$7,AJ$1,AJ$2,A84)</f>
        <v>0</v>
      </c>
      <c r="AK84" s="32">
        <f ca="1">_xll.DBRW($C$1,$C$2,$C$3,$C$4,$C$6,$C$5,$C$7,AK$1,AK$2,A84)</f>
        <v>0</v>
      </c>
      <c r="AL84" s="32">
        <f ca="1">_xll.DBRW($C$1,$C$2,$C$3,$C$4,$C$6,$C$5,$C$7,AL$1,AL$2,A84)</f>
        <v>0</v>
      </c>
      <c r="AM84" s="32">
        <f ca="1">_xll.DBRW($C$1,$C$2,$C$3,$C$4,$C$6,$C$5,$C$7,AM$1,AM$2,A84)</f>
        <v>0</v>
      </c>
      <c r="AN84" s="32">
        <f ca="1">_xll.DBRW($C$1,$C$2,$C$3,$C$4,$C$6,$C$5,$C$7,AN$1,AN$2,A84)</f>
        <v>0</v>
      </c>
      <c r="AO84" s="32">
        <f ca="1">_xll.DBRW($C$1,$C$2,$C$3,$C$4,$C$6,$C$5,$C$7,AO$1,AO$2,A84)</f>
        <v>0</v>
      </c>
      <c r="AP84" s="32">
        <f ca="1">_xll.DBRW($C$1,$C$2,$C$3,$C$4,$C$6,$C$5,$C$7,AP$1,AP$2,A84)</f>
        <v>0</v>
      </c>
      <c r="AQ84" s="32">
        <f ca="1">_xll.DBRW($C$1,$C$2,$C$3,$C$4,$C$6,$C$5,$C$7,AQ$1,AQ$2,A84)</f>
        <v>0</v>
      </c>
      <c r="AR84" s="32">
        <f ca="1">_xll.DBRW($C$1,$C$2,$C$3,$C$4,$C$6,$C$5,$C$7,AR$1,AR$2,A84)</f>
        <v>0</v>
      </c>
      <c r="AS84" s="32">
        <f ca="1">_xll.DBRW($C$1,$C$2,$C$3,$C$4,$C$6,$C$5,$C$7,AS$1,AS$2,A84)</f>
        <v>0</v>
      </c>
      <c r="AT84" s="32">
        <f ca="1">_xll.DBRW($C$1,$C$2,$C$3,$C$4,$C$6,$C$5,$C$7,AT$1,AT$2,A84)</f>
        <v>0</v>
      </c>
      <c r="AU84" s="32">
        <f ca="1">_xll.DBRW($C$1,$C$2,$C$3,$C$4,$C$6,$C$5,$C$7,AU$1,AU$2,A84)</f>
        <v>0</v>
      </c>
    </row>
    <row r="85" spans="1:47" ht="15.75" hidden="1" customHeight="1" outlineLevel="2">
      <c r="A85" s="1" t="s">
        <v>174</v>
      </c>
      <c r="C85" s="141"/>
      <c r="E85" s="9" t="str">
        <f ca="1">_xll.DBRW(Server&amp;"}ElementAttributes_Indicator",A85,"code_English")</f>
        <v>PL1115_ET_801 - Fuel Hedging Result</v>
      </c>
      <c r="F85" s="32">
        <f ca="1">_xll.DBRW($C$1,$C$2,$C$3,$C$4,$C$6,$C$5,$C$7,F$1,F$2,A85)</f>
        <v>22396.899999999998</v>
      </c>
      <c r="G85" s="32">
        <f ca="1">_xll.DBRW($C$1,$C$2,$C$3,$C$4,$C$6,$C$5,$C$7,G$1,G$2,A85)</f>
        <v>0</v>
      </c>
      <c r="H85" s="32">
        <f ca="1">_xll.DBRW($C$1,$C$2,$C$3,$C$4,$C$6,$C$5,$C$7,H$1,H$2,A85)</f>
        <v>0</v>
      </c>
      <c r="I85" s="32">
        <f ca="1">_xll.DBRW($C$1,$C$2,$C$3,$C$4,$C$6,$C$5,$C$7,I$1,I$2,A85)</f>
        <v>0</v>
      </c>
      <c r="J85" s="32">
        <f ca="1">_xll.DBRW($C$1,$C$2,$C$3,$C$4,$C$6,$C$5,$C$7,J$1,J$2,A85)</f>
        <v>0</v>
      </c>
      <c r="K85" s="32">
        <f ca="1">_xll.DBRW($C$1,$C$2,$C$3,$C$4,$C$6,$C$5,$C$7,K$1,K$2,A85)</f>
        <v>0</v>
      </c>
      <c r="L85" s="32">
        <f ca="1">_xll.DBRW($C$1,$C$2,$C$3,$C$4,$C$6,$C$5,$C$7,L$1,L$2,A85)</f>
        <v>0</v>
      </c>
      <c r="M85" s="32">
        <f ca="1">_xll.DBRW($C$1,$C$2,$C$3,$C$4,$C$6,$C$5,$C$7,M$1,M$2,A85)</f>
        <v>0</v>
      </c>
      <c r="N85" s="32">
        <f ca="1">_xll.DBRW($C$1,$C$2,$C$3,$C$4,$C$6,$C$5,$C$7,N$1,N$2,A85)</f>
        <v>0</v>
      </c>
      <c r="O85" s="32">
        <f ca="1">_xll.DBRW($C$1,$C$2,$C$3,$C$4,$C$6,$C$5,$C$7,O$1,O$2,A85)</f>
        <v>0</v>
      </c>
      <c r="P85" s="32">
        <f ca="1">_xll.DBRW($C$1,$C$2,$C$3,$C$4,$C$6,$C$5,$C$7,P$1,P$2,A85)</f>
        <v>0</v>
      </c>
      <c r="Q85" s="32">
        <f ca="1">_xll.DBRW($C$1,$C$2,$C$3,$C$4,$C$6,$C$5,$C$7,Q$1,Q$2,A85)</f>
        <v>0</v>
      </c>
      <c r="R85" s="32">
        <f ca="1">_xll.DBRW($C$1,$C$2,$C$3,$C$4,$C$6,$C$5,$C$7,R$1,R$2,A85)</f>
        <v>0</v>
      </c>
      <c r="S85" s="32">
        <f ca="1">_xll.DBRW($C$1,$C$2,$C$3,$C$4,$C$6,$C$5,$C$7,S$1,S$2,A85)</f>
        <v>0</v>
      </c>
      <c r="T85" s="32">
        <f ca="1">_xll.DBRW($C$1,$C$2,$C$3,$C$4,$C$6,$C$5,$C$7,T$1,T$2,A85)</f>
        <v>0</v>
      </c>
      <c r="U85" s="32">
        <f ca="1">_xll.DBRW($C$1,$C$2,$C$3,$C$4,$C$6,$C$5,$C$7,U$1,U$2,A85)</f>
        <v>0</v>
      </c>
      <c r="V85" s="32">
        <f ca="1">_xll.DBRW($C$1,$C$2,$C$3,$C$4,$C$6,$C$5,$C$7,V$1,V$2,A85)</f>
        <v>0</v>
      </c>
      <c r="W85" s="32">
        <f ca="1">_xll.DBRW($C$1,$C$2,$C$3,$C$4,$C$6,$C$5,$C$7,W$1,W$2,A85)</f>
        <v>0</v>
      </c>
      <c r="X85" s="32">
        <f ca="1">_xll.DBRW($C$1,$C$2,$C$3,$C$4,$C$6,$C$5,$C$7,X$1,X$2,A85)</f>
        <v>0</v>
      </c>
      <c r="Y85" s="32">
        <f ca="1">_xll.DBRW($C$1,$C$2,$C$3,$C$4,$C$6,$C$5,$C$7,Y$1,Y$2,A85)</f>
        <v>0</v>
      </c>
      <c r="Z85" s="32">
        <f ca="1">_xll.DBRW($C$1,$C$2,$C$3,$C$4,$C$6,$C$5,$C$7,Z$1,Z$2,A85)</f>
        <v>0</v>
      </c>
      <c r="AA85" s="32">
        <f ca="1">_xll.DBRW($C$1,$C$2,$C$3,$C$4,$C$6,$C$5,$C$7,AA$1,AA$2,A85)</f>
        <v>0</v>
      </c>
      <c r="AB85" s="32">
        <f ca="1">_xll.DBRW($C$1,$C$2,$C$3,$C$4,$C$6,$C$5,$C$7,AB$1,AB$2,A85)</f>
        <v>0</v>
      </c>
      <c r="AC85" s="32">
        <f ca="1">_xll.DBRW($C$1,$C$2,$C$3,$C$4,$C$6,$C$5,$C$7,AC$1,AC$2,A85)</f>
        <v>0</v>
      </c>
      <c r="AD85" s="32">
        <f ca="1">_xll.DBRW($C$1,$C$2,$C$3,$C$4,$C$6,$C$5,$C$7,AD$1,AD$2,A85)</f>
        <v>0</v>
      </c>
      <c r="AE85" s="32">
        <f ca="1">_xll.DBRW($C$1,$C$2,$C$3,$C$4,$C$6,$C$5,$C$7,AE$1,AE$2,A85)</f>
        <v>0</v>
      </c>
      <c r="AF85" s="32">
        <f ca="1">_xll.DBRW($C$1,$C$2,$C$3,$C$4,$C$6,$C$5,$C$7,AF$1,AF$2,A85)</f>
        <v>0</v>
      </c>
      <c r="AG85" s="32">
        <f ca="1">_xll.DBRW($C$1,$C$2,$C$3,$C$4,$C$6,$C$5,$C$7,AG$1,AG$2,A85)</f>
        <v>0</v>
      </c>
      <c r="AH85" s="32">
        <f ca="1">_xll.DBRW($C$1,$C$2,$C$3,$C$4,$C$6,$C$5,$C$7,AH$1,AH$2,A85)</f>
        <v>0</v>
      </c>
      <c r="AI85" s="32">
        <f ca="1">_xll.DBRW($C$1,$C$2,$C$3,$C$4,$C$6,$C$5,$C$7,AI$1,AI$2,A85)</f>
        <v>0</v>
      </c>
      <c r="AJ85" s="32">
        <f ca="1">_xll.DBRW($C$1,$C$2,$C$3,$C$4,$C$6,$C$5,$C$7,AJ$1,AJ$2,A85)</f>
        <v>0</v>
      </c>
      <c r="AK85" s="32">
        <f ca="1">_xll.DBRW($C$1,$C$2,$C$3,$C$4,$C$6,$C$5,$C$7,AK$1,AK$2,A85)</f>
        <v>0</v>
      </c>
      <c r="AL85" s="32">
        <f ca="1">_xll.DBRW($C$1,$C$2,$C$3,$C$4,$C$6,$C$5,$C$7,AL$1,AL$2,A85)</f>
        <v>0</v>
      </c>
      <c r="AM85" s="32">
        <f ca="1">_xll.DBRW($C$1,$C$2,$C$3,$C$4,$C$6,$C$5,$C$7,AM$1,AM$2,A85)</f>
        <v>0</v>
      </c>
      <c r="AN85" s="32">
        <f ca="1">_xll.DBRW($C$1,$C$2,$C$3,$C$4,$C$6,$C$5,$C$7,AN$1,AN$2,A85)</f>
        <v>0</v>
      </c>
      <c r="AO85" s="32">
        <f ca="1">_xll.DBRW($C$1,$C$2,$C$3,$C$4,$C$6,$C$5,$C$7,AO$1,AO$2,A85)</f>
        <v>0</v>
      </c>
      <c r="AP85" s="32">
        <f ca="1">_xll.DBRW($C$1,$C$2,$C$3,$C$4,$C$6,$C$5,$C$7,AP$1,AP$2,A85)</f>
        <v>0</v>
      </c>
      <c r="AQ85" s="32">
        <f ca="1">_xll.DBRW($C$1,$C$2,$C$3,$C$4,$C$6,$C$5,$C$7,AQ$1,AQ$2,A85)</f>
        <v>0</v>
      </c>
      <c r="AR85" s="32">
        <f ca="1">_xll.DBRW($C$1,$C$2,$C$3,$C$4,$C$6,$C$5,$C$7,AR$1,AR$2,A85)</f>
        <v>0</v>
      </c>
      <c r="AS85" s="32">
        <f ca="1">_xll.DBRW($C$1,$C$2,$C$3,$C$4,$C$6,$C$5,$C$7,AS$1,AS$2,A85)</f>
        <v>0</v>
      </c>
      <c r="AT85" s="32">
        <f ca="1">_xll.DBRW($C$1,$C$2,$C$3,$C$4,$C$6,$C$5,$C$7,AT$1,AT$2,A85)</f>
        <v>0</v>
      </c>
      <c r="AU85" s="32">
        <f ca="1">_xll.DBRW($C$1,$C$2,$C$3,$C$4,$C$6,$C$5,$C$7,AU$1,AU$2,A85)</f>
        <v>0</v>
      </c>
    </row>
    <row r="86" spans="1:47" ht="15.75" hidden="1" customHeight="1" outlineLevel="2">
      <c r="A86" s="1" t="s">
        <v>175</v>
      </c>
      <c r="C86" s="141"/>
      <c r="E86" s="9" t="str">
        <f ca="1">_xll.DBRW(Server&amp;"}ElementAttributes_Indicator",A86,"code_English")</f>
        <v>PL1115_ET_802 - Fuel Tax reimbursement</v>
      </c>
      <c r="F86" s="32">
        <f ca="1">_xll.DBRW($C$1,$C$2,$C$3,$C$4,$C$6,$C$5,$C$7,F$1,F$2,A86)</f>
        <v>0</v>
      </c>
      <c r="G86" s="32">
        <f ca="1">_xll.DBRW($C$1,$C$2,$C$3,$C$4,$C$6,$C$5,$C$7,G$1,G$2,A86)</f>
        <v>0</v>
      </c>
      <c r="H86" s="32">
        <f ca="1">_xll.DBRW($C$1,$C$2,$C$3,$C$4,$C$6,$C$5,$C$7,H$1,H$2,A86)</f>
        <v>0</v>
      </c>
      <c r="I86" s="32">
        <f ca="1">_xll.DBRW($C$1,$C$2,$C$3,$C$4,$C$6,$C$5,$C$7,I$1,I$2,A86)</f>
        <v>0</v>
      </c>
      <c r="J86" s="32">
        <f ca="1">_xll.DBRW($C$1,$C$2,$C$3,$C$4,$C$6,$C$5,$C$7,J$1,J$2,A86)</f>
        <v>0</v>
      </c>
      <c r="K86" s="32">
        <f ca="1">_xll.DBRW($C$1,$C$2,$C$3,$C$4,$C$6,$C$5,$C$7,K$1,K$2,A86)</f>
        <v>0</v>
      </c>
      <c r="L86" s="32">
        <f ca="1">_xll.DBRW($C$1,$C$2,$C$3,$C$4,$C$6,$C$5,$C$7,L$1,L$2,A86)</f>
        <v>0</v>
      </c>
      <c r="M86" s="32">
        <f ca="1">_xll.DBRW($C$1,$C$2,$C$3,$C$4,$C$6,$C$5,$C$7,M$1,M$2,A86)</f>
        <v>0</v>
      </c>
      <c r="N86" s="32">
        <f ca="1">_xll.DBRW($C$1,$C$2,$C$3,$C$4,$C$6,$C$5,$C$7,N$1,N$2,A86)</f>
        <v>0</v>
      </c>
      <c r="O86" s="32">
        <f ca="1">_xll.DBRW($C$1,$C$2,$C$3,$C$4,$C$6,$C$5,$C$7,O$1,O$2,A86)</f>
        <v>0</v>
      </c>
      <c r="P86" s="32">
        <f ca="1">_xll.DBRW($C$1,$C$2,$C$3,$C$4,$C$6,$C$5,$C$7,P$1,P$2,A86)</f>
        <v>0</v>
      </c>
      <c r="Q86" s="32">
        <f ca="1">_xll.DBRW($C$1,$C$2,$C$3,$C$4,$C$6,$C$5,$C$7,Q$1,Q$2,A86)</f>
        <v>0</v>
      </c>
      <c r="R86" s="32">
        <f ca="1">_xll.DBRW($C$1,$C$2,$C$3,$C$4,$C$6,$C$5,$C$7,R$1,R$2,A86)</f>
        <v>0</v>
      </c>
      <c r="S86" s="32">
        <f ca="1">_xll.DBRW($C$1,$C$2,$C$3,$C$4,$C$6,$C$5,$C$7,S$1,S$2,A86)</f>
        <v>0</v>
      </c>
      <c r="T86" s="32">
        <f ca="1">_xll.DBRW($C$1,$C$2,$C$3,$C$4,$C$6,$C$5,$C$7,T$1,T$2,A86)</f>
        <v>0</v>
      </c>
      <c r="U86" s="32">
        <f ca="1">_xll.DBRW($C$1,$C$2,$C$3,$C$4,$C$6,$C$5,$C$7,U$1,U$2,A86)</f>
        <v>0</v>
      </c>
      <c r="V86" s="32">
        <f ca="1">_xll.DBRW($C$1,$C$2,$C$3,$C$4,$C$6,$C$5,$C$7,V$1,V$2,A86)</f>
        <v>0</v>
      </c>
      <c r="W86" s="32">
        <f ca="1">_xll.DBRW($C$1,$C$2,$C$3,$C$4,$C$6,$C$5,$C$7,W$1,W$2,A86)</f>
        <v>0</v>
      </c>
      <c r="X86" s="32">
        <f ca="1">_xll.DBRW($C$1,$C$2,$C$3,$C$4,$C$6,$C$5,$C$7,X$1,X$2,A86)</f>
        <v>0</v>
      </c>
      <c r="Y86" s="32">
        <f ca="1">_xll.DBRW($C$1,$C$2,$C$3,$C$4,$C$6,$C$5,$C$7,Y$1,Y$2,A86)</f>
        <v>0</v>
      </c>
      <c r="Z86" s="32">
        <f ca="1">_xll.DBRW($C$1,$C$2,$C$3,$C$4,$C$6,$C$5,$C$7,Z$1,Z$2,A86)</f>
        <v>0</v>
      </c>
      <c r="AA86" s="32">
        <f ca="1">_xll.DBRW($C$1,$C$2,$C$3,$C$4,$C$6,$C$5,$C$7,AA$1,AA$2,A86)</f>
        <v>0</v>
      </c>
      <c r="AB86" s="32">
        <f ca="1">_xll.DBRW($C$1,$C$2,$C$3,$C$4,$C$6,$C$5,$C$7,AB$1,AB$2,A86)</f>
        <v>0</v>
      </c>
      <c r="AC86" s="32">
        <f ca="1">_xll.DBRW($C$1,$C$2,$C$3,$C$4,$C$6,$C$5,$C$7,AC$1,AC$2,A86)</f>
        <v>0</v>
      </c>
      <c r="AD86" s="32">
        <f ca="1">_xll.DBRW($C$1,$C$2,$C$3,$C$4,$C$6,$C$5,$C$7,AD$1,AD$2,A86)</f>
        <v>0</v>
      </c>
      <c r="AE86" s="32">
        <f ca="1">_xll.DBRW($C$1,$C$2,$C$3,$C$4,$C$6,$C$5,$C$7,AE$1,AE$2,A86)</f>
        <v>0</v>
      </c>
      <c r="AF86" s="32">
        <f ca="1">_xll.DBRW($C$1,$C$2,$C$3,$C$4,$C$6,$C$5,$C$7,AF$1,AF$2,A86)</f>
        <v>0</v>
      </c>
      <c r="AG86" s="32">
        <f ca="1">_xll.DBRW($C$1,$C$2,$C$3,$C$4,$C$6,$C$5,$C$7,AG$1,AG$2,A86)</f>
        <v>0</v>
      </c>
      <c r="AH86" s="32">
        <f ca="1">_xll.DBRW($C$1,$C$2,$C$3,$C$4,$C$6,$C$5,$C$7,AH$1,AH$2,A86)</f>
        <v>0</v>
      </c>
      <c r="AI86" s="32">
        <f ca="1">_xll.DBRW($C$1,$C$2,$C$3,$C$4,$C$6,$C$5,$C$7,AI$1,AI$2,A86)</f>
        <v>0</v>
      </c>
      <c r="AJ86" s="32">
        <f ca="1">_xll.DBRW($C$1,$C$2,$C$3,$C$4,$C$6,$C$5,$C$7,AJ$1,AJ$2,A86)</f>
        <v>0</v>
      </c>
      <c r="AK86" s="32">
        <f ca="1">_xll.DBRW($C$1,$C$2,$C$3,$C$4,$C$6,$C$5,$C$7,AK$1,AK$2,A86)</f>
        <v>0</v>
      </c>
      <c r="AL86" s="32">
        <f ca="1">_xll.DBRW($C$1,$C$2,$C$3,$C$4,$C$6,$C$5,$C$7,AL$1,AL$2,A86)</f>
        <v>0</v>
      </c>
      <c r="AM86" s="32">
        <f ca="1">_xll.DBRW($C$1,$C$2,$C$3,$C$4,$C$6,$C$5,$C$7,AM$1,AM$2,A86)</f>
        <v>0</v>
      </c>
      <c r="AN86" s="32">
        <f ca="1">_xll.DBRW($C$1,$C$2,$C$3,$C$4,$C$6,$C$5,$C$7,AN$1,AN$2,A86)</f>
        <v>0</v>
      </c>
      <c r="AO86" s="32">
        <f ca="1">_xll.DBRW($C$1,$C$2,$C$3,$C$4,$C$6,$C$5,$C$7,AO$1,AO$2,A86)</f>
        <v>0</v>
      </c>
      <c r="AP86" s="32">
        <f ca="1">_xll.DBRW($C$1,$C$2,$C$3,$C$4,$C$6,$C$5,$C$7,AP$1,AP$2,A86)</f>
        <v>0</v>
      </c>
      <c r="AQ86" s="32">
        <f ca="1">_xll.DBRW($C$1,$C$2,$C$3,$C$4,$C$6,$C$5,$C$7,AQ$1,AQ$2,A86)</f>
        <v>0</v>
      </c>
      <c r="AR86" s="32">
        <f ca="1">_xll.DBRW($C$1,$C$2,$C$3,$C$4,$C$6,$C$5,$C$7,AR$1,AR$2,A86)</f>
        <v>0</v>
      </c>
      <c r="AS86" s="32">
        <f ca="1">_xll.DBRW($C$1,$C$2,$C$3,$C$4,$C$6,$C$5,$C$7,AS$1,AS$2,A86)</f>
        <v>0</v>
      </c>
      <c r="AT86" s="32">
        <f ca="1">_xll.DBRW($C$1,$C$2,$C$3,$C$4,$C$6,$C$5,$C$7,AT$1,AT$2,A86)</f>
        <v>0</v>
      </c>
      <c r="AU86" s="32">
        <f ca="1">_xll.DBRW($C$1,$C$2,$C$3,$C$4,$C$6,$C$5,$C$7,AU$1,AU$2,A86)</f>
        <v>0</v>
      </c>
    </row>
    <row r="87" spans="1:47" ht="15.75" hidden="1" customHeight="1" outlineLevel="2">
      <c r="A87" s="1" t="s">
        <v>176</v>
      </c>
      <c r="C87" s="141"/>
      <c r="E87" s="9" t="str">
        <f ca="1">_xll.DBRW(Server&amp;"}ElementAttributes_Indicator",A87,"code_English")</f>
        <v>PL1155_ET_15 - Reinvoicing - Fuel</v>
      </c>
      <c r="F87" s="32">
        <f ca="1">_xll.DBRW($C$1,$C$2,$C$3,$C$4,$C$6,$C$5,$C$7,F$1,F$2,A87)</f>
        <v>0</v>
      </c>
      <c r="G87" s="32">
        <f ca="1">_xll.DBRW($C$1,$C$2,$C$3,$C$4,$C$6,$C$5,$C$7,G$1,G$2,A87)</f>
        <v>0</v>
      </c>
      <c r="H87" s="32">
        <f ca="1">_xll.DBRW($C$1,$C$2,$C$3,$C$4,$C$6,$C$5,$C$7,H$1,H$2,A87)</f>
        <v>0</v>
      </c>
      <c r="I87" s="32">
        <f ca="1">_xll.DBRW($C$1,$C$2,$C$3,$C$4,$C$6,$C$5,$C$7,I$1,I$2,A87)</f>
        <v>0</v>
      </c>
      <c r="J87" s="32">
        <f ca="1">_xll.DBRW($C$1,$C$2,$C$3,$C$4,$C$6,$C$5,$C$7,J$1,J$2,A87)</f>
        <v>0</v>
      </c>
      <c r="K87" s="32">
        <f ca="1">_xll.DBRW($C$1,$C$2,$C$3,$C$4,$C$6,$C$5,$C$7,K$1,K$2,A87)</f>
        <v>0</v>
      </c>
      <c r="L87" s="32">
        <f ca="1">_xll.DBRW($C$1,$C$2,$C$3,$C$4,$C$6,$C$5,$C$7,L$1,L$2,A87)</f>
        <v>0</v>
      </c>
      <c r="M87" s="32">
        <f ca="1">_xll.DBRW($C$1,$C$2,$C$3,$C$4,$C$6,$C$5,$C$7,M$1,M$2,A87)</f>
        <v>0</v>
      </c>
      <c r="N87" s="32">
        <f ca="1">_xll.DBRW($C$1,$C$2,$C$3,$C$4,$C$6,$C$5,$C$7,N$1,N$2,A87)</f>
        <v>0</v>
      </c>
      <c r="O87" s="32">
        <f ca="1">_xll.DBRW($C$1,$C$2,$C$3,$C$4,$C$6,$C$5,$C$7,O$1,O$2,A87)</f>
        <v>0</v>
      </c>
      <c r="P87" s="32">
        <f ca="1">_xll.DBRW($C$1,$C$2,$C$3,$C$4,$C$6,$C$5,$C$7,P$1,P$2,A87)</f>
        <v>0</v>
      </c>
      <c r="Q87" s="32">
        <f ca="1">_xll.DBRW($C$1,$C$2,$C$3,$C$4,$C$6,$C$5,$C$7,Q$1,Q$2,A87)</f>
        <v>0</v>
      </c>
      <c r="R87" s="32">
        <f ca="1">_xll.DBRW($C$1,$C$2,$C$3,$C$4,$C$6,$C$5,$C$7,R$1,R$2,A87)</f>
        <v>0</v>
      </c>
      <c r="S87" s="32">
        <f ca="1">_xll.DBRW($C$1,$C$2,$C$3,$C$4,$C$6,$C$5,$C$7,S$1,S$2,A87)</f>
        <v>0</v>
      </c>
      <c r="T87" s="32">
        <f ca="1">_xll.DBRW($C$1,$C$2,$C$3,$C$4,$C$6,$C$5,$C$7,T$1,T$2,A87)</f>
        <v>0</v>
      </c>
      <c r="U87" s="32">
        <f ca="1">_xll.DBRW($C$1,$C$2,$C$3,$C$4,$C$6,$C$5,$C$7,U$1,U$2,A87)</f>
        <v>0</v>
      </c>
      <c r="V87" s="32">
        <f ca="1">_xll.DBRW($C$1,$C$2,$C$3,$C$4,$C$6,$C$5,$C$7,V$1,V$2,A87)</f>
        <v>0</v>
      </c>
      <c r="W87" s="32">
        <f ca="1">_xll.DBRW($C$1,$C$2,$C$3,$C$4,$C$6,$C$5,$C$7,W$1,W$2,A87)</f>
        <v>0</v>
      </c>
      <c r="X87" s="32">
        <f ca="1">_xll.DBRW($C$1,$C$2,$C$3,$C$4,$C$6,$C$5,$C$7,X$1,X$2,A87)</f>
        <v>0</v>
      </c>
      <c r="Y87" s="32">
        <f ca="1">_xll.DBRW($C$1,$C$2,$C$3,$C$4,$C$6,$C$5,$C$7,Y$1,Y$2,A87)</f>
        <v>0</v>
      </c>
      <c r="Z87" s="32">
        <f ca="1">_xll.DBRW($C$1,$C$2,$C$3,$C$4,$C$6,$C$5,$C$7,Z$1,Z$2,A87)</f>
        <v>0</v>
      </c>
      <c r="AA87" s="32">
        <f ca="1">_xll.DBRW($C$1,$C$2,$C$3,$C$4,$C$6,$C$5,$C$7,AA$1,AA$2,A87)</f>
        <v>0</v>
      </c>
      <c r="AB87" s="32">
        <f ca="1">_xll.DBRW($C$1,$C$2,$C$3,$C$4,$C$6,$C$5,$C$7,AB$1,AB$2,A87)</f>
        <v>0</v>
      </c>
      <c r="AC87" s="32">
        <f ca="1">_xll.DBRW($C$1,$C$2,$C$3,$C$4,$C$6,$C$5,$C$7,AC$1,AC$2,A87)</f>
        <v>0</v>
      </c>
      <c r="AD87" s="32">
        <f ca="1">_xll.DBRW($C$1,$C$2,$C$3,$C$4,$C$6,$C$5,$C$7,AD$1,AD$2,A87)</f>
        <v>0</v>
      </c>
      <c r="AE87" s="32">
        <f ca="1">_xll.DBRW($C$1,$C$2,$C$3,$C$4,$C$6,$C$5,$C$7,AE$1,AE$2,A87)</f>
        <v>0</v>
      </c>
      <c r="AF87" s="32">
        <f ca="1">_xll.DBRW($C$1,$C$2,$C$3,$C$4,$C$6,$C$5,$C$7,AF$1,AF$2,A87)</f>
        <v>0</v>
      </c>
      <c r="AG87" s="32">
        <f ca="1">_xll.DBRW($C$1,$C$2,$C$3,$C$4,$C$6,$C$5,$C$7,AG$1,AG$2,A87)</f>
        <v>0</v>
      </c>
      <c r="AH87" s="32">
        <f ca="1">_xll.DBRW($C$1,$C$2,$C$3,$C$4,$C$6,$C$5,$C$7,AH$1,AH$2,A87)</f>
        <v>0</v>
      </c>
      <c r="AI87" s="32">
        <f ca="1">_xll.DBRW($C$1,$C$2,$C$3,$C$4,$C$6,$C$5,$C$7,AI$1,AI$2,A87)</f>
        <v>0</v>
      </c>
      <c r="AJ87" s="32">
        <f ca="1">_xll.DBRW($C$1,$C$2,$C$3,$C$4,$C$6,$C$5,$C$7,AJ$1,AJ$2,A87)</f>
        <v>0</v>
      </c>
      <c r="AK87" s="32">
        <f ca="1">_xll.DBRW($C$1,$C$2,$C$3,$C$4,$C$6,$C$5,$C$7,AK$1,AK$2,A87)</f>
        <v>0</v>
      </c>
      <c r="AL87" s="32">
        <f ca="1">_xll.DBRW($C$1,$C$2,$C$3,$C$4,$C$6,$C$5,$C$7,AL$1,AL$2,A87)</f>
        <v>0</v>
      </c>
      <c r="AM87" s="32">
        <f ca="1">_xll.DBRW($C$1,$C$2,$C$3,$C$4,$C$6,$C$5,$C$7,AM$1,AM$2,A87)</f>
        <v>0</v>
      </c>
      <c r="AN87" s="32">
        <f ca="1">_xll.DBRW($C$1,$C$2,$C$3,$C$4,$C$6,$C$5,$C$7,AN$1,AN$2,A87)</f>
        <v>0</v>
      </c>
      <c r="AO87" s="32">
        <f ca="1">_xll.DBRW($C$1,$C$2,$C$3,$C$4,$C$6,$C$5,$C$7,AO$1,AO$2,A87)</f>
        <v>0</v>
      </c>
      <c r="AP87" s="32">
        <f ca="1">_xll.DBRW($C$1,$C$2,$C$3,$C$4,$C$6,$C$5,$C$7,AP$1,AP$2,A87)</f>
        <v>0</v>
      </c>
      <c r="AQ87" s="32">
        <f ca="1">_xll.DBRW($C$1,$C$2,$C$3,$C$4,$C$6,$C$5,$C$7,AQ$1,AQ$2,A87)</f>
        <v>0</v>
      </c>
      <c r="AR87" s="32">
        <f ca="1">_xll.DBRW($C$1,$C$2,$C$3,$C$4,$C$6,$C$5,$C$7,AR$1,AR$2,A87)</f>
        <v>0</v>
      </c>
      <c r="AS87" s="32">
        <f ca="1">_xll.DBRW($C$1,$C$2,$C$3,$C$4,$C$6,$C$5,$C$7,AS$1,AS$2,A87)</f>
        <v>0</v>
      </c>
      <c r="AT87" s="32">
        <f ca="1">_xll.DBRW($C$1,$C$2,$C$3,$C$4,$C$6,$C$5,$C$7,AT$1,AT$2,A87)</f>
        <v>0</v>
      </c>
      <c r="AU87" s="32">
        <f ca="1">_xll.DBRW($C$1,$C$2,$C$3,$C$4,$C$6,$C$5,$C$7,AU$1,AU$2,A87)</f>
        <v>0</v>
      </c>
    </row>
    <row r="88" spans="1:47" ht="15.75" hidden="1" outlineLevel="1">
      <c r="C88" s="141"/>
      <c r="E88" s="83" t="s">
        <v>29</v>
      </c>
      <c r="F88" s="33">
        <f t="shared" ref="F88:T88" ca="1" si="45">SUM(F84:F87)</f>
        <v>-23838644.210000005</v>
      </c>
      <c r="G88" s="33">
        <f t="shared" ca="1" si="45"/>
        <v>-20375574.099999998</v>
      </c>
      <c r="H88" s="33">
        <f t="shared" ca="1" si="45"/>
        <v>-22876546.940000005</v>
      </c>
      <c r="I88" s="33">
        <f t="shared" ca="1" si="45"/>
        <v>-2205416.1999999997</v>
      </c>
      <c r="J88" s="33">
        <f t="shared" ca="1" si="45"/>
        <v>-4151342.46</v>
      </c>
      <c r="K88" s="33">
        <f t="shared" ca="1" si="45"/>
        <v>-6884600.4100000001</v>
      </c>
      <c r="L88" s="33">
        <f t="shared" ca="1" si="45"/>
        <v>-9471912.4900000002</v>
      </c>
      <c r="M88" s="33">
        <f t="shared" ca="1" si="45"/>
        <v>-11728424.27</v>
      </c>
      <c r="N88" s="33">
        <f t="shared" ca="1" si="45"/>
        <v>-14134934.26</v>
      </c>
      <c r="O88" s="33">
        <f t="shared" ca="1" si="45"/>
        <v>-14134934.26</v>
      </c>
      <c r="P88" s="33">
        <f t="shared" ca="1" si="45"/>
        <v>-14134934.26</v>
      </c>
      <c r="Q88" s="33">
        <f t="shared" ca="1" si="45"/>
        <v>-14134934.26</v>
      </c>
      <c r="R88" s="33">
        <f t="shared" ca="1" si="45"/>
        <v>-14134934.26</v>
      </c>
      <c r="S88" s="33">
        <f t="shared" ca="1" si="45"/>
        <v>-14134934.26</v>
      </c>
      <c r="T88" s="33">
        <f t="shared" ca="1" si="45"/>
        <v>-14134934.26</v>
      </c>
      <c r="U88" s="33">
        <f ca="1">SUM(U84:U87)</f>
        <v>-14134934.26</v>
      </c>
      <c r="V88" s="33">
        <f t="shared" ref="V88:AG88" ca="1" si="46">SUM(V84:V87)</f>
        <v>0</v>
      </c>
      <c r="W88" s="33">
        <f t="shared" ca="1" si="46"/>
        <v>0</v>
      </c>
      <c r="X88" s="33">
        <f t="shared" ca="1" si="46"/>
        <v>0</v>
      </c>
      <c r="Y88" s="33">
        <f t="shared" ca="1" si="46"/>
        <v>0</v>
      </c>
      <c r="Z88" s="33">
        <f t="shared" ca="1" si="46"/>
        <v>0</v>
      </c>
      <c r="AA88" s="33">
        <f t="shared" ca="1" si="46"/>
        <v>0</v>
      </c>
      <c r="AB88" s="33">
        <f t="shared" ca="1" si="46"/>
        <v>0</v>
      </c>
      <c r="AC88" s="33">
        <f t="shared" ca="1" si="46"/>
        <v>0</v>
      </c>
      <c r="AD88" s="33">
        <f t="shared" ca="1" si="46"/>
        <v>0</v>
      </c>
      <c r="AE88" s="33">
        <f t="shared" ca="1" si="46"/>
        <v>0</v>
      </c>
      <c r="AF88" s="33">
        <f t="shared" ca="1" si="46"/>
        <v>0</v>
      </c>
      <c r="AG88" s="33">
        <f t="shared" ca="1" si="46"/>
        <v>0</v>
      </c>
      <c r="AH88" s="33">
        <f ca="1">SUM(AH84:AH87)</f>
        <v>0</v>
      </c>
      <c r="AI88" s="33">
        <f t="shared" ref="AI88:AT88" ca="1" si="47">SUM(AI84:AI87)</f>
        <v>0</v>
      </c>
      <c r="AJ88" s="33">
        <f t="shared" ca="1" si="47"/>
        <v>0</v>
      </c>
      <c r="AK88" s="33">
        <f t="shared" ca="1" si="47"/>
        <v>0</v>
      </c>
      <c r="AL88" s="33">
        <f t="shared" ca="1" si="47"/>
        <v>0</v>
      </c>
      <c r="AM88" s="33">
        <f t="shared" ca="1" si="47"/>
        <v>0</v>
      </c>
      <c r="AN88" s="33">
        <f t="shared" ca="1" si="47"/>
        <v>0</v>
      </c>
      <c r="AO88" s="33">
        <f t="shared" ca="1" si="47"/>
        <v>0</v>
      </c>
      <c r="AP88" s="33">
        <f t="shared" ca="1" si="47"/>
        <v>0</v>
      </c>
      <c r="AQ88" s="33">
        <f t="shared" ca="1" si="47"/>
        <v>0</v>
      </c>
      <c r="AR88" s="33">
        <f t="shared" ca="1" si="47"/>
        <v>0</v>
      </c>
      <c r="AS88" s="33">
        <f t="shared" ca="1" si="47"/>
        <v>0</v>
      </c>
      <c r="AT88" s="33">
        <f t="shared" ca="1" si="47"/>
        <v>0</v>
      </c>
      <c r="AU88" s="33">
        <f ca="1">SUM(AU84:AU87)</f>
        <v>0</v>
      </c>
    </row>
    <row r="89" spans="1:47" ht="15.75" hidden="1" customHeight="1" outlineLevel="2">
      <c r="A89" s="1" t="s">
        <v>177</v>
      </c>
      <c r="C89" s="141"/>
      <c r="E89" s="9" t="str">
        <f ca="1">_xll.DBRW(Server&amp;"}ElementAttributes_Indicator",A89,"code_English")</f>
        <v>PL1115_ET_81 - Bio fuel</v>
      </c>
      <c r="F89" s="32">
        <f ca="1">_xll.DBRW($C$1,$C$2,$C$3,$C$4,$C$6,$C$5,$C$7,F$1,F$2,A89)</f>
        <v>-1537555.4499999997</v>
      </c>
      <c r="G89" s="32">
        <f ca="1">_xll.DBRW($C$1,$C$2,$C$3,$C$4,$C$6,$C$5,$C$7,G$1,G$2,A89)</f>
        <v>-1192841.3099999998</v>
      </c>
      <c r="H89" s="32">
        <f ca="1">_xll.DBRW($C$1,$C$2,$C$3,$C$4,$C$6,$C$5,$C$7,H$1,H$2,A89)</f>
        <v>-1348980.29</v>
      </c>
      <c r="I89" s="32">
        <f ca="1">_xll.DBRW($C$1,$C$2,$C$3,$C$4,$C$6,$C$5,$C$7,I$1,I$2,A89)</f>
        <v>-152972.73000000001</v>
      </c>
      <c r="J89" s="32">
        <f ca="1">_xll.DBRW($C$1,$C$2,$C$3,$C$4,$C$6,$C$5,$C$7,J$1,J$2,A89)</f>
        <v>-309550.61</v>
      </c>
      <c r="K89" s="32">
        <f ca="1">_xll.DBRW($C$1,$C$2,$C$3,$C$4,$C$6,$C$5,$C$7,K$1,K$2,A89)</f>
        <v>-552831.41</v>
      </c>
      <c r="L89" s="32">
        <f ca="1">_xll.DBRW($C$1,$C$2,$C$3,$C$4,$C$6,$C$5,$C$7,L$1,L$2,A89)</f>
        <v>-747367.77</v>
      </c>
      <c r="M89" s="32">
        <f ca="1">_xll.DBRW($C$1,$C$2,$C$3,$C$4,$C$6,$C$5,$C$7,M$1,M$2,A89)</f>
        <v>-961104.42</v>
      </c>
      <c r="N89" s="32">
        <f ca="1">_xll.DBRW($C$1,$C$2,$C$3,$C$4,$C$6,$C$5,$C$7,N$1,N$2,A89)</f>
        <v>-1161034.02</v>
      </c>
      <c r="O89" s="32">
        <f ca="1">_xll.DBRW($C$1,$C$2,$C$3,$C$4,$C$6,$C$5,$C$7,O$1,O$2,A89)</f>
        <v>-1161034.02</v>
      </c>
      <c r="P89" s="32">
        <f ca="1">_xll.DBRW($C$1,$C$2,$C$3,$C$4,$C$6,$C$5,$C$7,P$1,P$2,A89)</f>
        <v>-1161034.02</v>
      </c>
      <c r="Q89" s="32">
        <f ca="1">_xll.DBRW($C$1,$C$2,$C$3,$C$4,$C$6,$C$5,$C$7,Q$1,Q$2,A89)</f>
        <v>-1161034.02</v>
      </c>
      <c r="R89" s="32">
        <f ca="1">_xll.DBRW($C$1,$C$2,$C$3,$C$4,$C$6,$C$5,$C$7,R$1,R$2,A89)</f>
        <v>-1161034.02</v>
      </c>
      <c r="S89" s="32">
        <f ca="1">_xll.DBRW($C$1,$C$2,$C$3,$C$4,$C$6,$C$5,$C$7,S$1,S$2,A89)</f>
        <v>-1161034.02</v>
      </c>
      <c r="T89" s="32">
        <f ca="1">_xll.DBRW($C$1,$C$2,$C$3,$C$4,$C$6,$C$5,$C$7,T$1,T$2,A89)</f>
        <v>-1161034.02</v>
      </c>
      <c r="U89" s="32">
        <f ca="1">_xll.DBRW($C$1,$C$2,$C$3,$C$4,$C$6,$C$5,$C$7,U$1,U$2,A89)</f>
        <v>-1161034.02</v>
      </c>
      <c r="V89" s="32">
        <f ca="1">_xll.DBRW($C$1,$C$2,$C$3,$C$4,$C$6,$C$5,$C$7,V$1,V$2,A89)</f>
        <v>0</v>
      </c>
      <c r="W89" s="32">
        <f ca="1">_xll.DBRW($C$1,$C$2,$C$3,$C$4,$C$6,$C$5,$C$7,W$1,W$2,A89)</f>
        <v>0</v>
      </c>
      <c r="X89" s="32">
        <f ca="1">_xll.DBRW($C$1,$C$2,$C$3,$C$4,$C$6,$C$5,$C$7,X$1,X$2,A89)</f>
        <v>0</v>
      </c>
      <c r="Y89" s="32">
        <f ca="1">_xll.DBRW($C$1,$C$2,$C$3,$C$4,$C$6,$C$5,$C$7,Y$1,Y$2,A89)</f>
        <v>0</v>
      </c>
      <c r="Z89" s="32">
        <f ca="1">_xll.DBRW($C$1,$C$2,$C$3,$C$4,$C$6,$C$5,$C$7,Z$1,Z$2,A89)</f>
        <v>0</v>
      </c>
      <c r="AA89" s="32">
        <f ca="1">_xll.DBRW($C$1,$C$2,$C$3,$C$4,$C$6,$C$5,$C$7,AA$1,AA$2,A89)</f>
        <v>0</v>
      </c>
      <c r="AB89" s="32">
        <f ca="1">_xll.DBRW($C$1,$C$2,$C$3,$C$4,$C$6,$C$5,$C$7,AB$1,AB$2,A89)</f>
        <v>0</v>
      </c>
      <c r="AC89" s="32">
        <f ca="1">_xll.DBRW($C$1,$C$2,$C$3,$C$4,$C$6,$C$5,$C$7,AC$1,AC$2,A89)</f>
        <v>0</v>
      </c>
      <c r="AD89" s="32">
        <f ca="1">_xll.DBRW($C$1,$C$2,$C$3,$C$4,$C$6,$C$5,$C$7,AD$1,AD$2,A89)</f>
        <v>0</v>
      </c>
      <c r="AE89" s="32">
        <f ca="1">_xll.DBRW($C$1,$C$2,$C$3,$C$4,$C$6,$C$5,$C$7,AE$1,AE$2,A89)</f>
        <v>0</v>
      </c>
      <c r="AF89" s="32">
        <f ca="1">_xll.DBRW($C$1,$C$2,$C$3,$C$4,$C$6,$C$5,$C$7,AF$1,AF$2,A89)</f>
        <v>0</v>
      </c>
      <c r="AG89" s="32">
        <f ca="1">_xll.DBRW($C$1,$C$2,$C$3,$C$4,$C$6,$C$5,$C$7,AG$1,AG$2,A89)</f>
        <v>0</v>
      </c>
      <c r="AH89" s="32">
        <f ca="1">_xll.DBRW($C$1,$C$2,$C$3,$C$4,$C$6,$C$5,$C$7,AH$1,AH$2,A89)</f>
        <v>0</v>
      </c>
      <c r="AI89" s="32">
        <f ca="1">_xll.DBRW($C$1,$C$2,$C$3,$C$4,$C$6,$C$5,$C$7,AI$1,AI$2,A89)</f>
        <v>0</v>
      </c>
      <c r="AJ89" s="32">
        <f ca="1">_xll.DBRW($C$1,$C$2,$C$3,$C$4,$C$6,$C$5,$C$7,AJ$1,AJ$2,A89)</f>
        <v>0</v>
      </c>
      <c r="AK89" s="32">
        <f ca="1">_xll.DBRW($C$1,$C$2,$C$3,$C$4,$C$6,$C$5,$C$7,AK$1,AK$2,A89)</f>
        <v>0</v>
      </c>
      <c r="AL89" s="32">
        <f ca="1">_xll.DBRW($C$1,$C$2,$C$3,$C$4,$C$6,$C$5,$C$7,AL$1,AL$2,A89)</f>
        <v>0</v>
      </c>
      <c r="AM89" s="32">
        <f ca="1">_xll.DBRW($C$1,$C$2,$C$3,$C$4,$C$6,$C$5,$C$7,AM$1,AM$2,A89)</f>
        <v>0</v>
      </c>
      <c r="AN89" s="32">
        <f ca="1">_xll.DBRW($C$1,$C$2,$C$3,$C$4,$C$6,$C$5,$C$7,AN$1,AN$2,A89)</f>
        <v>0</v>
      </c>
      <c r="AO89" s="32">
        <f ca="1">_xll.DBRW($C$1,$C$2,$C$3,$C$4,$C$6,$C$5,$C$7,AO$1,AO$2,A89)</f>
        <v>0</v>
      </c>
      <c r="AP89" s="32">
        <f ca="1">_xll.DBRW($C$1,$C$2,$C$3,$C$4,$C$6,$C$5,$C$7,AP$1,AP$2,A89)</f>
        <v>0</v>
      </c>
      <c r="AQ89" s="32">
        <f ca="1">_xll.DBRW($C$1,$C$2,$C$3,$C$4,$C$6,$C$5,$C$7,AQ$1,AQ$2,A89)</f>
        <v>0</v>
      </c>
      <c r="AR89" s="32">
        <f ca="1">_xll.DBRW($C$1,$C$2,$C$3,$C$4,$C$6,$C$5,$C$7,AR$1,AR$2,A89)</f>
        <v>0</v>
      </c>
      <c r="AS89" s="32">
        <f ca="1">_xll.DBRW($C$1,$C$2,$C$3,$C$4,$C$6,$C$5,$C$7,AS$1,AS$2,A89)</f>
        <v>0</v>
      </c>
      <c r="AT89" s="32">
        <f ca="1">_xll.DBRW($C$1,$C$2,$C$3,$C$4,$C$6,$C$5,$C$7,AT$1,AT$2,A89)</f>
        <v>0</v>
      </c>
      <c r="AU89" s="32">
        <f ca="1">_xll.DBRW($C$1,$C$2,$C$3,$C$4,$C$6,$C$5,$C$7,AU$1,AU$2,A89)</f>
        <v>0</v>
      </c>
    </row>
    <row r="90" spans="1:47" ht="15.75" hidden="1" customHeight="1" outlineLevel="2">
      <c r="A90" s="1" t="s">
        <v>178</v>
      </c>
      <c r="C90" s="141"/>
      <c r="E90" s="9" t="str">
        <f ca="1">_xll.DBRW(Server&amp;"}ElementAttributes_Indicator",A90,"code_English")</f>
        <v>PL1155_ET_16 - Reinvoicing - Bio fuel</v>
      </c>
      <c r="F90" s="32">
        <f ca="1">_xll.DBRW($C$1,$C$2,$C$3,$C$4,$C$6,$C$5,$C$7,F$1,F$2,A90)</f>
        <v>0</v>
      </c>
      <c r="G90" s="32">
        <f ca="1">_xll.DBRW($C$1,$C$2,$C$3,$C$4,$C$6,$C$5,$C$7,G$1,G$2,A90)</f>
        <v>0</v>
      </c>
      <c r="H90" s="32">
        <f ca="1">_xll.DBRW($C$1,$C$2,$C$3,$C$4,$C$6,$C$5,$C$7,H$1,H$2,A90)</f>
        <v>0</v>
      </c>
      <c r="I90" s="32">
        <f ca="1">_xll.DBRW($C$1,$C$2,$C$3,$C$4,$C$6,$C$5,$C$7,I$1,I$2,A90)</f>
        <v>0</v>
      </c>
      <c r="J90" s="32">
        <f ca="1">_xll.DBRW($C$1,$C$2,$C$3,$C$4,$C$6,$C$5,$C$7,J$1,J$2,A90)</f>
        <v>0</v>
      </c>
      <c r="K90" s="32">
        <f ca="1">_xll.DBRW($C$1,$C$2,$C$3,$C$4,$C$6,$C$5,$C$7,K$1,K$2,A90)</f>
        <v>0</v>
      </c>
      <c r="L90" s="32">
        <f ca="1">_xll.DBRW($C$1,$C$2,$C$3,$C$4,$C$6,$C$5,$C$7,L$1,L$2,A90)</f>
        <v>0</v>
      </c>
      <c r="M90" s="32">
        <f ca="1">_xll.DBRW($C$1,$C$2,$C$3,$C$4,$C$6,$C$5,$C$7,M$1,M$2,A90)</f>
        <v>0</v>
      </c>
      <c r="N90" s="32">
        <f ca="1">_xll.DBRW($C$1,$C$2,$C$3,$C$4,$C$6,$C$5,$C$7,N$1,N$2,A90)</f>
        <v>0</v>
      </c>
      <c r="O90" s="32">
        <f ca="1">_xll.DBRW($C$1,$C$2,$C$3,$C$4,$C$6,$C$5,$C$7,O$1,O$2,A90)</f>
        <v>0</v>
      </c>
      <c r="P90" s="32">
        <f ca="1">_xll.DBRW($C$1,$C$2,$C$3,$C$4,$C$6,$C$5,$C$7,P$1,P$2,A90)</f>
        <v>0</v>
      </c>
      <c r="Q90" s="32">
        <f ca="1">_xll.DBRW($C$1,$C$2,$C$3,$C$4,$C$6,$C$5,$C$7,Q$1,Q$2,A90)</f>
        <v>0</v>
      </c>
      <c r="R90" s="32">
        <f ca="1">_xll.DBRW($C$1,$C$2,$C$3,$C$4,$C$6,$C$5,$C$7,R$1,R$2,A90)</f>
        <v>0</v>
      </c>
      <c r="S90" s="32">
        <f ca="1">_xll.DBRW($C$1,$C$2,$C$3,$C$4,$C$6,$C$5,$C$7,S$1,S$2,A90)</f>
        <v>0</v>
      </c>
      <c r="T90" s="32">
        <f ca="1">_xll.DBRW($C$1,$C$2,$C$3,$C$4,$C$6,$C$5,$C$7,T$1,T$2,A90)</f>
        <v>0</v>
      </c>
      <c r="U90" s="32">
        <f ca="1">_xll.DBRW($C$1,$C$2,$C$3,$C$4,$C$6,$C$5,$C$7,U$1,U$2,A90)</f>
        <v>0</v>
      </c>
      <c r="V90" s="32">
        <f ca="1">_xll.DBRW($C$1,$C$2,$C$3,$C$4,$C$6,$C$5,$C$7,V$1,V$2,A90)</f>
        <v>0</v>
      </c>
      <c r="W90" s="32">
        <f ca="1">_xll.DBRW($C$1,$C$2,$C$3,$C$4,$C$6,$C$5,$C$7,W$1,W$2,A90)</f>
        <v>0</v>
      </c>
      <c r="X90" s="32">
        <f ca="1">_xll.DBRW($C$1,$C$2,$C$3,$C$4,$C$6,$C$5,$C$7,X$1,X$2,A90)</f>
        <v>0</v>
      </c>
      <c r="Y90" s="32">
        <f ca="1">_xll.DBRW($C$1,$C$2,$C$3,$C$4,$C$6,$C$5,$C$7,Y$1,Y$2,A90)</f>
        <v>0</v>
      </c>
      <c r="Z90" s="32">
        <f ca="1">_xll.DBRW($C$1,$C$2,$C$3,$C$4,$C$6,$C$5,$C$7,Z$1,Z$2,A90)</f>
        <v>0</v>
      </c>
      <c r="AA90" s="32">
        <f ca="1">_xll.DBRW($C$1,$C$2,$C$3,$C$4,$C$6,$C$5,$C$7,AA$1,AA$2,A90)</f>
        <v>0</v>
      </c>
      <c r="AB90" s="32">
        <f ca="1">_xll.DBRW($C$1,$C$2,$C$3,$C$4,$C$6,$C$5,$C$7,AB$1,AB$2,A90)</f>
        <v>0</v>
      </c>
      <c r="AC90" s="32">
        <f ca="1">_xll.DBRW($C$1,$C$2,$C$3,$C$4,$C$6,$C$5,$C$7,AC$1,AC$2,A90)</f>
        <v>0</v>
      </c>
      <c r="AD90" s="32">
        <f ca="1">_xll.DBRW($C$1,$C$2,$C$3,$C$4,$C$6,$C$5,$C$7,AD$1,AD$2,A90)</f>
        <v>0</v>
      </c>
      <c r="AE90" s="32">
        <f ca="1">_xll.DBRW($C$1,$C$2,$C$3,$C$4,$C$6,$C$5,$C$7,AE$1,AE$2,A90)</f>
        <v>0</v>
      </c>
      <c r="AF90" s="32">
        <f ca="1">_xll.DBRW($C$1,$C$2,$C$3,$C$4,$C$6,$C$5,$C$7,AF$1,AF$2,A90)</f>
        <v>0</v>
      </c>
      <c r="AG90" s="32">
        <f ca="1">_xll.DBRW($C$1,$C$2,$C$3,$C$4,$C$6,$C$5,$C$7,AG$1,AG$2,A90)</f>
        <v>0</v>
      </c>
      <c r="AH90" s="32">
        <f ca="1">_xll.DBRW($C$1,$C$2,$C$3,$C$4,$C$6,$C$5,$C$7,AH$1,AH$2,A90)</f>
        <v>0</v>
      </c>
      <c r="AI90" s="32">
        <f ca="1">_xll.DBRW($C$1,$C$2,$C$3,$C$4,$C$6,$C$5,$C$7,AI$1,AI$2,A90)</f>
        <v>0</v>
      </c>
      <c r="AJ90" s="32">
        <f ca="1">_xll.DBRW($C$1,$C$2,$C$3,$C$4,$C$6,$C$5,$C$7,AJ$1,AJ$2,A90)</f>
        <v>0</v>
      </c>
      <c r="AK90" s="32">
        <f ca="1">_xll.DBRW($C$1,$C$2,$C$3,$C$4,$C$6,$C$5,$C$7,AK$1,AK$2,A90)</f>
        <v>0</v>
      </c>
      <c r="AL90" s="32">
        <f ca="1">_xll.DBRW($C$1,$C$2,$C$3,$C$4,$C$6,$C$5,$C$7,AL$1,AL$2,A90)</f>
        <v>0</v>
      </c>
      <c r="AM90" s="32">
        <f ca="1">_xll.DBRW($C$1,$C$2,$C$3,$C$4,$C$6,$C$5,$C$7,AM$1,AM$2,A90)</f>
        <v>0</v>
      </c>
      <c r="AN90" s="32">
        <f ca="1">_xll.DBRW($C$1,$C$2,$C$3,$C$4,$C$6,$C$5,$C$7,AN$1,AN$2,A90)</f>
        <v>0</v>
      </c>
      <c r="AO90" s="32">
        <f ca="1">_xll.DBRW($C$1,$C$2,$C$3,$C$4,$C$6,$C$5,$C$7,AO$1,AO$2,A90)</f>
        <v>0</v>
      </c>
      <c r="AP90" s="32">
        <f ca="1">_xll.DBRW($C$1,$C$2,$C$3,$C$4,$C$6,$C$5,$C$7,AP$1,AP$2,A90)</f>
        <v>0</v>
      </c>
      <c r="AQ90" s="32">
        <f ca="1">_xll.DBRW($C$1,$C$2,$C$3,$C$4,$C$6,$C$5,$C$7,AQ$1,AQ$2,A90)</f>
        <v>0</v>
      </c>
      <c r="AR90" s="32">
        <f ca="1">_xll.DBRW($C$1,$C$2,$C$3,$C$4,$C$6,$C$5,$C$7,AR$1,AR$2,A90)</f>
        <v>0</v>
      </c>
      <c r="AS90" s="32">
        <f ca="1">_xll.DBRW($C$1,$C$2,$C$3,$C$4,$C$6,$C$5,$C$7,AS$1,AS$2,A90)</f>
        <v>0</v>
      </c>
      <c r="AT90" s="32">
        <f ca="1">_xll.DBRW($C$1,$C$2,$C$3,$C$4,$C$6,$C$5,$C$7,AT$1,AT$2,A90)</f>
        <v>0</v>
      </c>
      <c r="AU90" s="32">
        <f ca="1">_xll.DBRW($C$1,$C$2,$C$3,$C$4,$C$6,$C$5,$C$7,AU$1,AU$2,A90)</f>
        <v>0</v>
      </c>
    </row>
    <row r="91" spans="1:47" ht="15.75" hidden="1" outlineLevel="1">
      <c r="A91" s="1" t="s">
        <v>177</v>
      </c>
      <c r="C91" s="141"/>
      <c r="E91" s="83" t="s">
        <v>30</v>
      </c>
      <c r="F91" s="33">
        <f t="shared" ref="F91:T91" ca="1" si="48">SUM(F89:F90)</f>
        <v>-1537555.4499999997</v>
      </c>
      <c r="G91" s="33">
        <f t="shared" ca="1" si="48"/>
        <v>-1192841.3099999998</v>
      </c>
      <c r="H91" s="33">
        <f t="shared" ca="1" si="48"/>
        <v>-1348980.29</v>
      </c>
      <c r="I91" s="33">
        <f t="shared" ca="1" si="48"/>
        <v>-152972.73000000001</v>
      </c>
      <c r="J91" s="33">
        <f t="shared" ca="1" si="48"/>
        <v>-309550.61</v>
      </c>
      <c r="K91" s="33">
        <f t="shared" ca="1" si="48"/>
        <v>-552831.41</v>
      </c>
      <c r="L91" s="33">
        <f t="shared" ca="1" si="48"/>
        <v>-747367.77</v>
      </c>
      <c r="M91" s="33">
        <f t="shared" ca="1" si="48"/>
        <v>-961104.42</v>
      </c>
      <c r="N91" s="33">
        <f t="shared" ca="1" si="48"/>
        <v>-1161034.02</v>
      </c>
      <c r="O91" s="33">
        <f t="shared" ca="1" si="48"/>
        <v>-1161034.02</v>
      </c>
      <c r="P91" s="33">
        <f t="shared" ca="1" si="48"/>
        <v>-1161034.02</v>
      </c>
      <c r="Q91" s="33">
        <f t="shared" ca="1" si="48"/>
        <v>-1161034.02</v>
      </c>
      <c r="R91" s="33">
        <f t="shared" ca="1" si="48"/>
        <v>-1161034.02</v>
      </c>
      <c r="S91" s="33">
        <f t="shared" ca="1" si="48"/>
        <v>-1161034.02</v>
      </c>
      <c r="T91" s="33">
        <f t="shared" ca="1" si="48"/>
        <v>-1161034.02</v>
      </c>
      <c r="U91" s="33">
        <f ca="1">SUM(U89:U90)</f>
        <v>-1161034.02</v>
      </c>
      <c r="V91" s="33">
        <f ca="1">SUM(V89:V90)</f>
        <v>0</v>
      </c>
      <c r="W91" s="33">
        <f t="shared" ref="W91:AG91" ca="1" si="49">SUM(W89:W90)</f>
        <v>0</v>
      </c>
      <c r="X91" s="33">
        <f t="shared" ca="1" si="49"/>
        <v>0</v>
      </c>
      <c r="Y91" s="33">
        <f t="shared" ca="1" si="49"/>
        <v>0</v>
      </c>
      <c r="Z91" s="33">
        <f t="shared" ca="1" si="49"/>
        <v>0</v>
      </c>
      <c r="AA91" s="33">
        <f t="shared" ca="1" si="49"/>
        <v>0</v>
      </c>
      <c r="AB91" s="33">
        <f t="shared" ca="1" si="49"/>
        <v>0</v>
      </c>
      <c r="AC91" s="33">
        <f t="shared" ca="1" si="49"/>
        <v>0</v>
      </c>
      <c r="AD91" s="33">
        <f t="shared" ca="1" si="49"/>
        <v>0</v>
      </c>
      <c r="AE91" s="33">
        <f t="shared" ca="1" si="49"/>
        <v>0</v>
      </c>
      <c r="AF91" s="33">
        <f t="shared" ca="1" si="49"/>
        <v>0</v>
      </c>
      <c r="AG91" s="33">
        <f t="shared" ca="1" si="49"/>
        <v>0</v>
      </c>
      <c r="AH91" s="33">
        <f ca="1">SUM(AH89:AH90)</f>
        <v>0</v>
      </c>
      <c r="AI91" s="33">
        <f ca="1">SUM(AI89:AI90)</f>
        <v>0</v>
      </c>
      <c r="AJ91" s="33">
        <f t="shared" ref="AJ91:AT91" ca="1" si="50">SUM(AJ89:AJ90)</f>
        <v>0</v>
      </c>
      <c r="AK91" s="33">
        <f t="shared" ca="1" si="50"/>
        <v>0</v>
      </c>
      <c r="AL91" s="33">
        <f t="shared" ca="1" si="50"/>
        <v>0</v>
      </c>
      <c r="AM91" s="33">
        <f t="shared" ca="1" si="50"/>
        <v>0</v>
      </c>
      <c r="AN91" s="33">
        <f t="shared" ca="1" si="50"/>
        <v>0</v>
      </c>
      <c r="AO91" s="33">
        <f t="shared" ca="1" si="50"/>
        <v>0</v>
      </c>
      <c r="AP91" s="33">
        <f t="shared" ca="1" si="50"/>
        <v>0</v>
      </c>
      <c r="AQ91" s="33">
        <f t="shared" ca="1" si="50"/>
        <v>0</v>
      </c>
      <c r="AR91" s="33">
        <f t="shared" ca="1" si="50"/>
        <v>0</v>
      </c>
      <c r="AS91" s="33">
        <f t="shared" ca="1" si="50"/>
        <v>0</v>
      </c>
      <c r="AT91" s="33">
        <f t="shared" ca="1" si="50"/>
        <v>0</v>
      </c>
      <c r="AU91" s="33">
        <f ca="1">SUM(AU89:AU90)</f>
        <v>0</v>
      </c>
    </row>
    <row r="92" spans="1:47" ht="15.75" hidden="1" customHeight="1" outlineLevel="2">
      <c r="A92" s="1" t="s">
        <v>179</v>
      </c>
      <c r="C92" s="141"/>
      <c r="E92" s="9" t="str">
        <f ca="1">_xll.DBRW(Server&amp;"}ElementAttributes_Indicator",A92,"code_English")</f>
        <v>PL1115_ET_82 - Gas</v>
      </c>
      <c r="F92" s="32">
        <f ca="1">_xll.DBRW($C$1,$C$2,$C$3,$C$4,$C$6,$C$5,$C$7,F$1,F$2,A92)</f>
        <v>-11391895.639999999</v>
      </c>
      <c r="G92" s="32">
        <f ca="1">_xll.DBRW($C$1,$C$2,$C$3,$C$4,$C$6,$C$5,$C$7,G$1,G$2,A92)</f>
        <v>-8110932.8700000001</v>
      </c>
      <c r="H92" s="32">
        <f ca="1">_xll.DBRW($C$1,$C$2,$C$3,$C$4,$C$6,$C$5,$C$7,H$1,H$2,A92)</f>
        <v>-10608648.960000001</v>
      </c>
      <c r="I92" s="32">
        <f ca="1">_xll.DBRW($C$1,$C$2,$C$3,$C$4,$C$6,$C$5,$C$7,I$1,I$2,A92)</f>
        <v>-1173909.25</v>
      </c>
      <c r="J92" s="32">
        <f ca="1">_xll.DBRW($C$1,$C$2,$C$3,$C$4,$C$6,$C$5,$C$7,J$1,J$2,A92)</f>
        <v>-2823398.95</v>
      </c>
      <c r="K92" s="32">
        <f ca="1">_xll.DBRW($C$1,$C$2,$C$3,$C$4,$C$6,$C$5,$C$7,K$1,K$2,A92)</f>
        <v>-4606523.55</v>
      </c>
      <c r="L92" s="32">
        <f ca="1">_xll.DBRW($C$1,$C$2,$C$3,$C$4,$C$6,$C$5,$C$7,L$1,L$2,A92)</f>
        <v>-6136277.6999999993</v>
      </c>
      <c r="M92" s="32">
        <f ca="1">_xll.DBRW($C$1,$C$2,$C$3,$C$4,$C$6,$C$5,$C$7,M$1,M$2,A92)</f>
        <v>-7483759.6300000008</v>
      </c>
      <c r="N92" s="32">
        <f ca="1">_xll.DBRW($C$1,$C$2,$C$3,$C$4,$C$6,$C$5,$C$7,N$1,N$2,A92)</f>
        <v>-9264402.1000000015</v>
      </c>
      <c r="O92" s="32">
        <f ca="1">_xll.DBRW($C$1,$C$2,$C$3,$C$4,$C$6,$C$5,$C$7,O$1,O$2,A92)</f>
        <v>-9264402.1000000015</v>
      </c>
      <c r="P92" s="32">
        <f ca="1">_xll.DBRW($C$1,$C$2,$C$3,$C$4,$C$6,$C$5,$C$7,P$1,P$2,A92)</f>
        <v>-9264402.1000000015</v>
      </c>
      <c r="Q92" s="32">
        <f ca="1">_xll.DBRW($C$1,$C$2,$C$3,$C$4,$C$6,$C$5,$C$7,Q$1,Q$2,A92)</f>
        <v>-9264402.1000000015</v>
      </c>
      <c r="R92" s="32">
        <f ca="1">_xll.DBRW($C$1,$C$2,$C$3,$C$4,$C$6,$C$5,$C$7,R$1,R$2,A92)</f>
        <v>-9264402.1000000015</v>
      </c>
      <c r="S92" s="32">
        <f ca="1">_xll.DBRW($C$1,$C$2,$C$3,$C$4,$C$6,$C$5,$C$7,S$1,S$2,A92)</f>
        <v>-9264402.1000000015</v>
      </c>
      <c r="T92" s="32">
        <f ca="1">_xll.DBRW($C$1,$C$2,$C$3,$C$4,$C$6,$C$5,$C$7,T$1,T$2,A92)</f>
        <v>-9264402.1000000015</v>
      </c>
      <c r="U92" s="32">
        <f ca="1">_xll.DBRW($C$1,$C$2,$C$3,$C$4,$C$6,$C$5,$C$7,U$1,U$2,A92)</f>
        <v>-9264402.1000000015</v>
      </c>
      <c r="V92" s="32">
        <f ca="1">_xll.DBRW($C$1,$C$2,$C$3,$C$4,$C$6,$C$5,$C$7,V$1,V$2,A92)</f>
        <v>0</v>
      </c>
      <c r="W92" s="32">
        <f ca="1">_xll.DBRW($C$1,$C$2,$C$3,$C$4,$C$6,$C$5,$C$7,W$1,W$2,A92)</f>
        <v>0</v>
      </c>
      <c r="X92" s="32">
        <f ca="1">_xll.DBRW($C$1,$C$2,$C$3,$C$4,$C$6,$C$5,$C$7,X$1,X$2,A92)</f>
        <v>0</v>
      </c>
      <c r="Y92" s="32">
        <f ca="1">_xll.DBRW($C$1,$C$2,$C$3,$C$4,$C$6,$C$5,$C$7,Y$1,Y$2,A92)</f>
        <v>0</v>
      </c>
      <c r="Z92" s="32">
        <f ca="1">_xll.DBRW($C$1,$C$2,$C$3,$C$4,$C$6,$C$5,$C$7,Z$1,Z$2,A92)</f>
        <v>0</v>
      </c>
      <c r="AA92" s="32">
        <f ca="1">_xll.DBRW($C$1,$C$2,$C$3,$C$4,$C$6,$C$5,$C$7,AA$1,AA$2,A92)</f>
        <v>0</v>
      </c>
      <c r="AB92" s="32">
        <f ca="1">_xll.DBRW($C$1,$C$2,$C$3,$C$4,$C$6,$C$5,$C$7,AB$1,AB$2,A92)</f>
        <v>0</v>
      </c>
      <c r="AC92" s="32">
        <f ca="1">_xll.DBRW($C$1,$C$2,$C$3,$C$4,$C$6,$C$5,$C$7,AC$1,AC$2,A92)</f>
        <v>0</v>
      </c>
      <c r="AD92" s="32">
        <f ca="1">_xll.DBRW($C$1,$C$2,$C$3,$C$4,$C$6,$C$5,$C$7,AD$1,AD$2,A92)</f>
        <v>0</v>
      </c>
      <c r="AE92" s="32">
        <f ca="1">_xll.DBRW($C$1,$C$2,$C$3,$C$4,$C$6,$C$5,$C$7,AE$1,AE$2,A92)</f>
        <v>0</v>
      </c>
      <c r="AF92" s="32">
        <f ca="1">_xll.DBRW($C$1,$C$2,$C$3,$C$4,$C$6,$C$5,$C$7,AF$1,AF$2,A92)</f>
        <v>0</v>
      </c>
      <c r="AG92" s="32">
        <f ca="1">_xll.DBRW($C$1,$C$2,$C$3,$C$4,$C$6,$C$5,$C$7,AG$1,AG$2,A92)</f>
        <v>0</v>
      </c>
      <c r="AH92" s="32">
        <f ca="1">_xll.DBRW($C$1,$C$2,$C$3,$C$4,$C$6,$C$5,$C$7,AH$1,AH$2,A92)</f>
        <v>0</v>
      </c>
      <c r="AI92" s="32">
        <f ca="1">_xll.DBRW($C$1,$C$2,$C$3,$C$4,$C$6,$C$5,$C$7,AI$1,AI$2,A92)</f>
        <v>0</v>
      </c>
      <c r="AJ92" s="32">
        <f ca="1">_xll.DBRW($C$1,$C$2,$C$3,$C$4,$C$6,$C$5,$C$7,AJ$1,AJ$2,A92)</f>
        <v>0</v>
      </c>
      <c r="AK92" s="32">
        <f ca="1">_xll.DBRW($C$1,$C$2,$C$3,$C$4,$C$6,$C$5,$C$7,AK$1,AK$2,A92)</f>
        <v>0</v>
      </c>
      <c r="AL92" s="32">
        <f ca="1">_xll.DBRW($C$1,$C$2,$C$3,$C$4,$C$6,$C$5,$C$7,AL$1,AL$2,A92)</f>
        <v>0</v>
      </c>
      <c r="AM92" s="32">
        <f ca="1">_xll.DBRW($C$1,$C$2,$C$3,$C$4,$C$6,$C$5,$C$7,AM$1,AM$2,A92)</f>
        <v>0</v>
      </c>
      <c r="AN92" s="32">
        <f ca="1">_xll.DBRW($C$1,$C$2,$C$3,$C$4,$C$6,$C$5,$C$7,AN$1,AN$2,A92)</f>
        <v>0</v>
      </c>
      <c r="AO92" s="32">
        <f ca="1">_xll.DBRW($C$1,$C$2,$C$3,$C$4,$C$6,$C$5,$C$7,AO$1,AO$2,A92)</f>
        <v>0</v>
      </c>
      <c r="AP92" s="32">
        <f ca="1">_xll.DBRW($C$1,$C$2,$C$3,$C$4,$C$6,$C$5,$C$7,AP$1,AP$2,A92)</f>
        <v>0</v>
      </c>
      <c r="AQ92" s="32">
        <f ca="1">_xll.DBRW($C$1,$C$2,$C$3,$C$4,$C$6,$C$5,$C$7,AQ$1,AQ$2,A92)</f>
        <v>0</v>
      </c>
      <c r="AR92" s="32">
        <f ca="1">_xll.DBRW($C$1,$C$2,$C$3,$C$4,$C$6,$C$5,$C$7,AR$1,AR$2,A92)</f>
        <v>0</v>
      </c>
      <c r="AS92" s="32">
        <f ca="1">_xll.DBRW($C$1,$C$2,$C$3,$C$4,$C$6,$C$5,$C$7,AS$1,AS$2,A92)</f>
        <v>0</v>
      </c>
      <c r="AT92" s="32">
        <f ca="1">_xll.DBRW($C$1,$C$2,$C$3,$C$4,$C$6,$C$5,$C$7,AT$1,AT$2,A92)</f>
        <v>0</v>
      </c>
      <c r="AU92" s="32">
        <f ca="1">_xll.DBRW($C$1,$C$2,$C$3,$C$4,$C$6,$C$5,$C$7,AU$1,AU$2,A92)</f>
        <v>0</v>
      </c>
    </row>
    <row r="93" spans="1:47" ht="15.75" hidden="1" customHeight="1" outlineLevel="2">
      <c r="A93" s="1" t="s">
        <v>180</v>
      </c>
      <c r="C93" s="141"/>
      <c r="E93" s="9" t="str">
        <f ca="1">_xll.DBRW(Server&amp;"}ElementAttributes_Indicator",A93,"code_English")</f>
        <v>PL1155_ET_17 - Reinvoicing - Gas</v>
      </c>
      <c r="F93" s="32">
        <f ca="1">_xll.DBRW($C$1,$C$2,$C$3,$C$4,$C$6,$C$5,$C$7,F$1,F$2,A93)</f>
        <v>0</v>
      </c>
      <c r="G93" s="32">
        <f ca="1">_xll.DBRW($C$1,$C$2,$C$3,$C$4,$C$6,$C$5,$C$7,G$1,G$2,A93)</f>
        <v>0</v>
      </c>
      <c r="H93" s="32">
        <f ca="1">_xll.DBRW($C$1,$C$2,$C$3,$C$4,$C$6,$C$5,$C$7,H$1,H$2,A93)</f>
        <v>0</v>
      </c>
      <c r="I93" s="32">
        <f ca="1">_xll.DBRW($C$1,$C$2,$C$3,$C$4,$C$6,$C$5,$C$7,I$1,I$2,A93)</f>
        <v>0</v>
      </c>
      <c r="J93" s="32">
        <f ca="1">_xll.DBRW($C$1,$C$2,$C$3,$C$4,$C$6,$C$5,$C$7,J$1,J$2,A93)</f>
        <v>0</v>
      </c>
      <c r="K93" s="32">
        <f ca="1">_xll.DBRW($C$1,$C$2,$C$3,$C$4,$C$6,$C$5,$C$7,K$1,K$2,A93)</f>
        <v>0</v>
      </c>
      <c r="L93" s="32">
        <f ca="1">_xll.DBRW($C$1,$C$2,$C$3,$C$4,$C$6,$C$5,$C$7,L$1,L$2,A93)</f>
        <v>0</v>
      </c>
      <c r="M93" s="32">
        <f ca="1">_xll.DBRW($C$1,$C$2,$C$3,$C$4,$C$6,$C$5,$C$7,M$1,M$2,A93)</f>
        <v>0</v>
      </c>
      <c r="N93" s="32">
        <f ca="1">_xll.DBRW($C$1,$C$2,$C$3,$C$4,$C$6,$C$5,$C$7,N$1,N$2,A93)</f>
        <v>0</v>
      </c>
      <c r="O93" s="32">
        <f ca="1">_xll.DBRW($C$1,$C$2,$C$3,$C$4,$C$6,$C$5,$C$7,O$1,O$2,A93)</f>
        <v>0</v>
      </c>
      <c r="P93" s="32">
        <f ca="1">_xll.DBRW($C$1,$C$2,$C$3,$C$4,$C$6,$C$5,$C$7,P$1,P$2,A93)</f>
        <v>0</v>
      </c>
      <c r="Q93" s="32">
        <f ca="1">_xll.DBRW($C$1,$C$2,$C$3,$C$4,$C$6,$C$5,$C$7,Q$1,Q$2,A93)</f>
        <v>0</v>
      </c>
      <c r="R93" s="32">
        <f ca="1">_xll.DBRW($C$1,$C$2,$C$3,$C$4,$C$6,$C$5,$C$7,R$1,R$2,A93)</f>
        <v>0</v>
      </c>
      <c r="S93" s="32">
        <f ca="1">_xll.DBRW($C$1,$C$2,$C$3,$C$4,$C$6,$C$5,$C$7,S$1,S$2,A93)</f>
        <v>0</v>
      </c>
      <c r="T93" s="32">
        <f ca="1">_xll.DBRW($C$1,$C$2,$C$3,$C$4,$C$6,$C$5,$C$7,T$1,T$2,A93)</f>
        <v>0</v>
      </c>
      <c r="U93" s="32">
        <f ca="1">_xll.DBRW($C$1,$C$2,$C$3,$C$4,$C$6,$C$5,$C$7,U$1,U$2,A93)</f>
        <v>0</v>
      </c>
      <c r="V93" s="32">
        <f ca="1">_xll.DBRW($C$1,$C$2,$C$3,$C$4,$C$6,$C$5,$C$7,V$1,V$2,A93)</f>
        <v>0</v>
      </c>
      <c r="W93" s="32">
        <f ca="1">_xll.DBRW($C$1,$C$2,$C$3,$C$4,$C$6,$C$5,$C$7,W$1,W$2,A93)</f>
        <v>0</v>
      </c>
      <c r="X93" s="32">
        <f ca="1">_xll.DBRW($C$1,$C$2,$C$3,$C$4,$C$6,$C$5,$C$7,X$1,X$2,A93)</f>
        <v>0</v>
      </c>
      <c r="Y93" s="32">
        <f ca="1">_xll.DBRW($C$1,$C$2,$C$3,$C$4,$C$6,$C$5,$C$7,Y$1,Y$2,A93)</f>
        <v>0</v>
      </c>
      <c r="Z93" s="32">
        <f ca="1">_xll.DBRW($C$1,$C$2,$C$3,$C$4,$C$6,$C$5,$C$7,Z$1,Z$2,A93)</f>
        <v>0</v>
      </c>
      <c r="AA93" s="32">
        <f ca="1">_xll.DBRW($C$1,$C$2,$C$3,$C$4,$C$6,$C$5,$C$7,AA$1,AA$2,A93)</f>
        <v>0</v>
      </c>
      <c r="AB93" s="32">
        <f ca="1">_xll.DBRW($C$1,$C$2,$C$3,$C$4,$C$6,$C$5,$C$7,AB$1,AB$2,A93)</f>
        <v>0</v>
      </c>
      <c r="AC93" s="32">
        <f ca="1">_xll.DBRW($C$1,$C$2,$C$3,$C$4,$C$6,$C$5,$C$7,AC$1,AC$2,A93)</f>
        <v>0</v>
      </c>
      <c r="AD93" s="32">
        <f ca="1">_xll.DBRW($C$1,$C$2,$C$3,$C$4,$C$6,$C$5,$C$7,AD$1,AD$2,A93)</f>
        <v>0</v>
      </c>
      <c r="AE93" s="32">
        <f ca="1">_xll.DBRW($C$1,$C$2,$C$3,$C$4,$C$6,$C$5,$C$7,AE$1,AE$2,A93)</f>
        <v>0</v>
      </c>
      <c r="AF93" s="32">
        <f ca="1">_xll.DBRW($C$1,$C$2,$C$3,$C$4,$C$6,$C$5,$C$7,AF$1,AF$2,A93)</f>
        <v>0</v>
      </c>
      <c r="AG93" s="32">
        <f ca="1">_xll.DBRW($C$1,$C$2,$C$3,$C$4,$C$6,$C$5,$C$7,AG$1,AG$2,A93)</f>
        <v>0</v>
      </c>
      <c r="AH93" s="32">
        <f ca="1">_xll.DBRW($C$1,$C$2,$C$3,$C$4,$C$6,$C$5,$C$7,AH$1,AH$2,A93)</f>
        <v>0</v>
      </c>
      <c r="AI93" s="32">
        <f ca="1">_xll.DBRW($C$1,$C$2,$C$3,$C$4,$C$6,$C$5,$C$7,AI$1,AI$2,A93)</f>
        <v>0</v>
      </c>
      <c r="AJ93" s="32">
        <f ca="1">_xll.DBRW($C$1,$C$2,$C$3,$C$4,$C$6,$C$5,$C$7,AJ$1,AJ$2,A93)</f>
        <v>0</v>
      </c>
      <c r="AK93" s="32">
        <f ca="1">_xll.DBRW($C$1,$C$2,$C$3,$C$4,$C$6,$C$5,$C$7,AK$1,AK$2,A93)</f>
        <v>0</v>
      </c>
      <c r="AL93" s="32">
        <f ca="1">_xll.DBRW($C$1,$C$2,$C$3,$C$4,$C$6,$C$5,$C$7,AL$1,AL$2,A93)</f>
        <v>0</v>
      </c>
      <c r="AM93" s="32">
        <f ca="1">_xll.DBRW($C$1,$C$2,$C$3,$C$4,$C$6,$C$5,$C$7,AM$1,AM$2,A93)</f>
        <v>0</v>
      </c>
      <c r="AN93" s="32">
        <f ca="1">_xll.DBRW($C$1,$C$2,$C$3,$C$4,$C$6,$C$5,$C$7,AN$1,AN$2,A93)</f>
        <v>0</v>
      </c>
      <c r="AO93" s="32">
        <f ca="1">_xll.DBRW($C$1,$C$2,$C$3,$C$4,$C$6,$C$5,$C$7,AO$1,AO$2,A93)</f>
        <v>0</v>
      </c>
      <c r="AP93" s="32">
        <f ca="1">_xll.DBRW($C$1,$C$2,$C$3,$C$4,$C$6,$C$5,$C$7,AP$1,AP$2,A93)</f>
        <v>0</v>
      </c>
      <c r="AQ93" s="32">
        <f ca="1">_xll.DBRW($C$1,$C$2,$C$3,$C$4,$C$6,$C$5,$C$7,AQ$1,AQ$2,A93)</f>
        <v>0</v>
      </c>
      <c r="AR93" s="32">
        <f ca="1">_xll.DBRW($C$1,$C$2,$C$3,$C$4,$C$6,$C$5,$C$7,AR$1,AR$2,A93)</f>
        <v>0</v>
      </c>
      <c r="AS93" s="32">
        <f ca="1">_xll.DBRW($C$1,$C$2,$C$3,$C$4,$C$6,$C$5,$C$7,AS$1,AS$2,A93)</f>
        <v>0</v>
      </c>
      <c r="AT93" s="32">
        <f ca="1">_xll.DBRW($C$1,$C$2,$C$3,$C$4,$C$6,$C$5,$C$7,AT$1,AT$2,A93)</f>
        <v>0</v>
      </c>
      <c r="AU93" s="32">
        <f ca="1">_xll.DBRW($C$1,$C$2,$C$3,$C$4,$C$6,$C$5,$C$7,AU$1,AU$2,A93)</f>
        <v>0</v>
      </c>
    </row>
    <row r="94" spans="1:47" ht="15.75" hidden="1" outlineLevel="1">
      <c r="A94" s="1" t="s">
        <v>127</v>
      </c>
      <c r="C94" s="141"/>
      <c r="E94" s="15" t="s">
        <v>31</v>
      </c>
      <c r="F94" s="33">
        <f t="shared" ref="F94:T94" ca="1" si="51">SUM(F92:F93)</f>
        <v>-11391895.639999999</v>
      </c>
      <c r="G94" s="33">
        <f t="shared" ca="1" si="51"/>
        <v>-8110932.8700000001</v>
      </c>
      <c r="H94" s="33">
        <f t="shared" ca="1" si="51"/>
        <v>-10608648.960000001</v>
      </c>
      <c r="I94" s="33">
        <f t="shared" ca="1" si="51"/>
        <v>-1173909.25</v>
      </c>
      <c r="J94" s="33">
        <f t="shared" ca="1" si="51"/>
        <v>-2823398.95</v>
      </c>
      <c r="K94" s="33">
        <f t="shared" ca="1" si="51"/>
        <v>-4606523.55</v>
      </c>
      <c r="L94" s="33">
        <f t="shared" ca="1" si="51"/>
        <v>-6136277.6999999993</v>
      </c>
      <c r="M94" s="33">
        <f t="shared" ca="1" si="51"/>
        <v>-7483759.6300000008</v>
      </c>
      <c r="N94" s="33">
        <f t="shared" ca="1" si="51"/>
        <v>-9264402.1000000015</v>
      </c>
      <c r="O94" s="33">
        <f t="shared" ca="1" si="51"/>
        <v>-9264402.1000000015</v>
      </c>
      <c r="P94" s="33">
        <f t="shared" ca="1" si="51"/>
        <v>-9264402.1000000015</v>
      </c>
      <c r="Q94" s="33">
        <f t="shared" ca="1" si="51"/>
        <v>-9264402.1000000015</v>
      </c>
      <c r="R94" s="33">
        <f t="shared" ca="1" si="51"/>
        <v>-9264402.1000000015</v>
      </c>
      <c r="S94" s="33">
        <f t="shared" ca="1" si="51"/>
        <v>-9264402.1000000015</v>
      </c>
      <c r="T94" s="33">
        <f t="shared" ca="1" si="51"/>
        <v>-9264402.1000000015</v>
      </c>
      <c r="U94" s="33">
        <f ca="1">SUM(U92:U93)</f>
        <v>-9264402.1000000015</v>
      </c>
      <c r="V94" s="33">
        <f ca="1">SUM(V92:V93)</f>
        <v>0</v>
      </c>
      <c r="W94" s="33">
        <f t="shared" ref="W94:AG94" ca="1" si="52">SUM(W92:W93)</f>
        <v>0</v>
      </c>
      <c r="X94" s="33">
        <f t="shared" ca="1" si="52"/>
        <v>0</v>
      </c>
      <c r="Y94" s="33">
        <f t="shared" ca="1" si="52"/>
        <v>0</v>
      </c>
      <c r="Z94" s="33">
        <f t="shared" ca="1" si="52"/>
        <v>0</v>
      </c>
      <c r="AA94" s="33">
        <f t="shared" ca="1" si="52"/>
        <v>0</v>
      </c>
      <c r="AB94" s="33">
        <f t="shared" ca="1" si="52"/>
        <v>0</v>
      </c>
      <c r="AC94" s="33">
        <f t="shared" ca="1" si="52"/>
        <v>0</v>
      </c>
      <c r="AD94" s="33">
        <f t="shared" ca="1" si="52"/>
        <v>0</v>
      </c>
      <c r="AE94" s="33">
        <f t="shared" ca="1" si="52"/>
        <v>0</v>
      </c>
      <c r="AF94" s="33">
        <f t="shared" ca="1" si="52"/>
        <v>0</v>
      </c>
      <c r="AG94" s="33">
        <f t="shared" ca="1" si="52"/>
        <v>0</v>
      </c>
      <c r="AH94" s="33">
        <f ca="1">SUM(AH92:AH93)</f>
        <v>0</v>
      </c>
      <c r="AI94" s="33">
        <f ca="1">SUM(AI92:AI93)</f>
        <v>0</v>
      </c>
      <c r="AJ94" s="33">
        <f t="shared" ref="AJ94:AT94" ca="1" si="53">SUM(AJ92:AJ93)</f>
        <v>0</v>
      </c>
      <c r="AK94" s="33">
        <f t="shared" ca="1" si="53"/>
        <v>0</v>
      </c>
      <c r="AL94" s="33">
        <f t="shared" ca="1" si="53"/>
        <v>0</v>
      </c>
      <c r="AM94" s="33">
        <f t="shared" ca="1" si="53"/>
        <v>0</v>
      </c>
      <c r="AN94" s="33">
        <f t="shared" ca="1" si="53"/>
        <v>0</v>
      </c>
      <c r="AO94" s="33">
        <f t="shared" ca="1" si="53"/>
        <v>0</v>
      </c>
      <c r="AP94" s="33">
        <f t="shared" ca="1" si="53"/>
        <v>0</v>
      </c>
      <c r="AQ94" s="33">
        <f t="shared" ca="1" si="53"/>
        <v>0</v>
      </c>
      <c r="AR94" s="33">
        <f t="shared" ca="1" si="53"/>
        <v>0</v>
      </c>
      <c r="AS94" s="33">
        <f t="shared" ca="1" si="53"/>
        <v>0</v>
      </c>
      <c r="AT94" s="33">
        <f t="shared" ca="1" si="53"/>
        <v>0</v>
      </c>
      <c r="AU94" s="33">
        <f ca="1">SUM(AU92:AU93)</f>
        <v>0</v>
      </c>
    </row>
    <row r="95" spans="1:47" ht="15.75" hidden="1" customHeight="1" outlineLevel="2">
      <c r="A95" s="1" t="s">
        <v>181</v>
      </c>
      <c r="C95" s="141"/>
      <c r="E95" s="9" t="str">
        <f ca="1">_xll.DBRW(Server&amp;"}ElementAttributes_Indicator",A95,"code_English")</f>
        <v>PL1115_ET_99 - Others (ET)</v>
      </c>
      <c r="F95" s="32">
        <f ca="1">_xll.DBRW($C$1,$C$2,$C$3,$C$4,$C$6,$C$5,$C$7,F$1,F$2,A95)</f>
        <v>225101.80999999994</v>
      </c>
      <c r="G95" s="32">
        <f ca="1">_xll.DBRW($C$1,$C$2,$C$3,$C$4,$C$6,$C$5,$C$7,G$1,G$2,A95)</f>
        <v>-860412.9</v>
      </c>
      <c r="H95" s="32">
        <f ca="1">_xll.DBRW($C$1,$C$2,$C$3,$C$4,$C$6,$C$5,$C$7,H$1,H$2,A95)</f>
        <v>1017519.7600000001</v>
      </c>
      <c r="I95" s="32">
        <f ca="1">_xll.DBRW($C$1,$C$2,$C$3,$C$4,$C$6,$C$5,$C$7,I$1,I$2,A95)</f>
        <v>-252059.59</v>
      </c>
      <c r="J95" s="32">
        <f ca="1">_xll.DBRW($C$1,$C$2,$C$3,$C$4,$C$6,$C$5,$C$7,J$1,J$2,A95)</f>
        <v>-257896.21999999997</v>
      </c>
      <c r="K95" s="32">
        <f ca="1">_xll.DBRW($C$1,$C$2,$C$3,$C$4,$C$6,$C$5,$C$7,K$1,K$2,A95)</f>
        <v>-654644.25</v>
      </c>
      <c r="L95" s="32">
        <f ca="1">_xll.DBRW($C$1,$C$2,$C$3,$C$4,$C$6,$C$5,$C$7,L$1,L$2,A95)</f>
        <v>-834902.90999999992</v>
      </c>
      <c r="M95" s="32">
        <f ca="1">_xll.DBRW($C$1,$C$2,$C$3,$C$4,$C$6,$C$5,$C$7,M$1,M$2,A95)</f>
        <v>-1045003.4799999999</v>
      </c>
      <c r="N95" s="32">
        <f ca="1">_xll.DBRW($C$1,$C$2,$C$3,$C$4,$C$6,$C$5,$C$7,N$1,N$2,A95)</f>
        <v>-1108928.68</v>
      </c>
      <c r="O95" s="32">
        <f ca="1">_xll.DBRW($C$1,$C$2,$C$3,$C$4,$C$6,$C$5,$C$7,O$1,O$2,A95)</f>
        <v>-1108928.68</v>
      </c>
      <c r="P95" s="32">
        <f ca="1">_xll.DBRW($C$1,$C$2,$C$3,$C$4,$C$6,$C$5,$C$7,P$1,P$2,A95)</f>
        <v>-1108928.68</v>
      </c>
      <c r="Q95" s="32">
        <f ca="1">_xll.DBRW($C$1,$C$2,$C$3,$C$4,$C$6,$C$5,$C$7,Q$1,Q$2,A95)</f>
        <v>-1108928.68</v>
      </c>
      <c r="R95" s="32">
        <f ca="1">_xll.DBRW($C$1,$C$2,$C$3,$C$4,$C$6,$C$5,$C$7,R$1,R$2,A95)</f>
        <v>-1108928.68</v>
      </c>
      <c r="S95" s="32">
        <f ca="1">_xll.DBRW($C$1,$C$2,$C$3,$C$4,$C$6,$C$5,$C$7,S$1,S$2,A95)</f>
        <v>-1108928.68</v>
      </c>
      <c r="T95" s="32">
        <f ca="1">_xll.DBRW($C$1,$C$2,$C$3,$C$4,$C$6,$C$5,$C$7,T$1,T$2,A95)</f>
        <v>-1108928.68</v>
      </c>
      <c r="U95" s="32">
        <f ca="1">_xll.DBRW($C$1,$C$2,$C$3,$C$4,$C$6,$C$5,$C$7,U$1,U$2,A95)</f>
        <v>-1108928.68</v>
      </c>
      <c r="V95" s="32">
        <f ca="1">_xll.DBRW($C$1,$C$2,$C$3,$C$4,$C$6,$C$5,$C$7,V$1,V$2,A95)</f>
        <v>0</v>
      </c>
      <c r="W95" s="32">
        <f ca="1">_xll.DBRW($C$1,$C$2,$C$3,$C$4,$C$6,$C$5,$C$7,W$1,W$2,A95)</f>
        <v>0</v>
      </c>
      <c r="X95" s="32">
        <f ca="1">_xll.DBRW($C$1,$C$2,$C$3,$C$4,$C$6,$C$5,$C$7,X$1,X$2,A95)</f>
        <v>0</v>
      </c>
      <c r="Y95" s="32">
        <f ca="1">_xll.DBRW($C$1,$C$2,$C$3,$C$4,$C$6,$C$5,$C$7,Y$1,Y$2,A95)</f>
        <v>0</v>
      </c>
      <c r="Z95" s="32">
        <f ca="1">_xll.DBRW($C$1,$C$2,$C$3,$C$4,$C$6,$C$5,$C$7,Z$1,Z$2,A95)</f>
        <v>0</v>
      </c>
      <c r="AA95" s="32">
        <f ca="1">_xll.DBRW($C$1,$C$2,$C$3,$C$4,$C$6,$C$5,$C$7,AA$1,AA$2,A95)</f>
        <v>0</v>
      </c>
      <c r="AB95" s="32">
        <f ca="1">_xll.DBRW($C$1,$C$2,$C$3,$C$4,$C$6,$C$5,$C$7,AB$1,AB$2,A95)</f>
        <v>0</v>
      </c>
      <c r="AC95" s="32">
        <f ca="1">_xll.DBRW($C$1,$C$2,$C$3,$C$4,$C$6,$C$5,$C$7,AC$1,AC$2,A95)</f>
        <v>0</v>
      </c>
      <c r="AD95" s="32">
        <f ca="1">_xll.DBRW($C$1,$C$2,$C$3,$C$4,$C$6,$C$5,$C$7,AD$1,AD$2,A95)</f>
        <v>0</v>
      </c>
      <c r="AE95" s="32">
        <f ca="1">_xll.DBRW($C$1,$C$2,$C$3,$C$4,$C$6,$C$5,$C$7,AE$1,AE$2,A95)</f>
        <v>0</v>
      </c>
      <c r="AF95" s="32">
        <f ca="1">_xll.DBRW($C$1,$C$2,$C$3,$C$4,$C$6,$C$5,$C$7,AF$1,AF$2,A95)</f>
        <v>0</v>
      </c>
      <c r="AG95" s="32">
        <f ca="1">_xll.DBRW($C$1,$C$2,$C$3,$C$4,$C$6,$C$5,$C$7,AG$1,AG$2,A95)</f>
        <v>0</v>
      </c>
      <c r="AH95" s="32">
        <f ca="1">_xll.DBRW($C$1,$C$2,$C$3,$C$4,$C$6,$C$5,$C$7,AH$1,AH$2,A95)</f>
        <v>0</v>
      </c>
      <c r="AI95" s="32">
        <f ca="1">_xll.DBRW($C$1,$C$2,$C$3,$C$4,$C$6,$C$5,$C$7,AI$1,AI$2,A95)</f>
        <v>0</v>
      </c>
      <c r="AJ95" s="32">
        <f ca="1">_xll.DBRW($C$1,$C$2,$C$3,$C$4,$C$6,$C$5,$C$7,AJ$1,AJ$2,A95)</f>
        <v>0</v>
      </c>
      <c r="AK95" s="32">
        <f ca="1">_xll.DBRW($C$1,$C$2,$C$3,$C$4,$C$6,$C$5,$C$7,AK$1,AK$2,A95)</f>
        <v>0</v>
      </c>
      <c r="AL95" s="32">
        <f ca="1">_xll.DBRW($C$1,$C$2,$C$3,$C$4,$C$6,$C$5,$C$7,AL$1,AL$2,A95)</f>
        <v>0</v>
      </c>
      <c r="AM95" s="32">
        <f ca="1">_xll.DBRW($C$1,$C$2,$C$3,$C$4,$C$6,$C$5,$C$7,AM$1,AM$2,A95)</f>
        <v>0</v>
      </c>
      <c r="AN95" s="32">
        <f ca="1">_xll.DBRW($C$1,$C$2,$C$3,$C$4,$C$6,$C$5,$C$7,AN$1,AN$2,A95)</f>
        <v>0</v>
      </c>
      <c r="AO95" s="32">
        <f ca="1">_xll.DBRW($C$1,$C$2,$C$3,$C$4,$C$6,$C$5,$C$7,AO$1,AO$2,A95)</f>
        <v>0</v>
      </c>
      <c r="AP95" s="32">
        <f ca="1">_xll.DBRW($C$1,$C$2,$C$3,$C$4,$C$6,$C$5,$C$7,AP$1,AP$2,A95)</f>
        <v>0</v>
      </c>
      <c r="AQ95" s="32">
        <f ca="1">_xll.DBRW($C$1,$C$2,$C$3,$C$4,$C$6,$C$5,$C$7,AQ$1,AQ$2,A95)</f>
        <v>0</v>
      </c>
      <c r="AR95" s="32">
        <f ca="1">_xll.DBRW($C$1,$C$2,$C$3,$C$4,$C$6,$C$5,$C$7,AR$1,AR$2,A95)</f>
        <v>0</v>
      </c>
      <c r="AS95" s="32">
        <f ca="1">_xll.DBRW($C$1,$C$2,$C$3,$C$4,$C$6,$C$5,$C$7,AS$1,AS$2,A95)</f>
        <v>0</v>
      </c>
      <c r="AT95" s="32">
        <f ca="1">_xll.DBRW($C$1,$C$2,$C$3,$C$4,$C$6,$C$5,$C$7,AT$1,AT$2,A95)</f>
        <v>0</v>
      </c>
      <c r="AU95" s="32">
        <f ca="1">_xll.DBRW($C$1,$C$2,$C$3,$C$4,$C$6,$C$5,$C$7,AU$1,AU$2,A95)</f>
        <v>0</v>
      </c>
    </row>
    <row r="96" spans="1:47" ht="15.75" hidden="1" customHeight="1" outlineLevel="2">
      <c r="A96" s="1" t="s">
        <v>182</v>
      </c>
      <c r="C96" s="141"/>
      <c r="E96" s="9" t="str">
        <f ca="1">_xll.DBRW(Server&amp;"}ElementAttributes_Indicator",A96,"code_English")</f>
        <v>PL1155_ET_99 - Reinvoicing - Others (ET)</v>
      </c>
      <c r="F96" s="32">
        <f ca="1">_xll.DBRW($C$1,$C$2,$C$3,$C$4,$C$6,$C$5,$C$7,F$1,F$2,A96)</f>
        <v>0</v>
      </c>
      <c r="G96" s="32">
        <f ca="1">_xll.DBRW($C$1,$C$2,$C$3,$C$4,$C$6,$C$5,$C$7,G$1,G$2,A96)</f>
        <v>0</v>
      </c>
      <c r="H96" s="32">
        <f ca="1">_xll.DBRW($C$1,$C$2,$C$3,$C$4,$C$6,$C$5,$C$7,H$1,H$2,A96)</f>
        <v>0</v>
      </c>
      <c r="I96" s="32">
        <f ca="1">_xll.DBRW($C$1,$C$2,$C$3,$C$4,$C$6,$C$5,$C$7,I$1,I$2,A96)</f>
        <v>0</v>
      </c>
      <c r="J96" s="32">
        <f ca="1">_xll.DBRW($C$1,$C$2,$C$3,$C$4,$C$6,$C$5,$C$7,J$1,J$2,A96)</f>
        <v>0</v>
      </c>
      <c r="K96" s="32">
        <f ca="1">_xll.DBRW($C$1,$C$2,$C$3,$C$4,$C$6,$C$5,$C$7,K$1,K$2,A96)</f>
        <v>0</v>
      </c>
      <c r="L96" s="32">
        <f ca="1">_xll.DBRW($C$1,$C$2,$C$3,$C$4,$C$6,$C$5,$C$7,L$1,L$2,A96)</f>
        <v>0</v>
      </c>
      <c r="M96" s="32">
        <f ca="1">_xll.DBRW($C$1,$C$2,$C$3,$C$4,$C$6,$C$5,$C$7,M$1,M$2,A96)</f>
        <v>0</v>
      </c>
      <c r="N96" s="32">
        <f ca="1">_xll.DBRW($C$1,$C$2,$C$3,$C$4,$C$6,$C$5,$C$7,N$1,N$2,A96)</f>
        <v>0</v>
      </c>
      <c r="O96" s="32">
        <f ca="1">_xll.DBRW($C$1,$C$2,$C$3,$C$4,$C$6,$C$5,$C$7,O$1,O$2,A96)</f>
        <v>0</v>
      </c>
      <c r="P96" s="32">
        <f ca="1">_xll.DBRW($C$1,$C$2,$C$3,$C$4,$C$6,$C$5,$C$7,P$1,P$2,A96)</f>
        <v>0</v>
      </c>
      <c r="Q96" s="32">
        <f ca="1">_xll.DBRW($C$1,$C$2,$C$3,$C$4,$C$6,$C$5,$C$7,Q$1,Q$2,A96)</f>
        <v>0</v>
      </c>
      <c r="R96" s="32">
        <f ca="1">_xll.DBRW($C$1,$C$2,$C$3,$C$4,$C$6,$C$5,$C$7,R$1,R$2,A96)</f>
        <v>0</v>
      </c>
      <c r="S96" s="32">
        <f ca="1">_xll.DBRW($C$1,$C$2,$C$3,$C$4,$C$6,$C$5,$C$7,S$1,S$2,A96)</f>
        <v>0</v>
      </c>
      <c r="T96" s="32">
        <f ca="1">_xll.DBRW($C$1,$C$2,$C$3,$C$4,$C$6,$C$5,$C$7,T$1,T$2,A96)</f>
        <v>0</v>
      </c>
      <c r="U96" s="32">
        <f ca="1">_xll.DBRW($C$1,$C$2,$C$3,$C$4,$C$6,$C$5,$C$7,U$1,U$2,A96)</f>
        <v>0</v>
      </c>
      <c r="V96" s="32">
        <f ca="1">_xll.DBRW($C$1,$C$2,$C$3,$C$4,$C$6,$C$5,$C$7,V$1,V$2,A96)</f>
        <v>0</v>
      </c>
      <c r="W96" s="32">
        <f ca="1">_xll.DBRW($C$1,$C$2,$C$3,$C$4,$C$6,$C$5,$C$7,W$1,W$2,A96)</f>
        <v>0</v>
      </c>
      <c r="X96" s="32">
        <f ca="1">_xll.DBRW($C$1,$C$2,$C$3,$C$4,$C$6,$C$5,$C$7,X$1,X$2,A96)</f>
        <v>0</v>
      </c>
      <c r="Y96" s="32">
        <f ca="1">_xll.DBRW($C$1,$C$2,$C$3,$C$4,$C$6,$C$5,$C$7,Y$1,Y$2,A96)</f>
        <v>0</v>
      </c>
      <c r="Z96" s="32">
        <f ca="1">_xll.DBRW($C$1,$C$2,$C$3,$C$4,$C$6,$C$5,$C$7,Z$1,Z$2,A96)</f>
        <v>0</v>
      </c>
      <c r="AA96" s="32">
        <f ca="1">_xll.DBRW($C$1,$C$2,$C$3,$C$4,$C$6,$C$5,$C$7,AA$1,AA$2,A96)</f>
        <v>0</v>
      </c>
      <c r="AB96" s="32">
        <f ca="1">_xll.DBRW($C$1,$C$2,$C$3,$C$4,$C$6,$C$5,$C$7,AB$1,AB$2,A96)</f>
        <v>0</v>
      </c>
      <c r="AC96" s="32">
        <f ca="1">_xll.DBRW($C$1,$C$2,$C$3,$C$4,$C$6,$C$5,$C$7,AC$1,AC$2,A96)</f>
        <v>0</v>
      </c>
      <c r="AD96" s="32">
        <f ca="1">_xll.DBRW($C$1,$C$2,$C$3,$C$4,$C$6,$C$5,$C$7,AD$1,AD$2,A96)</f>
        <v>0</v>
      </c>
      <c r="AE96" s="32">
        <f ca="1">_xll.DBRW($C$1,$C$2,$C$3,$C$4,$C$6,$C$5,$C$7,AE$1,AE$2,A96)</f>
        <v>0</v>
      </c>
      <c r="AF96" s="32">
        <f ca="1">_xll.DBRW($C$1,$C$2,$C$3,$C$4,$C$6,$C$5,$C$7,AF$1,AF$2,A96)</f>
        <v>0</v>
      </c>
      <c r="AG96" s="32">
        <f ca="1">_xll.DBRW($C$1,$C$2,$C$3,$C$4,$C$6,$C$5,$C$7,AG$1,AG$2,A96)</f>
        <v>0</v>
      </c>
      <c r="AH96" s="32">
        <f ca="1">_xll.DBRW($C$1,$C$2,$C$3,$C$4,$C$6,$C$5,$C$7,AH$1,AH$2,A96)</f>
        <v>0</v>
      </c>
      <c r="AI96" s="32">
        <f ca="1">_xll.DBRW($C$1,$C$2,$C$3,$C$4,$C$6,$C$5,$C$7,AI$1,AI$2,A96)</f>
        <v>0</v>
      </c>
      <c r="AJ96" s="32">
        <f ca="1">_xll.DBRW($C$1,$C$2,$C$3,$C$4,$C$6,$C$5,$C$7,AJ$1,AJ$2,A96)</f>
        <v>0</v>
      </c>
      <c r="AK96" s="32">
        <f ca="1">_xll.DBRW($C$1,$C$2,$C$3,$C$4,$C$6,$C$5,$C$7,AK$1,AK$2,A96)</f>
        <v>0</v>
      </c>
      <c r="AL96" s="32">
        <f ca="1">_xll.DBRW($C$1,$C$2,$C$3,$C$4,$C$6,$C$5,$C$7,AL$1,AL$2,A96)</f>
        <v>0</v>
      </c>
      <c r="AM96" s="32">
        <f ca="1">_xll.DBRW($C$1,$C$2,$C$3,$C$4,$C$6,$C$5,$C$7,AM$1,AM$2,A96)</f>
        <v>0</v>
      </c>
      <c r="AN96" s="32">
        <f ca="1">_xll.DBRW($C$1,$C$2,$C$3,$C$4,$C$6,$C$5,$C$7,AN$1,AN$2,A96)</f>
        <v>0</v>
      </c>
      <c r="AO96" s="32">
        <f ca="1">_xll.DBRW($C$1,$C$2,$C$3,$C$4,$C$6,$C$5,$C$7,AO$1,AO$2,A96)</f>
        <v>0</v>
      </c>
      <c r="AP96" s="32">
        <f ca="1">_xll.DBRW($C$1,$C$2,$C$3,$C$4,$C$6,$C$5,$C$7,AP$1,AP$2,A96)</f>
        <v>0</v>
      </c>
      <c r="AQ96" s="32">
        <f ca="1">_xll.DBRW($C$1,$C$2,$C$3,$C$4,$C$6,$C$5,$C$7,AQ$1,AQ$2,A96)</f>
        <v>0</v>
      </c>
      <c r="AR96" s="32">
        <f ca="1">_xll.DBRW($C$1,$C$2,$C$3,$C$4,$C$6,$C$5,$C$7,AR$1,AR$2,A96)</f>
        <v>0</v>
      </c>
      <c r="AS96" s="32">
        <f ca="1">_xll.DBRW($C$1,$C$2,$C$3,$C$4,$C$6,$C$5,$C$7,AS$1,AS$2,A96)</f>
        <v>0</v>
      </c>
      <c r="AT96" s="32">
        <f ca="1">_xll.DBRW($C$1,$C$2,$C$3,$C$4,$C$6,$C$5,$C$7,AT$1,AT$2,A96)</f>
        <v>0</v>
      </c>
      <c r="AU96" s="32">
        <f ca="1">_xll.DBRW($C$1,$C$2,$C$3,$C$4,$C$6,$C$5,$C$7,AU$1,AU$2,A96)</f>
        <v>0</v>
      </c>
    </row>
    <row r="97" spans="1:47" ht="15.75" hidden="1" outlineLevel="1">
      <c r="A97" s="1" t="s">
        <v>127</v>
      </c>
      <c r="C97" s="141"/>
      <c r="E97" s="14" t="s">
        <v>32</v>
      </c>
      <c r="F97" s="32">
        <f t="shared" ref="F97:T97" ca="1" si="54">SUM(F95:F96)</f>
        <v>225101.80999999994</v>
      </c>
      <c r="G97" s="32">
        <f t="shared" ca="1" si="54"/>
        <v>-860412.9</v>
      </c>
      <c r="H97" s="32">
        <f t="shared" ca="1" si="54"/>
        <v>1017519.7600000001</v>
      </c>
      <c r="I97" s="32">
        <f t="shared" ca="1" si="54"/>
        <v>-252059.59</v>
      </c>
      <c r="J97" s="32">
        <f t="shared" ca="1" si="54"/>
        <v>-257896.21999999997</v>
      </c>
      <c r="K97" s="32">
        <f t="shared" ca="1" si="54"/>
        <v>-654644.25</v>
      </c>
      <c r="L97" s="32">
        <f t="shared" ca="1" si="54"/>
        <v>-834902.90999999992</v>
      </c>
      <c r="M97" s="32">
        <f t="shared" ca="1" si="54"/>
        <v>-1045003.4799999999</v>
      </c>
      <c r="N97" s="32">
        <f t="shared" ca="1" si="54"/>
        <v>-1108928.68</v>
      </c>
      <c r="O97" s="32">
        <f t="shared" ca="1" si="54"/>
        <v>-1108928.68</v>
      </c>
      <c r="P97" s="32">
        <f t="shared" ca="1" si="54"/>
        <v>-1108928.68</v>
      </c>
      <c r="Q97" s="32">
        <f t="shared" ca="1" si="54"/>
        <v>-1108928.68</v>
      </c>
      <c r="R97" s="32">
        <f t="shared" ca="1" si="54"/>
        <v>-1108928.68</v>
      </c>
      <c r="S97" s="32">
        <f t="shared" ca="1" si="54"/>
        <v>-1108928.68</v>
      </c>
      <c r="T97" s="32">
        <f t="shared" ca="1" si="54"/>
        <v>-1108928.68</v>
      </c>
      <c r="U97" s="32">
        <f ca="1">SUM(U95:U96)</f>
        <v>-1108928.68</v>
      </c>
      <c r="V97" s="32">
        <f ca="1">SUM(V95:V96)</f>
        <v>0</v>
      </c>
      <c r="W97" s="32">
        <f t="shared" ref="W97:AG97" ca="1" si="55">SUM(W95:W96)</f>
        <v>0</v>
      </c>
      <c r="X97" s="32">
        <f t="shared" ca="1" si="55"/>
        <v>0</v>
      </c>
      <c r="Y97" s="32">
        <f t="shared" ca="1" si="55"/>
        <v>0</v>
      </c>
      <c r="Z97" s="32">
        <f t="shared" ca="1" si="55"/>
        <v>0</v>
      </c>
      <c r="AA97" s="32">
        <f t="shared" ca="1" si="55"/>
        <v>0</v>
      </c>
      <c r="AB97" s="32">
        <f t="shared" ca="1" si="55"/>
        <v>0</v>
      </c>
      <c r="AC97" s="32">
        <f t="shared" ca="1" si="55"/>
        <v>0</v>
      </c>
      <c r="AD97" s="32">
        <f t="shared" ca="1" si="55"/>
        <v>0</v>
      </c>
      <c r="AE97" s="32">
        <f t="shared" ca="1" si="55"/>
        <v>0</v>
      </c>
      <c r="AF97" s="32">
        <f t="shared" ca="1" si="55"/>
        <v>0</v>
      </c>
      <c r="AG97" s="32">
        <f t="shared" ca="1" si="55"/>
        <v>0</v>
      </c>
      <c r="AH97" s="32">
        <f ca="1">SUM(AH95:AH96)</f>
        <v>0</v>
      </c>
      <c r="AI97" s="32">
        <f ca="1">SUM(AI95:AI96)</f>
        <v>0</v>
      </c>
      <c r="AJ97" s="32">
        <f t="shared" ref="AJ97:AT97" ca="1" si="56">SUM(AJ95:AJ96)</f>
        <v>0</v>
      </c>
      <c r="AK97" s="32">
        <f t="shared" ca="1" si="56"/>
        <v>0</v>
      </c>
      <c r="AL97" s="32">
        <f t="shared" ca="1" si="56"/>
        <v>0</v>
      </c>
      <c r="AM97" s="32">
        <f t="shared" ca="1" si="56"/>
        <v>0</v>
      </c>
      <c r="AN97" s="32">
        <f t="shared" ca="1" si="56"/>
        <v>0</v>
      </c>
      <c r="AO97" s="32">
        <f t="shared" ca="1" si="56"/>
        <v>0</v>
      </c>
      <c r="AP97" s="32">
        <f t="shared" ca="1" si="56"/>
        <v>0</v>
      </c>
      <c r="AQ97" s="32">
        <f t="shared" ca="1" si="56"/>
        <v>0</v>
      </c>
      <c r="AR97" s="32">
        <f t="shared" ca="1" si="56"/>
        <v>0</v>
      </c>
      <c r="AS97" s="32">
        <f t="shared" ca="1" si="56"/>
        <v>0</v>
      </c>
      <c r="AT97" s="32">
        <f t="shared" ca="1" si="56"/>
        <v>0</v>
      </c>
      <c r="AU97" s="32">
        <f ca="1">SUM(AU95:AU96)</f>
        <v>0</v>
      </c>
    </row>
    <row r="98" spans="1:47" ht="15.75" collapsed="1">
      <c r="A98" s="1" t="s">
        <v>127</v>
      </c>
      <c r="C98" s="141"/>
      <c r="E98" s="126" t="s">
        <v>33</v>
      </c>
      <c r="F98" s="127">
        <f t="shared" ref="F98:T98" ca="1" si="57">F83+F88+F91+F94+F97</f>
        <v>-38056864.960000001</v>
      </c>
      <c r="G98" s="127">
        <f t="shared" ca="1" si="57"/>
        <v>-33989836.169999994</v>
      </c>
      <c r="H98" s="127">
        <f t="shared" ca="1" si="57"/>
        <v>-37373387.81000001</v>
      </c>
      <c r="I98" s="127">
        <f t="shared" ca="1" si="57"/>
        <v>-5126976.2999999989</v>
      </c>
      <c r="J98" s="127">
        <f t="shared" ca="1" si="57"/>
        <v>-9776789.6900000013</v>
      </c>
      <c r="K98" s="127">
        <f t="shared" ca="1" si="57"/>
        <v>-15891686.809999999</v>
      </c>
      <c r="L98" s="127">
        <f t="shared" ca="1" si="57"/>
        <v>-21396806.25</v>
      </c>
      <c r="M98" s="127">
        <f t="shared" ca="1" si="57"/>
        <v>-26360975.630000006</v>
      </c>
      <c r="N98" s="127">
        <f t="shared" ca="1" si="57"/>
        <v>-31599941.16</v>
      </c>
      <c r="O98" s="127">
        <f t="shared" ca="1" si="57"/>
        <v>-31599941.16</v>
      </c>
      <c r="P98" s="127">
        <f t="shared" ca="1" si="57"/>
        <v>-31599941.16</v>
      </c>
      <c r="Q98" s="127">
        <f t="shared" ca="1" si="57"/>
        <v>-31599941.16</v>
      </c>
      <c r="R98" s="127">
        <f t="shared" ca="1" si="57"/>
        <v>-31599941.16</v>
      </c>
      <c r="S98" s="127">
        <f t="shared" ca="1" si="57"/>
        <v>-31599941.16</v>
      </c>
      <c r="T98" s="127">
        <f t="shared" ca="1" si="57"/>
        <v>-31599941.16</v>
      </c>
      <c r="U98" s="127">
        <f ca="1">U83+U88+U91+U94+U97</f>
        <v>-31599941.16</v>
      </c>
      <c r="V98" s="127">
        <f t="shared" ref="V98:AG98" ca="1" si="58">V83+V88+V91+V94+V97</f>
        <v>0</v>
      </c>
      <c r="W98" s="127">
        <f t="shared" ca="1" si="58"/>
        <v>0</v>
      </c>
      <c r="X98" s="127">
        <f t="shared" ca="1" si="58"/>
        <v>0</v>
      </c>
      <c r="Y98" s="127">
        <f t="shared" ca="1" si="58"/>
        <v>0</v>
      </c>
      <c r="Z98" s="127">
        <f t="shared" ca="1" si="58"/>
        <v>0</v>
      </c>
      <c r="AA98" s="127">
        <f t="shared" ca="1" si="58"/>
        <v>0</v>
      </c>
      <c r="AB98" s="127">
        <f t="shared" ca="1" si="58"/>
        <v>0</v>
      </c>
      <c r="AC98" s="127">
        <f t="shared" ca="1" si="58"/>
        <v>0</v>
      </c>
      <c r="AD98" s="127">
        <f t="shared" ca="1" si="58"/>
        <v>0</v>
      </c>
      <c r="AE98" s="127">
        <f t="shared" ca="1" si="58"/>
        <v>0</v>
      </c>
      <c r="AF98" s="127">
        <f t="shared" ca="1" si="58"/>
        <v>0</v>
      </c>
      <c r="AG98" s="127">
        <f t="shared" ca="1" si="58"/>
        <v>0</v>
      </c>
      <c r="AH98" s="127">
        <f ca="1">AH83+AH88+AH91+AH94+AH97</f>
        <v>0</v>
      </c>
      <c r="AI98" s="127">
        <f t="shared" ref="AI98:AT98" ca="1" si="59">AI83+AI88+AI91+AI94+AI97</f>
        <v>0</v>
      </c>
      <c r="AJ98" s="127">
        <f t="shared" ca="1" si="59"/>
        <v>0</v>
      </c>
      <c r="AK98" s="127">
        <f t="shared" ca="1" si="59"/>
        <v>0</v>
      </c>
      <c r="AL98" s="127">
        <f t="shared" ca="1" si="59"/>
        <v>0</v>
      </c>
      <c r="AM98" s="127">
        <f t="shared" ca="1" si="59"/>
        <v>0</v>
      </c>
      <c r="AN98" s="127">
        <f t="shared" ca="1" si="59"/>
        <v>0</v>
      </c>
      <c r="AO98" s="127">
        <f t="shared" ca="1" si="59"/>
        <v>0</v>
      </c>
      <c r="AP98" s="127">
        <f t="shared" ca="1" si="59"/>
        <v>0</v>
      </c>
      <c r="AQ98" s="127">
        <f t="shared" ca="1" si="59"/>
        <v>0</v>
      </c>
      <c r="AR98" s="127">
        <f t="shared" ca="1" si="59"/>
        <v>0</v>
      </c>
      <c r="AS98" s="127">
        <f t="shared" ca="1" si="59"/>
        <v>0</v>
      </c>
      <c r="AT98" s="127">
        <f t="shared" ca="1" si="59"/>
        <v>0</v>
      </c>
      <c r="AU98" s="127">
        <f ca="1">AU83+AU88+AU91+AU94+AU97</f>
        <v>0</v>
      </c>
    </row>
    <row r="99" spans="1:47" ht="15.75" hidden="1" customHeight="1" outlineLevel="1">
      <c r="A99" s="1" t="s">
        <v>183</v>
      </c>
      <c r="C99" s="141"/>
      <c r="E99" s="9" t="str">
        <f ca="1">_xll.DBRW(Server&amp;"}ElementAttributes_Indicator",A99,"code_English")</f>
        <v>PL1115_FL_55 - Operating lease (FL)</v>
      </c>
      <c r="F99" s="31">
        <f ca="1">_xll.DBRW($C$1,$C$2,$C$3,$C$4,$C$6,$C$5,$C$7,F$1,F$2,A99)</f>
        <v>0</v>
      </c>
      <c r="G99" s="31">
        <f ca="1">_xll.DBRW($C$1,$C$2,$C$3,$C$4,$C$6,$C$5,$C$7,G$1,G$2,A99)</f>
        <v>0</v>
      </c>
      <c r="H99" s="31">
        <f ca="1">_xll.DBRW($C$1,$C$2,$C$3,$C$4,$C$6,$C$5,$C$7,H$1,H$2,A99)</f>
        <v>5624746.0199999996</v>
      </c>
      <c r="I99" s="31">
        <f ca="1">_xll.DBRW($C$1,$C$2,$C$3,$C$4,$C$6,$C$5,$C$7,I$1,I$2,A99)</f>
        <v>576066.21</v>
      </c>
      <c r="J99" s="31">
        <f ca="1">_xll.DBRW($C$1,$C$2,$C$3,$C$4,$C$6,$C$5,$C$7,J$1,J$2,A99)</f>
        <v>1151463.3199999998</v>
      </c>
      <c r="K99" s="31">
        <f ca="1">_xll.DBRW($C$1,$C$2,$C$3,$C$4,$C$6,$C$5,$C$7,K$1,K$2,A99)</f>
        <v>1726191.3199999998</v>
      </c>
      <c r="L99" s="31">
        <f ca="1">_xll.DBRW($C$1,$C$2,$C$3,$C$4,$C$6,$C$5,$C$7,L$1,L$2,A99)</f>
        <v>2300250.2199999997</v>
      </c>
      <c r="M99" s="31">
        <f ca="1">_xll.DBRW($C$1,$C$2,$C$3,$C$4,$C$6,$C$5,$C$7,M$1,M$2,A99)</f>
        <v>2873640.01</v>
      </c>
      <c r="N99" s="31">
        <f ca="1">_xll.DBRW($C$1,$C$2,$C$3,$C$4,$C$6,$C$5,$C$7,N$1,N$2,A99)</f>
        <v>3446360.6899999995</v>
      </c>
      <c r="O99" s="31">
        <f ca="1">_xll.DBRW($C$1,$C$2,$C$3,$C$4,$C$6,$C$5,$C$7,O$1,O$2,A99)</f>
        <v>3446360.6899999995</v>
      </c>
      <c r="P99" s="31">
        <f ca="1">_xll.DBRW($C$1,$C$2,$C$3,$C$4,$C$6,$C$5,$C$7,P$1,P$2,A99)</f>
        <v>3446360.6899999995</v>
      </c>
      <c r="Q99" s="31">
        <f ca="1">_xll.DBRW($C$1,$C$2,$C$3,$C$4,$C$6,$C$5,$C$7,Q$1,Q$2,A99)</f>
        <v>3446360.6899999995</v>
      </c>
      <c r="R99" s="31">
        <f ca="1">_xll.DBRW($C$1,$C$2,$C$3,$C$4,$C$6,$C$5,$C$7,R$1,R$2,A99)</f>
        <v>3446360.6899999995</v>
      </c>
      <c r="S99" s="31">
        <f ca="1">_xll.DBRW($C$1,$C$2,$C$3,$C$4,$C$6,$C$5,$C$7,S$1,S$2,A99)</f>
        <v>3446360.6899999995</v>
      </c>
      <c r="T99" s="31">
        <f ca="1">_xll.DBRW($C$1,$C$2,$C$3,$C$4,$C$6,$C$5,$C$7,T$1,T$2,A99)</f>
        <v>3446360.6899999995</v>
      </c>
      <c r="U99" s="31">
        <f ca="1">_xll.DBRW($C$1,$C$2,$C$3,$C$4,$C$6,$C$5,$C$7,U$1,U$2,A99)</f>
        <v>3446360.6899999995</v>
      </c>
      <c r="V99" s="31">
        <f ca="1">_xll.DBRW($C$1,$C$2,$C$3,$C$4,$C$6,$C$5,$C$7,V$1,V$2,A99)</f>
        <v>0</v>
      </c>
      <c r="W99" s="31">
        <f ca="1">_xll.DBRW($C$1,$C$2,$C$3,$C$4,$C$6,$C$5,$C$7,W$1,W$2,A99)</f>
        <v>0</v>
      </c>
      <c r="X99" s="31">
        <f ca="1">_xll.DBRW($C$1,$C$2,$C$3,$C$4,$C$6,$C$5,$C$7,X$1,X$2,A99)</f>
        <v>0</v>
      </c>
      <c r="Y99" s="31">
        <f ca="1">_xll.DBRW($C$1,$C$2,$C$3,$C$4,$C$6,$C$5,$C$7,Y$1,Y$2,A99)</f>
        <v>0</v>
      </c>
      <c r="Z99" s="31">
        <f ca="1">_xll.DBRW($C$1,$C$2,$C$3,$C$4,$C$6,$C$5,$C$7,Z$1,Z$2,A99)</f>
        <v>0</v>
      </c>
      <c r="AA99" s="31">
        <f ca="1">_xll.DBRW($C$1,$C$2,$C$3,$C$4,$C$6,$C$5,$C$7,AA$1,AA$2,A99)</f>
        <v>0</v>
      </c>
      <c r="AB99" s="31">
        <f ca="1">_xll.DBRW($C$1,$C$2,$C$3,$C$4,$C$6,$C$5,$C$7,AB$1,AB$2,A99)</f>
        <v>0</v>
      </c>
      <c r="AC99" s="31">
        <f ca="1">_xll.DBRW($C$1,$C$2,$C$3,$C$4,$C$6,$C$5,$C$7,AC$1,AC$2,A99)</f>
        <v>0</v>
      </c>
      <c r="AD99" s="31">
        <f ca="1">_xll.DBRW($C$1,$C$2,$C$3,$C$4,$C$6,$C$5,$C$7,AD$1,AD$2,A99)</f>
        <v>0</v>
      </c>
      <c r="AE99" s="31">
        <f ca="1">_xll.DBRW($C$1,$C$2,$C$3,$C$4,$C$6,$C$5,$C$7,AE$1,AE$2,A99)</f>
        <v>0</v>
      </c>
      <c r="AF99" s="31">
        <f ca="1">_xll.DBRW($C$1,$C$2,$C$3,$C$4,$C$6,$C$5,$C$7,AF$1,AF$2,A99)</f>
        <v>0</v>
      </c>
      <c r="AG99" s="31">
        <f ca="1">_xll.DBRW($C$1,$C$2,$C$3,$C$4,$C$6,$C$5,$C$7,AG$1,AG$2,A99)</f>
        <v>0</v>
      </c>
      <c r="AH99" s="31">
        <f ca="1">_xll.DBRW($C$1,$C$2,$C$3,$C$4,$C$6,$C$5,$C$7,AH$1,AH$2,A99)</f>
        <v>0</v>
      </c>
      <c r="AI99" s="31">
        <f ca="1">_xll.DBRW($C$1,$C$2,$C$3,$C$4,$C$6,$C$5,$C$7,AI$1,AI$2,A99)</f>
        <v>0</v>
      </c>
      <c r="AJ99" s="31">
        <f ca="1">_xll.DBRW($C$1,$C$2,$C$3,$C$4,$C$6,$C$5,$C$7,AJ$1,AJ$2,A99)</f>
        <v>0</v>
      </c>
      <c r="AK99" s="31">
        <f ca="1">_xll.DBRW($C$1,$C$2,$C$3,$C$4,$C$6,$C$5,$C$7,AK$1,AK$2,A99)</f>
        <v>0</v>
      </c>
      <c r="AL99" s="31">
        <f ca="1">_xll.DBRW($C$1,$C$2,$C$3,$C$4,$C$6,$C$5,$C$7,AL$1,AL$2,A99)</f>
        <v>0</v>
      </c>
      <c r="AM99" s="31">
        <f ca="1">_xll.DBRW($C$1,$C$2,$C$3,$C$4,$C$6,$C$5,$C$7,AM$1,AM$2,A99)</f>
        <v>0</v>
      </c>
      <c r="AN99" s="31">
        <f ca="1">_xll.DBRW($C$1,$C$2,$C$3,$C$4,$C$6,$C$5,$C$7,AN$1,AN$2,A99)</f>
        <v>0</v>
      </c>
      <c r="AO99" s="31">
        <f ca="1">_xll.DBRW($C$1,$C$2,$C$3,$C$4,$C$6,$C$5,$C$7,AO$1,AO$2,A99)</f>
        <v>0</v>
      </c>
      <c r="AP99" s="31">
        <f ca="1">_xll.DBRW($C$1,$C$2,$C$3,$C$4,$C$6,$C$5,$C$7,AP$1,AP$2,A99)</f>
        <v>0</v>
      </c>
      <c r="AQ99" s="31">
        <f ca="1">_xll.DBRW($C$1,$C$2,$C$3,$C$4,$C$6,$C$5,$C$7,AQ$1,AQ$2,A99)</f>
        <v>0</v>
      </c>
      <c r="AR99" s="31">
        <f ca="1">_xll.DBRW($C$1,$C$2,$C$3,$C$4,$C$6,$C$5,$C$7,AR$1,AR$2,A99)</f>
        <v>0</v>
      </c>
      <c r="AS99" s="31">
        <f ca="1">_xll.DBRW($C$1,$C$2,$C$3,$C$4,$C$6,$C$5,$C$7,AS$1,AS$2,A99)</f>
        <v>0</v>
      </c>
      <c r="AT99" s="31">
        <f ca="1">_xll.DBRW($C$1,$C$2,$C$3,$C$4,$C$6,$C$5,$C$7,AT$1,AT$2,A99)</f>
        <v>0</v>
      </c>
      <c r="AU99" s="31">
        <f ca="1">_xll.DBRW($C$1,$C$2,$C$3,$C$4,$C$6,$C$5,$C$7,AU$1,AU$2,A99)</f>
        <v>0</v>
      </c>
    </row>
    <row r="100" spans="1:47" ht="15.75" hidden="1" customHeight="1" outlineLevel="1">
      <c r="A100" s="1" t="s">
        <v>184</v>
      </c>
      <c r="C100" s="141"/>
      <c r="E100" s="9" t="str">
        <f ca="1">_xll.DBRW(Server&amp;"}ElementAttributes_Indicator",A100,"code_English")</f>
        <v>PL1115_FL_56 - Financial lease (FL)</v>
      </c>
      <c r="F100" s="31">
        <f ca="1">_xll.DBRW($C$1,$C$2,$C$3,$C$4,$C$6,$C$5,$C$7,F$1,F$2,A100)</f>
        <v>0</v>
      </c>
      <c r="G100" s="31">
        <f ca="1">_xll.DBRW($C$1,$C$2,$C$3,$C$4,$C$6,$C$5,$C$7,G$1,G$2,A100)</f>
        <v>0</v>
      </c>
      <c r="H100" s="31">
        <f ca="1">_xll.DBRW($C$1,$C$2,$C$3,$C$4,$C$6,$C$5,$C$7,H$1,H$2,A100)</f>
        <v>0</v>
      </c>
      <c r="I100" s="31">
        <f ca="1">_xll.DBRW($C$1,$C$2,$C$3,$C$4,$C$6,$C$5,$C$7,I$1,I$2,A100)</f>
        <v>0</v>
      </c>
      <c r="J100" s="31">
        <f ca="1">_xll.DBRW($C$1,$C$2,$C$3,$C$4,$C$6,$C$5,$C$7,J$1,J$2,A100)</f>
        <v>0</v>
      </c>
      <c r="K100" s="31">
        <f ca="1">_xll.DBRW($C$1,$C$2,$C$3,$C$4,$C$6,$C$5,$C$7,K$1,K$2,A100)</f>
        <v>0</v>
      </c>
      <c r="L100" s="31">
        <f ca="1">_xll.DBRW($C$1,$C$2,$C$3,$C$4,$C$6,$C$5,$C$7,L$1,L$2,A100)</f>
        <v>0</v>
      </c>
      <c r="M100" s="31">
        <f ca="1">_xll.DBRW($C$1,$C$2,$C$3,$C$4,$C$6,$C$5,$C$7,M$1,M$2,A100)</f>
        <v>0</v>
      </c>
      <c r="N100" s="31">
        <f ca="1">_xll.DBRW($C$1,$C$2,$C$3,$C$4,$C$6,$C$5,$C$7,N$1,N$2,A100)</f>
        <v>0</v>
      </c>
      <c r="O100" s="31">
        <f ca="1">_xll.DBRW($C$1,$C$2,$C$3,$C$4,$C$6,$C$5,$C$7,O$1,O$2,A100)</f>
        <v>0</v>
      </c>
      <c r="P100" s="31">
        <f ca="1">_xll.DBRW($C$1,$C$2,$C$3,$C$4,$C$6,$C$5,$C$7,P$1,P$2,A100)</f>
        <v>0</v>
      </c>
      <c r="Q100" s="31">
        <f ca="1">_xll.DBRW($C$1,$C$2,$C$3,$C$4,$C$6,$C$5,$C$7,Q$1,Q$2,A100)</f>
        <v>0</v>
      </c>
      <c r="R100" s="31">
        <f ca="1">_xll.DBRW($C$1,$C$2,$C$3,$C$4,$C$6,$C$5,$C$7,R$1,R$2,A100)</f>
        <v>0</v>
      </c>
      <c r="S100" s="31">
        <f ca="1">_xll.DBRW($C$1,$C$2,$C$3,$C$4,$C$6,$C$5,$C$7,S$1,S$2,A100)</f>
        <v>0</v>
      </c>
      <c r="T100" s="31">
        <f ca="1">_xll.DBRW($C$1,$C$2,$C$3,$C$4,$C$6,$C$5,$C$7,T$1,T$2,A100)</f>
        <v>0</v>
      </c>
      <c r="U100" s="31">
        <f ca="1">_xll.DBRW($C$1,$C$2,$C$3,$C$4,$C$6,$C$5,$C$7,U$1,U$2,A100)</f>
        <v>0</v>
      </c>
      <c r="V100" s="31">
        <f ca="1">_xll.DBRW($C$1,$C$2,$C$3,$C$4,$C$6,$C$5,$C$7,V$1,V$2,A100)</f>
        <v>0</v>
      </c>
      <c r="W100" s="31">
        <f ca="1">_xll.DBRW($C$1,$C$2,$C$3,$C$4,$C$6,$C$5,$C$7,W$1,W$2,A100)</f>
        <v>0</v>
      </c>
      <c r="X100" s="31">
        <f ca="1">_xll.DBRW($C$1,$C$2,$C$3,$C$4,$C$6,$C$5,$C$7,X$1,X$2,A100)</f>
        <v>0</v>
      </c>
      <c r="Y100" s="31">
        <f ca="1">_xll.DBRW($C$1,$C$2,$C$3,$C$4,$C$6,$C$5,$C$7,Y$1,Y$2,A100)</f>
        <v>0</v>
      </c>
      <c r="Z100" s="31">
        <f ca="1">_xll.DBRW($C$1,$C$2,$C$3,$C$4,$C$6,$C$5,$C$7,Z$1,Z$2,A100)</f>
        <v>0</v>
      </c>
      <c r="AA100" s="31">
        <f ca="1">_xll.DBRW($C$1,$C$2,$C$3,$C$4,$C$6,$C$5,$C$7,AA$1,AA$2,A100)</f>
        <v>0</v>
      </c>
      <c r="AB100" s="31">
        <f ca="1">_xll.DBRW($C$1,$C$2,$C$3,$C$4,$C$6,$C$5,$C$7,AB$1,AB$2,A100)</f>
        <v>0</v>
      </c>
      <c r="AC100" s="31">
        <f ca="1">_xll.DBRW($C$1,$C$2,$C$3,$C$4,$C$6,$C$5,$C$7,AC$1,AC$2,A100)</f>
        <v>0</v>
      </c>
      <c r="AD100" s="31">
        <f ca="1">_xll.DBRW($C$1,$C$2,$C$3,$C$4,$C$6,$C$5,$C$7,AD$1,AD$2,A100)</f>
        <v>0</v>
      </c>
      <c r="AE100" s="31">
        <f ca="1">_xll.DBRW($C$1,$C$2,$C$3,$C$4,$C$6,$C$5,$C$7,AE$1,AE$2,A100)</f>
        <v>0</v>
      </c>
      <c r="AF100" s="31">
        <f ca="1">_xll.DBRW($C$1,$C$2,$C$3,$C$4,$C$6,$C$5,$C$7,AF$1,AF$2,A100)</f>
        <v>0</v>
      </c>
      <c r="AG100" s="31">
        <f ca="1">_xll.DBRW($C$1,$C$2,$C$3,$C$4,$C$6,$C$5,$C$7,AG$1,AG$2,A100)</f>
        <v>0</v>
      </c>
      <c r="AH100" s="31">
        <f ca="1">_xll.DBRW($C$1,$C$2,$C$3,$C$4,$C$6,$C$5,$C$7,AH$1,AH$2,A100)</f>
        <v>0</v>
      </c>
      <c r="AI100" s="31">
        <f ca="1">_xll.DBRW($C$1,$C$2,$C$3,$C$4,$C$6,$C$5,$C$7,AI$1,AI$2,A100)</f>
        <v>0</v>
      </c>
      <c r="AJ100" s="31">
        <f ca="1">_xll.DBRW($C$1,$C$2,$C$3,$C$4,$C$6,$C$5,$C$7,AJ$1,AJ$2,A100)</f>
        <v>0</v>
      </c>
      <c r="AK100" s="31">
        <f ca="1">_xll.DBRW($C$1,$C$2,$C$3,$C$4,$C$6,$C$5,$C$7,AK$1,AK$2,A100)</f>
        <v>0</v>
      </c>
      <c r="AL100" s="31">
        <f ca="1">_xll.DBRW($C$1,$C$2,$C$3,$C$4,$C$6,$C$5,$C$7,AL$1,AL$2,A100)</f>
        <v>0</v>
      </c>
      <c r="AM100" s="31">
        <f ca="1">_xll.DBRW($C$1,$C$2,$C$3,$C$4,$C$6,$C$5,$C$7,AM$1,AM$2,A100)</f>
        <v>0</v>
      </c>
      <c r="AN100" s="31">
        <f ca="1">_xll.DBRW($C$1,$C$2,$C$3,$C$4,$C$6,$C$5,$C$7,AN$1,AN$2,A100)</f>
        <v>0</v>
      </c>
      <c r="AO100" s="31">
        <f ca="1">_xll.DBRW($C$1,$C$2,$C$3,$C$4,$C$6,$C$5,$C$7,AO$1,AO$2,A100)</f>
        <v>0</v>
      </c>
      <c r="AP100" s="31">
        <f ca="1">_xll.DBRW($C$1,$C$2,$C$3,$C$4,$C$6,$C$5,$C$7,AP$1,AP$2,A100)</f>
        <v>0</v>
      </c>
      <c r="AQ100" s="31">
        <f ca="1">_xll.DBRW($C$1,$C$2,$C$3,$C$4,$C$6,$C$5,$C$7,AQ$1,AQ$2,A100)</f>
        <v>0</v>
      </c>
      <c r="AR100" s="31">
        <f ca="1">_xll.DBRW($C$1,$C$2,$C$3,$C$4,$C$6,$C$5,$C$7,AR$1,AR$2,A100)</f>
        <v>0</v>
      </c>
      <c r="AS100" s="31">
        <f ca="1">_xll.DBRW($C$1,$C$2,$C$3,$C$4,$C$6,$C$5,$C$7,AS$1,AS$2,A100)</f>
        <v>0</v>
      </c>
      <c r="AT100" s="31">
        <f ca="1">_xll.DBRW($C$1,$C$2,$C$3,$C$4,$C$6,$C$5,$C$7,AT$1,AT$2,A100)</f>
        <v>0</v>
      </c>
      <c r="AU100" s="31">
        <f ca="1">_xll.DBRW($C$1,$C$2,$C$3,$C$4,$C$6,$C$5,$C$7,AU$1,AU$2,A100)</f>
        <v>0</v>
      </c>
    </row>
    <row r="101" spans="1:47" ht="15.75" hidden="1" customHeight="1" outlineLevel="1">
      <c r="A101" s="1" t="s">
        <v>185</v>
      </c>
      <c r="C101" s="141"/>
      <c r="E101" s="9" t="str">
        <f ca="1">_xll.DBRW(Server&amp;"}ElementAttributes_Indicator",A101,"code_English")</f>
        <v>PL1116_FL - COS - Lease expenses (FL)</v>
      </c>
      <c r="F101" s="31">
        <f ca="1">_xll.DBRW($C$1,$C$2,$C$3,$C$4,$C$6,$C$5,$C$7,F$1,F$2,A101)</f>
        <v>-671573.47000000044</v>
      </c>
      <c r="G101" s="31">
        <f ca="1">_xll.DBRW($C$1,$C$2,$C$3,$C$4,$C$6,$C$5,$C$7,G$1,G$2,A101)</f>
        <v>-1332857.2999999998</v>
      </c>
      <c r="H101" s="31">
        <f ca="1">_xll.DBRW($C$1,$C$2,$C$3,$C$4,$C$6,$C$5,$C$7,H$1,H$2,A101)</f>
        <v>-1836376.6300000001</v>
      </c>
      <c r="I101" s="31">
        <f ca="1">_xll.DBRW($C$1,$C$2,$C$3,$C$4,$C$6,$C$5,$C$7,I$1,I$2,A101)</f>
        <v>-27559.120000000003</v>
      </c>
      <c r="J101" s="31">
        <f ca="1">_xll.DBRW($C$1,$C$2,$C$3,$C$4,$C$6,$C$5,$C$7,J$1,J$2,A101)</f>
        <v>-246719.06999999998</v>
      </c>
      <c r="K101" s="31">
        <f ca="1">_xll.DBRW($C$1,$C$2,$C$3,$C$4,$C$6,$C$5,$C$7,K$1,K$2,A101)</f>
        <v>-384015.19</v>
      </c>
      <c r="L101" s="31">
        <f ca="1">_xll.DBRW($C$1,$C$2,$C$3,$C$4,$C$6,$C$5,$C$7,L$1,L$2,A101)</f>
        <v>-392545.25</v>
      </c>
      <c r="M101" s="31">
        <f ca="1">_xll.DBRW($C$1,$C$2,$C$3,$C$4,$C$6,$C$5,$C$7,M$1,M$2,A101)</f>
        <v>-505695.05999999994</v>
      </c>
      <c r="N101" s="31">
        <f ca="1">_xll.DBRW($C$1,$C$2,$C$3,$C$4,$C$6,$C$5,$C$7,N$1,N$2,A101)</f>
        <v>-524145.17999999993</v>
      </c>
      <c r="O101" s="31">
        <f ca="1">_xll.DBRW($C$1,$C$2,$C$3,$C$4,$C$6,$C$5,$C$7,O$1,O$2,A101)</f>
        <v>-524145.17999999993</v>
      </c>
      <c r="P101" s="31">
        <f ca="1">_xll.DBRW($C$1,$C$2,$C$3,$C$4,$C$6,$C$5,$C$7,P$1,P$2,A101)</f>
        <v>-524145.17999999993</v>
      </c>
      <c r="Q101" s="31">
        <f ca="1">_xll.DBRW($C$1,$C$2,$C$3,$C$4,$C$6,$C$5,$C$7,Q$1,Q$2,A101)</f>
        <v>-524145.17999999993</v>
      </c>
      <c r="R101" s="31">
        <f ca="1">_xll.DBRW($C$1,$C$2,$C$3,$C$4,$C$6,$C$5,$C$7,R$1,R$2,A101)</f>
        <v>-524145.17999999993</v>
      </c>
      <c r="S101" s="31">
        <f ca="1">_xll.DBRW($C$1,$C$2,$C$3,$C$4,$C$6,$C$5,$C$7,S$1,S$2,A101)</f>
        <v>-524145.17999999993</v>
      </c>
      <c r="T101" s="31">
        <f ca="1">_xll.DBRW($C$1,$C$2,$C$3,$C$4,$C$6,$C$5,$C$7,T$1,T$2,A101)</f>
        <v>-524145.17999999993</v>
      </c>
      <c r="U101" s="31">
        <f ca="1">_xll.DBRW($C$1,$C$2,$C$3,$C$4,$C$6,$C$5,$C$7,U$1,U$2,A101)</f>
        <v>-524145.17999999993</v>
      </c>
      <c r="V101" s="31">
        <f ca="1">_xll.DBRW($C$1,$C$2,$C$3,$C$4,$C$6,$C$5,$C$7,V$1,V$2,A101)</f>
        <v>0</v>
      </c>
      <c r="W101" s="31">
        <f ca="1">_xll.DBRW($C$1,$C$2,$C$3,$C$4,$C$6,$C$5,$C$7,W$1,W$2,A101)</f>
        <v>0</v>
      </c>
      <c r="X101" s="31">
        <f ca="1">_xll.DBRW($C$1,$C$2,$C$3,$C$4,$C$6,$C$5,$C$7,X$1,X$2,A101)</f>
        <v>0</v>
      </c>
      <c r="Y101" s="31">
        <f ca="1">_xll.DBRW($C$1,$C$2,$C$3,$C$4,$C$6,$C$5,$C$7,Y$1,Y$2,A101)</f>
        <v>0</v>
      </c>
      <c r="Z101" s="31">
        <f ca="1">_xll.DBRW($C$1,$C$2,$C$3,$C$4,$C$6,$C$5,$C$7,Z$1,Z$2,A101)</f>
        <v>0</v>
      </c>
      <c r="AA101" s="31">
        <f ca="1">_xll.DBRW($C$1,$C$2,$C$3,$C$4,$C$6,$C$5,$C$7,AA$1,AA$2,A101)</f>
        <v>0</v>
      </c>
      <c r="AB101" s="31">
        <f ca="1">_xll.DBRW($C$1,$C$2,$C$3,$C$4,$C$6,$C$5,$C$7,AB$1,AB$2,A101)</f>
        <v>0</v>
      </c>
      <c r="AC101" s="31">
        <f ca="1">_xll.DBRW($C$1,$C$2,$C$3,$C$4,$C$6,$C$5,$C$7,AC$1,AC$2,A101)</f>
        <v>0</v>
      </c>
      <c r="AD101" s="31">
        <f ca="1">_xll.DBRW($C$1,$C$2,$C$3,$C$4,$C$6,$C$5,$C$7,AD$1,AD$2,A101)</f>
        <v>0</v>
      </c>
      <c r="AE101" s="31">
        <f ca="1">_xll.DBRW($C$1,$C$2,$C$3,$C$4,$C$6,$C$5,$C$7,AE$1,AE$2,A101)</f>
        <v>0</v>
      </c>
      <c r="AF101" s="31">
        <f ca="1">_xll.DBRW($C$1,$C$2,$C$3,$C$4,$C$6,$C$5,$C$7,AF$1,AF$2,A101)</f>
        <v>0</v>
      </c>
      <c r="AG101" s="31">
        <f ca="1">_xll.DBRW($C$1,$C$2,$C$3,$C$4,$C$6,$C$5,$C$7,AG$1,AG$2,A101)</f>
        <v>0</v>
      </c>
      <c r="AH101" s="31">
        <f ca="1">_xll.DBRW($C$1,$C$2,$C$3,$C$4,$C$6,$C$5,$C$7,AH$1,AH$2,A101)</f>
        <v>0</v>
      </c>
      <c r="AI101" s="31">
        <f ca="1">_xll.DBRW($C$1,$C$2,$C$3,$C$4,$C$6,$C$5,$C$7,AI$1,AI$2,A101)</f>
        <v>0</v>
      </c>
      <c r="AJ101" s="31">
        <f ca="1">_xll.DBRW($C$1,$C$2,$C$3,$C$4,$C$6,$C$5,$C$7,AJ$1,AJ$2,A101)</f>
        <v>0</v>
      </c>
      <c r="AK101" s="31">
        <f ca="1">_xll.DBRW($C$1,$C$2,$C$3,$C$4,$C$6,$C$5,$C$7,AK$1,AK$2,A101)</f>
        <v>0</v>
      </c>
      <c r="AL101" s="31">
        <f ca="1">_xll.DBRW($C$1,$C$2,$C$3,$C$4,$C$6,$C$5,$C$7,AL$1,AL$2,A101)</f>
        <v>0</v>
      </c>
      <c r="AM101" s="31">
        <f ca="1">_xll.DBRW($C$1,$C$2,$C$3,$C$4,$C$6,$C$5,$C$7,AM$1,AM$2,A101)</f>
        <v>0</v>
      </c>
      <c r="AN101" s="31">
        <f ca="1">_xll.DBRW($C$1,$C$2,$C$3,$C$4,$C$6,$C$5,$C$7,AN$1,AN$2,A101)</f>
        <v>0</v>
      </c>
      <c r="AO101" s="31">
        <f ca="1">_xll.DBRW($C$1,$C$2,$C$3,$C$4,$C$6,$C$5,$C$7,AO$1,AO$2,A101)</f>
        <v>0</v>
      </c>
      <c r="AP101" s="31">
        <f ca="1">_xll.DBRW($C$1,$C$2,$C$3,$C$4,$C$6,$C$5,$C$7,AP$1,AP$2,A101)</f>
        <v>0</v>
      </c>
      <c r="AQ101" s="31">
        <f ca="1">_xll.DBRW($C$1,$C$2,$C$3,$C$4,$C$6,$C$5,$C$7,AQ$1,AQ$2,A101)</f>
        <v>0</v>
      </c>
      <c r="AR101" s="31">
        <f ca="1">_xll.DBRW($C$1,$C$2,$C$3,$C$4,$C$6,$C$5,$C$7,AR$1,AR$2,A101)</f>
        <v>0</v>
      </c>
      <c r="AS101" s="31">
        <f ca="1">_xll.DBRW($C$1,$C$2,$C$3,$C$4,$C$6,$C$5,$C$7,AS$1,AS$2,A101)</f>
        <v>0</v>
      </c>
      <c r="AT101" s="31">
        <f ca="1">_xll.DBRW($C$1,$C$2,$C$3,$C$4,$C$6,$C$5,$C$7,AT$1,AT$2,A101)</f>
        <v>0</v>
      </c>
      <c r="AU101" s="31">
        <f ca="1">_xll.DBRW($C$1,$C$2,$C$3,$C$4,$C$6,$C$5,$C$7,AU$1,AU$2,A101)</f>
        <v>0</v>
      </c>
    </row>
    <row r="102" spans="1:47" ht="15.75" hidden="1" customHeight="1" outlineLevel="1">
      <c r="A102" s="1" t="s">
        <v>186</v>
      </c>
      <c r="C102" s="141"/>
      <c r="E102" s="9" t="str">
        <f ca="1">_xll.DBRW(Server&amp;"}ElementAttributes_Indicator",A102,"code_English")</f>
        <v>PL1117_FL - COS - Lease expenses (IFRIC12) (FL)</v>
      </c>
      <c r="F102" s="31">
        <f ca="1">_xll.DBRW($C$1,$C$2,$C$3,$C$4,$C$6,$C$5,$C$7,F$1,F$2,A102)</f>
        <v>0</v>
      </c>
      <c r="G102" s="31">
        <f ca="1">_xll.DBRW($C$1,$C$2,$C$3,$C$4,$C$6,$C$5,$C$7,G$1,G$2,A102)</f>
        <v>0</v>
      </c>
      <c r="H102" s="31">
        <f ca="1">_xll.DBRW($C$1,$C$2,$C$3,$C$4,$C$6,$C$5,$C$7,H$1,H$2,A102)</f>
        <v>-5624746.0199999996</v>
      </c>
      <c r="I102" s="31">
        <f ca="1">_xll.DBRW($C$1,$C$2,$C$3,$C$4,$C$6,$C$5,$C$7,I$1,I$2,A102)</f>
        <v>-576066.21</v>
      </c>
      <c r="J102" s="31">
        <f ca="1">_xll.DBRW($C$1,$C$2,$C$3,$C$4,$C$6,$C$5,$C$7,J$1,J$2,A102)</f>
        <v>-1151463.3199999998</v>
      </c>
      <c r="K102" s="31">
        <f ca="1">_xll.DBRW($C$1,$C$2,$C$3,$C$4,$C$6,$C$5,$C$7,K$1,K$2,A102)</f>
        <v>-1726191.3199999998</v>
      </c>
      <c r="L102" s="31">
        <f ca="1">_xll.DBRW($C$1,$C$2,$C$3,$C$4,$C$6,$C$5,$C$7,L$1,L$2,A102)</f>
        <v>-2300250.2199999997</v>
      </c>
      <c r="M102" s="31">
        <f ca="1">_xll.DBRW($C$1,$C$2,$C$3,$C$4,$C$6,$C$5,$C$7,M$1,M$2,A102)</f>
        <v>-2873640.01</v>
      </c>
      <c r="N102" s="31">
        <f ca="1">_xll.DBRW($C$1,$C$2,$C$3,$C$4,$C$6,$C$5,$C$7,N$1,N$2,A102)</f>
        <v>-3446360.6899999995</v>
      </c>
      <c r="O102" s="31">
        <f ca="1">_xll.DBRW($C$1,$C$2,$C$3,$C$4,$C$6,$C$5,$C$7,O$1,O$2,A102)</f>
        <v>-3446360.6899999995</v>
      </c>
      <c r="P102" s="31">
        <f ca="1">_xll.DBRW($C$1,$C$2,$C$3,$C$4,$C$6,$C$5,$C$7,P$1,P$2,A102)</f>
        <v>-3446360.6899999995</v>
      </c>
      <c r="Q102" s="31">
        <f ca="1">_xll.DBRW($C$1,$C$2,$C$3,$C$4,$C$6,$C$5,$C$7,Q$1,Q$2,A102)</f>
        <v>-3446360.6899999995</v>
      </c>
      <c r="R102" s="31">
        <f ca="1">_xll.DBRW($C$1,$C$2,$C$3,$C$4,$C$6,$C$5,$C$7,R$1,R$2,A102)</f>
        <v>-3446360.6899999995</v>
      </c>
      <c r="S102" s="31">
        <f ca="1">_xll.DBRW($C$1,$C$2,$C$3,$C$4,$C$6,$C$5,$C$7,S$1,S$2,A102)</f>
        <v>-3446360.6899999995</v>
      </c>
      <c r="T102" s="31">
        <f ca="1">_xll.DBRW($C$1,$C$2,$C$3,$C$4,$C$6,$C$5,$C$7,T$1,T$2,A102)</f>
        <v>-3446360.6899999995</v>
      </c>
      <c r="U102" s="31">
        <f ca="1">_xll.DBRW($C$1,$C$2,$C$3,$C$4,$C$6,$C$5,$C$7,U$1,U$2,A102)</f>
        <v>-3446360.6899999995</v>
      </c>
      <c r="V102" s="31">
        <f ca="1">_xll.DBRW($C$1,$C$2,$C$3,$C$4,$C$6,$C$5,$C$7,V$1,V$2,A102)</f>
        <v>0</v>
      </c>
      <c r="W102" s="31">
        <f ca="1">_xll.DBRW($C$1,$C$2,$C$3,$C$4,$C$6,$C$5,$C$7,W$1,W$2,A102)</f>
        <v>0</v>
      </c>
      <c r="X102" s="31">
        <f ca="1">_xll.DBRW($C$1,$C$2,$C$3,$C$4,$C$6,$C$5,$C$7,X$1,X$2,A102)</f>
        <v>0</v>
      </c>
      <c r="Y102" s="31">
        <f ca="1">_xll.DBRW($C$1,$C$2,$C$3,$C$4,$C$6,$C$5,$C$7,Y$1,Y$2,A102)</f>
        <v>0</v>
      </c>
      <c r="Z102" s="31">
        <f ca="1">_xll.DBRW($C$1,$C$2,$C$3,$C$4,$C$6,$C$5,$C$7,Z$1,Z$2,A102)</f>
        <v>0</v>
      </c>
      <c r="AA102" s="31">
        <f ca="1">_xll.DBRW($C$1,$C$2,$C$3,$C$4,$C$6,$C$5,$C$7,AA$1,AA$2,A102)</f>
        <v>0</v>
      </c>
      <c r="AB102" s="31">
        <f ca="1">_xll.DBRW($C$1,$C$2,$C$3,$C$4,$C$6,$C$5,$C$7,AB$1,AB$2,A102)</f>
        <v>0</v>
      </c>
      <c r="AC102" s="31">
        <f ca="1">_xll.DBRW($C$1,$C$2,$C$3,$C$4,$C$6,$C$5,$C$7,AC$1,AC$2,A102)</f>
        <v>0</v>
      </c>
      <c r="AD102" s="31">
        <f ca="1">_xll.DBRW($C$1,$C$2,$C$3,$C$4,$C$6,$C$5,$C$7,AD$1,AD$2,A102)</f>
        <v>0</v>
      </c>
      <c r="AE102" s="31">
        <f ca="1">_xll.DBRW($C$1,$C$2,$C$3,$C$4,$C$6,$C$5,$C$7,AE$1,AE$2,A102)</f>
        <v>0</v>
      </c>
      <c r="AF102" s="31">
        <f ca="1">_xll.DBRW($C$1,$C$2,$C$3,$C$4,$C$6,$C$5,$C$7,AF$1,AF$2,A102)</f>
        <v>0</v>
      </c>
      <c r="AG102" s="31">
        <f ca="1">_xll.DBRW($C$1,$C$2,$C$3,$C$4,$C$6,$C$5,$C$7,AG$1,AG$2,A102)</f>
        <v>0</v>
      </c>
      <c r="AH102" s="31">
        <f ca="1">_xll.DBRW($C$1,$C$2,$C$3,$C$4,$C$6,$C$5,$C$7,AH$1,AH$2,A102)</f>
        <v>0</v>
      </c>
      <c r="AI102" s="31">
        <f ca="1">_xll.DBRW($C$1,$C$2,$C$3,$C$4,$C$6,$C$5,$C$7,AI$1,AI$2,A102)</f>
        <v>0</v>
      </c>
      <c r="AJ102" s="31">
        <f ca="1">_xll.DBRW($C$1,$C$2,$C$3,$C$4,$C$6,$C$5,$C$7,AJ$1,AJ$2,A102)</f>
        <v>0</v>
      </c>
      <c r="AK102" s="31">
        <f ca="1">_xll.DBRW($C$1,$C$2,$C$3,$C$4,$C$6,$C$5,$C$7,AK$1,AK$2,A102)</f>
        <v>0</v>
      </c>
      <c r="AL102" s="31">
        <f ca="1">_xll.DBRW($C$1,$C$2,$C$3,$C$4,$C$6,$C$5,$C$7,AL$1,AL$2,A102)</f>
        <v>0</v>
      </c>
      <c r="AM102" s="31">
        <f ca="1">_xll.DBRW($C$1,$C$2,$C$3,$C$4,$C$6,$C$5,$C$7,AM$1,AM$2,A102)</f>
        <v>0</v>
      </c>
      <c r="AN102" s="31">
        <f ca="1">_xll.DBRW($C$1,$C$2,$C$3,$C$4,$C$6,$C$5,$C$7,AN$1,AN$2,A102)</f>
        <v>0</v>
      </c>
      <c r="AO102" s="31">
        <f ca="1">_xll.DBRW($C$1,$C$2,$C$3,$C$4,$C$6,$C$5,$C$7,AO$1,AO$2,A102)</f>
        <v>0</v>
      </c>
      <c r="AP102" s="31">
        <f ca="1">_xll.DBRW($C$1,$C$2,$C$3,$C$4,$C$6,$C$5,$C$7,AP$1,AP$2,A102)</f>
        <v>0</v>
      </c>
      <c r="AQ102" s="31">
        <f ca="1">_xll.DBRW($C$1,$C$2,$C$3,$C$4,$C$6,$C$5,$C$7,AQ$1,AQ$2,A102)</f>
        <v>0</v>
      </c>
      <c r="AR102" s="31">
        <f ca="1">_xll.DBRW($C$1,$C$2,$C$3,$C$4,$C$6,$C$5,$C$7,AR$1,AR$2,A102)</f>
        <v>0</v>
      </c>
      <c r="AS102" s="31">
        <f ca="1">_xll.DBRW($C$1,$C$2,$C$3,$C$4,$C$6,$C$5,$C$7,AS$1,AS$2,A102)</f>
        <v>0</v>
      </c>
      <c r="AT102" s="31">
        <f ca="1">_xll.DBRW($C$1,$C$2,$C$3,$C$4,$C$6,$C$5,$C$7,AT$1,AT$2,A102)</f>
        <v>0</v>
      </c>
      <c r="AU102" s="31">
        <f ca="1">_xll.DBRW($C$1,$C$2,$C$3,$C$4,$C$6,$C$5,$C$7,AU$1,AU$2,A102)</f>
        <v>0</v>
      </c>
    </row>
    <row r="103" spans="1:47" ht="15.75" hidden="1" customHeight="1" outlineLevel="1">
      <c r="A103" s="1" t="s">
        <v>187</v>
      </c>
      <c r="C103" s="141"/>
      <c r="E103" s="9" t="str">
        <f ca="1">_xll.DBRW(Server&amp;"}ElementAttributes_Indicator",A103,"code_English")</f>
        <v>PL1118_FL - IFRS16 adjustment through P&amp;L (FL)</v>
      </c>
      <c r="F103" s="31">
        <f ca="1">_xll.DBRW($C$1,$C$2,$C$3,$C$4,$C$6,$C$5,$C$7,F$1,F$2,A103)</f>
        <v>0</v>
      </c>
      <c r="G103" s="31">
        <f ca="1">_xll.DBRW($C$1,$C$2,$C$3,$C$4,$C$6,$C$5,$C$7,G$1,G$2,A103)</f>
        <v>0</v>
      </c>
      <c r="H103" s="31">
        <f ca="1">_xll.DBRW($C$1,$C$2,$C$3,$C$4,$C$6,$C$5,$C$7,H$1,H$2,A103)</f>
        <v>0</v>
      </c>
      <c r="I103" s="31">
        <f ca="1">_xll.DBRW($C$1,$C$2,$C$3,$C$4,$C$6,$C$5,$C$7,I$1,I$2,A103)</f>
        <v>0</v>
      </c>
      <c r="J103" s="31">
        <f ca="1">_xll.DBRW($C$1,$C$2,$C$3,$C$4,$C$6,$C$5,$C$7,J$1,J$2,A103)</f>
        <v>0</v>
      </c>
      <c r="K103" s="31">
        <f ca="1">_xll.DBRW($C$1,$C$2,$C$3,$C$4,$C$6,$C$5,$C$7,K$1,K$2,A103)</f>
        <v>0</v>
      </c>
      <c r="L103" s="31">
        <f ca="1">_xll.DBRW($C$1,$C$2,$C$3,$C$4,$C$6,$C$5,$C$7,L$1,L$2,A103)</f>
        <v>0</v>
      </c>
      <c r="M103" s="31">
        <f ca="1">_xll.DBRW($C$1,$C$2,$C$3,$C$4,$C$6,$C$5,$C$7,M$1,M$2,A103)</f>
        <v>0</v>
      </c>
      <c r="N103" s="31">
        <f ca="1">_xll.DBRW($C$1,$C$2,$C$3,$C$4,$C$6,$C$5,$C$7,N$1,N$2,A103)</f>
        <v>0</v>
      </c>
      <c r="O103" s="31">
        <f ca="1">_xll.DBRW($C$1,$C$2,$C$3,$C$4,$C$6,$C$5,$C$7,O$1,O$2,A103)</f>
        <v>0</v>
      </c>
      <c r="P103" s="31">
        <f ca="1">_xll.DBRW($C$1,$C$2,$C$3,$C$4,$C$6,$C$5,$C$7,P$1,P$2,A103)</f>
        <v>0</v>
      </c>
      <c r="Q103" s="31">
        <f ca="1">_xll.DBRW($C$1,$C$2,$C$3,$C$4,$C$6,$C$5,$C$7,Q$1,Q$2,A103)</f>
        <v>0</v>
      </c>
      <c r="R103" s="31">
        <f ca="1">_xll.DBRW($C$1,$C$2,$C$3,$C$4,$C$6,$C$5,$C$7,R$1,R$2,A103)</f>
        <v>0</v>
      </c>
      <c r="S103" s="31">
        <f ca="1">_xll.DBRW($C$1,$C$2,$C$3,$C$4,$C$6,$C$5,$C$7,S$1,S$2,A103)</f>
        <v>0</v>
      </c>
      <c r="T103" s="31">
        <f ca="1">_xll.DBRW($C$1,$C$2,$C$3,$C$4,$C$6,$C$5,$C$7,T$1,T$2,A103)</f>
        <v>0</v>
      </c>
      <c r="U103" s="31">
        <f ca="1">_xll.DBRW($C$1,$C$2,$C$3,$C$4,$C$6,$C$5,$C$7,U$1,U$2,A103)</f>
        <v>0</v>
      </c>
      <c r="V103" s="31">
        <f ca="1">_xll.DBRW($C$1,$C$2,$C$3,$C$4,$C$6,$C$5,$C$7,V$1,V$2,A103)</f>
        <v>0</v>
      </c>
      <c r="W103" s="31">
        <f ca="1">_xll.DBRW($C$1,$C$2,$C$3,$C$4,$C$6,$C$5,$C$7,W$1,W$2,$A103)</f>
        <v>0</v>
      </c>
      <c r="X103" s="31">
        <f ca="1">_xll.DBRW($C$1,$C$2,$C$3,$C$4,$C$6,$C$5,$C$7,X$1,X$2,$A103)</f>
        <v>0</v>
      </c>
      <c r="Y103" s="31">
        <f ca="1">_xll.DBRW($C$1,$C$2,$C$3,$C$4,$C$6,$C$5,$C$7,Y$1,Y$2,$A103)</f>
        <v>0</v>
      </c>
      <c r="Z103" s="31">
        <f ca="1">_xll.DBRW($C$1,$C$2,$C$3,$C$4,$C$6,$C$5,$C$7,Z$1,Z$2,$A103)</f>
        <v>0</v>
      </c>
      <c r="AA103" s="31">
        <f ca="1">_xll.DBRW($C$1,$C$2,$C$3,$C$4,$C$6,$C$5,$C$7,AA$1,AA$2,$A103)</f>
        <v>0</v>
      </c>
      <c r="AB103" s="31">
        <f ca="1">_xll.DBRW($C$1,$C$2,$C$3,$C$4,$C$6,$C$5,$C$7,AB$1,AB$2,$A103)</f>
        <v>0</v>
      </c>
      <c r="AC103" s="31">
        <f ca="1">_xll.DBRW($C$1,$C$2,$C$3,$C$4,$C$6,$C$5,$C$7,AC$1,AC$2,$A103)</f>
        <v>0</v>
      </c>
      <c r="AD103" s="31">
        <f ca="1">_xll.DBRW($C$1,$C$2,$C$3,$C$4,$C$6,$C$5,$C$7,AD$1,AD$2,$A103)</f>
        <v>0</v>
      </c>
      <c r="AE103" s="31">
        <f ca="1">_xll.DBRW($C$1,$C$2,$C$3,$C$4,$C$6,$C$5,$C$7,AE$1,AE$2,$A103)</f>
        <v>0</v>
      </c>
      <c r="AF103" s="31">
        <f ca="1">_xll.DBRW($C$1,$C$2,$C$3,$C$4,$C$6,$C$5,$C$7,AF$1,AF$2,$A103)</f>
        <v>0</v>
      </c>
      <c r="AG103" s="31">
        <f ca="1">_xll.DBRW($C$1,$C$2,$C$3,$C$4,$C$6,$C$5,$C$7,AG$1,AG$2,$A103)</f>
        <v>0</v>
      </c>
      <c r="AH103" s="31">
        <f ca="1">_xll.DBRW($C$1,$C$2,$C$3,$C$4,$C$6,$C$5,$C$7,AH$1,AH$2,$A103)</f>
        <v>0</v>
      </c>
      <c r="AI103" s="31">
        <f ca="1">_xll.DBRW($C$1,$C$2,$C$3,$C$4,$C$6,$C$5,$C$7,AI$1,AI$2,$A103)</f>
        <v>0</v>
      </c>
      <c r="AJ103" s="31">
        <f ca="1">_xll.DBRW($C$1,$C$2,$C$3,$C$4,$C$6,$C$5,$C$7,AJ$1,AJ$2,$A103)</f>
        <v>0</v>
      </c>
      <c r="AK103" s="31">
        <f ca="1">_xll.DBRW($C$1,$C$2,$C$3,$C$4,$C$6,$C$5,$C$7,AK$1,AK$2,$A103)</f>
        <v>0</v>
      </c>
      <c r="AL103" s="31">
        <f ca="1">_xll.DBRW($C$1,$C$2,$C$3,$C$4,$C$6,$C$5,$C$7,AL$1,AL$2,$A103)</f>
        <v>0</v>
      </c>
      <c r="AM103" s="31">
        <f ca="1">_xll.DBRW($C$1,$C$2,$C$3,$C$4,$C$6,$C$5,$C$7,AM$1,AM$2,$A103)</f>
        <v>0</v>
      </c>
      <c r="AN103" s="31">
        <f ca="1">_xll.DBRW($C$1,$C$2,$C$3,$C$4,$C$6,$C$5,$C$7,AN$1,AN$2,$A103)</f>
        <v>0</v>
      </c>
      <c r="AO103" s="31">
        <f ca="1">_xll.DBRW($C$1,$C$2,$C$3,$C$4,$C$6,$C$5,$C$7,AO$1,AO$2,$A103)</f>
        <v>0</v>
      </c>
      <c r="AP103" s="31">
        <f ca="1">_xll.DBRW($C$1,$C$2,$C$3,$C$4,$C$6,$C$5,$C$7,AP$1,AP$2,$A103)</f>
        <v>0</v>
      </c>
      <c r="AQ103" s="31">
        <f ca="1">_xll.DBRW($C$1,$C$2,$C$3,$C$4,$C$6,$C$5,$C$7,AQ$1,AQ$2,$A103)</f>
        <v>0</v>
      </c>
      <c r="AR103" s="31">
        <f ca="1">_xll.DBRW($C$1,$C$2,$C$3,$C$4,$C$6,$C$5,$C$7,AR$1,AR$2,$A103)</f>
        <v>0</v>
      </c>
      <c r="AS103" s="31">
        <f ca="1">_xll.DBRW($C$1,$C$2,$C$3,$C$4,$C$6,$C$5,$C$7,AS$1,AS$2,$A103)</f>
        <v>0</v>
      </c>
      <c r="AT103" s="31">
        <f ca="1">_xll.DBRW($C$1,$C$2,$C$3,$C$4,$C$6,$C$5,$C$7,AT$1,AT$2,$A103)</f>
        <v>0</v>
      </c>
      <c r="AU103" s="31">
        <f ca="1">_xll.DBRW($C$1,$C$2,$C$3,$C$4,$C$6,$C$5,$C$7,AU$1,AU$2,$A103)</f>
        <v>0</v>
      </c>
    </row>
    <row r="104" spans="1:47" ht="15.75" hidden="1" customHeight="1" outlineLevel="1">
      <c r="A104" s="1" t="s">
        <v>188</v>
      </c>
      <c r="C104" s="141"/>
      <c r="E104" s="9" t="str">
        <f ca="1">_xll.DBRW(Server&amp;"}ElementAttributes_Indicator",A104,"code_English")</f>
        <v>PL1140_FL_05 - Amortization (FL)</v>
      </c>
      <c r="F104" s="31">
        <f ca="1">_xll.DBRW($C$1,$C$2,$C$3,$C$4,$C$6,$C$5,$C$7,F$1,F$2,$A104)</f>
        <v>-42398383.82</v>
      </c>
      <c r="G104" s="31">
        <f ca="1">_xll.DBRW($C$1,$C$2,$C$3,$C$4,$C$6,$C$5,$C$7,G$1,G$2,$A104)</f>
        <v>-39477617.240000002</v>
      </c>
      <c r="H104" s="31">
        <f ca="1">_xll.DBRW($C$1,$C$2,$C$3,$C$4,$C$6,$C$5,$C$7,H$1,H$2,$A104)</f>
        <v>-33097871.219999999</v>
      </c>
      <c r="I104" s="31">
        <f ca="1">_xll.DBRW($C$1,$C$2,$C$3,$C$4,$C$6,$C$5,$C$7,I$1,I$2,$A104)</f>
        <v>-2489410.2600000007</v>
      </c>
      <c r="J104" s="31">
        <f ca="1">_xll.DBRW($C$1,$C$2,$C$3,$C$4,$C$6,$C$5,$C$7,J$1,J$2,$A104)</f>
        <v>-5002847.17</v>
      </c>
      <c r="K104" s="31">
        <f ca="1">_xll.DBRW($C$1,$C$2,$C$3,$C$4,$C$6,$C$5,$C$7,K$1,K$2,$A104)</f>
        <v>-7611054.209999999</v>
      </c>
      <c r="L104" s="31">
        <f ca="1">_xll.DBRW($C$1,$C$2,$C$3,$C$4,$C$6,$C$5,$C$7,L$1,L$2,$A104)</f>
        <v>-10155332.899999999</v>
      </c>
      <c r="M104" s="31">
        <f ca="1">_xll.DBRW($C$1,$C$2,$C$3,$C$4,$C$6,$C$5,$C$7,M$1,M$2,$A104)</f>
        <v>-12680853.449999999</v>
      </c>
      <c r="N104" s="31">
        <f ca="1">_xll.DBRW($C$1,$C$2,$C$3,$C$4,$C$6,$C$5,$C$7,N$1,N$2,$A104)</f>
        <v>-15700085.379999999</v>
      </c>
      <c r="O104" s="31">
        <f ca="1">_xll.DBRW($C$1,$C$2,$C$3,$C$4,$C$6,$C$5,$C$7,O$1,O$2,$A104)</f>
        <v>-15700085.379999999</v>
      </c>
      <c r="P104" s="31">
        <f ca="1">_xll.DBRW($C$1,$C$2,$C$3,$C$4,$C$6,$C$5,$C$7,P$1,P$2,$A104)</f>
        <v>-15700085.379999999</v>
      </c>
      <c r="Q104" s="31">
        <f ca="1">_xll.DBRW($C$1,$C$2,$C$3,$C$4,$C$6,$C$5,$C$7,Q$1,Q$2,$A104)</f>
        <v>-15700085.379999999</v>
      </c>
      <c r="R104" s="31">
        <f ca="1">_xll.DBRW($C$1,$C$2,$C$3,$C$4,$C$6,$C$5,$C$7,R$1,R$2,$A104)</f>
        <v>-15700085.379999999</v>
      </c>
      <c r="S104" s="31">
        <f ca="1">_xll.DBRW($C$1,$C$2,$C$3,$C$4,$C$6,$C$5,$C$7,S$1,S$2,$A104)</f>
        <v>-15700085.379999999</v>
      </c>
      <c r="T104" s="31">
        <f ca="1">_xll.DBRW($C$1,$C$2,$C$3,$C$4,$C$6,$C$5,$C$7,T$1,T$2,$A104)</f>
        <v>-15700085.379999999</v>
      </c>
      <c r="U104" s="31">
        <f ca="1">_xll.DBRW($C$1,$C$2,$C$3,$C$4,$C$6,$C$5,$C$7,U$1,U$2,$A104)</f>
        <v>-15700085.379999999</v>
      </c>
      <c r="V104" s="31">
        <f ca="1">_xll.DBRW($C$1,$C$2,$C$3,$C$4,$C$6,$C$5,$C$7,V$1,V$2,$A104)</f>
        <v>0</v>
      </c>
      <c r="W104" s="31">
        <f ca="1">_xll.DBRW($C$1,$C$2,$C$3,$C$4,$C$6,$C$5,$C$7,W$1,W$2,$A104)</f>
        <v>0</v>
      </c>
      <c r="X104" s="31">
        <f ca="1">_xll.DBRW($C$1,$C$2,$C$3,$C$4,$C$6,$C$5,$C$7,X$1,X$2,$A104)</f>
        <v>0</v>
      </c>
      <c r="Y104" s="31">
        <f ca="1">_xll.DBRW($C$1,$C$2,$C$3,$C$4,$C$6,$C$5,$C$7,Y$1,Y$2,$A104)</f>
        <v>0</v>
      </c>
      <c r="Z104" s="31">
        <f ca="1">_xll.DBRW($C$1,$C$2,$C$3,$C$4,$C$6,$C$5,$C$7,Z$1,Z$2,$A104)</f>
        <v>0</v>
      </c>
      <c r="AA104" s="31">
        <f ca="1">_xll.DBRW($C$1,$C$2,$C$3,$C$4,$C$6,$C$5,$C$7,AA$1,AA$2,$A104)</f>
        <v>0</v>
      </c>
      <c r="AB104" s="31">
        <f ca="1">_xll.DBRW($C$1,$C$2,$C$3,$C$4,$C$6,$C$5,$C$7,AB$1,AB$2,$A104)</f>
        <v>0</v>
      </c>
      <c r="AC104" s="31">
        <f ca="1">_xll.DBRW($C$1,$C$2,$C$3,$C$4,$C$6,$C$5,$C$7,AC$1,AC$2,$A104)</f>
        <v>0</v>
      </c>
      <c r="AD104" s="31">
        <f ca="1">_xll.DBRW($C$1,$C$2,$C$3,$C$4,$C$6,$C$5,$C$7,AD$1,AD$2,$A104)</f>
        <v>0</v>
      </c>
      <c r="AE104" s="31">
        <f ca="1">_xll.DBRW($C$1,$C$2,$C$3,$C$4,$C$6,$C$5,$C$7,AE$1,AE$2,$A104)</f>
        <v>0</v>
      </c>
      <c r="AF104" s="31">
        <f ca="1">_xll.DBRW($C$1,$C$2,$C$3,$C$4,$C$6,$C$5,$C$7,AF$1,AF$2,$A104)</f>
        <v>0</v>
      </c>
      <c r="AG104" s="31">
        <f ca="1">_xll.DBRW($C$1,$C$2,$C$3,$C$4,$C$6,$C$5,$C$7,AG$1,AG$2,$A104)</f>
        <v>0</v>
      </c>
      <c r="AH104" s="31">
        <f ca="1">_xll.DBRW($C$1,$C$2,$C$3,$C$4,$C$6,$C$5,$C$7,AH$1,AH$2,$A104)</f>
        <v>0</v>
      </c>
      <c r="AI104" s="31">
        <f ca="1">_xll.DBRW($C$1,$C$2,$C$3,$C$4,$C$6,$C$5,$C$7,AI$1,AI$2,$A104)</f>
        <v>0</v>
      </c>
      <c r="AJ104" s="31">
        <f ca="1">_xll.DBRW($C$1,$C$2,$C$3,$C$4,$C$6,$C$5,$C$7,AJ$1,AJ$2,$A104)</f>
        <v>0</v>
      </c>
      <c r="AK104" s="31">
        <f ca="1">_xll.DBRW($C$1,$C$2,$C$3,$C$4,$C$6,$C$5,$C$7,AK$1,AK$2,$A104)</f>
        <v>0</v>
      </c>
      <c r="AL104" s="31">
        <f ca="1">_xll.DBRW($C$1,$C$2,$C$3,$C$4,$C$6,$C$5,$C$7,AL$1,AL$2,$A104)</f>
        <v>0</v>
      </c>
      <c r="AM104" s="31">
        <f ca="1">_xll.DBRW($C$1,$C$2,$C$3,$C$4,$C$6,$C$5,$C$7,AM$1,AM$2,$A104)</f>
        <v>0</v>
      </c>
      <c r="AN104" s="31">
        <f ca="1">_xll.DBRW($C$1,$C$2,$C$3,$C$4,$C$6,$C$5,$C$7,AN$1,AN$2,$A104)</f>
        <v>0</v>
      </c>
      <c r="AO104" s="31">
        <f ca="1">_xll.DBRW($C$1,$C$2,$C$3,$C$4,$C$6,$C$5,$C$7,AO$1,AO$2,$A104)</f>
        <v>0</v>
      </c>
      <c r="AP104" s="31">
        <f ca="1">_xll.DBRW($C$1,$C$2,$C$3,$C$4,$C$6,$C$5,$C$7,AP$1,AP$2,$A104)</f>
        <v>0</v>
      </c>
      <c r="AQ104" s="31">
        <f ca="1">_xll.DBRW($C$1,$C$2,$C$3,$C$4,$C$6,$C$5,$C$7,AQ$1,AQ$2,$A104)</f>
        <v>0</v>
      </c>
      <c r="AR104" s="31">
        <f ca="1">_xll.DBRW($C$1,$C$2,$C$3,$C$4,$C$6,$C$5,$C$7,AR$1,AR$2,$A104)</f>
        <v>0</v>
      </c>
      <c r="AS104" s="31">
        <f ca="1">_xll.DBRW($C$1,$C$2,$C$3,$C$4,$C$6,$C$5,$C$7,AS$1,AS$2,$A104)</f>
        <v>0</v>
      </c>
      <c r="AT104" s="31">
        <f ca="1">_xll.DBRW($C$1,$C$2,$C$3,$C$4,$C$6,$C$5,$C$7,AT$1,AT$2,$A104)</f>
        <v>0</v>
      </c>
      <c r="AU104" s="31">
        <f ca="1">_xll.DBRW($C$1,$C$2,$C$3,$C$4,$C$6,$C$5,$C$7,AU$1,AU$2,$A104)</f>
        <v>0</v>
      </c>
    </row>
    <row r="105" spans="1:47" ht="15.75" hidden="1" customHeight="1" outlineLevel="1">
      <c r="A105" s="1" t="s">
        <v>189</v>
      </c>
      <c r="C105" s="141"/>
      <c r="E105" s="9" t="str">
        <f ca="1">_xll.DBRW(Server&amp;"}ElementAttributes_Indicator",A105,"code_English")</f>
        <v>PL1150_FL_10 - Impairment (other than working capital) and provisions - others (FL)</v>
      </c>
      <c r="F105" s="31">
        <f ca="1">_xll.DBRW($C$1,$C$2,$C$3,$C$4,$C$6,$C$5,$C$7,F$1,F$2,$A105)</f>
        <v>0</v>
      </c>
      <c r="G105" s="31">
        <f ca="1">_xll.DBRW($C$1,$C$2,$C$3,$C$4,$C$6,$C$5,$C$7,G$1,G$2,$A105)</f>
        <v>-1781329.0100000002</v>
      </c>
      <c r="H105" s="31">
        <f ca="1">_xll.DBRW($C$1,$C$2,$C$3,$C$4,$C$6,$C$5,$C$7,H$1,H$2,$A105)</f>
        <v>0</v>
      </c>
      <c r="I105" s="31">
        <f ca="1">_xll.DBRW($C$1,$C$2,$C$3,$C$4,$C$6,$C$5,$C$7,I$1,I$2,$A105)</f>
        <v>0</v>
      </c>
      <c r="J105" s="31">
        <f ca="1">_xll.DBRW($C$1,$C$2,$C$3,$C$4,$C$6,$C$5,$C$7,J$1,J$2,$A105)</f>
        <v>0</v>
      </c>
      <c r="K105" s="31">
        <f ca="1">_xll.DBRW($C$1,$C$2,$C$3,$C$4,$C$6,$C$5,$C$7,K$1,K$2,$A105)</f>
        <v>0</v>
      </c>
      <c r="L105" s="31">
        <f ca="1">_xll.DBRW($C$1,$C$2,$C$3,$C$4,$C$6,$C$5,$C$7,L$1,L$2,$A105)</f>
        <v>0</v>
      </c>
      <c r="M105" s="31">
        <f ca="1">_xll.DBRW($C$1,$C$2,$C$3,$C$4,$C$6,$C$5,$C$7,M$1,M$2,$A105)</f>
        <v>0</v>
      </c>
      <c r="N105" s="31">
        <f ca="1">_xll.DBRW($C$1,$C$2,$C$3,$C$4,$C$6,$C$5,$C$7,N$1,N$2,$A105)</f>
        <v>0</v>
      </c>
      <c r="O105" s="31">
        <f ca="1">_xll.DBRW($C$1,$C$2,$C$3,$C$4,$C$6,$C$5,$C$7,O$1,O$2,$A105)</f>
        <v>0</v>
      </c>
      <c r="P105" s="31">
        <f ca="1">_xll.DBRW($C$1,$C$2,$C$3,$C$4,$C$6,$C$5,$C$7,P$1,P$2,$A105)</f>
        <v>0</v>
      </c>
      <c r="Q105" s="31">
        <f ca="1">_xll.DBRW($C$1,$C$2,$C$3,$C$4,$C$6,$C$5,$C$7,Q$1,Q$2,$A105)</f>
        <v>0</v>
      </c>
      <c r="R105" s="31">
        <f ca="1">_xll.DBRW($C$1,$C$2,$C$3,$C$4,$C$6,$C$5,$C$7,R$1,R$2,$A105)</f>
        <v>0</v>
      </c>
      <c r="S105" s="31">
        <f ca="1">_xll.DBRW($C$1,$C$2,$C$3,$C$4,$C$6,$C$5,$C$7,S$1,S$2,$A105)</f>
        <v>0</v>
      </c>
      <c r="T105" s="31">
        <f ca="1">_xll.DBRW($C$1,$C$2,$C$3,$C$4,$C$6,$C$5,$C$7,T$1,T$2,$A105)</f>
        <v>0</v>
      </c>
      <c r="U105" s="31">
        <f ca="1">_xll.DBRW($C$1,$C$2,$C$3,$C$4,$C$6,$C$5,$C$7,U$1,U$2,$A105)</f>
        <v>0</v>
      </c>
      <c r="V105" s="31">
        <f ca="1">_xll.DBRW($C$1,$C$2,$C$3,$C$4,$C$6,$C$5,$C$7,V$1,V$2,$A105)</f>
        <v>0</v>
      </c>
      <c r="W105" s="31">
        <f ca="1">_xll.DBRW($C$1,$C$2,$C$3,$C$4,$C$6,$C$5,$C$7,W$1,W$2,$A105)</f>
        <v>0</v>
      </c>
      <c r="X105" s="31">
        <f ca="1">_xll.DBRW($C$1,$C$2,$C$3,$C$4,$C$6,$C$5,$C$7,X$1,X$2,$A105)</f>
        <v>0</v>
      </c>
      <c r="Y105" s="31">
        <f ca="1">_xll.DBRW($C$1,$C$2,$C$3,$C$4,$C$6,$C$5,$C$7,Y$1,Y$2,$A105)</f>
        <v>0</v>
      </c>
      <c r="Z105" s="31">
        <f ca="1">_xll.DBRW($C$1,$C$2,$C$3,$C$4,$C$6,$C$5,$C$7,Z$1,Z$2,$A105)</f>
        <v>0</v>
      </c>
      <c r="AA105" s="31">
        <f ca="1">_xll.DBRW($C$1,$C$2,$C$3,$C$4,$C$6,$C$5,$C$7,AA$1,AA$2,$A105)</f>
        <v>0</v>
      </c>
      <c r="AB105" s="31">
        <f ca="1">_xll.DBRW($C$1,$C$2,$C$3,$C$4,$C$6,$C$5,$C$7,AB$1,AB$2,$A105)</f>
        <v>0</v>
      </c>
      <c r="AC105" s="31">
        <f ca="1">_xll.DBRW($C$1,$C$2,$C$3,$C$4,$C$6,$C$5,$C$7,AC$1,AC$2,$A105)</f>
        <v>0</v>
      </c>
      <c r="AD105" s="31">
        <f ca="1">_xll.DBRW($C$1,$C$2,$C$3,$C$4,$C$6,$C$5,$C$7,AD$1,AD$2,$A105)</f>
        <v>0</v>
      </c>
      <c r="AE105" s="31">
        <f ca="1">_xll.DBRW($C$1,$C$2,$C$3,$C$4,$C$6,$C$5,$C$7,AE$1,AE$2,$A105)</f>
        <v>0</v>
      </c>
      <c r="AF105" s="31">
        <f ca="1">_xll.DBRW($C$1,$C$2,$C$3,$C$4,$C$6,$C$5,$C$7,AF$1,AF$2,$A105)</f>
        <v>0</v>
      </c>
      <c r="AG105" s="31">
        <f ca="1">_xll.DBRW($C$1,$C$2,$C$3,$C$4,$C$6,$C$5,$C$7,AG$1,AG$2,$A105)</f>
        <v>0</v>
      </c>
      <c r="AH105" s="31">
        <f ca="1">_xll.DBRW($C$1,$C$2,$C$3,$C$4,$C$6,$C$5,$C$7,AH$1,AH$2,$A105)</f>
        <v>0</v>
      </c>
      <c r="AI105" s="31">
        <f ca="1">_xll.DBRW($C$1,$C$2,$C$3,$C$4,$C$6,$C$5,$C$7,AI$1,AI$2,$A105)</f>
        <v>0</v>
      </c>
      <c r="AJ105" s="31">
        <f ca="1">_xll.DBRW($C$1,$C$2,$C$3,$C$4,$C$6,$C$5,$C$7,AJ$1,AJ$2,$A105)</f>
        <v>0</v>
      </c>
      <c r="AK105" s="31">
        <f ca="1">_xll.DBRW($C$1,$C$2,$C$3,$C$4,$C$6,$C$5,$C$7,AK$1,AK$2,$A105)</f>
        <v>0</v>
      </c>
      <c r="AL105" s="31">
        <f ca="1">_xll.DBRW($C$1,$C$2,$C$3,$C$4,$C$6,$C$5,$C$7,AL$1,AL$2,$A105)</f>
        <v>0</v>
      </c>
      <c r="AM105" s="31">
        <f ca="1">_xll.DBRW($C$1,$C$2,$C$3,$C$4,$C$6,$C$5,$C$7,AM$1,AM$2,$A105)</f>
        <v>0</v>
      </c>
      <c r="AN105" s="31">
        <f ca="1">_xll.DBRW($C$1,$C$2,$C$3,$C$4,$C$6,$C$5,$C$7,AN$1,AN$2,$A105)</f>
        <v>0</v>
      </c>
      <c r="AO105" s="31">
        <f ca="1">_xll.DBRW($C$1,$C$2,$C$3,$C$4,$C$6,$C$5,$C$7,AO$1,AO$2,$A105)</f>
        <v>0</v>
      </c>
      <c r="AP105" s="31">
        <f ca="1">_xll.DBRW($C$1,$C$2,$C$3,$C$4,$C$6,$C$5,$C$7,AP$1,AP$2,$A105)</f>
        <v>0</v>
      </c>
      <c r="AQ105" s="31">
        <f ca="1">_xll.DBRW($C$1,$C$2,$C$3,$C$4,$C$6,$C$5,$C$7,AQ$1,AQ$2,$A105)</f>
        <v>0</v>
      </c>
      <c r="AR105" s="31">
        <f ca="1">_xll.DBRW($C$1,$C$2,$C$3,$C$4,$C$6,$C$5,$C$7,AR$1,AR$2,$A105)</f>
        <v>0</v>
      </c>
      <c r="AS105" s="31">
        <f ca="1">_xll.DBRW($C$1,$C$2,$C$3,$C$4,$C$6,$C$5,$C$7,AS$1,AS$2,$A105)</f>
        <v>0</v>
      </c>
      <c r="AT105" s="31">
        <f ca="1">_xll.DBRW($C$1,$C$2,$C$3,$C$4,$C$6,$C$5,$C$7,AT$1,AT$2,$A105)</f>
        <v>0</v>
      </c>
      <c r="AU105" s="31">
        <f ca="1">_xll.DBRW($C$1,$C$2,$C$3,$C$4,$C$6,$C$5,$C$7,AU$1,AU$2,$A105)</f>
        <v>0</v>
      </c>
    </row>
    <row r="106" spans="1:47" ht="15.75" hidden="1" customHeight="1" outlineLevel="1">
      <c r="A106" s="1" t="s">
        <v>190</v>
      </c>
      <c r="C106" s="141"/>
      <c r="E106" s="9" t="str">
        <f ca="1">_xll.DBRW(Server&amp;"}ElementAttributes_Indicator",A106,"code_English")</f>
        <v>PL1151_FL_10 - Impact of change in revaluation rate on provisions for losses on LT contracts - others (FL)</v>
      </c>
      <c r="F106" s="31">
        <f ca="1">_xll.DBRW($C$1,$C$2,$C$3,$C$4,$C$6,$C$5,$C$7,F$1,F$2,$A106)</f>
        <v>0</v>
      </c>
      <c r="G106" s="31">
        <f ca="1">_xll.DBRW($C$1,$C$2,$C$3,$C$4,$C$6,$C$5,$C$7,G$1,G$2,$A106)</f>
        <v>0</v>
      </c>
      <c r="H106" s="31">
        <f ca="1">_xll.DBRW($C$1,$C$2,$C$3,$C$4,$C$6,$C$5,$C$7,H$1,H$2,$A106)</f>
        <v>0</v>
      </c>
      <c r="I106" s="31">
        <f ca="1">_xll.DBRW($C$1,$C$2,$C$3,$C$4,$C$6,$C$5,$C$7,I$1,I$2,$A106)</f>
        <v>0</v>
      </c>
      <c r="J106" s="31">
        <f ca="1">_xll.DBRW($C$1,$C$2,$C$3,$C$4,$C$6,$C$5,$C$7,J$1,J$2,$A106)</f>
        <v>0</v>
      </c>
      <c r="K106" s="31">
        <f ca="1">_xll.DBRW($C$1,$C$2,$C$3,$C$4,$C$6,$C$5,$C$7,K$1,K$2,$A106)</f>
        <v>0</v>
      </c>
      <c r="L106" s="31">
        <f ca="1">_xll.DBRW($C$1,$C$2,$C$3,$C$4,$C$6,$C$5,$C$7,L$1,L$2,$A106)</f>
        <v>0</v>
      </c>
      <c r="M106" s="31">
        <f ca="1">_xll.DBRW($C$1,$C$2,$C$3,$C$4,$C$6,$C$5,$C$7,M$1,M$2,$A106)</f>
        <v>0</v>
      </c>
      <c r="N106" s="31">
        <f ca="1">_xll.DBRW($C$1,$C$2,$C$3,$C$4,$C$6,$C$5,$C$7,N$1,N$2,$A106)</f>
        <v>0</v>
      </c>
      <c r="O106" s="31">
        <f ca="1">_xll.DBRW($C$1,$C$2,$C$3,$C$4,$C$6,$C$5,$C$7,O$1,O$2,$A106)</f>
        <v>0</v>
      </c>
      <c r="P106" s="31">
        <f ca="1">_xll.DBRW($C$1,$C$2,$C$3,$C$4,$C$6,$C$5,$C$7,P$1,P$2,$A106)</f>
        <v>0</v>
      </c>
      <c r="Q106" s="31">
        <f ca="1">_xll.DBRW($C$1,$C$2,$C$3,$C$4,$C$6,$C$5,$C$7,Q$1,Q$2,$A106)</f>
        <v>0</v>
      </c>
      <c r="R106" s="31">
        <f ca="1">_xll.DBRW($C$1,$C$2,$C$3,$C$4,$C$6,$C$5,$C$7,R$1,R$2,$A106)</f>
        <v>0</v>
      </c>
      <c r="S106" s="31">
        <f ca="1">_xll.DBRW($C$1,$C$2,$C$3,$C$4,$C$6,$C$5,$C$7,S$1,S$2,$A106)</f>
        <v>0</v>
      </c>
      <c r="T106" s="31">
        <f ca="1">_xll.DBRW($C$1,$C$2,$C$3,$C$4,$C$6,$C$5,$C$7,T$1,T$2,$A106)</f>
        <v>0</v>
      </c>
      <c r="U106" s="31">
        <f ca="1">_xll.DBRW($C$1,$C$2,$C$3,$C$4,$C$6,$C$5,$C$7,U$1,U$2,$A106)</f>
        <v>0</v>
      </c>
      <c r="V106" s="31">
        <f ca="1">_xll.DBRW($C$1,$C$2,$C$3,$C$4,$C$6,$C$5,$C$7,V$1,V$2,$A106)</f>
        <v>0</v>
      </c>
      <c r="W106" s="31">
        <f ca="1">_xll.DBRW($C$1,$C$2,$C$3,$C$4,$C$6,$C$5,$C$7,W$1,W$2,$A106)</f>
        <v>0</v>
      </c>
      <c r="X106" s="31">
        <f ca="1">_xll.DBRW($C$1,$C$2,$C$3,$C$4,$C$6,$C$5,$C$7,X$1,X$2,$A106)</f>
        <v>0</v>
      </c>
      <c r="Y106" s="31">
        <f ca="1">_xll.DBRW($C$1,$C$2,$C$3,$C$4,$C$6,$C$5,$C$7,Y$1,Y$2,$A106)</f>
        <v>0</v>
      </c>
      <c r="Z106" s="31">
        <f ca="1">_xll.DBRW($C$1,$C$2,$C$3,$C$4,$C$6,$C$5,$C$7,Z$1,Z$2,$A106)</f>
        <v>0</v>
      </c>
      <c r="AA106" s="31">
        <f ca="1">_xll.DBRW($C$1,$C$2,$C$3,$C$4,$C$6,$C$5,$C$7,AA$1,AA$2,$A106)</f>
        <v>0</v>
      </c>
      <c r="AB106" s="31">
        <f ca="1">_xll.DBRW($C$1,$C$2,$C$3,$C$4,$C$6,$C$5,$C$7,AB$1,AB$2,$A106)</f>
        <v>0</v>
      </c>
      <c r="AC106" s="31">
        <f ca="1">_xll.DBRW($C$1,$C$2,$C$3,$C$4,$C$6,$C$5,$C$7,AC$1,AC$2,$A106)</f>
        <v>0</v>
      </c>
      <c r="AD106" s="31">
        <f ca="1">_xll.DBRW($C$1,$C$2,$C$3,$C$4,$C$6,$C$5,$C$7,AD$1,AD$2,$A106)</f>
        <v>0</v>
      </c>
      <c r="AE106" s="31">
        <f ca="1">_xll.DBRW($C$1,$C$2,$C$3,$C$4,$C$6,$C$5,$C$7,AE$1,AE$2,$A106)</f>
        <v>0</v>
      </c>
      <c r="AF106" s="31">
        <f ca="1">_xll.DBRW($C$1,$C$2,$C$3,$C$4,$C$6,$C$5,$C$7,AF$1,AF$2,$A106)</f>
        <v>0</v>
      </c>
      <c r="AG106" s="31">
        <f ca="1">_xll.DBRW($C$1,$C$2,$C$3,$C$4,$C$6,$C$5,$C$7,AG$1,AG$2,$A106)</f>
        <v>0</v>
      </c>
      <c r="AH106" s="31">
        <f ca="1">_xll.DBRW($C$1,$C$2,$C$3,$C$4,$C$6,$C$5,$C$7,AH$1,AH$2,$A106)</f>
        <v>0</v>
      </c>
      <c r="AI106" s="31">
        <f ca="1">_xll.DBRW($C$1,$C$2,$C$3,$C$4,$C$6,$C$5,$C$7,AI$1,AI$2,$A106)</f>
        <v>0</v>
      </c>
      <c r="AJ106" s="31">
        <f ca="1">_xll.DBRW($C$1,$C$2,$C$3,$C$4,$C$6,$C$5,$C$7,AJ$1,AJ$2,$A106)</f>
        <v>0</v>
      </c>
      <c r="AK106" s="31">
        <f ca="1">_xll.DBRW($C$1,$C$2,$C$3,$C$4,$C$6,$C$5,$C$7,AK$1,AK$2,$A106)</f>
        <v>0</v>
      </c>
      <c r="AL106" s="31">
        <f ca="1">_xll.DBRW($C$1,$C$2,$C$3,$C$4,$C$6,$C$5,$C$7,AL$1,AL$2,$A106)</f>
        <v>0</v>
      </c>
      <c r="AM106" s="31">
        <f ca="1">_xll.DBRW($C$1,$C$2,$C$3,$C$4,$C$6,$C$5,$C$7,AM$1,AM$2,$A106)</f>
        <v>0</v>
      </c>
      <c r="AN106" s="31">
        <f ca="1">_xll.DBRW($C$1,$C$2,$C$3,$C$4,$C$6,$C$5,$C$7,AN$1,AN$2,$A106)</f>
        <v>0</v>
      </c>
      <c r="AO106" s="31">
        <f ca="1">_xll.DBRW($C$1,$C$2,$C$3,$C$4,$C$6,$C$5,$C$7,AO$1,AO$2,$A106)</f>
        <v>0</v>
      </c>
      <c r="AP106" s="31">
        <f ca="1">_xll.DBRW($C$1,$C$2,$C$3,$C$4,$C$6,$C$5,$C$7,AP$1,AP$2,$A106)</f>
        <v>0</v>
      </c>
      <c r="AQ106" s="31">
        <f ca="1">_xll.DBRW($C$1,$C$2,$C$3,$C$4,$C$6,$C$5,$C$7,AQ$1,AQ$2,$A106)</f>
        <v>0</v>
      </c>
      <c r="AR106" s="31">
        <f ca="1">_xll.DBRW($C$1,$C$2,$C$3,$C$4,$C$6,$C$5,$C$7,AR$1,AR$2,$A106)</f>
        <v>0</v>
      </c>
      <c r="AS106" s="31">
        <f ca="1">_xll.DBRW($C$1,$C$2,$C$3,$C$4,$C$6,$C$5,$C$7,AS$1,AS$2,$A106)</f>
        <v>0</v>
      </c>
      <c r="AT106" s="31">
        <f ca="1">_xll.DBRW($C$1,$C$2,$C$3,$C$4,$C$6,$C$5,$C$7,AT$1,AT$2,$A106)</f>
        <v>0</v>
      </c>
      <c r="AU106" s="31">
        <f ca="1">_xll.DBRW($C$1,$C$2,$C$3,$C$4,$C$6,$C$5,$C$7,AU$1,AU$2,$A106)</f>
        <v>0</v>
      </c>
    </row>
    <row r="107" spans="1:47" ht="15.75" hidden="1" customHeight="1" outlineLevel="1">
      <c r="A107" s="1" t="s">
        <v>191</v>
      </c>
      <c r="C107" s="141"/>
      <c r="E107" s="9" t="str">
        <f ca="1">_xll.DBRW(Server&amp;"}ElementAttributes_Indicator",A107,"code_English")</f>
        <v>PL1160_FL_10 - Gains/losses on disposal of tangible &amp; intangible fixed assets (FL)</v>
      </c>
      <c r="F107" s="31">
        <f ca="1">_xll.DBRW($C$1,$C$2,$C$3,$C$4,$C$6,$C$5,$C$7,F$1,F$2,$A107)</f>
        <v>517386.04</v>
      </c>
      <c r="G107" s="31">
        <f ca="1">_xll.DBRW($C$1,$C$2,$C$3,$C$4,$C$6,$C$5,$C$7,G$1,G$2,$A107)</f>
        <v>264012.86</v>
      </c>
      <c r="H107" s="31">
        <f ca="1">_xll.DBRW($C$1,$C$2,$C$3,$C$4,$C$6,$C$5,$C$7,H$1,H$2,$A107)</f>
        <v>35003.179999999949</v>
      </c>
      <c r="I107" s="31">
        <f ca="1">_xll.DBRW($C$1,$C$2,$C$3,$C$4,$C$6,$C$5,$C$7,I$1,I$2,$A107)</f>
        <v>33377.839999999997</v>
      </c>
      <c r="J107" s="31">
        <f ca="1">_xll.DBRW($C$1,$C$2,$C$3,$C$4,$C$6,$C$5,$C$7,J$1,J$2,$A107)</f>
        <v>30529.499999999996</v>
      </c>
      <c r="K107" s="31">
        <f ca="1">_xll.DBRW($C$1,$C$2,$C$3,$C$4,$C$6,$C$5,$C$7,K$1,K$2,$A107)</f>
        <v>122725.29000000001</v>
      </c>
      <c r="L107" s="31">
        <f ca="1">_xll.DBRW($C$1,$C$2,$C$3,$C$4,$C$6,$C$5,$C$7,L$1,L$2,$A107)</f>
        <v>141457.04</v>
      </c>
      <c r="M107" s="31">
        <f ca="1">_xll.DBRW($C$1,$C$2,$C$3,$C$4,$C$6,$C$5,$C$7,M$1,M$2,$A107)</f>
        <v>139653.36000000002</v>
      </c>
      <c r="N107" s="31">
        <f ca="1">_xll.DBRW($C$1,$C$2,$C$3,$C$4,$C$6,$C$5,$C$7,N$1,N$2,$A107)</f>
        <v>144309.65000000002</v>
      </c>
      <c r="O107" s="31">
        <f ca="1">_xll.DBRW($C$1,$C$2,$C$3,$C$4,$C$6,$C$5,$C$7,O$1,O$2,$A107)</f>
        <v>144309.65000000002</v>
      </c>
      <c r="P107" s="31">
        <f ca="1">_xll.DBRW($C$1,$C$2,$C$3,$C$4,$C$6,$C$5,$C$7,P$1,P$2,$A107)</f>
        <v>144309.65000000002</v>
      </c>
      <c r="Q107" s="31">
        <f ca="1">_xll.DBRW($C$1,$C$2,$C$3,$C$4,$C$6,$C$5,$C$7,Q$1,Q$2,$A107)</f>
        <v>144309.65000000002</v>
      </c>
      <c r="R107" s="31">
        <f ca="1">_xll.DBRW($C$1,$C$2,$C$3,$C$4,$C$6,$C$5,$C$7,R$1,R$2,$A107)</f>
        <v>144309.65000000002</v>
      </c>
      <c r="S107" s="31">
        <f ca="1">_xll.DBRW($C$1,$C$2,$C$3,$C$4,$C$6,$C$5,$C$7,S$1,S$2,$A107)</f>
        <v>144309.65000000002</v>
      </c>
      <c r="T107" s="31">
        <f ca="1">_xll.DBRW($C$1,$C$2,$C$3,$C$4,$C$6,$C$5,$C$7,T$1,T$2,$A107)</f>
        <v>144309.65000000002</v>
      </c>
      <c r="U107" s="31">
        <f ca="1">_xll.DBRW($C$1,$C$2,$C$3,$C$4,$C$6,$C$5,$C$7,U$1,U$2,$A107)</f>
        <v>144309.65000000002</v>
      </c>
      <c r="V107" s="31">
        <f ca="1">_xll.DBRW($C$1,$C$2,$C$3,$C$4,$C$6,$C$5,$C$7,V$1,V$2,$A107)</f>
        <v>0</v>
      </c>
      <c r="W107" s="31">
        <f ca="1">_xll.DBRW($C$1,$C$2,$C$3,$C$4,$C$6,$C$5,$C$7,W$1,W$2,$A107)</f>
        <v>0</v>
      </c>
      <c r="X107" s="31">
        <f ca="1">_xll.DBRW($C$1,$C$2,$C$3,$C$4,$C$6,$C$5,$C$7,X$1,X$2,$A107)</f>
        <v>0</v>
      </c>
      <c r="Y107" s="31">
        <f ca="1">_xll.DBRW($C$1,$C$2,$C$3,$C$4,$C$6,$C$5,$C$7,Y$1,Y$2,$A107)</f>
        <v>0</v>
      </c>
      <c r="Z107" s="31">
        <f ca="1">_xll.DBRW($C$1,$C$2,$C$3,$C$4,$C$6,$C$5,$C$7,Z$1,Z$2,$A107)</f>
        <v>0</v>
      </c>
      <c r="AA107" s="31">
        <f ca="1">_xll.DBRW($C$1,$C$2,$C$3,$C$4,$C$6,$C$5,$C$7,AA$1,AA$2,$A107)</f>
        <v>0</v>
      </c>
      <c r="AB107" s="31">
        <f ca="1">_xll.DBRW($C$1,$C$2,$C$3,$C$4,$C$6,$C$5,$C$7,AB$1,AB$2,$A107)</f>
        <v>0</v>
      </c>
      <c r="AC107" s="31">
        <f ca="1">_xll.DBRW($C$1,$C$2,$C$3,$C$4,$C$6,$C$5,$C$7,AC$1,AC$2,$A107)</f>
        <v>0</v>
      </c>
      <c r="AD107" s="31">
        <f ca="1">_xll.DBRW($C$1,$C$2,$C$3,$C$4,$C$6,$C$5,$C$7,AD$1,AD$2,$A107)</f>
        <v>0</v>
      </c>
      <c r="AE107" s="31">
        <f ca="1">_xll.DBRW($C$1,$C$2,$C$3,$C$4,$C$6,$C$5,$C$7,AE$1,AE$2,$A107)</f>
        <v>0</v>
      </c>
      <c r="AF107" s="31">
        <f ca="1">_xll.DBRW($C$1,$C$2,$C$3,$C$4,$C$6,$C$5,$C$7,AF$1,AF$2,$A107)</f>
        <v>0</v>
      </c>
      <c r="AG107" s="31">
        <f ca="1">_xll.DBRW($C$1,$C$2,$C$3,$C$4,$C$6,$C$5,$C$7,AG$1,AG$2,$A107)</f>
        <v>0</v>
      </c>
      <c r="AH107" s="31">
        <f ca="1">_xll.DBRW($C$1,$C$2,$C$3,$C$4,$C$6,$C$5,$C$7,AH$1,AH$2,$A107)</f>
        <v>0</v>
      </c>
      <c r="AI107" s="31">
        <f ca="1">_xll.DBRW($C$1,$C$2,$C$3,$C$4,$C$6,$C$5,$C$7,AI$1,AI$2,$A107)</f>
        <v>0</v>
      </c>
      <c r="AJ107" s="31">
        <f ca="1">_xll.DBRW($C$1,$C$2,$C$3,$C$4,$C$6,$C$5,$C$7,AJ$1,AJ$2,$A107)</f>
        <v>0</v>
      </c>
      <c r="AK107" s="31">
        <f ca="1">_xll.DBRW($C$1,$C$2,$C$3,$C$4,$C$6,$C$5,$C$7,AK$1,AK$2,$A107)</f>
        <v>0</v>
      </c>
      <c r="AL107" s="31">
        <f ca="1">_xll.DBRW($C$1,$C$2,$C$3,$C$4,$C$6,$C$5,$C$7,AL$1,AL$2,$A107)</f>
        <v>0</v>
      </c>
      <c r="AM107" s="31">
        <f ca="1">_xll.DBRW($C$1,$C$2,$C$3,$C$4,$C$6,$C$5,$C$7,AM$1,AM$2,$A107)</f>
        <v>0</v>
      </c>
      <c r="AN107" s="31">
        <f ca="1">_xll.DBRW($C$1,$C$2,$C$3,$C$4,$C$6,$C$5,$C$7,AN$1,AN$2,$A107)</f>
        <v>0</v>
      </c>
      <c r="AO107" s="31">
        <f ca="1">_xll.DBRW($C$1,$C$2,$C$3,$C$4,$C$6,$C$5,$C$7,AO$1,AO$2,$A107)</f>
        <v>0</v>
      </c>
      <c r="AP107" s="31">
        <f ca="1">_xll.DBRW($C$1,$C$2,$C$3,$C$4,$C$6,$C$5,$C$7,AP$1,AP$2,$A107)</f>
        <v>0</v>
      </c>
      <c r="AQ107" s="31">
        <f ca="1">_xll.DBRW($C$1,$C$2,$C$3,$C$4,$C$6,$C$5,$C$7,AQ$1,AQ$2,$A107)</f>
        <v>0</v>
      </c>
      <c r="AR107" s="31">
        <f ca="1">_xll.DBRW($C$1,$C$2,$C$3,$C$4,$C$6,$C$5,$C$7,AR$1,AR$2,$A107)</f>
        <v>0</v>
      </c>
      <c r="AS107" s="31">
        <f ca="1">_xll.DBRW($C$1,$C$2,$C$3,$C$4,$C$6,$C$5,$C$7,AS$1,AS$2,$A107)</f>
        <v>0</v>
      </c>
      <c r="AT107" s="31">
        <f ca="1">_xll.DBRW($C$1,$C$2,$C$3,$C$4,$C$6,$C$5,$C$7,AT$1,AT$2,$A107)</f>
        <v>0</v>
      </c>
      <c r="AU107" s="31">
        <f ca="1">_xll.DBRW($C$1,$C$2,$C$3,$C$4,$C$6,$C$5,$C$7,AU$1,AU$2,$A107)</f>
        <v>0</v>
      </c>
    </row>
    <row r="108" spans="1:47" ht="15.75" hidden="1" customHeight="1" outlineLevel="1">
      <c r="A108" s="1" t="s">
        <v>192</v>
      </c>
      <c r="C108" s="141"/>
      <c r="E108" s="9" t="str">
        <f ca="1">_xll.DBRW(Server&amp;"}ElementAttributes_Indicator",A108,"code_English")</f>
        <v>PL1162_FL - COS - Gains/losses on disposal of right-of-use (FL)</v>
      </c>
      <c r="F108" s="31">
        <f ca="1">_xll.DBRW($C$1,$C$2,$C$3,$C$4,$C$6,$C$5,$C$7,F$1,F$2,$A108)</f>
        <v>227441.22</v>
      </c>
      <c r="G108" s="31">
        <f ca="1">_xll.DBRW($C$1,$C$2,$C$3,$C$4,$C$6,$C$5,$C$7,G$1,G$2,$A108)</f>
        <v>-6056.01</v>
      </c>
      <c r="H108" s="31">
        <f ca="1">_xll.DBRW($C$1,$C$2,$C$3,$C$4,$C$6,$C$5,$C$7,H$1,H$2,$A108)</f>
        <v>39048.28</v>
      </c>
      <c r="I108" s="31">
        <f ca="1">_xll.DBRW($C$1,$C$2,$C$3,$C$4,$C$6,$C$5,$C$7,I$1,I$2,$A108)</f>
        <v>0</v>
      </c>
      <c r="J108" s="31">
        <f ca="1">_xll.DBRW($C$1,$C$2,$C$3,$C$4,$C$6,$C$5,$C$7,J$1,J$2,$A108)</f>
        <v>0</v>
      </c>
      <c r="K108" s="31">
        <f ca="1">_xll.DBRW($C$1,$C$2,$C$3,$C$4,$C$6,$C$5,$C$7,K$1,K$2,$A108)</f>
        <v>0</v>
      </c>
      <c r="L108" s="31">
        <f ca="1">_xll.DBRW($C$1,$C$2,$C$3,$C$4,$C$6,$C$5,$C$7,L$1,L$2,$A108)</f>
        <v>0</v>
      </c>
      <c r="M108" s="31">
        <f ca="1">_xll.DBRW($C$1,$C$2,$C$3,$C$4,$C$6,$C$5,$C$7,M$1,M$2,$A108)</f>
        <v>0</v>
      </c>
      <c r="N108" s="31">
        <f ca="1">_xll.DBRW($C$1,$C$2,$C$3,$C$4,$C$6,$C$5,$C$7,N$1,N$2,$A108)</f>
        <v>0</v>
      </c>
      <c r="O108" s="31">
        <f ca="1">_xll.DBRW($C$1,$C$2,$C$3,$C$4,$C$6,$C$5,$C$7,O$1,O$2,$A108)</f>
        <v>0</v>
      </c>
      <c r="P108" s="31">
        <f ca="1">_xll.DBRW($C$1,$C$2,$C$3,$C$4,$C$6,$C$5,$C$7,P$1,P$2,$A108)</f>
        <v>0</v>
      </c>
      <c r="Q108" s="31">
        <f ca="1">_xll.DBRW($C$1,$C$2,$C$3,$C$4,$C$6,$C$5,$C$7,Q$1,Q$2,$A108)</f>
        <v>0</v>
      </c>
      <c r="R108" s="31">
        <f ca="1">_xll.DBRW($C$1,$C$2,$C$3,$C$4,$C$6,$C$5,$C$7,R$1,R$2,$A108)</f>
        <v>0</v>
      </c>
      <c r="S108" s="31">
        <f ca="1">_xll.DBRW($C$1,$C$2,$C$3,$C$4,$C$6,$C$5,$C$7,S$1,S$2,$A108)</f>
        <v>0</v>
      </c>
      <c r="T108" s="31">
        <f ca="1">_xll.DBRW($C$1,$C$2,$C$3,$C$4,$C$6,$C$5,$C$7,T$1,T$2,$A108)</f>
        <v>0</v>
      </c>
      <c r="U108" s="31">
        <f ca="1">_xll.DBRW($C$1,$C$2,$C$3,$C$4,$C$6,$C$5,$C$7,U$1,U$2,$A108)</f>
        <v>0</v>
      </c>
      <c r="V108" s="31">
        <f ca="1">_xll.DBRW($C$1,$C$2,$C$3,$C$4,$C$6,$C$5,$C$7,V$1,V$2,$A108)</f>
        <v>0</v>
      </c>
      <c r="W108" s="31">
        <f ca="1">_xll.DBRW($C$1,$C$2,$C$3,$C$4,$C$6,$C$5,$C$7,W$1,W$2,$A108)</f>
        <v>0</v>
      </c>
      <c r="X108" s="31">
        <f ca="1">_xll.DBRW($C$1,$C$2,$C$3,$C$4,$C$6,$C$5,$C$7,X$1,X$2,$A108)</f>
        <v>0</v>
      </c>
      <c r="Y108" s="31">
        <f ca="1">_xll.DBRW($C$1,$C$2,$C$3,$C$4,$C$6,$C$5,$C$7,Y$1,Y$2,$A108)</f>
        <v>0</v>
      </c>
      <c r="Z108" s="31">
        <f ca="1">_xll.DBRW($C$1,$C$2,$C$3,$C$4,$C$6,$C$5,$C$7,Z$1,Z$2,$A108)</f>
        <v>0</v>
      </c>
      <c r="AA108" s="31">
        <f ca="1">_xll.DBRW($C$1,$C$2,$C$3,$C$4,$C$6,$C$5,$C$7,AA$1,AA$2,$A108)</f>
        <v>0</v>
      </c>
      <c r="AB108" s="31">
        <f ca="1">_xll.DBRW($C$1,$C$2,$C$3,$C$4,$C$6,$C$5,$C$7,AB$1,AB$2,$A108)</f>
        <v>0</v>
      </c>
      <c r="AC108" s="31">
        <f ca="1">_xll.DBRW($C$1,$C$2,$C$3,$C$4,$C$6,$C$5,$C$7,AC$1,AC$2,$A108)</f>
        <v>0</v>
      </c>
      <c r="AD108" s="31">
        <f ca="1">_xll.DBRW($C$1,$C$2,$C$3,$C$4,$C$6,$C$5,$C$7,AD$1,AD$2,$A108)</f>
        <v>0</v>
      </c>
      <c r="AE108" s="31">
        <f ca="1">_xll.DBRW($C$1,$C$2,$C$3,$C$4,$C$6,$C$5,$C$7,AE$1,AE$2,$A108)</f>
        <v>0</v>
      </c>
      <c r="AF108" s="31">
        <f ca="1">_xll.DBRW($C$1,$C$2,$C$3,$C$4,$C$6,$C$5,$C$7,AF$1,AF$2,$A108)</f>
        <v>0</v>
      </c>
      <c r="AG108" s="31">
        <f ca="1">_xll.DBRW($C$1,$C$2,$C$3,$C$4,$C$6,$C$5,$C$7,AG$1,AG$2,$A108)</f>
        <v>0</v>
      </c>
      <c r="AH108" s="31">
        <f ca="1">_xll.DBRW($C$1,$C$2,$C$3,$C$4,$C$6,$C$5,$C$7,AH$1,AH$2,$A108)</f>
        <v>0</v>
      </c>
      <c r="AI108" s="31">
        <f ca="1">_xll.DBRW($C$1,$C$2,$C$3,$C$4,$C$6,$C$5,$C$7,AI$1,AI$2,$A108)</f>
        <v>0</v>
      </c>
      <c r="AJ108" s="31">
        <f ca="1">_xll.DBRW($C$1,$C$2,$C$3,$C$4,$C$6,$C$5,$C$7,AJ$1,AJ$2,$A108)</f>
        <v>0</v>
      </c>
      <c r="AK108" s="31">
        <f ca="1">_xll.DBRW($C$1,$C$2,$C$3,$C$4,$C$6,$C$5,$C$7,AK$1,AK$2,$A108)</f>
        <v>0</v>
      </c>
      <c r="AL108" s="31">
        <f ca="1">_xll.DBRW($C$1,$C$2,$C$3,$C$4,$C$6,$C$5,$C$7,AL$1,AL$2,$A108)</f>
        <v>0</v>
      </c>
      <c r="AM108" s="31">
        <f ca="1">_xll.DBRW($C$1,$C$2,$C$3,$C$4,$C$6,$C$5,$C$7,AM$1,AM$2,$A108)</f>
        <v>0</v>
      </c>
      <c r="AN108" s="31">
        <f ca="1">_xll.DBRW($C$1,$C$2,$C$3,$C$4,$C$6,$C$5,$C$7,AN$1,AN$2,$A108)</f>
        <v>0</v>
      </c>
      <c r="AO108" s="31">
        <f ca="1">_xll.DBRW($C$1,$C$2,$C$3,$C$4,$C$6,$C$5,$C$7,AO$1,AO$2,$A108)</f>
        <v>0</v>
      </c>
      <c r="AP108" s="31">
        <f ca="1">_xll.DBRW($C$1,$C$2,$C$3,$C$4,$C$6,$C$5,$C$7,AP$1,AP$2,$A108)</f>
        <v>0</v>
      </c>
      <c r="AQ108" s="31">
        <f ca="1">_xll.DBRW($C$1,$C$2,$C$3,$C$4,$C$6,$C$5,$C$7,AQ$1,AQ$2,$A108)</f>
        <v>0</v>
      </c>
      <c r="AR108" s="31">
        <f ca="1">_xll.DBRW($C$1,$C$2,$C$3,$C$4,$C$6,$C$5,$C$7,AR$1,AR$2,$A108)</f>
        <v>0</v>
      </c>
      <c r="AS108" s="31">
        <f ca="1">_xll.DBRW($C$1,$C$2,$C$3,$C$4,$C$6,$C$5,$C$7,AS$1,AS$2,$A108)</f>
        <v>0</v>
      </c>
      <c r="AT108" s="31">
        <f ca="1">_xll.DBRW($C$1,$C$2,$C$3,$C$4,$C$6,$C$5,$C$7,AT$1,AT$2,$A108)</f>
        <v>0</v>
      </c>
      <c r="AU108" s="31">
        <f ca="1">_xll.DBRW($C$1,$C$2,$C$3,$C$4,$C$6,$C$5,$C$7,AU$1,AU$2,$A108)</f>
        <v>0</v>
      </c>
    </row>
    <row r="109" spans="1:47" ht="15.75" hidden="1" outlineLevel="1" collapsed="1">
      <c r="A109" s="1" t="s">
        <v>127</v>
      </c>
      <c r="C109" s="141"/>
      <c r="E109" s="14" t="s">
        <v>34</v>
      </c>
      <c r="F109" s="32">
        <f t="shared" ref="F109:T109" ca="1" si="60">SUM(F99:F108)</f>
        <v>-42325130.030000001</v>
      </c>
      <c r="G109" s="32">
        <f t="shared" ca="1" si="60"/>
        <v>-42333846.699999996</v>
      </c>
      <c r="H109" s="32">
        <f t="shared" ca="1" si="60"/>
        <v>-34860196.390000001</v>
      </c>
      <c r="I109" s="32">
        <f t="shared" ca="1" si="60"/>
        <v>-2483591.540000001</v>
      </c>
      <c r="J109" s="32">
        <f t="shared" ca="1" si="60"/>
        <v>-5219036.74</v>
      </c>
      <c r="K109" s="32">
        <f t="shared" ca="1" si="60"/>
        <v>-7872344.1099999985</v>
      </c>
      <c r="L109" s="32">
        <f t="shared" ca="1" si="60"/>
        <v>-10406421.109999999</v>
      </c>
      <c r="M109" s="32">
        <f t="shared" ca="1" si="60"/>
        <v>-13046895.15</v>
      </c>
      <c r="N109" s="32">
        <f t="shared" ca="1" si="60"/>
        <v>-16079920.909999998</v>
      </c>
      <c r="O109" s="32">
        <f t="shared" ca="1" si="60"/>
        <v>-16079920.909999998</v>
      </c>
      <c r="P109" s="32">
        <f t="shared" ca="1" si="60"/>
        <v>-16079920.909999998</v>
      </c>
      <c r="Q109" s="32">
        <f t="shared" ca="1" si="60"/>
        <v>-16079920.909999998</v>
      </c>
      <c r="R109" s="32">
        <f t="shared" ca="1" si="60"/>
        <v>-16079920.909999998</v>
      </c>
      <c r="S109" s="32">
        <f t="shared" ca="1" si="60"/>
        <v>-16079920.909999998</v>
      </c>
      <c r="T109" s="32">
        <f t="shared" ca="1" si="60"/>
        <v>-16079920.909999998</v>
      </c>
      <c r="U109" s="32">
        <f ca="1">SUM(U99:U108)</f>
        <v>-16079920.909999998</v>
      </c>
      <c r="V109" s="32">
        <f t="shared" ref="V109:AG109" ca="1" si="61">SUM(V99:V108)</f>
        <v>0</v>
      </c>
      <c r="W109" s="32">
        <f t="shared" ca="1" si="61"/>
        <v>0</v>
      </c>
      <c r="X109" s="32">
        <f t="shared" ca="1" si="61"/>
        <v>0</v>
      </c>
      <c r="Y109" s="32">
        <f t="shared" ca="1" si="61"/>
        <v>0</v>
      </c>
      <c r="Z109" s="32">
        <f t="shared" ca="1" si="61"/>
        <v>0</v>
      </c>
      <c r="AA109" s="32">
        <f t="shared" ca="1" si="61"/>
        <v>0</v>
      </c>
      <c r="AB109" s="32">
        <f t="shared" ca="1" si="61"/>
        <v>0</v>
      </c>
      <c r="AC109" s="32">
        <f t="shared" ca="1" si="61"/>
        <v>0</v>
      </c>
      <c r="AD109" s="32">
        <f t="shared" ca="1" si="61"/>
        <v>0</v>
      </c>
      <c r="AE109" s="32">
        <f t="shared" ca="1" si="61"/>
        <v>0</v>
      </c>
      <c r="AF109" s="32">
        <f t="shared" ca="1" si="61"/>
        <v>0</v>
      </c>
      <c r="AG109" s="32">
        <f t="shared" ca="1" si="61"/>
        <v>0</v>
      </c>
      <c r="AH109" s="32">
        <f ca="1">SUM(AH99:AH108)</f>
        <v>0</v>
      </c>
      <c r="AI109" s="32">
        <f t="shared" ref="AI109:AT109" ca="1" si="62">SUM(AI99:AI108)</f>
        <v>0</v>
      </c>
      <c r="AJ109" s="32">
        <f t="shared" ca="1" si="62"/>
        <v>0</v>
      </c>
      <c r="AK109" s="32">
        <f t="shared" ca="1" si="62"/>
        <v>0</v>
      </c>
      <c r="AL109" s="32">
        <f t="shared" ca="1" si="62"/>
        <v>0</v>
      </c>
      <c r="AM109" s="32">
        <f t="shared" ca="1" si="62"/>
        <v>0</v>
      </c>
      <c r="AN109" s="32">
        <f t="shared" ca="1" si="62"/>
        <v>0</v>
      </c>
      <c r="AO109" s="32">
        <f t="shared" ca="1" si="62"/>
        <v>0</v>
      </c>
      <c r="AP109" s="32">
        <f t="shared" ca="1" si="62"/>
        <v>0</v>
      </c>
      <c r="AQ109" s="32">
        <f t="shared" ca="1" si="62"/>
        <v>0</v>
      </c>
      <c r="AR109" s="32">
        <f t="shared" ca="1" si="62"/>
        <v>0</v>
      </c>
      <c r="AS109" s="32">
        <f t="shared" ca="1" si="62"/>
        <v>0</v>
      </c>
      <c r="AT109" s="32">
        <f t="shared" ca="1" si="62"/>
        <v>0</v>
      </c>
      <c r="AU109" s="32">
        <f ca="1">SUM(AU99:AU108)</f>
        <v>0</v>
      </c>
    </row>
    <row r="110" spans="1:47" ht="15.75" hidden="1" customHeight="1" outlineLevel="2">
      <c r="A110" s="1" t="s">
        <v>193</v>
      </c>
      <c r="C110" s="141"/>
      <c r="E110" s="9" t="str">
        <f ca="1">_xll.DBRW(Server&amp;"}ElementAttributes_Indicator",A110,"code_English")</f>
        <v>PL1115_FL_65 - Fleet vehicle taxes (FL)</v>
      </c>
      <c r="F110" s="32">
        <f ca="1">_xll.DBRW($C$1,$C$2,$C$3,$C$4,$C$6,$C$5,$C$7,F$1,F$2,$A110)</f>
        <v>-991348.07</v>
      </c>
      <c r="G110" s="32">
        <f ca="1">_xll.DBRW($C$1,$C$2,$C$3,$C$4,$C$6,$C$5,$C$7,G$1,G$2,$A110)</f>
        <v>-976806.41000000015</v>
      </c>
      <c r="H110" s="32">
        <f ca="1">_xll.DBRW($C$1,$C$2,$C$3,$C$4,$C$6,$C$5,$C$7,H$1,H$2,$A110)</f>
        <v>-526026.17000000004</v>
      </c>
      <c r="I110" s="32">
        <f ca="1">_xll.DBRW($C$1,$C$2,$C$3,$C$4,$C$6,$C$5,$C$7,I$1,I$2,$A110)</f>
        <v>-56956.17</v>
      </c>
      <c r="J110" s="32">
        <f ca="1">_xll.DBRW($C$1,$C$2,$C$3,$C$4,$C$6,$C$5,$C$7,J$1,J$2,$A110)</f>
        <v>216721.48000000004</v>
      </c>
      <c r="K110" s="32">
        <f ca="1">_xll.DBRW($C$1,$C$2,$C$3,$C$4,$C$6,$C$5,$C$7,K$1,K$2,$A110)</f>
        <v>313733.34000000008</v>
      </c>
      <c r="L110" s="32">
        <f ca="1">_xll.DBRW($C$1,$C$2,$C$3,$C$4,$C$6,$C$5,$C$7,L$1,L$2,$A110)</f>
        <v>367727.09000000008</v>
      </c>
      <c r="M110" s="32">
        <f ca="1">_xll.DBRW($C$1,$C$2,$C$3,$C$4,$C$6,$C$5,$C$7,M$1,M$2,$A110)</f>
        <v>299724.88000000012</v>
      </c>
      <c r="N110" s="32">
        <f ca="1">_xll.DBRW($C$1,$C$2,$C$3,$C$4,$C$6,$C$5,$C$7,N$1,N$2,$A110)</f>
        <v>718000.0700000003</v>
      </c>
      <c r="O110" s="32">
        <f ca="1">_xll.DBRW($C$1,$C$2,$C$3,$C$4,$C$6,$C$5,$C$7,O$1,O$2,$A110)</f>
        <v>718000.0700000003</v>
      </c>
      <c r="P110" s="32">
        <f ca="1">_xll.DBRW($C$1,$C$2,$C$3,$C$4,$C$6,$C$5,$C$7,P$1,P$2,$A110)</f>
        <v>718000.0700000003</v>
      </c>
      <c r="Q110" s="32">
        <f ca="1">_xll.DBRW($C$1,$C$2,$C$3,$C$4,$C$6,$C$5,$C$7,Q$1,Q$2,$A110)</f>
        <v>718000.0700000003</v>
      </c>
      <c r="R110" s="32">
        <f ca="1">_xll.DBRW($C$1,$C$2,$C$3,$C$4,$C$6,$C$5,$C$7,R$1,R$2,$A110)</f>
        <v>718000.0700000003</v>
      </c>
      <c r="S110" s="32">
        <f ca="1">_xll.DBRW($C$1,$C$2,$C$3,$C$4,$C$6,$C$5,$C$7,S$1,S$2,$A110)</f>
        <v>718000.0700000003</v>
      </c>
      <c r="T110" s="32">
        <f ca="1">_xll.DBRW($C$1,$C$2,$C$3,$C$4,$C$6,$C$5,$C$7,T$1,T$2,$A110)</f>
        <v>718000.0700000003</v>
      </c>
      <c r="U110" s="32">
        <f ca="1">_xll.DBRW($C$1,$C$2,$C$3,$C$4,$C$6,$C$5,$C$7,U$1,U$2,$A110)</f>
        <v>718000.0700000003</v>
      </c>
      <c r="V110" s="32">
        <f ca="1">_xll.DBRW($C$1,$C$2,$C$3,$C$4,$C$6,$C$5,$C$7,V$1,V$2,$A110)</f>
        <v>0</v>
      </c>
      <c r="W110" s="32">
        <f ca="1">_xll.DBRW($C$1,$C$2,$C$3,$C$4,$C$6,$C$5,$C$7,W$1,W$2,$A110)</f>
        <v>0</v>
      </c>
      <c r="X110" s="32">
        <f ca="1">_xll.DBRW($C$1,$C$2,$C$3,$C$4,$C$6,$C$5,$C$7,X$1,X$2,$A110)</f>
        <v>0</v>
      </c>
      <c r="Y110" s="32">
        <f ca="1">_xll.DBRW($C$1,$C$2,$C$3,$C$4,$C$6,$C$5,$C$7,Y$1,Y$2,$A110)</f>
        <v>0</v>
      </c>
      <c r="Z110" s="32">
        <f ca="1">_xll.DBRW($C$1,$C$2,$C$3,$C$4,$C$6,$C$5,$C$7,Z$1,Z$2,$A110)</f>
        <v>0</v>
      </c>
      <c r="AA110" s="32">
        <f ca="1">_xll.DBRW($C$1,$C$2,$C$3,$C$4,$C$6,$C$5,$C$7,AA$1,AA$2,$A110)</f>
        <v>0</v>
      </c>
      <c r="AB110" s="32">
        <f ca="1">_xll.DBRW($C$1,$C$2,$C$3,$C$4,$C$6,$C$5,$C$7,AB$1,AB$2,$A110)</f>
        <v>0</v>
      </c>
      <c r="AC110" s="32">
        <f ca="1">_xll.DBRW($C$1,$C$2,$C$3,$C$4,$C$6,$C$5,$C$7,AC$1,AC$2,$A110)</f>
        <v>0</v>
      </c>
      <c r="AD110" s="32">
        <f ca="1">_xll.DBRW($C$1,$C$2,$C$3,$C$4,$C$6,$C$5,$C$7,AD$1,AD$2,$A110)</f>
        <v>0</v>
      </c>
      <c r="AE110" s="32">
        <f ca="1">_xll.DBRW($C$1,$C$2,$C$3,$C$4,$C$6,$C$5,$C$7,AE$1,AE$2,$A110)</f>
        <v>0</v>
      </c>
      <c r="AF110" s="32">
        <f ca="1">_xll.DBRW($C$1,$C$2,$C$3,$C$4,$C$6,$C$5,$C$7,AF$1,AF$2,$A110)</f>
        <v>0</v>
      </c>
      <c r="AG110" s="32">
        <f ca="1">_xll.DBRW($C$1,$C$2,$C$3,$C$4,$C$6,$C$5,$C$7,AG$1,AG$2,$A110)</f>
        <v>0</v>
      </c>
      <c r="AH110" s="32">
        <f ca="1">_xll.DBRW($C$1,$C$2,$C$3,$C$4,$C$6,$C$5,$C$7,AH$1,AH$2,$A110)</f>
        <v>0</v>
      </c>
      <c r="AI110" s="32">
        <f ca="1">_xll.DBRW($C$1,$C$2,$C$3,$C$4,$C$6,$C$5,$C$7,AI$1,AI$2,$A110)</f>
        <v>0</v>
      </c>
      <c r="AJ110" s="32">
        <f ca="1">_xll.DBRW($C$1,$C$2,$C$3,$C$4,$C$6,$C$5,$C$7,AJ$1,AJ$2,$A110)</f>
        <v>0</v>
      </c>
      <c r="AK110" s="32">
        <f ca="1">_xll.DBRW($C$1,$C$2,$C$3,$C$4,$C$6,$C$5,$C$7,AK$1,AK$2,$A110)</f>
        <v>0</v>
      </c>
      <c r="AL110" s="32">
        <f ca="1">_xll.DBRW($C$1,$C$2,$C$3,$C$4,$C$6,$C$5,$C$7,AL$1,AL$2,$A110)</f>
        <v>0</v>
      </c>
      <c r="AM110" s="32">
        <f ca="1">_xll.DBRW($C$1,$C$2,$C$3,$C$4,$C$6,$C$5,$C$7,AM$1,AM$2,$A110)</f>
        <v>0</v>
      </c>
      <c r="AN110" s="32">
        <f ca="1">_xll.DBRW($C$1,$C$2,$C$3,$C$4,$C$6,$C$5,$C$7,AN$1,AN$2,$A110)</f>
        <v>0</v>
      </c>
      <c r="AO110" s="32">
        <f ca="1">_xll.DBRW($C$1,$C$2,$C$3,$C$4,$C$6,$C$5,$C$7,AO$1,AO$2,$A110)</f>
        <v>0</v>
      </c>
      <c r="AP110" s="32">
        <f ca="1">_xll.DBRW($C$1,$C$2,$C$3,$C$4,$C$6,$C$5,$C$7,AP$1,AP$2,$A110)</f>
        <v>0</v>
      </c>
      <c r="AQ110" s="32">
        <f ca="1">_xll.DBRW($C$1,$C$2,$C$3,$C$4,$C$6,$C$5,$C$7,AQ$1,AQ$2,$A110)</f>
        <v>0</v>
      </c>
      <c r="AR110" s="32">
        <f ca="1">_xll.DBRW($C$1,$C$2,$C$3,$C$4,$C$6,$C$5,$C$7,AR$1,AR$2,$A110)</f>
        <v>0</v>
      </c>
      <c r="AS110" s="32">
        <f ca="1">_xll.DBRW($C$1,$C$2,$C$3,$C$4,$C$6,$C$5,$C$7,AS$1,AS$2,$A110)</f>
        <v>0</v>
      </c>
      <c r="AT110" s="32">
        <f ca="1">_xll.DBRW($C$1,$C$2,$C$3,$C$4,$C$6,$C$5,$C$7,AT$1,AT$2,$A110)</f>
        <v>0</v>
      </c>
      <c r="AU110" s="32">
        <f ca="1">_xll.DBRW($C$1,$C$2,$C$3,$C$4,$C$6,$C$5,$C$7,AU$1,AU$2,$A110)</f>
        <v>0</v>
      </c>
    </row>
    <row r="111" spans="1:47" ht="15.75" hidden="1" customHeight="1" outlineLevel="2">
      <c r="A111" s="1" t="s">
        <v>194</v>
      </c>
      <c r="C111" s="141"/>
      <c r="E111" s="9" t="str">
        <f ca="1">_xll.DBRW(Server&amp;"}ElementAttributes_Indicator",A111,"code_English")</f>
        <v>PL1115_FL_70 - Others (FL)</v>
      </c>
      <c r="F111" s="32">
        <f ca="1">_xll.DBRW($C$1,$C$2,$C$3,$C$4,$C$6,$C$5,$C$7,F$1,F$2,$A111)</f>
        <v>-180463.81</v>
      </c>
      <c r="G111" s="32">
        <f ca="1">_xll.DBRW($C$1,$C$2,$C$3,$C$4,$C$6,$C$5,$C$7,G$1,G$2,$A111)</f>
        <v>-185029.59999999998</v>
      </c>
      <c r="H111" s="32">
        <f ca="1">_xll.DBRW($C$1,$C$2,$C$3,$C$4,$C$6,$C$5,$C$7,H$1,H$2,$A111)</f>
        <v>-55416.530000000006</v>
      </c>
      <c r="I111" s="32">
        <f ca="1">_xll.DBRW($C$1,$C$2,$C$3,$C$4,$C$6,$C$5,$C$7,I$1,I$2,$A111)</f>
        <v>-6599</v>
      </c>
      <c r="J111" s="32">
        <f ca="1">_xll.DBRW($C$1,$C$2,$C$3,$C$4,$C$6,$C$5,$C$7,J$1,J$2,$A111)</f>
        <v>-40.050000000000182</v>
      </c>
      <c r="K111" s="32">
        <f ca="1">_xll.DBRW($C$1,$C$2,$C$3,$C$4,$C$6,$C$5,$C$7,K$1,K$2,$A111)</f>
        <v>-60.670000000000186</v>
      </c>
      <c r="L111" s="32">
        <f ca="1">_xll.DBRW($C$1,$C$2,$C$3,$C$4,$C$6,$C$5,$C$7,L$1,L$2,$A111)</f>
        <v>-80.670000000000186</v>
      </c>
      <c r="M111" s="32">
        <f ca="1">_xll.DBRW($C$1,$C$2,$C$3,$C$4,$C$6,$C$5,$C$7,M$1,M$2,$A111)</f>
        <v>-100.67000000000019</v>
      </c>
      <c r="N111" s="32">
        <f ca="1">_xll.DBRW($C$1,$C$2,$C$3,$C$4,$C$6,$C$5,$C$7,N$1,N$2,$A111)</f>
        <v>9879.33</v>
      </c>
      <c r="O111" s="32">
        <f ca="1">_xll.DBRW($C$1,$C$2,$C$3,$C$4,$C$6,$C$5,$C$7,O$1,O$2,$A111)</f>
        <v>9879.33</v>
      </c>
      <c r="P111" s="32">
        <f ca="1">_xll.DBRW($C$1,$C$2,$C$3,$C$4,$C$6,$C$5,$C$7,P$1,P$2,$A111)</f>
        <v>9879.33</v>
      </c>
      <c r="Q111" s="32">
        <f ca="1">_xll.DBRW($C$1,$C$2,$C$3,$C$4,$C$6,$C$5,$C$7,Q$1,Q$2,$A111)</f>
        <v>9879.33</v>
      </c>
      <c r="R111" s="32">
        <f ca="1">_xll.DBRW($C$1,$C$2,$C$3,$C$4,$C$6,$C$5,$C$7,R$1,R$2,$A111)</f>
        <v>9879.33</v>
      </c>
      <c r="S111" s="32">
        <f ca="1">_xll.DBRW($C$1,$C$2,$C$3,$C$4,$C$6,$C$5,$C$7,S$1,S$2,$A111)</f>
        <v>9879.33</v>
      </c>
      <c r="T111" s="32">
        <f ca="1">_xll.DBRW($C$1,$C$2,$C$3,$C$4,$C$6,$C$5,$C$7,T$1,T$2,$A111)</f>
        <v>9879.33</v>
      </c>
      <c r="U111" s="32">
        <f ca="1">_xll.DBRW($C$1,$C$2,$C$3,$C$4,$C$6,$C$5,$C$7,U$1,U$2,$A111)</f>
        <v>9879.33</v>
      </c>
      <c r="V111" s="32">
        <f ca="1">_xll.DBRW($C$1,$C$2,$C$3,$C$4,$C$6,$C$5,$C$7,V$1,V$2,$A111)</f>
        <v>0</v>
      </c>
      <c r="W111" s="32">
        <f ca="1">_xll.DBRW($C$1,$C$2,$C$3,$C$4,$C$6,$C$5,$C$7,W$1,W$2,$A111)</f>
        <v>0</v>
      </c>
      <c r="X111" s="32">
        <f ca="1">_xll.DBRW($C$1,$C$2,$C$3,$C$4,$C$6,$C$5,$C$7,X$1,X$2,$A111)</f>
        <v>0</v>
      </c>
      <c r="Y111" s="32">
        <f ca="1">_xll.DBRW($C$1,$C$2,$C$3,$C$4,$C$6,$C$5,$C$7,Y$1,Y$2,$A111)</f>
        <v>0</v>
      </c>
      <c r="Z111" s="32">
        <f ca="1">_xll.DBRW($C$1,$C$2,$C$3,$C$4,$C$6,$C$5,$C$7,Z$1,Z$2,$A111)</f>
        <v>0</v>
      </c>
      <c r="AA111" s="32">
        <f ca="1">_xll.DBRW($C$1,$C$2,$C$3,$C$4,$C$6,$C$5,$C$7,AA$1,AA$2,$A111)</f>
        <v>0</v>
      </c>
      <c r="AB111" s="32">
        <f ca="1">_xll.DBRW($C$1,$C$2,$C$3,$C$4,$C$6,$C$5,$C$7,AB$1,AB$2,$A111)</f>
        <v>0</v>
      </c>
      <c r="AC111" s="32">
        <f ca="1">_xll.DBRW($C$1,$C$2,$C$3,$C$4,$C$6,$C$5,$C$7,AC$1,AC$2,$A111)</f>
        <v>0</v>
      </c>
      <c r="AD111" s="32">
        <f ca="1">_xll.DBRW($C$1,$C$2,$C$3,$C$4,$C$6,$C$5,$C$7,AD$1,AD$2,$A111)</f>
        <v>0</v>
      </c>
      <c r="AE111" s="32">
        <f ca="1">_xll.DBRW($C$1,$C$2,$C$3,$C$4,$C$6,$C$5,$C$7,AE$1,AE$2,$A111)</f>
        <v>0</v>
      </c>
      <c r="AF111" s="32">
        <f ca="1">_xll.DBRW($C$1,$C$2,$C$3,$C$4,$C$6,$C$5,$C$7,AF$1,AF$2,$A111)</f>
        <v>0</v>
      </c>
      <c r="AG111" s="32">
        <f ca="1">_xll.DBRW($C$1,$C$2,$C$3,$C$4,$C$6,$C$5,$C$7,AG$1,AG$2,$A111)</f>
        <v>0</v>
      </c>
      <c r="AH111" s="32">
        <f ca="1">_xll.DBRW($C$1,$C$2,$C$3,$C$4,$C$6,$C$5,$C$7,AH$1,AH$2,$A111)</f>
        <v>0</v>
      </c>
      <c r="AI111" s="32">
        <f ca="1">_xll.DBRW($C$1,$C$2,$C$3,$C$4,$C$6,$C$5,$C$7,AI$1,AI$2,$A111)</f>
        <v>0</v>
      </c>
      <c r="AJ111" s="32">
        <f ca="1">_xll.DBRW($C$1,$C$2,$C$3,$C$4,$C$6,$C$5,$C$7,AJ$1,AJ$2,$A111)</f>
        <v>0</v>
      </c>
      <c r="AK111" s="32">
        <f ca="1">_xll.DBRW($C$1,$C$2,$C$3,$C$4,$C$6,$C$5,$C$7,AK$1,AK$2,$A111)</f>
        <v>0</v>
      </c>
      <c r="AL111" s="32">
        <f ca="1">_xll.DBRW($C$1,$C$2,$C$3,$C$4,$C$6,$C$5,$C$7,AL$1,AL$2,$A111)</f>
        <v>0</v>
      </c>
      <c r="AM111" s="32">
        <f ca="1">_xll.DBRW($C$1,$C$2,$C$3,$C$4,$C$6,$C$5,$C$7,AM$1,AM$2,$A111)</f>
        <v>0</v>
      </c>
      <c r="AN111" s="32">
        <f ca="1">_xll.DBRW($C$1,$C$2,$C$3,$C$4,$C$6,$C$5,$C$7,AN$1,AN$2,$A111)</f>
        <v>0</v>
      </c>
      <c r="AO111" s="32">
        <f ca="1">_xll.DBRW($C$1,$C$2,$C$3,$C$4,$C$6,$C$5,$C$7,AO$1,AO$2,$A111)</f>
        <v>0</v>
      </c>
      <c r="AP111" s="32">
        <f ca="1">_xll.DBRW($C$1,$C$2,$C$3,$C$4,$C$6,$C$5,$C$7,AP$1,AP$2,$A111)</f>
        <v>0</v>
      </c>
      <c r="AQ111" s="32">
        <f ca="1">_xll.DBRW($C$1,$C$2,$C$3,$C$4,$C$6,$C$5,$C$7,AQ$1,AQ$2,$A111)</f>
        <v>0</v>
      </c>
      <c r="AR111" s="32">
        <f ca="1">_xll.DBRW($C$1,$C$2,$C$3,$C$4,$C$6,$C$5,$C$7,AR$1,AR$2,$A111)</f>
        <v>0</v>
      </c>
      <c r="AS111" s="32">
        <f ca="1">_xll.DBRW($C$1,$C$2,$C$3,$C$4,$C$6,$C$5,$C$7,AS$1,AS$2,$A111)</f>
        <v>0</v>
      </c>
      <c r="AT111" s="32">
        <f ca="1">_xll.DBRW($C$1,$C$2,$C$3,$C$4,$C$6,$C$5,$C$7,AT$1,AT$2,$A111)</f>
        <v>0</v>
      </c>
      <c r="AU111" s="32">
        <f ca="1">_xll.DBRW($C$1,$C$2,$C$3,$C$4,$C$6,$C$5,$C$7,AU$1,AU$2,$A111)</f>
        <v>0</v>
      </c>
    </row>
    <row r="112" spans="1:47" ht="15.75" hidden="1" customHeight="1" outlineLevel="2">
      <c r="A112" s="1" t="s">
        <v>195</v>
      </c>
      <c r="C112" s="141"/>
      <c r="E112" s="9" t="str">
        <f ca="1">_xll.DBRW(Server&amp;"}ElementAttributes_Indicator",A112,"code_English")</f>
        <v>PL1155_FL_99 - Reinvoicing - Others (FL)</v>
      </c>
      <c r="F112" s="32">
        <f ca="1">_xll.DBRW($C$1,$C$2,$C$3,$C$4,$C$6,$C$5,$C$7,F$1,F$2,$A112)</f>
        <v>0</v>
      </c>
      <c r="G112" s="32">
        <f ca="1">_xll.DBRW($C$1,$C$2,$C$3,$C$4,$C$6,$C$5,$C$7,G$1,G$2,$A112)</f>
        <v>0</v>
      </c>
      <c r="H112" s="32">
        <f ca="1">_xll.DBRW($C$1,$C$2,$C$3,$C$4,$C$6,$C$5,$C$7,H$1,H$2,$A112)</f>
        <v>0</v>
      </c>
      <c r="I112" s="32">
        <f ca="1">_xll.DBRW($C$1,$C$2,$C$3,$C$4,$C$6,$C$5,$C$7,I$1,I$2,$A112)</f>
        <v>0</v>
      </c>
      <c r="J112" s="32">
        <f ca="1">_xll.DBRW($C$1,$C$2,$C$3,$C$4,$C$6,$C$5,$C$7,J$1,J$2,$A112)</f>
        <v>0</v>
      </c>
      <c r="K112" s="32">
        <f ca="1">_xll.DBRW($C$1,$C$2,$C$3,$C$4,$C$6,$C$5,$C$7,K$1,K$2,$A112)</f>
        <v>0</v>
      </c>
      <c r="L112" s="32">
        <f ca="1">_xll.DBRW($C$1,$C$2,$C$3,$C$4,$C$6,$C$5,$C$7,L$1,L$2,$A112)</f>
        <v>0</v>
      </c>
      <c r="M112" s="32">
        <f ca="1">_xll.DBRW($C$1,$C$2,$C$3,$C$4,$C$6,$C$5,$C$7,M$1,M$2,$A112)</f>
        <v>0</v>
      </c>
      <c r="N112" s="32">
        <f ca="1">_xll.DBRW($C$1,$C$2,$C$3,$C$4,$C$6,$C$5,$C$7,N$1,N$2,$A112)</f>
        <v>0</v>
      </c>
      <c r="O112" s="32">
        <f ca="1">_xll.DBRW($C$1,$C$2,$C$3,$C$4,$C$6,$C$5,$C$7,O$1,O$2,$A112)</f>
        <v>0</v>
      </c>
      <c r="P112" s="32">
        <f ca="1">_xll.DBRW($C$1,$C$2,$C$3,$C$4,$C$6,$C$5,$C$7,P$1,P$2,$A112)</f>
        <v>0</v>
      </c>
      <c r="Q112" s="32">
        <f ca="1">_xll.DBRW($C$1,$C$2,$C$3,$C$4,$C$6,$C$5,$C$7,Q$1,Q$2,$A112)</f>
        <v>0</v>
      </c>
      <c r="R112" s="32">
        <f ca="1">_xll.DBRW($C$1,$C$2,$C$3,$C$4,$C$6,$C$5,$C$7,R$1,R$2,$A112)</f>
        <v>0</v>
      </c>
      <c r="S112" s="32">
        <f ca="1">_xll.DBRW($C$1,$C$2,$C$3,$C$4,$C$6,$C$5,$C$7,S$1,S$2,$A112)</f>
        <v>0</v>
      </c>
      <c r="T112" s="32">
        <f ca="1">_xll.DBRW($C$1,$C$2,$C$3,$C$4,$C$6,$C$5,$C$7,T$1,T$2,$A112)</f>
        <v>0</v>
      </c>
      <c r="U112" s="32">
        <f ca="1">_xll.DBRW($C$1,$C$2,$C$3,$C$4,$C$6,$C$5,$C$7,U$1,U$2,$A112)</f>
        <v>0</v>
      </c>
      <c r="V112" s="32">
        <f ca="1">_xll.DBRW($C$1,$C$2,$C$3,$C$4,$C$6,$C$5,$C$7,V$1,V$2,$A112)</f>
        <v>0</v>
      </c>
      <c r="W112" s="32">
        <f ca="1">_xll.DBRW($C$1,$C$2,$C$3,$C$4,$C$6,$C$5,$C$7,W$1,W$2,$A112)</f>
        <v>0</v>
      </c>
      <c r="X112" s="32">
        <f ca="1">_xll.DBRW($C$1,$C$2,$C$3,$C$4,$C$6,$C$5,$C$7,X$1,X$2,$A112)</f>
        <v>0</v>
      </c>
      <c r="Y112" s="32">
        <f ca="1">_xll.DBRW($C$1,$C$2,$C$3,$C$4,$C$6,$C$5,$C$7,Y$1,Y$2,$A112)</f>
        <v>0</v>
      </c>
      <c r="Z112" s="32">
        <f ca="1">_xll.DBRW($C$1,$C$2,$C$3,$C$4,$C$6,$C$5,$C$7,Z$1,Z$2,$A112)</f>
        <v>0</v>
      </c>
      <c r="AA112" s="32">
        <f ca="1">_xll.DBRW($C$1,$C$2,$C$3,$C$4,$C$6,$C$5,$C$7,AA$1,AA$2,$A112)</f>
        <v>0</v>
      </c>
      <c r="AB112" s="32">
        <f ca="1">_xll.DBRW($C$1,$C$2,$C$3,$C$4,$C$6,$C$5,$C$7,AB$1,AB$2,$A112)</f>
        <v>0</v>
      </c>
      <c r="AC112" s="32">
        <f ca="1">_xll.DBRW($C$1,$C$2,$C$3,$C$4,$C$6,$C$5,$C$7,AC$1,AC$2,$A112)</f>
        <v>0</v>
      </c>
      <c r="AD112" s="32">
        <f ca="1">_xll.DBRW($C$1,$C$2,$C$3,$C$4,$C$6,$C$5,$C$7,AD$1,AD$2,$A112)</f>
        <v>0</v>
      </c>
      <c r="AE112" s="32">
        <f ca="1">_xll.DBRW($C$1,$C$2,$C$3,$C$4,$C$6,$C$5,$C$7,AE$1,AE$2,$A112)</f>
        <v>0</v>
      </c>
      <c r="AF112" s="32">
        <f ca="1">_xll.DBRW($C$1,$C$2,$C$3,$C$4,$C$6,$C$5,$C$7,AF$1,AF$2,$A112)</f>
        <v>0</v>
      </c>
      <c r="AG112" s="32">
        <f ca="1">_xll.DBRW($C$1,$C$2,$C$3,$C$4,$C$6,$C$5,$C$7,AG$1,AG$2,$A112)</f>
        <v>0</v>
      </c>
      <c r="AH112" s="32">
        <f ca="1">_xll.DBRW($C$1,$C$2,$C$3,$C$4,$C$6,$C$5,$C$7,AH$1,AH$2,$A112)</f>
        <v>0</v>
      </c>
      <c r="AI112" s="32">
        <f ca="1">_xll.DBRW($C$1,$C$2,$C$3,$C$4,$C$6,$C$5,$C$7,AI$1,AI$2,$A112)</f>
        <v>0</v>
      </c>
      <c r="AJ112" s="32">
        <f ca="1">_xll.DBRW($C$1,$C$2,$C$3,$C$4,$C$6,$C$5,$C$7,AJ$1,AJ$2,$A112)</f>
        <v>0</v>
      </c>
      <c r="AK112" s="32">
        <f ca="1">_xll.DBRW($C$1,$C$2,$C$3,$C$4,$C$6,$C$5,$C$7,AK$1,AK$2,$A112)</f>
        <v>0</v>
      </c>
      <c r="AL112" s="32">
        <f ca="1">_xll.DBRW($C$1,$C$2,$C$3,$C$4,$C$6,$C$5,$C$7,AL$1,AL$2,$A112)</f>
        <v>0</v>
      </c>
      <c r="AM112" s="32">
        <f ca="1">_xll.DBRW($C$1,$C$2,$C$3,$C$4,$C$6,$C$5,$C$7,AM$1,AM$2,$A112)</f>
        <v>0</v>
      </c>
      <c r="AN112" s="32">
        <f ca="1">_xll.DBRW($C$1,$C$2,$C$3,$C$4,$C$6,$C$5,$C$7,AN$1,AN$2,$A112)</f>
        <v>0</v>
      </c>
      <c r="AO112" s="32">
        <f ca="1">_xll.DBRW($C$1,$C$2,$C$3,$C$4,$C$6,$C$5,$C$7,AO$1,AO$2,$A112)</f>
        <v>0</v>
      </c>
      <c r="AP112" s="32">
        <f ca="1">_xll.DBRW($C$1,$C$2,$C$3,$C$4,$C$6,$C$5,$C$7,AP$1,AP$2,$A112)</f>
        <v>0</v>
      </c>
      <c r="AQ112" s="32">
        <f ca="1">_xll.DBRW($C$1,$C$2,$C$3,$C$4,$C$6,$C$5,$C$7,AQ$1,AQ$2,$A112)</f>
        <v>0</v>
      </c>
      <c r="AR112" s="32">
        <f ca="1">_xll.DBRW($C$1,$C$2,$C$3,$C$4,$C$6,$C$5,$C$7,AR$1,AR$2,$A112)</f>
        <v>0</v>
      </c>
      <c r="AS112" s="32">
        <f ca="1">_xll.DBRW($C$1,$C$2,$C$3,$C$4,$C$6,$C$5,$C$7,AS$1,AS$2,$A112)</f>
        <v>0</v>
      </c>
      <c r="AT112" s="32">
        <f ca="1">_xll.DBRW($C$1,$C$2,$C$3,$C$4,$C$6,$C$5,$C$7,AT$1,AT$2,$A112)</f>
        <v>0</v>
      </c>
      <c r="AU112" s="32">
        <f ca="1">_xll.DBRW($C$1,$C$2,$C$3,$C$4,$C$6,$C$5,$C$7,AU$1,AU$2,$A112)</f>
        <v>0</v>
      </c>
    </row>
    <row r="113" spans="1:47" ht="15.75" hidden="1" outlineLevel="1">
      <c r="A113" s="1" t="s">
        <v>127</v>
      </c>
      <c r="C113" s="141"/>
      <c r="E113" s="15" t="s">
        <v>32</v>
      </c>
      <c r="F113" s="33">
        <f t="shared" ref="F113:T113" ca="1" si="63">SUM(F110:F112)</f>
        <v>-1171811.8799999999</v>
      </c>
      <c r="G113" s="33">
        <f t="shared" ca="1" si="63"/>
        <v>-1161836.0100000002</v>
      </c>
      <c r="H113" s="33">
        <f t="shared" ca="1" si="63"/>
        <v>-581442.70000000007</v>
      </c>
      <c r="I113" s="33">
        <f t="shared" ca="1" si="63"/>
        <v>-63555.17</v>
      </c>
      <c r="J113" s="33">
        <f t="shared" ca="1" si="63"/>
        <v>216681.43000000005</v>
      </c>
      <c r="K113" s="33">
        <f t="shared" ca="1" si="63"/>
        <v>313672.6700000001</v>
      </c>
      <c r="L113" s="33">
        <f t="shared" ca="1" si="63"/>
        <v>367646.4200000001</v>
      </c>
      <c r="M113" s="33">
        <f t="shared" ca="1" si="63"/>
        <v>299624.21000000014</v>
      </c>
      <c r="N113" s="33">
        <f t="shared" ca="1" si="63"/>
        <v>727879.40000000026</v>
      </c>
      <c r="O113" s="33">
        <f t="shared" ca="1" si="63"/>
        <v>727879.40000000026</v>
      </c>
      <c r="P113" s="33">
        <f t="shared" ca="1" si="63"/>
        <v>727879.40000000026</v>
      </c>
      <c r="Q113" s="33">
        <f t="shared" ca="1" si="63"/>
        <v>727879.40000000026</v>
      </c>
      <c r="R113" s="33">
        <f t="shared" ca="1" si="63"/>
        <v>727879.40000000026</v>
      </c>
      <c r="S113" s="33">
        <f t="shared" ca="1" si="63"/>
        <v>727879.40000000026</v>
      </c>
      <c r="T113" s="33">
        <f t="shared" ca="1" si="63"/>
        <v>727879.40000000026</v>
      </c>
      <c r="U113" s="33">
        <f ca="1">SUM(U110:U112)</f>
        <v>727879.40000000026</v>
      </c>
      <c r="V113" s="33">
        <f t="shared" ref="V113:AG113" ca="1" si="64">SUM(V110:V112)</f>
        <v>0</v>
      </c>
      <c r="W113" s="33">
        <f t="shared" ca="1" si="64"/>
        <v>0</v>
      </c>
      <c r="X113" s="33">
        <f t="shared" ca="1" si="64"/>
        <v>0</v>
      </c>
      <c r="Y113" s="33">
        <f t="shared" ca="1" si="64"/>
        <v>0</v>
      </c>
      <c r="Z113" s="33">
        <f t="shared" ca="1" si="64"/>
        <v>0</v>
      </c>
      <c r="AA113" s="33">
        <f t="shared" ca="1" si="64"/>
        <v>0</v>
      </c>
      <c r="AB113" s="33">
        <f t="shared" ca="1" si="64"/>
        <v>0</v>
      </c>
      <c r="AC113" s="33">
        <f t="shared" ca="1" si="64"/>
        <v>0</v>
      </c>
      <c r="AD113" s="33">
        <f t="shared" ca="1" si="64"/>
        <v>0</v>
      </c>
      <c r="AE113" s="33">
        <f t="shared" ca="1" si="64"/>
        <v>0</v>
      </c>
      <c r="AF113" s="33">
        <f t="shared" ca="1" si="64"/>
        <v>0</v>
      </c>
      <c r="AG113" s="33">
        <f t="shared" ca="1" si="64"/>
        <v>0</v>
      </c>
      <c r="AH113" s="33">
        <f ca="1">SUM(AH110:AH112)</f>
        <v>0</v>
      </c>
      <c r="AI113" s="33">
        <f t="shared" ref="AI113:AT113" ca="1" si="65">SUM(AI110:AI112)</f>
        <v>0</v>
      </c>
      <c r="AJ113" s="33">
        <f t="shared" ca="1" si="65"/>
        <v>0</v>
      </c>
      <c r="AK113" s="33">
        <f t="shared" ca="1" si="65"/>
        <v>0</v>
      </c>
      <c r="AL113" s="33">
        <f t="shared" ca="1" si="65"/>
        <v>0</v>
      </c>
      <c r="AM113" s="33">
        <f t="shared" ca="1" si="65"/>
        <v>0</v>
      </c>
      <c r="AN113" s="33">
        <f t="shared" ca="1" si="65"/>
        <v>0</v>
      </c>
      <c r="AO113" s="33">
        <f t="shared" ca="1" si="65"/>
        <v>0</v>
      </c>
      <c r="AP113" s="33">
        <f t="shared" ca="1" si="65"/>
        <v>0</v>
      </c>
      <c r="AQ113" s="33">
        <f t="shared" ca="1" si="65"/>
        <v>0</v>
      </c>
      <c r="AR113" s="33">
        <f t="shared" ca="1" si="65"/>
        <v>0</v>
      </c>
      <c r="AS113" s="33">
        <f t="shared" ca="1" si="65"/>
        <v>0</v>
      </c>
      <c r="AT113" s="33">
        <f t="shared" ca="1" si="65"/>
        <v>0</v>
      </c>
      <c r="AU113" s="33">
        <f ca="1">SUM(AU110:AU112)</f>
        <v>0</v>
      </c>
    </row>
    <row r="114" spans="1:47" ht="15.75" collapsed="1">
      <c r="A114" s="1" t="s">
        <v>127</v>
      </c>
      <c r="C114" s="141"/>
      <c r="E114" s="126" t="s">
        <v>35</v>
      </c>
      <c r="F114" s="127">
        <f t="shared" ref="F114:T114" ca="1" si="66">F113+F109</f>
        <v>-43496941.910000004</v>
      </c>
      <c r="G114" s="127">
        <f t="shared" ca="1" si="66"/>
        <v>-43495682.709999993</v>
      </c>
      <c r="H114" s="127">
        <f t="shared" ca="1" si="66"/>
        <v>-35441639.090000004</v>
      </c>
      <c r="I114" s="127">
        <f t="shared" ca="1" si="66"/>
        <v>-2547146.7100000009</v>
      </c>
      <c r="J114" s="127">
        <f t="shared" ca="1" si="66"/>
        <v>-5002355.3100000005</v>
      </c>
      <c r="K114" s="127">
        <f t="shared" ca="1" si="66"/>
        <v>-7558671.4399999985</v>
      </c>
      <c r="L114" s="127">
        <f t="shared" ca="1" si="66"/>
        <v>-10038774.689999999</v>
      </c>
      <c r="M114" s="127">
        <f t="shared" ca="1" si="66"/>
        <v>-12747270.939999999</v>
      </c>
      <c r="N114" s="127">
        <f t="shared" ca="1" si="66"/>
        <v>-15352041.509999998</v>
      </c>
      <c r="O114" s="127">
        <f t="shared" ca="1" si="66"/>
        <v>-15352041.509999998</v>
      </c>
      <c r="P114" s="127">
        <f t="shared" ca="1" si="66"/>
        <v>-15352041.509999998</v>
      </c>
      <c r="Q114" s="127">
        <f t="shared" ca="1" si="66"/>
        <v>-15352041.509999998</v>
      </c>
      <c r="R114" s="127">
        <f t="shared" ca="1" si="66"/>
        <v>-15352041.509999998</v>
      </c>
      <c r="S114" s="127">
        <f t="shared" ca="1" si="66"/>
        <v>-15352041.509999998</v>
      </c>
      <c r="T114" s="127">
        <f t="shared" ca="1" si="66"/>
        <v>-15352041.509999998</v>
      </c>
      <c r="U114" s="127">
        <f ca="1">U113+U109</f>
        <v>-15352041.509999998</v>
      </c>
      <c r="V114" s="127">
        <f t="shared" ref="V114:AG114" ca="1" si="67">V113+V109</f>
        <v>0</v>
      </c>
      <c r="W114" s="127">
        <f t="shared" ca="1" si="67"/>
        <v>0</v>
      </c>
      <c r="X114" s="127">
        <f t="shared" ca="1" si="67"/>
        <v>0</v>
      </c>
      <c r="Y114" s="127">
        <f t="shared" ca="1" si="67"/>
        <v>0</v>
      </c>
      <c r="Z114" s="127">
        <f t="shared" ca="1" si="67"/>
        <v>0</v>
      </c>
      <c r="AA114" s="127">
        <f t="shared" ca="1" si="67"/>
        <v>0</v>
      </c>
      <c r="AB114" s="127">
        <f t="shared" ca="1" si="67"/>
        <v>0</v>
      </c>
      <c r="AC114" s="127">
        <f t="shared" ca="1" si="67"/>
        <v>0</v>
      </c>
      <c r="AD114" s="127">
        <f t="shared" ca="1" si="67"/>
        <v>0</v>
      </c>
      <c r="AE114" s="127">
        <f t="shared" ca="1" si="67"/>
        <v>0</v>
      </c>
      <c r="AF114" s="127">
        <f t="shared" ca="1" si="67"/>
        <v>0</v>
      </c>
      <c r="AG114" s="127">
        <f t="shared" ca="1" si="67"/>
        <v>0</v>
      </c>
      <c r="AH114" s="127">
        <f ca="1">AH113+AH109</f>
        <v>0</v>
      </c>
      <c r="AI114" s="127">
        <f t="shared" ref="AI114:AT114" ca="1" si="68">AI113+AI109</f>
        <v>0</v>
      </c>
      <c r="AJ114" s="127">
        <f t="shared" ca="1" si="68"/>
        <v>0</v>
      </c>
      <c r="AK114" s="127">
        <f t="shared" ca="1" si="68"/>
        <v>0</v>
      </c>
      <c r="AL114" s="127">
        <f t="shared" ca="1" si="68"/>
        <v>0</v>
      </c>
      <c r="AM114" s="127">
        <f t="shared" ca="1" si="68"/>
        <v>0</v>
      </c>
      <c r="AN114" s="127">
        <f t="shared" ca="1" si="68"/>
        <v>0</v>
      </c>
      <c r="AO114" s="127">
        <f t="shared" ca="1" si="68"/>
        <v>0</v>
      </c>
      <c r="AP114" s="127">
        <f t="shared" ca="1" si="68"/>
        <v>0</v>
      </c>
      <c r="AQ114" s="127">
        <f t="shared" ca="1" si="68"/>
        <v>0</v>
      </c>
      <c r="AR114" s="127">
        <f t="shared" ca="1" si="68"/>
        <v>0</v>
      </c>
      <c r="AS114" s="127">
        <f t="shared" ca="1" si="68"/>
        <v>0</v>
      </c>
      <c r="AT114" s="127">
        <f t="shared" ca="1" si="68"/>
        <v>0</v>
      </c>
      <c r="AU114" s="127">
        <f ca="1">AU113+AU109</f>
        <v>0</v>
      </c>
    </row>
    <row r="115" spans="1:47" ht="15.75" hidden="1" customHeight="1" outlineLevel="1">
      <c r="A115" s="1" t="s">
        <v>196</v>
      </c>
      <c r="C115" s="141"/>
      <c r="E115" s="9" t="str">
        <f ca="1">_xll.DBRW(Server&amp;"}ElementAttributes_Indicator",A115,"code_English")</f>
        <v>PL1110_CD_10 - Staff Costs (CD)</v>
      </c>
      <c r="F115" s="31">
        <f ca="1">_xll.DBRW($C$1,$C$2,$C$3,$C$4,$C$6,$C$5,$C$7,F$1,F$2,$A115)</f>
        <v>0</v>
      </c>
      <c r="G115" s="31">
        <f ca="1">_xll.DBRW($C$1,$C$2,$C$3,$C$4,$C$6,$C$5,$C$7,G$1,G$2,$A115)</f>
        <v>0</v>
      </c>
      <c r="H115" s="31">
        <f ca="1">_xll.DBRW($C$1,$C$2,$C$3,$C$4,$C$6,$C$5,$C$7,H$1,H$2,$A115)</f>
        <v>0</v>
      </c>
      <c r="I115" s="31">
        <f ca="1">_xll.DBRW($C$1,$C$2,$C$3,$C$4,$C$6,$C$5,$C$7,I$1,I$2,$A115)</f>
        <v>0</v>
      </c>
      <c r="J115" s="31">
        <f ca="1">_xll.DBRW($C$1,$C$2,$C$3,$C$4,$C$6,$C$5,$C$7,J$1,J$2,$A115)</f>
        <v>0</v>
      </c>
      <c r="K115" s="31">
        <f ca="1">_xll.DBRW($C$1,$C$2,$C$3,$C$4,$C$6,$C$5,$C$7,K$1,K$2,$A115)</f>
        <v>0</v>
      </c>
      <c r="L115" s="31">
        <f ca="1">_xll.DBRW($C$1,$C$2,$C$3,$C$4,$C$6,$C$5,$C$7,L$1,L$2,$A115)</f>
        <v>0</v>
      </c>
      <c r="M115" s="31">
        <f ca="1">_xll.DBRW($C$1,$C$2,$C$3,$C$4,$C$6,$C$5,$C$7,M$1,M$2,$A115)</f>
        <v>0</v>
      </c>
      <c r="N115" s="31">
        <f ca="1">_xll.DBRW($C$1,$C$2,$C$3,$C$4,$C$6,$C$5,$C$7,N$1,N$2,$A115)</f>
        <v>0</v>
      </c>
      <c r="O115" s="31">
        <f ca="1">_xll.DBRW($C$1,$C$2,$C$3,$C$4,$C$6,$C$5,$C$7,O$1,O$2,$A115)</f>
        <v>0</v>
      </c>
      <c r="P115" s="31">
        <f ca="1">_xll.DBRW($C$1,$C$2,$C$3,$C$4,$C$6,$C$5,$C$7,P$1,P$2,$A115)</f>
        <v>0</v>
      </c>
      <c r="Q115" s="31">
        <f ca="1">_xll.DBRW($C$1,$C$2,$C$3,$C$4,$C$6,$C$5,$C$7,Q$1,Q$2,$A115)</f>
        <v>0</v>
      </c>
      <c r="R115" s="31">
        <f ca="1">_xll.DBRW($C$1,$C$2,$C$3,$C$4,$C$6,$C$5,$C$7,R$1,R$2,$A115)</f>
        <v>0</v>
      </c>
      <c r="S115" s="31">
        <f ca="1">_xll.DBRW($C$1,$C$2,$C$3,$C$4,$C$6,$C$5,$C$7,S$1,S$2,$A115)</f>
        <v>0</v>
      </c>
      <c r="T115" s="31">
        <f ca="1">_xll.DBRW($C$1,$C$2,$C$3,$C$4,$C$6,$C$5,$C$7,T$1,T$2,$A115)</f>
        <v>0</v>
      </c>
      <c r="U115" s="31">
        <f ca="1">_xll.DBRW($C$1,$C$2,$C$3,$C$4,$C$6,$C$5,$C$7,U$1,U$2,$A115)</f>
        <v>0</v>
      </c>
      <c r="V115" s="31">
        <f ca="1">_xll.DBRW($C$1,$C$2,$C$3,$C$4,$C$6,$C$5,$C$7,V$1,V$2,$A115)</f>
        <v>0</v>
      </c>
      <c r="W115" s="31">
        <f ca="1">_xll.DBRW($C$1,$C$2,$C$3,$C$4,$C$6,$C$5,$C$7,W$1,W$2,$A115)</f>
        <v>0</v>
      </c>
      <c r="X115" s="31">
        <f ca="1">_xll.DBRW($C$1,$C$2,$C$3,$C$4,$C$6,$C$5,$C$7,X$1,X$2,$A115)</f>
        <v>0</v>
      </c>
      <c r="Y115" s="31">
        <f ca="1">_xll.DBRW($C$1,$C$2,$C$3,$C$4,$C$6,$C$5,$C$7,Y$1,Y$2,$A115)</f>
        <v>0</v>
      </c>
      <c r="Z115" s="31">
        <f ca="1">_xll.DBRW($C$1,$C$2,$C$3,$C$4,$C$6,$C$5,$C$7,Z$1,Z$2,$A115)</f>
        <v>0</v>
      </c>
      <c r="AA115" s="31">
        <f ca="1">_xll.DBRW($C$1,$C$2,$C$3,$C$4,$C$6,$C$5,$C$7,AA$1,AA$2,$A115)</f>
        <v>0</v>
      </c>
      <c r="AB115" s="31">
        <f ca="1">_xll.DBRW($C$1,$C$2,$C$3,$C$4,$C$6,$C$5,$C$7,AB$1,AB$2,$A115)</f>
        <v>0</v>
      </c>
      <c r="AC115" s="31">
        <f ca="1">_xll.DBRW($C$1,$C$2,$C$3,$C$4,$C$6,$C$5,$C$7,AC$1,AC$2,$A115)</f>
        <v>0</v>
      </c>
      <c r="AD115" s="31">
        <f ca="1">_xll.DBRW($C$1,$C$2,$C$3,$C$4,$C$6,$C$5,$C$7,AD$1,AD$2,$A115)</f>
        <v>0</v>
      </c>
      <c r="AE115" s="31">
        <f ca="1">_xll.DBRW($C$1,$C$2,$C$3,$C$4,$C$6,$C$5,$C$7,AE$1,AE$2,$A115)</f>
        <v>0</v>
      </c>
      <c r="AF115" s="31">
        <f ca="1">_xll.DBRW($C$1,$C$2,$C$3,$C$4,$C$6,$C$5,$C$7,AF$1,AF$2,$A115)</f>
        <v>0</v>
      </c>
      <c r="AG115" s="31">
        <f ca="1">_xll.DBRW($C$1,$C$2,$C$3,$C$4,$C$6,$C$5,$C$7,AG$1,AG$2,$A115)</f>
        <v>0</v>
      </c>
      <c r="AH115" s="31">
        <f ca="1">_xll.DBRW($C$1,$C$2,$C$3,$C$4,$C$6,$C$5,$C$7,AH$1,AH$2,$A115)</f>
        <v>0</v>
      </c>
      <c r="AI115" s="31">
        <f ca="1">_xll.DBRW($C$1,$C$2,$C$3,$C$4,$C$6,$C$5,$C$7,AI$1,AI$2,$A115)</f>
        <v>0</v>
      </c>
      <c r="AJ115" s="31">
        <f ca="1">_xll.DBRW($C$1,$C$2,$C$3,$C$4,$C$6,$C$5,$C$7,AJ$1,AJ$2,$A115)</f>
        <v>0</v>
      </c>
      <c r="AK115" s="31">
        <f ca="1">_xll.DBRW($C$1,$C$2,$C$3,$C$4,$C$6,$C$5,$C$7,AK$1,AK$2,$A115)</f>
        <v>0</v>
      </c>
      <c r="AL115" s="31">
        <f ca="1">_xll.DBRW($C$1,$C$2,$C$3,$C$4,$C$6,$C$5,$C$7,AL$1,AL$2,$A115)</f>
        <v>0</v>
      </c>
      <c r="AM115" s="31">
        <f ca="1">_xll.DBRW($C$1,$C$2,$C$3,$C$4,$C$6,$C$5,$C$7,AM$1,AM$2,$A115)</f>
        <v>0</v>
      </c>
      <c r="AN115" s="31">
        <f ca="1">_xll.DBRW($C$1,$C$2,$C$3,$C$4,$C$6,$C$5,$C$7,AN$1,AN$2,$A115)</f>
        <v>0</v>
      </c>
      <c r="AO115" s="31">
        <f ca="1">_xll.DBRW($C$1,$C$2,$C$3,$C$4,$C$6,$C$5,$C$7,AO$1,AO$2,$A115)</f>
        <v>0</v>
      </c>
      <c r="AP115" s="31">
        <f ca="1">_xll.DBRW($C$1,$C$2,$C$3,$C$4,$C$6,$C$5,$C$7,AP$1,AP$2,$A115)</f>
        <v>0</v>
      </c>
      <c r="AQ115" s="31">
        <f ca="1">_xll.DBRW($C$1,$C$2,$C$3,$C$4,$C$6,$C$5,$C$7,AQ$1,AQ$2,$A115)</f>
        <v>0</v>
      </c>
      <c r="AR115" s="31">
        <f ca="1">_xll.DBRW($C$1,$C$2,$C$3,$C$4,$C$6,$C$5,$C$7,AR$1,AR$2,$A115)</f>
        <v>0</v>
      </c>
      <c r="AS115" s="31">
        <f ca="1">_xll.DBRW($C$1,$C$2,$C$3,$C$4,$C$6,$C$5,$C$7,AS$1,AS$2,$A115)</f>
        <v>0</v>
      </c>
      <c r="AT115" s="31">
        <f ca="1">_xll.DBRW($C$1,$C$2,$C$3,$C$4,$C$6,$C$5,$C$7,AT$1,AT$2,$A115)</f>
        <v>0</v>
      </c>
      <c r="AU115" s="31">
        <f ca="1">_xll.DBRW($C$1,$C$2,$C$3,$C$4,$C$6,$C$5,$C$7,AU$1,AU$2,$A115)</f>
        <v>0</v>
      </c>
    </row>
    <row r="116" spans="1:47" ht="15.75" hidden="1" customHeight="1" outlineLevel="1">
      <c r="A116" s="1" t="s">
        <v>197</v>
      </c>
      <c r="C116" s="141"/>
      <c r="E116" s="9" t="str">
        <f ca="1">_xll.DBRW(Server&amp;"}ElementAttributes_Indicator",A116,"code_English")</f>
        <v>PL1110_CD_20 - Worker compensations</v>
      </c>
      <c r="F116" s="31">
        <f ca="1">_xll.DBRW($C$1,$C$2,$C$3,$C$4,$C$6,$C$5,$C$7,F$1,F$2,$A116)</f>
        <v>0</v>
      </c>
      <c r="G116" s="31">
        <f ca="1">_xll.DBRW($C$1,$C$2,$C$3,$C$4,$C$6,$C$5,$C$7,G$1,G$2,$A116)</f>
        <v>0</v>
      </c>
      <c r="H116" s="31">
        <f ca="1">_xll.DBRW($C$1,$C$2,$C$3,$C$4,$C$6,$C$5,$C$7,H$1,H$2,$A116)</f>
        <v>0</v>
      </c>
      <c r="I116" s="31">
        <f ca="1">_xll.DBRW($C$1,$C$2,$C$3,$C$4,$C$6,$C$5,$C$7,I$1,I$2,$A116)</f>
        <v>0</v>
      </c>
      <c r="J116" s="31">
        <f ca="1">_xll.DBRW($C$1,$C$2,$C$3,$C$4,$C$6,$C$5,$C$7,J$1,J$2,$A116)</f>
        <v>0</v>
      </c>
      <c r="K116" s="31">
        <f ca="1">_xll.DBRW($C$1,$C$2,$C$3,$C$4,$C$6,$C$5,$C$7,K$1,K$2,$A116)</f>
        <v>0</v>
      </c>
      <c r="L116" s="31">
        <f ca="1">_xll.DBRW($C$1,$C$2,$C$3,$C$4,$C$6,$C$5,$C$7,L$1,L$2,$A116)</f>
        <v>0</v>
      </c>
      <c r="M116" s="31">
        <f ca="1">_xll.DBRW($C$1,$C$2,$C$3,$C$4,$C$6,$C$5,$C$7,M$1,M$2,$A116)</f>
        <v>0</v>
      </c>
      <c r="N116" s="31">
        <f ca="1">_xll.DBRW($C$1,$C$2,$C$3,$C$4,$C$6,$C$5,$C$7,N$1,N$2,$A116)</f>
        <v>0</v>
      </c>
      <c r="O116" s="31">
        <f ca="1">_xll.DBRW($C$1,$C$2,$C$3,$C$4,$C$6,$C$5,$C$7,O$1,O$2,$A116)</f>
        <v>0</v>
      </c>
      <c r="P116" s="31">
        <f ca="1">_xll.DBRW($C$1,$C$2,$C$3,$C$4,$C$6,$C$5,$C$7,P$1,P$2,$A116)</f>
        <v>0</v>
      </c>
      <c r="Q116" s="31">
        <f ca="1">_xll.DBRW($C$1,$C$2,$C$3,$C$4,$C$6,$C$5,$C$7,Q$1,Q$2,$A116)</f>
        <v>0</v>
      </c>
      <c r="R116" s="31">
        <f ca="1">_xll.DBRW($C$1,$C$2,$C$3,$C$4,$C$6,$C$5,$C$7,R$1,R$2,$A116)</f>
        <v>0</v>
      </c>
      <c r="S116" s="31">
        <f ca="1">_xll.DBRW($C$1,$C$2,$C$3,$C$4,$C$6,$C$5,$C$7,S$1,S$2,$A116)</f>
        <v>0</v>
      </c>
      <c r="T116" s="31">
        <f ca="1">_xll.DBRW($C$1,$C$2,$C$3,$C$4,$C$6,$C$5,$C$7,T$1,T$2,$A116)</f>
        <v>0</v>
      </c>
      <c r="U116" s="31">
        <f ca="1">_xll.DBRW($C$1,$C$2,$C$3,$C$4,$C$6,$C$5,$C$7,U$1,U$2,$A116)</f>
        <v>0</v>
      </c>
      <c r="V116" s="31">
        <f ca="1">_xll.DBRW($C$1,$C$2,$C$3,$C$4,$C$6,$C$5,$C$7,V$1,V$2,$A116)</f>
        <v>0</v>
      </c>
      <c r="W116" s="31">
        <f ca="1">_xll.DBRW($C$1,$C$2,$C$3,$C$4,$C$6,$C$5,$C$7,W$1,W$2,$A116)</f>
        <v>0</v>
      </c>
      <c r="X116" s="31">
        <f ca="1">_xll.DBRW($C$1,$C$2,$C$3,$C$4,$C$6,$C$5,$C$7,X$1,X$2,$A116)</f>
        <v>0</v>
      </c>
      <c r="Y116" s="31">
        <f ca="1">_xll.DBRW($C$1,$C$2,$C$3,$C$4,$C$6,$C$5,$C$7,Y$1,Y$2,$A116)</f>
        <v>0</v>
      </c>
      <c r="Z116" s="31">
        <f ca="1">_xll.DBRW($C$1,$C$2,$C$3,$C$4,$C$6,$C$5,$C$7,Z$1,Z$2,$A116)</f>
        <v>0</v>
      </c>
      <c r="AA116" s="31">
        <f ca="1">_xll.DBRW($C$1,$C$2,$C$3,$C$4,$C$6,$C$5,$C$7,AA$1,AA$2,$A116)</f>
        <v>0</v>
      </c>
      <c r="AB116" s="31">
        <f ca="1">_xll.DBRW($C$1,$C$2,$C$3,$C$4,$C$6,$C$5,$C$7,AB$1,AB$2,$A116)</f>
        <v>0</v>
      </c>
      <c r="AC116" s="31">
        <f ca="1">_xll.DBRW($C$1,$C$2,$C$3,$C$4,$C$6,$C$5,$C$7,AC$1,AC$2,$A116)</f>
        <v>0</v>
      </c>
      <c r="AD116" s="31">
        <f ca="1">_xll.DBRW($C$1,$C$2,$C$3,$C$4,$C$6,$C$5,$C$7,AD$1,AD$2,$A116)</f>
        <v>0</v>
      </c>
      <c r="AE116" s="31">
        <f ca="1">_xll.DBRW($C$1,$C$2,$C$3,$C$4,$C$6,$C$5,$C$7,AE$1,AE$2,$A116)</f>
        <v>0</v>
      </c>
      <c r="AF116" s="31">
        <f ca="1">_xll.DBRW($C$1,$C$2,$C$3,$C$4,$C$6,$C$5,$C$7,AF$1,AF$2,$A116)</f>
        <v>0</v>
      </c>
      <c r="AG116" s="31">
        <f ca="1">_xll.DBRW($C$1,$C$2,$C$3,$C$4,$C$6,$C$5,$C$7,AG$1,AG$2,$A116)</f>
        <v>0</v>
      </c>
      <c r="AH116" s="31">
        <f ca="1">_xll.DBRW($C$1,$C$2,$C$3,$C$4,$C$6,$C$5,$C$7,AH$1,AH$2,$A116)</f>
        <v>0</v>
      </c>
      <c r="AI116" s="31">
        <f ca="1">_xll.DBRW($C$1,$C$2,$C$3,$C$4,$C$6,$C$5,$C$7,AI$1,AI$2,$A116)</f>
        <v>0</v>
      </c>
      <c r="AJ116" s="31">
        <f ca="1">_xll.DBRW($C$1,$C$2,$C$3,$C$4,$C$6,$C$5,$C$7,AJ$1,AJ$2,$A116)</f>
        <v>0</v>
      </c>
      <c r="AK116" s="31">
        <f ca="1">_xll.DBRW($C$1,$C$2,$C$3,$C$4,$C$6,$C$5,$C$7,AK$1,AK$2,$A116)</f>
        <v>0</v>
      </c>
      <c r="AL116" s="31">
        <f ca="1">_xll.DBRW($C$1,$C$2,$C$3,$C$4,$C$6,$C$5,$C$7,AL$1,AL$2,$A116)</f>
        <v>0</v>
      </c>
      <c r="AM116" s="31">
        <f ca="1">_xll.DBRW($C$1,$C$2,$C$3,$C$4,$C$6,$C$5,$C$7,AM$1,AM$2,$A116)</f>
        <v>0</v>
      </c>
      <c r="AN116" s="31">
        <f ca="1">_xll.DBRW($C$1,$C$2,$C$3,$C$4,$C$6,$C$5,$C$7,AN$1,AN$2,$A116)</f>
        <v>0</v>
      </c>
      <c r="AO116" s="31">
        <f ca="1">_xll.DBRW($C$1,$C$2,$C$3,$C$4,$C$6,$C$5,$C$7,AO$1,AO$2,$A116)</f>
        <v>0</v>
      </c>
      <c r="AP116" s="31">
        <f ca="1">_xll.DBRW($C$1,$C$2,$C$3,$C$4,$C$6,$C$5,$C$7,AP$1,AP$2,$A116)</f>
        <v>0</v>
      </c>
      <c r="AQ116" s="31">
        <f ca="1">_xll.DBRW($C$1,$C$2,$C$3,$C$4,$C$6,$C$5,$C$7,AQ$1,AQ$2,$A116)</f>
        <v>0</v>
      </c>
      <c r="AR116" s="31">
        <f ca="1">_xll.DBRW($C$1,$C$2,$C$3,$C$4,$C$6,$C$5,$C$7,AR$1,AR$2,$A116)</f>
        <v>0</v>
      </c>
      <c r="AS116" s="31">
        <f ca="1">_xll.DBRW($C$1,$C$2,$C$3,$C$4,$C$6,$C$5,$C$7,AS$1,AS$2,$A116)</f>
        <v>0</v>
      </c>
      <c r="AT116" s="31">
        <f ca="1">_xll.DBRW($C$1,$C$2,$C$3,$C$4,$C$6,$C$5,$C$7,AT$1,AT$2,$A116)</f>
        <v>0</v>
      </c>
      <c r="AU116" s="31">
        <f ca="1">_xll.DBRW($C$1,$C$2,$C$3,$C$4,$C$6,$C$5,$C$7,AU$1,AU$2,$A116)</f>
        <v>0</v>
      </c>
    </row>
    <row r="117" spans="1:47" ht="15.75" hidden="1" customHeight="1" outlineLevel="1">
      <c r="A117" s="1" t="s">
        <v>198</v>
      </c>
      <c r="C117" s="141"/>
      <c r="E117" s="9" t="str">
        <f ca="1">_xll.DBRW(Server&amp;"}ElementAttributes_Indicator",A117,"code_English")</f>
        <v>PL1110_CD_30 - Worker compensations - fixed insurance</v>
      </c>
      <c r="F117" s="31">
        <f ca="1">_xll.DBRW($C$1,$C$2,$C$3,$C$4,$C$6,$C$5,$C$7,F$1,F$2,$A117)</f>
        <v>0</v>
      </c>
      <c r="G117" s="31">
        <f ca="1">_xll.DBRW($C$1,$C$2,$C$3,$C$4,$C$6,$C$5,$C$7,G$1,G$2,$A117)</f>
        <v>0</v>
      </c>
      <c r="H117" s="31">
        <f ca="1">_xll.DBRW($C$1,$C$2,$C$3,$C$4,$C$6,$C$5,$C$7,H$1,H$2,$A117)</f>
        <v>0</v>
      </c>
      <c r="I117" s="31">
        <f ca="1">_xll.DBRW($C$1,$C$2,$C$3,$C$4,$C$6,$C$5,$C$7,I$1,I$2,$A117)</f>
        <v>0</v>
      </c>
      <c r="J117" s="31">
        <f ca="1">_xll.DBRW($C$1,$C$2,$C$3,$C$4,$C$6,$C$5,$C$7,J$1,J$2,$A117)</f>
        <v>0</v>
      </c>
      <c r="K117" s="31">
        <f ca="1">_xll.DBRW($C$1,$C$2,$C$3,$C$4,$C$6,$C$5,$C$7,K$1,K$2,$A117)</f>
        <v>0</v>
      </c>
      <c r="L117" s="31">
        <f ca="1">_xll.DBRW($C$1,$C$2,$C$3,$C$4,$C$6,$C$5,$C$7,L$1,L$2,$A117)</f>
        <v>0</v>
      </c>
      <c r="M117" s="31">
        <f ca="1">_xll.DBRW($C$1,$C$2,$C$3,$C$4,$C$6,$C$5,$C$7,M$1,M$2,$A117)</f>
        <v>0</v>
      </c>
      <c r="N117" s="31">
        <f ca="1">_xll.DBRW($C$1,$C$2,$C$3,$C$4,$C$6,$C$5,$C$7,N$1,N$2,$A117)</f>
        <v>0</v>
      </c>
      <c r="O117" s="31">
        <f ca="1">_xll.DBRW($C$1,$C$2,$C$3,$C$4,$C$6,$C$5,$C$7,O$1,O$2,$A117)</f>
        <v>0</v>
      </c>
      <c r="P117" s="31">
        <f ca="1">_xll.DBRW($C$1,$C$2,$C$3,$C$4,$C$6,$C$5,$C$7,P$1,P$2,$A117)</f>
        <v>0</v>
      </c>
      <c r="Q117" s="31">
        <f ca="1">_xll.DBRW($C$1,$C$2,$C$3,$C$4,$C$6,$C$5,$C$7,Q$1,Q$2,$A117)</f>
        <v>0</v>
      </c>
      <c r="R117" s="31">
        <f ca="1">_xll.DBRW($C$1,$C$2,$C$3,$C$4,$C$6,$C$5,$C$7,R$1,R$2,$A117)</f>
        <v>0</v>
      </c>
      <c r="S117" s="31">
        <f ca="1">_xll.DBRW($C$1,$C$2,$C$3,$C$4,$C$6,$C$5,$C$7,S$1,S$2,$A117)</f>
        <v>0</v>
      </c>
      <c r="T117" s="31">
        <f ca="1">_xll.DBRW($C$1,$C$2,$C$3,$C$4,$C$6,$C$5,$C$7,T$1,T$2,$A117)</f>
        <v>0</v>
      </c>
      <c r="U117" s="31">
        <f ca="1">_xll.DBRW($C$1,$C$2,$C$3,$C$4,$C$6,$C$5,$C$7,U$1,U$2,$A117)</f>
        <v>0</v>
      </c>
      <c r="V117" s="31">
        <f ca="1">_xll.DBRW($C$1,$C$2,$C$3,$C$4,$C$6,$C$5,$C$7,V$1,V$2,$A117)</f>
        <v>0</v>
      </c>
      <c r="W117" s="31">
        <f ca="1">_xll.DBRW($C$1,$C$2,$C$3,$C$4,$C$6,$C$5,$C$7,W$1,W$2,$A117)</f>
        <v>0</v>
      </c>
      <c r="X117" s="31">
        <f ca="1">_xll.DBRW($C$1,$C$2,$C$3,$C$4,$C$6,$C$5,$C$7,X$1,X$2,$A117)</f>
        <v>0</v>
      </c>
      <c r="Y117" s="31">
        <f ca="1">_xll.DBRW($C$1,$C$2,$C$3,$C$4,$C$6,$C$5,$C$7,Y$1,Y$2,$A117)</f>
        <v>0</v>
      </c>
      <c r="Z117" s="31">
        <f ca="1">_xll.DBRW($C$1,$C$2,$C$3,$C$4,$C$6,$C$5,$C$7,Z$1,Z$2,$A117)</f>
        <v>0</v>
      </c>
      <c r="AA117" s="31">
        <f ca="1">_xll.DBRW($C$1,$C$2,$C$3,$C$4,$C$6,$C$5,$C$7,AA$1,AA$2,$A117)</f>
        <v>0</v>
      </c>
      <c r="AB117" s="31">
        <f ca="1">_xll.DBRW($C$1,$C$2,$C$3,$C$4,$C$6,$C$5,$C$7,AB$1,AB$2,$A117)</f>
        <v>0</v>
      </c>
      <c r="AC117" s="31">
        <f ca="1">_xll.DBRW($C$1,$C$2,$C$3,$C$4,$C$6,$C$5,$C$7,AC$1,AC$2,$A117)</f>
        <v>0</v>
      </c>
      <c r="AD117" s="31">
        <f ca="1">_xll.DBRW($C$1,$C$2,$C$3,$C$4,$C$6,$C$5,$C$7,AD$1,AD$2,$A117)</f>
        <v>0</v>
      </c>
      <c r="AE117" s="31">
        <f ca="1">_xll.DBRW($C$1,$C$2,$C$3,$C$4,$C$6,$C$5,$C$7,AE$1,AE$2,$A117)</f>
        <v>0</v>
      </c>
      <c r="AF117" s="31">
        <f ca="1">_xll.DBRW($C$1,$C$2,$C$3,$C$4,$C$6,$C$5,$C$7,AF$1,AF$2,$A117)</f>
        <v>0</v>
      </c>
      <c r="AG117" s="31">
        <f ca="1">_xll.DBRW($C$1,$C$2,$C$3,$C$4,$C$6,$C$5,$C$7,AG$1,AG$2,$A117)</f>
        <v>0</v>
      </c>
      <c r="AH117" s="31">
        <f ca="1">_xll.DBRW($C$1,$C$2,$C$3,$C$4,$C$6,$C$5,$C$7,AH$1,AH$2,$A117)</f>
        <v>0</v>
      </c>
      <c r="AI117" s="31">
        <f ca="1">_xll.DBRW($C$1,$C$2,$C$3,$C$4,$C$6,$C$5,$C$7,AI$1,AI$2,$A117)</f>
        <v>0</v>
      </c>
      <c r="AJ117" s="31">
        <f ca="1">_xll.DBRW($C$1,$C$2,$C$3,$C$4,$C$6,$C$5,$C$7,AJ$1,AJ$2,$A117)</f>
        <v>0</v>
      </c>
      <c r="AK117" s="31">
        <f ca="1">_xll.DBRW($C$1,$C$2,$C$3,$C$4,$C$6,$C$5,$C$7,AK$1,AK$2,$A117)</f>
        <v>0</v>
      </c>
      <c r="AL117" s="31">
        <f ca="1">_xll.DBRW($C$1,$C$2,$C$3,$C$4,$C$6,$C$5,$C$7,AL$1,AL$2,$A117)</f>
        <v>0</v>
      </c>
      <c r="AM117" s="31">
        <f ca="1">_xll.DBRW($C$1,$C$2,$C$3,$C$4,$C$6,$C$5,$C$7,AM$1,AM$2,$A117)</f>
        <v>0</v>
      </c>
      <c r="AN117" s="31">
        <f ca="1">_xll.DBRW($C$1,$C$2,$C$3,$C$4,$C$6,$C$5,$C$7,AN$1,AN$2,$A117)</f>
        <v>0</v>
      </c>
      <c r="AO117" s="31">
        <f ca="1">_xll.DBRW($C$1,$C$2,$C$3,$C$4,$C$6,$C$5,$C$7,AO$1,AO$2,$A117)</f>
        <v>0</v>
      </c>
      <c r="AP117" s="31">
        <f ca="1">_xll.DBRW($C$1,$C$2,$C$3,$C$4,$C$6,$C$5,$C$7,AP$1,AP$2,$A117)</f>
        <v>0</v>
      </c>
      <c r="AQ117" s="31">
        <f ca="1">_xll.DBRW($C$1,$C$2,$C$3,$C$4,$C$6,$C$5,$C$7,AQ$1,AQ$2,$A117)</f>
        <v>0</v>
      </c>
      <c r="AR117" s="31">
        <f ca="1">_xll.DBRW($C$1,$C$2,$C$3,$C$4,$C$6,$C$5,$C$7,AR$1,AR$2,$A117)</f>
        <v>0</v>
      </c>
      <c r="AS117" s="31">
        <f ca="1">_xll.DBRW($C$1,$C$2,$C$3,$C$4,$C$6,$C$5,$C$7,AS$1,AS$2,$A117)</f>
        <v>0</v>
      </c>
      <c r="AT117" s="31">
        <f ca="1">_xll.DBRW($C$1,$C$2,$C$3,$C$4,$C$6,$C$5,$C$7,AT$1,AT$2,$A117)</f>
        <v>0</v>
      </c>
      <c r="AU117" s="31">
        <f ca="1">_xll.DBRW($C$1,$C$2,$C$3,$C$4,$C$6,$C$5,$C$7,AU$1,AU$2,$A117)</f>
        <v>0</v>
      </c>
    </row>
    <row r="118" spans="1:47" ht="15.75" hidden="1" customHeight="1" outlineLevel="1">
      <c r="A118" s="1" t="s">
        <v>199</v>
      </c>
      <c r="C118" s="141"/>
      <c r="E118" s="9" t="str">
        <f ca="1">_xll.DBRW(Server&amp;"}ElementAttributes_Indicator",A118,"code_English")</f>
        <v>PL1115_CD_20 - Interim staff (CD)</v>
      </c>
      <c r="F118" s="31">
        <f ca="1">_xll.DBRW($C$1,$C$2,$C$3,$C$4,$C$6,$C$5,$C$7,F$1,F$2,$A118)</f>
        <v>0</v>
      </c>
      <c r="G118" s="31">
        <f ca="1">_xll.DBRW($C$1,$C$2,$C$3,$C$4,$C$6,$C$5,$C$7,G$1,G$2,$A118)</f>
        <v>0</v>
      </c>
      <c r="H118" s="31">
        <f ca="1">_xll.DBRW($C$1,$C$2,$C$3,$C$4,$C$6,$C$5,$C$7,H$1,H$2,$A118)</f>
        <v>0</v>
      </c>
      <c r="I118" s="31">
        <f ca="1">_xll.DBRW($C$1,$C$2,$C$3,$C$4,$C$6,$C$5,$C$7,I$1,I$2,$A118)</f>
        <v>0</v>
      </c>
      <c r="J118" s="31">
        <f ca="1">_xll.DBRW($C$1,$C$2,$C$3,$C$4,$C$6,$C$5,$C$7,J$1,J$2,$A118)</f>
        <v>0</v>
      </c>
      <c r="K118" s="31">
        <f ca="1">_xll.DBRW($C$1,$C$2,$C$3,$C$4,$C$6,$C$5,$C$7,K$1,K$2,$A118)</f>
        <v>0</v>
      </c>
      <c r="L118" s="31">
        <f ca="1">_xll.DBRW($C$1,$C$2,$C$3,$C$4,$C$6,$C$5,$C$7,L$1,L$2,$A118)</f>
        <v>0</v>
      </c>
      <c r="M118" s="31">
        <f ca="1">_xll.DBRW($C$1,$C$2,$C$3,$C$4,$C$6,$C$5,$C$7,M$1,M$2,$A118)</f>
        <v>0</v>
      </c>
      <c r="N118" s="31">
        <f ca="1">_xll.DBRW($C$1,$C$2,$C$3,$C$4,$C$6,$C$5,$C$7,N$1,N$2,$A118)</f>
        <v>0</v>
      </c>
      <c r="O118" s="31">
        <f ca="1">_xll.DBRW($C$1,$C$2,$C$3,$C$4,$C$6,$C$5,$C$7,O$1,O$2,$A118)</f>
        <v>0</v>
      </c>
      <c r="P118" s="31">
        <f ca="1">_xll.DBRW($C$1,$C$2,$C$3,$C$4,$C$6,$C$5,$C$7,P$1,P$2,$A118)</f>
        <v>0</v>
      </c>
      <c r="Q118" s="31">
        <f ca="1">_xll.DBRW($C$1,$C$2,$C$3,$C$4,$C$6,$C$5,$C$7,Q$1,Q$2,$A118)</f>
        <v>0</v>
      </c>
      <c r="R118" s="31">
        <f ca="1">_xll.DBRW($C$1,$C$2,$C$3,$C$4,$C$6,$C$5,$C$7,R$1,R$2,$A118)</f>
        <v>0</v>
      </c>
      <c r="S118" s="31">
        <f ca="1">_xll.DBRW($C$1,$C$2,$C$3,$C$4,$C$6,$C$5,$C$7,S$1,S$2,$A118)</f>
        <v>0</v>
      </c>
      <c r="T118" s="31">
        <f ca="1">_xll.DBRW($C$1,$C$2,$C$3,$C$4,$C$6,$C$5,$C$7,T$1,T$2,$A118)</f>
        <v>0</v>
      </c>
      <c r="U118" s="31">
        <f ca="1">_xll.DBRW($C$1,$C$2,$C$3,$C$4,$C$6,$C$5,$C$7,U$1,U$2,$A118)</f>
        <v>0</v>
      </c>
      <c r="V118" s="31">
        <f ca="1">_xll.DBRW($C$1,$C$2,$C$3,$C$4,$C$6,$C$5,$C$7,V$1,V$2,$A118)</f>
        <v>0</v>
      </c>
      <c r="W118" s="31">
        <f ca="1">_xll.DBRW($C$1,$C$2,$C$3,$C$4,$C$6,$C$5,$C$7,W$1,W$2,$A118)</f>
        <v>0</v>
      </c>
      <c r="X118" s="31">
        <f ca="1">_xll.DBRW($C$1,$C$2,$C$3,$C$4,$C$6,$C$5,$C$7,X$1,X$2,$A118)</f>
        <v>0</v>
      </c>
      <c r="Y118" s="31">
        <f ca="1">_xll.DBRW($C$1,$C$2,$C$3,$C$4,$C$6,$C$5,$C$7,Y$1,Y$2,$A118)</f>
        <v>0</v>
      </c>
      <c r="Z118" s="31">
        <f ca="1">_xll.DBRW($C$1,$C$2,$C$3,$C$4,$C$6,$C$5,$C$7,Z$1,Z$2,$A118)</f>
        <v>0</v>
      </c>
      <c r="AA118" s="31">
        <f ca="1">_xll.DBRW($C$1,$C$2,$C$3,$C$4,$C$6,$C$5,$C$7,AA$1,AA$2,$A118)</f>
        <v>0</v>
      </c>
      <c r="AB118" s="31">
        <f ca="1">_xll.DBRW($C$1,$C$2,$C$3,$C$4,$C$6,$C$5,$C$7,AB$1,AB$2,$A118)</f>
        <v>0</v>
      </c>
      <c r="AC118" s="31">
        <f ca="1">_xll.DBRW($C$1,$C$2,$C$3,$C$4,$C$6,$C$5,$C$7,AC$1,AC$2,$A118)</f>
        <v>0</v>
      </c>
      <c r="AD118" s="31">
        <f ca="1">_xll.DBRW($C$1,$C$2,$C$3,$C$4,$C$6,$C$5,$C$7,AD$1,AD$2,$A118)</f>
        <v>0</v>
      </c>
      <c r="AE118" s="31">
        <f ca="1">_xll.DBRW($C$1,$C$2,$C$3,$C$4,$C$6,$C$5,$C$7,AE$1,AE$2,$A118)</f>
        <v>0</v>
      </c>
      <c r="AF118" s="31">
        <f ca="1">_xll.DBRW($C$1,$C$2,$C$3,$C$4,$C$6,$C$5,$C$7,AF$1,AF$2,$A118)</f>
        <v>0</v>
      </c>
      <c r="AG118" s="31">
        <f ca="1">_xll.DBRW($C$1,$C$2,$C$3,$C$4,$C$6,$C$5,$C$7,AG$1,AG$2,$A118)</f>
        <v>0</v>
      </c>
      <c r="AH118" s="31">
        <f ca="1">_xll.DBRW($C$1,$C$2,$C$3,$C$4,$C$6,$C$5,$C$7,AH$1,AH$2,$A118)</f>
        <v>0</v>
      </c>
      <c r="AI118" s="31">
        <f ca="1">_xll.DBRW($C$1,$C$2,$C$3,$C$4,$C$6,$C$5,$C$7,AI$1,AI$2,$A118)</f>
        <v>0</v>
      </c>
      <c r="AJ118" s="31">
        <f ca="1">_xll.DBRW($C$1,$C$2,$C$3,$C$4,$C$6,$C$5,$C$7,AJ$1,AJ$2,$A118)</f>
        <v>0</v>
      </c>
      <c r="AK118" s="31">
        <f ca="1">_xll.DBRW($C$1,$C$2,$C$3,$C$4,$C$6,$C$5,$C$7,AK$1,AK$2,$A118)</f>
        <v>0</v>
      </c>
      <c r="AL118" s="31">
        <f ca="1">_xll.DBRW($C$1,$C$2,$C$3,$C$4,$C$6,$C$5,$C$7,AL$1,AL$2,$A118)</f>
        <v>0</v>
      </c>
      <c r="AM118" s="31">
        <f ca="1">_xll.DBRW($C$1,$C$2,$C$3,$C$4,$C$6,$C$5,$C$7,AM$1,AM$2,$A118)</f>
        <v>0</v>
      </c>
      <c r="AN118" s="31">
        <f ca="1">_xll.DBRW($C$1,$C$2,$C$3,$C$4,$C$6,$C$5,$C$7,AN$1,AN$2,$A118)</f>
        <v>0</v>
      </c>
      <c r="AO118" s="31">
        <f ca="1">_xll.DBRW($C$1,$C$2,$C$3,$C$4,$C$6,$C$5,$C$7,AO$1,AO$2,$A118)</f>
        <v>0</v>
      </c>
      <c r="AP118" s="31">
        <f ca="1">_xll.DBRW($C$1,$C$2,$C$3,$C$4,$C$6,$C$5,$C$7,AP$1,AP$2,$A118)</f>
        <v>0</v>
      </c>
      <c r="AQ118" s="31">
        <f ca="1">_xll.DBRW($C$1,$C$2,$C$3,$C$4,$C$6,$C$5,$C$7,AQ$1,AQ$2,$A118)</f>
        <v>0</v>
      </c>
      <c r="AR118" s="31">
        <f ca="1">_xll.DBRW($C$1,$C$2,$C$3,$C$4,$C$6,$C$5,$C$7,AR$1,AR$2,$A118)</f>
        <v>0</v>
      </c>
      <c r="AS118" s="31">
        <f ca="1">_xll.DBRW($C$1,$C$2,$C$3,$C$4,$C$6,$C$5,$C$7,AS$1,AS$2,$A118)</f>
        <v>0</v>
      </c>
      <c r="AT118" s="31">
        <f ca="1">_xll.DBRW($C$1,$C$2,$C$3,$C$4,$C$6,$C$5,$C$7,AT$1,AT$2,$A118)</f>
        <v>0</v>
      </c>
      <c r="AU118" s="31">
        <f ca="1">_xll.DBRW($C$1,$C$2,$C$3,$C$4,$C$6,$C$5,$C$7,AU$1,AU$2,$A118)</f>
        <v>0</v>
      </c>
    </row>
    <row r="119" spans="1:47" ht="15.75" hidden="1" customHeight="1" outlineLevel="1">
      <c r="A119" s="1" t="s">
        <v>200</v>
      </c>
      <c r="C119" s="141"/>
      <c r="E119" s="9" t="str">
        <f ca="1">_xll.DBRW(Server&amp;"}ElementAttributes_Indicator",A119,"code_English")</f>
        <v>PL1115_CD_40 - Repairs</v>
      </c>
      <c r="F119" s="31">
        <f ca="1">_xll.DBRW($C$1,$C$2,$C$3,$C$4,$C$6,$C$5,$C$7,F$1,F$2,$A119)</f>
        <v>-4536917.1000000006</v>
      </c>
      <c r="G119" s="31">
        <f ca="1">_xll.DBRW($C$1,$C$2,$C$3,$C$4,$C$6,$C$5,$C$7,G$1,G$2,$A119)</f>
        <v>-3229810.1399999997</v>
      </c>
      <c r="H119" s="31">
        <f ca="1">_xll.DBRW($C$1,$C$2,$C$3,$C$4,$C$6,$C$5,$C$7,H$1,H$2,$A119)</f>
        <v>-3239874.76</v>
      </c>
      <c r="I119" s="31">
        <f ca="1">_xll.DBRW($C$1,$C$2,$C$3,$C$4,$C$6,$C$5,$C$7,I$1,I$2,$A119)</f>
        <v>-306117.98</v>
      </c>
      <c r="J119" s="31">
        <f ca="1">_xll.DBRW($C$1,$C$2,$C$3,$C$4,$C$6,$C$5,$C$7,J$1,J$2,$A119)</f>
        <v>-492678.94999999995</v>
      </c>
      <c r="K119" s="31">
        <f ca="1">_xll.DBRW($C$1,$C$2,$C$3,$C$4,$C$6,$C$5,$C$7,K$1,K$2,$A119)</f>
        <v>-821473.17999999993</v>
      </c>
      <c r="L119" s="31">
        <f ca="1">_xll.DBRW($C$1,$C$2,$C$3,$C$4,$C$6,$C$5,$C$7,L$1,L$2,$A119)</f>
        <v>-1076324.56</v>
      </c>
      <c r="M119" s="31">
        <f ca="1">_xll.DBRW($C$1,$C$2,$C$3,$C$4,$C$6,$C$5,$C$7,M$1,M$2,$A119)</f>
        <v>-1326921.17</v>
      </c>
      <c r="N119" s="31">
        <f ca="1">_xll.DBRW($C$1,$C$2,$C$3,$C$4,$C$6,$C$5,$C$7,N$1,N$2,$A119)</f>
        <v>-1515097.61</v>
      </c>
      <c r="O119" s="31">
        <f ca="1">_xll.DBRW($C$1,$C$2,$C$3,$C$4,$C$6,$C$5,$C$7,O$1,O$2,$A119)</f>
        <v>-1515097.61</v>
      </c>
      <c r="P119" s="31">
        <f ca="1">_xll.DBRW($C$1,$C$2,$C$3,$C$4,$C$6,$C$5,$C$7,P$1,P$2,$A119)</f>
        <v>-1515097.61</v>
      </c>
      <c r="Q119" s="31">
        <f ca="1">_xll.DBRW($C$1,$C$2,$C$3,$C$4,$C$6,$C$5,$C$7,Q$1,Q$2,$A119)</f>
        <v>-1515097.61</v>
      </c>
      <c r="R119" s="31">
        <f ca="1">_xll.DBRW($C$1,$C$2,$C$3,$C$4,$C$6,$C$5,$C$7,R$1,R$2,$A119)</f>
        <v>-1515097.61</v>
      </c>
      <c r="S119" s="31">
        <f ca="1">_xll.DBRW($C$1,$C$2,$C$3,$C$4,$C$6,$C$5,$C$7,S$1,S$2,$A119)</f>
        <v>-1515097.61</v>
      </c>
      <c r="T119" s="31">
        <f ca="1">_xll.DBRW($C$1,$C$2,$C$3,$C$4,$C$6,$C$5,$C$7,T$1,T$2,$A119)</f>
        <v>-1515097.61</v>
      </c>
      <c r="U119" s="31">
        <f ca="1">_xll.DBRW($C$1,$C$2,$C$3,$C$4,$C$6,$C$5,$C$7,U$1,U$2,$A119)</f>
        <v>-1515097.61</v>
      </c>
      <c r="V119" s="31">
        <f ca="1">_xll.DBRW($C$1,$C$2,$C$3,$C$4,$C$6,$C$5,$C$7,V$1,V$2,$A119)</f>
        <v>0</v>
      </c>
      <c r="W119" s="31">
        <f ca="1">_xll.DBRW($C$1,$C$2,$C$3,$C$4,$C$6,$C$5,$C$7,W$1,W$2,$A119)</f>
        <v>0</v>
      </c>
      <c r="X119" s="31">
        <f ca="1">_xll.DBRW($C$1,$C$2,$C$3,$C$4,$C$6,$C$5,$C$7,X$1,X$2,$A119)</f>
        <v>0</v>
      </c>
      <c r="Y119" s="31">
        <f ca="1">_xll.DBRW($C$1,$C$2,$C$3,$C$4,$C$6,$C$5,$C$7,Y$1,Y$2,$A119)</f>
        <v>0</v>
      </c>
      <c r="Z119" s="31">
        <f ca="1">_xll.DBRW($C$1,$C$2,$C$3,$C$4,$C$6,$C$5,$C$7,Z$1,Z$2,$A119)</f>
        <v>0</v>
      </c>
      <c r="AA119" s="31">
        <f ca="1">_xll.DBRW($C$1,$C$2,$C$3,$C$4,$C$6,$C$5,$C$7,AA$1,AA$2,$A119)</f>
        <v>0</v>
      </c>
      <c r="AB119" s="31">
        <f ca="1">_xll.DBRW($C$1,$C$2,$C$3,$C$4,$C$6,$C$5,$C$7,AB$1,AB$2,$A119)</f>
        <v>0</v>
      </c>
      <c r="AC119" s="31">
        <f ca="1">_xll.DBRW($C$1,$C$2,$C$3,$C$4,$C$6,$C$5,$C$7,AC$1,AC$2,$A119)</f>
        <v>0</v>
      </c>
      <c r="AD119" s="31">
        <f ca="1">_xll.DBRW($C$1,$C$2,$C$3,$C$4,$C$6,$C$5,$C$7,AD$1,AD$2,$A119)</f>
        <v>0</v>
      </c>
      <c r="AE119" s="31">
        <f ca="1">_xll.DBRW($C$1,$C$2,$C$3,$C$4,$C$6,$C$5,$C$7,AE$1,AE$2,$A119)</f>
        <v>0</v>
      </c>
      <c r="AF119" s="31">
        <f ca="1">_xll.DBRW($C$1,$C$2,$C$3,$C$4,$C$6,$C$5,$C$7,AF$1,AF$2,$A119)</f>
        <v>0</v>
      </c>
      <c r="AG119" s="31">
        <f ca="1">_xll.DBRW($C$1,$C$2,$C$3,$C$4,$C$6,$C$5,$C$7,AG$1,AG$2,$A119)</f>
        <v>0</v>
      </c>
      <c r="AH119" s="31">
        <f ca="1">_xll.DBRW($C$1,$C$2,$C$3,$C$4,$C$6,$C$5,$C$7,AH$1,AH$2,$A119)</f>
        <v>0</v>
      </c>
      <c r="AI119" s="31">
        <f ca="1">_xll.DBRW($C$1,$C$2,$C$3,$C$4,$C$6,$C$5,$C$7,AI$1,AI$2,$A119)</f>
        <v>0</v>
      </c>
      <c r="AJ119" s="31">
        <f ca="1">_xll.DBRW($C$1,$C$2,$C$3,$C$4,$C$6,$C$5,$C$7,AJ$1,AJ$2,$A119)</f>
        <v>0</v>
      </c>
      <c r="AK119" s="31">
        <f ca="1">_xll.DBRW($C$1,$C$2,$C$3,$C$4,$C$6,$C$5,$C$7,AK$1,AK$2,$A119)</f>
        <v>0</v>
      </c>
      <c r="AL119" s="31">
        <f ca="1">_xll.DBRW($C$1,$C$2,$C$3,$C$4,$C$6,$C$5,$C$7,AL$1,AL$2,$A119)</f>
        <v>0</v>
      </c>
      <c r="AM119" s="31">
        <f ca="1">_xll.DBRW($C$1,$C$2,$C$3,$C$4,$C$6,$C$5,$C$7,AM$1,AM$2,$A119)</f>
        <v>0</v>
      </c>
      <c r="AN119" s="31">
        <f ca="1">_xll.DBRW($C$1,$C$2,$C$3,$C$4,$C$6,$C$5,$C$7,AN$1,AN$2,$A119)</f>
        <v>0</v>
      </c>
      <c r="AO119" s="31">
        <f ca="1">_xll.DBRW($C$1,$C$2,$C$3,$C$4,$C$6,$C$5,$C$7,AO$1,AO$2,$A119)</f>
        <v>0</v>
      </c>
      <c r="AP119" s="31">
        <f ca="1">_xll.DBRW($C$1,$C$2,$C$3,$C$4,$C$6,$C$5,$C$7,AP$1,AP$2,$A119)</f>
        <v>0</v>
      </c>
      <c r="AQ119" s="31">
        <f ca="1">_xll.DBRW($C$1,$C$2,$C$3,$C$4,$C$6,$C$5,$C$7,AQ$1,AQ$2,$A119)</f>
        <v>0</v>
      </c>
      <c r="AR119" s="31">
        <f ca="1">_xll.DBRW($C$1,$C$2,$C$3,$C$4,$C$6,$C$5,$C$7,AR$1,AR$2,$A119)</f>
        <v>0</v>
      </c>
      <c r="AS119" s="31">
        <f ca="1">_xll.DBRW($C$1,$C$2,$C$3,$C$4,$C$6,$C$5,$C$7,AS$1,AS$2,$A119)</f>
        <v>0</v>
      </c>
      <c r="AT119" s="31">
        <f ca="1">_xll.DBRW($C$1,$C$2,$C$3,$C$4,$C$6,$C$5,$C$7,AT$1,AT$2,$A119)</f>
        <v>0</v>
      </c>
      <c r="AU119" s="31">
        <f ca="1">_xll.DBRW($C$1,$C$2,$C$3,$C$4,$C$6,$C$5,$C$7,AU$1,AU$2,$A119)</f>
        <v>0</v>
      </c>
    </row>
    <row r="120" spans="1:47" ht="15.75" hidden="1" customHeight="1" outlineLevel="1">
      <c r="A120" s="1" t="s">
        <v>201</v>
      </c>
      <c r="C120" s="141"/>
      <c r="E120" s="9" t="str">
        <f ca="1">_xll.DBRW(Server&amp;"}ElementAttributes_Indicator",A120,"code_English")</f>
        <v>PL1115_CD_45 - Autoliability</v>
      </c>
      <c r="F120" s="31">
        <f ca="1">_xll.DBRW($C$1,$C$2,$C$3,$C$4,$C$6,$C$5,$C$7,F$1,F$2,$A120)</f>
        <v>0</v>
      </c>
      <c r="G120" s="31">
        <f ca="1">_xll.DBRW($C$1,$C$2,$C$3,$C$4,$C$6,$C$5,$C$7,G$1,G$2,$A120)</f>
        <v>0</v>
      </c>
      <c r="H120" s="31">
        <f ca="1">_xll.DBRW($C$1,$C$2,$C$3,$C$4,$C$6,$C$5,$C$7,H$1,H$2,$A120)</f>
        <v>0</v>
      </c>
      <c r="I120" s="31">
        <f ca="1">_xll.DBRW($C$1,$C$2,$C$3,$C$4,$C$6,$C$5,$C$7,I$1,I$2,$A120)</f>
        <v>0</v>
      </c>
      <c r="J120" s="31">
        <f ca="1">_xll.DBRW($C$1,$C$2,$C$3,$C$4,$C$6,$C$5,$C$7,J$1,J$2,$A120)</f>
        <v>0</v>
      </c>
      <c r="K120" s="31">
        <f ca="1">_xll.DBRW($C$1,$C$2,$C$3,$C$4,$C$6,$C$5,$C$7,K$1,K$2,$A120)</f>
        <v>0</v>
      </c>
      <c r="L120" s="31">
        <f ca="1">_xll.DBRW($C$1,$C$2,$C$3,$C$4,$C$6,$C$5,$C$7,L$1,L$2,$A120)</f>
        <v>0</v>
      </c>
      <c r="M120" s="31">
        <f ca="1">_xll.DBRW($C$1,$C$2,$C$3,$C$4,$C$6,$C$5,$C$7,M$1,M$2,$A120)</f>
        <v>0</v>
      </c>
      <c r="N120" s="31">
        <f ca="1">_xll.DBRW($C$1,$C$2,$C$3,$C$4,$C$6,$C$5,$C$7,N$1,N$2,$A120)</f>
        <v>0</v>
      </c>
      <c r="O120" s="31">
        <f ca="1">_xll.DBRW($C$1,$C$2,$C$3,$C$4,$C$6,$C$5,$C$7,O$1,O$2,$A120)</f>
        <v>0</v>
      </c>
      <c r="P120" s="31">
        <f ca="1">_xll.DBRW($C$1,$C$2,$C$3,$C$4,$C$6,$C$5,$C$7,P$1,P$2,$A120)</f>
        <v>0</v>
      </c>
      <c r="Q120" s="31">
        <f ca="1">_xll.DBRW($C$1,$C$2,$C$3,$C$4,$C$6,$C$5,$C$7,Q$1,Q$2,$A120)</f>
        <v>0</v>
      </c>
      <c r="R120" s="31">
        <f ca="1">_xll.DBRW($C$1,$C$2,$C$3,$C$4,$C$6,$C$5,$C$7,R$1,R$2,$A120)</f>
        <v>0</v>
      </c>
      <c r="S120" s="31">
        <f ca="1">_xll.DBRW($C$1,$C$2,$C$3,$C$4,$C$6,$C$5,$C$7,S$1,S$2,$A120)</f>
        <v>0</v>
      </c>
      <c r="T120" s="31">
        <f ca="1">_xll.DBRW($C$1,$C$2,$C$3,$C$4,$C$6,$C$5,$C$7,T$1,T$2,$A120)</f>
        <v>0</v>
      </c>
      <c r="U120" s="31">
        <f ca="1">_xll.DBRW($C$1,$C$2,$C$3,$C$4,$C$6,$C$5,$C$7,U$1,U$2,$A120)</f>
        <v>0</v>
      </c>
      <c r="V120" s="31">
        <f ca="1">_xll.DBRW($C$1,$C$2,$C$3,$C$4,$C$6,$C$5,$C$7,V$1,V$2,$A120)</f>
        <v>0</v>
      </c>
      <c r="W120" s="31">
        <f ca="1">_xll.DBRW($C$1,$C$2,$C$3,$C$4,$C$6,$C$5,$C$7,W$1,W$2,$A120)</f>
        <v>0</v>
      </c>
      <c r="X120" s="31">
        <f ca="1">_xll.DBRW($C$1,$C$2,$C$3,$C$4,$C$6,$C$5,$C$7,X$1,X$2,$A120)</f>
        <v>0</v>
      </c>
      <c r="Y120" s="31">
        <f ca="1">_xll.DBRW($C$1,$C$2,$C$3,$C$4,$C$6,$C$5,$C$7,Y$1,Y$2,$A120)</f>
        <v>0</v>
      </c>
      <c r="Z120" s="31">
        <f ca="1">_xll.DBRW($C$1,$C$2,$C$3,$C$4,$C$6,$C$5,$C$7,Z$1,Z$2,$A120)</f>
        <v>0</v>
      </c>
      <c r="AA120" s="31">
        <f ca="1">_xll.DBRW($C$1,$C$2,$C$3,$C$4,$C$6,$C$5,$C$7,AA$1,AA$2,$A120)</f>
        <v>0</v>
      </c>
      <c r="AB120" s="31">
        <f ca="1">_xll.DBRW($C$1,$C$2,$C$3,$C$4,$C$6,$C$5,$C$7,AB$1,AB$2,$A120)</f>
        <v>0</v>
      </c>
      <c r="AC120" s="31">
        <f ca="1">_xll.DBRW($C$1,$C$2,$C$3,$C$4,$C$6,$C$5,$C$7,AC$1,AC$2,$A120)</f>
        <v>0</v>
      </c>
      <c r="AD120" s="31">
        <f ca="1">_xll.DBRW($C$1,$C$2,$C$3,$C$4,$C$6,$C$5,$C$7,AD$1,AD$2,$A120)</f>
        <v>0</v>
      </c>
      <c r="AE120" s="31">
        <f ca="1">_xll.DBRW($C$1,$C$2,$C$3,$C$4,$C$6,$C$5,$C$7,AE$1,AE$2,$A120)</f>
        <v>0</v>
      </c>
      <c r="AF120" s="31">
        <f ca="1">_xll.DBRW($C$1,$C$2,$C$3,$C$4,$C$6,$C$5,$C$7,AF$1,AF$2,$A120)</f>
        <v>0</v>
      </c>
      <c r="AG120" s="31">
        <f ca="1">_xll.DBRW($C$1,$C$2,$C$3,$C$4,$C$6,$C$5,$C$7,AG$1,AG$2,$A120)</f>
        <v>0</v>
      </c>
      <c r="AH120" s="31">
        <f ca="1">_xll.DBRW($C$1,$C$2,$C$3,$C$4,$C$6,$C$5,$C$7,AH$1,AH$2,$A120)</f>
        <v>0</v>
      </c>
      <c r="AI120" s="31">
        <f ca="1">_xll.DBRW($C$1,$C$2,$C$3,$C$4,$C$6,$C$5,$C$7,AI$1,AI$2,$A120)</f>
        <v>0</v>
      </c>
      <c r="AJ120" s="31">
        <f ca="1">_xll.DBRW($C$1,$C$2,$C$3,$C$4,$C$6,$C$5,$C$7,AJ$1,AJ$2,$A120)</f>
        <v>0</v>
      </c>
      <c r="AK120" s="31">
        <f ca="1">_xll.DBRW($C$1,$C$2,$C$3,$C$4,$C$6,$C$5,$C$7,AK$1,AK$2,$A120)</f>
        <v>0</v>
      </c>
      <c r="AL120" s="31">
        <f ca="1">_xll.DBRW($C$1,$C$2,$C$3,$C$4,$C$6,$C$5,$C$7,AL$1,AL$2,$A120)</f>
        <v>0</v>
      </c>
      <c r="AM120" s="31">
        <f ca="1">_xll.DBRW($C$1,$C$2,$C$3,$C$4,$C$6,$C$5,$C$7,AM$1,AM$2,$A120)</f>
        <v>0</v>
      </c>
      <c r="AN120" s="31">
        <f ca="1">_xll.DBRW($C$1,$C$2,$C$3,$C$4,$C$6,$C$5,$C$7,AN$1,AN$2,$A120)</f>
        <v>0</v>
      </c>
      <c r="AO120" s="31">
        <f ca="1">_xll.DBRW($C$1,$C$2,$C$3,$C$4,$C$6,$C$5,$C$7,AO$1,AO$2,$A120)</f>
        <v>0</v>
      </c>
      <c r="AP120" s="31">
        <f ca="1">_xll.DBRW($C$1,$C$2,$C$3,$C$4,$C$6,$C$5,$C$7,AP$1,AP$2,$A120)</f>
        <v>0</v>
      </c>
      <c r="AQ120" s="31">
        <f ca="1">_xll.DBRW($C$1,$C$2,$C$3,$C$4,$C$6,$C$5,$C$7,AQ$1,AQ$2,$A120)</f>
        <v>0</v>
      </c>
      <c r="AR120" s="31">
        <f ca="1">_xll.DBRW($C$1,$C$2,$C$3,$C$4,$C$6,$C$5,$C$7,AR$1,AR$2,$A120)</f>
        <v>0</v>
      </c>
      <c r="AS120" s="31">
        <f ca="1">_xll.DBRW($C$1,$C$2,$C$3,$C$4,$C$6,$C$5,$C$7,AS$1,AS$2,$A120)</f>
        <v>0</v>
      </c>
      <c r="AT120" s="31">
        <f ca="1">_xll.DBRW($C$1,$C$2,$C$3,$C$4,$C$6,$C$5,$C$7,AT$1,AT$2,$A120)</f>
        <v>0</v>
      </c>
      <c r="AU120" s="31">
        <f ca="1">_xll.DBRW($C$1,$C$2,$C$3,$C$4,$C$6,$C$5,$C$7,AU$1,AU$2,$A120)</f>
        <v>0</v>
      </c>
    </row>
    <row r="121" spans="1:47" ht="15.75" hidden="1" customHeight="1" outlineLevel="1">
      <c r="A121" s="1" t="s">
        <v>202</v>
      </c>
      <c r="C121" s="141"/>
      <c r="E121" s="9" t="str">
        <f ca="1">_xll.DBRW(Server&amp;"}ElementAttributes_Indicator",A121,"code_English")</f>
        <v>PL1115_CD_50 - Insurance premiums paid</v>
      </c>
      <c r="F121" s="31">
        <f ca="1">_xll.DBRW($C$1,$C$2,$C$3,$C$4,$C$6,$C$5,$C$7,F$1,F$2,$A121)</f>
        <v>-6823575.1800000006</v>
      </c>
      <c r="G121" s="31">
        <f ca="1">_xll.DBRW($C$1,$C$2,$C$3,$C$4,$C$6,$C$5,$C$7,G$1,G$2,$A121)</f>
        <v>-7130482.4900000002</v>
      </c>
      <c r="H121" s="31">
        <f ca="1">_xll.DBRW($C$1,$C$2,$C$3,$C$4,$C$6,$C$5,$C$7,H$1,H$2,$A121)</f>
        <v>-6950889.9300000006</v>
      </c>
      <c r="I121" s="31">
        <f ca="1">_xll.DBRW($C$1,$C$2,$C$3,$C$4,$C$6,$C$5,$C$7,I$1,I$2,$A121)</f>
        <v>-216882.06000000003</v>
      </c>
      <c r="J121" s="31">
        <f ca="1">_xll.DBRW($C$1,$C$2,$C$3,$C$4,$C$6,$C$5,$C$7,J$1,J$2,$A121)</f>
        <v>-579689.55000000005</v>
      </c>
      <c r="K121" s="31">
        <f ca="1">_xll.DBRW($C$1,$C$2,$C$3,$C$4,$C$6,$C$5,$C$7,K$1,K$2,$A121)</f>
        <v>-1654426.43</v>
      </c>
      <c r="L121" s="31">
        <f ca="1">_xll.DBRW($C$1,$C$2,$C$3,$C$4,$C$6,$C$5,$C$7,L$1,L$2,$A121)</f>
        <v>-1917847.09</v>
      </c>
      <c r="M121" s="31">
        <f ca="1">_xll.DBRW($C$1,$C$2,$C$3,$C$4,$C$6,$C$5,$C$7,M$1,M$2,$A121)</f>
        <v>-2423498.4500000002</v>
      </c>
      <c r="N121" s="31">
        <f ca="1">_xll.DBRW($C$1,$C$2,$C$3,$C$4,$C$6,$C$5,$C$7,N$1,N$2,$A121)</f>
        <v>-3200234</v>
      </c>
      <c r="O121" s="31">
        <f ca="1">_xll.DBRW($C$1,$C$2,$C$3,$C$4,$C$6,$C$5,$C$7,O$1,O$2,$A121)</f>
        <v>-3200234</v>
      </c>
      <c r="P121" s="31">
        <f ca="1">_xll.DBRW($C$1,$C$2,$C$3,$C$4,$C$6,$C$5,$C$7,P$1,P$2,$A121)</f>
        <v>-3200234</v>
      </c>
      <c r="Q121" s="31">
        <f ca="1">_xll.DBRW($C$1,$C$2,$C$3,$C$4,$C$6,$C$5,$C$7,Q$1,Q$2,$A121)</f>
        <v>-3200234</v>
      </c>
      <c r="R121" s="31">
        <f ca="1">_xll.DBRW($C$1,$C$2,$C$3,$C$4,$C$6,$C$5,$C$7,R$1,R$2,$A121)</f>
        <v>-3200234</v>
      </c>
      <c r="S121" s="31">
        <f ca="1">_xll.DBRW($C$1,$C$2,$C$3,$C$4,$C$6,$C$5,$C$7,S$1,S$2,$A121)</f>
        <v>-3200234</v>
      </c>
      <c r="T121" s="31">
        <f ca="1">_xll.DBRW($C$1,$C$2,$C$3,$C$4,$C$6,$C$5,$C$7,T$1,T$2,$A121)</f>
        <v>-3200234</v>
      </c>
      <c r="U121" s="31">
        <f ca="1">_xll.DBRW($C$1,$C$2,$C$3,$C$4,$C$6,$C$5,$C$7,U$1,U$2,$A121)</f>
        <v>-3200234</v>
      </c>
      <c r="V121" s="31">
        <f ca="1">_xll.DBRW($C$1,$C$2,$C$3,$C$4,$C$6,$C$5,$C$7,V$1,V$2,$A121)</f>
        <v>0</v>
      </c>
      <c r="W121" s="31">
        <f ca="1">_xll.DBRW($C$1,$C$2,$C$3,$C$4,$C$6,$C$5,$C$7,W$1,W$2,$A121)</f>
        <v>0</v>
      </c>
      <c r="X121" s="31">
        <f ca="1">_xll.DBRW($C$1,$C$2,$C$3,$C$4,$C$6,$C$5,$C$7,X$1,X$2,$A121)</f>
        <v>0</v>
      </c>
      <c r="Y121" s="31">
        <f ca="1">_xll.DBRW($C$1,$C$2,$C$3,$C$4,$C$6,$C$5,$C$7,Y$1,Y$2,$A121)</f>
        <v>0</v>
      </c>
      <c r="Z121" s="31">
        <f ca="1">_xll.DBRW($C$1,$C$2,$C$3,$C$4,$C$6,$C$5,$C$7,Z$1,Z$2,$A121)</f>
        <v>0</v>
      </c>
      <c r="AA121" s="31">
        <f ca="1">_xll.DBRW($C$1,$C$2,$C$3,$C$4,$C$6,$C$5,$C$7,AA$1,AA$2,$A121)</f>
        <v>0</v>
      </c>
      <c r="AB121" s="31">
        <f ca="1">_xll.DBRW($C$1,$C$2,$C$3,$C$4,$C$6,$C$5,$C$7,AB$1,AB$2,$A121)</f>
        <v>0</v>
      </c>
      <c r="AC121" s="31">
        <f ca="1">_xll.DBRW($C$1,$C$2,$C$3,$C$4,$C$6,$C$5,$C$7,AC$1,AC$2,$A121)</f>
        <v>0</v>
      </c>
      <c r="AD121" s="31">
        <f ca="1">_xll.DBRW($C$1,$C$2,$C$3,$C$4,$C$6,$C$5,$C$7,AD$1,AD$2,$A121)</f>
        <v>0</v>
      </c>
      <c r="AE121" s="31">
        <f ca="1">_xll.DBRW($C$1,$C$2,$C$3,$C$4,$C$6,$C$5,$C$7,AE$1,AE$2,$A121)</f>
        <v>0</v>
      </c>
      <c r="AF121" s="31">
        <f ca="1">_xll.DBRW($C$1,$C$2,$C$3,$C$4,$C$6,$C$5,$C$7,AF$1,AF$2,$A121)</f>
        <v>0</v>
      </c>
      <c r="AG121" s="31">
        <f ca="1">_xll.DBRW($C$1,$C$2,$C$3,$C$4,$C$6,$C$5,$C$7,AG$1,AG$2,$A121)</f>
        <v>0</v>
      </c>
      <c r="AH121" s="31">
        <f ca="1">_xll.DBRW($C$1,$C$2,$C$3,$C$4,$C$6,$C$5,$C$7,AH$1,AH$2,$A121)</f>
        <v>0</v>
      </c>
      <c r="AI121" s="31">
        <f ca="1">_xll.DBRW($C$1,$C$2,$C$3,$C$4,$C$6,$C$5,$C$7,AI$1,AI$2,$A121)</f>
        <v>0</v>
      </c>
      <c r="AJ121" s="31">
        <f ca="1">_xll.DBRW($C$1,$C$2,$C$3,$C$4,$C$6,$C$5,$C$7,AJ$1,AJ$2,$A121)</f>
        <v>0</v>
      </c>
      <c r="AK121" s="31">
        <f ca="1">_xll.DBRW($C$1,$C$2,$C$3,$C$4,$C$6,$C$5,$C$7,AK$1,AK$2,$A121)</f>
        <v>0</v>
      </c>
      <c r="AL121" s="31">
        <f ca="1">_xll.DBRW($C$1,$C$2,$C$3,$C$4,$C$6,$C$5,$C$7,AL$1,AL$2,$A121)</f>
        <v>0</v>
      </c>
      <c r="AM121" s="31">
        <f ca="1">_xll.DBRW($C$1,$C$2,$C$3,$C$4,$C$6,$C$5,$C$7,AM$1,AM$2,$A121)</f>
        <v>0</v>
      </c>
      <c r="AN121" s="31">
        <f ca="1">_xll.DBRW($C$1,$C$2,$C$3,$C$4,$C$6,$C$5,$C$7,AN$1,AN$2,$A121)</f>
        <v>0</v>
      </c>
      <c r="AO121" s="31">
        <f ca="1">_xll.DBRW($C$1,$C$2,$C$3,$C$4,$C$6,$C$5,$C$7,AO$1,AO$2,$A121)</f>
        <v>0</v>
      </c>
      <c r="AP121" s="31">
        <f ca="1">_xll.DBRW($C$1,$C$2,$C$3,$C$4,$C$6,$C$5,$C$7,AP$1,AP$2,$A121)</f>
        <v>0</v>
      </c>
      <c r="AQ121" s="31">
        <f ca="1">_xll.DBRW($C$1,$C$2,$C$3,$C$4,$C$6,$C$5,$C$7,AQ$1,AQ$2,$A121)</f>
        <v>0</v>
      </c>
      <c r="AR121" s="31">
        <f ca="1">_xll.DBRW($C$1,$C$2,$C$3,$C$4,$C$6,$C$5,$C$7,AR$1,AR$2,$A121)</f>
        <v>0</v>
      </c>
      <c r="AS121" s="31">
        <f ca="1">_xll.DBRW($C$1,$C$2,$C$3,$C$4,$C$6,$C$5,$C$7,AS$1,AS$2,$A121)</f>
        <v>0</v>
      </c>
      <c r="AT121" s="31">
        <f ca="1">_xll.DBRW($C$1,$C$2,$C$3,$C$4,$C$6,$C$5,$C$7,AT$1,AT$2,$A121)</f>
        <v>0</v>
      </c>
      <c r="AU121" s="31">
        <f ca="1">_xll.DBRW($C$1,$C$2,$C$3,$C$4,$C$6,$C$5,$C$7,AU$1,AU$2,$A121)</f>
        <v>0</v>
      </c>
    </row>
    <row r="122" spans="1:47" ht="15.75" hidden="1" customHeight="1" outlineLevel="1">
      <c r="A122" s="1" t="s">
        <v>203</v>
      </c>
      <c r="C122" s="141"/>
      <c r="E122" s="9" t="str">
        <f ca="1">_xll.DBRW(Server&amp;"}ElementAttributes_Indicator",A122,"code_English")</f>
        <v>PL1115_CD_51 - Insurance compensation received</v>
      </c>
      <c r="F122" s="31">
        <f ca="1">_xll.DBRW($C$1,$C$2,$C$3,$C$4,$C$6,$C$5,$C$7,F$1,F$2,$A122)</f>
        <v>2280652.36</v>
      </c>
      <c r="G122" s="31">
        <f ca="1">_xll.DBRW($C$1,$C$2,$C$3,$C$4,$C$6,$C$5,$C$7,G$1,G$2,$A122)</f>
        <v>2013742.22</v>
      </c>
      <c r="H122" s="31">
        <f ca="1">_xll.DBRW($C$1,$C$2,$C$3,$C$4,$C$6,$C$5,$C$7,H$1,H$2,$A122)</f>
        <v>1984830.25</v>
      </c>
      <c r="I122" s="31">
        <f ca="1">_xll.DBRW($C$1,$C$2,$C$3,$C$4,$C$6,$C$5,$C$7,I$1,I$2,$A122)</f>
        <v>272207.86</v>
      </c>
      <c r="J122" s="31">
        <f ca="1">_xll.DBRW($C$1,$C$2,$C$3,$C$4,$C$6,$C$5,$C$7,J$1,J$2,$A122)</f>
        <v>359227.42</v>
      </c>
      <c r="K122" s="31">
        <f ca="1">_xll.DBRW($C$1,$C$2,$C$3,$C$4,$C$6,$C$5,$C$7,K$1,K$2,$A122)</f>
        <v>491955.52</v>
      </c>
      <c r="L122" s="31">
        <f ca="1">_xll.DBRW($C$1,$C$2,$C$3,$C$4,$C$6,$C$5,$C$7,L$1,L$2,$A122)</f>
        <v>540346.88</v>
      </c>
      <c r="M122" s="31">
        <f ca="1">_xll.DBRW($C$1,$C$2,$C$3,$C$4,$C$6,$C$5,$C$7,M$1,M$2,$A122)</f>
        <v>552013.45000000007</v>
      </c>
      <c r="N122" s="31">
        <f ca="1">_xll.DBRW($C$1,$C$2,$C$3,$C$4,$C$6,$C$5,$C$7,N$1,N$2,$A122)</f>
        <v>664833.72</v>
      </c>
      <c r="O122" s="31">
        <f ca="1">_xll.DBRW($C$1,$C$2,$C$3,$C$4,$C$6,$C$5,$C$7,O$1,O$2,$A122)</f>
        <v>664833.72</v>
      </c>
      <c r="P122" s="31">
        <f ca="1">_xll.DBRW($C$1,$C$2,$C$3,$C$4,$C$6,$C$5,$C$7,P$1,P$2,$A122)</f>
        <v>664833.72</v>
      </c>
      <c r="Q122" s="31">
        <f ca="1">_xll.DBRW($C$1,$C$2,$C$3,$C$4,$C$6,$C$5,$C$7,Q$1,Q$2,$A122)</f>
        <v>664833.72</v>
      </c>
      <c r="R122" s="31">
        <f ca="1">_xll.DBRW($C$1,$C$2,$C$3,$C$4,$C$6,$C$5,$C$7,R$1,R$2,$A122)</f>
        <v>664833.72</v>
      </c>
      <c r="S122" s="31">
        <f ca="1">_xll.DBRW($C$1,$C$2,$C$3,$C$4,$C$6,$C$5,$C$7,S$1,S$2,$A122)</f>
        <v>664833.72</v>
      </c>
      <c r="T122" s="31">
        <f ca="1">_xll.DBRW($C$1,$C$2,$C$3,$C$4,$C$6,$C$5,$C$7,T$1,T$2,$A122)</f>
        <v>664833.72</v>
      </c>
      <c r="U122" s="31">
        <f ca="1">_xll.DBRW($C$1,$C$2,$C$3,$C$4,$C$6,$C$5,$C$7,U$1,U$2,$A122)</f>
        <v>664833.72</v>
      </c>
      <c r="V122" s="31">
        <f ca="1">_xll.DBRW($C$1,$C$2,$C$3,$C$4,$C$6,$C$5,$C$7,V$1,V$2,$A122)</f>
        <v>0</v>
      </c>
      <c r="W122" s="31">
        <f ca="1">_xll.DBRW($C$1,$C$2,$C$3,$C$4,$C$6,$C$5,$C$7,W$1,W$2,$A122)</f>
        <v>0</v>
      </c>
      <c r="X122" s="31">
        <f ca="1">_xll.DBRW($C$1,$C$2,$C$3,$C$4,$C$6,$C$5,$C$7,X$1,X$2,$A122)</f>
        <v>0</v>
      </c>
      <c r="Y122" s="31">
        <f ca="1">_xll.DBRW($C$1,$C$2,$C$3,$C$4,$C$6,$C$5,$C$7,Y$1,Y$2,$A122)</f>
        <v>0</v>
      </c>
      <c r="Z122" s="31">
        <f ca="1">_xll.DBRW($C$1,$C$2,$C$3,$C$4,$C$6,$C$5,$C$7,Z$1,Z$2,$A122)</f>
        <v>0</v>
      </c>
      <c r="AA122" s="31">
        <f ca="1">_xll.DBRW($C$1,$C$2,$C$3,$C$4,$C$6,$C$5,$C$7,AA$1,AA$2,$A122)</f>
        <v>0</v>
      </c>
      <c r="AB122" s="31">
        <f ca="1">_xll.DBRW($C$1,$C$2,$C$3,$C$4,$C$6,$C$5,$C$7,AB$1,AB$2,$A122)</f>
        <v>0</v>
      </c>
      <c r="AC122" s="31">
        <f ca="1">_xll.DBRW($C$1,$C$2,$C$3,$C$4,$C$6,$C$5,$C$7,AC$1,AC$2,$A122)</f>
        <v>0</v>
      </c>
      <c r="AD122" s="31">
        <f ca="1">_xll.DBRW($C$1,$C$2,$C$3,$C$4,$C$6,$C$5,$C$7,AD$1,AD$2,$A122)</f>
        <v>0</v>
      </c>
      <c r="AE122" s="31">
        <f ca="1">_xll.DBRW($C$1,$C$2,$C$3,$C$4,$C$6,$C$5,$C$7,AE$1,AE$2,$A122)</f>
        <v>0</v>
      </c>
      <c r="AF122" s="31">
        <f ca="1">_xll.DBRW($C$1,$C$2,$C$3,$C$4,$C$6,$C$5,$C$7,AF$1,AF$2,$A122)</f>
        <v>0</v>
      </c>
      <c r="AG122" s="31">
        <f ca="1">_xll.DBRW($C$1,$C$2,$C$3,$C$4,$C$6,$C$5,$C$7,AG$1,AG$2,$A122)</f>
        <v>0</v>
      </c>
      <c r="AH122" s="31">
        <f ca="1">_xll.DBRW($C$1,$C$2,$C$3,$C$4,$C$6,$C$5,$C$7,AH$1,AH$2,$A122)</f>
        <v>0</v>
      </c>
      <c r="AI122" s="31">
        <f ca="1">_xll.DBRW($C$1,$C$2,$C$3,$C$4,$C$6,$C$5,$C$7,AI$1,AI$2,$A122)</f>
        <v>0</v>
      </c>
      <c r="AJ122" s="31">
        <f ca="1">_xll.DBRW($C$1,$C$2,$C$3,$C$4,$C$6,$C$5,$C$7,AJ$1,AJ$2,$A122)</f>
        <v>0</v>
      </c>
      <c r="AK122" s="31">
        <f ca="1">_xll.DBRW($C$1,$C$2,$C$3,$C$4,$C$6,$C$5,$C$7,AK$1,AK$2,$A122)</f>
        <v>0</v>
      </c>
      <c r="AL122" s="31">
        <f ca="1">_xll.DBRW($C$1,$C$2,$C$3,$C$4,$C$6,$C$5,$C$7,AL$1,AL$2,$A122)</f>
        <v>0</v>
      </c>
      <c r="AM122" s="31">
        <f ca="1">_xll.DBRW($C$1,$C$2,$C$3,$C$4,$C$6,$C$5,$C$7,AM$1,AM$2,$A122)</f>
        <v>0</v>
      </c>
      <c r="AN122" s="31">
        <f ca="1">_xll.DBRW($C$1,$C$2,$C$3,$C$4,$C$6,$C$5,$C$7,AN$1,AN$2,$A122)</f>
        <v>0</v>
      </c>
      <c r="AO122" s="31">
        <f ca="1">_xll.DBRW($C$1,$C$2,$C$3,$C$4,$C$6,$C$5,$C$7,AO$1,AO$2,$A122)</f>
        <v>0</v>
      </c>
      <c r="AP122" s="31">
        <f ca="1">_xll.DBRW($C$1,$C$2,$C$3,$C$4,$C$6,$C$5,$C$7,AP$1,AP$2,$A122)</f>
        <v>0</v>
      </c>
      <c r="AQ122" s="31">
        <f ca="1">_xll.DBRW($C$1,$C$2,$C$3,$C$4,$C$6,$C$5,$C$7,AQ$1,AQ$2,$A122)</f>
        <v>0</v>
      </c>
      <c r="AR122" s="31">
        <f ca="1">_xll.DBRW($C$1,$C$2,$C$3,$C$4,$C$6,$C$5,$C$7,AR$1,AR$2,$A122)</f>
        <v>0</v>
      </c>
      <c r="AS122" s="31">
        <f ca="1">_xll.DBRW($C$1,$C$2,$C$3,$C$4,$C$6,$C$5,$C$7,AS$1,AS$2,$A122)</f>
        <v>0</v>
      </c>
      <c r="AT122" s="31">
        <f ca="1">_xll.DBRW($C$1,$C$2,$C$3,$C$4,$C$6,$C$5,$C$7,AT$1,AT$2,$A122)</f>
        <v>0</v>
      </c>
      <c r="AU122" s="31">
        <f ca="1">_xll.DBRW($C$1,$C$2,$C$3,$C$4,$C$6,$C$5,$C$7,AU$1,AU$2,$A122)</f>
        <v>0</v>
      </c>
    </row>
    <row r="123" spans="1:47" ht="15.75" hidden="1" customHeight="1" outlineLevel="1">
      <c r="A123" s="1" t="s">
        <v>204</v>
      </c>
      <c r="C123" s="141"/>
      <c r="E123" s="9" t="str">
        <f ca="1">_xll.DBRW(Server&amp;"}ElementAttributes_Indicator",A123,"code_English")</f>
        <v>PL1115_CD_99 - Others (CD)</v>
      </c>
      <c r="F123" s="31">
        <f ca="1">_xll.DBRW($C$1,$C$2,$C$3,$C$4,$C$6,$C$5,$C$7,F$1,F$2,$A123)</f>
        <v>-1510649.6599999997</v>
      </c>
      <c r="G123" s="31">
        <f ca="1">_xll.DBRW($C$1,$C$2,$C$3,$C$4,$C$6,$C$5,$C$7,G$1,G$2,$A123)</f>
        <v>-1279287.93</v>
      </c>
      <c r="H123" s="31">
        <f ca="1">_xll.DBRW($C$1,$C$2,$C$3,$C$4,$C$6,$C$5,$C$7,H$1,H$2,$A123)</f>
        <v>-376646.04000000027</v>
      </c>
      <c r="I123" s="31">
        <f ca="1">_xll.DBRW($C$1,$C$2,$C$3,$C$4,$C$6,$C$5,$C$7,I$1,I$2,$A123)</f>
        <v>-59885.780000000035</v>
      </c>
      <c r="J123" s="31">
        <f ca="1">_xll.DBRW($C$1,$C$2,$C$3,$C$4,$C$6,$C$5,$C$7,J$1,J$2,$A123)</f>
        <v>-136219.40000000005</v>
      </c>
      <c r="K123" s="31">
        <f ca="1">_xll.DBRW($C$1,$C$2,$C$3,$C$4,$C$6,$C$5,$C$7,K$1,K$2,$A123)</f>
        <v>-208470.96999999991</v>
      </c>
      <c r="L123" s="31">
        <f ca="1">_xll.DBRW($C$1,$C$2,$C$3,$C$4,$C$6,$C$5,$C$7,L$1,L$2,$A123)</f>
        <v>-247390.61999999985</v>
      </c>
      <c r="M123" s="31">
        <f ca="1">_xll.DBRW($C$1,$C$2,$C$3,$C$4,$C$6,$C$5,$C$7,M$1,M$2,$A123)</f>
        <v>-471657.66999999987</v>
      </c>
      <c r="N123" s="31">
        <f ca="1">_xll.DBRW($C$1,$C$2,$C$3,$C$4,$C$6,$C$5,$C$7,N$1,N$2,$A123)</f>
        <v>-601631.47</v>
      </c>
      <c r="O123" s="31">
        <f ca="1">_xll.DBRW($C$1,$C$2,$C$3,$C$4,$C$6,$C$5,$C$7,O$1,O$2,$A123)</f>
        <v>-601631.47</v>
      </c>
      <c r="P123" s="31">
        <f ca="1">_xll.DBRW($C$1,$C$2,$C$3,$C$4,$C$6,$C$5,$C$7,P$1,P$2,$A123)</f>
        <v>-601631.47</v>
      </c>
      <c r="Q123" s="31">
        <f ca="1">_xll.DBRW($C$1,$C$2,$C$3,$C$4,$C$6,$C$5,$C$7,Q$1,Q$2,$A123)</f>
        <v>-601631.47</v>
      </c>
      <c r="R123" s="31">
        <f ca="1">_xll.DBRW($C$1,$C$2,$C$3,$C$4,$C$6,$C$5,$C$7,R$1,R$2,$A123)</f>
        <v>-601631.47</v>
      </c>
      <c r="S123" s="31">
        <f ca="1">_xll.DBRW($C$1,$C$2,$C$3,$C$4,$C$6,$C$5,$C$7,S$1,S$2,$A123)</f>
        <v>-601631.47</v>
      </c>
      <c r="T123" s="31">
        <f ca="1">_xll.DBRW($C$1,$C$2,$C$3,$C$4,$C$6,$C$5,$C$7,T$1,T$2,$A123)</f>
        <v>-601631.47</v>
      </c>
      <c r="U123" s="31">
        <f ca="1">_xll.DBRW($C$1,$C$2,$C$3,$C$4,$C$6,$C$5,$C$7,U$1,U$2,$A123)</f>
        <v>-601631.47</v>
      </c>
      <c r="V123" s="31">
        <f ca="1">_xll.DBRW($C$1,$C$2,$C$3,$C$4,$C$6,$C$5,$C$7,V$1,V$2,$A123)</f>
        <v>0</v>
      </c>
      <c r="W123" s="31">
        <f ca="1">_xll.DBRW($C$1,$C$2,$C$3,$C$4,$C$6,$C$5,$C$7,W$1,W$2,$A123)</f>
        <v>0</v>
      </c>
      <c r="X123" s="31">
        <f ca="1">_xll.DBRW($C$1,$C$2,$C$3,$C$4,$C$6,$C$5,$C$7,X$1,X$2,$A123)</f>
        <v>0</v>
      </c>
      <c r="Y123" s="31">
        <f ca="1">_xll.DBRW($C$1,$C$2,$C$3,$C$4,$C$6,$C$5,$C$7,Y$1,Y$2,$A123)</f>
        <v>0</v>
      </c>
      <c r="Z123" s="31">
        <f ca="1">_xll.DBRW($C$1,$C$2,$C$3,$C$4,$C$6,$C$5,$C$7,Z$1,Z$2,$A123)</f>
        <v>0</v>
      </c>
      <c r="AA123" s="31">
        <f ca="1">_xll.DBRW($C$1,$C$2,$C$3,$C$4,$C$6,$C$5,$C$7,AA$1,AA$2,$A123)</f>
        <v>0</v>
      </c>
      <c r="AB123" s="31">
        <f ca="1">_xll.DBRW($C$1,$C$2,$C$3,$C$4,$C$6,$C$5,$C$7,AB$1,AB$2,$A123)</f>
        <v>0</v>
      </c>
      <c r="AC123" s="31">
        <f ca="1">_xll.DBRW($C$1,$C$2,$C$3,$C$4,$C$6,$C$5,$C$7,AC$1,AC$2,$A123)</f>
        <v>0</v>
      </c>
      <c r="AD123" s="31">
        <f ca="1">_xll.DBRW($C$1,$C$2,$C$3,$C$4,$C$6,$C$5,$C$7,AD$1,AD$2,$A123)</f>
        <v>0</v>
      </c>
      <c r="AE123" s="31">
        <f ca="1">_xll.DBRW($C$1,$C$2,$C$3,$C$4,$C$6,$C$5,$C$7,AE$1,AE$2,$A123)</f>
        <v>0</v>
      </c>
      <c r="AF123" s="31">
        <f ca="1">_xll.DBRW($C$1,$C$2,$C$3,$C$4,$C$6,$C$5,$C$7,AF$1,AF$2,$A123)</f>
        <v>0</v>
      </c>
      <c r="AG123" s="31">
        <f ca="1">_xll.DBRW($C$1,$C$2,$C$3,$C$4,$C$6,$C$5,$C$7,AG$1,AG$2,$A123)</f>
        <v>0</v>
      </c>
      <c r="AH123" s="31">
        <f ca="1">_xll.DBRW($C$1,$C$2,$C$3,$C$4,$C$6,$C$5,$C$7,AH$1,AH$2,$A123)</f>
        <v>0</v>
      </c>
      <c r="AI123" s="31">
        <f ca="1">_xll.DBRW($C$1,$C$2,$C$3,$C$4,$C$6,$C$5,$C$7,AI$1,AI$2,$A123)</f>
        <v>0</v>
      </c>
      <c r="AJ123" s="31">
        <f ca="1">_xll.DBRW($C$1,$C$2,$C$3,$C$4,$C$6,$C$5,$C$7,AJ$1,AJ$2,$A123)</f>
        <v>0</v>
      </c>
      <c r="AK123" s="31">
        <f ca="1">_xll.DBRW($C$1,$C$2,$C$3,$C$4,$C$6,$C$5,$C$7,AK$1,AK$2,$A123)</f>
        <v>0</v>
      </c>
      <c r="AL123" s="31">
        <f ca="1">_xll.DBRW($C$1,$C$2,$C$3,$C$4,$C$6,$C$5,$C$7,AL$1,AL$2,$A123)</f>
        <v>0</v>
      </c>
      <c r="AM123" s="31">
        <f ca="1">_xll.DBRW($C$1,$C$2,$C$3,$C$4,$C$6,$C$5,$C$7,AM$1,AM$2,$A123)</f>
        <v>0</v>
      </c>
      <c r="AN123" s="31">
        <f ca="1">_xll.DBRW($C$1,$C$2,$C$3,$C$4,$C$6,$C$5,$C$7,AN$1,AN$2,$A123)</f>
        <v>0</v>
      </c>
      <c r="AO123" s="31">
        <f ca="1">_xll.DBRW($C$1,$C$2,$C$3,$C$4,$C$6,$C$5,$C$7,AO$1,AO$2,$A123)</f>
        <v>0</v>
      </c>
      <c r="AP123" s="31">
        <f ca="1">_xll.DBRW($C$1,$C$2,$C$3,$C$4,$C$6,$C$5,$C$7,AP$1,AP$2,$A123)</f>
        <v>0</v>
      </c>
      <c r="AQ123" s="31">
        <f ca="1">_xll.DBRW($C$1,$C$2,$C$3,$C$4,$C$6,$C$5,$C$7,AQ$1,AQ$2,$A123)</f>
        <v>0</v>
      </c>
      <c r="AR123" s="31">
        <f ca="1">_xll.DBRW($C$1,$C$2,$C$3,$C$4,$C$6,$C$5,$C$7,AR$1,AR$2,$A123)</f>
        <v>0</v>
      </c>
      <c r="AS123" s="31">
        <f ca="1">_xll.DBRW($C$1,$C$2,$C$3,$C$4,$C$6,$C$5,$C$7,AS$1,AS$2,$A123)</f>
        <v>0</v>
      </c>
      <c r="AT123" s="31">
        <f ca="1">_xll.DBRW($C$1,$C$2,$C$3,$C$4,$C$6,$C$5,$C$7,AT$1,AT$2,$A123)</f>
        <v>0</v>
      </c>
      <c r="AU123" s="31">
        <f ca="1">_xll.DBRW($C$1,$C$2,$C$3,$C$4,$C$6,$C$5,$C$7,AU$1,AU$2,$A123)</f>
        <v>0</v>
      </c>
    </row>
    <row r="124" spans="1:47" ht="15.75" hidden="1" customHeight="1" outlineLevel="1">
      <c r="A124" s="1" t="s">
        <v>205</v>
      </c>
      <c r="C124" s="141"/>
      <c r="E124" s="9" t="str">
        <f ca="1">_xll.DBRW(Server&amp;"}ElementAttributes_Indicator",A124,"code_English")</f>
        <v>PL1140_CD_10 - Amortization (CD)</v>
      </c>
      <c r="F124" s="31">
        <f ca="1">_xll.DBRW($C$1,$C$2,$C$3,$C$4,$C$6,$C$5,$C$7,F$1,F$2,$A124)</f>
        <v>0</v>
      </c>
      <c r="G124" s="31">
        <f ca="1">_xll.DBRW($C$1,$C$2,$C$3,$C$4,$C$6,$C$5,$C$7,G$1,G$2,$A124)</f>
        <v>0</v>
      </c>
      <c r="H124" s="31">
        <f ca="1">_xll.DBRW($C$1,$C$2,$C$3,$C$4,$C$6,$C$5,$C$7,H$1,H$2,$A124)</f>
        <v>0</v>
      </c>
      <c r="I124" s="31">
        <f ca="1">_xll.DBRW($C$1,$C$2,$C$3,$C$4,$C$6,$C$5,$C$7,I$1,I$2,$A124)</f>
        <v>0</v>
      </c>
      <c r="J124" s="31">
        <f ca="1">_xll.DBRW($C$1,$C$2,$C$3,$C$4,$C$6,$C$5,$C$7,J$1,J$2,$A124)</f>
        <v>0</v>
      </c>
      <c r="K124" s="31">
        <f ca="1">_xll.DBRW($C$1,$C$2,$C$3,$C$4,$C$6,$C$5,$C$7,K$1,K$2,$A124)</f>
        <v>0</v>
      </c>
      <c r="L124" s="31">
        <f ca="1">_xll.DBRW($C$1,$C$2,$C$3,$C$4,$C$6,$C$5,$C$7,L$1,L$2,$A124)</f>
        <v>0</v>
      </c>
      <c r="M124" s="31">
        <f ca="1">_xll.DBRW($C$1,$C$2,$C$3,$C$4,$C$6,$C$5,$C$7,M$1,M$2,$A124)</f>
        <v>0</v>
      </c>
      <c r="N124" s="31">
        <f ca="1">_xll.DBRW($C$1,$C$2,$C$3,$C$4,$C$6,$C$5,$C$7,N$1,N$2,$A124)</f>
        <v>0</v>
      </c>
      <c r="O124" s="31">
        <f ca="1">_xll.DBRW($C$1,$C$2,$C$3,$C$4,$C$6,$C$5,$C$7,O$1,O$2,$A124)</f>
        <v>0</v>
      </c>
      <c r="P124" s="31">
        <f ca="1">_xll.DBRW($C$1,$C$2,$C$3,$C$4,$C$6,$C$5,$C$7,P$1,P$2,$A124)</f>
        <v>0</v>
      </c>
      <c r="Q124" s="31">
        <f ca="1">_xll.DBRW($C$1,$C$2,$C$3,$C$4,$C$6,$C$5,$C$7,Q$1,Q$2,$A124)</f>
        <v>0</v>
      </c>
      <c r="R124" s="31">
        <f ca="1">_xll.DBRW($C$1,$C$2,$C$3,$C$4,$C$6,$C$5,$C$7,R$1,R$2,$A124)</f>
        <v>0</v>
      </c>
      <c r="S124" s="31">
        <f ca="1">_xll.DBRW($C$1,$C$2,$C$3,$C$4,$C$6,$C$5,$C$7,S$1,S$2,$A124)</f>
        <v>0</v>
      </c>
      <c r="T124" s="31">
        <f ca="1">_xll.DBRW($C$1,$C$2,$C$3,$C$4,$C$6,$C$5,$C$7,T$1,T$2,$A124)</f>
        <v>0</v>
      </c>
      <c r="U124" s="31">
        <f ca="1">_xll.DBRW($C$1,$C$2,$C$3,$C$4,$C$6,$C$5,$C$7,U$1,U$2,$A124)</f>
        <v>0</v>
      </c>
      <c r="V124" s="31">
        <f ca="1">_xll.DBRW($C$1,$C$2,$C$3,$C$4,$C$6,$C$5,$C$7,V$1,V$2,$A124)</f>
        <v>0</v>
      </c>
      <c r="W124" s="31">
        <f ca="1">_xll.DBRW($C$1,$C$2,$C$3,$C$4,$C$6,$C$5,$C$7,W$1,W$2,$A124)</f>
        <v>0</v>
      </c>
      <c r="X124" s="31">
        <f ca="1">_xll.DBRW($C$1,$C$2,$C$3,$C$4,$C$6,$C$5,$C$7,X$1,X$2,$A124)</f>
        <v>0</v>
      </c>
      <c r="Y124" s="31">
        <f ca="1">_xll.DBRW($C$1,$C$2,$C$3,$C$4,$C$6,$C$5,$C$7,Y$1,Y$2,$A124)</f>
        <v>0</v>
      </c>
      <c r="Z124" s="31">
        <f ca="1">_xll.DBRW($C$1,$C$2,$C$3,$C$4,$C$6,$C$5,$C$7,Z$1,Z$2,$A124)</f>
        <v>0</v>
      </c>
      <c r="AA124" s="31">
        <f ca="1">_xll.DBRW($C$1,$C$2,$C$3,$C$4,$C$6,$C$5,$C$7,AA$1,AA$2,$A124)</f>
        <v>0</v>
      </c>
      <c r="AB124" s="31">
        <f ca="1">_xll.DBRW($C$1,$C$2,$C$3,$C$4,$C$6,$C$5,$C$7,AB$1,AB$2,$A124)</f>
        <v>0</v>
      </c>
      <c r="AC124" s="31">
        <f ca="1">_xll.DBRW($C$1,$C$2,$C$3,$C$4,$C$6,$C$5,$C$7,AC$1,AC$2,$A124)</f>
        <v>0</v>
      </c>
      <c r="AD124" s="31">
        <f ca="1">_xll.DBRW($C$1,$C$2,$C$3,$C$4,$C$6,$C$5,$C$7,AD$1,AD$2,$A124)</f>
        <v>0</v>
      </c>
      <c r="AE124" s="31">
        <f ca="1">_xll.DBRW($C$1,$C$2,$C$3,$C$4,$C$6,$C$5,$C$7,AE$1,AE$2,$A124)</f>
        <v>0</v>
      </c>
      <c r="AF124" s="31">
        <f ca="1">_xll.DBRW($C$1,$C$2,$C$3,$C$4,$C$6,$C$5,$C$7,AF$1,AF$2,$A124)</f>
        <v>0</v>
      </c>
      <c r="AG124" s="31">
        <f ca="1">_xll.DBRW($C$1,$C$2,$C$3,$C$4,$C$6,$C$5,$C$7,AG$1,AG$2,$A124)</f>
        <v>0</v>
      </c>
      <c r="AH124" s="31">
        <f ca="1">_xll.DBRW($C$1,$C$2,$C$3,$C$4,$C$6,$C$5,$C$7,AH$1,AH$2,$A124)</f>
        <v>0</v>
      </c>
      <c r="AI124" s="31">
        <f ca="1">_xll.DBRW($C$1,$C$2,$C$3,$C$4,$C$6,$C$5,$C$7,AI$1,AI$2,$A124)</f>
        <v>0</v>
      </c>
      <c r="AJ124" s="31">
        <f ca="1">_xll.DBRW($C$1,$C$2,$C$3,$C$4,$C$6,$C$5,$C$7,AJ$1,AJ$2,$A124)</f>
        <v>0</v>
      </c>
      <c r="AK124" s="31">
        <f ca="1">_xll.DBRW($C$1,$C$2,$C$3,$C$4,$C$6,$C$5,$C$7,AK$1,AK$2,$A124)</f>
        <v>0</v>
      </c>
      <c r="AL124" s="31">
        <f ca="1">_xll.DBRW($C$1,$C$2,$C$3,$C$4,$C$6,$C$5,$C$7,AL$1,AL$2,$A124)</f>
        <v>0</v>
      </c>
      <c r="AM124" s="31">
        <f ca="1">_xll.DBRW($C$1,$C$2,$C$3,$C$4,$C$6,$C$5,$C$7,AM$1,AM$2,$A124)</f>
        <v>0</v>
      </c>
      <c r="AN124" s="31">
        <f ca="1">_xll.DBRW($C$1,$C$2,$C$3,$C$4,$C$6,$C$5,$C$7,AN$1,AN$2,$A124)</f>
        <v>0</v>
      </c>
      <c r="AO124" s="31">
        <f ca="1">_xll.DBRW($C$1,$C$2,$C$3,$C$4,$C$6,$C$5,$C$7,AO$1,AO$2,$A124)</f>
        <v>0</v>
      </c>
      <c r="AP124" s="31">
        <f ca="1">_xll.DBRW($C$1,$C$2,$C$3,$C$4,$C$6,$C$5,$C$7,AP$1,AP$2,$A124)</f>
        <v>0</v>
      </c>
      <c r="AQ124" s="31">
        <f ca="1">_xll.DBRW($C$1,$C$2,$C$3,$C$4,$C$6,$C$5,$C$7,AQ$1,AQ$2,$A124)</f>
        <v>0</v>
      </c>
      <c r="AR124" s="31">
        <f ca="1">_xll.DBRW($C$1,$C$2,$C$3,$C$4,$C$6,$C$5,$C$7,AR$1,AR$2,$A124)</f>
        <v>0</v>
      </c>
      <c r="AS124" s="31">
        <f ca="1">_xll.DBRW($C$1,$C$2,$C$3,$C$4,$C$6,$C$5,$C$7,AS$1,AS$2,$A124)</f>
        <v>0</v>
      </c>
      <c r="AT124" s="31">
        <f ca="1">_xll.DBRW($C$1,$C$2,$C$3,$C$4,$C$6,$C$5,$C$7,AT$1,AT$2,$A124)</f>
        <v>0</v>
      </c>
      <c r="AU124" s="31">
        <f ca="1">_xll.DBRW($C$1,$C$2,$C$3,$C$4,$C$6,$C$5,$C$7,AU$1,AU$2,$A124)</f>
        <v>0</v>
      </c>
    </row>
    <row r="125" spans="1:47" ht="15.75" hidden="1" customHeight="1" outlineLevel="1">
      <c r="A125" s="1" t="s">
        <v>206</v>
      </c>
      <c r="C125" s="141"/>
      <c r="E125" s="9" t="str">
        <f ca="1">_xll.DBRW(Server&amp;"}ElementAttributes_Indicator",A125,"code_English")</f>
        <v>PL1150_CD_15 - Impairment (other than working capital) and provisions - related to worker compensations</v>
      </c>
      <c r="F125" s="31">
        <f ca="1">_xll.DBRW($C$1,$C$2,$C$3,$C$4,$C$6,$C$5,$C$7,F$1,F$2,$A125)</f>
        <v>0</v>
      </c>
      <c r="G125" s="31">
        <f ca="1">_xll.DBRW($C$1,$C$2,$C$3,$C$4,$C$6,$C$5,$C$7,G$1,G$2,$A125)</f>
        <v>0</v>
      </c>
      <c r="H125" s="31">
        <f ca="1">_xll.DBRW($C$1,$C$2,$C$3,$C$4,$C$6,$C$5,$C$7,H$1,H$2,$A125)</f>
        <v>0</v>
      </c>
      <c r="I125" s="31">
        <f ca="1">_xll.DBRW($C$1,$C$2,$C$3,$C$4,$C$6,$C$5,$C$7,I$1,I$2,$A125)</f>
        <v>0</v>
      </c>
      <c r="J125" s="31">
        <f ca="1">_xll.DBRW($C$1,$C$2,$C$3,$C$4,$C$6,$C$5,$C$7,J$1,J$2,$A125)</f>
        <v>0</v>
      </c>
      <c r="K125" s="31">
        <f ca="1">_xll.DBRW($C$1,$C$2,$C$3,$C$4,$C$6,$C$5,$C$7,K$1,K$2,$A125)</f>
        <v>0</v>
      </c>
      <c r="L125" s="31">
        <f ca="1">_xll.DBRW($C$1,$C$2,$C$3,$C$4,$C$6,$C$5,$C$7,L$1,L$2,$A125)</f>
        <v>0</v>
      </c>
      <c r="M125" s="31">
        <f ca="1">_xll.DBRW($C$1,$C$2,$C$3,$C$4,$C$6,$C$5,$C$7,M$1,M$2,$A125)</f>
        <v>0</v>
      </c>
      <c r="N125" s="31">
        <f ca="1">_xll.DBRW($C$1,$C$2,$C$3,$C$4,$C$6,$C$5,$C$7,N$1,N$2,$A125)</f>
        <v>0</v>
      </c>
      <c r="O125" s="31">
        <f ca="1">_xll.DBRW($C$1,$C$2,$C$3,$C$4,$C$6,$C$5,$C$7,O$1,O$2,$A125)</f>
        <v>0</v>
      </c>
      <c r="P125" s="31">
        <f ca="1">_xll.DBRW($C$1,$C$2,$C$3,$C$4,$C$6,$C$5,$C$7,P$1,P$2,$A125)</f>
        <v>0</v>
      </c>
      <c r="Q125" s="31">
        <f ca="1">_xll.DBRW($C$1,$C$2,$C$3,$C$4,$C$6,$C$5,$C$7,Q$1,Q$2,$A125)</f>
        <v>0</v>
      </c>
      <c r="R125" s="31">
        <f ca="1">_xll.DBRW($C$1,$C$2,$C$3,$C$4,$C$6,$C$5,$C$7,R$1,R$2,$A125)</f>
        <v>0</v>
      </c>
      <c r="S125" s="31">
        <f ca="1">_xll.DBRW($C$1,$C$2,$C$3,$C$4,$C$6,$C$5,$C$7,S$1,S$2,$A125)</f>
        <v>0</v>
      </c>
      <c r="T125" s="31">
        <f ca="1">_xll.DBRW($C$1,$C$2,$C$3,$C$4,$C$6,$C$5,$C$7,T$1,T$2,$A125)</f>
        <v>0</v>
      </c>
      <c r="U125" s="31">
        <f ca="1">_xll.DBRW($C$1,$C$2,$C$3,$C$4,$C$6,$C$5,$C$7,U$1,U$2,$A125)</f>
        <v>0</v>
      </c>
      <c r="V125" s="31">
        <f ca="1">_xll.DBRW($C$1,$C$2,$C$3,$C$4,$C$6,$C$5,$C$7,V$1,V$2,$A125)</f>
        <v>0</v>
      </c>
      <c r="W125" s="31">
        <f ca="1">_xll.DBRW($C$1,$C$2,$C$3,$C$4,$C$6,$C$5,$C$7,W$1,W$2,$A125)</f>
        <v>0</v>
      </c>
      <c r="X125" s="31">
        <f ca="1">_xll.DBRW($C$1,$C$2,$C$3,$C$4,$C$6,$C$5,$C$7,X$1,X$2,$A125)</f>
        <v>0</v>
      </c>
      <c r="Y125" s="31">
        <f ca="1">_xll.DBRW($C$1,$C$2,$C$3,$C$4,$C$6,$C$5,$C$7,Y$1,Y$2,$A125)</f>
        <v>0</v>
      </c>
      <c r="Z125" s="31">
        <f ca="1">_xll.DBRW($C$1,$C$2,$C$3,$C$4,$C$6,$C$5,$C$7,Z$1,Z$2,$A125)</f>
        <v>0</v>
      </c>
      <c r="AA125" s="31">
        <f ca="1">_xll.DBRW($C$1,$C$2,$C$3,$C$4,$C$6,$C$5,$C$7,AA$1,AA$2,$A125)</f>
        <v>0</v>
      </c>
      <c r="AB125" s="31">
        <f ca="1">_xll.DBRW($C$1,$C$2,$C$3,$C$4,$C$6,$C$5,$C$7,AB$1,AB$2,$A125)</f>
        <v>0</v>
      </c>
      <c r="AC125" s="31">
        <f ca="1">_xll.DBRW($C$1,$C$2,$C$3,$C$4,$C$6,$C$5,$C$7,AC$1,AC$2,$A125)</f>
        <v>0</v>
      </c>
      <c r="AD125" s="31">
        <f ca="1">_xll.DBRW($C$1,$C$2,$C$3,$C$4,$C$6,$C$5,$C$7,AD$1,AD$2,$A125)</f>
        <v>0</v>
      </c>
      <c r="AE125" s="31">
        <f ca="1">_xll.DBRW($C$1,$C$2,$C$3,$C$4,$C$6,$C$5,$C$7,AE$1,AE$2,$A125)</f>
        <v>0</v>
      </c>
      <c r="AF125" s="31">
        <f ca="1">_xll.DBRW($C$1,$C$2,$C$3,$C$4,$C$6,$C$5,$C$7,AF$1,AF$2,$A125)</f>
        <v>0</v>
      </c>
      <c r="AG125" s="31">
        <f ca="1">_xll.DBRW($C$1,$C$2,$C$3,$C$4,$C$6,$C$5,$C$7,AG$1,AG$2,$A125)</f>
        <v>0</v>
      </c>
      <c r="AH125" s="31">
        <f ca="1">_xll.DBRW($C$1,$C$2,$C$3,$C$4,$C$6,$C$5,$C$7,AH$1,AH$2,$A125)</f>
        <v>0</v>
      </c>
      <c r="AI125" s="31">
        <f ca="1">_xll.DBRW($C$1,$C$2,$C$3,$C$4,$C$6,$C$5,$C$7,AI$1,AI$2,$A125)</f>
        <v>0</v>
      </c>
      <c r="AJ125" s="31">
        <f ca="1">_xll.DBRW($C$1,$C$2,$C$3,$C$4,$C$6,$C$5,$C$7,AJ$1,AJ$2,$A125)</f>
        <v>0</v>
      </c>
      <c r="AK125" s="31">
        <f ca="1">_xll.DBRW($C$1,$C$2,$C$3,$C$4,$C$6,$C$5,$C$7,AK$1,AK$2,$A125)</f>
        <v>0</v>
      </c>
      <c r="AL125" s="31">
        <f ca="1">_xll.DBRW($C$1,$C$2,$C$3,$C$4,$C$6,$C$5,$C$7,AL$1,AL$2,$A125)</f>
        <v>0</v>
      </c>
      <c r="AM125" s="31">
        <f ca="1">_xll.DBRW($C$1,$C$2,$C$3,$C$4,$C$6,$C$5,$C$7,AM$1,AM$2,$A125)</f>
        <v>0</v>
      </c>
      <c r="AN125" s="31">
        <f ca="1">_xll.DBRW($C$1,$C$2,$C$3,$C$4,$C$6,$C$5,$C$7,AN$1,AN$2,$A125)</f>
        <v>0</v>
      </c>
      <c r="AO125" s="31">
        <f ca="1">_xll.DBRW($C$1,$C$2,$C$3,$C$4,$C$6,$C$5,$C$7,AO$1,AO$2,$A125)</f>
        <v>0</v>
      </c>
      <c r="AP125" s="31">
        <f ca="1">_xll.DBRW($C$1,$C$2,$C$3,$C$4,$C$6,$C$5,$C$7,AP$1,AP$2,$A125)</f>
        <v>0</v>
      </c>
      <c r="AQ125" s="31">
        <f ca="1">_xll.DBRW($C$1,$C$2,$C$3,$C$4,$C$6,$C$5,$C$7,AQ$1,AQ$2,$A125)</f>
        <v>0</v>
      </c>
      <c r="AR125" s="31">
        <f ca="1">_xll.DBRW($C$1,$C$2,$C$3,$C$4,$C$6,$C$5,$C$7,AR$1,AR$2,$A125)</f>
        <v>0</v>
      </c>
      <c r="AS125" s="31">
        <f ca="1">_xll.DBRW($C$1,$C$2,$C$3,$C$4,$C$6,$C$5,$C$7,AS$1,AS$2,$A125)</f>
        <v>0</v>
      </c>
      <c r="AT125" s="31">
        <f ca="1">_xll.DBRW($C$1,$C$2,$C$3,$C$4,$C$6,$C$5,$C$7,AT$1,AT$2,$A125)</f>
        <v>0</v>
      </c>
      <c r="AU125" s="31">
        <f ca="1">_xll.DBRW($C$1,$C$2,$C$3,$C$4,$C$6,$C$5,$C$7,AU$1,AU$2,$A125)</f>
        <v>0</v>
      </c>
    </row>
    <row r="126" spans="1:47" ht="15.75" hidden="1" customHeight="1" outlineLevel="1">
      <c r="A126" s="1" t="s">
        <v>207</v>
      </c>
      <c r="C126" s="141"/>
      <c r="E126" s="9" t="str">
        <f ca="1">_xll.DBRW(Server&amp;"}ElementAttributes_Indicator",A126,"code_English")</f>
        <v>PL1150_CD_25 - Impairment (other than working capital) and provisions - related to autoliability</v>
      </c>
      <c r="F126" s="31">
        <f ca="1">_xll.DBRW($C$1,$C$2,$C$3,$C$4,$C$6,$C$5,$C$7,F$1,F$2,$A126)</f>
        <v>0</v>
      </c>
      <c r="G126" s="31">
        <f ca="1">_xll.DBRW($C$1,$C$2,$C$3,$C$4,$C$6,$C$5,$C$7,G$1,G$2,$A126)</f>
        <v>0</v>
      </c>
      <c r="H126" s="31">
        <f ca="1">_xll.DBRW($C$1,$C$2,$C$3,$C$4,$C$6,$C$5,$C$7,H$1,H$2,$A126)</f>
        <v>0</v>
      </c>
      <c r="I126" s="31">
        <f ca="1">_xll.DBRW($C$1,$C$2,$C$3,$C$4,$C$6,$C$5,$C$7,I$1,I$2,$A126)</f>
        <v>0</v>
      </c>
      <c r="J126" s="31">
        <f ca="1">_xll.DBRW($C$1,$C$2,$C$3,$C$4,$C$6,$C$5,$C$7,J$1,J$2,$A126)</f>
        <v>0</v>
      </c>
      <c r="K126" s="31">
        <f ca="1">_xll.DBRW($C$1,$C$2,$C$3,$C$4,$C$6,$C$5,$C$7,K$1,K$2,$A126)</f>
        <v>0</v>
      </c>
      <c r="L126" s="31">
        <f ca="1">_xll.DBRW($C$1,$C$2,$C$3,$C$4,$C$6,$C$5,$C$7,L$1,L$2,$A126)</f>
        <v>0</v>
      </c>
      <c r="M126" s="31">
        <f ca="1">_xll.DBRW($C$1,$C$2,$C$3,$C$4,$C$6,$C$5,$C$7,M$1,M$2,$A126)</f>
        <v>0</v>
      </c>
      <c r="N126" s="31">
        <f ca="1">_xll.DBRW($C$1,$C$2,$C$3,$C$4,$C$6,$C$5,$C$7,N$1,N$2,$A126)</f>
        <v>0</v>
      </c>
      <c r="O126" s="31">
        <f ca="1">_xll.DBRW($C$1,$C$2,$C$3,$C$4,$C$6,$C$5,$C$7,O$1,O$2,$A126)</f>
        <v>0</v>
      </c>
      <c r="P126" s="31">
        <f ca="1">_xll.DBRW($C$1,$C$2,$C$3,$C$4,$C$6,$C$5,$C$7,P$1,P$2,$A126)</f>
        <v>0</v>
      </c>
      <c r="Q126" s="31">
        <f ca="1">_xll.DBRW($C$1,$C$2,$C$3,$C$4,$C$6,$C$5,$C$7,Q$1,Q$2,$A126)</f>
        <v>0</v>
      </c>
      <c r="R126" s="31">
        <f ca="1">_xll.DBRW($C$1,$C$2,$C$3,$C$4,$C$6,$C$5,$C$7,R$1,R$2,$A126)</f>
        <v>0</v>
      </c>
      <c r="S126" s="31">
        <f ca="1">_xll.DBRW($C$1,$C$2,$C$3,$C$4,$C$6,$C$5,$C$7,S$1,S$2,$A126)</f>
        <v>0</v>
      </c>
      <c r="T126" s="31">
        <f ca="1">_xll.DBRW($C$1,$C$2,$C$3,$C$4,$C$6,$C$5,$C$7,T$1,T$2,$A126)</f>
        <v>0</v>
      </c>
      <c r="U126" s="31">
        <f ca="1">_xll.DBRW($C$1,$C$2,$C$3,$C$4,$C$6,$C$5,$C$7,U$1,U$2,$A126)</f>
        <v>0</v>
      </c>
      <c r="V126" s="31">
        <f ca="1">_xll.DBRW($C$1,$C$2,$C$3,$C$4,$C$6,$C$5,$C$7,V$1,V$2,$A126)</f>
        <v>0</v>
      </c>
      <c r="W126" s="31">
        <f ca="1">_xll.DBRW($C$1,$C$2,$C$3,$C$4,$C$6,$C$5,$C$7,W$1,W$2,$A126)</f>
        <v>0</v>
      </c>
      <c r="X126" s="31">
        <f ca="1">_xll.DBRW($C$1,$C$2,$C$3,$C$4,$C$6,$C$5,$C$7,X$1,X$2,$A126)</f>
        <v>0</v>
      </c>
      <c r="Y126" s="31">
        <f ca="1">_xll.DBRW($C$1,$C$2,$C$3,$C$4,$C$6,$C$5,$C$7,Y$1,Y$2,$A126)</f>
        <v>0</v>
      </c>
      <c r="Z126" s="31">
        <f ca="1">_xll.DBRW($C$1,$C$2,$C$3,$C$4,$C$6,$C$5,$C$7,Z$1,Z$2,$A126)</f>
        <v>0</v>
      </c>
      <c r="AA126" s="31">
        <f ca="1">_xll.DBRW($C$1,$C$2,$C$3,$C$4,$C$6,$C$5,$C$7,AA$1,AA$2,$A126)</f>
        <v>0</v>
      </c>
      <c r="AB126" s="31">
        <f ca="1">_xll.DBRW($C$1,$C$2,$C$3,$C$4,$C$6,$C$5,$C$7,AB$1,AB$2,$A126)</f>
        <v>0</v>
      </c>
      <c r="AC126" s="31">
        <f ca="1">_xll.DBRW($C$1,$C$2,$C$3,$C$4,$C$6,$C$5,$C$7,AC$1,AC$2,$A126)</f>
        <v>0</v>
      </c>
      <c r="AD126" s="31">
        <f ca="1">_xll.DBRW($C$1,$C$2,$C$3,$C$4,$C$6,$C$5,$C$7,AD$1,AD$2,$A126)</f>
        <v>0</v>
      </c>
      <c r="AE126" s="31">
        <f ca="1">_xll.DBRW($C$1,$C$2,$C$3,$C$4,$C$6,$C$5,$C$7,AE$1,AE$2,$A126)</f>
        <v>0</v>
      </c>
      <c r="AF126" s="31">
        <f ca="1">_xll.DBRW($C$1,$C$2,$C$3,$C$4,$C$6,$C$5,$C$7,AF$1,AF$2,$A126)</f>
        <v>0</v>
      </c>
      <c r="AG126" s="31">
        <f ca="1">_xll.DBRW($C$1,$C$2,$C$3,$C$4,$C$6,$C$5,$C$7,AG$1,AG$2,$A126)</f>
        <v>0</v>
      </c>
      <c r="AH126" s="31">
        <f ca="1">_xll.DBRW($C$1,$C$2,$C$3,$C$4,$C$6,$C$5,$C$7,AH$1,AH$2,$A126)</f>
        <v>0</v>
      </c>
      <c r="AI126" s="31">
        <f ca="1">_xll.DBRW($C$1,$C$2,$C$3,$C$4,$C$6,$C$5,$C$7,AI$1,AI$2,$A126)</f>
        <v>0</v>
      </c>
      <c r="AJ126" s="31">
        <f ca="1">_xll.DBRW($C$1,$C$2,$C$3,$C$4,$C$6,$C$5,$C$7,AJ$1,AJ$2,$A126)</f>
        <v>0</v>
      </c>
      <c r="AK126" s="31">
        <f ca="1">_xll.DBRW($C$1,$C$2,$C$3,$C$4,$C$6,$C$5,$C$7,AK$1,AK$2,$A126)</f>
        <v>0</v>
      </c>
      <c r="AL126" s="31">
        <f ca="1">_xll.DBRW($C$1,$C$2,$C$3,$C$4,$C$6,$C$5,$C$7,AL$1,AL$2,$A126)</f>
        <v>0</v>
      </c>
      <c r="AM126" s="31">
        <f ca="1">_xll.DBRW($C$1,$C$2,$C$3,$C$4,$C$6,$C$5,$C$7,AM$1,AM$2,$A126)</f>
        <v>0</v>
      </c>
      <c r="AN126" s="31">
        <f ca="1">_xll.DBRW($C$1,$C$2,$C$3,$C$4,$C$6,$C$5,$C$7,AN$1,AN$2,$A126)</f>
        <v>0</v>
      </c>
      <c r="AO126" s="31">
        <f ca="1">_xll.DBRW($C$1,$C$2,$C$3,$C$4,$C$6,$C$5,$C$7,AO$1,AO$2,$A126)</f>
        <v>0</v>
      </c>
      <c r="AP126" s="31">
        <f ca="1">_xll.DBRW($C$1,$C$2,$C$3,$C$4,$C$6,$C$5,$C$7,AP$1,AP$2,$A126)</f>
        <v>0</v>
      </c>
      <c r="AQ126" s="31">
        <f ca="1">_xll.DBRW($C$1,$C$2,$C$3,$C$4,$C$6,$C$5,$C$7,AQ$1,AQ$2,$A126)</f>
        <v>0</v>
      </c>
      <c r="AR126" s="31">
        <f ca="1">_xll.DBRW($C$1,$C$2,$C$3,$C$4,$C$6,$C$5,$C$7,AR$1,AR$2,$A126)</f>
        <v>0</v>
      </c>
      <c r="AS126" s="31">
        <f ca="1">_xll.DBRW($C$1,$C$2,$C$3,$C$4,$C$6,$C$5,$C$7,AS$1,AS$2,$A126)</f>
        <v>0</v>
      </c>
      <c r="AT126" s="31">
        <f ca="1">_xll.DBRW($C$1,$C$2,$C$3,$C$4,$C$6,$C$5,$C$7,AT$1,AT$2,$A126)</f>
        <v>0</v>
      </c>
      <c r="AU126" s="31">
        <f ca="1">_xll.DBRW($C$1,$C$2,$C$3,$C$4,$C$6,$C$5,$C$7,AU$1,AU$2,$A126)</f>
        <v>0</v>
      </c>
    </row>
    <row r="127" spans="1:47" ht="15.75" hidden="1" customHeight="1" outlineLevel="1">
      <c r="A127" s="1" t="s">
        <v>208</v>
      </c>
      <c r="C127" s="141"/>
      <c r="E127" s="9" t="str">
        <f ca="1">_xll.DBRW(Server&amp;"}ElementAttributes_Indicator",A127,"code_English")</f>
        <v>PL1150_CD_90 - Impairment (other than working capital) and provisions - others (CD)</v>
      </c>
      <c r="F127" s="31">
        <f ca="1">_xll.DBRW($C$1,$C$2,$C$3,$C$4,$C$6,$C$5,$C$7,F$1,F$2,$A127)</f>
        <v>0</v>
      </c>
      <c r="G127" s="31">
        <f ca="1">_xll.DBRW($C$1,$C$2,$C$3,$C$4,$C$6,$C$5,$C$7,G$1,G$2,$A127)</f>
        <v>0</v>
      </c>
      <c r="H127" s="31">
        <f ca="1">_xll.DBRW($C$1,$C$2,$C$3,$C$4,$C$6,$C$5,$C$7,H$1,H$2,$A127)</f>
        <v>0</v>
      </c>
      <c r="I127" s="31">
        <f ca="1">_xll.DBRW($C$1,$C$2,$C$3,$C$4,$C$6,$C$5,$C$7,I$1,I$2,$A127)</f>
        <v>0</v>
      </c>
      <c r="J127" s="31">
        <f ca="1">_xll.DBRW($C$1,$C$2,$C$3,$C$4,$C$6,$C$5,$C$7,J$1,J$2,$A127)</f>
        <v>0</v>
      </c>
      <c r="K127" s="31">
        <f ca="1">_xll.DBRW($C$1,$C$2,$C$3,$C$4,$C$6,$C$5,$C$7,K$1,K$2,$A127)</f>
        <v>0</v>
      </c>
      <c r="L127" s="31">
        <f ca="1">_xll.DBRW($C$1,$C$2,$C$3,$C$4,$C$6,$C$5,$C$7,L$1,L$2,$A127)</f>
        <v>0</v>
      </c>
      <c r="M127" s="31">
        <f ca="1">_xll.DBRW($C$1,$C$2,$C$3,$C$4,$C$6,$C$5,$C$7,M$1,M$2,$A127)</f>
        <v>0</v>
      </c>
      <c r="N127" s="31">
        <f ca="1">_xll.DBRW($C$1,$C$2,$C$3,$C$4,$C$6,$C$5,$C$7,N$1,N$2,$A127)</f>
        <v>0</v>
      </c>
      <c r="O127" s="31">
        <f ca="1">_xll.DBRW($C$1,$C$2,$C$3,$C$4,$C$6,$C$5,$C$7,O$1,O$2,$A127)</f>
        <v>0</v>
      </c>
      <c r="P127" s="31">
        <f ca="1">_xll.DBRW($C$1,$C$2,$C$3,$C$4,$C$6,$C$5,$C$7,P$1,P$2,$A127)</f>
        <v>0</v>
      </c>
      <c r="Q127" s="31">
        <f ca="1">_xll.DBRW($C$1,$C$2,$C$3,$C$4,$C$6,$C$5,$C$7,Q$1,Q$2,$A127)</f>
        <v>0</v>
      </c>
      <c r="R127" s="31">
        <f ca="1">_xll.DBRW($C$1,$C$2,$C$3,$C$4,$C$6,$C$5,$C$7,R$1,R$2,$A127)</f>
        <v>0</v>
      </c>
      <c r="S127" s="31">
        <f ca="1">_xll.DBRW($C$1,$C$2,$C$3,$C$4,$C$6,$C$5,$C$7,S$1,S$2,$A127)</f>
        <v>0</v>
      </c>
      <c r="T127" s="31">
        <f ca="1">_xll.DBRW($C$1,$C$2,$C$3,$C$4,$C$6,$C$5,$C$7,T$1,T$2,$A127)</f>
        <v>0</v>
      </c>
      <c r="U127" s="31">
        <f ca="1">_xll.DBRW($C$1,$C$2,$C$3,$C$4,$C$6,$C$5,$C$7,U$1,U$2,$A127)</f>
        <v>0</v>
      </c>
      <c r="V127" s="31">
        <f ca="1">_xll.DBRW($C$1,$C$2,$C$3,$C$4,$C$6,$C$5,$C$7,V$1,V$2,$A127)</f>
        <v>0</v>
      </c>
      <c r="W127" s="31">
        <f ca="1">_xll.DBRW($C$1,$C$2,$C$3,$C$4,$C$6,$C$5,$C$7,W$1,W$2,$A127)</f>
        <v>0</v>
      </c>
      <c r="X127" s="31">
        <f ca="1">_xll.DBRW($C$1,$C$2,$C$3,$C$4,$C$6,$C$5,$C$7,X$1,X$2,$A127)</f>
        <v>0</v>
      </c>
      <c r="Y127" s="31">
        <f ca="1">_xll.DBRW($C$1,$C$2,$C$3,$C$4,$C$6,$C$5,$C$7,Y$1,Y$2,$A127)</f>
        <v>0</v>
      </c>
      <c r="Z127" s="31">
        <f ca="1">_xll.DBRW($C$1,$C$2,$C$3,$C$4,$C$6,$C$5,$C$7,Z$1,Z$2,$A127)</f>
        <v>0</v>
      </c>
      <c r="AA127" s="31">
        <f ca="1">_xll.DBRW($C$1,$C$2,$C$3,$C$4,$C$6,$C$5,$C$7,AA$1,AA$2,$A127)</f>
        <v>0</v>
      </c>
      <c r="AB127" s="31">
        <f ca="1">_xll.DBRW($C$1,$C$2,$C$3,$C$4,$C$6,$C$5,$C$7,AB$1,AB$2,$A127)</f>
        <v>0</v>
      </c>
      <c r="AC127" s="31">
        <f ca="1">_xll.DBRW($C$1,$C$2,$C$3,$C$4,$C$6,$C$5,$C$7,AC$1,AC$2,$A127)</f>
        <v>0</v>
      </c>
      <c r="AD127" s="31">
        <f ca="1">_xll.DBRW($C$1,$C$2,$C$3,$C$4,$C$6,$C$5,$C$7,AD$1,AD$2,$A127)</f>
        <v>0</v>
      </c>
      <c r="AE127" s="31">
        <f ca="1">_xll.DBRW($C$1,$C$2,$C$3,$C$4,$C$6,$C$5,$C$7,AE$1,AE$2,$A127)</f>
        <v>0</v>
      </c>
      <c r="AF127" s="31">
        <f ca="1">_xll.DBRW($C$1,$C$2,$C$3,$C$4,$C$6,$C$5,$C$7,AF$1,AF$2,$A127)</f>
        <v>0</v>
      </c>
      <c r="AG127" s="31">
        <f ca="1">_xll.DBRW($C$1,$C$2,$C$3,$C$4,$C$6,$C$5,$C$7,AG$1,AG$2,$A127)</f>
        <v>0</v>
      </c>
      <c r="AH127" s="31">
        <f ca="1">_xll.DBRW($C$1,$C$2,$C$3,$C$4,$C$6,$C$5,$C$7,AH$1,AH$2,$A127)</f>
        <v>0</v>
      </c>
      <c r="AI127" s="31">
        <f ca="1">_xll.DBRW($C$1,$C$2,$C$3,$C$4,$C$6,$C$5,$C$7,AI$1,AI$2,$A127)</f>
        <v>0</v>
      </c>
      <c r="AJ127" s="31">
        <f ca="1">_xll.DBRW($C$1,$C$2,$C$3,$C$4,$C$6,$C$5,$C$7,AJ$1,AJ$2,$A127)</f>
        <v>0</v>
      </c>
      <c r="AK127" s="31">
        <f ca="1">_xll.DBRW($C$1,$C$2,$C$3,$C$4,$C$6,$C$5,$C$7,AK$1,AK$2,$A127)</f>
        <v>0</v>
      </c>
      <c r="AL127" s="31">
        <f ca="1">_xll.DBRW($C$1,$C$2,$C$3,$C$4,$C$6,$C$5,$C$7,AL$1,AL$2,$A127)</f>
        <v>0</v>
      </c>
      <c r="AM127" s="31">
        <f ca="1">_xll.DBRW($C$1,$C$2,$C$3,$C$4,$C$6,$C$5,$C$7,AM$1,AM$2,$A127)</f>
        <v>0</v>
      </c>
      <c r="AN127" s="31">
        <f ca="1">_xll.DBRW($C$1,$C$2,$C$3,$C$4,$C$6,$C$5,$C$7,AN$1,AN$2,$A127)</f>
        <v>0</v>
      </c>
      <c r="AO127" s="31">
        <f ca="1">_xll.DBRW($C$1,$C$2,$C$3,$C$4,$C$6,$C$5,$C$7,AO$1,AO$2,$A127)</f>
        <v>0</v>
      </c>
      <c r="AP127" s="31">
        <f ca="1">_xll.DBRW($C$1,$C$2,$C$3,$C$4,$C$6,$C$5,$C$7,AP$1,AP$2,$A127)</f>
        <v>0</v>
      </c>
      <c r="AQ127" s="31">
        <f ca="1">_xll.DBRW($C$1,$C$2,$C$3,$C$4,$C$6,$C$5,$C$7,AQ$1,AQ$2,$A127)</f>
        <v>0</v>
      </c>
      <c r="AR127" s="31">
        <f ca="1">_xll.DBRW($C$1,$C$2,$C$3,$C$4,$C$6,$C$5,$C$7,AR$1,AR$2,$A127)</f>
        <v>0</v>
      </c>
      <c r="AS127" s="31">
        <f ca="1">_xll.DBRW($C$1,$C$2,$C$3,$C$4,$C$6,$C$5,$C$7,AS$1,AS$2,$A127)</f>
        <v>0</v>
      </c>
      <c r="AT127" s="31">
        <f ca="1">_xll.DBRW($C$1,$C$2,$C$3,$C$4,$C$6,$C$5,$C$7,AT$1,AT$2,$A127)</f>
        <v>0</v>
      </c>
      <c r="AU127" s="31">
        <f ca="1">_xll.DBRW($C$1,$C$2,$C$3,$C$4,$C$6,$C$5,$C$7,AU$1,AU$2,$A127)</f>
        <v>0</v>
      </c>
    </row>
    <row r="128" spans="1:47" ht="15.75" hidden="1" outlineLevel="1" collapsed="1">
      <c r="A128" s="1" t="s">
        <v>127</v>
      </c>
      <c r="C128" s="141"/>
      <c r="E128" s="14" t="s">
        <v>36</v>
      </c>
      <c r="F128" s="32">
        <f t="shared" ref="F128:T128" ca="1" si="69">SUM(F115:F127)</f>
        <v>-10590489.580000002</v>
      </c>
      <c r="G128" s="32">
        <f t="shared" ca="1" si="69"/>
        <v>-9625838.3399999999</v>
      </c>
      <c r="H128" s="32">
        <f t="shared" ca="1" si="69"/>
        <v>-8582580.4800000023</v>
      </c>
      <c r="I128" s="32">
        <f t="shared" ca="1" si="69"/>
        <v>-310677.96000000008</v>
      </c>
      <c r="J128" s="32">
        <f t="shared" ca="1" si="69"/>
        <v>-849360.4800000001</v>
      </c>
      <c r="K128" s="32">
        <f t="shared" ca="1" si="69"/>
        <v>-2192415.0599999996</v>
      </c>
      <c r="L128" s="32">
        <f t="shared" ca="1" si="69"/>
        <v>-2701215.39</v>
      </c>
      <c r="M128" s="32">
        <f t="shared" ca="1" si="69"/>
        <v>-3670063.84</v>
      </c>
      <c r="N128" s="32">
        <f t="shared" ca="1" si="69"/>
        <v>-4652129.3600000003</v>
      </c>
      <c r="O128" s="32">
        <f t="shared" ca="1" si="69"/>
        <v>-4652129.3600000003</v>
      </c>
      <c r="P128" s="32">
        <f t="shared" ca="1" si="69"/>
        <v>-4652129.3600000003</v>
      </c>
      <c r="Q128" s="32">
        <f t="shared" ca="1" si="69"/>
        <v>-4652129.3600000003</v>
      </c>
      <c r="R128" s="32">
        <f t="shared" ca="1" si="69"/>
        <v>-4652129.3600000003</v>
      </c>
      <c r="S128" s="32">
        <f t="shared" ca="1" si="69"/>
        <v>-4652129.3600000003</v>
      </c>
      <c r="T128" s="32">
        <f t="shared" ca="1" si="69"/>
        <v>-4652129.3600000003</v>
      </c>
      <c r="U128" s="32">
        <f ca="1">SUM(U115:U127)</f>
        <v>-4652129.3600000003</v>
      </c>
      <c r="V128" s="32">
        <f t="shared" ref="V128:AG128" ca="1" si="70">SUM(V115:V127)</f>
        <v>0</v>
      </c>
      <c r="W128" s="32">
        <f t="shared" ca="1" si="70"/>
        <v>0</v>
      </c>
      <c r="X128" s="32">
        <f t="shared" ca="1" si="70"/>
        <v>0</v>
      </c>
      <c r="Y128" s="32">
        <f t="shared" ca="1" si="70"/>
        <v>0</v>
      </c>
      <c r="Z128" s="32">
        <f t="shared" ca="1" si="70"/>
        <v>0</v>
      </c>
      <c r="AA128" s="32">
        <f t="shared" ca="1" si="70"/>
        <v>0</v>
      </c>
      <c r="AB128" s="32">
        <f t="shared" ca="1" si="70"/>
        <v>0</v>
      </c>
      <c r="AC128" s="32">
        <f t="shared" ca="1" si="70"/>
        <v>0</v>
      </c>
      <c r="AD128" s="32">
        <f t="shared" ca="1" si="70"/>
        <v>0</v>
      </c>
      <c r="AE128" s="32">
        <f t="shared" ca="1" si="70"/>
        <v>0</v>
      </c>
      <c r="AF128" s="32">
        <f t="shared" ca="1" si="70"/>
        <v>0</v>
      </c>
      <c r="AG128" s="32">
        <f t="shared" ca="1" si="70"/>
        <v>0</v>
      </c>
      <c r="AH128" s="32">
        <f ca="1">SUM(AH115:AH127)</f>
        <v>0</v>
      </c>
      <c r="AI128" s="32">
        <f t="shared" ref="AI128:AT128" ca="1" si="71">SUM(AI115:AI127)</f>
        <v>0</v>
      </c>
      <c r="AJ128" s="32">
        <f t="shared" ca="1" si="71"/>
        <v>0</v>
      </c>
      <c r="AK128" s="32">
        <f t="shared" ca="1" si="71"/>
        <v>0</v>
      </c>
      <c r="AL128" s="32">
        <f t="shared" ca="1" si="71"/>
        <v>0</v>
      </c>
      <c r="AM128" s="32">
        <f t="shared" ca="1" si="71"/>
        <v>0</v>
      </c>
      <c r="AN128" s="32">
        <f t="shared" ca="1" si="71"/>
        <v>0</v>
      </c>
      <c r="AO128" s="32">
        <f t="shared" ca="1" si="71"/>
        <v>0</v>
      </c>
      <c r="AP128" s="32">
        <f t="shared" ca="1" si="71"/>
        <v>0</v>
      </c>
      <c r="AQ128" s="32">
        <f t="shared" ca="1" si="71"/>
        <v>0</v>
      </c>
      <c r="AR128" s="32">
        <f t="shared" ca="1" si="71"/>
        <v>0</v>
      </c>
      <c r="AS128" s="32">
        <f t="shared" ca="1" si="71"/>
        <v>0</v>
      </c>
      <c r="AT128" s="32">
        <f t="shared" ca="1" si="71"/>
        <v>0</v>
      </c>
      <c r="AU128" s="32">
        <f ca="1">SUM(AU115:AU127)</f>
        <v>0</v>
      </c>
    </row>
    <row r="129" spans="1:47" ht="15.75" hidden="1" customHeight="1" outlineLevel="2">
      <c r="A129" s="1" t="s">
        <v>209</v>
      </c>
      <c r="C129" s="141"/>
      <c r="E129" s="9" t="str">
        <f ca="1">_xll.DBRW(Server&amp;"}ElementAttributes_Indicator",A129,"code_English")</f>
        <v>PL1110_CS_10 - Staff costs (CS)</v>
      </c>
      <c r="F129" s="32">
        <f ca="1">_xll.DBRW($C$1,$C$2,$C$3,$C$4,$C$6,$C$5,$C$7,F$1,F$2,$A129)</f>
        <v>-13114860.699999999</v>
      </c>
      <c r="G129" s="32">
        <f ca="1">_xll.DBRW($C$1,$C$2,$C$3,$C$4,$C$6,$C$5,$C$7,G$1,G$2,$A129)</f>
        <v>-9511569.6700000018</v>
      </c>
      <c r="H129" s="32">
        <f ca="1">_xll.DBRW($C$1,$C$2,$C$3,$C$4,$C$6,$C$5,$C$7,H$1,H$2,$A129)</f>
        <v>-9519669.3100000005</v>
      </c>
      <c r="I129" s="32">
        <f ca="1">_xll.DBRW($C$1,$C$2,$C$3,$C$4,$C$6,$C$5,$C$7,I$1,I$2,$A129)</f>
        <v>-759577.35</v>
      </c>
      <c r="J129" s="32">
        <f ca="1">_xll.DBRW($C$1,$C$2,$C$3,$C$4,$C$6,$C$5,$C$7,J$1,J$2,$A129)</f>
        <v>-1524513.1600000001</v>
      </c>
      <c r="K129" s="32">
        <f ca="1">_xll.DBRW($C$1,$C$2,$C$3,$C$4,$C$6,$C$5,$C$7,K$1,K$2,$A129)</f>
        <v>-2296639.66</v>
      </c>
      <c r="L129" s="32">
        <f ca="1">_xll.DBRW($C$1,$C$2,$C$3,$C$4,$C$6,$C$5,$C$7,L$1,L$2,$A129)</f>
        <v>-3088935.75</v>
      </c>
      <c r="M129" s="32">
        <f ca="1">_xll.DBRW($C$1,$C$2,$C$3,$C$4,$C$6,$C$5,$C$7,M$1,M$2,$A129)</f>
        <v>-3943439.34</v>
      </c>
      <c r="N129" s="32">
        <f ca="1">_xll.DBRW($C$1,$C$2,$C$3,$C$4,$C$6,$C$5,$C$7,N$1,N$2,$A129)</f>
        <v>-4837057.8199999994</v>
      </c>
      <c r="O129" s="32">
        <f ca="1">_xll.DBRW($C$1,$C$2,$C$3,$C$4,$C$6,$C$5,$C$7,O$1,O$2,$A129)</f>
        <v>-4837057.8199999994</v>
      </c>
      <c r="P129" s="32">
        <f ca="1">_xll.DBRW($C$1,$C$2,$C$3,$C$4,$C$6,$C$5,$C$7,P$1,P$2,$A129)</f>
        <v>-4837057.8199999994</v>
      </c>
      <c r="Q129" s="32">
        <f ca="1">_xll.DBRW($C$1,$C$2,$C$3,$C$4,$C$6,$C$5,$C$7,Q$1,Q$2,$A129)</f>
        <v>-4837057.8199999994</v>
      </c>
      <c r="R129" s="32">
        <f ca="1">_xll.DBRW($C$1,$C$2,$C$3,$C$4,$C$6,$C$5,$C$7,R$1,R$2,$A129)</f>
        <v>-4837057.8199999994</v>
      </c>
      <c r="S129" s="32">
        <f ca="1">_xll.DBRW($C$1,$C$2,$C$3,$C$4,$C$6,$C$5,$C$7,S$1,S$2,$A129)</f>
        <v>-4837057.8199999994</v>
      </c>
      <c r="T129" s="32">
        <f ca="1">_xll.DBRW($C$1,$C$2,$C$3,$C$4,$C$6,$C$5,$C$7,T$1,T$2,$A129)</f>
        <v>-4837057.8199999994</v>
      </c>
      <c r="U129" s="32">
        <f ca="1">_xll.DBRW($C$1,$C$2,$C$3,$C$4,$C$6,$C$5,$C$7,U$1,U$2,$A129)</f>
        <v>-4837057.8199999994</v>
      </c>
      <c r="V129" s="32">
        <f ca="1">_xll.DBRW($C$1,$C$2,$C$3,$C$4,$C$6,$C$5,$C$7,V$1,V$2,$A129)</f>
        <v>0</v>
      </c>
      <c r="W129" s="32">
        <f ca="1">_xll.DBRW($C$1,$C$2,$C$3,$C$4,$C$6,$C$5,$C$7,W$1,W$2,$A129)</f>
        <v>0</v>
      </c>
      <c r="X129" s="32">
        <f ca="1">_xll.DBRW($C$1,$C$2,$C$3,$C$4,$C$6,$C$5,$C$7,X$1,X$2,$A129)</f>
        <v>0</v>
      </c>
      <c r="Y129" s="32">
        <f ca="1">_xll.DBRW($C$1,$C$2,$C$3,$C$4,$C$6,$C$5,$C$7,Y$1,Y$2,$A129)</f>
        <v>0</v>
      </c>
      <c r="Z129" s="32">
        <f ca="1">_xll.DBRW($C$1,$C$2,$C$3,$C$4,$C$6,$C$5,$C$7,Z$1,Z$2,$A129)</f>
        <v>0</v>
      </c>
      <c r="AA129" s="32">
        <f ca="1">_xll.DBRW($C$1,$C$2,$C$3,$C$4,$C$6,$C$5,$C$7,AA$1,AA$2,$A129)</f>
        <v>0</v>
      </c>
      <c r="AB129" s="32">
        <f ca="1">_xll.DBRW($C$1,$C$2,$C$3,$C$4,$C$6,$C$5,$C$7,AB$1,AB$2,$A129)</f>
        <v>0</v>
      </c>
      <c r="AC129" s="32">
        <f ca="1">_xll.DBRW($C$1,$C$2,$C$3,$C$4,$C$6,$C$5,$C$7,AC$1,AC$2,$A129)</f>
        <v>0</v>
      </c>
      <c r="AD129" s="32">
        <f ca="1">_xll.DBRW($C$1,$C$2,$C$3,$C$4,$C$6,$C$5,$C$7,AD$1,AD$2,$A129)</f>
        <v>0</v>
      </c>
      <c r="AE129" s="32">
        <f ca="1">_xll.DBRW($C$1,$C$2,$C$3,$C$4,$C$6,$C$5,$C$7,AE$1,AE$2,$A129)</f>
        <v>0</v>
      </c>
      <c r="AF129" s="32">
        <f ca="1">_xll.DBRW($C$1,$C$2,$C$3,$C$4,$C$6,$C$5,$C$7,AF$1,AF$2,$A129)</f>
        <v>0</v>
      </c>
      <c r="AG129" s="32">
        <f ca="1">_xll.DBRW($C$1,$C$2,$C$3,$C$4,$C$6,$C$5,$C$7,AG$1,AG$2,$A129)</f>
        <v>0</v>
      </c>
      <c r="AH129" s="32">
        <f ca="1">_xll.DBRW($C$1,$C$2,$C$3,$C$4,$C$6,$C$5,$C$7,AH$1,AH$2,$A129)</f>
        <v>0</v>
      </c>
      <c r="AI129" s="32">
        <f ca="1">_xll.DBRW($C$1,$C$2,$C$3,$C$4,$C$6,$C$5,$C$7,AI$1,AI$2,$A129)</f>
        <v>0</v>
      </c>
      <c r="AJ129" s="32">
        <f ca="1">_xll.DBRW($C$1,$C$2,$C$3,$C$4,$C$6,$C$5,$C$7,AJ$1,AJ$2,$A129)</f>
        <v>0</v>
      </c>
      <c r="AK129" s="32">
        <f ca="1">_xll.DBRW($C$1,$C$2,$C$3,$C$4,$C$6,$C$5,$C$7,AK$1,AK$2,$A129)</f>
        <v>0</v>
      </c>
      <c r="AL129" s="32">
        <f ca="1">_xll.DBRW($C$1,$C$2,$C$3,$C$4,$C$6,$C$5,$C$7,AL$1,AL$2,$A129)</f>
        <v>0</v>
      </c>
      <c r="AM129" s="32">
        <f ca="1">_xll.DBRW($C$1,$C$2,$C$3,$C$4,$C$6,$C$5,$C$7,AM$1,AM$2,$A129)</f>
        <v>0</v>
      </c>
      <c r="AN129" s="32">
        <f ca="1">_xll.DBRW($C$1,$C$2,$C$3,$C$4,$C$6,$C$5,$C$7,AN$1,AN$2,$A129)</f>
        <v>0</v>
      </c>
      <c r="AO129" s="32">
        <f ca="1">_xll.DBRW($C$1,$C$2,$C$3,$C$4,$C$6,$C$5,$C$7,AO$1,AO$2,$A129)</f>
        <v>0</v>
      </c>
      <c r="AP129" s="32">
        <f ca="1">_xll.DBRW($C$1,$C$2,$C$3,$C$4,$C$6,$C$5,$C$7,AP$1,AP$2,$A129)</f>
        <v>0</v>
      </c>
      <c r="AQ129" s="32">
        <f ca="1">_xll.DBRW($C$1,$C$2,$C$3,$C$4,$C$6,$C$5,$C$7,AQ$1,AQ$2,$A129)</f>
        <v>0</v>
      </c>
      <c r="AR129" s="32">
        <f ca="1">_xll.DBRW($C$1,$C$2,$C$3,$C$4,$C$6,$C$5,$C$7,AR$1,AR$2,$A129)</f>
        <v>0</v>
      </c>
      <c r="AS129" s="32">
        <f ca="1">_xll.DBRW($C$1,$C$2,$C$3,$C$4,$C$6,$C$5,$C$7,AS$1,AS$2,$A129)</f>
        <v>0</v>
      </c>
      <c r="AT129" s="32">
        <f ca="1">_xll.DBRW($C$1,$C$2,$C$3,$C$4,$C$6,$C$5,$C$7,AT$1,AT$2,$A129)</f>
        <v>0</v>
      </c>
      <c r="AU129" s="32">
        <f ca="1">_xll.DBRW($C$1,$C$2,$C$3,$C$4,$C$6,$C$5,$C$7,AU$1,AU$2,$A129)</f>
        <v>0</v>
      </c>
    </row>
    <row r="130" spans="1:47" ht="15.75" hidden="1" customHeight="1" outlineLevel="2">
      <c r="A130" s="1" t="s">
        <v>210</v>
      </c>
      <c r="C130" s="141"/>
      <c r="E130" s="9" t="str">
        <f ca="1">_xll.DBRW(Server&amp;"}ElementAttributes_Indicator",A130,"code_English")</f>
        <v>PL1155_CS_99 - Reinvoicing - Others (CS)</v>
      </c>
      <c r="F130" s="32">
        <f ca="1">_xll.DBRW($C$1,$C$2,$C$3,$C$4,$C$6,$C$5,$C$7,F$1,F$2,$A130)</f>
        <v>0</v>
      </c>
      <c r="G130" s="32">
        <f ca="1">_xll.DBRW($C$1,$C$2,$C$3,$C$4,$C$6,$C$5,$C$7,G$1,G$2,$A130)</f>
        <v>0</v>
      </c>
      <c r="H130" s="32">
        <f ca="1">_xll.DBRW($C$1,$C$2,$C$3,$C$4,$C$6,$C$5,$C$7,H$1,H$2,$A130)</f>
        <v>0</v>
      </c>
      <c r="I130" s="32">
        <f ca="1">_xll.DBRW($C$1,$C$2,$C$3,$C$4,$C$6,$C$5,$C$7,I$1,I$2,$A130)</f>
        <v>0</v>
      </c>
      <c r="J130" s="32">
        <f ca="1">_xll.DBRW($C$1,$C$2,$C$3,$C$4,$C$6,$C$5,$C$7,J$1,J$2,$A130)</f>
        <v>0</v>
      </c>
      <c r="K130" s="32">
        <f ca="1">_xll.DBRW($C$1,$C$2,$C$3,$C$4,$C$6,$C$5,$C$7,K$1,K$2,$A130)</f>
        <v>0</v>
      </c>
      <c r="L130" s="32">
        <f ca="1">_xll.DBRW($C$1,$C$2,$C$3,$C$4,$C$6,$C$5,$C$7,L$1,L$2,$A130)</f>
        <v>0</v>
      </c>
      <c r="M130" s="32">
        <f ca="1">_xll.DBRW($C$1,$C$2,$C$3,$C$4,$C$6,$C$5,$C$7,M$1,M$2,$A130)</f>
        <v>0</v>
      </c>
      <c r="N130" s="32">
        <f ca="1">_xll.DBRW($C$1,$C$2,$C$3,$C$4,$C$6,$C$5,$C$7,N$1,N$2,$A130)</f>
        <v>0</v>
      </c>
      <c r="O130" s="32">
        <f ca="1">_xll.DBRW($C$1,$C$2,$C$3,$C$4,$C$6,$C$5,$C$7,O$1,O$2,$A130)</f>
        <v>0</v>
      </c>
      <c r="P130" s="32">
        <f ca="1">_xll.DBRW($C$1,$C$2,$C$3,$C$4,$C$6,$C$5,$C$7,P$1,P$2,$A130)</f>
        <v>0</v>
      </c>
      <c r="Q130" s="32">
        <f ca="1">_xll.DBRW($C$1,$C$2,$C$3,$C$4,$C$6,$C$5,$C$7,Q$1,Q$2,$A130)</f>
        <v>0</v>
      </c>
      <c r="R130" s="32">
        <f ca="1">_xll.DBRW($C$1,$C$2,$C$3,$C$4,$C$6,$C$5,$C$7,R$1,R$2,$A130)</f>
        <v>0</v>
      </c>
      <c r="S130" s="32">
        <f ca="1">_xll.DBRW($C$1,$C$2,$C$3,$C$4,$C$6,$C$5,$C$7,S$1,S$2,$A130)</f>
        <v>0</v>
      </c>
      <c r="T130" s="32">
        <f ca="1">_xll.DBRW($C$1,$C$2,$C$3,$C$4,$C$6,$C$5,$C$7,T$1,T$2,$A130)</f>
        <v>0</v>
      </c>
      <c r="U130" s="32">
        <f ca="1">_xll.DBRW($C$1,$C$2,$C$3,$C$4,$C$6,$C$5,$C$7,U$1,U$2,$A130)</f>
        <v>0</v>
      </c>
      <c r="V130" s="32">
        <f ca="1">_xll.DBRW($C$1,$C$2,$C$3,$C$4,$C$6,$C$5,$C$7,V$1,V$2,$A130)</f>
        <v>0</v>
      </c>
      <c r="W130" s="32">
        <f ca="1">_xll.DBRW($C$1,$C$2,$C$3,$C$4,$C$6,$C$5,$C$7,W$1,W$2,$A130)</f>
        <v>0</v>
      </c>
      <c r="X130" s="32">
        <f ca="1">_xll.DBRW($C$1,$C$2,$C$3,$C$4,$C$6,$C$5,$C$7,X$1,X$2,$A130)</f>
        <v>0</v>
      </c>
      <c r="Y130" s="32">
        <f ca="1">_xll.DBRW($C$1,$C$2,$C$3,$C$4,$C$6,$C$5,$C$7,Y$1,Y$2,$A130)</f>
        <v>0</v>
      </c>
      <c r="Z130" s="32">
        <f ca="1">_xll.DBRW($C$1,$C$2,$C$3,$C$4,$C$6,$C$5,$C$7,Z$1,Z$2,$A130)</f>
        <v>0</v>
      </c>
      <c r="AA130" s="32">
        <f ca="1">_xll.DBRW($C$1,$C$2,$C$3,$C$4,$C$6,$C$5,$C$7,AA$1,AA$2,$A130)</f>
        <v>0</v>
      </c>
      <c r="AB130" s="32">
        <f ca="1">_xll.DBRW($C$1,$C$2,$C$3,$C$4,$C$6,$C$5,$C$7,AB$1,AB$2,$A130)</f>
        <v>0</v>
      </c>
      <c r="AC130" s="32">
        <f ca="1">_xll.DBRW($C$1,$C$2,$C$3,$C$4,$C$6,$C$5,$C$7,AC$1,AC$2,$A130)</f>
        <v>0</v>
      </c>
      <c r="AD130" s="32">
        <f ca="1">_xll.DBRW($C$1,$C$2,$C$3,$C$4,$C$6,$C$5,$C$7,AD$1,AD$2,$A130)</f>
        <v>0</v>
      </c>
      <c r="AE130" s="32">
        <f ca="1">_xll.DBRW($C$1,$C$2,$C$3,$C$4,$C$6,$C$5,$C$7,AE$1,AE$2,$A130)</f>
        <v>0</v>
      </c>
      <c r="AF130" s="32">
        <f ca="1">_xll.DBRW($C$1,$C$2,$C$3,$C$4,$C$6,$C$5,$C$7,AF$1,AF$2,$A130)</f>
        <v>0</v>
      </c>
      <c r="AG130" s="32">
        <f ca="1">_xll.DBRW($C$1,$C$2,$C$3,$C$4,$C$6,$C$5,$C$7,AG$1,AG$2,$A130)</f>
        <v>0</v>
      </c>
      <c r="AH130" s="32">
        <f ca="1">_xll.DBRW($C$1,$C$2,$C$3,$C$4,$C$6,$C$5,$C$7,AH$1,AH$2,$A130)</f>
        <v>0</v>
      </c>
      <c r="AI130" s="32">
        <f ca="1">_xll.DBRW($C$1,$C$2,$C$3,$C$4,$C$6,$C$5,$C$7,AI$1,AI$2,$A130)</f>
        <v>0</v>
      </c>
      <c r="AJ130" s="32">
        <f ca="1">_xll.DBRW($C$1,$C$2,$C$3,$C$4,$C$6,$C$5,$C$7,AJ$1,AJ$2,$A130)</f>
        <v>0</v>
      </c>
      <c r="AK130" s="32">
        <f ca="1">_xll.DBRW($C$1,$C$2,$C$3,$C$4,$C$6,$C$5,$C$7,AK$1,AK$2,$A130)</f>
        <v>0</v>
      </c>
      <c r="AL130" s="32">
        <f ca="1">_xll.DBRW($C$1,$C$2,$C$3,$C$4,$C$6,$C$5,$C$7,AL$1,AL$2,$A130)</f>
        <v>0</v>
      </c>
      <c r="AM130" s="32">
        <f ca="1">_xll.DBRW($C$1,$C$2,$C$3,$C$4,$C$6,$C$5,$C$7,AM$1,AM$2,$A130)</f>
        <v>0</v>
      </c>
      <c r="AN130" s="32">
        <f ca="1">_xll.DBRW($C$1,$C$2,$C$3,$C$4,$C$6,$C$5,$C$7,AN$1,AN$2,$A130)</f>
        <v>0</v>
      </c>
      <c r="AO130" s="32">
        <f ca="1">_xll.DBRW($C$1,$C$2,$C$3,$C$4,$C$6,$C$5,$C$7,AO$1,AO$2,$A130)</f>
        <v>0</v>
      </c>
      <c r="AP130" s="32">
        <f ca="1">_xll.DBRW($C$1,$C$2,$C$3,$C$4,$C$6,$C$5,$C$7,AP$1,AP$2,$A130)</f>
        <v>0</v>
      </c>
      <c r="AQ130" s="32">
        <f ca="1">_xll.DBRW($C$1,$C$2,$C$3,$C$4,$C$6,$C$5,$C$7,AQ$1,AQ$2,$A130)</f>
        <v>0</v>
      </c>
      <c r="AR130" s="32">
        <f ca="1">_xll.DBRW($C$1,$C$2,$C$3,$C$4,$C$6,$C$5,$C$7,AR$1,AR$2,$A130)</f>
        <v>0</v>
      </c>
      <c r="AS130" s="32">
        <f ca="1">_xll.DBRW($C$1,$C$2,$C$3,$C$4,$C$6,$C$5,$C$7,AS$1,AS$2,$A130)</f>
        <v>0</v>
      </c>
      <c r="AT130" s="32">
        <f ca="1">_xll.DBRW($C$1,$C$2,$C$3,$C$4,$C$6,$C$5,$C$7,AT$1,AT$2,$A130)</f>
        <v>0</v>
      </c>
      <c r="AU130" s="32">
        <f ca="1">_xll.DBRW($C$1,$C$2,$C$3,$C$4,$C$6,$C$5,$C$7,AU$1,AU$2,$A130)</f>
        <v>0</v>
      </c>
    </row>
    <row r="131" spans="1:47" ht="15.75" hidden="1" customHeight="1" outlineLevel="2">
      <c r="A131" s="1" t="s">
        <v>211</v>
      </c>
      <c r="C131" s="141"/>
      <c r="E131" s="9" t="str">
        <f ca="1">_xll.DBRW(Server&amp;"}ElementAttributes_Indicator",A131,"code_English")</f>
        <v>PL1115_CS_20 - Interim staff (CS)</v>
      </c>
      <c r="F131" s="32">
        <f ca="1">_xll.DBRW($C$1,$C$2,$C$3,$C$4,$C$6,$C$5,$C$7,F$1,F$2,$A131)</f>
        <v>0</v>
      </c>
      <c r="G131" s="32">
        <f ca="1">_xll.DBRW($C$1,$C$2,$C$3,$C$4,$C$6,$C$5,$C$7,G$1,G$2,$A131)</f>
        <v>0</v>
      </c>
      <c r="H131" s="32">
        <f ca="1">_xll.DBRW($C$1,$C$2,$C$3,$C$4,$C$6,$C$5,$C$7,H$1,H$2,$A131)</f>
        <v>0</v>
      </c>
      <c r="I131" s="32">
        <f ca="1">_xll.DBRW($C$1,$C$2,$C$3,$C$4,$C$6,$C$5,$C$7,I$1,I$2,$A131)</f>
        <v>0</v>
      </c>
      <c r="J131" s="32">
        <f ca="1">_xll.DBRW($C$1,$C$2,$C$3,$C$4,$C$6,$C$5,$C$7,J$1,J$2,$A131)</f>
        <v>0</v>
      </c>
      <c r="K131" s="32">
        <f ca="1">_xll.DBRW($C$1,$C$2,$C$3,$C$4,$C$6,$C$5,$C$7,K$1,K$2,$A131)</f>
        <v>0</v>
      </c>
      <c r="L131" s="32">
        <f ca="1">_xll.DBRW($C$1,$C$2,$C$3,$C$4,$C$6,$C$5,$C$7,L$1,L$2,$A131)</f>
        <v>0</v>
      </c>
      <c r="M131" s="32">
        <f ca="1">_xll.DBRW($C$1,$C$2,$C$3,$C$4,$C$6,$C$5,$C$7,M$1,M$2,$A131)</f>
        <v>0</v>
      </c>
      <c r="N131" s="32">
        <f ca="1">_xll.DBRW($C$1,$C$2,$C$3,$C$4,$C$6,$C$5,$C$7,N$1,N$2,$A131)</f>
        <v>0</v>
      </c>
      <c r="O131" s="32">
        <f ca="1">_xll.DBRW($C$1,$C$2,$C$3,$C$4,$C$6,$C$5,$C$7,O$1,O$2,$A131)</f>
        <v>0</v>
      </c>
      <c r="P131" s="32">
        <f ca="1">_xll.DBRW($C$1,$C$2,$C$3,$C$4,$C$6,$C$5,$C$7,P$1,P$2,$A131)</f>
        <v>0</v>
      </c>
      <c r="Q131" s="32">
        <f ca="1">_xll.DBRW($C$1,$C$2,$C$3,$C$4,$C$6,$C$5,$C$7,Q$1,Q$2,$A131)</f>
        <v>0</v>
      </c>
      <c r="R131" s="32">
        <f ca="1">_xll.DBRW($C$1,$C$2,$C$3,$C$4,$C$6,$C$5,$C$7,R$1,R$2,$A131)</f>
        <v>0</v>
      </c>
      <c r="S131" s="32">
        <f ca="1">_xll.DBRW($C$1,$C$2,$C$3,$C$4,$C$6,$C$5,$C$7,S$1,S$2,$A131)</f>
        <v>0</v>
      </c>
      <c r="T131" s="32">
        <f ca="1">_xll.DBRW($C$1,$C$2,$C$3,$C$4,$C$6,$C$5,$C$7,T$1,T$2,$A131)</f>
        <v>0</v>
      </c>
      <c r="U131" s="32">
        <f ca="1">_xll.DBRW($C$1,$C$2,$C$3,$C$4,$C$6,$C$5,$C$7,U$1,U$2,$A131)</f>
        <v>0</v>
      </c>
      <c r="V131" s="32">
        <f ca="1">_xll.DBRW($C$1,$C$2,$C$3,$C$4,$C$6,$C$5,$C$7,V$1,V$2,$A131)</f>
        <v>0</v>
      </c>
      <c r="W131" s="32">
        <f ca="1">_xll.DBRW($C$1,$C$2,$C$3,$C$4,$C$6,$C$5,$C$7,W$1,W$2,$A131)</f>
        <v>0</v>
      </c>
      <c r="X131" s="32">
        <f ca="1">_xll.DBRW($C$1,$C$2,$C$3,$C$4,$C$6,$C$5,$C$7,X$1,X$2,$A131)</f>
        <v>0</v>
      </c>
      <c r="Y131" s="32">
        <f ca="1">_xll.DBRW($C$1,$C$2,$C$3,$C$4,$C$6,$C$5,$C$7,Y$1,Y$2,$A131)</f>
        <v>0</v>
      </c>
      <c r="Z131" s="32">
        <f ca="1">_xll.DBRW($C$1,$C$2,$C$3,$C$4,$C$6,$C$5,$C$7,Z$1,Z$2,$A131)</f>
        <v>0</v>
      </c>
      <c r="AA131" s="32">
        <f ca="1">_xll.DBRW($C$1,$C$2,$C$3,$C$4,$C$6,$C$5,$C$7,AA$1,AA$2,$A131)</f>
        <v>0</v>
      </c>
      <c r="AB131" s="32">
        <f ca="1">_xll.DBRW($C$1,$C$2,$C$3,$C$4,$C$6,$C$5,$C$7,AB$1,AB$2,$A131)</f>
        <v>0</v>
      </c>
      <c r="AC131" s="32">
        <f ca="1">_xll.DBRW($C$1,$C$2,$C$3,$C$4,$C$6,$C$5,$C$7,AC$1,AC$2,$A131)</f>
        <v>0</v>
      </c>
      <c r="AD131" s="32">
        <f ca="1">_xll.DBRW($C$1,$C$2,$C$3,$C$4,$C$6,$C$5,$C$7,AD$1,AD$2,$A131)</f>
        <v>0</v>
      </c>
      <c r="AE131" s="32">
        <f ca="1">_xll.DBRW($C$1,$C$2,$C$3,$C$4,$C$6,$C$5,$C$7,AE$1,AE$2,$A131)</f>
        <v>0</v>
      </c>
      <c r="AF131" s="32">
        <f ca="1">_xll.DBRW($C$1,$C$2,$C$3,$C$4,$C$6,$C$5,$C$7,AF$1,AF$2,$A131)</f>
        <v>0</v>
      </c>
      <c r="AG131" s="32">
        <f ca="1">_xll.DBRW($C$1,$C$2,$C$3,$C$4,$C$6,$C$5,$C$7,AG$1,AG$2,$A131)</f>
        <v>0</v>
      </c>
      <c r="AH131" s="32">
        <f ca="1">_xll.DBRW($C$1,$C$2,$C$3,$C$4,$C$6,$C$5,$C$7,AH$1,AH$2,$A131)</f>
        <v>0</v>
      </c>
      <c r="AI131" s="32">
        <f ca="1">_xll.DBRW($C$1,$C$2,$C$3,$C$4,$C$6,$C$5,$C$7,AI$1,AI$2,$A131)</f>
        <v>0</v>
      </c>
      <c r="AJ131" s="32">
        <f ca="1">_xll.DBRW($C$1,$C$2,$C$3,$C$4,$C$6,$C$5,$C$7,AJ$1,AJ$2,$A131)</f>
        <v>0</v>
      </c>
      <c r="AK131" s="32">
        <f ca="1">_xll.DBRW($C$1,$C$2,$C$3,$C$4,$C$6,$C$5,$C$7,AK$1,AK$2,$A131)</f>
        <v>0</v>
      </c>
      <c r="AL131" s="32">
        <f ca="1">_xll.DBRW($C$1,$C$2,$C$3,$C$4,$C$6,$C$5,$C$7,AL$1,AL$2,$A131)</f>
        <v>0</v>
      </c>
      <c r="AM131" s="32">
        <f ca="1">_xll.DBRW($C$1,$C$2,$C$3,$C$4,$C$6,$C$5,$C$7,AM$1,AM$2,$A131)</f>
        <v>0</v>
      </c>
      <c r="AN131" s="32">
        <f ca="1">_xll.DBRW($C$1,$C$2,$C$3,$C$4,$C$6,$C$5,$C$7,AN$1,AN$2,$A131)</f>
        <v>0</v>
      </c>
      <c r="AO131" s="32">
        <f ca="1">_xll.DBRW($C$1,$C$2,$C$3,$C$4,$C$6,$C$5,$C$7,AO$1,AO$2,$A131)</f>
        <v>0</v>
      </c>
      <c r="AP131" s="32">
        <f ca="1">_xll.DBRW($C$1,$C$2,$C$3,$C$4,$C$6,$C$5,$C$7,AP$1,AP$2,$A131)</f>
        <v>0</v>
      </c>
      <c r="AQ131" s="32">
        <f ca="1">_xll.DBRW($C$1,$C$2,$C$3,$C$4,$C$6,$C$5,$C$7,AQ$1,AQ$2,$A131)</f>
        <v>0</v>
      </c>
      <c r="AR131" s="32">
        <f ca="1">_xll.DBRW($C$1,$C$2,$C$3,$C$4,$C$6,$C$5,$C$7,AR$1,AR$2,$A131)</f>
        <v>0</v>
      </c>
      <c r="AS131" s="32">
        <f ca="1">_xll.DBRW($C$1,$C$2,$C$3,$C$4,$C$6,$C$5,$C$7,AS$1,AS$2,$A131)</f>
        <v>0</v>
      </c>
      <c r="AT131" s="32">
        <f ca="1">_xll.DBRW($C$1,$C$2,$C$3,$C$4,$C$6,$C$5,$C$7,AT$1,AT$2,$A131)</f>
        <v>0</v>
      </c>
      <c r="AU131" s="32">
        <f ca="1">_xll.DBRW($C$1,$C$2,$C$3,$C$4,$C$6,$C$5,$C$7,AU$1,AU$2,$A131)</f>
        <v>0</v>
      </c>
    </row>
    <row r="132" spans="1:47" ht="15.75" hidden="1" customHeight="1" outlineLevel="2">
      <c r="A132" s="1" t="s">
        <v>212</v>
      </c>
      <c r="C132" s="141"/>
      <c r="E132" s="9" t="str">
        <f ca="1">_xll.DBRW(Server&amp;"}ElementAttributes_Indicator",A132,"code_English")</f>
        <v>PL1115_CS_99 - Others (CS)</v>
      </c>
      <c r="F132" s="32">
        <f ca="1">_xll.DBRW($C$1,$C$2,$C$3,$C$4,$C$6,$C$5,$C$7,F$1,F$2,$A132)</f>
        <v>-8512148.6199999992</v>
      </c>
      <c r="G132" s="32">
        <f ca="1">_xll.DBRW($C$1,$C$2,$C$3,$C$4,$C$6,$C$5,$C$7,G$1,G$2,$A132)</f>
        <v>-5357846.8400000008</v>
      </c>
      <c r="H132" s="32">
        <f ca="1">_xll.DBRW($C$1,$C$2,$C$3,$C$4,$C$6,$C$5,$C$7,H$1,H$2,$A132)</f>
        <v>-5260854.99</v>
      </c>
      <c r="I132" s="32">
        <f ca="1">_xll.DBRW($C$1,$C$2,$C$3,$C$4,$C$6,$C$5,$C$7,I$1,I$2,$A132)</f>
        <v>-459432.9499999999</v>
      </c>
      <c r="J132" s="32">
        <f ca="1">_xll.DBRW($C$1,$C$2,$C$3,$C$4,$C$6,$C$5,$C$7,J$1,J$2,$A132)</f>
        <v>-890419.31999999983</v>
      </c>
      <c r="K132" s="32">
        <f ca="1">_xll.DBRW($C$1,$C$2,$C$3,$C$4,$C$6,$C$5,$C$7,K$1,K$2,$A132)</f>
        <v>-1389636.2399999998</v>
      </c>
      <c r="L132" s="32">
        <f ca="1">_xll.DBRW($C$1,$C$2,$C$3,$C$4,$C$6,$C$5,$C$7,L$1,L$2,$A132)</f>
        <v>-1797693.3699999996</v>
      </c>
      <c r="M132" s="32">
        <f ca="1">_xll.DBRW($C$1,$C$2,$C$3,$C$4,$C$6,$C$5,$C$7,M$1,M$2,$A132)</f>
        <v>-2345662.2199999997</v>
      </c>
      <c r="N132" s="32">
        <f ca="1">_xll.DBRW($C$1,$C$2,$C$3,$C$4,$C$6,$C$5,$C$7,N$1,N$2,$A132)</f>
        <v>-2873826.1599999997</v>
      </c>
      <c r="O132" s="32">
        <f ca="1">_xll.DBRW($C$1,$C$2,$C$3,$C$4,$C$6,$C$5,$C$7,O$1,O$2,$A132)</f>
        <v>-2873826.1599999997</v>
      </c>
      <c r="P132" s="32">
        <f ca="1">_xll.DBRW($C$1,$C$2,$C$3,$C$4,$C$6,$C$5,$C$7,P$1,P$2,$A132)</f>
        <v>-2873826.1599999997</v>
      </c>
      <c r="Q132" s="32">
        <f ca="1">_xll.DBRW($C$1,$C$2,$C$3,$C$4,$C$6,$C$5,$C$7,Q$1,Q$2,$A132)</f>
        <v>-2873826.1599999997</v>
      </c>
      <c r="R132" s="32">
        <f ca="1">_xll.DBRW($C$1,$C$2,$C$3,$C$4,$C$6,$C$5,$C$7,R$1,R$2,$A132)</f>
        <v>-2873826.1599999997</v>
      </c>
      <c r="S132" s="32">
        <f ca="1">_xll.DBRW($C$1,$C$2,$C$3,$C$4,$C$6,$C$5,$C$7,S$1,S$2,$A132)</f>
        <v>-2873826.1599999997</v>
      </c>
      <c r="T132" s="32">
        <f ca="1">_xll.DBRW($C$1,$C$2,$C$3,$C$4,$C$6,$C$5,$C$7,T$1,T$2,$A132)</f>
        <v>-2873826.1599999997</v>
      </c>
      <c r="U132" s="32">
        <f ca="1">_xll.DBRW($C$1,$C$2,$C$3,$C$4,$C$6,$C$5,$C$7,U$1,U$2,$A132)</f>
        <v>-2873826.1599999997</v>
      </c>
      <c r="V132" s="32">
        <f ca="1">_xll.DBRW($C$1,$C$2,$C$3,$C$4,$C$6,$C$5,$C$7,V$1,V$2,$A132)</f>
        <v>0</v>
      </c>
      <c r="W132" s="32">
        <f ca="1">_xll.DBRW($C$1,$C$2,$C$3,$C$4,$C$6,$C$5,$C$7,W$1,W$2,$A132)</f>
        <v>0</v>
      </c>
      <c r="X132" s="32">
        <f ca="1">_xll.DBRW($C$1,$C$2,$C$3,$C$4,$C$6,$C$5,$C$7,X$1,X$2,$A132)</f>
        <v>0</v>
      </c>
      <c r="Y132" s="32">
        <f ca="1">_xll.DBRW($C$1,$C$2,$C$3,$C$4,$C$6,$C$5,$C$7,Y$1,Y$2,$A132)</f>
        <v>0</v>
      </c>
      <c r="Z132" s="32">
        <f ca="1">_xll.DBRW($C$1,$C$2,$C$3,$C$4,$C$6,$C$5,$C$7,Z$1,Z$2,$A132)</f>
        <v>0</v>
      </c>
      <c r="AA132" s="32">
        <f ca="1">_xll.DBRW($C$1,$C$2,$C$3,$C$4,$C$6,$C$5,$C$7,AA$1,AA$2,$A132)</f>
        <v>0</v>
      </c>
      <c r="AB132" s="32">
        <f ca="1">_xll.DBRW($C$1,$C$2,$C$3,$C$4,$C$6,$C$5,$C$7,AB$1,AB$2,$A132)</f>
        <v>0</v>
      </c>
      <c r="AC132" s="32">
        <f ca="1">_xll.DBRW($C$1,$C$2,$C$3,$C$4,$C$6,$C$5,$C$7,AC$1,AC$2,$A132)</f>
        <v>0</v>
      </c>
      <c r="AD132" s="32">
        <f ca="1">_xll.DBRW($C$1,$C$2,$C$3,$C$4,$C$6,$C$5,$C$7,AD$1,AD$2,$A132)</f>
        <v>0</v>
      </c>
      <c r="AE132" s="32">
        <f ca="1">_xll.DBRW($C$1,$C$2,$C$3,$C$4,$C$6,$C$5,$C$7,AE$1,AE$2,$A132)</f>
        <v>0</v>
      </c>
      <c r="AF132" s="32">
        <f ca="1">_xll.DBRW($C$1,$C$2,$C$3,$C$4,$C$6,$C$5,$C$7,AF$1,AF$2,$A132)</f>
        <v>0</v>
      </c>
      <c r="AG132" s="32">
        <f ca="1">_xll.DBRW($C$1,$C$2,$C$3,$C$4,$C$6,$C$5,$C$7,AG$1,AG$2,$A132)</f>
        <v>0</v>
      </c>
      <c r="AH132" s="32">
        <f ca="1">_xll.DBRW($C$1,$C$2,$C$3,$C$4,$C$6,$C$5,$C$7,AH$1,AH$2,$A132)</f>
        <v>0</v>
      </c>
      <c r="AI132" s="32">
        <f ca="1">_xll.DBRW($C$1,$C$2,$C$3,$C$4,$C$6,$C$5,$C$7,AI$1,AI$2,$A132)</f>
        <v>0</v>
      </c>
      <c r="AJ132" s="32">
        <f ca="1">_xll.DBRW($C$1,$C$2,$C$3,$C$4,$C$6,$C$5,$C$7,AJ$1,AJ$2,$A132)</f>
        <v>0</v>
      </c>
      <c r="AK132" s="32">
        <f ca="1">_xll.DBRW($C$1,$C$2,$C$3,$C$4,$C$6,$C$5,$C$7,AK$1,AK$2,$A132)</f>
        <v>0</v>
      </c>
      <c r="AL132" s="32">
        <f ca="1">_xll.DBRW($C$1,$C$2,$C$3,$C$4,$C$6,$C$5,$C$7,AL$1,AL$2,$A132)</f>
        <v>0</v>
      </c>
      <c r="AM132" s="32">
        <f ca="1">_xll.DBRW($C$1,$C$2,$C$3,$C$4,$C$6,$C$5,$C$7,AM$1,AM$2,$A132)</f>
        <v>0</v>
      </c>
      <c r="AN132" s="32">
        <f ca="1">_xll.DBRW($C$1,$C$2,$C$3,$C$4,$C$6,$C$5,$C$7,AN$1,AN$2,$A132)</f>
        <v>0</v>
      </c>
      <c r="AO132" s="32">
        <f ca="1">_xll.DBRW($C$1,$C$2,$C$3,$C$4,$C$6,$C$5,$C$7,AO$1,AO$2,$A132)</f>
        <v>0</v>
      </c>
      <c r="AP132" s="32">
        <f ca="1">_xll.DBRW($C$1,$C$2,$C$3,$C$4,$C$6,$C$5,$C$7,AP$1,AP$2,$A132)</f>
        <v>0</v>
      </c>
      <c r="AQ132" s="32">
        <f ca="1">_xll.DBRW($C$1,$C$2,$C$3,$C$4,$C$6,$C$5,$C$7,AQ$1,AQ$2,$A132)</f>
        <v>0</v>
      </c>
      <c r="AR132" s="32">
        <f ca="1">_xll.DBRW($C$1,$C$2,$C$3,$C$4,$C$6,$C$5,$C$7,AR$1,AR$2,$A132)</f>
        <v>0</v>
      </c>
      <c r="AS132" s="32">
        <f ca="1">_xll.DBRW($C$1,$C$2,$C$3,$C$4,$C$6,$C$5,$C$7,AS$1,AS$2,$A132)</f>
        <v>0</v>
      </c>
      <c r="AT132" s="32">
        <f ca="1">_xll.DBRW($C$1,$C$2,$C$3,$C$4,$C$6,$C$5,$C$7,AT$1,AT$2,$A132)</f>
        <v>0</v>
      </c>
      <c r="AU132" s="32">
        <f ca="1">_xll.DBRW($C$1,$C$2,$C$3,$C$4,$C$6,$C$5,$C$7,AU$1,AU$2,$A132)</f>
        <v>0</v>
      </c>
    </row>
    <row r="133" spans="1:47" ht="15.75" hidden="1" customHeight="1" outlineLevel="2">
      <c r="A133" s="1" t="s">
        <v>213</v>
      </c>
      <c r="C133" s="141"/>
      <c r="E133" s="9" t="str">
        <f ca="1">_xll.DBRW(Server&amp;"}ElementAttributes_Indicator",A133,"code_English")</f>
        <v>PL1140_CS_05 - Amortization (CS)</v>
      </c>
      <c r="F133" s="32">
        <f ca="1">_xll.DBRW($C$1,$C$2,$C$3,$C$4,$C$6,$C$5,$C$7,F$1,F$2,$A133)</f>
        <v>0</v>
      </c>
      <c r="G133" s="32">
        <f ca="1">_xll.DBRW($C$1,$C$2,$C$3,$C$4,$C$6,$C$5,$C$7,G$1,G$2,$A133)</f>
        <v>0</v>
      </c>
      <c r="H133" s="32">
        <f ca="1">_xll.DBRW($C$1,$C$2,$C$3,$C$4,$C$6,$C$5,$C$7,H$1,H$2,$A133)</f>
        <v>0</v>
      </c>
      <c r="I133" s="32">
        <f ca="1">_xll.DBRW($C$1,$C$2,$C$3,$C$4,$C$6,$C$5,$C$7,I$1,I$2,$A133)</f>
        <v>0</v>
      </c>
      <c r="J133" s="32">
        <f ca="1">_xll.DBRW($C$1,$C$2,$C$3,$C$4,$C$6,$C$5,$C$7,J$1,J$2,$A133)</f>
        <v>0</v>
      </c>
      <c r="K133" s="32">
        <f ca="1">_xll.DBRW($C$1,$C$2,$C$3,$C$4,$C$6,$C$5,$C$7,K$1,K$2,$A133)</f>
        <v>0</v>
      </c>
      <c r="L133" s="32">
        <f ca="1">_xll.DBRW($C$1,$C$2,$C$3,$C$4,$C$6,$C$5,$C$7,L$1,L$2,$A133)</f>
        <v>0</v>
      </c>
      <c r="M133" s="32">
        <f ca="1">_xll.DBRW($C$1,$C$2,$C$3,$C$4,$C$6,$C$5,$C$7,M$1,M$2,$A133)</f>
        <v>0</v>
      </c>
      <c r="N133" s="32">
        <f ca="1">_xll.DBRW($C$1,$C$2,$C$3,$C$4,$C$6,$C$5,$C$7,N$1,N$2,$A133)</f>
        <v>0</v>
      </c>
      <c r="O133" s="32">
        <f ca="1">_xll.DBRW($C$1,$C$2,$C$3,$C$4,$C$6,$C$5,$C$7,O$1,O$2,$A133)</f>
        <v>0</v>
      </c>
      <c r="P133" s="32">
        <f ca="1">_xll.DBRW($C$1,$C$2,$C$3,$C$4,$C$6,$C$5,$C$7,P$1,P$2,$A133)</f>
        <v>0</v>
      </c>
      <c r="Q133" s="32">
        <f ca="1">_xll.DBRW($C$1,$C$2,$C$3,$C$4,$C$6,$C$5,$C$7,Q$1,Q$2,$A133)</f>
        <v>0</v>
      </c>
      <c r="R133" s="32">
        <f ca="1">_xll.DBRW($C$1,$C$2,$C$3,$C$4,$C$6,$C$5,$C$7,R$1,R$2,$A133)</f>
        <v>0</v>
      </c>
      <c r="S133" s="32">
        <f ca="1">_xll.DBRW($C$1,$C$2,$C$3,$C$4,$C$6,$C$5,$C$7,S$1,S$2,$A133)</f>
        <v>0</v>
      </c>
      <c r="T133" s="32">
        <f ca="1">_xll.DBRW($C$1,$C$2,$C$3,$C$4,$C$6,$C$5,$C$7,T$1,T$2,$A133)</f>
        <v>0</v>
      </c>
      <c r="U133" s="32">
        <f ca="1">_xll.DBRW($C$1,$C$2,$C$3,$C$4,$C$6,$C$5,$C$7,U$1,U$2,$A133)</f>
        <v>0</v>
      </c>
      <c r="V133" s="32">
        <f ca="1">_xll.DBRW($C$1,$C$2,$C$3,$C$4,$C$6,$C$5,$C$7,V$1,V$2,$A133)</f>
        <v>0</v>
      </c>
      <c r="W133" s="32">
        <f ca="1">_xll.DBRW($C$1,$C$2,$C$3,$C$4,$C$6,$C$5,$C$7,W$1,W$2,$A133)</f>
        <v>0</v>
      </c>
      <c r="X133" s="32">
        <f ca="1">_xll.DBRW($C$1,$C$2,$C$3,$C$4,$C$6,$C$5,$C$7,X$1,X$2,$A133)</f>
        <v>0</v>
      </c>
      <c r="Y133" s="32">
        <f ca="1">_xll.DBRW($C$1,$C$2,$C$3,$C$4,$C$6,$C$5,$C$7,Y$1,Y$2,$A133)</f>
        <v>0</v>
      </c>
      <c r="Z133" s="32">
        <f ca="1">_xll.DBRW($C$1,$C$2,$C$3,$C$4,$C$6,$C$5,$C$7,Z$1,Z$2,$A133)</f>
        <v>0</v>
      </c>
      <c r="AA133" s="32">
        <f ca="1">_xll.DBRW($C$1,$C$2,$C$3,$C$4,$C$6,$C$5,$C$7,AA$1,AA$2,$A133)</f>
        <v>0</v>
      </c>
      <c r="AB133" s="32">
        <f ca="1">_xll.DBRW($C$1,$C$2,$C$3,$C$4,$C$6,$C$5,$C$7,AB$1,AB$2,$A133)</f>
        <v>0</v>
      </c>
      <c r="AC133" s="32">
        <f ca="1">_xll.DBRW($C$1,$C$2,$C$3,$C$4,$C$6,$C$5,$C$7,AC$1,AC$2,$A133)</f>
        <v>0</v>
      </c>
      <c r="AD133" s="32">
        <f ca="1">_xll.DBRW($C$1,$C$2,$C$3,$C$4,$C$6,$C$5,$C$7,AD$1,AD$2,$A133)</f>
        <v>0</v>
      </c>
      <c r="AE133" s="32">
        <f ca="1">_xll.DBRW($C$1,$C$2,$C$3,$C$4,$C$6,$C$5,$C$7,AE$1,AE$2,$A133)</f>
        <v>0</v>
      </c>
      <c r="AF133" s="32">
        <f ca="1">_xll.DBRW($C$1,$C$2,$C$3,$C$4,$C$6,$C$5,$C$7,AF$1,AF$2,$A133)</f>
        <v>0</v>
      </c>
      <c r="AG133" s="32">
        <f ca="1">_xll.DBRW($C$1,$C$2,$C$3,$C$4,$C$6,$C$5,$C$7,AG$1,AG$2,$A133)</f>
        <v>0</v>
      </c>
      <c r="AH133" s="32">
        <f ca="1">_xll.DBRW($C$1,$C$2,$C$3,$C$4,$C$6,$C$5,$C$7,AH$1,AH$2,$A133)</f>
        <v>0</v>
      </c>
      <c r="AI133" s="32">
        <f ca="1">_xll.DBRW($C$1,$C$2,$C$3,$C$4,$C$6,$C$5,$C$7,AI$1,AI$2,$A133)</f>
        <v>0</v>
      </c>
      <c r="AJ133" s="32">
        <f ca="1">_xll.DBRW($C$1,$C$2,$C$3,$C$4,$C$6,$C$5,$C$7,AJ$1,AJ$2,$A133)</f>
        <v>0</v>
      </c>
      <c r="AK133" s="32">
        <f ca="1">_xll.DBRW($C$1,$C$2,$C$3,$C$4,$C$6,$C$5,$C$7,AK$1,AK$2,$A133)</f>
        <v>0</v>
      </c>
      <c r="AL133" s="32">
        <f ca="1">_xll.DBRW($C$1,$C$2,$C$3,$C$4,$C$6,$C$5,$C$7,AL$1,AL$2,$A133)</f>
        <v>0</v>
      </c>
      <c r="AM133" s="32">
        <f ca="1">_xll.DBRW($C$1,$C$2,$C$3,$C$4,$C$6,$C$5,$C$7,AM$1,AM$2,$A133)</f>
        <v>0</v>
      </c>
      <c r="AN133" s="32">
        <f ca="1">_xll.DBRW($C$1,$C$2,$C$3,$C$4,$C$6,$C$5,$C$7,AN$1,AN$2,$A133)</f>
        <v>0</v>
      </c>
      <c r="AO133" s="32">
        <f ca="1">_xll.DBRW($C$1,$C$2,$C$3,$C$4,$C$6,$C$5,$C$7,AO$1,AO$2,$A133)</f>
        <v>0</v>
      </c>
      <c r="AP133" s="32">
        <f ca="1">_xll.DBRW($C$1,$C$2,$C$3,$C$4,$C$6,$C$5,$C$7,AP$1,AP$2,$A133)</f>
        <v>0</v>
      </c>
      <c r="AQ133" s="32">
        <f ca="1">_xll.DBRW($C$1,$C$2,$C$3,$C$4,$C$6,$C$5,$C$7,AQ$1,AQ$2,$A133)</f>
        <v>0</v>
      </c>
      <c r="AR133" s="32">
        <f ca="1">_xll.DBRW($C$1,$C$2,$C$3,$C$4,$C$6,$C$5,$C$7,AR$1,AR$2,$A133)</f>
        <v>0</v>
      </c>
      <c r="AS133" s="32">
        <f ca="1">_xll.DBRW($C$1,$C$2,$C$3,$C$4,$C$6,$C$5,$C$7,AS$1,AS$2,$A133)</f>
        <v>0</v>
      </c>
      <c r="AT133" s="32">
        <f ca="1">_xll.DBRW($C$1,$C$2,$C$3,$C$4,$C$6,$C$5,$C$7,AT$1,AT$2,$A133)</f>
        <v>0</v>
      </c>
      <c r="AU133" s="32">
        <f ca="1">_xll.DBRW($C$1,$C$2,$C$3,$C$4,$C$6,$C$5,$C$7,AU$1,AU$2,$A133)</f>
        <v>0</v>
      </c>
    </row>
    <row r="134" spans="1:47" ht="15.75" hidden="1" customHeight="1" outlineLevel="2">
      <c r="A134" s="1" t="s">
        <v>214</v>
      </c>
      <c r="C134" s="141"/>
      <c r="E134" s="9" t="str">
        <f ca="1">_xll.DBRW(Server&amp;"}ElementAttributes_Indicator",A134,"code_English")</f>
        <v>PL1150_CS_10 - Impairment (other than working capital) and provisions - related to staff costs (CS)</v>
      </c>
      <c r="F134" s="32">
        <f ca="1">_xll.DBRW($C$1,$C$2,$C$3,$C$4,$C$6,$C$5,$C$7,F$1,F$2,$A134)</f>
        <v>0</v>
      </c>
      <c r="G134" s="32">
        <f ca="1">_xll.DBRW($C$1,$C$2,$C$3,$C$4,$C$6,$C$5,$C$7,G$1,G$2,$A134)</f>
        <v>0</v>
      </c>
      <c r="H134" s="32">
        <f ca="1">_xll.DBRW($C$1,$C$2,$C$3,$C$4,$C$6,$C$5,$C$7,H$1,H$2,$A134)</f>
        <v>0</v>
      </c>
      <c r="I134" s="32">
        <f ca="1">_xll.DBRW($C$1,$C$2,$C$3,$C$4,$C$6,$C$5,$C$7,I$1,I$2,$A134)</f>
        <v>0</v>
      </c>
      <c r="J134" s="32">
        <f ca="1">_xll.DBRW($C$1,$C$2,$C$3,$C$4,$C$6,$C$5,$C$7,J$1,J$2,$A134)</f>
        <v>0</v>
      </c>
      <c r="K134" s="32">
        <f ca="1">_xll.DBRW($C$1,$C$2,$C$3,$C$4,$C$6,$C$5,$C$7,K$1,K$2,$A134)</f>
        <v>0</v>
      </c>
      <c r="L134" s="32">
        <f ca="1">_xll.DBRW($C$1,$C$2,$C$3,$C$4,$C$6,$C$5,$C$7,L$1,L$2,$A134)</f>
        <v>0</v>
      </c>
      <c r="M134" s="32">
        <f ca="1">_xll.DBRW($C$1,$C$2,$C$3,$C$4,$C$6,$C$5,$C$7,M$1,M$2,$A134)</f>
        <v>0</v>
      </c>
      <c r="N134" s="32">
        <f ca="1">_xll.DBRW($C$1,$C$2,$C$3,$C$4,$C$6,$C$5,$C$7,N$1,N$2,$A134)</f>
        <v>0</v>
      </c>
      <c r="O134" s="32">
        <f ca="1">_xll.DBRW($C$1,$C$2,$C$3,$C$4,$C$6,$C$5,$C$7,O$1,O$2,$A134)</f>
        <v>0</v>
      </c>
      <c r="P134" s="32">
        <f ca="1">_xll.DBRW($C$1,$C$2,$C$3,$C$4,$C$6,$C$5,$C$7,P$1,P$2,$A134)</f>
        <v>0</v>
      </c>
      <c r="Q134" s="32">
        <f ca="1">_xll.DBRW($C$1,$C$2,$C$3,$C$4,$C$6,$C$5,$C$7,Q$1,Q$2,$A134)</f>
        <v>0</v>
      </c>
      <c r="R134" s="32">
        <f ca="1">_xll.DBRW($C$1,$C$2,$C$3,$C$4,$C$6,$C$5,$C$7,R$1,R$2,$A134)</f>
        <v>0</v>
      </c>
      <c r="S134" s="32">
        <f ca="1">_xll.DBRW($C$1,$C$2,$C$3,$C$4,$C$6,$C$5,$C$7,S$1,S$2,$A134)</f>
        <v>0</v>
      </c>
      <c r="T134" s="32">
        <f ca="1">_xll.DBRW($C$1,$C$2,$C$3,$C$4,$C$6,$C$5,$C$7,T$1,T$2,$A134)</f>
        <v>0</v>
      </c>
      <c r="U134" s="32">
        <f ca="1">_xll.DBRW($C$1,$C$2,$C$3,$C$4,$C$6,$C$5,$C$7,U$1,U$2,$A134)</f>
        <v>0</v>
      </c>
      <c r="V134" s="32">
        <f ca="1">_xll.DBRW($C$1,$C$2,$C$3,$C$4,$C$6,$C$5,$C$7,V$1,V$2,$A134)</f>
        <v>0</v>
      </c>
      <c r="W134" s="32">
        <f ca="1">_xll.DBRW($C$1,$C$2,$C$3,$C$4,$C$6,$C$5,$C$7,W$1,W$2,$A134)</f>
        <v>0</v>
      </c>
      <c r="X134" s="32">
        <f ca="1">_xll.DBRW($C$1,$C$2,$C$3,$C$4,$C$6,$C$5,$C$7,X$1,X$2,$A134)</f>
        <v>0</v>
      </c>
      <c r="Y134" s="32">
        <f ca="1">_xll.DBRW($C$1,$C$2,$C$3,$C$4,$C$6,$C$5,$C$7,Y$1,Y$2,$A134)</f>
        <v>0</v>
      </c>
      <c r="Z134" s="32">
        <f ca="1">_xll.DBRW($C$1,$C$2,$C$3,$C$4,$C$6,$C$5,$C$7,Z$1,Z$2,$A134)</f>
        <v>0</v>
      </c>
      <c r="AA134" s="32">
        <f ca="1">_xll.DBRW($C$1,$C$2,$C$3,$C$4,$C$6,$C$5,$C$7,AA$1,AA$2,$A134)</f>
        <v>0</v>
      </c>
      <c r="AB134" s="32">
        <f ca="1">_xll.DBRW($C$1,$C$2,$C$3,$C$4,$C$6,$C$5,$C$7,AB$1,AB$2,$A134)</f>
        <v>0</v>
      </c>
      <c r="AC134" s="32">
        <f ca="1">_xll.DBRW($C$1,$C$2,$C$3,$C$4,$C$6,$C$5,$C$7,AC$1,AC$2,$A134)</f>
        <v>0</v>
      </c>
      <c r="AD134" s="32">
        <f ca="1">_xll.DBRW($C$1,$C$2,$C$3,$C$4,$C$6,$C$5,$C$7,AD$1,AD$2,$A134)</f>
        <v>0</v>
      </c>
      <c r="AE134" s="32">
        <f ca="1">_xll.DBRW($C$1,$C$2,$C$3,$C$4,$C$6,$C$5,$C$7,AE$1,AE$2,$A134)</f>
        <v>0</v>
      </c>
      <c r="AF134" s="32">
        <f ca="1">_xll.DBRW($C$1,$C$2,$C$3,$C$4,$C$6,$C$5,$C$7,AF$1,AF$2,$A134)</f>
        <v>0</v>
      </c>
      <c r="AG134" s="32">
        <f ca="1">_xll.DBRW($C$1,$C$2,$C$3,$C$4,$C$6,$C$5,$C$7,AG$1,AG$2,$A134)</f>
        <v>0</v>
      </c>
      <c r="AH134" s="32">
        <f ca="1">_xll.DBRW($C$1,$C$2,$C$3,$C$4,$C$6,$C$5,$C$7,AH$1,AH$2,$A134)</f>
        <v>0</v>
      </c>
      <c r="AI134" s="32">
        <f ca="1">_xll.DBRW($C$1,$C$2,$C$3,$C$4,$C$6,$C$5,$C$7,AI$1,AI$2,$A134)</f>
        <v>0</v>
      </c>
      <c r="AJ134" s="32">
        <f ca="1">_xll.DBRW($C$1,$C$2,$C$3,$C$4,$C$6,$C$5,$C$7,AJ$1,AJ$2,$A134)</f>
        <v>0</v>
      </c>
      <c r="AK134" s="32">
        <f ca="1">_xll.DBRW($C$1,$C$2,$C$3,$C$4,$C$6,$C$5,$C$7,AK$1,AK$2,$A134)</f>
        <v>0</v>
      </c>
      <c r="AL134" s="32">
        <f ca="1">_xll.DBRW($C$1,$C$2,$C$3,$C$4,$C$6,$C$5,$C$7,AL$1,AL$2,$A134)</f>
        <v>0</v>
      </c>
      <c r="AM134" s="32">
        <f ca="1">_xll.DBRW($C$1,$C$2,$C$3,$C$4,$C$6,$C$5,$C$7,AM$1,AM$2,$A134)</f>
        <v>0</v>
      </c>
      <c r="AN134" s="32">
        <f ca="1">_xll.DBRW($C$1,$C$2,$C$3,$C$4,$C$6,$C$5,$C$7,AN$1,AN$2,$A134)</f>
        <v>0</v>
      </c>
      <c r="AO134" s="32">
        <f ca="1">_xll.DBRW($C$1,$C$2,$C$3,$C$4,$C$6,$C$5,$C$7,AO$1,AO$2,$A134)</f>
        <v>0</v>
      </c>
      <c r="AP134" s="32">
        <f ca="1">_xll.DBRW($C$1,$C$2,$C$3,$C$4,$C$6,$C$5,$C$7,AP$1,AP$2,$A134)</f>
        <v>0</v>
      </c>
      <c r="AQ134" s="32">
        <f ca="1">_xll.DBRW($C$1,$C$2,$C$3,$C$4,$C$6,$C$5,$C$7,AQ$1,AQ$2,$A134)</f>
        <v>0</v>
      </c>
      <c r="AR134" s="32">
        <f ca="1">_xll.DBRW($C$1,$C$2,$C$3,$C$4,$C$6,$C$5,$C$7,AR$1,AR$2,$A134)</f>
        <v>0</v>
      </c>
      <c r="AS134" s="32">
        <f ca="1">_xll.DBRW($C$1,$C$2,$C$3,$C$4,$C$6,$C$5,$C$7,AS$1,AS$2,$A134)</f>
        <v>0</v>
      </c>
      <c r="AT134" s="32">
        <f ca="1">_xll.DBRW($C$1,$C$2,$C$3,$C$4,$C$6,$C$5,$C$7,AT$1,AT$2,$A134)</f>
        <v>0</v>
      </c>
      <c r="AU134" s="32">
        <f ca="1">_xll.DBRW($C$1,$C$2,$C$3,$C$4,$C$6,$C$5,$C$7,AU$1,AU$2,$A134)</f>
        <v>0</v>
      </c>
    </row>
    <row r="135" spans="1:47" ht="15.75" hidden="1" customHeight="1" outlineLevel="2">
      <c r="A135" s="1" t="s">
        <v>215</v>
      </c>
      <c r="C135" s="141"/>
      <c r="E135" s="9" t="str">
        <f ca="1">_xll.DBRW(Server&amp;"}ElementAttributes_Indicator",A135,"code_English")</f>
        <v>PL1150_CS_11 - Impairment (other than working capital) and provisions - related to staff costs - Reversal (CS)</v>
      </c>
      <c r="F135" s="32">
        <f ca="1">_xll.DBRW($C$1,$C$2,$C$3,$C$4,$C$6,$C$5,$C$7,F$1,F$2,$A135)</f>
        <v>0</v>
      </c>
      <c r="G135" s="32">
        <f ca="1">_xll.DBRW($C$1,$C$2,$C$3,$C$4,$C$6,$C$5,$C$7,G$1,G$2,$A135)</f>
        <v>0</v>
      </c>
      <c r="H135" s="32">
        <f ca="1">_xll.DBRW($C$1,$C$2,$C$3,$C$4,$C$6,$C$5,$C$7,H$1,H$2,$A135)</f>
        <v>0</v>
      </c>
      <c r="I135" s="32">
        <f ca="1">_xll.DBRW($C$1,$C$2,$C$3,$C$4,$C$6,$C$5,$C$7,I$1,I$2,$A135)</f>
        <v>0</v>
      </c>
      <c r="J135" s="32">
        <f ca="1">_xll.DBRW($C$1,$C$2,$C$3,$C$4,$C$6,$C$5,$C$7,J$1,J$2,$A135)</f>
        <v>0</v>
      </c>
      <c r="K135" s="32">
        <f ca="1">_xll.DBRW($C$1,$C$2,$C$3,$C$4,$C$6,$C$5,$C$7,K$1,K$2,$A135)</f>
        <v>0</v>
      </c>
      <c r="L135" s="32">
        <f ca="1">_xll.DBRW($C$1,$C$2,$C$3,$C$4,$C$6,$C$5,$C$7,L$1,L$2,$A135)</f>
        <v>0</v>
      </c>
      <c r="M135" s="32">
        <f ca="1">_xll.DBRW($C$1,$C$2,$C$3,$C$4,$C$6,$C$5,$C$7,M$1,M$2,$A135)</f>
        <v>0</v>
      </c>
      <c r="N135" s="32">
        <f ca="1">_xll.DBRW($C$1,$C$2,$C$3,$C$4,$C$6,$C$5,$C$7,N$1,N$2,$A135)</f>
        <v>0</v>
      </c>
      <c r="O135" s="32">
        <f ca="1">_xll.DBRW($C$1,$C$2,$C$3,$C$4,$C$6,$C$5,$C$7,O$1,O$2,$A135)</f>
        <v>0</v>
      </c>
      <c r="P135" s="32">
        <f ca="1">_xll.DBRW($C$1,$C$2,$C$3,$C$4,$C$6,$C$5,$C$7,P$1,P$2,$A135)</f>
        <v>0</v>
      </c>
      <c r="Q135" s="32">
        <f ca="1">_xll.DBRW($C$1,$C$2,$C$3,$C$4,$C$6,$C$5,$C$7,Q$1,Q$2,$A135)</f>
        <v>0</v>
      </c>
      <c r="R135" s="32">
        <f ca="1">_xll.DBRW($C$1,$C$2,$C$3,$C$4,$C$6,$C$5,$C$7,R$1,R$2,$A135)</f>
        <v>0</v>
      </c>
      <c r="S135" s="32">
        <f ca="1">_xll.DBRW($C$1,$C$2,$C$3,$C$4,$C$6,$C$5,$C$7,S$1,S$2,$A135)</f>
        <v>0</v>
      </c>
      <c r="T135" s="32">
        <f ca="1">_xll.DBRW($C$1,$C$2,$C$3,$C$4,$C$6,$C$5,$C$7,T$1,T$2,$A135)</f>
        <v>0</v>
      </c>
      <c r="U135" s="32">
        <f ca="1">_xll.DBRW($C$1,$C$2,$C$3,$C$4,$C$6,$C$5,$C$7,U$1,U$2,$A135)</f>
        <v>0</v>
      </c>
      <c r="V135" s="32">
        <f ca="1">_xll.DBRW($C$1,$C$2,$C$3,$C$4,$C$6,$C$5,$C$7,V$1,V$2,$A135)</f>
        <v>0</v>
      </c>
      <c r="W135" s="32">
        <f ca="1">_xll.DBRW($C$1,$C$2,$C$3,$C$4,$C$6,$C$5,$C$7,W$1,W$2,$A135)</f>
        <v>0</v>
      </c>
      <c r="X135" s="32">
        <f ca="1">_xll.DBRW($C$1,$C$2,$C$3,$C$4,$C$6,$C$5,$C$7,X$1,X$2,$A135)</f>
        <v>0</v>
      </c>
      <c r="Y135" s="32">
        <f ca="1">_xll.DBRW($C$1,$C$2,$C$3,$C$4,$C$6,$C$5,$C$7,Y$1,Y$2,$A135)</f>
        <v>0</v>
      </c>
      <c r="Z135" s="32">
        <f ca="1">_xll.DBRW($C$1,$C$2,$C$3,$C$4,$C$6,$C$5,$C$7,Z$1,Z$2,$A135)</f>
        <v>0</v>
      </c>
      <c r="AA135" s="32">
        <f ca="1">_xll.DBRW($C$1,$C$2,$C$3,$C$4,$C$6,$C$5,$C$7,AA$1,AA$2,$A135)</f>
        <v>0</v>
      </c>
      <c r="AB135" s="32">
        <f ca="1">_xll.DBRW($C$1,$C$2,$C$3,$C$4,$C$6,$C$5,$C$7,AB$1,AB$2,$A135)</f>
        <v>0</v>
      </c>
      <c r="AC135" s="32">
        <f ca="1">_xll.DBRW($C$1,$C$2,$C$3,$C$4,$C$6,$C$5,$C$7,AC$1,AC$2,$A135)</f>
        <v>0</v>
      </c>
      <c r="AD135" s="32">
        <f ca="1">_xll.DBRW($C$1,$C$2,$C$3,$C$4,$C$6,$C$5,$C$7,AD$1,AD$2,$A135)</f>
        <v>0</v>
      </c>
      <c r="AE135" s="32">
        <f ca="1">_xll.DBRW($C$1,$C$2,$C$3,$C$4,$C$6,$C$5,$C$7,AE$1,AE$2,$A135)</f>
        <v>0</v>
      </c>
      <c r="AF135" s="32">
        <f ca="1">_xll.DBRW($C$1,$C$2,$C$3,$C$4,$C$6,$C$5,$C$7,AF$1,AF$2,$A135)</f>
        <v>0</v>
      </c>
      <c r="AG135" s="32">
        <f ca="1">_xll.DBRW($C$1,$C$2,$C$3,$C$4,$C$6,$C$5,$C$7,AG$1,AG$2,$A135)</f>
        <v>0</v>
      </c>
      <c r="AH135" s="32">
        <f ca="1">_xll.DBRW($C$1,$C$2,$C$3,$C$4,$C$6,$C$5,$C$7,AH$1,AH$2,$A135)</f>
        <v>0</v>
      </c>
      <c r="AI135" s="32">
        <f ca="1">_xll.DBRW($C$1,$C$2,$C$3,$C$4,$C$6,$C$5,$C$7,AI$1,AI$2,$A135)</f>
        <v>0</v>
      </c>
      <c r="AJ135" s="32">
        <f ca="1">_xll.DBRW($C$1,$C$2,$C$3,$C$4,$C$6,$C$5,$C$7,AJ$1,AJ$2,$A135)</f>
        <v>0</v>
      </c>
      <c r="AK135" s="32">
        <f ca="1">_xll.DBRW($C$1,$C$2,$C$3,$C$4,$C$6,$C$5,$C$7,AK$1,AK$2,$A135)</f>
        <v>0</v>
      </c>
      <c r="AL135" s="32">
        <f ca="1">_xll.DBRW($C$1,$C$2,$C$3,$C$4,$C$6,$C$5,$C$7,AL$1,AL$2,$A135)</f>
        <v>0</v>
      </c>
      <c r="AM135" s="32">
        <f ca="1">_xll.DBRW($C$1,$C$2,$C$3,$C$4,$C$6,$C$5,$C$7,AM$1,AM$2,$A135)</f>
        <v>0</v>
      </c>
      <c r="AN135" s="32">
        <f ca="1">_xll.DBRW($C$1,$C$2,$C$3,$C$4,$C$6,$C$5,$C$7,AN$1,AN$2,$A135)</f>
        <v>0</v>
      </c>
      <c r="AO135" s="32">
        <f ca="1">_xll.DBRW($C$1,$C$2,$C$3,$C$4,$C$6,$C$5,$C$7,AO$1,AO$2,$A135)</f>
        <v>0</v>
      </c>
      <c r="AP135" s="32">
        <f ca="1">_xll.DBRW($C$1,$C$2,$C$3,$C$4,$C$6,$C$5,$C$7,AP$1,AP$2,$A135)</f>
        <v>0</v>
      </c>
      <c r="AQ135" s="32">
        <f ca="1">_xll.DBRW($C$1,$C$2,$C$3,$C$4,$C$6,$C$5,$C$7,AQ$1,AQ$2,$A135)</f>
        <v>0</v>
      </c>
      <c r="AR135" s="32">
        <f ca="1">_xll.DBRW($C$1,$C$2,$C$3,$C$4,$C$6,$C$5,$C$7,AR$1,AR$2,$A135)</f>
        <v>0</v>
      </c>
      <c r="AS135" s="32">
        <f ca="1">_xll.DBRW($C$1,$C$2,$C$3,$C$4,$C$6,$C$5,$C$7,AS$1,AS$2,$A135)</f>
        <v>0</v>
      </c>
      <c r="AT135" s="32">
        <f ca="1">_xll.DBRW($C$1,$C$2,$C$3,$C$4,$C$6,$C$5,$C$7,AT$1,AT$2,$A135)</f>
        <v>0</v>
      </c>
      <c r="AU135" s="32">
        <f ca="1">_xll.DBRW($C$1,$C$2,$C$3,$C$4,$C$6,$C$5,$C$7,AU$1,AU$2,$A135)</f>
        <v>0</v>
      </c>
    </row>
    <row r="136" spans="1:47" ht="15.75" hidden="1" customHeight="1" outlineLevel="2">
      <c r="A136" s="1" t="s">
        <v>216</v>
      </c>
      <c r="C136" s="141"/>
      <c r="E136" s="9" t="str">
        <f ca="1">_xll.DBRW(Server&amp;"}ElementAttributes_Indicator",A136,"code_English")</f>
        <v>PL1150_CS_90 - Impairment (other than working capital) and provisions - others (CS)</v>
      </c>
      <c r="F136" s="32">
        <f ca="1">_xll.DBRW($C$1,$C$2,$C$3,$C$4,$C$6,$C$5,$C$7,F$1,F$2,$A136)</f>
        <v>0</v>
      </c>
      <c r="G136" s="32">
        <f ca="1">_xll.DBRW($C$1,$C$2,$C$3,$C$4,$C$6,$C$5,$C$7,G$1,G$2,$A136)</f>
        <v>0</v>
      </c>
      <c r="H136" s="32">
        <f ca="1">_xll.DBRW($C$1,$C$2,$C$3,$C$4,$C$6,$C$5,$C$7,H$1,H$2,$A136)</f>
        <v>0</v>
      </c>
      <c r="I136" s="32">
        <f ca="1">_xll.DBRW($C$1,$C$2,$C$3,$C$4,$C$6,$C$5,$C$7,I$1,I$2,$A136)</f>
        <v>0</v>
      </c>
      <c r="J136" s="32">
        <f ca="1">_xll.DBRW($C$1,$C$2,$C$3,$C$4,$C$6,$C$5,$C$7,J$1,J$2,$A136)</f>
        <v>0</v>
      </c>
      <c r="K136" s="32">
        <f ca="1">_xll.DBRW($C$1,$C$2,$C$3,$C$4,$C$6,$C$5,$C$7,K$1,K$2,$A136)</f>
        <v>0</v>
      </c>
      <c r="L136" s="32">
        <f ca="1">_xll.DBRW($C$1,$C$2,$C$3,$C$4,$C$6,$C$5,$C$7,L$1,L$2,$A136)</f>
        <v>0</v>
      </c>
      <c r="M136" s="32">
        <f ca="1">_xll.DBRW($C$1,$C$2,$C$3,$C$4,$C$6,$C$5,$C$7,M$1,M$2,$A136)</f>
        <v>0</v>
      </c>
      <c r="N136" s="32">
        <f ca="1">_xll.DBRW($C$1,$C$2,$C$3,$C$4,$C$6,$C$5,$C$7,N$1,N$2,$A136)</f>
        <v>0</v>
      </c>
      <c r="O136" s="32">
        <f ca="1">_xll.DBRW($C$1,$C$2,$C$3,$C$4,$C$6,$C$5,$C$7,O$1,O$2,$A136)</f>
        <v>0</v>
      </c>
      <c r="P136" s="32">
        <f ca="1">_xll.DBRW($C$1,$C$2,$C$3,$C$4,$C$6,$C$5,$C$7,P$1,P$2,$A136)</f>
        <v>0</v>
      </c>
      <c r="Q136" s="32">
        <f ca="1">_xll.DBRW($C$1,$C$2,$C$3,$C$4,$C$6,$C$5,$C$7,Q$1,Q$2,$A136)</f>
        <v>0</v>
      </c>
      <c r="R136" s="32">
        <f ca="1">_xll.DBRW($C$1,$C$2,$C$3,$C$4,$C$6,$C$5,$C$7,R$1,R$2,$A136)</f>
        <v>0</v>
      </c>
      <c r="S136" s="32">
        <f ca="1">_xll.DBRW($C$1,$C$2,$C$3,$C$4,$C$6,$C$5,$C$7,S$1,S$2,$A136)</f>
        <v>0</v>
      </c>
      <c r="T136" s="32">
        <f ca="1">_xll.DBRW($C$1,$C$2,$C$3,$C$4,$C$6,$C$5,$C$7,T$1,T$2,$A136)</f>
        <v>0</v>
      </c>
      <c r="U136" s="32">
        <f ca="1">_xll.DBRW($C$1,$C$2,$C$3,$C$4,$C$6,$C$5,$C$7,U$1,U$2,$A136)</f>
        <v>0</v>
      </c>
      <c r="V136" s="32">
        <f ca="1">_xll.DBRW($C$1,$C$2,$C$3,$C$4,$C$6,$C$5,$C$7,V$1,V$2,$A136)</f>
        <v>0</v>
      </c>
      <c r="W136" s="32">
        <f ca="1">_xll.DBRW($C$1,$C$2,$C$3,$C$4,$C$6,$C$5,$C$7,W$1,W$2,$A136)</f>
        <v>0</v>
      </c>
      <c r="X136" s="32">
        <f ca="1">_xll.DBRW($C$1,$C$2,$C$3,$C$4,$C$6,$C$5,$C$7,X$1,X$2,$A136)</f>
        <v>0</v>
      </c>
      <c r="Y136" s="32">
        <f ca="1">_xll.DBRW($C$1,$C$2,$C$3,$C$4,$C$6,$C$5,$C$7,Y$1,Y$2,$A136)</f>
        <v>0</v>
      </c>
      <c r="Z136" s="32">
        <f ca="1">_xll.DBRW($C$1,$C$2,$C$3,$C$4,$C$6,$C$5,$C$7,Z$1,Z$2,$A136)</f>
        <v>0</v>
      </c>
      <c r="AA136" s="32">
        <f ca="1">_xll.DBRW($C$1,$C$2,$C$3,$C$4,$C$6,$C$5,$C$7,AA$1,AA$2,$A136)</f>
        <v>0</v>
      </c>
      <c r="AB136" s="32">
        <f ca="1">_xll.DBRW($C$1,$C$2,$C$3,$C$4,$C$6,$C$5,$C$7,AB$1,AB$2,$A136)</f>
        <v>0</v>
      </c>
      <c r="AC136" s="32">
        <f ca="1">_xll.DBRW($C$1,$C$2,$C$3,$C$4,$C$6,$C$5,$C$7,AC$1,AC$2,$A136)</f>
        <v>0</v>
      </c>
      <c r="AD136" s="32">
        <f ca="1">_xll.DBRW($C$1,$C$2,$C$3,$C$4,$C$6,$C$5,$C$7,AD$1,AD$2,$A136)</f>
        <v>0</v>
      </c>
      <c r="AE136" s="32">
        <f ca="1">_xll.DBRW($C$1,$C$2,$C$3,$C$4,$C$6,$C$5,$C$7,AE$1,AE$2,$A136)</f>
        <v>0</v>
      </c>
      <c r="AF136" s="32">
        <f ca="1">_xll.DBRW($C$1,$C$2,$C$3,$C$4,$C$6,$C$5,$C$7,AF$1,AF$2,$A136)</f>
        <v>0</v>
      </c>
      <c r="AG136" s="32">
        <f ca="1">_xll.DBRW($C$1,$C$2,$C$3,$C$4,$C$6,$C$5,$C$7,AG$1,AG$2,$A136)</f>
        <v>0</v>
      </c>
      <c r="AH136" s="32">
        <f ca="1">_xll.DBRW($C$1,$C$2,$C$3,$C$4,$C$6,$C$5,$C$7,AH$1,AH$2,$A136)</f>
        <v>0</v>
      </c>
      <c r="AI136" s="32">
        <f ca="1">_xll.DBRW($C$1,$C$2,$C$3,$C$4,$C$6,$C$5,$C$7,AI$1,AI$2,$A136)</f>
        <v>0</v>
      </c>
      <c r="AJ136" s="32">
        <f ca="1">_xll.DBRW($C$1,$C$2,$C$3,$C$4,$C$6,$C$5,$C$7,AJ$1,AJ$2,$A136)</f>
        <v>0</v>
      </c>
      <c r="AK136" s="32">
        <f ca="1">_xll.DBRW($C$1,$C$2,$C$3,$C$4,$C$6,$C$5,$C$7,AK$1,AK$2,$A136)</f>
        <v>0</v>
      </c>
      <c r="AL136" s="32">
        <f ca="1">_xll.DBRW($C$1,$C$2,$C$3,$C$4,$C$6,$C$5,$C$7,AL$1,AL$2,$A136)</f>
        <v>0</v>
      </c>
      <c r="AM136" s="32">
        <f ca="1">_xll.DBRW($C$1,$C$2,$C$3,$C$4,$C$6,$C$5,$C$7,AM$1,AM$2,$A136)</f>
        <v>0</v>
      </c>
      <c r="AN136" s="32">
        <f ca="1">_xll.DBRW($C$1,$C$2,$C$3,$C$4,$C$6,$C$5,$C$7,AN$1,AN$2,$A136)</f>
        <v>0</v>
      </c>
      <c r="AO136" s="32">
        <f ca="1">_xll.DBRW($C$1,$C$2,$C$3,$C$4,$C$6,$C$5,$C$7,AO$1,AO$2,$A136)</f>
        <v>0</v>
      </c>
      <c r="AP136" s="32">
        <f ca="1">_xll.DBRW($C$1,$C$2,$C$3,$C$4,$C$6,$C$5,$C$7,AP$1,AP$2,$A136)</f>
        <v>0</v>
      </c>
      <c r="AQ136" s="32">
        <f ca="1">_xll.DBRW($C$1,$C$2,$C$3,$C$4,$C$6,$C$5,$C$7,AQ$1,AQ$2,$A136)</f>
        <v>0</v>
      </c>
      <c r="AR136" s="32">
        <f ca="1">_xll.DBRW($C$1,$C$2,$C$3,$C$4,$C$6,$C$5,$C$7,AR$1,AR$2,$A136)</f>
        <v>0</v>
      </c>
      <c r="AS136" s="32">
        <f ca="1">_xll.DBRW($C$1,$C$2,$C$3,$C$4,$C$6,$C$5,$C$7,AS$1,AS$2,$A136)</f>
        <v>0</v>
      </c>
      <c r="AT136" s="32">
        <f ca="1">_xll.DBRW($C$1,$C$2,$C$3,$C$4,$C$6,$C$5,$C$7,AT$1,AT$2,$A136)</f>
        <v>0</v>
      </c>
      <c r="AU136" s="32">
        <f ca="1">_xll.DBRW($C$1,$C$2,$C$3,$C$4,$C$6,$C$5,$C$7,AU$1,AU$2,$A136)</f>
        <v>0</v>
      </c>
    </row>
    <row r="137" spans="1:47" ht="15.75" hidden="1" outlineLevel="1">
      <c r="A137" s="1" t="s">
        <v>217</v>
      </c>
      <c r="C137" s="141"/>
      <c r="E137" s="14" t="s">
        <v>363</v>
      </c>
      <c r="F137" s="33">
        <f t="shared" ref="F137:T137" ca="1" si="72">SUM(F129:F136)</f>
        <v>-21627009.32</v>
      </c>
      <c r="G137" s="33">
        <f t="shared" ca="1" si="72"/>
        <v>-14869416.510000002</v>
      </c>
      <c r="H137" s="33">
        <f t="shared" ca="1" si="72"/>
        <v>-14780524.300000001</v>
      </c>
      <c r="I137" s="33">
        <f t="shared" ca="1" si="72"/>
        <v>-1219010.2999999998</v>
      </c>
      <c r="J137" s="33">
        <f t="shared" ca="1" si="72"/>
        <v>-2414932.48</v>
      </c>
      <c r="K137" s="33">
        <f t="shared" ca="1" si="72"/>
        <v>-3686275.9</v>
      </c>
      <c r="L137" s="33">
        <f t="shared" ca="1" si="72"/>
        <v>-4886629.1199999992</v>
      </c>
      <c r="M137" s="33">
        <f t="shared" ca="1" si="72"/>
        <v>-6289101.5599999996</v>
      </c>
      <c r="N137" s="33">
        <f t="shared" ca="1" si="72"/>
        <v>-7710883.9799999986</v>
      </c>
      <c r="O137" s="33">
        <f t="shared" ca="1" si="72"/>
        <v>-7710883.9799999986</v>
      </c>
      <c r="P137" s="33">
        <f t="shared" ca="1" si="72"/>
        <v>-7710883.9799999986</v>
      </c>
      <c r="Q137" s="33">
        <f t="shared" ca="1" si="72"/>
        <v>-7710883.9799999986</v>
      </c>
      <c r="R137" s="33">
        <f t="shared" ca="1" si="72"/>
        <v>-7710883.9799999986</v>
      </c>
      <c r="S137" s="33">
        <f t="shared" ca="1" si="72"/>
        <v>-7710883.9799999986</v>
      </c>
      <c r="T137" s="33">
        <f t="shared" ca="1" si="72"/>
        <v>-7710883.9799999986</v>
      </c>
      <c r="U137" s="33">
        <f ca="1">SUM(U129:U136)</f>
        <v>-7710883.9799999986</v>
      </c>
      <c r="V137" s="33">
        <f t="shared" ref="V137:AG137" ca="1" si="73">SUM(V129:V136)</f>
        <v>0</v>
      </c>
      <c r="W137" s="33">
        <f t="shared" ca="1" si="73"/>
        <v>0</v>
      </c>
      <c r="X137" s="33">
        <f t="shared" ca="1" si="73"/>
        <v>0</v>
      </c>
      <c r="Y137" s="33">
        <f t="shared" ca="1" si="73"/>
        <v>0</v>
      </c>
      <c r="Z137" s="33">
        <f t="shared" ca="1" si="73"/>
        <v>0</v>
      </c>
      <c r="AA137" s="33">
        <f t="shared" ca="1" si="73"/>
        <v>0</v>
      </c>
      <c r="AB137" s="33">
        <f t="shared" ca="1" si="73"/>
        <v>0</v>
      </c>
      <c r="AC137" s="33">
        <f t="shared" ca="1" si="73"/>
        <v>0</v>
      </c>
      <c r="AD137" s="33">
        <f t="shared" ca="1" si="73"/>
        <v>0</v>
      </c>
      <c r="AE137" s="33">
        <f t="shared" ca="1" si="73"/>
        <v>0</v>
      </c>
      <c r="AF137" s="33">
        <f t="shared" ca="1" si="73"/>
        <v>0</v>
      </c>
      <c r="AG137" s="33">
        <f t="shared" ca="1" si="73"/>
        <v>0</v>
      </c>
      <c r="AH137" s="33">
        <f ca="1">SUM(AH129:AH136)</f>
        <v>0</v>
      </c>
      <c r="AI137" s="33">
        <f t="shared" ref="AI137:AT137" ca="1" si="74">SUM(AI129:AI136)</f>
        <v>0</v>
      </c>
      <c r="AJ137" s="33">
        <f t="shared" ca="1" si="74"/>
        <v>0</v>
      </c>
      <c r="AK137" s="33">
        <f t="shared" ca="1" si="74"/>
        <v>0</v>
      </c>
      <c r="AL137" s="33">
        <f t="shared" ca="1" si="74"/>
        <v>0</v>
      </c>
      <c r="AM137" s="33">
        <f t="shared" ca="1" si="74"/>
        <v>0</v>
      </c>
      <c r="AN137" s="33">
        <f t="shared" ca="1" si="74"/>
        <v>0</v>
      </c>
      <c r="AO137" s="33">
        <f t="shared" ca="1" si="74"/>
        <v>0</v>
      </c>
      <c r="AP137" s="33">
        <f t="shared" ca="1" si="74"/>
        <v>0</v>
      </c>
      <c r="AQ137" s="33">
        <f t="shared" ca="1" si="74"/>
        <v>0</v>
      </c>
      <c r="AR137" s="33">
        <f t="shared" ca="1" si="74"/>
        <v>0</v>
      </c>
      <c r="AS137" s="33">
        <f t="shared" ca="1" si="74"/>
        <v>0</v>
      </c>
      <c r="AT137" s="33">
        <f t="shared" ca="1" si="74"/>
        <v>0</v>
      </c>
      <c r="AU137" s="33">
        <f ca="1">SUM(AU129:AU136)</f>
        <v>0</v>
      </c>
    </row>
    <row r="138" spans="1:47" ht="15.75" hidden="1" customHeight="1" outlineLevel="2">
      <c r="A138" s="1" t="s">
        <v>218</v>
      </c>
      <c r="C138" s="141"/>
      <c r="E138" s="9" t="str">
        <f ca="1">_xll.DBRW(Server&amp;"}ElementAttributes_Indicator",A138,"code_English")</f>
        <v>PL1110_DS_10 - Staff costs (DS)</v>
      </c>
      <c r="F138" s="32">
        <f ca="1">_xll.DBRW($C$1,$C$2,$C$3,$C$4,$C$6,$C$5,$C$7,F$1,F$2,$A138)</f>
        <v>-69752180.899999991</v>
      </c>
      <c r="G138" s="32">
        <f ca="1">_xll.DBRW($C$1,$C$2,$C$3,$C$4,$C$6,$C$5,$C$7,G$1,G$2,$A138)</f>
        <v>-69523682.659999996</v>
      </c>
      <c r="H138" s="32">
        <f ca="1">_xll.DBRW($C$1,$C$2,$C$3,$C$4,$C$6,$C$5,$C$7,H$1,H$2,$A138)</f>
        <v>-71120896.26000002</v>
      </c>
      <c r="I138" s="32">
        <f ca="1">_xll.DBRW($C$1,$C$2,$C$3,$C$4,$C$6,$C$5,$C$7,I$1,I$2,$A138)</f>
        <v>-6277630.6100000003</v>
      </c>
      <c r="J138" s="32">
        <f ca="1">_xll.DBRW($C$1,$C$2,$C$3,$C$4,$C$6,$C$5,$C$7,J$1,J$2,$A138)</f>
        <v>-12404099.84</v>
      </c>
      <c r="K138" s="32">
        <f ca="1">_xll.DBRW($C$1,$C$2,$C$3,$C$4,$C$6,$C$5,$C$7,K$1,K$2,$A138)</f>
        <v>-18608525.919999998</v>
      </c>
      <c r="L138" s="32">
        <f ca="1">_xll.DBRW($C$1,$C$2,$C$3,$C$4,$C$6,$C$5,$C$7,L$1,L$2,$A138)</f>
        <v>-24527925.469999999</v>
      </c>
      <c r="M138" s="32">
        <f ca="1">_xll.DBRW($C$1,$C$2,$C$3,$C$4,$C$6,$C$5,$C$7,M$1,M$2,$A138)</f>
        <v>-30540464.759999998</v>
      </c>
      <c r="N138" s="32">
        <f ca="1">_xll.DBRW($C$1,$C$2,$C$3,$C$4,$C$6,$C$5,$C$7,N$1,N$2,$A138)</f>
        <v>-37005410.670000002</v>
      </c>
      <c r="O138" s="32">
        <f ca="1">_xll.DBRW($C$1,$C$2,$C$3,$C$4,$C$6,$C$5,$C$7,O$1,O$2,$A138)</f>
        <v>-37005410.670000002</v>
      </c>
      <c r="P138" s="32">
        <f ca="1">_xll.DBRW($C$1,$C$2,$C$3,$C$4,$C$6,$C$5,$C$7,P$1,P$2,$A138)</f>
        <v>-37005410.670000002</v>
      </c>
      <c r="Q138" s="32">
        <f ca="1">_xll.DBRW($C$1,$C$2,$C$3,$C$4,$C$6,$C$5,$C$7,Q$1,Q$2,$A138)</f>
        <v>-37005410.670000002</v>
      </c>
      <c r="R138" s="32">
        <f ca="1">_xll.DBRW($C$1,$C$2,$C$3,$C$4,$C$6,$C$5,$C$7,R$1,R$2,$A138)</f>
        <v>-37005410.670000002</v>
      </c>
      <c r="S138" s="32">
        <f ca="1">_xll.DBRW($C$1,$C$2,$C$3,$C$4,$C$6,$C$5,$C$7,S$1,S$2,$A138)</f>
        <v>-37005410.670000002</v>
      </c>
      <c r="T138" s="32">
        <f ca="1">_xll.DBRW($C$1,$C$2,$C$3,$C$4,$C$6,$C$5,$C$7,T$1,T$2,$A138)</f>
        <v>-37005410.670000002</v>
      </c>
      <c r="U138" s="32">
        <f ca="1">_xll.DBRW($C$1,$C$2,$C$3,$C$4,$C$6,$C$5,$C$7,U$1,U$2,$A138)</f>
        <v>-37005410.670000002</v>
      </c>
      <c r="V138" s="32">
        <f ca="1">_xll.DBRW($C$1,$C$2,$C$3,$C$4,$C$6,$C$5,$C$7,V$1,V$2,$A138)</f>
        <v>0</v>
      </c>
      <c r="W138" s="32">
        <f ca="1">_xll.DBRW($C$1,$C$2,$C$3,$C$4,$C$6,$C$5,$C$7,W$1,W$2,$A138)</f>
        <v>0</v>
      </c>
      <c r="X138" s="32">
        <f ca="1">_xll.DBRW($C$1,$C$2,$C$3,$C$4,$C$6,$C$5,$C$7,X$1,X$2,$A138)</f>
        <v>0</v>
      </c>
      <c r="Y138" s="32">
        <f ca="1">_xll.DBRW($C$1,$C$2,$C$3,$C$4,$C$6,$C$5,$C$7,Y$1,Y$2,$A138)</f>
        <v>0</v>
      </c>
      <c r="Z138" s="32">
        <f ca="1">_xll.DBRW($C$1,$C$2,$C$3,$C$4,$C$6,$C$5,$C$7,Z$1,Z$2,$A138)</f>
        <v>0</v>
      </c>
      <c r="AA138" s="32">
        <f ca="1">_xll.DBRW($C$1,$C$2,$C$3,$C$4,$C$6,$C$5,$C$7,AA$1,AA$2,$A138)</f>
        <v>0</v>
      </c>
      <c r="AB138" s="32">
        <f ca="1">_xll.DBRW($C$1,$C$2,$C$3,$C$4,$C$6,$C$5,$C$7,AB$1,AB$2,$A138)</f>
        <v>0</v>
      </c>
      <c r="AC138" s="32">
        <f ca="1">_xll.DBRW($C$1,$C$2,$C$3,$C$4,$C$6,$C$5,$C$7,AC$1,AC$2,$A138)</f>
        <v>0</v>
      </c>
      <c r="AD138" s="32">
        <f ca="1">_xll.DBRW($C$1,$C$2,$C$3,$C$4,$C$6,$C$5,$C$7,AD$1,AD$2,$A138)</f>
        <v>0</v>
      </c>
      <c r="AE138" s="32">
        <f ca="1">_xll.DBRW($C$1,$C$2,$C$3,$C$4,$C$6,$C$5,$C$7,AE$1,AE$2,$A138)</f>
        <v>0</v>
      </c>
      <c r="AF138" s="32">
        <f ca="1">_xll.DBRW($C$1,$C$2,$C$3,$C$4,$C$6,$C$5,$C$7,AF$1,AF$2,$A138)</f>
        <v>0</v>
      </c>
      <c r="AG138" s="32">
        <f ca="1">_xll.DBRW($C$1,$C$2,$C$3,$C$4,$C$6,$C$5,$C$7,AG$1,AG$2,$A138)</f>
        <v>0</v>
      </c>
      <c r="AH138" s="32">
        <f ca="1">_xll.DBRW($C$1,$C$2,$C$3,$C$4,$C$6,$C$5,$C$7,AH$1,AH$2,$A138)</f>
        <v>0</v>
      </c>
      <c r="AI138" s="32">
        <f ca="1">_xll.DBRW($C$1,$C$2,$C$3,$C$4,$C$6,$C$5,$C$7,AI$1,AI$2,$A138)</f>
        <v>0</v>
      </c>
      <c r="AJ138" s="32">
        <f ca="1">_xll.DBRW($C$1,$C$2,$C$3,$C$4,$C$6,$C$5,$C$7,AJ$1,AJ$2,$A138)</f>
        <v>0</v>
      </c>
      <c r="AK138" s="32">
        <f ca="1">_xll.DBRW($C$1,$C$2,$C$3,$C$4,$C$6,$C$5,$C$7,AK$1,AK$2,$A138)</f>
        <v>0</v>
      </c>
      <c r="AL138" s="32">
        <f ca="1">_xll.DBRW($C$1,$C$2,$C$3,$C$4,$C$6,$C$5,$C$7,AL$1,AL$2,$A138)</f>
        <v>0</v>
      </c>
      <c r="AM138" s="32">
        <f ca="1">_xll.DBRW($C$1,$C$2,$C$3,$C$4,$C$6,$C$5,$C$7,AM$1,AM$2,$A138)</f>
        <v>0</v>
      </c>
      <c r="AN138" s="32">
        <f ca="1">_xll.DBRW($C$1,$C$2,$C$3,$C$4,$C$6,$C$5,$C$7,AN$1,AN$2,$A138)</f>
        <v>0</v>
      </c>
      <c r="AO138" s="32">
        <f ca="1">_xll.DBRW($C$1,$C$2,$C$3,$C$4,$C$6,$C$5,$C$7,AO$1,AO$2,$A138)</f>
        <v>0</v>
      </c>
      <c r="AP138" s="32">
        <f ca="1">_xll.DBRW($C$1,$C$2,$C$3,$C$4,$C$6,$C$5,$C$7,AP$1,AP$2,$A138)</f>
        <v>0</v>
      </c>
      <c r="AQ138" s="32">
        <f ca="1">_xll.DBRW($C$1,$C$2,$C$3,$C$4,$C$6,$C$5,$C$7,AQ$1,AQ$2,$A138)</f>
        <v>0</v>
      </c>
      <c r="AR138" s="32">
        <f ca="1">_xll.DBRW($C$1,$C$2,$C$3,$C$4,$C$6,$C$5,$C$7,AR$1,AR$2,$A138)</f>
        <v>0</v>
      </c>
      <c r="AS138" s="32">
        <f ca="1">_xll.DBRW($C$1,$C$2,$C$3,$C$4,$C$6,$C$5,$C$7,AS$1,AS$2,$A138)</f>
        <v>0</v>
      </c>
      <c r="AT138" s="32">
        <f ca="1">_xll.DBRW($C$1,$C$2,$C$3,$C$4,$C$6,$C$5,$C$7,AT$1,AT$2,$A138)</f>
        <v>0</v>
      </c>
      <c r="AU138" s="32">
        <f ca="1">_xll.DBRW($C$1,$C$2,$C$3,$C$4,$C$6,$C$5,$C$7,AU$1,AU$2,$A138)</f>
        <v>0</v>
      </c>
    </row>
    <row r="139" spans="1:47" ht="15.75" hidden="1" customHeight="1" outlineLevel="2">
      <c r="A139" s="1" t="s">
        <v>219</v>
      </c>
      <c r="C139" s="141"/>
      <c r="E139" s="9" t="str">
        <f ca="1">_xll.DBRW(Server&amp;"}ElementAttributes_Indicator",A139,"code_English")</f>
        <v>PL1116_DS - COS - Lease expenses (DS)</v>
      </c>
      <c r="F139" s="32">
        <f ca="1">_xll.DBRW($C$1,$C$2,$C$3,$C$4,$C$6,$C$5,$C$7,F$1,F$2,$A139)</f>
        <v>0</v>
      </c>
      <c r="G139" s="32">
        <f ca="1">_xll.DBRW($C$1,$C$2,$C$3,$C$4,$C$6,$C$5,$C$7,G$1,G$2,$A139)</f>
        <v>0</v>
      </c>
      <c r="H139" s="32">
        <f ca="1">_xll.DBRW($C$1,$C$2,$C$3,$C$4,$C$6,$C$5,$C$7,H$1,H$2,$A139)</f>
        <v>0</v>
      </c>
      <c r="I139" s="32">
        <f ca="1">_xll.DBRW($C$1,$C$2,$C$3,$C$4,$C$6,$C$5,$C$7,I$1,I$2,$A139)</f>
        <v>0</v>
      </c>
      <c r="J139" s="32">
        <f ca="1">_xll.DBRW($C$1,$C$2,$C$3,$C$4,$C$6,$C$5,$C$7,J$1,J$2,$A139)</f>
        <v>0</v>
      </c>
      <c r="K139" s="32">
        <f ca="1">_xll.DBRW($C$1,$C$2,$C$3,$C$4,$C$6,$C$5,$C$7,K$1,K$2,$A139)</f>
        <v>0</v>
      </c>
      <c r="L139" s="32">
        <f ca="1">_xll.DBRW($C$1,$C$2,$C$3,$C$4,$C$6,$C$5,$C$7,L$1,L$2,$A139)</f>
        <v>0</v>
      </c>
      <c r="M139" s="32">
        <f ca="1">_xll.DBRW($C$1,$C$2,$C$3,$C$4,$C$6,$C$5,$C$7,M$1,M$2,$A139)</f>
        <v>0</v>
      </c>
      <c r="N139" s="32">
        <f ca="1">_xll.DBRW($C$1,$C$2,$C$3,$C$4,$C$6,$C$5,$C$7,N$1,N$2,$A139)</f>
        <v>0</v>
      </c>
      <c r="O139" s="32">
        <f ca="1">_xll.DBRW($C$1,$C$2,$C$3,$C$4,$C$6,$C$5,$C$7,O$1,O$2,$A139)</f>
        <v>0</v>
      </c>
      <c r="P139" s="32">
        <f ca="1">_xll.DBRW($C$1,$C$2,$C$3,$C$4,$C$6,$C$5,$C$7,P$1,P$2,$A139)</f>
        <v>0</v>
      </c>
      <c r="Q139" s="32">
        <f ca="1">_xll.DBRW($C$1,$C$2,$C$3,$C$4,$C$6,$C$5,$C$7,Q$1,Q$2,$A139)</f>
        <v>0</v>
      </c>
      <c r="R139" s="32">
        <f ca="1">_xll.DBRW($C$1,$C$2,$C$3,$C$4,$C$6,$C$5,$C$7,R$1,R$2,$A139)</f>
        <v>0</v>
      </c>
      <c r="S139" s="32">
        <f ca="1">_xll.DBRW($C$1,$C$2,$C$3,$C$4,$C$6,$C$5,$C$7,S$1,S$2,$A139)</f>
        <v>0</v>
      </c>
      <c r="T139" s="32">
        <f ca="1">_xll.DBRW($C$1,$C$2,$C$3,$C$4,$C$6,$C$5,$C$7,T$1,T$2,$A139)</f>
        <v>0</v>
      </c>
      <c r="U139" s="32">
        <f ca="1">_xll.DBRW($C$1,$C$2,$C$3,$C$4,$C$6,$C$5,$C$7,U$1,U$2,$A139)</f>
        <v>0</v>
      </c>
      <c r="V139" s="32">
        <f ca="1">_xll.DBRW($C$1,$C$2,$C$3,$C$4,$C$6,$C$5,$C$7,V$1,V$2,$A139)</f>
        <v>0</v>
      </c>
      <c r="W139" s="32">
        <f ca="1">_xll.DBRW($C$1,$C$2,$C$3,$C$4,$C$6,$C$5,$C$7,W$1,W$2,$A139)</f>
        <v>0</v>
      </c>
      <c r="X139" s="32">
        <f ca="1">_xll.DBRW($C$1,$C$2,$C$3,$C$4,$C$6,$C$5,$C$7,X$1,X$2,$A139)</f>
        <v>0</v>
      </c>
      <c r="Y139" s="32">
        <f ca="1">_xll.DBRW($C$1,$C$2,$C$3,$C$4,$C$6,$C$5,$C$7,Y$1,Y$2,$A139)</f>
        <v>0</v>
      </c>
      <c r="Z139" s="32">
        <f ca="1">_xll.DBRW($C$1,$C$2,$C$3,$C$4,$C$6,$C$5,$C$7,Z$1,Z$2,$A139)</f>
        <v>0</v>
      </c>
      <c r="AA139" s="32">
        <f ca="1">_xll.DBRW($C$1,$C$2,$C$3,$C$4,$C$6,$C$5,$C$7,AA$1,AA$2,$A139)</f>
        <v>0</v>
      </c>
      <c r="AB139" s="32">
        <f ca="1">_xll.DBRW($C$1,$C$2,$C$3,$C$4,$C$6,$C$5,$C$7,AB$1,AB$2,$A139)</f>
        <v>0</v>
      </c>
      <c r="AC139" s="32">
        <f ca="1">_xll.DBRW($C$1,$C$2,$C$3,$C$4,$C$6,$C$5,$C$7,AC$1,AC$2,$A139)</f>
        <v>0</v>
      </c>
      <c r="AD139" s="32">
        <f ca="1">_xll.DBRW($C$1,$C$2,$C$3,$C$4,$C$6,$C$5,$C$7,AD$1,AD$2,$A139)</f>
        <v>0</v>
      </c>
      <c r="AE139" s="32">
        <f ca="1">_xll.DBRW($C$1,$C$2,$C$3,$C$4,$C$6,$C$5,$C$7,AE$1,AE$2,$A139)</f>
        <v>0</v>
      </c>
      <c r="AF139" s="32">
        <f ca="1">_xll.DBRW($C$1,$C$2,$C$3,$C$4,$C$6,$C$5,$C$7,AF$1,AF$2,$A139)</f>
        <v>0</v>
      </c>
      <c r="AG139" s="32">
        <f ca="1">_xll.DBRW($C$1,$C$2,$C$3,$C$4,$C$6,$C$5,$C$7,AG$1,AG$2,$A139)</f>
        <v>0</v>
      </c>
      <c r="AH139" s="32">
        <f ca="1">_xll.DBRW($C$1,$C$2,$C$3,$C$4,$C$6,$C$5,$C$7,AH$1,AH$2,$A139)</f>
        <v>0</v>
      </c>
      <c r="AI139" s="32">
        <f ca="1">_xll.DBRW($C$1,$C$2,$C$3,$C$4,$C$6,$C$5,$C$7,AI$1,AI$2,$A139)</f>
        <v>0</v>
      </c>
      <c r="AJ139" s="32">
        <f ca="1">_xll.DBRW($C$1,$C$2,$C$3,$C$4,$C$6,$C$5,$C$7,AJ$1,AJ$2,$A139)</f>
        <v>0</v>
      </c>
      <c r="AK139" s="32">
        <f ca="1">_xll.DBRW($C$1,$C$2,$C$3,$C$4,$C$6,$C$5,$C$7,AK$1,AK$2,$A139)</f>
        <v>0</v>
      </c>
      <c r="AL139" s="32">
        <f ca="1">_xll.DBRW($C$1,$C$2,$C$3,$C$4,$C$6,$C$5,$C$7,AL$1,AL$2,$A139)</f>
        <v>0</v>
      </c>
      <c r="AM139" s="32">
        <f ca="1">_xll.DBRW($C$1,$C$2,$C$3,$C$4,$C$6,$C$5,$C$7,AM$1,AM$2,$A139)</f>
        <v>0</v>
      </c>
      <c r="AN139" s="32">
        <f ca="1">_xll.DBRW($C$1,$C$2,$C$3,$C$4,$C$6,$C$5,$C$7,AN$1,AN$2,$A139)</f>
        <v>0</v>
      </c>
      <c r="AO139" s="32">
        <f ca="1">_xll.DBRW($C$1,$C$2,$C$3,$C$4,$C$6,$C$5,$C$7,AO$1,AO$2,$A139)</f>
        <v>0</v>
      </c>
      <c r="AP139" s="32">
        <f ca="1">_xll.DBRW($C$1,$C$2,$C$3,$C$4,$C$6,$C$5,$C$7,AP$1,AP$2,$A139)</f>
        <v>0</v>
      </c>
      <c r="AQ139" s="32">
        <f ca="1">_xll.DBRW($C$1,$C$2,$C$3,$C$4,$C$6,$C$5,$C$7,AQ$1,AQ$2,$A139)</f>
        <v>0</v>
      </c>
      <c r="AR139" s="32">
        <f ca="1">_xll.DBRW($C$1,$C$2,$C$3,$C$4,$C$6,$C$5,$C$7,AR$1,AR$2,$A139)</f>
        <v>0</v>
      </c>
      <c r="AS139" s="32">
        <f ca="1">_xll.DBRW($C$1,$C$2,$C$3,$C$4,$C$6,$C$5,$C$7,AS$1,AS$2,$A139)</f>
        <v>0</v>
      </c>
      <c r="AT139" s="32">
        <f ca="1">_xll.DBRW($C$1,$C$2,$C$3,$C$4,$C$6,$C$5,$C$7,AT$1,AT$2,$A139)</f>
        <v>0</v>
      </c>
      <c r="AU139" s="32">
        <f ca="1">_xll.DBRW($C$1,$C$2,$C$3,$C$4,$C$6,$C$5,$C$7,AU$1,AU$2,$A139)</f>
        <v>0</v>
      </c>
    </row>
    <row r="140" spans="1:47" ht="15.75" hidden="1" customHeight="1" outlineLevel="2">
      <c r="A140" s="1" t="s">
        <v>220</v>
      </c>
      <c r="C140" s="141"/>
      <c r="E140" s="9" t="str">
        <f ca="1">_xll.DBRW(Server&amp;"}ElementAttributes_Indicator",A140,"code_English")</f>
        <v>PL1145_DS - Impairment - working capital (DS)</v>
      </c>
      <c r="F140" s="32">
        <f ca="1">_xll.DBRW($C$1,$C$2,$C$3,$C$4,$C$6,$C$5,$C$7,F$1,F$2,$A140)</f>
        <v>0</v>
      </c>
      <c r="G140" s="32">
        <f ca="1">_xll.DBRW($C$1,$C$2,$C$3,$C$4,$C$6,$C$5,$C$7,G$1,G$2,$A140)</f>
        <v>0</v>
      </c>
      <c r="H140" s="32">
        <f ca="1">_xll.DBRW($C$1,$C$2,$C$3,$C$4,$C$6,$C$5,$C$7,H$1,H$2,$A140)</f>
        <v>0</v>
      </c>
      <c r="I140" s="32">
        <f ca="1">_xll.DBRW($C$1,$C$2,$C$3,$C$4,$C$6,$C$5,$C$7,I$1,I$2,$A140)</f>
        <v>0</v>
      </c>
      <c r="J140" s="32">
        <f ca="1">_xll.DBRW($C$1,$C$2,$C$3,$C$4,$C$6,$C$5,$C$7,J$1,J$2,$A140)</f>
        <v>0</v>
      </c>
      <c r="K140" s="32">
        <f ca="1">_xll.DBRW($C$1,$C$2,$C$3,$C$4,$C$6,$C$5,$C$7,K$1,K$2,$A140)</f>
        <v>0</v>
      </c>
      <c r="L140" s="32">
        <f ca="1">_xll.DBRW($C$1,$C$2,$C$3,$C$4,$C$6,$C$5,$C$7,L$1,L$2,$A140)</f>
        <v>0</v>
      </c>
      <c r="M140" s="32">
        <f ca="1">_xll.DBRW($C$1,$C$2,$C$3,$C$4,$C$6,$C$5,$C$7,M$1,M$2,$A140)</f>
        <v>0</v>
      </c>
      <c r="N140" s="32">
        <f ca="1">_xll.DBRW($C$1,$C$2,$C$3,$C$4,$C$6,$C$5,$C$7,N$1,N$2,$A140)</f>
        <v>0</v>
      </c>
      <c r="O140" s="32">
        <f ca="1">_xll.DBRW($C$1,$C$2,$C$3,$C$4,$C$6,$C$5,$C$7,O$1,O$2,$A140)</f>
        <v>0</v>
      </c>
      <c r="P140" s="32">
        <f ca="1">_xll.DBRW($C$1,$C$2,$C$3,$C$4,$C$6,$C$5,$C$7,P$1,P$2,$A140)</f>
        <v>0</v>
      </c>
      <c r="Q140" s="32">
        <f ca="1">_xll.DBRW($C$1,$C$2,$C$3,$C$4,$C$6,$C$5,$C$7,Q$1,Q$2,$A140)</f>
        <v>0</v>
      </c>
      <c r="R140" s="32">
        <f ca="1">_xll.DBRW($C$1,$C$2,$C$3,$C$4,$C$6,$C$5,$C$7,R$1,R$2,$A140)</f>
        <v>0</v>
      </c>
      <c r="S140" s="32">
        <f ca="1">_xll.DBRW($C$1,$C$2,$C$3,$C$4,$C$6,$C$5,$C$7,S$1,S$2,$A140)</f>
        <v>0</v>
      </c>
      <c r="T140" s="32">
        <f ca="1">_xll.DBRW($C$1,$C$2,$C$3,$C$4,$C$6,$C$5,$C$7,T$1,T$2,$A140)</f>
        <v>0</v>
      </c>
      <c r="U140" s="32">
        <f ca="1">_xll.DBRW($C$1,$C$2,$C$3,$C$4,$C$6,$C$5,$C$7,U$1,U$2,$A140)</f>
        <v>0</v>
      </c>
      <c r="V140" s="32">
        <f ca="1">_xll.DBRW($C$1,$C$2,$C$3,$C$4,$C$6,$C$5,$C$7,V$1,V$2,$A140)</f>
        <v>0</v>
      </c>
      <c r="W140" s="32">
        <f ca="1">_xll.DBRW($C$1,$C$2,$C$3,$C$4,$C$6,$C$5,$C$7,W$1,W$2,$A140)</f>
        <v>0</v>
      </c>
      <c r="X140" s="32">
        <f ca="1">_xll.DBRW($C$1,$C$2,$C$3,$C$4,$C$6,$C$5,$C$7,X$1,X$2,$A140)</f>
        <v>0</v>
      </c>
      <c r="Y140" s="32">
        <f ca="1">_xll.DBRW($C$1,$C$2,$C$3,$C$4,$C$6,$C$5,$C$7,Y$1,Y$2,$A140)</f>
        <v>0</v>
      </c>
      <c r="Z140" s="32">
        <f ca="1">_xll.DBRW($C$1,$C$2,$C$3,$C$4,$C$6,$C$5,$C$7,Z$1,Z$2,$A140)</f>
        <v>0</v>
      </c>
      <c r="AA140" s="32">
        <f ca="1">_xll.DBRW($C$1,$C$2,$C$3,$C$4,$C$6,$C$5,$C$7,AA$1,AA$2,$A140)</f>
        <v>0</v>
      </c>
      <c r="AB140" s="32">
        <f ca="1">_xll.DBRW($C$1,$C$2,$C$3,$C$4,$C$6,$C$5,$C$7,AB$1,AB$2,$A140)</f>
        <v>0</v>
      </c>
      <c r="AC140" s="32">
        <f ca="1">_xll.DBRW($C$1,$C$2,$C$3,$C$4,$C$6,$C$5,$C$7,AC$1,AC$2,$A140)</f>
        <v>0</v>
      </c>
      <c r="AD140" s="32">
        <f ca="1">_xll.DBRW($C$1,$C$2,$C$3,$C$4,$C$6,$C$5,$C$7,AD$1,AD$2,$A140)</f>
        <v>0</v>
      </c>
      <c r="AE140" s="32">
        <f ca="1">_xll.DBRW($C$1,$C$2,$C$3,$C$4,$C$6,$C$5,$C$7,AE$1,AE$2,$A140)</f>
        <v>0</v>
      </c>
      <c r="AF140" s="32">
        <f ca="1">_xll.DBRW($C$1,$C$2,$C$3,$C$4,$C$6,$C$5,$C$7,AF$1,AF$2,$A140)</f>
        <v>0</v>
      </c>
      <c r="AG140" s="32">
        <f ca="1">_xll.DBRW($C$1,$C$2,$C$3,$C$4,$C$6,$C$5,$C$7,AG$1,AG$2,$A140)</f>
        <v>0</v>
      </c>
      <c r="AH140" s="32">
        <f ca="1">_xll.DBRW($C$1,$C$2,$C$3,$C$4,$C$6,$C$5,$C$7,AH$1,AH$2,$A140)</f>
        <v>0</v>
      </c>
      <c r="AI140" s="32">
        <f ca="1">_xll.DBRW($C$1,$C$2,$C$3,$C$4,$C$6,$C$5,$C$7,AI$1,AI$2,$A140)</f>
        <v>0</v>
      </c>
      <c r="AJ140" s="32">
        <f ca="1">_xll.DBRW($C$1,$C$2,$C$3,$C$4,$C$6,$C$5,$C$7,AJ$1,AJ$2,$A140)</f>
        <v>0</v>
      </c>
      <c r="AK140" s="32">
        <f ca="1">_xll.DBRW($C$1,$C$2,$C$3,$C$4,$C$6,$C$5,$C$7,AK$1,AK$2,$A140)</f>
        <v>0</v>
      </c>
      <c r="AL140" s="32">
        <f ca="1">_xll.DBRW($C$1,$C$2,$C$3,$C$4,$C$6,$C$5,$C$7,AL$1,AL$2,$A140)</f>
        <v>0</v>
      </c>
      <c r="AM140" s="32">
        <f ca="1">_xll.DBRW($C$1,$C$2,$C$3,$C$4,$C$6,$C$5,$C$7,AM$1,AM$2,$A140)</f>
        <v>0</v>
      </c>
      <c r="AN140" s="32">
        <f ca="1">_xll.DBRW($C$1,$C$2,$C$3,$C$4,$C$6,$C$5,$C$7,AN$1,AN$2,$A140)</f>
        <v>0</v>
      </c>
      <c r="AO140" s="32">
        <f ca="1">_xll.DBRW($C$1,$C$2,$C$3,$C$4,$C$6,$C$5,$C$7,AO$1,AO$2,$A140)</f>
        <v>0</v>
      </c>
      <c r="AP140" s="32">
        <f ca="1">_xll.DBRW($C$1,$C$2,$C$3,$C$4,$C$6,$C$5,$C$7,AP$1,AP$2,$A140)</f>
        <v>0</v>
      </c>
      <c r="AQ140" s="32">
        <f ca="1">_xll.DBRW($C$1,$C$2,$C$3,$C$4,$C$6,$C$5,$C$7,AQ$1,AQ$2,$A140)</f>
        <v>0</v>
      </c>
      <c r="AR140" s="32">
        <f ca="1">_xll.DBRW($C$1,$C$2,$C$3,$C$4,$C$6,$C$5,$C$7,AR$1,AR$2,$A140)</f>
        <v>0</v>
      </c>
      <c r="AS140" s="32">
        <f ca="1">_xll.DBRW($C$1,$C$2,$C$3,$C$4,$C$6,$C$5,$C$7,AS$1,AS$2,$A140)</f>
        <v>0</v>
      </c>
      <c r="AT140" s="32">
        <f ca="1">_xll.DBRW($C$1,$C$2,$C$3,$C$4,$C$6,$C$5,$C$7,AT$1,AT$2,$A140)</f>
        <v>0</v>
      </c>
      <c r="AU140" s="32">
        <f ca="1">_xll.DBRW($C$1,$C$2,$C$3,$C$4,$C$6,$C$5,$C$7,AU$1,AU$2,$A140)</f>
        <v>0</v>
      </c>
    </row>
    <row r="141" spans="1:47" ht="15.75" hidden="1" customHeight="1" outlineLevel="2">
      <c r="A141" s="1" t="s">
        <v>221</v>
      </c>
      <c r="C141" s="141"/>
      <c r="E141" s="9" t="str">
        <f ca="1">_xll.DBRW(Server&amp;"}ElementAttributes_Indicator",A141,"code_English")</f>
        <v>PL1155_DS_99 - Reinvoicing - Others (DS)</v>
      </c>
      <c r="F141" s="32">
        <f ca="1">_xll.DBRW($C$1,$C$2,$C$3,$C$4,$C$6,$C$5,$C$7,F$1,F$2,$A141)</f>
        <v>0</v>
      </c>
      <c r="G141" s="32">
        <f ca="1">_xll.DBRW($C$1,$C$2,$C$3,$C$4,$C$6,$C$5,$C$7,G$1,G$2,$A141)</f>
        <v>0</v>
      </c>
      <c r="H141" s="32">
        <f ca="1">_xll.DBRW($C$1,$C$2,$C$3,$C$4,$C$6,$C$5,$C$7,H$1,H$2,$A141)</f>
        <v>0</v>
      </c>
      <c r="I141" s="32">
        <f ca="1">_xll.DBRW($C$1,$C$2,$C$3,$C$4,$C$6,$C$5,$C$7,I$1,I$2,$A141)</f>
        <v>0</v>
      </c>
      <c r="J141" s="32">
        <f ca="1">_xll.DBRW($C$1,$C$2,$C$3,$C$4,$C$6,$C$5,$C$7,J$1,J$2,$A141)</f>
        <v>0</v>
      </c>
      <c r="K141" s="32">
        <f ca="1">_xll.DBRW($C$1,$C$2,$C$3,$C$4,$C$6,$C$5,$C$7,K$1,K$2,$A141)</f>
        <v>0</v>
      </c>
      <c r="L141" s="32">
        <f ca="1">_xll.DBRW($C$1,$C$2,$C$3,$C$4,$C$6,$C$5,$C$7,L$1,L$2,$A141)</f>
        <v>0</v>
      </c>
      <c r="M141" s="32">
        <f ca="1">_xll.DBRW($C$1,$C$2,$C$3,$C$4,$C$6,$C$5,$C$7,M$1,M$2,$A141)</f>
        <v>0</v>
      </c>
      <c r="N141" s="32">
        <f ca="1">_xll.DBRW($C$1,$C$2,$C$3,$C$4,$C$6,$C$5,$C$7,N$1,N$2,$A141)</f>
        <v>0</v>
      </c>
      <c r="O141" s="32">
        <f ca="1">_xll.DBRW($C$1,$C$2,$C$3,$C$4,$C$6,$C$5,$C$7,O$1,O$2,$A141)</f>
        <v>0</v>
      </c>
      <c r="P141" s="32">
        <f ca="1">_xll.DBRW($C$1,$C$2,$C$3,$C$4,$C$6,$C$5,$C$7,P$1,P$2,$A141)</f>
        <v>0</v>
      </c>
      <c r="Q141" s="32">
        <f ca="1">_xll.DBRW($C$1,$C$2,$C$3,$C$4,$C$6,$C$5,$C$7,Q$1,Q$2,$A141)</f>
        <v>0</v>
      </c>
      <c r="R141" s="32">
        <f ca="1">_xll.DBRW($C$1,$C$2,$C$3,$C$4,$C$6,$C$5,$C$7,R$1,R$2,$A141)</f>
        <v>0</v>
      </c>
      <c r="S141" s="32">
        <f ca="1">_xll.DBRW($C$1,$C$2,$C$3,$C$4,$C$6,$C$5,$C$7,S$1,S$2,$A141)</f>
        <v>0</v>
      </c>
      <c r="T141" s="32">
        <f ca="1">_xll.DBRW($C$1,$C$2,$C$3,$C$4,$C$6,$C$5,$C$7,T$1,T$2,$A141)</f>
        <v>0</v>
      </c>
      <c r="U141" s="32">
        <f ca="1">_xll.DBRW($C$1,$C$2,$C$3,$C$4,$C$6,$C$5,$C$7,U$1,U$2,$A141)</f>
        <v>0</v>
      </c>
      <c r="V141" s="32">
        <f ca="1">_xll.DBRW($C$1,$C$2,$C$3,$C$4,$C$6,$C$5,$C$7,V$1,V$2,$A141)</f>
        <v>0</v>
      </c>
      <c r="W141" s="32">
        <f ca="1">_xll.DBRW($C$1,$C$2,$C$3,$C$4,$C$6,$C$5,$C$7,W$1,W$2,$A141)</f>
        <v>0</v>
      </c>
      <c r="X141" s="32">
        <f ca="1">_xll.DBRW($C$1,$C$2,$C$3,$C$4,$C$6,$C$5,$C$7,X$1,X$2,$A141)</f>
        <v>0</v>
      </c>
      <c r="Y141" s="32">
        <f ca="1">_xll.DBRW($C$1,$C$2,$C$3,$C$4,$C$6,$C$5,$C$7,Y$1,Y$2,$A141)</f>
        <v>0</v>
      </c>
      <c r="Z141" s="32">
        <f ca="1">_xll.DBRW($C$1,$C$2,$C$3,$C$4,$C$6,$C$5,$C$7,Z$1,Z$2,$A141)</f>
        <v>0</v>
      </c>
      <c r="AA141" s="32">
        <f ca="1">_xll.DBRW($C$1,$C$2,$C$3,$C$4,$C$6,$C$5,$C$7,AA$1,AA$2,$A141)</f>
        <v>0</v>
      </c>
      <c r="AB141" s="32">
        <f ca="1">_xll.DBRW($C$1,$C$2,$C$3,$C$4,$C$6,$C$5,$C$7,AB$1,AB$2,$A141)</f>
        <v>0</v>
      </c>
      <c r="AC141" s="32">
        <f ca="1">_xll.DBRW($C$1,$C$2,$C$3,$C$4,$C$6,$C$5,$C$7,AC$1,AC$2,$A141)</f>
        <v>0</v>
      </c>
      <c r="AD141" s="32">
        <f ca="1">_xll.DBRW($C$1,$C$2,$C$3,$C$4,$C$6,$C$5,$C$7,AD$1,AD$2,$A141)</f>
        <v>0</v>
      </c>
      <c r="AE141" s="32">
        <f ca="1">_xll.DBRW($C$1,$C$2,$C$3,$C$4,$C$6,$C$5,$C$7,AE$1,AE$2,$A141)</f>
        <v>0</v>
      </c>
      <c r="AF141" s="32">
        <f ca="1">_xll.DBRW($C$1,$C$2,$C$3,$C$4,$C$6,$C$5,$C$7,AF$1,AF$2,$A141)</f>
        <v>0</v>
      </c>
      <c r="AG141" s="32">
        <f ca="1">_xll.DBRW($C$1,$C$2,$C$3,$C$4,$C$6,$C$5,$C$7,AG$1,AG$2,$A141)</f>
        <v>0</v>
      </c>
      <c r="AH141" s="32">
        <f ca="1">_xll.DBRW($C$1,$C$2,$C$3,$C$4,$C$6,$C$5,$C$7,AH$1,AH$2,$A141)</f>
        <v>0</v>
      </c>
      <c r="AI141" s="32">
        <f ca="1">_xll.DBRW($C$1,$C$2,$C$3,$C$4,$C$6,$C$5,$C$7,AI$1,AI$2,$A141)</f>
        <v>0</v>
      </c>
      <c r="AJ141" s="32">
        <f ca="1">_xll.DBRW($C$1,$C$2,$C$3,$C$4,$C$6,$C$5,$C$7,AJ$1,AJ$2,$A141)</f>
        <v>0</v>
      </c>
      <c r="AK141" s="32">
        <f ca="1">_xll.DBRW($C$1,$C$2,$C$3,$C$4,$C$6,$C$5,$C$7,AK$1,AK$2,$A141)</f>
        <v>0</v>
      </c>
      <c r="AL141" s="32">
        <f ca="1">_xll.DBRW($C$1,$C$2,$C$3,$C$4,$C$6,$C$5,$C$7,AL$1,AL$2,$A141)</f>
        <v>0</v>
      </c>
      <c r="AM141" s="32">
        <f ca="1">_xll.DBRW($C$1,$C$2,$C$3,$C$4,$C$6,$C$5,$C$7,AM$1,AM$2,$A141)</f>
        <v>0</v>
      </c>
      <c r="AN141" s="32">
        <f ca="1">_xll.DBRW($C$1,$C$2,$C$3,$C$4,$C$6,$C$5,$C$7,AN$1,AN$2,$A141)</f>
        <v>0</v>
      </c>
      <c r="AO141" s="32">
        <f ca="1">_xll.DBRW($C$1,$C$2,$C$3,$C$4,$C$6,$C$5,$C$7,AO$1,AO$2,$A141)</f>
        <v>0</v>
      </c>
      <c r="AP141" s="32">
        <f ca="1">_xll.DBRW($C$1,$C$2,$C$3,$C$4,$C$6,$C$5,$C$7,AP$1,AP$2,$A141)</f>
        <v>0</v>
      </c>
      <c r="AQ141" s="32">
        <f ca="1">_xll.DBRW($C$1,$C$2,$C$3,$C$4,$C$6,$C$5,$C$7,AQ$1,AQ$2,$A141)</f>
        <v>0</v>
      </c>
      <c r="AR141" s="32">
        <f ca="1">_xll.DBRW($C$1,$C$2,$C$3,$C$4,$C$6,$C$5,$C$7,AR$1,AR$2,$A141)</f>
        <v>0</v>
      </c>
      <c r="AS141" s="32">
        <f ca="1">_xll.DBRW($C$1,$C$2,$C$3,$C$4,$C$6,$C$5,$C$7,AS$1,AS$2,$A141)</f>
        <v>0</v>
      </c>
      <c r="AT141" s="32">
        <f ca="1">_xll.DBRW($C$1,$C$2,$C$3,$C$4,$C$6,$C$5,$C$7,AT$1,AT$2,$A141)</f>
        <v>0</v>
      </c>
      <c r="AU141" s="32">
        <f ca="1">_xll.DBRW($C$1,$C$2,$C$3,$C$4,$C$6,$C$5,$C$7,AU$1,AU$2,$A141)</f>
        <v>0</v>
      </c>
    </row>
    <row r="142" spans="1:47" ht="15.75" hidden="1" customHeight="1" outlineLevel="2">
      <c r="A142" s="1" t="s">
        <v>222</v>
      </c>
      <c r="C142" s="141"/>
      <c r="E142" s="9" t="str">
        <f ca="1">_xll.DBRW(Server&amp;"}ElementAttributes_Indicator",A142,"code_English")</f>
        <v>PL1115_DS_20 - Interim staff (DS)</v>
      </c>
      <c r="F142" s="32">
        <f ca="1">_xll.DBRW($C$1,$C$2,$C$3,$C$4,$C$6,$C$5,$C$7,F$1,F$2,$A142)</f>
        <v>0</v>
      </c>
      <c r="G142" s="32">
        <f ca="1">_xll.DBRW($C$1,$C$2,$C$3,$C$4,$C$6,$C$5,$C$7,G$1,G$2,$A142)</f>
        <v>0</v>
      </c>
      <c r="H142" s="32">
        <f ca="1">_xll.DBRW($C$1,$C$2,$C$3,$C$4,$C$6,$C$5,$C$7,H$1,H$2,$A142)</f>
        <v>0</v>
      </c>
      <c r="I142" s="32">
        <f ca="1">_xll.DBRW($C$1,$C$2,$C$3,$C$4,$C$6,$C$5,$C$7,I$1,I$2,$A142)</f>
        <v>0</v>
      </c>
      <c r="J142" s="32">
        <f ca="1">_xll.DBRW($C$1,$C$2,$C$3,$C$4,$C$6,$C$5,$C$7,J$1,J$2,$A142)</f>
        <v>0</v>
      </c>
      <c r="K142" s="32">
        <f ca="1">_xll.DBRW($C$1,$C$2,$C$3,$C$4,$C$6,$C$5,$C$7,K$1,K$2,$A142)</f>
        <v>0</v>
      </c>
      <c r="L142" s="32">
        <f ca="1">_xll.DBRW($C$1,$C$2,$C$3,$C$4,$C$6,$C$5,$C$7,L$1,L$2,$A142)</f>
        <v>0</v>
      </c>
      <c r="M142" s="32">
        <f ca="1">_xll.DBRW($C$1,$C$2,$C$3,$C$4,$C$6,$C$5,$C$7,M$1,M$2,$A142)</f>
        <v>0</v>
      </c>
      <c r="N142" s="32">
        <f ca="1">_xll.DBRW($C$1,$C$2,$C$3,$C$4,$C$6,$C$5,$C$7,N$1,N$2,$A142)</f>
        <v>0</v>
      </c>
      <c r="O142" s="32">
        <f ca="1">_xll.DBRW($C$1,$C$2,$C$3,$C$4,$C$6,$C$5,$C$7,O$1,O$2,$A142)</f>
        <v>0</v>
      </c>
      <c r="P142" s="32">
        <f ca="1">_xll.DBRW($C$1,$C$2,$C$3,$C$4,$C$6,$C$5,$C$7,P$1,P$2,$A142)</f>
        <v>0</v>
      </c>
      <c r="Q142" s="32">
        <f ca="1">_xll.DBRW($C$1,$C$2,$C$3,$C$4,$C$6,$C$5,$C$7,Q$1,Q$2,$A142)</f>
        <v>0</v>
      </c>
      <c r="R142" s="32">
        <f ca="1">_xll.DBRW($C$1,$C$2,$C$3,$C$4,$C$6,$C$5,$C$7,R$1,R$2,$A142)</f>
        <v>0</v>
      </c>
      <c r="S142" s="32">
        <f ca="1">_xll.DBRW($C$1,$C$2,$C$3,$C$4,$C$6,$C$5,$C$7,S$1,S$2,$A142)</f>
        <v>0</v>
      </c>
      <c r="T142" s="32">
        <f ca="1">_xll.DBRW($C$1,$C$2,$C$3,$C$4,$C$6,$C$5,$C$7,T$1,T$2,$A142)</f>
        <v>0</v>
      </c>
      <c r="U142" s="32">
        <f ca="1">_xll.DBRW($C$1,$C$2,$C$3,$C$4,$C$6,$C$5,$C$7,U$1,U$2,$A142)</f>
        <v>0</v>
      </c>
      <c r="V142" s="32">
        <f ca="1">_xll.DBRW($C$1,$C$2,$C$3,$C$4,$C$6,$C$5,$C$7,V$1,V$2,$A142)</f>
        <v>0</v>
      </c>
      <c r="W142" s="32">
        <f ca="1">_xll.DBRW($C$1,$C$2,$C$3,$C$4,$C$6,$C$5,$C$7,W$1,W$2,$A142)</f>
        <v>0</v>
      </c>
      <c r="X142" s="32">
        <f ca="1">_xll.DBRW($C$1,$C$2,$C$3,$C$4,$C$6,$C$5,$C$7,X$1,X$2,$A142)</f>
        <v>0</v>
      </c>
      <c r="Y142" s="32">
        <f ca="1">_xll.DBRW($C$1,$C$2,$C$3,$C$4,$C$6,$C$5,$C$7,Y$1,Y$2,$A142)</f>
        <v>0</v>
      </c>
      <c r="Z142" s="32">
        <f ca="1">_xll.DBRW($C$1,$C$2,$C$3,$C$4,$C$6,$C$5,$C$7,Z$1,Z$2,$A142)</f>
        <v>0</v>
      </c>
      <c r="AA142" s="32">
        <f ca="1">_xll.DBRW($C$1,$C$2,$C$3,$C$4,$C$6,$C$5,$C$7,AA$1,AA$2,$A142)</f>
        <v>0</v>
      </c>
      <c r="AB142" s="32">
        <f ca="1">_xll.DBRW($C$1,$C$2,$C$3,$C$4,$C$6,$C$5,$C$7,AB$1,AB$2,$A142)</f>
        <v>0</v>
      </c>
      <c r="AC142" s="32">
        <f ca="1">_xll.DBRW($C$1,$C$2,$C$3,$C$4,$C$6,$C$5,$C$7,AC$1,AC$2,$A142)</f>
        <v>0</v>
      </c>
      <c r="AD142" s="32">
        <f ca="1">_xll.DBRW($C$1,$C$2,$C$3,$C$4,$C$6,$C$5,$C$7,AD$1,AD$2,$A142)</f>
        <v>0</v>
      </c>
      <c r="AE142" s="32">
        <f ca="1">_xll.DBRW($C$1,$C$2,$C$3,$C$4,$C$6,$C$5,$C$7,AE$1,AE$2,$A142)</f>
        <v>0</v>
      </c>
      <c r="AF142" s="32">
        <f ca="1">_xll.DBRW($C$1,$C$2,$C$3,$C$4,$C$6,$C$5,$C$7,AF$1,AF$2,$A142)</f>
        <v>0</v>
      </c>
      <c r="AG142" s="32">
        <f ca="1">_xll.DBRW($C$1,$C$2,$C$3,$C$4,$C$6,$C$5,$C$7,AG$1,AG$2,$A142)</f>
        <v>0</v>
      </c>
      <c r="AH142" s="32">
        <f ca="1">_xll.DBRW($C$1,$C$2,$C$3,$C$4,$C$6,$C$5,$C$7,AH$1,AH$2,$A142)</f>
        <v>0</v>
      </c>
      <c r="AI142" s="32">
        <f ca="1">_xll.DBRW($C$1,$C$2,$C$3,$C$4,$C$6,$C$5,$C$7,AI$1,AI$2,$A142)</f>
        <v>0</v>
      </c>
      <c r="AJ142" s="32">
        <f ca="1">_xll.DBRW($C$1,$C$2,$C$3,$C$4,$C$6,$C$5,$C$7,AJ$1,AJ$2,$A142)</f>
        <v>0</v>
      </c>
      <c r="AK142" s="32">
        <f ca="1">_xll.DBRW($C$1,$C$2,$C$3,$C$4,$C$6,$C$5,$C$7,AK$1,AK$2,$A142)</f>
        <v>0</v>
      </c>
      <c r="AL142" s="32">
        <f ca="1">_xll.DBRW($C$1,$C$2,$C$3,$C$4,$C$6,$C$5,$C$7,AL$1,AL$2,$A142)</f>
        <v>0</v>
      </c>
      <c r="AM142" s="32">
        <f ca="1">_xll.DBRW($C$1,$C$2,$C$3,$C$4,$C$6,$C$5,$C$7,AM$1,AM$2,$A142)</f>
        <v>0</v>
      </c>
      <c r="AN142" s="32">
        <f ca="1">_xll.DBRW($C$1,$C$2,$C$3,$C$4,$C$6,$C$5,$C$7,AN$1,AN$2,$A142)</f>
        <v>0</v>
      </c>
      <c r="AO142" s="32">
        <f ca="1">_xll.DBRW($C$1,$C$2,$C$3,$C$4,$C$6,$C$5,$C$7,AO$1,AO$2,$A142)</f>
        <v>0</v>
      </c>
      <c r="AP142" s="32">
        <f ca="1">_xll.DBRW($C$1,$C$2,$C$3,$C$4,$C$6,$C$5,$C$7,AP$1,AP$2,$A142)</f>
        <v>0</v>
      </c>
      <c r="AQ142" s="32">
        <f ca="1">_xll.DBRW($C$1,$C$2,$C$3,$C$4,$C$6,$C$5,$C$7,AQ$1,AQ$2,$A142)</f>
        <v>0</v>
      </c>
      <c r="AR142" s="32">
        <f ca="1">_xll.DBRW($C$1,$C$2,$C$3,$C$4,$C$6,$C$5,$C$7,AR$1,AR$2,$A142)</f>
        <v>0</v>
      </c>
      <c r="AS142" s="32">
        <f ca="1">_xll.DBRW($C$1,$C$2,$C$3,$C$4,$C$6,$C$5,$C$7,AS$1,AS$2,$A142)</f>
        <v>0</v>
      </c>
      <c r="AT142" s="32">
        <f ca="1">_xll.DBRW($C$1,$C$2,$C$3,$C$4,$C$6,$C$5,$C$7,AT$1,AT$2,$A142)</f>
        <v>0</v>
      </c>
      <c r="AU142" s="32">
        <f ca="1">_xll.DBRW($C$1,$C$2,$C$3,$C$4,$C$6,$C$5,$C$7,AU$1,AU$2,$A142)</f>
        <v>0</v>
      </c>
    </row>
    <row r="143" spans="1:47" ht="15.75" hidden="1" customHeight="1" outlineLevel="2">
      <c r="A143" s="1" t="s">
        <v>223</v>
      </c>
      <c r="C143" s="141"/>
      <c r="E143" s="9" t="str">
        <f ca="1">_xll.DBRW(Server&amp;"}ElementAttributes_Indicator",A143,"code_English")</f>
        <v>PL1115_DS_70 - Travelling (DS)</v>
      </c>
      <c r="F143" s="32">
        <f ca="1">_xll.DBRW($C$1,$C$2,$C$3,$C$4,$C$6,$C$5,$C$7,F$1,F$2,$A143)</f>
        <v>0</v>
      </c>
      <c r="G143" s="32">
        <f ca="1">_xll.DBRW($C$1,$C$2,$C$3,$C$4,$C$6,$C$5,$C$7,G$1,G$2,$A143)</f>
        <v>0</v>
      </c>
      <c r="H143" s="32">
        <f ca="1">_xll.DBRW($C$1,$C$2,$C$3,$C$4,$C$6,$C$5,$C$7,H$1,H$2,$A143)</f>
        <v>0</v>
      </c>
      <c r="I143" s="32">
        <f ca="1">_xll.DBRW($C$1,$C$2,$C$3,$C$4,$C$6,$C$5,$C$7,I$1,I$2,$A143)</f>
        <v>0</v>
      </c>
      <c r="J143" s="32">
        <f ca="1">_xll.DBRW($C$1,$C$2,$C$3,$C$4,$C$6,$C$5,$C$7,J$1,J$2,$A143)</f>
        <v>0</v>
      </c>
      <c r="K143" s="32">
        <f ca="1">_xll.DBRW($C$1,$C$2,$C$3,$C$4,$C$6,$C$5,$C$7,K$1,K$2,$A143)</f>
        <v>0</v>
      </c>
      <c r="L143" s="32">
        <f ca="1">_xll.DBRW($C$1,$C$2,$C$3,$C$4,$C$6,$C$5,$C$7,L$1,L$2,$A143)</f>
        <v>0</v>
      </c>
      <c r="M143" s="32">
        <f ca="1">_xll.DBRW($C$1,$C$2,$C$3,$C$4,$C$6,$C$5,$C$7,M$1,M$2,$A143)</f>
        <v>0</v>
      </c>
      <c r="N143" s="32">
        <f ca="1">_xll.DBRW($C$1,$C$2,$C$3,$C$4,$C$6,$C$5,$C$7,N$1,N$2,$A143)</f>
        <v>0</v>
      </c>
      <c r="O143" s="32">
        <f ca="1">_xll.DBRW($C$1,$C$2,$C$3,$C$4,$C$6,$C$5,$C$7,O$1,O$2,$A143)</f>
        <v>0</v>
      </c>
      <c r="P143" s="32">
        <f ca="1">_xll.DBRW($C$1,$C$2,$C$3,$C$4,$C$6,$C$5,$C$7,P$1,P$2,$A143)</f>
        <v>0</v>
      </c>
      <c r="Q143" s="32">
        <f ca="1">_xll.DBRW($C$1,$C$2,$C$3,$C$4,$C$6,$C$5,$C$7,Q$1,Q$2,$A143)</f>
        <v>0</v>
      </c>
      <c r="R143" s="32">
        <f ca="1">_xll.DBRW($C$1,$C$2,$C$3,$C$4,$C$6,$C$5,$C$7,R$1,R$2,$A143)</f>
        <v>0</v>
      </c>
      <c r="S143" s="32">
        <f ca="1">_xll.DBRW($C$1,$C$2,$C$3,$C$4,$C$6,$C$5,$C$7,S$1,S$2,$A143)</f>
        <v>0</v>
      </c>
      <c r="T143" s="32">
        <f ca="1">_xll.DBRW($C$1,$C$2,$C$3,$C$4,$C$6,$C$5,$C$7,T$1,T$2,$A143)</f>
        <v>0</v>
      </c>
      <c r="U143" s="32">
        <f ca="1">_xll.DBRW($C$1,$C$2,$C$3,$C$4,$C$6,$C$5,$C$7,U$1,U$2,$A143)</f>
        <v>0</v>
      </c>
      <c r="V143" s="32">
        <f ca="1">_xll.DBRW($C$1,$C$2,$C$3,$C$4,$C$6,$C$5,$C$7,V$1,V$2,$A143)</f>
        <v>0</v>
      </c>
      <c r="W143" s="32">
        <f ca="1">_xll.DBRW($C$1,$C$2,$C$3,$C$4,$C$6,$C$5,$C$7,W$1,W$2,$A143)</f>
        <v>0</v>
      </c>
      <c r="X143" s="32">
        <f ca="1">_xll.DBRW($C$1,$C$2,$C$3,$C$4,$C$6,$C$5,$C$7,X$1,X$2,$A143)</f>
        <v>0</v>
      </c>
      <c r="Y143" s="32">
        <f ca="1">_xll.DBRW($C$1,$C$2,$C$3,$C$4,$C$6,$C$5,$C$7,Y$1,Y$2,$A143)</f>
        <v>0</v>
      </c>
      <c r="Z143" s="32">
        <f ca="1">_xll.DBRW($C$1,$C$2,$C$3,$C$4,$C$6,$C$5,$C$7,Z$1,Z$2,$A143)</f>
        <v>0</v>
      </c>
      <c r="AA143" s="32">
        <f ca="1">_xll.DBRW($C$1,$C$2,$C$3,$C$4,$C$6,$C$5,$C$7,AA$1,AA$2,$A143)</f>
        <v>0</v>
      </c>
      <c r="AB143" s="32">
        <f ca="1">_xll.DBRW($C$1,$C$2,$C$3,$C$4,$C$6,$C$5,$C$7,AB$1,AB$2,$A143)</f>
        <v>0</v>
      </c>
      <c r="AC143" s="32">
        <f ca="1">_xll.DBRW($C$1,$C$2,$C$3,$C$4,$C$6,$C$5,$C$7,AC$1,AC$2,$A143)</f>
        <v>0</v>
      </c>
      <c r="AD143" s="32">
        <f ca="1">_xll.DBRW($C$1,$C$2,$C$3,$C$4,$C$6,$C$5,$C$7,AD$1,AD$2,$A143)</f>
        <v>0</v>
      </c>
      <c r="AE143" s="32">
        <f ca="1">_xll.DBRW($C$1,$C$2,$C$3,$C$4,$C$6,$C$5,$C$7,AE$1,AE$2,$A143)</f>
        <v>0</v>
      </c>
      <c r="AF143" s="32">
        <f ca="1">_xll.DBRW($C$1,$C$2,$C$3,$C$4,$C$6,$C$5,$C$7,AF$1,AF$2,$A143)</f>
        <v>0</v>
      </c>
      <c r="AG143" s="32">
        <f ca="1">_xll.DBRW($C$1,$C$2,$C$3,$C$4,$C$6,$C$5,$C$7,AG$1,AG$2,$A143)</f>
        <v>0</v>
      </c>
      <c r="AH143" s="32">
        <f ca="1">_xll.DBRW($C$1,$C$2,$C$3,$C$4,$C$6,$C$5,$C$7,AH$1,AH$2,$A143)</f>
        <v>0</v>
      </c>
      <c r="AI143" s="32">
        <f ca="1">_xll.DBRW($C$1,$C$2,$C$3,$C$4,$C$6,$C$5,$C$7,AI$1,AI$2,$A143)</f>
        <v>0</v>
      </c>
      <c r="AJ143" s="32">
        <f ca="1">_xll.DBRW($C$1,$C$2,$C$3,$C$4,$C$6,$C$5,$C$7,AJ$1,AJ$2,$A143)</f>
        <v>0</v>
      </c>
      <c r="AK143" s="32">
        <f ca="1">_xll.DBRW($C$1,$C$2,$C$3,$C$4,$C$6,$C$5,$C$7,AK$1,AK$2,$A143)</f>
        <v>0</v>
      </c>
      <c r="AL143" s="32">
        <f ca="1">_xll.DBRW($C$1,$C$2,$C$3,$C$4,$C$6,$C$5,$C$7,AL$1,AL$2,$A143)</f>
        <v>0</v>
      </c>
      <c r="AM143" s="32">
        <f ca="1">_xll.DBRW($C$1,$C$2,$C$3,$C$4,$C$6,$C$5,$C$7,AM$1,AM$2,$A143)</f>
        <v>0</v>
      </c>
      <c r="AN143" s="32">
        <f ca="1">_xll.DBRW($C$1,$C$2,$C$3,$C$4,$C$6,$C$5,$C$7,AN$1,AN$2,$A143)</f>
        <v>0</v>
      </c>
      <c r="AO143" s="32">
        <f ca="1">_xll.DBRW($C$1,$C$2,$C$3,$C$4,$C$6,$C$5,$C$7,AO$1,AO$2,$A143)</f>
        <v>0</v>
      </c>
      <c r="AP143" s="32">
        <f ca="1">_xll.DBRW($C$1,$C$2,$C$3,$C$4,$C$6,$C$5,$C$7,AP$1,AP$2,$A143)</f>
        <v>0</v>
      </c>
      <c r="AQ143" s="32">
        <f ca="1">_xll.DBRW($C$1,$C$2,$C$3,$C$4,$C$6,$C$5,$C$7,AQ$1,AQ$2,$A143)</f>
        <v>0</v>
      </c>
      <c r="AR143" s="32">
        <f ca="1">_xll.DBRW($C$1,$C$2,$C$3,$C$4,$C$6,$C$5,$C$7,AR$1,AR$2,$A143)</f>
        <v>0</v>
      </c>
      <c r="AS143" s="32">
        <f ca="1">_xll.DBRW($C$1,$C$2,$C$3,$C$4,$C$6,$C$5,$C$7,AS$1,AS$2,$A143)</f>
        <v>0</v>
      </c>
      <c r="AT143" s="32">
        <f ca="1">_xll.DBRW($C$1,$C$2,$C$3,$C$4,$C$6,$C$5,$C$7,AT$1,AT$2,$A143)</f>
        <v>0</v>
      </c>
      <c r="AU143" s="32">
        <f ca="1">_xll.DBRW($C$1,$C$2,$C$3,$C$4,$C$6,$C$5,$C$7,AU$1,AU$2,$A143)</f>
        <v>0</v>
      </c>
    </row>
    <row r="144" spans="1:47" ht="15.75" hidden="1" customHeight="1" outlineLevel="2">
      <c r="A144" s="1" t="s">
        <v>224</v>
      </c>
      <c r="C144" s="141"/>
      <c r="E144" s="9" t="str">
        <f ca="1">_xll.DBRW(Server&amp;"}ElementAttributes_Indicator",A144,"code_English")</f>
        <v>PL1115_DS_75 - Consulting (DS)</v>
      </c>
      <c r="F144" s="32">
        <f ca="1">_xll.DBRW($C$1,$C$2,$C$3,$C$4,$C$6,$C$5,$C$7,F$1,F$2,$A144)</f>
        <v>0</v>
      </c>
      <c r="G144" s="32">
        <f ca="1">_xll.DBRW($C$1,$C$2,$C$3,$C$4,$C$6,$C$5,$C$7,G$1,G$2,$A144)</f>
        <v>0</v>
      </c>
      <c r="H144" s="32">
        <f ca="1">_xll.DBRW($C$1,$C$2,$C$3,$C$4,$C$6,$C$5,$C$7,H$1,H$2,$A144)</f>
        <v>0</v>
      </c>
      <c r="I144" s="32">
        <f ca="1">_xll.DBRW($C$1,$C$2,$C$3,$C$4,$C$6,$C$5,$C$7,I$1,I$2,$A144)</f>
        <v>0</v>
      </c>
      <c r="J144" s="32">
        <f ca="1">_xll.DBRW($C$1,$C$2,$C$3,$C$4,$C$6,$C$5,$C$7,J$1,J$2,$A144)</f>
        <v>0</v>
      </c>
      <c r="K144" s="32">
        <f ca="1">_xll.DBRW($C$1,$C$2,$C$3,$C$4,$C$6,$C$5,$C$7,K$1,K$2,$A144)</f>
        <v>0</v>
      </c>
      <c r="L144" s="32">
        <f ca="1">_xll.DBRW($C$1,$C$2,$C$3,$C$4,$C$6,$C$5,$C$7,L$1,L$2,$A144)</f>
        <v>0</v>
      </c>
      <c r="M144" s="32">
        <f ca="1">_xll.DBRW($C$1,$C$2,$C$3,$C$4,$C$6,$C$5,$C$7,M$1,M$2,$A144)</f>
        <v>0</v>
      </c>
      <c r="N144" s="32">
        <f ca="1">_xll.DBRW($C$1,$C$2,$C$3,$C$4,$C$6,$C$5,$C$7,N$1,N$2,$A144)</f>
        <v>0</v>
      </c>
      <c r="O144" s="32">
        <f ca="1">_xll.DBRW($C$1,$C$2,$C$3,$C$4,$C$6,$C$5,$C$7,O$1,O$2,$A144)</f>
        <v>0</v>
      </c>
      <c r="P144" s="32">
        <f ca="1">_xll.DBRW($C$1,$C$2,$C$3,$C$4,$C$6,$C$5,$C$7,P$1,P$2,$A144)</f>
        <v>0</v>
      </c>
      <c r="Q144" s="32">
        <f ca="1">_xll.DBRW($C$1,$C$2,$C$3,$C$4,$C$6,$C$5,$C$7,Q$1,Q$2,$A144)</f>
        <v>0</v>
      </c>
      <c r="R144" s="32">
        <f ca="1">_xll.DBRW($C$1,$C$2,$C$3,$C$4,$C$6,$C$5,$C$7,R$1,R$2,$A144)</f>
        <v>0</v>
      </c>
      <c r="S144" s="32">
        <f ca="1">_xll.DBRW($C$1,$C$2,$C$3,$C$4,$C$6,$C$5,$C$7,S$1,S$2,$A144)</f>
        <v>0</v>
      </c>
      <c r="T144" s="32">
        <f ca="1">_xll.DBRW($C$1,$C$2,$C$3,$C$4,$C$6,$C$5,$C$7,T$1,T$2,$A144)</f>
        <v>0</v>
      </c>
      <c r="U144" s="32">
        <f ca="1">_xll.DBRW($C$1,$C$2,$C$3,$C$4,$C$6,$C$5,$C$7,U$1,U$2,$A144)</f>
        <v>0</v>
      </c>
      <c r="V144" s="32">
        <f ca="1">_xll.DBRW($C$1,$C$2,$C$3,$C$4,$C$6,$C$5,$C$7,V$1,V$2,$A144)</f>
        <v>0</v>
      </c>
      <c r="W144" s="32">
        <f ca="1">_xll.DBRW($C$1,$C$2,$C$3,$C$4,$C$6,$C$5,$C$7,W$1,W$2,$A144)</f>
        <v>0</v>
      </c>
      <c r="X144" s="32">
        <f ca="1">_xll.DBRW($C$1,$C$2,$C$3,$C$4,$C$6,$C$5,$C$7,X$1,X$2,$A144)</f>
        <v>0</v>
      </c>
      <c r="Y144" s="32">
        <f ca="1">_xll.DBRW($C$1,$C$2,$C$3,$C$4,$C$6,$C$5,$C$7,Y$1,Y$2,$A144)</f>
        <v>0</v>
      </c>
      <c r="Z144" s="32">
        <f ca="1">_xll.DBRW($C$1,$C$2,$C$3,$C$4,$C$6,$C$5,$C$7,Z$1,Z$2,$A144)</f>
        <v>0</v>
      </c>
      <c r="AA144" s="32">
        <f ca="1">_xll.DBRW($C$1,$C$2,$C$3,$C$4,$C$6,$C$5,$C$7,AA$1,AA$2,$A144)</f>
        <v>0</v>
      </c>
      <c r="AB144" s="32">
        <f ca="1">_xll.DBRW($C$1,$C$2,$C$3,$C$4,$C$6,$C$5,$C$7,AB$1,AB$2,$A144)</f>
        <v>0</v>
      </c>
      <c r="AC144" s="32">
        <f ca="1">_xll.DBRW($C$1,$C$2,$C$3,$C$4,$C$6,$C$5,$C$7,AC$1,AC$2,$A144)</f>
        <v>0</v>
      </c>
      <c r="AD144" s="32">
        <f ca="1">_xll.DBRW($C$1,$C$2,$C$3,$C$4,$C$6,$C$5,$C$7,AD$1,AD$2,$A144)</f>
        <v>0</v>
      </c>
      <c r="AE144" s="32">
        <f ca="1">_xll.DBRW($C$1,$C$2,$C$3,$C$4,$C$6,$C$5,$C$7,AE$1,AE$2,$A144)</f>
        <v>0</v>
      </c>
      <c r="AF144" s="32">
        <f ca="1">_xll.DBRW($C$1,$C$2,$C$3,$C$4,$C$6,$C$5,$C$7,AF$1,AF$2,$A144)</f>
        <v>0</v>
      </c>
      <c r="AG144" s="32">
        <f ca="1">_xll.DBRW($C$1,$C$2,$C$3,$C$4,$C$6,$C$5,$C$7,AG$1,AG$2,$A144)</f>
        <v>0</v>
      </c>
      <c r="AH144" s="32">
        <f ca="1">_xll.DBRW($C$1,$C$2,$C$3,$C$4,$C$6,$C$5,$C$7,AH$1,AH$2,$A144)</f>
        <v>0</v>
      </c>
      <c r="AI144" s="32">
        <f ca="1">_xll.DBRW($C$1,$C$2,$C$3,$C$4,$C$6,$C$5,$C$7,AI$1,AI$2,$A144)</f>
        <v>0</v>
      </c>
      <c r="AJ144" s="32">
        <f ca="1">_xll.DBRW($C$1,$C$2,$C$3,$C$4,$C$6,$C$5,$C$7,AJ$1,AJ$2,$A144)</f>
        <v>0</v>
      </c>
      <c r="AK144" s="32">
        <f ca="1">_xll.DBRW($C$1,$C$2,$C$3,$C$4,$C$6,$C$5,$C$7,AK$1,AK$2,$A144)</f>
        <v>0</v>
      </c>
      <c r="AL144" s="32">
        <f ca="1">_xll.DBRW($C$1,$C$2,$C$3,$C$4,$C$6,$C$5,$C$7,AL$1,AL$2,$A144)</f>
        <v>0</v>
      </c>
      <c r="AM144" s="32">
        <f ca="1">_xll.DBRW($C$1,$C$2,$C$3,$C$4,$C$6,$C$5,$C$7,AM$1,AM$2,$A144)</f>
        <v>0</v>
      </c>
      <c r="AN144" s="32">
        <f ca="1">_xll.DBRW($C$1,$C$2,$C$3,$C$4,$C$6,$C$5,$C$7,AN$1,AN$2,$A144)</f>
        <v>0</v>
      </c>
      <c r="AO144" s="32">
        <f ca="1">_xll.DBRW($C$1,$C$2,$C$3,$C$4,$C$6,$C$5,$C$7,AO$1,AO$2,$A144)</f>
        <v>0</v>
      </c>
      <c r="AP144" s="32">
        <f ca="1">_xll.DBRW($C$1,$C$2,$C$3,$C$4,$C$6,$C$5,$C$7,AP$1,AP$2,$A144)</f>
        <v>0</v>
      </c>
      <c r="AQ144" s="32">
        <f ca="1">_xll.DBRW($C$1,$C$2,$C$3,$C$4,$C$6,$C$5,$C$7,AQ$1,AQ$2,$A144)</f>
        <v>0</v>
      </c>
      <c r="AR144" s="32">
        <f ca="1">_xll.DBRW($C$1,$C$2,$C$3,$C$4,$C$6,$C$5,$C$7,AR$1,AR$2,$A144)</f>
        <v>0</v>
      </c>
      <c r="AS144" s="32">
        <f ca="1">_xll.DBRW($C$1,$C$2,$C$3,$C$4,$C$6,$C$5,$C$7,AS$1,AS$2,$A144)</f>
        <v>0</v>
      </c>
      <c r="AT144" s="32">
        <f ca="1">_xll.DBRW($C$1,$C$2,$C$3,$C$4,$C$6,$C$5,$C$7,AT$1,AT$2,$A144)</f>
        <v>0</v>
      </c>
      <c r="AU144" s="32">
        <f ca="1">_xll.DBRW($C$1,$C$2,$C$3,$C$4,$C$6,$C$5,$C$7,AU$1,AU$2,$A144)</f>
        <v>0</v>
      </c>
    </row>
    <row r="145" spans="1:47" ht="15.75" hidden="1" customHeight="1" outlineLevel="2">
      <c r="A145" s="1" t="s">
        <v>225</v>
      </c>
      <c r="C145" s="141"/>
      <c r="E145" s="9" t="str">
        <f ca="1">_xll.DBRW(Server&amp;"}ElementAttributes_Indicator",A145,"code_English")</f>
        <v>PL1115_DS_99 - Others (DS)</v>
      </c>
      <c r="F145" s="32">
        <f ca="1">_xll.DBRW($C$1,$C$2,$C$3,$C$4,$C$6,$C$5,$C$7,F$1,F$2,$A145)</f>
        <v>-8622.75</v>
      </c>
      <c r="G145" s="32">
        <f ca="1">_xll.DBRW($C$1,$C$2,$C$3,$C$4,$C$6,$C$5,$C$7,G$1,G$2,$A145)</f>
        <v>-6507.68</v>
      </c>
      <c r="H145" s="32">
        <f ca="1">_xll.DBRW($C$1,$C$2,$C$3,$C$4,$C$6,$C$5,$C$7,H$1,H$2,$A145)</f>
        <v>-12629</v>
      </c>
      <c r="I145" s="32">
        <f ca="1">_xll.DBRW($C$1,$C$2,$C$3,$C$4,$C$6,$C$5,$C$7,I$1,I$2,$A145)</f>
        <v>1386</v>
      </c>
      <c r="J145" s="32">
        <f ca="1">_xll.DBRW($C$1,$C$2,$C$3,$C$4,$C$6,$C$5,$C$7,J$1,J$2,$A145)</f>
        <v>1386</v>
      </c>
      <c r="K145" s="32">
        <f ca="1">_xll.DBRW($C$1,$C$2,$C$3,$C$4,$C$6,$C$5,$C$7,K$1,K$2,$A145)</f>
        <v>1386</v>
      </c>
      <c r="L145" s="32">
        <f ca="1">_xll.DBRW($C$1,$C$2,$C$3,$C$4,$C$6,$C$5,$C$7,L$1,L$2,$A145)</f>
        <v>1386</v>
      </c>
      <c r="M145" s="32">
        <f ca="1">_xll.DBRW($C$1,$C$2,$C$3,$C$4,$C$6,$C$5,$C$7,M$1,M$2,$A145)</f>
        <v>-66</v>
      </c>
      <c r="N145" s="32">
        <f ca="1">_xll.DBRW($C$1,$C$2,$C$3,$C$4,$C$6,$C$5,$C$7,N$1,N$2,$A145)</f>
        <v>-2758</v>
      </c>
      <c r="O145" s="32">
        <f ca="1">_xll.DBRW($C$1,$C$2,$C$3,$C$4,$C$6,$C$5,$C$7,O$1,O$2,$A145)</f>
        <v>-2758</v>
      </c>
      <c r="P145" s="32">
        <f ca="1">_xll.DBRW($C$1,$C$2,$C$3,$C$4,$C$6,$C$5,$C$7,P$1,P$2,$A145)</f>
        <v>-2758</v>
      </c>
      <c r="Q145" s="32">
        <f ca="1">_xll.DBRW($C$1,$C$2,$C$3,$C$4,$C$6,$C$5,$C$7,Q$1,Q$2,$A145)</f>
        <v>-2758</v>
      </c>
      <c r="R145" s="32">
        <f ca="1">_xll.DBRW($C$1,$C$2,$C$3,$C$4,$C$6,$C$5,$C$7,R$1,R$2,$A145)</f>
        <v>-2758</v>
      </c>
      <c r="S145" s="32">
        <f ca="1">_xll.DBRW($C$1,$C$2,$C$3,$C$4,$C$6,$C$5,$C$7,S$1,S$2,$A145)</f>
        <v>-2758</v>
      </c>
      <c r="T145" s="32">
        <f ca="1">_xll.DBRW($C$1,$C$2,$C$3,$C$4,$C$6,$C$5,$C$7,T$1,T$2,$A145)</f>
        <v>-2758</v>
      </c>
      <c r="U145" s="32">
        <f ca="1">_xll.DBRW($C$1,$C$2,$C$3,$C$4,$C$6,$C$5,$C$7,U$1,U$2,$A145)</f>
        <v>-2758</v>
      </c>
      <c r="V145" s="32">
        <f ca="1">_xll.DBRW($C$1,$C$2,$C$3,$C$4,$C$6,$C$5,$C$7,V$1,V$2,$A145)</f>
        <v>0</v>
      </c>
      <c r="W145" s="32">
        <f ca="1">_xll.DBRW($C$1,$C$2,$C$3,$C$4,$C$6,$C$5,$C$7,W$1,W$2,$A145)</f>
        <v>0</v>
      </c>
      <c r="X145" s="32">
        <f ca="1">_xll.DBRW($C$1,$C$2,$C$3,$C$4,$C$6,$C$5,$C$7,X$1,X$2,$A145)</f>
        <v>0</v>
      </c>
      <c r="Y145" s="32">
        <f ca="1">_xll.DBRW($C$1,$C$2,$C$3,$C$4,$C$6,$C$5,$C$7,Y$1,Y$2,$A145)</f>
        <v>0</v>
      </c>
      <c r="Z145" s="32">
        <f ca="1">_xll.DBRW($C$1,$C$2,$C$3,$C$4,$C$6,$C$5,$C$7,Z$1,Z$2,$A145)</f>
        <v>0</v>
      </c>
      <c r="AA145" s="32">
        <f ca="1">_xll.DBRW($C$1,$C$2,$C$3,$C$4,$C$6,$C$5,$C$7,AA$1,AA$2,$A145)</f>
        <v>0</v>
      </c>
      <c r="AB145" s="32">
        <f ca="1">_xll.DBRW($C$1,$C$2,$C$3,$C$4,$C$6,$C$5,$C$7,AB$1,AB$2,$A145)</f>
        <v>0</v>
      </c>
      <c r="AC145" s="32">
        <f ca="1">_xll.DBRW($C$1,$C$2,$C$3,$C$4,$C$6,$C$5,$C$7,AC$1,AC$2,$A145)</f>
        <v>0</v>
      </c>
      <c r="AD145" s="32">
        <f ca="1">_xll.DBRW($C$1,$C$2,$C$3,$C$4,$C$6,$C$5,$C$7,AD$1,AD$2,$A145)</f>
        <v>0</v>
      </c>
      <c r="AE145" s="32">
        <f ca="1">_xll.DBRW($C$1,$C$2,$C$3,$C$4,$C$6,$C$5,$C$7,AE$1,AE$2,$A145)</f>
        <v>0</v>
      </c>
      <c r="AF145" s="32">
        <f ca="1">_xll.DBRW($C$1,$C$2,$C$3,$C$4,$C$6,$C$5,$C$7,AF$1,AF$2,$A145)</f>
        <v>0</v>
      </c>
      <c r="AG145" s="32">
        <f ca="1">_xll.DBRW($C$1,$C$2,$C$3,$C$4,$C$6,$C$5,$C$7,AG$1,AG$2,$A145)</f>
        <v>0</v>
      </c>
      <c r="AH145" s="32">
        <f ca="1">_xll.DBRW($C$1,$C$2,$C$3,$C$4,$C$6,$C$5,$C$7,AH$1,AH$2,$A145)</f>
        <v>0</v>
      </c>
      <c r="AI145" s="32">
        <f ca="1">_xll.DBRW($C$1,$C$2,$C$3,$C$4,$C$6,$C$5,$C$7,AI$1,AI$2,$A145)</f>
        <v>0</v>
      </c>
      <c r="AJ145" s="32">
        <f ca="1">_xll.DBRW($C$1,$C$2,$C$3,$C$4,$C$6,$C$5,$C$7,AJ$1,AJ$2,$A145)</f>
        <v>0</v>
      </c>
      <c r="AK145" s="32">
        <f ca="1">_xll.DBRW($C$1,$C$2,$C$3,$C$4,$C$6,$C$5,$C$7,AK$1,AK$2,$A145)</f>
        <v>0</v>
      </c>
      <c r="AL145" s="32">
        <f ca="1">_xll.DBRW($C$1,$C$2,$C$3,$C$4,$C$6,$C$5,$C$7,AL$1,AL$2,$A145)</f>
        <v>0</v>
      </c>
      <c r="AM145" s="32">
        <f ca="1">_xll.DBRW($C$1,$C$2,$C$3,$C$4,$C$6,$C$5,$C$7,AM$1,AM$2,$A145)</f>
        <v>0</v>
      </c>
      <c r="AN145" s="32">
        <f ca="1">_xll.DBRW($C$1,$C$2,$C$3,$C$4,$C$6,$C$5,$C$7,AN$1,AN$2,$A145)</f>
        <v>0</v>
      </c>
      <c r="AO145" s="32">
        <f ca="1">_xll.DBRW($C$1,$C$2,$C$3,$C$4,$C$6,$C$5,$C$7,AO$1,AO$2,$A145)</f>
        <v>0</v>
      </c>
      <c r="AP145" s="32">
        <f ca="1">_xll.DBRW($C$1,$C$2,$C$3,$C$4,$C$6,$C$5,$C$7,AP$1,AP$2,$A145)</f>
        <v>0</v>
      </c>
      <c r="AQ145" s="32">
        <f ca="1">_xll.DBRW($C$1,$C$2,$C$3,$C$4,$C$6,$C$5,$C$7,AQ$1,AQ$2,$A145)</f>
        <v>0</v>
      </c>
      <c r="AR145" s="32">
        <f ca="1">_xll.DBRW($C$1,$C$2,$C$3,$C$4,$C$6,$C$5,$C$7,AR$1,AR$2,$A145)</f>
        <v>0</v>
      </c>
      <c r="AS145" s="32">
        <f ca="1">_xll.DBRW($C$1,$C$2,$C$3,$C$4,$C$6,$C$5,$C$7,AS$1,AS$2,$A145)</f>
        <v>0</v>
      </c>
      <c r="AT145" s="32">
        <f ca="1">_xll.DBRW($C$1,$C$2,$C$3,$C$4,$C$6,$C$5,$C$7,AT$1,AT$2,$A145)</f>
        <v>0</v>
      </c>
      <c r="AU145" s="32">
        <f ca="1">_xll.DBRW($C$1,$C$2,$C$3,$C$4,$C$6,$C$5,$C$7,AU$1,AU$2,$A145)</f>
        <v>0</v>
      </c>
    </row>
    <row r="146" spans="1:47" ht="15.75" hidden="1" customHeight="1" outlineLevel="2">
      <c r="A146" s="1" t="s">
        <v>226</v>
      </c>
      <c r="C146" s="141"/>
      <c r="E146" s="9" t="str">
        <f ca="1">_xll.DBRW(Server&amp;"}ElementAttributes_Indicator",A146,"code_English")</f>
        <v>PL1118_DS - IFRS16 adjustment through P&amp;L (DS)</v>
      </c>
      <c r="F146" s="32">
        <f ca="1">_xll.DBRW($C$1,$C$2,$C$3,$C$4,$C$6,$C$5,$C$7,F$1,F$2,$A146)</f>
        <v>0</v>
      </c>
      <c r="G146" s="32">
        <f ca="1">_xll.DBRW($C$1,$C$2,$C$3,$C$4,$C$6,$C$5,$C$7,G$1,G$2,$A146)</f>
        <v>0</v>
      </c>
      <c r="H146" s="32">
        <f ca="1">_xll.DBRW($C$1,$C$2,$C$3,$C$4,$C$6,$C$5,$C$7,H$1,H$2,$A146)</f>
        <v>0</v>
      </c>
      <c r="I146" s="32">
        <f ca="1">_xll.DBRW($C$1,$C$2,$C$3,$C$4,$C$6,$C$5,$C$7,I$1,I$2,$A146)</f>
        <v>0</v>
      </c>
      <c r="J146" s="32">
        <f ca="1">_xll.DBRW($C$1,$C$2,$C$3,$C$4,$C$6,$C$5,$C$7,J$1,J$2,$A146)</f>
        <v>0</v>
      </c>
      <c r="K146" s="32">
        <f ca="1">_xll.DBRW($C$1,$C$2,$C$3,$C$4,$C$6,$C$5,$C$7,K$1,K$2,$A146)</f>
        <v>0</v>
      </c>
      <c r="L146" s="32">
        <f ca="1">_xll.DBRW($C$1,$C$2,$C$3,$C$4,$C$6,$C$5,$C$7,L$1,L$2,$A146)</f>
        <v>0</v>
      </c>
      <c r="M146" s="32">
        <f ca="1">_xll.DBRW($C$1,$C$2,$C$3,$C$4,$C$6,$C$5,$C$7,M$1,M$2,$A146)</f>
        <v>0</v>
      </c>
      <c r="N146" s="32">
        <f ca="1">_xll.DBRW($C$1,$C$2,$C$3,$C$4,$C$6,$C$5,$C$7,N$1,N$2,$A146)</f>
        <v>0</v>
      </c>
      <c r="O146" s="32">
        <f ca="1">_xll.DBRW($C$1,$C$2,$C$3,$C$4,$C$6,$C$5,$C$7,O$1,O$2,$A146)</f>
        <v>0</v>
      </c>
      <c r="P146" s="32">
        <f ca="1">_xll.DBRW($C$1,$C$2,$C$3,$C$4,$C$6,$C$5,$C$7,P$1,P$2,$A146)</f>
        <v>0</v>
      </c>
      <c r="Q146" s="32">
        <f ca="1">_xll.DBRW($C$1,$C$2,$C$3,$C$4,$C$6,$C$5,$C$7,Q$1,Q$2,$A146)</f>
        <v>0</v>
      </c>
      <c r="R146" s="32">
        <f ca="1">_xll.DBRW($C$1,$C$2,$C$3,$C$4,$C$6,$C$5,$C$7,R$1,R$2,$A146)</f>
        <v>0</v>
      </c>
      <c r="S146" s="32">
        <f ca="1">_xll.DBRW($C$1,$C$2,$C$3,$C$4,$C$6,$C$5,$C$7,S$1,S$2,$A146)</f>
        <v>0</v>
      </c>
      <c r="T146" s="32">
        <f ca="1">_xll.DBRW($C$1,$C$2,$C$3,$C$4,$C$6,$C$5,$C$7,T$1,T$2,$A146)</f>
        <v>0</v>
      </c>
      <c r="U146" s="32">
        <f ca="1">_xll.DBRW($C$1,$C$2,$C$3,$C$4,$C$6,$C$5,$C$7,U$1,U$2,$A146)</f>
        <v>0</v>
      </c>
      <c r="V146" s="32">
        <f ca="1">_xll.DBRW($C$1,$C$2,$C$3,$C$4,$C$6,$C$5,$C$7,V$1,V$2,$A146)</f>
        <v>0</v>
      </c>
      <c r="W146" s="32">
        <f ca="1">_xll.DBRW($C$1,$C$2,$C$3,$C$4,$C$6,$C$5,$C$7,W$1,W$2,$A146)</f>
        <v>0</v>
      </c>
      <c r="X146" s="32">
        <f ca="1">_xll.DBRW($C$1,$C$2,$C$3,$C$4,$C$6,$C$5,$C$7,X$1,X$2,$A146)</f>
        <v>0</v>
      </c>
      <c r="Y146" s="32">
        <f ca="1">_xll.DBRW($C$1,$C$2,$C$3,$C$4,$C$6,$C$5,$C$7,Y$1,Y$2,$A146)</f>
        <v>0</v>
      </c>
      <c r="Z146" s="32">
        <f ca="1">_xll.DBRW($C$1,$C$2,$C$3,$C$4,$C$6,$C$5,$C$7,Z$1,Z$2,$A146)</f>
        <v>0</v>
      </c>
      <c r="AA146" s="32">
        <f ca="1">_xll.DBRW($C$1,$C$2,$C$3,$C$4,$C$6,$C$5,$C$7,AA$1,AA$2,$A146)</f>
        <v>0</v>
      </c>
      <c r="AB146" s="32">
        <f ca="1">_xll.DBRW($C$1,$C$2,$C$3,$C$4,$C$6,$C$5,$C$7,AB$1,AB$2,$A146)</f>
        <v>0</v>
      </c>
      <c r="AC146" s="32">
        <f ca="1">_xll.DBRW($C$1,$C$2,$C$3,$C$4,$C$6,$C$5,$C$7,AC$1,AC$2,$A146)</f>
        <v>0</v>
      </c>
      <c r="AD146" s="32">
        <f ca="1">_xll.DBRW($C$1,$C$2,$C$3,$C$4,$C$6,$C$5,$C$7,AD$1,AD$2,$A146)</f>
        <v>0</v>
      </c>
      <c r="AE146" s="32">
        <f ca="1">_xll.DBRW($C$1,$C$2,$C$3,$C$4,$C$6,$C$5,$C$7,AE$1,AE$2,$A146)</f>
        <v>0</v>
      </c>
      <c r="AF146" s="32">
        <f ca="1">_xll.DBRW($C$1,$C$2,$C$3,$C$4,$C$6,$C$5,$C$7,AF$1,AF$2,$A146)</f>
        <v>0</v>
      </c>
      <c r="AG146" s="32">
        <f ca="1">_xll.DBRW($C$1,$C$2,$C$3,$C$4,$C$6,$C$5,$C$7,AG$1,AG$2,$A146)</f>
        <v>0</v>
      </c>
      <c r="AH146" s="32">
        <f ca="1">_xll.DBRW($C$1,$C$2,$C$3,$C$4,$C$6,$C$5,$C$7,AH$1,AH$2,$A146)</f>
        <v>0</v>
      </c>
      <c r="AI146" s="32">
        <f ca="1">_xll.DBRW($C$1,$C$2,$C$3,$C$4,$C$6,$C$5,$C$7,AI$1,AI$2,$A146)</f>
        <v>0</v>
      </c>
      <c r="AJ146" s="32">
        <f ca="1">_xll.DBRW($C$1,$C$2,$C$3,$C$4,$C$6,$C$5,$C$7,AJ$1,AJ$2,$A146)</f>
        <v>0</v>
      </c>
      <c r="AK146" s="32">
        <f ca="1">_xll.DBRW($C$1,$C$2,$C$3,$C$4,$C$6,$C$5,$C$7,AK$1,AK$2,$A146)</f>
        <v>0</v>
      </c>
      <c r="AL146" s="32">
        <f ca="1">_xll.DBRW($C$1,$C$2,$C$3,$C$4,$C$6,$C$5,$C$7,AL$1,AL$2,$A146)</f>
        <v>0</v>
      </c>
      <c r="AM146" s="32">
        <f ca="1">_xll.DBRW($C$1,$C$2,$C$3,$C$4,$C$6,$C$5,$C$7,AM$1,AM$2,$A146)</f>
        <v>0</v>
      </c>
      <c r="AN146" s="32">
        <f ca="1">_xll.DBRW($C$1,$C$2,$C$3,$C$4,$C$6,$C$5,$C$7,AN$1,AN$2,$A146)</f>
        <v>0</v>
      </c>
      <c r="AO146" s="32">
        <f ca="1">_xll.DBRW($C$1,$C$2,$C$3,$C$4,$C$6,$C$5,$C$7,AO$1,AO$2,$A146)</f>
        <v>0</v>
      </c>
      <c r="AP146" s="32">
        <f ca="1">_xll.DBRW($C$1,$C$2,$C$3,$C$4,$C$6,$C$5,$C$7,AP$1,AP$2,$A146)</f>
        <v>0</v>
      </c>
      <c r="AQ146" s="32">
        <f ca="1">_xll.DBRW($C$1,$C$2,$C$3,$C$4,$C$6,$C$5,$C$7,AQ$1,AQ$2,$A146)</f>
        <v>0</v>
      </c>
      <c r="AR146" s="32">
        <f ca="1">_xll.DBRW($C$1,$C$2,$C$3,$C$4,$C$6,$C$5,$C$7,AR$1,AR$2,$A146)</f>
        <v>0</v>
      </c>
      <c r="AS146" s="32">
        <f ca="1">_xll.DBRW($C$1,$C$2,$C$3,$C$4,$C$6,$C$5,$C$7,AS$1,AS$2,$A146)</f>
        <v>0</v>
      </c>
      <c r="AT146" s="32">
        <f ca="1">_xll.DBRW($C$1,$C$2,$C$3,$C$4,$C$6,$C$5,$C$7,AT$1,AT$2,$A146)</f>
        <v>0</v>
      </c>
      <c r="AU146" s="32">
        <f ca="1">_xll.DBRW($C$1,$C$2,$C$3,$C$4,$C$6,$C$5,$C$7,AU$1,AU$2,$A146)</f>
        <v>0</v>
      </c>
    </row>
    <row r="147" spans="1:47" ht="15.75" hidden="1" customHeight="1" outlineLevel="2">
      <c r="A147" s="1" t="s">
        <v>227</v>
      </c>
      <c r="C147" s="141"/>
      <c r="E147" s="9" t="str">
        <f ca="1">_xll.DBRW(Server&amp;"}ElementAttributes_Indicator",A147,"code_English")</f>
        <v>PL1140_DS_10 - Amortization (DS)</v>
      </c>
      <c r="F147" s="32">
        <f ca="1">_xll.DBRW($C$1,$C$2,$C$3,$C$4,$C$6,$C$5,$C$7,F$1,F$2,$A147)</f>
        <v>0</v>
      </c>
      <c r="G147" s="32">
        <f ca="1">_xll.DBRW($C$1,$C$2,$C$3,$C$4,$C$6,$C$5,$C$7,G$1,G$2,$A147)</f>
        <v>0</v>
      </c>
      <c r="H147" s="32">
        <f ca="1">_xll.DBRW($C$1,$C$2,$C$3,$C$4,$C$6,$C$5,$C$7,H$1,H$2,$A147)</f>
        <v>0</v>
      </c>
      <c r="I147" s="32">
        <f ca="1">_xll.DBRW($C$1,$C$2,$C$3,$C$4,$C$6,$C$5,$C$7,I$1,I$2,$A147)</f>
        <v>0</v>
      </c>
      <c r="J147" s="32">
        <f ca="1">_xll.DBRW($C$1,$C$2,$C$3,$C$4,$C$6,$C$5,$C$7,J$1,J$2,$A147)</f>
        <v>0</v>
      </c>
      <c r="K147" s="32">
        <f ca="1">_xll.DBRW($C$1,$C$2,$C$3,$C$4,$C$6,$C$5,$C$7,K$1,K$2,$A147)</f>
        <v>0</v>
      </c>
      <c r="L147" s="32">
        <f ca="1">_xll.DBRW($C$1,$C$2,$C$3,$C$4,$C$6,$C$5,$C$7,L$1,L$2,$A147)</f>
        <v>0</v>
      </c>
      <c r="M147" s="32">
        <f ca="1">_xll.DBRW($C$1,$C$2,$C$3,$C$4,$C$6,$C$5,$C$7,M$1,M$2,$A147)</f>
        <v>0</v>
      </c>
      <c r="N147" s="32">
        <f ca="1">_xll.DBRW($C$1,$C$2,$C$3,$C$4,$C$6,$C$5,$C$7,N$1,N$2,$A147)</f>
        <v>0</v>
      </c>
      <c r="O147" s="32">
        <f ca="1">_xll.DBRW($C$1,$C$2,$C$3,$C$4,$C$6,$C$5,$C$7,O$1,O$2,$A147)</f>
        <v>0</v>
      </c>
      <c r="P147" s="32">
        <f ca="1">_xll.DBRW($C$1,$C$2,$C$3,$C$4,$C$6,$C$5,$C$7,P$1,P$2,$A147)</f>
        <v>0</v>
      </c>
      <c r="Q147" s="32">
        <f ca="1">_xll.DBRW($C$1,$C$2,$C$3,$C$4,$C$6,$C$5,$C$7,Q$1,Q$2,$A147)</f>
        <v>0</v>
      </c>
      <c r="R147" s="32">
        <f ca="1">_xll.DBRW($C$1,$C$2,$C$3,$C$4,$C$6,$C$5,$C$7,R$1,R$2,$A147)</f>
        <v>0</v>
      </c>
      <c r="S147" s="32">
        <f ca="1">_xll.DBRW($C$1,$C$2,$C$3,$C$4,$C$6,$C$5,$C$7,S$1,S$2,$A147)</f>
        <v>0</v>
      </c>
      <c r="T147" s="32">
        <f ca="1">_xll.DBRW($C$1,$C$2,$C$3,$C$4,$C$6,$C$5,$C$7,T$1,T$2,$A147)</f>
        <v>0</v>
      </c>
      <c r="U147" s="32">
        <f ca="1">_xll.DBRW($C$1,$C$2,$C$3,$C$4,$C$6,$C$5,$C$7,U$1,U$2,$A147)</f>
        <v>0</v>
      </c>
      <c r="V147" s="32">
        <f ca="1">_xll.DBRW($C$1,$C$2,$C$3,$C$4,$C$6,$C$5,$C$7,V$1,V$2,$A147)</f>
        <v>0</v>
      </c>
      <c r="W147" s="32">
        <f ca="1">_xll.DBRW($C$1,$C$2,$C$3,$C$4,$C$6,$C$5,$C$7,W$1,W$2,$A147)</f>
        <v>0</v>
      </c>
      <c r="X147" s="32">
        <f ca="1">_xll.DBRW($C$1,$C$2,$C$3,$C$4,$C$6,$C$5,$C$7,X$1,X$2,$A147)</f>
        <v>0</v>
      </c>
      <c r="Y147" s="32">
        <f ca="1">_xll.DBRW($C$1,$C$2,$C$3,$C$4,$C$6,$C$5,$C$7,Y$1,Y$2,$A147)</f>
        <v>0</v>
      </c>
      <c r="Z147" s="32">
        <f ca="1">_xll.DBRW($C$1,$C$2,$C$3,$C$4,$C$6,$C$5,$C$7,Z$1,Z$2,$A147)</f>
        <v>0</v>
      </c>
      <c r="AA147" s="32">
        <f ca="1">_xll.DBRW($C$1,$C$2,$C$3,$C$4,$C$6,$C$5,$C$7,AA$1,AA$2,$A147)</f>
        <v>0</v>
      </c>
      <c r="AB147" s="32">
        <f ca="1">_xll.DBRW($C$1,$C$2,$C$3,$C$4,$C$6,$C$5,$C$7,AB$1,AB$2,$A147)</f>
        <v>0</v>
      </c>
      <c r="AC147" s="32">
        <f ca="1">_xll.DBRW($C$1,$C$2,$C$3,$C$4,$C$6,$C$5,$C$7,AC$1,AC$2,$A147)</f>
        <v>0</v>
      </c>
      <c r="AD147" s="32">
        <f ca="1">_xll.DBRW($C$1,$C$2,$C$3,$C$4,$C$6,$C$5,$C$7,AD$1,AD$2,$A147)</f>
        <v>0</v>
      </c>
      <c r="AE147" s="32">
        <f ca="1">_xll.DBRW($C$1,$C$2,$C$3,$C$4,$C$6,$C$5,$C$7,AE$1,AE$2,$A147)</f>
        <v>0</v>
      </c>
      <c r="AF147" s="32">
        <f ca="1">_xll.DBRW($C$1,$C$2,$C$3,$C$4,$C$6,$C$5,$C$7,AF$1,AF$2,$A147)</f>
        <v>0</v>
      </c>
      <c r="AG147" s="32">
        <f ca="1">_xll.DBRW($C$1,$C$2,$C$3,$C$4,$C$6,$C$5,$C$7,AG$1,AG$2,$A147)</f>
        <v>0</v>
      </c>
      <c r="AH147" s="32">
        <f ca="1">_xll.DBRW($C$1,$C$2,$C$3,$C$4,$C$6,$C$5,$C$7,AH$1,AH$2,$A147)</f>
        <v>0</v>
      </c>
      <c r="AI147" s="32">
        <f ca="1">_xll.DBRW($C$1,$C$2,$C$3,$C$4,$C$6,$C$5,$C$7,AI$1,AI$2,$A147)</f>
        <v>0</v>
      </c>
      <c r="AJ147" s="32">
        <f ca="1">_xll.DBRW($C$1,$C$2,$C$3,$C$4,$C$6,$C$5,$C$7,AJ$1,AJ$2,$A147)</f>
        <v>0</v>
      </c>
      <c r="AK147" s="32">
        <f ca="1">_xll.DBRW($C$1,$C$2,$C$3,$C$4,$C$6,$C$5,$C$7,AK$1,AK$2,$A147)</f>
        <v>0</v>
      </c>
      <c r="AL147" s="32">
        <f ca="1">_xll.DBRW($C$1,$C$2,$C$3,$C$4,$C$6,$C$5,$C$7,AL$1,AL$2,$A147)</f>
        <v>0</v>
      </c>
      <c r="AM147" s="32">
        <f ca="1">_xll.DBRW($C$1,$C$2,$C$3,$C$4,$C$6,$C$5,$C$7,AM$1,AM$2,$A147)</f>
        <v>0</v>
      </c>
      <c r="AN147" s="32">
        <f ca="1">_xll.DBRW($C$1,$C$2,$C$3,$C$4,$C$6,$C$5,$C$7,AN$1,AN$2,$A147)</f>
        <v>0</v>
      </c>
      <c r="AO147" s="32">
        <f ca="1">_xll.DBRW($C$1,$C$2,$C$3,$C$4,$C$6,$C$5,$C$7,AO$1,AO$2,$A147)</f>
        <v>0</v>
      </c>
      <c r="AP147" s="32">
        <f ca="1">_xll.DBRW($C$1,$C$2,$C$3,$C$4,$C$6,$C$5,$C$7,AP$1,AP$2,$A147)</f>
        <v>0</v>
      </c>
      <c r="AQ147" s="32">
        <f ca="1">_xll.DBRW($C$1,$C$2,$C$3,$C$4,$C$6,$C$5,$C$7,AQ$1,AQ$2,$A147)</f>
        <v>0</v>
      </c>
      <c r="AR147" s="32">
        <f ca="1">_xll.DBRW($C$1,$C$2,$C$3,$C$4,$C$6,$C$5,$C$7,AR$1,AR$2,$A147)</f>
        <v>0</v>
      </c>
      <c r="AS147" s="32">
        <f ca="1">_xll.DBRW($C$1,$C$2,$C$3,$C$4,$C$6,$C$5,$C$7,AS$1,AS$2,$A147)</f>
        <v>0</v>
      </c>
      <c r="AT147" s="32">
        <f ca="1">_xll.DBRW($C$1,$C$2,$C$3,$C$4,$C$6,$C$5,$C$7,AT$1,AT$2,$A147)</f>
        <v>0</v>
      </c>
      <c r="AU147" s="32">
        <f ca="1">_xll.DBRW($C$1,$C$2,$C$3,$C$4,$C$6,$C$5,$C$7,AU$1,AU$2,$A147)</f>
        <v>0</v>
      </c>
    </row>
    <row r="148" spans="1:47" ht="15.75" hidden="1" customHeight="1" outlineLevel="2">
      <c r="A148" s="1" t="s">
        <v>228</v>
      </c>
      <c r="C148" s="141"/>
      <c r="E148" s="9" t="str">
        <f ca="1">_xll.DBRW(Server&amp;"}ElementAttributes_Indicator",A148,"code_English")</f>
        <v>PL1150_DS_10 - Impairment (other than working capital) and provisions - related to staff costs (DS)</v>
      </c>
      <c r="F148" s="32">
        <f ca="1">_xll.DBRW($C$1,$C$2,$C$3,$C$4,$C$6,$C$5,$C$7,F$1,F$2,$A148)</f>
        <v>0</v>
      </c>
      <c r="G148" s="32">
        <f ca="1">_xll.DBRW($C$1,$C$2,$C$3,$C$4,$C$6,$C$5,$C$7,G$1,G$2,$A148)</f>
        <v>0</v>
      </c>
      <c r="H148" s="32">
        <f ca="1">_xll.DBRW($C$1,$C$2,$C$3,$C$4,$C$6,$C$5,$C$7,H$1,H$2,$A148)</f>
        <v>0</v>
      </c>
      <c r="I148" s="32">
        <f ca="1">_xll.DBRW($C$1,$C$2,$C$3,$C$4,$C$6,$C$5,$C$7,I$1,I$2,$A148)</f>
        <v>0</v>
      </c>
      <c r="J148" s="32">
        <f ca="1">_xll.DBRW($C$1,$C$2,$C$3,$C$4,$C$6,$C$5,$C$7,J$1,J$2,$A148)</f>
        <v>0</v>
      </c>
      <c r="K148" s="32">
        <f ca="1">_xll.DBRW($C$1,$C$2,$C$3,$C$4,$C$6,$C$5,$C$7,K$1,K$2,$A148)</f>
        <v>0</v>
      </c>
      <c r="L148" s="32">
        <f ca="1">_xll.DBRW($C$1,$C$2,$C$3,$C$4,$C$6,$C$5,$C$7,L$1,L$2,$A148)</f>
        <v>0</v>
      </c>
      <c r="M148" s="32">
        <f ca="1">_xll.DBRW($C$1,$C$2,$C$3,$C$4,$C$6,$C$5,$C$7,M$1,M$2,$A148)</f>
        <v>0</v>
      </c>
      <c r="N148" s="32">
        <f ca="1">_xll.DBRW($C$1,$C$2,$C$3,$C$4,$C$6,$C$5,$C$7,N$1,N$2,$A148)</f>
        <v>0</v>
      </c>
      <c r="O148" s="32">
        <f ca="1">_xll.DBRW($C$1,$C$2,$C$3,$C$4,$C$6,$C$5,$C$7,O$1,O$2,$A148)</f>
        <v>0</v>
      </c>
      <c r="P148" s="32">
        <f ca="1">_xll.DBRW($C$1,$C$2,$C$3,$C$4,$C$6,$C$5,$C$7,P$1,P$2,$A148)</f>
        <v>0</v>
      </c>
      <c r="Q148" s="32">
        <f ca="1">_xll.DBRW($C$1,$C$2,$C$3,$C$4,$C$6,$C$5,$C$7,Q$1,Q$2,$A148)</f>
        <v>0</v>
      </c>
      <c r="R148" s="32">
        <f ca="1">_xll.DBRW($C$1,$C$2,$C$3,$C$4,$C$6,$C$5,$C$7,R$1,R$2,$A148)</f>
        <v>0</v>
      </c>
      <c r="S148" s="32">
        <f ca="1">_xll.DBRW($C$1,$C$2,$C$3,$C$4,$C$6,$C$5,$C$7,S$1,S$2,$A148)</f>
        <v>0</v>
      </c>
      <c r="T148" s="32">
        <f ca="1">_xll.DBRW($C$1,$C$2,$C$3,$C$4,$C$6,$C$5,$C$7,T$1,T$2,$A148)</f>
        <v>0</v>
      </c>
      <c r="U148" s="32">
        <f ca="1">_xll.DBRW($C$1,$C$2,$C$3,$C$4,$C$6,$C$5,$C$7,U$1,U$2,$A148)</f>
        <v>0</v>
      </c>
      <c r="V148" s="32">
        <f ca="1">_xll.DBRW($C$1,$C$2,$C$3,$C$4,$C$6,$C$5,$C$7,V$1,V$2,$A148)</f>
        <v>0</v>
      </c>
      <c r="W148" s="32">
        <f ca="1">_xll.DBRW($C$1,$C$2,$C$3,$C$4,$C$6,$C$5,$C$7,W$1,W$2,$A148)</f>
        <v>0</v>
      </c>
      <c r="X148" s="32">
        <f ca="1">_xll.DBRW($C$1,$C$2,$C$3,$C$4,$C$6,$C$5,$C$7,X$1,X$2,$A148)</f>
        <v>0</v>
      </c>
      <c r="Y148" s="32">
        <f ca="1">_xll.DBRW($C$1,$C$2,$C$3,$C$4,$C$6,$C$5,$C$7,Y$1,Y$2,$A148)</f>
        <v>0</v>
      </c>
      <c r="Z148" s="32">
        <f ca="1">_xll.DBRW($C$1,$C$2,$C$3,$C$4,$C$6,$C$5,$C$7,Z$1,Z$2,$A148)</f>
        <v>0</v>
      </c>
      <c r="AA148" s="32">
        <f ca="1">_xll.DBRW($C$1,$C$2,$C$3,$C$4,$C$6,$C$5,$C$7,AA$1,AA$2,$A148)</f>
        <v>0</v>
      </c>
      <c r="AB148" s="32">
        <f ca="1">_xll.DBRW($C$1,$C$2,$C$3,$C$4,$C$6,$C$5,$C$7,AB$1,AB$2,$A148)</f>
        <v>0</v>
      </c>
      <c r="AC148" s="32">
        <f ca="1">_xll.DBRW($C$1,$C$2,$C$3,$C$4,$C$6,$C$5,$C$7,AC$1,AC$2,$A148)</f>
        <v>0</v>
      </c>
      <c r="AD148" s="32">
        <f ca="1">_xll.DBRW($C$1,$C$2,$C$3,$C$4,$C$6,$C$5,$C$7,AD$1,AD$2,$A148)</f>
        <v>0</v>
      </c>
      <c r="AE148" s="32">
        <f ca="1">_xll.DBRW($C$1,$C$2,$C$3,$C$4,$C$6,$C$5,$C$7,AE$1,AE$2,$A148)</f>
        <v>0</v>
      </c>
      <c r="AF148" s="32">
        <f ca="1">_xll.DBRW($C$1,$C$2,$C$3,$C$4,$C$6,$C$5,$C$7,AF$1,AF$2,$A148)</f>
        <v>0</v>
      </c>
      <c r="AG148" s="32">
        <f ca="1">_xll.DBRW($C$1,$C$2,$C$3,$C$4,$C$6,$C$5,$C$7,AG$1,AG$2,$A148)</f>
        <v>0</v>
      </c>
      <c r="AH148" s="32">
        <f ca="1">_xll.DBRW($C$1,$C$2,$C$3,$C$4,$C$6,$C$5,$C$7,AH$1,AH$2,$A148)</f>
        <v>0</v>
      </c>
      <c r="AI148" s="32">
        <f ca="1">_xll.DBRW($C$1,$C$2,$C$3,$C$4,$C$6,$C$5,$C$7,AI$1,AI$2,$A148)</f>
        <v>0</v>
      </c>
      <c r="AJ148" s="32">
        <f ca="1">_xll.DBRW($C$1,$C$2,$C$3,$C$4,$C$6,$C$5,$C$7,AJ$1,AJ$2,$A148)</f>
        <v>0</v>
      </c>
      <c r="AK148" s="32">
        <f ca="1">_xll.DBRW($C$1,$C$2,$C$3,$C$4,$C$6,$C$5,$C$7,AK$1,AK$2,$A148)</f>
        <v>0</v>
      </c>
      <c r="AL148" s="32">
        <f ca="1">_xll.DBRW($C$1,$C$2,$C$3,$C$4,$C$6,$C$5,$C$7,AL$1,AL$2,$A148)</f>
        <v>0</v>
      </c>
      <c r="AM148" s="32">
        <f ca="1">_xll.DBRW($C$1,$C$2,$C$3,$C$4,$C$6,$C$5,$C$7,AM$1,AM$2,$A148)</f>
        <v>0</v>
      </c>
      <c r="AN148" s="32">
        <f ca="1">_xll.DBRW($C$1,$C$2,$C$3,$C$4,$C$6,$C$5,$C$7,AN$1,AN$2,$A148)</f>
        <v>0</v>
      </c>
      <c r="AO148" s="32">
        <f ca="1">_xll.DBRW($C$1,$C$2,$C$3,$C$4,$C$6,$C$5,$C$7,AO$1,AO$2,$A148)</f>
        <v>0</v>
      </c>
      <c r="AP148" s="32">
        <f ca="1">_xll.DBRW($C$1,$C$2,$C$3,$C$4,$C$6,$C$5,$C$7,AP$1,AP$2,$A148)</f>
        <v>0</v>
      </c>
      <c r="AQ148" s="32">
        <f ca="1">_xll.DBRW($C$1,$C$2,$C$3,$C$4,$C$6,$C$5,$C$7,AQ$1,AQ$2,$A148)</f>
        <v>0</v>
      </c>
      <c r="AR148" s="32">
        <f ca="1">_xll.DBRW($C$1,$C$2,$C$3,$C$4,$C$6,$C$5,$C$7,AR$1,AR$2,$A148)</f>
        <v>0</v>
      </c>
      <c r="AS148" s="32">
        <f ca="1">_xll.DBRW($C$1,$C$2,$C$3,$C$4,$C$6,$C$5,$C$7,AS$1,AS$2,$A148)</f>
        <v>0</v>
      </c>
      <c r="AT148" s="32">
        <f ca="1">_xll.DBRW($C$1,$C$2,$C$3,$C$4,$C$6,$C$5,$C$7,AT$1,AT$2,$A148)</f>
        <v>0</v>
      </c>
      <c r="AU148" s="32">
        <f ca="1">_xll.DBRW($C$1,$C$2,$C$3,$C$4,$C$6,$C$5,$C$7,AU$1,AU$2,$A148)</f>
        <v>0</v>
      </c>
    </row>
    <row r="149" spans="1:47" ht="15.75" hidden="1" customHeight="1" outlineLevel="2">
      <c r="A149" s="1" t="s">
        <v>229</v>
      </c>
      <c r="C149" s="141"/>
      <c r="E149" s="9" t="str">
        <f ca="1">_xll.DBRW(Server&amp;"}ElementAttributes_Indicator",A149,"code_English")</f>
        <v>PL1150_DS_11 - Impairment (other than working capital) and provisions - related to staff costs - Reversal (DS)</v>
      </c>
      <c r="F149" s="32">
        <f ca="1">_xll.DBRW($C$1,$C$2,$C$3,$C$4,$C$6,$C$5,$C$7,F$1,F$2,$A149)</f>
        <v>0</v>
      </c>
      <c r="G149" s="32">
        <f ca="1">_xll.DBRW($C$1,$C$2,$C$3,$C$4,$C$6,$C$5,$C$7,G$1,G$2,$A149)</f>
        <v>0</v>
      </c>
      <c r="H149" s="32">
        <f ca="1">_xll.DBRW($C$1,$C$2,$C$3,$C$4,$C$6,$C$5,$C$7,H$1,H$2,$A149)</f>
        <v>0</v>
      </c>
      <c r="I149" s="32">
        <f ca="1">_xll.DBRW($C$1,$C$2,$C$3,$C$4,$C$6,$C$5,$C$7,I$1,I$2,$A149)</f>
        <v>0</v>
      </c>
      <c r="J149" s="32">
        <f ca="1">_xll.DBRW($C$1,$C$2,$C$3,$C$4,$C$6,$C$5,$C$7,J$1,J$2,$A149)</f>
        <v>0</v>
      </c>
      <c r="K149" s="32">
        <f ca="1">_xll.DBRW($C$1,$C$2,$C$3,$C$4,$C$6,$C$5,$C$7,K$1,K$2,$A149)</f>
        <v>0</v>
      </c>
      <c r="L149" s="32">
        <f ca="1">_xll.DBRW($C$1,$C$2,$C$3,$C$4,$C$6,$C$5,$C$7,L$1,L$2,$A149)</f>
        <v>0</v>
      </c>
      <c r="M149" s="32">
        <f ca="1">_xll.DBRW($C$1,$C$2,$C$3,$C$4,$C$6,$C$5,$C$7,M$1,M$2,$A149)</f>
        <v>0</v>
      </c>
      <c r="N149" s="32">
        <f ca="1">_xll.DBRW($C$1,$C$2,$C$3,$C$4,$C$6,$C$5,$C$7,N$1,N$2,$A149)</f>
        <v>0</v>
      </c>
      <c r="O149" s="32">
        <f ca="1">_xll.DBRW($C$1,$C$2,$C$3,$C$4,$C$6,$C$5,$C$7,O$1,O$2,$A149)</f>
        <v>0</v>
      </c>
      <c r="P149" s="32">
        <f ca="1">_xll.DBRW($C$1,$C$2,$C$3,$C$4,$C$6,$C$5,$C$7,P$1,P$2,$A149)</f>
        <v>0</v>
      </c>
      <c r="Q149" s="32">
        <f ca="1">_xll.DBRW($C$1,$C$2,$C$3,$C$4,$C$6,$C$5,$C$7,Q$1,Q$2,$A149)</f>
        <v>0</v>
      </c>
      <c r="R149" s="32">
        <f ca="1">_xll.DBRW($C$1,$C$2,$C$3,$C$4,$C$6,$C$5,$C$7,R$1,R$2,$A149)</f>
        <v>0</v>
      </c>
      <c r="S149" s="32">
        <f ca="1">_xll.DBRW($C$1,$C$2,$C$3,$C$4,$C$6,$C$5,$C$7,S$1,S$2,$A149)</f>
        <v>0</v>
      </c>
      <c r="T149" s="32">
        <f ca="1">_xll.DBRW($C$1,$C$2,$C$3,$C$4,$C$6,$C$5,$C$7,T$1,T$2,$A149)</f>
        <v>0</v>
      </c>
      <c r="U149" s="32">
        <f ca="1">_xll.DBRW($C$1,$C$2,$C$3,$C$4,$C$6,$C$5,$C$7,U$1,U$2,$A149)</f>
        <v>0</v>
      </c>
      <c r="V149" s="32">
        <f ca="1">_xll.DBRW($C$1,$C$2,$C$3,$C$4,$C$6,$C$5,$C$7,V$1,V$2,$A149)</f>
        <v>0</v>
      </c>
      <c r="W149" s="32">
        <f ca="1">_xll.DBRW($C$1,$C$2,$C$3,$C$4,$C$6,$C$5,$C$7,W$1,W$2,$A149)</f>
        <v>0</v>
      </c>
      <c r="X149" s="32">
        <f ca="1">_xll.DBRW($C$1,$C$2,$C$3,$C$4,$C$6,$C$5,$C$7,X$1,X$2,$A149)</f>
        <v>0</v>
      </c>
      <c r="Y149" s="32">
        <f ca="1">_xll.DBRW($C$1,$C$2,$C$3,$C$4,$C$6,$C$5,$C$7,Y$1,Y$2,$A149)</f>
        <v>0</v>
      </c>
      <c r="Z149" s="32">
        <f ca="1">_xll.DBRW($C$1,$C$2,$C$3,$C$4,$C$6,$C$5,$C$7,Z$1,Z$2,$A149)</f>
        <v>0</v>
      </c>
      <c r="AA149" s="32">
        <f ca="1">_xll.DBRW($C$1,$C$2,$C$3,$C$4,$C$6,$C$5,$C$7,AA$1,AA$2,$A149)</f>
        <v>0</v>
      </c>
      <c r="AB149" s="32">
        <f ca="1">_xll.DBRW($C$1,$C$2,$C$3,$C$4,$C$6,$C$5,$C$7,AB$1,AB$2,$A149)</f>
        <v>0</v>
      </c>
      <c r="AC149" s="32">
        <f ca="1">_xll.DBRW($C$1,$C$2,$C$3,$C$4,$C$6,$C$5,$C$7,AC$1,AC$2,$A149)</f>
        <v>0</v>
      </c>
      <c r="AD149" s="32">
        <f ca="1">_xll.DBRW($C$1,$C$2,$C$3,$C$4,$C$6,$C$5,$C$7,AD$1,AD$2,$A149)</f>
        <v>0</v>
      </c>
      <c r="AE149" s="32">
        <f ca="1">_xll.DBRW($C$1,$C$2,$C$3,$C$4,$C$6,$C$5,$C$7,AE$1,AE$2,$A149)</f>
        <v>0</v>
      </c>
      <c r="AF149" s="32">
        <f ca="1">_xll.DBRW($C$1,$C$2,$C$3,$C$4,$C$6,$C$5,$C$7,AF$1,AF$2,$A149)</f>
        <v>0</v>
      </c>
      <c r="AG149" s="32">
        <f ca="1">_xll.DBRW($C$1,$C$2,$C$3,$C$4,$C$6,$C$5,$C$7,AG$1,AG$2,$A149)</f>
        <v>0</v>
      </c>
      <c r="AH149" s="32">
        <f ca="1">_xll.DBRW($C$1,$C$2,$C$3,$C$4,$C$6,$C$5,$C$7,AH$1,AH$2,$A149)</f>
        <v>0</v>
      </c>
      <c r="AI149" s="32">
        <f ca="1">_xll.DBRW($C$1,$C$2,$C$3,$C$4,$C$6,$C$5,$C$7,AI$1,AI$2,$A149)</f>
        <v>0</v>
      </c>
      <c r="AJ149" s="32">
        <f ca="1">_xll.DBRW($C$1,$C$2,$C$3,$C$4,$C$6,$C$5,$C$7,AJ$1,AJ$2,$A149)</f>
        <v>0</v>
      </c>
      <c r="AK149" s="32">
        <f ca="1">_xll.DBRW($C$1,$C$2,$C$3,$C$4,$C$6,$C$5,$C$7,AK$1,AK$2,$A149)</f>
        <v>0</v>
      </c>
      <c r="AL149" s="32">
        <f ca="1">_xll.DBRW($C$1,$C$2,$C$3,$C$4,$C$6,$C$5,$C$7,AL$1,AL$2,$A149)</f>
        <v>0</v>
      </c>
      <c r="AM149" s="32">
        <f ca="1">_xll.DBRW($C$1,$C$2,$C$3,$C$4,$C$6,$C$5,$C$7,AM$1,AM$2,$A149)</f>
        <v>0</v>
      </c>
      <c r="AN149" s="32">
        <f ca="1">_xll.DBRW($C$1,$C$2,$C$3,$C$4,$C$6,$C$5,$C$7,AN$1,AN$2,$A149)</f>
        <v>0</v>
      </c>
      <c r="AO149" s="32">
        <f ca="1">_xll.DBRW($C$1,$C$2,$C$3,$C$4,$C$6,$C$5,$C$7,AO$1,AO$2,$A149)</f>
        <v>0</v>
      </c>
      <c r="AP149" s="32">
        <f ca="1">_xll.DBRW($C$1,$C$2,$C$3,$C$4,$C$6,$C$5,$C$7,AP$1,AP$2,$A149)</f>
        <v>0</v>
      </c>
      <c r="AQ149" s="32">
        <f ca="1">_xll.DBRW($C$1,$C$2,$C$3,$C$4,$C$6,$C$5,$C$7,AQ$1,AQ$2,$A149)</f>
        <v>0</v>
      </c>
      <c r="AR149" s="32">
        <f ca="1">_xll.DBRW($C$1,$C$2,$C$3,$C$4,$C$6,$C$5,$C$7,AR$1,AR$2,$A149)</f>
        <v>0</v>
      </c>
      <c r="AS149" s="32">
        <f ca="1">_xll.DBRW($C$1,$C$2,$C$3,$C$4,$C$6,$C$5,$C$7,AS$1,AS$2,$A149)</f>
        <v>0</v>
      </c>
      <c r="AT149" s="32">
        <f ca="1">_xll.DBRW($C$1,$C$2,$C$3,$C$4,$C$6,$C$5,$C$7,AT$1,AT$2,$A149)</f>
        <v>0</v>
      </c>
      <c r="AU149" s="32">
        <f ca="1">_xll.DBRW($C$1,$C$2,$C$3,$C$4,$C$6,$C$5,$C$7,AU$1,AU$2,$A149)</f>
        <v>0</v>
      </c>
    </row>
    <row r="150" spans="1:47" ht="15.75" hidden="1" customHeight="1" outlineLevel="2">
      <c r="A150" s="1" t="s">
        <v>230</v>
      </c>
      <c r="C150" s="141"/>
      <c r="E150" s="9" t="str">
        <f ca="1">_xll.DBRW(Server&amp;"}ElementAttributes_Indicator",A150,"code_English")</f>
        <v>PL1150_DS_90 - Impairment (other than working capital) and provisions - others (DS)</v>
      </c>
      <c r="F150" s="32">
        <f ca="1">_xll.DBRW($C$1,$C$2,$C$3,$C$4,$C$6,$C$5,$C$7,F$1,F$2,$A150)</f>
        <v>0</v>
      </c>
      <c r="G150" s="32">
        <f ca="1">_xll.DBRW($C$1,$C$2,$C$3,$C$4,$C$6,$C$5,$C$7,G$1,G$2,$A150)</f>
        <v>0</v>
      </c>
      <c r="H150" s="32">
        <f ca="1">_xll.DBRW($C$1,$C$2,$C$3,$C$4,$C$6,$C$5,$C$7,H$1,H$2,$A150)</f>
        <v>0</v>
      </c>
      <c r="I150" s="32">
        <f ca="1">_xll.DBRW($C$1,$C$2,$C$3,$C$4,$C$6,$C$5,$C$7,I$1,I$2,$A150)</f>
        <v>0</v>
      </c>
      <c r="J150" s="32">
        <f ca="1">_xll.DBRW($C$1,$C$2,$C$3,$C$4,$C$6,$C$5,$C$7,J$1,J$2,$A150)</f>
        <v>0</v>
      </c>
      <c r="K150" s="32">
        <f ca="1">_xll.DBRW($C$1,$C$2,$C$3,$C$4,$C$6,$C$5,$C$7,K$1,K$2,$A150)</f>
        <v>0</v>
      </c>
      <c r="L150" s="32">
        <f ca="1">_xll.DBRW($C$1,$C$2,$C$3,$C$4,$C$6,$C$5,$C$7,L$1,L$2,$A150)</f>
        <v>0</v>
      </c>
      <c r="M150" s="32">
        <f ca="1">_xll.DBRW($C$1,$C$2,$C$3,$C$4,$C$6,$C$5,$C$7,M$1,M$2,$A150)</f>
        <v>0</v>
      </c>
      <c r="N150" s="32">
        <f ca="1">_xll.DBRW($C$1,$C$2,$C$3,$C$4,$C$6,$C$5,$C$7,N$1,N$2,$A150)</f>
        <v>0</v>
      </c>
      <c r="O150" s="32">
        <f ca="1">_xll.DBRW($C$1,$C$2,$C$3,$C$4,$C$6,$C$5,$C$7,O$1,O$2,$A150)</f>
        <v>0</v>
      </c>
      <c r="P150" s="32">
        <f ca="1">_xll.DBRW($C$1,$C$2,$C$3,$C$4,$C$6,$C$5,$C$7,P$1,P$2,$A150)</f>
        <v>0</v>
      </c>
      <c r="Q150" s="32">
        <f ca="1">_xll.DBRW($C$1,$C$2,$C$3,$C$4,$C$6,$C$5,$C$7,Q$1,Q$2,$A150)</f>
        <v>0</v>
      </c>
      <c r="R150" s="32">
        <f ca="1">_xll.DBRW($C$1,$C$2,$C$3,$C$4,$C$6,$C$5,$C$7,R$1,R$2,$A150)</f>
        <v>0</v>
      </c>
      <c r="S150" s="32">
        <f ca="1">_xll.DBRW($C$1,$C$2,$C$3,$C$4,$C$6,$C$5,$C$7,S$1,S$2,$A150)</f>
        <v>0</v>
      </c>
      <c r="T150" s="32">
        <f ca="1">_xll.DBRW($C$1,$C$2,$C$3,$C$4,$C$6,$C$5,$C$7,T$1,T$2,$A150)</f>
        <v>0</v>
      </c>
      <c r="U150" s="32">
        <f ca="1">_xll.DBRW($C$1,$C$2,$C$3,$C$4,$C$6,$C$5,$C$7,U$1,U$2,$A150)</f>
        <v>0</v>
      </c>
      <c r="V150" s="32">
        <f ca="1">_xll.DBRW($C$1,$C$2,$C$3,$C$4,$C$6,$C$5,$C$7,V$1,V$2,$A150)</f>
        <v>0</v>
      </c>
      <c r="W150" s="32">
        <f ca="1">_xll.DBRW($C$1,$C$2,$C$3,$C$4,$C$6,$C$5,$C$7,W$1,W$2,$A150)</f>
        <v>0</v>
      </c>
      <c r="X150" s="32">
        <f ca="1">_xll.DBRW($C$1,$C$2,$C$3,$C$4,$C$6,$C$5,$C$7,X$1,X$2,$A150)</f>
        <v>0</v>
      </c>
      <c r="Y150" s="32">
        <f ca="1">_xll.DBRW($C$1,$C$2,$C$3,$C$4,$C$6,$C$5,$C$7,Y$1,Y$2,$A150)</f>
        <v>0</v>
      </c>
      <c r="Z150" s="32">
        <f ca="1">_xll.DBRW($C$1,$C$2,$C$3,$C$4,$C$6,$C$5,$C$7,Z$1,Z$2,$A150)</f>
        <v>0</v>
      </c>
      <c r="AA150" s="32">
        <f ca="1">_xll.DBRW($C$1,$C$2,$C$3,$C$4,$C$6,$C$5,$C$7,AA$1,AA$2,$A150)</f>
        <v>0</v>
      </c>
      <c r="AB150" s="32">
        <f ca="1">_xll.DBRW($C$1,$C$2,$C$3,$C$4,$C$6,$C$5,$C$7,AB$1,AB$2,$A150)</f>
        <v>0</v>
      </c>
      <c r="AC150" s="32">
        <f ca="1">_xll.DBRW($C$1,$C$2,$C$3,$C$4,$C$6,$C$5,$C$7,AC$1,AC$2,$A150)</f>
        <v>0</v>
      </c>
      <c r="AD150" s="32">
        <f ca="1">_xll.DBRW($C$1,$C$2,$C$3,$C$4,$C$6,$C$5,$C$7,AD$1,AD$2,$A150)</f>
        <v>0</v>
      </c>
      <c r="AE150" s="32">
        <f ca="1">_xll.DBRW($C$1,$C$2,$C$3,$C$4,$C$6,$C$5,$C$7,AE$1,AE$2,$A150)</f>
        <v>0</v>
      </c>
      <c r="AF150" s="32">
        <f ca="1">_xll.DBRW($C$1,$C$2,$C$3,$C$4,$C$6,$C$5,$C$7,AF$1,AF$2,$A150)</f>
        <v>0</v>
      </c>
      <c r="AG150" s="32">
        <f ca="1">_xll.DBRW($C$1,$C$2,$C$3,$C$4,$C$6,$C$5,$C$7,AG$1,AG$2,$A150)</f>
        <v>0</v>
      </c>
      <c r="AH150" s="32">
        <f ca="1">_xll.DBRW($C$1,$C$2,$C$3,$C$4,$C$6,$C$5,$C$7,AH$1,AH$2,$A150)</f>
        <v>0</v>
      </c>
      <c r="AI150" s="32">
        <f ca="1">_xll.DBRW($C$1,$C$2,$C$3,$C$4,$C$6,$C$5,$C$7,AI$1,AI$2,$A150)</f>
        <v>0</v>
      </c>
      <c r="AJ150" s="32">
        <f ca="1">_xll.DBRW($C$1,$C$2,$C$3,$C$4,$C$6,$C$5,$C$7,AJ$1,AJ$2,$A150)</f>
        <v>0</v>
      </c>
      <c r="AK150" s="32">
        <f ca="1">_xll.DBRW($C$1,$C$2,$C$3,$C$4,$C$6,$C$5,$C$7,AK$1,AK$2,$A150)</f>
        <v>0</v>
      </c>
      <c r="AL150" s="32">
        <f ca="1">_xll.DBRW($C$1,$C$2,$C$3,$C$4,$C$6,$C$5,$C$7,AL$1,AL$2,$A150)</f>
        <v>0</v>
      </c>
      <c r="AM150" s="32">
        <f ca="1">_xll.DBRW($C$1,$C$2,$C$3,$C$4,$C$6,$C$5,$C$7,AM$1,AM$2,$A150)</f>
        <v>0</v>
      </c>
      <c r="AN150" s="32">
        <f ca="1">_xll.DBRW($C$1,$C$2,$C$3,$C$4,$C$6,$C$5,$C$7,AN$1,AN$2,$A150)</f>
        <v>0</v>
      </c>
      <c r="AO150" s="32">
        <f ca="1">_xll.DBRW($C$1,$C$2,$C$3,$C$4,$C$6,$C$5,$C$7,AO$1,AO$2,$A150)</f>
        <v>0</v>
      </c>
      <c r="AP150" s="32">
        <f ca="1">_xll.DBRW($C$1,$C$2,$C$3,$C$4,$C$6,$C$5,$C$7,AP$1,AP$2,$A150)</f>
        <v>0</v>
      </c>
      <c r="AQ150" s="32">
        <f ca="1">_xll.DBRW($C$1,$C$2,$C$3,$C$4,$C$6,$C$5,$C$7,AQ$1,AQ$2,$A150)</f>
        <v>0</v>
      </c>
      <c r="AR150" s="32">
        <f ca="1">_xll.DBRW($C$1,$C$2,$C$3,$C$4,$C$6,$C$5,$C$7,AR$1,AR$2,$A150)</f>
        <v>0</v>
      </c>
      <c r="AS150" s="32">
        <f ca="1">_xll.DBRW($C$1,$C$2,$C$3,$C$4,$C$6,$C$5,$C$7,AS$1,AS$2,$A150)</f>
        <v>0</v>
      </c>
      <c r="AT150" s="32">
        <f ca="1">_xll.DBRW($C$1,$C$2,$C$3,$C$4,$C$6,$C$5,$C$7,AT$1,AT$2,$A150)</f>
        <v>0</v>
      </c>
      <c r="AU150" s="32">
        <f ca="1">_xll.DBRW($C$1,$C$2,$C$3,$C$4,$C$6,$C$5,$C$7,AU$1,AU$2,$A150)</f>
        <v>0</v>
      </c>
    </row>
    <row r="151" spans="1:47" ht="15.75" hidden="1" outlineLevel="1">
      <c r="A151" s="1" t="s">
        <v>127</v>
      </c>
      <c r="C151" s="141"/>
      <c r="E151" s="15" t="s">
        <v>37</v>
      </c>
      <c r="F151" s="33">
        <f t="shared" ref="F151:T151" ca="1" si="75">SUM(F138:F150)</f>
        <v>-69760803.649999991</v>
      </c>
      <c r="G151" s="33">
        <f t="shared" ca="1" si="75"/>
        <v>-69530190.340000004</v>
      </c>
      <c r="H151" s="33">
        <f t="shared" ca="1" si="75"/>
        <v>-71133525.26000002</v>
      </c>
      <c r="I151" s="33">
        <f t="shared" ca="1" si="75"/>
        <v>-6276244.6100000003</v>
      </c>
      <c r="J151" s="33">
        <f t="shared" ca="1" si="75"/>
        <v>-12402713.84</v>
      </c>
      <c r="K151" s="33">
        <f t="shared" ca="1" si="75"/>
        <v>-18607139.919999998</v>
      </c>
      <c r="L151" s="33">
        <f t="shared" ca="1" si="75"/>
        <v>-24526539.469999999</v>
      </c>
      <c r="M151" s="33">
        <f t="shared" ca="1" si="75"/>
        <v>-30540530.759999998</v>
      </c>
      <c r="N151" s="33">
        <f t="shared" ca="1" si="75"/>
        <v>-37008168.670000002</v>
      </c>
      <c r="O151" s="33">
        <f t="shared" ca="1" si="75"/>
        <v>-37008168.670000002</v>
      </c>
      <c r="P151" s="33">
        <f t="shared" ca="1" si="75"/>
        <v>-37008168.670000002</v>
      </c>
      <c r="Q151" s="33">
        <f t="shared" ca="1" si="75"/>
        <v>-37008168.670000002</v>
      </c>
      <c r="R151" s="33">
        <f t="shared" ca="1" si="75"/>
        <v>-37008168.670000002</v>
      </c>
      <c r="S151" s="33">
        <f t="shared" ca="1" si="75"/>
        <v>-37008168.670000002</v>
      </c>
      <c r="T151" s="33">
        <f t="shared" ca="1" si="75"/>
        <v>-37008168.670000002</v>
      </c>
      <c r="U151" s="33">
        <f ca="1">SUM(U138:U150)</f>
        <v>-37008168.670000002</v>
      </c>
      <c r="V151" s="33">
        <f t="shared" ref="V151:AG151" ca="1" si="76">SUM(V138:V150)</f>
        <v>0</v>
      </c>
      <c r="W151" s="33">
        <f t="shared" ca="1" si="76"/>
        <v>0</v>
      </c>
      <c r="X151" s="33">
        <f t="shared" ca="1" si="76"/>
        <v>0</v>
      </c>
      <c r="Y151" s="33">
        <f t="shared" ca="1" si="76"/>
        <v>0</v>
      </c>
      <c r="Z151" s="33">
        <f t="shared" ca="1" si="76"/>
        <v>0</v>
      </c>
      <c r="AA151" s="33">
        <f t="shared" ca="1" si="76"/>
        <v>0</v>
      </c>
      <c r="AB151" s="33">
        <f t="shared" ca="1" si="76"/>
        <v>0</v>
      </c>
      <c r="AC151" s="33">
        <f t="shared" ca="1" si="76"/>
        <v>0</v>
      </c>
      <c r="AD151" s="33">
        <f t="shared" ca="1" si="76"/>
        <v>0</v>
      </c>
      <c r="AE151" s="33">
        <f t="shared" ca="1" si="76"/>
        <v>0</v>
      </c>
      <c r="AF151" s="33">
        <f t="shared" ca="1" si="76"/>
        <v>0</v>
      </c>
      <c r="AG151" s="33">
        <f t="shared" ca="1" si="76"/>
        <v>0</v>
      </c>
      <c r="AH151" s="33">
        <f ca="1">SUM(AH138:AH150)</f>
        <v>0</v>
      </c>
      <c r="AI151" s="33">
        <f t="shared" ref="AI151:AT151" ca="1" si="77">SUM(AI138:AI150)</f>
        <v>0</v>
      </c>
      <c r="AJ151" s="33">
        <f t="shared" ca="1" si="77"/>
        <v>0</v>
      </c>
      <c r="AK151" s="33">
        <f t="shared" ca="1" si="77"/>
        <v>0</v>
      </c>
      <c r="AL151" s="33">
        <f t="shared" ca="1" si="77"/>
        <v>0</v>
      </c>
      <c r="AM151" s="33">
        <f t="shared" ca="1" si="77"/>
        <v>0</v>
      </c>
      <c r="AN151" s="33">
        <f t="shared" ca="1" si="77"/>
        <v>0</v>
      </c>
      <c r="AO151" s="33">
        <f t="shared" ca="1" si="77"/>
        <v>0</v>
      </c>
      <c r="AP151" s="33">
        <f t="shared" ca="1" si="77"/>
        <v>0</v>
      </c>
      <c r="AQ151" s="33">
        <f t="shared" ca="1" si="77"/>
        <v>0</v>
      </c>
      <c r="AR151" s="33">
        <f t="shared" ca="1" si="77"/>
        <v>0</v>
      </c>
      <c r="AS151" s="33">
        <f t="shared" ca="1" si="77"/>
        <v>0</v>
      </c>
      <c r="AT151" s="33">
        <f t="shared" ca="1" si="77"/>
        <v>0</v>
      </c>
      <c r="AU151" s="33">
        <f ca="1">SUM(AU138:AU150)</f>
        <v>0</v>
      </c>
    </row>
    <row r="152" spans="1:47" ht="15.75" hidden="1" customHeight="1" outlineLevel="2">
      <c r="A152" s="1" t="s">
        <v>231</v>
      </c>
      <c r="C152" s="141"/>
      <c r="E152" s="9" t="str">
        <f ca="1">_xll.DBRW(Server&amp;"}ElementAttributes_Indicator",A152,"code_English")</f>
        <v>PL1116_IN - COS - Lease expenses (IN)</v>
      </c>
      <c r="F152" s="32">
        <f ca="1">_xll.DBRW($C$1,$C$2,$C$3,$C$4,$C$6,$C$5,$C$7,F$1,F$2,$A152)</f>
        <v>-81106.850000000035</v>
      </c>
      <c r="G152" s="32">
        <f ca="1">_xll.DBRW($C$1,$C$2,$C$3,$C$4,$C$6,$C$5,$C$7,G$1,G$2,$A152)</f>
        <v>-321281.66000000015</v>
      </c>
      <c r="H152" s="32">
        <f ca="1">_xll.DBRW($C$1,$C$2,$C$3,$C$4,$C$6,$C$5,$C$7,H$1,H$2,$A152)</f>
        <v>-116752.69999999997</v>
      </c>
      <c r="I152" s="32">
        <f ca="1">_xll.DBRW($C$1,$C$2,$C$3,$C$4,$C$6,$C$5,$C$7,I$1,I$2,$A152)</f>
        <v>-8186.1899999999932</v>
      </c>
      <c r="J152" s="32">
        <f ca="1">_xll.DBRW($C$1,$C$2,$C$3,$C$4,$C$6,$C$5,$C$7,J$1,J$2,$A152)</f>
        <v>-25673.670000000013</v>
      </c>
      <c r="K152" s="32">
        <f ca="1">_xll.DBRW($C$1,$C$2,$C$3,$C$4,$C$6,$C$5,$C$7,K$1,K$2,$A152)</f>
        <v>-39894.780000000021</v>
      </c>
      <c r="L152" s="32">
        <f ca="1">_xll.DBRW($C$1,$C$2,$C$3,$C$4,$C$6,$C$5,$C$7,L$1,L$2,$A152)</f>
        <v>-111219.59000000003</v>
      </c>
      <c r="M152" s="32">
        <f ca="1">_xll.DBRW($C$1,$C$2,$C$3,$C$4,$C$6,$C$5,$C$7,M$1,M$2,$A152)</f>
        <v>-124320.79000000001</v>
      </c>
      <c r="N152" s="32">
        <f ca="1">_xll.DBRW($C$1,$C$2,$C$3,$C$4,$C$6,$C$5,$C$7,N$1,N$2,$A152)</f>
        <v>-145643.91</v>
      </c>
      <c r="O152" s="32">
        <f ca="1">_xll.DBRW($C$1,$C$2,$C$3,$C$4,$C$6,$C$5,$C$7,O$1,O$2,$A152)</f>
        <v>-145643.91</v>
      </c>
      <c r="P152" s="32">
        <f ca="1">_xll.DBRW($C$1,$C$2,$C$3,$C$4,$C$6,$C$5,$C$7,P$1,P$2,$A152)</f>
        <v>-145643.91</v>
      </c>
      <c r="Q152" s="32">
        <f ca="1">_xll.DBRW($C$1,$C$2,$C$3,$C$4,$C$6,$C$5,$C$7,Q$1,Q$2,$A152)</f>
        <v>-145643.91</v>
      </c>
      <c r="R152" s="32">
        <f ca="1">_xll.DBRW($C$1,$C$2,$C$3,$C$4,$C$6,$C$5,$C$7,R$1,R$2,$A152)</f>
        <v>-145643.91</v>
      </c>
      <c r="S152" s="32">
        <f ca="1">_xll.DBRW($C$1,$C$2,$C$3,$C$4,$C$6,$C$5,$C$7,S$1,S$2,$A152)</f>
        <v>-145643.91</v>
      </c>
      <c r="T152" s="32">
        <f ca="1">_xll.DBRW($C$1,$C$2,$C$3,$C$4,$C$6,$C$5,$C$7,T$1,T$2,$A152)</f>
        <v>-145643.91</v>
      </c>
      <c r="U152" s="32">
        <f ca="1">_xll.DBRW($C$1,$C$2,$C$3,$C$4,$C$6,$C$5,$C$7,U$1,U$2,$A152)</f>
        <v>-145643.91</v>
      </c>
      <c r="V152" s="32">
        <f ca="1">_xll.DBRW($C$1,$C$2,$C$3,$C$4,$C$6,$C$5,$C$7,V$1,V$2,$A152)</f>
        <v>0</v>
      </c>
      <c r="W152" s="32">
        <f ca="1">_xll.DBRW($C$1,$C$2,$C$3,$C$4,$C$6,$C$5,$C$7,W$1,W$2,$A152)</f>
        <v>0</v>
      </c>
      <c r="X152" s="32">
        <f ca="1">_xll.DBRW($C$1,$C$2,$C$3,$C$4,$C$6,$C$5,$C$7,X$1,X$2,$A152)</f>
        <v>0</v>
      </c>
      <c r="Y152" s="32">
        <f ca="1">_xll.DBRW($C$1,$C$2,$C$3,$C$4,$C$6,$C$5,$C$7,Y$1,Y$2,$A152)</f>
        <v>0</v>
      </c>
      <c r="Z152" s="32">
        <f ca="1">_xll.DBRW($C$1,$C$2,$C$3,$C$4,$C$6,$C$5,$C$7,Z$1,Z$2,$A152)</f>
        <v>0</v>
      </c>
      <c r="AA152" s="32">
        <f ca="1">_xll.DBRW($C$1,$C$2,$C$3,$C$4,$C$6,$C$5,$C$7,AA$1,AA$2,$A152)</f>
        <v>0</v>
      </c>
      <c r="AB152" s="32">
        <f ca="1">_xll.DBRW($C$1,$C$2,$C$3,$C$4,$C$6,$C$5,$C$7,AB$1,AB$2,$A152)</f>
        <v>0</v>
      </c>
      <c r="AC152" s="32">
        <f ca="1">_xll.DBRW($C$1,$C$2,$C$3,$C$4,$C$6,$C$5,$C$7,AC$1,AC$2,$A152)</f>
        <v>0</v>
      </c>
      <c r="AD152" s="32">
        <f ca="1">_xll.DBRW($C$1,$C$2,$C$3,$C$4,$C$6,$C$5,$C$7,AD$1,AD$2,$A152)</f>
        <v>0</v>
      </c>
      <c r="AE152" s="32">
        <f ca="1">_xll.DBRW($C$1,$C$2,$C$3,$C$4,$C$6,$C$5,$C$7,AE$1,AE$2,$A152)</f>
        <v>0</v>
      </c>
      <c r="AF152" s="32">
        <f ca="1">_xll.DBRW($C$1,$C$2,$C$3,$C$4,$C$6,$C$5,$C$7,AF$1,AF$2,$A152)</f>
        <v>0</v>
      </c>
      <c r="AG152" s="32">
        <f ca="1">_xll.DBRW($C$1,$C$2,$C$3,$C$4,$C$6,$C$5,$C$7,AG$1,AG$2,$A152)</f>
        <v>0</v>
      </c>
      <c r="AH152" s="32">
        <f ca="1">_xll.DBRW($C$1,$C$2,$C$3,$C$4,$C$6,$C$5,$C$7,AH$1,AH$2,$A152)</f>
        <v>0</v>
      </c>
      <c r="AI152" s="32">
        <f ca="1">_xll.DBRW($C$1,$C$2,$C$3,$C$4,$C$6,$C$5,$C$7,AI$1,AI$2,$A152)</f>
        <v>0</v>
      </c>
      <c r="AJ152" s="32">
        <f ca="1">_xll.DBRW($C$1,$C$2,$C$3,$C$4,$C$6,$C$5,$C$7,AJ$1,AJ$2,$A152)</f>
        <v>0</v>
      </c>
      <c r="AK152" s="32">
        <f ca="1">_xll.DBRW($C$1,$C$2,$C$3,$C$4,$C$6,$C$5,$C$7,AK$1,AK$2,$A152)</f>
        <v>0</v>
      </c>
      <c r="AL152" s="32">
        <f ca="1">_xll.DBRW($C$1,$C$2,$C$3,$C$4,$C$6,$C$5,$C$7,AL$1,AL$2,$A152)</f>
        <v>0</v>
      </c>
      <c r="AM152" s="32">
        <f ca="1">_xll.DBRW($C$1,$C$2,$C$3,$C$4,$C$6,$C$5,$C$7,AM$1,AM$2,$A152)</f>
        <v>0</v>
      </c>
      <c r="AN152" s="32">
        <f ca="1">_xll.DBRW($C$1,$C$2,$C$3,$C$4,$C$6,$C$5,$C$7,AN$1,AN$2,$A152)</f>
        <v>0</v>
      </c>
      <c r="AO152" s="32">
        <f ca="1">_xll.DBRW($C$1,$C$2,$C$3,$C$4,$C$6,$C$5,$C$7,AO$1,AO$2,$A152)</f>
        <v>0</v>
      </c>
      <c r="AP152" s="32">
        <f ca="1">_xll.DBRW($C$1,$C$2,$C$3,$C$4,$C$6,$C$5,$C$7,AP$1,AP$2,$A152)</f>
        <v>0</v>
      </c>
      <c r="AQ152" s="32">
        <f ca="1">_xll.DBRW($C$1,$C$2,$C$3,$C$4,$C$6,$C$5,$C$7,AQ$1,AQ$2,$A152)</f>
        <v>0</v>
      </c>
      <c r="AR152" s="32">
        <f ca="1">_xll.DBRW($C$1,$C$2,$C$3,$C$4,$C$6,$C$5,$C$7,AR$1,AR$2,$A152)</f>
        <v>0</v>
      </c>
      <c r="AS152" s="32">
        <f ca="1">_xll.DBRW($C$1,$C$2,$C$3,$C$4,$C$6,$C$5,$C$7,AS$1,AS$2,$A152)</f>
        <v>0</v>
      </c>
      <c r="AT152" s="32">
        <f ca="1">_xll.DBRW($C$1,$C$2,$C$3,$C$4,$C$6,$C$5,$C$7,AT$1,AT$2,$A152)</f>
        <v>0</v>
      </c>
      <c r="AU152" s="32">
        <f ca="1">_xll.DBRW($C$1,$C$2,$C$3,$C$4,$C$6,$C$5,$C$7,AU$1,AU$2,$A152)</f>
        <v>0</v>
      </c>
    </row>
    <row r="153" spans="1:47" ht="15.75" hidden="1" customHeight="1" outlineLevel="2">
      <c r="A153" s="1" t="s">
        <v>232</v>
      </c>
      <c r="C153" s="141"/>
      <c r="E153" s="9" t="str">
        <f ca="1">_xll.DBRW(Server&amp;"}ElementAttributes_Indicator",A153,"code_English")</f>
        <v>PL1155_IN_99 - Reinvoicing - Others (IN)</v>
      </c>
      <c r="F153" s="32">
        <f ca="1">_xll.DBRW($C$1,$C$2,$C$3,$C$4,$C$6,$C$5,$C$7,F$1,F$2,$A153)</f>
        <v>0</v>
      </c>
      <c r="G153" s="32">
        <f ca="1">_xll.DBRW($C$1,$C$2,$C$3,$C$4,$C$6,$C$5,$C$7,G$1,G$2,$A153)</f>
        <v>0</v>
      </c>
      <c r="H153" s="32">
        <f ca="1">_xll.DBRW($C$1,$C$2,$C$3,$C$4,$C$6,$C$5,$C$7,H$1,H$2,$A153)</f>
        <v>0</v>
      </c>
      <c r="I153" s="32">
        <f ca="1">_xll.DBRW($C$1,$C$2,$C$3,$C$4,$C$6,$C$5,$C$7,I$1,I$2,$A153)</f>
        <v>0</v>
      </c>
      <c r="J153" s="32">
        <f ca="1">_xll.DBRW($C$1,$C$2,$C$3,$C$4,$C$6,$C$5,$C$7,J$1,J$2,$A153)</f>
        <v>0</v>
      </c>
      <c r="K153" s="32">
        <f ca="1">_xll.DBRW($C$1,$C$2,$C$3,$C$4,$C$6,$C$5,$C$7,K$1,K$2,$A153)</f>
        <v>0</v>
      </c>
      <c r="L153" s="32">
        <f ca="1">_xll.DBRW($C$1,$C$2,$C$3,$C$4,$C$6,$C$5,$C$7,L$1,L$2,$A153)</f>
        <v>0</v>
      </c>
      <c r="M153" s="32">
        <f ca="1">_xll.DBRW($C$1,$C$2,$C$3,$C$4,$C$6,$C$5,$C$7,M$1,M$2,$A153)</f>
        <v>0</v>
      </c>
      <c r="N153" s="32">
        <f ca="1">_xll.DBRW($C$1,$C$2,$C$3,$C$4,$C$6,$C$5,$C$7,N$1,N$2,$A153)</f>
        <v>0</v>
      </c>
      <c r="O153" s="32">
        <f ca="1">_xll.DBRW($C$1,$C$2,$C$3,$C$4,$C$6,$C$5,$C$7,O$1,O$2,$A153)</f>
        <v>0</v>
      </c>
      <c r="P153" s="32">
        <f ca="1">_xll.DBRW($C$1,$C$2,$C$3,$C$4,$C$6,$C$5,$C$7,P$1,P$2,$A153)</f>
        <v>0</v>
      </c>
      <c r="Q153" s="32">
        <f ca="1">_xll.DBRW($C$1,$C$2,$C$3,$C$4,$C$6,$C$5,$C$7,Q$1,Q$2,$A153)</f>
        <v>0</v>
      </c>
      <c r="R153" s="32">
        <f ca="1">_xll.DBRW($C$1,$C$2,$C$3,$C$4,$C$6,$C$5,$C$7,R$1,R$2,$A153)</f>
        <v>0</v>
      </c>
      <c r="S153" s="32">
        <f ca="1">_xll.DBRW($C$1,$C$2,$C$3,$C$4,$C$6,$C$5,$C$7,S$1,S$2,$A153)</f>
        <v>0</v>
      </c>
      <c r="T153" s="32">
        <f ca="1">_xll.DBRW($C$1,$C$2,$C$3,$C$4,$C$6,$C$5,$C$7,T$1,T$2,$A153)</f>
        <v>0</v>
      </c>
      <c r="U153" s="32">
        <f ca="1">_xll.DBRW($C$1,$C$2,$C$3,$C$4,$C$6,$C$5,$C$7,U$1,U$2,$A153)</f>
        <v>0</v>
      </c>
      <c r="V153" s="32">
        <f ca="1">_xll.DBRW($C$1,$C$2,$C$3,$C$4,$C$6,$C$5,$C$7,V$1,V$2,$A153)</f>
        <v>0</v>
      </c>
      <c r="W153" s="32">
        <f ca="1">_xll.DBRW($C$1,$C$2,$C$3,$C$4,$C$6,$C$5,$C$7,W$1,W$2,$A153)</f>
        <v>0</v>
      </c>
      <c r="X153" s="32">
        <f ca="1">_xll.DBRW($C$1,$C$2,$C$3,$C$4,$C$6,$C$5,$C$7,X$1,X$2,$A153)</f>
        <v>0</v>
      </c>
      <c r="Y153" s="32">
        <f ca="1">_xll.DBRW($C$1,$C$2,$C$3,$C$4,$C$6,$C$5,$C$7,Y$1,Y$2,$A153)</f>
        <v>0</v>
      </c>
      <c r="Z153" s="32">
        <f ca="1">_xll.DBRW($C$1,$C$2,$C$3,$C$4,$C$6,$C$5,$C$7,Z$1,Z$2,$A153)</f>
        <v>0</v>
      </c>
      <c r="AA153" s="32">
        <f ca="1">_xll.DBRW($C$1,$C$2,$C$3,$C$4,$C$6,$C$5,$C$7,AA$1,AA$2,$A153)</f>
        <v>0</v>
      </c>
      <c r="AB153" s="32">
        <f ca="1">_xll.DBRW($C$1,$C$2,$C$3,$C$4,$C$6,$C$5,$C$7,AB$1,AB$2,$A153)</f>
        <v>0</v>
      </c>
      <c r="AC153" s="32">
        <f ca="1">_xll.DBRW($C$1,$C$2,$C$3,$C$4,$C$6,$C$5,$C$7,AC$1,AC$2,$A153)</f>
        <v>0</v>
      </c>
      <c r="AD153" s="32">
        <f ca="1">_xll.DBRW($C$1,$C$2,$C$3,$C$4,$C$6,$C$5,$C$7,AD$1,AD$2,$A153)</f>
        <v>0</v>
      </c>
      <c r="AE153" s="32">
        <f ca="1">_xll.DBRW($C$1,$C$2,$C$3,$C$4,$C$6,$C$5,$C$7,AE$1,AE$2,$A153)</f>
        <v>0</v>
      </c>
      <c r="AF153" s="32">
        <f ca="1">_xll.DBRW($C$1,$C$2,$C$3,$C$4,$C$6,$C$5,$C$7,AF$1,AF$2,$A153)</f>
        <v>0</v>
      </c>
      <c r="AG153" s="32">
        <f ca="1">_xll.DBRW($C$1,$C$2,$C$3,$C$4,$C$6,$C$5,$C$7,AG$1,AG$2,$A153)</f>
        <v>0</v>
      </c>
      <c r="AH153" s="32">
        <f ca="1">_xll.DBRW($C$1,$C$2,$C$3,$C$4,$C$6,$C$5,$C$7,AH$1,AH$2,$A153)</f>
        <v>0</v>
      </c>
      <c r="AI153" s="32">
        <f ca="1">_xll.DBRW($C$1,$C$2,$C$3,$C$4,$C$6,$C$5,$C$7,AI$1,AI$2,$A153)</f>
        <v>0</v>
      </c>
      <c r="AJ153" s="32">
        <f ca="1">_xll.DBRW($C$1,$C$2,$C$3,$C$4,$C$6,$C$5,$C$7,AJ$1,AJ$2,$A153)</f>
        <v>0</v>
      </c>
      <c r="AK153" s="32">
        <f ca="1">_xll.DBRW($C$1,$C$2,$C$3,$C$4,$C$6,$C$5,$C$7,AK$1,AK$2,$A153)</f>
        <v>0</v>
      </c>
      <c r="AL153" s="32">
        <f ca="1">_xll.DBRW($C$1,$C$2,$C$3,$C$4,$C$6,$C$5,$C$7,AL$1,AL$2,$A153)</f>
        <v>0</v>
      </c>
      <c r="AM153" s="32">
        <f ca="1">_xll.DBRW($C$1,$C$2,$C$3,$C$4,$C$6,$C$5,$C$7,AM$1,AM$2,$A153)</f>
        <v>0</v>
      </c>
      <c r="AN153" s="32">
        <f ca="1">_xll.DBRW($C$1,$C$2,$C$3,$C$4,$C$6,$C$5,$C$7,AN$1,AN$2,$A153)</f>
        <v>0</v>
      </c>
      <c r="AO153" s="32">
        <f ca="1">_xll.DBRW($C$1,$C$2,$C$3,$C$4,$C$6,$C$5,$C$7,AO$1,AO$2,$A153)</f>
        <v>0</v>
      </c>
      <c r="AP153" s="32">
        <f ca="1">_xll.DBRW($C$1,$C$2,$C$3,$C$4,$C$6,$C$5,$C$7,AP$1,AP$2,$A153)</f>
        <v>0</v>
      </c>
      <c r="AQ153" s="32">
        <f ca="1">_xll.DBRW($C$1,$C$2,$C$3,$C$4,$C$6,$C$5,$C$7,AQ$1,AQ$2,$A153)</f>
        <v>0</v>
      </c>
      <c r="AR153" s="32">
        <f ca="1">_xll.DBRW($C$1,$C$2,$C$3,$C$4,$C$6,$C$5,$C$7,AR$1,AR$2,$A153)</f>
        <v>0</v>
      </c>
      <c r="AS153" s="32">
        <f ca="1">_xll.DBRW($C$1,$C$2,$C$3,$C$4,$C$6,$C$5,$C$7,AS$1,AS$2,$A153)</f>
        <v>0</v>
      </c>
      <c r="AT153" s="32">
        <f ca="1">_xll.DBRW($C$1,$C$2,$C$3,$C$4,$C$6,$C$5,$C$7,AT$1,AT$2,$A153)</f>
        <v>0</v>
      </c>
      <c r="AU153" s="32">
        <f ca="1">_xll.DBRW($C$1,$C$2,$C$3,$C$4,$C$6,$C$5,$C$7,AU$1,AU$2,$A153)</f>
        <v>0</v>
      </c>
    </row>
    <row r="154" spans="1:47" ht="15.75" hidden="1" customHeight="1" outlineLevel="2">
      <c r="A154" s="1" t="s">
        <v>233</v>
      </c>
      <c r="C154" s="141"/>
      <c r="E154" s="9" t="str">
        <f ca="1">_xll.DBRW(Server&amp;"}ElementAttributes_Indicator",A154,"code_English")</f>
        <v>PL1115_IN_60 - Access fees</v>
      </c>
      <c r="F154" s="32">
        <f ca="1">_xll.DBRW($C$1,$C$2,$C$3,$C$4,$C$6,$C$5,$C$7,F$1,F$2,$A154)</f>
        <v>0</v>
      </c>
      <c r="G154" s="32">
        <f ca="1">_xll.DBRW($C$1,$C$2,$C$3,$C$4,$C$6,$C$5,$C$7,G$1,G$2,$A154)</f>
        <v>0</v>
      </c>
      <c r="H154" s="32">
        <f ca="1">_xll.DBRW($C$1,$C$2,$C$3,$C$4,$C$6,$C$5,$C$7,H$1,H$2,$A154)</f>
        <v>0</v>
      </c>
      <c r="I154" s="32">
        <f ca="1">_xll.DBRW($C$1,$C$2,$C$3,$C$4,$C$6,$C$5,$C$7,I$1,I$2,$A154)</f>
        <v>0</v>
      </c>
      <c r="J154" s="32">
        <f ca="1">_xll.DBRW($C$1,$C$2,$C$3,$C$4,$C$6,$C$5,$C$7,J$1,J$2,$A154)</f>
        <v>0</v>
      </c>
      <c r="K154" s="32">
        <f ca="1">_xll.DBRW($C$1,$C$2,$C$3,$C$4,$C$6,$C$5,$C$7,K$1,K$2,$A154)</f>
        <v>0</v>
      </c>
      <c r="L154" s="32">
        <f ca="1">_xll.DBRW($C$1,$C$2,$C$3,$C$4,$C$6,$C$5,$C$7,L$1,L$2,$A154)</f>
        <v>0</v>
      </c>
      <c r="M154" s="32">
        <f ca="1">_xll.DBRW($C$1,$C$2,$C$3,$C$4,$C$6,$C$5,$C$7,M$1,M$2,$A154)</f>
        <v>0</v>
      </c>
      <c r="N154" s="32">
        <f ca="1">_xll.DBRW($C$1,$C$2,$C$3,$C$4,$C$6,$C$5,$C$7,N$1,N$2,$A154)</f>
        <v>0</v>
      </c>
      <c r="O154" s="32">
        <f ca="1">_xll.DBRW($C$1,$C$2,$C$3,$C$4,$C$6,$C$5,$C$7,O$1,O$2,$A154)</f>
        <v>0</v>
      </c>
      <c r="P154" s="32">
        <f ca="1">_xll.DBRW($C$1,$C$2,$C$3,$C$4,$C$6,$C$5,$C$7,P$1,P$2,$A154)</f>
        <v>0</v>
      </c>
      <c r="Q154" s="32">
        <f ca="1">_xll.DBRW($C$1,$C$2,$C$3,$C$4,$C$6,$C$5,$C$7,Q$1,Q$2,$A154)</f>
        <v>0</v>
      </c>
      <c r="R154" s="32">
        <f ca="1">_xll.DBRW($C$1,$C$2,$C$3,$C$4,$C$6,$C$5,$C$7,R$1,R$2,$A154)</f>
        <v>0</v>
      </c>
      <c r="S154" s="32">
        <f ca="1">_xll.DBRW($C$1,$C$2,$C$3,$C$4,$C$6,$C$5,$C$7,S$1,S$2,$A154)</f>
        <v>0</v>
      </c>
      <c r="T154" s="32">
        <f ca="1">_xll.DBRW($C$1,$C$2,$C$3,$C$4,$C$6,$C$5,$C$7,T$1,T$2,$A154)</f>
        <v>0</v>
      </c>
      <c r="U154" s="32">
        <f ca="1">_xll.DBRW($C$1,$C$2,$C$3,$C$4,$C$6,$C$5,$C$7,U$1,U$2,$A154)</f>
        <v>0</v>
      </c>
      <c r="V154" s="32">
        <f ca="1">_xll.DBRW($C$1,$C$2,$C$3,$C$4,$C$6,$C$5,$C$7,V$1,V$2,$A154)</f>
        <v>0</v>
      </c>
      <c r="W154" s="32">
        <f ca="1">_xll.DBRW($C$1,$C$2,$C$3,$C$4,$C$6,$C$5,$C$7,W$1,W$2,$A154)</f>
        <v>0</v>
      </c>
      <c r="X154" s="32">
        <f ca="1">_xll.DBRW($C$1,$C$2,$C$3,$C$4,$C$6,$C$5,$C$7,X$1,X$2,$A154)</f>
        <v>0</v>
      </c>
      <c r="Y154" s="32">
        <f ca="1">_xll.DBRW($C$1,$C$2,$C$3,$C$4,$C$6,$C$5,$C$7,Y$1,Y$2,$A154)</f>
        <v>0</v>
      </c>
      <c r="Z154" s="32">
        <f ca="1">_xll.DBRW($C$1,$C$2,$C$3,$C$4,$C$6,$C$5,$C$7,Z$1,Z$2,$A154)</f>
        <v>0</v>
      </c>
      <c r="AA154" s="32">
        <f ca="1">_xll.DBRW($C$1,$C$2,$C$3,$C$4,$C$6,$C$5,$C$7,AA$1,AA$2,$A154)</f>
        <v>0</v>
      </c>
      <c r="AB154" s="32">
        <f ca="1">_xll.DBRW($C$1,$C$2,$C$3,$C$4,$C$6,$C$5,$C$7,AB$1,AB$2,$A154)</f>
        <v>0</v>
      </c>
      <c r="AC154" s="32">
        <f ca="1">_xll.DBRW($C$1,$C$2,$C$3,$C$4,$C$6,$C$5,$C$7,AC$1,AC$2,$A154)</f>
        <v>0</v>
      </c>
      <c r="AD154" s="32">
        <f ca="1">_xll.DBRW($C$1,$C$2,$C$3,$C$4,$C$6,$C$5,$C$7,AD$1,AD$2,$A154)</f>
        <v>0</v>
      </c>
      <c r="AE154" s="32">
        <f ca="1">_xll.DBRW($C$1,$C$2,$C$3,$C$4,$C$6,$C$5,$C$7,AE$1,AE$2,$A154)</f>
        <v>0</v>
      </c>
      <c r="AF154" s="32">
        <f ca="1">_xll.DBRW($C$1,$C$2,$C$3,$C$4,$C$6,$C$5,$C$7,AF$1,AF$2,$A154)</f>
        <v>0</v>
      </c>
      <c r="AG154" s="32">
        <f ca="1">_xll.DBRW($C$1,$C$2,$C$3,$C$4,$C$6,$C$5,$C$7,AG$1,AG$2,$A154)</f>
        <v>0</v>
      </c>
      <c r="AH154" s="32">
        <f ca="1">_xll.DBRW($C$1,$C$2,$C$3,$C$4,$C$6,$C$5,$C$7,AH$1,AH$2,$A154)</f>
        <v>0</v>
      </c>
      <c r="AI154" s="32">
        <f ca="1">_xll.DBRW($C$1,$C$2,$C$3,$C$4,$C$6,$C$5,$C$7,AI$1,AI$2,$A154)</f>
        <v>0</v>
      </c>
      <c r="AJ154" s="32">
        <f ca="1">_xll.DBRW($C$1,$C$2,$C$3,$C$4,$C$6,$C$5,$C$7,AJ$1,AJ$2,$A154)</f>
        <v>0</v>
      </c>
      <c r="AK154" s="32">
        <f ca="1">_xll.DBRW($C$1,$C$2,$C$3,$C$4,$C$6,$C$5,$C$7,AK$1,AK$2,$A154)</f>
        <v>0</v>
      </c>
      <c r="AL154" s="32">
        <f ca="1">_xll.DBRW($C$1,$C$2,$C$3,$C$4,$C$6,$C$5,$C$7,AL$1,AL$2,$A154)</f>
        <v>0</v>
      </c>
      <c r="AM154" s="32">
        <f ca="1">_xll.DBRW($C$1,$C$2,$C$3,$C$4,$C$6,$C$5,$C$7,AM$1,AM$2,$A154)</f>
        <v>0</v>
      </c>
      <c r="AN154" s="32">
        <f ca="1">_xll.DBRW($C$1,$C$2,$C$3,$C$4,$C$6,$C$5,$C$7,AN$1,AN$2,$A154)</f>
        <v>0</v>
      </c>
      <c r="AO154" s="32">
        <f ca="1">_xll.DBRW($C$1,$C$2,$C$3,$C$4,$C$6,$C$5,$C$7,AO$1,AO$2,$A154)</f>
        <v>0</v>
      </c>
      <c r="AP154" s="32">
        <f ca="1">_xll.DBRW($C$1,$C$2,$C$3,$C$4,$C$6,$C$5,$C$7,AP$1,AP$2,$A154)</f>
        <v>0</v>
      </c>
      <c r="AQ154" s="32">
        <f ca="1">_xll.DBRW($C$1,$C$2,$C$3,$C$4,$C$6,$C$5,$C$7,AQ$1,AQ$2,$A154)</f>
        <v>0</v>
      </c>
      <c r="AR154" s="32">
        <f ca="1">_xll.DBRW($C$1,$C$2,$C$3,$C$4,$C$6,$C$5,$C$7,AR$1,AR$2,$A154)</f>
        <v>0</v>
      </c>
      <c r="AS154" s="32">
        <f ca="1">_xll.DBRW($C$1,$C$2,$C$3,$C$4,$C$6,$C$5,$C$7,AS$1,AS$2,$A154)</f>
        <v>0</v>
      </c>
      <c r="AT154" s="32">
        <f ca="1">_xll.DBRW($C$1,$C$2,$C$3,$C$4,$C$6,$C$5,$C$7,AT$1,AT$2,$A154)</f>
        <v>0</v>
      </c>
      <c r="AU154" s="32">
        <f ca="1">_xll.DBRW($C$1,$C$2,$C$3,$C$4,$C$6,$C$5,$C$7,AU$1,AU$2,$A154)</f>
        <v>0</v>
      </c>
    </row>
    <row r="155" spans="1:47" ht="15.75" hidden="1" customHeight="1" outlineLevel="2">
      <c r="A155" s="1" t="s">
        <v>234</v>
      </c>
      <c r="C155" s="141"/>
      <c r="E155" s="9" t="str">
        <f ca="1">_xll.DBRW(Server&amp;"}ElementAttributes_Indicator",A155,"code_English")</f>
        <v>PL1115_IN_65 - Others (IN)</v>
      </c>
      <c r="F155" s="32">
        <f ca="1">_xll.DBRW($C$1,$C$2,$C$3,$C$4,$C$6,$C$5,$C$7,F$1,F$2,$A155)</f>
        <v>0</v>
      </c>
      <c r="G155" s="32">
        <f ca="1">_xll.DBRW($C$1,$C$2,$C$3,$C$4,$C$6,$C$5,$C$7,G$1,G$2,$A155)</f>
        <v>0</v>
      </c>
      <c r="H155" s="32">
        <f ca="1">_xll.DBRW($C$1,$C$2,$C$3,$C$4,$C$6,$C$5,$C$7,H$1,H$2,$A155)</f>
        <v>0</v>
      </c>
      <c r="I155" s="32">
        <f ca="1">_xll.DBRW($C$1,$C$2,$C$3,$C$4,$C$6,$C$5,$C$7,I$1,I$2,$A155)</f>
        <v>0</v>
      </c>
      <c r="J155" s="32">
        <f ca="1">_xll.DBRW($C$1,$C$2,$C$3,$C$4,$C$6,$C$5,$C$7,J$1,J$2,$A155)</f>
        <v>0</v>
      </c>
      <c r="K155" s="32">
        <f ca="1">_xll.DBRW($C$1,$C$2,$C$3,$C$4,$C$6,$C$5,$C$7,K$1,K$2,$A155)</f>
        <v>0</v>
      </c>
      <c r="L155" s="32">
        <f ca="1">_xll.DBRW($C$1,$C$2,$C$3,$C$4,$C$6,$C$5,$C$7,L$1,L$2,$A155)</f>
        <v>0</v>
      </c>
      <c r="M155" s="32">
        <f ca="1">_xll.DBRW($C$1,$C$2,$C$3,$C$4,$C$6,$C$5,$C$7,M$1,M$2,$A155)</f>
        <v>0</v>
      </c>
      <c r="N155" s="32">
        <f ca="1">_xll.DBRW($C$1,$C$2,$C$3,$C$4,$C$6,$C$5,$C$7,N$1,N$2,$A155)</f>
        <v>0</v>
      </c>
      <c r="O155" s="32">
        <f ca="1">_xll.DBRW($C$1,$C$2,$C$3,$C$4,$C$6,$C$5,$C$7,O$1,O$2,$A155)</f>
        <v>0</v>
      </c>
      <c r="P155" s="32">
        <f ca="1">_xll.DBRW($C$1,$C$2,$C$3,$C$4,$C$6,$C$5,$C$7,P$1,P$2,$A155)</f>
        <v>0</v>
      </c>
      <c r="Q155" s="32">
        <f ca="1">_xll.DBRW($C$1,$C$2,$C$3,$C$4,$C$6,$C$5,$C$7,Q$1,Q$2,$A155)</f>
        <v>0</v>
      </c>
      <c r="R155" s="32">
        <f ca="1">_xll.DBRW($C$1,$C$2,$C$3,$C$4,$C$6,$C$5,$C$7,R$1,R$2,$A155)</f>
        <v>0</v>
      </c>
      <c r="S155" s="32">
        <f ca="1">_xll.DBRW($C$1,$C$2,$C$3,$C$4,$C$6,$C$5,$C$7,S$1,S$2,$A155)</f>
        <v>0</v>
      </c>
      <c r="T155" s="32">
        <f ca="1">_xll.DBRW($C$1,$C$2,$C$3,$C$4,$C$6,$C$5,$C$7,T$1,T$2,$A155)</f>
        <v>0</v>
      </c>
      <c r="U155" s="32">
        <f ca="1">_xll.DBRW($C$1,$C$2,$C$3,$C$4,$C$6,$C$5,$C$7,U$1,U$2,$A155)</f>
        <v>0</v>
      </c>
      <c r="V155" s="32">
        <f ca="1">_xll.DBRW($C$1,$C$2,$C$3,$C$4,$C$6,$C$5,$C$7,V$1,V$2,$A155)</f>
        <v>0</v>
      </c>
      <c r="W155" s="32">
        <f ca="1">_xll.DBRW($C$1,$C$2,$C$3,$C$4,$C$6,$C$5,$C$7,W$1,W$2,$A155)</f>
        <v>0</v>
      </c>
      <c r="X155" s="32">
        <f ca="1">_xll.DBRW($C$1,$C$2,$C$3,$C$4,$C$6,$C$5,$C$7,X$1,X$2,$A155)</f>
        <v>0</v>
      </c>
      <c r="Y155" s="32">
        <f ca="1">_xll.DBRW($C$1,$C$2,$C$3,$C$4,$C$6,$C$5,$C$7,Y$1,Y$2,$A155)</f>
        <v>0</v>
      </c>
      <c r="Z155" s="32">
        <f ca="1">_xll.DBRW($C$1,$C$2,$C$3,$C$4,$C$6,$C$5,$C$7,Z$1,Z$2,$A155)</f>
        <v>0</v>
      </c>
      <c r="AA155" s="32">
        <f ca="1">_xll.DBRW($C$1,$C$2,$C$3,$C$4,$C$6,$C$5,$C$7,AA$1,AA$2,$A155)</f>
        <v>0</v>
      </c>
      <c r="AB155" s="32">
        <f ca="1">_xll.DBRW($C$1,$C$2,$C$3,$C$4,$C$6,$C$5,$C$7,AB$1,AB$2,$A155)</f>
        <v>0</v>
      </c>
      <c r="AC155" s="32">
        <f ca="1">_xll.DBRW($C$1,$C$2,$C$3,$C$4,$C$6,$C$5,$C$7,AC$1,AC$2,$A155)</f>
        <v>0</v>
      </c>
      <c r="AD155" s="32">
        <f ca="1">_xll.DBRW($C$1,$C$2,$C$3,$C$4,$C$6,$C$5,$C$7,AD$1,AD$2,$A155)</f>
        <v>0</v>
      </c>
      <c r="AE155" s="32">
        <f ca="1">_xll.DBRW($C$1,$C$2,$C$3,$C$4,$C$6,$C$5,$C$7,AE$1,AE$2,$A155)</f>
        <v>0</v>
      </c>
      <c r="AF155" s="32">
        <f ca="1">_xll.DBRW($C$1,$C$2,$C$3,$C$4,$C$6,$C$5,$C$7,AF$1,AF$2,$A155)</f>
        <v>0</v>
      </c>
      <c r="AG155" s="32">
        <f ca="1">_xll.DBRW($C$1,$C$2,$C$3,$C$4,$C$6,$C$5,$C$7,AG$1,AG$2,$A155)</f>
        <v>0</v>
      </c>
      <c r="AH155" s="32">
        <f ca="1">_xll.DBRW($C$1,$C$2,$C$3,$C$4,$C$6,$C$5,$C$7,AH$1,AH$2,$A155)</f>
        <v>0</v>
      </c>
      <c r="AI155" s="32">
        <f ca="1">_xll.DBRW($C$1,$C$2,$C$3,$C$4,$C$6,$C$5,$C$7,AI$1,AI$2,$A155)</f>
        <v>0</v>
      </c>
      <c r="AJ155" s="32">
        <f ca="1">_xll.DBRW($C$1,$C$2,$C$3,$C$4,$C$6,$C$5,$C$7,AJ$1,AJ$2,$A155)</f>
        <v>0</v>
      </c>
      <c r="AK155" s="32">
        <f ca="1">_xll.DBRW($C$1,$C$2,$C$3,$C$4,$C$6,$C$5,$C$7,AK$1,AK$2,$A155)</f>
        <v>0</v>
      </c>
      <c r="AL155" s="32">
        <f ca="1">_xll.DBRW($C$1,$C$2,$C$3,$C$4,$C$6,$C$5,$C$7,AL$1,AL$2,$A155)</f>
        <v>0</v>
      </c>
      <c r="AM155" s="32">
        <f ca="1">_xll.DBRW($C$1,$C$2,$C$3,$C$4,$C$6,$C$5,$C$7,AM$1,AM$2,$A155)</f>
        <v>0</v>
      </c>
      <c r="AN155" s="32">
        <f ca="1">_xll.DBRW($C$1,$C$2,$C$3,$C$4,$C$6,$C$5,$C$7,AN$1,AN$2,$A155)</f>
        <v>0</v>
      </c>
      <c r="AO155" s="32">
        <f ca="1">_xll.DBRW($C$1,$C$2,$C$3,$C$4,$C$6,$C$5,$C$7,AO$1,AO$2,$A155)</f>
        <v>0</v>
      </c>
      <c r="AP155" s="32">
        <f ca="1">_xll.DBRW($C$1,$C$2,$C$3,$C$4,$C$6,$C$5,$C$7,AP$1,AP$2,$A155)</f>
        <v>0</v>
      </c>
      <c r="AQ155" s="32">
        <f ca="1">_xll.DBRW($C$1,$C$2,$C$3,$C$4,$C$6,$C$5,$C$7,AQ$1,AQ$2,$A155)</f>
        <v>0</v>
      </c>
      <c r="AR155" s="32">
        <f ca="1">_xll.DBRW($C$1,$C$2,$C$3,$C$4,$C$6,$C$5,$C$7,AR$1,AR$2,$A155)</f>
        <v>0</v>
      </c>
      <c r="AS155" s="32">
        <f ca="1">_xll.DBRW($C$1,$C$2,$C$3,$C$4,$C$6,$C$5,$C$7,AS$1,AS$2,$A155)</f>
        <v>0</v>
      </c>
      <c r="AT155" s="32">
        <f ca="1">_xll.DBRW($C$1,$C$2,$C$3,$C$4,$C$6,$C$5,$C$7,AT$1,AT$2,$A155)</f>
        <v>0</v>
      </c>
      <c r="AU155" s="32">
        <f ca="1">_xll.DBRW($C$1,$C$2,$C$3,$C$4,$C$6,$C$5,$C$7,AU$1,AU$2,$A155)</f>
        <v>0</v>
      </c>
    </row>
    <row r="156" spans="1:47" ht="15.75" hidden="1" customHeight="1" outlineLevel="2">
      <c r="A156" s="1" t="s">
        <v>235</v>
      </c>
      <c r="C156" s="141"/>
      <c r="E156" s="9" t="str">
        <f ca="1">_xll.DBRW(Server&amp;"}ElementAttributes_Indicator",A156,"code_English")</f>
        <v>PL1115_IN_55 - Operating lease (IN)</v>
      </c>
      <c r="F156" s="32">
        <f ca="1">_xll.DBRW($C$1,$C$2,$C$3,$C$4,$C$6,$C$5,$C$7,F$1,F$2,$A156)</f>
        <v>0</v>
      </c>
      <c r="G156" s="32">
        <f ca="1">_xll.DBRW($C$1,$C$2,$C$3,$C$4,$C$6,$C$5,$C$7,G$1,G$2,$A156)</f>
        <v>0</v>
      </c>
      <c r="H156" s="32">
        <f ca="1">_xll.DBRW($C$1,$C$2,$C$3,$C$4,$C$6,$C$5,$C$7,H$1,H$2,$A156)</f>
        <v>0</v>
      </c>
      <c r="I156" s="32">
        <f ca="1">_xll.DBRW($C$1,$C$2,$C$3,$C$4,$C$6,$C$5,$C$7,I$1,I$2,$A156)</f>
        <v>0</v>
      </c>
      <c r="J156" s="32">
        <f ca="1">_xll.DBRW($C$1,$C$2,$C$3,$C$4,$C$6,$C$5,$C$7,J$1,J$2,$A156)</f>
        <v>0</v>
      </c>
      <c r="K156" s="32">
        <f ca="1">_xll.DBRW($C$1,$C$2,$C$3,$C$4,$C$6,$C$5,$C$7,K$1,K$2,$A156)</f>
        <v>0</v>
      </c>
      <c r="L156" s="32">
        <f ca="1">_xll.DBRW($C$1,$C$2,$C$3,$C$4,$C$6,$C$5,$C$7,L$1,L$2,$A156)</f>
        <v>0</v>
      </c>
      <c r="M156" s="32">
        <f ca="1">_xll.DBRW($C$1,$C$2,$C$3,$C$4,$C$6,$C$5,$C$7,M$1,M$2,$A156)</f>
        <v>0</v>
      </c>
      <c r="N156" s="32">
        <f ca="1">_xll.DBRW($C$1,$C$2,$C$3,$C$4,$C$6,$C$5,$C$7,N$1,N$2,$A156)</f>
        <v>0</v>
      </c>
      <c r="O156" s="32">
        <f ca="1">_xll.DBRW($C$1,$C$2,$C$3,$C$4,$C$6,$C$5,$C$7,O$1,O$2,$A156)</f>
        <v>0</v>
      </c>
      <c r="P156" s="32">
        <f ca="1">_xll.DBRW($C$1,$C$2,$C$3,$C$4,$C$6,$C$5,$C$7,P$1,P$2,$A156)</f>
        <v>0</v>
      </c>
      <c r="Q156" s="32">
        <f ca="1">_xll.DBRW($C$1,$C$2,$C$3,$C$4,$C$6,$C$5,$C$7,Q$1,Q$2,$A156)</f>
        <v>0</v>
      </c>
      <c r="R156" s="32">
        <f ca="1">_xll.DBRW($C$1,$C$2,$C$3,$C$4,$C$6,$C$5,$C$7,R$1,R$2,$A156)</f>
        <v>0</v>
      </c>
      <c r="S156" s="32">
        <f ca="1">_xll.DBRW($C$1,$C$2,$C$3,$C$4,$C$6,$C$5,$C$7,S$1,S$2,$A156)</f>
        <v>0</v>
      </c>
      <c r="T156" s="32">
        <f ca="1">_xll.DBRW($C$1,$C$2,$C$3,$C$4,$C$6,$C$5,$C$7,T$1,T$2,$A156)</f>
        <v>0</v>
      </c>
      <c r="U156" s="32">
        <f ca="1">_xll.DBRW($C$1,$C$2,$C$3,$C$4,$C$6,$C$5,$C$7,U$1,U$2,$A156)</f>
        <v>0</v>
      </c>
      <c r="V156" s="32">
        <f ca="1">_xll.DBRW($C$1,$C$2,$C$3,$C$4,$C$6,$C$5,$C$7,V$1,V$2,$A156)</f>
        <v>0</v>
      </c>
      <c r="W156" s="32">
        <f ca="1">_xll.DBRW($C$1,$C$2,$C$3,$C$4,$C$6,$C$5,$C$7,W$1,W$2,$A156)</f>
        <v>0</v>
      </c>
      <c r="X156" s="32">
        <f ca="1">_xll.DBRW($C$1,$C$2,$C$3,$C$4,$C$6,$C$5,$C$7,X$1,X$2,$A156)</f>
        <v>0</v>
      </c>
      <c r="Y156" s="32">
        <f ca="1">_xll.DBRW($C$1,$C$2,$C$3,$C$4,$C$6,$C$5,$C$7,Y$1,Y$2,$A156)</f>
        <v>0</v>
      </c>
      <c r="Z156" s="32">
        <f ca="1">_xll.DBRW($C$1,$C$2,$C$3,$C$4,$C$6,$C$5,$C$7,Z$1,Z$2,$A156)</f>
        <v>0</v>
      </c>
      <c r="AA156" s="32">
        <f ca="1">_xll.DBRW($C$1,$C$2,$C$3,$C$4,$C$6,$C$5,$C$7,AA$1,AA$2,$A156)</f>
        <v>0</v>
      </c>
      <c r="AB156" s="32">
        <f ca="1">_xll.DBRW($C$1,$C$2,$C$3,$C$4,$C$6,$C$5,$C$7,AB$1,AB$2,$A156)</f>
        <v>0</v>
      </c>
      <c r="AC156" s="32">
        <f ca="1">_xll.DBRW($C$1,$C$2,$C$3,$C$4,$C$6,$C$5,$C$7,AC$1,AC$2,$A156)</f>
        <v>0</v>
      </c>
      <c r="AD156" s="32">
        <f ca="1">_xll.DBRW($C$1,$C$2,$C$3,$C$4,$C$6,$C$5,$C$7,AD$1,AD$2,$A156)</f>
        <v>0</v>
      </c>
      <c r="AE156" s="32">
        <f ca="1">_xll.DBRW($C$1,$C$2,$C$3,$C$4,$C$6,$C$5,$C$7,AE$1,AE$2,$A156)</f>
        <v>0</v>
      </c>
      <c r="AF156" s="32">
        <f ca="1">_xll.DBRW($C$1,$C$2,$C$3,$C$4,$C$6,$C$5,$C$7,AF$1,AF$2,$A156)</f>
        <v>0</v>
      </c>
      <c r="AG156" s="32">
        <f ca="1">_xll.DBRW($C$1,$C$2,$C$3,$C$4,$C$6,$C$5,$C$7,AG$1,AG$2,$A156)</f>
        <v>0</v>
      </c>
      <c r="AH156" s="32">
        <f ca="1">_xll.DBRW($C$1,$C$2,$C$3,$C$4,$C$6,$C$5,$C$7,AH$1,AH$2,$A156)</f>
        <v>0</v>
      </c>
      <c r="AI156" s="32">
        <f ca="1">_xll.DBRW($C$1,$C$2,$C$3,$C$4,$C$6,$C$5,$C$7,AI$1,AI$2,$A156)</f>
        <v>0</v>
      </c>
      <c r="AJ156" s="32">
        <f ca="1">_xll.DBRW($C$1,$C$2,$C$3,$C$4,$C$6,$C$5,$C$7,AJ$1,AJ$2,$A156)</f>
        <v>0</v>
      </c>
      <c r="AK156" s="32">
        <f ca="1">_xll.DBRW($C$1,$C$2,$C$3,$C$4,$C$6,$C$5,$C$7,AK$1,AK$2,$A156)</f>
        <v>0</v>
      </c>
      <c r="AL156" s="32">
        <f ca="1">_xll.DBRW($C$1,$C$2,$C$3,$C$4,$C$6,$C$5,$C$7,AL$1,AL$2,$A156)</f>
        <v>0</v>
      </c>
      <c r="AM156" s="32">
        <f ca="1">_xll.DBRW($C$1,$C$2,$C$3,$C$4,$C$6,$C$5,$C$7,AM$1,AM$2,$A156)</f>
        <v>0</v>
      </c>
      <c r="AN156" s="32">
        <f ca="1">_xll.DBRW($C$1,$C$2,$C$3,$C$4,$C$6,$C$5,$C$7,AN$1,AN$2,$A156)</f>
        <v>0</v>
      </c>
      <c r="AO156" s="32">
        <f ca="1">_xll.DBRW($C$1,$C$2,$C$3,$C$4,$C$6,$C$5,$C$7,AO$1,AO$2,$A156)</f>
        <v>0</v>
      </c>
      <c r="AP156" s="32">
        <f ca="1">_xll.DBRW($C$1,$C$2,$C$3,$C$4,$C$6,$C$5,$C$7,AP$1,AP$2,$A156)</f>
        <v>0</v>
      </c>
      <c r="AQ156" s="32">
        <f ca="1">_xll.DBRW($C$1,$C$2,$C$3,$C$4,$C$6,$C$5,$C$7,AQ$1,AQ$2,$A156)</f>
        <v>0</v>
      </c>
      <c r="AR156" s="32">
        <f ca="1">_xll.DBRW($C$1,$C$2,$C$3,$C$4,$C$6,$C$5,$C$7,AR$1,AR$2,$A156)</f>
        <v>0</v>
      </c>
      <c r="AS156" s="32">
        <f ca="1">_xll.DBRW($C$1,$C$2,$C$3,$C$4,$C$6,$C$5,$C$7,AS$1,AS$2,$A156)</f>
        <v>0</v>
      </c>
      <c r="AT156" s="32">
        <f ca="1">_xll.DBRW($C$1,$C$2,$C$3,$C$4,$C$6,$C$5,$C$7,AT$1,AT$2,$A156)</f>
        <v>0</v>
      </c>
      <c r="AU156" s="32">
        <f ca="1">_xll.DBRW($C$1,$C$2,$C$3,$C$4,$C$6,$C$5,$C$7,AU$1,AU$2,$A156)</f>
        <v>0</v>
      </c>
    </row>
    <row r="157" spans="1:47" ht="15.75" hidden="1" customHeight="1" outlineLevel="2">
      <c r="A157" s="1" t="s">
        <v>236</v>
      </c>
      <c r="C157" s="141"/>
      <c r="E157" s="9" t="str">
        <f ca="1">_xll.DBRW(Server&amp;"}ElementAttributes_Indicator",A157,"code_English")</f>
        <v>PL1140_IN_05 - Amortization (IN)</v>
      </c>
      <c r="F157" s="32">
        <f ca="1">_xll.DBRW($C$1,$C$2,$C$3,$C$4,$C$6,$C$5,$C$7,F$1,F$2,$A157)</f>
        <v>-15261165.959999999</v>
      </c>
      <c r="G157" s="32">
        <f ca="1">_xll.DBRW($C$1,$C$2,$C$3,$C$4,$C$6,$C$5,$C$7,G$1,G$2,$A157)</f>
        <v>-14621708.209999999</v>
      </c>
      <c r="H157" s="32">
        <f ca="1">_xll.DBRW($C$1,$C$2,$C$3,$C$4,$C$6,$C$5,$C$7,H$1,H$2,$A157)</f>
        <v>-13960815.699000001</v>
      </c>
      <c r="I157" s="32">
        <f ca="1">_xll.DBRW($C$1,$C$2,$C$3,$C$4,$C$6,$C$5,$C$7,I$1,I$2,$A157)</f>
        <v>-1074091.1299999999</v>
      </c>
      <c r="J157" s="32">
        <f ca="1">_xll.DBRW($C$1,$C$2,$C$3,$C$4,$C$6,$C$5,$C$7,J$1,J$2,$A157)</f>
        <v>-2139912.0799999996</v>
      </c>
      <c r="K157" s="32">
        <f ca="1">_xll.DBRW($C$1,$C$2,$C$3,$C$4,$C$6,$C$5,$C$7,K$1,K$2,$A157)</f>
        <v>-3223653.5999999996</v>
      </c>
      <c r="L157" s="32">
        <f ca="1">_xll.DBRW($C$1,$C$2,$C$3,$C$4,$C$6,$C$5,$C$7,L$1,L$2,$A157)</f>
        <v>-4238679.3999999994</v>
      </c>
      <c r="M157" s="32">
        <f ca="1">_xll.DBRW($C$1,$C$2,$C$3,$C$4,$C$6,$C$5,$C$7,M$1,M$2,$A157)</f>
        <v>-5334802.5299999993</v>
      </c>
      <c r="N157" s="32">
        <f ca="1">_xll.DBRW($C$1,$C$2,$C$3,$C$4,$C$6,$C$5,$C$7,N$1,N$2,$A157)</f>
        <v>-6441620.1199999992</v>
      </c>
      <c r="O157" s="32">
        <f ca="1">_xll.DBRW($C$1,$C$2,$C$3,$C$4,$C$6,$C$5,$C$7,O$1,O$2,$A157)</f>
        <v>-6441620.1199999992</v>
      </c>
      <c r="P157" s="32">
        <f ca="1">_xll.DBRW($C$1,$C$2,$C$3,$C$4,$C$6,$C$5,$C$7,P$1,P$2,$A157)</f>
        <v>-6441620.1199999992</v>
      </c>
      <c r="Q157" s="32">
        <f ca="1">_xll.DBRW($C$1,$C$2,$C$3,$C$4,$C$6,$C$5,$C$7,Q$1,Q$2,$A157)</f>
        <v>-6441620.1199999992</v>
      </c>
      <c r="R157" s="32">
        <f ca="1">_xll.DBRW($C$1,$C$2,$C$3,$C$4,$C$6,$C$5,$C$7,R$1,R$2,$A157)</f>
        <v>-6441620.1199999992</v>
      </c>
      <c r="S157" s="32">
        <f ca="1">_xll.DBRW($C$1,$C$2,$C$3,$C$4,$C$6,$C$5,$C$7,S$1,S$2,$A157)</f>
        <v>-6441620.1199999992</v>
      </c>
      <c r="T157" s="32">
        <f ca="1">_xll.DBRW($C$1,$C$2,$C$3,$C$4,$C$6,$C$5,$C$7,T$1,T$2,$A157)</f>
        <v>-6441620.1199999992</v>
      </c>
      <c r="U157" s="32">
        <f ca="1">_xll.DBRW($C$1,$C$2,$C$3,$C$4,$C$6,$C$5,$C$7,U$1,U$2,$A157)</f>
        <v>-6441620.1199999992</v>
      </c>
      <c r="V157" s="32">
        <f ca="1">_xll.DBRW($C$1,$C$2,$C$3,$C$4,$C$6,$C$5,$C$7,V$1,V$2,$A157)</f>
        <v>0</v>
      </c>
      <c r="W157" s="32">
        <f ca="1">_xll.DBRW($C$1,$C$2,$C$3,$C$4,$C$6,$C$5,$C$7,W$1,W$2,$A157)</f>
        <v>0</v>
      </c>
      <c r="X157" s="32">
        <f ca="1">_xll.DBRW($C$1,$C$2,$C$3,$C$4,$C$6,$C$5,$C$7,X$1,X$2,$A157)</f>
        <v>0</v>
      </c>
      <c r="Y157" s="32">
        <f ca="1">_xll.DBRW($C$1,$C$2,$C$3,$C$4,$C$6,$C$5,$C$7,Y$1,Y$2,$A157)</f>
        <v>0</v>
      </c>
      <c r="Z157" s="32">
        <f ca="1">_xll.DBRW($C$1,$C$2,$C$3,$C$4,$C$6,$C$5,$C$7,Z$1,Z$2,$A157)</f>
        <v>0</v>
      </c>
      <c r="AA157" s="32">
        <f ca="1">_xll.DBRW($C$1,$C$2,$C$3,$C$4,$C$6,$C$5,$C$7,AA$1,AA$2,$A157)</f>
        <v>0</v>
      </c>
      <c r="AB157" s="32">
        <f ca="1">_xll.DBRW($C$1,$C$2,$C$3,$C$4,$C$6,$C$5,$C$7,AB$1,AB$2,$A157)</f>
        <v>0</v>
      </c>
      <c r="AC157" s="32">
        <f ca="1">_xll.DBRW($C$1,$C$2,$C$3,$C$4,$C$6,$C$5,$C$7,AC$1,AC$2,$A157)</f>
        <v>0</v>
      </c>
      <c r="AD157" s="32">
        <f ca="1">_xll.DBRW($C$1,$C$2,$C$3,$C$4,$C$6,$C$5,$C$7,AD$1,AD$2,$A157)</f>
        <v>0</v>
      </c>
      <c r="AE157" s="32">
        <f ca="1">_xll.DBRW($C$1,$C$2,$C$3,$C$4,$C$6,$C$5,$C$7,AE$1,AE$2,$A157)</f>
        <v>0</v>
      </c>
      <c r="AF157" s="32">
        <f ca="1">_xll.DBRW($C$1,$C$2,$C$3,$C$4,$C$6,$C$5,$C$7,AF$1,AF$2,$A157)</f>
        <v>0</v>
      </c>
      <c r="AG157" s="32">
        <f ca="1">_xll.DBRW($C$1,$C$2,$C$3,$C$4,$C$6,$C$5,$C$7,AG$1,AG$2,$A157)</f>
        <v>0</v>
      </c>
      <c r="AH157" s="32">
        <f ca="1">_xll.DBRW($C$1,$C$2,$C$3,$C$4,$C$6,$C$5,$C$7,AH$1,AH$2,$A157)</f>
        <v>0</v>
      </c>
      <c r="AI157" s="32">
        <f ca="1">_xll.DBRW($C$1,$C$2,$C$3,$C$4,$C$6,$C$5,$C$7,AI$1,AI$2,$A157)</f>
        <v>0</v>
      </c>
      <c r="AJ157" s="32">
        <f ca="1">_xll.DBRW($C$1,$C$2,$C$3,$C$4,$C$6,$C$5,$C$7,AJ$1,AJ$2,$A157)</f>
        <v>0</v>
      </c>
      <c r="AK157" s="32">
        <f ca="1">_xll.DBRW($C$1,$C$2,$C$3,$C$4,$C$6,$C$5,$C$7,AK$1,AK$2,$A157)</f>
        <v>0</v>
      </c>
      <c r="AL157" s="32">
        <f ca="1">_xll.DBRW($C$1,$C$2,$C$3,$C$4,$C$6,$C$5,$C$7,AL$1,AL$2,$A157)</f>
        <v>0</v>
      </c>
      <c r="AM157" s="32">
        <f ca="1">_xll.DBRW($C$1,$C$2,$C$3,$C$4,$C$6,$C$5,$C$7,AM$1,AM$2,$A157)</f>
        <v>0</v>
      </c>
      <c r="AN157" s="32">
        <f ca="1">_xll.DBRW($C$1,$C$2,$C$3,$C$4,$C$6,$C$5,$C$7,AN$1,AN$2,$A157)</f>
        <v>0</v>
      </c>
      <c r="AO157" s="32">
        <f ca="1">_xll.DBRW($C$1,$C$2,$C$3,$C$4,$C$6,$C$5,$C$7,AO$1,AO$2,$A157)</f>
        <v>0</v>
      </c>
      <c r="AP157" s="32">
        <f ca="1">_xll.DBRW($C$1,$C$2,$C$3,$C$4,$C$6,$C$5,$C$7,AP$1,AP$2,$A157)</f>
        <v>0</v>
      </c>
      <c r="AQ157" s="32">
        <f ca="1">_xll.DBRW($C$1,$C$2,$C$3,$C$4,$C$6,$C$5,$C$7,AQ$1,AQ$2,$A157)</f>
        <v>0</v>
      </c>
      <c r="AR157" s="32">
        <f ca="1">_xll.DBRW($C$1,$C$2,$C$3,$C$4,$C$6,$C$5,$C$7,AR$1,AR$2,$A157)</f>
        <v>0</v>
      </c>
      <c r="AS157" s="32">
        <f ca="1">_xll.DBRW($C$1,$C$2,$C$3,$C$4,$C$6,$C$5,$C$7,AS$1,AS$2,$A157)</f>
        <v>0</v>
      </c>
      <c r="AT157" s="32">
        <f ca="1">_xll.DBRW($C$1,$C$2,$C$3,$C$4,$C$6,$C$5,$C$7,AT$1,AT$2,$A157)</f>
        <v>0</v>
      </c>
      <c r="AU157" s="32">
        <f ca="1">_xll.DBRW($C$1,$C$2,$C$3,$C$4,$C$6,$C$5,$C$7,AU$1,AU$2,$A157)</f>
        <v>0</v>
      </c>
    </row>
    <row r="158" spans="1:47" ht="15.75" hidden="1" customHeight="1" outlineLevel="2">
      <c r="A158" s="1" t="s">
        <v>237</v>
      </c>
      <c r="C158" s="141"/>
      <c r="E158" s="9" t="str">
        <f ca="1">_xll.DBRW(Server&amp;"}ElementAttributes_Indicator",A158,"code_English")</f>
        <v>PL1160_IN_15 - Gains/losses on disposal of tangible &amp; intangible fixed assets (IN)</v>
      </c>
      <c r="F158" s="32">
        <f ca="1">_xll.DBRW($C$1,$C$2,$C$3,$C$4,$C$6,$C$5,$C$7,F$1,F$2,$A158)</f>
        <v>-520944.24</v>
      </c>
      <c r="G158" s="32">
        <f ca="1">_xll.DBRW($C$1,$C$2,$C$3,$C$4,$C$6,$C$5,$C$7,G$1,G$2,$A158)</f>
        <v>141220.73000000001</v>
      </c>
      <c r="H158" s="32">
        <f ca="1">_xll.DBRW($C$1,$C$2,$C$3,$C$4,$C$6,$C$5,$C$7,H$1,H$2,$A158)</f>
        <v>8186.489999999998</v>
      </c>
      <c r="I158" s="32">
        <f ca="1">_xll.DBRW($C$1,$C$2,$C$3,$C$4,$C$6,$C$5,$C$7,I$1,I$2,$A158)</f>
        <v>0</v>
      </c>
      <c r="J158" s="32">
        <f ca="1">_xll.DBRW($C$1,$C$2,$C$3,$C$4,$C$6,$C$5,$C$7,J$1,J$2,$A158)</f>
        <v>0</v>
      </c>
      <c r="K158" s="32">
        <f ca="1">_xll.DBRW($C$1,$C$2,$C$3,$C$4,$C$6,$C$5,$C$7,K$1,K$2,$A158)</f>
        <v>-837.98</v>
      </c>
      <c r="L158" s="32">
        <f ca="1">_xll.DBRW($C$1,$C$2,$C$3,$C$4,$C$6,$C$5,$C$7,L$1,L$2,$A158)</f>
        <v>-837.98</v>
      </c>
      <c r="M158" s="32">
        <f ca="1">_xll.DBRW($C$1,$C$2,$C$3,$C$4,$C$6,$C$5,$C$7,M$1,M$2,$A158)</f>
        <v>-837.98</v>
      </c>
      <c r="N158" s="32">
        <f ca="1">_xll.DBRW($C$1,$C$2,$C$3,$C$4,$C$6,$C$5,$C$7,N$1,N$2,$A158)</f>
        <v>-837.98</v>
      </c>
      <c r="O158" s="32">
        <f ca="1">_xll.DBRW($C$1,$C$2,$C$3,$C$4,$C$6,$C$5,$C$7,O$1,O$2,$A158)</f>
        <v>-837.98</v>
      </c>
      <c r="P158" s="32">
        <f ca="1">_xll.DBRW($C$1,$C$2,$C$3,$C$4,$C$6,$C$5,$C$7,P$1,P$2,$A158)</f>
        <v>-837.98</v>
      </c>
      <c r="Q158" s="32">
        <f ca="1">_xll.DBRW($C$1,$C$2,$C$3,$C$4,$C$6,$C$5,$C$7,Q$1,Q$2,$A158)</f>
        <v>-837.98</v>
      </c>
      <c r="R158" s="32">
        <f ca="1">_xll.DBRW($C$1,$C$2,$C$3,$C$4,$C$6,$C$5,$C$7,R$1,R$2,$A158)</f>
        <v>-837.98</v>
      </c>
      <c r="S158" s="32">
        <f ca="1">_xll.DBRW($C$1,$C$2,$C$3,$C$4,$C$6,$C$5,$C$7,S$1,S$2,$A158)</f>
        <v>-837.98</v>
      </c>
      <c r="T158" s="32">
        <f ca="1">_xll.DBRW($C$1,$C$2,$C$3,$C$4,$C$6,$C$5,$C$7,T$1,T$2,$A158)</f>
        <v>-837.98</v>
      </c>
      <c r="U158" s="32">
        <f ca="1">_xll.DBRW($C$1,$C$2,$C$3,$C$4,$C$6,$C$5,$C$7,U$1,U$2,$A158)</f>
        <v>-837.98</v>
      </c>
      <c r="V158" s="32">
        <f ca="1">_xll.DBRW($C$1,$C$2,$C$3,$C$4,$C$6,$C$5,$C$7,V$1,V$2,$A158)</f>
        <v>0</v>
      </c>
      <c r="W158" s="32">
        <f ca="1">_xll.DBRW($C$1,$C$2,$C$3,$C$4,$C$6,$C$5,$C$7,W$1,W$2,$A158)</f>
        <v>0</v>
      </c>
      <c r="X158" s="32">
        <f ca="1">_xll.DBRW($C$1,$C$2,$C$3,$C$4,$C$6,$C$5,$C$7,X$1,X$2,$A158)</f>
        <v>0</v>
      </c>
      <c r="Y158" s="32">
        <f ca="1">_xll.DBRW($C$1,$C$2,$C$3,$C$4,$C$6,$C$5,$C$7,Y$1,Y$2,$A158)</f>
        <v>0</v>
      </c>
      <c r="Z158" s="32">
        <f ca="1">_xll.DBRW($C$1,$C$2,$C$3,$C$4,$C$6,$C$5,$C$7,Z$1,Z$2,$A158)</f>
        <v>0</v>
      </c>
      <c r="AA158" s="32">
        <f ca="1">_xll.DBRW($C$1,$C$2,$C$3,$C$4,$C$6,$C$5,$C$7,AA$1,AA$2,$A158)</f>
        <v>0</v>
      </c>
      <c r="AB158" s="32">
        <f ca="1">_xll.DBRW($C$1,$C$2,$C$3,$C$4,$C$6,$C$5,$C$7,AB$1,AB$2,$A158)</f>
        <v>0</v>
      </c>
      <c r="AC158" s="32">
        <f ca="1">_xll.DBRW($C$1,$C$2,$C$3,$C$4,$C$6,$C$5,$C$7,AC$1,AC$2,$A158)</f>
        <v>0</v>
      </c>
      <c r="AD158" s="32">
        <f ca="1">_xll.DBRW($C$1,$C$2,$C$3,$C$4,$C$6,$C$5,$C$7,AD$1,AD$2,$A158)</f>
        <v>0</v>
      </c>
      <c r="AE158" s="32">
        <f ca="1">_xll.DBRW($C$1,$C$2,$C$3,$C$4,$C$6,$C$5,$C$7,AE$1,AE$2,$A158)</f>
        <v>0</v>
      </c>
      <c r="AF158" s="32">
        <f ca="1">_xll.DBRW($C$1,$C$2,$C$3,$C$4,$C$6,$C$5,$C$7,AF$1,AF$2,$A158)</f>
        <v>0</v>
      </c>
      <c r="AG158" s="32">
        <f ca="1">_xll.DBRW($C$1,$C$2,$C$3,$C$4,$C$6,$C$5,$C$7,AG$1,AG$2,$A158)</f>
        <v>0</v>
      </c>
      <c r="AH158" s="32">
        <f ca="1">_xll.DBRW($C$1,$C$2,$C$3,$C$4,$C$6,$C$5,$C$7,AH$1,AH$2,$A158)</f>
        <v>0</v>
      </c>
      <c r="AI158" s="32">
        <f ca="1">_xll.DBRW($C$1,$C$2,$C$3,$C$4,$C$6,$C$5,$C$7,AI$1,AI$2,$A158)</f>
        <v>0</v>
      </c>
      <c r="AJ158" s="32">
        <f ca="1">_xll.DBRW($C$1,$C$2,$C$3,$C$4,$C$6,$C$5,$C$7,AJ$1,AJ$2,$A158)</f>
        <v>0</v>
      </c>
      <c r="AK158" s="32">
        <f ca="1">_xll.DBRW($C$1,$C$2,$C$3,$C$4,$C$6,$C$5,$C$7,AK$1,AK$2,$A158)</f>
        <v>0</v>
      </c>
      <c r="AL158" s="32">
        <f ca="1">_xll.DBRW($C$1,$C$2,$C$3,$C$4,$C$6,$C$5,$C$7,AL$1,AL$2,$A158)</f>
        <v>0</v>
      </c>
      <c r="AM158" s="32">
        <f ca="1">_xll.DBRW($C$1,$C$2,$C$3,$C$4,$C$6,$C$5,$C$7,AM$1,AM$2,$A158)</f>
        <v>0</v>
      </c>
      <c r="AN158" s="32">
        <f ca="1">_xll.DBRW($C$1,$C$2,$C$3,$C$4,$C$6,$C$5,$C$7,AN$1,AN$2,$A158)</f>
        <v>0</v>
      </c>
      <c r="AO158" s="32">
        <f ca="1">_xll.DBRW($C$1,$C$2,$C$3,$C$4,$C$6,$C$5,$C$7,AO$1,AO$2,$A158)</f>
        <v>0</v>
      </c>
      <c r="AP158" s="32">
        <f ca="1">_xll.DBRW($C$1,$C$2,$C$3,$C$4,$C$6,$C$5,$C$7,AP$1,AP$2,$A158)</f>
        <v>0</v>
      </c>
      <c r="AQ158" s="32">
        <f ca="1">_xll.DBRW($C$1,$C$2,$C$3,$C$4,$C$6,$C$5,$C$7,AQ$1,AQ$2,$A158)</f>
        <v>0</v>
      </c>
      <c r="AR158" s="32">
        <f ca="1">_xll.DBRW($C$1,$C$2,$C$3,$C$4,$C$6,$C$5,$C$7,AR$1,AR$2,$A158)</f>
        <v>0</v>
      </c>
      <c r="AS158" s="32">
        <f ca="1">_xll.DBRW($C$1,$C$2,$C$3,$C$4,$C$6,$C$5,$C$7,AS$1,AS$2,$A158)</f>
        <v>0</v>
      </c>
      <c r="AT158" s="32">
        <f ca="1">_xll.DBRW($C$1,$C$2,$C$3,$C$4,$C$6,$C$5,$C$7,AT$1,AT$2,$A158)</f>
        <v>0</v>
      </c>
      <c r="AU158" s="32">
        <f ca="1">_xll.DBRW($C$1,$C$2,$C$3,$C$4,$C$6,$C$5,$C$7,AU$1,AU$2,$A158)</f>
        <v>0</v>
      </c>
    </row>
    <row r="159" spans="1:47" ht="15.75" hidden="1" customHeight="1" outlineLevel="2">
      <c r="A159" s="1" t="s">
        <v>238</v>
      </c>
      <c r="C159" s="141"/>
      <c r="E159" s="9" t="str">
        <f ca="1">_xll.DBRW(Server&amp;"}ElementAttributes_Indicator",A159,"code_English")</f>
        <v>PL1150_IN_90 - Impairment (other than working capital) and provisions - others (IN)</v>
      </c>
      <c r="F159" s="32">
        <f ca="1">_xll.DBRW($C$1,$C$2,$C$3,$C$4,$C$6,$C$5,$C$7,F$1,F$2,$A159)</f>
        <v>0</v>
      </c>
      <c r="G159" s="32">
        <f ca="1">_xll.DBRW($C$1,$C$2,$C$3,$C$4,$C$6,$C$5,$C$7,G$1,G$2,$A159)</f>
        <v>0</v>
      </c>
      <c r="H159" s="32">
        <f ca="1">_xll.DBRW($C$1,$C$2,$C$3,$C$4,$C$6,$C$5,$C$7,H$1,H$2,$A159)</f>
        <v>0</v>
      </c>
      <c r="I159" s="32">
        <f ca="1">_xll.DBRW($C$1,$C$2,$C$3,$C$4,$C$6,$C$5,$C$7,I$1,I$2,$A159)</f>
        <v>0</v>
      </c>
      <c r="J159" s="32">
        <f ca="1">_xll.DBRW($C$1,$C$2,$C$3,$C$4,$C$6,$C$5,$C$7,J$1,J$2,$A159)</f>
        <v>0</v>
      </c>
      <c r="K159" s="32">
        <f ca="1">_xll.DBRW($C$1,$C$2,$C$3,$C$4,$C$6,$C$5,$C$7,K$1,K$2,$A159)</f>
        <v>0</v>
      </c>
      <c r="L159" s="32">
        <f ca="1">_xll.DBRW($C$1,$C$2,$C$3,$C$4,$C$6,$C$5,$C$7,L$1,L$2,$A159)</f>
        <v>0</v>
      </c>
      <c r="M159" s="32">
        <f ca="1">_xll.DBRW($C$1,$C$2,$C$3,$C$4,$C$6,$C$5,$C$7,M$1,M$2,$A159)</f>
        <v>0</v>
      </c>
      <c r="N159" s="32">
        <f ca="1">_xll.DBRW($C$1,$C$2,$C$3,$C$4,$C$6,$C$5,$C$7,N$1,N$2,$A159)</f>
        <v>0</v>
      </c>
      <c r="O159" s="32">
        <f ca="1">_xll.DBRW($C$1,$C$2,$C$3,$C$4,$C$6,$C$5,$C$7,O$1,O$2,$A159)</f>
        <v>0</v>
      </c>
      <c r="P159" s="32">
        <f ca="1">_xll.DBRW($C$1,$C$2,$C$3,$C$4,$C$6,$C$5,$C$7,P$1,P$2,$A159)</f>
        <v>0</v>
      </c>
      <c r="Q159" s="32">
        <f ca="1">_xll.DBRW($C$1,$C$2,$C$3,$C$4,$C$6,$C$5,$C$7,Q$1,Q$2,$A159)</f>
        <v>0</v>
      </c>
      <c r="R159" s="32">
        <f ca="1">_xll.DBRW($C$1,$C$2,$C$3,$C$4,$C$6,$C$5,$C$7,R$1,R$2,$A159)</f>
        <v>0</v>
      </c>
      <c r="S159" s="32">
        <f ca="1">_xll.DBRW($C$1,$C$2,$C$3,$C$4,$C$6,$C$5,$C$7,S$1,S$2,$A159)</f>
        <v>0</v>
      </c>
      <c r="T159" s="32">
        <f ca="1">_xll.DBRW($C$1,$C$2,$C$3,$C$4,$C$6,$C$5,$C$7,T$1,T$2,$A159)</f>
        <v>0</v>
      </c>
      <c r="U159" s="32">
        <f ca="1">_xll.DBRW($C$1,$C$2,$C$3,$C$4,$C$6,$C$5,$C$7,U$1,U$2,$A159)</f>
        <v>0</v>
      </c>
      <c r="V159" s="32">
        <f ca="1">_xll.DBRW($C$1,$C$2,$C$3,$C$4,$C$6,$C$5,$C$7,V$1,V$2,$A159)</f>
        <v>0</v>
      </c>
      <c r="W159" s="32">
        <f ca="1">_xll.DBRW($C$1,$C$2,$C$3,$C$4,$C$6,$C$5,$C$7,W$1,W$2,$A159)</f>
        <v>0</v>
      </c>
      <c r="X159" s="32">
        <f ca="1">_xll.DBRW($C$1,$C$2,$C$3,$C$4,$C$6,$C$5,$C$7,X$1,X$2,$A159)</f>
        <v>0</v>
      </c>
      <c r="Y159" s="32">
        <f ca="1">_xll.DBRW($C$1,$C$2,$C$3,$C$4,$C$6,$C$5,$C$7,Y$1,Y$2,$A159)</f>
        <v>0</v>
      </c>
      <c r="Z159" s="32">
        <f ca="1">_xll.DBRW($C$1,$C$2,$C$3,$C$4,$C$6,$C$5,$C$7,Z$1,Z$2,$A159)</f>
        <v>0</v>
      </c>
      <c r="AA159" s="32">
        <f ca="1">_xll.DBRW($C$1,$C$2,$C$3,$C$4,$C$6,$C$5,$C$7,AA$1,AA$2,$A159)</f>
        <v>0</v>
      </c>
      <c r="AB159" s="32">
        <f ca="1">_xll.DBRW($C$1,$C$2,$C$3,$C$4,$C$6,$C$5,$C$7,AB$1,AB$2,$A159)</f>
        <v>0</v>
      </c>
      <c r="AC159" s="32">
        <f ca="1">_xll.DBRW($C$1,$C$2,$C$3,$C$4,$C$6,$C$5,$C$7,AC$1,AC$2,$A159)</f>
        <v>0</v>
      </c>
      <c r="AD159" s="32">
        <f ca="1">_xll.DBRW($C$1,$C$2,$C$3,$C$4,$C$6,$C$5,$C$7,AD$1,AD$2,$A159)</f>
        <v>0</v>
      </c>
      <c r="AE159" s="32">
        <f ca="1">_xll.DBRW($C$1,$C$2,$C$3,$C$4,$C$6,$C$5,$C$7,AE$1,AE$2,$A159)</f>
        <v>0</v>
      </c>
      <c r="AF159" s="32">
        <f ca="1">_xll.DBRW($C$1,$C$2,$C$3,$C$4,$C$6,$C$5,$C$7,AF$1,AF$2,$A159)</f>
        <v>0</v>
      </c>
      <c r="AG159" s="32">
        <f ca="1">_xll.DBRW($C$1,$C$2,$C$3,$C$4,$C$6,$C$5,$C$7,AG$1,AG$2,$A159)</f>
        <v>0</v>
      </c>
      <c r="AH159" s="32">
        <f ca="1">_xll.DBRW($C$1,$C$2,$C$3,$C$4,$C$6,$C$5,$C$7,AH$1,AH$2,$A159)</f>
        <v>0</v>
      </c>
      <c r="AI159" s="32">
        <f ca="1">_xll.DBRW($C$1,$C$2,$C$3,$C$4,$C$6,$C$5,$C$7,AI$1,AI$2,$A159)</f>
        <v>0</v>
      </c>
      <c r="AJ159" s="32">
        <f ca="1">_xll.DBRW($C$1,$C$2,$C$3,$C$4,$C$6,$C$5,$C$7,AJ$1,AJ$2,$A159)</f>
        <v>0</v>
      </c>
      <c r="AK159" s="32">
        <f ca="1">_xll.DBRW($C$1,$C$2,$C$3,$C$4,$C$6,$C$5,$C$7,AK$1,AK$2,$A159)</f>
        <v>0</v>
      </c>
      <c r="AL159" s="32">
        <f ca="1">_xll.DBRW($C$1,$C$2,$C$3,$C$4,$C$6,$C$5,$C$7,AL$1,AL$2,$A159)</f>
        <v>0</v>
      </c>
      <c r="AM159" s="32">
        <f ca="1">_xll.DBRW($C$1,$C$2,$C$3,$C$4,$C$6,$C$5,$C$7,AM$1,AM$2,$A159)</f>
        <v>0</v>
      </c>
      <c r="AN159" s="32">
        <f ca="1">_xll.DBRW($C$1,$C$2,$C$3,$C$4,$C$6,$C$5,$C$7,AN$1,AN$2,$A159)</f>
        <v>0</v>
      </c>
      <c r="AO159" s="32">
        <f ca="1">_xll.DBRW($C$1,$C$2,$C$3,$C$4,$C$6,$C$5,$C$7,AO$1,AO$2,$A159)</f>
        <v>0</v>
      </c>
      <c r="AP159" s="32">
        <f ca="1">_xll.DBRW($C$1,$C$2,$C$3,$C$4,$C$6,$C$5,$C$7,AP$1,AP$2,$A159)</f>
        <v>0</v>
      </c>
      <c r="AQ159" s="32">
        <f ca="1">_xll.DBRW($C$1,$C$2,$C$3,$C$4,$C$6,$C$5,$C$7,AQ$1,AQ$2,$A159)</f>
        <v>0</v>
      </c>
      <c r="AR159" s="32">
        <f ca="1">_xll.DBRW($C$1,$C$2,$C$3,$C$4,$C$6,$C$5,$C$7,AR$1,AR$2,$A159)</f>
        <v>0</v>
      </c>
      <c r="AS159" s="32">
        <f ca="1">_xll.DBRW($C$1,$C$2,$C$3,$C$4,$C$6,$C$5,$C$7,AS$1,AS$2,$A159)</f>
        <v>0</v>
      </c>
      <c r="AT159" s="32">
        <f ca="1">_xll.DBRW($C$1,$C$2,$C$3,$C$4,$C$6,$C$5,$C$7,AT$1,AT$2,$A159)</f>
        <v>0</v>
      </c>
      <c r="AU159" s="32">
        <f ca="1">_xll.DBRW($C$1,$C$2,$C$3,$C$4,$C$6,$C$5,$C$7,AU$1,AU$2,$A159)</f>
        <v>0</v>
      </c>
    </row>
    <row r="160" spans="1:47" ht="15.75" hidden="1" customHeight="1" outlineLevel="2">
      <c r="A160" s="1" t="s">
        <v>239</v>
      </c>
      <c r="C160" s="141"/>
      <c r="E160" s="9" t="str">
        <f ca="1">_xll.DBRW(Server&amp;"}ElementAttributes_Indicator",A160,"code_English")</f>
        <v>PL1110_MI_10 - Staff costs (MI)</v>
      </c>
      <c r="F160" s="32">
        <f ca="1">_xll.DBRW($C$1,$C$2,$C$3,$C$4,$C$6,$C$5,$C$7,F$1,F$2,$A160)</f>
        <v>0</v>
      </c>
      <c r="G160" s="32">
        <f ca="1">_xll.DBRW($C$1,$C$2,$C$3,$C$4,$C$6,$C$5,$C$7,G$1,G$2,$A160)</f>
        <v>0</v>
      </c>
      <c r="H160" s="32">
        <f ca="1">_xll.DBRW($C$1,$C$2,$C$3,$C$4,$C$6,$C$5,$C$7,H$1,H$2,$A160)</f>
        <v>0</v>
      </c>
      <c r="I160" s="32">
        <f ca="1">_xll.DBRW($C$1,$C$2,$C$3,$C$4,$C$6,$C$5,$C$7,I$1,I$2,$A160)</f>
        <v>0</v>
      </c>
      <c r="J160" s="32">
        <f ca="1">_xll.DBRW($C$1,$C$2,$C$3,$C$4,$C$6,$C$5,$C$7,J$1,J$2,$A160)</f>
        <v>0</v>
      </c>
      <c r="K160" s="32">
        <f ca="1">_xll.DBRW($C$1,$C$2,$C$3,$C$4,$C$6,$C$5,$C$7,K$1,K$2,$A160)</f>
        <v>0</v>
      </c>
      <c r="L160" s="32">
        <f ca="1">_xll.DBRW($C$1,$C$2,$C$3,$C$4,$C$6,$C$5,$C$7,L$1,L$2,$A160)</f>
        <v>0</v>
      </c>
      <c r="M160" s="32">
        <f ca="1">_xll.DBRW($C$1,$C$2,$C$3,$C$4,$C$6,$C$5,$C$7,M$1,M$2,$A160)</f>
        <v>0</v>
      </c>
      <c r="N160" s="32">
        <f ca="1">_xll.DBRW($C$1,$C$2,$C$3,$C$4,$C$6,$C$5,$C$7,N$1,N$2,$A160)</f>
        <v>0</v>
      </c>
      <c r="O160" s="32">
        <f ca="1">_xll.DBRW($C$1,$C$2,$C$3,$C$4,$C$6,$C$5,$C$7,O$1,O$2,$A160)</f>
        <v>0</v>
      </c>
      <c r="P160" s="32">
        <f ca="1">_xll.DBRW($C$1,$C$2,$C$3,$C$4,$C$6,$C$5,$C$7,P$1,P$2,$A160)</f>
        <v>0</v>
      </c>
      <c r="Q160" s="32">
        <f ca="1">_xll.DBRW($C$1,$C$2,$C$3,$C$4,$C$6,$C$5,$C$7,Q$1,Q$2,$A160)</f>
        <v>0</v>
      </c>
      <c r="R160" s="32">
        <f ca="1">_xll.DBRW($C$1,$C$2,$C$3,$C$4,$C$6,$C$5,$C$7,R$1,R$2,$A160)</f>
        <v>0</v>
      </c>
      <c r="S160" s="32">
        <f ca="1">_xll.DBRW($C$1,$C$2,$C$3,$C$4,$C$6,$C$5,$C$7,S$1,S$2,$A160)</f>
        <v>0</v>
      </c>
      <c r="T160" s="32">
        <f ca="1">_xll.DBRW($C$1,$C$2,$C$3,$C$4,$C$6,$C$5,$C$7,T$1,T$2,$A160)</f>
        <v>0</v>
      </c>
      <c r="U160" s="32">
        <f ca="1">_xll.DBRW($C$1,$C$2,$C$3,$C$4,$C$6,$C$5,$C$7,U$1,U$2,$A160)</f>
        <v>0</v>
      </c>
      <c r="V160" s="32">
        <f ca="1">_xll.DBRW($C$1,$C$2,$C$3,$C$4,$C$6,$C$5,$C$7,V$1,V$2,$A160)</f>
        <v>0</v>
      </c>
      <c r="W160" s="32">
        <f ca="1">_xll.DBRW($C$1,$C$2,$C$3,$C$4,$C$6,$C$5,$C$7,W$1,W$2,$A160)</f>
        <v>0</v>
      </c>
      <c r="X160" s="32">
        <f ca="1">_xll.DBRW($C$1,$C$2,$C$3,$C$4,$C$6,$C$5,$C$7,X$1,X$2,$A160)</f>
        <v>0</v>
      </c>
      <c r="Y160" s="32">
        <f ca="1">_xll.DBRW($C$1,$C$2,$C$3,$C$4,$C$6,$C$5,$C$7,Y$1,Y$2,$A160)</f>
        <v>0</v>
      </c>
      <c r="Z160" s="32">
        <f ca="1">_xll.DBRW($C$1,$C$2,$C$3,$C$4,$C$6,$C$5,$C$7,Z$1,Z$2,$A160)</f>
        <v>0</v>
      </c>
      <c r="AA160" s="32">
        <f ca="1">_xll.DBRW($C$1,$C$2,$C$3,$C$4,$C$6,$C$5,$C$7,AA$1,AA$2,$A160)</f>
        <v>0</v>
      </c>
      <c r="AB160" s="32">
        <f ca="1">_xll.DBRW($C$1,$C$2,$C$3,$C$4,$C$6,$C$5,$C$7,AB$1,AB$2,$A160)</f>
        <v>0</v>
      </c>
      <c r="AC160" s="32">
        <f ca="1">_xll.DBRW($C$1,$C$2,$C$3,$C$4,$C$6,$C$5,$C$7,AC$1,AC$2,$A160)</f>
        <v>0</v>
      </c>
      <c r="AD160" s="32">
        <f ca="1">_xll.DBRW($C$1,$C$2,$C$3,$C$4,$C$6,$C$5,$C$7,AD$1,AD$2,$A160)</f>
        <v>0</v>
      </c>
      <c r="AE160" s="32">
        <f ca="1">_xll.DBRW($C$1,$C$2,$C$3,$C$4,$C$6,$C$5,$C$7,AE$1,AE$2,$A160)</f>
        <v>0</v>
      </c>
      <c r="AF160" s="32">
        <f ca="1">_xll.DBRW($C$1,$C$2,$C$3,$C$4,$C$6,$C$5,$C$7,AF$1,AF$2,$A160)</f>
        <v>0</v>
      </c>
      <c r="AG160" s="32">
        <f ca="1">_xll.DBRW($C$1,$C$2,$C$3,$C$4,$C$6,$C$5,$C$7,AG$1,AG$2,$A160)</f>
        <v>0</v>
      </c>
      <c r="AH160" s="32">
        <f ca="1">_xll.DBRW($C$1,$C$2,$C$3,$C$4,$C$6,$C$5,$C$7,AH$1,AH$2,$A160)</f>
        <v>0</v>
      </c>
      <c r="AI160" s="32">
        <f ca="1">_xll.DBRW($C$1,$C$2,$C$3,$C$4,$C$6,$C$5,$C$7,AI$1,AI$2,$A160)</f>
        <v>0</v>
      </c>
      <c r="AJ160" s="32">
        <f ca="1">_xll.DBRW($C$1,$C$2,$C$3,$C$4,$C$6,$C$5,$C$7,AJ$1,AJ$2,$A160)</f>
        <v>0</v>
      </c>
      <c r="AK160" s="32">
        <f ca="1">_xll.DBRW($C$1,$C$2,$C$3,$C$4,$C$6,$C$5,$C$7,AK$1,AK$2,$A160)</f>
        <v>0</v>
      </c>
      <c r="AL160" s="32">
        <f ca="1">_xll.DBRW($C$1,$C$2,$C$3,$C$4,$C$6,$C$5,$C$7,AL$1,AL$2,$A160)</f>
        <v>0</v>
      </c>
      <c r="AM160" s="32">
        <f ca="1">_xll.DBRW($C$1,$C$2,$C$3,$C$4,$C$6,$C$5,$C$7,AM$1,AM$2,$A160)</f>
        <v>0</v>
      </c>
      <c r="AN160" s="32">
        <f ca="1">_xll.DBRW($C$1,$C$2,$C$3,$C$4,$C$6,$C$5,$C$7,AN$1,AN$2,$A160)</f>
        <v>0</v>
      </c>
      <c r="AO160" s="32">
        <f ca="1">_xll.DBRW($C$1,$C$2,$C$3,$C$4,$C$6,$C$5,$C$7,AO$1,AO$2,$A160)</f>
        <v>0</v>
      </c>
      <c r="AP160" s="32">
        <f ca="1">_xll.DBRW($C$1,$C$2,$C$3,$C$4,$C$6,$C$5,$C$7,AP$1,AP$2,$A160)</f>
        <v>0</v>
      </c>
      <c r="AQ160" s="32">
        <f ca="1">_xll.DBRW($C$1,$C$2,$C$3,$C$4,$C$6,$C$5,$C$7,AQ$1,AQ$2,$A160)</f>
        <v>0</v>
      </c>
      <c r="AR160" s="32">
        <f ca="1">_xll.DBRW($C$1,$C$2,$C$3,$C$4,$C$6,$C$5,$C$7,AR$1,AR$2,$A160)</f>
        <v>0</v>
      </c>
      <c r="AS160" s="32">
        <f ca="1">_xll.DBRW($C$1,$C$2,$C$3,$C$4,$C$6,$C$5,$C$7,AS$1,AS$2,$A160)</f>
        <v>0</v>
      </c>
      <c r="AT160" s="32">
        <f ca="1">_xll.DBRW($C$1,$C$2,$C$3,$C$4,$C$6,$C$5,$C$7,AT$1,AT$2,$A160)</f>
        <v>0</v>
      </c>
      <c r="AU160" s="32">
        <f ca="1">_xll.DBRW($C$1,$C$2,$C$3,$C$4,$C$6,$C$5,$C$7,AU$1,AU$2,$A160)</f>
        <v>0</v>
      </c>
    </row>
    <row r="161" spans="1:47" ht="15.75" hidden="1" customHeight="1" outlineLevel="2">
      <c r="A161" s="1" t="s">
        <v>240</v>
      </c>
      <c r="C161" s="141"/>
      <c r="E161" s="9" t="str">
        <f ca="1">_xll.DBRW(Server&amp;"}ElementAttributes_Indicator",A161,"code_English")</f>
        <v>PL1116_MI - COS - Lease expenses (MI)</v>
      </c>
      <c r="F161" s="32">
        <f ca="1">_xll.DBRW($C$1,$C$2,$C$3,$C$4,$C$6,$C$5,$C$7,F$1,F$2,$A161)</f>
        <v>0</v>
      </c>
      <c r="G161" s="32">
        <f ca="1">_xll.DBRW($C$1,$C$2,$C$3,$C$4,$C$6,$C$5,$C$7,G$1,G$2,$A161)</f>
        <v>0</v>
      </c>
      <c r="H161" s="32">
        <f ca="1">_xll.DBRW($C$1,$C$2,$C$3,$C$4,$C$6,$C$5,$C$7,H$1,H$2,$A161)</f>
        <v>0</v>
      </c>
      <c r="I161" s="32">
        <f ca="1">_xll.DBRW($C$1,$C$2,$C$3,$C$4,$C$6,$C$5,$C$7,I$1,I$2,$A161)</f>
        <v>0</v>
      </c>
      <c r="J161" s="32">
        <f ca="1">_xll.DBRW($C$1,$C$2,$C$3,$C$4,$C$6,$C$5,$C$7,J$1,J$2,$A161)</f>
        <v>0</v>
      </c>
      <c r="K161" s="32">
        <f ca="1">_xll.DBRW($C$1,$C$2,$C$3,$C$4,$C$6,$C$5,$C$7,K$1,K$2,$A161)</f>
        <v>0</v>
      </c>
      <c r="L161" s="32">
        <f ca="1">_xll.DBRW($C$1,$C$2,$C$3,$C$4,$C$6,$C$5,$C$7,L$1,L$2,$A161)</f>
        <v>0</v>
      </c>
      <c r="M161" s="32">
        <f ca="1">_xll.DBRW($C$1,$C$2,$C$3,$C$4,$C$6,$C$5,$C$7,M$1,M$2,$A161)</f>
        <v>0</v>
      </c>
      <c r="N161" s="32">
        <f ca="1">_xll.DBRW($C$1,$C$2,$C$3,$C$4,$C$6,$C$5,$C$7,N$1,N$2,$A161)</f>
        <v>0</v>
      </c>
      <c r="O161" s="32">
        <f ca="1">_xll.DBRW($C$1,$C$2,$C$3,$C$4,$C$6,$C$5,$C$7,O$1,O$2,$A161)</f>
        <v>0</v>
      </c>
      <c r="P161" s="32">
        <f ca="1">_xll.DBRW($C$1,$C$2,$C$3,$C$4,$C$6,$C$5,$C$7,P$1,P$2,$A161)</f>
        <v>0</v>
      </c>
      <c r="Q161" s="32">
        <f ca="1">_xll.DBRW($C$1,$C$2,$C$3,$C$4,$C$6,$C$5,$C$7,Q$1,Q$2,$A161)</f>
        <v>0</v>
      </c>
      <c r="R161" s="32">
        <f ca="1">_xll.DBRW($C$1,$C$2,$C$3,$C$4,$C$6,$C$5,$C$7,R$1,R$2,$A161)</f>
        <v>0</v>
      </c>
      <c r="S161" s="32">
        <f ca="1">_xll.DBRW($C$1,$C$2,$C$3,$C$4,$C$6,$C$5,$C$7,S$1,S$2,$A161)</f>
        <v>0</v>
      </c>
      <c r="T161" s="32">
        <f ca="1">_xll.DBRW($C$1,$C$2,$C$3,$C$4,$C$6,$C$5,$C$7,T$1,T$2,$A161)</f>
        <v>0</v>
      </c>
      <c r="U161" s="32">
        <f ca="1">_xll.DBRW($C$1,$C$2,$C$3,$C$4,$C$6,$C$5,$C$7,U$1,U$2,$A161)</f>
        <v>0</v>
      </c>
      <c r="V161" s="32">
        <f ca="1">_xll.DBRW($C$1,$C$2,$C$3,$C$4,$C$6,$C$5,$C$7,V$1,V$2,$A161)</f>
        <v>0</v>
      </c>
      <c r="W161" s="32">
        <f ca="1">_xll.DBRW($C$1,$C$2,$C$3,$C$4,$C$6,$C$5,$C$7,W$1,W$2,$A161)</f>
        <v>0</v>
      </c>
      <c r="X161" s="32">
        <f ca="1">_xll.DBRW($C$1,$C$2,$C$3,$C$4,$C$6,$C$5,$C$7,X$1,X$2,$A161)</f>
        <v>0</v>
      </c>
      <c r="Y161" s="32">
        <f ca="1">_xll.DBRW($C$1,$C$2,$C$3,$C$4,$C$6,$C$5,$C$7,Y$1,Y$2,$A161)</f>
        <v>0</v>
      </c>
      <c r="Z161" s="32">
        <f ca="1">_xll.DBRW($C$1,$C$2,$C$3,$C$4,$C$6,$C$5,$C$7,Z$1,Z$2,$A161)</f>
        <v>0</v>
      </c>
      <c r="AA161" s="32">
        <f ca="1">_xll.DBRW($C$1,$C$2,$C$3,$C$4,$C$6,$C$5,$C$7,AA$1,AA$2,$A161)</f>
        <v>0</v>
      </c>
      <c r="AB161" s="32">
        <f ca="1">_xll.DBRW($C$1,$C$2,$C$3,$C$4,$C$6,$C$5,$C$7,AB$1,AB$2,$A161)</f>
        <v>0</v>
      </c>
      <c r="AC161" s="32">
        <f ca="1">_xll.DBRW($C$1,$C$2,$C$3,$C$4,$C$6,$C$5,$C$7,AC$1,AC$2,$A161)</f>
        <v>0</v>
      </c>
      <c r="AD161" s="32">
        <f ca="1">_xll.DBRW($C$1,$C$2,$C$3,$C$4,$C$6,$C$5,$C$7,AD$1,AD$2,$A161)</f>
        <v>0</v>
      </c>
      <c r="AE161" s="32">
        <f ca="1">_xll.DBRW($C$1,$C$2,$C$3,$C$4,$C$6,$C$5,$C$7,AE$1,AE$2,$A161)</f>
        <v>0</v>
      </c>
      <c r="AF161" s="32">
        <f ca="1">_xll.DBRW($C$1,$C$2,$C$3,$C$4,$C$6,$C$5,$C$7,AF$1,AF$2,$A161)</f>
        <v>0</v>
      </c>
      <c r="AG161" s="32">
        <f ca="1">_xll.DBRW($C$1,$C$2,$C$3,$C$4,$C$6,$C$5,$C$7,AG$1,AG$2,$A161)</f>
        <v>0</v>
      </c>
      <c r="AH161" s="32">
        <f ca="1">_xll.DBRW($C$1,$C$2,$C$3,$C$4,$C$6,$C$5,$C$7,AH$1,AH$2,$A161)</f>
        <v>0</v>
      </c>
      <c r="AI161" s="32">
        <f ca="1">_xll.DBRW($C$1,$C$2,$C$3,$C$4,$C$6,$C$5,$C$7,AI$1,AI$2,$A161)</f>
        <v>0</v>
      </c>
      <c r="AJ161" s="32">
        <f ca="1">_xll.DBRW($C$1,$C$2,$C$3,$C$4,$C$6,$C$5,$C$7,AJ$1,AJ$2,$A161)</f>
        <v>0</v>
      </c>
      <c r="AK161" s="32">
        <f ca="1">_xll.DBRW($C$1,$C$2,$C$3,$C$4,$C$6,$C$5,$C$7,AK$1,AK$2,$A161)</f>
        <v>0</v>
      </c>
      <c r="AL161" s="32">
        <f ca="1">_xll.DBRW($C$1,$C$2,$C$3,$C$4,$C$6,$C$5,$C$7,AL$1,AL$2,$A161)</f>
        <v>0</v>
      </c>
      <c r="AM161" s="32">
        <f ca="1">_xll.DBRW($C$1,$C$2,$C$3,$C$4,$C$6,$C$5,$C$7,AM$1,AM$2,$A161)</f>
        <v>0</v>
      </c>
      <c r="AN161" s="32">
        <f ca="1">_xll.DBRW($C$1,$C$2,$C$3,$C$4,$C$6,$C$5,$C$7,AN$1,AN$2,$A161)</f>
        <v>0</v>
      </c>
      <c r="AO161" s="32">
        <f ca="1">_xll.DBRW($C$1,$C$2,$C$3,$C$4,$C$6,$C$5,$C$7,AO$1,AO$2,$A161)</f>
        <v>0</v>
      </c>
      <c r="AP161" s="32">
        <f ca="1">_xll.DBRW($C$1,$C$2,$C$3,$C$4,$C$6,$C$5,$C$7,AP$1,AP$2,$A161)</f>
        <v>0</v>
      </c>
      <c r="AQ161" s="32">
        <f ca="1">_xll.DBRW($C$1,$C$2,$C$3,$C$4,$C$6,$C$5,$C$7,AQ$1,AQ$2,$A161)</f>
        <v>0</v>
      </c>
      <c r="AR161" s="32">
        <f ca="1">_xll.DBRW($C$1,$C$2,$C$3,$C$4,$C$6,$C$5,$C$7,AR$1,AR$2,$A161)</f>
        <v>0</v>
      </c>
      <c r="AS161" s="32">
        <f ca="1">_xll.DBRW($C$1,$C$2,$C$3,$C$4,$C$6,$C$5,$C$7,AS$1,AS$2,$A161)</f>
        <v>0</v>
      </c>
      <c r="AT161" s="32">
        <f ca="1">_xll.DBRW($C$1,$C$2,$C$3,$C$4,$C$6,$C$5,$C$7,AT$1,AT$2,$A161)</f>
        <v>0</v>
      </c>
      <c r="AU161" s="32">
        <f ca="1">_xll.DBRW($C$1,$C$2,$C$3,$C$4,$C$6,$C$5,$C$7,AU$1,AU$2,$A161)</f>
        <v>0</v>
      </c>
    </row>
    <row r="162" spans="1:47" ht="15.75" hidden="1" customHeight="1" outlineLevel="2">
      <c r="A162" s="1" t="s">
        <v>241</v>
      </c>
      <c r="C162" s="141"/>
      <c r="E162" s="9" t="str">
        <f ca="1">_xll.DBRW(Server&amp;"}ElementAttributes_Indicator",A162,"code_English")</f>
        <v>PL1145_MI - Impairment - working capital (MI)</v>
      </c>
      <c r="F162" s="32">
        <f ca="1">_xll.DBRW($C$1,$C$2,$C$3,$C$4,$C$6,$C$5,$C$7,F$1,F$2,$A162)</f>
        <v>0</v>
      </c>
      <c r="G162" s="32">
        <f ca="1">_xll.DBRW($C$1,$C$2,$C$3,$C$4,$C$6,$C$5,$C$7,G$1,G$2,$A162)</f>
        <v>0</v>
      </c>
      <c r="H162" s="32">
        <f ca="1">_xll.DBRW($C$1,$C$2,$C$3,$C$4,$C$6,$C$5,$C$7,H$1,H$2,$A162)</f>
        <v>0</v>
      </c>
      <c r="I162" s="32">
        <f ca="1">_xll.DBRW($C$1,$C$2,$C$3,$C$4,$C$6,$C$5,$C$7,I$1,I$2,$A162)</f>
        <v>0</v>
      </c>
      <c r="J162" s="32">
        <f ca="1">_xll.DBRW($C$1,$C$2,$C$3,$C$4,$C$6,$C$5,$C$7,J$1,J$2,$A162)</f>
        <v>0</v>
      </c>
      <c r="K162" s="32">
        <f ca="1">_xll.DBRW($C$1,$C$2,$C$3,$C$4,$C$6,$C$5,$C$7,K$1,K$2,$A162)</f>
        <v>0</v>
      </c>
      <c r="L162" s="32">
        <f ca="1">_xll.DBRW($C$1,$C$2,$C$3,$C$4,$C$6,$C$5,$C$7,L$1,L$2,$A162)</f>
        <v>0</v>
      </c>
      <c r="M162" s="32">
        <f ca="1">_xll.DBRW($C$1,$C$2,$C$3,$C$4,$C$6,$C$5,$C$7,M$1,M$2,$A162)</f>
        <v>0</v>
      </c>
      <c r="N162" s="32">
        <f ca="1">_xll.DBRW($C$1,$C$2,$C$3,$C$4,$C$6,$C$5,$C$7,N$1,N$2,$A162)</f>
        <v>0</v>
      </c>
      <c r="O162" s="32">
        <f ca="1">_xll.DBRW($C$1,$C$2,$C$3,$C$4,$C$6,$C$5,$C$7,O$1,O$2,$A162)</f>
        <v>0</v>
      </c>
      <c r="P162" s="32">
        <f ca="1">_xll.DBRW($C$1,$C$2,$C$3,$C$4,$C$6,$C$5,$C$7,P$1,P$2,$A162)</f>
        <v>0</v>
      </c>
      <c r="Q162" s="32">
        <f ca="1">_xll.DBRW($C$1,$C$2,$C$3,$C$4,$C$6,$C$5,$C$7,Q$1,Q$2,$A162)</f>
        <v>0</v>
      </c>
      <c r="R162" s="32">
        <f ca="1">_xll.DBRW($C$1,$C$2,$C$3,$C$4,$C$6,$C$5,$C$7,R$1,R$2,$A162)</f>
        <v>0</v>
      </c>
      <c r="S162" s="32">
        <f ca="1">_xll.DBRW($C$1,$C$2,$C$3,$C$4,$C$6,$C$5,$C$7,S$1,S$2,$A162)</f>
        <v>0</v>
      </c>
      <c r="T162" s="32">
        <f ca="1">_xll.DBRW($C$1,$C$2,$C$3,$C$4,$C$6,$C$5,$C$7,T$1,T$2,$A162)</f>
        <v>0</v>
      </c>
      <c r="U162" s="32">
        <f ca="1">_xll.DBRW($C$1,$C$2,$C$3,$C$4,$C$6,$C$5,$C$7,U$1,U$2,$A162)</f>
        <v>0</v>
      </c>
      <c r="V162" s="32">
        <f ca="1">_xll.DBRW($C$1,$C$2,$C$3,$C$4,$C$6,$C$5,$C$7,V$1,V$2,$A162)</f>
        <v>0</v>
      </c>
      <c r="W162" s="32">
        <f ca="1">_xll.DBRW($C$1,$C$2,$C$3,$C$4,$C$6,$C$5,$C$7,W$1,W$2,$A162)</f>
        <v>0</v>
      </c>
      <c r="X162" s="32">
        <f ca="1">_xll.DBRW($C$1,$C$2,$C$3,$C$4,$C$6,$C$5,$C$7,X$1,X$2,$A162)</f>
        <v>0</v>
      </c>
      <c r="Y162" s="32">
        <f ca="1">_xll.DBRW($C$1,$C$2,$C$3,$C$4,$C$6,$C$5,$C$7,Y$1,Y$2,$A162)</f>
        <v>0</v>
      </c>
      <c r="Z162" s="32">
        <f ca="1">_xll.DBRW($C$1,$C$2,$C$3,$C$4,$C$6,$C$5,$C$7,Z$1,Z$2,$A162)</f>
        <v>0</v>
      </c>
      <c r="AA162" s="32">
        <f ca="1">_xll.DBRW($C$1,$C$2,$C$3,$C$4,$C$6,$C$5,$C$7,AA$1,AA$2,$A162)</f>
        <v>0</v>
      </c>
      <c r="AB162" s="32">
        <f ca="1">_xll.DBRW($C$1,$C$2,$C$3,$C$4,$C$6,$C$5,$C$7,AB$1,AB$2,$A162)</f>
        <v>0</v>
      </c>
      <c r="AC162" s="32">
        <f ca="1">_xll.DBRW($C$1,$C$2,$C$3,$C$4,$C$6,$C$5,$C$7,AC$1,AC$2,$A162)</f>
        <v>0</v>
      </c>
      <c r="AD162" s="32">
        <f ca="1">_xll.DBRW($C$1,$C$2,$C$3,$C$4,$C$6,$C$5,$C$7,AD$1,AD$2,$A162)</f>
        <v>0</v>
      </c>
      <c r="AE162" s="32">
        <f ca="1">_xll.DBRW($C$1,$C$2,$C$3,$C$4,$C$6,$C$5,$C$7,AE$1,AE$2,$A162)</f>
        <v>0</v>
      </c>
      <c r="AF162" s="32">
        <f ca="1">_xll.DBRW($C$1,$C$2,$C$3,$C$4,$C$6,$C$5,$C$7,AF$1,AF$2,$A162)</f>
        <v>0</v>
      </c>
      <c r="AG162" s="32">
        <f ca="1">_xll.DBRW($C$1,$C$2,$C$3,$C$4,$C$6,$C$5,$C$7,AG$1,AG$2,$A162)</f>
        <v>0</v>
      </c>
      <c r="AH162" s="32">
        <f ca="1">_xll.DBRW($C$1,$C$2,$C$3,$C$4,$C$6,$C$5,$C$7,AH$1,AH$2,$A162)</f>
        <v>0</v>
      </c>
      <c r="AI162" s="32">
        <f ca="1">_xll.DBRW($C$1,$C$2,$C$3,$C$4,$C$6,$C$5,$C$7,AI$1,AI$2,$A162)</f>
        <v>0</v>
      </c>
      <c r="AJ162" s="32">
        <f ca="1">_xll.DBRW($C$1,$C$2,$C$3,$C$4,$C$6,$C$5,$C$7,AJ$1,AJ$2,$A162)</f>
        <v>0</v>
      </c>
      <c r="AK162" s="32">
        <f ca="1">_xll.DBRW($C$1,$C$2,$C$3,$C$4,$C$6,$C$5,$C$7,AK$1,AK$2,$A162)</f>
        <v>0</v>
      </c>
      <c r="AL162" s="32">
        <f ca="1">_xll.DBRW($C$1,$C$2,$C$3,$C$4,$C$6,$C$5,$C$7,AL$1,AL$2,$A162)</f>
        <v>0</v>
      </c>
      <c r="AM162" s="32">
        <f ca="1">_xll.DBRW($C$1,$C$2,$C$3,$C$4,$C$6,$C$5,$C$7,AM$1,AM$2,$A162)</f>
        <v>0</v>
      </c>
      <c r="AN162" s="32">
        <f ca="1">_xll.DBRW($C$1,$C$2,$C$3,$C$4,$C$6,$C$5,$C$7,AN$1,AN$2,$A162)</f>
        <v>0</v>
      </c>
      <c r="AO162" s="32">
        <f ca="1">_xll.DBRW($C$1,$C$2,$C$3,$C$4,$C$6,$C$5,$C$7,AO$1,AO$2,$A162)</f>
        <v>0</v>
      </c>
      <c r="AP162" s="32">
        <f ca="1">_xll.DBRW($C$1,$C$2,$C$3,$C$4,$C$6,$C$5,$C$7,AP$1,AP$2,$A162)</f>
        <v>0</v>
      </c>
      <c r="AQ162" s="32">
        <f ca="1">_xll.DBRW($C$1,$C$2,$C$3,$C$4,$C$6,$C$5,$C$7,AQ$1,AQ$2,$A162)</f>
        <v>0</v>
      </c>
      <c r="AR162" s="32">
        <f ca="1">_xll.DBRW($C$1,$C$2,$C$3,$C$4,$C$6,$C$5,$C$7,AR$1,AR$2,$A162)</f>
        <v>0</v>
      </c>
      <c r="AS162" s="32">
        <f ca="1">_xll.DBRW($C$1,$C$2,$C$3,$C$4,$C$6,$C$5,$C$7,AS$1,AS$2,$A162)</f>
        <v>0</v>
      </c>
      <c r="AT162" s="32">
        <f ca="1">_xll.DBRW($C$1,$C$2,$C$3,$C$4,$C$6,$C$5,$C$7,AT$1,AT$2,$A162)</f>
        <v>0</v>
      </c>
      <c r="AU162" s="32">
        <f ca="1">_xll.DBRW($C$1,$C$2,$C$3,$C$4,$C$6,$C$5,$C$7,AU$1,AU$2,$A162)</f>
        <v>0</v>
      </c>
    </row>
    <row r="163" spans="1:47" ht="15.75" hidden="1" customHeight="1" outlineLevel="2">
      <c r="A163" s="1" t="s">
        <v>242</v>
      </c>
      <c r="C163" s="141"/>
      <c r="E163" s="9" t="str">
        <f ca="1">_xll.DBRW(Server&amp;"}ElementAttributes_Indicator",A163,"code_English")</f>
        <v>PL1155_MI_99 - Reinvoicing - Others (MI)</v>
      </c>
      <c r="F163" s="32">
        <f ca="1">_xll.DBRW($C$1,$C$2,$C$3,$C$4,$C$6,$C$5,$C$7,F$1,F$2,$A163)</f>
        <v>-2520.9899999999998</v>
      </c>
      <c r="G163" s="32">
        <f ca="1">_xll.DBRW($C$1,$C$2,$C$3,$C$4,$C$6,$C$5,$C$7,G$1,G$2,$A163)</f>
        <v>0</v>
      </c>
      <c r="H163" s="32">
        <f ca="1">_xll.DBRW($C$1,$C$2,$C$3,$C$4,$C$6,$C$5,$C$7,H$1,H$2,$A163)</f>
        <v>0</v>
      </c>
      <c r="I163" s="32">
        <f ca="1">_xll.DBRW($C$1,$C$2,$C$3,$C$4,$C$6,$C$5,$C$7,I$1,I$2,$A163)</f>
        <v>0</v>
      </c>
      <c r="J163" s="32">
        <f ca="1">_xll.DBRW($C$1,$C$2,$C$3,$C$4,$C$6,$C$5,$C$7,J$1,J$2,$A163)</f>
        <v>0</v>
      </c>
      <c r="K163" s="32">
        <f ca="1">_xll.DBRW($C$1,$C$2,$C$3,$C$4,$C$6,$C$5,$C$7,K$1,K$2,$A163)</f>
        <v>0</v>
      </c>
      <c r="L163" s="32">
        <f ca="1">_xll.DBRW($C$1,$C$2,$C$3,$C$4,$C$6,$C$5,$C$7,L$1,L$2,$A163)</f>
        <v>0</v>
      </c>
      <c r="M163" s="32">
        <f ca="1">_xll.DBRW($C$1,$C$2,$C$3,$C$4,$C$6,$C$5,$C$7,M$1,M$2,$A163)</f>
        <v>0</v>
      </c>
      <c r="N163" s="32">
        <f ca="1">_xll.DBRW($C$1,$C$2,$C$3,$C$4,$C$6,$C$5,$C$7,N$1,N$2,$A163)</f>
        <v>0</v>
      </c>
      <c r="O163" s="32">
        <f ca="1">_xll.DBRW($C$1,$C$2,$C$3,$C$4,$C$6,$C$5,$C$7,O$1,O$2,$A163)</f>
        <v>0</v>
      </c>
      <c r="P163" s="32">
        <f ca="1">_xll.DBRW($C$1,$C$2,$C$3,$C$4,$C$6,$C$5,$C$7,P$1,P$2,$A163)</f>
        <v>0</v>
      </c>
      <c r="Q163" s="32">
        <f ca="1">_xll.DBRW($C$1,$C$2,$C$3,$C$4,$C$6,$C$5,$C$7,Q$1,Q$2,$A163)</f>
        <v>0</v>
      </c>
      <c r="R163" s="32">
        <f ca="1">_xll.DBRW($C$1,$C$2,$C$3,$C$4,$C$6,$C$5,$C$7,R$1,R$2,$A163)</f>
        <v>0</v>
      </c>
      <c r="S163" s="32">
        <f ca="1">_xll.DBRW($C$1,$C$2,$C$3,$C$4,$C$6,$C$5,$C$7,S$1,S$2,$A163)</f>
        <v>0</v>
      </c>
      <c r="T163" s="32">
        <f ca="1">_xll.DBRW($C$1,$C$2,$C$3,$C$4,$C$6,$C$5,$C$7,T$1,T$2,$A163)</f>
        <v>0</v>
      </c>
      <c r="U163" s="32">
        <f ca="1">_xll.DBRW($C$1,$C$2,$C$3,$C$4,$C$6,$C$5,$C$7,U$1,U$2,$A163)</f>
        <v>0</v>
      </c>
      <c r="V163" s="32">
        <f ca="1">_xll.DBRW($C$1,$C$2,$C$3,$C$4,$C$6,$C$5,$C$7,V$1,V$2,$A163)</f>
        <v>0</v>
      </c>
      <c r="W163" s="32">
        <f ca="1">_xll.DBRW($C$1,$C$2,$C$3,$C$4,$C$6,$C$5,$C$7,W$1,W$2,$A163)</f>
        <v>0</v>
      </c>
      <c r="X163" s="32">
        <f ca="1">_xll.DBRW($C$1,$C$2,$C$3,$C$4,$C$6,$C$5,$C$7,X$1,X$2,$A163)</f>
        <v>0</v>
      </c>
      <c r="Y163" s="32">
        <f ca="1">_xll.DBRW($C$1,$C$2,$C$3,$C$4,$C$6,$C$5,$C$7,Y$1,Y$2,$A163)</f>
        <v>0</v>
      </c>
      <c r="Z163" s="32">
        <f ca="1">_xll.DBRW($C$1,$C$2,$C$3,$C$4,$C$6,$C$5,$C$7,Z$1,Z$2,$A163)</f>
        <v>0</v>
      </c>
      <c r="AA163" s="32">
        <f ca="1">_xll.DBRW($C$1,$C$2,$C$3,$C$4,$C$6,$C$5,$C$7,AA$1,AA$2,$A163)</f>
        <v>0</v>
      </c>
      <c r="AB163" s="32">
        <f ca="1">_xll.DBRW($C$1,$C$2,$C$3,$C$4,$C$6,$C$5,$C$7,AB$1,AB$2,$A163)</f>
        <v>0</v>
      </c>
      <c r="AC163" s="32">
        <f ca="1">_xll.DBRW($C$1,$C$2,$C$3,$C$4,$C$6,$C$5,$C$7,AC$1,AC$2,$A163)</f>
        <v>0</v>
      </c>
      <c r="AD163" s="32">
        <f ca="1">_xll.DBRW($C$1,$C$2,$C$3,$C$4,$C$6,$C$5,$C$7,AD$1,AD$2,$A163)</f>
        <v>0</v>
      </c>
      <c r="AE163" s="32">
        <f ca="1">_xll.DBRW($C$1,$C$2,$C$3,$C$4,$C$6,$C$5,$C$7,AE$1,AE$2,$A163)</f>
        <v>0</v>
      </c>
      <c r="AF163" s="32">
        <f ca="1">_xll.DBRW($C$1,$C$2,$C$3,$C$4,$C$6,$C$5,$C$7,AF$1,AF$2,$A163)</f>
        <v>0</v>
      </c>
      <c r="AG163" s="32">
        <f ca="1">_xll.DBRW($C$1,$C$2,$C$3,$C$4,$C$6,$C$5,$C$7,AG$1,AG$2,$A163)</f>
        <v>0</v>
      </c>
      <c r="AH163" s="32">
        <f ca="1">_xll.DBRW($C$1,$C$2,$C$3,$C$4,$C$6,$C$5,$C$7,AH$1,AH$2,$A163)</f>
        <v>0</v>
      </c>
      <c r="AI163" s="32">
        <f ca="1">_xll.DBRW($C$1,$C$2,$C$3,$C$4,$C$6,$C$5,$C$7,AI$1,AI$2,$A163)</f>
        <v>0</v>
      </c>
      <c r="AJ163" s="32">
        <f ca="1">_xll.DBRW($C$1,$C$2,$C$3,$C$4,$C$6,$C$5,$C$7,AJ$1,AJ$2,$A163)</f>
        <v>0</v>
      </c>
      <c r="AK163" s="32">
        <f ca="1">_xll.DBRW($C$1,$C$2,$C$3,$C$4,$C$6,$C$5,$C$7,AK$1,AK$2,$A163)</f>
        <v>0</v>
      </c>
      <c r="AL163" s="32">
        <f ca="1">_xll.DBRW($C$1,$C$2,$C$3,$C$4,$C$6,$C$5,$C$7,AL$1,AL$2,$A163)</f>
        <v>0</v>
      </c>
      <c r="AM163" s="32">
        <f ca="1">_xll.DBRW($C$1,$C$2,$C$3,$C$4,$C$6,$C$5,$C$7,AM$1,AM$2,$A163)</f>
        <v>0</v>
      </c>
      <c r="AN163" s="32">
        <f ca="1">_xll.DBRW($C$1,$C$2,$C$3,$C$4,$C$6,$C$5,$C$7,AN$1,AN$2,$A163)</f>
        <v>0</v>
      </c>
      <c r="AO163" s="32">
        <f ca="1">_xll.DBRW($C$1,$C$2,$C$3,$C$4,$C$6,$C$5,$C$7,AO$1,AO$2,$A163)</f>
        <v>0</v>
      </c>
      <c r="AP163" s="32">
        <f ca="1">_xll.DBRW($C$1,$C$2,$C$3,$C$4,$C$6,$C$5,$C$7,AP$1,AP$2,$A163)</f>
        <v>0</v>
      </c>
      <c r="AQ163" s="32">
        <f ca="1">_xll.DBRW($C$1,$C$2,$C$3,$C$4,$C$6,$C$5,$C$7,AQ$1,AQ$2,$A163)</f>
        <v>0</v>
      </c>
      <c r="AR163" s="32">
        <f ca="1">_xll.DBRW($C$1,$C$2,$C$3,$C$4,$C$6,$C$5,$C$7,AR$1,AR$2,$A163)</f>
        <v>0</v>
      </c>
      <c r="AS163" s="32">
        <f ca="1">_xll.DBRW($C$1,$C$2,$C$3,$C$4,$C$6,$C$5,$C$7,AS$1,AS$2,$A163)</f>
        <v>0</v>
      </c>
      <c r="AT163" s="32">
        <f ca="1">_xll.DBRW($C$1,$C$2,$C$3,$C$4,$C$6,$C$5,$C$7,AT$1,AT$2,$A163)</f>
        <v>0</v>
      </c>
      <c r="AU163" s="32">
        <f ca="1">_xll.DBRW($C$1,$C$2,$C$3,$C$4,$C$6,$C$5,$C$7,AU$1,AU$2,$A163)</f>
        <v>0</v>
      </c>
    </row>
    <row r="164" spans="1:47" ht="15.75" hidden="1" customHeight="1" outlineLevel="2">
      <c r="A164" s="1" t="s">
        <v>243</v>
      </c>
      <c r="C164" s="141"/>
      <c r="E164" s="9" t="str">
        <f ca="1">_xll.DBRW(Server&amp;"}ElementAttributes_Indicator",A164,"code_English")</f>
        <v>PL1115_MI_99 - Others (MI)</v>
      </c>
      <c r="F164" s="32">
        <f ca="1">_xll.DBRW($C$1,$C$2,$C$3,$C$4,$C$6,$C$5,$C$7,F$1,F$2,$A164)</f>
        <v>-20448276.380000003</v>
      </c>
      <c r="G164" s="32">
        <f ca="1">_xll.DBRW($C$1,$C$2,$C$3,$C$4,$C$6,$C$5,$C$7,G$1,G$2,$A164)</f>
        <v>-17788854.640000001</v>
      </c>
      <c r="H164" s="32">
        <f ca="1">_xll.DBRW($C$1,$C$2,$C$3,$C$4,$C$6,$C$5,$C$7,H$1,H$2,$A164)</f>
        <v>-18870468.610000003</v>
      </c>
      <c r="I164" s="32">
        <f ca="1">_xll.DBRW($C$1,$C$2,$C$3,$C$4,$C$6,$C$5,$C$7,I$1,I$2,$A164)</f>
        <v>-1320733.6500000001</v>
      </c>
      <c r="J164" s="32">
        <f ca="1">_xll.DBRW($C$1,$C$2,$C$3,$C$4,$C$6,$C$5,$C$7,J$1,J$2,$A164)</f>
        <v>-3218430.24</v>
      </c>
      <c r="K164" s="32">
        <f ca="1">_xll.DBRW($C$1,$C$2,$C$3,$C$4,$C$6,$C$5,$C$7,K$1,K$2,$A164)</f>
        <v>-4782677.6100000003</v>
      </c>
      <c r="L164" s="32">
        <f ca="1">_xll.DBRW($C$1,$C$2,$C$3,$C$4,$C$6,$C$5,$C$7,L$1,L$2,$A164)</f>
        <v>-7232911.0700000003</v>
      </c>
      <c r="M164" s="32">
        <f ca="1">_xll.DBRW($C$1,$C$2,$C$3,$C$4,$C$6,$C$5,$C$7,M$1,M$2,$A164)</f>
        <v>-9045066.4000000004</v>
      </c>
      <c r="N164" s="32">
        <f ca="1">_xll.DBRW($C$1,$C$2,$C$3,$C$4,$C$6,$C$5,$C$7,N$1,N$2,$A164)</f>
        <v>-10926942.060000001</v>
      </c>
      <c r="O164" s="32">
        <f ca="1">_xll.DBRW($C$1,$C$2,$C$3,$C$4,$C$6,$C$5,$C$7,O$1,O$2,$A164)</f>
        <v>-10926942.060000001</v>
      </c>
      <c r="P164" s="32">
        <f ca="1">_xll.DBRW($C$1,$C$2,$C$3,$C$4,$C$6,$C$5,$C$7,P$1,P$2,$A164)</f>
        <v>-10926942.060000001</v>
      </c>
      <c r="Q164" s="32">
        <f ca="1">_xll.DBRW($C$1,$C$2,$C$3,$C$4,$C$6,$C$5,$C$7,Q$1,Q$2,$A164)</f>
        <v>-10926942.060000001</v>
      </c>
      <c r="R164" s="32">
        <f ca="1">_xll.DBRW($C$1,$C$2,$C$3,$C$4,$C$6,$C$5,$C$7,R$1,R$2,$A164)</f>
        <v>-10926942.060000001</v>
      </c>
      <c r="S164" s="32">
        <f ca="1">_xll.DBRW($C$1,$C$2,$C$3,$C$4,$C$6,$C$5,$C$7,S$1,S$2,$A164)</f>
        <v>-10926942.060000001</v>
      </c>
      <c r="T164" s="32">
        <f ca="1">_xll.DBRW($C$1,$C$2,$C$3,$C$4,$C$6,$C$5,$C$7,T$1,T$2,$A164)</f>
        <v>-10926942.060000001</v>
      </c>
      <c r="U164" s="32">
        <f ca="1">_xll.DBRW($C$1,$C$2,$C$3,$C$4,$C$6,$C$5,$C$7,U$1,U$2,$A164)</f>
        <v>-10926942.060000001</v>
      </c>
      <c r="V164" s="32">
        <f ca="1">_xll.DBRW($C$1,$C$2,$C$3,$C$4,$C$6,$C$5,$C$7,V$1,V$2,$A164)</f>
        <v>0</v>
      </c>
      <c r="W164" s="32">
        <f ca="1">_xll.DBRW($C$1,$C$2,$C$3,$C$4,$C$6,$C$5,$C$7,W$1,W$2,$A164)</f>
        <v>0</v>
      </c>
      <c r="X164" s="32">
        <f ca="1">_xll.DBRW($C$1,$C$2,$C$3,$C$4,$C$6,$C$5,$C$7,X$1,X$2,$A164)</f>
        <v>0</v>
      </c>
      <c r="Y164" s="32">
        <f ca="1">_xll.DBRW($C$1,$C$2,$C$3,$C$4,$C$6,$C$5,$C$7,Y$1,Y$2,$A164)</f>
        <v>0</v>
      </c>
      <c r="Z164" s="32">
        <f ca="1">_xll.DBRW($C$1,$C$2,$C$3,$C$4,$C$6,$C$5,$C$7,Z$1,Z$2,$A164)</f>
        <v>0</v>
      </c>
      <c r="AA164" s="32">
        <f ca="1">_xll.DBRW($C$1,$C$2,$C$3,$C$4,$C$6,$C$5,$C$7,AA$1,AA$2,$A164)</f>
        <v>0</v>
      </c>
      <c r="AB164" s="32">
        <f ca="1">_xll.DBRW($C$1,$C$2,$C$3,$C$4,$C$6,$C$5,$C$7,AB$1,AB$2,$A164)</f>
        <v>0</v>
      </c>
      <c r="AC164" s="32">
        <f ca="1">_xll.DBRW($C$1,$C$2,$C$3,$C$4,$C$6,$C$5,$C$7,AC$1,AC$2,$A164)</f>
        <v>0</v>
      </c>
      <c r="AD164" s="32">
        <f ca="1">_xll.DBRW($C$1,$C$2,$C$3,$C$4,$C$6,$C$5,$C$7,AD$1,AD$2,$A164)</f>
        <v>0</v>
      </c>
      <c r="AE164" s="32">
        <f ca="1">_xll.DBRW($C$1,$C$2,$C$3,$C$4,$C$6,$C$5,$C$7,AE$1,AE$2,$A164)</f>
        <v>0</v>
      </c>
      <c r="AF164" s="32">
        <f ca="1">_xll.DBRW($C$1,$C$2,$C$3,$C$4,$C$6,$C$5,$C$7,AF$1,AF$2,$A164)</f>
        <v>0</v>
      </c>
      <c r="AG164" s="32">
        <f ca="1">_xll.DBRW($C$1,$C$2,$C$3,$C$4,$C$6,$C$5,$C$7,AG$1,AG$2,$A164)</f>
        <v>0</v>
      </c>
      <c r="AH164" s="32">
        <f ca="1">_xll.DBRW($C$1,$C$2,$C$3,$C$4,$C$6,$C$5,$C$7,AH$1,AH$2,$A164)</f>
        <v>0</v>
      </c>
      <c r="AI164" s="32">
        <f ca="1">_xll.DBRW($C$1,$C$2,$C$3,$C$4,$C$6,$C$5,$C$7,AI$1,AI$2,$A164)</f>
        <v>0</v>
      </c>
      <c r="AJ164" s="32">
        <f ca="1">_xll.DBRW($C$1,$C$2,$C$3,$C$4,$C$6,$C$5,$C$7,AJ$1,AJ$2,$A164)</f>
        <v>0</v>
      </c>
      <c r="AK164" s="32">
        <f ca="1">_xll.DBRW($C$1,$C$2,$C$3,$C$4,$C$6,$C$5,$C$7,AK$1,AK$2,$A164)</f>
        <v>0</v>
      </c>
      <c r="AL164" s="32">
        <f ca="1">_xll.DBRW($C$1,$C$2,$C$3,$C$4,$C$6,$C$5,$C$7,AL$1,AL$2,$A164)</f>
        <v>0</v>
      </c>
      <c r="AM164" s="32">
        <f ca="1">_xll.DBRW($C$1,$C$2,$C$3,$C$4,$C$6,$C$5,$C$7,AM$1,AM$2,$A164)</f>
        <v>0</v>
      </c>
      <c r="AN164" s="32">
        <f ca="1">_xll.DBRW($C$1,$C$2,$C$3,$C$4,$C$6,$C$5,$C$7,AN$1,AN$2,$A164)</f>
        <v>0</v>
      </c>
      <c r="AO164" s="32">
        <f ca="1">_xll.DBRW($C$1,$C$2,$C$3,$C$4,$C$6,$C$5,$C$7,AO$1,AO$2,$A164)</f>
        <v>0</v>
      </c>
      <c r="AP164" s="32">
        <f ca="1">_xll.DBRW($C$1,$C$2,$C$3,$C$4,$C$6,$C$5,$C$7,AP$1,AP$2,$A164)</f>
        <v>0</v>
      </c>
      <c r="AQ164" s="32">
        <f ca="1">_xll.DBRW($C$1,$C$2,$C$3,$C$4,$C$6,$C$5,$C$7,AQ$1,AQ$2,$A164)</f>
        <v>0</v>
      </c>
      <c r="AR164" s="32">
        <f ca="1">_xll.DBRW($C$1,$C$2,$C$3,$C$4,$C$6,$C$5,$C$7,AR$1,AR$2,$A164)</f>
        <v>0</v>
      </c>
      <c r="AS164" s="32">
        <f ca="1">_xll.DBRW($C$1,$C$2,$C$3,$C$4,$C$6,$C$5,$C$7,AS$1,AS$2,$A164)</f>
        <v>0</v>
      </c>
      <c r="AT164" s="32">
        <f ca="1">_xll.DBRW($C$1,$C$2,$C$3,$C$4,$C$6,$C$5,$C$7,AT$1,AT$2,$A164)</f>
        <v>0</v>
      </c>
      <c r="AU164" s="32">
        <f ca="1">_xll.DBRW($C$1,$C$2,$C$3,$C$4,$C$6,$C$5,$C$7,AU$1,AU$2,$A164)</f>
        <v>0</v>
      </c>
    </row>
    <row r="165" spans="1:47" ht="15.75" hidden="1" customHeight="1" outlineLevel="2">
      <c r="A165" s="1" t="s">
        <v>244</v>
      </c>
      <c r="C165" s="141"/>
      <c r="E165" s="9" t="str">
        <f ca="1">_xll.DBRW(Server&amp;"}ElementAttributes_Indicator",A165,"code_English")</f>
        <v>PL1115_MI_12 - Subcontracting cleaning (MI)</v>
      </c>
      <c r="F165" s="32">
        <f ca="1">_xll.DBRW($C$1,$C$2,$C$3,$C$4,$C$6,$C$5,$C$7,F$1,F$2,$A165)</f>
        <v>0</v>
      </c>
      <c r="G165" s="32">
        <f ca="1">_xll.DBRW($C$1,$C$2,$C$3,$C$4,$C$6,$C$5,$C$7,G$1,G$2,$A165)</f>
        <v>0</v>
      </c>
      <c r="H165" s="32">
        <f ca="1">_xll.DBRW($C$1,$C$2,$C$3,$C$4,$C$6,$C$5,$C$7,H$1,H$2,$A165)</f>
        <v>0</v>
      </c>
      <c r="I165" s="32">
        <f ca="1">_xll.DBRW($C$1,$C$2,$C$3,$C$4,$C$6,$C$5,$C$7,I$1,I$2,$A165)</f>
        <v>0</v>
      </c>
      <c r="J165" s="32">
        <f ca="1">_xll.DBRW($C$1,$C$2,$C$3,$C$4,$C$6,$C$5,$C$7,J$1,J$2,$A165)</f>
        <v>0</v>
      </c>
      <c r="K165" s="32">
        <f ca="1">_xll.DBRW($C$1,$C$2,$C$3,$C$4,$C$6,$C$5,$C$7,K$1,K$2,$A165)</f>
        <v>0</v>
      </c>
      <c r="L165" s="32">
        <f ca="1">_xll.DBRW($C$1,$C$2,$C$3,$C$4,$C$6,$C$5,$C$7,L$1,L$2,$A165)</f>
        <v>0</v>
      </c>
      <c r="M165" s="32">
        <f ca="1">_xll.DBRW($C$1,$C$2,$C$3,$C$4,$C$6,$C$5,$C$7,M$1,M$2,$A165)</f>
        <v>0</v>
      </c>
      <c r="N165" s="32">
        <f ca="1">_xll.DBRW($C$1,$C$2,$C$3,$C$4,$C$6,$C$5,$C$7,N$1,N$2,$A165)</f>
        <v>0</v>
      </c>
      <c r="O165" s="32">
        <f ca="1">_xll.DBRW($C$1,$C$2,$C$3,$C$4,$C$6,$C$5,$C$7,O$1,O$2,$A165)</f>
        <v>0</v>
      </c>
      <c r="P165" s="32">
        <f ca="1">_xll.DBRW($C$1,$C$2,$C$3,$C$4,$C$6,$C$5,$C$7,P$1,P$2,$A165)</f>
        <v>0</v>
      </c>
      <c r="Q165" s="32">
        <f ca="1">_xll.DBRW($C$1,$C$2,$C$3,$C$4,$C$6,$C$5,$C$7,Q$1,Q$2,$A165)</f>
        <v>0</v>
      </c>
      <c r="R165" s="32">
        <f ca="1">_xll.DBRW($C$1,$C$2,$C$3,$C$4,$C$6,$C$5,$C$7,R$1,R$2,$A165)</f>
        <v>0</v>
      </c>
      <c r="S165" s="32">
        <f ca="1">_xll.DBRW($C$1,$C$2,$C$3,$C$4,$C$6,$C$5,$C$7,S$1,S$2,$A165)</f>
        <v>0</v>
      </c>
      <c r="T165" s="32">
        <f ca="1">_xll.DBRW($C$1,$C$2,$C$3,$C$4,$C$6,$C$5,$C$7,T$1,T$2,$A165)</f>
        <v>0</v>
      </c>
      <c r="U165" s="32">
        <f ca="1">_xll.DBRW($C$1,$C$2,$C$3,$C$4,$C$6,$C$5,$C$7,U$1,U$2,$A165)</f>
        <v>0</v>
      </c>
      <c r="V165" s="32">
        <f ca="1">_xll.DBRW($C$1,$C$2,$C$3,$C$4,$C$6,$C$5,$C$7,V$1,V$2,$A165)</f>
        <v>0</v>
      </c>
      <c r="W165" s="32">
        <f ca="1">_xll.DBRW($C$1,$C$2,$C$3,$C$4,$C$6,$C$5,$C$7,W$1,W$2,$A165)</f>
        <v>0</v>
      </c>
      <c r="X165" s="32">
        <f ca="1">_xll.DBRW($C$1,$C$2,$C$3,$C$4,$C$6,$C$5,$C$7,X$1,X$2,$A165)</f>
        <v>0</v>
      </c>
      <c r="Y165" s="32">
        <f ca="1">_xll.DBRW($C$1,$C$2,$C$3,$C$4,$C$6,$C$5,$C$7,Y$1,Y$2,$A165)</f>
        <v>0</v>
      </c>
      <c r="Z165" s="32">
        <f ca="1">_xll.DBRW($C$1,$C$2,$C$3,$C$4,$C$6,$C$5,$C$7,Z$1,Z$2,$A165)</f>
        <v>0</v>
      </c>
      <c r="AA165" s="32">
        <f ca="1">_xll.DBRW($C$1,$C$2,$C$3,$C$4,$C$6,$C$5,$C$7,AA$1,AA$2,$A165)</f>
        <v>0</v>
      </c>
      <c r="AB165" s="32">
        <f ca="1">_xll.DBRW($C$1,$C$2,$C$3,$C$4,$C$6,$C$5,$C$7,AB$1,AB$2,$A165)</f>
        <v>0</v>
      </c>
      <c r="AC165" s="32">
        <f ca="1">_xll.DBRW($C$1,$C$2,$C$3,$C$4,$C$6,$C$5,$C$7,AC$1,AC$2,$A165)</f>
        <v>0</v>
      </c>
      <c r="AD165" s="32">
        <f ca="1">_xll.DBRW($C$1,$C$2,$C$3,$C$4,$C$6,$C$5,$C$7,AD$1,AD$2,$A165)</f>
        <v>0</v>
      </c>
      <c r="AE165" s="32">
        <f ca="1">_xll.DBRW($C$1,$C$2,$C$3,$C$4,$C$6,$C$5,$C$7,AE$1,AE$2,$A165)</f>
        <v>0</v>
      </c>
      <c r="AF165" s="32">
        <f ca="1">_xll.DBRW($C$1,$C$2,$C$3,$C$4,$C$6,$C$5,$C$7,AF$1,AF$2,$A165)</f>
        <v>0</v>
      </c>
      <c r="AG165" s="32">
        <f ca="1">_xll.DBRW($C$1,$C$2,$C$3,$C$4,$C$6,$C$5,$C$7,AG$1,AG$2,$A165)</f>
        <v>0</v>
      </c>
      <c r="AH165" s="32">
        <f ca="1">_xll.DBRW($C$1,$C$2,$C$3,$C$4,$C$6,$C$5,$C$7,AH$1,AH$2,$A165)</f>
        <v>0</v>
      </c>
      <c r="AI165" s="32">
        <f ca="1">_xll.DBRW($C$1,$C$2,$C$3,$C$4,$C$6,$C$5,$C$7,AI$1,AI$2,$A165)</f>
        <v>0</v>
      </c>
      <c r="AJ165" s="32">
        <f ca="1">_xll.DBRW($C$1,$C$2,$C$3,$C$4,$C$6,$C$5,$C$7,AJ$1,AJ$2,$A165)</f>
        <v>0</v>
      </c>
      <c r="AK165" s="32">
        <f ca="1">_xll.DBRW($C$1,$C$2,$C$3,$C$4,$C$6,$C$5,$C$7,AK$1,AK$2,$A165)</f>
        <v>0</v>
      </c>
      <c r="AL165" s="32">
        <f ca="1">_xll.DBRW($C$1,$C$2,$C$3,$C$4,$C$6,$C$5,$C$7,AL$1,AL$2,$A165)</f>
        <v>0</v>
      </c>
      <c r="AM165" s="32">
        <f ca="1">_xll.DBRW($C$1,$C$2,$C$3,$C$4,$C$6,$C$5,$C$7,AM$1,AM$2,$A165)</f>
        <v>0</v>
      </c>
      <c r="AN165" s="32">
        <f ca="1">_xll.DBRW($C$1,$C$2,$C$3,$C$4,$C$6,$C$5,$C$7,AN$1,AN$2,$A165)</f>
        <v>0</v>
      </c>
      <c r="AO165" s="32">
        <f ca="1">_xll.DBRW($C$1,$C$2,$C$3,$C$4,$C$6,$C$5,$C$7,AO$1,AO$2,$A165)</f>
        <v>0</v>
      </c>
      <c r="AP165" s="32">
        <f ca="1">_xll.DBRW($C$1,$C$2,$C$3,$C$4,$C$6,$C$5,$C$7,AP$1,AP$2,$A165)</f>
        <v>0</v>
      </c>
      <c r="AQ165" s="32">
        <f ca="1">_xll.DBRW($C$1,$C$2,$C$3,$C$4,$C$6,$C$5,$C$7,AQ$1,AQ$2,$A165)</f>
        <v>0</v>
      </c>
      <c r="AR165" s="32">
        <f ca="1">_xll.DBRW($C$1,$C$2,$C$3,$C$4,$C$6,$C$5,$C$7,AR$1,AR$2,$A165)</f>
        <v>0</v>
      </c>
      <c r="AS165" s="32">
        <f ca="1">_xll.DBRW($C$1,$C$2,$C$3,$C$4,$C$6,$C$5,$C$7,AS$1,AS$2,$A165)</f>
        <v>0</v>
      </c>
      <c r="AT165" s="32">
        <f ca="1">_xll.DBRW($C$1,$C$2,$C$3,$C$4,$C$6,$C$5,$C$7,AT$1,AT$2,$A165)</f>
        <v>0</v>
      </c>
      <c r="AU165" s="32">
        <f ca="1">_xll.DBRW($C$1,$C$2,$C$3,$C$4,$C$6,$C$5,$C$7,AU$1,AU$2,$A165)</f>
        <v>0</v>
      </c>
    </row>
    <row r="166" spans="1:47" ht="15.75" hidden="1" customHeight="1" outlineLevel="2">
      <c r="A166" s="1" t="s">
        <v>245</v>
      </c>
      <c r="C166" s="141"/>
      <c r="E166" s="9" t="str">
        <f ca="1">_xll.DBRW(Server&amp;"}ElementAttributes_Indicator",A166,"code_English")</f>
        <v>PL1115_MI_11 - Subcontracting maintenance (MI)</v>
      </c>
      <c r="F166" s="32">
        <f ca="1">_xll.DBRW($C$1,$C$2,$C$3,$C$4,$C$6,$C$5,$C$7,F$1,F$2,$A166)</f>
        <v>0</v>
      </c>
      <c r="G166" s="32">
        <f ca="1">_xll.DBRW($C$1,$C$2,$C$3,$C$4,$C$6,$C$5,$C$7,G$1,G$2,$A166)</f>
        <v>0</v>
      </c>
      <c r="H166" s="32">
        <f ca="1">_xll.DBRW($C$1,$C$2,$C$3,$C$4,$C$6,$C$5,$C$7,H$1,H$2,$A166)</f>
        <v>0</v>
      </c>
      <c r="I166" s="32">
        <f ca="1">_xll.DBRW($C$1,$C$2,$C$3,$C$4,$C$6,$C$5,$C$7,I$1,I$2,$A166)</f>
        <v>0</v>
      </c>
      <c r="J166" s="32">
        <f ca="1">_xll.DBRW($C$1,$C$2,$C$3,$C$4,$C$6,$C$5,$C$7,J$1,J$2,$A166)</f>
        <v>0</v>
      </c>
      <c r="K166" s="32">
        <f ca="1">_xll.DBRW($C$1,$C$2,$C$3,$C$4,$C$6,$C$5,$C$7,K$1,K$2,$A166)</f>
        <v>0</v>
      </c>
      <c r="L166" s="32">
        <f ca="1">_xll.DBRW($C$1,$C$2,$C$3,$C$4,$C$6,$C$5,$C$7,L$1,L$2,$A166)</f>
        <v>0</v>
      </c>
      <c r="M166" s="32">
        <f ca="1">_xll.DBRW($C$1,$C$2,$C$3,$C$4,$C$6,$C$5,$C$7,M$1,M$2,$A166)</f>
        <v>0</v>
      </c>
      <c r="N166" s="32">
        <f ca="1">_xll.DBRW($C$1,$C$2,$C$3,$C$4,$C$6,$C$5,$C$7,N$1,N$2,$A166)</f>
        <v>0</v>
      </c>
      <c r="O166" s="32">
        <f ca="1">_xll.DBRW($C$1,$C$2,$C$3,$C$4,$C$6,$C$5,$C$7,O$1,O$2,$A166)</f>
        <v>0</v>
      </c>
      <c r="P166" s="32">
        <f ca="1">_xll.DBRW($C$1,$C$2,$C$3,$C$4,$C$6,$C$5,$C$7,P$1,P$2,$A166)</f>
        <v>0</v>
      </c>
      <c r="Q166" s="32">
        <f ca="1">_xll.DBRW($C$1,$C$2,$C$3,$C$4,$C$6,$C$5,$C$7,Q$1,Q$2,$A166)</f>
        <v>0</v>
      </c>
      <c r="R166" s="32">
        <f ca="1">_xll.DBRW($C$1,$C$2,$C$3,$C$4,$C$6,$C$5,$C$7,R$1,R$2,$A166)</f>
        <v>0</v>
      </c>
      <c r="S166" s="32">
        <f ca="1">_xll.DBRW($C$1,$C$2,$C$3,$C$4,$C$6,$C$5,$C$7,S$1,S$2,$A166)</f>
        <v>0</v>
      </c>
      <c r="T166" s="32">
        <f ca="1">_xll.DBRW($C$1,$C$2,$C$3,$C$4,$C$6,$C$5,$C$7,T$1,T$2,$A166)</f>
        <v>0</v>
      </c>
      <c r="U166" s="32">
        <f ca="1">_xll.DBRW($C$1,$C$2,$C$3,$C$4,$C$6,$C$5,$C$7,U$1,U$2,$A166)</f>
        <v>0</v>
      </c>
      <c r="V166" s="32">
        <f ca="1">_xll.DBRW($C$1,$C$2,$C$3,$C$4,$C$6,$C$5,$C$7,V$1,V$2,$A166)</f>
        <v>0</v>
      </c>
      <c r="W166" s="32">
        <f ca="1">_xll.DBRW($C$1,$C$2,$C$3,$C$4,$C$6,$C$5,$C$7,W$1,W$2,$A166)</f>
        <v>0</v>
      </c>
      <c r="X166" s="32">
        <f ca="1">_xll.DBRW($C$1,$C$2,$C$3,$C$4,$C$6,$C$5,$C$7,X$1,X$2,$A166)</f>
        <v>0</v>
      </c>
      <c r="Y166" s="32">
        <f ca="1">_xll.DBRW($C$1,$C$2,$C$3,$C$4,$C$6,$C$5,$C$7,Y$1,Y$2,$A166)</f>
        <v>0</v>
      </c>
      <c r="Z166" s="32">
        <f ca="1">_xll.DBRW($C$1,$C$2,$C$3,$C$4,$C$6,$C$5,$C$7,Z$1,Z$2,$A166)</f>
        <v>0</v>
      </c>
      <c r="AA166" s="32">
        <f ca="1">_xll.DBRW($C$1,$C$2,$C$3,$C$4,$C$6,$C$5,$C$7,AA$1,AA$2,$A166)</f>
        <v>0</v>
      </c>
      <c r="AB166" s="32">
        <f ca="1">_xll.DBRW($C$1,$C$2,$C$3,$C$4,$C$6,$C$5,$C$7,AB$1,AB$2,$A166)</f>
        <v>0</v>
      </c>
      <c r="AC166" s="32">
        <f ca="1">_xll.DBRW($C$1,$C$2,$C$3,$C$4,$C$6,$C$5,$C$7,AC$1,AC$2,$A166)</f>
        <v>0</v>
      </c>
      <c r="AD166" s="32">
        <f ca="1">_xll.DBRW($C$1,$C$2,$C$3,$C$4,$C$6,$C$5,$C$7,AD$1,AD$2,$A166)</f>
        <v>0</v>
      </c>
      <c r="AE166" s="32">
        <f ca="1">_xll.DBRW($C$1,$C$2,$C$3,$C$4,$C$6,$C$5,$C$7,AE$1,AE$2,$A166)</f>
        <v>0</v>
      </c>
      <c r="AF166" s="32">
        <f ca="1">_xll.DBRW($C$1,$C$2,$C$3,$C$4,$C$6,$C$5,$C$7,AF$1,AF$2,$A166)</f>
        <v>0</v>
      </c>
      <c r="AG166" s="32">
        <f ca="1">_xll.DBRW($C$1,$C$2,$C$3,$C$4,$C$6,$C$5,$C$7,AG$1,AG$2,$A166)</f>
        <v>0</v>
      </c>
      <c r="AH166" s="32">
        <f ca="1">_xll.DBRW($C$1,$C$2,$C$3,$C$4,$C$6,$C$5,$C$7,AH$1,AH$2,$A166)</f>
        <v>0</v>
      </c>
      <c r="AI166" s="32">
        <f ca="1">_xll.DBRW($C$1,$C$2,$C$3,$C$4,$C$6,$C$5,$C$7,AI$1,AI$2,$A166)</f>
        <v>0</v>
      </c>
      <c r="AJ166" s="32">
        <f ca="1">_xll.DBRW($C$1,$C$2,$C$3,$C$4,$C$6,$C$5,$C$7,AJ$1,AJ$2,$A166)</f>
        <v>0</v>
      </c>
      <c r="AK166" s="32">
        <f ca="1">_xll.DBRW($C$1,$C$2,$C$3,$C$4,$C$6,$C$5,$C$7,AK$1,AK$2,$A166)</f>
        <v>0</v>
      </c>
      <c r="AL166" s="32">
        <f ca="1">_xll.DBRW($C$1,$C$2,$C$3,$C$4,$C$6,$C$5,$C$7,AL$1,AL$2,$A166)</f>
        <v>0</v>
      </c>
      <c r="AM166" s="32">
        <f ca="1">_xll.DBRW($C$1,$C$2,$C$3,$C$4,$C$6,$C$5,$C$7,AM$1,AM$2,$A166)</f>
        <v>0</v>
      </c>
      <c r="AN166" s="32">
        <f ca="1">_xll.DBRW($C$1,$C$2,$C$3,$C$4,$C$6,$C$5,$C$7,AN$1,AN$2,$A166)</f>
        <v>0</v>
      </c>
      <c r="AO166" s="32">
        <f ca="1">_xll.DBRW($C$1,$C$2,$C$3,$C$4,$C$6,$C$5,$C$7,AO$1,AO$2,$A166)</f>
        <v>0</v>
      </c>
      <c r="AP166" s="32">
        <f ca="1">_xll.DBRW($C$1,$C$2,$C$3,$C$4,$C$6,$C$5,$C$7,AP$1,AP$2,$A166)</f>
        <v>0</v>
      </c>
      <c r="AQ166" s="32">
        <f ca="1">_xll.DBRW($C$1,$C$2,$C$3,$C$4,$C$6,$C$5,$C$7,AQ$1,AQ$2,$A166)</f>
        <v>0</v>
      </c>
      <c r="AR166" s="32">
        <f ca="1">_xll.DBRW($C$1,$C$2,$C$3,$C$4,$C$6,$C$5,$C$7,AR$1,AR$2,$A166)</f>
        <v>0</v>
      </c>
      <c r="AS166" s="32">
        <f ca="1">_xll.DBRW($C$1,$C$2,$C$3,$C$4,$C$6,$C$5,$C$7,AS$1,AS$2,$A166)</f>
        <v>0</v>
      </c>
      <c r="AT166" s="32">
        <f ca="1">_xll.DBRW($C$1,$C$2,$C$3,$C$4,$C$6,$C$5,$C$7,AT$1,AT$2,$A166)</f>
        <v>0</v>
      </c>
      <c r="AU166" s="32">
        <f ca="1">_xll.DBRW($C$1,$C$2,$C$3,$C$4,$C$6,$C$5,$C$7,AU$1,AU$2,$A166)</f>
        <v>0</v>
      </c>
    </row>
    <row r="167" spans="1:47" ht="15.75" hidden="1" customHeight="1" outlineLevel="2">
      <c r="A167" s="1" t="s">
        <v>246</v>
      </c>
      <c r="C167" s="141"/>
      <c r="E167" s="9" t="str">
        <f ca="1">_xll.DBRW(Server&amp;"}ElementAttributes_Indicator",A167,"code_English")</f>
        <v>PL1140_MI_10 - Amortization (MI)</v>
      </c>
      <c r="F167" s="32">
        <f ca="1">_xll.DBRW($C$1,$C$2,$C$3,$C$4,$C$6,$C$5,$C$7,F$1,F$2,$A167)</f>
        <v>0</v>
      </c>
      <c r="G167" s="32">
        <f ca="1">_xll.DBRW($C$1,$C$2,$C$3,$C$4,$C$6,$C$5,$C$7,G$1,G$2,$A167)</f>
        <v>0</v>
      </c>
      <c r="H167" s="32">
        <f ca="1">_xll.DBRW($C$1,$C$2,$C$3,$C$4,$C$6,$C$5,$C$7,H$1,H$2,$A167)</f>
        <v>0</v>
      </c>
      <c r="I167" s="32">
        <f ca="1">_xll.DBRW($C$1,$C$2,$C$3,$C$4,$C$6,$C$5,$C$7,I$1,I$2,$A167)</f>
        <v>0</v>
      </c>
      <c r="J167" s="32">
        <f ca="1">_xll.DBRW($C$1,$C$2,$C$3,$C$4,$C$6,$C$5,$C$7,J$1,J$2,$A167)</f>
        <v>0</v>
      </c>
      <c r="K167" s="32">
        <f ca="1">_xll.DBRW($C$1,$C$2,$C$3,$C$4,$C$6,$C$5,$C$7,K$1,K$2,$A167)</f>
        <v>0</v>
      </c>
      <c r="L167" s="32">
        <f ca="1">_xll.DBRW($C$1,$C$2,$C$3,$C$4,$C$6,$C$5,$C$7,L$1,L$2,$A167)</f>
        <v>0</v>
      </c>
      <c r="M167" s="32">
        <f ca="1">_xll.DBRW($C$1,$C$2,$C$3,$C$4,$C$6,$C$5,$C$7,M$1,M$2,$A167)</f>
        <v>0</v>
      </c>
      <c r="N167" s="32">
        <f ca="1">_xll.DBRW($C$1,$C$2,$C$3,$C$4,$C$6,$C$5,$C$7,N$1,N$2,$A167)</f>
        <v>0</v>
      </c>
      <c r="O167" s="32">
        <f ca="1">_xll.DBRW($C$1,$C$2,$C$3,$C$4,$C$6,$C$5,$C$7,O$1,O$2,$A167)</f>
        <v>0</v>
      </c>
      <c r="P167" s="32">
        <f ca="1">_xll.DBRW($C$1,$C$2,$C$3,$C$4,$C$6,$C$5,$C$7,P$1,P$2,$A167)</f>
        <v>0</v>
      </c>
      <c r="Q167" s="32">
        <f ca="1">_xll.DBRW($C$1,$C$2,$C$3,$C$4,$C$6,$C$5,$C$7,Q$1,Q$2,$A167)</f>
        <v>0</v>
      </c>
      <c r="R167" s="32">
        <f ca="1">_xll.DBRW($C$1,$C$2,$C$3,$C$4,$C$6,$C$5,$C$7,R$1,R$2,$A167)</f>
        <v>0</v>
      </c>
      <c r="S167" s="32">
        <f ca="1">_xll.DBRW($C$1,$C$2,$C$3,$C$4,$C$6,$C$5,$C$7,S$1,S$2,$A167)</f>
        <v>0</v>
      </c>
      <c r="T167" s="32">
        <f ca="1">_xll.DBRW($C$1,$C$2,$C$3,$C$4,$C$6,$C$5,$C$7,T$1,T$2,$A167)</f>
        <v>0</v>
      </c>
      <c r="U167" s="32">
        <f ca="1">_xll.DBRW($C$1,$C$2,$C$3,$C$4,$C$6,$C$5,$C$7,U$1,U$2,$A167)</f>
        <v>0</v>
      </c>
      <c r="V167" s="32">
        <f ca="1">_xll.DBRW($C$1,$C$2,$C$3,$C$4,$C$6,$C$5,$C$7,V$1,V$2,$A167)</f>
        <v>0</v>
      </c>
      <c r="W167" s="32">
        <f ca="1">_xll.DBRW($C$1,$C$2,$C$3,$C$4,$C$6,$C$5,$C$7,W$1,W$2,$A167)</f>
        <v>0</v>
      </c>
      <c r="X167" s="32">
        <f ca="1">_xll.DBRW($C$1,$C$2,$C$3,$C$4,$C$6,$C$5,$C$7,X$1,X$2,$A167)</f>
        <v>0</v>
      </c>
      <c r="Y167" s="32">
        <f ca="1">_xll.DBRW($C$1,$C$2,$C$3,$C$4,$C$6,$C$5,$C$7,Y$1,Y$2,$A167)</f>
        <v>0</v>
      </c>
      <c r="Z167" s="32">
        <f ca="1">_xll.DBRW($C$1,$C$2,$C$3,$C$4,$C$6,$C$5,$C$7,Z$1,Z$2,$A167)</f>
        <v>0</v>
      </c>
      <c r="AA167" s="32">
        <f ca="1">_xll.DBRW($C$1,$C$2,$C$3,$C$4,$C$6,$C$5,$C$7,AA$1,AA$2,$A167)</f>
        <v>0</v>
      </c>
      <c r="AB167" s="32">
        <f ca="1">_xll.DBRW($C$1,$C$2,$C$3,$C$4,$C$6,$C$5,$C$7,AB$1,AB$2,$A167)</f>
        <v>0</v>
      </c>
      <c r="AC167" s="32">
        <f ca="1">_xll.DBRW($C$1,$C$2,$C$3,$C$4,$C$6,$C$5,$C$7,AC$1,AC$2,$A167)</f>
        <v>0</v>
      </c>
      <c r="AD167" s="32">
        <f ca="1">_xll.DBRW($C$1,$C$2,$C$3,$C$4,$C$6,$C$5,$C$7,AD$1,AD$2,$A167)</f>
        <v>0</v>
      </c>
      <c r="AE167" s="32">
        <f ca="1">_xll.DBRW($C$1,$C$2,$C$3,$C$4,$C$6,$C$5,$C$7,AE$1,AE$2,$A167)</f>
        <v>0</v>
      </c>
      <c r="AF167" s="32">
        <f ca="1">_xll.DBRW($C$1,$C$2,$C$3,$C$4,$C$6,$C$5,$C$7,AF$1,AF$2,$A167)</f>
        <v>0</v>
      </c>
      <c r="AG167" s="32">
        <f ca="1">_xll.DBRW($C$1,$C$2,$C$3,$C$4,$C$6,$C$5,$C$7,AG$1,AG$2,$A167)</f>
        <v>0</v>
      </c>
      <c r="AH167" s="32">
        <f ca="1">_xll.DBRW($C$1,$C$2,$C$3,$C$4,$C$6,$C$5,$C$7,AH$1,AH$2,$A167)</f>
        <v>0</v>
      </c>
      <c r="AI167" s="32">
        <f ca="1">_xll.DBRW($C$1,$C$2,$C$3,$C$4,$C$6,$C$5,$C$7,AI$1,AI$2,$A167)</f>
        <v>0</v>
      </c>
      <c r="AJ167" s="32">
        <f ca="1">_xll.DBRW($C$1,$C$2,$C$3,$C$4,$C$6,$C$5,$C$7,AJ$1,AJ$2,$A167)</f>
        <v>0</v>
      </c>
      <c r="AK167" s="32">
        <f ca="1">_xll.DBRW($C$1,$C$2,$C$3,$C$4,$C$6,$C$5,$C$7,AK$1,AK$2,$A167)</f>
        <v>0</v>
      </c>
      <c r="AL167" s="32">
        <f ca="1">_xll.DBRW($C$1,$C$2,$C$3,$C$4,$C$6,$C$5,$C$7,AL$1,AL$2,$A167)</f>
        <v>0</v>
      </c>
      <c r="AM167" s="32">
        <f ca="1">_xll.DBRW($C$1,$C$2,$C$3,$C$4,$C$6,$C$5,$C$7,AM$1,AM$2,$A167)</f>
        <v>0</v>
      </c>
      <c r="AN167" s="32">
        <f ca="1">_xll.DBRW($C$1,$C$2,$C$3,$C$4,$C$6,$C$5,$C$7,AN$1,AN$2,$A167)</f>
        <v>0</v>
      </c>
      <c r="AO167" s="32">
        <f ca="1">_xll.DBRW($C$1,$C$2,$C$3,$C$4,$C$6,$C$5,$C$7,AO$1,AO$2,$A167)</f>
        <v>0</v>
      </c>
      <c r="AP167" s="32">
        <f ca="1">_xll.DBRW($C$1,$C$2,$C$3,$C$4,$C$6,$C$5,$C$7,AP$1,AP$2,$A167)</f>
        <v>0</v>
      </c>
      <c r="AQ167" s="32">
        <f ca="1">_xll.DBRW($C$1,$C$2,$C$3,$C$4,$C$6,$C$5,$C$7,AQ$1,AQ$2,$A167)</f>
        <v>0</v>
      </c>
      <c r="AR167" s="32">
        <f ca="1">_xll.DBRW($C$1,$C$2,$C$3,$C$4,$C$6,$C$5,$C$7,AR$1,AR$2,$A167)</f>
        <v>0</v>
      </c>
      <c r="AS167" s="32">
        <f ca="1">_xll.DBRW($C$1,$C$2,$C$3,$C$4,$C$6,$C$5,$C$7,AS$1,AS$2,$A167)</f>
        <v>0</v>
      </c>
      <c r="AT167" s="32">
        <f ca="1">_xll.DBRW($C$1,$C$2,$C$3,$C$4,$C$6,$C$5,$C$7,AT$1,AT$2,$A167)</f>
        <v>0</v>
      </c>
      <c r="AU167" s="32">
        <f ca="1">_xll.DBRW($C$1,$C$2,$C$3,$C$4,$C$6,$C$5,$C$7,AU$1,AU$2,$A167)</f>
        <v>0</v>
      </c>
    </row>
    <row r="168" spans="1:47" ht="15.75" hidden="1" customHeight="1" outlineLevel="2">
      <c r="A168" s="1" t="s">
        <v>247</v>
      </c>
      <c r="C168" s="141"/>
      <c r="E168" s="9" t="str">
        <f ca="1">_xll.DBRW(Server&amp;"}ElementAttributes_Indicator",A168,"code_English")</f>
        <v>PL1150_MI_10 - Impairment (other than working capital) and provisions - related to staff costs (MI)</v>
      </c>
      <c r="F168" s="32">
        <f ca="1">_xll.DBRW($C$1,$C$2,$C$3,$C$4,$C$6,$C$5,$C$7,F$1,F$2,$A168)</f>
        <v>0</v>
      </c>
      <c r="G168" s="32">
        <f ca="1">_xll.DBRW($C$1,$C$2,$C$3,$C$4,$C$6,$C$5,$C$7,G$1,G$2,$A168)</f>
        <v>0</v>
      </c>
      <c r="H168" s="32">
        <f ca="1">_xll.DBRW($C$1,$C$2,$C$3,$C$4,$C$6,$C$5,$C$7,H$1,H$2,$A168)</f>
        <v>0</v>
      </c>
      <c r="I168" s="32">
        <f ca="1">_xll.DBRW($C$1,$C$2,$C$3,$C$4,$C$6,$C$5,$C$7,I$1,I$2,$A168)</f>
        <v>0</v>
      </c>
      <c r="J168" s="32">
        <f ca="1">_xll.DBRW($C$1,$C$2,$C$3,$C$4,$C$6,$C$5,$C$7,J$1,J$2,$A168)</f>
        <v>0</v>
      </c>
      <c r="K168" s="32">
        <f ca="1">_xll.DBRW($C$1,$C$2,$C$3,$C$4,$C$6,$C$5,$C$7,K$1,K$2,$A168)</f>
        <v>0</v>
      </c>
      <c r="L168" s="32">
        <f ca="1">_xll.DBRW($C$1,$C$2,$C$3,$C$4,$C$6,$C$5,$C$7,L$1,L$2,$A168)</f>
        <v>0</v>
      </c>
      <c r="M168" s="32">
        <f ca="1">_xll.DBRW($C$1,$C$2,$C$3,$C$4,$C$6,$C$5,$C$7,M$1,M$2,$A168)</f>
        <v>0</v>
      </c>
      <c r="N168" s="32">
        <f ca="1">_xll.DBRW($C$1,$C$2,$C$3,$C$4,$C$6,$C$5,$C$7,N$1,N$2,$A168)</f>
        <v>0</v>
      </c>
      <c r="O168" s="32">
        <f ca="1">_xll.DBRW($C$1,$C$2,$C$3,$C$4,$C$6,$C$5,$C$7,O$1,O$2,$A168)</f>
        <v>0</v>
      </c>
      <c r="P168" s="32">
        <f ca="1">_xll.DBRW($C$1,$C$2,$C$3,$C$4,$C$6,$C$5,$C$7,P$1,P$2,$A168)</f>
        <v>0</v>
      </c>
      <c r="Q168" s="32">
        <f ca="1">_xll.DBRW($C$1,$C$2,$C$3,$C$4,$C$6,$C$5,$C$7,Q$1,Q$2,$A168)</f>
        <v>0</v>
      </c>
      <c r="R168" s="32">
        <f ca="1">_xll.DBRW($C$1,$C$2,$C$3,$C$4,$C$6,$C$5,$C$7,R$1,R$2,$A168)</f>
        <v>0</v>
      </c>
      <c r="S168" s="32">
        <f ca="1">_xll.DBRW($C$1,$C$2,$C$3,$C$4,$C$6,$C$5,$C$7,S$1,S$2,$A168)</f>
        <v>0</v>
      </c>
      <c r="T168" s="32">
        <f ca="1">_xll.DBRW($C$1,$C$2,$C$3,$C$4,$C$6,$C$5,$C$7,T$1,T$2,$A168)</f>
        <v>0</v>
      </c>
      <c r="U168" s="32">
        <f ca="1">_xll.DBRW($C$1,$C$2,$C$3,$C$4,$C$6,$C$5,$C$7,U$1,U$2,$A168)</f>
        <v>0</v>
      </c>
      <c r="V168" s="32">
        <f ca="1">_xll.DBRW($C$1,$C$2,$C$3,$C$4,$C$6,$C$5,$C$7,V$1,V$2,$A168)</f>
        <v>0</v>
      </c>
      <c r="W168" s="32">
        <f ca="1">_xll.DBRW($C$1,$C$2,$C$3,$C$4,$C$6,$C$5,$C$7,W$1,W$2,$A168)</f>
        <v>0</v>
      </c>
      <c r="X168" s="32">
        <f ca="1">_xll.DBRW($C$1,$C$2,$C$3,$C$4,$C$6,$C$5,$C$7,X$1,X$2,$A168)</f>
        <v>0</v>
      </c>
      <c r="Y168" s="32">
        <f ca="1">_xll.DBRW($C$1,$C$2,$C$3,$C$4,$C$6,$C$5,$C$7,Y$1,Y$2,$A168)</f>
        <v>0</v>
      </c>
      <c r="Z168" s="32">
        <f ca="1">_xll.DBRW($C$1,$C$2,$C$3,$C$4,$C$6,$C$5,$C$7,Z$1,Z$2,$A168)</f>
        <v>0</v>
      </c>
      <c r="AA168" s="32">
        <f ca="1">_xll.DBRW($C$1,$C$2,$C$3,$C$4,$C$6,$C$5,$C$7,AA$1,AA$2,$A168)</f>
        <v>0</v>
      </c>
      <c r="AB168" s="32">
        <f ca="1">_xll.DBRW($C$1,$C$2,$C$3,$C$4,$C$6,$C$5,$C$7,AB$1,AB$2,$A168)</f>
        <v>0</v>
      </c>
      <c r="AC168" s="32">
        <f ca="1">_xll.DBRW($C$1,$C$2,$C$3,$C$4,$C$6,$C$5,$C$7,AC$1,AC$2,$A168)</f>
        <v>0</v>
      </c>
      <c r="AD168" s="32">
        <f ca="1">_xll.DBRW($C$1,$C$2,$C$3,$C$4,$C$6,$C$5,$C$7,AD$1,AD$2,$A168)</f>
        <v>0</v>
      </c>
      <c r="AE168" s="32">
        <f ca="1">_xll.DBRW($C$1,$C$2,$C$3,$C$4,$C$6,$C$5,$C$7,AE$1,AE$2,$A168)</f>
        <v>0</v>
      </c>
      <c r="AF168" s="32">
        <f ca="1">_xll.DBRW($C$1,$C$2,$C$3,$C$4,$C$6,$C$5,$C$7,AF$1,AF$2,$A168)</f>
        <v>0</v>
      </c>
      <c r="AG168" s="32">
        <f ca="1">_xll.DBRW($C$1,$C$2,$C$3,$C$4,$C$6,$C$5,$C$7,AG$1,AG$2,$A168)</f>
        <v>0</v>
      </c>
      <c r="AH168" s="32">
        <f ca="1">_xll.DBRW($C$1,$C$2,$C$3,$C$4,$C$6,$C$5,$C$7,AH$1,AH$2,$A168)</f>
        <v>0</v>
      </c>
      <c r="AI168" s="32">
        <f ca="1">_xll.DBRW($C$1,$C$2,$C$3,$C$4,$C$6,$C$5,$C$7,AI$1,AI$2,$A168)</f>
        <v>0</v>
      </c>
      <c r="AJ168" s="32">
        <f ca="1">_xll.DBRW($C$1,$C$2,$C$3,$C$4,$C$6,$C$5,$C$7,AJ$1,AJ$2,$A168)</f>
        <v>0</v>
      </c>
      <c r="AK168" s="32">
        <f ca="1">_xll.DBRW($C$1,$C$2,$C$3,$C$4,$C$6,$C$5,$C$7,AK$1,AK$2,$A168)</f>
        <v>0</v>
      </c>
      <c r="AL168" s="32">
        <f ca="1">_xll.DBRW($C$1,$C$2,$C$3,$C$4,$C$6,$C$5,$C$7,AL$1,AL$2,$A168)</f>
        <v>0</v>
      </c>
      <c r="AM168" s="32">
        <f ca="1">_xll.DBRW($C$1,$C$2,$C$3,$C$4,$C$6,$C$5,$C$7,AM$1,AM$2,$A168)</f>
        <v>0</v>
      </c>
      <c r="AN168" s="32">
        <f ca="1">_xll.DBRW($C$1,$C$2,$C$3,$C$4,$C$6,$C$5,$C$7,AN$1,AN$2,$A168)</f>
        <v>0</v>
      </c>
      <c r="AO168" s="32">
        <f ca="1">_xll.DBRW($C$1,$C$2,$C$3,$C$4,$C$6,$C$5,$C$7,AO$1,AO$2,$A168)</f>
        <v>0</v>
      </c>
      <c r="AP168" s="32">
        <f ca="1">_xll.DBRW($C$1,$C$2,$C$3,$C$4,$C$6,$C$5,$C$7,AP$1,AP$2,$A168)</f>
        <v>0</v>
      </c>
      <c r="AQ168" s="32">
        <f ca="1">_xll.DBRW($C$1,$C$2,$C$3,$C$4,$C$6,$C$5,$C$7,AQ$1,AQ$2,$A168)</f>
        <v>0</v>
      </c>
      <c r="AR168" s="32">
        <f ca="1">_xll.DBRW($C$1,$C$2,$C$3,$C$4,$C$6,$C$5,$C$7,AR$1,AR$2,$A168)</f>
        <v>0</v>
      </c>
      <c r="AS168" s="32">
        <f ca="1">_xll.DBRW($C$1,$C$2,$C$3,$C$4,$C$6,$C$5,$C$7,AS$1,AS$2,$A168)</f>
        <v>0</v>
      </c>
      <c r="AT168" s="32">
        <f ca="1">_xll.DBRW($C$1,$C$2,$C$3,$C$4,$C$6,$C$5,$C$7,AT$1,AT$2,$A168)</f>
        <v>0</v>
      </c>
      <c r="AU168" s="32">
        <f ca="1">_xll.DBRW($C$1,$C$2,$C$3,$C$4,$C$6,$C$5,$C$7,AU$1,AU$2,$A168)</f>
        <v>0</v>
      </c>
    </row>
    <row r="169" spans="1:47" ht="15.75" hidden="1" outlineLevel="1">
      <c r="A169" s="1" t="s">
        <v>127</v>
      </c>
      <c r="C169" s="141"/>
      <c r="E169" s="15" t="s">
        <v>38</v>
      </c>
      <c r="F169" s="33">
        <f t="shared" ref="F169:T169" ca="1" si="78">SUM(F152:F168)</f>
        <v>-36314014.420000002</v>
      </c>
      <c r="G169" s="33">
        <f t="shared" ca="1" si="78"/>
        <v>-32590623.780000001</v>
      </c>
      <c r="H169" s="33">
        <f t="shared" ca="1" si="78"/>
        <v>-32939850.519000001</v>
      </c>
      <c r="I169" s="33">
        <f t="shared" ca="1" si="78"/>
        <v>-2403010.9699999997</v>
      </c>
      <c r="J169" s="33">
        <f t="shared" ca="1" si="78"/>
        <v>-5384015.9900000002</v>
      </c>
      <c r="K169" s="33">
        <f t="shared" ca="1" si="78"/>
        <v>-8047063.9699999997</v>
      </c>
      <c r="L169" s="33">
        <f t="shared" ca="1" si="78"/>
        <v>-11583648.039999999</v>
      </c>
      <c r="M169" s="33">
        <f t="shared" ca="1" si="78"/>
        <v>-14505027.699999999</v>
      </c>
      <c r="N169" s="33">
        <f t="shared" ca="1" si="78"/>
        <v>-17515044.07</v>
      </c>
      <c r="O169" s="33">
        <f t="shared" ca="1" si="78"/>
        <v>-17515044.07</v>
      </c>
      <c r="P169" s="33">
        <f t="shared" ca="1" si="78"/>
        <v>-17515044.07</v>
      </c>
      <c r="Q169" s="33">
        <f t="shared" ca="1" si="78"/>
        <v>-17515044.07</v>
      </c>
      <c r="R169" s="33">
        <f t="shared" ca="1" si="78"/>
        <v>-17515044.07</v>
      </c>
      <c r="S169" s="33">
        <f t="shared" ca="1" si="78"/>
        <v>-17515044.07</v>
      </c>
      <c r="T169" s="33">
        <f t="shared" ca="1" si="78"/>
        <v>-17515044.07</v>
      </c>
      <c r="U169" s="33">
        <f ca="1">SUM(U152:U168)</f>
        <v>-17515044.07</v>
      </c>
      <c r="V169" s="33">
        <f t="shared" ref="V169:AG169" ca="1" si="79">SUM(V152:V168)</f>
        <v>0</v>
      </c>
      <c r="W169" s="33">
        <f t="shared" ca="1" si="79"/>
        <v>0</v>
      </c>
      <c r="X169" s="33">
        <f t="shared" ca="1" si="79"/>
        <v>0</v>
      </c>
      <c r="Y169" s="33">
        <f t="shared" ca="1" si="79"/>
        <v>0</v>
      </c>
      <c r="Z169" s="33">
        <f t="shared" ca="1" si="79"/>
        <v>0</v>
      </c>
      <c r="AA169" s="33">
        <f t="shared" ca="1" si="79"/>
        <v>0</v>
      </c>
      <c r="AB169" s="33">
        <f t="shared" ca="1" si="79"/>
        <v>0</v>
      </c>
      <c r="AC169" s="33">
        <f t="shared" ca="1" si="79"/>
        <v>0</v>
      </c>
      <c r="AD169" s="33">
        <f t="shared" ca="1" si="79"/>
        <v>0</v>
      </c>
      <c r="AE169" s="33">
        <f t="shared" ca="1" si="79"/>
        <v>0</v>
      </c>
      <c r="AF169" s="33">
        <f t="shared" ca="1" si="79"/>
        <v>0</v>
      </c>
      <c r="AG169" s="33">
        <f t="shared" ca="1" si="79"/>
        <v>0</v>
      </c>
      <c r="AH169" s="33">
        <f ca="1">SUM(AH152:AH168)</f>
        <v>0</v>
      </c>
      <c r="AI169" s="33">
        <f t="shared" ref="AI169:AT169" ca="1" si="80">SUM(AI152:AI168)</f>
        <v>0</v>
      </c>
      <c r="AJ169" s="33">
        <f t="shared" ca="1" si="80"/>
        <v>0</v>
      </c>
      <c r="AK169" s="33">
        <f t="shared" ca="1" si="80"/>
        <v>0</v>
      </c>
      <c r="AL169" s="33">
        <f t="shared" ca="1" si="80"/>
        <v>0</v>
      </c>
      <c r="AM169" s="33">
        <f t="shared" ca="1" si="80"/>
        <v>0</v>
      </c>
      <c r="AN169" s="33">
        <f t="shared" ca="1" si="80"/>
        <v>0</v>
      </c>
      <c r="AO169" s="33">
        <f t="shared" ca="1" si="80"/>
        <v>0</v>
      </c>
      <c r="AP169" s="33">
        <f t="shared" ca="1" si="80"/>
        <v>0</v>
      </c>
      <c r="AQ169" s="33">
        <f t="shared" ca="1" si="80"/>
        <v>0</v>
      </c>
      <c r="AR169" s="33">
        <f t="shared" ca="1" si="80"/>
        <v>0</v>
      </c>
      <c r="AS169" s="33">
        <f t="shared" ca="1" si="80"/>
        <v>0</v>
      </c>
      <c r="AT169" s="33">
        <f t="shared" ca="1" si="80"/>
        <v>0</v>
      </c>
      <c r="AU169" s="33">
        <f ca="1">SUM(AU152:AU168)</f>
        <v>0</v>
      </c>
    </row>
    <row r="170" spans="1:47" ht="15.75" hidden="1" customHeight="1" outlineLevel="2">
      <c r="A170" s="1" t="s">
        <v>248</v>
      </c>
      <c r="C170" s="141"/>
      <c r="E170" s="9" t="str">
        <f ca="1">_xll.DBRW(Server&amp;"}ElementAttributes_Indicator",A170,"code_English")</f>
        <v>PL1100_AC - Capitalized production recognized as inventory, change in inventories (AC)</v>
      </c>
      <c r="F170" s="32">
        <f ca="1">_xll.DBRW($C$1,$C$2,$C$3,$C$4,$C$6,$C$5,$C$7,F$1,F$2,$A170)</f>
        <v>0</v>
      </c>
      <c r="G170" s="32">
        <f ca="1">_xll.DBRW($C$1,$C$2,$C$3,$C$4,$C$6,$C$5,$C$7,G$1,G$2,$A170)</f>
        <v>0</v>
      </c>
      <c r="H170" s="32">
        <f ca="1">_xll.DBRW($C$1,$C$2,$C$3,$C$4,$C$6,$C$5,$C$7,H$1,H$2,$A170)</f>
        <v>0</v>
      </c>
      <c r="I170" s="32">
        <f ca="1">_xll.DBRW($C$1,$C$2,$C$3,$C$4,$C$6,$C$5,$C$7,I$1,I$2,$A170)</f>
        <v>0</v>
      </c>
      <c r="J170" s="32">
        <f ca="1">_xll.DBRW($C$1,$C$2,$C$3,$C$4,$C$6,$C$5,$C$7,J$1,J$2,$A170)</f>
        <v>0</v>
      </c>
      <c r="K170" s="32">
        <f ca="1">_xll.DBRW($C$1,$C$2,$C$3,$C$4,$C$6,$C$5,$C$7,K$1,K$2,$A170)</f>
        <v>0</v>
      </c>
      <c r="L170" s="32">
        <f ca="1">_xll.DBRW($C$1,$C$2,$C$3,$C$4,$C$6,$C$5,$C$7,L$1,L$2,$A170)</f>
        <v>0</v>
      </c>
      <c r="M170" s="32">
        <f ca="1">_xll.DBRW($C$1,$C$2,$C$3,$C$4,$C$6,$C$5,$C$7,M$1,M$2,$A170)</f>
        <v>0</v>
      </c>
      <c r="N170" s="32">
        <f ca="1">_xll.DBRW($C$1,$C$2,$C$3,$C$4,$C$6,$C$5,$C$7,N$1,N$2,$A170)</f>
        <v>0</v>
      </c>
      <c r="O170" s="32">
        <f ca="1">_xll.DBRW($C$1,$C$2,$C$3,$C$4,$C$6,$C$5,$C$7,O$1,O$2,$A170)</f>
        <v>0</v>
      </c>
      <c r="P170" s="32">
        <f ca="1">_xll.DBRW($C$1,$C$2,$C$3,$C$4,$C$6,$C$5,$C$7,P$1,P$2,$A170)</f>
        <v>0</v>
      </c>
      <c r="Q170" s="32">
        <f ca="1">_xll.DBRW($C$1,$C$2,$C$3,$C$4,$C$6,$C$5,$C$7,Q$1,Q$2,$A170)</f>
        <v>0</v>
      </c>
      <c r="R170" s="32">
        <f ca="1">_xll.DBRW($C$1,$C$2,$C$3,$C$4,$C$6,$C$5,$C$7,R$1,R$2,$A170)</f>
        <v>0</v>
      </c>
      <c r="S170" s="32">
        <f ca="1">_xll.DBRW($C$1,$C$2,$C$3,$C$4,$C$6,$C$5,$C$7,S$1,S$2,$A170)</f>
        <v>0</v>
      </c>
      <c r="T170" s="32">
        <f ca="1">_xll.DBRW($C$1,$C$2,$C$3,$C$4,$C$6,$C$5,$C$7,T$1,T$2,$A170)</f>
        <v>0</v>
      </c>
      <c r="U170" s="32">
        <f ca="1">_xll.DBRW($C$1,$C$2,$C$3,$C$4,$C$6,$C$5,$C$7,U$1,U$2,$A170)</f>
        <v>0</v>
      </c>
      <c r="V170" s="32">
        <f ca="1">_xll.DBRW($C$1,$C$2,$C$3,$C$4,$C$6,$C$5,$C$7,V$1,V$2,$A170)</f>
        <v>0</v>
      </c>
      <c r="W170" s="32">
        <f ca="1">_xll.DBRW($C$1,$C$2,$C$3,$C$4,$C$6,$C$5,$C$7,W$1,W$2,$A170)</f>
        <v>0</v>
      </c>
      <c r="X170" s="32">
        <f ca="1">_xll.DBRW($C$1,$C$2,$C$3,$C$4,$C$6,$C$5,$C$7,X$1,X$2,$A170)</f>
        <v>0</v>
      </c>
      <c r="Y170" s="32">
        <f ca="1">_xll.DBRW($C$1,$C$2,$C$3,$C$4,$C$6,$C$5,$C$7,Y$1,Y$2,$A170)</f>
        <v>0</v>
      </c>
      <c r="Z170" s="32">
        <f ca="1">_xll.DBRW($C$1,$C$2,$C$3,$C$4,$C$6,$C$5,$C$7,Z$1,Z$2,$A170)</f>
        <v>0</v>
      </c>
      <c r="AA170" s="32">
        <f ca="1">_xll.DBRW($C$1,$C$2,$C$3,$C$4,$C$6,$C$5,$C$7,AA$1,AA$2,$A170)</f>
        <v>0</v>
      </c>
      <c r="AB170" s="32">
        <f ca="1">_xll.DBRW($C$1,$C$2,$C$3,$C$4,$C$6,$C$5,$C$7,AB$1,AB$2,$A170)</f>
        <v>0</v>
      </c>
      <c r="AC170" s="32">
        <f ca="1">_xll.DBRW($C$1,$C$2,$C$3,$C$4,$C$6,$C$5,$C$7,AC$1,AC$2,$A170)</f>
        <v>0</v>
      </c>
      <c r="AD170" s="32">
        <f ca="1">_xll.DBRW($C$1,$C$2,$C$3,$C$4,$C$6,$C$5,$C$7,AD$1,AD$2,$A170)</f>
        <v>0</v>
      </c>
      <c r="AE170" s="32">
        <f ca="1">_xll.DBRW($C$1,$C$2,$C$3,$C$4,$C$6,$C$5,$C$7,AE$1,AE$2,$A170)</f>
        <v>0</v>
      </c>
      <c r="AF170" s="32">
        <f ca="1">_xll.DBRW($C$1,$C$2,$C$3,$C$4,$C$6,$C$5,$C$7,AF$1,AF$2,$A170)</f>
        <v>0</v>
      </c>
      <c r="AG170" s="32">
        <f ca="1">_xll.DBRW($C$1,$C$2,$C$3,$C$4,$C$6,$C$5,$C$7,AG$1,AG$2,$A170)</f>
        <v>0</v>
      </c>
      <c r="AH170" s="32">
        <f ca="1">_xll.DBRW($C$1,$C$2,$C$3,$C$4,$C$6,$C$5,$C$7,AH$1,AH$2,$A170)</f>
        <v>0</v>
      </c>
      <c r="AI170" s="32">
        <f ca="1">_xll.DBRW($C$1,$C$2,$C$3,$C$4,$C$6,$C$5,$C$7,AI$1,AI$2,$A170)</f>
        <v>0</v>
      </c>
      <c r="AJ170" s="32">
        <f ca="1">_xll.DBRW($C$1,$C$2,$C$3,$C$4,$C$6,$C$5,$C$7,AJ$1,AJ$2,$A170)</f>
        <v>0</v>
      </c>
      <c r="AK170" s="32">
        <f ca="1">_xll.DBRW($C$1,$C$2,$C$3,$C$4,$C$6,$C$5,$C$7,AK$1,AK$2,$A170)</f>
        <v>0</v>
      </c>
      <c r="AL170" s="32">
        <f ca="1">_xll.DBRW($C$1,$C$2,$C$3,$C$4,$C$6,$C$5,$C$7,AL$1,AL$2,$A170)</f>
        <v>0</v>
      </c>
      <c r="AM170" s="32">
        <f ca="1">_xll.DBRW($C$1,$C$2,$C$3,$C$4,$C$6,$C$5,$C$7,AM$1,AM$2,$A170)</f>
        <v>0</v>
      </c>
      <c r="AN170" s="32">
        <f ca="1">_xll.DBRW($C$1,$C$2,$C$3,$C$4,$C$6,$C$5,$C$7,AN$1,AN$2,$A170)</f>
        <v>0</v>
      </c>
      <c r="AO170" s="32">
        <f ca="1">_xll.DBRW($C$1,$C$2,$C$3,$C$4,$C$6,$C$5,$C$7,AO$1,AO$2,$A170)</f>
        <v>0</v>
      </c>
      <c r="AP170" s="32">
        <f ca="1">_xll.DBRW($C$1,$C$2,$C$3,$C$4,$C$6,$C$5,$C$7,AP$1,AP$2,$A170)</f>
        <v>0</v>
      </c>
      <c r="AQ170" s="32">
        <f ca="1">_xll.DBRW($C$1,$C$2,$C$3,$C$4,$C$6,$C$5,$C$7,AQ$1,AQ$2,$A170)</f>
        <v>0</v>
      </c>
      <c r="AR170" s="32">
        <f ca="1">_xll.DBRW($C$1,$C$2,$C$3,$C$4,$C$6,$C$5,$C$7,AR$1,AR$2,$A170)</f>
        <v>0</v>
      </c>
      <c r="AS170" s="32">
        <f ca="1">_xll.DBRW($C$1,$C$2,$C$3,$C$4,$C$6,$C$5,$C$7,AS$1,AS$2,$A170)</f>
        <v>0</v>
      </c>
      <c r="AT170" s="32">
        <f ca="1">_xll.DBRW($C$1,$C$2,$C$3,$C$4,$C$6,$C$5,$C$7,AT$1,AT$2,$A170)</f>
        <v>0</v>
      </c>
      <c r="AU170" s="32">
        <f ca="1">_xll.DBRW($C$1,$C$2,$C$3,$C$4,$C$6,$C$5,$C$7,AU$1,AU$2,$A170)</f>
        <v>0</v>
      </c>
    </row>
    <row r="171" spans="1:47" ht="15.75" hidden="1" customHeight="1" outlineLevel="2">
      <c r="A171" s="1" t="s">
        <v>249</v>
      </c>
      <c r="C171" s="141"/>
      <c r="E171" s="9" t="str">
        <f ca="1">_xll.DBRW(Server&amp;"}ElementAttributes_Indicator",A171,"code_English")</f>
        <v>PL1110_AC_20 - Health insurance costs (COS)</v>
      </c>
      <c r="F171" s="32">
        <f ca="1">_xll.DBRW($C$1,$C$2,$C$3,$C$4,$C$6,$C$5,$C$7,F$1,F$2,$A171)</f>
        <v>0</v>
      </c>
      <c r="G171" s="32">
        <f ca="1">_xll.DBRW($C$1,$C$2,$C$3,$C$4,$C$6,$C$5,$C$7,G$1,G$2,$A171)</f>
        <v>0</v>
      </c>
      <c r="H171" s="32">
        <f ca="1">_xll.DBRW($C$1,$C$2,$C$3,$C$4,$C$6,$C$5,$C$7,H$1,H$2,$A171)</f>
        <v>0</v>
      </c>
      <c r="I171" s="32">
        <f ca="1">_xll.DBRW($C$1,$C$2,$C$3,$C$4,$C$6,$C$5,$C$7,I$1,I$2,$A171)</f>
        <v>0</v>
      </c>
      <c r="J171" s="32">
        <f ca="1">_xll.DBRW($C$1,$C$2,$C$3,$C$4,$C$6,$C$5,$C$7,J$1,J$2,$A171)</f>
        <v>0</v>
      </c>
      <c r="K171" s="32">
        <f ca="1">_xll.DBRW($C$1,$C$2,$C$3,$C$4,$C$6,$C$5,$C$7,K$1,K$2,$A171)</f>
        <v>0</v>
      </c>
      <c r="L171" s="32">
        <f ca="1">_xll.DBRW($C$1,$C$2,$C$3,$C$4,$C$6,$C$5,$C$7,L$1,L$2,$A171)</f>
        <v>0</v>
      </c>
      <c r="M171" s="32">
        <f ca="1">_xll.DBRW($C$1,$C$2,$C$3,$C$4,$C$6,$C$5,$C$7,M$1,M$2,$A171)</f>
        <v>0</v>
      </c>
      <c r="N171" s="32">
        <f ca="1">_xll.DBRW($C$1,$C$2,$C$3,$C$4,$C$6,$C$5,$C$7,N$1,N$2,$A171)</f>
        <v>0</v>
      </c>
      <c r="O171" s="32">
        <f ca="1">_xll.DBRW($C$1,$C$2,$C$3,$C$4,$C$6,$C$5,$C$7,O$1,O$2,$A171)</f>
        <v>0</v>
      </c>
      <c r="P171" s="32">
        <f ca="1">_xll.DBRW($C$1,$C$2,$C$3,$C$4,$C$6,$C$5,$C$7,P$1,P$2,$A171)</f>
        <v>0</v>
      </c>
      <c r="Q171" s="32">
        <f ca="1">_xll.DBRW($C$1,$C$2,$C$3,$C$4,$C$6,$C$5,$C$7,Q$1,Q$2,$A171)</f>
        <v>0</v>
      </c>
      <c r="R171" s="32">
        <f ca="1">_xll.DBRW($C$1,$C$2,$C$3,$C$4,$C$6,$C$5,$C$7,R$1,R$2,$A171)</f>
        <v>0</v>
      </c>
      <c r="S171" s="32">
        <f ca="1">_xll.DBRW($C$1,$C$2,$C$3,$C$4,$C$6,$C$5,$C$7,S$1,S$2,$A171)</f>
        <v>0</v>
      </c>
      <c r="T171" s="32">
        <f ca="1">_xll.DBRW($C$1,$C$2,$C$3,$C$4,$C$6,$C$5,$C$7,T$1,T$2,$A171)</f>
        <v>0</v>
      </c>
      <c r="U171" s="32">
        <f ca="1">_xll.DBRW($C$1,$C$2,$C$3,$C$4,$C$6,$C$5,$C$7,U$1,U$2,$A171)</f>
        <v>0</v>
      </c>
      <c r="V171" s="32">
        <f ca="1">_xll.DBRW($C$1,$C$2,$C$3,$C$4,$C$6,$C$5,$C$7,V$1,V$2,$A171)</f>
        <v>0</v>
      </c>
      <c r="W171" s="32">
        <f ca="1">_xll.DBRW($C$1,$C$2,$C$3,$C$4,$C$6,$C$5,$C$7,W$1,W$2,$A171)</f>
        <v>0</v>
      </c>
      <c r="X171" s="32">
        <f ca="1">_xll.DBRW($C$1,$C$2,$C$3,$C$4,$C$6,$C$5,$C$7,X$1,X$2,$A171)</f>
        <v>0</v>
      </c>
      <c r="Y171" s="32">
        <f ca="1">_xll.DBRW($C$1,$C$2,$C$3,$C$4,$C$6,$C$5,$C$7,Y$1,Y$2,$A171)</f>
        <v>0</v>
      </c>
      <c r="Z171" s="32">
        <f ca="1">_xll.DBRW($C$1,$C$2,$C$3,$C$4,$C$6,$C$5,$C$7,Z$1,Z$2,$A171)</f>
        <v>0</v>
      </c>
      <c r="AA171" s="32">
        <f ca="1">_xll.DBRW($C$1,$C$2,$C$3,$C$4,$C$6,$C$5,$C$7,AA$1,AA$2,$A171)</f>
        <v>0</v>
      </c>
      <c r="AB171" s="32">
        <f ca="1">_xll.DBRW($C$1,$C$2,$C$3,$C$4,$C$6,$C$5,$C$7,AB$1,AB$2,$A171)</f>
        <v>0</v>
      </c>
      <c r="AC171" s="32">
        <f ca="1">_xll.DBRW($C$1,$C$2,$C$3,$C$4,$C$6,$C$5,$C$7,AC$1,AC$2,$A171)</f>
        <v>0</v>
      </c>
      <c r="AD171" s="32">
        <f ca="1">_xll.DBRW($C$1,$C$2,$C$3,$C$4,$C$6,$C$5,$C$7,AD$1,AD$2,$A171)</f>
        <v>0</v>
      </c>
      <c r="AE171" s="32">
        <f ca="1">_xll.DBRW($C$1,$C$2,$C$3,$C$4,$C$6,$C$5,$C$7,AE$1,AE$2,$A171)</f>
        <v>0</v>
      </c>
      <c r="AF171" s="32">
        <f ca="1">_xll.DBRW($C$1,$C$2,$C$3,$C$4,$C$6,$C$5,$C$7,AF$1,AF$2,$A171)</f>
        <v>0</v>
      </c>
      <c r="AG171" s="32">
        <f ca="1">_xll.DBRW($C$1,$C$2,$C$3,$C$4,$C$6,$C$5,$C$7,AG$1,AG$2,$A171)</f>
        <v>0</v>
      </c>
      <c r="AH171" s="32">
        <f ca="1">_xll.DBRW($C$1,$C$2,$C$3,$C$4,$C$6,$C$5,$C$7,AH$1,AH$2,$A171)</f>
        <v>0</v>
      </c>
      <c r="AI171" s="32">
        <f ca="1">_xll.DBRW($C$1,$C$2,$C$3,$C$4,$C$6,$C$5,$C$7,AI$1,AI$2,$A171)</f>
        <v>0</v>
      </c>
      <c r="AJ171" s="32">
        <f ca="1">_xll.DBRW($C$1,$C$2,$C$3,$C$4,$C$6,$C$5,$C$7,AJ$1,AJ$2,$A171)</f>
        <v>0</v>
      </c>
      <c r="AK171" s="32">
        <f ca="1">_xll.DBRW($C$1,$C$2,$C$3,$C$4,$C$6,$C$5,$C$7,AK$1,AK$2,$A171)</f>
        <v>0</v>
      </c>
      <c r="AL171" s="32">
        <f ca="1">_xll.DBRW($C$1,$C$2,$C$3,$C$4,$C$6,$C$5,$C$7,AL$1,AL$2,$A171)</f>
        <v>0</v>
      </c>
      <c r="AM171" s="32">
        <f ca="1">_xll.DBRW($C$1,$C$2,$C$3,$C$4,$C$6,$C$5,$C$7,AM$1,AM$2,$A171)</f>
        <v>0</v>
      </c>
      <c r="AN171" s="32">
        <f ca="1">_xll.DBRW($C$1,$C$2,$C$3,$C$4,$C$6,$C$5,$C$7,AN$1,AN$2,$A171)</f>
        <v>0</v>
      </c>
      <c r="AO171" s="32">
        <f ca="1">_xll.DBRW($C$1,$C$2,$C$3,$C$4,$C$6,$C$5,$C$7,AO$1,AO$2,$A171)</f>
        <v>0</v>
      </c>
      <c r="AP171" s="32">
        <f ca="1">_xll.DBRW($C$1,$C$2,$C$3,$C$4,$C$6,$C$5,$C$7,AP$1,AP$2,$A171)</f>
        <v>0</v>
      </c>
      <c r="AQ171" s="32">
        <f ca="1">_xll.DBRW($C$1,$C$2,$C$3,$C$4,$C$6,$C$5,$C$7,AQ$1,AQ$2,$A171)</f>
        <v>0</v>
      </c>
      <c r="AR171" s="32">
        <f ca="1">_xll.DBRW($C$1,$C$2,$C$3,$C$4,$C$6,$C$5,$C$7,AR$1,AR$2,$A171)</f>
        <v>0</v>
      </c>
      <c r="AS171" s="32">
        <f ca="1">_xll.DBRW($C$1,$C$2,$C$3,$C$4,$C$6,$C$5,$C$7,AS$1,AS$2,$A171)</f>
        <v>0</v>
      </c>
      <c r="AT171" s="32">
        <f ca="1">_xll.DBRW($C$1,$C$2,$C$3,$C$4,$C$6,$C$5,$C$7,AT$1,AT$2,$A171)</f>
        <v>0</v>
      </c>
      <c r="AU171" s="32">
        <f ca="1">_xll.DBRW($C$1,$C$2,$C$3,$C$4,$C$6,$C$5,$C$7,AU$1,AU$2,$A171)</f>
        <v>0</v>
      </c>
    </row>
    <row r="172" spans="1:47" ht="15.75" hidden="1" customHeight="1" outlineLevel="2">
      <c r="A172" s="1" t="s">
        <v>250</v>
      </c>
      <c r="C172" s="141"/>
      <c r="E172" s="9" t="str">
        <f ca="1">_xll.DBRW(Server&amp;"}ElementAttributes_Indicator",A172,"code_English")</f>
        <v>PL1115_AC_65 - Others (AC)</v>
      </c>
      <c r="F172" s="32">
        <f ca="1">_xll.DBRW($C$1,$C$2,$C$3,$C$4,$C$6,$C$5,$C$7,F$1,F$2,$A172)</f>
        <v>-982134.34</v>
      </c>
      <c r="G172" s="32">
        <f ca="1">_xll.DBRW($C$1,$C$2,$C$3,$C$4,$C$6,$C$5,$C$7,G$1,G$2,$A172)</f>
        <v>-4201314.33</v>
      </c>
      <c r="H172" s="32">
        <f ca="1">_xll.DBRW($C$1,$C$2,$C$3,$C$4,$C$6,$C$5,$C$7,H$1,H$2,$A172)</f>
        <v>-13612579.85</v>
      </c>
      <c r="I172" s="32">
        <f ca="1">_xll.DBRW($C$1,$C$2,$C$3,$C$4,$C$6,$C$5,$C$7,I$1,I$2,$A172)</f>
        <v>-174120.09</v>
      </c>
      <c r="J172" s="32">
        <f ca="1">_xll.DBRW($C$1,$C$2,$C$3,$C$4,$C$6,$C$5,$C$7,J$1,J$2,$A172)</f>
        <v>-558256.09</v>
      </c>
      <c r="K172" s="32">
        <f ca="1">_xll.DBRW($C$1,$C$2,$C$3,$C$4,$C$6,$C$5,$C$7,K$1,K$2,$A172)</f>
        <v>-665669.84</v>
      </c>
      <c r="L172" s="32">
        <f ca="1">_xll.DBRW($C$1,$C$2,$C$3,$C$4,$C$6,$C$5,$C$7,L$1,L$2,$A172)</f>
        <v>-773653.42999999993</v>
      </c>
      <c r="M172" s="32">
        <f ca="1">_xll.DBRW($C$1,$C$2,$C$3,$C$4,$C$6,$C$5,$C$7,M$1,M$2,$A172)</f>
        <v>-595802.03999999992</v>
      </c>
      <c r="N172" s="32">
        <f ca="1">_xll.DBRW($C$1,$C$2,$C$3,$C$4,$C$6,$C$5,$C$7,N$1,N$2,$A172)</f>
        <v>-612819.30999999994</v>
      </c>
      <c r="O172" s="32">
        <f ca="1">_xll.DBRW($C$1,$C$2,$C$3,$C$4,$C$6,$C$5,$C$7,O$1,O$2,$A172)</f>
        <v>-612819.30999999994</v>
      </c>
      <c r="P172" s="32">
        <f ca="1">_xll.DBRW($C$1,$C$2,$C$3,$C$4,$C$6,$C$5,$C$7,P$1,P$2,$A172)</f>
        <v>-612819.30999999994</v>
      </c>
      <c r="Q172" s="32">
        <f ca="1">_xll.DBRW($C$1,$C$2,$C$3,$C$4,$C$6,$C$5,$C$7,Q$1,Q$2,$A172)</f>
        <v>-612819.30999999994</v>
      </c>
      <c r="R172" s="32">
        <f ca="1">_xll.DBRW($C$1,$C$2,$C$3,$C$4,$C$6,$C$5,$C$7,R$1,R$2,$A172)</f>
        <v>-612819.30999999994</v>
      </c>
      <c r="S172" s="32">
        <f ca="1">_xll.DBRW($C$1,$C$2,$C$3,$C$4,$C$6,$C$5,$C$7,S$1,S$2,$A172)</f>
        <v>-612819.30999999994</v>
      </c>
      <c r="T172" s="32">
        <f ca="1">_xll.DBRW($C$1,$C$2,$C$3,$C$4,$C$6,$C$5,$C$7,T$1,T$2,$A172)</f>
        <v>-612819.30999999994</v>
      </c>
      <c r="U172" s="32">
        <f ca="1">_xll.DBRW($C$1,$C$2,$C$3,$C$4,$C$6,$C$5,$C$7,U$1,U$2,$A172)</f>
        <v>-612819.30999999994</v>
      </c>
      <c r="V172" s="32">
        <f ca="1">_xll.DBRW($C$1,$C$2,$C$3,$C$4,$C$6,$C$5,$C$7,V$1,V$2,$A172)</f>
        <v>0</v>
      </c>
      <c r="W172" s="32">
        <f ca="1">_xll.DBRW($C$1,$C$2,$C$3,$C$4,$C$6,$C$5,$C$7,W$1,W$2,$A172)</f>
        <v>0</v>
      </c>
      <c r="X172" s="32">
        <f ca="1">_xll.DBRW($C$1,$C$2,$C$3,$C$4,$C$6,$C$5,$C$7,X$1,X$2,$A172)</f>
        <v>0</v>
      </c>
      <c r="Y172" s="32">
        <f ca="1">_xll.DBRW($C$1,$C$2,$C$3,$C$4,$C$6,$C$5,$C$7,Y$1,Y$2,$A172)</f>
        <v>0</v>
      </c>
      <c r="Z172" s="32">
        <f ca="1">_xll.DBRW($C$1,$C$2,$C$3,$C$4,$C$6,$C$5,$C$7,Z$1,Z$2,$A172)</f>
        <v>0</v>
      </c>
      <c r="AA172" s="32">
        <f ca="1">_xll.DBRW($C$1,$C$2,$C$3,$C$4,$C$6,$C$5,$C$7,AA$1,AA$2,$A172)</f>
        <v>0</v>
      </c>
      <c r="AB172" s="32">
        <f ca="1">_xll.DBRW($C$1,$C$2,$C$3,$C$4,$C$6,$C$5,$C$7,AB$1,AB$2,$A172)</f>
        <v>0</v>
      </c>
      <c r="AC172" s="32">
        <f ca="1">_xll.DBRW($C$1,$C$2,$C$3,$C$4,$C$6,$C$5,$C$7,AC$1,AC$2,$A172)</f>
        <v>0</v>
      </c>
      <c r="AD172" s="32">
        <f ca="1">_xll.DBRW($C$1,$C$2,$C$3,$C$4,$C$6,$C$5,$C$7,AD$1,AD$2,$A172)</f>
        <v>0</v>
      </c>
      <c r="AE172" s="32">
        <f ca="1">_xll.DBRW($C$1,$C$2,$C$3,$C$4,$C$6,$C$5,$C$7,AE$1,AE$2,$A172)</f>
        <v>0</v>
      </c>
      <c r="AF172" s="32">
        <f ca="1">_xll.DBRW($C$1,$C$2,$C$3,$C$4,$C$6,$C$5,$C$7,AF$1,AF$2,$A172)</f>
        <v>0</v>
      </c>
      <c r="AG172" s="32">
        <f ca="1">_xll.DBRW($C$1,$C$2,$C$3,$C$4,$C$6,$C$5,$C$7,AG$1,AG$2,$A172)</f>
        <v>0</v>
      </c>
      <c r="AH172" s="32">
        <f ca="1">_xll.DBRW($C$1,$C$2,$C$3,$C$4,$C$6,$C$5,$C$7,AH$1,AH$2,$A172)</f>
        <v>0</v>
      </c>
      <c r="AI172" s="32">
        <f ca="1">_xll.DBRW($C$1,$C$2,$C$3,$C$4,$C$6,$C$5,$C$7,AI$1,AI$2,$A172)</f>
        <v>0</v>
      </c>
      <c r="AJ172" s="32">
        <f ca="1">_xll.DBRW($C$1,$C$2,$C$3,$C$4,$C$6,$C$5,$C$7,AJ$1,AJ$2,$A172)</f>
        <v>0</v>
      </c>
      <c r="AK172" s="32">
        <f ca="1">_xll.DBRW($C$1,$C$2,$C$3,$C$4,$C$6,$C$5,$C$7,AK$1,AK$2,$A172)</f>
        <v>0</v>
      </c>
      <c r="AL172" s="32">
        <f ca="1">_xll.DBRW($C$1,$C$2,$C$3,$C$4,$C$6,$C$5,$C$7,AL$1,AL$2,$A172)</f>
        <v>0</v>
      </c>
      <c r="AM172" s="32">
        <f ca="1">_xll.DBRW($C$1,$C$2,$C$3,$C$4,$C$6,$C$5,$C$7,AM$1,AM$2,$A172)</f>
        <v>0</v>
      </c>
      <c r="AN172" s="32">
        <f ca="1">_xll.DBRW($C$1,$C$2,$C$3,$C$4,$C$6,$C$5,$C$7,AN$1,AN$2,$A172)</f>
        <v>0</v>
      </c>
      <c r="AO172" s="32">
        <f ca="1">_xll.DBRW($C$1,$C$2,$C$3,$C$4,$C$6,$C$5,$C$7,AO$1,AO$2,$A172)</f>
        <v>0</v>
      </c>
      <c r="AP172" s="32">
        <f ca="1">_xll.DBRW($C$1,$C$2,$C$3,$C$4,$C$6,$C$5,$C$7,AP$1,AP$2,$A172)</f>
        <v>0</v>
      </c>
      <c r="AQ172" s="32">
        <f ca="1">_xll.DBRW($C$1,$C$2,$C$3,$C$4,$C$6,$C$5,$C$7,AQ$1,AQ$2,$A172)</f>
        <v>0</v>
      </c>
      <c r="AR172" s="32">
        <f ca="1">_xll.DBRW($C$1,$C$2,$C$3,$C$4,$C$6,$C$5,$C$7,AR$1,AR$2,$A172)</f>
        <v>0</v>
      </c>
      <c r="AS172" s="32">
        <f ca="1">_xll.DBRW($C$1,$C$2,$C$3,$C$4,$C$6,$C$5,$C$7,AS$1,AS$2,$A172)</f>
        <v>0</v>
      </c>
      <c r="AT172" s="32">
        <f ca="1">_xll.DBRW($C$1,$C$2,$C$3,$C$4,$C$6,$C$5,$C$7,AT$1,AT$2,$A172)</f>
        <v>0</v>
      </c>
      <c r="AU172" s="32">
        <f ca="1">_xll.DBRW($C$1,$C$2,$C$3,$C$4,$C$6,$C$5,$C$7,AU$1,AU$2,$A172)</f>
        <v>0</v>
      </c>
    </row>
    <row r="173" spans="1:47" ht="15.75" hidden="1" customHeight="1" outlineLevel="2">
      <c r="A173" s="1" t="s">
        <v>251</v>
      </c>
      <c r="C173" s="141"/>
      <c r="E173" s="9" t="str">
        <f ca="1">_xll.DBRW(Server&amp;"}ElementAttributes_Indicator",A173,"code_English")</f>
        <v>PL1116_AC - COS - Lease expenses (AC)</v>
      </c>
      <c r="F173" s="32">
        <f ca="1">_xll.DBRW($C$1,$C$2,$C$3,$C$4,$C$6,$C$5,$C$7,F$1,F$2,$A173)</f>
        <v>0</v>
      </c>
      <c r="G173" s="32">
        <f ca="1">_xll.DBRW($C$1,$C$2,$C$3,$C$4,$C$6,$C$5,$C$7,G$1,G$2,$A173)</f>
        <v>0</v>
      </c>
      <c r="H173" s="32">
        <f ca="1">_xll.DBRW($C$1,$C$2,$C$3,$C$4,$C$6,$C$5,$C$7,H$1,H$2,$A173)</f>
        <v>0</v>
      </c>
      <c r="I173" s="32">
        <f ca="1">_xll.DBRW($C$1,$C$2,$C$3,$C$4,$C$6,$C$5,$C$7,I$1,I$2,$A173)</f>
        <v>0</v>
      </c>
      <c r="J173" s="32">
        <f ca="1">_xll.DBRW($C$1,$C$2,$C$3,$C$4,$C$6,$C$5,$C$7,J$1,J$2,$A173)</f>
        <v>0</v>
      </c>
      <c r="K173" s="32">
        <f ca="1">_xll.DBRW($C$1,$C$2,$C$3,$C$4,$C$6,$C$5,$C$7,K$1,K$2,$A173)</f>
        <v>0</v>
      </c>
      <c r="L173" s="32">
        <f ca="1">_xll.DBRW($C$1,$C$2,$C$3,$C$4,$C$6,$C$5,$C$7,L$1,L$2,$A173)</f>
        <v>0</v>
      </c>
      <c r="M173" s="32">
        <f ca="1">_xll.DBRW($C$1,$C$2,$C$3,$C$4,$C$6,$C$5,$C$7,M$1,M$2,$A173)</f>
        <v>0</v>
      </c>
      <c r="N173" s="32">
        <f ca="1">_xll.DBRW($C$1,$C$2,$C$3,$C$4,$C$6,$C$5,$C$7,N$1,N$2,$A173)</f>
        <v>0</v>
      </c>
      <c r="O173" s="32">
        <f ca="1">_xll.DBRW($C$1,$C$2,$C$3,$C$4,$C$6,$C$5,$C$7,O$1,O$2,$A173)</f>
        <v>0</v>
      </c>
      <c r="P173" s="32">
        <f ca="1">_xll.DBRW($C$1,$C$2,$C$3,$C$4,$C$6,$C$5,$C$7,P$1,P$2,$A173)</f>
        <v>0</v>
      </c>
      <c r="Q173" s="32">
        <f ca="1">_xll.DBRW($C$1,$C$2,$C$3,$C$4,$C$6,$C$5,$C$7,Q$1,Q$2,$A173)</f>
        <v>0</v>
      </c>
      <c r="R173" s="32">
        <f ca="1">_xll.DBRW($C$1,$C$2,$C$3,$C$4,$C$6,$C$5,$C$7,R$1,R$2,$A173)</f>
        <v>0</v>
      </c>
      <c r="S173" s="32">
        <f ca="1">_xll.DBRW($C$1,$C$2,$C$3,$C$4,$C$6,$C$5,$C$7,S$1,S$2,$A173)</f>
        <v>0</v>
      </c>
      <c r="T173" s="32">
        <f ca="1">_xll.DBRW($C$1,$C$2,$C$3,$C$4,$C$6,$C$5,$C$7,T$1,T$2,$A173)</f>
        <v>0</v>
      </c>
      <c r="U173" s="32">
        <f ca="1">_xll.DBRW($C$1,$C$2,$C$3,$C$4,$C$6,$C$5,$C$7,U$1,U$2,$A173)</f>
        <v>0</v>
      </c>
      <c r="V173" s="32">
        <f ca="1">_xll.DBRW($C$1,$C$2,$C$3,$C$4,$C$6,$C$5,$C$7,V$1,V$2,$A173)</f>
        <v>0</v>
      </c>
      <c r="W173" s="32">
        <f ca="1">_xll.DBRW($C$1,$C$2,$C$3,$C$4,$C$6,$C$5,$C$7,W$1,W$2,$A173)</f>
        <v>0</v>
      </c>
      <c r="X173" s="32">
        <f ca="1">_xll.DBRW($C$1,$C$2,$C$3,$C$4,$C$6,$C$5,$C$7,X$1,X$2,$A173)</f>
        <v>0</v>
      </c>
      <c r="Y173" s="32">
        <f ca="1">_xll.DBRW($C$1,$C$2,$C$3,$C$4,$C$6,$C$5,$C$7,Y$1,Y$2,$A173)</f>
        <v>0</v>
      </c>
      <c r="Z173" s="32">
        <f ca="1">_xll.DBRW($C$1,$C$2,$C$3,$C$4,$C$6,$C$5,$C$7,Z$1,Z$2,$A173)</f>
        <v>0</v>
      </c>
      <c r="AA173" s="32">
        <f ca="1">_xll.DBRW($C$1,$C$2,$C$3,$C$4,$C$6,$C$5,$C$7,AA$1,AA$2,$A173)</f>
        <v>0</v>
      </c>
      <c r="AB173" s="32">
        <f ca="1">_xll.DBRW($C$1,$C$2,$C$3,$C$4,$C$6,$C$5,$C$7,AB$1,AB$2,$A173)</f>
        <v>0</v>
      </c>
      <c r="AC173" s="32">
        <f ca="1">_xll.DBRW($C$1,$C$2,$C$3,$C$4,$C$6,$C$5,$C$7,AC$1,AC$2,$A173)</f>
        <v>0</v>
      </c>
      <c r="AD173" s="32">
        <f ca="1">_xll.DBRW($C$1,$C$2,$C$3,$C$4,$C$6,$C$5,$C$7,AD$1,AD$2,$A173)</f>
        <v>0</v>
      </c>
      <c r="AE173" s="32">
        <f ca="1">_xll.DBRW($C$1,$C$2,$C$3,$C$4,$C$6,$C$5,$C$7,AE$1,AE$2,$A173)</f>
        <v>0</v>
      </c>
      <c r="AF173" s="32">
        <f ca="1">_xll.DBRW($C$1,$C$2,$C$3,$C$4,$C$6,$C$5,$C$7,AF$1,AF$2,$A173)</f>
        <v>0</v>
      </c>
      <c r="AG173" s="32">
        <f ca="1">_xll.DBRW($C$1,$C$2,$C$3,$C$4,$C$6,$C$5,$C$7,AG$1,AG$2,$A173)</f>
        <v>0</v>
      </c>
      <c r="AH173" s="32">
        <f ca="1">_xll.DBRW($C$1,$C$2,$C$3,$C$4,$C$6,$C$5,$C$7,AH$1,AH$2,$A173)</f>
        <v>0</v>
      </c>
      <c r="AI173" s="32">
        <f ca="1">_xll.DBRW($C$1,$C$2,$C$3,$C$4,$C$6,$C$5,$C$7,AI$1,AI$2,$A173)</f>
        <v>0</v>
      </c>
      <c r="AJ173" s="32">
        <f ca="1">_xll.DBRW($C$1,$C$2,$C$3,$C$4,$C$6,$C$5,$C$7,AJ$1,AJ$2,$A173)</f>
        <v>0</v>
      </c>
      <c r="AK173" s="32">
        <f ca="1">_xll.DBRW($C$1,$C$2,$C$3,$C$4,$C$6,$C$5,$C$7,AK$1,AK$2,$A173)</f>
        <v>0</v>
      </c>
      <c r="AL173" s="32">
        <f ca="1">_xll.DBRW($C$1,$C$2,$C$3,$C$4,$C$6,$C$5,$C$7,AL$1,AL$2,$A173)</f>
        <v>0</v>
      </c>
      <c r="AM173" s="32">
        <f ca="1">_xll.DBRW($C$1,$C$2,$C$3,$C$4,$C$6,$C$5,$C$7,AM$1,AM$2,$A173)</f>
        <v>0</v>
      </c>
      <c r="AN173" s="32">
        <f ca="1">_xll.DBRW($C$1,$C$2,$C$3,$C$4,$C$6,$C$5,$C$7,AN$1,AN$2,$A173)</f>
        <v>0</v>
      </c>
      <c r="AO173" s="32">
        <f ca="1">_xll.DBRW($C$1,$C$2,$C$3,$C$4,$C$6,$C$5,$C$7,AO$1,AO$2,$A173)</f>
        <v>0</v>
      </c>
      <c r="AP173" s="32">
        <f ca="1">_xll.DBRW($C$1,$C$2,$C$3,$C$4,$C$6,$C$5,$C$7,AP$1,AP$2,$A173)</f>
        <v>0</v>
      </c>
      <c r="AQ173" s="32">
        <f ca="1">_xll.DBRW($C$1,$C$2,$C$3,$C$4,$C$6,$C$5,$C$7,AQ$1,AQ$2,$A173)</f>
        <v>0</v>
      </c>
      <c r="AR173" s="32">
        <f ca="1">_xll.DBRW($C$1,$C$2,$C$3,$C$4,$C$6,$C$5,$C$7,AR$1,AR$2,$A173)</f>
        <v>0</v>
      </c>
      <c r="AS173" s="32">
        <f ca="1">_xll.DBRW($C$1,$C$2,$C$3,$C$4,$C$6,$C$5,$C$7,AS$1,AS$2,$A173)</f>
        <v>0</v>
      </c>
      <c r="AT173" s="32">
        <f ca="1">_xll.DBRW($C$1,$C$2,$C$3,$C$4,$C$6,$C$5,$C$7,AT$1,AT$2,$A173)</f>
        <v>0</v>
      </c>
      <c r="AU173" s="32">
        <f ca="1">_xll.DBRW($C$1,$C$2,$C$3,$C$4,$C$6,$C$5,$C$7,AU$1,AU$2,$A173)</f>
        <v>0</v>
      </c>
    </row>
    <row r="174" spans="1:47" ht="15.75" hidden="1" customHeight="1" outlineLevel="2">
      <c r="A174" s="1" t="s">
        <v>252</v>
      </c>
      <c r="C174" s="141"/>
      <c r="E174" s="9" t="str">
        <f ca="1">_xll.DBRW(Server&amp;"}ElementAttributes_Indicator",A174,"code_English")</f>
        <v>PL1126_AC - Replacement and maintenance expenses (AC)</v>
      </c>
      <c r="F174" s="32">
        <f ca="1">_xll.DBRW($C$1,$C$2,$C$3,$C$4,$C$6,$C$5,$C$7,F$1,F$2,$A174)</f>
        <v>0</v>
      </c>
      <c r="G174" s="32">
        <f ca="1">_xll.DBRW($C$1,$C$2,$C$3,$C$4,$C$6,$C$5,$C$7,G$1,G$2,$A174)</f>
        <v>0</v>
      </c>
      <c r="H174" s="32">
        <f ca="1">_xll.DBRW($C$1,$C$2,$C$3,$C$4,$C$6,$C$5,$C$7,H$1,H$2,$A174)</f>
        <v>0</v>
      </c>
      <c r="I174" s="32">
        <f ca="1">_xll.DBRW($C$1,$C$2,$C$3,$C$4,$C$6,$C$5,$C$7,I$1,I$2,$A174)</f>
        <v>0</v>
      </c>
      <c r="J174" s="32">
        <f ca="1">_xll.DBRW($C$1,$C$2,$C$3,$C$4,$C$6,$C$5,$C$7,J$1,J$2,$A174)</f>
        <v>0</v>
      </c>
      <c r="K174" s="32">
        <f ca="1">_xll.DBRW($C$1,$C$2,$C$3,$C$4,$C$6,$C$5,$C$7,K$1,K$2,$A174)</f>
        <v>0</v>
      </c>
      <c r="L174" s="32">
        <f ca="1">_xll.DBRW($C$1,$C$2,$C$3,$C$4,$C$6,$C$5,$C$7,L$1,L$2,$A174)</f>
        <v>0</v>
      </c>
      <c r="M174" s="32">
        <f ca="1">_xll.DBRW($C$1,$C$2,$C$3,$C$4,$C$6,$C$5,$C$7,M$1,M$2,$A174)</f>
        <v>0</v>
      </c>
      <c r="N174" s="32">
        <f ca="1">_xll.DBRW($C$1,$C$2,$C$3,$C$4,$C$6,$C$5,$C$7,N$1,N$2,$A174)</f>
        <v>0</v>
      </c>
      <c r="O174" s="32">
        <f ca="1">_xll.DBRW($C$1,$C$2,$C$3,$C$4,$C$6,$C$5,$C$7,O$1,O$2,$A174)</f>
        <v>0</v>
      </c>
      <c r="P174" s="32">
        <f ca="1">_xll.DBRW($C$1,$C$2,$C$3,$C$4,$C$6,$C$5,$C$7,P$1,P$2,$A174)</f>
        <v>0</v>
      </c>
      <c r="Q174" s="32">
        <f ca="1">_xll.DBRW($C$1,$C$2,$C$3,$C$4,$C$6,$C$5,$C$7,Q$1,Q$2,$A174)</f>
        <v>0</v>
      </c>
      <c r="R174" s="32">
        <f ca="1">_xll.DBRW($C$1,$C$2,$C$3,$C$4,$C$6,$C$5,$C$7,R$1,R$2,$A174)</f>
        <v>0</v>
      </c>
      <c r="S174" s="32">
        <f ca="1">_xll.DBRW($C$1,$C$2,$C$3,$C$4,$C$6,$C$5,$C$7,S$1,S$2,$A174)</f>
        <v>0</v>
      </c>
      <c r="T174" s="32">
        <f ca="1">_xll.DBRW($C$1,$C$2,$C$3,$C$4,$C$6,$C$5,$C$7,T$1,T$2,$A174)</f>
        <v>0</v>
      </c>
      <c r="U174" s="32">
        <f ca="1">_xll.DBRW($C$1,$C$2,$C$3,$C$4,$C$6,$C$5,$C$7,U$1,U$2,$A174)</f>
        <v>0</v>
      </c>
      <c r="V174" s="32">
        <f ca="1">_xll.DBRW($C$1,$C$2,$C$3,$C$4,$C$6,$C$5,$C$7,V$1,V$2,$A174)</f>
        <v>0</v>
      </c>
      <c r="W174" s="32">
        <f ca="1">_xll.DBRW($C$1,$C$2,$C$3,$C$4,$C$6,$C$5,$C$7,W$1,W$2,$A174)</f>
        <v>0</v>
      </c>
      <c r="X174" s="32">
        <f ca="1">_xll.DBRW($C$1,$C$2,$C$3,$C$4,$C$6,$C$5,$C$7,X$1,X$2,$A174)</f>
        <v>0</v>
      </c>
      <c r="Y174" s="32">
        <f ca="1">_xll.DBRW($C$1,$C$2,$C$3,$C$4,$C$6,$C$5,$C$7,Y$1,Y$2,$A174)</f>
        <v>0</v>
      </c>
      <c r="Z174" s="32">
        <f ca="1">_xll.DBRW($C$1,$C$2,$C$3,$C$4,$C$6,$C$5,$C$7,Z$1,Z$2,$A174)</f>
        <v>0</v>
      </c>
      <c r="AA174" s="32">
        <f ca="1">_xll.DBRW($C$1,$C$2,$C$3,$C$4,$C$6,$C$5,$C$7,AA$1,AA$2,$A174)</f>
        <v>0</v>
      </c>
      <c r="AB174" s="32">
        <f ca="1">_xll.DBRW($C$1,$C$2,$C$3,$C$4,$C$6,$C$5,$C$7,AB$1,AB$2,$A174)</f>
        <v>0</v>
      </c>
      <c r="AC174" s="32">
        <f ca="1">_xll.DBRW($C$1,$C$2,$C$3,$C$4,$C$6,$C$5,$C$7,AC$1,AC$2,$A174)</f>
        <v>0</v>
      </c>
      <c r="AD174" s="32">
        <f ca="1">_xll.DBRW($C$1,$C$2,$C$3,$C$4,$C$6,$C$5,$C$7,AD$1,AD$2,$A174)</f>
        <v>0</v>
      </c>
      <c r="AE174" s="32">
        <f ca="1">_xll.DBRW($C$1,$C$2,$C$3,$C$4,$C$6,$C$5,$C$7,AE$1,AE$2,$A174)</f>
        <v>0</v>
      </c>
      <c r="AF174" s="32">
        <f ca="1">_xll.DBRW($C$1,$C$2,$C$3,$C$4,$C$6,$C$5,$C$7,AF$1,AF$2,$A174)</f>
        <v>0</v>
      </c>
      <c r="AG174" s="32">
        <f ca="1">_xll.DBRW($C$1,$C$2,$C$3,$C$4,$C$6,$C$5,$C$7,AG$1,AG$2,$A174)</f>
        <v>0</v>
      </c>
      <c r="AH174" s="32">
        <f ca="1">_xll.DBRW($C$1,$C$2,$C$3,$C$4,$C$6,$C$5,$C$7,AH$1,AH$2,$A174)</f>
        <v>0</v>
      </c>
      <c r="AI174" s="32">
        <f ca="1">_xll.DBRW($C$1,$C$2,$C$3,$C$4,$C$6,$C$5,$C$7,AI$1,AI$2,$A174)</f>
        <v>0</v>
      </c>
      <c r="AJ174" s="32">
        <f ca="1">_xll.DBRW($C$1,$C$2,$C$3,$C$4,$C$6,$C$5,$C$7,AJ$1,AJ$2,$A174)</f>
        <v>0</v>
      </c>
      <c r="AK174" s="32">
        <f ca="1">_xll.DBRW($C$1,$C$2,$C$3,$C$4,$C$6,$C$5,$C$7,AK$1,AK$2,$A174)</f>
        <v>0</v>
      </c>
      <c r="AL174" s="32">
        <f ca="1">_xll.DBRW($C$1,$C$2,$C$3,$C$4,$C$6,$C$5,$C$7,AL$1,AL$2,$A174)</f>
        <v>0</v>
      </c>
      <c r="AM174" s="32">
        <f ca="1">_xll.DBRW($C$1,$C$2,$C$3,$C$4,$C$6,$C$5,$C$7,AM$1,AM$2,$A174)</f>
        <v>0</v>
      </c>
      <c r="AN174" s="32">
        <f ca="1">_xll.DBRW($C$1,$C$2,$C$3,$C$4,$C$6,$C$5,$C$7,AN$1,AN$2,$A174)</f>
        <v>0</v>
      </c>
      <c r="AO174" s="32">
        <f ca="1">_xll.DBRW($C$1,$C$2,$C$3,$C$4,$C$6,$C$5,$C$7,AO$1,AO$2,$A174)</f>
        <v>0</v>
      </c>
      <c r="AP174" s="32">
        <f ca="1">_xll.DBRW($C$1,$C$2,$C$3,$C$4,$C$6,$C$5,$C$7,AP$1,AP$2,$A174)</f>
        <v>0</v>
      </c>
      <c r="AQ174" s="32">
        <f ca="1">_xll.DBRW($C$1,$C$2,$C$3,$C$4,$C$6,$C$5,$C$7,AQ$1,AQ$2,$A174)</f>
        <v>0</v>
      </c>
      <c r="AR174" s="32">
        <f ca="1">_xll.DBRW($C$1,$C$2,$C$3,$C$4,$C$6,$C$5,$C$7,AR$1,AR$2,$A174)</f>
        <v>0</v>
      </c>
      <c r="AS174" s="32">
        <f ca="1">_xll.DBRW($C$1,$C$2,$C$3,$C$4,$C$6,$C$5,$C$7,AS$1,AS$2,$A174)</f>
        <v>0</v>
      </c>
      <c r="AT174" s="32">
        <f ca="1">_xll.DBRW($C$1,$C$2,$C$3,$C$4,$C$6,$C$5,$C$7,AT$1,AT$2,$A174)</f>
        <v>0</v>
      </c>
      <c r="AU174" s="32">
        <f ca="1">_xll.DBRW($C$1,$C$2,$C$3,$C$4,$C$6,$C$5,$C$7,AU$1,AU$2,$A174)</f>
        <v>0</v>
      </c>
    </row>
    <row r="175" spans="1:47" ht="15.75" hidden="1" customHeight="1" outlineLevel="2">
      <c r="A175" s="1" t="s">
        <v>253</v>
      </c>
      <c r="C175" s="141"/>
      <c r="E175" s="9" t="str">
        <f ca="1">_xll.DBRW(Server&amp;"}ElementAttributes_Indicator",A175,"code_English")</f>
        <v>PL1140_AC_10 - Amortization (AC)</v>
      </c>
      <c r="F175" s="32">
        <f ca="1">_xll.DBRW($C$1,$C$2,$C$3,$C$4,$C$6,$C$5,$C$7,F$1,F$2,$A175)</f>
        <v>0</v>
      </c>
      <c r="G175" s="32">
        <f ca="1">_xll.DBRW($C$1,$C$2,$C$3,$C$4,$C$6,$C$5,$C$7,G$1,G$2,$A175)</f>
        <v>0</v>
      </c>
      <c r="H175" s="32">
        <f ca="1">_xll.DBRW($C$1,$C$2,$C$3,$C$4,$C$6,$C$5,$C$7,H$1,H$2,$A175)</f>
        <v>0</v>
      </c>
      <c r="I175" s="32">
        <f ca="1">_xll.DBRW($C$1,$C$2,$C$3,$C$4,$C$6,$C$5,$C$7,I$1,I$2,$A175)</f>
        <v>0</v>
      </c>
      <c r="J175" s="32">
        <f ca="1">_xll.DBRW($C$1,$C$2,$C$3,$C$4,$C$6,$C$5,$C$7,J$1,J$2,$A175)</f>
        <v>0</v>
      </c>
      <c r="K175" s="32">
        <f ca="1">_xll.DBRW($C$1,$C$2,$C$3,$C$4,$C$6,$C$5,$C$7,K$1,K$2,$A175)</f>
        <v>0</v>
      </c>
      <c r="L175" s="32">
        <f ca="1">_xll.DBRW($C$1,$C$2,$C$3,$C$4,$C$6,$C$5,$C$7,L$1,L$2,$A175)</f>
        <v>0</v>
      </c>
      <c r="M175" s="32">
        <f ca="1">_xll.DBRW($C$1,$C$2,$C$3,$C$4,$C$6,$C$5,$C$7,M$1,M$2,$A175)</f>
        <v>0</v>
      </c>
      <c r="N175" s="32">
        <f ca="1">_xll.DBRW($C$1,$C$2,$C$3,$C$4,$C$6,$C$5,$C$7,N$1,N$2,$A175)</f>
        <v>0</v>
      </c>
      <c r="O175" s="32">
        <f ca="1">_xll.DBRW($C$1,$C$2,$C$3,$C$4,$C$6,$C$5,$C$7,O$1,O$2,$A175)</f>
        <v>0</v>
      </c>
      <c r="P175" s="32">
        <f ca="1">_xll.DBRW($C$1,$C$2,$C$3,$C$4,$C$6,$C$5,$C$7,P$1,P$2,$A175)</f>
        <v>0</v>
      </c>
      <c r="Q175" s="32">
        <f ca="1">_xll.DBRW($C$1,$C$2,$C$3,$C$4,$C$6,$C$5,$C$7,Q$1,Q$2,$A175)</f>
        <v>0</v>
      </c>
      <c r="R175" s="32">
        <f ca="1">_xll.DBRW($C$1,$C$2,$C$3,$C$4,$C$6,$C$5,$C$7,R$1,R$2,$A175)</f>
        <v>0</v>
      </c>
      <c r="S175" s="32">
        <f ca="1">_xll.DBRW($C$1,$C$2,$C$3,$C$4,$C$6,$C$5,$C$7,S$1,S$2,$A175)</f>
        <v>0</v>
      </c>
      <c r="T175" s="32">
        <f ca="1">_xll.DBRW($C$1,$C$2,$C$3,$C$4,$C$6,$C$5,$C$7,T$1,T$2,$A175)</f>
        <v>0</v>
      </c>
      <c r="U175" s="32">
        <f ca="1">_xll.DBRW($C$1,$C$2,$C$3,$C$4,$C$6,$C$5,$C$7,U$1,U$2,$A175)</f>
        <v>0</v>
      </c>
      <c r="V175" s="32">
        <f ca="1">_xll.DBRW($C$1,$C$2,$C$3,$C$4,$C$6,$C$5,$C$7,V$1,V$2,$A175)</f>
        <v>0</v>
      </c>
      <c r="W175" s="32">
        <f ca="1">_xll.DBRW($C$1,$C$2,$C$3,$C$4,$C$6,$C$5,$C$7,W$1,W$2,$A175)</f>
        <v>0</v>
      </c>
      <c r="X175" s="32">
        <f ca="1">_xll.DBRW($C$1,$C$2,$C$3,$C$4,$C$6,$C$5,$C$7,X$1,X$2,$A175)</f>
        <v>0</v>
      </c>
      <c r="Y175" s="32">
        <f ca="1">_xll.DBRW($C$1,$C$2,$C$3,$C$4,$C$6,$C$5,$C$7,Y$1,Y$2,$A175)</f>
        <v>0</v>
      </c>
      <c r="Z175" s="32">
        <f ca="1">_xll.DBRW($C$1,$C$2,$C$3,$C$4,$C$6,$C$5,$C$7,Z$1,Z$2,$A175)</f>
        <v>0</v>
      </c>
      <c r="AA175" s="32">
        <f ca="1">_xll.DBRW($C$1,$C$2,$C$3,$C$4,$C$6,$C$5,$C$7,AA$1,AA$2,$A175)</f>
        <v>0</v>
      </c>
      <c r="AB175" s="32">
        <f ca="1">_xll.DBRW($C$1,$C$2,$C$3,$C$4,$C$6,$C$5,$C$7,AB$1,AB$2,$A175)</f>
        <v>0</v>
      </c>
      <c r="AC175" s="32">
        <f ca="1">_xll.DBRW($C$1,$C$2,$C$3,$C$4,$C$6,$C$5,$C$7,AC$1,AC$2,$A175)</f>
        <v>0</v>
      </c>
      <c r="AD175" s="32">
        <f ca="1">_xll.DBRW($C$1,$C$2,$C$3,$C$4,$C$6,$C$5,$C$7,AD$1,AD$2,$A175)</f>
        <v>0</v>
      </c>
      <c r="AE175" s="32">
        <f ca="1">_xll.DBRW($C$1,$C$2,$C$3,$C$4,$C$6,$C$5,$C$7,AE$1,AE$2,$A175)</f>
        <v>0</v>
      </c>
      <c r="AF175" s="32">
        <f ca="1">_xll.DBRW($C$1,$C$2,$C$3,$C$4,$C$6,$C$5,$C$7,AF$1,AF$2,$A175)</f>
        <v>0</v>
      </c>
      <c r="AG175" s="32">
        <f ca="1">_xll.DBRW($C$1,$C$2,$C$3,$C$4,$C$6,$C$5,$C$7,AG$1,AG$2,$A175)</f>
        <v>0</v>
      </c>
      <c r="AH175" s="32">
        <f ca="1">_xll.DBRW($C$1,$C$2,$C$3,$C$4,$C$6,$C$5,$C$7,AH$1,AH$2,$A175)</f>
        <v>0</v>
      </c>
      <c r="AI175" s="32">
        <f ca="1">_xll.DBRW($C$1,$C$2,$C$3,$C$4,$C$6,$C$5,$C$7,AI$1,AI$2,$A175)</f>
        <v>0</v>
      </c>
      <c r="AJ175" s="32">
        <f ca="1">_xll.DBRW($C$1,$C$2,$C$3,$C$4,$C$6,$C$5,$C$7,AJ$1,AJ$2,$A175)</f>
        <v>0</v>
      </c>
      <c r="AK175" s="32">
        <f ca="1">_xll.DBRW($C$1,$C$2,$C$3,$C$4,$C$6,$C$5,$C$7,AK$1,AK$2,$A175)</f>
        <v>0</v>
      </c>
      <c r="AL175" s="32">
        <f ca="1">_xll.DBRW($C$1,$C$2,$C$3,$C$4,$C$6,$C$5,$C$7,AL$1,AL$2,$A175)</f>
        <v>0</v>
      </c>
      <c r="AM175" s="32">
        <f ca="1">_xll.DBRW($C$1,$C$2,$C$3,$C$4,$C$6,$C$5,$C$7,AM$1,AM$2,$A175)</f>
        <v>0</v>
      </c>
      <c r="AN175" s="32">
        <f ca="1">_xll.DBRW($C$1,$C$2,$C$3,$C$4,$C$6,$C$5,$C$7,AN$1,AN$2,$A175)</f>
        <v>0</v>
      </c>
      <c r="AO175" s="32">
        <f ca="1">_xll.DBRW($C$1,$C$2,$C$3,$C$4,$C$6,$C$5,$C$7,AO$1,AO$2,$A175)</f>
        <v>0</v>
      </c>
      <c r="AP175" s="32">
        <f ca="1">_xll.DBRW($C$1,$C$2,$C$3,$C$4,$C$6,$C$5,$C$7,AP$1,AP$2,$A175)</f>
        <v>0</v>
      </c>
      <c r="AQ175" s="32">
        <f ca="1">_xll.DBRW($C$1,$C$2,$C$3,$C$4,$C$6,$C$5,$C$7,AQ$1,AQ$2,$A175)</f>
        <v>0</v>
      </c>
      <c r="AR175" s="32">
        <f ca="1">_xll.DBRW($C$1,$C$2,$C$3,$C$4,$C$6,$C$5,$C$7,AR$1,AR$2,$A175)</f>
        <v>0</v>
      </c>
      <c r="AS175" s="32">
        <f ca="1">_xll.DBRW($C$1,$C$2,$C$3,$C$4,$C$6,$C$5,$C$7,AS$1,AS$2,$A175)</f>
        <v>0</v>
      </c>
      <c r="AT175" s="32">
        <f ca="1">_xll.DBRW($C$1,$C$2,$C$3,$C$4,$C$6,$C$5,$C$7,AT$1,AT$2,$A175)</f>
        <v>0</v>
      </c>
      <c r="AU175" s="32">
        <f ca="1">_xll.DBRW($C$1,$C$2,$C$3,$C$4,$C$6,$C$5,$C$7,AU$1,AU$2,$A175)</f>
        <v>0</v>
      </c>
    </row>
    <row r="176" spans="1:47" ht="15.75" hidden="1" customHeight="1" outlineLevel="2">
      <c r="A176" s="1" t="s">
        <v>254</v>
      </c>
      <c r="C176" s="141"/>
      <c r="E176" s="9" t="str">
        <f ca="1">_xll.DBRW(Server&amp;"}ElementAttributes_Indicator",A176,"code_English")</f>
        <v>PL1155_AC_99 - Reinvoicing - Others (AC)</v>
      </c>
      <c r="F176" s="32">
        <f ca="1">_xll.DBRW($C$1,$C$2,$C$3,$C$4,$C$6,$C$5,$C$7,F$1,F$2,$A176)</f>
        <v>0</v>
      </c>
      <c r="G176" s="32">
        <f ca="1">_xll.DBRW($C$1,$C$2,$C$3,$C$4,$C$6,$C$5,$C$7,G$1,G$2,$A176)</f>
        <v>0</v>
      </c>
      <c r="H176" s="32">
        <f ca="1">_xll.DBRW($C$1,$C$2,$C$3,$C$4,$C$6,$C$5,$C$7,H$1,H$2,$A176)</f>
        <v>0</v>
      </c>
      <c r="I176" s="32">
        <f ca="1">_xll.DBRW($C$1,$C$2,$C$3,$C$4,$C$6,$C$5,$C$7,I$1,I$2,$A176)</f>
        <v>0</v>
      </c>
      <c r="J176" s="32">
        <f ca="1">_xll.DBRW($C$1,$C$2,$C$3,$C$4,$C$6,$C$5,$C$7,J$1,J$2,$A176)</f>
        <v>0</v>
      </c>
      <c r="K176" s="32">
        <f ca="1">_xll.DBRW($C$1,$C$2,$C$3,$C$4,$C$6,$C$5,$C$7,K$1,K$2,$A176)</f>
        <v>0</v>
      </c>
      <c r="L176" s="32">
        <f ca="1">_xll.DBRW($C$1,$C$2,$C$3,$C$4,$C$6,$C$5,$C$7,L$1,L$2,$A176)</f>
        <v>0</v>
      </c>
      <c r="M176" s="32">
        <f ca="1">_xll.DBRW($C$1,$C$2,$C$3,$C$4,$C$6,$C$5,$C$7,M$1,M$2,$A176)</f>
        <v>0</v>
      </c>
      <c r="N176" s="32">
        <f ca="1">_xll.DBRW($C$1,$C$2,$C$3,$C$4,$C$6,$C$5,$C$7,N$1,N$2,$A176)</f>
        <v>0</v>
      </c>
      <c r="O176" s="32">
        <f ca="1">_xll.DBRW($C$1,$C$2,$C$3,$C$4,$C$6,$C$5,$C$7,O$1,O$2,$A176)</f>
        <v>0</v>
      </c>
      <c r="P176" s="32">
        <f ca="1">_xll.DBRW($C$1,$C$2,$C$3,$C$4,$C$6,$C$5,$C$7,P$1,P$2,$A176)</f>
        <v>0</v>
      </c>
      <c r="Q176" s="32">
        <f ca="1">_xll.DBRW($C$1,$C$2,$C$3,$C$4,$C$6,$C$5,$C$7,Q$1,Q$2,$A176)</f>
        <v>0</v>
      </c>
      <c r="R176" s="32">
        <f ca="1">_xll.DBRW($C$1,$C$2,$C$3,$C$4,$C$6,$C$5,$C$7,R$1,R$2,$A176)</f>
        <v>0</v>
      </c>
      <c r="S176" s="32">
        <f ca="1">_xll.DBRW($C$1,$C$2,$C$3,$C$4,$C$6,$C$5,$C$7,S$1,S$2,$A176)</f>
        <v>0</v>
      </c>
      <c r="T176" s="32">
        <f ca="1">_xll.DBRW($C$1,$C$2,$C$3,$C$4,$C$6,$C$5,$C$7,T$1,T$2,$A176)</f>
        <v>0</v>
      </c>
      <c r="U176" s="32">
        <f ca="1">_xll.DBRW($C$1,$C$2,$C$3,$C$4,$C$6,$C$5,$C$7,U$1,U$2,$A176)</f>
        <v>0</v>
      </c>
      <c r="V176" s="32">
        <f ca="1">_xll.DBRW($C$1,$C$2,$C$3,$C$4,$C$6,$C$5,$C$7,V$1,V$2,$A176)</f>
        <v>0</v>
      </c>
      <c r="W176" s="32">
        <f ca="1">_xll.DBRW($C$1,$C$2,$C$3,$C$4,$C$6,$C$5,$C$7,W$1,W$2,$A176)</f>
        <v>0</v>
      </c>
      <c r="X176" s="32">
        <f ca="1">_xll.DBRW($C$1,$C$2,$C$3,$C$4,$C$6,$C$5,$C$7,X$1,X$2,$A176)</f>
        <v>0</v>
      </c>
      <c r="Y176" s="32">
        <f ca="1">_xll.DBRW($C$1,$C$2,$C$3,$C$4,$C$6,$C$5,$C$7,Y$1,Y$2,$A176)</f>
        <v>0</v>
      </c>
      <c r="Z176" s="32">
        <f ca="1">_xll.DBRW($C$1,$C$2,$C$3,$C$4,$C$6,$C$5,$C$7,Z$1,Z$2,$A176)</f>
        <v>0</v>
      </c>
      <c r="AA176" s="32">
        <f ca="1">_xll.DBRW($C$1,$C$2,$C$3,$C$4,$C$6,$C$5,$C$7,AA$1,AA$2,$A176)</f>
        <v>0</v>
      </c>
      <c r="AB176" s="32">
        <f ca="1">_xll.DBRW($C$1,$C$2,$C$3,$C$4,$C$6,$C$5,$C$7,AB$1,AB$2,$A176)</f>
        <v>0</v>
      </c>
      <c r="AC176" s="32">
        <f ca="1">_xll.DBRW($C$1,$C$2,$C$3,$C$4,$C$6,$C$5,$C$7,AC$1,AC$2,$A176)</f>
        <v>0</v>
      </c>
      <c r="AD176" s="32">
        <f ca="1">_xll.DBRW($C$1,$C$2,$C$3,$C$4,$C$6,$C$5,$C$7,AD$1,AD$2,$A176)</f>
        <v>0</v>
      </c>
      <c r="AE176" s="32">
        <f ca="1">_xll.DBRW($C$1,$C$2,$C$3,$C$4,$C$6,$C$5,$C$7,AE$1,AE$2,$A176)</f>
        <v>0</v>
      </c>
      <c r="AF176" s="32">
        <f ca="1">_xll.DBRW($C$1,$C$2,$C$3,$C$4,$C$6,$C$5,$C$7,AF$1,AF$2,$A176)</f>
        <v>0</v>
      </c>
      <c r="AG176" s="32">
        <f ca="1">_xll.DBRW($C$1,$C$2,$C$3,$C$4,$C$6,$C$5,$C$7,AG$1,AG$2,$A176)</f>
        <v>0</v>
      </c>
      <c r="AH176" s="32">
        <f ca="1">_xll.DBRW($C$1,$C$2,$C$3,$C$4,$C$6,$C$5,$C$7,AH$1,AH$2,$A176)</f>
        <v>0</v>
      </c>
      <c r="AI176" s="32">
        <f ca="1">_xll.DBRW($C$1,$C$2,$C$3,$C$4,$C$6,$C$5,$C$7,AI$1,AI$2,$A176)</f>
        <v>0</v>
      </c>
      <c r="AJ176" s="32">
        <f ca="1">_xll.DBRW($C$1,$C$2,$C$3,$C$4,$C$6,$C$5,$C$7,AJ$1,AJ$2,$A176)</f>
        <v>0</v>
      </c>
      <c r="AK176" s="32">
        <f ca="1">_xll.DBRW($C$1,$C$2,$C$3,$C$4,$C$6,$C$5,$C$7,AK$1,AK$2,$A176)</f>
        <v>0</v>
      </c>
      <c r="AL176" s="32">
        <f ca="1">_xll.DBRW($C$1,$C$2,$C$3,$C$4,$C$6,$C$5,$C$7,AL$1,AL$2,$A176)</f>
        <v>0</v>
      </c>
      <c r="AM176" s="32">
        <f ca="1">_xll.DBRW($C$1,$C$2,$C$3,$C$4,$C$6,$C$5,$C$7,AM$1,AM$2,$A176)</f>
        <v>0</v>
      </c>
      <c r="AN176" s="32">
        <f ca="1">_xll.DBRW($C$1,$C$2,$C$3,$C$4,$C$6,$C$5,$C$7,AN$1,AN$2,$A176)</f>
        <v>0</v>
      </c>
      <c r="AO176" s="32">
        <f ca="1">_xll.DBRW($C$1,$C$2,$C$3,$C$4,$C$6,$C$5,$C$7,AO$1,AO$2,$A176)</f>
        <v>0</v>
      </c>
      <c r="AP176" s="32">
        <f ca="1">_xll.DBRW($C$1,$C$2,$C$3,$C$4,$C$6,$C$5,$C$7,AP$1,AP$2,$A176)</f>
        <v>0</v>
      </c>
      <c r="AQ176" s="32">
        <f ca="1">_xll.DBRW($C$1,$C$2,$C$3,$C$4,$C$6,$C$5,$C$7,AQ$1,AQ$2,$A176)</f>
        <v>0</v>
      </c>
      <c r="AR176" s="32">
        <f ca="1">_xll.DBRW($C$1,$C$2,$C$3,$C$4,$C$6,$C$5,$C$7,AR$1,AR$2,$A176)</f>
        <v>0</v>
      </c>
      <c r="AS176" s="32">
        <f ca="1">_xll.DBRW($C$1,$C$2,$C$3,$C$4,$C$6,$C$5,$C$7,AS$1,AS$2,$A176)</f>
        <v>0</v>
      </c>
      <c r="AT176" s="32">
        <f ca="1">_xll.DBRW($C$1,$C$2,$C$3,$C$4,$C$6,$C$5,$C$7,AT$1,AT$2,$A176)</f>
        <v>0</v>
      </c>
      <c r="AU176" s="32">
        <f ca="1">_xll.DBRW($C$1,$C$2,$C$3,$C$4,$C$6,$C$5,$C$7,AU$1,AU$2,$A176)</f>
        <v>0</v>
      </c>
    </row>
    <row r="177" spans="1:47" ht="15.75" hidden="1" customHeight="1" outlineLevel="2">
      <c r="A177" s="1" t="s">
        <v>255</v>
      </c>
      <c r="C177" s="141"/>
      <c r="E177" s="9" t="str">
        <f ca="1">_xll.DBRW(Server&amp;"}ElementAttributes_Indicator",A177,"code_English")</f>
        <v>PL1165_AC - Restructuring costs (AC)</v>
      </c>
      <c r="F177" s="32">
        <f ca="1">_xll.DBRW($C$1,$C$2,$C$3,$C$4,$C$6,$C$5,$C$7,F$1,F$2,$A177)</f>
        <v>-1174959.47</v>
      </c>
      <c r="G177" s="32">
        <f ca="1">_xll.DBRW($C$1,$C$2,$C$3,$C$4,$C$6,$C$5,$C$7,G$1,G$2,$A177)</f>
        <v>0</v>
      </c>
      <c r="H177" s="32">
        <f ca="1">_xll.DBRW($C$1,$C$2,$C$3,$C$4,$C$6,$C$5,$C$7,H$1,H$2,$A177)</f>
        <v>0</v>
      </c>
      <c r="I177" s="32">
        <f ca="1">_xll.DBRW($C$1,$C$2,$C$3,$C$4,$C$6,$C$5,$C$7,I$1,I$2,$A177)</f>
        <v>0</v>
      </c>
      <c r="J177" s="32">
        <f ca="1">_xll.DBRW($C$1,$C$2,$C$3,$C$4,$C$6,$C$5,$C$7,J$1,J$2,$A177)</f>
        <v>0</v>
      </c>
      <c r="K177" s="32">
        <f ca="1">_xll.DBRW($C$1,$C$2,$C$3,$C$4,$C$6,$C$5,$C$7,K$1,K$2,$A177)</f>
        <v>0</v>
      </c>
      <c r="L177" s="32">
        <f ca="1">_xll.DBRW($C$1,$C$2,$C$3,$C$4,$C$6,$C$5,$C$7,L$1,L$2,$A177)</f>
        <v>0</v>
      </c>
      <c r="M177" s="32">
        <f ca="1">_xll.DBRW($C$1,$C$2,$C$3,$C$4,$C$6,$C$5,$C$7,M$1,M$2,$A177)</f>
        <v>0</v>
      </c>
      <c r="N177" s="32">
        <f ca="1">_xll.DBRW($C$1,$C$2,$C$3,$C$4,$C$6,$C$5,$C$7,N$1,N$2,$A177)</f>
        <v>0</v>
      </c>
      <c r="O177" s="32">
        <f ca="1">_xll.DBRW($C$1,$C$2,$C$3,$C$4,$C$6,$C$5,$C$7,O$1,O$2,$A177)</f>
        <v>0</v>
      </c>
      <c r="P177" s="32">
        <f ca="1">_xll.DBRW($C$1,$C$2,$C$3,$C$4,$C$6,$C$5,$C$7,P$1,P$2,$A177)</f>
        <v>0</v>
      </c>
      <c r="Q177" s="32">
        <f ca="1">_xll.DBRW($C$1,$C$2,$C$3,$C$4,$C$6,$C$5,$C$7,Q$1,Q$2,$A177)</f>
        <v>0</v>
      </c>
      <c r="R177" s="32">
        <f ca="1">_xll.DBRW($C$1,$C$2,$C$3,$C$4,$C$6,$C$5,$C$7,R$1,R$2,$A177)</f>
        <v>0</v>
      </c>
      <c r="S177" s="32">
        <f ca="1">_xll.DBRW($C$1,$C$2,$C$3,$C$4,$C$6,$C$5,$C$7,S$1,S$2,$A177)</f>
        <v>0</v>
      </c>
      <c r="T177" s="32">
        <f ca="1">_xll.DBRW($C$1,$C$2,$C$3,$C$4,$C$6,$C$5,$C$7,T$1,T$2,$A177)</f>
        <v>0</v>
      </c>
      <c r="U177" s="32">
        <f ca="1">_xll.DBRW($C$1,$C$2,$C$3,$C$4,$C$6,$C$5,$C$7,U$1,U$2,$A177)</f>
        <v>0</v>
      </c>
      <c r="V177" s="32">
        <f ca="1">_xll.DBRW($C$1,$C$2,$C$3,$C$4,$C$6,$C$5,$C$7,V$1,V$2,$A177)</f>
        <v>0</v>
      </c>
      <c r="W177" s="32">
        <f ca="1">_xll.DBRW($C$1,$C$2,$C$3,$C$4,$C$6,$C$5,$C$7,W$1,W$2,$A177)</f>
        <v>0</v>
      </c>
      <c r="X177" s="32">
        <f ca="1">_xll.DBRW($C$1,$C$2,$C$3,$C$4,$C$6,$C$5,$C$7,X$1,X$2,$A177)</f>
        <v>0</v>
      </c>
      <c r="Y177" s="32">
        <f ca="1">_xll.DBRW($C$1,$C$2,$C$3,$C$4,$C$6,$C$5,$C$7,Y$1,Y$2,$A177)</f>
        <v>0</v>
      </c>
      <c r="Z177" s="32">
        <f ca="1">_xll.DBRW($C$1,$C$2,$C$3,$C$4,$C$6,$C$5,$C$7,Z$1,Z$2,$A177)</f>
        <v>0</v>
      </c>
      <c r="AA177" s="32">
        <f ca="1">_xll.DBRW($C$1,$C$2,$C$3,$C$4,$C$6,$C$5,$C$7,AA$1,AA$2,$A177)</f>
        <v>0</v>
      </c>
      <c r="AB177" s="32">
        <f ca="1">_xll.DBRW($C$1,$C$2,$C$3,$C$4,$C$6,$C$5,$C$7,AB$1,AB$2,$A177)</f>
        <v>0</v>
      </c>
      <c r="AC177" s="32">
        <f ca="1">_xll.DBRW($C$1,$C$2,$C$3,$C$4,$C$6,$C$5,$C$7,AC$1,AC$2,$A177)</f>
        <v>0</v>
      </c>
      <c r="AD177" s="32">
        <f ca="1">_xll.DBRW($C$1,$C$2,$C$3,$C$4,$C$6,$C$5,$C$7,AD$1,AD$2,$A177)</f>
        <v>0</v>
      </c>
      <c r="AE177" s="32">
        <f ca="1">_xll.DBRW($C$1,$C$2,$C$3,$C$4,$C$6,$C$5,$C$7,AE$1,AE$2,$A177)</f>
        <v>0</v>
      </c>
      <c r="AF177" s="32">
        <f ca="1">_xll.DBRW($C$1,$C$2,$C$3,$C$4,$C$6,$C$5,$C$7,AF$1,AF$2,$A177)</f>
        <v>0</v>
      </c>
      <c r="AG177" s="32">
        <f ca="1">_xll.DBRW($C$1,$C$2,$C$3,$C$4,$C$6,$C$5,$C$7,AG$1,AG$2,$A177)</f>
        <v>0</v>
      </c>
      <c r="AH177" s="32">
        <f ca="1">_xll.DBRW($C$1,$C$2,$C$3,$C$4,$C$6,$C$5,$C$7,AH$1,AH$2,$A177)</f>
        <v>0</v>
      </c>
      <c r="AI177" s="32">
        <f ca="1">_xll.DBRW($C$1,$C$2,$C$3,$C$4,$C$6,$C$5,$C$7,AI$1,AI$2,$A177)</f>
        <v>0</v>
      </c>
      <c r="AJ177" s="32">
        <f ca="1">_xll.DBRW($C$1,$C$2,$C$3,$C$4,$C$6,$C$5,$C$7,AJ$1,AJ$2,$A177)</f>
        <v>0</v>
      </c>
      <c r="AK177" s="32">
        <f ca="1">_xll.DBRW($C$1,$C$2,$C$3,$C$4,$C$6,$C$5,$C$7,AK$1,AK$2,$A177)</f>
        <v>0</v>
      </c>
      <c r="AL177" s="32">
        <f ca="1">_xll.DBRW($C$1,$C$2,$C$3,$C$4,$C$6,$C$5,$C$7,AL$1,AL$2,$A177)</f>
        <v>0</v>
      </c>
      <c r="AM177" s="32">
        <f ca="1">_xll.DBRW($C$1,$C$2,$C$3,$C$4,$C$6,$C$5,$C$7,AM$1,AM$2,$A177)</f>
        <v>0</v>
      </c>
      <c r="AN177" s="32">
        <f ca="1">_xll.DBRW($C$1,$C$2,$C$3,$C$4,$C$6,$C$5,$C$7,AN$1,AN$2,$A177)</f>
        <v>0</v>
      </c>
      <c r="AO177" s="32">
        <f ca="1">_xll.DBRW($C$1,$C$2,$C$3,$C$4,$C$6,$C$5,$C$7,AO$1,AO$2,$A177)</f>
        <v>0</v>
      </c>
      <c r="AP177" s="32">
        <f ca="1">_xll.DBRW($C$1,$C$2,$C$3,$C$4,$C$6,$C$5,$C$7,AP$1,AP$2,$A177)</f>
        <v>0</v>
      </c>
      <c r="AQ177" s="32">
        <f ca="1">_xll.DBRW($C$1,$C$2,$C$3,$C$4,$C$6,$C$5,$C$7,AQ$1,AQ$2,$A177)</f>
        <v>0</v>
      </c>
      <c r="AR177" s="32">
        <f ca="1">_xll.DBRW($C$1,$C$2,$C$3,$C$4,$C$6,$C$5,$C$7,AR$1,AR$2,$A177)</f>
        <v>0</v>
      </c>
      <c r="AS177" s="32">
        <f ca="1">_xll.DBRW($C$1,$C$2,$C$3,$C$4,$C$6,$C$5,$C$7,AS$1,AS$2,$A177)</f>
        <v>0</v>
      </c>
      <c r="AT177" s="32">
        <f ca="1">_xll.DBRW($C$1,$C$2,$C$3,$C$4,$C$6,$C$5,$C$7,AT$1,AT$2,$A177)</f>
        <v>0</v>
      </c>
      <c r="AU177" s="32">
        <f ca="1">_xll.DBRW($C$1,$C$2,$C$3,$C$4,$C$6,$C$5,$C$7,AU$1,AU$2,$A177)</f>
        <v>0</v>
      </c>
    </row>
    <row r="178" spans="1:47" ht="15.75" hidden="1" customHeight="1" outlineLevel="2">
      <c r="A178" s="1" t="s">
        <v>256</v>
      </c>
      <c r="C178" s="141"/>
      <c r="E178" s="9" t="str">
        <f ca="1">_xll.DBRW(Server&amp;"}ElementAttributes_Indicator",A178,"code_English")</f>
        <v>PL1145_AC - Impairment - working capital (AC)</v>
      </c>
      <c r="F178" s="32">
        <f ca="1">_xll.DBRW($C$1,$C$2,$C$3,$C$4,$C$6,$C$5,$C$7,F$1,F$2,$A178)</f>
        <v>88210.68</v>
      </c>
      <c r="G178" s="32">
        <f ca="1">_xll.DBRW($C$1,$C$2,$C$3,$C$4,$C$6,$C$5,$C$7,G$1,G$2,$A178)</f>
        <v>-261026.91</v>
      </c>
      <c r="H178" s="32">
        <f ca="1">_xll.DBRW($C$1,$C$2,$C$3,$C$4,$C$6,$C$5,$C$7,H$1,H$2,$A178)</f>
        <v>-1778930.6999999993</v>
      </c>
      <c r="I178" s="32">
        <f ca="1">_xll.DBRW($C$1,$C$2,$C$3,$C$4,$C$6,$C$5,$C$7,I$1,I$2,$A178)</f>
        <v>-6562.5</v>
      </c>
      <c r="J178" s="32">
        <f ca="1">_xll.DBRW($C$1,$C$2,$C$3,$C$4,$C$6,$C$5,$C$7,J$1,J$2,$A178)</f>
        <v>-13125</v>
      </c>
      <c r="K178" s="32">
        <f ca="1">_xll.DBRW($C$1,$C$2,$C$3,$C$4,$C$6,$C$5,$C$7,K$1,K$2,$A178)</f>
        <v>-19687.5</v>
      </c>
      <c r="L178" s="32">
        <f ca="1">_xll.DBRW($C$1,$C$2,$C$3,$C$4,$C$6,$C$5,$C$7,L$1,L$2,$A178)</f>
        <v>-26250</v>
      </c>
      <c r="M178" s="32">
        <f ca="1">_xll.DBRW($C$1,$C$2,$C$3,$C$4,$C$6,$C$5,$C$7,M$1,M$2,$A178)</f>
        <v>-32812.5</v>
      </c>
      <c r="N178" s="32">
        <f ca="1">_xll.DBRW($C$1,$C$2,$C$3,$C$4,$C$6,$C$5,$C$7,N$1,N$2,$A178)</f>
        <v>-39375</v>
      </c>
      <c r="O178" s="32">
        <f ca="1">_xll.DBRW($C$1,$C$2,$C$3,$C$4,$C$6,$C$5,$C$7,O$1,O$2,$A178)</f>
        <v>-39375</v>
      </c>
      <c r="P178" s="32">
        <f ca="1">_xll.DBRW($C$1,$C$2,$C$3,$C$4,$C$6,$C$5,$C$7,P$1,P$2,$A178)</f>
        <v>-39375</v>
      </c>
      <c r="Q178" s="32">
        <f ca="1">_xll.DBRW($C$1,$C$2,$C$3,$C$4,$C$6,$C$5,$C$7,Q$1,Q$2,$A178)</f>
        <v>-39375</v>
      </c>
      <c r="R178" s="32">
        <f ca="1">_xll.DBRW($C$1,$C$2,$C$3,$C$4,$C$6,$C$5,$C$7,R$1,R$2,$A178)</f>
        <v>-39375</v>
      </c>
      <c r="S178" s="32">
        <f ca="1">_xll.DBRW($C$1,$C$2,$C$3,$C$4,$C$6,$C$5,$C$7,S$1,S$2,$A178)</f>
        <v>-39375</v>
      </c>
      <c r="T178" s="32">
        <f ca="1">_xll.DBRW($C$1,$C$2,$C$3,$C$4,$C$6,$C$5,$C$7,T$1,T$2,$A178)</f>
        <v>-39375</v>
      </c>
      <c r="U178" s="32">
        <f ca="1">_xll.DBRW($C$1,$C$2,$C$3,$C$4,$C$6,$C$5,$C$7,U$1,U$2,$A178)</f>
        <v>-39375</v>
      </c>
      <c r="V178" s="32">
        <f ca="1">_xll.DBRW($C$1,$C$2,$C$3,$C$4,$C$6,$C$5,$C$7,V$1,V$2,$A178)</f>
        <v>0</v>
      </c>
      <c r="W178" s="32">
        <f ca="1">_xll.DBRW($C$1,$C$2,$C$3,$C$4,$C$6,$C$5,$C$7,W$1,W$2,$A178)</f>
        <v>0</v>
      </c>
      <c r="X178" s="32">
        <f ca="1">_xll.DBRW($C$1,$C$2,$C$3,$C$4,$C$6,$C$5,$C$7,X$1,X$2,$A178)</f>
        <v>0</v>
      </c>
      <c r="Y178" s="32">
        <f ca="1">_xll.DBRW($C$1,$C$2,$C$3,$C$4,$C$6,$C$5,$C$7,Y$1,Y$2,$A178)</f>
        <v>0</v>
      </c>
      <c r="Z178" s="32">
        <f ca="1">_xll.DBRW($C$1,$C$2,$C$3,$C$4,$C$6,$C$5,$C$7,Z$1,Z$2,$A178)</f>
        <v>0</v>
      </c>
      <c r="AA178" s="32">
        <f ca="1">_xll.DBRW($C$1,$C$2,$C$3,$C$4,$C$6,$C$5,$C$7,AA$1,AA$2,$A178)</f>
        <v>0</v>
      </c>
      <c r="AB178" s="32">
        <f ca="1">_xll.DBRW($C$1,$C$2,$C$3,$C$4,$C$6,$C$5,$C$7,AB$1,AB$2,$A178)</f>
        <v>0</v>
      </c>
      <c r="AC178" s="32">
        <f ca="1">_xll.DBRW($C$1,$C$2,$C$3,$C$4,$C$6,$C$5,$C$7,AC$1,AC$2,$A178)</f>
        <v>0</v>
      </c>
      <c r="AD178" s="32">
        <f ca="1">_xll.DBRW($C$1,$C$2,$C$3,$C$4,$C$6,$C$5,$C$7,AD$1,AD$2,$A178)</f>
        <v>0</v>
      </c>
      <c r="AE178" s="32">
        <f ca="1">_xll.DBRW($C$1,$C$2,$C$3,$C$4,$C$6,$C$5,$C$7,AE$1,AE$2,$A178)</f>
        <v>0</v>
      </c>
      <c r="AF178" s="32">
        <f ca="1">_xll.DBRW($C$1,$C$2,$C$3,$C$4,$C$6,$C$5,$C$7,AF$1,AF$2,$A178)</f>
        <v>0</v>
      </c>
      <c r="AG178" s="32">
        <f ca="1">_xll.DBRW($C$1,$C$2,$C$3,$C$4,$C$6,$C$5,$C$7,AG$1,AG$2,$A178)</f>
        <v>0</v>
      </c>
      <c r="AH178" s="32">
        <f ca="1">_xll.DBRW($C$1,$C$2,$C$3,$C$4,$C$6,$C$5,$C$7,AH$1,AH$2,$A178)</f>
        <v>0</v>
      </c>
      <c r="AI178" s="32">
        <f ca="1">_xll.DBRW($C$1,$C$2,$C$3,$C$4,$C$6,$C$5,$C$7,AI$1,AI$2,$A178)</f>
        <v>0</v>
      </c>
      <c r="AJ178" s="32">
        <f ca="1">_xll.DBRW($C$1,$C$2,$C$3,$C$4,$C$6,$C$5,$C$7,AJ$1,AJ$2,$A178)</f>
        <v>0</v>
      </c>
      <c r="AK178" s="32">
        <f ca="1">_xll.DBRW($C$1,$C$2,$C$3,$C$4,$C$6,$C$5,$C$7,AK$1,AK$2,$A178)</f>
        <v>0</v>
      </c>
      <c r="AL178" s="32">
        <f ca="1">_xll.DBRW($C$1,$C$2,$C$3,$C$4,$C$6,$C$5,$C$7,AL$1,AL$2,$A178)</f>
        <v>0</v>
      </c>
      <c r="AM178" s="32">
        <f ca="1">_xll.DBRW($C$1,$C$2,$C$3,$C$4,$C$6,$C$5,$C$7,AM$1,AM$2,$A178)</f>
        <v>0</v>
      </c>
      <c r="AN178" s="32">
        <f ca="1">_xll.DBRW($C$1,$C$2,$C$3,$C$4,$C$6,$C$5,$C$7,AN$1,AN$2,$A178)</f>
        <v>0</v>
      </c>
      <c r="AO178" s="32">
        <f ca="1">_xll.DBRW($C$1,$C$2,$C$3,$C$4,$C$6,$C$5,$C$7,AO$1,AO$2,$A178)</f>
        <v>0</v>
      </c>
      <c r="AP178" s="32">
        <f ca="1">_xll.DBRW($C$1,$C$2,$C$3,$C$4,$C$6,$C$5,$C$7,AP$1,AP$2,$A178)</f>
        <v>0</v>
      </c>
      <c r="AQ178" s="32">
        <f ca="1">_xll.DBRW($C$1,$C$2,$C$3,$C$4,$C$6,$C$5,$C$7,AQ$1,AQ$2,$A178)</f>
        <v>0</v>
      </c>
      <c r="AR178" s="32">
        <f ca="1">_xll.DBRW($C$1,$C$2,$C$3,$C$4,$C$6,$C$5,$C$7,AR$1,AR$2,$A178)</f>
        <v>0</v>
      </c>
      <c r="AS178" s="32">
        <f ca="1">_xll.DBRW($C$1,$C$2,$C$3,$C$4,$C$6,$C$5,$C$7,AS$1,AS$2,$A178)</f>
        <v>0</v>
      </c>
      <c r="AT178" s="32">
        <f ca="1">_xll.DBRW($C$1,$C$2,$C$3,$C$4,$C$6,$C$5,$C$7,AT$1,AT$2,$A178)</f>
        <v>0</v>
      </c>
      <c r="AU178" s="32">
        <f ca="1">_xll.DBRW($C$1,$C$2,$C$3,$C$4,$C$6,$C$5,$C$7,AU$1,AU$2,$A178)</f>
        <v>0</v>
      </c>
    </row>
    <row r="179" spans="1:47" ht="15.75" hidden="1" customHeight="1" outlineLevel="2">
      <c r="A179" s="1" t="s">
        <v>257</v>
      </c>
      <c r="C179" s="141"/>
      <c r="E179" s="9" t="str">
        <f ca="1">_xll.DBRW(Server&amp;"}ElementAttributes_Indicator",A179,"code_English")</f>
        <v>PL1150_AC_30 - Impairment (other than working capital) and provisions - related to onerous contracts</v>
      </c>
      <c r="F179" s="32">
        <f ca="1">_xll.DBRW($C$1,$C$2,$C$3,$C$4,$C$6,$C$5,$C$7,F$1,F$2,$A179)</f>
        <v>0</v>
      </c>
      <c r="G179" s="32">
        <f ca="1">_xll.DBRW($C$1,$C$2,$C$3,$C$4,$C$6,$C$5,$C$7,G$1,G$2,$A179)</f>
        <v>0</v>
      </c>
      <c r="H179" s="32">
        <f ca="1">_xll.DBRW($C$1,$C$2,$C$3,$C$4,$C$6,$C$5,$C$7,H$1,H$2,$A179)</f>
        <v>858051.02859999996</v>
      </c>
      <c r="I179" s="32">
        <f ca="1">_xll.DBRW($C$1,$C$2,$C$3,$C$4,$C$6,$C$5,$C$7,I$1,I$2,$A179)</f>
        <v>0</v>
      </c>
      <c r="J179" s="32">
        <f ca="1">_xll.DBRW($C$1,$C$2,$C$3,$C$4,$C$6,$C$5,$C$7,J$1,J$2,$A179)</f>
        <v>0</v>
      </c>
      <c r="K179" s="32">
        <f ca="1">_xll.DBRW($C$1,$C$2,$C$3,$C$4,$C$6,$C$5,$C$7,K$1,K$2,$A179)</f>
        <v>0</v>
      </c>
      <c r="L179" s="32">
        <f ca="1">_xll.DBRW($C$1,$C$2,$C$3,$C$4,$C$6,$C$5,$C$7,L$1,L$2,$A179)</f>
        <v>0</v>
      </c>
      <c r="M179" s="32">
        <f ca="1">_xll.DBRW($C$1,$C$2,$C$3,$C$4,$C$6,$C$5,$C$7,M$1,M$2,$A179)</f>
        <v>0</v>
      </c>
      <c r="N179" s="32">
        <f ca="1">_xll.DBRW($C$1,$C$2,$C$3,$C$4,$C$6,$C$5,$C$7,N$1,N$2,$A179)</f>
        <v>0</v>
      </c>
      <c r="O179" s="32">
        <f ca="1">_xll.DBRW($C$1,$C$2,$C$3,$C$4,$C$6,$C$5,$C$7,O$1,O$2,$A179)</f>
        <v>0</v>
      </c>
      <c r="P179" s="32">
        <f ca="1">_xll.DBRW($C$1,$C$2,$C$3,$C$4,$C$6,$C$5,$C$7,P$1,P$2,$A179)</f>
        <v>0</v>
      </c>
      <c r="Q179" s="32">
        <f ca="1">_xll.DBRW($C$1,$C$2,$C$3,$C$4,$C$6,$C$5,$C$7,Q$1,Q$2,$A179)</f>
        <v>0</v>
      </c>
      <c r="R179" s="32">
        <f ca="1">_xll.DBRW($C$1,$C$2,$C$3,$C$4,$C$6,$C$5,$C$7,R$1,R$2,$A179)</f>
        <v>0</v>
      </c>
      <c r="S179" s="32">
        <f ca="1">_xll.DBRW($C$1,$C$2,$C$3,$C$4,$C$6,$C$5,$C$7,S$1,S$2,$A179)</f>
        <v>0</v>
      </c>
      <c r="T179" s="32">
        <f ca="1">_xll.DBRW($C$1,$C$2,$C$3,$C$4,$C$6,$C$5,$C$7,T$1,T$2,$A179)</f>
        <v>0</v>
      </c>
      <c r="U179" s="32">
        <f ca="1">_xll.DBRW($C$1,$C$2,$C$3,$C$4,$C$6,$C$5,$C$7,U$1,U$2,$A179)</f>
        <v>0</v>
      </c>
      <c r="V179" s="32">
        <f ca="1">_xll.DBRW($C$1,$C$2,$C$3,$C$4,$C$6,$C$5,$C$7,V$1,V$2,$A179)</f>
        <v>0</v>
      </c>
      <c r="W179" s="32">
        <f ca="1">_xll.DBRW($C$1,$C$2,$C$3,$C$4,$C$6,$C$5,$C$7,W$1,W$2,$A179)</f>
        <v>0</v>
      </c>
      <c r="X179" s="32">
        <f ca="1">_xll.DBRW($C$1,$C$2,$C$3,$C$4,$C$6,$C$5,$C$7,X$1,X$2,$A179)</f>
        <v>0</v>
      </c>
      <c r="Y179" s="32">
        <f ca="1">_xll.DBRW($C$1,$C$2,$C$3,$C$4,$C$6,$C$5,$C$7,Y$1,Y$2,$A179)</f>
        <v>0</v>
      </c>
      <c r="Z179" s="32">
        <f ca="1">_xll.DBRW($C$1,$C$2,$C$3,$C$4,$C$6,$C$5,$C$7,Z$1,Z$2,$A179)</f>
        <v>0</v>
      </c>
      <c r="AA179" s="32">
        <f ca="1">_xll.DBRW($C$1,$C$2,$C$3,$C$4,$C$6,$C$5,$C$7,AA$1,AA$2,$A179)</f>
        <v>0</v>
      </c>
      <c r="AB179" s="32">
        <f ca="1">_xll.DBRW($C$1,$C$2,$C$3,$C$4,$C$6,$C$5,$C$7,AB$1,AB$2,$A179)</f>
        <v>0</v>
      </c>
      <c r="AC179" s="32">
        <f ca="1">_xll.DBRW($C$1,$C$2,$C$3,$C$4,$C$6,$C$5,$C$7,AC$1,AC$2,$A179)</f>
        <v>0</v>
      </c>
      <c r="AD179" s="32">
        <f ca="1">_xll.DBRW($C$1,$C$2,$C$3,$C$4,$C$6,$C$5,$C$7,AD$1,AD$2,$A179)</f>
        <v>0</v>
      </c>
      <c r="AE179" s="32">
        <f ca="1">_xll.DBRW($C$1,$C$2,$C$3,$C$4,$C$6,$C$5,$C$7,AE$1,AE$2,$A179)</f>
        <v>0</v>
      </c>
      <c r="AF179" s="32">
        <f ca="1">_xll.DBRW($C$1,$C$2,$C$3,$C$4,$C$6,$C$5,$C$7,AF$1,AF$2,$A179)</f>
        <v>0</v>
      </c>
      <c r="AG179" s="32">
        <f ca="1">_xll.DBRW($C$1,$C$2,$C$3,$C$4,$C$6,$C$5,$C$7,AG$1,AG$2,$A179)</f>
        <v>0</v>
      </c>
      <c r="AH179" s="32">
        <f ca="1">_xll.DBRW($C$1,$C$2,$C$3,$C$4,$C$6,$C$5,$C$7,AH$1,AH$2,$A179)</f>
        <v>0</v>
      </c>
      <c r="AI179" s="32">
        <f ca="1">_xll.DBRW($C$1,$C$2,$C$3,$C$4,$C$6,$C$5,$C$7,AI$1,AI$2,$A179)</f>
        <v>0</v>
      </c>
      <c r="AJ179" s="32">
        <f ca="1">_xll.DBRW($C$1,$C$2,$C$3,$C$4,$C$6,$C$5,$C$7,AJ$1,AJ$2,$A179)</f>
        <v>0</v>
      </c>
      <c r="AK179" s="32">
        <f ca="1">_xll.DBRW($C$1,$C$2,$C$3,$C$4,$C$6,$C$5,$C$7,AK$1,AK$2,$A179)</f>
        <v>0</v>
      </c>
      <c r="AL179" s="32">
        <f ca="1">_xll.DBRW($C$1,$C$2,$C$3,$C$4,$C$6,$C$5,$C$7,AL$1,AL$2,$A179)</f>
        <v>0</v>
      </c>
      <c r="AM179" s="32">
        <f ca="1">_xll.DBRW($C$1,$C$2,$C$3,$C$4,$C$6,$C$5,$C$7,AM$1,AM$2,$A179)</f>
        <v>0</v>
      </c>
      <c r="AN179" s="32">
        <f ca="1">_xll.DBRW($C$1,$C$2,$C$3,$C$4,$C$6,$C$5,$C$7,AN$1,AN$2,$A179)</f>
        <v>0</v>
      </c>
      <c r="AO179" s="32">
        <f ca="1">_xll.DBRW($C$1,$C$2,$C$3,$C$4,$C$6,$C$5,$C$7,AO$1,AO$2,$A179)</f>
        <v>0</v>
      </c>
      <c r="AP179" s="32">
        <f ca="1">_xll.DBRW($C$1,$C$2,$C$3,$C$4,$C$6,$C$5,$C$7,AP$1,AP$2,$A179)</f>
        <v>0</v>
      </c>
      <c r="AQ179" s="32">
        <f ca="1">_xll.DBRW($C$1,$C$2,$C$3,$C$4,$C$6,$C$5,$C$7,AQ$1,AQ$2,$A179)</f>
        <v>0</v>
      </c>
      <c r="AR179" s="32">
        <f ca="1">_xll.DBRW($C$1,$C$2,$C$3,$C$4,$C$6,$C$5,$C$7,AR$1,AR$2,$A179)</f>
        <v>0</v>
      </c>
      <c r="AS179" s="32">
        <f ca="1">_xll.DBRW($C$1,$C$2,$C$3,$C$4,$C$6,$C$5,$C$7,AS$1,AS$2,$A179)</f>
        <v>0</v>
      </c>
      <c r="AT179" s="32">
        <f ca="1">_xll.DBRW($C$1,$C$2,$C$3,$C$4,$C$6,$C$5,$C$7,AT$1,AT$2,$A179)</f>
        <v>0</v>
      </c>
      <c r="AU179" s="32">
        <f ca="1">_xll.DBRW($C$1,$C$2,$C$3,$C$4,$C$6,$C$5,$C$7,AU$1,AU$2,$A179)</f>
        <v>0</v>
      </c>
    </row>
    <row r="180" spans="1:47" ht="15.75" hidden="1" customHeight="1" outlineLevel="2">
      <c r="A180" s="1" t="s">
        <v>258</v>
      </c>
      <c r="C180" s="141"/>
      <c r="E180" s="9" t="str">
        <f ca="1">_xll.DBRW(Server&amp;"}ElementAttributes_Indicator",A180,"code_English")</f>
        <v>PL1150_AC_31 - Impairment (other than working capital) and provisions - related to onerous contracts - Reversal</v>
      </c>
      <c r="F180" s="32">
        <f ca="1">_xll.DBRW($C$1,$C$2,$C$3,$C$4,$C$6,$C$5,$C$7,F$1,F$2,$A180)</f>
        <v>0</v>
      </c>
      <c r="G180" s="32">
        <f ca="1">_xll.DBRW($C$1,$C$2,$C$3,$C$4,$C$6,$C$5,$C$7,G$1,G$2,$A180)</f>
        <v>0</v>
      </c>
      <c r="H180" s="32">
        <f ca="1">_xll.DBRW($C$1,$C$2,$C$3,$C$4,$C$6,$C$5,$C$7,H$1,H$2,$A180)</f>
        <v>0</v>
      </c>
      <c r="I180" s="32">
        <f ca="1">_xll.DBRW($C$1,$C$2,$C$3,$C$4,$C$6,$C$5,$C$7,I$1,I$2,$A180)</f>
        <v>0</v>
      </c>
      <c r="J180" s="32">
        <f ca="1">_xll.DBRW($C$1,$C$2,$C$3,$C$4,$C$6,$C$5,$C$7,J$1,J$2,$A180)</f>
        <v>0</v>
      </c>
      <c r="K180" s="32">
        <f ca="1">_xll.DBRW($C$1,$C$2,$C$3,$C$4,$C$6,$C$5,$C$7,K$1,K$2,$A180)</f>
        <v>0</v>
      </c>
      <c r="L180" s="32">
        <f ca="1">_xll.DBRW($C$1,$C$2,$C$3,$C$4,$C$6,$C$5,$C$7,L$1,L$2,$A180)</f>
        <v>0</v>
      </c>
      <c r="M180" s="32">
        <f ca="1">_xll.DBRW($C$1,$C$2,$C$3,$C$4,$C$6,$C$5,$C$7,M$1,M$2,$A180)</f>
        <v>0</v>
      </c>
      <c r="N180" s="32">
        <f ca="1">_xll.DBRW($C$1,$C$2,$C$3,$C$4,$C$6,$C$5,$C$7,N$1,N$2,$A180)</f>
        <v>0</v>
      </c>
      <c r="O180" s="32">
        <f ca="1">_xll.DBRW($C$1,$C$2,$C$3,$C$4,$C$6,$C$5,$C$7,O$1,O$2,$A180)</f>
        <v>0</v>
      </c>
      <c r="P180" s="32">
        <f ca="1">_xll.DBRW($C$1,$C$2,$C$3,$C$4,$C$6,$C$5,$C$7,P$1,P$2,$A180)</f>
        <v>0</v>
      </c>
      <c r="Q180" s="32">
        <f ca="1">_xll.DBRW($C$1,$C$2,$C$3,$C$4,$C$6,$C$5,$C$7,Q$1,Q$2,$A180)</f>
        <v>0</v>
      </c>
      <c r="R180" s="32">
        <f ca="1">_xll.DBRW($C$1,$C$2,$C$3,$C$4,$C$6,$C$5,$C$7,R$1,R$2,$A180)</f>
        <v>0</v>
      </c>
      <c r="S180" s="32">
        <f ca="1">_xll.DBRW($C$1,$C$2,$C$3,$C$4,$C$6,$C$5,$C$7,S$1,S$2,$A180)</f>
        <v>0</v>
      </c>
      <c r="T180" s="32">
        <f ca="1">_xll.DBRW($C$1,$C$2,$C$3,$C$4,$C$6,$C$5,$C$7,T$1,T$2,$A180)</f>
        <v>0</v>
      </c>
      <c r="U180" s="32">
        <f ca="1">_xll.DBRW($C$1,$C$2,$C$3,$C$4,$C$6,$C$5,$C$7,U$1,U$2,$A180)</f>
        <v>0</v>
      </c>
      <c r="V180" s="32">
        <f ca="1">_xll.DBRW($C$1,$C$2,$C$3,$C$4,$C$6,$C$5,$C$7,V$1,V$2,$A180)</f>
        <v>0</v>
      </c>
      <c r="W180" s="32">
        <f ca="1">_xll.DBRW($C$1,$C$2,$C$3,$C$4,$C$6,$C$5,$C$7,W$1,W$2,$A180)</f>
        <v>0</v>
      </c>
      <c r="X180" s="32">
        <f ca="1">_xll.DBRW($C$1,$C$2,$C$3,$C$4,$C$6,$C$5,$C$7,X$1,X$2,$A180)</f>
        <v>0</v>
      </c>
      <c r="Y180" s="32">
        <f ca="1">_xll.DBRW($C$1,$C$2,$C$3,$C$4,$C$6,$C$5,$C$7,Y$1,Y$2,$A180)</f>
        <v>0</v>
      </c>
      <c r="Z180" s="32">
        <f ca="1">_xll.DBRW($C$1,$C$2,$C$3,$C$4,$C$6,$C$5,$C$7,Z$1,Z$2,$A180)</f>
        <v>0</v>
      </c>
      <c r="AA180" s="32">
        <f ca="1">_xll.DBRW($C$1,$C$2,$C$3,$C$4,$C$6,$C$5,$C$7,AA$1,AA$2,$A180)</f>
        <v>0</v>
      </c>
      <c r="AB180" s="32">
        <f ca="1">_xll.DBRW($C$1,$C$2,$C$3,$C$4,$C$6,$C$5,$C$7,AB$1,AB$2,$A180)</f>
        <v>0</v>
      </c>
      <c r="AC180" s="32">
        <f ca="1">_xll.DBRW($C$1,$C$2,$C$3,$C$4,$C$6,$C$5,$C$7,AC$1,AC$2,$A180)</f>
        <v>0</v>
      </c>
      <c r="AD180" s="32">
        <f ca="1">_xll.DBRW($C$1,$C$2,$C$3,$C$4,$C$6,$C$5,$C$7,AD$1,AD$2,$A180)</f>
        <v>0</v>
      </c>
      <c r="AE180" s="32">
        <f ca="1">_xll.DBRW($C$1,$C$2,$C$3,$C$4,$C$6,$C$5,$C$7,AE$1,AE$2,$A180)</f>
        <v>0</v>
      </c>
      <c r="AF180" s="32">
        <f ca="1">_xll.DBRW($C$1,$C$2,$C$3,$C$4,$C$6,$C$5,$C$7,AF$1,AF$2,$A180)</f>
        <v>0</v>
      </c>
      <c r="AG180" s="32">
        <f ca="1">_xll.DBRW($C$1,$C$2,$C$3,$C$4,$C$6,$C$5,$C$7,AG$1,AG$2,$A180)</f>
        <v>0</v>
      </c>
      <c r="AH180" s="32">
        <f ca="1">_xll.DBRW($C$1,$C$2,$C$3,$C$4,$C$6,$C$5,$C$7,AH$1,AH$2,$A180)</f>
        <v>0</v>
      </c>
      <c r="AI180" s="32">
        <f ca="1">_xll.DBRW($C$1,$C$2,$C$3,$C$4,$C$6,$C$5,$C$7,AI$1,AI$2,$A180)</f>
        <v>0</v>
      </c>
      <c r="AJ180" s="32">
        <f ca="1">_xll.DBRW($C$1,$C$2,$C$3,$C$4,$C$6,$C$5,$C$7,AJ$1,AJ$2,$A180)</f>
        <v>0</v>
      </c>
      <c r="AK180" s="32">
        <f ca="1">_xll.DBRW($C$1,$C$2,$C$3,$C$4,$C$6,$C$5,$C$7,AK$1,AK$2,$A180)</f>
        <v>0</v>
      </c>
      <c r="AL180" s="32">
        <f ca="1">_xll.DBRW($C$1,$C$2,$C$3,$C$4,$C$6,$C$5,$C$7,AL$1,AL$2,$A180)</f>
        <v>0</v>
      </c>
      <c r="AM180" s="32">
        <f ca="1">_xll.DBRW($C$1,$C$2,$C$3,$C$4,$C$6,$C$5,$C$7,AM$1,AM$2,$A180)</f>
        <v>0</v>
      </c>
      <c r="AN180" s="32">
        <f ca="1">_xll.DBRW($C$1,$C$2,$C$3,$C$4,$C$6,$C$5,$C$7,AN$1,AN$2,$A180)</f>
        <v>0</v>
      </c>
      <c r="AO180" s="32">
        <f ca="1">_xll.DBRW($C$1,$C$2,$C$3,$C$4,$C$6,$C$5,$C$7,AO$1,AO$2,$A180)</f>
        <v>0</v>
      </c>
      <c r="AP180" s="32">
        <f ca="1">_xll.DBRW($C$1,$C$2,$C$3,$C$4,$C$6,$C$5,$C$7,AP$1,AP$2,$A180)</f>
        <v>0</v>
      </c>
      <c r="AQ180" s="32">
        <f ca="1">_xll.DBRW($C$1,$C$2,$C$3,$C$4,$C$6,$C$5,$C$7,AQ$1,AQ$2,$A180)</f>
        <v>0</v>
      </c>
      <c r="AR180" s="32">
        <f ca="1">_xll.DBRW($C$1,$C$2,$C$3,$C$4,$C$6,$C$5,$C$7,AR$1,AR$2,$A180)</f>
        <v>0</v>
      </c>
      <c r="AS180" s="32">
        <f ca="1">_xll.DBRW($C$1,$C$2,$C$3,$C$4,$C$6,$C$5,$C$7,AS$1,AS$2,$A180)</f>
        <v>0</v>
      </c>
      <c r="AT180" s="32">
        <f ca="1">_xll.DBRW($C$1,$C$2,$C$3,$C$4,$C$6,$C$5,$C$7,AT$1,AT$2,$A180)</f>
        <v>0</v>
      </c>
      <c r="AU180" s="32">
        <f ca="1">_xll.DBRW($C$1,$C$2,$C$3,$C$4,$C$6,$C$5,$C$7,AU$1,AU$2,$A180)</f>
        <v>0</v>
      </c>
    </row>
    <row r="181" spans="1:47" ht="15.75" hidden="1" customHeight="1" outlineLevel="2">
      <c r="A181" s="1" t="s">
        <v>259</v>
      </c>
      <c r="C181" s="141"/>
      <c r="E181" s="9" t="str">
        <f ca="1">_xll.DBRW(Server&amp;"}ElementAttributes_Indicator",A181,"code_English")</f>
        <v>PL1150_AC_90 - Impairment (other than working capital) and provisions - others (AC)</v>
      </c>
      <c r="F181" s="32">
        <f ca="1">_xll.DBRW($C$1,$C$2,$C$3,$C$4,$C$6,$C$5,$C$7,F$1,F$2,$A181)</f>
        <v>284962.57999999984</v>
      </c>
      <c r="G181" s="32">
        <f ca="1">_xll.DBRW($C$1,$C$2,$C$3,$C$4,$C$6,$C$5,$C$7,G$1,G$2,$A181)</f>
        <v>-817783.22999999952</v>
      </c>
      <c r="H181" s="32">
        <f ca="1">_xll.DBRW($C$1,$C$2,$C$3,$C$4,$C$6,$C$5,$C$7,H$1,H$2,$A181)</f>
        <v>-264655.8200000003</v>
      </c>
      <c r="I181" s="32">
        <f ca="1">_xll.DBRW($C$1,$C$2,$C$3,$C$4,$C$6,$C$5,$C$7,I$1,I$2,$A181)</f>
        <v>-391929.01999999996</v>
      </c>
      <c r="J181" s="32">
        <f ca="1">_xll.DBRW($C$1,$C$2,$C$3,$C$4,$C$6,$C$5,$C$7,J$1,J$2,$A181)</f>
        <v>-644268.26</v>
      </c>
      <c r="K181" s="32">
        <f ca="1">_xll.DBRW($C$1,$C$2,$C$3,$C$4,$C$6,$C$5,$C$7,K$1,K$2,$A181)</f>
        <v>-247885.63</v>
      </c>
      <c r="L181" s="32">
        <f ca="1">_xll.DBRW($C$1,$C$2,$C$3,$C$4,$C$6,$C$5,$C$7,L$1,L$2,$A181)</f>
        <v>-641332.66999999993</v>
      </c>
      <c r="M181" s="32">
        <f ca="1">_xll.DBRW($C$1,$C$2,$C$3,$C$4,$C$6,$C$5,$C$7,M$1,M$2,$A181)</f>
        <v>-789951.49</v>
      </c>
      <c r="N181" s="32">
        <f ca="1">_xll.DBRW($C$1,$C$2,$C$3,$C$4,$C$6,$C$5,$C$7,N$1,N$2,$A181)</f>
        <v>-662647.11</v>
      </c>
      <c r="O181" s="32">
        <f ca="1">_xll.DBRW($C$1,$C$2,$C$3,$C$4,$C$6,$C$5,$C$7,O$1,O$2,$A181)</f>
        <v>-662647.11</v>
      </c>
      <c r="P181" s="32">
        <f ca="1">_xll.DBRW($C$1,$C$2,$C$3,$C$4,$C$6,$C$5,$C$7,P$1,P$2,$A181)</f>
        <v>-662647.11</v>
      </c>
      <c r="Q181" s="32">
        <f ca="1">_xll.DBRW($C$1,$C$2,$C$3,$C$4,$C$6,$C$5,$C$7,Q$1,Q$2,$A181)</f>
        <v>-662647.11</v>
      </c>
      <c r="R181" s="32">
        <f ca="1">_xll.DBRW($C$1,$C$2,$C$3,$C$4,$C$6,$C$5,$C$7,R$1,R$2,$A181)</f>
        <v>-662647.11</v>
      </c>
      <c r="S181" s="32">
        <f ca="1">_xll.DBRW($C$1,$C$2,$C$3,$C$4,$C$6,$C$5,$C$7,S$1,S$2,$A181)</f>
        <v>-662647.11</v>
      </c>
      <c r="T181" s="32">
        <f ca="1">_xll.DBRW($C$1,$C$2,$C$3,$C$4,$C$6,$C$5,$C$7,T$1,T$2,$A181)</f>
        <v>-662647.11</v>
      </c>
      <c r="U181" s="32">
        <f ca="1">_xll.DBRW($C$1,$C$2,$C$3,$C$4,$C$6,$C$5,$C$7,U$1,U$2,$A181)</f>
        <v>-662647.11</v>
      </c>
      <c r="V181" s="32">
        <f ca="1">_xll.DBRW($C$1,$C$2,$C$3,$C$4,$C$6,$C$5,$C$7,V$1,V$2,$A181)</f>
        <v>0</v>
      </c>
      <c r="W181" s="32">
        <f ca="1">_xll.DBRW($C$1,$C$2,$C$3,$C$4,$C$6,$C$5,$C$7,W$1,W$2,$A181)</f>
        <v>0</v>
      </c>
      <c r="X181" s="32">
        <f ca="1">_xll.DBRW($C$1,$C$2,$C$3,$C$4,$C$6,$C$5,$C$7,X$1,X$2,$A181)</f>
        <v>0</v>
      </c>
      <c r="Y181" s="32">
        <f ca="1">_xll.DBRW($C$1,$C$2,$C$3,$C$4,$C$6,$C$5,$C$7,Y$1,Y$2,$A181)</f>
        <v>0</v>
      </c>
      <c r="Z181" s="32">
        <f ca="1">_xll.DBRW($C$1,$C$2,$C$3,$C$4,$C$6,$C$5,$C$7,Z$1,Z$2,$A181)</f>
        <v>0</v>
      </c>
      <c r="AA181" s="32">
        <f ca="1">_xll.DBRW($C$1,$C$2,$C$3,$C$4,$C$6,$C$5,$C$7,AA$1,AA$2,$A181)</f>
        <v>0</v>
      </c>
      <c r="AB181" s="32">
        <f ca="1">_xll.DBRW($C$1,$C$2,$C$3,$C$4,$C$6,$C$5,$C$7,AB$1,AB$2,$A181)</f>
        <v>0</v>
      </c>
      <c r="AC181" s="32">
        <f ca="1">_xll.DBRW($C$1,$C$2,$C$3,$C$4,$C$6,$C$5,$C$7,AC$1,AC$2,$A181)</f>
        <v>0</v>
      </c>
      <c r="AD181" s="32">
        <f ca="1">_xll.DBRW($C$1,$C$2,$C$3,$C$4,$C$6,$C$5,$C$7,AD$1,AD$2,$A181)</f>
        <v>0</v>
      </c>
      <c r="AE181" s="32">
        <f ca="1">_xll.DBRW($C$1,$C$2,$C$3,$C$4,$C$6,$C$5,$C$7,AE$1,AE$2,$A181)</f>
        <v>0</v>
      </c>
      <c r="AF181" s="32">
        <f ca="1">_xll.DBRW($C$1,$C$2,$C$3,$C$4,$C$6,$C$5,$C$7,AF$1,AF$2,$A181)</f>
        <v>0</v>
      </c>
      <c r="AG181" s="32">
        <f ca="1">_xll.DBRW($C$1,$C$2,$C$3,$C$4,$C$6,$C$5,$C$7,AG$1,AG$2,$A181)</f>
        <v>0</v>
      </c>
      <c r="AH181" s="32">
        <f ca="1">_xll.DBRW($C$1,$C$2,$C$3,$C$4,$C$6,$C$5,$C$7,AH$1,AH$2,$A181)</f>
        <v>0</v>
      </c>
      <c r="AI181" s="32">
        <f ca="1">_xll.DBRW($C$1,$C$2,$C$3,$C$4,$C$6,$C$5,$C$7,AI$1,AI$2,$A181)</f>
        <v>0</v>
      </c>
      <c r="AJ181" s="32">
        <f ca="1">_xll.DBRW($C$1,$C$2,$C$3,$C$4,$C$6,$C$5,$C$7,AJ$1,AJ$2,$A181)</f>
        <v>0</v>
      </c>
      <c r="AK181" s="32">
        <f ca="1">_xll.DBRW($C$1,$C$2,$C$3,$C$4,$C$6,$C$5,$C$7,AK$1,AK$2,$A181)</f>
        <v>0</v>
      </c>
      <c r="AL181" s="32">
        <f ca="1">_xll.DBRW($C$1,$C$2,$C$3,$C$4,$C$6,$C$5,$C$7,AL$1,AL$2,$A181)</f>
        <v>0</v>
      </c>
      <c r="AM181" s="32">
        <f ca="1">_xll.DBRW($C$1,$C$2,$C$3,$C$4,$C$6,$C$5,$C$7,AM$1,AM$2,$A181)</f>
        <v>0</v>
      </c>
      <c r="AN181" s="32">
        <f ca="1">_xll.DBRW($C$1,$C$2,$C$3,$C$4,$C$6,$C$5,$C$7,AN$1,AN$2,$A181)</f>
        <v>0</v>
      </c>
      <c r="AO181" s="32">
        <f ca="1">_xll.DBRW($C$1,$C$2,$C$3,$C$4,$C$6,$C$5,$C$7,AO$1,AO$2,$A181)</f>
        <v>0</v>
      </c>
      <c r="AP181" s="32">
        <f ca="1">_xll.DBRW($C$1,$C$2,$C$3,$C$4,$C$6,$C$5,$C$7,AP$1,AP$2,$A181)</f>
        <v>0</v>
      </c>
      <c r="AQ181" s="32">
        <f ca="1">_xll.DBRW($C$1,$C$2,$C$3,$C$4,$C$6,$C$5,$C$7,AQ$1,AQ$2,$A181)</f>
        <v>0</v>
      </c>
      <c r="AR181" s="32">
        <f ca="1">_xll.DBRW($C$1,$C$2,$C$3,$C$4,$C$6,$C$5,$C$7,AR$1,AR$2,$A181)</f>
        <v>0</v>
      </c>
      <c r="AS181" s="32">
        <f ca="1">_xll.DBRW($C$1,$C$2,$C$3,$C$4,$C$6,$C$5,$C$7,AS$1,AS$2,$A181)</f>
        <v>0</v>
      </c>
      <c r="AT181" s="32">
        <f ca="1">_xll.DBRW($C$1,$C$2,$C$3,$C$4,$C$6,$C$5,$C$7,AT$1,AT$2,$A181)</f>
        <v>0</v>
      </c>
      <c r="AU181" s="32">
        <f ca="1">_xll.DBRW($C$1,$C$2,$C$3,$C$4,$C$6,$C$5,$C$7,AU$1,AU$2,$A181)</f>
        <v>0</v>
      </c>
    </row>
    <row r="182" spans="1:47" ht="15.75" hidden="1" customHeight="1" outlineLevel="2">
      <c r="A182" s="1" t="s">
        <v>260</v>
      </c>
      <c r="C182" s="141"/>
      <c r="E182" s="9" t="str">
        <f ca="1">_xll.DBRW(Server&amp;"}ElementAttributes_Indicator",A182,"code_English")</f>
        <v>PL1150_AC_91 - Impairment (other than working capital) and provisions - others - Reversal</v>
      </c>
      <c r="F182" s="32">
        <f ca="1">_xll.DBRW($C$1,$C$2,$C$3,$C$4,$C$6,$C$5,$C$7,F$1,F$2,$A182)</f>
        <v>0</v>
      </c>
      <c r="G182" s="32">
        <f ca="1">_xll.DBRW($C$1,$C$2,$C$3,$C$4,$C$6,$C$5,$C$7,G$1,G$2,$A182)</f>
        <v>0</v>
      </c>
      <c r="H182" s="32">
        <f ca="1">_xll.DBRW($C$1,$C$2,$C$3,$C$4,$C$6,$C$5,$C$7,H$1,H$2,$A182)</f>
        <v>0</v>
      </c>
      <c r="I182" s="32">
        <f ca="1">_xll.DBRW($C$1,$C$2,$C$3,$C$4,$C$6,$C$5,$C$7,I$1,I$2,$A182)</f>
        <v>0</v>
      </c>
      <c r="J182" s="32">
        <f ca="1">_xll.DBRW($C$1,$C$2,$C$3,$C$4,$C$6,$C$5,$C$7,J$1,J$2,$A182)</f>
        <v>0</v>
      </c>
      <c r="K182" s="32">
        <f ca="1">_xll.DBRW($C$1,$C$2,$C$3,$C$4,$C$6,$C$5,$C$7,K$1,K$2,$A182)</f>
        <v>0</v>
      </c>
      <c r="L182" s="32">
        <f ca="1">_xll.DBRW($C$1,$C$2,$C$3,$C$4,$C$6,$C$5,$C$7,L$1,L$2,$A182)</f>
        <v>0</v>
      </c>
      <c r="M182" s="32">
        <f ca="1">_xll.DBRW($C$1,$C$2,$C$3,$C$4,$C$6,$C$5,$C$7,M$1,M$2,$A182)</f>
        <v>0</v>
      </c>
      <c r="N182" s="32">
        <f ca="1">_xll.DBRW($C$1,$C$2,$C$3,$C$4,$C$6,$C$5,$C$7,N$1,N$2,$A182)</f>
        <v>0</v>
      </c>
      <c r="O182" s="32">
        <f ca="1">_xll.DBRW($C$1,$C$2,$C$3,$C$4,$C$6,$C$5,$C$7,O$1,O$2,$A182)</f>
        <v>0</v>
      </c>
      <c r="P182" s="32">
        <f ca="1">_xll.DBRW($C$1,$C$2,$C$3,$C$4,$C$6,$C$5,$C$7,P$1,P$2,$A182)</f>
        <v>0</v>
      </c>
      <c r="Q182" s="32">
        <f ca="1">_xll.DBRW($C$1,$C$2,$C$3,$C$4,$C$6,$C$5,$C$7,Q$1,Q$2,$A182)</f>
        <v>0</v>
      </c>
      <c r="R182" s="32">
        <f ca="1">_xll.DBRW($C$1,$C$2,$C$3,$C$4,$C$6,$C$5,$C$7,R$1,R$2,$A182)</f>
        <v>0</v>
      </c>
      <c r="S182" s="32">
        <f ca="1">_xll.DBRW($C$1,$C$2,$C$3,$C$4,$C$6,$C$5,$C$7,S$1,S$2,$A182)</f>
        <v>0</v>
      </c>
      <c r="T182" s="32">
        <f ca="1">_xll.DBRW($C$1,$C$2,$C$3,$C$4,$C$6,$C$5,$C$7,T$1,T$2,$A182)</f>
        <v>0</v>
      </c>
      <c r="U182" s="32">
        <f ca="1">_xll.DBRW($C$1,$C$2,$C$3,$C$4,$C$6,$C$5,$C$7,U$1,U$2,$A182)</f>
        <v>0</v>
      </c>
      <c r="V182" s="32">
        <f ca="1">_xll.DBRW($C$1,$C$2,$C$3,$C$4,$C$6,$C$5,$C$7,V$1,V$2,$A182)</f>
        <v>0</v>
      </c>
      <c r="W182" s="32">
        <f ca="1">_xll.DBRW($C$1,$C$2,$C$3,$C$4,$C$6,$C$5,$C$7,W$1,W$2,$A182)</f>
        <v>0</v>
      </c>
      <c r="X182" s="32">
        <f ca="1">_xll.DBRW($C$1,$C$2,$C$3,$C$4,$C$6,$C$5,$C$7,X$1,X$2,$A182)</f>
        <v>0</v>
      </c>
      <c r="Y182" s="32">
        <f ca="1">_xll.DBRW($C$1,$C$2,$C$3,$C$4,$C$6,$C$5,$C$7,Y$1,Y$2,$A182)</f>
        <v>0</v>
      </c>
      <c r="Z182" s="32">
        <f ca="1">_xll.DBRW($C$1,$C$2,$C$3,$C$4,$C$6,$C$5,$C$7,Z$1,Z$2,$A182)</f>
        <v>0</v>
      </c>
      <c r="AA182" s="32">
        <f ca="1">_xll.DBRW($C$1,$C$2,$C$3,$C$4,$C$6,$C$5,$C$7,AA$1,AA$2,$A182)</f>
        <v>0</v>
      </c>
      <c r="AB182" s="32">
        <f ca="1">_xll.DBRW($C$1,$C$2,$C$3,$C$4,$C$6,$C$5,$C$7,AB$1,AB$2,$A182)</f>
        <v>0</v>
      </c>
      <c r="AC182" s="32">
        <f ca="1">_xll.DBRW($C$1,$C$2,$C$3,$C$4,$C$6,$C$5,$C$7,AC$1,AC$2,$A182)</f>
        <v>0</v>
      </c>
      <c r="AD182" s="32">
        <f ca="1">_xll.DBRW($C$1,$C$2,$C$3,$C$4,$C$6,$C$5,$C$7,AD$1,AD$2,$A182)</f>
        <v>0</v>
      </c>
      <c r="AE182" s="32">
        <f ca="1">_xll.DBRW($C$1,$C$2,$C$3,$C$4,$C$6,$C$5,$C$7,AE$1,AE$2,$A182)</f>
        <v>0</v>
      </c>
      <c r="AF182" s="32">
        <f ca="1">_xll.DBRW($C$1,$C$2,$C$3,$C$4,$C$6,$C$5,$C$7,AF$1,AF$2,$A182)</f>
        <v>0</v>
      </c>
      <c r="AG182" s="32">
        <f ca="1">_xll.DBRW($C$1,$C$2,$C$3,$C$4,$C$6,$C$5,$C$7,AG$1,AG$2,$A182)</f>
        <v>0</v>
      </c>
      <c r="AH182" s="32">
        <f ca="1">_xll.DBRW($C$1,$C$2,$C$3,$C$4,$C$6,$C$5,$C$7,AH$1,AH$2,$A182)</f>
        <v>0</v>
      </c>
      <c r="AI182" s="32">
        <f ca="1">_xll.DBRW($C$1,$C$2,$C$3,$C$4,$C$6,$C$5,$C$7,AI$1,AI$2,$A182)</f>
        <v>0</v>
      </c>
      <c r="AJ182" s="32">
        <f ca="1">_xll.DBRW($C$1,$C$2,$C$3,$C$4,$C$6,$C$5,$C$7,AJ$1,AJ$2,$A182)</f>
        <v>0</v>
      </c>
      <c r="AK182" s="32">
        <f ca="1">_xll.DBRW($C$1,$C$2,$C$3,$C$4,$C$6,$C$5,$C$7,AK$1,AK$2,$A182)</f>
        <v>0</v>
      </c>
      <c r="AL182" s="32">
        <f ca="1">_xll.DBRW($C$1,$C$2,$C$3,$C$4,$C$6,$C$5,$C$7,AL$1,AL$2,$A182)</f>
        <v>0</v>
      </c>
      <c r="AM182" s="32">
        <f ca="1">_xll.DBRW($C$1,$C$2,$C$3,$C$4,$C$6,$C$5,$C$7,AM$1,AM$2,$A182)</f>
        <v>0</v>
      </c>
      <c r="AN182" s="32">
        <f ca="1">_xll.DBRW($C$1,$C$2,$C$3,$C$4,$C$6,$C$5,$C$7,AN$1,AN$2,$A182)</f>
        <v>0</v>
      </c>
      <c r="AO182" s="32">
        <f ca="1">_xll.DBRW($C$1,$C$2,$C$3,$C$4,$C$6,$C$5,$C$7,AO$1,AO$2,$A182)</f>
        <v>0</v>
      </c>
      <c r="AP182" s="32">
        <f ca="1">_xll.DBRW($C$1,$C$2,$C$3,$C$4,$C$6,$C$5,$C$7,AP$1,AP$2,$A182)</f>
        <v>0</v>
      </c>
      <c r="AQ182" s="32">
        <f ca="1">_xll.DBRW($C$1,$C$2,$C$3,$C$4,$C$6,$C$5,$C$7,AQ$1,AQ$2,$A182)</f>
        <v>0</v>
      </c>
      <c r="AR182" s="32">
        <f ca="1">_xll.DBRW($C$1,$C$2,$C$3,$C$4,$C$6,$C$5,$C$7,AR$1,AR$2,$A182)</f>
        <v>0</v>
      </c>
      <c r="AS182" s="32">
        <f ca="1">_xll.DBRW($C$1,$C$2,$C$3,$C$4,$C$6,$C$5,$C$7,AS$1,AS$2,$A182)</f>
        <v>0</v>
      </c>
      <c r="AT182" s="32">
        <f ca="1">_xll.DBRW($C$1,$C$2,$C$3,$C$4,$C$6,$C$5,$C$7,AT$1,AT$2,$A182)</f>
        <v>0</v>
      </c>
      <c r="AU182" s="32">
        <f ca="1">_xll.DBRW($C$1,$C$2,$C$3,$C$4,$C$6,$C$5,$C$7,AU$1,AU$2,$A182)</f>
        <v>0</v>
      </c>
    </row>
    <row r="183" spans="1:47" ht="15.75" hidden="1" customHeight="1" outlineLevel="2">
      <c r="A183" s="1" t="s">
        <v>261</v>
      </c>
      <c r="C183" s="141"/>
      <c r="E183" s="9" t="str">
        <f ca="1">_xll.DBRW(Server&amp;"}ElementAttributes_Indicator",A183,"code_English")</f>
        <v>PL1170_AC - Net provisions for restructuring costs (AC)</v>
      </c>
      <c r="F183" s="32">
        <f ca="1">_xll.DBRW($C$1,$C$2,$C$3,$C$4,$C$6,$C$5,$C$7,F$1,F$2,$A183)</f>
        <v>1174959.47</v>
      </c>
      <c r="G183" s="32">
        <f ca="1">_xll.DBRW($C$1,$C$2,$C$3,$C$4,$C$6,$C$5,$C$7,G$1,G$2,$A183)</f>
        <v>0</v>
      </c>
      <c r="H183" s="32">
        <f ca="1">_xll.DBRW($C$1,$C$2,$C$3,$C$4,$C$6,$C$5,$C$7,H$1,H$2,$A183)</f>
        <v>0</v>
      </c>
      <c r="I183" s="32">
        <f ca="1">_xll.DBRW($C$1,$C$2,$C$3,$C$4,$C$6,$C$5,$C$7,I$1,I$2,$A183)</f>
        <v>0</v>
      </c>
      <c r="J183" s="32">
        <f ca="1">_xll.DBRW($C$1,$C$2,$C$3,$C$4,$C$6,$C$5,$C$7,J$1,J$2,$A183)</f>
        <v>0</v>
      </c>
      <c r="K183" s="32">
        <f ca="1">_xll.DBRW($C$1,$C$2,$C$3,$C$4,$C$6,$C$5,$C$7,K$1,K$2,$A183)</f>
        <v>0</v>
      </c>
      <c r="L183" s="32">
        <f ca="1">_xll.DBRW($C$1,$C$2,$C$3,$C$4,$C$6,$C$5,$C$7,L$1,L$2,$A183)</f>
        <v>0</v>
      </c>
      <c r="M183" s="32">
        <f ca="1">_xll.DBRW($C$1,$C$2,$C$3,$C$4,$C$6,$C$5,$C$7,M$1,M$2,$A183)</f>
        <v>0</v>
      </c>
      <c r="N183" s="32">
        <f ca="1">_xll.DBRW($C$1,$C$2,$C$3,$C$4,$C$6,$C$5,$C$7,N$1,N$2,$A183)</f>
        <v>0</v>
      </c>
      <c r="O183" s="32">
        <f ca="1">_xll.DBRW($C$1,$C$2,$C$3,$C$4,$C$6,$C$5,$C$7,O$1,O$2,$A183)</f>
        <v>0</v>
      </c>
      <c r="P183" s="32">
        <f ca="1">_xll.DBRW($C$1,$C$2,$C$3,$C$4,$C$6,$C$5,$C$7,P$1,P$2,$A183)</f>
        <v>0</v>
      </c>
      <c r="Q183" s="32">
        <f ca="1">_xll.DBRW($C$1,$C$2,$C$3,$C$4,$C$6,$C$5,$C$7,Q$1,Q$2,$A183)</f>
        <v>0</v>
      </c>
      <c r="R183" s="32">
        <f ca="1">_xll.DBRW($C$1,$C$2,$C$3,$C$4,$C$6,$C$5,$C$7,R$1,R$2,$A183)</f>
        <v>0</v>
      </c>
      <c r="S183" s="32">
        <f ca="1">_xll.DBRW($C$1,$C$2,$C$3,$C$4,$C$6,$C$5,$C$7,S$1,S$2,$A183)</f>
        <v>0</v>
      </c>
      <c r="T183" s="32">
        <f ca="1">_xll.DBRW($C$1,$C$2,$C$3,$C$4,$C$6,$C$5,$C$7,T$1,T$2,$A183)</f>
        <v>0</v>
      </c>
      <c r="U183" s="32">
        <f ca="1">_xll.DBRW($C$1,$C$2,$C$3,$C$4,$C$6,$C$5,$C$7,U$1,U$2,$A183)</f>
        <v>0</v>
      </c>
      <c r="V183" s="32">
        <f ca="1">_xll.DBRW($C$1,$C$2,$C$3,$C$4,$C$6,$C$5,$C$7,V$1,V$2,$A183)</f>
        <v>0</v>
      </c>
      <c r="W183" s="32">
        <f ca="1">_xll.DBRW($C$1,$C$2,$C$3,$C$4,$C$6,$C$5,$C$7,W$1,W$2,$A183)</f>
        <v>0</v>
      </c>
      <c r="X183" s="32">
        <f ca="1">_xll.DBRW($C$1,$C$2,$C$3,$C$4,$C$6,$C$5,$C$7,X$1,X$2,$A183)</f>
        <v>0</v>
      </c>
      <c r="Y183" s="32">
        <f ca="1">_xll.DBRW($C$1,$C$2,$C$3,$C$4,$C$6,$C$5,$C$7,Y$1,Y$2,$A183)</f>
        <v>0</v>
      </c>
      <c r="Z183" s="32">
        <f ca="1">_xll.DBRW($C$1,$C$2,$C$3,$C$4,$C$6,$C$5,$C$7,Z$1,Z$2,$A183)</f>
        <v>0</v>
      </c>
      <c r="AA183" s="32">
        <f ca="1">_xll.DBRW($C$1,$C$2,$C$3,$C$4,$C$6,$C$5,$C$7,AA$1,AA$2,$A183)</f>
        <v>0</v>
      </c>
      <c r="AB183" s="32">
        <f ca="1">_xll.DBRW($C$1,$C$2,$C$3,$C$4,$C$6,$C$5,$C$7,AB$1,AB$2,$A183)</f>
        <v>0</v>
      </c>
      <c r="AC183" s="32">
        <f ca="1">_xll.DBRW($C$1,$C$2,$C$3,$C$4,$C$6,$C$5,$C$7,AC$1,AC$2,$A183)</f>
        <v>0</v>
      </c>
      <c r="AD183" s="32">
        <f ca="1">_xll.DBRW($C$1,$C$2,$C$3,$C$4,$C$6,$C$5,$C$7,AD$1,AD$2,$A183)</f>
        <v>0</v>
      </c>
      <c r="AE183" s="32">
        <f ca="1">_xll.DBRW($C$1,$C$2,$C$3,$C$4,$C$6,$C$5,$C$7,AE$1,AE$2,$A183)</f>
        <v>0</v>
      </c>
      <c r="AF183" s="32">
        <f ca="1">_xll.DBRW($C$1,$C$2,$C$3,$C$4,$C$6,$C$5,$C$7,AF$1,AF$2,$A183)</f>
        <v>0</v>
      </c>
      <c r="AG183" s="32">
        <f ca="1">_xll.DBRW($C$1,$C$2,$C$3,$C$4,$C$6,$C$5,$C$7,AG$1,AG$2,$A183)</f>
        <v>0</v>
      </c>
      <c r="AH183" s="32">
        <f ca="1">_xll.DBRW($C$1,$C$2,$C$3,$C$4,$C$6,$C$5,$C$7,AH$1,AH$2,$A183)</f>
        <v>0</v>
      </c>
      <c r="AI183" s="32">
        <f ca="1">_xll.DBRW($C$1,$C$2,$C$3,$C$4,$C$6,$C$5,$C$7,AI$1,AI$2,$A183)</f>
        <v>0</v>
      </c>
      <c r="AJ183" s="32">
        <f ca="1">_xll.DBRW($C$1,$C$2,$C$3,$C$4,$C$6,$C$5,$C$7,AJ$1,AJ$2,$A183)</f>
        <v>0</v>
      </c>
      <c r="AK183" s="32">
        <f ca="1">_xll.DBRW($C$1,$C$2,$C$3,$C$4,$C$6,$C$5,$C$7,AK$1,AK$2,$A183)</f>
        <v>0</v>
      </c>
      <c r="AL183" s="32">
        <f ca="1">_xll.DBRW($C$1,$C$2,$C$3,$C$4,$C$6,$C$5,$C$7,AL$1,AL$2,$A183)</f>
        <v>0</v>
      </c>
      <c r="AM183" s="32">
        <f ca="1">_xll.DBRW($C$1,$C$2,$C$3,$C$4,$C$6,$C$5,$C$7,AM$1,AM$2,$A183)</f>
        <v>0</v>
      </c>
      <c r="AN183" s="32">
        <f ca="1">_xll.DBRW($C$1,$C$2,$C$3,$C$4,$C$6,$C$5,$C$7,AN$1,AN$2,$A183)</f>
        <v>0</v>
      </c>
      <c r="AO183" s="32">
        <f ca="1">_xll.DBRW($C$1,$C$2,$C$3,$C$4,$C$6,$C$5,$C$7,AO$1,AO$2,$A183)</f>
        <v>0</v>
      </c>
      <c r="AP183" s="32">
        <f ca="1">_xll.DBRW($C$1,$C$2,$C$3,$C$4,$C$6,$C$5,$C$7,AP$1,AP$2,$A183)</f>
        <v>0</v>
      </c>
      <c r="AQ183" s="32">
        <f ca="1">_xll.DBRW($C$1,$C$2,$C$3,$C$4,$C$6,$C$5,$C$7,AQ$1,AQ$2,$A183)</f>
        <v>0</v>
      </c>
      <c r="AR183" s="32">
        <f ca="1">_xll.DBRW($C$1,$C$2,$C$3,$C$4,$C$6,$C$5,$C$7,AR$1,AR$2,$A183)</f>
        <v>0</v>
      </c>
      <c r="AS183" s="32">
        <f ca="1">_xll.DBRW($C$1,$C$2,$C$3,$C$4,$C$6,$C$5,$C$7,AS$1,AS$2,$A183)</f>
        <v>0</v>
      </c>
      <c r="AT183" s="32">
        <f ca="1">_xll.DBRW($C$1,$C$2,$C$3,$C$4,$C$6,$C$5,$C$7,AT$1,AT$2,$A183)</f>
        <v>0</v>
      </c>
      <c r="AU183" s="32">
        <f ca="1">_xll.DBRW($C$1,$C$2,$C$3,$C$4,$C$6,$C$5,$C$7,AU$1,AU$2,$A183)</f>
        <v>0</v>
      </c>
    </row>
    <row r="184" spans="1:47" ht="15.75" hidden="1" customHeight="1" outlineLevel="2">
      <c r="A184" s="1" t="s">
        <v>262</v>
      </c>
      <c r="C184" s="141"/>
      <c r="E184" s="9" t="str">
        <f ca="1">_xll.DBRW(Server&amp;"}ElementAttributes_Indicator",A184,"code_English")</f>
        <v>PL1175_AC - Impairment on goodwill (full and proportionate consol.) (AC)</v>
      </c>
      <c r="F184" s="32">
        <f ca="1">_xll.DBRW($C$1,$C$2,$C$3,$C$4,$C$6,$C$5,$C$7,F$1,F$2,$A184)</f>
        <v>0</v>
      </c>
      <c r="G184" s="32">
        <f ca="1">_xll.DBRW($C$1,$C$2,$C$3,$C$4,$C$6,$C$5,$C$7,G$1,G$2,$A184)</f>
        <v>0</v>
      </c>
      <c r="H184" s="32">
        <f ca="1">_xll.DBRW($C$1,$C$2,$C$3,$C$4,$C$6,$C$5,$C$7,H$1,H$2,$A184)</f>
        <v>0</v>
      </c>
      <c r="I184" s="32">
        <f ca="1">_xll.DBRW($C$1,$C$2,$C$3,$C$4,$C$6,$C$5,$C$7,I$1,I$2,$A184)</f>
        <v>0</v>
      </c>
      <c r="J184" s="32">
        <f ca="1">_xll.DBRW($C$1,$C$2,$C$3,$C$4,$C$6,$C$5,$C$7,J$1,J$2,$A184)</f>
        <v>0</v>
      </c>
      <c r="K184" s="32">
        <f ca="1">_xll.DBRW($C$1,$C$2,$C$3,$C$4,$C$6,$C$5,$C$7,K$1,K$2,$A184)</f>
        <v>0</v>
      </c>
      <c r="L184" s="32">
        <f ca="1">_xll.DBRW($C$1,$C$2,$C$3,$C$4,$C$6,$C$5,$C$7,L$1,L$2,$A184)</f>
        <v>0</v>
      </c>
      <c r="M184" s="32">
        <f ca="1">_xll.DBRW($C$1,$C$2,$C$3,$C$4,$C$6,$C$5,$C$7,M$1,M$2,$A184)</f>
        <v>0</v>
      </c>
      <c r="N184" s="32">
        <f ca="1">_xll.DBRW($C$1,$C$2,$C$3,$C$4,$C$6,$C$5,$C$7,N$1,N$2,$A184)</f>
        <v>0</v>
      </c>
      <c r="O184" s="32">
        <f ca="1">_xll.DBRW($C$1,$C$2,$C$3,$C$4,$C$6,$C$5,$C$7,O$1,O$2,$A184)</f>
        <v>0</v>
      </c>
      <c r="P184" s="32">
        <f ca="1">_xll.DBRW($C$1,$C$2,$C$3,$C$4,$C$6,$C$5,$C$7,P$1,P$2,$A184)</f>
        <v>0</v>
      </c>
      <c r="Q184" s="32">
        <f ca="1">_xll.DBRW($C$1,$C$2,$C$3,$C$4,$C$6,$C$5,$C$7,Q$1,Q$2,$A184)</f>
        <v>0</v>
      </c>
      <c r="R184" s="32">
        <f ca="1">_xll.DBRW($C$1,$C$2,$C$3,$C$4,$C$6,$C$5,$C$7,R$1,R$2,$A184)</f>
        <v>0</v>
      </c>
      <c r="S184" s="32">
        <f ca="1">_xll.DBRW($C$1,$C$2,$C$3,$C$4,$C$6,$C$5,$C$7,S$1,S$2,$A184)</f>
        <v>0</v>
      </c>
      <c r="T184" s="32">
        <f ca="1">_xll.DBRW($C$1,$C$2,$C$3,$C$4,$C$6,$C$5,$C$7,T$1,T$2,$A184)</f>
        <v>0</v>
      </c>
      <c r="U184" s="32">
        <f ca="1">_xll.DBRW($C$1,$C$2,$C$3,$C$4,$C$6,$C$5,$C$7,U$1,U$2,$A184)</f>
        <v>0</v>
      </c>
      <c r="V184" s="32">
        <f ca="1">_xll.DBRW($C$1,$C$2,$C$3,$C$4,$C$6,$C$5,$C$7,V$1,V$2,$A184)</f>
        <v>0</v>
      </c>
      <c r="W184" s="32">
        <f ca="1">_xll.DBRW($C$1,$C$2,$C$3,$C$4,$C$6,$C$5,$C$7,W$1,W$2,$A184)</f>
        <v>0</v>
      </c>
      <c r="X184" s="32">
        <f ca="1">_xll.DBRW($C$1,$C$2,$C$3,$C$4,$C$6,$C$5,$C$7,X$1,X$2,$A184)</f>
        <v>0</v>
      </c>
      <c r="Y184" s="32">
        <f ca="1">_xll.DBRW($C$1,$C$2,$C$3,$C$4,$C$6,$C$5,$C$7,Y$1,Y$2,$A184)</f>
        <v>0</v>
      </c>
      <c r="Z184" s="32">
        <f ca="1">_xll.DBRW($C$1,$C$2,$C$3,$C$4,$C$6,$C$5,$C$7,Z$1,Z$2,$A184)</f>
        <v>0</v>
      </c>
      <c r="AA184" s="32">
        <f ca="1">_xll.DBRW($C$1,$C$2,$C$3,$C$4,$C$6,$C$5,$C$7,AA$1,AA$2,$A184)</f>
        <v>0</v>
      </c>
      <c r="AB184" s="32">
        <f ca="1">_xll.DBRW($C$1,$C$2,$C$3,$C$4,$C$6,$C$5,$C$7,AB$1,AB$2,$A184)</f>
        <v>0</v>
      </c>
      <c r="AC184" s="32">
        <f ca="1">_xll.DBRW($C$1,$C$2,$C$3,$C$4,$C$6,$C$5,$C$7,AC$1,AC$2,$A184)</f>
        <v>0</v>
      </c>
      <c r="AD184" s="32">
        <f ca="1">_xll.DBRW($C$1,$C$2,$C$3,$C$4,$C$6,$C$5,$C$7,AD$1,AD$2,$A184)</f>
        <v>0</v>
      </c>
      <c r="AE184" s="32">
        <f ca="1">_xll.DBRW($C$1,$C$2,$C$3,$C$4,$C$6,$C$5,$C$7,AE$1,AE$2,$A184)</f>
        <v>0</v>
      </c>
      <c r="AF184" s="32">
        <f ca="1">_xll.DBRW($C$1,$C$2,$C$3,$C$4,$C$6,$C$5,$C$7,AF$1,AF$2,$A184)</f>
        <v>0</v>
      </c>
      <c r="AG184" s="32">
        <f ca="1">_xll.DBRW($C$1,$C$2,$C$3,$C$4,$C$6,$C$5,$C$7,AG$1,AG$2,$A184)</f>
        <v>0</v>
      </c>
      <c r="AH184" s="32">
        <f ca="1">_xll.DBRW($C$1,$C$2,$C$3,$C$4,$C$6,$C$5,$C$7,AH$1,AH$2,$A184)</f>
        <v>0</v>
      </c>
      <c r="AI184" s="32">
        <f ca="1">_xll.DBRW($C$1,$C$2,$C$3,$C$4,$C$6,$C$5,$C$7,AI$1,AI$2,$A184)</f>
        <v>0</v>
      </c>
      <c r="AJ184" s="32">
        <f ca="1">_xll.DBRW($C$1,$C$2,$C$3,$C$4,$C$6,$C$5,$C$7,AJ$1,AJ$2,$A184)</f>
        <v>0</v>
      </c>
      <c r="AK184" s="32">
        <f ca="1">_xll.DBRW($C$1,$C$2,$C$3,$C$4,$C$6,$C$5,$C$7,AK$1,AK$2,$A184)</f>
        <v>0</v>
      </c>
      <c r="AL184" s="32">
        <f ca="1">_xll.DBRW($C$1,$C$2,$C$3,$C$4,$C$6,$C$5,$C$7,AL$1,AL$2,$A184)</f>
        <v>0</v>
      </c>
      <c r="AM184" s="32">
        <f ca="1">_xll.DBRW($C$1,$C$2,$C$3,$C$4,$C$6,$C$5,$C$7,AM$1,AM$2,$A184)</f>
        <v>0</v>
      </c>
      <c r="AN184" s="32">
        <f ca="1">_xll.DBRW($C$1,$C$2,$C$3,$C$4,$C$6,$C$5,$C$7,AN$1,AN$2,$A184)</f>
        <v>0</v>
      </c>
      <c r="AO184" s="32">
        <f ca="1">_xll.DBRW($C$1,$C$2,$C$3,$C$4,$C$6,$C$5,$C$7,AO$1,AO$2,$A184)</f>
        <v>0</v>
      </c>
      <c r="AP184" s="32">
        <f ca="1">_xll.DBRW($C$1,$C$2,$C$3,$C$4,$C$6,$C$5,$C$7,AP$1,AP$2,$A184)</f>
        <v>0</v>
      </c>
      <c r="AQ184" s="32">
        <f ca="1">_xll.DBRW($C$1,$C$2,$C$3,$C$4,$C$6,$C$5,$C$7,AQ$1,AQ$2,$A184)</f>
        <v>0</v>
      </c>
      <c r="AR184" s="32">
        <f ca="1">_xll.DBRW($C$1,$C$2,$C$3,$C$4,$C$6,$C$5,$C$7,AR$1,AR$2,$A184)</f>
        <v>0</v>
      </c>
      <c r="AS184" s="32">
        <f ca="1">_xll.DBRW($C$1,$C$2,$C$3,$C$4,$C$6,$C$5,$C$7,AS$1,AS$2,$A184)</f>
        <v>0</v>
      </c>
      <c r="AT184" s="32">
        <f ca="1">_xll.DBRW($C$1,$C$2,$C$3,$C$4,$C$6,$C$5,$C$7,AT$1,AT$2,$A184)</f>
        <v>0</v>
      </c>
      <c r="AU184" s="32">
        <f ca="1">_xll.DBRW($C$1,$C$2,$C$3,$C$4,$C$6,$C$5,$C$7,AU$1,AU$2,$A184)</f>
        <v>0</v>
      </c>
    </row>
    <row r="185" spans="1:47" ht="15.75" hidden="1" outlineLevel="1">
      <c r="A185" s="1" t="s">
        <v>127</v>
      </c>
      <c r="C185" s="141"/>
      <c r="E185" s="14" t="s">
        <v>32</v>
      </c>
      <c r="F185" s="32">
        <f t="shared" ref="F185:AU185" ca="1" si="81">SUM(F170:F184)</f>
        <v>-608961.08000000031</v>
      </c>
      <c r="G185" s="32">
        <f t="shared" ca="1" si="81"/>
        <v>-5280124.47</v>
      </c>
      <c r="H185" s="32">
        <f t="shared" ca="1" si="81"/>
        <v>-14798115.341399999</v>
      </c>
      <c r="I185" s="32">
        <f t="shared" ca="1" si="81"/>
        <v>-572611.61</v>
      </c>
      <c r="J185" s="32">
        <f t="shared" ca="1" si="81"/>
        <v>-1215649.3500000001</v>
      </c>
      <c r="K185" s="32">
        <f t="shared" ca="1" si="81"/>
        <v>-933242.97</v>
      </c>
      <c r="L185" s="32">
        <f t="shared" ca="1" si="81"/>
        <v>-1441236.0999999999</v>
      </c>
      <c r="M185" s="32">
        <f t="shared" ca="1" si="81"/>
        <v>-1418566.0299999998</v>
      </c>
      <c r="N185" s="32">
        <f t="shared" ca="1" si="81"/>
        <v>-1314841.42</v>
      </c>
      <c r="O185" s="32">
        <f t="shared" ca="1" si="81"/>
        <v>-1314841.42</v>
      </c>
      <c r="P185" s="32">
        <f t="shared" ca="1" si="81"/>
        <v>-1314841.42</v>
      </c>
      <c r="Q185" s="32">
        <f t="shared" ca="1" si="81"/>
        <v>-1314841.42</v>
      </c>
      <c r="R185" s="32">
        <f t="shared" ca="1" si="81"/>
        <v>-1314841.42</v>
      </c>
      <c r="S185" s="32">
        <f t="shared" ca="1" si="81"/>
        <v>-1314841.42</v>
      </c>
      <c r="T185" s="32">
        <f t="shared" ca="1" si="81"/>
        <v>-1314841.42</v>
      </c>
      <c r="U185" s="32">
        <f t="shared" ca="1" si="81"/>
        <v>-1314841.42</v>
      </c>
      <c r="V185" s="32">
        <f t="shared" ca="1" si="81"/>
        <v>0</v>
      </c>
      <c r="W185" s="32">
        <f t="shared" ca="1" si="81"/>
        <v>0</v>
      </c>
      <c r="X185" s="32">
        <f t="shared" ca="1" si="81"/>
        <v>0</v>
      </c>
      <c r="Y185" s="32">
        <f t="shared" ca="1" si="81"/>
        <v>0</v>
      </c>
      <c r="Z185" s="32">
        <f t="shared" ca="1" si="81"/>
        <v>0</v>
      </c>
      <c r="AA185" s="32">
        <f t="shared" ca="1" si="81"/>
        <v>0</v>
      </c>
      <c r="AB185" s="32">
        <f t="shared" ca="1" si="81"/>
        <v>0</v>
      </c>
      <c r="AC185" s="32">
        <f t="shared" ca="1" si="81"/>
        <v>0</v>
      </c>
      <c r="AD185" s="32">
        <f t="shared" ca="1" si="81"/>
        <v>0</v>
      </c>
      <c r="AE185" s="32">
        <f t="shared" ca="1" si="81"/>
        <v>0</v>
      </c>
      <c r="AF185" s="32">
        <f t="shared" ca="1" si="81"/>
        <v>0</v>
      </c>
      <c r="AG185" s="32">
        <f t="shared" ca="1" si="81"/>
        <v>0</v>
      </c>
      <c r="AH185" s="32">
        <f t="shared" ca="1" si="81"/>
        <v>0</v>
      </c>
      <c r="AI185" s="32">
        <f t="shared" ca="1" si="81"/>
        <v>0</v>
      </c>
      <c r="AJ185" s="32">
        <f t="shared" ca="1" si="81"/>
        <v>0</v>
      </c>
      <c r="AK185" s="32">
        <f t="shared" ca="1" si="81"/>
        <v>0</v>
      </c>
      <c r="AL185" s="32">
        <f t="shared" ca="1" si="81"/>
        <v>0</v>
      </c>
      <c r="AM185" s="32">
        <f t="shared" ca="1" si="81"/>
        <v>0</v>
      </c>
      <c r="AN185" s="32">
        <f t="shared" ca="1" si="81"/>
        <v>0</v>
      </c>
      <c r="AO185" s="32">
        <f t="shared" ca="1" si="81"/>
        <v>0</v>
      </c>
      <c r="AP185" s="32">
        <f t="shared" ca="1" si="81"/>
        <v>0</v>
      </c>
      <c r="AQ185" s="32">
        <f t="shared" ca="1" si="81"/>
        <v>0</v>
      </c>
      <c r="AR185" s="32">
        <f t="shared" ca="1" si="81"/>
        <v>0</v>
      </c>
      <c r="AS185" s="32">
        <f t="shared" ca="1" si="81"/>
        <v>0</v>
      </c>
      <c r="AT185" s="32">
        <f t="shared" ca="1" si="81"/>
        <v>0</v>
      </c>
      <c r="AU185" s="32">
        <f t="shared" ca="1" si="81"/>
        <v>0</v>
      </c>
    </row>
    <row r="186" spans="1:47" ht="15.75" collapsed="1">
      <c r="A186" s="1" t="s">
        <v>127</v>
      </c>
      <c r="C186" s="141"/>
      <c r="E186" s="126" t="s">
        <v>39</v>
      </c>
      <c r="F186" s="127">
        <f t="shared" ref="F186:AU186" ca="1" si="82">F185+F169+F151+F137+F128</f>
        <v>-138901278.05000001</v>
      </c>
      <c r="G186" s="127">
        <f t="shared" ca="1" si="82"/>
        <v>-131896193.44000001</v>
      </c>
      <c r="H186" s="127">
        <f t="shared" ca="1" si="82"/>
        <v>-142234595.90040001</v>
      </c>
      <c r="I186" s="127">
        <f t="shared" ca="1" si="82"/>
        <v>-10781555.449999999</v>
      </c>
      <c r="J186" s="127">
        <f t="shared" ca="1" si="82"/>
        <v>-22266672.140000001</v>
      </c>
      <c r="K186" s="127">
        <f t="shared" ca="1" si="82"/>
        <v>-33466137.819999997</v>
      </c>
      <c r="L186" s="127">
        <f t="shared" ca="1" si="82"/>
        <v>-45139268.119999997</v>
      </c>
      <c r="M186" s="127">
        <f t="shared" ca="1" si="82"/>
        <v>-56423289.890000001</v>
      </c>
      <c r="N186" s="127">
        <f t="shared" ca="1" si="82"/>
        <v>-68201067.5</v>
      </c>
      <c r="O186" s="127">
        <f t="shared" ca="1" si="82"/>
        <v>-68201067.5</v>
      </c>
      <c r="P186" s="127">
        <f t="shared" ca="1" si="82"/>
        <v>-68201067.5</v>
      </c>
      <c r="Q186" s="127">
        <f t="shared" ca="1" si="82"/>
        <v>-68201067.5</v>
      </c>
      <c r="R186" s="127">
        <f t="shared" ca="1" si="82"/>
        <v>-68201067.5</v>
      </c>
      <c r="S186" s="127">
        <f t="shared" ca="1" si="82"/>
        <v>-68201067.5</v>
      </c>
      <c r="T186" s="127">
        <f t="shared" ca="1" si="82"/>
        <v>-68201067.5</v>
      </c>
      <c r="U186" s="127">
        <f t="shared" ca="1" si="82"/>
        <v>-68201067.5</v>
      </c>
      <c r="V186" s="127">
        <f t="shared" ca="1" si="82"/>
        <v>0</v>
      </c>
      <c r="W186" s="127">
        <f t="shared" ca="1" si="82"/>
        <v>0</v>
      </c>
      <c r="X186" s="127">
        <f t="shared" ca="1" si="82"/>
        <v>0</v>
      </c>
      <c r="Y186" s="127">
        <f t="shared" ca="1" si="82"/>
        <v>0</v>
      </c>
      <c r="Z186" s="127">
        <f t="shared" ca="1" si="82"/>
        <v>0</v>
      </c>
      <c r="AA186" s="127">
        <f t="shared" ca="1" si="82"/>
        <v>0</v>
      </c>
      <c r="AB186" s="127">
        <f t="shared" ca="1" si="82"/>
        <v>0</v>
      </c>
      <c r="AC186" s="127">
        <f t="shared" ca="1" si="82"/>
        <v>0</v>
      </c>
      <c r="AD186" s="127">
        <f t="shared" ca="1" si="82"/>
        <v>0</v>
      </c>
      <c r="AE186" s="127">
        <f t="shared" ca="1" si="82"/>
        <v>0</v>
      </c>
      <c r="AF186" s="127">
        <f t="shared" ca="1" si="82"/>
        <v>0</v>
      </c>
      <c r="AG186" s="127">
        <f t="shared" ca="1" si="82"/>
        <v>0</v>
      </c>
      <c r="AH186" s="127">
        <f t="shared" ca="1" si="82"/>
        <v>0</v>
      </c>
      <c r="AI186" s="127">
        <f t="shared" ca="1" si="82"/>
        <v>0</v>
      </c>
      <c r="AJ186" s="127">
        <f t="shared" ca="1" si="82"/>
        <v>0</v>
      </c>
      <c r="AK186" s="127">
        <f t="shared" ca="1" si="82"/>
        <v>0</v>
      </c>
      <c r="AL186" s="127">
        <f t="shared" ca="1" si="82"/>
        <v>0</v>
      </c>
      <c r="AM186" s="127">
        <f t="shared" ca="1" si="82"/>
        <v>0</v>
      </c>
      <c r="AN186" s="127">
        <f t="shared" ca="1" si="82"/>
        <v>0</v>
      </c>
      <c r="AO186" s="127">
        <f t="shared" ca="1" si="82"/>
        <v>0</v>
      </c>
      <c r="AP186" s="127">
        <f t="shared" ca="1" si="82"/>
        <v>0</v>
      </c>
      <c r="AQ186" s="127">
        <f t="shared" ca="1" si="82"/>
        <v>0</v>
      </c>
      <c r="AR186" s="127">
        <f t="shared" ca="1" si="82"/>
        <v>0</v>
      </c>
      <c r="AS186" s="127">
        <f t="shared" ca="1" si="82"/>
        <v>0</v>
      </c>
      <c r="AT186" s="127">
        <f t="shared" ca="1" si="82"/>
        <v>0</v>
      </c>
      <c r="AU186" s="127">
        <f t="shared" ca="1" si="82"/>
        <v>0</v>
      </c>
    </row>
    <row r="187" spans="1:47" ht="15.75" hidden="1" customHeight="1" outlineLevel="1">
      <c r="A187" s="1" t="s">
        <v>263</v>
      </c>
      <c r="C187" s="141"/>
      <c r="E187" s="9" t="str">
        <f ca="1">_xll.DBRW(Server&amp;"}ElementAttributes_Indicator",A187,"code_English")</f>
        <v>PL1100_XX - Vector Reconciliation (TPL11) - Capitalized production recognized as inventory, change in inventories</v>
      </c>
      <c r="F187" s="31">
        <f ca="1">_xll.DBRW($C$1,$C$2,$C$3,$C$4,$C$6,$C$5,$C$7,F$1,F$2,$A187)</f>
        <v>0</v>
      </c>
      <c r="G187" s="31">
        <f ca="1">_xll.DBRW($C$1,$C$2,$C$3,$C$4,$C$6,$C$5,$C$7,G$1,G$2,$A187)</f>
        <v>0</v>
      </c>
      <c r="H187" s="31">
        <f ca="1">_xll.DBRW($C$1,$C$2,$C$3,$C$4,$C$6,$C$5,$C$7,H$1,H$2,$A187)</f>
        <v>0</v>
      </c>
      <c r="I187" s="31">
        <f ca="1">_xll.DBRW($C$1,$C$2,$C$3,$C$4,$C$6,$C$5,$C$7,I$1,I$2,$A187)</f>
        <v>0</v>
      </c>
      <c r="J187" s="31">
        <f ca="1">_xll.DBRW($C$1,$C$2,$C$3,$C$4,$C$6,$C$5,$C$7,J$1,J$2,$A187)</f>
        <v>0</v>
      </c>
      <c r="K187" s="31">
        <f ca="1">_xll.DBRW($C$1,$C$2,$C$3,$C$4,$C$6,$C$5,$C$7,K$1,K$2,$A187)</f>
        <v>0</v>
      </c>
      <c r="L187" s="31">
        <f ca="1">_xll.DBRW($C$1,$C$2,$C$3,$C$4,$C$6,$C$5,$C$7,L$1,L$2,$A187)</f>
        <v>0</v>
      </c>
      <c r="M187" s="31">
        <f ca="1">_xll.DBRW($C$1,$C$2,$C$3,$C$4,$C$6,$C$5,$C$7,M$1,M$2,$A187)</f>
        <v>0</v>
      </c>
      <c r="N187" s="31">
        <f ca="1">_xll.DBRW($C$1,$C$2,$C$3,$C$4,$C$6,$C$5,$C$7,N$1,N$2,$A187)</f>
        <v>0</v>
      </c>
      <c r="O187" s="31">
        <f ca="1">_xll.DBRW($C$1,$C$2,$C$3,$C$4,$C$6,$C$5,$C$7,O$1,O$2,$A187)</f>
        <v>0</v>
      </c>
      <c r="P187" s="31">
        <f ca="1">_xll.DBRW($C$1,$C$2,$C$3,$C$4,$C$6,$C$5,$C$7,P$1,P$2,$A187)</f>
        <v>0</v>
      </c>
      <c r="Q187" s="31">
        <f ca="1">_xll.DBRW($C$1,$C$2,$C$3,$C$4,$C$6,$C$5,$C$7,Q$1,Q$2,$A187)</f>
        <v>0</v>
      </c>
      <c r="R187" s="31">
        <f ca="1">_xll.DBRW($C$1,$C$2,$C$3,$C$4,$C$6,$C$5,$C$7,R$1,R$2,$A187)</f>
        <v>0</v>
      </c>
      <c r="S187" s="31">
        <f ca="1">_xll.DBRW($C$1,$C$2,$C$3,$C$4,$C$6,$C$5,$C$7,S$1,S$2,$A187)</f>
        <v>0</v>
      </c>
      <c r="T187" s="31">
        <f ca="1">_xll.DBRW($C$1,$C$2,$C$3,$C$4,$C$6,$C$5,$C$7,T$1,T$2,$A187)</f>
        <v>0</v>
      </c>
      <c r="U187" s="31">
        <f ca="1">_xll.DBRW($C$1,$C$2,$C$3,$C$4,$C$6,$C$5,$C$7,U$1,U$2,$A187)</f>
        <v>0</v>
      </c>
      <c r="V187" s="31">
        <f ca="1">_xll.DBRW($C$1,$C$2,$C$3,$C$4,$C$6,$C$5,$C$7,V$1,V$2,$A187)</f>
        <v>0</v>
      </c>
      <c r="W187" s="31">
        <f ca="1">_xll.DBRW($C$1,$C$2,$C$3,$C$4,$C$6,$C$5,$C$7,W$1,W$2,$A187)</f>
        <v>0</v>
      </c>
      <c r="X187" s="31">
        <f ca="1">_xll.DBRW($C$1,$C$2,$C$3,$C$4,$C$6,$C$5,$C$7,X$1,X$2,$A187)</f>
        <v>0</v>
      </c>
      <c r="Y187" s="31">
        <f ca="1">_xll.DBRW($C$1,$C$2,$C$3,$C$4,$C$6,$C$5,$C$7,Y$1,Y$2,$A187)</f>
        <v>0</v>
      </c>
      <c r="Z187" s="31">
        <f ca="1">_xll.DBRW($C$1,$C$2,$C$3,$C$4,$C$6,$C$5,$C$7,Z$1,Z$2,$A187)</f>
        <v>0</v>
      </c>
      <c r="AA187" s="31">
        <f ca="1">_xll.DBRW($C$1,$C$2,$C$3,$C$4,$C$6,$C$5,$C$7,AA$1,AA$2,$A187)</f>
        <v>0</v>
      </c>
      <c r="AB187" s="31">
        <f ca="1">_xll.DBRW($C$1,$C$2,$C$3,$C$4,$C$6,$C$5,$C$7,AB$1,AB$2,$A187)</f>
        <v>0</v>
      </c>
      <c r="AC187" s="31">
        <f ca="1">_xll.DBRW($C$1,$C$2,$C$3,$C$4,$C$6,$C$5,$C$7,AC$1,AC$2,$A187)</f>
        <v>0</v>
      </c>
      <c r="AD187" s="31">
        <f ca="1">_xll.DBRW($C$1,$C$2,$C$3,$C$4,$C$6,$C$5,$C$7,AD$1,AD$2,$A187)</f>
        <v>0</v>
      </c>
      <c r="AE187" s="31">
        <f ca="1">_xll.DBRW($C$1,$C$2,$C$3,$C$4,$C$6,$C$5,$C$7,AE$1,AE$2,$A187)</f>
        <v>0</v>
      </c>
      <c r="AF187" s="31">
        <f ca="1">_xll.DBRW($C$1,$C$2,$C$3,$C$4,$C$6,$C$5,$C$7,AF$1,AF$2,$A187)</f>
        <v>0</v>
      </c>
      <c r="AG187" s="31">
        <f ca="1">_xll.DBRW($C$1,$C$2,$C$3,$C$4,$C$6,$C$5,$C$7,AG$1,AG$2,$A187)</f>
        <v>0</v>
      </c>
      <c r="AH187" s="31">
        <f ca="1">_xll.DBRW($C$1,$C$2,$C$3,$C$4,$C$6,$C$5,$C$7,AH$1,AH$2,$A187)</f>
        <v>0</v>
      </c>
      <c r="AI187" s="31">
        <f ca="1">_xll.DBRW($C$1,$C$2,$C$3,$C$4,$C$6,$C$5,$C$7,AI$1,AI$2,$A187)</f>
        <v>0</v>
      </c>
      <c r="AJ187" s="31">
        <f ca="1">_xll.DBRW($C$1,$C$2,$C$3,$C$4,$C$6,$C$5,$C$7,AJ$1,AJ$2,$A187)</f>
        <v>0</v>
      </c>
      <c r="AK187" s="31">
        <f ca="1">_xll.DBRW($C$1,$C$2,$C$3,$C$4,$C$6,$C$5,$C$7,AK$1,AK$2,$A187)</f>
        <v>0</v>
      </c>
      <c r="AL187" s="31">
        <f ca="1">_xll.DBRW($C$1,$C$2,$C$3,$C$4,$C$6,$C$5,$C$7,AL$1,AL$2,$A187)</f>
        <v>0</v>
      </c>
      <c r="AM187" s="31">
        <f ca="1">_xll.DBRW($C$1,$C$2,$C$3,$C$4,$C$6,$C$5,$C$7,AM$1,AM$2,$A187)</f>
        <v>0</v>
      </c>
      <c r="AN187" s="31">
        <f ca="1">_xll.DBRW($C$1,$C$2,$C$3,$C$4,$C$6,$C$5,$C$7,AN$1,AN$2,$A187)</f>
        <v>0</v>
      </c>
      <c r="AO187" s="31">
        <f ca="1">_xll.DBRW($C$1,$C$2,$C$3,$C$4,$C$6,$C$5,$C$7,AO$1,AO$2,$A187)</f>
        <v>0</v>
      </c>
      <c r="AP187" s="31">
        <f ca="1">_xll.DBRW($C$1,$C$2,$C$3,$C$4,$C$6,$C$5,$C$7,AP$1,AP$2,$A187)</f>
        <v>0</v>
      </c>
      <c r="AQ187" s="31">
        <f ca="1">_xll.DBRW($C$1,$C$2,$C$3,$C$4,$C$6,$C$5,$C$7,AQ$1,AQ$2,$A187)</f>
        <v>0</v>
      </c>
      <c r="AR187" s="31">
        <f ca="1">_xll.DBRW($C$1,$C$2,$C$3,$C$4,$C$6,$C$5,$C$7,AR$1,AR$2,$A187)</f>
        <v>0</v>
      </c>
      <c r="AS187" s="31">
        <f ca="1">_xll.DBRW($C$1,$C$2,$C$3,$C$4,$C$6,$C$5,$C$7,AS$1,AS$2,$A187)</f>
        <v>0</v>
      </c>
      <c r="AT187" s="31">
        <f ca="1">_xll.DBRW($C$1,$C$2,$C$3,$C$4,$C$6,$C$5,$C$7,AT$1,AT$2,$A187)</f>
        <v>0</v>
      </c>
      <c r="AU187" s="31">
        <f ca="1">_xll.DBRW($C$1,$C$2,$C$3,$C$4,$C$6,$C$5,$C$7,AU$1,AU$2,$A187)</f>
        <v>0</v>
      </c>
    </row>
    <row r="188" spans="1:47" ht="15.75" hidden="1" customHeight="1" outlineLevel="1">
      <c r="A188" s="1" t="s">
        <v>264</v>
      </c>
      <c r="C188" s="141"/>
      <c r="E188" s="9" t="str">
        <f ca="1">_xll.DBRW(Server&amp;"}ElementAttributes_Indicator",A188,"code_English")</f>
        <v>PL1105_XX - Vector Reconciliation (TPL11) - Revenue received on behalf of 3rd parties</v>
      </c>
      <c r="F188" s="31">
        <f ca="1">_xll.DBRW($C$1,$C$2,$C$3,$C$4,$C$6,$C$5,$C$7,F$1,F$2,$A188)</f>
        <v>0</v>
      </c>
      <c r="G188" s="31">
        <f ca="1">_xll.DBRW($C$1,$C$2,$C$3,$C$4,$C$6,$C$5,$C$7,G$1,G$2,$A188)</f>
        <v>0</v>
      </c>
      <c r="H188" s="31">
        <f ca="1">_xll.DBRW($C$1,$C$2,$C$3,$C$4,$C$6,$C$5,$C$7,H$1,H$2,$A188)</f>
        <v>0</v>
      </c>
      <c r="I188" s="31">
        <f ca="1">_xll.DBRW($C$1,$C$2,$C$3,$C$4,$C$6,$C$5,$C$7,I$1,I$2,$A188)</f>
        <v>0</v>
      </c>
      <c r="J188" s="31">
        <f ca="1">_xll.DBRW($C$1,$C$2,$C$3,$C$4,$C$6,$C$5,$C$7,J$1,J$2,$A188)</f>
        <v>0</v>
      </c>
      <c r="K188" s="31">
        <f ca="1">_xll.DBRW($C$1,$C$2,$C$3,$C$4,$C$6,$C$5,$C$7,K$1,K$2,$A188)</f>
        <v>0</v>
      </c>
      <c r="L188" s="31">
        <f ca="1">_xll.DBRW($C$1,$C$2,$C$3,$C$4,$C$6,$C$5,$C$7,L$1,L$2,$A188)</f>
        <v>0</v>
      </c>
      <c r="M188" s="31">
        <f ca="1">_xll.DBRW($C$1,$C$2,$C$3,$C$4,$C$6,$C$5,$C$7,M$1,M$2,$A188)</f>
        <v>0</v>
      </c>
      <c r="N188" s="31">
        <f ca="1">_xll.DBRW($C$1,$C$2,$C$3,$C$4,$C$6,$C$5,$C$7,N$1,N$2,$A188)</f>
        <v>0</v>
      </c>
      <c r="O188" s="31">
        <f ca="1">_xll.DBRW($C$1,$C$2,$C$3,$C$4,$C$6,$C$5,$C$7,O$1,O$2,$A188)</f>
        <v>0</v>
      </c>
      <c r="P188" s="31">
        <f ca="1">_xll.DBRW($C$1,$C$2,$C$3,$C$4,$C$6,$C$5,$C$7,P$1,P$2,$A188)</f>
        <v>0</v>
      </c>
      <c r="Q188" s="31">
        <f ca="1">_xll.DBRW($C$1,$C$2,$C$3,$C$4,$C$6,$C$5,$C$7,Q$1,Q$2,$A188)</f>
        <v>0</v>
      </c>
      <c r="R188" s="31">
        <f ca="1">_xll.DBRW($C$1,$C$2,$C$3,$C$4,$C$6,$C$5,$C$7,R$1,R$2,$A188)</f>
        <v>0</v>
      </c>
      <c r="S188" s="31">
        <f ca="1">_xll.DBRW($C$1,$C$2,$C$3,$C$4,$C$6,$C$5,$C$7,S$1,S$2,$A188)</f>
        <v>0</v>
      </c>
      <c r="T188" s="31">
        <f ca="1">_xll.DBRW($C$1,$C$2,$C$3,$C$4,$C$6,$C$5,$C$7,T$1,T$2,$A188)</f>
        <v>0</v>
      </c>
      <c r="U188" s="31">
        <f ca="1">_xll.DBRW($C$1,$C$2,$C$3,$C$4,$C$6,$C$5,$C$7,U$1,U$2,$A188)</f>
        <v>0</v>
      </c>
      <c r="V188" s="31">
        <f ca="1">_xll.DBRW($C$1,$C$2,$C$3,$C$4,$C$6,$C$5,$C$7,V$1,V$2,$A188)</f>
        <v>0</v>
      </c>
      <c r="W188" s="31">
        <f ca="1">_xll.DBRW($C$1,$C$2,$C$3,$C$4,$C$6,$C$5,$C$7,W$1,W$2,$A188)</f>
        <v>0</v>
      </c>
      <c r="X188" s="31">
        <f ca="1">_xll.DBRW($C$1,$C$2,$C$3,$C$4,$C$6,$C$5,$C$7,X$1,X$2,$A188)</f>
        <v>0</v>
      </c>
      <c r="Y188" s="31">
        <f ca="1">_xll.DBRW($C$1,$C$2,$C$3,$C$4,$C$6,$C$5,$C$7,Y$1,Y$2,$A188)</f>
        <v>0</v>
      </c>
      <c r="Z188" s="31">
        <f ca="1">_xll.DBRW($C$1,$C$2,$C$3,$C$4,$C$6,$C$5,$C$7,Z$1,Z$2,$A188)</f>
        <v>0</v>
      </c>
      <c r="AA188" s="31">
        <f ca="1">_xll.DBRW($C$1,$C$2,$C$3,$C$4,$C$6,$C$5,$C$7,AA$1,AA$2,$A188)</f>
        <v>0</v>
      </c>
      <c r="AB188" s="31">
        <f ca="1">_xll.DBRW($C$1,$C$2,$C$3,$C$4,$C$6,$C$5,$C$7,AB$1,AB$2,$A188)</f>
        <v>0</v>
      </c>
      <c r="AC188" s="31">
        <f ca="1">_xll.DBRW($C$1,$C$2,$C$3,$C$4,$C$6,$C$5,$C$7,AC$1,AC$2,$A188)</f>
        <v>0</v>
      </c>
      <c r="AD188" s="31">
        <f ca="1">_xll.DBRW($C$1,$C$2,$C$3,$C$4,$C$6,$C$5,$C$7,AD$1,AD$2,$A188)</f>
        <v>0</v>
      </c>
      <c r="AE188" s="31">
        <f ca="1">_xll.DBRW($C$1,$C$2,$C$3,$C$4,$C$6,$C$5,$C$7,AE$1,AE$2,$A188)</f>
        <v>0</v>
      </c>
      <c r="AF188" s="31">
        <f ca="1">_xll.DBRW($C$1,$C$2,$C$3,$C$4,$C$6,$C$5,$C$7,AF$1,AF$2,$A188)</f>
        <v>0</v>
      </c>
      <c r="AG188" s="31">
        <f ca="1">_xll.DBRW($C$1,$C$2,$C$3,$C$4,$C$6,$C$5,$C$7,AG$1,AG$2,$A188)</f>
        <v>0</v>
      </c>
      <c r="AH188" s="31">
        <f ca="1">_xll.DBRW($C$1,$C$2,$C$3,$C$4,$C$6,$C$5,$C$7,AH$1,AH$2,$A188)</f>
        <v>0</v>
      </c>
      <c r="AI188" s="31">
        <f ca="1">_xll.DBRW($C$1,$C$2,$C$3,$C$4,$C$6,$C$5,$C$7,AI$1,AI$2,$A188)</f>
        <v>0</v>
      </c>
      <c r="AJ188" s="31">
        <f ca="1">_xll.DBRW($C$1,$C$2,$C$3,$C$4,$C$6,$C$5,$C$7,AJ$1,AJ$2,$A188)</f>
        <v>0</v>
      </c>
      <c r="AK188" s="31">
        <f ca="1">_xll.DBRW($C$1,$C$2,$C$3,$C$4,$C$6,$C$5,$C$7,AK$1,AK$2,$A188)</f>
        <v>0</v>
      </c>
      <c r="AL188" s="31">
        <f ca="1">_xll.DBRW($C$1,$C$2,$C$3,$C$4,$C$6,$C$5,$C$7,AL$1,AL$2,$A188)</f>
        <v>0</v>
      </c>
      <c r="AM188" s="31">
        <f ca="1">_xll.DBRW($C$1,$C$2,$C$3,$C$4,$C$6,$C$5,$C$7,AM$1,AM$2,$A188)</f>
        <v>0</v>
      </c>
      <c r="AN188" s="31">
        <f ca="1">_xll.DBRW($C$1,$C$2,$C$3,$C$4,$C$6,$C$5,$C$7,AN$1,AN$2,$A188)</f>
        <v>0</v>
      </c>
      <c r="AO188" s="31">
        <f ca="1">_xll.DBRW($C$1,$C$2,$C$3,$C$4,$C$6,$C$5,$C$7,AO$1,AO$2,$A188)</f>
        <v>0</v>
      </c>
      <c r="AP188" s="31">
        <f ca="1">_xll.DBRW($C$1,$C$2,$C$3,$C$4,$C$6,$C$5,$C$7,AP$1,AP$2,$A188)</f>
        <v>0</v>
      </c>
      <c r="AQ188" s="31">
        <f ca="1">_xll.DBRW($C$1,$C$2,$C$3,$C$4,$C$6,$C$5,$C$7,AQ$1,AQ$2,$A188)</f>
        <v>0</v>
      </c>
      <c r="AR188" s="31">
        <f ca="1">_xll.DBRW($C$1,$C$2,$C$3,$C$4,$C$6,$C$5,$C$7,AR$1,AR$2,$A188)</f>
        <v>0</v>
      </c>
      <c r="AS188" s="31">
        <f ca="1">_xll.DBRW($C$1,$C$2,$C$3,$C$4,$C$6,$C$5,$C$7,AS$1,AS$2,$A188)</f>
        <v>0</v>
      </c>
      <c r="AT188" s="31">
        <f ca="1">_xll.DBRW($C$1,$C$2,$C$3,$C$4,$C$6,$C$5,$C$7,AT$1,AT$2,$A188)</f>
        <v>0</v>
      </c>
      <c r="AU188" s="31">
        <f ca="1">_xll.DBRW($C$1,$C$2,$C$3,$C$4,$C$6,$C$5,$C$7,AU$1,AU$2,$A188)</f>
        <v>0</v>
      </c>
    </row>
    <row r="189" spans="1:47" ht="15.75" hidden="1" customHeight="1" outlineLevel="1">
      <c r="A189" s="1" t="s">
        <v>265</v>
      </c>
      <c r="C189" s="141"/>
      <c r="E189" s="9" t="str">
        <f ca="1">_xll.DBRW(Server&amp;"}ElementAttributes_Indicator",A189,"code_English")</f>
        <v>PL1110_XX - Vector Reconciliation (TPL11) - Staff costs</v>
      </c>
      <c r="F189" s="31">
        <f ca="1">_xll.DBRW($C$1,$C$2,$C$3,$C$4,$C$6,$C$5,$C$7,F$1,F$2,$A189)</f>
        <v>0</v>
      </c>
      <c r="G189" s="31">
        <f ca="1">_xll.DBRW($C$1,$C$2,$C$3,$C$4,$C$6,$C$5,$C$7,G$1,G$2,$A189)</f>
        <v>0</v>
      </c>
      <c r="H189" s="31">
        <f ca="1">_xll.DBRW($C$1,$C$2,$C$3,$C$4,$C$6,$C$5,$C$7,H$1,H$2,$A189)</f>
        <v>0</v>
      </c>
      <c r="I189" s="31">
        <f ca="1">_xll.DBRW($C$1,$C$2,$C$3,$C$4,$C$6,$C$5,$C$7,I$1,I$2,$A189)</f>
        <v>0</v>
      </c>
      <c r="J189" s="31">
        <f ca="1">_xll.DBRW($C$1,$C$2,$C$3,$C$4,$C$6,$C$5,$C$7,J$1,J$2,$A189)</f>
        <v>0</v>
      </c>
      <c r="K189" s="31">
        <f ca="1">_xll.DBRW($C$1,$C$2,$C$3,$C$4,$C$6,$C$5,$C$7,K$1,K$2,$A189)</f>
        <v>0</v>
      </c>
      <c r="L189" s="31">
        <f ca="1">_xll.DBRW($C$1,$C$2,$C$3,$C$4,$C$6,$C$5,$C$7,L$1,L$2,$A189)</f>
        <v>0</v>
      </c>
      <c r="M189" s="31">
        <f ca="1">_xll.DBRW($C$1,$C$2,$C$3,$C$4,$C$6,$C$5,$C$7,M$1,M$2,$A189)</f>
        <v>0</v>
      </c>
      <c r="N189" s="31">
        <f ca="1">_xll.DBRW($C$1,$C$2,$C$3,$C$4,$C$6,$C$5,$C$7,N$1,N$2,$A189)</f>
        <v>0</v>
      </c>
      <c r="O189" s="31">
        <f ca="1">_xll.DBRW($C$1,$C$2,$C$3,$C$4,$C$6,$C$5,$C$7,O$1,O$2,$A189)</f>
        <v>0</v>
      </c>
      <c r="P189" s="31">
        <f ca="1">_xll.DBRW($C$1,$C$2,$C$3,$C$4,$C$6,$C$5,$C$7,P$1,P$2,$A189)</f>
        <v>0</v>
      </c>
      <c r="Q189" s="31">
        <f ca="1">_xll.DBRW($C$1,$C$2,$C$3,$C$4,$C$6,$C$5,$C$7,Q$1,Q$2,$A189)</f>
        <v>0</v>
      </c>
      <c r="R189" s="31">
        <f ca="1">_xll.DBRW($C$1,$C$2,$C$3,$C$4,$C$6,$C$5,$C$7,R$1,R$2,$A189)</f>
        <v>0</v>
      </c>
      <c r="S189" s="31">
        <f ca="1">_xll.DBRW($C$1,$C$2,$C$3,$C$4,$C$6,$C$5,$C$7,S$1,S$2,$A189)</f>
        <v>0</v>
      </c>
      <c r="T189" s="31">
        <f ca="1">_xll.DBRW($C$1,$C$2,$C$3,$C$4,$C$6,$C$5,$C$7,T$1,T$2,$A189)</f>
        <v>0</v>
      </c>
      <c r="U189" s="31">
        <f ca="1">_xll.DBRW($C$1,$C$2,$C$3,$C$4,$C$6,$C$5,$C$7,U$1,U$2,$A189)</f>
        <v>0</v>
      </c>
      <c r="V189" s="31">
        <f ca="1">_xll.DBRW($C$1,$C$2,$C$3,$C$4,$C$6,$C$5,$C$7,V$1,V$2,$A189)</f>
        <v>0</v>
      </c>
      <c r="W189" s="31">
        <f ca="1">_xll.DBRW($C$1,$C$2,$C$3,$C$4,$C$6,$C$5,$C$7,W$1,W$2,$A189)</f>
        <v>0</v>
      </c>
      <c r="X189" s="31">
        <f ca="1">_xll.DBRW($C$1,$C$2,$C$3,$C$4,$C$6,$C$5,$C$7,X$1,X$2,$A189)</f>
        <v>0</v>
      </c>
      <c r="Y189" s="31">
        <f ca="1">_xll.DBRW($C$1,$C$2,$C$3,$C$4,$C$6,$C$5,$C$7,Y$1,Y$2,$A189)</f>
        <v>0</v>
      </c>
      <c r="Z189" s="31">
        <f ca="1">_xll.DBRW($C$1,$C$2,$C$3,$C$4,$C$6,$C$5,$C$7,Z$1,Z$2,$A189)</f>
        <v>0</v>
      </c>
      <c r="AA189" s="31">
        <f ca="1">_xll.DBRW($C$1,$C$2,$C$3,$C$4,$C$6,$C$5,$C$7,AA$1,AA$2,$A189)</f>
        <v>0</v>
      </c>
      <c r="AB189" s="31">
        <f ca="1">_xll.DBRW($C$1,$C$2,$C$3,$C$4,$C$6,$C$5,$C$7,AB$1,AB$2,$A189)</f>
        <v>0</v>
      </c>
      <c r="AC189" s="31">
        <f ca="1">_xll.DBRW($C$1,$C$2,$C$3,$C$4,$C$6,$C$5,$C$7,AC$1,AC$2,$A189)</f>
        <v>0</v>
      </c>
      <c r="AD189" s="31">
        <f ca="1">_xll.DBRW($C$1,$C$2,$C$3,$C$4,$C$6,$C$5,$C$7,AD$1,AD$2,$A189)</f>
        <v>0</v>
      </c>
      <c r="AE189" s="31">
        <f ca="1">_xll.DBRW($C$1,$C$2,$C$3,$C$4,$C$6,$C$5,$C$7,AE$1,AE$2,$A189)</f>
        <v>0</v>
      </c>
      <c r="AF189" s="31">
        <f ca="1">_xll.DBRW($C$1,$C$2,$C$3,$C$4,$C$6,$C$5,$C$7,AF$1,AF$2,$A189)</f>
        <v>0</v>
      </c>
      <c r="AG189" s="31">
        <f ca="1">_xll.DBRW($C$1,$C$2,$C$3,$C$4,$C$6,$C$5,$C$7,AG$1,AG$2,$A189)</f>
        <v>0</v>
      </c>
      <c r="AH189" s="31">
        <f ca="1">_xll.DBRW($C$1,$C$2,$C$3,$C$4,$C$6,$C$5,$C$7,AH$1,AH$2,$A189)</f>
        <v>0</v>
      </c>
      <c r="AI189" s="31">
        <f ca="1">_xll.DBRW($C$1,$C$2,$C$3,$C$4,$C$6,$C$5,$C$7,AI$1,AI$2,$A189)</f>
        <v>0</v>
      </c>
      <c r="AJ189" s="31">
        <f ca="1">_xll.DBRW($C$1,$C$2,$C$3,$C$4,$C$6,$C$5,$C$7,AJ$1,AJ$2,$A189)</f>
        <v>0</v>
      </c>
      <c r="AK189" s="31">
        <f ca="1">_xll.DBRW($C$1,$C$2,$C$3,$C$4,$C$6,$C$5,$C$7,AK$1,AK$2,$A189)</f>
        <v>0</v>
      </c>
      <c r="AL189" s="31">
        <f ca="1">_xll.DBRW($C$1,$C$2,$C$3,$C$4,$C$6,$C$5,$C$7,AL$1,AL$2,$A189)</f>
        <v>0</v>
      </c>
      <c r="AM189" s="31">
        <f ca="1">_xll.DBRW($C$1,$C$2,$C$3,$C$4,$C$6,$C$5,$C$7,AM$1,AM$2,$A189)</f>
        <v>0</v>
      </c>
      <c r="AN189" s="31">
        <f ca="1">_xll.DBRW($C$1,$C$2,$C$3,$C$4,$C$6,$C$5,$C$7,AN$1,AN$2,$A189)</f>
        <v>0</v>
      </c>
      <c r="AO189" s="31">
        <f ca="1">_xll.DBRW($C$1,$C$2,$C$3,$C$4,$C$6,$C$5,$C$7,AO$1,AO$2,$A189)</f>
        <v>0</v>
      </c>
      <c r="AP189" s="31">
        <f ca="1">_xll.DBRW($C$1,$C$2,$C$3,$C$4,$C$6,$C$5,$C$7,AP$1,AP$2,$A189)</f>
        <v>0</v>
      </c>
      <c r="AQ189" s="31">
        <f ca="1">_xll.DBRW($C$1,$C$2,$C$3,$C$4,$C$6,$C$5,$C$7,AQ$1,AQ$2,$A189)</f>
        <v>0</v>
      </c>
      <c r="AR189" s="31">
        <f ca="1">_xll.DBRW($C$1,$C$2,$C$3,$C$4,$C$6,$C$5,$C$7,AR$1,AR$2,$A189)</f>
        <v>0</v>
      </c>
      <c r="AS189" s="31">
        <f ca="1">_xll.DBRW($C$1,$C$2,$C$3,$C$4,$C$6,$C$5,$C$7,AS$1,AS$2,$A189)</f>
        <v>0</v>
      </c>
      <c r="AT189" s="31">
        <f ca="1">_xll.DBRW($C$1,$C$2,$C$3,$C$4,$C$6,$C$5,$C$7,AT$1,AT$2,$A189)</f>
        <v>0</v>
      </c>
      <c r="AU189" s="31">
        <f ca="1">_xll.DBRW($C$1,$C$2,$C$3,$C$4,$C$6,$C$5,$C$7,AU$1,AU$2,$A189)</f>
        <v>0</v>
      </c>
    </row>
    <row r="190" spans="1:47" ht="15.75" hidden="1" customHeight="1" outlineLevel="1">
      <c r="A190" s="1" t="s">
        <v>266</v>
      </c>
      <c r="C190" s="141"/>
      <c r="E190" s="9" t="str">
        <f ca="1">_xll.DBRW(Server&amp;"}ElementAttributes_Indicator",A190,"code_English")</f>
        <v>PL1111_XX - Vector Reconciliation (TPL11) - Staff costs - Stock Options</v>
      </c>
      <c r="F190" s="31">
        <f ca="1">_xll.DBRW($C$1,$C$2,$C$3,$C$4,$C$6,$C$5,$C$7,F$1,F$2,$A190)</f>
        <v>0</v>
      </c>
      <c r="G190" s="31">
        <f ca="1">_xll.DBRW($C$1,$C$2,$C$3,$C$4,$C$6,$C$5,$C$7,G$1,G$2,$A190)</f>
        <v>0</v>
      </c>
      <c r="H190" s="31">
        <f ca="1">_xll.DBRW($C$1,$C$2,$C$3,$C$4,$C$6,$C$5,$C$7,H$1,H$2,$A190)</f>
        <v>0</v>
      </c>
      <c r="I190" s="31">
        <f ca="1">_xll.DBRW($C$1,$C$2,$C$3,$C$4,$C$6,$C$5,$C$7,I$1,I$2,$A190)</f>
        <v>0</v>
      </c>
      <c r="J190" s="31">
        <f ca="1">_xll.DBRW($C$1,$C$2,$C$3,$C$4,$C$6,$C$5,$C$7,J$1,J$2,$A190)</f>
        <v>0</v>
      </c>
      <c r="K190" s="31">
        <f ca="1">_xll.DBRW($C$1,$C$2,$C$3,$C$4,$C$6,$C$5,$C$7,K$1,K$2,$A190)</f>
        <v>0</v>
      </c>
      <c r="L190" s="31">
        <f ca="1">_xll.DBRW($C$1,$C$2,$C$3,$C$4,$C$6,$C$5,$C$7,L$1,L$2,$A190)</f>
        <v>0</v>
      </c>
      <c r="M190" s="31">
        <f ca="1">_xll.DBRW($C$1,$C$2,$C$3,$C$4,$C$6,$C$5,$C$7,M$1,M$2,$A190)</f>
        <v>0</v>
      </c>
      <c r="N190" s="31">
        <f ca="1">_xll.DBRW($C$1,$C$2,$C$3,$C$4,$C$6,$C$5,$C$7,N$1,N$2,$A190)</f>
        <v>0</v>
      </c>
      <c r="O190" s="31">
        <f ca="1">_xll.DBRW($C$1,$C$2,$C$3,$C$4,$C$6,$C$5,$C$7,O$1,O$2,$A190)</f>
        <v>0</v>
      </c>
      <c r="P190" s="31">
        <f ca="1">_xll.DBRW($C$1,$C$2,$C$3,$C$4,$C$6,$C$5,$C$7,P$1,P$2,$A190)</f>
        <v>0</v>
      </c>
      <c r="Q190" s="31">
        <f ca="1">_xll.DBRW($C$1,$C$2,$C$3,$C$4,$C$6,$C$5,$C$7,Q$1,Q$2,$A190)</f>
        <v>0</v>
      </c>
      <c r="R190" s="31">
        <f ca="1">_xll.DBRW($C$1,$C$2,$C$3,$C$4,$C$6,$C$5,$C$7,R$1,R$2,$A190)</f>
        <v>0</v>
      </c>
      <c r="S190" s="31">
        <f ca="1">_xll.DBRW($C$1,$C$2,$C$3,$C$4,$C$6,$C$5,$C$7,S$1,S$2,$A190)</f>
        <v>0</v>
      </c>
      <c r="T190" s="31">
        <f ca="1">_xll.DBRW($C$1,$C$2,$C$3,$C$4,$C$6,$C$5,$C$7,T$1,T$2,$A190)</f>
        <v>0</v>
      </c>
      <c r="U190" s="31">
        <f ca="1">_xll.DBRW($C$1,$C$2,$C$3,$C$4,$C$6,$C$5,$C$7,U$1,U$2,$A190)</f>
        <v>0</v>
      </c>
      <c r="V190" s="31">
        <f ca="1">_xll.DBRW($C$1,$C$2,$C$3,$C$4,$C$6,$C$5,$C$7,V$1,V$2,$A190)</f>
        <v>0</v>
      </c>
      <c r="W190" s="31">
        <f ca="1">_xll.DBRW($C$1,$C$2,$C$3,$C$4,$C$6,$C$5,$C$7,W$1,W$2,$A190)</f>
        <v>0</v>
      </c>
      <c r="X190" s="31">
        <f ca="1">_xll.DBRW($C$1,$C$2,$C$3,$C$4,$C$6,$C$5,$C$7,X$1,X$2,$A190)</f>
        <v>0</v>
      </c>
      <c r="Y190" s="31">
        <f ca="1">_xll.DBRW($C$1,$C$2,$C$3,$C$4,$C$6,$C$5,$C$7,Y$1,Y$2,$A190)</f>
        <v>0</v>
      </c>
      <c r="Z190" s="31">
        <f ca="1">_xll.DBRW($C$1,$C$2,$C$3,$C$4,$C$6,$C$5,$C$7,Z$1,Z$2,$A190)</f>
        <v>0</v>
      </c>
      <c r="AA190" s="31">
        <f ca="1">_xll.DBRW($C$1,$C$2,$C$3,$C$4,$C$6,$C$5,$C$7,AA$1,AA$2,$A190)</f>
        <v>0</v>
      </c>
      <c r="AB190" s="31">
        <f ca="1">_xll.DBRW($C$1,$C$2,$C$3,$C$4,$C$6,$C$5,$C$7,AB$1,AB$2,$A190)</f>
        <v>0</v>
      </c>
      <c r="AC190" s="31">
        <f ca="1">_xll.DBRW($C$1,$C$2,$C$3,$C$4,$C$6,$C$5,$C$7,AC$1,AC$2,$A190)</f>
        <v>0</v>
      </c>
      <c r="AD190" s="31">
        <f ca="1">_xll.DBRW($C$1,$C$2,$C$3,$C$4,$C$6,$C$5,$C$7,AD$1,AD$2,$A190)</f>
        <v>0</v>
      </c>
      <c r="AE190" s="31">
        <f ca="1">_xll.DBRW($C$1,$C$2,$C$3,$C$4,$C$6,$C$5,$C$7,AE$1,AE$2,$A190)</f>
        <v>0</v>
      </c>
      <c r="AF190" s="31">
        <f ca="1">_xll.DBRW($C$1,$C$2,$C$3,$C$4,$C$6,$C$5,$C$7,AF$1,AF$2,$A190)</f>
        <v>0</v>
      </c>
      <c r="AG190" s="31">
        <f ca="1">_xll.DBRW($C$1,$C$2,$C$3,$C$4,$C$6,$C$5,$C$7,AG$1,AG$2,$A190)</f>
        <v>0</v>
      </c>
      <c r="AH190" s="31">
        <f ca="1">_xll.DBRW($C$1,$C$2,$C$3,$C$4,$C$6,$C$5,$C$7,AH$1,AH$2,$A190)</f>
        <v>0</v>
      </c>
      <c r="AI190" s="31">
        <f ca="1">_xll.DBRW($C$1,$C$2,$C$3,$C$4,$C$6,$C$5,$C$7,AI$1,AI$2,$A190)</f>
        <v>0</v>
      </c>
      <c r="AJ190" s="31">
        <f ca="1">_xll.DBRW($C$1,$C$2,$C$3,$C$4,$C$6,$C$5,$C$7,AJ$1,AJ$2,$A190)</f>
        <v>0</v>
      </c>
      <c r="AK190" s="31">
        <f ca="1">_xll.DBRW($C$1,$C$2,$C$3,$C$4,$C$6,$C$5,$C$7,AK$1,AK$2,$A190)</f>
        <v>0</v>
      </c>
      <c r="AL190" s="31">
        <f ca="1">_xll.DBRW($C$1,$C$2,$C$3,$C$4,$C$6,$C$5,$C$7,AL$1,AL$2,$A190)</f>
        <v>0</v>
      </c>
      <c r="AM190" s="31">
        <f ca="1">_xll.DBRW($C$1,$C$2,$C$3,$C$4,$C$6,$C$5,$C$7,AM$1,AM$2,$A190)</f>
        <v>0</v>
      </c>
      <c r="AN190" s="31">
        <f ca="1">_xll.DBRW($C$1,$C$2,$C$3,$C$4,$C$6,$C$5,$C$7,AN$1,AN$2,$A190)</f>
        <v>0</v>
      </c>
      <c r="AO190" s="31">
        <f ca="1">_xll.DBRW($C$1,$C$2,$C$3,$C$4,$C$6,$C$5,$C$7,AO$1,AO$2,$A190)</f>
        <v>0</v>
      </c>
      <c r="AP190" s="31">
        <f ca="1">_xll.DBRW($C$1,$C$2,$C$3,$C$4,$C$6,$C$5,$C$7,AP$1,AP$2,$A190)</f>
        <v>0</v>
      </c>
      <c r="AQ190" s="31">
        <f ca="1">_xll.DBRW($C$1,$C$2,$C$3,$C$4,$C$6,$C$5,$C$7,AQ$1,AQ$2,$A190)</f>
        <v>0</v>
      </c>
      <c r="AR190" s="31">
        <f ca="1">_xll.DBRW($C$1,$C$2,$C$3,$C$4,$C$6,$C$5,$C$7,AR$1,AR$2,$A190)</f>
        <v>0</v>
      </c>
      <c r="AS190" s="31">
        <f ca="1">_xll.DBRW($C$1,$C$2,$C$3,$C$4,$C$6,$C$5,$C$7,AS$1,AS$2,$A190)</f>
        <v>0</v>
      </c>
      <c r="AT190" s="31">
        <f ca="1">_xll.DBRW($C$1,$C$2,$C$3,$C$4,$C$6,$C$5,$C$7,AT$1,AT$2,$A190)</f>
        <v>0</v>
      </c>
      <c r="AU190" s="31">
        <f ca="1">_xll.DBRW($C$1,$C$2,$C$3,$C$4,$C$6,$C$5,$C$7,AU$1,AU$2,$A190)</f>
        <v>0</v>
      </c>
    </row>
    <row r="191" spans="1:47" ht="15.75" hidden="1" customHeight="1" outlineLevel="1">
      <c r="A191" s="1" t="s">
        <v>267</v>
      </c>
      <c r="C191" s="141"/>
      <c r="E191" s="9" t="str">
        <f ca="1">_xll.DBRW(Server&amp;"}ElementAttributes_Indicator",A191,"code_English")</f>
        <v>PL1115_XX - Vector Reconciliation (TPL11) - Other expenses</v>
      </c>
      <c r="F191" s="31">
        <f ca="1">_xll.DBRW($C$1,$C$2,$C$3,$C$4,$C$6,$C$5,$C$7,F$1,F$2,$A191)</f>
        <v>0</v>
      </c>
      <c r="G191" s="31">
        <f ca="1">_xll.DBRW($C$1,$C$2,$C$3,$C$4,$C$6,$C$5,$C$7,G$1,G$2,$A191)</f>
        <v>0</v>
      </c>
      <c r="H191" s="31">
        <f ca="1">_xll.DBRW($C$1,$C$2,$C$3,$C$4,$C$6,$C$5,$C$7,H$1,H$2,$A191)</f>
        <v>0</v>
      </c>
      <c r="I191" s="31">
        <f ca="1">_xll.DBRW($C$1,$C$2,$C$3,$C$4,$C$6,$C$5,$C$7,I$1,I$2,$A191)</f>
        <v>0</v>
      </c>
      <c r="J191" s="31">
        <f ca="1">_xll.DBRW($C$1,$C$2,$C$3,$C$4,$C$6,$C$5,$C$7,J$1,J$2,$A191)</f>
        <v>0</v>
      </c>
      <c r="K191" s="31">
        <f ca="1">_xll.DBRW($C$1,$C$2,$C$3,$C$4,$C$6,$C$5,$C$7,K$1,K$2,$A191)</f>
        <v>0</v>
      </c>
      <c r="L191" s="31">
        <f ca="1">_xll.DBRW($C$1,$C$2,$C$3,$C$4,$C$6,$C$5,$C$7,L$1,L$2,$A191)</f>
        <v>0</v>
      </c>
      <c r="M191" s="31">
        <f ca="1">_xll.DBRW($C$1,$C$2,$C$3,$C$4,$C$6,$C$5,$C$7,M$1,M$2,$A191)</f>
        <v>0</v>
      </c>
      <c r="N191" s="31">
        <f ca="1">_xll.DBRW($C$1,$C$2,$C$3,$C$4,$C$6,$C$5,$C$7,N$1,N$2,$A191)</f>
        <v>0</v>
      </c>
      <c r="O191" s="31">
        <f ca="1">_xll.DBRW($C$1,$C$2,$C$3,$C$4,$C$6,$C$5,$C$7,O$1,O$2,$A191)</f>
        <v>0</v>
      </c>
      <c r="P191" s="31">
        <f ca="1">_xll.DBRW($C$1,$C$2,$C$3,$C$4,$C$6,$C$5,$C$7,P$1,P$2,$A191)</f>
        <v>0</v>
      </c>
      <c r="Q191" s="31">
        <f ca="1">_xll.DBRW($C$1,$C$2,$C$3,$C$4,$C$6,$C$5,$C$7,Q$1,Q$2,$A191)</f>
        <v>0</v>
      </c>
      <c r="R191" s="31">
        <f ca="1">_xll.DBRW($C$1,$C$2,$C$3,$C$4,$C$6,$C$5,$C$7,R$1,R$2,$A191)</f>
        <v>0</v>
      </c>
      <c r="S191" s="31">
        <f ca="1">_xll.DBRW($C$1,$C$2,$C$3,$C$4,$C$6,$C$5,$C$7,S$1,S$2,$A191)</f>
        <v>0</v>
      </c>
      <c r="T191" s="31">
        <f ca="1">_xll.DBRW($C$1,$C$2,$C$3,$C$4,$C$6,$C$5,$C$7,T$1,T$2,$A191)</f>
        <v>0</v>
      </c>
      <c r="U191" s="31">
        <f ca="1">_xll.DBRW($C$1,$C$2,$C$3,$C$4,$C$6,$C$5,$C$7,U$1,U$2,$A191)</f>
        <v>0</v>
      </c>
      <c r="V191" s="31">
        <f ca="1">_xll.DBRW($C$1,$C$2,$C$3,$C$4,$C$6,$C$5,$C$7,V$1,V$2,$A191)</f>
        <v>0</v>
      </c>
      <c r="W191" s="31">
        <f ca="1">_xll.DBRW($C$1,$C$2,$C$3,$C$4,$C$6,$C$5,$C$7,W$1,W$2,$A191)</f>
        <v>0</v>
      </c>
      <c r="X191" s="31">
        <f ca="1">_xll.DBRW($C$1,$C$2,$C$3,$C$4,$C$6,$C$5,$C$7,X$1,X$2,$A191)</f>
        <v>0</v>
      </c>
      <c r="Y191" s="31">
        <f ca="1">_xll.DBRW($C$1,$C$2,$C$3,$C$4,$C$6,$C$5,$C$7,Y$1,Y$2,$A191)</f>
        <v>0</v>
      </c>
      <c r="Z191" s="31">
        <f ca="1">_xll.DBRW($C$1,$C$2,$C$3,$C$4,$C$6,$C$5,$C$7,Z$1,Z$2,$A191)</f>
        <v>0</v>
      </c>
      <c r="AA191" s="31">
        <f ca="1">_xll.DBRW($C$1,$C$2,$C$3,$C$4,$C$6,$C$5,$C$7,AA$1,AA$2,$A191)</f>
        <v>0</v>
      </c>
      <c r="AB191" s="31">
        <f ca="1">_xll.DBRW($C$1,$C$2,$C$3,$C$4,$C$6,$C$5,$C$7,AB$1,AB$2,$A191)</f>
        <v>0</v>
      </c>
      <c r="AC191" s="31">
        <f ca="1">_xll.DBRW($C$1,$C$2,$C$3,$C$4,$C$6,$C$5,$C$7,AC$1,AC$2,$A191)</f>
        <v>0</v>
      </c>
      <c r="AD191" s="31">
        <f ca="1">_xll.DBRW($C$1,$C$2,$C$3,$C$4,$C$6,$C$5,$C$7,AD$1,AD$2,$A191)</f>
        <v>0</v>
      </c>
      <c r="AE191" s="31">
        <f ca="1">_xll.DBRW($C$1,$C$2,$C$3,$C$4,$C$6,$C$5,$C$7,AE$1,AE$2,$A191)</f>
        <v>0</v>
      </c>
      <c r="AF191" s="31">
        <f ca="1">_xll.DBRW($C$1,$C$2,$C$3,$C$4,$C$6,$C$5,$C$7,AF$1,AF$2,$A191)</f>
        <v>0</v>
      </c>
      <c r="AG191" s="31">
        <f ca="1">_xll.DBRW($C$1,$C$2,$C$3,$C$4,$C$6,$C$5,$C$7,AG$1,AG$2,$A191)</f>
        <v>0</v>
      </c>
      <c r="AH191" s="31">
        <f ca="1">_xll.DBRW($C$1,$C$2,$C$3,$C$4,$C$6,$C$5,$C$7,AH$1,AH$2,$A191)</f>
        <v>0</v>
      </c>
      <c r="AI191" s="31">
        <f ca="1">_xll.DBRW($C$1,$C$2,$C$3,$C$4,$C$6,$C$5,$C$7,AI$1,AI$2,$A191)</f>
        <v>0</v>
      </c>
      <c r="AJ191" s="31">
        <f ca="1">_xll.DBRW($C$1,$C$2,$C$3,$C$4,$C$6,$C$5,$C$7,AJ$1,AJ$2,$A191)</f>
        <v>0</v>
      </c>
      <c r="AK191" s="31">
        <f ca="1">_xll.DBRW($C$1,$C$2,$C$3,$C$4,$C$6,$C$5,$C$7,AK$1,AK$2,$A191)</f>
        <v>0</v>
      </c>
      <c r="AL191" s="31">
        <f ca="1">_xll.DBRW($C$1,$C$2,$C$3,$C$4,$C$6,$C$5,$C$7,AL$1,AL$2,$A191)</f>
        <v>0</v>
      </c>
      <c r="AM191" s="31">
        <f ca="1">_xll.DBRW($C$1,$C$2,$C$3,$C$4,$C$6,$C$5,$C$7,AM$1,AM$2,$A191)</f>
        <v>0</v>
      </c>
      <c r="AN191" s="31">
        <f ca="1">_xll.DBRW($C$1,$C$2,$C$3,$C$4,$C$6,$C$5,$C$7,AN$1,AN$2,$A191)</f>
        <v>0</v>
      </c>
      <c r="AO191" s="31">
        <f ca="1">_xll.DBRW($C$1,$C$2,$C$3,$C$4,$C$6,$C$5,$C$7,AO$1,AO$2,$A191)</f>
        <v>0</v>
      </c>
      <c r="AP191" s="31">
        <f ca="1">_xll.DBRW($C$1,$C$2,$C$3,$C$4,$C$6,$C$5,$C$7,AP$1,AP$2,$A191)</f>
        <v>0</v>
      </c>
      <c r="AQ191" s="31">
        <f ca="1">_xll.DBRW($C$1,$C$2,$C$3,$C$4,$C$6,$C$5,$C$7,AQ$1,AQ$2,$A191)</f>
        <v>0</v>
      </c>
      <c r="AR191" s="31">
        <f ca="1">_xll.DBRW($C$1,$C$2,$C$3,$C$4,$C$6,$C$5,$C$7,AR$1,AR$2,$A191)</f>
        <v>0</v>
      </c>
      <c r="AS191" s="31">
        <f ca="1">_xll.DBRW($C$1,$C$2,$C$3,$C$4,$C$6,$C$5,$C$7,AS$1,AS$2,$A191)</f>
        <v>0</v>
      </c>
      <c r="AT191" s="31">
        <f ca="1">_xll.DBRW($C$1,$C$2,$C$3,$C$4,$C$6,$C$5,$C$7,AT$1,AT$2,$A191)</f>
        <v>0</v>
      </c>
      <c r="AU191" s="31">
        <f ca="1">_xll.DBRW($C$1,$C$2,$C$3,$C$4,$C$6,$C$5,$C$7,AU$1,AU$2,$A191)</f>
        <v>0</v>
      </c>
    </row>
    <row r="192" spans="1:47" ht="15.75" hidden="1" customHeight="1" outlineLevel="1">
      <c r="A192" s="1" t="s">
        <v>268</v>
      </c>
      <c r="C192" s="141"/>
      <c r="E192" s="9" t="str">
        <f ca="1">_xll.DBRW(Server&amp;"}ElementAttributes_Indicator",A192,"code_English")</f>
        <v>PL1115A_XX - Vector Reconciliation (TPL11) - Adjustment to operating profit</v>
      </c>
      <c r="F192" s="31">
        <f ca="1">_xll.DBRW($C$1,$C$2,$C$3,$C$4,$C$6,$C$5,$C$7,F$1,F$2,$A192)</f>
        <v>0</v>
      </c>
      <c r="G192" s="31">
        <f ca="1">_xll.DBRW($C$1,$C$2,$C$3,$C$4,$C$6,$C$5,$C$7,G$1,G$2,$A192)</f>
        <v>0</v>
      </c>
      <c r="H192" s="31">
        <f ca="1">_xll.DBRW($C$1,$C$2,$C$3,$C$4,$C$6,$C$5,$C$7,H$1,H$2,$A192)</f>
        <v>0</v>
      </c>
      <c r="I192" s="31">
        <f ca="1">_xll.DBRW($C$1,$C$2,$C$3,$C$4,$C$6,$C$5,$C$7,I$1,I$2,$A192)</f>
        <v>0</v>
      </c>
      <c r="J192" s="31">
        <f ca="1">_xll.DBRW($C$1,$C$2,$C$3,$C$4,$C$6,$C$5,$C$7,J$1,J$2,$A192)</f>
        <v>0</v>
      </c>
      <c r="K192" s="31">
        <f ca="1">_xll.DBRW($C$1,$C$2,$C$3,$C$4,$C$6,$C$5,$C$7,K$1,K$2,$A192)</f>
        <v>0</v>
      </c>
      <c r="L192" s="31">
        <f ca="1">_xll.DBRW($C$1,$C$2,$C$3,$C$4,$C$6,$C$5,$C$7,L$1,L$2,$A192)</f>
        <v>0</v>
      </c>
      <c r="M192" s="31">
        <f ca="1">_xll.DBRW($C$1,$C$2,$C$3,$C$4,$C$6,$C$5,$C$7,M$1,M$2,$A192)</f>
        <v>0</v>
      </c>
      <c r="N192" s="31">
        <f ca="1">_xll.DBRW($C$1,$C$2,$C$3,$C$4,$C$6,$C$5,$C$7,N$1,N$2,$A192)</f>
        <v>0</v>
      </c>
      <c r="O192" s="31">
        <f ca="1">_xll.DBRW($C$1,$C$2,$C$3,$C$4,$C$6,$C$5,$C$7,O$1,O$2,$A192)</f>
        <v>0</v>
      </c>
      <c r="P192" s="31">
        <f ca="1">_xll.DBRW($C$1,$C$2,$C$3,$C$4,$C$6,$C$5,$C$7,P$1,P$2,$A192)</f>
        <v>0</v>
      </c>
      <c r="Q192" s="31">
        <f ca="1">_xll.DBRW($C$1,$C$2,$C$3,$C$4,$C$6,$C$5,$C$7,Q$1,Q$2,$A192)</f>
        <v>0</v>
      </c>
      <c r="R192" s="31">
        <f ca="1">_xll.DBRW($C$1,$C$2,$C$3,$C$4,$C$6,$C$5,$C$7,R$1,R$2,$A192)</f>
        <v>0</v>
      </c>
      <c r="S192" s="31">
        <f ca="1">_xll.DBRW($C$1,$C$2,$C$3,$C$4,$C$6,$C$5,$C$7,S$1,S$2,$A192)</f>
        <v>0</v>
      </c>
      <c r="T192" s="31">
        <f ca="1">_xll.DBRW($C$1,$C$2,$C$3,$C$4,$C$6,$C$5,$C$7,T$1,T$2,$A192)</f>
        <v>0</v>
      </c>
      <c r="U192" s="31">
        <f ca="1">_xll.DBRW($C$1,$C$2,$C$3,$C$4,$C$6,$C$5,$C$7,U$1,U$2,$A192)</f>
        <v>0</v>
      </c>
      <c r="V192" s="31">
        <f ca="1">_xll.DBRW($C$1,$C$2,$C$3,$C$4,$C$6,$C$5,$C$7,V$1,V$2,$A192)</f>
        <v>0</v>
      </c>
      <c r="W192" s="31">
        <f ca="1">_xll.DBRW($C$1,$C$2,$C$3,$C$4,$C$6,$C$5,$C$7,W$1,W$2,$A192)</f>
        <v>0</v>
      </c>
      <c r="X192" s="31">
        <f ca="1">_xll.DBRW($C$1,$C$2,$C$3,$C$4,$C$6,$C$5,$C$7,X$1,X$2,$A192)</f>
        <v>0</v>
      </c>
      <c r="Y192" s="31">
        <f ca="1">_xll.DBRW($C$1,$C$2,$C$3,$C$4,$C$6,$C$5,$C$7,Y$1,Y$2,$A192)</f>
        <v>0</v>
      </c>
      <c r="Z192" s="31">
        <f ca="1">_xll.DBRW($C$1,$C$2,$C$3,$C$4,$C$6,$C$5,$C$7,Z$1,Z$2,$A192)</f>
        <v>0</v>
      </c>
      <c r="AA192" s="31">
        <f ca="1">_xll.DBRW($C$1,$C$2,$C$3,$C$4,$C$6,$C$5,$C$7,AA$1,AA$2,$A192)</f>
        <v>0</v>
      </c>
      <c r="AB192" s="31">
        <f ca="1">_xll.DBRW($C$1,$C$2,$C$3,$C$4,$C$6,$C$5,$C$7,AB$1,AB$2,$A192)</f>
        <v>0</v>
      </c>
      <c r="AC192" s="31">
        <f ca="1">_xll.DBRW($C$1,$C$2,$C$3,$C$4,$C$6,$C$5,$C$7,AC$1,AC$2,$A192)</f>
        <v>0</v>
      </c>
      <c r="AD192" s="31">
        <f ca="1">_xll.DBRW($C$1,$C$2,$C$3,$C$4,$C$6,$C$5,$C$7,AD$1,AD$2,$A192)</f>
        <v>0</v>
      </c>
      <c r="AE192" s="31">
        <f ca="1">_xll.DBRW($C$1,$C$2,$C$3,$C$4,$C$6,$C$5,$C$7,AE$1,AE$2,$A192)</f>
        <v>0</v>
      </c>
      <c r="AF192" s="31">
        <f ca="1">_xll.DBRW($C$1,$C$2,$C$3,$C$4,$C$6,$C$5,$C$7,AF$1,AF$2,$A192)</f>
        <v>0</v>
      </c>
      <c r="AG192" s="31">
        <f ca="1">_xll.DBRW($C$1,$C$2,$C$3,$C$4,$C$6,$C$5,$C$7,AG$1,AG$2,$A192)</f>
        <v>0</v>
      </c>
      <c r="AH192" s="31">
        <f ca="1">_xll.DBRW($C$1,$C$2,$C$3,$C$4,$C$6,$C$5,$C$7,AH$1,AH$2,$A192)</f>
        <v>0</v>
      </c>
      <c r="AI192" s="31">
        <f ca="1">_xll.DBRW($C$1,$C$2,$C$3,$C$4,$C$6,$C$5,$C$7,AI$1,AI$2,$A192)</f>
        <v>0</v>
      </c>
      <c r="AJ192" s="31">
        <f ca="1">_xll.DBRW($C$1,$C$2,$C$3,$C$4,$C$6,$C$5,$C$7,AJ$1,AJ$2,$A192)</f>
        <v>0</v>
      </c>
      <c r="AK192" s="31">
        <f ca="1">_xll.DBRW($C$1,$C$2,$C$3,$C$4,$C$6,$C$5,$C$7,AK$1,AK$2,$A192)</f>
        <v>0</v>
      </c>
      <c r="AL192" s="31">
        <f ca="1">_xll.DBRW($C$1,$C$2,$C$3,$C$4,$C$6,$C$5,$C$7,AL$1,AL$2,$A192)</f>
        <v>0</v>
      </c>
      <c r="AM192" s="31">
        <f ca="1">_xll.DBRW($C$1,$C$2,$C$3,$C$4,$C$6,$C$5,$C$7,AM$1,AM$2,$A192)</f>
        <v>0</v>
      </c>
      <c r="AN192" s="31">
        <f ca="1">_xll.DBRW($C$1,$C$2,$C$3,$C$4,$C$6,$C$5,$C$7,AN$1,AN$2,$A192)</f>
        <v>0</v>
      </c>
      <c r="AO192" s="31">
        <f ca="1">_xll.DBRW($C$1,$C$2,$C$3,$C$4,$C$6,$C$5,$C$7,AO$1,AO$2,$A192)</f>
        <v>0</v>
      </c>
      <c r="AP192" s="31">
        <f ca="1">_xll.DBRW($C$1,$C$2,$C$3,$C$4,$C$6,$C$5,$C$7,AP$1,AP$2,$A192)</f>
        <v>0</v>
      </c>
      <c r="AQ192" s="31">
        <f ca="1">_xll.DBRW($C$1,$C$2,$C$3,$C$4,$C$6,$C$5,$C$7,AQ$1,AQ$2,$A192)</f>
        <v>0</v>
      </c>
      <c r="AR192" s="31">
        <f ca="1">_xll.DBRW($C$1,$C$2,$C$3,$C$4,$C$6,$C$5,$C$7,AR$1,AR$2,$A192)</f>
        <v>0</v>
      </c>
      <c r="AS192" s="31">
        <f ca="1">_xll.DBRW($C$1,$C$2,$C$3,$C$4,$C$6,$C$5,$C$7,AS$1,AS$2,$A192)</f>
        <v>0</v>
      </c>
      <c r="AT192" s="31">
        <f ca="1">_xll.DBRW($C$1,$C$2,$C$3,$C$4,$C$6,$C$5,$C$7,AT$1,AT$2,$A192)</f>
        <v>0</v>
      </c>
      <c r="AU192" s="31">
        <f ca="1">_xll.DBRW($C$1,$C$2,$C$3,$C$4,$C$6,$C$5,$C$7,AU$1,AU$2,$A192)</f>
        <v>0</v>
      </c>
    </row>
    <row r="193" spans="1:47" ht="15.75" hidden="1" customHeight="1" outlineLevel="1">
      <c r="A193" s="1" t="s">
        <v>269</v>
      </c>
      <c r="C193" s="141"/>
      <c r="E193" s="9" t="str">
        <f ca="1">_xll.DBRW(Server&amp;"}ElementAttributes_Indicator",A193,"code_English")</f>
        <v>PL1115S_XX - Vector Reconciliation (TPL11) - COS - Subcontracting transportation costs</v>
      </c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</row>
    <row r="194" spans="1:47" ht="15.75" hidden="1" customHeight="1" outlineLevel="1">
      <c r="A194" s="1" t="s">
        <v>270</v>
      </c>
      <c r="C194" s="141"/>
      <c r="E194" s="9" t="str">
        <f ca="1">_xll.DBRW(Server&amp;"}ElementAttributes_Indicator",A194,"code_English")</f>
        <v>PL1116_XX - Vector Reconciliation (TPL11) - COS - Lease expenses</v>
      </c>
      <c r="F194" s="31">
        <f ca="1">_xll.DBRW($C$1,$C$2,$C$3,$C$4,$C$6,$C$5,$C$7,F$1,F$2,$A194)</f>
        <v>0</v>
      </c>
      <c r="G194" s="31">
        <f ca="1">_xll.DBRW($C$1,$C$2,$C$3,$C$4,$C$6,$C$5,$C$7,G$1,G$2,$A194)</f>
        <v>0</v>
      </c>
      <c r="H194" s="31">
        <f ca="1">_xll.DBRW($C$1,$C$2,$C$3,$C$4,$C$6,$C$5,$C$7,H$1,H$2,$A194)</f>
        <v>0</v>
      </c>
      <c r="I194" s="31">
        <f ca="1">_xll.DBRW($C$1,$C$2,$C$3,$C$4,$C$6,$C$5,$C$7,I$1,I$2,$A194)</f>
        <v>0</v>
      </c>
      <c r="J194" s="31">
        <f ca="1">_xll.DBRW($C$1,$C$2,$C$3,$C$4,$C$6,$C$5,$C$7,J$1,J$2,$A194)</f>
        <v>0</v>
      </c>
      <c r="K194" s="31">
        <f ca="1">_xll.DBRW($C$1,$C$2,$C$3,$C$4,$C$6,$C$5,$C$7,K$1,K$2,$A194)</f>
        <v>0</v>
      </c>
      <c r="L194" s="31">
        <f ca="1">_xll.DBRW($C$1,$C$2,$C$3,$C$4,$C$6,$C$5,$C$7,L$1,L$2,$A194)</f>
        <v>0</v>
      </c>
      <c r="M194" s="31">
        <f ca="1">_xll.DBRW($C$1,$C$2,$C$3,$C$4,$C$6,$C$5,$C$7,M$1,M$2,$A194)</f>
        <v>0</v>
      </c>
      <c r="N194" s="31">
        <f ca="1">_xll.DBRW($C$1,$C$2,$C$3,$C$4,$C$6,$C$5,$C$7,N$1,N$2,$A194)</f>
        <v>0</v>
      </c>
      <c r="O194" s="31">
        <f ca="1">_xll.DBRW($C$1,$C$2,$C$3,$C$4,$C$6,$C$5,$C$7,O$1,O$2,$A194)</f>
        <v>0</v>
      </c>
      <c r="P194" s="31">
        <f ca="1">_xll.DBRW($C$1,$C$2,$C$3,$C$4,$C$6,$C$5,$C$7,P$1,P$2,$A194)</f>
        <v>0</v>
      </c>
      <c r="Q194" s="31">
        <f ca="1">_xll.DBRW($C$1,$C$2,$C$3,$C$4,$C$6,$C$5,$C$7,Q$1,Q$2,$A194)</f>
        <v>0</v>
      </c>
      <c r="R194" s="31">
        <f ca="1">_xll.DBRW($C$1,$C$2,$C$3,$C$4,$C$6,$C$5,$C$7,R$1,R$2,$A194)</f>
        <v>0</v>
      </c>
      <c r="S194" s="31">
        <f ca="1">_xll.DBRW($C$1,$C$2,$C$3,$C$4,$C$6,$C$5,$C$7,S$1,S$2,$A194)</f>
        <v>0</v>
      </c>
      <c r="T194" s="31">
        <f ca="1">_xll.DBRW($C$1,$C$2,$C$3,$C$4,$C$6,$C$5,$C$7,T$1,T$2,$A194)</f>
        <v>0</v>
      </c>
      <c r="U194" s="31">
        <f ca="1">_xll.DBRW($C$1,$C$2,$C$3,$C$4,$C$6,$C$5,$C$7,U$1,U$2,$A194)</f>
        <v>0</v>
      </c>
      <c r="V194" s="31">
        <f ca="1">_xll.DBRW($C$1,$C$2,$C$3,$C$4,$C$6,$C$5,$C$7,V$1,V$2,$A194)</f>
        <v>0</v>
      </c>
      <c r="W194" s="31">
        <f ca="1">_xll.DBRW($C$1,$C$2,$C$3,$C$4,$C$6,$C$5,$C$7,W$1,W$2,$A194)</f>
        <v>0</v>
      </c>
      <c r="X194" s="31">
        <f ca="1">_xll.DBRW($C$1,$C$2,$C$3,$C$4,$C$6,$C$5,$C$7,X$1,X$2,$A194)</f>
        <v>0</v>
      </c>
      <c r="Y194" s="31">
        <f ca="1">_xll.DBRW($C$1,$C$2,$C$3,$C$4,$C$6,$C$5,$C$7,Y$1,Y$2,$A194)</f>
        <v>0</v>
      </c>
      <c r="Z194" s="31">
        <f ca="1">_xll.DBRW($C$1,$C$2,$C$3,$C$4,$C$6,$C$5,$C$7,Z$1,Z$2,$A194)</f>
        <v>0</v>
      </c>
      <c r="AA194" s="31">
        <f ca="1">_xll.DBRW($C$1,$C$2,$C$3,$C$4,$C$6,$C$5,$C$7,AA$1,AA$2,$A194)</f>
        <v>0</v>
      </c>
      <c r="AB194" s="31">
        <f ca="1">_xll.DBRW($C$1,$C$2,$C$3,$C$4,$C$6,$C$5,$C$7,AB$1,AB$2,$A194)</f>
        <v>0</v>
      </c>
      <c r="AC194" s="31">
        <f ca="1">_xll.DBRW($C$1,$C$2,$C$3,$C$4,$C$6,$C$5,$C$7,AC$1,AC$2,$A194)</f>
        <v>0</v>
      </c>
      <c r="AD194" s="31">
        <f ca="1">_xll.DBRW($C$1,$C$2,$C$3,$C$4,$C$6,$C$5,$C$7,AD$1,AD$2,$A194)</f>
        <v>0</v>
      </c>
      <c r="AE194" s="31">
        <f ca="1">_xll.DBRW($C$1,$C$2,$C$3,$C$4,$C$6,$C$5,$C$7,AE$1,AE$2,$A194)</f>
        <v>0</v>
      </c>
      <c r="AF194" s="31">
        <f ca="1">_xll.DBRW($C$1,$C$2,$C$3,$C$4,$C$6,$C$5,$C$7,AF$1,AF$2,$A194)</f>
        <v>0</v>
      </c>
      <c r="AG194" s="31">
        <f ca="1">_xll.DBRW($C$1,$C$2,$C$3,$C$4,$C$6,$C$5,$C$7,AG$1,AG$2,$A194)</f>
        <v>0</v>
      </c>
      <c r="AH194" s="31">
        <f ca="1">_xll.DBRW($C$1,$C$2,$C$3,$C$4,$C$6,$C$5,$C$7,AH$1,AH$2,$A194)</f>
        <v>0</v>
      </c>
      <c r="AI194" s="31">
        <f ca="1">_xll.DBRW($C$1,$C$2,$C$3,$C$4,$C$6,$C$5,$C$7,AI$1,AI$2,$A194)</f>
        <v>0</v>
      </c>
      <c r="AJ194" s="31">
        <f ca="1">_xll.DBRW($C$1,$C$2,$C$3,$C$4,$C$6,$C$5,$C$7,AJ$1,AJ$2,$A194)</f>
        <v>0</v>
      </c>
      <c r="AK194" s="31">
        <f ca="1">_xll.DBRW($C$1,$C$2,$C$3,$C$4,$C$6,$C$5,$C$7,AK$1,AK$2,$A194)</f>
        <v>0</v>
      </c>
      <c r="AL194" s="31">
        <f ca="1">_xll.DBRW($C$1,$C$2,$C$3,$C$4,$C$6,$C$5,$C$7,AL$1,AL$2,$A194)</f>
        <v>0</v>
      </c>
      <c r="AM194" s="31">
        <f ca="1">_xll.DBRW($C$1,$C$2,$C$3,$C$4,$C$6,$C$5,$C$7,AM$1,AM$2,$A194)</f>
        <v>0</v>
      </c>
      <c r="AN194" s="31">
        <f ca="1">_xll.DBRW($C$1,$C$2,$C$3,$C$4,$C$6,$C$5,$C$7,AN$1,AN$2,$A194)</f>
        <v>0</v>
      </c>
      <c r="AO194" s="31">
        <f ca="1">_xll.DBRW($C$1,$C$2,$C$3,$C$4,$C$6,$C$5,$C$7,AO$1,AO$2,$A194)</f>
        <v>0</v>
      </c>
      <c r="AP194" s="31">
        <f ca="1">_xll.DBRW($C$1,$C$2,$C$3,$C$4,$C$6,$C$5,$C$7,AP$1,AP$2,$A194)</f>
        <v>0</v>
      </c>
      <c r="AQ194" s="31">
        <f ca="1">_xll.DBRW($C$1,$C$2,$C$3,$C$4,$C$6,$C$5,$C$7,AQ$1,AQ$2,$A194)</f>
        <v>0</v>
      </c>
      <c r="AR194" s="31">
        <f ca="1">_xll.DBRW($C$1,$C$2,$C$3,$C$4,$C$6,$C$5,$C$7,AR$1,AR$2,$A194)</f>
        <v>0</v>
      </c>
      <c r="AS194" s="31">
        <f ca="1">_xll.DBRW($C$1,$C$2,$C$3,$C$4,$C$6,$C$5,$C$7,AS$1,AS$2,$A194)</f>
        <v>0</v>
      </c>
      <c r="AT194" s="31">
        <f ca="1">_xll.DBRW($C$1,$C$2,$C$3,$C$4,$C$6,$C$5,$C$7,AT$1,AT$2,$A194)</f>
        <v>0</v>
      </c>
      <c r="AU194" s="31">
        <f ca="1">_xll.DBRW($C$1,$C$2,$C$3,$C$4,$C$6,$C$5,$C$7,AU$1,AU$2,$A194)</f>
        <v>0</v>
      </c>
    </row>
    <row r="195" spans="1:47" ht="15.75" hidden="1" customHeight="1" outlineLevel="1">
      <c r="A195" s="1" t="s">
        <v>271</v>
      </c>
      <c r="C195" s="141"/>
      <c r="E195" s="9" t="str">
        <f ca="1">_xll.DBRW(Server&amp;"}ElementAttributes_Indicator",A195,"code_English")</f>
        <v>PL1117_XX - Réconciliation Vector (TPL11) - COS - Lease expenses (IFRIC12)</v>
      </c>
      <c r="F195" s="31">
        <f ca="1">_xll.DBRW($C$1,$C$2,$C$3,$C$4,$C$6,$C$5,$C$7,F$1,F$2,$A195)</f>
        <v>0</v>
      </c>
      <c r="G195" s="31">
        <f ca="1">_xll.DBRW($C$1,$C$2,$C$3,$C$4,$C$6,$C$5,$C$7,G$1,G$2,$A195)</f>
        <v>0</v>
      </c>
      <c r="H195" s="31">
        <f ca="1">_xll.DBRW($C$1,$C$2,$C$3,$C$4,$C$6,$C$5,$C$7,H$1,H$2,$A195)</f>
        <v>0</v>
      </c>
      <c r="I195" s="31">
        <f ca="1">_xll.DBRW($C$1,$C$2,$C$3,$C$4,$C$6,$C$5,$C$7,I$1,I$2,$A195)</f>
        <v>0</v>
      </c>
      <c r="J195" s="31">
        <f ca="1">_xll.DBRW($C$1,$C$2,$C$3,$C$4,$C$6,$C$5,$C$7,J$1,J$2,$A195)</f>
        <v>0</v>
      </c>
      <c r="K195" s="31">
        <f ca="1">_xll.DBRW($C$1,$C$2,$C$3,$C$4,$C$6,$C$5,$C$7,K$1,K$2,$A195)</f>
        <v>0</v>
      </c>
      <c r="L195" s="31">
        <f ca="1">_xll.DBRW($C$1,$C$2,$C$3,$C$4,$C$6,$C$5,$C$7,L$1,L$2,$A195)</f>
        <v>0</v>
      </c>
      <c r="M195" s="31">
        <f ca="1">_xll.DBRW($C$1,$C$2,$C$3,$C$4,$C$6,$C$5,$C$7,M$1,M$2,$A195)</f>
        <v>0</v>
      </c>
      <c r="N195" s="31">
        <f ca="1">_xll.DBRW($C$1,$C$2,$C$3,$C$4,$C$6,$C$5,$C$7,N$1,N$2,$A195)</f>
        <v>0</v>
      </c>
      <c r="O195" s="31">
        <f ca="1">_xll.DBRW($C$1,$C$2,$C$3,$C$4,$C$6,$C$5,$C$7,O$1,O$2,$A195)</f>
        <v>0</v>
      </c>
      <c r="P195" s="31">
        <f ca="1">_xll.DBRW($C$1,$C$2,$C$3,$C$4,$C$6,$C$5,$C$7,P$1,P$2,$A195)</f>
        <v>0</v>
      </c>
      <c r="Q195" s="31">
        <f ca="1">_xll.DBRW($C$1,$C$2,$C$3,$C$4,$C$6,$C$5,$C$7,Q$1,Q$2,$A195)</f>
        <v>0</v>
      </c>
      <c r="R195" s="31">
        <f ca="1">_xll.DBRW($C$1,$C$2,$C$3,$C$4,$C$6,$C$5,$C$7,R$1,R$2,$A195)</f>
        <v>0</v>
      </c>
      <c r="S195" s="31">
        <f ca="1">_xll.DBRW($C$1,$C$2,$C$3,$C$4,$C$6,$C$5,$C$7,S$1,S$2,$A195)</f>
        <v>0</v>
      </c>
      <c r="T195" s="31">
        <f ca="1">_xll.DBRW($C$1,$C$2,$C$3,$C$4,$C$6,$C$5,$C$7,T$1,T$2,$A195)</f>
        <v>0</v>
      </c>
      <c r="U195" s="31">
        <f ca="1">_xll.DBRW($C$1,$C$2,$C$3,$C$4,$C$6,$C$5,$C$7,U$1,U$2,$A195)</f>
        <v>0</v>
      </c>
      <c r="V195" s="31">
        <f ca="1">_xll.DBRW($C$1,$C$2,$C$3,$C$4,$C$6,$C$5,$C$7,V$1,V$2,$A195)</f>
        <v>0</v>
      </c>
      <c r="W195" s="31">
        <f ca="1">_xll.DBRW($C$1,$C$2,$C$3,$C$4,$C$6,$C$5,$C$7,W$1,W$2,$A195)</f>
        <v>0</v>
      </c>
      <c r="X195" s="31">
        <f ca="1">_xll.DBRW($C$1,$C$2,$C$3,$C$4,$C$6,$C$5,$C$7,X$1,X$2,$A195)</f>
        <v>0</v>
      </c>
      <c r="Y195" s="31">
        <f ca="1">_xll.DBRW($C$1,$C$2,$C$3,$C$4,$C$6,$C$5,$C$7,Y$1,Y$2,$A195)</f>
        <v>0</v>
      </c>
      <c r="Z195" s="31">
        <f ca="1">_xll.DBRW($C$1,$C$2,$C$3,$C$4,$C$6,$C$5,$C$7,Z$1,Z$2,$A195)</f>
        <v>0</v>
      </c>
      <c r="AA195" s="31">
        <f ca="1">_xll.DBRW($C$1,$C$2,$C$3,$C$4,$C$6,$C$5,$C$7,AA$1,AA$2,$A195)</f>
        <v>0</v>
      </c>
      <c r="AB195" s="31">
        <f ca="1">_xll.DBRW($C$1,$C$2,$C$3,$C$4,$C$6,$C$5,$C$7,AB$1,AB$2,$A195)</f>
        <v>0</v>
      </c>
      <c r="AC195" s="31">
        <f ca="1">_xll.DBRW($C$1,$C$2,$C$3,$C$4,$C$6,$C$5,$C$7,AC$1,AC$2,$A195)</f>
        <v>0</v>
      </c>
      <c r="AD195" s="31">
        <f ca="1">_xll.DBRW($C$1,$C$2,$C$3,$C$4,$C$6,$C$5,$C$7,AD$1,AD$2,$A195)</f>
        <v>0</v>
      </c>
      <c r="AE195" s="31">
        <f ca="1">_xll.DBRW($C$1,$C$2,$C$3,$C$4,$C$6,$C$5,$C$7,AE$1,AE$2,$A195)</f>
        <v>0</v>
      </c>
      <c r="AF195" s="31">
        <f ca="1">_xll.DBRW($C$1,$C$2,$C$3,$C$4,$C$6,$C$5,$C$7,AF$1,AF$2,$A195)</f>
        <v>0</v>
      </c>
      <c r="AG195" s="31">
        <f ca="1">_xll.DBRW($C$1,$C$2,$C$3,$C$4,$C$6,$C$5,$C$7,AG$1,AG$2,$A195)</f>
        <v>0</v>
      </c>
      <c r="AH195" s="31">
        <f ca="1">_xll.DBRW($C$1,$C$2,$C$3,$C$4,$C$6,$C$5,$C$7,AH$1,AH$2,$A195)</f>
        <v>0</v>
      </c>
      <c r="AI195" s="31">
        <f ca="1">_xll.DBRW($C$1,$C$2,$C$3,$C$4,$C$6,$C$5,$C$7,AI$1,AI$2,$A195)</f>
        <v>0</v>
      </c>
      <c r="AJ195" s="31">
        <f ca="1">_xll.DBRW($C$1,$C$2,$C$3,$C$4,$C$6,$C$5,$C$7,AJ$1,AJ$2,$A195)</f>
        <v>0</v>
      </c>
      <c r="AK195" s="31">
        <f ca="1">_xll.DBRW($C$1,$C$2,$C$3,$C$4,$C$6,$C$5,$C$7,AK$1,AK$2,$A195)</f>
        <v>0</v>
      </c>
      <c r="AL195" s="31">
        <f ca="1">_xll.DBRW($C$1,$C$2,$C$3,$C$4,$C$6,$C$5,$C$7,AL$1,AL$2,$A195)</f>
        <v>0</v>
      </c>
      <c r="AM195" s="31">
        <f ca="1">_xll.DBRW($C$1,$C$2,$C$3,$C$4,$C$6,$C$5,$C$7,AM$1,AM$2,$A195)</f>
        <v>0</v>
      </c>
      <c r="AN195" s="31">
        <f ca="1">_xll.DBRW($C$1,$C$2,$C$3,$C$4,$C$6,$C$5,$C$7,AN$1,AN$2,$A195)</f>
        <v>0</v>
      </c>
      <c r="AO195" s="31">
        <f ca="1">_xll.DBRW($C$1,$C$2,$C$3,$C$4,$C$6,$C$5,$C$7,AO$1,AO$2,$A195)</f>
        <v>0</v>
      </c>
      <c r="AP195" s="31">
        <f ca="1">_xll.DBRW($C$1,$C$2,$C$3,$C$4,$C$6,$C$5,$C$7,AP$1,AP$2,$A195)</f>
        <v>0</v>
      </c>
      <c r="AQ195" s="31">
        <f ca="1">_xll.DBRW($C$1,$C$2,$C$3,$C$4,$C$6,$C$5,$C$7,AQ$1,AQ$2,$A195)</f>
        <v>0</v>
      </c>
      <c r="AR195" s="31">
        <f ca="1">_xll.DBRW($C$1,$C$2,$C$3,$C$4,$C$6,$C$5,$C$7,AR$1,AR$2,$A195)</f>
        <v>0</v>
      </c>
      <c r="AS195" s="31">
        <f ca="1">_xll.DBRW($C$1,$C$2,$C$3,$C$4,$C$6,$C$5,$C$7,AS$1,AS$2,$A195)</f>
        <v>0</v>
      </c>
      <c r="AT195" s="31">
        <f ca="1">_xll.DBRW($C$1,$C$2,$C$3,$C$4,$C$6,$C$5,$C$7,AT$1,AT$2,$A195)</f>
        <v>0</v>
      </c>
      <c r="AU195" s="31">
        <f ca="1">_xll.DBRW($C$1,$C$2,$C$3,$C$4,$C$6,$C$5,$C$7,AU$1,AU$2,$A195)</f>
        <v>0</v>
      </c>
    </row>
    <row r="196" spans="1:47" ht="15.75" hidden="1" customHeight="1" outlineLevel="1">
      <c r="A196" s="1" t="s">
        <v>272</v>
      </c>
      <c r="C196" s="141"/>
      <c r="E196" s="9" t="str">
        <f ca="1">_xll.DBRW(Server&amp;"}ElementAttributes_Indicator",A196,"code_English")</f>
        <v>PL1118_XX - Réconciliation Vector (TPL11) - IFRS16 adjustment through P&amp;L</v>
      </c>
      <c r="F196" s="31">
        <f ca="1">_xll.DBRW($C$1,$C$2,$C$3,$C$4,$C$6,$C$5,$C$7,F$1,F$2,$A196)</f>
        <v>0</v>
      </c>
      <c r="G196" s="31">
        <f ca="1">_xll.DBRW($C$1,$C$2,$C$3,$C$4,$C$6,$C$5,$C$7,G$1,G$2,$A196)</f>
        <v>0</v>
      </c>
      <c r="H196" s="31">
        <f ca="1">_xll.DBRW($C$1,$C$2,$C$3,$C$4,$C$6,$C$5,$C$7,H$1,H$2,$A196)</f>
        <v>0</v>
      </c>
      <c r="I196" s="31">
        <f ca="1">_xll.DBRW($C$1,$C$2,$C$3,$C$4,$C$6,$C$5,$C$7,I$1,I$2,$A196)</f>
        <v>0</v>
      </c>
      <c r="J196" s="31">
        <f ca="1">_xll.DBRW($C$1,$C$2,$C$3,$C$4,$C$6,$C$5,$C$7,J$1,J$2,$A196)</f>
        <v>0</v>
      </c>
      <c r="K196" s="31">
        <f ca="1">_xll.DBRW($C$1,$C$2,$C$3,$C$4,$C$6,$C$5,$C$7,K$1,K$2,$A196)</f>
        <v>0</v>
      </c>
      <c r="L196" s="31">
        <f ca="1">_xll.DBRW($C$1,$C$2,$C$3,$C$4,$C$6,$C$5,$C$7,L$1,L$2,$A196)</f>
        <v>0</v>
      </c>
      <c r="M196" s="31">
        <f ca="1">_xll.DBRW($C$1,$C$2,$C$3,$C$4,$C$6,$C$5,$C$7,M$1,M$2,$A196)</f>
        <v>0</v>
      </c>
      <c r="N196" s="31">
        <f ca="1">_xll.DBRW($C$1,$C$2,$C$3,$C$4,$C$6,$C$5,$C$7,N$1,N$2,$A196)</f>
        <v>0</v>
      </c>
      <c r="O196" s="31">
        <f ca="1">_xll.DBRW($C$1,$C$2,$C$3,$C$4,$C$6,$C$5,$C$7,O$1,O$2,$A196)</f>
        <v>0</v>
      </c>
      <c r="P196" s="31">
        <f ca="1">_xll.DBRW($C$1,$C$2,$C$3,$C$4,$C$6,$C$5,$C$7,P$1,P$2,$A196)</f>
        <v>0</v>
      </c>
      <c r="Q196" s="31">
        <f ca="1">_xll.DBRW($C$1,$C$2,$C$3,$C$4,$C$6,$C$5,$C$7,Q$1,Q$2,$A196)</f>
        <v>0</v>
      </c>
      <c r="R196" s="31">
        <f ca="1">_xll.DBRW($C$1,$C$2,$C$3,$C$4,$C$6,$C$5,$C$7,R$1,R$2,$A196)</f>
        <v>0</v>
      </c>
      <c r="S196" s="31">
        <f ca="1">_xll.DBRW($C$1,$C$2,$C$3,$C$4,$C$6,$C$5,$C$7,S$1,S$2,$A196)</f>
        <v>0</v>
      </c>
      <c r="T196" s="31">
        <f ca="1">_xll.DBRW($C$1,$C$2,$C$3,$C$4,$C$6,$C$5,$C$7,T$1,T$2,$A196)</f>
        <v>0</v>
      </c>
      <c r="U196" s="31">
        <f ca="1">_xll.DBRW($C$1,$C$2,$C$3,$C$4,$C$6,$C$5,$C$7,U$1,U$2,$A196)</f>
        <v>0</v>
      </c>
      <c r="V196" s="31">
        <f ca="1">_xll.DBRW($C$1,$C$2,$C$3,$C$4,$C$6,$C$5,$C$7,V$1,V$2,$A196)</f>
        <v>0</v>
      </c>
      <c r="W196" s="31">
        <f ca="1">_xll.DBRW($C$1,$C$2,$C$3,$C$4,$C$6,$C$5,$C$7,W$1,W$2,$A196)</f>
        <v>0</v>
      </c>
      <c r="X196" s="31">
        <f ca="1">_xll.DBRW($C$1,$C$2,$C$3,$C$4,$C$6,$C$5,$C$7,X$1,X$2,$A196)</f>
        <v>0</v>
      </c>
      <c r="Y196" s="31">
        <f ca="1">_xll.DBRW($C$1,$C$2,$C$3,$C$4,$C$6,$C$5,$C$7,Y$1,Y$2,$A196)</f>
        <v>0</v>
      </c>
      <c r="Z196" s="31">
        <f ca="1">_xll.DBRW($C$1,$C$2,$C$3,$C$4,$C$6,$C$5,$C$7,Z$1,Z$2,$A196)</f>
        <v>0</v>
      </c>
      <c r="AA196" s="31">
        <f ca="1">_xll.DBRW($C$1,$C$2,$C$3,$C$4,$C$6,$C$5,$C$7,AA$1,AA$2,$A196)</f>
        <v>0</v>
      </c>
      <c r="AB196" s="31">
        <f ca="1">_xll.DBRW($C$1,$C$2,$C$3,$C$4,$C$6,$C$5,$C$7,AB$1,AB$2,$A196)</f>
        <v>0</v>
      </c>
      <c r="AC196" s="31">
        <f ca="1">_xll.DBRW($C$1,$C$2,$C$3,$C$4,$C$6,$C$5,$C$7,AC$1,AC$2,$A196)</f>
        <v>0</v>
      </c>
      <c r="AD196" s="31">
        <f ca="1">_xll.DBRW($C$1,$C$2,$C$3,$C$4,$C$6,$C$5,$C$7,AD$1,AD$2,$A196)</f>
        <v>0</v>
      </c>
      <c r="AE196" s="31">
        <f ca="1">_xll.DBRW($C$1,$C$2,$C$3,$C$4,$C$6,$C$5,$C$7,AE$1,AE$2,$A196)</f>
        <v>0</v>
      </c>
      <c r="AF196" s="31">
        <f ca="1">_xll.DBRW($C$1,$C$2,$C$3,$C$4,$C$6,$C$5,$C$7,AF$1,AF$2,$A196)</f>
        <v>0</v>
      </c>
      <c r="AG196" s="31">
        <f ca="1">_xll.DBRW($C$1,$C$2,$C$3,$C$4,$C$6,$C$5,$C$7,AG$1,AG$2,$A196)</f>
        <v>0</v>
      </c>
      <c r="AH196" s="31">
        <f ca="1">_xll.DBRW($C$1,$C$2,$C$3,$C$4,$C$6,$C$5,$C$7,AH$1,AH$2,$A196)</f>
        <v>0</v>
      </c>
      <c r="AI196" s="31">
        <f ca="1">_xll.DBRW($C$1,$C$2,$C$3,$C$4,$C$6,$C$5,$C$7,AI$1,AI$2,$A196)</f>
        <v>0</v>
      </c>
      <c r="AJ196" s="31">
        <f ca="1">_xll.DBRW($C$1,$C$2,$C$3,$C$4,$C$6,$C$5,$C$7,AJ$1,AJ$2,$A196)</f>
        <v>0</v>
      </c>
      <c r="AK196" s="31">
        <f ca="1">_xll.DBRW($C$1,$C$2,$C$3,$C$4,$C$6,$C$5,$C$7,AK$1,AK$2,$A196)</f>
        <v>0</v>
      </c>
      <c r="AL196" s="31">
        <f ca="1">_xll.DBRW($C$1,$C$2,$C$3,$C$4,$C$6,$C$5,$C$7,AL$1,AL$2,$A196)</f>
        <v>0</v>
      </c>
      <c r="AM196" s="31">
        <f ca="1">_xll.DBRW($C$1,$C$2,$C$3,$C$4,$C$6,$C$5,$C$7,AM$1,AM$2,$A196)</f>
        <v>0</v>
      </c>
      <c r="AN196" s="31">
        <f ca="1">_xll.DBRW($C$1,$C$2,$C$3,$C$4,$C$6,$C$5,$C$7,AN$1,AN$2,$A196)</f>
        <v>0</v>
      </c>
      <c r="AO196" s="31">
        <f ca="1">_xll.DBRW($C$1,$C$2,$C$3,$C$4,$C$6,$C$5,$C$7,AO$1,AO$2,$A196)</f>
        <v>0</v>
      </c>
      <c r="AP196" s="31">
        <f ca="1">_xll.DBRW($C$1,$C$2,$C$3,$C$4,$C$6,$C$5,$C$7,AP$1,AP$2,$A196)</f>
        <v>0</v>
      </c>
      <c r="AQ196" s="31">
        <f ca="1">_xll.DBRW($C$1,$C$2,$C$3,$C$4,$C$6,$C$5,$C$7,AQ$1,AQ$2,$A196)</f>
        <v>0</v>
      </c>
      <c r="AR196" s="31">
        <f ca="1">_xll.DBRW($C$1,$C$2,$C$3,$C$4,$C$6,$C$5,$C$7,AR$1,AR$2,$A196)</f>
        <v>0</v>
      </c>
      <c r="AS196" s="31">
        <f ca="1">_xll.DBRW($C$1,$C$2,$C$3,$C$4,$C$6,$C$5,$C$7,AS$1,AS$2,$A196)</f>
        <v>0</v>
      </c>
      <c r="AT196" s="31">
        <f ca="1">_xll.DBRW($C$1,$C$2,$C$3,$C$4,$C$6,$C$5,$C$7,AT$1,AT$2,$A196)</f>
        <v>0</v>
      </c>
      <c r="AU196" s="31">
        <f ca="1">_xll.DBRW($C$1,$C$2,$C$3,$C$4,$C$6,$C$5,$C$7,AU$1,AU$2,$A196)</f>
        <v>0</v>
      </c>
    </row>
    <row r="197" spans="1:47" ht="15.75" hidden="1" customHeight="1" outlineLevel="1">
      <c r="A197" s="1" t="s">
        <v>273</v>
      </c>
      <c r="C197" s="141"/>
      <c r="E197" s="9" t="str">
        <f ca="1">_xll.DBRW(Server&amp;"}ElementAttributes_Indicator",A197,"code_English")</f>
        <v>PL1120_XX - Vector Reconciliation (TPL11) - Group internal insurance compensation received</v>
      </c>
      <c r="F197" s="31">
        <f ca="1">_xll.DBRW($C$1,$C$2,$C$3,$C$4,$C$6,$C$5,$C$7,F$1,F$2,$A197)</f>
        <v>0</v>
      </c>
      <c r="G197" s="31">
        <f ca="1">_xll.DBRW($C$1,$C$2,$C$3,$C$4,$C$6,$C$5,$C$7,G$1,G$2,$A197)</f>
        <v>0</v>
      </c>
      <c r="H197" s="31">
        <f ca="1">_xll.DBRW($C$1,$C$2,$C$3,$C$4,$C$6,$C$5,$C$7,H$1,H$2,$A197)</f>
        <v>0</v>
      </c>
      <c r="I197" s="31">
        <f ca="1">_xll.DBRW($C$1,$C$2,$C$3,$C$4,$C$6,$C$5,$C$7,I$1,I$2,$A197)</f>
        <v>0</v>
      </c>
      <c r="J197" s="31">
        <f ca="1">_xll.DBRW($C$1,$C$2,$C$3,$C$4,$C$6,$C$5,$C$7,J$1,J$2,$A197)</f>
        <v>0</v>
      </c>
      <c r="K197" s="31">
        <f ca="1">_xll.DBRW($C$1,$C$2,$C$3,$C$4,$C$6,$C$5,$C$7,K$1,K$2,$A197)</f>
        <v>0</v>
      </c>
      <c r="L197" s="31">
        <f ca="1">_xll.DBRW($C$1,$C$2,$C$3,$C$4,$C$6,$C$5,$C$7,L$1,L$2,$A197)</f>
        <v>0</v>
      </c>
      <c r="M197" s="31">
        <f ca="1">_xll.DBRW($C$1,$C$2,$C$3,$C$4,$C$6,$C$5,$C$7,M$1,M$2,$A197)</f>
        <v>0</v>
      </c>
      <c r="N197" s="31">
        <f ca="1">_xll.DBRW($C$1,$C$2,$C$3,$C$4,$C$6,$C$5,$C$7,N$1,N$2,$A197)</f>
        <v>0</v>
      </c>
      <c r="O197" s="31">
        <f ca="1">_xll.DBRW($C$1,$C$2,$C$3,$C$4,$C$6,$C$5,$C$7,O$1,O$2,$A197)</f>
        <v>0</v>
      </c>
      <c r="P197" s="31">
        <f ca="1">_xll.DBRW($C$1,$C$2,$C$3,$C$4,$C$6,$C$5,$C$7,P$1,P$2,$A197)</f>
        <v>0</v>
      </c>
      <c r="Q197" s="31">
        <f ca="1">_xll.DBRW($C$1,$C$2,$C$3,$C$4,$C$6,$C$5,$C$7,Q$1,Q$2,$A197)</f>
        <v>0</v>
      </c>
      <c r="R197" s="31">
        <f ca="1">_xll.DBRW($C$1,$C$2,$C$3,$C$4,$C$6,$C$5,$C$7,R$1,R$2,$A197)</f>
        <v>0</v>
      </c>
      <c r="S197" s="31">
        <f ca="1">_xll.DBRW($C$1,$C$2,$C$3,$C$4,$C$6,$C$5,$C$7,S$1,S$2,$A197)</f>
        <v>0</v>
      </c>
      <c r="T197" s="31">
        <f ca="1">_xll.DBRW($C$1,$C$2,$C$3,$C$4,$C$6,$C$5,$C$7,T$1,T$2,$A197)</f>
        <v>0</v>
      </c>
      <c r="U197" s="31">
        <f ca="1">_xll.DBRW($C$1,$C$2,$C$3,$C$4,$C$6,$C$5,$C$7,U$1,U$2,$A197)</f>
        <v>0</v>
      </c>
      <c r="V197" s="31">
        <f ca="1">_xll.DBRW($C$1,$C$2,$C$3,$C$4,$C$6,$C$5,$C$7,V$1,V$2,$A197)</f>
        <v>0</v>
      </c>
      <c r="W197" s="31">
        <f ca="1">_xll.DBRW($C$1,$C$2,$C$3,$C$4,$C$6,$C$5,$C$7,W$1,W$2,$A197)</f>
        <v>0</v>
      </c>
      <c r="X197" s="31">
        <f ca="1">_xll.DBRW($C$1,$C$2,$C$3,$C$4,$C$6,$C$5,$C$7,X$1,X$2,$A197)</f>
        <v>0</v>
      </c>
      <c r="Y197" s="31">
        <f ca="1">_xll.DBRW($C$1,$C$2,$C$3,$C$4,$C$6,$C$5,$C$7,Y$1,Y$2,$A197)</f>
        <v>0</v>
      </c>
      <c r="Z197" s="31">
        <f ca="1">_xll.DBRW($C$1,$C$2,$C$3,$C$4,$C$6,$C$5,$C$7,Z$1,Z$2,$A197)</f>
        <v>0</v>
      </c>
      <c r="AA197" s="31">
        <f ca="1">_xll.DBRW($C$1,$C$2,$C$3,$C$4,$C$6,$C$5,$C$7,AA$1,AA$2,$A197)</f>
        <v>0</v>
      </c>
      <c r="AB197" s="31">
        <f ca="1">_xll.DBRW($C$1,$C$2,$C$3,$C$4,$C$6,$C$5,$C$7,AB$1,AB$2,$A197)</f>
        <v>0</v>
      </c>
      <c r="AC197" s="31">
        <f ca="1">_xll.DBRW($C$1,$C$2,$C$3,$C$4,$C$6,$C$5,$C$7,AC$1,AC$2,$A197)</f>
        <v>0</v>
      </c>
      <c r="AD197" s="31">
        <f ca="1">_xll.DBRW($C$1,$C$2,$C$3,$C$4,$C$6,$C$5,$C$7,AD$1,AD$2,$A197)</f>
        <v>0</v>
      </c>
      <c r="AE197" s="31">
        <f ca="1">_xll.DBRW($C$1,$C$2,$C$3,$C$4,$C$6,$C$5,$C$7,AE$1,AE$2,$A197)</f>
        <v>0</v>
      </c>
      <c r="AF197" s="31">
        <f ca="1">_xll.DBRW($C$1,$C$2,$C$3,$C$4,$C$6,$C$5,$C$7,AF$1,AF$2,$A197)</f>
        <v>0</v>
      </c>
      <c r="AG197" s="31">
        <f ca="1">_xll.DBRW($C$1,$C$2,$C$3,$C$4,$C$6,$C$5,$C$7,AG$1,AG$2,$A197)</f>
        <v>0</v>
      </c>
      <c r="AH197" s="31">
        <f ca="1">_xll.DBRW($C$1,$C$2,$C$3,$C$4,$C$6,$C$5,$C$7,AH$1,AH$2,$A197)</f>
        <v>0</v>
      </c>
      <c r="AI197" s="31">
        <f ca="1">_xll.DBRW($C$1,$C$2,$C$3,$C$4,$C$6,$C$5,$C$7,AI$1,AI$2,$A197)</f>
        <v>0</v>
      </c>
      <c r="AJ197" s="31">
        <f ca="1">_xll.DBRW($C$1,$C$2,$C$3,$C$4,$C$6,$C$5,$C$7,AJ$1,AJ$2,$A197)</f>
        <v>0</v>
      </c>
      <c r="AK197" s="31">
        <f ca="1">_xll.DBRW($C$1,$C$2,$C$3,$C$4,$C$6,$C$5,$C$7,AK$1,AK$2,$A197)</f>
        <v>0</v>
      </c>
      <c r="AL197" s="31">
        <f ca="1">_xll.DBRW($C$1,$C$2,$C$3,$C$4,$C$6,$C$5,$C$7,AL$1,AL$2,$A197)</f>
        <v>0</v>
      </c>
      <c r="AM197" s="31">
        <f ca="1">_xll.DBRW($C$1,$C$2,$C$3,$C$4,$C$6,$C$5,$C$7,AM$1,AM$2,$A197)</f>
        <v>0</v>
      </c>
      <c r="AN197" s="31">
        <f ca="1">_xll.DBRW($C$1,$C$2,$C$3,$C$4,$C$6,$C$5,$C$7,AN$1,AN$2,$A197)</f>
        <v>0</v>
      </c>
      <c r="AO197" s="31">
        <f ca="1">_xll.DBRW($C$1,$C$2,$C$3,$C$4,$C$6,$C$5,$C$7,AO$1,AO$2,$A197)</f>
        <v>0</v>
      </c>
      <c r="AP197" s="31">
        <f ca="1">_xll.DBRW($C$1,$C$2,$C$3,$C$4,$C$6,$C$5,$C$7,AP$1,AP$2,$A197)</f>
        <v>0</v>
      </c>
      <c r="AQ197" s="31">
        <f ca="1">_xll.DBRW($C$1,$C$2,$C$3,$C$4,$C$6,$C$5,$C$7,AQ$1,AQ$2,$A197)</f>
        <v>0</v>
      </c>
      <c r="AR197" s="31">
        <f ca="1">_xll.DBRW($C$1,$C$2,$C$3,$C$4,$C$6,$C$5,$C$7,AR$1,AR$2,$A197)</f>
        <v>0</v>
      </c>
      <c r="AS197" s="31">
        <f ca="1">_xll.DBRW($C$1,$C$2,$C$3,$C$4,$C$6,$C$5,$C$7,AS$1,AS$2,$A197)</f>
        <v>0</v>
      </c>
      <c r="AT197" s="31">
        <f ca="1">_xll.DBRW($C$1,$C$2,$C$3,$C$4,$C$6,$C$5,$C$7,AT$1,AT$2,$A197)</f>
        <v>0</v>
      </c>
      <c r="AU197" s="31">
        <f ca="1">_xll.DBRW($C$1,$C$2,$C$3,$C$4,$C$6,$C$5,$C$7,AU$1,AU$2,$A197)</f>
        <v>0</v>
      </c>
    </row>
    <row r="198" spans="1:47" ht="15.75" hidden="1" customHeight="1" outlineLevel="1">
      <c r="A198" s="1" t="s">
        <v>274</v>
      </c>
      <c r="C198" s="141"/>
      <c r="E198" s="9" t="str">
        <f ca="1">_xll.DBRW(Server&amp;"}ElementAttributes_Indicator",A198,"code_English")</f>
        <v>PL1125_XX - Vector Reconciliation (TPL11) - Group internal insurance compensation paid</v>
      </c>
      <c r="F198" s="31">
        <f ca="1">_xll.DBRW($C$1,$C$2,$C$3,$C$4,$C$6,$C$5,$C$7,F$1,F$2,$A198)</f>
        <v>0</v>
      </c>
      <c r="G198" s="31">
        <f ca="1">_xll.DBRW($C$1,$C$2,$C$3,$C$4,$C$6,$C$5,$C$7,G$1,G$2,$A198)</f>
        <v>0</v>
      </c>
      <c r="H198" s="31">
        <f ca="1">_xll.DBRW($C$1,$C$2,$C$3,$C$4,$C$6,$C$5,$C$7,H$1,H$2,$A198)</f>
        <v>0</v>
      </c>
      <c r="I198" s="31">
        <f ca="1">_xll.DBRW($C$1,$C$2,$C$3,$C$4,$C$6,$C$5,$C$7,I$1,I$2,$A198)</f>
        <v>0</v>
      </c>
      <c r="J198" s="31">
        <f ca="1">_xll.DBRW($C$1,$C$2,$C$3,$C$4,$C$6,$C$5,$C$7,J$1,J$2,$A198)</f>
        <v>0</v>
      </c>
      <c r="K198" s="31">
        <f ca="1">_xll.DBRW($C$1,$C$2,$C$3,$C$4,$C$6,$C$5,$C$7,K$1,K$2,$A198)</f>
        <v>0</v>
      </c>
      <c r="L198" s="31">
        <f ca="1">_xll.DBRW($C$1,$C$2,$C$3,$C$4,$C$6,$C$5,$C$7,L$1,L$2,$A198)</f>
        <v>0</v>
      </c>
      <c r="M198" s="31">
        <f ca="1">_xll.DBRW($C$1,$C$2,$C$3,$C$4,$C$6,$C$5,$C$7,M$1,M$2,$A198)</f>
        <v>0</v>
      </c>
      <c r="N198" s="31">
        <f ca="1">_xll.DBRW($C$1,$C$2,$C$3,$C$4,$C$6,$C$5,$C$7,N$1,N$2,$A198)</f>
        <v>0</v>
      </c>
      <c r="O198" s="31">
        <f ca="1">_xll.DBRW($C$1,$C$2,$C$3,$C$4,$C$6,$C$5,$C$7,O$1,O$2,$A198)</f>
        <v>0</v>
      </c>
      <c r="P198" s="31">
        <f ca="1">_xll.DBRW($C$1,$C$2,$C$3,$C$4,$C$6,$C$5,$C$7,P$1,P$2,$A198)</f>
        <v>0</v>
      </c>
      <c r="Q198" s="31">
        <f ca="1">_xll.DBRW($C$1,$C$2,$C$3,$C$4,$C$6,$C$5,$C$7,Q$1,Q$2,$A198)</f>
        <v>0</v>
      </c>
      <c r="R198" s="31">
        <f ca="1">_xll.DBRW($C$1,$C$2,$C$3,$C$4,$C$6,$C$5,$C$7,R$1,R$2,$A198)</f>
        <v>0</v>
      </c>
      <c r="S198" s="31">
        <f ca="1">_xll.DBRW($C$1,$C$2,$C$3,$C$4,$C$6,$C$5,$C$7,S$1,S$2,$A198)</f>
        <v>0</v>
      </c>
      <c r="T198" s="31">
        <f ca="1">_xll.DBRW($C$1,$C$2,$C$3,$C$4,$C$6,$C$5,$C$7,T$1,T$2,$A198)</f>
        <v>0</v>
      </c>
      <c r="U198" s="31">
        <f ca="1">_xll.DBRW($C$1,$C$2,$C$3,$C$4,$C$6,$C$5,$C$7,U$1,U$2,$A198)</f>
        <v>0</v>
      </c>
      <c r="V198" s="31">
        <f ca="1">_xll.DBRW($C$1,$C$2,$C$3,$C$4,$C$6,$C$5,$C$7,V$1,V$2,$A198)</f>
        <v>0</v>
      </c>
      <c r="W198" s="31">
        <f ca="1">_xll.DBRW($C$1,$C$2,$C$3,$C$4,$C$6,$C$5,$C$7,W$1,W$2,$A198)</f>
        <v>0</v>
      </c>
      <c r="X198" s="31">
        <f ca="1">_xll.DBRW($C$1,$C$2,$C$3,$C$4,$C$6,$C$5,$C$7,X$1,X$2,$A198)</f>
        <v>0</v>
      </c>
      <c r="Y198" s="31">
        <f ca="1">_xll.DBRW($C$1,$C$2,$C$3,$C$4,$C$6,$C$5,$C$7,Y$1,Y$2,$A198)</f>
        <v>0</v>
      </c>
      <c r="Z198" s="31">
        <f ca="1">_xll.DBRW($C$1,$C$2,$C$3,$C$4,$C$6,$C$5,$C$7,Z$1,Z$2,$A198)</f>
        <v>0</v>
      </c>
      <c r="AA198" s="31">
        <f ca="1">_xll.DBRW($C$1,$C$2,$C$3,$C$4,$C$6,$C$5,$C$7,AA$1,AA$2,$A198)</f>
        <v>0</v>
      </c>
      <c r="AB198" s="31">
        <f ca="1">_xll.DBRW($C$1,$C$2,$C$3,$C$4,$C$6,$C$5,$C$7,AB$1,AB$2,$A198)</f>
        <v>0</v>
      </c>
      <c r="AC198" s="31">
        <f ca="1">_xll.DBRW($C$1,$C$2,$C$3,$C$4,$C$6,$C$5,$C$7,AC$1,AC$2,$A198)</f>
        <v>0</v>
      </c>
      <c r="AD198" s="31">
        <f ca="1">_xll.DBRW($C$1,$C$2,$C$3,$C$4,$C$6,$C$5,$C$7,AD$1,AD$2,$A198)</f>
        <v>0</v>
      </c>
      <c r="AE198" s="31">
        <f ca="1">_xll.DBRW($C$1,$C$2,$C$3,$C$4,$C$6,$C$5,$C$7,AE$1,AE$2,$A198)</f>
        <v>0</v>
      </c>
      <c r="AF198" s="31">
        <f ca="1">_xll.DBRW($C$1,$C$2,$C$3,$C$4,$C$6,$C$5,$C$7,AF$1,AF$2,$A198)</f>
        <v>0</v>
      </c>
      <c r="AG198" s="31">
        <f ca="1">_xll.DBRW($C$1,$C$2,$C$3,$C$4,$C$6,$C$5,$C$7,AG$1,AG$2,$A198)</f>
        <v>0</v>
      </c>
      <c r="AH198" s="31">
        <f ca="1">_xll.DBRW($C$1,$C$2,$C$3,$C$4,$C$6,$C$5,$C$7,AH$1,AH$2,$A198)</f>
        <v>0</v>
      </c>
      <c r="AI198" s="31">
        <f ca="1">_xll.DBRW($C$1,$C$2,$C$3,$C$4,$C$6,$C$5,$C$7,AI$1,AI$2,$A198)</f>
        <v>0</v>
      </c>
      <c r="AJ198" s="31">
        <f ca="1">_xll.DBRW($C$1,$C$2,$C$3,$C$4,$C$6,$C$5,$C$7,AJ$1,AJ$2,$A198)</f>
        <v>0</v>
      </c>
      <c r="AK198" s="31">
        <f ca="1">_xll.DBRW($C$1,$C$2,$C$3,$C$4,$C$6,$C$5,$C$7,AK$1,AK$2,$A198)</f>
        <v>0</v>
      </c>
      <c r="AL198" s="31">
        <f ca="1">_xll.DBRW($C$1,$C$2,$C$3,$C$4,$C$6,$C$5,$C$7,AL$1,AL$2,$A198)</f>
        <v>0</v>
      </c>
      <c r="AM198" s="31">
        <f ca="1">_xll.DBRW($C$1,$C$2,$C$3,$C$4,$C$6,$C$5,$C$7,AM$1,AM$2,$A198)</f>
        <v>0</v>
      </c>
      <c r="AN198" s="31">
        <f ca="1">_xll.DBRW($C$1,$C$2,$C$3,$C$4,$C$6,$C$5,$C$7,AN$1,AN$2,$A198)</f>
        <v>0</v>
      </c>
      <c r="AO198" s="31">
        <f ca="1">_xll.DBRW($C$1,$C$2,$C$3,$C$4,$C$6,$C$5,$C$7,AO$1,AO$2,$A198)</f>
        <v>0</v>
      </c>
      <c r="AP198" s="31">
        <f ca="1">_xll.DBRW($C$1,$C$2,$C$3,$C$4,$C$6,$C$5,$C$7,AP$1,AP$2,$A198)</f>
        <v>0</v>
      </c>
      <c r="AQ198" s="31">
        <f ca="1">_xll.DBRW($C$1,$C$2,$C$3,$C$4,$C$6,$C$5,$C$7,AQ$1,AQ$2,$A198)</f>
        <v>0</v>
      </c>
      <c r="AR198" s="31">
        <f ca="1">_xll.DBRW($C$1,$C$2,$C$3,$C$4,$C$6,$C$5,$C$7,AR$1,AR$2,$A198)</f>
        <v>0</v>
      </c>
      <c r="AS198" s="31">
        <f ca="1">_xll.DBRW($C$1,$C$2,$C$3,$C$4,$C$6,$C$5,$C$7,AS$1,AS$2,$A198)</f>
        <v>0</v>
      </c>
      <c r="AT198" s="31">
        <f ca="1">_xll.DBRW($C$1,$C$2,$C$3,$C$4,$C$6,$C$5,$C$7,AT$1,AT$2,$A198)</f>
        <v>0</v>
      </c>
      <c r="AU198" s="31">
        <f ca="1">_xll.DBRW($C$1,$C$2,$C$3,$C$4,$C$6,$C$5,$C$7,AU$1,AU$2,$A198)</f>
        <v>0</v>
      </c>
    </row>
    <row r="199" spans="1:47" ht="15.75" hidden="1" customHeight="1" outlineLevel="1">
      <c r="A199" s="1" t="s">
        <v>275</v>
      </c>
      <c r="C199" s="141"/>
      <c r="E199" s="9" t="str">
        <f ca="1">_xll.DBRW(Server&amp;"}ElementAttributes_Indicator",A199,"code_English")</f>
        <v>PL1126_XX - Vector Reconciliation (TPL11) - Replacement and maintenance expenses</v>
      </c>
      <c r="F199" s="31">
        <f ca="1">_xll.DBRW($C$1,$C$2,$C$3,$C$4,$C$6,$C$5,$C$7,F$1,F$2,$A199)</f>
        <v>0</v>
      </c>
      <c r="G199" s="31">
        <f ca="1">_xll.DBRW($C$1,$C$2,$C$3,$C$4,$C$6,$C$5,$C$7,G$1,G$2,$A199)</f>
        <v>0</v>
      </c>
      <c r="H199" s="31">
        <f ca="1">_xll.DBRW($C$1,$C$2,$C$3,$C$4,$C$6,$C$5,$C$7,H$1,H$2,$A199)</f>
        <v>0</v>
      </c>
      <c r="I199" s="31">
        <f ca="1">_xll.DBRW($C$1,$C$2,$C$3,$C$4,$C$6,$C$5,$C$7,I$1,I$2,$A199)</f>
        <v>0</v>
      </c>
      <c r="J199" s="31">
        <f ca="1">_xll.DBRW($C$1,$C$2,$C$3,$C$4,$C$6,$C$5,$C$7,J$1,J$2,$A199)</f>
        <v>0</v>
      </c>
      <c r="K199" s="31">
        <f ca="1">_xll.DBRW($C$1,$C$2,$C$3,$C$4,$C$6,$C$5,$C$7,K$1,K$2,$A199)</f>
        <v>0</v>
      </c>
      <c r="L199" s="31">
        <f ca="1">_xll.DBRW($C$1,$C$2,$C$3,$C$4,$C$6,$C$5,$C$7,L$1,L$2,$A199)</f>
        <v>0</v>
      </c>
      <c r="M199" s="31">
        <f ca="1">_xll.DBRW($C$1,$C$2,$C$3,$C$4,$C$6,$C$5,$C$7,M$1,M$2,$A199)</f>
        <v>0</v>
      </c>
      <c r="N199" s="31">
        <f ca="1">_xll.DBRW($C$1,$C$2,$C$3,$C$4,$C$6,$C$5,$C$7,N$1,N$2,$A199)</f>
        <v>0</v>
      </c>
      <c r="O199" s="31">
        <f ca="1">_xll.DBRW($C$1,$C$2,$C$3,$C$4,$C$6,$C$5,$C$7,O$1,O$2,$A199)</f>
        <v>0</v>
      </c>
      <c r="P199" s="31">
        <f ca="1">_xll.DBRW($C$1,$C$2,$C$3,$C$4,$C$6,$C$5,$C$7,P$1,P$2,$A199)</f>
        <v>0</v>
      </c>
      <c r="Q199" s="31">
        <f ca="1">_xll.DBRW($C$1,$C$2,$C$3,$C$4,$C$6,$C$5,$C$7,Q$1,Q$2,$A199)</f>
        <v>0</v>
      </c>
      <c r="R199" s="31">
        <f ca="1">_xll.DBRW($C$1,$C$2,$C$3,$C$4,$C$6,$C$5,$C$7,R$1,R$2,$A199)</f>
        <v>0</v>
      </c>
      <c r="S199" s="31">
        <f ca="1">_xll.DBRW($C$1,$C$2,$C$3,$C$4,$C$6,$C$5,$C$7,S$1,S$2,$A199)</f>
        <v>0</v>
      </c>
      <c r="T199" s="31">
        <f ca="1">_xll.DBRW($C$1,$C$2,$C$3,$C$4,$C$6,$C$5,$C$7,T$1,T$2,$A199)</f>
        <v>0</v>
      </c>
      <c r="U199" s="31">
        <f ca="1">_xll.DBRW($C$1,$C$2,$C$3,$C$4,$C$6,$C$5,$C$7,U$1,U$2,$A199)</f>
        <v>0</v>
      </c>
      <c r="V199" s="31">
        <f ca="1">_xll.DBRW($C$1,$C$2,$C$3,$C$4,$C$6,$C$5,$C$7,V$1,V$2,$A199)</f>
        <v>0</v>
      </c>
      <c r="W199" s="31">
        <f ca="1">_xll.DBRW($C$1,$C$2,$C$3,$C$4,$C$6,$C$5,$C$7,W$1,W$2,$A199)</f>
        <v>0</v>
      </c>
      <c r="X199" s="31">
        <f ca="1">_xll.DBRW($C$1,$C$2,$C$3,$C$4,$C$6,$C$5,$C$7,X$1,X$2,$A199)</f>
        <v>0</v>
      </c>
      <c r="Y199" s="31">
        <f ca="1">_xll.DBRW($C$1,$C$2,$C$3,$C$4,$C$6,$C$5,$C$7,Y$1,Y$2,$A199)</f>
        <v>0</v>
      </c>
      <c r="Z199" s="31">
        <f ca="1">_xll.DBRW($C$1,$C$2,$C$3,$C$4,$C$6,$C$5,$C$7,Z$1,Z$2,$A199)</f>
        <v>0</v>
      </c>
      <c r="AA199" s="31">
        <f ca="1">_xll.DBRW($C$1,$C$2,$C$3,$C$4,$C$6,$C$5,$C$7,AA$1,AA$2,$A199)</f>
        <v>0</v>
      </c>
      <c r="AB199" s="31">
        <f ca="1">_xll.DBRW($C$1,$C$2,$C$3,$C$4,$C$6,$C$5,$C$7,AB$1,AB$2,$A199)</f>
        <v>0</v>
      </c>
      <c r="AC199" s="31">
        <f ca="1">_xll.DBRW($C$1,$C$2,$C$3,$C$4,$C$6,$C$5,$C$7,AC$1,AC$2,$A199)</f>
        <v>0</v>
      </c>
      <c r="AD199" s="31">
        <f ca="1">_xll.DBRW($C$1,$C$2,$C$3,$C$4,$C$6,$C$5,$C$7,AD$1,AD$2,$A199)</f>
        <v>0</v>
      </c>
      <c r="AE199" s="31">
        <f ca="1">_xll.DBRW($C$1,$C$2,$C$3,$C$4,$C$6,$C$5,$C$7,AE$1,AE$2,$A199)</f>
        <v>0</v>
      </c>
      <c r="AF199" s="31">
        <f ca="1">_xll.DBRW($C$1,$C$2,$C$3,$C$4,$C$6,$C$5,$C$7,AF$1,AF$2,$A199)</f>
        <v>0</v>
      </c>
      <c r="AG199" s="31">
        <f ca="1">_xll.DBRW($C$1,$C$2,$C$3,$C$4,$C$6,$C$5,$C$7,AG$1,AG$2,$A199)</f>
        <v>0</v>
      </c>
      <c r="AH199" s="31">
        <f ca="1">_xll.DBRW($C$1,$C$2,$C$3,$C$4,$C$6,$C$5,$C$7,AH$1,AH$2,$A199)</f>
        <v>0</v>
      </c>
      <c r="AI199" s="31">
        <f ca="1">_xll.DBRW($C$1,$C$2,$C$3,$C$4,$C$6,$C$5,$C$7,AI$1,AI$2,$A199)</f>
        <v>0</v>
      </c>
      <c r="AJ199" s="31">
        <f ca="1">_xll.DBRW($C$1,$C$2,$C$3,$C$4,$C$6,$C$5,$C$7,AJ$1,AJ$2,$A199)</f>
        <v>0</v>
      </c>
      <c r="AK199" s="31">
        <f ca="1">_xll.DBRW($C$1,$C$2,$C$3,$C$4,$C$6,$C$5,$C$7,AK$1,AK$2,$A199)</f>
        <v>0</v>
      </c>
      <c r="AL199" s="31">
        <f ca="1">_xll.DBRW($C$1,$C$2,$C$3,$C$4,$C$6,$C$5,$C$7,AL$1,AL$2,$A199)</f>
        <v>0</v>
      </c>
      <c r="AM199" s="31">
        <f ca="1">_xll.DBRW($C$1,$C$2,$C$3,$C$4,$C$6,$C$5,$C$7,AM$1,AM$2,$A199)</f>
        <v>0</v>
      </c>
      <c r="AN199" s="31">
        <f ca="1">_xll.DBRW($C$1,$C$2,$C$3,$C$4,$C$6,$C$5,$C$7,AN$1,AN$2,$A199)</f>
        <v>0</v>
      </c>
      <c r="AO199" s="31">
        <f ca="1">_xll.DBRW($C$1,$C$2,$C$3,$C$4,$C$6,$C$5,$C$7,AO$1,AO$2,$A199)</f>
        <v>0</v>
      </c>
      <c r="AP199" s="31">
        <f ca="1">_xll.DBRW($C$1,$C$2,$C$3,$C$4,$C$6,$C$5,$C$7,AP$1,AP$2,$A199)</f>
        <v>0</v>
      </c>
      <c r="AQ199" s="31">
        <f ca="1">_xll.DBRW($C$1,$C$2,$C$3,$C$4,$C$6,$C$5,$C$7,AQ$1,AQ$2,$A199)</f>
        <v>0</v>
      </c>
      <c r="AR199" s="31">
        <f ca="1">_xll.DBRW($C$1,$C$2,$C$3,$C$4,$C$6,$C$5,$C$7,AR$1,AR$2,$A199)</f>
        <v>0</v>
      </c>
      <c r="AS199" s="31">
        <f ca="1">_xll.DBRW($C$1,$C$2,$C$3,$C$4,$C$6,$C$5,$C$7,AS$1,AS$2,$A199)</f>
        <v>0</v>
      </c>
      <c r="AT199" s="31">
        <f ca="1">_xll.DBRW($C$1,$C$2,$C$3,$C$4,$C$6,$C$5,$C$7,AT$1,AT$2,$A199)</f>
        <v>0</v>
      </c>
      <c r="AU199" s="31">
        <f ca="1">_xll.DBRW($C$1,$C$2,$C$3,$C$4,$C$6,$C$5,$C$7,AU$1,AU$2,$A199)</f>
        <v>0</v>
      </c>
    </row>
    <row r="200" spans="1:47" ht="15.75" hidden="1" customHeight="1" outlineLevel="1">
      <c r="A200" s="1" t="s">
        <v>276</v>
      </c>
      <c r="C200" s="141"/>
      <c r="E200" s="9" t="str">
        <f ca="1">_xll.DBRW(Server&amp;"}ElementAttributes_Indicator",A200,"code_English")</f>
        <v>PL1130_XX - Vector Reconciliation (TPL11) - Provision for concession activities</v>
      </c>
      <c r="F200" s="31">
        <f ca="1">_xll.DBRW($C$1,$C$2,$C$3,$C$4,$C$6,$C$5,$C$7,F$1,F$2,$A200)</f>
        <v>0</v>
      </c>
      <c r="G200" s="31">
        <f ca="1">_xll.DBRW($C$1,$C$2,$C$3,$C$4,$C$6,$C$5,$C$7,G$1,G$2,$A200)</f>
        <v>0</v>
      </c>
      <c r="H200" s="31">
        <f ca="1">_xll.DBRW($C$1,$C$2,$C$3,$C$4,$C$6,$C$5,$C$7,H$1,H$2,$A200)</f>
        <v>0</v>
      </c>
      <c r="I200" s="31">
        <f ca="1">_xll.DBRW($C$1,$C$2,$C$3,$C$4,$C$6,$C$5,$C$7,I$1,I$2,$A200)</f>
        <v>0</v>
      </c>
      <c r="J200" s="31">
        <f ca="1">_xll.DBRW($C$1,$C$2,$C$3,$C$4,$C$6,$C$5,$C$7,J$1,J$2,$A200)</f>
        <v>0</v>
      </c>
      <c r="K200" s="31">
        <f ca="1">_xll.DBRW($C$1,$C$2,$C$3,$C$4,$C$6,$C$5,$C$7,K$1,K$2,$A200)</f>
        <v>0</v>
      </c>
      <c r="L200" s="31">
        <f ca="1">_xll.DBRW($C$1,$C$2,$C$3,$C$4,$C$6,$C$5,$C$7,L$1,L$2,$A200)</f>
        <v>0</v>
      </c>
      <c r="M200" s="31">
        <f ca="1">_xll.DBRW($C$1,$C$2,$C$3,$C$4,$C$6,$C$5,$C$7,M$1,M$2,$A200)</f>
        <v>0</v>
      </c>
      <c r="N200" s="31">
        <f ca="1">_xll.DBRW($C$1,$C$2,$C$3,$C$4,$C$6,$C$5,$C$7,N$1,N$2,$A200)</f>
        <v>0</v>
      </c>
      <c r="O200" s="31">
        <f ca="1">_xll.DBRW($C$1,$C$2,$C$3,$C$4,$C$6,$C$5,$C$7,O$1,O$2,$A200)</f>
        <v>0</v>
      </c>
      <c r="P200" s="31">
        <f ca="1">_xll.DBRW($C$1,$C$2,$C$3,$C$4,$C$6,$C$5,$C$7,P$1,P$2,$A200)</f>
        <v>0</v>
      </c>
      <c r="Q200" s="31">
        <f ca="1">_xll.DBRW($C$1,$C$2,$C$3,$C$4,$C$6,$C$5,$C$7,Q$1,Q$2,$A200)</f>
        <v>0</v>
      </c>
      <c r="R200" s="31">
        <f ca="1">_xll.DBRW($C$1,$C$2,$C$3,$C$4,$C$6,$C$5,$C$7,R$1,R$2,$A200)</f>
        <v>0</v>
      </c>
      <c r="S200" s="31">
        <f ca="1">_xll.DBRW($C$1,$C$2,$C$3,$C$4,$C$6,$C$5,$C$7,S$1,S$2,$A200)</f>
        <v>0</v>
      </c>
      <c r="T200" s="31">
        <f ca="1">_xll.DBRW($C$1,$C$2,$C$3,$C$4,$C$6,$C$5,$C$7,T$1,T$2,$A200)</f>
        <v>0</v>
      </c>
      <c r="U200" s="31">
        <f ca="1">_xll.DBRW($C$1,$C$2,$C$3,$C$4,$C$6,$C$5,$C$7,U$1,U$2,$A200)</f>
        <v>0</v>
      </c>
      <c r="V200" s="31">
        <f ca="1">_xll.DBRW($C$1,$C$2,$C$3,$C$4,$C$6,$C$5,$C$7,V$1,V$2,$A200)</f>
        <v>0</v>
      </c>
      <c r="W200" s="31">
        <f ca="1">_xll.DBRW($C$1,$C$2,$C$3,$C$4,$C$6,$C$5,$C$7,W$1,W$2,$A200)</f>
        <v>0</v>
      </c>
      <c r="X200" s="31">
        <f ca="1">_xll.DBRW($C$1,$C$2,$C$3,$C$4,$C$6,$C$5,$C$7,X$1,X$2,$A200)</f>
        <v>0</v>
      </c>
      <c r="Y200" s="31">
        <f ca="1">_xll.DBRW($C$1,$C$2,$C$3,$C$4,$C$6,$C$5,$C$7,Y$1,Y$2,$A200)</f>
        <v>0</v>
      </c>
      <c r="Z200" s="31">
        <f ca="1">_xll.DBRW($C$1,$C$2,$C$3,$C$4,$C$6,$C$5,$C$7,Z$1,Z$2,$A200)</f>
        <v>0</v>
      </c>
      <c r="AA200" s="31">
        <f ca="1">_xll.DBRW($C$1,$C$2,$C$3,$C$4,$C$6,$C$5,$C$7,AA$1,AA$2,$A200)</f>
        <v>0</v>
      </c>
      <c r="AB200" s="31">
        <f ca="1">_xll.DBRW($C$1,$C$2,$C$3,$C$4,$C$6,$C$5,$C$7,AB$1,AB$2,$A200)</f>
        <v>0</v>
      </c>
      <c r="AC200" s="31">
        <f ca="1">_xll.DBRW($C$1,$C$2,$C$3,$C$4,$C$6,$C$5,$C$7,AC$1,AC$2,$A200)</f>
        <v>0</v>
      </c>
      <c r="AD200" s="31">
        <f ca="1">_xll.DBRW($C$1,$C$2,$C$3,$C$4,$C$6,$C$5,$C$7,AD$1,AD$2,$A200)</f>
        <v>0</v>
      </c>
      <c r="AE200" s="31">
        <f ca="1">_xll.DBRW($C$1,$C$2,$C$3,$C$4,$C$6,$C$5,$C$7,AE$1,AE$2,$A200)</f>
        <v>0</v>
      </c>
      <c r="AF200" s="31">
        <f ca="1">_xll.DBRW($C$1,$C$2,$C$3,$C$4,$C$6,$C$5,$C$7,AF$1,AF$2,$A200)</f>
        <v>0</v>
      </c>
      <c r="AG200" s="31">
        <f ca="1">_xll.DBRW($C$1,$C$2,$C$3,$C$4,$C$6,$C$5,$C$7,AG$1,AG$2,$A200)</f>
        <v>0</v>
      </c>
      <c r="AH200" s="31">
        <f ca="1">_xll.DBRW($C$1,$C$2,$C$3,$C$4,$C$6,$C$5,$C$7,AH$1,AH$2,$A200)</f>
        <v>0</v>
      </c>
      <c r="AI200" s="31">
        <f ca="1">_xll.DBRW($C$1,$C$2,$C$3,$C$4,$C$6,$C$5,$C$7,AI$1,AI$2,$A200)</f>
        <v>0</v>
      </c>
      <c r="AJ200" s="31">
        <f ca="1">_xll.DBRW($C$1,$C$2,$C$3,$C$4,$C$6,$C$5,$C$7,AJ$1,AJ$2,$A200)</f>
        <v>0</v>
      </c>
      <c r="AK200" s="31">
        <f ca="1">_xll.DBRW($C$1,$C$2,$C$3,$C$4,$C$6,$C$5,$C$7,AK$1,AK$2,$A200)</f>
        <v>0</v>
      </c>
      <c r="AL200" s="31">
        <f ca="1">_xll.DBRW($C$1,$C$2,$C$3,$C$4,$C$6,$C$5,$C$7,AL$1,AL$2,$A200)</f>
        <v>0</v>
      </c>
      <c r="AM200" s="31">
        <f ca="1">_xll.DBRW($C$1,$C$2,$C$3,$C$4,$C$6,$C$5,$C$7,AM$1,AM$2,$A200)</f>
        <v>0</v>
      </c>
      <c r="AN200" s="31">
        <f ca="1">_xll.DBRW($C$1,$C$2,$C$3,$C$4,$C$6,$C$5,$C$7,AN$1,AN$2,$A200)</f>
        <v>0</v>
      </c>
      <c r="AO200" s="31">
        <f ca="1">_xll.DBRW($C$1,$C$2,$C$3,$C$4,$C$6,$C$5,$C$7,AO$1,AO$2,$A200)</f>
        <v>0</v>
      </c>
      <c r="AP200" s="31">
        <f ca="1">_xll.DBRW($C$1,$C$2,$C$3,$C$4,$C$6,$C$5,$C$7,AP$1,AP$2,$A200)</f>
        <v>0</v>
      </c>
      <c r="AQ200" s="31">
        <f ca="1">_xll.DBRW($C$1,$C$2,$C$3,$C$4,$C$6,$C$5,$C$7,AQ$1,AQ$2,$A200)</f>
        <v>0</v>
      </c>
      <c r="AR200" s="31">
        <f ca="1">_xll.DBRW($C$1,$C$2,$C$3,$C$4,$C$6,$C$5,$C$7,AR$1,AR$2,$A200)</f>
        <v>0</v>
      </c>
      <c r="AS200" s="31">
        <f ca="1">_xll.DBRW($C$1,$C$2,$C$3,$C$4,$C$6,$C$5,$C$7,AS$1,AS$2,$A200)</f>
        <v>0</v>
      </c>
      <c r="AT200" s="31">
        <f ca="1">_xll.DBRW($C$1,$C$2,$C$3,$C$4,$C$6,$C$5,$C$7,AT$1,AT$2,$A200)</f>
        <v>0</v>
      </c>
      <c r="AU200" s="31">
        <f ca="1">_xll.DBRW($C$1,$C$2,$C$3,$C$4,$C$6,$C$5,$C$7,AU$1,AU$2,$A200)</f>
        <v>0</v>
      </c>
    </row>
    <row r="201" spans="1:47" ht="15.75" hidden="1" customHeight="1" outlineLevel="1">
      <c r="A201" s="1" t="s">
        <v>277</v>
      </c>
      <c r="C201" s="141"/>
      <c r="E201" s="9" t="str">
        <f ca="1">_xll.DBRW(Server&amp;"}ElementAttributes_Indicator",A201,"code_English")</f>
        <v>PL1135_XX - Vector Reconciliation (TPL11) - Reversal of provision for concession activities</v>
      </c>
      <c r="F201" s="31">
        <f ca="1">_xll.DBRW($C$1,$C$2,$C$3,$C$4,$C$6,$C$5,$C$7,F$1,F$2,$A201)</f>
        <v>0</v>
      </c>
      <c r="G201" s="31">
        <f ca="1">_xll.DBRW($C$1,$C$2,$C$3,$C$4,$C$6,$C$5,$C$7,G$1,G$2,$A201)</f>
        <v>0</v>
      </c>
      <c r="H201" s="31">
        <f ca="1">_xll.DBRW($C$1,$C$2,$C$3,$C$4,$C$6,$C$5,$C$7,H$1,H$2,$A201)</f>
        <v>0</v>
      </c>
      <c r="I201" s="31">
        <f ca="1">_xll.DBRW($C$1,$C$2,$C$3,$C$4,$C$6,$C$5,$C$7,I$1,I$2,$A201)</f>
        <v>0</v>
      </c>
      <c r="J201" s="31">
        <f ca="1">_xll.DBRW($C$1,$C$2,$C$3,$C$4,$C$6,$C$5,$C$7,J$1,J$2,$A201)</f>
        <v>0</v>
      </c>
      <c r="K201" s="31">
        <f ca="1">_xll.DBRW($C$1,$C$2,$C$3,$C$4,$C$6,$C$5,$C$7,K$1,K$2,$A201)</f>
        <v>0</v>
      </c>
      <c r="L201" s="31">
        <f ca="1">_xll.DBRW($C$1,$C$2,$C$3,$C$4,$C$6,$C$5,$C$7,L$1,L$2,$A201)</f>
        <v>0</v>
      </c>
      <c r="M201" s="31">
        <f ca="1">_xll.DBRW($C$1,$C$2,$C$3,$C$4,$C$6,$C$5,$C$7,M$1,M$2,$A201)</f>
        <v>0</v>
      </c>
      <c r="N201" s="31">
        <f ca="1">_xll.DBRW($C$1,$C$2,$C$3,$C$4,$C$6,$C$5,$C$7,N$1,N$2,$A201)</f>
        <v>0</v>
      </c>
      <c r="O201" s="31">
        <f ca="1">_xll.DBRW($C$1,$C$2,$C$3,$C$4,$C$6,$C$5,$C$7,O$1,O$2,$A201)</f>
        <v>0</v>
      </c>
      <c r="P201" s="31">
        <f ca="1">_xll.DBRW($C$1,$C$2,$C$3,$C$4,$C$6,$C$5,$C$7,P$1,P$2,$A201)</f>
        <v>0</v>
      </c>
      <c r="Q201" s="31">
        <f ca="1">_xll.DBRW($C$1,$C$2,$C$3,$C$4,$C$6,$C$5,$C$7,Q$1,Q$2,$A201)</f>
        <v>0</v>
      </c>
      <c r="R201" s="31">
        <f ca="1">_xll.DBRW($C$1,$C$2,$C$3,$C$4,$C$6,$C$5,$C$7,R$1,R$2,$A201)</f>
        <v>0</v>
      </c>
      <c r="S201" s="31">
        <f ca="1">_xll.DBRW($C$1,$C$2,$C$3,$C$4,$C$6,$C$5,$C$7,S$1,S$2,$A201)</f>
        <v>0</v>
      </c>
      <c r="T201" s="31">
        <f ca="1">_xll.DBRW($C$1,$C$2,$C$3,$C$4,$C$6,$C$5,$C$7,T$1,T$2,$A201)</f>
        <v>0</v>
      </c>
      <c r="U201" s="31">
        <f ca="1">_xll.DBRW($C$1,$C$2,$C$3,$C$4,$C$6,$C$5,$C$7,U$1,U$2,$A201)</f>
        <v>0</v>
      </c>
      <c r="V201" s="31">
        <f ca="1">_xll.DBRW($C$1,$C$2,$C$3,$C$4,$C$6,$C$5,$C$7,V$1,V$2,$A201)</f>
        <v>0</v>
      </c>
      <c r="W201" s="31">
        <f ca="1">_xll.DBRW($C$1,$C$2,$C$3,$C$4,$C$6,$C$5,$C$7,W$1,W$2,$A201)</f>
        <v>0</v>
      </c>
      <c r="X201" s="31">
        <f ca="1">_xll.DBRW($C$1,$C$2,$C$3,$C$4,$C$6,$C$5,$C$7,X$1,X$2,$A201)</f>
        <v>0</v>
      </c>
      <c r="Y201" s="31">
        <f ca="1">_xll.DBRW($C$1,$C$2,$C$3,$C$4,$C$6,$C$5,$C$7,Y$1,Y$2,$A201)</f>
        <v>0</v>
      </c>
      <c r="Z201" s="31">
        <f ca="1">_xll.DBRW($C$1,$C$2,$C$3,$C$4,$C$6,$C$5,$C$7,Z$1,Z$2,$A201)</f>
        <v>0</v>
      </c>
      <c r="AA201" s="31">
        <f ca="1">_xll.DBRW($C$1,$C$2,$C$3,$C$4,$C$6,$C$5,$C$7,AA$1,AA$2,$A201)</f>
        <v>0</v>
      </c>
      <c r="AB201" s="31">
        <f ca="1">_xll.DBRW($C$1,$C$2,$C$3,$C$4,$C$6,$C$5,$C$7,AB$1,AB$2,$A201)</f>
        <v>0</v>
      </c>
      <c r="AC201" s="31">
        <f ca="1">_xll.DBRW($C$1,$C$2,$C$3,$C$4,$C$6,$C$5,$C$7,AC$1,AC$2,$A201)</f>
        <v>0</v>
      </c>
      <c r="AD201" s="31">
        <f ca="1">_xll.DBRW($C$1,$C$2,$C$3,$C$4,$C$6,$C$5,$C$7,AD$1,AD$2,$A201)</f>
        <v>0</v>
      </c>
      <c r="AE201" s="31">
        <f ca="1">_xll.DBRW($C$1,$C$2,$C$3,$C$4,$C$6,$C$5,$C$7,AE$1,AE$2,$A201)</f>
        <v>0</v>
      </c>
      <c r="AF201" s="31">
        <f ca="1">_xll.DBRW($C$1,$C$2,$C$3,$C$4,$C$6,$C$5,$C$7,AF$1,AF$2,$A201)</f>
        <v>0</v>
      </c>
      <c r="AG201" s="31">
        <f ca="1">_xll.DBRW($C$1,$C$2,$C$3,$C$4,$C$6,$C$5,$C$7,AG$1,AG$2,$A201)</f>
        <v>0</v>
      </c>
      <c r="AH201" s="31">
        <f ca="1">_xll.DBRW($C$1,$C$2,$C$3,$C$4,$C$6,$C$5,$C$7,AH$1,AH$2,$A201)</f>
        <v>0</v>
      </c>
      <c r="AI201" s="31">
        <f ca="1">_xll.DBRW($C$1,$C$2,$C$3,$C$4,$C$6,$C$5,$C$7,AI$1,AI$2,$A201)</f>
        <v>0</v>
      </c>
      <c r="AJ201" s="31">
        <f ca="1">_xll.DBRW($C$1,$C$2,$C$3,$C$4,$C$6,$C$5,$C$7,AJ$1,AJ$2,$A201)</f>
        <v>0</v>
      </c>
      <c r="AK201" s="31">
        <f ca="1">_xll.DBRW($C$1,$C$2,$C$3,$C$4,$C$6,$C$5,$C$7,AK$1,AK$2,$A201)</f>
        <v>0</v>
      </c>
      <c r="AL201" s="31">
        <f ca="1">_xll.DBRW($C$1,$C$2,$C$3,$C$4,$C$6,$C$5,$C$7,AL$1,AL$2,$A201)</f>
        <v>0</v>
      </c>
      <c r="AM201" s="31">
        <f ca="1">_xll.DBRW($C$1,$C$2,$C$3,$C$4,$C$6,$C$5,$C$7,AM$1,AM$2,$A201)</f>
        <v>0</v>
      </c>
      <c r="AN201" s="31">
        <f ca="1">_xll.DBRW($C$1,$C$2,$C$3,$C$4,$C$6,$C$5,$C$7,AN$1,AN$2,$A201)</f>
        <v>0</v>
      </c>
      <c r="AO201" s="31">
        <f ca="1">_xll.DBRW($C$1,$C$2,$C$3,$C$4,$C$6,$C$5,$C$7,AO$1,AO$2,$A201)</f>
        <v>0</v>
      </c>
      <c r="AP201" s="31">
        <f ca="1">_xll.DBRW($C$1,$C$2,$C$3,$C$4,$C$6,$C$5,$C$7,AP$1,AP$2,$A201)</f>
        <v>0</v>
      </c>
      <c r="AQ201" s="31">
        <f ca="1">_xll.DBRW($C$1,$C$2,$C$3,$C$4,$C$6,$C$5,$C$7,AQ$1,AQ$2,$A201)</f>
        <v>0</v>
      </c>
      <c r="AR201" s="31">
        <f ca="1">_xll.DBRW($C$1,$C$2,$C$3,$C$4,$C$6,$C$5,$C$7,AR$1,AR$2,$A201)</f>
        <v>0</v>
      </c>
      <c r="AS201" s="31">
        <f ca="1">_xll.DBRW($C$1,$C$2,$C$3,$C$4,$C$6,$C$5,$C$7,AS$1,AS$2,$A201)</f>
        <v>0</v>
      </c>
      <c r="AT201" s="31">
        <f ca="1">_xll.DBRW($C$1,$C$2,$C$3,$C$4,$C$6,$C$5,$C$7,AT$1,AT$2,$A201)</f>
        <v>0</v>
      </c>
      <c r="AU201" s="31">
        <f ca="1">_xll.DBRW($C$1,$C$2,$C$3,$C$4,$C$6,$C$5,$C$7,AU$1,AU$2,$A201)</f>
        <v>0</v>
      </c>
    </row>
    <row r="202" spans="1:47" ht="15.75" hidden="1" customHeight="1" outlineLevel="1">
      <c r="A202" s="1" t="s">
        <v>278</v>
      </c>
      <c r="C202" s="141"/>
      <c r="E202" s="9" t="str">
        <f ca="1">_xll.DBRW(Server&amp;"}ElementAttributes_Indicator",A202,"code_English")</f>
        <v>PL1140_XX - Vector Reconciliation (TPL11) - Amortization</v>
      </c>
      <c r="F202" s="31">
        <f ca="1">_xll.DBRW($C$1,$C$2,$C$3,$C$4,$C$6,$C$5,$C$7,F$1,F$2,$A202)</f>
        <v>0</v>
      </c>
      <c r="G202" s="31">
        <f ca="1">_xll.DBRW($C$1,$C$2,$C$3,$C$4,$C$6,$C$5,$C$7,G$1,G$2,$A202)</f>
        <v>0</v>
      </c>
      <c r="H202" s="31">
        <f ca="1">_xll.DBRW($C$1,$C$2,$C$3,$C$4,$C$6,$C$5,$C$7,H$1,H$2,$A202)</f>
        <v>0</v>
      </c>
      <c r="I202" s="31">
        <f ca="1">_xll.DBRW($C$1,$C$2,$C$3,$C$4,$C$6,$C$5,$C$7,I$1,I$2,$A202)</f>
        <v>0</v>
      </c>
      <c r="J202" s="31">
        <f ca="1">_xll.DBRW($C$1,$C$2,$C$3,$C$4,$C$6,$C$5,$C$7,J$1,J$2,$A202)</f>
        <v>0</v>
      </c>
      <c r="K202" s="31">
        <f ca="1">_xll.DBRW($C$1,$C$2,$C$3,$C$4,$C$6,$C$5,$C$7,K$1,K$2,$A202)</f>
        <v>0</v>
      </c>
      <c r="L202" s="31">
        <f ca="1">_xll.DBRW($C$1,$C$2,$C$3,$C$4,$C$6,$C$5,$C$7,L$1,L$2,$A202)</f>
        <v>0</v>
      </c>
      <c r="M202" s="31">
        <f ca="1">_xll.DBRW($C$1,$C$2,$C$3,$C$4,$C$6,$C$5,$C$7,M$1,M$2,$A202)</f>
        <v>0</v>
      </c>
      <c r="N202" s="31">
        <f ca="1">_xll.DBRW($C$1,$C$2,$C$3,$C$4,$C$6,$C$5,$C$7,N$1,N$2,$A202)</f>
        <v>0</v>
      </c>
      <c r="O202" s="31">
        <f ca="1">_xll.DBRW($C$1,$C$2,$C$3,$C$4,$C$6,$C$5,$C$7,O$1,O$2,$A202)</f>
        <v>0</v>
      </c>
      <c r="P202" s="31">
        <f ca="1">_xll.DBRW($C$1,$C$2,$C$3,$C$4,$C$6,$C$5,$C$7,P$1,P$2,$A202)</f>
        <v>0</v>
      </c>
      <c r="Q202" s="31">
        <f ca="1">_xll.DBRW($C$1,$C$2,$C$3,$C$4,$C$6,$C$5,$C$7,Q$1,Q$2,$A202)</f>
        <v>0</v>
      </c>
      <c r="R202" s="31">
        <f ca="1">_xll.DBRW($C$1,$C$2,$C$3,$C$4,$C$6,$C$5,$C$7,R$1,R$2,$A202)</f>
        <v>0</v>
      </c>
      <c r="S202" s="31">
        <f ca="1">_xll.DBRW($C$1,$C$2,$C$3,$C$4,$C$6,$C$5,$C$7,S$1,S$2,$A202)</f>
        <v>0</v>
      </c>
      <c r="T202" s="31">
        <f ca="1">_xll.DBRW($C$1,$C$2,$C$3,$C$4,$C$6,$C$5,$C$7,T$1,T$2,$A202)</f>
        <v>0</v>
      </c>
      <c r="U202" s="31">
        <f ca="1">_xll.DBRW($C$1,$C$2,$C$3,$C$4,$C$6,$C$5,$C$7,U$1,U$2,$A202)</f>
        <v>0</v>
      </c>
      <c r="V202" s="31">
        <f ca="1">_xll.DBRW($C$1,$C$2,$C$3,$C$4,$C$6,$C$5,$C$7,V$1,V$2,$A202)</f>
        <v>0</v>
      </c>
      <c r="W202" s="31">
        <f ca="1">_xll.DBRW($C$1,$C$2,$C$3,$C$4,$C$6,$C$5,$C$7,W$1,W$2,$A202)</f>
        <v>0</v>
      </c>
      <c r="X202" s="31">
        <f ca="1">_xll.DBRW($C$1,$C$2,$C$3,$C$4,$C$6,$C$5,$C$7,X$1,X$2,$A202)</f>
        <v>0</v>
      </c>
      <c r="Y202" s="31">
        <f ca="1">_xll.DBRW($C$1,$C$2,$C$3,$C$4,$C$6,$C$5,$C$7,Y$1,Y$2,$A202)</f>
        <v>0</v>
      </c>
      <c r="Z202" s="31">
        <f ca="1">_xll.DBRW($C$1,$C$2,$C$3,$C$4,$C$6,$C$5,$C$7,Z$1,Z$2,$A202)</f>
        <v>0</v>
      </c>
      <c r="AA202" s="31">
        <f ca="1">_xll.DBRW($C$1,$C$2,$C$3,$C$4,$C$6,$C$5,$C$7,AA$1,AA$2,$A202)</f>
        <v>0</v>
      </c>
      <c r="AB202" s="31">
        <f ca="1">_xll.DBRW($C$1,$C$2,$C$3,$C$4,$C$6,$C$5,$C$7,AB$1,AB$2,$A202)</f>
        <v>0</v>
      </c>
      <c r="AC202" s="31">
        <f ca="1">_xll.DBRW($C$1,$C$2,$C$3,$C$4,$C$6,$C$5,$C$7,AC$1,AC$2,$A202)</f>
        <v>0</v>
      </c>
      <c r="AD202" s="31">
        <f ca="1">_xll.DBRW($C$1,$C$2,$C$3,$C$4,$C$6,$C$5,$C$7,AD$1,AD$2,$A202)</f>
        <v>0</v>
      </c>
      <c r="AE202" s="31">
        <f ca="1">_xll.DBRW($C$1,$C$2,$C$3,$C$4,$C$6,$C$5,$C$7,AE$1,AE$2,$A202)</f>
        <v>0</v>
      </c>
      <c r="AF202" s="31">
        <f ca="1">_xll.DBRW($C$1,$C$2,$C$3,$C$4,$C$6,$C$5,$C$7,AF$1,AF$2,$A202)</f>
        <v>0</v>
      </c>
      <c r="AG202" s="31">
        <f ca="1">_xll.DBRW($C$1,$C$2,$C$3,$C$4,$C$6,$C$5,$C$7,AG$1,AG$2,$A202)</f>
        <v>0</v>
      </c>
      <c r="AH202" s="31">
        <f ca="1">_xll.DBRW($C$1,$C$2,$C$3,$C$4,$C$6,$C$5,$C$7,AH$1,AH$2,$A202)</f>
        <v>0</v>
      </c>
      <c r="AI202" s="31">
        <f ca="1">_xll.DBRW($C$1,$C$2,$C$3,$C$4,$C$6,$C$5,$C$7,AI$1,AI$2,$A202)</f>
        <v>0</v>
      </c>
      <c r="AJ202" s="31">
        <f ca="1">_xll.DBRW($C$1,$C$2,$C$3,$C$4,$C$6,$C$5,$C$7,AJ$1,AJ$2,$A202)</f>
        <v>0</v>
      </c>
      <c r="AK202" s="31">
        <f ca="1">_xll.DBRW($C$1,$C$2,$C$3,$C$4,$C$6,$C$5,$C$7,AK$1,AK$2,$A202)</f>
        <v>0</v>
      </c>
      <c r="AL202" s="31">
        <f ca="1">_xll.DBRW($C$1,$C$2,$C$3,$C$4,$C$6,$C$5,$C$7,AL$1,AL$2,$A202)</f>
        <v>0</v>
      </c>
      <c r="AM202" s="31">
        <f ca="1">_xll.DBRW($C$1,$C$2,$C$3,$C$4,$C$6,$C$5,$C$7,AM$1,AM$2,$A202)</f>
        <v>0</v>
      </c>
      <c r="AN202" s="31">
        <f ca="1">_xll.DBRW($C$1,$C$2,$C$3,$C$4,$C$6,$C$5,$C$7,AN$1,AN$2,$A202)</f>
        <v>0</v>
      </c>
      <c r="AO202" s="31">
        <f ca="1">_xll.DBRW($C$1,$C$2,$C$3,$C$4,$C$6,$C$5,$C$7,AO$1,AO$2,$A202)</f>
        <v>0</v>
      </c>
      <c r="AP202" s="31">
        <f ca="1">_xll.DBRW($C$1,$C$2,$C$3,$C$4,$C$6,$C$5,$C$7,AP$1,AP$2,$A202)</f>
        <v>0</v>
      </c>
      <c r="AQ202" s="31">
        <f ca="1">_xll.DBRW($C$1,$C$2,$C$3,$C$4,$C$6,$C$5,$C$7,AQ$1,AQ$2,$A202)</f>
        <v>0</v>
      </c>
      <c r="AR202" s="31">
        <f ca="1">_xll.DBRW($C$1,$C$2,$C$3,$C$4,$C$6,$C$5,$C$7,AR$1,AR$2,$A202)</f>
        <v>0</v>
      </c>
      <c r="AS202" s="31">
        <f ca="1">_xll.DBRW($C$1,$C$2,$C$3,$C$4,$C$6,$C$5,$C$7,AS$1,AS$2,$A202)</f>
        <v>0</v>
      </c>
      <c r="AT202" s="31">
        <f ca="1">_xll.DBRW($C$1,$C$2,$C$3,$C$4,$C$6,$C$5,$C$7,AT$1,AT$2,$A202)</f>
        <v>0</v>
      </c>
      <c r="AU202" s="31">
        <f ca="1">_xll.DBRW($C$1,$C$2,$C$3,$C$4,$C$6,$C$5,$C$7,AU$1,AU$2,$A202)</f>
        <v>0</v>
      </c>
    </row>
    <row r="203" spans="1:47" ht="15.75" hidden="1" customHeight="1" outlineLevel="1">
      <c r="A203" s="1" t="s">
        <v>279</v>
      </c>
      <c r="C203" s="141"/>
      <c r="E203" s="9" t="str">
        <f ca="1">_xll.DBRW(Server&amp;"}ElementAttributes_Indicator",A203,"code_English")</f>
        <v>PL1145_XX - Vector Reconciliation (TPL11) - Impairment - working capital</v>
      </c>
      <c r="F203" s="31">
        <f ca="1">_xll.DBRW($C$1,$C$2,$C$3,$C$4,$C$6,$C$5,$C$7,F$1,F$2,$A203)</f>
        <v>0</v>
      </c>
      <c r="G203" s="31">
        <f ca="1">_xll.DBRW($C$1,$C$2,$C$3,$C$4,$C$6,$C$5,$C$7,G$1,G$2,$A203)</f>
        <v>0</v>
      </c>
      <c r="H203" s="31">
        <f ca="1">_xll.DBRW($C$1,$C$2,$C$3,$C$4,$C$6,$C$5,$C$7,H$1,H$2,$A203)</f>
        <v>0</v>
      </c>
      <c r="I203" s="31">
        <f ca="1">_xll.DBRW($C$1,$C$2,$C$3,$C$4,$C$6,$C$5,$C$7,I$1,I$2,$A203)</f>
        <v>0</v>
      </c>
      <c r="J203" s="31">
        <f ca="1">_xll.DBRW($C$1,$C$2,$C$3,$C$4,$C$6,$C$5,$C$7,J$1,J$2,$A203)</f>
        <v>0</v>
      </c>
      <c r="K203" s="31">
        <f ca="1">_xll.DBRW($C$1,$C$2,$C$3,$C$4,$C$6,$C$5,$C$7,K$1,K$2,$A203)</f>
        <v>0</v>
      </c>
      <c r="L203" s="31">
        <f ca="1">_xll.DBRW($C$1,$C$2,$C$3,$C$4,$C$6,$C$5,$C$7,L$1,L$2,$A203)</f>
        <v>0</v>
      </c>
      <c r="M203" s="31">
        <f ca="1">_xll.DBRW($C$1,$C$2,$C$3,$C$4,$C$6,$C$5,$C$7,M$1,M$2,$A203)</f>
        <v>0</v>
      </c>
      <c r="N203" s="31">
        <f ca="1">_xll.DBRW($C$1,$C$2,$C$3,$C$4,$C$6,$C$5,$C$7,N$1,N$2,$A203)</f>
        <v>0</v>
      </c>
      <c r="O203" s="31">
        <f ca="1">_xll.DBRW($C$1,$C$2,$C$3,$C$4,$C$6,$C$5,$C$7,O$1,O$2,$A203)</f>
        <v>0</v>
      </c>
      <c r="P203" s="31">
        <f ca="1">_xll.DBRW($C$1,$C$2,$C$3,$C$4,$C$6,$C$5,$C$7,P$1,P$2,$A203)</f>
        <v>0</v>
      </c>
      <c r="Q203" s="31">
        <f ca="1">_xll.DBRW($C$1,$C$2,$C$3,$C$4,$C$6,$C$5,$C$7,Q$1,Q$2,$A203)</f>
        <v>0</v>
      </c>
      <c r="R203" s="31">
        <f ca="1">_xll.DBRW($C$1,$C$2,$C$3,$C$4,$C$6,$C$5,$C$7,R$1,R$2,$A203)</f>
        <v>0</v>
      </c>
      <c r="S203" s="31">
        <f ca="1">_xll.DBRW($C$1,$C$2,$C$3,$C$4,$C$6,$C$5,$C$7,S$1,S$2,$A203)</f>
        <v>0</v>
      </c>
      <c r="T203" s="31">
        <f ca="1">_xll.DBRW($C$1,$C$2,$C$3,$C$4,$C$6,$C$5,$C$7,T$1,T$2,$A203)</f>
        <v>0</v>
      </c>
      <c r="U203" s="31">
        <f ca="1">_xll.DBRW($C$1,$C$2,$C$3,$C$4,$C$6,$C$5,$C$7,U$1,U$2,$A203)</f>
        <v>0</v>
      </c>
      <c r="V203" s="31">
        <f ca="1">_xll.DBRW($C$1,$C$2,$C$3,$C$4,$C$6,$C$5,$C$7,V$1,V$2,$A203)</f>
        <v>0</v>
      </c>
      <c r="W203" s="31">
        <f ca="1">_xll.DBRW($C$1,$C$2,$C$3,$C$4,$C$6,$C$5,$C$7,W$1,W$2,$A203)</f>
        <v>0</v>
      </c>
      <c r="X203" s="31">
        <f ca="1">_xll.DBRW($C$1,$C$2,$C$3,$C$4,$C$6,$C$5,$C$7,X$1,X$2,$A203)</f>
        <v>0</v>
      </c>
      <c r="Y203" s="31">
        <f ca="1">_xll.DBRW($C$1,$C$2,$C$3,$C$4,$C$6,$C$5,$C$7,Y$1,Y$2,$A203)</f>
        <v>0</v>
      </c>
      <c r="Z203" s="31">
        <f ca="1">_xll.DBRW($C$1,$C$2,$C$3,$C$4,$C$6,$C$5,$C$7,Z$1,Z$2,$A203)</f>
        <v>0</v>
      </c>
      <c r="AA203" s="31">
        <f ca="1">_xll.DBRW($C$1,$C$2,$C$3,$C$4,$C$6,$C$5,$C$7,AA$1,AA$2,$A203)</f>
        <v>0</v>
      </c>
      <c r="AB203" s="31">
        <f ca="1">_xll.DBRW($C$1,$C$2,$C$3,$C$4,$C$6,$C$5,$C$7,AB$1,AB$2,$A203)</f>
        <v>0</v>
      </c>
      <c r="AC203" s="31">
        <f ca="1">_xll.DBRW($C$1,$C$2,$C$3,$C$4,$C$6,$C$5,$C$7,AC$1,AC$2,$A203)</f>
        <v>0</v>
      </c>
      <c r="AD203" s="31">
        <f ca="1">_xll.DBRW($C$1,$C$2,$C$3,$C$4,$C$6,$C$5,$C$7,AD$1,AD$2,$A203)</f>
        <v>0</v>
      </c>
      <c r="AE203" s="31">
        <f ca="1">_xll.DBRW($C$1,$C$2,$C$3,$C$4,$C$6,$C$5,$C$7,AE$1,AE$2,$A203)</f>
        <v>0</v>
      </c>
      <c r="AF203" s="31">
        <f ca="1">_xll.DBRW($C$1,$C$2,$C$3,$C$4,$C$6,$C$5,$C$7,AF$1,AF$2,$A203)</f>
        <v>0</v>
      </c>
      <c r="AG203" s="31">
        <f ca="1">_xll.DBRW($C$1,$C$2,$C$3,$C$4,$C$6,$C$5,$C$7,AG$1,AG$2,$A203)</f>
        <v>0</v>
      </c>
      <c r="AH203" s="31">
        <f ca="1">_xll.DBRW($C$1,$C$2,$C$3,$C$4,$C$6,$C$5,$C$7,AH$1,AH$2,$A203)</f>
        <v>0</v>
      </c>
      <c r="AI203" s="31">
        <f ca="1">_xll.DBRW($C$1,$C$2,$C$3,$C$4,$C$6,$C$5,$C$7,AI$1,AI$2,$A203)</f>
        <v>0</v>
      </c>
      <c r="AJ203" s="31">
        <f ca="1">_xll.DBRW($C$1,$C$2,$C$3,$C$4,$C$6,$C$5,$C$7,AJ$1,AJ$2,$A203)</f>
        <v>0</v>
      </c>
      <c r="AK203" s="31">
        <f ca="1">_xll.DBRW($C$1,$C$2,$C$3,$C$4,$C$6,$C$5,$C$7,AK$1,AK$2,$A203)</f>
        <v>0</v>
      </c>
      <c r="AL203" s="31">
        <f ca="1">_xll.DBRW($C$1,$C$2,$C$3,$C$4,$C$6,$C$5,$C$7,AL$1,AL$2,$A203)</f>
        <v>0</v>
      </c>
      <c r="AM203" s="31">
        <f ca="1">_xll.DBRW($C$1,$C$2,$C$3,$C$4,$C$6,$C$5,$C$7,AM$1,AM$2,$A203)</f>
        <v>0</v>
      </c>
      <c r="AN203" s="31">
        <f ca="1">_xll.DBRW($C$1,$C$2,$C$3,$C$4,$C$6,$C$5,$C$7,AN$1,AN$2,$A203)</f>
        <v>0</v>
      </c>
      <c r="AO203" s="31">
        <f ca="1">_xll.DBRW($C$1,$C$2,$C$3,$C$4,$C$6,$C$5,$C$7,AO$1,AO$2,$A203)</f>
        <v>0</v>
      </c>
      <c r="AP203" s="31">
        <f ca="1">_xll.DBRW($C$1,$C$2,$C$3,$C$4,$C$6,$C$5,$C$7,AP$1,AP$2,$A203)</f>
        <v>0</v>
      </c>
      <c r="AQ203" s="31">
        <f ca="1">_xll.DBRW($C$1,$C$2,$C$3,$C$4,$C$6,$C$5,$C$7,AQ$1,AQ$2,$A203)</f>
        <v>0</v>
      </c>
      <c r="AR203" s="31">
        <f ca="1">_xll.DBRW($C$1,$C$2,$C$3,$C$4,$C$6,$C$5,$C$7,AR$1,AR$2,$A203)</f>
        <v>0</v>
      </c>
      <c r="AS203" s="31">
        <f ca="1">_xll.DBRW($C$1,$C$2,$C$3,$C$4,$C$6,$C$5,$C$7,AS$1,AS$2,$A203)</f>
        <v>0</v>
      </c>
      <c r="AT203" s="31">
        <f ca="1">_xll.DBRW($C$1,$C$2,$C$3,$C$4,$C$6,$C$5,$C$7,AT$1,AT$2,$A203)</f>
        <v>0</v>
      </c>
      <c r="AU203" s="31">
        <f ca="1">_xll.DBRW($C$1,$C$2,$C$3,$C$4,$C$6,$C$5,$C$7,AU$1,AU$2,$A203)</f>
        <v>0</v>
      </c>
    </row>
    <row r="204" spans="1:47" ht="15.75" hidden="1" customHeight="1" outlineLevel="1">
      <c r="A204" s="1" t="s">
        <v>280</v>
      </c>
      <c r="C204" s="141"/>
      <c r="E204" s="9" t="str">
        <f ca="1">_xll.DBRW(Server&amp;"}ElementAttributes_Indicator",A204,"code_English")</f>
        <v>PL1150_XX - Vector Reconciliation (TPL11) - Impairment (other than working capital) and provisions</v>
      </c>
      <c r="F204" s="31">
        <f ca="1">_xll.DBRW($C$1,$C$2,$C$3,$C$4,$C$6,$C$5,$C$7,F$1,F$2,$A204)</f>
        <v>0</v>
      </c>
      <c r="G204" s="31">
        <f ca="1">_xll.DBRW($C$1,$C$2,$C$3,$C$4,$C$6,$C$5,$C$7,G$1,G$2,$A204)</f>
        <v>0</v>
      </c>
      <c r="H204" s="31">
        <f ca="1">_xll.DBRW($C$1,$C$2,$C$3,$C$4,$C$6,$C$5,$C$7,H$1,H$2,$A204)</f>
        <v>0</v>
      </c>
      <c r="I204" s="31">
        <f ca="1">_xll.DBRW($C$1,$C$2,$C$3,$C$4,$C$6,$C$5,$C$7,I$1,I$2,$A204)</f>
        <v>0</v>
      </c>
      <c r="J204" s="31">
        <f ca="1">_xll.DBRW($C$1,$C$2,$C$3,$C$4,$C$6,$C$5,$C$7,J$1,J$2,$A204)</f>
        <v>0</v>
      </c>
      <c r="K204" s="31">
        <f ca="1">_xll.DBRW($C$1,$C$2,$C$3,$C$4,$C$6,$C$5,$C$7,K$1,K$2,$A204)</f>
        <v>0</v>
      </c>
      <c r="L204" s="31">
        <f ca="1">_xll.DBRW($C$1,$C$2,$C$3,$C$4,$C$6,$C$5,$C$7,L$1,L$2,$A204)</f>
        <v>0</v>
      </c>
      <c r="M204" s="31">
        <f ca="1">_xll.DBRW($C$1,$C$2,$C$3,$C$4,$C$6,$C$5,$C$7,M$1,M$2,$A204)</f>
        <v>0</v>
      </c>
      <c r="N204" s="31">
        <f ca="1">_xll.DBRW($C$1,$C$2,$C$3,$C$4,$C$6,$C$5,$C$7,N$1,N$2,$A204)</f>
        <v>0</v>
      </c>
      <c r="O204" s="31">
        <f ca="1">_xll.DBRW($C$1,$C$2,$C$3,$C$4,$C$6,$C$5,$C$7,O$1,O$2,$A204)</f>
        <v>0</v>
      </c>
      <c r="P204" s="31">
        <f ca="1">_xll.DBRW($C$1,$C$2,$C$3,$C$4,$C$6,$C$5,$C$7,P$1,P$2,$A204)</f>
        <v>0</v>
      </c>
      <c r="Q204" s="31">
        <f ca="1">_xll.DBRW($C$1,$C$2,$C$3,$C$4,$C$6,$C$5,$C$7,Q$1,Q$2,$A204)</f>
        <v>0</v>
      </c>
      <c r="R204" s="31">
        <f ca="1">_xll.DBRW($C$1,$C$2,$C$3,$C$4,$C$6,$C$5,$C$7,R$1,R$2,$A204)</f>
        <v>0</v>
      </c>
      <c r="S204" s="31">
        <f ca="1">_xll.DBRW($C$1,$C$2,$C$3,$C$4,$C$6,$C$5,$C$7,S$1,S$2,$A204)</f>
        <v>0</v>
      </c>
      <c r="T204" s="31">
        <f ca="1">_xll.DBRW($C$1,$C$2,$C$3,$C$4,$C$6,$C$5,$C$7,T$1,T$2,$A204)</f>
        <v>0</v>
      </c>
      <c r="U204" s="31">
        <f ca="1">_xll.DBRW($C$1,$C$2,$C$3,$C$4,$C$6,$C$5,$C$7,U$1,U$2,$A204)</f>
        <v>0</v>
      </c>
      <c r="V204" s="31">
        <f ca="1">_xll.DBRW($C$1,$C$2,$C$3,$C$4,$C$6,$C$5,$C$7,V$1,V$2,$A204)</f>
        <v>0</v>
      </c>
      <c r="W204" s="31">
        <f ca="1">_xll.DBRW($C$1,$C$2,$C$3,$C$4,$C$6,$C$5,$C$7,W$1,W$2,$A204)</f>
        <v>0</v>
      </c>
      <c r="X204" s="31">
        <f ca="1">_xll.DBRW($C$1,$C$2,$C$3,$C$4,$C$6,$C$5,$C$7,X$1,X$2,$A204)</f>
        <v>0</v>
      </c>
      <c r="Y204" s="31">
        <f ca="1">_xll.DBRW($C$1,$C$2,$C$3,$C$4,$C$6,$C$5,$C$7,Y$1,Y$2,$A204)</f>
        <v>0</v>
      </c>
      <c r="Z204" s="31">
        <f ca="1">_xll.DBRW($C$1,$C$2,$C$3,$C$4,$C$6,$C$5,$C$7,Z$1,Z$2,$A204)</f>
        <v>0</v>
      </c>
      <c r="AA204" s="31">
        <f ca="1">_xll.DBRW($C$1,$C$2,$C$3,$C$4,$C$6,$C$5,$C$7,AA$1,AA$2,$A204)</f>
        <v>0</v>
      </c>
      <c r="AB204" s="31">
        <f ca="1">_xll.DBRW($C$1,$C$2,$C$3,$C$4,$C$6,$C$5,$C$7,AB$1,AB$2,$A204)</f>
        <v>0</v>
      </c>
      <c r="AC204" s="31">
        <f ca="1">_xll.DBRW($C$1,$C$2,$C$3,$C$4,$C$6,$C$5,$C$7,AC$1,AC$2,$A204)</f>
        <v>0</v>
      </c>
      <c r="AD204" s="31">
        <f ca="1">_xll.DBRW($C$1,$C$2,$C$3,$C$4,$C$6,$C$5,$C$7,AD$1,AD$2,$A204)</f>
        <v>0</v>
      </c>
      <c r="AE204" s="31">
        <f ca="1">_xll.DBRW($C$1,$C$2,$C$3,$C$4,$C$6,$C$5,$C$7,AE$1,AE$2,$A204)</f>
        <v>0</v>
      </c>
      <c r="AF204" s="31">
        <f ca="1">_xll.DBRW($C$1,$C$2,$C$3,$C$4,$C$6,$C$5,$C$7,AF$1,AF$2,$A204)</f>
        <v>0</v>
      </c>
      <c r="AG204" s="31">
        <f ca="1">_xll.DBRW($C$1,$C$2,$C$3,$C$4,$C$6,$C$5,$C$7,AG$1,AG$2,$A204)</f>
        <v>0</v>
      </c>
      <c r="AH204" s="31">
        <f ca="1">_xll.DBRW($C$1,$C$2,$C$3,$C$4,$C$6,$C$5,$C$7,AH$1,AH$2,$A204)</f>
        <v>0</v>
      </c>
      <c r="AI204" s="31">
        <f ca="1">_xll.DBRW($C$1,$C$2,$C$3,$C$4,$C$6,$C$5,$C$7,AI$1,AI$2,$A204)</f>
        <v>0</v>
      </c>
      <c r="AJ204" s="31">
        <f ca="1">_xll.DBRW($C$1,$C$2,$C$3,$C$4,$C$6,$C$5,$C$7,AJ$1,AJ$2,$A204)</f>
        <v>0</v>
      </c>
      <c r="AK204" s="31">
        <f ca="1">_xll.DBRW($C$1,$C$2,$C$3,$C$4,$C$6,$C$5,$C$7,AK$1,AK$2,$A204)</f>
        <v>0</v>
      </c>
      <c r="AL204" s="31">
        <f ca="1">_xll.DBRW($C$1,$C$2,$C$3,$C$4,$C$6,$C$5,$C$7,AL$1,AL$2,$A204)</f>
        <v>0</v>
      </c>
      <c r="AM204" s="31">
        <f ca="1">_xll.DBRW($C$1,$C$2,$C$3,$C$4,$C$6,$C$5,$C$7,AM$1,AM$2,$A204)</f>
        <v>0</v>
      </c>
      <c r="AN204" s="31">
        <f ca="1">_xll.DBRW($C$1,$C$2,$C$3,$C$4,$C$6,$C$5,$C$7,AN$1,AN$2,$A204)</f>
        <v>0</v>
      </c>
      <c r="AO204" s="31">
        <f ca="1">_xll.DBRW($C$1,$C$2,$C$3,$C$4,$C$6,$C$5,$C$7,AO$1,AO$2,$A204)</f>
        <v>0</v>
      </c>
      <c r="AP204" s="31">
        <f ca="1">_xll.DBRW($C$1,$C$2,$C$3,$C$4,$C$6,$C$5,$C$7,AP$1,AP$2,$A204)</f>
        <v>0</v>
      </c>
      <c r="AQ204" s="31">
        <f ca="1">_xll.DBRW($C$1,$C$2,$C$3,$C$4,$C$6,$C$5,$C$7,AQ$1,AQ$2,$A204)</f>
        <v>0</v>
      </c>
      <c r="AR204" s="31">
        <f ca="1">_xll.DBRW($C$1,$C$2,$C$3,$C$4,$C$6,$C$5,$C$7,AR$1,AR$2,$A204)</f>
        <v>0</v>
      </c>
      <c r="AS204" s="31">
        <f ca="1">_xll.DBRW($C$1,$C$2,$C$3,$C$4,$C$6,$C$5,$C$7,AS$1,AS$2,$A204)</f>
        <v>0</v>
      </c>
      <c r="AT204" s="31">
        <f ca="1">_xll.DBRW($C$1,$C$2,$C$3,$C$4,$C$6,$C$5,$C$7,AT$1,AT$2,$A204)</f>
        <v>0</v>
      </c>
      <c r="AU204" s="31">
        <f ca="1">_xll.DBRW($C$1,$C$2,$C$3,$C$4,$C$6,$C$5,$C$7,AU$1,AU$2,$A204)</f>
        <v>0</v>
      </c>
    </row>
    <row r="205" spans="1:47" ht="15.75" hidden="1" customHeight="1" outlineLevel="1">
      <c r="A205" s="1" t="s">
        <v>281</v>
      </c>
      <c r="C205" s="141"/>
      <c r="E205" s="9" t="str">
        <f ca="1">_xll.DBRW(Server&amp;"}ElementAttributes_Indicator",A205,"code_English")</f>
        <v>PL1151_XX - Vector Reconciliation (TPL11) - Impact of change in revaluation rate on provisions for losses on LT contracts</v>
      </c>
      <c r="F205" s="31">
        <f ca="1">_xll.DBRW($C$1,$C$2,$C$3,$C$4,$C$6,$C$5,$C$7,F$1,F$2,$A205)</f>
        <v>0</v>
      </c>
      <c r="G205" s="31">
        <f ca="1">_xll.DBRW($C$1,$C$2,$C$3,$C$4,$C$6,$C$5,$C$7,G$1,G$2,$A205)</f>
        <v>0</v>
      </c>
      <c r="H205" s="31">
        <f ca="1">_xll.DBRW($C$1,$C$2,$C$3,$C$4,$C$6,$C$5,$C$7,H$1,H$2,$A205)</f>
        <v>0</v>
      </c>
      <c r="I205" s="31">
        <f ca="1">_xll.DBRW($C$1,$C$2,$C$3,$C$4,$C$6,$C$5,$C$7,I$1,I$2,$A205)</f>
        <v>0</v>
      </c>
      <c r="J205" s="31">
        <f ca="1">_xll.DBRW($C$1,$C$2,$C$3,$C$4,$C$6,$C$5,$C$7,J$1,J$2,$A205)</f>
        <v>0</v>
      </c>
      <c r="K205" s="31">
        <f ca="1">_xll.DBRW($C$1,$C$2,$C$3,$C$4,$C$6,$C$5,$C$7,K$1,K$2,$A205)</f>
        <v>0</v>
      </c>
      <c r="L205" s="31">
        <f ca="1">_xll.DBRW($C$1,$C$2,$C$3,$C$4,$C$6,$C$5,$C$7,L$1,L$2,$A205)</f>
        <v>0</v>
      </c>
      <c r="M205" s="31">
        <f ca="1">_xll.DBRW($C$1,$C$2,$C$3,$C$4,$C$6,$C$5,$C$7,M$1,M$2,$A205)</f>
        <v>0</v>
      </c>
      <c r="N205" s="31">
        <f ca="1">_xll.DBRW($C$1,$C$2,$C$3,$C$4,$C$6,$C$5,$C$7,N$1,N$2,$A205)</f>
        <v>0</v>
      </c>
      <c r="O205" s="31">
        <f ca="1">_xll.DBRW($C$1,$C$2,$C$3,$C$4,$C$6,$C$5,$C$7,O$1,O$2,$A205)</f>
        <v>0</v>
      </c>
      <c r="P205" s="31">
        <f ca="1">_xll.DBRW($C$1,$C$2,$C$3,$C$4,$C$6,$C$5,$C$7,P$1,P$2,$A205)</f>
        <v>0</v>
      </c>
      <c r="Q205" s="31">
        <f ca="1">_xll.DBRW($C$1,$C$2,$C$3,$C$4,$C$6,$C$5,$C$7,Q$1,Q$2,$A205)</f>
        <v>0</v>
      </c>
      <c r="R205" s="31">
        <f ca="1">_xll.DBRW($C$1,$C$2,$C$3,$C$4,$C$6,$C$5,$C$7,R$1,R$2,$A205)</f>
        <v>0</v>
      </c>
      <c r="S205" s="31">
        <f ca="1">_xll.DBRW($C$1,$C$2,$C$3,$C$4,$C$6,$C$5,$C$7,S$1,S$2,$A205)</f>
        <v>0</v>
      </c>
      <c r="T205" s="31">
        <f ca="1">_xll.DBRW($C$1,$C$2,$C$3,$C$4,$C$6,$C$5,$C$7,T$1,T$2,$A205)</f>
        <v>0</v>
      </c>
      <c r="U205" s="31">
        <f ca="1">_xll.DBRW($C$1,$C$2,$C$3,$C$4,$C$6,$C$5,$C$7,U$1,U$2,$A205)</f>
        <v>0</v>
      </c>
      <c r="V205" s="31">
        <f ca="1">_xll.DBRW($C$1,$C$2,$C$3,$C$4,$C$6,$C$5,$C$7,V$1,V$2,$A205)</f>
        <v>0</v>
      </c>
      <c r="W205" s="31">
        <f ca="1">_xll.DBRW($C$1,$C$2,$C$3,$C$4,$C$6,$C$5,$C$7,W$1,W$2,$A205)</f>
        <v>0</v>
      </c>
      <c r="X205" s="31">
        <f ca="1">_xll.DBRW($C$1,$C$2,$C$3,$C$4,$C$6,$C$5,$C$7,X$1,X$2,$A205)</f>
        <v>0</v>
      </c>
      <c r="Y205" s="31">
        <f ca="1">_xll.DBRW($C$1,$C$2,$C$3,$C$4,$C$6,$C$5,$C$7,Y$1,Y$2,$A205)</f>
        <v>0</v>
      </c>
      <c r="Z205" s="31">
        <f ca="1">_xll.DBRW($C$1,$C$2,$C$3,$C$4,$C$6,$C$5,$C$7,Z$1,Z$2,$A205)</f>
        <v>0</v>
      </c>
      <c r="AA205" s="31">
        <f ca="1">_xll.DBRW($C$1,$C$2,$C$3,$C$4,$C$6,$C$5,$C$7,AA$1,AA$2,$A205)</f>
        <v>0</v>
      </c>
      <c r="AB205" s="31">
        <f ca="1">_xll.DBRW($C$1,$C$2,$C$3,$C$4,$C$6,$C$5,$C$7,AB$1,AB$2,$A205)</f>
        <v>0</v>
      </c>
      <c r="AC205" s="31">
        <f ca="1">_xll.DBRW($C$1,$C$2,$C$3,$C$4,$C$6,$C$5,$C$7,AC$1,AC$2,$A205)</f>
        <v>0</v>
      </c>
      <c r="AD205" s="31">
        <f ca="1">_xll.DBRW($C$1,$C$2,$C$3,$C$4,$C$6,$C$5,$C$7,AD$1,AD$2,$A205)</f>
        <v>0</v>
      </c>
      <c r="AE205" s="31">
        <f ca="1">_xll.DBRW($C$1,$C$2,$C$3,$C$4,$C$6,$C$5,$C$7,AE$1,AE$2,$A205)</f>
        <v>0</v>
      </c>
      <c r="AF205" s="31">
        <f ca="1">_xll.DBRW($C$1,$C$2,$C$3,$C$4,$C$6,$C$5,$C$7,AF$1,AF$2,$A205)</f>
        <v>0</v>
      </c>
      <c r="AG205" s="31">
        <f ca="1">_xll.DBRW($C$1,$C$2,$C$3,$C$4,$C$6,$C$5,$C$7,AG$1,AG$2,$A205)</f>
        <v>0</v>
      </c>
      <c r="AH205" s="31">
        <f ca="1">_xll.DBRW($C$1,$C$2,$C$3,$C$4,$C$6,$C$5,$C$7,AH$1,AH$2,$A205)</f>
        <v>0</v>
      </c>
      <c r="AI205" s="31">
        <f ca="1">_xll.DBRW($C$1,$C$2,$C$3,$C$4,$C$6,$C$5,$C$7,AI$1,AI$2,$A205)</f>
        <v>0</v>
      </c>
      <c r="AJ205" s="31">
        <f ca="1">_xll.DBRW($C$1,$C$2,$C$3,$C$4,$C$6,$C$5,$C$7,AJ$1,AJ$2,$A205)</f>
        <v>0</v>
      </c>
      <c r="AK205" s="31">
        <f ca="1">_xll.DBRW($C$1,$C$2,$C$3,$C$4,$C$6,$C$5,$C$7,AK$1,AK$2,$A205)</f>
        <v>0</v>
      </c>
      <c r="AL205" s="31">
        <f ca="1">_xll.DBRW($C$1,$C$2,$C$3,$C$4,$C$6,$C$5,$C$7,AL$1,AL$2,$A205)</f>
        <v>0</v>
      </c>
      <c r="AM205" s="31">
        <f ca="1">_xll.DBRW($C$1,$C$2,$C$3,$C$4,$C$6,$C$5,$C$7,AM$1,AM$2,$A205)</f>
        <v>0</v>
      </c>
      <c r="AN205" s="31">
        <f ca="1">_xll.DBRW($C$1,$C$2,$C$3,$C$4,$C$6,$C$5,$C$7,AN$1,AN$2,$A205)</f>
        <v>0</v>
      </c>
      <c r="AO205" s="31">
        <f ca="1">_xll.DBRW($C$1,$C$2,$C$3,$C$4,$C$6,$C$5,$C$7,AO$1,AO$2,$A205)</f>
        <v>0</v>
      </c>
      <c r="AP205" s="31">
        <f ca="1">_xll.DBRW($C$1,$C$2,$C$3,$C$4,$C$6,$C$5,$C$7,AP$1,AP$2,$A205)</f>
        <v>0</v>
      </c>
      <c r="AQ205" s="31">
        <f ca="1">_xll.DBRW($C$1,$C$2,$C$3,$C$4,$C$6,$C$5,$C$7,AQ$1,AQ$2,$A205)</f>
        <v>0</v>
      </c>
      <c r="AR205" s="31">
        <f ca="1">_xll.DBRW($C$1,$C$2,$C$3,$C$4,$C$6,$C$5,$C$7,AR$1,AR$2,$A205)</f>
        <v>0</v>
      </c>
      <c r="AS205" s="31">
        <f ca="1">_xll.DBRW($C$1,$C$2,$C$3,$C$4,$C$6,$C$5,$C$7,AS$1,AS$2,$A205)</f>
        <v>0</v>
      </c>
      <c r="AT205" s="31">
        <f ca="1">_xll.DBRW($C$1,$C$2,$C$3,$C$4,$C$6,$C$5,$C$7,AT$1,AT$2,$A205)</f>
        <v>0</v>
      </c>
      <c r="AU205" s="31">
        <f ca="1">_xll.DBRW($C$1,$C$2,$C$3,$C$4,$C$6,$C$5,$C$7,AU$1,AU$2,$A205)</f>
        <v>0</v>
      </c>
    </row>
    <row r="206" spans="1:47" ht="15.75" hidden="1" customHeight="1" outlineLevel="1">
      <c r="A206" s="1" t="s">
        <v>282</v>
      </c>
      <c r="C206" s="141"/>
      <c r="E206" s="9" t="str">
        <f ca="1">_xll.DBRW(Server&amp;"}ElementAttributes_Indicator",A206,"code_English")</f>
        <v>PL1155_XX - Vector Reconciliation (TPL11) - Reinvoicing</v>
      </c>
      <c r="F206" s="31">
        <f ca="1">_xll.DBRW($C$1,$C$2,$C$3,$C$4,$C$6,$C$5,$C$7,F$1,F$2,$A206)</f>
        <v>0</v>
      </c>
      <c r="G206" s="31">
        <f ca="1">_xll.DBRW($C$1,$C$2,$C$3,$C$4,$C$6,$C$5,$C$7,G$1,G$2,$A206)</f>
        <v>0</v>
      </c>
      <c r="H206" s="31">
        <f ca="1">_xll.DBRW($C$1,$C$2,$C$3,$C$4,$C$6,$C$5,$C$7,H$1,H$2,$A206)</f>
        <v>0</v>
      </c>
      <c r="I206" s="31">
        <f ca="1">_xll.DBRW($C$1,$C$2,$C$3,$C$4,$C$6,$C$5,$C$7,I$1,I$2,$A206)</f>
        <v>0</v>
      </c>
      <c r="J206" s="31">
        <f ca="1">_xll.DBRW($C$1,$C$2,$C$3,$C$4,$C$6,$C$5,$C$7,J$1,J$2,$A206)</f>
        <v>0</v>
      </c>
      <c r="K206" s="31">
        <f ca="1">_xll.DBRW($C$1,$C$2,$C$3,$C$4,$C$6,$C$5,$C$7,K$1,K$2,$A206)</f>
        <v>0</v>
      </c>
      <c r="L206" s="31">
        <f ca="1">_xll.DBRW($C$1,$C$2,$C$3,$C$4,$C$6,$C$5,$C$7,L$1,L$2,$A206)</f>
        <v>0</v>
      </c>
      <c r="M206" s="31">
        <f ca="1">_xll.DBRW($C$1,$C$2,$C$3,$C$4,$C$6,$C$5,$C$7,M$1,M$2,$A206)</f>
        <v>0</v>
      </c>
      <c r="N206" s="31">
        <f ca="1">_xll.DBRW($C$1,$C$2,$C$3,$C$4,$C$6,$C$5,$C$7,N$1,N$2,$A206)</f>
        <v>0</v>
      </c>
      <c r="O206" s="31">
        <f ca="1">_xll.DBRW($C$1,$C$2,$C$3,$C$4,$C$6,$C$5,$C$7,O$1,O$2,$A206)</f>
        <v>0</v>
      </c>
      <c r="P206" s="31">
        <f ca="1">_xll.DBRW($C$1,$C$2,$C$3,$C$4,$C$6,$C$5,$C$7,P$1,P$2,$A206)</f>
        <v>0</v>
      </c>
      <c r="Q206" s="31">
        <f ca="1">_xll.DBRW($C$1,$C$2,$C$3,$C$4,$C$6,$C$5,$C$7,Q$1,Q$2,$A206)</f>
        <v>0</v>
      </c>
      <c r="R206" s="31">
        <f ca="1">_xll.DBRW($C$1,$C$2,$C$3,$C$4,$C$6,$C$5,$C$7,R$1,R$2,$A206)</f>
        <v>0</v>
      </c>
      <c r="S206" s="31">
        <f ca="1">_xll.DBRW($C$1,$C$2,$C$3,$C$4,$C$6,$C$5,$C$7,S$1,S$2,$A206)</f>
        <v>0</v>
      </c>
      <c r="T206" s="31">
        <f ca="1">_xll.DBRW($C$1,$C$2,$C$3,$C$4,$C$6,$C$5,$C$7,T$1,T$2,$A206)</f>
        <v>0</v>
      </c>
      <c r="U206" s="31">
        <f ca="1">_xll.DBRW($C$1,$C$2,$C$3,$C$4,$C$6,$C$5,$C$7,U$1,U$2,$A206)</f>
        <v>0</v>
      </c>
      <c r="V206" s="31">
        <f ca="1">_xll.DBRW($C$1,$C$2,$C$3,$C$4,$C$6,$C$5,$C$7,V$1,V$2,$A206)</f>
        <v>0</v>
      </c>
      <c r="W206" s="31">
        <f ca="1">_xll.DBRW($C$1,$C$2,$C$3,$C$4,$C$6,$C$5,$C$7,W$1,W$2,$A206)</f>
        <v>0</v>
      </c>
      <c r="X206" s="31">
        <f ca="1">_xll.DBRW($C$1,$C$2,$C$3,$C$4,$C$6,$C$5,$C$7,X$1,X$2,$A206)</f>
        <v>0</v>
      </c>
      <c r="Y206" s="31">
        <f ca="1">_xll.DBRW($C$1,$C$2,$C$3,$C$4,$C$6,$C$5,$C$7,Y$1,Y$2,$A206)</f>
        <v>0</v>
      </c>
      <c r="Z206" s="31">
        <f ca="1">_xll.DBRW($C$1,$C$2,$C$3,$C$4,$C$6,$C$5,$C$7,Z$1,Z$2,$A206)</f>
        <v>0</v>
      </c>
      <c r="AA206" s="31">
        <f ca="1">_xll.DBRW($C$1,$C$2,$C$3,$C$4,$C$6,$C$5,$C$7,AA$1,AA$2,$A206)</f>
        <v>0</v>
      </c>
      <c r="AB206" s="31">
        <f ca="1">_xll.DBRW($C$1,$C$2,$C$3,$C$4,$C$6,$C$5,$C$7,AB$1,AB$2,$A206)</f>
        <v>0</v>
      </c>
      <c r="AC206" s="31">
        <f ca="1">_xll.DBRW($C$1,$C$2,$C$3,$C$4,$C$6,$C$5,$C$7,AC$1,AC$2,$A206)</f>
        <v>0</v>
      </c>
      <c r="AD206" s="31">
        <f ca="1">_xll.DBRW($C$1,$C$2,$C$3,$C$4,$C$6,$C$5,$C$7,AD$1,AD$2,$A206)</f>
        <v>0</v>
      </c>
      <c r="AE206" s="31">
        <f ca="1">_xll.DBRW($C$1,$C$2,$C$3,$C$4,$C$6,$C$5,$C$7,AE$1,AE$2,$A206)</f>
        <v>0</v>
      </c>
      <c r="AF206" s="31">
        <f ca="1">_xll.DBRW($C$1,$C$2,$C$3,$C$4,$C$6,$C$5,$C$7,AF$1,AF$2,$A206)</f>
        <v>0</v>
      </c>
      <c r="AG206" s="31">
        <f ca="1">_xll.DBRW($C$1,$C$2,$C$3,$C$4,$C$6,$C$5,$C$7,AG$1,AG$2,$A206)</f>
        <v>0</v>
      </c>
      <c r="AH206" s="31">
        <f ca="1">_xll.DBRW($C$1,$C$2,$C$3,$C$4,$C$6,$C$5,$C$7,AH$1,AH$2,$A206)</f>
        <v>0</v>
      </c>
      <c r="AI206" s="31">
        <f ca="1">_xll.DBRW($C$1,$C$2,$C$3,$C$4,$C$6,$C$5,$C$7,AI$1,AI$2,$A206)</f>
        <v>0</v>
      </c>
      <c r="AJ206" s="31">
        <f ca="1">_xll.DBRW($C$1,$C$2,$C$3,$C$4,$C$6,$C$5,$C$7,AJ$1,AJ$2,$A206)</f>
        <v>0</v>
      </c>
      <c r="AK206" s="31">
        <f ca="1">_xll.DBRW($C$1,$C$2,$C$3,$C$4,$C$6,$C$5,$C$7,AK$1,AK$2,$A206)</f>
        <v>0</v>
      </c>
      <c r="AL206" s="31">
        <f ca="1">_xll.DBRW($C$1,$C$2,$C$3,$C$4,$C$6,$C$5,$C$7,AL$1,AL$2,$A206)</f>
        <v>0</v>
      </c>
      <c r="AM206" s="31">
        <f ca="1">_xll.DBRW($C$1,$C$2,$C$3,$C$4,$C$6,$C$5,$C$7,AM$1,AM$2,$A206)</f>
        <v>0</v>
      </c>
      <c r="AN206" s="31">
        <f ca="1">_xll.DBRW($C$1,$C$2,$C$3,$C$4,$C$6,$C$5,$C$7,AN$1,AN$2,$A206)</f>
        <v>0</v>
      </c>
      <c r="AO206" s="31">
        <f ca="1">_xll.DBRW($C$1,$C$2,$C$3,$C$4,$C$6,$C$5,$C$7,AO$1,AO$2,$A206)</f>
        <v>0</v>
      </c>
      <c r="AP206" s="31">
        <f ca="1">_xll.DBRW($C$1,$C$2,$C$3,$C$4,$C$6,$C$5,$C$7,AP$1,AP$2,$A206)</f>
        <v>0</v>
      </c>
      <c r="AQ206" s="31">
        <f ca="1">_xll.DBRW($C$1,$C$2,$C$3,$C$4,$C$6,$C$5,$C$7,AQ$1,AQ$2,$A206)</f>
        <v>0</v>
      </c>
      <c r="AR206" s="31">
        <f ca="1">_xll.DBRW($C$1,$C$2,$C$3,$C$4,$C$6,$C$5,$C$7,AR$1,AR$2,$A206)</f>
        <v>0</v>
      </c>
      <c r="AS206" s="31">
        <f ca="1">_xll.DBRW($C$1,$C$2,$C$3,$C$4,$C$6,$C$5,$C$7,AS$1,AS$2,$A206)</f>
        <v>0</v>
      </c>
      <c r="AT206" s="31">
        <f ca="1">_xll.DBRW($C$1,$C$2,$C$3,$C$4,$C$6,$C$5,$C$7,AT$1,AT$2,$A206)</f>
        <v>0</v>
      </c>
      <c r="AU206" s="31">
        <f ca="1">_xll.DBRW($C$1,$C$2,$C$3,$C$4,$C$6,$C$5,$C$7,AU$1,AU$2,$A206)</f>
        <v>0</v>
      </c>
    </row>
    <row r="207" spans="1:47" ht="15.75" hidden="1" customHeight="1" outlineLevel="1">
      <c r="A207" s="1" t="s">
        <v>283</v>
      </c>
      <c r="C207" s="141"/>
      <c r="E207" s="9" t="str">
        <f ca="1">_xll.DBRW(Server&amp;"}ElementAttributes_Indicator",A207,"code_English")</f>
        <v>PL1160_XX - Vector Reconciliation (TPL11) - Gains/losses on disposal of tangible &amp; intangible fixed assets</v>
      </c>
      <c r="F207" s="31">
        <f ca="1">_xll.DBRW($C$1,$C$2,$C$3,$C$4,$C$6,$C$5,$C$7,F$1,F$2,$A207)</f>
        <v>0</v>
      </c>
      <c r="G207" s="31">
        <f ca="1">_xll.DBRW($C$1,$C$2,$C$3,$C$4,$C$6,$C$5,$C$7,G$1,G$2,$A207)</f>
        <v>0</v>
      </c>
      <c r="H207" s="31">
        <f ca="1">_xll.DBRW($C$1,$C$2,$C$3,$C$4,$C$6,$C$5,$C$7,H$1,H$2,$A207)</f>
        <v>0</v>
      </c>
      <c r="I207" s="31">
        <f ca="1">_xll.DBRW($C$1,$C$2,$C$3,$C$4,$C$6,$C$5,$C$7,I$1,I$2,$A207)</f>
        <v>0</v>
      </c>
      <c r="J207" s="31">
        <f ca="1">_xll.DBRW($C$1,$C$2,$C$3,$C$4,$C$6,$C$5,$C$7,J$1,J$2,$A207)</f>
        <v>0</v>
      </c>
      <c r="K207" s="31">
        <f ca="1">_xll.DBRW($C$1,$C$2,$C$3,$C$4,$C$6,$C$5,$C$7,K$1,K$2,$A207)</f>
        <v>0</v>
      </c>
      <c r="L207" s="31">
        <f ca="1">_xll.DBRW($C$1,$C$2,$C$3,$C$4,$C$6,$C$5,$C$7,L$1,L$2,$A207)</f>
        <v>0</v>
      </c>
      <c r="M207" s="31">
        <f ca="1">_xll.DBRW($C$1,$C$2,$C$3,$C$4,$C$6,$C$5,$C$7,M$1,M$2,$A207)</f>
        <v>0</v>
      </c>
      <c r="N207" s="31">
        <f ca="1">_xll.DBRW($C$1,$C$2,$C$3,$C$4,$C$6,$C$5,$C$7,N$1,N$2,$A207)</f>
        <v>0</v>
      </c>
      <c r="O207" s="31">
        <f ca="1">_xll.DBRW($C$1,$C$2,$C$3,$C$4,$C$6,$C$5,$C$7,O$1,O$2,$A207)</f>
        <v>0</v>
      </c>
      <c r="P207" s="31">
        <f ca="1">_xll.DBRW($C$1,$C$2,$C$3,$C$4,$C$6,$C$5,$C$7,P$1,P$2,$A207)</f>
        <v>0</v>
      </c>
      <c r="Q207" s="31">
        <f ca="1">_xll.DBRW($C$1,$C$2,$C$3,$C$4,$C$6,$C$5,$C$7,Q$1,Q$2,$A207)</f>
        <v>0</v>
      </c>
      <c r="R207" s="31">
        <f ca="1">_xll.DBRW($C$1,$C$2,$C$3,$C$4,$C$6,$C$5,$C$7,R$1,R$2,$A207)</f>
        <v>0</v>
      </c>
      <c r="S207" s="31">
        <f ca="1">_xll.DBRW($C$1,$C$2,$C$3,$C$4,$C$6,$C$5,$C$7,S$1,S$2,$A207)</f>
        <v>0</v>
      </c>
      <c r="T207" s="31">
        <f ca="1">_xll.DBRW($C$1,$C$2,$C$3,$C$4,$C$6,$C$5,$C$7,T$1,T$2,$A207)</f>
        <v>0</v>
      </c>
      <c r="U207" s="31">
        <f ca="1">_xll.DBRW($C$1,$C$2,$C$3,$C$4,$C$6,$C$5,$C$7,U$1,U$2,$A207)</f>
        <v>0</v>
      </c>
      <c r="V207" s="31">
        <f ca="1">_xll.DBRW($C$1,$C$2,$C$3,$C$4,$C$6,$C$5,$C$7,V$1,V$2,$A207)</f>
        <v>0</v>
      </c>
      <c r="W207" s="31">
        <f ca="1">_xll.DBRW($C$1,$C$2,$C$3,$C$4,$C$6,$C$5,$C$7,W$1,W$2,$A207)</f>
        <v>0</v>
      </c>
      <c r="X207" s="31">
        <f ca="1">_xll.DBRW($C$1,$C$2,$C$3,$C$4,$C$6,$C$5,$C$7,X$1,X$2,$A207)</f>
        <v>0</v>
      </c>
      <c r="Y207" s="31">
        <f ca="1">_xll.DBRW($C$1,$C$2,$C$3,$C$4,$C$6,$C$5,$C$7,Y$1,Y$2,$A207)</f>
        <v>0</v>
      </c>
      <c r="Z207" s="31">
        <f ca="1">_xll.DBRW($C$1,$C$2,$C$3,$C$4,$C$6,$C$5,$C$7,Z$1,Z$2,$A207)</f>
        <v>0</v>
      </c>
      <c r="AA207" s="31">
        <f ca="1">_xll.DBRW($C$1,$C$2,$C$3,$C$4,$C$6,$C$5,$C$7,AA$1,AA$2,$A207)</f>
        <v>0</v>
      </c>
      <c r="AB207" s="31">
        <f ca="1">_xll.DBRW($C$1,$C$2,$C$3,$C$4,$C$6,$C$5,$C$7,AB$1,AB$2,$A207)</f>
        <v>0</v>
      </c>
      <c r="AC207" s="31">
        <f ca="1">_xll.DBRW($C$1,$C$2,$C$3,$C$4,$C$6,$C$5,$C$7,AC$1,AC$2,$A207)</f>
        <v>0</v>
      </c>
      <c r="AD207" s="31">
        <f ca="1">_xll.DBRW($C$1,$C$2,$C$3,$C$4,$C$6,$C$5,$C$7,AD$1,AD$2,$A207)</f>
        <v>0</v>
      </c>
      <c r="AE207" s="31">
        <f ca="1">_xll.DBRW($C$1,$C$2,$C$3,$C$4,$C$6,$C$5,$C$7,AE$1,AE$2,$A207)</f>
        <v>0</v>
      </c>
      <c r="AF207" s="31">
        <f ca="1">_xll.DBRW($C$1,$C$2,$C$3,$C$4,$C$6,$C$5,$C$7,AF$1,AF$2,$A207)</f>
        <v>0</v>
      </c>
      <c r="AG207" s="31">
        <f ca="1">_xll.DBRW($C$1,$C$2,$C$3,$C$4,$C$6,$C$5,$C$7,AG$1,AG$2,$A207)</f>
        <v>0</v>
      </c>
      <c r="AH207" s="31">
        <f ca="1">_xll.DBRW($C$1,$C$2,$C$3,$C$4,$C$6,$C$5,$C$7,AH$1,AH$2,$A207)</f>
        <v>0</v>
      </c>
      <c r="AI207" s="31">
        <f ca="1">_xll.DBRW($C$1,$C$2,$C$3,$C$4,$C$6,$C$5,$C$7,AI$1,AI$2,$A207)</f>
        <v>0</v>
      </c>
      <c r="AJ207" s="31">
        <f ca="1">_xll.DBRW($C$1,$C$2,$C$3,$C$4,$C$6,$C$5,$C$7,AJ$1,AJ$2,$A207)</f>
        <v>0</v>
      </c>
      <c r="AK207" s="31">
        <f ca="1">_xll.DBRW($C$1,$C$2,$C$3,$C$4,$C$6,$C$5,$C$7,AK$1,AK$2,$A207)</f>
        <v>0</v>
      </c>
      <c r="AL207" s="31">
        <f ca="1">_xll.DBRW($C$1,$C$2,$C$3,$C$4,$C$6,$C$5,$C$7,AL$1,AL$2,$A207)</f>
        <v>0</v>
      </c>
      <c r="AM207" s="31">
        <f ca="1">_xll.DBRW($C$1,$C$2,$C$3,$C$4,$C$6,$C$5,$C$7,AM$1,AM$2,$A207)</f>
        <v>0</v>
      </c>
      <c r="AN207" s="31">
        <f ca="1">_xll.DBRW($C$1,$C$2,$C$3,$C$4,$C$6,$C$5,$C$7,AN$1,AN$2,$A207)</f>
        <v>0</v>
      </c>
      <c r="AO207" s="31">
        <f ca="1">_xll.DBRW($C$1,$C$2,$C$3,$C$4,$C$6,$C$5,$C$7,AO$1,AO$2,$A207)</f>
        <v>0</v>
      </c>
      <c r="AP207" s="31">
        <f ca="1">_xll.DBRW($C$1,$C$2,$C$3,$C$4,$C$6,$C$5,$C$7,AP$1,AP$2,$A207)</f>
        <v>0</v>
      </c>
      <c r="AQ207" s="31">
        <f ca="1">_xll.DBRW($C$1,$C$2,$C$3,$C$4,$C$6,$C$5,$C$7,AQ$1,AQ$2,$A207)</f>
        <v>0</v>
      </c>
      <c r="AR207" s="31">
        <f ca="1">_xll.DBRW($C$1,$C$2,$C$3,$C$4,$C$6,$C$5,$C$7,AR$1,AR$2,$A207)</f>
        <v>0</v>
      </c>
      <c r="AS207" s="31">
        <f ca="1">_xll.DBRW($C$1,$C$2,$C$3,$C$4,$C$6,$C$5,$C$7,AS$1,AS$2,$A207)</f>
        <v>0</v>
      </c>
      <c r="AT207" s="31">
        <f ca="1">_xll.DBRW($C$1,$C$2,$C$3,$C$4,$C$6,$C$5,$C$7,AT$1,AT$2,$A207)</f>
        <v>0</v>
      </c>
      <c r="AU207" s="31">
        <f ca="1">_xll.DBRW($C$1,$C$2,$C$3,$C$4,$C$6,$C$5,$C$7,AU$1,AU$2,$A207)</f>
        <v>0</v>
      </c>
    </row>
    <row r="208" spans="1:47" ht="15.75" hidden="1" customHeight="1" outlineLevel="1">
      <c r="A208" s="1" t="s">
        <v>284</v>
      </c>
      <c r="C208" s="141"/>
      <c r="E208" s="9" t="str">
        <f ca="1">_xll.DBRW(Server&amp;"}ElementAttributes_Indicator",A208,"code_English")</f>
        <v>PL1161_XX - Vector Reconciliation (TPL11) - Gains/losses on write-off of contract costs</v>
      </c>
      <c r="F208" s="31">
        <f ca="1">_xll.DBRW($C$1,$C$2,$C$3,$C$4,$C$6,$C$5,$C$7,F$1,F$2,$A208)</f>
        <v>0</v>
      </c>
      <c r="G208" s="31">
        <f ca="1">_xll.DBRW($C$1,$C$2,$C$3,$C$4,$C$6,$C$5,$C$7,G$1,G$2,$A208)</f>
        <v>0</v>
      </c>
      <c r="H208" s="31">
        <f ca="1">_xll.DBRW($C$1,$C$2,$C$3,$C$4,$C$6,$C$5,$C$7,H$1,H$2,$A208)</f>
        <v>0</v>
      </c>
      <c r="I208" s="31">
        <f ca="1">_xll.DBRW($C$1,$C$2,$C$3,$C$4,$C$6,$C$5,$C$7,I$1,I$2,$A208)</f>
        <v>0</v>
      </c>
      <c r="J208" s="31">
        <f ca="1">_xll.DBRW($C$1,$C$2,$C$3,$C$4,$C$6,$C$5,$C$7,J$1,J$2,$A208)</f>
        <v>0</v>
      </c>
      <c r="K208" s="31">
        <f ca="1">_xll.DBRW($C$1,$C$2,$C$3,$C$4,$C$6,$C$5,$C$7,K$1,K$2,$A208)</f>
        <v>0</v>
      </c>
      <c r="L208" s="31">
        <f ca="1">_xll.DBRW($C$1,$C$2,$C$3,$C$4,$C$6,$C$5,$C$7,L$1,L$2,$A208)</f>
        <v>0</v>
      </c>
      <c r="M208" s="31">
        <f ca="1">_xll.DBRW($C$1,$C$2,$C$3,$C$4,$C$6,$C$5,$C$7,M$1,M$2,$A208)</f>
        <v>0</v>
      </c>
      <c r="N208" s="31">
        <f ca="1">_xll.DBRW($C$1,$C$2,$C$3,$C$4,$C$6,$C$5,$C$7,N$1,N$2,$A208)</f>
        <v>0</v>
      </c>
      <c r="O208" s="31">
        <f ca="1">_xll.DBRW($C$1,$C$2,$C$3,$C$4,$C$6,$C$5,$C$7,O$1,O$2,$A208)</f>
        <v>0</v>
      </c>
      <c r="P208" s="31">
        <f ca="1">_xll.DBRW($C$1,$C$2,$C$3,$C$4,$C$6,$C$5,$C$7,P$1,P$2,$A208)</f>
        <v>0</v>
      </c>
      <c r="Q208" s="31">
        <f ca="1">_xll.DBRW($C$1,$C$2,$C$3,$C$4,$C$6,$C$5,$C$7,Q$1,Q$2,$A208)</f>
        <v>0</v>
      </c>
      <c r="R208" s="31">
        <f ca="1">_xll.DBRW($C$1,$C$2,$C$3,$C$4,$C$6,$C$5,$C$7,R$1,R$2,$A208)</f>
        <v>0</v>
      </c>
      <c r="S208" s="31">
        <f ca="1">_xll.DBRW($C$1,$C$2,$C$3,$C$4,$C$6,$C$5,$C$7,S$1,S$2,$A208)</f>
        <v>0</v>
      </c>
      <c r="T208" s="31">
        <f ca="1">_xll.DBRW($C$1,$C$2,$C$3,$C$4,$C$6,$C$5,$C$7,T$1,T$2,$A208)</f>
        <v>0</v>
      </c>
      <c r="U208" s="31">
        <f ca="1">_xll.DBRW($C$1,$C$2,$C$3,$C$4,$C$6,$C$5,$C$7,U$1,U$2,$A208)</f>
        <v>0</v>
      </c>
      <c r="V208" s="31">
        <f ca="1">_xll.DBRW($C$1,$C$2,$C$3,$C$4,$C$6,$C$5,$C$7,V$1,V$2,$A208)</f>
        <v>0</v>
      </c>
      <c r="W208" s="31">
        <f ca="1">_xll.DBRW($C$1,$C$2,$C$3,$C$4,$C$6,$C$5,$C$7,W$1,W$2,$A208)</f>
        <v>0</v>
      </c>
      <c r="X208" s="31">
        <f ca="1">_xll.DBRW($C$1,$C$2,$C$3,$C$4,$C$6,$C$5,$C$7,X$1,X$2,$A208)</f>
        <v>0</v>
      </c>
      <c r="Y208" s="31">
        <f ca="1">_xll.DBRW($C$1,$C$2,$C$3,$C$4,$C$6,$C$5,$C$7,Y$1,Y$2,$A208)</f>
        <v>0</v>
      </c>
      <c r="Z208" s="31">
        <f ca="1">_xll.DBRW($C$1,$C$2,$C$3,$C$4,$C$6,$C$5,$C$7,Z$1,Z$2,$A208)</f>
        <v>0</v>
      </c>
      <c r="AA208" s="31">
        <f ca="1">_xll.DBRW($C$1,$C$2,$C$3,$C$4,$C$6,$C$5,$C$7,AA$1,AA$2,$A208)</f>
        <v>0</v>
      </c>
      <c r="AB208" s="31">
        <f ca="1">_xll.DBRW($C$1,$C$2,$C$3,$C$4,$C$6,$C$5,$C$7,AB$1,AB$2,$A208)</f>
        <v>0</v>
      </c>
      <c r="AC208" s="31">
        <f ca="1">_xll.DBRW($C$1,$C$2,$C$3,$C$4,$C$6,$C$5,$C$7,AC$1,AC$2,$A208)</f>
        <v>0</v>
      </c>
      <c r="AD208" s="31">
        <f ca="1">_xll.DBRW($C$1,$C$2,$C$3,$C$4,$C$6,$C$5,$C$7,AD$1,AD$2,$A208)</f>
        <v>0</v>
      </c>
      <c r="AE208" s="31">
        <f ca="1">_xll.DBRW($C$1,$C$2,$C$3,$C$4,$C$6,$C$5,$C$7,AE$1,AE$2,$A208)</f>
        <v>0</v>
      </c>
      <c r="AF208" s="31">
        <f ca="1">_xll.DBRW($C$1,$C$2,$C$3,$C$4,$C$6,$C$5,$C$7,AF$1,AF$2,$A208)</f>
        <v>0</v>
      </c>
      <c r="AG208" s="31">
        <f ca="1">_xll.DBRW($C$1,$C$2,$C$3,$C$4,$C$6,$C$5,$C$7,AG$1,AG$2,$A208)</f>
        <v>0</v>
      </c>
      <c r="AH208" s="31">
        <f ca="1">_xll.DBRW($C$1,$C$2,$C$3,$C$4,$C$6,$C$5,$C$7,AH$1,AH$2,$A208)</f>
        <v>0</v>
      </c>
      <c r="AI208" s="31">
        <f ca="1">_xll.DBRW($C$1,$C$2,$C$3,$C$4,$C$6,$C$5,$C$7,AI$1,AI$2,$A208)</f>
        <v>0</v>
      </c>
      <c r="AJ208" s="31">
        <f ca="1">_xll.DBRW($C$1,$C$2,$C$3,$C$4,$C$6,$C$5,$C$7,AJ$1,AJ$2,$A208)</f>
        <v>0</v>
      </c>
      <c r="AK208" s="31">
        <f ca="1">_xll.DBRW($C$1,$C$2,$C$3,$C$4,$C$6,$C$5,$C$7,AK$1,AK$2,$A208)</f>
        <v>0</v>
      </c>
      <c r="AL208" s="31">
        <f ca="1">_xll.DBRW($C$1,$C$2,$C$3,$C$4,$C$6,$C$5,$C$7,AL$1,AL$2,$A208)</f>
        <v>0</v>
      </c>
      <c r="AM208" s="31">
        <f ca="1">_xll.DBRW($C$1,$C$2,$C$3,$C$4,$C$6,$C$5,$C$7,AM$1,AM$2,$A208)</f>
        <v>0</v>
      </c>
      <c r="AN208" s="31">
        <f ca="1">_xll.DBRW($C$1,$C$2,$C$3,$C$4,$C$6,$C$5,$C$7,AN$1,AN$2,$A208)</f>
        <v>0</v>
      </c>
      <c r="AO208" s="31">
        <f ca="1">_xll.DBRW($C$1,$C$2,$C$3,$C$4,$C$6,$C$5,$C$7,AO$1,AO$2,$A208)</f>
        <v>0</v>
      </c>
      <c r="AP208" s="31">
        <f ca="1">_xll.DBRW($C$1,$C$2,$C$3,$C$4,$C$6,$C$5,$C$7,AP$1,AP$2,$A208)</f>
        <v>0</v>
      </c>
      <c r="AQ208" s="31">
        <f ca="1">_xll.DBRW($C$1,$C$2,$C$3,$C$4,$C$6,$C$5,$C$7,AQ$1,AQ$2,$A208)</f>
        <v>0</v>
      </c>
      <c r="AR208" s="31">
        <f ca="1">_xll.DBRW($C$1,$C$2,$C$3,$C$4,$C$6,$C$5,$C$7,AR$1,AR$2,$A208)</f>
        <v>0</v>
      </c>
      <c r="AS208" s="31">
        <f ca="1">_xll.DBRW($C$1,$C$2,$C$3,$C$4,$C$6,$C$5,$C$7,AS$1,AS$2,$A208)</f>
        <v>0</v>
      </c>
      <c r="AT208" s="31">
        <f ca="1">_xll.DBRW($C$1,$C$2,$C$3,$C$4,$C$6,$C$5,$C$7,AT$1,AT$2,$A208)</f>
        <v>0</v>
      </c>
      <c r="AU208" s="31">
        <f ca="1">_xll.DBRW($C$1,$C$2,$C$3,$C$4,$C$6,$C$5,$C$7,AU$1,AU$2,$A208)</f>
        <v>0</v>
      </c>
    </row>
    <row r="209" spans="1:47" ht="15.75" hidden="1" customHeight="1" outlineLevel="1">
      <c r="A209" s="1" t="s">
        <v>285</v>
      </c>
      <c r="C209" s="141"/>
      <c r="E209" s="9" t="str">
        <f ca="1">_xll.DBRW(Server&amp;"}ElementAttributes_Indicator",A209,"code_English")</f>
        <v>PL1162_XX - Réconciliation Vector (TPL11) - COS - Gains/losses on disposal of right-of-use</v>
      </c>
      <c r="F209" s="31">
        <f ca="1">_xll.DBRW($C$1,$C$2,$C$3,$C$4,$C$6,$C$5,$C$7,F$1,F$2,$A209)</f>
        <v>0</v>
      </c>
      <c r="G209" s="31">
        <f ca="1">_xll.DBRW($C$1,$C$2,$C$3,$C$4,$C$6,$C$5,$C$7,G$1,G$2,$A209)</f>
        <v>0</v>
      </c>
      <c r="H209" s="31">
        <f ca="1">_xll.DBRW($C$1,$C$2,$C$3,$C$4,$C$6,$C$5,$C$7,H$1,H$2,$A209)</f>
        <v>0</v>
      </c>
      <c r="I209" s="31">
        <f ca="1">_xll.DBRW($C$1,$C$2,$C$3,$C$4,$C$6,$C$5,$C$7,I$1,I$2,$A209)</f>
        <v>0</v>
      </c>
      <c r="J209" s="31">
        <f ca="1">_xll.DBRW($C$1,$C$2,$C$3,$C$4,$C$6,$C$5,$C$7,J$1,J$2,$A209)</f>
        <v>0</v>
      </c>
      <c r="K209" s="31">
        <f ca="1">_xll.DBRW($C$1,$C$2,$C$3,$C$4,$C$6,$C$5,$C$7,K$1,K$2,$A209)</f>
        <v>0</v>
      </c>
      <c r="L209" s="31">
        <f ca="1">_xll.DBRW($C$1,$C$2,$C$3,$C$4,$C$6,$C$5,$C$7,L$1,L$2,$A209)</f>
        <v>0</v>
      </c>
      <c r="M209" s="31">
        <f ca="1">_xll.DBRW($C$1,$C$2,$C$3,$C$4,$C$6,$C$5,$C$7,M$1,M$2,$A209)</f>
        <v>0</v>
      </c>
      <c r="N209" s="31">
        <f ca="1">_xll.DBRW($C$1,$C$2,$C$3,$C$4,$C$6,$C$5,$C$7,N$1,N$2,$A209)</f>
        <v>0</v>
      </c>
      <c r="O209" s="31">
        <f ca="1">_xll.DBRW($C$1,$C$2,$C$3,$C$4,$C$6,$C$5,$C$7,O$1,O$2,$A209)</f>
        <v>0</v>
      </c>
      <c r="P209" s="31">
        <f ca="1">_xll.DBRW($C$1,$C$2,$C$3,$C$4,$C$6,$C$5,$C$7,P$1,P$2,$A209)</f>
        <v>0</v>
      </c>
      <c r="Q209" s="31">
        <f ca="1">_xll.DBRW($C$1,$C$2,$C$3,$C$4,$C$6,$C$5,$C$7,Q$1,Q$2,$A209)</f>
        <v>0</v>
      </c>
      <c r="R209" s="31">
        <f ca="1">_xll.DBRW($C$1,$C$2,$C$3,$C$4,$C$6,$C$5,$C$7,R$1,R$2,$A209)</f>
        <v>0</v>
      </c>
      <c r="S209" s="31">
        <f ca="1">_xll.DBRW($C$1,$C$2,$C$3,$C$4,$C$6,$C$5,$C$7,S$1,S$2,$A209)</f>
        <v>0</v>
      </c>
      <c r="T209" s="31">
        <f ca="1">_xll.DBRW($C$1,$C$2,$C$3,$C$4,$C$6,$C$5,$C$7,T$1,T$2,$A209)</f>
        <v>0</v>
      </c>
      <c r="U209" s="31">
        <f ca="1">_xll.DBRW($C$1,$C$2,$C$3,$C$4,$C$6,$C$5,$C$7,U$1,U$2,$A209)</f>
        <v>0</v>
      </c>
      <c r="V209" s="31">
        <f ca="1">_xll.DBRW($C$1,$C$2,$C$3,$C$4,$C$6,$C$5,$C$7,V$1,V$2,$A209)</f>
        <v>0</v>
      </c>
      <c r="W209" s="31">
        <f ca="1">_xll.DBRW($C$1,$C$2,$C$3,$C$4,$C$6,$C$5,$C$7,W$1,W$2,$A209)</f>
        <v>0</v>
      </c>
      <c r="X209" s="31">
        <f ca="1">_xll.DBRW($C$1,$C$2,$C$3,$C$4,$C$6,$C$5,$C$7,X$1,X$2,$A209)</f>
        <v>0</v>
      </c>
      <c r="Y209" s="31">
        <f ca="1">_xll.DBRW($C$1,$C$2,$C$3,$C$4,$C$6,$C$5,$C$7,Y$1,Y$2,$A209)</f>
        <v>0</v>
      </c>
      <c r="Z209" s="31">
        <f ca="1">_xll.DBRW($C$1,$C$2,$C$3,$C$4,$C$6,$C$5,$C$7,Z$1,Z$2,$A209)</f>
        <v>0</v>
      </c>
      <c r="AA209" s="31">
        <f ca="1">_xll.DBRW($C$1,$C$2,$C$3,$C$4,$C$6,$C$5,$C$7,AA$1,AA$2,$A209)</f>
        <v>0</v>
      </c>
      <c r="AB209" s="31">
        <f ca="1">_xll.DBRW($C$1,$C$2,$C$3,$C$4,$C$6,$C$5,$C$7,AB$1,AB$2,$A209)</f>
        <v>0</v>
      </c>
      <c r="AC209" s="31">
        <f ca="1">_xll.DBRW($C$1,$C$2,$C$3,$C$4,$C$6,$C$5,$C$7,AC$1,AC$2,$A209)</f>
        <v>0</v>
      </c>
      <c r="AD209" s="31">
        <f ca="1">_xll.DBRW($C$1,$C$2,$C$3,$C$4,$C$6,$C$5,$C$7,AD$1,AD$2,$A209)</f>
        <v>0</v>
      </c>
      <c r="AE209" s="31">
        <f ca="1">_xll.DBRW($C$1,$C$2,$C$3,$C$4,$C$6,$C$5,$C$7,AE$1,AE$2,$A209)</f>
        <v>0</v>
      </c>
      <c r="AF209" s="31">
        <f ca="1">_xll.DBRW($C$1,$C$2,$C$3,$C$4,$C$6,$C$5,$C$7,AF$1,AF$2,$A209)</f>
        <v>0</v>
      </c>
      <c r="AG209" s="31">
        <f ca="1">_xll.DBRW($C$1,$C$2,$C$3,$C$4,$C$6,$C$5,$C$7,AG$1,AG$2,$A209)</f>
        <v>0</v>
      </c>
      <c r="AH209" s="31">
        <f ca="1">_xll.DBRW($C$1,$C$2,$C$3,$C$4,$C$6,$C$5,$C$7,AH$1,AH$2,$A209)</f>
        <v>0</v>
      </c>
      <c r="AI209" s="31">
        <f ca="1">_xll.DBRW($C$1,$C$2,$C$3,$C$4,$C$6,$C$5,$C$7,AI$1,AI$2,$A209)</f>
        <v>0</v>
      </c>
      <c r="AJ209" s="31">
        <f ca="1">_xll.DBRW($C$1,$C$2,$C$3,$C$4,$C$6,$C$5,$C$7,AJ$1,AJ$2,$A209)</f>
        <v>0</v>
      </c>
      <c r="AK209" s="31">
        <f ca="1">_xll.DBRW($C$1,$C$2,$C$3,$C$4,$C$6,$C$5,$C$7,AK$1,AK$2,$A209)</f>
        <v>0</v>
      </c>
      <c r="AL209" s="31">
        <f ca="1">_xll.DBRW($C$1,$C$2,$C$3,$C$4,$C$6,$C$5,$C$7,AL$1,AL$2,$A209)</f>
        <v>0</v>
      </c>
      <c r="AM209" s="31">
        <f ca="1">_xll.DBRW($C$1,$C$2,$C$3,$C$4,$C$6,$C$5,$C$7,AM$1,AM$2,$A209)</f>
        <v>0</v>
      </c>
      <c r="AN209" s="31">
        <f ca="1">_xll.DBRW($C$1,$C$2,$C$3,$C$4,$C$6,$C$5,$C$7,AN$1,AN$2,$A209)</f>
        <v>0</v>
      </c>
      <c r="AO209" s="31">
        <f ca="1">_xll.DBRW($C$1,$C$2,$C$3,$C$4,$C$6,$C$5,$C$7,AO$1,AO$2,$A209)</f>
        <v>0</v>
      </c>
      <c r="AP209" s="31">
        <f ca="1">_xll.DBRW($C$1,$C$2,$C$3,$C$4,$C$6,$C$5,$C$7,AP$1,AP$2,$A209)</f>
        <v>0</v>
      </c>
      <c r="AQ209" s="31">
        <f ca="1">_xll.DBRW($C$1,$C$2,$C$3,$C$4,$C$6,$C$5,$C$7,AQ$1,AQ$2,$A209)</f>
        <v>0</v>
      </c>
      <c r="AR209" s="31">
        <f ca="1">_xll.DBRW($C$1,$C$2,$C$3,$C$4,$C$6,$C$5,$C$7,AR$1,AR$2,$A209)</f>
        <v>0</v>
      </c>
      <c r="AS209" s="31">
        <f ca="1">_xll.DBRW($C$1,$C$2,$C$3,$C$4,$C$6,$C$5,$C$7,AS$1,AS$2,$A209)</f>
        <v>0</v>
      </c>
      <c r="AT209" s="31">
        <f ca="1">_xll.DBRW($C$1,$C$2,$C$3,$C$4,$C$6,$C$5,$C$7,AT$1,AT$2,$A209)</f>
        <v>0</v>
      </c>
      <c r="AU209" s="31">
        <f ca="1">_xll.DBRW($C$1,$C$2,$C$3,$C$4,$C$6,$C$5,$C$7,AU$1,AU$2,$A209)</f>
        <v>0</v>
      </c>
    </row>
    <row r="210" spans="1:47" ht="15.75" hidden="1" customHeight="1" outlineLevel="1">
      <c r="A210" s="1" t="s">
        <v>286</v>
      </c>
      <c r="C210" s="141"/>
      <c r="E210" s="9" t="str">
        <f ca="1">_xll.DBRW(Server&amp;"}ElementAttributes_Indicator",A210,"code_English")</f>
        <v>PL1165_XX - Vector Reconciliation (TPL11) - Restructuring costs</v>
      </c>
      <c r="F210" s="31">
        <f ca="1">_xll.DBRW($C$1,$C$2,$C$3,$C$4,$C$6,$C$5,$C$7,F$1,F$2,$A210)</f>
        <v>0</v>
      </c>
      <c r="G210" s="31">
        <f ca="1">_xll.DBRW($C$1,$C$2,$C$3,$C$4,$C$6,$C$5,$C$7,G$1,G$2,$A210)</f>
        <v>0</v>
      </c>
      <c r="H210" s="31">
        <f ca="1">_xll.DBRW($C$1,$C$2,$C$3,$C$4,$C$6,$C$5,$C$7,H$1,H$2,$A210)</f>
        <v>0</v>
      </c>
      <c r="I210" s="31">
        <f ca="1">_xll.DBRW($C$1,$C$2,$C$3,$C$4,$C$6,$C$5,$C$7,I$1,I$2,$A210)</f>
        <v>0</v>
      </c>
      <c r="J210" s="31">
        <f ca="1">_xll.DBRW($C$1,$C$2,$C$3,$C$4,$C$6,$C$5,$C$7,J$1,J$2,$A210)</f>
        <v>0</v>
      </c>
      <c r="K210" s="31">
        <f ca="1">_xll.DBRW($C$1,$C$2,$C$3,$C$4,$C$6,$C$5,$C$7,K$1,K$2,$A210)</f>
        <v>0</v>
      </c>
      <c r="L210" s="31">
        <f ca="1">_xll.DBRW($C$1,$C$2,$C$3,$C$4,$C$6,$C$5,$C$7,L$1,L$2,$A210)</f>
        <v>0</v>
      </c>
      <c r="M210" s="31">
        <f ca="1">_xll.DBRW($C$1,$C$2,$C$3,$C$4,$C$6,$C$5,$C$7,M$1,M$2,$A210)</f>
        <v>0</v>
      </c>
      <c r="N210" s="31">
        <f ca="1">_xll.DBRW($C$1,$C$2,$C$3,$C$4,$C$6,$C$5,$C$7,N$1,N$2,$A210)</f>
        <v>0</v>
      </c>
      <c r="O210" s="31">
        <f ca="1">_xll.DBRW($C$1,$C$2,$C$3,$C$4,$C$6,$C$5,$C$7,O$1,O$2,$A210)</f>
        <v>0</v>
      </c>
      <c r="P210" s="31">
        <f ca="1">_xll.DBRW($C$1,$C$2,$C$3,$C$4,$C$6,$C$5,$C$7,P$1,P$2,$A210)</f>
        <v>0</v>
      </c>
      <c r="Q210" s="31">
        <f ca="1">_xll.DBRW($C$1,$C$2,$C$3,$C$4,$C$6,$C$5,$C$7,Q$1,Q$2,$A210)</f>
        <v>0</v>
      </c>
      <c r="R210" s="31">
        <f ca="1">_xll.DBRW($C$1,$C$2,$C$3,$C$4,$C$6,$C$5,$C$7,R$1,R$2,$A210)</f>
        <v>0</v>
      </c>
      <c r="S210" s="31">
        <f ca="1">_xll.DBRW($C$1,$C$2,$C$3,$C$4,$C$6,$C$5,$C$7,S$1,S$2,$A210)</f>
        <v>0</v>
      </c>
      <c r="T210" s="31">
        <f ca="1">_xll.DBRW($C$1,$C$2,$C$3,$C$4,$C$6,$C$5,$C$7,T$1,T$2,$A210)</f>
        <v>0</v>
      </c>
      <c r="U210" s="31">
        <f ca="1">_xll.DBRW($C$1,$C$2,$C$3,$C$4,$C$6,$C$5,$C$7,U$1,U$2,$A210)</f>
        <v>0</v>
      </c>
      <c r="V210" s="31">
        <f ca="1">_xll.DBRW($C$1,$C$2,$C$3,$C$4,$C$6,$C$5,$C$7,V$1,V$2,$A210)</f>
        <v>0</v>
      </c>
      <c r="W210" s="31">
        <f ca="1">_xll.DBRW($C$1,$C$2,$C$3,$C$4,$C$6,$C$5,$C$7,W$1,W$2,$A210)</f>
        <v>0</v>
      </c>
      <c r="X210" s="31">
        <f ca="1">_xll.DBRW($C$1,$C$2,$C$3,$C$4,$C$6,$C$5,$C$7,X$1,X$2,$A210)</f>
        <v>0</v>
      </c>
      <c r="Y210" s="31">
        <f ca="1">_xll.DBRW($C$1,$C$2,$C$3,$C$4,$C$6,$C$5,$C$7,Y$1,Y$2,$A210)</f>
        <v>0</v>
      </c>
      <c r="Z210" s="31">
        <f ca="1">_xll.DBRW($C$1,$C$2,$C$3,$C$4,$C$6,$C$5,$C$7,Z$1,Z$2,$A210)</f>
        <v>0</v>
      </c>
      <c r="AA210" s="31">
        <f ca="1">_xll.DBRW($C$1,$C$2,$C$3,$C$4,$C$6,$C$5,$C$7,AA$1,AA$2,$A210)</f>
        <v>0</v>
      </c>
      <c r="AB210" s="31">
        <f ca="1">_xll.DBRW($C$1,$C$2,$C$3,$C$4,$C$6,$C$5,$C$7,AB$1,AB$2,$A210)</f>
        <v>0</v>
      </c>
      <c r="AC210" s="31">
        <f ca="1">_xll.DBRW($C$1,$C$2,$C$3,$C$4,$C$6,$C$5,$C$7,AC$1,AC$2,$A210)</f>
        <v>0</v>
      </c>
      <c r="AD210" s="31">
        <f ca="1">_xll.DBRW($C$1,$C$2,$C$3,$C$4,$C$6,$C$5,$C$7,AD$1,AD$2,$A210)</f>
        <v>0</v>
      </c>
      <c r="AE210" s="31">
        <f ca="1">_xll.DBRW($C$1,$C$2,$C$3,$C$4,$C$6,$C$5,$C$7,AE$1,AE$2,$A210)</f>
        <v>0</v>
      </c>
      <c r="AF210" s="31">
        <f ca="1">_xll.DBRW($C$1,$C$2,$C$3,$C$4,$C$6,$C$5,$C$7,AF$1,AF$2,$A210)</f>
        <v>0</v>
      </c>
      <c r="AG210" s="31">
        <f ca="1">_xll.DBRW($C$1,$C$2,$C$3,$C$4,$C$6,$C$5,$C$7,AG$1,AG$2,$A210)</f>
        <v>0</v>
      </c>
      <c r="AH210" s="31">
        <f ca="1">_xll.DBRW($C$1,$C$2,$C$3,$C$4,$C$6,$C$5,$C$7,AH$1,AH$2,$A210)</f>
        <v>0</v>
      </c>
      <c r="AI210" s="31">
        <f ca="1">_xll.DBRW($C$1,$C$2,$C$3,$C$4,$C$6,$C$5,$C$7,AI$1,AI$2,$A210)</f>
        <v>0</v>
      </c>
      <c r="AJ210" s="31">
        <f ca="1">_xll.DBRW($C$1,$C$2,$C$3,$C$4,$C$6,$C$5,$C$7,AJ$1,AJ$2,$A210)</f>
        <v>0</v>
      </c>
      <c r="AK210" s="31">
        <f ca="1">_xll.DBRW($C$1,$C$2,$C$3,$C$4,$C$6,$C$5,$C$7,AK$1,AK$2,$A210)</f>
        <v>0</v>
      </c>
      <c r="AL210" s="31">
        <f ca="1">_xll.DBRW($C$1,$C$2,$C$3,$C$4,$C$6,$C$5,$C$7,AL$1,AL$2,$A210)</f>
        <v>0</v>
      </c>
      <c r="AM210" s="31">
        <f ca="1">_xll.DBRW($C$1,$C$2,$C$3,$C$4,$C$6,$C$5,$C$7,AM$1,AM$2,$A210)</f>
        <v>0</v>
      </c>
      <c r="AN210" s="31">
        <f ca="1">_xll.DBRW($C$1,$C$2,$C$3,$C$4,$C$6,$C$5,$C$7,AN$1,AN$2,$A210)</f>
        <v>0</v>
      </c>
      <c r="AO210" s="31">
        <f ca="1">_xll.DBRW($C$1,$C$2,$C$3,$C$4,$C$6,$C$5,$C$7,AO$1,AO$2,$A210)</f>
        <v>0</v>
      </c>
      <c r="AP210" s="31">
        <f ca="1">_xll.DBRW($C$1,$C$2,$C$3,$C$4,$C$6,$C$5,$C$7,AP$1,AP$2,$A210)</f>
        <v>0</v>
      </c>
      <c r="AQ210" s="31">
        <f ca="1">_xll.DBRW($C$1,$C$2,$C$3,$C$4,$C$6,$C$5,$C$7,AQ$1,AQ$2,$A210)</f>
        <v>0</v>
      </c>
      <c r="AR210" s="31">
        <f ca="1">_xll.DBRW($C$1,$C$2,$C$3,$C$4,$C$6,$C$5,$C$7,AR$1,AR$2,$A210)</f>
        <v>0</v>
      </c>
      <c r="AS210" s="31">
        <f ca="1">_xll.DBRW($C$1,$C$2,$C$3,$C$4,$C$6,$C$5,$C$7,AS$1,AS$2,$A210)</f>
        <v>0</v>
      </c>
      <c r="AT210" s="31">
        <f ca="1">_xll.DBRW($C$1,$C$2,$C$3,$C$4,$C$6,$C$5,$C$7,AT$1,AT$2,$A210)</f>
        <v>0</v>
      </c>
      <c r="AU210" s="31">
        <f ca="1">_xll.DBRW($C$1,$C$2,$C$3,$C$4,$C$6,$C$5,$C$7,AU$1,AU$2,$A210)</f>
        <v>0</v>
      </c>
    </row>
    <row r="211" spans="1:47" ht="15.75" hidden="1" customHeight="1" outlineLevel="1">
      <c r="A211" s="1" t="s">
        <v>287</v>
      </c>
      <c r="C211" s="141"/>
      <c r="E211" s="9" t="str">
        <f ca="1">_xll.DBRW(Server&amp;"}ElementAttributes_Indicator",A211,"code_English")</f>
        <v>PL1170_XX - Vector Reconciliation (TPL11) - Net provisions for restructuring costs</v>
      </c>
      <c r="F211" s="31">
        <f ca="1">_xll.DBRW($C$1,$C$2,$C$3,$C$4,$C$6,$C$5,$C$7,F$1,F$2,$A211)</f>
        <v>0</v>
      </c>
      <c r="G211" s="31">
        <f ca="1">_xll.DBRW($C$1,$C$2,$C$3,$C$4,$C$6,$C$5,$C$7,G$1,G$2,$A211)</f>
        <v>0</v>
      </c>
      <c r="H211" s="31">
        <f ca="1">_xll.DBRW($C$1,$C$2,$C$3,$C$4,$C$6,$C$5,$C$7,H$1,H$2,$A211)</f>
        <v>0</v>
      </c>
      <c r="I211" s="31">
        <f ca="1">_xll.DBRW($C$1,$C$2,$C$3,$C$4,$C$6,$C$5,$C$7,I$1,I$2,$A211)</f>
        <v>0</v>
      </c>
      <c r="J211" s="31">
        <f ca="1">_xll.DBRW($C$1,$C$2,$C$3,$C$4,$C$6,$C$5,$C$7,J$1,J$2,$A211)</f>
        <v>0</v>
      </c>
      <c r="K211" s="31">
        <f ca="1">_xll.DBRW($C$1,$C$2,$C$3,$C$4,$C$6,$C$5,$C$7,K$1,K$2,$A211)</f>
        <v>0</v>
      </c>
      <c r="L211" s="31">
        <f ca="1">_xll.DBRW($C$1,$C$2,$C$3,$C$4,$C$6,$C$5,$C$7,L$1,L$2,$A211)</f>
        <v>0</v>
      </c>
      <c r="M211" s="31">
        <f ca="1">_xll.DBRW($C$1,$C$2,$C$3,$C$4,$C$6,$C$5,$C$7,M$1,M$2,$A211)</f>
        <v>0</v>
      </c>
      <c r="N211" s="31">
        <f ca="1">_xll.DBRW($C$1,$C$2,$C$3,$C$4,$C$6,$C$5,$C$7,N$1,N$2,$A211)</f>
        <v>0</v>
      </c>
      <c r="O211" s="31">
        <f ca="1">_xll.DBRW($C$1,$C$2,$C$3,$C$4,$C$6,$C$5,$C$7,O$1,O$2,$A211)</f>
        <v>0</v>
      </c>
      <c r="P211" s="31">
        <f ca="1">_xll.DBRW($C$1,$C$2,$C$3,$C$4,$C$6,$C$5,$C$7,P$1,P$2,$A211)</f>
        <v>0</v>
      </c>
      <c r="Q211" s="31">
        <f ca="1">_xll.DBRW($C$1,$C$2,$C$3,$C$4,$C$6,$C$5,$C$7,Q$1,Q$2,$A211)</f>
        <v>0</v>
      </c>
      <c r="R211" s="31">
        <f ca="1">_xll.DBRW($C$1,$C$2,$C$3,$C$4,$C$6,$C$5,$C$7,R$1,R$2,$A211)</f>
        <v>0</v>
      </c>
      <c r="S211" s="31">
        <f ca="1">_xll.DBRW($C$1,$C$2,$C$3,$C$4,$C$6,$C$5,$C$7,S$1,S$2,$A211)</f>
        <v>0</v>
      </c>
      <c r="T211" s="31">
        <f ca="1">_xll.DBRW($C$1,$C$2,$C$3,$C$4,$C$6,$C$5,$C$7,T$1,T$2,$A211)</f>
        <v>0</v>
      </c>
      <c r="U211" s="31">
        <f ca="1">_xll.DBRW($C$1,$C$2,$C$3,$C$4,$C$6,$C$5,$C$7,U$1,U$2,$A211)</f>
        <v>0</v>
      </c>
      <c r="V211" s="31">
        <f ca="1">_xll.DBRW($C$1,$C$2,$C$3,$C$4,$C$6,$C$5,$C$7,V$1,V$2,$A211)</f>
        <v>0</v>
      </c>
      <c r="W211" s="31">
        <f ca="1">_xll.DBRW($C$1,$C$2,$C$3,$C$4,$C$6,$C$5,$C$7,W$1,W$2,$A211)</f>
        <v>0</v>
      </c>
      <c r="X211" s="31">
        <f ca="1">_xll.DBRW($C$1,$C$2,$C$3,$C$4,$C$6,$C$5,$C$7,X$1,X$2,$A211)</f>
        <v>0</v>
      </c>
      <c r="Y211" s="31">
        <f ca="1">_xll.DBRW($C$1,$C$2,$C$3,$C$4,$C$6,$C$5,$C$7,Y$1,Y$2,$A211)</f>
        <v>0</v>
      </c>
      <c r="Z211" s="31">
        <f ca="1">_xll.DBRW($C$1,$C$2,$C$3,$C$4,$C$6,$C$5,$C$7,Z$1,Z$2,$A211)</f>
        <v>0</v>
      </c>
      <c r="AA211" s="31">
        <f ca="1">_xll.DBRW($C$1,$C$2,$C$3,$C$4,$C$6,$C$5,$C$7,AA$1,AA$2,$A211)</f>
        <v>0</v>
      </c>
      <c r="AB211" s="31">
        <f ca="1">_xll.DBRW($C$1,$C$2,$C$3,$C$4,$C$6,$C$5,$C$7,AB$1,AB$2,$A211)</f>
        <v>0</v>
      </c>
      <c r="AC211" s="31">
        <f ca="1">_xll.DBRW($C$1,$C$2,$C$3,$C$4,$C$6,$C$5,$C$7,AC$1,AC$2,$A211)</f>
        <v>0</v>
      </c>
      <c r="AD211" s="31">
        <f ca="1">_xll.DBRW($C$1,$C$2,$C$3,$C$4,$C$6,$C$5,$C$7,AD$1,AD$2,$A211)</f>
        <v>0</v>
      </c>
      <c r="AE211" s="31">
        <f ca="1">_xll.DBRW($C$1,$C$2,$C$3,$C$4,$C$6,$C$5,$C$7,AE$1,AE$2,$A211)</f>
        <v>0</v>
      </c>
      <c r="AF211" s="31">
        <f ca="1">_xll.DBRW($C$1,$C$2,$C$3,$C$4,$C$6,$C$5,$C$7,AF$1,AF$2,$A211)</f>
        <v>0</v>
      </c>
      <c r="AG211" s="31">
        <f ca="1">_xll.DBRW($C$1,$C$2,$C$3,$C$4,$C$6,$C$5,$C$7,AG$1,AG$2,$A211)</f>
        <v>0</v>
      </c>
      <c r="AH211" s="31">
        <f ca="1">_xll.DBRW($C$1,$C$2,$C$3,$C$4,$C$6,$C$5,$C$7,AH$1,AH$2,$A211)</f>
        <v>0</v>
      </c>
      <c r="AI211" s="31">
        <f ca="1">_xll.DBRW($C$1,$C$2,$C$3,$C$4,$C$6,$C$5,$C$7,AI$1,AI$2,$A211)</f>
        <v>0</v>
      </c>
      <c r="AJ211" s="31">
        <f ca="1">_xll.DBRW($C$1,$C$2,$C$3,$C$4,$C$6,$C$5,$C$7,AJ$1,AJ$2,$A211)</f>
        <v>0</v>
      </c>
      <c r="AK211" s="31">
        <f ca="1">_xll.DBRW($C$1,$C$2,$C$3,$C$4,$C$6,$C$5,$C$7,AK$1,AK$2,$A211)</f>
        <v>0</v>
      </c>
      <c r="AL211" s="31">
        <f ca="1">_xll.DBRW($C$1,$C$2,$C$3,$C$4,$C$6,$C$5,$C$7,AL$1,AL$2,$A211)</f>
        <v>0</v>
      </c>
      <c r="AM211" s="31">
        <f ca="1">_xll.DBRW($C$1,$C$2,$C$3,$C$4,$C$6,$C$5,$C$7,AM$1,AM$2,$A211)</f>
        <v>0</v>
      </c>
      <c r="AN211" s="31">
        <f ca="1">_xll.DBRW($C$1,$C$2,$C$3,$C$4,$C$6,$C$5,$C$7,AN$1,AN$2,$A211)</f>
        <v>0</v>
      </c>
      <c r="AO211" s="31">
        <f ca="1">_xll.DBRW($C$1,$C$2,$C$3,$C$4,$C$6,$C$5,$C$7,AO$1,AO$2,$A211)</f>
        <v>0</v>
      </c>
      <c r="AP211" s="31">
        <f ca="1">_xll.DBRW($C$1,$C$2,$C$3,$C$4,$C$6,$C$5,$C$7,AP$1,AP$2,$A211)</f>
        <v>0</v>
      </c>
      <c r="AQ211" s="31">
        <f ca="1">_xll.DBRW($C$1,$C$2,$C$3,$C$4,$C$6,$C$5,$C$7,AQ$1,AQ$2,$A211)</f>
        <v>0</v>
      </c>
      <c r="AR211" s="31">
        <f ca="1">_xll.DBRW($C$1,$C$2,$C$3,$C$4,$C$6,$C$5,$C$7,AR$1,AR$2,$A211)</f>
        <v>0</v>
      </c>
      <c r="AS211" s="31">
        <f ca="1">_xll.DBRW($C$1,$C$2,$C$3,$C$4,$C$6,$C$5,$C$7,AS$1,AS$2,$A211)</f>
        <v>0</v>
      </c>
      <c r="AT211" s="31">
        <f ca="1">_xll.DBRW($C$1,$C$2,$C$3,$C$4,$C$6,$C$5,$C$7,AT$1,AT$2,$A211)</f>
        <v>0</v>
      </c>
      <c r="AU211" s="31">
        <f ca="1">_xll.DBRW($C$1,$C$2,$C$3,$C$4,$C$6,$C$5,$C$7,AU$1,AU$2,$A211)</f>
        <v>0</v>
      </c>
    </row>
    <row r="212" spans="1:47" ht="15.75" hidden="1" customHeight="1" outlineLevel="1">
      <c r="A212" s="1" t="s">
        <v>288</v>
      </c>
      <c r="C212" s="141"/>
      <c r="E212" s="9" t="str">
        <f ca="1">_xll.DBRW(Server&amp;"}ElementAttributes_Indicator",A212,"code_English")</f>
        <v>PL1175_XX - Vector Reconciliation (TPL11) - Impairment on goodwill (full and proportionate consol.)</v>
      </c>
      <c r="F212" s="31">
        <f ca="1">_xll.DBRW($C$1,$C$2,$C$3,$C$4,$C$6,$C$5,$C$7,F$1,F$2,$A212)</f>
        <v>0</v>
      </c>
      <c r="G212" s="31">
        <f ca="1">_xll.DBRW($C$1,$C$2,$C$3,$C$4,$C$6,$C$5,$C$7,G$1,G$2,$A212)</f>
        <v>0</v>
      </c>
      <c r="H212" s="31">
        <f ca="1">_xll.DBRW($C$1,$C$2,$C$3,$C$4,$C$6,$C$5,$C$7,H$1,H$2,$A212)</f>
        <v>0</v>
      </c>
      <c r="I212" s="31">
        <f ca="1">_xll.DBRW($C$1,$C$2,$C$3,$C$4,$C$6,$C$5,$C$7,I$1,I$2,$A212)</f>
        <v>0</v>
      </c>
      <c r="J212" s="31">
        <f ca="1">_xll.DBRW($C$1,$C$2,$C$3,$C$4,$C$6,$C$5,$C$7,J$1,J$2,$A212)</f>
        <v>0</v>
      </c>
      <c r="K212" s="31">
        <f ca="1">_xll.DBRW($C$1,$C$2,$C$3,$C$4,$C$6,$C$5,$C$7,K$1,K$2,$A212)</f>
        <v>0</v>
      </c>
      <c r="L212" s="31">
        <f ca="1">_xll.DBRW($C$1,$C$2,$C$3,$C$4,$C$6,$C$5,$C$7,L$1,L$2,$A212)</f>
        <v>0</v>
      </c>
      <c r="M212" s="31">
        <f ca="1">_xll.DBRW($C$1,$C$2,$C$3,$C$4,$C$6,$C$5,$C$7,M$1,M$2,$A212)</f>
        <v>0</v>
      </c>
      <c r="N212" s="31">
        <f ca="1">_xll.DBRW($C$1,$C$2,$C$3,$C$4,$C$6,$C$5,$C$7,N$1,N$2,$A212)</f>
        <v>0</v>
      </c>
      <c r="O212" s="31">
        <f ca="1">_xll.DBRW($C$1,$C$2,$C$3,$C$4,$C$6,$C$5,$C$7,O$1,O$2,$A212)</f>
        <v>0</v>
      </c>
      <c r="P212" s="31">
        <f ca="1">_xll.DBRW($C$1,$C$2,$C$3,$C$4,$C$6,$C$5,$C$7,P$1,P$2,$A212)</f>
        <v>0</v>
      </c>
      <c r="Q212" s="31">
        <f ca="1">_xll.DBRW($C$1,$C$2,$C$3,$C$4,$C$6,$C$5,$C$7,Q$1,Q$2,$A212)</f>
        <v>0</v>
      </c>
      <c r="R212" s="31">
        <f ca="1">_xll.DBRW($C$1,$C$2,$C$3,$C$4,$C$6,$C$5,$C$7,R$1,R$2,$A212)</f>
        <v>0</v>
      </c>
      <c r="S212" s="31">
        <f ca="1">_xll.DBRW($C$1,$C$2,$C$3,$C$4,$C$6,$C$5,$C$7,S$1,S$2,$A212)</f>
        <v>0</v>
      </c>
      <c r="T212" s="31">
        <f ca="1">_xll.DBRW($C$1,$C$2,$C$3,$C$4,$C$6,$C$5,$C$7,T$1,T$2,$A212)</f>
        <v>0</v>
      </c>
      <c r="U212" s="31">
        <f ca="1">_xll.DBRW($C$1,$C$2,$C$3,$C$4,$C$6,$C$5,$C$7,U$1,U$2,$A212)</f>
        <v>0</v>
      </c>
      <c r="V212" s="31">
        <f ca="1">_xll.DBRW($C$1,$C$2,$C$3,$C$4,$C$6,$C$5,$C$7,V$1,V$2,$A212)</f>
        <v>0</v>
      </c>
      <c r="W212" s="31">
        <f ca="1">_xll.DBRW($C$1,$C$2,$C$3,$C$4,$C$6,$C$5,$C$7,W$1,W$2,$A212)</f>
        <v>0</v>
      </c>
      <c r="X212" s="31">
        <f ca="1">_xll.DBRW($C$1,$C$2,$C$3,$C$4,$C$6,$C$5,$C$7,X$1,X$2,$A212)</f>
        <v>0</v>
      </c>
      <c r="Y212" s="31">
        <f ca="1">_xll.DBRW($C$1,$C$2,$C$3,$C$4,$C$6,$C$5,$C$7,Y$1,Y$2,$A212)</f>
        <v>0</v>
      </c>
      <c r="Z212" s="31">
        <f ca="1">_xll.DBRW($C$1,$C$2,$C$3,$C$4,$C$6,$C$5,$C$7,Z$1,Z$2,$A212)</f>
        <v>0</v>
      </c>
      <c r="AA212" s="31">
        <f ca="1">_xll.DBRW($C$1,$C$2,$C$3,$C$4,$C$6,$C$5,$C$7,AA$1,AA$2,$A212)</f>
        <v>0</v>
      </c>
      <c r="AB212" s="31">
        <f ca="1">_xll.DBRW($C$1,$C$2,$C$3,$C$4,$C$6,$C$5,$C$7,AB$1,AB$2,$A212)</f>
        <v>0</v>
      </c>
      <c r="AC212" s="31">
        <f ca="1">_xll.DBRW($C$1,$C$2,$C$3,$C$4,$C$6,$C$5,$C$7,AC$1,AC$2,$A212)</f>
        <v>0</v>
      </c>
      <c r="AD212" s="31">
        <f ca="1">_xll.DBRW($C$1,$C$2,$C$3,$C$4,$C$6,$C$5,$C$7,AD$1,AD$2,$A212)</f>
        <v>0</v>
      </c>
      <c r="AE212" s="31">
        <f ca="1">_xll.DBRW($C$1,$C$2,$C$3,$C$4,$C$6,$C$5,$C$7,AE$1,AE$2,$A212)</f>
        <v>0</v>
      </c>
      <c r="AF212" s="31">
        <f ca="1">_xll.DBRW($C$1,$C$2,$C$3,$C$4,$C$6,$C$5,$C$7,AF$1,AF$2,$A212)</f>
        <v>0</v>
      </c>
      <c r="AG212" s="31">
        <f ca="1">_xll.DBRW($C$1,$C$2,$C$3,$C$4,$C$6,$C$5,$C$7,AG$1,AG$2,$A212)</f>
        <v>0</v>
      </c>
      <c r="AH212" s="31">
        <f ca="1">_xll.DBRW($C$1,$C$2,$C$3,$C$4,$C$6,$C$5,$C$7,AH$1,AH$2,$A212)</f>
        <v>0</v>
      </c>
      <c r="AI212" s="31">
        <f ca="1">_xll.DBRW($C$1,$C$2,$C$3,$C$4,$C$6,$C$5,$C$7,AI$1,AI$2,$A212)</f>
        <v>0</v>
      </c>
      <c r="AJ212" s="31">
        <f ca="1">_xll.DBRW($C$1,$C$2,$C$3,$C$4,$C$6,$C$5,$C$7,AJ$1,AJ$2,$A212)</f>
        <v>0</v>
      </c>
      <c r="AK212" s="31">
        <f ca="1">_xll.DBRW($C$1,$C$2,$C$3,$C$4,$C$6,$C$5,$C$7,AK$1,AK$2,$A212)</f>
        <v>0</v>
      </c>
      <c r="AL212" s="31">
        <f ca="1">_xll.DBRW($C$1,$C$2,$C$3,$C$4,$C$6,$C$5,$C$7,AL$1,AL$2,$A212)</f>
        <v>0</v>
      </c>
      <c r="AM212" s="31">
        <f ca="1">_xll.DBRW($C$1,$C$2,$C$3,$C$4,$C$6,$C$5,$C$7,AM$1,AM$2,$A212)</f>
        <v>0</v>
      </c>
      <c r="AN212" s="31">
        <f ca="1">_xll.DBRW($C$1,$C$2,$C$3,$C$4,$C$6,$C$5,$C$7,AN$1,AN$2,$A212)</f>
        <v>0</v>
      </c>
      <c r="AO212" s="31">
        <f ca="1">_xll.DBRW($C$1,$C$2,$C$3,$C$4,$C$6,$C$5,$C$7,AO$1,AO$2,$A212)</f>
        <v>0</v>
      </c>
      <c r="AP212" s="31">
        <f ca="1">_xll.DBRW($C$1,$C$2,$C$3,$C$4,$C$6,$C$5,$C$7,AP$1,AP$2,$A212)</f>
        <v>0</v>
      </c>
      <c r="AQ212" s="31">
        <f ca="1">_xll.DBRW($C$1,$C$2,$C$3,$C$4,$C$6,$C$5,$C$7,AQ$1,AQ$2,$A212)</f>
        <v>0</v>
      </c>
      <c r="AR212" s="31">
        <f ca="1">_xll.DBRW($C$1,$C$2,$C$3,$C$4,$C$6,$C$5,$C$7,AR$1,AR$2,$A212)</f>
        <v>0</v>
      </c>
      <c r="AS212" s="31">
        <f ca="1">_xll.DBRW($C$1,$C$2,$C$3,$C$4,$C$6,$C$5,$C$7,AS$1,AS$2,$A212)</f>
        <v>0</v>
      </c>
      <c r="AT212" s="31">
        <f ca="1">_xll.DBRW($C$1,$C$2,$C$3,$C$4,$C$6,$C$5,$C$7,AT$1,AT$2,$A212)</f>
        <v>0</v>
      </c>
      <c r="AU212" s="31">
        <f ca="1">_xll.DBRW($C$1,$C$2,$C$3,$C$4,$C$6,$C$5,$C$7,AU$1,AU$2,$A212)</f>
        <v>0</v>
      </c>
    </row>
    <row r="213" spans="1:47" ht="15.75" hidden="1" customHeight="1" outlineLevel="1">
      <c r="A213" s="1" t="s">
        <v>289</v>
      </c>
      <c r="C213" s="141"/>
      <c r="E213" s="9" t="str">
        <f ca="1">_xll.DBRW(Server&amp;"}ElementAttributes_Indicator",A213,"code_English")</f>
        <v>PL1180_XX - Vector Reconciliation (TPL11) - Fair value gain/loss on deriv instr related to oper activ excl I12&amp;I4</v>
      </c>
      <c r="F213" s="31">
        <f ca="1">_xll.DBRW($C$1,$C$2,$C$3,$C$4,$C$6,$C$5,$C$7,F$1,F$2,$A213)</f>
        <v>0</v>
      </c>
      <c r="G213" s="31">
        <f ca="1">_xll.DBRW($C$1,$C$2,$C$3,$C$4,$C$6,$C$5,$C$7,G$1,G$2,$A213)</f>
        <v>0</v>
      </c>
      <c r="H213" s="31">
        <f ca="1">_xll.DBRW($C$1,$C$2,$C$3,$C$4,$C$6,$C$5,$C$7,H$1,H$2,$A213)</f>
        <v>0</v>
      </c>
      <c r="I213" s="31">
        <f ca="1">_xll.DBRW($C$1,$C$2,$C$3,$C$4,$C$6,$C$5,$C$7,I$1,I$2,$A213)</f>
        <v>0</v>
      </c>
      <c r="J213" s="31">
        <f ca="1">_xll.DBRW($C$1,$C$2,$C$3,$C$4,$C$6,$C$5,$C$7,J$1,J$2,$A213)</f>
        <v>0</v>
      </c>
      <c r="K213" s="31">
        <f ca="1">_xll.DBRW($C$1,$C$2,$C$3,$C$4,$C$6,$C$5,$C$7,K$1,K$2,$A213)</f>
        <v>0</v>
      </c>
      <c r="L213" s="31">
        <f ca="1">_xll.DBRW($C$1,$C$2,$C$3,$C$4,$C$6,$C$5,$C$7,L$1,L$2,$A213)</f>
        <v>0</v>
      </c>
      <c r="M213" s="31">
        <f ca="1">_xll.DBRW($C$1,$C$2,$C$3,$C$4,$C$6,$C$5,$C$7,M$1,M$2,$A213)</f>
        <v>0</v>
      </c>
      <c r="N213" s="31">
        <f ca="1">_xll.DBRW($C$1,$C$2,$C$3,$C$4,$C$6,$C$5,$C$7,N$1,N$2,$A213)</f>
        <v>0</v>
      </c>
      <c r="O213" s="31">
        <f ca="1">_xll.DBRW($C$1,$C$2,$C$3,$C$4,$C$6,$C$5,$C$7,O$1,O$2,$A213)</f>
        <v>0</v>
      </c>
      <c r="P213" s="31">
        <f ca="1">_xll.DBRW($C$1,$C$2,$C$3,$C$4,$C$6,$C$5,$C$7,P$1,P$2,$A213)</f>
        <v>0</v>
      </c>
      <c r="Q213" s="31">
        <f ca="1">_xll.DBRW($C$1,$C$2,$C$3,$C$4,$C$6,$C$5,$C$7,Q$1,Q$2,$A213)</f>
        <v>0</v>
      </c>
      <c r="R213" s="31">
        <f ca="1">_xll.DBRW($C$1,$C$2,$C$3,$C$4,$C$6,$C$5,$C$7,R$1,R$2,$A213)</f>
        <v>0</v>
      </c>
      <c r="S213" s="31">
        <f ca="1">_xll.DBRW($C$1,$C$2,$C$3,$C$4,$C$6,$C$5,$C$7,S$1,S$2,$A213)</f>
        <v>0</v>
      </c>
      <c r="T213" s="31">
        <f ca="1">_xll.DBRW($C$1,$C$2,$C$3,$C$4,$C$6,$C$5,$C$7,T$1,T$2,$A213)</f>
        <v>0</v>
      </c>
      <c r="U213" s="31">
        <f ca="1">_xll.DBRW($C$1,$C$2,$C$3,$C$4,$C$6,$C$5,$C$7,U$1,U$2,$A213)</f>
        <v>0</v>
      </c>
      <c r="V213" s="31">
        <f ca="1">_xll.DBRW($C$1,$C$2,$C$3,$C$4,$C$6,$C$5,$C$7,V$1,V$2,$A213)</f>
        <v>0</v>
      </c>
      <c r="W213" s="31">
        <f ca="1">_xll.DBRW($C$1,$C$2,$C$3,$C$4,$C$6,$C$5,$C$7,W$1,W$2,$A213)</f>
        <v>0</v>
      </c>
      <c r="X213" s="31">
        <f ca="1">_xll.DBRW($C$1,$C$2,$C$3,$C$4,$C$6,$C$5,$C$7,X$1,X$2,$A213)</f>
        <v>0</v>
      </c>
      <c r="Y213" s="31">
        <f ca="1">_xll.DBRW($C$1,$C$2,$C$3,$C$4,$C$6,$C$5,$C$7,Y$1,Y$2,$A213)</f>
        <v>0</v>
      </c>
      <c r="Z213" s="31">
        <f ca="1">_xll.DBRW($C$1,$C$2,$C$3,$C$4,$C$6,$C$5,$C$7,Z$1,Z$2,$A213)</f>
        <v>0</v>
      </c>
      <c r="AA213" s="31">
        <f ca="1">_xll.DBRW($C$1,$C$2,$C$3,$C$4,$C$6,$C$5,$C$7,AA$1,AA$2,$A213)</f>
        <v>0</v>
      </c>
      <c r="AB213" s="31">
        <f ca="1">_xll.DBRW($C$1,$C$2,$C$3,$C$4,$C$6,$C$5,$C$7,AB$1,AB$2,$A213)</f>
        <v>0</v>
      </c>
      <c r="AC213" s="31">
        <f ca="1">_xll.DBRW($C$1,$C$2,$C$3,$C$4,$C$6,$C$5,$C$7,AC$1,AC$2,$A213)</f>
        <v>0</v>
      </c>
      <c r="AD213" s="31">
        <f ca="1">_xll.DBRW($C$1,$C$2,$C$3,$C$4,$C$6,$C$5,$C$7,AD$1,AD$2,$A213)</f>
        <v>0</v>
      </c>
      <c r="AE213" s="31">
        <f ca="1">_xll.DBRW($C$1,$C$2,$C$3,$C$4,$C$6,$C$5,$C$7,AE$1,AE$2,$A213)</f>
        <v>0</v>
      </c>
      <c r="AF213" s="31">
        <f ca="1">_xll.DBRW($C$1,$C$2,$C$3,$C$4,$C$6,$C$5,$C$7,AF$1,AF$2,$A213)</f>
        <v>0</v>
      </c>
      <c r="AG213" s="31">
        <f ca="1">_xll.DBRW($C$1,$C$2,$C$3,$C$4,$C$6,$C$5,$C$7,AG$1,AG$2,$A213)</f>
        <v>0</v>
      </c>
      <c r="AH213" s="31">
        <f ca="1">_xll.DBRW($C$1,$C$2,$C$3,$C$4,$C$6,$C$5,$C$7,AH$1,AH$2,$A213)</f>
        <v>0</v>
      </c>
      <c r="AI213" s="31">
        <f ca="1">_xll.DBRW($C$1,$C$2,$C$3,$C$4,$C$6,$C$5,$C$7,AI$1,AI$2,$A213)</f>
        <v>0</v>
      </c>
      <c r="AJ213" s="31">
        <f ca="1">_xll.DBRW($C$1,$C$2,$C$3,$C$4,$C$6,$C$5,$C$7,AJ$1,AJ$2,$A213)</f>
        <v>0</v>
      </c>
      <c r="AK213" s="31">
        <f ca="1">_xll.DBRW($C$1,$C$2,$C$3,$C$4,$C$6,$C$5,$C$7,AK$1,AK$2,$A213)</f>
        <v>0</v>
      </c>
      <c r="AL213" s="31">
        <f ca="1">_xll.DBRW($C$1,$C$2,$C$3,$C$4,$C$6,$C$5,$C$7,AL$1,AL$2,$A213)</f>
        <v>0</v>
      </c>
      <c r="AM213" s="31">
        <f ca="1">_xll.DBRW($C$1,$C$2,$C$3,$C$4,$C$6,$C$5,$C$7,AM$1,AM$2,$A213)</f>
        <v>0</v>
      </c>
      <c r="AN213" s="31">
        <f ca="1">_xll.DBRW($C$1,$C$2,$C$3,$C$4,$C$6,$C$5,$C$7,AN$1,AN$2,$A213)</f>
        <v>0</v>
      </c>
      <c r="AO213" s="31">
        <f ca="1">_xll.DBRW($C$1,$C$2,$C$3,$C$4,$C$6,$C$5,$C$7,AO$1,AO$2,$A213)</f>
        <v>0</v>
      </c>
      <c r="AP213" s="31">
        <f ca="1">_xll.DBRW($C$1,$C$2,$C$3,$C$4,$C$6,$C$5,$C$7,AP$1,AP$2,$A213)</f>
        <v>0</v>
      </c>
      <c r="AQ213" s="31">
        <f ca="1">_xll.DBRW($C$1,$C$2,$C$3,$C$4,$C$6,$C$5,$C$7,AQ$1,AQ$2,$A213)</f>
        <v>0</v>
      </c>
      <c r="AR213" s="31">
        <f ca="1">_xll.DBRW($C$1,$C$2,$C$3,$C$4,$C$6,$C$5,$C$7,AR$1,AR$2,$A213)</f>
        <v>0</v>
      </c>
      <c r="AS213" s="31">
        <f ca="1">_xll.DBRW($C$1,$C$2,$C$3,$C$4,$C$6,$C$5,$C$7,AS$1,AS$2,$A213)</f>
        <v>0</v>
      </c>
      <c r="AT213" s="31">
        <f ca="1">_xll.DBRW($C$1,$C$2,$C$3,$C$4,$C$6,$C$5,$C$7,AT$1,AT$2,$A213)</f>
        <v>0</v>
      </c>
      <c r="AU213" s="31">
        <f ca="1">_xll.DBRW($C$1,$C$2,$C$3,$C$4,$C$6,$C$5,$C$7,AU$1,AU$2,$A213)</f>
        <v>0</v>
      </c>
    </row>
    <row r="214" spans="1:47" ht="15.75" hidden="1" customHeight="1" outlineLevel="1">
      <c r="A214" s="1" t="s">
        <v>290</v>
      </c>
      <c r="C214" s="141"/>
      <c r="E214" s="9" t="str">
        <f ca="1">_xll.DBRW(Server&amp;"}ElementAttributes_Indicator",A214,"code_English")</f>
        <v>PL1181_XX - Vector Reconciliation (TPL11) - Fair value gain/loss on deriv instr related to oper activ I12 fin. Receivables &amp; I4</v>
      </c>
      <c r="F214" s="31">
        <f ca="1">_xll.DBRW($C$1,$C$2,$C$3,$C$4,$C$6,$C$5,$C$7,F$1,F$2,$A214)</f>
        <v>0</v>
      </c>
      <c r="G214" s="31">
        <f ca="1">_xll.DBRW($C$1,$C$2,$C$3,$C$4,$C$6,$C$5,$C$7,G$1,G$2,$A214)</f>
        <v>0</v>
      </c>
      <c r="H214" s="31">
        <f ca="1">_xll.DBRW($C$1,$C$2,$C$3,$C$4,$C$6,$C$5,$C$7,H$1,H$2,$A214)</f>
        <v>0</v>
      </c>
      <c r="I214" s="31">
        <f ca="1">_xll.DBRW($C$1,$C$2,$C$3,$C$4,$C$6,$C$5,$C$7,I$1,I$2,$A214)</f>
        <v>0</v>
      </c>
      <c r="J214" s="31">
        <f ca="1">_xll.DBRW($C$1,$C$2,$C$3,$C$4,$C$6,$C$5,$C$7,J$1,J$2,$A214)</f>
        <v>0</v>
      </c>
      <c r="K214" s="31">
        <f ca="1">_xll.DBRW($C$1,$C$2,$C$3,$C$4,$C$6,$C$5,$C$7,K$1,K$2,$A214)</f>
        <v>0</v>
      </c>
      <c r="L214" s="31">
        <f ca="1">_xll.DBRW($C$1,$C$2,$C$3,$C$4,$C$6,$C$5,$C$7,L$1,L$2,$A214)</f>
        <v>0</v>
      </c>
      <c r="M214" s="31">
        <f ca="1">_xll.DBRW($C$1,$C$2,$C$3,$C$4,$C$6,$C$5,$C$7,M$1,M$2,$A214)</f>
        <v>0</v>
      </c>
      <c r="N214" s="31">
        <f ca="1">_xll.DBRW($C$1,$C$2,$C$3,$C$4,$C$6,$C$5,$C$7,N$1,N$2,$A214)</f>
        <v>0</v>
      </c>
      <c r="O214" s="31">
        <f ca="1">_xll.DBRW($C$1,$C$2,$C$3,$C$4,$C$6,$C$5,$C$7,O$1,O$2,$A214)</f>
        <v>0</v>
      </c>
      <c r="P214" s="31">
        <f ca="1">_xll.DBRW($C$1,$C$2,$C$3,$C$4,$C$6,$C$5,$C$7,P$1,P$2,$A214)</f>
        <v>0</v>
      </c>
      <c r="Q214" s="31">
        <f ca="1">_xll.DBRW($C$1,$C$2,$C$3,$C$4,$C$6,$C$5,$C$7,Q$1,Q$2,$A214)</f>
        <v>0</v>
      </c>
      <c r="R214" s="31">
        <f ca="1">_xll.DBRW($C$1,$C$2,$C$3,$C$4,$C$6,$C$5,$C$7,R$1,R$2,$A214)</f>
        <v>0</v>
      </c>
      <c r="S214" s="31">
        <f ca="1">_xll.DBRW($C$1,$C$2,$C$3,$C$4,$C$6,$C$5,$C$7,S$1,S$2,$A214)</f>
        <v>0</v>
      </c>
      <c r="T214" s="31">
        <f ca="1">_xll.DBRW($C$1,$C$2,$C$3,$C$4,$C$6,$C$5,$C$7,T$1,T$2,$A214)</f>
        <v>0</v>
      </c>
      <c r="U214" s="31">
        <f ca="1">_xll.DBRW($C$1,$C$2,$C$3,$C$4,$C$6,$C$5,$C$7,U$1,U$2,$A214)</f>
        <v>0</v>
      </c>
      <c r="V214" s="31">
        <f ca="1">_xll.DBRW($C$1,$C$2,$C$3,$C$4,$C$6,$C$5,$C$7,V$1,V$2,$A214)</f>
        <v>0</v>
      </c>
      <c r="W214" s="31">
        <f ca="1">_xll.DBRW($C$1,$C$2,$C$3,$C$4,$C$6,$C$5,$C$7,W$1,W$2,$A214)</f>
        <v>0</v>
      </c>
      <c r="X214" s="31">
        <f ca="1">_xll.DBRW($C$1,$C$2,$C$3,$C$4,$C$6,$C$5,$C$7,X$1,X$2,$A214)</f>
        <v>0</v>
      </c>
      <c r="Y214" s="31">
        <f ca="1">_xll.DBRW($C$1,$C$2,$C$3,$C$4,$C$6,$C$5,$C$7,Y$1,Y$2,$A214)</f>
        <v>0</v>
      </c>
      <c r="Z214" s="31">
        <f ca="1">_xll.DBRW($C$1,$C$2,$C$3,$C$4,$C$6,$C$5,$C$7,Z$1,Z$2,$A214)</f>
        <v>0</v>
      </c>
      <c r="AA214" s="31">
        <f ca="1">_xll.DBRW($C$1,$C$2,$C$3,$C$4,$C$6,$C$5,$C$7,AA$1,AA$2,$A214)</f>
        <v>0</v>
      </c>
      <c r="AB214" s="31">
        <f ca="1">_xll.DBRW($C$1,$C$2,$C$3,$C$4,$C$6,$C$5,$C$7,AB$1,AB$2,$A214)</f>
        <v>0</v>
      </c>
      <c r="AC214" s="31">
        <f ca="1">_xll.DBRW($C$1,$C$2,$C$3,$C$4,$C$6,$C$5,$C$7,AC$1,AC$2,$A214)</f>
        <v>0</v>
      </c>
      <c r="AD214" s="31">
        <f ca="1">_xll.DBRW($C$1,$C$2,$C$3,$C$4,$C$6,$C$5,$C$7,AD$1,AD$2,$A214)</f>
        <v>0</v>
      </c>
      <c r="AE214" s="31">
        <f ca="1">_xll.DBRW($C$1,$C$2,$C$3,$C$4,$C$6,$C$5,$C$7,AE$1,AE$2,$A214)</f>
        <v>0</v>
      </c>
      <c r="AF214" s="31">
        <f ca="1">_xll.DBRW($C$1,$C$2,$C$3,$C$4,$C$6,$C$5,$C$7,AF$1,AF$2,$A214)</f>
        <v>0</v>
      </c>
      <c r="AG214" s="31">
        <f ca="1">_xll.DBRW($C$1,$C$2,$C$3,$C$4,$C$6,$C$5,$C$7,AG$1,AG$2,$A214)</f>
        <v>0</v>
      </c>
      <c r="AH214" s="31">
        <f ca="1">_xll.DBRW($C$1,$C$2,$C$3,$C$4,$C$6,$C$5,$C$7,AH$1,AH$2,$A214)</f>
        <v>0</v>
      </c>
      <c r="AI214" s="31">
        <f ca="1">_xll.DBRW($C$1,$C$2,$C$3,$C$4,$C$6,$C$5,$C$7,AI$1,AI$2,$A214)</f>
        <v>0</v>
      </c>
      <c r="AJ214" s="31">
        <f ca="1">_xll.DBRW($C$1,$C$2,$C$3,$C$4,$C$6,$C$5,$C$7,AJ$1,AJ$2,$A214)</f>
        <v>0</v>
      </c>
      <c r="AK214" s="31">
        <f ca="1">_xll.DBRW($C$1,$C$2,$C$3,$C$4,$C$6,$C$5,$C$7,AK$1,AK$2,$A214)</f>
        <v>0</v>
      </c>
      <c r="AL214" s="31">
        <f ca="1">_xll.DBRW($C$1,$C$2,$C$3,$C$4,$C$6,$C$5,$C$7,AL$1,AL$2,$A214)</f>
        <v>0</v>
      </c>
      <c r="AM214" s="31">
        <f ca="1">_xll.DBRW($C$1,$C$2,$C$3,$C$4,$C$6,$C$5,$C$7,AM$1,AM$2,$A214)</f>
        <v>0</v>
      </c>
      <c r="AN214" s="31">
        <f ca="1">_xll.DBRW($C$1,$C$2,$C$3,$C$4,$C$6,$C$5,$C$7,AN$1,AN$2,$A214)</f>
        <v>0</v>
      </c>
      <c r="AO214" s="31">
        <f ca="1">_xll.DBRW($C$1,$C$2,$C$3,$C$4,$C$6,$C$5,$C$7,AO$1,AO$2,$A214)</f>
        <v>0</v>
      </c>
      <c r="AP214" s="31">
        <f ca="1">_xll.DBRW($C$1,$C$2,$C$3,$C$4,$C$6,$C$5,$C$7,AP$1,AP$2,$A214)</f>
        <v>0</v>
      </c>
      <c r="AQ214" s="31">
        <f ca="1">_xll.DBRW($C$1,$C$2,$C$3,$C$4,$C$6,$C$5,$C$7,AQ$1,AQ$2,$A214)</f>
        <v>0</v>
      </c>
      <c r="AR214" s="31">
        <f ca="1">_xll.DBRW($C$1,$C$2,$C$3,$C$4,$C$6,$C$5,$C$7,AR$1,AR$2,$A214)</f>
        <v>0</v>
      </c>
      <c r="AS214" s="31">
        <f ca="1">_xll.DBRW($C$1,$C$2,$C$3,$C$4,$C$6,$C$5,$C$7,AS$1,AS$2,$A214)</f>
        <v>0</v>
      </c>
      <c r="AT214" s="31">
        <f ca="1">_xll.DBRW($C$1,$C$2,$C$3,$C$4,$C$6,$C$5,$C$7,AT$1,AT$2,$A214)</f>
        <v>0</v>
      </c>
      <c r="AU214" s="31">
        <f ca="1">_xll.DBRW($C$1,$C$2,$C$3,$C$4,$C$6,$C$5,$C$7,AU$1,AU$2,$A214)</f>
        <v>0</v>
      </c>
    </row>
    <row r="215" spans="1:47" ht="15.75" hidden="1" customHeight="1" outlineLevel="1">
      <c r="A215" s="1" t="s">
        <v>291</v>
      </c>
      <c r="C215" s="141"/>
      <c r="E215" s="9" t="str">
        <f ca="1">_xll.DBRW(Server&amp;"}ElementAttributes_Indicator",A215,"code_English")</f>
        <v>PL1182_XX - Vector Reconciliation (TPL11) - Non hedged fair value on derivatives related to operating activities excl.I4 and I12</v>
      </c>
      <c r="F215" s="31">
        <f ca="1">_xll.DBRW($C$1,$C$2,$C$3,$C$4,$C$6,$C$5,$C$7,F$1,F$2,$A215)</f>
        <v>0</v>
      </c>
      <c r="G215" s="31">
        <f ca="1">_xll.DBRW($C$1,$C$2,$C$3,$C$4,$C$6,$C$5,$C$7,G$1,G$2,$A215)</f>
        <v>0</v>
      </c>
      <c r="H215" s="31">
        <f ca="1">_xll.DBRW($C$1,$C$2,$C$3,$C$4,$C$6,$C$5,$C$7,H$1,H$2,$A215)</f>
        <v>0</v>
      </c>
      <c r="I215" s="31">
        <f ca="1">_xll.DBRW($C$1,$C$2,$C$3,$C$4,$C$6,$C$5,$C$7,I$1,I$2,$A215)</f>
        <v>0</v>
      </c>
      <c r="J215" s="31">
        <f ca="1">_xll.DBRW($C$1,$C$2,$C$3,$C$4,$C$6,$C$5,$C$7,J$1,J$2,$A215)</f>
        <v>0</v>
      </c>
      <c r="K215" s="31">
        <f ca="1">_xll.DBRW($C$1,$C$2,$C$3,$C$4,$C$6,$C$5,$C$7,K$1,K$2,$A215)</f>
        <v>0</v>
      </c>
      <c r="L215" s="31">
        <f ca="1">_xll.DBRW($C$1,$C$2,$C$3,$C$4,$C$6,$C$5,$C$7,L$1,L$2,$A215)</f>
        <v>0</v>
      </c>
      <c r="M215" s="31">
        <f ca="1">_xll.DBRW($C$1,$C$2,$C$3,$C$4,$C$6,$C$5,$C$7,M$1,M$2,$A215)</f>
        <v>0</v>
      </c>
      <c r="N215" s="31">
        <f ca="1">_xll.DBRW($C$1,$C$2,$C$3,$C$4,$C$6,$C$5,$C$7,N$1,N$2,$A215)</f>
        <v>0</v>
      </c>
      <c r="O215" s="31">
        <f ca="1">_xll.DBRW($C$1,$C$2,$C$3,$C$4,$C$6,$C$5,$C$7,O$1,O$2,$A215)</f>
        <v>0</v>
      </c>
      <c r="P215" s="31">
        <f ca="1">_xll.DBRW($C$1,$C$2,$C$3,$C$4,$C$6,$C$5,$C$7,P$1,P$2,$A215)</f>
        <v>0</v>
      </c>
      <c r="Q215" s="31">
        <f ca="1">_xll.DBRW($C$1,$C$2,$C$3,$C$4,$C$6,$C$5,$C$7,Q$1,Q$2,$A215)</f>
        <v>0</v>
      </c>
      <c r="R215" s="31">
        <f ca="1">_xll.DBRW($C$1,$C$2,$C$3,$C$4,$C$6,$C$5,$C$7,R$1,R$2,$A215)</f>
        <v>0</v>
      </c>
      <c r="S215" s="31">
        <f ca="1">_xll.DBRW($C$1,$C$2,$C$3,$C$4,$C$6,$C$5,$C$7,S$1,S$2,$A215)</f>
        <v>0</v>
      </c>
      <c r="T215" s="31">
        <f ca="1">_xll.DBRW($C$1,$C$2,$C$3,$C$4,$C$6,$C$5,$C$7,T$1,T$2,$A215)</f>
        <v>0</v>
      </c>
      <c r="U215" s="31">
        <f ca="1">_xll.DBRW($C$1,$C$2,$C$3,$C$4,$C$6,$C$5,$C$7,U$1,U$2,$A215)</f>
        <v>0</v>
      </c>
      <c r="V215" s="31">
        <f ca="1">_xll.DBRW($C$1,$C$2,$C$3,$C$4,$C$6,$C$5,$C$7,V$1,V$2,$A215)</f>
        <v>0</v>
      </c>
      <c r="W215" s="31">
        <f ca="1">_xll.DBRW($C$1,$C$2,$C$3,$C$4,$C$6,$C$5,$C$7,W$1,W$2,$A215)</f>
        <v>0</v>
      </c>
      <c r="X215" s="31">
        <f ca="1">_xll.DBRW($C$1,$C$2,$C$3,$C$4,$C$6,$C$5,$C$7,X$1,X$2,$A215)</f>
        <v>0</v>
      </c>
      <c r="Y215" s="31">
        <f ca="1">_xll.DBRW($C$1,$C$2,$C$3,$C$4,$C$6,$C$5,$C$7,Y$1,Y$2,$A215)</f>
        <v>0</v>
      </c>
      <c r="Z215" s="31">
        <f ca="1">_xll.DBRW($C$1,$C$2,$C$3,$C$4,$C$6,$C$5,$C$7,Z$1,Z$2,$A215)</f>
        <v>0</v>
      </c>
      <c r="AA215" s="31">
        <f ca="1">_xll.DBRW($C$1,$C$2,$C$3,$C$4,$C$6,$C$5,$C$7,AA$1,AA$2,$A215)</f>
        <v>0</v>
      </c>
      <c r="AB215" s="31">
        <f ca="1">_xll.DBRW($C$1,$C$2,$C$3,$C$4,$C$6,$C$5,$C$7,AB$1,AB$2,$A215)</f>
        <v>0</v>
      </c>
      <c r="AC215" s="31">
        <f ca="1">_xll.DBRW($C$1,$C$2,$C$3,$C$4,$C$6,$C$5,$C$7,AC$1,AC$2,$A215)</f>
        <v>0</v>
      </c>
      <c r="AD215" s="31">
        <f ca="1">_xll.DBRW($C$1,$C$2,$C$3,$C$4,$C$6,$C$5,$C$7,AD$1,AD$2,$A215)</f>
        <v>0</v>
      </c>
      <c r="AE215" s="31">
        <f ca="1">_xll.DBRW($C$1,$C$2,$C$3,$C$4,$C$6,$C$5,$C$7,AE$1,AE$2,$A215)</f>
        <v>0</v>
      </c>
      <c r="AF215" s="31">
        <f ca="1">_xll.DBRW($C$1,$C$2,$C$3,$C$4,$C$6,$C$5,$C$7,AF$1,AF$2,$A215)</f>
        <v>0</v>
      </c>
      <c r="AG215" s="31">
        <f ca="1">_xll.DBRW($C$1,$C$2,$C$3,$C$4,$C$6,$C$5,$C$7,AG$1,AG$2,$A215)</f>
        <v>0</v>
      </c>
      <c r="AH215" s="31">
        <f ca="1">_xll.DBRW($C$1,$C$2,$C$3,$C$4,$C$6,$C$5,$C$7,AH$1,AH$2,$A215)</f>
        <v>0</v>
      </c>
      <c r="AI215" s="31">
        <f ca="1">_xll.DBRW($C$1,$C$2,$C$3,$C$4,$C$6,$C$5,$C$7,AI$1,AI$2,$A215)</f>
        <v>0</v>
      </c>
      <c r="AJ215" s="31">
        <f ca="1">_xll.DBRW($C$1,$C$2,$C$3,$C$4,$C$6,$C$5,$C$7,AJ$1,AJ$2,$A215)</f>
        <v>0</v>
      </c>
      <c r="AK215" s="31">
        <f ca="1">_xll.DBRW($C$1,$C$2,$C$3,$C$4,$C$6,$C$5,$C$7,AK$1,AK$2,$A215)</f>
        <v>0</v>
      </c>
      <c r="AL215" s="31">
        <f ca="1">_xll.DBRW($C$1,$C$2,$C$3,$C$4,$C$6,$C$5,$C$7,AL$1,AL$2,$A215)</f>
        <v>0</v>
      </c>
      <c r="AM215" s="31">
        <f ca="1">_xll.DBRW($C$1,$C$2,$C$3,$C$4,$C$6,$C$5,$C$7,AM$1,AM$2,$A215)</f>
        <v>0</v>
      </c>
      <c r="AN215" s="31">
        <f ca="1">_xll.DBRW($C$1,$C$2,$C$3,$C$4,$C$6,$C$5,$C$7,AN$1,AN$2,$A215)</f>
        <v>0</v>
      </c>
      <c r="AO215" s="31">
        <f ca="1">_xll.DBRW($C$1,$C$2,$C$3,$C$4,$C$6,$C$5,$C$7,AO$1,AO$2,$A215)</f>
        <v>0</v>
      </c>
      <c r="AP215" s="31">
        <f ca="1">_xll.DBRW($C$1,$C$2,$C$3,$C$4,$C$6,$C$5,$C$7,AP$1,AP$2,$A215)</f>
        <v>0</v>
      </c>
      <c r="AQ215" s="31">
        <f ca="1">_xll.DBRW($C$1,$C$2,$C$3,$C$4,$C$6,$C$5,$C$7,AQ$1,AQ$2,$A215)</f>
        <v>0</v>
      </c>
      <c r="AR215" s="31">
        <f ca="1">_xll.DBRW($C$1,$C$2,$C$3,$C$4,$C$6,$C$5,$C$7,AR$1,AR$2,$A215)</f>
        <v>0</v>
      </c>
      <c r="AS215" s="31">
        <f ca="1">_xll.DBRW($C$1,$C$2,$C$3,$C$4,$C$6,$C$5,$C$7,AS$1,AS$2,$A215)</f>
        <v>0</v>
      </c>
      <c r="AT215" s="31">
        <f ca="1">_xll.DBRW($C$1,$C$2,$C$3,$C$4,$C$6,$C$5,$C$7,AT$1,AT$2,$A215)</f>
        <v>0</v>
      </c>
      <c r="AU215" s="31">
        <f ca="1">_xll.DBRW($C$1,$C$2,$C$3,$C$4,$C$6,$C$5,$C$7,AU$1,AU$2,$A215)</f>
        <v>0</v>
      </c>
    </row>
    <row r="216" spans="1:47" ht="15.75" hidden="1" customHeight="1" outlineLevel="1">
      <c r="A216" s="1" t="s">
        <v>292</v>
      </c>
      <c r="C216" s="141"/>
      <c r="E216" s="9" t="str">
        <f ca="1">_xll.DBRW(Server&amp;"}ElementAttributes_Indicator",A216,"code_English")</f>
        <v>PL1183_XX - Vector Reconciliation (TPL11) - Non hedged fair value on derivatives related to financial operating activities(I4 and I12)</v>
      </c>
      <c r="F216" s="31">
        <f ca="1">_xll.DBRW($C$1,$C$2,$C$3,$C$4,$C$6,$C$5,$C$7,F$1,F$2,$A216)</f>
        <v>0</v>
      </c>
      <c r="G216" s="31">
        <f ca="1">_xll.DBRW($C$1,$C$2,$C$3,$C$4,$C$6,$C$5,$C$7,G$1,G$2,$A216)</f>
        <v>0</v>
      </c>
      <c r="H216" s="31">
        <f ca="1">_xll.DBRW($C$1,$C$2,$C$3,$C$4,$C$6,$C$5,$C$7,H$1,H$2,$A216)</f>
        <v>0</v>
      </c>
      <c r="I216" s="31">
        <f ca="1">_xll.DBRW($C$1,$C$2,$C$3,$C$4,$C$6,$C$5,$C$7,I$1,I$2,$A216)</f>
        <v>0</v>
      </c>
      <c r="J216" s="31">
        <f ca="1">_xll.DBRW($C$1,$C$2,$C$3,$C$4,$C$6,$C$5,$C$7,J$1,J$2,$A216)</f>
        <v>0</v>
      </c>
      <c r="K216" s="31">
        <f ca="1">_xll.DBRW($C$1,$C$2,$C$3,$C$4,$C$6,$C$5,$C$7,K$1,K$2,$A216)</f>
        <v>0</v>
      </c>
      <c r="L216" s="31">
        <f ca="1">_xll.DBRW($C$1,$C$2,$C$3,$C$4,$C$6,$C$5,$C$7,L$1,L$2,$A216)</f>
        <v>0</v>
      </c>
      <c r="M216" s="31">
        <f ca="1">_xll.DBRW($C$1,$C$2,$C$3,$C$4,$C$6,$C$5,$C$7,M$1,M$2,$A216)</f>
        <v>0</v>
      </c>
      <c r="N216" s="31">
        <f ca="1">_xll.DBRW($C$1,$C$2,$C$3,$C$4,$C$6,$C$5,$C$7,N$1,N$2,$A216)</f>
        <v>0</v>
      </c>
      <c r="O216" s="31">
        <f ca="1">_xll.DBRW($C$1,$C$2,$C$3,$C$4,$C$6,$C$5,$C$7,O$1,O$2,$A216)</f>
        <v>0</v>
      </c>
      <c r="P216" s="31">
        <f ca="1">_xll.DBRW($C$1,$C$2,$C$3,$C$4,$C$6,$C$5,$C$7,P$1,P$2,$A216)</f>
        <v>0</v>
      </c>
      <c r="Q216" s="31">
        <f ca="1">_xll.DBRW($C$1,$C$2,$C$3,$C$4,$C$6,$C$5,$C$7,Q$1,Q$2,$A216)</f>
        <v>0</v>
      </c>
      <c r="R216" s="31">
        <f ca="1">_xll.DBRW($C$1,$C$2,$C$3,$C$4,$C$6,$C$5,$C$7,R$1,R$2,$A216)</f>
        <v>0</v>
      </c>
      <c r="S216" s="31">
        <f ca="1">_xll.DBRW($C$1,$C$2,$C$3,$C$4,$C$6,$C$5,$C$7,S$1,S$2,$A216)</f>
        <v>0</v>
      </c>
      <c r="T216" s="31">
        <f ca="1">_xll.DBRW($C$1,$C$2,$C$3,$C$4,$C$6,$C$5,$C$7,T$1,T$2,$A216)</f>
        <v>0</v>
      </c>
      <c r="U216" s="31">
        <f ca="1">_xll.DBRW($C$1,$C$2,$C$3,$C$4,$C$6,$C$5,$C$7,U$1,U$2,$A216)</f>
        <v>0</v>
      </c>
      <c r="V216" s="31">
        <f ca="1">_xll.DBRW($C$1,$C$2,$C$3,$C$4,$C$6,$C$5,$C$7,V$1,V$2,$A216)</f>
        <v>0</v>
      </c>
      <c r="W216" s="31">
        <f ca="1">_xll.DBRW($C$1,$C$2,$C$3,$C$4,$C$6,$C$5,$C$7,W$1,W$2,$A216)</f>
        <v>0</v>
      </c>
      <c r="X216" s="31">
        <f ca="1">_xll.DBRW($C$1,$C$2,$C$3,$C$4,$C$6,$C$5,$C$7,X$1,X$2,$A216)</f>
        <v>0</v>
      </c>
      <c r="Y216" s="31">
        <f ca="1">_xll.DBRW($C$1,$C$2,$C$3,$C$4,$C$6,$C$5,$C$7,Y$1,Y$2,$A216)</f>
        <v>0</v>
      </c>
      <c r="Z216" s="31">
        <f ca="1">_xll.DBRW($C$1,$C$2,$C$3,$C$4,$C$6,$C$5,$C$7,Z$1,Z$2,$A216)</f>
        <v>0</v>
      </c>
      <c r="AA216" s="31">
        <f ca="1">_xll.DBRW($C$1,$C$2,$C$3,$C$4,$C$6,$C$5,$C$7,AA$1,AA$2,$A216)</f>
        <v>0</v>
      </c>
      <c r="AB216" s="31">
        <f ca="1">_xll.DBRW($C$1,$C$2,$C$3,$C$4,$C$6,$C$5,$C$7,AB$1,AB$2,$A216)</f>
        <v>0</v>
      </c>
      <c r="AC216" s="31">
        <f ca="1">_xll.DBRW($C$1,$C$2,$C$3,$C$4,$C$6,$C$5,$C$7,AC$1,AC$2,$A216)</f>
        <v>0</v>
      </c>
      <c r="AD216" s="31">
        <f ca="1">_xll.DBRW($C$1,$C$2,$C$3,$C$4,$C$6,$C$5,$C$7,AD$1,AD$2,$A216)</f>
        <v>0</v>
      </c>
      <c r="AE216" s="31">
        <f ca="1">_xll.DBRW($C$1,$C$2,$C$3,$C$4,$C$6,$C$5,$C$7,AE$1,AE$2,$A216)</f>
        <v>0</v>
      </c>
      <c r="AF216" s="31">
        <f ca="1">_xll.DBRW($C$1,$C$2,$C$3,$C$4,$C$6,$C$5,$C$7,AF$1,AF$2,$A216)</f>
        <v>0</v>
      </c>
      <c r="AG216" s="31">
        <f ca="1">_xll.DBRW($C$1,$C$2,$C$3,$C$4,$C$6,$C$5,$C$7,AG$1,AG$2,$A216)</f>
        <v>0</v>
      </c>
      <c r="AH216" s="31">
        <f ca="1">_xll.DBRW($C$1,$C$2,$C$3,$C$4,$C$6,$C$5,$C$7,AH$1,AH$2,$A216)</f>
        <v>0</v>
      </c>
      <c r="AI216" s="31">
        <f ca="1">_xll.DBRW($C$1,$C$2,$C$3,$C$4,$C$6,$C$5,$C$7,AI$1,AI$2,$A216)</f>
        <v>0</v>
      </c>
      <c r="AJ216" s="31">
        <f ca="1">_xll.DBRW($C$1,$C$2,$C$3,$C$4,$C$6,$C$5,$C$7,AJ$1,AJ$2,$A216)</f>
        <v>0</v>
      </c>
      <c r="AK216" s="31">
        <f ca="1">_xll.DBRW($C$1,$C$2,$C$3,$C$4,$C$6,$C$5,$C$7,AK$1,AK$2,$A216)</f>
        <v>0</v>
      </c>
      <c r="AL216" s="31">
        <f ca="1">_xll.DBRW($C$1,$C$2,$C$3,$C$4,$C$6,$C$5,$C$7,AL$1,AL$2,$A216)</f>
        <v>0</v>
      </c>
      <c r="AM216" s="31">
        <f ca="1">_xll.DBRW($C$1,$C$2,$C$3,$C$4,$C$6,$C$5,$C$7,AM$1,AM$2,$A216)</f>
        <v>0</v>
      </c>
      <c r="AN216" s="31">
        <f ca="1">_xll.DBRW($C$1,$C$2,$C$3,$C$4,$C$6,$C$5,$C$7,AN$1,AN$2,$A216)</f>
        <v>0</v>
      </c>
      <c r="AO216" s="31">
        <f ca="1">_xll.DBRW($C$1,$C$2,$C$3,$C$4,$C$6,$C$5,$C$7,AO$1,AO$2,$A216)</f>
        <v>0</v>
      </c>
      <c r="AP216" s="31">
        <f ca="1">_xll.DBRW($C$1,$C$2,$C$3,$C$4,$C$6,$C$5,$C$7,AP$1,AP$2,$A216)</f>
        <v>0</v>
      </c>
      <c r="AQ216" s="31">
        <f ca="1">_xll.DBRW($C$1,$C$2,$C$3,$C$4,$C$6,$C$5,$C$7,AQ$1,AQ$2,$A216)</f>
        <v>0</v>
      </c>
      <c r="AR216" s="31">
        <f ca="1">_xll.DBRW($C$1,$C$2,$C$3,$C$4,$C$6,$C$5,$C$7,AR$1,AR$2,$A216)</f>
        <v>0</v>
      </c>
      <c r="AS216" s="31">
        <f ca="1">_xll.DBRW($C$1,$C$2,$C$3,$C$4,$C$6,$C$5,$C$7,AS$1,AS$2,$A216)</f>
        <v>0</v>
      </c>
      <c r="AT216" s="31">
        <f ca="1">_xll.DBRW($C$1,$C$2,$C$3,$C$4,$C$6,$C$5,$C$7,AT$1,AT$2,$A216)</f>
        <v>0</v>
      </c>
      <c r="AU216" s="31">
        <f ca="1">_xll.DBRW($C$1,$C$2,$C$3,$C$4,$C$6,$C$5,$C$7,AU$1,AU$2,$A216)</f>
        <v>0</v>
      </c>
    </row>
    <row r="217" spans="1:47" ht="15.75" hidden="1" customHeight="1" outlineLevel="1">
      <c r="A217" s="1" t="s">
        <v>293</v>
      </c>
      <c r="C217" s="141"/>
      <c r="E217" s="9" t="str">
        <f ca="1">_xll.DBRW(Server&amp;"}ElementAttributes_Indicator",A217,"code_English")</f>
        <v>PL1184_XX - Vector Reconciliation (TPL11) - Recycling from Fair value reserves to operating profit (CFH)</v>
      </c>
      <c r="F217" s="31">
        <f ca="1">_xll.DBRW($C$1,$C$2,$C$3,$C$4,$C$6,$C$5,$C$7,F$1,F$2,$A217)</f>
        <v>0</v>
      </c>
      <c r="G217" s="31">
        <f ca="1">_xll.DBRW($C$1,$C$2,$C$3,$C$4,$C$6,$C$5,$C$7,G$1,G$2,$A217)</f>
        <v>0</v>
      </c>
      <c r="H217" s="31">
        <f ca="1">_xll.DBRW($C$1,$C$2,$C$3,$C$4,$C$6,$C$5,$C$7,H$1,H$2,$A217)</f>
        <v>0</v>
      </c>
      <c r="I217" s="31">
        <f ca="1">_xll.DBRW($C$1,$C$2,$C$3,$C$4,$C$6,$C$5,$C$7,I$1,I$2,$A217)</f>
        <v>0</v>
      </c>
      <c r="J217" s="31">
        <f ca="1">_xll.DBRW($C$1,$C$2,$C$3,$C$4,$C$6,$C$5,$C$7,J$1,J$2,$A217)</f>
        <v>0</v>
      </c>
      <c r="K217" s="31">
        <f ca="1">_xll.DBRW($C$1,$C$2,$C$3,$C$4,$C$6,$C$5,$C$7,K$1,K$2,$A217)</f>
        <v>0</v>
      </c>
      <c r="L217" s="31">
        <f ca="1">_xll.DBRW($C$1,$C$2,$C$3,$C$4,$C$6,$C$5,$C$7,L$1,L$2,$A217)</f>
        <v>0</v>
      </c>
      <c r="M217" s="31">
        <f ca="1">_xll.DBRW($C$1,$C$2,$C$3,$C$4,$C$6,$C$5,$C$7,M$1,M$2,$A217)</f>
        <v>0</v>
      </c>
      <c r="N217" s="31">
        <f ca="1">_xll.DBRW($C$1,$C$2,$C$3,$C$4,$C$6,$C$5,$C$7,N$1,N$2,$A217)</f>
        <v>0</v>
      </c>
      <c r="O217" s="31">
        <f ca="1">_xll.DBRW($C$1,$C$2,$C$3,$C$4,$C$6,$C$5,$C$7,O$1,O$2,$A217)</f>
        <v>0</v>
      </c>
      <c r="P217" s="31">
        <f ca="1">_xll.DBRW($C$1,$C$2,$C$3,$C$4,$C$6,$C$5,$C$7,P$1,P$2,$A217)</f>
        <v>0</v>
      </c>
      <c r="Q217" s="31">
        <f ca="1">_xll.DBRW($C$1,$C$2,$C$3,$C$4,$C$6,$C$5,$C$7,Q$1,Q$2,$A217)</f>
        <v>0</v>
      </c>
      <c r="R217" s="31">
        <f ca="1">_xll.DBRW($C$1,$C$2,$C$3,$C$4,$C$6,$C$5,$C$7,R$1,R$2,$A217)</f>
        <v>0</v>
      </c>
      <c r="S217" s="31">
        <f ca="1">_xll.DBRW($C$1,$C$2,$C$3,$C$4,$C$6,$C$5,$C$7,S$1,S$2,$A217)</f>
        <v>0</v>
      </c>
      <c r="T217" s="31">
        <f ca="1">_xll.DBRW($C$1,$C$2,$C$3,$C$4,$C$6,$C$5,$C$7,T$1,T$2,$A217)</f>
        <v>0</v>
      </c>
      <c r="U217" s="31">
        <f ca="1">_xll.DBRW($C$1,$C$2,$C$3,$C$4,$C$6,$C$5,$C$7,U$1,U$2,$A217)</f>
        <v>0</v>
      </c>
      <c r="V217" s="31">
        <f ca="1">_xll.DBRW($C$1,$C$2,$C$3,$C$4,$C$6,$C$5,$C$7,V$1,V$2,$A217)</f>
        <v>0</v>
      </c>
      <c r="W217" s="31">
        <f ca="1">_xll.DBRW($C$1,$C$2,$C$3,$C$4,$C$6,$C$5,$C$7,W$1,W$2,$A217)</f>
        <v>0</v>
      </c>
      <c r="X217" s="31">
        <f ca="1">_xll.DBRW($C$1,$C$2,$C$3,$C$4,$C$6,$C$5,$C$7,X$1,X$2,$A217)</f>
        <v>0</v>
      </c>
      <c r="Y217" s="31">
        <f ca="1">_xll.DBRW($C$1,$C$2,$C$3,$C$4,$C$6,$C$5,$C$7,Y$1,Y$2,$A217)</f>
        <v>0</v>
      </c>
      <c r="Z217" s="31">
        <f ca="1">_xll.DBRW($C$1,$C$2,$C$3,$C$4,$C$6,$C$5,$C$7,Z$1,Z$2,$A217)</f>
        <v>0</v>
      </c>
      <c r="AA217" s="31">
        <f ca="1">_xll.DBRW($C$1,$C$2,$C$3,$C$4,$C$6,$C$5,$C$7,AA$1,AA$2,$A217)</f>
        <v>0</v>
      </c>
      <c r="AB217" s="31">
        <f ca="1">_xll.DBRW($C$1,$C$2,$C$3,$C$4,$C$6,$C$5,$C$7,AB$1,AB$2,$A217)</f>
        <v>0</v>
      </c>
      <c r="AC217" s="31">
        <f ca="1">_xll.DBRW($C$1,$C$2,$C$3,$C$4,$C$6,$C$5,$C$7,AC$1,AC$2,$A217)</f>
        <v>0</v>
      </c>
      <c r="AD217" s="31">
        <f ca="1">_xll.DBRW($C$1,$C$2,$C$3,$C$4,$C$6,$C$5,$C$7,AD$1,AD$2,$A217)</f>
        <v>0</v>
      </c>
      <c r="AE217" s="31">
        <f ca="1">_xll.DBRW($C$1,$C$2,$C$3,$C$4,$C$6,$C$5,$C$7,AE$1,AE$2,$A217)</f>
        <v>0</v>
      </c>
      <c r="AF217" s="31">
        <f ca="1">_xll.DBRW($C$1,$C$2,$C$3,$C$4,$C$6,$C$5,$C$7,AF$1,AF$2,$A217)</f>
        <v>0</v>
      </c>
      <c r="AG217" s="31">
        <f ca="1">_xll.DBRW($C$1,$C$2,$C$3,$C$4,$C$6,$C$5,$C$7,AG$1,AG$2,$A217)</f>
        <v>0</v>
      </c>
      <c r="AH217" s="31">
        <f ca="1">_xll.DBRW($C$1,$C$2,$C$3,$C$4,$C$6,$C$5,$C$7,AH$1,AH$2,$A217)</f>
        <v>0</v>
      </c>
      <c r="AI217" s="31">
        <f ca="1">_xll.DBRW($C$1,$C$2,$C$3,$C$4,$C$6,$C$5,$C$7,AI$1,AI$2,$A217)</f>
        <v>0</v>
      </c>
      <c r="AJ217" s="31">
        <f ca="1">_xll.DBRW($C$1,$C$2,$C$3,$C$4,$C$6,$C$5,$C$7,AJ$1,AJ$2,$A217)</f>
        <v>0</v>
      </c>
      <c r="AK217" s="31">
        <f ca="1">_xll.DBRW($C$1,$C$2,$C$3,$C$4,$C$6,$C$5,$C$7,AK$1,AK$2,$A217)</f>
        <v>0</v>
      </c>
      <c r="AL217" s="31">
        <f ca="1">_xll.DBRW($C$1,$C$2,$C$3,$C$4,$C$6,$C$5,$C$7,AL$1,AL$2,$A217)</f>
        <v>0</v>
      </c>
      <c r="AM217" s="31">
        <f ca="1">_xll.DBRW($C$1,$C$2,$C$3,$C$4,$C$6,$C$5,$C$7,AM$1,AM$2,$A217)</f>
        <v>0</v>
      </c>
      <c r="AN217" s="31">
        <f ca="1">_xll.DBRW($C$1,$C$2,$C$3,$C$4,$C$6,$C$5,$C$7,AN$1,AN$2,$A217)</f>
        <v>0</v>
      </c>
      <c r="AO217" s="31">
        <f ca="1">_xll.DBRW($C$1,$C$2,$C$3,$C$4,$C$6,$C$5,$C$7,AO$1,AO$2,$A217)</f>
        <v>0</v>
      </c>
      <c r="AP217" s="31">
        <f ca="1">_xll.DBRW($C$1,$C$2,$C$3,$C$4,$C$6,$C$5,$C$7,AP$1,AP$2,$A217)</f>
        <v>0</v>
      </c>
      <c r="AQ217" s="31">
        <f ca="1">_xll.DBRW($C$1,$C$2,$C$3,$C$4,$C$6,$C$5,$C$7,AQ$1,AQ$2,$A217)</f>
        <v>0</v>
      </c>
      <c r="AR217" s="31">
        <f ca="1">_xll.DBRW($C$1,$C$2,$C$3,$C$4,$C$6,$C$5,$C$7,AR$1,AR$2,$A217)</f>
        <v>0</v>
      </c>
      <c r="AS217" s="31">
        <f ca="1">_xll.DBRW($C$1,$C$2,$C$3,$C$4,$C$6,$C$5,$C$7,AS$1,AS$2,$A217)</f>
        <v>0</v>
      </c>
      <c r="AT217" s="31">
        <f ca="1">_xll.DBRW($C$1,$C$2,$C$3,$C$4,$C$6,$C$5,$C$7,AT$1,AT$2,$A217)</f>
        <v>0</v>
      </c>
      <c r="AU217" s="31">
        <f ca="1">_xll.DBRW($C$1,$C$2,$C$3,$C$4,$C$6,$C$5,$C$7,AU$1,AU$2,$A217)</f>
        <v>0</v>
      </c>
    </row>
    <row r="218" spans="1:47" ht="15" collapsed="1">
      <c r="A218" s="1" t="s">
        <v>127</v>
      </c>
      <c r="C218" s="141"/>
      <c r="E218" s="22" t="s">
        <v>40</v>
      </c>
      <c r="F218" s="35">
        <f t="shared" ref="F218:T218" ca="1" si="83">SUM(F187:F217)</f>
        <v>0</v>
      </c>
      <c r="G218" s="35">
        <f t="shared" ca="1" si="83"/>
        <v>0</v>
      </c>
      <c r="H218" s="35">
        <f t="shared" ca="1" si="83"/>
        <v>0</v>
      </c>
      <c r="I218" s="35">
        <f t="shared" ca="1" si="83"/>
        <v>0</v>
      </c>
      <c r="J218" s="35">
        <f t="shared" ca="1" si="83"/>
        <v>0</v>
      </c>
      <c r="K218" s="35">
        <f t="shared" ca="1" si="83"/>
        <v>0</v>
      </c>
      <c r="L218" s="35">
        <f t="shared" ca="1" si="83"/>
        <v>0</v>
      </c>
      <c r="M218" s="35">
        <f t="shared" ca="1" si="83"/>
        <v>0</v>
      </c>
      <c r="N218" s="35">
        <f t="shared" ca="1" si="83"/>
        <v>0</v>
      </c>
      <c r="O218" s="35">
        <f t="shared" ca="1" si="83"/>
        <v>0</v>
      </c>
      <c r="P218" s="35">
        <f t="shared" ca="1" si="83"/>
        <v>0</v>
      </c>
      <c r="Q218" s="35">
        <f t="shared" ca="1" si="83"/>
        <v>0</v>
      </c>
      <c r="R218" s="35">
        <f t="shared" ca="1" si="83"/>
        <v>0</v>
      </c>
      <c r="S218" s="35">
        <f t="shared" ca="1" si="83"/>
        <v>0</v>
      </c>
      <c r="T218" s="35">
        <f t="shared" ca="1" si="83"/>
        <v>0</v>
      </c>
      <c r="U218" s="35">
        <f ca="1">SUM(U187:U217)</f>
        <v>0</v>
      </c>
      <c r="V218" s="35">
        <f t="shared" ref="V218:AG218" ca="1" si="84">SUM(V187:V217)</f>
        <v>0</v>
      </c>
      <c r="W218" s="35">
        <f t="shared" ca="1" si="84"/>
        <v>0</v>
      </c>
      <c r="X218" s="35">
        <f t="shared" ca="1" si="84"/>
        <v>0</v>
      </c>
      <c r="Y218" s="35">
        <f t="shared" ca="1" si="84"/>
        <v>0</v>
      </c>
      <c r="Z218" s="35">
        <f t="shared" ca="1" si="84"/>
        <v>0</v>
      </c>
      <c r="AA218" s="35">
        <f t="shared" ca="1" si="84"/>
        <v>0</v>
      </c>
      <c r="AB218" s="35">
        <f t="shared" ca="1" si="84"/>
        <v>0</v>
      </c>
      <c r="AC218" s="35">
        <f t="shared" ca="1" si="84"/>
        <v>0</v>
      </c>
      <c r="AD218" s="35">
        <f t="shared" ca="1" si="84"/>
        <v>0</v>
      </c>
      <c r="AE218" s="35">
        <f t="shared" ca="1" si="84"/>
        <v>0</v>
      </c>
      <c r="AF218" s="35">
        <f t="shared" ca="1" si="84"/>
        <v>0</v>
      </c>
      <c r="AG218" s="35">
        <f t="shared" ca="1" si="84"/>
        <v>0</v>
      </c>
      <c r="AH218" s="35">
        <f ca="1">SUM(AH187:AH217)</f>
        <v>0</v>
      </c>
      <c r="AI218" s="35">
        <f t="shared" ref="AI218:AT218" ca="1" si="85">SUM(AI187:AI217)</f>
        <v>0</v>
      </c>
      <c r="AJ218" s="35">
        <f t="shared" ca="1" si="85"/>
        <v>0</v>
      </c>
      <c r="AK218" s="35">
        <f t="shared" ca="1" si="85"/>
        <v>0</v>
      </c>
      <c r="AL218" s="35">
        <f t="shared" ca="1" si="85"/>
        <v>0</v>
      </c>
      <c r="AM218" s="35">
        <f t="shared" ca="1" si="85"/>
        <v>0</v>
      </c>
      <c r="AN218" s="35">
        <f t="shared" ca="1" si="85"/>
        <v>0</v>
      </c>
      <c r="AO218" s="35">
        <f t="shared" ca="1" si="85"/>
        <v>0</v>
      </c>
      <c r="AP218" s="35">
        <f t="shared" ca="1" si="85"/>
        <v>0</v>
      </c>
      <c r="AQ218" s="35">
        <f t="shared" ca="1" si="85"/>
        <v>0</v>
      </c>
      <c r="AR218" s="35">
        <f t="shared" ca="1" si="85"/>
        <v>0</v>
      </c>
      <c r="AS218" s="35">
        <f t="shared" ca="1" si="85"/>
        <v>0</v>
      </c>
      <c r="AT218" s="35">
        <f t="shared" ca="1" si="85"/>
        <v>0</v>
      </c>
      <c r="AU218" s="35">
        <f ca="1">SUM(AU187:AU217)</f>
        <v>0</v>
      </c>
    </row>
    <row r="219" spans="1:47" ht="15.75">
      <c r="A219" s="1" t="s">
        <v>127</v>
      </c>
      <c r="C219" s="141"/>
      <c r="E219" s="122" t="s">
        <v>41</v>
      </c>
      <c r="F219" s="123">
        <f t="shared" ref="F219:AU219" ca="1" si="86">F30+F41+F80+F98+F114+F186+F218</f>
        <v>96855279.519999892</v>
      </c>
      <c r="G219" s="123">
        <f t="shared" ca="1" si="86"/>
        <v>68214325.660000011</v>
      </c>
      <c r="H219" s="123">
        <f t="shared" ca="1" si="86"/>
        <v>89296615.879600048</v>
      </c>
      <c r="I219" s="123">
        <f t="shared" ca="1" si="86"/>
        <v>6884607.8099999987</v>
      </c>
      <c r="J219" s="123">
        <f t="shared" ca="1" si="86"/>
        <v>12972655.159999982</v>
      </c>
      <c r="K219" s="123">
        <f t="shared" ca="1" si="86"/>
        <v>21593830.020000007</v>
      </c>
      <c r="L219" s="123">
        <f t="shared" ca="1" si="86"/>
        <v>28277698.660000034</v>
      </c>
      <c r="M219" s="123">
        <f t="shared" ca="1" si="86"/>
        <v>35712804.280000091</v>
      </c>
      <c r="N219" s="123">
        <f t="shared" ca="1" si="86"/>
        <v>44952138.160000086</v>
      </c>
      <c r="O219" s="123">
        <f t="shared" ca="1" si="86"/>
        <v>44952138.160000086</v>
      </c>
      <c r="P219" s="123">
        <f t="shared" ca="1" si="86"/>
        <v>44952138.160000086</v>
      </c>
      <c r="Q219" s="123">
        <f t="shared" ca="1" si="86"/>
        <v>44952138.160000086</v>
      </c>
      <c r="R219" s="123">
        <f t="shared" ca="1" si="86"/>
        <v>44952138.160000086</v>
      </c>
      <c r="S219" s="123">
        <f t="shared" ca="1" si="86"/>
        <v>44952138.160000086</v>
      </c>
      <c r="T219" s="123">
        <f t="shared" ca="1" si="86"/>
        <v>44952138.160000086</v>
      </c>
      <c r="U219" s="123">
        <f t="shared" ca="1" si="86"/>
        <v>44952138.160000086</v>
      </c>
      <c r="V219" s="123">
        <f t="shared" ca="1" si="86"/>
        <v>0</v>
      </c>
      <c r="W219" s="123">
        <f t="shared" ca="1" si="86"/>
        <v>0</v>
      </c>
      <c r="X219" s="123">
        <f t="shared" ca="1" si="86"/>
        <v>0</v>
      </c>
      <c r="Y219" s="123">
        <f t="shared" ca="1" si="86"/>
        <v>0</v>
      </c>
      <c r="Z219" s="123">
        <f t="shared" ca="1" si="86"/>
        <v>0</v>
      </c>
      <c r="AA219" s="123">
        <f t="shared" ca="1" si="86"/>
        <v>0</v>
      </c>
      <c r="AB219" s="123">
        <f t="shared" ca="1" si="86"/>
        <v>0</v>
      </c>
      <c r="AC219" s="123">
        <f t="shared" ca="1" si="86"/>
        <v>0</v>
      </c>
      <c r="AD219" s="123">
        <f t="shared" ca="1" si="86"/>
        <v>0</v>
      </c>
      <c r="AE219" s="123">
        <f t="shared" ca="1" si="86"/>
        <v>0</v>
      </c>
      <c r="AF219" s="123">
        <f t="shared" ca="1" si="86"/>
        <v>0</v>
      </c>
      <c r="AG219" s="123">
        <f t="shared" ca="1" si="86"/>
        <v>0</v>
      </c>
      <c r="AH219" s="123">
        <f t="shared" ca="1" si="86"/>
        <v>0</v>
      </c>
      <c r="AI219" s="123">
        <f t="shared" ca="1" si="86"/>
        <v>0</v>
      </c>
      <c r="AJ219" s="123">
        <f t="shared" ca="1" si="86"/>
        <v>0</v>
      </c>
      <c r="AK219" s="123">
        <f t="shared" ca="1" si="86"/>
        <v>0</v>
      </c>
      <c r="AL219" s="123">
        <f t="shared" ca="1" si="86"/>
        <v>0</v>
      </c>
      <c r="AM219" s="123">
        <f t="shared" ca="1" si="86"/>
        <v>0</v>
      </c>
      <c r="AN219" s="123">
        <f t="shared" ca="1" si="86"/>
        <v>0</v>
      </c>
      <c r="AO219" s="123">
        <f t="shared" ca="1" si="86"/>
        <v>0</v>
      </c>
      <c r="AP219" s="123">
        <f t="shared" ca="1" si="86"/>
        <v>0</v>
      </c>
      <c r="AQ219" s="123">
        <f t="shared" ca="1" si="86"/>
        <v>0</v>
      </c>
      <c r="AR219" s="123">
        <f t="shared" ca="1" si="86"/>
        <v>0</v>
      </c>
      <c r="AS219" s="123">
        <f t="shared" ca="1" si="86"/>
        <v>0</v>
      </c>
      <c r="AT219" s="123">
        <f t="shared" ca="1" si="86"/>
        <v>0</v>
      </c>
      <c r="AU219" s="123">
        <f t="shared" ca="1" si="86"/>
        <v>0</v>
      </c>
    </row>
    <row r="220" spans="1:47" ht="9" customHeight="1">
      <c r="A220" s="1" t="s">
        <v>127</v>
      </c>
      <c r="C220" s="141"/>
      <c r="E220" s="7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24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2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</row>
    <row r="221" spans="1:47" ht="15.75">
      <c r="A221" s="1" t="s">
        <v>294</v>
      </c>
      <c r="C221" s="141"/>
      <c r="E221" s="122" t="s">
        <v>42</v>
      </c>
      <c r="F221" s="123">
        <f t="shared" ref="F221:AU221" ca="1" si="87">F27+F219</f>
        <v>65942224.309999876</v>
      </c>
      <c r="G221" s="123">
        <f t="shared" ca="1" si="87"/>
        <v>33925075.690000005</v>
      </c>
      <c r="H221" s="123">
        <f t="shared" ca="1" si="87"/>
        <v>64860930.369600043</v>
      </c>
      <c r="I221" s="123">
        <f t="shared" ca="1" si="87"/>
        <v>5458833.5099999988</v>
      </c>
      <c r="J221" s="123">
        <f t="shared" ca="1" si="87"/>
        <v>10281403.89999998</v>
      </c>
      <c r="K221" s="123">
        <f t="shared" ca="1" si="87"/>
        <v>16728787.690000005</v>
      </c>
      <c r="L221" s="123">
        <f t="shared" ca="1" si="87"/>
        <v>21686798.920000032</v>
      </c>
      <c r="M221" s="123">
        <f t="shared" ca="1" si="87"/>
        <v>27185373.190000087</v>
      </c>
      <c r="N221" s="123">
        <f t="shared" ca="1" si="87"/>
        <v>34483513.120000079</v>
      </c>
      <c r="O221" s="123">
        <f t="shared" ca="1" si="87"/>
        <v>34483513.120000079</v>
      </c>
      <c r="P221" s="123">
        <f t="shared" ca="1" si="87"/>
        <v>34483513.120000079</v>
      </c>
      <c r="Q221" s="123">
        <f t="shared" ca="1" si="87"/>
        <v>34483513.120000079</v>
      </c>
      <c r="R221" s="123">
        <f t="shared" ca="1" si="87"/>
        <v>34483513.120000079</v>
      </c>
      <c r="S221" s="123">
        <f t="shared" ca="1" si="87"/>
        <v>34483513.120000079</v>
      </c>
      <c r="T221" s="123">
        <f t="shared" ca="1" si="87"/>
        <v>34483513.120000079</v>
      </c>
      <c r="U221" s="123">
        <f t="shared" ca="1" si="87"/>
        <v>34483513.120000079</v>
      </c>
      <c r="V221" s="123">
        <f t="shared" ca="1" si="87"/>
        <v>0</v>
      </c>
      <c r="W221" s="123">
        <f t="shared" ca="1" si="87"/>
        <v>0</v>
      </c>
      <c r="X221" s="123">
        <f t="shared" ca="1" si="87"/>
        <v>0</v>
      </c>
      <c r="Y221" s="123">
        <f t="shared" ca="1" si="87"/>
        <v>0</v>
      </c>
      <c r="Z221" s="123">
        <f t="shared" ca="1" si="87"/>
        <v>0</v>
      </c>
      <c r="AA221" s="123">
        <f t="shared" ca="1" si="87"/>
        <v>0</v>
      </c>
      <c r="AB221" s="123">
        <f t="shared" ca="1" si="87"/>
        <v>0</v>
      </c>
      <c r="AC221" s="123">
        <f t="shared" ca="1" si="87"/>
        <v>0</v>
      </c>
      <c r="AD221" s="123">
        <f t="shared" ca="1" si="87"/>
        <v>0</v>
      </c>
      <c r="AE221" s="123">
        <f t="shared" ca="1" si="87"/>
        <v>0</v>
      </c>
      <c r="AF221" s="123">
        <f t="shared" ca="1" si="87"/>
        <v>0</v>
      </c>
      <c r="AG221" s="123">
        <f t="shared" ca="1" si="87"/>
        <v>0</v>
      </c>
      <c r="AH221" s="123">
        <f t="shared" ca="1" si="87"/>
        <v>0</v>
      </c>
      <c r="AI221" s="123">
        <f t="shared" ca="1" si="87"/>
        <v>0</v>
      </c>
      <c r="AJ221" s="123">
        <f t="shared" ca="1" si="87"/>
        <v>0</v>
      </c>
      <c r="AK221" s="123">
        <f t="shared" ca="1" si="87"/>
        <v>0</v>
      </c>
      <c r="AL221" s="123">
        <f t="shared" ca="1" si="87"/>
        <v>0</v>
      </c>
      <c r="AM221" s="123">
        <f t="shared" ca="1" si="87"/>
        <v>0</v>
      </c>
      <c r="AN221" s="123">
        <f t="shared" ca="1" si="87"/>
        <v>0</v>
      </c>
      <c r="AO221" s="123">
        <f t="shared" ca="1" si="87"/>
        <v>0</v>
      </c>
      <c r="AP221" s="123">
        <f t="shared" ca="1" si="87"/>
        <v>0</v>
      </c>
      <c r="AQ221" s="123">
        <f t="shared" ca="1" si="87"/>
        <v>0</v>
      </c>
      <c r="AR221" s="123">
        <f t="shared" ca="1" si="87"/>
        <v>0</v>
      </c>
      <c r="AS221" s="123">
        <f t="shared" ca="1" si="87"/>
        <v>0</v>
      </c>
      <c r="AT221" s="123">
        <f t="shared" ca="1" si="87"/>
        <v>0</v>
      </c>
      <c r="AU221" s="123">
        <f t="shared" ca="1" si="87"/>
        <v>0</v>
      </c>
    </row>
    <row r="222" spans="1:47" ht="9" customHeight="1">
      <c r="A222" s="1" t="s">
        <v>127</v>
      </c>
      <c r="C222" s="141"/>
      <c r="E222" s="7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2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</row>
    <row r="223" spans="1:47" ht="15.75" hidden="1" customHeight="1" outlineLevel="1">
      <c r="A223" s="1" t="s">
        <v>295</v>
      </c>
      <c r="C223" s="141"/>
      <c r="E223" s="9" t="str">
        <f ca="1">_xll.DBRW(Server&amp;"}ElementAttributes_Indicator",A223,"code_English")</f>
        <v>PL0000_BD - Business development expenses (RESOP)</v>
      </c>
      <c r="F223" s="10">
        <f ca="1">_xll.DBRW($C$1,$C$2,$C$3,$C$4,$C$6,$C$5,$C$7,F$1,F$2,$A223)</f>
        <v>-2715155.82</v>
      </c>
      <c r="G223" s="10">
        <f ca="1">_xll.DBRW($C$1,$C$2,$C$3,$C$4,$C$6,$C$5,$C$7,G$1,G$2,$A223)</f>
        <v>-1597949.09</v>
      </c>
      <c r="H223" s="10">
        <f ca="1">_xll.DBRW($C$1,$C$2,$C$3,$C$4,$C$6,$C$5,$C$7,H$1,H$2,$A223)</f>
        <v>-1506946.3599999999</v>
      </c>
      <c r="I223" s="10">
        <f ca="1">_xll.DBRW($C$1,$C$2,$C$3,$C$4,$C$6,$C$5,$C$7,I$1,I$2,$A223)</f>
        <v>-213996.12</v>
      </c>
      <c r="J223" s="10">
        <f ca="1">_xll.DBRW($C$1,$C$2,$C$3,$C$4,$C$6,$C$5,$C$7,J$1,J$2,$A223)</f>
        <v>-264207.31</v>
      </c>
      <c r="K223" s="10">
        <f ca="1">_xll.DBRW($C$1,$C$2,$C$3,$C$4,$C$6,$C$5,$C$7,K$1,K$2,$A223)</f>
        <v>-432155.37</v>
      </c>
      <c r="L223" s="10">
        <f ca="1">_xll.DBRW($C$1,$C$2,$C$3,$C$4,$C$6,$C$5,$C$7,L$1,L$2,$A223)</f>
        <v>-530598.09</v>
      </c>
      <c r="M223" s="10">
        <f ca="1">_xll.DBRW($C$1,$C$2,$C$3,$C$4,$C$6,$C$5,$C$7,M$1,M$2,$A223)</f>
        <v>-679248.97</v>
      </c>
      <c r="N223" s="10">
        <f ca="1">_xll.DBRW($C$1,$C$2,$C$3,$C$4,$C$6,$C$5,$C$7,N$1,N$2,$A223)</f>
        <v>-784081.97</v>
      </c>
      <c r="O223" s="10">
        <f ca="1">_xll.DBRW($C$1,$C$2,$C$3,$C$4,$C$6,$C$5,$C$7,O$1,O$2,$A223)</f>
        <v>-784081.97</v>
      </c>
      <c r="P223" s="10">
        <f ca="1">_xll.DBRW($C$1,$C$2,$C$3,$C$4,$C$6,$C$5,$C$7,P$1,P$2,$A223)</f>
        <v>-784081.97</v>
      </c>
      <c r="Q223" s="10">
        <f ca="1">_xll.DBRW($C$1,$C$2,$C$3,$C$4,$C$6,$C$5,$C$7,Q$1,Q$2,$A223)</f>
        <v>-784081.97</v>
      </c>
      <c r="R223" s="10">
        <f ca="1">_xll.DBRW($C$1,$C$2,$C$3,$C$4,$C$6,$C$5,$C$7,R$1,R$2,$A223)</f>
        <v>-784081.97</v>
      </c>
      <c r="S223" s="10">
        <f ca="1">_xll.DBRW($C$1,$C$2,$C$3,$C$4,$C$6,$C$5,$C$7,S$1,S$2,$A223)</f>
        <v>-784081.97</v>
      </c>
      <c r="T223" s="10">
        <f ca="1">_xll.DBRW($C$1,$C$2,$C$3,$C$4,$C$6,$C$5,$C$7,T$1,T$2,$A223)</f>
        <v>-784081.97</v>
      </c>
      <c r="U223" s="10">
        <f ca="1">_xll.DBRW($C$1,$C$2,$C$3,$C$4,$C$6,$C$5,$C$7,U$1,U$2,$A223)</f>
        <v>-784081.97</v>
      </c>
      <c r="V223" s="10">
        <f ca="1">_xll.DBRW($C$1,$C$2,$C$3,$C$4,$C$6,$C$5,$C$7,V$1,V$2,$A223)</f>
        <v>0</v>
      </c>
      <c r="W223" s="10">
        <f ca="1">_xll.DBRW($C$1,$C$2,$C$3,$C$4,$C$6,$C$5,$C$7,W$1,W$2,$A223)</f>
        <v>0</v>
      </c>
      <c r="X223" s="10">
        <f ca="1">_xll.DBRW($C$1,$C$2,$C$3,$C$4,$C$6,$C$5,$C$7,X$1,X$2,$A223)</f>
        <v>0</v>
      </c>
      <c r="Y223" s="10">
        <f ca="1">_xll.DBRW($C$1,$C$2,$C$3,$C$4,$C$6,$C$5,$C$7,Y$1,Y$2,$A223)</f>
        <v>0</v>
      </c>
      <c r="Z223" s="10">
        <f ca="1">_xll.DBRW($C$1,$C$2,$C$3,$C$4,$C$6,$C$5,$C$7,Z$1,Z$2,$A223)</f>
        <v>0</v>
      </c>
      <c r="AA223" s="10">
        <f ca="1">_xll.DBRW($C$1,$C$2,$C$3,$C$4,$C$6,$C$5,$C$7,AA$1,AA$2,$A223)</f>
        <v>0</v>
      </c>
      <c r="AB223" s="10">
        <f ca="1">_xll.DBRW($C$1,$C$2,$C$3,$C$4,$C$6,$C$5,$C$7,AB$1,AB$2,$A223)</f>
        <v>0</v>
      </c>
      <c r="AC223" s="10">
        <f ca="1">_xll.DBRW($C$1,$C$2,$C$3,$C$4,$C$6,$C$5,$C$7,AC$1,AC$2,$A223)</f>
        <v>0</v>
      </c>
      <c r="AD223" s="10">
        <f ca="1">_xll.DBRW($C$1,$C$2,$C$3,$C$4,$C$6,$C$5,$C$7,AD$1,AD$2,$A223)</f>
        <v>0</v>
      </c>
      <c r="AE223" s="10">
        <f ca="1">_xll.DBRW($C$1,$C$2,$C$3,$C$4,$C$6,$C$5,$C$7,AE$1,AE$2,$A223)</f>
        <v>0</v>
      </c>
      <c r="AF223" s="10">
        <f ca="1">_xll.DBRW($C$1,$C$2,$C$3,$C$4,$C$6,$C$5,$C$7,AF$1,AF$2,$A223)</f>
        <v>0</v>
      </c>
      <c r="AG223" s="10">
        <f ca="1">_xll.DBRW($C$1,$C$2,$C$3,$C$4,$C$6,$C$5,$C$7,AG$1,AG$2,$A223)</f>
        <v>0</v>
      </c>
      <c r="AH223" s="23">
        <f ca="1">_xll.DBRW($C$1,$C$2,$C$3,$C$4,$C$6,$C$5,$C$7,AH$1,AH$2,$A223)</f>
        <v>0</v>
      </c>
      <c r="AI223" s="10">
        <f ca="1">_xll.DBRW($C$1,$C$2,$C$3,$C$4,$C$6,$C$5,$C$7,AI$1,AI$2,$A223)</f>
        <v>0</v>
      </c>
      <c r="AJ223" s="10">
        <f ca="1">_xll.DBRW($C$1,$C$2,$C$3,$C$4,$C$6,$C$5,$C$7,AJ$1,AJ$2,$A223)</f>
        <v>0</v>
      </c>
      <c r="AK223" s="10">
        <f ca="1">_xll.DBRW($C$1,$C$2,$C$3,$C$4,$C$6,$C$5,$C$7,AK$1,AK$2,$A223)</f>
        <v>0</v>
      </c>
      <c r="AL223" s="10">
        <f ca="1">_xll.DBRW($C$1,$C$2,$C$3,$C$4,$C$6,$C$5,$C$7,AL$1,AL$2,$A223)</f>
        <v>0</v>
      </c>
      <c r="AM223" s="10">
        <f ca="1">_xll.DBRW($C$1,$C$2,$C$3,$C$4,$C$6,$C$5,$C$7,AM$1,AM$2,$A223)</f>
        <v>0</v>
      </c>
      <c r="AN223" s="10">
        <f ca="1">_xll.DBRW($C$1,$C$2,$C$3,$C$4,$C$6,$C$5,$C$7,AN$1,AN$2,$A223)</f>
        <v>0</v>
      </c>
      <c r="AO223" s="10">
        <f ca="1">_xll.DBRW($C$1,$C$2,$C$3,$C$4,$C$6,$C$5,$C$7,AO$1,AO$2,$A223)</f>
        <v>0</v>
      </c>
      <c r="AP223" s="10">
        <f ca="1">_xll.DBRW($C$1,$C$2,$C$3,$C$4,$C$6,$C$5,$C$7,AP$1,AP$2,$A223)</f>
        <v>0</v>
      </c>
      <c r="AQ223" s="10">
        <f ca="1">_xll.DBRW($C$1,$C$2,$C$3,$C$4,$C$6,$C$5,$C$7,AQ$1,AQ$2,$A223)</f>
        <v>0</v>
      </c>
      <c r="AR223" s="10">
        <f ca="1">_xll.DBRW($C$1,$C$2,$C$3,$C$4,$C$6,$C$5,$C$7,AR$1,AR$2,$A223)</f>
        <v>0</v>
      </c>
      <c r="AS223" s="10">
        <f ca="1">_xll.DBRW($C$1,$C$2,$C$3,$C$4,$C$6,$C$5,$C$7,AS$1,AS$2,$A223)</f>
        <v>0</v>
      </c>
      <c r="AT223" s="10">
        <f ca="1">_xll.DBRW($C$1,$C$2,$C$3,$C$4,$C$6,$C$5,$C$7,AT$1,AT$2,$A223)</f>
        <v>0</v>
      </c>
      <c r="AU223" s="10">
        <f ca="1">_xll.DBRW($C$1,$C$2,$C$3,$C$4,$C$6,$C$5,$C$7,AU$1,AU$2,$A223)</f>
        <v>0</v>
      </c>
    </row>
    <row r="224" spans="1:47" ht="15.75" hidden="1" customHeight="1" outlineLevel="1">
      <c r="A224" s="1" t="s">
        <v>296</v>
      </c>
      <c r="C224" s="141"/>
      <c r="E224" s="9" t="str">
        <f ca="1">_xll.DBRW(Server&amp;"}ElementAttributes_Indicator",A224,"code_English")</f>
        <v>PL0000_TPL12 - Business development expenses - Vector Reconciliation</v>
      </c>
      <c r="F224" s="10">
        <f ca="1">_xll.DBRW($C$1,$C$2,$C$3,$C$4,$C$6,$C$5,$C$7,F$1,F$2,$A224)</f>
        <v>0</v>
      </c>
      <c r="G224" s="10">
        <f ca="1">_xll.DBRW($C$1,$C$2,$C$3,$C$4,$C$6,$C$5,$C$7,G$1,G$2,$A224)</f>
        <v>0</v>
      </c>
      <c r="H224" s="10">
        <f ca="1">_xll.DBRW($C$1,$C$2,$C$3,$C$4,$C$6,$C$5,$C$7,H$1,H$2,$A224)</f>
        <v>0</v>
      </c>
      <c r="I224" s="10">
        <f ca="1">_xll.DBRW($C$1,$C$2,$C$3,$C$4,$C$6,$C$5,$C$7,I$1,I$2,$A224)</f>
        <v>0</v>
      </c>
      <c r="J224" s="10">
        <f ca="1">_xll.DBRW($C$1,$C$2,$C$3,$C$4,$C$6,$C$5,$C$7,J$1,J$2,$A224)</f>
        <v>0</v>
      </c>
      <c r="K224" s="10">
        <f ca="1">_xll.DBRW($C$1,$C$2,$C$3,$C$4,$C$6,$C$5,$C$7,K$1,K$2,$A224)</f>
        <v>0</v>
      </c>
      <c r="L224" s="10">
        <f ca="1">_xll.DBRW($C$1,$C$2,$C$3,$C$4,$C$6,$C$5,$C$7,L$1,L$2,$A224)</f>
        <v>0</v>
      </c>
      <c r="M224" s="10">
        <f ca="1">_xll.DBRW($C$1,$C$2,$C$3,$C$4,$C$6,$C$5,$C$7,M$1,M$2,$A224)</f>
        <v>0</v>
      </c>
      <c r="N224" s="10">
        <f ca="1">_xll.DBRW($C$1,$C$2,$C$3,$C$4,$C$6,$C$5,$C$7,N$1,N$2,$A224)</f>
        <v>0</v>
      </c>
      <c r="O224" s="10">
        <f ca="1">_xll.DBRW($C$1,$C$2,$C$3,$C$4,$C$6,$C$5,$C$7,O$1,O$2,$A224)</f>
        <v>0</v>
      </c>
      <c r="P224" s="10">
        <f ca="1">_xll.DBRW($C$1,$C$2,$C$3,$C$4,$C$6,$C$5,$C$7,P$1,P$2,$A224)</f>
        <v>0</v>
      </c>
      <c r="Q224" s="10">
        <f ca="1">_xll.DBRW($C$1,$C$2,$C$3,$C$4,$C$6,$C$5,$C$7,Q$1,Q$2,$A224)</f>
        <v>0</v>
      </c>
      <c r="R224" s="10">
        <f ca="1">_xll.DBRW($C$1,$C$2,$C$3,$C$4,$C$6,$C$5,$C$7,R$1,R$2,$A224)</f>
        <v>0</v>
      </c>
      <c r="S224" s="10">
        <f ca="1">_xll.DBRW($C$1,$C$2,$C$3,$C$4,$C$6,$C$5,$C$7,S$1,S$2,$A224)</f>
        <v>0</v>
      </c>
      <c r="T224" s="10">
        <f ca="1">_xll.DBRW($C$1,$C$2,$C$3,$C$4,$C$6,$C$5,$C$7,T$1,T$2,$A224)</f>
        <v>0</v>
      </c>
      <c r="U224" s="10">
        <f ca="1">_xll.DBRW($C$1,$C$2,$C$3,$C$4,$C$6,$C$5,$C$7,U$1,U$2,$A224)</f>
        <v>0</v>
      </c>
      <c r="V224" s="10">
        <f ca="1">_xll.DBRW($C$1,$C$2,$C$3,$C$4,$C$6,$C$5,$C$7,V$1,V$2,$A224)</f>
        <v>0</v>
      </c>
      <c r="W224" s="10">
        <f ca="1">_xll.DBRW($C$1,$C$2,$C$3,$C$4,$C$6,$C$5,$C$7,W$1,W$2,$A224)</f>
        <v>0</v>
      </c>
      <c r="X224" s="10">
        <f ca="1">_xll.DBRW($C$1,$C$2,$C$3,$C$4,$C$6,$C$5,$C$7,X$1,X$2,$A224)</f>
        <v>0</v>
      </c>
      <c r="Y224" s="10">
        <f ca="1">_xll.DBRW($C$1,$C$2,$C$3,$C$4,$C$6,$C$5,$C$7,Y$1,Y$2,$A224)</f>
        <v>0</v>
      </c>
      <c r="Z224" s="10">
        <f ca="1">_xll.DBRW($C$1,$C$2,$C$3,$C$4,$C$6,$C$5,$C$7,Z$1,Z$2,$A224)</f>
        <v>0</v>
      </c>
      <c r="AA224" s="10">
        <f ca="1">_xll.DBRW($C$1,$C$2,$C$3,$C$4,$C$6,$C$5,$C$7,AA$1,AA$2,$A224)</f>
        <v>0</v>
      </c>
      <c r="AB224" s="10">
        <f ca="1">_xll.DBRW($C$1,$C$2,$C$3,$C$4,$C$6,$C$5,$C$7,AB$1,AB$2,$A224)</f>
        <v>0</v>
      </c>
      <c r="AC224" s="10">
        <f ca="1">_xll.DBRW($C$1,$C$2,$C$3,$C$4,$C$6,$C$5,$C$7,AC$1,AC$2,$A224)</f>
        <v>0</v>
      </c>
      <c r="AD224" s="10">
        <f ca="1">_xll.DBRW($C$1,$C$2,$C$3,$C$4,$C$6,$C$5,$C$7,AD$1,AD$2,$A224)</f>
        <v>0</v>
      </c>
      <c r="AE224" s="10">
        <f ca="1">_xll.DBRW($C$1,$C$2,$C$3,$C$4,$C$6,$C$5,$C$7,AE$1,AE$2,$A224)</f>
        <v>0</v>
      </c>
      <c r="AF224" s="10">
        <f ca="1">_xll.DBRW($C$1,$C$2,$C$3,$C$4,$C$6,$C$5,$C$7,AF$1,AF$2,$A224)</f>
        <v>0</v>
      </c>
      <c r="AG224" s="10">
        <f ca="1">_xll.DBRW($C$1,$C$2,$C$3,$C$4,$C$6,$C$5,$C$7,AG$1,AG$2,$A224)</f>
        <v>0</v>
      </c>
      <c r="AH224" s="23">
        <f ca="1">_xll.DBRW($C$1,$C$2,$C$3,$C$4,$C$6,$C$5,$C$7,AH$1,AH$2,$A224)</f>
        <v>0</v>
      </c>
      <c r="AI224" s="10">
        <f ca="1">_xll.DBRW($C$1,$C$2,$C$3,$C$4,$C$6,$C$5,$C$7,AI$1,AI$2,$A224)</f>
        <v>0</v>
      </c>
      <c r="AJ224" s="10">
        <f ca="1">_xll.DBRW($C$1,$C$2,$C$3,$C$4,$C$6,$C$5,$C$7,AJ$1,AJ$2,$A224)</f>
        <v>0</v>
      </c>
      <c r="AK224" s="10">
        <f ca="1">_xll.DBRW($C$1,$C$2,$C$3,$C$4,$C$6,$C$5,$C$7,AK$1,AK$2,$A224)</f>
        <v>0</v>
      </c>
      <c r="AL224" s="10">
        <f ca="1">_xll.DBRW($C$1,$C$2,$C$3,$C$4,$C$6,$C$5,$C$7,AL$1,AL$2,$A224)</f>
        <v>0</v>
      </c>
      <c r="AM224" s="10">
        <f ca="1">_xll.DBRW($C$1,$C$2,$C$3,$C$4,$C$6,$C$5,$C$7,AM$1,AM$2,$A224)</f>
        <v>0</v>
      </c>
      <c r="AN224" s="10">
        <f ca="1">_xll.DBRW($C$1,$C$2,$C$3,$C$4,$C$6,$C$5,$C$7,AN$1,AN$2,$A224)</f>
        <v>0</v>
      </c>
      <c r="AO224" s="10">
        <f ca="1">_xll.DBRW($C$1,$C$2,$C$3,$C$4,$C$6,$C$5,$C$7,AO$1,AO$2,$A224)</f>
        <v>0</v>
      </c>
      <c r="AP224" s="10">
        <f ca="1">_xll.DBRW($C$1,$C$2,$C$3,$C$4,$C$6,$C$5,$C$7,AP$1,AP$2,$A224)</f>
        <v>0</v>
      </c>
      <c r="AQ224" s="10">
        <f ca="1">_xll.DBRW($C$1,$C$2,$C$3,$C$4,$C$6,$C$5,$C$7,AQ$1,AQ$2,$A224)</f>
        <v>0</v>
      </c>
      <c r="AR224" s="10">
        <f ca="1">_xll.DBRW($C$1,$C$2,$C$3,$C$4,$C$6,$C$5,$C$7,AR$1,AR$2,$A224)</f>
        <v>0</v>
      </c>
      <c r="AS224" s="10">
        <f ca="1">_xll.DBRW($C$1,$C$2,$C$3,$C$4,$C$6,$C$5,$C$7,AS$1,AS$2,$A224)</f>
        <v>0</v>
      </c>
      <c r="AT224" s="10">
        <f ca="1">_xll.DBRW($C$1,$C$2,$C$3,$C$4,$C$6,$C$5,$C$7,AT$1,AT$2,$A224)</f>
        <v>0</v>
      </c>
      <c r="AU224" s="10">
        <f ca="1">_xll.DBRW($C$1,$C$2,$C$3,$C$4,$C$6,$C$5,$C$7,AU$1,AU$2,$A224)</f>
        <v>0</v>
      </c>
    </row>
    <row r="225" spans="1:47" ht="15.75" hidden="1" outlineLevel="1" collapsed="1">
      <c r="A225" s="1" t="s">
        <v>127</v>
      </c>
      <c r="C225" s="141"/>
      <c r="E225" s="14" t="s">
        <v>43</v>
      </c>
      <c r="F225" s="37">
        <f t="shared" ref="F225:T225" ca="1" si="88">F224+F223</f>
        <v>-2715155.82</v>
      </c>
      <c r="G225" s="37">
        <f t="shared" ca="1" si="88"/>
        <v>-1597949.09</v>
      </c>
      <c r="H225" s="37">
        <f t="shared" ca="1" si="88"/>
        <v>-1506946.3599999999</v>
      </c>
      <c r="I225" s="37">
        <f t="shared" ca="1" si="88"/>
        <v>-213996.12</v>
      </c>
      <c r="J225" s="37">
        <f t="shared" ca="1" si="88"/>
        <v>-264207.31</v>
      </c>
      <c r="K225" s="37">
        <f t="shared" ca="1" si="88"/>
        <v>-432155.37</v>
      </c>
      <c r="L225" s="37">
        <f t="shared" ca="1" si="88"/>
        <v>-530598.09</v>
      </c>
      <c r="M225" s="37">
        <f t="shared" ca="1" si="88"/>
        <v>-679248.97</v>
      </c>
      <c r="N225" s="37">
        <f t="shared" ca="1" si="88"/>
        <v>-784081.97</v>
      </c>
      <c r="O225" s="37">
        <f t="shared" ca="1" si="88"/>
        <v>-784081.97</v>
      </c>
      <c r="P225" s="37">
        <f t="shared" ca="1" si="88"/>
        <v>-784081.97</v>
      </c>
      <c r="Q225" s="37">
        <f t="shared" ca="1" si="88"/>
        <v>-784081.97</v>
      </c>
      <c r="R225" s="37">
        <f t="shared" ca="1" si="88"/>
        <v>-784081.97</v>
      </c>
      <c r="S225" s="37">
        <f t="shared" ca="1" si="88"/>
        <v>-784081.97</v>
      </c>
      <c r="T225" s="37">
        <f t="shared" ca="1" si="88"/>
        <v>-784081.97</v>
      </c>
      <c r="U225" s="37">
        <f ca="1">U224+U223</f>
        <v>-784081.97</v>
      </c>
      <c r="V225" s="37">
        <f t="shared" ref="V225:AG225" ca="1" si="89">V224+V223</f>
        <v>0</v>
      </c>
      <c r="W225" s="37">
        <f t="shared" ca="1" si="89"/>
        <v>0</v>
      </c>
      <c r="X225" s="37">
        <f t="shared" ca="1" si="89"/>
        <v>0</v>
      </c>
      <c r="Y225" s="37">
        <f t="shared" ca="1" si="89"/>
        <v>0</v>
      </c>
      <c r="Z225" s="37">
        <f t="shared" ca="1" si="89"/>
        <v>0</v>
      </c>
      <c r="AA225" s="37">
        <f t="shared" ca="1" si="89"/>
        <v>0</v>
      </c>
      <c r="AB225" s="37">
        <f t="shared" ca="1" si="89"/>
        <v>0</v>
      </c>
      <c r="AC225" s="37">
        <f t="shared" ca="1" si="89"/>
        <v>0</v>
      </c>
      <c r="AD225" s="37">
        <f t="shared" ca="1" si="89"/>
        <v>0</v>
      </c>
      <c r="AE225" s="37">
        <f t="shared" ca="1" si="89"/>
        <v>0</v>
      </c>
      <c r="AF225" s="37">
        <f t="shared" ca="1" si="89"/>
        <v>0</v>
      </c>
      <c r="AG225" s="37">
        <f t="shared" ca="1" si="89"/>
        <v>0</v>
      </c>
      <c r="AH225" s="37">
        <f ca="1">AH224+AH223</f>
        <v>0</v>
      </c>
      <c r="AI225" s="37">
        <f t="shared" ref="AI225:AT225" ca="1" si="90">AI224+AI223</f>
        <v>0</v>
      </c>
      <c r="AJ225" s="37">
        <f t="shared" ca="1" si="90"/>
        <v>0</v>
      </c>
      <c r="AK225" s="37">
        <f t="shared" ca="1" si="90"/>
        <v>0</v>
      </c>
      <c r="AL225" s="37">
        <f t="shared" ca="1" si="90"/>
        <v>0</v>
      </c>
      <c r="AM225" s="37">
        <f t="shared" ca="1" si="90"/>
        <v>0</v>
      </c>
      <c r="AN225" s="37">
        <f t="shared" ca="1" si="90"/>
        <v>0</v>
      </c>
      <c r="AO225" s="37">
        <f t="shared" ca="1" si="90"/>
        <v>0</v>
      </c>
      <c r="AP225" s="37">
        <f t="shared" ca="1" si="90"/>
        <v>0</v>
      </c>
      <c r="AQ225" s="37">
        <f t="shared" ca="1" si="90"/>
        <v>0</v>
      </c>
      <c r="AR225" s="37">
        <f t="shared" ca="1" si="90"/>
        <v>0</v>
      </c>
      <c r="AS225" s="37">
        <f t="shared" ca="1" si="90"/>
        <v>0</v>
      </c>
      <c r="AT225" s="37">
        <f t="shared" ca="1" si="90"/>
        <v>0</v>
      </c>
      <c r="AU225" s="37">
        <f ca="1">AU224+AU223</f>
        <v>0</v>
      </c>
    </row>
    <row r="226" spans="1:47" ht="15.75" hidden="1" customHeight="1" outlineLevel="2">
      <c r="A226" s="1" t="s">
        <v>297</v>
      </c>
      <c r="C226" s="141"/>
      <c r="E226" s="9" t="str">
        <f ca="1">_xll.DBRW(Server&amp;"}ElementAttributes_Indicator",A226,"code_English")</f>
        <v>PL0000_CO - Communication</v>
      </c>
      <c r="F226" s="32">
        <f ca="1">_xll.DBRW($C$1,$C$2,$C$3,$C$4,$C$6,$C$5,$C$7,F$1,F$2,$A226)</f>
        <v>-3958890.6400000006</v>
      </c>
      <c r="G226" s="32">
        <f ca="1">_xll.DBRW($C$1,$C$2,$C$3,$C$4,$C$6,$C$5,$C$7,G$1,G$2,$A226)</f>
        <v>-3874912.6400000006</v>
      </c>
      <c r="H226" s="32">
        <f ca="1">_xll.DBRW($C$1,$C$2,$C$3,$C$4,$C$6,$C$5,$C$7,H$1,H$2,$A226)</f>
        <v>-2964046.5099999993</v>
      </c>
      <c r="I226" s="32">
        <f ca="1">_xll.DBRW($C$1,$C$2,$C$3,$C$4,$C$6,$C$5,$C$7,I$1,I$2,$A226)</f>
        <v>-241238.16000000003</v>
      </c>
      <c r="J226" s="32">
        <f ca="1">_xll.DBRW($C$1,$C$2,$C$3,$C$4,$C$6,$C$5,$C$7,J$1,J$2,$A226)</f>
        <v>-509416.32</v>
      </c>
      <c r="K226" s="32">
        <f ca="1">_xll.DBRW($C$1,$C$2,$C$3,$C$4,$C$6,$C$5,$C$7,K$1,K$2,$A226)</f>
        <v>-811910.31</v>
      </c>
      <c r="L226" s="32">
        <f ca="1">_xll.DBRW($C$1,$C$2,$C$3,$C$4,$C$6,$C$5,$C$7,L$1,L$2,$A226)</f>
        <v>-1083591.8700000001</v>
      </c>
      <c r="M226" s="32">
        <f ca="1">_xll.DBRW($C$1,$C$2,$C$3,$C$4,$C$6,$C$5,$C$7,M$1,M$2,$A226)</f>
        <v>-1329739.7600000002</v>
      </c>
      <c r="N226" s="32">
        <f ca="1">_xll.DBRW($C$1,$C$2,$C$3,$C$4,$C$6,$C$5,$C$7,N$1,N$2,$A226)</f>
        <v>-1599930.4600000004</v>
      </c>
      <c r="O226" s="32">
        <f ca="1">_xll.DBRW($C$1,$C$2,$C$3,$C$4,$C$6,$C$5,$C$7,O$1,O$2,$A226)</f>
        <v>-1599930.4600000004</v>
      </c>
      <c r="P226" s="32">
        <f ca="1">_xll.DBRW($C$1,$C$2,$C$3,$C$4,$C$6,$C$5,$C$7,P$1,P$2,$A226)</f>
        <v>-1599930.4600000004</v>
      </c>
      <c r="Q226" s="32">
        <f ca="1">_xll.DBRW($C$1,$C$2,$C$3,$C$4,$C$6,$C$5,$C$7,Q$1,Q$2,$A226)</f>
        <v>-1599930.4600000004</v>
      </c>
      <c r="R226" s="32">
        <f ca="1">_xll.DBRW($C$1,$C$2,$C$3,$C$4,$C$6,$C$5,$C$7,R$1,R$2,$A226)</f>
        <v>-1599930.4600000004</v>
      </c>
      <c r="S226" s="32">
        <f ca="1">_xll.DBRW($C$1,$C$2,$C$3,$C$4,$C$6,$C$5,$C$7,S$1,S$2,$A226)</f>
        <v>-1599930.4600000004</v>
      </c>
      <c r="T226" s="32">
        <f ca="1">_xll.DBRW($C$1,$C$2,$C$3,$C$4,$C$6,$C$5,$C$7,T$1,T$2,$A226)</f>
        <v>-1599930.4600000004</v>
      </c>
      <c r="U226" s="32">
        <f ca="1">_xll.DBRW($C$1,$C$2,$C$3,$C$4,$C$6,$C$5,$C$7,U$1,U$2,$A226)</f>
        <v>-1599930.4600000004</v>
      </c>
      <c r="V226" s="32">
        <f ca="1">_xll.DBRW($C$1,$C$2,$C$3,$C$4,$C$6,$C$5,$C$7,V$1,V$2,$A226)</f>
        <v>0</v>
      </c>
      <c r="W226" s="32">
        <f ca="1">_xll.DBRW($C$1,$C$2,$C$3,$C$4,$C$6,$C$5,$C$7,W$1,W$2,$A226)</f>
        <v>0</v>
      </c>
      <c r="X226" s="32">
        <f ca="1">_xll.DBRW($C$1,$C$2,$C$3,$C$4,$C$6,$C$5,$C$7,X$1,X$2,$A226)</f>
        <v>0</v>
      </c>
      <c r="Y226" s="32">
        <f ca="1">_xll.DBRW($C$1,$C$2,$C$3,$C$4,$C$6,$C$5,$C$7,Y$1,Y$2,$A226)</f>
        <v>0</v>
      </c>
      <c r="Z226" s="32">
        <f ca="1">_xll.DBRW($C$1,$C$2,$C$3,$C$4,$C$6,$C$5,$C$7,Z$1,Z$2,$A226)</f>
        <v>0</v>
      </c>
      <c r="AA226" s="32">
        <f ca="1">_xll.DBRW($C$1,$C$2,$C$3,$C$4,$C$6,$C$5,$C$7,AA$1,AA$2,$A226)</f>
        <v>0</v>
      </c>
      <c r="AB226" s="32">
        <f ca="1">_xll.DBRW($C$1,$C$2,$C$3,$C$4,$C$6,$C$5,$C$7,AB$1,AB$2,$A226)</f>
        <v>0</v>
      </c>
      <c r="AC226" s="32">
        <f ca="1">_xll.DBRW($C$1,$C$2,$C$3,$C$4,$C$6,$C$5,$C$7,AC$1,AC$2,$A226)</f>
        <v>0</v>
      </c>
      <c r="AD226" s="32">
        <f ca="1">_xll.DBRW($C$1,$C$2,$C$3,$C$4,$C$6,$C$5,$C$7,AD$1,AD$2,$A226)</f>
        <v>0</v>
      </c>
      <c r="AE226" s="32">
        <f ca="1">_xll.DBRW($C$1,$C$2,$C$3,$C$4,$C$6,$C$5,$C$7,AE$1,AE$2,$A226)</f>
        <v>0</v>
      </c>
      <c r="AF226" s="32">
        <f ca="1">_xll.DBRW($C$1,$C$2,$C$3,$C$4,$C$6,$C$5,$C$7,AF$1,AF$2,$A226)</f>
        <v>0</v>
      </c>
      <c r="AG226" s="32">
        <f ca="1">_xll.DBRW($C$1,$C$2,$C$3,$C$4,$C$6,$C$5,$C$7,AG$1,AG$2,$A226)</f>
        <v>0</v>
      </c>
      <c r="AH226" s="32">
        <f ca="1">_xll.DBRW($C$1,$C$2,$C$3,$C$4,$C$6,$C$5,$C$7,AH$1,AH$2,$A226)</f>
        <v>0</v>
      </c>
      <c r="AI226" s="32">
        <f ca="1">_xll.DBRW($C$1,$C$2,$C$3,$C$4,$C$6,$C$5,$C$7,AI$1,AI$2,$A226)</f>
        <v>0</v>
      </c>
      <c r="AJ226" s="32">
        <f ca="1">_xll.DBRW($C$1,$C$2,$C$3,$C$4,$C$6,$C$5,$C$7,AJ$1,AJ$2,$A226)</f>
        <v>0</v>
      </c>
      <c r="AK226" s="32">
        <f ca="1">_xll.DBRW($C$1,$C$2,$C$3,$C$4,$C$6,$C$5,$C$7,AK$1,AK$2,$A226)</f>
        <v>0</v>
      </c>
      <c r="AL226" s="32">
        <f ca="1">_xll.DBRW($C$1,$C$2,$C$3,$C$4,$C$6,$C$5,$C$7,AL$1,AL$2,$A226)</f>
        <v>0</v>
      </c>
      <c r="AM226" s="32">
        <f ca="1">_xll.DBRW($C$1,$C$2,$C$3,$C$4,$C$6,$C$5,$C$7,AM$1,AM$2,$A226)</f>
        <v>0</v>
      </c>
      <c r="AN226" s="32">
        <f ca="1">_xll.DBRW($C$1,$C$2,$C$3,$C$4,$C$6,$C$5,$C$7,AN$1,AN$2,$A226)</f>
        <v>0</v>
      </c>
      <c r="AO226" s="32">
        <f ca="1">_xll.DBRW($C$1,$C$2,$C$3,$C$4,$C$6,$C$5,$C$7,AO$1,AO$2,$A226)</f>
        <v>0</v>
      </c>
      <c r="AP226" s="32">
        <f ca="1">_xll.DBRW($C$1,$C$2,$C$3,$C$4,$C$6,$C$5,$C$7,AP$1,AP$2,$A226)</f>
        <v>0</v>
      </c>
      <c r="AQ226" s="32">
        <f ca="1">_xll.DBRW($C$1,$C$2,$C$3,$C$4,$C$6,$C$5,$C$7,AQ$1,AQ$2,$A226)</f>
        <v>0</v>
      </c>
      <c r="AR226" s="32">
        <f ca="1">_xll.DBRW($C$1,$C$2,$C$3,$C$4,$C$6,$C$5,$C$7,AR$1,AR$2,$A226)</f>
        <v>0</v>
      </c>
      <c r="AS226" s="32">
        <f ca="1">_xll.DBRW($C$1,$C$2,$C$3,$C$4,$C$6,$C$5,$C$7,AS$1,AS$2,$A226)</f>
        <v>0</v>
      </c>
      <c r="AT226" s="32">
        <f ca="1">_xll.DBRW($C$1,$C$2,$C$3,$C$4,$C$6,$C$5,$C$7,AT$1,AT$2,$A226)</f>
        <v>0</v>
      </c>
      <c r="AU226" s="32">
        <f ca="1">_xll.DBRW($C$1,$C$2,$C$3,$C$4,$C$6,$C$5,$C$7,AU$1,AU$2,$A226)</f>
        <v>0</v>
      </c>
    </row>
    <row r="227" spans="1:47" ht="15.75" hidden="1" outlineLevel="1">
      <c r="A227" s="1" t="s">
        <v>127</v>
      </c>
      <c r="C227" s="141"/>
      <c r="E227" s="15" t="s">
        <v>44</v>
      </c>
      <c r="F227" s="38">
        <f t="shared" ref="F227:T227" ca="1" si="91">F226</f>
        <v>-3958890.6400000006</v>
      </c>
      <c r="G227" s="38">
        <f t="shared" ca="1" si="91"/>
        <v>-3874912.6400000006</v>
      </c>
      <c r="H227" s="38">
        <f t="shared" ca="1" si="91"/>
        <v>-2964046.5099999993</v>
      </c>
      <c r="I227" s="38">
        <f t="shared" ca="1" si="91"/>
        <v>-241238.16000000003</v>
      </c>
      <c r="J227" s="38">
        <f t="shared" ca="1" si="91"/>
        <v>-509416.32</v>
      </c>
      <c r="K227" s="38">
        <f t="shared" ca="1" si="91"/>
        <v>-811910.31</v>
      </c>
      <c r="L227" s="38">
        <f t="shared" ca="1" si="91"/>
        <v>-1083591.8700000001</v>
      </c>
      <c r="M227" s="38">
        <f t="shared" ca="1" si="91"/>
        <v>-1329739.7600000002</v>
      </c>
      <c r="N227" s="38">
        <f t="shared" ca="1" si="91"/>
        <v>-1599930.4600000004</v>
      </c>
      <c r="O227" s="38">
        <f t="shared" ca="1" si="91"/>
        <v>-1599930.4600000004</v>
      </c>
      <c r="P227" s="38">
        <f t="shared" ca="1" si="91"/>
        <v>-1599930.4600000004</v>
      </c>
      <c r="Q227" s="38">
        <f t="shared" ca="1" si="91"/>
        <v>-1599930.4600000004</v>
      </c>
      <c r="R227" s="38">
        <f t="shared" ca="1" si="91"/>
        <v>-1599930.4600000004</v>
      </c>
      <c r="S227" s="38">
        <f t="shared" ca="1" si="91"/>
        <v>-1599930.4600000004</v>
      </c>
      <c r="T227" s="38">
        <f t="shared" ca="1" si="91"/>
        <v>-1599930.4600000004</v>
      </c>
      <c r="U227" s="38">
        <f ca="1">U226</f>
        <v>-1599930.4600000004</v>
      </c>
      <c r="V227" s="38">
        <f ca="1">V226</f>
        <v>0</v>
      </c>
      <c r="W227" s="38">
        <f t="shared" ref="W227:AG227" ca="1" si="92">W226</f>
        <v>0</v>
      </c>
      <c r="X227" s="38">
        <f t="shared" ca="1" si="92"/>
        <v>0</v>
      </c>
      <c r="Y227" s="38">
        <f t="shared" ca="1" si="92"/>
        <v>0</v>
      </c>
      <c r="Z227" s="38">
        <f t="shared" ca="1" si="92"/>
        <v>0</v>
      </c>
      <c r="AA227" s="38">
        <f t="shared" ca="1" si="92"/>
        <v>0</v>
      </c>
      <c r="AB227" s="38">
        <f t="shared" ca="1" si="92"/>
        <v>0</v>
      </c>
      <c r="AC227" s="38">
        <f t="shared" ca="1" si="92"/>
        <v>0</v>
      </c>
      <c r="AD227" s="38">
        <f t="shared" ca="1" si="92"/>
        <v>0</v>
      </c>
      <c r="AE227" s="38">
        <f t="shared" ca="1" si="92"/>
        <v>0</v>
      </c>
      <c r="AF227" s="38">
        <f t="shared" ca="1" si="92"/>
        <v>0</v>
      </c>
      <c r="AG227" s="38">
        <f t="shared" ca="1" si="92"/>
        <v>0</v>
      </c>
      <c r="AH227" s="38">
        <f ca="1">AH226</f>
        <v>0</v>
      </c>
      <c r="AI227" s="38">
        <f ca="1">AI226</f>
        <v>0</v>
      </c>
      <c r="AJ227" s="38">
        <f t="shared" ref="AJ227:AT227" ca="1" si="93">AJ226</f>
        <v>0</v>
      </c>
      <c r="AK227" s="38">
        <f t="shared" ca="1" si="93"/>
        <v>0</v>
      </c>
      <c r="AL227" s="38">
        <f t="shared" ca="1" si="93"/>
        <v>0</v>
      </c>
      <c r="AM227" s="38">
        <f t="shared" ca="1" si="93"/>
        <v>0</v>
      </c>
      <c r="AN227" s="38">
        <f t="shared" ca="1" si="93"/>
        <v>0</v>
      </c>
      <c r="AO227" s="38">
        <f t="shared" ca="1" si="93"/>
        <v>0</v>
      </c>
      <c r="AP227" s="38">
        <f t="shared" ca="1" si="93"/>
        <v>0</v>
      </c>
      <c r="AQ227" s="38">
        <f t="shared" ca="1" si="93"/>
        <v>0</v>
      </c>
      <c r="AR227" s="38">
        <f t="shared" ca="1" si="93"/>
        <v>0</v>
      </c>
      <c r="AS227" s="38">
        <f t="shared" ca="1" si="93"/>
        <v>0</v>
      </c>
      <c r="AT227" s="38">
        <f t="shared" ca="1" si="93"/>
        <v>0</v>
      </c>
      <c r="AU227" s="38">
        <f ca="1">AU226</f>
        <v>0</v>
      </c>
    </row>
    <row r="228" spans="1:47" ht="15.75" hidden="1" customHeight="1" outlineLevel="2">
      <c r="A228" s="1" t="s">
        <v>298</v>
      </c>
      <c r="C228" s="141"/>
      <c r="E228" s="9" t="str">
        <f ca="1">_xll.DBRW(Server&amp;"}ElementAttributes_Indicator",A228,"code_English")</f>
        <v>PL0000_FI - Finance</v>
      </c>
      <c r="F228" s="32">
        <f ca="1">_xll.DBRW($C$1,$C$2,$C$3,$C$4,$C$6,$C$5,$C$7,F$1,F$2,$A228)</f>
        <v>-7942899.040000001</v>
      </c>
      <c r="G228" s="32">
        <f ca="1">_xll.DBRW($C$1,$C$2,$C$3,$C$4,$C$6,$C$5,$C$7,G$1,G$2,$A228)</f>
        <v>-7164893.3800000018</v>
      </c>
      <c r="H228" s="32">
        <f ca="1">_xll.DBRW($C$1,$C$2,$C$3,$C$4,$C$6,$C$5,$C$7,H$1,H$2,$A228)</f>
        <v>-6576987.9800000014</v>
      </c>
      <c r="I228" s="32">
        <f ca="1">_xll.DBRW($C$1,$C$2,$C$3,$C$4,$C$6,$C$5,$C$7,I$1,I$2,$A228)</f>
        <v>-521698.58</v>
      </c>
      <c r="J228" s="32">
        <f ca="1">_xll.DBRW($C$1,$C$2,$C$3,$C$4,$C$6,$C$5,$C$7,J$1,J$2,$A228)</f>
        <v>-1058347.18</v>
      </c>
      <c r="K228" s="32">
        <f ca="1">_xll.DBRW($C$1,$C$2,$C$3,$C$4,$C$6,$C$5,$C$7,K$1,K$2,$A228)</f>
        <v>-1618375.8200000003</v>
      </c>
      <c r="L228" s="32">
        <f ca="1">_xll.DBRW($C$1,$C$2,$C$3,$C$4,$C$6,$C$5,$C$7,L$1,L$2,$A228)</f>
        <v>-2160975.1300000004</v>
      </c>
      <c r="M228" s="32">
        <f ca="1">_xll.DBRW($C$1,$C$2,$C$3,$C$4,$C$6,$C$5,$C$7,M$1,M$2,$A228)</f>
        <v>-2724140.06</v>
      </c>
      <c r="N228" s="32">
        <f ca="1">_xll.DBRW($C$1,$C$2,$C$3,$C$4,$C$6,$C$5,$C$7,N$1,N$2,$A228)</f>
        <v>-3311185.54</v>
      </c>
      <c r="O228" s="32">
        <f ca="1">_xll.DBRW($C$1,$C$2,$C$3,$C$4,$C$6,$C$5,$C$7,O$1,O$2,$A228)</f>
        <v>-3311185.54</v>
      </c>
      <c r="P228" s="32">
        <f ca="1">_xll.DBRW($C$1,$C$2,$C$3,$C$4,$C$6,$C$5,$C$7,P$1,P$2,$A228)</f>
        <v>-3311185.54</v>
      </c>
      <c r="Q228" s="32">
        <f ca="1">_xll.DBRW($C$1,$C$2,$C$3,$C$4,$C$6,$C$5,$C$7,Q$1,Q$2,$A228)</f>
        <v>-3311185.54</v>
      </c>
      <c r="R228" s="32">
        <f ca="1">_xll.DBRW($C$1,$C$2,$C$3,$C$4,$C$6,$C$5,$C$7,R$1,R$2,$A228)</f>
        <v>-3311185.54</v>
      </c>
      <c r="S228" s="32">
        <f ca="1">_xll.DBRW($C$1,$C$2,$C$3,$C$4,$C$6,$C$5,$C$7,S$1,S$2,$A228)</f>
        <v>-3311185.54</v>
      </c>
      <c r="T228" s="32">
        <f ca="1">_xll.DBRW($C$1,$C$2,$C$3,$C$4,$C$6,$C$5,$C$7,T$1,T$2,$A228)</f>
        <v>-3311185.54</v>
      </c>
      <c r="U228" s="32">
        <f ca="1">_xll.DBRW($C$1,$C$2,$C$3,$C$4,$C$6,$C$5,$C$7,U$1,U$2,$A228)</f>
        <v>-3311185.54</v>
      </c>
      <c r="V228" s="32">
        <f ca="1">_xll.DBRW($C$1,$C$2,$C$3,$C$4,$C$6,$C$5,$C$7,V$1,V$2,$A228)</f>
        <v>0</v>
      </c>
      <c r="W228" s="32">
        <f ca="1">_xll.DBRW($C$1,$C$2,$C$3,$C$4,$C$6,$C$5,$C$7,W$1,W$2,$A228)</f>
        <v>0</v>
      </c>
      <c r="X228" s="32">
        <f ca="1">_xll.DBRW($C$1,$C$2,$C$3,$C$4,$C$6,$C$5,$C$7,X$1,X$2,$A228)</f>
        <v>0</v>
      </c>
      <c r="Y228" s="32">
        <f ca="1">_xll.DBRW($C$1,$C$2,$C$3,$C$4,$C$6,$C$5,$C$7,Y$1,Y$2,$A228)</f>
        <v>0</v>
      </c>
      <c r="Z228" s="32">
        <f ca="1">_xll.DBRW($C$1,$C$2,$C$3,$C$4,$C$6,$C$5,$C$7,Z$1,Z$2,$A228)</f>
        <v>0</v>
      </c>
      <c r="AA228" s="32">
        <f ca="1">_xll.DBRW($C$1,$C$2,$C$3,$C$4,$C$6,$C$5,$C$7,AA$1,AA$2,$A228)</f>
        <v>0</v>
      </c>
      <c r="AB228" s="32">
        <f ca="1">_xll.DBRW($C$1,$C$2,$C$3,$C$4,$C$6,$C$5,$C$7,AB$1,AB$2,$A228)</f>
        <v>0</v>
      </c>
      <c r="AC228" s="32">
        <f ca="1">_xll.DBRW($C$1,$C$2,$C$3,$C$4,$C$6,$C$5,$C$7,AC$1,AC$2,$A228)</f>
        <v>0</v>
      </c>
      <c r="AD228" s="32">
        <f ca="1">_xll.DBRW($C$1,$C$2,$C$3,$C$4,$C$6,$C$5,$C$7,AD$1,AD$2,$A228)</f>
        <v>0</v>
      </c>
      <c r="AE228" s="32">
        <f ca="1">_xll.DBRW($C$1,$C$2,$C$3,$C$4,$C$6,$C$5,$C$7,AE$1,AE$2,$A228)</f>
        <v>0</v>
      </c>
      <c r="AF228" s="32">
        <f ca="1">_xll.DBRW($C$1,$C$2,$C$3,$C$4,$C$6,$C$5,$C$7,AF$1,AF$2,$A228)</f>
        <v>0</v>
      </c>
      <c r="AG228" s="32">
        <f ca="1">_xll.DBRW($C$1,$C$2,$C$3,$C$4,$C$6,$C$5,$C$7,AG$1,AG$2,$A228)</f>
        <v>0</v>
      </c>
      <c r="AH228" s="32">
        <f ca="1">_xll.DBRW($C$1,$C$2,$C$3,$C$4,$C$6,$C$5,$C$7,AH$1,AH$2,$A228)</f>
        <v>0</v>
      </c>
      <c r="AI228" s="32">
        <f ca="1">_xll.DBRW($C$1,$C$2,$C$3,$C$4,$C$6,$C$5,$C$7,AI$1,AI$2,$A228)</f>
        <v>0</v>
      </c>
      <c r="AJ228" s="32">
        <f ca="1">_xll.DBRW($C$1,$C$2,$C$3,$C$4,$C$6,$C$5,$C$7,AJ$1,AJ$2,$A228)</f>
        <v>0</v>
      </c>
      <c r="AK228" s="32">
        <f ca="1">_xll.DBRW($C$1,$C$2,$C$3,$C$4,$C$6,$C$5,$C$7,AK$1,AK$2,$A228)</f>
        <v>0</v>
      </c>
      <c r="AL228" s="32">
        <f ca="1">_xll.DBRW($C$1,$C$2,$C$3,$C$4,$C$6,$C$5,$C$7,AL$1,AL$2,$A228)</f>
        <v>0</v>
      </c>
      <c r="AM228" s="32">
        <f ca="1">_xll.DBRW($C$1,$C$2,$C$3,$C$4,$C$6,$C$5,$C$7,AM$1,AM$2,$A228)</f>
        <v>0</v>
      </c>
      <c r="AN228" s="32">
        <f ca="1">_xll.DBRW($C$1,$C$2,$C$3,$C$4,$C$6,$C$5,$C$7,AN$1,AN$2,$A228)</f>
        <v>0</v>
      </c>
      <c r="AO228" s="32">
        <f ca="1">_xll.DBRW($C$1,$C$2,$C$3,$C$4,$C$6,$C$5,$C$7,AO$1,AO$2,$A228)</f>
        <v>0</v>
      </c>
      <c r="AP228" s="32">
        <f ca="1">_xll.DBRW($C$1,$C$2,$C$3,$C$4,$C$6,$C$5,$C$7,AP$1,AP$2,$A228)</f>
        <v>0</v>
      </c>
      <c r="AQ228" s="32">
        <f ca="1">_xll.DBRW($C$1,$C$2,$C$3,$C$4,$C$6,$C$5,$C$7,AQ$1,AQ$2,$A228)</f>
        <v>0</v>
      </c>
      <c r="AR228" s="32">
        <f ca="1">_xll.DBRW($C$1,$C$2,$C$3,$C$4,$C$6,$C$5,$C$7,AR$1,AR$2,$A228)</f>
        <v>0</v>
      </c>
      <c r="AS228" s="32">
        <f ca="1">_xll.DBRW($C$1,$C$2,$C$3,$C$4,$C$6,$C$5,$C$7,AS$1,AS$2,$A228)</f>
        <v>0</v>
      </c>
      <c r="AT228" s="32">
        <f ca="1">_xll.DBRW($C$1,$C$2,$C$3,$C$4,$C$6,$C$5,$C$7,AT$1,AT$2,$A228)</f>
        <v>0</v>
      </c>
      <c r="AU228" s="32">
        <f ca="1">_xll.DBRW($C$1,$C$2,$C$3,$C$4,$C$6,$C$5,$C$7,AU$1,AU$2,$A228)</f>
        <v>0</v>
      </c>
    </row>
    <row r="229" spans="1:47" ht="15.75" hidden="1" outlineLevel="1">
      <c r="A229" s="1" t="s">
        <v>298</v>
      </c>
      <c r="C229" s="141"/>
      <c r="E229" s="15" t="s">
        <v>45</v>
      </c>
      <c r="F229" s="38">
        <f t="shared" ref="F229:T229" ca="1" si="94">F228</f>
        <v>-7942899.040000001</v>
      </c>
      <c r="G229" s="38">
        <f t="shared" ca="1" si="94"/>
        <v>-7164893.3800000018</v>
      </c>
      <c r="H229" s="38">
        <f t="shared" ca="1" si="94"/>
        <v>-6576987.9800000014</v>
      </c>
      <c r="I229" s="38">
        <f t="shared" ca="1" si="94"/>
        <v>-521698.58</v>
      </c>
      <c r="J229" s="38">
        <f t="shared" ca="1" si="94"/>
        <v>-1058347.18</v>
      </c>
      <c r="K229" s="38">
        <f t="shared" ca="1" si="94"/>
        <v>-1618375.8200000003</v>
      </c>
      <c r="L229" s="38">
        <f t="shared" ca="1" si="94"/>
        <v>-2160975.1300000004</v>
      </c>
      <c r="M229" s="38">
        <f t="shared" ca="1" si="94"/>
        <v>-2724140.06</v>
      </c>
      <c r="N229" s="38">
        <f t="shared" ca="1" si="94"/>
        <v>-3311185.54</v>
      </c>
      <c r="O229" s="38">
        <f t="shared" ca="1" si="94"/>
        <v>-3311185.54</v>
      </c>
      <c r="P229" s="38">
        <f t="shared" ca="1" si="94"/>
        <v>-3311185.54</v>
      </c>
      <c r="Q229" s="38">
        <f t="shared" ca="1" si="94"/>
        <v>-3311185.54</v>
      </c>
      <c r="R229" s="38">
        <f t="shared" ca="1" si="94"/>
        <v>-3311185.54</v>
      </c>
      <c r="S229" s="38">
        <f t="shared" ca="1" si="94"/>
        <v>-3311185.54</v>
      </c>
      <c r="T229" s="38">
        <f t="shared" ca="1" si="94"/>
        <v>-3311185.54</v>
      </c>
      <c r="U229" s="38">
        <f ca="1">U228</f>
        <v>-3311185.54</v>
      </c>
      <c r="V229" s="38">
        <f ca="1">V228</f>
        <v>0</v>
      </c>
      <c r="W229" s="38">
        <f t="shared" ref="W229:AG229" ca="1" si="95">W228</f>
        <v>0</v>
      </c>
      <c r="X229" s="38">
        <f t="shared" ca="1" si="95"/>
        <v>0</v>
      </c>
      <c r="Y229" s="38">
        <f t="shared" ca="1" si="95"/>
        <v>0</v>
      </c>
      <c r="Z229" s="38">
        <f t="shared" ca="1" si="95"/>
        <v>0</v>
      </c>
      <c r="AA229" s="38">
        <f t="shared" ca="1" si="95"/>
        <v>0</v>
      </c>
      <c r="AB229" s="38">
        <f t="shared" ca="1" si="95"/>
        <v>0</v>
      </c>
      <c r="AC229" s="38">
        <f t="shared" ca="1" si="95"/>
        <v>0</v>
      </c>
      <c r="AD229" s="38">
        <f t="shared" ca="1" si="95"/>
        <v>0</v>
      </c>
      <c r="AE229" s="38">
        <f t="shared" ca="1" si="95"/>
        <v>0</v>
      </c>
      <c r="AF229" s="38">
        <f t="shared" ca="1" si="95"/>
        <v>0</v>
      </c>
      <c r="AG229" s="38">
        <f t="shared" ca="1" si="95"/>
        <v>0</v>
      </c>
      <c r="AH229" s="38">
        <f ca="1">AH228</f>
        <v>0</v>
      </c>
      <c r="AI229" s="38">
        <f ca="1">AI228</f>
        <v>0</v>
      </c>
      <c r="AJ229" s="38">
        <f t="shared" ref="AJ229:AT229" ca="1" si="96">AJ228</f>
        <v>0</v>
      </c>
      <c r="AK229" s="38">
        <f t="shared" ca="1" si="96"/>
        <v>0</v>
      </c>
      <c r="AL229" s="38">
        <f t="shared" ca="1" si="96"/>
        <v>0</v>
      </c>
      <c r="AM229" s="38">
        <f t="shared" ca="1" si="96"/>
        <v>0</v>
      </c>
      <c r="AN229" s="38">
        <f t="shared" ca="1" si="96"/>
        <v>0</v>
      </c>
      <c r="AO229" s="38">
        <f t="shared" ca="1" si="96"/>
        <v>0</v>
      </c>
      <c r="AP229" s="38">
        <f t="shared" ca="1" si="96"/>
        <v>0</v>
      </c>
      <c r="AQ229" s="38">
        <f t="shared" ca="1" si="96"/>
        <v>0</v>
      </c>
      <c r="AR229" s="38">
        <f t="shared" ca="1" si="96"/>
        <v>0</v>
      </c>
      <c r="AS229" s="38">
        <f t="shared" ca="1" si="96"/>
        <v>0</v>
      </c>
      <c r="AT229" s="38">
        <f t="shared" ca="1" si="96"/>
        <v>0</v>
      </c>
      <c r="AU229" s="38">
        <f ca="1">AU228</f>
        <v>0</v>
      </c>
    </row>
    <row r="230" spans="1:47" ht="15.75" hidden="1" customHeight="1" outlineLevel="2">
      <c r="A230" s="1" t="s">
        <v>299</v>
      </c>
      <c r="C230" s="141"/>
      <c r="E230" s="9" t="str">
        <f ca="1">_xll.DBRW(Server&amp;"}ElementAttributes_Indicator",A230,"code_English")</f>
        <v>PL0000_GM - General Management (RESOP)</v>
      </c>
      <c r="F230" s="32">
        <f ca="1">_xll.DBRW($C$1,$C$2,$C$3,$C$4,$C$6,$C$5,$C$7,F$1,F$2,$A230)</f>
        <v>-14214765.010000004</v>
      </c>
      <c r="G230" s="32">
        <f ca="1">_xll.DBRW($C$1,$C$2,$C$3,$C$4,$C$6,$C$5,$C$7,G$1,G$2,$A230)</f>
        <v>-13361842.190000001</v>
      </c>
      <c r="H230" s="32">
        <f ca="1">_xll.DBRW($C$1,$C$2,$C$3,$C$4,$C$6,$C$5,$C$7,H$1,H$2,$A230)</f>
        <v>-12027672.799999995</v>
      </c>
      <c r="I230" s="32">
        <f ca="1">_xll.DBRW($C$1,$C$2,$C$3,$C$4,$C$6,$C$5,$C$7,I$1,I$2,$A230)</f>
        <v>-1229152.8099999996</v>
      </c>
      <c r="J230" s="32">
        <f ca="1">_xll.DBRW($C$1,$C$2,$C$3,$C$4,$C$6,$C$5,$C$7,J$1,J$2,$A230)</f>
        <v>-2316110.439999999</v>
      </c>
      <c r="K230" s="32">
        <f ca="1">_xll.DBRW($C$1,$C$2,$C$3,$C$4,$C$6,$C$5,$C$7,K$1,K$2,$A230)</f>
        <v>-4262133.8099999987</v>
      </c>
      <c r="L230" s="32">
        <f ca="1">_xll.DBRW($C$1,$C$2,$C$3,$C$4,$C$6,$C$5,$C$7,L$1,L$2,$A230)</f>
        <v>-5367477.5599999977</v>
      </c>
      <c r="M230" s="32">
        <f ca="1">_xll.DBRW($C$1,$C$2,$C$3,$C$4,$C$6,$C$5,$C$7,M$1,M$2,$A230)</f>
        <v>-6373572.3099999968</v>
      </c>
      <c r="N230" s="32">
        <f ca="1">_xll.DBRW($C$1,$C$2,$C$3,$C$4,$C$6,$C$5,$C$7,N$1,N$2,$A230)</f>
        <v>-7276700.4299999978</v>
      </c>
      <c r="O230" s="32">
        <f ca="1">_xll.DBRW($C$1,$C$2,$C$3,$C$4,$C$6,$C$5,$C$7,O$1,O$2,$A230)</f>
        <v>-7276700.4299999978</v>
      </c>
      <c r="P230" s="32">
        <f ca="1">_xll.DBRW($C$1,$C$2,$C$3,$C$4,$C$6,$C$5,$C$7,P$1,P$2,$A230)</f>
        <v>-7276700.4299999978</v>
      </c>
      <c r="Q230" s="32">
        <f ca="1">_xll.DBRW($C$1,$C$2,$C$3,$C$4,$C$6,$C$5,$C$7,Q$1,Q$2,$A230)</f>
        <v>-7276700.4299999978</v>
      </c>
      <c r="R230" s="32">
        <f ca="1">_xll.DBRW($C$1,$C$2,$C$3,$C$4,$C$6,$C$5,$C$7,R$1,R$2,$A230)</f>
        <v>-7276700.4299999978</v>
      </c>
      <c r="S230" s="32">
        <f ca="1">_xll.DBRW($C$1,$C$2,$C$3,$C$4,$C$6,$C$5,$C$7,S$1,S$2,$A230)</f>
        <v>-7276700.4299999978</v>
      </c>
      <c r="T230" s="32">
        <f ca="1">_xll.DBRW($C$1,$C$2,$C$3,$C$4,$C$6,$C$5,$C$7,T$1,T$2,$A230)</f>
        <v>-7276700.4299999978</v>
      </c>
      <c r="U230" s="32">
        <f ca="1">_xll.DBRW($C$1,$C$2,$C$3,$C$4,$C$6,$C$5,$C$7,U$1,U$2,$A230)</f>
        <v>-7276700.4299999978</v>
      </c>
      <c r="V230" s="32">
        <f ca="1">_xll.DBRW($C$1,$C$2,$C$3,$C$4,$C$6,$C$5,$C$7,V$1,V$2,$A230)</f>
        <v>0</v>
      </c>
      <c r="W230" s="32">
        <f ca="1">_xll.DBRW($C$1,$C$2,$C$3,$C$4,$C$6,$C$5,$C$7,W$1,W$2,$A230)</f>
        <v>0</v>
      </c>
      <c r="X230" s="32">
        <f ca="1">_xll.DBRW($C$1,$C$2,$C$3,$C$4,$C$6,$C$5,$C$7,X$1,X$2,$A230)</f>
        <v>0</v>
      </c>
      <c r="Y230" s="32">
        <f ca="1">_xll.DBRW($C$1,$C$2,$C$3,$C$4,$C$6,$C$5,$C$7,Y$1,Y$2,$A230)</f>
        <v>0</v>
      </c>
      <c r="Z230" s="32">
        <f ca="1">_xll.DBRW($C$1,$C$2,$C$3,$C$4,$C$6,$C$5,$C$7,Z$1,Z$2,$A230)</f>
        <v>0</v>
      </c>
      <c r="AA230" s="32">
        <f ca="1">_xll.DBRW($C$1,$C$2,$C$3,$C$4,$C$6,$C$5,$C$7,AA$1,AA$2,$A230)</f>
        <v>0</v>
      </c>
      <c r="AB230" s="32">
        <f ca="1">_xll.DBRW($C$1,$C$2,$C$3,$C$4,$C$6,$C$5,$C$7,AB$1,AB$2,$A230)</f>
        <v>0</v>
      </c>
      <c r="AC230" s="32">
        <f ca="1">_xll.DBRW($C$1,$C$2,$C$3,$C$4,$C$6,$C$5,$C$7,AC$1,AC$2,$A230)</f>
        <v>0</v>
      </c>
      <c r="AD230" s="32">
        <f ca="1">_xll.DBRW($C$1,$C$2,$C$3,$C$4,$C$6,$C$5,$C$7,AD$1,AD$2,$A230)</f>
        <v>0</v>
      </c>
      <c r="AE230" s="32">
        <f ca="1">_xll.DBRW($C$1,$C$2,$C$3,$C$4,$C$6,$C$5,$C$7,AE$1,AE$2,$A230)</f>
        <v>0</v>
      </c>
      <c r="AF230" s="32">
        <f ca="1">_xll.DBRW($C$1,$C$2,$C$3,$C$4,$C$6,$C$5,$C$7,AF$1,AF$2,$A230)</f>
        <v>0</v>
      </c>
      <c r="AG230" s="32">
        <f ca="1">_xll.DBRW($C$1,$C$2,$C$3,$C$4,$C$6,$C$5,$C$7,AG$1,AG$2,$A230)</f>
        <v>0</v>
      </c>
      <c r="AH230" s="32">
        <f ca="1">_xll.DBRW($C$1,$C$2,$C$3,$C$4,$C$6,$C$5,$C$7,AH$1,AH$2,$A230)</f>
        <v>0</v>
      </c>
      <c r="AI230" s="32">
        <f ca="1">_xll.DBRW($C$1,$C$2,$C$3,$C$4,$C$6,$C$5,$C$7,AI$1,AI$2,$A230)</f>
        <v>0</v>
      </c>
      <c r="AJ230" s="32">
        <f ca="1">_xll.DBRW($C$1,$C$2,$C$3,$C$4,$C$6,$C$5,$C$7,AJ$1,AJ$2,$A230)</f>
        <v>0</v>
      </c>
      <c r="AK230" s="32">
        <f ca="1">_xll.DBRW($C$1,$C$2,$C$3,$C$4,$C$6,$C$5,$C$7,AK$1,AK$2,$A230)</f>
        <v>0</v>
      </c>
      <c r="AL230" s="32">
        <f ca="1">_xll.DBRW($C$1,$C$2,$C$3,$C$4,$C$6,$C$5,$C$7,AL$1,AL$2,$A230)</f>
        <v>0</v>
      </c>
      <c r="AM230" s="32">
        <f ca="1">_xll.DBRW($C$1,$C$2,$C$3,$C$4,$C$6,$C$5,$C$7,AM$1,AM$2,$A230)</f>
        <v>0</v>
      </c>
      <c r="AN230" s="32">
        <f ca="1">_xll.DBRW($C$1,$C$2,$C$3,$C$4,$C$6,$C$5,$C$7,AN$1,AN$2,$A230)</f>
        <v>0</v>
      </c>
      <c r="AO230" s="32">
        <f ca="1">_xll.DBRW($C$1,$C$2,$C$3,$C$4,$C$6,$C$5,$C$7,AO$1,AO$2,$A230)</f>
        <v>0</v>
      </c>
      <c r="AP230" s="32">
        <f ca="1">_xll.DBRW($C$1,$C$2,$C$3,$C$4,$C$6,$C$5,$C$7,AP$1,AP$2,$A230)</f>
        <v>0</v>
      </c>
      <c r="AQ230" s="32">
        <f ca="1">_xll.DBRW($C$1,$C$2,$C$3,$C$4,$C$6,$C$5,$C$7,AQ$1,AQ$2,$A230)</f>
        <v>0</v>
      </c>
      <c r="AR230" s="32">
        <f ca="1">_xll.DBRW($C$1,$C$2,$C$3,$C$4,$C$6,$C$5,$C$7,AR$1,AR$2,$A230)</f>
        <v>0</v>
      </c>
      <c r="AS230" s="32">
        <f ca="1">_xll.DBRW($C$1,$C$2,$C$3,$C$4,$C$6,$C$5,$C$7,AS$1,AS$2,$A230)</f>
        <v>0</v>
      </c>
      <c r="AT230" s="32">
        <f ca="1">_xll.DBRW($C$1,$C$2,$C$3,$C$4,$C$6,$C$5,$C$7,AT$1,AT$2,$A230)</f>
        <v>0</v>
      </c>
      <c r="AU230" s="32">
        <f ca="1">_xll.DBRW($C$1,$C$2,$C$3,$C$4,$C$6,$C$5,$C$7,AU$1,AU$2,$A230)</f>
        <v>0</v>
      </c>
    </row>
    <row r="231" spans="1:47" ht="15.75" hidden="1" outlineLevel="1">
      <c r="A231" s="1" t="s">
        <v>127</v>
      </c>
      <c r="C231" s="141"/>
      <c r="E231" s="15" t="s">
        <v>46</v>
      </c>
      <c r="F231" s="38">
        <f t="shared" ref="F231:T231" ca="1" si="97">F230</f>
        <v>-14214765.010000004</v>
      </c>
      <c r="G231" s="38">
        <f t="shared" ca="1" si="97"/>
        <v>-13361842.190000001</v>
      </c>
      <c r="H231" s="38">
        <f t="shared" ca="1" si="97"/>
        <v>-12027672.799999995</v>
      </c>
      <c r="I231" s="38">
        <f t="shared" ca="1" si="97"/>
        <v>-1229152.8099999996</v>
      </c>
      <c r="J231" s="38">
        <f t="shared" ca="1" si="97"/>
        <v>-2316110.439999999</v>
      </c>
      <c r="K231" s="38">
        <f t="shared" ca="1" si="97"/>
        <v>-4262133.8099999987</v>
      </c>
      <c r="L231" s="38">
        <f t="shared" ca="1" si="97"/>
        <v>-5367477.5599999977</v>
      </c>
      <c r="M231" s="38">
        <f t="shared" ca="1" si="97"/>
        <v>-6373572.3099999968</v>
      </c>
      <c r="N231" s="38">
        <f t="shared" ca="1" si="97"/>
        <v>-7276700.4299999978</v>
      </c>
      <c r="O231" s="38">
        <f t="shared" ca="1" si="97"/>
        <v>-7276700.4299999978</v>
      </c>
      <c r="P231" s="38">
        <f t="shared" ca="1" si="97"/>
        <v>-7276700.4299999978</v>
      </c>
      <c r="Q231" s="38">
        <f t="shared" ca="1" si="97"/>
        <v>-7276700.4299999978</v>
      </c>
      <c r="R231" s="38">
        <f t="shared" ca="1" si="97"/>
        <v>-7276700.4299999978</v>
      </c>
      <c r="S231" s="38">
        <f t="shared" ca="1" si="97"/>
        <v>-7276700.4299999978</v>
      </c>
      <c r="T231" s="38">
        <f t="shared" ca="1" si="97"/>
        <v>-7276700.4299999978</v>
      </c>
      <c r="U231" s="38">
        <f ca="1">U230</f>
        <v>-7276700.4299999978</v>
      </c>
      <c r="V231" s="38">
        <f ca="1">V230</f>
        <v>0</v>
      </c>
      <c r="W231" s="38">
        <f t="shared" ref="W231:AG231" ca="1" si="98">W230</f>
        <v>0</v>
      </c>
      <c r="X231" s="38">
        <f t="shared" ca="1" si="98"/>
        <v>0</v>
      </c>
      <c r="Y231" s="38">
        <f t="shared" ca="1" si="98"/>
        <v>0</v>
      </c>
      <c r="Z231" s="38">
        <f t="shared" ca="1" si="98"/>
        <v>0</v>
      </c>
      <c r="AA231" s="38">
        <f t="shared" ca="1" si="98"/>
        <v>0</v>
      </c>
      <c r="AB231" s="38">
        <f t="shared" ca="1" si="98"/>
        <v>0</v>
      </c>
      <c r="AC231" s="38">
        <f t="shared" ca="1" si="98"/>
        <v>0</v>
      </c>
      <c r="AD231" s="38">
        <f t="shared" ca="1" si="98"/>
        <v>0</v>
      </c>
      <c r="AE231" s="38">
        <f t="shared" ca="1" si="98"/>
        <v>0</v>
      </c>
      <c r="AF231" s="38">
        <f t="shared" ca="1" si="98"/>
        <v>0</v>
      </c>
      <c r="AG231" s="38">
        <f t="shared" ca="1" si="98"/>
        <v>0</v>
      </c>
      <c r="AH231" s="38">
        <f ca="1">AH230</f>
        <v>0</v>
      </c>
      <c r="AI231" s="38">
        <f ca="1">AI230</f>
        <v>0</v>
      </c>
      <c r="AJ231" s="38">
        <f t="shared" ref="AJ231:AT231" ca="1" si="99">AJ230</f>
        <v>0</v>
      </c>
      <c r="AK231" s="38">
        <f t="shared" ca="1" si="99"/>
        <v>0</v>
      </c>
      <c r="AL231" s="38">
        <f t="shared" ca="1" si="99"/>
        <v>0</v>
      </c>
      <c r="AM231" s="38">
        <f t="shared" ca="1" si="99"/>
        <v>0</v>
      </c>
      <c r="AN231" s="38">
        <f t="shared" ca="1" si="99"/>
        <v>0</v>
      </c>
      <c r="AO231" s="38">
        <f t="shared" ca="1" si="99"/>
        <v>0</v>
      </c>
      <c r="AP231" s="38">
        <f t="shared" ca="1" si="99"/>
        <v>0</v>
      </c>
      <c r="AQ231" s="38">
        <f t="shared" ca="1" si="99"/>
        <v>0</v>
      </c>
      <c r="AR231" s="38">
        <f t="shared" ca="1" si="99"/>
        <v>0</v>
      </c>
      <c r="AS231" s="38">
        <f t="shared" ca="1" si="99"/>
        <v>0</v>
      </c>
      <c r="AT231" s="38">
        <f t="shared" ca="1" si="99"/>
        <v>0</v>
      </c>
      <c r="AU231" s="38">
        <f ca="1">AU230</f>
        <v>0</v>
      </c>
    </row>
    <row r="232" spans="1:47" ht="15.75" hidden="1" customHeight="1" outlineLevel="2">
      <c r="A232" s="1" t="s">
        <v>300</v>
      </c>
      <c r="C232" s="141"/>
      <c r="E232" s="9" t="str">
        <f ca="1">_xll.DBRW(Server&amp;"}ElementAttributes_Indicator",A232,"code_English")</f>
        <v>PL0000_GS - General Services</v>
      </c>
      <c r="F232" s="32">
        <f ca="1">_xll.DBRW($C$1,$C$2,$C$3,$C$4,$C$6,$C$5,$C$7,F$1,F$2,$A232)</f>
        <v>1.3969838619232178E-9</v>
      </c>
      <c r="G232" s="32">
        <f ca="1">_xll.DBRW($C$1,$C$2,$C$3,$C$4,$C$6,$C$5,$C$7,G$1,G$2,$A232)</f>
        <v>1.0477378964424133E-9</v>
      </c>
      <c r="H232" s="32">
        <f ca="1">_xll.DBRW($C$1,$C$2,$C$3,$C$4,$C$6,$C$5,$C$7,H$1,H$2,$A232)</f>
        <v>-1.1641532182693481E-10</v>
      </c>
      <c r="I232" s="32">
        <f ca="1">_xll.DBRW($C$1,$C$2,$C$3,$C$4,$C$6,$C$5,$C$7,I$1,I$2,$A232)</f>
        <v>0</v>
      </c>
      <c r="J232" s="32">
        <f ca="1">_xll.DBRW($C$1,$C$2,$C$3,$C$4,$C$6,$C$5,$C$7,J$1,J$2,$A232)</f>
        <v>1.1641532182693481E-10</v>
      </c>
      <c r="K232" s="32">
        <f ca="1">_xll.DBRW($C$1,$C$2,$C$3,$C$4,$C$6,$C$5,$C$7,K$1,K$2,$A232)</f>
        <v>1.1641532182693481E-10</v>
      </c>
      <c r="L232" s="32">
        <f ca="1">_xll.DBRW($C$1,$C$2,$C$3,$C$4,$C$6,$C$5,$C$7,L$1,L$2,$A232)</f>
        <v>1.1641532182693481E-10</v>
      </c>
      <c r="M232" s="32">
        <f ca="1">_xll.DBRW($C$1,$C$2,$C$3,$C$4,$C$6,$C$5,$C$7,M$1,M$2,$A232)</f>
        <v>1.1641532182693481E-10</v>
      </c>
      <c r="N232" s="32">
        <f ca="1">_xll.DBRW($C$1,$C$2,$C$3,$C$4,$C$6,$C$5,$C$7,N$1,N$2,$A232)</f>
        <v>-1.1641532182693481E-10</v>
      </c>
      <c r="O232" s="32">
        <f ca="1">_xll.DBRW($C$1,$C$2,$C$3,$C$4,$C$6,$C$5,$C$7,O$1,O$2,$A232)</f>
        <v>-1.1641532182693481E-10</v>
      </c>
      <c r="P232" s="32">
        <f ca="1">_xll.DBRW($C$1,$C$2,$C$3,$C$4,$C$6,$C$5,$C$7,P$1,P$2,$A232)</f>
        <v>-1.1641532182693481E-10</v>
      </c>
      <c r="Q232" s="32">
        <f ca="1">_xll.DBRW($C$1,$C$2,$C$3,$C$4,$C$6,$C$5,$C$7,Q$1,Q$2,$A232)</f>
        <v>-1.1641532182693481E-10</v>
      </c>
      <c r="R232" s="32">
        <f ca="1">_xll.DBRW($C$1,$C$2,$C$3,$C$4,$C$6,$C$5,$C$7,R$1,R$2,$A232)</f>
        <v>-1.1641532182693481E-10</v>
      </c>
      <c r="S232" s="32">
        <f ca="1">_xll.DBRW($C$1,$C$2,$C$3,$C$4,$C$6,$C$5,$C$7,S$1,S$2,$A232)</f>
        <v>-1.1641532182693481E-10</v>
      </c>
      <c r="T232" s="32">
        <f ca="1">_xll.DBRW($C$1,$C$2,$C$3,$C$4,$C$6,$C$5,$C$7,T$1,T$2,$A232)</f>
        <v>-1.1641532182693481E-10</v>
      </c>
      <c r="U232" s="32">
        <f ca="1">_xll.DBRW($C$1,$C$2,$C$3,$C$4,$C$6,$C$5,$C$7,U$1,U$2,$A232)</f>
        <v>-1.1641532182693481E-10</v>
      </c>
      <c r="V232" s="32">
        <f ca="1">_xll.DBRW($C$1,$C$2,$C$3,$C$4,$C$6,$C$5,$C$7,V$1,V$2,$A232)</f>
        <v>0</v>
      </c>
      <c r="W232" s="32">
        <f ca="1">_xll.DBRW($C$1,$C$2,$C$3,$C$4,$C$6,$C$5,$C$7,W$1,W$2,$A232)</f>
        <v>0</v>
      </c>
      <c r="X232" s="32">
        <f ca="1">_xll.DBRW($C$1,$C$2,$C$3,$C$4,$C$6,$C$5,$C$7,X$1,X$2,$A232)</f>
        <v>0</v>
      </c>
      <c r="Y232" s="32">
        <f ca="1">_xll.DBRW($C$1,$C$2,$C$3,$C$4,$C$6,$C$5,$C$7,Y$1,Y$2,$A232)</f>
        <v>0</v>
      </c>
      <c r="Z232" s="32">
        <f ca="1">_xll.DBRW($C$1,$C$2,$C$3,$C$4,$C$6,$C$5,$C$7,Z$1,Z$2,$A232)</f>
        <v>0</v>
      </c>
      <c r="AA232" s="32">
        <f ca="1">_xll.DBRW($C$1,$C$2,$C$3,$C$4,$C$6,$C$5,$C$7,AA$1,AA$2,$A232)</f>
        <v>0</v>
      </c>
      <c r="AB232" s="32">
        <f ca="1">_xll.DBRW($C$1,$C$2,$C$3,$C$4,$C$6,$C$5,$C$7,AB$1,AB$2,$A232)</f>
        <v>0</v>
      </c>
      <c r="AC232" s="32">
        <f ca="1">_xll.DBRW($C$1,$C$2,$C$3,$C$4,$C$6,$C$5,$C$7,AC$1,AC$2,$A232)</f>
        <v>0</v>
      </c>
      <c r="AD232" s="32">
        <f ca="1">_xll.DBRW($C$1,$C$2,$C$3,$C$4,$C$6,$C$5,$C$7,AD$1,AD$2,$A232)</f>
        <v>0</v>
      </c>
      <c r="AE232" s="32">
        <f ca="1">_xll.DBRW($C$1,$C$2,$C$3,$C$4,$C$6,$C$5,$C$7,AE$1,AE$2,$A232)</f>
        <v>0</v>
      </c>
      <c r="AF232" s="32">
        <f ca="1">_xll.DBRW($C$1,$C$2,$C$3,$C$4,$C$6,$C$5,$C$7,AF$1,AF$2,$A232)</f>
        <v>0</v>
      </c>
      <c r="AG232" s="32">
        <f ca="1">_xll.DBRW($C$1,$C$2,$C$3,$C$4,$C$6,$C$5,$C$7,AG$1,AG$2,$A232)</f>
        <v>0</v>
      </c>
      <c r="AH232" s="32">
        <f ca="1">_xll.DBRW($C$1,$C$2,$C$3,$C$4,$C$6,$C$5,$C$7,AH$1,AH$2,$A232)</f>
        <v>0</v>
      </c>
      <c r="AI232" s="32">
        <f ca="1">_xll.DBRW($C$1,$C$2,$C$3,$C$4,$C$6,$C$5,$C$7,AI$1,AI$2,$A232)</f>
        <v>0</v>
      </c>
      <c r="AJ232" s="32">
        <f ca="1">_xll.DBRW($C$1,$C$2,$C$3,$C$4,$C$6,$C$5,$C$7,AJ$1,AJ$2,$A232)</f>
        <v>0</v>
      </c>
      <c r="AK232" s="32">
        <f ca="1">_xll.DBRW($C$1,$C$2,$C$3,$C$4,$C$6,$C$5,$C$7,AK$1,AK$2,$A232)</f>
        <v>0</v>
      </c>
      <c r="AL232" s="32">
        <f ca="1">_xll.DBRW($C$1,$C$2,$C$3,$C$4,$C$6,$C$5,$C$7,AL$1,AL$2,$A232)</f>
        <v>0</v>
      </c>
      <c r="AM232" s="32">
        <f ca="1">_xll.DBRW($C$1,$C$2,$C$3,$C$4,$C$6,$C$5,$C$7,AM$1,AM$2,$A232)</f>
        <v>0</v>
      </c>
      <c r="AN232" s="32">
        <f ca="1">_xll.DBRW($C$1,$C$2,$C$3,$C$4,$C$6,$C$5,$C$7,AN$1,AN$2,$A232)</f>
        <v>0</v>
      </c>
      <c r="AO232" s="32">
        <f ca="1">_xll.DBRW($C$1,$C$2,$C$3,$C$4,$C$6,$C$5,$C$7,AO$1,AO$2,$A232)</f>
        <v>0</v>
      </c>
      <c r="AP232" s="32">
        <f ca="1">_xll.DBRW($C$1,$C$2,$C$3,$C$4,$C$6,$C$5,$C$7,AP$1,AP$2,$A232)</f>
        <v>0</v>
      </c>
      <c r="AQ232" s="32">
        <f ca="1">_xll.DBRW($C$1,$C$2,$C$3,$C$4,$C$6,$C$5,$C$7,AQ$1,AQ$2,$A232)</f>
        <v>0</v>
      </c>
      <c r="AR232" s="32">
        <f ca="1">_xll.DBRW($C$1,$C$2,$C$3,$C$4,$C$6,$C$5,$C$7,AR$1,AR$2,$A232)</f>
        <v>0</v>
      </c>
      <c r="AS232" s="32">
        <f ca="1">_xll.DBRW($C$1,$C$2,$C$3,$C$4,$C$6,$C$5,$C$7,AS$1,AS$2,$A232)</f>
        <v>0</v>
      </c>
      <c r="AT232" s="32">
        <f ca="1">_xll.DBRW($C$1,$C$2,$C$3,$C$4,$C$6,$C$5,$C$7,AT$1,AT$2,$A232)</f>
        <v>0</v>
      </c>
      <c r="AU232" s="32">
        <f ca="1">_xll.DBRW($C$1,$C$2,$C$3,$C$4,$C$6,$C$5,$C$7,AU$1,AU$2,$A232)</f>
        <v>0</v>
      </c>
    </row>
    <row r="233" spans="1:47" ht="15.75" hidden="1" outlineLevel="1">
      <c r="A233" s="1" t="s">
        <v>127</v>
      </c>
      <c r="C233" s="141"/>
      <c r="E233" s="15" t="s">
        <v>47</v>
      </c>
      <c r="F233" s="38">
        <f t="shared" ref="F233:T233" ca="1" si="100">F232</f>
        <v>1.3969838619232178E-9</v>
      </c>
      <c r="G233" s="38">
        <f t="shared" ca="1" si="100"/>
        <v>1.0477378964424133E-9</v>
      </c>
      <c r="H233" s="38">
        <f t="shared" ca="1" si="100"/>
        <v>-1.1641532182693481E-10</v>
      </c>
      <c r="I233" s="38">
        <f t="shared" ca="1" si="100"/>
        <v>0</v>
      </c>
      <c r="J233" s="38">
        <f t="shared" ca="1" si="100"/>
        <v>1.1641532182693481E-10</v>
      </c>
      <c r="K233" s="38">
        <f t="shared" ca="1" si="100"/>
        <v>1.1641532182693481E-10</v>
      </c>
      <c r="L233" s="38">
        <f t="shared" ca="1" si="100"/>
        <v>1.1641532182693481E-10</v>
      </c>
      <c r="M233" s="38">
        <f t="shared" ca="1" si="100"/>
        <v>1.1641532182693481E-10</v>
      </c>
      <c r="N233" s="38">
        <f t="shared" ca="1" si="100"/>
        <v>-1.1641532182693481E-10</v>
      </c>
      <c r="O233" s="38">
        <f t="shared" ca="1" si="100"/>
        <v>-1.1641532182693481E-10</v>
      </c>
      <c r="P233" s="38">
        <f t="shared" ca="1" si="100"/>
        <v>-1.1641532182693481E-10</v>
      </c>
      <c r="Q233" s="38">
        <f t="shared" ca="1" si="100"/>
        <v>-1.1641532182693481E-10</v>
      </c>
      <c r="R233" s="38">
        <f t="shared" ca="1" si="100"/>
        <v>-1.1641532182693481E-10</v>
      </c>
      <c r="S233" s="38">
        <f t="shared" ca="1" si="100"/>
        <v>-1.1641532182693481E-10</v>
      </c>
      <c r="T233" s="38">
        <f t="shared" ca="1" si="100"/>
        <v>-1.1641532182693481E-10</v>
      </c>
      <c r="U233" s="38">
        <f ca="1">U232</f>
        <v>-1.1641532182693481E-10</v>
      </c>
      <c r="V233" s="38">
        <f ca="1">V232</f>
        <v>0</v>
      </c>
      <c r="W233" s="38">
        <f t="shared" ref="W233:AG233" ca="1" si="101">W232</f>
        <v>0</v>
      </c>
      <c r="X233" s="38">
        <f t="shared" ca="1" si="101"/>
        <v>0</v>
      </c>
      <c r="Y233" s="38">
        <f t="shared" ca="1" si="101"/>
        <v>0</v>
      </c>
      <c r="Z233" s="38">
        <f t="shared" ca="1" si="101"/>
        <v>0</v>
      </c>
      <c r="AA233" s="38">
        <f t="shared" ca="1" si="101"/>
        <v>0</v>
      </c>
      <c r="AB233" s="38">
        <f t="shared" ca="1" si="101"/>
        <v>0</v>
      </c>
      <c r="AC233" s="38">
        <f t="shared" ca="1" si="101"/>
        <v>0</v>
      </c>
      <c r="AD233" s="38">
        <f t="shared" ca="1" si="101"/>
        <v>0</v>
      </c>
      <c r="AE233" s="38">
        <f t="shared" ca="1" si="101"/>
        <v>0</v>
      </c>
      <c r="AF233" s="38">
        <f t="shared" ca="1" si="101"/>
        <v>0</v>
      </c>
      <c r="AG233" s="38">
        <f t="shared" ca="1" si="101"/>
        <v>0</v>
      </c>
      <c r="AH233" s="38">
        <f ca="1">AH232</f>
        <v>0</v>
      </c>
      <c r="AI233" s="38">
        <f ca="1">AI232</f>
        <v>0</v>
      </c>
      <c r="AJ233" s="38">
        <f t="shared" ref="AJ233:AT233" ca="1" si="102">AJ232</f>
        <v>0</v>
      </c>
      <c r="AK233" s="38">
        <f t="shared" ca="1" si="102"/>
        <v>0</v>
      </c>
      <c r="AL233" s="38">
        <f t="shared" ca="1" si="102"/>
        <v>0</v>
      </c>
      <c r="AM233" s="38">
        <f t="shared" ca="1" si="102"/>
        <v>0</v>
      </c>
      <c r="AN233" s="38">
        <f t="shared" ca="1" si="102"/>
        <v>0</v>
      </c>
      <c r="AO233" s="38">
        <f t="shared" ca="1" si="102"/>
        <v>0</v>
      </c>
      <c r="AP233" s="38">
        <f t="shared" ca="1" si="102"/>
        <v>0</v>
      </c>
      <c r="AQ233" s="38">
        <f t="shared" ca="1" si="102"/>
        <v>0</v>
      </c>
      <c r="AR233" s="38">
        <f t="shared" ca="1" si="102"/>
        <v>0</v>
      </c>
      <c r="AS233" s="38">
        <f t="shared" ca="1" si="102"/>
        <v>0</v>
      </c>
      <c r="AT233" s="38">
        <f t="shared" ca="1" si="102"/>
        <v>0</v>
      </c>
      <c r="AU233" s="38">
        <f ca="1">AU232</f>
        <v>0</v>
      </c>
    </row>
    <row r="234" spans="1:47" ht="15.75" hidden="1" customHeight="1" outlineLevel="2">
      <c r="A234" s="1" t="s">
        <v>301</v>
      </c>
      <c r="C234" s="141"/>
      <c r="E234" s="9" t="str">
        <f ca="1">_xll.DBRW(Server&amp;"}ElementAttributes_Indicator",A234,"code_English")</f>
        <v>PL0000_HR - HR department</v>
      </c>
      <c r="F234" s="32">
        <f ca="1">_xll.DBRW($C$1,$C$2,$C$3,$C$4,$C$6,$C$5,$C$7,F$1,F$2,$A234)</f>
        <v>-3964425.6999999997</v>
      </c>
      <c r="G234" s="32">
        <f ca="1">_xll.DBRW($C$1,$C$2,$C$3,$C$4,$C$6,$C$5,$C$7,G$1,G$2,$A234)</f>
        <v>-3967111.8500000006</v>
      </c>
      <c r="H234" s="32">
        <f ca="1">_xll.DBRW($C$1,$C$2,$C$3,$C$4,$C$6,$C$5,$C$7,H$1,H$2,$A234)</f>
        <v>-3963623.4299999992</v>
      </c>
      <c r="I234" s="32">
        <f ca="1">_xll.DBRW($C$1,$C$2,$C$3,$C$4,$C$6,$C$5,$C$7,I$1,I$2,$A234)</f>
        <v>-378048.94999999995</v>
      </c>
      <c r="J234" s="32">
        <f ca="1">_xll.DBRW($C$1,$C$2,$C$3,$C$4,$C$6,$C$5,$C$7,J$1,J$2,$A234)</f>
        <v>-758680.51</v>
      </c>
      <c r="K234" s="32">
        <f ca="1">_xll.DBRW($C$1,$C$2,$C$3,$C$4,$C$6,$C$5,$C$7,K$1,K$2,$A234)</f>
        <v>-1103193.82</v>
      </c>
      <c r="L234" s="32">
        <f ca="1">_xll.DBRW($C$1,$C$2,$C$3,$C$4,$C$6,$C$5,$C$7,L$1,L$2,$A234)</f>
        <v>-1445399.2199999997</v>
      </c>
      <c r="M234" s="32">
        <f ca="1">_xll.DBRW($C$1,$C$2,$C$3,$C$4,$C$6,$C$5,$C$7,M$1,M$2,$A234)</f>
        <v>-1804892.64</v>
      </c>
      <c r="N234" s="32">
        <f ca="1">_xll.DBRW($C$1,$C$2,$C$3,$C$4,$C$6,$C$5,$C$7,N$1,N$2,$A234)</f>
        <v>-2121371.2399999998</v>
      </c>
      <c r="O234" s="32">
        <f ca="1">_xll.DBRW($C$1,$C$2,$C$3,$C$4,$C$6,$C$5,$C$7,O$1,O$2,$A234)</f>
        <v>-2121371.2399999998</v>
      </c>
      <c r="P234" s="32">
        <f ca="1">_xll.DBRW($C$1,$C$2,$C$3,$C$4,$C$6,$C$5,$C$7,P$1,P$2,$A234)</f>
        <v>-2121371.2399999998</v>
      </c>
      <c r="Q234" s="32">
        <f ca="1">_xll.DBRW($C$1,$C$2,$C$3,$C$4,$C$6,$C$5,$C$7,Q$1,Q$2,$A234)</f>
        <v>-2121371.2399999998</v>
      </c>
      <c r="R234" s="32">
        <f ca="1">_xll.DBRW($C$1,$C$2,$C$3,$C$4,$C$6,$C$5,$C$7,R$1,R$2,$A234)</f>
        <v>-2121371.2399999998</v>
      </c>
      <c r="S234" s="32">
        <f ca="1">_xll.DBRW($C$1,$C$2,$C$3,$C$4,$C$6,$C$5,$C$7,S$1,S$2,$A234)</f>
        <v>-2121371.2399999998</v>
      </c>
      <c r="T234" s="32">
        <f ca="1">_xll.DBRW($C$1,$C$2,$C$3,$C$4,$C$6,$C$5,$C$7,T$1,T$2,$A234)</f>
        <v>-2121371.2399999998</v>
      </c>
      <c r="U234" s="32">
        <f ca="1">_xll.DBRW($C$1,$C$2,$C$3,$C$4,$C$6,$C$5,$C$7,U$1,U$2,$A234)</f>
        <v>-2121371.2399999998</v>
      </c>
      <c r="V234" s="32">
        <f ca="1">_xll.DBRW($C$1,$C$2,$C$3,$C$4,$C$6,$C$5,$C$7,V$1,V$2,$A234)</f>
        <v>0</v>
      </c>
      <c r="W234" s="32">
        <f ca="1">_xll.DBRW($C$1,$C$2,$C$3,$C$4,$C$6,$C$5,$C$7,W$1,W$2,$A234)</f>
        <v>0</v>
      </c>
      <c r="X234" s="32">
        <f ca="1">_xll.DBRW($C$1,$C$2,$C$3,$C$4,$C$6,$C$5,$C$7,X$1,X$2,$A234)</f>
        <v>0</v>
      </c>
      <c r="Y234" s="32">
        <f ca="1">_xll.DBRW($C$1,$C$2,$C$3,$C$4,$C$6,$C$5,$C$7,Y$1,Y$2,$A234)</f>
        <v>0</v>
      </c>
      <c r="Z234" s="32">
        <f ca="1">_xll.DBRW($C$1,$C$2,$C$3,$C$4,$C$6,$C$5,$C$7,Z$1,Z$2,$A234)</f>
        <v>0</v>
      </c>
      <c r="AA234" s="32">
        <f ca="1">_xll.DBRW($C$1,$C$2,$C$3,$C$4,$C$6,$C$5,$C$7,AA$1,AA$2,$A234)</f>
        <v>0</v>
      </c>
      <c r="AB234" s="32">
        <f ca="1">_xll.DBRW($C$1,$C$2,$C$3,$C$4,$C$6,$C$5,$C$7,AB$1,AB$2,$A234)</f>
        <v>0</v>
      </c>
      <c r="AC234" s="32">
        <f ca="1">_xll.DBRW($C$1,$C$2,$C$3,$C$4,$C$6,$C$5,$C$7,AC$1,AC$2,$A234)</f>
        <v>0</v>
      </c>
      <c r="AD234" s="32">
        <f ca="1">_xll.DBRW($C$1,$C$2,$C$3,$C$4,$C$6,$C$5,$C$7,AD$1,AD$2,$A234)</f>
        <v>0</v>
      </c>
      <c r="AE234" s="32">
        <f ca="1">_xll.DBRW($C$1,$C$2,$C$3,$C$4,$C$6,$C$5,$C$7,AE$1,AE$2,$A234)</f>
        <v>0</v>
      </c>
      <c r="AF234" s="32">
        <f ca="1">_xll.DBRW($C$1,$C$2,$C$3,$C$4,$C$6,$C$5,$C$7,AF$1,AF$2,$A234)</f>
        <v>0</v>
      </c>
      <c r="AG234" s="32">
        <f ca="1">_xll.DBRW($C$1,$C$2,$C$3,$C$4,$C$6,$C$5,$C$7,AG$1,AG$2,$A234)</f>
        <v>0</v>
      </c>
      <c r="AH234" s="32">
        <f ca="1">_xll.DBRW($C$1,$C$2,$C$3,$C$4,$C$6,$C$5,$C$7,AH$1,AH$2,$A234)</f>
        <v>0</v>
      </c>
      <c r="AI234" s="32">
        <f ca="1">_xll.DBRW($C$1,$C$2,$C$3,$C$4,$C$6,$C$5,$C$7,AI$1,AI$2,$A234)</f>
        <v>0</v>
      </c>
      <c r="AJ234" s="32">
        <f ca="1">_xll.DBRW($C$1,$C$2,$C$3,$C$4,$C$6,$C$5,$C$7,AJ$1,AJ$2,$A234)</f>
        <v>0</v>
      </c>
      <c r="AK234" s="32">
        <f ca="1">_xll.DBRW($C$1,$C$2,$C$3,$C$4,$C$6,$C$5,$C$7,AK$1,AK$2,$A234)</f>
        <v>0</v>
      </c>
      <c r="AL234" s="32">
        <f ca="1">_xll.DBRW($C$1,$C$2,$C$3,$C$4,$C$6,$C$5,$C$7,AL$1,AL$2,$A234)</f>
        <v>0</v>
      </c>
      <c r="AM234" s="32">
        <f ca="1">_xll.DBRW($C$1,$C$2,$C$3,$C$4,$C$6,$C$5,$C$7,AM$1,AM$2,$A234)</f>
        <v>0</v>
      </c>
      <c r="AN234" s="32">
        <f ca="1">_xll.DBRW($C$1,$C$2,$C$3,$C$4,$C$6,$C$5,$C$7,AN$1,AN$2,$A234)</f>
        <v>0</v>
      </c>
      <c r="AO234" s="32">
        <f ca="1">_xll.DBRW($C$1,$C$2,$C$3,$C$4,$C$6,$C$5,$C$7,AO$1,AO$2,$A234)</f>
        <v>0</v>
      </c>
      <c r="AP234" s="32">
        <f ca="1">_xll.DBRW($C$1,$C$2,$C$3,$C$4,$C$6,$C$5,$C$7,AP$1,AP$2,$A234)</f>
        <v>0</v>
      </c>
      <c r="AQ234" s="32">
        <f ca="1">_xll.DBRW($C$1,$C$2,$C$3,$C$4,$C$6,$C$5,$C$7,AQ$1,AQ$2,$A234)</f>
        <v>0</v>
      </c>
      <c r="AR234" s="32">
        <f ca="1">_xll.DBRW($C$1,$C$2,$C$3,$C$4,$C$6,$C$5,$C$7,AR$1,AR$2,$A234)</f>
        <v>0</v>
      </c>
      <c r="AS234" s="32">
        <f ca="1">_xll.DBRW($C$1,$C$2,$C$3,$C$4,$C$6,$C$5,$C$7,AS$1,AS$2,$A234)</f>
        <v>0</v>
      </c>
      <c r="AT234" s="32">
        <f ca="1">_xll.DBRW($C$1,$C$2,$C$3,$C$4,$C$6,$C$5,$C$7,AT$1,AT$2,$A234)</f>
        <v>0</v>
      </c>
      <c r="AU234" s="32">
        <f ca="1">_xll.DBRW($C$1,$C$2,$C$3,$C$4,$C$6,$C$5,$C$7,AU$1,AU$2,$A234)</f>
        <v>0</v>
      </c>
    </row>
    <row r="235" spans="1:47" ht="15.75" hidden="1" outlineLevel="1">
      <c r="A235" s="1" t="s">
        <v>127</v>
      </c>
      <c r="C235" s="141"/>
      <c r="E235" s="15" t="s">
        <v>48</v>
      </c>
      <c r="F235" s="38">
        <f t="shared" ref="F235:T235" ca="1" si="103">F234</f>
        <v>-3964425.6999999997</v>
      </c>
      <c r="G235" s="38">
        <f t="shared" ca="1" si="103"/>
        <v>-3967111.8500000006</v>
      </c>
      <c r="H235" s="38">
        <f t="shared" ca="1" si="103"/>
        <v>-3963623.4299999992</v>
      </c>
      <c r="I235" s="38">
        <f t="shared" ca="1" si="103"/>
        <v>-378048.94999999995</v>
      </c>
      <c r="J235" s="38">
        <f t="shared" ca="1" si="103"/>
        <v>-758680.51</v>
      </c>
      <c r="K235" s="38">
        <f t="shared" ca="1" si="103"/>
        <v>-1103193.82</v>
      </c>
      <c r="L235" s="38">
        <f t="shared" ca="1" si="103"/>
        <v>-1445399.2199999997</v>
      </c>
      <c r="M235" s="38">
        <f t="shared" ca="1" si="103"/>
        <v>-1804892.64</v>
      </c>
      <c r="N235" s="38">
        <f t="shared" ca="1" si="103"/>
        <v>-2121371.2399999998</v>
      </c>
      <c r="O235" s="38">
        <f t="shared" ca="1" si="103"/>
        <v>-2121371.2399999998</v>
      </c>
      <c r="P235" s="38">
        <f t="shared" ca="1" si="103"/>
        <v>-2121371.2399999998</v>
      </c>
      <c r="Q235" s="38">
        <f t="shared" ca="1" si="103"/>
        <v>-2121371.2399999998</v>
      </c>
      <c r="R235" s="38">
        <f t="shared" ca="1" si="103"/>
        <v>-2121371.2399999998</v>
      </c>
      <c r="S235" s="38">
        <f t="shared" ca="1" si="103"/>
        <v>-2121371.2399999998</v>
      </c>
      <c r="T235" s="38">
        <f t="shared" ca="1" si="103"/>
        <v>-2121371.2399999998</v>
      </c>
      <c r="U235" s="38">
        <f ca="1">U234</f>
        <v>-2121371.2399999998</v>
      </c>
      <c r="V235" s="38">
        <f ca="1">V234</f>
        <v>0</v>
      </c>
      <c r="W235" s="38">
        <f t="shared" ref="W235:AG235" ca="1" si="104">W234</f>
        <v>0</v>
      </c>
      <c r="X235" s="38">
        <f t="shared" ca="1" si="104"/>
        <v>0</v>
      </c>
      <c r="Y235" s="38">
        <f t="shared" ca="1" si="104"/>
        <v>0</v>
      </c>
      <c r="Z235" s="38">
        <f t="shared" ca="1" si="104"/>
        <v>0</v>
      </c>
      <c r="AA235" s="38">
        <f t="shared" ca="1" si="104"/>
        <v>0</v>
      </c>
      <c r="AB235" s="38">
        <f t="shared" ca="1" si="104"/>
        <v>0</v>
      </c>
      <c r="AC235" s="38">
        <f t="shared" ca="1" si="104"/>
        <v>0</v>
      </c>
      <c r="AD235" s="38">
        <f t="shared" ca="1" si="104"/>
        <v>0</v>
      </c>
      <c r="AE235" s="38">
        <f t="shared" ca="1" si="104"/>
        <v>0</v>
      </c>
      <c r="AF235" s="38">
        <f t="shared" ca="1" si="104"/>
        <v>0</v>
      </c>
      <c r="AG235" s="38">
        <f t="shared" ca="1" si="104"/>
        <v>0</v>
      </c>
      <c r="AH235" s="38">
        <f ca="1">AH234</f>
        <v>0</v>
      </c>
      <c r="AI235" s="38">
        <f ca="1">AI234</f>
        <v>0</v>
      </c>
      <c r="AJ235" s="38">
        <f t="shared" ref="AJ235:AT235" ca="1" si="105">AJ234</f>
        <v>0</v>
      </c>
      <c r="AK235" s="38">
        <f t="shared" ca="1" si="105"/>
        <v>0</v>
      </c>
      <c r="AL235" s="38">
        <f t="shared" ca="1" si="105"/>
        <v>0</v>
      </c>
      <c r="AM235" s="38">
        <f t="shared" ca="1" si="105"/>
        <v>0</v>
      </c>
      <c r="AN235" s="38">
        <f t="shared" ca="1" si="105"/>
        <v>0</v>
      </c>
      <c r="AO235" s="38">
        <f t="shared" ca="1" si="105"/>
        <v>0</v>
      </c>
      <c r="AP235" s="38">
        <f t="shared" ca="1" si="105"/>
        <v>0</v>
      </c>
      <c r="AQ235" s="38">
        <f t="shared" ca="1" si="105"/>
        <v>0</v>
      </c>
      <c r="AR235" s="38">
        <f t="shared" ca="1" si="105"/>
        <v>0</v>
      </c>
      <c r="AS235" s="38">
        <f t="shared" ca="1" si="105"/>
        <v>0</v>
      </c>
      <c r="AT235" s="38">
        <f t="shared" ca="1" si="105"/>
        <v>0</v>
      </c>
      <c r="AU235" s="38">
        <f ca="1">AU234</f>
        <v>0</v>
      </c>
    </row>
    <row r="236" spans="1:47" ht="15.75" hidden="1" customHeight="1" outlineLevel="2">
      <c r="A236" s="1" t="s">
        <v>302</v>
      </c>
      <c r="C236" s="141"/>
      <c r="E236" s="9" t="str">
        <f ca="1">_xll.DBRW(Server&amp;"}ElementAttributes_Indicator",A236,"code_English")</f>
        <v>PL0000_IA - Internal audit</v>
      </c>
      <c r="F236" s="32">
        <f ca="1">_xll.DBRW($C$1,$C$2,$C$3,$C$4,$C$6,$C$5,$C$7,F$1,F$2,$A236)</f>
        <v>0</v>
      </c>
      <c r="G236" s="32">
        <f ca="1">_xll.DBRW($C$1,$C$2,$C$3,$C$4,$C$6,$C$5,$C$7,G$1,G$2,$A236)</f>
        <v>0</v>
      </c>
      <c r="H236" s="32">
        <f ca="1">_xll.DBRW($C$1,$C$2,$C$3,$C$4,$C$6,$C$5,$C$7,H$1,H$2,$A236)</f>
        <v>0</v>
      </c>
      <c r="I236" s="32">
        <f ca="1">_xll.DBRW($C$1,$C$2,$C$3,$C$4,$C$6,$C$5,$C$7,I$1,I$2,$A236)</f>
        <v>0</v>
      </c>
      <c r="J236" s="32">
        <f ca="1">_xll.DBRW($C$1,$C$2,$C$3,$C$4,$C$6,$C$5,$C$7,J$1,J$2,$A236)</f>
        <v>0</v>
      </c>
      <c r="K236" s="32">
        <f ca="1">_xll.DBRW($C$1,$C$2,$C$3,$C$4,$C$6,$C$5,$C$7,K$1,K$2,$A236)</f>
        <v>0</v>
      </c>
      <c r="L236" s="32">
        <f ca="1">_xll.DBRW($C$1,$C$2,$C$3,$C$4,$C$6,$C$5,$C$7,L$1,L$2,$A236)</f>
        <v>0</v>
      </c>
      <c r="M236" s="32">
        <f ca="1">_xll.DBRW($C$1,$C$2,$C$3,$C$4,$C$6,$C$5,$C$7,M$1,M$2,$A236)</f>
        <v>0</v>
      </c>
      <c r="N236" s="32">
        <f ca="1">_xll.DBRW($C$1,$C$2,$C$3,$C$4,$C$6,$C$5,$C$7,N$1,N$2,$A236)</f>
        <v>0</v>
      </c>
      <c r="O236" s="32">
        <f ca="1">_xll.DBRW($C$1,$C$2,$C$3,$C$4,$C$6,$C$5,$C$7,O$1,O$2,$A236)</f>
        <v>0</v>
      </c>
      <c r="P236" s="32">
        <f ca="1">_xll.DBRW($C$1,$C$2,$C$3,$C$4,$C$6,$C$5,$C$7,P$1,P$2,$A236)</f>
        <v>0</v>
      </c>
      <c r="Q236" s="32">
        <f ca="1">_xll.DBRW($C$1,$C$2,$C$3,$C$4,$C$6,$C$5,$C$7,Q$1,Q$2,$A236)</f>
        <v>0</v>
      </c>
      <c r="R236" s="32">
        <f ca="1">_xll.DBRW($C$1,$C$2,$C$3,$C$4,$C$6,$C$5,$C$7,R$1,R$2,$A236)</f>
        <v>0</v>
      </c>
      <c r="S236" s="32">
        <f ca="1">_xll.DBRW($C$1,$C$2,$C$3,$C$4,$C$6,$C$5,$C$7,S$1,S$2,$A236)</f>
        <v>0</v>
      </c>
      <c r="T236" s="32">
        <f ca="1">_xll.DBRW($C$1,$C$2,$C$3,$C$4,$C$6,$C$5,$C$7,T$1,T$2,$A236)</f>
        <v>0</v>
      </c>
      <c r="U236" s="32">
        <f ca="1">_xll.DBRW($C$1,$C$2,$C$3,$C$4,$C$6,$C$5,$C$7,U$1,U$2,$A236)</f>
        <v>0</v>
      </c>
      <c r="V236" s="32">
        <f ca="1">_xll.DBRW($C$1,$C$2,$C$3,$C$4,$C$6,$C$5,$C$7,V$1,V$2,$A236)</f>
        <v>0</v>
      </c>
      <c r="W236" s="32">
        <f ca="1">_xll.DBRW($C$1,$C$2,$C$3,$C$4,$C$6,$C$5,$C$7,W$1,W$2,$A236)</f>
        <v>0</v>
      </c>
      <c r="X236" s="32">
        <f ca="1">_xll.DBRW($C$1,$C$2,$C$3,$C$4,$C$6,$C$5,$C$7,X$1,X$2,$A236)</f>
        <v>0</v>
      </c>
      <c r="Y236" s="32">
        <f ca="1">_xll.DBRW($C$1,$C$2,$C$3,$C$4,$C$6,$C$5,$C$7,Y$1,Y$2,$A236)</f>
        <v>0</v>
      </c>
      <c r="Z236" s="32">
        <f ca="1">_xll.DBRW($C$1,$C$2,$C$3,$C$4,$C$6,$C$5,$C$7,Z$1,Z$2,$A236)</f>
        <v>0</v>
      </c>
      <c r="AA236" s="32">
        <f ca="1">_xll.DBRW($C$1,$C$2,$C$3,$C$4,$C$6,$C$5,$C$7,AA$1,AA$2,$A236)</f>
        <v>0</v>
      </c>
      <c r="AB236" s="32">
        <f ca="1">_xll.DBRW($C$1,$C$2,$C$3,$C$4,$C$6,$C$5,$C$7,AB$1,AB$2,$A236)</f>
        <v>0</v>
      </c>
      <c r="AC236" s="32">
        <f ca="1">_xll.DBRW($C$1,$C$2,$C$3,$C$4,$C$6,$C$5,$C$7,AC$1,AC$2,$A236)</f>
        <v>0</v>
      </c>
      <c r="AD236" s="32">
        <f ca="1">_xll.DBRW($C$1,$C$2,$C$3,$C$4,$C$6,$C$5,$C$7,AD$1,AD$2,$A236)</f>
        <v>0</v>
      </c>
      <c r="AE236" s="32">
        <f ca="1">_xll.DBRW($C$1,$C$2,$C$3,$C$4,$C$6,$C$5,$C$7,AE$1,AE$2,$A236)</f>
        <v>0</v>
      </c>
      <c r="AF236" s="32">
        <f ca="1">_xll.DBRW($C$1,$C$2,$C$3,$C$4,$C$6,$C$5,$C$7,AF$1,AF$2,$A236)</f>
        <v>0</v>
      </c>
      <c r="AG236" s="32">
        <f ca="1">_xll.DBRW($C$1,$C$2,$C$3,$C$4,$C$6,$C$5,$C$7,AG$1,AG$2,$A236)</f>
        <v>0</v>
      </c>
      <c r="AH236" s="32">
        <f ca="1">_xll.DBRW($C$1,$C$2,$C$3,$C$4,$C$6,$C$5,$C$7,AH$1,AH$2,$A236)</f>
        <v>0</v>
      </c>
      <c r="AI236" s="32">
        <f ca="1">_xll.DBRW($C$1,$C$2,$C$3,$C$4,$C$6,$C$5,$C$7,AI$1,AI$2,$A236)</f>
        <v>0</v>
      </c>
      <c r="AJ236" s="32">
        <f ca="1">_xll.DBRW($C$1,$C$2,$C$3,$C$4,$C$6,$C$5,$C$7,AJ$1,AJ$2,$A236)</f>
        <v>0</v>
      </c>
      <c r="AK236" s="32">
        <f ca="1">_xll.DBRW($C$1,$C$2,$C$3,$C$4,$C$6,$C$5,$C$7,AK$1,AK$2,$A236)</f>
        <v>0</v>
      </c>
      <c r="AL236" s="32">
        <f ca="1">_xll.DBRW($C$1,$C$2,$C$3,$C$4,$C$6,$C$5,$C$7,AL$1,AL$2,$A236)</f>
        <v>0</v>
      </c>
      <c r="AM236" s="32">
        <f ca="1">_xll.DBRW($C$1,$C$2,$C$3,$C$4,$C$6,$C$5,$C$7,AM$1,AM$2,$A236)</f>
        <v>0</v>
      </c>
      <c r="AN236" s="32">
        <f ca="1">_xll.DBRW($C$1,$C$2,$C$3,$C$4,$C$6,$C$5,$C$7,AN$1,AN$2,$A236)</f>
        <v>0</v>
      </c>
      <c r="AO236" s="32">
        <f ca="1">_xll.DBRW($C$1,$C$2,$C$3,$C$4,$C$6,$C$5,$C$7,AO$1,AO$2,$A236)</f>
        <v>0</v>
      </c>
      <c r="AP236" s="32">
        <f ca="1">_xll.DBRW($C$1,$C$2,$C$3,$C$4,$C$6,$C$5,$C$7,AP$1,AP$2,$A236)</f>
        <v>0</v>
      </c>
      <c r="AQ236" s="32">
        <f ca="1">_xll.DBRW($C$1,$C$2,$C$3,$C$4,$C$6,$C$5,$C$7,AQ$1,AQ$2,$A236)</f>
        <v>0</v>
      </c>
      <c r="AR236" s="32">
        <f ca="1">_xll.DBRW($C$1,$C$2,$C$3,$C$4,$C$6,$C$5,$C$7,AR$1,AR$2,$A236)</f>
        <v>0</v>
      </c>
      <c r="AS236" s="32">
        <f ca="1">_xll.DBRW($C$1,$C$2,$C$3,$C$4,$C$6,$C$5,$C$7,AS$1,AS$2,$A236)</f>
        <v>0</v>
      </c>
      <c r="AT236" s="32">
        <f ca="1">_xll.DBRW($C$1,$C$2,$C$3,$C$4,$C$6,$C$5,$C$7,AT$1,AT$2,$A236)</f>
        <v>0</v>
      </c>
      <c r="AU236" s="32">
        <f ca="1">_xll.DBRW($C$1,$C$2,$C$3,$C$4,$C$6,$C$5,$C$7,AU$1,AU$2,$A236)</f>
        <v>0</v>
      </c>
    </row>
    <row r="237" spans="1:47" ht="15.75" hidden="1" outlineLevel="1">
      <c r="C237" s="141"/>
      <c r="E237" s="83" t="s">
        <v>49</v>
      </c>
      <c r="F237" s="38">
        <f t="shared" ref="F237:T237" ca="1" si="106">F236</f>
        <v>0</v>
      </c>
      <c r="G237" s="38">
        <f t="shared" ca="1" si="106"/>
        <v>0</v>
      </c>
      <c r="H237" s="38">
        <f t="shared" ca="1" si="106"/>
        <v>0</v>
      </c>
      <c r="I237" s="38">
        <f t="shared" ca="1" si="106"/>
        <v>0</v>
      </c>
      <c r="J237" s="38">
        <f t="shared" ca="1" si="106"/>
        <v>0</v>
      </c>
      <c r="K237" s="38">
        <f t="shared" ca="1" si="106"/>
        <v>0</v>
      </c>
      <c r="L237" s="38">
        <f t="shared" ca="1" si="106"/>
        <v>0</v>
      </c>
      <c r="M237" s="38">
        <f t="shared" ca="1" si="106"/>
        <v>0</v>
      </c>
      <c r="N237" s="38">
        <f t="shared" ca="1" si="106"/>
        <v>0</v>
      </c>
      <c r="O237" s="38">
        <f t="shared" ca="1" si="106"/>
        <v>0</v>
      </c>
      <c r="P237" s="38">
        <f t="shared" ca="1" si="106"/>
        <v>0</v>
      </c>
      <c r="Q237" s="38">
        <f t="shared" ca="1" si="106"/>
        <v>0</v>
      </c>
      <c r="R237" s="38">
        <f t="shared" ca="1" si="106"/>
        <v>0</v>
      </c>
      <c r="S237" s="38">
        <f t="shared" ca="1" si="106"/>
        <v>0</v>
      </c>
      <c r="T237" s="38">
        <f t="shared" ca="1" si="106"/>
        <v>0</v>
      </c>
      <c r="U237" s="38">
        <f ca="1">U236</f>
        <v>0</v>
      </c>
      <c r="V237" s="38">
        <f ca="1">V236</f>
        <v>0</v>
      </c>
      <c r="W237" s="38">
        <f t="shared" ref="W237:AG237" ca="1" si="107">W236</f>
        <v>0</v>
      </c>
      <c r="X237" s="38">
        <f t="shared" ca="1" si="107"/>
        <v>0</v>
      </c>
      <c r="Y237" s="38">
        <f t="shared" ca="1" si="107"/>
        <v>0</v>
      </c>
      <c r="Z237" s="38">
        <f t="shared" ca="1" si="107"/>
        <v>0</v>
      </c>
      <c r="AA237" s="38">
        <f t="shared" ca="1" si="107"/>
        <v>0</v>
      </c>
      <c r="AB237" s="38">
        <f t="shared" ca="1" si="107"/>
        <v>0</v>
      </c>
      <c r="AC237" s="38">
        <f t="shared" ca="1" si="107"/>
        <v>0</v>
      </c>
      <c r="AD237" s="38">
        <f t="shared" ca="1" si="107"/>
        <v>0</v>
      </c>
      <c r="AE237" s="38">
        <f t="shared" ca="1" si="107"/>
        <v>0</v>
      </c>
      <c r="AF237" s="38">
        <f t="shared" ca="1" si="107"/>
        <v>0</v>
      </c>
      <c r="AG237" s="38">
        <f t="shared" ca="1" si="107"/>
        <v>0</v>
      </c>
      <c r="AH237" s="38">
        <f ca="1">AH236</f>
        <v>0</v>
      </c>
      <c r="AI237" s="38">
        <f ca="1">AI236</f>
        <v>0</v>
      </c>
      <c r="AJ237" s="38">
        <f t="shared" ref="AJ237:AT237" ca="1" si="108">AJ236</f>
        <v>0</v>
      </c>
      <c r="AK237" s="38">
        <f t="shared" ca="1" si="108"/>
        <v>0</v>
      </c>
      <c r="AL237" s="38">
        <f t="shared" ca="1" si="108"/>
        <v>0</v>
      </c>
      <c r="AM237" s="38">
        <f t="shared" ca="1" si="108"/>
        <v>0</v>
      </c>
      <c r="AN237" s="38">
        <f t="shared" ca="1" si="108"/>
        <v>0</v>
      </c>
      <c r="AO237" s="38">
        <f t="shared" ca="1" si="108"/>
        <v>0</v>
      </c>
      <c r="AP237" s="38">
        <f t="shared" ca="1" si="108"/>
        <v>0</v>
      </c>
      <c r="AQ237" s="38">
        <f t="shared" ca="1" si="108"/>
        <v>0</v>
      </c>
      <c r="AR237" s="38">
        <f t="shared" ca="1" si="108"/>
        <v>0</v>
      </c>
      <c r="AS237" s="38">
        <f t="shared" ca="1" si="108"/>
        <v>0</v>
      </c>
      <c r="AT237" s="38">
        <f t="shared" ca="1" si="108"/>
        <v>0</v>
      </c>
      <c r="AU237" s="38">
        <f ca="1">AU236</f>
        <v>0</v>
      </c>
    </row>
    <row r="238" spans="1:47" ht="15.75" hidden="1" customHeight="1" outlineLevel="2">
      <c r="A238" s="1" t="s">
        <v>303</v>
      </c>
      <c r="C238" s="141"/>
      <c r="E238" s="9" t="str">
        <f ca="1">_xll.DBRW(Server&amp;"}ElementAttributes_Indicator",A238,"code_English")</f>
        <v>PL0000_IT - IT</v>
      </c>
      <c r="F238" s="32">
        <f ca="1">_xll.DBRW($C$1,$C$2,$C$3,$C$4,$C$6,$C$5,$C$7,F$1,F$2,$A238)</f>
        <v>-14148772.799999997</v>
      </c>
      <c r="G238" s="32">
        <f ca="1">_xll.DBRW($C$1,$C$2,$C$3,$C$4,$C$6,$C$5,$C$7,G$1,G$2,$A238)</f>
        <v>-14153397.160000002</v>
      </c>
      <c r="H238" s="32">
        <f ca="1">_xll.DBRW($C$1,$C$2,$C$3,$C$4,$C$6,$C$5,$C$7,H$1,H$2,$A238)</f>
        <v>-15077127.500000002</v>
      </c>
      <c r="I238" s="32">
        <f ca="1">_xll.DBRW($C$1,$C$2,$C$3,$C$4,$C$6,$C$5,$C$7,I$1,I$2,$A238)</f>
        <v>-1292344.93</v>
      </c>
      <c r="J238" s="32">
        <f ca="1">_xll.DBRW($C$1,$C$2,$C$3,$C$4,$C$6,$C$5,$C$7,J$1,J$2,$A238)</f>
        <v>-2561614.4900000002</v>
      </c>
      <c r="K238" s="32">
        <f ca="1">_xll.DBRW($C$1,$C$2,$C$3,$C$4,$C$6,$C$5,$C$7,K$1,K$2,$A238)</f>
        <v>-3946960.91</v>
      </c>
      <c r="L238" s="32">
        <f ca="1">_xll.DBRW($C$1,$C$2,$C$3,$C$4,$C$6,$C$5,$C$7,L$1,L$2,$A238)</f>
        <v>-5243411.25</v>
      </c>
      <c r="M238" s="32">
        <f ca="1">_xll.DBRW($C$1,$C$2,$C$3,$C$4,$C$6,$C$5,$C$7,M$1,M$2,$A238)</f>
        <v>-6672495.3900000006</v>
      </c>
      <c r="N238" s="32">
        <f ca="1">_xll.DBRW($C$1,$C$2,$C$3,$C$4,$C$6,$C$5,$C$7,N$1,N$2,$A238)</f>
        <v>-8035779.8200000012</v>
      </c>
      <c r="O238" s="32">
        <f ca="1">_xll.DBRW($C$1,$C$2,$C$3,$C$4,$C$6,$C$5,$C$7,O$1,O$2,$A238)</f>
        <v>-8035779.8200000012</v>
      </c>
      <c r="P238" s="32">
        <f ca="1">_xll.DBRW($C$1,$C$2,$C$3,$C$4,$C$6,$C$5,$C$7,P$1,P$2,$A238)</f>
        <v>-8035779.8200000012</v>
      </c>
      <c r="Q238" s="32">
        <f ca="1">_xll.DBRW($C$1,$C$2,$C$3,$C$4,$C$6,$C$5,$C$7,Q$1,Q$2,$A238)</f>
        <v>-8035779.8200000012</v>
      </c>
      <c r="R238" s="32">
        <f ca="1">_xll.DBRW($C$1,$C$2,$C$3,$C$4,$C$6,$C$5,$C$7,R$1,R$2,$A238)</f>
        <v>-8035779.8200000012</v>
      </c>
      <c r="S238" s="32">
        <f ca="1">_xll.DBRW($C$1,$C$2,$C$3,$C$4,$C$6,$C$5,$C$7,S$1,S$2,$A238)</f>
        <v>-8035779.8200000012</v>
      </c>
      <c r="T238" s="32">
        <f ca="1">_xll.DBRW($C$1,$C$2,$C$3,$C$4,$C$6,$C$5,$C$7,T$1,T$2,$A238)</f>
        <v>-8035779.8200000012</v>
      </c>
      <c r="U238" s="32">
        <f ca="1">_xll.DBRW($C$1,$C$2,$C$3,$C$4,$C$6,$C$5,$C$7,U$1,U$2,$A238)</f>
        <v>-8035779.8200000012</v>
      </c>
      <c r="V238" s="32">
        <f ca="1">_xll.DBRW($C$1,$C$2,$C$3,$C$4,$C$6,$C$5,$C$7,V$1,V$2,$A238)</f>
        <v>0</v>
      </c>
      <c r="W238" s="32">
        <f ca="1">_xll.DBRW($C$1,$C$2,$C$3,$C$4,$C$6,$C$5,$C$7,W$1,W$2,$A238)</f>
        <v>0</v>
      </c>
      <c r="X238" s="32">
        <f ca="1">_xll.DBRW($C$1,$C$2,$C$3,$C$4,$C$6,$C$5,$C$7,X$1,X$2,$A238)</f>
        <v>0</v>
      </c>
      <c r="Y238" s="32">
        <f ca="1">_xll.DBRW($C$1,$C$2,$C$3,$C$4,$C$6,$C$5,$C$7,Y$1,Y$2,$A238)</f>
        <v>0</v>
      </c>
      <c r="Z238" s="32">
        <f ca="1">_xll.DBRW($C$1,$C$2,$C$3,$C$4,$C$6,$C$5,$C$7,Z$1,Z$2,$A238)</f>
        <v>0</v>
      </c>
      <c r="AA238" s="32">
        <f ca="1">_xll.DBRW($C$1,$C$2,$C$3,$C$4,$C$6,$C$5,$C$7,AA$1,AA$2,$A238)</f>
        <v>0</v>
      </c>
      <c r="AB238" s="32">
        <f ca="1">_xll.DBRW($C$1,$C$2,$C$3,$C$4,$C$6,$C$5,$C$7,AB$1,AB$2,$A238)</f>
        <v>0</v>
      </c>
      <c r="AC238" s="32">
        <f ca="1">_xll.DBRW($C$1,$C$2,$C$3,$C$4,$C$6,$C$5,$C$7,AC$1,AC$2,$A238)</f>
        <v>0</v>
      </c>
      <c r="AD238" s="32">
        <f ca="1">_xll.DBRW($C$1,$C$2,$C$3,$C$4,$C$6,$C$5,$C$7,AD$1,AD$2,$A238)</f>
        <v>0</v>
      </c>
      <c r="AE238" s="32">
        <f ca="1">_xll.DBRW($C$1,$C$2,$C$3,$C$4,$C$6,$C$5,$C$7,AE$1,AE$2,$A238)</f>
        <v>0</v>
      </c>
      <c r="AF238" s="32">
        <f ca="1">_xll.DBRW($C$1,$C$2,$C$3,$C$4,$C$6,$C$5,$C$7,AF$1,AF$2,$A238)</f>
        <v>0</v>
      </c>
      <c r="AG238" s="32">
        <f ca="1">_xll.DBRW($C$1,$C$2,$C$3,$C$4,$C$6,$C$5,$C$7,AG$1,AG$2,$A238)</f>
        <v>0</v>
      </c>
      <c r="AH238" s="32">
        <f ca="1">_xll.DBRW($C$1,$C$2,$C$3,$C$4,$C$6,$C$5,$C$7,AH$1,AH$2,$A238)</f>
        <v>0</v>
      </c>
      <c r="AI238" s="32">
        <f ca="1">_xll.DBRW($C$1,$C$2,$C$3,$C$4,$C$6,$C$5,$C$7,AI$1,AI$2,$A238)</f>
        <v>0</v>
      </c>
      <c r="AJ238" s="32">
        <f ca="1">_xll.DBRW($C$1,$C$2,$C$3,$C$4,$C$6,$C$5,$C$7,AJ$1,AJ$2,$A238)</f>
        <v>0</v>
      </c>
      <c r="AK238" s="32">
        <f ca="1">_xll.DBRW($C$1,$C$2,$C$3,$C$4,$C$6,$C$5,$C$7,AK$1,AK$2,$A238)</f>
        <v>0</v>
      </c>
      <c r="AL238" s="32">
        <f ca="1">_xll.DBRW($C$1,$C$2,$C$3,$C$4,$C$6,$C$5,$C$7,AL$1,AL$2,$A238)</f>
        <v>0</v>
      </c>
      <c r="AM238" s="32">
        <f ca="1">_xll.DBRW($C$1,$C$2,$C$3,$C$4,$C$6,$C$5,$C$7,AM$1,AM$2,$A238)</f>
        <v>0</v>
      </c>
      <c r="AN238" s="32">
        <f ca="1">_xll.DBRW($C$1,$C$2,$C$3,$C$4,$C$6,$C$5,$C$7,AN$1,AN$2,$A238)</f>
        <v>0</v>
      </c>
      <c r="AO238" s="32">
        <f ca="1">_xll.DBRW($C$1,$C$2,$C$3,$C$4,$C$6,$C$5,$C$7,AO$1,AO$2,$A238)</f>
        <v>0</v>
      </c>
      <c r="AP238" s="32">
        <f ca="1">_xll.DBRW($C$1,$C$2,$C$3,$C$4,$C$6,$C$5,$C$7,AP$1,AP$2,$A238)</f>
        <v>0</v>
      </c>
      <c r="AQ238" s="32">
        <f ca="1">_xll.DBRW($C$1,$C$2,$C$3,$C$4,$C$6,$C$5,$C$7,AQ$1,AQ$2,$A238)</f>
        <v>0</v>
      </c>
      <c r="AR238" s="32">
        <f ca="1">_xll.DBRW($C$1,$C$2,$C$3,$C$4,$C$6,$C$5,$C$7,AR$1,AR$2,$A238)</f>
        <v>0</v>
      </c>
      <c r="AS238" s="32">
        <f ca="1">_xll.DBRW($C$1,$C$2,$C$3,$C$4,$C$6,$C$5,$C$7,AS$1,AS$2,$A238)</f>
        <v>0</v>
      </c>
      <c r="AT238" s="32">
        <f ca="1">_xll.DBRW($C$1,$C$2,$C$3,$C$4,$C$6,$C$5,$C$7,AT$1,AT$2,$A238)</f>
        <v>0</v>
      </c>
      <c r="AU238" s="32">
        <f ca="1">_xll.DBRW($C$1,$C$2,$C$3,$C$4,$C$6,$C$5,$C$7,AU$1,AU$2,$A238)</f>
        <v>0</v>
      </c>
    </row>
    <row r="239" spans="1:47" ht="15.75" hidden="1" outlineLevel="1">
      <c r="C239" s="141"/>
      <c r="E239" s="83" t="s">
        <v>50</v>
      </c>
      <c r="F239" s="38">
        <f t="shared" ref="F239:T239" ca="1" si="109">F238</f>
        <v>-14148772.799999997</v>
      </c>
      <c r="G239" s="38">
        <f t="shared" ca="1" si="109"/>
        <v>-14153397.160000002</v>
      </c>
      <c r="H239" s="38">
        <f t="shared" ca="1" si="109"/>
        <v>-15077127.500000002</v>
      </c>
      <c r="I239" s="38">
        <f t="shared" ca="1" si="109"/>
        <v>-1292344.93</v>
      </c>
      <c r="J239" s="38">
        <f t="shared" ca="1" si="109"/>
        <v>-2561614.4900000002</v>
      </c>
      <c r="K239" s="38">
        <f t="shared" ca="1" si="109"/>
        <v>-3946960.91</v>
      </c>
      <c r="L239" s="38">
        <f t="shared" ca="1" si="109"/>
        <v>-5243411.25</v>
      </c>
      <c r="M239" s="38">
        <f t="shared" ca="1" si="109"/>
        <v>-6672495.3900000006</v>
      </c>
      <c r="N239" s="38">
        <f t="shared" ca="1" si="109"/>
        <v>-8035779.8200000012</v>
      </c>
      <c r="O239" s="38">
        <f t="shared" ca="1" si="109"/>
        <v>-8035779.8200000012</v>
      </c>
      <c r="P239" s="38">
        <f t="shared" ca="1" si="109"/>
        <v>-8035779.8200000012</v>
      </c>
      <c r="Q239" s="38">
        <f t="shared" ca="1" si="109"/>
        <v>-8035779.8200000012</v>
      </c>
      <c r="R239" s="38">
        <f t="shared" ca="1" si="109"/>
        <v>-8035779.8200000012</v>
      </c>
      <c r="S239" s="38">
        <f t="shared" ca="1" si="109"/>
        <v>-8035779.8200000012</v>
      </c>
      <c r="T239" s="38">
        <f t="shared" ca="1" si="109"/>
        <v>-8035779.8200000012</v>
      </c>
      <c r="U239" s="38">
        <f ca="1">U238</f>
        <v>-8035779.8200000012</v>
      </c>
      <c r="V239" s="38">
        <f ca="1">V238</f>
        <v>0</v>
      </c>
      <c r="W239" s="38">
        <f t="shared" ref="W239:AG239" ca="1" si="110">W238</f>
        <v>0</v>
      </c>
      <c r="X239" s="38">
        <f t="shared" ca="1" si="110"/>
        <v>0</v>
      </c>
      <c r="Y239" s="38">
        <f t="shared" ca="1" si="110"/>
        <v>0</v>
      </c>
      <c r="Z239" s="38">
        <f t="shared" ca="1" si="110"/>
        <v>0</v>
      </c>
      <c r="AA239" s="38">
        <f t="shared" ca="1" si="110"/>
        <v>0</v>
      </c>
      <c r="AB239" s="38">
        <f t="shared" ca="1" si="110"/>
        <v>0</v>
      </c>
      <c r="AC239" s="38">
        <f t="shared" ca="1" si="110"/>
        <v>0</v>
      </c>
      <c r="AD239" s="38">
        <f t="shared" ca="1" si="110"/>
        <v>0</v>
      </c>
      <c r="AE239" s="38">
        <f t="shared" ca="1" si="110"/>
        <v>0</v>
      </c>
      <c r="AF239" s="38">
        <f t="shared" ca="1" si="110"/>
        <v>0</v>
      </c>
      <c r="AG239" s="38">
        <f t="shared" ca="1" si="110"/>
        <v>0</v>
      </c>
      <c r="AH239" s="38">
        <f ca="1">AH238</f>
        <v>0</v>
      </c>
      <c r="AI239" s="38">
        <f ca="1">AI238</f>
        <v>0</v>
      </c>
      <c r="AJ239" s="38">
        <f t="shared" ref="AJ239:AT239" ca="1" si="111">AJ238</f>
        <v>0</v>
      </c>
      <c r="AK239" s="38">
        <f t="shared" ca="1" si="111"/>
        <v>0</v>
      </c>
      <c r="AL239" s="38">
        <f t="shared" ca="1" si="111"/>
        <v>0</v>
      </c>
      <c r="AM239" s="38">
        <f t="shared" ca="1" si="111"/>
        <v>0</v>
      </c>
      <c r="AN239" s="38">
        <f t="shared" ca="1" si="111"/>
        <v>0</v>
      </c>
      <c r="AO239" s="38">
        <f t="shared" ca="1" si="111"/>
        <v>0</v>
      </c>
      <c r="AP239" s="38">
        <f t="shared" ca="1" si="111"/>
        <v>0</v>
      </c>
      <c r="AQ239" s="38">
        <f t="shared" ca="1" si="111"/>
        <v>0</v>
      </c>
      <c r="AR239" s="38">
        <f t="shared" ca="1" si="111"/>
        <v>0</v>
      </c>
      <c r="AS239" s="38">
        <f t="shared" ca="1" si="111"/>
        <v>0</v>
      </c>
      <c r="AT239" s="38">
        <f t="shared" ca="1" si="111"/>
        <v>0</v>
      </c>
      <c r="AU239" s="38">
        <f ca="1">AU238</f>
        <v>0</v>
      </c>
    </row>
    <row r="240" spans="1:47" ht="15.75" hidden="1" customHeight="1" outlineLevel="2">
      <c r="A240" s="1" t="s">
        <v>304</v>
      </c>
      <c r="C240" s="141"/>
      <c r="E240" s="9" t="str">
        <f ca="1">_xll.DBRW(Server&amp;"}ElementAttributes_Indicator",A240,"code_English")</f>
        <v>PL0000_LE - Legal</v>
      </c>
      <c r="F240" s="32">
        <f ca="1">_xll.DBRW($C$1,$C$2,$C$3,$C$4,$C$6,$C$5,$C$7,F$1,F$2,$A240)</f>
        <v>-509854.43999999994</v>
      </c>
      <c r="G240" s="32">
        <f ca="1">_xll.DBRW($C$1,$C$2,$C$3,$C$4,$C$6,$C$5,$C$7,G$1,G$2,$A240)</f>
        <v>-422827.19</v>
      </c>
      <c r="H240" s="32">
        <f ca="1">_xll.DBRW($C$1,$C$2,$C$3,$C$4,$C$6,$C$5,$C$7,H$1,H$2,$A240)</f>
        <v>-502985.4200000001</v>
      </c>
      <c r="I240" s="32">
        <f ca="1">_xll.DBRW($C$1,$C$2,$C$3,$C$4,$C$6,$C$5,$C$7,I$1,I$2,$A240)</f>
        <v>-52711.65</v>
      </c>
      <c r="J240" s="32">
        <f ca="1">_xll.DBRW($C$1,$C$2,$C$3,$C$4,$C$6,$C$5,$C$7,J$1,J$2,$A240)</f>
        <v>-98999.1</v>
      </c>
      <c r="K240" s="32">
        <f ca="1">_xll.DBRW($C$1,$C$2,$C$3,$C$4,$C$6,$C$5,$C$7,K$1,K$2,$A240)</f>
        <v>-137034.23000000001</v>
      </c>
      <c r="L240" s="32">
        <f ca="1">_xll.DBRW($C$1,$C$2,$C$3,$C$4,$C$6,$C$5,$C$7,L$1,L$2,$A240)</f>
        <v>-154849.79000000004</v>
      </c>
      <c r="M240" s="32">
        <f ca="1">_xll.DBRW($C$1,$C$2,$C$3,$C$4,$C$6,$C$5,$C$7,M$1,M$2,$A240)</f>
        <v>-185179.04000000004</v>
      </c>
      <c r="N240" s="32">
        <f ca="1">_xll.DBRW($C$1,$C$2,$C$3,$C$4,$C$6,$C$5,$C$7,N$1,N$2,$A240)</f>
        <v>-232780.31000000003</v>
      </c>
      <c r="O240" s="32">
        <f ca="1">_xll.DBRW($C$1,$C$2,$C$3,$C$4,$C$6,$C$5,$C$7,O$1,O$2,$A240)</f>
        <v>-232780.31000000003</v>
      </c>
      <c r="P240" s="32">
        <f ca="1">_xll.DBRW($C$1,$C$2,$C$3,$C$4,$C$6,$C$5,$C$7,P$1,P$2,$A240)</f>
        <v>-232780.31000000003</v>
      </c>
      <c r="Q240" s="32">
        <f ca="1">_xll.DBRW($C$1,$C$2,$C$3,$C$4,$C$6,$C$5,$C$7,Q$1,Q$2,$A240)</f>
        <v>-232780.31000000003</v>
      </c>
      <c r="R240" s="32">
        <f ca="1">_xll.DBRW($C$1,$C$2,$C$3,$C$4,$C$6,$C$5,$C$7,R$1,R$2,$A240)</f>
        <v>-232780.31000000003</v>
      </c>
      <c r="S240" s="32">
        <f ca="1">_xll.DBRW($C$1,$C$2,$C$3,$C$4,$C$6,$C$5,$C$7,S$1,S$2,$A240)</f>
        <v>-232780.31000000003</v>
      </c>
      <c r="T240" s="32">
        <f ca="1">_xll.DBRW($C$1,$C$2,$C$3,$C$4,$C$6,$C$5,$C$7,T$1,T$2,$A240)</f>
        <v>-232780.31000000003</v>
      </c>
      <c r="U240" s="32">
        <f ca="1">_xll.DBRW($C$1,$C$2,$C$3,$C$4,$C$6,$C$5,$C$7,U$1,U$2,$A240)</f>
        <v>-232780.31000000003</v>
      </c>
      <c r="V240" s="32">
        <f ca="1">_xll.DBRW($C$1,$C$2,$C$3,$C$4,$C$6,$C$5,$C$7,V$1,V$2,$A240)</f>
        <v>0</v>
      </c>
      <c r="W240" s="32">
        <f ca="1">_xll.DBRW($C$1,$C$2,$C$3,$C$4,$C$6,$C$5,$C$7,W$1,W$2,$A240)</f>
        <v>0</v>
      </c>
      <c r="X240" s="32">
        <f ca="1">_xll.DBRW($C$1,$C$2,$C$3,$C$4,$C$6,$C$5,$C$7,X$1,X$2,$A240)</f>
        <v>0</v>
      </c>
      <c r="Y240" s="32">
        <f ca="1">_xll.DBRW($C$1,$C$2,$C$3,$C$4,$C$6,$C$5,$C$7,Y$1,Y$2,$A240)</f>
        <v>0</v>
      </c>
      <c r="Z240" s="32">
        <f ca="1">_xll.DBRW($C$1,$C$2,$C$3,$C$4,$C$6,$C$5,$C$7,Z$1,Z$2,$A240)</f>
        <v>0</v>
      </c>
      <c r="AA240" s="32">
        <f ca="1">_xll.DBRW($C$1,$C$2,$C$3,$C$4,$C$6,$C$5,$C$7,AA$1,AA$2,$A240)</f>
        <v>0</v>
      </c>
      <c r="AB240" s="32">
        <f ca="1">_xll.DBRW($C$1,$C$2,$C$3,$C$4,$C$6,$C$5,$C$7,AB$1,AB$2,$A240)</f>
        <v>0</v>
      </c>
      <c r="AC240" s="32">
        <f ca="1">_xll.DBRW($C$1,$C$2,$C$3,$C$4,$C$6,$C$5,$C$7,AC$1,AC$2,$A240)</f>
        <v>0</v>
      </c>
      <c r="AD240" s="32">
        <f ca="1">_xll.DBRW($C$1,$C$2,$C$3,$C$4,$C$6,$C$5,$C$7,AD$1,AD$2,$A240)</f>
        <v>0</v>
      </c>
      <c r="AE240" s="32">
        <f ca="1">_xll.DBRW($C$1,$C$2,$C$3,$C$4,$C$6,$C$5,$C$7,AE$1,AE$2,$A240)</f>
        <v>0</v>
      </c>
      <c r="AF240" s="32">
        <f ca="1">_xll.DBRW($C$1,$C$2,$C$3,$C$4,$C$6,$C$5,$C$7,AF$1,AF$2,$A240)</f>
        <v>0</v>
      </c>
      <c r="AG240" s="32">
        <f ca="1">_xll.DBRW($C$1,$C$2,$C$3,$C$4,$C$6,$C$5,$C$7,AG$1,AG$2,$A240)</f>
        <v>0</v>
      </c>
      <c r="AH240" s="32">
        <f ca="1">_xll.DBRW($C$1,$C$2,$C$3,$C$4,$C$6,$C$5,$C$7,AH$1,AH$2,$A240)</f>
        <v>0</v>
      </c>
      <c r="AI240" s="32">
        <f ca="1">_xll.DBRW($C$1,$C$2,$C$3,$C$4,$C$6,$C$5,$C$7,AI$1,AI$2,$A240)</f>
        <v>0</v>
      </c>
      <c r="AJ240" s="32">
        <f ca="1">_xll.DBRW($C$1,$C$2,$C$3,$C$4,$C$6,$C$5,$C$7,AJ$1,AJ$2,$A240)</f>
        <v>0</v>
      </c>
      <c r="AK240" s="32">
        <f ca="1">_xll.DBRW($C$1,$C$2,$C$3,$C$4,$C$6,$C$5,$C$7,AK$1,AK$2,$A240)</f>
        <v>0</v>
      </c>
      <c r="AL240" s="32">
        <f ca="1">_xll.DBRW($C$1,$C$2,$C$3,$C$4,$C$6,$C$5,$C$7,AL$1,AL$2,$A240)</f>
        <v>0</v>
      </c>
      <c r="AM240" s="32">
        <f ca="1">_xll.DBRW($C$1,$C$2,$C$3,$C$4,$C$6,$C$5,$C$7,AM$1,AM$2,$A240)</f>
        <v>0</v>
      </c>
      <c r="AN240" s="32">
        <f ca="1">_xll.DBRW($C$1,$C$2,$C$3,$C$4,$C$6,$C$5,$C$7,AN$1,AN$2,$A240)</f>
        <v>0</v>
      </c>
      <c r="AO240" s="32">
        <f ca="1">_xll.DBRW($C$1,$C$2,$C$3,$C$4,$C$6,$C$5,$C$7,AO$1,AO$2,$A240)</f>
        <v>0</v>
      </c>
      <c r="AP240" s="32">
        <f ca="1">_xll.DBRW($C$1,$C$2,$C$3,$C$4,$C$6,$C$5,$C$7,AP$1,AP$2,$A240)</f>
        <v>0</v>
      </c>
      <c r="AQ240" s="32">
        <f ca="1">_xll.DBRW($C$1,$C$2,$C$3,$C$4,$C$6,$C$5,$C$7,AQ$1,AQ$2,$A240)</f>
        <v>0</v>
      </c>
      <c r="AR240" s="32">
        <f ca="1">_xll.DBRW($C$1,$C$2,$C$3,$C$4,$C$6,$C$5,$C$7,AR$1,AR$2,$A240)</f>
        <v>0</v>
      </c>
      <c r="AS240" s="32">
        <f ca="1">_xll.DBRW($C$1,$C$2,$C$3,$C$4,$C$6,$C$5,$C$7,AS$1,AS$2,$A240)</f>
        <v>0</v>
      </c>
      <c r="AT240" s="32">
        <f ca="1">_xll.DBRW($C$1,$C$2,$C$3,$C$4,$C$6,$C$5,$C$7,AT$1,AT$2,$A240)</f>
        <v>0</v>
      </c>
      <c r="AU240" s="32">
        <f ca="1">_xll.DBRW($C$1,$C$2,$C$3,$C$4,$C$6,$C$5,$C$7,AU$1,AU$2,$A240)</f>
        <v>0</v>
      </c>
    </row>
    <row r="241" spans="1:47" ht="15.75" hidden="1" outlineLevel="1">
      <c r="C241" s="141"/>
      <c r="E241" s="83" t="s">
        <v>51</v>
      </c>
      <c r="F241" s="38">
        <f t="shared" ref="F241:T241" ca="1" si="112">F240</f>
        <v>-509854.43999999994</v>
      </c>
      <c r="G241" s="38">
        <f t="shared" ca="1" si="112"/>
        <v>-422827.19</v>
      </c>
      <c r="H241" s="38">
        <f t="shared" ca="1" si="112"/>
        <v>-502985.4200000001</v>
      </c>
      <c r="I241" s="38">
        <f t="shared" ca="1" si="112"/>
        <v>-52711.65</v>
      </c>
      <c r="J241" s="38">
        <f t="shared" ca="1" si="112"/>
        <v>-98999.1</v>
      </c>
      <c r="K241" s="38">
        <f t="shared" ca="1" si="112"/>
        <v>-137034.23000000001</v>
      </c>
      <c r="L241" s="38">
        <f t="shared" ca="1" si="112"/>
        <v>-154849.79000000004</v>
      </c>
      <c r="M241" s="38">
        <f t="shared" ca="1" si="112"/>
        <v>-185179.04000000004</v>
      </c>
      <c r="N241" s="38">
        <f t="shared" ca="1" si="112"/>
        <v>-232780.31000000003</v>
      </c>
      <c r="O241" s="38">
        <f t="shared" ca="1" si="112"/>
        <v>-232780.31000000003</v>
      </c>
      <c r="P241" s="38">
        <f t="shared" ca="1" si="112"/>
        <v>-232780.31000000003</v>
      </c>
      <c r="Q241" s="38">
        <f t="shared" ca="1" si="112"/>
        <v>-232780.31000000003</v>
      </c>
      <c r="R241" s="38">
        <f t="shared" ca="1" si="112"/>
        <v>-232780.31000000003</v>
      </c>
      <c r="S241" s="38">
        <f t="shared" ca="1" si="112"/>
        <v>-232780.31000000003</v>
      </c>
      <c r="T241" s="38">
        <f t="shared" ca="1" si="112"/>
        <v>-232780.31000000003</v>
      </c>
      <c r="U241" s="38">
        <f ca="1">U240</f>
        <v>-232780.31000000003</v>
      </c>
      <c r="V241" s="38">
        <f ca="1">V240</f>
        <v>0</v>
      </c>
      <c r="W241" s="38">
        <f t="shared" ref="W241:AG241" ca="1" si="113">W240</f>
        <v>0</v>
      </c>
      <c r="X241" s="38">
        <f t="shared" ca="1" si="113"/>
        <v>0</v>
      </c>
      <c r="Y241" s="38">
        <f t="shared" ca="1" si="113"/>
        <v>0</v>
      </c>
      <c r="Z241" s="38">
        <f t="shared" ca="1" si="113"/>
        <v>0</v>
      </c>
      <c r="AA241" s="38">
        <f t="shared" ca="1" si="113"/>
        <v>0</v>
      </c>
      <c r="AB241" s="38">
        <f t="shared" ca="1" si="113"/>
        <v>0</v>
      </c>
      <c r="AC241" s="38">
        <f t="shared" ca="1" si="113"/>
        <v>0</v>
      </c>
      <c r="AD241" s="38">
        <f t="shared" ca="1" si="113"/>
        <v>0</v>
      </c>
      <c r="AE241" s="38">
        <f t="shared" ca="1" si="113"/>
        <v>0</v>
      </c>
      <c r="AF241" s="38">
        <f t="shared" ca="1" si="113"/>
        <v>0</v>
      </c>
      <c r="AG241" s="38">
        <f t="shared" ca="1" si="113"/>
        <v>0</v>
      </c>
      <c r="AH241" s="38">
        <f ca="1">AH240</f>
        <v>0</v>
      </c>
      <c r="AI241" s="38">
        <f ca="1">AI240</f>
        <v>0</v>
      </c>
      <c r="AJ241" s="38">
        <f t="shared" ref="AJ241:AT241" ca="1" si="114">AJ240</f>
        <v>0</v>
      </c>
      <c r="AK241" s="38">
        <f t="shared" ca="1" si="114"/>
        <v>0</v>
      </c>
      <c r="AL241" s="38">
        <f t="shared" ca="1" si="114"/>
        <v>0</v>
      </c>
      <c r="AM241" s="38">
        <f t="shared" ca="1" si="114"/>
        <v>0</v>
      </c>
      <c r="AN241" s="38">
        <f t="shared" ca="1" si="114"/>
        <v>0</v>
      </c>
      <c r="AO241" s="38">
        <f t="shared" ca="1" si="114"/>
        <v>0</v>
      </c>
      <c r="AP241" s="38">
        <f t="shared" ca="1" si="114"/>
        <v>0</v>
      </c>
      <c r="AQ241" s="38">
        <f t="shared" ca="1" si="114"/>
        <v>0</v>
      </c>
      <c r="AR241" s="38">
        <f t="shared" ca="1" si="114"/>
        <v>0</v>
      </c>
      <c r="AS241" s="38">
        <f t="shared" ca="1" si="114"/>
        <v>0</v>
      </c>
      <c r="AT241" s="38">
        <f t="shared" ca="1" si="114"/>
        <v>0</v>
      </c>
      <c r="AU241" s="38">
        <f ca="1">AU240</f>
        <v>0</v>
      </c>
    </row>
    <row r="242" spans="1:47" ht="15.75" hidden="1" customHeight="1" outlineLevel="2">
      <c r="A242" s="1" t="s">
        <v>305</v>
      </c>
      <c r="C242" s="141"/>
      <c r="E242" s="9" t="str">
        <f ca="1">_xll.DBRW(Server&amp;"}ElementAttributes_Indicator",A242,"code_English")</f>
        <v>PL0000_PU - Purchasing</v>
      </c>
      <c r="F242" s="32">
        <f ca="1">_xll.DBRW($C$1,$C$2,$C$3,$C$4,$C$6,$C$5,$C$7,F$1,F$2,$A242)</f>
        <v>-1131731.05</v>
      </c>
      <c r="G242" s="32">
        <f ca="1">_xll.DBRW($C$1,$C$2,$C$3,$C$4,$C$6,$C$5,$C$7,G$1,G$2,$A242)</f>
        <v>-1457442.9500000002</v>
      </c>
      <c r="H242" s="32">
        <f ca="1">_xll.DBRW($C$1,$C$2,$C$3,$C$4,$C$6,$C$5,$C$7,H$1,H$2,$A242)</f>
        <v>-1037801.9200000002</v>
      </c>
      <c r="I242" s="32">
        <f ca="1">_xll.DBRW($C$1,$C$2,$C$3,$C$4,$C$6,$C$5,$C$7,I$1,I$2,$A242)</f>
        <v>-100584.15</v>
      </c>
      <c r="J242" s="32">
        <f ca="1">_xll.DBRW($C$1,$C$2,$C$3,$C$4,$C$6,$C$5,$C$7,J$1,J$2,$A242)</f>
        <v>-197949.65</v>
      </c>
      <c r="K242" s="32">
        <f ca="1">_xll.DBRW($C$1,$C$2,$C$3,$C$4,$C$6,$C$5,$C$7,K$1,K$2,$A242)</f>
        <v>-305654.37</v>
      </c>
      <c r="L242" s="32">
        <f ca="1">_xll.DBRW($C$1,$C$2,$C$3,$C$4,$C$6,$C$5,$C$7,L$1,L$2,$A242)</f>
        <v>-415428.19999999995</v>
      </c>
      <c r="M242" s="32">
        <f ca="1">_xll.DBRW($C$1,$C$2,$C$3,$C$4,$C$6,$C$5,$C$7,M$1,M$2,$A242)</f>
        <v>-527389.17000000004</v>
      </c>
      <c r="N242" s="32">
        <f ca="1">_xll.DBRW($C$1,$C$2,$C$3,$C$4,$C$6,$C$5,$C$7,N$1,N$2,$A242)</f>
        <v>-634224.70000000007</v>
      </c>
      <c r="O242" s="32">
        <f ca="1">_xll.DBRW($C$1,$C$2,$C$3,$C$4,$C$6,$C$5,$C$7,O$1,O$2,$A242)</f>
        <v>-634224.70000000007</v>
      </c>
      <c r="P242" s="32">
        <f ca="1">_xll.DBRW($C$1,$C$2,$C$3,$C$4,$C$6,$C$5,$C$7,P$1,P$2,$A242)</f>
        <v>-634224.70000000007</v>
      </c>
      <c r="Q242" s="32">
        <f ca="1">_xll.DBRW($C$1,$C$2,$C$3,$C$4,$C$6,$C$5,$C$7,Q$1,Q$2,$A242)</f>
        <v>-634224.70000000007</v>
      </c>
      <c r="R242" s="32">
        <f ca="1">_xll.DBRW($C$1,$C$2,$C$3,$C$4,$C$6,$C$5,$C$7,R$1,R$2,$A242)</f>
        <v>-634224.70000000007</v>
      </c>
      <c r="S242" s="32">
        <f ca="1">_xll.DBRW($C$1,$C$2,$C$3,$C$4,$C$6,$C$5,$C$7,S$1,S$2,$A242)</f>
        <v>-634224.70000000007</v>
      </c>
      <c r="T242" s="32">
        <f ca="1">_xll.DBRW($C$1,$C$2,$C$3,$C$4,$C$6,$C$5,$C$7,T$1,T$2,$A242)</f>
        <v>-634224.70000000007</v>
      </c>
      <c r="U242" s="32">
        <f ca="1">_xll.DBRW($C$1,$C$2,$C$3,$C$4,$C$6,$C$5,$C$7,U$1,U$2,$A242)</f>
        <v>-634224.70000000007</v>
      </c>
      <c r="V242" s="32">
        <f ca="1">_xll.DBRW($C$1,$C$2,$C$3,$C$4,$C$6,$C$5,$C$7,V$1,V$2,$A242)</f>
        <v>0</v>
      </c>
      <c r="W242" s="32">
        <f ca="1">_xll.DBRW($C$1,$C$2,$C$3,$C$4,$C$6,$C$5,$C$7,W$1,W$2,$A242)</f>
        <v>0</v>
      </c>
      <c r="X242" s="32">
        <f ca="1">_xll.DBRW($C$1,$C$2,$C$3,$C$4,$C$6,$C$5,$C$7,X$1,X$2,$A242)</f>
        <v>0</v>
      </c>
      <c r="Y242" s="32">
        <f ca="1">_xll.DBRW($C$1,$C$2,$C$3,$C$4,$C$6,$C$5,$C$7,Y$1,Y$2,$A242)</f>
        <v>0</v>
      </c>
      <c r="Z242" s="32">
        <f ca="1">_xll.DBRW($C$1,$C$2,$C$3,$C$4,$C$6,$C$5,$C$7,Z$1,Z$2,$A242)</f>
        <v>0</v>
      </c>
      <c r="AA242" s="32">
        <f ca="1">_xll.DBRW($C$1,$C$2,$C$3,$C$4,$C$6,$C$5,$C$7,AA$1,AA$2,$A242)</f>
        <v>0</v>
      </c>
      <c r="AB242" s="32">
        <f ca="1">_xll.DBRW($C$1,$C$2,$C$3,$C$4,$C$6,$C$5,$C$7,AB$1,AB$2,$A242)</f>
        <v>0</v>
      </c>
      <c r="AC242" s="32">
        <f ca="1">_xll.DBRW($C$1,$C$2,$C$3,$C$4,$C$6,$C$5,$C$7,AC$1,AC$2,$A242)</f>
        <v>0</v>
      </c>
      <c r="AD242" s="32">
        <f ca="1">_xll.DBRW($C$1,$C$2,$C$3,$C$4,$C$6,$C$5,$C$7,AD$1,AD$2,$A242)</f>
        <v>0</v>
      </c>
      <c r="AE242" s="32">
        <f ca="1">_xll.DBRW($C$1,$C$2,$C$3,$C$4,$C$6,$C$5,$C$7,AE$1,AE$2,$A242)</f>
        <v>0</v>
      </c>
      <c r="AF242" s="32">
        <f ca="1">_xll.DBRW($C$1,$C$2,$C$3,$C$4,$C$6,$C$5,$C$7,AF$1,AF$2,$A242)</f>
        <v>0</v>
      </c>
      <c r="AG242" s="32">
        <f ca="1">_xll.DBRW($C$1,$C$2,$C$3,$C$4,$C$6,$C$5,$C$7,AG$1,AG$2,$A242)</f>
        <v>0</v>
      </c>
      <c r="AH242" s="32">
        <f ca="1">_xll.DBRW($C$1,$C$2,$C$3,$C$4,$C$6,$C$5,$C$7,AH$1,AH$2,$A242)</f>
        <v>0</v>
      </c>
      <c r="AI242" s="32">
        <f ca="1">_xll.DBRW($C$1,$C$2,$C$3,$C$4,$C$6,$C$5,$C$7,AI$1,AI$2,$A242)</f>
        <v>0</v>
      </c>
      <c r="AJ242" s="32">
        <f ca="1">_xll.DBRW($C$1,$C$2,$C$3,$C$4,$C$6,$C$5,$C$7,AJ$1,AJ$2,$A242)</f>
        <v>0</v>
      </c>
      <c r="AK242" s="32">
        <f ca="1">_xll.DBRW($C$1,$C$2,$C$3,$C$4,$C$6,$C$5,$C$7,AK$1,AK$2,$A242)</f>
        <v>0</v>
      </c>
      <c r="AL242" s="32">
        <f ca="1">_xll.DBRW($C$1,$C$2,$C$3,$C$4,$C$6,$C$5,$C$7,AL$1,AL$2,$A242)</f>
        <v>0</v>
      </c>
      <c r="AM242" s="32">
        <f ca="1">_xll.DBRW($C$1,$C$2,$C$3,$C$4,$C$6,$C$5,$C$7,AM$1,AM$2,$A242)</f>
        <v>0</v>
      </c>
      <c r="AN242" s="32">
        <f ca="1">_xll.DBRW($C$1,$C$2,$C$3,$C$4,$C$6,$C$5,$C$7,AN$1,AN$2,$A242)</f>
        <v>0</v>
      </c>
      <c r="AO242" s="32">
        <f ca="1">_xll.DBRW($C$1,$C$2,$C$3,$C$4,$C$6,$C$5,$C$7,AO$1,AO$2,$A242)</f>
        <v>0</v>
      </c>
      <c r="AP242" s="32">
        <f ca="1">_xll.DBRW($C$1,$C$2,$C$3,$C$4,$C$6,$C$5,$C$7,AP$1,AP$2,$A242)</f>
        <v>0</v>
      </c>
      <c r="AQ242" s="32">
        <f ca="1">_xll.DBRW($C$1,$C$2,$C$3,$C$4,$C$6,$C$5,$C$7,AQ$1,AQ$2,$A242)</f>
        <v>0</v>
      </c>
      <c r="AR242" s="32">
        <f ca="1">_xll.DBRW($C$1,$C$2,$C$3,$C$4,$C$6,$C$5,$C$7,AR$1,AR$2,$A242)</f>
        <v>0</v>
      </c>
      <c r="AS242" s="32">
        <f ca="1">_xll.DBRW($C$1,$C$2,$C$3,$C$4,$C$6,$C$5,$C$7,AS$1,AS$2,$A242)</f>
        <v>0</v>
      </c>
      <c r="AT242" s="32">
        <f ca="1">_xll.DBRW($C$1,$C$2,$C$3,$C$4,$C$6,$C$5,$C$7,AT$1,AT$2,$A242)</f>
        <v>0</v>
      </c>
      <c r="AU242" s="32">
        <f ca="1">_xll.DBRW($C$1,$C$2,$C$3,$C$4,$C$6,$C$5,$C$7,AU$1,AU$2,$A242)</f>
        <v>0</v>
      </c>
    </row>
    <row r="243" spans="1:47" ht="15.75" hidden="1" outlineLevel="1">
      <c r="C243" s="141"/>
      <c r="E243" s="83" t="s">
        <v>52</v>
      </c>
      <c r="F243" s="38">
        <f t="shared" ref="F243:T243" ca="1" si="115">F242</f>
        <v>-1131731.05</v>
      </c>
      <c r="G243" s="38">
        <f t="shared" ca="1" si="115"/>
        <v>-1457442.9500000002</v>
      </c>
      <c r="H243" s="38">
        <f t="shared" ca="1" si="115"/>
        <v>-1037801.9200000002</v>
      </c>
      <c r="I243" s="38">
        <f t="shared" ca="1" si="115"/>
        <v>-100584.15</v>
      </c>
      <c r="J243" s="38">
        <f t="shared" ca="1" si="115"/>
        <v>-197949.65</v>
      </c>
      <c r="K243" s="38">
        <f t="shared" ca="1" si="115"/>
        <v>-305654.37</v>
      </c>
      <c r="L243" s="38">
        <f t="shared" ca="1" si="115"/>
        <v>-415428.19999999995</v>
      </c>
      <c r="M243" s="38">
        <f t="shared" ca="1" si="115"/>
        <v>-527389.17000000004</v>
      </c>
      <c r="N243" s="38">
        <f t="shared" ca="1" si="115"/>
        <v>-634224.70000000007</v>
      </c>
      <c r="O243" s="38">
        <f t="shared" ca="1" si="115"/>
        <v>-634224.70000000007</v>
      </c>
      <c r="P243" s="38">
        <f t="shared" ca="1" si="115"/>
        <v>-634224.70000000007</v>
      </c>
      <c r="Q243" s="38">
        <f t="shared" ca="1" si="115"/>
        <v>-634224.70000000007</v>
      </c>
      <c r="R243" s="38">
        <f t="shared" ca="1" si="115"/>
        <v>-634224.70000000007</v>
      </c>
      <c r="S243" s="38">
        <f t="shared" ca="1" si="115"/>
        <v>-634224.70000000007</v>
      </c>
      <c r="T243" s="38">
        <f t="shared" ca="1" si="115"/>
        <v>-634224.70000000007</v>
      </c>
      <c r="U243" s="38">
        <f ca="1">U242</f>
        <v>-634224.70000000007</v>
      </c>
      <c r="V243" s="38">
        <f ca="1">V242</f>
        <v>0</v>
      </c>
      <c r="W243" s="38">
        <f t="shared" ref="W243:AG243" ca="1" si="116">W242</f>
        <v>0</v>
      </c>
      <c r="X243" s="38">
        <f t="shared" ca="1" si="116"/>
        <v>0</v>
      </c>
      <c r="Y243" s="38">
        <f t="shared" ca="1" si="116"/>
        <v>0</v>
      </c>
      <c r="Z243" s="38">
        <f t="shared" ca="1" si="116"/>
        <v>0</v>
      </c>
      <c r="AA243" s="38">
        <f t="shared" ca="1" si="116"/>
        <v>0</v>
      </c>
      <c r="AB243" s="38">
        <f t="shared" ca="1" si="116"/>
        <v>0</v>
      </c>
      <c r="AC243" s="38">
        <f t="shared" ca="1" si="116"/>
        <v>0</v>
      </c>
      <c r="AD243" s="38">
        <f t="shared" ca="1" si="116"/>
        <v>0</v>
      </c>
      <c r="AE243" s="38">
        <f t="shared" ca="1" si="116"/>
        <v>0</v>
      </c>
      <c r="AF243" s="38">
        <f t="shared" ca="1" si="116"/>
        <v>0</v>
      </c>
      <c r="AG243" s="38">
        <f t="shared" ca="1" si="116"/>
        <v>0</v>
      </c>
      <c r="AH243" s="38">
        <f ca="1">AH242</f>
        <v>0</v>
      </c>
      <c r="AI243" s="38">
        <f ca="1">AI242</f>
        <v>0</v>
      </c>
      <c r="AJ243" s="38">
        <f t="shared" ref="AJ243:AT243" ca="1" si="117">AJ242</f>
        <v>0</v>
      </c>
      <c r="AK243" s="38">
        <f t="shared" ca="1" si="117"/>
        <v>0</v>
      </c>
      <c r="AL243" s="38">
        <f t="shared" ca="1" si="117"/>
        <v>0</v>
      </c>
      <c r="AM243" s="38">
        <f t="shared" ca="1" si="117"/>
        <v>0</v>
      </c>
      <c r="AN243" s="38">
        <f t="shared" ca="1" si="117"/>
        <v>0</v>
      </c>
      <c r="AO243" s="38">
        <f t="shared" ca="1" si="117"/>
        <v>0</v>
      </c>
      <c r="AP243" s="38">
        <f t="shared" ca="1" si="117"/>
        <v>0</v>
      </c>
      <c r="AQ243" s="38">
        <f t="shared" ca="1" si="117"/>
        <v>0</v>
      </c>
      <c r="AR243" s="38">
        <f t="shared" ca="1" si="117"/>
        <v>0</v>
      </c>
      <c r="AS243" s="38">
        <f t="shared" ca="1" si="117"/>
        <v>0</v>
      </c>
      <c r="AT243" s="38">
        <f t="shared" ca="1" si="117"/>
        <v>0</v>
      </c>
      <c r="AU243" s="38">
        <f ca="1">AU242</f>
        <v>0</v>
      </c>
    </row>
    <row r="244" spans="1:47" ht="15.75" hidden="1" customHeight="1" outlineLevel="2">
      <c r="A244" s="1" t="s">
        <v>306</v>
      </c>
      <c r="C244" s="141"/>
      <c r="E244" s="9" t="str">
        <f ca="1">_xll.DBRW(Server&amp;"}ElementAttributes_Indicator",A244,"code_English")</f>
        <v>PL0000_RD - R &amp; D</v>
      </c>
      <c r="F244" s="32">
        <f ca="1">_xll.DBRW($C$1,$C$2,$C$3,$C$4,$C$6,$C$5,$C$7,F$1,F$2,$A244)</f>
        <v>-1254507.4800000002</v>
      </c>
      <c r="G244" s="32">
        <f ca="1">_xll.DBRW($C$1,$C$2,$C$3,$C$4,$C$6,$C$5,$C$7,G$1,G$2,$A244)</f>
        <v>-1220124.8500000001</v>
      </c>
      <c r="H244" s="32">
        <f ca="1">_xll.DBRW($C$1,$C$2,$C$3,$C$4,$C$6,$C$5,$C$7,H$1,H$2,$A244)</f>
        <v>-1142387.0999999999</v>
      </c>
      <c r="I244" s="32">
        <f ca="1">_xll.DBRW($C$1,$C$2,$C$3,$C$4,$C$6,$C$5,$C$7,I$1,I$2,$A244)</f>
        <v>-108463.25</v>
      </c>
      <c r="J244" s="32">
        <f ca="1">_xll.DBRW($C$1,$C$2,$C$3,$C$4,$C$6,$C$5,$C$7,J$1,J$2,$A244)</f>
        <v>-207325.14</v>
      </c>
      <c r="K244" s="32">
        <f ca="1">_xll.DBRW($C$1,$C$2,$C$3,$C$4,$C$6,$C$5,$C$7,K$1,K$2,$A244)</f>
        <v>-318436.08</v>
      </c>
      <c r="L244" s="32">
        <f ca="1">_xll.DBRW($C$1,$C$2,$C$3,$C$4,$C$6,$C$5,$C$7,L$1,L$2,$A244)</f>
        <v>-418407.76</v>
      </c>
      <c r="M244" s="32">
        <f ca="1">_xll.DBRW($C$1,$C$2,$C$3,$C$4,$C$6,$C$5,$C$7,M$1,M$2,$A244)</f>
        <v>-521981.19</v>
      </c>
      <c r="N244" s="32">
        <f ca="1">_xll.DBRW($C$1,$C$2,$C$3,$C$4,$C$6,$C$5,$C$7,N$1,N$2,$A244)</f>
        <v>-625552.14999999991</v>
      </c>
      <c r="O244" s="32">
        <f ca="1">_xll.DBRW($C$1,$C$2,$C$3,$C$4,$C$6,$C$5,$C$7,O$1,O$2,$A244)</f>
        <v>-625552.14999999991</v>
      </c>
      <c r="P244" s="32">
        <f ca="1">_xll.DBRW($C$1,$C$2,$C$3,$C$4,$C$6,$C$5,$C$7,P$1,P$2,$A244)</f>
        <v>-625552.14999999991</v>
      </c>
      <c r="Q244" s="32">
        <f ca="1">_xll.DBRW($C$1,$C$2,$C$3,$C$4,$C$6,$C$5,$C$7,Q$1,Q$2,$A244)</f>
        <v>-625552.14999999991</v>
      </c>
      <c r="R244" s="32">
        <f ca="1">_xll.DBRW($C$1,$C$2,$C$3,$C$4,$C$6,$C$5,$C$7,R$1,R$2,$A244)</f>
        <v>-625552.14999999991</v>
      </c>
      <c r="S244" s="32">
        <f ca="1">_xll.DBRW($C$1,$C$2,$C$3,$C$4,$C$6,$C$5,$C$7,S$1,S$2,$A244)</f>
        <v>-625552.14999999991</v>
      </c>
      <c r="T244" s="32">
        <f ca="1">_xll.DBRW($C$1,$C$2,$C$3,$C$4,$C$6,$C$5,$C$7,T$1,T$2,$A244)</f>
        <v>-625552.14999999991</v>
      </c>
      <c r="U244" s="32">
        <f ca="1">_xll.DBRW($C$1,$C$2,$C$3,$C$4,$C$6,$C$5,$C$7,U$1,U$2,$A244)</f>
        <v>-625552.14999999991</v>
      </c>
      <c r="V244" s="32">
        <f ca="1">_xll.DBRW($C$1,$C$2,$C$3,$C$4,$C$6,$C$5,$C$7,V$1,V$2,$A244)</f>
        <v>0</v>
      </c>
      <c r="W244" s="32">
        <f ca="1">_xll.DBRW($C$1,$C$2,$C$3,$C$4,$C$6,$C$5,$C$7,W$1,W$2,$A244)</f>
        <v>0</v>
      </c>
      <c r="X244" s="32">
        <f ca="1">_xll.DBRW($C$1,$C$2,$C$3,$C$4,$C$6,$C$5,$C$7,X$1,X$2,$A244)</f>
        <v>0</v>
      </c>
      <c r="Y244" s="32">
        <f ca="1">_xll.DBRW($C$1,$C$2,$C$3,$C$4,$C$6,$C$5,$C$7,Y$1,Y$2,$A244)</f>
        <v>0</v>
      </c>
      <c r="Z244" s="32">
        <f ca="1">_xll.DBRW($C$1,$C$2,$C$3,$C$4,$C$6,$C$5,$C$7,Z$1,Z$2,$A244)</f>
        <v>0</v>
      </c>
      <c r="AA244" s="32">
        <f ca="1">_xll.DBRW($C$1,$C$2,$C$3,$C$4,$C$6,$C$5,$C$7,AA$1,AA$2,$A244)</f>
        <v>0</v>
      </c>
      <c r="AB244" s="32">
        <f ca="1">_xll.DBRW($C$1,$C$2,$C$3,$C$4,$C$6,$C$5,$C$7,AB$1,AB$2,$A244)</f>
        <v>0</v>
      </c>
      <c r="AC244" s="32">
        <f ca="1">_xll.DBRW($C$1,$C$2,$C$3,$C$4,$C$6,$C$5,$C$7,AC$1,AC$2,$A244)</f>
        <v>0</v>
      </c>
      <c r="AD244" s="32">
        <f ca="1">_xll.DBRW($C$1,$C$2,$C$3,$C$4,$C$6,$C$5,$C$7,AD$1,AD$2,$A244)</f>
        <v>0</v>
      </c>
      <c r="AE244" s="32">
        <f ca="1">_xll.DBRW($C$1,$C$2,$C$3,$C$4,$C$6,$C$5,$C$7,AE$1,AE$2,$A244)</f>
        <v>0</v>
      </c>
      <c r="AF244" s="32">
        <f ca="1">_xll.DBRW($C$1,$C$2,$C$3,$C$4,$C$6,$C$5,$C$7,AF$1,AF$2,$A244)</f>
        <v>0</v>
      </c>
      <c r="AG244" s="32">
        <f ca="1">_xll.DBRW($C$1,$C$2,$C$3,$C$4,$C$6,$C$5,$C$7,AG$1,AG$2,$A244)</f>
        <v>0</v>
      </c>
      <c r="AH244" s="32">
        <f ca="1">_xll.DBRW($C$1,$C$2,$C$3,$C$4,$C$6,$C$5,$C$7,AH$1,AH$2,$A244)</f>
        <v>0</v>
      </c>
      <c r="AI244" s="32">
        <f ca="1">_xll.DBRW($C$1,$C$2,$C$3,$C$4,$C$6,$C$5,$C$7,AI$1,AI$2,$A244)</f>
        <v>0</v>
      </c>
      <c r="AJ244" s="32">
        <f ca="1">_xll.DBRW($C$1,$C$2,$C$3,$C$4,$C$6,$C$5,$C$7,AJ$1,AJ$2,$A244)</f>
        <v>0</v>
      </c>
      <c r="AK244" s="32">
        <f ca="1">_xll.DBRW($C$1,$C$2,$C$3,$C$4,$C$6,$C$5,$C$7,AK$1,AK$2,$A244)</f>
        <v>0</v>
      </c>
      <c r="AL244" s="32">
        <f ca="1">_xll.DBRW($C$1,$C$2,$C$3,$C$4,$C$6,$C$5,$C$7,AL$1,AL$2,$A244)</f>
        <v>0</v>
      </c>
      <c r="AM244" s="32">
        <f ca="1">_xll.DBRW($C$1,$C$2,$C$3,$C$4,$C$6,$C$5,$C$7,AM$1,AM$2,$A244)</f>
        <v>0</v>
      </c>
      <c r="AN244" s="32">
        <f ca="1">_xll.DBRW($C$1,$C$2,$C$3,$C$4,$C$6,$C$5,$C$7,AN$1,AN$2,$A244)</f>
        <v>0</v>
      </c>
      <c r="AO244" s="32">
        <f ca="1">_xll.DBRW($C$1,$C$2,$C$3,$C$4,$C$6,$C$5,$C$7,AO$1,AO$2,$A244)</f>
        <v>0</v>
      </c>
      <c r="AP244" s="32">
        <f ca="1">_xll.DBRW($C$1,$C$2,$C$3,$C$4,$C$6,$C$5,$C$7,AP$1,AP$2,$A244)</f>
        <v>0</v>
      </c>
      <c r="AQ244" s="32">
        <f ca="1">_xll.DBRW($C$1,$C$2,$C$3,$C$4,$C$6,$C$5,$C$7,AQ$1,AQ$2,$A244)</f>
        <v>0</v>
      </c>
      <c r="AR244" s="32">
        <f ca="1">_xll.DBRW($C$1,$C$2,$C$3,$C$4,$C$6,$C$5,$C$7,AR$1,AR$2,$A244)</f>
        <v>0</v>
      </c>
      <c r="AS244" s="32">
        <f ca="1">_xll.DBRW($C$1,$C$2,$C$3,$C$4,$C$6,$C$5,$C$7,AS$1,AS$2,$A244)</f>
        <v>0</v>
      </c>
      <c r="AT244" s="32">
        <f ca="1">_xll.DBRW($C$1,$C$2,$C$3,$C$4,$C$6,$C$5,$C$7,AT$1,AT$2,$A244)</f>
        <v>0</v>
      </c>
      <c r="AU244" s="32">
        <f ca="1">_xll.DBRW($C$1,$C$2,$C$3,$C$4,$C$6,$C$5,$C$7,AU$1,AU$2,$A244)</f>
        <v>0</v>
      </c>
    </row>
    <row r="245" spans="1:47" ht="15.75" hidden="1" outlineLevel="1">
      <c r="C245" s="141"/>
      <c r="E245" s="83" t="s">
        <v>53</v>
      </c>
      <c r="F245" s="38">
        <f t="shared" ref="F245:T245" ca="1" si="118">F244</f>
        <v>-1254507.4800000002</v>
      </c>
      <c r="G245" s="38">
        <f t="shared" ca="1" si="118"/>
        <v>-1220124.8500000001</v>
      </c>
      <c r="H245" s="38">
        <f t="shared" ca="1" si="118"/>
        <v>-1142387.0999999999</v>
      </c>
      <c r="I245" s="38">
        <f t="shared" ca="1" si="118"/>
        <v>-108463.25</v>
      </c>
      <c r="J245" s="38">
        <f t="shared" ca="1" si="118"/>
        <v>-207325.14</v>
      </c>
      <c r="K245" s="38">
        <f t="shared" ca="1" si="118"/>
        <v>-318436.08</v>
      </c>
      <c r="L245" s="38">
        <f t="shared" ca="1" si="118"/>
        <v>-418407.76</v>
      </c>
      <c r="M245" s="38">
        <f t="shared" ca="1" si="118"/>
        <v>-521981.19</v>
      </c>
      <c r="N245" s="38">
        <f t="shared" ca="1" si="118"/>
        <v>-625552.14999999991</v>
      </c>
      <c r="O245" s="38">
        <f t="shared" ca="1" si="118"/>
        <v>-625552.14999999991</v>
      </c>
      <c r="P245" s="38">
        <f t="shared" ca="1" si="118"/>
        <v>-625552.14999999991</v>
      </c>
      <c r="Q245" s="38">
        <f t="shared" ca="1" si="118"/>
        <v>-625552.14999999991</v>
      </c>
      <c r="R245" s="38">
        <f t="shared" ca="1" si="118"/>
        <v>-625552.14999999991</v>
      </c>
      <c r="S245" s="38">
        <f t="shared" ca="1" si="118"/>
        <v>-625552.14999999991</v>
      </c>
      <c r="T245" s="38">
        <f t="shared" ca="1" si="118"/>
        <v>-625552.14999999991</v>
      </c>
      <c r="U245" s="38">
        <f ca="1">U244</f>
        <v>-625552.14999999991</v>
      </c>
      <c r="V245" s="38">
        <f ca="1">V244</f>
        <v>0</v>
      </c>
      <c r="W245" s="38">
        <f t="shared" ref="W245:AG245" ca="1" si="119">W244</f>
        <v>0</v>
      </c>
      <c r="X245" s="38">
        <f t="shared" ca="1" si="119"/>
        <v>0</v>
      </c>
      <c r="Y245" s="38">
        <f t="shared" ca="1" si="119"/>
        <v>0</v>
      </c>
      <c r="Z245" s="38">
        <f t="shared" ca="1" si="119"/>
        <v>0</v>
      </c>
      <c r="AA245" s="38">
        <f t="shared" ca="1" si="119"/>
        <v>0</v>
      </c>
      <c r="AB245" s="38">
        <f t="shared" ca="1" si="119"/>
        <v>0</v>
      </c>
      <c r="AC245" s="38">
        <f t="shared" ca="1" si="119"/>
        <v>0</v>
      </c>
      <c r="AD245" s="38">
        <f t="shared" ca="1" si="119"/>
        <v>0</v>
      </c>
      <c r="AE245" s="38">
        <f t="shared" ca="1" si="119"/>
        <v>0</v>
      </c>
      <c r="AF245" s="38">
        <f t="shared" ca="1" si="119"/>
        <v>0</v>
      </c>
      <c r="AG245" s="38">
        <f t="shared" ca="1" si="119"/>
        <v>0</v>
      </c>
      <c r="AH245" s="38">
        <f ca="1">AH244</f>
        <v>0</v>
      </c>
      <c r="AI245" s="38">
        <f ca="1">AI244</f>
        <v>0</v>
      </c>
      <c r="AJ245" s="38">
        <f t="shared" ref="AJ245:AT245" ca="1" si="120">AJ244</f>
        <v>0</v>
      </c>
      <c r="AK245" s="38">
        <f t="shared" ca="1" si="120"/>
        <v>0</v>
      </c>
      <c r="AL245" s="38">
        <f t="shared" ca="1" si="120"/>
        <v>0</v>
      </c>
      <c r="AM245" s="38">
        <f t="shared" ca="1" si="120"/>
        <v>0</v>
      </c>
      <c r="AN245" s="38">
        <f t="shared" ca="1" si="120"/>
        <v>0</v>
      </c>
      <c r="AO245" s="38">
        <f t="shared" ca="1" si="120"/>
        <v>0</v>
      </c>
      <c r="AP245" s="38">
        <f t="shared" ca="1" si="120"/>
        <v>0</v>
      </c>
      <c r="AQ245" s="38">
        <f t="shared" ca="1" si="120"/>
        <v>0</v>
      </c>
      <c r="AR245" s="38">
        <f t="shared" ca="1" si="120"/>
        <v>0</v>
      </c>
      <c r="AS245" s="38">
        <f t="shared" ca="1" si="120"/>
        <v>0</v>
      </c>
      <c r="AT245" s="38">
        <f t="shared" ca="1" si="120"/>
        <v>0</v>
      </c>
      <c r="AU245" s="38">
        <f ca="1">AU244</f>
        <v>0</v>
      </c>
    </row>
    <row r="246" spans="1:47" ht="15.75" hidden="1" customHeight="1" outlineLevel="2">
      <c r="A246" s="1" t="s">
        <v>307</v>
      </c>
      <c r="C246" s="141"/>
      <c r="E246" s="9" t="str">
        <f ca="1">_xll.DBRW(Server&amp;"}ElementAttributes_Indicator",A246,"code_English")</f>
        <v>PL0000_RM - Risk management</v>
      </c>
      <c r="F246" s="32">
        <f ca="1">_xll.DBRW($C$1,$C$2,$C$3,$C$4,$C$6,$C$5,$C$7,F$1,F$2,$A246)</f>
        <v>-389527.32</v>
      </c>
      <c r="G246" s="32">
        <f ca="1">_xll.DBRW($C$1,$C$2,$C$3,$C$4,$C$6,$C$5,$C$7,G$1,G$2,$A246)</f>
        <v>-253203.90999999997</v>
      </c>
      <c r="H246" s="32">
        <f ca="1">_xll.DBRW($C$1,$C$2,$C$3,$C$4,$C$6,$C$5,$C$7,H$1,H$2,$A246)</f>
        <v>-356223.71999999991</v>
      </c>
      <c r="I246" s="32">
        <f ca="1">_xll.DBRW($C$1,$C$2,$C$3,$C$4,$C$6,$C$5,$C$7,I$1,I$2,$A246)</f>
        <v>-38682.550000000003</v>
      </c>
      <c r="J246" s="32">
        <f ca="1">_xll.DBRW($C$1,$C$2,$C$3,$C$4,$C$6,$C$5,$C$7,J$1,J$2,$A246)</f>
        <v>-67152.98</v>
      </c>
      <c r="K246" s="32">
        <f ca="1">_xll.DBRW($C$1,$C$2,$C$3,$C$4,$C$6,$C$5,$C$7,K$1,K$2,$A246)</f>
        <v>-140539.9</v>
      </c>
      <c r="L246" s="32">
        <f ca="1">_xll.DBRW($C$1,$C$2,$C$3,$C$4,$C$6,$C$5,$C$7,L$1,L$2,$A246)</f>
        <v>-154080.16999999998</v>
      </c>
      <c r="M246" s="32">
        <f ca="1">_xll.DBRW($C$1,$C$2,$C$3,$C$4,$C$6,$C$5,$C$7,M$1,M$2,$A246)</f>
        <v>-232948.25</v>
      </c>
      <c r="N246" s="32">
        <f ca="1">_xll.DBRW($C$1,$C$2,$C$3,$C$4,$C$6,$C$5,$C$7,N$1,N$2,$A246)</f>
        <v>-277436.61000000004</v>
      </c>
      <c r="O246" s="32">
        <f ca="1">_xll.DBRW($C$1,$C$2,$C$3,$C$4,$C$6,$C$5,$C$7,O$1,O$2,$A246)</f>
        <v>-277436.61000000004</v>
      </c>
      <c r="P246" s="32">
        <f ca="1">_xll.DBRW($C$1,$C$2,$C$3,$C$4,$C$6,$C$5,$C$7,P$1,P$2,$A246)</f>
        <v>-277436.61000000004</v>
      </c>
      <c r="Q246" s="32">
        <f ca="1">_xll.DBRW($C$1,$C$2,$C$3,$C$4,$C$6,$C$5,$C$7,Q$1,Q$2,$A246)</f>
        <v>-277436.61000000004</v>
      </c>
      <c r="R246" s="32">
        <f ca="1">_xll.DBRW($C$1,$C$2,$C$3,$C$4,$C$6,$C$5,$C$7,R$1,R$2,$A246)</f>
        <v>-277436.61000000004</v>
      </c>
      <c r="S246" s="32">
        <f ca="1">_xll.DBRW($C$1,$C$2,$C$3,$C$4,$C$6,$C$5,$C$7,S$1,S$2,$A246)</f>
        <v>-277436.61000000004</v>
      </c>
      <c r="T246" s="32">
        <f ca="1">_xll.DBRW($C$1,$C$2,$C$3,$C$4,$C$6,$C$5,$C$7,T$1,T$2,$A246)</f>
        <v>-277436.61000000004</v>
      </c>
      <c r="U246" s="32">
        <f ca="1">_xll.DBRW($C$1,$C$2,$C$3,$C$4,$C$6,$C$5,$C$7,U$1,U$2,$A246)</f>
        <v>-277436.61000000004</v>
      </c>
      <c r="V246" s="32">
        <f ca="1">_xll.DBRW($C$1,$C$2,$C$3,$C$4,$C$6,$C$5,$C$7,V$1,V$2,$A246)</f>
        <v>0</v>
      </c>
      <c r="W246" s="32">
        <f ca="1">_xll.DBRW($C$1,$C$2,$C$3,$C$4,$C$6,$C$5,$C$7,W$1,W$2,$A246)</f>
        <v>0</v>
      </c>
      <c r="X246" s="32">
        <f ca="1">_xll.DBRW($C$1,$C$2,$C$3,$C$4,$C$6,$C$5,$C$7,X$1,X$2,$A246)</f>
        <v>0</v>
      </c>
      <c r="Y246" s="32">
        <f ca="1">_xll.DBRW($C$1,$C$2,$C$3,$C$4,$C$6,$C$5,$C$7,Y$1,Y$2,$A246)</f>
        <v>0</v>
      </c>
      <c r="Z246" s="32">
        <f ca="1">_xll.DBRW($C$1,$C$2,$C$3,$C$4,$C$6,$C$5,$C$7,Z$1,Z$2,$A246)</f>
        <v>0</v>
      </c>
      <c r="AA246" s="32">
        <f ca="1">_xll.DBRW($C$1,$C$2,$C$3,$C$4,$C$6,$C$5,$C$7,AA$1,AA$2,$A246)</f>
        <v>0</v>
      </c>
      <c r="AB246" s="32">
        <f ca="1">_xll.DBRW($C$1,$C$2,$C$3,$C$4,$C$6,$C$5,$C$7,AB$1,AB$2,$A246)</f>
        <v>0</v>
      </c>
      <c r="AC246" s="32">
        <f ca="1">_xll.DBRW($C$1,$C$2,$C$3,$C$4,$C$6,$C$5,$C$7,AC$1,AC$2,$A246)</f>
        <v>0</v>
      </c>
      <c r="AD246" s="32">
        <f ca="1">_xll.DBRW($C$1,$C$2,$C$3,$C$4,$C$6,$C$5,$C$7,AD$1,AD$2,$A246)</f>
        <v>0</v>
      </c>
      <c r="AE246" s="32">
        <f ca="1">_xll.DBRW($C$1,$C$2,$C$3,$C$4,$C$6,$C$5,$C$7,AE$1,AE$2,$A246)</f>
        <v>0</v>
      </c>
      <c r="AF246" s="32">
        <f ca="1">_xll.DBRW($C$1,$C$2,$C$3,$C$4,$C$6,$C$5,$C$7,AF$1,AF$2,$A246)</f>
        <v>0</v>
      </c>
      <c r="AG246" s="32">
        <f ca="1">_xll.DBRW($C$1,$C$2,$C$3,$C$4,$C$6,$C$5,$C$7,AG$1,AG$2,$A246)</f>
        <v>0</v>
      </c>
      <c r="AH246" s="32">
        <f ca="1">_xll.DBRW($C$1,$C$2,$C$3,$C$4,$C$6,$C$5,$C$7,AH$1,AH$2,$A246)</f>
        <v>0</v>
      </c>
      <c r="AI246" s="32">
        <f ca="1">_xll.DBRW($C$1,$C$2,$C$3,$C$4,$C$6,$C$5,$C$7,AI$1,AI$2,$A246)</f>
        <v>0</v>
      </c>
      <c r="AJ246" s="32">
        <f ca="1">_xll.DBRW($C$1,$C$2,$C$3,$C$4,$C$6,$C$5,$C$7,AJ$1,AJ$2,$A246)</f>
        <v>0</v>
      </c>
      <c r="AK246" s="32">
        <f ca="1">_xll.DBRW($C$1,$C$2,$C$3,$C$4,$C$6,$C$5,$C$7,AK$1,AK$2,$A246)</f>
        <v>0</v>
      </c>
      <c r="AL246" s="32">
        <f ca="1">_xll.DBRW($C$1,$C$2,$C$3,$C$4,$C$6,$C$5,$C$7,AL$1,AL$2,$A246)</f>
        <v>0</v>
      </c>
      <c r="AM246" s="32">
        <f ca="1">_xll.DBRW($C$1,$C$2,$C$3,$C$4,$C$6,$C$5,$C$7,AM$1,AM$2,$A246)</f>
        <v>0</v>
      </c>
      <c r="AN246" s="32">
        <f ca="1">_xll.DBRW($C$1,$C$2,$C$3,$C$4,$C$6,$C$5,$C$7,AN$1,AN$2,$A246)</f>
        <v>0</v>
      </c>
      <c r="AO246" s="32">
        <f ca="1">_xll.DBRW($C$1,$C$2,$C$3,$C$4,$C$6,$C$5,$C$7,AO$1,AO$2,$A246)</f>
        <v>0</v>
      </c>
      <c r="AP246" s="32">
        <f ca="1">_xll.DBRW($C$1,$C$2,$C$3,$C$4,$C$6,$C$5,$C$7,AP$1,AP$2,$A246)</f>
        <v>0</v>
      </c>
      <c r="AQ246" s="32">
        <f ca="1">_xll.DBRW($C$1,$C$2,$C$3,$C$4,$C$6,$C$5,$C$7,AQ$1,AQ$2,$A246)</f>
        <v>0</v>
      </c>
      <c r="AR246" s="32">
        <f ca="1">_xll.DBRW($C$1,$C$2,$C$3,$C$4,$C$6,$C$5,$C$7,AR$1,AR$2,$A246)</f>
        <v>0</v>
      </c>
      <c r="AS246" s="32">
        <f ca="1">_xll.DBRW($C$1,$C$2,$C$3,$C$4,$C$6,$C$5,$C$7,AS$1,AS$2,$A246)</f>
        <v>0</v>
      </c>
      <c r="AT246" s="32">
        <f ca="1">_xll.DBRW($C$1,$C$2,$C$3,$C$4,$C$6,$C$5,$C$7,AT$1,AT$2,$A246)</f>
        <v>0</v>
      </c>
      <c r="AU246" s="32">
        <f ca="1">_xll.DBRW($C$1,$C$2,$C$3,$C$4,$C$6,$C$5,$C$7,AU$1,AU$2,$A246)</f>
        <v>0</v>
      </c>
    </row>
    <row r="247" spans="1:47" ht="15.75" hidden="1" outlineLevel="1">
      <c r="C247" s="141"/>
      <c r="E247" s="83" t="s">
        <v>54</v>
      </c>
      <c r="F247" s="38">
        <f t="shared" ref="F247:T247" ca="1" si="121">F246</f>
        <v>-389527.32</v>
      </c>
      <c r="G247" s="38">
        <f t="shared" ca="1" si="121"/>
        <v>-253203.90999999997</v>
      </c>
      <c r="H247" s="38">
        <f t="shared" ca="1" si="121"/>
        <v>-356223.71999999991</v>
      </c>
      <c r="I247" s="38">
        <f t="shared" ca="1" si="121"/>
        <v>-38682.550000000003</v>
      </c>
      <c r="J247" s="38">
        <f t="shared" ca="1" si="121"/>
        <v>-67152.98</v>
      </c>
      <c r="K247" s="38">
        <f t="shared" ca="1" si="121"/>
        <v>-140539.9</v>
      </c>
      <c r="L247" s="38">
        <f t="shared" ca="1" si="121"/>
        <v>-154080.16999999998</v>
      </c>
      <c r="M247" s="38">
        <f t="shared" ca="1" si="121"/>
        <v>-232948.25</v>
      </c>
      <c r="N247" s="38">
        <f t="shared" ca="1" si="121"/>
        <v>-277436.61000000004</v>
      </c>
      <c r="O247" s="38">
        <f t="shared" ca="1" si="121"/>
        <v>-277436.61000000004</v>
      </c>
      <c r="P247" s="38">
        <f t="shared" ca="1" si="121"/>
        <v>-277436.61000000004</v>
      </c>
      <c r="Q247" s="38">
        <f t="shared" ca="1" si="121"/>
        <v>-277436.61000000004</v>
      </c>
      <c r="R247" s="38">
        <f t="shared" ca="1" si="121"/>
        <v>-277436.61000000004</v>
      </c>
      <c r="S247" s="38">
        <f t="shared" ca="1" si="121"/>
        <v>-277436.61000000004</v>
      </c>
      <c r="T247" s="38">
        <f t="shared" ca="1" si="121"/>
        <v>-277436.61000000004</v>
      </c>
      <c r="U247" s="38">
        <f ca="1">U246</f>
        <v>-277436.61000000004</v>
      </c>
      <c r="V247" s="38">
        <f ca="1">V246</f>
        <v>0</v>
      </c>
      <c r="W247" s="38">
        <f t="shared" ref="W247:AG247" ca="1" si="122">W246</f>
        <v>0</v>
      </c>
      <c r="X247" s="38">
        <f t="shared" ca="1" si="122"/>
        <v>0</v>
      </c>
      <c r="Y247" s="38">
        <f t="shared" ca="1" si="122"/>
        <v>0</v>
      </c>
      <c r="Z247" s="38">
        <f t="shared" ca="1" si="122"/>
        <v>0</v>
      </c>
      <c r="AA247" s="38">
        <f t="shared" ca="1" si="122"/>
        <v>0</v>
      </c>
      <c r="AB247" s="38">
        <f t="shared" ca="1" si="122"/>
        <v>0</v>
      </c>
      <c r="AC247" s="38">
        <f t="shared" ca="1" si="122"/>
        <v>0</v>
      </c>
      <c r="AD247" s="38">
        <f t="shared" ca="1" si="122"/>
        <v>0</v>
      </c>
      <c r="AE247" s="38">
        <f t="shared" ca="1" si="122"/>
        <v>0</v>
      </c>
      <c r="AF247" s="38">
        <f t="shared" ca="1" si="122"/>
        <v>0</v>
      </c>
      <c r="AG247" s="38">
        <f t="shared" ca="1" si="122"/>
        <v>0</v>
      </c>
      <c r="AH247" s="38">
        <f ca="1">AH246</f>
        <v>0</v>
      </c>
      <c r="AI247" s="38">
        <f ca="1">AI246</f>
        <v>0</v>
      </c>
      <c r="AJ247" s="38">
        <f t="shared" ref="AJ247:AT247" ca="1" si="123">AJ246</f>
        <v>0</v>
      </c>
      <c r="AK247" s="38">
        <f t="shared" ca="1" si="123"/>
        <v>0</v>
      </c>
      <c r="AL247" s="38">
        <f t="shared" ca="1" si="123"/>
        <v>0</v>
      </c>
      <c r="AM247" s="38">
        <f t="shared" ca="1" si="123"/>
        <v>0</v>
      </c>
      <c r="AN247" s="38">
        <f t="shared" ca="1" si="123"/>
        <v>0</v>
      </c>
      <c r="AO247" s="38">
        <f t="shared" ca="1" si="123"/>
        <v>0</v>
      </c>
      <c r="AP247" s="38">
        <f t="shared" ca="1" si="123"/>
        <v>0</v>
      </c>
      <c r="AQ247" s="38">
        <f t="shared" ca="1" si="123"/>
        <v>0</v>
      </c>
      <c r="AR247" s="38">
        <f t="shared" ca="1" si="123"/>
        <v>0</v>
      </c>
      <c r="AS247" s="38">
        <f t="shared" ca="1" si="123"/>
        <v>0</v>
      </c>
      <c r="AT247" s="38">
        <f t="shared" ca="1" si="123"/>
        <v>0</v>
      </c>
      <c r="AU247" s="38">
        <f ca="1">AU246</f>
        <v>0</v>
      </c>
    </row>
    <row r="248" spans="1:47" ht="15.75" hidden="1" customHeight="1" outlineLevel="2">
      <c r="A248" s="1" t="s">
        <v>308</v>
      </c>
      <c r="C248" s="141"/>
      <c r="E248" s="9" t="str">
        <f ca="1">_xll.DBRW(Server&amp;"}ElementAttributes_Indicator",A248,"code_English")</f>
        <v>PL0000_SE - QHSE</v>
      </c>
      <c r="F248" s="32">
        <f ca="1">_xll.DBRW($C$1,$C$2,$C$3,$C$4,$C$6,$C$5,$C$7,F$1,F$2,$A248)</f>
        <v>0</v>
      </c>
      <c r="G248" s="32">
        <f ca="1">_xll.DBRW($C$1,$C$2,$C$3,$C$4,$C$6,$C$5,$C$7,G$1,G$2,$A248)</f>
        <v>0</v>
      </c>
      <c r="H248" s="32">
        <f ca="1">_xll.DBRW($C$1,$C$2,$C$3,$C$4,$C$6,$C$5,$C$7,H$1,H$2,$A248)</f>
        <v>0</v>
      </c>
      <c r="I248" s="32">
        <f ca="1">_xll.DBRW($C$1,$C$2,$C$3,$C$4,$C$6,$C$5,$C$7,I$1,I$2,$A248)</f>
        <v>0</v>
      </c>
      <c r="J248" s="32">
        <f ca="1">_xll.DBRW($C$1,$C$2,$C$3,$C$4,$C$6,$C$5,$C$7,J$1,J$2,$A248)</f>
        <v>0</v>
      </c>
      <c r="K248" s="32">
        <f ca="1">_xll.DBRW($C$1,$C$2,$C$3,$C$4,$C$6,$C$5,$C$7,K$1,K$2,$A248)</f>
        <v>0</v>
      </c>
      <c r="L248" s="32">
        <f ca="1">_xll.DBRW($C$1,$C$2,$C$3,$C$4,$C$6,$C$5,$C$7,L$1,L$2,$A248)</f>
        <v>0</v>
      </c>
      <c r="M248" s="32">
        <f ca="1">_xll.DBRW($C$1,$C$2,$C$3,$C$4,$C$6,$C$5,$C$7,M$1,M$2,$A248)</f>
        <v>0</v>
      </c>
      <c r="N248" s="32">
        <f ca="1">_xll.DBRW($C$1,$C$2,$C$3,$C$4,$C$6,$C$5,$C$7,N$1,N$2,$A248)</f>
        <v>0</v>
      </c>
      <c r="O248" s="32">
        <f ca="1">_xll.DBRW($C$1,$C$2,$C$3,$C$4,$C$6,$C$5,$C$7,O$1,O$2,$A248)</f>
        <v>0</v>
      </c>
      <c r="P248" s="32">
        <f ca="1">_xll.DBRW($C$1,$C$2,$C$3,$C$4,$C$6,$C$5,$C$7,P$1,P$2,$A248)</f>
        <v>0</v>
      </c>
      <c r="Q248" s="32">
        <f ca="1">_xll.DBRW($C$1,$C$2,$C$3,$C$4,$C$6,$C$5,$C$7,Q$1,Q$2,$A248)</f>
        <v>0</v>
      </c>
      <c r="R248" s="32">
        <f ca="1">_xll.DBRW($C$1,$C$2,$C$3,$C$4,$C$6,$C$5,$C$7,R$1,R$2,$A248)</f>
        <v>0</v>
      </c>
      <c r="S248" s="32">
        <f ca="1">_xll.DBRW($C$1,$C$2,$C$3,$C$4,$C$6,$C$5,$C$7,S$1,S$2,$A248)</f>
        <v>0</v>
      </c>
      <c r="T248" s="32">
        <f ca="1">_xll.DBRW($C$1,$C$2,$C$3,$C$4,$C$6,$C$5,$C$7,T$1,T$2,$A248)</f>
        <v>0</v>
      </c>
      <c r="U248" s="32">
        <f ca="1">_xll.DBRW($C$1,$C$2,$C$3,$C$4,$C$6,$C$5,$C$7,U$1,U$2,$A248)</f>
        <v>0</v>
      </c>
      <c r="V248" s="32">
        <f ca="1">_xll.DBRW($C$1,$C$2,$C$3,$C$4,$C$6,$C$5,$C$7,V$1,V$2,$A248)</f>
        <v>0</v>
      </c>
      <c r="W248" s="32">
        <f ca="1">_xll.DBRW($C$1,$C$2,$C$3,$C$4,$C$6,$C$5,$C$7,W$1,W$2,$A248)</f>
        <v>0</v>
      </c>
      <c r="X248" s="32">
        <f ca="1">_xll.DBRW($C$1,$C$2,$C$3,$C$4,$C$6,$C$5,$C$7,X$1,X$2,$A248)</f>
        <v>0</v>
      </c>
      <c r="Y248" s="32">
        <f ca="1">_xll.DBRW($C$1,$C$2,$C$3,$C$4,$C$6,$C$5,$C$7,Y$1,Y$2,$A248)</f>
        <v>0</v>
      </c>
      <c r="Z248" s="32">
        <f ca="1">_xll.DBRW($C$1,$C$2,$C$3,$C$4,$C$6,$C$5,$C$7,Z$1,Z$2,$A248)</f>
        <v>0</v>
      </c>
      <c r="AA248" s="32">
        <f ca="1">_xll.DBRW($C$1,$C$2,$C$3,$C$4,$C$6,$C$5,$C$7,AA$1,AA$2,$A248)</f>
        <v>0</v>
      </c>
      <c r="AB248" s="32">
        <f ca="1">_xll.DBRW($C$1,$C$2,$C$3,$C$4,$C$6,$C$5,$C$7,AB$1,AB$2,$A248)</f>
        <v>0</v>
      </c>
      <c r="AC248" s="32">
        <f ca="1">_xll.DBRW($C$1,$C$2,$C$3,$C$4,$C$6,$C$5,$C$7,AC$1,AC$2,$A248)</f>
        <v>0</v>
      </c>
      <c r="AD248" s="32">
        <f ca="1">_xll.DBRW($C$1,$C$2,$C$3,$C$4,$C$6,$C$5,$C$7,AD$1,AD$2,$A248)</f>
        <v>0</v>
      </c>
      <c r="AE248" s="32">
        <f ca="1">_xll.DBRW($C$1,$C$2,$C$3,$C$4,$C$6,$C$5,$C$7,AE$1,AE$2,$A248)</f>
        <v>0</v>
      </c>
      <c r="AF248" s="32">
        <f ca="1">_xll.DBRW($C$1,$C$2,$C$3,$C$4,$C$6,$C$5,$C$7,AF$1,AF$2,$A248)</f>
        <v>0</v>
      </c>
      <c r="AG248" s="32">
        <f ca="1">_xll.DBRW($C$1,$C$2,$C$3,$C$4,$C$6,$C$5,$C$7,AG$1,AG$2,$A248)</f>
        <v>0</v>
      </c>
      <c r="AH248" s="32">
        <f ca="1">_xll.DBRW($C$1,$C$2,$C$3,$C$4,$C$6,$C$5,$C$7,AH$1,AH$2,$A248)</f>
        <v>0</v>
      </c>
      <c r="AI248" s="32">
        <f ca="1">_xll.DBRW($C$1,$C$2,$C$3,$C$4,$C$6,$C$5,$C$7,AI$1,AI$2,$A248)</f>
        <v>0</v>
      </c>
      <c r="AJ248" s="32">
        <f ca="1">_xll.DBRW($C$1,$C$2,$C$3,$C$4,$C$6,$C$5,$C$7,AJ$1,AJ$2,$A248)</f>
        <v>0</v>
      </c>
      <c r="AK248" s="32">
        <f ca="1">_xll.DBRW($C$1,$C$2,$C$3,$C$4,$C$6,$C$5,$C$7,AK$1,AK$2,$A248)</f>
        <v>0</v>
      </c>
      <c r="AL248" s="32">
        <f ca="1">_xll.DBRW($C$1,$C$2,$C$3,$C$4,$C$6,$C$5,$C$7,AL$1,AL$2,$A248)</f>
        <v>0</v>
      </c>
      <c r="AM248" s="32">
        <f ca="1">_xll.DBRW($C$1,$C$2,$C$3,$C$4,$C$6,$C$5,$C$7,AM$1,AM$2,$A248)</f>
        <v>0</v>
      </c>
      <c r="AN248" s="32">
        <f ca="1">_xll.DBRW($C$1,$C$2,$C$3,$C$4,$C$6,$C$5,$C$7,AN$1,AN$2,$A248)</f>
        <v>0</v>
      </c>
      <c r="AO248" s="32">
        <f ca="1">_xll.DBRW($C$1,$C$2,$C$3,$C$4,$C$6,$C$5,$C$7,AO$1,AO$2,$A248)</f>
        <v>0</v>
      </c>
      <c r="AP248" s="32">
        <f ca="1">_xll.DBRW($C$1,$C$2,$C$3,$C$4,$C$6,$C$5,$C$7,AP$1,AP$2,$A248)</f>
        <v>0</v>
      </c>
      <c r="AQ248" s="32">
        <f ca="1">_xll.DBRW($C$1,$C$2,$C$3,$C$4,$C$6,$C$5,$C$7,AQ$1,AQ$2,$A248)</f>
        <v>0</v>
      </c>
      <c r="AR248" s="32">
        <f ca="1">_xll.DBRW($C$1,$C$2,$C$3,$C$4,$C$6,$C$5,$C$7,AR$1,AR$2,$A248)</f>
        <v>0</v>
      </c>
      <c r="AS248" s="32">
        <f ca="1">_xll.DBRW($C$1,$C$2,$C$3,$C$4,$C$6,$C$5,$C$7,AS$1,AS$2,$A248)</f>
        <v>0</v>
      </c>
      <c r="AT248" s="32">
        <f ca="1">_xll.DBRW($C$1,$C$2,$C$3,$C$4,$C$6,$C$5,$C$7,AT$1,AT$2,$A248)</f>
        <v>0</v>
      </c>
      <c r="AU248" s="32">
        <f ca="1">_xll.DBRW($C$1,$C$2,$C$3,$C$4,$C$6,$C$5,$C$7,AU$1,AU$2,$A248)</f>
        <v>0</v>
      </c>
    </row>
    <row r="249" spans="1:47" ht="15.75" hidden="1" outlineLevel="1">
      <c r="C249" s="141"/>
      <c r="E249" s="83" t="s">
        <v>55</v>
      </c>
      <c r="F249" s="38">
        <f t="shared" ref="F249:T249" ca="1" si="124">F248</f>
        <v>0</v>
      </c>
      <c r="G249" s="38">
        <f t="shared" ca="1" si="124"/>
        <v>0</v>
      </c>
      <c r="H249" s="38">
        <f t="shared" ca="1" si="124"/>
        <v>0</v>
      </c>
      <c r="I249" s="38">
        <f t="shared" ca="1" si="124"/>
        <v>0</v>
      </c>
      <c r="J249" s="38">
        <f t="shared" ca="1" si="124"/>
        <v>0</v>
      </c>
      <c r="K249" s="38">
        <f t="shared" ca="1" si="124"/>
        <v>0</v>
      </c>
      <c r="L249" s="38">
        <f t="shared" ca="1" si="124"/>
        <v>0</v>
      </c>
      <c r="M249" s="38">
        <f t="shared" ca="1" si="124"/>
        <v>0</v>
      </c>
      <c r="N249" s="38">
        <f t="shared" ca="1" si="124"/>
        <v>0</v>
      </c>
      <c r="O249" s="38">
        <f t="shared" ca="1" si="124"/>
        <v>0</v>
      </c>
      <c r="P249" s="38">
        <f t="shared" ca="1" si="124"/>
        <v>0</v>
      </c>
      <c r="Q249" s="38">
        <f t="shared" ca="1" si="124"/>
        <v>0</v>
      </c>
      <c r="R249" s="38">
        <f t="shared" ca="1" si="124"/>
        <v>0</v>
      </c>
      <c r="S249" s="38">
        <f t="shared" ca="1" si="124"/>
        <v>0</v>
      </c>
      <c r="T249" s="38">
        <f t="shared" ca="1" si="124"/>
        <v>0</v>
      </c>
      <c r="U249" s="38">
        <f ca="1">U248</f>
        <v>0</v>
      </c>
      <c r="V249" s="38">
        <f ca="1">V248</f>
        <v>0</v>
      </c>
      <c r="W249" s="38">
        <f t="shared" ref="W249:AG249" ca="1" si="125">W248</f>
        <v>0</v>
      </c>
      <c r="X249" s="38">
        <f t="shared" ca="1" si="125"/>
        <v>0</v>
      </c>
      <c r="Y249" s="38">
        <f t="shared" ca="1" si="125"/>
        <v>0</v>
      </c>
      <c r="Z249" s="38">
        <f t="shared" ca="1" si="125"/>
        <v>0</v>
      </c>
      <c r="AA249" s="38">
        <f t="shared" ca="1" si="125"/>
        <v>0</v>
      </c>
      <c r="AB249" s="38">
        <f t="shared" ca="1" si="125"/>
        <v>0</v>
      </c>
      <c r="AC249" s="38">
        <f t="shared" ca="1" si="125"/>
        <v>0</v>
      </c>
      <c r="AD249" s="38">
        <f t="shared" ca="1" si="125"/>
        <v>0</v>
      </c>
      <c r="AE249" s="38">
        <f t="shared" ca="1" si="125"/>
        <v>0</v>
      </c>
      <c r="AF249" s="38">
        <f t="shared" ca="1" si="125"/>
        <v>0</v>
      </c>
      <c r="AG249" s="38">
        <f t="shared" ca="1" si="125"/>
        <v>0</v>
      </c>
      <c r="AH249" s="38">
        <f ca="1">AH248</f>
        <v>0</v>
      </c>
      <c r="AI249" s="38">
        <f ca="1">AI248</f>
        <v>0</v>
      </c>
      <c r="AJ249" s="38">
        <f t="shared" ref="AJ249:AT249" ca="1" si="126">AJ248</f>
        <v>0</v>
      </c>
      <c r="AK249" s="38">
        <f t="shared" ca="1" si="126"/>
        <v>0</v>
      </c>
      <c r="AL249" s="38">
        <f t="shared" ca="1" si="126"/>
        <v>0</v>
      </c>
      <c r="AM249" s="38">
        <f t="shared" ca="1" si="126"/>
        <v>0</v>
      </c>
      <c r="AN249" s="38">
        <f t="shared" ca="1" si="126"/>
        <v>0</v>
      </c>
      <c r="AO249" s="38">
        <f t="shared" ca="1" si="126"/>
        <v>0</v>
      </c>
      <c r="AP249" s="38">
        <f t="shared" ca="1" si="126"/>
        <v>0</v>
      </c>
      <c r="AQ249" s="38">
        <f t="shared" ca="1" si="126"/>
        <v>0</v>
      </c>
      <c r="AR249" s="38">
        <f t="shared" ca="1" si="126"/>
        <v>0</v>
      </c>
      <c r="AS249" s="38">
        <f t="shared" ca="1" si="126"/>
        <v>0</v>
      </c>
      <c r="AT249" s="38">
        <f t="shared" ca="1" si="126"/>
        <v>0</v>
      </c>
      <c r="AU249" s="38">
        <f ca="1">AU248</f>
        <v>0</v>
      </c>
    </row>
    <row r="250" spans="1:47" ht="15.75" hidden="1" customHeight="1" outlineLevel="2">
      <c r="A250" s="1" t="s">
        <v>309</v>
      </c>
      <c r="C250" s="141"/>
      <c r="E250" s="9" t="str">
        <f ca="1">_xll.DBRW(Server&amp;"}ElementAttributes_Indicator",A250,"code_English")</f>
        <v>PL0000_TD - Technical department</v>
      </c>
      <c r="F250" s="32">
        <f ca="1">_xll.DBRW($C$1,$C$2,$C$3,$C$4,$C$6,$C$5,$C$7,F$1,F$2,$A250)</f>
        <v>0</v>
      </c>
      <c r="G250" s="32">
        <f ca="1">_xll.DBRW($C$1,$C$2,$C$3,$C$4,$C$6,$C$5,$C$7,G$1,G$2,$A250)</f>
        <v>0</v>
      </c>
      <c r="H250" s="32">
        <f ca="1">_xll.DBRW($C$1,$C$2,$C$3,$C$4,$C$6,$C$5,$C$7,H$1,H$2,$A250)</f>
        <v>0</v>
      </c>
      <c r="I250" s="32">
        <f ca="1">_xll.DBRW($C$1,$C$2,$C$3,$C$4,$C$6,$C$5,$C$7,I$1,I$2,$A250)</f>
        <v>0</v>
      </c>
      <c r="J250" s="32">
        <f ca="1">_xll.DBRW($C$1,$C$2,$C$3,$C$4,$C$6,$C$5,$C$7,J$1,J$2,$A250)</f>
        <v>0</v>
      </c>
      <c r="K250" s="32">
        <f ca="1">_xll.DBRW($C$1,$C$2,$C$3,$C$4,$C$6,$C$5,$C$7,K$1,K$2,$A250)</f>
        <v>0</v>
      </c>
      <c r="L250" s="32">
        <f ca="1">_xll.DBRW($C$1,$C$2,$C$3,$C$4,$C$6,$C$5,$C$7,L$1,L$2,$A250)</f>
        <v>0</v>
      </c>
      <c r="M250" s="32">
        <f ca="1">_xll.DBRW($C$1,$C$2,$C$3,$C$4,$C$6,$C$5,$C$7,M$1,M$2,$A250)</f>
        <v>0</v>
      </c>
      <c r="N250" s="32">
        <f ca="1">_xll.DBRW($C$1,$C$2,$C$3,$C$4,$C$6,$C$5,$C$7,N$1,N$2,$A250)</f>
        <v>0</v>
      </c>
      <c r="O250" s="32">
        <f ca="1">_xll.DBRW($C$1,$C$2,$C$3,$C$4,$C$6,$C$5,$C$7,O$1,O$2,$A250)</f>
        <v>0</v>
      </c>
      <c r="P250" s="32">
        <f ca="1">_xll.DBRW($C$1,$C$2,$C$3,$C$4,$C$6,$C$5,$C$7,P$1,P$2,$A250)</f>
        <v>0</v>
      </c>
      <c r="Q250" s="32">
        <f ca="1">_xll.DBRW($C$1,$C$2,$C$3,$C$4,$C$6,$C$5,$C$7,Q$1,Q$2,$A250)</f>
        <v>0</v>
      </c>
      <c r="R250" s="32">
        <f ca="1">_xll.DBRW($C$1,$C$2,$C$3,$C$4,$C$6,$C$5,$C$7,R$1,R$2,$A250)</f>
        <v>0</v>
      </c>
      <c r="S250" s="32">
        <f ca="1">_xll.DBRW($C$1,$C$2,$C$3,$C$4,$C$6,$C$5,$C$7,S$1,S$2,$A250)</f>
        <v>0</v>
      </c>
      <c r="T250" s="32">
        <f ca="1">_xll.DBRW($C$1,$C$2,$C$3,$C$4,$C$6,$C$5,$C$7,T$1,T$2,$A250)</f>
        <v>0</v>
      </c>
      <c r="U250" s="32">
        <f ca="1">_xll.DBRW($C$1,$C$2,$C$3,$C$4,$C$6,$C$5,$C$7,U$1,U$2,$A250)</f>
        <v>0</v>
      </c>
      <c r="V250" s="32">
        <f ca="1">_xll.DBRW($C$1,$C$2,$C$3,$C$4,$C$6,$C$5,$C$7,V$1,V$2,$A250)</f>
        <v>0</v>
      </c>
      <c r="W250" s="32">
        <f ca="1">_xll.DBRW($C$1,$C$2,$C$3,$C$4,$C$6,$C$5,$C$7,W$1,W$2,$A250)</f>
        <v>0</v>
      </c>
      <c r="X250" s="32">
        <f ca="1">_xll.DBRW($C$1,$C$2,$C$3,$C$4,$C$6,$C$5,$C$7,X$1,X$2,$A250)</f>
        <v>0</v>
      </c>
      <c r="Y250" s="32">
        <f ca="1">_xll.DBRW($C$1,$C$2,$C$3,$C$4,$C$6,$C$5,$C$7,Y$1,Y$2,$A250)</f>
        <v>0</v>
      </c>
      <c r="Z250" s="32">
        <f ca="1">_xll.DBRW($C$1,$C$2,$C$3,$C$4,$C$6,$C$5,$C$7,Z$1,Z$2,$A250)</f>
        <v>0</v>
      </c>
      <c r="AA250" s="32">
        <f ca="1">_xll.DBRW($C$1,$C$2,$C$3,$C$4,$C$6,$C$5,$C$7,AA$1,AA$2,$A250)</f>
        <v>0</v>
      </c>
      <c r="AB250" s="32">
        <f ca="1">_xll.DBRW($C$1,$C$2,$C$3,$C$4,$C$6,$C$5,$C$7,AB$1,AB$2,$A250)</f>
        <v>0</v>
      </c>
      <c r="AC250" s="32">
        <f ca="1">_xll.DBRW($C$1,$C$2,$C$3,$C$4,$C$6,$C$5,$C$7,AC$1,AC$2,$A250)</f>
        <v>0</v>
      </c>
      <c r="AD250" s="32">
        <f ca="1">_xll.DBRW($C$1,$C$2,$C$3,$C$4,$C$6,$C$5,$C$7,AD$1,AD$2,$A250)</f>
        <v>0</v>
      </c>
      <c r="AE250" s="32">
        <f ca="1">_xll.DBRW($C$1,$C$2,$C$3,$C$4,$C$6,$C$5,$C$7,AE$1,AE$2,$A250)</f>
        <v>0</v>
      </c>
      <c r="AF250" s="32">
        <f ca="1">_xll.DBRW($C$1,$C$2,$C$3,$C$4,$C$6,$C$5,$C$7,AF$1,AF$2,$A250)</f>
        <v>0</v>
      </c>
      <c r="AG250" s="32">
        <f ca="1">_xll.DBRW($C$1,$C$2,$C$3,$C$4,$C$6,$C$5,$C$7,AG$1,AG$2,$A250)</f>
        <v>0</v>
      </c>
      <c r="AH250" s="32">
        <f ca="1">_xll.DBRW($C$1,$C$2,$C$3,$C$4,$C$6,$C$5,$C$7,AH$1,AH$2,$A250)</f>
        <v>0</v>
      </c>
      <c r="AI250" s="32">
        <f ca="1">_xll.DBRW($C$1,$C$2,$C$3,$C$4,$C$6,$C$5,$C$7,AI$1,AI$2,$A250)</f>
        <v>0</v>
      </c>
      <c r="AJ250" s="32">
        <f ca="1">_xll.DBRW($C$1,$C$2,$C$3,$C$4,$C$6,$C$5,$C$7,AJ$1,AJ$2,$A250)</f>
        <v>0</v>
      </c>
      <c r="AK250" s="32">
        <f ca="1">_xll.DBRW($C$1,$C$2,$C$3,$C$4,$C$6,$C$5,$C$7,AK$1,AK$2,$A250)</f>
        <v>0</v>
      </c>
      <c r="AL250" s="32">
        <f ca="1">_xll.DBRW($C$1,$C$2,$C$3,$C$4,$C$6,$C$5,$C$7,AL$1,AL$2,$A250)</f>
        <v>0</v>
      </c>
      <c r="AM250" s="32">
        <f ca="1">_xll.DBRW($C$1,$C$2,$C$3,$C$4,$C$6,$C$5,$C$7,AM$1,AM$2,$A250)</f>
        <v>0</v>
      </c>
      <c r="AN250" s="32">
        <f ca="1">_xll.DBRW($C$1,$C$2,$C$3,$C$4,$C$6,$C$5,$C$7,AN$1,AN$2,$A250)</f>
        <v>0</v>
      </c>
      <c r="AO250" s="32">
        <f ca="1">_xll.DBRW($C$1,$C$2,$C$3,$C$4,$C$6,$C$5,$C$7,AO$1,AO$2,$A250)</f>
        <v>0</v>
      </c>
      <c r="AP250" s="32">
        <f ca="1">_xll.DBRW($C$1,$C$2,$C$3,$C$4,$C$6,$C$5,$C$7,AP$1,AP$2,$A250)</f>
        <v>0</v>
      </c>
      <c r="AQ250" s="32">
        <f ca="1">_xll.DBRW($C$1,$C$2,$C$3,$C$4,$C$6,$C$5,$C$7,AQ$1,AQ$2,$A250)</f>
        <v>0</v>
      </c>
      <c r="AR250" s="32">
        <f ca="1">_xll.DBRW($C$1,$C$2,$C$3,$C$4,$C$6,$C$5,$C$7,AR$1,AR$2,$A250)</f>
        <v>0</v>
      </c>
      <c r="AS250" s="32">
        <f ca="1">_xll.DBRW($C$1,$C$2,$C$3,$C$4,$C$6,$C$5,$C$7,AS$1,AS$2,$A250)</f>
        <v>0</v>
      </c>
      <c r="AT250" s="32">
        <f ca="1">_xll.DBRW($C$1,$C$2,$C$3,$C$4,$C$6,$C$5,$C$7,AT$1,AT$2,$A250)</f>
        <v>0</v>
      </c>
      <c r="AU250" s="32">
        <f ca="1">_xll.DBRW($C$1,$C$2,$C$3,$C$4,$C$6,$C$5,$C$7,AU$1,AU$2,$A250)</f>
        <v>0</v>
      </c>
    </row>
    <row r="251" spans="1:47" ht="15.75" hidden="1" outlineLevel="1">
      <c r="C251" s="141"/>
      <c r="E251" s="83" t="s">
        <v>56</v>
      </c>
      <c r="F251" s="38">
        <f t="shared" ref="F251:T251" ca="1" si="127">F250</f>
        <v>0</v>
      </c>
      <c r="G251" s="38">
        <f t="shared" ca="1" si="127"/>
        <v>0</v>
      </c>
      <c r="H251" s="38">
        <f t="shared" ca="1" si="127"/>
        <v>0</v>
      </c>
      <c r="I251" s="38">
        <f t="shared" ca="1" si="127"/>
        <v>0</v>
      </c>
      <c r="J251" s="38">
        <f t="shared" ca="1" si="127"/>
        <v>0</v>
      </c>
      <c r="K251" s="38">
        <f t="shared" ca="1" si="127"/>
        <v>0</v>
      </c>
      <c r="L251" s="38">
        <f t="shared" ca="1" si="127"/>
        <v>0</v>
      </c>
      <c r="M251" s="38">
        <f t="shared" ca="1" si="127"/>
        <v>0</v>
      </c>
      <c r="N251" s="38">
        <f t="shared" ca="1" si="127"/>
        <v>0</v>
      </c>
      <c r="O251" s="38">
        <f t="shared" ca="1" si="127"/>
        <v>0</v>
      </c>
      <c r="P251" s="38">
        <f t="shared" ca="1" si="127"/>
        <v>0</v>
      </c>
      <c r="Q251" s="38">
        <f t="shared" ca="1" si="127"/>
        <v>0</v>
      </c>
      <c r="R251" s="38">
        <f t="shared" ca="1" si="127"/>
        <v>0</v>
      </c>
      <c r="S251" s="38">
        <f t="shared" ca="1" si="127"/>
        <v>0</v>
      </c>
      <c r="T251" s="38">
        <f t="shared" ca="1" si="127"/>
        <v>0</v>
      </c>
      <c r="U251" s="38">
        <f ca="1">U250</f>
        <v>0</v>
      </c>
      <c r="V251" s="38">
        <f ca="1">V250</f>
        <v>0</v>
      </c>
      <c r="W251" s="38">
        <f t="shared" ref="W251:AG251" ca="1" si="128">W250</f>
        <v>0</v>
      </c>
      <c r="X251" s="38">
        <f t="shared" ca="1" si="128"/>
        <v>0</v>
      </c>
      <c r="Y251" s="38">
        <f t="shared" ca="1" si="128"/>
        <v>0</v>
      </c>
      <c r="Z251" s="38">
        <f t="shared" ca="1" si="128"/>
        <v>0</v>
      </c>
      <c r="AA251" s="38">
        <f t="shared" ca="1" si="128"/>
        <v>0</v>
      </c>
      <c r="AB251" s="38">
        <f t="shared" ca="1" si="128"/>
        <v>0</v>
      </c>
      <c r="AC251" s="38">
        <f t="shared" ca="1" si="128"/>
        <v>0</v>
      </c>
      <c r="AD251" s="38">
        <f t="shared" ca="1" si="128"/>
        <v>0</v>
      </c>
      <c r="AE251" s="38">
        <f t="shared" ca="1" si="128"/>
        <v>0</v>
      </c>
      <c r="AF251" s="38">
        <f t="shared" ca="1" si="128"/>
        <v>0</v>
      </c>
      <c r="AG251" s="38">
        <f t="shared" ca="1" si="128"/>
        <v>0</v>
      </c>
      <c r="AH251" s="38">
        <f ca="1">AH250</f>
        <v>0</v>
      </c>
      <c r="AI251" s="38">
        <f ca="1">AI250</f>
        <v>0</v>
      </c>
      <c r="AJ251" s="38">
        <f t="shared" ref="AJ251:AT251" ca="1" si="129">AJ250</f>
        <v>0</v>
      </c>
      <c r="AK251" s="38">
        <f t="shared" ca="1" si="129"/>
        <v>0</v>
      </c>
      <c r="AL251" s="38">
        <f t="shared" ca="1" si="129"/>
        <v>0</v>
      </c>
      <c r="AM251" s="38">
        <f t="shared" ca="1" si="129"/>
        <v>0</v>
      </c>
      <c r="AN251" s="38">
        <f t="shared" ca="1" si="129"/>
        <v>0</v>
      </c>
      <c r="AO251" s="38">
        <f t="shared" ca="1" si="129"/>
        <v>0</v>
      </c>
      <c r="AP251" s="38">
        <f t="shared" ca="1" si="129"/>
        <v>0</v>
      </c>
      <c r="AQ251" s="38">
        <f t="shared" ca="1" si="129"/>
        <v>0</v>
      </c>
      <c r="AR251" s="38">
        <f t="shared" ca="1" si="129"/>
        <v>0</v>
      </c>
      <c r="AS251" s="38">
        <f t="shared" ca="1" si="129"/>
        <v>0</v>
      </c>
      <c r="AT251" s="38">
        <f t="shared" ca="1" si="129"/>
        <v>0</v>
      </c>
      <c r="AU251" s="38">
        <f ca="1">AU250</f>
        <v>0</v>
      </c>
    </row>
    <row r="252" spans="1:47" ht="15.75" hidden="1" customHeight="1" outlineLevel="2">
      <c r="A252" s="1" t="s">
        <v>310</v>
      </c>
      <c r="C252" s="141"/>
      <c r="E252" s="9" t="str">
        <f ca="1">_xll.DBRW(Server&amp;"}ElementAttributes_Indicator",A252,"code_English")</f>
        <v>PL0000_TM - Tax Management</v>
      </c>
      <c r="F252" s="32">
        <f ca="1">_xll.DBRW($C$1,$C$2,$C$3,$C$4,$C$6,$C$5,$C$7,F$1,F$2,$A252)</f>
        <v>0</v>
      </c>
      <c r="G252" s="32">
        <f ca="1">_xll.DBRW($C$1,$C$2,$C$3,$C$4,$C$6,$C$5,$C$7,G$1,G$2,$A252)</f>
        <v>0</v>
      </c>
      <c r="H252" s="32">
        <f ca="1">_xll.DBRW($C$1,$C$2,$C$3,$C$4,$C$6,$C$5,$C$7,H$1,H$2,$A252)</f>
        <v>0</v>
      </c>
      <c r="I252" s="32">
        <f ca="1">_xll.DBRW($C$1,$C$2,$C$3,$C$4,$C$6,$C$5,$C$7,I$1,I$2,$A252)</f>
        <v>0</v>
      </c>
      <c r="J252" s="32">
        <f ca="1">_xll.DBRW($C$1,$C$2,$C$3,$C$4,$C$6,$C$5,$C$7,J$1,J$2,$A252)</f>
        <v>0</v>
      </c>
      <c r="K252" s="32">
        <f ca="1">_xll.DBRW($C$1,$C$2,$C$3,$C$4,$C$6,$C$5,$C$7,K$1,K$2,$A252)</f>
        <v>0</v>
      </c>
      <c r="L252" s="32">
        <f ca="1">_xll.DBRW($C$1,$C$2,$C$3,$C$4,$C$6,$C$5,$C$7,L$1,L$2,$A252)</f>
        <v>0</v>
      </c>
      <c r="M252" s="32">
        <f ca="1">_xll.DBRW($C$1,$C$2,$C$3,$C$4,$C$6,$C$5,$C$7,M$1,M$2,$A252)</f>
        <v>0</v>
      </c>
      <c r="N252" s="32">
        <f ca="1">_xll.DBRW($C$1,$C$2,$C$3,$C$4,$C$6,$C$5,$C$7,N$1,N$2,$A252)</f>
        <v>0</v>
      </c>
      <c r="O252" s="32">
        <f ca="1">_xll.DBRW($C$1,$C$2,$C$3,$C$4,$C$6,$C$5,$C$7,O$1,O$2,$A252)</f>
        <v>0</v>
      </c>
      <c r="P252" s="32">
        <f ca="1">_xll.DBRW($C$1,$C$2,$C$3,$C$4,$C$6,$C$5,$C$7,P$1,P$2,$A252)</f>
        <v>0</v>
      </c>
      <c r="Q252" s="32">
        <f ca="1">_xll.DBRW($C$1,$C$2,$C$3,$C$4,$C$6,$C$5,$C$7,Q$1,Q$2,$A252)</f>
        <v>0</v>
      </c>
      <c r="R252" s="32">
        <f ca="1">_xll.DBRW($C$1,$C$2,$C$3,$C$4,$C$6,$C$5,$C$7,R$1,R$2,$A252)</f>
        <v>0</v>
      </c>
      <c r="S252" s="32">
        <f ca="1">_xll.DBRW($C$1,$C$2,$C$3,$C$4,$C$6,$C$5,$C$7,S$1,S$2,$A252)</f>
        <v>0</v>
      </c>
      <c r="T252" s="32">
        <f ca="1">_xll.DBRW($C$1,$C$2,$C$3,$C$4,$C$6,$C$5,$C$7,T$1,T$2,$A252)</f>
        <v>0</v>
      </c>
      <c r="U252" s="32">
        <f ca="1">_xll.DBRW($C$1,$C$2,$C$3,$C$4,$C$6,$C$5,$C$7,U$1,U$2,$A252)</f>
        <v>0</v>
      </c>
      <c r="V252" s="32">
        <f ca="1">_xll.DBRW($C$1,$C$2,$C$3,$C$4,$C$6,$C$5,$C$7,V$1,V$2,$A252)</f>
        <v>0</v>
      </c>
      <c r="W252" s="32">
        <f ca="1">_xll.DBRW($C$1,$C$2,$C$3,$C$4,$C$6,$C$5,$C$7,W$1,W$2,$A252)</f>
        <v>0</v>
      </c>
      <c r="X252" s="32">
        <f ca="1">_xll.DBRW($C$1,$C$2,$C$3,$C$4,$C$6,$C$5,$C$7,X$1,X$2,$A252)</f>
        <v>0</v>
      </c>
      <c r="Y252" s="32">
        <f ca="1">_xll.DBRW($C$1,$C$2,$C$3,$C$4,$C$6,$C$5,$C$7,Y$1,Y$2,$A252)</f>
        <v>0</v>
      </c>
      <c r="Z252" s="32">
        <f ca="1">_xll.DBRW($C$1,$C$2,$C$3,$C$4,$C$6,$C$5,$C$7,Z$1,Z$2,$A252)</f>
        <v>0</v>
      </c>
      <c r="AA252" s="32">
        <f ca="1">_xll.DBRW($C$1,$C$2,$C$3,$C$4,$C$6,$C$5,$C$7,AA$1,AA$2,$A252)</f>
        <v>0</v>
      </c>
      <c r="AB252" s="32">
        <f ca="1">_xll.DBRW($C$1,$C$2,$C$3,$C$4,$C$6,$C$5,$C$7,AB$1,AB$2,$A252)</f>
        <v>0</v>
      </c>
      <c r="AC252" s="32">
        <f ca="1">_xll.DBRW($C$1,$C$2,$C$3,$C$4,$C$6,$C$5,$C$7,AC$1,AC$2,$A252)</f>
        <v>0</v>
      </c>
      <c r="AD252" s="32">
        <f ca="1">_xll.DBRW($C$1,$C$2,$C$3,$C$4,$C$6,$C$5,$C$7,AD$1,AD$2,$A252)</f>
        <v>0</v>
      </c>
      <c r="AE252" s="32">
        <f ca="1">_xll.DBRW($C$1,$C$2,$C$3,$C$4,$C$6,$C$5,$C$7,AE$1,AE$2,$A252)</f>
        <v>0</v>
      </c>
      <c r="AF252" s="32">
        <f ca="1">_xll.DBRW($C$1,$C$2,$C$3,$C$4,$C$6,$C$5,$C$7,AF$1,AF$2,$A252)</f>
        <v>0</v>
      </c>
      <c r="AG252" s="32">
        <f ca="1">_xll.DBRW($C$1,$C$2,$C$3,$C$4,$C$6,$C$5,$C$7,AG$1,AG$2,$A252)</f>
        <v>0</v>
      </c>
      <c r="AH252" s="32">
        <f ca="1">_xll.DBRW($C$1,$C$2,$C$3,$C$4,$C$6,$C$5,$C$7,AH$1,AH$2,$A252)</f>
        <v>0</v>
      </c>
      <c r="AI252" s="32">
        <f ca="1">_xll.DBRW($C$1,$C$2,$C$3,$C$4,$C$6,$C$5,$C$7,AI$1,AI$2,$A252)</f>
        <v>0</v>
      </c>
      <c r="AJ252" s="32">
        <f ca="1">_xll.DBRW($C$1,$C$2,$C$3,$C$4,$C$6,$C$5,$C$7,AJ$1,AJ$2,$A252)</f>
        <v>0</v>
      </c>
      <c r="AK252" s="32">
        <f ca="1">_xll.DBRW($C$1,$C$2,$C$3,$C$4,$C$6,$C$5,$C$7,AK$1,AK$2,$A252)</f>
        <v>0</v>
      </c>
      <c r="AL252" s="32">
        <f ca="1">_xll.DBRW($C$1,$C$2,$C$3,$C$4,$C$6,$C$5,$C$7,AL$1,AL$2,$A252)</f>
        <v>0</v>
      </c>
      <c r="AM252" s="32">
        <f ca="1">_xll.DBRW($C$1,$C$2,$C$3,$C$4,$C$6,$C$5,$C$7,AM$1,AM$2,$A252)</f>
        <v>0</v>
      </c>
      <c r="AN252" s="32">
        <f ca="1">_xll.DBRW($C$1,$C$2,$C$3,$C$4,$C$6,$C$5,$C$7,AN$1,AN$2,$A252)</f>
        <v>0</v>
      </c>
      <c r="AO252" s="32">
        <f ca="1">_xll.DBRW($C$1,$C$2,$C$3,$C$4,$C$6,$C$5,$C$7,AO$1,AO$2,$A252)</f>
        <v>0</v>
      </c>
      <c r="AP252" s="32">
        <f ca="1">_xll.DBRW($C$1,$C$2,$C$3,$C$4,$C$6,$C$5,$C$7,AP$1,AP$2,$A252)</f>
        <v>0</v>
      </c>
      <c r="AQ252" s="32">
        <f ca="1">_xll.DBRW($C$1,$C$2,$C$3,$C$4,$C$6,$C$5,$C$7,AQ$1,AQ$2,$A252)</f>
        <v>0</v>
      </c>
      <c r="AR252" s="32">
        <f ca="1">_xll.DBRW($C$1,$C$2,$C$3,$C$4,$C$6,$C$5,$C$7,AR$1,AR$2,$A252)</f>
        <v>0</v>
      </c>
      <c r="AS252" s="32">
        <f ca="1">_xll.DBRW($C$1,$C$2,$C$3,$C$4,$C$6,$C$5,$C$7,AS$1,AS$2,$A252)</f>
        <v>0</v>
      </c>
      <c r="AT252" s="32">
        <f ca="1">_xll.DBRW($C$1,$C$2,$C$3,$C$4,$C$6,$C$5,$C$7,AT$1,AT$2,$A252)</f>
        <v>0</v>
      </c>
      <c r="AU252" s="32">
        <f ca="1">_xll.DBRW($C$1,$C$2,$C$3,$C$4,$C$6,$C$5,$C$7,AU$1,AU$2,$A252)</f>
        <v>0</v>
      </c>
    </row>
    <row r="253" spans="1:47" ht="15.75" hidden="1" outlineLevel="1">
      <c r="C253" s="141"/>
      <c r="E253" s="83" t="s">
        <v>57</v>
      </c>
      <c r="F253" s="38">
        <f t="shared" ref="F253:T253" ca="1" si="130">F252</f>
        <v>0</v>
      </c>
      <c r="G253" s="38">
        <f t="shared" ca="1" si="130"/>
        <v>0</v>
      </c>
      <c r="H253" s="38">
        <f t="shared" ca="1" si="130"/>
        <v>0</v>
      </c>
      <c r="I253" s="38">
        <f t="shared" ca="1" si="130"/>
        <v>0</v>
      </c>
      <c r="J253" s="38">
        <f t="shared" ca="1" si="130"/>
        <v>0</v>
      </c>
      <c r="K253" s="38">
        <f t="shared" ca="1" si="130"/>
        <v>0</v>
      </c>
      <c r="L253" s="38">
        <f t="shared" ca="1" si="130"/>
        <v>0</v>
      </c>
      <c r="M253" s="38">
        <f t="shared" ca="1" si="130"/>
        <v>0</v>
      </c>
      <c r="N253" s="38">
        <f t="shared" ca="1" si="130"/>
        <v>0</v>
      </c>
      <c r="O253" s="38">
        <f t="shared" ca="1" si="130"/>
        <v>0</v>
      </c>
      <c r="P253" s="38">
        <f t="shared" ca="1" si="130"/>
        <v>0</v>
      </c>
      <c r="Q253" s="38">
        <f t="shared" ca="1" si="130"/>
        <v>0</v>
      </c>
      <c r="R253" s="38">
        <f t="shared" ca="1" si="130"/>
        <v>0</v>
      </c>
      <c r="S253" s="38">
        <f t="shared" ca="1" si="130"/>
        <v>0</v>
      </c>
      <c r="T253" s="38">
        <f t="shared" ca="1" si="130"/>
        <v>0</v>
      </c>
      <c r="U253" s="38">
        <f ca="1">U252</f>
        <v>0</v>
      </c>
      <c r="V253" s="38">
        <f ca="1">V252</f>
        <v>0</v>
      </c>
      <c r="W253" s="38">
        <f t="shared" ref="W253:AG253" ca="1" si="131">W252</f>
        <v>0</v>
      </c>
      <c r="X253" s="38">
        <f t="shared" ca="1" si="131"/>
        <v>0</v>
      </c>
      <c r="Y253" s="38">
        <f t="shared" ca="1" si="131"/>
        <v>0</v>
      </c>
      <c r="Z253" s="38">
        <f t="shared" ca="1" si="131"/>
        <v>0</v>
      </c>
      <c r="AA253" s="38">
        <f t="shared" ca="1" si="131"/>
        <v>0</v>
      </c>
      <c r="AB253" s="38">
        <f t="shared" ca="1" si="131"/>
        <v>0</v>
      </c>
      <c r="AC253" s="38">
        <f t="shared" ca="1" si="131"/>
        <v>0</v>
      </c>
      <c r="AD253" s="38">
        <f t="shared" ca="1" si="131"/>
        <v>0</v>
      </c>
      <c r="AE253" s="38">
        <f t="shared" ca="1" si="131"/>
        <v>0</v>
      </c>
      <c r="AF253" s="38">
        <f t="shared" ca="1" si="131"/>
        <v>0</v>
      </c>
      <c r="AG253" s="38">
        <f t="shared" ca="1" si="131"/>
        <v>0</v>
      </c>
      <c r="AH253" s="38">
        <f ca="1">AH252</f>
        <v>0</v>
      </c>
      <c r="AI253" s="38">
        <f ca="1">AI252</f>
        <v>0</v>
      </c>
      <c r="AJ253" s="38">
        <f t="shared" ref="AJ253:AT253" ca="1" si="132">AJ252</f>
        <v>0</v>
      </c>
      <c r="AK253" s="38">
        <f t="shared" ca="1" si="132"/>
        <v>0</v>
      </c>
      <c r="AL253" s="38">
        <f t="shared" ca="1" si="132"/>
        <v>0</v>
      </c>
      <c r="AM253" s="38">
        <f t="shared" ca="1" si="132"/>
        <v>0</v>
      </c>
      <c r="AN253" s="38">
        <f t="shared" ca="1" si="132"/>
        <v>0</v>
      </c>
      <c r="AO253" s="38">
        <f t="shared" ca="1" si="132"/>
        <v>0</v>
      </c>
      <c r="AP253" s="38">
        <f t="shared" ca="1" si="132"/>
        <v>0</v>
      </c>
      <c r="AQ253" s="38">
        <f t="shared" ca="1" si="132"/>
        <v>0</v>
      </c>
      <c r="AR253" s="38">
        <f t="shared" ca="1" si="132"/>
        <v>0</v>
      </c>
      <c r="AS253" s="38">
        <f t="shared" ca="1" si="132"/>
        <v>0</v>
      </c>
      <c r="AT253" s="38">
        <f t="shared" ca="1" si="132"/>
        <v>0</v>
      </c>
      <c r="AU253" s="38">
        <f ca="1">AU252</f>
        <v>0</v>
      </c>
    </row>
    <row r="254" spans="1:47" ht="15.75" hidden="1" customHeight="1" outlineLevel="2">
      <c r="A254" s="1" t="s">
        <v>311</v>
      </c>
      <c r="C254" s="141"/>
      <c r="E254" s="9" t="str">
        <f ca="1">_xll.DBRW(Server&amp;"}ElementAttributes_Indicator",A254,"code_English")</f>
        <v>PL0000_MGF - Management fees</v>
      </c>
      <c r="F254" s="32">
        <f ca="1">_xll.DBRW($C$1,$C$2,$C$3,$C$4,$C$6,$C$5,$C$7,F$1,F$2,$A254)</f>
        <v>-5404624</v>
      </c>
      <c r="G254" s="32">
        <f ca="1">_xll.DBRW($C$1,$C$2,$C$3,$C$4,$C$6,$C$5,$C$7,G$1,G$2,$A254)</f>
        <v>-5087944</v>
      </c>
      <c r="H254" s="32">
        <f ca="1">_xll.DBRW($C$1,$C$2,$C$3,$C$4,$C$6,$C$5,$C$7,H$1,H$2,$A254)</f>
        <v>-4687336.96</v>
      </c>
      <c r="I254" s="32">
        <f ca="1">_xll.DBRW($C$1,$C$2,$C$3,$C$4,$C$6,$C$5,$C$7,I$1,I$2,$A254)</f>
        <v>-457818.37</v>
      </c>
      <c r="J254" s="32">
        <f ca="1">_xll.DBRW($C$1,$C$2,$C$3,$C$4,$C$6,$C$5,$C$7,J$1,J$2,$A254)</f>
        <v>-915636.74</v>
      </c>
      <c r="K254" s="32">
        <f ca="1">_xll.DBRW($C$1,$C$2,$C$3,$C$4,$C$6,$C$5,$C$7,K$1,K$2,$A254)</f>
        <v>-814586.01</v>
      </c>
      <c r="L254" s="32">
        <f ca="1">_xll.DBRW($C$1,$C$2,$C$3,$C$4,$C$6,$C$5,$C$7,L$1,L$2,$A254)</f>
        <v>-1272419.3500000001</v>
      </c>
      <c r="M254" s="32">
        <f ca="1">_xll.DBRW($C$1,$C$2,$C$3,$C$4,$C$6,$C$5,$C$7,M$1,M$2,$A254)</f>
        <v>-1730252.69</v>
      </c>
      <c r="N254" s="32">
        <f ca="1">_xll.DBRW($C$1,$C$2,$C$3,$C$4,$C$6,$C$5,$C$7,N$1,N$2,$A254)</f>
        <v>-2188086.0299999998</v>
      </c>
      <c r="O254" s="32">
        <f ca="1">_xll.DBRW($C$1,$C$2,$C$3,$C$4,$C$6,$C$5,$C$7,O$1,O$2,$A254)</f>
        <v>-2188086.0299999998</v>
      </c>
      <c r="P254" s="32">
        <f ca="1">_xll.DBRW($C$1,$C$2,$C$3,$C$4,$C$6,$C$5,$C$7,P$1,P$2,$A254)</f>
        <v>-2188086.0299999998</v>
      </c>
      <c r="Q254" s="32">
        <f ca="1">_xll.DBRW($C$1,$C$2,$C$3,$C$4,$C$6,$C$5,$C$7,Q$1,Q$2,$A254)</f>
        <v>-2188086.0299999998</v>
      </c>
      <c r="R254" s="32">
        <f ca="1">_xll.DBRW($C$1,$C$2,$C$3,$C$4,$C$6,$C$5,$C$7,R$1,R$2,$A254)</f>
        <v>-2188086.0299999998</v>
      </c>
      <c r="S254" s="32">
        <f ca="1">_xll.DBRW($C$1,$C$2,$C$3,$C$4,$C$6,$C$5,$C$7,S$1,S$2,$A254)</f>
        <v>-2188086.0299999998</v>
      </c>
      <c r="T254" s="32">
        <f ca="1">_xll.DBRW($C$1,$C$2,$C$3,$C$4,$C$6,$C$5,$C$7,T$1,T$2,$A254)</f>
        <v>-2188086.0299999998</v>
      </c>
      <c r="U254" s="32">
        <f ca="1">_xll.DBRW($C$1,$C$2,$C$3,$C$4,$C$6,$C$5,$C$7,U$1,U$2,$A254)</f>
        <v>-2188086.0299999998</v>
      </c>
      <c r="V254" s="32">
        <f ca="1">_xll.DBRW($C$1,$C$2,$C$3,$C$4,$C$6,$C$5,$C$7,V$1,V$2,$A254)</f>
        <v>0</v>
      </c>
      <c r="W254" s="32">
        <f ca="1">_xll.DBRW($C$1,$C$2,$C$3,$C$4,$C$6,$C$5,$C$7,W$1,W$2,$A254)</f>
        <v>0</v>
      </c>
      <c r="X254" s="32">
        <f ca="1">_xll.DBRW($C$1,$C$2,$C$3,$C$4,$C$6,$C$5,$C$7,X$1,X$2,$A254)</f>
        <v>0</v>
      </c>
      <c r="Y254" s="32">
        <f ca="1">_xll.DBRW($C$1,$C$2,$C$3,$C$4,$C$6,$C$5,$C$7,Y$1,Y$2,$A254)</f>
        <v>0</v>
      </c>
      <c r="Z254" s="32">
        <f ca="1">_xll.DBRW($C$1,$C$2,$C$3,$C$4,$C$6,$C$5,$C$7,Z$1,Z$2,$A254)</f>
        <v>0</v>
      </c>
      <c r="AA254" s="32">
        <f ca="1">_xll.DBRW($C$1,$C$2,$C$3,$C$4,$C$6,$C$5,$C$7,AA$1,AA$2,$A254)</f>
        <v>0</v>
      </c>
      <c r="AB254" s="32">
        <f ca="1">_xll.DBRW($C$1,$C$2,$C$3,$C$4,$C$6,$C$5,$C$7,AB$1,AB$2,$A254)</f>
        <v>0</v>
      </c>
      <c r="AC254" s="32">
        <f ca="1">_xll.DBRW($C$1,$C$2,$C$3,$C$4,$C$6,$C$5,$C$7,AC$1,AC$2,$A254)</f>
        <v>0</v>
      </c>
      <c r="AD254" s="32">
        <f ca="1">_xll.DBRW($C$1,$C$2,$C$3,$C$4,$C$6,$C$5,$C$7,AD$1,AD$2,$A254)</f>
        <v>0</v>
      </c>
      <c r="AE254" s="32">
        <f ca="1">_xll.DBRW($C$1,$C$2,$C$3,$C$4,$C$6,$C$5,$C$7,AE$1,AE$2,$A254)</f>
        <v>0</v>
      </c>
      <c r="AF254" s="32">
        <f ca="1">_xll.DBRW($C$1,$C$2,$C$3,$C$4,$C$6,$C$5,$C$7,AF$1,AF$2,$A254)</f>
        <v>0</v>
      </c>
      <c r="AG254" s="32">
        <f ca="1">_xll.DBRW($C$1,$C$2,$C$3,$C$4,$C$6,$C$5,$C$7,AG$1,AG$2,$A254)</f>
        <v>0</v>
      </c>
      <c r="AH254" s="32">
        <f ca="1">_xll.DBRW($C$1,$C$2,$C$3,$C$4,$C$6,$C$5,$C$7,AH$1,AH$2,$A254)</f>
        <v>0</v>
      </c>
      <c r="AI254" s="32">
        <f ca="1">_xll.DBRW($C$1,$C$2,$C$3,$C$4,$C$6,$C$5,$C$7,AI$1,AI$2,$A254)</f>
        <v>0</v>
      </c>
      <c r="AJ254" s="32">
        <f ca="1">_xll.DBRW($C$1,$C$2,$C$3,$C$4,$C$6,$C$5,$C$7,AJ$1,AJ$2,$A254)</f>
        <v>0</v>
      </c>
      <c r="AK254" s="32">
        <f ca="1">_xll.DBRW($C$1,$C$2,$C$3,$C$4,$C$6,$C$5,$C$7,AK$1,AK$2,$A254)</f>
        <v>0</v>
      </c>
      <c r="AL254" s="32">
        <f ca="1">_xll.DBRW($C$1,$C$2,$C$3,$C$4,$C$6,$C$5,$C$7,AL$1,AL$2,$A254)</f>
        <v>0</v>
      </c>
      <c r="AM254" s="32">
        <f ca="1">_xll.DBRW($C$1,$C$2,$C$3,$C$4,$C$6,$C$5,$C$7,AM$1,AM$2,$A254)</f>
        <v>0</v>
      </c>
      <c r="AN254" s="32">
        <f ca="1">_xll.DBRW($C$1,$C$2,$C$3,$C$4,$C$6,$C$5,$C$7,AN$1,AN$2,$A254)</f>
        <v>0</v>
      </c>
      <c r="AO254" s="32">
        <f ca="1">_xll.DBRW($C$1,$C$2,$C$3,$C$4,$C$6,$C$5,$C$7,AO$1,AO$2,$A254)</f>
        <v>0</v>
      </c>
      <c r="AP254" s="32">
        <f ca="1">_xll.DBRW($C$1,$C$2,$C$3,$C$4,$C$6,$C$5,$C$7,AP$1,AP$2,$A254)</f>
        <v>0</v>
      </c>
      <c r="AQ254" s="32">
        <f ca="1">_xll.DBRW($C$1,$C$2,$C$3,$C$4,$C$6,$C$5,$C$7,AQ$1,AQ$2,$A254)</f>
        <v>0</v>
      </c>
      <c r="AR254" s="32">
        <f ca="1">_xll.DBRW($C$1,$C$2,$C$3,$C$4,$C$6,$C$5,$C$7,AR$1,AR$2,$A254)</f>
        <v>0</v>
      </c>
      <c r="AS254" s="32">
        <f ca="1">_xll.DBRW($C$1,$C$2,$C$3,$C$4,$C$6,$C$5,$C$7,AS$1,AS$2,$A254)</f>
        <v>0</v>
      </c>
      <c r="AT254" s="32">
        <f ca="1">_xll.DBRW($C$1,$C$2,$C$3,$C$4,$C$6,$C$5,$C$7,AT$1,AT$2,$A254)</f>
        <v>0</v>
      </c>
      <c r="AU254" s="32">
        <f ca="1">_xll.DBRW($C$1,$C$2,$C$3,$C$4,$C$6,$C$5,$C$7,AU$1,AU$2,$A254)</f>
        <v>0</v>
      </c>
    </row>
    <row r="255" spans="1:47" ht="15.75" hidden="1" outlineLevel="1">
      <c r="C255" s="141"/>
      <c r="E255" s="83" t="s">
        <v>58</v>
      </c>
      <c r="F255" s="38">
        <f t="shared" ref="F255:T255" ca="1" si="133">F254</f>
        <v>-5404624</v>
      </c>
      <c r="G255" s="38">
        <f t="shared" ca="1" si="133"/>
        <v>-5087944</v>
      </c>
      <c r="H255" s="38">
        <f t="shared" ca="1" si="133"/>
        <v>-4687336.96</v>
      </c>
      <c r="I255" s="38">
        <f t="shared" ca="1" si="133"/>
        <v>-457818.37</v>
      </c>
      <c r="J255" s="38">
        <f t="shared" ca="1" si="133"/>
        <v>-915636.74</v>
      </c>
      <c r="K255" s="38">
        <f t="shared" ca="1" si="133"/>
        <v>-814586.01</v>
      </c>
      <c r="L255" s="38">
        <f t="shared" ca="1" si="133"/>
        <v>-1272419.3500000001</v>
      </c>
      <c r="M255" s="38">
        <f t="shared" ca="1" si="133"/>
        <v>-1730252.69</v>
      </c>
      <c r="N255" s="38">
        <f t="shared" ca="1" si="133"/>
        <v>-2188086.0299999998</v>
      </c>
      <c r="O255" s="38">
        <f t="shared" ca="1" si="133"/>
        <v>-2188086.0299999998</v>
      </c>
      <c r="P255" s="38">
        <f t="shared" ca="1" si="133"/>
        <v>-2188086.0299999998</v>
      </c>
      <c r="Q255" s="38">
        <f t="shared" ca="1" si="133"/>
        <v>-2188086.0299999998</v>
      </c>
      <c r="R255" s="38">
        <f t="shared" ca="1" si="133"/>
        <v>-2188086.0299999998</v>
      </c>
      <c r="S255" s="38">
        <f t="shared" ca="1" si="133"/>
        <v>-2188086.0299999998</v>
      </c>
      <c r="T255" s="38">
        <f t="shared" ca="1" si="133"/>
        <v>-2188086.0299999998</v>
      </c>
      <c r="U255" s="38">
        <f ca="1">U254</f>
        <v>-2188086.0299999998</v>
      </c>
      <c r="V255" s="38">
        <f ca="1">V254</f>
        <v>0</v>
      </c>
      <c r="W255" s="38">
        <f t="shared" ref="W255:AG255" ca="1" si="134">W254</f>
        <v>0</v>
      </c>
      <c r="X255" s="38">
        <f t="shared" ca="1" si="134"/>
        <v>0</v>
      </c>
      <c r="Y255" s="38">
        <f t="shared" ca="1" si="134"/>
        <v>0</v>
      </c>
      <c r="Z255" s="38">
        <f t="shared" ca="1" si="134"/>
        <v>0</v>
      </c>
      <c r="AA255" s="38">
        <f t="shared" ca="1" si="134"/>
        <v>0</v>
      </c>
      <c r="AB255" s="38">
        <f t="shared" ca="1" si="134"/>
        <v>0</v>
      </c>
      <c r="AC255" s="38">
        <f t="shared" ca="1" si="134"/>
        <v>0</v>
      </c>
      <c r="AD255" s="38">
        <f t="shared" ca="1" si="134"/>
        <v>0</v>
      </c>
      <c r="AE255" s="38">
        <f t="shared" ca="1" si="134"/>
        <v>0</v>
      </c>
      <c r="AF255" s="38">
        <f t="shared" ca="1" si="134"/>
        <v>0</v>
      </c>
      <c r="AG255" s="38">
        <f t="shared" ca="1" si="134"/>
        <v>0</v>
      </c>
      <c r="AH255" s="38">
        <f ca="1">AH254</f>
        <v>0</v>
      </c>
      <c r="AI255" s="38">
        <f ca="1">AI254</f>
        <v>0</v>
      </c>
      <c r="AJ255" s="38">
        <f t="shared" ref="AJ255:AT255" ca="1" si="135">AJ254</f>
        <v>0</v>
      </c>
      <c r="AK255" s="38">
        <f t="shared" ca="1" si="135"/>
        <v>0</v>
      </c>
      <c r="AL255" s="38">
        <f t="shared" ca="1" si="135"/>
        <v>0</v>
      </c>
      <c r="AM255" s="38">
        <f t="shared" ca="1" si="135"/>
        <v>0</v>
      </c>
      <c r="AN255" s="38">
        <f t="shared" ca="1" si="135"/>
        <v>0</v>
      </c>
      <c r="AO255" s="38">
        <f t="shared" ca="1" si="135"/>
        <v>0</v>
      </c>
      <c r="AP255" s="38">
        <f t="shared" ca="1" si="135"/>
        <v>0</v>
      </c>
      <c r="AQ255" s="38">
        <f t="shared" ca="1" si="135"/>
        <v>0</v>
      </c>
      <c r="AR255" s="38">
        <f t="shared" ca="1" si="135"/>
        <v>0</v>
      </c>
      <c r="AS255" s="38">
        <f t="shared" ca="1" si="135"/>
        <v>0</v>
      </c>
      <c r="AT255" s="38">
        <f t="shared" ca="1" si="135"/>
        <v>0</v>
      </c>
      <c r="AU255" s="38">
        <f ca="1">AU254</f>
        <v>0</v>
      </c>
    </row>
    <row r="256" spans="1:47" ht="15.75" hidden="1" customHeight="1" outlineLevel="2">
      <c r="A256" s="1" t="s">
        <v>312</v>
      </c>
      <c r="C256" s="141"/>
      <c r="E256" s="9" t="str">
        <f ca="1">_xll.DBRW(Server&amp;"}ElementAttributes_Indicator",A256,"code_English")</f>
        <v>PL0000_TPL13 - G&amp;A Overhead costs - Vector Reconciliation</v>
      </c>
      <c r="F256" s="32">
        <f ca="1">_xll.DBRW($C$1,$C$2,$C$3,$C$4,$C$6,$C$5,$C$7,F$1,F$2,$A256)</f>
        <v>0</v>
      </c>
      <c r="G256" s="32">
        <f ca="1">_xll.DBRW($C$1,$C$2,$C$3,$C$4,$C$6,$C$5,$C$7,G$1,G$2,$A256)</f>
        <v>0</v>
      </c>
      <c r="H256" s="32">
        <f ca="1">_xll.DBRW($C$1,$C$2,$C$3,$C$4,$C$6,$C$5,$C$7,H$1,H$2,$A256)</f>
        <v>0</v>
      </c>
      <c r="I256" s="32">
        <f ca="1">_xll.DBRW($C$1,$C$2,$C$3,$C$4,$C$6,$C$5,$C$7,I$1,I$2,$A256)</f>
        <v>0</v>
      </c>
      <c r="J256" s="32">
        <f ca="1">_xll.DBRW($C$1,$C$2,$C$3,$C$4,$C$6,$C$5,$C$7,J$1,J$2,$A256)</f>
        <v>0</v>
      </c>
      <c r="K256" s="32">
        <f ca="1">_xll.DBRW($C$1,$C$2,$C$3,$C$4,$C$6,$C$5,$C$7,K$1,K$2,$A256)</f>
        <v>0</v>
      </c>
      <c r="L256" s="32">
        <f ca="1">_xll.DBRW($C$1,$C$2,$C$3,$C$4,$C$6,$C$5,$C$7,L$1,L$2,$A256)</f>
        <v>0</v>
      </c>
      <c r="M256" s="32">
        <f ca="1">_xll.DBRW($C$1,$C$2,$C$3,$C$4,$C$6,$C$5,$C$7,M$1,M$2,$A256)</f>
        <v>0</v>
      </c>
      <c r="N256" s="32">
        <f ca="1">_xll.DBRW($C$1,$C$2,$C$3,$C$4,$C$6,$C$5,$C$7,N$1,N$2,$A256)</f>
        <v>0</v>
      </c>
      <c r="O256" s="32">
        <f ca="1">_xll.DBRW($C$1,$C$2,$C$3,$C$4,$C$6,$C$5,$C$7,O$1,O$2,$A256)</f>
        <v>0</v>
      </c>
      <c r="P256" s="32">
        <f ca="1">_xll.DBRW($C$1,$C$2,$C$3,$C$4,$C$6,$C$5,$C$7,P$1,P$2,$A256)</f>
        <v>0</v>
      </c>
      <c r="Q256" s="32">
        <f ca="1">_xll.DBRW($C$1,$C$2,$C$3,$C$4,$C$6,$C$5,$C$7,Q$1,Q$2,$A256)</f>
        <v>0</v>
      </c>
      <c r="R256" s="32">
        <f ca="1">_xll.DBRW($C$1,$C$2,$C$3,$C$4,$C$6,$C$5,$C$7,R$1,R$2,$A256)</f>
        <v>0</v>
      </c>
      <c r="S256" s="32">
        <f ca="1">_xll.DBRW($C$1,$C$2,$C$3,$C$4,$C$6,$C$5,$C$7,S$1,S$2,$A256)</f>
        <v>0</v>
      </c>
      <c r="T256" s="32">
        <f ca="1">_xll.DBRW($C$1,$C$2,$C$3,$C$4,$C$6,$C$5,$C$7,T$1,T$2,$A256)</f>
        <v>0</v>
      </c>
      <c r="U256" s="32">
        <f ca="1">_xll.DBRW($C$1,$C$2,$C$3,$C$4,$C$6,$C$5,$C$7,U$1,U$2,$A256)</f>
        <v>0</v>
      </c>
      <c r="V256" s="32">
        <f ca="1">_xll.DBRW($C$1,$C$2,$C$3,$C$4,$C$6,$C$5,$C$7,V$1,V$2,$A256)</f>
        <v>0</v>
      </c>
      <c r="W256" s="32">
        <f ca="1">_xll.DBRW($C$1,$C$2,$C$3,$C$4,$C$6,$C$5,$C$7,W$1,W$2,$A256)</f>
        <v>0</v>
      </c>
      <c r="X256" s="32">
        <f ca="1">_xll.DBRW($C$1,$C$2,$C$3,$C$4,$C$6,$C$5,$C$7,X$1,X$2,$A256)</f>
        <v>0</v>
      </c>
      <c r="Y256" s="32">
        <f ca="1">_xll.DBRW($C$1,$C$2,$C$3,$C$4,$C$6,$C$5,$C$7,Y$1,Y$2,$A256)</f>
        <v>0</v>
      </c>
      <c r="Z256" s="32">
        <f ca="1">_xll.DBRW($C$1,$C$2,$C$3,$C$4,$C$6,$C$5,$C$7,Z$1,Z$2,$A256)</f>
        <v>0</v>
      </c>
      <c r="AA256" s="32">
        <f ca="1">_xll.DBRW($C$1,$C$2,$C$3,$C$4,$C$6,$C$5,$C$7,AA$1,AA$2,$A256)</f>
        <v>0</v>
      </c>
      <c r="AB256" s="32">
        <f ca="1">_xll.DBRW($C$1,$C$2,$C$3,$C$4,$C$6,$C$5,$C$7,AB$1,AB$2,$A256)</f>
        <v>0</v>
      </c>
      <c r="AC256" s="32">
        <f ca="1">_xll.DBRW($C$1,$C$2,$C$3,$C$4,$C$6,$C$5,$C$7,AC$1,AC$2,$A256)</f>
        <v>0</v>
      </c>
      <c r="AD256" s="32">
        <f ca="1">_xll.DBRW($C$1,$C$2,$C$3,$C$4,$C$6,$C$5,$C$7,AD$1,AD$2,$A256)</f>
        <v>0</v>
      </c>
      <c r="AE256" s="32">
        <f ca="1">_xll.DBRW($C$1,$C$2,$C$3,$C$4,$C$6,$C$5,$C$7,AE$1,AE$2,$A256)</f>
        <v>0</v>
      </c>
      <c r="AF256" s="32">
        <f ca="1">_xll.DBRW($C$1,$C$2,$C$3,$C$4,$C$6,$C$5,$C$7,AF$1,AF$2,$A256)</f>
        <v>0</v>
      </c>
      <c r="AG256" s="32">
        <f ca="1">_xll.DBRW($C$1,$C$2,$C$3,$C$4,$C$6,$C$5,$C$7,AG$1,AG$2,$A256)</f>
        <v>0</v>
      </c>
      <c r="AH256" s="32">
        <f ca="1">_xll.DBRW($C$1,$C$2,$C$3,$C$4,$C$6,$C$5,$C$7,AH$1,AH$2,$A256)</f>
        <v>0</v>
      </c>
      <c r="AI256" s="32">
        <f ca="1">_xll.DBRW($C$1,$C$2,$C$3,$C$4,$C$6,$C$5,$C$7,AI$1,AI$2,$A256)</f>
        <v>0</v>
      </c>
      <c r="AJ256" s="32">
        <f ca="1">_xll.DBRW($C$1,$C$2,$C$3,$C$4,$C$6,$C$5,$C$7,AJ$1,AJ$2,$A256)</f>
        <v>0</v>
      </c>
      <c r="AK256" s="32">
        <f ca="1">_xll.DBRW($C$1,$C$2,$C$3,$C$4,$C$6,$C$5,$C$7,AK$1,AK$2,$A256)</f>
        <v>0</v>
      </c>
      <c r="AL256" s="32">
        <f ca="1">_xll.DBRW($C$1,$C$2,$C$3,$C$4,$C$6,$C$5,$C$7,AL$1,AL$2,$A256)</f>
        <v>0</v>
      </c>
      <c r="AM256" s="32">
        <f ca="1">_xll.DBRW($C$1,$C$2,$C$3,$C$4,$C$6,$C$5,$C$7,AM$1,AM$2,$A256)</f>
        <v>0</v>
      </c>
      <c r="AN256" s="32">
        <f ca="1">_xll.DBRW($C$1,$C$2,$C$3,$C$4,$C$6,$C$5,$C$7,AN$1,AN$2,$A256)</f>
        <v>0</v>
      </c>
      <c r="AO256" s="32">
        <f ca="1">_xll.DBRW($C$1,$C$2,$C$3,$C$4,$C$6,$C$5,$C$7,AO$1,AO$2,$A256)</f>
        <v>0</v>
      </c>
      <c r="AP256" s="32">
        <f ca="1">_xll.DBRW($C$1,$C$2,$C$3,$C$4,$C$6,$C$5,$C$7,AP$1,AP$2,$A256)</f>
        <v>0</v>
      </c>
      <c r="AQ256" s="32">
        <f ca="1">_xll.DBRW($C$1,$C$2,$C$3,$C$4,$C$6,$C$5,$C$7,AQ$1,AQ$2,$A256)</f>
        <v>0</v>
      </c>
      <c r="AR256" s="32">
        <f ca="1">_xll.DBRW($C$1,$C$2,$C$3,$C$4,$C$6,$C$5,$C$7,AR$1,AR$2,$A256)</f>
        <v>0</v>
      </c>
      <c r="AS256" s="32">
        <f ca="1">_xll.DBRW($C$1,$C$2,$C$3,$C$4,$C$6,$C$5,$C$7,AS$1,AS$2,$A256)</f>
        <v>0</v>
      </c>
      <c r="AT256" s="32">
        <f ca="1">_xll.DBRW($C$1,$C$2,$C$3,$C$4,$C$6,$C$5,$C$7,AT$1,AT$2,$A256)</f>
        <v>0</v>
      </c>
      <c r="AU256" s="32">
        <f ca="1">_xll.DBRW($C$1,$C$2,$C$3,$C$4,$C$6,$C$5,$C$7,AU$1,AU$2,$A256)</f>
        <v>0</v>
      </c>
    </row>
    <row r="257" spans="1:47" ht="15" hidden="1" outlineLevel="1">
      <c r="A257" s="1" t="s">
        <v>127</v>
      </c>
      <c r="C257" s="141"/>
      <c r="E257" s="22" t="s">
        <v>59</v>
      </c>
      <c r="F257" s="35">
        <f t="shared" ref="F257:T257" ca="1" si="136">F256</f>
        <v>0</v>
      </c>
      <c r="G257" s="35">
        <f t="shared" ca="1" si="136"/>
        <v>0</v>
      </c>
      <c r="H257" s="35">
        <f t="shared" ca="1" si="136"/>
        <v>0</v>
      </c>
      <c r="I257" s="35">
        <f t="shared" ca="1" si="136"/>
        <v>0</v>
      </c>
      <c r="J257" s="35">
        <f t="shared" ca="1" si="136"/>
        <v>0</v>
      </c>
      <c r="K257" s="35">
        <f t="shared" ca="1" si="136"/>
        <v>0</v>
      </c>
      <c r="L257" s="35">
        <f t="shared" ca="1" si="136"/>
        <v>0</v>
      </c>
      <c r="M257" s="35">
        <f t="shared" ca="1" si="136"/>
        <v>0</v>
      </c>
      <c r="N257" s="35">
        <f t="shared" ca="1" si="136"/>
        <v>0</v>
      </c>
      <c r="O257" s="35">
        <f t="shared" ca="1" si="136"/>
        <v>0</v>
      </c>
      <c r="P257" s="35">
        <f t="shared" ca="1" si="136"/>
        <v>0</v>
      </c>
      <c r="Q257" s="35">
        <f t="shared" ca="1" si="136"/>
        <v>0</v>
      </c>
      <c r="R257" s="35">
        <f t="shared" ca="1" si="136"/>
        <v>0</v>
      </c>
      <c r="S257" s="35">
        <f t="shared" ca="1" si="136"/>
        <v>0</v>
      </c>
      <c r="T257" s="35">
        <f t="shared" ca="1" si="136"/>
        <v>0</v>
      </c>
      <c r="U257" s="35">
        <f ca="1">U256</f>
        <v>0</v>
      </c>
      <c r="V257" s="35">
        <f t="shared" ref="V257:AG257" ca="1" si="137">V256</f>
        <v>0</v>
      </c>
      <c r="W257" s="35">
        <f t="shared" ca="1" si="137"/>
        <v>0</v>
      </c>
      <c r="X257" s="35">
        <f t="shared" ca="1" si="137"/>
        <v>0</v>
      </c>
      <c r="Y257" s="35">
        <f t="shared" ca="1" si="137"/>
        <v>0</v>
      </c>
      <c r="Z257" s="35">
        <f t="shared" ca="1" si="137"/>
        <v>0</v>
      </c>
      <c r="AA257" s="35">
        <f t="shared" ca="1" si="137"/>
        <v>0</v>
      </c>
      <c r="AB257" s="35">
        <f t="shared" ca="1" si="137"/>
        <v>0</v>
      </c>
      <c r="AC257" s="35">
        <f t="shared" ca="1" si="137"/>
        <v>0</v>
      </c>
      <c r="AD257" s="35">
        <f t="shared" ca="1" si="137"/>
        <v>0</v>
      </c>
      <c r="AE257" s="35">
        <f t="shared" ca="1" si="137"/>
        <v>0</v>
      </c>
      <c r="AF257" s="35">
        <f t="shared" ca="1" si="137"/>
        <v>0</v>
      </c>
      <c r="AG257" s="35">
        <f t="shared" ca="1" si="137"/>
        <v>0</v>
      </c>
      <c r="AH257" s="35">
        <f ca="1">AH256</f>
        <v>0</v>
      </c>
      <c r="AI257" s="35">
        <f t="shared" ref="AI257:AT257" ca="1" si="138">AI256</f>
        <v>0</v>
      </c>
      <c r="AJ257" s="35">
        <f t="shared" ca="1" si="138"/>
        <v>0</v>
      </c>
      <c r="AK257" s="35">
        <f t="shared" ca="1" si="138"/>
        <v>0</v>
      </c>
      <c r="AL257" s="35">
        <f t="shared" ca="1" si="138"/>
        <v>0</v>
      </c>
      <c r="AM257" s="35">
        <f t="shared" ca="1" si="138"/>
        <v>0</v>
      </c>
      <c r="AN257" s="35">
        <f t="shared" ca="1" si="138"/>
        <v>0</v>
      </c>
      <c r="AO257" s="35">
        <f t="shared" ca="1" si="138"/>
        <v>0</v>
      </c>
      <c r="AP257" s="35">
        <f t="shared" ca="1" si="138"/>
        <v>0</v>
      </c>
      <c r="AQ257" s="35">
        <f t="shared" ca="1" si="138"/>
        <v>0</v>
      </c>
      <c r="AR257" s="35">
        <f t="shared" ca="1" si="138"/>
        <v>0</v>
      </c>
      <c r="AS257" s="35">
        <f t="shared" ca="1" si="138"/>
        <v>0</v>
      </c>
      <c r="AT257" s="35">
        <f t="shared" ca="1" si="138"/>
        <v>0</v>
      </c>
      <c r="AU257" s="35">
        <f ca="1">AU256</f>
        <v>0</v>
      </c>
    </row>
    <row r="258" spans="1:47" ht="15.75" collapsed="1">
      <c r="A258" s="1" t="s">
        <v>60</v>
      </c>
      <c r="C258" s="141"/>
      <c r="E258" s="126" t="s">
        <v>60</v>
      </c>
      <c r="F258" s="127">
        <f t="shared" ref="F258:T258" ca="1" si="139">F225+F227+F229+F231+F233+F235+F237+F239+F241+F243+F245+F247+F249+F251+F253+F255+F257</f>
        <v>-55635153.299999997</v>
      </c>
      <c r="G258" s="127">
        <f t="shared" ca="1" si="139"/>
        <v>-52561649.210000008</v>
      </c>
      <c r="H258" s="127">
        <f t="shared" ca="1" si="139"/>
        <v>-49843139.700000003</v>
      </c>
      <c r="I258" s="127">
        <f t="shared" ca="1" si="139"/>
        <v>-4634739.5199999996</v>
      </c>
      <c r="J258" s="127">
        <f t="shared" ca="1" si="139"/>
        <v>-8955439.8599999994</v>
      </c>
      <c r="K258" s="127">
        <f t="shared" ca="1" si="139"/>
        <v>-13890980.629999999</v>
      </c>
      <c r="L258" s="127">
        <f t="shared" ca="1" si="139"/>
        <v>-18246638.390000001</v>
      </c>
      <c r="M258" s="127">
        <f t="shared" ca="1" si="139"/>
        <v>-22781839.470000003</v>
      </c>
      <c r="N258" s="127">
        <f t="shared" ca="1" si="139"/>
        <v>-27087129.259999998</v>
      </c>
      <c r="O258" s="127">
        <f t="shared" ca="1" si="139"/>
        <v>-27087129.259999998</v>
      </c>
      <c r="P258" s="127">
        <f t="shared" ca="1" si="139"/>
        <v>-27087129.259999998</v>
      </c>
      <c r="Q258" s="127">
        <f t="shared" ca="1" si="139"/>
        <v>-27087129.259999998</v>
      </c>
      <c r="R258" s="127">
        <f t="shared" ca="1" si="139"/>
        <v>-27087129.259999998</v>
      </c>
      <c r="S258" s="127">
        <f t="shared" ca="1" si="139"/>
        <v>-27087129.259999998</v>
      </c>
      <c r="T258" s="127">
        <f t="shared" ca="1" si="139"/>
        <v>-27087129.259999998</v>
      </c>
      <c r="U258" s="127">
        <f ca="1">U225+U227+U229+U231+U233+U235+U237+U239+U241+U243+U245+U247+U249+U251+U253+U255+U257</f>
        <v>-27087129.259999998</v>
      </c>
      <c r="V258" s="127">
        <f t="shared" ref="V258:AG258" ca="1" si="140">V225+V227+V229+V231+V233+V235+V237+V239+V241+V243+V245+V247+V249+V251+V253+V255+V257</f>
        <v>0</v>
      </c>
      <c r="W258" s="127">
        <f t="shared" ca="1" si="140"/>
        <v>0</v>
      </c>
      <c r="X258" s="127">
        <f t="shared" ca="1" si="140"/>
        <v>0</v>
      </c>
      <c r="Y258" s="127">
        <f t="shared" ca="1" si="140"/>
        <v>0</v>
      </c>
      <c r="Z258" s="127">
        <f t="shared" ca="1" si="140"/>
        <v>0</v>
      </c>
      <c r="AA258" s="127">
        <f t="shared" ca="1" si="140"/>
        <v>0</v>
      </c>
      <c r="AB258" s="127">
        <f t="shared" ca="1" si="140"/>
        <v>0</v>
      </c>
      <c r="AC258" s="127">
        <f t="shared" ca="1" si="140"/>
        <v>0</v>
      </c>
      <c r="AD258" s="127">
        <f t="shared" ca="1" si="140"/>
        <v>0</v>
      </c>
      <c r="AE258" s="127">
        <f t="shared" ca="1" si="140"/>
        <v>0</v>
      </c>
      <c r="AF258" s="127">
        <f t="shared" ca="1" si="140"/>
        <v>0</v>
      </c>
      <c r="AG258" s="127">
        <f t="shared" ca="1" si="140"/>
        <v>0</v>
      </c>
      <c r="AH258" s="127">
        <f ca="1">AH225+AH227+AH229+AH231+AH233+AH235+AH237+AH239+AH241+AH243+AH245+AH247+AH249+AH251+AH253+AH255+AH257</f>
        <v>0</v>
      </c>
      <c r="AI258" s="127">
        <f t="shared" ref="AI258:AT258" ca="1" si="141">AI225+AI227+AI229+AI231+AI233+AI235+AI237+AI239+AI241+AI243+AI245+AI247+AI249+AI251+AI253+AI255+AI257</f>
        <v>0</v>
      </c>
      <c r="AJ258" s="127">
        <f t="shared" ca="1" si="141"/>
        <v>0</v>
      </c>
      <c r="AK258" s="127">
        <f t="shared" ca="1" si="141"/>
        <v>0</v>
      </c>
      <c r="AL258" s="127">
        <f t="shared" ca="1" si="141"/>
        <v>0</v>
      </c>
      <c r="AM258" s="127">
        <f t="shared" ca="1" si="141"/>
        <v>0</v>
      </c>
      <c r="AN258" s="127">
        <f t="shared" ca="1" si="141"/>
        <v>0</v>
      </c>
      <c r="AO258" s="127">
        <f t="shared" ca="1" si="141"/>
        <v>0</v>
      </c>
      <c r="AP258" s="127">
        <f t="shared" ca="1" si="141"/>
        <v>0</v>
      </c>
      <c r="AQ258" s="127">
        <f t="shared" ca="1" si="141"/>
        <v>0</v>
      </c>
      <c r="AR258" s="127">
        <f t="shared" ca="1" si="141"/>
        <v>0</v>
      </c>
      <c r="AS258" s="127">
        <f t="shared" ca="1" si="141"/>
        <v>0</v>
      </c>
      <c r="AT258" s="127">
        <f t="shared" ca="1" si="141"/>
        <v>0</v>
      </c>
      <c r="AU258" s="127">
        <f ca="1">AU225+AU227+AU229+AU231+AU233+AU235+AU237+AU239+AU241+AU243+AU245+AU247+AU249+AU251+AU253+AU255+AU257</f>
        <v>0</v>
      </c>
    </row>
    <row r="259" spans="1:47" ht="15.75" hidden="1" customHeight="1" outlineLevel="1">
      <c r="A259" s="1" t="s">
        <v>313</v>
      </c>
      <c r="C259" s="141"/>
      <c r="E259" s="9" t="str">
        <f ca="1">_xll.DBRW(Server&amp;"}ElementAttributes_Indicator",A259,"code_English")</f>
        <v>PL0000_OO - Other operating rev. &amp; exp.</v>
      </c>
      <c r="F259" s="31">
        <f ca="1">_xll.DBRW($C$1,$C$2,$C$3,$C$4,$C$6,$C$5,$C$7,F$1,F$2,$A259)</f>
        <v>-51346.86</v>
      </c>
      <c r="G259" s="31">
        <f ca="1">_xll.DBRW($C$1,$C$2,$C$3,$C$4,$C$6,$C$5,$C$7,G$1,G$2,$A259)</f>
        <v>0</v>
      </c>
      <c r="H259" s="31">
        <f ca="1">_xll.DBRW($C$1,$C$2,$C$3,$C$4,$C$6,$C$5,$C$7,H$1,H$2,$A259)</f>
        <v>0</v>
      </c>
      <c r="I259" s="31">
        <f ca="1">_xll.DBRW($C$1,$C$2,$C$3,$C$4,$C$6,$C$5,$C$7,I$1,I$2,$A259)</f>
        <v>0</v>
      </c>
      <c r="J259" s="31">
        <f ca="1">_xll.DBRW($C$1,$C$2,$C$3,$C$4,$C$6,$C$5,$C$7,J$1,J$2,$A259)</f>
        <v>0</v>
      </c>
      <c r="K259" s="31">
        <f ca="1">_xll.DBRW($C$1,$C$2,$C$3,$C$4,$C$6,$C$5,$C$7,K$1,K$2,$A259)</f>
        <v>0</v>
      </c>
      <c r="L259" s="31">
        <f ca="1">_xll.DBRW($C$1,$C$2,$C$3,$C$4,$C$6,$C$5,$C$7,L$1,L$2,$A259)</f>
        <v>0</v>
      </c>
      <c r="M259" s="31">
        <f ca="1">_xll.DBRW($C$1,$C$2,$C$3,$C$4,$C$6,$C$5,$C$7,M$1,M$2,$A259)</f>
        <v>0</v>
      </c>
      <c r="N259" s="31">
        <f ca="1">_xll.DBRW($C$1,$C$2,$C$3,$C$4,$C$6,$C$5,$C$7,N$1,N$2,$A259)</f>
        <v>0</v>
      </c>
      <c r="O259" s="31">
        <f ca="1">_xll.DBRW($C$1,$C$2,$C$3,$C$4,$C$6,$C$5,$C$7,O$1,O$2,$A259)</f>
        <v>0</v>
      </c>
      <c r="P259" s="31">
        <f ca="1">_xll.DBRW($C$1,$C$2,$C$3,$C$4,$C$6,$C$5,$C$7,P$1,P$2,$A259)</f>
        <v>0</v>
      </c>
      <c r="Q259" s="31">
        <f ca="1">_xll.DBRW($C$1,$C$2,$C$3,$C$4,$C$6,$C$5,$C$7,Q$1,Q$2,$A259)</f>
        <v>0</v>
      </c>
      <c r="R259" s="31">
        <f ca="1">_xll.DBRW($C$1,$C$2,$C$3,$C$4,$C$6,$C$5,$C$7,R$1,R$2,$A259)</f>
        <v>0</v>
      </c>
      <c r="S259" s="31">
        <f ca="1">_xll.DBRW($C$1,$C$2,$C$3,$C$4,$C$6,$C$5,$C$7,S$1,S$2,$A259)</f>
        <v>0</v>
      </c>
      <c r="T259" s="31">
        <f ca="1">_xll.DBRW($C$1,$C$2,$C$3,$C$4,$C$6,$C$5,$C$7,T$1,T$2,$A259)</f>
        <v>0</v>
      </c>
      <c r="U259" s="31">
        <f ca="1">_xll.DBRW($C$1,$C$2,$C$3,$C$4,$C$6,$C$5,$C$7,U$1,U$2,$A259)</f>
        <v>0</v>
      </c>
      <c r="V259" s="31">
        <f ca="1">_xll.DBRW($C$1,$C$2,$C$3,$C$4,$C$6,$C$5,$C$7,V$1,V$2,$A259)</f>
        <v>0</v>
      </c>
      <c r="W259" s="31">
        <f ca="1">_xll.DBRW($C$1,$C$2,$C$3,$C$4,$C$6,$C$5,$C$7,W$1,W$2,$A259)</f>
        <v>0</v>
      </c>
      <c r="X259" s="31">
        <f ca="1">_xll.DBRW($C$1,$C$2,$C$3,$C$4,$C$6,$C$5,$C$7,X$1,X$2,$A259)</f>
        <v>0</v>
      </c>
      <c r="Y259" s="31">
        <f ca="1">_xll.DBRW($C$1,$C$2,$C$3,$C$4,$C$6,$C$5,$C$7,Y$1,Y$2,$A259)</f>
        <v>0</v>
      </c>
      <c r="Z259" s="31">
        <f ca="1">_xll.DBRW($C$1,$C$2,$C$3,$C$4,$C$6,$C$5,$C$7,Z$1,Z$2,$A259)</f>
        <v>0</v>
      </c>
      <c r="AA259" s="31">
        <f ca="1">_xll.DBRW($C$1,$C$2,$C$3,$C$4,$C$6,$C$5,$C$7,AA$1,AA$2,$A259)</f>
        <v>0</v>
      </c>
      <c r="AB259" s="31">
        <f ca="1">_xll.DBRW($C$1,$C$2,$C$3,$C$4,$C$6,$C$5,$C$7,AB$1,AB$2,$A259)</f>
        <v>0</v>
      </c>
      <c r="AC259" s="31">
        <f ca="1">_xll.DBRW($C$1,$C$2,$C$3,$C$4,$C$6,$C$5,$C$7,AC$1,AC$2,$A259)</f>
        <v>0</v>
      </c>
      <c r="AD259" s="31">
        <f ca="1">_xll.DBRW($C$1,$C$2,$C$3,$C$4,$C$6,$C$5,$C$7,AD$1,AD$2,$A259)</f>
        <v>0</v>
      </c>
      <c r="AE259" s="31">
        <f ca="1">_xll.DBRW($C$1,$C$2,$C$3,$C$4,$C$6,$C$5,$C$7,AE$1,AE$2,$A259)</f>
        <v>0</v>
      </c>
      <c r="AF259" s="31">
        <f ca="1">_xll.DBRW($C$1,$C$2,$C$3,$C$4,$C$6,$C$5,$C$7,AF$1,AF$2,$A259)</f>
        <v>0</v>
      </c>
      <c r="AG259" s="31">
        <f ca="1">_xll.DBRW($C$1,$C$2,$C$3,$C$4,$C$6,$C$5,$C$7,AG$1,AG$2,$A259)</f>
        <v>0</v>
      </c>
      <c r="AH259" s="31">
        <f ca="1">_xll.DBRW($C$1,$C$2,$C$3,$C$4,$C$6,$C$5,$C$7,AH$1,AH$2,$A259)</f>
        <v>0</v>
      </c>
      <c r="AI259" s="31">
        <f ca="1">_xll.DBRW($C$1,$C$2,$C$3,$C$4,$C$6,$C$5,$C$7,AI$1,AI$2,$A259)</f>
        <v>0</v>
      </c>
      <c r="AJ259" s="31">
        <f ca="1">_xll.DBRW($C$1,$C$2,$C$3,$C$4,$C$6,$C$5,$C$7,AJ$1,AJ$2,$A259)</f>
        <v>0</v>
      </c>
      <c r="AK259" s="31">
        <f ca="1">_xll.DBRW($C$1,$C$2,$C$3,$C$4,$C$6,$C$5,$C$7,AK$1,AK$2,$A259)</f>
        <v>0</v>
      </c>
      <c r="AL259" s="31">
        <f ca="1">_xll.DBRW($C$1,$C$2,$C$3,$C$4,$C$6,$C$5,$C$7,AL$1,AL$2,$A259)</f>
        <v>0</v>
      </c>
      <c r="AM259" s="31">
        <f ca="1">_xll.DBRW($C$1,$C$2,$C$3,$C$4,$C$6,$C$5,$C$7,AM$1,AM$2,$A259)</f>
        <v>0</v>
      </c>
      <c r="AN259" s="31">
        <f ca="1">_xll.DBRW($C$1,$C$2,$C$3,$C$4,$C$6,$C$5,$C$7,AN$1,AN$2,$A259)</f>
        <v>0</v>
      </c>
      <c r="AO259" s="31">
        <f ca="1">_xll.DBRW($C$1,$C$2,$C$3,$C$4,$C$6,$C$5,$C$7,AO$1,AO$2,$A259)</f>
        <v>0</v>
      </c>
      <c r="AP259" s="31">
        <f ca="1">_xll.DBRW($C$1,$C$2,$C$3,$C$4,$C$6,$C$5,$C$7,AP$1,AP$2,$A259)</f>
        <v>0</v>
      </c>
      <c r="AQ259" s="31">
        <f ca="1">_xll.DBRW($C$1,$C$2,$C$3,$C$4,$C$6,$C$5,$C$7,AQ$1,AQ$2,$A259)</f>
        <v>0</v>
      </c>
      <c r="AR259" s="31">
        <f ca="1">_xll.DBRW($C$1,$C$2,$C$3,$C$4,$C$6,$C$5,$C$7,AR$1,AR$2,$A259)</f>
        <v>0</v>
      </c>
      <c r="AS259" s="31">
        <f ca="1">_xll.DBRW($C$1,$C$2,$C$3,$C$4,$C$6,$C$5,$C$7,AS$1,AS$2,$A259)</f>
        <v>0</v>
      </c>
      <c r="AT259" s="31">
        <f ca="1">_xll.DBRW($C$1,$C$2,$C$3,$C$4,$C$6,$C$5,$C$7,AT$1,AT$2,$A259)</f>
        <v>0</v>
      </c>
      <c r="AU259" s="31">
        <f ca="1">_xll.DBRW($C$1,$C$2,$C$3,$C$4,$C$6,$C$5,$C$7,AU$1,AU$2,$A259)</f>
        <v>0</v>
      </c>
    </row>
    <row r="260" spans="1:47" ht="15.75" hidden="1" customHeight="1" outlineLevel="1">
      <c r="A260" s="1" t="s">
        <v>314</v>
      </c>
      <c r="C260" s="141"/>
      <c r="E260" s="9" t="str">
        <f ca="1">_xll.DBRW(Server&amp;"}ElementAttributes_Indicator",A260,"code_English")</f>
        <v>PL0000_TPL14 - Other operating rev. &amp; exp. - Vector Reconciliation</v>
      </c>
      <c r="F260" s="31">
        <f ca="1">_xll.DBRW($C$1,$C$2,$C$3,$C$4,$C$6,$C$5,$C$7,F$1,F$2,$A260)</f>
        <v>0</v>
      </c>
      <c r="G260" s="31">
        <f ca="1">_xll.DBRW($C$1,$C$2,$C$3,$C$4,$C$6,$C$5,$C$7,G$1,G$2,$A260)</f>
        <v>0</v>
      </c>
      <c r="H260" s="31">
        <f ca="1">_xll.DBRW($C$1,$C$2,$C$3,$C$4,$C$6,$C$5,$C$7,H$1,H$2,$A260)</f>
        <v>0</v>
      </c>
      <c r="I260" s="31">
        <f ca="1">_xll.DBRW($C$1,$C$2,$C$3,$C$4,$C$6,$C$5,$C$7,I$1,I$2,$A260)</f>
        <v>0</v>
      </c>
      <c r="J260" s="31">
        <f ca="1">_xll.DBRW($C$1,$C$2,$C$3,$C$4,$C$6,$C$5,$C$7,J$1,J$2,$A260)</f>
        <v>0</v>
      </c>
      <c r="K260" s="31">
        <f ca="1">_xll.DBRW($C$1,$C$2,$C$3,$C$4,$C$6,$C$5,$C$7,K$1,K$2,$A260)</f>
        <v>0</v>
      </c>
      <c r="L260" s="31">
        <f ca="1">_xll.DBRW($C$1,$C$2,$C$3,$C$4,$C$6,$C$5,$C$7,L$1,L$2,$A260)</f>
        <v>0</v>
      </c>
      <c r="M260" s="31">
        <f ca="1">_xll.DBRW($C$1,$C$2,$C$3,$C$4,$C$6,$C$5,$C$7,M$1,M$2,$A260)</f>
        <v>0</v>
      </c>
      <c r="N260" s="31">
        <f ca="1">_xll.DBRW($C$1,$C$2,$C$3,$C$4,$C$6,$C$5,$C$7,N$1,N$2,$A260)</f>
        <v>0</v>
      </c>
      <c r="O260" s="31">
        <f ca="1">_xll.DBRW($C$1,$C$2,$C$3,$C$4,$C$6,$C$5,$C$7,O$1,O$2,$A260)</f>
        <v>0</v>
      </c>
      <c r="P260" s="31">
        <f ca="1">_xll.DBRW($C$1,$C$2,$C$3,$C$4,$C$6,$C$5,$C$7,P$1,P$2,$A260)</f>
        <v>0</v>
      </c>
      <c r="Q260" s="31">
        <f ca="1">_xll.DBRW($C$1,$C$2,$C$3,$C$4,$C$6,$C$5,$C$7,Q$1,Q$2,$A260)</f>
        <v>0</v>
      </c>
      <c r="R260" s="31">
        <f ca="1">_xll.DBRW($C$1,$C$2,$C$3,$C$4,$C$6,$C$5,$C$7,R$1,R$2,$A260)</f>
        <v>0</v>
      </c>
      <c r="S260" s="31">
        <f ca="1">_xll.DBRW($C$1,$C$2,$C$3,$C$4,$C$6,$C$5,$C$7,S$1,S$2,$A260)</f>
        <v>0</v>
      </c>
      <c r="T260" s="31">
        <f ca="1">_xll.DBRW($C$1,$C$2,$C$3,$C$4,$C$6,$C$5,$C$7,T$1,T$2,$A260)</f>
        <v>0</v>
      </c>
      <c r="U260" s="31">
        <f ca="1">_xll.DBRW($C$1,$C$2,$C$3,$C$4,$C$6,$C$5,$C$7,U$1,U$2,$A260)</f>
        <v>0</v>
      </c>
      <c r="V260" s="31">
        <f ca="1">_xll.DBRW($C$1,$C$2,$C$3,$C$4,$C$6,$C$5,$C$7,V$1,V$2,$A260)</f>
        <v>0</v>
      </c>
      <c r="W260" s="31">
        <f ca="1">_xll.DBRW($C$1,$C$2,$C$3,$C$4,$C$6,$C$5,$C$7,W$1,W$2,$A260)</f>
        <v>0</v>
      </c>
      <c r="X260" s="31">
        <f ca="1">_xll.DBRW($C$1,$C$2,$C$3,$C$4,$C$6,$C$5,$C$7,X$1,X$2,$A260)</f>
        <v>0</v>
      </c>
      <c r="Y260" s="31">
        <f ca="1">_xll.DBRW($C$1,$C$2,$C$3,$C$4,$C$6,$C$5,$C$7,Y$1,Y$2,$A260)</f>
        <v>0</v>
      </c>
      <c r="Z260" s="31">
        <f ca="1">_xll.DBRW($C$1,$C$2,$C$3,$C$4,$C$6,$C$5,$C$7,Z$1,Z$2,$A260)</f>
        <v>0</v>
      </c>
      <c r="AA260" s="31">
        <f ca="1">_xll.DBRW($C$1,$C$2,$C$3,$C$4,$C$6,$C$5,$C$7,AA$1,AA$2,$A260)</f>
        <v>0</v>
      </c>
      <c r="AB260" s="31">
        <f ca="1">_xll.DBRW($C$1,$C$2,$C$3,$C$4,$C$6,$C$5,$C$7,AB$1,AB$2,$A260)</f>
        <v>0</v>
      </c>
      <c r="AC260" s="31">
        <f ca="1">_xll.DBRW($C$1,$C$2,$C$3,$C$4,$C$6,$C$5,$C$7,AC$1,AC$2,$A260)</f>
        <v>0</v>
      </c>
      <c r="AD260" s="31">
        <f ca="1">_xll.DBRW($C$1,$C$2,$C$3,$C$4,$C$6,$C$5,$C$7,AD$1,AD$2,$A260)</f>
        <v>0</v>
      </c>
      <c r="AE260" s="31">
        <f ca="1">_xll.DBRW($C$1,$C$2,$C$3,$C$4,$C$6,$C$5,$C$7,AE$1,AE$2,$A260)</f>
        <v>0</v>
      </c>
      <c r="AF260" s="31">
        <f ca="1">_xll.DBRW($C$1,$C$2,$C$3,$C$4,$C$6,$C$5,$C$7,AF$1,AF$2,$A260)</f>
        <v>0</v>
      </c>
      <c r="AG260" s="31">
        <f ca="1">_xll.DBRW($C$1,$C$2,$C$3,$C$4,$C$6,$C$5,$C$7,AG$1,AG$2,$A260)</f>
        <v>0</v>
      </c>
      <c r="AH260" s="31">
        <f ca="1">_xll.DBRW($C$1,$C$2,$C$3,$C$4,$C$6,$C$5,$C$7,AH$1,AH$2,$A260)</f>
        <v>0</v>
      </c>
      <c r="AI260" s="31">
        <f ca="1">_xll.DBRW($C$1,$C$2,$C$3,$C$4,$C$6,$C$5,$C$7,AI$1,AI$2,$A260)</f>
        <v>0</v>
      </c>
      <c r="AJ260" s="31">
        <f ca="1">_xll.DBRW($C$1,$C$2,$C$3,$C$4,$C$6,$C$5,$C$7,AJ$1,AJ$2,$A260)</f>
        <v>0</v>
      </c>
      <c r="AK260" s="31">
        <f ca="1">_xll.DBRW($C$1,$C$2,$C$3,$C$4,$C$6,$C$5,$C$7,AK$1,AK$2,$A260)</f>
        <v>0</v>
      </c>
      <c r="AL260" s="31">
        <f ca="1">_xll.DBRW($C$1,$C$2,$C$3,$C$4,$C$6,$C$5,$C$7,AL$1,AL$2,$A260)</f>
        <v>0</v>
      </c>
      <c r="AM260" s="31">
        <f ca="1">_xll.DBRW($C$1,$C$2,$C$3,$C$4,$C$6,$C$5,$C$7,AM$1,AM$2,$A260)</f>
        <v>0</v>
      </c>
      <c r="AN260" s="31">
        <f ca="1">_xll.DBRW($C$1,$C$2,$C$3,$C$4,$C$6,$C$5,$C$7,AN$1,AN$2,$A260)</f>
        <v>0</v>
      </c>
      <c r="AO260" s="31">
        <f ca="1">_xll.DBRW($C$1,$C$2,$C$3,$C$4,$C$6,$C$5,$C$7,AO$1,AO$2,$A260)</f>
        <v>0</v>
      </c>
      <c r="AP260" s="31">
        <f ca="1">_xll.DBRW($C$1,$C$2,$C$3,$C$4,$C$6,$C$5,$C$7,AP$1,AP$2,$A260)</f>
        <v>0</v>
      </c>
      <c r="AQ260" s="31">
        <f ca="1">_xll.DBRW($C$1,$C$2,$C$3,$C$4,$C$6,$C$5,$C$7,AQ$1,AQ$2,$A260)</f>
        <v>0</v>
      </c>
      <c r="AR260" s="31">
        <f ca="1">_xll.DBRW($C$1,$C$2,$C$3,$C$4,$C$6,$C$5,$C$7,AR$1,AR$2,$A260)</f>
        <v>0</v>
      </c>
      <c r="AS260" s="31">
        <f ca="1">_xll.DBRW($C$1,$C$2,$C$3,$C$4,$C$6,$C$5,$C$7,AS$1,AS$2,$A260)</f>
        <v>0</v>
      </c>
      <c r="AT260" s="31">
        <f ca="1">_xll.DBRW($C$1,$C$2,$C$3,$C$4,$C$6,$C$5,$C$7,AT$1,AT$2,$A260)</f>
        <v>0</v>
      </c>
      <c r="AU260" s="31">
        <f ca="1">_xll.DBRW($C$1,$C$2,$C$3,$C$4,$C$6,$C$5,$C$7,AU$1,AU$2,$A260)</f>
        <v>0</v>
      </c>
    </row>
    <row r="261" spans="1:47" ht="15.75" collapsed="1">
      <c r="A261" s="1" t="s">
        <v>127</v>
      </c>
      <c r="C261" s="141"/>
      <c r="E261" s="126" t="s">
        <v>61</v>
      </c>
      <c r="F261" s="127">
        <f t="shared" ref="F261:T261" ca="1" si="142">F259+F260</f>
        <v>-51346.86</v>
      </c>
      <c r="G261" s="127">
        <f t="shared" ca="1" si="142"/>
        <v>0</v>
      </c>
      <c r="H261" s="127">
        <f t="shared" ca="1" si="142"/>
        <v>0</v>
      </c>
      <c r="I261" s="127">
        <f t="shared" ca="1" si="142"/>
        <v>0</v>
      </c>
      <c r="J261" s="127">
        <f t="shared" ca="1" si="142"/>
        <v>0</v>
      </c>
      <c r="K261" s="127">
        <f t="shared" ca="1" si="142"/>
        <v>0</v>
      </c>
      <c r="L261" s="127">
        <f t="shared" ca="1" si="142"/>
        <v>0</v>
      </c>
      <c r="M261" s="127">
        <f t="shared" ca="1" si="142"/>
        <v>0</v>
      </c>
      <c r="N261" s="127">
        <f t="shared" ca="1" si="142"/>
        <v>0</v>
      </c>
      <c r="O261" s="127">
        <f t="shared" ca="1" si="142"/>
        <v>0</v>
      </c>
      <c r="P261" s="127">
        <f t="shared" ca="1" si="142"/>
        <v>0</v>
      </c>
      <c r="Q261" s="127">
        <f t="shared" ca="1" si="142"/>
        <v>0</v>
      </c>
      <c r="R261" s="127">
        <f t="shared" ca="1" si="142"/>
        <v>0</v>
      </c>
      <c r="S261" s="127">
        <f t="shared" ca="1" si="142"/>
        <v>0</v>
      </c>
      <c r="T261" s="127">
        <f t="shared" ca="1" si="142"/>
        <v>0</v>
      </c>
      <c r="U261" s="127">
        <f ca="1">U259+U260</f>
        <v>0</v>
      </c>
      <c r="V261" s="127">
        <f t="shared" ref="V261:AG261" ca="1" si="143">V259+V260</f>
        <v>0</v>
      </c>
      <c r="W261" s="127">
        <f t="shared" ca="1" si="143"/>
        <v>0</v>
      </c>
      <c r="X261" s="127">
        <f t="shared" ca="1" si="143"/>
        <v>0</v>
      </c>
      <c r="Y261" s="127">
        <f t="shared" ca="1" si="143"/>
        <v>0</v>
      </c>
      <c r="Z261" s="127">
        <f t="shared" ca="1" si="143"/>
        <v>0</v>
      </c>
      <c r="AA261" s="127">
        <f t="shared" ca="1" si="143"/>
        <v>0</v>
      </c>
      <c r="AB261" s="127">
        <f t="shared" ca="1" si="143"/>
        <v>0</v>
      </c>
      <c r="AC261" s="127">
        <f t="shared" ca="1" si="143"/>
        <v>0</v>
      </c>
      <c r="AD261" s="127">
        <f t="shared" ca="1" si="143"/>
        <v>0</v>
      </c>
      <c r="AE261" s="127">
        <f t="shared" ca="1" si="143"/>
        <v>0</v>
      </c>
      <c r="AF261" s="127">
        <f t="shared" ca="1" si="143"/>
        <v>0</v>
      </c>
      <c r="AG261" s="127">
        <f t="shared" ca="1" si="143"/>
        <v>0</v>
      </c>
      <c r="AH261" s="127">
        <f ca="1">AH259+AH260</f>
        <v>0</v>
      </c>
      <c r="AI261" s="127">
        <f t="shared" ref="AI261:AT261" ca="1" si="144">AI259+AI260</f>
        <v>0</v>
      </c>
      <c r="AJ261" s="127">
        <f t="shared" ca="1" si="144"/>
        <v>0</v>
      </c>
      <c r="AK261" s="127">
        <f t="shared" ca="1" si="144"/>
        <v>0</v>
      </c>
      <c r="AL261" s="127">
        <f t="shared" ca="1" si="144"/>
        <v>0</v>
      </c>
      <c r="AM261" s="127">
        <f t="shared" ca="1" si="144"/>
        <v>0</v>
      </c>
      <c r="AN261" s="127">
        <f t="shared" ca="1" si="144"/>
        <v>0</v>
      </c>
      <c r="AO261" s="127">
        <f t="shared" ca="1" si="144"/>
        <v>0</v>
      </c>
      <c r="AP261" s="127">
        <f t="shared" ca="1" si="144"/>
        <v>0</v>
      </c>
      <c r="AQ261" s="127">
        <f t="shared" ca="1" si="144"/>
        <v>0</v>
      </c>
      <c r="AR261" s="127">
        <f t="shared" ca="1" si="144"/>
        <v>0</v>
      </c>
      <c r="AS261" s="127">
        <f t="shared" ca="1" si="144"/>
        <v>0</v>
      </c>
      <c r="AT261" s="127">
        <f t="shared" ca="1" si="144"/>
        <v>0</v>
      </c>
      <c r="AU261" s="127">
        <f ca="1">AU259+AU260</f>
        <v>0</v>
      </c>
    </row>
    <row r="262" spans="1:47" ht="15.75" hidden="1" customHeight="1" outlineLevel="1">
      <c r="A262" s="1" t="s">
        <v>315</v>
      </c>
      <c r="C262" s="141"/>
      <c r="E262" s="9" t="str">
        <f ca="1">_xll.DBRW(Server&amp;"}ElementAttributes_Indicator",A262,"code_English")</f>
        <v>PL1500_JV - P&amp;L JV - Share in profit or loss of joint ventures (from 2013)</v>
      </c>
      <c r="F262" s="31">
        <f ca="1">_xll.DBRW($C$1,$C$2,$C$3,$C$4,$C$6,$C$5,$C$7,F$1,F$2,$A262)</f>
        <v>0</v>
      </c>
      <c r="G262" s="31">
        <f ca="1">_xll.DBRW($C$1,$C$2,$C$3,$C$4,$C$6,$C$5,$C$7,G$1,G$2,$A262)</f>
        <v>0</v>
      </c>
      <c r="H262" s="31">
        <f ca="1">_xll.DBRW($C$1,$C$2,$C$3,$C$4,$C$6,$C$5,$C$7,H$1,H$2,$A262)</f>
        <v>0</v>
      </c>
      <c r="I262" s="31">
        <f ca="1">_xll.DBRW($C$1,$C$2,$C$3,$C$4,$C$6,$C$5,$C$7,I$1,I$2,$A262)</f>
        <v>0</v>
      </c>
      <c r="J262" s="31">
        <f ca="1">_xll.DBRW($C$1,$C$2,$C$3,$C$4,$C$6,$C$5,$C$7,J$1,J$2,$A262)</f>
        <v>0</v>
      </c>
      <c r="K262" s="31">
        <f ca="1">_xll.DBRW($C$1,$C$2,$C$3,$C$4,$C$6,$C$5,$C$7,K$1,K$2,$A262)</f>
        <v>0</v>
      </c>
      <c r="L262" s="31">
        <f ca="1">_xll.DBRW($C$1,$C$2,$C$3,$C$4,$C$6,$C$5,$C$7,L$1,L$2,$A262)</f>
        <v>0</v>
      </c>
      <c r="M262" s="31">
        <f ca="1">_xll.DBRW($C$1,$C$2,$C$3,$C$4,$C$6,$C$5,$C$7,M$1,M$2,$A262)</f>
        <v>0</v>
      </c>
      <c r="N262" s="31">
        <f ca="1">_xll.DBRW($C$1,$C$2,$C$3,$C$4,$C$6,$C$5,$C$7,N$1,N$2,$A262)</f>
        <v>0</v>
      </c>
      <c r="O262" s="31">
        <f ca="1">_xll.DBRW($C$1,$C$2,$C$3,$C$4,$C$6,$C$5,$C$7,O$1,O$2,$A262)</f>
        <v>0</v>
      </c>
      <c r="P262" s="31">
        <f ca="1">_xll.DBRW($C$1,$C$2,$C$3,$C$4,$C$6,$C$5,$C$7,P$1,P$2,$A262)</f>
        <v>0</v>
      </c>
      <c r="Q262" s="31">
        <f ca="1">_xll.DBRW($C$1,$C$2,$C$3,$C$4,$C$6,$C$5,$C$7,Q$1,Q$2,$A262)</f>
        <v>0</v>
      </c>
      <c r="R262" s="31">
        <f ca="1">_xll.DBRW($C$1,$C$2,$C$3,$C$4,$C$6,$C$5,$C$7,R$1,R$2,$A262)</f>
        <v>0</v>
      </c>
      <c r="S262" s="31">
        <f ca="1">_xll.DBRW($C$1,$C$2,$C$3,$C$4,$C$6,$C$5,$C$7,S$1,S$2,$A262)</f>
        <v>0</v>
      </c>
      <c r="T262" s="31">
        <f ca="1">_xll.DBRW($C$1,$C$2,$C$3,$C$4,$C$6,$C$5,$C$7,T$1,T$2,$A262)</f>
        <v>0</v>
      </c>
      <c r="U262" s="31">
        <f ca="1">_xll.DBRW($C$1,$C$2,$C$3,$C$4,$C$6,$C$5,$C$7,U$1,U$2,$A262)</f>
        <v>0</v>
      </c>
      <c r="V262" s="31">
        <f ca="1">_xll.DBRW($C$1,$C$2,$C$3,$C$4,$C$6,$C$5,$C$7,V$1,V$2,$A262)</f>
        <v>0</v>
      </c>
      <c r="W262" s="31">
        <f ca="1">_xll.DBRW($C$1,$C$2,$C$3,$C$4,$C$6,$C$5,$C$7,W$1,W$2,$A262)</f>
        <v>0</v>
      </c>
      <c r="X262" s="31">
        <f ca="1">_xll.DBRW($C$1,$C$2,$C$3,$C$4,$C$6,$C$5,$C$7,X$1,X$2,$A262)</f>
        <v>0</v>
      </c>
      <c r="Y262" s="31">
        <f ca="1">_xll.DBRW($C$1,$C$2,$C$3,$C$4,$C$6,$C$5,$C$7,Y$1,Y$2,$A262)</f>
        <v>0</v>
      </c>
      <c r="Z262" s="31">
        <f ca="1">_xll.DBRW($C$1,$C$2,$C$3,$C$4,$C$6,$C$5,$C$7,Z$1,Z$2,$A262)</f>
        <v>0</v>
      </c>
      <c r="AA262" s="31">
        <f ca="1">_xll.DBRW($C$1,$C$2,$C$3,$C$4,$C$6,$C$5,$C$7,AA$1,AA$2,$A262)</f>
        <v>0</v>
      </c>
      <c r="AB262" s="31">
        <f ca="1">_xll.DBRW($C$1,$C$2,$C$3,$C$4,$C$6,$C$5,$C$7,AB$1,AB$2,$A262)</f>
        <v>0</v>
      </c>
      <c r="AC262" s="31">
        <f ca="1">_xll.DBRW($C$1,$C$2,$C$3,$C$4,$C$6,$C$5,$C$7,AC$1,AC$2,$A262)</f>
        <v>0</v>
      </c>
      <c r="AD262" s="31">
        <f ca="1">_xll.DBRW($C$1,$C$2,$C$3,$C$4,$C$6,$C$5,$C$7,AD$1,AD$2,$A262)</f>
        <v>0</v>
      </c>
      <c r="AE262" s="31">
        <f ca="1">_xll.DBRW($C$1,$C$2,$C$3,$C$4,$C$6,$C$5,$C$7,AE$1,AE$2,$A262)</f>
        <v>0</v>
      </c>
      <c r="AF262" s="31">
        <f ca="1">_xll.DBRW($C$1,$C$2,$C$3,$C$4,$C$6,$C$5,$C$7,AF$1,AF$2,$A262)</f>
        <v>0</v>
      </c>
      <c r="AG262" s="31">
        <f ca="1">_xll.DBRW($C$1,$C$2,$C$3,$C$4,$C$6,$C$5,$C$7,AG$1,AG$2,$A262)</f>
        <v>0</v>
      </c>
      <c r="AH262" s="31">
        <f ca="1">_xll.DBRW($C$1,$C$2,$C$3,$C$4,$C$6,$C$5,$C$7,AH$1,AH$2,$A262)</f>
        <v>0</v>
      </c>
      <c r="AI262" s="31">
        <f ca="1">_xll.DBRW($C$1,$C$2,$C$3,$C$4,$C$6,$C$5,$C$7,AI$1,AI$2,$A262)</f>
        <v>0</v>
      </c>
      <c r="AJ262" s="31">
        <f ca="1">_xll.DBRW($C$1,$C$2,$C$3,$C$4,$C$6,$C$5,$C$7,AJ$1,AJ$2,$A262)</f>
        <v>0</v>
      </c>
      <c r="AK262" s="31">
        <f ca="1">_xll.DBRW($C$1,$C$2,$C$3,$C$4,$C$6,$C$5,$C$7,AK$1,AK$2,$A262)</f>
        <v>0</v>
      </c>
      <c r="AL262" s="31">
        <f ca="1">_xll.DBRW($C$1,$C$2,$C$3,$C$4,$C$6,$C$5,$C$7,AL$1,AL$2,$A262)</f>
        <v>0</v>
      </c>
      <c r="AM262" s="31">
        <f ca="1">_xll.DBRW($C$1,$C$2,$C$3,$C$4,$C$6,$C$5,$C$7,AM$1,AM$2,$A262)</f>
        <v>0</v>
      </c>
      <c r="AN262" s="31">
        <f ca="1">_xll.DBRW($C$1,$C$2,$C$3,$C$4,$C$6,$C$5,$C$7,AN$1,AN$2,$A262)</f>
        <v>0</v>
      </c>
      <c r="AO262" s="31">
        <f ca="1">_xll.DBRW($C$1,$C$2,$C$3,$C$4,$C$6,$C$5,$C$7,AO$1,AO$2,$A262)</f>
        <v>0</v>
      </c>
      <c r="AP262" s="31">
        <f ca="1">_xll.DBRW($C$1,$C$2,$C$3,$C$4,$C$6,$C$5,$C$7,AP$1,AP$2,$A262)</f>
        <v>0</v>
      </c>
      <c r="AQ262" s="31">
        <f ca="1">_xll.DBRW($C$1,$C$2,$C$3,$C$4,$C$6,$C$5,$C$7,AQ$1,AQ$2,$A262)</f>
        <v>0</v>
      </c>
      <c r="AR262" s="31">
        <f ca="1">_xll.DBRW($C$1,$C$2,$C$3,$C$4,$C$6,$C$5,$C$7,AR$1,AR$2,$A262)</f>
        <v>0</v>
      </c>
      <c r="AS262" s="31">
        <f ca="1">_xll.DBRW($C$1,$C$2,$C$3,$C$4,$C$6,$C$5,$C$7,AS$1,AS$2,$A262)</f>
        <v>0</v>
      </c>
      <c r="AT262" s="31">
        <f ca="1">_xll.DBRW($C$1,$C$2,$C$3,$C$4,$C$6,$C$5,$C$7,AT$1,AT$2,$A262)</f>
        <v>0</v>
      </c>
      <c r="AU262" s="31">
        <f ca="1">_xll.DBRW($C$1,$C$2,$C$3,$C$4,$C$6,$C$5,$C$7,AU$1,AU$2,$A262)</f>
        <v>0</v>
      </c>
    </row>
    <row r="263" spans="1:47" ht="15.75" hidden="1" customHeight="1" outlineLevel="1">
      <c r="A263" s="1" t="s">
        <v>316</v>
      </c>
      <c r="C263" s="141"/>
      <c r="E263" s="9" t="str">
        <f ca="1">_xll.DBRW(Server&amp;"}ElementAttributes_Indicator",A263,"code_English")</f>
        <v>PL1500_XX - Vector Reconciliation (TPL15) - Share in profit or loss of joint ventures (from 2013)</v>
      </c>
      <c r="F263" s="31">
        <f ca="1">_xll.DBRW($C$1,$C$2,$C$3,$C$4,$C$6,$C$5,$C$7,F$1,F$2,$A263)</f>
        <v>0</v>
      </c>
      <c r="G263" s="31">
        <f ca="1">_xll.DBRW($C$1,$C$2,$C$3,$C$4,$C$6,$C$5,$C$7,G$1,G$2,$A263)</f>
        <v>0</v>
      </c>
      <c r="H263" s="31">
        <f ca="1">_xll.DBRW($C$1,$C$2,$C$3,$C$4,$C$6,$C$5,$C$7,H$1,H$2,$A263)</f>
        <v>0</v>
      </c>
      <c r="I263" s="31">
        <f ca="1">_xll.DBRW($C$1,$C$2,$C$3,$C$4,$C$6,$C$5,$C$7,I$1,I$2,$A263)</f>
        <v>0</v>
      </c>
      <c r="J263" s="31">
        <f ca="1">_xll.DBRW($C$1,$C$2,$C$3,$C$4,$C$6,$C$5,$C$7,J$1,J$2,$A263)</f>
        <v>0</v>
      </c>
      <c r="K263" s="31">
        <f ca="1">_xll.DBRW($C$1,$C$2,$C$3,$C$4,$C$6,$C$5,$C$7,K$1,K$2,$A263)</f>
        <v>0</v>
      </c>
      <c r="L263" s="31">
        <f ca="1">_xll.DBRW($C$1,$C$2,$C$3,$C$4,$C$6,$C$5,$C$7,L$1,L$2,$A263)</f>
        <v>0</v>
      </c>
      <c r="M263" s="31">
        <f ca="1">_xll.DBRW($C$1,$C$2,$C$3,$C$4,$C$6,$C$5,$C$7,M$1,M$2,$A263)</f>
        <v>0</v>
      </c>
      <c r="N263" s="31">
        <f ca="1">_xll.DBRW($C$1,$C$2,$C$3,$C$4,$C$6,$C$5,$C$7,N$1,N$2,$A263)</f>
        <v>0</v>
      </c>
      <c r="O263" s="31">
        <f ca="1">_xll.DBRW($C$1,$C$2,$C$3,$C$4,$C$6,$C$5,$C$7,O$1,O$2,$A263)</f>
        <v>0</v>
      </c>
      <c r="P263" s="31">
        <f ca="1">_xll.DBRW($C$1,$C$2,$C$3,$C$4,$C$6,$C$5,$C$7,P$1,P$2,$A263)</f>
        <v>0</v>
      </c>
      <c r="Q263" s="31">
        <f ca="1">_xll.DBRW($C$1,$C$2,$C$3,$C$4,$C$6,$C$5,$C$7,Q$1,Q$2,$A263)</f>
        <v>0</v>
      </c>
      <c r="R263" s="31">
        <f ca="1">_xll.DBRW($C$1,$C$2,$C$3,$C$4,$C$6,$C$5,$C$7,R$1,R$2,$A263)</f>
        <v>0</v>
      </c>
      <c r="S263" s="31">
        <f ca="1">_xll.DBRW($C$1,$C$2,$C$3,$C$4,$C$6,$C$5,$C$7,S$1,S$2,$A263)</f>
        <v>0</v>
      </c>
      <c r="T263" s="31">
        <f ca="1">_xll.DBRW($C$1,$C$2,$C$3,$C$4,$C$6,$C$5,$C$7,T$1,T$2,$A263)</f>
        <v>0</v>
      </c>
      <c r="U263" s="31">
        <f ca="1">_xll.DBRW($C$1,$C$2,$C$3,$C$4,$C$6,$C$5,$C$7,U$1,U$2,$A263)</f>
        <v>0</v>
      </c>
      <c r="V263" s="31">
        <f ca="1">_xll.DBRW($C$1,$C$2,$C$3,$C$4,$C$6,$C$5,$C$7,V$1,V$2,$A263)</f>
        <v>0</v>
      </c>
      <c r="W263" s="31">
        <f ca="1">_xll.DBRW($C$1,$C$2,$C$3,$C$4,$C$6,$C$5,$C$7,W$1,W$2,$A263)</f>
        <v>0</v>
      </c>
      <c r="X263" s="31">
        <f ca="1">_xll.DBRW($C$1,$C$2,$C$3,$C$4,$C$6,$C$5,$C$7,X$1,X$2,$A263)</f>
        <v>0</v>
      </c>
      <c r="Y263" s="31">
        <f ca="1">_xll.DBRW($C$1,$C$2,$C$3,$C$4,$C$6,$C$5,$C$7,Y$1,Y$2,$A263)</f>
        <v>0</v>
      </c>
      <c r="Z263" s="31">
        <f ca="1">_xll.DBRW($C$1,$C$2,$C$3,$C$4,$C$6,$C$5,$C$7,Z$1,Z$2,$A263)</f>
        <v>0</v>
      </c>
      <c r="AA263" s="31">
        <f ca="1">_xll.DBRW($C$1,$C$2,$C$3,$C$4,$C$6,$C$5,$C$7,AA$1,AA$2,$A263)</f>
        <v>0</v>
      </c>
      <c r="AB263" s="31">
        <f ca="1">_xll.DBRW($C$1,$C$2,$C$3,$C$4,$C$6,$C$5,$C$7,AB$1,AB$2,$A263)</f>
        <v>0</v>
      </c>
      <c r="AC263" s="31">
        <f ca="1">_xll.DBRW($C$1,$C$2,$C$3,$C$4,$C$6,$C$5,$C$7,AC$1,AC$2,$A263)</f>
        <v>0</v>
      </c>
      <c r="AD263" s="31">
        <f ca="1">_xll.DBRW($C$1,$C$2,$C$3,$C$4,$C$6,$C$5,$C$7,AD$1,AD$2,$A263)</f>
        <v>0</v>
      </c>
      <c r="AE263" s="31">
        <f ca="1">_xll.DBRW($C$1,$C$2,$C$3,$C$4,$C$6,$C$5,$C$7,AE$1,AE$2,$A263)</f>
        <v>0</v>
      </c>
      <c r="AF263" s="31">
        <f ca="1">_xll.DBRW($C$1,$C$2,$C$3,$C$4,$C$6,$C$5,$C$7,AF$1,AF$2,$A263)</f>
        <v>0</v>
      </c>
      <c r="AG263" s="31">
        <f ca="1">_xll.DBRW($C$1,$C$2,$C$3,$C$4,$C$6,$C$5,$C$7,AG$1,AG$2,$A263)</f>
        <v>0</v>
      </c>
      <c r="AH263" s="31">
        <f ca="1">_xll.DBRW($C$1,$C$2,$C$3,$C$4,$C$6,$C$5,$C$7,AH$1,AH$2,$A263)</f>
        <v>0</v>
      </c>
      <c r="AI263" s="31">
        <f ca="1">_xll.DBRW($C$1,$C$2,$C$3,$C$4,$C$6,$C$5,$C$7,AI$1,AI$2,$A263)</f>
        <v>0</v>
      </c>
      <c r="AJ263" s="31">
        <f ca="1">_xll.DBRW($C$1,$C$2,$C$3,$C$4,$C$6,$C$5,$C$7,AJ$1,AJ$2,$A263)</f>
        <v>0</v>
      </c>
      <c r="AK263" s="31">
        <f ca="1">_xll.DBRW($C$1,$C$2,$C$3,$C$4,$C$6,$C$5,$C$7,AK$1,AK$2,$A263)</f>
        <v>0</v>
      </c>
      <c r="AL263" s="31">
        <f ca="1">_xll.DBRW($C$1,$C$2,$C$3,$C$4,$C$6,$C$5,$C$7,AL$1,AL$2,$A263)</f>
        <v>0</v>
      </c>
      <c r="AM263" s="31">
        <f ca="1">_xll.DBRW($C$1,$C$2,$C$3,$C$4,$C$6,$C$5,$C$7,AM$1,AM$2,$A263)</f>
        <v>0</v>
      </c>
      <c r="AN263" s="31">
        <f ca="1">_xll.DBRW($C$1,$C$2,$C$3,$C$4,$C$6,$C$5,$C$7,AN$1,AN$2,$A263)</f>
        <v>0</v>
      </c>
      <c r="AO263" s="31">
        <f ca="1">_xll.DBRW($C$1,$C$2,$C$3,$C$4,$C$6,$C$5,$C$7,AO$1,AO$2,$A263)</f>
        <v>0</v>
      </c>
      <c r="AP263" s="31">
        <f ca="1">_xll.DBRW($C$1,$C$2,$C$3,$C$4,$C$6,$C$5,$C$7,AP$1,AP$2,$A263)</f>
        <v>0</v>
      </c>
      <c r="AQ263" s="31">
        <f ca="1">_xll.DBRW($C$1,$C$2,$C$3,$C$4,$C$6,$C$5,$C$7,AQ$1,AQ$2,$A263)</f>
        <v>0</v>
      </c>
      <c r="AR263" s="31">
        <f ca="1">_xll.DBRW($C$1,$C$2,$C$3,$C$4,$C$6,$C$5,$C$7,AR$1,AR$2,$A263)</f>
        <v>0</v>
      </c>
      <c r="AS263" s="31">
        <f ca="1">_xll.DBRW($C$1,$C$2,$C$3,$C$4,$C$6,$C$5,$C$7,AS$1,AS$2,$A263)</f>
        <v>0</v>
      </c>
      <c r="AT263" s="31">
        <f ca="1">_xll.DBRW($C$1,$C$2,$C$3,$C$4,$C$6,$C$5,$C$7,AT$1,AT$2,$A263)</f>
        <v>0</v>
      </c>
      <c r="AU263" s="31">
        <f ca="1">_xll.DBRW($C$1,$C$2,$C$3,$C$4,$C$6,$C$5,$C$7,AU$1,AU$2,$A263)</f>
        <v>0</v>
      </c>
    </row>
    <row r="264" spans="1:47" ht="15.75" hidden="1" customHeight="1" outlineLevel="1">
      <c r="A264" s="1" t="s">
        <v>317</v>
      </c>
      <c r="C264" s="141"/>
      <c r="E264" s="9" t="str">
        <f ca="1">_xll.DBRW(Server&amp;"}ElementAttributes_Indicator",A264,"code_English")</f>
        <v>PL1520_JV - P&amp;L JV - Impairment - Goodwill (joint ventures)  (from 2013)</v>
      </c>
      <c r="F264" s="31">
        <f ca="1">_xll.DBRW($C$1,$C$2,$C$3,$C$4,$C$6,$C$5,$C$7,F$1,F$2,$A264)</f>
        <v>0</v>
      </c>
      <c r="G264" s="31">
        <f ca="1">_xll.DBRW($C$1,$C$2,$C$3,$C$4,$C$6,$C$5,$C$7,G$1,G$2,$A264)</f>
        <v>0</v>
      </c>
      <c r="H264" s="31">
        <f ca="1">_xll.DBRW($C$1,$C$2,$C$3,$C$4,$C$6,$C$5,$C$7,H$1,H$2,$A264)</f>
        <v>0</v>
      </c>
      <c r="I264" s="31">
        <f ca="1">_xll.DBRW($C$1,$C$2,$C$3,$C$4,$C$6,$C$5,$C$7,I$1,I$2,$A264)</f>
        <v>0</v>
      </c>
      <c r="J264" s="31">
        <f ca="1">_xll.DBRW($C$1,$C$2,$C$3,$C$4,$C$6,$C$5,$C$7,J$1,J$2,$A264)</f>
        <v>0</v>
      </c>
      <c r="K264" s="31">
        <f ca="1">_xll.DBRW($C$1,$C$2,$C$3,$C$4,$C$6,$C$5,$C$7,K$1,K$2,$A264)</f>
        <v>0</v>
      </c>
      <c r="L264" s="31">
        <f ca="1">_xll.DBRW($C$1,$C$2,$C$3,$C$4,$C$6,$C$5,$C$7,L$1,L$2,$A264)</f>
        <v>0</v>
      </c>
      <c r="M264" s="31">
        <f ca="1">_xll.DBRW($C$1,$C$2,$C$3,$C$4,$C$6,$C$5,$C$7,M$1,M$2,$A264)</f>
        <v>0</v>
      </c>
      <c r="N264" s="31">
        <f ca="1">_xll.DBRW($C$1,$C$2,$C$3,$C$4,$C$6,$C$5,$C$7,N$1,N$2,$A264)</f>
        <v>0</v>
      </c>
      <c r="O264" s="31">
        <f ca="1">_xll.DBRW($C$1,$C$2,$C$3,$C$4,$C$6,$C$5,$C$7,O$1,O$2,$A264)</f>
        <v>0</v>
      </c>
      <c r="P264" s="31">
        <f ca="1">_xll.DBRW($C$1,$C$2,$C$3,$C$4,$C$6,$C$5,$C$7,P$1,P$2,$A264)</f>
        <v>0</v>
      </c>
      <c r="Q264" s="31">
        <f ca="1">_xll.DBRW($C$1,$C$2,$C$3,$C$4,$C$6,$C$5,$C$7,Q$1,Q$2,$A264)</f>
        <v>0</v>
      </c>
      <c r="R264" s="31">
        <f ca="1">_xll.DBRW($C$1,$C$2,$C$3,$C$4,$C$6,$C$5,$C$7,R$1,R$2,$A264)</f>
        <v>0</v>
      </c>
      <c r="S264" s="31">
        <f ca="1">_xll.DBRW($C$1,$C$2,$C$3,$C$4,$C$6,$C$5,$C$7,S$1,S$2,$A264)</f>
        <v>0</v>
      </c>
      <c r="T264" s="31">
        <f ca="1">_xll.DBRW($C$1,$C$2,$C$3,$C$4,$C$6,$C$5,$C$7,T$1,T$2,$A264)</f>
        <v>0</v>
      </c>
      <c r="U264" s="31">
        <f ca="1">_xll.DBRW($C$1,$C$2,$C$3,$C$4,$C$6,$C$5,$C$7,U$1,U$2,$A264)</f>
        <v>0</v>
      </c>
      <c r="V264" s="31">
        <f ca="1">_xll.DBRW($C$1,$C$2,$C$3,$C$4,$C$6,$C$5,$C$7,V$1,V$2,$A264)</f>
        <v>0</v>
      </c>
      <c r="W264" s="31">
        <f ca="1">_xll.DBRW($C$1,$C$2,$C$3,$C$4,$C$6,$C$5,$C$7,W$1,W$2,$A264)</f>
        <v>0</v>
      </c>
      <c r="X264" s="31">
        <f ca="1">_xll.DBRW($C$1,$C$2,$C$3,$C$4,$C$6,$C$5,$C$7,X$1,X$2,$A264)</f>
        <v>0</v>
      </c>
      <c r="Y264" s="31">
        <f ca="1">_xll.DBRW($C$1,$C$2,$C$3,$C$4,$C$6,$C$5,$C$7,Y$1,Y$2,$A264)</f>
        <v>0</v>
      </c>
      <c r="Z264" s="31">
        <f ca="1">_xll.DBRW($C$1,$C$2,$C$3,$C$4,$C$6,$C$5,$C$7,Z$1,Z$2,$A264)</f>
        <v>0</v>
      </c>
      <c r="AA264" s="31">
        <f ca="1">_xll.DBRW($C$1,$C$2,$C$3,$C$4,$C$6,$C$5,$C$7,AA$1,AA$2,$A264)</f>
        <v>0</v>
      </c>
      <c r="AB264" s="31">
        <f ca="1">_xll.DBRW($C$1,$C$2,$C$3,$C$4,$C$6,$C$5,$C$7,AB$1,AB$2,$A264)</f>
        <v>0</v>
      </c>
      <c r="AC264" s="31">
        <f ca="1">_xll.DBRW($C$1,$C$2,$C$3,$C$4,$C$6,$C$5,$C$7,AC$1,AC$2,$A264)</f>
        <v>0</v>
      </c>
      <c r="AD264" s="31">
        <f ca="1">_xll.DBRW($C$1,$C$2,$C$3,$C$4,$C$6,$C$5,$C$7,AD$1,AD$2,$A264)</f>
        <v>0</v>
      </c>
      <c r="AE264" s="31">
        <f ca="1">_xll.DBRW($C$1,$C$2,$C$3,$C$4,$C$6,$C$5,$C$7,AE$1,AE$2,$A264)</f>
        <v>0</v>
      </c>
      <c r="AF264" s="31">
        <f ca="1">_xll.DBRW($C$1,$C$2,$C$3,$C$4,$C$6,$C$5,$C$7,AF$1,AF$2,$A264)</f>
        <v>0</v>
      </c>
      <c r="AG264" s="31">
        <f ca="1">_xll.DBRW($C$1,$C$2,$C$3,$C$4,$C$6,$C$5,$C$7,AG$1,AG$2,$A264)</f>
        <v>0</v>
      </c>
      <c r="AH264" s="31">
        <f ca="1">_xll.DBRW($C$1,$C$2,$C$3,$C$4,$C$6,$C$5,$C$7,AH$1,AH$2,$A264)</f>
        <v>0</v>
      </c>
      <c r="AI264" s="31">
        <f ca="1">_xll.DBRW($C$1,$C$2,$C$3,$C$4,$C$6,$C$5,$C$7,AI$1,AI$2,$A264)</f>
        <v>0</v>
      </c>
      <c r="AJ264" s="31">
        <f ca="1">_xll.DBRW($C$1,$C$2,$C$3,$C$4,$C$6,$C$5,$C$7,AJ$1,AJ$2,$A264)</f>
        <v>0</v>
      </c>
      <c r="AK264" s="31">
        <f ca="1">_xll.DBRW($C$1,$C$2,$C$3,$C$4,$C$6,$C$5,$C$7,AK$1,AK$2,$A264)</f>
        <v>0</v>
      </c>
      <c r="AL264" s="31">
        <f ca="1">_xll.DBRW($C$1,$C$2,$C$3,$C$4,$C$6,$C$5,$C$7,AL$1,AL$2,$A264)</f>
        <v>0</v>
      </c>
      <c r="AM264" s="31">
        <f ca="1">_xll.DBRW($C$1,$C$2,$C$3,$C$4,$C$6,$C$5,$C$7,AM$1,AM$2,$A264)</f>
        <v>0</v>
      </c>
      <c r="AN264" s="31">
        <f ca="1">_xll.DBRW($C$1,$C$2,$C$3,$C$4,$C$6,$C$5,$C$7,AN$1,AN$2,$A264)</f>
        <v>0</v>
      </c>
      <c r="AO264" s="31">
        <f ca="1">_xll.DBRW($C$1,$C$2,$C$3,$C$4,$C$6,$C$5,$C$7,AO$1,AO$2,$A264)</f>
        <v>0</v>
      </c>
      <c r="AP264" s="31">
        <f ca="1">_xll.DBRW($C$1,$C$2,$C$3,$C$4,$C$6,$C$5,$C$7,AP$1,AP$2,$A264)</f>
        <v>0</v>
      </c>
      <c r="AQ264" s="31">
        <f ca="1">_xll.DBRW($C$1,$C$2,$C$3,$C$4,$C$6,$C$5,$C$7,AQ$1,AQ$2,$A264)</f>
        <v>0</v>
      </c>
      <c r="AR264" s="31">
        <f ca="1">_xll.DBRW($C$1,$C$2,$C$3,$C$4,$C$6,$C$5,$C$7,AR$1,AR$2,$A264)</f>
        <v>0</v>
      </c>
      <c r="AS264" s="31">
        <f ca="1">_xll.DBRW($C$1,$C$2,$C$3,$C$4,$C$6,$C$5,$C$7,AS$1,AS$2,$A264)</f>
        <v>0</v>
      </c>
      <c r="AT264" s="31">
        <f ca="1">_xll.DBRW($C$1,$C$2,$C$3,$C$4,$C$6,$C$5,$C$7,AT$1,AT$2,$A264)</f>
        <v>0</v>
      </c>
      <c r="AU264" s="31">
        <f ca="1">_xll.DBRW($C$1,$C$2,$C$3,$C$4,$C$6,$C$5,$C$7,AU$1,AU$2,$A264)</f>
        <v>0</v>
      </c>
    </row>
    <row r="265" spans="1:47" ht="15.75" hidden="1" customHeight="1" outlineLevel="1">
      <c r="A265" s="1" t="s">
        <v>318</v>
      </c>
      <c r="C265" s="141"/>
      <c r="E265" s="9" t="str">
        <f ca="1">_xll.DBRW(Server&amp;"}ElementAttributes_Indicator",A265,"code_English")</f>
        <v>PL1520_XX - Vector Reconciliation (TPL15) - Impairment - Goodwill (joint ventures)  (from 2013)</v>
      </c>
      <c r="F265" s="31">
        <f ca="1">_xll.DBRW($C$1,$C$2,$C$3,$C$4,$C$6,$C$5,$C$7,F$1,F$2,$A265)</f>
        <v>0</v>
      </c>
      <c r="G265" s="31">
        <f ca="1">_xll.DBRW($C$1,$C$2,$C$3,$C$4,$C$6,$C$5,$C$7,G$1,G$2,$A265)</f>
        <v>0</v>
      </c>
      <c r="H265" s="31">
        <f ca="1">_xll.DBRW($C$1,$C$2,$C$3,$C$4,$C$6,$C$5,$C$7,H$1,H$2,$A265)</f>
        <v>0</v>
      </c>
      <c r="I265" s="31">
        <f ca="1">_xll.DBRW($C$1,$C$2,$C$3,$C$4,$C$6,$C$5,$C$7,I$1,I$2,$A265)</f>
        <v>0</v>
      </c>
      <c r="J265" s="31">
        <f ca="1">_xll.DBRW($C$1,$C$2,$C$3,$C$4,$C$6,$C$5,$C$7,J$1,J$2,$A265)</f>
        <v>0</v>
      </c>
      <c r="K265" s="31">
        <f ca="1">_xll.DBRW($C$1,$C$2,$C$3,$C$4,$C$6,$C$5,$C$7,K$1,K$2,$A265)</f>
        <v>0</v>
      </c>
      <c r="L265" s="31">
        <f ca="1">_xll.DBRW($C$1,$C$2,$C$3,$C$4,$C$6,$C$5,$C$7,L$1,L$2,$A265)</f>
        <v>0</v>
      </c>
      <c r="M265" s="31">
        <f ca="1">_xll.DBRW($C$1,$C$2,$C$3,$C$4,$C$6,$C$5,$C$7,M$1,M$2,$A265)</f>
        <v>0</v>
      </c>
      <c r="N265" s="31">
        <f ca="1">_xll.DBRW($C$1,$C$2,$C$3,$C$4,$C$6,$C$5,$C$7,N$1,N$2,$A265)</f>
        <v>0</v>
      </c>
      <c r="O265" s="31">
        <f ca="1">_xll.DBRW($C$1,$C$2,$C$3,$C$4,$C$6,$C$5,$C$7,O$1,O$2,$A265)</f>
        <v>0</v>
      </c>
      <c r="P265" s="31">
        <f ca="1">_xll.DBRW($C$1,$C$2,$C$3,$C$4,$C$6,$C$5,$C$7,P$1,P$2,$A265)</f>
        <v>0</v>
      </c>
      <c r="Q265" s="31">
        <f ca="1">_xll.DBRW($C$1,$C$2,$C$3,$C$4,$C$6,$C$5,$C$7,Q$1,Q$2,$A265)</f>
        <v>0</v>
      </c>
      <c r="R265" s="31">
        <f ca="1">_xll.DBRW($C$1,$C$2,$C$3,$C$4,$C$6,$C$5,$C$7,R$1,R$2,$A265)</f>
        <v>0</v>
      </c>
      <c r="S265" s="31">
        <f ca="1">_xll.DBRW($C$1,$C$2,$C$3,$C$4,$C$6,$C$5,$C$7,S$1,S$2,$A265)</f>
        <v>0</v>
      </c>
      <c r="T265" s="31">
        <f ca="1">_xll.DBRW($C$1,$C$2,$C$3,$C$4,$C$6,$C$5,$C$7,T$1,T$2,$A265)</f>
        <v>0</v>
      </c>
      <c r="U265" s="31">
        <f ca="1">_xll.DBRW($C$1,$C$2,$C$3,$C$4,$C$6,$C$5,$C$7,U$1,U$2,$A265)</f>
        <v>0</v>
      </c>
      <c r="V265" s="31">
        <f ca="1">_xll.DBRW($C$1,$C$2,$C$3,$C$4,$C$6,$C$5,$C$7,V$1,V$2,$A265)</f>
        <v>0</v>
      </c>
      <c r="W265" s="31">
        <f ca="1">_xll.DBRW($C$1,$C$2,$C$3,$C$4,$C$6,$C$5,$C$7,W$1,W$2,$A265)</f>
        <v>0</v>
      </c>
      <c r="X265" s="31">
        <f ca="1">_xll.DBRW($C$1,$C$2,$C$3,$C$4,$C$6,$C$5,$C$7,X$1,X$2,$A265)</f>
        <v>0</v>
      </c>
      <c r="Y265" s="31">
        <f ca="1">_xll.DBRW($C$1,$C$2,$C$3,$C$4,$C$6,$C$5,$C$7,Y$1,Y$2,$A265)</f>
        <v>0</v>
      </c>
      <c r="Z265" s="31">
        <f ca="1">_xll.DBRW($C$1,$C$2,$C$3,$C$4,$C$6,$C$5,$C$7,Z$1,Z$2,$A265)</f>
        <v>0</v>
      </c>
      <c r="AA265" s="31">
        <f ca="1">_xll.DBRW($C$1,$C$2,$C$3,$C$4,$C$6,$C$5,$C$7,AA$1,AA$2,$A265)</f>
        <v>0</v>
      </c>
      <c r="AB265" s="31">
        <f ca="1">_xll.DBRW($C$1,$C$2,$C$3,$C$4,$C$6,$C$5,$C$7,AB$1,AB$2,$A265)</f>
        <v>0</v>
      </c>
      <c r="AC265" s="31">
        <f ca="1">_xll.DBRW($C$1,$C$2,$C$3,$C$4,$C$6,$C$5,$C$7,AC$1,AC$2,$A265)</f>
        <v>0</v>
      </c>
      <c r="AD265" s="31">
        <f ca="1">_xll.DBRW($C$1,$C$2,$C$3,$C$4,$C$6,$C$5,$C$7,AD$1,AD$2,$A265)</f>
        <v>0</v>
      </c>
      <c r="AE265" s="31">
        <f ca="1">_xll.DBRW($C$1,$C$2,$C$3,$C$4,$C$6,$C$5,$C$7,AE$1,AE$2,$A265)</f>
        <v>0</v>
      </c>
      <c r="AF265" s="31">
        <f ca="1">_xll.DBRW($C$1,$C$2,$C$3,$C$4,$C$6,$C$5,$C$7,AF$1,AF$2,$A265)</f>
        <v>0</v>
      </c>
      <c r="AG265" s="31">
        <f ca="1">_xll.DBRW($C$1,$C$2,$C$3,$C$4,$C$6,$C$5,$C$7,AG$1,AG$2,$A265)</f>
        <v>0</v>
      </c>
      <c r="AH265" s="31">
        <f ca="1">_xll.DBRW($C$1,$C$2,$C$3,$C$4,$C$6,$C$5,$C$7,AH$1,AH$2,$A265)</f>
        <v>0</v>
      </c>
      <c r="AI265" s="31">
        <f ca="1">_xll.DBRW($C$1,$C$2,$C$3,$C$4,$C$6,$C$5,$C$7,AI$1,AI$2,$A265)</f>
        <v>0</v>
      </c>
      <c r="AJ265" s="31">
        <f ca="1">_xll.DBRW($C$1,$C$2,$C$3,$C$4,$C$6,$C$5,$C$7,AJ$1,AJ$2,$A265)</f>
        <v>0</v>
      </c>
      <c r="AK265" s="31">
        <f ca="1">_xll.DBRW($C$1,$C$2,$C$3,$C$4,$C$6,$C$5,$C$7,AK$1,AK$2,$A265)</f>
        <v>0</v>
      </c>
      <c r="AL265" s="31">
        <f ca="1">_xll.DBRW($C$1,$C$2,$C$3,$C$4,$C$6,$C$5,$C$7,AL$1,AL$2,$A265)</f>
        <v>0</v>
      </c>
      <c r="AM265" s="31">
        <f ca="1">_xll.DBRW($C$1,$C$2,$C$3,$C$4,$C$6,$C$5,$C$7,AM$1,AM$2,$A265)</f>
        <v>0</v>
      </c>
      <c r="AN265" s="31">
        <f ca="1">_xll.DBRW($C$1,$C$2,$C$3,$C$4,$C$6,$C$5,$C$7,AN$1,AN$2,$A265)</f>
        <v>0</v>
      </c>
      <c r="AO265" s="31">
        <f ca="1">_xll.DBRW($C$1,$C$2,$C$3,$C$4,$C$6,$C$5,$C$7,AO$1,AO$2,$A265)</f>
        <v>0</v>
      </c>
      <c r="AP265" s="31">
        <f ca="1">_xll.DBRW($C$1,$C$2,$C$3,$C$4,$C$6,$C$5,$C$7,AP$1,AP$2,$A265)</f>
        <v>0</v>
      </c>
      <c r="AQ265" s="31">
        <f ca="1">_xll.DBRW($C$1,$C$2,$C$3,$C$4,$C$6,$C$5,$C$7,AQ$1,AQ$2,$A265)</f>
        <v>0</v>
      </c>
      <c r="AR265" s="31">
        <f ca="1">_xll.DBRW($C$1,$C$2,$C$3,$C$4,$C$6,$C$5,$C$7,AR$1,AR$2,$A265)</f>
        <v>0</v>
      </c>
      <c r="AS265" s="31">
        <f ca="1">_xll.DBRW($C$1,$C$2,$C$3,$C$4,$C$6,$C$5,$C$7,AS$1,AS$2,$A265)</f>
        <v>0</v>
      </c>
      <c r="AT265" s="31">
        <f ca="1">_xll.DBRW($C$1,$C$2,$C$3,$C$4,$C$6,$C$5,$C$7,AT$1,AT$2,$A265)</f>
        <v>0</v>
      </c>
      <c r="AU265" s="31">
        <f ca="1">_xll.DBRW($C$1,$C$2,$C$3,$C$4,$C$6,$C$5,$C$7,AU$1,AU$2,$A265)</f>
        <v>0</v>
      </c>
    </row>
    <row r="266" spans="1:47" ht="15.75" hidden="1" outlineLevel="1" collapsed="1">
      <c r="A266" s="1" t="s">
        <v>127</v>
      </c>
      <c r="C266" s="141"/>
      <c r="E266" s="126" t="s">
        <v>62</v>
      </c>
      <c r="F266" s="127">
        <f ca="1">SUM(F262:F265)</f>
        <v>0</v>
      </c>
      <c r="G266" s="127">
        <f ca="1">SUM(G262:G265)</f>
        <v>0</v>
      </c>
      <c r="H266" s="127">
        <f t="shared" ref="H266:AU266" ca="1" si="145">SUM(H262:H265)</f>
        <v>0</v>
      </c>
      <c r="I266" s="127">
        <f t="shared" ca="1" si="145"/>
        <v>0</v>
      </c>
      <c r="J266" s="127">
        <f t="shared" ca="1" si="145"/>
        <v>0</v>
      </c>
      <c r="K266" s="127">
        <f t="shared" ca="1" si="145"/>
        <v>0</v>
      </c>
      <c r="L266" s="127">
        <f t="shared" ca="1" si="145"/>
        <v>0</v>
      </c>
      <c r="M266" s="127">
        <f t="shared" ca="1" si="145"/>
        <v>0</v>
      </c>
      <c r="N266" s="127">
        <f t="shared" ca="1" si="145"/>
        <v>0</v>
      </c>
      <c r="O266" s="127">
        <f t="shared" ca="1" si="145"/>
        <v>0</v>
      </c>
      <c r="P266" s="127">
        <f t="shared" ca="1" si="145"/>
        <v>0</v>
      </c>
      <c r="Q266" s="127">
        <f t="shared" ca="1" si="145"/>
        <v>0</v>
      </c>
      <c r="R266" s="127">
        <f t="shared" ca="1" si="145"/>
        <v>0</v>
      </c>
      <c r="S266" s="127">
        <f t="shared" ca="1" si="145"/>
        <v>0</v>
      </c>
      <c r="T266" s="127">
        <f t="shared" ca="1" si="145"/>
        <v>0</v>
      </c>
      <c r="U266" s="127">
        <f t="shared" ca="1" si="145"/>
        <v>0</v>
      </c>
      <c r="V266" s="127">
        <f t="shared" ca="1" si="145"/>
        <v>0</v>
      </c>
      <c r="W266" s="127">
        <f t="shared" ca="1" si="145"/>
        <v>0</v>
      </c>
      <c r="X266" s="127">
        <f t="shared" ca="1" si="145"/>
        <v>0</v>
      </c>
      <c r="Y266" s="127">
        <f t="shared" ca="1" si="145"/>
        <v>0</v>
      </c>
      <c r="Z266" s="127">
        <f t="shared" ca="1" si="145"/>
        <v>0</v>
      </c>
      <c r="AA266" s="127">
        <f t="shared" ca="1" si="145"/>
        <v>0</v>
      </c>
      <c r="AB266" s="127">
        <f t="shared" ca="1" si="145"/>
        <v>0</v>
      </c>
      <c r="AC266" s="127">
        <f t="shared" ca="1" si="145"/>
        <v>0</v>
      </c>
      <c r="AD266" s="127">
        <f t="shared" ca="1" si="145"/>
        <v>0</v>
      </c>
      <c r="AE266" s="127">
        <f t="shared" ca="1" si="145"/>
        <v>0</v>
      </c>
      <c r="AF266" s="127">
        <f t="shared" ca="1" si="145"/>
        <v>0</v>
      </c>
      <c r="AG266" s="127">
        <f t="shared" ca="1" si="145"/>
        <v>0</v>
      </c>
      <c r="AH266" s="127">
        <f t="shared" ca="1" si="145"/>
        <v>0</v>
      </c>
      <c r="AI266" s="127">
        <f t="shared" ca="1" si="145"/>
        <v>0</v>
      </c>
      <c r="AJ266" s="127">
        <f t="shared" ca="1" si="145"/>
        <v>0</v>
      </c>
      <c r="AK266" s="127">
        <f t="shared" ca="1" si="145"/>
        <v>0</v>
      </c>
      <c r="AL266" s="127">
        <f t="shared" ca="1" si="145"/>
        <v>0</v>
      </c>
      <c r="AM266" s="127">
        <f t="shared" ca="1" si="145"/>
        <v>0</v>
      </c>
      <c r="AN266" s="127">
        <f t="shared" ca="1" si="145"/>
        <v>0</v>
      </c>
      <c r="AO266" s="127">
        <f t="shared" ca="1" si="145"/>
        <v>0</v>
      </c>
      <c r="AP266" s="127">
        <f t="shared" ca="1" si="145"/>
        <v>0</v>
      </c>
      <c r="AQ266" s="127">
        <f t="shared" ca="1" si="145"/>
        <v>0</v>
      </c>
      <c r="AR266" s="127">
        <f t="shared" ca="1" si="145"/>
        <v>0</v>
      </c>
      <c r="AS266" s="127">
        <f t="shared" ca="1" si="145"/>
        <v>0</v>
      </c>
      <c r="AT266" s="127">
        <f t="shared" ca="1" si="145"/>
        <v>0</v>
      </c>
      <c r="AU266" s="127">
        <f t="shared" ca="1" si="145"/>
        <v>0</v>
      </c>
    </row>
    <row r="267" spans="1:47" ht="15.75" hidden="1" customHeight="1" outlineLevel="2">
      <c r="A267" s="1" t="s">
        <v>319</v>
      </c>
      <c r="C267" s="141"/>
      <c r="E267" s="9" t="str">
        <f ca="1">_xll.DBRW(Server&amp;"}ElementAttributes_Indicator",A267,"code_English")</f>
        <v>PL1600_AS - P&amp;L AS - Share in profit or loss of associates (from 2013)</v>
      </c>
      <c r="F267" s="31">
        <f ca="1">_xll.DBRW($C$1,$C$2,$C$3,$C$4,$C$6,$C$5,$C$7,F$1,F$2,$A267)</f>
        <v>0</v>
      </c>
      <c r="G267" s="31">
        <f ca="1">_xll.DBRW($C$1,$C$2,$C$3,$C$4,$C$6,$C$5,$C$7,G$1,G$2,$A267)</f>
        <v>0</v>
      </c>
      <c r="H267" s="31">
        <f ca="1">_xll.DBRW($C$1,$C$2,$C$3,$C$4,$C$6,$C$5,$C$7,H$1,H$2,$A267)</f>
        <v>0</v>
      </c>
      <c r="I267" s="31">
        <f ca="1">_xll.DBRW($C$1,$C$2,$C$3,$C$4,$C$6,$C$5,$C$7,I$1,I$2,$A267)</f>
        <v>0</v>
      </c>
      <c r="J267" s="31">
        <f ca="1">_xll.DBRW($C$1,$C$2,$C$3,$C$4,$C$6,$C$5,$C$7,J$1,J$2,$A267)</f>
        <v>0</v>
      </c>
      <c r="K267" s="31">
        <f ca="1">_xll.DBRW($C$1,$C$2,$C$3,$C$4,$C$6,$C$5,$C$7,K$1,K$2,$A267)</f>
        <v>0</v>
      </c>
      <c r="L267" s="31">
        <f ca="1">_xll.DBRW($C$1,$C$2,$C$3,$C$4,$C$6,$C$5,$C$7,L$1,L$2,$A267)</f>
        <v>0</v>
      </c>
      <c r="M267" s="31">
        <f ca="1">_xll.DBRW($C$1,$C$2,$C$3,$C$4,$C$6,$C$5,$C$7,M$1,M$2,$A267)</f>
        <v>0</v>
      </c>
      <c r="N267" s="31">
        <f ca="1">_xll.DBRW($C$1,$C$2,$C$3,$C$4,$C$6,$C$5,$C$7,N$1,N$2,$A267)</f>
        <v>0</v>
      </c>
      <c r="O267" s="31">
        <f ca="1">_xll.DBRW($C$1,$C$2,$C$3,$C$4,$C$6,$C$5,$C$7,O$1,O$2,$A267)</f>
        <v>0</v>
      </c>
      <c r="P267" s="31">
        <f ca="1">_xll.DBRW($C$1,$C$2,$C$3,$C$4,$C$6,$C$5,$C$7,P$1,P$2,$A267)</f>
        <v>0</v>
      </c>
      <c r="Q267" s="31">
        <f ca="1">_xll.DBRW($C$1,$C$2,$C$3,$C$4,$C$6,$C$5,$C$7,Q$1,Q$2,$A267)</f>
        <v>0</v>
      </c>
      <c r="R267" s="31">
        <f ca="1">_xll.DBRW($C$1,$C$2,$C$3,$C$4,$C$6,$C$5,$C$7,R$1,R$2,$A267)</f>
        <v>0</v>
      </c>
      <c r="S267" s="31">
        <f ca="1">_xll.DBRW($C$1,$C$2,$C$3,$C$4,$C$6,$C$5,$C$7,S$1,S$2,$A267)</f>
        <v>0</v>
      </c>
      <c r="T267" s="31">
        <f ca="1">_xll.DBRW($C$1,$C$2,$C$3,$C$4,$C$6,$C$5,$C$7,T$1,T$2,$A267)</f>
        <v>0</v>
      </c>
      <c r="U267" s="31">
        <f ca="1">_xll.DBRW($C$1,$C$2,$C$3,$C$4,$C$6,$C$5,$C$7,U$1,U$2,$A267)</f>
        <v>0</v>
      </c>
      <c r="V267" s="31">
        <f ca="1">_xll.DBRW($C$1,$C$2,$C$3,$C$4,$C$6,$C$5,$C$7,V$1,V$2,$A267)</f>
        <v>0</v>
      </c>
      <c r="W267" s="31">
        <f ca="1">_xll.DBRW($C$1,$C$2,$C$3,$C$4,$C$6,$C$5,$C$7,W$1,W$2,$A267)</f>
        <v>0</v>
      </c>
      <c r="X267" s="31">
        <f ca="1">_xll.DBRW($C$1,$C$2,$C$3,$C$4,$C$6,$C$5,$C$7,X$1,X$2,$A267)</f>
        <v>0</v>
      </c>
      <c r="Y267" s="31">
        <f ca="1">_xll.DBRW($C$1,$C$2,$C$3,$C$4,$C$6,$C$5,$C$7,Y$1,Y$2,$A267)</f>
        <v>0</v>
      </c>
      <c r="Z267" s="31">
        <f ca="1">_xll.DBRW($C$1,$C$2,$C$3,$C$4,$C$6,$C$5,$C$7,Z$1,Z$2,$A267)</f>
        <v>0</v>
      </c>
      <c r="AA267" s="31">
        <f ca="1">_xll.DBRW($C$1,$C$2,$C$3,$C$4,$C$6,$C$5,$C$7,AA$1,AA$2,$A267)</f>
        <v>0</v>
      </c>
      <c r="AB267" s="31">
        <f ca="1">_xll.DBRW($C$1,$C$2,$C$3,$C$4,$C$6,$C$5,$C$7,AB$1,AB$2,$A267)</f>
        <v>0</v>
      </c>
      <c r="AC267" s="31">
        <f ca="1">_xll.DBRW($C$1,$C$2,$C$3,$C$4,$C$6,$C$5,$C$7,AC$1,AC$2,$A267)</f>
        <v>0</v>
      </c>
      <c r="AD267" s="31">
        <f ca="1">_xll.DBRW($C$1,$C$2,$C$3,$C$4,$C$6,$C$5,$C$7,AD$1,AD$2,$A267)</f>
        <v>0</v>
      </c>
      <c r="AE267" s="31">
        <f ca="1">_xll.DBRW($C$1,$C$2,$C$3,$C$4,$C$6,$C$5,$C$7,AE$1,AE$2,$A267)</f>
        <v>0</v>
      </c>
      <c r="AF267" s="31">
        <f ca="1">_xll.DBRW($C$1,$C$2,$C$3,$C$4,$C$6,$C$5,$C$7,AF$1,AF$2,$A267)</f>
        <v>0</v>
      </c>
      <c r="AG267" s="31">
        <f ca="1">_xll.DBRW($C$1,$C$2,$C$3,$C$4,$C$6,$C$5,$C$7,AG$1,AG$2,$A267)</f>
        <v>0</v>
      </c>
      <c r="AH267" s="31">
        <f ca="1">_xll.DBRW($C$1,$C$2,$C$3,$C$4,$C$6,$C$5,$C$7,AH$1,AH$2,$A267)</f>
        <v>0</v>
      </c>
      <c r="AI267" s="31">
        <f ca="1">_xll.DBRW($C$1,$C$2,$C$3,$C$4,$C$6,$C$5,$C$7,AI$1,AI$2,$A267)</f>
        <v>0</v>
      </c>
      <c r="AJ267" s="31">
        <f ca="1">_xll.DBRW($C$1,$C$2,$C$3,$C$4,$C$6,$C$5,$C$7,AJ$1,AJ$2,$A267)</f>
        <v>0</v>
      </c>
      <c r="AK267" s="31">
        <f ca="1">_xll.DBRW($C$1,$C$2,$C$3,$C$4,$C$6,$C$5,$C$7,AK$1,AK$2,$A267)</f>
        <v>0</v>
      </c>
      <c r="AL267" s="31">
        <f ca="1">_xll.DBRW($C$1,$C$2,$C$3,$C$4,$C$6,$C$5,$C$7,AL$1,AL$2,$A267)</f>
        <v>0</v>
      </c>
      <c r="AM267" s="31">
        <f ca="1">_xll.DBRW($C$1,$C$2,$C$3,$C$4,$C$6,$C$5,$C$7,AM$1,AM$2,$A267)</f>
        <v>0</v>
      </c>
      <c r="AN267" s="31">
        <f ca="1">_xll.DBRW($C$1,$C$2,$C$3,$C$4,$C$6,$C$5,$C$7,AN$1,AN$2,$A267)</f>
        <v>0</v>
      </c>
      <c r="AO267" s="31">
        <f ca="1">_xll.DBRW($C$1,$C$2,$C$3,$C$4,$C$6,$C$5,$C$7,AO$1,AO$2,$A267)</f>
        <v>0</v>
      </c>
      <c r="AP267" s="31">
        <f ca="1">_xll.DBRW($C$1,$C$2,$C$3,$C$4,$C$6,$C$5,$C$7,AP$1,AP$2,$A267)</f>
        <v>0</v>
      </c>
      <c r="AQ267" s="31">
        <f ca="1">_xll.DBRW($C$1,$C$2,$C$3,$C$4,$C$6,$C$5,$C$7,AQ$1,AQ$2,$A267)</f>
        <v>0</v>
      </c>
      <c r="AR267" s="31">
        <f ca="1">_xll.DBRW($C$1,$C$2,$C$3,$C$4,$C$6,$C$5,$C$7,AR$1,AR$2,$A267)</f>
        <v>0</v>
      </c>
      <c r="AS267" s="31">
        <f ca="1">_xll.DBRW($C$1,$C$2,$C$3,$C$4,$C$6,$C$5,$C$7,AS$1,AS$2,$A267)</f>
        <v>0</v>
      </c>
      <c r="AT267" s="31">
        <f ca="1">_xll.DBRW($C$1,$C$2,$C$3,$C$4,$C$6,$C$5,$C$7,AT$1,AT$2,$A267)</f>
        <v>0</v>
      </c>
      <c r="AU267" s="31">
        <f ca="1">_xll.DBRW($C$1,$C$2,$C$3,$C$4,$C$6,$C$5,$C$7,AU$1,AU$2,$A267)</f>
        <v>0</v>
      </c>
    </row>
    <row r="268" spans="1:47" ht="15.75" hidden="1" customHeight="1" outlineLevel="2">
      <c r="A268" s="1" t="s">
        <v>320</v>
      </c>
      <c r="C268" s="141"/>
      <c r="E268" s="9" t="str">
        <f ca="1">_xll.DBRW(Server&amp;"}ElementAttributes_Indicator",A268,"code_English")</f>
        <v>PL1600_XX - Vector Reconciliation (TPL16) - Share in profit or loss of associates (from 2013)</v>
      </c>
      <c r="F268" s="31">
        <f ca="1">_xll.DBRW($C$1,$C$2,$C$3,$C$4,$C$6,$C$5,$C$7,F$1,F$2,$A268)</f>
        <v>0</v>
      </c>
      <c r="G268" s="31">
        <f ca="1">_xll.DBRW($C$1,$C$2,$C$3,$C$4,$C$6,$C$5,$C$7,G$1,G$2,$A268)</f>
        <v>0</v>
      </c>
      <c r="H268" s="31">
        <f ca="1">_xll.DBRW($C$1,$C$2,$C$3,$C$4,$C$6,$C$5,$C$7,H$1,H$2,$A268)</f>
        <v>0</v>
      </c>
      <c r="I268" s="31">
        <f ca="1">_xll.DBRW($C$1,$C$2,$C$3,$C$4,$C$6,$C$5,$C$7,I$1,I$2,$A268)</f>
        <v>0</v>
      </c>
      <c r="J268" s="31">
        <f ca="1">_xll.DBRW($C$1,$C$2,$C$3,$C$4,$C$6,$C$5,$C$7,J$1,J$2,$A268)</f>
        <v>0</v>
      </c>
      <c r="K268" s="31">
        <f ca="1">_xll.DBRW($C$1,$C$2,$C$3,$C$4,$C$6,$C$5,$C$7,K$1,K$2,$A268)</f>
        <v>0</v>
      </c>
      <c r="L268" s="31">
        <f ca="1">_xll.DBRW($C$1,$C$2,$C$3,$C$4,$C$6,$C$5,$C$7,L$1,L$2,$A268)</f>
        <v>0</v>
      </c>
      <c r="M268" s="31">
        <f ca="1">_xll.DBRW($C$1,$C$2,$C$3,$C$4,$C$6,$C$5,$C$7,M$1,M$2,$A268)</f>
        <v>0</v>
      </c>
      <c r="N268" s="31">
        <f ca="1">_xll.DBRW($C$1,$C$2,$C$3,$C$4,$C$6,$C$5,$C$7,N$1,N$2,$A268)</f>
        <v>0</v>
      </c>
      <c r="O268" s="31">
        <f ca="1">_xll.DBRW($C$1,$C$2,$C$3,$C$4,$C$6,$C$5,$C$7,O$1,O$2,$A268)</f>
        <v>0</v>
      </c>
      <c r="P268" s="31">
        <f ca="1">_xll.DBRW($C$1,$C$2,$C$3,$C$4,$C$6,$C$5,$C$7,P$1,P$2,$A268)</f>
        <v>0</v>
      </c>
      <c r="Q268" s="31">
        <f ca="1">_xll.DBRW($C$1,$C$2,$C$3,$C$4,$C$6,$C$5,$C$7,Q$1,Q$2,$A268)</f>
        <v>0</v>
      </c>
      <c r="R268" s="31">
        <f ca="1">_xll.DBRW($C$1,$C$2,$C$3,$C$4,$C$6,$C$5,$C$7,R$1,R$2,$A268)</f>
        <v>0</v>
      </c>
      <c r="S268" s="31">
        <f ca="1">_xll.DBRW($C$1,$C$2,$C$3,$C$4,$C$6,$C$5,$C$7,S$1,S$2,$A268)</f>
        <v>0</v>
      </c>
      <c r="T268" s="31">
        <f ca="1">_xll.DBRW($C$1,$C$2,$C$3,$C$4,$C$6,$C$5,$C$7,T$1,T$2,$A268)</f>
        <v>0</v>
      </c>
      <c r="U268" s="31">
        <f ca="1">_xll.DBRW($C$1,$C$2,$C$3,$C$4,$C$6,$C$5,$C$7,U$1,U$2,$A268)</f>
        <v>0</v>
      </c>
      <c r="V268" s="31">
        <f ca="1">_xll.DBRW($C$1,$C$2,$C$3,$C$4,$C$6,$C$5,$C$7,V$1,V$2,$A268)</f>
        <v>0</v>
      </c>
      <c r="W268" s="31">
        <f ca="1">_xll.DBRW($C$1,$C$2,$C$3,$C$4,$C$6,$C$5,$C$7,W$1,W$2,$A268)</f>
        <v>0</v>
      </c>
      <c r="X268" s="31">
        <f ca="1">_xll.DBRW($C$1,$C$2,$C$3,$C$4,$C$6,$C$5,$C$7,X$1,X$2,$A268)</f>
        <v>0</v>
      </c>
      <c r="Y268" s="31">
        <f ca="1">_xll.DBRW($C$1,$C$2,$C$3,$C$4,$C$6,$C$5,$C$7,Y$1,Y$2,$A268)</f>
        <v>0</v>
      </c>
      <c r="Z268" s="31">
        <f ca="1">_xll.DBRW($C$1,$C$2,$C$3,$C$4,$C$6,$C$5,$C$7,Z$1,Z$2,$A268)</f>
        <v>0</v>
      </c>
      <c r="AA268" s="31">
        <f ca="1">_xll.DBRW($C$1,$C$2,$C$3,$C$4,$C$6,$C$5,$C$7,AA$1,AA$2,$A268)</f>
        <v>0</v>
      </c>
      <c r="AB268" s="31">
        <f ca="1">_xll.DBRW($C$1,$C$2,$C$3,$C$4,$C$6,$C$5,$C$7,AB$1,AB$2,$A268)</f>
        <v>0</v>
      </c>
      <c r="AC268" s="31">
        <f ca="1">_xll.DBRW($C$1,$C$2,$C$3,$C$4,$C$6,$C$5,$C$7,AC$1,AC$2,$A268)</f>
        <v>0</v>
      </c>
      <c r="AD268" s="31">
        <f ca="1">_xll.DBRW($C$1,$C$2,$C$3,$C$4,$C$6,$C$5,$C$7,AD$1,AD$2,$A268)</f>
        <v>0</v>
      </c>
      <c r="AE268" s="31">
        <f ca="1">_xll.DBRW($C$1,$C$2,$C$3,$C$4,$C$6,$C$5,$C$7,AE$1,AE$2,$A268)</f>
        <v>0</v>
      </c>
      <c r="AF268" s="31">
        <f ca="1">_xll.DBRW($C$1,$C$2,$C$3,$C$4,$C$6,$C$5,$C$7,AF$1,AF$2,$A268)</f>
        <v>0</v>
      </c>
      <c r="AG268" s="31">
        <f ca="1">_xll.DBRW($C$1,$C$2,$C$3,$C$4,$C$6,$C$5,$C$7,AG$1,AG$2,$A268)</f>
        <v>0</v>
      </c>
      <c r="AH268" s="31">
        <f ca="1">_xll.DBRW($C$1,$C$2,$C$3,$C$4,$C$6,$C$5,$C$7,AH$1,AH$2,$A268)</f>
        <v>0</v>
      </c>
      <c r="AI268" s="31">
        <f ca="1">_xll.DBRW($C$1,$C$2,$C$3,$C$4,$C$6,$C$5,$C$7,AI$1,AI$2,$A268)</f>
        <v>0</v>
      </c>
      <c r="AJ268" s="31">
        <f ca="1">_xll.DBRW($C$1,$C$2,$C$3,$C$4,$C$6,$C$5,$C$7,AJ$1,AJ$2,$A268)</f>
        <v>0</v>
      </c>
      <c r="AK268" s="31">
        <f ca="1">_xll.DBRW($C$1,$C$2,$C$3,$C$4,$C$6,$C$5,$C$7,AK$1,AK$2,$A268)</f>
        <v>0</v>
      </c>
      <c r="AL268" s="31">
        <f ca="1">_xll.DBRW($C$1,$C$2,$C$3,$C$4,$C$6,$C$5,$C$7,AL$1,AL$2,$A268)</f>
        <v>0</v>
      </c>
      <c r="AM268" s="31">
        <f ca="1">_xll.DBRW($C$1,$C$2,$C$3,$C$4,$C$6,$C$5,$C$7,AM$1,AM$2,$A268)</f>
        <v>0</v>
      </c>
      <c r="AN268" s="31">
        <f ca="1">_xll.DBRW($C$1,$C$2,$C$3,$C$4,$C$6,$C$5,$C$7,AN$1,AN$2,$A268)</f>
        <v>0</v>
      </c>
      <c r="AO268" s="31">
        <f ca="1">_xll.DBRW($C$1,$C$2,$C$3,$C$4,$C$6,$C$5,$C$7,AO$1,AO$2,$A268)</f>
        <v>0</v>
      </c>
      <c r="AP268" s="31">
        <f ca="1">_xll.DBRW($C$1,$C$2,$C$3,$C$4,$C$6,$C$5,$C$7,AP$1,AP$2,$A268)</f>
        <v>0</v>
      </c>
      <c r="AQ268" s="31">
        <f ca="1">_xll.DBRW($C$1,$C$2,$C$3,$C$4,$C$6,$C$5,$C$7,AQ$1,AQ$2,$A268)</f>
        <v>0</v>
      </c>
      <c r="AR268" s="31">
        <f ca="1">_xll.DBRW($C$1,$C$2,$C$3,$C$4,$C$6,$C$5,$C$7,AR$1,AR$2,$A268)</f>
        <v>0</v>
      </c>
      <c r="AS268" s="31">
        <f ca="1">_xll.DBRW($C$1,$C$2,$C$3,$C$4,$C$6,$C$5,$C$7,AS$1,AS$2,$A268)</f>
        <v>0</v>
      </c>
      <c r="AT268" s="31">
        <f ca="1">_xll.DBRW($C$1,$C$2,$C$3,$C$4,$C$6,$C$5,$C$7,AT$1,AT$2,$A268)</f>
        <v>0</v>
      </c>
      <c r="AU268" s="31">
        <f ca="1">_xll.DBRW($C$1,$C$2,$C$3,$C$4,$C$6,$C$5,$C$7,AU$1,AU$2,$A268)</f>
        <v>0</v>
      </c>
    </row>
    <row r="269" spans="1:47" ht="15.75" hidden="1" customHeight="1" outlineLevel="2">
      <c r="A269" s="1" t="s">
        <v>321</v>
      </c>
      <c r="C269" s="141"/>
      <c r="E269" s="9" t="str">
        <f ca="1">_xll.DBRW(Server&amp;"}ElementAttributes_Indicator",A269,"code_English")</f>
        <v>PL1620_AS - P&amp;L AS - Impairment - Goodwill (Associates) (from 2013)</v>
      </c>
      <c r="F269" s="31">
        <f ca="1">_xll.DBRW($C$1,$C$2,$C$3,$C$4,$C$6,$C$5,$C$7,F$1,F$2,$A269)</f>
        <v>0</v>
      </c>
      <c r="G269" s="31">
        <f ca="1">_xll.DBRW($C$1,$C$2,$C$3,$C$4,$C$6,$C$5,$C$7,G$1,G$2,$A269)</f>
        <v>0</v>
      </c>
      <c r="H269" s="31">
        <f ca="1">_xll.DBRW($C$1,$C$2,$C$3,$C$4,$C$6,$C$5,$C$7,H$1,H$2,$A269)</f>
        <v>0</v>
      </c>
      <c r="I269" s="31">
        <f ca="1">_xll.DBRW($C$1,$C$2,$C$3,$C$4,$C$6,$C$5,$C$7,I$1,I$2,$A269)</f>
        <v>0</v>
      </c>
      <c r="J269" s="31">
        <f ca="1">_xll.DBRW($C$1,$C$2,$C$3,$C$4,$C$6,$C$5,$C$7,J$1,J$2,$A269)</f>
        <v>0</v>
      </c>
      <c r="K269" s="31">
        <f ca="1">_xll.DBRW($C$1,$C$2,$C$3,$C$4,$C$6,$C$5,$C$7,K$1,K$2,$A269)</f>
        <v>0</v>
      </c>
      <c r="L269" s="31">
        <f ca="1">_xll.DBRW($C$1,$C$2,$C$3,$C$4,$C$6,$C$5,$C$7,L$1,L$2,$A269)</f>
        <v>0</v>
      </c>
      <c r="M269" s="31">
        <f ca="1">_xll.DBRW($C$1,$C$2,$C$3,$C$4,$C$6,$C$5,$C$7,M$1,M$2,$A269)</f>
        <v>0</v>
      </c>
      <c r="N269" s="31">
        <f ca="1">_xll.DBRW($C$1,$C$2,$C$3,$C$4,$C$6,$C$5,$C$7,N$1,N$2,$A269)</f>
        <v>0</v>
      </c>
      <c r="O269" s="31">
        <f ca="1">_xll.DBRW($C$1,$C$2,$C$3,$C$4,$C$6,$C$5,$C$7,O$1,O$2,$A269)</f>
        <v>0</v>
      </c>
      <c r="P269" s="31">
        <f ca="1">_xll.DBRW($C$1,$C$2,$C$3,$C$4,$C$6,$C$5,$C$7,P$1,P$2,$A269)</f>
        <v>0</v>
      </c>
      <c r="Q269" s="31">
        <f ca="1">_xll.DBRW($C$1,$C$2,$C$3,$C$4,$C$6,$C$5,$C$7,Q$1,Q$2,$A269)</f>
        <v>0</v>
      </c>
      <c r="R269" s="31">
        <f ca="1">_xll.DBRW($C$1,$C$2,$C$3,$C$4,$C$6,$C$5,$C$7,R$1,R$2,$A269)</f>
        <v>0</v>
      </c>
      <c r="S269" s="31">
        <f ca="1">_xll.DBRW($C$1,$C$2,$C$3,$C$4,$C$6,$C$5,$C$7,S$1,S$2,$A269)</f>
        <v>0</v>
      </c>
      <c r="T269" s="31">
        <f ca="1">_xll.DBRW($C$1,$C$2,$C$3,$C$4,$C$6,$C$5,$C$7,T$1,T$2,$A269)</f>
        <v>0</v>
      </c>
      <c r="U269" s="31">
        <f ca="1">_xll.DBRW($C$1,$C$2,$C$3,$C$4,$C$6,$C$5,$C$7,U$1,U$2,$A269)</f>
        <v>0</v>
      </c>
      <c r="V269" s="31">
        <f ca="1">_xll.DBRW($C$1,$C$2,$C$3,$C$4,$C$6,$C$5,$C$7,V$1,V$2,$A269)</f>
        <v>0</v>
      </c>
      <c r="W269" s="31">
        <f ca="1">_xll.DBRW($C$1,$C$2,$C$3,$C$4,$C$6,$C$5,$C$7,W$1,W$2,$A269)</f>
        <v>0</v>
      </c>
      <c r="X269" s="31">
        <f ca="1">_xll.DBRW($C$1,$C$2,$C$3,$C$4,$C$6,$C$5,$C$7,X$1,X$2,$A269)</f>
        <v>0</v>
      </c>
      <c r="Y269" s="31">
        <f ca="1">_xll.DBRW($C$1,$C$2,$C$3,$C$4,$C$6,$C$5,$C$7,Y$1,Y$2,$A269)</f>
        <v>0</v>
      </c>
      <c r="Z269" s="31">
        <f ca="1">_xll.DBRW($C$1,$C$2,$C$3,$C$4,$C$6,$C$5,$C$7,Z$1,Z$2,$A269)</f>
        <v>0</v>
      </c>
      <c r="AA269" s="31">
        <f ca="1">_xll.DBRW($C$1,$C$2,$C$3,$C$4,$C$6,$C$5,$C$7,AA$1,AA$2,$A269)</f>
        <v>0</v>
      </c>
      <c r="AB269" s="31">
        <f ca="1">_xll.DBRW($C$1,$C$2,$C$3,$C$4,$C$6,$C$5,$C$7,AB$1,AB$2,$A269)</f>
        <v>0</v>
      </c>
      <c r="AC269" s="31">
        <f ca="1">_xll.DBRW($C$1,$C$2,$C$3,$C$4,$C$6,$C$5,$C$7,AC$1,AC$2,$A269)</f>
        <v>0</v>
      </c>
      <c r="AD269" s="31">
        <f ca="1">_xll.DBRW($C$1,$C$2,$C$3,$C$4,$C$6,$C$5,$C$7,AD$1,AD$2,$A269)</f>
        <v>0</v>
      </c>
      <c r="AE269" s="31">
        <f ca="1">_xll.DBRW($C$1,$C$2,$C$3,$C$4,$C$6,$C$5,$C$7,AE$1,AE$2,$A269)</f>
        <v>0</v>
      </c>
      <c r="AF269" s="31">
        <f ca="1">_xll.DBRW($C$1,$C$2,$C$3,$C$4,$C$6,$C$5,$C$7,AF$1,AF$2,$A269)</f>
        <v>0</v>
      </c>
      <c r="AG269" s="31">
        <f ca="1">_xll.DBRW($C$1,$C$2,$C$3,$C$4,$C$6,$C$5,$C$7,AG$1,AG$2,$A269)</f>
        <v>0</v>
      </c>
      <c r="AH269" s="31">
        <f ca="1">_xll.DBRW($C$1,$C$2,$C$3,$C$4,$C$6,$C$5,$C$7,AH$1,AH$2,$A269)</f>
        <v>0</v>
      </c>
      <c r="AI269" s="31">
        <f ca="1">_xll.DBRW($C$1,$C$2,$C$3,$C$4,$C$6,$C$5,$C$7,AI$1,AI$2,$A269)</f>
        <v>0</v>
      </c>
      <c r="AJ269" s="31">
        <f ca="1">_xll.DBRW($C$1,$C$2,$C$3,$C$4,$C$6,$C$5,$C$7,AJ$1,AJ$2,$A269)</f>
        <v>0</v>
      </c>
      <c r="AK269" s="31">
        <f ca="1">_xll.DBRW($C$1,$C$2,$C$3,$C$4,$C$6,$C$5,$C$7,AK$1,AK$2,$A269)</f>
        <v>0</v>
      </c>
      <c r="AL269" s="31">
        <f ca="1">_xll.DBRW($C$1,$C$2,$C$3,$C$4,$C$6,$C$5,$C$7,AL$1,AL$2,$A269)</f>
        <v>0</v>
      </c>
      <c r="AM269" s="31">
        <f ca="1">_xll.DBRW($C$1,$C$2,$C$3,$C$4,$C$6,$C$5,$C$7,AM$1,AM$2,$A269)</f>
        <v>0</v>
      </c>
      <c r="AN269" s="31">
        <f ca="1">_xll.DBRW($C$1,$C$2,$C$3,$C$4,$C$6,$C$5,$C$7,AN$1,AN$2,$A269)</f>
        <v>0</v>
      </c>
      <c r="AO269" s="31">
        <f ca="1">_xll.DBRW($C$1,$C$2,$C$3,$C$4,$C$6,$C$5,$C$7,AO$1,AO$2,$A269)</f>
        <v>0</v>
      </c>
      <c r="AP269" s="31">
        <f ca="1">_xll.DBRW($C$1,$C$2,$C$3,$C$4,$C$6,$C$5,$C$7,AP$1,AP$2,$A269)</f>
        <v>0</v>
      </c>
      <c r="AQ269" s="31">
        <f ca="1">_xll.DBRW($C$1,$C$2,$C$3,$C$4,$C$6,$C$5,$C$7,AQ$1,AQ$2,$A269)</f>
        <v>0</v>
      </c>
      <c r="AR269" s="31">
        <f ca="1">_xll.DBRW($C$1,$C$2,$C$3,$C$4,$C$6,$C$5,$C$7,AR$1,AR$2,$A269)</f>
        <v>0</v>
      </c>
      <c r="AS269" s="31">
        <f ca="1">_xll.DBRW($C$1,$C$2,$C$3,$C$4,$C$6,$C$5,$C$7,AS$1,AS$2,$A269)</f>
        <v>0</v>
      </c>
      <c r="AT269" s="31">
        <f ca="1">_xll.DBRW($C$1,$C$2,$C$3,$C$4,$C$6,$C$5,$C$7,AT$1,AT$2,$A269)</f>
        <v>0</v>
      </c>
      <c r="AU269" s="31">
        <f ca="1">_xll.DBRW($C$1,$C$2,$C$3,$C$4,$C$6,$C$5,$C$7,AU$1,AU$2,$A269)</f>
        <v>0</v>
      </c>
    </row>
    <row r="270" spans="1:47" ht="15.75" hidden="1" customHeight="1" outlineLevel="2">
      <c r="A270" s="1" t="s">
        <v>322</v>
      </c>
      <c r="C270" s="141"/>
      <c r="E270" s="9" t="str">
        <f ca="1">_xll.DBRW(Server&amp;"}ElementAttributes_Indicator",A270,"code_English")</f>
        <v>PL1620_XX - Vector Reconciliation (TPL16) - Impairment - Goodwill (Associates) (from 2013)</v>
      </c>
      <c r="F270" s="31">
        <f ca="1">_xll.DBRW($C$1,$C$2,$C$3,$C$4,$C$6,$C$5,$C$7,F$1,F$2,$A270)</f>
        <v>0</v>
      </c>
      <c r="G270" s="31">
        <f ca="1">_xll.DBRW($C$1,$C$2,$C$3,$C$4,$C$6,$C$5,$C$7,G$1,G$2,$A270)</f>
        <v>0</v>
      </c>
      <c r="H270" s="31">
        <f ca="1">_xll.DBRW($C$1,$C$2,$C$3,$C$4,$C$6,$C$5,$C$7,H$1,H$2,$A270)</f>
        <v>0</v>
      </c>
      <c r="I270" s="31">
        <f ca="1">_xll.DBRW($C$1,$C$2,$C$3,$C$4,$C$6,$C$5,$C$7,I$1,I$2,$A270)</f>
        <v>0</v>
      </c>
      <c r="J270" s="31">
        <f ca="1">_xll.DBRW($C$1,$C$2,$C$3,$C$4,$C$6,$C$5,$C$7,J$1,J$2,$A270)</f>
        <v>0</v>
      </c>
      <c r="K270" s="31">
        <f ca="1">_xll.DBRW($C$1,$C$2,$C$3,$C$4,$C$6,$C$5,$C$7,K$1,K$2,$A270)</f>
        <v>0</v>
      </c>
      <c r="L270" s="31">
        <f ca="1">_xll.DBRW($C$1,$C$2,$C$3,$C$4,$C$6,$C$5,$C$7,L$1,L$2,$A270)</f>
        <v>0</v>
      </c>
      <c r="M270" s="31">
        <f ca="1">_xll.DBRW($C$1,$C$2,$C$3,$C$4,$C$6,$C$5,$C$7,M$1,M$2,$A270)</f>
        <v>0</v>
      </c>
      <c r="N270" s="31">
        <f ca="1">_xll.DBRW($C$1,$C$2,$C$3,$C$4,$C$6,$C$5,$C$7,N$1,N$2,$A270)</f>
        <v>0</v>
      </c>
      <c r="O270" s="31">
        <f ca="1">_xll.DBRW($C$1,$C$2,$C$3,$C$4,$C$6,$C$5,$C$7,O$1,O$2,$A270)</f>
        <v>0</v>
      </c>
      <c r="P270" s="31">
        <f ca="1">_xll.DBRW($C$1,$C$2,$C$3,$C$4,$C$6,$C$5,$C$7,P$1,P$2,$A270)</f>
        <v>0</v>
      </c>
      <c r="Q270" s="31">
        <f ca="1">_xll.DBRW($C$1,$C$2,$C$3,$C$4,$C$6,$C$5,$C$7,Q$1,Q$2,$A270)</f>
        <v>0</v>
      </c>
      <c r="R270" s="31">
        <f ca="1">_xll.DBRW($C$1,$C$2,$C$3,$C$4,$C$6,$C$5,$C$7,R$1,R$2,$A270)</f>
        <v>0</v>
      </c>
      <c r="S270" s="31">
        <f ca="1">_xll.DBRW($C$1,$C$2,$C$3,$C$4,$C$6,$C$5,$C$7,S$1,S$2,$A270)</f>
        <v>0</v>
      </c>
      <c r="T270" s="31">
        <f ca="1">_xll.DBRW($C$1,$C$2,$C$3,$C$4,$C$6,$C$5,$C$7,T$1,T$2,$A270)</f>
        <v>0</v>
      </c>
      <c r="U270" s="31">
        <f ca="1">_xll.DBRW($C$1,$C$2,$C$3,$C$4,$C$6,$C$5,$C$7,U$1,U$2,$A270)</f>
        <v>0</v>
      </c>
      <c r="V270" s="31">
        <f ca="1">_xll.DBRW($C$1,$C$2,$C$3,$C$4,$C$6,$C$5,$C$7,V$1,V$2,$A270)</f>
        <v>0</v>
      </c>
      <c r="W270" s="31">
        <f ca="1">_xll.DBRW($C$1,$C$2,$C$3,$C$4,$C$6,$C$5,$C$7,W$1,W$2,$A270)</f>
        <v>0</v>
      </c>
      <c r="X270" s="31">
        <f ca="1">_xll.DBRW($C$1,$C$2,$C$3,$C$4,$C$6,$C$5,$C$7,X$1,X$2,$A270)</f>
        <v>0</v>
      </c>
      <c r="Y270" s="31">
        <f ca="1">_xll.DBRW($C$1,$C$2,$C$3,$C$4,$C$6,$C$5,$C$7,Y$1,Y$2,$A270)</f>
        <v>0</v>
      </c>
      <c r="Z270" s="31">
        <f ca="1">_xll.DBRW($C$1,$C$2,$C$3,$C$4,$C$6,$C$5,$C$7,Z$1,Z$2,$A270)</f>
        <v>0</v>
      </c>
      <c r="AA270" s="31">
        <f ca="1">_xll.DBRW($C$1,$C$2,$C$3,$C$4,$C$6,$C$5,$C$7,AA$1,AA$2,$A270)</f>
        <v>0</v>
      </c>
      <c r="AB270" s="31">
        <f ca="1">_xll.DBRW($C$1,$C$2,$C$3,$C$4,$C$6,$C$5,$C$7,AB$1,AB$2,$A270)</f>
        <v>0</v>
      </c>
      <c r="AC270" s="31">
        <f ca="1">_xll.DBRW($C$1,$C$2,$C$3,$C$4,$C$6,$C$5,$C$7,AC$1,AC$2,$A270)</f>
        <v>0</v>
      </c>
      <c r="AD270" s="31">
        <f ca="1">_xll.DBRW($C$1,$C$2,$C$3,$C$4,$C$6,$C$5,$C$7,AD$1,AD$2,$A270)</f>
        <v>0</v>
      </c>
      <c r="AE270" s="31">
        <f ca="1">_xll.DBRW($C$1,$C$2,$C$3,$C$4,$C$6,$C$5,$C$7,AE$1,AE$2,$A270)</f>
        <v>0</v>
      </c>
      <c r="AF270" s="31">
        <f ca="1">_xll.DBRW($C$1,$C$2,$C$3,$C$4,$C$6,$C$5,$C$7,AF$1,AF$2,$A270)</f>
        <v>0</v>
      </c>
      <c r="AG270" s="31">
        <f ca="1">_xll.DBRW($C$1,$C$2,$C$3,$C$4,$C$6,$C$5,$C$7,AG$1,AG$2,$A270)</f>
        <v>0</v>
      </c>
      <c r="AH270" s="31">
        <f ca="1">_xll.DBRW($C$1,$C$2,$C$3,$C$4,$C$6,$C$5,$C$7,AH$1,AH$2,$A270)</f>
        <v>0</v>
      </c>
      <c r="AI270" s="31">
        <f ca="1">_xll.DBRW($C$1,$C$2,$C$3,$C$4,$C$6,$C$5,$C$7,AI$1,AI$2,$A270)</f>
        <v>0</v>
      </c>
      <c r="AJ270" s="31">
        <f ca="1">_xll.DBRW($C$1,$C$2,$C$3,$C$4,$C$6,$C$5,$C$7,AJ$1,AJ$2,$A270)</f>
        <v>0</v>
      </c>
      <c r="AK270" s="31">
        <f ca="1">_xll.DBRW($C$1,$C$2,$C$3,$C$4,$C$6,$C$5,$C$7,AK$1,AK$2,$A270)</f>
        <v>0</v>
      </c>
      <c r="AL270" s="31">
        <f ca="1">_xll.DBRW($C$1,$C$2,$C$3,$C$4,$C$6,$C$5,$C$7,AL$1,AL$2,$A270)</f>
        <v>0</v>
      </c>
      <c r="AM270" s="31">
        <f ca="1">_xll.DBRW($C$1,$C$2,$C$3,$C$4,$C$6,$C$5,$C$7,AM$1,AM$2,$A270)</f>
        <v>0</v>
      </c>
      <c r="AN270" s="31">
        <f ca="1">_xll.DBRW($C$1,$C$2,$C$3,$C$4,$C$6,$C$5,$C$7,AN$1,AN$2,$A270)</f>
        <v>0</v>
      </c>
      <c r="AO270" s="31">
        <f ca="1">_xll.DBRW($C$1,$C$2,$C$3,$C$4,$C$6,$C$5,$C$7,AO$1,AO$2,$A270)</f>
        <v>0</v>
      </c>
      <c r="AP270" s="31">
        <f ca="1">_xll.DBRW($C$1,$C$2,$C$3,$C$4,$C$6,$C$5,$C$7,AP$1,AP$2,$A270)</f>
        <v>0</v>
      </c>
      <c r="AQ270" s="31">
        <f ca="1">_xll.DBRW($C$1,$C$2,$C$3,$C$4,$C$6,$C$5,$C$7,AQ$1,AQ$2,$A270)</f>
        <v>0</v>
      </c>
      <c r="AR270" s="31">
        <f ca="1">_xll.DBRW($C$1,$C$2,$C$3,$C$4,$C$6,$C$5,$C$7,AR$1,AR$2,$A270)</f>
        <v>0</v>
      </c>
      <c r="AS270" s="31">
        <f ca="1">_xll.DBRW($C$1,$C$2,$C$3,$C$4,$C$6,$C$5,$C$7,AS$1,AS$2,$A270)</f>
        <v>0</v>
      </c>
      <c r="AT270" s="31">
        <f ca="1">_xll.DBRW($C$1,$C$2,$C$3,$C$4,$C$6,$C$5,$C$7,AT$1,AT$2,$A270)</f>
        <v>0</v>
      </c>
      <c r="AU270" s="31">
        <f ca="1">_xll.DBRW($C$1,$C$2,$C$3,$C$4,$C$6,$C$5,$C$7,AU$1,AU$2,$A270)</f>
        <v>0</v>
      </c>
    </row>
    <row r="271" spans="1:47" ht="15.75" hidden="1" outlineLevel="1">
      <c r="A271" s="1" t="s">
        <v>323</v>
      </c>
      <c r="C271" s="141"/>
      <c r="E271" s="126" t="s">
        <v>63</v>
      </c>
      <c r="F271" s="127">
        <f t="shared" ref="F271:AU271" ca="1" si="146">SUM(F267:F270)</f>
        <v>0</v>
      </c>
      <c r="G271" s="127">
        <f t="shared" ca="1" si="146"/>
        <v>0</v>
      </c>
      <c r="H271" s="127">
        <f t="shared" ca="1" si="146"/>
        <v>0</v>
      </c>
      <c r="I271" s="127">
        <f t="shared" ca="1" si="146"/>
        <v>0</v>
      </c>
      <c r="J271" s="127">
        <f t="shared" ca="1" si="146"/>
        <v>0</v>
      </c>
      <c r="K271" s="127">
        <f t="shared" ca="1" si="146"/>
        <v>0</v>
      </c>
      <c r="L271" s="127">
        <f t="shared" ca="1" si="146"/>
        <v>0</v>
      </c>
      <c r="M271" s="127">
        <f t="shared" ca="1" si="146"/>
        <v>0</v>
      </c>
      <c r="N271" s="127">
        <f t="shared" ca="1" si="146"/>
        <v>0</v>
      </c>
      <c r="O271" s="127">
        <f t="shared" ca="1" si="146"/>
        <v>0</v>
      </c>
      <c r="P271" s="127">
        <f t="shared" ca="1" si="146"/>
        <v>0</v>
      </c>
      <c r="Q271" s="127">
        <f t="shared" ca="1" si="146"/>
        <v>0</v>
      </c>
      <c r="R271" s="127">
        <f t="shared" ca="1" si="146"/>
        <v>0</v>
      </c>
      <c r="S271" s="127">
        <f t="shared" ca="1" si="146"/>
        <v>0</v>
      </c>
      <c r="T271" s="127">
        <f t="shared" ca="1" si="146"/>
        <v>0</v>
      </c>
      <c r="U271" s="127">
        <f t="shared" ca="1" si="146"/>
        <v>0</v>
      </c>
      <c r="V271" s="127">
        <f t="shared" ca="1" si="146"/>
        <v>0</v>
      </c>
      <c r="W271" s="127">
        <f t="shared" ca="1" si="146"/>
        <v>0</v>
      </c>
      <c r="X271" s="127">
        <f t="shared" ca="1" si="146"/>
        <v>0</v>
      </c>
      <c r="Y271" s="127">
        <f t="shared" ca="1" si="146"/>
        <v>0</v>
      </c>
      <c r="Z271" s="127">
        <f t="shared" ca="1" si="146"/>
        <v>0</v>
      </c>
      <c r="AA271" s="127">
        <f t="shared" ca="1" si="146"/>
        <v>0</v>
      </c>
      <c r="AB271" s="127">
        <f t="shared" ca="1" si="146"/>
        <v>0</v>
      </c>
      <c r="AC271" s="127">
        <f t="shared" ca="1" si="146"/>
        <v>0</v>
      </c>
      <c r="AD271" s="127">
        <f t="shared" ca="1" si="146"/>
        <v>0</v>
      </c>
      <c r="AE271" s="127">
        <f t="shared" ca="1" si="146"/>
        <v>0</v>
      </c>
      <c r="AF271" s="127">
        <f t="shared" ca="1" si="146"/>
        <v>0</v>
      </c>
      <c r="AG271" s="127">
        <f t="shared" ca="1" si="146"/>
        <v>0</v>
      </c>
      <c r="AH271" s="127">
        <f t="shared" ca="1" si="146"/>
        <v>0</v>
      </c>
      <c r="AI271" s="127">
        <f t="shared" ca="1" si="146"/>
        <v>0</v>
      </c>
      <c r="AJ271" s="127">
        <f t="shared" ca="1" si="146"/>
        <v>0</v>
      </c>
      <c r="AK271" s="127">
        <f t="shared" ca="1" si="146"/>
        <v>0</v>
      </c>
      <c r="AL271" s="127">
        <f t="shared" ca="1" si="146"/>
        <v>0</v>
      </c>
      <c r="AM271" s="127">
        <f t="shared" ca="1" si="146"/>
        <v>0</v>
      </c>
      <c r="AN271" s="127">
        <f t="shared" ca="1" si="146"/>
        <v>0</v>
      </c>
      <c r="AO271" s="127">
        <f t="shared" ca="1" si="146"/>
        <v>0</v>
      </c>
      <c r="AP271" s="127">
        <f t="shared" ca="1" si="146"/>
        <v>0</v>
      </c>
      <c r="AQ271" s="127">
        <f t="shared" ca="1" si="146"/>
        <v>0</v>
      </c>
      <c r="AR271" s="127">
        <f t="shared" ca="1" si="146"/>
        <v>0</v>
      </c>
      <c r="AS271" s="127">
        <f t="shared" ca="1" si="146"/>
        <v>0</v>
      </c>
      <c r="AT271" s="127">
        <f t="shared" ca="1" si="146"/>
        <v>0</v>
      </c>
      <c r="AU271" s="127">
        <f t="shared" ca="1" si="146"/>
        <v>0</v>
      </c>
    </row>
    <row r="272" spans="1:47" ht="15.75" hidden="1" outlineLevel="1">
      <c r="A272" s="1" t="s">
        <v>324</v>
      </c>
      <c r="C272" s="141"/>
      <c r="E272" s="9" t="str">
        <f ca="1">_xll.DBRW(Server&amp;"}ElementAttributes_Indicator",A272,"code_English")</f>
        <v>RESOP_bef_mgmt_fees - OPERATING PROFIT bef. Mgmt &amp; Brand fees</v>
      </c>
      <c r="F272" s="31">
        <f ca="1">_xll.DBRW($C$1,$C$2,$C$3,$C$4,$C$6,$C$5,$C$7,F$1,F$2,$A272)</f>
        <v>10255724.15000001</v>
      </c>
      <c r="G272" s="31">
        <f ca="1">_xll.DBRW($C$1,$C$2,$C$3,$C$4,$C$6,$C$5,$C$7,G$1,G$2,$A272)</f>
        <v>-18636573.519999996</v>
      </c>
      <c r="H272" s="31">
        <f ca="1">_xll.DBRW($C$1,$C$2,$C$3,$C$4,$C$6,$C$5,$C$7,H$1,H$2,$A272)</f>
        <v>15017790.669600017</v>
      </c>
      <c r="I272" s="31">
        <f ca="1">_xll.DBRW($C$1,$C$2,$C$3,$C$4,$C$6,$C$5,$C$7,I$1,I$2,$A272)</f>
        <v>824093.9899999979</v>
      </c>
      <c r="J272" s="31">
        <f ca="1">_xll.DBRW($C$1,$C$2,$C$3,$C$4,$C$6,$C$5,$C$7,J$1,J$2,$A272)</f>
        <v>1325964.0399999954</v>
      </c>
      <c r="K272" s="31">
        <f ca="1">_xll.DBRW($C$1,$C$2,$C$3,$C$4,$C$6,$C$5,$C$7,K$1,K$2,$A272)</f>
        <v>2837807.0599999977</v>
      </c>
      <c r="L272" s="31">
        <f ca="1">_xll.DBRW($C$1,$C$2,$C$3,$C$4,$C$6,$C$5,$C$7,L$1,L$2,$A272)</f>
        <v>3440160.5300000012</v>
      </c>
      <c r="M272" s="31">
        <f ca="1">_xll.DBRW($C$1,$C$2,$C$3,$C$4,$C$6,$C$5,$C$7,M$1,M$2,$A272)</f>
        <v>4403533.7199999969</v>
      </c>
      <c r="N272" s="31">
        <f ca="1">_xll.DBRW($C$1,$C$2,$C$3,$C$4,$C$6,$C$5,$C$7,N$1,N$2,$A272)</f>
        <v>7396383.8599999975</v>
      </c>
      <c r="O272" s="31">
        <f ca="1">_xll.DBRW($C$1,$C$2,$C$3,$C$4,$C$6,$C$5,$C$7,O$1,O$2,$A272)</f>
        <v>7396383.8599999975</v>
      </c>
      <c r="P272" s="31">
        <f ca="1">_xll.DBRW($C$1,$C$2,$C$3,$C$4,$C$6,$C$5,$C$7,P$1,P$2,$A272)</f>
        <v>7396383.8599999975</v>
      </c>
      <c r="Q272" s="31">
        <f ca="1">_xll.DBRW($C$1,$C$2,$C$3,$C$4,$C$6,$C$5,$C$7,Q$1,Q$2,$A272)</f>
        <v>7396383.8599999975</v>
      </c>
      <c r="R272" s="31">
        <f ca="1">_xll.DBRW($C$1,$C$2,$C$3,$C$4,$C$6,$C$5,$C$7,R$1,R$2,$A272)</f>
        <v>7396383.8599999975</v>
      </c>
      <c r="S272" s="31">
        <f ca="1">_xll.DBRW($C$1,$C$2,$C$3,$C$4,$C$6,$C$5,$C$7,S$1,S$2,$A272)</f>
        <v>7396383.8599999975</v>
      </c>
      <c r="T272" s="31">
        <f ca="1">_xll.DBRW($C$1,$C$2,$C$3,$C$4,$C$6,$C$5,$C$7,T$1,T$2,$A272)</f>
        <v>7396383.8599999975</v>
      </c>
      <c r="U272" s="31">
        <f ca="1">_xll.DBRW($C$1,$C$2,$C$3,$C$4,$C$6,$C$5,$C$7,U$1,U$2,$A272)</f>
        <v>7396383.8599999975</v>
      </c>
      <c r="V272" s="31">
        <f ca="1">_xll.DBRW($C$1,$C$2,$C$3,$C$4,$C$6,$C$5,$C$7,V$1,V$2,$A272)</f>
        <v>0</v>
      </c>
      <c r="W272" s="31">
        <f ca="1">_xll.DBRW($C$1,$C$2,$C$3,$C$4,$C$6,$C$5,$C$7,W$1,W$2,$A272)</f>
        <v>0</v>
      </c>
      <c r="X272" s="31">
        <f ca="1">_xll.DBRW($C$1,$C$2,$C$3,$C$4,$C$6,$C$5,$C$7,X$1,X$2,$A272)</f>
        <v>0</v>
      </c>
      <c r="Y272" s="31">
        <f ca="1">_xll.DBRW($C$1,$C$2,$C$3,$C$4,$C$6,$C$5,$C$7,Y$1,Y$2,$A272)</f>
        <v>0</v>
      </c>
      <c r="Z272" s="31">
        <f ca="1">_xll.DBRW($C$1,$C$2,$C$3,$C$4,$C$6,$C$5,$C$7,Z$1,Z$2,$A272)</f>
        <v>0</v>
      </c>
      <c r="AA272" s="31">
        <f ca="1">_xll.DBRW($C$1,$C$2,$C$3,$C$4,$C$6,$C$5,$C$7,AA$1,AA$2,$A272)</f>
        <v>0</v>
      </c>
      <c r="AB272" s="31">
        <f ca="1">_xll.DBRW($C$1,$C$2,$C$3,$C$4,$C$6,$C$5,$C$7,AB$1,AB$2,$A272)</f>
        <v>0</v>
      </c>
      <c r="AC272" s="31">
        <f ca="1">_xll.DBRW($C$1,$C$2,$C$3,$C$4,$C$6,$C$5,$C$7,AC$1,AC$2,$A272)</f>
        <v>0</v>
      </c>
      <c r="AD272" s="31">
        <f ca="1">_xll.DBRW($C$1,$C$2,$C$3,$C$4,$C$6,$C$5,$C$7,AD$1,AD$2,$A272)</f>
        <v>0</v>
      </c>
      <c r="AE272" s="31">
        <f ca="1">_xll.DBRW($C$1,$C$2,$C$3,$C$4,$C$6,$C$5,$C$7,AE$1,AE$2,$A272)</f>
        <v>0</v>
      </c>
      <c r="AF272" s="31">
        <f ca="1">_xll.DBRW($C$1,$C$2,$C$3,$C$4,$C$6,$C$5,$C$7,AF$1,AF$2,$A272)</f>
        <v>0</v>
      </c>
      <c r="AG272" s="31">
        <f ca="1">_xll.DBRW($C$1,$C$2,$C$3,$C$4,$C$6,$C$5,$C$7,AG$1,AG$2,$A272)</f>
        <v>0</v>
      </c>
      <c r="AH272" s="31">
        <f ca="1">_xll.DBRW($C$1,$C$2,$C$3,$C$4,$C$6,$C$5,$C$7,AH$1,AH$2,$A272)</f>
        <v>0</v>
      </c>
      <c r="AI272" s="31">
        <f ca="1">_xll.DBRW($C$1,$C$2,$C$3,$C$4,$C$6,$C$5,$C$7,AI$1,AI$2,$A272)</f>
        <v>0</v>
      </c>
      <c r="AJ272" s="31">
        <f ca="1">_xll.DBRW($C$1,$C$2,$C$3,$C$4,$C$6,$C$5,$C$7,AJ$1,AJ$2,$A272)</f>
        <v>0</v>
      </c>
      <c r="AK272" s="31">
        <f ca="1">_xll.DBRW($C$1,$C$2,$C$3,$C$4,$C$6,$C$5,$C$7,AK$1,AK$2,$A272)</f>
        <v>0</v>
      </c>
      <c r="AL272" s="31">
        <f ca="1">_xll.DBRW($C$1,$C$2,$C$3,$C$4,$C$6,$C$5,$C$7,AL$1,AL$2,$A272)</f>
        <v>0</v>
      </c>
      <c r="AM272" s="31">
        <f ca="1">_xll.DBRW($C$1,$C$2,$C$3,$C$4,$C$6,$C$5,$C$7,AM$1,AM$2,$A272)</f>
        <v>0</v>
      </c>
      <c r="AN272" s="31">
        <f ca="1">_xll.DBRW($C$1,$C$2,$C$3,$C$4,$C$6,$C$5,$C$7,AN$1,AN$2,$A272)</f>
        <v>0</v>
      </c>
      <c r="AO272" s="31">
        <f ca="1">_xll.DBRW($C$1,$C$2,$C$3,$C$4,$C$6,$C$5,$C$7,AO$1,AO$2,$A272)</f>
        <v>0</v>
      </c>
      <c r="AP272" s="31">
        <f ca="1">_xll.DBRW($C$1,$C$2,$C$3,$C$4,$C$6,$C$5,$C$7,AP$1,AP$2,$A272)</f>
        <v>0</v>
      </c>
      <c r="AQ272" s="31">
        <f ca="1">_xll.DBRW($C$1,$C$2,$C$3,$C$4,$C$6,$C$5,$C$7,AQ$1,AQ$2,$A272)</f>
        <v>0</v>
      </c>
      <c r="AR272" s="31">
        <f ca="1">_xll.DBRW($C$1,$C$2,$C$3,$C$4,$C$6,$C$5,$C$7,AR$1,AR$2,$A272)</f>
        <v>0</v>
      </c>
      <c r="AS272" s="31">
        <f ca="1">_xll.DBRW($C$1,$C$2,$C$3,$C$4,$C$6,$C$5,$C$7,AS$1,AS$2,$A272)</f>
        <v>0</v>
      </c>
      <c r="AT272" s="31">
        <f ca="1">_xll.DBRW($C$1,$C$2,$C$3,$C$4,$C$6,$C$5,$C$7,AT$1,AT$2,$A272)</f>
        <v>0</v>
      </c>
      <c r="AU272" s="31">
        <f ca="1">_xll.DBRW($C$1,$C$2,$C$3,$C$4,$C$6,$C$5,$C$7,AU$1,AU$2,$A272)</f>
        <v>0</v>
      </c>
    </row>
    <row r="273" spans="1:47" ht="15.75" collapsed="1">
      <c r="A273" s="1" t="s">
        <v>127</v>
      </c>
      <c r="C273" s="141"/>
      <c r="E273" s="122" t="s">
        <v>64</v>
      </c>
      <c r="F273" s="123">
        <f t="shared" ref="F273:AU273" ca="1" si="147">F272</f>
        <v>10255724.15000001</v>
      </c>
      <c r="G273" s="123">
        <f t="shared" ca="1" si="147"/>
        <v>-18636573.519999996</v>
      </c>
      <c r="H273" s="123">
        <f ca="1">H272</f>
        <v>15017790.669600017</v>
      </c>
      <c r="I273" s="123">
        <f t="shared" ca="1" si="147"/>
        <v>824093.9899999979</v>
      </c>
      <c r="J273" s="123">
        <f t="shared" ca="1" si="147"/>
        <v>1325964.0399999954</v>
      </c>
      <c r="K273" s="123">
        <f t="shared" ca="1" si="147"/>
        <v>2837807.0599999977</v>
      </c>
      <c r="L273" s="123">
        <f t="shared" ca="1" si="147"/>
        <v>3440160.5300000012</v>
      </c>
      <c r="M273" s="123">
        <f t="shared" ca="1" si="147"/>
        <v>4403533.7199999969</v>
      </c>
      <c r="N273" s="123">
        <f t="shared" ca="1" si="147"/>
        <v>7396383.8599999975</v>
      </c>
      <c r="O273" s="123">
        <f t="shared" ca="1" si="147"/>
        <v>7396383.8599999975</v>
      </c>
      <c r="P273" s="123">
        <f t="shared" ca="1" si="147"/>
        <v>7396383.8599999975</v>
      </c>
      <c r="Q273" s="123">
        <f t="shared" ca="1" si="147"/>
        <v>7396383.8599999975</v>
      </c>
      <c r="R273" s="123">
        <f t="shared" ca="1" si="147"/>
        <v>7396383.8599999975</v>
      </c>
      <c r="S273" s="123">
        <f t="shared" ca="1" si="147"/>
        <v>7396383.8599999975</v>
      </c>
      <c r="T273" s="123">
        <f t="shared" ca="1" si="147"/>
        <v>7396383.8599999975</v>
      </c>
      <c r="U273" s="123">
        <f t="shared" ca="1" si="147"/>
        <v>7396383.8599999975</v>
      </c>
      <c r="V273" s="123">
        <f t="shared" ca="1" si="147"/>
        <v>0</v>
      </c>
      <c r="W273" s="123">
        <f t="shared" ca="1" si="147"/>
        <v>0</v>
      </c>
      <c r="X273" s="123">
        <f t="shared" ca="1" si="147"/>
        <v>0</v>
      </c>
      <c r="Y273" s="123">
        <f t="shared" ca="1" si="147"/>
        <v>0</v>
      </c>
      <c r="Z273" s="123">
        <f t="shared" ca="1" si="147"/>
        <v>0</v>
      </c>
      <c r="AA273" s="123">
        <f t="shared" ca="1" si="147"/>
        <v>0</v>
      </c>
      <c r="AB273" s="123">
        <f t="shared" ca="1" si="147"/>
        <v>0</v>
      </c>
      <c r="AC273" s="123">
        <f t="shared" ca="1" si="147"/>
        <v>0</v>
      </c>
      <c r="AD273" s="123">
        <f t="shared" ca="1" si="147"/>
        <v>0</v>
      </c>
      <c r="AE273" s="123">
        <f t="shared" ca="1" si="147"/>
        <v>0</v>
      </c>
      <c r="AF273" s="123">
        <f t="shared" ca="1" si="147"/>
        <v>0</v>
      </c>
      <c r="AG273" s="123">
        <f t="shared" ca="1" si="147"/>
        <v>0</v>
      </c>
      <c r="AH273" s="123">
        <f t="shared" ca="1" si="147"/>
        <v>0</v>
      </c>
      <c r="AI273" s="123">
        <f t="shared" ca="1" si="147"/>
        <v>0</v>
      </c>
      <c r="AJ273" s="123">
        <f t="shared" ca="1" si="147"/>
        <v>0</v>
      </c>
      <c r="AK273" s="123">
        <f t="shared" ca="1" si="147"/>
        <v>0</v>
      </c>
      <c r="AL273" s="123">
        <f t="shared" ca="1" si="147"/>
        <v>0</v>
      </c>
      <c r="AM273" s="123">
        <f t="shared" ca="1" si="147"/>
        <v>0</v>
      </c>
      <c r="AN273" s="123">
        <f t="shared" ca="1" si="147"/>
        <v>0</v>
      </c>
      <c r="AO273" s="123">
        <f t="shared" ca="1" si="147"/>
        <v>0</v>
      </c>
      <c r="AP273" s="123">
        <f t="shared" ca="1" si="147"/>
        <v>0</v>
      </c>
      <c r="AQ273" s="123">
        <f t="shared" ca="1" si="147"/>
        <v>0</v>
      </c>
      <c r="AR273" s="123">
        <f t="shared" ca="1" si="147"/>
        <v>0</v>
      </c>
      <c r="AS273" s="123">
        <f t="shared" ca="1" si="147"/>
        <v>0</v>
      </c>
      <c r="AT273" s="123">
        <f t="shared" ca="1" si="147"/>
        <v>0</v>
      </c>
      <c r="AU273" s="123">
        <f t="shared" ca="1" si="147"/>
        <v>0</v>
      </c>
    </row>
    <row r="274" spans="1:47" ht="15.75" hidden="1" outlineLevel="1">
      <c r="A274" s="1" t="s">
        <v>325</v>
      </c>
      <c r="C274" s="141"/>
      <c r="E274" s="9" t="str">
        <f ca="1">_xll.DBRW(Server&amp;"}ElementAttributes_Indicator",A274,"code_English")</f>
        <v>TPL1_nat - OPERATING PROFIT (by nature)</v>
      </c>
      <c r="F274" s="31">
        <f ca="1">_xll.DBRW($C$1,$C$2,$C$3,$C$4,$C$6,$C$5,$C$7,F$1,F$2,$A274)</f>
        <v>10255724.150000047</v>
      </c>
      <c r="G274" s="31">
        <f ca="1">_xll.DBRW($C$1,$C$2,$C$3,$C$4,$C$6,$C$5,$C$7,G$1,G$2,$A274)</f>
        <v>-18636573.520000003</v>
      </c>
      <c r="H274" s="31">
        <f ca="1">_xll.DBRW($C$1,$C$2,$C$3,$C$4,$C$6,$C$5,$C$7,H$1,H$2,$A274)</f>
        <v>15017790.669599954</v>
      </c>
      <c r="I274" s="31">
        <f ca="1">_xll.DBRW($C$1,$C$2,$C$3,$C$4,$C$6,$C$5,$C$7,I$1,I$2,$A274)</f>
        <v>824093.98999999173</v>
      </c>
      <c r="J274" s="31">
        <f ca="1">_xll.DBRW($C$1,$C$2,$C$3,$C$4,$C$6,$C$5,$C$7,J$1,J$2,$A274)</f>
        <v>1325964.0399999861</v>
      </c>
      <c r="K274" s="31">
        <f ca="1">_xll.DBRW($C$1,$C$2,$C$3,$C$4,$C$6,$C$5,$C$7,K$1,K$2,$A274)</f>
        <v>2837807.0599999949</v>
      </c>
      <c r="L274" s="31">
        <f ca="1">_xll.DBRW($C$1,$C$2,$C$3,$C$4,$C$6,$C$5,$C$7,L$1,L$2,$A274)</f>
        <v>3440160.5300000049</v>
      </c>
      <c r="M274" s="31">
        <f ca="1">_xll.DBRW($C$1,$C$2,$C$3,$C$4,$C$6,$C$5,$C$7,M$1,M$2,$A274)</f>
        <v>4403533.7199999932</v>
      </c>
      <c r="N274" s="31">
        <f ca="1">_xll.DBRW($C$1,$C$2,$C$3,$C$4,$C$6,$C$5,$C$7,N$1,N$2,$A274)</f>
        <v>7396383.8599999826</v>
      </c>
      <c r="O274" s="31">
        <f ca="1">_xll.DBRW($C$1,$C$2,$C$3,$C$4,$C$6,$C$5,$C$7,O$1,O$2,$A274)</f>
        <v>7396383.8599999826</v>
      </c>
      <c r="P274" s="31">
        <f ca="1">_xll.DBRW($C$1,$C$2,$C$3,$C$4,$C$6,$C$5,$C$7,P$1,P$2,$A274)</f>
        <v>7396383.8599999826</v>
      </c>
      <c r="Q274" s="31">
        <f ca="1">_xll.DBRW($C$1,$C$2,$C$3,$C$4,$C$6,$C$5,$C$7,Q$1,Q$2,$A274)</f>
        <v>7396383.8599999826</v>
      </c>
      <c r="R274" s="31">
        <f ca="1">_xll.DBRW($C$1,$C$2,$C$3,$C$4,$C$6,$C$5,$C$7,R$1,R$2,$A274)</f>
        <v>7396383.8599999826</v>
      </c>
      <c r="S274" s="31">
        <f ca="1">_xll.DBRW($C$1,$C$2,$C$3,$C$4,$C$6,$C$5,$C$7,S$1,S$2,$A274)</f>
        <v>7396383.8599999826</v>
      </c>
      <c r="T274" s="31">
        <f ca="1">_xll.DBRW($C$1,$C$2,$C$3,$C$4,$C$6,$C$5,$C$7,T$1,T$2,$A274)</f>
        <v>7396383.8599999826</v>
      </c>
      <c r="U274" s="31">
        <f ca="1">_xll.DBRW($C$1,$C$2,$C$3,$C$4,$C$6,$C$5,$C$7,U$1,U$2,$A274)</f>
        <v>7396383.8599999826</v>
      </c>
      <c r="V274" s="31">
        <f ca="1">_xll.DBRW($C$1,$C$2,$C$3,$C$4,$C$6,$C$5,$C$7,V$1,V$2,$A274)</f>
        <v>0</v>
      </c>
      <c r="W274" s="31">
        <f ca="1">_xll.DBRW($C$1,$C$2,$C$3,$C$4,$C$6,$C$5,$C$7,W$1,W$2,$A274)</f>
        <v>0</v>
      </c>
      <c r="X274" s="31">
        <f ca="1">_xll.DBRW($C$1,$C$2,$C$3,$C$4,$C$6,$C$5,$C$7,X$1,X$2,$A274)</f>
        <v>0</v>
      </c>
      <c r="Y274" s="31">
        <f ca="1">_xll.DBRW($C$1,$C$2,$C$3,$C$4,$C$6,$C$5,$C$7,Y$1,Y$2,$A274)</f>
        <v>0</v>
      </c>
      <c r="Z274" s="31">
        <f ca="1">_xll.DBRW($C$1,$C$2,$C$3,$C$4,$C$6,$C$5,$C$7,Z$1,Z$2,$A274)</f>
        <v>0</v>
      </c>
      <c r="AA274" s="31">
        <f ca="1">_xll.DBRW($C$1,$C$2,$C$3,$C$4,$C$6,$C$5,$C$7,AA$1,AA$2,$A274)</f>
        <v>0</v>
      </c>
      <c r="AB274" s="31">
        <f ca="1">_xll.DBRW($C$1,$C$2,$C$3,$C$4,$C$6,$C$5,$C$7,AB$1,AB$2,$A274)</f>
        <v>0</v>
      </c>
      <c r="AC274" s="31">
        <f ca="1">_xll.DBRW($C$1,$C$2,$C$3,$C$4,$C$6,$C$5,$C$7,AC$1,AC$2,$A274)</f>
        <v>0</v>
      </c>
      <c r="AD274" s="31">
        <f ca="1">_xll.DBRW($C$1,$C$2,$C$3,$C$4,$C$6,$C$5,$C$7,AD$1,AD$2,$A274)</f>
        <v>0</v>
      </c>
      <c r="AE274" s="31">
        <f ca="1">_xll.DBRW($C$1,$C$2,$C$3,$C$4,$C$6,$C$5,$C$7,AE$1,AE$2,$A274)</f>
        <v>0</v>
      </c>
      <c r="AF274" s="31">
        <f ca="1">_xll.DBRW($C$1,$C$2,$C$3,$C$4,$C$6,$C$5,$C$7,AF$1,AF$2,$A274)</f>
        <v>0</v>
      </c>
      <c r="AG274" s="31">
        <f ca="1">_xll.DBRW($C$1,$C$2,$C$3,$C$4,$C$6,$C$5,$C$7,AG$1,AG$2,$A274)</f>
        <v>0</v>
      </c>
      <c r="AH274" s="31">
        <f ca="1">_xll.DBRW($C$1,$C$2,$C$3,$C$4,$C$6,$C$5,$C$7,AH$1,AH$2,$A274)</f>
        <v>0</v>
      </c>
      <c r="AI274" s="31">
        <f ca="1">_xll.DBRW($C$1,$C$2,$C$3,$C$4,$C$6,$C$5,$C$7,AI$1,AI$2,$A274)</f>
        <v>0</v>
      </c>
      <c r="AJ274" s="31">
        <f ca="1">_xll.DBRW($C$1,$C$2,$C$3,$C$4,$C$6,$C$5,$C$7,AJ$1,AJ$2,$A274)</f>
        <v>0</v>
      </c>
      <c r="AK274" s="31">
        <f ca="1">_xll.DBRW($C$1,$C$2,$C$3,$C$4,$C$6,$C$5,$C$7,AK$1,AK$2,$A274)</f>
        <v>0</v>
      </c>
      <c r="AL274" s="31">
        <f ca="1">_xll.DBRW($C$1,$C$2,$C$3,$C$4,$C$6,$C$5,$C$7,AL$1,AL$2,$A274)</f>
        <v>0</v>
      </c>
      <c r="AM274" s="31">
        <f ca="1">_xll.DBRW($C$1,$C$2,$C$3,$C$4,$C$6,$C$5,$C$7,AM$1,AM$2,$A274)</f>
        <v>0</v>
      </c>
      <c r="AN274" s="31">
        <f ca="1">_xll.DBRW($C$1,$C$2,$C$3,$C$4,$C$6,$C$5,$C$7,AN$1,AN$2,$A274)</f>
        <v>0</v>
      </c>
      <c r="AO274" s="31">
        <f ca="1">_xll.DBRW($C$1,$C$2,$C$3,$C$4,$C$6,$C$5,$C$7,AO$1,AO$2,$A274)</f>
        <v>0</v>
      </c>
      <c r="AP274" s="31">
        <f ca="1">_xll.DBRW($C$1,$C$2,$C$3,$C$4,$C$6,$C$5,$C$7,AP$1,AP$2,$A274)</f>
        <v>0</v>
      </c>
      <c r="AQ274" s="31">
        <f ca="1">_xll.DBRW($C$1,$C$2,$C$3,$C$4,$C$6,$C$5,$C$7,AQ$1,AQ$2,$A274)</f>
        <v>0</v>
      </c>
      <c r="AR274" s="31">
        <f ca="1">_xll.DBRW($C$1,$C$2,$C$3,$C$4,$C$6,$C$5,$C$7,AR$1,AR$2,$A274)</f>
        <v>0</v>
      </c>
      <c r="AS274" s="31">
        <f ca="1">_xll.DBRW($C$1,$C$2,$C$3,$C$4,$C$6,$C$5,$C$7,AS$1,AS$2,$A274)</f>
        <v>0</v>
      </c>
      <c r="AT274" s="31">
        <f ca="1">_xll.DBRW($C$1,$C$2,$C$3,$C$4,$C$6,$C$5,$C$7,AT$1,AT$2,$A274)</f>
        <v>0</v>
      </c>
      <c r="AU274" s="31">
        <f ca="1">_xll.DBRW($C$1,$C$2,$C$3,$C$4,$C$6,$C$5,$C$7,AU$1,AU$2,$A274)</f>
        <v>0</v>
      </c>
    </row>
    <row r="275" spans="1:47" ht="15.75" collapsed="1">
      <c r="A275" s="1" t="s">
        <v>127</v>
      </c>
      <c r="C275" s="141"/>
      <c r="E275" s="122" t="s">
        <v>65</v>
      </c>
      <c r="F275" s="123">
        <f t="shared" ref="F275:AU275" ca="1" si="148">F274</f>
        <v>10255724.150000047</v>
      </c>
      <c r="G275" s="123">
        <f t="shared" ca="1" si="148"/>
        <v>-18636573.520000003</v>
      </c>
      <c r="H275" s="123">
        <f t="shared" ca="1" si="148"/>
        <v>15017790.669599954</v>
      </c>
      <c r="I275" s="123">
        <f t="shared" ca="1" si="148"/>
        <v>824093.98999999173</v>
      </c>
      <c r="J275" s="123">
        <f t="shared" ca="1" si="148"/>
        <v>1325964.0399999861</v>
      </c>
      <c r="K275" s="123">
        <f t="shared" ca="1" si="148"/>
        <v>2837807.0599999949</v>
      </c>
      <c r="L275" s="123">
        <f t="shared" ca="1" si="148"/>
        <v>3440160.5300000049</v>
      </c>
      <c r="M275" s="123">
        <f t="shared" ca="1" si="148"/>
        <v>4403533.7199999932</v>
      </c>
      <c r="N275" s="123">
        <f t="shared" ca="1" si="148"/>
        <v>7396383.8599999826</v>
      </c>
      <c r="O275" s="123">
        <f t="shared" ca="1" si="148"/>
        <v>7396383.8599999826</v>
      </c>
      <c r="P275" s="123">
        <f t="shared" ca="1" si="148"/>
        <v>7396383.8599999826</v>
      </c>
      <c r="Q275" s="123">
        <f t="shared" ca="1" si="148"/>
        <v>7396383.8599999826</v>
      </c>
      <c r="R275" s="123">
        <f t="shared" ca="1" si="148"/>
        <v>7396383.8599999826</v>
      </c>
      <c r="S275" s="123">
        <f t="shared" ca="1" si="148"/>
        <v>7396383.8599999826</v>
      </c>
      <c r="T275" s="123">
        <f t="shared" ca="1" si="148"/>
        <v>7396383.8599999826</v>
      </c>
      <c r="U275" s="123">
        <f t="shared" ca="1" si="148"/>
        <v>7396383.8599999826</v>
      </c>
      <c r="V275" s="123">
        <f t="shared" ca="1" si="148"/>
        <v>0</v>
      </c>
      <c r="W275" s="123">
        <f t="shared" ca="1" si="148"/>
        <v>0</v>
      </c>
      <c r="X275" s="123">
        <f t="shared" ca="1" si="148"/>
        <v>0</v>
      </c>
      <c r="Y275" s="123">
        <f t="shared" ca="1" si="148"/>
        <v>0</v>
      </c>
      <c r="Z275" s="123">
        <f t="shared" ca="1" si="148"/>
        <v>0</v>
      </c>
      <c r="AA275" s="123">
        <f t="shared" ca="1" si="148"/>
        <v>0</v>
      </c>
      <c r="AB275" s="123">
        <f t="shared" ca="1" si="148"/>
        <v>0</v>
      </c>
      <c r="AC275" s="123">
        <f t="shared" ca="1" si="148"/>
        <v>0</v>
      </c>
      <c r="AD275" s="123">
        <f t="shared" ca="1" si="148"/>
        <v>0</v>
      </c>
      <c r="AE275" s="123">
        <f t="shared" ca="1" si="148"/>
        <v>0</v>
      </c>
      <c r="AF275" s="123">
        <f t="shared" ca="1" si="148"/>
        <v>0</v>
      </c>
      <c r="AG275" s="123">
        <f t="shared" ca="1" si="148"/>
        <v>0</v>
      </c>
      <c r="AH275" s="123">
        <f t="shared" ca="1" si="148"/>
        <v>0</v>
      </c>
      <c r="AI275" s="123">
        <f t="shared" ca="1" si="148"/>
        <v>0</v>
      </c>
      <c r="AJ275" s="123">
        <f t="shared" ca="1" si="148"/>
        <v>0</v>
      </c>
      <c r="AK275" s="123">
        <f t="shared" ca="1" si="148"/>
        <v>0</v>
      </c>
      <c r="AL275" s="123">
        <f t="shared" ca="1" si="148"/>
        <v>0</v>
      </c>
      <c r="AM275" s="123">
        <f t="shared" ca="1" si="148"/>
        <v>0</v>
      </c>
      <c r="AN275" s="123">
        <f t="shared" ca="1" si="148"/>
        <v>0</v>
      </c>
      <c r="AO275" s="123">
        <f t="shared" ca="1" si="148"/>
        <v>0</v>
      </c>
      <c r="AP275" s="123">
        <f t="shared" ca="1" si="148"/>
        <v>0</v>
      </c>
      <c r="AQ275" s="123">
        <f t="shared" ca="1" si="148"/>
        <v>0</v>
      </c>
      <c r="AR275" s="123">
        <f t="shared" ca="1" si="148"/>
        <v>0</v>
      </c>
      <c r="AS275" s="123">
        <f t="shared" ca="1" si="148"/>
        <v>0</v>
      </c>
      <c r="AT275" s="123">
        <f t="shared" ca="1" si="148"/>
        <v>0</v>
      </c>
      <c r="AU275" s="123">
        <f t="shared" ca="1" si="148"/>
        <v>0</v>
      </c>
    </row>
    <row r="276" spans="1:47" ht="15">
      <c r="A276" s="1" t="s">
        <v>127</v>
      </c>
      <c r="C276" s="141"/>
      <c r="E276" s="128" t="s">
        <v>66</v>
      </c>
      <c r="F276" s="129">
        <f t="shared" ref="F276:AU276" ca="1" si="149">IFERROR(F275/F21,"-")</f>
        <v>1.4286934154482964E-2</v>
      </c>
      <c r="G276" s="129">
        <f t="shared" ca="1" si="149"/>
        <v>-2.9509902677902985E-2</v>
      </c>
      <c r="H276" s="129">
        <f t="shared" ca="1" si="149"/>
        <v>2.3417993549763691E-2</v>
      </c>
      <c r="I276" s="129">
        <f t="shared" ca="1" si="149"/>
        <v>1.4729988810937605E-2</v>
      </c>
      <c r="J276" s="129">
        <f t="shared" ca="1" si="149"/>
        <v>1.190787779521793E-2</v>
      </c>
      <c r="K276" s="129">
        <f t="shared" ca="1" si="149"/>
        <v>1.6359197523778058E-2</v>
      </c>
      <c r="L276" s="129">
        <f t="shared" ca="1" si="149"/>
        <v>1.4977965880675312E-2</v>
      </c>
      <c r="M276" s="129">
        <f t="shared" ca="1" si="149"/>
        <v>1.5263566691540975E-2</v>
      </c>
      <c r="N276" s="129">
        <f t="shared" ca="1" si="149"/>
        <v>2.1231633268086005E-2</v>
      </c>
      <c r="O276" s="129">
        <f t="shared" ca="1" si="149"/>
        <v>2.1231633268086005E-2</v>
      </c>
      <c r="P276" s="129">
        <f t="shared" ca="1" si="149"/>
        <v>2.1231633268086005E-2</v>
      </c>
      <c r="Q276" s="129">
        <f t="shared" ca="1" si="149"/>
        <v>2.1231633268086005E-2</v>
      </c>
      <c r="R276" s="129">
        <f t="shared" ca="1" si="149"/>
        <v>2.1231633268086005E-2</v>
      </c>
      <c r="S276" s="129">
        <f t="shared" ca="1" si="149"/>
        <v>2.1231633268086005E-2</v>
      </c>
      <c r="T276" s="129">
        <f t="shared" ca="1" si="149"/>
        <v>2.1231633268086005E-2</v>
      </c>
      <c r="U276" s="129">
        <f t="shared" ca="1" si="149"/>
        <v>2.1231633268086005E-2</v>
      </c>
      <c r="V276" s="129" t="str">
        <f t="shared" ca="1" si="149"/>
        <v>-</v>
      </c>
      <c r="W276" s="129" t="str">
        <f t="shared" ca="1" si="149"/>
        <v>-</v>
      </c>
      <c r="X276" s="129" t="str">
        <f t="shared" ca="1" si="149"/>
        <v>-</v>
      </c>
      <c r="Y276" s="129" t="str">
        <f t="shared" ca="1" si="149"/>
        <v>-</v>
      </c>
      <c r="Z276" s="129" t="str">
        <f t="shared" ca="1" si="149"/>
        <v>-</v>
      </c>
      <c r="AA276" s="129" t="str">
        <f t="shared" ca="1" si="149"/>
        <v>-</v>
      </c>
      <c r="AB276" s="129" t="str">
        <f t="shared" ca="1" si="149"/>
        <v>-</v>
      </c>
      <c r="AC276" s="129" t="str">
        <f t="shared" ca="1" si="149"/>
        <v>-</v>
      </c>
      <c r="AD276" s="129" t="str">
        <f t="shared" ca="1" si="149"/>
        <v>-</v>
      </c>
      <c r="AE276" s="129" t="str">
        <f t="shared" ca="1" si="149"/>
        <v>-</v>
      </c>
      <c r="AF276" s="129" t="str">
        <f t="shared" ca="1" si="149"/>
        <v>-</v>
      </c>
      <c r="AG276" s="129" t="str">
        <f t="shared" ca="1" si="149"/>
        <v>-</v>
      </c>
      <c r="AH276" s="129" t="str">
        <f t="shared" ca="1" si="149"/>
        <v>-</v>
      </c>
      <c r="AI276" s="129" t="str">
        <f t="shared" ca="1" si="149"/>
        <v>-</v>
      </c>
      <c r="AJ276" s="129" t="str">
        <f t="shared" ca="1" si="149"/>
        <v>-</v>
      </c>
      <c r="AK276" s="129" t="str">
        <f t="shared" ca="1" si="149"/>
        <v>-</v>
      </c>
      <c r="AL276" s="129" t="str">
        <f t="shared" ca="1" si="149"/>
        <v>-</v>
      </c>
      <c r="AM276" s="129" t="str">
        <f t="shared" ca="1" si="149"/>
        <v>-</v>
      </c>
      <c r="AN276" s="129" t="str">
        <f t="shared" ca="1" si="149"/>
        <v>-</v>
      </c>
      <c r="AO276" s="129" t="str">
        <f t="shared" ca="1" si="149"/>
        <v>-</v>
      </c>
      <c r="AP276" s="129" t="str">
        <f t="shared" ca="1" si="149"/>
        <v>-</v>
      </c>
      <c r="AQ276" s="129" t="str">
        <f t="shared" ca="1" si="149"/>
        <v>-</v>
      </c>
      <c r="AR276" s="129" t="str">
        <f t="shared" ca="1" si="149"/>
        <v>-</v>
      </c>
      <c r="AS276" s="129" t="str">
        <f t="shared" ca="1" si="149"/>
        <v>-</v>
      </c>
      <c r="AT276" s="129" t="str">
        <f t="shared" ca="1" si="149"/>
        <v>-</v>
      </c>
      <c r="AU276" s="129" t="str">
        <f t="shared" ca="1" si="149"/>
        <v>-</v>
      </c>
    </row>
    <row r="277" spans="1:47" ht="15">
      <c r="A277" s="1" t="s">
        <v>127</v>
      </c>
      <c r="C277" s="25"/>
      <c r="E277" s="26"/>
      <c r="F277" s="51">
        <f t="shared" ref="F277:AU277" ca="1" si="150">ROUND(F275-F221-F258-F261-F266-F271,4)</f>
        <v>0</v>
      </c>
      <c r="G277" s="51">
        <f ca="1">ROUND(G275-G221-G258-G261-G266-G271,4)</f>
        <v>0</v>
      </c>
      <c r="H277" s="51">
        <f t="shared" ca="1" si="150"/>
        <v>0</v>
      </c>
      <c r="I277" s="51">
        <f t="shared" ca="1" si="150"/>
        <v>0</v>
      </c>
      <c r="J277" s="51">
        <f t="shared" ca="1" si="150"/>
        <v>0</v>
      </c>
      <c r="K277" s="51">
        <f t="shared" ca="1" si="150"/>
        <v>0</v>
      </c>
      <c r="L277" s="51">
        <f t="shared" ca="1" si="150"/>
        <v>0</v>
      </c>
      <c r="M277" s="51">
        <f t="shared" ca="1" si="150"/>
        <v>0</v>
      </c>
      <c r="N277" s="51">
        <f t="shared" ca="1" si="150"/>
        <v>0</v>
      </c>
      <c r="O277" s="51">
        <f t="shared" ca="1" si="150"/>
        <v>0</v>
      </c>
      <c r="P277" s="51">
        <f t="shared" ca="1" si="150"/>
        <v>0</v>
      </c>
      <c r="Q277" s="51">
        <f t="shared" ca="1" si="150"/>
        <v>0</v>
      </c>
      <c r="R277" s="51">
        <f t="shared" ca="1" si="150"/>
        <v>0</v>
      </c>
      <c r="S277" s="51">
        <f t="shared" ca="1" si="150"/>
        <v>0</v>
      </c>
      <c r="T277" s="51">
        <f t="shared" ca="1" si="150"/>
        <v>0</v>
      </c>
      <c r="U277" s="51">
        <f t="shared" ca="1" si="150"/>
        <v>0</v>
      </c>
      <c r="V277" s="51">
        <f t="shared" ca="1" si="150"/>
        <v>0</v>
      </c>
      <c r="W277" s="51">
        <f t="shared" ca="1" si="150"/>
        <v>0</v>
      </c>
      <c r="X277" s="51">
        <f t="shared" ca="1" si="150"/>
        <v>0</v>
      </c>
      <c r="Y277" s="51">
        <f t="shared" ca="1" si="150"/>
        <v>0</v>
      </c>
      <c r="Z277" s="51">
        <f t="shared" ca="1" si="150"/>
        <v>0</v>
      </c>
      <c r="AA277" s="51">
        <f t="shared" ca="1" si="150"/>
        <v>0</v>
      </c>
      <c r="AB277" s="51">
        <f t="shared" ca="1" si="150"/>
        <v>0</v>
      </c>
      <c r="AC277" s="51">
        <f t="shared" ca="1" si="150"/>
        <v>0</v>
      </c>
      <c r="AD277" s="51">
        <f t="shared" ca="1" si="150"/>
        <v>0</v>
      </c>
      <c r="AE277" s="51">
        <f t="shared" ca="1" si="150"/>
        <v>0</v>
      </c>
      <c r="AF277" s="51">
        <f t="shared" ca="1" si="150"/>
        <v>0</v>
      </c>
      <c r="AG277" s="51">
        <f t="shared" ca="1" si="150"/>
        <v>0</v>
      </c>
      <c r="AH277" s="51">
        <f t="shared" ca="1" si="150"/>
        <v>0</v>
      </c>
      <c r="AI277" s="51">
        <f t="shared" ca="1" si="150"/>
        <v>0</v>
      </c>
      <c r="AJ277" s="51">
        <f t="shared" ca="1" si="150"/>
        <v>0</v>
      </c>
      <c r="AK277" s="51">
        <f t="shared" ca="1" si="150"/>
        <v>0</v>
      </c>
      <c r="AL277" s="51">
        <f t="shared" ca="1" si="150"/>
        <v>0</v>
      </c>
      <c r="AM277" s="51">
        <f t="shared" ca="1" si="150"/>
        <v>0</v>
      </c>
      <c r="AN277" s="51">
        <f t="shared" ca="1" si="150"/>
        <v>0</v>
      </c>
      <c r="AO277" s="51">
        <f t="shared" ca="1" si="150"/>
        <v>0</v>
      </c>
      <c r="AP277" s="51">
        <f t="shared" ca="1" si="150"/>
        <v>0</v>
      </c>
      <c r="AQ277" s="51">
        <f t="shared" ca="1" si="150"/>
        <v>0</v>
      </c>
      <c r="AR277" s="51">
        <f t="shared" ca="1" si="150"/>
        <v>0</v>
      </c>
      <c r="AS277" s="51">
        <f t="shared" ca="1" si="150"/>
        <v>0</v>
      </c>
      <c r="AT277" s="51">
        <f t="shared" ca="1" si="150"/>
        <v>0</v>
      </c>
      <c r="AU277" s="51">
        <f t="shared" ca="1" si="150"/>
        <v>0</v>
      </c>
    </row>
    <row r="278" spans="1:47" ht="15.75">
      <c r="A278" s="1" t="s">
        <v>127</v>
      </c>
      <c r="E278" s="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27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</row>
    <row r="279" spans="1:47" ht="15.75" hidden="1" outlineLevel="1">
      <c r="A279" s="1" t="s">
        <v>326</v>
      </c>
      <c r="E279" s="9" t="str">
        <f ca="1">_xll.DBRW(Server&amp;"}ElementAttributes_Indicator",A279,"code_English")</f>
        <v>CAPEX_RS - Gross industrial CAPEX - Rolling stock</v>
      </c>
      <c r="F279" s="10">
        <f ca="1">_xll.DBRW($C$1,$C$2,$C$3,$C$4,$C$6,$C$5,$C$7,F$1,F$2,$A279)</f>
        <v>0</v>
      </c>
      <c r="G279" s="10">
        <f ca="1">_xll.DBRW($C$1,$C$2,$C$3,$C$4,$C$6,$C$5,$C$7,G$1,G$2,$A279)</f>
        <v>0</v>
      </c>
      <c r="H279" s="10">
        <f ca="1">_xll.DBRW($C$1,$C$2,$C$3,$C$4,$C$6,$C$5,$C$7,H$1,H$2,$A279)</f>
        <v>0</v>
      </c>
      <c r="I279" s="10">
        <f ca="1">_xll.DBRW($C$1,$C$2,$C$3,$C$4,$C$6,$C$5,$C$7,I$1,I$2,$A279)</f>
        <v>0</v>
      </c>
      <c r="J279" s="10">
        <f ca="1">_xll.DBRW($C$1,$C$2,$C$3,$C$4,$C$6,$C$5,$C$7,J$1,J$2,$A279)</f>
        <v>0</v>
      </c>
      <c r="K279" s="10">
        <f ca="1">_xll.DBRW($C$1,$C$2,$C$3,$C$4,$C$6,$C$5,$C$7,K$1,K$2,$A279)</f>
        <v>0</v>
      </c>
      <c r="L279" s="10">
        <f ca="1">_xll.DBRW($C$1,$C$2,$C$3,$C$4,$C$6,$C$5,$C$7,L$1,L$2,$A279)</f>
        <v>0</v>
      </c>
      <c r="M279" s="10">
        <f ca="1">_xll.DBRW($C$1,$C$2,$C$3,$C$4,$C$6,$C$5,$C$7,M$1,M$2,$A279)</f>
        <v>0</v>
      </c>
      <c r="N279" s="10">
        <f ca="1">_xll.DBRW($C$1,$C$2,$C$3,$C$4,$C$6,$C$5,$C$7,N$1,N$2,$A279)</f>
        <v>0</v>
      </c>
      <c r="O279" s="10">
        <f ca="1">_xll.DBRW($C$1,$C$2,$C$3,$C$4,$C$6,$C$5,$C$7,O$1,O$2,$A279)</f>
        <v>0</v>
      </c>
      <c r="P279" s="10">
        <f ca="1">_xll.DBRW($C$1,$C$2,$C$3,$C$4,$C$6,$C$5,$C$7,P$1,P$2,$A279)</f>
        <v>0</v>
      </c>
      <c r="Q279" s="10">
        <f ca="1">_xll.DBRW($C$1,$C$2,$C$3,$C$4,$C$6,$C$5,$C$7,Q$1,Q$2,$A279)</f>
        <v>0</v>
      </c>
      <c r="R279" s="10">
        <f ca="1">_xll.DBRW($C$1,$C$2,$C$3,$C$4,$C$6,$C$5,$C$7,R$1,R$2,$A279)</f>
        <v>0</v>
      </c>
      <c r="S279" s="10">
        <f ca="1">_xll.DBRW($C$1,$C$2,$C$3,$C$4,$C$6,$C$5,$C$7,S$1,S$2,$A279)</f>
        <v>0</v>
      </c>
      <c r="T279" s="10">
        <f ca="1">_xll.DBRW($C$1,$C$2,$C$3,$C$4,$C$6,$C$5,$C$7,T$1,T$2,$A279)</f>
        <v>0</v>
      </c>
      <c r="U279" s="10">
        <f ca="1">_xll.DBRW($C$1,$C$2,$C$3,$C$4,$C$6,$C$5,$C$7,U$1,U$2,$A279)</f>
        <v>0</v>
      </c>
      <c r="V279" s="10">
        <f ca="1">_xll.DBRW($C$1,$C$2,$C$3,$C$4,$C$6,$C$5,$C$7,V$1,V$2,$A279)</f>
        <v>0</v>
      </c>
      <c r="W279" s="10">
        <f ca="1">_xll.DBRW($C$1,$C$2,$C$3,$C$4,$C$6,$C$5,$C$7,W$1,W$2,$A279)</f>
        <v>0</v>
      </c>
      <c r="X279" s="10">
        <f ca="1">_xll.DBRW($C$1,$C$2,$C$3,$C$4,$C$6,$C$5,$C$7,X$1,X$2,$A279)</f>
        <v>0</v>
      </c>
      <c r="Y279" s="10">
        <f ca="1">_xll.DBRW($C$1,$C$2,$C$3,$C$4,$C$6,$C$5,$C$7,Y$1,Y$2,$A279)</f>
        <v>0</v>
      </c>
      <c r="Z279" s="10">
        <f ca="1">_xll.DBRW($C$1,$C$2,$C$3,$C$4,$C$6,$C$5,$C$7,Z$1,Z$2,$A279)</f>
        <v>0</v>
      </c>
      <c r="AA279" s="10">
        <f ca="1">_xll.DBRW($C$1,$C$2,$C$3,$C$4,$C$6,$C$5,$C$7,AA$1,AA$2,$A279)</f>
        <v>0</v>
      </c>
      <c r="AB279" s="10">
        <f ca="1">_xll.DBRW($C$1,$C$2,$C$3,$C$4,$C$6,$C$5,$C$7,AB$1,AB$2,$A279)</f>
        <v>0</v>
      </c>
      <c r="AC279" s="10">
        <f ca="1">_xll.DBRW($C$1,$C$2,$C$3,$C$4,$C$6,$C$5,$C$7,AC$1,AC$2,$A279)</f>
        <v>0</v>
      </c>
      <c r="AD279" s="10">
        <f ca="1">_xll.DBRW($C$1,$C$2,$C$3,$C$4,$C$6,$C$5,$C$7,AD$1,AD$2,$A279)</f>
        <v>0</v>
      </c>
      <c r="AE279" s="10">
        <f ca="1">_xll.DBRW($C$1,$C$2,$C$3,$C$4,$C$6,$C$5,$C$7,AE$1,AE$2,$A279)</f>
        <v>0</v>
      </c>
      <c r="AF279" s="10">
        <f ca="1">_xll.DBRW($C$1,$C$2,$C$3,$C$4,$C$6,$C$5,$C$7,AF$1,AF$2,$A279)</f>
        <v>0</v>
      </c>
      <c r="AG279" s="10">
        <f ca="1">_xll.DBRW($C$1,$C$2,$C$3,$C$4,$C$6,$C$5,$C$7,AG$1,AG$2,$A279)</f>
        <v>0</v>
      </c>
      <c r="AH279" s="10">
        <f ca="1">_xll.DBRW($C$1,$C$2,$C$3,$C$4,$C$6,$C$5,$C$7,AH$1,AH$2,$A279)</f>
        <v>0</v>
      </c>
      <c r="AI279" s="10">
        <f ca="1">_xll.DBRW($C$1,$C$2,$C$3,$C$4,$C$6,$C$5,$C$7,AI$1,AI$2,$A279)</f>
        <v>0</v>
      </c>
      <c r="AJ279" s="10">
        <f ca="1">_xll.DBRW($C$1,$C$2,$C$3,$C$4,$C$6,$C$5,$C$7,AJ$1,AJ$2,$A279)</f>
        <v>0</v>
      </c>
      <c r="AK279" s="10">
        <f ca="1">_xll.DBRW($C$1,$C$2,$C$3,$C$4,$C$6,$C$5,$C$7,AK$1,AK$2,$A279)</f>
        <v>0</v>
      </c>
      <c r="AL279" s="10">
        <f ca="1">_xll.DBRW($C$1,$C$2,$C$3,$C$4,$C$6,$C$5,$C$7,AL$1,AL$2,$A279)</f>
        <v>0</v>
      </c>
      <c r="AM279" s="10">
        <f ca="1">_xll.DBRW($C$1,$C$2,$C$3,$C$4,$C$6,$C$5,$C$7,AM$1,AM$2,$A279)</f>
        <v>0</v>
      </c>
      <c r="AN279" s="10">
        <f ca="1">_xll.DBRW($C$1,$C$2,$C$3,$C$4,$C$6,$C$5,$C$7,AN$1,AN$2,$A279)</f>
        <v>0</v>
      </c>
      <c r="AO279" s="10">
        <f ca="1">_xll.DBRW($C$1,$C$2,$C$3,$C$4,$C$6,$C$5,$C$7,AO$1,AO$2,$A279)</f>
        <v>0</v>
      </c>
      <c r="AP279" s="10">
        <f ca="1">_xll.DBRW($C$1,$C$2,$C$3,$C$4,$C$6,$C$5,$C$7,AP$1,AP$2,$A279)</f>
        <v>0</v>
      </c>
      <c r="AQ279" s="10">
        <f ca="1">_xll.DBRW($C$1,$C$2,$C$3,$C$4,$C$6,$C$5,$C$7,AQ$1,AQ$2,$A279)</f>
        <v>0</v>
      </c>
      <c r="AR279" s="10">
        <f ca="1">_xll.DBRW($C$1,$C$2,$C$3,$C$4,$C$6,$C$5,$C$7,AR$1,AR$2,$A279)</f>
        <v>0</v>
      </c>
      <c r="AS279" s="10">
        <f ca="1">_xll.DBRW($C$1,$C$2,$C$3,$C$4,$C$6,$C$5,$C$7,AS$1,AS$2,$A279)</f>
        <v>0</v>
      </c>
      <c r="AT279" s="10">
        <f ca="1">_xll.DBRW($C$1,$C$2,$C$3,$C$4,$C$6,$C$5,$C$7,AT$1,AT$2,$A279)</f>
        <v>0</v>
      </c>
      <c r="AU279" s="10">
        <f ca="1">_xll.DBRW($C$1,$C$2,$C$3,$C$4,$C$6,$C$5,$C$7,AU$1,AU$2,$A279)</f>
        <v>0</v>
      </c>
    </row>
    <row r="280" spans="1:47" ht="15.75" hidden="1" outlineLevel="1">
      <c r="A280" s="1" t="s">
        <v>327</v>
      </c>
      <c r="E280" s="9" t="str">
        <f ca="1">_xll.DBRW(Server&amp;"}ElementAttributes_Indicator",A280,"code_English")</f>
        <v>DISP_RS - Industrial Disposals - Rolling stock</v>
      </c>
      <c r="F280" s="10">
        <f ca="1">_xll.DBRW($C$1,$C$2,$C$3,$C$4,$C$6,$C$5,$C$7,F$1,F$2,$A280)</f>
        <v>0</v>
      </c>
      <c r="G280" s="10">
        <f ca="1">_xll.DBRW($C$1,$C$2,$C$3,$C$4,$C$6,$C$5,$C$7,G$1,G$2,$A280)</f>
        <v>0</v>
      </c>
      <c r="H280" s="10">
        <f ca="1">_xll.DBRW($C$1,$C$2,$C$3,$C$4,$C$6,$C$5,$C$7,H$1,H$2,$A280)</f>
        <v>0</v>
      </c>
      <c r="I280" s="10">
        <f ca="1">_xll.DBRW($C$1,$C$2,$C$3,$C$4,$C$6,$C$5,$C$7,I$1,I$2,$A280)</f>
        <v>0</v>
      </c>
      <c r="J280" s="10">
        <f ca="1">_xll.DBRW($C$1,$C$2,$C$3,$C$4,$C$6,$C$5,$C$7,J$1,J$2,$A280)</f>
        <v>0</v>
      </c>
      <c r="K280" s="10">
        <f ca="1">_xll.DBRW($C$1,$C$2,$C$3,$C$4,$C$6,$C$5,$C$7,K$1,K$2,$A280)</f>
        <v>0</v>
      </c>
      <c r="L280" s="10">
        <f ca="1">_xll.DBRW($C$1,$C$2,$C$3,$C$4,$C$6,$C$5,$C$7,L$1,L$2,$A280)</f>
        <v>0</v>
      </c>
      <c r="M280" s="10">
        <f ca="1">_xll.DBRW($C$1,$C$2,$C$3,$C$4,$C$6,$C$5,$C$7,M$1,M$2,$A280)</f>
        <v>0</v>
      </c>
      <c r="N280" s="10">
        <f ca="1">_xll.DBRW($C$1,$C$2,$C$3,$C$4,$C$6,$C$5,$C$7,N$1,N$2,$A280)</f>
        <v>0</v>
      </c>
      <c r="O280" s="10">
        <f ca="1">_xll.DBRW($C$1,$C$2,$C$3,$C$4,$C$6,$C$5,$C$7,O$1,O$2,$A280)</f>
        <v>0</v>
      </c>
      <c r="P280" s="10">
        <f ca="1">_xll.DBRW($C$1,$C$2,$C$3,$C$4,$C$6,$C$5,$C$7,P$1,P$2,$A280)</f>
        <v>0</v>
      </c>
      <c r="Q280" s="10">
        <f ca="1">_xll.DBRW($C$1,$C$2,$C$3,$C$4,$C$6,$C$5,$C$7,Q$1,Q$2,$A280)</f>
        <v>0</v>
      </c>
      <c r="R280" s="10">
        <f ca="1">_xll.DBRW($C$1,$C$2,$C$3,$C$4,$C$6,$C$5,$C$7,R$1,R$2,$A280)</f>
        <v>0</v>
      </c>
      <c r="S280" s="10">
        <f ca="1">_xll.DBRW($C$1,$C$2,$C$3,$C$4,$C$6,$C$5,$C$7,S$1,S$2,$A280)</f>
        <v>0</v>
      </c>
      <c r="T280" s="10">
        <f ca="1">_xll.DBRW($C$1,$C$2,$C$3,$C$4,$C$6,$C$5,$C$7,T$1,T$2,$A280)</f>
        <v>0</v>
      </c>
      <c r="U280" s="10">
        <f ca="1">_xll.DBRW($C$1,$C$2,$C$3,$C$4,$C$6,$C$5,$C$7,U$1,U$2,$A280)</f>
        <v>0</v>
      </c>
      <c r="V280" s="10">
        <f ca="1">_xll.DBRW($C$1,$C$2,$C$3,$C$4,$C$6,$C$5,$C$7,V$1,V$2,$A280)</f>
        <v>0</v>
      </c>
      <c r="W280" s="10">
        <f ca="1">_xll.DBRW($C$1,$C$2,$C$3,$C$4,$C$6,$C$5,$C$7,W$1,W$2,$A280)</f>
        <v>0</v>
      </c>
      <c r="X280" s="10">
        <f ca="1">_xll.DBRW($C$1,$C$2,$C$3,$C$4,$C$6,$C$5,$C$7,X$1,X$2,$A280)</f>
        <v>0</v>
      </c>
      <c r="Y280" s="10">
        <f ca="1">_xll.DBRW($C$1,$C$2,$C$3,$C$4,$C$6,$C$5,$C$7,Y$1,Y$2,$A280)</f>
        <v>0</v>
      </c>
      <c r="Z280" s="10">
        <f ca="1">_xll.DBRW($C$1,$C$2,$C$3,$C$4,$C$6,$C$5,$C$7,Z$1,Z$2,$A280)</f>
        <v>0</v>
      </c>
      <c r="AA280" s="10">
        <f ca="1">_xll.DBRW($C$1,$C$2,$C$3,$C$4,$C$6,$C$5,$C$7,AA$1,AA$2,$A280)</f>
        <v>0</v>
      </c>
      <c r="AB280" s="10">
        <f ca="1">_xll.DBRW($C$1,$C$2,$C$3,$C$4,$C$6,$C$5,$C$7,AB$1,AB$2,$A280)</f>
        <v>0</v>
      </c>
      <c r="AC280" s="10">
        <f ca="1">_xll.DBRW($C$1,$C$2,$C$3,$C$4,$C$6,$C$5,$C$7,AC$1,AC$2,$A280)</f>
        <v>0</v>
      </c>
      <c r="AD280" s="10">
        <f ca="1">_xll.DBRW($C$1,$C$2,$C$3,$C$4,$C$6,$C$5,$C$7,AD$1,AD$2,$A280)</f>
        <v>0</v>
      </c>
      <c r="AE280" s="10">
        <f ca="1">_xll.DBRW($C$1,$C$2,$C$3,$C$4,$C$6,$C$5,$C$7,AE$1,AE$2,$A280)</f>
        <v>0</v>
      </c>
      <c r="AF280" s="10">
        <f ca="1">_xll.DBRW($C$1,$C$2,$C$3,$C$4,$C$6,$C$5,$C$7,AF$1,AF$2,$A280)</f>
        <v>0</v>
      </c>
      <c r="AG280" s="10">
        <f ca="1">_xll.DBRW($C$1,$C$2,$C$3,$C$4,$C$6,$C$5,$C$7,AG$1,AG$2,$A280)</f>
        <v>0</v>
      </c>
      <c r="AH280" s="10">
        <f ca="1">_xll.DBRW($C$1,$C$2,$C$3,$C$4,$C$6,$C$5,$C$7,AH$1,AH$2,$A280)</f>
        <v>0</v>
      </c>
      <c r="AI280" s="10">
        <f ca="1">_xll.DBRW($C$1,$C$2,$C$3,$C$4,$C$6,$C$5,$C$7,AI$1,AI$2,$A280)</f>
        <v>0</v>
      </c>
      <c r="AJ280" s="10">
        <f ca="1">_xll.DBRW($C$1,$C$2,$C$3,$C$4,$C$6,$C$5,$C$7,AJ$1,AJ$2,$A280)</f>
        <v>0</v>
      </c>
      <c r="AK280" s="10">
        <f ca="1">_xll.DBRW($C$1,$C$2,$C$3,$C$4,$C$6,$C$5,$C$7,AK$1,AK$2,$A280)</f>
        <v>0</v>
      </c>
      <c r="AL280" s="10">
        <f ca="1">_xll.DBRW($C$1,$C$2,$C$3,$C$4,$C$6,$C$5,$C$7,AL$1,AL$2,$A280)</f>
        <v>0</v>
      </c>
      <c r="AM280" s="10">
        <f ca="1">_xll.DBRW($C$1,$C$2,$C$3,$C$4,$C$6,$C$5,$C$7,AM$1,AM$2,$A280)</f>
        <v>0</v>
      </c>
      <c r="AN280" s="10">
        <f ca="1">_xll.DBRW($C$1,$C$2,$C$3,$C$4,$C$6,$C$5,$C$7,AN$1,AN$2,$A280)</f>
        <v>0</v>
      </c>
      <c r="AO280" s="10">
        <f ca="1">_xll.DBRW($C$1,$C$2,$C$3,$C$4,$C$6,$C$5,$C$7,AO$1,AO$2,$A280)</f>
        <v>0</v>
      </c>
      <c r="AP280" s="10">
        <f ca="1">_xll.DBRW($C$1,$C$2,$C$3,$C$4,$C$6,$C$5,$C$7,AP$1,AP$2,$A280)</f>
        <v>0</v>
      </c>
      <c r="AQ280" s="10">
        <f ca="1">_xll.DBRW($C$1,$C$2,$C$3,$C$4,$C$6,$C$5,$C$7,AQ$1,AQ$2,$A280)</f>
        <v>0</v>
      </c>
      <c r="AR280" s="10">
        <f ca="1">_xll.DBRW($C$1,$C$2,$C$3,$C$4,$C$6,$C$5,$C$7,AR$1,AR$2,$A280)</f>
        <v>0</v>
      </c>
      <c r="AS280" s="10">
        <f ca="1">_xll.DBRW($C$1,$C$2,$C$3,$C$4,$C$6,$C$5,$C$7,AS$1,AS$2,$A280)</f>
        <v>0</v>
      </c>
      <c r="AT280" s="10">
        <f ca="1">_xll.DBRW($C$1,$C$2,$C$3,$C$4,$C$6,$C$5,$C$7,AT$1,AT$2,$A280)</f>
        <v>0</v>
      </c>
      <c r="AU280" s="10">
        <f ca="1">_xll.DBRW($C$1,$C$2,$C$3,$C$4,$C$6,$C$5,$C$7,AU$1,AU$2,$A280)</f>
        <v>0</v>
      </c>
    </row>
    <row r="281" spans="1:47" ht="15.75" customHeight="1" collapsed="1">
      <c r="C281" s="141" t="s">
        <v>67</v>
      </c>
      <c r="E281" s="87" t="s">
        <v>68</v>
      </c>
      <c r="F281" s="39">
        <f t="shared" ref="F281:T281" ca="1" si="151">SUM(F279:F280)</f>
        <v>0</v>
      </c>
      <c r="G281" s="39">
        <f t="shared" ca="1" si="151"/>
        <v>0</v>
      </c>
      <c r="H281" s="39">
        <f t="shared" ca="1" si="151"/>
        <v>0</v>
      </c>
      <c r="I281" s="39">
        <f t="shared" ca="1" si="151"/>
        <v>0</v>
      </c>
      <c r="J281" s="39">
        <f t="shared" ca="1" si="151"/>
        <v>0</v>
      </c>
      <c r="K281" s="39">
        <f t="shared" ca="1" si="151"/>
        <v>0</v>
      </c>
      <c r="L281" s="39">
        <f t="shared" ca="1" si="151"/>
        <v>0</v>
      </c>
      <c r="M281" s="39">
        <f t="shared" ca="1" si="151"/>
        <v>0</v>
      </c>
      <c r="N281" s="39">
        <f t="shared" ca="1" si="151"/>
        <v>0</v>
      </c>
      <c r="O281" s="39">
        <f t="shared" ca="1" si="151"/>
        <v>0</v>
      </c>
      <c r="P281" s="39">
        <f t="shared" ca="1" si="151"/>
        <v>0</v>
      </c>
      <c r="Q281" s="39">
        <f t="shared" ca="1" si="151"/>
        <v>0</v>
      </c>
      <c r="R281" s="39">
        <f t="shared" ca="1" si="151"/>
        <v>0</v>
      </c>
      <c r="S281" s="39">
        <f t="shared" ca="1" si="151"/>
        <v>0</v>
      </c>
      <c r="T281" s="39">
        <f t="shared" ca="1" si="151"/>
        <v>0</v>
      </c>
      <c r="U281" s="39">
        <f ca="1">SUM(U279:U280)</f>
        <v>0</v>
      </c>
      <c r="V281" s="39">
        <f t="shared" ref="V281:AG281" ca="1" si="152">SUM(V279:V280)</f>
        <v>0</v>
      </c>
      <c r="W281" s="39">
        <f t="shared" ca="1" si="152"/>
        <v>0</v>
      </c>
      <c r="X281" s="39">
        <f t="shared" ca="1" si="152"/>
        <v>0</v>
      </c>
      <c r="Y281" s="39">
        <f t="shared" ca="1" si="152"/>
        <v>0</v>
      </c>
      <c r="Z281" s="39">
        <f t="shared" ca="1" si="152"/>
        <v>0</v>
      </c>
      <c r="AA281" s="39">
        <f t="shared" ca="1" si="152"/>
        <v>0</v>
      </c>
      <c r="AB281" s="39">
        <f t="shared" ca="1" si="152"/>
        <v>0</v>
      </c>
      <c r="AC281" s="39">
        <f t="shared" ca="1" si="152"/>
        <v>0</v>
      </c>
      <c r="AD281" s="39">
        <f t="shared" ca="1" si="152"/>
        <v>0</v>
      </c>
      <c r="AE281" s="39">
        <f t="shared" ca="1" si="152"/>
        <v>0</v>
      </c>
      <c r="AF281" s="39">
        <f t="shared" ca="1" si="152"/>
        <v>0</v>
      </c>
      <c r="AG281" s="39">
        <f t="shared" ca="1" si="152"/>
        <v>0</v>
      </c>
      <c r="AH281" s="39">
        <f ca="1">SUM(AH279:AH280)</f>
        <v>0</v>
      </c>
      <c r="AI281" s="39">
        <f t="shared" ref="AI281:AT281" ca="1" si="153">SUM(AI279:AI280)</f>
        <v>0</v>
      </c>
      <c r="AJ281" s="39">
        <f t="shared" ca="1" si="153"/>
        <v>0</v>
      </c>
      <c r="AK281" s="39">
        <f t="shared" ca="1" si="153"/>
        <v>0</v>
      </c>
      <c r="AL281" s="39">
        <f t="shared" ca="1" si="153"/>
        <v>0</v>
      </c>
      <c r="AM281" s="39">
        <f t="shared" ca="1" si="153"/>
        <v>0</v>
      </c>
      <c r="AN281" s="39">
        <f t="shared" ca="1" si="153"/>
        <v>0</v>
      </c>
      <c r="AO281" s="39">
        <f t="shared" ca="1" si="153"/>
        <v>0</v>
      </c>
      <c r="AP281" s="39">
        <f t="shared" ca="1" si="153"/>
        <v>0</v>
      </c>
      <c r="AQ281" s="39">
        <f t="shared" ca="1" si="153"/>
        <v>0</v>
      </c>
      <c r="AR281" s="39">
        <f t="shared" ca="1" si="153"/>
        <v>0</v>
      </c>
      <c r="AS281" s="39">
        <f t="shared" ca="1" si="153"/>
        <v>0</v>
      </c>
      <c r="AT281" s="39">
        <f t="shared" ca="1" si="153"/>
        <v>0</v>
      </c>
      <c r="AU281" s="39">
        <f ca="1">SUM(AU279:AU280)</f>
        <v>0</v>
      </c>
    </row>
    <row r="282" spans="1:47" ht="15.75" hidden="1" customHeight="1" outlineLevel="1">
      <c r="A282" s="1" t="s">
        <v>328</v>
      </c>
      <c r="C282" s="141"/>
      <c r="E282" s="9" t="str">
        <f ca="1">_xll.DBRW(Server&amp;"}ElementAttributes_Indicator",A282,"code_English")</f>
        <v>CAPEX_BE - Gross industrial CAPEX - Buildings plants &amp; equipment</v>
      </c>
      <c r="F282" s="32">
        <f ca="1">_xll.DBRW($C$1,$C$2,$C$3,$C$4,$C$6,$C$5,$C$7,F$1,F$2,$A282)</f>
        <v>0</v>
      </c>
      <c r="G282" s="32">
        <f ca="1">_xll.DBRW($C$1,$C$2,$C$3,$C$4,$C$6,$C$5,$C$7,G$1,G$2,$A282)</f>
        <v>0</v>
      </c>
      <c r="H282" s="32">
        <f ca="1">_xll.DBRW($C$1,$C$2,$C$3,$C$4,$C$6,$C$5,$C$7,H$1,H$2,$A282)</f>
        <v>0</v>
      </c>
      <c r="I282" s="32">
        <f ca="1">_xll.DBRW($C$1,$C$2,$C$3,$C$4,$C$6,$C$5,$C$7,I$1,I$2,$A282)</f>
        <v>0</v>
      </c>
      <c r="J282" s="32">
        <f ca="1">_xll.DBRW($C$1,$C$2,$C$3,$C$4,$C$6,$C$5,$C$7,J$1,J$2,$A282)</f>
        <v>0</v>
      </c>
      <c r="K282" s="32">
        <f ca="1">_xll.DBRW($C$1,$C$2,$C$3,$C$4,$C$6,$C$5,$C$7,K$1,K$2,$A282)</f>
        <v>0</v>
      </c>
      <c r="L282" s="32">
        <f ca="1">_xll.DBRW($C$1,$C$2,$C$3,$C$4,$C$6,$C$5,$C$7,L$1,L$2,$A282)</f>
        <v>0</v>
      </c>
      <c r="M282" s="32">
        <f ca="1">_xll.DBRW($C$1,$C$2,$C$3,$C$4,$C$6,$C$5,$C$7,M$1,M$2,$A282)</f>
        <v>0</v>
      </c>
      <c r="N282" s="32">
        <f ca="1">_xll.DBRW($C$1,$C$2,$C$3,$C$4,$C$6,$C$5,$C$7,N$1,N$2,$A282)</f>
        <v>0</v>
      </c>
      <c r="O282" s="32">
        <f ca="1">_xll.DBRW($C$1,$C$2,$C$3,$C$4,$C$6,$C$5,$C$7,O$1,O$2,$A282)</f>
        <v>0</v>
      </c>
      <c r="P282" s="32">
        <f ca="1">_xll.DBRW($C$1,$C$2,$C$3,$C$4,$C$6,$C$5,$C$7,P$1,P$2,$A282)</f>
        <v>0</v>
      </c>
      <c r="Q282" s="32">
        <f ca="1">_xll.DBRW($C$1,$C$2,$C$3,$C$4,$C$6,$C$5,$C$7,Q$1,Q$2,$A282)</f>
        <v>0</v>
      </c>
      <c r="R282" s="32">
        <f ca="1">_xll.DBRW($C$1,$C$2,$C$3,$C$4,$C$6,$C$5,$C$7,R$1,R$2,$A282)</f>
        <v>0</v>
      </c>
      <c r="S282" s="32">
        <f ca="1">_xll.DBRW($C$1,$C$2,$C$3,$C$4,$C$6,$C$5,$C$7,S$1,S$2,$A282)</f>
        <v>0</v>
      </c>
      <c r="T282" s="32">
        <f ca="1">_xll.DBRW($C$1,$C$2,$C$3,$C$4,$C$6,$C$5,$C$7,T$1,T$2,$A282)</f>
        <v>0</v>
      </c>
      <c r="U282" s="32">
        <f ca="1">_xll.DBRW($C$1,$C$2,$C$3,$C$4,$C$6,$C$5,$C$7,U$1,U$2,$A282)</f>
        <v>0</v>
      </c>
      <c r="V282" s="32">
        <f ca="1">_xll.DBRW($C$1,$C$2,$C$3,$C$4,$C$6,$C$5,$C$7,V$1,V$2,$A282)</f>
        <v>0</v>
      </c>
      <c r="W282" s="32">
        <f ca="1">_xll.DBRW($C$1,$C$2,$C$3,$C$4,$C$6,$C$5,$C$7,W$1,W$2,$A282)</f>
        <v>0</v>
      </c>
      <c r="X282" s="32">
        <f ca="1">_xll.DBRW($C$1,$C$2,$C$3,$C$4,$C$6,$C$5,$C$7,X$1,X$2,$A282)</f>
        <v>0</v>
      </c>
      <c r="Y282" s="32">
        <f ca="1">_xll.DBRW($C$1,$C$2,$C$3,$C$4,$C$6,$C$5,$C$7,Y$1,Y$2,$A282)</f>
        <v>0</v>
      </c>
      <c r="Z282" s="32">
        <f ca="1">_xll.DBRW($C$1,$C$2,$C$3,$C$4,$C$6,$C$5,$C$7,Z$1,Z$2,$A282)</f>
        <v>0</v>
      </c>
      <c r="AA282" s="32">
        <f ca="1">_xll.DBRW($C$1,$C$2,$C$3,$C$4,$C$6,$C$5,$C$7,AA$1,AA$2,$A282)</f>
        <v>0</v>
      </c>
      <c r="AB282" s="32">
        <f ca="1">_xll.DBRW($C$1,$C$2,$C$3,$C$4,$C$6,$C$5,$C$7,AB$1,AB$2,$A282)</f>
        <v>0</v>
      </c>
      <c r="AC282" s="32">
        <f ca="1">_xll.DBRW($C$1,$C$2,$C$3,$C$4,$C$6,$C$5,$C$7,AC$1,AC$2,$A282)</f>
        <v>0</v>
      </c>
      <c r="AD282" s="32">
        <f ca="1">_xll.DBRW($C$1,$C$2,$C$3,$C$4,$C$6,$C$5,$C$7,AD$1,AD$2,$A282)</f>
        <v>0</v>
      </c>
      <c r="AE282" s="32">
        <f ca="1">_xll.DBRW($C$1,$C$2,$C$3,$C$4,$C$6,$C$5,$C$7,AE$1,AE$2,$A282)</f>
        <v>0</v>
      </c>
      <c r="AF282" s="32">
        <f ca="1">_xll.DBRW($C$1,$C$2,$C$3,$C$4,$C$6,$C$5,$C$7,AF$1,AF$2,$A282)</f>
        <v>0</v>
      </c>
      <c r="AG282" s="32">
        <f ca="1">_xll.DBRW($C$1,$C$2,$C$3,$C$4,$C$6,$C$5,$C$7,AG$1,AG$2,$A282)</f>
        <v>0</v>
      </c>
      <c r="AH282" s="32">
        <f ca="1">_xll.DBRW($C$1,$C$2,$C$3,$C$4,$C$6,$C$5,$C$7,AH$1,AH$2,$A282)</f>
        <v>0</v>
      </c>
      <c r="AI282" s="32">
        <f ca="1">_xll.DBRW($C$1,$C$2,$C$3,$C$4,$C$6,$C$5,$C$7,AI$1,AI$2,$A282)</f>
        <v>0</v>
      </c>
      <c r="AJ282" s="32">
        <f ca="1">_xll.DBRW($C$1,$C$2,$C$3,$C$4,$C$6,$C$5,$C$7,AJ$1,AJ$2,$A282)</f>
        <v>0</v>
      </c>
      <c r="AK282" s="32">
        <f ca="1">_xll.DBRW($C$1,$C$2,$C$3,$C$4,$C$6,$C$5,$C$7,AK$1,AK$2,$A282)</f>
        <v>0</v>
      </c>
      <c r="AL282" s="32">
        <f ca="1">_xll.DBRW($C$1,$C$2,$C$3,$C$4,$C$6,$C$5,$C$7,AL$1,AL$2,$A282)</f>
        <v>0</v>
      </c>
      <c r="AM282" s="32">
        <f ca="1">_xll.DBRW($C$1,$C$2,$C$3,$C$4,$C$6,$C$5,$C$7,AM$1,AM$2,$A282)</f>
        <v>0</v>
      </c>
      <c r="AN282" s="32">
        <f ca="1">_xll.DBRW($C$1,$C$2,$C$3,$C$4,$C$6,$C$5,$C$7,AN$1,AN$2,$A282)</f>
        <v>0</v>
      </c>
      <c r="AO282" s="32">
        <f ca="1">_xll.DBRW($C$1,$C$2,$C$3,$C$4,$C$6,$C$5,$C$7,AO$1,AO$2,$A282)</f>
        <v>0</v>
      </c>
      <c r="AP282" s="32">
        <f ca="1">_xll.DBRW($C$1,$C$2,$C$3,$C$4,$C$6,$C$5,$C$7,AP$1,AP$2,$A282)</f>
        <v>0</v>
      </c>
      <c r="AQ282" s="32">
        <f ca="1">_xll.DBRW($C$1,$C$2,$C$3,$C$4,$C$6,$C$5,$C$7,AQ$1,AQ$2,$A282)</f>
        <v>0</v>
      </c>
      <c r="AR282" s="32">
        <f ca="1">_xll.DBRW($C$1,$C$2,$C$3,$C$4,$C$6,$C$5,$C$7,AR$1,AR$2,$A282)</f>
        <v>0</v>
      </c>
      <c r="AS282" s="32">
        <f ca="1">_xll.DBRW($C$1,$C$2,$C$3,$C$4,$C$6,$C$5,$C$7,AS$1,AS$2,$A282)</f>
        <v>0</v>
      </c>
      <c r="AT282" s="32">
        <f ca="1">_xll.DBRW($C$1,$C$2,$C$3,$C$4,$C$6,$C$5,$C$7,AT$1,AT$2,$A282)</f>
        <v>0</v>
      </c>
      <c r="AU282" s="32">
        <f ca="1">_xll.DBRW($C$1,$C$2,$C$3,$C$4,$C$6,$C$5,$C$7,AU$1,AU$2,$A282)</f>
        <v>0</v>
      </c>
    </row>
    <row r="283" spans="1:47" ht="15.75" hidden="1" customHeight="1" outlineLevel="1">
      <c r="A283" s="1" t="s">
        <v>329</v>
      </c>
      <c r="C283" s="141"/>
      <c r="E283" s="9" t="s">
        <v>365</v>
      </c>
      <c r="F283" s="32">
        <f ca="1">_xll.DBRW($C$1,$C$2,$C$3,$C$4,$C$6,$C$5,$C$7,F$1,F$2,$A283)</f>
        <v>0</v>
      </c>
      <c r="G283" s="32">
        <f ca="1">_xll.DBRW($C$1,$C$2,$C$3,$C$4,$C$6,$C$5,$C$7,G$1,G$2,$A283)</f>
        <v>0</v>
      </c>
      <c r="H283" s="32">
        <f ca="1">_xll.DBRW($C$1,$C$2,$C$3,$C$4,$C$6,$C$5,$C$7,H$1,H$2,$A283)</f>
        <v>0</v>
      </c>
      <c r="I283" s="32">
        <f ca="1">_xll.DBRW($C$1,$C$2,$C$3,$C$4,$C$6,$C$5,$C$7,I$1,I$2,$A283)</f>
        <v>0</v>
      </c>
      <c r="J283" s="32">
        <f ca="1">_xll.DBRW($C$1,$C$2,$C$3,$C$4,$C$6,$C$5,$C$7,J$1,J$2,$A283)</f>
        <v>0</v>
      </c>
      <c r="K283" s="32">
        <f ca="1">_xll.DBRW($C$1,$C$2,$C$3,$C$4,$C$6,$C$5,$C$7,K$1,K$2,$A283)</f>
        <v>0</v>
      </c>
      <c r="L283" s="32">
        <f ca="1">_xll.DBRW($C$1,$C$2,$C$3,$C$4,$C$6,$C$5,$C$7,L$1,L$2,$A283)</f>
        <v>0</v>
      </c>
      <c r="M283" s="32">
        <f ca="1">_xll.DBRW($C$1,$C$2,$C$3,$C$4,$C$6,$C$5,$C$7,M$1,M$2,$A283)</f>
        <v>0</v>
      </c>
      <c r="N283" s="32">
        <f ca="1">_xll.DBRW($C$1,$C$2,$C$3,$C$4,$C$6,$C$5,$C$7,N$1,N$2,$A283)</f>
        <v>0</v>
      </c>
      <c r="O283" s="32">
        <f ca="1">_xll.DBRW($C$1,$C$2,$C$3,$C$4,$C$6,$C$5,$C$7,O$1,O$2,$A283)</f>
        <v>0</v>
      </c>
      <c r="P283" s="32">
        <f ca="1">_xll.DBRW($C$1,$C$2,$C$3,$C$4,$C$6,$C$5,$C$7,P$1,P$2,$A283)</f>
        <v>0</v>
      </c>
      <c r="Q283" s="32">
        <f ca="1">_xll.DBRW($C$1,$C$2,$C$3,$C$4,$C$6,$C$5,$C$7,Q$1,Q$2,$A283)</f>
        <v>0</v>
      </c>
      <c r="R283" s="32">
        <f ca="1">_xll.DBRW($C$1,$C$2,$C$3,$C$4,$C$6,$C$5,$C$7,R$1,R$2,$A283)</f>
        <v>0</v>
      </c>
      <c r="S283" s="32">
        <f ca="1">_xll.DBRW($C$1,$C$2,$C$3,$C$4,$C$6,$C$5,$C$7,S$1,S$2,$A283)</f>
        <v>0</v>
      </c>
      <c r="T283" s="32">
        <f ca="1">_xll.DBRW($C$1,$C$2,$C$3,$C$4,$C$6,$C$5,$C$7,T$1,T$2,$A283)</f>
        <v>0</v>
      </c>
      <c r="U283" s="32">
        <f ca="1">_xll.DBRW($C$1,$C$2,$C$3,$C$4,$C$6,$C$5,$C$7,U$1,U$2,$A283)</f>
        <v>0</v>
      </c>
      <c r="V283" s="32">
        <f ca="1">_xll.DBRW($C$1,$C$2,$C$3,$C$4,$C$6,$C$5,$C$7,V$1,V$2,$A283)</f>
        <v>0</v>
      </c>
      <c r="W283" s="32">
        <f ca="1">_xll.DBRW($C$1,$C$2,$C$3,$C$4,$C$6,$C$5,$C$7,W$1,W$2,$A283)</f>
        <v>0</v>
      </c>
      <c r="X283" s="32">
        <f ca="1">_xll.DBRW($C$1,$C$2,$C$3,$C$4,$C$6,$C$5,$C$7,X$1,X$2,$A283)</f>
        <v>0</v>
      </c>
      <c r="Y283" s="32">
        <f ca="1">_xll.DBRW($C$1,$C$2,$C$3,$C$4,$C$6,$C$5,$C$7,Y$1,Y$2,$A283)</f>
        <v>0</v>
      </c>
      <c r="Z283" s="32">
        <f ca="1">_xll.DBRW($C$1,$C$2,$C$3,$C$4,$C$6,$C$5,$C$7,Z$1,Z$2,$A283)</f>
        <v>0</v>
      </c>
      <c r="AA283" s="32">
        <f ca="1">_xll.DBRW($C$1,$C$2,$C$3,$C$4,$C$6,$C$5,$C$7,AA$1,AA$2,$A283)</f>
        <v>0</v>
      </c>
      <c r="AB283" s="32">
        <f ca="1">_xll.DBRW($C$1,$C$2,$C$3,$C$4,$C$6,$C$5,$C$7,AB$1,AB$2,$A283)</f>
        <v>0</v>
      </c>
      <c r="AC283" s="32">
        <f ca="1">_xll.DBRW($C$1,$C$2,$C$3,$C$4,$C$6,$C$5,$C$7,AC$1,AC$2,$A283)</f>
        <v>0</v>
      </c>
      <c r="AD283" s="32">
        <f ca="1">_xll.DBRW($C$1,$C$2,$C$3,$C$4,$C$6,$C$5,$C$7,AD$1,AD$2,$A283)</f>
        <v>0</v>
      </c>
      <c r="AE283" s="32">
        <f ca="1">_xll.DBRW($C$1,$C$2,$C$3,$C$4,$C$6,$C$5,$C$7,AE$1,AE$2,$A283)</f>
        <v>0</v>
      </c>
      <c r="AF283" s="32">
        <f ca="1">_xll.DBRW($C$1,$C$2,$C$3,$C$4,$C$6,$C$5,$C$7,AF$1,AF$2,$A283)</f>
        <v>0</v>
      </c>
      <c r="AG283" s="32">
        <f ca="1">_xll.DBRW($C$1,$C$2,$C$3,$C$4,$C$6,$C$5,$C$7,AG$1,AG$2,$A283)</f>
        <v>0</v>
      </c>
      <c r="AH283" s="32">
        <f ca="1">_xll.DBRW($C$1,$C$2,$C$3,$C$4,$C$6,$C$5,$C$7,AH$1,AH$2,$A283)</f>
        <v>0</v>
      </c>
      <c r="AI283" s="32">
        <f ca="1">_xll.DBRW($C$1,$C$2,$C$3,$C$4,$C$6,$C$5,$C$7,AI$1,AI$2,$A283)</f>
        <v>0</v>
      </c>
      <c r="AJ283" s="32">
        <f ca="1">_xll.DBRW($C$1,$C$2,$C$3,$C$4,$C$6,$C$5,$C$7,AJ$1,AJ$2,$A283)</f>
        <v>0</v>
      </c>
      <c r="AK283" s="32">
        <f ca="1">_xll.DBRW($C$1,$C$2,$C$3,$C$4,$C$6,$C$5,$C$7,AK$1,AK$2,$A283)</f>
        <v>0</v>
      </c>
      <c r="AL283" s="32">
        <f ca="1">_xll.DBRW($C$1,$C$2,$C$3,$C$4,$C$6,$C$5,$C$7,AL$1,AL$2,$A283)</f>
        <v>0</v>
      </c>
      <c r="AM283" s="32">
        <f ca="1">_xll.DBRW($C$1,$C$2,$C$3,$C$4,$C$6,$C$5,$C$7,AM$1,AM$2,$A283)</f>
        <v>0</v>
      </c>
      <c r="AN283" s="32">
        <f ca="1">_xll.DBRW($C$1,$C$2,$C$3,$C$4,$C$6,$C$5,$C$7,AN$1,AN$2,$A283)</f>
        <v>0</v>
      </c>
      <c r="AO283" s="32">
        <f ca="1">_xll.DBRW($C$1,$C$2,$C$3,$C$4,$C$6,$C$5,$C$7,AO$1,AO$2,$A283)</f>
        <v>0</v>
      </c>
      <c r="AP283" s="32">
        <f ca="1">_xll.DBRW($C$1,$C$2,$C$3,$C$4,$C$6,$C$5,$C$7,AP$1,AP$2,$A283)</f>
        <v>0</v>
      </c>
      <c r="AQ283" s="32">
        <f ca="1">_xll.DBRW($C$1,$C$2,$C$3,$C$4,$C$6,$C$5,$C$7,AQ$1,AQ$2,$A283)</f>
        <v>0</v>
      </c>
      <c r="AR283" s="32">
        <f ca="1">_xll.DBRW($C$1,$C$2,$C$3,$C$4,$C$6,$C$5,$C$7,AR$1,AR$2,$A283)</f>
        <v>0</v>
      </c>
      <c r="AS283" s="32">
        <f ca="1">_xll.DBRW($C$1,$C$2,$C$3,$C$4,$C$6,$C$5,$C$7,AS$1,AS$2,$A283)</f>
        <v>0</v>
      </c>
      <c r="AT283" s="32">
        <f ca="1">_xll.DBRW($C$1,$C$2,$C$3,$C$4,$C$6,$C$5,$C$7,AT$1,AT$2,$A283)</f>
        <v>0</v>
      </c>
      <c r="AU283" s="32">
        <f ca="1">_xll.DBRW($C$1,$C$2,$C$3,$C$4,$C$6,$C$5,$C$7,AU$1,AU$2,$A283)</f>
        <v>0</v>
      </c>
    </row>
    <row r="284" spans="1:47" ht="15.75" collapsed="1">
      <c r="C284" s="141"/>
      <c r="E284" s="83" t="s">
        <v>69</v>
      </c>
      <c r="F284" s="38">
        <f t="shared" ref="F284:T284" ca="1" si="154">SUM(F282:F283)</f>
        <v>0</v>
      </c>
      <c r="G284" s="38">
        <f t="shared" ca="1" si="154"/>
        <v>0</v>
      </c>
      <c r="H284" s="38">
        <f t="shared" ca="1" si="154"/>
        <v>0</v>
      </c>
      <c r="I284" s="38">
        <f t="shared" ca="1" si="154"/>
        <v>0</v>
      </c>
      <c r="J284" s="38">
        <f t="shared" ca="1" si="154"/>
        <v>0</v>
      </c>
      <c r="K284" s="38">
        <f t="shared" ca="1" si="154"/>
        <v>0</v>
      </c>
      <c r="L284" s="38">
        <f t="shared" ca="1" si="154"/>
        <v>0</v>
      </c>
      <c r="M284" s="38">
        <f t="shared" ca="1" si="154"/>
        <v>0</v>
      </c>
      <c r="N284" s="38">
        <f t="shared" ca="1" si="154"/>
        <v>0</v>
      </c>
      <c r="O284" s="38">
        <f t="shared" ca="1" si="154"/>
        <v>0</v>
      </c>
      <c r="P284" s="38">
        <f t="shared" ca="1" si="154"/>
        <v>0</v>
      </c>
      <c r="Q284" s="38">
        <f t="shared" ca="1" si="154"/>
        <v>0</v>
      </c>
      <c r="R284" s="38">
        <f t="shared" ca="1" si="154"/>
        <v>0</v>
      </c>
      <c r="S284" s="38">
        <f t="shared" ca="1" si="154"/>
        <v>0</v>
      </c>
      <c r="T284" s="38">
        <f t="shared" ca="1" si="154"/>
        <v>0</v>
      </c>
      <c r="U284" s="38">
        <f ca="1">SUM(U282:U283)</f>
        <v>0</v>
      </c>
      <c r="V284" s="38">
        <f t="shared" ref="V284:AG284" ca="1" si="155">SUM(V282:V283)</f>
        <v>0</v>
      </c>
      <c r="W284" s="38">
        <f t="shared" ca="1" si="155"/>
        <v>0</v>
      </c>
      <c r="X284" s="38">
        <f t="shared" ca="1" si="155"/>
        <v>0</v>
      </c>
      <c r="Y284" s="38">
        <f t="shared" ca="1" si="155"/>
        <v>0</v>
      </c>
      <c r="Z284" s="38">
        <f t="shared" ca="1" si="155"/>
        <v>0</v>
      </c>
      <c r="AA284" s="38">
        <f t="shared" ca="1" si="155"/>
        <v>0</v>
      </c>
      <c r="AB284" s="38">
        <f t="shared" ca="1" si="155"/>
        <v>0</v>
      </c>
      <c r="AC284" s="38">
        <f t="shared" ca="1" si="155"/>
        <v>0</v>
      </c>
      <c r="AD284" s="38">
        <f t="shared" ca="1" si="155"/>
        <v>0</v>
      </c>
      <c r="AE284" s="38">
        <f t="shared" ca="1" si="155"/>
        <v>0</v>
      </c>
      <c r="AF284" s="38">
        <f t="shared" ca="1" si="155"/>
        <v>0</v>
      </c>
      <c r="AG284" s="38">
        <f t="shared" ca="1" si="155"/>
        <v>0</v>
      </c>
      <c r="AH284" s="38">
        <f ca="1">SUM(AH282:AH283)</f>
        <v>0</v>
      </c>
      <c r="AI284" s="38">
        <f t="shared" ref="AI284:AT284" ca="1" si="156">SUM(AI282:AI283)</f>
        <v>0</v>
      </c>
      <c r="AJ284" s="38">
        <f t="shared" ca="1" si="156"/>
        <v>0</v>
      </c>
      <c r="AK284" s="38">
        <f t="shared" ca="1" si="156"/>
        <v>0</v>
      </c>
      <c r="AL284" s="38">
        <f t="shared" ca="1" si="156"/>
        <v>0</v>
      </c>
      <c r="AM284" s="38">
        <f t="shared" ca="1" si="156"/>
        <v>0</v>
      </c>
      <c r="AN284" s="38">
        <f t="shared" ca="1" si="156"/>
        <v>0</v>
      </c>
      <c r="AO284" s="38">
        <f t="shared" ca="1" si="156"/>
        <v>0</v>
      </c>
      <c r="AP284" s="38">
        <f t="shared" ca="1" si="156"/>
        <v>0</v>
      </c>
      <c r="AQ284" s="38">
        <f t="shared" ca="1" si="156"/>
        <v>0</v>
      </c>
      <c r="AR284" s="38">
        <f t="shared" ca="1" si="156"/>
        <v>0</v>
      </c>
      <c r="AS284" s="38">
        <f t="shared" ca="1" si="156"/>
        <v>0</v>
      </c>
      <c r="AT284" s="38">
        <f t="shared" ca="1" si="156"/>
        <v>0</v>
      </c>
      <c r="AU284" s="38">
        <f ca="1">SUM(AU282:AU283)</f>
        <v>0</v>
      </c>
    </row>
    <row r="285" spans="1:47" ht="15.75" hidden="1" customHeight="1" outlineLevel="1">
      <c r="A285" s="1" t="s">
        <v>352</v>
      </c>
      <c r="C285" s="141"/>
      <c r="E285" s="9" t="str">
        <f ca="1">_xll.DBRW(Server&amp;"}ElementAttributes_Indicator",A285,"code_English")</f>
        <v>CAPEX_IT - Gross industrial CAPEX - IT</v>
      </c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</row>
    <row r="286" spans="1:47" ht="15.75" hidden="1" customHeight="1" outlineLevel="1">
      <c r="A286" s="1" t="s">
        <v>353</v>
      </c>
      <c r="C286" s="141"/>
      <c r="E286" s="9" t="str">
        <f ca="1">_xll.DBRW(Server&amp;"}ElementAttributes_Indicator",A286,"code_English")</f>
        <v>DISP_IT - Industrial Disposals - IT</v>
      </c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</row>
    <row r="287" spans="1:47" ht="15.75" collapsed="1">
      <c r="C287" s="141"/>
      <c r="E287" s="83" t="s">
        <v>70</v>
      </c>
      <c r="F287" s="38">
        <f t="shared" ref="F287:AU287" si="157">SUM(F285:F286)</f>
        <v>0</v>
      </c>
      <c r="G287" s="38">
        <f t="shared" si="157"/>
        <v>0</v>
      </c>
      <c r="H287" s="38">
        <f t="shared" si="157"/>
        <v>0</v>
      </c>
      <c r="I287" s="38">
        <f t="shared" si="157"/>
        <v>0</v>
      </c>
      <c r="J287" s="38">
        <f t="shared" si="157"/>
        <v>0</v>
      </c>
      <c r="K287" s="38">
        <f t="shared" si="157"/>
        <v>0</v>
      </c>
      <c r="L287" s="38">
        <f t="shared" si="157"/>
        <v>0</v>
      </c>
      <c r="M287" s="38">
        <f t="shared" si="157"/>
        <v>0</v>
      </c>
      <c r="N287" s="38">
        <f t="shared" si="157"/>
        <v>0</v>
      </c>
      <c r="O287" s="38">
        <f t="shared" si="157"/>
        <v>0</v>
      </c>
      <c r="P287" s="38">
        <f t="shared" si="157"/>
        <v>0</v>
      </c>
      <c r="Q287" s="38">
        <f t="shared" si="157"/>
        <v>0</v>
      </c>
      <c r="R287" s="38">
        <f t="shared" si="157"/>
        <v>0</v>
      </c>
      <c r="S287" s="38">
        <f t="shared" si="157"/>
        <v>0</v>
      </c>
      <c r="T287" s="38">
        <f t="shared" si="157"/>
        <v>0</v>
      </c>
      <c r="U287" s="38">
        <f t="shared" si="157"/>
        <v>0</v>
      </c>
      <c r="V287" s="38">
        <f t="shared" si="157"/>
        <v>0</v>
      </c>
      <c r="W287" s="38">
        <f t="shared" si="157"/>
        <v>0</v>
      </c>
      <c r="X287" s="38">
        <f t="shared" si="157"/>
        <v>0</v>
      </c>
      <c r="Y287" s="38">
        <f t="shared" si="157"/>
        <v>0</v>
      </c>
      <c r="Z287" s="38">
        <f t="shared" si="157"/>
        <v>0</v>
      </c>
      <c r="AA287" s="38">
        <f t="shared" si="157"/>
        <v>0</v>
      </c>
      <c r="AB287" s="38">
        <f t="shared" si="157"/>
        <v>0</v>
      </c>
      <c r="AC287" s="38">
        <f t="shared" si="157"/>
        <v>0</v>
      </c>
      <c r="AD287" s="38">
        <f t="shared" si="157"/>
        <v>0</v>
      </c>
      <c r="AE287" s="38">
        <f t="shared" si="157"/>
        <v>0</v>
      </c>
      <c r="AF287" s="38">
        <f t="shared" si="157"/>
        <v>0</v>
      </c>
      <c r="AG287" s="38">
        <f t="shared" si="157"/>
        <v>0</v>
      </c>
      <c r="AH287" s="38">
        <f t="shared" si="157"/>
        <v>0</v>
      </c>
      <c r="AI287" s="38">
        <f t="shared" si="157"/>
        <v>0</v>
      </c>
      <c r="AJ287" s="38">
        <f t="shared" si="157"/>
        <v>0</v>
      </c>
      <c r="AK287" s="38">
        <f t="shared" si="157"/>
        <v>0</v>
      </c>
      <c r="AL287" s="38">
        <f t="shared" si="157"/>
        <v>0</v>
      </c>
      <c r="AM287" s="38">
        <f t="shared" si="157"/>
        <v>0</v>
      </c>
      <c r="AN287" s="38">
        <f t="shared" si="157"/>
        <v>0</v>
      </c>
      <c r="AO287" s="38">
        <f t="shared" si="157"/>
        <v>0</v>
      </c>
      <c r="AP287" s="38">
        <f t="shared" si="157"/>
        <v>0</v>
      </c>
      <c r="AQ287" s="38">
        <f t="shared" si="157"/>
        <v>0</v>
      </c>
      <c r="AR287" s="38">
        <f t="shared" si="157"/>
        <v>0</v>
      </c>
      <c r="AS287" s="38">
        <f t="shared" si="157"/>
        <v>0</v>
      </c>
      <c r="AT287" s="38">
        <f t="shared" si="157"/>
        <v>0</v>
      </c>
      <c r="AU287" s="38">
        <f t="shared" si="157"/>
        <v>0</v>
      </c>
    </row>
    <row r="288" spans="1:47" ht="15.75" hidden="1" customHeight="1" outlineLevel="1">
      <c r="A288" s="1" t="s">
        <v>330</v>
      </c>
      <c r="C288" s="141"/>
      <c r="E288" s="9" t="str">
        <f ca="1">_xll.DBRW(Server&amp;"}ElementAttributes_Indicator",A288,"code_English")</f>
        <v>CAPEX_Other - Gross industrial CAPEX - Other</v>
      </c>
      <c r="F288" s="32">
        <f ca="1">_xll.DBRW($C$1,$C$2,$C$3,$C$4,$C$6,$C$5,$C$7,F$1,F$2,$A288)</f>
        <v>0</v>
      </c>
      <c r="G288" s="32">
        <f ca="1">_xll.DBRW($C$1,$C$2,$C$3,$C$4,$C$6,$C$5,$C$7,G$1,G$2,$A288)</f>
        <v>0</v>
      </c>
      <c r="H288" s="32">
        <f ca="1">_xll.DBRW($C$1,$C$2,$C$3,$C$4,$C$6,$C$5,$C$7,H$1,H$2,$A288)</f>
        <v>0</v>
      </c>
      <c r="I288" s="32">
        <f ca="1">_xll.DBRW($C$1,$C$2,$C$3,$C$4,$C$6,$C$5,$C$7,I$1,I$2,$A288)</f>
        <v>0</v>
      </c>
      <c r="J288" s="32">
        <f ca="1">_xll.DBRW($C$1,$C$2,$C$3,$C$4,$C$6,$C$5,$C$7,J$1,J$2,$A288)</f>
        <v>0</v>
      </c>
      <c r="K288" s="32">
        <f ca="1">_xll.DBRW($C$1,$C$2,$C$3,$C$4,$C$6,$C$5,$C$7,K$1,K$2,$A288)</f>
        <v>0</v>
      </c>
      <c r="L288" s="32">
        <f ca="1">_xll.DBRW($C$1,$C$2,$C$3,$C$4,$C$6,$C$5,$C$7,L$1,L$2,$A288)</f>
        <v>0</v>
      </c>
      <c r="M288" s="32">
        <f ca="1">_xll.DBRW($C$1,$C$2,$C$3,$C$4,$C$6,$C$5,$C$7,M$1,M$2,$A288)</f>
        <v>0</v>
      </c>
      <c r="N288" s="32">
        <f ca="1">_xll.DBRW($C$1,$C$2,$C$3,$C$4,$C$6,$C$5,$C$7,N$1,N$2,$A288)</f>
        <v>0</v>
      </c>
      <c r="O288" s="32">
        <f ca="1">_xll.DBRW($C$1,$C$2,$C$3,$C$4,$C$6,$C$5,$C$7,O$1,O$2,$A288)</f>
        <v>0</v>
      </c>
      <c r="P288" s="32">
        <f ca="1">_xll.DBRW($C$1,$C$2,$C$3,$C$4,$C$6,$C$5,$C$7,P$1,P$2,$A288)</f>
        <v>0</v>
      </c>
      <c r="Q288" s="32">
        <f ca="1">_xll.DBRW($C$1,$C$2,$C$3,$C$4,$C$6,$C$5,$C$7,Q$1,Q$2,$A288)</f>
        <v>0</v>
      </c>
      <c r="R288" s="32">
        <f ca="1">_xll.DBRW($C$1,$C$2,$C$3,$C$4,$C$6,$C$5,$C$7,R$1,R$2,$A288)</f>
        <v>0</v>
      </c>
      <c r="S288" s="32">
        <f ca="1">_xll.DBRW($C$1,$C$2,$C$3,$C$4,$C$6,$C$5,$C$7,S$1,S$2,$A288)</f>
        <v>0</v>
      </c>
      <c r="T288" s="32">
        <f ca="1">_xll.DBRW($C$1,$C$2,$C$3,$C$4,$C$6,$C$5,$C$7,T$1,T$2,$A288)</f>
        <v>0</v>
      </c>
      <c r="U288" s="32">
        <f ca="1">_xll.DBRW($C$1,$C$2,$C$3,$C$4,$C$6,$C$5,$C$7,U$1,U$2,$A288)</f>
        <v>0</v>
      </c>
      <c r="V288" s="32">
        <f ca="1">_xll.DBRW($C$1,$C$2,$C$3,$C$4,$C$6,$C$5,$C$7,V$1,V$2,$A288)</f>
        <v>0</v>
      </c>
      <c r="W288" s="32">
        <f ca="1">_xll.DBRW($C$1,$C$2,$C$3,$C$4,$C$6,$C$5,$C$7,W$1,W$2,$A288)</f>
        <v>0</v>
      </c>
      <c r="X288" s="32">
        <f ca="1">_xll.DBRW($C$1,$C$2,$C$3,$C$4,$C$6,$C$5,$C$7,X$1,X$2,$A288)</f>
        <v>0</v>
      </c>
      <c r="Y288" s="32">
        <f ca="1">_xll.DBRW($C$1,$C$2,$C$3,$C$4,$C$6,$C$5,$C$7,Y$1,Y$2,$A288)</f>
        <v>0</v>
      </c>
      <c r="Z288" s="32">
        <f ca="1">_xll.DBRW($C$1,$C$2,$C$3,$C$4,$C$6,$C$5,$C$7,Z$1,Z$2,$A288)</f>
        <v>0</v>
      </c>
      <c r="AA288" s="32">
        <f ca="1">_xll.DBRW($C$1,$C$2,$C$3,$C$4,$C$6,$C$5,$C$7,AA$1,AA$2,$A288)</f>
        <v>0</v>
      </c>
      <c r="AB288" s="32">
        <f ca="1">_xll.DBRW($C$1,$C$2,$C$3,$C$4,$C$6,$C$5,$C$7,AB$1,AB$2,$A288)</f>
        <v>0</v>
      </c>
      <c r="AC288" s="32">
        <f ca="1">_xll.DBRW($C$1,$C$2,$C$3,$C$4,$C$6,$C$5,$C$7,AC$1,AC$2,$A288)</f>
        <v>0</v>
      </c>
      <c r="AD288" s="32">
        <f ca="1">_xll.DBRW($C$1,$C$2,$C$3,$C$4,$C$6,$C$5,$C$7,AD$1,AD$2,$A288)</f>
        <v>0</v>
      </c>
      <c r="AE288" s="32">
        <f ca="1">_xll.DBRW($C$1,$C$2,$C$3,$C$4,$C$6,$C$5,$C$7,AE$1,AE$2,$A288)</f>
        <v>0</v>
      </c>
      <c r="AF288" s="32">
        <f ca="1">_xll.DBRW($C$1,$C$2,$C$3,$C$4,$C$6,$C$5,$C$7,AF$1,AF$2,$A288)</f>
        <v>0</v>
      </c>
      <c r="AG288" s="32">
        <f ca="1">_xll.DBRW($C$1,$C$2,$C$3,$C$4,$C$6,$C$5,$C$7,AG$1,AG$2,$A288)</f>
        <v>0</v>
      </c>
      <c r="AH288" s="32">
        <f ca="1">_xll.DBRW($C$1,$C$2,$C$3,$C$4,$C$6,$C$5,$C$7,AH$1,AH$2,$A288)</f>
        <v>0</v>
      </c>
      <c r="AI288" s="32">
        <f ca="1">_xll.DBRW($C$1,$C$2,$C$3,$C$4,$C$6,$C$5,$C$7,AI$1,AI$2,$A288)</f>
        <v>0</v>
      </c>
      <c r="AJ288" s="32">
        <f ca="1">_xll.DBRW($C$1,$C$2,$C$3,$C$4,$C$6,$C$5,$C$7,AJ$1,AJ$2,$A288)</f>
        <v>0</v>
      </c>
      <c r="AK288" s="32">
        <f ca="1">_xll.DBRW($C$1,$C$2,$C$3,$C$4,$C$6,$C$5,$C$7,AK$1,AK$2,$A288)</f>
        <v>0</v>
      </c>
      <c r="AL288" s="32">
        <f ca="1">_xll.DBRW($C$1,$C$2,$C$3,$C$4,$C$6,$C$5,$C$7,AL$1,AL$2,$A288)</f>
        <v>0</v>
      </c>
      <c r="AM288" s="32">
        <f ca="1">_xll.DBRW($C$1,$C$2,$C$3,$C$4,$C$6,$C$5,$C$7,AM$1,AM$2,$A288)</f>
        <v>0</v>
      </c>
      <c r="AN288" s="32">
        <f ca="1">_xll.DBRW($C$1,$C$2,$C$3,$C$4,$C$6,$C$5,$C$7,AN$1,AN$2,$A288)</f>
        <v>0</v>
      </c>
      <c r="AO288" s="32">
        <f ca="1">_xll.DBRW($C$1,$C$2,$C$3,$C$4,$C$6,$C$5,$C$7,AO$1,AO$2,$A288)</f>
        <v>0</v>
      </c>
      <c r="AP288" s="32">
        <f ca="1">_xll.DBRW($C$1,$C$2,$C$3,$C$4,$C$6,$C$5,$C$7,AP$1,AP$2,$A288)</f>
        <v>0</v>
      </c>
      <c r="AQ288" s="32">
        <f ca="1">_xll.DBRW($C$1,$C$2,$C$3,$C$4,$C$6,$C$5,$C$7,AQ$1,AQ$2,$A288)</f>
        <v>0</v>
      </c>
      <c r="AR288" s="32">
        <f ca="1">_xll.DBRW($C$1,$C$2,$C$3,$C$4,$C$6,$C$5,$C$7,AR$1,AR$2,$A288)</f>
        <v>0</v>
      </c>
      <c r="AS288" s="32">
        <f ca="1">_xll.DBRW($C$1,$C$2,$C$3,$C$4,$C$6,$C$5,$C$7,AS$1,AS$2,$A288)</f>
        <v>0</v>
      </c>
      <c r="AT288" s="32">
        <f ca="1">_xll.DBRW($C$1,$C$2,$C$3,$C$4,$C$6,$C$5,$C$7,AT$1,AT$2,$A288)</f>
        <v>0</v>
      </c>
      <c r="AU288" s="32">
        <f ca="1">_xll.DBRW($C$1,$C$2,$C$3,$C$4,$C$6,$C$5,$C$7,AU$1,AU$2,$A288)</f>
        <v>0</v>
      </c>
    </row>
    <row r="289" spans="1:47" ht="15.75" hidden="1" customHeight="1" outlineLevel="1">
      <c r="A289" s="1" t="s">
        <v>331</v>
      </c>
      <c r="C289" s="141"/>
      <c r="E289" s="9" t="str">
        <f ca="1">_xll.DBRW(Server&amp;"}ElementAttributes_Indicator",A289,"code_English")</f>
        <v>DISP_Other - Industrial Disposals - Other</v>
      </c>
      <c r="F289" s="32">
        <f ca="1">_xll.DBRW($C$1,$C$2,$C$3,$C$4,$C$6,$C$5,$C$7,F$1,F$2,$A289)</f>
        <v>0</v>
      </c>
      <c r="G289" s="32">
        <f ca="1">_xll.DBRW($C$1,$C$2,$C$3,$C$4,$C$6,$C$5,$C$7,G$1,G$2,$A289)</f>
        <v>0</v>
      </c>
      <c r="H289" s="32">
        <f ca="1">_xll.DBRW($C$1,$C$2,$C$3,$C$4,$C$6,$C$5,$C$7,H$1,H$2,$A289)</f>
        <v>0</v>
      </c>
      <c r="I289" s="32">
        <f ca="1">_xll.DBRW($C$1,$C$2,$C$3,$C$4,$C$6,$C$5,$C$7,I$1,I$2,$A289)</f>
        <v>0</v>
      </c>
      <c r="J289" s="32">
        <f ca="1">_xll.DBRW($C$1,$C$2,$C$3,$C$4,$C$6,$C$5,$C$7,J$1,J$2,$A289)</f>
        <v>0</v>
      </c>
      <c r="K289" s="32">
        <f ca="1">_xll.DBRW($C$1,$C$2,$C$3,$C$4,$C$6,$C$5,$C$7,K$1,K$2,$A289)</f>
        <v>0</v>
      </c>
      <c r="L289" s="32">
        <f ca="1">_xll.DBRW($C$1,$C$2,$C$3,$C$4,$C$6,$C$5,$C$7,L$1,L$2,$A289)</f>
        <v>0</v>
      </c>
      <c r="M289" s="32">
        <f ca="1">_xll.DBRW($C$1,$C$2,$C$3,$C$4,$C$6,$C$5,$C$7,M$1,M$2,$A289)</f>
        <v>0</v>
      </c>
      <c r="N289" s="32">
        <f ca="1">_xll.DBRW($C$1,$C$2,$C$3,$C$4,$C$6,$C$5,$C$7,N$1,N$2,$A289)</f>
        <v>0</v>
      </c>
      <c r="O289" s="32">
        <f ca="1">_xll.DBRW($C$1,$C$2,$C$3,$C$4,$C$6,$C$5,$C$7,O$1,O$2,$A289)</f>
        <v>0</v>
      </c>
      <c r="P289" s="32">
        <f ca="1">_xll.DBRW($C$1,$C$2,$C$3,$C$4,$C$6,$C$5,$C$7,P$1,P$2,$A289)</f>
        <v>0</v>
      </c>
      <c r="Q289" s="32">
        <f ca="1">_xll.DBRW($C$1,$C$2,$C$3,$C$4,$C$6,$C$5,$C$7,Q$1,Q$2,$A289)</f>
        <v>0</v>
      </c>
      <c r="R289" s="32">
        <f ca="1">_xll.DBRW($C$1,$C$2,$C$3,$C$4,$C$6,$C$5,$C$7,R$1,R$2,$A289)</f>
        <v>0</v>
      </c>
      <c r="S289" s="32">
        <f ca="1">_xll.DBRW($C$1,$C$2,$C$3,$C$4,$C$6,$C$5,$C$7,S$1,S$2,$A289)</f>
        <v>0</v>
      </c>
      <c r="T289" s="32">
        <f ca="1">_xll.DBRW($C$1,$C$2,$C$3,$C$4,$C$6,$C$5,$C$7,T$1,T$2,$A289)</f>
        <v>0</v>
      </c>
      <c r="U289" s="32">
        <f ca="1">_xll.DBRW($C$1,$C$2,$C$3,$C$4,$C$6,$C$5,$C$7,U$1,U$2,$A289)</f>
        <v>0</v>
      </c>
      <c r="V289" s="32">
        <f ca="1">_xll.DBRW($C$1,$C$2,$C$3,$C$4,$C$6,$C$5,$C$7,V$1,V$2,$A289)</f>
        <v>0</v>
      </c>
      <c r="W289" s="32">
        <f ca="1">_xll.DBRW($C$1,$C$2,$C$3,$C$4,$C$6,$C$5,$C$7,W$1,W$2,$A289)</f>
        <v>0</v>
      </c>
      <c r="X289" s="32">
        <f ca="1">_xll.DBRW($C$1,$C$2,$C$3,$C$4,$C$6,$C$5,$C$7,X$1,X$2,$A289)</f>
        <v>0</v>
      </c>
      <c r="Y289" s="32">
        <f ca="1">_xll.DBRW($C$1,$C$2,$C$3,$C$4,$C$6,$C$5,$C$7,Y$1,Y$2,$A289)</f>
        <v>0</v>
      </c>
      <c r="Z289" s="32">
        <f ca="1">_xll.DBRW($C$1,$C$2,$C$3,$C$4,$C$6,$C$5,$C$7,Z$1,Z$2,$A289)</f>
        <v>0</v>
      </c>
      <c r="AA289" s="32">
        <f ca="1">_xll.DBRW($C$1,$C$2,$C$3,$C$4,$C$6,$C$5,$C$7,AA$1,AA$2,$A289)</f>
        <v>0</v>
      </c>
      <c r="AB289" s="32">
        <f ca="1">_xll.DBRW($C$1,$C$2,$C$3,$C$4,$C$6,$C$5,$C$7,AB$1,AB$2,$A289)</f>
        <v>0</v>
      </c>
      <c r="AC289" s="32">
        <f ca="1">_xll.DBRW($C$1,$C$2,$C$3,$C$4,$C$6,$C$5,$C$7,AC$1,AC$2,$A289)</f>
        <v>0</v>
      </c>
      <c r="AD289" s="32">
        <f ca="1">_xll.DBRW($C$1,$C$2,$C$3,$C$4,$C$6,$C$5,$C$7,AD$1,AD$2,$A289)</f>
        <v>0</v>
      </c>
      <c r="AE289" s="32">
        <f ca="1">_xll.DBRW($C$1,$C$2,$C$3,$C$4,$C$6,$C$5,$C$7,AE$1,AE$2,$A289)</f>
        <v>0</v>
      </c>
      <c r="AF289" s="32">
        <f ca="1">_xll.DBRW($C$1,$C$2,$C$3,$C$4,$C$6,$C$5,$C$7,AF$1,AF$2,$A289)</f>
        <v>0</v>
      </c>
      <c r="AG289" s="32">
        <f ca="1">_xll.DBRW($C$1,$C$2,$C$3,$C$4,$C$6,$C$5,$C$7,AG$1,AG$2,$A289)</f>
        <v>0</v>
      </c>
      <c r="AH289" s="32">
        <f ca="1">_xll.DBRW($C$1,$C$2,$C$3,$C$4,$C$6,$C$5,$C$7,AH$1,AH$2,$A289)</f>
        <v>0</v>
      </c>
      <c r="AI289" s="32">
        <f ca="1">_xll.DBRW($C$1,$C$2,$C$3,$C$4,$C$6,$C$5,$C$7,AI$1,AI$2,$A289)</f>
        <v>0</v>
      </c>
      <c r="AJ289" s="32">
        <f ca="1">_xll.DBRW($C$1,$C$2,$C$3,$C$4,$C$6,$C$5,$C$7,AJ$1,AJ$2,$A289)</f>
        <v>0</v>
      </c>
      <c r="AK289" s="32">
        <f ca="1">_xll.DBRW($C$1,$C$2,$C$3,$C$4,$C$6,$C$5,$C$7,AK$1,AK$2,$A289)</f>
        <v>0</v>
      </c>
      <c r="AL289" s="32">
        <f ca="1">_xll.DBRW($C$1,$C$2,$C$3,$C$4,$C$6,$C$5,$C$7,AL$1,AL$2,$A289)</f>
        <v>0</v>
      </c>
      <c r="AM289" s="32">
        <f ca="1">_xll.DBRW($C$1,$C$2,$C$3,$C$4,$C$6,$C$5,$C$7,AM$1,AM$2,$A289)</f>
        <v>0</v>
      </c>
      <c r="AN289" s="32">
        <f ca="1">_xll.DBRW($C$1,$C$2,$C$3,$C$4,$C$6,$C$5,$C$7,AN$1,AN$2,$A289)</f>
        <v>0</v>
      </c>
      <c r="AO289" s="32">
        <f ca="1">_xll.DBRW($C$1,$C$2,$C$3,$C$4,$C$6,$C$5,$C$7,AO$1,AO$2,$A289)</f>
        <v>0</v>
      </c>
      <c r="AP289" s="32">
        <f ca="1">_xll.DBRW($C$1,$C$2,$C$3,$C$4,$C$6,$C$5,$C$7,AP$1,AP$2,$A289)</f>
        <v>0</v>
      </c>
      <c r="AQ289" s="32">
        <f ca="1">_xll.DBRW($C$1,$C$2,$C$3,$C$4,$C$6,$C$5,$C$7,AQ$1,AQ$2,$A289)</f>
        <v>0</v>
      </c>
      <c r="AR289" s="32">
        <f ca="1">_xll.DBRW($C$1,$C$2,$C$3,$C$4,$C$6,$C$5,$C$7,AR$1,AR$2,$A289)</f>
        <v>0</v>
      </c>
      <c r="AS289" s="32">
        <f ca="1">_xll.DBRW($C$1,$C$2,$C$3,$C$4,$C$6,$C$5,$C$7,AS$1,AS$2,$A289)</f>
        <v>0</v>
      </c>
      <c r="AT289" s="32">
        <f ca="1">_xll.DBRW($C$1,$C$2,$C$3,$C$4,$C$6,$C$5,$C$7,AT$1,AT$2,$A289)</f>
        <v>0</v>
      </c>
      <c r="AU289" s="32">
        <f ca="1">_xll.DBRW($C$1,$C$2,$C$3,$C$4,$C$6,$C$5,$C$7,AU$1,AU$2,$A289)</f>
        <v>0</v>
      </c>
    </row>
    <row r="290" spans="1:47" ht="15.75" collapsed="1">
      <c r="C290" s="141"/>
      <c r="E290" s="86" t="s">
        <v>71</v>
      </c>
      <c r="F290" s="130">
        <f t="shared" ref="F290:T290" ca="1" si="158">SUM(F288:F289)</f>
        <v>0</v>
      </c>
      <c r="G290" s="130">
        <f t="shared" ca="1" si="158"/>
        <v>0</v>
      </c>
      <c r="H290" s="130">
        <f t="shared" ca="1" si="158"/>
        <v>0</v>
      </c>
      <c r="I290" s="130">
        <f t="shared" ca="1" si="158"/>
        <v>0</v>
      </c>
      <c r="J290" s="130">
        <f t="shared" ca="1" si="158"/>
        <v>0</v>
      </c>
      <c r="K290" s="130">
        <f t="shared" ca="1" si="158"/>
        <v>0</v>
      </c>
      <c r="L290" s="130">
        <f t="shared" ca="1" si="158"/>
        <v>0</v>
      </c>
      <c r="M290" s="130">
        <f t="shared" ca="1" si="158"/>
        <v>0</v>
      </c>
      <c r="N290" s="130">
        <f t="shared" ca="1" si="158"/>
        <v>0</v>
      </c>
      <c r="O290" s="130">
        <f t="shared" ca="1" si="158"/>
        <v>0</v>
      </c>
      <c r="P290" s="130">
        <f t="shared" ca="1" si="158"/>
        <v>0</v>
      </c>
      <c r="Q290" s="130">
        <f t="shared" ca="1" si="158"/>
        <v>0</v>
      </c>
      <c r="R290" s="130">
        <f t="shared" ca="1" si="158"/>
        <v>0</v>
      </c>
      <c r="S290" s="130">
        <f t="shared" ca="1" si="158"/>
        <v>0</v>
      </c>
      <c r="T290" s="130">
        <f t="shared" ca="1" si="158"/>
        <v>0</v>
      </c>
      <c r="U290" s="130">
        <f ca="1">SUM(U288:U289)</f>
        <v>0</v>
      </c>
      <c r="V290" s="130">
        <f t="shared" ref="V290:AG290" ca="1" si="159">SUM(V288:V289)</f>
        <v>0</v>
      </c>
      <c r="W290" s="130">
        <f t="shared" ca="1" si="159"/>
        <v>0</v>
      </c>
      <c r="X290" s="130">
        <f t="shared" ca="1" si="159"/>
        <v>0</v>
      </c>
      <c r="Y290" s="130">
        <f t="shared" ca="1" si="159"/>
        <v>0</v>
      </c>
      <c r="Z290" s="130">
        <f t="shared" ca="1" si="159"/>
        <v>0</v>
      </c>
      <c r="AA290" s="130">
        <f t="shared" ca="1" si="159"/>
        <v>0</v>
      </c>
      <c r="AB290" s="130">
        <f t="shared" ca="1" si="159"/>
        <v>0</v>
      </c>
      <c r="AC290" s="130">
        <f t="shared" ca="1" si="159"/>
        <v>0</v>
      </c>
      <c r="AD290" s="130">
        <f t="shared" ca="1" si="159"/>
        <v>0</v>
      </c>
      <c r="AE290" s="130">
        <f t="shared" ca="1" si="159"/>
        <v>0</v>
      </c>
      <c r="AF290" s="130">
        <f t="shared" ca="1" si="159"/>
        <v>0</v>
      </c>
      <c r="AG290" s="130">
        <f t="shared" ca="1" si="159"/>
        <v>0</v>
      </c>
      <c r="AH290" s="130">
        <f ca="1">SUM(AH288:AH289)</f>
        <v>0</v>
      </c>
      <c r="AI290" s="130">
        <f t="shared" ref="AI290:AT290" ca="1" si="160">SUM(AI288:AI289)</f>
        <v>0</v>
      </c>
      <c r="AJ290" s="130">
        <f t="shared" ca="1" si="160"/>
        <v>0</v>
      </c>
      <c r="AK290" s="130">
        <f t="shared" ca="1" si="160"/>
        <v>0</v>
      </c>
      <c r="AL290" s="130">
        <f t="shared" ca="1" si="160"/>
        <v>0</v>
      </c>
      <c r="AM290" s="130">
        <f t="shared" ca="1" si="160"/>
        <v>0</v>
      </c>
      <c r="AN290" s="130">
        <f t="shared" ca="1" si="160"/>
        <v>0</v>
      </c>
      <c r="AO290" s="130">
        <f t="shared" ca="1" si="160"/>
        <v>0</v>
      </c>
      <c r="AP290" s="130">
        <f t="shared" ca="1" si="160"/>
        <v>0</v>
      </c>
      <c r="AQ290" s="130">
        <f t="shared" ca="1" si="160"/>
        <v>0</v>
      </c>
      <c r="AR290" s="130">
        <f t="shared" ca="1" si="160"/>
        <v>0</v>
      </c>
      <c r="AS290" s="130">
        <f t="shared" ca="1" si="160"/>
        <v>0</v>
      </c>
      <c r="AT290" s="130">
        <f t="shared" ca="1" si="160"/>
        <v>0</v>
      </c>
      <c r="AU290" s="130">
        <f ca="1">SUM(AU288:AU289)</f>
        <v>0</v>
      </c>
    </row>
    <row r="291" spans="1:47" ht="15.75">
      <c r="A291" s="1" t="s">
        <v>127</v>
      </c>
      <c r="C291" s="141"/>
      <c r="E291" s="126" t="s">
        <v>72</v>
      </c>
      <c r="F291" s="127">
        <f t="shared" ref="F291:T291" ca="1" si="161">F281+F284+F290</f>
        <v>0</v>
      </c>
      <c r="G291" s="127">
        <f t="shared" ca="1" si="161"/>
        <v>0</v>
      </c>
      <c r="H291" s="127">
        <f t="shared" ca="1" si="161"/>
        <v>0</v>
      </c>
      <c r="I291" s="127">
        <f t="shared" ca="1" si="161"/>
        <v>0</v>
      </c>
      <c r="J291" s="127">
        <f t="shared" ca="1" si="161"/>
        <v>0</v>
      </c>
      <c r="K291" s="127">
        <f t="shared" ca="1" si="161"/>
        <v>0</v>
      </c>
      <c r="L291" s="127">
        <f t="shared" ca="1" si="161"/>
        <v>0</v>
      </c>
      <c r="M291" s="127">
        <f t="shared" ca="1" si="161"/>
        <v>0</v>
      </c>
      <c r="N291" s="127">
        <f t="shared" ca="1" si="161"/>
        <v>0</v>
      </c>
      <c r="O291" s="127">
        <f t="shared" ca="1" si="161"/>
        <v>0</v>
      </c>
      <c r="P291" s="127">
        <f t="shared" ca="1" si="161"/>
        <v>0</v>
      </c>
      <c r="Q291" s="127">
        <f t="shared" ca="1" si="161"/>
        <v>0</v>
      </c>
      <c r="R291" s="127">
        <f t="shared" ca="1" si="161"/>
        <v>0</v>
      </c>
      <c r="S291" s="127">
        <f t="shared" ca="1" si="161"/>
        <v>0</v>
      </c>
      <c r="T291" s="127">
        <f t="shared" ca="1" si="161"/>
        <v>0</v>
      </c>
      <c r="U291" s="127">
        <f ca="1">U281+U284+U290</f>
        <v>0</v>
      </c>
      <c r="V291" s="127">
        <f t="shared" ref="V291:AG291" ca="1" si="162">V281+V284+V290</f>
        <v>0</v>
      </c>
      <c r="W291" s="127">
        <f t="shared" ca="1" si="162"/>
        <v>0</v>
      </c>
      <c r="X291" s="127">
        <f t="shared" ca="1" si="162"/>
        <v>0</v>
      </c>
      <c r="Y291" s="127">
        <f t="shared" ca="1" si="162"/>
        <v>0</v>
      </c>
      <c r="Z291" s="127">
        <f t="shared" ca="1" si="162"/>
        <v>0</v>
      </c>
      <c r="AA291" s="127">
        <f t="shared" ca="1" si="162"/>
        <v>0</v>
      </c>
      <c r="AB291" s="127">
        <f t="shared" ca="1" si="162"/>
        <v>0</v>
      </c>
      <c r="AC291" s="127">
        <f t="shared" ca="1" si="162"/>
        <v>0</v>
      </c>
      <c r="AD291" s="127">
        <f t="shared" ca="1" si="162"/>
        <v>0</v>
      </c>
      <c r="AE291" s="127">
        <f t="shared" ca="1" si="162"/>
        <v>0</v>
      </c>
      <c r="AF291" s="127">
        <f t="shared" ca="1" si="162"/>
        <v>0</v>
      </c>
      <c r="AG291" s="127">
        <f t="shared" ca="1" si="162"/>
        <v>0</v>
      </c>
      <c r="AH291" s="127">
        <f ca="1">AH281+AH284+AH290</f>
        <v>0</v>
      </c>
      <c r="AI291" s="127">
        <f t="shared" ref="AI291:AT291" ca="1" si="163">AI281+AI284+AI290</f>
        <v>0</v>
      </c>
      <c r="AJ291" s="127">
        <f t="shared" ca="1" si="163"/>
        <v>0</v>
      </c>
      <c r="AK291" s="127">
        <f t="shared" ca="1" si="163"/>
        <v>0</v>
      </c>
      <c r="AL291" s="127">
        <f t="shared" ca="1" si="163"/>
        <v>0</v>
      </c>
      <c r="AM291" s="127">
        <f t="shared" ca="1" si="163"/>
        <v>0</v>
      </c>
      <c r="AN291" s="127">
        <f t="shared" ca="1" si="163"/>
        <v>0</v>
      </c>
      <c r="AO291" s="127">
        <f t="shared" ca="1" si="163"/>
        <v>0</v>
      </c>
      <c r="AP291" s="127">
        <f t="shared" ca="1" si="163"/>
        <v>0</v>
      </c>
      <c r="AQ291" s="127">
        <f t="shared" ca="1" si="163"/>
        <v>0</v>
      </c>
      <c r="AR291" s="127">
        <f t="shared" ca="1" si="163"/>
        <v>0</v>
      </c>
      <c r="AS291" s="127">
        <f t="shared" ca="1" si="163"/>
        <v>0</v>
      </c>
      <c r="AT291" s="127">
        <f t="shared" ca="1" si="163"/>
        <v>0</v>
      </c>
      <c r="AU291" s="127">
        <f ca="1">AU281+AU284+AU290</f>
        <v>0</v>
      </c>
    </row>
    <row r="292" spans="1:47" ht="9" customHeight="1">
      <c r="A292" s="1" t="s">
        <v>127</v>
      </c>
      <c r="C292" s="141"/>
      <c r="E292" s="7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</row>
    <row r="293" spans="1:47" ht="15.75">
      <c r="A293" s="1" t="s">
        <v>332</v>
      </c>
      <c r="C293" s="141"/>
      <c r="E293" s="87" t="s">
        <v>73</v>
      </c>
      <c r="F293" s="39">
        <f ca="1">_xll.DBRW($C$1,$C$2,$C$3,$C$4,$C$6,$C$5,$C$7,F$1,F$2,$A293)</f>
        <v>0</v>
      </c>
      <c r="G293" s="39">
        <f ca="1">_xll.DBRW($C$1,$C$2,$C$3,$C$4,$C$6,$C$5,$C$7,G$1,G$2,$A293)</f>
        <v>0</v>
      </c>
      <c r="H293" s="39">
        <f ca="1">_xll.DBRW($C$1,$C$2,$C$3,$C$4,$C$6,$C$5,$C$7,H$1,H$2,$A293)</f>
        <v>0</v>
      </c>
      <c r="I293" s="39">
        <f ca="1">_xll.DBRW($C$1,$C$2,$C$3,$C$4,$C$6,$C$5,$C$7,I$1,I$2,$A293)</f>
        <v>0</v>
      </c>
      <c r="J293" s="39">
        <f ca="1">_xll.DBRW($C$1,$C$2,$C$3,$C$4,$C$6,$C$5,$C$7,J$1,J$2,$A293)</f>
        <v>0</v>
      </c>
      <c r="K293" s="39">
        <f ca="1">_xll.DBRW($C$1,$C$2,$C$3,$C$4,$C$6,$C$5,$C$7,K$1,K$2,$A293)</f>
        <v>0</v>
      </c>
      <c r="L293" s="39">
        <f ca="1">_xll.DBRW($C$1,$C$2,$C$3,$C$4,$C$6,$C$5,$C$7,L$1,L$2,$A293)</f>
        <v>0</v>
      </c>
      <c r="M293" s="39">
        <f ca="1">_xll.DBRW($C$1,$C$2,$C$3,$C$4,$C$6,$C$5,$C$7,M$1,M$2,$A293)</f>
        <v>0</v>
      </c>
      <c r="N293" s="39">
        <f ca="1">_xll.DBRW($C$1,$C$2,$C$3,$C$4,$C$6,$C$5,$C$7,N$1,N$2,$A293)</f>
        <v>0</v>
      </c>
      <c r="O293" s="39">
        <f ca="1">_xll.DBRW($C$1,$C$2,$C$3,$C$4,$C$6,$C$5,$C$7,O$1,O$2,$A293)</f>
        <v>0</v>
      </c>
      <c r="P293" s="39">
        <f ca="1">_xll.DBRW($C$1,$C$2,$C$3,$C$4,$C$6,$C$5,$C$7,P$1,P$2,$A293)</f>
        <v>0</v>
      </c>
      <c r="Q293" s="39">
        <f ca="1">_xll.DBRW($C$1,$C$2,$C$3,$C$4,$C$6,$C$5,$C$7,Q$1,Q$2,$A293)</f>
        <v>0</v>
      </c>
      <c r="R293" s="39">
        <f ca="1">_xll.DBRW($C$1,$C$2,$C$3,$C$4,$C$6,$C$5,$C$7,R$1,R$2,$A293)</f>
        <v>0</v>
      </c>
      <c r="S293" s="39">
        <f ca="1">_xll.DBRW($C$1,$C$2,$C$3,$C$4,$C$6,$C$5,$C$7,S$1,S$2,$A293)</f>
        <v>0</v>
      </c>
      <c r="T293" s="39">
        <f ca="1">_xll.DBRW($C$1,$C$2,$C$3,$C$4,$C$6,$C$5,$C$7,T$1,T$2,$A293)</f>
        <v>0</v>
      </c>
      <c r="U293" s="39">
        <f ca="1">_xll.DBRW($C$1,$C$2,$C$3,$C$4,$C$6,$C$5,$C$7,U$1,U$2,$A293)</f>
        <v>0</v>
      </c>
      <c r="V293" s="39">
        <f ca="1">_xll.DBRW($C$1,$C$2,$C$3,$C$4,$C$6,$C$5,$C$7,V$1,V$2,$A293)</f>
        <v>0</v>
      </c>
      <c r="W293" s="39">
        <f ca="1">_xll.DBRW($C$1,$C$2,$C$3,$C$4,$C$6,$C$5,$C$7,W$1,W$2,$A293)</f>
        <v>0</v>
      </c>
      <c r="X293" s="39">
        <f ca="1">_xll.DBRW($C$1,$C$2,$C$3,$C$4,$C$6,$C$5,$C$7,X$1,X$2,$A293)</f>
        <v>0</v>
      </c>
      <c r="Y293" s="39">
        <f ca="1">_xll.DBRW($C$1,$C$2,$C$3,$C$4,$C$6,$C$5,$C$7,Y$1,Y$2,$A293)</f>
        <v>0</v>
      </c>
      <c r="Z293" s="39">
        <f ca="1">_xll.DBRW($C$1,$C$2,$C$3,$C$4,$C$6,$C$5,$C$7,Z$1,Z$2,$A293)</f>
        <v>0</v>
      </c>
      <c r="AA293" s="39">
        <f ca="1">_xll.DBRW($C$1,$C$2,$C$3,$C$4,$C$6,$C$5,$C$7,AA$1,AA$2,$A293)</f>
        <v>0</v>
      </c>
      <c r="AB293" s="39">
        <f ca="1">_xll.DBRW($C$1,$C$2,$C$3,$C$4,$C$6,$C$5,$C$7,AB$1,AB$2,$A293)</f>
        <v>0</v>
      </c>
      <c r="AC293" s="39">
        <f ca="1">_xll.DBRW($C$1,$C$2,$C$3,$C$4,$C$6,$C$5,$C$7,AC$1,AC$2,$A293)</f>
        <v>0</v>
      </c>
      <c r="AD293" s="39">
        <f ca="1">_xll.DBRW($C$1,$C$2,$C$3,$C$4,$C$6,$C$5,$C$7,AD$1,AD$2,$A293)</f>
        <v>0</v>
      </c>
      <c r="AE293" s="39">
        <f ca="1">_xll.DBRW($C$1,$C$2,$C$3,$C$4,$C$6,$C$5,$C$7,AE$1,AE$2,$A293)</f>
        <v>0</v>
      </c>
      <c r="AF293" s="39">
        <f ca="1">_xll.DBRW($C$1,$C$2,$C$3,$C$4,$C$6,$C$5,$C$7,AF$1,AF$2,$A293)</f>
        <v>0</v>
      </c>
      <c r="AG293" s="39">
        <f ca="1">_xll.DBRW($C$1,$C$2,$C$3,$C$4,$C$6,$C$5,$C$7,AG$1,AG$2,$A293)</f>
        <v>0</v>
      </c>
      <c r="AH293" s="39">
        <f ca="1">_xll.DBRW($C$1,$C$2,$C$3,$C$4,$C$6,$C$5,$C$7,AH$1,AH$2,$A293)</f>
        <v>0</v>
      </c>
      <c r="AI293" s="39">
        <f ca="1">_xll.DBRW($C$1,$C$2,$C$3,$C$4,$C$6,$C$5,$C$7,AI$1,AI$2,$A293)</f>
        <v>0</v>
      </c>
      <c r="AJ293" s="39">
        <f ca="1">_xll.DBRW($C$1,$C$2,$C$3,$C$4,$C$6,$C$5,$C$7,AJ$1,AJ$2,$A293)</f>
        <v>0</v>
      </c>
      <c r="AK293" s="39">
        <f ca="1">_xll.DBRW($C$1,$C$2,$C$3,$C$4,$C$6,$C$5,$C$7,AK$1,AK$2,$A293)</f>
        <v>0</v>
      </c>
      <c r="AL293" s="39">
        <f ca="1">_xll.DBRW($C$1,$C$2,$C$3,$C$4,$C$6,$C$5,$C$7,AL$1,AL$2,$A293)</f>
        <v>0</v>
      </c>
      <c r="AM293" s="39">
        <f ca="1">_xll.DBRW($C$1,$C$2,$C$3,$C$4,$C$6,$C$5,$C$7,AM$1,AM$2,$A293)</f>
        <v>0</v>
      </c>
      <c r="AN293" s="39">
        <f ca="1">_xll.DBRW($C$1,$C$2,$C$3,$C$4,$C$6,$C$5,$C$7,AN$1,AN$2,$A293)</f>
        <v>0</v>
      </c>
      <c r="AO293" s="39">
        <f ca="1">_xll.DBRW($C$1,$C$2,$C$3,$C$4,$C$6,$C$5,$C$7,AO$1,AO$2,$A293)</f>
        <v>0</v>
      </c>
      <c r="AP293" s="39">
        <f ca="1">_xll.DBRW($C$1,$C$2,$C$3,$C$4,$C$6,$C$5,$C$7,AP$1,AP$2,$A293)</f>
        <v>0</v>
      </c>
      <c r="AQ293" s="39">
        <f ca="1">_xll.DBRW($C$1,$C$2,$C$3,$C$4,$C$6,$C$5,$C$7,AQ$1,AQ$2,$A293)</f>
        <v>0</v>
      </c>
      <c r="AR293" s="39">
        <f ca="1">_xll.DBRW($C$1,$C$2,$C$3,$C$4,$C$6,$C$5,$C$7,AR$1,AR$2,$A293)</f>
        <v>0</v>
      </c>
      <c r="AS293" s="39">
        <f ca="1">_xll.DBRW($C$1,$C$2,$C$3,$C$4,$C$6,$C$5,$C$7,AS$1,AS$2,$A293)</f>
        <v>0</v>
      </c>
      <c r="AT293" s="39">
        <f ca="1">_xll.DBRW($C$1,$C$2,$C$3,$C$4,$C$6,$C$5,$C$7,AT$1,AT$2,$A293)</f>
        <v>0</v>
      </c>
      <c r="AU293" s="39">
        <f ca="1">_xll.DBRW($C$1,$C$2,$C$3,$C$4,$C$6,$C$5,$C$7,AU$1,AU$2,$A293)</f>
        <v>0</v>
      </c>
    </row>
    <row r="294" spans="1:47" ht="15.75">
      <c r="A294" s="1" t="s">
        <v>371</v>
      </c>
      <c r="C294" s="141"/>
      <c r="E294" s="126" t="str">
        <f ca="1">_xll.DBRW(Server&amp;"}ElementAttributes_Indicator",A294,"code_English")</f>
        <v>ROCE - RETURN ON CAPITAL EMPLOYED</v>
      </c>
      <c r="F294" s="131">
        <f ca="1">_xll.DBRW($C$1,$C$2,$C$3,$C$4,$C$6,$C$5,$C$7,F$1,F$2,$A294)</f>
        <v>0</v>
      </c>
      <c r="G294" s="131">
        <f ca="1">_xll.DBRW($C$1,$C$2,$C$3,$C$4,$C$6,$C$5,$C$7,G$1,G$2,$A294)</f>
        <v>0</v>
      </c>
      <c r="H294" s="131">
        <f ca="1">_xll.DBRW($C$1,$C$2,$C$3,$C$4,$C$6,$C$5,$C$7,H$1,H$2,$A294)</f>
        <v>0</v>
      </c>
      <c r="I294" s="131">
        <f ca="1">_xll.DBRW($C$1,$C$2,$C$3,$C$4,$C$6,$C$5,$C$7,I$1,I$2,$A294)</f>
        <v>0</v>
      </c>
      <c r="J294" s="131">
        <f ca="1">_xll.DBRW($C$1,$C$2,$C$3,$C$4,$C$6,$C$5,$C$7,J$1,J$2,$A294)</f>
        <v>0</v>
      </c>
      <c r="K294" s="131">
        <f ca="1">_xll.DBRW($C$1,$C$2,$C$3,$C$4,$C$6,$C$5,$C$7,K$1,K$2,$A294)</f>
        <v>0</v>
      </c>
      <c r="L294" s="131">
        <f ca="1">_xll.DBRW($C$1,$C$2,$C$3,$C$4,$C$6,$C$5,$C$7,L$1,L$2,$A294)</f>
        <v>0</v>
      </c>
      <c r="M294" s="131">
        <f ca="1">_xll.DBRW($C$1,$C$2,$C$3,$C$4,$C$6,$C$5,$C$7,M$1,M$2,$A294)</f>
        <v>0</v>
      </c>
      <c r="N294" s="131">
        <f ca="1">_xll.DBRW($C$1,$C$2,$C$3,$C$4,$C$6,$C$5,$C$7,N$1,N$2,$A294)</f>
        <v>0</v>
      </c>
      <c r="O294" s="131">
        <f ca="1">_xll.DBRW($C$1,$C$2,$C$3,$C$4,$C$6,$C$5,$C$7,O$1,O$2,$A294)</f>
        <v>0</v>
      </c>
      <c r="P294" s="131">
        <f ca="1">_xll.DBRW($C$1,$C$2,$C$3,$C$4,$C$6,$C$5,$C$7,P$1,P$2,$A294)</f>
        <v>0</v>
      </c>
      <c r="Q294" s="131">
        <f ca="1">_xll.DBRW($C$1,$C$2,$C$3,$C$4,$C$6,$C$5,$C$7,Q$1,Q$2,$A294)</f>
        <v>0</v>
      </c>
      <c r="R294" s="131">
        <f ca="1">_xll.DBRW($C$1,$C$2,$C$3,$C$4,$C$6,$C$5,$C$7,R$1,R$2,$A294)</f>
        <v>0</v>
      </c>
      <c r="S294" s="131">
        <f ca="1">_xll.DBRW($C$1,$C$2,$C$3,$C$4,$C$6,$C$5,$C$7,S$1,S$2,$A294)</f>
        <v>0</v>
      </c>
      <c r="T294" s="131">
        <f ca="1">_xll.DBRW($C$1,$C$2,$C$3,$C$4,$C$6,$C$5,$C$7,T$1,T$2,$A294)</f>
        <v>0</v>
      </c>
      <c r="U294" s="131">
        <f ca="1">_xll.DBRW($C$1,$C$2,$C$3,$C$4,$C$6,$C$5,$C$7,U$1,U$2,$A294)</f>
        <v>0</v>
      </c>
      <c r="V294" s="131">
        <f ca="1">_xll.DBRW($C$1,$C$2,$C$3,$C$4,$C$6,$C$5,$C$7,V$1,V$2,$A294)</f>
        <v>0</v>
      </c>
      <c r="W294" s="131">
        <f ca="1">_xll.DBRW($C$1,$C$2,$C$3,$C$4,$C$6,$C$5,$C$7,W$1,W$2,$A294)</f>
        <v>0</v>
      </c>
      <c r="X294" s="131">
        <f ca="1">_xll.DBRW($C$1,$C$2,$C$3,$C$4,$C$6,$C$5,$C$7,X$1,X$2,$A294)</f>
        <v>0</v>
      </c>
      <c r="Y294" s="131">
        <f ca="1">_xll.DBRW($C$1,$C$2,$C$3,$C$4,$C$6,$C$5,$C$7,Y$1,Y$2,$A294)</f>
        <v>0</v>
      </c>
      <c r="Z294" s="131">
        <f ca="1">_xll.DBRW($C$1,$C$2,$C$3,$C$4,$C$6,$C$5,$C$7,Z$1,Z$2,$A294)</f>
        <v>0</v>
      </c>
      <c r="AA294" s="131">
        <f ca="1">_xll.DBRW($C$1,$C$2,$C$3,$C$4,$C$6,$C$5,$C$7,AA$1,AA$2,$A294)</f>
        <v>0</v>
      </c>
      <c r="AB294" s="131">
        <f ca="1">_xll.DBRW($C$1,$C$2,$C$3,$C$4,$C$6,$C$5,$C$7,AB$1,AB$2,$A294)</f>
        <v>0</v>
      </c>
      <c r="AC294" s="131">
        <f ca="1">_xll.DBRW($C$1,$C$2,$C$3,$C$4,$C$6,$C$5,$C$7,AC$1,AC$2,$A294)</f>
        <v>0</v>
      </c>
      <c r="AD294" s="131">
        <f ca="1">_xll.DBRW($C$1,$C$2,$C$3,$C$4,$C$6,$C$5,$C$7,AD$1,AD$2,$A294)</f>
        <v>0</v>
      </c>
      <c r="AE294" s="131">
        <f ca="1">_xll.DBRW($C$1,$C$2,$C$3,$C$4,$C$6,$C$5,$C$7,AE$1,AE$2,$A294)</f>
        <v>0</v>
      </c>
      <c r="AF294" s="131">
        <f ca="1">_xll.DBRW($C$1,$C$2,$C$3,$C$4,$C$6,$C$5,$C$7,AF$1,AF$2,$A294)</f>
        <v>0</v>
      </c>
      <c r="AG294" s="131">
        <f ca="1">_xll.DBRW($C$1,$C$2,$C$3,$C$4,$C$6,$C$5,$C$7,AG$1,AG$2,$A294)</f>
        <v>0</v>
      </c>
      <c r="AH294" s="131">
        <f ca="1">_xll.DBRW($C$1,$C$2,$C$3,$C$4,$C$6,$C$5,$C$7,AH$1,AH$2,$A294)</f>
        <v>0</v>
      </c>
      <c r="AI294" s="131">
        <f ca="1">_xll.DBRW($C$1,$C$2,$C$3,$C$4,$C$6,$C$5,$C$7,AI$1,AI$2,$A294)</f>
        <v>0</v>
      </c>
      <c r="AJ294" s="131">
        <f ca="1">_xll.DBRW($C$1,$C$2,$C$3,$C$4,$C$6,$C$5,$C$7,AJ$1,AJ$2,$A294)</f>
        <v>0</v>
      </c>
      <c r="AK294" s="131">
        <f ca="1">_xll.DBRW($C$1,$C$2,$C$3,$C$4,$C$6,$C$5,$C$7,AK$1,AK$2,$A294)</f>
        <v>0</v>
      </c>
      <c r="AL294" s="131">
        <f ca="1">_xll.DBRW($C$1,$C$2,$C$3,$C$4,$C$6,$C$5,$C$7,AL$1,AL$2,$A294)</f>
        <v>0</v>
      </c>
      <c r="AM294" s="131">
        <f ca="1">_xll.DBRW($C$1,$C$2,$C$3,$C$4,$C$6,$C$5,$C$7,AM$1,AM$2,$A294)</f>
        <v>0</v>
      </c>
      <c r="AN294" s="131">
        <f ca="1">_xll.DBRW($C$1,$C$2,$C$3,$C$4,$C$6,$C$5,$C$7,AN$1,AN$2,$A294)</f>
        <v>0</v>
      </c>
      <c r="AO294" s="131">
        <f ca="1">_xll.DBRW($C$1,$C$2,$C$3,$C$4,$C$6,$C$5,$C$7,AO$1,AO$2,$A294)</f>
        <v>0</v>
      </c>
      <c r="AP294" s="131">
        <f ca="1">_xll.DBRW($C$1,$C$2,$C$3,$C$4,$C$6,$C$5,$C$7,AP$1,AP$2,$A294)</f>
        <v>0</v>
      </c>
      <c r="AQ294" s="131">
        <f ca="1">_xll.DBRW($C$1,$C$2,$C$3,$C$4,$C$6,$C$5,$C$7,AQ$1,AQ$2,$A294)</f>
        <v>0</v>
      </c>
      <c r="AR294" s="131">
        <f ca="1">_xll.DBRW($C$1,$C$2,$C$3,$C$4,$C$6,$C$5,$C$7,AR$1,AR$2,$A294)</f>
        <v>0</v>
      </c>
      <c r="AS294" s="131">
        <f ca="1">_xll.DBRW($C$1,$C$2,$C$3,$C$4,$C$6,$C$5,$C$7,AS$1,AS$2,$A294)</f>
        <v>0</v>
      </c>
      <c r="AT294" s="131">
        <f ca="1">_xll.DBRW($C$1,$C$2,$C$3,$C$4,$C$6,$C$5,$C$7,AT$1,AT$2,$A294)</f>
        <v>0</v>
      </c>
      <c r="AU294" s="131">
        <f ca="1">_xll.DBRW($C$1,$C$2,$C$3,$C$4,$C$6,$C$5,$C$7,AU$1,AU$2,$A294)</f>
        <v>0</v>
      </c>
    </row>
    <row r="295" spans="1:47" ht="15.75">
      <c r="A295" s="1" t="s">
        <v>127</v>
      </c>
      <c r="C295" s="25"/>
      <c r="E295" s="61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</row>
    <row r="296" spans="1:47" ht="15.75">
      <c r="A296" s="1" t="s">
        <v>127</v>
      </c>
      <c r="E296" s="18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</row>
    <row r="297" spans="1:47" ht="15.75" hidden="1" outlineLevel="1">
      <c r="A297" s="1" t="s">
        <v>333</v>
      </c>
      <c r="E297" s="9" t="str">
        <f ca="1">_xll.DBRW(Server&amp;"}ElementAttributes_Indicator",A297,"code_English")</f>
        <v>Tot_km - Total KM self driven</v>
      </c>
      <c r="F297" s="16">
        <f ca="1">_xll.DBRW($C$1,$C$2,$C$3,$C$4,$C$6,$C$5,$C$7,F$1,F$2,$A297)</f>
        <v>118559163.98999999</v>
      </c>
      <c r="G297" s="16">
        <f ca="1">_xll.DBRW($C$1,$C$2,$C$3,$C$4,$C$6,$C$5,$C$7,G$1,G$2,$A297)</f>
        <v>107520944</v>
      </c>
      <c r="H297" s="16">
        <f ca="1">_xll.DBRW($C$1,$C$2,$C$3,$C$4,$C$6,$C$5,$C$7,H$1,H$2,$A297)</f>
        <v>108478674</v>
      </c>
      <c r="I297" s="16">
        <f ca="1">_xll.DBRW($C$1,$C$2,$C$3,$C$4,$C$6,$C$5,$C$7,I$1,I$2,$A297)</f>
        <v>8990347</v>
      </c>
      <c r="J297" s="16">
        <f ca="1">_xll.DBRW($C$1,$C$2,$C$3,$C$4,$C$6,$C$5,$C$7,J$1,J$2,$A297)</f>
        <v>16930463</v>
      </c>
      <c r="K297" s="16">
        <f ca="1">_xll.DBRW($C$1,$C$2,$C$3,$C$4,$C$6,$C$5,$C$7,K$1,K$2,$A297)</f>
        <v>26318886</v>
      </c>
      <c r="L297" s="16">
        <f ca="1">_xll.DBRW($C$1,$C$2,$C$3,$C$4,$C$6,$C$5,$C$7,L$1,L$2,$A297)</f>
        <v>35170857</v>
      </c>
      <c r="M297" s="16">
        <f ca="1">_xll.DBRW($C$1,$C$2,$C$3,$C$4,$C$6,$C$5,$C$7,M$1,M$2,$A297)</f>
        <v>44360559</v>
      </c>
      <c r="N297" s="16">
        <f ca="1">_xll.DBRW($C$1,$C$2,$C$3,$C$4,$C$6,$C$5,$C$7,N$1,N$2,$A297)</f>
        <v>53102620</v>
      </c>
      <c r="O297" s="16">
        <f ca="1">_xll.DBRW($C$1,$C$2,$C$3,$C$4,$C$6,$C$5,$C$7,O$1,O$2,$A297)</f>
        <v>53102620</v>
      </c>
      <c r="P297" s="16">
        <f ca="1">_xll.DBRW($C$1,$C$2,$C$3,$C$4,$C$6,$C$5,$C$7,P$1,P$2,$A297)</f>
        <v>53102620</v>
      </c>
      <c r="Q297" s="16">
        <f ca="1">_xll.DBRW($C$1,$C$2,$C$3,$C$4,$C$6,$C$5,$C$7,Q$1,Q$2,$A297)</f>
        <v>53102620</v>
      </c>
      <c r="R297" s="16">
        <f ca="1">_xll.DBRW($C$1,$C$2,$C$3,$C$4,$C$6,$C$5,$C$7,R$1,R$2,$A297)</f>
        <v>53102620</v>
      </c>
      <c r="S297" s="16">
        <f ca="1">_xll.DBRW($C$1,$C$2,$C$3,$C$4,$C$6,$C$5,$C$7,S$1,S$2,$A297)</f>
        <v>53102620</v>
      </c>
      <c r="T297" s="16">
        <f ca="1">_xll.DBRW($C$1,$C$2,$C$3,$C$4,$C$6,$C$5,$C$7,T$1,T$2,$A297)</f>
        <v>53102620</v>
      </c>
      <c r="U297" s="16">
        <f ca="1">_xll.DBRW($C$1,$C$2,$C$3,$C$4,$C$6,$C$5,$C$7,U$1,U$2,$A297)</f>
        <v>53102620</v>
      </c>
      <c r="V297" s="16">
        <f ca="1">_xll.DBRW($C$1,$C$2,$C$3,$C$4,$C$6,$C$5,$C$7,V$1,V$2,$A297)</f>
        <v>0</v>
      </c>
      <c r="W297" s="16">
        <f ca="1">_xll.DBRW($C$1,$C$2,$C$3,$C$4,$C$6,$C$5,$C$7,W$1,W$2,$A297)</f>
        <v>0</v>
      </c>
      <c r="X297" s="16">
        <f ca="1">_xll.DBRW($C$1,$C$2,$C$3,$C$4,$C$6,$C$5,$C$7,X$1,X$2,$A297)</f>
        <v>0</v>
      </c>
      <c r="Y297" s="16">
        <f ca="1">_xll.DBRW($C$1,$C$2,$C$3,$C$4,$C$6,$C$5,$C$7,Y$1,Y$2,$A297)</f>
        <v>0</v>
      </c>
      <c r="Z297" s="16">
        <f ca="1">_xll.DBRW($C$1,$C$2,$C$3,$C$4,$C$6,$C$5,$C$7,Z$1,Z$2,$A297)</f>
        <v>0</v>
      </c>
      <c r="AA297" s="16">
        <f ca="1">_xll.DBRW($C$1,$C$2,$C$3,$C$4,$C$6,$C$5,$C$7,AA$1,AA$2,$A297)</f>
        <v>0</v>
      </c>
      <c r="AB297" s="16">
        <f ca="1">_xll.DBRW($C$1,$C$2,$C$3,$C$4,$C$6,$C$5,$C$7,AB$1,AB$2,$A297)</f>
        <v>0</v>
      </c>
      <c r="AC297" s="16">
        <f ca="1">_xll.DBRW($C$1,$C$2,$C$3,$C$4,$C$6,$C$5,$C$7,AC$1,AC$2,$A297)</f>
        <v>0</v>
      </c>
      <c r="AD297" s="16">
        <f ca="1">_xll.DBRW($C$1,$C$2,$C$3,$C$4,$C$6,$C$5,$C$7,AD$1,AD$2,$A297)</f>
        <v>0</v>
      </c>
      <c r="AE297" s="16">
        <f ca="1">_xll.DBRW($C$1,$C$2,$C$3,$C$4,$C$6,$C$5,$C$7,AE$1,AE$2,$A297)</f>
        <v>0</v>
      </c>
      <c r="AF297" s="16">
        <f ca="1">_xll.DBRW($C$1,$C$2,$C$3,$C$4,$C$6,$C$5,$C$7,AF$1,AF$2,$A297)</f>
        <v>0</v>
      </c>
      <c r="AG297" s="16">
        <f ca="1">_xll.DBRW($C$1,$C$2,$C$3,$C$4,$C$6,$C$5,$C$7,AG$1,AG$2,$A297)</f>
        <v>0</v>
      </c>
      <c r="AH297" s="16">
        <f ca="1">_xll.DBRW($C$1,$C$2,$C$3,$C$4,$C$6,$C$5,$C$7,AH$1,AH$2,$A297)</f>
        <v>0</v>
      </c>
      <c r="AI297" s="16">
        <f ca="1">_xll.DBRW($C$1,$C$2,$C$3,$C$4,$C$6,$C$5,$C$7,AI$1,AI$2,$A297)</f>
        <v>0</v>
      </c>
      <c r="AJ297" s="16">
        <f ca="1">_xll.DBRW($C$1,$C$2,$C$3,$C$4,$C$6,$C$5,$C$7,AJ$1,AJ$2,$A297)</f>
        <v>0</v>
      </c>
      <c r="AK297" s="16">
        <f ca="1">_xll.DBRW($C$1,$C$2,$C$3,$C$4,$C$6,$C$5,$C$7,AK$1,AK$2,$A297)</f>
        <v>0</v>
      </c>
      <c r="AL297" s="16">
        <f ca="1">_xll.DBRW($C$1,$C$2,$C$3,$C$4,$C$6,$C$5,$C$7,AL$1,AL$2,$A297)</f>
        <v>0</v>
      </c>
      <c r="AM297" s="16">
        <f ca="1">_xll.DBRW($C$1,$C$2,$C$3,$C$4,$C$6,$C$5,$C$7,AM$1,AM$2,$A297)</f>
        <v>0</v>
      </c>
      <c r="AN297" s="16">
        <f ca="1">_xll.DBRW($C$1,$C$2,$C$3,$C$4,$C$6,$C$5,$C$7,AN$1,AN$2,$A297)</f>
        <v>0</v>
      </c>
      <c r="AO297" s="16">
        <f ca="1">_xll.DBRW($C$1,$C$2,$C$3,$C$4,$C$6,$C$5,$C$7,AO$1,AO$2,$A297)</f>
        <v>0</v>
      </c>
      <c r="AP297" s="16">
        <f ca="1">_xll.DBRW($C$1,$C$2,$C$3,$C$4,$C$6,$C$5,$C$7,AP$1,AP$2,$A297)</f>
        <v>0</v>
      </c>
      <c r="AQ297" s="16">
        <f ca="1">_xll.DBRW($C$1,$C$2,$C$3,$C$4,$C$6,$C$5,$C$7,AQ$1,AQ$2,$A297)</f>
        <v>0</v>
      </c>
      <c r="AR297" s="16">
        <f ca="1">_xll.DBRW($C$1,$C$2,$C$3,$C$4,$C$6,$C$5,$C$7,AR$1,AR$2,$A297)</f>
        <v>0</v>
      </c>
      <c r="AS297" s="16">
        <f ca="1">_xll.DBRW($C$1,$C$2,$C$3,$C$4,$C$6,$C$5,$C$7,AS$1,AS$2,$A297)</f>
        <v>0</v>
      </c>
      <c r="AT297" s="16">
        <f ca="1">_xll.DBRW($C$1,$C$2,$C$3,$C$4,$C$6,$C$5,$C$7,AT$1,AT$2,$A297)</f>
        <v>0</v>
      </c>
      <c r="AU297" s="16">
        <f ca="1">_xll.DBRW($C$1,$C$2,$C$3,$C$4,$C$6,$C$5,$C$7,AU$1,AU$2,$A297)</f>
        <v>0</v>
      </c>
    </row>
    <row r="298" spans="1:47" ht="15.75" hidden="1" outlineLevel="1">
      <c r="A298" s="74" t="s">
        <v>342</v>
      </c>
      <c r="B298" s="74"/>
      <c r="E298" s="9" t="str">
        <f ca="1">_xll.DBRW(Server&amp;"}ElementAttributes_Indicator",A298,"code_English")</f>
        <v>Tot_km_bus_coach - Total KM driven by buses/coaches</v>
      </c>
      <c r="F298" s="38">
        <f ca="1">_xll.DBRW($C$1,$C$2,$C$3,$C$4,$C$6,$C$5,$C$7,F$1,F$2,$A298)</f>
        <v>0</v>
      </c>
      <c r="G298" s="38">
        <f ca="1">_xll.DBRW($C$1,$C$2,$C$3,$C$4,$C$6,$C$5,$C$7,G$1,G$2,$A298)</f>
        <v>0</v>
      </c>
      <c r="H298" s="38">
        <f ca="1">_xll.DBRW($C$1,$C$2,$C$3,$C$4,$C$6,$C$5,$C$7,H$1,H$2,$A298)</f>
        <v>0</v>
      </c>
      <c r="I298" s="38">
        <f ca="1">_xll.DBRW($C$1,$C$2,$C$3,$C$4,$C$6,$C$5,$C$7,I$1,I$2,$A298)</f>
        <v>0</v>
      </c>
      <c r="J298" s="38">
        <f ca="1">_xll.DBRW($C$1,$C$2,$C$3,$C$4,$C$6,$C$5,$C$7,J$1,J$2,$A298)</f>
        <v>0</v>
      </c>
      <c r="K298" s="38">
        <f ca="1">_xll.DBRW($C$1,$C$2,$C$3,$C$4,$C$6,$C$5,$C$7,K$1,K$2,$A298)</f>
        <v>0</v>
      </c>
      <c r="L298" s="38">
        <f ca="1">_xll.DBRW($C$1,$C$2,$C$3,$C$4,$C$6,$C$5,$C$7,L$1,L$2,$A298)</f>
        <v>0</v>
      </c>
      <c r="M298" s="38">
        <f ca="1">_xll.DBRW($C$1,$C$2,$C$3,$C$4,$C$6,$C$5,$C$7,M$1,M$2,$A298)</f>
        <v>0</v>
      </c>
      <c r="N298" s="38">
        <f ca="1">_xll.DBRW($C$1,$C$2,$C$3,$C$4,$C$6,$C$5,$C$7,N$1,N$2,$A298)</f>
        <v>0</v>
      </c>
      <c r="O298" s="38">
        <f ca="1">_xll.DBRW($C$1,$C$2,$C$3,$C$4,$C$6,$C$5,$C$7,O$1,O$2,$A298)</f>
        <v>0</v>
      </c>
      <c r="P298" s="38">
        <f ca="1">_xll.DBRW($C$1,$C$2,$C$3,$C$4,$C$6,$C$5,$C$7,P$1,P$2,$A298)</f>
        <v>0</v>
      </c>
      <c r="Q298" s="38">
        <f ca="1">_xll.DBRW($C$1,$C$2,$C$3,$C$4,$C$6,$C$5,$C$7,Q$1,Q$2,$A298)</f>
        <v>0</v>
      </c>
      <c r="R298" s="38">
        <f ca="1">_xll.DBRW($C$1,$C$2,$C$3,$C$4,$C$6,$C$5,$C$7,R$1,R$2,$A298)</f>
        <v>0</v>
      </c>
      <c r="S298" s="38">
        <f ca="1">_xll.DBRW($C$1,$C$2,$C$3,$C$4,$C$6,$C$5,$C$7,S$1,S$2,$A298)</f>
        <v>0</v>
      </c>
      <c r="T298" s="38">
        <f ca="1">_xll.DBRW($C$1,$C$2,$C$3,$C$4,$C$6,$C$5,$C$7,T$1,T$2,$A298)</f>
        <v>0</v>
      </c>
      <c r="U298" s="38">
        <f ca="1">_xll.DBRW($C$1,$C$2,$C$3,$C$4,$C$6,$C$5,$C$7,U$1,U$2,$A298)</f>
        <v>0</v>
      </c>
      <c r="V298" s="38">
        <f ca="1">_xll.DBRW($C$1,$C$2,$C$3,$C$4,$C$6,$C$5,$C$7,V$1,V$2,$A298)</f>
        <v>0</v>
      </c>
      <c r="W298" s="38">
        <f ca="1">_xll.DBRW($C$1,$C$2,$C$3,$C$4,$C$6,$C$5,$C$7,W$1,W$2,$A298)</f>
        <v>0</v>
      </c>
      <c r="X298" s="38">
        <f ca="1">_xll.DBRW($C$1,$C$2,$C$3,$C$4,$C$6,$C$5,$C$7,X$1,X$2,$A298)</f>
        <v>0</v>
      </c>
      <c r="Y298" s="38">
        <f ca="1">_xll.DBRW($C$1,$C$2,$C$3,$C$4,$C$6,$C$5,$C$7,Y$1,Y$2,$A298)</f>
        <v>0</v>
      </c>
      <c r="Z298" s="38">
        <f ca="1">_xll.DBRW($C$1,$C$2,$C$3,$C$4,$C$6,$C$5,$C$7,Z$1,Z$2,$A298)</f>
        <v>0</v>
      </c>
      <c r="AA298" s="38">
        <f ca="1">_xll.DBRW($C$1,$C$2,$C$3,$C$4,$C$6,$C$5,$C$7,AA$1,AA$2,$A298)</f>
        <v>0</v>
      </c>
      <c r="AB298" s="38">
        <f ca="1">_xll.DBRW($C$1,$C$2,$C$3,$C$4,$C$6,$C$5,$C$7,AB$1,AB$2,$A298)</f>
        <v>0</v>
      </c>
      <c r="AC298" s="38">
        <f ca="1">_xll.DBRW($C$1,$C$2,$C$3,$C$4,$C$6,$C$5,$C$7,AC$1,AC$2,$A298)</f>
        <v>0</v>
      </c>
      <c r="AD298" s="38">
        <f ca="1">_xll.DBRW($C$1,$C$2,$C$3,$C$4,$C$6,$C$5,$C$7,AD$1,AD$2,$A298)</f>
        <v>0</v>
      </c>
      <c r="AE298" s="38">
        <f ca="1">_xll.DBRW($C$1,$C$2,$C$3,$C$4,$C$6,$C$5,$C$7,AE$1,AE$2,$A298)</f>
        <v>0</v>
      </c>
      <c r="AF298" s="38">
        <f ca="1">_xll.DBRW($C$1,$C$2,$C$3,$C$4,$C$6,$C$5,$C$7,AF$1,AF$2,$A298)</f>
        <v>0</v>
      </c>
      <c r="AG298" s="38">
        <f ca="1">_xll.DBRW($C$1,$C$2,$C$3,$C$4,$C$6,$C$5,$C$7,AG$1,AG$2,$A298)</f>
        <v>0</v>
      </c>
      <c r="AH298" s="38">
        <f ca="1">_xll.DBRW($C$1,$C$2,$C$3,$C$4,$C$6,$C$5,$C$7,AH$1,AH$2,$A298)</f>
        <v>0</v>
      </c>
      <c r="AI298" s="38">
        <f ca="1">_xll.DBRW($C$1,$C$2,$C$3,$C$4,$C$6,$C$5,$C$7,AI$1,AI$2,$A298)</f>
        <v>0</v>
      </c>
      <c r="AJ298" s="38">
        <f ca="1">_xll.DBRW($C$1,$C$2,$C$3,$C$4,$C$6,$C$5,$C$7,AJ$1,AJ$2,$A298)</f>
        <v>0</v>
      </c>
      <c r="AK298" s="38">
        <f ca="1">_xll.DBRW($C$1,$C$2,$C$3,$C$4,$C$6,$C$5,$C$7,AK$1,AK$2,$A298)</f>
        <v>0</v>
      </c>
      <c r="AL298" s="38">
        <f ca="1">_xll.DBRW($C$1,$C$2,$C$3,$C$4,$C$6,$C$5,$C$7,AL$1,AL$2,$A298)</f>
        <v>0</v>
      </c>
      <c r="AM298" s="38">
        <f ca="1">_xll.DBRW($C$1,$C$2,$C$3,$C$4,$C$6,$C$5,$C$7,AM$1,AM$2,$A298)</f>
        <v>0</v>
      </c>
      <c r="AN298" s="38">
        <f ca="1">_xll.DBRW($C$1,$C$2,$C$3,$C$4,$C$6,$C$5,$C$7,AN$1,AN$2,$A298)</f>
        <v>0</v>
      </c>
      <c r="AO298" s="38">
        <f ca="1">_xll.DBRW($C$1,$C$2,$C$3,$C$4,$C$6,$C$5,$C$7,AO$1,AO$2,$A298)</f>
        <v>0</v>
      </c>
      <c r="AP298" s="38">
        <f ca="1">_xll.DBRW($C$1,$C$2,$C$3,$C$4,$C$6,$C$5,$C$7,AP$1,AP$2,$A298)</f>
        <v>0</v>
      </c>
      <c r="AQ298" s="38">
        <f ca="1">_xll.DBRW($C$1,$C$2,$C$3,$C$4,$C$6,$C$5,$C$7,AQ$1,AQ$2,$A298)</f>
        <v>0</v>
      </c>
      <c r="AR298" s="38">
        <f ca="1">_xll.DBRW($C$1,$C$2,$C$3,$C$4,$C$6,$C$5,$C$7,AR$1,AR$2,$A298)</f>
        <v>0</v>
      </c>
      <c r="AS298" s="38">
        <f ca="1">_xll.DBRW($C$1,$C$2,$C$3,$C$4,$C$6,$C$5,$C$7,AS$1,AS$2,$A298)</f>
        <v>0</v>
      </c>
      <c r="AT298" s="38">
        <f ca="1">_xll.DBRW($C$1,$C$2,$C$3,$C$4,$C$6,$C$5,$C$7,AT$1,AT$2,$A298)</f>
        <v>0</v>
      </c>
      <c r="AU298" s="38">
        <f ca="1">_xll.DBRW($C$1,$C$2,$C$3,$C$4,$C$6,$C$5,$C$7,AU$1,AU$2,$A298)</f>
        <v>0</v>
      </c>
    </row>
    <row r="299" spans="1:47" ht="15.75" hidden="1" outlineLevel="1">
      <c r="A299" s="74" t="s">
        <v>343</v>
      </c>
      <c r="B299" s="74"/>
      <c r="E299" s="9" t="str">
        <f ca="1">_xll.DBRW(Server&amp;"}ElementAttributes_Indicator",A299,"code_English")</f>
        <v>Tot_km_light_vehicle - Total KM driven by light vehicles</v>
      </c>
      <c r="F299" s="38">
        <f ca="1">_xll.DBRW($C$1,$C$2,$C$3,$C$4,$C$6,$C$5,$C$7,F$1,F$2,$A299)</f>
        <v>0</v>
      </c>
      <c r="G299" s="38">
        <f ca="1">_xll.DBRW($C$1,$C$2,$C$3,$C$4,$C$6,$C$5,$C$7,G$1,G$2,$A299)</f>
        <v>0</v>
      </c>
      <c r="H299" s="38">
        <f ca="1">_xll.DBRW($C$1,$C$2,$C$3,$C$4,$C$6,$C$5,$C$7,H$1,H$2,$A299)</f>
        <v>0</v>
      </c>
      <c r="I299" s="38">
        <f ca="1">_xll.DBRW($C$1,$C$2,$C$3,$C$4,$C$6,$C$5,$C$7,I$1,I$2,$A299)</f>
        <v>0</v>
      </c>
      <c r="J299" s="38">
        <f ca="1">_xll.DBRW($C$1,$C$2,$C$3,$C$4,$C$6,$C$5,$C$7,J$1,J$2,$A299)</f>
        <v>0</v>
      </c>
      <c r="K299" s="38">
        <f ca="1">_xll.DBRW($C$1,$C$2,$C$3,$C$4,$C$6,$C$5,$C$7,K$1,K$2,$A299)</f>
        <v>0</v>
      </c>
      <c r="L299" s="38">
        <f ca="1">_xll.DBRW($C$1,$C$2,$C$3,$C$4,$C$6,$C$5,$C$7,L$1,L$2,$A299)</f>
        <v>0</v>
      </c>
      <c r="M299" s="38">
        <f ca="1">_xll.DBRW($C$1,$C$2,$C$3,$C$4,$C$6,$C$5,$C$7,M$1,M$2,$A299)</f>
        <v>0</v>
      </c>
      <c r="N299" s="38">
        <f ca="1">_xll.DBRW($C$1,$C$2,$C$3,$C$4,$C$6,$C$5,$C$7,N$1,N$2,$A299)</f>
        <v>0</v>
      </c>
      <c r="O299" s="38">
        <f ca="1">_xll.DBRW($C$1,$C$2,$C$3,$C$4,$C$6,$C$5,$C$7,O$1,O$2,$A299)</f>
        <v>0</v>
      </c>
      <c r="P299" s="38">
        <f ca="1">_xll.DBRW($C$1,$C$2,$C$3,$C$4,$C$6,$C$5,$C$7,P$1,P$2,$A299)</f>
        <v>0</v>
      </c>
      <c r="Q299" s="38">
        <f ca="1">_xll.DBRW($C$1,$C$2,$C$3,$C$4,$C$6,$C$5,$C$7,Q$1,Q$2,$A299)</f>
        <v>0</v>
      </c>
      <c r="R299" s="38">
        <f ca="1">_xll.DBRW($C$1,$C$2,$C$3,$C$4,$C$6,$C$5,$C$7,R$1,R$2,$A299)</f>
        <v>0</v>
      </c>
      <c r="S299" s="38">
        <f ca="1">_xll.DBRW($C$1,$C$2,$C$3,$C$4,$C$6,$C$5,$C$7,S$1,S$2,$A299)</f>
        <v>0</v>
      </c>
      <c r="T299" s="38">
        <f ca="1">_xll.DBRW($C$1,$C$2,$C$3,$C$4,$C$6,$C$5,$C$7,T$1,T$2,$A299)</f>
        <v>0</v>
      </c>
      <c r="U299" s="38">
        <f ca="1">_xll.DBRW($C$1,$C$2,$C$3,$C$4,$C$6,$C$5,$C$7,U$1,U$2,$A299)</f>
        <v>0</v>
      </c>
      <c r="V299" s="38">
        <f ca="1">_xll.DBRW($C$1,$C$2,$C$3,$C$4,$C$6,$C$5,$C$7,V$1,V$2,$A299)</f>
        <v>0</v>
      </c>
      <c r="W299" s="38">
        <f ca="1">_xll.DBRW($C$1,$C$2,$C$3,$C$4,$C$6,$C$5,$C$7,W$1,W$2,$A299)</f>
        <v>0</v>
      </c>
      <c r="X299" s="38">
        <f ca="1">_xll.DBRW($C$1,$C$2,$C$3,$C$4,$C$6,$C$5,$C$7,X$1,X$2,$A299)</f>
        <v>0</v>
      </c>
      <c r="Y299" s="38">
        <f ca="1">_xll.DBRW($C$1,$C$2,$C$3,$C$4,$C$6,$C$5,$C$7,Y$1,Y$2,$A299)</f>
        <v>0</v>
      </c>
      <c r="Z299" s="38">
        <f ca="1">_xll.DBRW($C$1,$C$2,$C$3,$C$4,$C$6,$C$5,$C$7,Z$1,Z$2,$A299)</f>
        <v>0</v>
      </c>
      <c r="AA299" s="38">
        <f ca="1">_xll.DBRW($C$1,$C$2,$C$3,$C$4,$C$6,$C$5,$C$7,AA$1,AA$2,$A299)</f>
        <v>0</v>
      </c>
      <c r="AB299" s="38">
        <f ca="1">_xll.DBRW($C$1,$C$2,$C$3,$C$4,$C$6,$C$5,$C$7,AB$1,AB$2,$A299)</f>
        <v>0</v>
      </c>
      <c r="AC299" s="38">
        <f ca="1">_xll.DBRW($C$1,$C$2,$C$3,$C$4,$C$6,$C$5,$C$7,AC$1,AC$2,$A299)</f>
        <v>0</v>
      </c>
      <c r="AD299" s="38">
        <f ca="1">_xll.DBRW($C$1,$C$2,$C$3,$C$4,$C$6,$C$5,$C$7,AD$1,AD$2,$A299)</f>
        <v>0</v>
      </c>
      <c r="AE299" s="38">
        <f ca="1">_xll.DBRW($C$1,$C$2,$C$3,$C$4,$C$6,$C$5,$C$7,AE$1,AE$2,$A299)</f>
        <v>0</v>
      </c>
      <c r="AF299" s="38">
        <f ca="1">_xll.DBRW($C$1,$C$2,$C$3,$C$4,$C$6,$C$5,$C$7,AF$1,AF$2,$A299)</f>
        <v>0</v>
      </c>
      <c r="AG299" s="38">
        <f ca="1">_xll.DBRW($C$1,$C$2,$C$3,$C$4,$C$6,$C$5,$C$7,AG$1,AG$2,$A299)</f>
        <v>0</v>
      </c>
      <c r="AH299" s="38">
        <f ca="1">_xll.DBRW($C$1,$C$2,$C$3,$C$4,$C$6,$C$5,$C$7,AH$1,AH$2,$A299)</f>
        <v>0</v>
      </c>
      <c r="AI299" s="38">
        <f ca="1">_xll.DBRW($C$1,$C$2,$C$3,$C$4,$C$6,$C$5,$C$7,AI$1,AI$2,$A299)</f>
        <v>0</v>
      </c>
      <c r="AJ299" s="38">
        <f ca="1">_xll.DBRW($C$1,$C$2,$C$3,$C$4,$C$6,$C$5,$C$7,AJ$1,AJ$2,$A299)</f>
        <v>0</v>
      </c>
      <c r="AK299" s="38">
        <f ca="1">_xll.DBRW($C$1,$C$2,$C$3,$C$4,$C$6,$C$5,$C$7,AK$1,AK$2,$A299)</f>
        <v>0</v>
      </c>
      <c r="AL299" s="38">
        <f ca="1">_xll.DBRW($C$1,$C$2,$C$3,$C$4,$C$6,$C$5,$C$7,AL$1,AL$2,$A299)</f>
        <v>0</v>
      </c>
      <c r="AM299" s="38">
        <f ca="1">_xll.DBRW($C$1,$C$2,$C$3,$C$4,$C$6,$C$5,$C$7,AM$1,AM$2,$A299)</f>
        <v>0</v>
      </c>
      <c r="AN299" s="38">
        <f ca="1">_xll.DBRW($C$1,$C$2,$C$3,$C$4,$C$6,$C$5,$C$7,AN$1,AN$2,$A299)</f>
        <v>0</v>
      </c>
      <c r="AO299" s="38">
        <f ca="1">_xll.DBRW($C$1,$C$2,$C$3,$C$4,$C$6,$C$5,$C$7,AO$1,AO$2,$A299)</f>
        <v>0</v>
      </c>
      <c r="AP299" s="38">
        <f ca="1">_xll.DBRW($C$1,$C$2,$C$3,$C$4,$C$6,$C$5,$C$7,AP$1,AP$2,$A299)</f>
        <v>0</v>
      </c>
      <c r="AQ299" s="38">
        <f ca="1">_xll.DBRW($C$1,$C$2,$C$3,$C$4,$C$6,$C$5,$C$7,AQ$1,AQ$2,$A299)</f>
        <v>0</v>
      </c>
      <c r="AR299" s="38">
        <f ca="1">_xll.DBRW($C$1,$C$2,$C$3,$C$4,$C$6,$C$5,$C$7,AR$1,AR$2,$A299)</f>
        <v>0</v>
      </c>
      <c r="AS299" s="38">
        <f ca="1">_xll.DBRW($C$1,$C$2,$C$3,$C$4,$C$6,$C$5,$C$7,AS$1,AS$2,$A299)</f>
        <v>0</v>
      </c>
      <c r="AT299" s="38">
        <f ca="1">_xll.DBRW($C$1,$C$2,$C$3,$C$4,$C$6,$C$5,$C$7,AT$1,AT$2,$A299)</f>
        <v>0</v>
      </c>
      <c r="AU299" s="38">
        <f ca="1">_xll.DBRW($C$1,$C$2,$C$3,$C$4,$C$6,$C$5,$C$7,AU$1,AU$2,$A299)</f>
        <v>0</v>
      </c>
    </row>
    <row r="300" spans="1:47" ht="15.75" hidden="1" outlineLevel="1">
      <c r="A300" s="74" t="s">
        <v>344</v>
      </c>
      <c r="B300" s="74"/>
      <c r="E300" s="9" t="str">
        <f ca="1">_xll.DBRW(Server&amp;"}ElementAttributes_Indicator",A300,"code_English")</f>
        <v>Tot_km_LRV - Total KM driven by LRV</v>
      </c>
      <c r="F300" s="38">
        <f ca="1">_xll.DBRW($C$1,$C$2,$C$3,$C$4,$C$6,$C$5,$C$7,F$1,F$2,$A300)</f>
        <v>0</v>
      </c>
      <c r="G300" s="38">
        <f ca="1">_xll.DBRW($C$1,$C$2,$C$3,$C$4,$C$6,$C$5,$C$7,G$1,G$2,$A300)</f>
        <v>0</v>
      </c>
      <c r="H300" s="38">
        <f ca="1">_xll.DBRW($C$1,$C$2,$C$3,$C$4,$C$6,$C$5,$C$7,H$1,H$2,$A300)</f>
        <v>0</v>
      </c>
      <c r="I300" s="38">
        <f ca="1">_xll.DBRW($C$1,$C$2,$C$3,$C$4,$C$6,$C$5,$C$7,I$1,I$2,$A300)</f>
        <v>0</v>
      </c>
      <c r="J300" s="38">
        <f ca="1">_xll.DBRW($C$1,$C$2,$C$3,$C$4,$C$6,$C$5,$C$7,J$1,J$2,$A300)</f>
        <v>0</v>
      </c>
      <c r="K300" s="38">
        <f ca="1">_xll.DBRW($C$1,$C$2,$C$3,$C$4,$C$6,$C$5,$C$7,K$1,K$2,$A300)</f>
        <v>0</v>
      </c>
      <c r="L300" s="38">
        <f ca="1">_xll.DBRW($C$1,$C$2,$C$3,$C$4,$C$6,$C$5,$C$7,L$1,L$2,$A300)</f>
        <v>0</v>
      </c>
      <c r="M300" s="38">
        <f ca="1">_xll.DBRW($C$1,$C$2,$C$3,$C$4,$C$6,$C$5,$C$7,M$1,M$2,$A300)</f>
        <v>0</v>
      </c>
      <c r="N300" s="38">
        <f ca="1">_xll.DBRW($C$1,$C$2,$C$3,$C$4,$C$6,$C$5,$C$7,N$1,N$2,$A300)</f>
        <v>0</v>
      </c>
      <c r="O300" s="38">
        <f ca="1">_xll.DBRW($C$1,$C$2,$C$3,$C$4,$C$6,$C$5,$C$7,O$1,O$2,$A300)</f>
        <v>0</v>
      </c>
      <c r="P300" s="38">
        <f ca="1">_xll.DBRW($C$1,$C$2,$C$3,$C$4,$C$6,$C$5,$C$7,P$1,P$2,$A300)</f>
        <v>0</v>
      </c>
      <c r="Q300" s="38">
        <f ca="1">_xll.DBRW($C$1,$C$2,$C$3,$C$4,$C$6,$C$5,$C$7,Q$1,Q$2,$A300)</f>
        <v>0</v>
      </c>
      <c r="R300" s="38">
        <f ca="1">_xll.DBRW($C$1,$C$2,$C$3,$C$4,$C$6,$C$5,$C$7,R$1,R$2,$A300)</f>
        <v>0</v>
      </c>
      <c r="S300" s="38">
        <f ca="1">_xll.DBRW($C$1,$C$2,$C$3,$C$4,$C$6,$C$5,$C$7,S$1,S$2,$A300)</f>
        <v>0</v>
      </c>
      <c r="T300" s="38">
        <f ca="1">_xll.DBRW($C$1,$C$2,$C$3,$C$4,$C$6,$C$5,$C$7,T$1,T$2,$A300)</f>
        <v>0</v>
      </c>
      <c r="U300" s="38">
        <f ca="1">_xll.DBRW($C$1,$C$2,$C$3,$C$4,$C$6,$C$5,$C$7,U$1,U$2,$A300)</f>
        <v>0</v>
      </c>
      <c r="V300" s="38">
        <f ca="1">_xll.DBRW($C$1,$C$2,$C$3,$C$4,$C$6,$C$5,$C$7,V$1,V$2,$A300)</f>
        <v>0</v>
      </c>
      <c r="W300" s="38">
        <f ca="1">_xll.DBRW($C$1,$C$2,$C$3,$C$4,$C$6,$C$5,$C$7,W$1,W$2,$A300)</f>
        <v>0</v>
      </c>
      <c r="X300" s="38">
        <f ca="1">_xll.DBRW($C$1,$C$2,$C$3,$C$4,$C$6,$C$5,$C$7,X$1,X$2,$A300)</f>
        <v>0</v>
      </c>
      <c r="Y300" s="38">
        <f ca="1">_xll.DBRW($C$1,$C$2,$C$3,$C$4,$C$6,$C$5,$C$7,Y$1,Y$2,$A300)</f>
        <v>0</v>
      </c>
      <c r="Z300" s="38">
        <f ca="1">_xll.DBRW($C$1,$C$2,$C$3,$C$4,$C$6,$C$5,$C$7,Z$1,Z$2,$A300)</f>
        <v>0</v>
      </c>
      <c r="AA300" s="38">
        <f ca="1">_xll.DBRW($C$1,$C$2,$C$3,$C$4,$C$6,$C$5,$C$7,AA$1,AA$2,$A300)</f>
        <v>0</v>
      </c>
      <c r="AB300" s="38">
        <f ca="1">_xll.DBRW($C$1,$C$2,$C$3,$C$4,$C$6,$C$5,$C$7,AB$1,AB$2,$A300)</f>
        <v>0</v>
      </c>
      <c r="AC300" s="38">
        <f ca="1">_xll.DBRW($C$1,$C$2,$C$3,$C$4,$C$6,$C$5,$C$7,AC$1,AC$2,$A300)</f>
        <v>0</v>
      </c>
      <c r="AD300" s="38">
        <f ca="1">_xll.DBRW($C$1,$C$2,$C$3,$C$4,$C$6,$C$5,$C$7,AD$1,AD$2,$A300)</f>
        <v>0</v>
      </c>
      <c r="AE300" s="38">
        <f ca="1">_xll.DBRW($C$1,$C$2,$C$3,$C$4,$C$6,$C$5,$C$7,AE$1,AE$2,$A300)</f>
        <v>0</v>
      </c>
      <c r="AF300" s="38">
        <f ca="1">_xll.DBRW($C$1,$C$2,$C$3,$C$4,$C$6,$C$5,$C$7,AF$1,AF$2,$A300)</f>
        <v>0</v>
      </c>
      <c r="AG300" s="38">
        <f ca="1">_xll.DBRW($C$1,$C$2,$C$3,$C$4,$C$6,$C$5,$C$7,AG$1,AG$2,$A300)</f>
        <v>0</v>
      </c>
      <c r="AH300" s="38">
        <f ca="1">_xll.DBRW($C$1,$C$2,$C$3,$C$4,$C$6,$C$5,$C$7,AH$1,AH$2,$A300)</f>
        <v>0</v>
      </c>
      <c r="AI300" s="38">
        <f ca="1">_xll.DBRW($C$1,$C$2,$C$3,$C$4,$C$6,$C$5,$C$7,AI$1,AI$2,$A300)</f>
        <v>0</v>
      </c>
      <c r="AJ300" s="38">
        <f ca="1">_xll.DBRW($C$1,$C$2,$C$3,$C$4,$C$6,$C$5,$C$7,AJ$1,AJ$2,$A300)</f>
        <v>0</v>
      </c>
      <c r="AK300" s="38">
        <f ca="1">_xll.DBRW($C$1,$C$2,$C$3,$C$4,$C$6,$C$5,$C$7,AK$1,AK$2,$A300)</f>
        <v>0</v>
      </c>
      <c r="AL300" s="38">
        <f ca="1">_xll.DBRW($C$1,$C$2,$C$3,$C$4,$C$6,$C$5,$C$7,AL$1,AL$2,$A300)</f>
        <v>0</v>
      </c>
      <c r="AM300" s="38">
        <f ca="1">_xll.DBRW($C$1,$C$2,$C$3,$C$4,$C$6,$C$5,$C$7,AM$1,AM$2,$A300)</f>
        <v>0</v>
      </c>
      <c r="AN300" s="38">
        <f ca="1">_xll.DBRW($C$1,$C$2,$C$3,$C$4,$C$6,$C$5,$C$7,AN$1,AN$2,$A300)</f>
        <v>0</v>
      </c>
      <c r="AO300" s="38">
        <f ca="1">_xll.DBRW($C$1,$C$2,$C$3,$C$4,$C$6,$C$5,$C$7,AO$1,AO$2,$A300)</f>
        <v>0</v>
      </c>
      <c r="AP300" s="38">
        <f ca="1">_xll.DBRW($C$1,$C$2,$C$3,$C$4,$C$6,$C$5,$C$7,AP$1,AP$2,$A300)</f>
        <v>0</v>
      </c>
      <c r="AQ300" s="38">
        <f ca="1">_xll.DBRW($C$1,$C$2,$C$3,$C$4,$C$6,$C$5,$C$7,AQ$1,AQ$2,$A300)</f>
        <v>0</v>
      </c>
      <c r="AR300" s="38">
        <f ca="1">_xll.DBRW($C$1,$C$2,$C$3,$C$4,$C$6,$C$5,$C$7,AR$1,AR$2,$A300)</f>
        <v>0</v>
      </c>
      <c r="AS300" s="38">
        <f ca="1">_xll.DBRW($C$1,$C$2,$C$3,$C$4,$C$6,$C$5,$C$7,AS$1,AS$2,$A300)</f>
        <v>0</v>
      </c>
      <c r="AT300" s="38">
        <f ca="1">_xll.DBRW($C$1,$C$2,$C$3,$C$4,$C$6,$C$5,$C$7,AT$1,AT$2,$A300)</f>
        <v>0</v>
      </c>
      <c r="AU300" s="38">
        <f ca="1">_xll.DBRW($C$1,$C$2,$C$3,$C$4,$C$6,$C$5,$C$7,AU$1,AU$2,$A300)</f>
        <v>0</v>
      </c>
    </row>
    <row r="301" spans="1:47" ht="15.75" hidden="1" outlineLevel="1">
      <c r="A301" s="74" t="s">
        <v>345</v>
      </c>
      <c r="B301" s="74"/>
      <c r="E301" s="9" t="str">
        <f ca="1">_xll.DBRW(Server&amp;"}ElementAttributes_Indicator",A301,"code_English")</f>
        <v>Tot_km_heavy_rail - Total KM driven by heavy rail</v>
      </c>
      <c r="F301" s="38">
        <f ca="1">_xll.DBRW($C$1,$C$2,$C$3,$C$4,$C$6,$C$5,$C$7,F$1,F$2,$A301)</f>
        <v>0</v>
      </c>
      <c r="G301" s="38">
        <f ca="1">_xll.DBRW($C$1,$C$2,$C$3,$C$4,$C$6,$C$5,$C$7,G$1,G$2,$A301)</f>
        <v>0</v>
      </c>
      <c r="H301" s="38">
        <f ca="1">_xll.DBRW($C$1,$C$2,$C$3,$C$4,$C$6,$C$5,$C$7,H$1,H$2,$A301)</f>
        <v>0</v>
      </c>
      <c r="I301" s="38">
        <f ca="1">_xll.DBRW($C$1,$C$2,$C$3,$C$4,$C$6,$C$5,$C$7,I$1,I$2,$A301)</f>
        <v>0</v>
      </c>
      <c r="J301" s="38">
        <f ca="1">_xll.DBRW($C$1,$C$2,$C$3,$C$4,$C$6,$C$5,$C$7,J$1,J$2,$A301)</f>
        <v>0</v>
      </c>
      <c r="K301" s="38">
        <f ca="1">_xll.DBRW($C$1,$C$2,$C$3,$C$4,$C$6,$C$5,$C$7,K$1,K$2,$A301)</f>
        <v>0</v>
      </c>
      <c r="L301" s="38">
        <f ca="1">_xll.DBRW($C$1,$C$2,$C$3,$C$4,$C$6,$C$5,$C$7,L$1,L$2,$A301)</f>
        <v>0</v>
      </c>
      <c r="M301" s="38">
        <f ca="1">_xll.DBRW($C$1,$C$2,$C$3,$C$4,$C$6,$C$5,$C$7,M$1,M$2,$A301)</f>
        <v>0</v>
      </c>
      <c r="N301" s="38">
        <f ca="1">_xll.DBRW($C$1,$C$2,$C$3,$C$4,$C$6,$C$5,$C$7,N$1,N$2,$A301)</f>
        <v>0</v>
      </c>
      <c r="O301" s="38">
        <f ca="1">_xll.DBRW($C$1,$C$2,$C$3,$C$4,$C$6,$C$5,$C$7,O$1,O$2,$A301)</f>
        <v>0</v>
      </c>
      <c r="P301" s="38">
        <f ca="1">_xll.DBRW($C$1,$C$2,$C$3,$C$4,$C$6,$C$5,$C$7,P$1,P$2,$A301)</f>
        <v>0</v>
      </c>
      <c r="Q301" s="38">
        <f ca="1">_xll.DBRW($C$1,$C$2,$C$3,$C$4,$C$6,$C$5,$C$7,Q$1,Q$2,$A301)</f>
        <v>0</v>
      </c>
      <c r="R301" s="38">
        <f ca="1">_xll.DBRW($C$1,$C$2,$C$3,$C$4,$C$6,$C$5,$C$7,R$1,R$2,$A301)</f>
        <v>0</v>
      </c>
      <c r="S301" s="38">
        <f ca="1">_xll.DBRW($C$1,$C$2,$C$3,$C$4,$C$6,$C$5,$C$7,S$1,S$2,$A301)</f>
        <v>0</v>
      </c>
      <c r="T301" s="38">
        <f ca="1">_xll.DBRW($C$1,$C$2,$C$3,$C$4,$C$6,$C$5,$C$7,T$1,T$2,$A301)</f>
        <v>0</v>
      </c>
      <c r="U301" s="38">
        <f ca="1">_xll.DBRW($C$1,$C$2,$C$3,$C$4,$C$6,$C$5,$C$7,U$1,U$2,$A301)</f>
        <v>0</v>
      </c>
      <c r="V301" s="38">
        <f ca="1">_xll.DBRW($C$1,$C$2,$C$3,$C$4,$C$6,$C$5,$C$7,V$1,V$2,$A301)</f>
        <v>0</v>
      </c>
      <c r="W301" s="38">
        <f ca="1">_xll.DBRW($C$1,$C$2,$C$3,$C$4,$C$6,$C$5,$C$7,W$1,W$2,$A301)</f>
        <v>0</v>
      </c>
      <c r="X301" s="38">
        <f ca="1">_xll.DBRW($C$1,$C$2,$C$3,$C$4,$C$6,$C$5,$C$7,X$1,X$2,$A301)</f>
        <v>0</v>
      </c>
      <c r="Y301" s="38">
        <f ca="1">_xll.DBRW($C$1,$C$2,$C$3,$C$4,$C$6,$C$5,$C$7,Y$1,Y$2,$A301)</f>
        <v>0</v>
      </c>
      <c r="Z301" s="38">
        <f ca="1">_xll.DBRW($C$1,$C$2,$C$3,$C$4,$C$6,$C$5,$C$7,Z$1,Z$2,$A301)</f>
        <v>0</v>
      </c>
      <c r="AA301" s="38">
        <f ca="1">_xll.DBRW($C$1,$C$2,$C$3,$C$4,$C$6,$C$5,$C$7,AA$1,AA$2,$A301)</f>
        <v>0</v>
      </c>
      <c r="AB301" s="38">
        <f ca="1">_xll.DBRW($C$1,$C$2,$C$3,$C$4,$C$6,$C$5,$C$7,AB$1,AB$2,$A301)</f>
        <v>0</v>
      </c>
      <c r="AC301" s="38">
        <f ca="1">_xll.DBRW($C$1,$C$2,$C$3,$C$4,$C$6,$C$5,$C$7,AC$1,AC$2,$A301)</f>
        <v>0</v>
      </c>
      <c r="AD301" s="38">
        <f ca="1">_xll.DBRW($C$1,$C$2,$C$3,$C$4,$C$6,$C$5,$C$7,AD$1,AD$2,$A301)</f>
        <v>0</v>
      </c>
      <c r="AE301" s="38">
        <f ca="1">_xll.DBRW($C$1,$C$2,$C$3,$C$4,$C$6,$C$5,$C$7,AE$1,AE$2,$A301)</f>
        <v>0</v>
      </c>
      <c r="AF301" s="38">
        <f ca="1">_xll.DBRW($C$1,$C$2,$C$3,$C$4,$C$6,$C$5,$C$7,AF$1,AF$2,$A301)</f>
        <v>0</v>
      </c>
      <c r="AG301" s="38">
        <f ca="1">_xll.DBRW($C$1,$C$2,$C$3,$C$4,$C$6,$C$5,$C$7,AG$1,AG$2,$A301)</f>
        <v>0</v>
      </c>
      <c r="AH301" s="38">
        <f ca="1">_xll.DBRW($C$1,$C$2,$C$3,$C$4,$C$6,$C$5,$C$7,AH$1,AH$2,$A301)</f>
        <v>0</v>
      </c>
      <c r="AI301" s="38">
        <f ca="1">_xll.DBRW($C$1,$C$2,$C$3,$C$4,$C$6,$C$5,$C$7,AI$1,AI$2,$A301)</f>
        <v>0</v>
      </c>
      <c r="AJ301" s="38">
        <f ca="1">_xll.DBRW($C$1,$C$2,$C$3,$C$4,$C$6,$C$5,$C$7,AJ$1,AJ$2,$A301)</f>
        <v>0</v>
      </c>
      <c r="AK301" s="38">
        <f ca="1">_xll.DBRW($C$1,$C$2,$C$3,$C$4,$C$6,$C$5,$C$7,AK$1,AK$2,$A301)</f>
        <v>0</v>
      </c>
      <c r="AL301" s="38">
        <f ca="1">_xll.DBRW($C$1,$C$2,$C$3,$C$4,$C$6,$C$5,$C$7,AL$1,AL$2,$A301)</f>
        <v>0</v>
      </c>
      <c r="AM301" s="38">
        <f ca="1">_xll.DBRW($C$1,$C$2,$C$3,$C$4,$C$6,$C$5,$C$7,AM$1,AM$2,$A301)</f>
        <v>0</v>
      </c>
      <c r="AN301" s="38">
        <f ca="1">_xll.DBRW($C$1,$C$2,$C$3,$C$4,$C$6,$C$5,$C$7,AN$1,AN$2,$A301)</f>
        <v>0</v>
      </c>
      <c r="AO301" s="38">
        <f ca="1">_xll.DBRW($C$1,$C$2,$C$3,$C$4,$C$6,$C$5,$C$7,AO$1,AO$2,$A301)</f>
        <v>0</v>
      </c>
      <c r="AP301" s="38">
        <f ca="1">_xll.DBRW($C$1,$C$2,$C$3,$C$4,$C$6,$C$5,$C$7,AP$1,AP$2,$A301)</f>
        <v>0</v>
      </c>
      <c r="AQ301" s="38">
        <f ca="1">_xll.DBRW($C$1,$C$2,$C$3,$C$4,$C$6,$C$5,$C$7,AQ$1,AQ$2,$A301)</f>
        <v>0</v>
      </c>
      <c r="AR301" s="38">
        <f ca="1">_xll.DBRW($C$1,$C$2,$C$3,$C$4,$C$6,$C$5,$C$7,AR$1,AR$2,$A301)</f>
        <v>0</v>
      </c>
      <c r="AS301" s="38">
        <f ca="1">_xll.DBRW($C$1,$C$2,$C$3,$C$4,$C$6,$C$5,$C$7,AS$1,AS$2,$A301)</f>
        <v>0</v>
      </c>
      <c r="AT301" s="38">
        <f ca="1">_xll.DBRW($C$1,$C$2,$C$3,$C$4,$C$6,$C$5,$C$7,AT$1,AT$2,$A301)</f>
        <v>0</v>
      </c>
      <c r="AU301" s="38">
        <f ca="1">_xll.DBRW($C$1,$C$2,$C$3,$C$4,$C$6,$C$5,$C$7,AU$1,AU$2,$A301)</f>
        <v>0</v>
      </c>
    </row>
    <row r="302" spans="1:47" ht="15.75" hidden="1" outlineLevel="1">
      <c r="A302" s="74" t="s">
        <v>346</v>
      </c>
      <c r="B302" s="74"/>
      <c r="E302" s="9" t="str">
        <f ca="1">_xll.DBRW(Server&amp;"}ElementAttributes_Indicator",A302,"code_English")</f>
        <v>Tot_km_BRT - Total KM driven by BRT</v>
      </c>
      <c r="F302" s="38">
        <f ca="1">_xll.DBRW($C$1,$C$2,$C$3,$C$4,$C$6,$C$5,$C$7,F$1,F$2,$A302)</f>
        <v>0</v>
      </c>
      <c r="G302" s="38">
        <f ca="1">_xll.DBRW($C$1,$C$2,$C$3,$C$4,$C$6,$C$5,$C$7,G$1,G$2,$A302)</f>
        <v>0</v>
      </c>
      <c r="H302" s="38">
        <f ca="1">_xll.DBRW($C$1,$C$2,$C$3,$C$4,$C$6,$C$5,$C$7,H$1,H$2,$A302)</f>
        <v>0</v>
      </c>
      <c r="I302" s="38">
        <f ca="1">_xll.DBRW($C$1,$C$2,$C$3,$C$4,$C$6,$C$5,$C$7,I$1,I$2,$A302)</f>
        <v>0</v>
      </c>
      <c r="J302" s="38">
        <f ca="1">_xll.DBRW($C$1,$C$2,$C$3,$C$4,$C$6,$C$5,$C$7,J$1,J$2,$A302)</f>
        <v>0</v>
      </c>
      <c r="K302" s="38">
        <f ca="1">_xll.DBRW($C$1,$C$2,$C$3,$C$4,$C$6,$C$5,$C$7,K$1,K$2,$A302)</f>
        <v>0</v>
      </c>
      <c r="L302" s="38">
        <f ca="1">_xll.DBRW($C$1,$C$2,$C$3,$C$4,$C$6,$C$5,$C$7,L$1,L$2,$A302)</f>
        <v>0</v>
      </c>
      <c r="M302" s="38">
        <f ca="1">_xll.DBRW($C$1,$C$2,$C$3,$C$4,$C$6,$C$5,$C$7,M$1,M$2,$A302)</f>
        <v>0</v>
      </c>
      <c r="N302" s="38">
        <f ca="1">_xll.DBRW($C$1,$C$2,$C$3,$C$4,$C$6,$C$5,$C$7,N$1,N$2,$A302)</f>
        <v>0</v>
      </c>
      <c r="O302" s="38">
        <f ca="1">_xll.DBRW($C$1,$C$2,$C$3,$C$4,$C$6,$C$5,$C$7,O$1,O$2,$A302)</f>
        <v>0</v>
      </c>
      <c r="P302" s="38">
        <f ca="1">_xll.DBRW($C$1,$C$2,$C$3,$C$4,$C$6,$C$5,$C$7,P$1,P$2,$A302)</f>
        <v>0</v>
      </c>
      <c r="Q302" s="38">
        <f ca="1">_xll.DBRW($C$1,$C$2,$C$3,$C$4,$C$6,$C$5,$C$7,Q$1,Q$2,$A302)</f>
        <v>0</v>
      </c>
      <c r="R302" s="38">
        <f ca="1">_xll.DBRW($C$1,$C$2,$C$3,$C$4,$C$6,$C$5,$C$7,R$1,R$2,$A302)</f>
        <v>0</v>
      </c>
      <c r="S302" s="38">
        <f ca="1">_xll.DBRW($C$1,$C$2,$C$3,$C$4,$C$6,$C$5,$C$7,S$1,S$2,$A302)</f>
        <v>0</v>
      </c>
      <c r="T302" s="38">
        <f ca="1">_xll.DBRW($C$1,$C$2,$C$3,$C$4,$C$6,$C$5,$C$7,T$1,T$2,$A302)</f>
        <v>0</v>
      </c>
      <c r="U302" s="38">
        <f ca="1">_xll.DBRW($C$1,$C$2,$C$3,$C$4,$C$6,$C$5,$C$7,U$1,U$2,$A302)</f>
        <v>0</v>
      </c>
      <c r="V302" s="38">
        <f ca="1">_xll.DBRW($C$1,$C$2,$C$3,$C$4,$C$6,$C$5,$C$7,V$1,V$2,$A302)</f>
        <v>0</v>
      </c>
      <c r="W302" s="38">
        <f ca="1">_xll.DBRW($C$1,$C$2,$C$3,$C$4,$C$6,$C$5,$C$7,W$1,W$2,$A302)</f>
        <v>0</v>
      </c>
      <c r="X302" s="38">
        <f ca="1">_xll.DBRW($C$1,$C$2,$C$3,$C$4,$C$6,$C$5,$C$7,X$1,X$2,$A302)</f>
        <v>0</v>
      </c>
      <c r="Y302" s="38">
        <f ca="1">_xll.DBRW($C$1,$C$2,$C$3,$C$4,$C$6,$C$5,$C$7,Y$1,Y$2,$A302)</f>
        <v>0</v>
      </c>
      <c r="Z302" s="38">
        <f ca="1">_xll.DBRW($C$1,$C$2,$C$3,$C$4,$C$6,$C$5,$C$7,Z$1,Z$2,$A302)</f>
        <v>0</v>
      </c>
      <c r="AA302" s="38">
        <f ca="1">_xll.DBRW($C$1,$C$2,$C$3,$C$4,$C$6,$C$5,$C$7,AA$1,AA$2,$A302)</f>
        <v>0</v>
      </c>
      <c r="AB302" s="38">
        <f ca="1">_xll.DBRW($C$1,$C$2,$C$3,$C$4,$C$6,$C$5,$C$7,AB$1,AB$2,$A302)</f>
        <v>0</v>
      </c>
      <c r="AC302" s="38">
        <f ca="1">_xll.DBRW($C$1,$C$2,$C$3,$C$4,$C$6,$C$5,$C$7,AC$1,AC$2,$A302)</f>
        <v>0</v>
      </c>
      <c r="AD302" s="38">
        <f ca="1">_xll.DBRW($C$1,$C$2,$C$3,$C$4,$C$6,$C$5,$C$7,AD$1,AD$2,$A302)</f>
        <v>0</v>
      </c>
      <c r="AE302" s="38">
        <f ca="1">_xll.DBRW($C$1,$C$2,$C$3,$C$4,$C$6,$C$5,$C$7,AE$1,AE$2,$A302)</f>
        <v>0</v>
      </c>
      <c r="AF302" s="38">
        <f ca="1">_xll.DBRW($C$1,$C$2,$C$3,$C$4,$C$6,$C$5,$C$7,AF$1,AF$2,$A302)</f>
        <v>0</v>
      </c>
      <c r="AG302" s="38">
        <f ca="1">_xll.DBRW($C$1,$C$2,$C$3,$C$4,$C$6,$C$5,$C$7,AG$1,AG$2,$A302)</f>
        <v>0</v>
      </c>
      <c r="AH302" s="38">
        <f ca="1">_xll.DBRW($C$1,$C$2,$C$3,$C$4,$C$6,$C$5,$C$7,AH$1,AH$2,$A302)</f>
        <v>0</v>
      </c>
      <c r="AI302" s="38">
        <f ca="1">_xll.DBRW($C$1,$C$2,$C$3,$C$4,$C$6,$C$5,$C$7,AI$1,AI$2,$A302)</f>
        <v>0</v>
      </c>
      <c r="AJ302" s="38">
        <f ca="1">_xll.DBRW($C$1,$C$2,$C$3,$C$4,$C$6,$C$5,$C$7,AJ$1,AJ$2,$A302)</f>
        <v>0</v>
      </c>
      <c r="AK302" s="38">
        <f ca="1">_xll.DBRW($C$1,$C$2,$C$3,$C$4,$C$6,$C$5,$C$7,AK$1,AK$2,$A302)</f>
        <v>0</v>
      </c>
      <c r="AL302" s="38">
        <f ca="1">_xll.DBRW($C$1,$C$2,$C$3,$C$4,$C$6,$C$5,$C$7,AL$1,AL$2,$A302)</f>
        <v>0</v>
      </c>
      <c r="AM302" s="38">
        <f ca="1">_xll.DBRW($C$1,$C$2,$C$3,$C$4,$C$6,$C$5,$C$7,AM$1,AM$2,$A302)</f>
        <v>0</v>
      </c>
      <c r="AN302" s="38">
        <f ca="1">_xll.DBRW($C$1,$C$2,$C$3,$C$4,$C$6,$C$5,$C$7,AN$1,AN$2,$A302)</f>
        <v>0</v>
      </c>
      <c r="AO302" s="38">
        <f ca="1">_xll.DBRW($C$1,$C$2,$C$3,$C$4,$C$6,$C$5,$C$7,AO$1,AO$2,$A302)</f>
        <v>0</v>
      </c>
      <c r="AP302" s="38">
        <f ca="1">_xll.DBRW($C$1,$C$2,$C$3,$C$4,$C$6,$C$5,$C$7,AP$1,AP$2,$A302)</f>
        <v>0</v>
      </c>
      <c r="AQ302" s="38">
        <f ca="1">_xll.DBRW($C$1,$C$2,$C$3,$C$4,$C$6,$C$5,$C$7,AQ$1,AQ$2,$A302)</f>
        <v>0</v>
      </c>
      <c r="AR302" s="38">
        <f ca="1">_xll.DBRW($C$1,$C$2,$C$3,$C$4,$C$6,$C$5,$C$7,AR$1,AR$2,$A302)</f>
        <v>0</v>
      </c>
      <c r="AS302" s="38">
        <f ca="1">_xll.DBRW($C$1,$C$2,$C$3,$C$4,$C$6,$C$5,$C$7,AS$1,AS$2,$A302)</f>
        <v>0</v>
      </c>
      <c r="AT302" s="38">
        <f ca="1">_xll.DBRW($C$1,$C$2,$C$3,$C$4,$C$6,$C$5,$C$7,AT$1,AT$2,$A302)</f>
        <v>0</v>
      </c>
      <c r="AU302" s="38">
        <f ca="1">_xll.DBRW($C$1,$C$2,$C$3,$C$4,$C$6,$C$5,$C$7,AU$1,AU$2,$A302)</f>
        <v>0</v>
      </c>
    </row>
    <row r="303" spans="1:47" ht="15.75" hidden="1" outlineLevel="1">
      <c r="A303" s="74" t="s">
        <v>347</v>
      </c>
      <c r="B303" s="74"/>
      <c r="E303" s="9" t="str">
        <f ca="1">_xll.DBRW(Server&amp;"}ElementAttributes_Indicator",A303,"code_English")</f>
        <v>Tot_km_ferries - Total KM driven by ferries</v>
      </c>
      <c r="F303" s="38">
        <f ca="1">_xll.DBRW($C$1,$C$2,$C$3,$C$4,$C$6,$C$5,$C$7,F$1,F$2,$A303)</f>
        <v>0</v>
      </c>
      <c r="G303" s="38">
        <f ca="1">_xll.DBRW($C$1,$C$2,$C$3,$C$4,$C$6,$C$5,$C$7,G$1,G$2,$A303)</f>
        <v>0</v>
      </c>
      <c r="H303" s="38">
        <f ca="1">_xll.DBRW($C$1,$C$2,$C$3,$C$4,$C$6,$C$5,$C$7,H$1,H$2,$A303)</f>
        <v>0</v>
      </c>
      <c r="I303" s="38">
        <f ca="1">_xll.DBRW($C$1,$C$2,$C$3,$C$4,$C$6,$C$5,$C$7,I$1,I$2,$A303)</f>
        <v>0</v>
      </c>
      <c r="J303" s="38">
        <f ca="1">_xll.DBRW($C$1,$C$2,$C$3,$C$4,$C$6,$C$5,$C$7,J$1,J$2,$A303)</f>
        <v>0</v>
      </c>
      <c r="K303" s="38">
        <f ca="1">_xll.DBRW($C$1,$C$2,$C$3,$C$4,$C$6,$C$5,$C$7,K$1,K$2,$A303)</f>
        <v>0</v>
      </c>
      <c r="L303" s="38">
        <f ca="1">_xll.DBRW($C$1,$C$2,$C$3,$C$4,$C$6,$C$5,$C$7,L$1,L$2,$A303)</f>
        <v>0</v>
      </c>
      <c r="M303" s="38">
        <f ca="1">_xll.DBRW($C$1,$C$2,$C$3,$C$4,$C$6,$C$5,$C$7,M$1,M$2,$A303)</f>
        <v>0</v>
      </c>
      <c r="N303" s="38">
        <f ca="1">_xll.DBRW($C$1,$C$2,$C$3,$C$4,$C$6,$C$5,$C$7,N$1,N$2,$A303)</f>
        <v>0</v>
      </c>
      <c r="O303" s="38">
        <f ca="1">_xll.DBRW($C$1,$C$2,$C$3,$C$4,$C$6,$C$5,$C$7,O$1,O$2,$A303)</f>
        <v>0</v>
      </c>
      <c r="P303" s="38">
        <f ca="1">_xll.DBRW($C$1,$C$2,$C$3,$C$4,$C$6,$C$5,$C$7,P$1,P$2,$A303)</f>
        <v>0</v>
      </c>
      <c r="Q303" s="38">
        <f ca="1">_xll.DBRW($C$1,$C$2,$C$3,$C$4,$C$6,$C$5,$C$7,Q$1,Q$2,$A303)</f>
        <v>0</v>
      </c>
      <c r="R303" s="38">
        <f ca="1">_xll.DBRW($C$1,$C$2,$C$3,$C$4,$C$6,$C$5,$C$7,R$1,R$2,$A303)</f>
        <v>0</v>
      </c>
      <c r="S303" s="38">
        <f ca="1">_xll.DBRW($C$1,$C$2,$C$3,$C$4,$C$6,$C$5,$C$7,S$1,S$2,$A303)</f>
        <v>0</v>
      </c>
      <c r="T303" s="38">
        <f ca="1">_xll.DBRW($C$1,$C$2,$C$3,$C$4,$C$6,$C$5,$C$7,T$1,T$2,$A303)</f>
        <v>0</v>
      </c>
      <c r="U303" s="38">
        <f ca="1">_xll.DBRW($C$1,$C$2,$C$3,$C$4,$C$6,$C$5,$C$7,U$1,U$2,$A303)</f>
        <v>0</v>
      </c>
      <c r="V303" s="38">
        <f ca="1">_xll.DBRW($C$1,$C$2,$C$3,$C$4,$C$6,$C$5,$C$7,V$1,V$2,$A303)</f>
        <v>0</v>
      </c>
      <c r="W303" s="38">
        <f ca="1">_xll.DBRW($C$1,$C$2,$C$3,$C$4,$C$6,$C$5,$C$7,W$1,W$2,$A303)</f>
        <v>0</v>
      </c>
      <c r="X303" s="38">
        <f ca="1">_xll.DBRW($C$1,$C$2,$C$3,$C$4,$C$6,$C$5,$C$7,X$1,X$2,$A303)</f>
        <v>0</v>
      </c>
      <c r="Y303" s="38">
        <f ca="1">_xll.DBRW($C$1,$C$2,$C$3,$C$4,$C$6,$C$5,$C$7,Y$1,Y$2,$A303)</f>
        <v>0</v>
      </c>
      <c r="Z303" s="38">
        <f ca="1">_xll.DBRW($C$1,$C$2,$C$3,$C$4,$C$6,$C$5,$C$7,Z$1,Z$2,$A303)</f>
        <v>0</v>
      </c>
      <c r="AA303" s="38">
        <f ca="1">_xll.DBRW($C$1,$C$2,$C$3,$C$4,$C$6,$C$5,$C$7,AA$1,AA$2,$A303)</f>
        <v>0</v>
      </c>
      <c r="AB303" s="38">
        <f ca="1">_xll.DBRW($C$1,$C$2,$C$3,$C$4,$C$6,$C$5,$C$7,AB$1,AB$2,$A303)</f>
        <v>0</v>
      </c>
      <c r="AC303" s="38">
        <f ca="1">_xll.DBRW($C$1,$C$2,$C$3,$C$4,$C$6,$C$5,$C$7,AC$1,AC$2,$A303)</f>
        <v>0</v>
      </c>
      <c r="AD303" s="38">
        <f ca="1">_xll.DBRW($C$1,$C$2,$C$3,$C$4,$C$6,$C$5,$C$7,AD$1,AD$2,$A303)</f>
        <v>0</v>
      </c>
      <c r="AE303" s="38">
        <f ca="1">_xll.DBRW($C$1,$C$2,$C$3,$C$4,$C$6,$C$5,$C$7,AE$1,AE$2,$A303)</f>
        <v>0</v>
      </c>
      <c r="AF303" s="38">
        <f ca="1">_xll.DBRW($C$1,$C$2,$C$3,$C$4,$C$6,$C$5,$C$7,AF$1,AF$2,$A303)</f>
        <v>0</v>
      </c>
      <c r="AG303" s="38">
        <f ca="1">_xll.DBRW($C$1,$C$2,$C$3,$C$4,$C$6,$C$5,$C$7,AG$1,AG$2,$A303)</f>
        <v>0</v>
      </c>
      <c r="AH303" s="38">
        <f ca="1">_xll.DBRW($C$1,$C$2,$C$3,$C$4,$C$6,$C$5,$C$7,AH$1,AH$2,$A303)</f>
        <v>0</v>
      </c>
      <c r="AI303" s="38">
        <f ca="1">_xll.DBRW($C$1,$C$2,$C$3,$C$4,$C$6,$C$5,$C$7,AI$1,AI$2,$A303)</f>
        <v>0</v>
      </c>
      <c r="AJ303" s="38">
        <f ca="1">_xll.DBRW($C$1,$C$2,$C$3,$C$4,$C$6,$C$5,$C$7,AJ$1,AJ$2,$A303)</f>
        <v>0</v>
      </c>
      <c r="AK303" s="38">
        <f ca="1">_xll.DBRW($C$1,$C$2,$C$3,$C$4,$C$6,$C$5,$C$7,AK$1,AK$2,$A303)</f>
        <v>0</v>
      </c>
      <c r="AL303" s="38">
        <f ca="1">_xll.DBRW($C$1,$C$2,$C$3,$C$4,$C$6,$C$5,$C$7,AL$1,AL$2,$A303)</f>
        <v>0</v>
      </c>
      <c r="AM303" s="38">
        <f ca="1">_xll.DBRW($C$1,$C$2,$C$3,$C$4,$C$6,$C$5,$C$7,AM$1,AM$2,$A303)</f>
        <v>0</v>
      </c>
      <c r="AN303" s="38">
        <f ca="1">_xll.DBRW($C$1,$C$2,$C$3,$C$4,$C$6,$C$5,$C$7,AN$1,AN$2,$A303)</f>
        <v>0</v>
      </c>
      <c r="AO303" s="38">
        <f ca="1">_xll.DBRW($C$1,$C$2,$C$3,$C$4,$C$6,$C$5,$C$7,AO$1,AO$2,$A303)</f>
        <v>0</v>
      </c>
      <c r="AP303" s="38">
        <f ca="1">_xll.DBRW($C$1,$C$2,$C$3,$C$4,$C$6,$C$5,$C$7,AP$1,AP$2,$A303)</f>
        <v>0</v>
      </c>
      <c r="AQ303" s="38">
        <f ca="1">_xll.DBRW($C$1,$C$2,$C$3,$C$4,$C$6,$C$5,$C$7,AQ$1,AQ$2,$A303)</f>
        <v>0</v>
      </c>
      <c r="AR303" s="38">
        <f ca="1">_xll.DBRW($C$1,$C$2,$C$3,$C$4,$C$6,$C$5,$C$7,AR$1,AR$2,$A303)</f>
        <v>0</v>
      </c>
      <c r="AS303" s="38">
        <f ca="1">_xll.DBRW($C$1,$C$2,$C$3,$C$4,$C$6,$C$5,$C$7,AS$1,AS$2,$A303)</f>
        <v>0</v>
      </c>
      <c r="AT303" s="38">
        <f ca="1">_xll.DBRW($C$1,$C$2,$C$3,$C$4,$C$6,$C$5,$C$7,AT$1,AT$2,$A303)</f>
        <v>0</v>
      </c>
      <c r="AU303" s="38">
        <f ca="1">_xll.DBRW($C$1,$C$2,$C$3,$C$4,$C$6,$C$5,$C$7,AU$1,AU$2,$A303)</f>
        <v>0</v>
      </c>
    </row>
    <row r="304" spans="1:47" ht="15.75" hidden="1" outlineLevel="1">
      <c r="A304" s="1" t="s">
        <v>74</v>
      </c>
      <c r="E304" s="9" t="str">
        <f ca="1">_xll.DBRW(Server&amp;"}ElementAttributes_Indicator",A304,"code_English")</f>
        <v>Tot_km_fuel - Total KM driven by fuel</v>
      </c>
      <c r="F304" s="38">
        <f ca="1">_xll.DBRW($C$1,$C$2,$C$3,$C$4,$C$6,$C$5,$C$7,F$1,F$2,$A304)</f>
        <v>0</v>
      </c>
      <c r="G304" s="38">
        <f ca="1">_xll.DBRW($C$1,$C$2,$C$3,$C$4,$C$6,$C$5,$C$7,G$1,G$2,$A304)</f>
        <v>0</v>
      </c>
      <c r="H304" s="38">
        <f ca="1">_xll.DBRW($C$1,$C$2,$C$3,$C$4,$C$6,$C$5,$C$7,H$1,H$2,$A304)</f>
        <v>0</v>
      </c>
      <c r="I304" s="38">
        <f ca="1">_xll.DBRW($C$1,$C$2,$C$3,$C$4,$C$6,$C$5,$C$7,I$1,I$2,$A304)</f>
        <v>0</v>
      </c>
      <c r="J304" s="38">
        <f ca="1">_xll.DBRW($C$1,$C$2,$C$3,$C$4,$C$6,$C$5,$C$7,J$1,J$2,$A304)</f>
        <v>0</v>
      </c>
      <c r="K304" s="38">
        <f ca="1">_xll.DBRW($C$1,$C$2,$C$3,$C$4,$C$6,$C$5,$C$7,K$1,K$2,$A304)</f>
        <v>0</v>
      </c>
      <c r="L304" s="38">
        <f ca="1">_xll.DBRW($C$1,$C$2,$C$3,$C$4,$C$6,$C$5,$C$7,L$1,L$2,$A304)</f>
        <v>0</v>
      </c>
      <c r="M304" s="38">
        <f ca="1">_xll.DBRW($C$1,$C$2,$C$3,$C$4,$C$6,$C$5,$C$7,M$1,M$2,$A304)</f>
        <v>0</v>
      </c>
      <c r="N304" s="38">
        <f ca="1">_xll.DBRW($C$1,$C$2,$C$3,$C$4,$C$6,$C$5,$C$7,N$1,N$2,$A304)</f>
        <v>0</v>
      </c>
      <c r="O304" s="38">
        <f ca="1">_xll.DBRW($C$1,$C$2,$C$3,$C$4,$C$6,$C$5,$C$7,O$1,O$2,$A304)</f>
        <v>0</v>
      </c>
      <c r="P304" s="38">
        <f ca="1">_xll.DBRW($C$1,$C$2,$C$3,$C$4,$C$6,$C$5,$C$7,P$1,P$2,$A304)</f>
        <v>0</v>
      </c>
      <c r="Q304" s="38">
        <f ca="1">_xll.DBRW($C$1,$C$2,$C$3,$C$4,$C$6,$C$5,$C$7,Q$1,Q$2,$A304)</f>
        <v>0</v>
      </c>
      <c r="R304" s="38">
        <f ca="1">_xll.DBRW($C$1,$C$2,$C$3,$C$4,$C$6,$C$5,$C$7,R$1,R$2,$A304)</f>
        <v>0</v>
      </c>
      <c r="S304" s="38">
        <f ca="1">_xll.DBRW($C$1,$C$2,$C$3,$C$4,$C$6,$C$5,$C$7,S$1,S$2,$A304)</f>
        <v>0</v>
      </c>
      <c r="T304" s="38">
        <f ca="1">_xll.DBRW($C$1,$C$2,$C$3,$C$4,$C$6,$C$5,$C$7,T$1,T$2,$A304)</f>
        <v>0</v>
      </c>
      <c r="U304" s="38">
        <f ca="1">_xll.DBRW($C$1,$C$2,$C$3,$C$4,$C$6,$C$5,$C$7,U$1,U$2,$A304)</f>
        <v>0</v>
      </c>
      <c r="V304" s="38">
        <f ca="1">_xll.DBRW($C$1,$C$2,$C$3,$C$4,$C$6,$C$5,$C$7,V$1,V$2,$A304)</f>
        <v>0</v>
      </c>
      <c r="W304" s="38">
        <f ca="1">_xll.DBRW($C$1,$C$2,$C$3,$C$4,$C$6,$C$5,$C$7,W$1,W$2,$A304)</f>
        <v>0</v>
      </c>
      <c r="X304" s="38">
        <f ca="1">_xll.DBRW($C$1,$C$2,$C$3,$C$4,$C$6,$C$5,$C$7,X$1,X$2,$A304)</f>
        <v>0</v>
      </c>
      <c r="Y304" s="38">
        <f ca="1">_xll.DBRW($C$1,$C$2,$C$3,$C$4,$C$6,$C$5,$C$7,Y$1,Y$2,$A304)</f>
        <v>0</v>
      </c>
      <c r="Z304" s="38">
        <f ca="1">_xll.DBRW($C$1,$C$2,$C$3,$C$4,$C$6,$C$5,$C$7,Z$1,Z$2,$A304)</f>
        <v>0</v>
      </c>
      <c r="AA304" s="38">
        <f ca="1">_xll.DBRW($C$1,$C$2,$C$3,$C$4,$C$6,$C$5,$C$7,AA$1,AA$2,$A304)</f>
        <v>0</v>
      </c>
      <c r="AB304" s="38">
        <f ca="1">_xll.DBRW($C$1,$C$2,$C$3,$C$4,$C$6,$C$5,$C$7,AB$1,AB$2,$A304)</f>
        <v>0</v>
      </c>
      <c r="AC304" s="38">
        <f ca="1">_xll.DBRW($C$1,$C$2,$C$3,$C$4,$C$6,$C$5,$C$7,AC$1,AC$2,$A304)</f>
        <v>0</v>
      </c>
      <c r="AD304" s="38">
        <f ca="1">_xll.DBRW($C$1,$C$2,$C$3,$C$4,$C$6,$C$5,$C$7,AD$1,AD$2,$A304)</f>
        <v>0</v>
      </c>
      <c r="AE304" s="38">
        <f ca="1">_xll.DBRW($C$1,$C$2,$C$3,$C$4,$C$6,$C$5,$C$7,AE$1,AE$2,$A304)</f>
        <v>0</v>
      </c>
      <c r="AF304" s="38">
        <f ca="1">_xll.DBRW($C$1,$C$2,$C$3,$C$4,$C$6,$C$5,$C$7,AF$1,AF$2,$A304)</f>
        <v>0</v>
      </c>
      <c r="AG304" s="38">
        <f ca="1">_xll.DBRW($C$1,$C$2,$C$3,$C$4,$C$6,$C$5,$C$7,AG$1,AG$2,$A304)</f>
        <v>0</v>
      </c>
      <c r="AH304" s="38">
        <f ca="1">_xll.DBRW($C$1,$C$2,$C$3,$C$4,$C$6,$C$5,$C$7,AH$1,AH$2,$A304)</f>
        <v>0</v>
      </c>
      <c r="AI304" s="38">
        <f ca="1">_xll.DBRW($C$1,$C$2,$C$3,$C$4,$C$6,$C$5,$C$7,AI$1,AI$2,$A304)</f>
        <v>0</v>
      </c>
      <c r="AJ304" s="38">
        <f ca="1">_xll.DBRW($C$1,$C$2,$C$3,$C$4,$C$6,$C$5,$C$7,AJ$1,AJ$2,$A304)</f>
        <v>0</v>
      </c>
      <c r="AK304" s="38">
        <f ca="1">_xll.DBRW($C$1,$C$2,$C$3,$C$4,$C$6,$C$5,$C$7,AK$1,AK$2,$A304)</f>
        <v>0</v>
      </c>
      <c r="AL304" s="38">
        <f ca="1">_xll.DBRW($C$1,$C$2,$C$3,$C$4,$C$6,$C$5,$C$7,AL$1,AL$2,$A304)</f>
        <v>0</v>
      </c>
      <c r="AM304" s="38">
        <f ca="1">_xll.DBRW($C$1,$C$2,$C$3,$C$4,$C$6,$C$5,$C$7,AM$1,AM$2,$A304)</f>
        <v>0</v>
      </c>
      <c r="AN304" s="38">
        <f ca="1">_xll.DBRW($C$1,$C$2,$C$3,$C$4,$C$6,$C$5,$C$7,AN$1,AN$2,$A304)</f>
        <v>0</v>
      </c>
      <c r="AO304" s="38">
        <f ca="1">_xll.DBRW($C$1,$C$2,$C$3,$C$4,$C$6,$C$5,$C$7,AO$1,AO$2,$A304)</f>
        <v>0</v>
      </c>
      <c r="AP304" s="38">
        <f ca="1">_xll.DBRW($C$1,$C$2,$C$3,$C$4,$C$6,$C$5,$C$7,AP$1,AP$2,$A304)</f>
        <v>0</v>
      </c>
      <c r="AQ304" s="38">
        <f ca="1">_xll.DBRW($C$1,$C$2,$C$3,$C$4,$C$6,$C$5,$C$7,AQ$1,AQ$2,$A304)</f>
        <v>0</v>
      </c>
      <c r="AR304" s="38">
        <f ca="1">_xll.DBRW($C$1,$C$2,$C$3,$C$4,$C$6,$C$5,$C$7,AR$1,AR$2,$A304)</f>
        <v>0</v>
      </c>
      <c r="AS304" s="38">
        <f ca="1">_xll.DBRW($C$1,$C$2,$C$3,$C$4,$C$6,$C$5,$C$7,AS$1,AS$2,$A304)</f>
        <v>0</v>
      </c>
      <c r="AT304" s="38">
        <f ca="1">_xll.DBRW($C$1,$C$2,$C$3,$C$4,$C$6,$C$5,$C$7,AT$1,AT$2,$A304)</f>
        <v>0</v>
      </c>
      <c r="AU304" s="38">
        <f ca="1">_xll.DBRW($C$1,$C$2,$C$3,$C$4,$C$6,$C$5,$C$7,AU$1,AU$2,$A304)</f>
        <v>0</v>
      </c>
    </row>
    <row r="305" spans="1:47" ht="15.75" hidden="1" outlineLevel="1">
      <c r="A305" s="1" t="s">
        <v>75</v>
      </c>
      <c r="E305" s="9" t="str">
        <f ca="1">_xll.DBRW(Server&amp;"}ElementAttributes_Indicator",A305,"code_English")</f>
        <v>Tot_km_biofuel - Total KM driven by biofuel</v>
      </c>
      <c r="F305" s="38">
        <f ca="1">_xll.DBRW($C$1,$C$2,$C$3,$C$4,$C$6,$C$5,$C$7,F$1,F$2,$A305)</f>
        <v>0</v>
      </c>
      <c r="G305" s="38">
        <f ca="1">_xll.DBRW($C$1,$C$2,$C$3,$C$4,$C$6,$C$5,$C$7,G$1,G$2,$A305)</f>
        <v>0</v>
      </c>
      <c r="H305" s="38">
        <f ca="1">_xll.DBRW($C$1,$C$2,$C$3,$C$4,$C$6,$C$5,$C$7,H$1,H$2,$A305)</f>
        <v>0</v>
      </c>
      <c r="I305" s="38">
        <f ca="1">_xll.DBRW($C$1,$C$2,$C$3,$C$4,$C$6,$C$5,$C$7,I$1,I$2,$A305)</f>
        <v>0</v>
      </c>
      <c r="J305" s="38">
        <f ca="1">_xll.DBRW($C$1,$C$2,$C$3,$C$4,$C$6,$C$5,$C$7,J$1,J$2,$A305)</f>
        <v>0</v>
      </c>
      <c r="K305" s="38">
        <f ca="1">_xll.DBRW($C$1,$C$2,$C$3,$C$4,$C$6,$C$5,$C$7,K$1,K$2,$A305)</f>
        <v>0</v>
      </c>
      <c r="L305" s="38">
        <f ca="1">_xll.DBRW($C$1,$C$2,$C$3,$C$4,$C$6,$C$5,$C$7,L$1,L$2,$A305)</f>
        <v>0</v>
      </c>
      <c r="M305" s="38">
        <f ca="1">_xll.DBRW($C$1,$C$2,$C$3,$C$4,$C$6,$C$5,$C$7,M$1,M$2,$A305)</f>
        <v>0</v>
      </c>
      <c r="N305" s="38">
        <f ca="1">_xll.DBRW($C$1,$C$2,$C$3,$C$4,$C$6,$C$5,$C$7,N$1,N$2,$A305)</f>
        <v>0</v>
      </c>
      <c r="O305" s="38">
        <f ca="1">_xll.DBRW($C$1,$C$2,$C$3,$C$4,$C$6,$C$5,$C$7,O$1,O$2,$A305)</f>
        <v>0</v>
      </c>
      <c r="P305" s="38">
        <f ca="1">_xll.DBRW($C$1,$C$2,$C$3,$C$4,$C$6,$C$5,$C$7,P$1,P$2,$A305)</f>
        <v>0</v>
      </c>
      <c r="Q305" s="38">
        <f ca="1">_xll.DBRW($C$1,$C$2,$C$3,$C$4,$C$6,$C$5,$C$7,Q$1,Q$2,$A305)</f>
        <v>0</v>
      </c>
      <c r="R305" s="38">
        <f ca="1">_xll.DBRW($C$1,$C$2,$C$3,$C$4,$C$6,$C$5,$C$7,R$1,R$2,$A305)</f>
        <v>0</v>
      </c>
      <c r="S305" s="38">
        <f ca="1">_xll.DBRW($C$1,$C$2,$C$3,$C$4,$C$6,$C$5,$C$7,S$1,S$2,$A305)</f>
        <v>0</v>
      </c>
      <c r="T305" s="38">
        <f ca="1">_xll.DBRW($C$1,$C$2,$C$3,$C$4,$C$6,$C$5,$C$7,T$1,T$2,$A305)</f>
        <v>0</v>
      </c>
      <c r="U305" s="38">
        <f ca="1">_xll.DBRW($C$1,$C$2,$C$3,$C$4,$C$6,$C$5,$C$7,U$1,U$2,$A305)</f>
        <v>0</v>
      </c>
      <c r="V305" s="38">
        <f ca="1">_xll.DBRW($C$1,$C$2,$C$3,$C$4,$C$6,$C$5,$C$7,V$1,V$2,$A305)</f>
        <v>0</v>
      </c>
      <c r="W305" s="38">
        <f ca="1">_xll.DBRW($C$1,$C$2,$C$3,$C$4,$C$6,$C$5,$C$7,W$1,W$2,$A305)</f>
        <v>0</v>
      </c>
      <c r="X305" s="38">
        <f ca="1">_xll.DBRW($C$1,$C$2,$C$3,$C$4,$C$6,$C$5,$C$7,X$1,X$2,$A305)</f>
        <v>0</v>
      </c>
      <c r="Y305" s="38">
        <f ca="1">_xll.DBRW($C$1,$C$2,$C$3,$C$4,$C$6,$C$5,$C$7,Y$1,Y$2,$A305)</f>
        <v>0</v>
      </c>
      <c r="Z305" s="38">
        <f ca="1">_xll.DBRW($C$1,$C$2,$C$3,$C$4,$C$6,$C$5,$C$7,Z$1,Z$2,$A305)</f>
        <v>0</v>
      </c>
      <c r="AA305" s="38">
        <f ca="1">_xll.DBRW($C$1,$C$2,$C$3,$C$4,$C$6,$C$5,$C$7,AA$1,AA$2,$A305)</f>
        <v>0</v>
      </c>
      <c r="AB305" s="38">
        <f ca="1">_xll.DBRW($C$1,$C$2,$C$3,$C$4,$C$6,$C$5,$C$7,AB$1,AB$2,$A305)</f>
        <v>0</v>
      </c>
      <c r="AC305" s="38">
        <f ca="1">_xll.DBRW($C$1,$C$2,$C$3,$C$4,$C$6,$C$5,$C$7,AC$1,AC$2,$A305)</f>
        <v>0</v>
      </c>
      <c r="AD305" s="38">
        <f ca="1">_xll.DBRW($C$1,$C$2,$C$3,$C$4,$C$6,$C$5,$C$7,AD$1,AD$2,$A305)</f>
        <v>0</v>
      </c>
      <c r="AE305" s="38">
        <f ca="1">_xll.DBRW($C$1,$C$2,$C$3,$C$4,$C$6,$C$5,$C$7,AE$1,AE$2,$A305)</f>
        <v>0</v>
      </c>
      <c r="AF305" s="38">
        <f ca="1">_xll.DBRW($C$1,$C$2,$C$3,$C$4,$C$6,$C$5,$C$7,AF$1,AF$2,$A305)</f>
        <v>0</v>
      </c>
      <c r="AG305" s="38">
        <f ca="1">_xll.DBRW($C$1,$C$2,$C$3,$C$4,$C$6,$C$5,$C$7,AG$1,AG$2,$A305)</f>
        <v>0</v>
      </c>
      <c r="AH305" s="38">
        <f ca="1">_xll.DBRW($C$1,$C$2,$C$3,$C$4,$C$6,$C$5,$C$7,AH$1,AH$2,$A305)</f>
        <v>0</v>
      </c>
      <c r="AI305" s="38">
        <f ca="1">_xll.DBRW($C$1,$C$2,$C$3,$C$4,$C$6,$C$5,$C$7,AI$1,AI$2,$A305)</f>
        <v>0</v>
      </c>
      <c r="AJ305" s="38">
        <f ca="1">_xll.DBRW($C$1,$C$2,$C$3,$C$4,$C$6,$C$5,$C$7,AJ$1,AJ$2,$A305)</f>
        <v>0</v>
      </c>
      <c r="AK305" s="38">
        <f ca="1">_xll.DBRW($C$1,$C$2,$C$3,$C$4,$C$6,$C$5,$C$7,AK$1,AK$2,$A305)</f>
        <v>0</v>
      </c>
      <c r="AL305" s="38">
        <f ca="1">_xll.DBRW($C$1,$C$2,$C$3,$C$4,$C$6,$C$5,$C$7,AL$1,AL$2,$A305)</f>
        <v>0</v>
      </c>
      <c r="AM305" s="38">
        <f ca="1">_xll.DBRW($C$1,$C$2,$C$3,$C$4,$C$6,$C$5,$C$7,AM$1,AM$2,$A305)</f>
        <v>0</v>
      </c>
      <c r="AN305" s="38">
        <f ca="1">_xll.DBRW($C$1,$C$2,$C$3,$C$4,$C$6,$C$5,$C$7,AN$1,AN$2,$A305)</f>
        <v>0</v>
      </c>
      <c r="AO305" s="38">
        <f ca="1">_xll.DBRW($C$1,$C$2,$C$3,$C$4,$C$6,$C$5,$C$7,AO$1,AO$2,$A305)</f>
        <v>0</v>
      </c>
      <c r="AP305" s="38">
        <f ca="1">_xll.DBRW($C$1,$C$2,$C$3,$C$4,$C$6,$C$5,$C$7,AP$1,AP$2,$A305)</f>
        <v>0</v>
      </c>
      <c r="AQ305" s="38">
        <f ca="1">_xll.DBRW($C$1,$C$2,$C$3,$C$4,$C$6,$C$5,$C$7,AQ$1,AQ$2,$A305)</f>
        <v>0</v>
      </c>
      <c r="AR305" s="38">
        <f ca="1">_xll.DBRW($C$1,$C$2,$C$3,$C$4,$C$6,$C$5,$C$7,AR$1,AR$2,$A305)</f>
        <v>0</v>
      </c>
      <c r="AS305" s="38">
        <f ca="1">_xll.DBRW($C$1,$C$2,$C$3,$C$4,$C$6,$C$5,$C$7,AS$1,AS$2,$A305)</f>
        <v>0</v>
      </c>
      <c r="AT305" s="38">
        <f ca="1">_xll.DBRW($C$1,$C$2,$C$3,$C$4,$C$6,$C$5,$C$7,AT$1,AT$2,$A305)</f>
        <v>0</v>
      </c>
      <c r="AU305" s="38">
        <f ca="1">_xll.DBRW($C$1,$C$2,$C$3,$C$4,$C$6,$C$5,$C$7,AU$1,AU$2,$A305)</f>
        <v>0</v>
      </c>
    </row>
    <row r="306" spans="1:47" ht="15.75" hidden="1" outlineLevel="1">
      <c r="A306" s="1" t="s">
        <v>76</v>
      </c>
      <c r="E306" s="9" t="str">
        <f ca="1">_xll.DBRW(Server&amp;"}ElementAttributes_Indicator",A306,"code_English")</f>
        <v>Tot_km_elec - Total KM driven by electricity</v>
      </c>
      <c r="F306" s="38">
        <f ca="1">_xll.DBRW($C$1,$C$2,$C$3,$C$4,$C$6,$C$5,$C$7,F$1,F$2,$A306)</f>
        <v>0</v>
      </c>
      <c r="G306" s="38">
        <f ca="1">_xll.DBRW($C$1,$C$2,$C$3,$C$4,$C$6,$C$5,$C$7,G$1,G$2,$A306)</f>
        <v>0</v>
      </c>
      <c r="H306" s="38">
        <f ca="1">_xll.DBRW($C$1,$C$2,$C$3,$C$4,$C$6,$C$5,$C$7,H$1,H$2,$A306)</f>
        <v>0</v>
      </c>
      <c r="I306" s="38">
        <f ca="1">_xll.DBRW($C$1,$C$2,$C$3,$C$4,$C$6,$C$5,$C$7,I$1,I$2,$A306)</f>
        <v>0</v>
      </c>
      <c r="J306" s="38">
        <f ca="1">_xll.DBRW($C$1,$C$2,$C$3,$C$4,$C$6,$C$5,$C$7,J$1,J$2,$A306)</f>
        <v>0</v>
      </c>
      <c r="K306" s="38">
        <f ca="1">_xll.DBRW($C$1,$C$2,$C$3,$C$4,$C$6,$C$5,$C$7,K$1,K$2,$A306)</f>
        <v>0</v>
      </c>
      <c r="L306" s="38">
        <f ca="1">_xll.DBRW($C$1,$C$2,$C$3,$C$4,$C$6,$C$5,$C$7,L$1,L$2,$A306)</f>
        <v>0</v>
      </c>
      <c r="M306" s="38">
        <f ca="1">_xll.DBRW($C$1,$C$2,$C$3,$C$4,$C$6,$C$5,$C$7,M$1,M$2,$A306)</f>
        <v>0</v>
      </c>
      <c r="N306" s="38">
        <f ca="1">_xll.DBRW($C$1,$C$2,$C$3,$C$4,$C$6,$C$5,$C$7,N$1,N$2,$A306)</f>
        <v>0</v>
      </c>
      <c r="O306" s="38">
        <f ca="1">_xll.DBRW($C$1,$C$2,$C$3,$C$4,$C$6,$C$5,$C$7,O$1,O$2,$A306)</f>
        <v>0</v>
      </c>
      <c r="P306" s="38">
        <f ca="1">_xll.DBRW($C$1,$C$2,$C$3,$C$4,$C$6,$C$5,$C$7,P$1,P$2,$A306)</f>
        <v>0</v>
      </c>
      <c r="Q306" s="38">
        <f ca="1">_xll.DBRW($C$1,$C$2,$C$3,$C$4,$C$6,$C$5,$C$7,Q$1,Q$2,$A306)</f>
        <v>0</v>
      </c>
      <c r="R306" s="38">
        <f ca="1">_xll.DBRW($C$1,$C$2,$C$3,$C$4,$C$6,$C$5,$C$7,R$1,R$2,$A306)</f>
        <v>0</v>
      </c>
      <c r="S306" s="38">
        <f ca="1">_xll.DBRW($C$1,$C$2,$C$3,$C$4,$C$6,$C$5,$C$7,S$1,S$2,$A306)</f>
        <v>0</v>
      </c>
      <c r="T306" s="38">
        <f ca="1">_xll.DBRW($C$1,$C$2,$C$3,$C$4,$C$6,$C$5,$C$7,T$1,T$2,$A306)</f>
        <v>0</v>
      </c>
      <c r="U306" s="38">
        <f ca="1">_xll.DBRW($C$1,$C$2,$C$3,$C$4,$C$6,$C$5,$C$7,U$1,U$2,$A306)</f>
        <v>0</v>
      </c>
      <c r="V306" s="38">
        <f ca="1">_xll.DBRW($C$1,$C$2,$C$3,$C$4,$C$6,$C$5,$C$7,V$1,V$2,$A306)</f>
        <v>0</v>
      </c>
      <c r="W306" s="38">
        <f ca="1">_xll.DBRW($C$1,$C$2,$C$3,$C$4,$C$6,$C$5,$C$7,W$1,W$2,$A306)</f>
        <v>0</v>
      </c>
      <c r="X306" s="38">
        <f ca="1">_xll.DBRW($C$1,$C$2,$C$3,$C$4,$C$6,$C$5,$C$7,X$1,X$2,$A306)</f>
        <v>0</v>
      </c>
      <c r="Y306" s="38">
        <f ca="1">_xll.DBRW($C$1,$C$2,$C$3,$C$4,$C$6,$C$5,$C$7,Y$1,Y$2,$A306)</f>
        <v>0</v>
      </c>
      <c r="Z306" s="38">
        <f ca="1">_xll.DBRW($C$1,$C$2,$C$3,$C$4,$C$6,$C$5,$C$7,Z$1,Z$2,$A306)</f>
        <v>0</v>
      </c>
      <c r="AA306" s="38">
        <f ca="1">_xll.DBRW($C$1,$C$2,$C$3,$C$4,$C$6,$C$5,$C$7,AA$1,AA$2,$A306)</f>
        <v>0</v>
      </c>
      <c r="AB306" s="38">
        <f ca="1">_xll.DBRW($C$1,$C$2,$C$3,$C$4,$C$6,$C$5,$C$7,AB$1,AB$2,$A306)</f>
        <v>0</v>
      </c>
      <c r="AC306" s="38">
        <f ca="1">_xll.DBRW($C$1,$C$2,$C$3,$C$4,$C$6,$C$5,$C$7,AC$1,AC$2,$A306)</f>
        <v>0</v>
      </c>
      <c r="AD306" s="38">
        <f ca="1">_xll.DBRW($C$1,$C$2,$C$3,$C$4,$C$6,$C$5,$C$7,AD$1,AD$2,$A306)</f>
        <v>0</v>
      </c>
      <c r="AE306" s="38">
        <f ca="1">_xll.DBRW($C$1,$C$2,$C$3,$C$4,$C$6,$C$5,$C$7,AE$1,AE$2,$A306)</f>
        <v>0</v>
      </c>
      <c r="AF306" s="38">
        <f ca="1">_xll.DBRW($C$1,$C$2,$C$3,$C$4,$C$6,$C$5,$C$7,AF$1,AF$2,$A306)</f>
        <v>0</v>
      </c>
      <c r="AG306" s="38">
        <f ca="1">_xll.DBRW($C$1,$C$2,$C$3,$C$4,$C$6,$C$5,$C$7,AG$1,AG$2,$A306)</f>
        <v>0</v>
      </c>
      <c r="AH306" s="38">
        <f ca="1">_xll.DBRW($C$1,$C$2,$C$3,$C$4,$C$6,$C$5,$C$7,AH$1,AH$2,$A306)</f>
        <v>0</v>
      </c>
      <c r="AI306" s="38">
        <f ca="1">_xll.DBRW($C$1,$C$2,$C$3,$C$4,$C$6,$C$5,$C$7,AI$1,AI$2,$A306)</f>
        <v>0</v>
      </c>
      <c r="AJ306" s="38">
        <f ca="1">_xll.DBRW($C$1,$C$2,$C$3,$C$4,$C$6,$C$5,$C$7,AJ$1,AJ$2,$A306)</f>
        <v>0</v>
      </c>
      <c r="AK306" s="38">
        <f ca="1">_xll.DBRW($C$1,$C$2,$C$3,$C$4,$C$6,$C$5,$C$7,AK$1,AK$2,$A306)</f>
        <v>0</v>
      </c>
      <c r="AL306" s="38">
        <f ca="1">_xll.DBRW($C$1,$C$2,$C$3,$C$4,$C$6,$C$5,$C$7,AL$1,AL$2,$A306)</f>
        <v>0</v>
      </c>
      <c r="AM306" s="38">
        <f ca="1">_xll.DBRW($C$1,$C$2,$C$3,$C$4,$C$6,$C$5,$C$7,AM$1,AM$2,$A306)</f>
        <v>0</v>
      </c>
      <c r="AN306" s="38">
        <f ca="1">_xll.DBRW($C$1,$C$2,$C$3,$C$4,$C$6,$C$5,$C$7,AN$1,AN$2,$A306)</f>
        <v>0</v>
      </c>
      <c r="AO306" s="38">
        <f ca="1">_xll.DBRW($C$1,$C$2,$C$3,$C$4,$C$6,$C$5,$C$7,AO$1,AO$2,$A306)</f>
        <v>0</v>
      </c>
      <c r="AP306" s="38">
        <f ca="1">_xll.DBRW($C$1,$C$2,$C$3,$C$4,$C$6,$C$5,$C$7,AP$1,AP$2,$A306)</f>
        <v>0</v>
      </c>
      <c r="AQ306" s="38">
        <f ca="1">_xll.DBRW($C$1,$C$2,$C$3,$C$4,$C$6,$C$5,$C$7,AQ$1,AQ$2,$A306)</f>
        <v>0</v>
      </c>
      <c r="AR306" s="38">
        <f ca="1">_xll.DBRW($C$1,$C$2,$C$3,$C$4,$C$6,$C$5,$C$7,AR$1,AR$2,$A306)</f>
        <v>0</v>
      </c>
      <c r="AS306" s="38">
        <f ca="1">_xll.DBRW($C$1,$C$2,$C$3,$C$4,$C$6,$C$5,$C$7,AS$1,AS$2,$A306)</f>
        <v>0</v>
      </c>
      <c r="AT306" s="38">
        <f ca="1">_xll.DBRW($C$1,$C$2,$C$3,$C$4,$C$6,$C$5,$C$7,AT$1,AT$2,$A306)</f>
        <v>0</v>
      </c>
      <c r="AU306" s="38">
        <f ca="1">_xll.DBRW($C$1,$C$2,$C$3,$C$4,$C$6,$C$5,$C$7,AU$1,AU$2,$A306)</f>
        <v>0</v>
      </c>
    </row>
    <row r="307" spans="1:47" ht="15.75" hidden="1" outlineLevel="1">
      <c r="A307" s="1" t="s">
        <v>77</v>
      </c>
      <c r="E307" s="9" t="str">
        <f ca="1">_xll.DBRW(Server&amp;"}ElementAttributes_Indicator",A307,"code_English")</f>
        <v>Tot_km_gas - Total KM driven by gas</v>
      </c>
      <c r="F307" s="38">
        <f ca="1">_xll.DBRW($C$1,$C$2,$C$3,$C$4,$C$6,$C$5,$C$7,F$1,F$2,$A307)</f>
        <v>0</v>
      </c>
      <c r="G307" s="38">
        <f ca="1">_xll.DBRW($C$1,$C$2,$C$3,$C$4,$C$6,$C$5,$C$7,G$1,G$2,$A307)</f>
        <v>0</v>
      </c>
      <c r="H307" s="38">
        <f ca="1">_xll.DBRW($C$1,$C$2,$C$3,$C$4,$C$6,$C$5,$C$7,H$1,H$2,$A307)</f>
        <v>0</v>
      </c>
      <c r="I307" s="38">
        <f ca="1">_xll.DBRW($C$1,$C$2,$C$3,$C$4,$C$6,$C$5,$C$7,I$1,I$2,$A307)</f>
        <v>0</v>
      </c>
      <c r="J307" s="38">
        <f ca="1">_xll.DBRW($C$1,$C$2,$C$3,$C$4,$C$6,$C$5,$C$7,J$1,J$2,$A307)</f>
        <v>0</v>
      </c>
      <c r="K307" s="38">
        <f ca="1">_xll.DBRW($C$1,$C$2,$C$3,$C$4,$C$6,$C$5,$C$7,K$1,K$2,$A307)</f>
        <v>0</v>
      </c>
      <c r="L307" s="38">
        <f ca="1">_xll.DBRW($C$1,$C$2,$C$3,$C$4,$C$6,$C$5,$C$7,L$1,L$2,$A307)</f>
        <v>0</v>
      </c>
      <c r="M307" s="38">
        <f ca="1">_xll.DBRW($C$1,$C$2,$C$3,$C$4,$C$6,$C$5,$C$7,M$1,M$2,$A307)</f>
        <v>0</v>
      </c>
      <c r="N307" s="38">
        <f ca="1">_xll.DBRW($C$1,$C$2,$C$3,$C$4,$C$6,$C$5,$C$7,N$1,N$2,$A307)</f>
        <v>0</v>
      </c>
      <c r="O307" s="38">
        <f ca="1">_xll.DBRW($C$1,$C$2,$C$3,$C$4,$C$6,$C$5,$C$7,O$1,O$2,$A307)</f>
        <v>0</v>
      </c>
      <c r="P307" s="38">
        <f ca="1">_xll.DBRW($C$1,$C$2,$C$3,$C$4,$C$6,$C$5,$C$7,P$1,P$2,$A307)</f>
        <v>0</v>
      </c>
      <c r="Q307" s="38">
        <f ca="1">_xll.DBRW($C$1,$C$2,$C$3,$C$4,$C$6,$C$5,$C$7,Q$1,Q$2,$A307)</f>
        <v>0</v>
      </c>
      <c r="R307" s="38">
        <f ca="1">_xll.DBRW($C$1,$C$2,$C$3,$C$4,$C$6,$C$5,$C$7,R$1,R$2,$A307)</f>
        <v>0</v>
      </c>
      <c r="S307" s="38">
        <f ca="1">_xll.DBRW($C$1,$C$2,$C$3,$C$4,$C$6,$C$5,$C$7,S$1,S$2,$A307)</f>
        <v>0</v>
      </c>
      <c r="T307" s="38">
        <f ca="1">_xll.DBRW($C$1,$C$2,$C$3,$C$4,$C$6,$C$5,$C$7,T$1,T$2,$A307)</f>
        <v>0</v>
      </c>
      <c r="U307" s="38">
        <f ca="1">_xll.DBRW($C$1,$C$2,$C$3,$C$4,$C$6,$C$5,$C$7,U$1,U$2,$A307)</f>
        <v>0</v>
      </c>
      <c r="V307" s="38">
        <f ca="1">_xll.DBRW($C$1,$C$2,$C$3,$C$4,$C$6,$C$5,$C$7,V$1,V$2,$A307)</f>
        <v>0</v>
      </c>
      <c r="W307" s="38">
        <f ca="1">_xll.DBRW($C$1,$C$2,$C$3,$C$4,$C$6,$C$5,$C$7,W$1,W$2,$A307)</f>
        <v>0</v>
      </c>
      <c r="X307" s="38">
        <f ca="1">_xll.DBRW($C$1,$C$2,$C$3,$C$4,$C$6,$C$5,$C$7,X$1,X$2,$A307)</f>
        <v>0</v>
      </c>
      <c r="Y307" s="38">
        <f ca="1">_xll.DBRW($C$1,$C$2,$C$3,$C$4,$C$6,$C$5,$C$7,Y$1,Y$2,$A307)</f>
        <v>0</v>
      </c>
      <c r="Z307" s="38">
        <f ca="1">_xll.DBRW($C$1,$C$2,$C$3,$C$4,$C$6,$C$5,$C$7,Z$1,Z$2,$A307)</f>
        <v>0</v>
      </c>
      <c r="AA307" s="38">
        <f ca="1">_xll.DBRW($C$1,$C$2,$C$3,$C$4,$C$6,$C$5,$C$7,AA$1,AA$2,$A307)</f>
        <v>0</v>
      </c>
      <c r="AB307" s="38">
        <f ca="1">_xll.DBRW($C$1,$C$2,$C$3,$C$4,$C$6,$C$5,$C$7,AB$1,AB$2,$A307)</f>
        <v>0</v>
      </c>
      <c r="AC307" s="38">
        <f ca="1">_xll.DBRW($C$1,$C$2,$C$3,$C$4,$C$6,$C$5,$C$7,AC$1,AC$2,$A307)</f>
        <v>0</v>
      </c>
      <c r="AD307" s="38">
        <f ca="1">_xll.DBRW($C$1,$C$2,$C$3,$C$4,$C$6,$C$5,$C$7,AD$1,AD$2,$A307)</f>
        <v>0</v>
      </c>
      <c r="AE307" s="38">
        <f ca="1">_xll.DBRW($C$1,$C$2,$C$3,$C$4,$C$6,$C$5,$C$7,AE$1,AE$2,$A307)</f>
        <v>0</v>
      </c>
      <c r="AF307" s="38">
        <f ca="1">_xll.DBRW($C$1,$C$2,$C$3,$C$4,$C$6,$C$5,$C$7,AF$1,AF$2,$A307)</f>
        <v>0</v>
      </c>
      <c r="AG307" s="38">
        <f ca="1">_xll.DBRW($C$1,$C$2,$C$3,$C$4,$C$6,$C$5,$C$7,AG$1,AG$2,$A307)</f>
        <v>0</v>
      </c>
      <c r="AH307" s="38">
        <f ca="1">_xll.DBRW($C$1,$C$2,$C$3,$C$4,$C$6,$C$5,$C$7,AH$1,AH$2,$A307)</f>
        <v>0</v>
      </c>
      <c r="AI307" s="38">
        <f ca="1">_xll.DBRW($C$1,$C$2,$C$3,$C$4,$C$6,$C$5,$C$7,AI$1,AI$2,$A307)</f>
        <v>0</v>
      </c>
      <c r="AJ307" s="38">
        <f ca="1">_xll.DBRW($C$1,$C$2,$C$3,$C$4,$C$6,$C$5,$C$7,AJ$1,AJ$2,$A307)</f>
        <v>0</v>
      </c>
      <c r="AK307" s="38">
        <f ca="1">_xll.DBRW($C$1,$C$2,$C$3,$C$4,$C$6,$C$5,$C$7,AK$1,AK$2,$A307)</f>
        <v>0</v>
      </c>
      <c r="AL307" s="38">
        <f ca="1">_xll.DBRW($C$1,$C$2,$C$3,$C$4,$C$6,$C$5,$C$7,AL$1,AL$2,$A307)</f>
        <v>0</v>
      </c>
      <c r="AM307" s="38">
        <f ca="1">_xll.DBRW($C$1,$C$2,$C$3,$C$4,$C$6,$C$5,$C$7,AM$1,AM$2,$A307)</f>
        <v>0</v>
      </c>
      <c r="AN307" s="38">
        <f ca="1">_xll.DBRW($C$1,$C$2,$C$3,$C$4,$C$6,$C$5,$C$7,AN$1,AN$2,$A307)</f>
        <v>0</v>
      </c>
      <c r="AO307" s="38">
        <f ca="1">_xll.DBRW($C$1,$C$2,$C$3,$C$4,$C$6,$C$5,$C$7,AO$1,AO$2,$A307)</f>
        <v>0</v>
      </c>
      <c r="AP307" s="38">
        <f ca="1">_xll.DBRW($C$1,$C$2,$C$3,$C$4,$C$6,$C$5,$C$7,AP$1,AP$2,$A307)</f>
        <v>0</v>
      </c>
      <c r="AQ307" s="38">
        <f ca="1">_xll.DBRW($C$1,$C$2,$C$3,$C$4,$C$6,$C$5,$C$7,AQ$1,AQ$2,$A307)</f>
        <v>0</v>
      </c>
      <c r="AR307" s="38">
        <f ca="1">_xll.DBRW($C$1,$C$2,$C$3,$C$4,$C$6,$C$5,$C$7,AR$1,AR$2,$A307)</f>
        <v>0</v>
      </c>
      <c r="AS307" s="38">
        <f ca="1">_xll.DBRW($C$1,$C$2,$C$3,$C$4,$C$6,$C$5,$C$7,AS$1,AS$2,$A307)</f>
        <v>0</v>
      </c>
      <c r="AT307" s="38">
        <f ca="1">_xll.DBRW($C$1,$C$2,$C$3,$C$4,$C$6,$C$5,$C$7,AT$1,AT$2,$A307)</f>
        <v>0</v>
      </c>
      <c r="AU307" s="38">
        <f ca="1">_xll.DBRW($C$1,$C$2,$C$3,$C$4,$C$6,$C$5,$C$7,AU$1,AU$2,$A307)</f>
        <v>0</v>
      </c>
    </row>
    <row r="308" spans="1:47" ht="15.75" customHeight="1" collapsed="1">
      <c r="A308" s="1" t="s">
        <v>127</v>
      </c>
      <c r="C308" s="141" t="s">
        <v>78</v>
      </c>
      <c r="E308" s="132" t="s">
        <v>79</v>
      </c>
      <c r="F308" s="133">
        <f t="shared" ref="F308:AU308" ca="1" si="164">F297</f>
        <v>118559163.98999999</v>
      </c>
      <c r="G308" s="133">
        <f t="shared" ca="1" si="164"/>
        <v>107520944</v>
      </c>
      <c r="H308" s="133">
        <f t="shared" ca="1" si="164"/>
        <v>108478674</v>
      </c>
      <c r="I308" s="133">
        <f t="shared" ca="1" si="164"/>
        <v>8990347</v>
      </c>
      <c r="J308" s="133">
        <f t="shared" ca="1" si="164"/>
        <v>16930463</v>
      </c>
      <c r="K308" s="133">
        <f t="shared" ca="1" si="164"/>
        <v>26318886</v>
      </c>
      <c r="L308" s="133">
        <f t="shared" ca="1" si="164"/>
        <v>35170857</v>
      </c>
      <c r="M308" s="133">
        <f t="shared" ca="1" si="164"/>
        <v>44360559</v>
      </c>
      <c r="N308" s="133">
        <f t="shared" ca="1" si="164"/>
        <v>53102620</v>
      </c>
      <c r="O308" s="133">
        <f t="shared" ca="1" si="164"/>
        <v>53102620</v>
      </c>
      <c r="P308" s="133">
        <f t="shared" ca="1" si="164"/>
        <v>53102620</v>
      </c>
      <c r="Q308" s="133">
        <f t="shared" ca="1" si="164"/>
        <v>53102620</v>
      </c>
      <c r="R308" s="133">
        <f t="shared" ca="1" si="164"/>
        <v>53102620</v>
      </c>
      <c r="S308" s="133">
        <f t="shared" ca="1" si="164"/>
        <v>53102620</v>
      </c>
      <c r="T308" s="133">
        <f t="shared" ca="1" si="164"/>
        <v>53102620</v>
      </c>
      <c r="U308" s="133">
        <f t="shared" ca="1" si="164"/>
        <v>53102620</v>
      </c>
      <c r="V308" s="133">
        <f t="shared" ca="1" si="164"/>
        <v>0</v>
      </c>
      <c r="W308" s="133">
        <f t="shared" ca="1" si="164"/>
        <v>0</v>
      </c>
      <c r="X308" s="133">
        <f t="shared" ca="1" si="164"/>
        <v>0</v>
      </c>
      <c r="Y308" s="133">
        <f t="shared" ca="1" si="164"/>
        <v>0</v>
      </c>
      <c r="Z308" s="133">
        <f t="shared" ca="1" si="164"/>
        <v>0</v>
      </c>
      <c r="AA308" s="133">
        <f t="shared" ca="1" si="164"/>
        <v>0</v>
      </c>
      <c r="AB308" s="133">
        <f t="shared" ca="1" si="164"/>
        <v>0</v>
      </c>
      <c r="AC308" s="133">
        <f t="shared" ca="1" si="164"/>
        <v>0</v>
      </c>
      <c r="AD308" s="133">
        <f t="shared" ca="1" si="164"/>
        <v>0</v>
      </c>
      <c r="AE308" s="133">
        <f t="shared" ca="1" si="164"/>
        <v>0</v>
      </c>
      <c r="AF308" s="133">
        <f t="shared" ca="1" si="164"/>
        <v>0</v>
      </c>
      <c r="AG308" s="133">
        <f t="shared" ca="1" si="164"/>
        <v>0</v>
      </c>
      <c r="AH308" s="133">
        <f t="shared" ca="1" si="164"/>
        <v>0</v>
      </c>
      <c r="AI308" s="133">
        <f t="shared" ca="1" si="164"/>
        <v>0</v>
      </c>
      <c r="AJ308" s="133">
        <f t="shared" ca="1" si="164"/>
        <v>0</v>
      </c>
      <c r="AK308" s="133">
        <f t="shared" ca="1" si="164"/>
        <v>0</v>
      </c>
      <c r="AL308" s="133">
        <f t="shared" ca="1" si="164"/>
        <v>0</v>
      </c>
      <c r="AM308" s="133">
        <f t="shared" ca="1" si="164"/>
        <v>0</v>
      </c>
      <c r="AN308" s="133">
        <f t="shared" ca="1" si="164"/>
        <v>0</v>
      </c>
      <c r="AO308" s="133">
        <f t="shared" ca="1" si="164"/>
        <v>0</v>
      </c>
      <c r="AP308" s="133">
        <f t="shared" ca="1" si="164"/>
        <v>0</v>
      </c>
      <c r="AQ308" s="133">
        <f t="shared" ca="1" si="164"/>
        <v>0</v>
      </c>
      <c r="AR308" s="133">
        <f t="shared" ca="1" si="164"/>
        <v>0</v>
      </c>
      <c r="AS308" s="133">
        <f t="shared" ca="1" si="164"/>
        <v>0</v>
      </c>
      <c r="AT308" s="133">
        <f t="shared" ca="1" si="164"/>
        <v>0</v>
      </c>
      <c r="AU308" s="133">
        <f t="shared" ca="1" si="164"/>
        <v>0</v>
      </c>
    </row>
    <row r="309" spans="1:47" ht="15.75" hidden="1" customHeight="1" outlineLevel="1">
      <c r="A309" s="1" t="s">
        <v>334</v>
      </c>
      <c r="C309" s="141"/>
      <c r="E309" s="9" t="str">
        <f ca="1">_xll.DBRW(Server&amp;"}ElementAttributes_Indicator",A309,"code_English")</f>
        <v>Nb_Drivers - Number of drivers</v>
      </c>
      <c r="F309" s="43">
        <f ca="1">_xll.DBRW($C$1,$C$2,$C$3,$C$4,$C$6,$C$5,$C$7,F$1,F$2,$A309)</f>
        <v>0</v>
      </c>
      <c r="G309" s="43">
        <f ca="1">_xll.DBRW($C$1,$C$2,$C$3,$C$4,$C$6,$C$5,$C$7,G$1,G$2,$A309)</f>
        <v>0</v>
      </c>
      <c r="H309" s="43">
        <f ca="1">_xll.DBRW($C$1,$C$2,$C$3,$C$4,$C$6,$C$5,$C$7,H$1,H$2,$A309)</f>
        <v>0</v>
      </c>
      <c r="I309" s="43">
        <f ca="1">_xll.DBRW($C$1,$C$2,$C$3,$C$4,$C$6,$C$5,$C$7,I$1,I$2,$A309)</f>
        <v>0</v>
      </c>
      <c r="J309" s="43">
        <f ca="1">_xll.DBRW($C$1,$C$2,$C$3,$C$4,$C$6,$C$5,$C$7,J$1,J$2,$A309)</f>
        <v>0</v>
      </c>
      <c r="K309" s="43">
        <f ca="1">_xll.DBRW($C$1,$C$2,$C$3,$C$4,$C$6,$C$5,$C$7,K$1,K$2,$A309)</f>
        <v>0</v>
      </c>
      <c r="L309" s="43">
        <f ca="1">_xll.DBRW($C$1,$C$2,$C$3,$C$4,$C$6,$C$5,$C$7,L$1,L$2,$A309)</f>
        <v>0</v>
      </c>
      <c r="M309" s="43">
        <f ca="1">_xll.DBRW($C$1,$C$2,$C$3,$C$4,$C$6,$C$5,$C$7,M$1,M$2,$A309)</f>
        <v>0</v>
      </c>
      <c r="N309" s="43">
        <f ca="1">_xll.DBRW($C$1,$C$2,$C$3,$C$4,$C$6,$C$5,$C$7,N$1,N$2,$A309)</f>
        <v>0</v>
      </c>
      <c r="O309" s="43">
        <f ca="1">_xll.DBRW($C$1,$C$2,$C$3,$C$4,$C$6,$C$5,$C$7,O$1,O$2,$A309)</f>
        <v>0</v>
      </c>
      <c r="P309" s="43">
        <f ca="1">_xll.DBRW($C$1,$C$2,$C$3,$C$4,$C$6,$C$5,$C$7,P$1,P$2,$A309)</f>
        <v>0</v>
      </c>
      <c r="Q309" s="43">
        <f ca="1">_xll.DBRW($C$1,$C$2,$C$3,$C$4,$C$6,$C$5,$C$7,Q$1,Q$2,$A309)</f>
        <v>0</v>
      </c>
      <c r="R309" s="43">
        <f ca="1">_xll.DBRW($C$1,$C$2,$C$3,$C$4,$C$6,$C$5,$C$7,R$1,R$2,$A309)</f>
        <v>0</v>
      </c>
      <c r="S309" s="43">
        <f ca="1">_xll.DBRW($C$1,$C$2,$C$3,$C$4,$C$6,$C$5,$C$7,S$1,S$2,$A309)</f>
        <v>0</v>
      </c>
      <c r="T309" s="43">
        <f ca="1">_xll.DBRW($C$1,$C$2,$C$3,$C$4,$C$6,$C$5,$C$7,T$1,T$2,$A309)</f>
        <v>0</v>
      </c>
      <c r="U309" s="43">
        <f ca="1">_xll.DBRW($C$1,$C$2,$C$3,$C$4,$C$6,$C$5,$C$7,U$1,U$2,$A309)</f>
        <v>0</v>
      </c>
      <c r="V309" s="43">
        <f ca="1">_xll.DBRW($C$1,$C$2,$C$3,$C$4,$C$6,$C$5,$C$7,V$1,V$2,$A309)</f>
        <v>0</v>
      </c>
      <c r="W309" s="43">
        <f ca="1">_xll.DBRW($C$1,$C$2,$C$3,$C$4,$C$6,$C$5,$C$7,W$1,W$2,$A309)</f>
        <v>0</v>
      </c>
      <c r="X309" s="43">
        <f ca="1">_xll.DBRW($C$1,$C$2,$C$3,$C$4,$C$6,$C$5,$C$7,X$1,X$2,$A309)</f>
        <v>0</v>
      </c>
      <c r="Y309" s="43">
        <f ca="1">_xll.DBRW($C$1,$C$2,$C$3,$C$4,$C$6,$C$5,$C$7,Y$1,Y$2,$A309)</f>
        <v>0</v>
      </c>
      <c r="Z309" s="43">
        <f ca="1">_xll.DBRW($C$1,$C$2,$C$3,$C$4,$C$6,$C$5,$C$7,Z$1,Z$2,$A309)</f>
        <v>0</v>
      </c>
      <c r="AA309" s="43">
        <f ca="1">_xll.DBRW($C$1,$C$2,$C$3,$C$4,$C$6,$C$5,$C$7,AA$1,AA$2,$A309)</f>
        <v>0</v>
      </c>
      <c r="AB309" s="43">
        <f ca="1">_xll.DBRW($C$1,$C$2,$C$3,$C$4,$C$6,$C$5,$C$7,AB$1,AB$2,$A309)</f>
        <v>0</v>
      </c>
      <c r="AC309" s="43">
        <f ca="1">_xll.DBRW($C$1,$C$2,$C$3,$C$4,$C$6,$C$5,$C$7,AC$1,AC$2,$A309)</f>
        <v>0</v>
      </c>
      <c r="AD309" s="43">
        <f ca="1">_xll.DBRW($C$1,$C$2,$C$3,$C$4,$C$6,$C$5,$C$7,AD$1,AD$2,$A309)</f>
        <v>0</v>
      </c>
      <c r="AE309" s="43">
        <f ca="1">_xll.DBRW($C$1,$C$2,$C$3,$C$4,$C$6,$C$5,$C$7,AE$1,AE$2,$A309)</f>
        <v>0</v>
      </c>
      <c r="AF309" s="43">
        <f ca="1">_xll.DBRW($C$1,$C$2,$C$3,$C$4,$C$6,$C$5,$C$7,AF$1,AF$2,$A309)</f>
        <v>0</v>
      </c>
      <c r="AG309" s="43">
        <f ca="1">_xll.DBRW($C$1,$C$2,$C$3,$C$4,$C$6,$C$5,$C$7,AG$1,AG$2,$A309)</f>
        <v>0</v>
      </c>
      <c r="AH309" s="43">
        <f ca="1">_xll.DBRW($C$1,$C$2,$C$3,$C$4,$C$6,$C$5,$C$7,AH$1,AH$2,$A309)</f>
        <v>0</v>
      </c>
      <c r="AI309" s="43">
        <f ca="1">_xll.DBRW($C$1,$C$2,$C$3,$C$4,$C$6,$C$5,$C$7,AI$1,AI$2,$A309)</f>
        <v>0</v>
      </c>
      <c r="AJ309" s="43">
        <f ca="1">_xll.DBRW($C$1,$C$2,$C$3,$C$4,$C$6,$C$5,$C$7,AJ$1,AJ$2,$A309)</f>
        <v>0</v>
      </c>
      <c r="AK309" s="43">
        <f ca="1">_xll.DBRW($C$1,$C$2,$C$3,$C$4,$C$6,$C$5,$C$7,AK$1,AK$2,$A309)</f>
        <v>0</v>
      </c>
      <c r="AL309" s="43">
        <f ca="1">_xll.DBRW($C$1,$C$2,$C$3,$C$4,$C$6,$C$5,$C$7,AL$1,AL$2,$A309)</f>
        <v>0</v>
      </c>
      <c r="AM309" s="43">
        <f ca="1">_xll.DBRW($C$1,$C$2,$C$3,$C$4,$C$6,$C$5,$C$7,AM$1,AM$2,$A309)</f>
        <v>0</v>
      </c>
      <c r="AN309" s="43">
        <f ca="1">_xll.DBRW($C$1,$C$2,$C$3,$C$4,$C$6,$C$5,$C$7,AN$1,AN$2,$A309)</f>
        <v>0</v>
      </c>
      <c r="AO309" s="43">
        <f ca="1">_xll.DBRW($C$1,$C$2,$C$3,$C$4,$C$6,$C$5,$C$7,AO$1,AO$2,$A309)</f>
        <v>0</v>
      </c>
      <c r="AP309" s="43">
        <f ca="1">_xll.DBRW($C$1,$C$2,$C$3,$C$4,$C$6,$C$5,$C$7,AP$1,AP$2,$A309)</f>
        <v>0</v>
      </c>
      <c r="AQ309" s="43">
        <f ca="1">_xll.DBRW($C$1,$C$2,$C$3,$C$4,$C$6,$C$5,$C$7,AQ$1,AQ$2,$A309)</f>
        <v>0</v>
      </c>
      <c r="AR309" s="43">
        <f ca="1">_xll.DBRW($C$1,$C$2,$C$3,$C$4,$C$6,$C$5,$C$7,AR$1,AR$2,$A309)</f>
        <v>0</v>
      </c>
      <c r="AS309" s="43">
        <f ca="1">_xll.DBRW($C$1,$C$2,$C$3,$C$4,$C$6,$C$5,$C$7,AS$1,AS$2,$A309)</f>
        <v>0</v>
      </c>
      <c r="AT309" s="43">
        <f ca="1">_xll.DBRW($C$1,$C$2,$C$3,$C$4,$C$6,$C$5,$C$7,AT$1,AT$2,$A309)</f>
        <v>0</v>
      </c>
      <c r="AU309" s="43">
        <f ca="1">_xll.DBRW($C$1,$C$2,$C$3,$C$4,$C$6,$C$5,$C$7,AU$1,AU$2,$A309)</f>
        <v>0</v>
      </c>
    </row>
    <row r="310" spans="1:47" ht="15.75" hidden="1" customHeight="1" outlineLevel="1">
      <c r="A310" s="1" t="s">
        <v>335</v>
      </c>
      <c r="C310" s="141"/>
      <c r="E310" s="9" t="str">
        <f ca="1">_xll.DBRW(Server&amp;"}ElementAttributes_Indicator",A310,"code_English")</f>
        <v>Nb_Conductors - Number of conductors</v>
      </c>
      <c r="F310" s="43">
        <f ca="1">_xll.DBRW($C$1,$C$2,$C$3,$C$4,$C$6,$C$5,$C$7,F$1,F$2,$A310)</f>
        <v>0</v>
      </c>
      <c r="G310" s="43">
        <f ca="1">_xll.DBRW($C$1,$C$2,$C$3,$C$4,$C$6,$C$5,$C$7,G$1,G$2,$A310)</f>
        <v>0</v>
      </c>
      <c r="H310" s="43">
        <f ca="1">_xll.DBRW($C$1,$C$2,$C$3,$C$4,$C$6,$C$5,$C$7,H$1,H$2,$A310)</f>
        <v>0</v>
      </c>
      <c r="I310" s="43">
        <f ca="1">_xll.DBRW($C$1,$C$2,$C$3,$C$4,$C$6,$C$5,$C$7,I$1,I$2,$A310)</f>
        <v>0</v>
      </c>
      <c r="J310" s="43">
        <f ca="1">_xll.DBRW($C$1,$C$2,$C$3,$C$4,$C$6,$C$5,$C$7,J$1,J$2,$A310)</f>
        <v>0</v>
      </c>
      <c r="K310" s="43">
        <f ca="1">_xll.DBRW($C$1,$C$2,$C$3,$C$4,$C$6,$C$5,$C$7,K$1,K$2,$A310)</f>
        <v>0</v>
      </c>
      <c r="L310" s="43">
        <f ca="1">_xll.DBRW($C$1,$C$2,$C$3,$C$4,$C$6,$C$5,$C$7,L$1,L$2,$A310)</f>
        <v>0</v>
      </c>
      <c r="M310" s="43">
        <f ca="1">_xll.DBRW($C$1,$C$2,$C$3,$C$4,$C$6,$C$5,$C$7,M$1,M$2,$A310)</f>
        <v>0</v>
      </c>
      <c r="N310" s="43">
        <f ca="1">_xll.DBRW($C$1,$C$2,$C$3,$C$4,$C$6,$C$5,$C$7,N$1,N$2,$A310)</f>
        <v>0</v>
      </c>
      <c r="O310" s="43">
        <f ca="1">_xll.DBRW($C$1,$C$2,$C$3,$C$4,$C$6,$C$5,$C$7,O$1,O$2,$A310)</f>
        <v>0</v>
      </c>
      <c r="P310" s="43">
        <f ca="1">_xll.DBRW($C$1,$C$2,$C$3,$C$4,$C$6,$C$5,$C$7,P$1,P$2,$A310)</f>
        <v>0</v>
      </c>
      <c r="Q310" s="43">
        <f ca="1">_xll.DBRW($C$1,$C$2,$C$3,$C$4,$C$6,$C$5,$C$7,Q$1,Q$2,$A310)</f>
        <v>0</v>
      </c>
      <c r="R310" s="43">
        <f ca="1">_xll.DBRW($C$1,$C$2,$C$3,$C$4,$C$6,$C$5,$C$7,R$1,R$2,$A310)</f>
        <v>0</v>
      </c>
      <c r="S310" s="43">
        <f ca="1">_xll.DBRW($C$1,$C$2,$C$3,$C$4,$C$6,$C$5,$C$7,S$1,S$2,$A310)</f>
        <v>0</v>
      </c>
      <c r="T310" s="43">
        <f ca="1">_xll.DBRW($C$1,$C$2,$C$3,$C$4,$C$6,$C$5,$C$7,T$1,T$2,$A310)</f>
        <v>0</v>
      </c>
      <c r="U310" s="43">
        <f ca="1">_xll.DBRW($C$1,$C$2,$C$3,$C$4,$C$6,$C$5,$C$7,U$1,U$2,$A310)</f>
        <v>0</v>
      </c>
      <c r="V310" s="43">
        <f ca="1">_xll.DBRW($C$1,$C$2,$C$3,$C$4,$C$6,$C$5,$C$7,V$1,V$2,$A310)</f>
        <v>0</v>
      </c>
      <c r="W310" s="43">
        <f ca="1">_xll.DBRW($C$1,$C$2,$C$3,$C$4,$C$6,$C$5,$C$7,W$1,W$2,$A310)</f>
        <v>0</v>
      </c>
      <c r="X310" s="43">
        <f ca="1">_xll.DBRW($C$1,$C$2,$C$3,$C$4,$C$6,$C$5,$C$7,X$1,X$2,$A310)</f>
        <v>0</v>
      </c>
      <c r="Y310" s="43">
        <f ca="1">_xll.DBRW($C$1,$C$2,$C$3,$C$4,$C$6,$C$5,$C$7,Y$1,Y$2,$A310)</f>
        <v>0</v>
      </c>
      <c r="Z310" s="43">
        <f ca="1">_xll.DBRW($C$1,$C$2,$C$3,$C$4,$C$6,$C$5,$C$7,Z$1,Z$2,$A310)</f>
        <v>0</v>
      </c>
      <c r="AA310" s="43">
        <f ca="1">_xll.DBRW($C$1,$C$2,$C$3,$C$4,$C$6,$C$5,$C$7,AA$1,AA$2,$A310)</f>
        <v>0</v>
      </c>
      <c r="AB310" s="43">
        <f ca="1">_xll.DBRW($C$1,$C$2,$C$3,$C$4,$C$6,$C$5,$C$7,AB$1,AB$2,$A310)</f>
        <v>0</v>
      </c>
      <c r="AC310" s="43">
        <f ca="1">_xll.DBRW($C$1,$C$2,$C$3,$C$4,$C$6,$C$5,$C$7,AC$1,AC$2,$A310)</f>
        <v>0</v>
      </c>
      <c r="AD310" s="43">
        <f ca="1">_xll.DBRW($C$1,$C$2,$C$3,$C$4,$C$6,$C$5,$C$7,AD$1,AD$2,$A310)</f>
        <v>0</v>
      </c>
      <c r="AE310" s="43">
        <f ca="1">_xll.DBRW($C$1,$C$2,$C$3,$C$4,$C$6,$C$5,$C$7,AE$1,AE$2,$A310)</f>
        <v>0</v>
      </c>
      <c r="AF310" s="43">
        <f ca="1">_xll.DBRW($C$1,$C$2,$C$3,$C$4,$C$6,$C$5,$C$7,AF$1,AF$2,$A310)</f>
        <v>0</v>
      </c>
      <c r="AG310" s="43">
        <f ca="1">_xll.DBRW($C$1,$C$2,$C$3,$C$4,$C$6,$C$5,$C$7,AG$1,AG$2,$A310)</f>
        <v>0</v>
      </c>
      <c r="AH310" s="43">
        <f ca="1">_xll.DBRW($C$1,$C$2,$C$3,$C$4,$C$6,$C$5,$C$7,AH$1,AH$2,$A310)</f>
        <v>0</v>
      </c>
      <c r="AI310" s="43">
        <f ca="1">_xll.DBRW($C$1,$C$2,$C$3,$C$4,$C$6,$C$5,$C$7,AI$1,AI$2,$A310)</f>
        <v>0</v>
      </c>
      <c r="AJ310" s="43">
        <f ca="1">_xll.DBRW($C$1,$C$2,$C$3,$C$4,$C$6,$C$5,$C$7,AJ$1,AJ$2,$A310)</f>
        <v>0</v>
      </c>
      <c r="AK310" s="43">
        <f ca="1">_xll.DBRW($C$1,$C$2,$C$3,$C$4,$C$6,$C$5,$C$7,AK$1,AK$2,$A310)</f>
        <v>0</v>
      </c>
      <c r="AL310" s="43">
        <f ca="1">_xll.DBRW($C$1,$C$2,$C$3,$C$4,$C$6,$C$5,$C$7,AL$1,AL$2,$A310)</f>
        <v>0</v>
      </c>
      <c r="AM310" s="43">
        <f ca="1">_xll.DBRW($C$1,$C$2,$C$3,$C$4,$C$6,$C$5,$C$7,AM$1,AM$2,$A310)</f>
        <v>0</v>
      </c>
      <c r="AN310" s="43">
        <f ca="1">_xll.DBRW($C$1,$C$2,$C$3,$C$4,$C$6,$C$5,$C$7,AN$1,AN$2,$A310)</f>
        <v>0</v>
      </c>
      <c r="AO310" s="43">
        <f ca="1">_xll.DBRW($C$1,$C$2,$C$3,$C$4,$C$6,$C$5,$C$7,AO$1,AO$2,$A310)</f>
        <v>0</v>
      </c>
      <c r="AP310" s="43">
        <f ca="1">_xll.DBRW($C$1,$C$2,$C$3,$C$4,$C$6,$C$5,$C$7,AP$1,AP$2,$A310)</f>
        <v>0</v>
      </c>
      <c r="AQ310" s="43">
        <f ca="1">_xll.DBRW($C$1,$C$2,$C$3,$C$4,$C$6,$C$5,$C$7,AQ$1,AQ$2,$A310)</f>
        <v>0</v>
      </c>
      <c r="AR310" s="43">
        <f ca="1">_xll.DBRW($C$1,$C$2,$C$3,$C$4,$C$6,$C$5,$C$7,AR$1,AR$2,$A310)</f>
        <v>0</v>
      </c>
      <c r="AS310" s="43">
        <f ca="1">_xll.DBRW($C$1,$C$2,$C$3,$C$4,$C$6,$C$5,$C$7,AS$1,AS$2,$A310)</f>
        <v>0</v>
      </c>
      <c r="AT310" s="43">
        <f ca="1">_xll.DBRW($C$1,$C$2,$C$3,$C$4,$C$6,$C$5,$C$7,AT$1,AT$2,$A310)</f>
        <v>0</v>
      </c>
      <c r="AU310" s="43">
        <f ca="1">_xll.DBRW($C$1,$C$2,$C$3,$C$4,$C$6,$C$5,$C$7,AU$1,AU$2,$A310)</f>
        <v>0</v>
      </c>
    </row>
    <row r="311" spans="1:47" ht="15.75" hidden="1" customHeight="1" outlineLevel="1">
      <c r="A311" s="1" t="s">
        <v>348</v>
      </c>
      <c r="C311" s="141"/>
      <c r="E311" s="9" t="str">
        <f ca="1">_xll.DBRW(Server&amp;"}ElementAttributes_Indicator",A311,"code_English")</f>
        <v>Nb_FTE_Drivers - Number of FTE Drivers</v>
      </c>
      <c r="F311" s="43">
        <f ca="1">_xll.DBRW($C$1,$C$2,$C$3,$C$4,$C$6,$C$5,$C$7,F$1,F$2,$A311)</f>
        <v>0</v>
      </c>
      <c r="G311" s="43">
        <f ca="1">_xll.DBRW($C$1,$C$2,$C$3,$C$4,$C$6,$C$5,$C$7,G$1,G$2,$A311)</f>
        <v>0</v>
      </c>
      <c r="H311" s="43">
        <f ca="1">_xll.DBRW($C$1,$C$2,$C$3,$C$4,$C$6,$C$5,$C$7,H$1,H$2,$A311)</f>
        <v>0</v>
      </c>
      <c r="I311" s="43">
        <f ca="1">_xll.DBRW($C$1,$C$2,$C$3,$C$4,$C$6,$C$5,$C$7,I$1,I$2,$A311)</f>
        <v>0</v>
      </c>
      <c r="J311" s="43">
        <f ca="1">_xll.DBRW($C$1,$C$2,$C$3,$C$4,$C$6,$C$5,$C$7,J$1,J$2,$A311)</f>
        <v>0</v>
      </c>
      <c r="K311" s="43">
        <f ca="1">_xll.DBRW($C$1,$C$2,$C$3,$C$4,$C$6,$C$5,$C$7,K$1,K$2,$A311)</f>
        <v>0</v>
      </c>
      <c r="L311" s="43">
        <f ca="1">_xll.DBRW($C$1,$C$2,$C$3,$C$4,$C$6,$C$5,$C$7,L$1,L$2,$A311)</f>
        <v>0</v>
      </c>
      <c r="M311" s="43">
        <f ca="1">_xll.DBRW($C$1,$C$2,$C$3,$C$4,$C$6,$C$5,$C$7,M$1,M$2,$A311)</f>
        <v>0</v>
      </c>
      <c r="N311" s="43">
        <f ca="1">_xll.DBRW($C$1,$C$2,$C$3,$C$4,$C$6,$C$5,$C$7,N$1,N$2,$A311)</f>
        <v>0</v>
      </c>
      <c r="O311" s="43">
        <f ca="1">_xll.DBRW($C$1,$C$2,$C$3,$C$4,$C$6,$C$5,$C$7,O$1,O$2,$A311)</f>
        <v>0</v>
      </c>
      <c r="P311" s="43">
        <f ca="1">_xll.DBRW($C$1,$C$2,$C$3,$C$4,$C$6,$C$5,$C$7,P$1,P$2,$A311)</f>
        <v>0</v>
      </c>
      <c r="Q311" s="43">
        <f ca="1">_xll.DBRW($C$1,$C$2,$C$3,$C$4,$C$6,$C$5,$C$7,Q$1,Q$2,$A311)</f>
        <v>0</v>
      </c>
      <c r="R311" s="43">
        <f ca="1">_xll.DBRW($C$1,$C$2,$C$3,$C$4,$C$6,$C$5,$C$7,R$1,R$2,$A311)</f>
        <v>0</v>
      </c>
      <c r="S311" s="43">
        <f ca="1">_xll.DBRW($C$1,$C$2,$C$3,$C$4,$C$6,$C$5,$C$7,S$1,S$2,$A311)</f>
        <v>0</v>
      </c>
      <c r="T311" s="43">
        <f ca="1">_xll.DBRW($C$1,$C$2,$C$3,$C$4,$C$6,$C$5,$C$7,T$1,T$2,$A311)</f>
        <v>0</v>
      </c>
      <c r="U311" s="43">
        <f ca="1">_xll.DBRW($C$1,$C$2,$C$3,$C$4,$C$6,$C$5,$C$7,U$1,U$2,$A311)</f>
        <v>0</v>
      </c>
      <c r="V311" s="43">
        <f ca="1">_xll.DBRW($C$1,$C$2,$C$3,$C$4,$C$6,$C$5,$C$7,V$1,V$2,$A311)</f>
        <v>0</v>
      </c>
      <c r="W311" s="43">
        <f ca="1">_xll.DBRW($C$1,$C$2,$C$3,$C$4,$C$6,$C$5,$C$7,W$1,W$2,$A311)</f>
        <v>0</v>
      </c>
      <c r="X311" s="43">
        <f ca="1">_xll.DBRW($C$1,$C$2,$C$3,$C$4,$C$6,$C$5,$C$7,X$1,X$2,$A311)</f>
        <v>0</v>
      </c>
      <c r="Y311" s="43">
        <f ca="1">_xll.DBRW($C$1,$C$2,$C$3,$C$4,$C$6,$C$5,$C$7,Y$1,Y$2,$A311)</f>
        <v>0</v>
      </c>
      <c r="Z311" s="43">
        <f ca="1">_xll.DBRW($C$1,$C$2,$C$3,$C$4,$C$6,$C$5,$C$7,Z$1,Z$2,$A311)</f>
        <v>0</v>
      </c>
      <c r="AA311" s="43">
        <f ca="1">_xll.DBRW($C$1,$C$2,$C$3,$C$4,$C$6,$C$5,$C$7,AA$1,AA$2,$A311)</f>
        <v>0</v>
      </c>
      <c r="AB311" s="43">
        <f ca="1">_xll.DBRW($C$1,$C$2,$C$3,$C$4,$C$6,$C$5,$C$7,AB$1,AB$2,$A311)</f>
        <v>0</v>
      </c>
      <c r="AC311" s="43">
        <f ca="1">_xll.DBRW($C$1,$C$2,$C$3,$C$4,$C$6,$C$5,$C$7,AC$1,AC$2,$A311)</f>
        <v>0</v>
      </c>
      <c r="AD311" s="43">
        <f ca="1">_xll.DBRW($C$1,$C$2,$C$3,$C$4,$C$6,$C$5,$C$7,AD$1,AD$2,$A311)</f>
        <v>0</v>
      </c>
      <c r="AE311" s="43">
        <f ca="1">_xll.DBRW($C$1,$C$2,$C$3,$C$4,$C$6,$C$5,$C$7,AE$1,AE$2,$A311)</f>
        <v>0</v>
      </c>
      <c r="AF311" s="43">
        <f ca="1">_xll.DBRW($C$1,$C$2,$C$3,$C$4,$C$6,$C$5,$C$7,AF$1,AF$2,$A311)</f>
        <v>0</v>
      </c>
      <c r="AG311" s="43">
        <f ca="1">_xll.DBRW($C$1,$C$2,$C$3,$C$4,$C$6,$C$5,$C$7,AG$1,AG$2,$A311)</f>
        <v>0</v>
      </c>
      <c r="AH311" s="43">
        <f ca="1">_xll.DBRW($C$1,$C$2,$C$3,$C$4,$C$6,$C$5,$C$7,AH$1,AH$2,$A311)</f>
        <v>0</v>
      </c>
      <c r="AI311" s="43">
        <f ca="1">_xll.DBRW($C$1,$C$2,$C$3,$C$4,$C$6,$C$5,$C$7,AI$1,AI$2,$A311)</f>
        <v>0</v>
      </c>
      <c r="AJ311" s="43">
        <f ca="1">_xll.DBRW($C$1,$C$2,$C$3,$C$4,$C$6,$C$5,$C$7,AJ$1,AJ$2,$A311)</f>
        <v>0</v>
      </c>
      <c r="AK311" s="43">
        <f ca="1">_xll.DBRW($C$1,$C$2,$C$3,$C$4,$C$6,$C$5,$C$7,AK$1,AK$2,$A311)</f>
        <v>0</v>
      </c>
      <c r="AL311" s="43">
        <f ca="1">_xll.DBRW($C$1,$C$2,$C$3,$C$4,$C$6,$C$5,$C$7,AL$1,AL$2,$A311)</f>
        <v>0</v>
      </c>
      <c r="AM311" s="43">
        <f ca="1">_xll.DBRW($C$1,$C$2,$C$3,$C$4,$C$6,$C$5,$C$7,AM$1,AM$2,$A311)</f>
        <v>0</v>
      </c>
      <c r="AN311" s="43">
        <f ca="1">_xll.DBRW($C$1,$C$2,$C$3,$C$4,$C$6,$C$5,$C$7,AN$1,AN$2,$A311)</f>
        <v>0</v>
      </c>
      <c r="AO311" s="43">
        <f ca="1">_xll.DBRW($C$1,$C$2,$C$3,$C$4,$C$6,$C$5,$C$7,AO$1,AO$2,$A311)</f>
        <v>0</v>
      </c>
      <c r="AP311" s="43">
        <f ca="1">_xll.DBRW($C$1,$C$2,$C$3,$C$4,$C$6,$C$5,$C$7,AP$1,AP$2,$A311)</f>
        <v>0</v>
      </c>
      <c r="AQ311" s="43">
        <f ca="1">_xll.DBRW($C$1,$C$2,$C$3,$C$4,$C$6,$C$5,$C$7,AQ$1,AQ$2,$A311)</f>
        <v>0</v>
      </c>
      <c r="AR311" s="43">
        <f ca="1">_xll.DBRW($C$1,$C$2,$C$3,$C$4,$C$6,$C$5,$C$7,AR$1,AR$2,$A311)</f>
        <v>0</v>
      </c>
      <c r="AS311" s="43">
        <f ca="1">_xll.DBRW($C$1,$C$2,$C$3,$C$4,$C$6,$C$5,$C$7,AS$1,AS$2,$A311)</f>
        <v>0</v>
      </c>
      <c r="AT311" s="43">
        <f ca="1">_xll.DBRW($C$1,$C$2,$C$3,$C$4,$C$6,$C$5,$C$7,AT$1,AT$2,$A311)</f>
        <v>0</v>
      </c>
      <c r="AU311" s="43">
        <f ca="1">_xll.DBRW($C$1,$C$2,$C$3,$C$4,$C$6,$C$5,$C$7,AU$1,AU$2,$A311)</f>
        <v>0</v>
      </c>
    </row>
    <row r="312" spans="1:47" ht="15.75" collapsed="1">
      <c r="A312" s="1" t="s">
        <v>127</v>
      </c>
      <c r="C312" s="141"/>
      <c r="E312" s="15" t="s">
        <v>80</v>
      </c>
      <c r="F312" s="44">
        <f t="shared" ref="F312:AU312" ca="1" si="165">SUM(F309:F311)</f>
        <v>0</v>
      </c>
      <c r="G312" s="44">
        <f t="shared" ca="1" si="165"/>
        <v>0</v>
      </c>
      <c r="H312" s="44">
        <f t="shared" ca="1" si="165"/>
        <v>0</v>
      </c>
      <c r="I312" s="44">
        <f t="shared" ca="1" si="165"/>
        <v>0</v>
      </c>
      <c r="J312" s="44">
        <f t="shared" ca="1" si="165"/>
        <v>0</v>
      </c>
      <c r="K312" s="44">
        <f t="shared" ca="1" si="165"/>
        <v>0</v>
      </c>
      <c r="L312" s="44">
        <f t="shared" ca="1" si="165"/>
        <v>0</v>
      </c>
      <c r="M312" s="44">
        <f t="shared" ca="1" si="165"/>
        <v>0</v>
      </c>
      <c r="N312" s="44">
        <f t="shared" ca="1" si="165"/>
        <v>0</v>
      </c>
      <c r="O312" s="44">
        <f t="shared" ca="1" si="165"/>
        <v>0</v>
      </c>
      <c r="P312" s="44">
        <f t="shared" ca="1" si="165"/>
        <v>0</v>
      </c>
      <c r="Q312" s="44">
        <f t="shared" ca="1" si="165"/>
        <v>0</v>
      </c>
      <c r="R312" s="44">
        <f t="shared" ca="1" si="165"/>
        <v>0</v>
      </c>
      <c r="S312" s="44">
        <f t="shared" ca="1" si="165"/>
        <v>0</v>
      </c>
      <c r="T312" s="44">
        <f t="shared" ca="1" si="165"/>
        <v>0</v>
      </c>
      <c r="U312" s="44">
        <f t="shared" ca="1" si="165"/>
        <v>0</v>
      </c>
      <c r="V312" s="44">
        <f t="shared" ca="1" si="165"/>
        <v>0</v>
      </c>
      <c r="W312" s="44">
        <f t="shared" ca="1" si="165"/>
        <v>0</v>
      </c>
      <c r="X312" s="44">
        <f t="shared" ca="1" si="165"/>
        <v>0</v>
      </c>
      <c r="Y312" s="44">
        <f t="shared" ca="1" si="165"/>
        <v>0</v>
      </c>
      <c r="Z312" s="44">
        <f t="shared" ca="1" si="165"/>
        <v>0</v>
      </c>
      <c r="AA312" s="44">
        <f t="shared" ca="1" si="165"/>
        <v>0</v>
      </c>
      <c r="AB312" s="44">
        <f t="shared" ca="1" si="165"/>
        <v>0</v>
      </c>
      <c r="AC312" s="44">
        <f t="shared" ca="1" si="165"/>
        <v>0</v>
      </c>
      <c r="AD312" s="44">
        <f t="shared" ca="1" si="165"/>
        <v>0</v>
      </c>
      <c r="AE312" s="44">
        <f t="shared" ca="1" si="165"/>
        <v>0</v>
      </c>
      <c r="AF312" s="44">
        <f t="shared" ca="1" si="165"/>
        <v>0</v>
      </c>
      <c r="AG312" s="44">
        <f t="shared" ca="1" si="165"/>
        <v>0</v>
      </c>
      <c r="AH312" s="44">
        <f t="shared" ca="1" si="165"/>
        <v>0</v>
      </c>
      <c r="AI312" s="44">
        <f t="shared" ca="1" si="165"/>
        <v>0</v>
      </c>
      <c r="AJ312" s="44">
        <f t="shared" ca="1" si="165"/>
        <v>0</v>
      </c>
      <c r="AK312" s="44">
        <f t="shared" ca="1" si="165"/>
        <v>0</v>
      </c>
      <c r="AL312" s="44">
        <f t="shared" ca="1" si="165"/>
        <v>0</v>
      </c>
      <c r="AM312" s="44">
        <f t="shared" ca="1" si="165"/>
        <v>0</v>
      </c>
      <c r="AN312" s="44">
        <f t="shared" ca="1" si="165"/>
        <v>0</v>
      </c>
      <c r="AO312" s="44">
        <f t="shared" ca="1" si="165"/>
        <v>0</v>
      </c>
      <c r="AP312" s="44">
        <f t="shared" ca="1" si="165"/>
        <v>0</v>
      </c>
      <c r="AQ312" s="44">
        <f t="shared" ca="1" si="165"/>
        <v>0</v>
      </c>
      <c r="AR312" s="44">
        <f t="shared" ca="1" si="165"/>
        <v>0</v>
      </c>
      <c r="AS312" s="44">
        <f t="shared" ca="1" si="165"/>
        <v>0</v>
      </c>
      <c r="AT312" s="44">
        <f t="shared" ca="1" si="165"/>
        <v>0</v>
      </c>
      <c r="AU312" s="44">
        <f t="shared" ca="1" si="165"/>
        <v>0</v>
      </c>
    </row>
    <row r="313" spans="1:47" ht="15.75" hidden="1" customHeight="1" outlineLevel="1">
      <c r="A313" s="1" t="s">
        <v>336</v>
      </c>
      <c r="C313" s="141"/>
      <c r="E313" s="9" t="str">
        <f ca="1">_xll.DBRW(Server&amp;"}ElementAttributes_Indicator",A313,"code_English")</f>
        <v>Nb_Maintenance_team - Number of Maintenance collaborators</v>
      </c>
      <c r="F313" s="43">
        <f ca="1">_xll.DBRW($C$1,$C$2,$C$3,$C$4,$C$6,$C$5,$C$7,F$1,F$2,$A313)</f>
        <v>0</v>
      </c>
      <c r="G313" s="43">
        <f ca="1">_xll.DBRW($C$1,$C$2,$C$3,$C$4,$C$6,$C$5,$C$7,G$1,G$2,$A313)</f>
        <v>0</v>
      </c>
      <c r="H313" s="43">
        <f ca="1">_xll.DBRW($C$1,$C$2,$C$3,$C$4,$C$6,$C$5,$C$7,H$1,H$2,$A313)</f>
        <v>0</v>
      </c>
      <c r="I313" s="43">
        <f ca="1">_xll.DBRW($C$1,$C$2,$C$3,$C$4,$C$6,$C$5,$C$7,I$1,I$2,$A313)</f>
        <v>0</v>
      </c>
      <c r="J313" s="43">
        <f ca="1">_xll.DBRW($C$1,$C$2,$C$3,$C$4,$C$6,$C$5,$C$7,J$1,J$2,$A313)</f>
        <v>0</v>
      </c>
      <c r="K313" s="43">
        <f ca="1">_xll.DBRW($C$1,$C$2,$C$3,$C$4,$C$6,$C$5,$C$7,K$1,K$2,$A313)</f>
        <v>0</v>
      </c>
      <c r="L313" s="43">
        <f ca="1">_xll.DBRW($C$1,$C$2,$C$3,$C$4,$C$6,$C$5,$C$7,L$1,L$2,$A313)</f>
        <v>0</v>
      </c>
      <c r="M313" s="43">
        <f ca="1">_xll.DBRW($C$1,$C$2,$C$3,$C$4,$C$6,$C$5,$C$7,M$1,M$2,$A313)</f>
        <v>0</v>
      </c>
      <c r="N313" s="43">
        <f ca="1">_xll.DBRW($C$1,$C$2,$C$3,$C$4,$C$6,$C$5,$C$7,N$1,N$2,$A313)</f>
        <v>0</v>
      </c>
      <c r="O313" s="43">
        <f ca="1">_xll.DBRW($C$1,$C$2,$C$3,$C$4,$C$6,$C$5,$C$7,O$1,O$2,$A313)</f>
        <v>0</v>
      </c>
      <c r="P313" s="43">
        <f ca="1">_xll.DBRW($C$1,$C$2,$C$3,$C$4,$C$6,$C$5,$C$7,P$1,P$2,$A313)</f>
        <v>0</v>
      </c>
      <c r="Q313" s="43">
        <f ca="1">_xll.DBRW($C$1,$C$2,$C$3,$C$4,$C$6,$C$5,$C$7,Q$1,Q$2,$A313)</f>
        <v>0</v>
      </c>
      <c r="R313" s="43">
        <f ca="1">_xll.DBRW($C$1,$C$2,$C$3,$C$4,$C$6,$C$5,$C$7,R$1,R$2,$A313)</f>
        <v>0</v>
      </c>
      <c r="S313" s="43">
        <f ca="1">_xll.DBRW($C$1,$C$2,$C$3,$C$4,$C$6,$C$5,$C$7,S$1,S$2,$A313)</f>
        <v>0</v>
      </c>
      <c r="T313" s="43">
        <f ca="1">_xll.DBRW($C$1,$C$2,$C$3,$C$4,$C$6,$C$5,$C$7,T$1,T$2,$A313)</f>
        <v>0</v>
      </c>
      <c r="U313" s="43">
        <f ca="1">_xll.DBRW($C$1,$C$2,$C$3,$C$4,$C$6,$C$5,$C$7,U$1,U$2,$A313)</f>
        <v>0</v>
      </c>
      <c r="V313" s="43">
        <f ca="1">_xll.DBRW($C$1,$C$2,$C$3,$C$4,$C$6,$C$5,$C$7,V$1,V$2,$A313)</f>
        <v>0</v>
      </c>
      <c r="W313" s="43">
        <f ca="1">_xll.DBRW($C$1,$C$2,$C$3,$C$4,$C$6,$C$5,$C$7,W$1,W$2,$A313)</f>
        <v>0</v>
      </c>
      <c r="X313" s="43">
        <f ca="1">_xll.DBRW($C$1,$C$2,$C$3,$C$4,$C$6,$C$5,$C$7,X$1,X$2,$A313)</f>
        <v>0</v>
      </c>
      <c r="Y313" s="43">
        <f ca="1">_xll.DBRW($C$1,$C$2,$C$3,$C$4,$C$6,$C$5,$C$7,Y$1,Y$2,$A313)</f>
        <v>0</v>
      </c>
      <c r="Z313" s="43">
        <f ca="1">_xll.DBRW($C$1,$C$2,$C$3,$C$4,$C$6,$C$5,$C$7,Z$1,Z$2,$A313)</f>
        <v>0</v>
      </c>
      <c r="AA313" s="43">
        <f ca="1">_xll.DBRW($C$1,$C$2,$C$3,$C$4,$C$6,$C$5,$C$7,AA$1,AA$2,$A313)</f>
        <v>0</v>
      </c>
      <c r="AB313" s="43">
        <f ca="1">_xll.DBRW($C$1,$C$2,$C$3,$C$4,$C$6,$C$5,$C$7,AB$1,AB$2,$A313)</f>
        <v>0</v>
      </c>
      <c r="AC313" s="43">
        <f ca="1">_xll.DBRW($C$1,$C$2,$C$3,$C$4,$C$6,$C$5,$C$7,AC$1,AC$2,$A313)</f>
        <v>0</v>
      </c>
      <c r="AD313" s="43">
        <f ca="1">_xll.DBRW($C$1,$C$2,$C$3,$C$4,$C$6,$C$5,$C$7,AD$1,AD$2,$A313)</f>
        <v>0</v>
      </c>
      <c r="AE313" s="43">
        <f ca="1">_xll.DBRW($C$1,$C$2,$C$3,$C$4,$C$6,$C$5,$C$7,AE$1,AE$2,$A313)</f>
        <v>0</v>
      </c>
      <c r="AF313" s="43">
        <f ca="1">_xll.DBRW($C$1,$C$2,$C$3,$C$4,$C$6,$C$5,$C$7,AF$1,AF$2,$A313)</f>
        <v>0</v>
      </c>
      <c r="AG313" s="43">
        <f ca="1">_xll.DBRW($C$1,$C$2,$C$3,$C$4,$C$6,$C$5,$C$7,AG$1,AG$2,$A313)</f>
        <v>0</v>
      </c>
      <c r="AH313" s="43">
        <f ca="1">_xll.DBRW($C$1,$C$2,$C$3,$C$4,$C$6,$C$5,$C$7,AH$1,AH$2,$A313)</f>
        <v>0</v>
      </c>
      <c r="AI313" s="43">
        <f ca="1">_xll.DBRW($C$1,$C$2,$C$3,$C$4,$C$6,$C$5,$C$7,AI$1,AI$2,$A313)</f>
        <v>0</v>
      </c>
      <c r="AJ313" s="43">
        <f ca="1">_xll.DBRW($C$1,$C$2,$C$3,$C$4,$C$6,$C$5,$C$7,AJ$1,AJ$2,$A313)</f>
        <v>0</v>
      </c>
      <c r="AK313" s="43">
        <f ca="1">_xll.DBRW($C$1,$C$2,$C$3,$C$4,$C$6,$C$5,$C$7,AK$1,AK$2,$A313)</f>
        <v>0</v>
      </c>
      <c r="AL313" s="43">
        <f ca="1">_xll.DBRW($C$1,$C$2,$C$3,$C$4,$C$6,$C$5,$C$7,AL$1,AL$2,$A313)</f>
        <v>0</v>
      </c>
      <c r="AM313" s="43">
        <f ca="1">_xll.DBRW($C$1,$C$2,$C$3,$C$4,$C$6,$C$5,$C$7,AM$1,AM$2,$A313)</f>
        <v>0</v>
      </c>
      <c r="AN313" s="43">
        <f ca="1">_xll.DBRW($C$1,$C$2,$C$3,$C$4,$C$6,$C$5,$C$7,AN$1,AN$2,$A313)</f>
        <v>0</v>
      </c>
      <c r="AO313" s="43">
        <f ca="1">_xll.DBRW($C$1,$C$2,$C$3,$C$4,$C$6,$C$5,$C$7,AO$1,AO$2,$A313)</f>
        <v>0</v>
      </c>
      <c r="AP313" s="43">
        <f ca="1">_xll.DBRW($C$1,$C$2,$C$3,$C$4,$C$6,$C$5,$C$7,AP$1,AP$2,$A313)</f>
        <v>0</v>
      </c>
      <c r="AQ313" s="43">
        <f ca="1">_xll.DBRW($C$1,$C$2,$C$3,$C$4,$C$6,$C$5,$C$7,AQ$1,AQ$2,$A313)</f>
        <v>0</v>
      </c>
      <c r="AR313" s="43">
        <f ca="1">_xll.DBRW($C$1,$C$2,$C$3,$C$4,$C$6,$C$5,$C$7,AR$1,AR$2,$A313)</f>
        <v>0</v>
      </c>
      <c r="AS313" s="43">
        <f ca="1">_xll.DBRW($C$1,$C$2,$C$3,$C$4,$C$6,$C$5,$C$7,AS$1,AS$2,$A313)</f>
        <v>0</v>
      </c>
      <c r="AT313" s="43">
        <f ca="1">_xll.DBRW($C$1,$C$2,$C$3,$C$4,$C$6,$C$5,$C$7,AT$1,AT$2,$A313)</f>
        <v>0</v>
      </c>
      <c r="AU313" s="43">
        <f ca="1">_xll.DBRW($C$1,$C$2,$C$3,$C$4,$C$6,$C$5,$C$7,AU$1,AU$2,$A313)</f>
        <v>0</v>
      </c>
    </row>
    <row r="314" spans="1:47" ht="15.75" hidden="1" customHeight="1" outlineLevel="1">
      <c r="A314" s="1" t="s">
        <v>349</v>
      </c>
      <c r="C314" s="141"/>
      <c r="E314" s="9" t="str">
        <f ca="1">_xll.DBRW(Server&amp;"}ElementAttributes_Indicator",A314,"code_English")</f>
        <v>Nb_FTE_Maintenance_Technicians - Number of FTE Technicians</v>
      </c>
      <c r="F314" s="43">
        <f ca="1">_xll.DBRW($C$1,$C$2,$C$3,$C$4,$C$6,$C$5,$C$7,F$1,F$2,$A314)</f>
        <v>0</v>
      </c>
      <c r="G314" s="43">
        <f ca="1">_xll.DBRW($C$1,$C$2,$C$3,$C$4,$C$6,$C$5,$C$7,G$1,G$2,$A314)</f>
        <v>0</v>
      </c>
      <c r="H314" s="43">
        <f ca="1">_xll.DBRW($C$1,$C$2,$C$3,$C$4,$C$6,$C$5,$C$7,H$1,H$2,$A314)</f>
        <v>0</v>
      </c>
      <c r="I314" s="43">
        <f ca="1">_xll.DBRW($C$1,$C$2,$C$3,$C$4,$C$6,$C$5,$C$7,I$1,I$2,$A314)</f>
        <v>0</v>
      </c>
      <c r="J314" s="43">
        <f ca="1">_xll.DBRW($C$1,$C$2,$C$3,$C$4,$C$6,$C$5,$C$7,J$1,J$2,$A314)</f>
        <v>0</v>
      </c>
      <c r="K314" s="43">
        <f ca="1">_xll.DBRW($C$1,$C$2,$C$3,$C$4,$C$6,$C$5,$C$7,K$1,K$2,$A314)</f>
        <v>0</v>
      </c>
      <c r="L314" s="43">
        <f ca="1">_xll.DBRW($C$1,$C$2,$C$3,$C$4,$C$6,$C$5,$C$7,L$1,L$2,$A314)</f>
        <v>0</v>
      </c>
      <c r="M314" s="43">
        <f ca="1">_xll.DBRW($C$1,$C$2,$C$3,$C$4,$C$6,$C$5,$C$7,M$1,M$2,$A314)</f>
        <v>0</v>
      </c>
      <c r="N314" s="43">
        <f ca="1">_xll.DBRW($C$1,$C$2,$C$3,$C$4,$C$6,$C$5,$C$7,N$1,N$2,$A314)</f>
        <v>0</v>
      </c>
      <c r="O314" s="43">
        <f ca="1">_xll.DBRW($C$1,$C$2,$C$3,$C$4,$C$6,$C$5,$C$7,O$1,O$2,$A314)</f>
        <v>0</v>
      </c>
      <c r="P314" s="43">
        <f ca="1">_xll.DBRW($C$1,$C$2,$C$3,$C$4,$C$6,$C$5,$C$7,P$1,P$2,$A314)</f>
        <v>0</v>
      </c>
      <c r="Q314" s="43">
        <f ca="1">_xll.DBRW($C$1,$C$2,$C$3,$C$4,$C$6,$C$5,$C$7,Q$1,Q$2,$A314)</f>
        <v>0</v>
      </c>
      <c r="R314" s="43">
        <f ca="1">_xll.DBRW($C$1,$C$2,$C$3,$C$4,$C$6,$C$5,$C$7,R$1,R$2,$A314)</f>
        <v>0</v>
      </c>
      <c r="S314" s="43">
        <f ca="1">_xll.DBRW($C$1,$C$2,$C$3,$C$4,$C$6,$C$5,$C$7,S$1,S$2,$A314)</f>
        <v>0</v>
      </c>
      <c r="T314" s="43">
        <f ca="1">_xll.DBRW($C$1,$C$2,$C$3,$C$4,$C$6,$C$5,$C$7,T$1,T$2,$A314)</f>
        <v>0</v>
      </c>
      <c r="U314" s="43">
        <f ca="1">_xll.DBRW($C$1,$C$2,$C$3,$C$4,$C$6,$C$5,$C$7,U$1,U$2,$A314)</f>
        <v>0</v>
      </c>
      <c r="V314" s="43">
        <f ca="1">_xll.DBRW($C$1,$C$2,$C$3,$C$4,$C$6,$C$5,$C$7,V$1,V$2,$A314)</f>
        <v>0</v>
      </c>
      <c r="W314" s="43">
        <f ca="1">_xll.DBRW($C$1,$C$2,$C$3,$C$4,$C$6,$C$5,$C$7,W$1,W$2,$A314)</f>
        <v>0</v>
      </c>
      <c r="X314" s="43">
        <f ca="1">_xll.DBRW($C$1,$C$2,$C$3,$C$4,$C$6,$C$5,$C$7,X$1,X$2,$A314)</f>
        <v>0</v>
      </c>
      <c r="Y314" s="43">
        <f ca="1">_xll.DBRW($C$1,$C$2,$C$3,$C$4,$C$6,$C$5,$C$7,Y$1,Y$2,$A314)</f>
        <v>0</v>
      </c>
      <c r="Z314" s="43">
        <f ca="1">_xll.DBRW($C$1,$C$2,$C$3,$C$4,$C$6,$C$5,$C$7,Z$1,Z$2,$A314)</f>
        <v>0</v>
      </c>
      <c r="AA314" s="43">
        <f ca="1">_xll.DBRW($C$1,$C$2,$C$3,$C$4,$C$6,$C$5,$C$7,AA$1,AA$2,$A314)</f>
        <v>0</v>
      </c>
      <c r="AB314" s="43">
        <f ca="1">_xll.DBRW($C$1,$C$2,$C$3,$C$4,$C$6,$C$5,$C$7,AB$1,AB$2,$A314)</f>
        <v>0</v>
      </c>
      <c r="AC314" s="43">
        <f ca="1">_xll.DBRW($C$1,$C$2,$C$3,$C$4,$C$6,$C$5,$C$7,AC$1,AC$2,$A314)</f>
        <v>0</v>
      </c>
      <c r="AD314" s="43">
        <f ca="1">_xll.DBRW($C$1,$C$2,$C$3,$C$4,$C$6,$C$5,$C$7,AD$1,AD$2,$A314)</f>
        <v>0</v>
      </c>
      <c r="AE314" s="43">
        <f ca="1">_xll.DBRW($C$1,$C$2,$C$3,$C$4,$C$6,$C$5,$C$7,AE$1,AE$2,$A314)</f>
        <v>0</v>
      </c>
      <c r="AF314" s="43">
        <f ca="1">_xll.DBRW($C$1,$C$2,$C$3,$C$4,$C$6,$C$5,$C$7,AF$1,AF$2,$A314)</f>
        <v>0</v>
      </c>
      <c r="AG314" s="43">
        <f ca="1">_xll.DBRW($C$1,$C$2,$C$3,$C$4,$C$6,$C$5,$C$7,AG$1,AG$2,$A314)</f>
        <v>0</v>
      </c>
      <c r="AH314" s="43">
        <f ca="1">_xll.DBRW($C$1,$C$2,$C$3,$C$4,$C$6,$C$5,$C$7,AH$1,AH$2,$A314)</f>
        <v>0</v>
      </c>
      <c r="AI314" s="43">
        <f ca="1">_xll.DBRW($C$1,$C$2,$C$3,$C$4,$C$6,$C$5,$C$7,AI$1,AI$2,$A314)</f>
        <v>0</v>
      </c>
      <c r="AJ314" s="43">
        <f ca="1">_xll.DBRW($C$1,$C$2,$C$3,$C$4,$C$6,$C$5,$C$7,AJ$1,AJ$2,$A314)</f>
        <v>0</v>
      </c>
      <c r="AK314" s="43">
        <f ca="1">_xll.DBRW($C$1,$C$2,$C$3,$C$4,$C$6,$C$5,$C$7,AK$1,AK$2,$A314)</f>
        <v>0</v>
      </c>
      <c r="AL314" s="43">
        <f ca="1">_xll.DBRW($C$1,$C$2,$C$3,$C$4,$C$6,$C$5,$C$7,AL$1,AL$2,$A314)</f>
        <v>0</v>
      </c>
      <c r="AM314" s="43">
        <f ca="1">_xll.DBRW($C$1,$C$2,$C$3,$C$4,$C$6,$C$5,$C$7,AM$1,AM$2,$A314)</f>
        <v>0</v>
      </c>
      <c r="AN314" s="43">
        <f ca="1">_xll.DBRW($C$1,$C$2,$C$3,$C$4,$C$6,$C$5,$C$7,AN$1,AN$2,$A314)</f>
        <v>0</v>
      </c>
      <c r="AO314" s="43">
        <f ca="1">_xll.DBRW($C$1,$C$2,$C$3,$C$4,$C$6,$C$5,$C$7,AO$1,AO$2,$A314)</f>
        <v>0</v>
      </c>
      <c r="AP314" s="43">
        <f ca="1">_xll.DBRW($C$1,$C$2,$C$3,$C$4,$C$6,$C$5,$C$7,AP$1,AP$2,$A314)</f>
        <v>0</v>
      </c>
      <c r="AQ314" s="43">
        <f ca="1">_xll.DBRW($C$1,$C$2,$C$3,$C$4,$C$6,$C$5,$C$7,AQ$1,AQ$2,$A314)</f>
        <v>0</v>
      </c>
      <c r="AR314" s="43">
        <f ca="1">_xll.DBRW($C$1,$C$2,$C$3,$C$4,$C$6,$C$5,$C$7,AR$1,AR$2,$A314)</f>
        <v>0</v>
      </c>
      <c r="AS314" s="43">
        <f ca="1">_xll.DBRW($C$1,$C$2,$C$3,$C$4,$C$6,$C$5,$C$7,AS$1,AS$2,$A314)</f>
        <v>0</v>
      </c>
      <c r="AT314" s="43">
        <f ca="1">_xll.DBRW($C$1,$C$2,$C$3,$C$4,$C$6,$C$5,$C$7,AT$1,AT$2,$A314)</f>
        <v>0</v>
      </c>
      <c r="AU314" s="43">
        <f ca="1">_xll.DBRW($C$1,$C$2,$C$3,$C$4,$C$6,$C$5,$C$7,AU$1,AU$2,$A314)</f>
        <v>0</v>
      </c>
    </row>
    <row r="315" spans="1:47" ht="15.75" collapsed="1">
      <c r="A315" s="1" t="s">
        <v>127</v>
      </c>
      <c r="C315" s="141"/>
      <c r="E315" s="15" t="s">
        <v>81</v>
      </c>
      <c r="F315" s="44">
        <f t="shared" ref="F315:AU315" ca="1" si="166">SUM(F313:F314)</f>
        <v>0</v>
      </c>
      <c r="G315" s="44">
        <f t="shared" ca="1" si="166"/>
        <v>0</v>
      </c>
      <c r="H315" s="44">
        <f t="shared" ca="1" si="166"/>
        <v>0</v>
      </c>
      <c r="I315" s="44">
        <f t="shared" ca="1" si="166"/>
        <v>0</v>
      </c>
      <c r="J315" s="44">
        <f t="shared" ca="1" si="166"/>
        <v>0</v>
      </c>
      <c r="K315" s="44">
        <f t="shared" ca="1" si="166"/>
        <v>0</v>
      </c>
      <c r="L315" s="44">
        <f t="shared" ca="1" si="166"/>
        <v>0</v>
      </c>
      <c r="M315" s="44">
        <f t="shared" ca="1" si="166"/>
        <v>0</v>
      </c>
      <c r="N315" s="44">
        <f t="shared" ca="1" si="166"/>
        <v>0</v>
      </c>
      <c r="O315" s="44">
        <f t="shared" ca="1" si="166"/>
        <v>0</v>
      </c>
      <c r="P315" s="44">
        <f t="shared" ca="1" si="166"/>
        <v>0</v>
      </c>
      <c r="Q315" s="44">
        <f t="shared" ca="1" si="166"/>
        <v>0</v>
      </c>
      <c r="R315" s="44">
        <f t="shared" ca="1" si="166"/>
        <v>0</v>
      </c>
      <c r="S315" s="44">
        <f t="shared" ca="1" si="166"/>
        <v>0</v>
      </c>
      <c r="T315" s="44">
        <f t="shared" ca="1" si="166"/>
        <v>0</v>
      </c>
      <c r="U315" s="44">
        <f t="shared" ca="1" si="166"/>
        <v>0</v>
      </c>
      <c r="V315" s="44">
        <f t="shared" ca="1" si="166"/>
        <v>0</v>
      </c>
      <c r="W315" s="44">
        <f t="shared" ca="1" si="166"/>
        <v>0</v>
      </c>
      <c r="X315" s="44">
        <f t="shared" ca="1" si="166"/>
        <v>0</v>
      </c>
      <c r="Y315" s="44">
        <f t="shared" ca="1" si="166"/>
        <v>0</v>
      </c>
      <c r="Z315" s="44">
        <f t="shared" ca="1" si="166"/>
        <v>0</v>
      </c>
      <c r="AA315" s="44">
        <f t="shared" ca="1" si="166"/>
        <v>0</v>
      </c>
      <c r="AB315" s="44">
        <f t="shared" ca="1" si="166"/>
        <v>0</v>
      </c>
      <c r="AC315" s="44">
        <f t="shared" ca="1" si="166"/>
        <v>0</v>
      </c>
      <c r="AD315" s="44">
        <f t="shared" ca="1" si="166"/>
        <v>0</v>
      </c>
      <c r="AE315" s="44">
        <f t="shared" ca="1" si="166"/>
        <v>0</v>
      </c>
      <c r="AF315" s="44">
        <f t="shared" ca="1" si="166"/>
        <v>0</v>
      </c>
      <c r="AG315" s="44">
        <f t="shared" ca="1" si="166"/>
        <v>0</v>
      </c>
      <c r="AH315" s="44">
        <f t="shared" ca="1" si="166"/>
        <v>0</v>
      </c>
      <c r="AI315" s="44">
        <f t="shared" ca="1" si="166"/>
        <v>0</v>
      </c>
      <c r="AJ315" s="44">
        <f t="shared" ca="1" si="166"/>
        <v>0</v>
      </c>
      <c r="AK315" s="44">
        <f t="shared" ca="1" si="166"/>
        <v>0</v>
      </c>
      <c r="AL315" s="44">
        <f t="shared" ca="1" si="166"/>
        <v>0</v>
      </c>
      <c r="AM315" s="44">
        <f t="shared" ca="1" si="166"/>
        <v>0</v>
      </c>
      <c r="AN315" s="44">
        <f t="shared" ca="1" si="166"/>
        <v>0</v>
      </c>
      <c r="AO315" s="44">
        <f t="shared" ca="1" si="166"/>
        <v>0</v>
      </c>
      <c r="AP315" s="44">
        <f t="shared" ca="1" si="166"/>
        <v>0</v>
      </c>
      <c r="AQ315" s="44">
        <f t="shared" ca="1" si="166"/>
        <v>0</v>
      </c>
      <c r="AR315" s="44">
        <f t="shared" ca="1" si="166"/>
        <v>0</v>
      </c>
      <c r="AS315" s="44">
        <f t="shared" ca="1" si="166"/>
        <v>0</v>
      </c>
      <c r="AT315" s="44">
        <f t="shared" ca="1" si="166"/>
        <v>0</v>
      </c>
      <c r="AU315" s="44">
        <f t="shared" ca="1" si="166"/>
        <v>0</v>
      </c>
    </row>
    <row r="316" spans="1:47" ht="15.75" hidden="1" customHeight="1" outlineLevel="1">
      <c r="A316" s="1" t="s">
        <v>350</v>
      </c>
      <c r="C316" s="141"/>
      <c r="E316" s="9" t="str">
        <f ca="1">_xll.DBRW(Server&amp;"}ElementAttributes_Indicator",A316,"code_English")</f>
        <v>Nb_FTE_Operations_Others - Number of FTE Other Operation Staff</v>
      </c>
      <c r="F316" s="43">
        <f ca="1">_xll.DBRW($C$1,$C$2,$C$3,$C$4,$C$6,$C$5,$C$7,F$1,F$2,$A316)</f>
        <v>0</v>
      </c>
      <c r="G316" s="43">
        <f ca="1">_xll.DBRW($C$1,$C$2,$C$3,$C$4,$C$6,$C$5,$C$7,G$1,G$2,$A316)</f>
        <v>0</v>
      </c>
      <c r="H316" s="43">
        <f ca="1">_xll.DBRW($C$1,$C$2,$C$3,$C$4,$C$6,$C$5,$C$7,H$1,H$2,$A316)</f>
        <v>0</v>
      </c>
      <c r="I316" s="43">
        <f ca="1">_xll.DBRW($C$1,$C$2,$C$3,$C$4,$C$6,$C$5,$C$7,I$1,I$2,$A316)</f>
        <v>0</v>
      </c>
      <c r="J316" s="43">
        <f ca="1">_xll.DBRW($C$1,$C$2,$C$3,$C$4,$C$6,$C$5,$C$7,J$1,J$2,$A316)</f>
        <v>0</v>
      </c>
      <c r="K316" s="43">
        <f ca="1">_xll.DBRW($C$1,$C$2,$C$3,$C$4,$C$6,$C$5,$C$7,K$1,K$2,$A316)</f>
        <v>0</v>
      </c>
      <c r="L316" s="43">
        <f ca="1">_xll.DBRW($C$1,$C$2,$C$3,$C$4,$C$6,$C$5,$C$7,L$1,L$2,$A316)</f>
        <v>0</v>
      </c>
      <c r="M316" s="43">
        <f ca="1">_xll.DBRW($C$1,$C$2,$C$3,$C$4,$C$6,$C$5,$C$7,M$1,M$2,$A316)</f>
        <v>0</v>
      </c>
      <c r="N316" s="43">
        <f ca="1">_xll.DBRW($C$1,$C$2,$C$3,$C$4,$C$6,$C$5,$C$7,N$1,N$2,$A316)</f>
        <v>0</v>
      </c>
      <c r="O316" s="43">
        <f ca="1">_xll.DBRW($C$1,$C$2,$C$3,$C$4,$C$6,$C$5,$C$7,O$1,O$2,$A316)</f>
        <v>0</v>
      </c>
      <c r="P316" s="43">
        <f ca="1">_xll.DBRW($C$1,$C$2,$C$3,$C$4,$C$6,$C$5,$C$7,P$1,P$2,$A316)</f>
        <v>0</v>
      </c>
      <c r="Q316" s="43">
        <f ca="1">_xll.DBRW($C$1,$C$2,$C$3,$C$4,$C$6,$C$5,$C$7,Q$1,Q$2,$A316)</f>
        <v>0</v>
      </c>
      <c r="R316" s="43">
        <f ca="1">_xll.DBRW($C$1,$C$2,$C$3,$C$4,$C$6,$C$5,$C$7,R$1,R$2,$A316)</f>
        <v>0</v>
      </c>
      <c r="S316" s="43">
        <f ca="1">_xll.DBRW($C$1,$C$2,$C$3,$C$4,$C$6,$C$5,$C$7,S$1,S$2,$A316)</f>
        <v>0</v>
      </c>
      <c r="T316" s="43">
        <f ca="1">_xll.DBRW($C$1,$C$2,$C$3,$C$4,$C$6,$C$5,$C$7,T$1,T$2,$A316)</f>
        <v>0</v>
      </c>
      <c r="U316" s="43">
        <f ca="1">_xll.DBRW($C$1,$C$2,$C$3,$C$4,$C$6,$C$5,$C$7,U$1,U$2,$A316)</f>
        <v>0</v>
      </c>
      <c r="V316" s="43">
        <f ca="1">_xll.DBRW($C$1,$C$2,$C$3,$C$4,$C$6,$C$5,$C$7,V$1,V$2,$A316)</f>
        <v>0</v>
      </c>
      <c r="W316" s="43">
        <f ca="1">_xll.DBRW($C$1,$C$2,$C$3,$C$4,$C$6,$C$5,$C$7,W$1,W$2,$A316)</f>
        <v>0</v>
      </c>
      <c r="X316" s="43">
        <f ca="1">_xll.DBRW($C$1,$C$2,$C$3,$C$4,$C$6,$C$5,$C$7,X$1,X$2,$A316)</f>
        <v>0</v>
      </c>
      <c r="Y316" s="43">
        <f ca="1">_xll.DBRW($C$1,$C$2,$C$3,$C$4,$C$6,$C$5,$C$7,Y$1,Y$2,$A316)</f>
        <v>0</v>
      </c>
      <c r="Z316" s="43">
        <f ca="1">_xll.DBRW($C$1,$C$2,$C$3,$C$4,$C$6,$C$5,$C$7,Z$1,Z$2,$A316)</f>
        <v>0</v>
      </c>
      <c r="AA316" s="43">
        <f ca="1">_xll.DBRW($C$1,$C$2,$C$3,$C$4,$C$6,$C$5,$C$7,AA$1,AA$2,$A316)</f>
        <v>0</v>
      </c>
      <c r="AB316" s="43">
        <f ca="1">_xll.DBRW($C$1,$C$2,$C$3,$C$4,$C$6,$C$5,$C$7,AB$1,AB$2,$A316)</f>
        <v>0</v>
      </c>
      <c r="AC316" s="43">
        <f ca="1">_xll.DBRW($C$1,$C$2,$C$3,$C$4,$C$6,$C$5,$C$7,AC$1,AC$2,$A316)</f>
        <v>0</v>
      </c>
      <c r="AD316" s="43">
        <f ca="1">_xll.DBRW($C$1,$C$2,$C$3,$C$4,$C$6,$C$5,$C$7,AD$1,AD$2,$A316)</f>
        <v>0</v>
      </c>
      <c r="AE316" s="43">
        <f ca="1">_xll.DBRW($C$1,$C$2,$C$3,$C$4,$C$6,$C$5,$C$7,AE$1,AE$2,$A316)</f>
        <v>0</v>
      </c>
      <c r="AF316" s="43">
        <f ca="1">_xll.DBRW($C$1,$C$2,$C$3,$C$4,$C$6,$C$5,$C$7,AF$1,AF$2,$A316)</f>
        <v>0</v>
      </c>
      <c r="AG316" s="43">
        <f ca="1">_xll.DBRW($C$1,$C$2,$C$3,$C$4,$C$6,$C$5,$C$7,AG$1,AG$2,$A316)</f>
        <v>0</v>
      </c>
      <c r="AH316" s="43">
        <f ca="1">_xll.DBRW($C$1,$C$2,$C$3,$C$4,$C$6,$C$5,$C$7,AH$1,AH$2,$A316)</f>
        <v>0</v>
      </c>
      <c r="AI316" s="43">
        <f ca="1">_xll.DBRW($C$1,$C$2,$C$3,$C$4,$C$6,$C$5,$C$7,AI$1,AI$2,$A316)</f>
        <v>0</v>
      </c>
      <c r="AJ316" s="43">
        <f ca="1">_xll.DBRW($C$1,$C$2,$C$3,$C$4,$C$6,$C$5,$C$7,AJ$1,AJ$2,$A316)</f>
        <v>0</v>
      </c>
      <c r="AK316" s="43">
        <f ca="1">_xll.DBRW($C$1,$C$2,$C$3,$C$4,$C$6,$C$5,$C$7,AK$1,AK$2,$A316)</f>
        <v>0</v>
      </c>
      <c r="AL316" s="43">
        <f ca="1">_xll.DBRW($C$1,$C$2,$C$3,$C$4,$C$6,$C$5,$C$7,AL$1,AL$2,$A316)</f>
        <v>0</v>
      </c>
      <c r="AM316" s="43">
        <f ca="1">_xll.DBRW($C$1,$C$2,$C$3,$C$4,$C$6,$C$5,$C$7,AM$1,AM$2,$A316)</f>
        <v>0</v>
      </c>
      <c r="AN316" s="43">
        <f ca="1">_xll.DBRW($C$1,$C$2,$C$3,$C$4,$C$6,$C$5,$C$7,AN$1,AN$2,$A316)</f>
        <v>0</v>
      </c>
      <c r="AO316" s="43">
        <f ca="1">_xll.DBRW($C$1,$C$2,$C$3,$C$4,$C$6,$C$5,$C$7,AO$1,AO$2,$A316)</f>
        <v>0</v>
      </c>
      <c r="AP316" s="43">
        <f ca="1">_xll.DBRW($C$1,$C$2,$C$3,$C$4,$C$6,$C$5,$C$7,AP$1,AP$2,$A316)</f>
        <v>0</v>
      </c>
      <c r="AQ316" s="43">
        <f ca="1">_xll.DBRW($C$1,$C$2,$C$3,$C$4,$C$6,$C$5,$C$7,AQ$1,AQ$2,$A316)</f>
        <v>0</v>
      </c>
      <c r="AR316" s="43">
        <f ca="1">_xll.DBRW($C$1,$C$2,$C$3,$C$4,$C$6,$C$5,$C$7,AR$1,AR$2,$A316)</f>
        <v>0</v>
      </c>
      <c r="AS316" s="43">
        <f ca="1">_xll.DBRW($C$1,$C$2,$C$3,$C$4,$C$6,$C$5,$C$7,AS$1,AS$2,$A316)</f>
        <v>0</v>
      </c>
      <c r="AT316" s="43">
        <f ca="1">_xll.DBRW($C$1,$C$2,$C$3,$C$4,$C$6,$C$5,$C$7,AT$1,AT$2,$A316)</f>
        <v>0</v>
      </c>
      <c r="AU316" s="43">
        <f ca="1">_xll.DBRW($C$1,$C$2,$C$3,$C$4,$C$6,$C$5,$C$7,AU$1,AU$2,$A316)</f>
        <v>0</v>
      </c>
    </row>
    <row r="317" spans="1:47" ht="15.75" collapsed="1">
      <c r="A317" s="1" t="s">
        <v>127</v>
      </c>
      <c r="C317" s="141"/>
      <c r="E317" s="81" t="s">
        <v>82</v>
      </c>
      <c r="F317" s="44">
        <f t="shared" ref="F317:AU317" ca="1" si="167">SUM(F316)</f>
        <v>0</v>
      </c>
      <c r="G317" s="44">
        <f t="shared" ca="1" si="167"/>
        <v>0</v>
      </c>
      <c r="H317" s="44">
        <f t="shared" ca="1" si="167"/>
        <v>0</v>
      </c>
      <c r="I317" s="44">
        <f t="shared" ca="1" si="167"/>
        <v>0</v>
      </c>
      <c r="J317" s="44">
        <f t="shared" ca="1" si="167"/>
        <v>0</v>
      </c>
      <c r="K317" s="44">
        <f t="shared" ca="1" si="167"/>
        <v>0</v>
      </c>
      <c r="L317" s="44">
        <f t="shared" ca="1" si="167"/>
        <v>0</v>
      </c>
      <c r="M317" s="44">
        <f t="shared" ca="1" si="167"/>
        <v>0</v>
      </c>
      <c r="N317" s="44">
        <f t="shared" ca="1" si="167"/>
        <v>0</v>
      </c>
      <c r="O317" s="44">
        <f t="shared" ca="1" si="167"/>
        <v>0</v>
      </c>
      <c r="P317" s="44">
        <f t="shared" ca="1" si="167"/>
        <v>0</v>
      </c>
      <c r="Q317" s="44">
        <f t="shared" ca="1" si="167"/>
        <v>0</v>
      </c>
      <c r="R317" s="44">
        <f t="shared" ca="1" si="167"/>
        <v>0</v>
      </c>
      <c r="S317" s="44">
        <f t="shared" ca="1" si="167"/>
        <v>0</v>
      </c>
      <c r="T317" s="44">
        <f t="shared" ca="1" si="167"/>
        <v>0</v>
      </c>
      <c r="U317" s="44">
        <f t="shared" ca="1" si="167"/>
        <v>0</v>
      </c>
      <c r="V317" s="44">
        <f t="shared" ca="1" si="167"/>
        <v>0</v>
      </c>
      <c r="W317" s="44">
        <f t="shared" ca="1" si="167"/>
        <v>0</v>
      </c>
      <c r="X317" s="44">
        <f t="shared" ca="1" si="167"/>
        <v>0</v>
      </c>
      <c r="Y317" s="44">
        <f t="shared" ca="1" si="167"/>
        <v>0</v>
      </c>
      <c r="Z317" s="44">
        <f t="shared" ca="1" si="167"/>
        <v>0</v>
      </c>
      <c r="AA317" s="44">
        <f t="shared" ca="1" si="167"/>
        <v>0</v>
      </c>
      <c r="AB317" s="44">
        <f t="shared" ca="1" si="167"/>
        <v>0</v>
      </c>
      <c r="AC317" s="44">
        <f t="shared" ca="1" si="167"/>
        <v>0</v>
      </c>
      <c r="AD317" s="44">
        <f t="shared" ca="1" si="167"/>
        <v>0</v>
      </c>
      <c r="AE317" s="44">
        <f t="shared" ca="1" si="167"/>
        <v>0</v>
      </c>
      <c r="AF317" s="44">
        <f t="shared" ca="1" si="167"/>
        <v>0</v>
      </c>
      <c r="AG317" s="44">
        <f t="shared" ca="1" si="167"/>
        <v>0</v>
      </c>
      <c r="AH317" s="44">
        <f t="shared" ca="1" si="167"/>
        <v>0</v>
      </c>
      <c r="AI317" s="44">
        <f t="shared" ca="1" si="167"/>
        <v>0</v>
      </c>
      <c r="AJ317" s="44">
        <f t="shared" ca="1" si="167"/>
        <v>0</v>
      </c>
      <c r="AK317" s="44">
        <f t="shared" ca="1" si="167"/>
        <v>0</v>
      </c>
      <c r="AL317" s="44">
        <f t="shared" ca="1" si="167"/>
        <v>0</v>
      </c>
      <c r="AM317" s="44">
        <f t="shared" ca="1" si="167"/>
        <v>0</v>
      </c>
      <c r="AN317" s="44">
        <f t="shared" ca="1" si="167"/>
        <v>0</v>
      </c>
      <c r="AO317" s="44">
        <f t="shared" ca="1" si="167"/>
        <v>0</v>
      </c>
      <c r="AP317" s="44">
        <f t="shared" ca="1" si="167"/>
        <v>0</v>
      </c>
      <c r="AQ317" s="44">
        <f t="shared" ca="1" si="167"/>
        <v>0</v>
      </c>
      <c r="AR317" s="44">
        <f t="shared" ca="1" si="167"/>
        <v>0</v>
      </c>
      <c r="AS317" s="44">
        <f t="shared" ca="1" si="167"/>
        <v>0</v>
      </c>
      <c r="AT317" s="44">
        <f t="shared" ca="1" si="167"/>
        <v>0</v>
      </c>
      <c r="AU317" s="44">
        <f t="shared" ca="1" si="167"/>
        <v>0</v>
      </c>
    </row>
    <row r="318" spans="1:47" ht="15.75" hidden="1" customHeight="1" outlineLevel="1">
      <c r="A318" s="1" t="s">
        <v>351</v>
      </c>
      <c r="C318" s="141"/>
      <c r="E318" s="9" t="str">
        <f ca="1">_xll.DBRW(Server&amp;"}ElementAttributes_Indicator",A318,"code_English")</f>
        <v>Nb_FTE_Maintenance_Others - Number of FTE Other Maintenance Staff</v>
      </c>
      <c r="F318" s="43">
        <f ca="1">_xll.DBRW($C$1,$C$2,$C$3,$C$4,$C$6,$C$5,$C$7,F$1,F$2,$A318)</f>
        <v>0</v>
      </c>
      <c r="G318" s="43">
        <f ca="1">_xll.DBRW($C$1,$C$2,$C$3,$C$4,$C$6,$C$5,$C$7,G$1,G$2,$A318)</f>
        <v>0</v>
      </c>
      <c r="H318" s="43">
        <f ca="1">_xll.DBRW($C$1,$C$2,$C$3,$C$4,$C$6,$C$5,$C$7,H$1,H$2,$A318)</f>
        <v>0</v>
      </c>
      <c r="I318" s="43">
        <f ca="1">_xll.DBRW($C$1,$C$2,$C$3,$C$4,$C$6,$C$5,$C$7,I$1,I$2,$A318)</f>
        <v>0</v>
      </c>
      <c r="J318" s="43">
        <f ca="1">_xll.DBRW($C$1,$C$2,$C$3,$C$4,$C$6,$C$5,$C$7,J$1,J$2,$A318)</f>
        <v>0</v>
      </c>
      <c r="K318" s="43">
        <f ca="1">_xll.DBRW($C$1,$C$2,$C$3,$C$4,$C$6,$C$5,$C$7,K$1,K$2,$A318)</f>
        <v>0</v>
      </c>
      <c r="L318" s="43">
        <f ca="1">_xll.DBRW($C$1,$C$2,$C$3,$C$4,$C$6,$C$5,$C$7,L$1,L$2,$A318)</f>
        <v>0</v>
      </c>
      <c r="M318" s="43">
        <f ca="1">_xll.DBRW($C$1,$C$2,$C$3,$C$4,$C$6,$C$5,$C$7,M$1,M$2,$A318)</f>
        <v>0</v>
      </c>
      <c r="N318" s="43">
        <f ca="1">_xll.DBRW($C$1,$C$2,$C$3,$C$4,$C$6,$C$5,$C$7,N$1,N$2,$A318)</f>
        <v>0</v>
      </c>
      <c r="O318" s="43">
        <f ca="1">_xll.DBRW($C$1,$C$2,$C$3,$C$4,$C$6,$C$5,$C$7,O$1,O$2,$A318)</f>
        <v>0</v>
      </c>
      <c r="P318" s="43">
        <f ca="1">_xll.DBRW($C$1,$C$2,$C$3,$C$4,$C$6,$C$5,$C$7,P$1,P$2,$A318)</f>
        <v>0</v>
      </c>
      <c r="Q318" s="43">
        <f ca="1">_xll.DBRW($C$1,$C$2,$C$3,$C$4,$C$6,$C$5,$C$7,Q$1,Q$2,$A318)</f>
        <v>0</v>
      </c>
      <c r="R318" s="43">
        <f ca="1">_xll.DBRW($C$1,$C$2,$C$3,$C$4,$C$6,$C$5,$C$7,R$1,R$2,$A318)</f>
        <v>0</v>
      </c>
      <c r="S318" s="43">
        <f ca="1">_xll.DBRW($C$1,$C$2,$C$3,$C$4,$C$6,$C$5,$C$7,S$1,S$2,$A318)</f>
        <v>0</v>
      </c>
      <c r="T318" s="43">
        <f ca="1">_xll.DBRW($C$1,$C$2,$C$3,$C$4,$C$6,$C$5,$C$7,T$1,T$2,$A318)</f>
        <v>0</v>
      </c>
      <c r="U318" s="43">
        <f ca="1">_xll.DBRW($C$1,$C$2,$C$3,$C$4,$C$6,$C$5,$C$7,U$1,U$2,$A318)</f>
        <v>0</v>
      </c>
      <c r="V318" s="43">
        <f ca="1">_xll.DBRW($C$1,$C$2,$C$3,$C$4,$C$6,$C$5,$C$7,V$1,V$2,$A318)</f>
        <v>0</v>
      </c>
      <c r="W318" s="43">
        <f ca="1">_xll.DBRW($C$1,$C$2,$C$3,$C$4,$C$6,$C$5,$C$7,W$1,W$2,$A318)</f>
        <v>0</v>
      </c>
      <c r="X318" s="43">
        <f ca="1">_xll.DBRW($C$1,$C$2,$C$3,$C$4,$C$6,$C$5,$C$7,X$1,X$2,$A318)</f>
        <v>0</v>
      </c>
      <c r="Y318" s="43">
        <f ca="1">_xll.DBRW($C$1,$C$2,$C$3,$C$4,$C$6,$C$5,$C$7,Y$1,Y$2,$A318)</f>
        <v>0</v>
      </c>
      <c r="Z318" s="43">
        <f ca="1">_xll.DBRW($C$1,$C$2,$C$3,$C$4,$C$6,$C$5,$C$7,Z$1,Z$2,$A318)</f>
        <v>0</v>
      </c>
      <c r="AA318" s="43">
        <f ca="1">_xll.DBRW($C$1,$C$2,$C$3,$C$4,$C$6,$C$5,$C$7,AA$1,AA$2,$A318)</f>
        <v>0</v>
      </c>
      <c r="AB318" s="43">
        <f ca="1">_xll.DBRW($C$1,$C$2,$C$3,$C$4,$C$6,$C$5,$C$7,AB$1,AB$2,$A318)</f>
        <v>0</v>
      </c>
      <c r="AC318" s="43">
        <f ca="1">_xll.DBRW($C$1,$C$2,$C$3,$C$4,$C$6,$C$5,$C$7,AC$1,AC$2,$A318)</f>
        <v>0</v>
      </c>
      <c r="AD318" s="43">
        <f ca="1">_xll.DBRW($C$1,$C$2,$C$3,$C$4,$C$6,$C$5,$C$7,AD$1,AD$2,$A318)</f>
        <v>0</v>
      </c>
      <c r="AE318" s="43">
        <f ca="1">_xll.DBRW($C$1,$C$2,$C$3,$C$4,$C$6,$C$5,$C$7,AE$1,AE$2,$A318)</f>
        <v>0</v>
      </c>
      <c r="AF318" s="43">
        <f ca="1">_xll.DBRW($C$1,$C$2,$C$3,$C$4,$C$6,$C$5,$C$7,AF$1,AF$2,$A318)</f>
        <v>0</v>
      </c>
      <c r="AG318" s="43">
        <f ca="1">_xll.DBRW($C$1,$C$2,$C$3,$C$4,$C$6,$C$5,$C$7,AG$1,AG$2,$A318)</f>
        <v>0</v>
      </c>
      <c r="AH318" s="43">
        <f ca="1">_xll.DBRW($C$1,$C$2,$C$3,$C$4,$C$6,$C$5,$C$7,AH$1,AH$2,$A318)</f>
        <v>0</v>
      </c>
      <c r="AI318" s="43">
        <f ca="1">_xll.DBRW($C$1,$C$2,$C$3,$C$4,$C$6,$C$5,$C$7,AI$1,AI$2,$A318)</f>
        <v>0</v>
      </c>
      <c r="AJ318" s="43">
        <f ca="1">_xll.DBRW($C$1,$C$2,$C$3,$C$4,$C$6,$C$5,$C$7,AJ$1,AJ$2,$A318)</f>
        <v>0</v>
      </c>
      <c r="AK318" s="43">
        <f ca="1">_xll.DBRW($C$1,$C$2,$C$3,$C$4,$C$6,$C$5,$C$7,AK$1,AK$2,$A318)</f>
        <v>0</v>
      </c>
      <c r="AL318" s="43">
        <f ca="1">_xll.DBRW($C$1,$C$2,$C$3,$C$4,$C$6,$C$5,$C$7,AL$1,AL$2,$A318)</f>
        <v>0</v>
      </c>
      <c r="AM318" s="43">
        <f ca="1">_xll.DBRW($C$1,$C$2,$C$3,$C$4,$C$6,$C$5,$C$7,AM$1,AM$2,$A318)</f>
        <v>0</v>
      </c>
      <c r="AN318" s="43">
        <f ca="1">_xll.DBRW($C$1,$C$2,$C$3,$C$4,$C$6,$C$5,$C$7,AN$1,AN$2,$A318)</f>
        <v>0</v>
      </c>
      <c r="AO318" s="43">
        <f ca="1">_xll.DBRW($C$1,$C$2,$C$3,$C$4,$C$6,$C$5,$C$7,AO$1,AO$2,$A318)</f>
        <v>0</v>
      </c>
      <c r="AP318" s="43">
        <f ca="1">_xll.DBRW($C$1,$C$2,$C$3,$C$4,$C$6,$C$5,$C$7,AP$1,AP$2,$A318)</f>
        <v>0</v>
      </c>
      <c r="AQ318" s="43">
        <f ca="1">_xll.DBRW($C$1,$C$2,$C$3,$C$4,$C$6,$C$5,$C$7,AQ$1,AQ$2,$A318)</f>
        <v>0</v>
      </c>
      <c r="AR318" s="43">
        <f ca="1">_xll.DBRW($C$1,$C$2,$C$3,$C$4,$C$6,$C$5,$C$7,AR$1,AR$2,$A318)</f>
        <v>0</v>
      </c>
      <c r="AS318" s="43">
        <f ca="1">_xll.DBRW($C$1,$C$2,$C$3,$C$4,$C$6,$C$5,$C$7,AS$1,AS$2,$A318)</f>
        <v>0</v>
      </c>
      <c r="AT318" s="43">
        <f ca="1">_xll.DBRW($C$1,$C$2,$C$3,$C$4,$C$6,$C$5,$C$7,AT$1,AT$2,$A318)</f>
        <v>0</v>
      </c>
      <c r="AU318" s="43">
        <f ca="1">_xll.DBRW($C$1,$C$2,$C$3,$C$4,$C$6,$C$5,$C$7,AU$1,AU$2,$A318)</f>
        <v>0</v>
      </c>
    </row>
    <row r="319" spans="1:47" ht="15.75" collapsed="1">
      <c r="A319" s="1" t="s">
        <v>127</v>
      </c>
      <c r="C319" s="141"/>
      <c r="E319" s="81" t="s">
        <v>83</v>
      </c>
      <c r="F319" s="43">
        <f t="shared" ref="F319:AU319" ca="1" si="168">SUM(F318)</f>
        <v>0</v>
      </c>
      <c r="G319" s="43">
        <f t="shared" ca="1" si="168"/>
        <v>0</v>
      </c>
      <c r="H319" s="43">
        <f t="shared" ca="1" si="168"/>
        <v>0</v>
      </c>
      <c r="I319" s="43">
        <f t="shared" ca="1" si="168"/>
        <v>0</v>
      </c>
      <c r="J319" s="43">
        <f t="shared" ca="1" si="168"/>
        <v>0</v>
      </c>
      <c r="K319" s="43">
        <f t="shared" ca="1" si="168"/>
        <v>0</v>
      </c>
      <c r="L319" s="43">
        <f t="shared" ca="1" si="168"/>
        <v>0</v>
      </c>
      <c r="M319" s="43">
        <f t="shared" ca="1" si="168"/>
        <v>0</v>
      </c>
      <c r="N319" s="43">
        <f t="shared" ca="1" si="168"/>
        <v>0</v>
      </c>
      <c r="O319" s="43">
        <f t="shared" ca="1" si="168"/>
        <v>0</v>
      </c>
      <c r="P319" s="43">
        <f t="shared" ca="1" si="168"/>
        <v>0</v>
      </c>
      <c r="Q319" s="43">
        <f t="shared" ca="1" si="168"/>
        <v>0</v>
      </c>
      <c r="R319" s="43">
        <f t="shared" ca="1" si="168"/>
        <v>0</v>
      </c>
      <c r="S319" s="43">
        <f t="shared" ca="1" si="168"/>
        <v>0</v>
      </c>
      <c r="T319" s="43">
        <f t="shared" ca="1" si="168"/>
        <v>0</v>
      </c>
      <c r="U319" s="43">
        <f t="shared" ca="1" si="168"/>
        <v>0</v>
      </c>
      <c r="V319" s="43">
        <f t="shared" ca="1" si="168"/>
        <v>0</v>
      </c>
      <c r="W319" s="43">
        <f t="shared" ca="1" si="168"/>
        <v>0</v>
      </c>
      <c r="X319" s="43">
        <f t="shared" ca="1" si="168"/>
        <v>0</v>
      </c>
      <c r="Y319" s="43">
        <f t="shared" ca="1" si="168"/>
        <v>0</v>
      </c>
      <c r="Z319" s="43">
        <f t="shared" ca="1" si="168"/>
        <v>0</v>
      </c>
      <c r="AA319" s="43">
        <f t="shared" ca="1" si="168"/>
        <v>0</v>
      </c>
      <c r="AB319" s="43">
        <f t="shared" ca="1" si="168"/>
        <v>0</v>
      </c>
      <c r="AC319" s="43">
        <f t="shared" ca="1" si="168"/>
        <v>0</v>
      </c>
      <c r="AD319" s="43">
        <f t="shared" ca="1" si="168"/>
        <v>0</v>
      </c>
      <c r="AE319" s="43">
        <f t="shared" ca="1" si="168"/>
        <v>0</v>
      </c>
      <c r="AF319" s="43">
        <f t="shared" ca="1" si="168"/>
        <v>0</v>
      </c>
      <c r="AG319" s="43">
        <f t="shared" ca="1" si="168"/>
        <v>0</v>
      </c>
      <c r="AH319" s="43">
        <f t="shared" ca="1" si="168"/>
        <v>0</v>
      </c>
      <c r="AI319" s="43">
        <f t="shared" ca="1" si="168"/>
        <v>0</v>
      </c>
      <c r="AJ319" s="43">
        <f t="shared" ca="1" si="168"/>
        <v>0</v>
      </c>
      <c r="AK319" s="43">
        <f t="shared" ca="1" si="168"/>
        <v>0</v>
      </c>
      <c r="AL319" s="43">
        <f t="shared" ca="1" si="168"/>
        <v>0</v>
      </c>
      <c r="AM319" s="43">
        <f t="shared" ca="1" si="168"/>
        <v>0</v>
      </c>
      <c r="AN319" s="43">
        <f t="shared" ca="1" si="168"/>
        <v>0</v>
      </c>
      <c r="AO319" s="43">
        <f t="shared" ca="1" si="168"/>
        <v>0</v>
      </c>
      <c r="AP319" s="43">
        <f t="shared" ca="1" si="168"/>
        <v>0</v>
      </c>
      <c r="AQ319" s="43">
        <f t="shared" ca="1" si="168"/>
        <v>0</v>
      </c>
      <c r="AR319" s="43">
        <f t="shared" ca="1" si="168"/>
        <v>0</v>
      </c>
      <c r="AS319" s="43">
        <f t="shared" ca="1" si="168"/>
        <v>0</v>
      </c>
      <c r="AT319" s="43">
        <f t="shared" ca="1" si="168"/>
        <v>0</v>
      </c>
      <c r="AU319" s="43">
        <f t="shared" ca="1" si="168"/>
        <v>0</v>
      </c>
    </row>
    <row r="320" spans="1:47" ht="15.75" hidden="1" customHeight="1" outlineLevel="1">
      <c r="A320" s="1" t="s">
        <v>337</v>
      </c>
      <c r="C320" s="141"/>
      <c r="E320" s="9" t="str">
        <f ca="1">_xll.DBRW(Server&amp;"}ElementAttributes_Indicator",A320,"code_English")</f>
        <v>Nb_FTE - Number of Full Time Equivalent</v>
      </c>
      <c r="F320" s="43">
        <f ca="1">_xll.DBRW($C$1,$C$2,$C$3,$C$4,$C$6,$C$5,$C$7,F$1,F$2,$A320)</f>
        <v>0</v>
      </c>
      <c r="G320" s="43">
        <f ca="1">_xll.DBRW($C$1,$C$2,$C$3,$C$4,$C$6,$C$5,$C$7,G$1,G$2,$A320)</f>
        <v>0</v>
      </c>
      <c r="H320" s="43">
        <f ca="1">_xll.DBRW($C$1,$C$2,$C$3,$C$4,$C$6,$C$5,$C$7,H$1,H$2,$A320)</f>
        <v>0</v>
      </c>
      <c r="I320" s="43">
        <f ca="1">_xll.DBRW($C$1,$C$2,$C$3,$C$4,$C$6,$C$5,$C$7,I$1,I$2,$A320)</f>
        <v>0</v>
      </c>
      <c r="J320" s="43">
        <f ca="1">_xll.DBRW($C$1,$C$2,$C$3,$C$4,$C$6,$C$5,$C$7,J$1,J$2,$A320)</f>
        <v>0</v>
      </c>
      <c r="K320" s="43">
        <f ca="1">_xll.DBRW($C$1,$C$2,$C$3,$C$4,$C$6,$C$5,$C$7,K$1,K$2,$A320)</f>
        <v>0</v>
      </c>
      <c r="L320" s="43">
        <f ca="1">_xll.DBRW($C$1,$C$2,$C$3,$C$4,$C$6,$C$5,$C$7,L$1,L$2,$A320)</f>
        <v>0</v>
      </c>
      <c r="M320" s="43">
        <f ca="1">_xll.DBRW($C$1,$C$2,$C$3,$C$4,$C$6,$C$5,$C$7,M$1,M$2,$A320)</f>
        <v>0</v>
      </c>
      <c r="N320" s="43">
        <f ca="1">_xll.DBRW($C$1,$C$2,$C$3,$C$4,$C$6,$C$5,$C$7,N$1,N$2,$A320)</f>
        <v>0</v>
      </c>
      <c r="O320" s="43">
        <f ca="1">_xll.DBRW($C$1,$C$2,$C$3,$C$4,$C$6,$C$5,$C$7,O$1,O$2,$A320)</f>
        <v>0</v>
      </c>
      <c r="P320" s="43">
        <f ca="1">_xll.DBRW($C$1,$C$2,$C$3,$C$4,$C$6,$C$5,$C$7,P$1,P$2,$A320)</f>
        <v>0</v>
      </c>
      <c r="Q320" s="43">
        <f ca="1">_xll.DBRW($C$1,$C$2,$C$3,$C$4,$C$6,$C$5,$C$7,Q$1,Q$2,$A320)</f>
        <v>0</v>
      </c>
      <c r="R320" s="43">
        <f ca="1">_xll.DBRW($C$1,$C$2,$C$3,$C$4,$C$6,$C$5,$C$7,R$1,R$2,$A320)</f>
        <v>0</v>
      </c>
      <c r="S320" s="43">
        <f ca="1">_xll.DBRW($C$1,$C$2,$C$3,$C$4,$C$6,$C$5,$C$7,S$1,S$2,$A320)</f>
        <v>0</v>
      </c>
      <c r="T320" s="43">
        <f ca="1">_xll.DBRW($C$1,$C$2,$C$3,$C$4,$C$6,$C$5,$C$7,T$1,T$2,$A320)</f>
        <v>0</v>
      </c>
      <c r="U320" s="43">
        <f ca="1">_xll.DBRW($C$1,$C$2,$C$3,$C$4,$C$6,$C$5,$C$7,U$1,U$2,$A320)</f>
        <v>0</v>
      </c>
      <c r="V320" s="43">
        <f ca="1">_xll.DBRW($C$1,$C$2,$C$3,$C$4,$C$6,$C$5,$C$7,V$1,V$2,$A320)</f>
        <v>0</v>
      </c>
      <c r="W320" s="43">
        <f ca="1">_xll.DBRW($C$1,$C$2,$C$3,$C$4,$C$6,$C$5,$C$7,W$1,W$2,$A320)</f>
        <v>0</v>
      </c>
      <c r="X320" s="43">
        <f ca="1">_xll.DBRW($C$1,$C$2,$C$3,$C$4,$C$6,$C$5,$C$7,X$1,X$2,$A320)</f>
        <v>0</v>
      </c>
      <c r="Y320" s="43">
        <f ca="1">_xll.DBRW($C$1,$C$2,$C$3,$C$4,$C$6,$C$5,$C$7,Y$1,Y$2,$A320)</f>
        <v>0</v>
      </c>
      <c r="Z320" s="43">
        <f ca="1">_xll.DBRW($C$1,$C$2,$C$3,$C$4,$C$6,$C$5,$C$7,Z$1,Z$2,$A320)</f>
        <v>0</v>
      </c>
      <c r="AA320" s="43">
        <f ca="1">_xll.DBRW($C$1,$C$2,$C$3,$C$4,$C$6,$C$5,$C$7,AA$1,AA$2,$A320)</f>
        <v>0</v>
      </c>
      <c r="AB320" s="43">
        <f ca="1">_xll.DBRW($C$1,$C$2,$C$3,$C$4,$C$6,$C$5,$C$7,AB$1,AB$2,$A320)</f>
        <v>0</v>
      </c>
      <c r="AC320" s="43">
        <f ca="1">_xll.DBRW($C$1,$C$2,$C$3,$C$4,$C$6,$C$5,$C$7,AC$1,AC$2,$A320)</f>
        <v>0</v>
      </c>
      <c r="AD320" s="43">
        <f ca="1">_xll.DBRW($C$1,$C$2,$C$3,$C$4,$C$6,$C$5,$C$7,AD$1,AD$2,$A320)</f>
        <v>0</v>
      </c>
      <c r="AE320" s="43">
        <f ca="1">_xll.DBRW($C$1,$C$2,$C$3,$C$4,$C$6,$C$5,$C$7,AE$1,AE$2,$A320)</f>
        <v>0</v>
      </c>
      <c r="AF320" s="43">
        <f ca="1">_xll.DBRW($C$1,$C$2,$C$3,$C$4,$C$6,$C$5,$C$7,AF$1,AF$2,$A320)</f>
        <v>0</v>
      </c>
      <c r="AG320" s="43">
        <f ca="1">_xll.DBRW($C$1,$C$2,$C$3,$C$4,$C$6,$C$5,$C$7,AG$1,AG$2,$A320)</f>
        <v>0</v>
      </c>
      <c r="AH320" s="43">
        <f ca="1">_xll.DBRW($C$1,$C$2,$C$3,$C$4,$C$6,$C$5,$C$7,AH$1,AH$2,$A320)</f>
        <v>0</v>
      </c>
      <c r="AI320" s="43">
        <f ca="1">_xll.DBRW($C$1,$C$2,$C$3,$C$4,$C$6,$C$5,$C$7,AI$1,AI$2,$A320)</f>
        <v>0</v>
      </c>
      <c r="AJ320" s="43">
        <f ca="1">_xll.DBRW($C$1,$C$2,$C$3,$C$4,$C$6,$C$5,$C$7,AJ$1,AJ$2,$A320)</f>
        <v>0</v>
      </c>
      <c r="AK320" s="43">
        <f ca="1">_xll.DBRW($C$1,$C$2,$C$3,$C$4,$C$6,$C$5,$C$7,AK$1,AK$2,$A320)</f>
        <v>0</v>
      </c>
      <c r="AL320" s="43">
        <f ca="1">_xll.DBRW($C$1,$C$2,$C$3,$C$4,$C$6,$C$5,$C$7,AL$1,AL$2,$A320)</f>
        <v>0</v>
      </c>
      <c r="AM320" s="43">
        <f ca="1">_xll.DBRW($C$1,$C$2,$C$3,$C$4,$C$6,$C$5,$C$7,AM$1,AM$2,$A320)</f>
        <v>0</v>
      </c>
      <c r="AN320" s="43">
        <f ca="1">_xll.DBRW($C$1,$C$2,$C$3,$C$4,$C$6,$C$5,$C$7,AN$1,AN$2,$A320)</f>
        <v>0</v>
      </c>
      <c r="AO320" s="43">
        <f ca="1">_xll.DBRW($C$1,$C$2,$C$3,$C$4,$C$6,$C$5,$C$7,AO$1,AO$2,$A320)</f>
        <v>0</v>
      </c>
      <c r="AP320" s="43">
        <f ca="1">_xll.DBRW($C$1,$C$2,$C$3,$C$4,$C$6,$C$5,$C$7,AP$1,AP$2,$A320)</f>
        <v>0</v>
      </c>
      <c r="AQ320" s="43">
        <f ca="1">_xll.DBRW($C$1,$C$2,$C$3,$C$4,$C$6,$C$5,$C$7,AQ$1,AQ$2,$A320)</f>
        <v>0</v>
      </c>
      <c r="AR320" s="43">
        <f ca="1">_xll.DBRW($C$1,$C$2,$C$3,$C$4,$C$6,$C$5,$C$7,AR$1,AR$2,$A320)</f>
        <v>0</v>
      </c>
      <c r="AS320" s="43">
        <f ca="1">_xll.DBRW($C$1,$C$2,$C$3,$C$4,$C$6,$C$5,$C$7,AS$1,AS$2,$A320)</f>
        <v>0</v>
      </c>
      <c r="AT320" s="43">
        <f ca="1">_xll.DBRW($C$1,$C$2,$C$3,$C$4,$C$6,$C$5,$C$7,AT$1,AT$2,$A320)</f>
        <v>0</v>
      </c>
      <c r="AU320" s="43">
        <f ca="1">_xll.DBRW($C$1,$C$2,$C$3,$C$4,$C$6,$C$5,$C$7,AU$1,AU$2,$A320)</f>
        <v>0</v>
      </c>
    </row>
    <row r="321" spans="1:47" ht="15.75" collapsed="1">
      <c r="A321" s="1" t="s">
        <v>127</v>
      </c>
      <c r="C321" s="141"/>
      <c r="E321" s="86" t="s">
        <v>84</v>
      </c>
      <c r="F321" s="103">
        <f t="shared" ref="F321:AU321" ca="1" si="169">SUM(F320)</f>
        <v>0</v>
      </c>
      <c r="G321" s="103">
        <f t="shared" ca="1" si="169"/>
        <v>0</v>
      </c>
      <c r="H321" s="103">
        <f t="shared" ca="1" si="169"/>
        <v>0</v>
      </c>
      <c r="I321" s="103">
        <f t="shared" ca="1" si="169"/>
        <v>0</v>
      </c>
      <c r="J321" s="103">
        <f t="shared" ca="1" si="169"/>
        <v>0</v>
      </c>
      <c r="K321" s="103">
        <f t="shared" ca="1" si="169"/>
        <v>0</v>
      </c>
      <c r="L321" s="103">
        <f t="shared" ca="1" si="169"/>
        <v>0</v>
      </c>
      <c r="M321" s="103">
        <f t="shared" ca="1" si="169"/>
        <v>0</v>
      </c>
      <c r="N321" s="103">
        <f t="shared" ca="1" si="169"/>
        <v>0</v>
      </c>
      <c r="O321" s="103">
        <f t="shared" ca="1" si="169"/>
        <v>0</v>
      </c>
      <c r="P321" s="103">
        <f t="shared" ca="1" si="169"/>
        <v>0</v>
      </c>
      <c r="Q321" s="103">
        <f t="shared" ca="1" si="169"/>
        <v>0</v>
      </c>
      <c r="R321" s="103">
        <f t="shared" ca="1" si="169"/>
        <v>0</v>
      </c>
      <c r="S321" s="103">
        <f t="shared" ca="1" si="169"/>
        <v>0</v>
      </c>
      <c r="T321" s="103">
        <f t="shared" ca="1" si="169"/>
        <v>0</v>
      </c>
      <c r="U321" s="103">
        <f t="shared" ca="1" si="169"/>
        <v>0</v>
      </c>
      <c r="V321" s="103">
        <f t="shared" ca="1" si="169"/>
        <v>0</v>
      </c>
      <c r="W321" s="103">
        <f t="shared" ca="1" si="169"/>
        <v>0</v>
      </c>
      <c r="X321" s="103">
        <f t="shared" ca="1" si="169"/>
        <v>0</v>
      </c>
      <c r="Y321" s="103">
        <f t="shared" ca="1" si="169"/>
        <v>0</v>
      </c>
      <c r="Z321" s="103">
        <f t="shared" ca="1" si="169"/>
        <v>0</v>
      </c>
      <c r="AA321" s="103">
        <f t="shared" ca="1" si="169"/>
        <v>0</v>
      </c>
      <c r="AB321" s="103">
        <f t="shared" ca="1" si="169"/>
        <v>0</v>
      </c>
      <c r="AC321" s="103">
        <f t="shared" ca="1" si="169"/>
        <v>0</v>
      </c>
      <c r="AD321" s="103">
        <f t="shared" ca="1" si="169"/>
        <v>0</v>
      </c>
      <c r="AE321" s="103">
        <f t="shared" ca="1" si="169"/>
        <v>0</v>
      </c>
      <c r="AF321" s="103">
        <f t="shared" ca="1" si="169"/>
        <v>0</v>
      </c>
      <c r="AG321" s="103">
        <f t="shared" ca="1" si="169"/>
        <v>0</v>
      </c>
      <c r="AH321" s="103">
        <f t="shared" ca="1" si="169"/>
        <v>0</v>
      </c>
      <c r="AI321" s="103">
        <f t="shared" ca="1" si="169"/>
        <v>0</v>
      </c>
      <c r="AJ321" s="103">
        <f t="shared" ca="1" si="169"/>
        <v>0</v>
      </c>
      <c r="AK321" s="103">
        <f t="shared" ca="1" si="169"/>
        <v>0</v>
      </c>
      <c r="AL321" s="103">
        <f t="shared" ca="1" si="169"/>
        <v>0</v>
      </c>
      <c r="AM321" s="103">
        <f t="shared" ca="1" si="169"/>
        <v>0</v>
      </c>
      <c r="AN321" s="103">
        <f t="shared" ca="1" si="169"/>
        <v>0</v>
      </c>
      <c r="AO321" s="103">
        <f t="shared" ca="1" si="169"/>
        <v>0</v>
      </c>
      <c r="AP321" s="103">
        <f t="shared" ca="1" si="169"/>
        <v>0</v>
      </c>
      <c r="AQ321" s="103">
        <f t="shared" ca="1" si="169"/>
        <v>0</v>
      </c>
      <c r="AR321" s="103">
        <f t="shared" ca="1" si="169"/>
        <v>0</v>
      </c>
      <c r="AS321" s="103">
        <f t="shared" ca="1" si="169"/>
        <v>0</v>
      </c>
      <c r="AT321" s="103">
        <f t="shared" ca="1" si="169"/>
        <v>0</v>
      </c>
      <c r="AU321" s="103">
        <f t="shared" ca="1" si="169"/>
        <v>0</v>
      </c>
    </row>
    <row r="322" spans="1:47" ht="9" customHeight="1">
      <c r="A322" s="1" t="s">
        <v>127</v>
      </c>
      <c r="C322" s="141"/>
      <c r="E322" s="7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</row>
    <row r="323" spans="1:47" ht="15.75" hidden="1" customHeight="1" outlineLevel="1">
      <c r="A323" s="1" t="s">
        <v>338</v>
      </c>
      <c r="C323" s="141"/>
      <c r="E323" s="9" t="str">
        <f ca="1">_xll.DBRW(Server&amp;"}ElementAttributes_Indicator",A323,"code_English")</f>
        <v>Fuel_consu - Fuel consumed (liters)</v>
      </c>
      <c r="F323" s="10">
        <f ca="1">_xll.DBRW($C$1,$C$2,$C$3,$C$4,$C$6,$C$5,$C$7,F$1,F$2,$A323)</f>
        <v>23370073.359999999</v>
      </c>
      <c r="G323" s="10">
        <f ca="1">_xll.DBRW($C$1,$C$2,$C$3,$C$4,$C$6,$C$5,$C$7,G$1,G$2,$A323)</f>
        <v>19432170.950000003</v>
      </c>
      <c r="H323" s="10">
        <f ca="1">_xll.DBRW($C$1,$C$2,$C$3,$C$4,$C$6,$C$5,$C$7,H$1,H$2,$A323)</f>
        <v>17908190.210000001</v>
      </c>
      <c r="I323" s="10">
        <f ca="1">_xll.DBRW($C$1,$C$2,$C$3,$C$4,$C$6,$C$5,$C$7,I$1,I$2,$A323)</f>
        <v>1412746.9799999997</v>
      </c>
      <c r="J323" s="10">
        <f ca="1">_xll.DBRW($C$1,$C$2,$C$3,$C$4,$C$6,$C$5,$C$7,J$1,J$2,$A323)</f>
        <v>2657864.9099999997</v>
      </c>
      <c r="K323" s="10">
        <f ca="1">_xll.DBRW($C$1,$C$2,$C$3,$C$4,$C$6,$C$5,$C$7,K$1,K$2,$A323)</f>
        <v>4073226.0999999996</v>
      </c>
      <c r="L323" s="10">
        <f ca="1">_xll.DBRW($C$1,$C$2,$C$3,$C$4,$C$6,$C$5,$C$7,L$1,L$2,$A323)</f>
        <v>5395400.7199999997</v>
      </c>
      <c r="M323" s="10">
        <f ca="1">_xll.DBRW($C$1,$C$2,$C$3,$C$4,$C$6,$C$5,$C$7,M$1,M$2,$A323)</f>
        <v>6719450.0700000003</v>
      </c>
      <c r="N323" s="10">
        <f ca="1">_xll.DBRW($C$1,$C$2,$C$3,$C$4,$C$6,$C$5,$C$7,N$1,N$2,$A323)</f>
        <v>7883777.6500000004</v>
      </c>
      <c r="O323" s="10">
        <f ca="1">_xll.DBRW($C$1,$C$2,$C$3,$C$4,$C$6,$C$5,$C$7,O$1,O$2,$A323)</f>
        <v>7883777.6500000004</v>
      </c>
      <c r="P323" s="10">
        <f ca="1">_xll.DBRW($C$1,$C$2,$C$3,$C$4,$C$6,$C$5,$C$7,P$1,P$2,$A323)</f>
        <v>7883777.6500000004</v>
      </c>
      <c r="Q323" s="10">
        <f ca="1">_xll.DBRW($C$1,$C$2,$C$3,$C$4,$C$6,$C$5,$C$7,Q$1,Q$2,$A323)</f>
        <v>7883777.6500000004</v>
      </c>
      <c r="R323" s="10">
        <f ca="1">_xll.DBRW($C$1,$C$2,$C$3,$C$4,$C$6,$C$5,$C$7,R$1,R$2,$A323)</f>
        <v>7883777.6500000004</v>
      </c>
      <c r="S323" s="10">
        <f ca="1">_xll.DBRW($C$1,$C$2,$C$3,$C$4,$C$6,$C$5,$C$7,S$1,S$2,$A323)</f>
        <v>7883777.6500000004</v>
      </c>
      <c r="T323" s="10">
        <f ca="1">_xll.DBRW($C$1,$C$2,$C$3,$C$4,$C$6,$C$5,$C$7,T$1,T$2,$A323)</f>
        <v>7883777.6500000004</v>
      </c>
      <c r="U323" s="10">
        <f ca="1">_xll.DBRW($C$1,$C$2,$C$3,$C$4,$C$6,$C$5,$C$7,U$1,U$2,$A323)</f>
        <v>7883777.6500000004</v>
      </c>
      <c r="V323" s="10">
        <f ca="1">_xll.DBRW($C$1,$C$2,$C$3,$C$4,$C$6,$C$5,$C$7,V$1,V$2,$A323)</f>
        <v>0</v>
      </c>
      <c r="W323" s="10">
        <f ca="1">_xll.DBRW($C$1,$C$2,$C$3,$C$4,$C$6,$C$5,$C$7,W$1,W$2,$A323)</f>
        <v>0</v>
      </c>
      <c r="X323" s="10">
        <f ca="1">_xll.DBRW($C$1,$C$2,$C$3,$C$4,$C$6,$C$5,$C$7,X$1,X$2,$A323)</f>
        <v>0</v>
      </c>
      <c r="Y323" s="10">
        <f ca="1">_xll.DBRW($C$1,$C$2,$C$3,$C$4,$C$6,$C$5,$C$7,Y$1,Y$2,$A323)</f>
        <v>0</v>
      </c>
      <c r="Z323" s="10">
        <f ca="1">_xll.DBRW($C$1,$C$2,$C$3,$C$4,$C$6,$C$5,$C$7,Z$1,Z$2,$A323)</f>
        <v>0</v>
      </c>
      <c r="AA323" s="10">
        <f ca="1">_xll.DBRW($C$1,$C$2,$C$3,$C$4,$C$6,$C$5,$C$7,AA$1,AA$2,$A323)</f>
        <v>0</v>
      </c>
      <c r="AB323" s="10">
        <f ca="1">_xll.DBRW($C$1,$C$2,$C$3,$C$4,$C$6,$C$5,$C$7,AB$1,AB$2,$A323)</f>
        <v>0</v>
      </c>
      <c r="AC323" s="10">
        <f ca="1">_xll.DBRW($C$1,$C$2,$C$3,$C$4,$C$6,$C$5,$C$7,AC$1,AC$2,$A323)</f>
        <v>0</v>
      </c>
      <c r="AD323" s="10">
        <f ca="1">_xll.DBRW($C$1,$C$2,$C$3,$C$4,$C$6,$C$5,$C$7,AD$1,AD$2,$A323)</f>
        <v>0</v>
      </c>
      <c r="AE323" s="10">
        <f ca="1">_xll.DBRW($C$1,$C$2,$C$3,$C$4,$C$6,$C$5,$C$7,AE$1,AE$2,$A323)</f>
        <v>0</v>
      </c>
      <c r="AF323" s="10">
        <f ca="1">_xll.DBRW($C$1,$C$2,$C$3,$C$4,$C$6,$C$5,$C$7,AF$1,AF$2,$A323)</f>
        <v>0</v>
      </c>
      <c r="AG323" s="10">
        <f ca="1">_xll.DBRW($C$1,$C$2,$C$3,$C$4,$C$6,$C$5,$C$7,AG$1,AG$2,$A323)</f>
        <v>0</v>
      </c>
      <c r="AH323" s="10">
        <f ca="1">_xll.DBRW($C$1,$C$2,$C$3,$C$4,$C$6,$C$5,$C$7,AH$1,AH$2,$A323)</f>
        <v>0</v>
      </c>
      <c r="AI323" s="10">
        <f ca="1">_xll.DBRW($C$1,$C$2,$C$3,$C$4,$C$6,$C$5,$C$7,AI$1,AI$2,$A323)</f>
        <v>0</v>
      </c>
      <c r="AJ323" s="10">
        <f ca="1">_xll.DBRW($C$1,$C$2,$C$3,$C$4,$C$6,$C$5,$C$7,AJ$1,AJ$2,$A323)</f>
        <v>0</v>
      </c>
      <c r="AK323" s="10">
        <f ca="1">_xll.DBRW($C$1,$C$2,$C$3,$C$4,$C$6,$C$5,$C$7,AK$1,AK$2,$A323)</f>
        <v>0</v>
      </c>
      <c r="AL323" s="10">
        <f ca="1">_xll.DBRW($C$1,$C$2,$C$3,$C$4,$C$6,$C$5,$C$7,AL$1,AL$2,$A323)</f>
        <v>0</v>
      </c>
      <c r="AM323" s="10">
        <f ca="1">_xll.DBRW($C$1,$C$2,$C$3,$C$4,$C$6,$C$5,$C$7,AM$1,AM$2,$A323)</f>
        <v>0</v>
      </c>
      <c r="AN323" s="10">
        <f ca="1">_xll.DBRW($C$1,$C$2,$C$3,$C$4,$C$6,$C$5,$C$7,AN$1,AN$2,$A323)</f>
        <v>0</v>
      </c>
      <c r="AO323" s="10">
        <f ca="1">_xll.DBRW($C$1,$C$2,$C$3,$C$4,$C$6,$C$5,$C$7,AO$1,AO$2,$A323)</f>
        <v>0</v>
      </c>
      <c r="AP323" s="10">
        <f ca="1">_xll.DBRW($C$1,$C$2,$C$3,$C$4,$C$6,$C$5,$C$7,AP$1,AP$2,$A323)</f>
        <v>0</v>
      </c>
      <c r="AQ323" s="10">
        <f ca="1">_xll.DBRW($C$1,$C$2,$C$3,$C$4,$C$6,$C$5,$C$7,AQ$1,AQ$2,$A323)</f>
        <v>0</v>
      </c>
      <c r="AR323" s="10">
        <f ca="1">_xll.DBRW($C$1,$C$2,$C$3,$C$4,$C$6,$C$5,$C$7,AR$1,AR$2,$A323)</f>
        <v>0</v>
      </c>
      <c r="AS323" s="10">
        <f ca="1">_xll.DBRW($C$1,$C$2,$C$3,$C$4,$C$6,$C$5,$C$7,AS$1,AS$2,$A323)</f>
        <v>0</v>
      </c>
      <c r="AT323" s="10">
        <f ca="1">_xll.DBRW($C$1,$C$2,$C$3,$C$4,$C$6,$C$5,$C$7,AT$1,AT$2,$A323)</f>
        <v>0</v>
      </c>
      <c r="AU323" s="10">
        <f ca="1">_xll.DBRW($C$1,$C$2,$C$3,$C$4,$C$6,$C$5,$C$7,AU$1,AU$2,$A323)</f>
        <v>0</v>
      </c>
    </row>
    <row r="324" spans="1:47" ht="15.75" collapsed="1">
      <c r="A324" s="1" t="s">
        <v>127</v>
      </c>
      <c r="C324" s="141"/>
      <c r="E324" s="132" t="s">
        <v>85</v>
      </c>
      <c r="F324" s="133">
        <f t="shared" ref="F324:T324" ca="1" si="170">SUM(F323)</f>
        <v>23370073.359999999</v>
      </c>
      <c r="G324" s="133">
        <f t="shared" ca="1" si="170"/>
        <v>19432170.950000003</v>
      </c>
      <c r="H324" s="133">
        <f t="shared" ca="1" si="170"/>
        <v>17908190.210000001</v>
      </c>
      <c r="I324" s="133">
        <f t="shared" ca="1" si="170"/>
        <v>1412746.9799999997</v>
      </c>
      <c r="J324" s="133">
        <f t="shared" ca="1" si="170"/>
        <v>2657864.9099999997</v>
      </c>
      <c r="K324" s="133">
        <f t="shared" ca="1" si="170"/>
        <v>4073226.0999999996</v>
      </c>
      <c r="L324" s="133">
        <f t="shared" ca="1" si="170"/>
        <v>5395400.7199999997</v>
      </c>
      <c r="M324" s="133">
        <f t="shared" ca="1" si="170"/>
        <v>6719450.0700000003</v>
      </c>
      <c r="N324" s="133">
        <f t="shared" ca="1" si="170"/>
        <v>7883777.6500000004</v>
      </c>
      <c r="O324" s="133">
        <f t="shared" ca="1" si="170"/>
        <v>7883777.6500000004</v>
      </c>
      <c r="P324" s="133">
        <f t="shared" ca="1" si="170"/>
        <v>7883777.6500000004</v>
      </c>
      <c r="Q324" s="133">
        <f t="shared" ca="1" si="170"/>
        <v>7883777.6500000004</v>
      </c>
      <c r="R324" s="133">
        <f t="shared" ca="1" si="170"/>
        <v>7883777.6500000004</v>
      </c>
      <c r="S324" s="133">
        <f t="shared" ca="1" si="170"/>
        <v>7883777.6500000004</v>
      </c>
      <c r="T324" s="133">
        <f t="shared" ca="1" si="170"/>
        <v>7883777.6500000004</v>
      </c>
      <c r="U324" s="133">
        <f ca="1">SUM(U323)</f>
        <v>7883777.6500000004</v>
      </c>
      <c r="V324" s="133">
        <f t="shared" ref="V324:AG324" ca="1" si="171">SUM(V323)</f>
        <v>0</v>
      </c>
      <c r="W324" s="133">
        <f t="shared" ca="1" si="171"/>
        <v>0</v>
      </c>
      <c r="X324" s="133">
        <f t="shared" ca="1" si="171"/>
        <v>0</v>
      </c>
      <c r="Y324" s="133">
        <f t="shared" ca="1" si="171"/>
        <v>0</v>
      </c>
      <c r="Z324" s="133">
        <f t="shared" ca="1" si="171"/>
        <v>0</v>
      </c>
      <c r="AA324" s="133">
        <f t="shared" ca="1" si="171"/>
        <v>0</v>
      </c>
      <c r="AB324" s="133">
        <f t="shared" ca="1" si="171"/>
        <v>0</v>
      </c>
      <c r="AC324" s="133">
        <f t="shared" ca="1" si="171"/>
        <v>0</v>
      </c>
      <c r="AD324" s="133">
        <f t="shared" ca="1" si="171"/>
        <v>0</v>
      </c>
      <c r="AE324" s="133">
        <f t="shared" ca="1" si="171"/>
        <v>0</v>
      </c>
      <c r="AF324" s="133">
        <f t="shared" ca="1" si="171"/>
        <v>0</v>
      </c>
      <c r="AG324" s="133">
        <f t="shared" ca="1" si="171"/>
        <v>0</v>
      </c>
      <c r="AH324" s="133">
        <f ca="1">SUM(AH323)</f>
        <v>0</v>
      </c>
      <c r="AI324" s="133">
        <f t="shared" ref="AI324:AT324" ca="1" si="172">SUM(AI323)</f>
        <v>0</v>
      </c>
      <c r="AJ324" s="133">
        <f t="shared" ca="1" si="172"/>
        <v>0</v>
      </c>
      <c r="AK324" s="133">
        <f t="shared" ca="1" si="172"/>
        <v>0</v>
      </c>
      <c r="AL324" s="133">
        <f t="shared" ca="1" si="172"/>
        <v>0</v>
      </c>
      <c r="AM324" s="133">
        <f t="shared" ca="1" si="172"/>
        <v>0</v>
      </c>
      <c r="AN324" s="133">
        <f t="shared" ca="1" si="172"/>
        <v>0</v>
      </c>
      <c r="AO324" s="133">
        <f t="shared" ca="1" si="172"/>
        <v>0</v>
      </c>
      <c r="AP324" s="133">
        <f t="shared" ca="1" si="172"/>
        <v>0</v>
      </c>
      <c r="AQ324" s="133">
        <f t="shared" ca="1" si="172"/>
        <v>0</v>
      </c>
      <c r="AR324" s="133">
        <f t="shared" ca="1" si="172"/>
        <v>0</v>
      </c>
      <c r="AS324" s="133">
        <f t="shared" ca="1" si="172"/>
        <v>0</v>
      </c>
      <c r="AT324" s="133">
        <f t="shared" ca="1" si="172"/>
        <v>0</v>
      </c>
      <c r="AU324" s="133">
        <f ca="1">SUM(AU323)</f>
        <v>0</v>
      </c>
    </row>
    <row r="325" spans="1:47" ht="15.75" hidden="1" customHeight="1" outlineLevel="1">
      <c r="A325" s="1" t="s">
        <v>339</v>
      </c>
      <c r="C325" s="141"/>
      <c r="E325" s="9" t="str">
        <f ca="1">_xll.DBRW(Server&amp;"}ElementAttributes_Indicator",A325,"code_English")</f>
        <v>Biofuel_consu - Biofuel consumed (liters)</v>
      </c>
      <c r="F325" s="43">
        <f ca="1">_xll.DBRW($C$1,$C$2,$C$3,$C$4,$C$6,$C$5,$C$7,F$1,F$2,$A325)</f>
        <v>1477761.4700000002</v>
      </c>
      <c r="G325" s="43">
        <f ca="1">_xll.DBRW($C$1,$C$2,$C$3,$C$4,$C$6,$C$5,$C$7,G$1,G$2,$A325)</f>
        <v>1329662.78</v>
      </c>
      <c r="H325" s="43">
        <f ca="1">_xll.DBRW($C$1,$C$2,$C$3,$C$4,$C$6,$C$5,$C$7,H$1,H$2,$A325)</f>
        <v>1131651.7499999998</v>
      </c>
      <c r="I325" s="43">
        <f ca="1">_xll.DBRW($C$1,$C$2,$C$3,$C$4,$C$6,$C$5,$C$7,I$1,I$2,$A325)</f>
        <v>100526.71</v>
      </c>
      <c r="J325" s="43">
        <f ca="1">_xll.DBRW($C$1,$C$2,$C$3,$C$4,$C$6,$C$5,$C$7,J$1,J$2,$A325)</f>
        <v>194743.12</v>
      </c>
      <c r="K325" s="43">
        <f ca="1">_xll.DBRW($C$1,$C$2,$C$3,$C$4,$C$6,$C$5,$C$7,K$1,K$2,$A325)</f>
        <v>302724.11</v>
      </c>
      <c r="L325" s="43">
        <f ca="1">_xll.DBRW($C$1,$C$2,$C$3,$C$4,$C$6,$C$5,$C$7,L$1,L$2,$A325)</f>
        <v>422459.19999999995</v>
      </c>
      <c r="M325" s="43">
        <f ca="1">_xll.DBRW($C$1,$C$2,$C$3,$C$4,$C$6,$C$5,$C$7,M$1,M$2,$A325)</f>
        <v>532473.29999999993</v>
      </c>
      <c r="N325" s="43">
        <f ca="1">_xll.DBRW($C$1,$C$2,$C$3,$C$4,$C$6,$C$5,$C$7,N$1,N$2,$A325)</f>
        <v>635979.61999999988</v>
      </c>
      <c r="O325" s="43">
        <f ca="1">_xll.DBRW($C$1,$C$2,$C$3,$C$4,$C$6,$C$5,$C$7,O$1,O$2,$A325)</f>
        <v>635979.61999999988</v>
      </c>
      <c r="P325" s="43">
        <f ca="1">_xll.DBRW($C$1,$C$2,$C$3,$C$4,$C$6,$C$5,$C$7,P$1,P$2,$A325)</f>
        <v>635979.61999999988</v>
      </c>
      <c r="Q325" s="43">
        <f ca="1">_xll.DBRW($C$1,$C$2,$C$3,$C$4,$C$6,$C$5,$C$7,Q$1,Q$2,$A325)</f>
        <v>635979.61999999988</v>
      </c>
      <c r="R325" s="43">
        <f ca="1">_xll.DBRW($C$1,$C$2,$C$3,$C$4,$C$6,$C$5,$C$7,R$1,R$2,$A325)</f>
        <v>635979.61999999988</v>
      </c>
      <c r="S325" s="43">
        <f ca="1">_xll.DBRW($C$1,$C$2,$C$3,$C$4,$C$6,$C$5,$C$7,S$1,S$2,$A325)</f>
        <v>635979.61999999988</v>
      </c>
      <c r="T325" s="43">
        <f ca="1">_xll.DBRW($C$1,$C$2,$C$3,$C$4,$C$6,$C$5,$C$7,T$1,T$2,$A325)</f>
        <v>635979.61999999988</v>
      </c>
      <c r="U325" s="43">
        <f ca="1">_xll.DBRW($C$1,$C$2,$C$3,$C$4,$C$6,$C$5,$C$7,U$1,U$2,$A325)</f>
        <v>635979.61999999988</v>
      </c>
      <c r="V325" s="43">
        <f ca="1">_xll.DBRW($C$1,$C$2,$C$3,$C$4,$C$6,$C$5,$C$7,V$1,V$2,$A325)</f>
        <v>0</v>
      </c>
      <c r="W325" s="43">
        <f ca="1">_xll.DBRW($C$1,$C$2,$C$3,$C$4,$C$6,$C$5,$C$7,W$1,W$2,$A325)</f>
        <v>0</v>
      </c>
      <c r="X325" s="43">
        <f ca="1">_xll.DBRW($C$1,$C$2,$C$3,$C$4,$C$6,$C$5,$C$7,X$1,X$2,$A325)</f>
        <v>0</v>
      </c>
      <c r="Y325" s="43">
        <f ca="1">_xll.DBRW($C$1,$C$2,$C$3,$C$4,$C$6,$C$5,$C$7,Y$1,Y$2,$A325)</f>
        <v>0</v>
      </c>
      <c r="Z325" s="43">
        <f ca="1">_xll.DBRW($C$1,$C$2,$C$3,$C$4,$C$6,$C$5,$C$7,Z$1,Z$2,$A325)</f>
        <v>0</v>
      </c>
      <c r="AA325" s="43">
        <f ca="1">_xll.DBRW($C$1,$C$2,$C$3,$C$4,$C$6,$C$5,$C$7,AA$1,AA$2,$A325)</f>
        <v>0</v>
      </c>
      <c r="AB325" s="43">
        <f ca="1">_xll.DBRW($C$1,$C$2,$C$3,$C$4,$C$6,$C$5,$C$7,AB$1,AB$2,$A325)</f>
        <v>0</v>
      </c>
      <c r="AC325" s="43">
        <f ca="1">_xll.DBRW($C$1,$C$2,$C$3,$C$4,$C$6,$C$5,$C$7,AC$1,AC$2,$A325)</f>
        <v>0</v>
      </c>
      <c r="AD325" s="43">
        <f ca="1">_xll.DBRW($C$1,$C$2,$C$3,$C$4,$C$6,$C$5,$C$7,AD$1,AD$2,$A325)</f>
        <v>0</v>
      </c>
      <c r="AE325" s="43">
        <f ca="1">_xll.DBRW($C$1,$C$2,$C$3,$C$4,$C$6,$C$5,$C$7,AE$1,AE$2,$A325)</f>
        <v>0</v>
      </c>
      <c r="AF325" s="43">
        <f ca="1">_xll.DBRW($C$1,$C$2,$C$3,$C$4,$C$6,$C$5,$C$7,AF$1,AF$2,$A325)</f>
        <v>0</v>
      </c>
      <c r="AG325" s="43">
        <f ca="1">_xll.DBRW($C$1,$C$2,$C$3,$C$4,$C$6,$C$5,$C$7,AG$1,AG$2,$A325)</f>
        <v>0</v>
      </c>
      <c r="AH325" s="43">
        <f ca="1">_xll.DBRW($C$1,$C$2,$C$3,$C$4,$C$6,$C$5,$C$7,AH$1,AH$2,$A325)</f>
        <v>0</v>
      </c>
      <c r="AI325" s="43">
        <f ca="1">_xll.DBRW($C$1,$C$2,$C$3,$C$4,$C$6,$C$5,$C$7,AI$1,AI$2,$A325)</f>
        <v>0</v>
      </c>
      <c r="AJ325" s="43">
        <f ca="1">_xll.DBRW($C$1,$C$2,$C$3,$C$4,$C$6,$C$5,$C$7,AJ$1,AJ$2,$A325)</f>
        <v>0</v>
      </c>
      <c r="AK325" s="43">
        <f ca="1">_xll.DBRW($C$1,$C$2,$C$3,$C$4,$C$6,$C$5,$C$7,AK$1,AK$2,$A325)</f>
        <v>0</v>
      </c>
      <c r="AL325" s="43">
        <f ca="1">_xll.DBRW($C$1,$C$2,$C$3,$C$4,$C$6,$C$5,$C$7,AL$1,AL$2,$A325)</f>
        <v>0</v>
      </c>
      <c r="AM325" s="43">
        <f ca="1">_xll.DBRW($C$1,$C$2,$C$3,$C$4,$C$6,$C$5,$C$7,AM$1,AM$2,$A325)</f>
        <v>0</v>
      </c>
      <c r="AN325" s="43">
        <f ca="1">_xll.DBRW($C$1,$C$2,$C$3,$C$4,$C$6,$C$5,$C$7,AN$1,AN$2,$A325)</f>
        <v>0</v>
      </c>
      <c r="AO325" s="43">
        <f ca="1">_xll.DBRW($C$1,$C$2,$C$3,$C$4,$C$6,$C$5,$C$7,AO$1,AO$2,$A325)</f>
        <v>0</v>
      </c>
      <c r="AP325" s="43">
        <f ca="1">_xll.DBRW($C$1,$C$2,$C$3,$C$4,$C$6,$C$5,$C$7,AP$1,AP$2,$A325)</f>
        <v>0</v>
      </c>
      <c r="AQ325" s="43">
        <f ca="1">_xll.DBRW($C$1,$C$2,$C$3,$C$4,$C$6,$C$5,$C$7,AQ$1,AQ$2,$A325)</f>
        <v>0</v>
      </c>
      <c r="AR325" s="43">
        <f ca="1">_xll.DBRW($C$1,$C$2,$C$3,$C$4,$C$6,$C$5,$C$7,AR$1,AR$2,$A325)</f>
        <v>0</v>
      </c>
      <c r="AS325" s="43">
        <f ca="1">_xll.DBRW($C$1,$C$2,$C$3,$C$4,$C$6,$C$5,$C$7,AS$1,AS$2,$A325)</f>
        <v>0</v>
      </c>
      <c r="AT325" s="43">
        <f ca="1">_xll.DBRW($C$1,$C$2,$C$3,$C$4,$C$6,$C$5,$C$7,AT$1,AT$2,$A325)</f>
        <v>0</v>
      </c>
      <c r="AU325" s="43">
        <f ca="1">_xll.DBRW($C$1,$C$2,$C$3,$C$4,$C$6,$C$5,$C$7,AU$1,AU$2,$A325)</f>
        <v>0</v>
      </c>
    </row>
    <row r="326" spans="1:47" ht="15.75" collapsed="1">
      <c r="A326" s="1" t="s">
        <v>127</v>
      </c>
      <c r="C326" s="141"/>
      <c r="E326" s="15" t="s">
        <v>86</v>
      </c>
      <c r="F326" s="44">
        <f t="shared" ref="F326:T326" ca="1" si="173">SUM(F325)</f>
        <v>1477761.4700000002</v>
      </c>
      <c r="G326" s="44">
        <f t="shared" ca="1" si="173"/>
        <v>1329662.78</v>
      </c>
      <c r="H326" s="44">
        <f t="shared" ca="1" si="173"/>
        <v>1131651.7499999998</v>
      </c>
      <c r="I326" s="44">
        <f t="shared" ca="1" si="173"/>
        <v>100526.71</v>
      </c>
      <c r="J326" s="44">
        <f t="shared" ca="1" si="173"/>
        <v>194743.12</v>
      </c>
      <c r="K326" s="44">
        <f t="shared" ca="1" si="173"/>
        <v>302724.11</v>
      </c>
      <c r="L326" s="44">
        <f t="shared" ca="1" si="173"/>
        <v>422459.19999999995</v>
      </c>
      <c r="M326" s="44">
        <f t="shared" ca="1" si="173"/>
        <v>532473.29999999993</v>
      </c>
      <c r="N326" s="44">
        <f t="shared" ca="1" si="173"/>
        <v>635979.61999999988</v>
      </c>
      <c r="O326" s="44">
        <f t="shared" ca="1" si="173"/>
        <v>635979.61999999988</v>
      </c>
      <c r="P326" s="44">
        <f t="shared" ca="1" si="173"/>
        <v>635979.61999999988</v>
      </c>
      <c r="Q326" s="44">
        <f t="shared" ca="1" si="173"/>
        <v>635979.61999999988</v>
      </c>
      <c r="R326" s="44">
        <f t="shared" ca="1" si="173"/>
        <v>635979.61999999988</v>
      </c>
      <c r="S326" s="44">
        <f t="shared" ca="1" si="173"/>
        <v>635979.61999999988</v>
      </c>
      <c r="T326" s="44">
        <f t="shared" ca="1" si="173"/>
        <v>635979.61999999988</v>
      </c>
      <c r="U326" s="44">
        <f ca="1">SUM(U325)</f>
        <v>635979.61999999988</v>
      </c>
      <c r="V326" s="44">
        <f t="shared" ref="V326:AG326" ca="1" si="174">SUM(V325)</f>
        <v>0</v>
      </c>
      <c r="W326" s="44">
        <f t="shared" ca="1" si="174"/>
        <v>0</v>
      </c>
      <c r="X326" s="44">
        <f t="shared" ca="1" si="174"/>
        <v>0</v>
      </c>
      <c r="Y326" s="44">
        <f t="shared" ca="1" si="174"/>
        <v>0</v>
      </c>
      <c r="Z326" s="44">
        <f t="shared" ca="1" si="174"/>
        <v>0</v>
      </c>
      <c r="AA326" s="44">
        <f t="shared" ca="1" si="174"/>
        <v>0</v>
      </c>
      <c r="AB326" s="44">
        <f t="shared" ca="1" si="174"/>
        <v>0</v>
      </c>
      <c r="AC326" s="44">
        <f t="shared" ca="1" si="174"/>
        <v>0</v>
      </c>
      <c r="AD326" s="44">
        <f t="shared" ca="1" si="174"/>
        <v>0</v>
      </c>
      <c r="AE326" s="44">
        <f t="shared" ca="1" si="174"/>
        <v>0</v>
      </c>
      <c r="AF326" s="44">
        <f t="shared" ca="1" si="174"/>
        <v>0</v>
      </c>
      <c r="AG326" s="44">
        <f t="shared" ca="1" si="174"/>
        <v>0</v>
      </c>
      <c r="AH326" s="44">
        <f ca="1">SUM(AH325)</f>
        <v>0</v>
      </c>
      <c r="AI326" s="44">
        <f t="shared" ref="AI326:AT326" ca="1" si="175">SUM(AI325)</f>
        <v>0</v>
      </c>
      <c r="AJ326" s="44">
        <f t="shared" ca="1" si="175"/>
        <v>0</v>
      </c>
      <c r="AK326" s="44">
        <f t="shared" ca="1" si="175"/>
        <v>0</v>
      </c>
      <c r="AL326" s="44">
        <f t="shared" ca="1" si="175"/>
        <v>0</v>
      </c>
      <c r="AM326" s="44">
        <f t="shared" ca="1" si="175"/>
        <v>0</v>
      </c>
      <c r="AN326" s="44">
        <f t="shared" ca="1" si="175"/>
        <v>0</v>
      </c>
      <c r="AO326" s="44">
        <f t="shared" ca="1" si="175"/>
        <v>0</v>
      </c>
      <c r="AP326" s="44">
        <f t="shared" ca="1" si="175"/>
        <v>0</v>
      </c>
      <c r="AQ326" s="44">
        <f t="shared" ca="1" si="175"/>
        <v>0</v>
      </c>
      <c r="AR326" s="44">
        <f t="shared" ca="1" si="175"/>
        <v>0</v>
      </c>
      <c r="AS326" s="44">
        <f t="shared" ca="1" si="175"/>
        <v>0</v>
      </c>
      <c r="AT326" s="44">
        <f t="shared" ca="1" si="175"/>
        <v>0</v>
      </c>
      <c r="AU326" s="44">
        <f ca="1">SUM(AU325)</f>
        <v>0</v>
      </c>
    </row>
    <row r="327" spans="1:47" ht="15.75" hidden="1" customHeight="1" outlineLevel="1">
      <c r="A327" s="1" t="s">
        <v>340</v>
      </c>
      <c r="C327" s="141"/>
      <c r="E327" s="9" t="str">
        <f ca="1">_xll.DBRW(Server&amp;"}ElementAttributes_Indicator",A327,"code_English")</f>
        <v>Gas_consu - Gas consumed (kwh)</v>
      </c>
      <c r="F327" s="43">
        <f ca="1">_xll.DBRW($C$1,$C$2,$C$3,$C$4,$C$6,$C$5,$C$7,F$1,F$2,$A327)</f>
        <v>0</v>
      </c>
      <c r="G327" s="43">
        <f ca="1">_xll.DBRW($C$1,$C$2,$C$3,$C$4,$C$6,$C$5,$C$7,G$1,G$2,$A327)</f>
        <v>0</v>
      </c>
      <c r="H327" s="43">
        <f ca="1">_xll.DBRW($C$1,$C$2,$C$3,$C$4,$C$6,$C$5,$C$7,H$1,H$2,$A327)</f>
        <v>0</v>
      </c>
      <c r="I327" s="43">
        <f ca="1">_xll.DBRW($C$1,$C$2,$C$3,$C$4,$C$6,$C$5,$C$7,I$1,I$2,$A327)</f>
        <v>0</v>
      </c>
      <c r="J327" s="43">
        <f ca="1">_xll.DBRW($C$1,$C$2,$C$3,$C$4,$C$6,$C$5,$C$7,J$1,J$2,$A327)</f>
        <v>0</v>
      </c>
      <c r="K327" s="43">
        <f ca="1">_xll.DBRW($C$1,$C$2,$C$3,$C$4,$C$6,$C$5,$C$7,K$1,K$2,$A327)</f>
        <v>0</v>
      </c>
      <c r="L327" s="43">
        <f ca="1">_xll.DBRW($C$1,$C$2,$C$3,$C$4,$C$6,$C$5,$C$7,L$1,L$2,$A327)</f>
        <v>0</v>
      </c>
      <c r="M327" s="43">
        <f ca="1">_xll.DBRW($C$1,$C$2,$C$3,$C$4,$C$6,$C$5,$C$7,M$1,M$2,$A327)</f>
        <v>0</v>
      </c>
      <c r="N327" s="43">
        <f ca="1">_xll.DBRW($C$1,$C$2,$C$3,$C$4,$C$6,$C$5,$C$7,N$1,N$2,$A327)</f>
        <v>0</v>
      </c>
      <c r="O327" s="43">
        <f ca="1">_xll.DBRW($C$1,$C$2,$C$3,$C$4,$C$6,$C$5,$C$7,O$1,O$2,$A327)</f>
        <v>0</v>
      </c>
      <c r="P327" s="43">
        <f ca="1">_xll.DBRW($C$1,$C$2,$C$3,$C$4,$C$6,$C$5,$C$7,P$1,P$2,$A327)</f>
        <v>0</v>
      </c>
      <c r="Q327" s="43">
        <f ca="1">_xll.DBRW($C$1,$C$2,$C$3,$C$4,$C$6,$C$5,$C$7,Q$1,Q$2,$A327)</f>
        <v>0</v>
      </c>
      <c r="R327" s="43">
        <f ca="1">_xll.DBRW($C$1,$C$2,$C$3,$C$4,$C$6,$C$5,$C$7,R$1,R$2,$A327)</f>
        <v>0</v>
      </c>
      <c r="S327" s="43">
        <f ca="1">_xll.DBRW($C$1,$C$2,$C$3,$C$4,$C$6,$C$5,$C$7,S$1,S$2,$A327)</f>
        <v>0</v>
      </c>
      <c r="T327" s="43">
        <f ca="1">_xll.DBRW($C$1,$C$2,$C$3,$C$4,$C$6,$C$5,$C$7,T$1,T$2,$A327)</f>
        <v>0</v>
      </c>
      <c r="U327" s="43">
        <f ca="1">_xll.DBRW($C$1,$C$2,$C$3,$C$4,$C$6,$C$5,$C$7,U$1,U$2,$A327)</f>
        <v>0</v>
      </c>
      <c r="V327" s="43">
        <f ca="1">_xll.DBRW($C$1,$C$2,$C$3,$C$4,$C$6,$C$5,$C$7,V$1,V$2,$A327)</f>
        <v>0</v>
      </c>
      <c r="W327" s="43">
        <f ca="1">_xll.DBRW($C$1,$C$2,$C$3,$C$4,$C$6,$C$5,$C$7,W$1,W$2,$A327)</f>
        <v>0</v>
      </c>
      <c r="X327" s="43">
        <f ca="1">_xll.DBRW($C$1,$C$2,$C$3,$C$4,$C$6,$C$5,$C$7,X$1,X$2,$A327)</f>
        <v>0</v>
      </c>
      <c r="Y327" s="43">
        <f ca="1">_xll.DBRW($C$1,$C$2,$C$3,$C$4,$C$6,$C$5,$C$7,Y$1,Y$2,$A327)</f>
        <v>0</v>
      </c>
      <c r="Z327" s="43">
        <f ca="1">_xll.DBRW($C$1,$C$2,$C$3,$C$4,$C$6,$C$5,$C$7,Z$1,Z$2,$A327)</f>
        <v>0</v>
      </c>
      <c r="AA327" s="43">
        <f ca="1">_xll.DBRW($C$1,$C$2,$C$3,$C$4,$C$6,$C$5,$C$7,AA$1,AA$2,$A327)</f>
        <v>0</v>
      </c>
      <c r="AB327" s="43">
        <f ca="1">_xll.DBRW($C$1,$C$2,$C$3,$C$4,$C$6,$C$5,$C$7,AB$1,AB$2,$A327)</f>
        <v>0</v>
      </c>
      <c r="AC327" s="43">
        <f ca="1">_xll.DBRW($C$1,$C$2,$C$3,$C$4,$C$6,$C$5,$C$7,AC$1,AC$2,$A327)</f>
        <v>0</v>
      </c>
      <c r="AD327" s="43">
        <f ca="1">_xll.DBRW($C$1,$C$2,$C$3,$C$4,$C$6,$C$5,$C$7,AD$1,AD$2,$A327)</f>
        <v>0</v>
      </c>
      <c r="AE327" s="43">
        <f ca="1">_xll.DBRW($C$1,$C$2,$C$3,$C$4,$C$6,$C$5,$C$7,AE$1,AE$2,$A327)</f>
        <v>0</v>
      </c>
      <c r="AF327" s="43">
        <f ca="1">_xll.DBRW($C$1,$C$2,$C$3,$C$4,$C$6,$C$5,$C$7,AF$1,AF$2,$A327)</f>
        <v>0</v>
      </c>
      <c r="AG327" s="43">
        <f ca="1">_xll.DBRW($C$1,$C$2,$C$3,$C$4,$C$6,$C$5,$C$7,AG$1,AG$2,$A327)</f>
        <v>0</v>
      </c>
      <c r="AH327" s="43">
        <f ca="1">_xll.DBRW($C$1,$C$2,$C$3,$C$4,$C$6,$C$5,$C$7,AH$1,AH$2,$A327)</f>
        <v>0</v>
      </c>
      <c r="AI327" s="43">
        <f ca="1">_xll.DBRW($C$1,$C$2,$C$3,$C$4,$C$6,$C$5,$C$7,AI$1,AI$2,$A327)</f>
        <v>0</v>
      </c>
      <c r="AJ327" s="43">
        <f ca="1">_xll.DBRW($C$1,$C$2,$C$3,$C$4,$C$6,$C$5,$C$7,AJ$1,AJ$2,$A327)</f>
        <v>0</v>
      </c>
      <c r="AK327" s="43">
        <f ca="1">_xll.DBRW($C$1,$C$2,$C$3,$C$4,$C$6,$C$5,$C$7,AK$1,AK$2,$A327)</f>
        <v>0</v>
      </c>
      <c r="AL327" s="43">
        <f ca="1">_xll.DBRW($C$1,$C$2,$C$3,$C$4,$C$6,$C$5,$C$7,AL$1,AL$2,$A327)</f>
        <v>0</v>
      </c>
      <c r="AM327" s="43">
        <f ca="1">_xll.DBRW($C$1,$C$2,$C$3,$C$4,$C$6,$C$5,$C$7,AM$1,AM$2,$A327)</f>
        <v>0</v>
      </c>
      <c r="AN327" s="43">
        <f ca="1">_xll.DBRW($C$1,$C$2,$C$3,$C$4,$C$6,$C$5,$C$7,AN$1,AN$2,$A327)</f>
        <v>0</v>
      </c>
      <c r="AO327" s="43">
        <f ca="1">_xll.DBRW($C$1,$C$2,$C$3,$C$4,$C$6,$C$5,$C$7,AO$1,AO$2,$A327)</f>
        <v>0</v>
      </c>
      <c r="AP327" s="43">
        <f ca="1">_xll.DBRW($C$1,$C$2,$C$3,$C$4,$C$6,$C$5,$C$7,AP$1,AP$2,$A327)</f>
        <v>0</v>
      </c>
      <c r="AQ327" s="43">
        <f ca="1">_xll.DBRW($C$1,$C$2,$C$3,$C$4,$C$6,$C$5,$C$7,AQ$1,AQ$2,$A327)</f>
        <v>0</v>
      </c>
      <c r="AR327" s="43">
        <f ca="1">_xll.DBRW($C$1,$C$2,$C$3,$C$4,$C$6,$C$5,$C$7,AR$1,AR$2,$A327)</f>
        <v>0</v>
      </c>
      <c r="AS327" s="43">
        <f ca="1">_xll.DBRW($C$1,$C$2,$C$3,$C$4,$C$6,$C$5,$C$7,AS$1,AS$2,$A327)</f>
        <v>0</v>
      </c>
      <c r="AT327" s="43">
        <f ca="1">_xll.DBRW($C$1,$C$2,$C$3,$C$4,$C$6,$C$5,$C$7,AT$1,AT$2,$A327)</f>
        <v>0</v>
      </c>
      <c r="AU327" s="43">
        <f ca="1">_xll.DBRW($C$1,$C$2,$C$3,$C$4,$C$6,$C$5,$C$7,AU$1,AU$2,$A327)</f>
        <v>0</v>
      </c>
    </row>
    <row r="328" spans="1:47" ht="15.75" collapsed="1">
      <c r="A328" s="1" t="s">
        <v>127</v>
      </c>
      <c r="C328" s="141"/>
      <c r="E328" s="15" t="s">
        <v>87</v>
      </c>
      <c r="F328" s="43">
        <f t="shared" ref="F328:T328" ca="1" si="176">SUM(F327)</f>
        <v>0</v>
      </c>
      <c r="G328" s="43">
        <f t="shared" ca="1" si="176"/>
        <v>0</v>
      </c>
      <c r="H328" s="43">
        <f t="shared" ca="1" si="176"/>
        <v>0</v>
      </c>
      <c r="I328" s="43">
        <f t="shared" ca="1" si="176"/>
        <v>0</v>
      </c>
      <c r="J328" s="43">
        <f t="shared" ca="1" si="176"/>
        <v>0</v>
      </c>
      <c r="K328" s="43">
        <f t="shared" ca="1" si="176"/>
        <v>0</v>
      </c>
      <c r="L328" s="43">
        <f t="shared" ca="1" si="176"/>
        <v>0</v>
      </c>
      <c r="M328" s="43">
        <f t="shared" ca="1" si="176"/>
        <v>0</v>
      </c>
      <c r="N328" s="43">
        <f t="shared" ca="1" si="176"/>
        <v>0</v>
      </c>
      <c r="O328" s="43">
        <f t="shared" ca="1" si="176"/>
        <v>0</v>
      </c>
      <c r="P328" s="43">
        <f t="shared" ca="1" si="176"/>
        <v>0</v>
      </c>
      <c r="Q328" s="43">
        <f t="shared" ca="1" si="176"/>
        <v>0</v>
      </c>
      <c r="R328" s="43">
        <f t="shared" ca="1" si="176"/>
        <v>0</v>
      </c>
      <c r="S328" s="43">
        <f t="shared" ca="1" si="176"/>
        <v>0</v>
      </c>
      <c r="T328" s="43">
        <f t="shared" ca="1" si="176"/>
        <v>0</v>
      </c>
      <c r="U328" s="43">
        <f ca="1">SUM(U327)</f>
        <v>0</v>
      </c>
      <c r="V328" s="43">
        <f t="shared" ref="V328:AG328" ca="1" si="177">SUM(V327)</f>
        <v>0</v>
      </c>
      <c r="W328" s="43">
        <f t="shared" ca="1" si="177"/>
        <v>0</v>
      </c>
      <c r="X328" s="43">
        <f t="shared" ca="1" si="177"/>
        <v>0</v>
      </c>
      <c r="Y328" s="43">
        <f t="shared" ca="1" si="177"/>
        <v>0</v>
      </c>
      <c r="Z328" s="43">
        <f t="shared" ca="1" si="177"/>
        <v>0</v>
      </c>
      <c r="AA328" s="43">
        <f t="shared" ca="1" si="177"/>
        <v>0</v>
      </c>
      <c r="AB328" s="43">
        <f t="shared" ca="1" si="177"/>
        <v>0</v>
      </c>
      <c r="AC328" s="43">
        <f t="shared" ca="1" si="177"/>
        <v>0</v>
      </c>
      <c r="AD328" s="43">
        <f t="shared" ca="1" si="177"/>
        <v>0</v>
      </c>
      <c r="AE328" s="43">
        <f t="shared" ca="1" si="177"/>
        <v>0</v>
      </c>
      <c r="AF328" s="43">
        <f t="shared" ca="1" si="177"/>
        <v>0</v>
      </c>
      <c r="AG328" s="43">
        <f t="shared" ca="1" si="177"/>
        <v>0</v>
      </c>
      <c r="AH328" s="43">
        <f ca="1">SUM(AH327)</f>
        <v>0</v>
      </c>
      <c r="AI328" s="43">
        <f t="shared" ref="AI328:AT328" ca="1" si="178">SUM(AI327)</f>
        <v>0</v>
      </c>
      <c r="AJ328" s="43">
        <f t="shared" ca="1" si="178"/>
        <v>0</v>
      </c>
      <c r="AK328" s="43">
        <f t="shared" ca="1" si="178"/>
        <v>0</v>
      </c>
      <c r="AL328" s="43">
        <f t="shared" ca="1" si="178"/>
        <v>0</v>
      </c>
      <c r="AM328" s="43">
        <f t="shared" ca="1" si="178"/>
        <v>0</v>
      </c>
      <c r="AN328" s="43">
        <f t="shared" ca="1" si="178"/>
        <v>0</v>
      </c>
      <c r="AO328" s="43">
        <f t="shared" ca="1" si="178"/>
        <v>0</v>
      </c>
      <c r="AP328" s="43">
        <f t="shared" ca="1" si="178"/>
        <v>0</v>
      </c>
      <c r="AQ328" s="43">
        <f t="shared" ca="1" si="178"/>
        <v>0</v>
      </c>
      <c r="AR328" s="43">
        <f t="shared" ca="1" si="178"/>
        <v>0</v>
      </c>
      <c r="AS328" s="43">
        <f t="shared" ca="1" si="178"/>
        <v>0</v>
      </c>
      <c r="AT328" s="43">
        <f t="shared" ca="1" si="178"/>
        <v>0</v>
      </c>
      <c r="AU328" s="43">
        <f ca="1">SUM(AU327)</f>
        <v>0</v>
      </c>
    </row>
    <row r="329" spans="1:47" ht="15.75" hidden="1" customHeight="1" outlineLevel="1">
      <c r="A329" s="1" t="s">
        <v>341</v>
      </c>
      <c r="C329" s="141"/>
      <c r="E329" s="9" t="str">
        <f ca="1">_xll.DBRW(Server&amp;"}ElementAttributes_Indicator",A329,"code_English")</f>
        <v>Elec_consu - Electricity consumed (kwh)</v>
      </c>
      <c r="F329" s="43">
        <f ca="1">_xll.DBRW($C$1,$C$2,$C$3,$C$4,$C$6,$C$5,$C$7,F$1,F$2,$A329)</f>
        <v>0</v>
      </c>
      <c r="G329" s="43">
        <f ca="1">_xll.DBRW($C$1,$C$2,$C$3,$C$4,$C$6,$C$5,$C$7,G$1,G$2,$A329)</f>
        <v>0</v>
      </c>
      <c r="H329" s="43">
        <f ca="1">_xll.DBRW($C$1,$C$2,$C$3,$C$4,$C$6,$C$5,$C$7,H$1,H$2,$A329)</f>
        <v>0</v>
      </c>
      <c r="I329" s="43">
        <f ca="1">_xll.DBRW($C$1,$C$2,$C$3,$C$4,$C$6,$C$5,$C$7,I$1,I$2,$A329)</f>
        <v>0</v>
      </c>
      <c r="J329" s="43">
        <f ca="1">_xll.DBRW($C$1,$C$2,$C$3,$C$4,$C$6,$C$5,$C$7,J$1,J$2,$A329)</f>
        <v>0</v>
      </c>
      <c r="K329" s="43">
        <f ca="1">_xll.DBRW($C$1,$C$2,$C$3,$C$4,$C$6,$C$5,$C$7,K$1,K$2,$A329)</f>
        <v>0</v>
      </c>
      <c r="L329" s="43">
        <f ca="1">_xll.DBRW($C$1,$C$2,$C$3,$C$4,$C$6,$C$5,$C$7,L$1,L$2,$A329)</f>
        <v>0</v>
      </c>
      <c r="M329" s="43">
        <f ca="1">_xll.DBRW($C$1,$C$2,$C$3,$C$4,$C$6,$C$5,$C$7,M$1,M$2,$A329)</f>
        <v>0</v>
      </c>
      <c r="N329" s="43">
        <f ca="1">_xll.DBRW($C$1,$C$2,$C$3,$C$4,$C$6,$C$5,$C$7,N$1,N$2,$A329)</f>
        <v>0</v>
      </c>
      <c r="O329" s="43">
        <f ca="1">_xll.DBRW($C$1,$C$2,$C$3,$C$4,$C$6,$C$5,$C$7,O$1,O$2,$A329)</f>
        <v>0</v>
      </c>
      <c r="P329" s="43">
        <f ca="1">_xll.DBRW($C$1,$C$2,$C$3,$C$4,$C$6,$C$5,$C$7,P$1,P$2,$A329)</f>
        <v>0</v>
      </c>
      <c r="Q329" s="43">
        <f ca="1">_xll.DBRW($C$1,$C$2,$C$3,$C$4,$C$6,$C$5,$C$7,Q$1,Q$2,$A329)</f>
        <v>0</v>
      </c>
      <c r="R329" s="43">
        <f ca="1">_xll.DBRW($C$1,$C$2,$C$3,$C$4,$C$6,$C$5,$C$7,R$1,R$2,$A329)</f>
        <v>0</v>
      </c>
      <c r="S329" s="43">
        <f ca="1">_xll.DBRW($C$1,$C$2,$C$3,$C$4,$C$6,$C$5,$C$7,S$1,S$2,$A329)</f>
        <v>0</v>
      </c>
      <c r="T329" s="43">
        <f ca="1">_xll.DBRW($C$1,$C$2,$C$3,$C$4,$C$6,$C$5,$C$7,T$1,T$2,$A329)</f>
        <v>0</v>
      </c>
      <c r="U329" s="43">
        <f ca="1">_xll.DBRW($C$1,$C$2,$C$3,$C$4,$C$6,$C$5,$C$7,U$1,U$2,$A329)</f>
        <v>0</v>
      </c>
      <c r="V329" s="43">
        <f ca="1">_xll.DBRW($C$1,$C$2,$C$3,$C$4,$C$6,$C$5,$C$7,V$1,V$2,$A329)</f>
        <v>0</v>
      </c>
      <c r="W329" s="43">
        <f ca="1">_xll.DBRW($C$1,$C$2,$C$3,$C$4,$C$6,$C$5,$C$7,W$1,W$2,$A329)</f>
        <v>0</v>
      </c>
      <c r="X329" s="43">
        <f ca="1">_xll.DBRW($C$1,$C$2,$C$3,$C$4,$C$6,$C$5,$C$7,X$1,X$2,$A329)</f>
        <v>0</v>
      </c>
      <c r="Y329" s="43">
        <f ca="1">_xll.DBRW($C$1,$C$2,$C$3,$C$4,$C$6,$C$5,$C$7,Y$1,Y$2,$A329)</f>
        <v>0</v>
      </c>
      <c r="Z329" s="43">
        <f ca="1">_xll.DBRW($C$1,$C$2,$C$3,$C$4,$C$6,$C$5,$C$7,Z$1,Z$2,$A329)</f>
        <v>0</v>
      </c>
      <c r="AA329" s="43">
        <f ca="1">_xll.DBRW($C$1,$C$2,$C$3,$C$4,$C$6,$C$5,$C$7,AA$1,AA$2,$A329)</f>
        <v>0</v>
      </c>
      <c r="AB329" s="43">
        <f ca="1">_xll.DBRW($C$1,$C$2,$C$3,$C$4,$C$6,$C$5,$C$7,AB$1,AB$2,$A329)</f>
        <v>0</v>
      </c>
      <c r="AC329" s="43">
        <f ca="1">_xll.DBRW($C$1,$C$2,$C$3,$C$4,$C$6,$C$5,$C$7,AC$1,AC$2,$A329)</f>
        <v>0</v>
      </c>
      <c r="AD329" s="43">
        <f ca="1">_xll.DBRW($C$1,$C$2,$C$3,$C$4,$C$6,$C$5,$C$7,AD$1,AD$2,$A329)</f>
        <v>0</v>
      </c>
      <c r="AE329" s="43">
        <f ca="1">_xll.DBRW($C$1,$C$2,$C$3,$C$4,$C$6,$C$5,$C$7,AE$1,AE$2,$A329)</f>
        <v>0</v>
      </c>
      <c r="AF329" s="43">
        <f ca="1">_xll.DBRW($C$1,$C$2,$C$3,$C$4,$C$6,$C$5,$C$7,AF$1,AF$2,$A329)</f>
        <v>0</v>
      </c>
      <c r="AG329" s="43">
        <f ca="1">_xll.DBRW($C$1,$C$2,$C$3,$C$4,$C$6,$C$5,$C$7,AG$1,AG$2,$A329)</f>
        <v>0</v>
      </c>
      <c r="AH329" s="43">
        <f ca="1">_xll.DBRW($C$1,$C$2,$C$3,$C$4,$C$6,$C$5,$C$7,AH$1,AH$2,$A329)</f>
        <v>0</v>
      </c>
      <c r="AI329" s="43">
        <f ca="1">_xll.DBRW($C$1,$C$2,$C$3,$C$4,$C$6,$C$5,$C$7,AI$1,AI$2,$A329)</f>
        <v>0</v>
      </c>
      <c r="AJ329" s="43">
        <f ca="1">_xll.DBRW($C$1,$C$2,$C$3,$C$4,$C$6,$C$5,$C$7,AJ$1,AJ$2,$A329)</f>
        <v>0</v>
      </c>
      <c r="AK329" s="43">
        <f ca="1">_xll.DBRW($C$1,$C$2,$C$3,$C$4,$C$6,$C$5,$C$7,AK$1,AK$2,$A329)</f>
        <v>0</v>
      </c>
      <c r="AL329" s="43">
        <f ca="1">_xll.DBRW($C$1,$C$2,$C$3,$C$4,$C$6,$C$5,$C$7,AL$1,AL$2,$A329)</f>
        <v>0</v>
      </c>
      <c r="AM329" s="43">
        <f ca="1">_xll.DBRW($C$1,$C$2,$C$3,$C$4,$C$6,$C$5,$C$7,AM$1,AM$2,$A329)</f>
        <v>0</v>
      </c>
      <c r="AN329" s="43">
        <f ca="1">_xll.DBRW($C$1,$C$2,$C$3,$C$4,$C$6,$C$5,$C$7,AN$1,AN$2,$A329)</f>
        <v>0</v>
      </c>
      <c r="AO329" s="43">
        <f ca="1">_xll.DBRW($C$1,$C$2,$C$3,$C$4,$C$6,$C$5,$C$7,AO$1,AO$2,$A329)</f>
        <v>0</v>
      </c>
      <c r="AP329" s="43">
        <f ca="1">_xll.DBRW($C$1,$C$2,$C$3,$C$4,$C$6,$C$5,$C$7,AP$1,AP$2,$A329)</f>
        <v>0</v>
      </c>
      <c r="AQ329" s="43">
        <f ca="1">_xll.DBRW($C$1,$C$2,$C$3,$C$4,$C$6,$C$5,$C$7,AQ$1,AQ$2,$A329)</f>
        <v>0</v>
      </c>
      <c r="AR329" s="43">
        <f ca="1">_xll.DBRW($C$1,$C$2,$C$3,$C$4,$C$6,$C$5,$C$7,AR$1,AR$2,$A329)</f>
        <v>0</v>
      </c>
      <c r="AS329" s="43">
        <f ca="1">_xll.DBRW($C$1,$C$2,$C$3,$C$4,$C$6,$C$5,$C$7,AS$1,AS$2,$A329)</f>
        <v>0</v>
      </c>
      <c r="AT329" s="43">
        <f ca="1">_xll.DBRW($C$1,$C$2,$C$3,$C$4,$C$6,$C$5,$C$7,AT$1,AT$2,$A329)</f>
        <v>0</v>
      </c>
      <c r="AU329" s="43">
        <f ca="1">_xll.DBRW($C$1,$C$2,$C$3,$C$4,$C$6,$C$5,$C$7,AU$1,AU$2,$A329)</f>
        <v>0</v>
      </c>
    </row>
    <row r="330" spans="1:47" ht="15.75" collapsed="1">
      <c r="A330" s="1" t="s">
        <v>127</v>
      </c>
      <c r="C330" s="141"/>
      <c r="E330" s="15" t="s">
        <v>88</v>
      </c>
      <c r="F330" s="44">
        <f t="shared" ref="F330:T340" ca="1" si="179">SUM(F329)</f>
        <v>0</v>
      </c>
      <c r="G330" s="44">
        <f t="shared" ca="1" si="179"/>
        <v>0</v>
      </c>
      <c r="H330" s="44">
        <f t="shared" ca="1" si="179"/>
        <v>0</v>
      </c>
      <c r="I330" s="44">
        <f t="shared" ca="1" si="179"/>
        <v>0</v>
      </c>
      <c r="J330" s="44">
        <f t="shared" ca="1" si="179"/>
        <v>0</v>
      </c>
      <c r="K330" s="44">
        <f t="shared" ca="1" si="179"/>
        <v>0</v>
      </c>
      <c r="L330" s="44">
        <f t="shared" ca="1" si="179"/>
        <v>0</v>
      </c>
      <c r="M330" s="44">
        <f t="shared" ca="1" si="179"/>
        <v>0</v>
      </c>
      <c r="N330" s="44">
        <f t="shared" ca="1" si="179"/>
        <v>0</v>
      </c>
      <c r="O330" s="44">
        <f t="shared" ca="1" si="179"/>
        <v>0</v>
      </c>
      <c r="P330" s="44">
        <f t="shared" ca="1" si="179"/>
        <v>0</v>
      </c>
      <c r="Q330" s="44">
        <f t="shared" ca="1" si="179"/>
        <v>0</v>
      </c>
      <c r="R330" s="44">
        <f t="shared" ca="1" si="179"/>
        <v>0</v>
      </c>
      <c r="S330" s="44">
        <f t="shared" ca="1" si="179"/>
        <v>0</v>
      </c>
      <c r="T330" s="44">
        <f t="shared" ca="1" si="179"/>
        <v>0</v>
      </c>
      <c r="U330" s="44">
        <f ca="1">SUM(U329)</f>
        <v>0</v>
      </c>
      <c r="V330" s="44">
        <f t="shared" ref="V330:AG340" ca="1" si="180">SUM(V329)</f>
        <v>0</v>
      </c>
      <c r="W330" s="44">
        <f t="shared" ca="1" si="180"/>
        <v>0</v>
      </c>
      <c r="X330" s="44">
        <f t="shared" ca="1" si="180"/>
        <v>0</v>
      </c>
      <c r="Y330" s="44">
        <f t="shared" ca="1" si="180"/>
        <v>0</v>
      </c>
      <c r="Z330" s="44">
        <f t="shared" ca="1" si="180"/>
        <v>0</v>
      </c>
      <c r="AA330" s="44">
        <f t="shared" ca="1" si="180"/>
        <v>0</v>
      </c>
      <c r="AB330" s="44">
        <f t="shared" ca="1" si="180"/>
        <v>0</v>
      </c>
      <c r="AC330" s="44">
        <f t="shared" ca="1" si="180"/>
        <v>0</v>
      </c>
      <c r="AD330" s="44">
        <f t="shared" ca="1" si="180"/>
        <v>0</v>
      </c>
      <c r="AE330" s="44">
        <f t="shared" ca="1" si="180"/>
        <v>0</v>
      </c>
      <c r="AF330" s="44">
        <f t="shared" ca="1" si="180"/>
        <v>0</v>
      </c>
      <c r="AG330" s="44">
        <f t="shared" ca="1" si="180"/>
        <v>0</v>
      </c>
      <c r="AH330" s="44">
        <f ca="1">SUM(AH329)</f>
        <v>0</v>
      </c>
      <c r="AI330" s="44">
        <f t="shared" ref="AI330:AT340" ca="1" si="181">SUM(AI329)</f>
        <v>0</v>
      </c>
      <c r="AJ330" s="44">
        <f t="shared" ca="1" si="181"/>
        <v>0</v>
      </c>
      <c r="AK330" s="44">
        <f t="shared" ca="1" si="181"/>
        <v>0</v>
      </c>
      <c r="AL330" s="44">
        <f t="shared" ca="1" si="181"/>
        <v>0</v>
      </c>
      <c r="AM330" s="44">
        <f t="shared" ca="1" si="181"/>
        <v>0</v>
      </c>
      <c r="AN330" s="44">
        <f t="shared" ca="1" si="181"/>
        <v>0</v>
      </c>
      <c r="AO330" s="44">
        <f t="shared" ca="1" si="181"/>
        <v>0</v>
      </c>
      <c r="AP330" s="44">
        <f t="shared" ca="1" si="181"/>
        <v>0</v>
      </c>
      <c r="AQ330" s="44">
        <f t="shared" ca="1" si="181"/>
        <v>0</v>
      </c>
      <c r="AR330" s="44">
        <f t="shared" ca="1" si="181"/>
        <v>0</v>
      </c>
      <c r="AS330" s="44">
        <f t="shared" ca="1" si="181"/>
        <v>0</v>
      </c>
      <c r="AT330" s="44">
        <f t="shared" ca="1" si="181"/>
        <v>0</v>
      </c>
      <c r="AU330" s="44">
        <f ca="1">SUM(AU329)</f>
        <v>0</v>
      </c>
    </row>
    <row r="331" spans="1:47" ht="15.6" hidden="1" customHeight="1" outlineLevel="1">
      <c r="A331" s="1" t="s">
        <v>354</v>
      </c>
      <c r="C331" s="141"/>
      <c r="E331" s="9" t="str">
        <f ca="1">_xll.DBRW(Server&amp;"}ElementAttributes_Indicator",A331,"code_English")</f>
        <v>Tot_nb_bus_coach - Total number of buses/coaches</v>
      </c>
      <c r="F331" s="43">
        <f ca="1">_xll.DBRW($C$1,$C$2,$C$3,$C$4,$C$6,$C$5,$C$7,F$1,F$2,$A331)</f>
        <v>0</v>
      </c>
      <c r="G331" s="43">
        <f ca="1">_xll.DBRW($C$1,$C$2,$C$3,$C$4,$C$6,$C$5,$C$7,G$1,G$2,$A331)</f>
        <v>0</v>
      </c>
      <c r="H331" s="43">
        <f ca="1">_xll.DBRW($C$1,$C$2,$C$3,$C$4,$C$6,$C$5,$C$7,H$1,H$2,$A331)</f>
        <v>0</v>
      </c>
      <c r="I331" s="43">
        <f ca="1">_xll.DBRW($C$1,$C$2,$C$3,$C$4,$C$6,$C$5,$C$7,I$1,I$2,$A331)</f>
        <v>0</v>
      </c>
      <c r="J331" s="43">
        <f ca="1">_xll.DBRW($C$1,$C$2,$C$3,$C$4,$C$6,$C$5,$C$7,J$1,J$2,$A331)</f>
        <v>0</v>
      </c>
      <c r="K331" s="43">
        <f ca="1">_xll.DBRW($C$1,$C$2,$C$3,$C$4,$C$6,$C$5,$C$7,K$1,K$2,$A331)</f>
        <v>0</v>
      </c>
      <c r="L331" s="43">
        <f ca="1">_xll.DBRW($C$1,$C$2,$C$3,$C$4,$C$6,$C$5,$C$7,L$1,L$2,$A331)</f>
        <v>0</v>
      </c>
      <c r="M331" s="43">
        <f ca="1">_xll.DBRW($C$1,$C$2,$C$3,$C$4,$C$6,$C$5,$C$7,M$1,M$2,$A331)</f>
        <v>0</v>
      </c>
      <c r="N331" s="43">
        <f ca="1">_xll.DBRW($C$1,$C$2,$C$3,$C$4,$C$6,$C$5,$C$7,N$1,N$2,$A331)</f>
        <v>0</v>
      </c>
      <c r="O331" s="43">
        <f ca="1">_xll.DBRW($C$1,$C$2,$C$3,$C$4,$C$6,$C$5,$C$7,O$1,O$2,$A331)</f>
        <v>0</v>
      </c>
      <c r="P331" s="43">
        <f ca="1">_xll.DBRW($C$1,$C$2,$C$3,$C$4,$C$6,$C$5,$C$7,P$1,P$2,$A331)</f>
        <v>0</v>
      </c>
      <c r="Q331" s="43">
        <f ca="1">_xll.DBRW($C$1,$C$2,$C$3,$C$4,$C$6,$C$5,$C$7,Q$1,Q$2,$A331)</f>
        <v>0</v>
      </c>
      <c r="R331" s="43">
        <f ca="1">_xll.DBRW($C$1,$C$2,$C$3,$C$4,$C$6,$C$5,$C$7,R$1,R$2,$A331)</f>
        <v>0</v>
      </c>
      <c r="S331" s="43">
        <f ca="1">_xll.DBRW($C$1,$C$2,$C$3,$C$4,$C$6,$C$5,$C$7,S$1,S$2,$A331)</f>
        <v>0</v>
      </c>
      <c r="T331" s="43">
        <f ca="1">_xll.DBRW($C$1,$C$2,$C$3,$C$4,$C$6,$C$5,$C$7,T$1,T$2,$A331)</f>
        <v>0</v>
      </c>
      <c r="U331" s="43">
        <f ca="1">_xll.DBRW($C$1,$C$2,$C$3,$C$4,$C$6,$C$5,$C$7,U$1,U$2,$A331)</f>
        <v>0</v>
      </c>
      <c r="V331" s="43">
        <f ca="1">_xll.DBRW($C$1,$C$2,$C$3,$C$4,$C$6,$C$5,$C$7,V$1,V$2,$A331)</f>
        <v>0</v>
      </c>
      <c r="W331" s="43">
        <f ca="1">_xll.DBRW($C$1,$C$2,$C$3,$C$4,$C$6,$C$5,$C$7,W$1,W$2,$A331)</f>
        <v>0</v>
      </c>
      <c r="X331" s="43">
        <f ca="1">_xll.DBRW($C$1,$C$2,$C$3,$C$4,$C$6,$C$5,$C$7,X$1,X$2,$A331)</f>
        <v>0</v>
      </c>
      <c r="Y331" s="43">
        <f ca="1">_xll.DBRW($C$1,$C$2,$C$3,$C$4,$C$6,$C$5,$C$7,Y$1,Y$2,$A331)</f>
        <v>0</v>
      </c>
      <c r="Z331" s="43">
        <f ca="1">_xll.DBRW($C$1,$C$2,$C$3,$C$4,$C$6,$C$5,$C$7,Z$1,Z$2,$A331)</f>
        <v>0</v>
      </c>
      <c r="AA331" s="43">
        <f ca="1">_xll.DBRW($C$1,$C$2,$C$3,$C$4,$C$6,$C$5,$C$7,AA$1,AA$2,$A331)</f>
        <v>0</v>
      </c>
      <c r="AB331" s="43">
        <f ca="1">_xll.DBRW($C$1,$C$2,$C$3,$C$4,$C$6,$C$5,$C$7,AB$1,AB$2,$A331)</f>
        <v>0</v>
      </c>
      <c r="AC331" s="43">
        <f ca="1">_xll.DBRW($C$1,$C$2,$C$3,$C$4,$C$6,$C$5,$C$7,AC$1,AC$2,$A331)</f>
        <v>0</v>
      </c>
      <c r="AD331" s="43">
        <f ca="1">_xll.DBRW($C$1,$C$2,$C$3,$C$4,$C$6,$C$5,$C$7,AD$1,AD$2,$A331)</f>
        <v>0</v>
      </c>
      <c r="AE331" s="43">
        <f ca="1">_xll.DBRW($C$1,$C$2,$C$3,$C$4,$C$6,$C$5,$C$7,AE$1,AE$2,$A331)</f>
        <v>0</v>
      </c>
      <c r="AF331" s="43">
        <f ca="1">_xll.DBRW($C$1,$C$2,$C$3,$C$4,$C$6,$C$5,$C$7,AF$1,AF$2,$A331)</f>
        <v>0</v>
      </c>
      <c r="AG331" s="43">
        <f ca="1">_xll.DBRW($C$1,$C$2,$C$3,$C$4,$C$6,$C$5,$C$7,AG$1,AG$2,$A331)</f>
        <v>0</v>
      </c>
      <c r="AH331" s="43">
        <f ca="1">_xll.DBRW($C$1,$C$2,$C$3,$C$4,$C$6,$C$5,$C$7,AH$1,AH$2,$A331)</f>
        <v>0</v>
      </c>
      <c r="AI331" s="43">
        <f ca="1">_xll.DBRW($C$1,$C$2,$C$3,$C$4,$C$6,$C$5,$C$7,AI$1,AI$2,$A331)</f>
        <v>0</v>
      </c>
      <c r="AJ331" s="43">
        <f ca="1">_xll.DBRW($C$1,$C$2,$C$3,$C$4,$C$6,$C$5,$C$7,AJ$1,AJ$2,$A331)</f>
        <v>0</v>
      </c>
      <c r="AK331" s="43">
        <f ca="1">_xll.DBRW($C$1,$C$2,$C$3,$C$4,$C$6,$C$5,$C$7,AK$1,AK$2,$A331)</f>
        <v>0</v>
      </c>
      <c r="AL331" s="43">
        <f ca="1">_xll.DBRW($C$1,$C$2,$C$3,$C$4,$C$6,$C$5,$C$7,AL$1,AL$2,$A331)</f>
        <v>0</v>
      </c>
      <c r="AM331" s="43">
        <f ca="1">_xll.DBRW($C$1,$C$2,$C$3,$C$4,$C$6,$C$5,$C$7,AM$1,AM$2,$A331)</f>
        <v>0</v>
      </c>
      <c r="AN331" s="43">
        <f ca="1">_xll.DBRW($C$1,$C$2,$C$3,$C$4,$C$6,$C$5,$C$7,AN$1,AN$2,$A331)</f>
        <v>0</v>
      </c>
      <c r="AO331" s="43">
        <f ca="1">_xll.DBRW($C$1,$C$2,$C$3,$C$4,$C$6,$C$5,$C$7,AO$1,AO$2,$A331)</f>
        <v>0</v>
      </c>
      <c r="AP331" s="43">
        <f ca="1">_xll.DBRW($C$1,$C$2,$C$3,$C$4,$C$6,$C$5,$C$7,AP$1,AP$2,$A331)</f>
        <v>0</v>
      </c>
      <c r="AQ331" s="43">
        <f ca="1">_xll.DBRW($C$1,$C$2,$C$3,$C$4,$C$6,$C$5,$C$7,AQ$1,AQ$2,$A331)</f>
        <v>0</v>
      </c>
      <c r="AR331" s="43">
        <f ca="1">_xll.DBRW($C$1,$C$2,$C$3,$C$4,$C$6,$C$5,$C$7,AR$1,AR$2,$A331)</f>
        <v>0</v>
      </c>
      <c r="AS331" s="43">
        <f ca="1">_xll.DBRW($C$1,$C$2,$C$3,$C$4,$C$6,$C$5,$C$7,AS$1,AS$2,$A331)</f>
        <v>0</v>
      </c>
      <c r="AT331" s="43">
        <f ca="1">_xll.DBRW($C$1,$C$2,$C$3,$C$4,$C$6,$C$5,$C$7,AT$1,AT$2,$A331)</f>
        <v>0</v>
      </c>
      <c r="AU331" s="43">
        <f ca="1">_xll.DBRW($C$1,$C$2,$C$3,$C$4,$C$6,$C$5,$C$7,AU$1,AU$2,$A331)</f>
        <v>0</v>
      </c>
    </row>
    <row r="332" spans="1:47" ht="15.75" collapsed="1">
      <c r="A332" s="1" t="s">
        <v>127</v>
      </c>
      <c r="C332" s="141"/>
      <c r="E332" s="15" t="s">
        <v>89</v>
      </c>
      <c r="F332" s="44">
        <f t="shared" ca="1" si="179"/>
        <v>0</v>
      </c>
      <c r="G332" s="44">
        <f t="shared" ca="1" si="179"/>
        <v>0</v>
      </c>
      <c r="H332" s="44">
        <f t="shared" ca="1" si="179"/>
        <v>0</v>
      </c>
      <c r="I332" s="44">
        <f t="shared" ca="1" si="179"/>
        <v>0</v>
      </c>
      <c r="J332" s="44">
        <f t="shared" ca="1" si="179"/>
        <v>0</v>
      </c>
      <c r="K332" s="44">
        <f t="shared" ca="1" si="179"/>
        <v>0</v>
      </c>
      <c r="L332" s="44">
        <f t="shared" ca="1" si="179"/>
        <v>0</v>
      </c>
      <c r="M332" s="44">
        <f t="shared" ca="1" si="179"/>
        <v>0</v>
      </c>
      <c r="N332" s="44">
        <f t="shared" ca="1" si="179"/>
        <v>0</v>
      </c>
      <c r="O332" s="44">
        <f t="shared" ca="1" si="179"/>
        <v>0</v>
      </c>
      <c r="P332" s="44">
        <f t="shared" ca="1" si="179"/>
        <v>0</v>
      </c>
      <c r="Q332" s="44">
        <f t="shared" ca="1" si="179"/>
        <v>0</v>
      </c>
      <c r="R332" s="44">
        <f t="shared" ca="1" si="179"/>
        <v>0</v>
      </c>
      <c r="S332" s="44">
        <f t="shared" ca="1" si="179"/>
        <v>0</v>
      </c>
      <c r="T332" s="44">
        <f t="shared" ca="1" si="179"/>
        <v>0</v>
      </c>
      <c r="U332" s="44">
        <f ca="1">SUM(U331)</f>
        <v>0</v>
      </c>
      <c r="V332" s="44">
        <f t="shared" ca="1" si="180"/>
        <v>0</v>
      </c>
      <c r="W332" s="44">
        <f t="shared" ca="1" si="180"/>
        <v>0</v>
      </c>
      <c r="X332" s="44">
        <f t="shared" ca="1" si="180"/>
        <v>0</v>
      </c>
      <c r="Y332" s="44">
        <f t="shared" ca="1" si="180"/>
        <v>0</v>
      </c>
      <c r="Z332" s="44">
        <f t="shared" ca="1" si="180"/>
        <v>0</v>
      </c>
      <c r="AA332" s="44">
        <f t="shared" ca="1" si="180"/>
        <v>0</v>
      </c>
      <c r="AB332" s="44">
        <f t="shared" ca="1" si="180"/>
        <v>0</v>
      </c>
      <c r="AC332" s="44">
        <f t="shared" ca="1" si="180"/>
        <v>0</v>
      </c>
      <c r="AD332" s="44">
        <f t="shared" ca="1" si="180"/>
        <v>0</v>
      </c>
      <c r="AE332" s="44">
        <f t="shared" ca="1" si="180"/>
        <v>0</v>
      </c>
      <c r="AF332" s="44">
        <f t="shared" ca="1" si="180"/>
        <v>0</v>
      </c>
      <c r="AG332" s="44">
        <f t="shared" ca="1" si="180"/>
        <v>0</v>
      </c>
      <c r="AH332" s="44">
        <f ca="1">SUM(AH331)</f>
        <v>0</v>
      </c>
      <c r="AI332" s="44">
        <f t="shared" ca="1" si="181"/>
        <v>0</v>
      </c>
      <c r="AJ332" s="44">
        <f t="shared" ca="1" si="181"/>
        <v>0</v>
      </c>
      <c r="AK332" s="44">
        <f t="shared" ca="1" si="181"/>
        <v>0</v>
      </c>
      <c r="AL332" s="44">
        <f t="shared" ca="1" si="181"/>
        <v>0</v>
      </c>
      <c r="AM332" s="44">
        <f t="shared" ca="1" si="181"/>
        <v>0</v>
      </c>
      <c r="AN332" s="44">
        <f t="shared" ca="1" si="181"/>
        <v>0</v>
      </c>
      <c r="AO332" s="44">
        <f t="shared" ca="1" si="181"/>
        <v>0</v>
      </c>
      <c r="AP332" s="44">
        <f t="shared" ca="1" si="181"/>
        <v>0</v>
      </c>
      <c r="AQ332" s="44">
        <f t="shared" ca="1" si="181"/>
        <v>0</v>
      </c>
      <c r="AR332" s="44">
        <f t="shared" ca="1" si="181"/>
        <v>0</v>
      </c>
      <c r="AS332" s="44">
        <f t="shared" ca="1" si="181"/>
        <v>0</v>
      </c>
      <c r="AT332" s="44">
        <f t="shared" ca="1" si="181"/>
        <v>0</v>
      </c>
      <c r="AU332" s="44">
        <f ca="1">SUM(AU331)</f>
        <v>0</v>
      </c>
    </row>
    <row r="333" spans="1:47" ht="15.6" hidden="1" customHeight="1" outlineLevel="1">
      <c r="A333" s="1" t="s">
        <v>355</v>
      </c>
      <c r="C333" s="141"/>
      <c r="E333" s="9" t="str">
        <f ca="1">_xll.DBRW(Server&amp;"}ElementAttributes_Indicator",A333,"code_English")</f>
        <v>Tot_nb_light_vehicle - Total number of light vehicles</v>
      </c>
      <c r="F333" s="43">
        <f ca="1">_xll.DBRW($C$1,$C$2,$C$3,$C$4,$C$6,$C$5,$C$7,F$1,F$2,$A333)</f>
        <v>0</v>
      </c>
      <c r="G333" s="43">
        <f ca="1">_xll.DBRW($C$1,$C$2,$C$3,$C$4,$C$6,$C$5,$C$7,G$1,G$2,$A333)</f>
        <v>0</v>
      </c>
      <c r="H333" s="43">
        <f ca="1">_xll.DBRW($C$1,$C$2,$C$3,$C$4,$C$6,$C$5,$C$7,H$1,H$2,$A333)</f>
        <v>0</v>
      </c>
      <c r="I333" s="43">
        <f ca="1">_xll.DBRW($C$1,$C$2,$C$3,$C$4,$C$6,$C$5,$C$7,I$1,I$2,$A333)</f>
        <v>0</v>
      </c>
      <c r="J333" s="43">
        <f ca="1">_xll.DBRW($C$1,$C$2,$C$3,$C$4,$C$6,$C$5,$C$7,J$1,J$2,$A333)</f>
        <v>0</v>
      </c>
      <c r="K333" s="43">
        <f ca="1">_xll.DBRW($C$1,$C$2,$C$3,$C$4,$C$6,$C$5,$C$7,K$1,K$2,$A333)</f>
        <v>0</v>
      </c>
      <c r="L333" s="43">
        <f ca="1">_xll.DBRW($C$1,$C$2,$C$3,$C$4,$C$6,$C$5,$C$7,L$1,L$2,$A333)</f>
        <v>0</v>
      </c>
      <c r="M333" s="43">
        <f ca="1">_xll.DBRW($C$1,$C$2,$C$3,$C$4,$C$6,$C$5,$C$7,M$1,M$2,$A333)</f>
        <v>0</v>
      </c>
      <c r="N333" s="43">
        <f ca="1">_xll.DBRW($C$1,$C$2,$C$3,$C$4,$C$6,$C$5,$C$7,N$1,N$2,$A333)</f>
        <v>0</v>
      </c>
      <c r="O333" s="43">
        <f ca="1">_xll.DBRW($C$1,$C$2,$C$3,$C$4,$C$6,$C$5,$C$7,O$1,O$2,$A333)</f>
        <v>0</v>
      </c>
      <c r="P333" s="43">
        <f ca="1">_xll.DBRW($C$1,$C$2,$C$3,$C$4,$C$6,$C$5,$C$7,P$1,P$2,$A333)</f>
        <v>0</v>
      </c>
      <c r="Q333" s="43">
        <f ca="1">_xll.DBRW($C$1,$C$2,$C$3,$C$4,$C$6,$C$5,$C$7,Q$1,Q$2,$A333)</f>
        <v>0</v>
      </c>
      <c r="R333" s="43">
        <f ca="1">_xll.DBRW($C$1,$C$2,$C$3,$C$4,$C$6,$C$5,$C$7,R$1,R$2,$A333)</f>
        <v>0</v>
      </c>
      <c r="S333" s="43">
        <f ca="1">_xll.DBRW($C$1,$C$2,$C$3,$C$4,$C$6,$C$5,$C$7,S$1,S$2,$A333)</f>
        <v>0</v>
      </c>
      <c r="T333" s="43">
        <f ca="1">_xll.DBRW($C$1,$C$2,$C$3,$C$4,$C$6,$C$5,$C$7,T$1,T$2,$A333)</f>
        <v>0</v>
      </c>
      <c r="U333" s="43">
        <f ca="1">_xll.DBRW($C$1,$C$2,$C$3,$C$4,$C$6,$C$5,$C$7,U$1,U$2,$A333)</f>
        <v>0</v>
      </c>
      <c r="V333" s="43">
        <f ca="1">_xll.DBRW($C$1,$C$2,$C$3,$C$4,$C$6,$C$5,$C$7,V$1,V$2,$A333)</f>
        <v>0</v>
      </c>
      <c r="W333" s="43">
        <f ca="1">_xll.DBRW($C$1,$C$2,$C$3,$C$4,$C$6,$C$5,$C$7,W$1,W$2,$A333)</f>
        <v>0</v>
      </c>
      <c r="X333" s="43">
        <f ca="1">_xll.DBRW($C$1,$C$2,$C$3,$C$4,$C$6,$C$5,$C$7,X$1,X$2,$A333)</f>
        <v>0</v>
      </c>
      <c r="Y333" s="43">
        <f ca="1">_xll.DBRW($C$1,$C$2,$C$3,$C$4,$C$6,$C$5,$C$7,Y$1,Y$2,$A333)</f>
        <v>0</v>
      </c>
      <c r="Z333" s="43">
        <f ca="1">_xll.DBRW($C$1,$C$2,$C$3,$C$4,$C$6,$C$5,$C$7,Z$1,Z$2,$A333)</f>
        <v>0</v>
      </c>
      <c r="AA333" s="43">
        <f ca="1">_xll.DBRW($C$1,$C$2,$C$3,$C$4,$C$6,$C$5,$C$7,AA$1,AA$2,$A333)</f>
        <v>0</v>
      </c>
      <c r="AB333" s="43">
        <f ca="1">_xll.DBRW($C$1,$C$2,$C$3,$C$4,$C$6,$C$5,$C$7,AB$1,AB$2,$A333)</f>
        <v>0</v>
      </c>
      <c r="AC333" s="43">
        <f ca="1">_xll.DBRW($C$1,$C$2,$C$3,$C$4,$C$6,$C$5,$C$7,AC$1,AC$2,$A333)</f>
        <v>0</v>
      </c>
      <c r="AD333" s="43">
        <f ca="1">_xll.DBRW($C$1,$C$2,$C$3,$C$4,$C$6,$C$5,$C$7,AD$1,AD$2,$A333)</f>
        <v>0</v>
      </c>
      <c r="AE333" s="43">
        <f ca="1">_xll.DBRW($C$1,$C$2,$C$3,$C$4,$C$6,$C$5,$C$7,AE$1,AE$2,$A333)</f>
        <v>0</v>
      </c>
      <c r="AF333" s="43">
        <f ca="1">_xll.DBRW($C$1,$C$2,$C$3,$C$4,$C$6,$C$5,$C$7,AF$1,AF$2,$A333)</f>
        <v>0</v>
      </c>
      <c r="AG333" s="43">
        <f ca="1">_xll.DBRW($C$1,$C$2,$C$3,$C$4,$C$6,$C$5,$C$7,AG$1,AG$2,$A333)</f>
        <v>0</v>
      </c>
      <c r="AH333" s="43">
        <f ca="1">_xll.DBRW($C$1,$C$2,$C$3,$C$4,$C$6,$C$5,$C$7,AH$1,AH$2,$A333)</f>
        <v>0</v>
      </c>
      <c r="AI333" s="43">
        <f ca="1">_xll.DBRW($C$1,$C$2,$C$3,$C$4,$C$6,$C$5,$C$7,AI$1,AI$2,$A333)</f>
        <v>0</v>
      </c>
      <c r="AJ333" s="43">
        <f ca="1">_xll.DBRW($C$1,$C$2,$C$3,$C$4,$C$6,$C$5,$C$7,AJ$1,AJ$2,$A333)</f>
        <v>0</v>
      </c>
      <c r="AK333" s="43">
        <f ca="1">_xll.DBRW($C$1,$C$2,$C$3,$C$4,$C$6,$C$5,$C$7,AK$1,AK$2,$A333)</f>
        <v>0</v>
      </c>
      <c r="AL333" s="43">
        <f ca="1">_xll.DBRW($C$1,$C$2,$C$3,$C$4,$C$6,$C$5,$C$7,AL$1,AL$2,$A333)</f>
        <v>0</v>
      </c>
      <c r="AM333" s="43">
        <f ca="1">_xll.DBRW($C$1,$C$2,$C$3,$C$4,$C$6,$C$5,$C$7,AM$1,AM$2,$A333)</f>
        <v>0</v>
      </c>
      <c r="AN333" s="43">
        <f ca="1">_xll.DBRW($C$1,$C$2,$C$3,$C$4,$C$6,$C$5,$C$7,AN$1,AN$2,$A333)</f>
        <v>0</v>
      </c>
      <c r="AO333" s="43">
        <f ca="1">_xll.DBRW($C$1,$C$2,$C$3,$C$4,$C$6,$C$5,$C$7,AO$1,AO$2,$A333)</f>
        <v>0</v>
      </c>
      <c r="AP333" s="43">
        <f ca="1">_xll.DBRW($C$1,$C$2,$C$3,$C$4,$C$6,$C$5,$C$7,AP$1,AP$2,$A333)</f>
        <v>0</v>
      </c>
      <c r="AQ333" s="43">
        <f ca="1">_xll.DBRW($C$1,$C$2,$C$3,$C$4,$C$6,$C$5,$C$7,AQ$1,AQ$2,$A333)</f>
        <v>0</v>
      </c>
      <c r="AR333" s="43">
        <f ca="1">_xll.DBRW($C$1,$C$2,$C$3,$C$4,$C$6,$C$5,$C$7,AR$1,AR$2,$A333)</f>
        <v>0</v>
      </c>
      <c r="AS333" s="43">
        <f ca="1">_xll.DBRW($C$1,$C$2,$C$3,$C$4,$C$6,$C$5,$C$7,AS$1,AS$2,$A333)</f>
        <v>0</v>
      </c>
      <c r="AT333" s="43">
        <f ca="1">_xll.DBRW($C$1,$C$2,$C$3,$C$4,$C$6,$C$5,$C$7,AT$1,AT$2,$A333)</f>
        <v>0</v>
      </c>
      <c r="AU333" s="43">
        <f ca="1">_xll.DBRW($C$1,$C$2,$C$3,$C$4,$C$6,$C$5,$C$7,AU$1,AU$2,$A333)</f>
        <v>0</v>
      </c>
    </row>
    <row r="334" spans="1:47" ht="15.75" collapsed="1">
      <c r="A334" s="1" t="s">
        <v>127</v>
      </c>
      <c r="C334" s="141"/>
      <c r="E334" s="15" t="s">
        <v>90</v>
      </c>
      <c r="F334" s="44">
        <f t="shared" ca="1" si="179"/>
        <v>0</v>
      </c>
      <c r="G334" s="44">
        <f t="shared" ca="1" si="179"/>
        <v>0</v>
      </c>
      <c r="H334" s="44">
        <f t="shared" ca="1" si="179"/>
        <v>0</v>
      </c>
      <c r="I334" s="44">
        <f t="shared" ca="1" si="179"/>
        <v>0</v>
      </c>
      <c r="J334" s="44">
        <f t="shared" ca="1" si="179"/>
        <v>0</v>
      </c>
      <c r="K334" s="44">
        <f t="shared" ca="1" si="179"/>
        <v>0</v>
      </c>
      <c r="L334" s="44">
        <f t="shared" ca="1" si="179"/>
        <v>0</v>
      </c>
      <c r="M334" s="44">
        <f t="shared" ca="1" si="179"/>
        <v>0</v>
      </c>
      <c r="N334" s="44">
        <f t="shared" ca="1" si="179"/>
        <v>0</v>
      </c>
      <c r="O334" s="44">
        <f t="shared" ca="1" si="179"/>
        <v>0</v>
      </c>
      <c r="P334" s="44">
        <f t="shared" ca="1" si="179"/>
        <v>0</v>
      </c>
      <c r="Q334" s="44">
        <f t="shared" ca="1" si="179"/>
        <v>0</v>
      </c>
      <c r="R334" s="44">
        <f t="shared" ca="1" si="179"/>
        <v>0</v>
      </c>
      <c r="S334" s="44">
        <f t="shared" ca="1" si="179"/>
        <v>0</v>
      </c>
      <c r="T334" s="44">
        <f t="shared" ca="1" si="179"/>
        <v>0</v>
      </c>
      <c r="U334" s="44">
        <f ca="1">SUM(U333)</f>
        <v>0</v>
      </c>
      <c r="V334" s="44">
        <f t="shared" ca="1" si="180"/>
        <v>0</v>
      </c>
      <c r="W334" s="44">
        <f t="shared" ca="1" si="180"/>
        <v>0</v>
      </c>
      <c r="X334" s="44">
        <f t="shared" ca="1" si="180"/>
        <v>0</v>
      </c>
      <c r="Y334" s="44">
        <f t="shared" ca="1" si="180"/>
        <v>0</v>
      </c>
      <c r="Z334" s="44">
        <f t="shared" ca="1" si="180"/>
        <v>0</v>
      </c>
      <c r="AA334" s="44">
        <f t="shared" ca="1" si="180"/>
        <v>0</v>
      </c>
      <c r="AB334" s="44">
        <f t="shared" ca="1" si="180"/>
        <v>0</v>
      </c>
      <c r="AC334" s="44">
        <f t="shared" ca="1" si="180"/>
        <v>0</v>
      </c>
      <c r="AD334" s="44">
        <f t="shared" ca="1" si="180"/>
        <v>0</v>
      </c>
      <c r="AE334" s="44">
        <f t="shared" ca="1" si="180"/>
        <v>0</v>
      </c>
      <c r="AF334" s="44">
        <f t="shared" ca="1" si="180"/>
        <v>0</v>
      </c>
      <c r="AG334" s="44">
        <f t="shared" ca="1" si="180"/>
        <v>0</v>
      </c>
      <c r="AH334" s="44">
        <f ca="1">SUM(AH333)</f>
        <v>0</v>
      </c>
      <c r="AI334" s="44">
        <f t="shared" ca="1" si="181"/>
        <v>0</v>
      </c>
      <c r="AJ334" s="44">
        <f t="shared" ca="1" si="181"/>
        <v>0</v>
      </c>
      <c r="AK334" s="44">
        <f t="shared" ca="1" si="181"/>
        <v>0</v>
      </c>
      <c r="AL334" s="44">
        <f t="shared" ca="1" si="181"/>
        <v>0</v>
      </c>
      <c r="AM334" s="44">
        <f t="shared" ca="1" si="181"/>
        <v>0</v>
      </c>
      <c r="AN334" s="44">
        <f t="shared" ca="1" si="181"/>
        <v>0</v>
      </c>
      <c r="AO334" s="44">
        <f t="shared" ca="1" si="181"/>
        <v>0</v>
      </c>
      <c r="AP334" s="44">
        <f t="shared" ca="1" si="181"/>
        <v>0</v>
      </c>
      <c r="AQ334" s="44">
        <f t="shared" ca="1" si="181"/>
        <v>0</v>
      </c>
      <c r="AR334" s="44">
        <f t="shared" ca="1" si="181"/>
        <v>0</v>
      </c>
      <c r="AS334" s="44">
        <f t="shared" ca="1" si="181"/>
        <v>0</v>
      </c>
      <c r="AT334" s="44">
        <f t="shared" ca="1" si="181"/>
        <v>0</v>
      </c>
      <c r="AU334" s="44">
        <f ca="1">SUM(AU333)</f>
        <v>0</v>
      </c>
    </row>
    <row r="335" spans="1:47" ht="15.6" hidden="1" customHeight="1" outlineLevel="1">
      <c r="A335" s="1" t="s">
        <v>356</v>
      </c>
      <c r="C335" s="141"/>
      <c r="E335" s="9" t="str">
        <f ca="1">_xll.DBRW(Server&amp;"}ElementAttributes_Indicator",A335,"code_English")</f>
        <v>Tot_nb_LRV - Total number of LRV</v>
      </c>
      <c r="F335" s="43">
        <f ca="1">_xll.DBRW($C$1,$C$2,$C$3,$C$4,$C$6,$C$5,$C$7,F$1,F$2,$A335)</f>
        <v>0</v>
      </c>
      <c r="G335" s="43">
        <f ca="1">_xll.DBRW($C$1,$C$2,$C$3,$C$4,$C$6,$C$5,$C$7,G$1,G$2,$A335)</f>
        <v>0</v>
      </c>
      <c r="H335" s="43">
        <f ca="1">_xll.DBRW($C$1,$C$2,$C$3,$C$4,$C$6,$C$5,$C$7,H$1,H$2,$A335)</f>
        <v>0</v>
      </c>
      <c r="I335" s="43">
        <f ca="1">_xll.DBRW($C$1,$C$2,$C$3,$C$4,$C$6,$C$5,$C$7,I$1,I$2,$A335)</f>
        <v>0</v>
      </c>
      <c r="J335" s="43">
        <f ca="1">_xll.DBRW($C$1,$C$2,$C$3,$C$4,$C$6,$C$5,$C$7,J$1,J$2,$A335)</f>
        <v>0</v>
      </c>
      <c r="K335" s="43">
        <f ca="1">_xll.DBRW($C$1,$C$2,$C$3,$C$4,$C$6,$C$5,$C$7,K$1,K$2,$A335)</f>
        <v>0</v>
      </c>
      <c r="L335" s="43">
        <f ca="1">_xll.DBRW($C$1,$C$2,$C$3,$C$4,$C$6,$C$5,$C$7,L$1,L$2,$A335)</f>
        <v>0</v>
      </c>
      <c r="M335" s="43">
        <f ca="1">_xll.DBRW($C$1,$C$2,$C$3,$C$4,$C$6,$C$5,$C$7,M$1,M$2,$A335)</f>
        <v>0</v>
      </c>
      <c r="N335" s="43">
        <f ca="1">_xll.DBRW($C$1,$C$2,$C$3,$C$4,$C$6,$C$5,$C$7,N$1,N$2,$A335)</f>
        <v>0</v>
      </c>
      <c r="O335" s="43">
        <f ca="1">_xll.DBRW($C$1,$C$2,$C$3,$C$4,$C$6,$C$5,$C$7,O$1,O$2,$A335)</f>
        <v>0</v>
      </c>
      <c r="P335" s="43">
        <f ca="1">_xll.DBRW($C$1,$C$2,$C$3,$C$4,$C$6,$C$5,$C$7,P$1,P$2,$A335)</f>
        <v>0</v>
      </c>
      <c r="Q335" s="43">
        <f ca="1">_xll.DBRW($C$1,$C$2,$C$3,$C$4,$C$6,$C$5,$C$7,Q$1,Q$2,$A335)</f>
        <v>0</v>
      </c>
      <c r="R335" s="43">
        <f ca="1">_xll.DBRW($C$1,$C$2,$C$3,$C$4,$C$6,$C$5,$C$7,R$1,R$2,$A335)</f>
        <v>0</v>
      </c>
      <c r="S335" s="43">
        <f ca="1">_xll.DBRW($C$1,$C$2,$C$3,$C$4,$C$6,$C$5,$C$7,S$1,S$2,$A335)</f>
        <v>0</v>
      </c>
      <c r="T335" s="43">
        <f ca="1">_xll.DBRW($C$1,$C$2,$C$3,$C$4,$C$6,$C$5,$C$7,T$1,T$2,$A335)</f>
        <v>0</v>
      </c>
      <c r="U335" s="43">
        <f ca="1">_xll.DBRW($C$1,$C$2,$C$3,$C$4,$C$6,$C$5,$C$7,U$1,U$2,$A335)</f>
        <v>0</v>
      </c>
      <c r="V335" s="43">
        <f ca="1">_xll.DBRW($C$1,$C$2,$C$3,$C$4,$C$6,$C$5,$C$7,V$1,V$2,$A335)</f>
        <v>0</v>
      </c>
      <c r="W335" s="43">
        <f ca="1">_xll.DBRW($C$1,$C$2,$C$3,$C$4,$C$6,$C$5,$C$7,W$1,W$2,$A335)</f>
        <v>0</v>
      </c>
      <c r="X335" s="43">
        <f ca="1">_xll.DBRW($C$1,$C$2,$C$3,$C$4,$C$6,$C$5,$C$7,X$1,X$2,$A335)</f>
        <v>0</v>
      </c>
      <c r="Y335" s="43">
        <f ca="1">_xll.DBRW($C$1,$C$2,$C$3,$C$4,$C$6,$C$5,$C$7,Y$1,Y$2,$A335)</f>
        <v>0</v>
      </c>
      <c r="Z335" s="43">
        <f ca="1">_xll.DBRW($C$1,$C$2,$C$3,$C$4,$C$6,$C$5,$C$7,Z$1,Z$2,$A335)</f>
        <v>0</v>
      </c>
      <c r="AA335" s="43">
        <f ca="1">_xll.DBRW($C$1,$C$2,$C$3,$C$4,$C$6,$C$5,$C$7,AA$1,AA$2,$A335)</f>
        <v>0</v>
      </c>
      <c r="AB335" s="43">
        <f ca="1">_xll.DBRW($C$1,$C$2,$C$3,$C$4,$C$6,$C$5,$C$7,AB$1,AB$2,$A335)</f>
        <v>0</v>
      </c>
      <c r="AC335" s="43">
        <f ca="1">_xll.DBRW($C$1,$C$2,$C$3,$C$4,$C$6,$C$5,$C$7,AC$1,AC$2,$A335)</f>
        <v>0</v>
      </c>
      <c r="AD335" s="43">
        <f ca="1">_xll.DBRW($C$1,$C$2,$C$3,$C$4,$C$6,$C$5,$C$7,AD$1,AD$2,$A335)</f>
        <v>0</v>
      </c>
      <c r="AE335" s="43">
        <f ca="1">_xll.DBRW($C$1,$C$2,$C$3,$C$4,$C$6,$C$5,$C$7,AE$1,AE$2,$A335)</f>
        <v>0</v>
      </c>
      <c r="AF335" s="43">
        <f ca="1">_xll.DBRW($C$1,$C$2,$C$3,$C$4,$C$6,$C$5,$C$7,AF$1,AF$2,$A335)</f>
        <v>0</v>
      </c>
      <c r="AG335" s="43">
        <f ca="1">_xll.DBRW($C$1,$C$2,$C$3,$C$4,$C$6,$C$5,$C$7,AG$1,AG$2,$A335)</f>
        <v>0</v>
      </c>
      <c r="AH335" s="43">
        <f ca="1">_xll.DBRW($C$1,$C$2,$C$3,$C$4,$C$6,$C$5,$C$7,AH$1,AH$2,$A335)</f>
        <v>0</v>
      </c>
      <c r="AI335" s="43">
        <f ca="1">_xll.DBRW($C$1,$C$2,$C$3,$C$4,$C$6,$C$5,$C$7,AI$1,AI$2,$A335)</f>
        <v>0</v>
      </c>
      <c r="AJ335" s="43">
        <f ca="1">_xll.DBRW($C$1,$C$2,$C$3,$C$4,$C$6,$C$5,$C$7,AJ$1,AJ$2,$A335)</f>
        <v>0</v>
      </c>
      <c r="AK335" s="43">
        <f ca="1">_xll.DBRW($C$1,$C$2,$C$3,$C$4,$C$6,$C$5,$C$7,AK$1,AK$2,$A335)</f>
        <v>0</v>
      </c>
      <c r="AL335" s="43">
        <f ca="1">_xll.DBRW($C$1,$C$2,$C$3,$C$4,$C$6,$C$5,$C$7,AL$1,AL$2,$A335)</f>
        <v>0</v>
      </c>
      <c r="AM335" s="43">
        <f ca="1">_xll.DBRW($C$1,$C$2,$C$3,$C$4,$C$6,$C$5,$C$7,AM$1,AM$2,$A335)</f>
        <v>0</v>
      </c>
      <c r="AN335" s="43">
        <f ca="1">_xll.DBRW($C$1,$C$2,$C$3,$C$4,$C$6,$C$5,$C$7,AN$1,AN$2,$A335)</f>
        <v>0</v>
      </c>
      <c r="AO335" s="43">
        <f ca="1">_xll.DBRW($C$1,$C$2,$C$3,$C$4,$C$6,$C$5,$C$7,AO$1,AO$2,$A335)</f>
        <v>0</v>
      </c>
      <c r="AP335" s="43">
        <f ca="1">_xll.DBRW($C$1,$C$2,$C$3,$C$4,$C$6,$C$5,$C$7,AP$1,AP$2,$A335)</f>
        <v>0</v>
      </c>
      <c r="AQ335" s="43">
        <f ca="1">_xll.DBRW($C$1,$C$2,$C$3,$C$4,$C$6,$C$5,$C$7,AQ$1,AQ$2,$A335)</f>
        <v>0</v>
      </c>
      <c r="AR335" s="43">
        <f ca="1">_xll.DBRW($C$1,$C$2,$C$3,$C$4,$C$6,$C$5,$C$7,AR$1,AR$2,$A335)</f>
        <v>0</v>
      </c>
      <c r="AS335" s="43">
        <f ca="1">_xll.DBRW($C$1,$C$2,$C$3,$C$4,$C$6,$C$5,$C$7,AS$1,AS$2,$A335)</f>
        <v>0</v>
      </c>
      <c r="AT335" s="43">
        <f ca="1">_xll.DBRW($C$1,$C$2,$C$3,$C$4,$C$6,$C$5,$C$7,AT$1,AT$2,$A335)</f>
        <v>0</v>
      </c>
      <c r="AU335" s="43">
        <f ca="1">_xll.DBRW($C$1,$C$2,$C$3,$C$4,$C$6,$C$5,$C$7,AU$1,AU$2,$A335)</f>
        <v>0</v>
      </c>
    </row>
    <row r="336" spans="1:47" ht="15.75" collapsed="1">
      <c r="A336" s="1" t="s">
        <v>127</v>
      </c>
      <c r="C336" s="141"/>
      <c r="E336" s="15" t="s">
        <v>91</v>
      </c>
      <c r="F336" s="44">
        <f t="shared" ca="1" si="179"/>
        <v>0</v>
      </c>
      <c r="G336" s="44">
        <f t="shared" ca="1" si="179"/>
        <v>0</v>
      </c>
      <c r="H336" s="44">
        <f t="shared" ca="1" si="179"/>
        <v>0</v>
      </c>
      <c r="I336" s="44">
        <f t="shared" ca="1" si="179"/>
        <v>0</v>
      </c>
      <c r="J336" s="44">
        <f t="shared" ca="1" si="179"/>
        <v>0</v>
      </c>
      <c r="K336" s="44">
        <f t="shared" ca="1" si="179"/>
        <v>0</v>
      </c>
      <c r="L336" s="44">
        <f t="shared" ca="1" si="179"/>
        <v>0</v>
      </c>
      <c r="M336" s="44">
        <f t="shared" ca="1" si="179"/>
        <v>0</v>
      </c>
      <c r="N336" s="44">
        <f t="shared" ca="1" si="179"/>
        <v>0</v>
      </c>
      <c r="O336" s="44">
        <f t="shared" ca="1" si="179"/>
        <v>0</v>
      </c>
      <c r="P336" s="44">
        <f t="shared" ca="1" si="179"/>
        <v>0</v>
      </c>
      <c r="Q336" s="44">
        <f t="shared" ca="1" si="179"/>
        <v>0</v>
      </c>
      <c r="R336" s="44">
        <f t="shared" ca="1" si="179"/>
        <v>0</v>
      </c>
      <c r="S336" s="44">
        <f t="shared" ca="1" si="179"/>
        <v>0</v>
      </c>
      <c r="T336" s="44">
        <f t="shared" ca="1" si="179"/>
        <v>0</v>
      </c>
      <c r="U336" s="44">
        <f ca="1">SUM(U335)</f>
        <v>0</v>
      </c>
      <c r="V336" s="44">
        <f t="shared" ca="1" si="180"/>
        <v>0</v>
      </c>
      <c r="W336" s="44">
        <f t="shared" ca="1" si="180"/>
        <v>0</v>
      </c>
      <c r="X336" s="44">
        <f t="shared" ca="1" si="180"/>
        <v>0</v>
      </c>
      <c r="Y336" s="44">
        <f t="shared" ca="1" si="180"/>
        <v>0</v>
      </c>
      <c r="Z336" s="44">
        <f t="shared" ca="1" si="180"/>
        <v>0</v>
      </c>
      <c r="AA336" s="44">
        <f t="shared" ca="1" si="180"/>
        <v>0</v>
      </c>
      <c r="AB336" s="44">
        <f t="shared" ca="1" si="180"/>
        <v>0</v>
      </c>
      <c r="AC336" s="44">
        <f t="shared" ca="1" si="180"/>
        <v>0</v>
      </c>
      <c r="AD336" s="44">
        <f t="shared" ca="1" si="180"/>
        <v>0</v>
      </c>
      <c r="AE336" s="44">
        <f t="shared" ca="1" si="180"/>
        <v>0</v>
      </c>
      <c r="AF336" s="44">
        <f t="shared" ca="1" si="180"/>
        <v>0</v>
      </c>
      <c r="AG336" s="44">
        <f t="shared" ca="1" si="180"/>
        <v>0</v>
      </c>
      <c r="AH336" s="44">
        <f ca="1">SUM(AH335)</f>
        <v>0</v>
      </c>
      <c r="AI336" s="44">
        <f t="shared" ca="1" si="181"/>
        <v>0</v>
      </c>
      <c r="AJ336" s="44">
        <f t="shared" ca="1" si="181"/>
        <v>0</v>
      </c>
      <c r="AK336" s="44">
        <f t="shared" ca="1" si="181"/>
        <v>0</v>
      </c>
      <c r="AL336" s="44">
        <f t="shared" ca="1" si="181"/>
        <v>0</v>
      </c>
      <c r="AM336" s="44">
        <f t="shared" ca="1" si="181"/>
        <v>0</v>
      </c>
      <c r="AN336" s="44">
        <f t="shared" ca="1" si="181"/>
        <v>0</v>
      </c>
      <c r="AO336" s="44">
        <f t="shared" ca="1" si="181"/>
        <v>0</v>
      </c>
      <c r="AP336" s="44">
        <f t="shared" ca="1" si="181"/>
        <v>0</v>
      </c>
      <c r="AQ336" s="44">
        <f t="shared" ca="1" si="181"/>
        <v>0</v>
      </c>
      <c r="AR336" s="44">
        <f t="shared" ca="1" si="181"/>
        <v>0</v>
      </c>
      <c r="AS336" s="44">
        <f t="shared" ca="1" si="181"/>
        <v>0</v>
      </c>
      <c r="AT336" s="44">
        <f t="shared" ca="1" si="181"/>
        <v>0</v>
      </c>
      <c r="AU336" s="44">
        <f ca="1">SUM(AU335)</f>
        <v>0</v>
      </c>
    </row>
    <row r="337" spans="1:47" ht="15.6" hidden="1" customHeight="1" outlineLevel="1">
      <c r="A337" s="1" t="s">
        <v>357</v>
      </c>
      <c r="C337" s="141"/>
      <c r="E337" s="9" t="str">
        <f ca="1">_xll.DBRW(Server&amp;"}ElementAttributes_Indicator",A337,"code_English")</f>
        <v>Tot_nb_heavy_rail - Total number of heavy rail</v>
      </c>
      <c r="F337" s="43">
        <f ca="1">_xll.DBRW($C$1,$C$2,$C$3,$C$4,$C$6,$C$5,$C$7,F$1,F$2,$A337)</f>
        <v>0</v>
      </c>
      <c r="G337" s="43">
        <f ca="1">_xll.DBRW($C$1,$C$2,$C$3,$C$4,$C$6,$C$5,$C$7,G$1,G$2,$A337)</f>
        <v>0</v>
      </c>
      <c r="H337" s="43">
        <f ca="1">_xll.DBRW($C$1,$C$2,$C$3,$C$4,$C$6,$C$5,$C$7,H$1,H$2,$A337)</f>
        <v>0</v>
      </c>
      <c r="I337" s="43">
        <f ca="1">_xll.DBRW($C$1,$C$2,$C$3,$C$4,$C$6,$C$5,$C$7,I$1,I$2,$A337)</f>
        <v>0</v>
      </c>
      <c r="J337" s="43">
        <f ca="1">_xll.DBRW($C$1,$C$2,$C$3,$C$4,$C$6,$C$5,$C$7,J$1,J$2,$A337)</f>
        <v>0</v>
      </c>
      <c r="K337" s="43">
        <f ca="1">_xll.DBRW($C$1,$C$2,$C$3,$C$4,$C$6,$C$5,$C$7,K$1,K$2,$A337)</f>
        <v>0</v>
      </c>
      <c r="L337" s="43">
        <f ca="1">_xll.DBRW($C$1,$C$2,$C$3,$C$4,$C$6,$C$5,$C$7,L$1,L$2,$A337)</f>
        <v>0</v>
      </c>
      <c r="M337" s="43">
        <f ca="1">_xll.DBRW($C$1,$C$2,$C$3,$C$4,$C$6,$C$5,$C$7,M$1,M$2,$A337)</f>
        <v>0</v>
      </c>
      <c r="N337" s="43">
        <f ca="1">_xll.DBRW($C$1,$C$2,$C$3,$C$4,$C$6,$C$5,$C$7,N$1,N$2,$A337)</f>
        <v>0</v>
      </c>
      <c r="O337" s="43">
        <f ca="1">_xll.DBRW($C$1,$C$2,$C$3,$C$4,$C$6,$C$5,$C$7,O$1,O$2,$A337)</f>
        <v>0</v>
      </c>
      <c r="P337" s="43">
        <f ca="1">_xll.DBRW($C$1,$C$2,$C$3,$C$4,$C$6,$C$5,$C$7,P$1,P$2,$A337)</f>
        <v>0</v>
      </c>
      <c r="Q337" s="43">
        <f ca="1">_xll.DBRW($C$1,$C$2,$C$3,$C$4,$C$6,$C$5,$C$7,Q$1,Q$2,$A337)</f>
        <v>0</v>
      </c>
      <c r="R337" s="43">
        <f ca="1">_xll.DBRW($C$1,$C$2,$C$3,$C$4,$C$6,$C$5,$C$7,R$1,R$2,$A337)</f>
        <v>0</v>
      </c>
      <c r="S337" s="43">
        <f ca="1">_xll.DBRW($C$1,$C$2,$C$3,$C$4,$C$6,$C$5,$C$7,S$1,S$2,$A337)</f>
        <v>0</v>
      </c>
      <c r="T337" s="43">
        <f ca="1">_xll.DBRW($C$1,$C$2,$C$3,$C$4,$C$6,$C$5,$C$7,T$1,T$2,$A337)</f>
        <v>0</v>
      </c>
      <c r="U337" s="43">
        <f ca="1">_xll.DBRW($C$1,$C$2,$C$3,$C$4,$C$6,$C$5,$C$7,U$1,U$2,$A337)</f>
        <v>0</v>
      </c>
      <c r="V337" s="43">
        <f ca="1">_xll.DBRW($C$1,$C$2,$C$3,$C$4,$C$6,$C$5,$C$7,V$1,V$2,$A337)</f>
        <v>0</v>
      </c>
      <c r="W337" s="43">
        <f ca="1">_xll.DBRW($C$1,$C$2,$C$3,$C$4,$C$6,$C$5,$C$7,W$1,W$2,$A337)</f>
        <v>0</v>
      </c>
      <c r="X337" s="43">
        <f ca="1">_xll.DBRW($C$1,$C$2,$C$3,$C$4,$C$6,$C$5,$C$7,X$1,X$2,$A337)</f>
        <v>0</v>
      </c>
      <c r="Y337" s="43">
        <f ca="1">_xll.DBRW($C$1,$C$2,$C$3,$C$4,$C$6,$C$5,$C$7,Y$1,Y$2,$A337)</f>
        <v>0</v>
      </c>
      <c r="Z337" s="43">
        <f ca="1">_xll.DBRW($C$1,$C$2,$C$3,$C$4,$C$6,$C$5,$C$7,Z$1,Z$2,$A337)</f>
        <v>0</v>
      </c>
      <c r="AA337" s="43">
        <f ca="1">_xll.DBRW($C$1,$C$2,$C$3,$C$4,$C$6,$C$5,$C$7,AA$1,AA$2,$A337)</f>
        <v>0</v>
      </c>
      <c r="AB337" s="43">
        <f ca="1">_xll.DBRW($C$1,$C$2,$C$3,$C$4,$C$6,$C$5,$C$7,AB$1,AB$2,$A337)</f>
        <v>0</v>
      </c>
      <c r="AC337" s="43">
        <f ca="1">_xll.DBRW($C$1,$C$2,$C$3,$C$4,$C$6,$C$5,$C$7,AC$1,AC$2,$A337)</f>
        <v>0</v>
      </c>
      <c r="AD337" s="43">
        <f ca="1">_xll.DBRW($C$1,$C$2,$C$3,$C$4,$C$6,$C$5,$C$7,AD$1,AD$2,$A337)</f>
        <v>0</v>
      </c>
      <c r="AE337" s="43">
        <f ca="1">_xll.DBRW($C$1,$C$2,$C$3,$C$4,$C$6,$C$5,$C$7,AE$1,AE$2,$A337)</f>
        <v>0</v>
      </c>
      <c r="AF337" s="43">
        <f ca="1">_xll.DBRW($C$1,$C$2,$C$3,$C$4,$C$6,$C$5,$C$7,AF$1,AF$2,$A337)</f>
        <v>0</v>
      </c>
      <c r="AG337" s="43">
        <f ca="1">_xll.DBRW($C$1,$C$2,$C$3,$C$4,$C$6,$C$5,$C$7,AG$1,AG$2,$A337)</f>
        <v>0</v>
      </c>
      <c r="AH337" s="43">
        <f ca="1">_xll.DBRW($C$1,$C$2,$C$3,$C$4,$C$6,$C$5,$C$7,AH$1,AH$2,$A337)</f>
        <v>0</v>
      </c>
      <c r="AI337" s="43">
        <f ca="1">_xll.DBRW($C$1,$C$2,$C$3,$C$4,$C$6,$C$5,$C$7,AI$1,AI$2,$A337)</f>
        <v>0</v>
      </c>
      <c r="AJ337" s="43">
        <f ca="1">_xll.DBRW($C$1,$C$2,$C$3,$C$4,$C$6,$C$5,$C$7,AJ$1,AJ$2,$A337)</f>
        <v>0</v>
      </c>
      <c r="AK337" s="43">
        <f ca="1">_xll.DBRW($C$1,$C$2,$C$3,$C$4,$C$6,$C$5,$C$7,AK$1,AK$2,$A337)</f>
        <v>0</v>
      </c>
      <c r="AL337" s="43">
        <f ca="1">_xll.DBRW($C$1,$C$2,$C$3,$C$4,$C$6,$C$5,$C$7,AL$1,AL$2,$A337)</f>
        <v>0</v>
      </c>
      <c r="AM337" s="43">
        <f ca="1">_xll.DBRW($C$1,$C$2,$C$3,$C$4,$C$6,$C$5,$C$7,AM$1,AM$2,$A337)</f>
        <v>0</v>
      </c>
      <c r="AN337" s="43">
        <f ca="1">_xll.DBRW($C$1,$C$2,$C$3,$C$4,$C$6,$C$5,$C$7,AN$1,AN$2,$A337)</f>
        <v>0</v>
      </c>
      <c r="AO337" s="43">
        <f ca="1">_xll.DBRW($C$1,$C$2,$C$3,$C$4,$C$6,$C$5,$C$7,AO$1,AO$2,$A337)</f>
        <v>0</v>
      </c>
      <c r="AP337" s="43">
        <f ca="1">_xll.DBRW($C$1,$C$2,$C$3,$C$4,$C$6,$C$5,$C$7,AP$1,AP$2,$A337)</f>
        <v>0</v>
      </c>
      <c r="AQ337" s="43">
        <f ca="1">_xll.DBRW($C$1,$C$2,$C$3,$C$4,$C$6,$C$5,$C$7,AQ$1,AQ$2,$A337)</f>
        <v>0</v>
      </c>
      <c r="AR337" s="43">
        <f ca="1">_xll.DBRW($C$1,$C$2,$C$3,$C$4,$C$6,$C$5,$C$7,AR$1,AR$2,$A337)</f>
        <v>0</v>
      </c>
      <c r="AS337" s="43">
        <f ca="1">_xll.DBRW($C$1,$C$2,$C$3,$C$4,$C$6,$C$5,$C$7,AS$1,AS$2,$A337)</f>
        <v>0</v>
      </c>
      <c r="AT337" s="43">
        <f ca="1">_xll.DBRW($C$1,$C$2,$C$3,$C$4,$C$6,$C$5,$C$7,AT$1,AT$2,$A337)</f>
        <v>0</v>
      </c>
      <c r="AU337" s="43">
        <f ca="1">_xll.DBRW($C$1,$C$2,$C$3,$C$4,$C$6,$C$5,$C$7,AU$1,AU$2,$A337)</f>
        <v>0</v>
      </c>
    </row>
    <row r="338" spans="1:47" ht="15.75" collapsed="1">
      <c r="A338" s="1" t="s">
        <v>127</v>
      </c>
      <c r="C338" s="141"/>
      <c r="E338" s="15" t="s">
        <v>92</v>
      </c>
      <c r="F338" s="44">
        <f t="shared" ca="1" si="179"/>
        <v>0</v>
      </c>
      <c r="G338" s="44">
        <f t="shared" ca="1" si="179"/>
        <v>0</v>
      </c>
      <c r="H338" s="44">
        <f t="shared" ca="1" si="179"/>
        <v>0</v>
      </c>
      <c r="I338" s="44">
        <f t="shared" ca="1" si="179"/>
        <v>0</v>
      </c>
      <c r="J338" s="44">
        <f t="shared" ca="1" si="179"/>
        <v>0</v>
      </c>
      <c r="K338" s="44">
        <f t="shared" ca="1" si="179"/>
        <v>0</v>
      </c>
      <c r="L338" s="44">
        <f t="shared" ca="1" si="179"/>
        <v>0</v>
      </c>
      <c r="M338" s="44">
        <f t="shared" ca="1" si="179"/>
        <v>0</v>
      </c>
      <c r="N338" s="44">
        <f t="shared" ca="1" si="179"/>
        <v>0</v>
      </c>
      <c r="O338" s="44">
        <f t="shared" ca="1" si="179"/>
        <v>0</v>
      </c>
      <c r="P338" s="44">
        <f t="shared" ca="1" si="179"/>
        <v>0</v>
      </c>
      <c r="Q338" s="44">
        <f t="shared" ca="1" si="179"/>
        <v>0</v>
      </c>
      <c r="R338" s="44">
        <f t="shared" ca="1" si="179"/>
        <v>0</v>
      </c>
      <c r="S338" s="44">
        <f t="shared" ca="1" si="179"/>
        <v>0</v>
      </c>
      <c r="T338" s="44">
        <f t="shared" ca="1" si="179"/>
        <v>0</v>
      </c>
      <c r="U338" s="44">
        <f ca="1">SUM(U337)</f>
        <v>0</v>
      </c>
      <c r="V338" s="44">
        <f t="shared" ca="1" si="180"/>
        <v>0</v>
      </c>
      <c r="W338" s="44">
        <f t="shared" ca="1" si="180"/>
        <v>0</v>
      </c>
      <c r="X338" s="44">
        <f t="shared" ca="1" si="180"/>
        <v>0</v>
      </c>
      <c r="Y338" s="44">
        <f t="shared" ca="1" si="180"/>
        <v>0</v>
      </c>
      <c r="Z338" s="44">
        <f t="shared" ca="1" si="180"/>
        <v>0</v>
      </c>
      <c r="AA338" s="44">
        <f t="shared" ca="1" si="180"/>
        <v>0</v>
      </c>
      <c r="AB338" s="44">
        <f t="shared" ca="1" si="180"/>
        <v>0</v>
      </c>
      <c r="AC338" s="44">
        <f t="shared" ca="1" si="180"/>
        <v>0</v>
      </c>
      <c r="AD338" s="44">
        <f t="shared" ca="1" si="180"/>
        <v>0</v>
      </c>
      <c r="AE338" s="44">
        <f t="shared" ca="1" si="180"/>
        <v>0</v>
      </c>
      <c r="AF338" s="44">
        <f t="shared" ca="1" si="180"/>
        <v>0</v>
      </c>
      <c r="AG338" s="44">
        <f t="shared" ca="1" si="180"/>
        <v>0</v>
      </c>
      <c r="AH338" s="44">
        <f ca="1">SUM(AH337)</f>
        <v>0</v>
      </c>
      <c r="AI338" s="44">
        <f t="shared" ca="1" si="181"/>
        <v>0</v>
      </c>
      <c r="AJ338" s="44">
        <f t="shared" ca="1" si="181"/>
        <v>0</v>
      </c>
      <c r="AK338" s="44">
        <f t="shared" ca="1" si="181"/>
        <v>0</v>
      </c>
      <c r="AL338" s="44">
        <f t="shared" ca="1" si="181"/>
        <v>0</v>
      </c>
      <c r="AM338" s="44">
        <f t="shared" ca="1" si="181"/>
        <v>0</v>
      </c>
      <c r="AN338" s="44">
        <f t="shared" ca="1" si="181"/>
        <v>0</v>
      </c>
      <c r="AO338" s="44">
        <f t="shared" ca="1" si="181"/>
        <v>0</v>
      </c>
      <c r="AP338" s="44">
        <f t="shared" ca="1" si="181"/>
        <v>0</v>
      </c>
      <c r="AQ338" s="44">
        <f t="shared" ca="1" si="181"/>
        <v>0</v>
      </c>
      <c r="AR338" s="44">
        <f t="shared" ca="1" si="181"/>
        <v>0</v>
      </c>
      <c r="AS338" s="44">
        <f t="shared" ca="1" si="181"/>
        <v>0</v>
      </c>
      <c r="AT338" s="44">
        <f t="shared" ca="1" si="181"/>
        <v>0</v>
      </c>
      <c r="AU338" s="44">
        <f ca="1">SUM(AU337)</f>
        <v>0</v>
      </c>
    </row>
    <row r="339" spans="1:47" ht="15.6" hidden="1" customHeight="1" outlineLevel="1">
      <c r="A339" s="1" t="s">
        <v>358</v>
      </c>
      <c r="C339" s="141"/>
      <c r="E339" s="9" t="str">
        <f ca="1">_xll.DBRW(Server&amp;"}ElementAttributes_Indicator",A339,"code_English")</f>
        <v>Tot_nb_BRT - Total number of BRT</v>
      </c>
      <c r="F339" s="43">
        <f ca="1">_xll.DBRW($C$1,$C$2,$C$3,$C$4,$C$6,$C$5,$C$7,F$1,F$2,$A339)</f>
        <v>0</v>
      </c>
      <c r="G339" s="43">
        <f ca="1">_xll.DBRW($C$1,$C$2,$C$3,$C$4,$C$6,$C$5,$C$7,G$1,G$2,$A339)</f>
        <v>0</v>
      </c>
      <c r="H339" s="43">
        <f ca="1">_xll.DBRW($C$1,$C$2,$C$3,$C$4,$C$6,$C$5,$C$7,H$1,H$2,$A339)</f>
        <v>0</v>
      </c>
      <c r="I339" s="43">
        <f ca="1">_xll.DBRW($C$1,$C$2,$C$3,$C$4,$C$6,$C$5,$C$7,I$1,I$2,$A339)</f>
        <v>0</v>
      </c>
      <c r="J339" s="43">
        <f ca="1">_xll.DBRW($C$1,$C$2,$C$3,$C$4,$C$6,$C$5,$C$7,J$1,J$2,$A339)</f>
        <v>0</v>
      </c>
      <c r="K339" s="43">
        <f ca="1">_xll.DBRW($C$1,$C$2,$C$3,$C$4,$C$6,$C$5,$C$7,K$1,K$2,$A339)</f>
        <v>0</v>
      </c>
      <c r="L339" s="43">
        <f ca="1">_xll.DBRW($C$1,$C$2,$C$3,$C$4,$C$6,$C$5,$C$7,L$1,L$2,$A339)</f>
        <v>0</v>
      </c>
      <c r="M339" s="43">
        <f ca="1">_xll.DBRW($C$1,$C$2,$C$3,$C$4,$C$6,$C$5,$C$7,M$1,M$2,$A339)</f>
        <v>0</v>
      </c>
      <c r="N339" s="43">
        <f ca="1">_xll.DBRW($C$1,$C$2,$C$3,$C$4,$C$6,$C$5,$C$7,N$1,N$2,$A339)</f>
        <v>0</v>
      </c>
      <c r="O339" s="43">
        <f ca="1">_xll.DBRW($C$1,$C$2,$C$3,$C$4,$C$6,$C$5,$C$7,O$1,O$2,$A339)</f>
        <v>0</v>
      </c>
      <c r="P339" s="43">
        <f ca="1">_xll.DBRW($C$1,$C$2,$C$3,$C$4,$C$6,$C$5,$C$7,P$1,P$2,$A339)</f>
        <v>0</v>
      </c>
      <c r="Q339" s="43">
        <f ca="1">_xll.DBRW($C$1,$C$2,$C$3,$C$4,$C$6,$C$5,$C$7,Q$1,Q$2,$A339)</f>
        <v>0</v>
      </c>
      <c r="R339" s="43">
        <f ca="1">_xll.DBRW($C$1,$C$2,$C$3,$C$4,$C$6,$C$5,$C$7,R$1,R$2,$A339)</f>
        <v>0</v>
      </c>
      <c r="S339" s="43">
        <f ca="1">_xll.DBRW($C$1,$C$2,$C$3,$C$4,$C$6,$C$5,$C$7,S$1,S$2,$A339)</f>
        <v>0</v>
      </c>
      <c r="T339" s="43">
        <f ca="1">_xll.DBRW($C$1,$C$2,$C$3,$C$4,$C$6,$C$5,$C$7,T$1,T$2,$A339)</f>
        <v>0</v>
      </c>
      <c r="U339" s="43">
        <f ca="1">_xll.DBRW($C$1,$C$2,$C$3,$C$4,$C$6,$C$5,$C$7,U$1,U$2,$A339)</f>
        <v>0</v>
      </c>
      <c r="V339" s="43">
        <f ca="1">_xll.DBRW($C$1,$C$2,$C$3,$C$4,$C$6,$C$5,$C$7,V$1,V$2,$A339)</f>
        <v>0</v>
      </c>
      <c r="W339" s="43">
        <f ca="1">_xll.DBRW($C$1,$C$2,$C$3,$C$4,$C$6,$C$5,$C$7,W$1,W$2,$A339)</f>
        <v>0</v>
      </c>
      <c r="X339" s="43">
        <f ca="1">_xll.DBRW($C$1,$C$2,$C$3,$C$4,$C$6,$C$5,$C$7,X$1,X$2,$A339)</f>
        <v>0</v>
      </c>
      <c r="Y339" s="43">
        <f ca="1">_xll.DBRW($C$1,$C$2,$C$3,$C$4,$C$6,$C$5,$C$7,Y$1,Y$2,$A339)</f>
        <v>0</v>
      </c>
      <c r="Z339" s="43">
        <f ca="1">_xll.DBRW($C$1,$C$2,$C$3,$C$4,$C$6,$C$5,$C$7,Z$1,Z$2,$A339)</f>
        <v>0</v>
      </c>
      <c r="AA339" s="43">
        <f ca="1">_xll.DBRW($C$1,$C$2,$C$3,$C$4,$C$6,$C$5,$C$7,AA$1,AA$2,$A339)</f>
        <v>0</v>
      </c>
      <c r="AB339" s="43">
        <f ca="1">_xll.DBRW($C$1,$C$2,$C$3,$C$4,$C$6,$C$5,$C$7,AB$1,AB$2,$A339)</f>
        <v>0</v>
      </c>
      <c r="AC339" s="43">
        <f ca="1">_xll.DBRW($C$1,$C$2,$C$3,$C$4,$C$6,$C$5,$C$7,AC$1,AC$2,$A339)</f>
        <v>0</v>
      </c>
      <c r="AD339" s="43">
        <f ca="1">_xll.DBRW($C$1,$C$2,$C$3,$C$4,$C$6,$C$5,$C$7,AD$1,AD$2,$A339)</f>
        <v>0</v>
      </c>
      <c r="AE339" s="43">
        <f ca="1">_xll.DBRW($C$1,$C$2,$C$3,$C$4,$C$6,$C$5,$C$7,AE$1,AE$2,$A339)</f>
        <v>0</v>
      </c>
      <c r="AF339" s="43">
        <f ca="1">_xll.DBRW($C$1,$C$2,$C$3,$C$4,$C$6,$C$5,$C$7,AF$1,AF$2,$A339)</f>
        <v>0</v>
      </c>
      <c r="AG339" s="43">
        <f ca="1">_xll.DBRW($C$1,$C$2,$C$3,$C$4,$C$6,$C$5,$C$7,AG$1,AG$2,$A339)</f>
        <v>0</v>
      </c>
      <c r="AH339" s="43">
        <f ca="1">_xll.DBRW($C$1,$C$2,$C$3,$C$4,$C$6,$C$5,$C$7,AH$1,AH$2,$A339)</f>
        <v>0</v>
      </c>
      <c r="AI339" s="43">
        <f ca="1">_xll.DBRW($C$1,$C$2,$C$3,$C$4,$C$6,$C$5,$C$7,AI$1,AI$2,$A339)</f>
        <v>0</v>
      </c>
      <c r="AJ339" s="43">
        <f ca="1">_xll.DBRW($C$1,$C$2,$C$3,$C$4,$C$6,$C$5,$C$7,AJ$1,AJ$2,$A339)</f>
        <v>0</v>
      </c>
      <c r="AK339" s="43">
        <f ca="1">_xll.DBRW($C$1,$C$2,$C$3,$C$4,$C$6,$C$5,$C$7,AK$1,AK$2,$A339)</f>
        <v>0</v>
      </c>
      <c r="AL339" s="43">
        <f ca="1">_xll.DBRW($C$1,$C$2,$C$3,$C$4,$C$6,$C$5,$C$7,AL$1,AL$2,$A339)</f>
        <v>0</v>
      </c>
      <c r="AM339" s="43">
        <f ca="1">_xll.DBRW($C$1,$C$2,$C$3,$C$4,$C$6,$C$5,$C$7,AM$1,AM$2,$A339)</f>
        <v>0</v>
      </c>
      <c r="AN339" s="43">
        <f ca="1">_xll.DBRW($C$1,$C$2,$C$3,$C$4,$C$6,$C$5,$C$7,AN$1,AN$2,$A339)</f>
        <v>0</v>
      </c>
      <c r="AO339" s="43">
        <f ca="1">_xll.DBRW($C$1,$C$2,$C$3,$C$4,$C$6,$C$5,$C$7,AO$1,AO$2,$A339)</f>
        <v>0</v>
      </c>
      <c r="AP339" s="43">
        <f ca="1">_xll.DBRW($C$1,$C$2,$C$3,$C$4,$C$6,$C$5,$C$7,AP$1,AP$2,$A339)</f>
        <v>0</v>
      </c>
      <c r="AQ339" s="43">
        <f ca="1">_xll.DBRW($C$1,$C$2,$C$3,$C$4,$C$6,$C$5,$C$7,AQ$1,AQ$2,$A339)</f>
        <v>0</v>
      </c>
      <c r="AR339" s="43">
        <f ca="1">_xll.DBRW($C$1,$C$2,$C$3,$C$4,$C$6,$C$5,$C$7,AR$1,AR$2,$A339)</f>
        <v>0</v>
      </c>
      <c r="AS339" s="43">
        <f ca="1">_xll.DBRW($C$1,$C$2,$C$3,$C$4,$C$6,$C$5,$C$7,AS$1,AS$2,$A339)</f>
        <v>0</v>
      </c>
      <c r="AT339" s="43">
        <f ca="1">_xll.DBRW($C$1,$C$2,$C$3,$C$4,$C$6,$C$5,$C$7,AT$1,AT$2,$A339)</f>
        <v>0</v>
      </c>
      <c r="AU339" s="43">
        <f ca="1">_xll.DBRW($C$1,$C$2,$C$3,$C$4,$C$6,$C$5,$C$7,AU$1,AU$2,$A339)</f>
        <v>0</v>
      </c>
    </row>
    <row r="340" spans="1:47" ht="15.75" collapsed="1">
      <c r="A340" s="1" t="s">
        <v>127</v>
      </c>
      <c r="C340" s="141"/>
      <c r="E340" s="15" t="s">
        <v>93</v>
      </c>
      <c r="F340" s="44">
        <f t="shared" ca="1" si="179"/>
        <v>0</v>
      </c>
      <c r="G340" s="44">
        <f t="shared" ca="1" si="179"/>
        <v>0</v>
      </c>
      <c r="H340" s="44">
        <f t="shared" ca="1" si="179"/>
        <v>0</v>
      </c>
      <c r="I340" s="44">
        <f t="shared" ca="1" si="179"/>
        <v>0</v>
      </c>
      <c r="J340" s="44">
        <f t="shared" ca="1" si="179"/>
        <v>0</v>
      </c>
      <c r="K340" s="44">
        <f t="shared" ca="1" si="179"/>
        <v>0</v>
      </c>
      <c r="L340" s="44">
        <f t="shared" ca="1" si="179"/>
        <v>0</v>
      </c>
      <c r="M340" s="44">
        <f t="shared" ca="1" si="179"/>
        <v>0</v>
      </c>
      <c r="N340" s="44">
        <f t="shared" ca="1" si="179"/>
        <v>0</v>
      </c>
      <c r="O340" s="44">
        <f t="shared" ca="1" si="179"/>
        <v>0</v>
      </c>
      <c r="P340" s="44">
        <f t="shared" ca="1" si="179"/>
        <v>0</v>
      </c>
      <c r="Q340" s="44">
        <f t="shared" ca="1" si="179"/>
        <v>0</v>
      </c>
      <c r="R340" s="44">
        <f t="shared" ca="1" si="179"/>
        <v>0</v>
      </c>
      <c r="S340" s="44">
        <f t="shared" ca="1" si="179"/>
        <v>0</v>
      </c>
      <c r="T340" s="44">
        <f t="shared" ca="1" si="179"/>
        <v>0</v>
      </c>
      <c r="U340" s="44">
        <f ca="1">SUM(U339)</f>
        <v>0</v>
      </c>
      <c r="V340" s="44">
        <f t="shared" ca="1" si="180"/>
        <v>0</v>
      </c>
      <c r="W340" s="44">
        <f t="shared" ca="1" si="180"/>
        <v>0</v>
      </c>
      <c r="X340" s="44">
        <f t="shared" ca="1" si="180"/>
        <v>0</v>
      </c>
      <c r="Y340" s="44">
        <f t="shared" ca="1" si="180"/>
        <v>0</v>
      </c>
      <c r="Z340" s="44">
        <f t="shared" ca="1" si="180"/>
        <v>0</v>
      </c>
      <c r="AA340" s="44">
        <f t="shared" ca="1" si="180"/>
        <v>0</v>
      </c>
      <c r="AB340" s="44">
        <f t="shared" ca="1" si="180"/>
        <v>0</v>
      </c>
      <c r="AC340" s="44">
        <f t="shared" ca="1" si="180"/>
        <v>0</v>
      </c>
      <c r="AD340" s="44">
        <f t="shared" ca="1" si="180"/>
        <v>0</v>
      </c>
      <c r="AE340" s="44">
        <f t="shared" ca="1" si="180"/>
        <v>0</v>
      </c>
      <c r="AF340" s="44">
        <f t="shared" ca="1" si="180"/>
        <v>0</v>
      </c>
      <c r="AG340" s="44">
        <f t="shared" ca="1" si="180"/>
        <v>0</v>
      </c>
      <c r="AH340" s="44">
        <f ca="1">SUM(AH339)</f>
        <v>0</v>
      </c>
      <c r="AI340" s="44">
        <f t="shared" ca="1" si="181"/>
        <v>0</v>
      </c>
      <c r="AJ340" s="44">
        <f t="shared" ca="1" si="181"/>
        <v>0</v>
      </c>
      <c r="AK340" s="44">
        <f t="shared" ca="1" si="181"/>
        <v>0</v>
      </c>
      <c r="AL340" s="44">
        <f t="shared" ca="1" si="181"/>
        <v>0</v>
      </c>
      <c r="AM340" s="44">
        <f t="shared" ca="1" si="181"/>
        <v>0</v>
      </c>
      <c r="AN340" s="44">
        <f t="shared" ca="1" si="181"/>
        <v>0</v>
      </c>
      <c r="AO340" s="44">
        <f t="shared" ca="1" si="181"/>
        <v>0</v>
      </c>
      <c r="AP340" s="44">
        <f t="shared" ca="1" si="181"/>
        <v>0</v>
      </c>
      <c r="AQ340" s="44">
        <f t="shared" ca="1" si="181"/>
        <v>0</v>
      </c>
      <c r="AR340" s="44">
        <f t="shared" ca="1" si="181"/>
        <v>0</v>
      </c>
      <c r="AS340" s="44">
        <f t="shared" ca="1" si="181"/>
        <v>0</v>
      </c>
      <c r="AT340" s="44">
        <f t="shared" ca="1" si="181"/>
        <v>0</v>
      </c>
      <c r="AU340" s="44">
        <f ca="1">SUM(AU339)</f>
        <v>0</v>
      </c>
    </row>
    <row r="341" spans="1:47" ht="15.75" hidden="1" customHeight="1" outlineLevel="1">
      <c r="A341" s="1" t="s">
        <v>359</v>
      </c>
      <c r="C341" s="141"/>
      <c r="E341" s="9" t="str">
        <f ca="1">_xll.DBRW(Server&amp;"}ElementAttributes_Indicator",A341,"code_English")</f>
        <v>Tot_nb_ferries - Total number of ferries</v>
      </c>
      <c r="F341" s="43">
        <f ca="1">_xll.DBRW($C$1,$C$2,$C$3,$C$4,$C$6,$C$5,$C$7,F$1,F$2,$A341)</f>
        <v>0</v>
      </c>
      <c r="G341" s="43">
        <f ca="1">_xll.DBRW($C$1,$C$2,$C$3,$C$4,$C$6,$C$5,$C$7,G$1,G$2,$A341)</f>
        <v>0</v>
      </c>
      <c r="H341" s="43">
        <f ca="1">_xll.DBRW($C$1,$C$2,$C$3,$C$4,$C$6,$C$5,$C$7,H$1,H$2,$A341)</f>
        <v>0</v>
      </c>
      <c r="I341" s="43">
        <f ca="1">_xll.DBRW($C$1,$C$2,$C$3,$C$4,$C$6,$C$5,$C$7,I$1,I$2,$A341)</f>
        <v>0</v>
      </c>
      <c r="J341" s="43">
        <f ca="1">_xll.DBRW($C$1,$C$2,$C$3,$C$4,$C$6,$C$5,$C$7,J$1,J$2,$A341)</f>
        <v>0</v>
      </c>
      <c r="K341" s="43">
        <f ca="1">_xll.DBRW($C$1,$C$2,$C$3,$C$4,$C$6,$C$5,$C$7,K$1,K$2,$A341)</f>
        <v>0</v>
      </c>
      <c r="L341" s="43">
        <f ca="1">_xll.DBRW($C$1,$C$2,$C$3,$C$4,$C$6,$C$5,$C$7,L$1,L$2,$A341)</f>
        <v>0</v>
      </c>
      <c r="M341" s="43">
        <f ca="1">_xll.DBRW($C$1,$C$2,$C$3,$C$4,$C$6,$C$5,$C$7,M$1,M$2,$A341)</f>
        <v>0</v>
      </c>
      <c r="N341" s="43">
        <f ca="1">_xll.DBRW($C$1,$C$2,$C$3,$C$4,$C$6,$C$5,$C$7,N$1,N$2,$A341)</f>
        <v>0</v>
      </c>
      <c r="O341" s="43">
        <f ca="1">_xll.DBRW($C$1,$C$2,$C$3,$C$4,$C$6,$C$5,$C$7,O$1,O$2,$A341)</f>
        <v>0</v>
      </c>
      <c r="P341" s="43">
        <f ca="1">_xll.DBRW($C$1,$C$2,$C$3,$C$4,$C$6,$C$5,$C$7,P$1,P$2,$A341)</f>
        <v>0</v>
      </c>
      <c r="Q341" s="43">
        <f ca="1">_xll.DBRW($C$1,$C$2,$C$3,$C$4,$C$6,$C$5,$C$7,Q$1,Q$2,$A341)</f>
        <v>0</v>
      </c>
      <c r="R341" s="43">
        <f ca="1">_xll.DBRW($C$1,$C$2,$C$3,$C$4,$C$6,$C$5,$C$7,R$1,R$2,$A341)</f>
        <v>0</v>
      </c>
      <c r="S341" s="43">
        <f ca="1">_xll.DBRW($C$1,$C$2,$C$3,$C$4,$C$6,$C$5,$C$7,S$1,S$2,$A341)</f>
        <v>0</v>
      </c>
      <c r="T341" s="43">
        <f ca="1">_xll.DBRW($C$1,$C$2,$C$3,$C$4,$C$6,$C$5,$C$7,T$1,T$2,$A341)</f>
        <v>0</v>
      </c>
      <c r="U341" s="43">
        <f ca="1">_xll.DBRW($C$1,$C$2,$C$3,$C$4,$C$6,$C$5,$C$7,U$1,U$2,$A341)</f>
        <v>0</v>
      </c>
      <c r="V341" s="43">
        <f ca="1">_xll.DBRW($C$1,$C$2,$C$3,$C$4,$C$6,$C$5,$C$7,V$1,V$2,$A341)</f>
        <v>0</v>
      </c>
      <c r="W341" s="43">
        <f ca="1">_xll.DBRW($C$1,$C$2,$C$3,$C$4,$C$6,$C$5,$C$7,W$1,W$2,$A341)</f>
        <v>0</v>
      </c>
      <c r="X341" s="43">
        <f ca="1">_xll.DBRW($C$1,$C$2,$C$3,$C$4,$C$6,$C$5,$C$7,X$1,X$2,$A341)</f>
        <v>0</v>
      </c>
      <c r="Y341" s="43">
        <f ca="1">_xll.DBRW($C$1,$C$2,$C$3,$C$4,$C$6,$C$5,$C$7,Y$1,Y$2,$A341)</f>
        <v>0</v>
      </c>
      <c r="Z341" s="43">
        <f ca="1">_xll.DBRW($C$1,$C$2,$C$3,$C$4,$C$6,$C$5,$C$7,Z$1,Z$2,$A341)</f>
        <v>0</v>
      </c>
      <c r="AA341" s="43">
        <f ca="1">_xll.DBRW($C$1,$C$2,$C$3,$C$4,$C$6,$C$5,$C$7,AA$1,AA$2,$A341)</f>
        <v>0</v>
      </c>
      <c r="AB341" s="43">
        <f ca="1">_xll.DBRW($C$1,$C$2,$C$3,$C$4,$C$6,$C$5,$C$7,AB$1,AB$2,$A341)</f>
        <v>0</v>
      </c>
      <c r="AC341" s="43">
        <f ca="1">_xll.DBRW($C$1,$C$2,$C$3,$C$4,$C$6,$C$5,$C$7,AC$1,AC$2,$A341)</f>
        <v>0</v>
      </c>
      <c r="AD341" s="43">
        <f ca="1">_xll.DBRW($C$1,$C$2,$C$3,$C$4,$C$6,$C$5,$C$7,AD$1,AD$2,$A341)</f>
        <v>0</v>
      </c>
      <c r="AE341" s="43">
        <f ca="1">_xll.DBRW($C$1,$C$2,$C$3,$C$4,$C$6,$C$5,$C$7,AE$1,AE$2,$A341)</f>
        <v>0</v>
      </c>
      <c r="AF341" s="43">
        <f ca="1">_xll.DBRW($C$1,$C$2,$C$3,$C$4,$C$6,$C$5,$C$7,AF$1,AF$2,$A341)</f>
        <v>0</v>
      </c>
      <c r="AG341" s="43">
        <f ca="1">_xll.DBRW($C$1,$C$2,$C$3,$C$4,$C$6,$C$5,$C$7,AG$1,AG$2,$A341)</f>
        <v>0</v>
      </c>
      <c r="AH341" s="43">
        <f ca="1">_xll.DBRW($C$1,$C$2,$C$3,$C$4,$C$6,$C$5,$C$7,AH$1,AH$2,$A341)</f>
        <v>0</v>
      </c>
      <c r="AI341" s="43">
        <f ca="1">_xll.DBRW($C$1,$C$2,$C$3,$C$4,$C$6,$C$5,$C$7,AI$1,AI$2,$A341)</f>
        <v>0</v>
      </c>
      <c r="AJ341" s="43">
        <f ca="1">_xll.DBRW($C$1,$C$2,$C$3,$C$4,$C$6,$C$5,$C$7,AJ$1,AJ$2,$A341)</f>
        <v>0</v>
      </c>
      <c r="AK341" s="43">
        <f ca="1">_xll.DBRW($C$1,$C$2,$C$3,$C$4,$C$6,$C$5,$C$7,AK$1,AK$2,$A341)</f>
        <v>0</v>
      </c>
      <c r="AL341" s="43">
        <f ca="1">_xll.DBRW($C$1,$C$2,$C$3,$C$4,$C$6,$C$5,$C$7,AL$1,AL$2,$A341)</f>
        <v>0</v>
      </c>
      <c r="AM341" s="43">
        <f ca="1">_xll.DBRW($C$1,$C$2,$C$3,$C$4,$C$6,$C$5,$C$7,AM$1,AM$2,$A341)</f>
        <v>0</v>
      </c>
      <c r="AN341" s="43">
        <f ca="1">_xll.DBRW($C$1,$C$2,$C$3,$C$4,$C$6,$C$5,$C$7,AN$1,AN$2,$A341)</f>
        <v>0</v>
      </c>
      <c r="AO341" s="43">
        <f ca="1">_xll.DBRW($C$1,$C$2,$C$3,$C$4,$C$6,$C$5,$C$7,AO$1,AO$2,$A341)</f>
        <v>0</v>
      </c>
      <c r="AP341" s="43">
        <f ca="1">_xll.DBRW($C$1,$C$2,$C$3,$C$4,$C$6,$C$5,$C$7,AP$1,AP$2,$A341)</f>
        <v>0</v>
      </c>
      <c r="AQ341" s="43">
        <f ca="1">_xll.DBRW($C$1,$C$2,$C$3,$C$4,$C$6,$C$5,$C$7,AQ$1,AQ$2,$A341)</f>
        <v>0</v>
      </c>
      <c r="AR341" s="43">
        <f ca="1">_xll.DBRW($C$1,$C$2,$C$3,$C$4,$C$6,$C$5,$C$7,AR$1,AR$2,$A341)</f>
        <v>0</v>
      </c>
      <c r="AS341" s="43">
        <f ca="1">_xll.DBRW($C$1,$C$2,$C$3,$C$4,$C$6,$C$5,$C$7,AS$1,AS$2,$A341)</f>
        <v>0</v>
      </c>
      <c r="AT341" s="43">
        <f ca="1">_xll.DBRW($C$1,$C$2,$C$3,$C$4,$C$6,$C$5,$C$7,AT$1,AT$2,$A341)</f>
        <v>0</v>
      </c>
      <c r="AU341" s="43">
        <f ca="1">_xll.DBRW($C$1,$C$2,$C$3,$C$4,$C$6,$C$5,$C$7,AU$1,AU$2,$A341)</f>
        <v>0</v>
      </c>
    </row>
    <row r="342" spans="1:47" ht="15.75" collapsed="1">
      <c r="A342" s="1" t="s">
        <v>127</v>
      </c>
      <c r="C342" s="141"/>
      <c r="E342" s="102" t="s">
        <v>94</v>
      </c>
      <c r="F342" s="103">
        <f t="shared" ref="F342:T342" ca="1" si="182">SUM(F341)</f>
        <v>0</v>
      </c>
      <c r="G342" s="103">
        <f t="shared" ca="1" si="182"/>
        <v>0</v>
      </c>
      <c r="H342" s="103">
        <f t="shared" ca="1" si="182"/>
        <v>0</v>
      </c>
      <c r="I342" s="103">
        <f t="shared" ca="1" si="182"/>
        <v>0</v>
      </c>
      <c r="J342" s="103">
        <f t="shared" ca="1" si="182"/>
        <v>0</v>
      </c>
      <c r="K342" s="103">
        <f t="shared" ca="1" si="182"/>
        <v>0</v>
      </c>
      <c r="L342" s="103">
        <f t="shared" ca="1" si="182"/>
        <v>0</v>
      </c>
      <c r="M342" s="103">
        <f t="shared" ca="1" si="182"/>
        <v>0</v>
      </c>
      <c r="N342" s="103">
        <f t="shared" ca="1" si="182"/>
        <v>0</v>
      </c>
      <c r="O342" s="103">
        <f t="shared" ca="1" si="182"/>
        <v>0</v>
      </c>
      <c r="P342" s="103">
        <f t="shared" ca="1" si="182"/>
        <v>0</v>
      </c>
      <c r="Q342" s="103">
        <f t="shared" ca="1" si="182"/>
        <v>0</v>
      </c>
      <c r="R342" s="103">
        <f t="shared" ca="1" si="182"/>
        <v>0</v>
      </c>
      <c r="S342" s="103">
        <f t="shared" ca="1" si="182"/>
        <v>0</v>
      </c>
      <c r="T342" s="103">
        <f t="shared" ca="1" si="182"/>
        <v>0</v>
      </c>
      <c r="U342" s="103">
        <f ca="1">SUM(U341)</f>
        <v>0</v>
      </c>
      <c r="V342" s="103">
        <f t="shared" ref="V342:AG342" ca="1" si="183">SUM(V341)</f>
        <v>0</v>
      </c>
      <c r="W342" s="103">
        <f t="shared" ca="1" si="183"/>
        <v>0</v>
      </c>
      <c r="X342" s="103">
        <f t="shared" ca="1" si="183"/>
        <v>0</v>
      </c>
      <c r="Y342" s="103">
        <f t="shared" ca="1" si="183"/>
        <v>0</v>
      </c>
      <c r="Z342" s="103">
        <f t="shared" ca="1" si="183"/>
        <v>0</v>
      </c>
      <c r="AA342" s="103">
        <f t="shared" ca="1" si="183"/>
        <v>0</v>
      </c>
      <c r="AB342" s="103">
        <f t="shared" ca="1" si="183"/>
        <v>0</v>
      </c>
      <c r="AC342" s="103">
        <f t="shared" ca="1" si="183"/>
        <v>0</v>
      </c>
      <c r="AD342" s="103">
        <f t="shared" ca="1" si="183"/>
        <v>0</v>
      </c>
      <c r="AE342" s="103">
        <f t="shared" ca="1" si="183"/>
        <v>0</v>
      </c>
      <c r="AF342" s="103">
        <f t="shared" ca="1" si="183"/>
        <v>0</v>
      </c>
      <c r="AG342" s="103">
        <f t="shared" ca="1" si="183"/>
        <v>0</v>
      </c>
      <c r="AH342" s="103">
        <f ca="1">SUM(AH341)</f>
        <v>0</v>
      </c>
      <c r="AI342" s="103">
        <f t="shared" ref="AI342:AT342" ca="1" si="184">SUM(AI341)</f>
        <v>0</v>
      </c>
      <c r="AJ342" s="103">
        <f t="shared" ca="1" si="184"/>
        <v>0</v>
      </c>
      <c r="AK342" s="103">
        <f t="shared" ca="1" si="184"/>
        <v>0</v>
      </c>
      <c r="AL342" s="103">
        <f t="shared" ca="1" si="184"/>
        <v>0</v>
      </c>
      <c r="AM342" s="103">
        <f t="shared" ca="1" si="184"/>
        <v>0</v>
      </c>
      <c r="AN342" s="103">
        <f t="shared" ca="1" si="184"/>
        <v>0</v>
      </c>
      <c r="AO342" s="103">
        <f t="shared" ca="1" si="184"/>
        <v>0</v>
      </c>
      <c r="AP342" s="103">
        <f t="shared" ca="1" si="184"/>
        <v>0</v>
      </c>
      <c r="AQ342" s="103">
        <f t="shared" ca="1" si="184"/>
        <v>0</v>
      </c>
      <c r="AR342" s="103">
        <f t="shared" ca="1" si="184"/>
        <v>0</v>
      </c>
      <c r="AS342" s="103">
        <f t="shared" ca="1" si="184"/>
        <v>0</v>
      </c>
      <c r="AT342" s="103">
        <f t="shared" ca="1" si="184"/>
        <v>0</v>
      </c>
      <c r="AU342" s="103">
        <f ca="1">SUM(AU341)</f>
        <v>0</v>
      </c>
    </row>
    <row r="343" spans="1:47" ht="9" customHeight="1">
      <c r="A343" s="1" t="s">
        <v>127</v>
      </c>
      <c r="C343" s="105"/>
      <c r="E343" s="7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</row>
    <row r="344" spans="1:47" ht="15.75" hidden="1" customHeight="1" outlineLevel="1">
      <c r="A344" s="1" t="s">
        <v>360</v>
      </c>
      <c r="C344" s="104"/>
      <c r="E344" s="9" t="str">
        <f ca="1">_xll.DBRW(Server&amp;"}ElementAttributes_Indicator",A344,"code_English")</f>
        <v>Driver_absenteeism - Driver absenteeism in %</v>
      </c>
      <c r="F344" s="10">
        <f ca="1">_xll.DBRW($C$1,$C$2,$C$3,$C$4,$C$6,$C$5,$C$7,F$1,F$2,$A344)</f>
        <v>0</v>
      </c>
      <c r="G344" s="10">
        <f ca="1">_xll.DBRW($C$1,$C$2,$C$3,$C$4,$C$6,$C$5,$C$7,G$1,G$2,$A344)</f>
        <v>0</v>
      </c>
      <c r="H344" s="10">
        <f ca="1">_xll.DBRW($C$1,$C$2,$C$3,$C$4,$C$6,$C$5,$C$7,H$1,H$2,$A344)</f>
        <v>0</v>
      </c>
      <c r="I344" s="10">
        <f ca="1">_xll.DBRW($C$1,$C$2,$C$3,$C$4,$C$6,$C$5,$C$7,I$1,I$2,$A344)</f>
        <v>0</v>
      </c>
      <c r="J344" s="10">
        <f ca="1">_xll.DBRW($C$1,$C$2,$C$3,$C$4,$C$6,$C$5,$C$7,J$1,J$2,$A344)</f>
        <v>0</v>
      </c>
      <c r="K344" s="10">
        <f ca="1">_xll.DBRW($C$1,$C$2,$C$3,$C$4,$C$6,$C$5,$C$7,K$1,K$2,$A344)</f>
        <v>0</v>
      </c>
      <c r="L344" s="10">
        <f ca="1">_xll.DBRW($C$1,$C$2,$C$3,$C$4,$C$6,$C$5,$C$7,L$1,L$2,$A344)</f>
        <v>0</v>
      </c>
      <c r="M344" s="10">
        <f ca="1">_xll.DBRW($C$1,$C$2,$C$3,$C$4,$C$6,$C$5,$C$7,M$1,M$2,$A344)</f>
        <v>0</v>
      </c>
      <c r="N344" s="10">
        <f ca="1">_xll.DBRW($C$1,$C$2,$C$3,$C$4,$C$6,$C$5,$C$7,N$1,N$2,$A344)</f>
        <v>0</v>
      </c>
      <c r="O344" s="10">
        <f ca="1">_xll.DBRW($C$1,$C$2,$C$3,$C$4,$C$6,$C$5,$C$7,O$1,O$2,$A344)</f>
        <v>0</v>
      </c>
      <c r="P344" s="10">
        <f ca="1">_xll.DBRW($C$1,$C$2,$C$3,$C$4,$C$6,$C$5,$C$7,P$1,P$2,$A344)</f>
        <v>0</v>
      </c>
      <c r="Q344" s="10">
        <f ca="1">_xll.DBRW($C$1,$C$2,$C$3,$C$4,$C$6,$C$5,$C$7,Q$1,Q$2,$A344)</f>
        <v>0</v>
      </c>
      <c r="R344" s="10">
        <f ca="1">_xll.DBRW($C$1,$C$2,$C$3,$C$4,$C$6,$C$5,$C$7,R$1,R$2,$A344)</f>
        <v>0</v>
      </c>
      <c r="S344" s="10">
        <f ca="1">_xll.DBRW($C$1,$C$2,$C$3,$C$4,$C$6,$C$5,$C$7,S$1,S$2,$A344)</f>
        <v>0</v>
      </c>
      <c r="T344" s="10">
        <f ca="1">_xll.DBRW($C$1,$C$2,$C$3,$C$4,$C$6,$C$5,$C$7,T$1,T$2,$A344)</f>
        <v>0</v>
      </c>
      <c r="U344" s="10">
        <f ca="1">_xll.DBRW($C$1,$C$2,$C$3,$C$4,$C$6,$C$5,$C$7,U$1,U$2,$A344)</f>
        <v>0</v>
      </c>
      <c r="V344" s="10">
        <f ca="1">_xll.DBRW($C$1,$C$2,$C$3,$C$4,$C$6,$C$5,$C$7,V$1,V$2,$A344)</f>
        <v>0</v>
      </c>
      <c r="W344" s="10">
        <f ca="1">_xll.DBRW($C$1,$C$2,$C$3,$C$4,$C$6,$C$5,$C$7,W$1,W$2,$A344)</f>
        <v>0</v>
      </c>
      <c r="X344" s="10">
        <f ca="1">_xll.DBRW($C$1,$C$2,$C$3,$C$4,$C$6,$C$5,$C$7,X$1,X$2,$A344)</f>
        <v>0</v>
      </c>
      <c r="Y344" s="10">
        <f ca="1">_xll.DBRW($C$1,$C$2,$C$3,$C$4,$C$6,$C$5,$C$7,Y$1,Y$2,$A344)</f>
        <v>0</v>
      </c>
      <c r="Z344" s="10">
        <f ca="1">_xll.DBRW($C$1,$C$2,$C$3,$C$4,$C$6,$C$5,$C$7,Z$1,Z$2,$A344)</f>
        <v>0</v>
      </c>
      <c r="AA344" s="10">
        <f ca="1">_xll.DBRW($C$1,$C$2,$C$3,$C$4,$C$6,$C$5,$C$7,AA$1,AA$2,$A344)</f>
        <v>0</v>
      </c>
      <c r="AB344" s="10">
        <f ca="1">_xll.DBRW($C$1,$C$2,$C$3,$C$4,$C$6,$C$5,$C$7,AB$1,AB$2,$A344)</f>
        <v>0</v>
      </c>
      <c r="AC344" s="10">
        <f ca="1">_xll.DBRW($C$1,$C$2,$C$3,$C$4,$C$6,$C$5,$C$7,AC$1,AC$2,$A344)</f>
        <v>0</v>
      </c>
      <c r="AD344" s="10">
        <f ca="1">_xll.DBRW($C$1,$C$2,$C$3,$C$4,$C$6,$C$5,$C$7,AD$1,AD$2,$A344)</f>
        <v>0</v>
      </c>
      <c r="AE344" s="10">
        <f ca="1">_xll.DBRW($C$1,$C$2,$C$3,$C$4,$C$6,$C$5,$C$7,AE$1,AE$2,$A344)</f>
        <v>0</v>
      </c>
      <c r="AF344" s="10">
        <f ca="1">_xll.DBRW($C$1,$C$2,$C$3,$C$4,$C$6,$C$5,$C$7,AF$1,AF$2,$A344)</f>
        <v>0</v>
      </c>
      <c r="AG344" s="10">
        <f ca="1">_xll.DBRW($C$1,$C$2,$C$3,$C$4,$C$6,$C$5,$C$7,AG$1,AG$2,$A344)</f>
        <v>0</v>
      </c>
      <c r="AH344" s="10">
        <f ca="1">_xll.DBRW($C$1,$C$2,$C$3,$C$4,$C$6,$C$5,$C$7,AH$1,AH$2,$A344)</f>
        <v>0</v>
      </c>
      <c r="AI344" s="10">
        <f ca="1">_xll.DBRW($C$1,$C$2,$C$3,$C$4,$C$6,$C$5,$C$7,AI$1,AI$2,$A344)</f>
        <v>0</v>
      </c>
      <c r="AJ344" s="10">
        <f ca="1">_xll.DBRW($C$1,$C$2,$C$3,$C$4,$C$6,$C$5,$C$7,AJ$1,AJ$2,$A344)</f>
        <v>0</v>
      </c>
      <c r="AK344" s="10">
        <f ca="1">_xll.DBRW($C$1,$C$2,$C$3,$C$4,$C$6,$C$5,$C$7,AK$1,AK$2,$A344)</f>
        <v>0</v>
      </c>
      <c r="AL344" s="10">
        <f ca="1">_xll.DBRW($C$1,$C$2,$C$3,$C$4,$C$6,$C$5,$C$7,AL$1,AL$2,$A344)</f>
        <v>0</v>
      </c>
      <c r="AM344" s="10">
        <f ca="1">_xll.DBRW($C$1,$C$2,$C$3,$C$4,$C$6,$C$5,$C$7,AM$1,AM$2,$A344)</f>
        <v>0</v>
      </c>
      <c r="AN344" s="10">
        <f ca="1">_xll.DBRW($C$1,$C$2,$C$3,$C$4,$C$6,$C$5,$C$7,AN$1,AN$2,$A344)</f>
        <v>0</v>
      </c>
      <c r="AO344" s="10">
        <f ca="1">_xll.DBRW($C$1,$C$2,$C$3,$C$4,$C$6,$C$5,$C$7,AO$1,AO$2,$A344)</f>
        <v>0</v>
      </c>
      <c r="AP344" s="10">
        <f ca="1">_xll.DBRW($C$1,$C$2,$C$3,$C$4,$C$6,$C$5,$C$7,AP$1,AP$2,$A344)</f>
        <v>0</v>
      </c>
      <c r="AQ344" s="10">
        <f ca="1">_xll.DBRW($C$1,$C$2,$C$3,$C$4,$C$6,$C$5,$C$7,AQ$1,AQ$2,$A344)</f>
        <v>0</v>
      </c>
      <c r="AR344" s="10">
        <f ca="1">_xll.DBRW($C$1,$C$2,$C$3,$C$4,$C$6,$C$5,$C$7,AR$1,AR$2,$A344)</f>
        <v>0</v>
      </c>
      <c r="AS344" s="10">
        <f ca="1">_xll.DBRW($C$1,$C$2,$C$3,$C$4,$C$6,$C$5,$C$7,AS$1,AS$2,$A344)</f>
        <v>0</v>
      </c>
      <c r="AT344" s="10">
        <f ca="1">_xll.DBRW($C$1,$C$2,$C$3,$C$4,$C$6,$C$5,$C$7,AT$1,AT$2,$A344)</f>
        <v>0</v>
      </c>
      <c r="AU344" s="10">
        <f ca="1">_xll.DBRW($C$1,$C$2,$C$3,$C$4,$C$6,$C$5,$C$7,AU$1,AU$2,$A344)</f>
        <v>0</v>
      </c>
    </row>
    <row r="345" spans="1:47" ht="15.75" collapsed="1">
      <c r="A345" s="1" t="s">
        <v>127</v>
      </c>
      <c r="C345" s="141" t="s">
        <v>48</v>
      </c>
      <c r="E345" s="132" t="s">
        <v>95</v>
      </c>
      <c r="F345" s="133">
        <f t="shared" ref="F345:T345" ca="1" si="185">SUM(F344)</f>
        <v>0</v>
      </c>
      <c r="G345" s="133">
        <f t="shared" ca="1" si="185"/>
        <v>0</v>
      </c>
      <c r="H345" s="133">
        <f t="shared" ca="1" si="185"/>
        <v>0</v>
      </c>
      <c r="I345" s="133">
        <f t="shared" ca="1" si="185"/>
        <v>0</v>
      </c>
      <c r="J345" s="133">
        <f t="shared" ca="1" si="185"/>
        <v>0</v>
      </c>
      <c r="K345" s="133">
        <f t="shared" ca="1" si="185"/>
        <v>0</v>
      </c>
      <c r="L345" s="133">
        <f t="shared" ca="1" si="185"/>
        <v>0</v>
      </c>
      <c r="M345" s="133">
        <f t="shared" ca="1" si="185"/>
        <v>0</v>
      </c>
      <c r="N345" s="133">
        <f t="shared" ca="1" si="185"/>
        <v>0</v>
      </c>
      <c r="O345" s="133">
        <f t="shared" ca="1" si="185"/>
        <v>0</v>
      </c>
      <c r="P345" s="133">
        <f t="shared" ca="1" si="185"/>
        <v>0</v>
      </c>
      <c r="Q345" s="133">
        <f t="shared" ca="1" si="185"/>
        <v>0</v>
      </c>
      <c r="R345" s="133">
        <f t="shared" ca="1" si="185"/>
        <v>0</v>
      </c>
      <c r="S345" s="133">
        <f t="shared" ca="1" si="185"/>
        <v>0</v>
      </c>
      <c r="T345" s="133">
        <f t="shared" ca="1" si="185"/>
        <v>0</v>
      </c>
      <c r="U345" s="133">
        <f ca="1">SUM(U344)</f>
        <v>0</v>
      </c>
      <c r="V345" s="133">
        <f ca="1">SUM(V344)</f>
        <v>0</v>
      </c>
      <c r="W345" s="133">
        <f t="shared" ref="W345:AG345" ca="1" si="186">SUM(W344)</f>
        <v>0</v>
      </c>
      <c r="X345" s="133">
        <f t="shared" ca="1" si="186"/>
        <v>0</v>
      </c>
      <c r="Y345" s="133">
        <f t="shared" ca="1" si="186"/>
        <v>0</v>
      </c>
      <c r="Z345" s="133">
        <f t="shared" ca="1" si="186"/>
        <v>0</v>
      </c>
      <c r="AA345" s="133">
        <f t="shared" ca="1" si="186"/>
        <v>0</v>
      </c>
      <c r="AB345" s="133">
        <f t="shared" ca="1" si="186"/>
        <v>0</v>
      </c>
      <c r="AC345" s="133">
        <f t="shared" ca="1" si="186"/>
        <v>0</v>
      </c>
      <c r="AD345" s="133">
        <f t="shared" ca="1" si="186"/>
        <v>0</v>
      </c>
      <c r="AE345" s="133">
        <f t="shared" ca="1" si="186"/>
        <v>0</v>
      </c>
      <c r="AF345" s="133">
        <f t="shared" ca="1" si="186"/>
        <v>0</v>
      </c>
      <c r="AG345" s="133">
        <f t="shared" ca="1" si="186"/>
        <v>0</v>
      </c>
      <c r="AH345" s="133">
        <f ca="1">SUM(AH344)</f>
        <v>0</v>
      </c>
      <c r="AI345" s="133">
        <f ca="1">SUM(AI344)</f>
        <v>0</v>
      </c>
      <c r="AJ345" s="133">
        <f t="shared" ref="AJ345:AT345" ca="1" si="187">SUM(AJ344)</f>
        <v>0</v>
      </c>
      <c r="AK345" s="133">
        <f t="shared" ca="1" si="187"/>
        <v>0</v>
      </c>
      <c r="AL345" s="133">
        <f t="shared" ca="1" si="187"/>
        <v>0</v>
      </c>
      <c r="AM345" s="133">
        <f t="shared" ca="1" si="187"/>
        <v>0</v>
      </c>
      <c r="AN345" s="133">
        <f t="shared" ca="1" si="187"/>
        <v>0</v>
      </c>
      <c r="AO345" s="133">
        <f t="shared" ca="1" si="187"/>
        <v>0</v>
      </c>
      <c r="AP345" s="133">
        <f t="shared" ca="1" si="187"/>
        <v>0</v>
      </c>
      <c r="AQ345" s="133">
        <f t="shared" ca="1" si="187"/>
        <v>0</v>
      </c>
      <c r="AR345" s="133">
        <f t="shared" ca="1" si="187"/>
        <v>0</v>
      </c>
      <c r="AS345" s="133">
        <f t="shared" ca="1" si="187"/>
        <v>0</v>
      </c>
      <c r="AT345" s="133">
        <f t="shared" ca="1" si="187"/>
        <v>0</v>
      </c>
      <c r="AU345" s="133">
        <f ca="1">SUM(AU344)</f>
        <v>0</v>
      </c>
    </row>
    <row r="346" spans="1:47" ht="15.75" hidden="1" customHeight="1" outlineLevel="1">
      <c r="A346" s="1" t="s">
        <v>361</v>
      </c>
      <c r="C346" s="141"/>
      <c r="E346" s="9" t="str">
        <f ca="1">_xll.DBRW(Server&amp;"}ElementAttributes_Indicator",A346,"code_English")</f>
        <v>Driver_turnover - Driver turnover in %</v>
      </c>
      <c r="F346" s="43">
        <f ca="1">_xll.DBRW($C$1,$C$2,$C$3,$C$4,$C$6,$C$5,$C$7,F$1,F$2,$A346)</f>
        <v>0</v>
      </c>
      <c r="G346" s="43">
        <f ca="1">_xll.DBRW($C$1,$C$2,$C$3,$C$4,$C$6,$C$5,$C$7,G$1,G$2,$A346)</f>
        <v>0</v>
      </c>
      <c r="H346" s="43">
        <f ca="1">_xll.DBRW($C$1,$C$2,$C$3,$C$4,$C$6,$C$5,$C$7,H$1,H$2,$A346)</f>
        <v>0</v>
      </c>
      <c r="I346" s="43">
        <f ca="1">_xll.DBRW($C$1,$C$2,$C$3,$C$4,$C$6,$C$5,$C$7,I$1,I$2,$A346)</f>
        <v>0</v>
      </c>
      <c r="J346" s="43">
        <f ca="1">_xll.DBRW($C$1,$C$2,$C$3,$C$4,$C$6,$C$5,$C$7,J$1,J$2,$A346)</f>
        <v>0</v>
      </c>
      <c r="K346" s="43">
        <f ca="1">_xll.DBRW($C$1,$C$2,$C$3,$C$4,$C$6,$C$5,$C$7,K$1,K$2,$A346)</f>
        <v>0</v>
      </c>
      <c r="L346" s="43">
        <f ca="1">_xll.DBRW($C$1,$C$2,$C$3,$C$4,$C$6,$C$5,$C$7,L$1,L$2,$A346)</f>
        <v>0</v>
      </c>
      <c r="M346" s="43">
        <f ca="1">_xll.DBRW($C$1,$C$2,$C$3,$C$4,$C$6,$C$5,$C$7,M$1,M$2,$A346)</f>
        <v>0</v>
      </c>
      <c r="N346" s="43">
        <f ca="1">_xll.DBRW($C$1,$C$2,$C$3,$C$4,$C$6,$C$5,$C$7,N$1,N$2,$A346)</f>
        <v>0</v>
      </c>
      <c r="O346" s="43">
        <f ca="1">_xll.DBRW($C$1,$C$2,$C$3,$C$4,$C$6,$C$5,$C$7,O$1,O$2,$A346)</f>
        <v>0</v>
      </c>
      <c r="P346" s="43">
        <f ca="1">_xll.DBRW($C$1,$C$2,$C$3,$C$4,$C$6,$C$5,$C$7,P$1,P$2,$A346)</f>
        <v>0</v>
      </c>
      <c r="Q346" s="43">
        <f ca="1">_xll.DBRW($C$1,$C$2,$C$3,$C$4,$C$6,$C$5,$C$7,Q$1,Q$2,$A346)</f>
        <v>0</v>
      </c>
      <c r="R346" s="43">
        <f ca="1">_xll.DBRW($C$1,$C$2,$C$3,$C$4,$C$6,$C$5,$C$7,R$1,R$2,$A346)</f>
        <v>0</v>
      </c>
      <c r="S346" s="43">
        <f ca="1">_xll.DBRW($C$1,$C$2,$C$3,$C$4,$C$6,$C$5,$C$7,S$1,S$2,$A346)</f>
        <v>0</v>
      </c>
      <c r="T346" s="43">
        <f ca="1">_xll.DBRW($C$1,$C$2,$C$3,$C$4,$C$6,$C$5,$C$7,T$1,T$2,$A346)</f>
        <v>0</v>
      </c>
      <c r="U346" s="43">
        <f ca="1">_xll.DBRW($C$1,$C$2,$C$3,$C$4,$C$6,$C$5,$C$7,U$1,U$2,$A346)</f>
        <v>0</v>
      </c>
      <c r="V346" s="43">
        <f ca="1">_xll.DBRW($C$1,$C$2,$C$3,$C$4,$C$6,$C$5,$C$7,V$1,V$2,$A346)</f>
        <v>0</v>
      </c>
      <c r="W346" s="43">
        <f ca="1">_xll.DBRW($C$1,$C$2,$C$3,$C$4,$C$6,$C$5,$C$7,W$1,W$2,$A346)</f>
        <v>0</v>
      </c>
      <c r="X346" s="43">
        <f ca="1">_xll.DBRW($C$1,$C$2,$C$3,$C$4,$C$6,$C$5,$C$7,X$1,X$2,$A346)</f>
        <v>0</v>
      </c>
      <c r="Y346" s="43">
        <f ca="1">_xll.DBRW($C$1,$C$2,$C$3,$C$4,$C$6,$C$5,$C$7,Y$1,Y$2,$A346)</f>
        <v>0</v>
      </c>
      <c r="Z346" s="43">
        <f ca="1">_xll.DBRW($C$1,$C$2,$C$3,$C$4,$C$6,$C$5,$C$7,Z$1,Z$2,$A346)</f>
        <v>0</v>
      </c>
      <c r="AA346" s="43">
        <f ca="1">_xll.DBRW($C$1,$C$2,$C$3,$C$4,$C$6,$C$5,$C$7,AA$1,AA$2,$A346)</f>
        <v>0</v>
      </c>
      <c r="AB346" s="43">
        <f ca="1">_xll.DBRW($C$1,$C$2,$C$3,$C$4,$C$6,$C$5,$C$7,AB$1,AB$2,$A346)</f>
        <v>0</v>
      </c>
      <c r="AC346" s="43">
        <f ca="1">_xll.DBRW($C$1,$C$2,$C$3,$C$4,$C$6,$C$5,$C$7,AC$1,AC$2,$A346)</f>
        <v>0</v>
      </c>
      <c r="AD346" s="43">
        <f ca="1">_xll.DBRW($C$1,$C$2,$C$3,$C$4,$C$6,$C$5,$C$7,AD$1,AD$2,$A346)</f>
        <v>0</v>
      </c>
      <c r="AE346" s="43">
        <f ca="1">_xll.DBRW($C$1,$C$2,$C$3,$C$4,$C$6,$C$5,$C$7,AE$1,AE$2,$A346)</f>
        <v>0</v>
      </c>
      <c r="AF346" s="43">
        <f ca="1">_xll.DBRW($C$1,$C$2,$C$3,$C$4,$C$6,$C$5,$C$7,AF$1,AF$2,$A346)</f>
        <v>0</v>
      </c>
      <c r="AG346" s="43">
        <f ca="1">_xll.DBRW($C$1,$C$2,$C$3,$C$4,$C$6,$C$5,$C$7,AG$1,AG$2,$A346)</f>
        <v>0</v>
      </c>
      <c r="AH346" s="43">
        <f ca="1">_xll.DBRW($C$1,$C$2,$C$3,$C$4,$C$6,$C$5,$C$7,AH$1,AH$2,$A346)</f>
        <v>0</v>
      </c>
      <c r="AI346" s="43">
        <f ca="1">_xll.DBRW($C$1,$C$2,$C$3,$C$4,$C$6,$C$5,$C$7,AI$1,AI$2,$A346)</f>
        <v>0</v>
      </c>
      <c r="AJ346" s="43">
        <f ca="1">_xll.DBRW($C$1,$C$2,$C$3,$C$4,$C$6,$C$5,$C$7,AJ$1,AJ$2,$A346)</f>
        <v>0</v>
      </c>
      <c r="AK346" s="43">
        <f ca="1">_xll.DBRW($C$1,$C$2,$C$3,$C$4,$C$6,$C$5,$C$7,AK$1,AK$2,$A346)</f>
        <v>0</v>
      </c>
      <c r="AL346" s="43">
        <f ca="1">_xll.DBRW($C$1,$C$2,$C$3,$C$4,$C$6,$C$5,$C$7,AL$1,AL$2,$A346)</f>
        <v>0</v>
      </c>
      <c r="AM346" s="43">
        <f ca="1">_xll.DBRW($C$1,$C$2,$C$3,$C$4,$C$6,$C$5,$C$7,AM$1,AM$2,$A346)</f>
        <v>0</v>
      </c>
      <c r="AN346" s="43">
        <f ca="1">_xll.DBRW($C$1,$C$2,$C$3,$C$4,$C$6,$C$5,$C$7,AN$1,AN$2,$A346)</f>
        <v>0</v>
      </c>
      <c r="AO346" s="43">
        <f ca="1">_xll.DBRW($C$1,$C$2,$C$3,$C$4,$C$6,$C$5,$C$7,AO$1,AO$2,$A346)</f>
        <v>0</v>
      </c>
      <c r="AP346" s="43">
        <f ca="1">_xll.DBRW($C$1,$C$2,$C$3,$C$4,$C$6,$C$5,$C$7,AP$1,AP$2,$A346)</f>
        <v>0</v>
      </c>
      <c r="AQ346" s="43">
        <f ca="1">_xll.DBRW($C$1,$C$2,$C$3,$C$4,$C$6,$C$5,$C$7,AQ$1,AQ$2,$A346)</f>
        <v>0</v>
      </c>
      <c r="AR346" s="43">
        <f ca="1">_xll.DBRW($C$1,$C$2,$C$3,$C$4,$C$6,$C$5,$C$7,AR$1,AR$2,$A346)</f>
        <v>0</v>
      </c>
      <c r="AS346" s="43">
        <f ca="1">_xll.DBRW($C$1,$C$2,$C$3,$C$4,$C$6,$C$5,$C$7,AS$1,AS$2,$A346)</f>
        <v>0</v>
      </c>
      <c r="AT346" s="43">
        <f ca="1">_xll.DBRW($C$1,$C$2,$C$3,$C$4,$C$6,$C$5,$C$7,AT$1,AT$2,$A346)</f>
        <v>0</v>
      </c>
      <c r="AU346" s="43">
        <f ca="1">_xll.DBRW($C$1,$C$2,$C$3,$C$4,$C$6,$C$5,$C$7,AU$1,AU$2,$A346)</f>
        <v>0</v>
      </c>
    </row>
    <row r="347" spans="1:47" ht="15.75" collapsed="1">
      <c r="A347" s="1" t="s">
        <v>127</v>
      </c>
      <c r="C347" s="141"/>
      <c r="E347" s="83" t="s">
        <v>366</v>
      </c>
      <c r="F347" s="44">
        <f t="shared" ref="F347:T347" ca="1" si="188">SUM(F346)</f>
        <v>0</v>
      </c>
      <c r="G347" s="44">
        <f t="shared" ca="1" si="188"/>
        <v>0</v>
      </c>
      <c r="H347" s="44">
        <f t="shared" ca="1" si="188"/>
        <v>0</v>
      </c>
      <c r="I347" s="44">
        <f t="shared" ca="1" si="188"/>
        <v>0</v>
      </c>
      <c r="J347" s="44">
        <f t="shared" ca="1" si="188"/>
        <v>0</v>
      </c>
      <c r="K347" s="44">
        <f t="shared" ca="1" si="188"/>
        <v>0</v>
      </c>
      <c r="L347" s="44">
        <f t="shared" ca="1" si="188"/>
        <v>0</v>
      </c>
      <c r="M347" s="44">
        <f t="shared" ca="1" si="188"/>
        <v>0</v>
      </c>
      <c r="N347" s="44">
        <f t="shared" ca="1" si="188"/>
        <v>0</v>
      </c>
      <c r="O347" s="44">
        <f t="shared" ca="1" si="188"/>
        <v>0</v>
      </c>
      <c r="P347" s="44">
        <f t="shared" ca="1" si="188"/>
        <v>0</v>
      </c>
      <c r="Q347" s="44">
        <f t="shared" ca="1" si="188"/>
        <v>0</v>
      </c>
      <c r="R347" s="44">
        <f t="shared" ca="1" si="188"/>
        <v>0</v>
      </c>
      <c r="S347" s="44">
        <f t="shared" ca="1" si="188"/>
        <v>0</v>
      </c>
      <c r="T347" s="44">
        <f t="shared" ca="1" si="188"/>
        <v>0</v>
      </c>
      <c r="U347" s="44">
        <f ca="1">SUM(U346)</f>
        <v>0</v>
      </c>
      <c r="V347" s="44">
        <f ca="1">SUM(V346)</f>
        <v>0</v>
      </c>
      <c r="W347" s="44">
        <f t="shared" ref="W347:AG347" ca="1" si="189">SUM(W346)</f>
        <v>0</v>
      </c>
      <c r="X347" s="44">
        <f t="shared" ca="1" si="189"/>
        <v>0</v>
      </c>
      <c r="Y347" s="44">
        <f t="shared" ca="1" si="189"/>
        <v>0</v>
      </c>
      <c r="Z347" s="44">
        <f t="shared" ca="1" si="189"/>
        <v>0</v>
      </c>
      <c r="AA347" s="44">
        <f t="shared" ca="1" si="189"/>
        <v>0</v>
      </c>
      <c r="AB347" s="44">
        <f t="shared" ca="1" si="189"/>
        <v>0</v>
      </c>
      <c r="AC347" s="44">
        <f t="shared" ca="1" si="189"/>
        <v>0</v>
      </c>
      <c r="AD347" s="44">
        <f t="shared" ca="1" si="189"/>
        <v>0</v>
      </c>
      <c r="AE347" s="44">
        <f t="shared" ca="1" si="189"/>
        <v>0</v>
      </c>
      <c r="AF347" s="44">
        <f t="shared" ca="1" si="189"/>
        <v>0</v>
      </c>
      <c r="AG347" s="44">
        <f t="shared" ca="1" si="189"/>
        <v>0</v>
      </c>
      <c r="AH347" s="44">
        <f ca="1">SUM(AH346)</f>
        <v>0</v>
      </c>
      <c r="AI347" s="44">
        <f ca="1">SUM(AI346)</f>
        <v>0</v>
      </c>
      <c r="AJ347" s="44">
        <f t="shared" ref="AJ347:AT347" ca="1" si="190">SUM(AJ346)</f>
        <v>0</v>
      </c>
      <c r="AK347" s="44">
        <f t="shared" ca="1" si="190"/>
        <v>0</v>
      </c>
      <c r="AL347" s="44">
        <f t="shared" ca="1" si="190"/>
        <v>0</v>
      </c>
      <c r="AM347" s="44">
        <f t="shared" ca="1" si="190"/>
        <v>0</v>
      </c>
      <c r="AN347" s="44">
        <f t="shared" ca="1" si="190"/>
        <v>0</v>
      </c>
      <c r="AO347" s="44">
        <f t="shared" ca="1" si="190"/>
        <v>0</v>
      </c>
      <c r="AP347" s="44">
        <f t="shared" ca="1" si="190"/>
        <v>0</v>
      </c>
      <c r="AQ347" s="44">
        <f t="shared" ca="1" si="190"/>
        <v>0</v>
      </c>
      <c r="AR347" s="44">
        <f t="shared" ca="1" si="190"/>
        <v>0</v>
      </c>
      <c r="AS347" s="44">
        <f t="shared" ca="1" si="190"/>
        <v>0</v>
      </c>
      <c r="AT347" s="44">
        <f t="shared" ca="1" si="190"/>
        <v>0</v>
      </c>
      <c r="AU347" s="44">
        <f ca="1">SUM(AU346)</f>
        <v>0</v>
      </c>
    </row>
    <row r="348" spans="1:47" ht="15.75" hidden="1" customHeight="1" outlineLevel="1">
      <c r="A348" s="1" t="s">
        <v>362</v>
      </c>
      <c r="C348" s="141"/>
      <c r="E348" s="9" t="str">
        <f ca="1">_xll.DBRW(Server&amp;"}ElementAttributes_Indicator",A348,"code_English")</f>
        <v>Nb_Driver_open_positions - Driver open positions</v>
      </c>
      <c r="F348" s="43">
        <f ca="1">_xll.DBRW($C$1,$C$2,$C$3,$C$4,$C$6,$C$5,$C$7,F$1,F$2,$A348)</f>
        <v>0</v>
      </c>
      <c r="G348" s="43">
        <f ca="1">_xll.DBRW($C$1,$C$2,$C$3,$C$4,$C$6,$C$5,$C$7,G$1,G$2,$A348)</f>
        <v>0</v>
      </c>
      <c r="H348" s="43">
        <f ca="1">_xll.DBRW($C$1,$C$2,$C$3,$C$4,$C$6,$C$5,$C$7,H$1,H$2,$A348)</f>
        <v>0</v>
      </c>
      <c r="I348" s="43">
        <f ca="1">_xll.DBRW($C$1,$C$2,$C$3,$C$4,$C$6,$C$5,$C$7,I$1,I$2,$A348)</f>
        <v>0</v>
      </c>
      <c r="J348" s="43">
        <f ca="1">_xll.DBRW($C$1,$C$2,$C$3,$C$4,$C$6,$C$5,$C$7,J$1,J$2,$A348)</f>
        <v>0</v>
      </c>
      <c r="K348" s="43">
        <f ca="1">_xll.DBRW($C$1,$C$2,$C$3,$C$4,$C$6,$C$5,$C$7,K$1,K$2,$A348)</f>
        <v>0</v>
      </c>
      <c r="L348" s="43">
        <f ca="1">_xll.DBRW($C$1,$C$2,$C$3,$C$4,$C$6,$C$5,$C$7,L$1,L$2,$A348)</f>
        <v>0</v>
      </c>
      <c r="M348" s="43">
        <f ca="1">_xll.DBRW($C$1,$C$2,$C$3,$C$4,$C$6,$C$5,$C$7,M$1,M$2,$A348)</f>
        <v>0</v>
      </c>
      <c r="N348" s="43">
        <f ca="1">_xll.DBRW($C$1,$C$2,$C$3,$C$4,$C$6,$C$5,$C$7,N$1,N$2,$A348)</f>
        <v>0</v>
      </c>
      <c r="O348" s="43">
        <f ca="1">_xll.DBRW($C$1,$C$2,$C$3,$C$4,$C$6,$C$5,$C$7,O$1,O$2,$A348)</f>
        <v>0</v>
      </c>
      <c r="P348" s="43">
        <f ca="1">_xll.DBRW($C$1,$C$2,$C$3,$C$4,$C$6,$C$5,$C$7,P$1,P$2,$A348)</f>
        <v>0</v>
      </c>
      <c r="Q348" s="43">
        <f ca="1">_xll.DBRW($C$1,$C$2,$C$3,$C$4,$C$6,$C$5,$C$7,Q$1,Q$2,$A348)</f>
        <v>0</v>
      </c>
      <c r="R348" s="43">
        <f ca="1">_xll.DBRW($C$1,$C$2,$C$3,$C$4,$C$6,$C$5,$C$7,R$1,R$2,$A348)</f>
        <v>0</v>
      </c>
      <c r="S348" s="43">
        <f ca="1">_xll.DBRW($C$1,$C$2,$C$3,$C$4,$C$6,$C$5,$C$7,S$1,S$2,$A348)</f>
        <v>0</v>
      </c>
      <c r="T348" s="43">
        <f ca="1">_xll.DBRW($C$1,$C$2,$C$3,$C$4,$C$6,$C$5,$C$7,T$1,T$2,$A348)</f>
        <v>0</v>
      </c>
      <c r="U348" s="43">
        <f ca="1">_xll.DBRW($C$1,$C$2,$C$3,$C$4,$C$6,$C$5,$C$7,U$1,U$2,$A348)</f>
        <v>0</v>
      </c>
      <c r="V348" s="43">
        <f ca="1">_xll.DBRW($C$1,$C$2,$C$3,$C$4,$C$6,$C$5,$C$7,V$1,V$2,$A348)</f>
        <v>0</v>
      </c>
      <c r="W348" s="43">
        <f ca="1">_xll.DBRW($C$1,$C$2,$C$3,$C$4,$C$6,$C$5,$C$7,W$1,W$2,$A348)</f>
        <v>0</v>
      </c>
      <c r="X348" s="43">
        <f ca="1">_xll.DBRW($C$1,$C$2,$C$3,$C$4,$C$6,$C$5,$C$7,X$1,X$2,$A348)</f>
        <v>0</v>
      </c>
      <c r="Y348" s="43">
        <f ca="1">_xll.DBRW($C$1,$C$2,$C$3,$C$4,$C$6,$C$5,$C$7,Y$1,Y$2,$A348)</f>
        <v>0</v>
      </c>
      <c r="Z348" s="43">
        <f ca="1">_xll.DBRW($C$1,$C$2,$C$3,$C$4,$C$6,$C$5,$C$7,Z$1,Z$2,$A348)</f>
        <v>0</v>
      </c>
      <c r="AA348" s="43">
        <f ca="1">_xll.DBRW($C$1,$C$2,$C$3,$C$4,$C$6,$C$5,$C$7,AA$1,AA$2,$A348)</f>
        <v>0</v>
      </c>
      <c r="AB348" s="43">
        <f ca="1">_xll.DBRW($C$1,$C$2,$C$3,$C$4,$C$6,$C$5,$C$7,AB$1,AB$2,$A348)</f>
        <v>0</v>
      </c>
      <c r="AC348" s="43">
        <f ca="1">_xll.DBRW($C$1,$C$2,$C$3,$C$4,$C$6,$C$5,$C$7,AC$1,AC$2,$A348)</f>
        <v>0</v>
      </c>
      <c r="AD348" s="43">
        <f ca="1">_xll.DBRW($C$1,$C$2,$C$3,$C$4,$C$6,$C$5,$C$7,AD$1,AD$2,$A348)</f>
        <v>0</v>
      </c>
      <c r="AE348" s="43">
        <f ca="1">_xll.DBRW($C$1,$C$2,$C$3,$C$4,$C$6,$C$5,$C$7,AE$1,AE$2,$A348)</f>
        <v>0</v>
      </c>
      <c r="AF348" s="43">
        <f ca="1">_xll.DBRW($C$1,$C$2,$C$3,$C$4,$C$6,$C$5,$C$7,AF$1,AF$2,$A348)</f>
        <v>0</v>
      </c>
      <c r="AG348" s="43">
        <f ca="1">_xll.DBRW($C$1,$C$2,$C$3,$C$4,$C$6,$C$5,$C$7,AG$1,AG$2,$A348)</f>
        <v>0</v>
      </c>
      <c r="AH348" s="43">
        <f ca="1">_xll.DBRW($C$1,$C$2,$C$3,$C$4,$C$6,$C$5,$C$7,AH$1,AH$2,$A348)</f>
        <v>0</v>
      </c>
      <c r="AI348" s="43">
        <f ca="1">_xll.DBRW($C$1,$C$2,$C$3,$C$4,$C$6,$C$5,$C$7,AI$1,AI$2,$A348)</f>
        <v>0</v>
      </c>
      <c r="AJ348" s="43">
        <f ca="1">_xll.DBRW($C$1,$C$2,$C$3,$C$4,$C$6,$C$5,$C$7,AJ$1,AJ$2,$A348)</f>
        <v>0</v>
      </c>
      <c r="AK348" s="43">
        <f ca="1">_xll.DBRW($C$1,$C$2,$C$3,$C$4,$C$6,$C$5,$C$7,AK$1,AK$2,$A348)</f>
        <v>0</v>
      </c>
      <c r="AL348" s="43">
        <f ca="1">_xll.DBRW($C$1,$C$2,$C$3,$C$4,$C$6,$C$5,$C$7,AL$1,AL$2,$A348)</f>
        <v>0</v>
      </c>
      <c r="AM348" s="43">
        <f ca="1">_xll.DBRW($C$1,$C$2,$C$3,$C$4,$C$6,$C$5,$C$7,AM$1,AM$2,$A348)</f>
        <v>0</v>
      </c>
      <c r="AN348" s="43">
        <f ca="1">_xll.DBRW($C$1,$C$2,$C$3,$C$4,$C$6,$C$5,$C$7,AN$1,AN$2,$A348)</f>
        <v>0</v>
      </c>
      <c r="AO348" s="43">
        <f ca="1">_xll.DBRW($C$1,$C$2,$C$3,$C$4,$C$6,$C$5,$C$7,AO$1,AO$2,$A348)</f>
        <v>0</v>
      </c>
      <c r="AP348" s="43">
        <f ca="1">_xll.DBRW($C$1,$C$2,$C$3,$C$4,$C$6,$C$5,$C$7,AP$1,AP$2,$A348)</f>
        <v>0</v>
      </c>
      <c r="AQ348" s="43">
        <f ca="1">_xll.DBRW($C$1,$C$2,$C$3,$C$4,$C$6,$C$5,$C$7,AQ$1,AQ$2,$A348)</f>
        <v>0</v>
      </c>
      <c r="AR348" s="43">
        <f ca="1">_xll.DBRW($C$1,$C$2,$C$3,$C$4,$C$6,$C$5,$C$7,AR$1,AR$2,$A348)</f>
        <v>0</v>
      </c>
      <c r="AS348" s="43">
        <f ca="1">_xll.DBRW($C$1,$C$2,$C$3,$C$4,$C$6,$C$5,$C$7,AS$1,AS$2,$A348)</f>
        <v>0</v>
      </c>
      <c r="AT348" s="43">
        <f ca="1">_xll.DBRW($C$1,$C$2,$C$3,$C$4,$C$6,$C$5,$C$7,AT$1,AT$2,$A348)</f>
        <v>0</v>
      </c>
      <c r="AU348" s="43">
        <f ca="1">_xll.DBRW($C$1,$C$2,$C$3,$C$4,$C$6,$C$5,$C$7,AU$1,AU$2,$A348)</f>
        <v>0</v>
      </c>
    </row>
    <row r="349" spans="1:47" ht="15.75" collapsed="1">
      <c r="C349" s="141"/>
      <c r="E349" s="86" t="s">
        <v>96</v>
      </c>
      <c r="F349" s="103">
        <f t="shared" ref="F349:T349" ca="1" si="191">SUM(F348)</f>
        <v>0</v>
      </c>
      <c r="G349" s="103">
        <f t="shared" ca="1" si="191"/>
        <v>0</v>
      </c>
      <c r="H349" s="103">
        <f t="shared" ca="1" si="191"/>
        <v>0</v>
      </c>
      <c r="I349" s="103">
        <f t="shared" ca="1" si="191"/>
        <v>0</v>
      </c>
      <c r="J349" s="103">
        <f t="shared" ca="1" si="191"/>
        <v>0</v>
      </c>
      <c r="K349" s="103">
        <f t="shared" ca="1" si="191"/>
        <v>0</v>
      </c>
      <c r="L349" s="103">
        <f t="shared" ca="1" si="191"/>
        <v>0</v>
      </c>
      <c r="M349" s="103">
        <f t="shared" ca="1" si="191"/>
        <v>0</v>
      </c>
      <c r="N349" s="103">
        <f t="shared" ca="1" si="191"/>
        <v>0</v>
      </c>
      <c r="O349" s="103">
        <f t="shared" ca="1" si="191"/>
        <v>0</v>
      </c>
      <c r="P349" s="103">
        <f t="shared" ca="1" si="191"/>
        <v>0</v>
      </c>
      <c r="Q349" s="103">
        <f t="shared" ca="1" si="191"/>
        <v>0</v>
      </c>
      <c r="R349" s="103">
        <f t="shared" ca="1" si="191"/>
        <v>0</v>
      </c>
      <c r="S349" s="103">
        <f t="shared" ca="1" si="191"/>
        <v>0</v>
      </c>
      <c r="T349" s="103">
        <f t="shared" ca="1" si="191"/>
        <v>0</v>
      </c>
      <c r="U349" s="103">
        <f ca="1">SUM(U348)</f>
        <v>0</v>
      </c>
      <c r="V349" s="103">
        <f ca="1">SUM(V348)</f>
        <v>0</v>
      </c>
      <c r="W349" s="103">
        <f t="shared" ref="W349:AG349" ca="1" si="192">SUM(W348)</f>
        <v>0</v>
      </c>
      <c r="X349" s="103">
        <f t="shared" ca="1" si="192"/>
        <v>0</v>
      </c>
      <c r="Y349" s="103">
        <f t="shared" ca="1" si="192"/>
        <v>0</v>
      </c>
      <c r="Z349" s="103">
        <f t="shared" ca="1" si="192"/>
        <v>0</v>
      </c>
      <c r="AA349" s="103">
        <f t="shared" ca="1" si="192"/>
        <v>0</v>
      </c>
      <c r="AB349" s="103">
        <f t="shared" ca="1" si="192"/>
        <v>0</v>
      </c>
      <c r="AC349" s="103">
        <f t="shared" ca="1" si="192"/>
        <v>0</v>
      </c>
      <c r="AD349" s="103">
        <f t="shared" ca="1" si="192"/>
        <v>0</v>
      </c>
      <c r="AE349" s="103">
        <f t="shared" ca="1" si="192"/>
        <v>0</v>
      </c>
      <c r="AF349" s="103">
        <f t="shared" ca="1" si="192"/>
        <v>0</v>
      </c>
      <c r="AG349" s="103">
        <f t="shared" ca="1" si="192"/>
        <v>0</v>
      </c>
      <c r="AH349" s="103">
        <f ca="1">SUM(AH348)</f>
        <v>0</v>
      </c>
      <c r="AI349" s="103">
        <f ca="1">SUM(AI348)</f>
        <v>0</v>
      </c>
      <c r="AJ349" s="103">
        <f t="shared" ref="AJ349:AT349" ca="1" si="193">SUM(AJ348)</f>
        <v>0</v>
      </c>
      <c r="AK349" s="103">
        <f t="shared" ca="1" si="193"/>
        <v>0</v>
      </c>
      <c r="AL349" s="103">
        <f t="shared" ca="1" si="193"/>
        <v>0</v>
      </c>
      <c r="AM349" s="103">
        <f t="shared" ca="1" si="193"/>
        <v>0</v>
      </c>
      <c r="AN349" s="103">
        <f t="shared" ca="1" si="193"/>
        <v>0</v>
      </c>
      <c r="AO349" s="103">
        <f t="shared" ca="1" si="193"/>
        <v>0</v>
      </c>
      <c r="AP349" s="103">
        <f t="shared" ca="1" si="193"/>
        <v>0</v>
      </c>
      <c r="AQ349" s="103">
        <f t="shared" ca="1" si="193"/>
        <v>0</v>
      </c>
      <c r="AR349" s="103">
        <f t="shared" ca="1" si="193"/>
        <v>0</v>
      </c>
      <c r="AS349" s="103">
        <f t="shared" ca="1" si="193"/>
        <v>0</v>
      </c>
      <c r="AT349" s="103">
        <f t="shared" ca="1" si="193"/>
        <v>0</v>
      </c>
      <c r="AU349" s="103">
        <f ca="1">SUM(AU348)</f>
        <v>0</v>
      </c>
    </row>
    <row r="350" spans="1:47" ht="15.75">
      <c r="A350" s="1" t="s">
        <v>127</v>
      </c>
      <c r="C350" s="25"/>
      <c r="E350" s="50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  <c r="AJ350" s="55"/>
      <c r="AK350" s="55"/>
      <c r="AL350" s="55"/>
      <c r="AM350" s="55"/>
      <c r="AN350" s="55"/>
      <c r="AO350" s="55"/>
      <c r="AP350" s="55"/>
      <c r="AQ350" s="55"/>
      <c r="AR350" s="55"/>
      <c r="AS350" s="55"/>
      <c r="AT350" s="55"/>
      <c r="AU350" s="55"/>
    </row>
    <row r="351" spans="1:47">
      <c r="A351" s="1" t="s">
        <v>127</v>
      </c>
      <c r="C351" s="53"/>
    </row>
    <row r="352" spans="1:47" ht="15.75" customHeight="1">
      <c r="A352" s="1" t="s">
        <v>127</v>
      </c>
      <c r="C352" s="141" t="s">
        <v>97</v>
      </c>
      <c r="E352" s="132" t="s">
        <v>98</v>
      </c>
      <c r="F352" s="134">
        <f t="shared" ref="F352:AU352" ca="1" si="194">IFERROR((-F41/F30),"-")</f>
        <v>0.4393970551501501</v>
      </c>
      <c r="G352" s="134">
        <f t="shared" ca="1" si="194"/>
        <v>0.44060023003285215</v>
      </c>
      <c r="H352" s="134">
        <f t="shared" ca="1" si="194"/>
        <v>0.40902866652556147</v>
      </c>
      <c r="I352" s="134">
        <f t="shared" ca="1" si="194"/>
        <v>0.43350089875900322</v>
      </c>
      <c r="J352" s="134">
        <f t="shared" ca="1" si="194"/>
        <v>0.43574504387961455</v>
      </c>
      <c r="K352" s="134">
        <f t="shared" ca="1" si="194"/>
        <v>0.43102720221715268</v>
      </c>
      <c r="L352" s="134">
        <f t="shared" ca="1" si="194"/>
        <v>0.42840029066323049</v>
      </c>
      <c r="M352" s="134">
        <f t="shared" ca="1" si="194"/>
        <v>0.42611824834392198</v>
      </c>
      <c r="N352" s="134">
        <f t="shared" ca="1" si="194"/>
        <v>0.42403415500604619</v>
      </c>
      <c r="O352" s="134">
        <f t="shared" ca="1" si="194"/>
        <v>0.42403415500604619</v>
      </c>
      <c r="P352" s="134">
        <f t="shared" ca="1" si="194"/>
        <v>0.42403415500604619</v>
      </c>
      <c r="Q352" s="134">
        <f t="shared" ca="1" si="194"/>
        <v>0.42403415500604619</v>
      </c>
      <c r="R352" s="134">
        <f t="shared" ca="1" si="194"/>
        <v>0.42403415500604619</v>
      </c>
      <c r="S352" s="134">
        <f t="shared" ca="1" si="194"/>
        <v>0.42403415500604619</v>
      </c>
      <c r="T352" s="134">
        <f t="shared" ca="1" si="194"/>
        <v>0.42403415500604619</v>
      </c>
      <c r="U352" s="134">
        <f t="shared" ca="1" si="194"/>
        <v>0.42403415500604619</v>
      </c>
      <c r="V352" s="134" t="str">
        <f t="shared" ca="1" si="194"/>
        <v>-</v>
      </c>
      <c r="W352" s="134" t="str">
        <f t="shared" ca="1" si="194"/>
        <v>-</v>
      </c>
      <c r="X352" s="134" t="str">
        <f t="shared" ca="1" si="194"/>
        <v>-</v>
      </c>
      <c r="Y352" s="134" t="str">
        <f t="shared" ca="1" si="194"/>
        <v>-</v>
      </c>
      <c r="Z352" s="134" t="str">
        <f t="shared" ca="1" si="194"/>
        <v>-</v>
      </c>
      <c r="AA352" s="134" t="str">
        <f t="shared" ca="1" si="194"/>
        <v>-</v>
      </c>
      <c r="AB352" s="134" t="str">
        <f t="shared" ca="1" si="194"/>
        <v>-</v>
      </c>
      <c r="AC352" s="134" t="str">
        <f t="shared" ca="1" si="194"/>
        <v>-</v>
      </c>
      <c r="AD352" s="134" t="str">
        <f t="shared" ca="1" si="194"/>
        <v>-</v>
      </c>
      <c r="AE352" s="134" t="str">
        <f t="shared" ca="1" si="194"/>
        <v>-</v>
      </c>
      <c r="AF352" s="134" t="str">
        <f t="shared" ca="1" si="194"/>
        <v>-</v>
      </c>
      <c r="AG352" s="134" t="str">
        <f t="shared" ca="1" si="194"/>
        <v>-</v>
      </c>
      <c r="AH352" s="134" t="str">
        <f t="shared" ca="1" si="194"/>
        <v>-</v>
      </c>
      <c r="AI352" s="134" t="str">
        <f t="shared" ca="1" si="194"/>
        <v>-</v>
      </c>
      <c r="AJ352" s="134" t="str">
        <f t="shared" ca="1" si="194"/>
        <v>-</v>
      </c>
      <c r="AK352" s="134" t="str">
        <f t="shared" ca="1" si="194"/>
        <v>-</v>
      </c>
      <c r="AL352" s="134" t="str">
        <f t="shared" ca="1" si="194"/>
        <v>-</v>
      </c>
      <c r="AM352" s="134" t="str">
        <f t="shared" ca="1" si="194"/>
        <v>-</v>
      </c>
      <c r="AN352" s="134" t="str">
        <f t="shared" ca="1" si="194"/>
        <v>-</v>
      </c>
      <c r="AO352" s="134" t="str">
        <f t="shared" ca="1" si="194"/>
        <v>-</v>
      </c>
      <c r="AP352" s="134" t="str">
        <f t="shared" ca="1" si="194"/>
        <v>-</v>
      </c>
      <c r="AQ352" s="134" t="str">
        <f t="shared" ca="1" si="194"/>
        <v>-</v>
      </c>
      <c r="AR352" s="134" t="str">
        <f t="shared" ca="1" si="194"/>
        <v>-</v>
      </c>
      <c r="AS352" s="134" t="str">
        <f t="shared" ca="1" si="194"/>
        <v>-</v>
      </c>
      <c r="AT352" s="134" t="str">
        <f t="shared" ca="1" si="194"/>
        <v>-</v>
      </c>
      <c r="AU352" s="134" t="str">
        <f t="shared" ca="1" si="194"/>
        <v>-</v>
      </c>
    </row>
    <row r="353" spans="1:47" ht="15.75">
      <c r="A353" s="1" t="s">
        <v>127</v>
      </c>
      <c r="C353" s="141"/>
      <c r="E353" s="15" t="s">
        <v>99</v>
      </c>
      <c r="F353" s="78">
        <f t="shared" ref="F353:AU353" ca="1" si="195">IFERROR((-F80/F30),"-")</f>
        <v>8.2873779257101932E-2</v>
      </c>
      <c r="G353" s="78">
        <f t="shared" ca="1" si="195"/>
        <v>9.0598997042201437E-2</v>
      </c>
      <c r="H353" s="78">
        <f t="shared" ca="1" si="195"/>
        <v>8.5884530446022678E-2</v>
      </c>
      <c r="I353" s="78">
        <f t="shared" ca="1" si="195"/>
        <v>8.24160970008702E-2</v>
      </c>
      <c r="J353" s="78">
        <f t="shared" ca="1" si="195"/>
        <v>8.4868752417380802E-2</v>
      </c>
      <c r="K353" s="78">
        <f t="shared" ca="1" si="195"/>
        <v>8.4677378303589512E-2</v>
      </c>
      <c r="L353" s="78">
        <f t="shared" ca="1" si="195"/>
        <v>8.374601635955678E-2</v>
      </c>
      <c r="M353" s="78">
        <f t="shared" ca="1" si="195"/>
        <v>8.8529791510077477E-2</v>
      </c>
      <c r="N353" s="78">
        <f t="shared" ca="1" si="195"/>
        <v>8.5418570623536277E-2</v>
      </c>
      <c r="O353" s="78">
        <f t="shared" ca="1" si="195"/>
        <v>8.5418570623536277E-2</v>
      </c>
      <c r="P353" s="78">
        <f t="shared" ca="1" si="195"/>
        <v>8.5418570623536277E-2</v>
      </c>
      <c r="Q353" s="78">
        <f t="shared" ca="1" si="195"/>
        <v>8.5418570623536277E-2</v>
      </c>
      <c r="R353" s="78">
        <f t="shared" ca="1" si="195"/>
        <v>8.5418570623536277E-2</v>
      </c>
      <c r="S353" s="78">
        <f t="shared" ca="1" si="195"/>
        <v>8.5418570623536277E-2</v>
      </c>
      <c r="T353" s="78">
        <f t="shared" ca="1" si="195"/>
        <v>8.5418570623536277E-2</v>
      </c>
      <c r="U353" s="78">
        <f t="shared" ca="1" si="195"/>
        <v>8.5418570623536277E-2</v>
      </c>
      <c r="V353" s="78" t="str">
        <f t="shared" ca="1" si="195"/>
        <v>-</v>
      </c>
      <c r="W353" s="78" t="str">
        <f t="shared" ca="1" si="195"/>
        <v>-</v>
      </c>
      <c r="X353" s="78" t="str">
        <f t="shared" ca="1" si="195"/>
        <v>-</v>
      </c>
      <c r="Y353" s="78" t="str">
        <f t="shared" ca="1" si="195"/>
        <v>-</v>
      </c>
      <c r="Z353" s="78" t="str">
        <f t="shared" ca="1" si="195"/>
        <v>-</v>
      </c>
      <c r="AA353" s="78" t="str">
        <f t="shared" ca="1" si="195"/>
        <v>-</v>
      </c>
      <c r="AB353" s="78" t="str">
        <f t="shared" ca="1" si="195"/>
        <v>-</v>
      </c>
      <c r="AC353" s="78" t="str">
        <f t="shared" ca="1" si="195"/>
        <v>-</v>
      </c>
      <c r="AD353" s="78" t="str">
        <f t="shared" ca="1" si="195"/>
        <v>-</v>
      </c>
      <c r="AE353" s="78" t="str">
        <f t="shared" ca="1" si="195"/>
        <v>-</v>
      </c>
      <c r="AF353" s="78" t="str">
        <f t="shared" ca="1" si="195"/>
        <v>-</v>
      </c>
      <c r="AG353" s="78" t="str">
        <f t="shared" ca="1" si="195"/>
        <v>-</v>
      </c>
      <c r="AH353" s="78" t="str">
        <f t="shared" ca="1" si="195"/>
        <v>-</v>
      </c>
      <c r="AI353" s="78" t="str">
        <f t="shared" ca="1" si="195"/>
        <v>-</v>
      </c>
      <c r="AJ353" s="78" t="str">
        <f t="shared" ca="1" si="195"/>
        <v>-</v>
      </c>
      <c r="AK353" s="78" t="str">
        <f t="shared" ca="1" si="195"/>
        <v>-</v>
      </c>
      <c r="AL353" s="78" t="str">
        <f t="shared" ca="1" si="195"/>
        <v>-</v>
      </c>
      <c r="AM353" s="78" t="str">
        <f t="shared" ca="1" si="195"/>
        <v>-</v>
      </c>
      <c r="AN353" s="78" t="str">
        <f t="shared" ca="1" si="195"/>
        <v>-</v>
      </c>
      <c r="AO353" s="78" t="str">
        <f t="shared" ca="1" si="195"/>
        <v>-</v>
      </c>
      <c r="AP353" s="78" t="str">
        <f t="shared" ca="1" si="195"/>
        <v>-</v>
      </c>
      <c r="AQ353" s="78" t="str">
        <f t="shared" ca="1" si="195"/>
        <v>-</v>
      </c>
      <c r="AR353" s="78" t="str">
        <f t="shared" ca="1" si="195"/>
        <v>-</v>
      </c>
      <c r="AS353" s="78" t="str">
        <f t="shared" ca="1" si="195"/>
        <v>-</v>
      </c>
      <c r="AT353" s="78" t="str">
        <f t="shared" ca="1" si="195"/>
        <v>-</v>
      </c>
      <c r="AU353" s="78" t="str">
        <f t="shared" ca="1" si="195"/>
        <v>-</v>
      </c>
    </row>
    <row r="354" spans="1:47" ht="15.75">
      <c r="A354" s="1" t="s">
        <v>127</v>
      </c>
      <c r="C354" s="141"/>
      <c r="E354" s="15" t="s">
        <v>100</v>
      </c>
      <c r="F354" s="78">
        <f t="shared" ref="F354:AU354" ca="1" si="196">IFERROR((-F98/F30),"-")</f>
        <v>5.7296818446201443E-2</v>
      </c>
      <c r="G354" s="78">
        <f t="shared" ca="1" si="196"/>
        <v>5.7401617054910301E-2</v>
      </c>
      <c r="H354" s="78">
        <f t="shared" ca="1" si="196"/>
        <v>6.202411125291344E-2</v>
      </c>
      <c r="I354" s="78">
        <f t="shared" ca="1" si="196"/>
        <v>9.7942148858444142E-2</v>
      </c>
      <c r="J354" s="78">
        <f t="shared" ca="1" si="196"/>
        <v>9.3702543847821146E-2</v>
      </c>
      <c r="K354" s="78">
        <f t="shared" ca="1" si="196"/>
        <v>9.8028775489473169E-2</v>
      </c>
      <c r="L354" s="78">
        <f t="shared" ca="1" si="196"/>
        <v>9.9554194666357343E-2</v>
      </c>
      <c r="M354" s="78">
        <f t="shared" ca="1" si="196"/>
        <v>9.7484974371028613E-2</v>
      </c>
      <c r="N354" s="78">
        <f t="shared" ca="1" si="196"/>
        <v>9.6819254691192208E-2</v>
      </c>
      <c r="O354" s="78">
        <f t="shared" ca="1" si="196"/>
        <v>9.6819254691192208E-2</v>
      </c>
      <c r="P354" s="78">
        <f t="shared" ca="1" si="196"/>
        <v>9.6819254691192208E-2</v>
      </c>
      <c r="Q354" s="78">
        <f t="shared" ca="1" si="196"/>
        <v>9.6819254691192208E-2</v>
      </c>
      <c r="R354" s="78">
        <f t="shared" ca="1" si="196"/>
        <v>9.6819254691192208E-2</v>
      </c>
      <c r="S354" s="78">
        <f t="shared" ca="1" si="196"/>
        <v>9.6819254691192208E-2</v>
      </c>
      <c r="T354" s="78">
        <f t="shared" ca="1" si="196"/>
        <v>9.6819254691192208E-2</v>
      </c>
      <c r="U354" s="78">
        <f t="shared" ca="1" si="196"/>
        <v>9.6819254691192208E-2</v>
      </c>
      <c r="V354" s="78" t="str">
        <f t="shared" ca="1" si="196"/>
        <v>-</v>
      </c>
      <c r="W354" s="78" t="str">
        <f t="shared" ca="1" si="196"/>
        <v>-</v>
      </c>
      <c r="X354" s="78" t="str">
        <f t="shared" ca="1" si="196"/>
        <v>-</v>
      </c>
      <c r="Y354" s="78" t="str">
        <f t="shared" ca="1" si="196"/>
        <v>-</v>
      </c>
      <c r="Z354" s="78" t="str">
        <f t="shared" ca="1" si="196"/>
        <v>-</v>
      </c>
      <c r="AA354" s="78" t="str">
        <f t="shared" ca="1" si="196"/>
        <v>-</v>
      </c>
      <c r="AB354" s="78" t="str">
        <f t="shared" ca="1" si="196"/>
        <v>-</v>
      </c>
      <c r="AC354" s="78" t="str">
        <f t="shared" ca="1" si="196"/>
        <v>-</v>
      </c>
      <c r="AD354" s="78" t="str">
        <f t="shared" ca="1" si="196"/>
        <v>-</v>
      </c>
      <c r="AE354" s="78" t="str">
        <f t="shared" ca="1" si="196"/>
        <v>-</v>
      </c>
      <c r="AF354" s="78" t="str">
        <f t="shared" ca="1" si="196"/>
        <v>-</v>
      </c>
      <c r="AG354" s="78" t="str">
        <f t="shared" ca="1" si="196"/>
        <v>-</v>
      </c>
      <c r="AH354" s="78" t="str">
        <f t="shared" ca="1" si="196"/>
        <v>-</v>
      </c>
      <c r="AI354" s="78" t="str">
        <f t="shared" ca="1" si="196"/>
        <v>-</v>
      </c>
      <c r="AJ354" s="78" t="str">
        <f t="shared" ca="1" si="196"/>
        <v>-</v>
      </c>
      <c r="AK354" s="78" t="str">
        <f t="shared" ca="1" si="196"/>
        <v>-</v>
      </c>
      <c r="AL354" s="78" t="str">
        <f t="shared" ca="1" si="196"/>
        <v>-</v>
      </c>
      <c r="AM354" s="78" t="str">
        <f t="shared" ca="1" si="196"/>
        <v>-</v>
      </c>
      <c r="AN354" s="78" t="str">
        <f t="shared" ca="1" si="196"/>
        <v>-</v>
      </c>
      <c r="AO354" s="78" t="str">
        <f t="shared" ca="1" si="196"/>
        <v>-</v>
      </c>
      <c r="AP354" s="78" t="str">
        <f t="shared" ca="1" si="196"/>
        <v>-</v>
      </c>
      <c r="AQ354" s="78" t="str">
        <f t="shared" ca="1" si="196"/>
        <v>-</v>
      </c>
      <c r="AR354" s="78" t="str">
        <f t="shared" ca="1" si="196"/>
        <v>-</v>
      </c>
      <c r="AS354" s="78" t="str">
        <f t="shared" ca="1" si="196"/>
        <v>-</v>
      </c>
      <c r="AT354" s="78" t="str">
        <f t="shared" ca="1" si="196"/>
        <v>-</v>
      </c>
      <c r="AU354" s="78" t="str">
        <f t="shared" ca="1" si="196"/>
        <v>-</v>
      </c>
    </row>
    <row r="355" spans="1:47" ht="15.75">
      <c r="A355" s="1" t="s">
        <v>127</v>
      </c>
      <c r="C355" s="141"/>
      <c r="E355" s="15" t="s">
        <v>101</v>
      </c>
      <c r="F355" s="78">
        <f t="shared" ref="F355:AU355" ca="1" si="197">IFERROR(-(F114/F30),"-")</f>
        <v>6.5487169954796004E-2</v>
      </c>
      <c r="G355" s="78">
        <f t="shared" ca="1" si="197"/>
        <v>7.3454973715494171E-2</v>
      </c>
      <c r="H355" s="78">
        <f t="shared" ca="1" si="197"/>
        <v>5.8818220523095939E-2</v>
      </c>
      <c r="I355" s="78">
        <f t="shared" ca="1" si="197"/>
        <v>4.865889905422742E-2</v>
      </c>
      <c r="J355" s="78">
        <f t="shared" ca="1" si="197"/>
        <v>4.7943489902118976E-2</v>
      </c>
      <c r="K355" s="78">
        <f t="shared" ca="1" si="197"/>
        <v>4.6626095420165957E-2</v>
      </c>
      <c r="L355" s="78">
        <f t="shared" ca="1" si="197"/>
        <v>4.6708004831326685E-2</v>
      </c>
      <c r="M355" s="78">
        <f t="shared" ca="1" si="197"/>
        <v>4.7140416892318848E-2</v>
      </c>
      <c r="N355" s="78">
        <f t="shared" ca="1" si="197"/>
        <v>4.7037214704308793E-2</v>
      </c>
      <c r="O355" s="78">
        <f t="shared" ca="1" si="197"/>
        <v>4.7037214704308793E-2</v>
      </c>
      <c r="P355" s="78">
        <f t="shared" ca="1" si="197"/>
        <v>4.7037214704308793E-2</v>
      </c>
      <c r="Q355" s="78">
        <f t="shared" ca="1" si="197"/>
        <v>4.7037214704308793E-2</v>
      </c>
      <c r="R355" s="78">
        <f t="shared" ca="1" si="197"/>
        <v>4.7037214704308793E-2</v>
      </c>
      <c r="S355" s="78">
        <f t="shared" ca="1" si="197"/>
        <v>4.7037214704308793E-2</v>
      </c>
      <c r="T355" s="78">
        <f t="shared" ca="1" si="197"/>
        <v>4.7037214704308793E-2</v>
      </c>
      <c r="U355" s="78">
        <f t="shared" ca="1" si="197"/>
        <v>4.7037214704308793E-2</v>
      </c>
      <c r="V355" s="78" t="str">
        <f t="shared" ca="1" si="197"/>
        <v>-</v>
      </c>
      <c r="W355" s="78" t="str">
        <f t="shared" ca="1" si="197"/>
        <v>-</v>
      </c>
      <c r="X355" s="78" t="str">
        <f t="shared" ca="1" si="197"/>
        <v>-</v>
      </c>
      <c r="Y355" s="78" t="str">
        <f t="shared" ca="1" si="197"/>
        <v>-</v>
      </c>
      <c r="Z355" s="78" t="str">
        <f t="shared" ca="1" si="197"/>
        <v>-</v>
      </c>
      <c r="AA355" s="78" t="str">
        <f t="shared" ca="1" si="197"/>
        <v>-</v>
      </c>
      <c r="AB355" s="78" t="str">
        <f t="shared" ca="1" si="197"/>
        <v>-</v>
      </c>
      <c r="AC355" s="78" t="str">
        <f t="shared" ca="1" si="197"/>
        <v>-</v>
      </c>
      <c r="AD355" s="78" t="str">
        <f t="shared" ca="1" si="197"/>
        <v>-</v>
      </c>
      <c r="AE355" s="78" t="str">
        <f t="shared" ca="1" si="197"/>
        <v>-</v>
      </c>
      <c r="AF355" s="78" t="str">
        <f t="shared" ca="1" si="197"/>
        <v>-</v>
      </c>
      <c r="AG355" s="78" t="str">
        <f t="shared" ca="1" si="197"/>
        <v>-</v>
      </c>
      <c r="AH355" s="78" t="str">
        <f t="shared" ca="1" si="197"/>
        <v>-</v>
      </c>
      <c r="AI355" s="78" t="str">
        <f t="shared" ca="1" si="197"/>
        <v>-</v>
      </c>
      <c r="AJ355" s="78" t="str">
        <f t="shared" ca="1" si="197"/>
        <v>-</v>
      </c>
      <c r="AK355" s="78" t="str">
        <f t="shared" ca="1" si="197"/>
        <v>-</v>
      </c>
      <c r="AL355" s="78" t="str">
        <f t="shared" ca="1" si="197"/>
        <v>-</v>
      </c>
      <c r="AM355" s="78" t="str">
        <f t="shared" ca="1" si="197"/>
        <v>-</v>
      </c>
      <c r="AN355" s="78" t="str">
        <f t="shared" ca="1" si="197"/>
        <v>-</v>
      </c>
      <c r="AO355" s="78" t="str">
        <f t="shared" ca="1" si="197"/>
        <v>-</v>
      </c>
      <c r="AP355" s="78" t="str">
        <f t="shared" ca="1" si="197"/>
        <v>-</v>
      </c>
      <c r="AQ355" s="78" t="str">
        <f t="shared" ca="1" si="197"/>
        <v>-</v>
      </c>
      <c r="AR355" s="78" t="str">
        <f t="shared" ca="1" si="197"/>
        <v>-</v>
      </c>
      <c r="AS355" s="78" t="str">
        <f t="shared" ca="1" si="197"/>
        <v>-</v>
      </c>
      <c r="AT355" s="78" t="str">
        <f t="shared" ca="1" si="197"/>
        <v>-</v>
      </c>
      <c r="AU355" s="78" t="str">
        <f t="shared" ca="1" si="197"/>
        <v>-</v>
      </c>
    </row>
    <row r="356" spans="1:47" ht="15.75">
      <c r="A356" s="1" t="s">
        <v>127</v>
      </c>
      <c r="C356" s="141"/>
      <c r="E356" s="15" t="s">
        <v>102</v>
      </c>
      <c r="F356" s="79">
        <f t="shared" ref="F356:AU356" ca="1" si="198">IFERROR((-F186/F30),"-")</f>
        <v>0.20912393384849629</v>
      </c>
      <c r="G356" s="79">
        <f t="shared" ca="1" si="198"/>
        <v>0.22274466840548041</v>
      </c>
      <c r="H356" s="79">
        <f t="shared" ca="1" si="198"/>
        <v>0.23604963095636455</v>
      </c>
      <c r="I356" s="79">
        <f t="shared" ca="1" si="198"/>
        <v>0.20596325144110184</v>
      </c>
      <c r="J356" s="79">
        <f t="shared" ca="1" si="198"/>
        <v>0.21340786584347679</v>
      </c>
      <c r="K356" s="79">
        <f t="shared" ca="1" si="198"/>
        <v>0.2064377778192916</v>
      </c>
      <c r="L356" s="79">
        <f t="shared" ca="1" si="198"/>
        <v>0.21002216092485193</v>
      </c>
      <c r="M356" s="79">
        <f t="shared" ca="1" si="198"/>
        <v>0.20865779195956743</v>
      </c>
      <c r="N356" s="79">
        <f t="shared" ca="1" si="198"/>
        <v>0.20896167151260894</v>
      </c>
      <c r="O356" s="79">
        <f t="shared" ca="1" si="198"/>
        <v>0.20896167151260894</v>
      </c>
      <c r="P356" s="79">
        <f t="shared" ca="1" si="198"/>
        <v>0.20896167151260894</v>
      </c>
      <c r="Q356" s="79">
        <f t="shared" ca="1" si="198"/>
        <v>0.20896167151260894</v>
      </c>
      <c r="R356" s="79">
        <f t="shared" ca="1" si="198"/>
        <v>0.20896167151260894</v>
      </c>
      <c r="S356" s="79">
        <f t="shared" ca="1" si="198"/>
        <v>0.20896167151260894</v>
      </c>
      <c r="T356" s="79">
        <f t="shared" ca="1" si="198"/>
        <v>0.20896167151260894</v>
      </c>
      <c r="U356" s="79">
        <f t="shared" ca="1" si="198"/>
        <v>0.20896167151260894</v>
      </c>
      <c r="V356" s="79" t="str">
        <f t="shared" ca="1" si="198"/>
        <v>-</v>
      </c>
      <c r="W356" s="79" t="str">
        <f t="shared" ca="1" si="198"/>
        <v>-</v>
      </c>
      <c r="X356" s="79" t="str">
        <f t="shared" ca="1" si="198"/>
        <v>-</v>
      </c>
      <c r="Y356" s="79" t="str">
        <f t="shared" ca="1" si="198"/>
        <v>-</v>
      </c>
      <c r="Z356" s="79" t="str">
        <f t="shared" ca="1" si="198"/>
        <v>-</v>
      </c>
      <c r="AA356" s="79" t="str">
        <f t="shared" ca="1" si="198"/>
        <v>-</v>
      </c>
      <c r="AB356" s="79" t="str">
        <f t="shared" ca="1" si="198"/>
        <v>-</v>
      </c>
      <c r="AC356" s="79" t="str">
        <f t="shared" ca="1" si="198"/>
        <v>-</v>
      </c>
      <c r="AD356" s="79" t="str">
        <f t="shared" ca="1" si="198"/>
        <v>-</v>
      </c>
      <c r="AE356" s="79" t="str">
        <f t="shared" ca="1" si="198"/>
        <v>-</v>
      </c>
      <c r="AF356" s="79" t="str">
        <f t="shared" ca="1" si="198"/>
        <v>-</v>
      </c>
      <c r="AG356" s="79" t="str">
        <f t="shared" ca="1" si="198"/>
        <v>-</v>
      </c>
      <c r="AH356" s="79" t="str">
        <f t="shared" ca="1" si="198"/>
        <v>-</v>
      </c>
      <c r="AI356" s="79" t="str">
        <f t="shared" ca="1" si="198"/>
        <v>-</v>
      </c>
      <c r="AJ356" s="79" t="str">
        <f t="shared" ca="1" si="198"/>
        <v>-</v>
      </c>
      <c r="AK356" s="79" t="str">
        <f t="shared" ca="1" si="198"/>
        <v>-</v>
      </c>
      <c r="AL356" s="79" t="str">
        <f t="shared" ca="1" si="198"/>
        <v>-</v>
      </c>
      <c r="AM356" s="79" t="str">
        <f t="shared" ca="1" si="198"/>
        <v>-</v>
      </c>
      <c r="AN356" s="79" t="str">
        <f t="shared" ca="1" si="198"/>
        <v>-</v>
      </c>
      <c r="AO356" s="79" t="str">
        <f t="shared" ca="1" si="198"/>
        <v>-</v>
      </c>
      <c r="AP356" s="79" t="str">
        <f t="shared" ca="1" si="198"/>
        <v>-</v>
      </c>
      <c r="AQ356" s="79" t="str">
        <f t="shared" ca="1" si="198"/>
        <v>-</v>
      </c>
      <c r="AR356" s="79" t="str">
        <f t="shared" ca="1" si="198"/>
        <v>-</v>
      </c>
      <c r="AS356" s="79" t="str">
        <f t="shared" ca="1" si="198"/>
        <v>-</v>
      </c>
      <c r="AT356" s="79" t="str">
        <f t="shared" ca="1" si="198"/>
        <v>-</v>
      </c>
      <c r="AU356" s="79" t="str">
        <f t="shared" ca="1" si="198"/>
        <v>-</v>
      </c>
    </row>
    <row r="357" spans="1:47" ht="15.75">
      <c r="A357" s="1" t="s">
        <v>127</v>
      </c>
      <c r="C357" s="141"/>
      <c r="E357" s="52" t="s">
        <v>103</v>
      </c>
      <c r="F357" s="80">
        <f t="shared" ref="F357:AU357" ca="1" si="199">IFERROR(-F258/F30,"-")</f>
        <v>8.3761951521943878E-2</v>
      </c>
      <c r="G357" s="80">
        <f t="shared" ca="1" si="199"/>
        <v>8.8765466377561233E-2</v>
      </c>
      <c r="H357" s="80">
        <f t="shared" ca="1" si="199"/>
        <v>8.2718656859898571E-2</v>
      </c>
      <c r="I357" s="80">
        <f t="shared" ca="1" si="199"/>
        <v>8.8538803658591916E-2</v>
      </c>
      <c r="J357" s="80">
        <f t="shared" ca="1" si="199"/>
        <v>8.5830576576325535E-2</v>
      </c>
      <c r="K357" s="80">
        <f t="shared" ca="1" si="199"/>
        <v>8.5687305431291133E-2</v>
      </c>
      <c r="L357" s="80">
        <f t="shared" ca="1" si="199"/>
        <v>8.4897221064694606E-2</v>
      </c>
      <c r="M357" s="80">
        <f t="shared" ca="1" si="199"/>
        <v>8.4249045559996891E-2</v>
      </c>
      <c r="N357" s="80">
        <f t="shared" ca="1" si="199"/>
        <v>8.2992422466814E-2</v>
      </c>
      <c r="O357" s="80">
        <f t="shared" ca="1" si="199"/>
        <v>8.2992422466814E-2</v>
      </c>
      <c r="P357" s="80">
        <f t="shared" ca="1" si="199"/>
        <v>8.2992422466814E-2</v>
      </c>
      <c r="Q357" s="80">
        <f t="shared" ca="1" si="199"/>
        <v>8.2992422466814E-2</v>
      </c>
      <c r="R357" s="80">
        <f t="shared" ca="1" si="199"/>
        <v>8.2992422466814E-2</v>
      </c>
      <c r="S357" s="80">
        <f t="shared" ca="1" si="199"/>
        <v>8.2992422466814E-2</v>
      </c>
      <c r="T357" s="80">
        <f t="shared" ca="1" si="199"/>
        <v>8.2992422466814E-2</v>
      </c>
      <c r="U357" s="80">
        <f t="shared" ca="1" si="199"/>
        <v>8.2992422466814E-2</v>
      </c>
      <c r="V357" s="80" t="str">
        <f t="shared" ca="1" si="199"/>
        <v>-</v>
      </c>
      <c r="W357" s="80" t="str">
        <f t="shared" ca="1" si="199"/>
        <v>-</v>
      </c>
      <c r="X357" s="80" t="str">
        <f t="shared" ca="1" si="199"/>
        <v>-</v>
      </c>
      <c r="Y357" s="80" t="str">
        <f t="shared" ca="1" si="199"/>
        <v>-</v>
      </c>
      <c r="Z357" s="80" t="str">
        <f t="shared" ca="1" si="199"/>
        <v>-</v>
      </c>
      <c r="AA357" s="80" t="str">
        <f t="shared" ca="1" si="199"/>
        <v>-</v>
      </c>
      <c r="AB357" s="80" t="str">
        <f t="shared" ca="1" si="199"/>
        <v>-</v>
      </c>
      <c r="AC357" s="80" t="str">
        <f t="shared" ca="1" si="199"/>
        <v>-</v>
      </c>
      <c r="AD357" s="80" t="str">
        <f t="shared" ca="1" si="199"/>
        <v>-</v>
      </c>
      <c r="AE357" s="80" t="str">
        <f t="shared" ca="1" si="199"/>
        <v>-</v>
      </c>
      <c r="AF357" s="80" t="str">
        <f t="shared" ca="1" si="199"/>
        <v>-</v>
      </c>
      <c r="AG357" s="80" t="str">
        <f t="shared" ca="1" si="199"/>
        <v>-</v>
      </c>
      <c r="AH357" s="80" t="str">
        <f t="shared" ca="1" si="199"/>
        <v>-</v>
      </c>
      <c r="AI357" s="80" t="str">
        <f t="shared" ca="1" si="199"/>
        <v>-</v>
      </c>
      <c r="AJ357" s="80" t="str">
        <f t="shared" ca="1" si="199"/>
        <v>-</v>
      </c>
      <c r="AK357" s="80" t="str">
        <f t="shared" ca="1" si="199"/>
        <v>-</v>
      </c>
      <c r="AL357" s="80" t="str">
        <f t="shared" ca="1" si="199"/>
        <v>-</v>
      </c>
      <c r="AM357" s="80" t="str">
        <f t="shared" ca="1" si="199"/>
        <v>-</v>
      </c>
      <c r="AN357" s="80" t="str">
        <f t="shared" ca="1" si="199"/>
        <v>-</v>
      </c>
      <c r="AO357" s="80" t="str">
        <f t="shared" ca="1" si="199"/>
        <v>-</v>
      </c>
      <c r="AP357" s="80" t="str">
        <f t="shared" ca="1" si="199"/>
        <v>-</v>
      </c>
      <c r="AQ357" s="80" t="str">
        <f t="shared" ca="1" si="199"/>
        <v>-</v>
      </c>
      <c r="AR357" s="80" t="str">
        <f t="shared" ca="1" si="199"/>
        <v>-</v>
      </c>
      <c r="AS357" s="80" t="str">
        <f t="shared" ca="1" si="199"/>
        <v>-</v>
      </c>
      <c r="AT357" s="80" t="str">
        <f t="shared" ca="1" si="199"/>
        <v>-</v>
      </c>
      <c r="AU357" s="80" t="str">
        <f t="shared" ca="1" si="199"/>
        <v>-</v>
      </c>
    </row>
    <row r="358" spans="1:47" ht="9" customHeight="1">
      <c r="A358" s="1" t="s">
        <v>127</v>
      </c>
      <c r="C358" s="141"/>
      <c r="E358" s="7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</row>
    <row r="359" spans="1:47" ht="15.75">
      <c r="A359" s="1" t="s">
        <v>127</v>
      </c>
      <c r="C359" s="141"/>
      <c r="E359" s="132" t="str">
        <f ca="1">"Revenue "&amp;RIGHT(Context!$F$36,3)&amp;"/km"</f>
        <v>Revenue LCL/km</v>
      </c>
      <c r="F359" s="135">
        <f t="shared" ref="F359:AU359" ca="1" si="200">IFERROR(F21/F308,"-")</f>
        <v>6.0546934496817713</v>
      </c>
      <c r="G359" s="135">
        <f t="shared" ca="1" si="200"/>
        <v>5.8736115477185553</v>
      </c>
      <c r="H359" s="135">
        <f t="shared" ca="1" si="200"/>
        <v>5.9116946863675723</v>
      </c>
      <c r="I359" s="135">
        <f t="shared" ca="1" si="200"/>
        <v>6.222972409185096</v>
      </c>
      <c r="J359" s="135">
        <f t="shared" ca="1" si="200"/>
        <v>6.5770106056756976</v>
      </c>
      <c r="K359" s="135">
        <f t="shared" ca="1" si="200"/>
        <v>6.5910311732039109</v>
      </c>
      <c r="L359" s="135">
        <f t="shared" ca="1" si="200"/>
        <v>6.5304471784693803</v>
      </c>
      <c r="M359" s="135">
        <f t="shared" ca="1" si="200"/>
        <v>6.50351711528252</v>
      </c>
      <c r="N359" s="135">
        <f t="shared" ca="1" si="200"/>
        <v>6.5602454568155038</v>
      </c>
      <c r="O359" s="135">
        <f t="shared" ca="1" si="200"/>
        <v>6.5602454568155038</v>
      </c>
      <c r="P359" s="135">
        <f t="shared" ca="1" si="200"/>
        <v>6.5602454568155038</v>
      </c>
      <c r="Q359" s="135">
        <f t="shared" ca="1" si="200"/>
        <v>6.5602454568155038</v>
      </c>
      <c r="R359" s="135">
        <f t="shared" ca="1" si="200"/>
        <v>6.5602454568155038</v>
      </c>
      <c r="S359" s="135">
        <f t="shared" ca="1" si="200"/>
        <v>6.5602454568155038</v>
      </c>
      <c r="T359" s="135">
        <f t="shared" ca="1" si="200"/>
        <v>6.5602454568155038</v>
      </c>
      <c r="U359" s="135">
        <f t="shared" ca="1" si="200"/>
        <v>6.5602454568155038</v>
      </c>
      <c r="V359" s="135" t="str">
        <f t="shared" ca="1" si="200"/>
        <v>-</v>
      </c>
      <c r="W359" s="135" t="str">
        <f t="shared" ca="1" si="200"/>
        <v>-</v>
      </c>
      <c r="X359" s="135" t="str">
        <f t="shared" ca="1" si="200"/>
        <v>-</v>
      </c>
      <c r="Y359" s="135" t="str">
        <f t="shared" ca="1" si="200"/>
        <v>-</v>
      </c>
      <c r="Z359" s="135" t="str">
        <f t="shared" ca="1" si="200"/>
        <v>-</v>
      </c>
      <c r="AA359" s="135" t="str">
        <f t="shared" ca="1" si="200"/>
        <v>-</v>
      </c>
      <c r="AB359" s="135" t="str">
        <f t="shared" ca="1" si="200"/>
        <v>-</v>
      </c>
      <c r="AC359" s="135" t="str">
        <f t="shared" ca="1" si="200"/>
        <v>-</v>
      </c>
      <c r="AD359" s="135" t="str">
        <f t="shared" ca="1" si="200"/>
        <v>-</v>
      </c>
      <c r="AE359" s="135" t="str">
        <f t="shared" ca="1" si="200"/>
        <v>-</v>
      </c>
      <c r="AF359" s="135" t="str">
        <f t="shared" ca="1" si="200"/>
        <v>-</v>
      </c>
      <c r="AG359" s="135" t="str">
        <f t="shared" ca="1" si="200"/>
        <v>-</v>
      </c>
      <c r="AH359" s="135" t="str">
        <f t="shared" ca="1" si="200"/>
        <v>-</v>
      </c>
      <c r="AI359" s="135" t="str">
        <f t="shared" ca="1" si="200"/>
        <v>-</v>
      </c>
      <c r="AJ359" s="135" t="str">
        <f t="shared" ca="1" si="200"/>
        <v>-</v>
      </c>
      <c r="AK359" s="135" t="str">
        <f t="shared" ca="1" si="200"/>
        <v>-</v>
      </c>
      <c r="AL359" s="135" t="str">
        <f t="shared" ca="1" si="200"/>
        <v>-</v>
      </c>
      <c r="AM359" s="135" t="str">
        <f t="shared" ca="1" si="200"/>
        <v>-</v>
      </c>
      <c r="AN359" s="135" t="str">
        <f t="shared" ca="1" si="200"/>
        <v>-</v>
      </c>
      <c r="AO359" s="135" t="str">
        <f t="shared" ca="1" si="200"/>
        <v>-</v>
      </c>
      <c r="AP359" s="135" t="str">
        <f t="shared" ca="1" si="200"/>
        <v>-</v>
      </c>
      <c r="AQ359" s="135" t="str">
        <f t="shared" ca="1" si="200"/>
        <v>-</v>
      </c>
      <c r="AR359" s="135" t="str">
        <f t="shared" ca="1" si="200"/>
        <v>-</v>
      </c>
      <c r="AS359" s="135" t="str">
        <f t="shared" ca="1" si="200"/>
        <v>-</v>
      </c>
      <c r="AT359" s="135" t="str">
        <f t="shared" ca="1" si="200"/>
        <v>-</v>
      </c>
      <c r="AU359" s="135" t="str">
        <f t="shared" ca="1" si="200"/>
        <v>-</v>
      </c>
    </row>
    <row r="360" spans="1:47" ht="15.75">
      <c r="A360" s="1" t="s">
        <v>127</v>
      </c>
      <c r="C360" s="141"/>
      <c r="E360" s="15" t="s">
        <v>104</v>
      </c>
      <c r="F360" s="56" t="str">
        <f t="shared" ref="F360:AU360" ca="1" si="201">IFERROR(F324/F304,"-")</f>
        <v>-</v>
      </c>
      <c r="G360" s="56" t="str">
        <f t="shared" ca="1" si="201"/>
        <v>-</v>
      </c>
      <c r="H360" s="56" t="str">
        <f t="shared" ca="1" si="201"/>
        <v>-</v>
      </c>
      <c r="I360" s="56" t="str">
        <f t="shared" ca="1" si="201"/>
        <v>-</v>
      </c>
      <c r="J360" s="56" t="str">
        <f t="shared" ca="1" si="201"/>
        <v>-</v>
      </c>
      <c r="K360" s="56" t="str">
        <f t="shared" ca="1" si="201"/>
        <v>-</v>
      </c>
      <c r="L360" s="56" t="str">
        <f t="shared" ca="1" si="201"/>
        <v>-</v>
      </c>
      <c r="M360" s="56" t="str">
        <f t="shared" ca="1" si="201"/>
        <v>-</v>
      </c>
      <c r="N360" s="56" t="str">
        <f t="shared" ca="1" si="201"/>
        <v>-</v>
      </c>
      <c r="O360" s="56" t="str">
        <f t="shared" ca="1" si="201"/>
        <v>-</v>
      </c>
      <c r="P360" s="56" t="str">
        <f t="shared" ca="1" si="201"/>
        <v>-</v>
      </c>
      <c r="Q360" s="56" t="str">
        <f t="shared" ca="1" si="201"/>
        <v>-</v>
      </c>
      <c r="R360" s="56" t="str">
        <f t="shared" ca="1" si="201"/>
        <v>-</v>
      </c>
      <c r="S360" s="56" t="str">
        <f t="shared" ca="1" si="201"/>
        <v>-</v>
      </c>
      <c r="T360" s="56" t="str">
        <f t="shared" ca="1" si="201"/>
        <v>-</v>
      </c>
      <c r="U360" s="56" t="str">
        <f t="shared" ca="1" si="201"/>
        <v>-</v>
      </c>
      <c r="V360" s="56" t="str">
        <f t="shared" ca="1" si="201"/>
        <v>-</v>
      </c>
      <c r="W360" s="56" t="str">
        <f t="shared" ca="1" si="201"/>
        <v>-</v>
      </c>
      <c r="X360" s="56" t="str">
        <f t="shared" ca="1" si="201"/>
        <v>-</v>
      </c>
      <c r="Y360" s="56" t="str">
        <f t="shared" ca="1" si="201"/>
        <v>-</v>
      </c>
      <c r="Z360" s="56" t="str">
        <f t="shared" ca="1" si="201"/>
        <v>-</v>
      </c>
      <c r="AA360" s="56" t="str">
        <f t="shared" ca="1" si="201"/>
        <v>-</v>
      </c>
      <c r="AB360" s="56" t="str">
        <f t="shared" ca="1" si="201"/>
        <v>-</v>
      </c>
      <c r="AC360" s="56" t="str">
        <f t="shared" ca="1" si="201"/>
        <v>-</v>
      </c>
      <c r="AD360" s="56" t="str">
        <f t="shared" ca="1" si="201"/>
        <v>-</v>
      </c>
      <c r="AE360" s="56" t="str">
        <f t="shared" ca="1" si="201"/>
        <v>-</v>
      </c>
      <c r="AF360" s="56" t="str">
        <f t="shared" ca="1" si="201"/>
        <v>-</v>
      </c>
      <c r="AG360" s="56" t="str">
        <f t="shared" ca="1" si="201"/>
        <v>-</v>
      </c>
      <c r="AH360" s="56" t="str">
        <f t="shared" ca="1" si="201"/>
        <v>-</v>
      </c>
      <c r="AI360" s="56" t="str">
        <f t="shared" ca="1" si="201"/>
        <v>-</v>
      </c>
      <c r="AJ360" s="56" t="str">
        <f t="shared" ca="1" si="201"/>
        <v>-</v>
      </c>
      <c r="AK360" s="56" t="str">
        <f t="shared" ca="1" si="201"/>
        <v>-</v>
      </c>
      <c r="AL360" s="56" t="str">
        <f t="shared" ca="1" si="201"/>
        <v>-</v>
      </c>
      <c r="AM360" s="56" t="str">
        <f t="shared" ca="1" si="201"/>
        <v>-</v>
      </c>
      <c r="AN360" s="56" t="str">
        <f t="shared" ca="1" si="201"/>
        <v>-</v>
      </c>
      <c r="AO360" s="56" t="str">
        <f t="shared" ca="1" si="201"/>
        <v>-</v>
      </c>
      <c r="AP360" s="56" t="str">
        <f t="shared" ca="1" si="201"/>
        <v>-</v>
      </c>
      <c r="AQ360" s="56" t="str">
        <f t="shared" ca="1" si="201"/>
        <v>-</v>
      </c>
      <c r="AR360" s="56" t="str">
        <f t="shared" ca="1" si="201"/>
        <v>-</v>
      </c>
      <c r="AS360" s="56" t="str">
        <f t="shared" ca="1" si="201"/>
        <v>-</v>
      </c>
      <c r="AT360" s="56" t="str">
        <f t="shared" ca="1" si="201"/>
        <v>-</v>
      </c>
      <c r="AU360" s="56" t="str">
        <f t="shared" ca="1" si="201"/>
        <v>-</v>
      </c>
    </row>
    <row r="361" spans="1:47" ht="15.75">
      <c r="A361" s="1" t="s">
        <v>127</v>
      </c>
      <c r="C361" s="141"/>
      <c r="E361" s="15" t="s">
        <v>105</v>
      </c>
      <c r="F361" s="56" t="str">
        <f t="shared" ref="F361:AU361" ca="1" si="202">IFERROR(F326/F305,"-")</f>
        <v>-</v>
      </c>
      <c r="G361" s="56" t="str">
        <f t="shared" ca="1" si="202"/>
        <v>-</v>
      </c>
      <c r="H361" s="56" t="str">
        <f t="shared" ca="1" si="202"/>
        <v>-</v>
      </c>
      <c r="I361" s="56" t="str">
        <f t="shared" ca="1" si="202"/>
        <v>-</v>
      </c>
      <c r="J361" s="56" t="str">
        <f t="shared" ca="1" si="202"/>
        <v>-</v>
      </c>
      <c r="K361" s="56" t="str">
        <f t="shared" ca="1" si="202"/>
        <v>-</v>
      </c>
      <c r="L361" s="56" t="str">
        <f t="shared" ca="1" si="202"/>
        <v>-</v>
      </c>
      <c r="M361" s="56" t="str">
        <f t="shared" ca="1" si="202"/>
        <v>-</v>
      </c>
      <c r="N361" s="56" t="str">
        <f t="shared" ca="1" si="202"/>
        <v>-</v>
      </c>
      <c r="O361" s="56" t="str">
        <f t="shared" ca="1" si="202"/>
        <v>-</v>
      </c>
      <c r="P361" s="56" t="str">
        <f t="shared" ca="1" si="202"/>
        <v>-</v>
      </c>
      <c r="Q361" s="56" t="str">
        <f t="shared" ca="1" si="202"/>
        <v>-</v>
      </c>
      <c r="R361" s="56" t="str">
        <f t="shared" ca="1" si="202"/>
        <v>-</v>
      </c>
      <c r="S361" s="56" t="str">
        <f t="shared" ca="1" si="202"/>
        <v>-</v>
      </c>
      <c r="T361" s="56" t="str">
        <f t="shared" ca="1" si="202"/>
        <v>-</v>
      </c>
      <c r="U361" s="56" t="str">
        <f t="shared" ca="1" si="202"/>
        <v>-</v>
      </c>
      <c r="V361" s="56" t="str">
        <f t="shared" ca="1" si="202"/>
        <v>-</v>
      </c>
      <c r="W361" s="56" t="str">
        <f t="shared" ca="1" si="202"/>
        <v>-</v>
      </c>
      <c r="X361" s="56" t="str">
        <f t="shared" ca="1" si="202"/>
        <v>-</v>
      </c>
      <c r="Y361" s="56" t="str">
        <f t="shared" ca="1" si="202"/>
        <v>-</v>
      </c>
      <c r="Z361" s="56" t="str">
        <f t="shared" ca="1" si="202"/>
        <v>-</v>
      </c>
      <c r="AA361" s="56" t="str">
        <f t="shared" ca="1" si="202"/>
        <v>-</v>
      </c>
      <c r="AB361" s="56" t="str">
        <f t="shared" ca="1" si="202"/>
        <v>-</v>
      </c>
      <c r="AC361" s="56" t="str">
        <f t="shared" ca="1" si="202"/>
        <v>-</v>
      </c>
      <c r="AD361" s="56" t="str">
        <f t="shared" ca="1" si="202"/>
        <v>-</v>
      </c>
      <c r="AE361" s="56" t="str">
        <f t="shared" ca="1" si="202"/>
        <v>-</v>
      </c>
      <c r="AF361" s="56" t="str">
        <f t="shared" ca="1" si="202"/>
        <v>-</v>
      </c>
      <c r="AG361" s="56" t="str">
        <f t="shared" ca="1" si="202"/>
        <v>-</v>
      </c>
      <c r="AH361" s="56" t="str">
        <f t="shared" ca="1" si="202"/>
        <v>-</v>
      </c>
      <c r="AI361" s="56" t="str">
        <f t="shared" ca="1" si="202"/>
        <v>-</v>
      </c>
      <c r="AJ361" s="56" t="str">
        <f t="shared" ca="1" si="202"/>
        <v>-</v>
      </c>
      <c r="AK361" s="56" t="str">
        <f t="shared" ca="1" si="202"/>
        <v>-</v>
      </c>
      <c r="AL361" s="56" t="str">
        <f t="shared" ca="1" si="202"/>
        <v>-</v>
      </c>
      <c r="AM361" s="56" t="str">
        <f t="shared" ca="1" si="202"/>
        <v>-</v>
      </c>
      <c r="AN361" s="56" t="str">
        <f t="shared" ca="1" si="202"/>
        <v>-</v>
      </c>
      <c r="AO361" s="56" t="str">
        <f t="shared" ca="1" si="202"/>
        <v>-</v>
      </c>
      <c r="AP361" s="56" t="str">
        <f t="shared" ca="1" si="202"/>
        <v>-</v>
      </c>
      <c r="AQ361" s="56" t="str">
        <f t="shared" ca="1" si="202"/>
        <v>-</v>
      </c>
      <c r="AR361" s="56" t="str">
        <f t="shared" ca="1" si="202"/>
        <v>-</v>
      </c>
      <c r="AS361" s="56" t="str">
        <f t="shared" ca="1" si="202"/>
        <v>-</v>
      </c>
      <c r="AT361" s="56" t="str">
        <f t="shared" ca="1" si="202"/>
        <v>-</v>
      </c>
      <c r="AU361" s="56" t="str">
        <f t="shared" ca="1" si="202"/>
        <v>-</v>
      </c>
    </row>
    <row r="362" spans="1:47" ht="15.75">
      <c r="A362" s="1" t="s">
        <v>127</v>
      </c>
      <c r="C362" s="141"/>
      <c r="E362" s="15" t="s">
        <v>106</v>
      </c>
      <c r="F362" s="56" t="str">
        <f t="shared" ref="F362:AU362" ca="1" si="203">IFERROR(F328/F307,"-")</f>
        <v>-</v>
      </c>
      <c r="G362" s="56" t="str">
        <f t="shared" ca="1" si="203"/>
        <v>-</v>
      </c>
      <c r="H362" s="56" t="str">
        <f t="shared" ca="1" si="203"/>
        <v>-</v>
      </c>
      <c r="I362" s="56" t="str">
        <f t="shared" ca="1" si="203"/>
        <v>-</v>
      </c>
      <c r="J362" s="56" t="str">
        <f t="shared" ca="1" si="203"/>
        <v>-</v>
      </c>
      <c r="K362" s="56" t="str">
        <f t="shared" ca="1" si="203"/>
        <v>-</v>
      </c>
      <c r="L362" s="56" t="str">
        <f t="shared" ca="1" si="203"/>
        <v>-</v>
      </c>
      <c r="M362" s="56" t="str">
        <f t="shared" ca="1" si="203"/>
        <v>-</v>
      </c>
      <c r="N362" s="56" t="str">
        <f t="shared" ca="1" si="203"/>
        <v>-</v>
      </c>
      <c r="O362" s="56" t="str">
        <f t="shared" ca="1" si="203"/>
        <v>-</v>
      </c>
      <c r="P362" s="56" t="str">
        <f t="shared" ca="1" si="203"/>
        <v>-</v>
      </c>
      <c r="Q362" s="56" t="str">
        <f t="shared" ca="1" si="203"/>
        <v>-</v>
      </c>
      <c r="R362" s="56" t="str">
        <f t="shared" ca="1" si="203"/>
        <v>-</v>
      </c>
      <c r="S362" s="56" t="str">
        <f t="shared" ca="1" si="203"/>
        <v>-</v>
      </c>
      <c r="T362" s="56" t="str">
        <f t="shared" ca="1" si="203"/>
        <v>-</v>
      </c>
      <c r="U362" s="56" t="str">
        <f t="shared" ca="1" si="203"/>
        <v>-</v>
      </c>
      <c r="V362" s="56" t="str">
        <f t="shared" ca="1" si="203"/>
        <v>-</v>
      </c>
      <c r="W362" s="56" t="str">
        <f t="shared" ca="1" si="203"/>
        <v>-</v>
      </c>
      <c r="X362" s="56" t="str">
        <f t="shared" ca="1" si="203"/>
        <v>-</v>
      </c>
      <c r="Y362" s="56" t="str">
        <f t="shared" ca="1" si="203"/>
        <v>-</v>
      </c>
      <c r="Z362" s="56" t="str">
        <f t="shared" ca="1" si="203"/>
        <v>-</v>
      </c>
      <c r="AA362" s="56" t="str">
        <f t="shared" ca="1" si="203"/>
        <v>-</v>
      </c>
      <c r="AB362" s="56" t="str">
        <f t="shared" ca="1" si="203"/>
        <v>-</v>
      </c>
      <c r="AC362" s="56" t="str">
        <f t="shared" ca="1" si="203"/>
        <v>-</v>
      </c>
      <c r="AD362" s="56" t="str">
        <f t="shared" ca="1" si="203"/>
        <v>-</v>
      </c>
      <c r="AE362" s="56" t="str">
        <f t="shared" ca="1" si="203"/>
        <v>-</v>
      </c>
      <c r="AF362" s="56" t="str">
        <f t="shared" ca="1" si="203"/>
        <v>-</v>
      </c>
      <c r="AG362" s="56" t="str">
        <f t="shared" ca="1" si="203"/>
        <v>-</v>
      </c>
      <c r="AH362" s="56" t="str">
        <f t="shared" ca="1" si="203"/>
        <v>-</v>
      </c>
      <c r="AI362" s="56" t="str">
        <f t="shared" ca="1" si="203"/>
        <v>-</v>
      </c>
      <c r="AJ362" s="56" t="str">
        <f t="shared" ca="1" si="203"/>
        <v>-</v>
      </c>
      <c r="AK362" s="56" t="str">
        <f t="shared" ca="1" si="203"/>
        <v>-</v>
      </c>
      <c r="AL362" s="56" t="str">
        <f t="shared" ca="1" si="203"/>
        <v>-</v>
      </c>
      <c r="AM362" s="56" t="str">
        <f t="shared" ca="1" si="203"/>
        <v>-</v>
      </c>
      <c r="AN362" s="56" t="str">
        <f t="shared" ca="1" si="203"/>
        <v>-</v>
      </c>
      <c r="AO362" s="56" t="str">
        <f t="shared" ca="1" si="203"/>
        <v>-</v>
      </c>
      <c r="AP362" s="56" t="str">
        <f t="shared" ca="1" si="203"/>
        <v>-</v>
      </c>
      <c r="AQ362" s="56" t="str">
        <f t="shared" ca="1" si="203"/>
        <v>-</v>
      </c>
      <c r="AR362" s="56" t="str">
        <f t="shared" ca="1" si="203"/>
        <v>-</v>
      </c>
      <c r="AS362" s="56" t="str">
        <f t="shared" ca="1" si="203"/>
        <v>-</v>
      </c>
      <c r="AT362" s="56" t="str">
        <f t="shared" ca="1" si="203"/>
        <v>-</v>
      </c>
      <c r="AU362" s="56" t="str">
        <f t="shared" ca="1" si="203"/>
        <v>-</v>
      </c>
    </row>
    <row r="363" spans="1:47" ht="15.75">
      <c r="A363" s="1" t="s">
        <v>127</v>
      </c>
      <c r="C363" s="141"/>
      <c r="E363" s="15" t="s">
        <v>107</v>
      </c>
      <c r="F363" s="56" t="str">
        <f t="shared" ref="F363:AU363" ca="1" si="204">IFERROR(F330/F306,"-")</f>
        <v>-</v>
      </c>
      <c r="G363" s="56" t="str">
        <f t="shared" ca="1" si="204"/>
        <v>-</v>
      </c>
      <c r="H363" s="56" t="str">
        <f t="shared" ca="1" si="204"/>
        <v>-</v>
      </c>
      <c r="I363" s="56" t="str">
        <f t="shared" ca="1" si="204"/>
        <v>-</v>
      </c>
      <c r="J363" s="56" t="str">
        <f t="shared" ca="1" si="204"/>
        <v>-</v>
      </c>
      <c r="K363" s="56" t="str">
        <f t="shared" ca="1" si="204"/>
        <v>-</v>
      </c>
      <c r="L363" s="56" t="str">
        <f t="shared" ca="1" si="204"/>
        <v>-</v>
      </c>
      <c r="M363" s="56" t="str">
        <f t="shared" ca="1" si="204"/>
        <v>-</v>
      </c>
      <c r="N363" s="56" t="str">
        <f t="shared" ca="1" si="204"/>
        <v>-</v>
      </c>
      <c r="O363" s="56" t="str">
        <f t="shared" ca="1" si="204"/>
        <v>-</v>
      </c>
      <c r="P363" s="56" t="str">
        <f t="shared" ca="1" si="204"/>
        <v>-</v>
      </c>
      <c r="Q363" s="56" t="str">
        <f t="shared" ca="1" si="204"/>
        <v>-</v>
      </c>
      <c r="R363" s="56" t="str">
        <f t="shared" ca="1" si="204"/>
        <v>-</v>
      </c>
      <c r="S363" s="56" t="str">
        <f t="shared" ca="1" si="204"/>
        <v>-</v>
      </c>
      <c r="T363" s="56" t="str">
        <f t="shared" ca="1" si="204"/>
        <v>-</v>
      </c>
      <c r="U363" s="56" t="str">
        <f t="shared" ca="1" si="204"/>
        <v>-</v>
      </c>
      <c r="V363" s="56" t="str">
        <f t="shared" ca="1" si="204"/>
        <v>-</v>
      </c>
      <c r="W363" s="56" t="str">
        <f t="shared" ca="1" si="204"/>
        <v>-</v>
      </c>
      <c r="X363" s="56" t="str">
        <f t="shared" ca="1" si="204"/>
        <v>-</v>
      </c>
      <c r="Y363" s="56" t="str">
        <f t="shared" ca="1" si="204"/>
        <v>-</v>
      </c>
      <c r="Z363" s="56" t="str">
        <f t="shared" ca="1" si="204"/>
        <v>-</v>
      </c>
      <c r="AA363" s="56" t="str">
        <f t="shared" ca="1" si="204"/>
        <v>-</v>
      </c>
      <c r="AB363" s="56" t="str">
        <f t="shared" ca="1" si="204"/>
        <v>-</v>
      </c>
      <c r="AC363" s="56" t="str">
        <f t="shared" ca="1" si="204"/>
        <v>-</v>
      </c>
      <c r="AD363" s="56" t="str">
        <f t="shared" ca="1" si="204"/>
        <v>-</v>
      </c>
      <c r="AE363" s="56" t="str">
        <f t="shared" ca="1" si="204"/>
        <v>-</v>
      </c>
      <c r="AF363" s="56" t="str">
        <f t="shared" ca="1" si="204"/>
        <v>-</v>
      </c>
      <c r="AG363" s="56" t="str">
        <f t="shared" ca="1" si="204"/>
        <v>-</v>
      </c>
      <c r="AH363" s="56" t="str">
        <f t="shared" ca="1" si="204"/>
        <v>-</v>
      </c>
      <c r="AI363" s="56" t="str">
        <f t="shared" ca="1" si="204"/>
        <v>-</v>
      </c>
      <c r="AJ363" s="56" t="str">
        <f t="shared" ca="1" si="204"/>
        <v>-</v>
      </c>
      <c r="AK363" s="56" t="str">
        <f t="shared" ca="1" si="204"/>
        <v>-</v>
      </c>
      <c r="AL363" s="56" t="str">
        <f t="shared" ca="1" si="204"/>
        <v>-</v>
      </c>
      <c r="AM363" s="56" t="str">
        <f t="shared" ca="1" si="204"/>
        <v>-</v>
      </c>
      <c r="AN363" s="56" t="str">
        <f t="shared" ca="1" si="204"/>
        <v>-</v>
      </c>
      <c r="AO363" s="56" t="str">
        <f t="shared" ca="1" si="204"/>
        <v>-</v>
      </c>
      <c r="AP363" s="56" t="str">
        <f t="shared" ca="1" si="204"/>
        <v>-</v>
      </c>
      <c r="AQ363" s="56" t="str">
        <f t="shared" ca="1" si="204"/>
        <v>-</v>
      </c>
      <c r="AR363" s="56" t="str">
        <f t="shared" ca="1" si="204"/>
        <v>-</v>
      </c>
      <c r="AS363" s="56" t="str">
        <f t="shared" ca="1" si="204"/>
        <v>-</v>
      </c>
      <c r="AT363" s="56" t="str">
        <f t="shared" ca="1" si="204"/>
        <v>-</v>
      </c>
      <c r="AU363" s="56" t="str">
        <f t="shared" ca="1" si="204"/>
        <v>-</v>
      </c>
    </row>
    <row r="364" spans="1:47" ht="15.75">
      <c r="A364" s="1" t="s">
        <v>127</v>
      </c>
      <c r="C364" s="141"/>
      <c r="E364" s="15" t="str">
        <f ca="1">"(E2) Cost "&amp;RIGHT(Context!$F$36,3)&amp;"/L (fuel)"</f>
        <v>(E2) Cost LCL/L (fuel)</v>
      </c>
      <c r="F364" s="56">
        <f t="shared" ref="F364:AU364" ca="1" si="205">IFERROR(F88/F324,"-")</f>
        <v>-1.0200500376178538</v>
      </c>
      <c r="G364" s="56">
        <f t="shared" ca="1" si="205"/>
        <v>-1.0485485205141216</v>
      </c>
      <c r="H364" s="56">
        <f t="shared" ca="1" si="205"/>
        <v>-1.2774348871515591</v>
      </c>
      <c r="I364" s="56">
        <f t="shared" ca="1" si="205"/>
        <v>-1.5610836414599876</v>
      </c>
      <c r="J364" s="56">
        <f t="shared" ca="1" si="205"/>
        <v>-1.5619087502833244</v>
      </c>
      <c r="K364" s="56">
        <f t="shared" ca="1" si="205"/>
        <v>-1.6902082626839696</v>
      </c>
      <c r="L364" s="56">
        <f t="shared" ca="1" si="205"/>
        <v>-1.7555531056088083</v>
      </c>
      <c r="M364" s="56">
        <f t="shared" ca="1" si="205"/>
        <v>-1.7454440687584423</v>
      </c>
      <c r="N364" s="56">
        <f t="shared" ca="1" si="205"/>
        <v>-1.7929138653472805</v>
      </c>
      <c r="O364" s="56">
        <f t="shared" ca="1" si="205"/>
        <v>-1.7929138653472805</v>
      </c>
      <c r="P364" s="56">
        <f t="shared" ca="1" si="205"/>
        <v>-1.7929138653472805</v>
      </c>
      <c r="Q364" s="56">
        <f t="shared" ca="1" si="205"/>
        <v>-1.7929138653472805</v>
      </c>
      <c r="R364" s="56">
        <f t="shared" ca="1" si="205"/>
        <v>-1.7929138653472805</v>
      </c>
      <c r="S364" s="56">
        <f t="shared" ca="1" si="205"/>
        <v>-1.7929138653472805</v>
      </c>
      <c r="T364" s="56">
        <f t="shared" ca="1" si="205"/>
        <v>-1.7929138653472805</v>
      </c>
      <c r="U364" s="56">
        <f t="shared" ca="1" si="205"/>
        <v>-1.7929138653472805</v>
      </c>
      <c r="V364" s="56" t="str">
        <f t="shared" ca="1" si="205"/>
        <v>-</v>
      </c>
      <c r="W364" s="56" t="str">
        <f t="shared" ca="1" si="205"/>
        <v>-</v>
      </c>
      <c r="X364" s="56" t="str">
        <f t="shared" ca="1" si="205"/>
        <v>-</v>
      </c>
      <c r="Y364" s="56" t="str">
        <f t="shared" ca="1" si="205"/>
        <v>-</v>
      </c>
      <c r="Z364" s="56" t="str">
        <f t="shared" ca="1" si="205"/>
        <v>-</v>
      </c>
      <c r="AA364" s="56" t="str">
        <f t="shared" ca="1" si="205"/>
        <v>-</v>
      </c>
      <c r="AB364" s="56" t="str">
        <f t="shared" ca="1" si="205"/>
        <v>-</v>
      </c>
      <c r="AC364" s="56" t="str">
        <f t="shared" ca="1" si="205"/>
        <v>-</v>
      </c>
      <c r="AD364" s="56" t="str">
        <f t="shared" ca="1" si="205"/>
        <v>-</v>
      </c>
      <c r="AE364" s="56" t="str">
        <f t="shared" ca="1" si="205"/>
        <v>-</v>
      </c>
      <c r="AF364" s="56" t="str">
        <f t="shared" ca="1" si="205"/>
        <v>-</v>
      </c>
      <c r="AG364" s="56" t="str">
        <f t="shared" ca="1" si="205"/>
        <v>-</v>
      </c>
      <c r="AH364" s="56" t="str">
        <f t="shared" ca="1" si="205"/>
        <v>-</v>
      </c>
      <c r="AI364" s="56" t="str">
        <f t="shared" ca="1" si="205"/>
        <v>-</v>
      </c>
      <c r="AJ364" s="56" t="str">
        <f t="shared" ca="1" si="205"/>
        <v>-</v>
      </c>
      <c r="AK364" s="56" t="str">
        <f t="shared" ca="1" si="205"/>
        <v>-</v>
      </c>
      <c r="AL364" s="56" t="str">
        <f t="shared" ca="1" si="205"/>
        <v>-</v>
      </c>
      <c r="AM364" s="56" t="str">
        <f t="shared" ca="1" si="205"/>
        <v>-</v>
      </c>
      <c r="AN364" s="56" t="str">
        <f t="shared" ca="1" si="205"/>
        <v>-</v>
      </c>
      <c r="AO364" s="56" t="str">
        <f t="shared" ca="1" si="205"/>
        <v>-</v>
      </c>
      <c r="AP364" s="56" t="str">
        <f t="shared" ca="1" si="205"/>
        <v>-</v>
      </c>
      <c r="AQ364" s="56" t="str">
        <f t="shared" ca="1" si="205"/>
        <v>-</v>
      </c>
      <c r="AR364" s="56" t="str">
        <f t="shared" ca="1" si="205"/>
        <v>-</v>
      </c>
      <c r="AS364" s="56" t="str">
        <f t="shared" ca="1" si="205"/>
        <v>-</v>
      </c>
      <c r="AT364" s="56" t="str">
        <f t="shared" ca="1" si="205"/>
        <v>-</v>
      </c>
      <c r="AU364" s="56" t="str">
        <f t="shared" ca="1" si="205"/>
        <v>-</v>
      </c>
    </row>
    <row r="365" spans="1:47" ht="15.75">
      <c r="A365" s="1" t="s">
        <v>127</v>
      </c>
      <c r="C365" s="141"/>
      <c r="E365" s="15" t="str">
        <f ca="1">"(E2) Cost "&amp;RIGHT(Context!$F$36,3)&amp;"/L (biofuel)"</f>
        <v>(E2) Cost LCL/L (biofuel)</v>
      </c>
      <c r="F365" s="56">
        <f t="shared" ref="F365:AU365" ca="1" si="206">IFERROR(F91/F326,"-")</f>
        <v>-1.0404625382471229</v>
      </c>
      <c r="G365" s="56">
        <f t="shared" ca="1" si="206"/>
        <v>-0.89710062426504844</v>
      </c>
      <c r="H365" s="56">
        <f t="shared" ca="1" si="206"/>
        <v>-1.192045423868253</v>
      </c>
      <c r="I365" s="56">
        <f t="shared" ca="1" si="206"/>
        <v>-1.5217122892015464</v>
      </c>
      <c r="J365" s="56">
        <f t="shared" ca="1" si="206"/>
        <v>-1.5895329704073755</v>
      </c>
      <c r="K365" s="56">
        <f t="shared" ca="1" si="206"/>
        <v>-1.8261889018354041</v>
      </c>
      <c r="L365" s="56">
        <f t="shared" ca="1" si="206"/>
        <v>-1.7690886362517377</v>
      </c>
      <c r="M365" s="56">
        <f t="shared" ca="1" si="206"/>
        <v>-1.8049814328718456</v>
      </c>
      <c r="N365" s="56">
        <f t="shared" ca="1" si="206"/>
        <v>-1.8255836877288618</v>
      </c>
      <c r="O365" s="56">
        <f t="shared" ca="1" si="206"/>
        <v>-1.8255836877288618</v>
      </c>
      <c r="P365" s="56">
        <f t="shared" ca="1" si="206"/>
        <v>-1.8255836877288618</v>
      </c>
      <c r="Q365" s="56">
        <f t="shared" ca="1" si="206"/>
        <v>-1.8255836877288618</v>
      </c>
      <c r="R365" s="56">
        <f t="shared" ca="1" si="206"/>
        <v>-1.8255836877288618</v>
      </c>
      <c r="S365" s="56">
        <f t="shared" ca="1" si="206"/>
        <v>-1.8255836877288618</v>
      </c>
      <c r="T365" s="56">
        <f t="shared" ca="1" si="206"/>
        <v>-1.8255836877288618</v>
      </c>
      <c r="U365" s="56">
        <f t="shared" ca="1" si="206"/>
        <v>-1.8255836877288618</v>
      </c>
      <c r="V365" s="56" t="str">
        <f t="shared" ca="1" si="206"/>
        <v>-</v>
      </c>
      <c r="W365" s="56" t="str">
        <f t="shared" ca="1" si="206"/>
        <v>-</v>
      </c>
      <c r="X365" s="56" t="str">
        <f t="shared" ca="1" si="206"/>
        <v>-</v>
      </c>
      <c r="Y365" s="56" t="str">
        <f t="shared" ca="1" si="206"/>
        <v>-</v>
      </c>
      <c r="Z365" s="56" t="str">
        <f t="shared" ca="1" si="206"/>
        <v>-</v>
      </c>
      <c r="AA365" s="56" t="str">
        <f t="shared" ca="1" si="206"/>
        <v>-</v>
      </c>
      <c r="AB365" s="56" t="str">
        <f t="shared" ca="1" si="206"/>
        <v>-</v>
      </c>
      <c r="AC365" s="56" t="str">
        <f t="shared" ca="1" si="206"/>
        <v>-</v>
      </c>
      <c r="AD365" s="56" t="str">
        <f t="shared" ca="1" si="206"/>
        <v>-</v>
      </c>
      <c r="AE365" s="56" t="str">
        <f t="shared" ca="1" si="206"/>
        <v>-</v>
      </c>
      <c r="AF365" s="56" t="str">
        <f t="shared" ca="1" si="206"/>
        <v>-</v>
      </c>
      <c r="AG365" s="56" t="str">
        <f t="shared" ca="1" si="206"/>
        <v>-</v>
      </c>
      <c r="AH365" s="56" t="str">
        <f t="shared" ca="1" si="206"/>
        <v>-</v>
      </c>
      <c r="AI365" s="56" t="str">
        <f t="shared" ca="1" si="206"/>
        <v>-</v>
      </c>
      <c r="AJ365" s="56" t="str">
        <f t="shared" ca="1" si="206"/>
        <v>-</v>
      </c>
      <c r="AK365" s="56" t="str">
        <f t="shared" ca="1" si="206"/>
        <v>-</v>
      </c>
      <c r="AL365" s="56" t="str">
        <f t="shared" ca="1" si="206"/>
        <v>-</v>
      </c>
      <c r="AM365" s="56" t="str">
        <f t="shared" ca="1" si="206"/>
        <v>-</v>
      </c>
      <c r="AN365" s="56" t="str">
        <f t="shared" ca="1" si="206"/>
        <v>-</v>
      </c>
      <c r="AO365" s="56" t="str">
        <f t="shared" ca="1" si="206"/>
        <v>-</v>
      </c>
      <c r="AP365" s="56" t="str">
        <f t="shared" ca="1" si="206"/>
        <v>-</v>
      </c>
      <c r="AQ365" s="56" t="str">
        <f t="shared" ca="1" si="206"/>
        <v>-</v>
      </c>
      <c r="AR365" s="56" t="str">
        <f t="shared" ca="1" si="206"/>
        <v>-</v>
      </c>
      <c r="AS365" s="56" t="str">
        <f t="shared" ca="1" si="206"/>
        <v>-</v>
      </c>
      <c r="AT365" s="56" t="str">
        <f t="shared" ca="1" si="206"/>
        <v>-</v>
      </c>
      <c r="AU365" s="56" t="str">
        <f t="shared" ca="1" si="206"/>
        <v>-</v>
      </c>
    </row>
    <row r="366" spans="1:47" ht="15.75">
      <c r="A366" s="1" t="s">
        <v>127</v>
      </c>
      <c r="C366" s="141"/>
      <c r="E366" s="15" t="str">
        <f ca="1">"(E2) Cost "&amp;RIGHT(Context!$F$36,3)&amp;"/kWh (gas)"</f>
        <v>(E2) Cost LCL/kWh (gas)</v>
      </c>
      <c r="F366" s="56" t="str">
        <f t="shared" ref="F366:AU366" ca="1" si="207">IFERROR(F94/F328,"-")</f>
        <v>-</v>
      </c>
      <c r="G366" s="56" t="str">
        <f t="shared" ca="1" si="207"/>
        <v>-</v>
      </c>
      <c r="H366" s="56" t="str">
        <f t="shared" ca="1" si="207"/>
        <v>-</v>
      </c>
      <c r="I366" s="56" t="str">
        <f t="shared" ca="1" si="207"/>
        <v>-</v>
      </c>
      <c r="J366" s="56" t="str">
        <f t="shared" ca="1" si="207"/>
        <v>-</v>
      </c>
      <c r="K366" s="56" t="str">
        <f t="shared" ca="1" si="207"/>
        <v>-</v>
      </c>
      <c r="L366" s="56" t="str">
        <f t="shared" ca="1" si="207"/>
        <v>-</v>
      </c>
      <c r="M366" s="56" t="str">
        <f t="shared" ca="1" si="207"/>
        <v>-</v>
      </c>
      <c r="N366" s="56" t="str">
        <f t="shared" ca="1" si="207"/>
        <v>-</v>
      </c>
      <c r="O366" s="56" t="str">
        <f t="shared" ca="1" si="207"/>
        <v>-</v>
      </c>
      <c r="P366" s="56" t="str">
        <f t="shared" ca="1" si="207"/>
        <v>-</v>
      </c>
      <c r="Q366" s="56" t="str">
        <f t="shared" ca="1" si="207"/>
        <v>-</v>
      </c>
      <c r="R366" s="56" t="str">
        <f t="shared" ca="1" si="207"/>
        <v>-</v>
      </c>
      <c r="S366" s="56" t="str">
        <f t="shared" ca="1" si="207"/>
        <v>-</v>
      </c>
      <c r="T366" s="56" t="str">
        <f t="shared" ca="1" si="207"/>
        <v>-</v>
      </c>
      <c r="U366" s="56" t="str">
        <f t="shared" ca="1" si="207"/>
        <v>-</v>
      </c>
      <c r="V366" s="56" t="str">
        <f t="shared" ca="1" si="207"/>
        <v>-</v>
      </c>
      <c r="W366" s="56" t="str">
        <f t="shared" ca="1" si="207"/>
        <v>-</v>
      </c>
      <c r="X366" s="56" t="str">
        <f t="shared" ca="1" si="207"/>
        <v>-</v>
      </c>
      <c r="Y366" s="56" t="str">
        <f t="shared" ca="1" si="207"/>
        <v>-</v>
      </c>
      <c r="Z366" s="56" t="str">
        <f t="shared" ca="1" si="207"/>
        <v>-</v>
      </c>
      <c r="AA366" s="56" t="str">
        <f t="shared" ca="1" si="207"/>
        <v>-</v>
      </c>
      <c r="AB366" s="56" t="str">
        <f t="shared" ca="1" si="207"/>
        <v>-</v>
      </c>
      <c r="AC366" s="56" t="str">
        <f t="shared" ca="1" si="207"/>
        <v>-</v>
      </c>
      <c r="AD366" s="56" t="str">
        <f t="shared" ca="1" si="207"/>
        <v>-</v>
      </c>
      <c r="AE366" s="56" t="str">
        <f t="shared" ca="1" si="207"/>
        <v>-</v>
      </c>
      <c r="AF366" s="56" t="str">
        <f t="shared" ca="1" si="207"/>
        <v>-</v>
      </c>
      <c r="AG366" s="56" t="str">
        <f t="shared" ca="1" si="207"/>
        <v>-</v>
      </c>
      <c r="AH366" s="56" t="str">
        <f t="shared" ca="1" si="207"/>
        <v>-</v>
      </c>
      <c r="AI366" s="56" t="str">
        <f t="shared" ca="1" si="207"/>
        <v>-</v>
      </c>
      <c r="AJ366" s="56" t="str">
        <f t="shared" ca="1" si="207"/>
        <v>-</v>
      </c>
      <c r="AK366" s="56" t="str">
        <f t="shared" ca="1" si="207"/>
        <v>-</v>
      </c>
      <c r="AL366" s="56" t="str">
        <f t="shared" ca="1" si="207"/>
        <v>-</v>
      </c>
      <c r="AM366" s="56" t="str">
        <f t="shared" ca="1" si="207"/>
        <v>-</v>
      </c>
      <c r="AN366" s="56" t="str">
        <f t="shared" ca="1" si="207"/>
        <v>-</v>
      </c>
      <c r="AO366" s="56" t="str">
        <f t="shared" ca="1" si="207"/>
        <v>-</v>
      </c>
      <c r="AP366" s="56" t="str">
        <f t="shared" ca="1" si="207"/>
        <v>-</v>
      </c>
      <c r="AQ366" s="56" t="str">
        <f t="shared" ca="1" si="207"/>
        <v>-</v>
      </c>
      <c r="AR366" s="56" t="str">
        <f t="shared" ca="1" si="207"/>
        <v>-</v>
      </c>
      <c r="AS366" s="56" t="str">
        <f t="shared" ca="1" si="207"/>
        <v>-</v>
      </c>
      <c r="AT366" s="56" t="str">
        <f t="shared" ca="1" si="207"/>
        <v>-</v>
      </c>
      <c r="AU366" s="56" t="str">
        <f t="shared" ca="1" si="207"/>
        <v>-</v>
      </c>
    </row>
    <row r="367" spans="1:47" ht="15.75">
      <c r="A367" s="1" t="s">
        <v>127</v>
      </c>
      <c r="C367" s="141"/>
      <c r="E367" s="15" t="str">
        <f ca="1">"(E2) Cost "&amp;RIGHT(Context!$F$36,3)&amp;"/kWh (electricity)"</f>
        <v>(E2) Cost LCL/kWh (electricity)</v>
      </c>
      <c r="F367" s="56" t="str">
        <f t="shared" ref="F367:AU367" ca="1" si="208">IFERROR(F83/F330,"-")</f>
        <v>-</v>
      </c>
      <c r="G367" s="56" t="str">
        <f t="shared" ca="1" si="208"/>
        <v>-</v>
      </c>
      <c r="H367" s="56" t="str">
        <f t="shared" ca="1" si="208"/>
        <v>-</v>
      </c>
      <c r="I367" s="56" t="str">
        <f t="shared" ca="1" si="208"/>
        <v>-</v>
      </c>
      <c r="J367" s="56" t="str">
        <f t="shared" ca="1" si="208"/>
        <v>-</v>
      </c>
      <c r="K367" s="56" t="str">
        <f t="shared" ca="1" si="208"/>
        <v>-</v>
      </c>
      <c r="L367" s="56" t="str">
        <f t="shared" ca="1" si="208"/>
        <v>-</v>
      </c>
      <c r="M367" s="56" t="str">
        <f t="shared" ca="1" si="208"/>
        <v>-</v>
      </c>
      <c r="N367" s="56" t="str">
        <f t="shared" ca="1" si="208"/>
        <v>-</v>
      </c>
      <c r="O367" s="56" t="str">
        <f t="shared" ca="1" si="208"/>
        <v>-</v>
      </c>
      <c r="P367" s="56" t="str">
        <f t="shared" ca="1" si="208"/>
        <v>-</v>
      </c>
      <c r="Q367" s="56" t="str">
        <f t="shared" ca="1" si="208"/>
        <v>-</v>
      </c>
      <c r="R367" s="56" t="str">
        <f t="shared" ca="1" si="208"/>
        <v>-</v>
      </c>
      <c r="S367" s="56" t="str">
        <f t="shared" ca="1" si="208"/>
        <v>-</v>
      </c>
      <c r="T367" s="56" t="str">
        <f t="shared" ca="1" si="208"/>
        <v>-</v>
      </c>
      <c r="U367" s="56" t="str">
        <f t="shared" ca="1" si="208"/>
        <v>-</v>
      </c>
      <c r="V367" s="56" t="str">
        <f t="shared" ca="1" si="208"/>
        <v>-</v>
      </c>
      <c r="W367" s="56" t="str">
        <f t="shared" ca="1" si="208"/>
        <v>-</v>
      </c>
      <c r="X367" s="56" t="str">
        <f t="shared" ca="1" si="208"/>
        <v>-</v>
      </c>
      <c r="Y367" s="56" t="str">
        <f t="shared" ca="1" si="208"/>
        <v>-</v>
      </c>
      <c r="Z367" s="56" t="str">
        <f t="shared" ca="1" si="208"/>
        <v>-</v>
      </c>
      <c r="AA367" s="56" t="str">
        <f t="shared" ca="1" si="208"/>
        <v>-</v>
      </c>
      <c r="AB367" s="56" t="str">
        <f t="shared" ca="1" si="208"/>
        <v>-</v>
      </c>
      <c r="AC367" s="56" t="str">
        <f t="shared" ca="1" si="208"/>
        <v>-</v>
      </c>
      <c r="AD367" s="56" t="str">
        <f t="shared" ca="1" si="208"/>
        <v>-</v>
      </c>
      <c r="AE367" s="56" t="str">
        <f t="shared" ca="1" si="208"/>
        <v>-</v>
      </c>
      <c r="AF367" s="56" t="str">
        <f t="shared" ca="1" si="208"/>
        <v>-</v>
      </c>
      <c r="AG367" s="56" t="str">
        <f t="shared" ca="1" si="208"/>
        <v>-</v>
      </c>
      <c r="AH367" s="56" t="str">
        <f t="shared" ca="1" si="208"/>
        <v>-</v>
      </c>
      <c r="AI367" s="56" t="str">
        <f t="shared" ca="1" si="208"/>
        <v>-</v>
      </c>
      <c r="AJ367" s="56" t="str">
        <f t="shared" ca="1" si="208"/>
        <v>-</v>
      </c>
      <c r="AK367" s="56" t="str">
        <f t="shared" ca="1" si="208"/>
        <v>-</v>
      </c>
      <c r="AL367" s="56" t="str">
        <f t="shared" ca="1" si="208"/>
        <v>-</v>
      </c>
      <c r="AM367" s="56" t="str">
        <f t="shared" ca="1" si="208"/>
        <v>-</v>
      </c>
      <c r="AN367" s="56" t="str">
        <f t="shared" ca="1" si="208"/>
        <v>-</v>
      </c>
      <c r="AO367" s="56" t="str">
        <f t="shared" ca="1" si="208"/>
        <v>-</v>
      </c>
      <c r="AP367" s="56" t="str">
        <f t="shared" ca="1" si="208"/>
        <v>-</v>
      </c>
      <c r="AQ367" s="56" t="str">
        <f t="shared" ca="1" si="208"/>
        <v>-</v>
      </c>
      <c r="AR367" s="56" t="str">
        <f t="shared" ca="1" si="208"/>
        <v>-</v>
      </c>
      <c r="AS367" s="56" t="str">
        <f t="shared" ca="1" si="208"/>
        <v>-</v>
      </c>
      <c r="AT367" s="56" t="str">
        <f t="shared" ca="1" si="208"/>
        <v>-</v>
      </c>
      <c r="AU367" s="56" t="str">
        <f t="shared" ca="1" si="208"/>
        <v>-</v>
      </c>
    </row>
    <row r="368" spans="1:47" ht="15.75">
      <c r="A368" s="1" t="s">
        <v>127</v>
      </c>
      <c r="C368" s="141"/>
      <c r="E368" s="15" t="str">
        <f ca="1">"(D1) Payroll "&amp;RIGHT(Context!$F$36,3)&amp;"/FTE (Drivers)"</f>
        <v>(D1) Payroll LCL/FTE (Drivers)</v>
      </c>
      <c r="F368" s="56" t="str">
        <f t="shared" ref="F368:AU368" ca="1" si="209">IFERROR(F41/F312,"-")</f>
        <v>-</v>
      </c>
      <c r="G368" s="56" t="str">
        <f t="shared" ca="1" si="209"/>
        <v>-</v>
      </c>
      <c r="H368" s="56" t="str">
        <f t="shared" ca="1" si="209"/>
        <v>-</v>
      </c>
      <c r="I368" s="56" t="str">
        <f t="shared" ca="1" si="209"/>
        <v>-</v>
      </c>
      <c r="J368" s="56" t="str">
        <f t="shared" ca="1" si="209"/>
        <v>-</v>
      </c>
      <c r="K368" s="56" t="str">
        <f t="shared" ca="1" si="209"/>
        <v>-</v>
      </c>
      <c r="L368" s="56" t="str">
        <f t="shared" ca="1" si="209"/>
        <v>-</v>
      </c>
      <c r="M368" s="56" t="str">
        <f t="shared" ca="1" si="209"/>
        <v>-</v>
      </c>
      <c r="N368" s="56" t="str">
        <f t="shared" ca="1" si="209"/>
        <v>-</v>
      </c>
      <c r="O368" s="56" t="str">
        <f t="shared" ca="1" si="209"/>
        <v>-</v>
      </c>
      <c r="P368" s="56" t="str">
        <f t="shared" ca="1" si="209"/>
        <v>-</v>
      </c>
      <c r="Q368" s="56" t="str">
        <f t="shared" ca="1" si="209"/>
        <v>-</v>
      </c>
      <c r="R368" s="56" t="str">
        <f t="shared" ca="1" si="209"/>
        <v>-</v>
      </c>
      <c r="S368" s="56" t="str">
        <f t="shared" ca="1" si="209"/>
        <v>-</v>
      </c>
      <c r="T368" s="56" t="str">
        <f t="shared" ca="1" si="209"/>
        <v>-</v>
      </c>
      <c r="U368" s="56" t="str">
        <f t="shared" ca="1" si="209"/>
        <v>-</v>
      </c>
      <c r="V368" s="56" t="str">
        <f t="shared" ca="1" si="209"/>
        <v>-</v>
      </c>
      <c r="W368" s="56" t="str">
        <f t="shared" ca="1" si="209"/>
        <v>-</v>
      </c>
      <c r="X368" s="56" t="str">
        <f t="shared" ca="1" si="209"/>
        <v>-</v>
      </c>
      <c r="Y368" s="56" t="str">
        <f t="shared" ca="1" si="209"/>
        <v>-</v>
      </c>
      <c r="Z368" s="56" t="str">
        <f t="shared" ca="1" si="209"/>
        <v>-</v>
      </c>
      <c r="AA368" s="56" t="str">
        <f t="shared" ca="1" si="209"/>
        <v>-</v>
      </c>
      <c r="AB368" s="56" t="str">
        <f t="shared" ca="1" si="209"/>
        <v>-</v>
      </c>
      <c r="AC368" s="56" t="str">
        <f t="shared" ca="1" si="209"/>
        <v>-</v>
      </c>
      <c r="AD368" s="56" t="str">
        <f t="shared" ca="1" si="209"/>
        <v>-</v>
      </c>
      <c r="AE368" s="56" t="str">
        <f t="shared" ca="1" si="209"/>
        <v>-</v>
      </c>
      <c r="AF368" s="56" t="str">
        <f t="shared" ca="1" si="209"/>
        <v>-</v>
      </c>
      <c r="AG368" s="56" t="str">
        <f t="shared" ca="1" si="209"/>
        <v>-</v>
      </c>
      <c r="AH368" s="56" t="str">
        <f t="shared" ca="1" si="209"/>
        <v>-</v>
      </c>
      <c r="AI368" s="56" t="str">
        <f t="shared" ca="1" si="209"/>
        <v>-</v>
      </c>
      <c r="AJ368" s="56" t="str">
        <f t="shared" ca="1" si="209"/>
        <v>-</v>
      </c>
      <c r="AK368" s="56" t="str">
        <f t="shared" ca="1" si="209"/>
        <v>-</v>
      </c>
      <c r="AL368" s="56" t="str">
        <f t="shared" ca="1" si="209"/>
        <v>-</v>
      </c>
      <c r="AM368" s="56" t="str">
        <f t="shared" ca="1" si="209"/>
        <v>-</v>
      </c>
      <c r="AN368" s="56" t="str">
        <f t="shared" ca="1" si="209"/>
        <v>-</v>
      </c>
      <c r="AO368" s="56" t="str">
        <f t="shared" ca="1" si="209"/>
        <v>-</v>
      </c>
      <c r="AP368" s="56" t="str">
        <f t="shared" ca="1" si="209"/>
        <v>-</v>
      </c>
      <c r="AQ368" s="56" t="str">
        <f t="shared" ca="1" si="209"/>
        <v>-</v>
      </c>
      <c r="AR368" s="56" t="str">
        <f t="shared" ca="1" si="209"/>
        <v>-</v>
      </c>
      <c r="AS368" s="56" t="str">
        <f t="shared" ca="1" si="209"/>
        <v>-</v>
      </c>
      <c r="AT368" s="56" t="str">
        <f t="shared" ca="1" si="209"/>
        <v>-</v>
      </c>
      <c r="AU368" s="56" t="str">
        <f t="shared" ca="1" si="209"/>
        <v>-</v>
      </c>
    </row>
    <row r="369" spans="1:47" ht="15.75">
      <c r="A369" s="1" t="s">
        <v>127</v>
      </c>
      <c r="C369" s="141"/>
      <c r="E369" s="15" t="s">
        <v>108</v>
      </c>
      <c r="F369" s="56" t="str">
        <f t="shared" ref="F369:AU369" ca="1" si="210">IFERROR(F308/F312,"-")</f>
        <v>-</v>
      </c>
      <c r="G369" s="56" t="str">
        <f t="shared" ca="1" si="210"/>
        <v>-</v>
      </c>
      <c r="H369" s="56" t="str">
        <f t="shared" ca="1" si="210"/>
        <v>-</v>
      </c>
      <c r="I369" s="56" t="str">
        <f t="shared" ca="1" si="210"/>
        <v>-</v>
      </c>
      <c r="J369" s="56" t="str">
        <f t="shared" ca="1" si="210"/>
        <v>-</v>
      </c>
      <c r="K369" s="56" t="str">
        <f t="shared" ca="1" si="210"/>
        <v>-</v>
      </c>
      <c r="L369" s="56" t="str">
        <f t="shared" ca="1" si="210"/>
        <v>-</v>
      </c>
      <c r="M369" s="56" t="str">
        <f t="shared" ca="1" si="210"/>
        <v>-</v>
      </c>
      <c r="N369" s="56" t="str">
        <f t="shared" ca="1" si="210"/>
        <v>-</v>
      </c>
      <c r="O369" s="56" t="str">
        <f t="shared" ca="1" si="210"/>
        <v>-</v>
      </c>
      <c r="P369" s="56" t="str">
        <f t="shared" ca="1" si="210"/>
        <v>-</v>
      </c>
      <c r="Q369" s="56" t="str">
        <f t="shared" ca="1" si="210"/>
        <v>-</v>
      </c>
      <c r="R369" s="56" t="str">
        <f t="shared" ca="1" si="210"/>
        <v>-</v>
      </c>
      <c r="S369" s="56" t="str">
        <f t="shared" ca="1" si="210"/>
        <v>-</v>
      </c>
      <c r="T369" s="56" t="str">
        <f t="shared" ca="1" si="210"/>
        <v>-</v>
      </c>
      <c r="U369" s="56" t="str">
        <f t="shared" ca="1" si="210"/>
        <v>-</v>
      </c>
      <c r="V369" s="56" t="str">
        <f t="shared" ca="1" si="210"/>
        <v>-</v>
      </c>
      <c r="W369" s="56" t="str">
        <f t="shared" ca="1" si="210"/>
        <v>-</v>
      </c>
      <c r="X369" s="56" t="str">
        <f t="shared" ca="1" si="210"/>
        <v>-</v>
      </c>
      <c r="Y369" s="56" t="str">
        <f t="shared" ca="1" si="210"/>
        <v>-</v>
      </c>
      <c r="Z369" s="56" t="str">
        <f t="shared" ca="1" si="210"/>
        <v>-</v>
      </c>
      <c r="AA369" s="56" t="str">
        <f t="shared" ca="1" si="210"/>
        <v>-</v>
      </c>
      <c r="AB369" s="56" t="str">
        <f t="shared" ca="1" si="210"/>
        <v>-</v>
      </c>
      <c r="AC369" s="56" t="str">
        <f t="shared" ca="1" si="210"/>
        <v>-</v>
      </c>
      <c r="AD369" s="56" t="str">
        <f t="shared" ca="1" si="210"/>
        <v>-</v>
      </c>
      <c r="AE369" s="56" t="str">
        <f t="shared" ca="1" si="210"/>
        <v>-</v>
      </c>
      <c r="AF369" s="56" t="str">
        <f t="shared" ca="1" si="210"/>
        <v>-</v>
      </c>
      <c r="AG369" s="56" t="str">
        <f t="shared" ca="1" si="210"/>
        <v>-</v>
      </c>
      <c r="AH369" s="56" t="str">
        <f t="shared" ca="1" si="210"/>
        <v>-</v>
      </c>
      <c r="AI369" s="56" t="str">
        <f t="shared" ca="1" si="210"/>
        <v>-</v>
      </c>
      <c r="AJ369" s="56" t="str">
        <f t="shared" ca="1" si="210"/>
        <v>-</v>
      </c>
      <c r="AK369" s="56" t="str">
        <f t="shared" ca="1" si="210"/>
        <v>-</v>
      </c>
      <c r="AL369" s="56" t="str">
        <f t="shared" ca="1" si="210"/>
        <v>-</v>
      </c>
      <c r="AM369" s="56" t="str">
        <f t="shared" ca="1" si="210"/>
        <v>-</v>
      </c>
      <c r="AN369" s="56" t="str">
        <f t="shared" ca="1" si="210"/>
        <v>-</v>
      </c>
      <c r="AO369" s="56" t="str">
        <f t="shared" ca="1" si="210"/>
        <v>-</v>
      </c>
      <c r="AP369" s="56" t="str">
        <f t="shared" ca="1" si="210"/>
        <v>-</v>
      </c>
      <c r="AQ369" s="56" t="str">
        <f t="shared" ca="1" si="210"/>
        <v>-</v>
      </c>
      <c r="AR369" s="56" t="str">
        <f t="shared" ca="1" si="210"/>
        <v>-</v>
      </c>
      <c r="AS369" s="56" t="str">
        <f t="shared" ca="1" si="210"/>
        <v>-</v>
      </c>
      <c r="AT369" s="56" t="str">
        <f t="shared" ca="1" si="210"/>
        <v>-</v>
      </c>
      <c r="AU369" s="56" t="str">
        <f t="shared" ca="1" si="210"/>
        <v>-</v>
      </c>
    </row>
    <row r="370" spans="1:47" ht="15.75">
      <c r="A370" s="1" t="s">
        <v>127</v>
      </c>
      <c r="C370" s="141"/>
      <c r="E370" s="15" t="str">
        <f ca="1">"(M1) "&amp;RIGHT(Context!$F$36,3)&amp;"/veh"</f>
        <v>(M1) LCL/veh</v>
      </c>
      <c r="F370" s="56" t="str">
        <f t="shared" ref="F370:AU370" ca="1" si="211">IFERROR(F80/(F332+F334+F336+F338+F340+F342),"-")</f>
        <v>-</v>
      </c>
      <c r="G370" s="56" t="str">
        <f t="shared" ca="1" si="211"/>
        <v>-</v>
      </c>
      <c r="H370" s="56" t="str">
        <f t="shared" ca="1" si="211"/>
        <v>-</v>
      </c>
      <c r="I370" s="56" t="str">
        <f t="shared" ca="1" si="211"/>
        <v>-</v>
      </c>
      <c r="J370" s="56" t="str">
        <f t="shared" ca="1" si="211"/>
        <v>-</v>
      </c>
      <c r="K370" s="56" t="str">
        <f t="shared" ca="1" si="211"/>
        <v>-</v>
      </c>
      <c r="L370" s="56" t="str">
        <f t="shared" ca="1" si="211"/>
        <v>-</v>
      </c>
      <c r="M370" s="56" t="str">
        <f t="shared" ca="1" si="211"/>
        <v>-</v>
      </c>
      <c r="N370" s="56" t="str">
        <f t="shared" ca="1" si="211"/>
        <v>-</v>
      </c>
      <c r="O370" s="56" t="str">
        <f t="shared" ca="1" si="211"/>
        <v>-</v>
      </c>
      <c r="P370" s="56" t="str">
        <f t="shared" ca="1" si="211"/>
        <v>-</v>
      </c>
      <c r="Q370" s="56" t="str">
        <f t="shared" ca="1" si="211"/>
        <v>-</v>
      </c>
      <c r="R370" s="56" t="str">
        <f t="shared" ca="1" si="211"/>
        <v>-</v>
      </c>
      <c r="S370" s="56" t="str">
        <f t="shared" ca="1" si="211"/>
        <v>-</v>
      </c>
      <c r="T370" s="56" t="str">
        <f t="shared" ca="1" si="211"/>
        <v>-</v>
      </c>
      <c r="U370" s="56" t="str">
        <f t="shared" ca="1" si="211"/>
        <v>-</v>
      </c>
      <c r="V370" s="56" t="str">
        <f t="shared" ca="1" si="211"/>
        <v>-</v>
      </c>
      <c r="W370" s="56" t="str">
        <f t="shared" ca="1" si="211"/>
        <v>-</v>
      </c>
      <c r="X370" s="56" t="str">
        <f t="shared" ca="1" si="211"/>
        <v>-</v>
      </c>
      <c r="Y370" s="56" t="str">
        <f t="shared" ca="1" si="211"/>
        <v>-</v>
      </c>
      <c r="Z370" s="56" t="str">
        <f t="shared" ca="1" si="211"/>
        <v>-</v>
      </c>
      <c r="AA370" s="56" t="str">
        <f t="shared" ca="1" si="211"/>
        <v>-</v>
      </c>
      <c r="AB370" s="56" t="str">
        <f t="shared" ca="1" si="211"/>
        <v>-</v>
      </c>
      <c r="AC370" s="56" t="str">
        <f t="shared" ca="1" si="211"/>
        <v>-</v>
      </c>
      <c r="AD370" s="56" t="str">
        <f t="shared" ca="1" si="211"/>
        <v>-</v>
      </c>
      <c r="AE370" s="56" t="str">
        <f t="shared" ca="1" si="211"/>
        <v>-</v>
      </c>
      <c r="AF370" s="56" t="str">
        <f t="shared" ca="1" si="211"/>
        <v>-</v>
      </c>
      <c r="AG370" s="56" t="str">
        <f t="shared" ca="1" si="211"/>
        <v>-</v>
      </c>
      <c r="AH370" s="56" t="str">
        <f t="shared" ca="1" si="211"/>
        <v>-</v>
      </c>
      <c r="AI370" s="56" t="str">
        <f t="shared" ca="1" si="211"/>
        <v>-</v>
      </c>
      <c r="AJ370" s="56" t="str">
        <f t="shared" ca="1" si="211"/>
        <v>-</v>
      </c>
      <c r="AK370" s="56" t="str">
        <f t="shared" ca="1" si="211"/>
        <v>-</v>
      </c>
      <c r="AL370" s="56" t="str">
        <f t="shared" ca="1" si="211"/>
        <v>-</v>
      </c>
      <c r="AM370" s="56" t="str">
        <f t="shared" ca="1" si="211"/>
        <v>-</v>
      </c>
      <c r="AN370" s="56" t="str">
        <f t="shared" ca="1" si="211"/>
        <v>-</v>
      </c>
      <c r="AO370" s="56" t="str">
        <f t="shared" ca="1" si="211"/>
        <v>-</v>
      </c>
      <c r="AP370" s="56" t="str">
        <f t="shared" ca="1" si="211"/>
        <v>-</v>
      </c>
      <c r="AQ370" s="56" t="str">
        <f t="shared" ca="1" si="211"/>
        <v>-</v>
      </c>
      <c r="AR370" s="56" t="str">
        <f t="shared" ca="1" si="211"/>
        <v>-</v>
      </c>
      <c r="AS370" s="56" t="str">
        <f t="shared" ca="1" si="211"/>
        <v>-</v>
      </c>
      <c r="AT370" s="56" t="str">
        <f t="shared" ca="1" si="211"/>
        <v>-</v>
      </c>
      <c r="AU370" s="56" t="str">
        <f t="shared" ca="1" si="211"/>
        <v>-</v>
      </c>
    </row>
    <row r="371" spans="1:47" ht="15.75">
      <c r="A371" s="1" t="s">
        <v>127</v>
      </c>
      <c r="C371" s="141"/>
      <c r="E371" s="15" t="str">
        <f ca="1">"(M2) Payroll "&amp;RIGHT(Context!$F$36,3)&amp;"/FTE (Maintenance)"</f>
        <v>(M2) Payroll LCL/FTE (Maintenance)</v>
      </c>
      <c r="F371" s="56" t="str">
        <f ca="1">IFERROR(F44/F315,"-")</f>
        <v>-</v>
      </c>
      <c r="G371" s="56" t="str">
        <f t="shared" ref="G371:AU371" ca="1" si="212">IFERROR(G44/G315,"-")</f>
        <v>-</v>
      </c>
      <c r="H371" s="56" t="str">
        <f t="shared" ca="1" si="212"/>
        <v>-</v>
      </c>
      <c r="I371" s="56" t="str">
        <f t="shared" ca="1" si="212"/>
        <v>-</v>
      </c>
      <c r="J371" s="56" t="str">
        <f t="shared" ca="1" si="212"/>
        <v>-</v>
      </c>
      <c r="K371" s="56" t="str">
        <f t="shared" ca="1" si="212"/>
        <v>-</v>
      </c>
      <c r="L371" s="56" t="str">
        <f t="shared" ca="1" si="212"/>
        <v>-</v>
      </c>
      <c r="M371" s="56" t="str">
        <f t="shared" ca="1" si="212"/>
        <v>-</v>
      </c>
      <c r="N371" s="56" t="str">
        <f t="shared" ca="1" si="212"/>
        <v>-</v>
      </c>
      <c r="O371" s="56" t="str">
        <f t="shared" ca="1" si="212"/>
        <v>-</v>
      </c>
      <c r="P371" s="56" t="str">
        <f t="shared" ca="1" si="212"/>
        <v>-</v>
      </c>
      <c r="Q371" s="56" t="str">
        <f t="shared" ca="1" si="212"/>
        <v>-</v>
      </c>
      <c r="R371" s="56" t="str">
        <f t="shared" ca="1" si="212"/>
        <v>-</v>
      </c>
      <c r="S371" s="56" t="str">
        <f t="shared" ca="1" si="212"/>
        <v>-</v>
      </c>
      <c r="T371" s="56" t="str">
        <f t="shared" ca="1" si="212"/>
        <v>-</v>
      </c>
      <c r="U371" s="56" t="str">
        <f t="shared" ca="1" si="212"/>
        <v>-</v>
      </c>
      <c r="V371" s="56" t="str">
        <f t="shared" ca="1" si="212"/>
        <v>-</v>
      </c>
      <c r="W371" s="56" t="str">
        <f t="shared" ca="1" si="212"/>
        <v>-</v>
      </c>
      <c r="X371" s="56" t="str">
        <f t="shared" ca="1" si="212"/>
        <v>-</v>
      </c>
      <c r="Y371" s="56" t="str">
        <f t="shared" ca="1" si="212"/>
        <v>-</v>
      </c>
      <c r="Z371" s="56" t="str">
        <f t="shared" ca="1" si="212"/>
        <v>-</v>
      </c>
      <c r="AA371" s="56" t="str">
        <f t="shared" ca="1" si="212"/>
        <v>-</v>
      </c>
      <c r="AB371" s="56" t="str">
        <f t="shared" ca="1" si="212"/>
        <v>-</v>
      </c>
      <c r="AC371" s="56" t="str">
        <f t="shared" ca="1" si="212"/>
        <v>-</v>
      </c>
      <c r="AD371" s="56" t="str">
        <f t="shared" ca="1" si="212"/>
        <v>-</v>
      </c>
      <c r="AE371" s="56" t="str">
        <f t="shared" ca="1" si="212"/>
        <v>-</v>
      </c>
      <c r="AF371" s="56" t="str">
        <f t="shared" ca="1" si="212"/>
        <v>-</v>
      </c>
      <c r="AG371" s="56" t="str">
        <f t="shared" ca="1" si="212"/>
        <v>-</v>
      </c>
      <c r="AH371" s="56" t="str">
        <f t="shared" ca="1" si="212"/>
        <v>-</v>
      </c>
      <c r="AI371" s="56" t="str">
        <f t="shared" ca="1" si="212"/>
        <v>-</v>
      </c>
      <c r="AJ371" s="56" t="str">
        <f t="shared" ca="1" si="212"/>
        <v>-</v>
      </c>
      <c r="AK371" s="56" t="str">
        <f t="shared" ca="1" si="212"/>
        <v>-</v>
      </c>
      <c r="AL371" s="56" t="str">
        <f t="shared" ca="1" si="212"/>
        <v>-</v>
      </c>
      <c r="AM371" s="56" t="str">
        <f t="shared" ca="1" si="212"/>
        <v>-</v>
      </c>
      <c r="AN371" s="56" t="str">
        <f t="shared" ca="1" si="212"/>
        <v>-</v>
      </c>
      <c r="AO371" s="56" t="str">
        <f t="shared" ca="1" si="212"/>
        <v>-</v>
      </c>
      <c r="AP371" s="56" t="str">
        <f t="shared" ca="1" si="212"/>
        <v>-</v>
      </c>
      <c r="AQ371" s="56" t="str">
        <f t="shared" ca="1" si="212"/>
        <v>-</v>
      </c>
      <c r="AR371" s="56" t="str">
        <f t="shared" ca="1" si="212"/>
        <v>-</v>
      </c>
      <c r="AS371" s="56" t="str">
        <f t="shared" ca="1" si="212"/>
        <v>-</v>
      </c>
      <c r="AT371" s="56" t="str">
        <f t="shared" ca="1" si="212"/>
        <v>-</v>
      </c>
      <c r="AU371" s="56" t="str">
        <f t="shared" ca="1" si="212"/>
        <v>-</v>
      </c>
    </row>
    <row r="372" spans="1:47" ht="15.75">
      <c r="A372" s="1" t="s">
        <v>127</v>
      </c>
      <c r="C372" s="141"/>
      <c r="E372" s="15" t="s">
        <v>109</v>
      </c>
      <c r="F372" s="56" t="str">
        <f t="shared" ref="F372:AU372" ca="1" si="213">IFERROR(F315/(F332+F334+F336+F338+F340+F342),"-")</f>
        <v>-</v>
      </c>
      <c r="G372" s="56" t="str">
        <f t="shared" ca="1" si="213"/>
        <v>-</v>
      </c>
      <c r="H372" s="56" t="str">
        <f t="shared" ca="1" si="213"/>
        <v>-</v>
      </c>
      <c r="I372" s="56" t="str">
        <f t="shared" ca="1" si="213"/>
        <v>-</v>
      </c>
      <c r="J372" s="56" t="str">
        <f t="shared" ca="1" si="213"/>
        <v>-</v>
      </c>
      <c r="K372" s="56" t="str">
        <f t="shared" ca="1" si="213"/>
        <v>-</v>
      </c>
      <c r="L372" s="56" t="str">
        <f t="shared" ca="1" si="213"/>
        <v>-</v>
      </c>
      <c r="M372" s="56" t="str">
        <f t="shared" ca="1" si="213"/>
        <v>-</v>
      </c>
      <c r="N372" s="56" t="str">
        <f t="shared" ca="1" si="213"/>
        <v>-</v>
      </c>
      <c r="O372" s="56" t="str">
        <f t="shared" ca="1" si="213"/>
        <v>-</v>
      </c>
      <c r="P372" s="56" t="str">
        <f t="shared" ca="1" si="213"/>
        <v>-</v>
      </c>
      <c r="Q372" s="56" t="str">
        <f t="shared" ca="1" si="213"/>
        <v>-</v>
      </c>
      <c r="R372" s="56" t="str">
        <f t="shared" ca="1" si="213"/>
        <v>-</v>
      </c>
      <c r="S372" s="56" t="str">
        <f t="shared" ca="1" si="213"/>
        <v>-</v>
      </c>
      <c r="T372" s="56" t="str">
        <f t="shared" ca="1" si="213"/>
        <v>-</v>
      </c>
      <c r="U372" s="56" t="str">
        <f t="shared" ca="1" si="213"/>
        <v>-</v>
      </c>
      <c r="V372" s="56" t="str">
        <f t="shared" ca="1" si="213"/>
        <v>-</v>
      </c>
      <c r="W372" s="56" t="str">
        <f t="shared" ca="1" si="213"/>
        <v>-</v>
      </c>
      <c r="X372" s="56" t="str">
        <f t="shared" ca="1" si="213"/>
        <v>-</v>
      </c>
      <c r="Y372" s="56" t="str">
        <f t="shared" ca="1" si="213"/>
        <v>-</v>
      </c>
      <c r="Z372" s="56" t="str">
        <f t="shared" ca="1" si="213"/>
        <v>-</v>
      </c>
      <c r="AA372" s="56" t="str">
        <f t="shared" ca="1" si="213"/>
        <v>-</v>
      </c>
      <c r="AB372" s="56" t="str">
        <f t="shared" ca="1" si="213"/>
        <v>-</v>
      </c>
      <c r="AC372" s="56" t="str">
        <f t="shared" ca="1" si="213"/>
        <v>-</v>
      </c>
      <c r="AD372" s="56" t="str">
        <f t="shared" ca="1" si="213"/>
        <v>-</v>
      </c>
      <c r="AE372" s="56" t="str">
        <f t="shared" ca="1" si="213"/>
        <v>-</v>
      </c>
      <c r="AF372" s="56" t="str">
        <f t="shared" ca="1" si="213"/>
        <v>-</v>
      </c>
      <c r="AG372" s="56" t="str">
        <f t="shared" ca="1" si="213"/>
        <v>-</v>
      </c>
      <c r="AH372" s="56" t="str">
        <f t="shared" ca="1" si="213"/>
        <v>-</v>
      </c>
      <c r="AI372" s="56" t="str">
        <f t="shared" ca="1" si="213"/>
        <v>-</v>
      </c>
      <c r="AJ372" s="56" t="str">
        <f t="shared" ca="1" si="213"/>
        <v>-</v>
      </c>
      <c r="AK372" s="56" t="str">
        <f t="shared" ca="1" si="213"/>
        <v>-</v>
      </c>
      <c r="AL372" s="56" t="str">
        <f t="shared" ca="1" si="213"/>
        <v>-</v>
      </c>
      <c r="AM372" s="56" t="str">
        <f t="shared" ca="1" si="213"/>
        <v>-</v>
      </c>
      <c r="AN372" s="56" t="str">
        <f t="shared" ca="1" si="213"/>
        <v>-</v>
      </c>
      <c r="AO372" s="56" t="str">
        <f t="shared" ca="1" si="213"/>
        <v>-</v>
      </c>
      <c r="AP372" s="56" t="str">
        <f t="shared" ca="1" si="213"/>
        <v>-</v>
      </c>
      <c r="AQ372" s="56" t="str">
        <f t="shared" ca="1" si="213"/>
        <v>-</v>
      </c>
      <c r="AR372" s="56" t="str">
        <f t="shared" ca="1" si="213"/>
        <v>-</v>
      </c>
      <c r="AS372" s="56" t="str">
        <f t="shared" ca="1" si="213"/>
        <v>-</v>
      </c>
      <c r="AT372" s="56" t="str">
        <f t="shared" ca="1" si="213"/>
        <v>-</v>
      </c>
      <c r="AU372" s="56" t="str">
        <f t="shared" ca="1" si="213"/>
        <v>-</v>
      </c>
    </row>
    <row r="373" spans="1:47" ht="15.75">
      <c r="C373" s="141"/>
      <c r="E373" s="15" t="str">
        <f ca="1">"(M4) "&amp;RIGHT(Context!$F$36,3)&amp;"/km"</f>
        <v>(M4) LCL/km</v>
      </c>
      <c r="F373" s="56">
        <f t="shared" ref="F373:AU373" ca="1" si="214">IFERROR(F80/F308,"-")</f>
        <v>-0.46428485574209061</v>
      </c>
      <c r="G373" s="56">
        <f t="shared" ca="1" si="214"/>
        <v>-0.49894797631241039</v>
      </c>
      <c r="H373" s="56">
        <f t="shared" ca="1" si="214"/>
        <v>-0.47705944119486571</v>
      </c>
      <c r="I373" s="56">
        <f t="shared" ca="1" si="214"/>
        <v>-0.47987405602920546</v>
      </c>
      <c r="J373" s="56">
        <f t="shared" ca="1" si="214"/>
        <v>-0.52302671817067259</v>
      </c>
      <c r="K373" s="56">
        <f t="shared" ca="1" si="214"/>
        <v>-0.52157446367600813</v>
      </c>
      <c r="L373" s="56">
        <f t="shared" ca="1" si="214"/>
        <v>-0.51176501954444842</v>
      </c>
      <c r="M373" s="56">
        <f t="shared" ca="1" si="214"/>
        <v>-0.53965502959509593</v>
      </c>
      <c r="N373" s="56">
        <f t="shared" ca="1" si="214"/>
        <v>-0.52500191741951718</v>
      </c>
      <c r="O373" s="56">
        <f t="shared" ca="1" si="214"/>
        <v>-0.52500191741951718</v>
      </c>
      <c r="P373" s="56">
        <f t="shared" ca="1" si="214"/>
        <v>-0.52500191741951718</v>
      </c>
      <c r="Q373" s="56">
        <f t="shared" ca="1" si="214"/>
        <v>-0.52500191741951718</v>
      </c>
      <c r="R373" s="56">
        <f t="shared" ca="1" si="214"/>
        <v>-0.52500191741951718</v>
      </c>
      <c r="S373" s="56">
        <f t="shared" ca="1" si="214"/>
        <v>-0.52500191741951718</v>
      </c>
      <c r="T373" s="56">
        <f t="shared" ca="1" si="214"/>
        <v>-0.52500191741951718</v>
      </c>
      <c r="U373" s="56">
        <f t="shared" ca="1" si="214"/>
        <v>-0.52500191741951718</v>
      </c>
      <c r="V373" s="56" t="str">
        <f t="shared" ca="1" si="214"/>
        <v>-</v>
      </c>
      <c r="W373" s="56" t="str">
        <f t="shared" ca="1" si="214"/>
        <v>-</v>
      </c>
      <c r="X373" s="56" t="str">
        <f t="shared" ca="1" si="214"/>
        <v>-</v>
      </c>
      <c r="Y373" s="56" t="str">
        <f t="shared" ca="1" si="214"/>
        <v>-</v>
      </c>
      <c r="Z373" s="56" t="str">
        <f t="shared" ca="1" si="214"/>
        <v>-</v>
      </c>
      <c r="AA373" s="56" t="str">
        <f t="shared" ca="1" si="214"/>
        <v>-</v>
      </c>
      <c r="AB373" s="56" t="str">
        <f t="shared" ca="1" si="214"/>
        <v>-</v>
      </c>
      <c r="AC373" s="56" t="str">
        <f t="shared" ca="1" si="214"/>
        <v>-</v>
      </c>
      <c r="AD373" s="56" t="str">
        <f t="shared" ca="1" si="214"/>
        <v>-</v>
      </c>
      <c r="AE373" s="56" t="str">
        <f t="shared" ca="1" si="214"/>
        <v>-</v>
      </c>
      <c r="AF373" s="56" t="str">
        <f t="shared" ca="1" si="214"/>
        <v>-</v>
      </c>
      <c r="AG373" s="56" t="str">
        <f t="shared" ca="1" si="214"/>
        <v>-</v>
      </c>
      <c r="AH373" s="56" t="str">
        <f t="shared" ca="1" si="214"/>
        <v>-</v>
      </c>
      <c r="AI373" s="56" t="str">
        <f t="shared" ca="1" si="214"/>
        <v>-</v>
      </c>
      <c r="AJ373" s="56" t="str">
        <f t="shared" ca="1" si="214"/>
        <v>-</v>
      </c>
      <c r="AK373" s="56" t="str">
        <f t="shared" ca="1" si="214"/>
        <v>-</v>
      </c>
      <c r="AL373" s="56" t="str">
        <f t="shared" ca="1" si="214"/>
        <v>-</v>
      </c>
      <c r="AM373" s="56" t="str">
        <f t="shared" ca="1" si="214"/>
        <v>-</v>
      </c>
      <c r="AN373" s="56" t="str">
        <f t="shared" ca="1" si="214"/>
        <v>-</v>
      </c>
      <c r="AO373" s="56" t="str">
        <f t="shared" ca="1" si="214"/>
        <v>-</v>
      </c>
      <c r="AP373" s="56" t="str">
        <f t="shared" ca="1" si="214"/>
        <v>-</v>
      </c>
      <c r="AQ373" s="56" t="str">
        <f t="shared" ca="1" si="214"/>
        <v>-</v>
      </c>
      <c r="AR373" s="56" t="str">
        <f t="shared" ca="1" si="214"/>
        <v>-</v>
      </c>
      <c r="AS373" s="56" t="str">
        <f t="shared" ca="1" si="214"/>
        <v>-</v>
      </c>
      <c r="AT373" s="56" t="str">
        <f t="shared" ca="1" si="214"/>
        <v>-</v>
      </c>
      <c r="AU373" s="56" t="str">
        <f t="shared" ca="1" si="214"/>
        <v>-</v>
      </c>
    </row>
    <row r="374" spans="1:47" ht="15.75">
      <c r="A374" s="1" t="s">
        <v>127</v>
      </c>
      <c r="C374" s="141"/>
      <c r="E374" s="15" t="s">
        <v>372</v>
      </c>
      <c r="F374" s="56" t="str">
        <f t="shared" ref="F374:AU374" ca="1" si="215">IFERROR(F298/F332,"-")</f>
        <v>-</v>
      </c>
      <c r="G374" s="56" t="str">
        <f t="shared" ca="1" si="215"/>
        <v>-</v>
      </c>
      <c r="H374" s="56" t="str">
        <f t="shared" ca="1" si="215"/>
        <v>-</v>
      </c>
      <c r="I374" s="56" t="str">
        <f t="shared" ca="1" si="215"/>
        <v>-</v>
      </c>
      <c r="J374" s="56" t="str">
        <f t="shared" ca="1" si="215"/>
        <v>-</v>
      </c>
      <c r="K374" s="56" t="str">
        <f t="shared" ca="1" si="215"/>
        <v>-</v>
      </c>
      <c r="L374" s="56" t="str">
        <f t="shared" ca="1" si="215"/>
        <v>-</v>
      </c>
      <c r="M374" s="56" t="str">
        <f t="shared" ca="1" si="215"/>
        <v>-</v>
      </c>
      <c r="N374" s="56" t="str">
        <f t="shared" ca="1" si="215"/>
        <v>-</v>
      </c>
      <c r="O374" s="56" t="str">
        <f t="shared" ca="1" si="215"/>
        <v>-</v>
      </c>
      <c r="P374" s="56" t="str">
        <f t="shared" ca="1" si="215"/>
        <v>-</v>
      </c>
      <c r="Q374" s="56" t="str">
        <f t="shared" ca="1" si="215"/>
        <v>-</v>
      </c>
      <c r="R374" s="56" t="str">
        <f t="shared" ca="1" si="215"/>
        <v>-</v>
      </c>
      <c r="S374" s="56" t="str">
        <f t="shared" ca="1" si="215"/>
        <v>-</v>
      </c>
      <c r="T374" s="56" t="str">
        <f t="shared" ca="1" si="215"/>
        <v>-</v>
      </c>
      <c r="U374" s="56" t="str">
        <f t="shared" ca="1" si="215"/>
        <v>-</v>
      </c>
      <c r="V374" s="56" t="str">
        <f t="shared" ca="1" si="215"/>
        <v>-</v>
      </c>
      <c r="W374" s="56" t="str">
        <f t="shared" ca="1" si="215"/>
        <v>-</v>
      </c>
      <c r="X374" s="56" t="str">
        <f t="shared" ca="1" si="215"/>
        <v>-</v>
      </c>
      <c r="Y374" s="56" t="str">
        <f t="shared" ca="1" si="215"/>
        <v>-</v>
      </c>
      <c r="Z374" s="56" t="str">
        <f t="shared" ca="1" si="215"/>
        <v>-</v>
      </c>
      <c r="AA374" s="56" t="str">
        <f t="shared" ca="1" si="215"/>
        <v>-</v>
      </c>
      <c r="AB374" s="56" t="str">
        <f t="shared" ca="1" si="215"/>
        <v>-</v>
      </c>
      <c r="AC374" s="56" t="str">
        <f t="shared" ca="1" si="215"/>
        <v>-</v>
      </c>
      <c r="AD374" s="56" t="str">
        <f t="shared" ca="1" si="215"/>
        <v>-</v>
      </c>
      <c r="AE374" s="56" t="str">
        <f t="shared" ca="1" si="215"/>
        <v>-</v>
      </c>
      <c r="AF374" s="56" t="str">
        <f t="shared" ca="1" si="215"/>
        <v>-</v>
      </c>
      <c r="AG374" s="56" t="str">
        <f t="shared" ca="1" si="215"/>
        <v>-</v>
      </c>
      <c r="AH374" s="56" t="str">
        <f t="shared" ca="1" si="215"/>
        <v>-</v>
      </c>
      <c r="AI374" s="56" t="str">
        <f t="shared" ca="1" si="215"/>
        <v>-</v>
      </c>
      <c r="AJ374" s="56" t="str">
        <f t="shared" ca="1" si="215"/>
        <v>-</v>
      </c>
      <c r="AK374" s="56" t="str">
        <f t="shared" ca="1" si="215"/>
        <v>-</v>
      </c>
      <c r="AL374" s="56" t="str">
        <f t="shared" ca="1" si="215"/>
        <v>-</v>
      </c>
      <c r="AM374" s="56" t="str">
        <f t="shared" ca="1" si="215"/>
        <v>-</v>
      </c>
      <c r="AN374" s="56" t="str">
        <f t="shared" ca="1" si="215"/>
        <v>-</v>
      </c>
      <c r="AO374" s="56" t="str">
        <f t="shared" ca="1" si="215"/>
        <v>-</v>
      </c>
      <c r="AP374" s="56" t="str">
        <f t="shared" ca="1" si="215"/>
        <v>-</v>
      </c>
      <c r="AQ374" s="56" t="str">
        <f t="shared" ca="1" si="215"/>
        <v>-</v>
      </c>
      <c r="AR374" s="56" t="str">
        <f t="shared" ca="1" si="215"/>
        <v>-</v>
      </c>
      <c r="AS374" s="56" t="str">
        <f t="shared" ca="1" si="215"/>
        <v>-</v>
      </c>
      <c r="AT374" s="56" t="str">
        <f t="shared" ca="1" si="215"/>
        <v>-</v>
      </c>
      <c r="AU374" s="56" t="str">
        <f t="shared" ca="1" si="215"/>
        <v>-</v>
      </c>
    </row>
    <row r="375" spans="1:47" ht="15.75">
      <c r="A375" s="1" t="s">
        <v>127</v>
      </c>
      <c r="C375" s="141"/>
      <c r="E375" s="15" t="s">
        <v>373</v>
      </c>
      <c r="F375" s="56" t="str">
        <f t="shared" ref="F375:AU375" ca="1" si="216">IFERROR(F299/F334,"-")</f>
        <v>-</v>
      </c>
      <c r="G375" s="56" t="str">
        <f t="shared" ca="1" si="216"/>
        <v>-</v>
      </c>
      <c r="H375" s="56" t="str">
        <f t="shared" ca="1" si="216"/>
        <v>-</v>
      </c>
      <c r="I375" s="56" t="str">
        <f t="shared" ca="1" si="216"/>
        <v>-</v>
      </c>
      <c r="J375" s="56" t="str">
        <f t="shared" ca="1" si="216"/>
        <v>-</v>
      </c>
      <c r="K375" s="56" t="str">
        <f t="shared" ca="1" si="216"/>
        <v>-</v>
      </c>
      <c r="L375" s="56" t="str">
        <f t="shared" ca="1" si="216"/>
        <v>-</v>
      </c>
      <c r="M375" s="56" t="str">
        <f t="shared" ca="1" si="216"/>
        <v>-</v>
      </c>
      <c r="N375" s="56" t="str">
        <f t="shared" ca="1" si="216"/>
        <v>-</v>
      </c>
      <c r="O375" s="56" t="str">
        <f t="shared" ca="1" si="216"/>
        <v>-</v>
      </c>
      <c r="P375" s="56" t="str">
        <f t="shared" ca="1" si="216"/>
        <v>-</v>
      </c>
      <c r="Q375" s="56" t="str">
        <f t="shared" ca="1" si="216"/>
        <v>-</v>
      </c>
      <c r="R375" s="56" t="str">
        <f t="shared" ca="1" si="216"/>
        <v>-</v>
      </c>
      <c r="S375" s="56" t="str">
        <f t="shared" ca="1" si="216"/>
        <v>-</v>
      </c>
      <c r="T375" s="56" t="str">
        <f t="shared" ca="1" si="216"/>
        <v>-</v>
      </c>
      <c r="U375" s="56" t="str">
        <f t="shared" ca="1" si="216"/>
        <v>-</v>
      </c>
      <c r="V375" s="56" t="str">
        <f t="shared" ca="1" si="216"/>
        <v>-</v>
      </c>
      <c r="W375" s="56" t="str">
        <f t="shared" ca="1" si="216"/>
        <v>-</v>
      </c>
      <c r="X375" s="56" t="str">
        <f t="shared" ca="1" si="216"/>
        <v>-</v>
      </c>
      <c r="Y375" s="56" t="str">
        <f t="shared" ca="1" si="216"/>
        <v>-</v>
      </c>
      <c r="Z375" s="56" t="str">
        <f t="shared" ca="1" si="216"/>
        <v>-</v>
      </c>
      <c r="AA375" s="56" t="str">
        <f t="shared" ca="1" si="216"/>
        <v>-</v>
      </c>
      <c r="AB375" s="56" t="str">
        <f t="shared" ca="1" si="216"/>
        <v>-</v>
      </c>
      <c r="AC375" s="56" t="str">
        <f t="shared" ca="1" si="216"/>
        <v>-</v>
      </c>
      <c r="AD375" s="56" t="str">
        <f t="shared" ca="1" si="216"/>
        <v>-</v>
      </c>
      <c r="AE375" s="56" t="str">
        <f t="shared" ca="1" si="216"/>
        <v>-</v>
      </c>
      <c r="AF375" s="56" t="str">
        <f t="shared" ca="1" si="216"/>
        <v>-</v>
      </c>
      <c r="AG375" s="56" t="str">
        <f t="shared" ca="1" si="216"/>
        <v>-</v>
      </c>
      <c r="AH375" s="56" t="str">
        <f t="shared" ca="1" si="216"/>
        <v>-</v>
      </c>
      <c r="AI375" s="56" t="str">
        <f t="shared" ca="1" si="216"/>
        <v>-</v>
      </c>
      <c r="AJ375" s="56" t="str">
        <f t="shared" ca="1" si="216"/>
        <v>-</v>
      </c>
      <c r="AK375" s="56" t="str">
        <f t="shared" ca="1" si="216"/>
        <v>-</v>
      </c>
      <c r="AL375" s="56" t="str">
        <f t="shared" ca="1" si="216"/>
        <v>-</v>
      </c>
      <c r="AM375" s="56" t="str">
        <f t="shared" ca="1" si="216"/>
        <v>-</v>
      </c>
      <c r="AN375" s="56" t="str">
        <f t="shared" ca="1" si="216"/>
        <v>-</v>
      </c>
      <c r="AO375" s="56" t="str">
        <f t="shared" ca="1" si="216"/>
        <v>-</v>
      </c>
      <c r="AP375" s="56" t="str">
        <f t="shared" ca="1" si="216"/>
        <v>-</v>
      </c>
      <c r="AQ375" s="56" t="str">
        <f t="shared" ca="1" si="216"/>
        <v>-</v>
      </c>
      <c r="AR375" s="56" t="str">
        <f t="shared" ca="1" si="216"/>
        <v>-</v>
      </c>
      <c r="AS375" s="56" t="str">
        <f t="shared" ca="1" si="216"/>
        <v>-</v>
      </c>
      <c r="AT375" s="56" t="str">
        <f t="shared" ca="1" si="216"/>
        <v>-</v>
      </c>
      <c r="AU375" s="56" t="str">
        <f t="shared" ca="1" si="216"/>
        <v>-</v>
      </c>
    </row>
    <row r="376" spans="1:47" ht="15.75">
      <c r="A376" s="1" t="s">
        <v>127</v>
      </c>
      <c r="C376" s="141"/>
      <c r="E376" s="15" t="s">
        <v>374</v>
      </c>
      <c r="F376" s="56" t="str">
        <f t="shared" ref="F376:AU376" ca="1" si="217">IFERROR(F300/F336,"-")</f>
        <v>-</v>
      </c>
      <c r="G376" s="56" t="str">
        <f t="shared" ca="1" si="217"/>
        <v>-</v>
      </c>
      <c r="H376" s="56" t="str">
        <f t="shared" ca="1" si="217"/>
        <v>-</v>
      </c>
      <c r="I376" s="56" t="str">
        <f t="shared" ca="1" si="217"/>
        <v>-</v>
      </c>
      <c r="J376" s="56" t="str">
        <f t="shared" ca="1" si="217"/>
        <v>-</v>
      </c>
      <c r="K376" s="56" t="str">
        <f t="shared" ca="1" si="217"/>
        <v>-</v>
      </c>
      <c r="L376" s="56" t="str">
        <f t="shared" ca="1" si="217"/>
        <v>-</v>
      </c>
      <c r="M376" s="56" t="str">
        <f t="shared" ca="1" si="217"/>
        <v>-</v>
      </c>
      <c r="N376" s="56" t="str">
        <f t="shared" ca="1" si="217"/>
        <v>-</v>
      </c>
      <c r="O376" s="56" t="str">
        <f t="shared" ca="1" si="217"/>
        <v>-</v>
      </c>
      <c r="P376" s="56" t="str">
        <f t="shared" ca="1" si="217"/>
        <v>-</v>
      </c>
      <c r="Q376" s="56" t="str">
        <f t="shared" ca="1" si="217"/>
        <v>-</v>
      </c>
      <c r="R376" s="56" t="str">
        <f t="shared" ca="1" si="217"/>
        <v>-</v>
      </c>
      <c r="S376" s="56" t="str">
        <f t="shared" ca="1" si="217"/>
        <v>-</v>
      </c>
      <c r="T376" s="56" t="str">
        <f t="shared" ca="1" si="217"/>
        <v>-</v>
      </c>
      <c r="U376" s="56" t="str">
        <f t="shared" ca="1" si="217"/>
        <v>-</v>
      </c>
      <c r="V376" s="56" t="str">
        <f t="shared" ca="1" si="217"/>
        <v>-</v>
      </c>
      <c r="W376" s="56" t="str">
        <f t="shared" ca="1" si="217"/>
        <v>-</v>
      </c>
      <c r="X376" s="56" t="str">
        <f t="shared" ca="1" si="217"/>
        <v>-</v>
      </c>
      <c r="Y376" s="56" t="str">
        <f t="shared" ca="1" si="217"/>
        <v>-</v>
      </c>
      <c r="Z376" s="56" t="str">
        <f t="shared" ca="1" si="217"/>
        <v>-</v>
      </c>
      <c r="AA376" s="56" t="str">
        <f t="shared" ca="1" si="217"/>
        <v>-</v>
      </c>
      <c r="AB376" s="56" t="str">
        <f t="shared" ca="1" si="217"/>
        <v>-</v>
      </c>
      <c r="AC376" s="56" t="str">
        <f t="shared" ca="1" si="217"/>
        <v>-</v>
      </c>
      <c r="AD376" s="56" t="str">
        <f t="shared" ca="1" si="217"/>
        <v>-</v>
      </c>
      <c r="AE376" s="56" t="str">
        <f t="shared" ca="1" si="217"/>
        <v>-</v>
      </c>
      <c r="AF376" s="56" t="str">
        <f t="shared" ca="1" si="217"/>
        <v>-</v>
      </c>
      <c r="AG376" s="56" t="str">
        <f t="shared" ca="1" si="217"/>
        <v>-</v>
      </c>
      <c r="AH376" s="56" t="str">
        <f t="shared" ca="1" si="217"/>
        <v>-</v>
      </c>
      <c r="AI376" s="56" t="str">
        <f t="shared" ca="1" si="217"/>
        <v>-</v>
      </c>
      <c r="AJ376" s="56" t="str">
        <f t="shared" ca="1" si="217"/>
        <v>-</v>
      </c>
      <c r="AK376" s="56" t="str">
        <f t="shared" ca="1" si="217"/>
        <v>-</v>
      </c>
      <c r="AL376" s="56" t="str">
        <f t="shared" ca="1" si="217"/>
        <v>-</v>
      </c>
      <c r="AM376" s="56" t="str">
        <f t="shared" ca="1" si="217"/>
        <v>-</v>
      </c>
      <c r="AN376" s="56" t="str">
        <f t="shared" ca="1" si="217"/>
        <v>-</v>
      </c>
      <c r="AO376" s="56" t="str">
        <f t="shared" ca="1" si="217"/>
        <v>-</v>
      </c>
      <c r="AP376" s="56" t="str">
        <f t="shared" ca="1" si="217"/>
        <v>-</v>
      </c>
      <c r="AQ376" s="56" t="str">
        <f t="shared" ca="1" si="217"/>
        <v>-</v>
      </c>
      <c r="AR376" s="56" t="str">
        <f t="shared" ca="1" si="217"/>
        <v>-</v>
      </c>
      <c r="AS376" s="56" t="str">
        <f t="shared" ca="1" si="217"/>
        <v>-</v>
      </c>
      <c r="AT376" s="56" t="str">
        <f t="shared" ca="1" si="217"/>
        <v>-</v>
      </c>
      <c r="AU376" s="56" t="str">
        <f t="shared" ca="1" si="217"/>
        <v>-</v>
      </c>
    </row>
    <row r="377" spans="1:47" ht="15.75">
      <c r="A377" s="1" t="s">
        <v>127</v>
      </c>
      <c r="C377" s="141"/>
      <c r="E377" s="15" t="s">
        <v>375</v>
      </c>
      <c r="F377" s="56" t="str">
        <f t="shared" ref="F377:AU377" ca="1" si="218">IFERROR(F301/F338,"-")</f>
        <v>-</v>
      </c>
      <c r="G377" s="56" t="str">
        <f t="shared" ca="1" si="218"/>
        <v>-</v>
      </c>
      <c r="H377" s="56" t="str">
        <f t="shared" ca="1" si="218"/>
        <v>-</v>
      </c>
      <c r="I377" s="56" t="str">
        <f t="shared" ca="1" si="218"/>
        <v>-</v>
      </c>
      <c r="J377" s="56" t="str">
        <f t="shared" ca="1" si="218"/>
        <v>-</v>
      </c>
      <c r="K377" s="56" t="str">
        <f t="shared" ca="1" si="218"/>
        <v>-</v>
      </c>
      <c r="L377" s="56" t="str">
        <f t="shared" ca="1" si="218"/>
        <v>-</v>
      </c>
      <c r="M377" s="56" t="str">
        <f t="shared" ca="1" si="218"/>
        <v>-</v>
      </c>
      <c r="N377" s="56" t="str">
        <f t="shared" ca="1" si="218"/>
        <v>-</v>
      </c>
      <c r="O377" s="56" t="str">
        <f t="shared" ca="1" si="218"/>
        <v>-</v>
      </c>
      <c r="P377" s="56" t="str">
        <f t="shared" ca="1" si="218"/>
        <v>-</v>
      </c>
      <c r="Q377" s="56" t="str">
        <f t="shared" ca="1" si="218"/>
        <v>-</v>
      </c>
      <c r="R377" s="56" t="str">
        <f t="shared" ca="1" si="218"/>
        <v>-</v>
      </c>
      <c r="S377" s="56" t="str">
        <f t="shared" ca="1" si="218"/>
        <v>-</v>
      </c>
      <c r="T377" s="56" t="str">
        <f t="shared" ca="1" si="218"/>
        <v>-</v>
      </c>
      <c r="U377" s="56" t="str">
        <f t="shared" ca="1" si="218"/>
        <v>-</v>
      </c>
      <c r="V377" s="56" t="str">
        <f t="shared" ca="1" si="218"/>
        <v>-</v>
      </c>
      <c r="W377" s="56" t="str">
        <f t="shared" ca="1" si="218"/>
        <v>-</v>
      </c>
      <c r="X377" s="56" t="str">
        <f t="shared" ca="1" si="218"/>
        <v>-</v>
      </c>
      <c r="Y377" s="56" t="str">
        <f t="shared" ca="1" si="218"/>
        <v>-</v>
      </c>
      <c r="Z377" s="56" t="str">
        <f t="shared" ca="1" si="218"/>
        <v>-</v>
      </c>
      <c r="AA377" s="56" t="str">
        <f t="shared" ca="1" si="218"/>
        <v>-</v>
      </c>
      <c r="AB377" s="56" t="str">
        <f t="shared" ca="1" si="218"/>
        <v>-</v>
      </c>
      <c r="AC377" s="56" t="str">
        <f t="shared" ca="1" si="218"/>
        <v>-</v>
      </c>
      <c r="AD377" s="56" t="str">
        <f t="shared" ca="1" si="218"/>
        <v>-</v>
      </c>
      <c r="AE377" s="56" t="str">
        <f t="shared" ca="1" si="218"/>
        <v>-</v>
      </c>
      <c r="AF377" s="56" t="str">
        <f t="shared" ca="1" si="218"/>
        <v>-</v>
      </c>
      <c r="AG377" s="56" t="str">
        <f t="shared" ca="1" si="218"/>
        <v>-</v>
      </c>
      <c r="AH377" s="56" t="str">
        <f t="shared" ca="1" si="218"/>
        <v>-</v>
      </c>
      <c r="AI377" s="56" t="str">
        <f t="shared" ca="1" si="218"/>
        <v>-</v>
      </c>
      <c r="AJ377" s="56" t="str">
        <f t="shared" ca="1" si="218"/>
        <v>-</v>
      </c>
      <c r="AK377" s="56" t="str">
        <f t="shared" ca="1" si="218"/>
        <v>-</v>
      </c>
      <c r="AL377" s="56" t="str">
        <f t="shared" ca="1" si="218"/>
        <v>-</v>
      </c>
      <c r="AM377" s="56" t="str">
        <f t="shared" ca="1" si="218"/>
        <v>-</v>
      </c>
      <c r="AN377" s="56" t="str">
        <f t="shared" ca="1" si="218"/>
        <v>-</v>
      </c>
      <c r="AO377" s="56" t="str">
        <f t="shared" ca="1" si="218"/>
        <v>-</v>
      </c>
      <c r="AP377" s="56" t="str">
        <f t="shared" ca="1" si="218"/>
        <v>-</v>
      </c>
      <c r="AQ377" s="56" t="str">
        <f t="shared" ca="1" si="218"/>
        <v>-</v>
      </c>
      <c r="AR377" s="56" t="str">
        <f t="shared" ca="1" si="218"/>
        <v>-</v>
      </c>
      <c r="AS377" s="56" t="str">
        <f t="shared" ca="1" si="218"/>
        <v>-</v>
      </c>
      <c r="AT377" s="56" t="str">
        <f t="shared" ca="1" si="218"/>
        <v>-</v>
      </c>
      <c r="AU377" s="56" t="str">
        <f t="shared" ca="1" si="218"/>
        <v>-</v>
      </c>
    </row>
    <row r="378" spans="1:47" ht="15.75">
      <c r="A378" s="1" t="s">
        <v>127</v>
      </c>
      <c r="C378" s="141"/>
      <c r="E378" s="15" t="s">
        <v>376</v>
      </c>
      <c r="F378" s="56" t="str">
        <f t="shared" ref="F378:AU378" ca="1" si="219">IFERROR(F302/F340,"-")</f>
        <v>-</v>
      </c>
      <c r="G378" s="56" t="str">
        <f t="shared" ca="1" si="219"/>
        <v>-</v>
      </c>
      <c r="H378" s="56" t="str">
        <f t="shared" ca="1" si="219"/>
        <v>-</v>
      </c>
      <c r="I378" s="56" t="str">
        <f t="shared" ca="1" si="219"/>
        <v>-</v>
      </c>
      <c r="J378" s="56" t="str">
        <f t="shared" ca="1" si="219"/>
        <v>-</v>
      </c>
      <c r="K378" s="56" t="str">
        <f t="shared" ca="1" si="219"/>
        <v>-</v>
      </c>
      <c r="L378" s="56" t="str">
        <f t="shared" ca="1" si="219"/>
        <v>-</v>
      </c>
      <c r="M378" s="56" t="str">
        <f t="shared" ca="1" si="219"/>
        <v>-</v>
      </c>
      <c r="N378" s="56" t="str">
        <f t="shared" ca="1" si="219"/>
        <v>-</v>
      </c>
      <c r="O378" s="56" t="str">
        <f t="shared" ca="1" si="219"/>
        <v>-</v>
      </c>
      <c r="P378" s="56" t="str">
        <f t="shared" ca="1" si="219"/>
        <v>-</v>
      </c>
      <c r="Q378" s="56" t="str">
        <f t="shared" ca="1" si="219"/>
        <v>-</v>
      </c>
      <c r="R378" s="56" t="str">
        <f t="shared" ca="1" si="219"/>
        <v>-</v>
      </c>
      <c r="S378" s="56" t="str">
        <f t="shared" ca="1" si="219"/>
        <v>-</v>
      </c>
      <c r="T378" s="56" t="str">
        <f t="shared" ca="1" si="219"/>
        <v>-</v>
      </c>
      <c r="U378" s="56" t="str">
        <f t="shared" ca="1" si="219"/>
        <v>-</v>
      </c>
      <c r="V378" s="56" t="str">
        <f t="shared" ca="1" si="219"/>
        <v>-</v>
      </c>
      <c r="W378" s="56" t="str">
        <f t="shared" ca="1" si="219"/>
        <v>-</v>
      </c>
      <c r="X378" s="56" t="str">
        <f t="shared" ca="1" si="219"/>
        <v>-</v>
      </c>
      <c r="Y378" s="56" t="str">
        <f t="shared" ca="1" si="219"/>
        <v>-</v>
      </c>
      <c r="Z378" s="56" t="str">
        <f t="shared" ca="1" si="219"/>
        <v>-</v>
      </c>
      <c r="AA378" s="56" t="str">
        <f t="shared" ca="1" si="219"/>
        <v>-</v>
      </c>
      <c r="AB378" s="56" t="str">
        <f t="shared" ca="1" si="219"/>
        <v>-</v>
      </c>
      <c r="AC378" s="56" t="str">
        <f t="shared" ca="1" si="219"/>
        <v>-</v>
      </c>
      <c r="AD378" s="56" t="str">
        <f t="shared" ca="1" si="219"/>
        <v>-</v>
      </c>
      <c r="AE378" s="56" t="str">
        <f t="shared" ca="1" si="219"/>
        <v>-</v>
      </c>
      <c r="AF378" s="56" t="str">
        <f t="shared" ca="1" si="219"/>
        <v>-</v>
      </c>
      <c r="AG378" s="56" t="str">
        <f t="shared" ca="1" si="219"/>
        <v>-</v>
      </c>
      <c r="AH378" s="56" t="str">
        <f t="shared" ca="1" si="219"/>
        <v>-</v>
      </c>
      <c r="AI378" s="56" t="str">
        <f t="shared" ca="1" si="219"/>
        <v>-</v>
      </c>
      <c r="AJ378" s="56" t="str">
        <f t="shared" ca="1" si="219"/>
        <v>-</v>
      </c>
      <c r="AK378" s="56" t="str">
        <f t="shared" ca="1" si="219"/>
        <v>-</v>
      </c>
      <c r="AL378" s="56" t="str">
        <f t="shared" ca="1" si="219"/>
        <v>-</v>
      </c>
      <c r="AM378" s="56" t="str">
        <f t="shared" ca="1" si="219"/>
        <v>-</v>
      </c>
      <c r="AN378" s="56" t="str">
        <f t="shared" ca="1" si="219"/>
        <v>-</v>
      </c>
      <c r="AO378" s="56" t="str">
        <f t="shared" ca="1" si="219"/>
        <v>-</v>
      </c>
      <c r="AP378" s="56" t="str">
        <f t="shared" ca="1" si="219"/>
        <v>-</v>
      </c>
      <c r="AQ378" s="56" t="str">
        <f t="shared" ca="1" si="219"/>
        <v>-</v>
      </c>
      <c r="AR378" s="56" t="str">
        <f t="shared" ca="1" si="219"/>
        <v>-</v>
      </c>
      <c r="AS378" s="56" t="str">
        <f t="shared" ca="1" si="219"/>
        <v>-</v>
      </c>
      <c r="AT378" s="56" t="str">
        <f t="shared" ca="1" si="219"/>
        <v>-</v>
      </c>
      <c r="AU378" s="56" t="str">
        <f t="shared" ca="1" si="219"/>
        <v>-</v>
      </c>
    </row>
    <row r="379" spans="1:47" ht="15.75">
      <c r="A379" s="1" t="s">
        <v>127</v>
      </c>
      <c r="C379" s="141"/>
      <c r="E379" s="52" t="s">
        <v>377</v>
      </c>
      <c r="F379" s="58" t="str">
        <f t="shared" ref="F379:AU379" ca="1" si="220">IFERROR(F303/F342,"-")</f>
        <v>-</v>
      </c>
      <c r="G379" s="58" t="str">
        <f t="shared" ca="1" si="220"/>
        <v>-</v>
      </c>
      <c r="H379" s="58" t="str">
        <f t="shared" ca="1" si="220"/>
        <v>-</v>
      </c>
      <c r="I379" s="58" t="str">
        <f t="shared" ca="1" si="220"/>
        <v>-</v>
      </c>
      <c r="J379" s="58" t="str">
        <f t="shared" ca="1" si="220"/>
        <v>-</v>
      </c>
      <c r="K379" s="58" t="str">
        <f t="shared" ca="1" si="220"/>
        <v>-</v>
      </c>
      <c r="L379" s="58" t="str">
        <f t="shared" ca="1" si="220"/>
        <v>-</v>
      </c>
      <c r="M379" s="58" t="str">
        <f t="shared" ca="1" si="220"/>
        <v>-</v>
      </c>
      <c r="N379" s="58" t="str">
        <f t="shared" ca="1" si="220"/>
        <v>-</v>
      </c>
      <c r="O379" s="58" t="str">
        <f t="shared" ca="1" si="220"/>
        <v>-</v>
      </c>
      <c r="P379" s="58" t="str">
        <f t="shared" ca="1" si="220"/>
        <v>-</v>
      </c>
      <c r="Q379" s="58" t="str">
        <f t="shared" ca="1" si="220"/>
        <v>-</v>
      </c>
      <c r="R379" s="58" t="str">
        <f t="shared" ca="1" si="220"/>
        <v>-</v>
      </c>
      <c r="S379" s="58" t="str">
        <f t="shared" ca="1" si="220"/>
        <v>-</v>
      </c>
      <c r="T379" s="58" t="str">
        <f t="shared" ca="1" si="220"/>
        <v>-</v>
      </c>
      <c r="U379" s="58" t="str">
        <f t="shared" ca="1" si="220"/>
        <v>-</v>
      </c>
      <c r="V379" s="58" t="str">
        <f t="shared" ca="1" si="220"/>
        <v>-</v>
      </c>
      <c r="W379" s="58" t="str">
        <f t="shared" ca="1" si="220"/>
        <v>-</v>
      </c>
      <c r="X379" s="58" t="str">
        <f t="shared" ca="1" si="220"/>
        <v>-</v>
      </c>
      <c r="Y379" s="58" t="str">
        <f t="shared" ca="1" si="220"/>
        <v>-</v>
      </c>
      <c r="Z379" s="58" t="str">
        <f t="shared" ca="1" si="220"/>
        <v>-</v>
      </c>
      <c r="AA379" s="58" t="str">
        <f t="shared" ca="1" si="220"/>
        <v>-</v>
      </c>
      <c r="AB379" s="58" t="str">
        <f t="shared" ca="1" si="220"/>
        <v>-</v>
      </c>
      <c r="AC379" s="58" t="str">
        <f t="shared" ca="1" si="220"/>
        <v>-</v>
      </c>
      <c r="AD379" s="58" t="str">
        <f t="shared" ca="1" si="220"/>
        <v>-</v>
      </c>
      <c r="AE379" s="58" t="str">
        <f t="shared" ca="1" si="220"/>
        <v>-</v>
      </c>
      <c r="AF379" s="58" t="str">
        <f t="shared" ca="1" si="220"/>
        <v>-</v>
      </c>
      <c r="AG379" s="58" t="str">
        <f t="shared" ca="1" si="220"/>
        <v>-</v>
      </c>
      <c r="AH379" s="58" t="str">
        <f t="shared" ca="1" si="220"/>
        <v>-</v>
      </c>
      <c r="AI379" s="58" t="str">
        <f t="shared" ca="1" si="220"/>
        <v>-</v>
      </c>
      <c r="AJ379" s="58" t="str">
        <f t="shared" ca="1" si="220"/>
        <v>-</v>
      </c>
      <c r="AK379" s="58" t="str">
        <f t="shared" ca="1" si="220"/>
        <v>-</v>
      </c>
      <c r="AL379" s="58" t="str">
        <f t="shared" ca="1" si="220"/>
        <v>-</v>
      </c>
      <c r="AM379" s="58" t="str">
        <f t="shared" ca="1" si="220"/>
        <v>-</v>
      </c>
      <c r="AN379" s="58" t="str">
        <f t="shared" ca="1" si="220"/>
        <v>-</v>
      </c>
      <c r="AO379" s="58" t="str">
        <f t="shared" ca="1" si="220"/>
        <v>-</v>
      </c>
      <c r="AP379" s="58" t="str">
        <f t="shared" ca="1" si="220"/>
        <v>-</v>
      </c>
      <c r="AQ379" s="58" t="str">
        <f t="shared" ca="1" si="220"/>
        <v>-</v>
      </c>
      <c r="AR379" s="58" t="str">
        <f t="shared" ca="1" si="220"/>
        <v>-</v>
      </c>
      <c r="AS379" s="58" t="str">
        <f t="shared" ca="1" si="220"/>
        <v>-</v>
      </c>
      <c r="AT379" s="58" t="str">
        <f t="shared" ca="1" si="220"/>
        <v>-</v>
      </c>
      <c r="AU379" s="58" t="str">
        <f t="shared" ca="1" si="220"/>
        <v>-</v>
      </c>
    </row>
    <row r="380" spans="1:47"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</row>
    <row r="381" spans="1:47"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</row>
  </sheetData>
  <sheetProtection password="D70F" sheet="1" objects="1" scenarios="1"/>
  <mergeCells count="7">
    <mergeCell ref="C352:C379"/>
    <mergeCell ref="E9:AU11"/>
    <mergeCell ref="E17:E18"/>
    <mergeCell ref="C21:C276"/>
    <mergeCell ref="C281:C294"/>
    <mergeCell ref="C308:C342"/>
    <mergeCell ref="C345:C349"/>
  </mergeCells>
  <dataValidations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4</xdr:col>
                    <xdr:colOff>1209675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3391AA"/>
    <pageSetUpPr fitToPage="1"/>
  </sheetPr>
  <dimension ref="A1:Q594"/>
  <sheetViews>
    <sheetView showGridLines="0" topLeftCell="B8" zoomScale="80" zoomScaleNormal="80" workbookViewId="0"/>
  </sheetViews>
  <sheetFormatPr baseColWidth="10" defaultColWidth="11.42578125" defaultRowHeight="14.25"/>
  <cols>
    <col min="1" max="1" width="40.5703125" style="1" hidden="1" customWidth="1"/>
    <col min="2" max="2" width="2.85546875" style="1" customWidth="1"/>
    <col min="3" max="3" width="35.5703125" style="1" hidden="1" customWidth="1"/>
    <col min="4" max="4" width="1.42578125" style="1" customWidth="1"/>
    <col min="5" max="5" width="140.7109375" style="1" bestFit="1" customWidth="1"/>
    <col min="6" max="8" width="17.42578125" style="2" bestFit="1" customWidth="1"/>
    <col min="9" max="9" width="11.42578125" style="1"/>
    <col min="10" max="11" width="19.28515625" style="1" bestFit="1" customWidth="1"/>
    <col min="12" max="16384" width="11.42578125" style="1"/>
  </cols>
  <sheetData>
    <row r="1" spans="1:16" ht="15.6" hidden="1" customHeight="1">
      <c r="A1" s="1" t="s">
        <v>7</v>
      </c>
      <c r="C1" s="1" t="str">
        <f ca="1">_xll.VIEW("tango_core_model:Report_PL",$C$2,$C$3,$C$4,$C$6,$C$5,$C$7,"!","!","!")</f>
        <v>tango_core_model:Report_PL</v>
      </c>
      <c r="F1" s="73" t="str">
        <f ca="1">Context!G31</f>
        <v>2023.05_YTD</v>
      </c>
      <c r="G1" s="73" t="str">
        <f ca="1">Context!G33</f>
        <v>2022.05_YTD</v>
      </c>
      <c r="H1" s="73" t="str">
        <f ca="1">Context!G34</f>
        <v>2023.05_YTD</v>
      </c>
    </row>
    <row r="2" spans="1:16" ht="13.5" hidden="1" customHeight="1">
      <c r="A2" s="3" t="s">
        <v>8</v>
      </c>
      <c r="B2" s="3"/>
      <c r="C2" s="1" t="s">
        <v>369</v>
      </c>
      <c r="F2" s="4" t="str">
        <f ca="1">z_Current_Phase</f>
        <v>ACT</v>
      </c>
      <c r="G2" s="4" t="str">
        <f ca="1">Context!F33</f>
        <v>ACT</v>
      </c>
      <c r="H2" s="4" t="str">
        <f ca="1">Context!F34</f>
        <v>BUDG_VC</v>
      </c>
    </row>
    <row r="3" spans="1:16" ht="13.5" hidden="1" customHeight="1">
      <c r="A3" s="3" t="s">
        <v>5</v>
      </c>
      <c r="B3" s="3"/>
      <c r="C3" s="1" t="str">
        <f ca="1">Context!F36</f>
        <v>LCL</v>
      </c>
    </row>
    <row r="4" spans="1:16" ht="13.5" hidden="1" customHeight="1">
      <c r="A4" s="3" t="s">
        <v>9</v>
      </c>
      <c r="B4" s="3"/>
      <c r="C4" s="1" t="str">
        <f ca="1">Context!F37</f>
        <v>Local_Gaap_Mgmt_tool</v>
      </c>
    </row>
    <row r="5" spans="1:16" ht="13.5" hidden="1" customHeight="1">
      <c r="A5" s="3" t="s">
        <v>10</v>
      </c>
      <c r="B5" s="3"/>
      <c r="C5" s="1" t="str">
        <f ca="1">z_Legal_Entity</f>
        <v>NETH</v>
      </c>
    </row>
    <row r="6" spans="1:16" ht="11.45" hidden="1" customHeight="1">
      <c r="A6" s="3" t="s">
        <v>11</v>
      </c>
      <c r="B6" s="3"/>
      <c r="C6" s="1" t="s">
        <v>368</v>
      </c>
    </row>
    <row r="7" spans="1:16" ht="17.100000000000001" hidden="1" customHeight="1">
      <c r="A7" s="3" t="s">
        <v>12</v>
      </c>
      <c r="B7" s="3"/>
      <c r="C7" s="1" t="str">
        <f ca="1">Context!F29</f>
        <v>NETH</v>
      </c>
    </row>
    <row r="8" spans="1:16" ht="13.5" customHeight="1">
      <c r="A8" s="3"/>
      <c r="B8" s="3"/>
    </row>
    <row r="9" spans="1:16" ht="14.45" customHeight="1">
      <c r="A9" s="3"/>
      <c r="B9" s="3"/>
      <c r="C9" s="92"/>
      <c r="D9" s="93"/>
      <c r="E9" s="140" t="str">
        <f ca="1">"Reporting Europe "&amp;Context!F28&amp;", "&amp;Context!$G$31</f>
        <v>Reporting Europe NETH, 2023.05_YTD</v>
      </c>
      <c r="F9" s="140"/>
      <c r="G9" s="140"/>
      <c r="H9" s="140"/>
      <c r="I9" s="140"/>
      <c r="J9" s="140"/>
      <c r="K9" s="140"/>
      <c r="L9" s="140"/>
      <c r="M9" s="117"/>
      <c r="N9" s="117"/>
      <c r="O9" s="117"/>
      <c r="P9" s="117"/>
    </row>
    <row r="10" spans="1:16" ht="15">
      <c r="A10" s="3"/>
      <c r="B10" s="3"/>
      <c r="C10" s="92"/>
      <c r="D10" s="93"/>
      <c r="E10" s="140"/>
      <c r="F10" s="140"/>
      <c r="G10" s="140"/>
      <c r="H10" s="140"/>
      <c r="I10" s="140"/>
      <c r="J10" s="140"/>
      <c r="K10" s="140"/>
      <c r="L10" s="140"/>
      <c r="M10" s="117"/>
      <c r="N10" s="117"/>
      <c r="O10" s="117"/>
      <c r="P10" s="117"/>
    </row>
    <row r="11" spans="1:16" ht="25.5" customHeight="1">
      <c r="C11" s="92"/>
      <c r="D11" s="93"/>
      <c r="E11" s="140"/>
      <c r="F11" s="140"/>
      <c r="G11" s="140"/>
      <c r="H11" s="140"/>
      <c r="I11" s="140"/>
      <c r="J11" s="140"/>
      <c r="K11" s="140"/>
      <c r="L11" s="140"/>
      <c r="M11" s="117"/>
      <c r="N11" s="117"/>
      <c r="O11" s="117"/>
      <c r="P11" s="117"/>
    </row>
    <row r="12" spans="1:16">
      <c r="A12" s="3"/>
      <c r="B12" s="3"/>
      <c r="E12" s="118">
        <f ca="1">NOW()</f>
        <v>45103.703851041668</v>
      </c>
    </row>
    <row r="17" spans="1:11" ht="15.6" customHeight="1">
      <c r="E17" s="138" t="str">
        <f ca="1">C7</f>
        <v>NETH</v>
      </c>
      <c r="F17" s="59" t="str">
        <f ca="1">IF(OR(F2="ACT",F2="Actual"),"ACTUAL",IF(F2="BUDG_VC","BUDGET",IF(F2="Forecast 1 V current","FORECAST 1","FORECAST 2")))</f>
        <v>ACTUAL</v>
      </c>
      <c r="G17" s="59" t="str">
        <f ca="1">IF(OR(G2="ACT",G2="Actual"),"ACTUAL",IF(G2="BUDG_VC","BUDGET",IF(G2="Forecast 1 V current","FORECAST 1","FORECAST 2")))</f>
        <v>ACTUAL</v>
      </c>
      <c r="H17" s="59" t="str">
        <f ca="1">IF(OR(H2="ACT",H2="Actual"),"ACTUAL",IF(H2="BUDG_VC","BUDGET",IF(H2="Forecast 1 V current","FORECAST 1","FORECAST 2")))</f>
        <v>BUDGET</v>
      </c>
      <c r="J17" s="142" t="str">
        <f ca="1">"VAR "&amp;G17&amp;" "&amp;LEFT(G18,4)</f>
        <v>VAR ACTUAL 2022</v>
      </c>
      <c r="K17" s="142" t="str">
        <f ca="1">"VAR "&amp;H17&amp;" "&amp;LEFT(H18,4)</f>
        <v>VAR BUDGET 2023</v>
      </c>
    </row>
    <row r="18" spans="1:11" ht="15.75">
      <c r="E18" s="139"/>
      <c r="F18" s="60" t="str">
        <f ca="1">F1</f>
        <v>2023.05_YTD</v>
      </c>
      <c r="G18" s="60" t="str">
        <f ca="1">G1</f>
        <v>2022.05_YTD</v>
      </c>
      <c r="H18" s="60" t="str">
        <f ca="1">H1</f>
        <v>2023.05_YTD</v>
      </c>
      <c r="J18" s="142"/>
      <c r="K18" s="142"/>
    </row>
    <row r="19" spans="1:11" ht="7.5" customHeight="1">
      <c r="E19" s="7"/>
      <c r="F19" s="8"/>
      <c r="G19" s="8"/>
      <c r="H19" s="8"/>
    </row>
    <row r="20" spans="1:11" ht="15.6" hidden="1" customHeight="1">
      <c r="A20" s="1" t="s">
        <v>126</v>
      </c>
      <c r="E20" s="9" t="str">
        <f ca="1">_xll.DBRW(Server&amp;"}ElementAttributes_Indicator",A20,"code_English")</f>
        <v>TPL10_nat - REVENUE FROM ORDINARY ACTIVITIES (by nature)</v>
      </c>
      <c r="F20" s="10">
        <f ca="1">_xll.DBRW($C$1,$C$2,$C$3,$C$4,$C$6,$C$5,$C$7,F$1,F$2,A20)</f>
        <v>0</v>
      </c>
      <c r="G20" s="10">
        <f ca="1">_xll.DBRW($C$1,$C$2,$C$3,$C$4,$C$6,$C$5,$C$7,G$1,G$2,A20)</f>
        <v>288499654.70000005</v>
      </c>
      <c r="H20" s="10">
        <f ca="1">_xll.DBRW($C$1,$C$2,$C$3,$C$4,$C$6,$C$5,$C$7,H$1,H$2,A20)</f>
        <v>0</v>
      </c>
    </row>
    <row r="21" spans="1:11" ht="15.75" customHeight="1">
      <c r="A21" s="1" t="s">
        <v>127</v>
      </c>
      <c r="C21" s="141" t="s">
        <v>13</v>
      </c>
      <c r="E21" s="19" t="s">
        <v>14</v>
      </c>
      <c r="F21" s="36">
        <f ca="1">F20</f>
        <v>0</v>
      </c>
      <c r="G21" s="36">
        <f t="shared" ref="G21:H21" ca="1" si="0">G20</f>
        <v>288499654.70000005</v>
      </c>
      <c r="H21" s="36">
        <f t="shared" ca="1" si="0"/>
        <v>0</v>
      </c>
      <c r="J21" s="95">
        <f ca="1">F21-G21</f>
        <v>-288499654.70000005</v>
      </c>
      <c r="K21" s="95">
        <f ca="1">F24-H24</f>
        <v>0</v>
      </c>
    </row>
    <row r="22" spans="1:11" ht="7.5" customHeight="1">
      <c r="A22" s="1" t="s">
        <v>127</v>
      </c>
      <c r="C22" s="141"/>
      <c r="E22" s="7"/>
      <c r="F22" s="8"/>
      <c r="G22" s="8"/>
      <c r="H22" s="8"/>
    </row>
    <row r="23" spans="1:11" ht="15.75" hidden="1" customHeight="1">
      <c r="A23" s="1" t="s">
        <v>128</v>
      </c>
      <c r="C23" s="141"/>
      <c r="E23" s="9" t="str">
        <f ca="1">_xll.DBRW(Server&amp;"}ElementAttributes_Indicator",A23,"code_English")</f>
        <v>PL1003_RC_30 - Other transportation revenue (incl. subcontracting revenue)</v>
      </c>
      <c r="F23" s="10">
        <f ca="1">_xll.DBRW($C$1,$C$2,$C$3,$C$4,$C$6,$C$5,$C$7,F$1,F$2,A23)</f>
        <v>0</v>
      </c>
      <c r="G23" s="10">
        <f ca="1">_xll.DBRW($C$1,$C$2,$C$3,$C$4,$C$6,$C$5,$C$7,G$1,G$2,A23)</f>
        <v>18089001.159999996</v>
      </c>
      <c r="H23" s="10">
        <f ca="1">_xll.DBRW($C$1,$C$2,$C$3,$C$4,$C$6,$C$5,$C$7,H$1,H$2,A23)</f>
        <v>0</v>
      </c>
    </row>
    <row r="24" spans="1:11" ht="15.75" customHeight="1">
      <c r="A24" s="1" t="s">
        <v>127</v>
      </c>
      <c r="C24" s="141"/>
      <c r="E24" s="13" t="s">
        <v>15</v>
      </c>
      <c r="F24" s="30">
        <f t="shared" ref="F24:H24" ca="1" si="1">F23</f>
        <v>0</v>
      </c>
      <c r="G24" s="30">
        <f t="shared" ca="1" si="1"/>
        <v>18089001.159999996</v>
      </c>
      <c r="H24" s="30">
        <f t="shared" ca="1" si="1"/>
        <v>0</v>
      </c>
      <c r="J24" s="30">
        <f ca="1">F24-G24</f>
        <v>-18089001.159999996</v>
      </c>
      <c r="K24" s="30">
        <f ca="1">F24-H24</f>
        <v>0</v>
      </c>
    </row>
    <row r="25" spans="1:11" ht="15.75" hidden="1" customHeight="1">
      <c r="A25" s="1" t="s">
        <v>129</v>
      </c>
      <c r="C25" s="141"/>
      <c r="E25" s="9" t="str">
        <f ca="1">_xll.DBRW(Server&amp;"}ElementAttributes_Indicator",A25,"code_English")</f>
        <v>PL1115S - COS - Subcontracting transportation costs</v>
      </c>
      <c r="F25" s="31">
        <f ca="1">_xll.DBRW($C$1,$C$2,$C$3,$C$4,$C$6,$C$5,$C$7,F$1,F$2,A25)</f>
        <v>0</v>
      </c>
      <c r="G25" s="31">
        <f ca="1">_xll.DBRW($C$1,$C$2,$C$3,$C$4,$C$6,$C$5,$C$7,G$1,G$2,A25)</f>
        <v>-26616432.25</v>
      </c>
      <c r="H25" s="31">
        <f ca="1">_xll.DBRW($C$1,$C$2,$C$3,$C$4,$C$6,$C$5,$C$7,H$1,H$2,A25)</f>
        <v>0</v>
      </c>
      <c r="J25" s="30">
        <f t="shared" ref="J25:J26" ca="1" si="2">F25-G25</f>
        <v>26616432.25</v>
      </c>
      <c r="K25" s="30">
        <f t="shared" ref="K25:K26" ca="1" si="3">F25-H25</f>
        <v>0</v>
      </c>
    </row>
    <row r="26" spans="1:11" ht="15.75">
      <c r="A26" s="1" t="s">
        <v>127</v>
      </c>
      <c r="C26" s="141"/>
      <c r="E26" s="13" t="s">
        <v>16</v>
      </c>
      <c r="F26" s="30">
        <f t="shared" ref="F26:H26" ca="1" si="4">F25</f>
        <v>0</v>
      </c>
      <c r="G26" s="30">
        <f t="shared" ca="1" si="4"/>
        <v>-26616432.25</v>
      </c>
      <c r="H26" s="30">
        <f t="shared" ca="1" si="4"/>
        <v>0</v>
      </c>
      <c r="J26" s="30">
        <f t="shared" ca="1" si="2"/>
        <v>26616432.25</v>
      </c>
      <c r="K26" s="30">
        <f t="shared" ca="1" si="3"/>
        <v>0</v>
      </c>
    </row>
    <row r="27" spans="1:11" ht="15.75">
      <c r="A27" s="1" t="s">
        <v>127</v>
      </c>
      <c r="C27" s="141"/>
      <c r="E27" s="19" t="s">
        <v>17</v>
      </c>
      <c r="F27" s="36">
        <f t="shared" ref="F27:H27" ca="1" si="5">F24+F26</f>
        <v>0</v>
      </c>
      <c r="G27" s="36">
        <f t="shared" ca="1" si="5"/>
        <v>-8527431.0900000036</v>
      </c>
      <c r="H27" s="36">
        <f t="shared" ca="1" si="5"/>
        <v>0</v>
      </c>
      <c r="J27" s="95">
        <f ca="1">F27-G27</f>
        <v>8527431.0900000036</v>
      </c>
      <c r="K27" s="95">
        <f ca="1">F30-H30</f>
        <v>0</v>
      </c>
    </row>
    <row r="28" spans="1:11" ht="9" customHeight="1">
      <c r="A28" s="1" t="s">
        <v>127</v>
      </c>
      <c r="C28" s="141"/>
      <c r="E28" s="7"/>
      <c r="F28" s="8"/>
      <c r="G28" s="8"/>
      <c r="H28" s="8"/>
    </row>
    <row r="29" spans="1:11" ht="15.75" hidden="1" customHeight="1">
      <c r="A29" s="1" t="s">
        <v>126</v>
      </c>
      <c r="C29" s="141"/>
      <c r="E29" s="9" t="str">
        <f ca="1">_xll.DBRW(Server&amp;"}ElementAttributes_Indicator",A30,"code_English")</f>
        <v>TPL10_dest_nosub - REVENUE FROM ORDINARY ACTIVITIES (ROA) net of subcontracted transport and reinvoicing</v>
      </c>
      <c r="F29" s="10">
        <f ca="1">_xll.DBRW($C$1,$C$2,$C$3,$C$4,$C$6,$C$5,$C$7,F$1,F$2,A29)</f>
        <v>0</v>
      </c>
      <c r="G29" s="10">
        <f ca="1">_xll.DBRW($C$1,$C$2,$C$3,$C$4,$C$6,$C$5,$C$7,G$1,G$2,A29)</f>
        <v>288499654.70000005</v>
      </c>
      <c r="H29" s="10">
        <f ca="1">_xll.DBRW($C$1,$C$2,$C$3,$C$4,$C$6,$C$5,$C$7,H$1,H$2,A29)</f>
        <v>0</v>
      </c>
    </row>
    <row r="30" spans="1:11" ht="15.75">
      <c r="A30" s="72" t="s">
        <v>125</v>
      </c>
      <c r="B30" s="76"/>
      <c r="C30" s="141"/>
      <c r="E30" s="13" t="s">
        <v>18</v>
      </c>
      <c r="F30" s="30">
        <f t="shared" ref="F30:H30" ca="1" si="6">F29-F24</f>
        <v>0</v>
      </c>
      <c r="G30" s="30">
        <f t="shared" ca="1" si="6"/>
        <v>270410653.54000008</v>
      </c>
      <c r="H30" s="30">
        <f t="shared" ca="1" si="6"/>
        <v>0</v>
      </c>
      <c r="J30" s="30">
        <f ca="1">F30-G30</f>
        <v>-270410653.54000008</v>
      </c>
      <c r="K30" s="30">
        <f ca="1">F30-H30</f>
        <v>0</v>
      </c>
    </row>
    <row r="31" spans="1:11" ht="15.75" hidden="1" customHeight="1">
      <c r="A31" s="1" t="s">
        <v>130</v>
      </c>
      <c r="B31" s="76"/>
      <c r="C31" s="141"/>
      <c r="E31" s="9" t="str">
        <f ca="1">_xll.DBRW(Server&amp;"}ElementAttributes_Indicator",A31,"code_English")</f>
        <v>PL1110_DO_10 - Staff costs (DO)</v>
      </c>
      <c r="F31" s="31">
        <f ca="1">_xll.DBRW($C$1,$C$2,$C$3,$C$4,$C$6,$C$5,$C$7,F$1,F$2,A31)</f>
        <v>0</v>
      </c>
      <c r="G31" s="31">
        <f ca="1">_xll.DBRW($C$1,$C$2,$C$3,$C$4,$C$6,$C$5,$C$7,G$1,G$2,A31)</f>
        <v>-115288030.28999999</v>
      </c>
      <c r="H31" s="31">
        <f ca="1">_xll.DBRW($C$1,$C$2,$C$3,$C$4,$C$6,$C$5,$C$7,H$1,H$2,A31)</f>
        <v>0</v>
      </c>
      <c r="J31" s="30">
        <f t="shared" ref="J31:J32" ca="1" si="7">F31-G31</f>
        <v>115288030.28999999</v>
      </c>
      <c r="K31" s="30">
        <f t="shared" ref="K31:K32" ca="1" si="8">F31-H31</f>
        <v>0</v>
      </c>
    </row>
    <row r="32" spans="1:11" ht="15.75" hidden="1" customHeight="1">
      <c r="A32" s="1" t="s">
        <v>131</v>
      </c>
      <c r="B32" s="76"/>
      <c r="C32" s="141"/>
      <c r="E32" s="9" t="str">
        <f ca="1">_xll.DBRW(Server&amp;"}ElementAttributes_Indicator",A32,"code_English")</f>
        <v>PL1115_DO_20 - Interim staff (DO)</v>
      </c>
      <c r="F32" s="31">
        <f ca="1">_xll.DBRW($C$1,$C$2,$C$3,$C$4,$C$6,$C$5,$C$7,F$1,F$2,A32)</f>
        <v>0</v>
      </c>
      <c r="G32" s="31">
        <f ca="1">_xll.DBRW($C$1,$C$2,$C$3,$C$4,$C$6,$C$5,$C$7,G$1,G$2,A32)</f>
        <v>0</v>
      </c>
      <c r="H32" s="31">
        <f ca="1">_xll.DBRW($C$1,$C$2,$C$3,$C$4,$C$6,$C$5,$C$7,H$1,H$2,A32)</f>
        <v>0</v>
      </c>
      <c r="J32" s="30">
        <f t="shared" ca="1" si="7"/>
        <v>0</v>
      </c>
      <c r="K32" s="30">
        <f t="shared" ca="1" si="8"/>
        <v>0</v>
      </c>
    </row>
    <row r="33" spans="1:11" ht="15.75" hidden="1" customHeight="1">
      <c r="A33" s="1" t="s">
        <v>132</v>
      </c>
      <c r="B33" s="76"/>
      <c r="C33" s="141"/>
      <c r="E33" s="9" t="str">
        <f ca="1">_xll.DBRW(Server&amp;"}ElementAttributes_Indicator",A33,"code_English")</f>
        <v>PL1115_DO_99 - Others (DO)</v>
      </c>
      <c r="F33" s="31">
        <f ca="1">_xll.DBRW($C$1,$C$2,$C$3,$C$4,$C$6,$C$5,$C$7,F$1,F$2,A33)</f>
        <v>0</v>
      </c>
      <c r="G33" s="31">
        <f ca="1">_xll.DBRW($C$1,$C$2,$C$3,$C$4,$C$6,$C$5,$C$7,G$1,G$2,A33)</f>
        <v>-11</v>
      </c>
      <c r="H33" s="31">
        <f ca="1">_xll.DBRW($C$1,$C$2,$C$3,$C$4,$C$6,$C$5,$C$7,H$1,H$2,A33)</f>
        <v>0</v>
      </c>
    </row>
    <row r="34" spans="1:11" ht="15.75" hidden="1" customHeight="1">
      <c r="A34" s="1" t="s">
        <v>133</v>
      </c>
      <c r="B34" s="76"/>
      <c r="C34" s="141"/>
      <c r="E34" s="9" t="str">
        <f ca="1">_xll.DBRW(Server&amp;"}ElementAttributes_Indicator",A34,"code_English")</f>
        <v>PL1140_DO_10 - Amortization of pensions</v>
      </c>
      <c r="F34" s="31">
        <f ca="1">_xll.DBRW($C$1,$C$2,$C$3,$C$4,$C$6,$C$5,$C$7,F$1,F$2,A34)</f>
        <v>0</v>
      </c>
      <c r="G34" s="31">
        <f ca="1">_xll.DBRW($C$1,$C$2,$C$3,$C$4,$C$6,$C$5,$C$7,G$1,G$2,A34)</f>
        <v>0</v>
      </c>
      <c r="H34" s="31">
        <f ca="1">_xll.DBRW($C$1,$C$2,$C$3,$C$4,$C$6,$C$5,$C$7,H$1,H$2,A34)</f>
        <v>0</v>
      </c>
    </row>
    <row r="35" spans="1:11" ht="15.75" hidden="1" customHeight="1">
      <c r="A35" s="1" t="s">
        <v>134</v>
      </c>
      <c r="B35" s="76"/>
      <c r="C35" s="141"/>
      <c r="E35" s="9" t="str">
        <f ca="1">_xll.DBRW(Server&amp;"}ElementAttributes_Indicator",A35,"code_English")</f>
        <v>PL1150_DO_10 - Impairment (other than working capital) and provisions - related to staff costs (DO)</v>
      </c>
      <c r="F35" s="31">
        <f ca="1">_xll.DBRW($C$1,$C$2,$C$3,$C$4,$C$6,$C$5,$C$7,F$1,F$2,A35)</f>
        <v>0</v>
      </c>
      <c r="G35" s="31">
        <f ca="1">_xll.DBRW($C$1,$C$2,$C$3,$C$4,$C$6,$C$5,$C$7,G$1,G$2,A35)</f>
        <v>61127.270000000004</v>
      </c>
      <c r="H35" s="31">
        <f ca="1">_xll.DBRW($C$1,$C$2,$C$3,$C$4,$C$6,$C$5,$C$7,H$1,H$2,A35)</f>
        <v>0</v>
      </c>
    </row>
    <row r="36" spans="1:11" ht="15.75" hidden="1" customHeight="1">
      <c r="A36" s="1" t="s">
        <v>135</v>
      </c>
      <c r="B36" s="76"/>
      <c r="C36" s="141"/>
      <c r="E36" s="9" t="str">
        <f ca="1">_xll.DBRW(Server&amp;"}ElementAttributes_Indicator",A36,"code_English")</f>
        <v>PL1150_DO_11 - Impairment (other than working capital) and provisions - related to staff costs - Reversal (DO)</v>
      </c>
      <c r="F36" s="31">
        <f ca="1">_xll.DBRW($C$1,$C$2,$C$3,$C$4,$C$6,$C$5,$C$7,F$1,F$2,A36)</f>
        <v>0</v>
      </c>
      <c r="G36" s="31">
        <f ca="1">_xll.DBRW($C$1,$C$2,$C$3,$C$4,$C$6,$C$5,$C$7,G$1,G$2,A36)</f>
        <v>0</v>
      </c>
      <c r="H36" s="31">
        <f ca="1">_xll.DBRW($C$1,$C$2,$C$3,$C$4,$C$6,$C$5,$C$7,H$1,H$2,A36)</f>
        <v>0</v>
      </c>
    </row>
    <row r="37" spans="1:11" ht="15.75" hidden="1" customHeight="1">
      <c r="A37" s="1" t="s">
        <v>136</v>
      </c>
      <c r="B37" s="76"/>
      <c r="C37" s="141"/>
      <c r="E37" s="9" t="str">
        <f ca="1">_xll.DBRW(Server&amp;"}ElementAttributes_Indicator",A37,"code_English")</f>
        <v>PL1150_DO_90 - Impairment (other than working capital) and provisions - other (DO)</v>
      </c>
      <c r="F37" s="31">
        <f ca="1">_xll.DBRW($C$1,$C$2,$C$3,$C$4,$C$6,$C$5,$C$7,F$1,F$2,A37)</f>
        <v>0</v>
      </c>
      <c r="G37" s="31">
        <f ca="1">_xll.DBRW($C$1,$C$2,$C$3,$C$4,$C$6,$C$5,$C$7,G$1,G$2,A37)</f>
        <v>0</v>
      </c>
      <c r="H37" s="31">
        <f ca="1">_xll.DBRW($C$1,$C$2,$C$3,$C$4,$C$6,$C$5,$C$7,H$1,H$2,A37)</f>
        <v>0</v>
      </c>
    </row>
    <row r="38" spans="1:11" ht="15.75" hidden="1" customHeight="1">
      <c r="A38" s="1" t="s">
        <v>137</v>
      </c>
      <c r="B38" s="76"/>
      <c r="C38" s="141"/>
      <c r="E38" s="9" t="str">
        <f ca="1">_xll.DBRW(Server&amp;"}ElementAttributes_Indicator",A38,"code_English")</f>
        <v>PL1151_DO_10 - Impact of change in revaluation rate on provisions for losses on LT contracts - related to staff costs (DO)</v>
      </c>
      <c r="F38" s="31">
        <f ca="1">_xll.DBRW($C$1,$C$2,$C$3,$C$4,$C$6,$C$5,$C$7,F$1,F$2,A38)</f>
        <v>0</v>
      </c>
      <c r="G38" s="31">
        <f ca="1">_xll.DBRW($C$1,$C$2,$C$3,$C$4,$C$6,$C$5,$C$7,G$1,G$2,A38)</f>
        <v>0</v>
      </c>
      <c r="H38" s="31">
        <f ca="1">_xll.DBRW($C$1,$C$2,$C$3,$C$4,$C$6,$C$5,$C$7,H$1,H$2,A38)</f>
        <v>0</v>
      </c>
    </row>
    <row r="39" spans="1:11" ht="15.75" hidden="1" customHeight="1">
      <c r="A39" s="1" t="s">
        <v>138</v>
      </c>
      <c r="B39" s="76"/>
      <c r="C39" s="141"/>
      <c r="E39" s="9" t="str">
        <f ca="1">_xll.DBRW(Server&amp;"}ElementAttributes_Indicator",A39,"code_English")</f>
        <v>PL1151_DO_11 - Impact of change in revaluation rate on provisions for losses on LT contracts  - related to staff costs - Reversal (DO)</v>
      </c>
      <c r="F39" s="31">
        <f ca="1">_xll.DBRW($C$1,$C$2,$C$3,$C$4,$C$6,$C$5,$C$7,F$1,F$2,A39)</f>
        <v>0</v>
      </c>
      <c r="G39" s="31">
        <f ca="1">_xll.DBRW($C$1,$C$2,$C$3,$C$4,$C$6,$C$5,$C$7,G$1,G$2,A39)</f>
        <v>0</v>
      </c>
      <c r="H39" s="31">
        <f ca="1">_xll.DBRW($C$1,$C$2,$C$3,$C$4,$C$6,$C$5,$C$7,H$1,H$2,A39)</f>
        <v>0</v>
      </c>
    </row>
    <row r="40" spans="1:11" ht="15.75" hidden="1" customHeight="1">
      <c r="A40" s="1" t="s">
        <v>139</v>
      </c>
      <c r="B40" s="76"/>
      <c r="C40" s="141"/>
      <c r="E40" s="9" t="str">
        <f ca="1">_xll.DBRW(Server&amp;"}ElementAttributes_Indicator",A40,"code_English")</f>
        <v>PL1155_DO_10 - Reinvoicing - Others (DO)</v>
      </c>
      <c r="F40" s="31">
        <f ca="1">_xll.DBRW($C$1,$C$2,$C$3,$C$4,$C$6,$C$5,$C$7,F$1,F$2,A40)</f>
        <v>0</v>
      </c>
      <c r="G40" s="31">
        <f ca="1">_xll.DBRW($C$1,$C$2,$C$3,$C$4,$C$6,$C$5,$C$7,G$1,G$2,A40)</f>
        <v>0</v>
      </c>
      <c r="H40" s="31">
        <f ca="1">_xll.DBRW($C$1,$C$2,$C$3,$C$4,$C$6,$C$5,$C$7,H$1,H$2,A40)</f>
        <v>0</v>
      </c>
    </row>
    <row r="41" spans="1:11" ht="15.75">
      <c r="A41" s="72" t="s">
        <v>124</v>
      </c>
      <c r="B41" s="76"/>
      <c r="C41" s="141"/>
      <c r="E41" s="13" t="s">
        <v>19</v>
      </c>
      <c r="F41" s="30">
        <f t="shared" ref="F41:H41" ca="1" si="9">SUM(F31:F40)</f>
        <v>0</v>
      </c>
      <c r="G41" s="30">
        <f t="shared" ca="1" si="9"/>
        <v>-115226914.02</v>
      </c>
      <c r="H41" s="30">
        <f t="shared" ca="1" si="9"/>
        <v>0</v>
      </c>
      <c r="J41" s="30">
        <f ca="1">F41-G41</f>
        <v>115226914.02</v>
      </c>
      <c r="K41" s="30">
        <f ca="1">F41-H41</f>
        <v>0</v>
      </c>
    </row>
    <row r="42" spans="1:11" ht="15.75" hidden="1" customHeight="1">
      <c r="A42" s="1" t="s">
        <v>140</v>
      </c>
      <c r="C42" s="141"/>
      <c r="E42" s="9" t="str">
        <f ca="1">_xll.DBRW(Server&amp;"}ElementAttributes_Indicator",A42,"code_English")</f>
        <v>PL1110_MF_10 - Staff costs (MF)</v>
      </c>
      <c r="F42" s="31">
        <f ca="1">_xll.DBRW($C$1,$C$2,$C$3,$C$4,$C$6,$C$5,$C$7,F$1,F$2,A42)</f>
        <v>0</v>
      </c>
      <c r="G42" s="31">
        <f ca="1">_xll.DBRW($C$1,$C$2,$C$3,$C$4,$C$6,$C$5,$C$7,G$1,G$2,A42)</f>
        <v>-3730108.75</v>
      </c>
      <c r="H42" s="31">
        <f ca="1">_xll.DBRW($C$1,$C$2,$C$3,$C$4,$C$6,$C$5,$C$7,H$1,H$2,A42)</f>
        <v>0</v>
      </c>
      <c r="J42" s="30">
        <f t="shared" ref="J42:J43" ca="1" si="10">F42-G42</f>
        <v>3730108.75</v>
      </c>
      <c r="K42" s="30">
        <f t="shared" ref="K42:K43" ca="1" si="11">F42-H42</f>
        <v>0</v>
      </c>
    </row>
    <row r="43" spans="1:11" ht="15.75" hidden="1" customHeight="1">
      <c r="A43" s="1" t="s">
        <v>141</v>
      </c>
      <c r="C43" s="141"/>
      <c r="E43" s="9" t="str">
        <f ca="1">_xll.DBRW(Server&amp;"}ElementAttributes_Indicator",A43,"code_English")</f>
        <v>PL1115_MF_20 - Interim staff (MF)</v>
      </c>
      <c r="F43" s="31">
        <f ca="1">_xll.DBRW($C$1,$C$2,$C$3,$C$4,$C$6,$C$5,$C$7,F$1,F$2,A43)</f>
        <v>0</v>
      </c>
      <c r="G43" s="31">
        <f ca="1">_xll.DBRW($C$1,$C$2,$C$3,$C$4,$C$6,$C$5,$C$7,G$1,G$2,A43)</f>
        <v>0</v>
      </c>
      <c r="H43" s="31">
        <f ca="1">_xll.DBRW($C$1,$C$2,$C$3,$C$4,$C$6,$C$5,$C$7,H$1,H$2,A43)</f>
        <v>0</v>
      </c>
      <c r="J43" s="30">
        <f t="shared" ca="1" si="10"/>
        <v>0</v>
      </c>
      <c r="K43" s="30">
        <f t="shared" ca="1" si="11"/>
        <v>0</v>
      </c>
    </row>
    <row r="44" spans="1:11" ht="15.75" collapsed="1">
      <c r="A44" s="1" t="s">
        <v>127</v>
      </c>
      <c r="C44" s="141"/>
      <c r="E44" s="14" t="s">
        <v>20</v>
      </c>
      <c r="F44" s="32">
        <f ca="1">SUM(F42:F43)</f>
        <v>0</v>
      </c>
      <c r="G44" s="32">
        <f t="shared" ref="G44:H44" ca="1" si="12">SUM(G42:G43)</f>
        <v>-3730108.75</v>
      </c>
      <c r="H44" s="32">
        <f t="shared" ca="1" si="12"/>
        <v>0</v>
      </c>
      <c r="J44" s="32">
        <f ca="1">F44-G44</f>
        <v>3730108.75</v>
      </c>
      <c r="K44" s="32">
        <f ca="1">F44-H44</f>
        <v>0</v>
      </c>
    </row>
    <row r="45" spans="1:11" ht="15.75" hidden="1" customHeight="1">
      <c r="A45" s="1" t="s">
        <v>142</v>
      </c>
      <c r="C45" s="141"/>
      <c r="E45" s="9" t="str">
        <f ca="1">_xll.DBRW(Server&amp;"}ElementAttributes_Indicator",A45,"code_English")</f>
        <v>PL1115_MF_11 - Subcontracting maintenance (MF)</v>
      </c>
      <c r="F45" s="32">
        <f ca="1">_xll.DBRW($C$1,$C$2,$C$3,$C$4,$C$6,$C$5,$C$7,F$1,F$2,A45)</f>
        <v>0</v>
      </c>
      <c r="G45" s="32">
        <f ca="1">_xll.DBRW($C$1,$C$2,$C$3,$C$4,$C$6,$C$5,$C$7,G$1,G$2,A45)</f>
        <v>0</v>
      </c>
      <c r="H45" s="32">
        <f ca="1">_xll.DBRW($C$1,$C$2,$C$3,$C$4,$C$6,$C$5,$C$7,H$1,H$2,A45)</f>
        <v>0</v>
      </c>
      <c r="J45" s="32">
        <f t="shared" ref="J45:J79" ca="1" si="13">F45-G45</f>
        <v>0</v>
      </c>
      <c r="K45" s="32">
        <f t="shared" ref="K45:K79" ca="1" si="14">F45-H45</f>
        <v>0</v>
      </c>
    </row>
    <row r="46" spans="1:11" ht="15.75" hidden="1" customHeight="1">
      <c r="A46" s="1" t="s">
        <v>143</v>
      </c>
      <c r="C46" s="141"/>
      <c r="E46" s="9" t="str">
        <f ca="1">_xll.DBRW(Server&amp;"}ElementAttributes_Indicator",A46,"code_English")</f>
        <v>PL1115_MF_25 - Major maintenance</v>
      </c>
      <c r="F46" s="32">
        <f ca="1">_xll.DBRW($C$1,$C$2,$C$3,$C$4,$C$6,$C$5,$C$7,F$1,F$2,A46)</f>
        <v>0</v>
      </c>
      <c r="G46" s="32">
        <f ca="1">_xll.DBRW($C$1,$C$2,$C$3,$C$4,$C$6,$C$5,$C$7,G$1,G$2,A46)</f>
        <v>0</v>
      </c>
      <c r="H46" s="32">
        <f ca="1">_xll.DBRW($C$1,$C$2,$C$3,$C$4,$C$6,$C$5,$C$7,H$1,H$2,A46)</f>
        <v>0</v>
      </c>
      <c r="J46" s="32">
        <f t="shared" ca="1" si="13"/>
        <v>0</v>
      </c>
      <c r="K46" s="32">
        <f t="shared" ca="1" si="14"/>
        <v>0</v>
      </c>
    </row>
    <row r="47" spans="1:11" ht="15.75">
      <c r="A47" s="1" t="s">
        <v>127</v>
      </c>
      <c r="C47" s="141"/>
      <c r="E47" s="15" t="s">
        <v>21</v>
      </c>
      <c r="F47" s="33">
        <f t="shared" ref="F47:H47" ca="1" si="15">SUM(F45:F46)</f>
        <v>0</v>
      </c>
      <c r="G47" s="33">
        <f t="shared" ca="1" si="15"/>
        <v>0</v>
      </c>
      <c r="H47" s="33">
        <f t="shared" ca="1" si="15"/>
        <v>0</v>
      </c>
      <c r="J47" s="33">
        <f t="shared" ca="1" si="13"/>
        <v>0</v>
      </c>
      <c r="K47" s="33">
        <f t="shared" ca="1" si="14"/>
        <v>0</v>
      </c>
    </row>
    <row r="48" spans="1:11" ht="15.75" hidden="1" customHeight="1">
      <c r="A48" s="1" t="s">
        <v>144</v>
      </c>
      <c r="C48" s="141"/>
      <c r="E48" s="9" t="str">
        <f ca="1">_xll.DBRW(Server&amp;"}ElementAttributes_Indicator",A48,"code_English")</f>
        <v>PL1115_MF_12 - Subcontracting cleaning (MF)</v>
      </c>
      <c r="F48" s="32">
        <f ca="1">_xll.DBRW($C$1,$C$2,$C$3,$C$4,$C$6,$C$5,$C$7,F$1,F$2,A48)</f>
        <v>0</v>
      </c>
      <c r="G48" s="32">
        <f ca="1">_xll.DBRW($C$1,$C$2,$C$3,$C$4,$C$6,$C$5,$C$7,G$1,G$2,A48)</f>
        <v>0</v>
      </c>
      <c r="H48" s="32">
        <f ca="1">_xll.DBRW($C$1,$C$2,$C$3,$C$4,$C$6,$C$5,$C$7,H$1,H$2,A48)</f>
        <v>0</v>
      </c>
      <c r="J48" s="33">
        <f t="shared" ca="1" si="13"/>
        <v>0</v>
      </c>
      <c r="K48" s="33">
        <f t="shared" ca="1" si="14"/>
        <v>0</v>
      </c>
    </row>
    <row r="49" spans="1:11" ht="15.75">
      <c r="A49" s="1" t="s">
        <v>127</v>
      </c>
      <c r="C49" s="141"/>
      <c r="E49" s="15" t="s">
        <v>22</v>
      </c>
      <c r="F49" s="33">
        <f t="shared" ref="F49:H49" ca="1" si="16">SUM(F48)</f>
        <v>0</v>
      </c>
      <c r="G49" s="33">
        <f t="shared" ca="1" si="16"/>
        <v>0</v>
      </c>
      <c r="H49" s="33">
        <f t="shared" ca="1" si="16"/>
        <v>0</v>
      </c>
      <c r="J49" s="33">
        <f t="shared" ca="1" si="13"/>
        <v>0</v>
      </c>
      <c r="K49" s="33">
        <f t="shared" ca="1" si="14"/>
        <v>0</v>
      </c>
    </row>
    <row r="50" spans="1:11" ht="15.75" hidden="1" customHeight="1">
      <c r="A50" s="1" t="s">
        <v>145</v>
      </c>
      <c r="C50" s="141"/>
      <c r="E50" s="9" t="str">
        <f ca="1">_xll.DBRW(Server&amp;"}ElementAttributes_Indicator",A50,"code_English")</f>
        <v>PL1115_MF_30 - Spare parts for maintenance of rolling stock</v>
      </c>
      <c r="F50" s="32">
        <f ca="1">_xll.DBRW($C$1,$C$2,$C$3,$C$4,$C$6,$C$5,$C$7,F$1,F$2,A50)</f>
        <v>0</v>
      </c>
      <c r="G50" s="32">
        <f ca="1">_xll.DBRW($C$1,$C$2,$C$3,$C$4,$C$6,$C$5,$C$7,G$1,G$2,A50)</f>
        <v>0</v>
      </c>
      <c r="H50" s="32">
        <f ca="1">_xll.DBRW($C$1,$C$2,$C$3,$C$4,$C$6,$C$5,$C$7,H$1,H$2,A50)</f>
        <v>0</v>
      </c>
      <c r="J50" s="33">
        <f t="shared" ca="1" si="13"/>
        <v>0</v>
      </c>
      <c r="K50" s="33">
        <f t="shared" ca="1" si="14"/>
        <v>0</v>
      </c>
    </row>
    <row r="51" spans="1:11" ht="15.75">
      <c r="A51" s="1" t="s">
        <v>127</v>
      </c>
      <c r="C51" s="141"/>
      <c r="E51" s="15" t="s">
        <v>23</v>
      </c>
      <c r="F51" s="33">
        <f t="shared" ref="F51:H51" ca="1" si="17">SUM(F50)</f>
        <v>0</v>
      </c>
      <c r="G51" s="33">
        <f t="shared" ca="1" si="17"/>
        <v>0</v>
      </c>
      <c r="H51" s="33">
        <f t="shared" ca="1" si="17"/>
        <v>0</v>
      </c>
      <c r="J51" s="33">
        <f t="shared" ca="1" si="13"/>
        <v>0</v>
      </c>
      <c r="K51" s="33">
        <f t="shared" ca="1" si="14"/>
        <v>0</v>
      </c>
    </row>
    <row r="52" spans="1:11" ht="15.75" hidden="1" customHeight="1">
      <c r="A52" s="1" t="s">
        <v>146</v>
      </c>
      <c r="C52" s="141"/>
      <c r="E52" s="9" t="str">
        <f ca="1">_xll.DBRW(Server&amp;"}ElementAttributes_Indicator",A52,"code_English")</f>
        <v>PL1115_MF_31 - Tyres</v>
      </c>
      <c r="F52" s="32">
        <f ca="1">_xll.DBRW($C$1,$C$2,$C$3,$C$4,$C$6,$C$5,$C$7,F$1,F$2,A52)</f>
        <v>0</v>
      </c>
      <c r="G52" s="32">
        <f ca="1">_xll.DBRW($C$1,$C$2,$C$3,$C$4,$C$6,$C$5,$C$7,G$1,G$2,A52)</f>
        <v>0</v>
      </c>
      <c r="H52" s="32">
        <f ca="1">_xll.DBRW($C$1,$C$2,$C$3,$C$4,$C$6,$C$5,$C$7,H$1,H$2,A52)</f>
        <v>0</v>
      </c>
      <c r="J52" s="33">
        <f t="shared" ca="1" si="13"/>
        <v>0</v>
      </c>
      <c r="K52" s="33">
        <f t="shared" ca="1" si="14"/>
        <v>0</v>
      </c>
    </row>
    <row r="53" spans="1:11" ht="15.75">
      <c r="A53" s="1" t="s">
        <v>146</v>
      </c>
      <c r="C53" s="141"/>
      <c r="E53" s="15" t="s">
        <v>24</v>
      </c>
      <c r="F53" s="33">
        <f t="shared" ref="F53:H53" ca="1" si="18">SUM(F52)</f>
        <v>0</v>
      </c>
      <c r="G53" s="33">
        <f t="shared" ca="1" si="18"/>
        <v>0</v>
      </c>
      <c r="H53" s="33">
        <f t="shared" ca="1" si="18"/>
        <v>0</v>
      </c>
      <c r="J53" s="33">
        <f t="shared" ca="1" si="13"/>
        <v>0</v>
      </c>
      <c r="K53" s="33">
        <f t="shared" ca="1" si="14"/>
        <v>0</v>
      </c>
    </row>
    <row r="54" spans="1:11" ht="15.75" hidden="1" customHeight="1">
      <c r="A54" s="1" t="s">
        <v>147</v>
      </c>
      <c r="C54" s="141"/>
      <c r="E54" s="9" t="str">
        <f ca="1">_xll.DBRW(Server&amp;"}ElementAttributes_Indicator",A54,"code_English")</f>
        <v>PL1115_MF_32 - Lubricants</v>
      </c>
      <c r="F54" s="32">
        <f ca="1">_xll.DBRW($C$1,$C$2,$C$3,$C$4,$C$6,$C$5,$C$7,F$1,F$2,A54)</f>
        <v>0</v>
      </c>
      <c r="G54" s="32">
        <f ca="1">_xll.DBRW($C$1,$C$2,$C$3,$C$4,$C$6,$C$5,$C$7,G$1,G$2,A54)</f>
        <v>0</v>
      </c>
      <c r="H54" s="32">
        <f ca="1">_xll.DBRW($C$1,$C$2,$C$3,$C$4,$C$6,$C$5,$C$7,H$1,H$2,A54)</f>
        <v>0</v>
      </c>
      <c r="J54" s="33">
        <f t="shared" ca="1" si="13"/>
        <v>0</v>
      </c>
      <c r="K54" s="33">
        <f t="shared" ca="1" si="14"/>
        <v>0</v>
      </c>
    </row>
    <row r="55" spans="1:11" ht="15.75">
      <c r="A55" s="1" t="s">
        <v>147</v>
      </c>
      <c r="C55" s="141"/>
      <c r="E55" s="15" t="s">
        <v>25</v>
      </c>
      <c r="F55" s="33">
        <f t="shared" ref="F55:H55" ca="1" si="19">SUM(F54)</f>
        <v>0</v>
      </c>
      <c r="G55" s="33">
        <f t="shared" ca="1" si="19"/>
        <v>0</v>
      </c>
      <c r="H55" s="33">
        <f t="shared" ca="1" si="19"/>
        <v>0</v>
      </c>
      <c r="J55" s="33">
        <f t="shared" ca="1" si="13"/>
        <v>0</v>
      </c>
      <c r="K55" s="33">
        <f t="shared" ca="1" si="14"/>
        <v>0</v>
      </c>
    </row>
    <row r="56" spans="1:11" ht="15.75" hidden="1" customHeight="1">
      <c r="A56" s="1" t="s">
        <v>148</v>
      </c>
      <c r="C56" s="141"/>
      <c r="E56" s="9" t="str">
        <f ca="1">_xll.DBRW(Server&amp;"}ElementAttributes_Indicator",A56,"code_English")</f>
        <v>PL1115_MF_99 - Others (MF)</v>
      </c>
      <c r="F56" s="32">
        <f ca="1">_xll.DBRW($C$1,$C$2,$C$3,$C$4,$C$6,$C$5,$C$7,F$1,F$2,A56)</f>
        <v>0</v>
      </c>
      <c r="G56" s="32">
        <f ca="1">_xll.DBRW($C$1,$C$2,$C$3,$C$4,$C$6,$C$5,$C$7,G$1,G$2,A56)</f>
        <v>-20167243.890000001</v>
      </c>
      <c r="H56" s="32">
        <f ca="1">_xll.DBRW($C$1,$C$2,$C$3,$C$4,$C$6,$C$5,$C$7,H$1,H$2,A56)</f>
        <v>0</v>
      </c>
      <c r="J56" s="32">
        <f t="shared" ca="1" si="13"/>
        <v>20167243.890000001</v>
      </c>
      <c r="K56" s="32">
        <f t="shared" ca="1" si="14"/>
        <v>0</v>
      </c>
    </row>
    <row r="57" spans="1:11" ht="15.75" hidden="1" customHeight="1">
      <c r="A57" s="1" t="s">
        <v>149</v>
      </c>
      <c r="C57" s="141"/>
      <c r="E57" s="9" t="str">
        <f ca="1">_xll.DBRW(Server&amp;"}ElementAttributes_Indicator",A57,"code_English")</f>
        <v>PL1115_ST_10 - Subcontracting transport (ST)</v>
      </c>
      <c r="F57" s="101"/>
      <c r="G57" s="101"/>
      <c r="H57" s="101"/>
      <c r="J57" s="32">
        <f t="shared" si="13"/>
        <v>0</v>
      </c>
      <c r="K57" s="32">
        <f t="shared" si="14"/>
        <v>0</v>
      </c>
    </row>
    <row r="58" spans="1:11" ht="15.75" hidden="1" customHeight="1">
      <c r="A58" s="1" t="s">
        <v>150</v>
      </c>
      <c r="C58" s="141"/>
      <c r="E58" s="9" t="str">
        <f ca="1">_xll.DBRW(Server&amp;"}ElementAttributes_Indicator",A58,"code_English")</f>
        <v>PL1116_MF - COS - Lease expenses (MF)</v>
      </c>
      <c r="F58" s="32">
        <f ca="1">_xll.DBRW($C$1,$C$2,$C$3,$C$4,$C$6,$C$5,$C$7,F$1,F$2,A58)</f>
        <v>0</v>
      </c>
      <c r="G58" s="32">
        <f ca="1">_xll.DBRW($C$1,$C$2,$C$3,$C$4,$C$6,$C$5,$C$7,G$1,G$2,A58)</f>
        <v>0</v>
      </c>
      <c r="H58" s="32">
        <f ca="1">_xll.DBRW($C$1,$C$2,$C$3,$C$4,$C$6,$C$5,$C$7,H$1,H$2,A58)</f>
        <v>0</v>
      </c>
      <c r="J58" s="32">
        <f t="shared" ca="1" si="13"/>
        <v>0</v>
      </c>
      <c r="K58" s="32">
        <f t="shared" ca="1" si="14"/>
        <v>0</v>
      </c>
    </row>
    <row r="59" spans="1:11" ht="15.75" hidden="1" customHeight="1">
      <c r="A59" s="1" t="s">
        <v>151</v>
      </c>
      <c r="C59" s="141"/>
      <c r="E59" s="9" t="str">
        <f ca="1">_xll.DBRW(Server&amp;"}ElementAttributes_Indicator",A59,"code_English")</f>
        <v>PL1116_ST - COS - Lease expenses (ST)</v>
      </c>
      <c r="F59" s="32">
        <f ca="1">_xll.DBRW($C$1,$C$2,$C$3,$C$4,$C$6,$C$5,$C$7,F$1,F$2,A59)</f>
        <v>0</v>
      </c>
      <c r="G59" s="32">
        <f ca="1">_xll.DBRW($C$1,$C$2,$C$3,$C$4,$C$6,$C$5,$C$7,G$1,G$2,A59)</f>
        <v>0</v>
      </c>
      <c r="H59" s="32">
        <f ca="1">_xll.DBRW($C$1,$C$2,$C$3,$C$4,$C$6,$C$5,$C$7,H$1,H$2,A59)</f>
        <v>0</v>
      </c>
      <c r="J59" s="32">
        <f t="shared" ca="1" si="13"/>
        <v>0</v>
      </c>
      <c r="K59" s="32">
        <f t="shared" ca="1" si="14"/>
        <v>0</v>
      </c>
    </row>
    <row r="60" spans="1:11" ht="15.75" hidden="1" customHeight="1">
      <c r="A60" s="1" t="s">
        <v>152</v>
      </c>
      <c r="C60" s="141"/>
      <c r="E60" s="9" t="str">
        <f ca="1">_xll.DBRW(Server&amp;"}ElementAttributes_Indicator",A60,"code_English")</f>
        <v>PL1117_MF - COS - Lease expenses (IFRIC12) (MF)</v>
      </c>
      <c r="F60" s="32">
        <f ca="1">_xll.DBRW($C$1,$C$2,$C$3,$C$4,$C$6,$C$5,$C$7,F$1,F$2,A60)</f>
        <v>0</v>
      </c>
      <c r="G60" s="32">
        <f ca="1">_xll.DBRW($C$1,$C$2,$C$3,$C$4,$C$6,$C$5,$C$7,G$1,G$2,A60)</f>
        <v>0</v>
      </c>
      <c r="H60" s="32">
        <f ca="1">_xll.DBRW($C$1,$C$2,$C$3,$C$4,$C$6,$C$5,$C$7,H$1,H$2,A60)</f>
        <v>0</v>
      </c>
      <c r="J60" s="32">
        <f t="shared" ca="1" si="13"/>
        <v>0</v>
      </c>
      <c r="K60" s="32">
        <f t="shared" ca="1" si="14"/>
        <v>0</v>
      </c>
    </row>
    <row r="61" spans="1:11" ht="15.75" hidden="1" customHeight="1">
      <c r="A61" s="1" t="s">
        <v>153</v>
      </c>
      <c r="C61" s="141"/>
      <c r="E61" s="9" t="str">
        <f ca="1">_xll.DBRW(Server&amp;"}ElementAttributes_Indicator",A61,"code_English")</f>
        <v>PL1117_ST - COS - Lease expenses (IFRIC12) (ST)</v>
      </c>
      <c r="F61" s="32">
        <f ca="1">_xll.DBRW($C$1,$C$2,$C$3,$C$4,$C$6,$C$5,$C$7,F$1,F$2,A61)</f>
        <v>0</v>
      </c>
      <c r="G61" s="32">
        <f ca="1">_xll.DBRW($C$1,$C$2,$C$3,$C$4,$C$6,$C$5,$C$7,G$1,G$2,A61)</f>
        <v>0</v>
      </c>
      <c r="H61" s="32">
        <f ca="1">_xll.DBRW($C$1,$C$2,$C$3,$C$4,$C$6,$C$5,$C$7,H$1,H$2,A61)</f>
        <v>0</v>
      </c>
      <c r="J61" s="32">
        <f t="shared" ca="1" si="13"/>
        <v>0</v>
      </c>
      <c r="K61" s="32">
        <f t="shared" ca="1" si="14"/>
        <v>0</v>
      </c>
    </row>
    <row r="62" spans="1:11" ht="15.75" hidden="1" customHeight="1">
      <c r="A62" s="1" t="s">
        <v>154</v>
      </c>
      <c r="C62" s="141"/>
      <c r="E62" s="9" t="str">
        <f ca="1">_xll.DBRW(Server&amp;"}ElementAttributes_Indicator",A62,"code_English")</f>
        <v>PL1118_MF - IFRS16 adjustment through P&amp;L (MF)</v>
      </c>
      <c r="F62" s="32">
        <f ca="1">_xll.DBRW($C$1,$C$2,$C$3,$C$4,$C$6,$C$5,$C$7,F$1,F$2,A62)</f>
        <v>0</v>
      </c>
      <c r="G62" s="32">
        <f ca="1">_xll.DBRW($C$1,$C$2,$C$3,$C$4,$C$6,$C$5,$C$7,G$1,G$2,A62)</f>
        <v>0</v>
      </c>
      <c r="H62" s="32">
        <f ca="1">_xll.DBRW($C$1,$C$2,$C$3,$C$4,$C$6,$C$5,$C$7,H$1,H$2,A62)</f>
        <v>0</v>
      </c>
      <c r="J62" s="32">
        <f t="shared" ca="1" si="13"/>
        <v>0</v>
      </c>
      <c r="K62" s="32">
        <f t="shared" ca="1" si="14"/>
        <v>0</v>
      </c>
    </row>
    <row r="63" spans="1:11" ht="15.75" hidden="1" customHeight="1">
      <c r="A63" s="1" t="s">
        <v>155</v>
      </c>
      <c r="C63" s="141"/>
      <c r="E63" s="9" t="str">
        <f ca="1">_xll.DBRW(Server&amp;"}ElementAttributes_Indicator",A63,"code_English")</f>
        <v>PL1118_ST - IFRS16 adjustment through P&amp;L (ST)</v>
      </c>
      <c r="F63" s="32">
        <f ca="1">_xll.DBRW($C$1,$C$2,$C$3,$C$4,$C$6,$C$5,$C$7,F$1,F$2,A63)</f>
        <v>0</v>
      </c>
      <c r="G63" s="32">
        <f ca="1">_xll.DBRW($C$1,$C$2,$C$3,$C$4,$C$6,$C$5,$C$7,G$1,G$2,A63)</f>
        <v>0</v>
      </c>
      <c r="H63" s="32">
        <f ca="1">_xll.DBRW($C$1,$C$2,$C$3,$C$4,$C$6,$C$5,$C$7,H$1,H$2,A63)</f>
        <v>0</v>
      </c>
      <c r="J63" s="32">
        <f t="shared" ca="1" si="13"/>
        <v>0</v>
      </c>
      <c r="K63" s="32">
        <f t="shared" ca="1" si="14"/>
        <v>0</v>
      </c>
    </row>
    <row r="64" spans="1:11" ht="15.75" hidden="1" customHeight="1">
      <c r="A64" s="1" t="s">
        <v>156</v>
      </c>
      <c r="C64" s="141"/>
      <c r="E64" s="9" t="str">
        <f ca="1">_xll.DBRW(Server&amp;"}ElementAttributes_Indicator",A64,"code_English")</f>
        <v>PL1140_MF_10 - Amortization (MF)</v>
      </c>
      <c r="F64" s="32">
        <f ca="1">_xll.DBRW($C$1,$C$2,$C$3,$C$4,$C$6,$C$5,$C$7,F$1,F$2,A64)</f>
        <v>0</v>
      </c>
      <c r="G64" s="32">
        <f ca="1">_xll.DBRW($C$1,$C$2,$C$3,$C$4,$C$6,$C$5,$C$7,G$1,G$2,A64)</f>
        <v>0</v>
      </c>
      <c r="H64" s="32">
        <f ca="1">_xll.DBRW($C$1,$C$2,$C$3,$C$4,$C$6,$C$5,$C$7,H$1,H$2,A64)</f>
        <v>0</v>
      </c>
      <c r="J64" s="32">
        <f t="shared" ca="1" si="13"/>
        <v>0</v>
      </c>
      <c r="K64" s="32">
        <f t="shared" ca="1" si="14"/>
        <v>0</v>
      </c>
    </row>
    <row r="65" spans="1:11" ht="15.75" hidden="1" customHeight="1">
      <c r="A65" s="1" t="s">
        <v>157</v>
      </c>
      <c r="C65" s="141"/>
      <c r="E65" s="9" t="str">
        <f ca="1">_xll.DBRW(Server&amp;"}ElementAttributes_Indicator",A65,"code_English")</f>
        <v>PL1145_MF - Impairment - working capital (MF)</v>
      </c>
      <c r="F65" s="32">
        <f ca="1">_xll.DBRW($C$1,$C$2,$C$3,$C$4,$C$6,$C$5,$C$7,F$1,F$2,A65)</f>
        <v>0</v>
      </c>
      <c r="G65" s="32">
        <f ca="1">_xll.DBRW($C$1,$C$2,$C$3,$C$4,$C$6,$C$5,$C$7,G$1,G$2,A65)</f>
        <v>0</v>
      </c>
      <c r="H65" s="32">
        <f ca="1">_xll.DBRW($C$1,$C$2,$C$3,$C$4,$C$6,$C$5,$C$7,H$1,H$2,A65)</f>
        <v>0</v>
      </c>
      <c r="J65" s="32">
        <f t="shared" ca="1" si="13"/>
        <v>0</v>
      </c>
      <c r="K65" s="32">
        <f t="shared" ca="1" si="14"/>
        <v>0</v>
      </c>
    </row>
    <row r="66" spans="1:11" ht="15.75" hidden="1" customHeight="1">
      <c r="A66" s="1" t="s">
        <v>158</v>
      </c>
      <c r="C66" s="141"/>
      <c r="E66" s="9" t="str">
        <f ca="1">_xll.DBRW(Server&amp;"}ElementAttributes_Indicator",A66,"code_English")</f>
        <v>PL1150_MF_10 - Impairment (other than working capital) and provisions - related to staff costs (MF)</v>
      </c>
      <c r="F66" s="32">
        <f ca="1">_xll.DBRW($C$1,$C$2,$C$3,$C$4,$C$6,$C$5,$C$7,F$1,F$2,A66)</f>
        <v>0</v>
      </c>
      <c r="G66" s="32">
        <f ca="1">_xll.DBRW($C$1,$C$2,$C$3,$C$4,$C$6,$C$5,$C$7,G$1,G$2,A66)</f>
        <v>-42046.14</v>
      </c>
      <c r="H66" s="32">
        <f ca="1">_xll.DBRW($C$1,$C$2,$C$3,$C$4,$C$6,$C$5,$C$7,H$1,H$2,A66)</f>
        <v>0</v>
      </c>
      <c r="J66" s="32">
        <f t="shared" ca="1" si="13"/>
        <v>42046.14</v>
      </c>
      <c r="K66" s="32">
        <f t="shared" ca="1" si="14"/>
        <v>0</v>
      </c>
    </row>
    <row r="67" spans="1:11" ht="15.75" hidden="1" customHeight="1">
      <c r="A67" s="1" t="s">
        <v>159</v>
      </c>
      <c r="C67" s="141"/>
      <c r="E67" s="9" t="str">
        <f ca="1">_xll.DBRW(Server&amp;"}ElementAttributes_Indicator",A67,"code_English")</f>
        <v>PL1150_MF_11 - Impairment (other than working capital) and provisions - related to staff costs - Reversal (MF)</v>
      </c>
      <c r="F67" s="32">
        <f ca="1">_xll.DBRW($C$1,$C$2,$C$3,$C$4,$C$6,$C$5,$C$7,F$1,F$2,A67)</f>
        <v>0</v>
      </c>
      <c r="G67" s="32">
        <f ca="1">_xll.DBRW($C$1,$C$2,$C$3,$C$4,$C$6,$C$5,$C$7,G$1,G$2,A67)</f>
        <v>0</v>
      </c>
      <c r="H67" s="32">
        <f ca="1">_xll.DBRW($C$1,$C$2,$C$3,$C$4,$C$6,$C$5,$C$7,H$1,H$2,A67)</f>
        <v>0</v>
      </c>
      <c r="J67" s="32">
        <f t="shared" ca="1" si="13"/>
        <v>0</v>
      </c>
      <c r="K67" s="32">
        <f t="shared" ca="1" si="14"/>
        <v>0</v>
      </c>
    </row>
    <row r="68" spans="1:11" ht="15.75" hidden="1" customHeight="1">
      <c r="A68" s="1" t="s">
        <v>160</v>
      </c>
      <c r="C68" s="141"/>
      <c r="E68" s="9" t="str">
        <f ca="1">_xll.DBRW(Server&amp;"}ElementAttributes_Indicator",A68,"code_English")</f>
        <v>PL1150_MF_20 - Impairment (other than working capital) and provisions - related to heavy maintenance</v>
      </c>
      <c r="F68" s="32">
        <f ca="1">_xll.DBRW($C$1,$C$2,$C$3,$C$4,$C$6,$C$5,$C$7,F$1,F$2,A68)</f>
        <v>0</v>
      </c>
      <c r="G68" s="32">
        <f ca="1">_xll.DBRW($C$1,$C$2,$C$3,$C$4,$C$6,$C$5,$C$7,G$1,G$2,A68)</f>
        <v>0</v>
      </c>
      <c r="H68" s="32">
        <f ca="1">_xll.DBRW($C$1,$C$2,$C$3,$C$4,$C$6,$C$5,$C$7,H$1,H$2,A68)</f>
        <v>0</v>
      </c>
      <c r="J68" s="32">
        <f t="shared" ca="1" si="13"/>
        <v>0</v>
      </c>
      <c r="K68" s="32">
        <f t="shared" ca="1" si="14"/>
        <v>0</v>
      </c>
    </row>
    <row r="69" spans="1:11" ht="15.75" hidden="1" customHeight="1">
      <c r="A69" s="1" t="s">
        <v>161</v>
      </c>
      <c r="C69" s="141"/>
      <c r="E69" s="9" t="str">
        <f ca="1">_xll.DBRW(Server&amp;"}ElementAttributes_Indicator",A69,"code_English")</f>
        <v>PL1150_MF_21 - Impairment (other than working capital) and provisions - related to heavy maintenance - Reversal</v>
      </c>
      <c r="F69" s="32">
        <f ca="1">_xll.DBRW($C$1,$C$2,$C$3,$C$4,$C$6,$C$5,$C$7,F$1,F$2,A69)</f>
        <v>0</v>
      </c>
      <c r="G69" s="32">
        <f ca="1">_xll.DBRW($C$1,$C$2,$C$3,$C$4,$C$6,$C$5,$C$7,G$1,G$2,A69)</f>
        <v>0</v>
      </c>
      <c r="H69" s="32">
        <f ca="1">_xll.DBRW($C$1,$C$2,$C$3,$C$4,$C$6,$C$5,$C$7,H$1,H$2,A69)</f>
        <v>0</v>
      </c>
      <c r="J69" s="32">
        <f t="shared" ca="1" si="13"/>
        <v>0</v>
      </c>
      <c r="K69" s="32">
        <f t="shared" ca="1" si="14"/>
        <v>0</v>
      </c>
    </row>
    <row r="70" spans="1:11" ht="15.75" hidden="1" customHeight="1">
      <c r="A70" s="1" t="s">
        <v>162</v>
      </c>
      <c r="C70" s="141"/>
      <c r="E70" s="9" t="str">
        <f ca="1">_xll.DBRW(Server&amp;"}ElementAttributes_Indicator",A70,"code_English")</f>
        <v>PL1150_MF_90 - Impairment (other than working capital) and provisions - others (MF)</v>
      </c>
      <c r="F70" s="32">
        <f ca="1">_xll.DBRW($C$1,$C$2,$C$3,$C$4,$C$6,$C$5,$C$7,F$1,F$2,A70)</f>
        <v>0</v>
      </c>
      <c r="G70" s="32">
        <f ca="1">_xll.DBRW($C$1,$C$2,$C$3,$C$4,$C$6,$C$5,$C$7,G$1,G$2,A70)</f>
        <v>0</v>
      </c>
      <c r="H70" s="32">
        <f ca="1">_xll.DBRW($C$1,$C$2,$C$3,$C$4,$C$6,$C$5,$C$7,H$1,H$2,A70)</f>
        <v>0</v>
      </c>
      <c r="J70" s="32">
        <f t="shared" ca="1" si="13"/>
        <v>0</v>
      </c>
      <c r="K70" s="32">
        <f t="shared" ca="1" si="14"/>
        <v>0</v>
      </c>
    </row>
    <row r="71" spans="1:11" ht="15.75" hidden="1" customHeight="1">
      <c r="A71" s="1" t="s">
        <v>163</v>
      </c>
      <c r="C71" s="141"/>
      <c r="E71" s="9" t="str">
        <f ca="1">_xll.DBRW(Server&amp;"}ElementAttributes_Indicator",A71,"code_English")</f>
        <v>PL1151_MF_10 - Impact of change in revaluation rate on provisions for losses on LT contracts - related to staff costs (MF)</v>
      </c>
      <c r="F71" s="32">
        <f ca="1">_xll.DBRW($C$1,$C$2,$C$3,$C$4,$C$6,$C$5,$C$7,F$1,F$2,A71)</f>
        <v>0</v>
      </c>
      <c r="G71" s="32">
        <f ca="1">_xll.DBRW($C$1,$C$2,$C$3,$C$4,$C$6,$C$5,$C$7,G$1,G$2,A71)</f>
        <v>0</v>
      </c>
      <c r="H71" s="32">
        <f ca="1">_xll.DBRW($C$1,$C$2,$C$3,$C$4,$C$6,$C$5,$C$7,H$1,H$2,A71)</f>
        <v>0</v>
      </c>
      <c r="J71" s="32">
        <f t="shared" ca="1" si="13"/>
        <v>0</v>
      </c>
      <c r="K71" s="32">
        <f t="shared" ca="1" si="14"/>
        <v>0</v>
      </c>
    </row>
    <row r="72" spans="1:11" ht="15.75" hidden="1" customHeight="1">
      <c r="A72" s="1" t="s">
        <v>164</v>
      </c>
      <c r="C72" s="141"/>
      <c r="E72" s="9" t="str">
        <f ca="1">_xll.DBRW(Server&amp;"}ElementAttributes_Indicator",A72,"code_English")</f>
        <v>PL1151_MF_11 - Impact of change in revaluation rate on provisions for losses on LT contracts - related to staff costs - Reversal (MF)</v>
      </c>
      <c r="F72" s="32">
        <f ca="1">_xll.DBRW($C$1,$C$2,$C$3,$C$4,$C$6,$C$5,$C$7,F$1,F$2,A72)</f>
        <v>0</v>
      </c>
      <c r="G72" s="32">
        <f ca="1">_xll.DBRW($C$1,$C$2,$C$3,$C$4,$C$6,$C$5,$C$7,G$1,G$2,A72)</f>
        <v>0</v>
      </c>
      <c r="H72" s="32">
        <f ca="1">_xll.DBRW($C$1,$C$2,$C$3,$C$4,$C$6,$C$5,$C$7,H$1,H$2,A72)</f>
        <v>0</v>
      </c>
      <c r="J72" s="32">
        <f t="shared" ca="1" si="13"/>
        <v>0</v>
      </c>
      <c r="K72" s="32">
        <f t="shared" ca="1" si="14"/>
        <v>0</v>
      </c>
    </row>
    <row r="73" spans="1:11" ht="15.75" hidden="1" customHeight="1">
      <c r="A73" s="1" t="s">
        <v>165</v>
      </c>
      <c r="C73" s="141"/>
      <c r="E73" s="9" t="str">
        <f ca="1">_xll.DBRW(Server&amp;"}ElementAttributes_Indicator",A73,"code_English")</f>
        <v>PL1151_MF_20 - Impact of change in revaluation rate on provisions for losses on LT contracts - related to heavy maintenance</v>
      </c>
      <c r="F73" s="32">
        <f ca="1">_xll.DBRW($C$1,$C$2,$C$3,$C$4,$C$6,$C$5,$C$7,F$1,F$2,A73)</f>
        <v>0</v>
      </c>
      <c r="G73" s="32">
        <f ca="1">_xll.DBRW($C$1,$C$2,$C$3,$C$4,$C$6,$C$5,$C$7,G$1,G$2,A73)</f>
        <v>0</v>
      </c>
      <c r="H73" s="32">
        <f ca="1">_xll.DBRW($C$1,$C$2,$C$3,$C$4,$C$6,$C$5,$C$7,H$1,H$2,A73)</f>
        <v>0</v>
      </c>
      <c r="J73" s="32">
        <f t="shared" ca="1" si="13"/>
        <v>0</v>
      </c>
      <c r="K73" s="32">
        <f t="shared" ca="1" si="14"/>
        <v>0</v>
      </c>
    </row>
    <row r="74" spans="1:11" ht="15.75" hidden="1" customHeight="1">
      <c r="A74" s="1" t="s">
        <v>166</v>
      </c>
      <c r="C74" s="141"/>
      <c r="E74" s="9" t="str">
        <f ca="1">_xll.DBRW(Server&amp;"}ElementAttributes_Indicator",A74,"code_English")</f>
        <v>PL1151_MF_21 - Impact of change in revaluation rate on provisions for losses on LT contracts - related to heavy maintenance - Reversal</v>
      </c>
      <c r="F74" s="32">
        <f ca="1">_xll.DBRW($C$1,$C$2,$C$3,$C$4,$C$6,$C$5,$C$7,F$1,F$2,A74)</f>
        <v>0</v>
      </c>
      <c r="G74" s="32">
        <f ca="1">_xll.DBRW($C$1,$C$2,$C$3,$C$4,$C$6,$C$5,$C$7,G$1,G$2,A74)</f>
        <v>0</v>
      </c>
      <c r="H74" s="32">
        <f ca="1">_xll.DBRW($C$1,$C$2,$C$3,$C$4,$C$6,$C$5,$C$7,H$1,H$2,A74)</f>
        <v>0</v>
      </c>
      <c r="J74" s="32">
        <f t="shared" ca="1" si="13"/>
        <v>0</v>
      </c>
      <c r="K74" s="32">
        <f t="shared" ca="1" si="14"/>
        <v>0</v>
      </c>
    </row>
    <row r="75" spans="1:11" ht="15.75" hidden="1" customHeight="1">
      <c r="A75" s="1" t="s">
        <v>167</v>
      </c>
      <c r="C75" s="141"/>
      <c r="E75" s="9" t="str">
        <f ca="1">_xll.DBRW(Server&amp;"}ElementAttributes_Indicator",A75,"code_English")</f>
        <v>PL1155_MF_99 - Reinvoicing - Others (MF)</v>
      </c>
      <c r="F75" s="32">
        <f ca="1">_xll.DBRW($C$1,$C$2,$C$3,$C$4,$C$6,$C$5,$C$7,F$1,F$2,A75)</f>
        <v>0</v>
      </c>
      <c r="G75" s="32">
        <f ca="1">_xll.DBRW($C$1,$C$2,$C$3,$C$4,$C$6,$C$5,$C$7,G$1,G$2,A75)</f>
        <v>0</v>
      </c>
      <c r="H75" s="32">
        <f ca="1">_xll.DBRW($C$1,$C$2,$C$3,$C$4,$C$6,$C$5,$C$7,H$1,H$2,A75)</f>
        <v>0</v>
      </c>
      <c r="J75" s="32">
        <f t="shared" ca="1" si="13"/>
        <v>0</v>
      </c>
      <c r="K75" s="32">
        <f t="shared" ca="1" si="14"/>
        <v>0</v>
      </c>
    </row>
    <row r="76" spans="1:11" ht="15.75" hidden="1" customHeight="1">
      <c r="A76" s="1" t="s">
        <v>168</v>
      </c>
      <c r="C76" s="141"/>
      <c r="E76" s="9" t="str">
        <f ca="1">_xll.DBRW(Server&amp;"}ElementAttributes_Indicator",A76,"code_English")</f>
        <v>PL1160_MF_15 - Gains/losses on disposal of tangible &amp; intangible fixed assets (MF)</v>
      </c>
      <c r="F76" s="32">
        <f ca="1">_xll.DBRW($C$1,$C$2,$C$3,$C$4,$C$6,$C$5,$C$7,F$1,F$2,A76)</f>
        <v>0</v>
      </c>
      <c r="G76" s="32">
        <f ca="1">_xll.DBRW($C$1,$C$2,$C$3,$C$4,$C$6,$C$5,$C$7,G$1,G$2,A76)</f>
        <v>0</v>
      </c>
      <c r="H76" s="32">
        <f ca="1">_xll.DBRW($C$1,$C$2,$C$3,$C$4,$C$6,$C$5,$C$7,H$1,H$2,A76)</f>
        <v>0</v>
      </c>
      <c r="J76" s="32">
        <f t="shared" ca="1" si="13"/>
        <v>0</v>
      </c>
      <c r="K76" s="32">
        <f t="shared" ca="1" si="14"/>
        <v>0</v>
      </c>
    </row>
    <row r="77" spans="1:11" ht="15.75" hidden="1" customHeight="1">
      <c r="A77" s="1" t="s">
        <v>169</v>
      </c>
      <c r="C77" s="141"/>
      <c r="E77" s="9" t="str">
        <f ca="1">_xll.DBRW(Server&amp;"}ElementAttributes_Indicator",A77,"code_English")</f>
        <v>PL1162_MF - COS - Gains/losses on disposal of right-of-use (MF)</v>
      </c>
      <c r="F77" s="32">
        <f ca="1">_xll.DBRW($C$1,$C$2,$C$3,$C$4,$C$6,$C$5,$C$7,F$1,F$2,A77)</f>
        <v>0</v>
      </c>
      <c r="G77" s="32">
        <f ca="1">_xll.DBRW($C$1,$C$2,$C$3,$C$4,$C$6,$C$5,$C$7,G$1,G$2,A77)</f>
        <v>0</v>
      </c>
      <c r="H77" s="32">
        <f ca="1">_xll.DBRW($C$1,$C$2,$C$3,$C$4,$C$6,$C$5,$C$7,H$1,H$2,A77)</f>
        <v>0</v>
      </c>
      <c r="J77" s="32">
        <f t="shared" ca="1" si="13"/>
        <v>0</v>
      </c>
      <c r="K77" s="32">
        <f t="shared" ca="1" si="14"/>
        <v>0</v>
      </c>
    </row>
    <row r="78" spans="1:11" ht="15.75" hidden="1" customHeight="1">
      <c r="A78" s="1" t="s">
        <v>170</v>
      </c>
      <c r="C78" s="141"/>
      <c r="E78" s="9" t="str">
        <f ca="1">_xll.DBRW(Server&amp;"}ElementAttributes_Indicator",A78,"code_English")</f>
        <v>PL1162_ST - COS - Gains/losses on disposal of right-of-use (ST)</v>
      </c>
      <c r="F78" s="32">
        <f ca="1">_xll.DBRW($C$1,$C$2,$C$3,$C$4,$C$6,$C$5,$C$7,F$1,F$2,A78)</f>
        <v>0</v>
      </c>
      <c r="G78" s="32">
        <f ca="1">_xll.DBRW($C$1,$C$2,$C$3,$C$4,$C$6,$C$5,$C$7,G$1,G$2,A78)</f>
        <v>0</v>
      </c>
      <c r="H78" s="32">
        <f ca="1">_xll.DBRW($C$1,$C$2,$C$3,$C$4,$C$6,$C$5,$C$7,H$1,H$2,A78)</f>
        <v>0</v>
      </c>
      <c r="J78" s="32">
        <f t="shared" ca="1" si="13"/>
        <v>0</v>
      </c>
      <c r="K78" s="32">
        <f t="shared" ca="1" si="14"/>
        <v>0</v>
      </c>
    </row>
    <row r="79" spans="1:11" ht="15.75">
      <c r="A79" s="1" t="s">
        <v>127</v>
      </c>
      <c r="C79" s="141"/>
      <c r="E79" s="14" t="s">
        <v>26</v>
      </c>
      <c r="F79" s="32">
        <f ca="1">SUM(F56:F78)</f>
        <v>0</v>
      </c>
      <c r="G79" s="32">
        <f t="shared" ref="G79:H79" ca="1" si="20">SUM(G56:G78)</f>
        <v>-20209290.030000001</v>
      </c>
      <c r="H79" s="32">
        <f t="shared" ca="1" si="20"/>
        <v>0</v>
      </c>
      <c r="J79" s="32">
        <f t="shared" ca="1" si="13"/>
        <v>20209290.030000001</v>
      </c>
      <c r="K79" s="32">
        <f t="shared" ca="1" si="14"/>
        <v>0</v>
      </c>
    </row>
    <row r="80" spans="1:11" ht="15.75" collapsed="1">
      <c r="A80" s="1" t="s">
        <v>127</v>
      </c>
      <c r="C80" s="141"/>
      <c r="E80" s="11" t="s">
        <v>27</v>
      </c>
      <c r="F80" s="34">
        <f t="shared" ref="F80:H80" ca="1" si="21">F79+F55+F53+F51+F49+F47+F44</f>
        <v>0</v>
      </c>
      <c r="G80" s="34">
        <f t="shared" ca="1" si="21"/>
        <v>-23939398.780000001</v>
      </c>
      <c r="H80" s="34">
        <f t="shared" ca="1" si="21"/>
        <v>0</v>
      </c>
      <c r="J80" s="30">
        <f ca="1">F80-G80</f>
        <v>23939398.780000001</v>
      </c>
      <c r="K80" s="30">
        <f ca="1">F80-H80</f>
        <v>0</v>
      </c>
    </row>
    <row r="81" spans="1:11" ht="15.75" hidden="1" customHeight="1">
      <c r="A81" s="1" t="s">
        <v>171</v>
      </c>
      <c r="C81" s="141"/>
      <c r="E81" s="9" t="str">
        <f ca="1">_xll.DBRW(Server&amp;"}ElementAttributes_Indicator",A81,"code_English")</f>
        <v>PL1115_ET_83 - Electricity</v>
      </c>
      <c r="F81" s="31">
        <f ca="1">_xll.DBRW($C$1,$C$2,$C$3,$C$4,$C$6,$C$5,$C$7,F$1,F$2,A81)</f>
        <v>0</v>
      </c>
      <c r="G81" s="31">
        <f ca="1">_xll.DBRW($C$1,$C$2,$C$3,$C$4,$C$6,$C$5,$C$7,G$1,G$2,A81)</f>
        <v>-5142683.83</v>
      </c>
      <c r="H81" s="31">
        <f ca="1">_xll.DBRW($C$1,$C$2,$C$3,$C$4,$C$6,$C$5,$C$7,H$1,H$2,A81)</f>
        <v>0</v>
      </c>
    </row>
    <row r="82" spans="1:11" ht="15.75" hidden="1" customHeight="1">
      <c r="A82" s="1" t="s">
        <v>172</v>
      </c>
      <c r="C82" s="141"/>
      <c r="E82" s="9" t="str">
        <f ca="1">_xll.DBRW(Server&amp;"}ElementAttributes_Indicator",A82,"code_English")</f>
        <v>PL1155_ET_18 - Reinvoicing - Electricity</v>
      </c>
      <c r="F82" s="31">
        <f ca="1">_xll.DBRW($C$1,$C$2,$C$3,$C$4,$C$6,$C$5,$C$7,F$1,F$2,A82)</f>
        <v>0</v>
      </c>
      <c r="G82" s="31">
        <f ca="1">_xll.DBRW($C$1,$C$2,$C$3,$C$4,$C$6,$C$5,$C$7,G$1,G$2,A82)</f>
        <v>0</v>
      </c>
      <c r="H82" s="31">
        <f ca="1">_xll.DBRW($C$1,$C$2,$C$3,$C$4,$C$6,$C$5,$C$7,H$1,H$2,A82)</f>
        <v>0</v>
      </c>
    </row>
    <row r="83" spans="1:11" ht="15.75" collapsed="1">
      <c r="A83" s="1" t="s">
        <v>127</v>
      </c>
      <c r="C83" s="141"/>
      <c r="E83" s="14" t="s">
        <v>28</v>
      </c>
      <c r="F83" s="32">
        <f t="shared" ref="F83:H83" ca="1" si="22">SUM(F81:F82)</f>
        <v>0</v>
      </c>
      <c r="G83" s="32">
        <f t="shared" ca="1" si="22"/>
        <v>-5142683.83</v>
      </c>
      <c r="H83" s="32">
        <f t="shared" ca="1" si="22"/>
        <v>0</v>
      </c>
      <c r="J83" s="32">
        <f t="shared" ref="J83:J97" ca="1" si="23">F83-G83</f>
        <v>5142683.83</v>
      </c>
      <c r="K83" s="32">
        <f t="shared" ref="K83:K97" ca="1" si="24">F83-H83</f>
        <v>0</v>
      </c>
    </row>
    <row r="84" spans="1:11" ht="15.75" hidden="1" customHeight="1">
      <c r="A84" s="1" t="s">
        <v>173</v>
      </c>
      <c r="C84" s="141"/>
      <c r="E84" s="9" t="str">
        <f ca="1">_xll.DBRW(Server&amp;"}ElementAttributes_Indicator",A84,"code_English")</f>
        <v>PL1115_ET_80 - Fuel</v>
      </c>
      <c r="F84" s="32">
        <f ca="1">_xll.DBRW($C$1,$C$2,$C$3,$C$4,$C$6,$C$5,$C$7,F$1,F$2,A84)</f>
        <v>0</v>
      </c>
      <c r="G84" s="32">
        <f ca="1">_xll.DBRW($C$1,$C$2,$C$3,$C$4,$C$6,$C$5,$C$7,G$1,G$2,A84)</f>
        <v>-11728424.27</v>
      </c>
      <c r="H84" s="32">
        <f ca="1">_xll.DBRW($C$1,$C$2,$C$3,$C$4,$C$6,$C$5,$C$7,H$1,H$2,A84)</f>
        <v>0</v>
      </c>
      <c r="J84" s="32">
        <f t="shared" ca="1" si="23"/>
        <v>11728424.27</v>
      </c>
      <c r="K84" s="32">
        <f t="shared" ca="1" si="24"/>
        <v>0</v>
      </c>
    </row>
    <row r="85" spans="1:11" ht="15.75" hidden="1" customHeight="1">
      <c r="A85" s="1" t="s">
        <v>174</v>
      </c>
      <c r="C85" s="141"/>
      <c r="E85" s="9" t="str">
        <f ca="1">_xll.DBRW(Server&amp;"}ElementAttributes_Indicator",A85,"code_English")</f>
        <v>PL1115_ET_801 - Fuel Hedging Result</v>
      </c>
      <c r="F85" s="32">
        <f ca="1">_xll.DBRW($C$1,$C$2,$C$3,$C$4,$C$6,$C$5,$C$7,F$1,F$2,A85)</f>
        <v>0</v>
      </c>
      <c r="G85" s="32">
        <f ca="1">_xll.DBRW($C$1,$C$2,$C$3,$C$4,$C$6,$C$5,$C$7,G$1,G$2,A85)</f>
        <v>0</v>
      </c>
      <c r="H85" s="32">
        <f ca="1">_xll.DBRW($C$1,$C$2,$C$3,$C$4,$C$6,$C$5,$C$7,H$1,H$2,A85)</f>
        <v>0</v>
      </c>
      <c r="J85" s="32">
        <f t="shared" ca="1" si="23"/>
        <v>0</v>
      </c>
      <c r="K85" s="32">
        <f t="shared" ca="1" si="24"/>
        <v>0</v>
      </c>
    </row>
    <row r="86" spans="1:11" ht="15.75" hidden="1" customHeight="1">
      <c r="A86" s="1" t="s">
        <v>175</v>
      </c>
      <c r="C86" s="141"/>
      <c r="E86" s="9" t="str">
        <f ca="1">_xll.DBRW(Server&amp;"}ElementAttributes_Indicator",A86,"code_English")</f>
        <v>PL1115_ET_802 - Fuel Tax reimbursement</v>
      </c>
      <c r="F86" s="32">
        <f ca="1">_xll.DBRW($C$1,$C$2,$C$3,$C$4,$C$6,$C$5,$C$7,F$1,F$2,A86)</f>
        <v>0</v>
      </c>
      <c r="G86" s="32">
        <f ca="1">_xll.DBRW($C$1,$C$2,$C$3,$C$4,$C$6,$C$5,$C$7,G$1,G$2,A86)</f>
        <v>0</v>
      </c>
      <c r="H86" s="32">
        <f ca="1">_xll.DBRW($C$1,$C$2,$C$3,$C$4,$C$6,$C$5,$C$7,H$1,H$2,A86)</f>
        <v>0</v>
      </c>
      <c r="J86" s="32">
        <f t="shared" ca="1" si="23"/>
        <v>0</v>
      </c>
      <c r="K86" s="32">
        <f t="shared" ca="1" si="24"/>
        <v>0</v>
      </c>
    </row>
    <row r="87" spans="1:11" ht="15.75" hidden="1" customHeight="1">
      <c r="A87" s="1" t="s">
        <v>176</v>
      </c>
      <c r="C87" s="141"/>
      <c r="E87" s="9" t="str">
        <f ca="1">_xll.DBRW(Server&amp;"}ElementAttributes_Indicator",A87,"code_English")</f>
        <v>PL1155_ET_15 - Reinvoicing - Fuel</v>
      </c>
      <c r="F87" s="32">
        <f ca="1">_xll.DBRW($C$1,$C$2,$C$3,$C$4,$C$6,$C$5,$C$7,F$1,F$2,A87)</f>
        <v>0</v>
      </c>
      <c r="G87" s="32">
        <f ca="1">_xll.DBRW($C$1,$C$2,$C$3,$C$4,$C$6,$C$5,$C$7,G$1,G$2,A87)</f>
        <v>0</v>
      </c>
      <c r="H87" s="32">
        <f ca="1">_xll.DBRW($C$1,$C$2,$C$3,$C$4,$C$6,$C$5,$C$7,H$1,H$2,A87)</f>
        <v>0</v>
      </c>
      <c r="J87" s="32">
        <f t="shared" ca="1" si="23"/>
        <v>0</v>
      </c>
      <c r="K87" s="32">
        <f t="shared" ca="1" si="24"/>
        <v>0</v>
      </c>
    </row>
    <row r="88" spans="1:11" ht="15.75">
      <c r="C88" s="141"/>
      <c r="E88" s="83" t="s">
        <v>29</v>
      </c>
      <c r="F88" s="33">
        <f t="shared" ref="F88:H88" ca="1" si="25">SUM(F84:F87)</f>
        <v>0</v>
      </c>
      <c r="G88" s="33">
        <f t="shared" ca="1" si="25"/>
        <v>-11728424.27</v>
      </c>
      <c r="H88" s="33">
        <f t="shared" ca="1" si="25"/>
        <v>0</v>
      </c>
      <c r="J88" s="33">
        <f t="shared" ca="1" si="23"/>
        <v>11728424.27</v>
      </c>
      <c r="K88" s="33">
        <f t="shared" ca="1" si="24"/>
        <v>0</v>
      </c>
    </row>
    <row r="89" spans="1:11" ht="15.75" hidden="1" customHeight="1">
      <c r="A89" s="1" t="s">
        <v>177</v>
      </c>
      <c r="C89" s="141"/>
      <c r="E89" s="9" t="str">
        <f ca="1">_xll.DBRW(Server&amp;"}ElementAttributes_Indicator",A89,"code_English")</f>
        <v>PL1115_ET_81 - Bio fuel</v>
      </c>
      <c r="F89" s="32">
        <f ca="1">_xll.DBRW($C$1,$C$2,$C$3,$C$4,$C$6,$C$5,$C$7,F$1,F$2,A89)</f>
        <v>0</v>
      </c>
      <c r="G89" s="32">
        <f ca="1">_xll.DBRW($C$1,$C$2,$C$3,$C$4,$C$6,$C$5,$C$7,G$1,G$2,A89)</f>
        <v>-961104.42</v>
      </c>
      <c r="H89" s="32">
        <f ca="1">_xll.DBRW($C$1,$C$2,$C$3,$C$4,$C$6,$C$5,$C$7,H$1,H$2,A89)</f>
        <v>0</v>
      </c>
      <c r="J89" s="33">
        <f t="shared" ca="1" si="23"/>
        <v>961104.42</v>
      </c>
      <c r="K89" s="33">
        <f t="shared" ca="1" si="24"/>
        <v>0</v>
      </c>
    </row>
    <row r="90" spans="1:11" ht="15.75" hidden="1" customHeight="1">
      <c r="A90" s="1" t="s">
        <v>178</v>
      </c>
      <c r="C90" s="141"/>
      <c r="E90" s="9" t="str">
        <f ca="1">_xll.DBRW(Server&amp;"}ElementAttributes_Indicator",A90,"code_English")</f>
        <v>PL1155_ET_16 - Reinvoicing - Bio fuel</v>
      </c>
      <c r="F90" s="32">
        <f ca="1">_xll.DBRW($C$1,$C$2,$C$3,$C$4,$C$6,$C$5,$C$7,F$1,F$2,A90)</f>
        <v>0</v>
      </c>
      <c r="G90" s="32">
        <f ca="1">_xll.DBRW($C$1,$C$2,$C$3,$C$4,$C$6,$C$5,$C$7,G$1,G$2,A90)</f>
        <v>0</v>
      </c>
      <c r="H90" s="32">
        <f ca="1">_xll.DBRW($C$1,$C$2,$C$3,$C$4,$C$6,$C$5,$C$7,H$1,H$2,A90)</f>
        <v>0</v>
      </c>
      <c r="J90" s="33">
        <f t="shared" ca="1" si="23"/>
        <v>0</v>
      </c>
      <c r="K90" s="33">
        <f t="shared" ca="1" si="24"/>
        <v>0</v>
      </c>
    </row>
    <row r="91" spans="1:11" ht="15.75">
      <c r="A91" s="1" t="s">
        <v>177</v>
      </c>
      <c r="C91" s="141"/>
      <c r="E91" s="83" t="s">
        <v>30</v>
      </c>
      <c r="F91" s="33">
        <f t="shared" ref="F91:H91" ca="1" si="26">SUM(F89:F90)</f>
        <v>0</v>
      </c>
      <c r="G91" s="33">
        <f t="shared" ca="1" si="26"/>
        <v>-961104.42</v>
      </c>
      <c r="H91" s="33">
        <f t="shared" ca="1" si="26"/>
        <v>0</v>
      </c>
      <c r="J91" s="33">
        <f t="shared" ca="1" si="23"/>
        <v>961104.42</v>
      </c>
      <c r="K91" s="33">
        <f t="shared" ca="1" si="24"/>
        <v>0</v>
      </c>
    </row>
    <row r="92" spans="1:11" ht="15.75" hidden="1" customHeight="1">
      <c r="A92" s="1" t="s">
        <v>179</v>
      </c>
      <c r="C92" s="141"/>
      <c r="E92" s="9" t="str">
        <f ca="1">_xll.DBRW(Server&amp;"}ElementAttributes_Indicator",A92,"code_English")</f>
        <v>PL1115_ET_82 - Gas</v>
      </c>
      <c r="F92" s="32">
        <f ca="1">_xll.DBRW($C$1,$C$2,$C$3,$C$4,$C$6,$C$5,$C$7,F$1,F$2,A92)</f>
        <v>0</v>
      </c>
      <c r="G92" s="32">
        <f ca="1">_xll.DBRW($C$1,$C$2,$C$3,$C$4,$C$6,$C$5,$C$7,G$1,G$2,A92)</f>
        <v>-7483759.6300000008</v>
      </c>
      <c r="H92" s="32">
        <f ca="1">_xll.DBRW($C$1,$C$2,$C$3,$C$4,$C$6,$C$5,$C$7,H$1,H$2,A92)</f>
        <v>0</v>
      </c>
      <c r="J92" s="33">
        <f t="shared" ca="1" si="23"/>
        <v>7483759.6300000008</v>
      </c>
      <c r="K92" s="33">
        <f t="shared" ca="1" si="24"/>
        <v>0</v>
      </c>
    </row>
    <row r="93" spans="1:11" ht="15.75" hidden="1" customHeight="1">
      <c r="A93" s="1" t="s">
        <v>180</v>
      </c>
      <c r="C93" s="141"/>
      <c r="E93" s="9" t="str">
        <f ca="1">_xll.DBRW(Server&amp;"}ElementAttributes_Indicator",A93,"code_English")</f>
        <v>PL1155_ET_17 - Reinvoicing - Gas</v>
      </c>
      <c r="F93" s="32">
        <f ca="1">_xll.DBRW($C$1,$C$2,$C$3,$C$4,$C$6,$C$5,$C$7,F$1,F$2,A93)</f>
        <v>0</v>
      </c>
      <c r="G93" s="32">
        <f ca="1">_xll.DBRW($C$1,$C$2,$C$3,$C$4,$C$6,$C$5,$C$7,G$1,G$2,A93)</f>
        <v>0</v>
      </c>
      <c r="H93" s="32">
        <f ca="1">_xll.DBRW($C$1,$C$2,$C$3,$C$4,$C$6,$C$5,$C$7,H$1,H$2,A93)</f>
        <v>0</v>
      </c>
      <c r="J93" s="33">
        <f t="shared" ca="1" si="23"/>
        <v>0</v>
      </c>
      <c r="K93" s="33">
        <f t="shared" ca="1" si="24"/>
        <v>0</v>
      </c>
    </row>
    <row r="94" spans="1:11" ht="15.75">
      <c r="A94" s="1" t="s">
        <v>127</v>
      </c>
      <c r="C94" s="141"/>
      <c r="E94" s="15" t="s">
        <v>31</v>
      </c>
      <c r="F94" s="33">
        <f t="shared" ref="F94:H94" ca="1" si="27">SUM(F92:F93)</f>
        <v>0</v>
      </c>
      <c r="G94" s="33">
        <f t="shared" ca="1" si="27"/>
        <v>-7483759.6300000008</v>
      </c>
      <c r="H94" s="33">
        <f t="shared" ca="1" si="27"/>
        <v>0</v>
      </c>
      <c r="J94" s="33">
        <f t="shared" ca="1" si="23"/>
        <v>7483759.6300000008</v>
      </c>
      <c r="K94" s="33">
        <f t="shared" ca="1" si="24"/>
        <v>0</v>
      </c>
    </row>
    <row r="95" spans="1:11" ht="15.75" hidden="1" customHeight="1">
      <c r="A95" s="1" t="s">
        <v>181</v>
      </c>
      <c r="C95" s="141"/>
      <c r="E95" s="9" t="str">
        <f ca="1">_xll.DBRW(Server&amp;"}ElementAttributes_Indicator",A95,"code_English")</f>
        <v>PL1115_ET_99 - Others (ET)</v>
      </c>
      <c r="F95" s="32">
        <f ca="1">_xll.DBRW($C$1,$C$2,$C$3,$C$4,$C$6,$C$5,$C$7,F$1,F$2,A95)</f>
        <v>0</v>
      </c>
      <c r="G95" s="32">
        <f ca="1">_xll.DBRW($C$1,$C$2,$C$3,$C$4,$C$6,$C$5,$C$7,G$1,G$2,A95)</f>
        <v>-1045003.4799999999</v>
      </c>
      <c r="H95" s="32">
        <f ca="1">_xll.DBRW($C$1,$C$2,$C$3,$C$4,$C$6,$C$5,$C$7,H$1,H$2,A95)</f>
        <v>0</v>
      </c>
      <c r="J95" s="32">
        <f t="shared" ca="1" si="23"/>
        <v>1045003.4799999999</v>
      </c>
      <c r="K95" s="32">
        <f t="shared" ca="1" si="24"/>
        <v>0</v>
      </c>
    </row>
    <row r="96" spans="1:11" ht="15.75" hidden="1" customHeight="1">
      <c r="A96" s="1" t="s">
        <v>182</v>
      </c>
      <c r="C96" s="141"/>
      <c r="E96" s="9" t="str">
        <f ca="1">_xll.DBRW(Server&amp;"}ElementAttributes_Indicator",A96,"code_English")</f>
        <v>PL1155_ET_99 - Reinvoicing - Others (ET)</v>
      </c>
      <c r="F96" s="32">
        <f ca="1">_xll.DBRW($C$1,$C$2,$C$3,$C$4,$C$6,$C$5,$C$7,F$1,F$2,A96)</f>
        <v>0</v>
      </c>
      <c r="G96" s="32">
        <f ca="1">_xll.DBRW($C$1,$C$2,$C$3,$C$4,$C$6,$C$5,$C$7,G$1,G$2,A96)</f>
        <v>0</v>
      </c>
      <c r="H96" s="32">
        <f ca="1">_xll.DBRW($C$1,$C$2,$C$3,$C$4,$C$6,$C$5,$C$7,H$1,H$2,A96)</f>
        <v>0</v>
      </c>
      <c r="J96" s="32">
        <f t="shared" ca="1" si="23"/>
        <v>0</v>
      </c>
      <c r="K96" s="32">
        <f t="shared" ca="1" si="24"/>
        <v>0</v>
      </c>
    </row>
    <row r="97" spans="1:11" ht="15.75">
      <c r="A97" s="1" t="s">
        <v>127</v>
      </c>
      <c r="C97" s="141"/>
      <c r="E97" s="14" t="s">
        <v>32</v>
      </c>
      <c r="F97" s="32">
        <f t="shared" ref="F97:H97" ca="1" si="28">SUM(F95:F96)</f>
        <v>0</v>
      </c>
      <c r="G97" s="32">
        <f t="shared" ca="1" si="28"/>
        <v>-1045003.4799999999</v>
      </c>
      <c r="H97" s="32">
        <f t="shared" ca="1" si="28"/>
        <v>0</v>
      </c>
      <c r="J97" s="32">
        <f t="shared" ca="1" si="23"/>
        <v>1045003.4799999999</v>
      </c>
      <c r="K97" s="32">
        <f t="shared" ca="1" si="24"/>
        <v>0</v>
      </c>
    </row>
    <row r="98" spans="1:11" ht="15.75" collapsed="1">
      <c r="A98" s="1" t="s">
        <v>127</v>
      </c>
      <c r="C98" s="141"/>
      <c r="E98" s="11" t="s">
        <v>33</v>
      </c>
      <c r="F98" s="34">
        <f t="shared" ref="F98:H98" ca="1" si="29">F83+F88+F91+F94+F97</f>
        <v>0</v>
      </c>
      <c r="G98" s="34">
        <f t="shared" ca="1" si="29"/>
        <v>-26360975.630000006</v>
      </c>
      <c r="H98" s="34">
        <f t="shared" ca="1" si="29"/>
        <v>0</v>
      </c>
      <c r="J98" s="30">
        <f ca="1">F98-G98</f>
        <v>26360975.630000006</v>
      </c>
      <c r="K98" s="30">
        <f ca="1">F98-H98</f>
        <v>0</v>
      </c>
    </row>
    <row r="99" spans="1:11" ht="15.75" hidden="1" customHeight="1">
      <c r="A99" s="1" t="s">
        <v>183</v>
      </c>
      <c r="C99" s="141"/>
      <c r="E99" s="9" t="str">
        <f ca="1">_xll.DBRW(Server&amp;"}ElementAttributes_Indicator",A99,"code_English")</f>
        <v>PL1115_FL_55 - Operating lease (FL)</v>
      </c>
      <c r="F99" s="31">
        <f ca="1">_xll.DBRW($C$1,$C$2,$C$3,$C$4,$C$6,$C$5,$C$7,F$1,F$2,A99)</f>
        <v>0</v>
      </c>
      <c r="G99" s="31">
        <f ca="1">_xll.DBRW($C$1,$C$2,$C$3,$C$4,$C$6,$C$5,$C$7,G$1,G$2,A99)</f>
        <v>2873640.01</v>
      </c>
      <c r="H99" s="31">
        <f ca="1">_xll.DBRW($C$1,$C$2,$C$3,$C$4,$C$6,$C$5,$C$7,H$1,H$2,A99)</f>
        <v>0</v>
      </c>
    </row>
    <row r="100" spans="1:11" ht="15.75" hidden="1" customHeight="1">
      <c r="A100" s="1" t="s">
        <v>184</v>
      </c>
      <c r="C100" s="141"/>
      <c r="E100" s="9" t="str">
        <f ca="1">_xll.DBRW(Server&amp;"}ElementAttributes_Indicator",A100,"code_English")</f>
        <v>PL1115_FL_56 - Financial lease (FL)</v>
      </c>
      <c r="F100" s="31">
        <f ca="1">_xll.DBRW($C$1,$C$2,$C$3,$C$4,$C$6,$C$5,$C$7,F$1,F$2,A100)</f>
        <v>0</v>
      </c>
      <c r="G100" s="31">
        <f ca="1">_xll.DBRW($C$1,$C$2,$C$3,$C$4,$C$6,$C$5,$C$7,G$1,G$2,A100)</f>
        <v>0</v>
      </c>
      <c r="H100" s="31">
        <f ca="1">_xll.DBRW($C$1,$C$2,$C$3,$C$4,$C$6,$C$5,$C$7,H$1,H$2,A100)</f>
        <v>0</v>
      </c>
    </row>
    <row r="101" spans="1:11" ht="15.75" hidden="1" customHeight="1">
      <c r="A101" s="1" t="s">
        <v>185</v>
      </c>
      <c r="C101" s="141"/>
      <c r="E101" s="9" t="str">
        <f ca="1">_xll.DBRW(Server&amp;"}ElementAttributes_Indicator",A101,"code_English")</f>
        <v>PL1116_FL - COS - Lease expenses (FL)</v>
      </c>
      <c r="F101" s="31">
        <f ca="1">_xll.DBRW($C$1,$C$2,$C$3,$C$4,$C$6,$C$5,$C$7,F$1,F$2,A101)</f>
        <v>0</v>
      </c>
      <c r="G101" s="31">
        <f ca="1">_xll.DBRW($C$1,$C$2,$C$3,$C$4,$C$6,$C$5,$C$7,G$1,G$2,A101)</f>
        <v>-505695.05999999994</v>
      </c>
      <c r="H101" s="31">
        <f ca="1">_xll.DBRW($C$1,$C$2,$C$3,$C$4,$C$6,$C$5,$C$7,H$1,H$2,A101)</f>
        <v>0</v>
      </c>
    </row>
    <row r="102" spans="1:11" ht="15.75" hidden="1" customHeight="1">
      <c r="A102" s="1" t="s">
        <v>186</v>
      </c>
      <c r="C102" s="141"/>
      <c r="E102" s="9" t="str">
        <f ca="1">_xll.DBRW(Server&amp;"}ElementAttributes_Indicator",A102,"code_English")</f>
        <v>PL1117_FL - COS - Lease expenses (IFRIC12) (FL)</v>
      </c>
      <c r="F102" s="31">
        <f ca="1">_xll.DBRW($C$1,$C$2,$C$3,$C$4,$C$6,$C$5,$C$7,F$1,F$2,A102)</f>
        <v>0</v>
      </c>
      <c r="G102" s="31">
        <f ca="1">_xll.DBRW($C$1,$C$2,$C$3,$C$4,$C$6,$C$5,$C$7,G$1,G$2,A102)</f>
        <v>-2873640.01</v>
      </c>
      <c r="H102" s="31">
        <f ca="1">_xll.DBRW($C$1,$C$2,$C$3,$C$4,$C$6,$C$5,$C$7,H$1,H$2,A102)</f>
        <v>0</v>
      </c>
    </row>
    <row r="103" spans="1:11" ht="15.75" hidden="1" customHeight="1">
      <c r="A103" s="1" t="s">
        <v>187</v>
      </c>
      <c r="C103" s="141"/>
      <c r="E103" s="9" t="str">
        <f ca="1">_xll.DBRW(Server&amp;"}ElementAttributes_Indicator",A103,"code_English")</f>
        <v>PL1118_FL - IFRS16 adjustment through P&amp;L (FL)</v>
      </c>
      <c r="F103" s="31">
        <f ca="1">_xll.DBRW($C$1,$C$2,$C$3,$C$4,$C$6,$C$5,$C$7,F$1,F$2,A103)</f>
        <v>0</v>
      </c>
      <c r="G103" s="31">
        <f ca="1">_xll.DBRW($C$1,$C$2,$C$3,$C$4,$C$6,$C$5,$C$7,G$1,G$2,A103)</f>
        <v>0</v>
      </c>
      <c r="H103" s="31">
        <f ca="1">_xll.DBRW($C$1,$C$2,$C$3,$C$4,$C$6,$C$5,$C$7,H$1,H$2,A103)</f>
        <v>0</v>
      </c>
    </row>
    <row r="104" spans="1:11" ht="15.75" hidden="1" customHeight="1">
      <c r="A104" s="1" t="s">
        <v>188</v>
      </c>
      <c r="C104" s="141"/>
      <c r="E104" s="9" t="str">
        <f ca="1">_xll.DBRW(Server&amp;"}ElementAttributes_Indicator",A104,"code_English")</f>
        <v>PL1140_FL_05 - Amortization (FL)</v>
      </c>
      <c r="F104" s="31">
        <f ca="1">_xll.DBRW($C$1,$C$2,$C$3,$C$4,$C$6,$C$5,$C$7,F$1,F$2,$A104)</f>
        <v>0</v>
      </c>
      <c r="G104" s="31">
        <f ca="1">_xll.DBRW($C$1,$C$2,$C$3,$C$4,$C$6,$C$5,$C$7,G$1,G$2,$A104)</f>
        <v>-12680853.449999999</v>
      </c>
      <c r="H104" s="31">
        <f ca="1">_xll.DBRW($C$1,$C$2,$C$3,$C$4,$C$6,$C$5,$C$7,H$1,H$2,$A104)</f>
        <v>0</v>
      </c>
    </row>
    <row r="105" spans="1:11" ht="15.75" hidden="1" customHeight="1">
      <c r="A105" s="1" t="s">
        <v>189</v>
      </c>
      <c r="C105" s="141"/>
      <c r="E105" s="9" t="str">
        <f ca="1">_xll.DBRW(Server&amp;"}ElementAttributes_Indicator",A105,"code_English")</f>
        <v>PL1150_FL_10 - Impairment (other than working capital) and provisions - others (FL)</v>
      </c>
      <c r="F105" s="31">
        <f ca="1">_xll.DBRW($C$1,$C$2,$C$3,$C$4,$C$6,$C$5,$C$7,F$1,F$2,$A105)</f>
        <v>0</v>
      </c>
      <c r="G105" s="31">
        <f ca="1">_xll.DBRW($C$1,$C$2,$C$3,$C$4,$C$6,$C$5,$C$7,G$1,G$2,$A105)</f>
        <v>0</v>
      </c>
      <c r="H105" s="31">
        <f ca="1">_xll.DBRW($C$1,$C$2,$C$3,$C$4,$C$6,$C$5,$C$7,H$1,H$2,$A105)</f>
        <v>0</v>
      </c>
    </row>
    <row r="106" spans="1:11" ht="15.75" hidden="1" customHeight="1">
      <c r="A106" s="1" t="s">
        <v>190</v>
      </c>
      <c r="C106" s="141"/>
      <c r="E106" s="9" t="str">
        <f ca="1">_xll.DBRW(Server&amp;"}ElementAttributes_Indicator",A106,"code_English")</f>
        <v>PL1151_FL_10 - Impact of change in revaluation rate on provisions for losses on LT contracts - others (FL)</v>
      </c>
      <c r="F106" s="31">
        <f ca="1">_xll.DBRW($C$1,$C$2,$C$3,$C$4,$C$6,$C$5,$C$7,F$1,F$2,$A106)</f>
        <v>0</v>
      </c>
      <c r="G106" s="31">
        <f ca="1">_xll.DBRW($C$1,$C$2,$C$3,$C$4,$C$6,$C$5,$C$7,G$1,G$2,$A106)</f>
        <v>0</v>
      </c>
      <c r="H106" s="31">
        <f ca="1">_xll.DBRW($C$1,$C$2,$C$3,$C$4,$C$6,$C$5,$C$7,H$1,H$2,$A106)</f>
        <v>0</v>
      </c>
    </row>
    <row r="107" spans="1:11" ht="15.75" hidden="1" customHeight="1">
      <c r="A107" s="1" t="s">
        <v>191</v>
      </c>
      <c r="C107" s="141"/>
      <c r="E107" s="9" t="str">
        <f ca="1">_xll.DBRW(Server&amp;"}ElementAttributes_Indicator",A107,"code_English")</f>
        <v>PL1160_FL_10 - Gains/losses on disposal of tangible &amp; intangible fixed assets (FL)</v>
      </c>
      <c r="F107" s="31">
        <f ca="1">_xll.DBRW($C$1,$C$2,$C$3,$C$4,$C$6,$C$5,$C$7,F$1,F$2,$A107)</f>
        <v>0</v>
      </c>
      <c r="G107" s="31">
        <f ca="1">_xll.DBRW($C$1,$C$2,$C$3,$C$4,$C$6,$C$5,$C$7,G$1,G$2,$A107)</f>
        <v>139653.36000000002</v>
      </c>
      <c r="H107" s="31">
        <f ca="1">_xll.DBRW($C$1,$C$2,$C$3,$C$4,$C$6,$C$5,$C$7,H$1,H$2,$A107)</f>
        <v>0</v>
      </c>
    </row>
    <row r="108" spans="1:11" ht="15.75" hidden="1" customHeight="1">
      <c r="A108" s="1" t="s">
        <v>192</v>
      </c>
      <c r="C108" s="141"/>
      <c r="E108" s="9" t="str">
        <f ca="1">_xll.DBRW(Server&amp;"}ElementAttributes_Indicator",A108,"code_English")</f>
        <v>PL1162_FL - COS - Gains/losses on disposal of right-of-use (FL)</v>
      </c>
      <c r="F108" s="31">
        <f ca="1">_xll.DBRW($C$1,$C$2,$C$3,$C$4,$C$6,$C$5,$C$7,F$1,F$2,$A108)</f>
        <v>0</v>
      </c>
      <c r="G108" s="31">
        <f ca="1">_xll.DBRW($C$1,$C$2,$C$3,$C$4,$C$6,$C$5,$C$7,G$1,G$2,$A108)</f>
        <v>0</v>
      </c>
      <c r="H108" s="31">
        <f ca="1">_xll.DBRW($C$1,$C$2,$C$3,$C$4,$C$6,$C$5,$C$7,H$1,H$2,$A108)</f>
        <v>0</v>
      </c>
    </row>
    <row r="109" spans="1:11" ht="15.75" collapsed="1">
      <c r="A109" s="1" t="s">
        <v>127</v>
      </c>
      <c r="C109" s="141"/>
      <c r="E109" s="14" t="s">
        <v>34</v>
      </c>
      <c r="F109" s="32">
        <f t="shared" ref="F109:H109" ca="1" si="30">SUM(F99:F108)</f>
        <v>0</v>
      </c>
      <c r="G109" s="32">
        <f t="shared" ca="1" si="30"/>
        <v>-13046895.15</v>
      </c>
      <c r="H109" s="32">
        <f t="shared" ca="1" si="30"/>
        <v>0</v>
      </c>
      <c r="J109" s="32">
        <f t="shared" ref="J109" ca="1" si="31">F109-G109</f>
        <v>13046895.15</v>
      </c>
      <c r="K109" s="32">
        <f t="shared" ref="K109" ca="1" si="32">F109-H109</f>
        <v>0</v>
      </c>
    </row>
    <row r="110" spans="1:11" ht="15.75" hidden="1" customHeight="1">
      <c r="A110" s="1" t="s">
        <v>193</v>
      </c>
      <c r="C110" s="141"/>
      <c r="E110" s="9" t="str">
        <f ca="1">_xll.DBRW(Server&amp;"}ElementAttributes_Indicator",A110,"code_English")</f>
        <v>PL1115_FL_65 - Fleet vehicle taxes (FL)</v>
      </c>
      <c r="F110" s="32">
        <f ca="1">_xll.DBRW($C$1,$C$2,$C$3,$C$4,$C$6,$C$5,$C$7,F$1,F$2,$A110)</f>
        <v>0</v>
      </c>
      <c r="G110" s="32">
        <f ca="1">_xll.DBRW($C$1,$C$2,$C$3,$C$4,$C$6,$C$5,$C$7,G$1,G$2,$A110)</f>
        <v>299724.88000000012</v>
      </c>
      <c r="H110" s="32">
        <f ca="1">_xll.DBRW($C$1,$C$2,$C$3,$C$4,$C$6,$C$5,$C$7,H$1,H$2,$A110)</f>
        <v>0</v>
      </c>
    </row>
    <row r="111" spans="1:11" ht="15.75" hidden="1" customHeight="1">
      <c r="A111" s="1" t="s">
        <v>194</v>
      </c>
      <c r="C111" s="141"/>
      <c r="E111" s="9" t="str">
        <f ca="1">_xll.DBRW(Server&amp;"}ElementAttributes_Indicator",A111,"code_English")</f>
        <v>PL1115_FL_70 - Others (FL)</v>
      </c>
      <c r="F111" s="32">
        <f ca="1">_xll.DBRW($C$1,$C$2,$C$3,$C$4,$C$6,$C$5,$C$7,F$1,F$2,$A111)</f>
        <v>0</v>
      </c>
      <c r="G111" s="32">
        <f ca="1">_xll.DBRW($C$1,$C$2,$C$3,$C$4,$C$6,$C$5,$C$7,G$1,G$2,$A111)</f>
        <v>-100.67000000000019</v>
      </c>
      <c r="H111" s="32">
        <f ca="1">_xll.DBRW($C$1,$C$2,$C$3,$C$4,$C$6,$C$5,$C$7,H$1,H$2,$A111)</f>
        <v>0</v>
      </c>
    </row>
    <row r="112" spans="1:11" ht="15.75" hidden="1" customHeight="1">
      <c r="A112" s="1" t="s">
        <v>195</v>
      </c>
      <c r="C112" s="141"/>
      <c r="E112" s="9" t="str">
        <f ca="1">_xll.DBRW(Server&amp;"}ElementAttributes_Indicator",A112,"code_English")</f>
        <v>PL1155_FL_99 - Reinvoicing - Others (FL)</v>
      </c>
      <c r="F112" s="32">
        <f ca="1">_xll.DBRW($C$1,$C$2,$C$3,$C$4,$C$6,$C$5,$C$7,F$1,F$2,$A112)</f>
        <v>0</v>
      </c>
      <c r="G112" s="32">
        <f ca="1">_xll.DBRW($C$1,$C$2,$C$3,$C$4,$C$6,$C$5,$C$7,G$1,G$2,$A112)</f>
        <v>0</v>
      </c>
      <c r="H112" s="32">
        <f ca="1">_xll.DBRW($C$1,$C$2,$C$3,$C$4,$C$6,$C$5,$C$7,H$1,H$2,$A112)</f>
        <v>0</v>
      </c>
    </row>
    <row r="113" spans="1:11" ht="15.75">
      <c r="A113" s="1" t="s">
        <v>127</v>
      </c>
      <c r="C113" s="141"/>
      <c r="E113" s="15" t="s">
        <v>32</v>
      </c>
      <c r="F113" s="33">
        <f t="shared" ref="F113:H113" ca="1" si="33">SUM(F110:F112)</f>
        <v>0</v>
      </c>
      <c r="G113" s="33">
        <f t="shared" ca="1" si="33"/>
        <v>299624.21000000014</v>
      </c>
      <c r="H113" s="33">
        <f t="shared" ca="1" si="33"/>
        <v>0</v>
      </c>
      <c r="J113" s="114">
        <f t="shared" ref="J113" ca="1" si="34">F113-G113</f>
        <v>-299624.21000000014</v>
      </c>
      <c r="K113" s="114">
        <f t="shared" ref="K113" ca="1" si="35">F113-H113</f>
        <v>0</v>
      </c>
    </row>
    <row r="114" spans="1:11" ht="15.75" collapsed="1">
      <c r="A114" s="1" t="s">
        <v>127</v>
      </c>
      <c r="C114" s="141"/>
      <c r="E114" s="11" t="s">
        <v>35</v>
      </c>
      <c r="F114" s="34">
        <f t="shared" ref="F114:H114" ca="1" si="36">F113+F109</f>
        <v>0</v>
      </c>
      <c r="G114" s="34">
        <f t="shared" ca="1" si="36"/>
        <v>-12747270.939999999</v>
      </c>
      <c r="H114" s="34">
        <f t="shared" ca="1" si="36"/>
        <v>0</v>
      </c>
      <c r="J114" s="115">
        <f ca="1">F114-G114</f>
        <v>12747270.939999999</v>
      </c>
      <c r="K114" s="115">
        <f ca="1">F114-H114</f>
        <v>0</v>
      </c>
    </row>
    <row r="115" spans="1:11" ht="15.75" hidden="1" customHeight="1">
      <c r="A115" s="1" t="s">
        <v>196</v>
      </c>
      <c r="C115" s="141"/>
      <c r="E115" s="9" t="str">
        <f ca="1">_xll.DBRW(Server&amp;"}ElementAttributes_Indicator",A115,"code_English")</f>
        <v>PL1110_CD_10 - Staff Costs (CD)</v>
      </c>
      <c r="F115" s="31">
        <f ca="1">_xll.DBRW($C$1,$C$2,$C$3,$C$4,$C$6,$C$5,$C$7,F$1,F$2,$A115)</f>
        <v>0</v>
      </c>
      <c r="G115" s="31">
        <f ca="1">_xll.DBRW($C$1,$C$2,$C$3,$C$4,$C$6,$C$5,$C$7,G$1,G$2,$A115)</f>
        <v>0</v>
      </c>
      <c r="H115" s="31">
        <f ca="1">_xll.DBRW($C$1,$C$2,$C$3,$C$4,$C$6,$C$5,$C$7,H$1,H$2,$A115)</f>
        <v>0</v>
      </c>
    </row>
    <row r="116" spans="1:11" ht="15.75" hidden="1" customHeight="1">
      <c r="A116" s="1" t="s">
        <v>197</v>
      </c>
      <c r="C116" s="141"/>
      <c r="E116" s="9" t="str">
        <f ca="1">_xll.DBRW(Server&amp;"}ElementAttributes_Indicator",A116,"code_English")</f>
        <v>PL1110_CD_20 - Worker compensations</v>
      </c>
      <c r="F116" s="31">
        <f ca="1">_xll.DBRW($C$1,$C$2,$C$3,$C$4,$C$6,$C$5,$C$7,F$1,F$2,$A116)</f>
        <v>0</v>
      </c>
      <c r="G116" s="31">
        <f ca="1">_xll.DBRW($C$1,$C$2,$C$3,$C$4,$C$6,$C$5,$C$7,G$1,G$2,$A116)</f>
        <v>0</v>
      </c>
      <c r="H116" s="31">
        <f ca="1">_xll.DBRW($C$1,$C$2,$C$3,$C$4,$C$6,$C$5,$C$7,H$1,H$2,$A116)</f>
        <v>0</v>
      </c>
    </row>
    <row r="117" spans="1:11" ht="15.75" hidden="1" customHeight="1">
      <c r="A117" s="1" t="s">
        <v>198</v>
      </c>
      <c r="C117" s="141"/>
      <c r="E117" s="9" t="str">
        <f ca="1">_xll.DBRW(Server&amp;"}ElementAttributes_Indicator",A117,"code_English")</f>
        <v>PL1110_CD_30 - Worker compensations - fixed insurance</v>
      </c>
      <c r="F117" s="31">
        <f ca="1">_xll.DBRW($C$1,$C$2,$C$3,$C$4,$C$6,$C$5,$C$7,F$1,F$2,$A117)</f>
        <v>0</v>
      </c>
      <c r="G117" s="31">
        <f ca="1">_xll.DBRW($C$1,$C$2,$C$3,$C$4,$C$6,$C$5,$C$7,G$1,G$2,$A117)</f>
        <v>0</v>
      </c>
      <c r="H117" s="31">
        <f ca="1">_xll.DBRW($C$1,$C$2,$C$3,$C$4,$C$6,$C$5,$C$7,H$1,H$2,$A117)</f>
        <v>0</v>
      </c>
    </row>
    <row r="118" spans="1:11" ht="15.75" hidden="1" customHeight="1">
      <c r="A118" s="1" t="s">
        <v>199</v>
      </c>
      <c r="C118" s="141"/>
      <c r="E118" s="9" t="str">
        <f ca="1">_xll.DBRW(Server&amp;"}ElementAttributes_Indicator",A118,"code_English")</f>
        <v>PL1115_CD_20 - Interim staff (CD)</v>
      </c>
      <c r="F118" s="31">
        <f ca="1">_xll.DBRW($C$1,$C$2,$C$3,$C$4,$C$6,$C$5,$C$7,F$1,F$2,$A118)</f>
        <v>0</v>
      </c>
      <c r="G118" s="31">
        <f ca="1">_xll.DBRW($C$1,$C$2,$C$3,$C$4,$C$6,$C$5,$C$7,G$1,G$2,$A118)</f>
        <v>0</v>
      </c>
      <c r="H118" s="31">
        <f ca="1">_xll.DBRW($C$1,$C$2,$C$3,$C$4,$C$6,$C$5,$C$7,H$1,H$2,$A118)</f>
        <v>0</v>
      </c>
    </row>
    <row r="119" spans="1:11" ht="15.75" hidden="1" customHeight="1">
      <c r="A119" s="1" t="s">
        <v>200</v>
      </c>
      <c r="C119" s="141"/>
      <c r="E119" s="9" t="str">
        <f ca="1">_xll.DBRW(Server&amp;"}ElementAttributes_Indicator",A119,"code_English")</f>
        <v>PL1115_CD_40 - Repairs</v>
      </c>
      <c r="F119" s="31">
        <f ca="1">_xll.DBRW($C$1,$C$2,$C$3,$C$4,$C$6,$C$5,$C$7,F$1,F$2,$A119)</f>
        <v>0</v>
      </c>
      <c r="G119" s="31">
        <f ca="1">_xll.DBRW($C$1,$C$2,$C$3,$C$4,$C$6,$C$5,$C$7,G$1,G$2,$A119)</f>
        <v>-1326921.17</v>
      </c>
      <c r="H119" s="31">
        <f ca="1">_xll.DBRW($C$1,$C$2,$C$3,$C$4,$C$6,$C$5,$C$7,H$1,H$2,$A119)</f>
        <v>0</v>
      </c>
    </row>
    <row r="120" spans="1:11" ht="15.75" hidden="1" customHeight="1">
      <c r="A120" s="1" t="s">
        <v>201</v>
      </c>
      <c r="C120" s="141"/>
      <c r="E120" s="9" t="str">
        <f ca="1">_xll.DBRW(Server&amp;"}ElementAttributes_Indicator",A120,"code_English")</f>
        <v>PL1115_CD_45 - Autoliability</v>
      </c>
      <c r="F120" s="31">
        <f ca="1">_xll.DBRW($C$1,$C$2,$C$3,$C$4,$C$6,$C$5,$C$7,F$1,F$2,$A120)</f>
        <v>0</v>
      </c>
      <c r="G120" s="31">
        <f ca="1">_xll.DBRW($C$1,$C$2,$C$3,$C$4,$C$6,$C$5,$C$7,G$1,G$2,$A120)</f>
        <v>0</v>
      </c>
      <c r="H120" s="31">
        <f ca="1">_xll.DBRW($C$1,$C$2,$C$3,$C$4,$C$6,$C$5,$C$7,H$1,H$2,$A120)</f>
        <v>0</v>
      </c>
    </row>
    <row r="121" spans="1:11" ht="15.75" hidden="1" customHeight="1">
      <c r="A121" s="1" t="s">
        <v>202</v>
      </c>
      <c r="C121" s="141"/>
      <c r="E121" s="9" t="str">
        <f ca="1">_xll.DBRW(Server&amp;"}ElementAttributes_Indicator",A121,"code_English")</f>
        <v>PL1115_CD_50 - Insurance premiums paid</v>
      </c>
      <c r="F121" s="31">
        <f ca="1">_xll.DBRW($C$1,$C$2,$C$3,$C$4,$C$6,$C$5,$C$7,F$1,F$2,$A121)</f>
        <v>0</v>
      </c>
      <c r="G121" s="31">
        <f ca="1">_xll.DBRW($C$1,$C$2,$C$3,$C$4,$C$6,$C$5,$C$7,G$1,G$2,$A121)</f>
        <v>-2423498.4500000002</v>
      </c>
      <c r="H121" s="31">
        <f ca="1">_xll.DBRW($C$1,$C$2,$C$3,$C$4,$C$6,$C$5,$C$7,H$1,H$2,$A121)</f>
        <v>0</v>
      </c>
    </row>
    <row r="122" spans="1:11" ht="15.75" hidden="1" customHeight="1">
      <c r="A122" s="1" t="s">
        <v>203</v>
      </c>
      <c r="C122" s="141"/>
      <c r="E122" s="9" t="str">
        <f ca="1">_xll.DBRW(Server&amp;"}ElementAttributes_Indicator",A122,"code_English")</f>
        <v>PL1115_CD_51 - Insurance compensation received</v>
      </c>
      <c r="F122" s="31">
        <f ca="1">_xll.DBRW($C$1,$C$2,$C$3,$C$4,$C$6,$C$5,$C$7,F$1,F$2,$A122)</f>
        <v>0</v>
      </c>
      <c r="G122" s="31">
        <f ca="1">_xll.DBRW($C$1,$C$2,$C$3,$C$4,$C$6,$C$5,$C$7,G$1,G$2,$A122)</f>
        <v>552013.45000000007</v>
      </c>
      <c r="H122" s="31">
        <f ca="1">_xll.DBRW($C$1,$C$2,$C$3,$C$4,$C$6,$C$5,$C$7,H$1,H$2,$A122)</f>
        <v>0</v>
      </c>
    </row>
    <row r="123" spans="1:11" ht="15.75" hidden="1" customHeight="1">
      <c r="A123" s="1" t="s">
        <v>204</v>
      </c>
      <c r="C123" s="141"/>
      <c r="E123" s="9" t="str">
        <f ca="1">_xll.DBRW(Server&amp;"}ElementAttributes_Indicator",A123,"code_English")</f>
        <v>PL1115_CD_99 - Others (CD)</v>
      </c>
      <c r="F123" s="31">
        <f ca="1">_xll.DBRW($C$1,$C$2,$C$3,$C$4,$C$6,$C$5,$C$7,F$1,F$2,$A123)</f>
        <v>0</v>
      </c>
      <c r="G123" s="31">
        <f ca="1">_xll.DBRW($C$1,$C$2,$C$3,$C$4,$C$6,$C$5,$C$7,G$1,G$2,$A123)</f>
        <v>-471657.66999999993</v>
      </c>
      <c r="H123" s="31">
        <f ca="1">_xll.DBRW($C$1,$C$2,$C$3,$C$4,$C$6,$C$5,$C$7,H$1,H$2,$A123)</f>
        <v>0</v>
      </c>
    </row>
    <row r="124" spans="1:11" ht="15.75" hidden="1" customHeight="1">
      <c r="A124" s="1" t="s">
        <v>205</v>
      </c>
      <c r="C124" s="141"/>
      <c r="E124" s="9" t="str">
        <f ca="1">_xll.DBRW(Server&amp;"}ElementAttributes_Indicator",A124,"code_English")</f>
        <v>PL1140_CD_10 - Amortization (CD)</v>
      </c>
      <c r="F124" s="31">
        <f ca="1">_xll.DBRW($C$1,$C$2,$C$3,$C$4,$C$6,$C$5,$C$7,F$1,F$2,$A124)</f>
        <v>0</v>
      </c>
      <c r="G124" s="31">
        <f ca="1">_xll.DBRW($C$1,$C$2,$C$3,$C$4,$C$6,$C$5,$C$7,G$1,G$2,$A124)</f>
        <v>0</v>
      </c>
      <c r="H124" s="31">
        <f ca="1">_xll.DBRW($C$1,$C$2,$C$3,$C$4,$C$6,$C$5,$C$7,H$1,H$2,$A124)</f>
        <v>0</v>
      </c>
    </row>
    <row r="125" spans="1:11" ht="15.75" hidden="1" customHeight="1">
      <c r="A125" s="1" t="s">
        <v>206</v>
      </c>
      <c r="C125" s="141"/>
      <c r="E125" s="9" t="str">
        <f ca="1">_xll.DBRW(Server&amp;"}ElementAttributes_Indicator",A125,"code_English")</f>
        <v>PL1150_CD_15 - Impairment (other than working capital) and provisions - related to worker compensations</v>
      </c>
      <c r="F125" s="31">
        <f ca="1">_xll.DBRW($C$1,$C$2,$C$3,$C$4,$C$6,$C$5,$C$7,F$1,F$2,$A125)</f>
        <v>0</v>
      </c>
      <c r="G125" s="31">
        <f ca="1">_xll.DBRW($C$1,$C$2,$C$3,$C$4,$C$6,$C$5,$C$7,G$1,G$2,$A125)</f>
        <v>0</v>
      </c>
      <c r="H125" s="31">
        <f ca="1">_xll.DBRW($C$1,$C$2,$C$3,$C$4,$C$6,$C$5,$C$7,H$1,H$2,$A125)</f>
        <v>0</v>
      </c>
    </row>
    <row r="126" spans="1:11" ht="15.75" hidden="1" customHeight="1">
      <c r="A126" s="1" t="s">
        <v>207</v>
      </c>
      <c r="C126" s="141"/>
      <c r="E126" s="9" t="str">
        <f ca="1">_xll.DBRW(Server&amp;"}ElementAttributes_Indicator",A126,"code_English")</f>
        <v>PL1150_CD_25 - Impairment (other than working capital) and provisions - related to autoliability</v>
      </c>
      <c r="F126" s="31">
        <f ca="1">_xll.DBRW($C$1,$C$2,$C$3,$C$4,$C$6,$C$5,$C$7,F$1,F$2,$A126)</f>
        <v>0</v>
      </c>
      <c r="G126" s="31">
        <f ca="1">_xll.DBRW($C$1,$C$2,$C$3,$C$4,$C$6,$C$5,$C$7,G$1,G$2,$A126)</f>
        <v>0</v>
      </c>
      <c r="H126" s="31">
        <f ca="1">_xll.DBRW($C$1,$C$2,$C$3,$C$4,$C$6,$C$5,$C$7,H$1,H$2,$A126)</f>
        <v>0</v>
      </c>
    </row>
    <row r="127" spans="1:11" ht="15.75" hidden="1" customHeight="1">
      <c r="A127" s="1" t="s">
        <v>208</v>
      </c>
      <c r="C127" s="141"/>
      <c r="E127" s="9" t="str">
        <f ca="1">_xll.DBRW(Server&amp;"}ElementAttributes_Indicator",A127,"code_English")</f>
        <v>PL1150_CD_90 - Impairment (other than working capital) and provisions - others (CD)</v>
      </c>
      <c r="F127" s="31">
        <f ca="1">_xll.DBRW($C$1,$C$2,$C$3,$C$4,$C$6,$C$5,$C$7,F$1,F$2,$A127)</f>
        <v>0</v>
      </c>
      <c r="G127" s="31">
        <f ca="1">_xll.DBRW($C$1,$C$2,$C$3,$C$4,$C$6,$C$5,$C$7,G$1,G$2,$A127)</f>
        <v>0</v>
      </c>
      <c r="H127" s="31">
        <f ca="1">_xll.DBRW($C$1,$C$2,$C$3,$C$4,$C$6,$C$5,$C$7,H$1,H$2,$A127)</f>
        <v>0</v>
      </c>
    </row>
    <row r="128" spans="1:11" ht="15.75" collapsed="1">
      <c r="A128" s="1" t="s">
        <v>127</v>
      </c>
      <c r="C128" s="141"/>
      <c r="E128" s="14" t="s">
        <v>36</v>
      </c>
      <c r="F128" s="32">
        <f t="shared" ref="F128:H128" ca="1" si="37">SUM(F115:F127)</f>
        <v>0</v>
      </c>
      <c r="G128" s="32">
        <f t="shared" ca="1" si="37"/>
        <v>-3670063.84</v>
      </c>
      <c r="H128" s="32">
        <f t="shared" ca="1" si="37"/>
        <v>0</v>
      </c>
      <c r="J128" s="32">
        <f t="shared" ref="J128" ca="1" si="38">F128-G128</f>
        <v>3670063.84</v>
      </c>
      <c r="K128" s="32">
        <f t="shared" ref="K128" ca="1" si="39">F128-H128</f>
        <v>0</v>
      </c>
    </row>
    <row r="129" spans="1:11" ht="15.75" hidden="1" customHeight="1">
      <c r="A129" s="1" t="s">
        <v>209</v>
      </c>
      <c r="C129" s="141"/>
      <c r="E129" s="9" t="str">
        <f ca="1">_xll.DBRW(Server&amp;"}ElementAttributes_Indicator",A129,"code_English")</f>
        <v>PL1110_CS_10 - Staff costs (CS)</v>
      </c>
      <c r="F129" s="32">
        <f ca="1">_xll.DBRW($C$1,$C$2,$C$3,$C$4,$C$6,$C$5,$C$7,F$1,F$2,$A129)</f>
        <v>0</v>
      </c>
      <c r="G129" s="32">
        <f ca="1">_xll.DBRW($C$1,$C$2,$C$3,$C$4,$C$6,$C$5,$C$7,G$1,G$2,$A129)</f>
        <v>-3943439.34</v>
      </c>
      <c r="H129" s="32">
        <f ca="1">_xll.DBRW($C$1,$C$2,$C$3,$C$4,$C$6,$C$5,$C$7,H$1,H$2,$A129)</f>
        <v>0</v>
      </c>
      <c r="J129" s="32">
        <f t="shared" ref="J129:J192" ca="1" si="40">F129-G129</f>
        <v>3943439.34</v>
      </c>
      <c r="K129" s="32">
        <f t="shared" ref="K129:K192" ca="1" si="41">F129-H129</f>
        <v>0</v>
      </c>
    </row>
    <row r="130" spans="1:11" ht="15.75" hidden="1" customHeight="1">
      <c r="A130" s="1" t="s">
        <v>210</v>
      </c>
      <c r="C130" s="141"/>
      <c r="E130" s="9" t="str">
        <f ca="1">_xll.DBRW(Server&amp;"}ElementAttributes_Indicator",A130,"code_English")</f>
        <v>PL1155_CS_99 - Reinvoicing - Others (CS)</v>
      </c>
      <c r="F130" s="32">
        <f ca="1">_xll.DBRW($C$1,$C$2,$C$3,$C$4,$C$6,$C$5,$C$7,F$1,F$2,$A130)</f>
        <v>0</v>
      </c>
      <c r="G130" s="32">
        <f ca="1">_xll.DBRW($C$1,$C$2,$C$3,$C$4,$C$6,$C$5,$C$7,G$1,G$2,$A130)</f>
        <v>0</v>
      </c>
      <c r="H130" s="32">
        <f ca="1">_xll.DBRW($C$1,$C$2,$C$3,$C$4,$C$6,$C$5,$C$7,H$1,H$2,$A130)</f>
        <v>0</v>
      </c>
      <c r="J130" s="32">
        <f t="shared" ca="1" si="40"/>
        <v>0</v>
      </c>
      <c r="K130" s="32">
        <f t="shared" ca="1" si="41"/>
        <v>0</v>
      </c>
    </row>
    <row r="131" spans="1:11" ht="15.75" hidden="1" customHeight="1">
      <c r="A131" s="1" t="s">
        <v>211</v>
      </c>
      <c r="C131" s="141"/>
      <c r="E131" s="9" t="str">
        <f ca="1">_xll.DBRW(Server&amp;"}ElementAttributes_Indicator",A131,"code_English")</f>
        <v>PL1115_CS_20 - Interim staff (CS)</v>
      </c>
      <c r="F131" s="32">
        <f ca="1">_xll.DBRW($C$1,$C$2,$C$3,$C$4,$C$6,$C$5,$C$7,F$1,F$2,$A131)</f>
        <v>0</v>
      </c>
      <c r="G131" s="32">
        <f ca="1">_xll.DBRW($C$1,$C$2,$C$3,$C$4,$C$6,$C$5,$C$7,G$1,G$2,$A131)</f>
        <v>0</v>
      </c>
      <c r="H131" s="32">
        <f ca="1">_xll.DBRW($C$1,$C$2,$C$3,$C$4,$C$6,$C$5,$C$7,H$1,H$2,$A131)</f>
        <v>0</v>
      </c>
      <c r="J131" s="32">
        <f t="shared" ca="1" si="40"/>
        <v>0</v>
      </c>
      <c r="K131" s="32">
        <f t="shared" ca="1" si="41"/>
        <v>0</v>
      </c>
    </row>
    <row r="132" spans="1:11" ht="15.75" hidden="1" customHeight="1">
      <c r="A132" s="1" t="s">
        <v>212</v>
      </c>
      <c r="C132" s="141"/>
      <c r="E132" s="9" t="str">
        <f ca="1">_xll.DBRW(Server&amp;"}ElementAttributes_Indicator",A132,"code_English")</f>
        <v>PL1115_CS_99 - Others (CS)</v>
      </c>
      <c r="F132" s="32">
        <f ca="1">_xll.DBRW($C$1,$C$2,$C$3,$C$4,$C$6,$C$5,$C$7,F$1,F$2,$A132)</f>
        <v>0</v>
      </c>
      <c r="G132" s="32">
        <f ca="1">_xll.DBRW($C$1,$C$2,$C$3,$C$4,$C$6,$C$5,$C$7,G$1,G$2,$A132)</f>
        <v>-2345662.2199999997</v>
      </c>
      <c r="H132" s="32">
        <f ca="1">_xll.DBRW($C$1,$C$2,$C$3,$C$4,$C$6,$C$5,$C$7,H$1,H$2,$A132)</f>
        <v>0</v>
      </c>
      <c r="J132" s="32">
        <f t="shared" ca="1" si="40"/>
        <v>2345662.2199999997</v>
      </c>
      <c r="K132" s="32">
        <f t="shared" ca="1" si="41"/>
        <v>0</v>
      </c>
    </row>
    <row r="133" spans="1:11" ht="15.75" hidden="1" customHeight="1">
      <c r="A133" s="1" t="s">
        <v>213</v>
      </c>
      <c r="C133" s="141"/>
      <c r="E133" s="9" t="str">
        <f ca="1">_xll.DBRW(Server&amp;"}ElementAttributes_Indicator",A133,"code_English")</f>
        <v>PL1140_CS_05 - Amortization (CS)</v>
      </c>
      <c r="F133" s="32">
        <f ca="1">_xll.DBRW($C$1,$C$2,$C$3,$C$4,$C$6,$C$5,$C$7,F$1,F$2,$A133)</f>
        <v>0</v>
      </c>
      <c r="G133" s="32">
        <f ca="1">_xll.DBRW($C$1,$C$2,$C$3,$C$4,$C$6,$C$5,$C$7,G$1,G$2,$A133)</f>
        <v>0</v>
      </c>
      <c r="H133" s="32">
        <f ca="1">_xll.DBRW($C$1,$C$2,$C$3,$C$4,$C$6,$C$5,$C$7,H$1,H$2,$A133)</f>
        <v>0</v>
      </c>
      <c r="J133" s="32">
        <f t="shared" ca="1" si="40"/>
        <v>0</v>
      </c>
      <c r="K133" s="32">
        <f t="shared" ca="1" si="41"/>
        <v>0</v>
      </c>
    </row>
    <row r="134" spans="1:11" ht="15.75" hidden="1" customHeight="1">
      <c r="A134" s="1" t="s">
        <v>214</v>
      </c>
      <c r="C134" s="141"/>
      <c r="E134" s="9" t="str">
        <f ca="1">_xll.DBRW(Server&amp;"}ElementAttributes_Indicator",A134,"code_English")</f>
        <v>PL1150_CS_10 - Impairment (other than working capital) and provisions - related to staff costs (CS)</v>
      </c>
      <c r="F134" s="32">
        <f ca="1">_xll.DBRW($C$1,$C$2,$C$3,$C$4,$C$6,$C$5,$C$7,F$1,F$2,$A134)</f>
        <v>0</v>
      </c>
      <c r="G134" s="32">
        <f ca="1">_xll.DBRW($C$1,$C$2,$C$3,$C$4,$C$6,$C$5,$C$7,G$1,G$2,$A134)</f>
        <v>0</v>
      </c>
      <c r="H134" s="32">
        <f ca="1">_xll.DBRW($C$1,$C$2,$C$3,$C$4,$C$6,$C$5,$C$7,H$1,H$2,$A134)</f>
        <v>0</v>
      </c>
      <c r="J134" s="32">
        <f t="shared" ca="1" si="40"/>
        <v>0</v>
      </c>
      <c r="K134" s="32">
        <f t="shared" ca="1" si="41"/>
        <v>0</v>
      </c>
    </row>
    <row r="135" spans="1:11" ht="15.75" hidden="1" customHeight="1">
      <c r="A135" s="1" t="s">
        <v>215</v>
      </c>
      <c r="C135" s="141"/>
      <c r="E135" s="9" t="str">
        <f ca="1">_xll.DBRW(Server&amp;"}ElementAttributes_Indicator",A135,"code_English")</f>
        <v>PL1150_CS_11 - Impairment (other than working capital) and provisions - related to staff costs - Reversal (CS)</v>
      </c>
      <c r="F135" s="32">
        <f ca="1">_xll.DBRW($C$1,$C$2,$C$3,$C$4,$C$6,$C$5,$C$7,F$1,F$2,$A135)</f>
        <v>0</v>
      </c>
      <c r="G135" s="32">
        <f ca="1">_xll.DBRW($C$1,$C$2,$C$3,$C$4,$C$6,$C$5,$C$7,G$1,G$2,$A135)</f>
        <v>0</v>
      </c>
      <c r="H135" s="32">
        <f ca="1">_xll.DBRW($C$1,$C$2,$C$3,$C$4,$C$6,$C$5,$C$7,H$1,H$2,$A135)</f>
        <v>0</v>
      </c>
      <c r="J135" s="32">
        <f t="shared" ca="1" si="40"/>
        <v>0</v>
      </c>
      <c r="K135" s="32">
        <f t="shared" ca="1" si="41"/>
        <v>0</v>
      </c>
    </row>
    <row r="136" spans="1:11" ht="15.75" hidden="1" customHeight="1">
      <c r="A136" s="1" t="s">
        <v>216</v>
      </c>
      <c r="C136" s="141"/>
      <c r="E136" s="9" t="str">
        <f ca="1">_xll.DBRW(Server&amp;"}ElementAttributes_Indicator",A136,"code_English")</f>
        <v>PL1150_CS_90 - Impairment (other than working capital) and provisions - others (CS)</v>
      </c>
      <c r="F136" s="32">
        <f ca="1">_xll.DBRW($C$1,$C$2,$C$3,$C$4,$C$6,$C$5,$C$7,F$1,F$2,$A136)</f>
        <v>0</v>
      </c>
      <c r="G136" s="32">
        <f ca="1">_xll.DBRW($C$1,$C$2,$C$3,$C$4,$C$6,$C$5,$C$7,G$1,G$2,$A136)</f>
        <v>0</v>
      </c>
      <c r="H136" s="32">
        <f ca="1">_xll.DBRW($C$1,$C$2,$C$3,$C$4,$C$6,$C$5,$C$7,H$1,H$2,$A136)</f>
        <v>0</v>
      </c>
      <c r="J136" s="32">
        <f t="shared" ca="1" si="40"/>
        <v>0</v>
      </c>
      <c r="K136" s="32">
        <f t="shared" ca="1" si="41"/>
        <v>0</v>
      </c>
    </row>
    <row r="137" spans="1:11" ht="15.75">
      <c r="A137" s="1" t="s">
        <v>217</v>
      </c>
      <c r="C137" s="141"/>
      <c r="E137" s="14" t="s">
        <v>363</v>
      </c>
      <c r="F137" s="33">
        <f t="shared" ref="F137:H137" ca="1" si="42">SUM(F129:F136)</f>
        <v>0</v>
      </c>
      <c r="G137" s="33">
        <f t="shared" ca="1" si="42"/>
        <v>-6289101.5599999996</v>
      </c>
      <c r="H137" s="33">
        <f t="shared" ca="1" si="42"/>
        <v>0</v>
      </c>
      <c r="J137" s="33">
        <f t="shared" ca="1" si="40"/>
        <v>6289101.5599999996</v>
      </c>
      <c r="K137" s="33">
        <f t="shared" ca="1" si="41"/>
        <v>0</v>
      </c>
    </row>
    <row r="138" spans="1:11" ht="15.75" hidden="1" customHeight="1">
      <c r="A138" s="1" t="s">
        <v>218</v>
      </c>
      <c r="C138" s="141"/>
      <c r="E138" s="9" t="str">
        <f ca="1">_xll.DBRW(Server&amp;"}ElementAttributes_Indicator",A138,"code_English")</f>
        <v>PL1110_DS_10 - Staff costs (DS)</v>
      </c>
      <c r="F138" s="32">
        <f ca="1">_xll.DBRW($C$1,$C$2,$C$3,$C$4,$C$6,$C$5,$C$7,F$1,F$2,$A138)</f>
        <v>0</v>
      </c>
      <c r="G138" s="32">
        <f ca="1">_xll.DBRW($C$1,$C$2,$C$3,$C$4,$C$6,$C$5,$C$7,G$1,G$2,$A138)</f>
        <v>-30540464.759999998</v>
      </c>
      <c r="H138" s="32">
        <f ca="1">_xll.DBRW($C$1,$C$2,$C$3,$C$4,$C$6,$C$5,$C$7,H$1,H$2,$A138)</f>
        <v>0</v>
      </c>
      <c r="J138" s="33">
        <f t="shared" ca="1" si="40"/>
        <v>30540464.759999998</v>
      </c>
      <c r="K138" s="33">
        <f t="shared" ca="1" si="41"/>
        <v>0</v>
      </c>
    </row>
    <row r="139" spans="1:11" ht="15.75" hidden="1" customHeight="1">
      <c r="A139" s="1" t="s">
        <v>219</v>
      </c>
      <c r="C139" s="141"/>
      <c r="E139" s="9" t="str">
        <f ca="1">_xll.DBRW(Server&amp;"}ElementAttributes_Indicator",A139,"code_English")</f>
        <v>PL1116_DS - COS - Lease expenses (DS)</v>
      </c>
      <c r="F139" s="32">
        <f ca="1">_xll.DBRW($C$1,$C$2,$C$3,$C$4,$C$6,$C$5,$C$7,F$1,F$2,$A139)</f>
        <v>0</v>
      </c>
      <c r="G139" s="32">
        <f ca="1">_xll.DBRW($C$1,$C$2,$C$3,$C$4,$C$6,$C$5,$C$7,G$1,G$2,$A139)</f>
        <v>0</v>
      </c>
      <c r="H139" s="32">
        <f ca="1">_xll.DBRW($C$1,$C$2,$C$3,$C$4,$C$6,$C$5,$C$7,H$1,H$2,$A139)</f>
        <v>0</v>
      </c>
      <c r="J139" s="33">
        <f t="shared" ca="1" si="40"/>
        <v>0</v>
      </c>
      <c r="K139" s="33">
        <f t="shared" ca="1" si="41"/>
        <v>0</v>
      </c>
    </row>
    <row r="140" spans="1:11" ht="15.75" hidden="1" customHeight="1">
      <c r="A140" s="1" t="s">
        <v>220</v>
      </c>
      <c r="C140" s="141"/>
      <c r="E140" s="9" t="str">
        <f ca="1">_xll.DBRW(Server&amp;"}ElementAttributes_Indicator",A140,"code_English")</f>
        <v>PL1145_DS - Impairment - working capital (DS)</v>
      </c>
      <c r="F140" s="32">
        <f ca="1">_xll.DBRW($C$1,$C$2,$C$3,$C$4,$C$6,$C$5,$C$7,F$1,F$2,$A140)</f>
        <v>0</v>
      </c>
      <c r="G140" s="32">
        <f ca="1">_xll.DBRW($C$1,$C$2,$C$3,$C$4,$C$6,$C$5,$C$7,G$1,G$2,$A140)</f>
        <v>0</v>
      </c>
      <c r="H140" s="32">
        <f ca="1">_xll.DBRW($C$1,$C$2,$C$3,$C$4,$C$6,$C$5,$C$7,H$1,H$2,$A140)</f>
        <v>0</v>
      </c>
      <c r="J140" s="33">
        <f t="shared" ca="1" si="40"/>
        <v>0</v>
      </c>
      <c r="K140" s="33">
        <f t="shared" ca="1" si="41"/>
        <v>0</v>
      </c>
    </row>
    <row r="141" spans="1:11" ht="15.75" hidden="1" customHeight="1">
      <c r="A141" s="1" t="s">
        <v>221</v>
      </c>
      <c r="C141" s="141"/>
      <c r="E141" s="9" t="str">
        <f ca="1">_xll.DBRW(Server&amp;"}ElementAttributes_Indicator",A141,"code_English")</f>
        <v>PL1155_DS_99 - Reinvoicing - Others (DS)</v>
      </c>
      <c r="F141" s="32">
        <f ca="1">_xll.DBRW($C$1,$C$2,$C$3,$C$4,$C$6,$C$5,$C$7,F$1,F$2,$A141)</f>
        <v>0</v>
      </c>
      <c r="G141" s="32">
        <f ca="1">_xll.DBRW($C$1,$C$2,$C$3,$C$4,$C$6,$C$5,$C$7,G$1,G$2,$A141)</f>
        <v>0</v>
      </c>
      <c r="H141" s="32">
        <f ca="1">_xll.DBRW($C$1,$C$2,$C$3,$C$4,$C$6,$C$5,$C$7,H$1,H$2,$A141)</f>
        <v>0</v>
      </c>
      <c r="J141" s="33">
        <f t="shared" ca="1" si="40"/>
        <v>0</v>
      </c>
      <c r="K141" s="33">
        <f t="shared" ca="1" si="41"/>
        <v>0</v>
      </c>
    </row>
    <row r="142" spans="1:11" ht="15.75" hidden="1" customHeight="1">
      <c r="A142" s="1" t="s">
        <v>222</v>
      </c>
      <c r="C142" s="141"/>
      <c r="E142" s="9" t="str">
        <f ca="1">_xll.DBRW(Server&amp;"}ElementAttributes_Indicator",A142,"code_English")</f>
        <v>PL1115_DS_20 - Interim staff (DS)</v>
      </c>
      <c r="F142" s="32">
        <f ca="1">_xll.DBRW($C$1,$C$2,$C$3,$C$4,$C$6,$C$5,$C$7,F$1,F$2,$A142)</f>
        <v>0</v>
      </c>
      <c r="G142" s="32">
        <f ca="1">_xll.DBRW($C$1,$C$2,$C$3,$C$4,$C$6,$C$5,$C$7,G$1,G$2,$A142)</f>
        <v>0</v>
      </c>
      <c r="H142" s="32">
        <f ca="1">_xll.DBRW($C$1,$C$2,$C$3,$C$4,$C$6,$C$5,$C$7,H$1,H$2,$A142)</f>
        <v>0</v>
      </c>
      <c r="J142" s="33">
        <f t="shared" ca="1" si="40"/>
        <v>0</v>
      </c>
      <c r="K142" s="33">
        <f t="shared" ca="1" si="41"/>
        <v>0</v>
      </c>
    </row>
    <row r="143" spans="1:11" ht="15.75" hidden="1" customHeight="1">
      <c r="A143" s="1" t="s">
        <v>223</v>
      </c>
      <c r="C143" s="141"/>
      <c r="E143" s="9" t="str">
        <f ca="1">_xll.DBRW(Server&amp;"}ElementAttributes_Indicator",A143,"code_English")</f>
        <v>PL1115_DS_70 - Travelling (DS)</v>
      </c>
      <c r="F143" s="32">
        <f ca="1">_xll.DBRW($C$1,$C$2,$C$3,$C$4,$C$6,$C$5,$C$7,F$1,F$2,$A143)</f>
        <v>0</v>
      </c>
      <c r="G143" s="32">
        <f ca="1">_xll.DBRW($C$1,$C$2,$C$3,$C$4,$C$6,$C$5,$C$7,G$1,G$2,$A143)</f>
        <v>0</v>
      </c>
      <c r="H143" s="32">
        <f ca="1">_xll.DBRW($C$1,$C$2,$C$3,$C$4,$C$6,$C$5,$C$7,H$1,H$2,$A143)</f>
        <v>0</v>
      </c>
      <c r="J143" s="33">
        <f t="shared" ca="1" si="40"/>
        <v>0</v>
      </c>
      <c r="K143" s="33">
        <f t="shared" ca="1" si="41"/>
        <v>0</v>
      </c>
    </row>
    <row r="144" spans="1:11" ht="15.75" hidden="1" customHeight="1">
      <c r="A144" s="1" t="s">
        <v>224</v>
      </c>
      <c r="C144" s="141"/>
      <c r="E144" s="9" t="str">
        <f ca="1">_xll.DBRW(Server&amp;"}ElementAttributes_Indicator",A144,"code_English")</f>
        <v>PL1115_DS_75 - Consulting (DS)</v>
      </c>
      <c r="F144" s="32">
        <f ca="1">_xll.DBRW($C$1,$C$2,$C$3,$C$4,$C$6,$C$5,$C$7,F$1,F$2,$A144)</f>
        <v>0</v>
      </c>
      <c r="G144" s="32">
        <f ca="1">_xll.DBRW($C$1,$C$2,$C$3,$C$4,$C$6,$C$5,$C$7,G$1,G$2,$A144)</f>
        <v>0</v>
      </c>
      <c r="H144" s="32">
        <f ca="1">_xll.DBRW($C$1,$C$2,$C$3,$C$4,$C$6,$C$5,$C$7,H$1,H$2,$A144)</f>
        <v>0</v>
      </c>
      <c r="J144" s="33">
        <f t="shared" ca="1" si="40"/>
        <v>0</v>
      </c>
      <c r="K144" s="33">
        <f t="shared" ca="1" si="41"/>
        <v>0</v>
      </c>
    </row>
    <row r="145" spans="1:11" ht="15.75" hidden="1" customHeight="1">
      <c r="A145" s="1" t="s">
        <v>225</v>
      </c>
      <c r="C145" s="141"/>
      <c r="E145" s="9" t="str">
        <f ca="1">_xll.DBRW(Server&amp;"}ElementAttributes_Indicator",A145,"code_English")</f>
        <v>PL1115_DS_99 - Others (DS)</v>
      </c>
      <c r="F145" s="32">
        <f ca="1">_xll.DBRW($C$1,$C$2,$C$3,$C$4,$C$6,$C$5,$C$7,F$1,F$2,$A145)</f>
        <v>0</v>
      </c>
      <c r="G145" s="32">
        <f ca="1">_xll.DBRW($C$1,$C$2,$C$3,$C$4,$C$6,$C$5,$C$7,G$1,G$2,$A145)</f>
        <v>-66</v>
      </c>
      <c r="H145" s="32">
        <f ca="1">_xll.DBRW($C$1,$C$2,$C$3,$C$4,$C$6,$C$5,$C$7,H$1,H$2,$A145)</f>
        <v>0</v>
      </c>
      <c r="J145" s="33">
        <f t="shared" ca="1" si="40"/>
        <v>66</v>
      </c>
      <c r="K145" s="33">
        <f t="shared" ca="1" si="41"/>
        <v>0</v>
      </c>
    </row>
    <row r="146" spans="1:11" ht="15.75" hidden="1" customHeight="1">
      <c r="A146" s="1" t="s">
        <v>226</v>
      </c>
      <c r="C146" s="141"/>
      <c r="E146" s="9" t="str">
        <f ca="1">_xll.DBRW(Server&amp;"}ElementAttributes_Indicator",A146,"code_English")</f>
        <v>PL1118_DS - IFRS16 adjustment through P&amp;L (DS)</v>
      </c>
      <c r="F146" s="32">
        <f ca="1">_xll.DBRW($C$1,$C$2,$C$3,$C$4,$C$6,$C$5,$C$7,F$1,F$2,$A146)</f>
        <v>0</v>
      </c>
      <c r="G146" s="32">
        <f ca="1">_xll.DBRW($C$1,$C$2,$C$3,$C$4,$C$6,$C$5,$C$7,G$1,G$2,$A146)</f>
        <v>0</v>
      </c>
      <c r="H146" s="32">
        <f ca="1">_xll.DBRW($C$1,$C$2,$C$3,$C$4,$C$6,$C$5,$C$7,H$1,H$2,$A146)</f>
        <v>0</v>
      </c>
      <c r="J146" s="33">
        <f t="shared" ca="1" si="40"/>
        <v>0</v>
      </c>
      <c r="K146" s="33">
        <f t="shared" ca="1" si="41"/>
        <v>0</v>
      </c>
    </row>
    <row r="147" spans="1:11" ht="15.75" hidden="1" customHeight="1">
      <c r="A147" s="1" t="s">
        <v>227</v>
      </c>
      <c r="C147" s="141"/>
      <c r="E147" s="9" t="str">
        <f ca="1">_xll.DBRW(Server&amp;"}ElementAttributes_Indicator",A147,"code_English")</f>
        <v>PL1140_DS_10 - Amortization (DS)</v>
      </c>
      <c r="F147" s="32">
        <f ca="1">_xll.DBRW($C$1,$C$2,$C$3,$C$4,$C$6,$C$5,$C$7,F$1,F$2,$A147)</f>
        <v>0</v>
      </c>
      <c r="G147" s="32">
        <f ca="1">_xll.DBRW($C$1,$C$2,$C$3,$C$4,$C$6,$C$5,$C$7,G$1,G$2,$A147)</f>
        <v>0</v>
      </c>
      <c r="H147" s="32">
        <f ca="1">_xll.DBRW($C$1,$C$2,$C$3,$C$4,$C$6,$C$5,$C$7,H$1,H$2,$A147)</f>
        <v>0</v>
      </c>
      <c r="J147" s="33">
        <f t="shared" ca="1" si="40"/>
        <v>0</v>
      </c>
      <c r="K147" s="33">
        <f t="shared" ca="1" si="41"/>
        <v>0</v>
      </c>
    </row>
    <row r="148" spans="1:11" ht="15.75" hidden="1" customHeight="1">
      <c r="A148" s="1" t="s">
        <v>228</v>
      </c>
      <c r="C148" s="141"/>
      <c r="E148" s="9" t="str">
        <f ca="1">_xll.DBRW(Server&amp;"}ElementAttributes_Indicator",A148,"code_English")</f>
        <v>PL1150_DS_10 - Impairment (other than working capital) and provisions - related to staff costs (DS)</v>
      </c>
      <c r="F148" s="32">
        <f ca="1">_xll.DBRW($C$1,$C$2,$C$3,$C$4,$C$6,$C$5,$C$7,F$1,F$2,$A148)</f>
        <v>0</v>
      </c>
      <c r="G148" s="32">
        <f ca="1">_xll.DBRW($C$1,$C$2,$C$3,$C$4,$C$6,$C$5,$C$7,G$1,G$2,$A148)</f>
        <v>0</v>
      </c>
      <c r="H148" s="32">
        <f ca="1">_xll.DBRW($C$1,$C$2,$C$3,$C$4,$C$6,$C$5,$C$7,H$1,H$2,$A148)</f>
        <v>0</v>
      </c>
      <c r="J148" s="33">
        <f t="shared" ca="1" si="40"/>
        <v>0</v>
      </c>
      <c r="K148" s="33">
        <f t="shared" ca="1" si="41"/>
        <v>0</v>
      </c>
    </row>
    <row r="149" spans="1:11" ht="15.75" hidden="1" customHeight="1">
      <c r="A149" s="1" t="s">
        <v>229</v>
      </c>
      <c r="C149" s="141"/>
      <c r="E149" s="9" t="str">
        <f ca="1">_xll.DBRW(Server&amp;"}ElementAttributes_Indicator",A149,"code_English")</f>
        <v>PL1150_DS_11 - Impairment (other than working capital) and provisions - related to staff costs - Reversal (DS)</v>
      </c>
      <c r="F149" s="32">
        <f ca="1">_xll.DBRW($C$1,$C$2,$C$3,$C$4,$C$6,$C$5,$C$7,F$1,F$2,$A149)</f>
        <v>0</v>
      </c>
      <c r="G149" s="32">
        <f ca="1">_xll.DBRW($C$1,$C$2,$C$3,$C$4,$C$6,$C$5,$C$7,G$1,G$2,$A149)</f>
        <v>0</v>
      </c>
      <c r="H149" s="32">
        <f ca="1">_xll.DBRW($C$1,$C$2,$C$3,$C$4,$C$6,$C$5,$C$7,H$1,H$2,$A149)</f>
        <v>0</v>
      </c>
      <c r="J149" s="33">
        <f t="shared" ca="1" si="40"/>
        <v>0</v>
      </c>
      <c r="K149" s="33">
        <f t="shared" ca="1" si="41"/>
        <v>0</v>
      </c>
    </row>
    <row r="150" spans="1:11" ht="15.75" hidden="1" customHeight="1">
      <c r="A150" s="1" t="s">
        <v>230</v>
      </c>
      <c r="C150" s="141"/>
      <c r="E150" s="9" t="str">
        <f ca="1">_xll.DBRW(Server&amp;"}ElementAttributes_Indicator",A150,"code_English")</f>
        <v>PL1150_DS_90 - Impairment (other than working capital) and provisions - others (DS)</v>
      </c>
      <c r="F150" s="32">
        <f ca="1">_xll.DBRW($C$1,$C$2,$C$3,$C$4,$C$6,$C$5,$C$7,F$1,F$2,$A150)</f>
        <v>0</v>
      </c>
      <c r="G150" s="32">
        <f ca="1">_xll.DBRW($C$1,$C$2,$C$3,$C$4,$C$6,$C$5,$C$7,G$1,G$2,$A150)</f>
        <v>0</v>
      </c>
      <c r="H150" s="32">
        <f ca="1">_xll.DBRW($C$1,$C$2,$C$3,$C$4,$C$6,$C$5,$C$7,H$1,H$2,$A150)</f>
        <v>0</v>
      </c>
      <c r="J150" s="33">
        <f t="shared" ca="1" si="40"/>
        <v>0</v>
      </c>
      <c r="K150" s="33">
        <f t="shared" ca="1" si="41"/>
        <v>0</v>
      </c>
    </row>
    <row r="151" spans="1:11" ht="15.75">
      <c r="A151" s="1" t="s">
        <v>127</v>
      </c>
      <c r="C151" s="141"/>
      <c r="E151" s="15" t="s">
        <v>37</v>
      </c>
      <c r="F151" s="33">
        <f t="shared" ref="F151:H151" ca="1" si="43">SUM(F138:F150)</f>
        <v>0</v>
      </c>
      <c r="G151" s="33">
        <f t="shared" ca="1" si="43"/>
        <v>-30540530.759999998</v>
      </c>
      <c r="H151" s="33">
        <f t="shared" ca="1" si="43"/>
        <v>0</v>
      </c>
      <c r="J151" s="33">
        <f t="shared" ca="1" si="40"/>
        <v>30540530.759999998</v>
      </c>
      <c r="K151" s="33">
        <f t="shared" ca="1" si="41"/>
        <v>0</v>
      </c>
    </row>
    <row r="152" spans="1:11" ht="15.75" hidden="1" customHeight="1">
      <c r="A152" s="1" t="s">
        <v>231</v>
      </c>
      <c r="C152" s="141"/>
      <c r="E152" s="9" t="str">
        <f ca="1">_xll.DBRW(Server&amp;"}ElementAttributes_Indicator",A152,"code_English")</f>
        <v>PL1116_IN - COS - Lease expenses (IN)</v>
      </c>
      <c r="F152" s="32">
        <f ca="1">_xll.DBRW($C$1,$C$2,$C$3,$C$4,$C$6,$C$5,$C$7,F$1,F$2,$A152)</f>
        <v>0</v>
      </c>
      <c r="G152" s="32">
        <f ca="1">_xll.DBRW($C$1,$C$2,$C$3,$C$4,$C$6,$C$5,$C$7,G$1,G$2,$A152)</f>
        <v>-124320.79000000001</v>
      </c>
      <c r="H152" s="32">
        <f ca="1">_xll.DBRW($C$1,$C$2,$C$3,$C$4,$C$6,$C$5,$C$7,H$1,H$2,$A152)</f>
        <v>0</v>
      </c>
      <c r="J152" s="32">
        <f t="shared" ca="1" si="40"/>
        <v>124320.79000000001</v>
      </c>
      <c r="K152" s="32">
        <f t="shared" ca="1" si="41"/>
        <v>0</v>
      </c>
    </row>
    <row r="153" spans="1:11" ht="15.75" hidden="1" customHeight="1">
      <c r="A153" s="1" t="s">
        <v>232</v>
      </c>
      <c r="C153" s="141"/>
      <c r="E153" s="9" t="str">
        <f ca="1">_xll.DBRW(Server&amp;"}ElementAttributes_Indicator",A153,"code_English")</f>
        <v>PL1155_IN_99 - Reinvoicing - Others (IN)</v>
      </c>
      <c r="F153" s="32">
        <f ca="1">_xll.DBRW($C$1,$C$2,$C$3,$C$4,$C$6,$C$5,$C$7,F$1,F$2,$A153)</f>
        <v>0</v>
      </c>
      <c r="G153" s="32">
        <f ca="1">_xll.DBRW($C$1,$C$2,$C$3,$C$4,$C$6,$C$5,$C$7,G$1,G$2,$A153)</f>
        <v>0</v>
      </c>
      <c r="H153" s="32">
        <f ca="1">_xll.DBRW($C$1,$C$2,$C$3,$C$4,$C$6,$C$5,$C$7,H$1,H$2,$A153)</f>
        <v>0</v>
      </c>
      <c r="J153" s="32">
        <f t="shared" ca="1" si="40"/>
        <v>0</v>
      </c>
      <c r="K153" s="32">
        <f t="shared" ca="1" si="41"/>
        <v>0</v>
      </c>
    </row>
    <row r="154" spans="1:11" ht="15.75" hidden="1" customHeight="1">
      <c r="A154" s="1" t="s">
        <v>233</v>
      </c>
      <c r="C154" s="141"/>
      <c r="E154" s="9" t="str">
        <f ca="1">_xll.DBRW(Server&amp;"}ElementAttributes_Indicator",A154,"code_English")</f>
        <v>PL1115_IN_60 - Access fees</v>
      </c>
      <c r="F154" s="32">
        <f ca="1">_xll.DBRW($C$1,$C$2,$C$3,$C$4,$C$6,$C$5,$C$7,F$1,F$2,$A154)</f>
        <v>0</v>
      </c>
      <c r="G154" s="32">
        <f ca="1">_xll.DBRW($C$1,$C$2,$C$3,$C$4,$C$6,$C$5,$C$7,G$1,G$2,$A154)</f>
        <v>0</v>
      </c>
      <c r="H154" s="32">
        <f ca="1">_xll.DBRW($C$1,$C$2,$C$3,$C$4,$C$6,$C$5,$C$7,H$1,H$2,$A154)</f>
        <v>0</v>
      </c>
      <c r="J154" s="32">
        <f t="shared" ca="1" si="40"/>
        <v>0</v>
      </c>
      <c r="K154" s="32">
        <f t="shared" ca="1" si="41"/>
        <v>0</v>
      </c>
    </row>
    <row r="155" spans="1:11" ht="15.75" hidden="1" customHeight="1">
      <c r="A155" s="1" t="s">
        <v>234</v>
      </c>
      <c r="C155" s="141"/>
      <c r="E155" s="9" t="str">
        <f ca="1">_xll.DBRW(Server&amp;"}ElementAttributes_Indicator",A155,"code_English")</f>
        <v>PL1115_IN_65 - Others (IN)</v>
      </c>
      <c r="F155" s="32">
        <f ca="1">_xll.DBRW($C$1,$C$2,$C$3,$C$4,$C$6,$C$5,$C$7,F$1,F$2,$A155)</f>
        <v>0</v>
      </c>
      <c r="G155" s="32">
        <f ca="1">_xll.DBRW($C$1,$C$2,$C$3,$C$4,$C$6,$C$5,$C$7,G$1,G$2,$A155)</f>
        <v>0</v>
      </c>
      <c r="H155" s="32">
        <f ca="1">_xll.DBRW($C$1,$C$2,$C$3,$C$4,$C$6,$C$5,$C$7,H$1,H$2,$A155)</f>
        <v>0</v>
      </c>
      <c r="J155" s="32">
        <f t="shared" ca="1" si="40"/>
        <v>0</v>
      </c>
      <c r="K155" s="32">
        <f t="shared" ca="1" si="41"/>
        <v>0</v>
      </c>
    </row>
    <row r="156" spans="1:11" ht="15.75" hidden="1" customHeight="1">
      <c r="A156" s="1" t="s">
        <v>235</v>
      </c>
      <c r="C156" s="141"/>
      <c r="E156" s="9" t="str">
        <f ca="1">_xll.DBRW(Server&amp;"}ElementAttributes_Indicator",A156,"code_English")</f>
        <v>PL1115_IN_55 - Operating lease (IN)</v>
      </c>
      <c r="F156" s="32">
        <f ca="1">_xll.DBRW($C$1,$C$2,$C$3,$C$4,$C$6,$C$5,$C$7,F$1,F$2,$A156)</f>
        <v>0</v>
      </c>
      <c r="G156" s="32">
        <f ca="1">_xll.DBRW($C$1,$C$2,$C$3,$C$4,$C$6,$C$5,$C$7,G$1,G$2,$A156)</f>
        <v>0</v>
      </c>
      <c r="H156" s="32">
        <f ca="1">_xll.DBRW($C$1,$C$2,$C$3,$C$4,$C$6,$C$5,$C$7,H$1,H$2,$A156)</f>
        <v>0</v>
      </c>
      <c r="J156" s="32">
        <f t="shared" ca="1" si="40"/>
        <v>0</v>
      </c>
      <c r="K156" s="32">
        <f t="shared" ca="1" si="41"/>
        <v>0</v>
      </c>
    </row>
    <row r="157" spans="1:11" ht="15.75" hidden="1" customHeight="1">
      <c r="A157" s="1" t="s">
        <v>236</v>
      </c>
      <c r="C157" s="141"/>
      <c r="E157" s="9" t="str">
        <f ca="1">_xll.DBRW(Server&amp;"}ElementAttributes_Indicator",A157,"code_English")</f>
        <v>PL1140_IN_05 - Amortization (IN)</v>
      </c>
      <c r="F157" s="32">
        <f ca="1">_xll.DBRW($C$1,$C$2,$C$3,$C$4,$C$6,$C$5,$C$7,F$1,F$2,$A157)</f>
        <v>0</v>
      </c>
      <c r="G157" s="32">
        <f ca="1">_xll.DBRW($C$1,$C$2,$C$3,$C$4,$C$6,$C$5,$C$7,G$1,G$2,$A157)</f>
        <v>-5334802.5299999993</v>
      </c>
      <c r="H157" s="32">
        <f ca="1">_xll.DBRW($C$1,$C$2,$C$3,$C$4,$C$6,$C$5,$C$7,H$1,H$2,$A157)</f>
        <v>0</v>
      </c>
      <c r="J157" s="32">
        <f t="shared" ca="1" si="40"/>
        <v>5334802.5299999993</v>
      </c>
      <c r="K157" s="32">
        <f t="shared" ca="1" si="41"/>
        <v>0</v>
      </c>
    </row>
    <row r="158" spans="1:11" ht="15.75" hidden="1" customHeight="1">
      <c r="A158" s="1" t="s">
        <v>237</v>
      </c>
      <c r="C158" s="141"/>
      <c r="E158" s="9" t="str">
        <f ca="1">_xll.DBRW(Server&amp;"}ElementAttributes_Indicator",A158,"code_English")</f>
        <v>PL1160_IN_15 - Gains/losses on disposal of tangible &amp; intangible fixed assets (IN)</v>
      </c>
      <c r="F158" s="32">
        <f ca="1">_xll.DBRW($C$1,$C$2,$C$3,$C$4,$C$6,$C$5,$C$7,F$1,F$2,$A158)</f>
        <v>0</v>
      </c>
      <c r="G158" s="32">
        <f ca="1">_xll.DBRW($C$1,$C$2,$C$3,$C$4,$C$6,$C$5,$C$7,G$1,G$2,$A158)</f>
        <v>-837.98</v>
      </c>
      <c r="H158" s="32">
        <f ca="1">_xll.DBRW($C$1,$C$2,$C$3,$C$4,$C$6,$C$5,$C$7,H$1,H$2,$A158)</f>
        <v>0</v>
      </c>
      <c r="J158" s="32">
        <f t="shared" ca="1" si="40"/>
        <v>837.98</v>
      </c>
      <c r="K158" s="32">
        <f t="shared" ca="1" si="41"/>
        <v>0</v>
      </c>
    </row>
    <row r="159" spans="1:11" ht="15.75" hidden="1" customHeight="1">
      <c r="A159" s="1" t="s">
        <v>238</v>
      </c>
      <c r="C159" s="141"/>
      <c r="E159" s="9" t="str">
        <f ca="1">_xll.DBRW(Server&amp;"}ElementAttributes_Indicator",A159,"code_English")</f>
        <v>PL1150_IN_90 - Impairment (other than working capital) and provisions - others (IN)</v>
      </c>
      <c r="F159" s="32">
        <f ca="1">_xll.DBRW($C$1,$C$2,$C$3,$C$4,$C$6,$C$5,$C$7,F$1,F$2,$A159)</f>
        <v>0</v>
      </c>
      <c r="G159" s="32">
        <f ca="1">_xll.DBRW($C$1,$C$2,$C$3,$C$4,$C$6,$C$5,$C$7,G$1,G$2,$A159)</f>
        <v>0</v>
      </c>
      <c r="H159" s="32">
        <f ca="1">_xll.DBRW($C$1,$C$2,$C$3,$C$4,$C$6,$C$5,$C$7,H$1,H$2,$A159)</f>
        <v>0</v>
      </c>
      <c r="J159" s="32">
        <f t="shared" ca="1" si="40"/>
        <v>0</v>
      </c>
      <c r="K159" s="32">
        <f t="shared" ca="1" si="41"/>
        <v>0</v>
      </c>
    </row>
    <row r="160" spans="1:11" ht="15.75" hidden="1" customHeight="1">
      <c r="A160" s="1" t="s">
        <v>239</v>
      </c>
      <c r="C160" s="141"/>
      <c r="E160" s="9" t="str">
        <f ca="1">_xll.DBRW(Server&amp;"}ElementAttributes_Indicator",A160,"code_English")</f>
        <v>PL1110_MI_10 - Staff costs (MI)</v>
      </c>
      <c r="F160" s="32">
        <f ca="1">_xll.DBRW($C$1,$C$2,$C$3,$C$4,$C$6,$C$5,$C$7,F$1,F$2,$A160)</f>
        <v>0</v>
      </c>
      <c r="G160" s="32">
        <f ca="1">_xll.DBRW($C$1,$C$2,$C$3,$C$4,$C$6,$C$5,$C$7,G$1,G$2,$A160)</f>
        <v>0</v>
      </c>
      <c r="H160" s="32">
        <f ca="1">_xll.DBRW($C$1,$C$2,$C$3,$C$4,$C$6,$C$5,$C$7,H$1,H$2,$A160)</f>
        <v>0</v>
      </c>
      <c r="J160" s="32">
        <f t="shared" ca="1" si="40"/>
        <v>0</v>
      </c>
      <c r="K160" s="32">
        <f t="shared" ca="1" si="41"/>
        <v>0</v>
      </c>
    </row>
    <row r="161" spans="1:11" ht="15.75" hidden="1" customHeight="1">
      <c r="A161" s="1" t="s">
        <v>240</v>
      </c>
      <c r="C161" s="141"/>
      <c r="E161" s="9" t="str">
        <f ca="1">_xll.DBRW(Server&amp;"}ElementAttributes_Indicator",A161,"code_English")</f>
        <v>PL1116_MI - COS - Lease expenses (MI)</v>
      </c>
      <c r="F161" s="32">
        <f ca="1">_xll.DBRW($C$1,$C$2,$C$3,$C$4,$C$6,$C$5,$C$7,F$1,F$2,$A161)</f>
        <v>0</v>
      </c>
      <c r="G161" s="32">
        <f ca="1">_xll.DBRW($C$1,$C$2,$C$3,$C$4,$C$6,$C$5,$C$7,G$1,G$2,$A161)</f>
        <v>0</v>
      </c>
      <c r="H161" s="32">
        <f ca="1">_xll.DBRW($C$1,$C$2,$C$3,$C$4,$C$6,$C$5,$C$7,H$1,H$2,$A161)</f>
        <v>0</v>
      </c>
      <c r="J161" s="32">
        <f t="shared" ca="1" si="40"/>
        <v>0</v>
      </c>
      <c r="K161" s="32">
        <f t="shared" ca="1" si="41"/>
        <v>0</v>
      </c>
    </row>
    <row r="162" spans="1:11" ht="15.75" hidden="1" customHeight="1">
      <c r="A162" s="1" t="s">
        <v>241</v>
      </c>
      <c r="C162" s="141"/>
      <c r="E162" s="9" t="str">
        <f ca="1">_xll.DBRW(Server&amp;"}ElementAttributes_Indicator",A162,"code_English")</f>
        <v>PL1145_MI - Impairment - working capital (MI)</v>
      </c>
      <c r="F162" s="32">
        <f ca="1">_xll.DBRW($C$1,$C$2,$C$3,$C$4,$C$6,$C$5,$C$7,F$1,F$2,$A162)</f>
        <v>0</v>
      </c>
      <c r="G162" s="32">
        <f ca="1">_xll.DBRW($C$1,$C$2,$C$3,$C$4,$C$6,$C$5,$C$7,G$1,G$2,$A162)</f>
        <v>0</v>
      </c>
      <c r="H162" s="32">
        <f ca="1">_xll.DBRW($C$1,$C$2,$C$3,$C$4,$C$6,$C$5,$C$7,H$1,H$2,$A162)</f>
        <v>0</v>
      </c>
      <c r="J162" s="32">
        <f t="shared" ca="1" si="40"/>
        <v>0</v>
      </c>
      <c r="K162" s="32">
        <f t="shared" ca="1" si="41"/>
        <v>0</v>
      </c>
    </row>
    <row r="163" spans="1:11" ht="15.75" hidden="1" customHeight="1">
      <c r="A163" s="1" t="s">
        <v>242</v>
      </c>
      <c r="C163" s="141"/>
      <c r="E163" s="9" t="str">
        <f ca="1">_xll.DBRW(Server&amp;"}ElementAttributes_Indicator",A163,"code_English")</f>
        <v>PL1155_MI_99 - Reinvoicing - Others (MI)</v>
      </c>
      <c r="F163" s="32">
        <f ca="1">_xll.DBRW($C$1,$C$2,$C$3,$C$4,$C$6,$C$5,$C$7,F$1,F$2,$A163)</f>
        <v>0</v>
      </c>
      <c r="G163" s="32">
        <f ca="1">_xll.DBRW($C$1,$C$2,$C$3,$C$4,$C$6,$C$5,$C$7,G$1,G$2,$A163)</f>
        <v>0</v>
      </c>
      <c r="H163" s="32">
        <f ca="1">_xll.DBRW($C$1,$C$2,$C$3,$C$4,$C$6,$C$5,$C$7,H$1,H$2,$A163)</f>
        <v>0</v>
      </c>
      <c r="J163" s="32">
        <f t="shared" ca="1" si="40"/>
        <v>0</v>
      </c>
      <c r="K163" s="32">
        <f t="shared" ca="1" si="41"/>
        <v>0</v>
      </c>
    </row>
    <row r="164" spans="1:11" ht="15.75" hidden="1" customHeight="1">
      <c r="A164" s="1" t="s">
        <v>243</v>
      </c>
      <c r="C164" s="141"/>
      <c r="E164" s="9" t="str">
        <f ca="1">_xll.DBRW(Server&amp;"}ElementAttributes_Indicator",A164,"code_English")</f>
        <v>PL1115_MI_99 - Others (MI)</v>
      </c>
      <c r="F164" s="32">
        <f ca="1">_xll.DBRW($C$1,$C$2,$C$3,$C$4,$C$6,$C$5,$C$7,F$1,F$2,$A164)</f>
        <v>0</v>
      </c>
      <c r="G164" s="32">
        <f ca="1">_xll.DBRW($C$1,$C$2,$C$3,$C$4,$C$6,$C$5,$C$7,G$1,G$2,$A164)</f>
        <v>-9045066.4000000022</v>
      </c>
      <c r="H164" s="32">
        <f ca="1">_xll.DBRW($C$1,$C$2,$C$3,$C$4,$C$6,$C$5,$C$7,H$1,H$2,$A164)</f>
        <v>0</v>
      </c>
      <c r="J164" s="32">
        <f t="shared" ca="1" si="40"/>
        <v>9045066.4000000022</v>
      </c>
      <c r="K164" s="32">
        <f t="shared" ca="1" si="41"/>
        <v>0</v>
      </c>
    </row>
    <row r="165" spans="1:11" ht="15.75" hidden="1" customHeight="1">
      <c r="A165" s="1" t="s">
        <v>244</v>
      </c>
      <c r="C165" s="141"/>
      <c r="E165" s="9" t="str">
        <f ca="1">_xll.DBRW(Server&amp;"}ElementAttributes_Indicator",A165,"code_English")</f>
        <v>PL1115_MI_12 - Subcontracting cleaning (MI)</v>
      </c>
      <c r="F165" s="32">
        <f ca="1">_xll.DBRW($C$1,$C$2,$C$3,$C$4,$C$6,$C$5,$C$7,F$1,F$2,$A165)</f>
        <v>0</v>
      </c>
      <c r="G165" s="32">
        <f ca="1">_xll.DBRW($C$1,$C$2,$C$3,$C$4,$C$6,$C$5,$C$7,G$1,G$2,$A165)</f>
        <v>0</v>
      </c>
      <c r="H165" s="32">
        <f ca="1">_xll.DBRW($C$1,$C$2,$C$3,$C$4,$C$6,$C$5,$C$7,H$1,H$2,$A165)</f>
        <v>0</v>
      </c>
      <c r="J165" s="32">
        <f t="shared" ca="1" si="40"/>
        <v>0</v>
      </c>
      <c r="K165" s="32">
        <f t="shared" ca="1" si="41"/>
        <v>0</v>
      </c>
    </row>
    <row r="166" spans="1:11" ht="15.75" hidden="1" customHeight="1">
      <c r="A166" s="1" t="s">
        <v>245</v>
      </c>
      <c r="C166" s="141"/>
      <c r="E166" s="9" t="str">
        <f ca="1">_xll.DBRW(Server&amp;"}ElementAttributes_Indicator",A166,"code_English")</f>
        <v>PL1115_MI_11 - Subcontracting maintenance (MI)</v>
      </c>
      <c r="F166" s="32">
        <f ca="1">_xll.DBRW($C$1,$C$2,$C$3,$C$4,$C$6,$C$5,$C$7,F$1,F$2,$A166)</f>
        <v>0</v>
      </c>
      <c r="G166" s="32">
        <f ca="1">_xll.DBRW($C$1,$C$2,$C$3,$C$4,$C$6,$C$5,$C$7,G$1,G$2,$A166)</f>
        <v>0</v>
      </c>
      <c r="H166" s="32">
        <f ca="1">_xll.DBRW($C$1,$C$2,$C$3,$C$4,$C$6,$C$5,$C$7,H$1,H$2,$A166)</f>
        <v>0</v>
      </c>
      <c r="J166" s="32">
        <f t="shared" ca="1" si="40"/>
        <v>0</v>
      </c>
      <c r="K166" s="32">
        <f t="shared" ca="1" si="41"/>
        <v>0</v>
      </c>
    </row>
    <row r="167" spans="1:11" ht="15.75" hidden="1" customHeight="1">
      <c r="A167" s="1" t="s">
        <v>246</v>
      </c>
      <c r="C167" s="141"/>
      <c r="E167" s="9" t="str">
        <f ca="1">_xll.DBRW(Server&amp;"}ElementAttributes_Indicator",A167,"code_English")</f>
        <v>PL1140_MI_10 - Amortization (MI)</v>
      </c>
      <c r="F167" s="32">
        <f ca="1">_xll.DBRW($C$1,$C$2,$C$3,$C$4,$C$6,$C$5,$C$7,F$1,F$2,$A167)</f>
        <v>0</v>
      </c>
      <c r="G167" s="32">
        <f ca="1">_xll.DBRW($C$1,$C$2,$C$3,$C$4,$C$6,$C$5,$C$7,G$1,G$2,$A167)</f>
        <v>0</v>
      </c>
      <c r="H167" s="32">
        <f ca="1">_xll.DBRW($C$1,$C$2,$C$3,$C$4,$C$6,$C$5,$C$7,H$1,H$2,$A167)</f>
        <v>0</v>
      </c>
      <c r="J167" s="32">
        <f t="shared" ca="1" si="40"/>
        <v>0</v>
      </c>
      <c r="K167" s="32">
        <f t="shared" ca="1" si="41"/>
        <v>0</v>
      </c>
    </row>
    <row r="168" spans="1:11" ht="15.75" hidden="1" customHeight="1">
      <c r="A168" s="1" t="s">
        <v>247</v>
      </c>
      <c r="C168" s="141"/>
      <c r="E168" s="9" t="str">
        <f ca="1">_xll.DBRW(Server&amp;"}ElementAttributes_Indicator",A168,"code_English")</f>
        <v>PL1150_MI_10 - Impairment (other than working capital) and provisions - related to staff costs (MI)</v>
      </c>
      <c r="F168" s="32">
        <f ca="1">_xll.DBRW($C$1,$C$2,$C$3,$C$4,$C$6,$C$5,$C$7,F$1,F$2,$A168)</f>
        <v>0</v>
      </c>
      <c r="G168" s="32">
        <f ca="1">_xll.DBRW($C$1,$C$2,$C$3,$C$4,$C$6,$C$5,$C$7,G$1,G$2,$A168)</f>
        <v>0</v>
      </c>
      <c r="H168" s="32">
        <f ca="1">_xll.DBRW($C$1,$C$2,$C$3,$C$4,$C$6,$C$5,$C$7,H$1,H$2,$A168)</f>
        <v>0</v>
      </c>
      <c r="J168" s="32">
        <f t="shared" ca="1" si="40"/>
        <v>0</v>
      </c>
      <c r="K168" s="32">
        <f t="shared" ca="1" si="41"/>
        <v>0</v>
      </c>
    </row>
    <row r="169" spans="1:11" ht="15.6" hidden="1" customHeight="1">
      <c r="A169" s="1" t="s">
        <v>127</v>
      </c>
      <c r="C169" s="141"/>
      <c r="E169" s="15" t="s">
        <v>38</v>
      </c>
      <c r="F169" s="33">
        <f t="shared" ref="F169:H169" ca="1" si="44">SUM(F152:F168)</f>
        <v>0</v>
      </c>
      <c r="G169" s="33">
        <f t="shared" ca="1" si="44"/>
        <v>-14505027.700000003</v>
      </c>
      <c r="H169" s="33">
        <f t="shared" ca="1" si="44"/>
        <v>0</v>
      </c>
      <c r="J169" s="32">
        <f t="shared" ca="1" si="40"/>
        <v>14505027.700000003</v>
      </c>
      <c r="K169" s="32">
        <f t="shared" ca="1" si="41"/>
        <v>0</v>
      </c>
    </row>
    <row r="170" spans="1:11" ht="15.75" hidden="1" customHeight="1">
      <c r="A170" s="1" t="s">
        <v>248</v>
      </c>
      <c r="C170" s="141"/>
      <c r="E170" s="9" t="str">
        <f ca="1">_xll.DBRW(Server&amp;"}ElementAttributes_Indicator",A170,"code_English")</f>
        <v>PL1100_AC - Capitalized production recognized as inventory, change in inventories (AC)</v>
      </c>
      <c r="F170" s="32">
        <f ca="1">_xll.DBRW($C$1,$C$2,$C$3,$C$4,$C$6,$C$5,$C$7,F$1,F$2,$A170)</f>
        <v>0</v>
      </c>
      <c r="G170" s="32">
        <f ca="1">_xll.DBRW($C$1,$C$2,$C$3,$C$4,$C$6,$C$5,$C$7,G$1,G$2,$A170)</f>
        <v>0</v>
      </c>
      <c r="H170" s="32">
        <f ca="1">_xll.DBRW($C$1,$C$2,$C$3,$C$4,$C$6,$C$5,$C$7,H$1,H$2,$A170)</f>
        <v>0</v>
      </c>
      <c r="J170" s="32">
        <f t="shared" ca="1" si="40"/>
        <v>0</v>
      </c>
      <c r="K170" s="32">
        <f t="shared" ca="1" si="41"/>
        <v>0</v>
      </c>
    </row>
    <row r="171" spans="1:11" ht="15.75" hidden="1" customHeight="1">
      <c r="A171" s="1" t="s">
        <v>249</v>
      </c>
      <c r="C171" s="141"/>
      <c r="E171" s="9" t="str">
        <f ca="1">_xll.DBRW(Server&amp;"}ElementAttributes_Indicator",A171,"code_English")</f>
        <v>PL1110_AC_20 - Health insurance costs (COS)</v>
      </c>
      <c r="F171" s="32">
        <f ca="1">_xll.DBRW($C$1,$C$2,$C$3,$C$4,$C$6,$C$5,$C$7,F$1,F$2,$A171)</f>
        <v>0</v>
      </c>
      <c r="G171" s="32">
        <f ca="1">_xll.DBRW($C$1,$C$2,$C$3,$C$4,$C$6,$C$5,$C$7,G$1,G$2,$A171)</f>
        <v>0</v>
      </c>
      <c r="H171" s="32">
        <f ca="1">_xll.DBRW($C$1,$C$2,$C$3,$C$4,$C$6,$C$5,$C$7,H$1,H$2,$A171)</f>
        <v>0</v>
      </c>
      <c r="J171" s="32">
        <f t="shared" ca="1" si="40"/>
        <v>0</v>
      </c>
      <c r="K171" s="32">
        <f t="shared" ca="1" si="41"/>
        <v>0</v>
      </c>
    </row>
    <row r="172" spans="1:11" ht="15.75" hidden="1" customHeight="1">
      <c r="A172" s="1" t="s">
        <v>250</v>
      </c>
      <c r="C172" s="141"/>
      <c r="E172" s="9" t="str">
        <f ca="1">_xll.DBRW(Server&amp;"}ElementAttributes_Indicator",A172,"code_English")</f>
        <v>PL1115_AC_65 - Others (AC)</v>
      </c>
      <c r="F172" s="32">
        <f ca="1">_xll.DBRW($C$1,$C$2,$C$3,$C$4,$C$6,$C$5,$C$7,F$1,F$2,$A172)</f>
        <v>0</v>
      </c>
      <c r="G172" s="32">
        <f ca="1">_xll.DBRW($C$1,$C$2,$C$3,$C$4,$C$6,$C$5,$C$7,G$1,G$2,$A172)</f>
        <v>-595802.03999999992</v>
      </c>
      <c r="H172" s="32">
        <f ca="1">_xll.DBRW($C$1,$C$2,$C$3,$C$4,$C$6,$C$5,$C$7,H$1,H$2,$A172)</f>
        <v>0</v>
      </c>
      <c r="J172" s="32">
        <f t="shared" ca="1" si="40"/>
        <v>595802.03999999992</v>
      </c>
      <c r="K172" s="32">
        <f t="shared" ca="1" si="41"/>
        <v>0</v>
      </c>
    </row>
    <row r="173" spans="1:11" ht="15.75" hidden="1" customHeight="1">
      <c r="A173" s="1" t="s">
        <v>251</v>
      </c>
      <c r="C173" s="141"/>
      <c r="E173" s="9" t="str">
        <f ca="1">_xll.DBRW(Server&amp;"}ElementAttributes_Indicator",A173,"code_English")</f>
        <v>PL1116_AC - COS - Lease expenses (AC)</v>
      </c>
      <c r="F173" s="32">
        <f ca="1">_xll.DBRW($C$1,$C$2,$C$3,$C$4,$C$6,$C$5,$C$7,F$1,F$2,$A173)</f>
        <v>0</v>
      </c>
      <c r="G173" s="32">
        <f ca="1">_xll.DBRW($C$1,$C$2,$C$3,$C$4,$C$6,$C$5,$C$7,G$1,G$2,$A173)</f>
        <v>0</v>
      </c>
      <c r="H173" s="32">
        <f ca="1">_xll.DBRW($C$1,$C$2,$C$3,$C$4,$C$6,$C$5,$C$7,H$1,H$2,$A173)</f>
        <v>0</v>
      </c>
      <c r="J173" s="32">
        <f t="shared" ca="1" si="40"/>
        <v>0</v>
      </c>
      <c r="K173" s="32">
        <f t="shared" ca="1" si="41"/>
        <v>0</v>
      </c>
    </row>
    <row r="174" spans="1:11" ht="15.75" hidden="1" customHeight="1">
      <c r="A174" s="1" t="s">
        <v>252</v>
      </c>
      <c r="C174" s="141"/>
      <c r="E174" s="9" t="str">
        <f ca="1">_xll.DBRW(Server&amp;"}ElementAttributes_Indicator",A174,"code_English")</f>
        <v>PL1126_AC - Replacement and maintenance expenses (AC)</v>
      </c>
      <c r="F174" s="32">
        <f ca="1">_xll.DBRW($C$1,$C$2,$C$3,$C$4,$C$6,$C$5,$C$7,F$1,F$2,$A174)</f>
        <v>0</v>
      </c>
      <c r="G174" s="32">
        <f ca="1">_xll.DBRW($C$1,$C$2,$C$3,$C$4,$C$6,$C$5,$C$7,G$1,G$2,$A174)</f>
        <v>0</v>
      </c>
      <c r="H174" s="32">
        <f ca="1">_xll.DBRW($C$1,$C$2,$C$3,$C$4,$C$6,$C$5,$C$7,H$1,H$2,$A174)</f>
        <v>0</v>
      </c>
      <c r="J174" s="32">
        <f t="shared" ca="1" si="40"/>
        <v>0</v>
      </c>
      <c r="K174" s="32">
        <f t="shared" ca="1" si="41"/>
        <v>0</v>
      </c>
    </row>
    <row r="175" spans="1:11" ht="15.75" hidden="1" customHeight="1">
      <c r="A175" s="1" t="s">
        <v>253</v>
      </c>
      <c r="C175" s="141"/>
      <c r="E175" s="9" t="str">
        <f ca="1">_xll.DBRW(Server&amp;"}ElementAttributes_Indicator",A175,"code_English")</f>
        <v>PL1140_AC_10 - Amortization (AC)</v>
      </c>
      <c r="F175" s="32">
        <f ca="1">_xll.DBRW($C$1,$C$2,$C$3,$C$4,$C$6,$C$5,$C$7,F$1,F$2,$A175)</f>
        <v>0</v>
      </c>
      <c r="G175" s="32">
        <f ca="1">_xll.DBRW($C$1,$C$2,$C$3,$C$4,$C$6,$C$5,$C$7,G$1,G$2,$A175)</f>
        <v>0</v>
      </c>
      <c r="H175" s="32">
        <f ca="1">_xll.DBRW($C$1,$C$2,$C$3,$C$4,$C$6,$C$5,$C$7,H$1,H$2,$A175)</f>
        <v>0</v>
      </c>
      <c r="J175" s="32">
        <f t="shared" ca="1" si="40"/>
        <v>0</v>
      </c>
      <c r="K175" s="32">
        <f t="shared" ca="1" si="41"/>
        <v>0</v>
      </c>
    </row>
    <row r="176" spans="1:11" ht="15.75" hidden="1" customHeight="1">
      <c r="A176" s="1" t="s">
        <v>254</v>
      </c>
      <c r="C176" s="141"/>
      <c r="E176" s="9" t="str">
        <f ca="1">_xll.DBRW(Server&amp;"}ElementAttributes_Indicator",A176,"code_English")</f>
        <v>PL1155_AC_99 - Reinvoicing - Others (AC)</v>
      </c>
      <c r="F176" s="32">
        <f ca="1">_xll.DBRW($C$1,$C$2,$C$3,$C$4,$C$6,$C$5,$C$7,F$1,F$2,$A176)</f>
        <v>0</v>
      </c>
      <c r="G176" s="32">
        <f ca="1">_xll.DBRW($C$1,$C$2,$C$3,$C$4,$C$6,$C$5,$C$7,G$1,G$2,$A176)</f>
        <v>0</v>
      </c>
      <c r="H176" s="32">
        <f ca="1">_xll.DBRW($C$1,$C$2,$C$3,$C$4,$C$6,$C$5,$C$7,H$1,H$2,$A176)</f>
        <v>0</v>
      </c>
      <c r="J176" s="32">
        <f t="shared" ca="1" si="40"/>
        <v>0</v>
      </c>
      <c r="K176" s="32">
        <f t="shared" ca="1" si="41"/>
        <v>0</v>
      </c>
    </row>
    <row r="177" spans="1:11" ht="15.75" hidden="1" customHeight="1">
      <c r="A177" s="1" t="s">
        <v>255</v>
      </c>
      <c r="C177" s="141"/>
      <c r="E177" s="9" t="str">
        <f ca="1">_xll.DBRW(Server&amp;"}ElementAttributes_Indicator",A177,"code_English")</f>
        <v>PL1165_AC - Restructuring costs (AC)</v>
      </c>
      <c r="F177" s="32">
        <f ca="1">_xll.DBRW($C$1,$C$2,$C$3,$C$4,$C$6,$C$5,$C$7,F$1,F$2,$A177)</f>
        <v>0</v>
      </c>
      <c r="G177" s="32">
        <f ca="1">_xll.DBRW($C$1,$C$2,$C$3,$C$4,$C$6,$C$5,$C$7,G$1,G$2,$A177)</f>
        <v>0</v>
      </c>
      <c r="H177" s="32">
        <f ca="1">_xll.DBRW($C$1,$C$2,$C$3,$C$4,$C$6,$C$5,$C$7,H$1,H$2,$A177)</f>
        <v>0</v>
      </c>
      <c r="J177" s="32">
        <f t="shared" ca="1" si="40"/>
        <v>0</v>
      </c>
      <c r="K177" s="32">
        <f t="shared" ca="1" si="41"/>
        <v>0</v>
      </c>
    </row>
    <row r="178" spans="1:11" ht="15.75" hidden="1" customHeight="1">
      <c r="A178" s="1" t="s">
        <v>256</v>
      </c>
      <c r="C178" s="141"/>
      <c r="E178" s="9" t="str">
        <f ca="1">_xll.DBRW(Server&amp;"}ElementAttributes_Indicator",A178,"code_English")</f>
        <v>PL1145_AC - Impairment - working capital (AC)</v>
      </c>
      <c r="F178" s="32">
        <f ca="1">_xll.DBRW($C$1,$C$2,$C$3,$C$4,$C$6,$C$5,$C$7,F$1,F$2,$A178)</f>
        <v>0</v>
      </c>
      <c r="G178" s="32">
        <f ca="1">_xll.DBRW($C$1,$C$2,$C$3,$C$4,$C$6,$C$5,$C$7,G$1,G$2,$A178)</f>
        <v>-32812.5</v>
      </c>
      <c r="H178" s="32">
        <f ca="1">_xll.DBRW($C$1,$C$2,$C$3,$C$4,$C$6,$C$5,$C$7,H$1,H$2,$A178)</f>
        <v>0</v>
      </c>
      <c r="J178" s="32">
        <f t="shared" ca="1" si="40"/>
        <v>32812.5</v>
      </c>
      <c r="K178" s="32">
        <f t="shared" ca="1" si="41"/>
        <v>0</v>
      </c>
    </row>
    <row r="179" spans="1:11" ht="15.75" hidden="1" customHeight="1">
      <c r="A179" s="1" t="s">
        <v>257</v>
      </c>
      <c r="C179" s="141"/>
      <c r="E179" s="9" t="str">
        <f ca="1">_xll.DBRW(Server&amp;"}ElementAttributes_Indicator",A179,"code_English")</f>
        <v>PL1150_AC_30 - Impairment (other than working capital) and provisions - related to onerous contracts</v>
      </c>
      <c r="F179" s="32">
        <f ca="1">_xll.DBRW($C$1,$C$2,$C$3,$C$4,$C$6,$C$5,$C$7,F$1,F$2,$A179)</f>
        <v>0</v>
      </c>
      <c r="G179" s="32">
        <f ca="1">_xll.DBRW($C$1,$C$2,$C$3,$C$4,$C$6,$C$5,$C$7,G$1,G$2,$A179)</f>
        <v>0</v>
      </c>
      <c r="H179" s="32">
        <f ca="1">_xll.DBRW($C$1,$C$2,$C$3,$C$4,$C$6,$C$5,$C$7,H$1,H$2,$A179)</f>
        <v>0</v>
      </c>
      <c r="J179" s="32">
        <f t="shared" ca="1" si="40"/>
        <v>0</v>
      </c>
      <c r="K179" s="32">
        <f t="shared" ca="1" si="41"/>
        <v>0</v>
      </c>
    </row>
    <row r="180" spans="1:11" ht="15.75" hidden="1" customHeight="1">
      <c r="A180" s="1" t="s">
        <v>258</v>
      </c>
      <c r="C180" s="141"/>
      <c r="E180" s="9" t="str">
        <f ca="1">_xll.DBRW(Server&amp;"}ElementAttributes_Indicator",A180,"code_English")</f>
        <v>PL1150_AC_31 - Impairment (other than working capital) and provisions - related to onerous contracts - Reversal</v>
      </c>
      <c r="F180" s="32">
        <f ca="1">_xll.DBRW($C$1,$C$2,$C$3,$C$4,$C$6,$C$5,$C$7,F$1,F$2,$A180)</f>
        <v>0</v>
      </c>
      <c r="G180" s="32">
        <f ca="1">_xll.DBRW($C$1,$C$2,$C$3,$C$4,$C$6,$C$5,$C$7,G$1,G$2,$A180)</f>
        <v>0</v>
      </c>
      <c r="H180" s="32">
        <f ca="1">_xll.DBRW($C$1,$C$2,$C$3,$C$4,$C$6,$C$5,$C$7,H$1,H$2,$A180)</f>
        <v>0</v>
      </c>
      <c r="J180" s="32">
        <f t="shared" ca="1" si="40"/>
        <v>0</v>
      </c>
      <c r="K180" s="32">
        <f t="shared" ca="1" si="41"/>
        <v>0</v>
      </c>
    </row>
    <row r="181" spans="1:11" ht="15.75" hidden="1" customHeight="1">
      <c r="A181" s="1" t="s">
        <v>259</v>
      </c>
      <c r="C181" s="141"/>
      <c r="E181" s="9" t="str">
        <f ca="1">_xll.DBRW(Server&amp;"}ElementAttributes_Indicator",A181,"code_English")</f>
        <v>PL1150_AC_90 - Impairment (other than working capital) and provisions - others (AC)</v>
      </c>
      <c r="F181" s="32">
        <f ca="1">_xll.DBRW($C$1,$C$2,$C$3,$C$4,$C$6,$C$5,$C$7,F$1,F$2,$A181)</f>
        <v>0</v>
      </c>
      <c r="G181" s="32">
        <f ca="1">_xll.DBRW($C$1,$C$2,$C$3,$C$4,$C$6,$C$5,$C$7,G$1,G$2,$A181)</f>
        <v>-789951.48999999987</v>
      </c>
      <c r="H181" s="32">
        <f ca="1">_xll.DBRW($C$1,$C$2,$C$3,$C$4,$C$6,$C$5,$C$7,H$1,H$2,$A181)</f>
        <v>0</v>
      </c>
      <c r="J181" s="32">
        <f t="shared" ca="1" si="40"/>
        <v>789951.48999999987</v>
      </c>
      <c r="K181" s="32">
        <f t="shared" ca="1" si="41"/>
        <v>0</v>
      </c>
    </row>
    <row r="182" spans="1:11" ht="15.75" hidden="1" customHeight="1">
      <c r="A182" s="1" t="s">
        <v>260</v>
      </c>
      <c r="C182" s="141"/>
      <c r="E182" s="9" t="str">
        <f ca="1">_xll.DBRW(Server&amp;"}ElementAttributes_Indicator",A182,"code_English")</f>
        <v>PL1150_AC_91 - Impairment (other than working capital) and provisions - others - Reversal</v>
      </c>
      <c r="F182" s="32">
        <f ca="1">_xll.DBRW($C$1,$C$2,$C$3,$C$4,$C$6,$C$5,$C$7,F$1,F$2,$A182)</f>
        <v>0</v>
      </c>
      <c r="G182" s="32">
        <f ca="1">_xll.DBRW($C$1,$C$2,$C$3,$C$4,$C$6,$C$5,$C$7,G$1,G$2,$A182)</f>
        <v>0</v>
      </c>
      <c r="H182" s="32">
        <f ca="1">_xll.DBRW($C$1,$C$2,$C$3,$C$4,$C$6,$C$5,$C$7,H$1,H$2,$A182)</f>
        <v>0</v>
      </c>
      <c r="J182" s="32">
        <f t="shared" ca="1" si="40"/>
        <v>0</v>
      </c>
      <c r="K182" s="32">
        <f t="shared" ca="1" si="41"/>
        <v>0</v>
      </c>
    </row>
    <row r="183" spans="1:11" ht="15.75" hidden="1" customHeight="1">
      <c r="A183" s="1" t="s">
        <v>261</v>
      </c>
      <c r="C183" s="141"/>
      <c r="E183" s="9" t="str">
        <f ca="1">_xll.DBRW(Server&amp;"}ElementAttributes_Indicator",A183,"code_English")</f>
        <v>PL1170_AC - Net provisions for restructuring costs (AC)</v>
      </c>
      <c r="F183" s="32">
        <f ca="1">_xll.DBRW($C$1,$C$2,$C$3,$C$4,$C$6,$C$5,$C$7,F$1,F$2,$A183)</f>
        <v>0</v>
      </c>
      <c r="G183" s="32">
        <f ca="1">_xll.DBRW($C$1,$C$2,$C$3,$C$4,$C$6,$C$5,$C$7,G$1,G$2,$A183)</f>
        <v>0</v>
      </c>
      <c r="H183" s="32">
        <f ca="1">_xll.DBRW($C$1,$C$2,$C$3,$C$4,$C$6,$C$5,$C$7,H$1,H$2,$A183)</f>
        <v>0</v>
      </c>
      <c r="J183" s="32">
        <f t="shared" ca="1" si="40"/>
        <v>0</v>
      </c>
      <c r="K183" s="32">
        <f t="shared" ca="1" si="41"/>
        <v>0</v>
      </c>
    </row>
    <row r="184" spans="1:11" ht="15.75" hidden="1" customHeight="1">
      <c r="A184" s="1" t="s">
        <v>262</v>
      </c>
      <c r="C184" s="141"/>
      <c r="E184" s="9" t="str">
        <f ca="1">_xll.DBRW(Server&amp;"}ElementAttributes_Indicator",A184,"code_English")</f>
        <v>PL1175_AC - Impairment on goodwill (full and proportionate consol.) (AC)</v>
      </c>
      <c r="F184" s="32">
        <f ca="1">_xll.DBRW($C$1,$C$2,$C$3,$C$4,$C$6,$C$5,$C$7,F$1,F$2,$A184)</f>
        <v>0</v>
      </c>
      <c r="G184" s="32">
        <f ca="1">_xll.DBRW($C$1,$C$2,$C$3,$C$4,$C$6,$C$5,$C$7,G$1,G$2,$A184)</f>
        <v>0</v>
      </c>
      <c r="H184" s="32">
        <f ca="1">_xll.DBRW($C$1,$C$2,$C$3,$C$4,$C$6,$C$5,$C$7,H$1,H$2,$A184)</f>
        <v>0</v>
      </c>
      <c r="J184" s="32">
        <f t="shared" ca="1" si="40"/>
        <v>0</v>
      </c>
      <c r="K184" s="32">
        <f t="shared" ca="1" si="41"/>
        <v>0</v>
      </c>
    </row>
    <row r="185" spans="1:11" ht="15.6" hidden="1" customHeight="1">
      <c r="A185" s="1" t="s">
        <v>127</v>
      </c>
      <c r="C185" s="141"/>
      <c r="E185" s="14" t="s">
        <v>32</v>
      </c>
      <c r="F185" s="32">
        <f t="shared" ref="F185:H185" ca="1" si="45">SUM(F170:F184)</f>
        <v>0</v>
      </c>
      <c r="G185" s="32">
        <f t="shared" ca="1" si="45"/>
        <v>-1418566.0299999998</v>
      </c>
      <c r="H185" s="32">
        <f t="shared" ca="1" si="45"/>
        <v>0</v>
      </c>
      <c r="J185" s="32">
        <f t="shared" ca="1" si="40"/>
        <v>1418566.0299999998</v>
      </c>
      <c r="K185" s="32">
        <f t="shared" ca="1" si="41"/>
        <v>0</v>
      </c>
    </row>
    <row r="186" spans="1:11" ht="15.6" hidden="1" customHeight="1" collapsed="1">
      <c r="A186" s="1" t="s">
        <v>127</v>
      </c>
      <c r="C186" s="141"/>
      <c r="E186" s="11" t="s">
        <v>39</v>
      </c>
      <c r="F186" s="34">
        <f t="shared" ref="F186:H186" ca="1" si="46">F185+F169+F151+F137+F128</f>
        <v>0</v>
      </c>
      <c r="G186" s="34">
        <f t="shared" ca="1" si="46"/>
        <v>-56423289.890000001</v>
      </c>
      <c r="H186" s="34">
        <f t="shared" ca="1" si="46"/>
        <v>0</v>
      </c>
      <c r="J186" s="32">
        <f t="shared" ca="1" si="40"/>
        <v>56423289.890000001</v>
      </c>
      <c r="K186" s="32">
        <f t="shared" ca="1" si="41"/>
        <v>0</v>
      </c>
    </row>
    <row r="187" spans="1:11" ht="15.75" hidden="1" customHeight="1">
      <c r="A187" s="1" t="s">
        <v>263</v>
      </c>
      <c r="C187" s="141"/>
      <c r="E187" s="9" t="str">
        <f ca="1">_xll.DBRW(Server&amp;"}ElementAttributes_Indicator",A187,"code_English")</f>
        <v>PL1100_XX - Vector Reconciliation (TPL11) - Capitalized production recognized as inventory, change in inventories</v>
      </c>
      <c r="F187" s="31">
        <f ca="1">_xll.DBRW($C$1,$C$2,$C$3,$C$4,$C$6,$C$5,$C$7,F$1,F$2,$A187)</f>
        <v>0</v>
      </c>
      <c r="G187" s="31">
        <f ca="1">_xll.DBRW($C$1,$C$2,$C$3,$C$4,$C$6,$C$5,$C$7,G$1,G$2,$A187)</f>
        <v>0</v>
      </c>
      <c r="H187" s="31">
        <f ca="1">_xll.DBRW($C$1,$C$2,$C$3,$C$4,$C$6,$C$5,$C$7,H$1,H$2,$A187)</f>
        <v>0</v>
      </c>
      <c r="J187" s="32">
        <f t="shared" ca="1" si="40"/>
        <v>0</v>
      </c>
      <c r="K187" s="32">
        <f t="shared" ca="1" si="41"/>
        <v>0</v>
      </c>
    </row>
    <row r="188" spans="1:11" ht="15.75" hidden="1" customHeight="1">
      <c r="A188" s="1" t="s">
        <v>264</v>
      </c>
      <c r="C188" s="141"/>
      <c r="E188" s="9" t="str">
        <f ca="1">_xll.DBRW(Server&amp;"}ElementAttributes_Indicator",A188,"code_English")</f>
        <v>PL1105_XX - Vector Reconciliation (TPL11) - Revenue received on behalf of 3rd parties</v>
      </c>
      <c r="F188" s="31">
        <f ca="1">_xll.DBRW($C$1,$C$2,$C$3,$C$4,$C$6,$C$5,$C$7,F$1,F$2,$A188)</f>
        <v>0</v>
      </c>
      <c r="G188" s="31">
        <f ca="1">_xll.DBRW($C$1,$C$2,$C$3,$C$4,$C$6,$C$5,$C$7,G$1,G$2,$A188)</f>
        <v>0</v>
      </c>
      <c r="H188" s="31">
        <f ca="1">_xll.DBRW($C$1,$C$2,$C$3,$C$4,$C$6,$C$5,$C$7,H$1,H$2,$A188)</f>
        <v>0</v>
      </c>
      <c r="J188" s="32">
        <f t="shared" ca="1" si="40"/>
        <v>0</v>
      </c>
      <c r="K188" s="32">
        <f t="shared" ca="1" si="41"/>
        <v>0</v>
      </c>
    </row>
    <row r="189" spans="1:11" ht="15.75" hidden="1" customHeight="1">
      <c r="A189" s="1" t="s">
        <v>265</v>
      </c>
      <c r="C189" s="141"/>
      <c r="E189" s="9" t="str">
        <f ca="1">_xll.DBRW(Server&amp;"}ElementAttributes_Indicator",A189,"code_English")</f>
        <v>PL1110_XX - Vector Reconciliation (TPL11) - Staff costs</v>
      </c>
      <c r="F189" s="31">
        <f ca="1">_xll.DBRW($C$1,$C$2,$C$3,$C$4,$C$6,$C$5,$C$7,F$1,F$2,$A189)</f>
        <v>0</v>
      </c>
      <c r="G189" s="31">
        <f ca="1">_xll.DBRW($C$1,$C$2,$C$3,$C$4,$C$6,$C$5,$C$7,G$1,G$2,$A189)</f>
        <v>0</v>
      </c>
      <c r="H189" s="31">
        <f ca="1">_xll.DBRW($C$1,$C$2,$C$3,$C$4,$C$6,$C$5,$C$7,H$1,H$2,$A189)</f>
        <v>0</v>
      </c>
      <c r="J189" s="32">
        <f t="shared" ca="1" si="40"/>
        <v>0</v>
      </c>
      <c r="K189" s="32">
        <f t="shared" ca="1" si="41"/>
        <v>0</v>
      </c>
    </row>
    <row r="190" spans="1:11" ht="15.75" hidden="1" customHeight="1">
      <c r="A190" s="1" t="s">
        <v>266</v>
      </c>
      <c r="C190" s="141"/>
      <c r="E190" s="9" t="str">
        <f ca="1">_xll.DBRW(Server&amp;"}ElementAttributes_Indicator",A190,"code_English")</f>
        <v>PL1111_XX - Vector Reconciliation (TPL11) - Staff costs - Stock Options</v>
      </c>
      <c r="F190" s="31">
        <f ca="1">_xll.DBRW($C$1,$C$2,$C$3,$C$4,$C$6,$C$5,$C$7,F$1,F$2,$A190)</f>
        <v>0</v>
      </c>
      <c r="G190" s="31">
        <f ca="1">_xll.DBRW($C$1,$C$2,$C$3,$C$4,$C$6,$C$5,$C$7,G$1,G$2,$A190)</f>
        <v>0</v>
      </c>
      <c r="H190" s="31">
        <f ca="1">_xll.DBRW($C$1,$C$2,$C$3,$C$4,$C$6,$C$5,$C$7,H$1,H$2,$A190)</f>
        <v>0</v>
      </c>
      <c r="J190" s="32">
        <f t="shared" ca="1" si="40"/>
        <v>0</v>
      </c>
      <c r="K190" s="32">
        <f t="shared" ca="1" si="41"/>
        <v>0</v>
      </c>
    </row>
    <row r="191" spans="1:11" ht="15.75" hidden="1" customHeight="1">
      <c r="A191" s="1" t="s">
        <v>267</v>
      </c>
      <c r="C191" s="141"/>
      <c r="E191" s="9" t="str">
        <f ca="1">_xll.DBRW(Server&amp;"}ElementAttributes_Indicator",A191,"code_English")</f>
        <v>PL1115_XX - Vector Reconciliation (TPL11) - Other expenses</v>
      </c>
      <c r="F191" s="31">
        <f ca="1">_xll.DBRW($C$1,$C$2,$C$3,$C$4,$C$6,$C$5,$C$7,F$1,F$2,$A191)</f>
        <v>0</v>
      </c>
      <c r="G191" s="31">
        <f ca="1">_xll.DBRW($C$1,$C$2,$C$3,$C$4,$C$6,$C$5,$C$7,G$1,G$2,$A191)</f>
        <v>0</v>
      </c>
      <c r="H191" s="31">
        <f ca="1">_xll.DBRW($C$1,$C$2,$C$3,$C$4,$C$6,$C$5,$C$7,H$1,H$2,$A191)</f>
        <v>0</v>
      </c>
      <c r="J191" s="32">
        <f t="shared" ca="1" si="40"/>
        <v>0</v>
      </c>
      <c r="K191" s="32">
        <f t="shared" ca="1" si="41"/>
        <v>0</v>
      </c>
    </row>
    <row r="192" spans="1:11" ht="15.75" hidden="1" customHeight="1">
      <c r="A192" s="1" t="s">
        <v>268</v>
      </c>
      <c r="C192" s="141"/>
      <c r="E192" s="9" t="str">
        <f ca="1">_xll.DBRW(Server&amp;"}ElementAttributes_Indicator",A192,"code_English")</f>
        <v>PL1115A_XX - Vector Reconciliation (TPL11) - Adjustment to operating profit</v>
      </c>
      <c r="F192" s="31">
        <f ca="1">_xll.DBRW($C$1,$C$2,$C$3,$C$4,$C$6,$C$5,$C$7,F$1,F$2,$A192)</f>
        <v>0</v>
      </c>
      <c r="G192" s="31">
        <f ca="1">_xll.DBRW($C$1,$C$2,$C$3,$C$4,$C$6,$C$5,$C$7,G$1,G$2,$A192)</f>
        <v>0</v>
      </c>
      <c r="H192" s="31">
        <f ca="1">_xll.DBRW($C$1,$C$2,$C$3,$C$4,$C$6,$C$5,$C$7,H$1,H$2,$A192)</f>
        <v>0</v>
      </c>
      <c r="J192" s="32">
        <f t="shared" ca="1" si="40"/>
        <v>0</v>
      </c>
      <c r="K192" s="32">
        <f t="shared" ca="1" si="41"/>
        <v>0</v>
      </c>
    </row>
    <row r="193" spans="1:17" ht="15.75" hidden="1" customHeight="1">
      <c r="A193" s="1" t="s">
        <v>269</v>
      </c>
      <c r="C193" s="141"/>
      <c r="E193" s="9" t="str">
        <f ca="1">_xll.DBRW(Server&amp;"}ElementAttributes_Indicator",A193,"code_English")</f>
        <v>PL1115S_XX - Vector Reconciliation (TPL11) - COS - Subcontracting transportation costs</v>
      </c>
      <c r="F193" s="75"/>
      <c r="G193" s="75"/>
      <c r="H193" s="75"/>
      <c r="I193" s="76"/>
      <c r="J193" s="32">
        <f t="shared" ref="J193:J218" si="47">F193-G193</f>
        <v>0</v>
      </c>
      <c r="K193" s="32">
        <f t="shared" ref="K193:K218" si="48">F193-H193</f>
        <v>0</v>
      </c>
      <c r="L193" s="76"/>
      <c r="M193" s="76"/>
      <c r="N193" s="76"/>
      <c r="O193" s="76"/>
      <c r="P193" s="76"/>
      <c r="Q193" s="76"/>
    </row>
    <row r="194" spans="1:17" ht="15.75" hidden="1" customHeight="1">
      <c r="A194" s="1" t="s">
        <v>270</v>
      </c>
      <c r="C194" s="141"/>
      <c r="E194" s="9" t="str">
        <f ca="1">_xll.DBRW(Server&amp;"}ElementAttributes_Indicator",A194,"code_English")</f>
        <v>PL1116_XX - Vector Reconciliation (TPL11) - COS - Lease expenses</v>
      </c>
      <c r="F194" s="31">
        <f ca="1">_xll.DBRW($C$1,$C$2,$C$3,$C$4,$C$6,$C$5,$C$7,F$1,F$2,$A194)</f>
        <v>0</v>
      </c>
      <c r="G194" s="31">
        <f ca="1">_xll.DBRW($C$1,$C$2,$C$3,$C$4,$C$6,$C$5,$C$7,G$1,G$2,$A194)</f>
        <v>0</v>
      </c>
      <c r="H194" s="31">
        <f ca="1">_xll.DBRW($C$1,$C$2,$C$3,$C$4,$C$6,$C$5,$C$7,H$1,H$2,$A194)</f>
        <v>0</v>
      </c>
      <c r="J194" s="32">
        <f t="shared" ca="1" si="47"/>
        <v>0</v>
      </c>
      <c r="K194" s="32">
        <f t="shared" ca="1" si="48"/>
        <v>0</v>
      </c>
    </row>
    <row r="195" spans="1:17" ht="15.75" hidden="1" customHeight="1">
      <c r="A195" s="1" t="s">
        <v>271</v>
      </c>
      <c r="C195" s="141"/>
      <c r="E195" s="9" t="str">
        <f ca="1">_xll.DBRW(Server&amp;"}ElementAttributes_Indicator",A195,"code_English")</f>
        <v>PL1117_XX - Réconciliation Vector (TPL11) - COS - Lease expenses (IFRIC12)</v>
      </c>
      <c r="F195" s="31">
        <f ca="1">_xll.DBRW($C$1,$C$2,$C$3,$C$4,$C$6,$C$5,$C$7,F$1,F$2,$A195)</f>
        <v>0</v>
      </c>
      <c r="G195" s="31">
        <f ca="1">_xll.DBRW($C$1,$C$2,$C$3,$C$4,$C$6,$C$5,$C$7,G$1,G$2,$A195)</f>
        <v>0</v>
      </c>
      <c r="H195" s="31">
        <f ca="1">_xll.DBRW($C$1,$C$2,$C$3,$C$4,$C$6,$C$5,$C$7,H$1,H$2,$A195)</f>
        <v>0</v>
      </c>
      <c r="J195" s="32">
        <f t="shared" ca="1" si="47"/>
        <v>0</v>
      </c>
      <c r="K195" s="32">
        <f t="shared" ca="1" si="48"/>
        <v>0</v>
      </c>
    </row>
    <row r="196" spans="1:17" ht="15.75" hidden="1" customHeight="1">
      <c r="A196" s="1" t="s">
        <v>272</v>
      </c>
      <c r="C196" s="141"/>
      <c r="E196" s="9" t="str">
        <f ca="1">_xll.DBRW(Server&amp;"}ElementAttributes_Indicator",A196,"code_English")</f>
        <v>PL1118_XX - Réconciliation Vector (TPL11) - IFRS16 adjustment through P&amp;L</v>
      </c>
      <c r="F196" s="31">
        <f ca="1">_xll.DBRW($C$1,$C$2,$C$3,$C$4,$C$6,$C$5,$C$7,F$1,F$2,$A196)</f>
        <v>0</v>
      </c>
      <c r="G196" s="31">
        <f ca="1">_xll.DBRW($C$1,$C$2,$C$3,$C$4,$C$6,$C$5,$C$7,G$1,G$2,$A196)</f>
        <v>0</v>
      </c>
      <c r="H196" s="31">
        <f ca="1">_xll.DBRW($C$1,$C$2,$C$3,$C$4,$C$6,$C$5,$C$7,H$1,H$2,$A196)</f>
        <v>0</v>
      </c>
      <c r="J196" s="32">
        <f t="shared" ca="1" si="47"/>
        <v>0</v>
      </c>
      <c r="K196" s="32">
        <f t="shared" ca="1" si="48"/>
        <v>0</v>
      </c>
    </row>
    <row r="197" spans="1:17" ht="15.75" hidden="1" customHeight="1">
      <c r="A197" s="1" t="s">
        <v>273</v>
      </c>
      <c r="C197" s="141"/>
      <c r="E197" s="9" t="str">
        <f ca="1">_xll.DBRW(Server&amp;"}ElementAttributes_Indicator",A197,"code_English")</f>
        <v>PL1120_XX - Vector Reconciliation (TPL11) - Group internal insurance compensation received</v>
      </c>
      <c r="F197" s="31">
        <f ca="1">_xll.DBRW($C$1,$C$2,$C$3,$C$4,$C$6,$C$5,$C$7,F$1,F$2,$A197)</f>
        <v>0</v>
      </c>
      <c r="G197" s="31">
        <f ca="1">_xll.DBRW($C$1,$C$2,$C$3,$C$4,$C$6,$C$5,$C$7,G$1,G$2,$A197)</f>
        <v>0</v>
      </c>
      <c r="H197" s="31">
        <f ca="1">_xll.DBRW($C$1,$C$2,$C$3,$C$4,$C$6,$C$5,$C$7,H$1,H$2,$A197)</f>
        <v>0</v>
      </c>
      <c r="J197" s="32">
        <f t="shared" ca="1" si="47"/>
        <v>0</v>
      </c>
      <c r="K197" s="32">
        <f t="shared" ca="1" si="48"/>
        <v>0</v>
      </c>
    </row>
    <row r="198" spans="1:17" ht="15.75" hidden="1" customHeight="1">
      <c r="A198" s="1" t="s">
        <v>274</v>
      </c>
      <c r="C198" s="141"/>
      <c r="E198" s="9" t="str">
        <f ca="1">_xll.DBRW(Server&amp;"}ElementAttributes_Indicator",A198,"code_English")</f>
        <v>PL1125_XX - Vector Reconciliation (TPL11) - Group internal insurance compensation paid</v>
      </c>
      <c r="F198" s="31">
        <f ca="1">_xll.DBRW($C$1,$C$2,$C$3,$C$4,$C$6,$C$5,$C$7,F$1,F$2,$A198)</f>
        <v>0</v>
      </c>
      <c r="G198" s="31">
        <f ca="1">_xll.DBRW($C$1,$C$2,$C$3,$C$4,$C$6,$C$5,$C$7,G$1,G$2,$A198)</f>
        <v>0</v>
      </c>
      <c r="H198" s="31">
        <f ca="1">_xll.DBRW($C$1,$C$2,$C$3,$C$4,$C$6,$C$5,$C$7,H$1,H$2,$A198)</f>
        <v>0</v>
      </c>
      <c r="J198" s="32">
        <f t="shared" ca="1" si="47"/>
        <v>0</v>
      </c>
      <c r="K198" s="32">
        <f t="shared" ca="1" si="48"/>
        <v>0</v>
      </c>
    </row>
    <row r="199" spans="1:17" ht="15.75" hidden="1" customHeight="1">
      <c r="A199" s="1" t="s">
        <v>275</v>
      </c>
      <c r="C199" s="141"/>
      <c r="E199" s="9" t="str">
        <f ca="1">_xll.DBRW(Server&amp;"}ElementAttributes_Indicator",A199,"code_English")</f>
        <v>PL1126_XX - Vector Reconciliation (TPL11) - Replacement and maintenance expenses</v>
      </c>
      <c r="F199" s="31">
        <f ca="1">_xll.DBRW($C$1,$C$2,$C$3,$C$4,$C$6,$C$5,$C$7,F$1,F$2,$A199)</f>
        <v>0</v>
      </c>
      <c r="G199" s="31">
        <f ca="1">_xll.DBRW($C$1,$C$2,$C$3,$C$4,$C$6,$C$5,$C$7,G$1,G$2,$A199)</f>
        <v>0</v>
      </c>
      <c r="H199" s="31">
        <f ca="1">_xll.DBRW($C$1,$C$2,$C$3,$C$4,$C$6,$C$5,$C$7,H$1,H$2,$A199)</f>
        <v>0</v>
      </c>
      <c r="J199" s="32">
        <f t="shared" ca="1" si="47"/>
        <v>0</v>
      </c>
      <c r="K199" s="32">
        <f t="shared" ca="1" si="48"/>
        <v>0</v>
      </c>
    </row>
    <row r="200" spans="1:17" ht="15.75" hidden="1" customHeight="1">
      <c r="A200" s="1" t="s">
        <v>276</v>
      </c>
      <c r="C200" s="141"/>
      <c r="E200" s="9" t="str">
        <f ca="1">_xll.DBRW(Server&amp;"}ElementAttributes_Indicator",A200,"code_English")</f>
        <v>PL1130_XX - Vector Reconciliation (TPL11) - Provision for concession activities</v>
      </c>
      <c r="F200" s="31">
        <f ca="1">_xll.DBRW($C$1,$C$2,$C$3,$C$4,$C$6,$C$5,$C$7,F$1,F$2,$A200)</f>
        <v>0</v>
      </c>
      <c r="G200" s="31">
        <f ca="1">_xll.DBRW($C$1,$C$2,$C$3,$C$4,$C$6,$C$5,$C$7,G$1,G$2,$A200)</f>
        <v>0</v>
      </c>
      <c r="H200" s="31">
        <f ca="1">_xll.DBRW($C$1,$C$2,$C$3,$C$4,$C$6,$C$5,$C$7,H$1,H$2,$A200)</f>
        <v>0</v>
      </c>
      <c r="J200" s="32">
        <f t="shared" ca="1" si="47"/>
        <v>0</v>
      </c>
      <c r="K200" s="32">
        <f t="shared" ca="1" si="48"/>
        <v>0</v>
      </c>
    </row>
    <row r="201" spans="1:17" ht="15.75" hidden="1" customHeight="1">
      <c r="A201" s="1" t="s">
        <v>277</v>
      </c>
      <c r="C201" s="141"/>
      <c r="E201" s="9" t="str">
        <f ca="1">_xll.DBRW(Server&amp;"}ElementAttributes_Indicator",A201,"code_English")</f>
        <v>PL1135_XX - Vector Reconciliation (TPL11) - Reversal of provision for concession activities</v>
      </c>
      <c r="F201" s="31">
        <f ca="1">_xll.DBRW($C$1,$C$2,$C$3,$C$4,$C$6,$C$5,$C$7,F$1,F$2,$A201)</f>
        <v>0</v>
      </c>
      <c r="G201" s="31">
        <f ca="1">_xll.DBRW($C$1,$C$2,$C$3,$C$4,$C$6,$C$5,$C$7,G$1,G$2,$A201)</f>
        <v>0</v>
      </c>
      <c r="H201" s="31">
        <f ca="1">_xll.DBRW($C$1,$C$2,$C$3,$C$4,$C$6,$C$5,$C$7,H$1,H$2,$A201)</f>
        <v>0</v>
      </c>
      <c r="J201" s="32">
        <f t="shared" ca="1" si="47"/>
        <v>0</v>
      </c>
      <c r="K201" s="32">
        <f t="shared" ca="1" si="48"/>
        <v>0</v>
      </c>
    </row>
    <row r="202" spans="1:17" ht="15.75" hidden="1" customHeight="1">
      <c r="A202" s="1" t="s">
        <v>278</v>
      </c>
      <c r="C202" s="141"/>
      <c r="E202" s="9" t="str">
        <f ca="1">_xll.DBRW(Server&amp;"}ElementAttributes_Indicator",A202,"code_English")</f>
        <v>PL1140_XX - Vector Reconciliation (TPL11) - Amortization</v>
      </c>
      <c r="F202" s="31">
        <f ca="1">_xll.DBRW($C$1,$C$2,$C$3,$C$4,$C$6,$C$5,$C$7,F$1,F$2,$A202)</f>
        <v>0</v>
      </c>
      <c r="G202" s="31">
        <f ca="1">_xll.DBRW($C$1,$C$2,$C$3,$C$4,$C$6,$C$5,$C$7,G$1,G$2,$A202)</f>
        <v>0</v>
      </c>
      <c r="H202" s="31">
        <f ca="1">_xll.DBRW($C$1,$C$2,$C$3,$C$4,$C$6,$C$5,$C$7,H$1,H$2,$A202)</f>
        <v>0</v>
      </c>
      <c r="J202" s="32">
        <f t="shared" ca="1" si="47"/>
        <v>0</v>
      </c>
      <c r="K202" s="32">
        <f t="shared" ca="1" si="48"/>
        <v>0</v>
      </c>
    </row>
    <row r="203" spans="1:17" ht="15.75" hidden="1" customHeight="1">
      <c r="A203" s="1" t="s">
        <v>279</v>
      </c>
      <c r="C203" s="141"/>
      <c r="E203" s="9" t="str">
        <f ca="1">_xll.DBRW(Server&amp;"}ElementAttributes_Indicator",A203,"code_English")</f>
        <v>PL1145_XX - Vector Reconciliation (TPL11) - Impairment - working capital</v>
      </c>
      <c r="F203" s="31">
        <f ca="1">_xll.DBRW($C$1,$C$2,$C$3,$C$4,$C$6,$C$5,$C$7,F$1,F$2,$A203)</f>
        <v>0</v>
      </c>
      <c r="G203" s="31">
        <f ca="1">_xll.DBRW($C$1,$C$2,$C$3,$C$4,$C$6,$C$5,$C$7,G$1,G$2,$A203)</f>
        <v>0</v>
      </c>
      <c r="H203" s="31">
        <f ca="1">_xll.DBRW($C$1,$C$2,$C$3,$C$4,$C$6,$C$5,$C$7,H$1,H$2,$A203)</f>
        <v>0</v>
      </c>
      <c r="J203" s="32">
        <f t="shared" ca="1" si="47"/>
        <v>0</v>
      </c>
      <c r="K203" s="32">
        <f t="shared" ca="1" si="48"/>
        <v>0</v>
      </c>
    </row>
    <row r="204" spans="1:17" ht="15.75" hidden="1" customHeight="1">
      <c r="A204" s="1" t="s">
        <v>280</v>
      </c>
      <c r="C204" s="141"/>
      <c r="E204" s="9" t="str">
        <f ca="1">_xll.DBRW(Server&amp;"}ElementAttributes_Indicator",A204,"code_English")</f>
        <v>PL1150_XX - Vector Reconciliation (TPL11) - Impairment (other than working capital) and provisions</v>
      </c>
      <c r="F204" s="31">
        <f ca="1">_xll.DBRW($C$1,$C$2,$C$3,$C$4,$C$6,$C$5,$C$7,F$1,F$2,$A204)</f>
        <v>0</v>
      </c>
      <c r="G204" s="31">
        <f ca="1">_xll.DBRW($C$1,$C$2,$C$3,$C$4,$C$6,$C$5,$C$7,G$1,G$2,$A204)</f>
        <v>0</v>
      </c>
      <c r="H204" s="31">
        <f ca="1">_xll.DBRW($C$1,$C$2,$C$3,$C$4,$C$6,$C$5,$C$7,H$1,H$2,$A204)</f>
        <v>0</v>
      </c>
      <c r="J204" s="32">
        <f t="shared" ca="1" si="47"/>
        <v>0</v>
      </c>
      <c r="K204" s="32">
        <f t="shared" ca="1" si="48"/>
        <v>0</v>
      </c>
    </row>
    <row r="205" spans="1:17" ht="15.75" hidden="1" customHeight="1">
      <c r="A205" s="1" t="s">
        <v>281</v>
      </c>
      <c r="C205" s="141"/>
      <c r="E205" s="9" t="str">
        <f ca="1">_xll.DBRW(Server&amp;"}ElementAttributes_Indicator",A205,"code_English")</f>
        <v>PL1151_XX - Vector Reconciliation (TPL11) - Impact of change in revaluation rate on provisions for losses on LT contracts</v>
      </c>
      <c r="F205" s="31">
        <f ca="1">_xll.DBRW($C$1,$C$2,$C$3,$C$4,$C$6,$C$5,$C$7,F$1,F$2,$A205)</f>
        <v>0</v>
      </c>
      <c r="G205" s="31">
        <f ca="1">_xll.DBRW($C$1,$C$2,$C$3,$C$4,$C$6,$C$5,$C$7,G$1,G$2,$A205)</f>
        <v>0</v>
      </c>
      <c r="H205" s="31">
        <f ca="1">_xll.DBRW($C$1,$C$2,$C$3,$C$4,$C$6,$C$5,$C$7,H$1,H$2,$A205)</f>
        <v>0</v>
      </c>
      <c r="J205" s="32">
        <f t="shared" ca="1" si="47"/>
        <v>0</v>
      </c>
      <c r="K205" s="32">
        <f t="shared" ca="1" si="48"/>
        <v>0</v>
      </c>
    </row>
    <row r="206" spans="1:17" ht="15.75" hidden="1" customHeight="1">
      <c r="A206" s="1" t="s">
        <v>282</v>
      </c>
      <c r="C206" s="141"/>
      <c r="E206" s="9" t="str">
        <f ca="1">_xll.DBRW(Server&amp;"}ElementAttributes_Indicator",A206,"code_English")</f>
        <v>PL1155_XX - Vector Reconciliation (TPL11) - Reinvoicing</v>
      </c>
      <c r="F206" s="31">
        <f ca="1">_xll.DBRW($C$1,$C$2,$C$3,$C$4,$C$6,$C$5,$C$7,F$1,F$2,$A206)</f>
        <v>0</v>
      </c>
      <c r="G206" s="31">
        <f ca="1">_xll.DBRW($C$1,$C$2,$C$3,$C$4,$C$6,$C$5,$C$7,G$1,G$2,$A206)</f>
        <v>0</v>
      </c>
      <c r="H206" s="31">
        <f ca="1">_xll.DBRW($C$1,$C$2,$C$3,$C$4,$C$6,$C$5,$C$7,H$1,H$2,$A206)</f>
        <v>0</v>
      </c>
      <c r="J206" s="32">
        <f t="shared" ca="1" si="47"/>
        <v>0</v>
      </c>
      <c r="K206" s="32">
        <f t="shared" ca="1" si="48"/>
        <v>0</v>
      </c>
    </row>
    <row r="207" spans="1:17" ht="15.75" hidden="1" customHeight="1">
      <c r="A207" s="1" t="s">
        <v>283</v>
      </c>
      <c r="C207" s="141"/>
      <c r="E207" s="9" t="str">
        <f ca="1">_xll.DBRW(Server&amp;"}ElementAttributes_Indicator",A207,"code_English")</f>
        <v>PL1160_XX - Vector Reconciliation (TPL11) - Gains/losses on disposal of tangible &amp; intangible fixed assets</v>
      </c>
      <c r="F207" s="31">
        <f ca="1">_xll.DBRW($C$1,$C$2,$C$3,$C$4,$C$6,$C$5,$C$7,F$1,F$2,$A207)</f>
        <v>0</v>
      </c>
      <c r="G207" s="31">
        <f ca="1">_xll.DBRW($C$1,$C$2,$C$3,$C$4,$C$6,$C$5,$C$7,G$1,G$2,$A207)</f>
        <v>0</v>
      </c>
      <c r="H207" s="31">
        <f ca="1">_xll.DBRW($C$1,$C$2,$C$3,$C$4,$C$6,$C$5,$C$7,H$1,H$2,$A207)</f>
        <v>0</v>
      </c>
      <c r="J207" s="32">
        <f t="shared" ca="1" si="47"/>
        <v>0</v>
      </c>
      <c r="K207" s="32">
        <f t="shared" ca="1" si="48"/>
        <v>0</v>
      </c>
    </row>
    <row r="208" spans="1:17" ht="15.75" hidden="1" customHeight="1">
      <c r="A208" s="1" t="s">
        <v>284</v>
      </c>
      <c r="C208" s="141"/>
      <c r="E208" s="9" t="str">
        <f ca="1">_xll.DBRW(Server&amp;"}ElementAttributes_Indicator",A208,"code_English")</f>
        <v>PL1161_XX - Vector Reconciliation (TPL11) - Gains/losses on write-off of contract costs</v>
      </c>
      <c r="F208" s="31">
        <f ca="1">_xll.DBRW($C$1,$C$2,$C$3,$C$4,$C$6,$C$5,$C$7,F$1,F$2,$A208)</f>
        <v>0</v>
      </c>
      <c r="G208" s="31">
        <f ca="1">_xll.DBRW($C$1,$C$2,$C$3,$C$4,$C$6,$C$5,$C$7,G$1,G$2,$A208)</f>
        <v>0</v>
      </c>
      <c r="H208" s="31">
        <f ca="1">_xll.DBRW($C$1,$C$2,$C$3,$C$4,$C$6,$C$5,$C$7,H$1,H$2,$A208)</f>
        <v>0</v>
      </c>
      <c r="J208" s="32">
        <f t="shared" ca="1" si="47"/>
        <v>0</v>
      </c>
      <c r="K208" s="32">
        <f t="shared" ca="1" si="48"/>
        <v>0</v>
      </c>
    </row>
    <row r="209" spans="1:11" ht="15.75" hidden="1" customHeight="1">
      <c r="A209" s="1" t="s">
        <v>285</v>
      </c>
      <c r="C209" s="141"/>
      <c r="E209" s="9" t="str">
        <f ca="1">_xll.DBRW(Server&amp;"}ElementAttributes_Indicator",A209,"code_English")</f>
        <v>PL1162_XX - Réconciliation Vector (TPL11) - COS - Gains/losses on disposal of right-of-use</v>
      </c>
      <c r="F209" s="31">
        <f ca="1">_xll.DBRW($C$1,$C$2,$C$3,$C$4,$C$6,$C$5,$C$7,F$1,F$2,$A209)</f>
        <v>0</v>
      </c>
      <c r="G209" s="31">
        <f ca="1">_xll.DBRW($C$1,$C$2,$C$3,$C$4,$C$6,$C$5,$C$7,G$1,G$2,$A209)</f>
        <v>0</v>
      </c>
      <c r="H209" s="31">
        <f ca="1">_xll.DBRW($C$1,$C$2,$C$3,$C$4,$C$6,$C$5,$C$7,H$1,H$2,$A209)</f>
        <v>0</v>
      </c>
      <c r="J209" s="32">
        <f t="shared" ca="1" si="47"/>
        <v>0</v>
      </c>
      <c r="K209" s="32">
        <f t="shared" ca="1" si="48"/>
        <v>0</v>
      </c>
    </row>
    <row r="210" spans="1:11" ht="15.75" hidden="1" customHeight="1">
      <c r="A210" s="1" t="s">
        <v>286</v>
      </c>
      <c r="C210" s="141"/>
      <c r="E210" s="9" t="str">
        <f ca="1">_xll.DBRW(Server&amp;"}ElementAttributes_Indicator",A210,"code_English")</f>
        <v>PL1165_XX - Vector Reconciliation (TPL11) - Restructuring costs</v>
      </c>
      <c r="F210" s="31">
        <f ca="1">_xll.DBRW($C$1,$C$2,$C$3,$C$4,$C$6,$C$5,$C$7,F$1,F$2,$A210)</f>
        <v>0</v>
      </c>
      <c r="G210" s="31">
        <f ca="1">_xll.DBRW($C$1,$C$2,$C$3,$C$4,$C$6,$C$5,$C$7,G$1,G$2,$A210)</f>
        <v>0</v>
      </c>
      <c r="H210" s="31">
        <f ca="1">_xll.DBRW($C$1,$C$2,$C$3,$C$4,$C$6,$C$5,$C$7,H$1,H$2,$A210)</f>
        <v>0</v>
      </c>
      <c r="J210" s="32">
        <f t="shared" ca="1" si="47"/>
        <v>0</v>
      </c>
      <c r="K210" s="32">
        <f t="shared" ca="1" si="48"/>
        <v>0</v>
      </c>
    </row>
    <row r="211" spans="1:11" ht="15.75" hidden="1" customHeight="1">
      <c r="A211" s="1" t="s">
        <v>287</v>
      </c>
      <c r="C211" s="141"/>
      <c r="E211" s="9" t="str">
        <f ca="1">_xll.DBRW(Server&amp;"}ElementAttributes_Indicator",A211,"code_English")</f>
        <v>PL1170_XX - Vector Reconciliation (TPL11) - Net provisions for restructuring costs</v>
      </c>
      <c r="F211" s="31">
        <f ca="1">_xll.DBRW($C$1,$C$2,$C$3,$C$4,$C$6,$C$5,$C$7,F$1,F$2,$A211)</f>
        <v>0</v>
      </c>
      <c r="G211" s="31">
        <f ca="1">_xll.DBRW($C$1,$C$2,$C$3,$C$4,$C$6,$C$5,$C$7,G$1,G$2,$A211)</f>
        <v>0</v>
      </c>
      <c r="H211" s="31">
        <f ca="1">_xll.DBRW($C$1,$C$2,$C$3,$C$4,$C$6,$C$5,$C$7,H$1,H$2,$A211)</f>
        <v>0</v>
      </c>
      <c r="J211" s="32">
        <f t="shared" ca="1" si="47"/>
        <v>0</v>
      </c>
      <c r="K211" s="32">
        <f t="shared" ca="1" si="48"/>
        <v>0</v>
      </c>
    </row>
    <row r="212" spans="1:11" ht="15.75" hidden="1" customHeight="1">
      <c r="A212" s="1" t="s">
        <v>288</v>
      </c>
      <c r="C212" s="141"/>
      <c r="E212" s="9" t="str">
        <f ca="1">_xll.DBRW(Server&amp;"}ElementAttributes_Indicator",A212,"code_English")</f>
        <v>PL1175_XX - Vector Reconciliation (TPL11) - Impairment on goodwill (full and proportionate consol.)</v>
      </c>
      <c r="F212" s="31">
        <f ca="1">_xll.DBRW($C$1,$C$2,$C$3,$C$4,$C$6,$C$5,$C$7,F$1,F$2,$A212)</f>
        <v>0</v>
      </c>
      <c r="G212" s="31">
        <f ca="1">_xll.DBRW($C$1,$C$2,$C$3,$C$4,$C$6,$C$5,$C$7,G$1,G$2,$A212)</f>
        <v>0</v>
      </c>
      <c r="H212" s="31">
        <f ca="1">_xll.DBRW($C$1,$C$2,$C$3,$C$4,$C$6,$C$5,$C$7,H$1,H$2,$A212)</f>
        <v>0</v>
      </c>
      <c r="J212" s="32">
        <f t="shared" ca="1" si="47"/>
        <v>0</v>
      </c>
      <c r="K212" s="32">
        <f t="shared" ca="1" si="48"/>
        <v>0</v>
      </c>
    </row>
    <row r="213" spans="1:11" ht="15.75" hidden="1" customHeight="1">
      <c r="A213" s="1" t="s">
        <v>289</v>
      </c>
      <c r="C213" s="141"/>
      <c r="E213" s="9" t="str">
        <f ca="1">_xll.DBRW(Server&amp;"}ElementAttributes_Indicator",A213,"code_English")</f>
        <v>PL1180_XX - Vector Reconciliation (TPL11) - Fair value gain/loss on deriv instr related to oper activ excl I12&amp;I4</v>
      </c>
      <c r="F213" s="31">
        <f ca="1">_xll.DBRW($C$1,$C$2,$C$3,$C$4,$C$6,$C$5,$C$7,F$1,F$2,$A213)</f>
        <v>0</v>
      </c>
      <c r="G213" s="31">
        <f ca="1">_xll.DBRW($C$1,$C$2,$C$3,$C$4,$C$6,$C$5,$C$7,G$1,G$2,$A213)</f>
        <v>0</v>
      </c>
      <c r="H213" s="31">
        <f ca="1">_xll.DBRW($C$1,$C$2,$C$3,$C$4,$C$6,$C$5,$C$7,H$1,H$2,$A213)</f>
        <v>0</v>
      </c>
      <c r="J213" s="32">
        <f t="shared" ca="1" si="47"/>
        <v>0</v>
      </c>
      <c r="K213" s="32">
        <f t="shared" ca="1" si="48"/>
        <v>0</v>
      </c>
    </row>
    <row r="214" spans="1:11" ht="15.75" hidden="1" customHeight="1">
      <c r="A214" s="1" t="s">
        <v>290</v>
      </c>
      <c r="C214" s="141"/>
      <c r="E214" s="9" t="str">
        <f ca="1">_xll.DBRW(Server&amp;"}ElementAttributes_Indicator",A214,"code_English")</f>
        <v>PL1181_XX - Vector Reconciliation (TPL11) - Fair value gain/loss on deriv instr related to oper activ I12 fin. Receivables &amp; I4</v>
      </c>
      <c r="F214" s="31">
        <f ca="1">_xll.DBRW($C$1,$C$2,$C$3,$C$4,$C$6,$C$5,$C$7,F$1,F$2,$A214)</f>
        <v>0</v>
      </c>
      <c r="G214" s="31">
        <f ca="1">_xll.DBRW($C$1,$C$2,$C$3,$C$4,$C$6,$C$5,$C$7,G$1,G$2,$A214)</f>
        <v>0</v>
      </c>
      <c r="H214" s="31">
        <f ca="1">_xll.DBRW($C$1,$C$2,$C$3,$C$4,$C$6,$C$5,$C$7,H$1,H$2,$A214)</f>
        <v>0</v>
      </c>
      <c r="J214" s="32">
        <f t="shared" ca="1" si="47"/>
        <v>0</v>
      </c>
      <c r="K214" s="32">
        <f t="shared" ca="1" si="48"/>
        <v>0</v>
      </c>
    </row>
    <row r="215" spans="1:11" ht="15.75" hidden="1" customHeight="1">
      <c r="A215" s="1" t="s">
        <v>291</v>
      </c>
      <c r="C215" s="141"/>
      <c r="E215" s="9" t="str">
        <f ca="1">_xll.DBRW(Server&amp;"}ElementAttributes_Indicator",A215,"code_English")</f>
        <v>PL1182_XX - Vector Reconciliation (TPL11) - Non hedged fair value on derivatives related to operating activities excl.I4 and I12</v>
      </c>
      <c r="F215" s="31">
        <f ca="1">_xll.DBRW($C$1,$C$2,$C$3,$C$4,$C$6,$C$5,$C$7,F$1,F$2,$A215)</f>
        <v>0</v>
      </c>
      <c r="G215" s="31">
        <f ca="1">_xll.DBRW($C$1,$C$2,$C$3,$C$4,$C$6,$C$5,$C$7,G$1,G$2,$A215)</f>
        <v>0</v>
      </c>
      <c r="H215" s="31">
        <f ca="1">_xll.DBRW($C$1,$C$2,$C$3,$C$4,$C$6,$C$5,$C$7,H$1,H$2,$A215)</f>
        <v>0</v>
      </c>
      <c r="J215" s="32">
        <f t="shared" ca="1" si="47"/>
        <v>0</v>
      </c>
      <c r="K215" s="32">
        <f t="shared" ca="1" si="48"/>
        <v>0</v>
      </c>
    </row>
    <row r="216" spans="1:11" ht="15.75" hidden="1" customHeight="1">
      <c r="A216" s="1" t="s">
        <v>292</v>
      </c>
      <c r="C216" s="141"/>
      <c r="E216" s="9" t="str">
        <f ca="1">_xll.DBRW(Server&amp;"}ElementAttributes_Indicator",A216,"code_English")</f>
        <v>PL1183_XX - Vector Reconciliation (TPL11) - Non hedged fair value on derivatives related to financial operating activities(I4 and I12)</v>
      </c>
      <c r="F216" s="31">
        <f ca="1">_xll.DBRW($C$1,$C$2,$C$3,$C$4,$C$6,$C$5,$C$7,F$1,F$2,$A216)</f>
        <v>0</v>
      </c>
      <c r="G216" s="31">
        <f ca="1">_xll.DBRW($C$1,$C$2,$C$3,$C$4,$C$6,$C$5,$C$7,G$1,G$2,$A216)</f>
        <v>0</v>
      </c>
      <c r="H216" s="31">
        <f ca="1">_xll.DBRW($C$1,$C$2,$C$3,$C$4,$C$6,$C$5,$C$7,H$1,H$2,$A216)</f>
        <v>0</v>
      </c>
      <c r="J216" s="32">
        <f t="shared" ca="1" si="47"/>
        <v>0</v>
      </c>
      <c r="K216" s="32">
        <f t="shared" ca="1" si="48"/>
        <v>0</v>
      </c>
    </row>
    <row r="217" spans="1:11" ht="15.75" hidden="1" customHeight="1">
      <c r="A217" s="1" t="s">
        <v>293</v>
      </c>
      <c r="C217" s="141"/>
      <c r="E217" s="9" t="str">
        <f ca="1">_xll.DBRW(Server&amp;"}ElementAttributes_Indicator",A217,"code_English")</f>
        <v>PL1184_XX - Vector Reconciliation (TPL11) - Recycling from Fair value reserves to operating profit (CFH)</v>
      </c>
      <c r="F217" s="31">
        <f ca="1">_xll.DBRW($C$1,$C$2,$C$3,$C$4,$C$6,$C$5,$C$7,F$1,F$2,$A217)</f>
        <v>0</v>
      </c>
      <c r="G217" s="31">
        <f ca="1">_xll.DBRW($C$1,$C$2,$C$3,$C$4,$C$6,$C$5,$C$7,G$1,G$2,$A217)</f>
        <v>0</v>
      </c>
      <c r="H217" s="31">
        <f ca="1">_xll.DBRW($C$1,$C$2,$C$3,$C$4,$C$6,$C$5,$C$7,H$1,H$2,$A217)</f>
        <v>0</v>
      </c>
      <c r="J217" s="32">
        <f t="shared" ca="1" si="47"/>
        <v>0</v>
      </c>
      <c r="K217" s="32">
        <f t="shared" ca="1" si="48"/>
        <v>0</v>
      </c>
    </row>
    <row r="218" spans="1:11" ht="15.75" collapsed="1">
      <c r="A218" s="1" t="s">
        <v>127</v>
      </c>
      <c r="C218" s="141"/>
      <c r="E218" s="22" t="s">
        <v>40</v>
      </c>
      <c r="F218" s="35">
        <f t="shared" ref="F218:H218" ca="1" si="49">SUM(F187:F217)</f>
        <v>0</v>
      </c>
      <c r="G218" s="35">
        <f t="shared" ca="1" si="49"/>
        <v>0</v>
      </c>
      <c r="H218" s="35">
        <f t="shared" ca="1" si="49"/>
        <v>0</v>
      </c>
      <c r="J218" s="32">
        <f t="shared" ca="1" si="47"/>
        <v>0</v>
      </c>
      <c r="K218" s="32">
        <f t="shared" ca="1" si="48"/>
        <v>0</v>
      </c>
    </row>
    <row r="219" spans="1:11" ht="15.75">
      <c r="A219" s="1" t="s">
        <v>127</v>
      </c>
      <c r="C219" s="141"/>
      <c r="E219" s="19" t="s">
        <v>41</v>
      </c>
      <c r="F219" s="36">
        <f t="shared" ref="F219:H219" ca="1" si="50">F30+F41+F80+F98+F114+F186+F218</f>
        <v>0</v>
      </c>
      <c r="G219" s="36">
        <f t="shared" ca="1" si="50"/>
        <v>35712804.280000091</v>
      </c>
      <c r="H219" s="36">
        <f t="shared" ca="1" si="50"/>
        <v>0</v>
      </c>
      <c r="J219" s="95">
        <f ca="1">F219-G219</f>
        <v>-35712804.280000091</v>
      </c>
      <c r="K219" s="95">
        <f>F222-H222</f>
        <v>0</v>
      </c>
    </row>
    <row r="220" spans="1:11" ht="9" customHeight="1">
      <c r="A220" s="1" t="s">
        <v>127</v>
      </c>
      <c r="C220" s="141"/>
      <c r="E220" s="7"/>
      <c r="F220" s="8"/>
      <c r="G220" s="8"/>
      <c r="H220" s="8"/>
    </row>
    <row r="221" spans="1:11" ht="15.75">
      <c r="A221" s="1" t="s">
        <v>294</v>
      </c>
      <c r="C221" s="141"/>
      <c r="E221" s="19" t="s">
        <v>42</v>
      </c>
      <c r="F221" s="36">
        <f ca="1">F27+F219</f>
        <v>0</v>
      </c>
      <c r="G221" s="36">
        <f t="shared" ref="G221:H221" ca="1" si="51">G27+G219</f>
        <v>27185373.190000087</v>
      </c>
      <c r="H221" s="36">
        <f t="shared" ca="1" si="51"/>
        <v>0</v>
      </c>
      <c r="J221" s="95">
        <f ca="1">F221-G221</f>
        <v>-27185373.190000087</v>
      </c>
      <c r="K221" s="95">
        <f ca="1">F224-H224</f>
        <v>0</v>
      </c>
    </row>
    <row r="222" spans="1:11" ht="9" customHeight="1">
      <c r="A222" s="1" t="s">
        <v>127</v>
      </c>
      <c r="C222" s="141"/>
      <c r="E222" s="7"/>
      <c r="F222" s="8"/>
      <c r="G222" s="8"/>
      <c r="H222" s="8"/>
    </row>
    <row r="223" spans="1:11" ht="15.75" hidden="1" customHeight="1">
      <c r="A223" s="1" t="s">
        <v>295</v>
      </c>
      <c r="C223" s="141"/>
      <c r="E223" s="9" t="str">
        <f ca="1">_xll.DBRW(Server&amp;"}ElementAttributes_Indicator",A223,"code_English")</f>
        <v>PL0000_BD - Business development expenses (RESOP)</v>
      </c>
      <c r="F223" s="10">
        <f ca="1">_xll.DBRW($C$1,$C$2,$C$3,$C$4,$C$6,$C$5,$C$7,F$1,F$2,$A223)</f>
        <v>0</v>
      </c>
      <c r="G223" s="10">
        <f ca="1">_xll.DBRW($C$1,$C$2,$C$3,$C$4,$C$6,$C$5,$C$7,G$1,G$2,$A223)</f>
        <v>-679248.97</v>
      </c>
      <c r="H223" s="10">
        <f ca="1">_xll.DBRW($C$1,$C$2,$C$3,$C$4,$C$6,$C$5,$C$7,H$1,H$2,$A223)</f>
        <v>0</v>
      </c>
    </row>
    <row r="224" spans="1:11" ht="15.75" hidden="1" customHeight="1">
      <c r="A224" s="1" t="s">
        <v>296</v>
      </c>
      <c r="C224" s="141"/>
      <c r="E224" s="9" t="str">
        <f ca="1">_xll.DBRW(Server&amp;"}ElementAttributes_Indicator",A224,"code_English")</f>
        <v>PL0000_TPL12 - Business development expenses - Vector Reconciliation</v>
      </c>
      <c r="F224" s="10">
        <f ca="1">_xll.DBRW($C$1,$C$2,$C$3,$C$4,$C$6,$C$5,$C$7,F$1,F$2,$A224)</f>
        <v>0</v>
      </c>
      <c r="G224" s="10">
        <f ca="1">_xll.DBRW($C$1,$C$2,$C$3,$C$4,$C$6,$C$5,$C$7,G$1,G$2,$A224)</f>
        <v>0</v>
      </c>
      <c r="H224" s="10">
        <f ca="1">_xll.DBRW($C$1,$C$2,$C$3,$C$4,$C$6,$C$5,$C$7,H$1,H$2,$A224)</f>
        <v>0</v>
      </c>
    </row>
    <row r="225" spans="1:11" ht="15.75" collapsed="1">
      <c r="A225" s="1" t="s">
        <v>127</v>
      </c>
      <c r="C225" s="141"/>
      <c r="E225" s="14" t="s">
        <v>43</v>
      </c>
      <c r="F225" s="37">
        <f t="shared" ref="F225:H225" ca="1" si="52">F224+F223</f>
        <v>0</v>
      </c>
      <c r="G225" s="37">
        <f t="shared" ca="1" si="52"/>
        <v>-679248.97</v>
      </c>
      <c r="H225" s="37">
        <f t="shared" ca="1" si="52"/>
        <v>0</v>
      </c>
      <c r="J225" s="32">
        <f t="shared" ref="J225" ca="1" si="53">F225-G225</f>
        <v>679248.97</v>
      </c>
      <c r="K225" s="32">
        <f t="shared" ref="K225" ca="1" si="54">F225-H225</f>
        <v>0</v>
      </c>
    </row>
    <row r="226" spans="1:11" ht="15.75" hidden="1" customHeight="1">
      <c r="A226" s="1" t="s">
        <v>297</v>
      </c>
      <c r="C226" s="141"/>
      <c r="E226" s="9" t="str">
        <f ca="1">_xll.DBRW(Server&amp;"}ElementAttributes_Indicator",A226,"code_English")</f>
        <v>PL0000_CO - Communication</v>
      </c>
      <c r="F226" s="32">
        <f ca="1">_xll.DBRW($C$1,$C$2,$C$3,$C$4,$C$6,$C$5,$C$7,F$1,F$2,$A226)</f>
        <v>0</v>
      </c>
      <c r="G226" s="32">
        <f ca="1">_xll.DBRW($C$1,$C$2,$C$3,$C$4,$C$6,$C$5,$C$7,G$1,G$2,$A226)</f>
        <v>-1329739.7600000002</v>
      </c>
      <c r="H226" s="32">
        <f ca="1">_xll.DBRW($C$1,$C$2,$C$3,$C$4,$C$6,$C$5,$C$7,H$1,H$2,$A226)</f>
        <v>0</v>
      </c>
      <c r="J226" s="32">
        <f t="shared" ref="J226:J257" ca="1" si="55">F226-G226</f>
        <v>1329739.7600000002</v>
      </c>
      <c r="K226" s="32">
        <f t="shared" ref="K226:K257" ca="1" si="56">F226-H226</f>
        <v>0</v>
      </c>
    </row>
    <row r="227" spans="1:11" ht="15.75">
      <c r="A227" s="1" t="s">
        <v>127</v>
      </c>
      <c r="C227" s="141"/>
      <c r="E227" s="15" t="s">
        <v>44</v>
      </c>
      <c r="F227" s="38">
        <f t="shared" ref="F227:H227" ca="1" si="57">F226</f>
        <v>0</v>
      </c>
      <c r="G227" s="38">
        <f t="shared" ca="1" si="57"/>
        <v>-1329739.7600000002</v>
      </c>
      <c r="H227" s="38">
        <f t="shared" ca="1" si="57"/>
        <v>0</v>
      </c>
      <c r="J227" s="33">
        <f t="shared" ca="1" si="55"/>
        <v>1329739.7600000002</v>
      </c>
      <c r="K227" s="33">
        <f t="shared" ca="1" si="56"/>
        <v>0</v>
      </c>
    </row>
    <row r="228" spans="1:11" ht="15.75" hidden="1" customHeight="1">
      <c r="A228" s="1" t="s">
        <v>298</v>
      </c>
      <c r="C228" s="141"/>
      <c r="E228" s="9" t="str">
        <f ca="1">_xll.DBRW(Server&amp;"}ElementAttributes_Indicator",A228,"code_English")</f>
        <v>PL0000_FI - Finance</v>
      </c>
      <c r="F228" s="32">
        <f ca="1">_xll.DBRW($C$1,$C$2,$C$3,$C$4,$C$6,$C$5,$C$7,F$1,F$2,$A228)</f>
        <v>0</v>
      </c>
      <c r="G228" s="32">
        <f ca="1">_xll.DBRW($C$1,$C$2,$C$3,$C$4,$C$6,$C$5,$C$7,G$1,G$2,$A228)</f>
        <v>-2724140.06</v>
      </c>
      <c r="H228" s="32">
        <f ca="1">_xll.DBRW($C$1,$C$2,$C$3,$C$4,$C$6,$C$5,$C$7,H$1,H$2,$A228)</f>
        <v>0</v>
      </c>
      <c r="J228" s="33">
        <f t="shared" ca="1" si="55"/>
        <v>2724140.06</v>
      </c>
      <c r="K228" s="33">
        <f t="shared" ca="1" si="56"/>
        <v>0</v>
      </c>
    </row>
    <row r="229" spans="1:11" ht="15.75">
      <c r="A229" s="1" t="s">
        <v>298</v>
      </c>
      <c r="C229" s="141"/>
      <c r="E229" s="15" t="s">
        <v>45</v>
      </c>
      <c r="F229" s="38">
        <f t="shared" ref="F229:H229" ca="1" si="58">F228</f>
        <v>0</v>
      </c>
      <c r="G229" s="38">
        <f t="shared" ca="1" si="58"/>
        <v>-2724140.06</v>
      </c>
      <c r="H229" s="38">
        <f t="shared" ca="1" si="58"/>
        <v>0</v>
      </c>
      <c r="J229" s="33">
        <f t="shared" ca="1" si="55"/>
        <v>2724140.06</v>
      </c>
      <c r="K229" s="33">
        <f t="shared" ca="1" si="56"/>
        <v>0</v>
      </c>
    </row>
    <row r="230" spans="1:11" ht="15.75" hidden="1" customHeight="1">
      <c r="A230" s="1" t="s">
        <v>299</v>
      </c>
      <c r="C230" s="141"/>
      <c r="E230" s="9" t="str">
        <f ca="1">_xll.DBRW(Server&amp;"}ElementAttributes_Indicator",A230,"code_English")</f>
        <v>PL0000_GM - General Management (RESOP)</v>
      </c>
      <c r="F230" s="32">
        <f ca="1">_xll.DBRW($C$1,$C$2,$C$3,$C$4,$C$6,$C$5,$C$7,F$1,F$2,$A230)</f>
        <v>0</v>
      </c>
      <c r="G230" s="32">
        <f ca="1">_xll.DBRW($C$1,$C$2,$C$3,$C$4,$C$6,$C$5,$C$7,G$1,G$2,$A230)</f>
        <v>-6373572.3099999987</v>
      </c>
      <c r="H230" s="32">
        <f ca="1">_xll.DBRW($C$1,$C$2,$C$3,$C$4,$C$6,$C$5,$C$7,H$1,H$2,$A230)</f>
        <v>0</v>
      </c>
      <c r="J230" s="33">
        <f t="shared" ca="1" si="55"/>
        <v>6373572.3099999987</v>
      </c>
      <c r="K230" s="33">
        <f t="shared" ca="1" si="56"/>
        <v>0</v>
      </c>
    </row>
    <row r="231" spans="1:11" ht="15.75">
      <c r="A231" s="1" t="s">
        <v>127</v>
      </c>
      <c r="C231" s="141"/>
      <c r="E231" s="15" t="s">
        <v>46</v>
      </c>
      <c r="F231" s="38">
        <f t="shared" ref="F231:H231" ca="1" si="59">F230</f>
        <v>0</v>
      </c>
      <c r="G231" s="38">
        <f t="shared" ca="1" si="59"/>
        <v>-6373572.3099999987</v>
      </c>
      <c r="H231" s="38">
        <f t="shared" ca="1" si="59"/>
        <v>0</v>
      </c>
      <c r="J231" s="33">
        <f t="shared" ca="1" si="55"/>
        <v>6373572.3099999987</v>
      </c>
      <c r="K231" s="33">
        <f t="shared" ca="1" si="56"/>
        <v>0</v>
      </c>
    </row>
    <row r="232" spans="1:11" ht="15.75" hidden="1" customHeight="1">
      <c r="A232" s="1" t="s">
        <v>300</v>
      </c>
      <c r="C232" s="141"/>
      <c r="E232" s="9" t="str">
        <f ca="1">_xll.DBRW(Server&amp;"}ElementAttributes_Indicator",A232,"code_English")</f>
        <v>PL0000_GS - General Services</v>
      </c>
      <c r="F232" s="32">
        <f ca="1">_xll.DBRW($C$1,$C$2,$C$3,$C$4,$C$6,$C$5,$C$7,F$1,F$2,$A232)</f>
        <v>0</v>
      </c>
      <c r="G232" s="32">
        <f ca="1">_xll.DBRW($C$1,$C$2,$C$3,$C$4,$C$6,$C$5,$C$7,G$1,G$2,$A232)</f>
        <v>1.1641532182693481E-10</v>
      </c>
      <c r="H232" s="32">
        <f ca="1">_xll.DBRW($C$1,$C$2,$C$3,$C$4,$C$6,$C$5,$C$7,H$1,H$2,$A232)</f>
        <v>0</v>
      </c>
      <c r="J232" s="33">
        <f t="shared" ca="1" si="55"/>
        <v>-1.1641532182693481E-10</v>
      </c>
      <c r="K232" s="33">
        <f t="shared" ca="1" si="56"/>
        <v>0</v>
      </c>
    </row>
    <row r="233" spans="1:11" ht="15.75">
      <c r="A233" s="1" t="s">
        <v>127</v>
      </c>
      <c r="C233" s="141"/>
      <c r="E233" s="15" t="s">
        <v>47</v>
      </c>
      <c r="F233" s="38">
        <f t="shared" ref="F233:H233" ca="1" si="60">F232</f>
        <v>0</v>
      </c>
      <c r="G233" s="38">
        <f t="shared" ca="1" si="60"/>
        <v>1.1641532182693481E-10</v>
      </c>
      <c r="H233" s="38">
        <f t="shared" ca="1" si="60"/>
        <v>0</v>
      </c>
      <c r="J233" s="33">
        <f t="shared" ca="1" si="55"/>
        <v>-1.1641532182693481E-10</v>
      </c>
      <c r="K233" s="33">
        <f t="shared" ca="1" si="56"/>
        <v>0</v>
      </c>
    </row>
    <row r="234" spans="1:11" ht="15.75" hidden="1" customHeight="1">
      <c r="A234" s="1" t="s">
        <v>301</v>
      </c>
      <c r="C234" s="141"/>
      <c r="E234" s="9" t="str">
        <f ca="1">_xll.DBRW(Server&amp;"}ElementAttributes_Indicator",A234,"code_English")</f>
        <v>PL0000_HR - HR department</v>
      </c>
      <c r="F234" s="32">
        <f ca="1">_xll.DBRW($C$1,$C$2,$C$3,$C$4,$C$6,$C$5,$C$7,F$1,F$2,$A234)</f>
        <v>0</v>
      </c>
      <c r="G234" s="32">
        <f ca="1">_xll.DBRW($C$1,$C$2,$C$3,$C$4,$C$6,$C$5,$C$7,G$1,G$2,$A234)</f>
        <v>-1804892.64</v>
      </c>
      <c r="H234" s="32">
        <f ca="1">_xll.DBRW($C$1,$C$2,$C$3,$C$4,$C$6,$C$5,$C$7,H$1,H$2,$A234)</f>
        <v>0</v>
      </c>
      <c r="J234" s="33">
        <f t="shared" ca="1" si="55"/>
        <v>1804892.64</v>
      </c>
      <c r="K234" s="33">
        <f t="shared" ca="1" si="56"/>
        <v>0</v>
      </c>
    </row>
    <row r="235" spans="1:11" ht="15.75">
      <c r="A235" s="1" t="s">
        <v>127</v>
      </c>
      <c r="C235" s="141"/>
      <c r="E235" s="15" t="s">
        <v>48</v>
      </c>
      <c r="F235" s="38">
        <f t="shared" ref="F235:H235" ca="1" si="61">F234</f>
        <v>0</v>
      </c>
      <c r="G235" s="38">
        <f t="shared" ca="1" si="61"/>
        <v>-1804892.64</v>
      </c>
      <c r="H235" s="38">
        <f t="shared" ca="1" si="61"/>
        <v>0</v>
      </c>
      <c r="J235" s="33">
        <f t="shared" ca="1" si="55"/>
        <v>1804892.64</v>
      </c>
      <c r="K235" s="33">
        <f t="shared" ca="1" si="56"/>
        <v>0</v>
      </c>
    </row>
    <row r="236" spans="1:11" ht="15.75" hidden="1" customHeight="1">
      <c r="A236" s="1" t="s">
        <v>302</v>
      </c>
      <c r="C236" s="141"/>
      <c r="E236" s="9" t="str">
        <f ca="1">_xll.DBRW(Server&amp;"}ElementAttributes_Indicator",A236,"code_English")</f>
        <v>PL0000_IA - Internal audit</v>
      </c>
      <c r="F236" s="32">
        <f ca="1">_xll.DBRW($C$1,$C$2,$C$3,$C$4,$C$6,$C$5,$C$7,F$1,F$2,$A236)</f>
        <v>0</v>
      </c>
      <c r="G236" s="32">
        <f ca="1">_xll.DBRW($C$1,$C$2,$C$3,$C$4,$C$6,$C$5,$C$7,G$1,G$2,$A236)</f>
        <v>0</v>
      </c>
      <c r="H236" s="32">
        <f ca="1">_xll.DBRW($C$1,$C$2,$C$3,$C$4,$C$6,$C$5,$C$7,H$1,H$2,$A236)</f>
        <v>0</v>
      </c>
      <c r="J236" s="33">
        <f t="shared" ca="1" si="55"/>
        <v>0</v>
      </c>
      <c r="K236" s="33">
        <f t="shared" ca="1" si="56"/>
        <v>0</v>
      </c>
    </row>
    <row r="237" spans="1:11" ht="15.75">
      <c r="C237" s="141"/>
      <c r="E237" s="83" t="s">
        <v>49</v>
      </c>
      <c r="F237" s="38">
        <f t="shared" ref="F237:H237" ca="1" si="62">F236</f>
        <v>0</v>
      </c>
      <c r="G237" s="38">
        <f t="shared" ca="1" si="62"/>
        <v>0</v>
      </c>
      <c r="H237" s="38">
        <f t="shared" ca="1" si="62"/>
        <v>0</v>
      </c>
      <c r="J237" s="33">
        <f t="shared" ca="1" si="55"/>
        <v>0</v>
      </c>
      <c r="K237" s="33">
        <f t="shared" ca="1" si="56"/>
        <v>0</v>
      </c>
    </row>
    <row r="238" spans="1:11" ht="15.75" hidden="1" customHeight="1">
      <c r="A238" s="1" t="s">
        <v>303</v>
      </c>
      <c r="C238" s="141"/>
      <c r="E238" s="9" t="str">
        <f ca="1">_xll.DBRW(Server&amp;"}ElementAttributes_Indicator",A238,"code_English")</f>
        <v>PL0000_IT - IT</v>
      </c>
      <c r="F238" s="32">
        <f ca="1">_xll.DBRW($C$1,$C$2,$C$3,$C$4,$C$6,$C$5,$C$7,F$1,F$2,$A238)</f>
        <v>0</v>
      </c>
      <c r="G238" s="32">
        <f ca="1">_xll.DBRW($C$1,$C$2,$C$3,$C$4,$C$6,$C$5,$C$7,G$1,G$2,$A238)</f>
        <v>-6672495.3900000006</v>
      </c>
      <c r="H238" s="32">
        <f ca="1">_xll.DBRW($C$1,$C$2,$C$3,$C$4,$C$6,$C$5,$C$7,H$1,H$2,$A238)</f>
        <v>0</v>
      </c>
      <c r="J238" s="33">
        <f t="shared" ca="1" si="55"/>
        <v>6672495.3900000006</v>
      </c>
      <c r="K238" s="33">
        <f t="shared" ca="1" si="56"/>
        <v>0</v>
      </c>
    </row>
    <row r="239" spans="1:11" ht="15.75">
      <c r="C239" s="141"/>
      <c r="E239" s="83" t="s">
        <v>50</v>
      </c>
      <c r="F239" s="38">
        <f t="shared" ref="F239:H239" ca="1" si="63">F238</f>
        <v>0</v>
      </c>
      <c r="G239" s="38">
        <f t="shared" ca="1" si="63"/>
        <v>-6672495.3900000006</v>
      </c>
      <c r="H239" s="38">
        <f t="shared" ca="1" si="63"/>
        <v>0</v>
      </c>
      <c r="J239" s="33">
        <f t="shared" ca="1" si="55"/>
        <v>6672495.3900000006</v>
      </c>
      <c r="K239" s="33">
        <f t="shared" ca="1" si="56"/>
        <v>0</v>
      </c>
    </row>
    <row r="240" spans="1:11" ht="15.75" hidden="1" customHeight="1">
      <c r="A240" s="1" t="s">
        <v>304</v>
      </c>
      <c r="C240" s="141"/>
      <c r="E240" s="9" t="str">
        <f ca="1">_xll.DBRW(Server&amp;"}ElementAttributes_Indicator",A240,"code_English")</f>
        <v>PL0000_LE - Legal</v>
      </c>
      <c r="F240" s="32">
        <f ca="1">_xll.DBRW($C$1,$C$2,$C$3,$C$4,$C$6,$C$5,$C$7,F$1,F$2,$A240)</f>
        <v>0</v>
      </c>
      <c r="G240" s="32">
        <f ca="1">_xll.DBRW($C$1,$C$2,$C$3,$C$4,$C$6,$C$5,$C$7,G$1,G$2,$A240)</f>
        <v>-185179.04000000004</v>
      </c>
      <c r="H240" s="32">
        <f ca="1">_xll.DBRW($C$1,$C$2,$C$3,$C$4,$C$6,$C$5,$C$7,H$1,H$2,$A240)</f>
        <v>0</v>
      </c>
      <c r="J240" s="33">
        <f t="shared" ca="1" si="55"/>
        <v>185179.04000000004</v>
      </c>
      <c r="K240" s="33">
        <f t="shared" ca="1" si="56"/>
        <v>0</v>
      </c>
    </row>
    <row r="241" spans="1:11" ht="15.75">
      <c r="C241" s="141"/>
      <c r="E241" s="83" t="s">
        <v>51</v>
      </c>
      <c r="F241" s="38">
        <f t="shared" ref="F241:H241" ca="1" si="64">F240</f>
        <v>0</v>
      </c>
      <c r="G241" s="38">
        <f t="shared" ca="1" si="64"/>
        <v>-185179.04000000004</v>
      </c>
      <c r="H241" s="38">
        <f t="shared" ca="1" si="64"/>
        <v>0</v>
      </c>
      <c r="J241" s="33">
        <f t="shared" ca="1" si="55"/>
        <v>185179.04000000004</v>
      </c>
      <c r="K241" s="33">
        <f t="shared" ca="1" si="56"/>
        <v>0</v>
      </c>
    </row>
    <row r="242" spans="1:11" ht="15.75" hidden="1" customHeight="1">
      <c r="A242" s="1" t="s">
        <v>305</v>
      </c>
      <c r="C242" s="141"/>
      <c r="E242" s="9" t="str">
        <f ca="1">_xll.DBRW(Server&amp;"}ElementAttributes_Indicator",A242,"code_English")</f>
        <v>PL0000_PU - Purchasing</v>
      </c>
      <c r="F242" s="32">
        <f ca="1">_xll.DBRW($C$1,$C$2,$C$3,$C$4,$C$6,$C$5,$C$7,F$1,F$2,$A242)</f>
        <v>0</v>
      </c>
      <c r="G242" s="32">
        <f ca="1">_xll.DBRW($C$1,$C$2,$C$3,$C$4,$C$6,$C$5,$C$7,G$1,G$2,$A242)</f>
        <v>-527389.17000000004</v>
      </c>
      <c r="H242" s="32">
        <f ca="1">_xll.DBRW($C$1,$C$2,$C$3,$C$4,$C$6,$C$5,$C$7,H$1,H$2,$A242)</f>
        <v>0</v>
      </c>
      <c r="J242" s="33">
        <f t="shared" ca="1" si="55"/>
        <v>527389.17000000004</v>
      </c>
      <c r="K242" s="33">
        <f t="shared" ca="1" si="56"/>
        <v>0</v>
      </c>
    </row>
    <row r="243" spans="1:11" ht="15.75">
      <c r="C243" s="141"/>
      <c r="E243" s="83" t="s">
        <v>52</v>
      </c>
      <c r="F243" s="38">
        <f t="shared" ref="F243:H243" ca="1" si="65">F242</f>
        <v>0</v>
      </c>
      <c r="G243" s="38">
        <f t="shared" ca="1" si="65"/>
        <v>-527389.17000000004</v>
      </c>
      <c r="H243" s="38">
        <f t="shared" ca="1" si="65"/>
        <v>0</v>
      </c>
      <c r="J243" s="33">
        <f t="shared" ca="1" si="55"/>
        <v>527389.17000000004</v>
      </c>
      <c r="K243" s="33">
        <f t="shared" ca="1" si="56"/>
        <v>0</v>
      </c>
    </row>
    <row r="244" spans="1:11" ht="15.75" hidden="1" customHeight="1">
      <c r="A244" s="1" t="s">
        <v>306</v>
      </c>
      <c r="C244" s="141"/>
      <c r="E244" s="9" t="str">
        <f ca="1">_xll.DBRW(Server&amp;"}ElementAttributes_Indicator",A244,"code_English")</f>
        <v>PL0000_RD - R &amp; D</v>
      </c>
      <c r="F244" s="32">
        <f ca="1">_xll.DBRW($C$1,$C$2,$C$3,$C$4,$C$6,$C$5,$C$7,F$1,F$2,$A244)</f>
        <v>0</v>
      </c>
      <c r="G244" s="32">
        <f ca="1">_xll.DBRW($C$1,$C$2,$C$3,$C$4,$C$6,$C$5,$C$7,G$1,G$2,$A244)</f>
        <v>-521981.19</v>
      </c>
      <c r="H244" s="32">
        <f ca="1">_xll.DBRW($C$1,$C$2,$C$3,$C$4,$C$6,$C$5,$C$7,H$1,H$2,$A244)</f>
        <v>0</v>
      </c>
      <c r="J244" s="33">
        <f t="shared" ca="1" si="55"/>
        <v>521981.19</v>
      </c>
      <c r="K244" s="33">
        <f t="shared" ca="1" si="56"/>
        <v>0</v>
      </c>
    </row>
    <row r="245" spans="1:11" ht="15.75">
      <c r="C245" s="141"/>
      <c r="E245" s="83" t="s">
        <v>53</v>
      </c>
      <c r="F245" s="38">
        <f t="shared" ref="F245:H245" ca="1" si="66">F244</f>
        <v>0</v>
      </c>
      <c r="G245" s="38">
        <f t="shared" ca="1" si="66"/>
        <v>-521981.19</v>
      </c>
      <c r="H245" s="38">
        <f t="shared" ca="1" si="66"/>
        <v>0</v>
      </c>
      <c r="J245" s="33">
        <f t="shared" ca="1" si="55"/>
        <v>521981.19</v>
      </c>
      <c r="K245" s="33">
        <f t="shared" ca="1" si="56"/>
        <v>0</v>
      </c>
    </row>
    <row r="246" spans="1:11" ht="15.75" hidden="1" customHeight="1">
      <c r="A246" s="1" t="s">
        <v>307</v>
      </c>
      <c r="C246" s="141"/>
      <c r="E246" s="9" t="str">
        <f ca="1">_xll.DBRW(Server&amp;"}ElementAttributes_Indicator",A246,"code_English")</f>
        <v>PL0000_RM - Risk management</v>
      </c>
      <c r="F246" s="32">
        <f ca="1">_xll.DBRW($C$1,$C$2,$C$3,$C$4,$C$6,$C$5,$C$7,F$1,F$2,$A246)</f>
        <v>0</v>
      </c>
      <c r="G246" s="32">
        <f ca="1">_xll.DBRW($C$1,$C$2,$C$3,$C$4,$C$6,$C$5,$C$7,G$1,G$2,$A246)</f>
        <v>-232948.25</v>
      </c>
      <c r="H246" s="32">
        <f ca="1">_xll.DBRW($C$1,$C$2,$C$3,$C$4,$C$6,$C$5,$C$7,H$1,H$2,$A246)</f>
        <v>0</v>
      </c>
      <c r="J246" s="33">
        <f t="shared" ca="1" si="55"/>
        <v>232948.25</v>
      </c>
      <c r="K246" s="33">
        <f t="shared" ca="1" si="56"/>
        <v>0</v>
      </c>
    </row>
    <row r="247" spans="1:11" ht="15.75">
      <c r="C247" s="141"/>
      <c r="E247" s="83" t="s">
        <v>54</v>
      </c>
      <c r="F247" s="38">
        <f t="shared" ref="F247:H247" ca="1" si="67">F246</f>
        <v>0</v>
      </c>
      <c r="G247" s="38">
        <f t="shared" ca="1" si="67"/>
        <v>-232948.25</v>
      </c>
      <c r="H247" s="38">
        <f t="shared" ca="1" si="67"/>
        <v>0</v>
      </c>
      <c r="J247" s="33">
        <f t="shared" ca="1" si="55"/>
        <v>232948.25</v>
      </c>
      <c r="K247" s="33">
        <f t="shared" ca="1" si="56"/>
        <v>0</v>
      </c>
    </row>
    <row r="248" spans="1:11" ht="15.75" hidden="1" customHeight="1">
      <c r="A248" s="1" t="s">
        <v>308</v>
      </c>
      <c r="C248" s="141"/>
      <c r="E248" s="9" t="str">
        <f ca="1">_xll.DBRW(Server&amp;"}ElementAttributes_Indicator",A248,"code_English")</f>
        <v>PL0000_SE - QHSE</v>
      </c>
      <c r="F248" s="32">
        <f ca="1">_xll.DBRW($C$1,$C$2,$C$3,$C$4,$C$6,$C$5,$C$7,F$1,F$2,$A248)</f>
        <v>0</v>
      </c>
      <c r="G248" s="32">
        <f ca="1">_xll.DBRW($C$1,$C$2,$C$3,$C$4,$C$6,$C$5,$C$7,G$1,G$2,$A248)</f>
        <v>0</v>
      </c>
      <c r="H248" s="32">
        <f ca="1">_xll.DBRW($C$1,$C$2,$C$3,$C$4,$C$6,$C$5,$C$7,H$1,H$2,$A248)</f>
        <v>0</v>
      </c>
      <c r="J248" s="33">
        <f t="shared" ca="1" si="55"/>
        <v>0</v>
      </c>
      <c r="K248" s="33">
        <f t="shared" ca="1" si="56"/>
        <v>0</v>
      </c>
    </row>
    <row r="249" spans="1:11" ht="15.75">
      <c r="C249" s="141"/>
      <c r="E249" s="83" t="s">
        <v>55</v>
      </c>
      <c r="F249" s="38">
        <f t="shared" ref="F249:H249" ca="1" si="68">F248</f>
        <v>0</v>
      </c>
      <c r="G249" s="38">
        <f t="shared" ca="1" si="68"/>
        <v>0</v>
      </c>
      <c r="H249" s="38">
        <f t="shared" ca="1" si="68"/>
        <v>0</v>
      </c>
      <c r="J249" s="33">
        <f t="shared" ca="1" si="55"/>
        <v>0</v>
      </c>
      <c r="K249" s="33">
        <f t="shared" ca="1" si="56"/>
        <v>0</v>
      </c>
    </row>
    <row r="250" spans="1:11" ht="15.75" hidden="1" customHeight="1">
      <c r="A250" s="1" t="s">
        <v>309</v>
      </c>
      <c r="C250" s="141"/>
      <c r="E250" s="9" t="str">
        <f ca="1">_xll.DBRW(Server&amp;"}ElementAttributes_Indicator",A250,"code_English")</f>
        <v>PL0000_TD - Technical department</v>
      </c>
      <c r="F250" s="32">
        <f ca="1">_xll.DBRW($C$1,$C$2,$C$3,$C$4,$C$6,$C$5,$C$7,F$1,F$2,$A250)</f>
        <v>0</v>
      </c>
      <c r="G250" s="32">
        <f ca="1">_xll.DBRW($C$1,$C$2,$C$3,$C$4,$C$6,$C$5,$C$7,G$1,G$2,$A250)</f>
        <v>0</v>
      </c>
      <c r="H250" s="32">
        <f ca="1">_xll.DBRW($C$1,$C$2,$C$3,$C$4,$C$6,$C$5,$C$7,H$1,H$2,$A250)</f>
        <v>0</v>
      </c>
      <c r="J250" s="33">
        <f t="shared" ca="1" si="55"/>
        <v>0</v>
      </c>
      <c r="K250" s="33">
        <f t="shared" ca="1" si="56"/>
        <v>0</v>
      </c>
    </row>
    <row r="251" spans="1:11" ht="15.75">
      <c r="C251" s="141"/>
      <c r="E251" s="83" t="s">
        <v>56</v>
      </c>
      <c r="F251" s="38">
        <f t="shared" ref="F251:H251" ca="1" si="69">F250</f>
        <v>0</v>
      </c>
      <c r="G251" s="38">
        <f t="shared" ca="1" si="69"/>
        <v>0</v>
      </c>
      <c r="H251" s="38">
        <f t="shared" ca="1" si="69"/>
        <v>0</v>
      </c>
      <c r="J251" s="33">
        <f t="shared" ca="1" si="55"/>
        <v>0</v>
      </c>
      <c r="K251" s="33">
        <f t="shared" ca="1" si="56"/>
        <v>0</v>
      </c>
    </row>
    <row r="252" spans="1:11" ht="15.75" hidden="1" customHeight="1">
      <c r="A252" s="1" t="s">
        <v>310</v>
      </c>
      <c r="C252" s="141"/>
      <c r="E252" s="9" t="str">
        <f ca="1">_xll.DBRW(Server&amp;"}ElementAttributes_Indicator",A252,"code_English")</f>
        <v>PL0000_TM - Tax Management</v>
      </c>
      <c r="F252" s="32">
        <f ca="1">_xll.DBRW($C$1,$C$2,$C$3,$C$4,$C$6,$C$5,$C$7,F$1,F$2,$A252)</f>
        <v>0</v>
      </c>
      <c r="G252" s="32">
        <f ca="1">_xll.DBRW($C$1,$C$2,$C$3,$C$4,$C$6,$C$5,$C$7,G$1,G$2,$A252)</f>
        <v>0</v>
      </c>
      <c r="H252" s="32">
        <f ca="1">_xll.DBRW($C$1,$C$2,$C$3,$C$4,$C$6,$C$5,$C$7,H$1,H$2,$A252)</f>
        <v>0</v>
      </c>
      <c r="J252" s="33">
        <f t="shared" ca="1" si="55"/>
        <v>0</v>
      </c>
      <c r="K252" s="33">
        <f t="shared" ca="1" si="56"/>
        <v>0</v>
      </c>
    </row>
    <row r="253" spans="1:11" ht="15.75">
      <c r="C253" s="141"/>
      <c r="E253" s="83" t="s">
        <v>57</v>
      </c>
      <c r="F253" s="38">
        <f t="shared" ref="F253:H253" ca="1" si="70">F252</f>
        <v>0</v>
      </c>
      <c r="G253" s="38">
        <f t="shared" ca="1" si="70"/>
        <v>0</v>
      </c>
      <c r="H253" s="38">
        <f t="shared" ca="1" si="70"/>
        <v>0</v>
      </c>
      <c r="J253" s="33">
        <f t="shared" ca="1" si="55"/>
        <v>0</v>
      </c>
      <c r="K253" s="33">
        <f t="shared" ca="1" si="56"/>
        <v>0</v>
      </c>
    </row>
    <row r="254" spans="1:11" ht="15.75" hidden="1" customHeight="1">
      <c r="A254" s="1" t="s">
        <v>311</v>
      </c>
      <c r="C254" s="141"/>
      <c r="E254" s="9" t="str">
        <f ca="1">_xll.DBRW(Server&amp;"}ElementAttributes_Indicator",A254,"code_English")</f>
        <v>PL0000_MGF - Management fees</v>
      </c>
      <c r="F254" s="32">
        <f ca="1">_xll.DBRW($C$1,$C$2,$C$3,$C$4,$C$6,$C$5,$C$7,F$1,F$2,$A254)</f>
        <v>0</v>
      </c>
      <c r="G254" s="32">
        <f ca="1">_xll.DBRW($C$1,$C$2,$C$3,$C$4,$C$6,$C$5,$C$7,G$1,G$2,$A254)</f>
        <v>-1730252.69</v>
      </c>
      <c r="H254" s="32">
        <f ca="1">_xll.DBRW($C$1,$C$2,$C$3,$C$4,$C$6,$C$5,$C$7,H$1,H$2,$A254)</f>
        <v>0</v>
      </c>
      <c r="J254" s="33">
        <f t="shared" ca="1" si="55"/>
        <v>1730252.69</v>
      </c>
      <c r="K254" s="33">
        <f t="shared" ca="1" si="56"/>
        <v>0</v>
      </c>
    </row>
    <row r="255" spans="1:11" ht="15.75">
      <c r="C255" s="141"/>
      <c r="E255" s="83" t="s">
        <v>58</v>
      </c>
      <c r="F255" s="38">
        <f t="shared" ref="F255:H255" ca="1" si="71">F254</f>
        <v>0</v>
      </c>
      <c r="G255" s="38">
        <f t="shared" ca="1" si="71"/>
        <v>-1730252.69</v>
      </c>
      <c r="H255" s="38">
        <f t="shared" ca="1" si="71"/>
        <v>0</v>
      </c>
      <c r="J255" s="33">
        <f t="shared" ca="1" si="55"/>
        <v>1730252.69</v>
      </c>
      <c r="K255" s="33">
        <f t="shared" ca="1" si="56"/>
        <v>0</v>
      </c>
    </row>
    <row r="256" spans="1:11" ht="15.75" hidden="1" customHeight="1">
      <c r="A256" s="1" t="s">
        <v>312</v>
      </c>
      <c r="C256" s="141"/>
      <c r="E256" s="9" t="str">
        <f ca="1">_xll.DBRW(Server&amp;"}ElementAttributes_Indicator",A256,"code_English")</f>
        <v>PL0000_TPL13 - G&amp;A Overhead costs - Vector Reconciliation</v>
      </c>
      <c r="F256" s="32">
        <f ca="1">_xll.DBRW($C$1,$C$2,$C$3,$C$4,$C$6,$C$5,$C$7,F$1,F$2,$A256)</f>
        <v>0</v>
      </c>
      <c r="G256" s="32">
        <f ca="1">_xll.DBRW($C$1,$C$2,$C$3,$C$4,$C$6,$C$5,$C$7,G$1,G$2,$A256)</f>
        <v>0</v>
      </c>
      <c r="H256" s="32">
        <f ca="1">_xll.DBRW($C$1,$C$2,$C$3,$C$4,$C$6,$C$5,$C$7,H$1,H$2,$A256)</f>
        <v>0</v>
      </c>
      <c r="J256" s="32">
        <f t="shared" ca="1" si="55"/>
        <v>0</v>
      </c>
      <c r="K256" s="32">
        <f t="shared" ca="1" si="56"/>
        <v>0</v>
      </c>
    </row>
    <row r="257" spans="1:11" ht="15.75">
      <c r="A257" s="1" t="s">
        <v>127</v>
      </c>
      <c r="C257" s="141"/>
      <c r="E257" s="22" t="s">
        <v>59</v>
      </c>
      <c r="F257" s="35">
        <f t="shared" ref="F257:H257" ca="1" si="72">F256</f>
        <v>0</v>
      </c>
      <c r="G257" s="35">
        <f t="shared" ca="1" si="72"/>
        <v>0</v>
      </c>
      <c r="H257" s="35">
        <f t="shared" ca="1" si="72"/>
        <v>0</v>
      </c>
      <c r="J257" s="32">
        <f t="shared" ca="1" si="55"/>
        <v>0</v>
      </c>
      <c r="K257" s="32">
        <f t="shared" ca="1" si="56"/>
        <v>0</v>
      </c>
    </row>
    <row r="258" spans="1:11" ht="15.75" collapsed="1">
      <c r="A258" s="1" t="s">
        <v>60</v>
      </c>
      <c r="C258" s="141"/>
      <c r="E258" s="11" t="s">
        <v>60</v>
      </c>
      <c r="F258" s="34">
        <f ca="1">F225+F227+F229+F231+F233+F235+F237+F239+F241+F243+F245+F247+F249+F251+F253+F255+F257</f>
        <v>0</v>
      </c>
      <c r="G258" s="34">
        <f t="shared" ref="G258:H258" ca="1" si="73">G225+G227+G229+G231+G233+G235+G237+G239+G241+G243+G245+G247+G249+G251+G253+G255+G257</f>
        <v>-22781839.470000003</v>
      </c>
      <c r="H258" s="34">
        <f t="shared" ca="1" si="73"/>
        <v>0</v>
      </c>
      <c r="J258" s="30">
        <f ca="1">F258-G258</f>
        <v>22781839.470000003</v>
      </c>
      <c r="K258" s="30">
        <f ca="1">F258-H258</f>
        <v>0</v>
      </c>
    </row>
    <row r="259" spans="1:11" ht="15.75" hidden="1" customHeight="1">
      <c r="A259" s="1" t="s">
        <v>313</v>
      </c>
      <c r="C259" s="141"/>
      <c r="E259" s="9" t="str">
        <f ca="1">_xll.DBRW(Server&amp;"}ElementAttributes_Indicator",A259,"code_English")</f>
        <v>PL0000_OO - Other operating rev. &amp; exp.</v>
      </c>
      <c r="F259" s="31">
        <f ca="1">_xll.DBRW($C$1,$C$2,$C$3,$C$4,$C$6,$C$5,$C$7,F$1,F$2,$A259)</f>
        <v>0</v>
      </c>
      <c r="G259" s="31">
        <f ca="1">_xll.DBRW($C$1,$C$2,$C$3,$C$4,$C$6,$C$5,$C$7,G$1,G$2,$A259)</f>
        <v>0</v>
      </c>
      <c r="H259" s="31">
        <f ca="1">_xll.DBRW($C$1,$C$2,$C$3,$C$4,$C$6,$C$5,$C$7,H$1,H$2,$A259)</f>
        <v>0</v>
      </c>
    </row>
    <row r="260" spans="1:11" ht="15.75" hidden="1" customHeight="1">
      <c r="A260" s="1" t="s">
        <v>314</v>
      </c>
      <c r="C260" s="141"/>
      <c r="E260" s="9" t="str">
        <f ca="1">_xll.DBRW(Server&amp;"}ElementAttributes_Indicator",A260,"code_English")</f>
        <v>PL0000_TPL14 - Other operating rev. &amp; exp. - Vector Reconciliation</v>
      </c>
      <c r="F260" s="31">
        <f ca="1">_xll.DBRW($C$1,$C$2,$C$3,$C$4,$C$6,$C$5,$C$7,F$1,F$2,$A260)</f>
        <v>0</v>
      </c>
      <c r="G260" s="31">
        <f ca="1">_xll.DBRW($C$1,$C$2,$C$3,$C$4,$C$6,$C$5,$C$7,G$1,G$2,$A260)</f>
        <v>0</v>
      </c>
      <c r="H260" s="31">
        <f ca="1">_xll.DBRW($C$1,$C$2,$C$3,$C$4,$C$6,$C$5,$C$7,H$1,H$2,$A260)</f>
        <v>0</v>
      </c>
    </row>
    <row r="261" spans="1:11" ht="15.75" collapsed="1">
      <c r="A261" s="1" t="s">
        <v>127</v>
      </c>
      <c r="C261" s="141"/>
      <c r="E261" s="11" t="s">
        <v>61</v>
      </c>
      <c r="F261" s="34">
        <f t="shared" ref="F261:H261" ca="1" si="74">F259+F260</f>
        <v>0</v>
      </c>
      <c r="G261" s="34">
        <f t="shared" ca="1" si="74"/>
        <v>0</v>
      </c>
      <c r="H261" s="34">
        <f t="shared" ca="1" si="74"/>
        <v>0</v>
      </c>
      <c r="J261" s="30">
        <f ca="1">F261-G261</f>
        <v>0</v>
      </c>
      <c r="K261" s="30">
        <f ca="1">F261-H261</f>
        <v>0</v>
      </c>
    </row>
    <row r="262" spans="1:11" ht="15.75" hidden="1" customHeight="1">
      <c r="A262" s="1" t="s">
        <v>315</v>
      </c>
      <c r="C262" s="141"/>
      <c r="E262" s="9" t="str">
        <f ca="1">_xll.DBRW(Server&amp;"}ElementAttributes_Indicator",A262,"code_English")</f>
        <v>PL1500_JV - P&amp;L JV - Share in profit or loss of joint ventures (from 2013)</v>
      </c>
      <c r="F262" s="31">
        <f ca="1">_xll.DBRW($C$1,$C$2,$C$3,$C$4,$C$6,$C$5,$C$7,F$1,F$2,$A262)</f>
        <v>0</v>
      </c>
      <c r="G262" s="31">
        <f ca="1">_xll.DBRW($C$1,$C$2,$C$3,$C$4,$C$6,$C$5,$C$7,G$1,G$2,$A262)</f>
        <v>0</v>
      </c>
      <c r="H262" s="31">
        <f ca="1">_xll.DBRW($C$1,$C$2,$C$3,$C$4,$C$6,$C$5,$C$7,H$1,H$2,$A262)</f>
        <v>0</v>
      </c>
    </row>
    <row r="263" spans="1:11" ht="15.75" hidden="1" customHeight="1">
      <c r="A263" s="1" t="s">
        <v>316</v>
      </c>
      <c r="C263" s="141"/>
      <c r="E263" s="9" t="str">
        <f ca="1">_xll.DBRW(Server&amp;"}ElementAttributes_Indicator",A263,"code_English")</f>
        <v>PL1500_XX - Vector Reconciliation (TPL15) - Share in profit or loss of joint ventures (from 2013)</v>
      </c>
      <c r="F263" s="31">
        <f ca="1">_xll.DBRW($C$1,$C$2,$C$3,$C$4,$C$6,$C$5,$C$7,F$1,F$2,$A263)</f>
        <v>0</v>
      </c>
      <c r="G263" s="31">
        <f ca="1">_xll.DBRW($C$1,$C$2,$C$3,$C$4,$C$6,$C$5,$C$7,G$1,G$2,$A263)</f>
        <v>0</v>
      </c>
      <c r="H263" s="31">
        <f ca="1">_xll.DBRW($C$1,$C$2,$C$3,$C$4,$C$6,$C$5,$C$7,H$1,H$2,$A263)</f>
        <v>0</v>
      </c>
    </row>
    <row r="264" spans="1:11" ht="15.75" hidden="1" customHeight="1">
      <c r="A264" s="1" t="s">
        <v>317</v>
      </c>
      <c r="C264" s="141"/>
      <c r="E264" s="9" t="str">
        <f ca="1">_xll.DBRW(Server&amp;"}ElementAttributes_Indicator",A264,"code_English")</f>
        <v>PL1520_JV - P&amp;L JV - Impairment - Goodwill (joint ventures)  (from 2013)</v>
      </c>
      <c r="F264" s="31">
        <f ca="1">_xll.DBRW($C$1,$C$2,$C$3,$C$4,$C$6,$C$5,$C$7,F$1,F$2,$A264)</f>
        <v>0</v>
      </c>
      <c r="G264" s="31">
        <f ca="1">_xll.DBRW($C$1,$C$2,$C$3,$C$4,$C$6,$C$5,$C$7,G$1,G$2,$A264)</f>
        <v>0</v>
      </c>
      <c r="H264" s="31">
        <f ca="1">_xll.DBRW($C$1,$C$2,$C$3,$C$4,$C$6,$C$5,$C$7,H$1,H$2,$A264)</f>
        <v>0</v>
      </c>
    </row>
    <row r="265" spans="1:11" ht="15.75" hidden="1" customHeight="1">
      <c r="A265" s="1" t="s">
        <v>318</v>
      </c>
      <c r="C265" s="141"/>
      <c r="E265" s="9" t="str">
        <f ca="1">_xll.DBRW(Server&amp;"}ElementAttributes_Indicator",A265,"code_English")</f>
        <v>PL1520_XX - Vector Reconciliation (TPL15) - Impairment - Goodwill (joint ventures)  (from 2013)</v>
      </c>
      <c r="F265" s="31">
        <f ca="1">_xll.DBRW($C$1,$C$2,$C$3,$C$4,$C$6,$C$5,$C$7,F$1,F$2,$A265)</f>
        <v>0</v>
      </c>
      <c r="G265" s="31">
        <f ca="1">_xll.DBRW($C$1,$C$2,$C$3,$C$4,$C$6,$C$5,$C$7,G$1,G$2,$A265)</f>
        <v>0</v>
      </c>
      <c r="H265" s="31">
        <f ca="1">_xll.DBRW($C$1,$C$2,$C$3,$C$4,$C$6,$C$5,$C$7,H$1,H$2,$A265)</f>
        <v>0</v>
      </c>
    </row>
    <row r="266" spans="1:11" ht="15.75" collapsed="1">
      <c r="A266" s="1" t="s">
        <v>127</v>
      </c>
      <c r="C266" s="141"/>
      <c r="E266" s="11" t="s">
        <v>62</v>
      </c>
      <c r="F266" s="34">
        <f ca="1">SUM(F262:F265)</f>
        <v>0</v>
      </c>
      <c r="G266" s="34">
        <f ca="1">SUM(G262:G265)</f>
        <v>0</v>
      </c>
      <c r="H266" s="34">
        <f ca="1">SUM(H262:H265)</f>
        <v>0</v>
      </c>
      <c r="J266" s="30">
        <f ca="1">F266-G266</f>
        <v>0</v>
      </c>
      <c r="K266" s="30">
        <f ca="1">F266-H266</f>
        <v>0</v>
      </c>
    </row>
    <row r="267" spans="1:11" ht="15.75" hidden="1" customHeight="1">
      <c r="A267" s="1" t="s">
        <v>319</v>
      </c>
      <c r="C267" s="141"/>
      <c r="E267" s="9" t="str">
        <f ca="1">_xll.DBRW(Server&amp;"}ElementAttributes_Indicator",A267,"code_English")</f>
        <v>PL1600_AS - P&amp;L AS - Share in profit or loss of associates (from 2013)</v>
      </c>
      <c r="F267" s="31">
        <f ca="1">_xll.DBRW($C$1,$C$2,$C$3,$C$4,$C$6,$C$5,$C$7,F$1,F$2,$A267)</f>
        <v>0</v>
      </c>
      <c r="G267" s="31">
        <f ca="1">_xll.DBRW($C$1,$C$2,$C$3,$C$4,$C$6,$C$5,$C$7,G$1,G$2,$A267)</f>
        <v>0</v>
      </c>
      <c r="H267" s="31">
        <f ca="1">_xll.DBRW($C$1,$C$2,$C$3,$C$4,$C$6,$C$5,$C$7,H$1,H$2,$A267)</f>
        <v>0</v>
      </c>
    </row>
    <row r="268" spans="1:11" ht="15.75" hidden="1" customHeight="1">
      <c r="A268" s="1" t="s">
        <v>320</v>
      </c>
      <c r="C268" s="141"/>
      <c r="E268" s="9" t="str">
        <f ca="1">_xll.DBRW(Server&amp;"}ElementAttributes_Indicator",A268,"code_English")</f>
        <v>PL1600_XX - Vector Reconciliation (TPL16) - Share in profit or loss of associates (from 2013)</v>
      </c>
      <c r="F268" s="31">
        <f ca="1">_xll.DBRW($C$1,$C$2,$C$3,$C$4,$C$6,$C$5,$C$7,F$1,F$2,$A268)</f>
        <v>0</v>
      </c>
      <c r="G268" s="31">
        <f ca="1">_xll.DBRW($C$1,$C$2,$C$3,$C$4,$C$6,$C$5,$C$7,G$1,G$2,$A268)</f>
        <v>0</v>
      </c>
      <c r="H268" s="31">
        <f ca="1">_xll.DBRW($C$1,$C$2,$C$3,$C$4,$C$6,$C$5,$C$7,H$1,H$2,$A268)</f>
        <v>0</v>
      </c>
    </row>
    <row r="269" spans="1:11" ht="15.75" hidden="1" customHeight="1">
      <c r="A269" s="1" t="s">
        <v>321</v>
      </c>
      <c r="C269" s="141"/>
      <c r="E269" s="9" t="str">
        <f ca="1">_xll.DBRW(Server&amp;"}ElementAttributes_Indicator",A269,"code_English")</f>
        <v>PL1620_AS - P&amp;L AS - Impairment - Goodwill (Associates) (from 2013)</v>
      </c>
      <c r="F269" s="31">
        <f ca="1">_xll.DBRW($C$1,$C$2,$C$3,$C$4,$C$6,$C$5,$C$7,F$1,F$2,$A269)</f>
        <v>0</v>
      </c>
      <c r="G269" s="31">
        <f ca="1">_xll.DBRW($C$1,$C$2,$C$3,$C$4,$C$6,$C$5,$C$7,G$1,G$2,$A269)</f>
        <v>0</v>
      </c>
      <c r="H269" s="31">
        <f ca="1">_xll.DBRW($C$1,$C$2,$C$3,$C$4,$C$6,$C$5,$C$7,H$1,H$2,$A269)</f>
        <v>0</v>
      </c>
    </row>
    <row r="270" spans="1:11" ht="15.75" hidden="1" customHeight="1">
      <c r="A270" s="1" t="s">
        <v>322</v>
      </c>
      <c r="C270" s="141"/>
      <c r="E270" s="9" t="str">
        <f ca="1">_xll.DBRW(Server&amp;"}ElementAttributes_Indicator",A270,"code_English")</f>
        <v>PL1620_XX - Vector Reconciliation (TPL16) - Impairment - Goodwill (Associates) (from 2013)</v>
      </c>
      <c r="F270" s="31">
        <f ca="1">_xll.DBRW($C$1,$C$2,$C$3,$C$4,$C$6,$C$5,$C$7,F$1,F$2,$A270)</f>
        <v>0</v>
      </c>
      <c r="G270" s="31">
        <f ca="1">_xll.DBRW($C$1,$C$2,$C$3,$C$4,$C$6,$C$5,$C$7,G$1,G$2,$A270)</f>
        <v>0</v>
      </c>
      <c r="H270" s="31">
        <f ca="1">_xll.DBRW($C$1,$C$2,$C$3,$C$4,$C$6,$C$5,$C$7,H$1,H$2,$A270)</f>
        <v>0</v>
      </c>
    </row>
    <row r="271" spans="1:11" ht="15.75">
      <c r="A271" s="1" t="s">
        <v>323</v>
      </c>
      <c r="C271" s="141"/>
      <c r="E271" s="11" t="s">
        <v>63</v>
      </c>
      <c r="F271" s="34">
        <f t="shared" ref="F271:H271" ca="1" si="75">SUM(F267:F270)</f>
        <v>0</v>
      </c>
      <c r="G271" s="34">
        <f t="shared" ca="1" si="75"/>
        <v>0</v>
      </c>
      <c r="H271" s="34">
        <f t="shared" ca="1" si="75"/>
        <v>0</v>
      </c>
      <c r="J271" s="30">
        <f ca="1">F271-G271</f>
        <v>0</v>
      </c>
      <c r="K271" s="30">
        <f ca="1">F271-H271</f>
        <v>0</v>
      </c>
    </row>
    <row r="272" spans="1:11" ht="15.6" hidden="1" customHeight="1">
      <c r="A272" s="1" t="s">
        <v>324</v>
      </c>
      <c r="C272" s="141"/>
      <c r="E272" s="9" t="str">
        <f ca="1">_xll.DBRW(Server&amp;"}ElementAttributes_Indicator",A272,"code_English")</f>
        <v>RESOP_bef_mgmt_fees - OPERATING PROFIT bef. Mgmt &amp; Brand fees</v>
      </c>
      <c r="F272" s="31">
        <f ca="1">_xll.DBRW($C$1,$C$2,$C$3,$C$4,$C$6,$C$5,$C$7,F$1,F$2,$A272)</f>
        <v>0</v>
      </c>
      <c r="G272" s="31">
        <f ca="1">_xll.DBRW($C$1,$C$2,$C$3,$C$4,$C$6,$C$5,$C$7,G$1,G$2,$A272)</f>
        <v>4403533.7199999969</v>
      </c>
      <c r="H272" s="31">
        <f ca="1">_xll.DBRW($C$1,$C$2,$C$3,$C$4,$C$6,$C$5,$C$7,H$1,H$2,$A272)</f>
        <v>0</v>
      </c>
    </row>
    <row r="273" spans="1:11" ht="15.75" collapsed="1">
      <c r="A273" s="1" t="s">
        <v>127</v>
      </c>
      <c r="C273" s="141"/>
      <c r="E273" s="19" t="s">
        <v>64</v>
      </c>
      <c r="F273" s="36">
        <f ca="1">F272</f>
        <v>0</v>
      </c>
      <c r="G273" s="36">
        <f t="shared" ref="G273:H273" ca="1" si="76">G272</f>
        <v>4403533.7199999969</v>
      </c>
      <c r="H273" s="36">
        <f t="shared" ca="1" si="76"/>
        <v>0</v>
      </c>
      <c r="J273" s="95">
        <f ca="1">F273-G273</f>
        <v>-4403533.7199999969</v>
      </c>
      <c r="K273" s="95" t="e">
        <f ca="1">F276-H276</f>
        <v>#VALUE!</v>
      </c>
    </row>
    <row r="274" spans="1:11" ht="15.6" hidden="1" customHeight="1">
      <c r="A274" s="1" t="s">
        <v>325</v>
      </c>
      <c r="C274" s="141"/>
      <c r="E274" s="9" t="str">
        <f ca="1">_xll.DBRW(Server&amp;"}ElementAttributes_Indicator",A274,"code_English")</f>
        <v>TPL1_nat - OPERATING PROFIT (by nature)</v>
      </c>
      <c r="F274" s="31">
        <f ca="1">_xll.DBRW($C$1,$C$2,$C$3,$C$4,$C$6,$C$5,$C$7,F$1,F$2,$A274)</f>
        <v>0</v>
      </c>
      <c r="G274" s="31">
        <f ca="1">_xll.DBRW($C$1,$C$2,$C$3,$C$4,$C$6,$C$5,$C$7,G$1,G$2,$A274)</f>
        <v>4403533.7200000072</v>
      </c>
      <c r="H274" s="31">
        <f ca="1">_xll.DBRW($C$1,$C$2,$C$3,$C$4,$C$6,$C$5,$C$7,H$1,H$2,$A274)</f>
        <v>0</v>
      </c>
    </row>
    <row r="275" spans="1:11" ht="15.75" collapsed="1">
      <c r="A275" s="1" t="s">
        <v>127</v>
      </c>
      <c r="C275" s="141"/>
      <c r="E275" s="19" t="s">
        <v>65</v>
      </c>
      <c r="F275" s="36">
        <f ca="1">F274</f>
        <v>0</v>
      </c>
      <c r="G275" s="36">
        <f t="shared" ref="G275:H275" ca="1" si="77">G274</f>
        <v>4403533.7200000072</v>
      </c>
      <c r="H275" s="36">
        <f t="shared" ca="1" si="77"/>
        <v>0</v>
      </c>
      <c r="J275" s="95">
        <f ca="1">F275-G275</f>
        <v>-4403533.7200000072</v>
      </c>
      <c r="K275" s="95">
        <f>F278-H278</f>
        <v>0</v>
      </c>
    </row>
    <row r="276" spans="1:11" ht="15">
      <c r="A276" s="1" t="s">
        <v>127</v>
      </c>
      <c r="C276" s="141"/>
      <c r="E276" s="20" t="s">
        <v>66</v>
      </c>
      <c r="F276" s="21" t="str">
        <f ca="1">IFERROR(F275/F21,"-")</f>
        <v>-</v>
      </c>
      <c r="G276" s="21">
        <f t="shared" ref="G276:H276" ca="1" si="78">IFERROR(G275/G21,"-")</f>
        <v>1.5263566691541023E-2</v>
      </c>
      <c r="H276" s="21" t="str">
        <f t="shared" ca="1" si="78"/>
        <v>-</v>
      </c>
      <c r="J276" s="21" t="e">
        <f ca="1">F276-G276</f>
        <v>#VALUE!</v>
      </c>
      <c r="K276" s="21" t="e">
        <f ca="1">F276-H276</f>
        <v>#VALUE!</v>
      </c>
    </row>
    <row r="277" spans="1:11" ht="15">
      <c r="A277" s="1" t="s">
        <v>127</v>
      </c>
      <c r="C277" s="25"/>
      <c r="E277" s="26"/>
      <c r="F277" s="51">
        <f ca="1">ROUND(F275-F221-F258-F261-F266-F271,4)</f>
        <v>0</v>
      </c>
      <c r="G277" s="51">
        <f t="shared" ref="G277" ca="1" si="79">ROUND(G275-G221-G258-G261-G266-G271,4)</f>
        <v>0</v>
      </c>
      <c r="H277" s="51">
        <f ca="1">ROUND(H275-H221-H258-H261-H266-H271,4)</f>
        <v>0</v>
      </c>
    </row>
    <row r="278" spans="1:11" ht="15.75">
      <c r="A278" s="1" t="s">
        <v>127</v>
      </c>
      <c r="E278" s="7"/>
      <c r="F278" s="27"/>
      <c r="G278" s="27"/>
      <c r="H278" s="27"/>
    </row>
    <row r="279" spans="1:11" ht="15.6" hidden="1" customHeight="1">
      <c r="A279" s="1" t="s">
        <v>326</v>
      </c>
      <c r="E279" s="9" t="str">
        <f ca="1">_xll.DBRW(Server&amp;"}ElementAttributes_Indicator",A279,"code_English")</f>
        <v>CAPEX_RS - Gross industrial CAPEX - Rolling stock</v>
      </c>
      <c r="F279" s="10">
        <f ca="1">_xll.DBRW($C$1,$C$2,$C$3,$C$4,$C$6,$C$5,$C$7,F$1,F$2,$A279)</f>
        <v>0</v>
      </c>
      <c r="G279" s="10">
        <f ca="1">_xll.DBRW($C$1,$C$2,$C$3,$C$4,$C$6,$C$5,$C$7,G$1,G$2,$A279)</f>
        <v>0</v>
      </c>
      <c r="H279" s="10">
        <f ca="1">_xll.DBRW($C$1,$C$2,$C$3,$C$4,$C$6,$C$5,$C$7,H$1,H$2,$A279)</f>
        <v>0</v>
      </c>
    </row>
    <row r="280" spans="1:11" ht="15.6" hidden="1" customHeight="1">
      <c r="A280" s="1" t="s">
        <v>327</v>
      </c>
      <c r="E280" s="9" t="str">
        <f ca="1">_xll.DBRW(Server&amp;"}ElementAttributes_Indicator",A280,"code_English")</f>
        <v>DISP_RS - Industrial Disposals - Rolling stock</v>
      </c>
      <c r="F280" s="10">
        <f ca="1">_xll.DBRW($C$1,$C$2,$C$3,$C$4,$C$6,$C$5,$C$7,F$1,F$2,$A280)</f>
        <v>0</v>
      </c>
      <c r="G280" s="10">
        <f ca="1">_xll.DBRW($C$1,$C$2,$C$3,$C$4,$C$6,$C$5,$C$7,G$1,G$2,$A280)</f>
        <v>0</v>
      </c>
      <c r="H280" s="10">
        <f ca="1">_xll.DBRW($C$1,$C$2,$C$3,$C$4,$C$6,$C$5,$C$7,H$1,H$2,$A280)</f>
        <v>0</v>
      </c>
    </row>
    <row r="281" spans="1:11" ht="15.75" customHeight="1" collapsed="1">
      <c r="C281" s="141" t="s">
        <v>67</v>
      </c>
      <c r="E281" s="85" t="s">
        <v>68</v>
      </c>
      <c r="F281" s="39">
        <f t="shared" ref="F281:H281" ca="1" si="80">SUM(F279:F280)</f>
        <v>0</v>
      </c>
      <c r="G281" s="39">
        <f t="shared" ca="1" si="80"/>
        <v>0</v>
      </c>
      <c r="H281" s="39">
        <f t="shared" ca="1" si="80"/>
        <v>0</v>
      </c>
      <c r="J281" s="97">
        <f t="shared" ref="J281" ca="1" si="81">F281-G281</f>
        <v>0</v>
      </c>
      <c r="K281" s="97">
        <f t="shared" ref="K281" ca="1" si="82">F281-H281</f>
        <v>0</v>
      </c>
    </row>
    <row r="282" spans="1:11" ht="15.75" hidden="1" customHeight="1">
      <c r="A282" s="1" t="s">
        <v>328</v>
      </c>
      <c r="C282" s="141"/>
      <c r="E282" s="9" t="str">
        <f ca="1">_xll.DBRW(Server&amp;"}ElementAttributes_Indicator",A282,"code_English")</f>
        <v>CAPEX_BE - Gross industrial CAPEX - Buildings plants &amp; equipment</v>
      </c>
      <c r="F282" s="32">
        <f ca="1">_xll.DBRW($C$1,$C$2,$C$3,$C$4,$C$6,$C$5,$C$7,F$1,F$2,$A282)</f>
        <v>0</v>
      </c>
      <c r="G282" s="32">
        <f ca="1">_xll.DBRW($C$1,$C$2,$C$3,$C$4,$C$6,$C$5,$C$7,G$1,G$2,$A282)</f>
        <v>0</v>
      </c>
      <c r="H282" s="32">
        <f ca="1">_xll.DBRW($C$1,$C$2,$C$3,$C$4,$C$6,$C$5,$C$7,H$1,H$2,$A282)</f>
        <v>0</v>
      </c>
      <c r="J282" s="32">
        <f t="shared" ref="J282:J290" ca="1" si="83">F282-G282</f>
        <v>0</v>
      </c>
      <c r="K282" s="32">
        <f t="shared" ref="K282:K290" ca="1" si="84">F282-H282</f>
        <v>0</v>
      </c>
    </row>
    <row r="283" spans="1:11" ht="15.75" hidden="1" customHeight="1">
      <c r="A283" s="1" t="s">
        <v>329</v>
      </c>
      <c r="C283" s="141"/>
      <c r="E283" s="9" t="s">
        <v>365</v>
      </c>
      <c r="F283" s="32">
        <f ca="1">_xll.DBRW($C$1,$C$2,$C$3,$C$4,$C$6,$C$5,$C$7,F$1,F$2,$A283)</f>
        <v>0</v>
      </c>
      <c r="G283" s="32">
        <f ca="1">_xll.DBRW($C$1,$C$2,$C$3,$C$4,$C$6,$C$5,$C$7,G$1,G$2,$A283)</f>
        <v>0</v>
      </c>
      <c r="H283" s="32">
        <f ca="1">_xll.DBRW($C$1,$C$2,$C$3,$C$4,$C$6,$C$5,$C$7,H$1,H$2,$A283)</f>
        <v>0</v>
      </c>
      <c r="J283" s="32">
        <f t="shared" ca="1" si="83"/>
        <v>0</v>
      </c>
      <c r="K283" s="32">
        <f t="shared" ca="1" si="84"/>
        <v>0</v>
      </c>
    </row>
    <row r="284" spans="1:11" ht="15.75" collapsed="1">
      <c r="C284" s="141"/>
      <c r="E284" s="83" t="s">
        <v>69</v>
      </c>
      <c r="F284" s="38">
        <f t="shared" ref="F284:H284" ca="1" si="85">SUM(F282:F283)</f>
        <v>0</v>
      </c>
      <c r="G284" s="38">
        <f t="shared" ca="1" si="85"/>
        <v>0</v>
      </c>
      <c r="H284" s="38">
        <f t="shared" ca="1" si="85"/>
        <v>0</v>
      </c>
      <c r="J284" s="33">
        <f t="shared" ca="1" si="83"/>
        <v>0</v>
      </c>
      <c r="K284" s="33">
        <f t="shared" ca="1" si="84"/>
        <v>0</v>
      </c>
    </row>
    <row r="285" spans="1:11" ht="15.75" hidden="1" customHeight="1">
      <c r="A285" s="1" t="s">
        <v>352</v>
      </c>
      <c r="C285" s="141"/>
      <c r="E285" s="9" t="str">
        <f ca="1">_xll.DBRW(Server&amp;"}ElementAttributes_Indicator",A285,"code_English")</f>
        <v>CAPEX_IT - Gross industrial CAPEX - IT</v>
      </c>
      <c r="F285" s="32"/>
      <c r="G285" s="32"/>
      <c r="H285" s="32"/>
      <c r="J285" s="33">
        <f t="shared" si="83"/>
        <v>0</v>
      </c>
      <c r="K285" s="33">
        <f t="shared" si="84"/>
        <v>0</v>
      </c>
    </row>
    <row r="286" spans="1:11" ht="15.75" hidden="1" customHeight="1">
      <c r="A286" s="1" t="s">
        <v>353</v>
      </c>
      <c r="C286" s="141"/>
      <c r="E286" s="9" t="str">
        <f ca="1">_xll.DBRW(Server&amp;"}ElementAttributes_Indicator",A286,"code_English")</f>
        <v>DISP_IT - Industrial Disposals - IT</v>
      </c>
      <c r="F286" s="32"/>
      <c r="G286" s="32"/>
      <c r="H286" s="32"/>
      <c r="J286" s="33">
        <f t="shared" si="83"/>
        <v>0</v>
      </c>
      <c r="K286" s="33">
        <f t="shared" si="84"/>
        <v>0</v>
      </c>
    </row>
    <row r="287" spans="1:11" ht="15.75" collapsed="1">
      <c r="C287" s="141"/>
      <c r="E287" s="83" t="s">
        <v>70</v>
      </c>
      <c r="F287" s="38">
        <f>SUM(F285:F286)</f>
        <v>0</v>
      </c>
      <c r="G287" s="38">
        <f t="shared" ref="G287:H287" si="86">SUM(G285:G286)</f>
        <v>0</v>
      </c>
      <c r="H287" s="38">
        <f t="shared" si="86"/>
        <v>0</v>
      </c>
      <c r="J287" s="33">
        <f t="shared" si="83"/>
        <v>0</v>
      </c>
      <c r="K287" s="33">
        <f t="shared" si="84"/>
        <v>0</v>
      </c>
    </row>
    <row r="288" spans="1:11" ht="15.75" hidden="1" customHeight="1">
      <c r="A288" s="1" t="s">
        <v>330</v>
      </c>
      <c r="C288" s="141"/>
      <c r="E288" s="9" t="str">
        <f ca="1">_xll.DBRW(Server&amp;"}ElementAttributes_Indicator",A288,"code_English")</f>
        <v>CAPEX_Other - Gross industrial CAPEX - Other</v>
      </c>
      <c r="F288" s="32">
        <f ca="1">_xll.DBRW($C$1,$C$2,$C$3,$C$4,$C$6,$C$5,$C$7,F$1,F$2,$A288)</f>
        <v>0</v>
      </c>
      <c r="G288" s="32">
        <f ca="1">_xll.DBRW($C$1,$C$2,$C$3,$C$4,$C$6,$C$5,$C$7,G$1,G$2,$A288)</f>
        <v>0</v>
      </c>
      <c r="H288" s="32">
        <f ca="1">_xll.DBRW($C$1,$C$2,$C$3,$C$4,$C$6,$C$5,$C$7,H$1,H$2,$A288)</f>
        <v>0</v>
      </c>
      <c r="J288" s="32">
        <f t="shared" ca="1" si="83"/>
        <v>0</v>
      </c>
      <c r="K288" s="32">
        <f t="shared" ca="1" si="84"/>
        <v>0</v>
      </c>
    </row>
    <row r="289" spans="1:11" ht="15.75" hidden="1" customHeight="1">
      <c r="A289" s="1" t="s">
        <v>331</v>
      </c>
      <c r="C289" s="141"/>
      <c r="E289" s="9" t="str">
        <f ca="1">_xll.DBRW(Server&amp;"}ElementAttributes_Indicator",A289,"code_English")</f>
        <v>DISP_Other - Industrial Disposals - Other</v>
      </c>
      <c r="F289" s="32">
        <f ca="1">_xll.DBRW($C$1,$C$2,$C$3,$C$4,$C$6,$C$5,$C$7,F$1,F$2,$A289)</f>
        <v>0</v>
      </c>
      <c r="G289" s="32">
        <f ca="1">_xll.DBRW($C$1,$C$2,$C$3,$C$4,$C$6,$C$5,$C$7,G$1,G$2,$A289)</f>
        <v>0</v>
      </c>
      <c r="H289" s="32">
        <f ca="1">_xll.DBRW($C$1,$C$2,$C$3,$C$4,$C$6,$C$5,$C$7,H$1,H$2,$A289)</f>
        <v>0</v>
      </c>
      <c r="J289" s="32">
        <f t="shared" ca="1" si="83"/>
        <v>0</v>
      </c>
      <c r="K289" s="32">
        <f t="shared" ca="1" si="84"/>
        <v>0</v>
      </c>
    </row>
    <row r="290" spans="1:11" ht="15.75" collapsed="1">
      <c r="C290" s="141"/>
      <c r="E290" s="86" t="s">
        <v>71</v>
      </c>
      <c r="F290" s="40">
        <f t="shared" ref="F290:H290" ca="1" si="87">SUM(F288:F289)</f>
        <v>0</v>
      </c>
      <c r="G290" s="40">
        <f t="shared" ca="1" si="87"/>
        <v>0</v>
      </c>
      <c r="H290" s="40">
        <f t="shared" ca="1" si="87"/>
        <v>0</v>
      </c>
      <c r="J290" s="32">
        <f t="shared" ca="1" si="83"/>
        <v>0</v>
      </c>
      <c r="K290" s="32">
        <f t="shared" ca="1" si="84"/>
        <v>0</v>
      </c>
    </row>
    <row r="291" spans="1:11" ht="15.75">
      <c r="A291" s="1" t="s">
        <v>127</v>
      </c>
      <c r="C291" s="141"/>
      <c r="E291" s="11" t="s">
        <v>72</v>
      </c>
      <c r="F291" s="34">
        <f t="shared" ref="F291:H291" ca="1" si="88">F281+F284+F290</f>
        <v>0</v>
      </c>
      <c r="G291" s="34">
        <f t="shared" ca="1" si="88"/>
        <v>0</v>
      </c>
      <c r="H291" s="34">
        <f t="shared" ca="1" si="88"/>
        <v>0</v>
      </c>
      <c r="J291" s="30">
        <f ca="1">F291-G291</f>
        <v>0</v>
      </c>
      <c r="K291" s="30">
        <f ca="1">F291-H291</f>
        <v>0</v>
      </c>
    </row>
    <row r="292" spans="1:11" ht="9" customHeight="1">
      <c r="A292" s="1" t="s">
        <v>127</v>
      </c>
      <c r="C292" s="141"/>
      <c r="E292" s="7"/>
      <c r="F292" s="8"/>
      <c r="G292" s="8"/>
      <c r="H292" s="8"/>
    </row>
    <row r="293" spans="1:11" ht="15.75" collapsed="1">
      <c r="A293" s="1" t="s">
        <v>332</v>
      </c>
      <c r="C293" s="141"/>
      <c r="E293" s="87" t="s">
        <v>73</v>
      </c>
      <c r="F293" s="39">
        <f ca="1">_xll.DBRW($C$1,$C$2,$C$3,$C$4,$C$6,$C$5,$C$7,F$1,F$2,$A293)</f>
        <v>0</v>
      </c>
      <c r="G293" s="39">
        <f ca="1">_xll.DBRW($C$1,$C$2,$C$3,$C$4,$C$6,$C$5,$C$7,G$1,G$2,$A293)</f>
        <v>0</v>
      </c>
      <c r="H293" s="39">
        <f ca="1">_xll.DBRW($C$1,$C$2,$C$3,$C$4,$C$6,$C$5,$C$7,H$1,H$2,$A293)</f>
        <v>0</v>
      </c>
      <c r="J293" s="98">
        <f t="shared" ref="J293" ca="1" si="89">F293-G293</f>
        <v>0</v>
      </c>
      <c r="K293" s="98">
        <f t="shared" ref="K293" ca="1" si="90">F293-H293</f>
        <v>0</v>
      </c>
    </row>
    <row r="294" spans="1:11" ht="15.75">
      <c r="A294" s="1" t="s">
        <v>371</v>
      </c>
      <c r="C294" s="141"/>
      <c r="E294" s="11" t="str">
        <f ca="1">_xll.DBRW(Server&amp;"}ElementAttributes_Indicator",A294,"code_English")</f>
        <v>ROCE - RETURN ON CAPITAL EMPLOYED</v>
      </c>
      <c r="F294" s="41">
        <f ca="1">_xll.DBRW($C$1,$C$2,$C$3,$C$4,$C$6,$C$5,$C$7,F$1,F$2,$A294)</f>
        <v>0</v>
      </c>
      <c r="G294" s="41">
        <f ca="1">_xll.DBRW($C$1,$C$2,$C$3,$C$4,$C$6,$C$5,$C$7,G$1,G$2,$A294)</f>
        <v>0</v>
      </c>
      <c r="H294" s="41">
        <f ca="1">_xll.DBRW($C$1,$C$2,$C$3,$C$4,$C$6,$C$5,$C$7,H$1,H$2,$A294)</f>
        <v>0</v>
      </c>
      <c r="J294" s="30">
        <f ca="1">F294-G294</f>
        <v>0</v>
      </c>
      <c r="K294" s="30">
        <f ca="1">F294-H294</f>
        <v>0</v>
      </c>
    </row>
    <row r="295" spans="1:11" ht="15.75">
      <c r="A295" s="1" t="s">
        <v>127</v>
      </c>
      <c r="C295" s="25"/>
      <c r="E295" s="61"/>
      <c r="F295" s="54"/>
      <c r="G295" s="54"/>
      <c r="H295" s="54"/>
    </row>
    <row r="296" spans="1:11" ht="15.75">
      <c r="A296" s="1" t="s">
        <v>127</v>
      </c>
      <c r="E296" s="18"/>
      <c r="F296" s="29"/>
      <c r="G296" s="29"/>
      <c r="H296" s="29"/>
    </row>
    <row r="297" spans="1:11" ht="15.6" hidden="1" customHeight="1">
      <c r="A297" s="1" t="s">
        <v>333</v>
      </c>
      <c r="E297" s="9" t="str">
        <f ca="1">_xll.DBRW(Server&amp;"}ElementAttributes_Indicator",A297,"code_English")</f>
        <v>Tot_km - Total KM self driven</v>
      </c>
      <c r="F297" s="16">
        <f ca="1">_xll.DBRW($C$1,$C$2,$C$3,$C$4,$C$6,$C$5,$C$7,F$1,F$2,$A297)</f>
        <v>0</v>
      </c>
      <c r="G297" s="16">
        <f ca="1">_xll.DBRW($C$1,$C$2,$C$3,$C$4,$C$6,$C$5,$C$7,G$1,G$2,$A297)</f>
        <v>44360559</v>
      </c>
      <c r="H297" s="16">
        <f ca="1">_xll.DBRW($C$1,$C$2,$C$3,$C$4,$C$6,$C$5,$C$7,H$1,H$2,$A297)</f>
        <v>0</v>
      </c>
    </row>
    <row r="298" spans="1:11" ht="15.6" hidden="1" customHeight="1">
      <c r="A298" s="74" t="s">
        <v>342</v>
      </c>
      <c r="B298" s="74"/>
      <c r="E298" s="9" t="str">
        <f ca="1">_xll.DBRW(Server&amp;"}ElementAttributes_Indicator",A298,"code_English")</f>
        <v>Tot_km_bus_coach - Total KM driven by buses/coaches</v>
      </c>
      <c r="F298" s="38">
        <f ca="1">_xll.DBRW($C$1,$C$2,$C$3,$C$4,$C$6,$C$5,$C$7,F$1,F$2,$A298)</f>
        <v>0</v>
      </c>
      <c r="G298" s="38">
        <f ca="1">_xll.DBRW($C$1,$C$2,$C$3,$C$4,$C$6,$C$5,$C$7,G$1,G$2,$A298)</f>
        <v>0</v>
      </c>
      <c r="H298" s="38">
        <f ca="1">_xll.DBRW($C$1,$C$2,$C$3,$C$4,$C$6,$C$5,$C$7,H$1,H$2,$A298)</f>
        <v>0</v>
      </c>
    </row>
    <row r="299" spans="1:11" ht="15.6" hidden="1" customHeight="1">
      <c r="A299" s="74" t="s">
        <v>343</v>
      </c>
      <c r="B299" s="74"/>
      <c r="E299" s="9" t="str">
        <f ca="1">_xll.DBRW(Server&amp;"}ElementAttributes_Indicator",A299,"code_English")</f>
        <v>Tot_km_light_vehicle - Total KM driven by light vehicles</v>
      </c>
      <c r="F299" s="38">
        <f ca="1">_xll.DBRW($C$1,$C$2,$C$3,$C$4,$C$6,$C$5,$C$7,F$1,F$2,$A299)</f>
        <v>0</v>
      </c>
      <c r="G299" s="38">
        <f ca="1">_xll.DBRW($C$1,$C$2,$C$3,$C$4,$C$6,$C$5,$C$7,G$1,G$2,$A299)</f>
        <v>0</v>
      </c>
      <c r="H299" s="38">
        <f ca="1">_xll.DBRW($C$1,$C$2,$C$3,$C$4,$C$6,$C$5,$C$7,H$1,H$2,$A299)</f>
        <v>0</v>
      </c>
    </row>
    <row r="300" spans="1:11" ht="15.6" hidden="1" customHeight="1">
      <c r="A300" s="74" t="s">
        <v>344</v>
      </c>
      <c r="B300" s="74"/>
      <c r="E300" s="9" t="str">
        <f ca="1">_xll.DBRW(Server&amp;"}ElementAttributes_Indicator",A300,"code_English")</f>
        <v>Tot_km_LRV - Total KM driven by LRV</v>
      </c>
      <c r="F300" s="38">
        <f ca="1">_xll.DBRW($C$1,$C$2,$C$3,$C$4,$C$6,$C$5,$C$7,F$1,F$2,$A300)</f>
        <v>0</v>
      </c>
      <c r="G300" s="38">
        <f ca="1">_xll.DBRW($C$1,$C$2,$C$3,$C$4,$C$6,$C$5,$C$7,G$1,G$2,$A300)</f>
        <v>0</v>
      </c>
      <c r="H300" s="38">
        <f ca="1">_xll.DBRW($C$1,$C$2,$C$3,$C$4,$C$6,$C$5,$C$7,H$1,H$2,$A300)</f>
        <v>0</v>
      </c>
    </row>
    <row r="301" spans="1:11" ht="15.6" hidden="1" customHeight="1">
      <c r="A301" s="74" t="s">
        <v>345</v>
      </c>
      <c r="B301" s="74"/>
      <c r="E301" s="9" t="str">
        <f ca="1">_xll.DBRW(Server&amp;"}ElementAttributes_Indicator",A301,"code_English")</f>
        <v>Tot_km_heavy_rail - Total KM driven by heavy rail</v>
      </c>
      <c r="F301" s="38">
        <f ca="1">_xll.DBRW($C$1,$C$2,$C$3,$C$4,$C$6,$C$5,$C$7,F$1,F$2,$A301)</f>
        <v>0</v>
      </c>
      <c r="G301" s="38">
        <f ca="1">_xll.DBRW($C$1,$C$2,$C$3,$C$4,$C$6,$C$5,$C$7,G$1,G$2,$A301)</f>
        <v>0</v>
      </c>
      <c r="H301" s="38">
        <f ca="1">_xll.DBRW($C$1,$C$2,$C$3,$C$4,$C$6,$C$5,$C$7,H$1,H$2,$A301)</f>
        <v>0</v>
      </c>
    </row>
    <row r="302" spans="1:11" ht="15.6" hidden="1" customHeight="1">
      <c r="A302" s="74" t="s">
        <v>346</v>
      </c>
      <c r="B302" s="74"/>
      <c r="E302" s="9" t="str">
        <f ca="1">_xll.DBRW(Server&amp;"}ElementAttributes_Indicator",A302,"code_English")</f>
        <v>Tot_km_BRT - Total KM driven by BRT</v>
      </c>
      <c r="F302" s="38">
        <f ca="1">_xll.DBRW($C$1,$C$2,$C$3,$C$4,$C$6,$C$5,$C$7,F$1,F$2,$A302)</f>
        <v>0</v>
      </c>
      <c r="G302" s="38">
        <f ca="1">_xll.DBRW($C$1,$C$2,$C$3,$C$4,$C$6,$C$5,$C$7,G$1,G$2,$A302)</f>
        <v>0</v>
      </c>
      <c r="H302" s="38">
        <f ca="1">_xll.DBRW($C$1,$C$2,$C$3,$C$4,$C$6,$C$5,$C$7,H$1,H$2,$A302)</f>
        <v>0</v>
      </c>
    </row>
    <row r="303" spans="1:11" ht="15.6" hidden="1" customHeight="1">
      <c r="A303" s="74" t="s">
        <v>347</v>
      </c>
      <c r="B303" s="74"/>
      <c r="E303" s="9" t="str">
        <f ca="1">_xll.DBRW(Server&amp;"}ElementAttributes_Indicator",A303,"code_English")</f>
        <v>Tot_km_ferries - Total KM driven by ferries</v>
      </c>
      <c r="F303" s="38">
        <f ca="1">_xll.DBRW($C$1,$C$2,$C$3,$C$4,$C$6,$C$5,$C$7,F$1,F$2,$A303)</f>
        <v>0</v>
      </c>
      <c r="G303" s="38">
        <f ca="1">_xll.DBRW($C$1,$C$2,$C$3,$C$4,$C$6,$C$5,$C$7,G$1,G$2,$A303)</f>
        <v>0</v>
      </c>
      <c r="H303" s="38">
        <f ca="1">_xll.DBRW($C$1,$C$2,$C$3,$C$4,$C$6,$C$5,$C$7,H$1,H$2,$A303)</f>
        <v>0</v>
      </c>
    </row>
    <row r="304" spans="1:11" ht="15.6" hidden="1" customHeight="1">
      <c r="A304" s="1" t="s">
        <v>74</v>
      </c>
      <c r="E304" s="9" t="str">
        <f ca="1">_xll.DBRW(Server&amp;"}ElementAttributes_Indicator",A304,"code_English")</f>
        <v>Tot_km_fuel - Total KM driven by fuel</v>
      </c>
      <c r="F304" s="38">
        <f ca="1">_xll.DBRW($C$1,$C$2,$C$3,$C$4,$C$6,$C$5,$C$7,F$1,F$2,$A304)</f>
        <v>0</v>
      </c>
      <c r="G304" s="38">
        <f ca="1">_xll.DBRW($C$1,$C$2,$C$3,$C$4,$C$6,$C$5,$C$7,G$1,G$2,$A304)</f>
        <v>0</v>
      </c>
      <c r="H304" s="38">
        <f ca="1">_xll.DBRW($C$1,$C$2,$C$3,$C$4,$C$6,$C$5,$C$7,H$1,H$2,$A304)</f>
        <v>0</v>
      </c>
    </row>
    <row r="305" spans="1:11" ht="15.6" hidden="1" customHeight="1">
      <c r="A305" s="1" t="s">
        <v>75</v>
      </c>
      <c r="E305" s="9" t="str">
        <f ca="1">_xll.DBRW(Server&amp;"}ElementAttributes_Indicator",A305,"code_English")</f>
        <v>Tot_km_biofuel - Total KM driven by biofuel</v>
      </c>
      <c r="F305" s="38">
        <f ca="1">_xll.DBRW($C$1,$C$2,$C$3,$C$4,$C$6,$C$5,$C$7,F$1,F$2,$A305)</f>
        <v>0</v>
      </c>
      <c r="G305" s="38">
        <f ca="1">_xll.DBRW($C$1,$C$2,$C$3,$C$4,$C$6,$C$5,$C$7,G$1,G$2,$A305)</f>
        <v>0</v>
      </c>
      <c r="H305" s="38">
        <f ca="1">_xll.DBRW($C$1,$C$2,$C$3,$C$4,$C$6,$C$5,$C$7,H$1,H$2,$A305)</f>
        <v>0</v>
      </c>
    </row>
    <row r="306" spans="1:11" ht="15.6" hidden="1" customHeight="1">
      <c r="A306" s="1" t="s">
        <v>76</v>
      </c>
      <c r="E306" s="9" t="str">
        <f ca="1">_xll.DBRW(Server&amp;"}ElementAttributes_Indicator",A306,"code_English")</f>
        <v>Tot_km_elec - Total KM driven by electricity</v>
      </c>
      <c r="F306" s="38">
        <f ca="1">_xll.DBRW($C$1,$C$2,$C$3,$C$4,$C$6,$C$5,$C$7,F$1,F$2,$A306)</f>
        <v>0</v>
      </c>
      <c r="G306" s="38">
        <f ca="1">_xll.DBRW($C$1,$C$2,$C$3,$C$4,$C$6,$C$5,$C$7,G$1,G$2,$A306)</f>
        <v>0</v>
      </c>
      <c r="H306" s="38">
        <f ca="1">_xll.DBRW($C$1,$C$2,$C$3,$C$4,$C$6,$C$5,$C$7,H$1,H$2,$A306)</f>
        <v>0</v>
      </c>
    </row>
    <row r="307" spans="1:11" ht="15.6" hidden="1" customHeight="1">
      <c r="A307" s="1" t="s">
        <v>77</v>
      </c>
      <c r="E307" s="9" t="str">
        <f ca="1">_xll.DBRW(Server&amp;"}ElementAttributes_Indicator",A307,"code_English")</f>
        <v>Tot_km_gas - Total KM driven by gas</v>
      </c>
      <c r="F307" s="38">
        <f ca="1">_xll.DBRW($C$1,$C$2,$C$3,$C$4,$C$6,$C$5,$C$7,F$1,F$2,$A307)</f>
        <v>0</v>
      </c>
      <c r="G307" s="38">
        <f ca="1">_xll.DBRW($C$1,$C$2,$C$3,$C$4,$C$6,$C$5,$C$7,G$1,G$2,$A307)</f>
        <v>0</v>
      </c>
      <c r="H307" s="38">
        <f ca="1">_xll.DBRW($C$1,$C$2,$C$3,$C$4,$C$6,$C$5,$C$7,H$1,H$2,$A307)</f>
        <v>0</v>
      </c>
    </row>
    <row r="308" spans="1:11" ht="15.75" customHeight="1" collapsed="1">
      <c r="A308" s="1" t="s">
        <v>127</v>
      </c>
      <c r="C308" s="141" t="s">
        <v>78</v>
      </c>
      <c r="E308" s="17" t="s">
        <v>79</v>
      </c>
      <c r="F308" s="42">
        <f t="shared" ref="F308:H308" ca="1" si="91">F297</f>
        <v>0</v>
      </c>
      <c r="G308" s="42">
        <f t="shared" ca="1" si="91"/>
        <v>44360559</v>
      </c>
      <c r="H308" s="42">
        <f t="shared" ca="1" si="91"/>
        <v>0</v>
      </c>
      <c r="J308" s="97">
        <f t="shared" ref="J308" ca="1" si="92">F308-G308</f>
        <v>-44360559</v>
      </c>
      <c r="K308" s="97">
        <f t="shared" ref="K308" ca="1" si="93">F308-H308</f>
        <v>0</v>
      </c>
    </row>
    <row r="309" spans="1:11" ht="15.75" hidden="1" customHeight="1">
      <c r="A309" s="1" t="s">
        <v>334</v>
      </c>
      <c r="C309" s="141"/>
      <c r="E309" s="9" t="str">
        <f ca="1">_xll.DBRW(Server&amp;"}ElementAttributes_Indicator",A309,"code_English")</f>
        <v>Nb_Drivers - Number of drivers</v>
      </c>
      <c r="F309" s="43">
        <f ca="1">_xll.DBRW($C$1,$C$2,$C$3,$C$4,$C$6,$C$5,$C$7,F$1,F$2,$A309)</f>
        <v>0</v>
      </c>
      <c r="G309" s="43">
        <f ca="1">_xll.DBRW($C$1,$C$2,$C$3,$C$4,$C$6,$C$5,$C$7,G$1,G$2,$A309)</f>
        <v>0</v>
      </c>
      <c r="H309" s="43">
        <f ca="1">_xll.DBRW($C$1,$C$2,$C$3,$C$4,$C$6,$C$5,$C$7,H$1,H$2,$A309)</f>
        <v>0</v>
      </c>
      <c r="J309" s="32">
        <f t="shared" ref="J309:J321" ca="1" si="94">F309-G309</f>
        <v>0</v>
      </c>
      <c r="K309" s="32">
        <f t="shared" ref="K309:K321" ca="1" si="95">F309-H309</f>
        <v>0</v>
      </c>
    </row>
    <row r="310" spans="1:11" ht="15.75" hidden="1" customHeight="1">
      <c r="A310" s="1" t="s">
        <v>335</v>
      </c>
      <c r="C310" s="141"/>
      <c r="E310" s="9" t="str">
        <f ca="1">_xll.DBRW(Server&amp;"}ElementAttributes_Indicator",A310,"code_English")</f>
        <v>Nb_Conductors - Number of conductors</v>
      </c>
      <c r="F310" s="43">
        <f ca="1">_xll.DBRW($C$1,$C$2,$C$3,$C$4,$C$6,$C$5,$C$7,F$1,F$2,$A310)</f>
        <v>0</v>
      </c>
      <c r="G310" s="43">
        <f ca="1">_xll.DBRW($C$1,$C$2,$C$3,$C$4,$C$6,$C$5,$C$7,G$1,G$2,$A310)</f>
        <v>0</v>
      </c>
      <c r="H310" s="43">
        <f ca="1">_xll.DBRW($C$1,$C$2,$C$3,$C$4,$C$6,$C$5,$C$7,H$1,H$2,$A310)</f>
        <v>0</v>
      </c>
      <c r="J310" s="32">
        <f t="shared" ca="1" si="94"/>
        <v>0</v>
      </c>
      <c r="K310" s="32">
        <f t="shared" ca="1" si="95"/>
        <v>0</v>
      </c>
    </row>
    <row r="311" spans="1:11" ht="15.75" hidden="1" customHeight="1">
      <c r="A311" s="1" t="s">
        <v>348</v>
      </c>
      <c r="C311" s="141"/>
      <c r="E311" s="9" t="str">
        <f ca="1">_xll.DBRW(Server&amp;"}ElementAttributes_Indicator",A311,"code_English")</f>
        <v>Nb_FTE_Drivers - Number of FTE Drivers</v>
      </c>
      <c r="F311" s="43">
        <f ca="1">_xll.DBRW($C$1,$C$2,$C$3,$C$4,$C$6,$C$5,$C$7,F$1,F$2,$A311)</f>
        <v>0</v>
      </c>
      <c r="G311" s="43">
        <f ca="1">_xll.DBRW($C$1,$C$2,$C$3,$C$4,$C$6,$C$5,$C$7,G$1,G$2,$A311)</f>
        <v>0</v>
      </c>
      <c r="H311" s="43">
        <f ca="1">_xll.DBRW($C$1,$C$2,$C$3,$C$4,$C$6,$C$5,$C$7,H$1,H$2,$A311)</f>
        <v>0</v>
      </c>
      <c r="J311" s="32">
        <f t="shared" ca="1" si="94"/>
        <v>0</v>
      </c>
      <c r="K311" s="32">
        <f t="shared" ca="1" si="95"/>
        <v>0</v>
      </c>
    </row>
    <row r="312" spans="1:11" ht="15.75" collapsed="1">
      <c r="A312" s="1" t="s">
        <v>127</v>
      </c>
      <c r="C312" s="141"/>
      <c r="E312" s="15" t="s">
        <v>80</v>
      </c>
      <c r="F312" s="44">
        <f ca="1">SUM(F309:F311)</f>
        <v>0</v>
      </c>
      <c r="G312" s="44">
        <f t="shared" ref="G312:H312" ca="1" si="96">SUM(G309:G311)</f>
        <v>0</v>
      </c>
      <c r="H312" s="44">
        <f t="shared" ca="1" si="96"/>
        <v>0</v>
      </c>
      <c r="J312" s="33">
        <f t="shared" ca="1" si="94"/>
        <v>0</v>
      </c>
      <c r="K312" s="33">
        <f t="shared" ca="1" si="95"/>
        <v>0</v>
      </c>
    </row>
    <row r="313" spans="1:11" ht="15.75" hidden="1" customHeight="1">
      <c r="A313" s="1" t="s">
        <v>336</v>
      </c>
      <c r="C313" s="141"/>
      <c r="E313" s="9" t="str">
        <f ca="1">_xll.DBRW(Server&amp;"}ElementAttributes_Indicator",A313,"code_English")</f>
        <v>Nb_Maintenance_team - Number of Maintenance collaborators</v>
      </c>
      <c r="F313" s="43">
        <f ca="1">_xll.DBRW($C$1,$C$2,$C$3,$C$4,$C$6,$C$5,$C$7,F$1,F$2,$A313)</f>
        <v>0</v>
      </c>
      <c r="G313" s="43">
        <f ca="1">_xll.DBRW($C$1,$C$2,$C$3,$C$4,$C$6,$C$5,$C$7,G$1,G$2,$A313)</f>
        <v>0</v>
      </c>
      <c r="H313" s="43">
        <f ca="1">_xll.DBRW($C$1,$C$2,$C$3,$C$4,$C$6,$C$5,$C$7,H$1,H$2,$A313)</f>
        <v>0</v>
      </c>
      <c r="J313" s="33">
        <f t="shared" ca="1" si="94"/>
        <v>0</v>
      </c>
      <c r="K313" s="33">
        <f t="shared" ca="1" si="95"/>
        <v>0</v>
      </c>
    </row>
    <row r="314" spans="1:11" ht="15.75" hidden="1" customHeight="1">
      <c r="A314" s="1" t="s">
        <v>349</v>
      </c>
      <c r="C314" s="141"/>
      <c r="E314" s="9" t="str">
        <f ca="1">_xll.DBRW(Server&amp;"}ElementAttributes_Indicator",A314,"code_English")</f>
        <v>Nb_FTE_Maintenance_Technicians - Number of FTE Technicians</v>
      </c>
      <c r="F314" s="43">
        <f ca="1">_xll.DBRW($C$1,$C$2,$C$3,$C$4,$C$6,$C$5,$C$7,F$1,F$2,$A314)</f>
        <v>0</v>
      </c>
      <c r="G314" s="43">
        <f ca="1">_xll.DBRW($C$1,$C$2,$C$3,$C$4,$C$6,$C$5,$C$7,G$1,G$2,$A314)</f>
        <v>0</v>
      </c>
      <c r="H314" s="43">
        <f ca="1">_xll.DBRW($C$1,$C$2,$C$3,$C$4,$C$6,$C$5,$C$7,H$1,H$2,$A314)</f>
        <v>0</v>
      </c>
      <c r="J314" s="33">
        <f t="shared" ca="1" si="94"/>
        <v>0</v>
      </c>
      <c r="K314" s="33">
        <f t="shared" ca="1" si="95"/>
        <v>0</v>
      </c>
    </row>
    <row r="315" spans="1:11" ht="15.75" collapsed="1">
      <c r="A315" s="1" t="s">
        <v>127</v>
      </c>
      <c r="C315" s="141"/>
      <c r="E315" s="15" t="s">
        <v>81</v>
      </c>
      <c r="F315" s="44">
        <f ca="1">SUM(F313:F314)</f>
        <v>0</v>
      </c>
      <c r="G315" s="44">
        <f t="shared" ref="G315:H315" ca="1" si="97">SUM(G313:G314)</f>
        <v>0</v>
      </c>
      <c r="H315" s="44">
        <f t="shared" ca="1" si="97"/>
        <v>0</v>
      </c>
      <c r="J315" s="33">
        <f t="shared" ca="1" si="94"/>
        <v>0</v>
      </c>
      <c r="K315" s="33">
        <f t="shared" ca="1" si="95"/>
        <v>0</v>
      </c>
    </row>
    <row r="316" spans="1:11" ht="15.75" hidden="1" customHeight="1">
      <c r="A316" s="1" t="s">
        <v>350</v>
      </c>
      <c r="C316" s="141"/>
      <c r="E316" s="9" t="str">
        <f ca="1">_xll.DBRW(Server&amp;"}ElementAttributes_Indicator",A316,"code_English")</f>
        <v>Nb_FTE_Operations_Others - Number of FTE Other Operation Staff</v>
      </c>
      <c r="F316" s="44">
        <f ca="1">SUM(F314:F315)</f>
        <v>0</v>
      </c>
      <c r="G316" s="44">
        <f t="shared" ref="G316:H318" ca="1" si="98">SUM(G314:G315)</f>
        <v>0</v>
      </c>
      <c r="H316" s="44">
        <f t="shared" ca="1" si="98"/>
        <v>0</v>
      </c>
      <c r="J316" s="33">
        <f t="shared" ca="1" si="94"/>
        <v>0</v>
      </c>
      <c r="K316" s="33">
        <f t="shared" ca="1" si="95"/>
        <v>0</v>
      </c>
    </row>
    <row r="317" spans="1:11" ht="15.6" hidden="1" customHeight="1" collapsed="1">
      <c r="A317" s="1" t="s">
        <v>127</v>
      </c>
      <c r="C317" s="141"/>
      <c r="E317" s="81" t="s">
        <v>82</v>
      </c>
      <c r="F317" s="44">
        <f ca="1">SUM(F315:F316)</f>
        <v>0</v>
      </c>
      <c r="G317" s="44">
        <f t="shared" ca="1" si="98"/>
        <v>0</v>
      </c>
      <c r="H317" s="44">
        <f t="shared" ca="1" si="98"/>
        <v>0</v>
      </c>
      <c r="J317" s="33">
        <f t="shared" ca="1" si="94"/>
        <v>0</v>
      </c>
      <c r="K317" s="33">
        <f t="shared" ca="1" si="95"/>
        <v>0</v>
      </c>
    </row>
    <row r="318" spans="1:11" ht="15.75" hidden="1" customHeight="1">
      <c r="A318" s="1" t="s">
        <v>351</v>
      </c>
      <c r="C318" s="141"/>
      <c r="E318" s="9" t="str">
        <f ca="1">_xll.DBRW(Server&amp;"}ElementAttributes_Indicator",A318,"code_English")</f>
        <v>Nb_FTE_Maintenance_Others - Number of FTE Other Maintenance Staff</v>
      </c>
      <c r="F318" s="44">
        <f ca="1">SUM(F316:F317)</f>
        <v>0</v>
      </c>
      <c r="G318" s="44">
        <f t="shared" ca="1" si="98"/>
        <v>0</v>
      </c>
      <c r="H318" s="44">
        <f t="shared" ca="1" si="98"/>
        <v>0</v>
      </c>
      <c r="J318" s="33">
        <f t="shared" ca="1" si="94"/>
        <v>0</v>
      </c>
      <c r="K318" s="33">
        <f t="shared" ca="1" si="95"/>
        <v>0</v>
      </c>
    </row>
    <row r="319" spans="1:11" ht="15.75" collapsed="1">
      <c r="A319" s="1" t="s">
        <v>127</v>
      </c>
      <c r="C319" s="141"/>
      <c r="E319" s="81" t="s">
        <v>83</v>
      </c>
      <c r="F319" s="43">
        <f ca="1">SUM(F318)</f>
        <v>0</v>
      </c>
      <c r="G319" s="43">
        <f t="shared" ref="G319:H319" ca="1" si="99">SUM(G318)</f>
        <v>0</v>
      </c>
      <c r="H319" s="43">
        <f t="shared" ca="1" si="99"/>
        <v>0</v>
      </c>
      <c r="J319" s="33">
        <f t="shared" ca="1" si="94"/>
        <v>0</v>
      </c>
      <c r="K319" s="33">
        <f t="shared" ca="1" si="95"/>
        <v>0</v>
      </c>
    </row>
    <row r="320" spans="1:11" ht="15.75" hidden="1" customHeight="1">
      <c r="A320" s="1" t="s">
        <v>337</v>
      </c>
      <c r="C320" s="141"/>
      <c r="E320" s="9" t="str">
        <f ca="1">_xll.DBRW(Server&amp;"}ElementAttributes_Indicator",A320,"code_English")</f>
        <v>Nb_FTE - Number of Full Time Equivalent</v>
      </c>
      <c r="F320" s="43">
        <f ca="1">_xll.DBRW($C$1,$C$2,$C$3,$C$4,$C$6,$C$5,$C$7,F$1,F$2,$A320)</f>
        <v>0</v>
      </c>
      <c r="G320" s="43">
        <f ca="1">_xll.DBRW($C$1,$C$2,$C$3,$C$4,$C$6,$C$5,$C$7,G$1,G$2,$A320)</f>
        <v>0</v>
      </c>
      <c r="H320" s="43">
        <f ca="1">_xll.DBRW($C$1,$C$2,$C$3,$C$4,$C$6,$C$5,$C$7,H$1,H$2,$A320)</f>
        <v>0</v>
      </c>
      <c r="J320" s="32">
        <f t="shared" ca="1" si="94"/>
        <v>0</v>
      </c>
      <c r="K320" s="32">
        <f t="shared" ca="1" si="95"/>
        <v>0</v>
      </c>
    </row>
    <row r="321" spans="1:11" ht="15.75" collapsed="1">
      <c r="A321" s="1" t="s">
        <v>127</v>
      </c>
      <c r="C321" s="141"/>
      <c r="E321" s="82" t="s">
        <v>84</v>
      </c>
      <c r="F321" s="45">
        <f t="shared" ref="F321:H321" ca="1" si="100">SUM(F320)</f>
        <v>0</v>
      </c>
      <c r="G321" s="45">
        <f t="shared" ca="1" si="100"/>
        <v>0</v>
      </c>
      <c r="H321" s="45">
        <f t="shared" ca="1" si="100"/>
        <v>0</v>
      </c>
      <c r="J321" s="99">
        <f t="shared" ca="1" si="94"/>
        <v>0</v>
      </c>
      <c r="K321" s="99">
        <f t="shared" ca="1" si="95"/>
        <v>0</v>
      </c>
    </row>
    <row r="322" spans="1:11" ht="9" customHeight="1">
      <c r="A322" s="1" t="s">
        <v>127</v>
      </c>
      <c r="C322" s="141"/>
      <c r="E322" s="7"/>
      <c r="F322" s="8"/>
      <c r="G322" s="8"/>
      <c r="H322" s="8"/>
    </row>
    <row r="323" spans="1:11" ht="15.75" hidden="1" customHeight="1">
      <c r="A323" s="1" t="s">
        <v>338</v>
      </c>
      <c r="C323" s="141"/>
      <c r="E323" s="9" t="str">
        <f ca="1">_xll.DBRW(Server&amp;"}ElementAttributes_Indicator",A323,"code_English")</f>
        <v>Fuel_consu - Fuel consumed (liters)</v>
      </c>
      <c r="F323" s="10">
        <f ca="1">_xll.DBRW($C$1,$C$2,$C$3,$C$4,$C$6,$C$5,$C$7,F$1,F$2,$A323)</f>
        <v>0</v>
      </c>
      <c r="G323" s="10">
        <f ca="1">_xll.DBRW($C$1,$C$2,$C$3,$C$4,$C$6,$C$5,$C$7,G$1,G$2,$A323)</f>
        <v>6719450.0700000003</v>
      </c>
      <c r="H323" s="10">
        <f ca="1">_xll.DBRW($C$1,$C$2,$C$3,$C$4,$C$6,$C$5,$C$7,H$1,H$2,$A323)</f>
        <v>0</v>
      </c>
    </row>
    <row r="324" spans="1:11" ht="15.75" collapsed="1">
      <c r="A324" s="1" t="s">
        <v>127</v>
      </c>
      <c r="C324" s="141"/>
      <c r="E324" s="17" t="s">
        <v>85</v>
      </c>
      <c r="F324" s="42">
        <f t="shared" ref="F324:H324" ca="1" si="101">SUM(F323)</f>
        <v>0</v>
      </c>
      <c r="G324" s="42">
        <f t="shared" ca="1" si="101"/>
        <v>6719450.0700000003</v>
      </c>
      <c r="H324" s="42">
        <f t="shared" ca="1" si="101"/>
        <v>0</v>
      </c>
      <c r="J324" s="97">
        <f t="shared" ref="J324" ca="1" si="102">F324-G324</f>
        <v>-6719450.0700000003</v>
      </c>
      <c r="K324" s="97">
        <f t="shared" ref="K324" ca="1" si="103">F324-H324</f>
        <v>0</v>
      </c>
    </row>
    <row r="325" spans="1:11" ht="15.75" hidden="1" customHeight="1">
      <c r="A325" s="1" t="s">
        <v>339</v>
      </c>
      <c r="C325" s="141"/>
      <c r="E325" s="9" t="str">
        <f ca="1">_xll.DBRW(Server&amp;"}ElementAttributes_Indicator",A325,"code_English")</f>
        <v>Biofuel_consu - Biofuel consumed (liters)</v>
      </c>
      <c r="F325" s="43">
        <f ca="1">_xll.DBRW($C$1,$C$2,$C$3,$C$4,$C$6,$C$5,$C$7,F$1,F$2,$A325)</f>
        <v>0</v>
      </c>
      <c r="G325" s="43">
        <f ca="1">_xll.DBRW($C$1,$C$2,$C$3,$C$4,$C$6,$C$5,$C$7,G$1,G$2,$A325)</f>
        <v>532473.29999999993</v>
      </c>
      <c r="H325" s="43">
        <f ca="1">_xll.DBRW($C$1,$C$2,$C$3,$C$4,$C$6,$C$5,$C$7,H$1,H$2,$A325)</f>
        <v>0</v>
      </c>
      <c r="J325" s="32">
        <f t="shared" ref="J325:J341" ca="1" si="104">F325-G325</f>
        <v>-532473.29999999993</v>
      </c>
      <c r="K325" s="32">
        <f t="shared" ref="K325:K341" ca="1" si="105">F325-H325</f>
        <v>0</v>
      </c>
    </row>
    <row r="326" spans="1:11" ht="15.75" collapsed="1">
      <c r="A326" s="1" t="s">
        <v>127</v>
      </c>
      <c r="C326" s="141"/>
      <c r="E326" s="15" t="s">
        <v>86</v>
      </c>
      <c r="F326" s="44">
        <f t="shared" ref="F326:H326" ca="1" si="106">SUM(F325)</f>
        <v>0</v>
      </c>
      <c r="G326" s="44">
        <f t="shared" ca="1" si="106"/>
        <v>532473.29999999993</v>
      </c>
      <c r="H326" s="44">
        <f t="shared" ca="1" si="106"/>
        <v>0</v>
      </c>
      <c r="J326" s="33">
        <f t="shared" ca="1" si="104"/>
        <v>-532473.29999999993</v>
      </c>
      <c r="K326" s="33">
        <f t="shared" ca="1" si="105"/>
        <v>0</v>
      </c>
    </row>
    <row r="327" spans="1:11" ht="15.75" hidden="1" customHeight="1">
      <c r="A327" s="1" t="s">
        <v>340</v>
      </c>
      <c r="C327" s="141"/>
      <c r="E327" s="9" t="str">
        <f ca="1">_xll.DBRW(Server&amp;"}ElementAttributes_Indicator",A327,"code_English")</f>
        <v>Gas_consu - Gas consumed (kwh)</v>
      </c>
      <c r="F327" s="43">
        <f ca="1">_xll.DBRW($C$1,$C$2,$C$3,$C$4,$C$6,$C$5,$C$7,F$1,F$2,$A327)</f>
        <v>0</v>
      </c>
      <c r="G327" s="43">
        <f ca="1">_xll.DBRW($C$1,$C$2,$C$3,$C$4,$C$6,$C$5,$C$7,G$1,G$2,$A327)</f>
        <v>0</v>
      </c>
      <c r="H327" s="43">
        <f ca="1">_xll.DBRW($C$1,$C$2,$C$3,$C$4,$C$6,$C$5,$C$7,H$1,H$2,$A327)</f>
        <v>0</v>
      </c>
      <c r="J327" s="33">
        <f t="shared" ca="1" si="104"/>
        <v>0</v>
      </c>
      <c r="K327" s="33">
        <f t="shared" ca="1" si="105"/>
        <v>0</v>
      </c>
    </row>
    <row r="328" spans="1:11" ht="15.75" collapsed="1">
      <c r="A328" s="1" t="s">
        <v>127</v>
      </c>
      <c r="C328" s="141"/>
      <c r="E328" s="15" t="s">
        <v>87</v>
      </c>
      <c r="F328" s="43">
        <f t="shared" ref="F328:H328" ca="1" si="107">SUM(F327)</f>
        <v>0</v>
      </c>
      <c r="G328" s="43">
        <f t="shared" ca="1" si="107"/>
        <v>0</v>
      </c>
      <c r="H328" s="43">
        <f t="shared" ca="1" si="107"/>
        <v>0</v>
      </c>
      <c r="J328" s="33">
        <f t="shared" ca="1" si="104"/>
        <v>0</v>
      </c>
      <c r="K328" s="33">
        <f t="shared" ca="1" si="105"/>
        <v>0</v>
      </c>
    </row>
    <row r="329" spans="1:11" ht="15.75" hidden="1" customHeight="1">
      <c r="A329" s="1" t="s">
        <v>341</v>
      </c>
      <c r="C329" s="141"/>
      <c r="E329" s="9" t="str">
        <f ca="1">_xll.DBRW(Server&amp;"}ElementAttributes_Indicator",A329,"code_English")</f>
        <v>Elec_consu - Electricity consumed (kwh)</v>
      </c>
      <c r="F329" s="43">
        <f ca="1">_xll.DBRW($C$1,$C$2,$C$3,$C$4,$C$6,$C$5,$C$7,F$1,F$2,$A329)</f>
        <v>0</v>
      </c>
      <c r="G329" s="43">
        <f ca="1">_xll.DBRW($C$1,$C$2,$C$3,$C$4,$C$6,$C$5,$C$7,G$1,G$2,$A329)</f>
        <v>0</v>
      </c>
      <c r="H329" s="43">
        <f ca="1">_xll.DBRW($C$1,$C$2,$C$3,$C$4,$C$6,$C$5,$C$7,H$1,H$2,$A329)</f>
        <v>0</v>
      </c>
      <c r="J329" s="33">
        <f t="shared" ca="1" si="104"/>
        <v>0</v>
      </c>
      <c r="K329" s="33">
        <f t="shared" ca="1" si="105"/>
        <v>0</v>
      </c>
    </row>
    <row r="330" spans="1:11" ht="15.75" collapsed="1">
      <c r="A330" s="1" t="s">
        <v>127</v>
      </c>
      <c r="C330" s="141"/>
      <c r="E330" s="15" t="s">
        <v>88</v>
      </c>
      <c r="F330" s="44">
        <f t="shared" ref="F330:H330" ca="1" si="108">SUM(F329)</f>
        <v>0</v>
      </c>
      <c r="G330" s="44">
        <f t="shared" ca="1" si="108"/>
        <v>0</v>
      </c>
      <c r="H330" s="44">
        <f t="shared" ca="1" si="108"/>
        <v>0</v>
      </c>
      <c r="J330" s="33">
        <f t="shared" ca="1" si="104"/>
        <v>0</v>
      </c>
      <c r="K330" s="33">
        <f t="shared" ca="1" si="105"/>
        <v>0</v>
      </c>
    </row>
    <row r="331" spans="1:11" ht="15.6" hidden="1" customHeight="1">
      <c r="A331" s="1" t="s">
        <v>354</v>
      </c>
      <c r="C331" s="141"/>
      <c r="E331" s="116" t="str">
        <f ca="1">_xll.DBRW(Server&amp;"}ElementAttributes_Indicator",A331,"code_English")</f>
        <v>Tot_nb_bus_coach - Total number of buses/coaches</v>
      </c>
      <c r="F331" s="44">
        <f ca="1">_xll.DBRW($C$1,$C$2,$C$3,$C$4,$C$6,$C$5,$C$7,F$1,F$2,$A331)</f>
        <v>0</v>
      </c>
      <c r="G331" s="44">
        <f ca="1">_xll.DBRW($C$1,$C$2,$C$3,$C$4,$C$6,$C$5,$C$7,G$1,G$2,$A331)</f>
        <v>0</v>
      </c>
      <c r="H331" s="44">
        <f ca="1">_xll.DBRW($C$1,$C$2,$C$3,$C$4,$C$6,$C$5,$C$7,H$1,H$2,$A331)</f>
        <v>0</v>
      </c>
      <c r="J331" s="33">
        <f t="shared" ca="1" si="104"/>
        <v>0</v>
      </c>
      <c r="K331" s="33">
        <f t="shared" ca="1" si="105"/>
        <v>0</v>
      </c>
    </row>
    <row r="332" spans="1:11" ht="15.75" collapsed="1">
      <c r="A332" s="1" t="s">
        <v>127</v>
      </c>
      <c r="C332" s="141"/>
      <c r="E332" s="15" t="s">
        <v>89</v>
      </c>
      <c r="F332" s="44">
        <f t="shared" ref="F332:H332" ca="1" si="109">SUM(F331)</f>
        <v>0</v>
      </c>
      <c r="G332" s="44">
        <f t="shared" ca="1" si="109"/>
        <v>0</v>
      </c>
      <c r="H332" s="44">
        <f t="shared" ca="1" si="109"/>
        <v>0</v>
      </c>
      <c r="J332" s="33">
        <f t="shared" ca="1" si="104"/>
        <v>0</v>
      </c>
      <c r="K332" s="33">
        <f t="shared" ca="1" si="105"/>
        <v>0</v>
      </c>
    </row>
    <row r="333" spans="1:11" ht="15.6" hidden="1" customHeight="1">
      <c r="A333" s="1" t="s">
        <v>355</v>
      </c>
      <c r="C333" s="141"/>
      <c r="E333" s="116" t="str">
        <f ca="1">_xll.DBRW(Server&amp;"}ElementAttributes_Indicator",A333,"code_English")</f>
        <v>Tot_nb_light_vehicle - Total number of light vehicles</v>
      </c>
      <c r="F333" s="44">
        <f ca="1">_xll.DBRW($C$1,$C$2,$C$3,$C$4,$C$6,$C$5,$C$7,F$1,F$2,$A333)</f>
        <v>0</v>
      </c>
      <c r="G333" s="44">
        <f ca="1">_xll.DBRW($C$1,$C$2,$C$3,$C$4,$C$6,$C$5,$C$7,G$1,G$2,$A333)</f>
        <v>0</v>
      </c>
      <c r="H333" s="44">
        <f ca="1">_xll.DBRW($C$1,$C$2,$C$3,$C$4,$C$6,$C$5,$C$7,H$1,H$2,$A333)</f>
        <v>0</v>
      </c>
      <c r="J333" s="33">
        <f t="shared" ca="1" si="104"/>
        <v>0</v>
      </c>
      <c r="K333" s="33">
        <f t="shared" ca="1" si="105"/>
        <v>0</v>
      </c>
    </row>
    <row r="334" spans="1:11" ht="15.75" collapsed="1">
      <c r="A334" s="1" t="s">
        <v>127</v>
      </c>
      <c r="C334" s="141"/>
      <c r="E334" s="15" t="s">
        <v>90</v>
      </c>
      <c r="F334" s="44">
        <f t="shared" ref="F334:H334" ca="1" si="110">SUM(F333)</f>
        <v>0</v>
      </c>
      <c r="G334" s="44">
        <f t="shared" ca="1" si="110"/>
        <v>0</v>
      </c>
      <c r="H334" s="44">
        <f t="shared" ca="1" si="110"/>
        <v>0</v>
      </c>
      <c r="J334" s="33">
        <f t="shared" ca="1" si="104"/>
        <v>0</v>
      </c>
      <c r="K334" s="33">
        <f t="shared" ca="1" si="105"/>
        <v>0</v>
      </c>
    </row>
    <row r="335" spans="1:11" ht="15.6" hidden="1" customHeight="1">
      <c r="A335" s="1" t="s">
        <v>356</v>
      </c>
      <c r="C335" s="141"/>
      <c r="E335" s="116" t="str">
        <f ca="1">_xll.DBRW(Server&amp;"}ElementAttributes_Indicator",A335,"code_English")</f>
        <v>Tot_nb_LRV - Total number of LRV</v>
      </c>
      <c r="F335" s="44">
        <f ca="1">_xll.DBRW($C$1,$C$2,$C$3,$C$4,$C$6,$C$5,$C$7,F$1,F$2,$A335)</f>
        <v>0</v>
      </c>
      <c r="G335" s="44">
        <f ca="1">_xll.DBRW($C$1,$C$2,$C$3,$C$4,$C$6,$C$5,$C$7,G$1,G$2,$A335)</f>
        <v>0</v>
      </c>
      <c r="H335" s="44">
        <f ca="1">_xll.DBRW($C$1,$C$2,$C$3,$C$4,$C$6,$C$5,$C$7,H$1,H$2,$A335)</f>
        <v>0</v>
      </c>
      <c r="J335" s="33">
        <f t="shared" ca="1" si="104"/>
        <v>0</v>
      </c>
      <c r="K335" s="33">
        <f t="shared" ca="1" si="105"/>
        <v>0</v>
      </c>
    </row>
    <row r="336" spans="1:11" ht="15.75" collapsed="1">
      <c r="A336" s="1" t="s">
        <v>127</v>
      </c>
      <c r="C336" s="141"/>
      <c r="E336" s="15" t="s">
        <v>91</v>
      </c>
      <c r="F336" s="44">
        <f t="shared" ref="F336:H336" ca="1" si="111">SUM(F335)</f>
        <v>0</v>
      </c>
      <c r="G336" s="44">
        <f t="shared" ca="1" si="111"/>
        <v>0</v>
      </c>
      <c r="H336" s="44">
        <f t="shared" ca="1" si="111"/>
        <v>0</v>
      </c>
      <c r="J336" s="33">
        <f t="shared" ca="1" si="104"/>
        <v>0</v>
      </c>
      <c r="K336" s="33">
        <f t="shared" ca="1" si="105"/>
        <v>0</v>
      </c>
    </row>
    <row r="337" spans="1:11" ht="15.6" hidden="1" customHeight="1">
      <c r="A337" s="1" t="s">
        <v>357</v>
      </c>
      <c r="C337" s="141"/>
      <c r="E337" s="116" t="str">
        <f ca="1">_xll.DBRW(Server&amp;"}ElementAttributes_Indicator",A337,"code_English")</f>
        <v>Tot_nb_heavy_rail - Total number of heavy rail</v>
      </c>
      <c r="F337" s="44">
        <f ca="1">_xll.DBRW($C$1,$C$2,$C$3,$C$4,$C$6,$C$5,$C$7,F$1,F$2,$A337)</f>
        <v>0</v>
      </c>
      <c r="G337" s="44">
        <f ca="1">_xll.DBRW($C$1,$C$2,$C$3,$C$4,$C$6,$C$5,$C$7,G$1,G$2,$A337)</f>
        <v>0</v>
      </c>
      <c r="H337" s="44">
        <f ca="1">_xll.DBRW($C$1,$C$2,$C$3,$C$4,$C$6,$C$5,$C$7,H$1,H$2,$A337)</f>
        <v>0</v>
      </c>
      <c r="J337" s="33">
        <f t="shared" ca="1" si="104"/>
        <v>0</v>
      </c>
      <c r="K337" s="33">
        <f t="shared" ca="1" si="105"/>
        <v>0</v>
      </c>
    </row>
    <row r="338" spans="1:11" ht="15.75" collapsed="1">
      <c r="A338" s="1" t="s">
        <v>127</v>
      </c>
      <c r="C338" s="141"/>
      <c r="E338" s="15" t="s">
        <v>92</v>
      </c>
      <c r="F338" s="44">
        <f t="shared" ref="F338:H338" ca="1" si="112">SUM(F337)</f>
        <v>0</v>
      </c>
      <c r="G338" s="44">
        <f t="shared" ca="1" si="112"/>
        <v>0</v>
      </c>
      <c r="H338" s="44">
        <f t="shared" ca="1" si="112"/>
        <v>0</v>
      </c>
      <c r="J338" s="33">
        <f t="shared" ca="1" si="104"/>
        <v>0</v>
      </c>
      <c r="K338" s="33">
        <f t="shared" ca="1" si="105"/>
        <v>0</v>
      </c>
    </row>
    <row r="339" spans="1:11" ht="15.6" hidden="1" customHeight="1">
      <c r="A339" s="1" t="s">
        <v>358</v>
      </c>
      <c r="C339" s="141"/>
      <c r="E339" s="116" t="str">
        <f ca="1">_xll.DBRW(Server&amp;"}ElementAttributes_Indicator",A339,"code_English")</f>
        <v>Tot_nb_BRT - Total number of BRT</v>
      </c>
      <c r="F339" s="44">
        <f ca="1">_xll.DBRW($C$1,$C$2,$C$3,$C$4,$C$6,$C$5,$C$7,F$1,F$2,$A339)</f>
        <v>0</v>
      </c>
      <c r="G339" s="44">
        <f ca="1">_xll.DBRW($C$1,$C$2,$C$3,$C$4,$C$6,$C$5,$C$7,G$1,G$2,$A339)</f>
        <v>0</v>
      </c>
      <c r="H339" s="44">
        <f ca="1">_xll.DBRW($C$1,$C$2,$C$3,$C$4,$C$6,$C$5,$C$7,H$1,H$2,$A339)</f>
        <v>0</v>
      </c>
      <c r="J339" s="33">
        <f t="shared" ca="1" si="104"/>
        <v>0</v>
      </c>
      <c r="K339" s="33">
        <f t="shared" ca="1" si="105"/>
        <v>0</v>
      </c>
    </row>
    <row r="340" spans="1:11" ht="15.75" collapsed="1">
      <c r="A340" s="1" t="s">
        <v>127</v>
      </c>
      <c r="C340" s="141"/>
      <c r="E340" s="15" t="s">
        <v>93</v>
      </c>
      <c r="F340" s="44">
        <f t="shared" ref="F340:H340" ca="1" si="113">SUM(F339)</f>
        <v>0</v>
      </c>
      <c r="G340" s="44">
        <f t="shared" ca="1" si="113"/>
        <v>0</v>
      </c>
      <c r="H340" s="44">
        <f t="shared" ca="1" si="113"/>
        <v>0</v>
      </c>
      <c r="J340" s="33">
        <f t="shared" ca="1" si="104"/>
        <v>0</v>
      </c>
      <c r="K340" s="33">
        <f t="shared" ca="1" si="105"/>
        <v>0</v>
      </c>
    </row>
    <row r="341" spans="1:11" ht="15.75" hidden="1" customHeight="1">
      <c r="A341" s="1" t="s">
        <v>359</v>
      </c>
      <c r="C341" s="141"/>
      <c r="E341" s="9" t="str">
        <f ca="1">_xll.DBRW(Server&amp;"}ElementAttributes_Indicator",A341,"code_English")</f>
        <v>Tot_nb_ferries - Total number of ferries</v>
      </c>
      <c r="F341" s="43">
        <f ca="1">_xll.DBRW($C$1,$C$2,$C$3,$C$4,$C$6,$C$5,$C$7,F$1,F$2,$A341)</f>
        <v>0</v>
      </c>
      <c r="G341" s="43">
        <f ca="1">_xll.DBRW($C$1,$C$2,$C$3,$C$4,$C$6,$C$5,$C$7,G$1,G$2,$A341)</f>
        <v>0</v>
      </c>
      <c r="H341" s="43">
        <f ca="1">_xll.DBRW($C$1,$C$2,$C$3,$C$4,$C$6,$C$5,$C$7,H$1,H$2,$A341)</f>
        <v>0</v>
      </c>
      <c r="J341" s="32">
        <f t="shared" ca="1" si="104"/>
        <v>0</v>
      </c>
      <c r="K341" s="32">
        <f t="shared" ca="1" si="105"/>
        <v>0</v>
      </c>
    </row>
    <row r="342" spans="1:11" ht="15.75" collapsed="1">
      <c r="A342" s="1" t="s">
        <v>127</v>
      </c>
      <c r="C342" s="141"/>
      <c r="E342" s="102" t="s">
        <v>94</v>
      </c>
      <c r="F342" s="103">
        <f t="shared" ref="F342:H342" ca="1" si="114">SUM(F341)</f>
        <v>0</v>
      </c>
      <c r="G342" s="103">
        <f t="shared" ca="1" si="114"/>
        <v>0</v>
      </c>
      <c r="H342" s="103">
        <f t="shared" ca="1" si="114"/>
        <v>0</v>
      </c>
      <c r="J342" s="99">
        <f t="shared" ref="J342" ca="1" si="115">F342-G342</f>
        <v>0</v>
      </c>
      <c r="K342" s="99">
        <f t="shared" ref="K342" ca="1" si="116">F342-H342</f>
        <v>0</v>
      </c>
    </row>
    <row r="343" spans="1:11" ht="9" customHeight="1">
      <c r="A343" s="1" t="s">
        <v>127</v>
      </c>
      <c r="C343" s="105"/>
      <c r="E343" s="7"/>
      <c r="F343" s="8"/>
      <c r="G343" s="8"/>
      <c r="H343" s="8"/>
    </row>
    <row r="344" spans="1:11" ht="15.75" hidden="1" customHeight="1">
      <c r="A344" s="1" t="s">
        <v>360</v>
      </c>
      <c r="C344" s="104"/>
      <c r="E344" s="9" t="str">
        <f ca="1">_xll.DBRW(Server&amp;"}ElementAttributes_Indicator",A344,"code_English")</f>
        <v>Driver_absenteeism - Driver absenteeism in %</v>
      </c>
      <c r="F344" s="10">
        <f ca="1">_xll.DBRW($C$1,$C$2,$C$3,$C$4,$C$6,$C$5,$C$7,F$1,F$2,$A344)</f>
        <v>0</v>
      </c>
      <c r="G344" s="10">
        <f ca="1">_xll.DBRW($C$1,$C$2,$C$3,$C$4,$C$6,$C$5,$C$7,G$1,G$2,$A344)</f>
        <v>0</v>
      </c>
      <c r="H344" s="10">
        <f ca="1">_xll.DBRW($C$1,$C$2,$C$3,$C$4,$C$6,$C$5,$C$7,H$1,H$2,$A344)</f>
        <v>0</v>
      </c>
    </row>
    <row r="345" spans="1:11" ht="15.75" collapsed="1">
      <c r="A345" s="1" t="s">
        <v>127</v>
      </c>
      <c r="C345" s="141" t="s">
        <v>48</v>
      </c>
      <c r="E345" s="17" t="s">
        <v>95</v>
      </c>
      <c r="F345" s="42">
        <f t="shared" ref="F345:H345" ca="1" si="117">SUM(F344)</f>
        <v>0</v>
      </c>
      <c r="G345" s="42">
        <f t="shared" ca="1" si="117"/>
        <v>0</v>
      </c>
      <c r="H345" s="42">
        <f t="shared" ca="1" si="117"/>
        <v>0</v>
      </c>
      <c r="J345" s="97">
        <f t="shared" ref="J345" ca="1" si="118">F345-G345</f>
        <v>0</v>
      </c>
      <c r="K345" s="97">
        <f t="shared" ref="K345" ca="1" si="119">F345-H345</f>
        <v>0</v>
      </c>
    </row>
    <row r="346" spans="1:11" ht="15.75" hidden="1" customHeight="1">
      <c r="A346" s="1" t="s">
        <v>361</v>
      </c>
      <c r="C346" s="141"/>
      <c r="E346" s="9" t="str">
        <f ca="1">_xll.DBRW(Server&amp;"}ElementAttributes_Indicator",A346,"code_English")</f>
        <v>Driver_turnover - Driver turnover in %</v>
      </c>
      <c r="F346" s="43">
        <f ca="1">_xll.DBRW($C$1,$C$2,$C$3,$C$4,$C$6,$C$5,$C$7,F$1,F$2,$A346)</f>
        <v>0</v>
      </c>
      <c r="G346" s="43">
        <f ca="1">_xll.DBRW($C$1,$C$2,$C$3,$C$4,$C$6,$C$5,$C$7,G$1,G$2,$A346)</f>
        <v>0</v>
      </c>
      <c r="H346" s="43">
        <f ca="1">_xll.DBRW($C$1,$C$2,$C$3,$C$4,$C$6,$C$5,$C$7,H$1,H$2,$A346)</f>
        <v>0</v>
      </c>
      <c r="J346" s="32">
        <f t="shared" ref="J346:J349" ca="1" si="120">F346-G346</f>
        <v>0</v>
      </c>
      <c r="K346" s="32">
        <f t="shared" ref="K346:K349" ca="1" si="121">F346-H346</f>
        <v>0</v>
      </c>
    </row>
    <row r="347" spans="1:11" ht="15.75" collapsed="1">
      <c r="A347" s="1" t="s">
        <v>127</v>
      </c>
      <c r="C347" s="141"/>
      <c r="E347" s="83" t="s">
        <v>366</v>
      </c>
      <c r="F347" s="44">
        <f t="shared" ref="F347:H347" ca="1" si="122">SUM(F346)</f>
        <v>0</v>
      </c>
      <c r="G347" s="44">
        <f t="shared" ca="1" si="122"/>
        <v>0</v>
      </c>
      <c r="H347" s="44">
        <f t="shared" ca="1" si="122"/>
        <v>0</v>
      </c>
      <c r="J347" s="33">
        <f t="shared" ca="1" si="120"/>
        <v>0</v>
      </c>
      <c r="K347" s="33">
        <f t="shared" ca="1" si="121"/>
        <v>0</v>
      </c>
    </row>
    <row r="348" spans="1:11" ht="15.75" hidden="1" customHeight="1">
      <c r="A348" s="1" t="s">
        <v>362</v>
      </c>
      <c r="C348" s="141"/>
      <c r="E348" s="9" t="str">
        <f ca="1">_xll.DBRW(Server&amp;"}ElementAttributes_Indicator",A348,"code_English")</f>
        <v>Nb_Driver_open_positions - Driver open positions</v>
      </c>
      <c r="F348" s="43">
        <f ca="1">_xll.DBRW($C$1,$C$2,$C$3,$C$4,$C$6,$C$5,$C$7,F$1,F$2,$A348)</f>
        <v>0</v>
      </c>
      <c r="G348" s="43">
        <f ca="1">_xll.DBRW($C$1,$C$2,$C$3,$C$4,$C$6,$C$5,$C$7,G$1,G$2,$A348)</f>
        <v>0</v>
      </c>
      <c r="H348" s="43">
        <f ca="1">_xll.DBRW($C$1,$C$2,$C$3,$C$4,$C$6,$C$5,$C$7,H$1,H$2,$A348)</f>
        <v>0</v>
      </c>
      <c r="J348" s="32">
        <f t="shared" ca="1" si="120"/>
        <v>0</v>
      </c>
      <c r="K348" s="32">
        <f t="shared" ca="1" si="121"/>
        <v>0</v>
      </c>
    </row>
    <row r="349" spans="1:11" ht="15.75" collapsed="1">
      <c r="C349" s="141"/>
      <c r="E349" s="86" t="s">
        <v>96</v>
      </c>
      <c r="F349" s="45">
        <f t="shared" ref="F349:H349" ca="1" si="123">SUM(F348)</f>
        <v>0</v>
      </c>
      <c r="G349" s="45">
        <f t="shared" ca="1" si="123"/>
        <v>0</v>
      </c>
      <c r="H349" s="45">
        <f t="shared" ca="1" si="123"/>
        <v>0</v>
      </c>
      <c r="J349" s="99">
        <f t="shared" ca="1" si="120"/>
        <v>0</v>
      </c>
      <c r="K349" s="99">
        <f t="shared" ca="1" si="121"/>
        <v>0</v>
      </c>
    </row>
    <row r="350" spans="1:11" ht="15.75">
      <c r="A350" s="1" t="s">
        <v>127</v>
      </c>
      <c r="C350" s="25"/>
      <c r="E350" s="50"/>
      <c r="F350" s="55"/>
      <c r="G350" s="55"/>
      <c r="H350" s="55"/>
    </row>
    <row r="351" spans="1:11">
      <c r="A351" s="1" t="s">
        <v>127</v>
      </c>
      <c r="C351" s="53"/>
    </row>
    <row r="352" spans="1:11" ht="15.75" customHeight="1">
      <c r="A352" s="1" t="s">
        <v>127</v>
      </c>
      <c r="C352" s="141" t="s">
        <v>97</v>
      </c>
      <c r="E352" s="17" t="s">
        <v>98</v>
      </c>
      <c r="F352" s="77" t="str">
        <f ca="1">IFERROR((-F41/F30),"-")</f>
        <v>-</v>
      </c>
      <c r="G352" s="77">
        <f ca="1">IFERROR((-G41/G30),"-")</f>
        <v>0.42611824834392198</v>
      </c>
      <c r="H352" s="77" t="str">
        <f ca="1">IFERROR((-H41/H30),"-")</f>
        <v>-</v>
      </c>
      <c r="J352" s="97" t="e">
        <f t="shared" ref="J352" ca="1" si="124">F352-G352</f>
        <v>#VALUE!</v>
      </c>
      <c r="K352" s="97" t="e">
        <f t="shared" ref="K352" ca="1" si="125">F352-H352</f>
        <v>#VALUE!</v>
      </c>
    </row>
    <row r="353" spans="1:11" ht="15.75">
      <c r="A353" s="1" t="s">
        <v>127</v>
      </c>
      <c r="C353" s="141"/>
      <c r="E353" s="15" t="s">
        <v>99</v>
      </c>
      <c r="F353" s="78" t="str">
        <f ca="1">IFERROR((-F80/F30),"-")</f>
        <v>-</v>
      </c>
      <c r="G353" s="78">
        <f ca="1">IFERROR((-G80/G30),"-")</f>
        <v>8.8529791510077477E-2</v>
      </c>
      <c r="H353" s="78" t="str">
        <f ca="1">IFERROR((-H80/H30),"-")</f>
        <v>-</v>
      </c>
      <c r="J353" s="114" t="e">
        <f t="shared" ref="J353:J379" ca="1" si="126">F353-G353</f>
        <v>#VALUE!</v>
      </c>
      <c r="K353" s="114" t="e">
        <f t="shared" ref="K353:K379" ca="1" si="127">F353-H353</f>
        <v>#VALUE!</v>
      </c>
    </row>
    <row r="354" spans="1:11" ht="15.75">
      <c r="A354" s="1" t="s">
        <v>127</v>
      </c>
      <c r="C354" s="141"/>
      <c r="E354" s="15" t="s">
        <v>100</v>
      </c>
      <c r="F354" s="78" t="str">
        <f ca="1">IFERROR((-F98/F30),"-")</f>
        <v>-</v>
      </c>
      <c r="G354" s="78">
        <f ca="1">IFERROR((-G98/G30),"-")</f>
        <v>9.7484974371028613E-2</v>
      </c>
      <c r="H354" s="78" t="str">
        <f ca="1">IFERROR((-H98/H30),"-")</f>
        <v>-</v>
      </c>
      <c r="J354" s="109" t="e">
        <f t="shared" ca="1" si="126"/>
        <v>#VALUE!</v>
      </c>
      <c r="K354" s="109" t="e">
        <f t="shared" ca="1" si="127"/>
        <v>#VALUE!</v>
      </c>
    </row>
    <row r="355" spans="1:11" ht="15.75">
      <c r="A355" s="1" t="s">
        <v>127</v>
      </c>
      <c r="C355" s="141"/>
      <c r="E355" s="15" t="s">
        <v>101</v>
      </c>
      <c r="F355" s="78" t="str">
        <f ca="1">IFERROR((-F114/F30),"-")</f>
        <v>-</v>
      </c>
      <c r="G355" s="78">
        <f t="shared" ref="G355:H355" ca="1" si="128">IFERROR((-G114/G30),"-")</f>
        <v>4.7140416892318848E-2</v>
      </c>
      <c r="H355" s="78" t="str">
        <f t="shared" ca="1" si="128"/>
        <v>-</v>
      </c>
      <c r="J355" s="33" t="e">
        <f t="shared" ca="1" si="126"/>
        <v>#VALUE!</v>
      </c>
      <c r="K355" s="33" t="e">
        <f t="shared" ca="1" si="127"/>
        <v>#VALUE!</v>
      </c>
    </row>
    <row r="356" spans="1:11" ht="15.75">
      <c r="A356" s="1" t="s">
        <v>127</v>
      </c>
      <c r="C356" s="141"/>
      <c r="E356" s="15" t="s">
        <v>102</v>
      </c>
      <c r="F356" s="79" t="str">
        <f ca="1">IFERROR((-F186/F30),"-")</f>
        <v>-</v>
      </c>
      <c r="G356" s="79">
        <f ca="1">IFERROR((-G186/G30),"-")</f>
        <v>0.20865779195956743</v>
      </c>
      <c r="H356" s="79" t="str">
        <f ca="1">IFERROR((-H186/H30),"-")</f>
        <v>-</v>
      </c>
      <c r="J356" s="33" t="e">
        <f t="shared" ca="1" si="126"/>
        <v>#VALUE!</v>
      </c>
      <c r="K356" s="33" t="e">
        <f t="shared" ca="1" si="127"/>
        <v>#VALUE!</v>
      </c>
    </row>
    <row r="357" spans="1:11" ht="15.75">
      <c r="A357" s="1" t="s">
        <v>127</v>
      </c>
      <c r="C357" s="141"/>
      <c r="E357" s="52" t="s">
        <v>103</v>
      </c>
      <c r="F357" s="80" t="str">
        <f ca="1">IFERROR(-F258/F30,"-")</f>
        <v>-</v>
      </c>
      <c r="G357" s="80">
        <f ca="1">IFERROR(-G258/G30,"-")</f>
        <v>8.4249045559996891E-2</v>
      </c>
      <c r="H357" s="80" t="str">
        <f ca="1">IFERROR(-H258/H30,"-")</f>
        <v>-</v>
      </c>
      <c r="J357" s="32" t="e">
        <f t="shared" ca="1" si="126"/>
        <v>#VALUE!</v>
      </c>
      <c r="K357" s="32" t="e">
        <f t="shared" ca="1" si="127"/>
        <v>#VALUE!</v>
      </c>
    </row>
    <row r="358" spans="1:11" ht="9" customHeight="1">
      <c r="A358" s="1" t="s">
        <v>127</v>
      </c>
      <c r="C358" s="141"/>
      <c r="E358" s="7"/>
      <c r="F358" s="8"/>
      <c r="G358" s="8"/>
      <c r="H358" s="8"/>
      <c r="J358" s="96"/>
      <c r="K358" s="96"/>
    </row>
    <row r="359" spans="1:11" ht="15.75">
      <c r="A359" s="1" t="s">
        <v>127</v>
      </c>
      <c r="C359" s="141"/>
      <c r="E359" s="17" t="str">
        <f ca="1">"Revenue "&amp;RIGHT(Context!$F$36,3)&amp;"/km"</f>
        <v>Revenue LCL/km</v>
      </c>
      <c r="F359" s="57" t="str">
        <f ca="1">IFERROR(F21/F308,"-")</f>
        <v>-</v>
      </c>
      <c r="G359" s="57">
        <f ca="1">IFERROR(G21/G308,"-")</f>
        <v>6.50351711528252</v>
      </c>
      <c r="H359" s="57" t="str">
        <f ca="1">IFERROR(H21/H308,"-")</f>
        <v>-</v>
      </c>
      <c r="J359" s="32" t="e">
        <f t="shared" ca="1" si="126"/>
        <v>#VALUE!</v>
      </c>
      <c r="K359" s="32" t="e">
        <f t="shared" ca="1" si="127"/>
        <v>#VALUE!</v>
      </c>
    </row>
    <row r="360" spans="1:11" ht="15.75">
      <c r="A360" s="1" t="s">
        <v>127</v>
      </c>
      <c r="C360" s="141"/>
      <c r="E360" s="15" t="s">
        <v>104</v>
      </c>
      <c r="F360" s="56" t="str">
        <f ca="1">IFERROR(F324/F304,"-")</f>
        <v>-</v>
      </c>
      <c r="G360" s="56" t="str">
        <f t="shared" ref="G360:H360" ca="1" si="129">IFERROR(G324/G304,"-")</f>
        <v>-</v>
      </c>
      <c r="H360" s="56" t="str">
        <f t="shared" ca="1" si="129"/>
        <v>-</v>
      </c>
      <c r="J360" s="109" t="e">
        <f t="shared" ca="1" si="126"/>
        <v>#VALUE!</v>
      </c>
      <c r="K360" s="109" t="e">
        <f t="shared" ca="1" si="127"/>
        <v>#VALUE!</v>
      </c>
    </row>
    <row r="361" spans="1:11" ht="15.75">
      <c r="A361" s="1" t="s">
        <v>127</v>
      </c>
      <c r="C361" s="141"/>
      <c r="E361" s="15" t="s">
        <v>105</v>
      </c>
      <c r="F361" s="56" t="str">
        <f ca="1">IFERROR(F326/F305,"-")</f>
        <v>-</v>
      </c>
      <c r="G361" s="56" t="str">
        <f t="shared" ref="G361:H361" ca="1" si="130">IFERROR(G326/G305,"-")</f>
        <v>-</v>
      </c>
      <c r="H361" s="56" t="str">
        <f t="shared" ca="1" si="130"/>
        <v>-</v>
      </c>
      <c r="J361" s="33" t="e">
        <f t="shared" ca="1" si="126"/>
        <v>#VALUE!</v>
      </c>
      <c r="K361" s="33" t="e">
        <f t="shared" ca="1" si="127"/>
        <v>#VALUE!</v>
      </c>
    </row>
    <row r="362" spans="1:11" ht="15.75">
      <c r="A362" s="1" t="s">
        <v>127</v>
      </c>
      <c r="C362" s="141"/>
      <c r="E362" s="15" t="s">
        <v>106</v>
      </c>
      <c r="F362" s="56" t="str">
        <f ca="1">IFERROR(F328/F307,"-")</f>
        <v>-</v>
      </c>
      <c r="G362" s="56" t="str">
        <f t="shared" ref="G362:H362" ca="1" si="131">IFERROR(G328/G307,"-")</f>
        <v>-</v>
      </c>
      <c r="H362" s="56" t="str">
        <f t="shared" ca="1" si="131"/>
        <v>-</v>
      </c>
      <c r="J362" s="33" t="e">
        <f t="shared" ca="1" si="126"/>
        <v>#VALUE!</v>
      </c>
      <c r="K362" s="33" t="e">
        <f t="shared" ca="1" si="127"/>
        <v>#VALUE!</v>
      </c>
    </row>
    <row r="363" spans="1:11" ht="15.75">
      <c r="A363" s="1" t="s">
        <v>127</v>
      </c>
      <c r="C363" s="141"/>
      <c r="E363" s="15" t="s">
        <v>107</v>
      </c>
      <c r="F363" s="56" t="str">
        <f ca="1">IFERROR(F330/F306,"-")</f>
        <v>-</v>
      </c>
      <c r="G363" s="56" t="str">
        <f t="shared" ref="G363:H363" ca="1" si="132">IFERROR(G330/G306,"-")</f>
        <v>-</v>
      </c>
      <c r="H363" s="56" t="str">
        <f t="shared" ca="1" si="132"/>
        <v>-</v>
      </c>
      <c r="J363" s="33" t="e">
        <f t="shared" ca="1" si="126"/>
        <v>#VALUE!</v>
      </c>
      <c r="K363" s="33" t="e">
        <f t="shared" ca="1" si="127"/>
        <v>#VALUE!</v>
      </c>
    </row>
    <row r="364" spans="1:11" ht="15.75">
      <c r="A364" s="1" t="s">
        <v>127</v>
      </c>
      <c r="C364" s="141"/>
      <c r="E364" s="15" t="str">
        <f ca="1">"(E2) Cost "&amp;RIGHT(Context!$F$36,3)&amp;"/L (fuel)"</f>
        <v>(E2) Cost LCL/L (fuel)</v>
      </c>
      <c r="F364" s="56" t="str">
        <f ca="1">IFERROR(F88/F324,"-")</f>
        <v>-</v>
      </c>
      <c r="G364" s="56">
        <f ca="1">IFERROR(G88/G324,"-")</f>
        <v>-1.7454440687584423</v>
      </c>
      <c r="H364" s="56" t="str">
        <f ca="1">IFERROR(H88/H324,"-")</f>
        <v>-</v>
      </c>
      <c r="J364" s="33" t="e">
        <f t="shared" ca="1" si="126"/>
        <v>#VALUE!</v>
      </c>
      <c r="K364" s="33" t="e">
        <f t="shared" ca="1" si="127"/>
        <v>#VALUE!</v>
      </c>
    </row>
    <row r="365" spans="1:11" ht="15.75">
      <c r="A365" s="1" t="s">
        <v>127</v>
      </c>
      <c r="C365" s="141"/>
      <c r="E365" s="15" t="str">
        <f ca="1">"(E2) Cost "&amp;RIGHT(Context!$F$36,3)&amp;"/L (biofuel)"</f>
        <v>(E2) Cost LCL/L (biofuel)</v>
      </c>
      <c r="F365" s="56" t="str">
        <f ca="1">IFERROR(F91/F326,"-")</f>
        <v>-</v>
      </c>
      <c r="G365" s="56">
        <f ca="1">IFERROR(G91/G326,"-")</f>
        <v>-1.8049814328718456</v>
      </c>
      <c r="H365" s="56" t="str">
        <f ca="1">IFERROR(H91/H326,"-")</f>
        <v>-</v>
      </c>
      <c r="J365" s="33" t="e">
        <f t="shared" ca="1" si="126"/>
        <v>#VALUE!</v>
      </c>
      <c r="K365" s="33" t="e">
        <f t="shared" ca="1" si="127"/>
        <v>#VALUE!</v>
      </c>
    </row>
    <row r="366" spans="1:11" ht="15.75">
      <c r="A366" s="1" t="s">
        <v>127</v>
      </c>
      <c r="C366" s="141"/>
      <c r="E366" s="15" t="str">
        <f ca="1">"(E2) Cost "&amp;RIGHT(Context!$F$36,3)&amp;"/kWh (gas)"</f>
        <v>(E2) Cost LCL/kWh (gas)</v>
      </c>
      <c r="F366" s="56" t="str">
        <f ca="1">IFERROR(F94/F328,"-")</f>
        <v>-</v>
      </c>
      <c r="G366" s="56" t="str">
        <f ca="1">IFERROR(G94/G328,"-")</f>
        <v>-</v>
      </c>
      <c r="H366" s="56" t="str">
        <f ca="1">IFERROR(H94/H328,"-")</f>
        <v>-</v>
      </c>
      <c r="J366" s="33" t="e">
        <f t="shared" ca="1" si="126"/>
        <v>#VALUE!</v>
      </c>
      <c r="K366" s="33" t="e">
        <f t="shared" ca="1" si="127"/>
        <v>#VALUE!</v>
      </c>
    </row>
    <row r="367" spans="1:11" ht="15.75">
      <c r="A367" s="1" t="s">
        <v>127</v>
      </c>
      <c r="C367" s="141"/>
      <c r="E367" s="15" t="str">
        <f ca="1">"(E2) Cost "&amp;RIGHT(Context!$F$36,3)&amp;"/kWh (electricity)"</f>
        <v>(E2) Cost LCL/kWh (electricity)</v>
      </c>
      <c r="F367" s="56" t="str">
        <f ca="1">IFERROR(F83/F330,"-")</f>
        <v>-</v>
      </c>
      <c r="G367" s="56" t="str">
        <f ca="1">IFERROR(G83/G330,"-")</f>
        <v>-</v>
      </c>
      <c r="H367" s="56" t="str">
        <f ca="1">IFERROR(H83/H330,"-")</f>
        <v>-</v>
      </c>
      <c r="J367" s="33" t="e">
        <f t="shared" ca="1" si="126"/>
        <v>#VALUE!</v>
      </c>
      <c r="K367" s="33" t="e">
        <f t="shared" ca="1" si="127"/>
        <v>#VALUE!</v>
      </c>
    </row>
    <row r="368" spans="1:11" ht="15.75">
      <c r="A368" s="1" t="s">
        <v>127</v>
      </c>
      <c r="C368" s="141"/>
      <c r="E368" s="15" t="str">
        <f ca="1">"(D1) Payroll "&amp;RIGHT(Context!$F$36,3)&amp;"/FTE (Drivers)"</f>
        <v>(D1) Payroll LCL/FTE (Drivers)</v>
      </c>
      <c r="F368" s="56" t="str">
        <f ca="1">IFERROR(F41/F312,"-")</f>
        <v>-</v>
      </c>
      <c r="G368" s="56" t="str">
        <f ca="1">IFERROR(G41/G312,"-")</f>
        <v>-</v>
      </c>
      <c r="H368" s="56" t="str">
        <f ca="1">IFERROR(H41/H312,"-")</f>
        <v>-</v>
      </c>
      <c r="J368" s="33" t="e">
        <f t="shared" ca="1" si="126"/>
        <v>#VALUE!</v>
      </c>
      <c r="K368" s="33" t="e">
        <f t="shared" ca="1" si="127"/>
        <v>#VALUE!</v>
      </c>
    </row>
    <row r="369" spans="1:11" ht="15.75">
      <c r="A369" s="1" t="s">
        <v>127</v>
      </c>
      <c r="C369" s="141"/>
      <c r="E369" s="15" t="s">
        <v>108</v>
      </c>
      <c r="F369" s="56" t="str">
        <f t="shared" ref="F369:H369" ca="1" si="133">IFERROR(F308/F312,"-")</f>
        <v>-</v>
      </c>
      <c r="G369" s="56" t="str">
        <f t="shared" ca="1" si="133"/>
        <v>-</v>
      </c>
      <c r="H369" s="56" t="str">
        <f t="shared" ca="1" si="133"/>
        <v>-</v>
      </c>
      <c r="J369" s="33" t="e">
        <f t="shared" ca="1" si="126"/>
        <v>#VALUE!</v>
      </c>
      <c r="K369" s="33" t="e">
        <f t="shared" ca="1" si="127"/>
        <v>#VALUE!</v>
      </c>
    </row>
    <row r="370" spans="1:11" ht="15.75">
      <c r="A370" s="1" t="s">
        <v>127</v>
      </c>
      <c r="C370" s="141"/>
      <c r="E370" s="15" t="str">
        <f ca="1">"(M1) "&amp;RIGHT(Context!$F$36,3)&amp;"/veh"</f>
        <v>(M1) LCL/veh</v>
      </c>
      <c r="F370" s="56" t="str">
        <f ca="1">IFERROR(F80/(F332+F334+F336+F338+F340+F342),"-")</f>
        <v>-</v>
      </c>
      <c r="G370" s="56" t="str">
        <f t="shared" ref="G370:H370" ca="1" si="134">IFERROR(G80/(G332+G334+G336+G338+G340+G342),"-")</f>
        <v>-</v>
      </c>
      <c r="H370" s="56" t="str">
        <f t="shared" ca="1" si="134"/>
        <v>-</v>
      </c>
      <c r="J370" s="33" t="e">
        <f t="shared" ca="1" si="126"/>
        <v>#VALUE!</v>
      </c>
      <c r="K370" s="33" t="e">
        <f t="shared" ca="1" si="127"/>
        <v>#VALUE!</v>
      </c>
    </row>
    <row r="371" spans="1:11" ht="15.75">
      <c r="A371" s="1" t="s">
        <v>127</v>
      </c>
      <c r="C371" s="141"/>
      <c r="E371" s="15" t="str">
        <f ca="1">"(M2) Payroll "&amp;RIGHT(Context!$F$36,3)&amp;"/FTE (Maintenance)"</f>
        <v>(M2) Payroll LCL/FTE (Maintenance)</v>
      </c>
      <c r="F371" s="56" t="str">
        <f ca="1">IFERROR(F44/F315,"-")</f>
        <v>-</v>
      </c>
      <c r="G371" s="56" t="str">
        <f t="shared" ref="G371:H371" ca="1" si="135">IFERROR(G44/G315,"-")</f>
        <v>-</v>
      </c>
      <c r="H371" s="56" t="str">
        <f t="shared" ca="1" si="135"/>
        <v>-</v>
      </c>
      <c r="J371" s="33" t="e">
        <f t="shared" ca="1" si="126"/>
        <v>#VALUE!</v>
      </c>
      <c r="K371" s="33" t="e">
        <f t="shared" ca="1" si="127"/>
        <v>#VALUE!</v>
      </c>
    </row>
    <row r="372" spans="1:11" ht="15.75">
      <c r="A372" s="1" t="s">
        <v>127</v>
      </c>
      <c r="C372" s="141"/>
      <c r="E372" s="15" t="s">
        <v>109</v>
      </c>
      <c r="F372" s="56" t="str">
        <f ca="1">IFERROR(F315/(F332+F334+F336+F338+F340+F342),"-")</f>
        <v>-</v>
      </c>
      <c r="G372" s="56" t="str">
        <f t="shared" ref="G372:H372" ca="1" si="136">IFERROR(G315/(G332+G334+G336+G338+G340+G342),"-")</f>
        <v>-</v>
      </c>
      <c r="H372" s="56" t="str">
        <f t="shared" ca="1" si="136"/>
        <v>-</v>
      </c>
      <c r="J372" s="33" t="e">
        <f t="shared" ca="1" si="126"/>
        <v>#VALUE!</v>
      </c>
      <c r="K372" s="33" t="e">
        <f t="shared" ca="1" si="127"/>
        <v>#VALUE!</v>
      </c>
    </row>
    <row r="373" spans="1:11" ht="15.75">
      <c r="C373" s="141"/>
      <c r="E373" s="106" t="str">
        <f ca="1">"(M4) "&amp;RIGHT(Context!$F$36,3)&amp;"/km"</f>
        <v>(M4) LCL/km</v>
      </c>
      <c r="F373" s="56" t="str">
        <f ca="1">IFERROR(F80/F308,"-")</f>
        <v>-</v>
      </c>
      <c r="G373" s="56">
        <f ca="1">IFERROR(G84/G308,"-")</f>
        <v>-0.26438855898998026</v>
      </c>
      <c r="H373" s="56" t="str">
        <f ca="1">IFERROR(H84/H308,"-")</f>
        <v>-</v>
      </c>
      <c r="I373" s="108"/>
      <c r="J373" s="33"/>
      <c r="K373" s="33"/>
    </row>
    <row r="374" spans="1:11" ht="15.75">
      <c r="A374" s="1" t="s">
        <v>127</v>
      </c>
      <c r="C374" s="141"/>
      <c r="E374" s="106" t="s">
        <v>372</v>
      </c>
      <c r="F374" s="107" t="str">
        <f ca="1">IFERROR(F298/F332,"-")</f>
        <v>-</v>
      </c>
      <c r="G374" s="107" t="str">
        <f t="shared" ref="G374:H374" ca="1" si="137">IFERROR(G298/G332,"-")</f>
        <v>-</v>
      </c>
      <c r="H374" s="107" t="str">
        <f t="shared" ca="1" si="137"/>
        <v>-</v>
      </c>
      <c r="J374" s="33" t="e">
        <f t="shared" ca="1" si="126"/>
        <v>#VALUE!</v>
      </c>
      <c r="K374" s="33" t="e">
        <f t="shared" ca="1" si="127"/>
        <v>#VALUE!</v>
      </c>
    </row>
    <row r="375" spans="1:11" ht="15.75">
      <c r="A375" s="1" t="s">
        <v>127</v>
      </c>
      <c r="C375" s="141"/>
      <c r="E375" s="15" t="s">
        <v>373</v>
      </c>
      <c r="F375" s="56" t="str">
        <f ca="1">IFERROR(F299/F334,"-")</f>
        <v>-</v>
      </c>
      <c r="G375" s="56" t="str">
        <f t="shared" ref="G375:H375" ca="1" si="138">IFERROR(G299/G334,"-")</f>
        <v>-</v>
      </c>
      <c r="H375" s="56" t="str">
        <f t="shared" ca="1" si="138"/>
        <v>-</v>
      </c>
      <c r="J375" s="33" t="e">
        <f t="shared" ca="1" si="126"/>
        <v>#VALUE!</v>
      </c>
      <c r="K375" s="33" t="e">
        <f t="shared" ca="1" si="127"/>
        <v>#VALUE!</v>
      </c>
    </row>
    <row r="376" spans="1:11" ht="15.75">
      <c r="A376" s="1" t="s">
        <v>127</v>
      </c>
      <c r="C376" s="141"/>
      <c r="E376" s="15" t="s">
        <v>374</v>
      </c>
      <c r="F376" s="56" t="str">
        <f ca="1">IFERROR(F300/F336,"-")</f>
        <v>-</v>
      </c>
      <c r="G376" s="56" t="str">
        <f t="shared" ref="G376:H376" ca="1" si="139">IFERROR(G300/G336,"-")</f>
        <v>-</v>
      </c>
      <c r="H376" s="56" t="str">
        <f t="shared" ca="1" si="139"/>
        <v>-</v>
      </c>
      <c r="J376" s="33" t="e">
        <f t="shared" ca="1" si="126"/>
        <v>#VALUE!</v>
      </c>
      <c r="K376" s="33" t="e">
        <f t="shared" ca="1" si="127"/>
        <v>#VALUE!</v>
      </c>
    </row>
    <row r="377" spans="1:11" ht="15.75">
      <c r="A377" s="1" t="s">
        <v>127</v>
      </c>
      <c r="C377" s="141"/>
      <c r="E377" s="15" t="s">
        <v>375</v>
      </c>
      <c r="F377" s="56" t="str">
        <f ca="1">IFERROR(F301/F338,"-")</f>
        <v>-</v>
      </c>
      <c r="G377" s="56" t="str">
        <f t="shared" ref="G377:H377" ca="1" si="140">IFERROR(G301/G338,"-")</f>
        <v>-</v>
      </c>
      <c r="H377" s="56" t="str">
        <f t="shared" ca="1" si="140"/>
        <v>-</v>
      </c>
      <c r="J377" s="33" t="e">
        <f t="shared" ca="1" si="126"/>
        <v>#VALUE!</v>
      </c>
      <c r="K377" s="33" t="e">
        <f t="shared" ca="1" si="127"/>
        <v>#VALUE!</v>
      </c>
    </row>
    <row r="378" spans="1:11" ht="15.75">
      <c r="A378" s="1" t="s">
        <v>127</v>
      </c>
      <c r="C378" s="141"/>
      <c r="E378" s="15" t="s">
        <v>376</v>
      </c>
      <c r="F378" s="56" t="str">
        <f ca="1">IFERROR(F302/F340,"-")</f>
        <v>-</v>
      </c>
      <c r="G378" s="56" t="str">
        <f t="shared" ref="G378:H378" ca="1" si="141">IFERROR(G302/G340,"-")</f>
        <v>-</v>
      </c>
      <c r="H378" s="56" t="str">
        <f t="shared" ca="1" si="141"/>
        <v>-</v>
      </c>
      <c r="J378" s="33" t="e">
        <f t="shared" ca="1" si="126"/>
        <v>#VALUE!</v>
      </c>
      <c r="K378" s="33" t="e">
        <f t="shared" ca="1" si="127"/>
        <v>#VALUE!</v>
      </c>
    </row>
    <row r="379" spans="1:11" ht="15.75">
      <c r="A379" s="1" t="s">
        <v>127</v>
      </c>
      <c r="C379" s="141"/>
      <c r="E379" s="110" t="s">
        <v>377</v>
      </c>
      <c r="F379" s="111" t="str">
        <f ca="1">IFERROR(F303/F342,"-")</f>
        <v>-</v>
      </c>
      <c r="G379" s="111" t="str">
        <f t="shared" ref="G379:H379" ca="1" si="142">IFERROR(G303/G342,"-")</f>
        <v>-</v>
      </c>
      <c r="H379" s="111" t="str">
        <f t="shared" ca="1" si="142"/>
        <v>-</v>
      </c>
      <c r="I379" s="113"/>
      <c r="J379" s="112" t="e">
        <f t="shared" ca="1" si="126"/>
        <v>#VALUE!</v>
      </c>
      <c r="K379" s="112" t="e">
        <f t="shared" ca="1" si="127"/>
        <v>#VALUE!</v>
      </c>
    </row>
    <row r="380" spans="1:11">
      <c r="F380" s="5"/>
      <c r="G380" s="5"/>
      <c r="H380" s="5"/>
    </row>
    <row r="381" spans="1:11">
      <c r="F381" s="5"/>
      <c r="G381" s="5"/>
      <c r="H381" s="5"/>
    </row>
    <row r="382" spans="1:11">
      <c r="F382" s="5"/>
      <c r="G382" s="5"/>
      <c r="H382" s="5"/>
    </row>
    <row r="383" spans="1:11">
      <c r="F383" s="5"/>
      <c r="G383" s="5"/>
      <c r="H383" s="5"/>
    </row>
    <row r="384" spans="1:11">
      <c r="F384" s="5"/>
      <c r="G384" s="5"/>
      <c r="H384" s="5"/>
    </row>
    <row r="385" spans="6:8">
      <c r="F385" s="5"/>
      <c r="G385" s="5"/>
      <c r="H385" s="5"/>
    </row>
    <row r="386" spans="6:8">
      <c r="F386" s="5"/>
      <c r="G386" s="5"/>
      <c r="H386" s="5"/>
    </row>
    <row r="387" spans="6:8">
      <c r="F387" s="5"/>
      <c r="G387" s="5"/>
      <c r="H387" s="5"/>
    </row>
    <row r="388" spans="6:8">
      <c r="F388" s="5"/>
      <c r="G388" s="5"/>
      <c r="H388" s="5"/>
    </row>
    <row r="389" spans="6:8">
      <c r="F389" s="5"/>
      <c r="G389" s="5"/>
      <c r="H389" s="5"/>
    </row>
    <row r="390" spans="6:8">
      <c r="F390" s="5"/>
      <c r="G390" s="5"/>
      <c r="H390" s="5"/>
    </row>
    <row r="391" spans="6:8">
      <c r="F391" s="5"/>
      <c r="G391" s="5"/>
      <c r="H391" s="5"/>
    </row>
    <row r="392" spans="6:8">
      <c r="F392" s="5"/>
      <c r="G392" s="5"/>
      <c r="H392" s="5"/>
    </row>
    <row r="393" spans="6:8">
      <c r="F393" s="5"/>
      <c r="G393" s="5"/>
      <c r="H393" s="5"/>
    </row>
    <row r="394" spans="6:8">
      <c r="F394" s="5"/>
      <c r="G394" s="5"/>
      <c r="H394" s="5"/>
    </row>
    <row r="395" spans="6:8">
      <c r="F395" s="5"/>
      <c r="G395" s="5"/>
      <c r="H395" s="5"/>
    </row>
    <row r="396" spans="6:8">
      <c r="F396" s="5"/>
      <c r="G396" s="5"/>
      <c r="H396" s="5"/>
    </row>
    <row r="397" spans="6:8">
      <c r="F397" s="5"/>
      <c r="G397" s="5"/>
      <c r="H397" s="5"/>
    </row>
    <row r="398" spans="6:8">
      <c r="F398" s="5"/>
      <c r="G398" s="5"/>
      <c r="H398" s="5"/>
    </row>
    <row r="399" spans="6:8">
      <c r="F399" s="5"/>
      <c r="G399" s="5"/>
      <c r="H399" s="5"/>
    </row>
    <row r="400" spans="6:8">
      <c r="F400" s="5"/>
      <c r="G400" s="5"/>
      <c r="H400" s="5"/>
    </row>
    <row r="401" spans="6:8">
      <c r="F401" s="5"/>
      <c r="G401" s="5"/>
      <c r="H401" s="5"/>
    </row>
    <row r="402" spans="6:8">
      <c r="F402" s="5"/>
      <c r="G402" s="5"/>
      <c r="H402" s="5"/>
    </row>
    <row r="403" spans="6:8">
      <c r="F403" s="5"/>
      <c r="G403" s="5"/>
      <c r="H403" s="5"/>
    </row>
    <row r="404" spans="6:8">
      <c r="F404" s="5"/>
      <c r="G404" s="5"/>
      <c r="H404" s="5"/>
    </row>
    <row r="405" spans="6:8">
      <c r="F405" s="5"/>
      <c r="G405" s="5"/>
      <c r="H405" s="5"/>
    </row>
    <row r="406" spans="6:8">
      <c r="F406" s="5"/>
      <c r="G406" s="5"/>
      <c r="H406" s="5"/>
    </row>
    <row r="407" spans="6:8">
      <c r="F407" s="5"/>
      <c r="G407" s="5"/>
      <c r="H407" s="5"/>
    </row>
    <row r="408" spans="6:8">
      <c r="F408" s="5"/>
      <c r="G408" s="5"/>
      <c r="H408" s="5"/>
    </row>
    <row r="409" spans="6:8">
      <c r="F409" s="5"/>
      <c r="G409" s="5"/>
      <c r="H409" s="5"/>
    </row>
    <row r="410" spans="6:8">
      <c r="F410" s="5"/>
      <c r="G410" s="5"/>
      <c r="H410" s="5"/>
    </row>
    <row r="411" spans="6:8">
      <c r="F411" s="5"/>
      <c r="G411" s="5"/>
      <c r="H411" s="5"/>
    </row>
    <row r="412" spans="6:8">
      <c r="F412" s="5"/>
      <c r="G412" s="5"/>
      <c r="H412" s="5"/>
    </row>
    <row r="413" spans="6:8">
      <c r="F413" s="5"/>
      <c r="G413" s="5"/>
      <c r="H413" s="5"/>
    </row>
    <row r="414" spans="6:8">
      <c r="F414" s="5"/>
      <c r="G414" s="5"/>
      <c r="H414" s="5"/>
    </row>
    <row r="415" spans="6:8">
      <c r="F415" s="5"/>
      <c r="G415" s="5"/>
      <c r="H415" s="5"/>
    </row>
    <row r="416" spans="6:8">
      <c r="F416" s="5"/>
      <c r="G416" s="5"/>
      <c r="H416" s="5"/>
    </row>
    <row r="417" spans="6:8">
      <c r="F417" s="5"/>
      <c r="G417" s="5"/>
      <c r="H417" s="5"/>
    </row>
    <row r="418" spans="6:8">
      <c r="F418" s="5"/>
      <c r="G418" s="5"/>
      <c r="H418" s="5"/>
    </row>
    <row r="419" spans="6:8">
      <c r="F419" s="5"/>
      <c r="G419" s="5"/>
      <c r="H419" s="5"/>
    </row>
    <row r="420" spans="6:8">
      <c r="F420" s="5"/>
      <c r="G420" s="5"/>
      <c r="H420" s="5"/>
    </row>
    <row r="421" spans="6:8">
      <c r="F421" s="5"/>
      <c r="G421" s="5"/>
      <c r="H421" s="5"/>
    </row>
    <row r="422" spans="6:8">
      <c r="F422" s="5"/>
      <c r="G422" s="5"/>
      <c r="H422" s="5"/>
    </row>
    <row r="423" spans="6:8">
      <c r="F423" s="5"/>
      <c r="G423" s="5"/>
      <c r="H423" s="5"/>
    </row>
    <row r="424" spans="6:8">
      <c r="F424" s="5"/>
      <c r="G424" s="5"/>
      <c r="H424" s="5"/>
    </row>
    <row r="425" spans="6:8">
      <c r="F425" s="5"/>
      <c r="G425" s="5"/>
      <c r="H425" s="5"/>
    </row>
    <row r="426" spans="6:8">
      <c r="F426" s="5"/>
      <c r="G426" s="5"/>
      <c r="H426" s="5"/>
    </row>
    <row r="427" spans="6:8">
      <c r="F427" s="5"/>
      <c r="G427" s="5"/>
      <c r="H427" s="5"/>
    </row>
    <row r="428" spans="6:8">
      <c r="F428" s="5"/>
      <c r="G428" s="5"/>
      <c r="H428" s="5"/>
    </row>
    <row r="429" spans="6:8">
      <c r="F429" s="5"/>
      <c r="G429" s="5"/>
      <c r="H429" s="5"/>
    </row>
    <row r="430" spans="6:8">
      <c r="F430" s="5"/>
      <c r="G430" s="5"/>
      <c r="H430" s="5"/>
    </row>
    <row r="431" spans="6:8">
      <c r="F431" s="5"/>
      <c r="G431" s="5"/>
      <c r="H431" s="5"/>
    </row>
    <row r="432" spans="6:8">
      <c r="F432" s="5"/>
      <c r="G432" s="5"/>
      <c r="H432" s="5"/>
    </row>
    <row r="433" spans="6:8">
      <c r="F433" s="5"/>
      <c r="G433" s="5"/>
      <c r="H433" s="5"/>
    </row>
    <row r="434" spans="6:8">
      <c r="F434" s="5"/>
      <c r="G434" s="5"/>
      <c r="H434" s="5"/>
    </row>
    <row r="435" spans="6:8">
      <c r="F435" s="5"/>
      <c r="G435" s="5"/>
      <c r="H435" s="5"/>
    </row>
    <row r="436" spans="6:8">
      <c r="F436" s="5"/>
      <c r="G436" s="5"/>
      <c r="H436" s="5"/>
    </row>
    <row r="437" spans="6:8">
      <c r="F437" s="5"/>
      <c r="G437" s="5"/>
      <c r="H437" s="5"/>
    </row>
    <row r="438" spans="6:8">
      <c r="F438" s="5"/>
      <c r="G438" s="5"/>
      <c r="H438" s="5"/>
    </row>
    <row r="439" spans="6:8">
      <c r="F439" s="5"/>
      <c r="G439" s="5"/>
      <c r="H439" s="5"/>
    </row>
    <row r="440" spans="6:8">
      <c r="F440" s="5"/>
      <c r="G440" s="5"/>
      <c r="H440" s="5"/>
    </row>
    <row r="441" spans="6:8">
      <c r="F441" s="5"/>
      <c r="G441" s="5"/>
      <c r="H441" s="5"/>
    </row>
    <row r="442" spans="6:8">
      <c r="F442" s="5"/>
      <c r="G442" s="5"/>
      <c r="H442" s="5"/>
    </row>
    <row r="443" spans="6:8">
      <c r="F443" s="5"/>
      <c r="G443" s="5"/>
      <c r="H443" s="5"/>
    </row>
    <row r="444" spans="6:8">
      <c r="F444" s="5"/>
      <c r="G444" s="5"/>
      <c r="H444" s="5"/>
    </row>
    <row r="445" spans="6:8">
      <c r="F445" s="5"/>
      <c r="G445" s="5"/>
      <c r="H445" s="5"/>
    </row>
    <row r="446" spans="6:8">
      <c r="F446" s="5"/>
      <c r="G446" s="5"/>
      <c r="H446" s="5"/>
    </row>
    <row r="447" spans="6:8">
      <c r="F447" s="5"/>
      <c r="G447" s="5"/>
      <c r="H447" s="5"/>
    </row>
    <row r="448" spans="6:8">
      <c r="F448" s="5"/>
      <c r="G448" s="5"/>
      <c r="H448" s="5"/>
    </row>
    <row r="449" spans="6:8">
      <c r="F449" s="5"/>
      <c r="G449" s="5"/>
      <c r="H449" s="5"/>
    </row>
    <row r="450" spans="6:8">
      <c r="F450" s="5"/>
      <c r="G450" s="5"/>
      <c r="H450" s="5"/>
    </row>
    <row r="451" spans="6:8">
      <c r="F451" s="5"/>
      <c r="G451" s="5"/>
      <c r="H451" s="5"/>
    </row>
    <row r="452" spans="6:8">
      <c r="F452" s="5"/>
      <c r="G452" s="5"/>
      <c r="H452" s="5"/>
    </row>
    <row r="453" spans="6:8">
      <c r="F453" s="5"/>
      <c r="G453" s="5"/>
      <c r="H453" s="5"/>
    </row>
    <row r="454" spans="6:8">
      <c r="F454" s="5"/>
      <c r="G454" s="5"/>
      <c r="H454" s="5"/>
    </row>
    <row r="455" spans="6:8">
      <c r="F455" s="5"/>
      <c r="G455" s="5"/>
      <c r="H455" s="5"/>
    </row>
    <row r="456" spans="6:8">
      <c r="F456" s="5"/>
      <c r="G456" s="5"/>
      <c r="H456" s="5"/>
    </row>
    <row r="457" spans="6:8">
      <c r="F457" s="5"/>
      <c r="G457" s="5"/>
      <c r="H457" s="5"/>
    </row>
    <row r="458" spans="6:8">
      <c r="F458" s="5"/>
      <c r="G458" s="5"/>
      <c r="H458" s="5"/>
    </row>
    <row r="459" spans="6:8">
      <c r="F459" s="5"/>
      <c r="G459" s="5"/>
      <c r="H459" s="5"/>
    </row>
    <row r="460" spans="6:8">
      <c r="F460" s="5"/>
      <c r="G460" s="5"/>
      <c r="H460" s="5"/>
    </row>
    <row r="461" spans="6:8">
      <c r="F461" s="5"/>
      <c r="G461" s="5"/>
      <c r="H461" s="5"/>
    </row>
    <row r="462" spans="6:8">
      <c r="F462" s="5"/>
      <c r="G462" s="5"/>
      <c r="H462" s="5"/>
    </row>
    <row r="463" spans="6:8">
      <c r="F463" s="5"/>
      <c r="G463" s="5"/>
      <c r="H463" s="5"/>
    </row>
    <row r="464" spans="6:8">
      <c r="F464" s="5"/>
      <c r="G464" s="5"/>
      <c r="H464" s="5"/>
    </row>
    <row r="465" spans="6:8">
      <c r="F465" s="5"/>
      <c r="G465" s="5"/>
      <c r="H465" s="5"/>
    </row>
    <row r="466" spans="6:8">
      <c r="F466" s="5"/>
      <c r="G466" s="5"/>
      <c r="H466" s="5"/>
    </row>
    <row r="467" spans="6:8">
      <c r="F467" s="5"/>
      <c r="G467" s="5"/>
      <c r="H467" s="5"/>
    </row>
    <row r="468" spans="6:8">
      <c r="F468" s="5"/>
      <c r="G468" s="5"/>
      <c r="H468" s="5"/>
    </row>
    <row r="469" spans="6:8">
      <c r="F469" s="5"/>
      <c r="G469" s="5"/>
      <c r="H469" s="5"/>
    </row>
    <row r="470" spans="6:8">
      <c r="F470" s="5"/>
      <c r="G470" s="5"/>
      <c r="H470" s="5"/>
    </row>
    <row r="471" spans="6:8">
      <c r="F471" s="5"/>
      <c r="G471" s="5"/>
      <c r="H471" s="5"/>
    </row>
    <row r="472" spans="6:8">
      <c r="F472" s="5"/>
      <c r="G472" s="5"/>
      <c r="H472" s="5"/>
    </row>
    <row r="473" spans="6:8">
      <c r="F473" s="5"/>
      <c r="G473" s="5"/>
      <c r="H473" s="5"/>
    </row>
    <row r="474" spans="6:8">
      <c r="F474" s="5"/>
      <c r="G474" s="5"/>
      <c r="H474" s="5"/>
    </row>
    <row r="475" spans="6:8">
      <c r="F475" s="5"/>
      <c r="G475" s="5"/>
      <c r="H475" s="5"/>
    </row>
    <row r="476" spans="6:8">
      <c r="F476" s="5"/>
      <c r="G476" s="5"/>
      <c r="H476" s="5"/>
    </row>
    <row r="477" spans="6:8">
      <c r="F477" s="5"/>
      <c r="G477" s="5"/>
      <c r="H477" s="5"/>
    </row>
    <row r="478" spans="6:8">
      <c r="F478" s="5"/>
      <c r="G478" s="5"/>
      <c r="H478" s="5"/>
    </row>
    <row r="479" spans="6:8">
      <c r="F479" s="5"/>
      <c r="G479" s="5"/>
      <c r="H479" s="5"/>
    </row>
    <row r="480" spans="6:8">
      <c r="F480" s="5"/>
      <c r="G480" s="5"/>
      <c r="H480" s="5"/>
    </row>
    <row r="481" spans="6:8">
      <c r="F481" s="5"/>
      <c r="G481" s="5"/>
      <c r="H481" s="5"/>
    </row>
    <row r="482" spans="6:8">
      <c r="F482" s="5"/>
      <c r="G482" s="5"/>
      <c r="H482" s="5"/>
    </row>
    <row r="483" spans="6:8">
      <c r="F483" s="5"/>
      <c r="G483" s="5"/>
      <c r="H483" s="5"/>
    </row>
    <row r="484" spans="6:8">
      <c r="F484" s="5"/>
      <c r="G484" s="5"/>
      <c r="H484" s="5"/>
    </row>
    <row r="485" spans="6:8">
      <c r="F485" s="5"/>
      <c r="G485" s="5"/>
      <c r="H485" s="5"/>
    </row>
    <row r="486" spans="6:8">
      <c r="F486" s="5"/>
      <c r="G486" s="5"/>
      <c r="H486" s="5"/>
    </row>
    <row r="487" spans="6:8">
      <c r="F487" s="5"/>
      <c r="G487" s="5"/>
      <c r="H487" s="5"/>
    </row>
    <row r="488" spans="6:8">
      <c r="F488" s="5"/>
      <c r="G488" s="5"/>
      <c r="H488" s="5"/>
    </row>
    <row r="489" spans="6:8">
      <c r="F489" s="5"/>
      <c r="G489" s="5"/>
      <c r="H489" s="5"/>
    </row>
    <row r="490" spans="6:8">
      <c r="F490" s="5"/>
      <c r="G490" s="5"/>
      <c r="H490" s="5"/>
    </row>
    <row r="491" spans="6:8">
      <c r="F491" s="5"/>
      <c r="G491" s="5"/>
      <c r="H491" s="5"/>
    </row>
    <row r="492" spans="6:8">
      <c r="F492" s="5"/>
      <c r="G492" s="5"/>
      <c r="H492" s="5"/>
    </row>
    <row r="493" spans="6:8">
      <c r="F493" s="5"/>
      <c r="G493" s="5"/>
      <c r="H493" s="5"/>
    </row>
    <row r="494" spans="6:8">
      <c r="F494" s="5"/>
      <c r="G494" s="5"/>
      <c r="H494" s="5"/>
    </row>
    <row r="495" spans="6:8">
      <c r="F495" s="5"/>
      <c r="G495" s="5"/>
      <c r="H495" s="5"/>
    </row>
    <row r="496" spans="6:8">
      <c r="F496" s="5"/>
      <c r="G496" s="5"/>
      <c r="H496" s="5"/>
    </row>
    <row r="497" spans="6:8">
      <c r="F497" s="5"/>
      <c r="G497" s="5"/>
      <c r="H497" s="5"/>
    </row>
    <row r="498" spans="6:8">
      <c r="F498" s="5"/>
      <c r="G498" s="5"/>
      <c r="H498" s="5"/>
    </row>
    <row r="499" spans="6:8">
      <c r="F499" s="5"/>
      <c r="G499" s="5"/>
      <c r="H499" s="5"/>
    </row>
    <row r="500" spans="6:8">
      <c r="F500" s="5"/>
      <c r="G500" s="5"/>
      <c r="H500" s="5"/>
    </row>
    <row r="501" spans="6:8">
      <c r="F501" s="5"/>
      <c r="G501" s="5"/>
      <c r="H501" s="5"/>
    </row>
    <row r="502" spans="6:8">
      <c r="F502" s="5"/>
      <c r="G502" s="5"/>
      <c r="H502" s="5"/>
    </row>
    <row r="503" spans="6:8">
      <c r="F503" s="5"/>
      <c r="G503" s="5"/>
      <c r="H503" s="5"/>
    </row>
    <row r="504" spans="6:8">
      <c r="F504" s="5"/>
      <c r="G504" s="5"/>
      <c r="H504" s="5"/>
    </row>
    <row r="505" spans="6:8">
      <c r="F505" s="5"/>
      <c r="G505" s="5"/>
      <c r="H505" s="5"/>
    </row>
    <row r="506" spans="6:8">
      <c r="F506" s="5"/>
      <c r="G506" s="5"/>
      <c r="H506" s="5"/>
    </row>
    <row r="507" spans="6:8">
      <c r="F507" s="5"/>
      <c r="G507" s="5"/>
      <c r="H507" s="5"/>
    </row>
    <row r="508" spans="6:8">
      <c r="F508" s="5"/>
      <c r="G508" s="5"/>
      <c r="H508" s="5"/>
    </row>
    <row r="509" spans="6:8">
      <c r="F509" s="5"/>
      <c r="G509" s="5"/>
      <c r="H509" s="5"/>
    </row>
    <row r="510" spans="6:8">
      <c r="F510" s="5"/>
      <c r="G510" s="5"/>
      <c r="H510" s="5"/>
    </row>
    <row r="511" spans="6:8">
      <c r="F511" s="5"/>
      <c r="G511" s="5"/>
      <c r="H511" s="5"/>
    </row>
    <row r="512" spans="6:8">
      <c r="F512" s="5"/>
      <c r="G512" s="5"/>
      <c r="H512" s="5"/>
    </row>
    <row r="513" spans="6:8">
      <c r="F513" s="5"/>
      <c r="G513" s="5"/>
      <c r="H513" s="5"/>
    </row>
    <row r="514" spans="6:8">
      <c r="F514" s="5"/>
      <c r="G514" s="5"/>
      <c r="H514" s="5"/>
    </row>
    <row r="515" spans="6:8">
      <c r="F515" s="5"/>
      <c r="G515" s="5"/>
      <c r="H515" s="5"/>
    </row>
    <row r="516" spans="6:8">
      <c r="F516" s="5"/>
      <c r="G516" s="5"/>
      <c r="H516" s="5"/>
    </row>
    <row r="517" spans="6:8">
      <c r="F517" s="5"/>
      <c r="G517" s="5"/>
      <c r="H517" s="5"/>
    </row>
    <row r="518" spans="6:8">
      <c r="F518" s="5"/>
      <c r="G518" s="5"/>
      <c r="H518" s="5"/>
    </row>
    <row r="519" spans="6:8">
      <c r="F519" s="5"/>
      <c r="G519" s="5"/>
      <c r="H519" s="5"/>
    </row>
    <row r="520" spans="6:8">
      <c r="F520" s="5"/>
      <c r="G520" s="5"/>
      <c r="H520" s="5"/>
    </row>
    <row r="521" spans="6:8">
      <c r="F521" s="5"/>
      <c r="G521" s="5"/>
      <c r="H521" s="5"/>
    </row>
    <row r="522" spans="6:8">
      <c r="F522" s="5"/>
      <c r="G522" s="5"/>
      <c r="H522" s="5"/>
    </row>
    <row r="523" spans="6:8">
      <c r="F523" s="5"/>
      <c r="G523" s="5"/>
      <c r="H523" s="5"/>
    </row>
    <row r="524" spans="6:8">
      <c r="F524" s="5"/>
      <c r="G524" s="5"/>
      <c r="H524" s="5"/>
    </row>
    <row r="525" spans="6:8">
      <c r="F525" s="5"/>
      <c r="G525" s="5"/>
      <c r="H525" s="5"/>
    </row>
    <row r="526" spans="6:8">
      <c r="F526" s="5"/>
      <c r="G526" s="5"/>
      <c r="H526" s="5"/>
    </row>
    <row r="527" spans="6:8">
      <c r="F527" s="5"/>
      <c r="G527" s="5"/>
      <c r="H527" s="5"/>
    </row>
    <row r="528" spans="6:8">
      <c r="F528" s="5"/>
      <c r="G528" s="5"/>
      <c r="H528" s="5"/>
    </row>
    <row r="529" spans="6:8">
      <c r="F529" s="5"/>
      <c r="G529" s="5"/>
      <c r="H529" s="5"/>
    </row>
    <row r="530" spans="6:8">
      <c r="F530" s="5"/>
      <c r="G530" s="5"/>
      <c r="H530" s="5"/>
    </row>
    <row r="531" spans="6:8">
      <c r="F531" s="5"/>
      <c r="G531" s="5"/>
      <c r="H531" s="5"/>
    </row>
    <row r="532" spans="6:8">
      <c r="F532" s="5"/>
      <c r="G532" s="5"/>
      <c r="H532" s="5"/>
    </row>
    <row r="533" spans="6:8">
      <c r="F533" s="5"/>
      <c r="G533" s="5"/>
      <c r="H533" s="5"/>
    </row>
    <row r="534" spans="6:8">
      <c r="F534" s="5"/>
      <c r="G534" s="5"/>
      <c r="H534" s="5"/>
    </row>
    <row r="535" spans="6:8">
      <c r="F535" s="5"/>
      <c r="G535" s="5"/>
      <c r="H535" s="5"/>
    </row>
    <row r="536" spans="6:8">
      <c r="F536" s="5"/>
      <c r="G536" s="5"/>
      <c r="H536" s="5"/>
    </row>
    <row r="537" spans="6:8">
      <c r="F537" s="5"/>
      <c r="G537" s="5"/>
      <c r="H537" s="5"/>
    </row>
    <row r="538" spans="6:8">
      <c r="F538" s="5"/>
      <c r="G538" s="5"/>
      <c r="H538" s="5"/>
    </row>
    <row r="539" spans="6:8">
      <c r="F539" s="5"/>
      <c r="G539" s="5"/>
      <c r="H539" s="5"/>
    </row>
    <row r="540" spans="6:8">
      <c r="F540" s="5"/>
      <c r="G540" s="5"/>
      <c r="H540" s="5"/>
    </row>
    <row r="541" spans="6:8">
      <c r="F541" s="5"/>
      <c r="G541" s="5"/>
      <c r="H541" s="5"/>
    </row>
    <row r="542" spans="6:8">
      <c r="F542" s="5"/>
      <c r="G542" s="5"/>
      <c r="H542" s="5"/>
    </row>
    <row r="543" spans="6:8">
      <c r="F543" s="5"/>
      <c r="G543" s="5"/>
      <c r="H543" s="5"/>
    </row>
    <row r="544" spans="6:8">
      <c r="F544" s="5"/>
      <c r="G544" s="5"/>
      <c r="H544" s="5"/>
    </row>
    <row r="545" spans="6:8">
      <c r="F545" s="5"/>
      <c r="G545" s="5"/>
      <c r="H545" s="5"/>
    </row>
    <row r="546" spans="6:8">
      <c r="F546" s="5"/>
      <c r="G546" s="5"/>
      <c r="H546" s="5"/>
    </row>
    <row r="547" spans="6:8">
      <c r="F547" s="5"/>
      <c r="G547" s="5"/>
      <c r="H547" s="5"/>
    </row>
    <row r="548" spans="6:8">
      <c r="F548" s="5"/>
      <c r="G548" s="5"/>
      <c r="H548" s="5"/>
    </row>
    <row r="549" spans="6:8">
      <c r="F549" s="5"/>
      <c r="G549" s="5"/>
      <c r="H549" s="5"/>
    </row>
    <row r="550" spans="6:8">
      <c r="F550" s="5"/>
      <c r="G550" s="5"/>
      <c r="H550" s="5"/>
    </row>
    <row r="551" spans="6:8">
      <c r="F551" s="5"/>
      <c r="G551" s="5"/>
      <c r="H551" s="5"/>
    </row>
    <row r="552" spans="6:8">
      <c r="F552" s="5"/>
      <c r="G552" s="5"/>
      <c r="H552" s="5"/>
    </row>
    <row r="553" spans="6:8">
      <c r="F553" s="5"/>
      <c r="G553" s="5"/>
      <c r="H553" s="5"/>
    </row>
    <row r="554" spans="6:8">
      <c r="F554" s="5"/>
      <c r="G554" s="5"/>
      <c r="H554" s="5"/>
    </row>
    <row r="555" spans="6:8">
      <c r="F555" s="5"/>
      <c r="G555" s="5"/>
      <c r="H555" s="5"/>
    </row>
    <row r="556" spans="6:8">
      <c r="F556" s="5"/>
      <c r="G556" s="5"/>
      <c r="H556" s="5"/>
    </row>
    <row r="557" spans="6:8">
      <c r="F557" s="5"/>
      <c r="G557" s="5"/>
      <c r="H557" s="5"/>
    </row>
    <row r="558" spans="6:8">
      <c r="F558" s="5"/>
      <c r="G558" s="5"/>
      <c r="H558" s="5"/>
    </row>
    <row r="559" spans="6:8">
      <c r="F559" s="5"/>
      <c r="G559" s="5"/>
      <c r="H559" s="5"/>
    </row>
    <row r="560" spans="6:8">
      <c r="F560" s="5"/>
      <c r="G560" s="5"/>
      <c r="H560" s="5"/>
    </row>
    <row r="561" spans="6:8">
      <c r="F561" s="5"/>
      <c r="G561" s="5"/>
      <c r="H561" s="5"/>
    </row>
    <row r="562" spans="6:8">
      <c r="F562" s="5"/>
      <c r="G562" s="5"/>
      <c r="H562" s="5"/>
    </row>
    <row r="563" spans="6:8">
      <c r="F563" s="5"/>
      <c r="G563" s="5"/>
      <c r="H563" s="5"/>
    </row>
    <row r="564" spans="6:8">
      <c r="F564" s="5"/>
      <c r="G564" s="5"/>
      <c r="H564" s="5"/>
    </row>
    <row r="565" spans="6:8">
      <c r="F565" s="5"/>
      <c r="G565" s="5"/>
      <c r="H565" s="5"/>
    </row>
    <row r="566" spans="6:8">
      <c r="F566" s="5"/>
      <c r="G566" s="5"/>
      <c r="H566" s="5"/>
    </row>
    <row r="567" spans="6:8">
      <c r="F567" s="5"/>
      <c r="G567" s="5"/>
      <c r="H567" s="5"/>
    </row>
    <row r="568" spans="6:8">
      <c r="F568" s="5"/>
      <c r="G568" s="5"/>
      <c r="H568" s="5"/>
    </row>
    <row r="569" spans="6:8">
      <c r="F569" s="5"/>
      <c r="G569" s="5"/>
      <c r="H569" s="5"/>
    </row>
    <row r="570" spans="6:8">
      <c r="F570" s="5"/>
      <c r="G570" s="5"/>
      <c r="H570" s="5"/>
    </row>
    <row r="571" spans="6:8">
      <c r="F571" s="5"/>
      <c r="G571" s="5"/>
      <c r="H571" s="5"/>
    </row>
    <row r="572" spans="6:8">
      <c r="F572" s="5"/>
      <c r="G572" s="5"/>
      <c r="H572" s="5"/>
    </row>
    <row r="573" spans="6:8">
      <c r="F573" s="5"/>
      <c r="G573" s="5"/>
      <c r="H573" s="5"/>
    </row>
    <row r="574" spans="6:8">
      <c r="F574" s="5"/>
      <c r="G574" s="5"/>
      <c r="H574" s="5"/>
    </row>
    <row r="575" spans="6:8">
      <c r="F575" s="5"/>
      <c r="G575" s="5"/>
      <c r="H575" s="5"/>
    </row>
    <row r="576" spans="6:8">
      <c r="F576" s="5"/>
      <c r="G576" s="5"/>
      <c r="H576" s="5"/>
    </row>
    <row r="577" spans="6:8">
      <c r="F577" s="5"/>
      <c r="G577" s="5"/>
      <c r="H577" s="5"/>
    </row>
    <row r="578" spans="6:8">
      <c r="F578" s="5"/>
      <c r="G578" s="5"/>
      <c r="H578" s="5"/>
    </row>
    <row r="579" spans="6:8">
      <c r="F579" s="5"/>
      <c r="G579" s="5"/>
      <c r="H579" s="5"/>
    </row>
    <row r="580" spans="6:8">
      <c r="F580" s="5"/>
      <c r="G580" s="5"/>
      <c r="H580" s="5"/>
    </row>
    <row r="581" spans="6:8">
      <c r="F581" s="5"/>
      <c r="G581" s="5"/>
      <c r="H581" s="5"/>
    </row>
    <row r="582" spans="6:8">
      <c r="F582" s="5"/>
      <c r="G582" s="5"/>
      <c r="H582" s="5"/>
    </row>
    <row r="583" spans="6:8">
      <c r="F583" s="5"/>
      <c r="G583" s="5"/>
      <c r="H583" s="5"/>
    </row>
    <row r="584" spans="6:8">
      <c r="F584" s="5"/>
      <c r="G584" s="5"/>
      <c r="H584" s="5"/>
    </row>
    <row r="585" spans="6:8">
      <c r="F585" s="5"/>
      <c r="G585" s="5"/>
      <c r="H585" s="5"/>
    </row>
    <row r="586" spans="6:8">
      <c r="F586" s="5"/>
      <c r="G586" s="5"/>
      <c r="H586" s="5"/>
    </row>
    <row r="587" spans="6:8">
      <c r="F587" s="5"/>
      <c r="G587" s="5"/>
      <c r="H587" s="5"/>
    </row>
    <row r="588" spans="6:8">
      <c r="F588" s="5"/>
      <c r="G588" s="5"/>
      <c r="H588" s="5"/>
    </row>
    <row r="589" spans="6:8">
      <c r="F589" s="5"/>
      <c r="G589" s="5"/>
      <c r="H589" s="5"/>
    </row>
    <row r="590" spans="6:8">
      <c r="F590" s="5"/>
      <c r="G590" s="5"/>
      <c r="H590" s="5"/>
    </row>
    <row r="591" spans="6:8">
      <c r="F591" s="5"/>
      <c r="G591" s="5"/>
      <c r="H591" s="5"/>
    </row>
    <row r="592" spans="6:8">
      <c r="F592" s="5"/>
      <c r="G592" s="5"/>
      <c r="H592" s="5"/>
    </row>
    <row r="593" spans="6:8">
      <c r="F593" s="5"/>
      <c r="G593" s="5"/>
      <c r="H593" s="5"/>
    </row>
    <row r="594" spans="6:8">
      <c r="F594" s="5"/>
      <c r="G594" s="5"/>
      <c r="H594" s="5"/>
    </row>
  </sheetData>
  <sheetProtection password="D70F" sheet="1" objects="1" scenarios="1" formatColumns="0" formatRows="0"/>
  <mergeCells count="9">
    <mergeCell ref="E9:L11"/>
    <mergeCell ref="C281:C294"/>
    <mergeCell ref="C352:C379"/>
    <mergeCell ref="J17:J18"/>
    <mergeCell ref="K17:K18"/>
    <mergeCell ref="E17:E18"/>
    <mergeCell ref="C21:C276"/>
    <mergeCell ref="C308:C342"/>
    <mergeCell ref="C345:C349"/>
  </mergeCells>
  <dataValidations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4</xdr:col>
                    <xdr:colOff>1228725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FE33F40CFD7145B1139C9898BD6259" ma:contentTypeVersion="2" ma:contentTypeDescription="Crée un document." ma:contentTypeScope="" ma:versionID="e0f87a1f6c14262a94e4e090216b84c3">
  <xsd:schema xmlns:xsd="http://www.w3.org/2001/XMLSchema" xmlns:xs="http://www.w3.org/2001/XMLSchema" xmlns:p="http://schemas.microsoft.com/office/2006/metadata/properties" xmlns:ns2="593288d4-c742-43c3-b1b4-ad2f71920d9b" targetNamespace="http://schemas.microsoft.com/office/2006/metadata/properties" ma:root="true" ma:fieldsID="3f055d2b7493998eceb926de075f74dc" ns2:_="">
    <xsd:import namespace="593288d4-c742-43c3-b1b4-ad2f71920d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88d4-c742-43c3-b1b4-ad2f71920d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C4DAC5-32E8-4959-B49E-BC9C86CDBF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B47B38-12E1-437C-B06C-F7E294FBB79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593288d4-c742-43c3-b1b4-ad2f71920d9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FF6F1B6-AE27-43E1-B70A-B2DFBFA27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88d4-c742-43c3-b1b4-ad2f71920d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40</vt:i4>
      </vt:variant>
    </vt:vector>
  </HeadingPairs>
  <TitlesOfParts>
    <vt:vector size="45" baseType="lpstr">
      <vt:lpstr>Context</vt:lpstr>
      <vt:lpstr>Input</vt:lpstr>
      <vt:lpstr>Input_DBS</vt:lpstr>
      <vt:lpstr>Synthèse</vt:lpstr>
      <vt:lpstr>Restitution</vt:lpstr>
      <vt:lpstr>Current_Period_YTD</vt:lpstr>
      <vt:lpstr>DBSS_Absenteism</vt:lpstr>
      <vt:lpstr>DBSS_Biofuel</vt:lpstr>
      <vt:lpstr>DBSS_Drive_open_positions</vt:lpstr>
      <vt:lpstr>DBSS_Driver_Turnover</vt:lpstr>
      <vt:lpstr>DBSS_Elec</vt:lpstr>
      <vt:lpstr>DBSS_FTE</vt:lpstr>
      <vt:lpstr>DBSS_FTE_Maintenance_Others</vt:lpstr>
      <vt:lpstr>DBSS_FTE_Maintenance_Technicians</vt:lpstr>
      <vt:lpstr>DBSS_FTE_Operation_Drivers</vt:lpstr>
      <vt:lpstr>DBSS_Fuel</vt:lpstr>
      <vt:lpstr>DBSS_Gas</vt:lpstr>
      <vt:lpstr>DBSS_Km</vt:lpstr>
      <vt:lpstr>DBSS_nb_BRT</vt:lpstr>
      <vt:lpstr>DBSS_nb_Bus</vt:lpstr>
      <vt:lpstr>DBSS_nb_Ferries</vt:lpstr>
      <vt:lpstr>DBSS_nb_Heavy_rail</vt:lpstr>
      <vt:lpstr>DBSS_nb_light_vehicles</vt:lpstr>
      <vt:lpstr>DBSS_nb_LRV</vt:lpstr>
      <vt:lpstr>DBSS_Operations_other</vt:lpstr>
      <vt:lpstr>Default_Legal_Organization</vt:lpstr>
      <vt:lpstr>Default_Management_Organization</vt:lpstr>
      <vt:lpstr>Flag_Send_Data</vt:lpstr>
      <vt:lpstr>Input!Print_Area</vt:lpstr>
      <vt:lpstr>Input_DBS!Print_Area</vt:lpstr>
      <vt:lpstr>Restitution!Print_Area</vt:lpstr>
      <vt:lpstr>Synthèse!Print_Area</vt:lpstr>
      <vt:lpstr>Server</vt:lpstr>
      <vt:lpstr>xHost</vt:lpstr>
      <vt:lpstr>xServer</vt:lpstr>
      <vt:lpstr>z_Current_Period_N_1</vt:lpstr>
      <vt:lpstr>z_Current_Phase</vt:lpstr>
      <vt:lpstr>z_Current_Year</vt:lpstr>
      <vt:lpstr>z_Forecast_Phase</vt:lpstr>
      <vt:lpstr>z_Legal_Entity</vt:lpstr>
      <vt:lpstr>z_Source_Entity</vt:lpstr>
      <vt:lpstr>z_UM_Selected</vt:lpstr>
      <vt:lpstr>z_Year_N_1</vt:lpstr>
      <vt:lpstr>z_Year_Selected</vt:lpstr>
      <vt:lpstr>zYearSelected</vt:lpstr>
    </vt:vector>
  </TitlesOfParts>
  <Company>TRANSDEV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LEYMARIE, Alexandre</dc:creator>
  <cp:lastModifiedBy>SAINT JOHN de CREVECOEUR, Rozenn</cp:lastModifiedBy>
  <cp:revision/>
  <dcterms:created xsi:type="dcterms:W3CDTF">2023-02-15T16:27:41Z</dcterms:created>
  <dcterms:modified xsi:type="dcterms:W3CDTF">2023-06-26T14:54:42Z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0x0101000AFE33F40CFD7145B1139C9898BD6259</vt:lpwstr>
  </property>
  <property fmtid="{D5CDD505-2E9C-101B-9397-08002B2CF9AE}" pid="3" name="MediaServiceImageTags">
    <vt:lpwstr/>
  </property>
</Properties>
</file>