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atatiltfr-my.sharepoint.com/personal/erwan_tang_datatilt_fr/Documents/Documents/Transdev/Applications et Plans/"/>
    </mc:Choice>
  </mc:AlternateContent>
  <xr:revisionPtr revIDLastSave="0" documentId="8_{FBEDD094-1B9B-4C38-9C98-DC50EF0AD916}" xr6:coauthVersionLast="47" xr6:coauthVersionMax="47" xr10:uidLastSave="{00000000-0000-0000-0000-000000000000}"/>
  <workbookProtection workbookAlgorithmName="SHA-512" workbookHashValue="HzDT33LgyDmsiP64nd0rXWNCHFXJL+feysLJ8aj6Cqbx+D5QXJrDdb25CQZPVZxfPH+Mxc3v8vkHiqLV4yP51Q==" workbookSaltValue="fie5dnfVMpNYZJJR+9IsuA==" workbookSpinCount="100000" lockStructure="1"/>
  <bookViews>
    <workbookView xWindow="-4550" yWindow="-21710" windowWidth="38620" windowHeight="21100" firstSheet="1" activeTab="1" xr2:uid="{00000000-000D-0000-FFFF-FFFF00000000}"/>
  </bookViews>
  <sheets>
    <sheet name="Context" sheetId="33" state="hidden" r:id="rId1"/>
    <sheet name="Output" sheetId="32" r:id="rId2"/>
    <sheet name="Control" sheetId="41" state="hidden" r:id="rId3"/>
  </sheets>
  <functionGroups builtInGroupCount="19"/>
  <externalReferences>
    <externalReference r:id="rId4"/>
  </externalReference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Control!$F$20:$F$72</definedName>
    <definedName name="ActualLTP">Context!$B$14</definedName>
    <definedName name="ActualYear">Context!$B$13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Output">Output!$H$3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Control!$F$20</definedName>
    <definedName name="ctx_activity_Context">Output!$H$15</definedName>
    <definedName name="ctx_legal_Context">Output!$H$14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"562f4938-686a-40d9-abb6-797985f7b868"</definedName>
    <definedName name="ID" localSheetId="2" hidden="1">"12445885-a043-4566-9212-dce68608acb6"</definedName>
    <definedName name="ID" localSheetId="1" hidden="1">"1a1eb2fb-f71d-4cd9-b3ea-a7fad195a3d2"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Context!$B$16:$B$17</definedName>
    <definedName name="LocalLanguage">Context!$B$15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2">Control!$20:$71</definedName>
    <definedName name="TM1RPTFMTIDCOL" localSheetId="2">Control!$A$1:$A$8</definedName>
    <definedName name="TM1RPTFMTRNG" localSheetId="2">Control!$D$1:$G$8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ActualPhase">Output!$H$5</definedName>
    <definedName name="xCountryEntity">[1]Context!$P$14</definedName>
    <definedName name="xHost">Context!$B$6</definedName>
    <definedName name="xServer">Context!$B$5</definedName>
    <definedName name="_xlnm.Print_Area" localSheetId="1">Output!$F$20:$AI$134</definedName>
  </definedNames>
  <calcPr calcId="191029" calcMode="manual" iterateCount="2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0" i="32" l="1"/>
  <c r="G118" i="32"/>
  <c r="G119" i="32"/>
  <c r="G117" i="32"/>
  <c r="B5" i="33"/>
  <c r="G113" i="32"/>
  <c r="G108" i="32"/>
  <c r="G27" i="32"/>
  <c r="G34" i="32"/>
  <c r="G46" i="32"/>
  <c r="G37" i="32"/>
  <c r="A5" i="41"/>
  <c r="A4" i="41"/>
  <c r="A3" i="41"/>
  <c r="A2" i="41"/>
  <c r="D15" i="41"/>
  <c r="G70" i="41"/>
  <c r="G67" i="41"/>
  <c r="G66" i="41"/>
  <c r="G71" i="41"/>
  <c r="B14" i="33"/>
  <c r="B13" i="33"/>
  <c r="B15" i="33"/>
  <c r="G68" i="41"/>
  <c r="G69" i="41"/>
  <c r="G28" i="41"/>
  <c r="G44" i="41"/>
  <c r="G52" i="41"/>
  <c r="G60" i="41"/>
  <c r="G31" i="41"/>
  <c r="G39" i="41"/>
  <c r="G47" i="41"/>
  <c r="G55" i="41"/>
  <c r="G63" i="41"/>
  <c r="G23" i="41"/>
  <c r="G26" i="41"/>
  <c r="G42" i="41"/>
  <c r="G50" i="41"/>
  <c r="G58" i="41"/>
  <c r="G21" i="41"/>
  <c r="G29" i="41"/>
  <c r="G37" i="41"/>
  <c r="G45" i="41"/>
  <c r="G53" i="41"/>
  <c r="G61" i="41"/>
  <c r="G36" i="41"/>
  <c r="G32" i="41"/>
  <c r="G56" i="41"/>
  <c r="G64" i="41"/>
  <c r="G27" i="41"/>
  <c r="G35" i="41"/>
  <c r="G43" i="41"/>
  <c r="G51" i="41"/>
  <c r="G59" i="41"/>
  <c r="G34" i="41"/>
  <c r="G24" i="41"/>
  <c r="G40" i="41"/>
  <c r="G48" i="41"/>
  <c r="G22" i="41"/>
  <c r="G30" i="41"/>
  <c r="G38" i="41"/>
  <c r="G46" i="41"/>
  <c r="G54" i="41"/>
  <c r="G62" i="41"/>
  <c r="G25" i="41"/>
  <c r="G33" i="41"/>
  <c r="G41" i="41"/>
  <c r="G49" i="41"/>
  <c r="G57" i="41"/>
  <c r="G65" i="41"/>
  <c r="F60" i="41"/>
  <c r="F28" i="41"/>
  <c r="F49" i="41"/>
  <c r="A38" i="41"/>
  <c r="A57" i="41"/>
  <c r="A25" i="41"/>
  <c r="A46" i="41"/>
  <c r="A35" i="41"/>
  <c r="F31" i="41"/>
  <c r="A34" i="41"/>
  <c r="F34" i="41"/>
  <c r="A42" i="41"/>
  <c r="U14" i="32"/>
  <c r="A70" i="41"/>
  <c r="G64" i="32"/>
  <c r="G24" i="32"/>
  <c r="G100" i="32"/>
  <c r="G35" i="32"/>
  <c r="G39" i="32"/>
  <c r="G96" i="32"/>
  <c r="AM29" i="32"/>
  <c r="G93" i="32"/>
  <c r="AN87" i="32"/>
  <c r="G44" i="32"/>
  <c r="G30" i="32"/>
  <c r="F52" i="41"/>
  <c r="F35" i="41"/>
  <c r="A59" i="41"/>
  <c r="A71" i="41"/>
  <c r="G43" i="32"/>
  <c r="A55" i="41"/>
  <c r="A23" i="41"/>
  <c r="A44" i="41"/>
  <c r="A30" i="41"/>
  <c r="F54" i="41"/>
  <c r="F22" i="41"/>
  <c r="F64" i="41"/>
  <c r="F32" i="41"/>
  <c r="F23" i="41"/>
  <c r="A61" i="41"/>
  <c r="A29" i="41"/>
  <c r="AN28" i="32"/>
  <c r="A68" i="41"/>
  <c r="F68" i="41"/>
  <c r="G55" i="32"/>
  <c r="AM89" i="32"/>
  <c r="G89" i="32"/>
  <c r="G99" i="32"/>
  <c r="G68" i="32"/>
  <c r="G60" i="32"/>
  <c r="G67" i="32"/>
  <c r="AM87" i="32"/>
  <c r="G63" i="32"/>
  <c r="G80" i="32"/>
  <c r="G29" i="32"/>
  <c r="A47" i="41"/>
  <c r="F51" i="41"/>
  <c r="A36" i="41"/>
  <c r="A22" i="41"/>
  <c r="F46" i="41"/>
  <c r="A32" i="41"/>
  <c r="F56" i="41"/>
  <c r="F24" i="41"/>
  <c r="F61" i="41"/>
  <c r="A53" i="41"/>
  <c r="F63" i="41"/>
  <c r="F71" i="41"/>
  <c r="A67" i="41"/>
  <c r="G78" i="32"/>
  <c r="G16" i="32"/>
  <c r="G87" i="32"/>
  <c r="G41" i="32"/>
  <c r="G70" i="32"/>
  <c r="AN88" i="32"/>
  <c r="G48" i="32"/>
  <c r="G36" i="32"/>
  <c r="G65" i="32"/>
  <c r="AM86" i="32"/>
  <c r="G32" i="32"/>
  <c r="G97" i="32"/>
  <c r="G14" i="32"/>
  <c r="G13" i="32"/>
  <c r="G51" i="32"/>
  <c r="G105" i="32"/>
  <c r="G72" i="32"/>
  <c r="F44" i="41"/>
  <c r="F65" i="41"/>
  <c r="F33" i="41"/>
  <c r="A24" i="41"/>
  <c r="A41" i="41"/>
  <c r="F21" i="41"/>
  <c r="A51" i="41"/>
  <c r="A48" i="41"/>
  <c r="A56" i="41"/>
  <c r="F50" i="41"/>
  <c r="A58" i="41"/>
  <c r="F67" i="41"/>
  <c r="F69" i="41"/>
  <c r="AM28" i="32"/>
  <c r="G71" i="32"/>
  <c r="H5" i="32"/>
  <c r="G17" i="32"/>
  <c r="G62" i="32"/>
  <c r="E20" i="41"/>
  <c r="F20" i="41" s="1"/>
  <c r="G50" i="32"/>
  <c r="G79" i="32"/>
  <c r="G21" i="32"/>
  <c r="G92" i="32"/>
  <c r="G104" i="32"/>
  <c r="G75" i="32"/>
  <c r="G31" i="32"/>
  <c r="S14" i="32"/>
  <c r="F41" i="41"/>
  <c r="H12" i="32"/>
  <c r="A39" i="41"/>
  <c r="A60" i="41"/>
  <c r="A28" i="41"/>
  <c r="A26" i="41"/>
  <c r="F38" i="41"/>
  <c r="F39" i="41"/>
  <c r="F48" i="41"/>
  <c r="F37" i="41"/>
  <c r="F53" i="41"/>
  <c r="A45" i="41"/>
  <c r="F55" i="41"/>
  <c r="A69" i="41"/>
  <c r="A66" i="41"/>
  <c r="G101" i="32"/>
  <c r="G54" i="32"/>
  <c r="AM41" i="32"/>
  <c r="G18" i="32"/>
  <c r="G40" i="32"/>
  <c r="G52" i="32"/>
  <c r="G15" i="32"/>
  <c r="A20" i="41"/>
  <c r="G83" i="32"/>
  <c r="G66" i="32"/>
  <c r="G103" i="32"/>
  <c r="G28" i="32"/>
  <c r="G102" i="32"/>
  <c r="G82" i="32"/>
  <c r="F25" i="41"/>
  <c r="A27" i="41"/>
  <c r="F58" i="41"/>
  <c r="G112" i="32"/>
  <c r="G110" i="32"/>
  <c r="G26" i="32"/>
  <c r="F36" i="41"/>
  <c r="F57" i="41"/>
  <c r="A54" i="41"/>
  <c r="A65" i="41"/>
  <c r="A33" i="41"/>
  <c r="A62" i="41"/>
  <c r="A43" i="41"/>
  <c r="F29" i="41"/>
  <c r="F45" i="41"/>
  <c r="F42" i="41"/>
  <c r="A50" i="41"/>
  <c r="F70" i="41"/>
  <c r="H14" i="32"/>
  <c r="G90" i="32"/>
  <c r="G25" i="32"/>
  <c r="G111" i="32"/>
  <c r="G106" i="32"/>
  <c r="G98" i="32"/>
  <c r="G38" i="32"/>
  <c r="G94" i="32"/>
  <c r="G77" i="32"/>
  <c r="G45" i="32"/>
  <c r="G58" i="32"/>
  <c r="G12" i="32"/>
  <c r="S12" i="32"/>
  <c r="G81" i="32"/>
  <c r="S15" i="32"/>
  <c r="A49" i="41"/>
  <c r="F26" i="41"/>
  <c r="H17" i="32"/>
  <c r="G69" i="32"/>
  <c r="G85" i="32"/>
  <c r="G33" i="32"/>
  <c r="A63" i="41"/>
  <c r="A31" i="41"/>
  <c r="A52" i="41"/>
  <c r="F43" i="41"/>
  <c r="F62" i="41"/>
  <c r="F30" i="41"/>
  <c r="F59" i="41"/>
  <c r="F40" i="41"/>
  <c r="A21" i="41"/>
  <c r="A40" i="41"/>
  <c r="A37" i="41"/>
  <c r="F47" i="41"/>
  <c r="F66" i="41"/>
  <c r="H1" i="32"/>
  <c r="U12" i="32"/>
  <c r="G74" i="32"/>
  <c r="G53" i="32"/>
  <c r="G61" i="32"/>
  <c r="G84" i="32"/>
  <c r="G95" i="32"/>
  <c r="AM88" i="32"/>
  <c r="AN86" i="32"/>
  <c r="G59" i="32"/>
  <c r="G91" i="32"/>
  <c r="G56" i="32"/>
  <c r="R1" i="32"/>
  <c r="G42" i="32"/>
  <c r="S16" i="32"/>
  <c r="G57" i="32"/>
  <c r="G73" i="32"/>
  <c r="S13" i="32"/>
  <c r="F27" i="41"/>
  <c r="A64" i="41"/>
  <c r="F18" i="41"/>
  <c r="G124" i="32"/>
  <c r="R2" i="32" l="1"/>
  <c r="G76" i="32"/>
  <c r="D16" i="41"/>
  <c r="S20" i="32"/>
  <c r="H2" i="32"/>
  <c r="H124" i="32"/>
  <c r="I20" i="32"/>
  <c r="AN29" i="32"/>
  <c r="AN41" i="32"/>
  <c r="AN89" i="32"/>
  <c r="U13" i="32"/>
  <c r="U16" i="32"/>
  <c r="H16" i="32"/>
  <c r="H13" i="32"/>
  <c r="D20" i="41"/>
  <c r="G9" i="32" l="1"/>
  <c r="G8" i="32"/>
  <c r="G3" i="32"/>
  <c r="T2" i="32"/>
  <c r="T3" i="32"/>
  <c r="J2" i="32"/>
  <c r="J3" i="32"/>
  <c r="AB20" i="32"/>
  <c r="G10" i="32"/>
  <c r="J22" i="32" l="1"/>
  <c r="T22" i="32"/>
  <c r="G20" i="41"/>
  <c r="I2" i="32"/>
  <c r="T92" i="32"/>
  <c r="T89" i="32"/>
  <c r="J43" i="32"/>
  <c r="J51" i="32"/>
  <c r="I75" i="32"/>
  <c r="J26" i="32"/>
  <c r="I78" i="32"/>
  <c r="T83" i="32"/>
  <c r="I54" i="32"/>
  <c r="T91" i="32"/>
  <c r="J50" i="32"/>
  <c r="T73" i="32"/>
  <c r="T90" i="32"/>
  <c r="J110" i="32"/>
  <c r="I52" i="32"/>
  <c r="I90" i="32"/>
  <c r="I43" i="32"/>
  <c r="I76" i="32"/>
  <c r="J72" i="32"/>
  <c r="T59" i="32"/>
  <c r="I44" i="32"/>
  <c r="I68" i="32"/>
  <c r="I56" i="32"/>
  <c r="J97" i="32"/>
  <c r="J105" i="32"/>
  <c r="J30" i="32"/>
  <c r="K2" i="32"/>
  <c r="L2" i="32"/>
  <c r="M2" i="32"/>
  <c r="I29" i="32"/>
  <c r="J80" i="32"/>
  <c r="J98" i="32"/>
  <c r="K69" i="32"/>
  <c r="I32" i="32"/>
  <c r="L81" i="32"/>
  <c r="T93" i="32"/>
  <c r="T94" i="32"/>
  <c r="I24" i="32"/>
  <c r="K60" i="32"/>
  <c r="T40" i="32"/>
  <c r="L93" i="32"/>
  <c r="M74" i="32"/>
  <c r="I92" i="32"/>
  <c r="K33" i="32"/>
  <c r="J89" i="32"/>
  <c r="J32" i="32"/>
  <c r="K38" i="32"/>
  <c r="L24" i="32"/>
  <c r="L110" i="32"/>
  <c r="M95" i="32"/>
  <c r="J28" i="32"/>
  <c r="T4" i="32"/>
  <c r="AC21" i="32"/>
  <c r="J54" i="32"/>
  <c r="K61" i="32"/>
  <c r="K32" i="32"/>
  <c r="L92" i="32"/>
  <c r="T84" i="32"/>
  <c r="J82" i="32"/>
  <c r="J93" i="32"/>
  <c r="J55" i="32"/>
  <c r="K42" i="32"/>
  <c r="L101" i="32"/>
  <c r="M82" i="32"/>
  <c r="T71" i="32"/>
  <c r="T45" i="32"/>
  <c r="T85" i="32"/>
  <c r="I82" i="32"/>
  <c r="I100" i="32"/>
  <c r="K24" i="32"/>
  <c r="L42" i="32"/>
  <c r="M103" i="32"/>
  <c r="I70" i="32"/>
  <c r="I97" i="32"/>
  <c r="T52" i="32"/>
  <c r="T63" i="32"/>
  <c r="K80" i="32"/>
  <c r="J56" i="32"/>
  <c r="L70" i="32"/>
  <c r="M44" i="32"/>
  <c r="K28" i="32"/>
  <c r="T64" i="32"/>
  <c r="T96" i="32"/>
  <c r="J81" i="32"/>
  <c r="K41" i="32"/>
  <c r="K54" i="32"/>
  <c r="K97" i="32"/>
  <c r="L40" i="32"/>
  <c r="K94" i="32"/>
  <c r="L33" i="32"/>
  <c r="U2" i="32"/>
  <c r="I3" i="32"/>
  <c r="AB21" i="32"/>
  <c r="I31" i="32"/>
  <c r="T78" i="32"/>
  <c r="U92" i="32"/>
  <c r="I102" i="32"/>
  <c r="T112" i="32"/>
  <c r="I50" i="32"/>
  <c r="I55" i="32"/>
  <c r="L50" i="32"/>
  <c r="U74" i="32"/>
  <c r="T65" i="32"/>
  <c r="U62" i="32"/>
  <c r="I85" i="32"/>
  <c r="K103" i="32"/>
  <c r="J76" i="32"/>
  <c r="L38" i="32"/>
  <c r="M101" i="32"/>
  <c r="I58" i="32"/>
  <c r="I84" i="32"/>
  <c r="T80" i="32"/>
  <c r="T60" i="32"/>
  <c r="T50" i="32"/>
  <c r="I45" i="32"/>
  <c r="K93" i="32"/>
  <c r="J66" i="32"/>
  <c r="L68" i="32"/>
  <c r="M42" i="32"/>
  <c r="U24" i="32"/>
  <c r="T102" i="32"/>
  <c r="I39" i="32"/>
  <c r="K92" i="32"/>
  <c r="J65" i="32"/>
  <c r="U79" i="32"/>
  <c r="U60" i="32"/>
  <c r="U89" i="32"/>
  <c r="I59" i="32"/>
  <c r="K64" i="32"/>
  <c r="J40" i="32"/>
  <c r="L89" i="32"/>
  <c r="M70" i="32"/>
  <c r="U57" i="32"/>
  <c r="J99" i="32"/>
  <c r="I72" i="32"/>
  <c r="K98" i="32"/>
  <c r="T35" i="32"/>
  <c r="J75" i="32"/>
  <c r="L71" i="32"/>
  <c r="M51" i="32"/>
  <c r="J71" i="32"/>
  <c r="L72" i="32"/>
  <c r="M35" i="32"/>
  <c r="T58" i="32"/>
  <c r="K44" i="32"/>
  <c r="L59" i="32"/>
  <c r="M98" i="32"/>
  <c r="J41" i="32"/>
  <c r="U69" i="32"/>
  <c r="J67" i="32"/>
  <c r="L77" i="32"/>
  <c r="K67" i="32"/>
  <c r="J96" i="32"/>
  <c r="J25" i="32"/>
  <c r="L102" i="32"/>
  <c r="M55" i="32"/>
  <c r="S3" i="32"/>
  <c r="U4" i="32"/>
  <c r="U66" i="32"/>
  <c r="T69" i="32"/>
  <c r="I89" i="32"/>
  <c r="K104" i="32"/>
  <c r="J77" i="32"/>
  <c r="L36" i="32"/>
  <c r="U82" i="32"/>
  <c r="U63" i="32"/>
  <c r="I60" i="32"/>
  <c r="K95" i="32"/>
  <c r="J68" i="32"/>
  <c r="L58" i="32"/>
  <c r="M41" i="32"/>
  <c r="M40" i="32"/>
  <c r="T29" i="32"/>
  <c r="U111" i="32"/>
  <c r="T72" i="32"/>
  <c r="I26" i="32"/>
  <c r="J101" i="32"/>
  <c r="K82" i="32"/>
  <c r="J58" i="32"/>
  <c r="L76" i="32"/>
  <c r="M60" i="32"/>
  <c r="T66" i="32"/>
  <c r="U64" i="32"/>
  <c r="K55" i="32"/>
  <c r="K81" i="32"/>
  <c r="J57" i="32"/>
  <c r="U97" i="32"/>
  <c r="U43" i="32"/>
  <c r="J112" i="32"/>
  <c r="J104" i="32"/>
  <c r="T39" i="32"/>
  <c r="K56" i="32"/>
  <c r="L54" i="32"/>
  <c r="M78" i="32"/>
  <c r="U44" i="32"/>
  <c r="T44" i="32"/>
  <c r="I99" i="32"/>
  <c r="K51" i="32"/>
  <c r="K90" i="32"/>
  <c r="U30" i="32"/>
  <c r="J44" i="32"/>
  <c r="L90" i="32"/>
  <c r="M59" i="32"/>
  <c r="U103" i="32"/>
  <c r="J39" i="32"/>
  <c r="L91" i="32"/>
  <c r="M61" i="32"/>
  <c r="J70" i="32"/>
  <c r="L75" i="32"/>
  <c r="M36" i="32"/>
  <c r="K102" i="32"/>
  <c r="U50" i="32"/>
  <c r="I30" i="32"/>
  <c r="L96" i="32"/>
  <c r="M30" i="32"/>
  <c r="L31" i="32"/>
  <c r="J45" i="32"/>
  <c r="T55" i="32"/>
  <c r="L100" i="32"/>
  <c r="M43" i="32"/>
  <c r="M32" i="32"/>
  <c r="U29" i="32"/>
  <c r="U3" i="32"/>
  <c r="V2" i="32"/>
  <c r="W2" i="32"/>
  <c r="T24" i="32"/>
  <c r="T70" i="32"/>
  <c r="I64" i="32"/>
  <c r="K96" i="32"/>
  <c r="J69" i="32"/>
  <c r="V100" i="32"/>
  <c r="L57" i="32"/>
  <c r="U81" i="32"/>
  <c r="U61" i="32"/>
  <c r="T25" i="32"/>
  <c r="I61" i="32"/>
  <c r="J111" i="32"/>
  <c r="K84" i="32"/>
  <c r="J60" i="32"/>
  <c r="V55" i="32"/>
  <c r="L66" i="32"/>
  <c r="W74" i="32"/>
  <c r="M38" i="32"/>
  <c r="U93" i="32"/>
  <c r="T30" i="32"/>
  <c r="T75" i="32"/>
  <c r="T32" i="32"/>
  <c r="I103" i="32"/>
  <c r="U94" i="32"/>
  <c r="U90" i="32"/>
  <c r="K74" i="32"/>
  <c r="J38" i="32"/>
  <c r="V82" i="32"/>
  <c r="L84" i="32"/>
  <c r="W102" i="32"/>
  <c r="M68" i="32"/>
  <c r="T26" i="32"/>
  <c r="I73" i="32"/>
  <c r="I98" i="32"/>
  <c r="K112" i="32"/>
  <c r="K73" i="32"/>
  <c r="J36" i="32"/>
  <c r="J31" i="32"/>
  <c r="U65" i="32"/>
  <c r="T100" i="32"/>
  <c r="J83" i="32"/>
  <c r="I41" i="32"/>
  <c r="K35" i="32"/>
  <c r="V41" i="32"/>
  <c r="L30" i="32"/>
  <c r="L55" i="32"/>
  <c r="W73" i="32"/>
  <c r="M89" i="32"/>
  <c r="U42" i="32"/>
  <c r="T101" i="32"/>
  <c r="U56" i="32"/>
  <c r="U58" i="32"/>
  <c r="K79" i="32"/>
  <c r="U71" i="32"/>
  <c r="V92" i="32"/>
  <c r="L29" i="32"/>
  <c r="M72" i="32"/>
  <c r="T62" i="32"/>
  <c r="V101" i="32"/>
  <c r="L104" i="32"/>
  <c r="M73" i="32"/>
  <c r="I42" i="32"/>
  <c r="K52" i="32"/>
  <c r="L94" i="32"/>
  <c r="M63" i="32"/>
  <c r="J78" i="32"/>
  <c r="I36" i="32"/>
  <c r="V50" i="32"/>
  <c r="L41" i="32"/>
  <c r="M39" i="32"/>
  <c r="M56" i="32"/>
  <c r="J4" i="32"/>
  <c r="V3" i="32"/>
  <c r="W3" i="32"/>
  <c r="M4" i="32"/>
  <c r="T43" i="32"/>
  <c r="T79" i="32"/>
  <c r="U26" i="32"/>
  <c r="I69" i="32"/>
  <c r="T110" i="32"/>
  <c r="K85" i="32"/>
  <c r="J61" i="32"/>
  <c r="V52" i="32"/>
  <c r="L65" i="32"/>
  <c r="U91" i="32"/>
  <c r="T104" i="32"/>
  <c r="U99" i="32"/>
  <c r="K76" i="32"/>
  <c r="J42" i="32"/>
  <c r="V43" i="32"/>
  <c r="L74" i="32"/>
  <c r="W90" i="32"/>
  <c r="M58" i="32"/>
  <c r="T38" i="32"/>
  <c r="J103" i="32"/>
  <c r="U96" i="32"/>
  <c r="U83" i="32"/>
  <c r="U68" i="32"/>
  <c r="T41" i="32"/>
  <c r="I67" i="32"/>
  <c r="K66" i="32"/>
  <c r="J24" i="32"/>
  <c r="V44" i="32"/>
  <c r="L95" i="32"/>
  <c r="W78" i="32"/>
  <c r="M76" i="32"/>
  <c r="T82" i="32"/>
  <c r="T67" i="32"/>
  <c r="U54" i="32"/>
  <c r="I63" i="32"/>
  <c r="K65" i="32"/>
  <c r="T111" i="32"/>
  <c r="T33" i="32"/>
  <c r="T77" i="32"/>
  <c r="I62" i="32"/>
  <c r="I95" i="32"/>
  <c r="K111" i="32"/>
  <c r="V99" i="32"/>
  <c r="L26" i="32"/>
  <c r="L28" i="32"/>
  <c r="W25" i="32"/>
  <c r="M97" i="32"/>
  <c r="T76" i="32"/>
  <c r="I74" i="32"/>
  <c r="I57" i="32"/>
  <c r="J90" i="32"/>
  <c r="I105" i="32"/>
  <c r="K71" i="32"/>
  <c r="T103" i="32"/>
  <c r="V102" i="32"/>
  <c r="W52" i="32"/>
  <c r="M85" i="32"/>
  <c r="U110" i="32"/>
  <c r="V78" i="32"/>
  <c r="W98" i="32"/>
  <c r="M90" i="32"/>
  <c r="S2" i="32"/>
  <c r="U85" i="32"/>
  <c r="T74" i="32"/>
  <c r="L97" i="32"/>
  <c r="T36" i="32"/>
  <c r="W100" i="32"/>
  <c r="S59" i="32"/>
  <c r="T98" i="32"/>
  <c r="S54" i="32"/>
  <c r="K91" i="32"/>
  <c r="W55" i="32"/>
  <c r="I94" i="32"/>
  <c r="I40" i="32"/>
  <c r="W38" i="32"/>
  <c r="K30" i="32"/>
  <c r="K89" i="32"/>
  <c r="W84" i="32"/>
  <c r="M24" i="32"/>
  <c r="T61" i="32"/>
  <c r="K39" i="32"/>
  <c r="W50" i="32"/>
  <c r="S111" i="32"/>
  <c r="W77" i="32"/>
  <c r="T99" i="32"/>
  <c r="M67" i="32"/>
  <c r="U39" i="32"/>
  <c r="L67" i="32"/>
  <c r="K3" i="32"/>
  <c r="J92" i="32"/>
  <c r="U33" i="32"/>
  <c r="W44" i="32"/>
  <c r="U101" i="32"/>
  <c r="M25" i="32"/>
  <c r="U35" i="32"/>
  <c r="K100" i="32"/>
  <c r="U55" i="32"/>
  <c r="K72" i="32"/>
  <c r="W54" i="32"/>
  <c r="S76" i="32"/>
  <c r="K110" i="32"/>
  <c r="W61" i="32"/>
  <c r="K59" i="32"/>
  <c r="V90" i="32"/>
  <c r="M75" i="32"/>
  <c r="V64" i="32"/>
  <c r="V89" i="32"/>
  <c r="M64" i="32"/>
  <c r="U32" i="32"/>
  <c r="L52" i="32"/>
  <c r="M65" i="32"/>
  <c r="I71" i="32"/>
  <c r="I104" i="32"/>
  <c r="V74" i="32"/>
  <c r="W111" i="32"/>
  <c r="M80" i="32"/>
  <c r="I101" i="32"/>
  <c r="V59" i="32"/>
  <c r="M81" i="32"/>
  <c r="L85" i="32"/>
  <c r="M57" i="32"/>
  <c r="M99" i="32"/>
  <c r="M71" i="32"/>
  <c r="W24" i="32"/>
  <c r="I81" i="32"/>
  <c r="I80" i="32"/>
  <c r="I65" i="32"/>
  <c r="J35" i="32"/>
  <c r="U72" i="32"/>
  <c r="S50" i="32"/>
  <c r="L56" i="32"/>
  <c r="W43" i="32"/>
  <c r="M110" i="32"/>
  <c r="S72" i="32"/>
  <c r="T57" i="32"/>
  <c r="L79" i="32"/>
  <c r="AD21" i="32"/>
  <c r="J95" i="32"/>
  <c r="I96" i="32"/>
  <c r="M93" i="32"/>
  <c r="T54" i="32"/>
  <c r="M52" i="32"/>
  <c r="T68" i="32"/>
  <c r="K36" i="32"/>
  <c r="U45" i="32"/>
  <c r="J64" i="32"/>
  <c r="M33" i="32"/>
  <c r="T42" i="32"/>
  <c r="K45" i="32"/>
  <c r="M31" i="32"/>
  <c r="V73" i="32"/>
  <c r="V110" i="32"/>
  <c r="M104" i="32"/>
  <c r="W91" i="32"/>
  <c r="V60" i="32"/>
  <c r="M92" i="32"/>
  <c r="J79" i="32"/>
  <c r="L63" i="32"/>
  <c r="M79" i="32"/>
  <c r="V40" i="32"/>
  <c r="T97" i="32"/>
  <c r="V33" i="32"/>
  <c r="W80" i="32"/>
  <c r="M96" i="32"/>
  <c r="K105" i="32"/>
  <c r="L39" i="32"/>
  <c r="M29" i="32"/>
  <c r="I110" i="32"/>
  <c r="J73" i="32"/>
  <c r="M62" i="32"/>
  <c r="V38" i="32"/>
  <c r="L25" i="32"/>
  <c r="L105" i="32"/>
  <c r="W30" i="32"/>
  <c r="K70" i="32"/>
  <c r="K29" i="32"/>
  <c r="M111" i="32"/>
  <c r="S69" i="32"/>
  <c r="K43" i="32"/>
  <c r="J33" i="32"/>
  <c r="S36" i="32"/>
  <c r="K101" i="32"/>
  <c r="T105" i="32"/>
  <c r="V57" i="32"/>
  <c r="T95" i="32"/>
  <c r="V81" i="32"/>
  <c r="M54" i="32"/>
  <c r="J102" i="32"/>
  <c r="I38" i="32"/>
  <c r="W57" i="32"/>
  <c r="L51" i="32"/>
  <c r="S79" i="32"/>
  <c r="L61" i="32"/>
  <c r="I83" i="32"/>
  <c r="K78" i="32"/>
  <c r="W94" i="32"/>
  <c r="W70" i="32"/>
  <c r="K75" i="32"/>
  <c r="L64" i="32"/>
  <c r="W29" i="32"/>
  <c r="S67" i="32"/>
  <c r="U41" i="32"/>
  <c r="L83" i="32"/>
  <c r="M83" i="32"/>
  <c r="V80" i="32"/>
  <c r="S38" i="32"/>
  <c r="W103" i="32"/>
  <c r="M112" i="32"/>
  <c r="W35" i="32"/>
  <c r="V54" i="32"/>
  <c r="K26" i="32"/>
  <c r="S66" i="32"/>
  <c r="J74" i="32"/>
  <c r="T51" i="32"/>
  <c r="V62" i="32"/>
  <c r="J94" i="32"/>
  <c r="V63" i="32"/>
  <c r="I33" i="32"/>
  <c r="K62" i="32"/>
  <c r="W75" i="32"/>
  <c r="I77" i="32"/>
  <c r="L99" i="32"/>
  <c r="J91" i="32"/>
  <c r="W41" i="32"/>
  <c r="V75" i="32"/>
  <c r="J29" i="32"/>
  <c r="W59" i="32"/>
  <c r="I28" i="32"/>
  <c r="K25" i="32"/>
  <c r="L80" i="32"/>
  <c r="W68" i="32"/>
  <c r="U67" i="32"/>
  <c r="J59" i="32"/>
  <c r="L112" i="32"/>
  <c r="U70" i="32"/>
  <c r="W110" i="32"/>
  <c r="M69" i="32"/>
  <c r="W96" i="32"/>
  <c r="V32" i="32"/>
  <c r="L35" i="32"/>
  <c r="V103" i="32"/>
  <c r="V93" i="32"/>
  <c r="S52" i="32"/>
  <c r="V51" i="32"/>
  <c r="J85" i="32"/>
  <c r="S82" i="32"/>
  <c r="I35" i="32"/>
  <c r="L62" i="32"/>
  <c r="J100" i="32"/>
  <c r="V35" i="32"/>
  <c r="M28" i="32"/>
  <c r="I25" i="32"/>
  <c r="W89" i="32"/>
  <c r="I51" i="32"/>
  <c r="W64" i="32"/>
  <c r="L69" i="32"/>
  <c r="J63" i="32"/>
  <c r="W81" i="32"/>
  <c r="W101" i="32"/>
  <c r="T56" i="32"/>
  <c r="J62" i="32"/>
  <c r="L98" i="32"/>
  <c r="M50" i="32"/>
  <c r="J52" i="32"/>
  <c r="V56" i="32"/>
  <c r="I91" i="32"/>
  <c r="V26" i="32"/>
  <c r="S99" i="32"/>
  <c r="K31" i="32"/>
  <c r="L32" i="32"/>
  <c r="I66" i="32"/>
  <c r="L60" i="32"/>
  <c r="S78" i="32"/>
  <c r="I79" i="32"/>
  <c r="T81" i="32"/>
  <c r="I111" i="32"/>
  <c r="L78" i="32"/>
  <c r="S100" i="32"/>
  <c r="I93" i="32"/>
  <c r="L45" i="32"/>
  <c r="S70" i="32"/>
  <c r="K40" i="32"/>
  <c r="W71" i="32"/>
  <c r="W95" i="32"/>
  <c r="K83" i="32"/>
  <c r="W82" i="32"/>
  <c r="M26" i="32"/>
  <c r="V36" i="32"/>
  <c r="W56" i="32"/>
  <c r="W85" i="32"/>
  <c r="I112" i="32"/>
  <c r="K50" i="32"/>
  <c r="L103" i="32"/>
  <c r="M45" i="32"/>
  <c r="J84" i="32"/>
  <c r="V104" i="32"/>
  <c r="W36" i="32"/>
  <c r="S96" i="32"/>
  <c r="V31" i="32"/>
  <c r="T31" i="32"/>
  <c r="S31" i="32"/>
  <c r="K63" i="32"/>
  <c r="K99" i="32"/>
  <c r="K57" i="32"/>
  <c r="K58" i="32"/>
  <c r="K68" i="32"/>
  <c r="K77" i="32"/>
  <c r="K4" i="32"/>
  <c r="L43" i="32"/>
  <c r="L44" i="32"/>
  <c r="L111" i="32"/>
  <c r="L82" i="32"/>
  <c r="L73" i="32"/>
  <c r="L4" i="32"/>
  <c r="M94" i="32"/>
  <c r="M77" i="32"/>
  <c r="M91" i="32"/>
  <c r="M102" i="32"/>
  <c r="M100" i="32"/>
  <c r="M105" i="32"/>
  <c r="M84" i="32"/>
  <c r="M66" i="32"/>
  <c r="N2" i="32"/>
  <c r="U36" i="32"/>
  <c r="U98" i="32"/>
  <c r="U40" i="32"/>
  <c r="U80" i="32"/>
  <c r="U52" i="32"/>
  <c r="U95" i="32"/>
  <c r="U105" i="32"/>
  <c r="U59" i="32"/>
  <c r="U75" i="32"/>
  <c r="U25" i="32"/>
  <c r="U100" i="32"/>
  <c r="U104" i="32"/>
  <c r="U73" i="32"/>
  <c r="U102" i="32"/>
  <c r="U78" i="32"/>
  <c r="U112" i="32"/>
  <c r="U77" i="32"/>
  <c r="U76" i="32"/>
  <c r="U38" i="32"/>
  <c r="U51" i="32"/>
  <c r="U84" i="32"/>
  <c r="V58" i="32"/>
  <c r="V77" i="32"/>
  <c r="V111" i="32"/>
  <c r="V61" i="32"/>
  <c r="V45" i="32"/>
  <c r="V105" i="32"/>
  <c r="V72" i="32"/>
  <c r="V4" i="32"/>
  <c r="V79" i="32"/>
  <c r="V71" i="32"/>
  <c r="V112" i="32"/>
  <c r="V95" i="32"/>
  <c r="V66" i="32"/>
  <c r="V68" i="32"/>
  <c r="V94" i="32"/>
  <c r="V65" i="32"/>
  <c r="V24" i="32"/>
  <c r="V91" i="32"/>
  <c r="V30" i="32"/>
  <c r="V97" i="32"/>
  <c r="V84" i="32"/>
  <c r="V25" i="32"/>
  <c r="V42" i="32"/>
  <c r="V67" i="32"/>
  <c r="V96" i="32"/>
  <c r="V76" i="32"/>
  <c r="V85" i="32"/>
  <c r="V70" i="32"/>
  <c r="V98" i="32"/>
  <c r="V83" i="32"/>
  <c r="V39" i="32"/>
  <c r="V69" i="32"/>
  <c r="V29" i="32"/>
  <c r="W32" i="32"/>
  <c r="W104" i="32"/>
  <c r="W60" i="32"/>
  <c r="X2" i="32"/>
  <c r="W62" i="32"/>
  <c r="W33" i="32"/>
  <c r="W83" i="32"/>
  <c r="W67" i="32"/>
  <c r="W79" i="32"/>
  <c r="W93" i="32"/>
  <c r="W4" i="32"/>
  <c r="W45" i="32"/>
  <c r="W63" i="32"/>
  <c r="W97" i="32"/>
  <c r="W69" i="32"/>
  <c r="W39" i="32"/>
  <c r="W65" i="32"/>
  <c r="W42" i="32"/>
  <c r="W51" i="32"/>
  <c r="W72" i="32"/>
  <c r="W58" i="32"/>
  <c r="W92" i="32"/>
  <c r="W112" i="32"/>
  <c r="W99" i="32"/>
  <c r="W66" i="32"/>
  <c r="W105" i="32"/>
  <c r="W40" i="32"/>
  <c r="W26" i="32"/>
  <c r="W76" i="32"/>
  <c r="X3" i="32"/>
  <c r="S41" i="32"/>
  <c r="S85" i="32"/>
  <c r="S101" i="32"/>
  <c r="S102" i="32"/>
  <c r="S51" i="32"/>
  <c r="S93" i="32"/>
  <c r="S74" i="32"/>
  <c r="S26" i="32"/>
  <c r="S55" i="32"/>
  <c r="S62" i="32"/>
  <c r="S64" i="32"/>
  <c r="S84" i="32"/>
  <c r="S43" i="32"/>
  <c r="S63" i="32"/>
  <c r="S95" i="32"/>
  <c r="S73" i="32"/>
  <c r="S104" i="32"/>
  <c r="S91" i="32"/>
  <c r="S81" i="32"/>
  <c r="S56" i="32"/>
  <c r="S75" i="32"/>
  <c r="S58" i="32"/>
  <c r="S35" i="32"/>
  <c r="S65" i="32"/>
  <c r="S80" i="32"/>
  <c r="S105" i="32"/>
  <c r="S24" i="32"/>
  <c r="S45" i="32"/>
  <c r="S94" i="32"/>
  <c r="S33" i="32"/>
  <c r="S57" i="32"/>
  <c r="S25" i="32"/>
  <c r="S98" i="32"/>
  <c r="S83" i="32"/>
  <c r="S71" i="32"/>
  <c r="S89" i="32"/>
  <c r="S103" i="32"/>
  <c r="S40" i="32"/>
  <c r="S97" i="32"/>
  <c r="S60" i="32"/>
  <c r="S90" i="32"/>
  <c r="S61" i="32"/>
  <c r="S68" i="32"/>
  <c r="S110" i="32"/>
  <c r="S112" i="32"/>
  <c r="S29" i="32"/>
  <c r="S30" i="32"/>
  <c r="S32" i="32"/>
  <c r="S92" i="32"/>
  <c r="S39" i="32"/>
  <c r="S77" i="32"/>
  <c r="S42" i="32"/>
  <c r="S44" i="32"/>
  <c r="L3" i="32"/>
  <c r="N99" i="32"/>
  <c r="N25" i="32"/>
  <c r="N44" i="32"/>
  <c r="N62" i="32"/>
  <c r="N28" i="32"/>
  <c r="N103" i="32"/>
  <c r="N33" i="32"/>
  <c r="N24" i="32"/>
  <c r="N43" i="32"/>
  <c r="N64" i="32"/>
  <c r="N51" i="32"/>
  <c r="N105" i="32"/>
  <c r="N68" i="32"/>
  <c r="N78" i="32"/>
  <c r="N96" i="32"/>
  <c r="N69" i="32"/>
  <c r="N83" i="32"/>
  <c r="N59" i="32"/>
  <c r="N111" i="32"/>
  <c r="N75" i="32"/>
  <c r="N90" i="32"/>
  <c r="N39" i="32"/>
  <c r="N98" i="32"/>
  <c r="N65" i="32"/>
  <c r="N50" i="32"/>
  <c r="N31" i="32"/>
  <c r="N56" i="32"/>
  <c r="N67" i="32"/>
  <c r="N94" i="32"/>
  <c r="N79" i="32"/>
  <c r="N26" i="32"/>
  <c r="N73" i="32"/>
  <c r="N57" i="32"/>
  <c r="N110" i="32"/>
  <c r="N70" i="32"/>
  <c r="N36" i="32"/>
  <c r="N63" i="32"/>
  <c r="N71" i="32"/>
  <c r="N42" i="32"/>
  <c r="N97" i="32"/>
  <c r="N89" i="32"/>
  <c r="N58" i="32"/>
  <c r="N40" i="32"/>
  <c r="O2" i="32"/>
  <c r="N77" i="32"/>
  <c r="N95" i="32"/>
  <c r="N85" i="32"/>
  <c r="N81" i="32"/>
  <c r="N38" i="32"/>
  <c r="N4" i="32"/>
  <c r="N104" i="32"/>
  <c r="N112" i="32"/>
  <c r="N54" i="32"/>
  <c r="N32" i="32"/>
  <c r="N102" i="32"/>
  <c r="N93" i="32"/>
  <c r="N30" i="32"/>
  <c r="N101" i="32"/>
  <c r="N72" i="32"/>
  <c r="N100" i="32"/>
  <c r="N84" i="32"/>
  <c r="N82" i="32"/>
  <c r="N80" i="32"/>
  <c r="N91" i="32"/>
  <c r="N61" i="32"/>
  <c r="N60" i="32"/>
  <c r="N92" i="32"/>
  <c r="N74" i="32"/>
  <c r="N41" i="32"/>
  <c r="N45" i="32"/>
  <c r="N76" i="32"/>
  <c r="N55" i="32"/>
  <c r="N29" i="32"/>
  <c r="N52" i="32"/>
  <c r="N66" i="32"/>
  <c r="N35" i="32"/>
  <c r="X28" i="32"/>
  <c r="X24" i="32"/>
  <c r="X110" i="32"/>
  <c r="X71" i="32"/>
  <c r="X73" i="32"/>
  <c r="X44" i="32"/>
  <c r="X63" i="32"/>
  <c r="X39" i="32"/>
  <c r="X100" i="32"/>
  <c r="X52" i="32"/>
  <c r="X103" i="32"/>
  <c r="X102" i="32"/>
  <c r="X26" i="32"/>
  <c r="X33" i="32"/>
  <c r="X95" i="32"/>
  <c r="X67" i="32"/>
  <c r="X93" i="32"/>
  <c r="X111" i="32"/>
  <c r="X112" i="32"/>
  <c r="X92" i="32"/>
  <c r="X4" i="32"/>
  <c r="X84" i="32"/>
  <c r="X55" i="32"/>
  <c r="X57" i="32"/>
  <c r="X76" i="32"/>
  <c r="X43" i="32"/>
  <c r="X45" i="32"/>
  <c r="X78" i="32"/>
  <c r="X68" i="32"/>
  <c r="X64" i="32"/>
  <c r="X75" i="32"/>
  <c r="X35" i="32"/>
  <c r="X70" i="32"/>
  <c r="X58" i="32"/>
  <c r="X91" i="32"/>
  <c r="X81" i="32"/>
  <c r="X82" i="32"/>
  <c r="X80" i="32"/>
  <c r="X50" i="32"/>
  <c r="X42" i="32"/>
  <c r="X74" i="32"/>
  <c r="X89" i="32"/>
  <c r="X30" i="32"/>
  <c r="X105" i="32"/>
  <c r="X77" i="32"/>
  <c r="X99" i="32"/>
  <c r="X40" i="32"/>
  <c r="X65" i="32"/>
  <c r="X38" i="32"/>
  <c r="X83" i="32"/>
  <c r="X60" i="32"/>
  <c r="X54" i="32"/>
  <c r="X90" i="32"/>
  <c r="X104" i="32"/>
  <c r="X61" i="32"/>
  <c r="X66" i="32"/>
  <c r="X97" i="32"/>
  <c r="X101" i="32"/>
  <c r="X62" i="32"/>
  <c r="X29" i="32"/>
  <c r="X56" i="32"/>
  <c r="X72" i="32"/>
  <c r="Y2" i="32"/>
  <c r="X96" i="32"/>
  <c r="X41" i="32"/>
  <c r="X98" i="32"/>
  <c r="X51" i="32"/>
  <c r="X85" i="32"/>
  <c r="X36" i="32"/>
  <c r="X94" i="32"/>
  <c r="X25" i="32"/>
  <c r="X59" i="32"/>
  <c r="X32" i="32"/>
  <c r="X79" i="32"/>
  <c r="X69" i="32"/>
  <c r="Y3" i="32"/>
  <c r="AE21" i="32"/>
  <c r="M3" i="32"/>
  <c r="O104" i="32"/>
  <c r="O82" i="32"/>
  <c r="O68" i="32"/>
  <c r="O94" i="32"/>
  <c r="O93" i="32"/>
  <c r="O83" i="32"/>
  <c r="O45" i="32"/>
  <c r="O89" i="32"/>
  <c r="O35" i="32"/>
  <c r="O28" i="32"/>
  <c r="O71" i="32"/>
  <c r="O67" i="32"/>
  <c r="O58" i="32"/>
  <c r="O64" i="32"/>
  <c r="O57" i="32"/>
  <c r="O39" i="32"/>
  <c r="O44" i="32"/>
  <c r="O105" i="32"/>
  <c r="O26" i="32"/>
  <c r="O41" i="32"/>
  <c r="O90" i="32"/>
  <c r="O76" i="32"/>
  <c r="O33" i="32"/>
  <c r="O110" i="32"/>
  <c r="O92" i="32"/>
  <c r="O80" i="32"/>
  <c r="O69" i="32"/>
  <c r="O43" i="32"/>
  <c r="O55" i="32"/>
  <c r="O72" i="32"/>
  <c r="O30" i="32"/>
  <c r="O29" i="32"/>
  <c r="O112" i="32"/>
  <c r="O25" i="32"/>
  <c r="O103" i="32"/>
  <c r="O75" i="32"/>
  <c r="O59" i="32"/>
  <c r="O70" i="32"/>
  <c r="O32" i="32"/>
  <c r="O84" i="32"/>
  <c r="O52" i="32"/>
  <c r="O50" i="32"/>
  <c r="O73" i="32"/>
  <c r="O61" i="32"/>
  <c r="O98" i="32"/>
  <c r="O95" i="32"/>
  <c r="O60" i="32"/>
  <c r="O65" i="32"/>
  <c r="O54" i="32"/>
  <c r="O97" i="32"/>
  <c r="O79" i="32"/>
  <c r="O100" i="32"/>
  <c r="O51" i="32"/>
  <c r="P2" i="32"/>
  <c r="O62" i="32"/>
  <c r="O77" i="32"/>
  <c r="O101" i="32"/>
  <c r="O36" i="32"/>
  <c r="O91" i="32"/>
  <c r="O42" i="32"/>
  <c r="O81" i="32"/>
  <c r="O4" i="32"/>
  <c r="O111" i="32"/>
  <c r="O96" i="32"/>
  <c r="O38" i="32"/>
  <c r="O31" i="32"/>
  <c r="O74" i="32"/>
  <c r="O85" i="32"/>
  <c r="O66" i="32"/>
  <c r="O56" i="32"/>
  <c r="O102" i="32"/>
  <c r="O78" i="32"/>
  <c r="O99" i="32"/>
  <c r="O40" i="32"/>
  <c r="O63" i="32"/>
  <c r="O24" i="32"/>
  <c r="Y31" i="32"/>
  <c r="Y97" i="32"/>
  <c r="Y78" i="32"/>
  <c r="Y65" i="32"/>
  <c r="Y26" i="32"/>
  <c r="Y72" i="32"/>
  <c r="Y92" i="32"/>
  <c r="Y74" i="32"/>
  <c r="Y30" i="32"/>
  <c r="Y83" i="32"/>
  <c r="Y54" i="32"/>
  <c r="Y64" i="32"/>
  <c r="Y71" i="32"/>
  <c r="Y38" i="32"/>
  <c r="Y77" i="32"/>
  <c r="Y70" i="32"/>
  <c r="Y45" i="32"/>
  <c r="Y105" i="32"/>
  <c r="Y32" i="32"/>
  <c r="Y66" i="32"/>
  <c r="Y85" i="32"/>
  <c r="Z2" i="32"/>
  <c r="Y94" i="32"/>
  <c r="Y90" i="32"/>
  <c r="Y24" i="32"/>
  <c r="Y61" i="32"/>
  <c r="Y29" i="32"/>
  <c r="Y99" i="32"/>
  <c r="Y63" i="32"/>
  <c r="Y69" i="32"/>
  <c r="Y68" i="32"/>
  <c r="Y76" i="32"/>
  <c r="Y40" i="32"/>
  <c r="Y67" i="32"/>
  <c r="Y93" i="32"/>
  <c r="Y44" i="32"/>
  <c r="Y101" i="32"/>
  <c r="Y102" i="32"/>
  <c r="Y75" i="32"/>
  <c r="Y104" i="32"/>
  <c r="Y91" i="32"/>
  <c r="Y81" i="32"/>
  <c r="Y58" i="32"/>
  <c r="Y96" i="32"/>
  <c r="Y42" i="32"/>
  <c r="Y39" i="32"/>
  <c r="Y41" i="32"/>
  <c r="Y55" i="32"/>
  <c r="Y57" i="32"/>
  <c r="Y52" i="32"/>
  <c r="Y56" i="32"/>
  <c r="Y35" i="32"/>
  <c r="Y50" i="32"/>
  <c r="Y51" i="32"/>
  <c r="Y33" i="32"/>
  <c r="Y89" i="32"/>
  <c r="Y73" i="32"/>
  <c r="Y36" i="32"/>
  <c r="Y79" i="32"/>
  <c r="Y43" i="32"/>
  <c r="Y59" i="32"/>
  <c r="Y25" i="32"/>
  <c r="Y84" i="32"/>
  <c r="Y110" i="32"/>
  <c r="Y103" i="32"/>
  <c r="Y80" i="32"/>
  <c r="Y4" i="32"/>
  <c r="Y60" i="32"/>
  <c r="Y111" i="32"/>
  <c r="Y100" i="32"/>
  <c r="Y82" i="32"/>
  <c r="Y98" i="32"/>
  <c r="Y95" i="32"/>
  <c r="Y112" i="32"/>
  <c r="Y62" i="32"/>
  <c r="Z3" i="32"/>
  <c r="N3" i="32"/>
  <c r="AF21" i="32"/>
  <c r="P91" i="32"/>
  <c r="P50" i="32"/>
  <c r="P32" i="32"/>
  <c r="P43" i="32"/>
  <c r="P30" i="32"/>
  <c r="P75" i="32"/>
  <c r="P84" i="32"/>
  <c r="P59" i="32"/>
  <c r="P80" i="32"/>
  <c r="P81" i="32"/>
  <c r="P104" i="32"/>
  <c r="P25" i="32"/>
  <c r="P76" i="32"/>
  <c r="P56" i="32"/>
  <c r="P40" i="32"/>
  <c r="P100" i="32"/>
  <c r="P74" i="32"/>
  <c r="P92" i="32"/>
  <c r="P54" i="32"/>
  <c r="P83" i="32"/>
  <c r="P65" i="32"/>
  <c r="P72" i="32"/>
  <c r="P98" i="32"/>
  <c r="P105" i="32"/>
  <c r="P95" i="32"/>
  <c r="P94" i="32"/>
  <c r="P82" i="32"/>
  <c r="P52" i="32"/>
  <c r="P93" i="32"/>
  <c r="P58" i="32"/>
  <c r="P64" i="32"/>
  <c r="P63" i="32"/>
  <c r="P90" i="32"/>
  <c r="P97" i="32"/>
  <c r="P68" i="32"/>
  <c r="P31" i="32"/>
  <c r="P39" i="32"/>
  <c r="P45" i="32"/>
  <c r="P62" i="32"/>
  <c r="P51" i="32"/>
  <c r="P112" i="32"/>
  <c r="P35" i="32"/>
  <c r="P29" i="32"/>
  <c r="P26" i="32"/>
  <c r="P101" i="32"/>
  <c r="P42" i="32"/>
  <c r="P110" i="32"/>
  <c r="P38" i="32"/>
  <c r="P102" i="32"/>
  <c r="P66" i="32"/>
  <c r="P67" i="32"/>
  <c r="P28" i="32"/>
  <c r="P41" i="32"/>
  <c r="P57" i="32"/>
  <c r="P89" i="32"/>
  <c r="P96" i="32"/>
  <c r="P55" i="32"/>
  <c r="P61" i="32"/>
  <c r="P78" i="32"/>
  <c r="P85" i="32"/>
  <c r="P70" i="32"/>
  <c r="H125" i="32"/>
  <c r="P77" i="32"/>
  <c r="P103" i="32"/>
  <c r="P44" i="32"/>
  <c r="P99" i="32"/>
  <c r="P69" i="32"/>
  <c r="P60" i="32"/>
  <c r="P4" i="32"/>
  <c r="P79" i="32"/>
  <c r="P73" i="32"/>
  <c r="P111" i="32"/>
  <c r="P36" i="32"/>
  <c r="P71" i="32"/>
  <c r="P33" i="32"/>
  <c r="P24" i="32"/>
  <c r="Z74" i="32"/>
  <c r="Z104" i="32"/>
  <c r="Z77" i="32"/>
  <c r="Z40" i="32"/>
  <c r="Z25" i="32"/>
  <c r="Z50" i="32"/>
  <c r="Z94" i="32"/>
  <c r="Z90" i="32"/>
  <c r="Z29" i="32"/>
  <c r="Z26" i="32"/>
  <c r="Z76" i="32"/>
  <c r="Z38" i="32"/>
  <c r="Z60" i="32"/>
  <c r="Z92" i="32"/>
  <c r="Z35" i="32"/>
  <c r="Z44" i="32"/>
  <c r="Z56" i="32"/>
  <c r="Z71" i="32"/>
  <c r="Z105" i="32"/>
  <c r="Z54" i="32"/>
  <c r="Z33" i="32"/>
  <c r="Z61" i="32"/>
  <c r="Z70" i="32"/>
  <c r="Z24" i="32"/>
  <c r="Z45" i="32"/>
  <c r="Z97" i="32"/>
  <c r="Z72" i="32"/>
  <c r="Z102" i="32"/>
  <c r="Z100" i="32"/>
  <c r="Z67" i="32"/>
  <c r="Z58" i="32"/>
  <c r="Z55" i="32"/>
  <c r="Z80" i="32"/>
  <c r="Z95" i="32"/>
  <c r="Z93" i="32"/>
  <c r="Z73" i="32"/>
  <c r="Z65" i="32"/>
  <c r="Z52" i="32"/>
  <c r="Z59" i="32"/>
  <c r="Z110" i="32"/>
  <c r="Z63" i="32"/>
  <c r="Z91" i="32"/>
  <c r="Z103" i="32"/>
  <c r="Z89" i="32"/>
  <c r="Z36" i="32"/>
  <c r="Z79" i="32"/>
  <c r="Z81" i="32"/>
  <c r="Z64" i="32"/>
  <c r="Z83" i="32"/>
  <c r="Z112" i="32"/>
  <c r="Z32" i="32"/>
  <c r="Z96" i="32"/>
  <c r="Z66" i="32"/>
  <c r="Z78" i="32"/>
  <c r="Z43" i="32"/>
  <c r="Z84" i="32"/>
  <c r="Z30" i="32"/>
  <c r="Z68" i="32"/>
  <c r="Z99" i="32"/>
  <c r="Z75" i="32"/>
  <c r="Z85" i="32"/>
  <c r="Z111" i="32"/>
  <c r="Z39" i="32"/>
  <c r="Z69" i="32"/>
  <c r="Z62" i="32"/>
  <c r="Z4" i="32"/>
  <c r="Z101" i="32"/>
  <c r="Z51" i="32"/>
  <c r="Z42" i="32"/>
  <c r="Z82" i="32"/>
  <c r="Z98" i="32"/>
  <c r="Z57" i="32"/>
  <c r="Z41" i="32"/>
  <c r="O3" i="32"/>
  <c r="AG21" i="32"/>
  <c r="AH21" i="32"/>
  <c r="P3" i="32"/>
  <c r="AI21" i="32"/>
  <c r="P22" i="32" l="1"/>
  <c r="O22" i="32"/>
  <c r="Z120" i="32"/>
  <c r="AG41" i="32"/>
  <c r="AG57" i="32"/>
  <c r="AG98" i="32"/>
  <c r="AG82" i="32"/>
  <c r="AG42" i="32"/>
  <c r="AG51" i="32"/>
  <c r="Z117" i="32"/>
  <c r="AG101" i="32"/>
  <c r="Z21" i="32"/>
  <c r="Z87" i="32" s="1"/>
  <c r="AG62" i="32"/>
  <c r="AG69" i="32"/>
  <c r="AG39" i="32"/>
  <c r="AG111" i="32"/>
  <c r="AG85" i="32"/>
  <c r="AG75" i="32"/>
  <c r="AG99" i="32"/>
  <c r="AG68" i="32"/>
  <c r="AG30" i="32"/>
  <c r="AG84" i="32"/>
  <c r="AG43" i="32"/>
  <c r="AG78" i="32"/>
  <c r="AG66" i="32"/>
  <c r="Z106" i="32"/>
  <c r="AG96" i="32"/>
  <c r="AG32" i="32"/>
  <c r="AG112" i="32"/>
  <c r="AG83" i="32"/>
  <c r="AG64" i="32"/>
  <c r="AG81" i="32"/>
  <c r="AG79" i="32"/>
  <c r="AG36" i="32"/>
  <c r="Z37" i="32"/>
  <c r="AG89" i="32"/>
  <c r="AG103" i="32"/>
  <c r="AG91" i="32"/>
  <c r="AG63" i="32"/>
  <c r="Z113" i="32"/>
  <c r="AG110" i="32"/>
  <c r="AG59" i="32"/>
  <c r="AG52" i="32"/>
  <c r="AG65" i="32"/>
  <c r="AG73" i="32"/>
  <c r="AG93" i="32"/>
  <c r="AG95" i="32"/>
  <c r="AG80" i="32"/>
  <c r="Z53" i="32"/>
  <c r="AG55" i="32"/>
  <c r="AG58" i="32"/>
  <c r="AG67" i="32"/>
  <c r="AG100" i="32"/>
  <c r="AG102" i="32"/>
  <c r="AG72" i="32"/>
  <c r="AG97" i="32"/>
  <c r="Z46" i="32"/>
  <c r="AG45" i="32"/>
  <c r="AG24" i="32"/>
  <c r="Z128" i="32"/>
  <c r="AG70" i="32"/>
  <c r="AG61" i="32"/>
  <c r="Z127" i="32"/>
  <c r="Z129" i="32" s="1"/>
  <c r="Z27" i="32"/>
  <c r="AG33" i="32"/>
  <c r="Z34" i="32"/>
  <c r="AG54" i="32"/>
  <c r="AG105" i="32"/>
  <c r="AG71" i="32"/>
  <c r="AG56" i="32"/>
  <c r="AG44" i="32"/>
  <c r="AG35" i="32"/>
  <c r="AG92" i="32"/>
  <c r="AG60" i="32"/>
  <c r="AG38" i="32"/>
  <c r="Z119" i="32"/>
  <c r="AG76" i="32"/>
  <c r="AG26" i="32"/>
  <c r="AG29" i="32"/>
  <c r="AG90" i="32"/>
  <c r="AG94" i="32"/>
  <c r="AG50" i="32"/>
  <c r="AG25" i="32"/>
  <c r="AG40" i="32"/>
  <c r="AG77" i="32"/>
  <c r="AG104" i="32"/>
  <c r="AG74" i="32"/>
  <c r="P128" i="32"/>
  <c r="P27" i="32"/>
  <c r="P127" i="32"/>
  <c r="P129" i="32" s="1"/>
  <c r="P34" i="32"/>
  <c r="P37" i="32"/>
  <c r="P21" i="32"/>
  <c r="P48" i="32" s="1"/>
  <c r="AI48" i="32" s="1"/>
  <c r="P53" i="32"/>
  <c r="P106" i="32"/>
  <c r="P120" i="32"/>
  <c r="P119" i="32"/>
  <c r="P113" i="32"/>
  <c r="P117" i="32"/>
  <c r="P46" i="32"/>
  <c r="N22" i="32"/>
  <c r="Z22" i="32"/>
  <c r="AF62" i="32"/>
  <c r="AF112" i="32"/>
  <c r="AF95" i="32"/>
  <c r="AF98" i="32"/>
  <c r="AF82" i="32"/>
  <c r="AF100" i="32"/>
  <c r="AF111" i="32"/>
  <c r="AF60" i="32"/>
  <c r="Y21" i="32"/>
  <c r="AF80" i="32"/>
  <c r="AF103" i="32"/>
  <c r="Y113" i="32"/>
  <c r="AF110" i="32"/>
  <c r="AF84" i="32"/>
  <c r="AF25" i="32"/>
  <c r="AF59" i="32"/>
  <c r="AF43" i="32"/>
  <c r="AF79" i="32"/>
  <c r="AF36" i="32"/>
  <c r="Y37" i="32"/>
  <c r="AF73" i="32"/>
  <c r="AF89" i="32"/>
  <c r="AF33" i="32"/>
  <c r="Y127" i="32"/>
  <c r="Y129" i="32" s="1"/>
  <c r="Y34" i="32"/>
  <c r="Y27" i="32"/>
  <c r="AF51" i="32"/>
  <c r="Y117" i="32"/>
  <c r="AF50" i="32"/>
  <c r="AF35" i="32"/>
  <c r="AF56" i="32"/>
  <c r="AF52" i="32"/>
  <c r="AF57" i="32"/>
  <c r="AF55" i="32"/>
  <c r="Y53" i="32"/>
  <c r="AF41" i="32"/>
  <c r="Y120" i="32"/>
  <c r="AF39" i="32"/>
  <c r="AF42" i="32"/>
  <c r="Y106" i="32"/>
  <c r="AF96" i="32"/>
  <c r="AF58" i="32"/>
  <c r="AF81" i="32"/>
  <c r="AF91" i="32"/>
  <c r="AF104" i="32"/>
  <c r="AF75" i="32"/>
  <c r="AF102" i="32"/>
  <c r="AF101" i="32"/>
  <c r="AF44" i="32"/>
  <c r="AF93" i="32"/>
  <c r="AF67" i="32"/>
  <c r="AF40" i="32"/>
  <c r="AF76" i="32"/>
  <c r="AF68" i="32"/>
  <c r="AF69" i="32"/>
  <c r="AF63" i="32"/>
  <c r="AF99" i="32"/>
  <c r="AF29" i="32"/>
  <c r="AF61" i="32"/>
  <c r="AF24" i="32"/>
  <c r="Y128" i="32"/>
  <c r="AF90" i="32"/>
  <c r="AF94" i="32"/>
  <c r="AF85" i="32"/>
  <c r="AF66" i="32"/>
  <c r="AF32" i="32"/>
  <c r="AF105" i="32"/>
  <c r="AF45" i="32"/>
  <c r="Y46" i="32"/>
  <c r="AF70" i="32"/>
  <c r="AF77" i="32"/>
  <c r="AF38" i="32"/>
  <c r="Y119" i="32"/>
  <c r="AF71" i="32"/>
  <c r="AF64" i="32"/>
  <c r="AF54" i="32"/>
  <c r="AF83" i="32"/>
  <c r="AF30" i="32"/>
  <c r="AF74" i="32"/>
  <c r="AF92" i="32"/>
  <c r="AF72" i="32"/>
  <c r="AF26" i="32"/>
  <c r="AF65" i="32"/>
  <c r="AF78" i="32"/>
  <c r="AF97" i="32"/>
  <c r="O128" i="32"/>
  <c r="AH24" i="32"/>
  <c r="AH63" i="32"/>
  <c r="AH78" i="32"/>
  <c r="AH102" i="32"/>
  <c r="AH56" i="32"/>
  <c r="AH66" i="32"/>
  <c r="AH31" i="32"/>
  <c r="AH38" i="32"/>
  <c r="O119" i="32"/>
  <c r="O106" i="32"/>
  <c r="AH106" i="32" s="1"/>
  <c r="AH111" i="32"/>
  <c r="O21" i="32"/>
  <c r="AH81" i="32"/>
  <c r="AH42" i="32"/>
  <c r="AH91" i="32"/>
  <c r="O37" i="32"/>
  <c r="AH37" i="32" s="1"/>
  <c r="AH101" i="32"/>
  <c r="AH77" i="32"/>
  <c r="AH62" i="32"/>
  <c r="AH51" i="32"/>
  <c r="O117" i="32"/>
  <c r="AH100" i="32"/>
  <c r="AH79" i="32"/>
  <c r="AH97" i="32"/>
  <c r="AH54" i="32"/>
  <c r="AH65" i="32"/>
  <c r="AH60" i="32"/>
  <c r="AH95" i="32"/>
  <c r="AH98" i="32"/>
  <c r="AH73" i="32"/>
  <c r="AH52" i="32"/>
  <c r="AH84" i="32"/>
  <c r="AH32" i="32"/>
  <c r="AH70" i="32"/>
  <c r="AH59" i="32"/>
  <c r="AH103" i="32"/>
  <c r="AH25" i="32"/>
  <c r="AH112" i="32"/>
  <c r="AH29" i="32"/>
  <c r="AH30" i="32"/>
  <c r="AH72" i="32"/>
  <c r="O53" i="32"/>
  <c r="AH53" i="32" s="1"/>
  <c r="AH69" i="32"/>
  <c r="AH80" i="32"/>
  <c r="AH92" i="32"/>
  <c r="AH110" i="32"/>
  <c r="O113" i="32"/>
  <c r="AH113" i="32" s="1"/>
  <c r="O34" i="32"/>
  <c r="AH34" i="32" s="1"/>
  <c r="O127" i="32"/>
  <c r="O129" i="32" s="1"/>
  <c r="O130" i="32" s="1"/>
  <c r="O131" i="32" s="1"/>
  <c r="O132" i="32" s="1"/>
  <c r="O118" i="32" s="1"/>
  <c r="O27" i="32"/>
  <c r="AH76" i="32"/>
  <c r="AH90" i="32"/>
  <c r="AH41" i="32"/>
  <c r="O120" i="32"/>
  <c r="AH44" i="32"/>
  <c r="AH39" i="32"/>
  <c r="AH57" i="32"/>
  <c r="AH64" i="32"/>
  <c r="AH67" i="32"/>
  <c r="AH71" i="32"/>
  <c r="AH28" i="32"/>
  <c r="AH35" i="32"/>
  <c r="AH89" i="32"/>
  <c r="O46" i="32"/>
  <c r="AH46" i="32" s="1"/>
  <c r="AH93" i="32"/>
  <c r="AH68" i="32"/>
  <c r="AH82" i="32"/>
  <c r="AH104" i="32"/>
  <c r="M22" i="32"/>
  <c r="Y22" i="32"/>
  <c r="AE69" i="32"/>
  <c r="AE79" i="32"/>
  <c r="AE32" i="32"/>
  <c r="AE59" i="32"/>
  <c r="AE25" i="32"/>
  <c r="AE94" i="32"/>
  <c r="AE36" i="32"/>
  <c r="X37" i="32"/>
  <c r="AE85" i="32"/>
  <c r="AE51" i="32"/>
  <c r="X117" i="32"/>
  <c r="AE98" i="32"/>
  <c r="AE41" i="32"/>
  <c r="X120" i="32"/>
  <c r="AE96" i="32"/>
  <c r="X106" i="32"/>
  <c r="AE72" i="32"/>
  <c r="AE56" i="32"/>
  <c r="AE29" i="32"/>
  <c r="AE62" i="32"/>
  <c r="AE101" i="32"/>
  <c r="AE97" i="32"/>
  <c r="AE66" i="32"/>
  <c r="AE61" i="32"/>
  <c r="AE104" i="32"/>
  <c r="AE90" i="32"/>
  <c r="AE54" i="32"/>
  <c r="AE60" i="32"/>
  <c r="AE83" i="32"/>
  <c r="AE38" i="32"/>
  <c r="X119" i="32"/>
  <c r="AE65" i="32"/>
  <c r="AE40" i="32"/>
  <c r="AE99" i="32"/>
  <c r="AE77" i="32"/>
  <c r="AE105" i="32"/>
  <c r="AE30" i="32"/>
  <c r="AE89" i="32"/>
  <c r="AE74" i="32"/>
  <c r="AE42" i="32"/>
  <c r="AE50" i="32"/>
  <c r="AE80" i="32"/>
  <c r="AE82" i="32"/>
  <c r="AE81" i="32"/>
  <c r="AE91" i="32"/>
  <c r="AE58" i="32"/>
  <c r="AE70" i="32"/>
  <c r="AE35" i="32"/>
  <c r="AE75" i="32"/>
  <c r="AE64" i="32"/>
  <c r="AE68" i="32"/>
  <c r="AE78" i="32"/>
  <c r="AE45" i="32"/>
  <c r="X46" i="32"/>
  <c r="AE43" i="32"/>
  <c r="AE76" i="32"/>
  <c r="AE57" i="32"/>
  <c r="X53" i="32"/>
  <c r="AE55" i="32"/>
  <c r="AE84" i="32"/>
  <c r="X21" i="32"/>
  <c r="AE92" i="32"/>
  <c r="AE112" i="32"/>
  <c r="AE111" i="32"/>
  <c r="AE93" i="32"/>
  <c r="AE67" i="32"/>
  <c r="AE95" i="32"/>
  <c r="AE33" i="32"/>
  <c r="X27" i="32"/>
  <c r="X127" i="32"/>
  <c r="X129" i="32" s="1"/>
  <c r="X34" i="32"/>
  <c r="AE26" i="32"/>
  <c r="AE102" i="32"/>
  <c r="AE103" i="32"/>
  <c r="AE52" i="32"/>
  <c r="AE100" i="32"/>
  <c r="AE39" i="32"/>
  <c r="AE63" i="32"/>
  <c r="AE44" i="32"/>
  <c r="AE73" i="32"/>
  <c r="AE71" i="32"/>
  <c r="AE110" i="32"/>
  <c r="X113" i="32"/>
  <c r="X128" i="32"/>
  <c r="AE24" i="32"/>
  <c r="AE28" i="32"/>
  <c r="N53" i="32"/>
  <c r="N46" i="32"/>
  <c r="N120" i="32"/>
  <c r="N21" i="32"/>
  <c r="N87" i="32" s="1"/>
  <c r="AG87" i="32" s="1"/>
  <c r="N119" i="32"/>
  <c r="N37" i="32"/>
  <c r="N113" i="32"/>
  <c r="N106" i="32"/>
  <c r="N117" i="32"/>
  <c r="N128" i="32"/>
  <c r="N127" i="32"/>
  <c r="N129" i="32" s="1"/>
  <c r="N27" i="32"/>
  <c r="N34" i="32"/>
  <c r="L22" i="32"/>
  <c r="S113" i="32"/>
  <c r="AA61" i="32"/>
  <c r="AH61" i="32" s="1"/>
  <c r="AA40" i="32"/>
  <c r="AH40" i="32" s="1"/>
  <c r="AA83" i="32"/>
  <c r="AH83" i="32" s="1"/>
  <c r="S27" i="32"/>
  <c r="AA33" i="32" s="1"/>
  <c r="AH33" i="32" s="1"/>
  <c r="S34" i="32"/>
  <c r="S127" i="32"/>
  <c r="S129" i="32" s="1"/>
  <c r="S130" i="32" s="1"/>
  <c r="S131" i="32" s="1"/>
  <c r="AA94" i="32"/>
  <c r="AH94" i="32" s="1"/>
  <c r="S46" i="32"/>
  <c r="AA45" i="32"/>
  <c r="AH45" i="32" s="1"/>
  <c r="S128" i="32"/>
  <c r="AA105" i="32"/>
  <c r="AH105" i="32" s="1"/>
  <c r="AA58" i="32"/>
  <c r="AH58" i="32" s="1"/>
  <c r="AA75" i="32"/>
  <c r="AH75" i="32" s="1"/>
  <c r="AA43" i="32"/>
  <c r="AH43" i="32" s="1"/>
  <c r="S53" i="32"/>
  <c r="AA26" i="32"/>
  <c r="AH26" i="32" s="1"/>
  <c r="AA74" i="32"/>
  <c r="AH74" i="32" s="1"/>
  <c r="S117" i="32"/>
  <c r="AA85" i="32"/>
  <c r="AH85" i="32" s="1"/>
  <c r="S120" i="32"/>
  <c r="X22" i="32"/>
  <c r="AD76" i="32"/>
  <c r="AD26" i="32"/>
  <c r="AD40" i="32"/>
  <c r="AD105" i="32"/>
  <c r="AD66" i="32"/>
  <c r="AD99" i="32"/>
  <c r="AD112" i="32"/>
  <c r="AD92" i="32"/>
  <c r="AD58" i="32"/>
  <c r="AD72" i="32"/>
  <c r="AD51" i="32"/>
  <c r="W117" i="32"/>
  <c r="AD42" i="32"/>
  <c r="AD65" i="32"/>
  <c r="AD39" i="32"/>
  <c r="AD69" i="32"/>
  <c r="AD97" i="32"/>
  <c r="AD63" i="32"/>
  <c r="AD45" i="32"/>
  <c r="W46" i="32"/>
  <c r="W21" i="32"/>
  <c r="W87" i="32" s="1"/>
  <c r="AD93" i="32"/>
  <c r="AD79" i="32"/>
  <c r="AD67" i="32"/>
  <c r="AD83" i="32"/>
  <c r="W127" i="32"/>
  <c r="W129" i="32" s="1"/>
  <c r="W130" i="32" s="1"/>
  <c r="W131" i="32" s="1"/>
  <c r="W132" i="32" s="1"/>
  <c r="W118" i="32" s="1"/>
  <c r="AD33" i="32"/>
  <c r="W34" i="32"/>
  <c r="W27" i="32"/>
  <c r="AD62" i="32"/>
  <c r="AD60" i="32"/>
  <c r="AD104" i="32"/>
  <c r="AD32" i="32"/>
  <c r="AC29" i="32"/>
  <c r="AC69" i="32"/>
  <c r="AC39" i="32"/>
  <c r="AC83" i="32"/>
  <c r="AC98" i="32"/>
  <c r="AC70" i="32"/>
  <c r="AC85" i="32"/>
  <c r="AC76" i="32"/>
  <c r="V106" i="32"/>
  <c r="AC96" i="32"/>
  <c r="AC67" i="32"/>
  <c r="AC42" i="32"/>
  <c r="AC25" i="32"/>
  <c r="AC84" i="32"/>
  <c r="AC97" i="32"/>
  <c r="AC30" i="32"/>
  <c r="AC91" i="32"/>
  <c r="AC24" i="32"/>
  <c r="V128" i="32"/>
  <c r="AC65" i="32"/>
  <c r="AC94" i="32"/>
  <c r="AC68" i="32"/>
  <c r="AC66" i="32"/>
  <c r="AC95" i="32"/>
  <c r="AC112" i="32"/>
  <c r="AC71" i="32"/>
  <c r="AC79" i="32"/>
  <c r="V21" i="32"/>
  <c r="V115" i="32" s="1"/>
  <c r="AC72" i="32"/>
  <c r="AC105" i="32"/>
  <c r="AC45" i="32"/>
  <c r="V46" i="32"/>
  <c r="AC61" i="32"/>
  <c r="AC111" i="32"/>
  <c r="AC77" i="32"/>
  <c r="AC58" i="32"/>
  <c r="AB84" i="32"/>
  <c r="AI84" i="32" s="1"/>
  <c r="AB51" i="32"/>
  <c r="AI51" i="32" s="1"/>
  <c r="U117" i="32"/>
  <c r="AB38" i="32"/>
  <c r="AI38" i="32" s="1"/>
  <c r="U119" i="32"/>
  <c r="AB76" i="32"/>
  <c r="AI76" i="32" s="1"/>
  <c r="AB77" i="32"/>
  <c r="AI77" i="32" s="1"/>
  <c r="AB112" i="32"/>
  <c r="AI112" i="32" s="1"/>
  <c r="AB78" i="32"/>
  <c r="AI78" i="32" s="1"/>
  <c r="AB102" i="32"/>
  <c r="AI102" i="32" s="1"/>
  <c r="AB73" i="32"/>
  <c r="AI73" i="32" s="1"/>
  <c r="AB104" i="32"/>
  <c r="AI104" i="32" s="1"/>
  <c r="AB100" i="32"/>
  <c r="AI100" i="32" s="1"/>
  <c r="AB25" i="32"/>
  <c r="AI25" i="32" s="1"/>
  <c r="AB75" i="32"/>
  <c r="AI75" i="32" s="1"/>
  <c r="AB59" i="32"/>
  <c r="AI59" i="32" s="1"/>
  <c r="AB105" i="32"/>
  <c r="AI105" i="32" s="1"/>
  <c r="AB95" i="32"/>
  <c r="AI95" i="32" s="1"/>
  <c r="AB52" i="32"/>
  <c r="AI52" i="32" s="1"/>
  <c r="AB80" i="32"/>
  <c r="AI80" i="32" s="1"/>
  <c r="AB40" i="32"/>
  <c r="AI40" i="32" s="1"/>
  <c r="AB98" i="32"/>
  <c r="AI98" i="32" s="1"/>
  <c r="AB36" i="32"/>
  <c r="AI36" i="32" s="1"/>
  <c r="U37" i="32"/>
  <c r="L21" i="32"/>
  <c r="K21" i="32"/>
  <c r="AC31" i="32"/>
  <c r="S106" i="32"/>
  <c r="AA96" i="32"/>
  <c r="AH96" i="32" s="1"/>
  <c r="W37" i="32"/>
  <c r="AD36" i="32"/>
  <c r="AC104" i="32"/>
  <c r="M46" i="32"/>
  <c r="AD85" i="32"/>
  <c r="AD56" i="32"/>
  <c r="AC36" i="32"/>
  <c r="V37" i="32"/>
  <c r="AD82" i="32"/>
  <c r="AD95" i="32"/>
  <c r="AD71" i="32"/>
  <c r="L46" i="32"/>
  <c r="AA99" i="32"/>
  <c r="AH99" i="32" s="1"/>
  <c r="AC26" i="32"/>
  <c r="AC56" i="32"/>
  <c r="AD101" i="32"/>
  <c r="AD81" i="32"/>
  <c r="AD64" i="32"/>
  <c r="I117" i="32"/>
  <c r="AD89" i="32"/>
  <c r="AC35" i="32"/>
  <c r="AC51" i="32"/>
  <c r="V117" i="32"/>
  <c r="AC93" i="32"/>
  <c r="AC103" i="32"/>
  <c r="AC32" i="32"/>
  <c r="AD96" i="32"/>
  <c r="W106" i="32"/>
  <c r="AD110" i="32"/>
  <c r="W113" i="32"/>
  <c r="AB70" i="32"/>
  <c r="AI70" i="32" s="1"/>
  <c r="AB67" i="32"/>
  <c r="AI67" i="32" s="1"/>
  <c r="AD68" i="32"/>
  <c r="AD59" i="32"/>
  <c r="AC75" i="32"/>
  <c r="AD41" i="32"/>
  <c r="W120" i="32"/>
  <c r="AD75" i="32"/>
  <c r="I127" i="32"/>
  <c r="I129" i="32" s="1"/>
  <c r="I34" i="32"/>
  <c r="I27" i="32"/>
  <c r="AC63" i="32"/>
  <c r="AC62" i="32"/>
  <c r="T117" i="32"/>
  <c r="AC54" i="32"/>
  <c r="AD35" i="32"/>
  <c r="AD103" i="32"/>
  <c r="AC80" i="32"/>
  <c r="AB41" i="32"/>
  <c r="AI41" i="32" s="1"/>
  <c r="U120" i="32"/>
  <c r="AD29" i="32"/>
  <c r="AD70" i="32"/>
  <c r="AD94" i="32"/>
  <c r="Q83" i="32"/>
  <c r="L117" i="32"/>
  <c r="AD57" i="32"/>
  <c r="AC81" i="32"/>
  <c r="AC57" i="32"/>
  <c r="AA36" i="32"/>
  <c r="AH36" i="32" s="1"/>
  <c r="S37" i="32"/>
  <c r="J34" i="32"/>
  <c r="J27" i="32"/>
  <c r="J127" i="32"/>
  <c r="J129" i="32" s="1"/>
  <c r="J130" i="32" s="1"/>
  <c r="J131" i="32" s="1"/>
  <c r="J132" i="32" s="1"/>
  <c r="J118" i="32" s="1"/>
  <c r="AD30" i="32"/>
  <c r="AC38" i="32"/>
  <c r="V119" i="32"/>
  <c r="I113" i="32"/>
  <c r="M106" i="32"/>
  <c r="AD80" i="32"/>
  <c r="AC33" i="32"/>
  <c r="V34" i="32"/>
  <c r="V27" i="32"/>
  <c r="V127" i="32"/>
  <c r="V129" i="32" s="1"/>
  <c r="AC40" i="32"/>
  <c r="AC60" i="32"/>
  <c r="AD91" i="32"/>
  <c r="V113" i="32"/>
  <c r="AC110" i="32"/>
  <c r="AC73" i="32"/>
  <c r="K46" i="32"/>
  <c r="M27" i="32"/>
  <c r="M127" i="32"/>
  <c r="M129" i="32" s="1"/>
  <c r="M34" i="32"/>
  <c r="AF34" i="32" s="1"/>
  <c r="AB45" i="32"/>
  <c r="AI45" i="32" s="1"/>
  <c r="U46" i="32"/>
  <c r="K37" i="32"/>
  <c r="I106" i="32"/>
  <c r="Q96" i="32"/>
  <c r="M113" i="32"/>
  <c r="AD43" i="32"/>
  <c r="AA50" i="32"/>
  <c r="AH50" i="32" s="1"/>
  <c r="AB72" i="32"/>
  <c r="AI72" i="32" s="1"/>
  <c r="AD24" i="32"/>
  <c r="W128" i="32"/>
  <c r="AC59" i="32"/>
  <c r="AD111" i="32"/>
  <c r="AC74" i="32"/>
  <c r="AB32" i="32"/>
  <c r="AI32" i="32" s="1"/>
  <c r="AC89" i="32"/>
  <c r="AC64" i="32"/>
  <c r="AC90" i="32"/>
  <c r="AD61" i="32"/>
  <c r="K113" i="32"/>
  <c r="AD54" i="32"/>
  <c r="AB55" i="32"/>
  <c r="AI55" i="32" s="1"/>
  <c r="U53" i="32"/>
  <c r="AB35" i="32"/>
  <c r="AI35" i="32" s="1"/>
  <c r="AB101" i="32"/>
  <c r="AI101" i="32" s="1"/>
  <c r="AD44" i="32"/>
  <c r="AB33" i="32"/>
  <c r="AI33" i="32" s="1"/>
  <c r="U27" i="32"/>
  <c r="U127" i="32"/>
  <c r="U129" i="32" s="1"/>
  <c r="U130" i="32" s="1"/>
  <c r="U131" i="32" s="1"/>
  <c r="U132" i="32" s="1"/>
  <c r="U118" i="32" s="1"/>
  <c r="U34" i="32"/>
  <c r="K22" i="32"/>
  <c r="AB39" i="32"/>
  <c r="AI39" i="32" s="1"/>
  <c r="AD77" i="32"/>
  <c r="AD50" i="32"/>
  <c r="M128" i="32"/>
  <c r="AD84" i="32"/>
  <c r="AD38" i="32"/>
  <c r="W119" i="32"/>
  <c r="Q40" i="32"/>
  <c r="Q94" i="32"/>
  <c r="AD55" i="32"/>
  <c r="W53" i="32"/>
  <c r="AD100" i="32"/>
  <c r="T37" i="32"/>
  <c r="AB85" i="32"/>
  <c r="AI85" i="32" s="1"/>
  <c r="AD98" i="32"/>
  <c r="AC78" i="32"/>
  <c r="AB110" i="32"/>
  <c r="AI110" i="32" s="1"/>
  <c r="U113" i="32"/>
  <c r="AD52" i="32"/>
  <c r="AC102" i="32"/>
  <c r="Q105" i="32"/>
  <c r="Q74" i="32"/>
  <c r="AD25" i="32"/>
  <c r="AC99" i="32"/>
  <c r="T27" i="32"/>
  <c r="T34" i="32"/>
  <c r="T127" i="32"/>
  <c r="T129" i="32" s="1"/>
  <c r="T130" i="32" s="1"/>
  <c r="T131" i="32" s="1"/>
  <c r="T132" i="32" s="1"/>
  <c r="T118" i="32" s="1"/>
  <c r="AB54" i="32"/>
  <c r="AI54" i="32" s="1"/>
  <c r="AD78" i="32"/>
  <c r="AC44" i="32"/>
  <c r="J128" i="32"/>
  <c r="T120" i="32"/>
  <c r="AB68" i="32"/>
  <c r="AI68" i="32" s="1"/>
  <c r="AB83" i="32"/>
  <c r="AI83" i="32" s="1"/>
  <c r="AB96" i="32"/>
  <c r="AI96" i="32" s="1"/>
  <c r="U106" i="32"/>
  <c r="T119" i="32"/>
  <c r="AD90" i="32"/>
  <c r="AC43" i="32"/>
  <c r="AB99" i="32"/>
  <c r="AI99" i="32" s="1"/>
  <c r="AB91" i="32"/>
  <c r="AI91" i="32" s="1"/>
  <c r="AC52" i="32"/>
  <c r="T113" i="32"/>
  <c r="AB26" i="32"/>
  <c r="AI26" i="32" s="1"/>
  <c r="M21" i="32"/>
  <c r="M108" i="32" s="1"/>
  <c r="AF108" i="32" s="1"/>
  <c r="W22" i="32"/>
  <c r="V22" i="32"/>
  <c r="J21" i="32"/>
  <c r="J48" i="32" s="1"/>
  <c r="AC48" i="32" s="1"/>
  <c r="L120" i="32"/>
  <c r="AC50" i="32"/>
  <c r="I37" i="32"/>
  <c r="Q36" i="32"/>
  <c r="AC101" i="32"/>
  <c r="AC92" i="32"/>
  <c r="AB71" i="32"/>
  <c r="AI71" i="32" s="1"/>
  <c r="AB58" i="32"/>
  <c r="AI58" i="32" s="1"/>
  <c r="AB56" i="32"/>
  <c r="AI56" i="32" s="1"/>
  <c r="AB42" i="32"/>
  <c r="AI42" i="32" s="1"/>
  <c r="AD73" i="32"/>
  <c r="L53" i="32"/>
  <c r="AC41" i="32"/>
  <c r="V120" i="32"/>
  <c r="I120" i="32"/>
  <c r="AB65" i="32"/>
  <c r="AI65" i="32" s="1"/>
  <c r="J37" i="32"/>
  <c r="AD102" i="32"/>
  <c r="AC82" i="32"/>
  <c r="J119" i="32"/>
  <c r="AB90" i="32"/>
  <c r="AI90" i="32" s="1"/>
  <c r="AB94" i="32"/>
  <c r="AI94" i="32" s="1"/>
  <c r="AB93" i="32"/>
  <c r="AI93" i="32" s="1"/>
  <c r="M119" i="32"/>
  <c r="AD74" i="32"/>
  <c r="AC55" i="32"/>
  <c r="V53" i="32"/>
  <c r="Q61" i="32"/>
  <c r="AB61" i="32"/>
  <c r="AI61" i="32" s="1"/>
  <c r="AB81" i="32"/>
  <c r="AI81" i="32" s="1"/>
  <c r="AC100" i="32"/>
  <c r="K106" i="32"/>
  <c r="T128" i="32"/>
  <c r="U22" i="32"/>
  <c r="AB29" i="32"/>
  <c r="AI29" i="32" s="1"/>
  <c r="T53" i="32"/>
  <c r="J46" i="32"/>
  <c r="L106" i="32"/>
  <c r="AB50" i="32"/>
  <c r="AI50" i="32" s="1"/>
  <c r="M37" i="32"/>
  <c r="AB103" i="32"/>
  <c r="AI103" i="32" s="1"/>
  <c r="AB30" i="32"/>
  <c r="AI30" i="32" s="1"/>
  <c r="K117" i="32"/>
  <c r="Q99" i="32"/>
  <c r="AB44" i="32"/>
  <c r="AI44" i="32" s="1"/>
  <c r="AB43" i="32"/>
  <c r="AI43" i="32" s="1"/>
  <c r="AB97" i="32"/>
  <c r="AI97" i="32" s="1"/>
  <c r="K53" i="32"/>
  <c r="AB64" i="32"/>
  <c r="AI64" i="32" s="1"/>
  <c r="Q26" i="32"/>
  <c r="AB111" i="32"/>
  <c r="AI111" i="32" s="1"/>
  <c r="M120" i="32"/>
  <c r="AB63" i="32"/>
  <c r="AI63" i="32" s="1"/>
  <c r="AB82" i="32"/>
  <c r="AI82" i="32" s="1"/>
  <c r="L37" i="32"/>
  <c r="AB66" i="32"/>
  <c r="AI66" i="32" s="1"/>
  <c r="U21" i="32"/>
  <c r="U108" i="32" s="1"/>
  <c r="S22" i="32"/>
  <c r="M53" i="32"/>
  <c r="AF53" i="32" s="1"/>
  <c r="J106" i="32"/>
  <c r="AB69" i="32"/>
  <c r="AI69" i="32" s="1"/>
  <c r="J120" i="32"/>
  <c r="M117" i="32"/>
  <c r="AB57" i="32"/>
  <c r="AI57" i="32" s="1"/>
  <c r="AB89" i="32"/>
  <c r="AI89" i="32" s="1"/>
  <c r="AB60" i="32"/>
  <c r="AI60" i="32" s="1"/>
  <c r="AB79" i="32"/>
  <c r="AI79" i="32" s="1"/>
  <c r="AB24" i="32"/>
  <c r="AI24" i="32" s="1"/>
  <c r="U128" i="32"/>
  <c r="I46" i="32"/>
  <c r="AB46" i="32" s="1"/>
  <c r="AI46" i="32" s="1"/>
  <c r="Q45" i="32"/>
  <c r="Q58" i="32"/>
  <c r="L119" i="32"/>
  <c r="Q85" i="32"/>
  <c r="AB62" i="32"/>
  <c r="AI62" i="32" s="1"/>
  <c r="AB74" i="32"/>
  <c r="AI74" i="32" s="1"/>
  <c r="I53" i="32"/>
  <c r="AB53" i="32" s="1"/>
  <c r="AI53" i="32" s="1"/>
  <c r="Q50" i="32"/>
  <c r="AB92" i="32"/>
  <c r="AI92" i="32" s="1"/>
  <c r="I22" i="32"/>
  <c r="L127" i="32"/>
  <c r="L129" i="32" s="1"/>
  <c r="L130" i="32" s="1"/>
  <c r="L131" i="32" s="1"/>
  <c r="L132" i="32" s="1"/>
  <c r="L118" i="32" s="1"/>
  <c r="L27" i="32"/>
  <c r="AE27" i="32" s="1"/>
  <c r="L34" i="32"/>
  <c r="K120" i="32"/>
  <c r="T106" i="32"/>
  <c r="K128" i="32"/>
  <c r="T46" i="32"/>
  <c r="J53" i="32"/>
  <c r="T21" i="32"/>
  <c r="T108" i="32" s="1"/>
  <c r="L113" i="32"/>
  <c r="AE113" i="32" s="1"/>
  <c r="L128" i="32"/>
  <c r="K119" i="32"/>
  <c r="K34" i="32"/>
  <c r="AD34" i="32" s="1"/>
  <c r="K27" i="32"/>
  <c r="AD27" i="32" s="1"/>
  <c r="K127" i="32"/>
  <c r="K129" i="32" s="1"/>
  <c r="K130" i="32" s="1"/>
  <c r="K131" i="32" s="1"/>
  <c r="K132" i="32" s="1"/>
  <c r="K118" i="32" s="1"/>
  <c r="I128" i="32"/>
  <c r="Q43" i="32"/>
  <c r="J113" i="32"/>
  <c r="Q75" i="32"/>
  <c r="J117" i="32"/>
  <c r="AF113" i="32"/>
  <c r="AF31" i="32"/>
  <c r="AC37" i="32"/>
  <c r="AG53" i="32"/>
  <c r="AB37" i="32"/>
  <c r="AI37" i="32" s="1"/>
  <c r="AC113" i="32"/>
  <c r="AG27" i="32"/>
  <c r="AG113" i="32"/>
  <c r="AA55" i="32"/>
  <c r="AH55" i="32" s="1"/>
  <c r="Q55" i="32"/>
  <c r="X130" i="32"/>
  <c r="X131" i="32" s="1"/>
  <c r="X132" i="32" s="1"/>
  <c r="X118" i="32" s="1"/>
  <c r="N115" i="32"/>
  <c r="N108" i="32"/>
  <c r="AG108" i="32" s="1"/>
  <c r="Q33" i="32"/>
  <c r="Q27" i="32"/>
  <c r="P130" i="32"/>
  <c r="P131" i="32" s="1"/>
  <c r="P132" i="32" s="1"/>
  <c r="P118" i="32" s="1"/>
  <c r="L48" i="32"/>
  <c r="AE48" i="32" s="1"/>
  <c r="L87" i="32"/>
  <c r="AE87" i="32" s="1"/>
  <c r="L108" i="32"/>
  <c r="AE108" i="32" s="1"/>
  <c r="L115" i="32"/>
  <c r="U87" i="32"/>
  <c r="U115" i="32"/>
  <c r="V48" i="32"/>
  <c r="V108" i="32"/>
  <c r="X115" i="32"/>
  <c r="X87" i="32"/>
  <c r="X108" i="32"/>
  <c r="X48" i="32"/>
  <c r="Z48" i="32"/>
  <c r="M130" i="32"/>
  <c r="M131" i="32" s="1"/>
  <c r="M132" i="32" s="1"/>
  <c r="M118" i="32" s="1"/>
  <c r="K87" i="32"/>
  <c r="AD87" i="32" s="1"/>
  <c r="K108" i="32"/>
  <c r="AD108" i="32" s="1"/>
  <c r="K48" i="32"/>
  <c r="AD48" i="32" s="1"/>
  <c r="K115" i="32"/>
  <c r="N130" i="32"/>
  <c r="N131" i="32" s="1"/>
  <c r="N132" i="32" s="1"/>
  <c r="N118" i="32" s="1"/>
  <c r="Y130" i="32"/>
  <c r="Y131" i="32" s="1"/>
  <c r="Y132" i="32" s="1"/>
  <c r="Y118" i="32" s="1"/>
  <c r="O48" i="32"/>
  <c r="AH48" i="32" s="1"/>
  <c r="O108" i="32"/>
  <c r="AH108" i="32" s="1"/>
  <c r="O87" i="32"/>
  <c r="AH87" i="32" s="1"/>
  <c r="O115" i="32"/>
  <c r="V130" i="32"/>
  <c r="V131" i="32" s="1"/>
  <c r="V132" i="32" s="1"/>
  <c r="V118" i="32" s="1"/>
  <c r="I130" i="32"/>
  <c r="I131" i="32" s="1"/>
  <c r="W48" i="32"/>
  <c r="W115" i="32"/>
  <c r="Y87" i="32"/>
  <c r="Y108" i="32"/>
  <c r="Y48" i="32"/>
  <c r="Y115" i="32"/>
  <c r="T115" i="32"/>
  <c r="Z130" i="32"/>
  <c r="Z131" i="32" s="1"/>
  <c r="Z132" i="32" s="1"/>
  <c r="Z118" i="32" s="1"/>
  <c r="P87" i="32"/>
  <c r="AI87" i="32" s="1"/>
  <c r="P108" i="32"/>
  <c r="AI108" i="32" s="1"/>
  <c r="P115" i="32"/>
  <c r="Z31" i="32"/>
  <c r="W28" i="32"/>
  <c r="U31" i="32"/>
  <c r="Y28" i="32"/>
  <c r="T28" i="32"/>
  <c r="U28" i="32"/>
  <c r="X31" i="32"/>
  <c r="S28" i="32"/>
  <c r="W31" i="32"/>
  <c r="Z28" i="32"/>
  <c r="I4" i="32"/>
  <c r="S4" i="32"/>
  <c r="V28" i="32"/>
  <c r="AD46" i="32" l="1"/>
  <c r="AB106" i="32"/>
  <c r="AI106" i="32" s="1"/>
  <c r="J87" i="32"/>
  <c r="AC87" i="32" s="1"/>
  <c r="AC34" i="32"/>
  <c r="J115" i="32"/>
  <c r="AE46" i="32"/>
  <c r="AG106" i="32"/>
  <c r="M115" i="32"/>
  <c r="U48" i="32"/>
  <c r="AF106" i="32"/>
  <c r="T87" i="32"/>
  <c r="AB27" i="32"/>
  <c r="AI27" i="32" s="1"/>
  <c r="AC46" i="32"/>
  <c r="AG37" i="32"/>
  <c r="AG46" i="32"/>
  <c r="M87" i="32"/>
  <c r="AF87" i="32" s="1"/>
  <c r="Z115" i="32"/>
  <c r="W108" i="32"/>
  <c r="M48" i="32"/>
  <c r="AF48" i="32" s="1"/>
  <c r="Z108" i="32"/>
  <c r="V87" i="32"/>
  <c r="AC53" i="32"/>
  <c r="AD53" i="32"/>
  <c r="AF37" i="32"/>
  <c r="AD106" i="32"/>
  <c r="N48" i="32"/>
  <c r="AG48" i="32" s="1"/>
  <c r="AB113" i="32"/>
  <c r="AI113" i="32" s="1"/>
  <c r="AB34" i="32"/>
  <c r="AI34" i="32" s="1"/>
  <c r="AC28" i="32"/>
  <c r="S21" i="32"/>
  <c r="I21" i="32"/>
  <c r="AG28" i="32"/>
  <c r="AD31" i="32"/>
  <c r="AA27" i="32"/>
  <c r="AH27" i="32" s="1"/>
  <c r="AE31" i="32"/>
  <c r="AB28" i="32"/>
  <c r="AI28" i="32" s="1"/>
  <c r="AF28" i="32"/>
  <c r="AB31" i="32"/>
  <c r="AI31" i="32" s="1"/>
  <c r="AD28" i="32"/>
  <c r="AG31" i="32"/>
  <c r="T48" i="32"/>
  <c r="J108" i="32"/>
  <c r="AC108" i="32" s="1"/>
  <c r="AD37" i="32"/>
  <c r="AF27" i="32"/>
  <c r="AC27" i="32"/>
  <c r="AC106" i="32"/>
  <c r="AD113" i="32"/>
  <c r="AE53" i="32"/>
  <c r="AF46" i="32"/>
  <c r="AE106" i="32"/>
  <c r="AE37" i="32"/>
  <c r="AG34" i="32"/>
  <c r="AE34" i="32"/>
  <c r="S108" i="32" l="1"/>
  <c r="S87" i="32"/>
  <c r="S48" i="32"/>
  <c r="S115" i="32"/>
  <c r="I115" i="32"/>
  <c r="I48" i="32"/>
  <c r="AB48" i="32" s="1"/>
  <c r="I87" i="32"/>
  <c r="AB87" i="32" s="1"/>
  <c r="I108" i="32"/>
  <c r="AB108" i="32" s="1"/>
</calcChain>
</file>

<file path=xl/sharedStrings.xml><?xml version="1.0" encoding="utf-8"?>
<sst xmlns="http://schemas.openxmlformats.org/spreadsheetml/2006/main" count="353" uniqueCount="221">
  <si>
    <t>RTPL1001S</t>
  </si>
  <si>
    <t>RTPL1002S</t>
  </si>
  <si>
    <t>TPL22</t>
  </si>
  <si>
    <t>TPL3</t>
  </si>
  <si>
    <t>TPL4</t>
  </si>
  <si>
    <t>TPL7</t>
  </si>
  <si>
    <t>PL8000</t>
  </si>
  <si>
    <t>TPL9</t>
  </si>
  <si>
    <t/>
  </si>
  <si>
    <t>NFIOPE</t>
  </si>
  <si>
    <t>NFIFIN</t>
  </si>
  <si>
    <t>NFILEV</t>
  </si>
  <si>
    <t>NFI165</t>
  </si>
  <si>
    <t>NFI150</t>
  </si>
  <si>
    <t>NFI200</t>
  </si>
  <si>
    <t>NFI220</t>
  </si>
  <si>
    <t>R_NFI260</t>
  </si>
  <si>
    <t>NFI240</t>
  </si>
  <si>
    <t>NFI250</t>
  </si>
  <si>
    <t>NFI270</t>
  </si>
  <si>
    <t>NFI275</t>
  </si>
  <si>
    <t>RAS4300S</t>
  </si>
  <si>
    <t>PL2225</t>
  </si>
  <si>
    <t>NFI295</t>
  </si>
  <si>
    <t>NFI300</t>
  </si>
  <si>
    <t>NFI400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</si>
  <si>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</si>
  <si>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</si>
  <si>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</si>
  <si>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</si>
  <si>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</si>
  <si>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</si>
  <si>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</si>
  <si>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</si>
  <si>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</si>
  <si>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</si>
  <si>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</si>
  <si>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</si>
  <si>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</si>
  <si>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</si>
  <si>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</si>
  <si>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</si>
  <si>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</si>
  <si>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</si>
  <si>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Comments</t>
  </si>
  <si>
    <t>Currency</t>
  </si>
  <si>
    <t>Total</t>
  </si>
  <si>
    <t>Weighting</t>
  </si>
  <si>
    <t>Activity</t>
  </si>
  <si>
    <t>TPL10</t>
  </si>
  <si>
    <t>TPL1</t>
  </si>
  <si>
    <t>R_NFI500SC</t>
  </si>
  <si>
    <t>R_TLI10</t>
  </si>
  <si>
    <t>Phase</t>
  </si>
  <si>
    <t>z_Translate_Report</t>
  </si>
  <si>
    <t>Context_selection</t>
  </si>
  <si>
    <t>Step_1</t>
  </si>
  <si>
    <t>Step_2</t>
  </si>
  <si>
    <t>Period</t>
  </si>
  <si>
    <t>Indicator_LTP</t>
  </si>
  <si>
    <t>Subtitles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</si>
  <si>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</si>
  <si>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</si>
  <si>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</si>
  <si>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</si>
  <si>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</si>
  <si>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</si>
  <si>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Disposals_Accounting</t>
  </si>
  <si>
    <t>S2_Fuel_Price</t>
  </si>
  <si>
    <t>S1_Fuel_Price</t>
  </si>
  <si>
    <t>STR_VAR1</t>
  </si>
  <si>
    <t>D</t>
  </si>
  <si>
    <t>N</t>
  </si>
  <si>
    <t>[Begin Format Range]</t>
  </si>
  <si>
    <t>[End Format Range]</t>
  </si>
  <si>
    <t>Step_3</t>
  </si>
  <si>
    <t>Contract_Revenues_Renewal</t>
  </si>
  <si>
    <t>Zero_Growth_plan</t>
  </si>
  <si>
    <t>RTPL1003S20</t>
  </si>
  <si>
    <t>Balance_Sheet_C</t>
  </si>
  <si>
    <t>Fuel_Price_2</t>
  </si>
  <si>
    <t>Variance_N_N_1</t>
  </si>
  <si>
    <t>Unit</t>
  </si>
  <si>
    <t>LTP_component</t>
  </si>
  <si>
    <t>Legal_organization</t>
  </si>
  <si>
    <t>Language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</si>
  <si>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</si>
  <si>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</si>
  <si>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</si>
  <si>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</si>
  <si>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</si>
  <si>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</si>
  <si>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</si>
  <si>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</si>
  <si>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</si>
  <si>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RP_Comments_LTP</t>
  </si>
  <si>
    <t>Actual Year :</t>
  </si>
  <si>
    <t>LTP Version :</t>
  </si>
  <si>
    <t>Local language</t>
  </si>
  <si>
    <t>Language List :</t>
  </si>
  <si>
    <t>English</t>
  </si>
  <si>
    <t>French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</si>
  <si>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</si>
  <si>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</si>
  <si>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</si>
  <si>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</si>
  <si>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</si>
  <si>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</si>
  <si>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</si>
  <si>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</si>
  <si>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Plan Output</t>
  </si>
  <si>
    <t>LTP Component</t>
  </si>
  <si>
    <t>LTP Component -Flag</t>
  </si>
  <si>
    <t>Output</t>
  </si>
  <si>
    <t>Bridge_CAFOP</t>
  </si>
  <si>
    <t>Fuel_Price</t>
  </si>
  <si>
    <t>Application Sheet</t>
  </si>
  <si>
    <t>Plan_Output</t>
  </si>
  <si>
    <t>CAGR</t>
  </si>
  <si>
    <t>Verification_Title</t>
  </si>
  <si>
    <t>TOT_LTP</t>
  </si>
  <si>
    <t>LTP_Country</t>
  </si>
  <si>
    <t>AutoRefresh_Output</t>
  </si>
  <si>
    <t>tango_core_model:</t>
  </si>
  <si>
    <t>All activity</t>
  </si>
  <si>
    <t>CAPEX_EQUIV_CAPEX</t>
  </si>
  <si>
    <t>HO</t>
  </si>
  <si>
    <t>CAPEX_Other</t>
  </si>
  <si>
    <t>TCI1B</t>
  </si>
  <si>
    <t>TCI2</t>
  </si>
  <si>
    <t>IFRS16_Liability_Var2</t>
  </si>
  <si>
    <t>IFRS16_Liability_Var1</t>
  </si>
  <si>
    <t>R_TAS</t>
  </si>
  <si>
    <t>NFI220_OBS</t>
  </si>
  <si>
    <t>NFI220_OL_FL</t>
  </si>
  <si>
    <t>TPL1_40</t>
  </si>
  <si>
    <t>TPL1_prov</t>
  </si>
  <si>
    <t>TPL1_other</t>
  </si>
  <si>
    <t>IFRS11</t>
  </si>
  <si>
    <t>TCI1</t>
  </si>
  <si>
    <t>TPL1_op_costs</t>
  </si>
  <si>
    <t>RTPL1004S</t>
  </si>
  <si>
    <t>RTPL1005S</t>
  </si>
  <si>
    <t>TPLIFRS11</t>
  </si>
  <si>
    <t>TPL21_tot</t>
  </si>
  <si>
    <t>TPL6</t>
  </si>
  <si>
    <t>CAPEX_RS</t>
  </si>
  <si>
    <t>CAPEX_IFRS16</t>
  </si>
  <si>
    <t>RNFINPRS</t>
  </si>
  <si>
    <t>R_TCI22</t>
  </si>
  <si>
    <t>RTCI21S</t>
  </si>
  <si>
    <t>NFI492</t>
  </si>
  <si>
    <t>NFI494</t>
  </si>
  <si>
    <t>PL2103</t>
  </si>
  <si>
    <t>NFI480_wo</t>
  </si>
  <si>
    <t>Report_LTP</t>
  </si>
  <si>
    <t>GROSS_IND_CAPEX</t>
  </si>
  <si>
    <t>RESOP_Bef_MF</t>
  </si>
  <si>
    <t>Calcul</t>
  </si>
  <si>
    <t>UR</t>
  </si>
  <si>
    <t>UR_BU</t>
  </si>
  <si>
    <t>UR_LR</t>
  </si>
  <si>
    <t>UR_M</t>
  </si>
  <si>
    <t>OS_CO</t>
  </si>
  <si>
    <t>V - KPI &amp; ratios</t>
  </si>
  <si>
    <t>na</t>
  </si>
  <si>
    <t>ROCE new definition (Post Theoritical Tax &amp; MF and Bef IFRIC 12)</t>
  </si>
  <si>
    <t>Theoritical Tax rate</t>
  </si>
  <si>
    <t>Theoritical MF rate</t>
  </si>
  <si>
    <t>EBIT Bef AFO Revenue</t>
  </si>
  <si>
    <t>Theoritical MF -0,90%</t>
  </si>
  <si>
    <t>Result bef TAX</t>
  </si>
  <si>
    <t>Result post theoritical MF &amp; Tax</t>
  </si>
  <si>
    <t>ROCE new definition</t>
  </si>
  <si>
    <t>FRSAPP021269</t>
  </si>
  <si>
    <t>TRANSDEV All</t>
  </si>
  <si>
    <t>UR_MM</t>
  </si>
  <si>
    <t>UR_CY</t>
  </si>
  <si>
    <t>UR_CA</t>
  </si>
  <si>
    <t>UR_BO</t>
  </si>
  <si>
    <t>UR_input</t>
  </si>
  <si>
    <t>SU</t>
  </si>
  <si>
    <t>SU_B</t>
  </si>
  <si>
    <t>SU_H</t>
  </si>
  <si>
    <t>SU_MM</t>
  </si>
  <si>
    <t>SU_input</t>
  </si>
  <si>
    <t>SO</t>
  </si>
  <si>
    <t>SD_PA</t>
  </si>
  <si>
    <t>SD_MM</t>
  </si>
  <si>
    <t>SO_input</t>
  </si>
  <si>
    <t>RC</t>
  </si>
  <si>
    <t>RC_S</t>
  </si>
  <si>
    <t>RC_RL</t>
  </si>
  <si>
    <t>RC_CH</t>
  </si>
  <si>
    <t>RC_SC</t>
  </si>
  <si>
    <t>RC_SHC</t>
  </si>
  <si>
    <t>RC_input</t>
  </si>
  <si>
    <t>NIC</t>
  </si>
  <si>
    <t>HRAIL</t>
  </si>
  <si>
    <t>RH</t>
  </si>
  <si>
    <t>NIH</t>
  </si>
  <si>
    <t>HRAIL_input</t>
  </si>
  <si>
    <t>OS_MA</t>
  </si>
  <si>
    <t>FE</t>
  </si>
  <si>
    <t>CO</t>
  </si>
  <si>
    <t>CO_SR</t>
  </si>
  <si>
    <t>CO_SHR</t>
  </si>
  <si>
    <t>CO_input</t>
  </si>
  <si>
    <t>AT</t>
  </si>
  <si>
    <t>AT_AS</t>
  </si>
  <si>
    <t>AT_LS</t>
  </si>
  <si>
    <t>AT_input</t>
  </si>
  <si>
    <t>OS_AS</t>
  </si>
  <si>
    <t>OS</t>
  </si>
  <si>
    <t>OS_IS</t>
  </si>
  <si>
    <t>OS_DS</t>
  </si>
  <si>
    <t>OS_D</t>
  </si>
  <si>
    <t>OS_CC</t>
  </si>
  <si>
    <t>OS_TA</t>
  </si>
  <si>
    <t>OS_PR</t>
  </si>
  <si>
    <t>OS_input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</si>
</sst>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_-* #,##0.00\ _F_-;\-* #,##0.00\ _F_-;_-* &quot;-&quot;??\ _F_-;_-@_-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0.0%"/>
    <numFmt numFmtId="174" formatCode="&quot;$&quot;\ \ \ #,##0;\(&quot;$&quot;\ \ \ #,##0\)"/>
    <numFmt numFmtId="175" formatCode="_-* #,##0.000\ [$€]_-;\-* #,##0.000\ [$€]_-;_-* &quot;-&quot;??\ [$€]_-;_-@_-"/>
    <numFmt numFmtId="176" formatCode="#,##0;\(#,##0\)"/>
    <numFmt numFmtId="177" formatCode="#,##0.0;\(#,##0.0\);\-"/>
    <numFmt numFmtId="178" formatCode="_(* #,##0_);_(* \(#,##0\);_(* &quot;&quot;\ \-\ &quot;&quot;_);_(@_)"/>
    <numFmt numFmtId="179" formatCode="_(&quot;€&quot;* #,##0.00_);_(&quot;€&quot;* \(#,##0.00\);_(&quot;€&quot;* &quot;-&quot;??_);_(@_)"/>
    <numFmt numFmtId="180" formatCode="_-* #,##0.00\ [$€]_-;\-* #,##0.00\ [$€]_-;_-* &quot;-&quot;??\ [$€]_-;_-@_-"/>
    <numFmt numFmtId="181" formatCode="_(* #,##0.0_%_);_(* \(#,##0.0_%\);_(* &quot; - &quot;_%_);_(@_)"/>
    <numFmt numFmtId="182" formatCode="_(\ #,##0.0_%_);_(\ \(#,##0.0_%\);_(\ &quot; - &quot;_%_);_(@_)"/>
    <numFmt numFmtId="183" formatCode="_(* #,##0.0%_);_(* \(#,##0.0%\);_(* &quot; - &quot;\%_);_(@_)"/>
    <numFmt numFmtId="184" formatCode="_(\ #,##0.0%_);_(\ \(#,##0.0%\);_(\ &quot; - &quot;\%_);_(@_)"/>
    <numFmt numFmtId="185" formatCode="_(* #,##0_);_(* \(#,##0\);_(* &quot; - &quot;_);_(@_)"/>
    <numFmt numFmtId="186" formatCode="#,##0_);\(#,##0\);&quot; - &quot;_);@_)"/>
    <numFmt numFmtId="187" formatCode="_(* #,##0.0_);_(* \(#,##0.0\);_(* &quot; - &quot;_);_(@_)"/>
    <numFmt numFmtId="188" formatCode="\ #,##0.0_);\(#,##0.0\);&quot; - &quot;_);@_)"/>
    <numFmt numFmtId="189" formatCode="_(* #,##0.00_);_(* \(#,##0.00\);_(* &quot; - &quot;_);_(@_)"/>
    <numFmt numFmtId="190" formatCode="\ #,##0.00_);\(#,##0.00\);&quot; - &quot;_);@_)"/>
    <numFmt numFmtId="191" formatCode="_(* #,##0.000_);_(* \(#,##0.000\);_(* &quot; - &quot;_);_(@_)"/>
    <numFmt numFmtId="192" formatCode="\ #,##0.000_);\(#,##0.000\);&quot; - &quot;_);@_)"/>
    <numFmt numFmtId="193" formatCode="#,##0;\(#,##0\);&quot;-&quot;"/>
    <numFmt numFmtId="194" formatCode="d\ mmmm\ yyyy"/>
    <numFmt numFmtId="195" formatCode="#,##0;[Red]\(#,##0\);0"/>
    <numFmt numFmtId="196" formatCode="#,##0.00;\(#,##0.00\)"/>
    <numFmt numFmtId="197" formatCode="###0.0%;\(###0.0%\)"/>
    <numFmt numFmtId="198" formatCode="#,##0.0_)\x;\(#,##0.0\)\x;#,##0.0_)\x;@_)_x"/>
    <numFmt numFmtId="199" formatCode="_ * #,##0_)\ [$€-1]_ ;_ * \(#,##0\)\ [$€-1]_ ;_ * &quot;-&quot;??_)\ [$€-1]_ "/>
    <numFmt numFmtId="200" formatCode="[$-409]d/m/yy\ h:mm\ AM/PM;@"/>
    <numFmt numFmtId="201" formatCode="0.00;[Red]0.00"/>
    <numFmt numFmtId="202" formatCode="_(* #,##0_);_(* \(#,##0\);_(* &quot;-&quot;_);@_)"/>
    <numFmt numFmtId="203" formatCode="0%_);\(0%\)"/>
    <numFmt numFmtId="204" formatCode="#,##0.0&quot; &quot;;\(#,##0.0\)&quot;&quot;;&quot;- &quot;"/>
    <numFmt numFmtId="205" formatCode="\+\ @"/>
    <numFmt numFmtId="206" formatCode="\-\ @"/>
  </numFmts>
  <fonts count="157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sz val="8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8"/>
      <color theme="0"/>
      <name val="Calibri"/>
      <family val="2"/>
      <scheme val="minor"/>
    </font>
    <font>
      <b/>
      <sz val="14"/>
      <color rgb="FF7E408F"/>
      <name val="Arial"/>
      <family val="2"/>
    </font>
    <font>
      <b/>
      <sz val="12"/>
      <color indexed="45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sz val="6"/>
      <name val="MS Serif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u/>
      <sz val="6"/>
      <color indexed="12"/>
      <name val="Arial"/>
      <family val="2"/>
    </font>
    <font>
      <sz val="12"/>
      <color indexed="8"/>
      <name val="Times New Roman"/>
      <family val="2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b/>
      <sz val="18"/>
      <color rgb="FF3391AA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name val="Calibri"/>
      <family val="2"/>
      <scheme val="minor"/>
    </font>
    <font>
      <sz val="18"/>
      <color indexed="9"/>
      <name val="Calibri"/>
      <family val="2"/>
      <scheme val="minor"/>
    </font>
    <font>
      <b/>
      <sz val="18"/>
      <name val="Arial"/>
      <family val="2"/>
    </font>
    <font>
      <b/>
      <sz val="18"/>
      <color rgb="FF7E408F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18"/>
      <name val="Calibri"/>
      <family val="2"/>
    </font>
    <font>
      <b/>
      <sz val="18"/>
      <color rgb="FFFF0000"/>
      <name val="Calibri"/>
      <family val="2"/>
    </font>
    <font>
      <sz val="18"/>
      <name val="Calibri"/>
      <family val="2"/>
    </font>
    <font>
      <sz val="18"/>
      <color theme="0"/>
      <name val="Calibri"/>
      <family val="2"/>
      <scheme val="minor"/>
    </font>
    <font>
      <sz val="18"/>
      <name val="Arial"/>
      <family val="2"/>
    </font>
    <font>
      <b/>
      <sz val="18"/>
      <color rgb="FFFF0000"/>
      <name val="Arial"/>
      <family val="2"/>
    </font>
    <font>
      <b/>
      <sz val="18"/>
      <color indexed="10"/>
      <name val="Calibri"/>
      <family val="2"/>
    </font>
    <font>
      <sz val="18"/>
      <color rgb="FF3391AA"/>
      <name val="Arial"/>
      <family val="2"/>
    </font>
    <font>
      <b/>
      <sz val="18"/>
      <color rgb="FF3391AA"/>
      <name val="Calibri"/>
      <family val="2"/>
    </font>
    <font>
      <sz val="18"/>
      <color rgb="FF3391AA"/>
      <name val="Calibri"/>
      <family val="2"/>
      <scheme val="minor"/>
    </font>
    <font>
      <sz val="18"/>
      <color rgb="FF3391AA"/>
      <name val="Calibri"/>
      <family val="2"/>
    </font>
    <font>
      <b/>
      <sz val="14"/>
      <color rgb="FF3391AA"/>
      <name val="Calibri"/>
      <family val="2"/>
      <scheme val="minor"/>
    </font>
    <font>
      <b/>
      <sz val="10"/>
      <name val="Calibri"/>
      <family val="2"/>
      <scheme val="minor"/>
    </font>
    <font>
      <b/>
      <sz val="20"/>
      <name val="Calibri"/>
      <family val="2"/>
      <scheme val="minor"/>
    </font>
    <font>
      <sz val="20"/>
      <color indexed="9"/>
      <name val="Calibri"/>
      <family val="2"/>
      <scheme val="minor"/>
    </font>
    <font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</font>
    <font>
      <sz val="20"/>
      <color theme="0"/>
      <name val="Calibri"/>
      <family val="2"/>
    </font>
    <font>
      <b/>
      <sz val="20"/>
      <name val="Calibri"/>
      <family val="2"/>
    </font>
    <font>
      <sz val="20"/>
      <name val="Arial"/>
      <family val="2"/>
    </font>
    <font>
      <i/>
      <sz val="20"/>
      <color theme="0"/>
      <name val="Calibri"/>
      <family val="2"/>
      <scheme val="minor"/>
    </font>
    <font>
      <i/>
      <sz val="20"/>
      <name val="Calibri"/>
      <family val="2"/>
    </font>
    <font>
      <i/>
      <sz val="20"/>
      <color rgb="FF3391AA"/>
      <name val="Calibri"/>
      <family val="2"/>
    </font>
    <font>
      <sz val="20"/>
      <color rgb="FF3391AA"/>
      <name val="Calibri"/>
      <family val="2"/>
      <scheme val="minor"/>
    </font>
    <font>
      <sz val="20"/>
      <color rgb="FF3391AA"/>
      <name val="Calibri"/>
      <family val="2"/>
    </font>
    <font>
      <b/>
      <sz val="36"/>
      <color indexed="9"/>
      <name val="Calibri"/>
      <family val="2"/>
      <scheme val="minor"/>
    </font>
    <font>
      <sz val="36"/>
      <color indexed="9"/>
      <name val="Calibri"/>
      <family val="2"/>
      <scheme val="minor"/>
    </font>
    <font>
      <i/>
      <sz val="36"/>
      <color indexed="9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rgb="FF3391AA"/>
        <bgColor auto="1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9"/>
      </left>
      <right style="thin">
        <color indexed="9"/>
      </right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rgb="FF3391AA"/>
      </bottom>
      <diagonal/>
    </border>
    <border>
      <left/>
      <right/>
      <top/>
      <bottom style="thin">
        <color theme="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</borders>
  <cellStyleXfs count="3467">
    <xf numFmtId="0" fontId="0" fillId="0" borderId="0"/>
    <xf numFmtId="0" fontId="1" fillId="0" borderId="0"/>
    <xf numFmtId="0" fontId="1" fillId="0" borderId="0"/>
    <xf numFmtId="0" fontId="1" fillId="0" borderId="0"/>
    <xf numFmtId="9" fontId="2" fillId="0" borderId="0" applyFont="0" applyFill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5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5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1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5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5" fillId="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6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10" fillId="0" borderId="3">
      <alignment horizontal="left" wrapText="1"/>
    </xf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168" fontId="22" fillId="26" borderId="0" applyNumberFormat="0" applyBorder="0">
      <alignment horizontal="right"/>
      <protection locked="0"/>
    </xf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169" fontId="24" fillId="27" borderId="0" applyNumberFormat="0" applyBorder="0">
      <alignment horizontal="right" vertical="center"/>
      <protection locked="0"/>
    </xf>
    <xf numFmtId="170" fontId="24" fillId="28" borderId="0" applyNumberFormat="0" applyBorder="0">
      <alignment horizontal="right" vertical="center"/>
      <protection locked="0"/>
    </xf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5" fillId="2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5" fillId="2" borderId="0"/>
    <xf numFmtId="0" fontId="25" fillId="2" borderId="0"/>
    <xf numFmtId="171" fontId="27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25" fillId="2" borderId="0"/>
    <xf numFmtId="0" fontId="28" fillId="4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4" borderId="1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2" fontId="31" fillId="29" borderId="0" applyNumberFormat="0" applyBorder="0">
      <alignment horizontal="left" vertical="center"/>
      <protection locked="0"/>
    </xf>
    <xf numFmtId="172" fontId="32" fillId="26" borderId="0" applyNumberFormat="0" applyBorder="0">
      <alignment horizontal="left"/>
      <protection locked="0"/>
    </xf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5" fillId="0" borderId="0"/>
    <xf numFmtId="0" fontId="35" fillId="0" borderId="0"/>
    <xf numFmtId="0" fontId="44" fillId="0" borderId="0"/>
    <xf numFmtId="0" fontId="44" fillId="0" borderId="0"/>
    <xf numFmtId="0" fontId="44" fillId="0" borderId="0"/>
    <xf numFmtId="174" fontId="45" fillId="0" borderId="0" applyAlignment="0"/>
    <xf numFmtId="10" fontId="46" fillId="0" borderId="0"/>
    <xf numFmtId="9" fontId="47" fillId="0" borderId="0"/>
    <xf numFmtId="175" fontId="47" fillId="0" borderId="0"/>
    <xf numFmtId="10" fontId="47" fillId="0" borderId="0"/>
    <xf numFmtId="175" fontId="47" fillId="0" borderId="0" applyFont="0" applyFill="0" applyBorder="0" applyAlignment="0" applyProtection="0"/>
    <xf numFmtId="175" fontId="47" fillId="0" borderId="0" applyFont="0" applyFill="0" applyBorder="0" applyAlignment="0" applyProtection="0"/>
    <xf numFmtId="176" fontId="47" fillId="0" borderId="0"/>
    <xf numFmtId="3" fontId="45" fillId="0" borderId="0"/>
    <xf numFmtId="2" fontId="45" fillId="0" borderId="0"/>
    <xf numFmtId="10" fontId="45" fillId="0" borderId="0" applyFont="0" applyBorder="0" applyAlignment="0">
      <alignment horizontal="centerContinuous"/>
    </xf>
    <xf numFmtId="2" fontId="45" fillId="0" borderId="0"/>
    <xf numFmtId="175" fontId="48" fillId="0" borderId="35" applyFont="0" applyFill="0" applyBorder="0" applyAlignment="0" applyProtection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76" fontId="47" fillId="0" borderId="0"/>
    <xf numFmtId="1" fontId="45" fillId="0" borderId="0" applyFont="0" applyAlignment="0">
      <alignment horizontal="centerContinuous"/>
    </xf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9" fillId="5" borderId="0" applyNumberFormat="0" applyBorder="0" applyAlignment="0" applyProtection="0"/>
    <xf numFmtId="0" fontId="4" fillId="7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6" borderId="0" applyNumberFormat="0" applyBorder="0" applyAlignment="0" applyProtection="0"/>
    <xf numFmtId="0" fontId="4" fillId="14" borderId="0" applyNumberFormat="0" applyBorder="0" applyAlignment="0" applyProtection="0"/>
    <xf numFmtId="0" fontId="4" fillId="9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13" borderId="0" applyNumberFormat="0" applyBorder="0" applyAlignment="0" applyProtection="0"/>
    <xf numFmtId="0" fontId="6" fillId="18" borderId="0" applyNumberFormat="0" applyBorder="0" applyAlignment="0" applyProtection="0"/>
    <xf numFmtId="175" fontId="50" fillId="0" borderId="36" applyFont="0">
      <alignment horizontal="centerContinuous"/>
    </xf>
    <xf numFmtId="0" fontId="33" fillId="0" borderId="0" applyNumberFormat="0" applyFill="0" applyBorder="0" applyAlignment="0" applyProtection="0"/>
    <xf numFmtId="175" fontId="32" fillId="0" borderId="0"/>
    <xf numFmtId="9" fontId="46" fillId="0" borderId="0"/>
    <xf numFmtId="175" fontId="46" fillId="0" borderId="0"/>
    <xf numFmtId="175" fontId="46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5" fontId="32" fillId="0" borderId="0"/>
    <xf numFmtId="175" fontId="32" fillId="0" borderId="0"/>
    <xf numFmtId="175" fontId="32" fillId="0" borderId="0"/>
    <xf numFmtId="0" fontId="32" fillId="0" borderId="0"/>
    <xf numFmtId="0" fontId="32" fillId="0" borderId="0"/>
    <xf numFmtId="175" fontId="32" fillId="0" borderId="0"/>
    <xf numFmtId="175" fontId="32" fillId="0" borderId="0"/>
    <xf numFmtId="0" fontId="32" fillId="0" borderId="0"/>
    <xf numFmtId="0" fontId="32" fillId="0" borderId="0"/>
    <xf numFmtId="0" fontId="32" fillId="0" borderId="0"/>
    <xf numFmtId="175" fontId="46" fillId="0" borderId="0"/>
    <xf numFmtId="175" fontId="46" fillId="0" borderId="0"/>
    <xf numFmtId="175" fontId="1" fillId="0" borderId="0"/>
    <xf numFmtId="175" fontId="47" fillId="0" borderId="0"/>
    <xf numFmtId="0" fontId="7" fillId="5" borderId="0" applyNumberFormat="0" applyBorder="0" applyAlignment="0" applyProtection="0"/>
    <xf numFmtId="38" fontId="51" fillId="0" borderId="0" applyNumberFormat="0" applyFill="0" applyBorder="0" applyAlignment="0" applyProtection="0"/>
    <xf numFmtId="0" fontId="9" fillId="43" borderId="0"/>
    <xf numFmtId="175" fontId="52" fillId="0" borderId="0" applyNumberFormat="0" applyFill="0" applyBorder="0" applyAlignment="0" applyProtection="0"/>
    <xf numFmtId="175" fontId="47" fillId="0" borderId="0"/>
    <xf numFmtId="175" fontId="50" fillId="0" borderId="36" applyNumberFormat="0" applyFill="0" applyAlignment="0" applyProtection="0"/>
    <xf numFmtId="175" fontId="51" fillId="0" borderId="36" applyNumberFormat="0" applyFont="0" applyFill="0" applyAlignment="0" applyProtection="0"/>
    <xf numFmtId="175" fontId="32" fillId="0" borderId="37"/>
    <xf numFmtId="175" fontId="47" fillId="0" borderId="36">
      <alignment horizontal="centerContinuous"/>
    </xf>
    <xf numFmtId="175" fontId="1" fillId="0" borderId="38" applyBorder="0">
      <alignment horizontal="centerContinuous"/>
    </xf>
    <xf numFmtId="3" fontId="53" fillId="0" borderId="39"/>
    <xf numFmtId="0" fontId="1" fillId="0" borderId="40" applyBorder="0">
      <alignment horizontal="center" vertical="center"/>
    </xf>
    <xf numFmtId="175" fontId="47" fillId="0" borderId="0" applyFont="0" applyFill="0" applyBorder="0" applyAlignment="0" applyProtection="0"/>
    <xf numFmtId="175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5" fontId="54" fillId="0" borderId="0"/>
    <xf numFmtId="175" fontId="46" fillId="0" borderId="0"/>
    <xf numFmtId="175" fontId="46" fillId="0" borderId="0"/>
    <xf numFmtId="0" fontId="46" fillId="0" borderId="0"/>
    <xf numFmtId="175" fontId="54" fillId="0" borderId="0"/>
    <xf numFmtId="175" fontId="54" fillId="0" borderId="0"/>
    <xf numFmtId="0" fontId="54" fillId="0" borderId="0"/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5" fontId="32" fillId="0" borderId="0">
      <alignment horizontal="right"/>
    </xf>
    <xf numFmtId="175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175" fontId="54" fillId="0" borderId="0"/>
    <xf numFmtId="175" fontId="54" fillId="0" borderId="0"/>
    <xf numFmtId="0" fontId="54" fillId="0" borderId="0"/>
    <xf numFmtId="0" fontId="54" fillId="0" borderId="0"/>
    <xf numFmtId="0" fontId="54" fillId="0" borderId="0"/>
    <xf numFmtId="37" fontId="47" fillId="0" borderId="0">
      <alignment horizontal="center"/>
    </xf>
    <xf numFmtId="175" fontId="50" fillId="0" borderId="0"/>
    <xf numFmtId="0" fontId="8" fillId="11" borderId="41" applyNumberFormat="0" applyAlignment="0" applyProtection="0"/>
    <xf numFmtId="0" fontId="8" fillId="11" borderId="41" applyNumberFormat="0" applyAlignment="0" applyProtection="0"/>
    <xf numFmtId="0" fontId="23" fillId="0" borderId="9" applyNumberFormat="0" applyFill="0" applyAlignment="0" applyProtection="0"/>
    <xf numFmtId="0" fontId="9" fillId="25" borderId="2" applyNumberFormat="0" applyAlignment="0" applyProtection="0"/>
    <xf numFmtId="177" fontId="1" fillId="0" borderId="0">
      <alignment horizontal="right" wrapText="1"/>
    </xf>
    <xf numFmtId="175" fontId="47" fillId="0" borderId="0"/>
    <xf numFmtId="175" fontId="55" fillId="0" borderId="0" applyFont="0" applyFill="0" applyBorder="0" applyAlignment="0" applyProtection="0"/>
    <xf numFmtId="40" fontId="55" fillId="0" borderId="0" applyFont="0" applyFill="0" applyBorder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175" fontId="56" fillId="0" borderId="0" applyFont="0" applyFill="0" applyBorder="0" applyAlignment="0" applyProtection="0"/>
    <xf numFmtId="175" fontId="56" fillId="0" borderId="0" applyFont="0" applyFill="0" applyBorder="0" applyAlignment="0" applyProtection="0"/>
    <xf numFmtId="49" fontId="57" fillId="44" borderId="0">
      <alignment vertical="center"/>
    </xf>
    <xf numFmtId="175" fontId="47" fillId="0" borderId="0" applyFont="0" applyFill="0" applyBorder="0" applyAlignment="0" applyProtection="0"/>
    <xf numFmtId="178" fontId="35" fillId="45" borderId="0">
      <alignment horizontal="right"/>
    </xf>
    <xf numFmtId="165" fontId="1" fillId="0" borderId="0" applyFont="0" applyFill="0" applyBorder="0" applyAlignment="0" applyProtection="0"/>
    <xf numFmtId="0" fontId="21" fillId="6" borderId="41" applyNumberFormat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79" fontId="1" fillId="0" borderId="0" applyFont="0" applyFill="0" applyBorder="0" applyAlignment="0" applyProtection="0"/>
    <xf numFmtId="18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9" fontId="58" fillId="0" borderId="0" applyNumberFormat="0" applyFill="0" applyBorder="0" applyProtection="0">
      <alignment horizontal="center" vertical="top"/>
    </xf>
    <xf numFmtId="181" fontId="59" fillId="0" borderId="0">
      <alignment horizontal="right" vertical="top"/>
    </xf>
    <xf numFmtId="182" fontId="60" fillId="0" borderId="0" applyBorder="0">
      <alignment horizontal="right" vertical="top"/>
    </xf>
    <xf numFmtId="183" fontId="61" fillId="0" borderId="0">
      <alignment horizontal="right" vertical="top"/>
    </xf>
    <xf numFmtId="184" fontId="58" fillId="0" borderId="0" applyBorder="0">
      <alignment horizontal="right" vertical="top"/>
    </xf>
    <xf numFmtId="183" fontId="59" fillId="0" borderId="0">
      <alignment horizontal="right" vertical="top"/>
    </xf>
    <xf numFmtId="184" fontId="60" fillId="0" borderId="0" applyBorder="0">
      <alignment horizontal="right" vertical="top"/>
    </xf>
    <xf numFmtId="185" fontId="61" fillId="0" borderId="0" applyFill="0" applyBorder="0">
      <alignment horizontal="right" vertical="top"/>
    </xf>
    <xf numFmtId="186" fontId="58" fillId="0" borderId="0" applyFill="0" applyBorder="0">
      <alignment horizontal="right" vertical="top"/>
    </xf>
    <xf numFmtId="187" fontId="61" fillId="0" borderId="0" applyFill="0" applyBorder="0">
      <alignment horizontal="right" vertical="top"/>
    </xf>
    <xf numFmtId="188" fontId="58" fillId="0" borderId="0" applyFill="0" applyBorder="0">
      <alignment horizontal="right" vertical="top"/>
    </xf>
    <xf numFmtId="189" fontId="61" fillId="0" borderId="0" applyFill="0" applyBorder="0">
      <alignment horizontal="right" vertical="top"/>
    </xf>
    <xf numFmtId="190" fontId="58" fillId="0" borderId="0" applyFill="0" applyBorder="0">
      <alignment horizontal="right" vertical="top"/>
    </xf>
    <xf numFmtId="191" fontId="61" fillId="0" borderId="0" applyFill="0" applyBorder="0">
      <alignment horizontal="right" vertical="top"/>
    </xf>
    <xf numFmtId="192" fontId="58" fillId="0" borderId="0" applyFill="0" applyBorder="0">
      <alignment horizontal="right" vertical="top"/>
    </xf>
    <xf numFmtId="0" fontId="62" fillId="0" borderId="0">
      <alignment horizontal="center" wrapText="1"/>
    </xf>
    <xf numFmtId="175" fontId="63" fillId="0" borderId="43">
      <alignment horizontal="right"/>
    </xf>
    <xf numFmtId="175" fontId="62" fillId="0" borderId="0">
      <alignment horizontal="center" wrapText="1"/>
    </xf>
    <xf numFmtId="0" fontId="62" fillId="0" borderId="0">
      <alignment horizontal="center" wrapText="1"/>
    </xf>
    <xf numFmtId="193" fontId="64" fillId="0" borderId="43">
      <alignment horizontal="left"/>
    </xf>
    <xf numFmtId="0" fontId="65" fillId="0" borderId="0">
      <alignment vertical="center"/>
    </xf>
    <xf numFmtId="194" fontId="65" fillId="0" borderId="0">
      <alignment horizontal="left" vertical="center"/>
    </xf>
    <xf numFmtId="195" fontId="66" fillId="0" borderId="0">
      <alignment vertical="center"/>
    </xf>
    <xf numFmtId="0" fontId="67" fillId="0" borderId="0">
      <alignment vertical="center"/>
    </xf>
    <xf numFmtId="193" fontId="64" fillId="0" borderId="43">
      <alignment horizontal="left"/>
    </xf>
    <xf numFmtId="193" fontId="68" fillId="0" borderId="0" applyFill="0" applyBorder="0">
      <alignment vertical="top"/>
    </xf>
    <xf numFmtId="193" fontId="69" fillId="0" borderId="0" applyFill="0" applyBorder="0" applyProtection="0">
      <alignment vertical="top"/>
    </xf>
    <xf numFmtId="193" fontId="70" fillId="0" borderId="0">
      <alignment vertical="top"/>
    </xf>
    <xf numFmtId="193" fontId="58" fillId="0" borderId="0">
      <alignment horizontal="center"/>
    </xf>
    <xf numFmtId="193" fontId="71" fillId="0" borderId="43">
      <alignment horizontal="center"/>
    </xf>
    <xf numFmtId="164" fontId="61" fillId="0" borderId="0" applyFill="0" applyBorder="0" applyAlignment="0" applyProtection="0">
      <alignment horizontal="right" vertical="top"/>
    </xf>
    <xf numFmtId="164" fontId="58" fillId="0" borderId="43" applyFill="0" applyBorder="0" applyProtection="0">
      <alignment horizontal="right" vertical="top"/>
    </xf>
    <xf numFmtId="193" fontId="43" fillId="0" borderId="0"/>
    <xf numFmtId="193" fontId="72" fillId="0" borderId="0"/>
    <xf numFmtId="193" fontId="73" fillId="0" borderId="0"/>
    <xf numFmtId="193" fontId="1" fillId="0" borderId="0"/>
    <xf numFmtId="193" fontId="74" fillId="0" borderId="0">
      <alignment horizontal="left" vertical="top"/>
    </xf>
    <xf numFmtId="0" fontId="61" fillId="0" borderId="0" applyFill="0" applyBorder="0">
      <alignment horizontal="left" vertical="top"/>
    </xf>
    <xf numFmtId="175" fontId="58" fillId="0" borderId="0" applyFill="0" applyBorder="0">
      <alignment horizontal="left" vertical="top" wrapText="1"/>
    </xf>
    <xf numFmtId="175" fontId="61" fillId="0" borderId="0" applyFill="0" applyBorder="0">
      <alignment horizontal="left" vertical="top"/>
    </xf>
    <xf numFmtId="0" fontId="61" fillId="0" borderId="0" applyFill="0" applyBorder="0">
      <alignment horizontal="left" vertical="top"/>
    </xf>
    <xf numFmtId="0" fontId="75" fillId="0" borderId="0">
      <alignment horizontal="left" vertical="top" wrapText="1"/>
    </xf>
    <xf numFmtId="0" fontId="76" fillId="0" borderId="0">
      <alignment horizontal="left" vertical="top" wrapText="1"/>
    </xf>
    <xf numFmtId="0" fontId="60" fillId="0" borderId="0">
      <alignment horizontal="left" vertical="top" wrapText="1"/>
    </xf>
    <xf numFmtId="175" fontId="77" fillId="0" borderId="0" applyNumberFormat="0" applyFill="0" applyBorder="0" applyAlignment="0" applyProtection="0"/>
    <xf numFmtId="175" fontId="57" fillId="46" borderId="0">
      <alignment horizontal="right" vertical="center"/>
    </xf>
    <xf numFmtId="0" fontId="1" fillId="47" borderId="0"/>
    <xf numFmtId="196" fontId="78" fillId="0" borderId="0"/>
    <xf numFmtId="197" fontId="78" fillId="0" borderId="0"/>
    <xf numFmtId="0" fontId="12" fillId="7" borderId="0" applyNumberFormat="0" applyBorder="0" applyAlignment="0" applyProtection="0"/>
    <xf numFmtId="175" fontId="79" fillId="0" borderId="0" applyNumberFormat="0" applyFill="0" applyProtection="0">
      <alignment horizontal="left"/>
    </xf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175" fontId="80" fillId="0" borderId="0" applyNumberFormat="0" applyFill="0" applyBorder="0" applyAlignment="0" applyProtection="0"/>
    <xf numFmtId="0" fontId="21" fillId="11" borderId="41" applyNumberFormat="0" applyAlignment="0" applyProtection="0"/>
    <xf numFmtId="175" fontId="46" fillId="0" borderId="0" applyNumberFormat="0" applyFill="0" applyBorder="0" applyAlignment="0">
      <protection locked="0"/>
    </xf>
    <xf numFmtId="175" fontId="81" fillId="0" borderId="0" applyNumberFormat="0" applyFill="0" applyBorder="0" applyAlignment="0"/>
    <xf numFmtId="0" fontId="7" fillId="5" borderId="0" applyNumberFormat="0" applyBorder="0" applyAlignment="0" applyProtection="0"/>
    <xf numFmtId="38" fontId="82" fillId="0" borderId="0"/>
    <xf numFmtId="38" fontId="83" fillId="0" borderId="0"/>
    <xf numFmtId="38" fontId="84" fillId="0" borderId="0"/>
    <xf numFmtId="38" fontId="85" fillId="0" borderId="0"/>
    <xf numFmtId="175" fontId="86" fillId="0" borderId="0"/>
    <xf numFmtId="175" fontId="86" fillId="0" borderId="0"/>
    <xf numFmtId="175" fontId="86" fillId="0" borderId="0"/>
    <xf numFmtId="0" fontId="87" fillId="0" borderId="0" applyNumberFormat="0" applyFill="0" applyBorder="0" applyAlignment="0" applyProtection="0">
      <alignment vertical="top"/>
      <protection locked="0"/>
    </xf>
    <xf numFmtId="175" fontId="57" fillId="48" borderId="0">
      <alignment horizontal="right" vertical="center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79" fontId="88" fillId="0" borderId="0" applyFont="0" applyFill="0" applyBorder="0" applyAlignment="0" applyProtection="0"/>
    <xf numFmtId="198" fontId="1" fillId="0" borderId="0" applyFont="0" applyFill="0" applyBorder="0" applyAlignment="0" applyProtection="0"/>
    <xf numFmtId="49" fontId="89" fillId="44" borderId="0">
      <alignment horizontal="centerContinuous" vertical="center"/>
    </xf>
    <xf numFmtId="0" fontId="90" fillId="0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175" fontId="32" fillId="0" borderId="0">
      <alignment horizontal="left"/>
    </xf>
    <xf numFmtId="0" fontId="91" fillId="0" borderId="0"/>
    <xf numFmtId="0" fontId="91" fillId="0" borderId="0"/>
    <xf numFmtId="175" fontId="91" fillId="0" borderId="0"/>
    <xf numFmtId="0" fontId="9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92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75" fontId="1" fillId="0" borderId="0"/>
    <xf numFmtId="175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175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175" fontId="1" fillId="0" borderId="0"/>
    <xf numFmtId="199" fontId="1" fillId="0" borderId="0"/>
    <xf numFmtId="0" fontId="1" fillId="0" borderId="0"/>
    <xf numFmtId="0" fontId="4" fillId="0" borderId="0"/>
    <xf numFmtId="175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00" fontId="1" fillId="0" borderId="0"/>
    <xf numFmtId="0" fontId="4" fillId="0" borderId="0"/>
    <xf numFmtId="0" fontId="4" fillId="0" borderId="0"/>
    <xf numFmtId="200" fontId="1" fillId="0" borderId="0"/>
    <xf numFmtId="0" fontId="4" fillId="0" borderId="0"/>
    <xf numFmtId="0" fontId="4" fillId="0" borderId="0"/>
    <xf numFmtId="0" fontId="4" fillId="0" borderId="0"/>
    <xf numFmtId="175" fontId="1" fillId="0" borderId="0"/>
    <xf numFmtId="0" fontId="1" fillId="0" borderId="0"/>
    <xf numFmtId="175" fontId="4" fillId="0" borderId="0"/>
    <xf numFmtId="175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175" fontId="4" fillId="0" borderId="0"/>
    <xf numFmtId="0" fontId="1" fillId="0" borderId="0"/>
    <xf numFmtId="0" fontId="4" fillId="8" borderId="42" applyNumberFormat="0" applyFont="0" applyAlignment="0" applyProtection="0"/>
    <xf numFmtId="175" fontId="93" fillId="45" borderId="0">
      <alignment horizontal="left" vertical="top" wrapText="1"/>
    </xf>
    <xf numFmtId="0" fontId="28" fillId="4" borderId="44" applyNumberFormat="0" applyAlignment="0" applyProtection="0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49" fontId="94" fillId="0" borderId="36" applyFill="0" applyProtection="0">
      <alignment vertical="center"/>
    </xf>
    <xf numFmtId="175" fontId="32" fillId="0" borderId="0"/>
    <xf numFmtId="175" fontId="95" fillId="0" borderId="0"/>
    <xf numFmtId="9" fontId="51" fillId="0" borderId="0" applyFont="0" applyFill="0" applyBorder="0" applyAlignment="0" applyProtection="0"/>
    <xf numFmtId="175" fontId="96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175" fontId="97" fillId="0" borderId="0" applyFont="0" applyFill="0" applyBorder="0" applyAlignment="0" applyProtection="0">
      <alignment horizont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5" fontId="98" fillId="0" borderId="36"/>
    <xf numFmtId="10" fontId="32" fillId="0" borderId="3"/>
    <xf numFmtId="10" fontId="1" fillId="0" borderId="0"/>
    <xf numFmtId="2" fontId="47" fillId="0" borderId="0">
      <alignment horizontal="right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0"/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5" fontId="22" fillId="0" borderId="35">
      <protection locked="0"/>
    </xf>
    <xf numFmtId="175" fontId="22" fillId="0" borderId="35">
      <protection locked="0"/>
    </xf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175" fontId="22" fillId="0" borderId="0"/>
    <xf numFmtId="0" fontId="22" fillId="0" borderId="0"/>
    <xf numFmtId="0" fontId="22" fillId="0" borderId="0"/>
    <xf numFmtId="175" fontId="22" fillId="0" borderId="0"/>
    <xf numFmtId="175" fontId="22" fillId="0" borderId="0"/>
    <xf numFmtId="0" fontId="22" fillId="0" borderId="0"/>
    <xf numFmtId="0" fontId="22" fillId="0" borderId="0"/>
    <xf numFmtId="0" fontId="22" fillId="0" borderId="0"/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99" fillId="0" borderId="0">
      <alignment horizontal="center"/>
    </xf>
    <xf numFmtId="175" fontId="99" fillId="0" borderId="0">
      <alignment horizontal="center"/>
    </xf>
    <xf numFmtId="0" fontId="99" fillId="0" borderId="0">
      <alignment horizontal="center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5" fontId="22" fillId="0" borderId="35">
      <alignment horizontal="centerContinuous"/>
    </xf>
    <xf numFmtId="175" fontId="22" fillId="0" borderId="35">
      <alignment horizontal="centerContinuous"/>
    </xf>
    <xf numFmtId="0" fontId="10" fillId="46" borderId="46" applyNumberFormat="0" applyProtection="0">
      <alignment horizontal="left" vertical="center" indent="1"/>
    </xf>
    <xf numFmtId="201" fontId="100" fillId="49" borderId="46" applyProtection="0">
      <alignment horizontal="right" vertical="center"/>
    </xf>
    <xf numFmtId="0" fontId="12" fillId="7" borderId="0" applyNumberFormat="0" applyBorder="0" applyAlignment="0" applyProtection="0"/>
    <xf numFmtId="175" fontId="101" fillId="47" borderId="0" applyNumberFormat="0" applyFont="0" applyBorder="0" applyAlignment="0" applyProtection="0"/>
    <xf numFmtId="175" fontId="57" fillId="44" borderId="0">
      <alignment horizontal="right" vertical="center"/>
    </xf>
    <xf numFmtId="202" fontId="102" fillId="0" borderId="0" applyNumberFormat="0" applyFill="0" applyBorder="0" applyAlignment="0" applyProtection="0"/>
    <xf numFmtId="202" fontId="103" fillId="50" borderId="0" applyNumberFormat="0" applyFont="0" applyBorder="0" applyAlignment="0" applyProtection="0"/>
    <xf numFmtId="0" fontId="103" fillId="0" borderId="0" applyFill="0" applyBorder="0" applyProtection="0"/>
    <xf numFmtId="202" fontId="103" fillId="31" borderId="0" applyNumberFormat="0" applyFont="0" applyBorder="0" applyAlignment="0" applyProtection="0"/>
    <xf numFmtId="203" fontId="103" fillId="0" borderId="0" applyFill="0" applyBorder="0" applyAlignment="0" applyProtection="0"/>
    <xf numFmtId="202" fontId="104" fillId="0" borderId="0" applyNumberFormat="0" applyAlignment="0" applyProtection="0"/>
    <xf numFmtId="0" fontId="105" fillId="0" borderId="47" applyProtection="0">
      <alignment horizontal="right" wrapText="1"/>
    </xf>
    <xf numFmtId="0" fontId="105" fillId="0" borderId="0" applyProtection="0">
      <alignment wrapText="1"/>
    </xf>
    <xf numFmtId="202" fontId="106" fillId="0" borderId="48" applyNumberFormat="0" applyFill="0" applyAlignment="0" applyProtection="0"/>
    <xf numFmtId="0" fontId="107" fillId="0" borderId="0" applyAlignment="0" applyProtection="0"/>
    <xf numFmtId="202" fontId="106" fillId="0" borderId="49" applyNumberFormat="0" applyFill="0" applyAlignment="0" applyProtection="0"/>
    <xf numFmtId="0" fontId="28" fillId="11" borderId="44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5" fontId="1" fillId="0" borderId="0"/>
    <xf numFmtId="0" fontId="1" fillId="0" borderId="0"/>
    <xf numFmtId="0" fontId="100" fillId="0" borderId="0" applyNumberFormat="0" applyBorder="0" applyAlignment="0"/>
    <xf numFmtId="175" fontId="100" fillId="0" borderId="0" applyNumberFormat="0" applyBorder="0" applyAlignment="0"/>
    <xf numFmtId="0" fontId="108" fillId="0" borderId="0" applyNumberFormat="0" applyBorder="0" applyAlignment="0"/>
    <xf numFmtId="175" fontId="108" fillId="0" borderId="0" applyNumberFormat="0" applyBorder="0" applyAlignment="0"/>
    <xf numFmtId="0" fontId="109" fillId="0" borderId="0" applyNumberFormat="0" applyBorder="0" applyAlignment="0"/>
    <xf numFmtId="175" fontId="109" fillId="0" borderId="0" applyNumberFormat="0" applyBorder="0" applyAlignment="0"/>
    <xf numFmtId="0" fontId="109" fillId="0" borderId="0" applyNumberFormat="0" applyBorder="0" applyAlignment="0"/>
    <xf numFmtId="175" fontId="109" fillId="0" borderId="0" applyNumberFormat="0" applyBorder="0" applyAlignment="0"/>
    <xf numFmtId="0" fontId="110" fillId="0" borderId="0" applyNumberFormat="0" applyBorder="0" applyAlignment="0"/>
    <xf numFmtId="175" fontId="110" fillId="0" borderId="0" applyNumberFormat="0" applyBorder="0" applyAlignment="0"/>
    <xf numFmtId="0" fontId="111" fillId="7" borderId="0" applyNumberFormat="0" applyBorder="0" applyAlignment="0"/>
    <xf numFmtId="175" fontId="111" fillId="7" borderId="0" applyNumberFormat="0" applyBorder="0" applyAlignment="0"/>
    <xf numFmtId="0" fontId="112" fillId="7" borderId="0" applyNumberFormat="0" applyBorder="0" applyAlignment="0"/>
    <xf numFmtId="175" fontId="112" fillId="7" borderId="0" applyNumberFormat="0" applyBorder="0" applyAlignment="0"/>
    <xf numFmtId="0" fontId="113" fillId="0" borderId="0" applyNumberFormat="0" applyBorder="0" applyAlignment="0"/>
    <xf numFmtId="175" fontId="113" fillId="0" borderId="0" applyNumberFormat="0" applyBorder="0" applyAlignment="0"/>
    <xf numFmtId="0" fontId="113" fillId="0" borderId="0" applyNumberFormat="0" applyBorder="0" applyAlignment="0"/>
    <xf numFmtId="175" fontId="113" fillId="0" borderId="0" applyNumberFormat="0" applyBorder="0" applyAlignment="0"/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5" fontId="50" fillId="0" borderId="36">
      <alignment horizontal="centerContinuous"/>
    </xf>
    <xf numFmtId="175" fontId="50" fillId="0" borderId="36">
      <alignment horizontal="centerContinuous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5" fontId="50" fillId="0" borderId="36">
      <alignment horizontal="center"/>
    </xf>
    <xf numFmtId="175" fontId="50" fillId="0" borderId="36">
      <alignment horizontal="center"/>
    </xf>
    <xf numFmtId="175" fontId="114" fillId="45" borderId="0"/>
    <xf numFmtId="175" fontId="35" fillId="45" borderId="0">
      <alignment horizontal="left"/>
    </xf>
    <xf numFmtId="175" fontId="35" fillId="45" borderId="0">
      <alignment horizontal="left" indent="1"/>
    </xf>
    <xf numFmtId="175" fontId="35" fillId="45" borderId="0">
      <alignment horizontal="left" vertical="center" indent="2"/>
    </xf>
    <xf numFmtId="0" fontId="11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5" fontId="115" fillId="0" borderId="50" applyNumberFormat="0" applyFill="0" applyBorder="0" applyAlignment="0" applyProtection="0">
      <alignment horizontal="left"/>
    </xf>
    <xf numFmtId="0" fontId="30" fillId="0" borderId="0" applyNumberFormat="0" applyFill="0" applyBorder="0" applyAlignment="0" applyProtection="0"/>
    <xf numFmtId="0" fontId="14" fillId="0" borderId="5" applyNumberFormat="0" applyFill="0" applyAlignment="0" applyProtection="0"/>
    <xf numFmtId="0" fontId="16" fillId="0" borderId="6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175" fontId="51" fillId="0" borderId="51" applyNumberFormat="0" applyFont="0" applyFill="0" applyAlignment="0" applyProtection="0"/>
    <xf numFmtId="175" fontId="116" fillId="0" borderId="0"/>
    <xf numFmtId="0" fontId="9" fillId="25" borderId="2" applyNumberFormat="0" applyAlignment="0" applyProtection="0"/>
    <xf numFmtId="0" fontId="33" fillId="0" borderId="0" applyNumberFormat="0" applyFill="0" applyBorder="0" applyAlignment="0" applyProtection="0"/>
    <xf numFmtId="1" fontId="117" fillId="0" borderId="36">
      <alignment horizontal="center"/>
    </xf>
    <xf numFmtId="204" fontId="47" fillId="0" borderId="0" applyFont="0" applyFill="0" applyBorder="0" applyAlignment="0" applyProtection="0">
      <alignment horizontal="right" vertical="center"/>
    </xf>
    <xf numFmtId="175" fontId="1" fillId="0" borderId="0"/>
    <xf numFmtId="9" fontId="118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4" fillId="0" borderId="0"/>
    <xf numFmtId="0" fontId="54" fillId="0" borderId="0"/>
    <xf numFmtId="0" fontId="54" fillId="0" borderId="0"/>
    <xf numFmtId="0" fontId="46" fillId="0" borderId="0"/>
    <xf numFmtId="0" fontId="54" fillId="0" borderId="0"/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0"/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99" fillId="0" borderId="0">
      <alignment horizontal="center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"/>
    </xf>
  </cellStyleXfs>
  <cellXfs count="211">
    <xf numFmtId="0" fontId="0" fillId="0" borderId="0" xfId="0"/>
    <xf numFmtId="0" fontId="37" fillId="33" borderId="3" xfId="0" applyFont="1" applyFill="1" applyBorder="1" applyAlignment="1">
      <alignment horizontal="center"/>
    </xf>
    <xf numFmtId="0" fontId="36" fillId="36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3" fillId="12" borderId="0" xfId="0" applyFont="1" applyFill="1"/>
    <xf numFmtId="0" fontId="3" fillId="8" borderId="0" xfId="0" applyFont="1" applyFill="1"/>
    <xf numFmtId="0" fontId="3" fillId="0" borderId="0" xfId="0" applyFont="1"/>
    <xf numFmtId="0" fontId="39" fillId="0" borderId="0" xfId="0" applyFont="1"/>
    <xf numFmtId="0" fontId="1" fillId="0" borderId="0" xfId="0" applyFont="1"/>
    <xf numFmtId="0" fontId="40" fillId="39" borderId="26" xfId="0" applyFont="1" applyFill="1" applyBorder="1" applyAlignment="1">
      <alignment horizontal="left"/>
    </xf>
    <xf numFmtId="0" fontId="36" fillId="39" borderId="27" xfId="0" applyFont="1" applyFill="1" applyBorder="1"/>
    <xf numFmtId="0" fontId="41" fillId="31" borderId="28" xfId="0" applyFont="1" applyFill="1" applyBorder="1"/>
    <xf numFmtId="0" fontId="41" fillId="0" borderId="28" xfId="0" applyFont="1" applyBorder="1"/>
    <xf numFmtId="0" fontId="42" fillId="0" borderId="0" xfId="0" applyFont="1"/>
    <xf numFmtId="0" fontId="41" fillId="0" borderId="30" xfId="0" applyFont="1" applyBorder="1"/>
    <xf numFmtId="0" fontId="0" fillId="34" borderId="3" xfId="0" applyFill="1" applyBorder="1"/>
    <xf numFmtId="0" fontId="0" fillId="0" borderId="3" xfId="0" applyBorder="1"/>
    <xf numFmtId="0" fontId="34" fillId="0" borderId="0" xfId="3" applyFont="1"/>
    <xf numFmtId="0" fontId="10" fillId="12" borderId="20" xfId="0" applyFont="1" applyFill="1" applyBorder="1"/>
    <xf numFmtId="0" fontId="0" fillId="12" borderId="20" xfId="0" applyFill="1" applyBorder="1"/>
    <xf numFmtId="49" fontId="0" fillId="0" borderId="0" xfId="0" applyNumberFormat="1" applyAlignment="1">
      <alignment horizontal="left" indent="1"/>
    </xf>
    <xf numFmtId="0" fontId="120" fillId="32" borderId="0" xfId="1" applyFont="1" applyFill="1" applyAlignment="1">
      <alignment horizontal="center" vertical="center"/>
    </xf>
    <xf numFmtId="0" fontId="120" fillId="32" borderId="0" xfId="1" applyFont="1" applyFill="1" applyAlignment="1" applyProtection="1">
      <alignment horizontal="center" vertical="center"/>
      <protection locked="0"/>
    </xf>
    <xf numFmtId="0" fontId="121" fillId="32" borderId="3" xfId="305" applyFont="1" applyFill="1" applyBorder="1"/>
    <xf numFmtId="0" fontId="122" fillId="32" borderId="3" xfId="305" applyFont="1" applyFill="1" applyBorder="1"/>
    <xf numFmtId="0" fontId="122" fillId="32" borderId="0" xfId="1" applyFont="1" applyFill="1" applyAlignment="1">
      <alignment vertical="center"/>
    </xf>
    <xf numFmtId="0" fontId="123" fillId="32" borderId="0" xfId="1" applyFont="1" applyFill="1" applyAlignment="1">
      <alignment vertical="center"/>
    </xf>
    <xf numFmtId="0" fontId="122" fillId="32" borderId="24" xfId="305" applyFont="1" applyFill="1" applyBorder="1"/>
    <xf numFmtId="0" fontId="121" fillId="32" borderId="3" xfId="305" applyFont="1" applyFill="1" applyBorder="1" applyAlignment="1">
      <alignment horizontal="center"/>
    </xf>
    <xf numFmtId="0" fontId="122" fillId="32" borderId="0" xfId="305" applyFont="1" applyFill="1" applyAlignment="1">
      <alignment horizontal="center"/>
    </xf>
    <xf numFmtId="0" fontId="122" fillId="32" borderId="0" xfId="1" applyFont="1" applyFill="1" applyAlignment="1">
      <alignment horizontal="left" vertical="center"/>
    </xf>
    <xf numFmtId="0" fontId="124" fillId="33" borderId="3" xfId="0" applyFont="1" applyFill="1" applyBorder="1" applyAlignment="1">
      <alignment horizontal="center"/>
    </xf>
    <xf numFmtId="0" fontId="122" fillId="32" borderId="3" xfId="305" applyFont="1" applyFill="1" applyBorder="1" applyAlignment="1">
      <alignment horizontal="center"/>
    </xf>
    <xf numFmtId="0" fontId="125" fillId="32" borderId="0" xfId="3" applyFont="1" applyFill="1" applyAlignment="1">
      <alignment vertical="center"/>
    </xf>
    <xf numFmtId="0" fontId="126" fillId="32" borderId="0" xfId="2" applyFont="1" applyFill="1" applyAlignment="1">
      <alignment horizontal="right" vertical="center"/>
    </xf>
    <xf numFmtId="0" fontId="120" fillId="32" borderId="0" xfId="1" applyFont="1" applyFill="1" applyAlignment="1">
      <alignment vertical="center"/>
    </xf>
    <xf numFmtId="0" fontId="122" fillId="32" borderId="0" xfId="2" applyFont="1" applyFill="1" applyAlignment="1">
      <alignment vertical="center"/>
    </xf>
    <xf numFmtId="0" fontId="127" fillId="30" borderId="13" xfId="3" applyFont="1" applyFill="1" applyBorder="1" applyAlignment="1">
      <alignment horizontal="left" vertical="center"/>
    </xf>
    <xf numFmtId="0" fontId="127" fillId="0" borderId="0" xfId="1" applyFont="1" applyAlignment="1" applyProtection="1">
      <alignment horizontal="left" vertical="center"/>
      <protection locked="0"/>
    </xf>
    <xf numFmtId="0" fontId="127" fillId="0" borderId="0" xfId="1" applyFont="1" applyAlignment="1" applyProtection="1">
      <alignment vertical="center"/>
      <protection locked="0"/>
    </xf>
    <xf numFmtId="0" fontId="120" fillId="30" borderId="0" xfId="1" applyFont="1" applyFill="1" applyAlignment="1">
      <alignment horizontal="center" vertical="center"/>
    </xf>
    <xf numFmtId="0" fontId="122" fillId="0" borderId="0" xfId="1" applyFont="1" applyAlignment="1">
      <alignment horizontal="left" vertical="center"/>
    </xf>
    <xf numFmtId="0" fontId="122" fillId="0" borderId="0" xfId="1" applyFont="1" applyAlignment="1">
      <alignment vertical="center"/>
    </xf>
    <xf numFmtId="0" fontId="123" fillId="0" borderId="0" xfId="1" applyFont="1" applyAlignment="1">
      <alignment vertical="center"/>
    </xf>
    <xf numFmtId="0" fontId="120" fillId="0" borderId="0" xfId="1" applyFont="1" applyAlignment="1" applyProtection="1">
      <alignment horizontal="center" vertical="center"/>
      <protection locked="0"/>
    </xf>
    <xf numFmtId="0" fontId="129" fillId="0" borderId="0" xfId="1" applyFont="1" applyAlignment="1">
      <alignment vertical="center"/>
    </xf>
    <xf numFmtId="0" fontId="123" fillId="30" borderId="0" xfId="1" applyFont="1" applyFill="1" applyAlignment="1">
      <alignment vertical="center"/>
    </xf>
    <xf numFmtId="0" fontId="120" fillId="0" borderId="0" xfId="1" applyFont="1" applyAlignment="1">
      <alignment horizontal="center" vertical="center"/>
    </xf>
    <xf numFmtId="0" fontId="127" fillId="0" borderId="15" xfId="1" applyFont="1" applyBorder="1" applyAlignment="1">
      <alignment vertical="center"/>
    </xf>
    <xf numFmtId="0" fontId="127" fillId="37" borderId="0" xfId="1" applyFont="1" applyFill="1" applyAlignment="1">
      <alignment horizontal="left" vertical="center"/>
    </xf>
    <xf numFmtId="166" fontId="129" fillId="0" borderId="22" xfId="0" applyNumberFormat="1" applyFont="1" applyBorder="1" applyAlignment="1">
      <alignment horizontal="right" vertical="center" indent="1"/>
    </xf>
    <xf numFmtId="0" fontId="127" fillId="35" borderId="25" xfId="1" applyFont="1" applyFill="1" applyBorder="1" applyAlignment="1">
      <alignment horizontal="center" vertical="center"/>
    </xf>
    <xf numFmtId="0" fontId="127" fillId="30" borderId="14" xfId="1" applyFont="1" applyFill="1" applyBorder="1" applyAlignment="1">
      <alignment horizontal="center" vertical="center"/>
    </xf>
    <xf numFmtId="0" fontId="121" fillId="30" borderId="16" xfId="1" applyFont="1" applyFill="1" applyBorder="1" applyAlignment="1">
      <alignment vertical="center"/>
    </xf>
    <xf numFmtId="0" fontId="127" fillId="0" borderId="14" xfId="1" applyFont="1" applyBorder="1" applyAlignment="1">
      <alignment vertical="center"/>
    </xf>
    <xf numFmtId="0" fontId="132" fillId="0" borderId="16" xfId="0" applyFont="1" applyBorder="1" applyAlignment="1">
      <alignment horizontal="center"/>
    </xf>
    <xf numFmtId="0" fontId="131" fillId="30" borderId="19" xfId="0" applyFont="1" applyFill="1" applyBorder="1"/>
    <xf numFmtId="0" fontId="131" fillId="30" borderId="14" xfId="0" applyFont="1" applyFill="1" applyBorder="1"/>
    <xf numFmtId="0" fontId="122" fillId="30" borderId="0" xfId="305" applyFont="1" applyFill="1"/>
    <xf numFmtId="0" fontId="127" fillId="0" borderId="17" xfId="1" applyFont="1" applyBorder="1" applyAlignment="1">
      <alignment vertical="center"/>
    </xf>
    <xf numFmtId="0" fontId="131" fillId="0" borderId="14" xfId="0" applyFont="1" applyBorder="1"/>
    <xf numFmtId="0" fontId="131" fillId="30" borderId="15" xfId="0" applyFont="1" applyFill="1" applyBorder="1"/>
    <xf numFmtId="0" fontId="129" fillId="0" borderId="17" xfId="1" applyFont="1" applyBorder="1" applyAlignment="1">
      <alignment vertical="center"/>
    </xf>
    <xf numFmtId="0" fontId="120" fillId="30" borderId="0" xfId="1" applyFont="1" applyFill="1" applyAlignment="1">
      <alignment horizontal="left" vertical="center"/>
    </xf>
    <xf numFmtId="0" fontId="120" fillId="0" borderId="15" xfId="3" applyFont="1" applyBorder="1"/>
    <xf numFmtId="0" fontId="132" fillId="0" borderId="14" xfId="0" applyFont="1" applyBorder="1" applyAlignment="1">
      <alignment horizontal="center"/>
    </xf>
    <xf numFmtId="0" fontId="131" fillId="30" borderId="0" xfId="0" applyFont="1" applyFill="1"/>
    <xf numFmtId="0" fontId="132" fillId="0" borderId="0" xfId="0" applyFont="1" applyAlignment="1">
      <alignment horizontal="center"/>
    </xf>
    <xf numFmtId="0" fontId="131" fillId="0" borderId="0" xfId="0" applyFont="1"/>
    <xf numFmtId="0" fontId="122" fillId="30" borderId="0" xfId="3" applyFont="1" applyFill="1"/>
    <xf numFmtId="0" fontId="133" fillId="51" borderId="0" xfId="973" applyFont="1" applyFill="1" applyAlignment="1">
      <alignment horizontal="left" vertical="center"/>
    </xf>
    <xf numFmtId="0" fontId="131" fillId="40" borderId="15" xfId="0" applyFont="1" applyFill="1" applyBorder="1"/>
    <xf numFmtId="0" fontId="122" fillId="30" borderId="0" xfId="1" applyFont="1" applyFill="1" applyAlignment="1">
      <alignment horizontal="center" vertical="center"/>
    </xf>
    <xf numFmtId="0" fontId="122" fillId="32" borderId="0" xfId="1" applyFont="1" applyFill="1" applyAlignment="1">
      <alignment horizontal="center" vertical="center"/>
    </xf>
    <xf numFmtId="0" fontId="122" fillId="0" borderId="0" xfId="1" applyFont="1" applyAlignment="1" applyProtection="1">
      <alignment horizontal="center" vertical="center"/>
      <protection locked="0"/>
    </xf>
    <xf numFmtId="0" fontId="120" fillId="0" borderId="0" xfId="1" applyFont="1" applyAlignment="1">
      <alignment horizontal="left" vertical="center"/>
    </xf>
    <xf numFmtId="0" fontId="128" fillId="37" borderId="0" xfId="1" applyFont="1" applyFill="1" applyAlignment="1">
      <alignment horizontal="left" vertical="center"/>
    </xf>
    <xf numFmtId="0" fontId="121" fillId="30" borderId="0" xfId="1" applyFont="1" applyFill="1" applyAlignment="1">
      <alignment horizontal="center" vertical="center"/>
    </xf>
    <xf numFmtId="0" fontId="130" fillId="32" borderId="0" xfId="1" applyFont="1" applyFill="1" applyAlignment="1">
      <alignment vertical="center"/>
    </xf>
    <xf numFmtId="0" fontId="130" fillId="32" borderId="0" xfId="305" applyFont="1" applyFill="1" applyAlignment="1">
      <alignment horizontal="center"/>
    </xf>
    <xf numFmtId="0" fontId="130" fillId="32" borderId="0" xfId="2" applyFont="1" applyFill="1" applyAlignment="1">
      <alignment vertical="center"/>
    </xf>
    <xf numFmtId="0" fontId="130" fillId="0" borderId="0" xfId="1" applyFont="1" applyAlignment="1">
      <alignment vertical="center"/>
    </xf>
    <xf numFmtId="0" fontId="130" fillId="0" borderId="0" xfId="0" applyFont="1"/>
    <xf numFmtId="0" fontId="122" fillId="32" borderId="0" xfId="2" quotePrefix="1" applyFont="1" applyFill="1" applyAlignment="1">
      <alignment vertical="center"/>
    </xf>
    <xf numFmtId="0" fontId="131" fillId="40" borderId="0" xfId="0" applyFont="1" applyFill="1"/>
    <xf numFmtId="0" fontId="122" fillId="0" borderId="0" xfId="305" applyFont="1" applyAlignment="1">
      <alignment horizontal="center"/>
    </xf>
    <xf numFmtId="49" fontId="0" fillId="0" borderId="0" xfId="0" applyNumberFormat="1" applyAlignment="1">
      <alignment horizontal="left" indent="2"/>
    </xf>
    <xf numFmtId="173" fontId="122" fillId="0" borderId="0" xfId="3339" applyNumberFormat="1" applyFont="1" applyFill="1" applyBorder="1" applyAlignment="1" applyProtection="1">
      <alignment vertical="center"/>
    </xf>
    <xf numFmtId="0" fontId="134" fillId="40" borderId="0" xfId="0" applyFont="1" applyFill="1"/>
    <xf numFmtId="0" fontId="119" fillId="30" borderId="0" xfId="1" applyFont="1" applyFill="1" applyAlignment="1">
      <alignment horizontal="left" vertical="center"/>
    </xf>
    <xf numFmtId="0" fontId="119" fillId="30" borderId="0" xfId="1" applyFont="1" applyFill="1" applyAlignment="1">
      <alignment horizontal="center" vertical="center"/>
    </xf>
    <xf numFmtId="0" fontId="119" fillId="32" borderId="0" xfId="1" applyFont="1" applyFill="1" applyAlignment="1">
      <alignment horizontal="center" vertical="center"/>
    </xf>
    <xf numFmtId="0" fontId="119" fillId="0" borderId="0" xfId="1" applyFont="1" applyAlignment="1" applyProtection="1">
      <alignment horizontal="center" vertical="center"/>
      <protection locked="0"/>
    </xf>
    <xf numFmtId="0" fontId="136" fillId="0" borderId="0" xfId="1" applyFont="1" applyAlignment="1">
      <alignment vertical="center"/>
    </xf>
    <xf numFmtId="0" fontId="136" fillId="30" borderId="0" xfId="305" applyFont="1" applyFill="1"/>
    <xf numFmtId="0" fontId="135" fillId="0" borderId="17" xfId="1" applyFont="1" applyBorder="1" applyAlignment="1">
      <alignment vertical="center"/>
    </xf>
    <xf numFmtId="0" fontId="137" fillId="0" borderId="0" xfId="1" applyFont="1" applyAlignment="1">
      <alignment vertical="center"/>
    </xf>
    <xf numFmtId="0" fontId="136" fillId="30" borderId="0" xfId="1" applyFont="1" applyFill="1" applyAlignment="1">
      <alignment vertical="center"/>
    </xf>
    <xf numFmtId="0" fontId="134" fillId="30" borderId="15" xfId="0" applyFont="1" applyFill="1" applyBorder="1"/>
    <xf numFmtId="0" fontId="135" fillId="0" borderId="15" xfId="1" applyFont="1" applyBorder="1" applyAlignment="1">
      <alignment vertical="center"/>
    </xf>
    <xf numFmtId="0" fontId="134" fillId="30" borderId="0" xfId="0" applyFont="1" applyFill="1"/>
    <xf numFmtId="173" fontId="136" fillId="0" borderId="0" xfId="3339" applyNumberFormat="1" applyFont="1" applyFill="1" applyBorder="1" applyAlignment="1" applyProtection="1">
      <alignment vertical="center"/>
    </xf>
    <xf numFmtId="0" fontId="119" fillId="0" borderId="0" xfId="1" applyFont="1" applyAlignment="1">
      <alignment horizontal="center" vertical="center"/>
    </xf>
    <xf numFmtId="0" fontId="34" fillId="0" borderId="0" xfId="305" applyFont="1"/>
    <xf numFmtId="0" fontId="34" fillId="0" borderId="0" xfId="305" applyFont="1" applyAlignment="1">
      <alignment horizontal="center"/>
    </xf>
    <xf numFmtId="9" fontId="34" fillId="0" borderId="0" xfId="285" applyFont="1" applyAlignment="1">
      <alignment horizontal="center"/>
    </xf>
    <xf numFmtId="166" fontId="122" fillId="0" borderId="0" xfId="1" applyNumberFormat="1" applyFont="1" applyAlignment="1">
      <alignment vertical="center"/>
    </xf>
    <xf numFmtId="0" fontId="122" fillId="38" borderId="0" xfId="1" applyFont="1" applyFill="1" applyAlignment="1">
      <alignment horizontal="left" vertical="center"/>
    </xf>
    <xf numFmtId="0" fontId="122" fillId="38" borderId="0" xfId="1" applyFont="1" applyFill="1" applyAlignment="1">
      <alignment vertical="center"/>
    </xf>
    <xf numFmtId="173" fontId="138" fillId="38" borderId="0" xfId="3339" applyNumberFormat="1" applyFont="1" applyFill="1" applyAlignment="1">
      <alignment horizontal="right"/>
    </xf>
    <xf numFmtId="9" fontId="139" fillId="0" borderId="0" xfId="285" applyFont="1" applyAlignment="1">
      <alignment horizontal="center"/>
    </xf>
    <xf numFmtId="166" fontId="127" fillId="0" borderId="22" xfId="0" applyNumberFormat="1" applyFont="1" applyBorder="1" applyAlignment="1">
      <alignment horizontal="right" vertical="center" indent="1"/>
    </xf>
    <xf numFmtId="0" fontId="134" fillId="0" borderId="15" xfId="0" applyFont="1" applyBorder="1"/>
    <xf numFmtId="0" fontId="131" fillId="0" borderId="15" xfId="0" applyFont="1" applyBorder="1"/>
    <xf numFmtId="0" fontId="140" fillId="30" borderId="0" xfId="1" applyFont="1" applyFill="1" applyAlignment="1">
      <alignment horizontal="center" vertical="center"/>
    </xf>
    <xf numFmtId="0" fontId="140" fillId="32" borderId="0" xfId="1" applyFont="1" applyFill="1" applyAlignment="1">
      <alignment horizontal="center" vertical="center"/>
    </xf>
    <xf numFmtId="0" fontId="140" fillId="0" borderId="0" xfId="1" applyFont="1" applyAlignment="1" applyProtection="1">
      <alignment horizontal="center" vertical="center"/>
      <protection locked="0"/>
    </xf>
    <xf numFmtId="0" fontId="141" fillId="0" borderId="0" xfId="1" applyFont="1" applyAlignment="1">
      <alignment vertical="center"/>
    </xf>
    <xf numFmtId="0" fontId="142" fillId="0" borderId="0" xfId="1" applyFont="1" applyAlignment="1">
      <alignment vertical="center"/>
    </xf>
    <xf numFmtId="0" fontId="142" fillId="0" borderId="0" xfId="0" applyFont="1"/>
    <xf numFmtId="0" fontId="143" fillId="52" borderId="0" xfId="0" applyFont="1" applyFill="1" applyAlignment="1">
      <alignment horizontal="center" vertical="center"/>
    </xf>
    <xf numFmtId="0" fontId="144" fillId="0" borderId="0" xfId="1" applyFont="1" applyAlignment="1">
      <alignment vertical="center"/>
    </xf>
    <xf numFmtId="0" fontId="142" fillId="0" borderId="52" xfId="0" applyFont="1" applyBorder="1" applyAlignment="1">
      <alignment horizontal="left" vertical="center"/>
    </xf>
    <xf numFmtId="0" fontId="142" fillId="0" borderId="52" xfId="0" applyFont="1" applyBorder="1" applyAlignment="1">
      <alignment vertical="center"/>
    </xf>
    <xf numFmtId="3" fontId="144" fillId="0" borderId="52" xfId="0" applyNumberFormat="1" applyFont="1" applyBorder="1" applyAlignment="1">
      <alignment vertical="center"/>
    </xf>
    <xf numFmtId="166" fontId="145" fillId="0" borderId="22" xfId="0" applyNumberFormat="1" applyFont="1" applyBorder="1" applyAlignment="1">
      <alignment horizontal="right" vertical="center" indent="1"/>
    </xf>
    <xf numFmtId="166" fontId="145" fillId="0" borderId="18" xfId="0" applyNumberFormat="1" applyFont="1" applyBorder="1" applyAlignment="1">
      <alignment horizontal="right" vertical="center" indent="1"/>
    </xf>
    <xf numFmtId="166" fontId="145" fillId="0" borderId="23" xfId="0" applyNumberFormat="1" applyFont="1" applyBorder="1" applyAlignment="1">
      <alignment horizontal="right" vertical="center" indent="1"/>
    </xf>
    <xf numFmtId="166" fontId="146" fillId="0" borderId="0" xfId="0" applyNumberFormat="1" applyFont="1" applyAlignment="1">
      <alignment horizontal="right" vertical="center" indent="1"/>
    </xf>
    <xf numFmtId="166" fontId="147" fillId="42" borderId="33" xfId="0" applyNumberFormat="1" applyFont="1" applyFill="1" applyBorder="1" applyAlignment="1">
      <alignment horizontal="right" vertical="center" indent="1"/>
    </xf>
    <xf numFmtId="4" fontId="149" fillId="0" borderId="0" xfId="1" applyNumberFormat="1" applyFont="1" applyAlignment="1">
      <alignment vertical="center"/>
    </xf>
    <xf numFmtId="0" fontId="151" fillId="38" borderId="0" xfId="2" applyFont="1" applyFill="1" applyAlignment="1">
      <alignment horizontal="left" vertical="center"/>
    </xf>
    <xf numFmtId="173" fontId="151" fillId="38" borderId="0" xfId="3339" applyNumberFormat="1" applyFont="1" applyFill="1" applyBorder="1" applyAlignment="1" applyProtection="1">
      <alignment horizontal="right" vertical="center" indent="1"/>
    </xf>
    <xf numFmtId="166" fontId="147" fillId="41" borderId="33" xfId="0" applyNumberFormat="1" applyFont="1" applyFill="1" applyBorder="1" applyAlignment="1">
      <alignment horizontal="right" vertical="center" indent="1"/>
    </xf>
    <xf numFmtId="0" fontId="140" fillId="0" borderId="0" xfId="0" applyFont="1" applyAlignment="1">
      <alignment horizontal="left" vertical="center"/>
    </xf>
    <xf numFmtId="0" fontId="140" fillId="0" borderId="0" xfId="0" applyFont="1" applyAlignment="1">
      <alignment vertical="center"/>
    </xf>
    <xf numFmtId="3" fontId="140" fillId="0" borderId="0" xfId="0" applyNumberFormat="1" applyFont="1" applyAlignment="1">
      <alignment vertical="center"/>
    </xf>
    <xf numFmtId="166" fontId="147" fillId="41" borderId="0" xfId="0" applyNumberFormat="1" applyFont="1" applyFill="1" applyAlignment="1">
      <alignment horizontal="right" vertical="center" indent="1"/>
    </xf>
    <xf numFmtId="166" fontId="145" fillId="0" borderId="32" xfId="0" applyNumberFormat="1" applyFont="1" applyBorder="1" applyAlignment="1">
      <alignment horizontal="right" vertical="center" indent="1"/>
    </xf>
    <xf numFmtId="166" fontId="145" fillId="32" borderId="22" xfId="0" applyNumberFormat="1" applyFont="1" applyFill="1" applyBorder="1" applyAlignment="1">
      <alignment horizontal="right" vertical="center" indent="1"/>
    </xf>
    <xf numFmtId="166" fontId="145" fillId="32" borderId="18" xfId="0" applyNumberFormat="1" applyFont="1" applyFill="1" applyBorder="1" applyAlignment="1">
      <alignment horizontal="right" vertical="center" indent="1"/>
    </xf>
    <xf numFmtId="166" fontId="145" fillId="32" borderId="23" xfId="0" applyNumberFormat="1" applyFont="1" applyFill="1" applyBorder="1" applyAlignment="1">
      <alignment horizontal="right" vertical="center" indent="1"/>
    </xf>
    <xf numFmtId="166" fontId="147" fillId="0" borderId="34" xfId="0" applyNumberFormat="1" applyFont="1" applyBorder="1" applyAlignment="1">
      <alignment horizontal="right" vertical="center" indent="1"/>
    </xf>
    <xf numFmtId="166" fontId="147" fillId="0" borderId="18" xfId="0" applyNumberFormat="1" applyFont="1" applyBorder="1" applyAlignment="1">
      <alignment horizontal="right" vertical="center" indent="1"/>
    </xf>
    <xf numFmtId="166" fontId="147" fillId="0" borderId="0" xfId="0" applyNumberFormat="1" applyFont="1" applyAlignment="1">
      <alignment horizontal="right" vertical="center" indent="1"/>
    </xf>
    <xf numFmtId="166" fontId="149" fillId="0" borderId="0" xfId="1" applyNumberFormat="1" applyFont="1" applyAlignment="1">
      <alignment vertical="center"/>
    </xf>
    <xf numFmtId="0" fontId="150" fillId="32" borderId="0" xfId="2" applyFont="1" applyFill="1" applyAlignment="1">
      <alignment horizontal="left" vertical="center"/>
    </xf>
    <xf numFmtId="0" fontId="150" fillId="32" borderId="21" xfId="2" applyFont="1" applyFill="1" applyBorder="1" applyAlignment="1">
      <alignment vertical="center"/>
    </xf>
    <xf numFmtId="166" fontId="150" fillId="0" borderId="18" xfId="0" applyNumberFormat="1" applyFont="1" applyBorder="1" applyAlignment="1">
      <alignment vertical="center"/>
    </xf>
    <xf numFmtId="0" fontId="142" fillId="0" borderId="0" xfId="1" applyFont="1" applyAlignment="1">
      <alignment horizontal="left" vertical="center"/>
    </xf>
    <xf numFmtId="0" fontId="142" fillId="0" borderId="0" xfId="0" applyFont="1" applyAlignment="1">
      <alignment horizontal="left" indent="1"/>
    </xf>
    <xf numFmtId="166" fontId="142" fillId="0" borderId="0" xfId="0" applyNumberFormat="1" applyFont="1"/>
    <xf numFmtId="166" fontId="145" fillId="0" borderId="0" xfId="0" applyNumberFormat="1" applyFont="1" applyAlignment="1">
      <alignment horizontal="right" vertical="center" indent="1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52" fillId="0" borderId="0" xfId="1" applyFont="1" applyAlignment="1">
      <alignment vertical="center"/>
    </xf>
    <xf numFmtId="173" fontId="152" fillId="0" borderId="0" xfId="3339" applyNumberFormat="1" applyFont="1" applyFill="1" applyBorder="1" applyAlignment="1" applyProtection="1">
      <alignment vertical="center"/>
    </xf>
    <xf numFmtId="0" fontId="153" fillId="0" borderId="0" xfId="2" applyFont="1" applyAlignment="1">
      <alignment horizontal="left" vertical="center"/>
    </xf>
    <xf numFmtId="0" fontId="153" fillId="0" borderId="21" xfId="2" applyFont="1" applyBorder="1" applyAlignment="1">
      <alignment vertical="center"/>
    </xf>
    <xf numFmtId="173" fontId="152" fillId="0" borderId="0" xfId="3339" applyNumberFormat="1" applyFont="1" applyFill="1" applyBorder="1" applyAlignment="1" applyProtection="1">
      <alignment horizontal="right" vertical="center"/>
    </xf>
    <xf numFmtId="0" fontId="141" fillId="30" borderId="0" xfId="1" applyFont="1" applyFill="1" applyAlignment="1">
      <alignment vertical="center"/>
    </xf>
    <xf numFmtId="0" fontId="147" fillId="0" borderId="15" xfId="1" applyFont="1" applyBorder="1" applyAlignment="1">
      <alignment vertical="center"/>
    </xf>
    <xf numFmtId="0" fontId="148" fillId="30" borderId="0" xfId="0" applyFont="1" applyFill="1"/>
    <xf numFmtId="0" fontId="142" fillId="30" borderId="0" xfId="305" applyFont="1" applyFill="1"/>
    <xf numFmtId="0" fontId="147" fillId="0" borderId="17" xfId="1" applyFont="1" applyBorder="1" applyAlignment="1">
      <alignment vertical="center"/>
    </xf>
    <xf numFmtId="0" fontId="148" fillId="0" borderId="14" xfId="0" applyFont="1" applyBorder="1"/>
    <xf numFmtId="0" fontId="148" fillId="30" borderId="15" xfId="0" applyFont="1" applyFill="1" applyBorder="1"/>
    <xf numFmtId="0" fontId="147" fillId="37" borderId="0" xfId="1" applyFont="1" applyFill="1" applyAlignment="1">
      <alignment horizontal="left" vertical="center"/>
    </xf>
    <xf numFmtId="0" fontId="140" fillId="30" borderId="0" xfId="1" applyFont="1" applyFill="1" applyAlignment="1">
      <alignment horizontal="left" vertical="center"/>
    </xf>
    <xf numFmtId="0" fontId="126" fillId="0" borderId="0" xfId="2" applyFont="1" applyAlignment="1">
      <alignment horizontal="left" vertical="center"/>
    </xf>
    <xf numFmtId="0" fontId="122" fillId="0" borderId="0" xfId="2" applyFont="1" applyAlignment="1">
      <alignment vertical="center"/>
    </xf>
    <xf numFmtId="0" fontId="143" fillId="52" borderId="0" xfId="2" applyFont="1" applyFill="1" applyAlignment="1">
      <alignment horizontal="left" vertical="center"/>
    </xf>
    <xf numFmtId="3" fontId="144" fillId="0" borderId="0" xfId="0" applyNumberFormat="1" applyFont="1" applyAlignment="1">
      <alignment vertical="center"/>
    </xf>
    <xf numFmtId="0" fontId="143" fillId="0" borderId="53" xfId="0" applyFont="1" applyBorder="1" applyAlignment="1">
      <alignment horizontal="center" vertical="center"/>
    </xf>
    <xf numFmtId="0" fontId="143" fillId="0" borderId="0" xfId="0" applyFont="1" applyAlignment="1">
      <alignment horizontal="center" vertical="center"/>
    </xf>
    <xf numFmtId="166" fontId="122" fillId="32" borderId="0" xfId="2" applyNumberFormat="1" applyFont="1" applyFill="1" applyAlignment="1">
      <alignment vertical="center"/>
    </xf>
    <xf numFmtId="205" fontId="10" fillId="12" borderId="20" xfId="0" applyNumberFormat="1" applyFont="1" applyFill="1" applyBorder="1"/>
    <xf numFmtId="205" fontId="0" fillId="12" borderId="20" xfId="0" applyNumberFormat="1" applyFill="1" applyBorder="1"/>
    <xf numFmtId="206" fontId="0" fillId="12" borderId="0" xfId="0" applyNumberFormat="1" applyFill="1"/>
    <xf numFmtId="206" fontId="0" fillId="8" borderId="0" xfId="0" applyNumberFormat="1" applyFill="1" applyAlignment="1">
      <alignment horizontal="left" indent="1"/>
    </xf>
    <xf numFmtId="0" fontId="36" fillId="39" borderId="29" xfId="0" applyFont="1" applyFill="1" applyBorder="1" applyAlignment="1">
      <alignment horizontal="left" vertical="center"/>
    </xf>
    <xf numFmtId="0" fontId="36" fillId="39" borderId="18" xfId="0" applyFont="1" applyFill="1" applyBorder="1" applyAlignment="1">
      <alignment horizontal="left" vertical="center"/>
    </xf>
    <xf numFmtId="0" fontId="36" fillId="39" borderId="31" xfId="0" applyFont="1" applyFill="1" applyBorder="1" applyAlignment="1">
      <alignment horizontal="left" vertical="center"/>
    </xf>
    <xf numFmtId="0" fontId="147" fillId="41" borderId="33" xfId="2" applyFont="1" applyFill="1" applyBorder="1" applyAlignment="1">
      <alignment horizontal="left" vertical="center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43" fillId="52" borderId="0" xfId="2" applyFont="1" applyFill="1" applyAlignment="1">
      <alignment horizontal="left" vertical="center"/>
    </xf>
    <xf numFmtId="0" fontId="147" fillId="0" borderId="0" xfId="2" applyFont="1" applyAlignment="1">
      <alignment horizontal="left" vertical="center"/>
    </xf>
    <xf numFmtId="0" fontId="147" fillId="0" borderId="21" xfId="2" applyFont="1" applyBorder="1" applyAlignment="1">
      <alignment horizontal="left" vertical="center"/>
    </xf>
    <xf numFmtId="0" fontId="147" fillId="42" borderId="33" xfId="2" applyFont="1" applyFill="1" applyBorder="1" applyAlignment="1">
      <alignment horizontal="left" vertical="center"/>
    </xf>
    <xf numFmtId="0" fontId="150" fillId="42" borderId="33" xfId="2" applyFont="1" applyFill="1" applyBorder="1" applyAlignment="1">
      <alignment horizontal="left" vertical="center"/>
    </xf>
    <xf numFmtId="0" fontId="147" fillId="41" borderId="33" xfId="0" applyFont="1" applyFill="1" applyBorder="1" applyAlignment="1">
      <alignment horizontal="left" vertical="center"/>
    </xf>
    <xf numFmtId="0" fontId="148" fillId="41" borderId="33" xfId="0" applyFont="1" applyFill="1" applyBorder="1" applyAlignment="1">
      <alignment horizontal="left" vertical="center"/>
    </xf>
    <xf numFmtId="0" fontId="147" fillId="41" borderId="0" xfId="2" applyFont="1" applyFill="1" applyAlignment="1">
      <alignment horizontal="left" vertical="center"/>
    </xf>
    <xf numFmtId="0" fontId="145" fillId="32" borderId="0" xfId="2" applyFont="1" applyFill="1" applyAlignment="1">
      <alignment horizontal="left" vertical="center"/>
    </xf>
    <xf numFmtId="0" fontId="145" fillId="32" borderId="21" xfId="2" applyFont="1" applyFill="1" applyBorder="1" applyAlignment="1">
      <alignment horizontal="left" vertical="center"/>
    </xf>
    <xf numFmtId="0" fontId="147" fillId="42" borderId="33" xfId="0" applyFont="1" applyFill="1" applyBorder="1" applyAlignment="1">
      <alignment horizontal="left" vertical="center"/>
    </xf>
    <xf numFmtId="0" fontId="148" fillId="42" borderId="33" xfId="0" applyFont="1" applyFill="1" applyBorder="1" applyAlignment="1">
      <alignment horizontal="left" vertical="center"/>
    </xf>
    <xf numFmtId="0" fontId="145" fillId="0" borderId="0" xfId="2" applyFont="1" applyAlignment="1">
      <alignment horizontal="left" vertical="center" indent="3"/>
    </xf>
    <xf numFmtId="0" fontId="145" fillId="0" borderId="21" xfId="2" applyFont="1" applyBorder="1" applyAlignment="1">
      <alignment horizontal="left" vertical="center" indent="3"/>
    </xf>
    <xf numFmtId="0" fontId="143" fillId="52" borderId="53" xfId="0" applyFont="1" applyFill="1" applyBorder="1" applyAlignment="1">
      <alignment horizontal="center" vertical="center"/>
    </xf>
    <xf numFmtId="0" fontId="38" fillId="52" borderId="0" xfId="2" applyFont="1" applyFill="1" applyAlignment="1">
      <alignment horizontal="left" vertical="center"/>
    </xf>
    <xf numFmtId="0" fontId="145" fillId="0" borderId="32" xfId="2" applyFont="1" applyBorder="1" applyAlignment="1">
      <alignment horizontal="left" vertical="center"/>
    </xf>
    <xf numFmtId="0" fontId="154" fillId="53" borderId="0" xfId="0" applyFont="1" applyFill="1" applyAlignment="1">
      <alignment horizontal="center" vertical="center" wrapText="1"/>
    </xf>
    <xf numFmtId="0" fontId="155" fillId="53" borderId="0" xfId="0" applyFont="1" applyFill="1" applyAlignment="1">
      <alignment horizontal="center" vertical="center" wrapText="1"/>
    </xf>
    <xf numFmtId="0" fontId="156" fillId="53" borderId="0" xfId="0" applyFont="1" applyFill="1" applyAlignment="1">
      <alignment horizontal="center" vertical="center" wrapText="1"/>
    </xf>
    <xf numFmtId="0" fontId="127" fillId="30" borderId="54" xfId="3" applyFont="1" applyFill="1" applyBorder="1" applyAlignment="1">
      <alignment horizontal="left" vertical="center"/>
    </xf>
    <xf numFmtId="0" fontId="127" fillId="30" borderId="55" xfId="3" applyFont="1" applyFill="1" applyBorder="1" applyAlignment="1">
      <alignment horizontal="left" vertical="center"/>
    </xf>
    <xf numFmtId="0" fontId="127" fillId="0" borderId="56" xfId="1" applyFont="1" applyBorder="1" applyAlignment="1" applyProtection="1">
      <alignment horizontal="left" vertical="center"/>
      <protection locked="0"/>
    </xf>
    <xf numFmtId="0" fontId="127" fillId="0" borderId="0" xfId="1" applyFont="1" applyAlignment="1" applyProtection="1">
      <alignment horizontal="left" vertical="center"/>
      <protection locked="0"/>
    </xf>
  </cellXfs>
  <cellStyles count="3467">
    <cellStyle name="_x000a_386grabber=M" xfId="307" xr:uid="{00000000-0005-0000-0000-000000000000}"/>
    <cellStyle name="_x000a_386grabber=M 2" xfId="308" xr:uid="{00000000-0005-0000-0000-000001000000}"/>
    <cellStyle name="_x000a_386grabber=M 2 2" xfId="309" xr:uid="{00000000-0005-0000-0000-000002000000}"/>
    <cellStyle name="$   0,000" xfId="310" xr:uid="{00000000-0005-0000-0000-000003000000}"/>
    <cellStyle name="%" xfId="311" xr:uid="{00000000-0005-0000-0000-000004000000}"/>
    <cellStyle name="%0" xfId="312" xr:uid="{00000000-0005-0000-0000-000005000000}"/>
    <cellStyle name="%1" xfId="313" xr:uid="{00000000-0005-0000-0000-000006000000}"/>
    <cellStyle name="%2" xfId="314" xr:uid="{00000000-0005-0000-0000-000007000000}"/>
    <cellStyle name="£ BP" xfId="315" xr:uid="{00000000-0005-0000-0000-000008000000}"/>
    <cellStyle name="¥ JY" xfId="316" xr:uid="{00000000-0005-0000-0000-000009000000}"/>
    <cellStyle name="0" xfId="317" xr:uid="{00000000-0005-0000-0000-00000A000000}"/>
    <cellStyle name="0,000" xfId="318" xr:uid="{00000000-0005-0000-0000-00000B000000}"/>
    <cellStyle name="0.00" xfId="319" xr:uid="{00000000-0005-0000-0000-00000C000000}"/>
    <cellStyle name="0.00%" xfId="320" xr:uid="{00000000-0005-0000-0000-00000D000000}"/>
    <cellStyle name="0.00_CAPEM BY COUNTRY" xfId="321" xr:uid="{00000000-0005-0000-0000-00000E000000}"/>
    <cellStyle name="0.0x" xfId="322" xr:uid="{00000000-0005-0000-0000-00000F000000}"/>
    <cellStyle name="0_Actualisation provision contrat déficitaire SNCM 2010 V Def" xfId="323" xr:uid="{00000000-0005-0000-0000-000010000000}"/>
    <cellStyle name="0_Actualisation provision contrat déficitaire SNCM 2010 V Def_Bridge_Zone_Sud" xfId="324" xr:uid="{00000000-0005-0000-0000-000011000000}"/>
    <cellStyle name="0_Actualisation provision contrat déficitaire SNCM 2011 V3 30 05 2011" xfId="325" xr:uid="{00000000-0005-0000-0000-000012000000}"/>
    <cellStyle name="0_Actualisation provision contrat déficitaire SNCM 2011 V3 30 05 2011_Bridge_Zone_Sud" xfId="326" xr:uid="{00000000-0005-0000-0000-000013000000}"/>
    <cellStyle name="0_Bridge_Zone_Sud" xfId="327" xr:uid="{00000000-0005-0000-0000-000014000000}"/>
    <cellStyle name="0_PPA SNCM - présentation CAC 28 06 2011" xfId="328" xr:uid="{00000000-0005-0000-0000-000015000000}"/>
    <cellStyle name="0_PPA SNCM - présentation CAC 28 06 2011_Bridge_Zone_Sud" xfId="329" xr:uid="{00000000-0005-0000-0000-000016000000}"/>
    <cellStyle name="0_Simul location facturée par Trenitalia" xfId="330" xr:uid="{00000000-0005-0000-0000-000017000000}"/>
    <cellStyle name="20 % - Accent1 2" xfId="331" xr:uid="{00000000-0005-0000-0000-000018000000}"/>
    <cellStyle name="20 % - Accent2 2" xfId="332" xr:uid="{00000000-0005-0000-0000-000019000000}"/>
    <cellStyle name="20 % - Accent2 3" xfId="333" xr:uid="{00000000-0005-0000-0000-00001A000000}"/>
    <cellStyle name="20 % - Accent2 4" xfId="334" xr:uid="{00000000-0005-0000-0000-00001B000000}"/>
    <cellStyle name="20 % - Accent2 5" xfId="335" xr:uid="{00000000-0005-0000-0000-00001C000000}"/>
    <cellStyle name="20 % - Accent2 6" xfId="336" xr:uid="{00000000-0005-0000-0000-00001D000000}"/>
    <cellStyle name="20 % - Accent3 2" xfId="337" xr:uid="{00000000-0005-0000-0000-00001E000000}"/>
    <cellStyle name="20 % - Accent4 2" xfId="338" xr:uid="{00000000-0005-0000-0000-00001F000000}"/>
    <cellStyle name="20 % - Accent5 2" xfId="339" xr:uid="{00000000-0005-0000-0000-000020000000}"/>
    <cellStyle name="20 % - Accent6 2" xfId="340" xr:uid="{00000000-0005-0000-0000-000021000000}"/>
    <cellStyle name="20% - Accent1" xfId="5" xr:uid="{00000000-0005-0000-0000-000022000000}"/>
    <cellStyle name="20% - Accent1 2" xfId="6" xr:uid="{00000000-0005-0000-0000-000023000000}"/>
    <cellStyle name="20% - Accent1 3" xfId="7" xr:uid="{00000000-0005-0000-0000-000024000000}"/>
    <cellStyle name="20% - Accent1 4" xfId="8" xr:uid="{00000000-0005-0000-0000-000025000000}"/>
    <cellStyle name="20% - Accent1 5" xfId="9" xr:uid="{00000000-0005-0000-0000-000026000000}"/>
    <cellStyle name="20% - Accent1_Business Review - Saisie" xfId="10" xr:uid="{00000000-0005-0000-0000-000027000000}"/>
    <cellStyle name="20% - Accent2" xfId="11" xr:uid="{00000000-0005-0000-0000-000028000000}"/>
    <cellStyle name="20% - Accent2 2" xfId="12" xr:uid="{00000000-0005-0000-0000-000029000000}"/>
    <cellStyle name="20% - Accent2 3" xfId="13" xr:uid="{00000000-0005-0000-0000-00002A000000}"/>
    <cellStyle name="20% - Accent2 4" xfId="14" xr:uid="{00000000-0005-0000-0000-00002B000000}"/>
    <cellStyle name="20% - Accent2 5" xfId="15" xr:uid="{00000000-0005-0000-0000-00002C000000}"/>
    <cellStyle name="20% - Accent2_Business Review - Saisie" xfId="16" xr:uid="{00000000-0005-0000-0000-00002D000000}"/>
    <cellStyle name="20% - Accent3" xfId="17" xr:uid="{00000000-0005-0000-0000-00002E000000}"/>
    <cellStyle name="20% - Accent3 2" xfId="18" xr:uid="{00000000-0005-0000-0000-00002F000000}"/>
    <cellStyle name="20% - Accent3 3" xfId="19" xr:uid="{00000000-0005-0000-0000-000030000000}"/>
    <cellStyle name="20% - Accent3 4" xfId="20" xr:uid="{00000000-0005-0000-0000-000031000000}"/>
    <cellStyle name="20% - Accent3 5" xfId="21" xr:uid="{00000000-0005-0000-0000-000032000000}"/>
    <cellStyle name="20% - Accent3_Business Review - Saisie" xfId="22" xr:uid="{00000000-0005-0000-0000-000033000000}"/>
    <cellStyle name="20% - Accent4" xfId="23" xr:uid="{00000000-0005-0000-0000-000034000000}"/>
    <cellStyle name="20% - Accent4 2" xfId="24" xr:uid="{00000000-0005-0000-0000-000035000000}"/>
    <cellStyle name="20% - Accent4 3" xfId="25" xr:uid="{00000000-0005-0000-0000-000036000000}"/>
    <cellStyle name="20% - Accent4 4" xfId="26" xr:uid="{00000000-0005-0000-0000-000037000000}"/>
    <cellStyle name="20% - Accent4 5" xfId="27" xr:uid="{00000000-0005-0000-0000-000038000000}"/>
    <cellStyle name="20% - Accent4_Business Review - Saisie" xfId="28" xr:uid="{00000000-0005-0000-0000-000039000000}"/>
    <cellStyle name="20% - Accent5" xfId="29" xr:uid="{00000000-0005-0000-0000-00003A000000}"/>
    <cellStyle name="20% - Accent5 2" xfId="30" xr:uid="{00000000-0005-0000-0000-00003B000000}"/>
    <cellStyle name="20% - Accent5 3" xfId="31" xr:uid="{00000000-0005-0000-0000-00003C000000}"/>
    <cellStyle name="20% - Accent5 4" xfId="32" xr:uid="{00000000-0005-0000-0000-00003D000000}"/>
    <cellStyle name="20% - Accent5 5" xfId="33" xr:uid="{00000000-0005-0000-0000-00003E000000}"/>
    <cellStyle name="20% - Accent5_Business Review - Saisie" xfId="34" xr:uid="{00000000-0005-0000-0000-00003F000000}"/>
    <cellStyle name="20% - Accent6" xfId="35" xr:uid="{00000000-0005-0000-0000-000040000000}"/>
    <cellStyle name="20% - Accent6 2" xfId="36" xr:uid="{00000000-0005-0000-0000-000041000000}"/>
    <cellStyle name="20% - Accent6 3" xfId="37" xr:uid="{00000000-0005-0000-0000-000042000000}"/>
    <cellStyle name="20% - Accent6 4" xfId="38" xr:uid="{00000000-0005-0000-0000-000043000000}"/>
    <cellStyle name="20% - Accent6 5" xfId="39" xr:uid="{00000000-0005-0000-0000-000044000000}"/>
    <cellStyle name="20% - Accent6_Business Review - Saisie" xfId="40" xr:uid="{00000000-0005-0000-0000-000045000000}"/>
    <cellStyle name="40 % - Accent1 2" xfId="341" xr:uid="{00000000-0005-0000-0000-000046000000}"/>
    <cellStyle name="40 % - Accent2 2" xfId="342" xr:uid="{00000000-0005-0000-0000-000047000000}"/>
    <cellStyle name="40 % - Accent3 2" xfId="343" xr:uid="{00000000-0005-0000-0000-000048000000}"/>
    <cellStyle name="40 % - Accent4 2" xfId="344" xr:uid="{00000000-0005-0000-0000-000049000000}"/>
    <cellStyle name="40 % - Accent5 2" xfId="345" xr:uid="{00000000-0005-0000-0000-00004A000000}"/>
    <cellStyle name="40 % - Accent6 2" xfId="346" xr:uid="{00000000-0005-0000-0000-00004B000000}"/>
    <cellStyle name="40% - Accent1" xfId="41" xr:uid="{00000000-0005-0000-0000-00004C000000}"/>
    <cellStyle name="40% - Accent1 2" xfId="42" xr:uid="{00000000-0005-0000-0000-00004D000000}"/>
    <cellStyle name="40% - Accent1 3" xfId="43" xr:uid="{00000000-0005-0000-0000-00004E000000}"/>
    <cellStyle name="40% - Accent1 4" xfId="44" xr:uid="{00000000-0005-0000-0000-00004F000000}"/>
    <cellStyle name="40% - Accent1 5" xfId="45" xr:uid="{00000000-0005-0000-0000-000050000000}"/>
    <cellStyle name="40% - Accent1_Business Review - Saisie" xfId="46" xr:uid="{00000000-0005-0000-0000-000051000000}"/>
    <cellStyle name="40% - Accent2" xfId="47" xr:uid="{00000000-0005-0000-0000-000052000000}"/>
    <cellStyle name="40% - Accent2 2" xfId="48" xr:uid="{00000000-0005-0000-0000-000053000000}"/>
    <cellStyle name="40% - Accent2 3" xfId="49" xr:uid="{00000000-0005-0000-0000-000054000000}"/>
    <cellStyle name="40% - Accent2 4" xfId="50" xr:uid="{00000000-0005-0000-0000-000055000000}"/>
    <cellStyle name="40% - Accent2 5" xfId="51" xr:uid="{00000000-0005-0000-0000-000056000000}"/>
    <cellStyle name="40% - Accent2_Business Review - Saisie" xfId="52" xr:uid="{00000000-0005-0000-0000-000057000000}"/>
    <cellStyle name="40% - Accent3" xfId="53" xr:uid="{00000000-0005-0000-0000-000058000000}"/>
    <cellStyle name="40% - Accent3 2" xfId="54" xr:uid="{00000000-0005-0000-0000-000059000000}"/>
    <cellStyle name="40% - Accent3 3" xfId="55" xr:uid="{00000000-0005-0000-0000-00005A000000}"/>
    <cellStyle name="40% - Accent3 4" xfId="56" xr:uid="{00000000-0005-0000-0000-00005B000000}"/>
    <cellStyle name="40% - Accent3 5" xfId="57" xr:uid="{00000000-0005-0000-0000-00005C000000}"/>
    <cellStyle name="40% - Accent3_Business Review - Saisie" xfId="58" xr:uid="{00000000-0005-0000-0000-00005D000000}"/>
    <cellStyle name="40% - Accent4" xfId="59" xr:uid="{00000000-0005-0000-0000-00005E000000}"/>
    <cellStyle name="40% - Accent4 2" xfId="60" xr:uid="{00000000-0005-0000-0000-00005F000000}"/>
    <cellStyle name="40% - Accent4 3" xfId="61" xr:uid="{00000000-0005-0000-0000-000060000000}"/>
    <cellStyle name="40% - Accent4 4" xfId="62" xr:uid="{00000000-0005-0000-0000-000061000000}"/>
    <cellStyle name="40% - Accent4 5" xfId="63" xr:uid="{00000000-0005-0000-0000-000062000000}"/>
    <cellStyle name="40% - Accent4_Business Review - Saisie" xfId="64" xr:uid="{00000000-0005-0000-0000-000063000000}"/>
    <cellStyle name="40% - Accent5" xfId="65" xr:uid="{00000000-0005-0000-0000-000064000000}"/>
    <cellStyle name="40% - Accent5 2" xfId="66" xr:uid="{00000000-0005-0000-0000-000065000000}"/>
    <cellStyle name="40% - Accent5 3" xfId="67" xr:uid="{00000000-0005-0000-0000-000066000000}"/>
    <cellStyle name="40% - Accent5 4" xfId="68" xr:uid="{00000000-0005-0000-0000-000067000000}"/>
    <cellStyle name="40% - Accent5 5" xfId="69" xr:uid="{00000000-0005-0000-0000-000068000000}"/>
    <cellStyle name="40% - Accent5_Business Review - Saisie" xfId="70" xr:uid="{00000000-0005-0000-0000-000069000000}"/>
    <cellStyle name="40% - Accent6" xfId="71" xr:uid="{00000000-0005-0000-0000-00006A000000}"/>
    <cellStyle name="40% - Accent6 2" xfId="72" xr:uid="{00000000-0005-0000-0000-00006B000000}"/>
    <cellStyle name="40% - Accent6 3" xfId="73" xr:uid="{00000000-0005-0000-0000-00006C000000}"/>
    <cellStyle name="40% - Accent6 4" xfId="74" xr:uid="{00000000-0005-0000-0000-00006D000000}"/>
    <cellStyle name="40% - Accent6 5" xfId="75" xr:uid="{00000000-0005-0000-0000-00006E000000}"/>
    <cellStyle name="40% - Accent6_Business Review - Saisie" xfId="76" xr:uid="{00000000-0005-0000-0000-00006F000000}"/>
    <cellStyle name="60 % - Accent1 2" xfId="347" xr:uid="{00000000-0005-0000-0000-000070000000}"/>
    <cellStyle name="60 % - Accent2 2" xfId="348" xr:uid="{00000000-0005-0000-0000-000071000000}"/>
    <cellStyle name="60 % - Accent3 2" xfId="349" xr:uid="{00000000-0005-0000-0000-000072000000}"/>
    <cellStyle name="60 % - Accent4 2" xfId="350" xr:uid="{00000000-0005-0000-0000-000073000000}"/>
    <cellStyle name="60 % - Accent5 2" xfId="351" xr:uid="{00000000-0005-0000-0000-000074000000}"/>
    <cellStyle name="60 % - Accent6 2" xfId="352" xr:uid="{00000000-0005-0000-0000-000075000000}"/>
    <cellStyle name="60% - Accent1" xfId="77" xr:uid="{00000000-0005-0000-0000-000076000000}"/>
    <cellStyle name="60% - Accent1 2" xfId="78" xr:uid="{00000000-0005-0000-0000-000077000000}"/>
    <cellStyle name="60% - Accent1 3" xfId="79" xr:uid="{00000000-0005-0000-0000-000078000000}"/>
    <cellStyle name="60% - Accent1 4" xfId="80" xr:uid="{00000000-0005-0000-0000-000079000000}"/>
    <cellStyle name="60% - Accent1 5" xfId="81" xr:uid="{00000000-0005-0000-0000-00007A000000}"/>
    <cellStyle name="60% - Accent1_Business Review - Saisie" xfId="82" xr:uid="{00000000-0005-0000-0000-00007B000000}"/>
    <cellStyle name="60% - Accent2" xfId="83" xr:uid="{00000000-0005-0000-0000-00007C000000}"/>
    <cellStyle name="60% - Accent2 2" xfId="84" xr:uid="{00000000-0005-0000-0000-00007D000000}"/>
    <cellStyle name="60% - Accent2 3" xfId="85" xr:uid="{00000000-0005-0000-0000-00007E000000}"/>
    <cellStyle name="60% - Accent2 4" xfId="86" xr:uid="{00000000-0005-0000-0000-00007F000000}"/>
    <cellStyle name="60% - Accent2 5" xfId="87" xr:uid="{00000000-0005-0000-0000-000080000000}"/>
    <cellStyle name="60% - Accent2_Feuil1" xfId="353" xr:uid="{00000000-0005-0000-0000-000081000000}"/>
    <cellStyle name="60% - Accent3" xfId="88" xr:uid="{00000000-0005-0000-0000-000082000000}"/>
    <cellStyle name="60% - Accent3 2" xfId="89" xr:uid="{00000000-0005-0000-0000-000083000000}"/>
    <cellStyle name="60% - Accent3 3" xfId="90" xr:uid="{00000000-0005-0000-0000-000084000000}"/>
    <cellStyle name="60% - Accent3 4" xfId="91" xr:uid="{00000000-0005-0000-0000-000085000000}"/>
    <cellStyle name="60% - Accent3 5" xfId="92" xr:uid="{00000000-0005-0000-0000-000086000000}"/>
    <cellStyle name="60% - Accent3_Business Review - Saisie" xfId="93" xr:uid="{00000000-0005-0000-0000-000087000000}"/>
    <cellStyle name="60% - Accent4" xfId="94" xr:uid="{00000000-0005-0000-0000-000088000000}"/>
    <cellStyle name="60% - Accent4 2" xfId="95" xr:uid="{00000000-0005-0000-0000-000089000000}"/>
    <cellStyle name="60% - Accent4 3" xfId="96" xr:uid="{00000000-0005-0000-0000-00008A000000}"/>
    <cellStyle name="60% - Accent4 4" xfId="97" xr:uid="{00000000-0005-0000-0000-00008B000000}"/>
    <cellStyle name="60% - Accent4 5" xfId="98" xr:uid="{00000000-0005-0000-0000-00008C000000}"/>
    <cellStyle name="60% - Accent4_Business Review - Saisie" xfId="99" xr:uid="{00000000-0005-0000-0000-00008D000000}"/>
    <cellStyle name="60% - Accent5" xfId="100" xr:uid="{00000000-0005-0000-0000-00008E000000}"/>
    <cellStyle name="60% - Accent5 2" xfId="101" xr:uid="{00000000-0005-0000-0000-00008F000000}"/>
    <cellStyle name="60% - Accent5 3" xfId="102" xr:uid="{00000000-0005-0000-0000-000090000000}"/>
    <cellStyle name="60% - Accent5 4" xfId="103" xr:uid="{00000000-0005-0000-0000-000091000000}"/>
    <cellStyle name="60% - Accent5 5" xfId="104" xr:uid="{00000000-0005-0000-0000-000092000000}"/>
    <cellStyle name="60% - Accent5_Feuil1" xfId="354" xr:uid="{00000000-0005-0000-0000-000093000000}"/>
    <cellStyle name="60% - Accent6" xfId="105" xr:uid="{00000000-0005-0000-0000-000094000000}"/>
    <cellStyle name="60% - Accent6 2" xfId="106" xr:uid="{00000000-0005-0000-0000-000095000000}"/>
    <cellStyle name="60% - Accent6 3" xfId="107" xr:uid="{00000000-0005-0000-0000-000096000000}"/>
    <cellStyle name="60% - Accent6 4" xfId="108" xr:uid="{00000000-0005-0000-0000-000097000000}"/>
    <cellStyle name="60% - Accent6 5" xfId="109" xr:uid="{00000000-0005-0000-0000-000098000000}"/>
    <cellStyle name="60% - Accent6_Business Review - Saisie" xfId="110" xr:uid="{00000000-0005-0000-0000-000099000000}"/>
    <cellStyle name="Accent1 2" xfId="111" xr:uid="{00000000-0005-0000-0000-00009A000000}"/>
    <cellStyle name="Accent1 3" xfId="112" xr:uid="{00000000-0005-0000-0000-00009B000000}"/>
    <cellStyle name="Accent1 4" xfId="113" xr:uid="{00000000-0005-0000-0000-00009C000000}"/>
    <cellStyle name="Accent1 5" xfId="114" xr:uid="{00000000-0005-0000-0000-00009D000000}"/>
    <cellStyle name="Accent1 6" xfId="115" xr:uid="{00000000-0005-0000-0000-00009E000000}"/>
    <cellStyle name="Accent2 2" xfId="116" xr:uid="{00000000-0005-0000-0000-00009F000000}"/>
    <cellStyle name="Accent2 3" xfId="117" xr:uid="{00000000-0005-0000-0000-0000A0000000}"/>
    <cellStyle name="Accent2 4" xfId="118" xr:uid="{00000000-0005-0000-0000-0000A1000000}"/>
    <cellStyle name="Accent2 5" xfId="119" xr:uid="{00000000-0005-0000-0000-0000A2000000}"/>
    <cellStyle name="Accent2 6" xfId="120" xr:uid="{00000000-0005-0000-0000-0000A3000000}"/>
    <cellStyle name="Accent3 2" xfId="121" xr:uid="{00000000-0005-0000-0000-0000A4000000}"/>
    <cellStyle name="Accent3 3" xfId="122" xr:uid="{00000000-0005-0000-0000-0000A5000000}"/>
    <cellStyle name="Accent3 4" xfId="123" xr:uid="{00000000-0005-0000-0000-0000A6000000}"/>
    <cellStyle name="Accent3 5" xfId="124" xr:uid="{00000000-0005-0000-0000-0000A7000000}"/>
    <cellStyle name="Accent3 6" xfId="125" xr:uid="{00000000-0005-0000-0000-0000A8000000}"/>
    <cellStyle name="Accent4 2" xfId="126" xr:uid="{00000000-0005-0000-0000-0000A9000000}"/>
    <cellStyle name="Accent4 3" xfId="127" xr:uid="{00000000-0005-0000-0000-0000AA000000}"/>
    <cellStyle name="Accent4 4" xfId="128" xr:uid="{00000000-0005-0000-0000-0000AB000000}"/>
    <cellStyle name="Accent4 5" xfId="129" xr:uid="{00000000-0005-0000-0000-0000AC000000}"/>
    <cellStyle name="Accent4 6" xfId="130" xr:uid="{00000000-0005-0000-0000-0000AD000000}"/>
    <cellStyle name="Accent5 2" xfId="131" xr:uid="{00000000-0005-0000-0000-0000AE000000}"/>
    <cellStyle name="Accent5 3" xfId="132" xr:uid="{00000000-0005-0000-0000-0000AF000000}"/>
    <cellStyle name="Accent5 4" xfId="133" xr:uid="{00000000-0005-0000-0000-0000B0000000}"/>
    <cellStyle name="Accent5 5" xfId="134" xr:uid="{00000000-0005-0000-0000-0000B1000000}"/>
    <cellStyle name="Accent5 6" xfId="135" xr:uid="{00000000-0005-0000-0000-0000B2000000}"/>
    <cellStyle name="Accent6 2" xfId="136" xr:uid="{00000000-0005-0000-0000-0000B3000000}"/>
    <cellStyle name="Accent6 3" xfId="137" xr:uid="{00000000-0005-0000-0000-0000B4000000}"/>
    <cellStyle name="Accent6 4" xfId="138" xr:uid="{00000000-0005-0000-0000-0000B5000000}"/>
    <cellStyle name="Accent6 5" xfId="139" xr:uid="{00000000-0005-0000-0000-0000B6000000}"/>
    <cellStyle name="Accent6 6" xfId="140" xr:uid="{00000000-0005-0000-0000-0000B7000000}"/>
    <cellStyle name="at" xfId="355" xr:uid="{00000000-0005-0000-0000-0000B8000000}"/>
    <cellStyle name="Avertissement 2" xfId="356" xr:uid="{00000000-0005-0000-0000-0000B9000000}"/>
    <cellStyle name="b" xfId="357" xr:uid="{00000000-0005-0000-0000-0000BA000000}"/>
    <cellStyle name="b%0" xfId="358" xr:uid="{00000000-0005-0000-0000-0000BB000000}"/>
    <cellStyle name="b%1" xfId="359" xr:uid="{00000000-0005-0000-0000-0000BC000000}"/>
    <cellStyle name="b%2" xfId="360" xr:uid="{00000000-0005-0000-0000-0000BD000000}"/>
    <cellStyle name="b_Actualisation provision contrat déficitaire SNCM 2010 V Def" xfId="361" xr:uid="{00000000-0005-0000-0000-0000BE000000}"/>
    <cellStyle name="b_Actualisation provision contrat déficitaire SNCM 2010 V Def_B14_E2_2210" xfId="362" xr:uid="{00000000-0005-0000-0000-0000BF000000}"/>
    <cellStyle name="b_Actualisation provision contrat déficitaire SNCM 2010 V Def_B14_E2_2210_Bridge_Zone_Sud" xfId="363" xr:uid="{00000000-0005-0000-0000-0000C0000000}"/>
    <cellStyle name="b_Actualisation provision contrat déficitaire SNCM 2010 V Def_B14_Frais_Pôles" xfId="364" xr:uid="{00000000-0005-0000-0000-0000C1000000}"/>
    <cellStyle name="b_Actualisation provision contrat déficitaire SNCM 2010 V Def_B14_Frais_Pôles_Bridge_Zone_Sud" xfId="365" xr:uid="{00000000-0005-0000-0000-0000C2000000}"/>
    <cellStyle name="b_Actualisation provision contrat déficitaire SNCM 2010 V Def_Bridge_Zone_Sud" xfId="366" xr:uid="{00000000-0005-0000-0000-0000C3000000}"/>
    <cellStyle name="b_Actualisation provision contrat déficitaire SNCM 2010 V Def_CAPEM BY COUNTRY" xfId="367" xr:uid="{00000000-0005-0000-0000-0000C4000000}"/>
    <cellStyle name="b_Actualisation provision contrat déficitaire SNCM 2010 V Def_focus par entités CAFOPE2AMF" xfId="368" xr:uid="{00000000-0005-0000-0000-0000C5000000}"/>
    <cellStyle name="b_Actualisation provision contrat déficitaire SNCM 2010 V Def_focus par entités CAFOPE2AMF_Bridge_Zone_Sud" xfId="369" xr:uid="{00000000-0005-0000-0000-0000C6000000}"/>
    <cellStyle name="b_Actualisation provision contrat déficitaire SNCM 2010 V Def_Maquette PLT" xfId="370" xr:uid="{00000000-0005-0000-0000-0000C7000000}"/>
    <cellStyle name="b_Actualisation provision contrat déficitaire SNCM 2010 V Def_Output" xfId="3341" xr:uid="{00000000-0005-0000-0000-0000C8000000}"/>
    <cellStyle name="b_Actualisation provision contrat déficitaire SNCM 2010 V Def_PAO-CAF-RESOP_04_13_pro_format_variante T1" xfId="371" xr:uid="{00000000-0005-0000-0000-0000C9000000}"/>
    <cellStyle name="b_Actualisation provision contrat déficitaire SNCM 2010 V Def_PAO-CAF-RESOP_04_13_pro_format_variante T1_Bridge_Zone_Sud" xfId="372" xr:uid="{00000000-0005-0000-0000-0000CA000000}"/>
    <cellStyle name="b_Actualisation provision contrat déficitaire SNCM 2010 V Def_PAO-CAF-RESOP_06_13" xfId="373" xr:uid="{00000000-0005-0000-0000-0000CB000000}"/>
    <cellStyle name="b_Actualisation provision contrat déficitaire SNCM 2010 V Def_PAO-CAF-RESOP_06_13_Bridge_Zone_Sud" xfId="374" xr:uid="{00000000-0005-0000-0000-0000CC000000}"/>
    <cellStyle name="b_Actualisation provision contrat déficitaire SNCM 2010 V Def_PAO-CAF-RESOP_08_13" xfId="375" xr:uid="{00000000-0005-0000-0000-0000CD000000}"/>
    <cellStyle name="b_Actualisation provision contrat déficitaire SNCM 2010 V Def_PAO-CAF-RESOP_08_13_Bridge_Zone_Sud" xfId="376" xr:uid="{00000000-0005-0000-0000-0000CE000000}"/>
    <cellStyle name="b_Actualisation provision contrat déficitaire SNCM 2010 V Def_PAO-CAF-RESOP_09_13" xfId="377" xr:uid="{00000000-0005-0000-0000-0000CF000000}"/>
    <cellStyle name="b_Actualisation provision contrat déficitaire SNCM 2010 V Def_PAO-CAF-RESOP_09_13_Bridge_Zone_Sud" xfId="378" xr:uid="{00000000-0005-0000-0000-0000D0000000}"/>
    <cellStyle name="b_Actualisation provision contrat déficitaire SNCM 2010 V Def_PAO-CAF-RESOP_09_2013_Zone_IDF (version 2)" xfId="379" xr:uid="{00000000-0005-0000-0000-0000D1000000}"/>
    <cellStyle name="b_Actualisation provision contrat déficitaire SNCM 2010 V Def_PAO-CAF-RESOP_10_12" xfId="380" xr:uid="{00000000-0005-0000-0000-0000D2000000}"/>
    <cellStyle name="b_Actualisation provision contrat déficitaire SNCM 2010 V Def_PAO-CAF-RESOP_10_12_Bridge_Zone_Sud" xfId="381" xr:uid="{00000000-0005-0000-0000-0000D3000000}"/>
    <cellStyle name="b_Actualisation provision contrat déficitaire SNCM 2010 V Def_PAO-CAF-RESOP_10_12_focus par entités CAFOP" xfId="382" xr:uid="{00000000-0005-0000-0000-0000D4000000}"/>
    <cellStyle name="b_Actualisation provision contrat déficitaire SNCM 2010 V Def_PAO-CAF-RESOP_10_12_focus par entités CAFOP_Bridge_Zone_Sud" xfId="383" xr:uid="{00000000-0005-0000-0000-0000D5000000}"/>
    <cellStyle name="b_Actualisation provision contrat déficitaire SNCM 2010 V Def_PAO-CAF-RESOP_11_13" xfId="384" xr:uid="{00000000-0005-0000-0000-0000D6000000}"/>
    <cellStyle name="b_Actualisation provision contrat déficitaire SNCM 2010 V Def_PAO-CAF-RESOP_B13" xfId="385" xr:uid="{00000000-0005-0000-0000-0000D7000000}"/>
    <cellStyle name="b_Actualisation provision contrat déficitaire SNCM 2010 V Def_PAO-CAF-RESOP_B13_Bridge_Zone_Sud" xfId="386" xr:uid="{00000000-0005-0000-0000-0000D8000000}"/>
    <cellStyle name="b_Actualisation provision contrat déficitaire SNCM 2010 V Def_PAO-CAF-RESOP_B13_focus par entités CAFOP" xfId="387" xr:uid="{00000000-0005-0000-0000-0000D9000000}"/>
    <cellStyle name="b_Actualisation provision contrat déficitaire SNCM 2010 V Def_PAO-CAF-RESOP_B13_focus par entités CAFOP_Bridge_Zone_Sud" xfId="388" xr:uid="{00000000-0005-0000-0000-0000DA000000}"/>
    <cellStyle name="b_Actualisation provision contrat déficitaire SNCM 2010 V Def_PAO-CAF-RESOP_B2014" xfId="389" xr:uid="{00000000-0005-0000-0000-0000DB000000}"/>
    <cellStyle name="b_Actualisation provision contrat déficitaire SNCM 2010 V Def_PAO-CAF-RESOP_B2014_Bridge_Zone_Sud" xfId="390" xr:uid="{00000000-0005-0000-0000-0000DC000000}"/>
    <cellStyle name="b_Actualisation provision contrat déficitaire SNCM 2010 V Def_PAO-CAF-RESOP_B2014_v2" xfId="391" xr:uid="{00000000-0005-0000-0000-0000DD000000}"/>
    <cellStyle name="b_Actualisation provision contrat déficitaire SNCM 2010 V Def_PAO-CAF-RESOP_E2_13" xfId="392" xr:uid="{00000000-0005-0000-0000-0000DE000000}"/>
    <cellStyle name="b_Actualisation provision contrat déficitaire SNCM 2010 V Def_PAO-CAF-RESOP_E2_13_Bridge_Zone_Sud" xfId="393" xr:uid="{00000000-0005-0000-0000-0000DF000000}"/>
    <cellStyle name="b_Actualisation provision contrat déficitaire SNCM 2010 V Def_PAO-CAF-RESOP_E2_2013_03_10_19H" xfId="394" xr:uid="{00000000-0005-0000-0000-0000E0000000}"/>
    <cellStyle name="b_Actualisation provision contrat déficitaire SNCM 2010 V Def_PAO-CAF-RESOP_E2_2013_03_10_19H_Bridge_Zone_Sud" xfId="395" xr:uid="{00000000-0005-0000-0000-0000E1000000}"/>
    <cellStyle name="b_Actualisation provision contrat déficitaire SNCM 2010 V Def_Synthèse_Présentation_conso_retraitée" xfId="396" xr:uid="{00000000-0005-0000-0000-0000E2000000}"/>
    <cellStyle name="b_Actualisation provision contrat déficitaire SNCM 2011 V3 30 05 2011" xfId="397" xr:uid="{00000000-0005-0000-0000-0000E3000000}"/>
    <cellStyle name="b_Actualisation provision contrat déficitaire SNCM 2011 V3 30 05 2011_B14_E2_2210" xfId="398" xr:uid="{00000000-0005-0000-0000-0000E4000000}"/>
    <cellStyle name="b_Actualisation provision contrat déficitaire SNCM 2011 V3 30 05 2011_B14_E2_2210_Bridge_Zone_Sud" xfId="399" xr:uid="{00000000-0005-0000-0000-0000E5000000}"/>
    <cellStyle name="b_Actualisation provision contrat déficitaire SNCM 2011 V3 30 05 2011_B14_Frais_Pôles" xfId="400" xr:uid="{00000000-0005-0000-0000-0000E6000000}"/>
    <cellStyle name="b_Actualisation provision contrat déficitaire SNCM 2011 V3 30 05 2011_B14_Frais_Pôles_Bridge_Zone_Sud" xfId="401" xr:uid="{00000000-0005-0000-0000-0000E7000000}"/>
    <cellStyle name="b_Actualisation provision contrat déficitaire SNCM 2011 V3 30 05 2011_Bridge_Zone_Sud" xfId="402" xr:uid="{00000000-0005-0000-0000-0000E8000000}"/>
    <cellStyle name="b_Actualisation provision contrat déficitaire SNCM 2011 V3 30 05 2011_CAPEM BY COUNTRY" xfId="403" xr:uid="{00000000-0005-0000-0000-0000E9000000}"/>
    <cellStyle name="b_Actualisation provision contrat déficitaire SNCM 2011 V3 30 05 2011_focus par entités CAFOPE2AMF" xfId="404" xr:uid="{00000000-0005-0000-0000-0000EA000000}"/>
    <cellStyle name="b_Actualisation provision contrat déficitaire SNCM 2011 V3 30 05 2011_focus par entités CAFOPE2AMF_Bridge_Zone_Sud" xfId="405" xr:uid="{00000000-0005-0000-0000-0000EB000000}"/>
    <cellStyle name="b_Actualisation provision contrat déficitaire SNCM 2011 V3 30 05 2011_Maquette PLT" xfId="406" xr:uid="{00000000-0005-0000-0000-0000EC000000}"/>
    <cellStyle name="b_Actualisation provision contrat déficitaire SNCM 2011 V3 30 05 2011_Output" xfId="3342" xr:uid="{00000000-0005-0000-0000-0000ED000000}"/>
    <cellStyle name="b_Actualisation provision contrat déficitaire SNCM 2011 V3 30 05 2011_PAO-CAF-RESOP_04_13_pro_format_variante T1" xfId="407" xr:uid="{00000000-0005-0000-0000-0000EE000000}"/>
    <cellStyle name="b_Actualisation provision contrat déficitaire SNCM 2011 V3 30 05 2011_PAO-CAF-RESOP_04_13_pro_format_variante T1_Bridge_Zone_Sud" xfId="408" xr:uid="{00000000-0005-0000-0000-0000EF000000}"/>
    <cellStyle name="b_Actualisation provision contrat déficitaire SNCM 2011 V3 30 05 2011_PAO-CAF-RESOP_06_13" xfId="409" xr:uid="{00000000-0005-0000-0000-0000F0000000}"/>
    <cellStyle name="b_Actualisation provision contrat déficitaire SNCM 2011 V3 30 05 2011_PAO-CAF-RESOP_06_13_Bridge_Zone_Sud" xfId="410" xr:uid="{00000000-0005-0000-0000-0000F1000000}"/>
    <cellStyle name="b_Actualisation provision contrat déficitaire SNCM 2011 V3 30 05 2011_PAO-CAF-RESOP_08_13" xfId="411" xr:uid="{00000000-0005-0000-0000-0000F2000000}"/>
    <cellStyle name="b_Actualisation provision contrat déficitaire SNCM 2011 V3 30 05 2011_PAO-CAF-RESOP_08_13_Bridge_Zone_Sud" xfId="412" xr:uid="{00000000-0005-0000-0000-0000F3000000}"/>
    <cellStyle name="b_Actualisation provision contrat déficitaire SNCM 2011 V3 30 05 2011_PAO-CAF-RESOP_09_13" xfId="413" xr:uid="{00000000-0005-0000-0000-0000F4000000}"/>
    <cellStyle name="b_Actualisation provision contrat déficitaire SNCM 2011 V3 30 05 2011_PAO-CAF-RESOP_09_13_Bridge_Zone_Sud" xfId="414" xr:uid="{00000000-0005-0000-0000-0000F5000000}"/>
    <cellStyle name="b_Actualisation provision contrat déficitaire SNCM 2011 V3 30 05 2011_PAO-CAF-RESOP_09_2013_Zone_IDF (version 2)" xfId="415" xr:uid="{00000000-0005-0000-0000-0000F6000000}"/>
    <cellStyle name="b_Actualisation provision contrat déficitaire SNCM 2011 V3 30 05 2011_PAO-CAF-RESOP_10_12" xfId="416" xr:uid="{00000000-0005-0000-0000-0000F7000000}"/>
    <cellStyle name="b_Actualisation provision contrat déficitaire SNCM 2011 V3 30 05 2011_PAO-CAF-RESOP_10_12_Bridge_Zone_Sud" xfId="417" xr:uid="{00000000-0005-0000-0000-0000F8000000}"/>
    <cellStyle name="b_Actualisation provision contrat déficitaire SNCM 2011 V3 30 05 2011_PAO-CAF-RESOP_10_12_focus par entités CAFOP" xfId="418" xr:uid="{00000000-0005-0000-0000-0000F9000000}"/>
    <cellStyle name="b_Actualisation provision contrat déficitaire SNCM 2011 V3 30 05 2011_PAO-CAF-RESOP_10_12_focus par entités CAFOP_Bridge_Zone_Sud" xfId="419" xr:uid="{00000000-0005-0000-0000-0000FA000000}"/>
    <cellStyle name="b_Actualisation provision contrat déficitaire SNCM 2011 V3 30 05 2011_PAO-CAF-RESOP_11_13" xfId="420" xr:uid="{00000000-0005-0000-0000-0000FB000000}"/>
    <cellStyle name="b_Actualisation provision contrat déficitaire SNCM 2011 V3 30 05 2011_PAO-CAF-RESOP_B13" xfId="421" xr:uid="{00000000-0005-0000-0000-0000FC000000}"/>
    <cellStyle name="b_Actualisation provision contrat déficitaire SNCM 2011 V3 30 05 2011_PAO-CAF-RESOP_B13_Bridge_Zone_Sud" xfId="422" xr:uid="{00000000-0005-0000-0000-0000FD000000}"/>
    <cellStyle name="b_Actualisation provision contrat déficitaire SNCM 2011 V3 30 05 2011_PAO-CAF-RESOP_B13_focus par entités CAFOP" xfId="423" xr:uid="{00000000-0005-0000-0000-0000FE000000}"/>
    <cellStyle name="b_Actualisation provision contrat déficitaire SNCM 2011 V3 30 05 2011_PAO-CAF-RESOP_B13_focus par entités CAFOP_Bridge_Zone_Sud" xfId="424" xr:uid="{00000000-0005-0000-0000-0000FF000000}"/>
    <cellStyle name="b_Actualisation provision contrat déficitaire SNCM 2011 V3 30 05 2011_PAO-CAF-RESOP_B2014" xfId="425" xr:uid="{00000000-0005-0000-0000-000000010000}"/>
    <cellStyle name="b_Actualisation provision contrat déficitaire SNCM 2011 V3 30 05 2011_PAO-CAF-RESOP_B2014_Bridge_Zone_Sud" xfId="426" xr:uid="{00000000-0005-0000-0000-000001010000}"/>
    <cellStyle name="b_Actualisation provision contrat déficitaire SNCM 2011 V3 30 05 2011_PAO-CAF-RESOP_B2014_v2" xfId="427" xr:uid="{00000000-0005-0000-0000-000002010000}"/>
    <cellStyle name="b_Actualisation provision contrat déficitaire SNCM 2011 V3 30 05 2011_PAO-CAF-RESOP_E2_13" xfId="428" xr:uid="{00000000-0005-0000-0000-000003010000}"/>
    <cellStyle name="b_Actualisation provision contrat déficitaire SNCM 2011 V3 30 05 2011_PAO-CAF-RESOP_E2_13_Bridge_Zone_Sud" xfId="429" xr:uid="{00000000-0005-0000-0000-000004010000}"/>
    <cellStyle name="b_Actualisation provision contrat déficitaire SNCM 2011 V3 30 05 2011_PAO-CAF-RESOP_E2_2013_03_10_19H" xfId="430" xr:uid="{00000000-0005-0000-0000-000005010000}"/>
    <cellStyle name="b_Actualisation provision contrat déficitaire SNCM 2011 V3 30 05 2011_PAO-CAF-RESOP_E2_2013_03_10_19H_Bridge_Zone_Sud" xfId="431" xr:uid="{00000000-0005-0000-0000-000006010000}"/>
    <cellStyle name="b_Actualisation provision contrat déficitaire SNCM 2011 V3 30 05 2011_Synthèse_Présentation_conso_retraitée" xfId="432" xr:uid="{00000000-0005-0000-0000-000007010000}"/>
    <cellStyle name="b_BFR_TD_2014.02" xfId="433" xr:uid="{00000000-0005-0000-0000-000008010000}"/>
    <cellStyle name="b_Bridge_Zone_Nord" xfId="434" xr:uid="{00000000-0005-0000-0000-000009010000}"/>
    <cellStyle name="b_CAPEM BY COUNTRY" xfId="435" xr:uid="{00000000-0005-0000-0000-00000A010000}"/>
    <cellStyle name="b_LI819L_B13" xfId="436" xr:uid="{00000000-0005-0000-0000-00000B010000}"/>
    <cellStyle name="b_LI819L_B13_CAPEM BY COUNTRY" xfId="437" xr:uid="{00000000-0005-0000-0000-00000C010000}"/>
    <cellStyle name="b_LI819L_B13_Maquette PLT" xfId="438" xr:uid="{00000000-0005-0000-0000-00000D010000}"/>
    <cellStyle name="b_LI819L_B13_Output" xfId="3343" xr:uid="{00000000-0005-0000-0000-00000E010000}"/>
    <cellStyle name="b_Maquette PLT" xfId="439" xr:uid="{00000000-0005-0000-0000-00000F010000}"/>
    <cellStyle name="b_Output" xfId="3340" xr:uid="{00000000-0005-0000-0000-000010010000}"/>
    <cellStyle name="b_PAO-CAF-RESOP_14_01_13 à 20h" xfId="440" xr:uid="{00000000-0005-0000-0000-000011010000}"/>
    <cellStyle name="b_PAO-CAF-RESOP_14_01_13 à 20h_CAPEM BY COUNTRY" xfId="441" xr:uid="{00000000-0005-0000-0000-000012010000}"/>
    <cellStyle name="b_PAO-CAF-RESOP_14_01_13 à 20h_Maquette PLT" xfId="442" xr:uid="{00000000-0005-0000-0000-000013010000}"/>
    <cellStyle name="b_PAO-CAF-RESOP_14_01_13 à 20h_Output" xfId="3344" xr:uid="{00000000-0005-0000-0000-000014010000}"/>
    <cellStyle name="b_PAO-CAF-RESOP_2014.02" xfId="443" xr:uid="{00000000-0005-0000-0000-000015010000}"/>
    <cellStyle name="b_PAO-CAF-RESOP_2014.02_Bridge_Zone_Sud" xfId="444" xr:uid="{00000000-0005-0000-0000-000016010000}"/>
    <cellStyle name="b0" xfId="445" xr:uid="{00000000-0005-0000-0000-000017010000}"/>
    <cellStyle name="b09" xfId="446" xr:uid="{00000000-0005-0000-0000-000018010000}"/>
    <cellStyle name="b1" xfId="447" xr:uid="{00000000-0005-0000-0000-000019010000}"/>
    <cellStyle name="b2" xfId="448" xr:uid="{00000000-0005-0000-0000-00001A010000}"/>
    <cellStyle name="Bad" xfId="141" xr:uid="{00000000-0005-0000-0000-00001B010000}"/>
    <cellStyle name="Bad 2" xfId="142" xr:uid="{00000000-0005-0000-0000-00001C010000}"/>
    <cellStyle name="Bad 3" xfId="143" xr:uid="{00000000-0005-0000-0000-00001D010000}"/>
    <cellStyle name="Bad 4" xfId="144" xr:uid="{00000000-0005-0000-0000-00001E010000}"/>
    <cellStyle name="Bad 5" xfId="145" xr:uid="{00000000-0005-0000-0000-00001F010000}"/>
    <cellStyle name="Bad 6" xfId="146" xr:uid="{00000000-0005-0000-0000-000020010000}"/>
    <cellStyle name="Bad_Decote croissance organique" xfId="449" xr:uid="{00000000-0005-0000-0000-000021010000}"/>
    <cellStyle name="Black" xfId="450" xr:uid="{00000000-0005-0000-0000-000022010000}"/>
    <cellStyle name="blp_column_header" xfId="451" xr:uid="{00000000-0005-0000-0000-000023010000}"/>
    <cellStyle name="blue" xfId="452" xr:uid="{00000000-0005-0000-0000-000024010000}"/>
    <cellStyle name="bo" xfId="453" xr:uid="{00000000-0005-0000-0000-000025010000}"/>
    <cellStyle name="Bold/Border" xfId="454" xr:uid="{00000000-0005-0000-0000-000026010000}"/>
    <cellStyle name="Bottom" xfId="455" xr:uid="{00000000-0005-0000-0000-000027010000}"/>
    <cellStyle name="bout" xfId="456" xr:uid="{00000000-0005-0000-0000-000028010000}"/>
    <cellStyle name="bt" xfId="457" xr:uid="{00000000-0005-0000-0000-000029010000}"/>
    <cellStyle name="btit" xfId="458" xr:uid="{00000000-0005-0000-0000-00002A010000}"/>
    <cellStyle name="budget" xfId="459" xr:uid="{00000000-0005-0000-0000-00002B010000}"/>
    <cellStyle name="budget1" xfId="460" xr:uid="{00000000-0005-0000-0000-00002C010000}"/>
    <cellStyle name="Bullet" xfId="461" xr:uid="{00000000-0005-0000-0000-00002D010000}"/>
    <cellStyle name="c" xfId="462" xr:uid="{00000000-0005-0000-0000-00002E010000}"/>
    <cellStyle name="c_Actualisation provision contrat déficitaire SNCM 2010 V Def" xfId="463" xr:uid="{00000000-0005-0000-0000-00002F010000}"/>
    <cellStyle name="c_Actualisation provision contrat déficitaire SNCM 2010 V Def_B14_E2_2210" xfId="464" xr:uid="{00000000-0005-0000-0000-000030010000}"/>
    <cellStyle name="c_Actualisation provision contrat déficitaire SNCM 2010 V Def_B14_E2_2210_Bridge_Zone_Sud" xfId="465" xr:uid="{00000000-0005-0000-0000-000031010000}"/>
    <cellStyle name="c_Actualisation provision contrat déficitaire SNCM 2010 V Def_B14_Frais_Pôles" xfId="466" xr:uid="{00000000-0005-0000-0000-000032010000}"/>
    <cellStyle name="c_Actualisation provision contrat déficitaire SNCM 2010 V Def_B14_Frais_Pôles_Bridge_Zone_Sud" xfId="467" xr:uid="{00000000-0005-0000-0000-000033010000}"/>
    <cellStyle name="c_Actualisation provision contrat déficitaire SNCM 2010 V Def_Bridge_Zone_Sud" xfId="468" xr:uid="{00000000-0005-0000-0000-000034010000}"/>
    <cellStyle name="c_Actualisation provision contrat déficitaire SNCM 2010 V Def_CAPEM BY COUNTRY" xfId="469" xr:uid="{00000000-0005-0000-0000-000035010000}"/>
    <cellStyle name="c_Actualisation provision contrat déficitaire SNCM 2010 V Def_focus par entités CAFOPE2AMF" xfId="470" xr:uid="{00000000-0005-0000-0000-000036010000}"/>
    <cellStyle name="c_Actualisation provision contrat déficitaire SNCM 2010 V Def_focus par entités CAFOPE2AMF_Bridge_Zone_Sud" xfId="471" xr:uid="{00000000-0005-0000-0000-000037010000}"/>
    <cellStyle name="c_Actualisation provision contrat déficitaire SNCM 2010 V Def_Maquette PLT" xfId="472" xr:uid="{00000000-0005-0000-0000-000038010000}"/>
    <cellStyle name="c_Actualisation provision contrat déficitaire SNCM 2010 V Def_Output" xfId="3346" xr:uid="{00000000-0005-0000-0000-000039010000}"/>
    <cellStyle name="c_Actualisation provision contrat déficitaire SNCM 2010 V Def_PAO-CAF-RESOP_04_13_pro_format_variante T1" xfId="473" xr:uid="{00000000-0005-0000-0000-00003A010000}"/>
    <cellStyle name="c_Actualisation provision contrat déficitaire SNCM 2010 V Def_PAO-CAF-RESOP_04_13_pro_format_variante T1_Bridge_Zone_Sud" xfId="474" xr:uid="{00000000-0005-0000-0000-00003B010000}"/>
    <cellStyle name="c_Actualisation provision contrat déficitaire SNCM 2010 V Def_PAO-CAF-RESOP_06_13" xfId="475" xr:uid="{00000000-0005-0000-0000-00003C010000}"/>
    <cellStyle name="c_Actualisation provision contrat déficitaire SNCM 2010 V Def_PAO-CAF-RESOP_06_13_Bridge_Zone_Sud" xfId="476" xr:uid="{00000000-0005-0000-0000-00003D010000}"/>
    <cellStyle name="c_Actualisation provision contrat déficitaire SNCM 2010 V Def_PAO-CAF-RESOP_08_13" xfId="477" xr:uid="{00000000-0005-0000-0000-00003E010000}"/>
    <cellStyle name="c_Actualisation provision contrat déficitaire SNCM 2010 V Def_PAO-CAF-RESOP_08_13_Bridge_Zone_Sud" xfId="478" xr:uid="{00000000-0005-0000-0000-00003F010000}"/>
    <cellStyle name="c_Actualisation provision contrat déficitaire SNCM 2010 V Def_PAO-CAF-RESOP_09_13" xfId="479" xr:uid="{00000000-0005-0000-0000-000040010000}"/>
    <cellStyle name="c_Actualisation provision contrat déficitaire SNCM 2010 V Def_PAO-CAF-RESOP_09_13_Bridge_Zone_Sud" xfId="480" xr:uid="{00000000-0005-0000-0000-000041010000}"/>
    <cellStyle name="c_Actualisation provision contrat déficitaire SNCM 2010 V Def_PAO-CAF-RESOP_09_2013_Zone_IDF (version 2)" xfId="481" xr:uid="{00000000-0005-0000-0000-000042010000}"/>
    <cellStyle name="c_Actualisation provision contrat déficitaire SNCM 2010 V Def_PAO-CAF-RESOP_10_12" xfId="482" xr:uid="{00000000-0005-0000-0000-000043010000}"/>
    <cellStyle name="c_Actualisation provision contrat déficitaire SNCM 2010 V Def_PAO-CAF-RESOP_10_12_Bridge_Zone_Sud" xfId="483" xr:uid="{00000000-0005-0000-0000-000044010000}"/>
    <cellStyle name="c_Actualisation provision contrat déficitaire SNCM 2010 V Def_PAO-CAF-RESOP_10_12_focus par entités CAFOP" xfId="484" xr:uid="{00000000-0005-0000-0000-000045010000}"/>
    <cellStyle name="c_Actualisation provision contrat déficitaire SNCM 2010 V Def_PAO-CAF-RESOP_10_12_focus par entités CAFOP_Bridge_Zone_Sud" xfId="485" xr:uid="{00000000-0005-0000-0000-000046010000}"/>
    <cellStyle name="c_Actualisation provision contrat déficitaire SNCM 2010 V Def_PAO-CAF-RESOP_11_13" xfId="486" xr:uid="{00000000-0005-0000-0000-000047010000}"/>
    <cellStyle name="c_Actualisation provision contrat déficitaire SNCM 2010 V Def_PAO-CAF-RESOP_B13" xfId="487" xr:uid="{00000000-0005-0000-0000-000048010000}"/>
    <cellStyle name="c_Actualisation provision contrat déficitaire SNCM 2010 V Def_PAO-CAF-RESOP_B13_Bridge_Zone_Sud" xfId="488" xr:uid="{00000000-0005-0000-0000-000049010000}"/>
    <cellStyle name="c_Actualisation provision contrat déficitaire SNCM 2010 V Def_PAO-CAF-RESOP_B13_focus par entités CAFOP" xfId="489" xr:uid="{00000000-0005-0000-0000-00004A010000}"/>
    <cellStyle name="c_Actualisation provision contrat déficitaire SNCM 2010 V Def_PAO-CAF-RESOP_B13_focus par entités CAFOP_Bridge_Zone_Sud" xfId="490" xr:uid="{00000000-0005-0000-0000-00004B010000}"/>
    <cellStyle name="c_Actualisation provision contrat déficitaire SNCM 2010 V Def_PAO-CAF-RESOP_B2014" xfId="491" xr:uid="{00000000-0005-0000-0000-00004C010000}"/>
    <cellStyle name="c_Actualisation provision contrat déficitaire SNCM 2010 V Def_PAO-CAF-RESOP_B2014_Bridge_Zone_Sud" xfId="492" xr:uid="{00000000-0005-0000-0000-00004D010000}"/>
    <cellStyle name="c_Actualisation provision contrat déficitaire SNCM 2010 V Def_PAO-CAF-RESOP_B2014_v2" xfId="493" xr:uid="{00000000-0005-0000-0000-00004E010000}"/>
    <cellStyle name="c_Actualisation provision contrat déficitaire SNCM 2010 V Def_PAO-CAF-RESOP_E2_13" xfId="494" xr:uid="{00000000-0005-0000-0000-00004F010000}"/>
    <cellStyle name="c_Actualisation provision contrat déficitaire SNCM 2010 V Def_PAO-CAF-RESOP_E2_13_Bridge_Zone_Sud" xfId="495" xr:uid="{00000000-0005-0000-0000-000050010000}"/>
    <cellStyle name="c_Actualisation provision contrat déficitaire SNCM 2010 V Def_PAO-CAF-RESOP_E2_2013_03_10_19H" xfId="496" xr:uid="{00000000-0005-0000-0000-000051010000}"/>
    <cellStyle name="c_Actualisation provision contrat déficitaire SNCM 2010 V Def_PAO-CAF-RESOP_E2_2013_03_10_19H_Bridge_Zone_Sud" xfId="497" xr:uid="{00000000-0005-0000-0000-000052010000}"/>
    <cellStyle name="c_Actualisation provision contrat déficitaire SNCM 2010 V Def_Synthèse_Présentation_conso_retraitée" xfId="498" xr:uid="{00000000-0005-0000-0000-000053010000}"/>
    <cellStyle name="c_Actualisation provision contrat déficitaire SNCM 2011 V3 30 05 2011" xfId="499" xr:uid="{00000000-0005-0000-0000-000054010000}"/>
    <cellStyle name="c_Actualisation provision contrat déficitaire SNCM 2011 V3 30 05 2011_B14_E2_2210" xfId="500" xr:uid="{00000000-0005-0000-0000-000055010000}"/>
    <cellStyle name="c_Actualisation provision contrat déficitaire SNCM 2011 V3 30 05 2011_B14_E2_2210_Bridge_Zone_Sud" xfId="501" xr:uid="{00000000-0005-0000-0000-000056010000}"/>
    <cellStyle name="c_Actualisation provision contrat déficitaire SNCM 2011 V3 30 05 2011_Bridge_Zone_Sud" xfId="502" xr:uid="{00000000-0005-0000-0000-000057010000}"/>
    <cellStyle name="c_Actualisation provision contrat déficitaire SNCM 2011 V3 30 05 2011_CAPEM BY COUNTRY" xfId="503" xr:uid="{00000000-0005-0000-0000-000058010000}"/>
    <cellStyle name="c_Actualisation provision contrat déficitaire SNCM 2011 V3 30 05 2011_focus par entités CAFOPE2AMF" xfId="504" xr:uid="{00000000-0005-0000-0000-000059010000}"/>
    <cellStyle name="c_Actualisation provision contrat déficitaire SNCM 2011 V3 30 05 2011_focus par entités CAFOPE2AMF_Bridge_Zone_Sud" xfId="505" xr:uid="{00000000-0005-0000-0000-00005A010000}"/>
    <cellStyle name="c_Actualisation provision contrat déficitaire SNCM 2011 V3 30 05 2011_Maquette PLT" xfId="506" xr:uid="{00000000-0005-0000-0000-00005B010000}"/>
    <cellStyle name="c_Actualisation provision contrat déficitaire SNCM 2011 V3 30 05 2011_Output" xfId="3347" xr:uid="{00000000-0005-0000-0000-00005C010000}"/>
    <cellStyle name="c_Actualisation provision contrat déficitaire SNCM 2011 V3 30 05 2011_PAO-CAF-RESOP_04_13_pro_format_variante T1" xfId="507" xr:uid="{00000000-0005-0000-0000-00005D010000}"/>
    <cellStyle name="c_Actualisation provision contrat déficitaire SNCM 2011 V3 30 05 2011_PAO-CAF-RESOP_04_13_pro_format_variante T1_Bridge_Zone_Sud" xfId="508" xr:uid="{00000000-0005-0000-0000-00005E010000}"/>
    <cellStyle name="c_Actualisation provision contrat déficitaire SNCM 2011 V3 30 05 2011_PAO-CAF-RESOP_06_13" xfId="509" xr:uid="{00000000-0005-0000-0000-00005F010000}"/>
    <cellStyle name="c_Actualisation provision contrat déficitaire SNCM 2011 V3 30 05 2011_PAO-CAF-RESOP_06_13_Bridge_Zone_Sud" xfId="510" xr:uid="{00000000-0005-0000-0000-000060010000}"/>
    <cellStyle name="c_Actualisation provision contrat déficitaire SNCM 2011 V3 30 05 2011_PAO-CAF-RESOP_08_13" xfId="511" xr:uid="{00000000-0005-0000-0000-000061010000}"/>
    <cellStyle name="c_Actualisation provision contrat déficitaire SNCM 2011 V3 30 05 2011_PAO-CAF-RESOP_08_13_Bridge_Zone_Sud" xfId="512" xr:uid="{00000000-0005-0000-0000-000062010000}"/>
    <cellStyle name="c_Actualisation provision contrat déficitaire SNCM 2011 V3 30 05 2011_PAO-CAF-RESOP_09_13" xfId="513" xr:uid="{00000000-0005-0000-0000-000063010000}"/>
    <cellStyle name="c_Actualisation provision contrat déficitaire SNCM 2011 V3 30 05 2011_PAO-CAF-RESOP_09_13_Bridge_Zone_Sud" xfId="514" xr:uid="{00000000-0005-0000-0000-000064010000}"/>
    <cellStyle name="c_Actualisation provision contrat déficitaire SNCM 2011 V3 30 05 2011_PAO-CAF-RESOP_09_2013_Zone_IDF (version 2)" xfId="515" xr:uid="{00000000-0005-0000-0000-000065010000}"/>
    <cellStyle name="c_Actualisation provision contrat déficitaire SNCM 2011 V3 30 05 2011_PAO-CAF-RESOP_10_12" xfId="516" xr:uid="{00000000-0005-0000-0000-000066010000}"/>
    <cellStyle name="c_Actualisation provision contrat déficitaire SNCM 2011 V3 30 05 2011_PAO-CAF-RESOP_10_12_Bridge_Zone_Sud" xfId="517" xr:uid="{00000000-0005-0000-0000-000067010000}"/>
    <cellStyle name="c_Actualisation provision contrat déficitaire SNCM 2011 V3 30 05 2011_PAO-CAF-RESOP_10_12_focus par entités CAFOP" xfId="518" xr:uid="{00000000-0005-0000-0000-000068010000}"/>
    <cellStyle name="c_Actualisation provision contrat déficitaire SNCM 2011 V3 30 05 2011_PAO-CAF-RESOP_10_12_focus par entités CAFOP_Bridge_Zone_Sud" xfId="519" xr:uid="{00000000-0005-0000-0000-000069010000}"/>
    <cellStyle name="c_Actualisation provision contrat déficitaire SNCM 2011 V3 30 05 2011_PAO-CAF-RESOP_11_13" xfId="520" xr:uid="{00000000-0005-0000-0000-00006A010000}"/>
    <cellStyle name="c_Actualisation provision contrat déficitaire SNCM 2011 V3 30 05 2011_PAO-CAF-RESOP_B13" xfId="521" xr:uid="{00000000-0005-0000-0000-00006B010000}"/>
    <cellStyle name="c_Actualisation provision contrat déficitaire SNCM 2011 V3 30 05 2011_PAO-CAF-RESOP_B13_Bridge_Zone_Sud" xfId="522" xr:uid="{00000000-0005-0000-0000-00006C010000}"/>
    <cellStyle name="c_Actualisation provision contrat déficitaire SNCM 2011 V3 30 05 2011_PAO-CAF-RESOP_B13_focus par entités CAFOP" xfId="523" xr:uid="{00000000-0005-0000-0000-00006D010000}"/>
    <cellStyle name="c_Actualisation provision contrat déficitaire SNCM 2011 V3 30 05 2011_PAO-CAF-RESOP_B13_focus par entités CAFOP_Bridge_Zone_Sud" xfId="524" xr:uid="{00000000-0005-0000-0000-00006E010000}"/>
    <cellStyle name="c_Actualisation provision contrat déficitaire SNCM 2011 V3 30 05 2011_PAO-CAF-RESOP_B2014" xfId="525" xr:uid="{00000000-0005-0000-0000-00006F010000}"/>
    <cellStyle name="c_Actualisation provision contrat déficitaire SNCM 2011 V3 30 05 2011_PAO-CAF-RESOP_B2014_Bridge_Zone_Sud" xfId="526" xr:uid="{00000000-0005-0000-0000-000070010000}"/>
    <cellStyle name="c_Actualisation provision contrat déficitaire SNCM 2011 V3 30 05 2011_PAO-CAF-RESOP_B2014_v2" xfId="527" xr:uid="{00000000-0005-0000-0000-000071010000}"/>
    <cellStyle name="c_Actualisation provision contrat déficitaire SNCM 2011 V3 30 05 2011_PAO-CAF-RESOP_E2_13" xfId="528" xr:uid="{00000000-0005-0000-0000-000072010000}"/>
    <cellStyle name="c_Actualisation provision contrat déficitaire SNCM 2011 V3 30 05 2011_PAO-CAF-RESOP_E2_13_Bridge_Zone_Sud" xfId="529" xr:uid="{00000000-0005-0000-0000-000073010000}"/>
    <cellStyle name="c_Actualisation provision contrat déficitaire SNCM 2011 V3 30 05 2011_PAO-CAF-RESOP_E2_2013_03_10_19H" xfId="530" xr:uid="{00000000-0005-0000-0000-000074010000}"/>
    <cellStyle name="c_Actualisation provision contrat déficitaire SNCM 2011 V3 30 05 2011_PAO-CAF-RESOP_E2_2013_03_10_19H_Bridge_Zone_Sud" xfId="531" xr:uid="{00000000-0005-0000-0000-000075010000}"/>
    <cellStyle name="c_Actualisation provision contrat déficitaire SNCM 2011 V3 30 05 2011_Synthèse_Présentation_conso_retraitée" xfId="532" xr:uid="{00000000-0005-0000-0000-000076010000}"/>
    <cellStyle name="c_BFR_TD_2014.02" xfId="533" xr:uid="{00000000-0005-0000-0000-000077010000}"/>
    <cellStyle name="c_Bridge_Zone_Nord" xfId="534" xr:uid="{00000000-0005-0000-0000-000078010000}"/>
    <cellStyle name="c_CAPEM BY COUNTRY" xfId="535" xr:uid="{00000000-0005-0000-0000-000079010000}"/>
    <cellStyle name="c_Grouse+Pelican" xfId="536" xr:uid="{00000000-0005-0000-0000-00007A010000}"/>
    <cellStyle name="c_Grouse+Pelican_CAPEM BY COUNTRY" xfId="537" xr:uid="{00000000-0005-0000-0000-00007B010000}"/>
    <cellStyle name="c_Grouse+Pelican_Maquette PLT" xfId="538" xr:uid="{00000000-0005-0000-0000-00007C010000}"/>
    <cellStyle name="c_Grouse+Pelican_Output" xfId="3348" xr:uid="{00000000-0005-0000-0000-00007D010000}"/>
    <cellStyle name="c_LI819L_B13" xfId="539" xr:uid="{00000000-0005-0000-0000-00007E010000}"/>
    <cellStyle name="c_LI819L_B13_CAPEM BY COUNTRY" xfId="540" xr:uid="{00000000-0005-0000-0000-00007F010000}"/>
    <cellStyle name="c_LI819L_B13_Maquette PLT" xfId="541" xr:uid="{00000000-0005-0000-0000-000080010000}"/>
    <cellStyle name="c_LI819L_B13_Output" xfId="3349" xr:uid="{00000000-0005-0000-0000-000081010000}"/>
    <cellStyle name="c_Macros" xfId="542" xr:uid="{00000000-0005-0000-0000-000082010000}"/>
    <cellStyle name="c_Macros (2)" xfId="543" xr:uid="{00000000-0005-0000-0000-000083010000}"/>
    <cellStyle name="c_Macros (2)_Actualisation provision contrat déficitaire SNCM 2010 V Def" xfId="544" xr:uid="{00000000-0005-0000-0000-000084010000}"/>
    <cellStyle name="c_Macros (2)_Actualisation provision contrat déficitaire SNCM 2010 V Def_B14_E2_2210" xfId="545" xr:uid="{00000000-0005-0000-0000-000085010000}"/>
    <cellStyle name="c_Macros (2)_Actualisation provision contrat déficitaire SNCM 2010 V Def_B14_E2_2210_Bridge_Zone_Sud" xfId="546" xr:uid="{00000000-0005-0000-0000-000086010000}"/>
    <cellStyle name="c_Macros (2)_Actualisation provision contrat déficitaire SNCM 2010 V Def_Bridge_Zone_Sud" xfId="547" xr:uid="{00000000-0005-0000-0000-000087010000}"/>
    <cellStyle name="c_Macros (2)_Actualisation provision contrat déficitaire SNCM 2010 V Def_CAPEM BY COUNTRY" xfId="548" xr:uid="{00000000-0005-0000-0000-000088010000}"/>
    <cellStyle name="c_Macros (2)_Actualisation provision contrat déficitaire SNCM 2010 V Def_focus par entités CAFOPE2AMF" xfId="549" xr:uid="{00000000-0005-0000-0000-000089010000}"/>
    <cellStyle name="c_Macros (2)_Actualisation provision contrat déficitaire SNCM 2010 V Def_focus par entités CAFOPE2AMF_Bridge_Zone_Sud" xfId="550" xr:uid="{00000000-0005-0000-0000-00008A010000}"/>
    <cellStyle name="c_Macros (2)_Actualisation provision contrat déficitaire SNCM 2010 V Def_Maquette PLT" xfId="551" xr:uid="{00000000-0005-0000-0000-00008B010000}"/>
    <cellStyle name="c_Macros (2)_Actualisation provision contrat déficitaire SNCM 2010 V Def_Output" xfId="3352" xr:uid="{00000000-0005-0000-0000-00008C010000}"/>
    <cellStyle name="c_Macros (2)_Actualisation provision contrat déficitaire SNCM 2010 V Def_PAO-CAF-RESOP_04_13_pro_format_variante T1" xfId="552" xr:uid="{00000000-0005-0000-0000-00008D010000}"/>
    <cellStyle name="c_Macros (2)_Actualisation provision contrat déficitaire SNCM 2010 V Def_PAO-CAF-RESOP_04_13_pro_format_variante T1_Bridge_Zone_Sud" xfId="553" xr:uid="{00000000-0005-0000-0000-00008E010000}"/>
    <cellStyle name="c_Macros (2)_Actualisation provision contrat déficitaire SNCM 2010 V Def_PAO-CAF-RESOP_06_13" xfId="554" xr:uid="{00000000-0005-0000-0000-00008F010000}"/>
    <cellStyle name="c_Macros (2)_Actualisation provision contrat déficitaire SNCM 2010 V Def_PAO-CAF-RESOP_06_13_Bridge_Zone_Sud" xfId="555" xr:uid="{00000000-0005-0000-0000-000090010000}"/>
    <cellStyle name="c_Macros (2)_Actualisation provision contrat déficitaire SNCM 2010 V Def_PAO-CAF-RESOP_08_13" xfId="556" xr:uid="{00000000-0005-0000-0000-000091010000}"/>
    <cellStyle name="c_Macros (2)_Actualisation provision contrat déficitaire SNCM 2010 V Def_PAO-CAF-RESOP_08_13_Bridge_Zone_Sud" xfId="557" xr:uid="{00000000-0005-0000-0000-000092010000}"/>
    <cellStyle name="c_Macros (2)_Actualisation provision contrat déficitaire SNCM 2010 V Def_PAO-CAF-RESOP_09_13" xfId="558" xr:uid="{00000000-0005-0000-0000-000093010000}"/>
    <cellStyle name="c_Macros (2)_Actualisation provision contrat déficitaire SNCM 2010 V Def_PAO-CAF-RESOP_09_13_Bridge_Zone_Sud" xfId="559" xr:uid="{00000000-0005-0000-0000-000094010000}"/>
    <cellStyle name="c_Macros (2)_Actualisation provision contrat déficitaire SNCM 2010 V Def_PAO-CAF-RESOP_09_2013_Zone_IDF (version 2)" xfId="560" xr:uid="{00000000-0005-0000-0000-000095010000}"/>
    <cellStyle name="c_Macros (2)_Actualisation provision contrat déficitaire SNCM 2010 V Def_PAO-CAF-RESOP_10_12" xfId="561" xr:uid="{00000000-0005-0000-0000-000096010000}"/>
    <cellStyle name="c_Macros (2)_Actualisation provision contrat déficitaire SNCM 2010 V Def_PAO-CAF-RESOP_10_12_Bridge_Zone_Sud" xfId="562" xr:uid="{00000000-0005-0000-0000-000097010000}"/>
    <cellStyle name="c_Macros (2)_Actualisation provision contrat déficitaire SNCM 2010 V Def_PAO-CAF-RESOP_10_12_focus par entités CAFOP" xfId="563" xr:uid="{00000000-0005-0000-0000-000098010000}"/>
    <cellStyle name="c_Macros (2)_Actualisation provision contrat déficitaire SNCM 2010 V Def_PAO-CAF-RESOP_10_12_focus par entités CAFOP_Bridge_Zone_Sud" xfId="564" xr:uid="{00000000-0005-0000-0000-000099010000}"/>
    <cellStyle name="c_Macros (2)_Actualisation provision contrat déficitaire SNCM 2010 V Def_PAO-CAF-RESOP_11_13" xfId="565" xr:uid="{00000000-0005-0000-0000-00009A010000}"/>
    <cellStyle name="c_Macros (2)_Actualisation provision contrat déficitaire SNCM 2010 V Def_PAO-CAF-RESOP_B13" xfId="566" xr:uid="{00000000-0005-0000-0000-00009B010000}"/>
    <cellStyle name="c_Macros (2)_Actualisation provision contrat déficitaire SNCM 2010 V Def_PAO-CAF-RESOP_B13_Bridge_Zone_Sud" xfId="567" xr:uid="{00000000-0005-0000-0000-00009C010000}"/>
    <cellStyle name="c_Macros (2)_Actualisation provision contrat déficitaire SNCM 2010 V Def_PAO-CAF-RESOP_B13_focus par entités CAFOP" xfId="568" xr:uid="{00000000-0005-0000-0000-00009D010000}"/>
    <cellStyle name="c_Macros (2)_Actualisation provision contrat déficitaire SNCM 2010 V Def_PAO-CAF-RESOP_B13_focus par entités CAFOP_Bridge_Zone_Sud" xfId="569" xr:uid="{00000000-0005-0000-0000-00009E010000}"/>
    <cellStyle name="c_Macros (2)_Actualisation provision contrat déficitaire SNCM 2010 V Def_PAO-CAF-RESOP_B2014" xfId="570" xr:uid="{00000000-0005-0000-0000-00009F010000}"/>
    <cellStyle name="c_Macros (2)_Actualisation provision contrat déficitaire SNCM 2010 V Def_PAO-CAF-RESOP_B2014_Bridge_Zone_Sud" xfId="571" xr:uid="{00000000-0005-0000-0000-0000A0010000}"/>
    <cellStyle name="c_Macros (2)_Actualisation provision contrat déficitaire SNCM 2010 V Def_PAO-CAF-RESOP_B2014_v2" xfId="572" xr:uid="{00000000-0005-0000-0000-0000A1010000}"/>
    <cellStyle name="c_Macros (2)_Actualisation provision contrat déficitaire SNCM 2010 V Def_PAO-CAF-RESOP_E2_13" xfId="573" xr:uid="{00000000-0005-0000-0000-0000A2010000}"/>
    <cellStyle name="c_Macros (2)_Actualisation provision contrat déficitaire SNCM 2010 V Def_PAO-CAF-RESOP_E2_13_Bridge_Zone_Sud" xfId="574" xr:uid="{00000000-0005-0000-0000-0000A3010000}"/>
    <cellStyle name="c_Macros (2)_Actualisation provision contrat déficitaire SNCM 2010 V Def_PAO-CAF-RESOP_E2_2013_03_10_19H" xfId="575" xr:uid="{00000000-0005-0000-0000-0000A4010000}"/>
    <cellStyle name="c_Macros (2)_Actualisation provision contrat déficitaire SNCM 2010 V Def_PAO-CAF-RESOP_E2_2013_03_10_19H_Bridge_Zone_Sud" xfId="576" xr:uid="{00000000-0005-0000-0000-0000A5010000}"/>
    <cellStyle name="c_Macros (2)_Actualisation provision contrat déficitaire SNCM 2010 V Def_Synthèse_Présentation_conso_retraitée" xfId="577" xr:uid="{00000000-0005-0000-0000-0000A6010000}"/>
    <cellStyle name="c_Macros (2)_Actualisation provision contrat déficitaire SNCM 2011 V3 30 05 2011" xfId="578" xr:uid="{00000000-0005-0000-0000-0000A7010000}"/>
    <cellStyle name="c_Macros (2)_Actualisation provision contrat déficitaire SNCM 2011 V3 30 05 2011_B14_E2_2210" xfId="579" xr:uid="{00000000-0005-0000-0000-0000A8010000}"/>
    <cellStyle name="c_Macros (2)_Actualisation provision contrat déficitaire SNCM 2011 V3 30 05 2011_B14_E2_2210_Bridge_Zone_Sud" xfId="580" xr:uid="{00000000-0005-0000-0000-0000A9010000}"/>
    <cellStyle name="c_Macros (2)_Actualisation provision contrat déficitaire SNCM 2011 V3 30 05 2011_Bridge_Zone_Sud" xfId="581" xr:uid="{00000000-0005-0000-0000-0000AA010000}"/>
    <cellStyle name="c_Macros (2)_Actualisation provision contrat déficitaire SNCM 2011 V3 30 05 2011_CAPEM BY COUNTRY" xfId="582" xr:uid="{00000000-0005-0000-0000-0000AB010000}"/>
    <cellStyle name="c_Macros (2)_Actualisation provision contrat déficitaire SNCM 2011 V3 30 05 2011_focus par entités CAFOPE2AMF" xfId="583" xr:uid="{00000000-0005-0000-0000-0000AC010000}"/>
    <cellStyle name="c_Macros (2)_Actualisation provision contrat déficitaire SNCM 2011 V3 30 05 2011_focus par entités CAFOPE2AMF_Bridge_Zone_Sud" xfId="584" xr:uid="{00000000-0005-0000-0000-0000AD010000}"/>
    <cellStyle name="c_Macros (2)_Actualisation provision contrat déficitaire SNCM 2011 V3 30 05 2011_Maquette PLT" xfId="585" xr:uid="{00000000-0005-0000-0000-0000AE010000}"/>
    <cellStyle name="c_Macros (2)_Actualisation provision contrat déficitaire SNCM 2011 V3 30 05 2011_Output" xfId="3353" xr:uid="{00000000-0005-0000-0000-0000AF010000}"/>
    <cellStyle name="c_Macros (2)_Actualisation provision contrat déficitaire SNCM 2011 V3 30 05 2011_PAO-CAF-RESOP_04_13_pro_format_variante T1" xfId="586" xr:uid="{00000000-0005-0000-0000-0000B0010000}"/>
    <cellStyle name="c_Macros (2)_Actualisation provision contrat déficitaire SNCM 2011 V3 30 05 2011_PAO-CAF-RESOP_04_13_pro_format_variante T1_Bridge_Zone_Sud" xfId="587" xr:uid="{00000000-0005-0000-0000-0000B1010000}"/>
    <cellStyle name="c_Macros (2)_Actualisation provision contrat déficitaire SNCM 2011 V3 30 05 2011_PAO-CAF-RESOP_06_13" xfId="588" xr:uid="{00000000-0005-0000-0000-0000B2010000}"/>
    <cellStyle name="c_Macros (2)_Actualisation provision contrat déficitaire SNCM 2011 V3 30 05 2011_PAO-CAF-RESOP_06_13_Bridge_Zone_Sud" xfId="589" xr:uid="{00000000-0005-0000-0000-0000B3010000}"/>
    <cellStyle name="c_Macros (2)_Actualisation provision contrat déficitaire SNCM 2011 V3 30 05 2011_PAO-CAF-RESOP_08_13" xfId="590" xr:uid="{00000000-0005-0000-0000-0000B4010000}"/>
    <cellStyle name="c_Macros (2)_Actualisation provision contrat déficitaire SNCM 2011 V3 30 05 2011_PAO-CAF-RESOP_08_13_Bridge_Zone_Sud" xfId="591" xr:uid="{00000000-0005-0000-0000-0000B5010000}"/>
    <cellStyle name="c_Macros (2)_Actualisation provision contrat déficitaire SNCM 2011 V3 30 05 2011_PAO-CAF-RESOP_09_13" xfId="592" xr:uid="{00000000-0005-0000-0000-0000B6010000}"/>
    <cellStyle name="c_Macros (2)_Actualisation provision contrat déficitaire SNCM 2011 V3 30 05 2011_PAO-CAF-RESOP_09_13_Bridge_Zone_Sud" xfId="593" xr:uid="{00000000-0005-0000-0000-0000B7010000}"/>
    <cellStyle name="c_Macros (2)_Actualisation provision contrat déficitaire SNCM 2011 V3 30 05 2011_PAO-CAF-RESOP_09_2013_Zone_IDF (version 2)" xfId="594" xr:uid="{00000000-0005-0000-0000-0000B8010000}"/>
    <cellStyle name="c_Macros (2)_Actualisation provision contrat déficitaire SNCM 2011 V3 30 05 2011_PAO-CAF-RESOP_10_12" xfId="595" xr:uid="{00000000-0005-0000-0000-0000B9010000}"/>
    <cellStyle name="c_Macros (2)_Actualisation provision contrat déficitaire SNCM 2011 V3 30 05 2011_PAO-CAF-RESOP_10_12_Bridge_Zone_Sud" xfId="596" xr:uid="{00000000-0005-0000-0000-0000BA010000}"/>
    <cellStyle name="c_Macros (2)_Actualisation provision contrat déficitaire SNCM 2011 V3 30 05 2011_PAO-CAF-RESOP_10_12_focus par entités CAFOP" xfId="597" xr:uid="{00000000-0005-0000-0000-0000BB010000}"/>
    <cellStyle name="c_Macros (2)_Actualisation provision contrat déficitaire SNCM 2011 V3 30 05 2011_PAO-CAF-RESOP_10_12_focus par entités CAFOP_Bridge_Zone_Sud" xfId="598" xr:uid="{00000000-0005-0000-0000-0000BC010000}"/>
    <cellStyle name="c_Macros (2)_Actualisation provision contrat déficitaire SNCM 2011 V3 30 05 2011_PAO-CAF-RESOP_11_13" xfId="599" xr:uid="{00000000-0005-0000-0000-0000BD010000}"/>
    <cellStyle name="c_Macros (2)_Actualisation provision contrat déficitaire SNCM 2011 V3 30 05 2011_PAO-CAF-RESOP_B13" xfId="600" xr:uid="{00000000-0005-0000-0000-0000BE010000}"/>
    <cellStyle name="c_Macros (2)_Actualisation provision contrat déficitaire SNCM 2011 V3 30 05 2011_PAO-CAF-RESOP_B13_Bridge_Zone_Sud" xfId="601" xr:uid="{00000000-0005-0000-0000-0000BF010000}"/>
    <cellStyle name="c_Macros (2)_Actualisation provision contrat déficitaire SNCM 2011 V3 30 05 2011_PAO-CAF-RESOP_B13_focus par entités CAFOP" xfId="602" xr:uid="{00000000-0005-0000-0000-0000C0010000}"/>
    <cellStyle name="c_Macros (2)_Actualisation provision contrat déficitaire SNCM 2011 V3 30 05 2011_PAO-CAF-RESOP_B13_focus par entités CAFOP_Bridge_Zone_Sud" xfId="603" xr:uid="{00000000-0005-0000-0000-0000C1010000}"/>
    <cellStyle name="c_Macros (2)_Actualisation provision contrat déficitaire SNCM 2011 V3 30 05 2011_PAO-CAF-RESOP_B2014" xfId="604" xr:uid="{00000000-0005-0000-0000-0000C2010000}"/>
    <cellStyle name="c_Macros (2)_Actualisation provision contrat déficitaire SNCM 2011 V3 30 05 2011_PAO-CAF-RESOP_B2014_Bridge_Zone_Sud" xfId="605" xr:uid="{00000000-0005-0000-0000-0000C3010000}"/>
    <cellStyle name="c_Macros (2)_Actualisation provision contrat déficitaire SNCM 2011 V3 30 05 2011_PAO-CAF-RESOP_B2014_v2" xfId="606" xr:uid="{00000000-0005-0000-0000-0000C4010000}"/>
    <cellStyle name="c_Macros (2)_Actualisation provision contrat déficitaire SNCM 2011 V3 30 05 2011_PAO-CAF-RESOP_E2_13" xfId="607" xr:uid="{00000000-0005-0000-0000-0000C5010000}"/>
    <cellStyle name="c_Macros (2)_Actualisation provision contrat déficitaire SNCM 2011 V3 30 05 2011_PAO-CAF-RESOP_E2_13_Bridge_Zone_Sud" xfId="608" xr:uid="{00000000-0005-0000-0000-0000C6010000}"/>
    <cellStyle name="c_Macros (2)_Actualisation provision contrat déficitaire SNCM 2011 V3 30 05 2011_PAO-CAF-RESOP_E2_2013_03_10_19H" xfId="609" xr:uid="{00000000-0005-0000-0000-0000C7010000}"/>
    <cellStyle name="c_Macros (2)_Actualisation provision contrat déficitaire SNCM 2011 V3 30 05 2011_PAO-CAF-RESOP_E2_2013_03_10_19H_Bridge_Zone_Sud" xfId="610" xr:uid="{00000000-0005-0000-0000-0000C8010000}"/>
    <cellStyle name="c_Macros (2)_Actualisation provision contrat déficitaire SNCM 2011 V3 30 05 2011_Synthèse_Présentation_conso_retraitée" xfId="611" xr:uid="{00000000-0005-0000-0000-0000C9010000}"/>
    <cellStyle name="c_Macros (2)_BFR_TD_2014.02" xfId="612" xr:uid="{00000000-0005-0000-0000-0000CA010000}"/>
    <cellStyle name="c_Macros (2)_Bridge_Zone_Nord" xfId="613" xr:uid="{00000000-0005-0000-0000-0000CB010000}"/>
    <cellStyle name="c_Macros (2)_CAPEM BY COUNTRY" xfId="614" xr:uid="{00000000-0005-0000-0000-0000CC010000}"/>
    <cellStyle name="c_Macros (2)_LI819L_B13" xfId="615" xr:uid="{00000000-0005-0000-0000-0000CD010000}"/>
    <cellStyle name="c_Macros (2)_LI819L_B13_CAPEM BY COUNTRY" xfId="616" xr:uid="{00000000-0005-0000-0000-0000CE010000}"/>
    <cellStyle name="c_Macros (2)_LI819L_B13_Maquette PLT" xfId="617" xr:uid="{00000000-0005-0000-0000-0000CF010000}"/>
    <cellStyle name="c_Macros (2)_LI819L_B13_Output" xfId="3354" xr:uid="{00000000-0005-0000-0000-0000D0010000}"/>
    <cellStyle name="c_Macros (2)_Maquette PLT" xfId="618" xr:uid="{00000000-0005-0000-0000-0000D1010000}"/>
    <cellStyle name="c_Macros (2)_Output" xfId="3351" xr:uid="{00000000-0005-0000-0000-0000D2010000}"/>
    <cellStyle name="c_Macros (2)_PAO-CAF-RESOP_14_01_13 à 20h" xfId="619" xr:uid="{00000000-0005-0000-0000-0000D3010000}"/>
    <cellStyle name="c_Macros (2)_PAO-CAF-RESOP_14_01_13 à 20h_CAPEM BY COUNTRY" xfId="620" xr:uid="{00000000-0005-0000-0000-0000D4010000}"/>
    <cellStyle name="c_Macros (2)_PAO-CAF-RESOP_14_01_13 à 20h_Maquette PLT" xfId="621" xr:uid="{00000000-0005-0000-0000-0000D5010000}"/>
    <cellStyle name="c_Macros (2)_PAO-CAF-RESOP_14_01_13 à 20h_Output" xfId="3355" xr:uid="{00000000-0005-0000-0000-0000D6010000}"/>
    <cellStyle name="c_Macros (2)_PAO-CAF-RESOP_2014.02" xfId="622" xr:uid="{00000000-0005-0000-0000-0000D7010000}"/>
    <cellStyle name="c_Macros (2)_PAO-CAF-RESOP_2014.02_Bridge_Zone_Sud" xfId="623" xr:uid="{00000000-0005-0000-0000-0000D8010000}"/>
    <cellStyle name="c_Macros_Actualisation provision contrat déficitaire SNCM 2010 V Def" xfId="624" xr:uid="{00000000-0005-0000-0000-0000D9010000}"/>
    <cellStyle name="c_Macros_Actualisation provision contrat déficitaire SNCM 2010 V Def_B14_E2_2210" xfId="625" xr:uid="{00000000-0005-0000-0000-0000DA010000}"/>
    <cellStyle name="c_Macros_Actualisation provision contrat déficitaire SNCM 2010 V Def_B14_E2_2210_Bridge_Zone_Sud" xfId="626" xr:uid="{00000000-0005-0000-0000-0000DB010000}"/>
    <cellStyle name="c_Macros_Actualisation provision contrat déficitaire SNCM 2010 V Def_Bridge_Zone_Sud" xfId="627" xr:uid="{00000000-0005-0000-0000-0000DC010000}"/>
    <cellStyle name="c_Macros_Actualisation provision contrat déficitaire SNCM 2010 V Def_CAPEM BY COUNTRY" xfId="628" xr:uid="{00000000-0005-0000-0000-0000DD010000}"/>
    <cellStyle name="c_Macros_Actualisation provision contrat déficitaire SNCM 2010 V Def_focus par entités CAFOPE2AMF" xfId="629" xr:uid="{00000000-0005-0000-0000-0000DE010000}"/>
    <cellStyle name="c_Macros_Actualisation provision contrat déficitaire SNCM 2010 V Def_focus par entités CAFOPE2AMF_Bridge_Zone_Sud" xfId="630" xr:uid="{00000000-0005-0000-0000-0000DF010000}"/>
    <cellStyle name="c_Macros_Actualisation provision contrat déficitaire SNCM 2010 V Def_Maquette PLT" xfId="631" xr:uid="{00000000-0005-0000-0000-0000E0010000}"/>
    <cellStyle name="c_Macros_Actualisation provision contrat déficitaire SNCM 2010 V Def_Output" xfId="3356" xr:uid="{00000000-0005-0000-0000-0000E1010000}"/>
    <cellStyle name="c_Macros_Actualisation provision contrat déficitaire SNCM 2010 V Def_PAO-CAF-RESOP_04_13_pro_format_variante T1" xfId="632" xr:uid="{00000000-0005-0000-0000-0000E2010000}"/>
    <cellStyle name="c_Macros_Actualisation provision contrat déficitaire SNCM 2010 V Def_PAO-CAF-RESOP_04_13_pro_format_variante T1_Bridge_Zone_Sud" xfId="633" xr:uid="{00000000-0005-0000-0000-0000E3010000}"/>
    <cellStyle name="c_Macros_Actualisation provision contrat déficitaire SNCM 2010 V Def_PAO-CAF-RESOP_06_13" xfId="634" xr:uid="{00000000-0005-0000-0000-0000E4010000}"/>
    <cellStyle name="c_Macros_Actualisation provision contrat déficitaire SNCM 2010 V Def_PAO-CAF-RESOP_06_13_Bridge_Zone_Sud" xfId="635" xr:uid="{00000000-0005-0000-0000-0000E5010000}"/>
    <cellStyle name="c_Macros_Actualisation provision contrat déficitaire SNCM 2010 V Def_PAO-CAF-RESOP_08_13" xfId="636" xr:uid="{00000000-0005-0000-0000-0000E6010000}"/>
    <cellStyle name="c_Macros_Actualisation provision contrat déficitaire SNCM 2010 V Def_PAO-CAF-RESOP_08_13_Bridge_Zone_Sud" xfId="637" xr:uid="{00000000-0005-0000-0000-0000E7010000}"/>
    <cellStyle name="c_Macros_Actualisation provision contrat déficitaire SNCM 2010 V Def_PAO-CAF-RESOP_09_13" xfId="638" xr:uid="{00000000-0005-0000-0000-0000E8010000}"/>
    <cellStyle name="c_Macros_Actualisation provision contrat déficitaire SNCM 2010 V Def_PAO-CAF-RESOP_09_13_Bridge_Zone_Sud" xfId="639" xr:uid="{00000000-0005-0000-0000-0000E9010000}"/>
    <cellStyle name="c_Macros_Actualisation provision contrat déficitaire SNCM 2010 V Def_PAO-CAF-RESOP_09_2013_Zone_IDF (version 2)" xfId="640" xr:uid="{00000000-0005-0000-0000-0000EA010000}"/>
    <cellStyle name="c_Macros_Actualisation provision contrat déficitaire SNCM 2010 V Def_PAO-CAF-RESOP_10_12" xfId="641" xr:uid="{00000000-0005-0000-0000-0000EB010000}"/>
    <cellStyle name="c_Macros_Actualisation provision contrat déficitaire SNCM 2010 V Def_PAO-CAF-RESOP_10_12_Bridge_Zone_Sud" xfId="642" xr:uid="{00000000-0005-0000-0000-0000EC010000}"/>
    <cellStyle name="c_Macros_Actualisation provision contrat déficitaire SNCM 2010 V Def_PAO-CAF-RESOP_10_12_focus par entités CAFOP" xfId="643" xr:uid="{00000000-0005-0000-0000-0000ED010000}"/>
    <cellStyle name="c_Macros_Actualisation provision contrat déficitaire SNCM 2010 V Def_PAO-CAF-RESOP_10_12_focus par entités CAFOP_Bridge_Zone_Sud" xfId="644" xr:uid="{00000000-0005-0000-0000-0000EE010000}"/>
    <cellStyle name="c_Macros_Actualisation provision contrat déficitaire SNCM 2010 V Def_PAO-CAF-RESOP_11_13" xfId="645" xr:uid="{00000000-0005-0000-0000-0000EF010000}"/>
    <cellStyle name="c_Macros_Actualisation provision contrat déficitaire SNCM 2010 V Def_PAO-CAF-RESOP_B13" xfId="646" xr:uid="{00000000-0005-0000-0000-0000F0010000}"/>
    <cellStyle name="c_Macros_Actualisation provision contrat déficitaire SNCM 2010 V Def_PAO-CAF-RESOP_B13_Bridge_Zone_Sud" xfId="647" xr:uid="{00000000-0005-0000-0000-0000F1010000}"/>
    <cellStyle name="c_Macros_Actualisation provision contrat déficitaire SNCM 2010 V Def_PAO-CAF-RESOP_B13_focus par entités CAFOP" xfId="648" xr:uid="{00000000-0005-0000-0000-0000F2010000}"/>
    <cellStyle name="c_Macros_Actualisation provision contrat déficitaire SNCM 2010 V Def_PAO-CAF-RESOP_B13_focus par entités CAFOP_Bridge_Zone_Sud" xfId="649" xr:uid="{00000000-0005-0000-0000-0000F3010000}"/>
    <cellStyle name="c_Macros_Actualisation provision contrat déficitaire SNCM 2010 V Def_PAO-CAF-RESOP_B2014" xfId="650" xr:uid="{00000000-0005-0000-0000-0000F4010000}"/>
    <cellStyle name="c_Macros_Actualisation provision contrat déficitaire SNCM 2010 V Def_PAO-CAF-RESOP_B2014_Bridge_Zone_Sud" xfId="651" xr:uid="{00000000-0005-0000-0000-0000F5010000}"/>
    <cellStyle name="c_Macros_Actualisation provision contrat déficitaire SNCM 2010 V Def_PAO-CAF-RESOP_B2014_v2" xfId="652" xr:uid="{00000000-0005-0000-0000-0000F6010000}"/>
    <cellStyle name="c_Macros_Actualisation provision contrat déficitaire SNCM 2010 V Def_PAO-CAF-RESOP_E2_13" xfId="653" xr:uid="{00000000-0005-0000-0000-0000F7010000}"/>
    <cellStyle name="c_Macros_Actualisation provision contrat déficitaire SNCM 2010 V Def_PAO-CAF-RESOP_E2_13_Bridge_Zone_Sud" xfId="654" xr:uid="{00000000-0005-0000-0000-0000F8010000}"/>
    <cellStyle name="c_Macros_Actualisation provision contrat déficitaire SNCM 2010 V Def_PAO-CAF-RESOP_E2_2013_03_10_19H" xfId="655" xr:uid="{00000000-0005-0000-0000-0000F9010000}"/>
    <cellStyle name="c_Macros_Actualisation provision contrat déficitaire SNCM 2010 V Def_PAO-CAF-RESOP_E2_2013_03_10_19H_Bridge_Zone_Sud" xfId="656" xr:uid="{00000000-0005-0000-0000-0000FA010000}"/>
    <cellStyle name="c_Macros_Actualisation provision contrat déficitaire SNCM 2010 V Def_Synthèse_Présentation_conso_retraitée" xfId="657" xr:uid="{00000000-0005-0000-0000-0000FB010000}"/>
    <cellStyle name="c_Macros_Actualisation provision contrat déficitaire SNCM 2011 V3 30 05 2011" xfId="658" xr:uid="{00000000-0005-0000-0000-0000FC010000}"/>
    <cellStyle name="c_Macros_Actualisation provision contrat déficitaire SNCM 2011 V3 30 05 2011_B14_E2_2210" xfId="659" xr:uid="{00000000-0005-0000-0000-0000FD010000}"/>
    <cellStyle name="c_Macros_Actualisation provision contrat déficitaire SNCM 2011 V3 30 05 2011_B14_E2_2210_Bridge_Zone_Sud" xfId="660" xr:uid="{00000000-0005-0000-0000-0000FE010000}"/>
    <cellStyle name="c_Macros_Actualisation provision contrat déficitaire SNCM 2011 V3 30 05 2011_Bridge_Zone_Sud" xfId="661" xr:uid="{00000000-0005-0000-0000-0000FF010000}"/>
    <cellStyle name="c_Macros_Actualisation provision contrat déficitaire SNCM 2011 V3 30 05 2011_CAPEM BY COUNTRY" xfId="662" xr:uid="{00000000-0005-0000-0000-000000020000}"/>
    <cellStyle name="c_Macros_Actualisation provision contrat déficitaire SNCM 2011 V3 30 05 2011_focus par entités CAFOPE2AMF" xfId="663" xr:uid="{00000000-0005-0000-0000-000001020000}"/>
    <cellStyle name="c_Macros_Actualisation provision contrat déficitaire SNCM 2011 V3 30 05 2011_focus par entités CAFOPE2AMF_Bridge_Zone_Sud" xfId="664" xr:uid="{00000000-0005-0000-0000-000002020000}"/>
    <cellStyle name="c_Macros_Actualisation provision contrat déficitaire SNCM 2011 V3 30 05 2011_Maquette PLT" xfId="665" xr:uid="{00000000-0005-0000-0000-000003020000}"/>
    <cellStyle name="c_Macros_Actualisation provision contrat déficitaire SNCM 2011 V3 30 05 2011_Output" xfId="3357" xr:uid="{00000000-0005-0000-0000-000004020000}"/>
    <cellStyle name="c_Macros_Actualisation provision contrat déficitaire SNCM 2011 V3 30 05 2011_PAO-CAF-RESOP_04_13_pro_format_variante T1" xfId="666" xr:uid="{00000000-0005-0000-0000-000005020000}"/>
    <cellStyle name="c_Macros_Actualisation provision contrat déficitaire SNCM 2011 V3 30 05 2011_PAO-CAF-RESOP_04_13_pro_format_variante T1_Bridge_Zone_Sud" xfId="667" xr:uid="{00000000-0005-0000-0000-000006020000}"/>
    <cellStyle name="c_Macros_Actualisation provision contrat déficitaire SNCM 2011 V3 30 05 2011_PAO-CAF-RESOP_06_13" xfId="668" xr:uid="{00000000-0005-0000-0000-000007020000}"/>
    <cellStyle name="c_Macros_Actualisation provision contrat déficitaire SNCM 2011 V3 30 05 2011_PAO-CAF-RESOP_06_13_Bridge_Zone_Sud" xfId="669" xr:uid="{00000000-0005-0000-0000-000008020000}"/>
    <cellStyle name="c_Macros_Actualisation provision contrat déficitaire SNCM 2011 V3 30 05 2011_PAO-CAF-RESOP_08_13" xfId="670" xr:uid="{00000000-0005-0000-0000-000009020000}"/>
    <cellStyle name="c_Macros_Actualisation provision contrat déficitaire SNCM 2011 V3 30 05 2011_PAO-CAF-RESOP_08_13_Bridge_Zone_Sud" xfId="671" xr:uid="{00000000-0005-0000-0000-00000A020000}"/>
    <cellStyle name="c_Macros_Actualisation provision contrat déficitaire SNCM 2011 V3 30 05 2011_PAO-CAF-RESOP_09_13" xfId="672" xr:uid="{00000000-0005-0000-0000-00000B020000}"/>
    <cellStyle name="c_Macros_Actualisation provision contrat déficitaire SNCM 2011 V3 30 05 2011_PAO-CAF-RESOP_09_13_Bridge_Zone_Sud" xfId="673" xr:uid="{00000000-0005-0000-0000-00000C020000}"/>
    <cellStyle name="c_Macros_Actualisation provision contrat déficitaire SNCM 2011 V3 30 05 2011_PAO-CAF-RESOP_09_2013_Zone_IDF (version 2)" xfId="674" xr:uid="{00000000-0005-0000-0000-00000D020000}"/>
    <cellStyle name="c_Macros_Actualisation provision contrat déficitaire SNCM 2011 V3 30 05 2011_PAO-CAF-RESOP_10_12" xfId="675" xr:uid="{00000000-0005-0000-0000-00000E020000}"/>
    <cellStyle name="c_Macros_Actualisation provision contrat déficitaire SNCM 2011 V3 30 05 2011_PAO-CAF-RESOP_10_12_Bridge_Zone_Sud" xfId="676" xr:uid="{00000000-0005-0000-0000-00000F020000}"/>
    <cellStyle name="c_Macros_Actualisation provision contrat déficitaire SNCM 2011 V3 30 05 2011_PAO-CAF-RESOP_10_12_focus par entités CAFOP" xfId="677" xr:uid="{00000000-0005-0000-0000-000010020000}"/>
    <cellStyle name="c_Macros_Actualisation provision contrat déficitaire SNCM 2011 V3 30 05 2011_PAO-CAF-RESOP_10_12_focus par entités CAFOP_Bridge_Zone_Sud" xfId="678" xr:uid="{00000000-0005-0000-0000-000011020000}"/>
    <cellStyle name="c_Macros_Actualisation provision contrat déficitaire SNCM 2011 V3 30 05 2011_PAO-CAF-RESOP_11_13" xfId="679" xr:uid="{00000000-0005-0000-0000-000012020000}"/>
    <cellStyle name="c_Macros_Actualisation provision contrat déficitaire SNCM 2011 V3 30 05 2011_PAO-CAF-RESOP_B13" xfId="680" xr:uid="{00000000-0005-0000-0000-000013020000}"/>
    <cellStyle name="c_Macros_Actualisation provision contrat déficitaire SNCM 2011 V3 30 05 2011_PAO-CAF-RESOP_B13_Bridge_Zone_Sud" xfId="681" xr:uid="{00000000-0005-0000-0000-000014020000}"/>
    <cellStyle name="c_Macros_Actualisation provision contrat déficitaire SNCM 2011 V3 30 05 2011_PAO-CAF-RESOP_B13_focus par entités CAFOP" xfId="682" xr:uid="{00000000-0005-0000-0000-000015020000}"/>
    <cellStyle name="c_Macros_Actualisation provision contrat déficitaire SNCM 2011 V3 30 05 2011_PAO-CAF-RESOP_B13_focus par entités CAFOP_Bridge_Zone_Sud" xfId="683" xr:uid="{00000000-0005-0000-0000-000016020000}"/>
    <cellStyle name="c_Macros_Actualisation provision contrat déficitaire SNCM 2011 V3 30 05 2011_PAO-CAF-RESOP_B2014" xfId="684" xr:uid="{00000000-0005-0000-0000-000017020000}"/>
    <cellStyle name="c_Macros_Actualisation provision contrat déficitaire SNCM 2011 V3 30 05 2011_PAO-CAF-RESOP_B2014_Bridge_Zone_Sud" xfId="685" xr:uid="{00000000-0005-0000-0000-000018020000}"/>
    <cellStyle name="c_Macros_Actualisation provision contrat déficitaire SNCM 2011 V3 30 05 2011_PAO-CAF-RESOP_B2014_v2" xfId="686" xr:uid="{00000000-0005-0000-0000-000019020000}"/>
    <cellStyle name="c_Macros_Actualisation provision contrat déficitaire SNCM 2011 V3 30 05 2011_PAO-CAF-RESOP_E2_13" xfId="687" xr:uid="{00000000-0005-0000-0000-00001A020000}"/>
    <cellStyle name="c_Macros_Actualisation provision contrat déficitaire SNCM 2011 V3 30 05 2011_PAO-CAF-RESOP_E2_13_Bridge_Zone_Sud" xfId="688" xr:uid="{00000000-0005-0000-0000-00001B020000}"/>
    <cellStyle name="c_Macros_Actualisation provision contrat déficitaire SNCM 2011 V3 30 05 2011_PAO-CAF-RESOP_E2_2013_03_10_19H" xfId="689" xr:uid="{00000000-0005-0000-0000-00001C020000}"/>
    <cellStyle name="c_Macros_Actualisation provision contrat déficitaire SNCM 2011 V3 30 05 2011_PAO-CAF-RESOP_E2_2013_03_10_19H_Bridge_Zone_Sud" xfId="690" xr:uid="{00000000-0005-0000-0000-00001D020000}"/>
    <cellStyle name="c_Macros_Actualisation provision contrat déficitaire SNCM 2011 V3 30 05 2011_Synthèse_Présentation_conso_retraitée" xfId="691" xr:uid="{00000000-0005-0000-0000-00001E020000}"/>
    <cellStyle name="c_Macros_BFR_TD_2014.02" xfId="692" xr:uid="{00000000-0005-0000-0000-00001F020000}"/>
    <cellStyle name="c_Macros_Bridge_Zone_Nord" xfId="693" xr:uid="{00000000-0005-0000-0000-000020020000}"/>
    <cellStyle name="c_Macros_CAPEM BY COUNTRY" xfId="694" xr:uid="{00000000-0005-0000-0000-000021020000}"/>
    <cellStyle name="c_Macros_LI819L_B13" xfId="695" xr:uid="{00000000-0005-0000-0000-000022020000}"/>
    <cellStyle name="c_Macros_LI819L_B13_CAPEM BY COUNTRY" xfId="696" xr:uid="{00000000-0005-0000-0000-000023020000}"/>
    <cellStyle name="c_Macros_LI819L_B13_Maquette PLT" xfId="697" xr:uid="{00000000-0005-0000-0000-000024020000}"/>
    <cellStyle name="c_Macros_LI819L_B13_Output" xfId="3358" xr:uid="{00000000-0005-0000-0000-000025020000}"/>
    <cellStyle name="c_Macros_Maquette PLT" xfId="698" xr:uid="{00000000-0005-0000-0000-000026020000}"/>
    <cellStyle name="c_Macros_Output" xfId="3350" xr:uid="{00000000-0005-0000-0000-000027020000}"/>
    <cellStyle name="c_Macros_PAO-CAF-RESOP_14_01_13 à 20h" xfId="699" xr:uid="{00000000-0005-0000-0000-000028020000}"/>
    <cellStyle name="c_Macros_PAO-CAF-RESOP_14_01_13 à 20h_CAPEM BY COUNTRY" xfId="700" xr:uid="{00000000-0005-0000-0000-000029020000}"/>
    <cellStyle name="c_Macros_PAO-CAF-RESOP_14_01_13 à 20h_Maquette PLT" xfId="701" xr:uid="{00000000-0005-0000-0000-00002A020000}"/>
    <cellStyle name="c_Macros_PAO-CAF-RESOP_14_01_13 à 20h_Output" xfId="3359" xr:uid="{00000000-0005-0000-0000-00002B020000}"/>
    <cellStyle name="c_Macros_PAO-CAF-RESOP_2014.02" xfId="702" xr:uid="{00000000-0005-0000-0000-00002C020000}"/>
    <cellStyle name="c_Macros_PAO-CAF-RESOP_2014.02_Bridge_Zone_Sud" xfId="703" xr:uid="{00000000-0005-0000-0000-00002D020000}"/>
    <cellStyle name="c_Manager (2)" xfId="704" xr:uid="{00000000-0005-0000-0000-00002E020000}"/>
    <cellStyle name="c_Manager (2)_Actualisation provision contrat déficitaire SNCM 2010 V Def" xfId="705" xr:uid="{00000000-0005-0000-0000-00002F020000}"/>
    <cellStyle name="c_Manager (2)_Actualisation provision contrat déficitaire SNCM 2010 V Def_B14_E2_2210" xfId="706" xr:uid="{00000000-0005-0000-0000-000030020000}"/>
    <cellStyle name="c_Manager (2)_Actualisation provision contrat déficitaire SNCM 2010 V Def_B14_E2_2210_Bridge_Zone_Sud" xfId="707" xr:uid="{00000000-0005-0000-0000-000031020000}"/>
    <cellStyle name="c_Manager (2)_Actualisation provision contrat déficitaire SNCM 2010 V Def_Bridge_Zone_Sud" xfId="708" xr:uid="{00000000-0005-0000-0000-000032020000}"/>
    <cellStyle name="c_Manager (2)_Actualisation provision contrat déficitaire SNCM 2010 V Def_CAPEM BY COUNTRY" xfId="709" xr:uid="{00000000-0005-0000-0000-000033020000}"/>
    <cellStyle name="c_Manager (2)_Actualisation provision contrat déficitaire SNCM 2010 V Def_focus par entités CAFOPE2AMF" xfId="710" xr:uid="{00000000-0005-0000-0000-000034020000}"/>
    <cellStyle name="c_Manager (2)_Actualisation provision contrat déficitaire SNCM 2010 V Def_focus par entités CAFOPE2AMF_Bridge_Zone_Sud" xfId="711" xr:uid="{00000000-0005-0000-0000-000035020000}"/>
    <cellStyle name="c_Manager (2)_Actualisation provision contrat déficitaire SNCM 2010 V Def_Maquette PLT" xfId="712" xr:uid="{00000000-0005-0000-0000-000036020000}"/>
    <cellStyle name="c_Manager (2)_Actualisation provision contrat déficitaire SNCM 2010 V Def_Output" xfId="3361" xr:uid="{00000000-0005-0000-0000-000037020000}"/>
    <cellStyle name="c_Manager (2)_Actualisation provision contrat déficitaire SNCM 2010 V Def_PAO-CAF-RESOP_04_13_pro_format_variante T1" xfId="713" xr:uid="{00000000-0005-0000-0000-000038020000}"/>
    <cellStyle name="c_Manager (2)_Actualisation provision contrat déficitaire SNCM 2010 V Def_PAO-CAF-RESOP_04_13_pro_format_variante T1_Bridge_Zone_Sud" xfId="714" xr:uid="{00000000-0005-0000-0000-000039020000}"/>
    <cellStyle name="c_Manager (2)_Actualisation provision contrat déficitaire SNCM 2010 V Def_PAO-CAF-RESOP_06_13" xfId="715" xr:uid="{00000000-0005-0000-0000-00003A020000}"/>
    <cellStyle name="c_Manager (2)_Actualisation provision contrat déficitaire SNCM 2010 V Def_PAO-CAF-RESOP_06_13_Bridge_Zone_Sud" xfId="716" xr:uid="{00000000-0005-0000-0000-00003B020000}"/>
    <cellStyle name="c_Manager (2)_Actualisation provision contrat déficitaire SNCM 2010 V Def_PAO-CAF-RESOP_08_13" xfId="717" xr:uid="{00000000-0005-0000-0000-00003C020000}"/>
    <cellStyle name="c_Manager (2)_Actualisation provision contrat déficitaire SNCM 2010 V Def_PAO-CAF-RESOP_08_13_Bridge_Zone_Sud" xfId="718" xr:uid="{00000000-0005-0000-0000-00003D020000}"/>
    <cellStyle name="c_Manager (2)_Actualisation provision contrat déficitaire SNCM 2010 V Def_PAO-CAF-RESOP_09_13" xfId="719" xr:uid="{00000000-0005-0000-0000-00003E020000}"/>
    <cellStyle name="c_Manager (2)_Actualisation provision contrat déficitaire SNCM 2010 V Def_PAO-CAF-RESOP_09_13_Bridge_Zone_Sud" xfId="720" xr:uid="{00000000-0005-0000-0000-00003F020000}"/>
    <cellStyle name="c_Manager (2)_Actualisation provision contrat déficitaire SNCM 2010 V Def_PAO-CAF-RESOP_09_2013_Zone_IDF (version 2)" xfId="721" xr:uid="{00000000-0005-0000-0000-000040020000}"/>
    <cellStyle name="c_Manager (2)_Actualisation provision contrat déficitaire SNCM 2010 V Def_PAO-CAF-RESOP_10_12" xfId="722" xr:uid="{00000000-0005-0000-0000-000041020000}"/>
    <cellStyle name="c_Manager (2)_Actualisation provision contrat déficitaire SNCM 2010 V Def_PAO-CAF-RESOP_10_12_Bridge_Zone_Sud" xfId="723" xr:uid="{00000000-0005-0000-0000-000042020000}"/>
    <cellStyle name="c_Manager (2)_Actualisation provision contrat déficitaire SNCM 2010 V Def_PAO-CAF-RESOP_10_12_focus par entités CAFOP" xfId="724" xr:uid="{00000000-0005-0000-0000-000043020000}"/>
    <cellStyle name="c_Manager (2)_Actualisation provision contrat déficitaire SNCM 2010 V Def_PAO-CAF-RESOP_10_12_focus par entités CAFOP_Bridge_Zone_Sud" xfId="725" xr:uid="{00000000-0005-0000-0000-000044020000}"/>
    <cellStyle name="c_Manager (2)_Actualisation provision contrat déficitaire SNCM 2010 V Def_PAO-CAF-RESOP_11_13" xfId="726" xr:uid="{00000000-0005-0000-0000-000045020000}"/>
    <cellStyle name="c_Manager (2)_Actualisation provision contrat déficitaire SNCM 2010 V Def_PAO-CAF-RESOP_B13" xfId="727" xr:uid="{00000000-0005-0000-0000-000046020000}"/>
    <cellStyle name="c_Manager (2)_Actualisation provision contrat déficitaire SNCM 2010 V Def_PAO-CAF-RESOP_B13_Bridge_Zone_Sud" xfId="728" xr:uid="{00000000-0005-0000-0000-000047020000}"/>
    <cellStyle name="c_Manager (2)_Actualisation provision contrat déficitaire SNCM 2010 V Def_PAO-CAF-RESOP_B13_focus par entités CAFOP" xfId="729" xr:uid="{00000000-0005-0000-0000-000048020000}"/>
    <cellStyle name="c_Manager (2)_Actualisation provision contrat déficitaire SNCM 2010 V Def_PAO-CAF-RESOP_B13_focus par entités CAFOP_Bridge_Zone_Sud" xfId="730" xr:uid="{00000000-0005-0000-0000-000049020000}"/>
    <cellStyle name="c_Manager (2)_Actualisation provision contrat déficitaire SNCM 2010 V Def_PAO-CAF-RESOP_B2014" xfId="731" xr:uid="{00000000-0005-0000-0000-00004A020000}"/>
    <cellStyle name="c_Manager (2)_Actualisation provision contrat déficitaire SNCM 2010 V Def_PAO-CAF-RESOP_B2014_Bridge_Zone_Sud" xfId="732" xr:uid="{00000000-0005-0000-0000-00004B020000}"/>
    <cellStyle name="c_Manager (2)_Actualisation provision contrat déficitaire SNCM 2010 V Def_PAO-CAF-RESOP_B2014_v2" xfId="733" xr:uid="{00000000-0005-0000-0000-00004C020000}"/>
    <cellStyle name="c_Manager (2)_Actualisation provision contrat déficitaire SNCM 2010 V Def_PAO-CAF-RESOP_E2_13" xfId="734" xr:uid="{00000000-0005-0000-0000-00004D020000}"/>
    <cellStyle name="c_Manager (2)_Actualisation provision contrat déficitaire SNCM 2010 V Def_PAO-CAF-RESOP_E2_13_Bridge_Zone_Sud" xfId="735" xr:uid="{00000000-0005-0000-0000-00004E020000}"/>
    <cellStyle name="c_Manager (2)_Actualisation provision contrat déficitaire SNCM 2010 V Def_PAO-CAF-RESOP_E2_2013_03_10_19H" xfId="736" xr:uid="{00000000-0005-0000-0000-00004F020000}"/>
    <cellStyle name="c_Manager (2)_Actualisation provision contrat déficitaire SNCM 2010 V Def_PAO-CAF-RESOP_E2_2013_03_10_19H_Bridge_Zone_Sud" xfId="737" xr:uid="{00000000-0005-0000-0000-000050020000}"/>
    <cellStyle name="c_Manager (2)_Actualisation provision contrat déficitaire SNCM 2010 V Def_Synthèse_Présentation_conso_retraitée" xfId="738" xr:uid="{00000000-0005-0000-0000-000051020000}"/>
    <cellStyle name="c_Manager (2)_Actualisation provision contrat déficitaire SNCM 2011 V3 30 05 2011" xfId="739" xr:uid="{00000000-0005-0000-0000-000052020000}"/>
    <cellStyle name="c_Manager (2)_Actualisation provision contrat déficitaire SNCM 2011 V3 30 05 2011_B14_E2_2210" xfId="740" xr:uid="{00000000-0005-0000-0000-000053020000}"/>
    <cellStyle name="c_Manager (2)_Actualisation provision contrat déficitaire SNCM 2011 V3 30 05 2011_B14_E2_2210_Bridge_Zone_Sud" xfId="741" xr:uid="{00000000-0005-0000-0000-000054020000}"/>
    <cellStyle name="c_Manager (2)_Actualisation provision contrat déficitaire SNCM 2011 V3 30 05 2011_Bridge_Zone_Sud" xfId="742" xr:uid="{00000000-0005-0000-0000-000055020000}"/>
    <cellStyle name="c_Manager (2)_Actualisation provision contrat déficitaire SNCM 2011 V3 30 05 2011_CAPEM BY COUNTRY" xfId="743" xr:uid="{00000000-0005-0000-0000-000056020000}"/>
    <cellStyle name="c_Manager (2)_Actualisation provision contrat déficitaire SNCM 2011 V3 30 05 2011_focus par entités CAFOPE2AMF" xfId="744" xr:uid="{00000000-0005-0000-0000-000057020000}"/>
    <cellStyle name="c_Manager (2)_Actualisation provision contrat déficitaire SNCM 2011 V3 30 05 2011_focus par entités CAFOPE2AMF_Bridge_Zone_Sud" xfId="745" xr:uid="{00000000-0005-0000-0000-000058020000}"/>
    <cellStyle name="c_Manager (2)_Actualisation provision contrat déficitaire SNCM 2011 V3 30 05 2011_Maquette PLT" xfId="746" xr:uid="{00000000-0005-0000-0000-000059020000}"/>
    <cellStyle name="c_Manager (2)_Actualisation provision contrat déficitaire SNCM 2011 V3 30 05 2011_Output" xfId="3362" xr:uid="{00000000-0005-0000-0000-00005A020000}"/>
    <cellStyle name="c_Manager (2)_Actualisation provision contrat déficitaire SNCM 2011 V3 30 05 2011_PAO-CAF-RESOP_04_13_pro_format_variante T1" xfId="747" xr:uid="{00000000-0005-0000-0000-00005B020000}"/>
    <cellStyle name="c_Manager (2)_Actualisation provision contrat déficitaire SNCM 2011 V3 30 05 2011_PAO-CAF-RESOP_04_13_pro_format_variante T1_Bridge_Zone_Sud" xfId="748" xr:uid="{00000000-0005-0000-0000-00005C020000}"/>
    <cellStyle name="c_Manager (2)_Actualisation provision contrat déficitaire SNCM 2011 V3 30 05 2011_PAO-CAF-RESOP_06_13" xfId="749" xr:uid="{00000000-0005-0000-0000-00005D020000}"/>
    <cellStyle name="c_Manager (2)_Actualisation provision contrat déficitaire SNCM 2011 V3 30 05 2011_PAO-CAF-RESOP_06_13_Bridge_Zone_Sud" xfId="750" xr:uid="{00000000-0005-0000-0000-00005E020000}"/>
    <cellStyle name="c_Manager (2)_Actualisation provision contrat déficitaire SNCM 2011 V3 30 05 2011_PAO-CAF-RESOP_08_13" xfId="751" xr:uid="{00000000-0005-0000-0000-00005F020000}"/>
    <cellStyle name="c_Manager (2)_Actualisation provision contrat déficitaire SNCM 2011 V3 30 05 2011_PAO-CAF-RESOP_08_13_Bridge_Zone_Sud" xfId="752" xr:uid="{00000000-0005-0000-0000-000060020000}"/>
    <cellStyle name="c_Manager (2)_Actualisation provision contrat déficitaire SNCM 2011 V3 30 05 2011_PAO-CAF-RESOP_09_13" xfId="753" xr:uid="{00000000-0005-0000-0000-000061020000}"/>
    <cellStyle name="c_Manager (2)_Actualisation provision contrat déficitaire SNCM 2011 V3 30 05 2011_PAO-CAF-RESOP_09_13_Bridge_Zone_Sud" xfId="754" xr:uid="{00000000-0005-0000-0000-000062020000}"/>
    <cellStyle name="c_Manager (2)_Actualisation provision contrat déficitaire SNCM 2011 V3 30 05 2011_PAO-CAF-RESOP_09_2013_Zone_IDF (version 2)" xfId="755" xr:uid="{00000000-0005-0000-0000-000063020000}"/>
    <cellStyle name="c_Manager (2)_Actualisation provision contrat déficitaire SNCM 2011 V3 30 05 2011_PAO-CAF-RESOP_10_12" xfId="756" xr:uid="{00000000-0005-0000-0000-000064020000}"/>
    <cellStyle name="c_Manager (2)_Actualisation provision contrat déficitaire SNCM 2011 V3 30 05 2011_PAO-CAF-RESOP_10_12_Bridge_Zone_Sud" xfId="757" xr:uid="{00000000-0005-0000-0000-000065020000}"/>
    <cellStyle name="c_Manager (2)_Actualisation provision contrat déficitaire SNCM 2011 V3 30 05 2011_PAO-CAF-RESOP_10_12_focus par entités CAFOP" xfId="758" xr:uid="{00000000-0005-0000-0000-000066020000}"/>
    <cellStyle name="c_Manager (2)_Actualisation provision contrat déficitaire SNCM 2011 V3 30 05 2011_PAO-CAF-RESOP_10_12_focus par entités CAFOP_Bridge_Zone_Sud" xfId="759" xr:uid="{00000000-0005-0000-0000-000067020000}"/>
    <cellStyle name="c_Manager (2)_Actualisation provision contrat déficitaire SNCM 2011 V3 30 05 2011_PAO-CAF-RESOP_11_13" xfId="760" xr:uid="{00000000-0005-0000-0000-000068020000}"/>
    <cellStyle name="c_Manager (2)_Actualisation provision contrat déficitaire SNCM 2011 V3 30 05 2011_PAO-CAF-RESOP_B13" xfId="761" xr:uid="{00000000-0005-0000-0000-000069020000}"/>
    <cellStyle name="c_Manager (2)_Actualisation provision contrat déficitaire SNCM 2011 V3 30 05 2011_PAO-CAF-RESOP_B13_Bridge_Zone_Sud" xfId="762" xr:uid="{00000000-0005-0000-0000-00006A020000}"/>
    <cellStyle name="c_Manager (2)_Actualisation provision contrat déficitaire SNCM 2011 V3 30 05 2011_PAO-CAF-RESOP_B13_focus par entités CAFOP" xfId="763" xr:uid="{00000000-0005-0000-0000-00006B020000}"/>
    <cellStyle name="c_Manager (2)_Actualisation provision contrat déficitaire SNCM 2011 V3 30 05 2011_PAO-CAF-RESOP_B13_focus par entités CAFOP_Bridge_Zone_Sud" xfId="764" xr:uid="{00000000-0005-0000-0000-00006C020000}"/>
    <cellStyle name="c_Manager (2)_Actualisation provision contrat déficitaire SNCM 2011 V3 30 05 2011_PAO-CAF-RESOP_B2014" xfId="765" xr:uid="{00000000-0005-0000-0000-00006D020000}"/>
    <cellStyle name="c_Manager (2)_Actualisation provision contrat déficitaire SNCM 2011 V3 30 05 2011_PAO-CAF-RESOP_B2014_Bridge_Zone_Sud" xfId="766" xr:uid="{00000000-0005-0000-0000-00006E020000}"/>
    <cellStyle name="c_Manager (2)_Actualisation provision contrat déficitaire SNCM 2011 V3 30 05 2011_PAO-CAF-RESOP_B2014_v2" xfId="767" xr:uid="{00000000-0005-0000-0000-00006F020000}"/>
    <cellStyle name="c_Manager (2)_Actualisation provision contrat déficitaire SNCM 2011 V3 30 05 2011_PAO-CAF-RESOP_E2_13" xfId="768" xr:uid="{00000000-0005-0000-0000-000070020000}"/>
    <cellStyle name="c_Manager (2)_Actualisation provision contrat déficitaire SNCM 2011 V3 30 05 2011_PAO-CAF-RESOP_E2_13_Bridge_Zone_Sud" xfId="769" xr:uid="{00000000-0005-0000-0000-000071020000}"/>
    <cellStyle name="c_Manager (2)_Actualisation provision contrat déficitaire SNCM 2011 V3 30 05 2011_PAO-CAF-RESOP_E2_2013_03_10_19H" xfId="770" xr:uid="{00000000-0005-0000-0000-000072020000}"/>
    <cellStyle name="c_Manager (2)_Actualisation provision contrat déficitaire SNCM 2011 V3 30 05 2011_PAO-CAF-RESOP_E2_2013_03_10_19H_Bridge_Zone_Sud" xfId="771" xr:uid="{00000000-0005-0000-0000-000073020000}"/>
    <cellStyle name="c_Manager (2)_Actualisation provision contrat déficitaire SNCM 2011 V3 30 05 2011_Synthèse_Présentation_conso_retraitée" xfId="772" xr:uid="{00000000-0005-0000-0000-000074020000}"/>
    <cellStyle name="c_Manager (2)_BFR_TD_2014.02" xfId="773" xr:uid="{00000000-0005-0000-0000-000075020000}"/>
    <cellStyle name="c_Manager (2)_Bridge_Zone_Nord" xfId="774" xr:uid="{00000000-0005-0000-0000-000076020000}"/>
    <cellStyle name="c_Manager (2)_CAPEM BY COUNTRY" xfId="775" xr:uid="{00000000-0005-0000-0000-000077020000}"/>
    <cellStyle name="c_Manager (2)_LI819L_B13" xfId="776" xr:uid="{00000000-0005-0000-0000-000078020000}"/>
    <cellStyle name="c_Manager (2)_LI819L_B13_CAPEM BY COUNTRY" xfId="777" xr:uid="{00000000-0005-0000-0000-000079020000}"/>
    <cellStyle name="c_Manager (2)_LI819L_B13_Maquette PLT" xfId="778" xr:uid="{00000000-0005-0000-0000-00007A020000}"/>
    <cellStyle name="c_Manager (2)_LI819L_B13_Output" xfId="3363" xr:uid="{00000000-0005-0000-0000-00007B020000}"/>
    <cellStyle name="c_Manager (2)_Maquette PLT" xfId="779" xr:uid="{00000000-0005-0000-0000-00007C020000}"/>
    <cellStyle name="c_Manager (2)_Output" xfId="3360" xr:uid="{00000000-0005-0000-0000-00007D020000}"/>
    <cellStyle name="c_Manager (2)_PAO-CAF-RESOP_14_01_13 à 20h" xfId="780" xr:uid="{00000000-0005-0000-0000-00007E020000}"/>
    <cellStyle name="c_Manager (2)_PAO-CAF-RESOP_14_01_13 à 20h_CAPEM BY COUNTRY" xfId="781" xr:uid="{00000000-0005-0000-0000-00007F020000}"/>
    <cellStyle name="c_Manager (2)_PAO-CAF-RESOP_14_01_13 à 20h_Maquette PLT" xfId="782" xr:uid="{00000000-0005-0000-0000-000080020000}"/>
    <cellStyle name="c_Manager (2)_PAO-CAF-RESOP_14_01_13 à 20h_Output" xfId="3364" xr:uid="{00000000-0005-0000-0000-000081020000}"/>
    <cellStyle name="c_Manager (2)_PAO-CAF-RESOP_2014.02" xfId="783" xr:uid="{00000000-0005-0000-0000-000082020000}"/>
    <cellStyle name="c_Manager (2)_PAO-CAF-RESOP_2014.02_Bridge_Zone_Sud" xfId="784" xr:uid="{00000000-0005-0000-0000-000083020000}"/>
    <cellStyle name="c_Maquette PLT" xfId="785" xr:uid="{00000000-0005-0000-0000-000084020000}"/>
    <cellStyle name="c_Output" xfId="3345" xr:uid="{00000000-0005-0000-0000-000085020000}"/>
    <cellStyle name="c_PAO-CAF-RESOP_14_01_13 à 20h" xfId="786" xr:uid="{00000000-0005-0000-0000-000086020000}"/>
    <cellStyle name="c_PAO-CAF-RESOP_14_01_13 à 20h_CAPEM BY COUNTRY" xfId="787" xr:uid="{00000000-0005-0000-0000-000087020000}"/>
    <cellStyle name="c_PAO-CAF-RESOP_14_01_13 à 20h_Maquette PLT" xfId="788" xr:uid="{00000000-0005-0000-0000-000088020000}"/>
    <cellStyle name="c_PAO-CAF-RESOP_14_01_13 à 20h_Output" xfId="3365" xr:uid="{00000000-0005-0000-0000-000089020000}"/>
    <cellStyle name="c_PAO-CAF-RESOP_2014.02" xfId="789" xr:uid="{00000000-0005-0000-0000-00008A020000}"/>
    <cellStyle name="c_PAO-CAF-RESOP_2014.02_Bridge_Zone_Sud" xfId="790" xr:uid="{00000000-0005-0000-0000-00008B020000}"/>
    <cellStyle name="c0" xfId="791" xr:uid="{00000000-0005-0000-0000-00008C020000}"/>
    <cellStyle name="cach" xfId="792" xr:uid="{00000000-0005-0000-0000-00008D020000}"/>
    <cellStyle name="Calcul 2" xfId="793" xr:uid="{00000000-0005-0000-0000-00008E020000}"/>
    <cellStyle name="Calculation" xfId="147" xr:uid="{00000000-0005-0000-0000-00008F020000}"/>
    <cellStyle name="Calculation 2" xfId="148" xr:uid="{00000000-0005-0000-0000-000090020000}"/>
    <cellStyle name="Calculation 3" xfId="149" xr:uid="{00000000-0005-0000-0000-000091020000}"/>
    <cellStyle name="Calculation 4" xfId="150" xr:uid="{00000000-0005-0000-0000-000092020000}"/>
    <cellStyle name="Calculation 5" xfId="151" xr:uid="{00000000-0005-0000-0000-000093020000}"/>
    <cellStyle name="Calculation_Action Plan" xfId="794" xr:uid="{00000000-0005-0000-0000-000094020000}"/>
    <cellStyle name="Cellule liée 2" xfId="795" xr:uid="{00000000-0005-0000-0000-000095020000}"/>
    <cellStyle name="Check Cell" xfId="152" xr:uid="{00000000-0005-0000-0000-000096020000}"/>
    <cellStyle name="Check Cell 2" xfId="153" xr:uid="{00000000-0005-0000-0000-000097020000}"/>
    <cellStyle name="Check Cell 3" xfId="154" xr:uid="{00000000-0005-0000-0000-000098020000}"/>
    <cellStyle name="Check Cell 4" xfId="155" xr:uid="{00000000-0005-0000-0000-000099020000}"/>
    <cellStyle name="Check Cell 5" xfId="156" xr:uid="{00000000-0005-0000-0000-00009A020000}"/>
    <cellStyle name="Check Cell 6" xfId="157" xr:uid="{00000000-0005-0000-0000-00009B020000}"/>
    <cellStyle name="Check Cell_Decote croissance organique" xfId="796" xr:uid="{00000000-0005-0000-0000-00009C020000}"/>
    <cellStyle name="chiffre" xfId="797" xr:uid="{00000000-0005-0000-0000-00009D020000}"/>
    <cellStyle name="co" xfId="798" xr:uid="{00000000-0005-0000-0000-00009E020000}"/>
    <cellStyle name="ColumnHeading" xfId="158" xr:uid="{00000000-0005-0000-0000-00009F020000}"/>
    <cellStyle name="Comma [1]" xfId="799" xr:uid="{00000000-0005-0000-0000-0000A0020000}"/>
    <cellStyle name="Comma [2]" xfId="800" xr:uid="{00000000-0005-0000-0000-0000A1020000}"/>
    <cellStyle name="Comma 2" xfId="159" xr:uid="{00000000-0005-0000-0000-0000A2020000}"/>
    <cellStyle name="Comma 3" xfId="160" xr:uid="{00000000-0005-0000-0000-0000A3020000}"/>
    <cellStyle name="Comma 4" xfId="161" xr:uid="{00000000-0005-0000-0000-0000A4020000}"/>
    <cellStyle name="Comma 5" xfId="162" xr:uid="{00000000-0005-0000-0000-0000A5020000}"/>
    <cellStyle name="Comma 6" xfId="163" xr:uid="{00000000-0005-0000-0000-0000A6020000}"/>
    <cellStyle name="Comma 7" xfId="164" xr:uid="{00000000-0005-0000-0000-0000A7020000}"/>
    <cellStyle name="Comma 8" xfId="165" xr:uid="{00000000-0005-0000-0000-0000A8020000}"/>
    <cellStyle name="Commentaire 2" xfId="801" xr:uid="{00000000-0005-0000-0000-0000A9020000}"/>
    <cellStyle name="Commentaire 3" xfId="802" xr:uid="{00000000-0005-0000-0000-0000AA020000}"/>
    <cellStyle name="Commentaire 4" xfId="803" xr:uid="{00000000-0005-0000-0000-0000AB020000}"/>
    <cellStyle name="Currency [1]" xfId="804" xr:uid="{00000000-0005-0000-0000-0000AC020000}"/>
    <cellStyle name="Currency [2]" xfId="805" xr:uid="{00000000-0005-0000-0000-0000AD020000}"/>
    <cellStyle name="Currency-Denomination" xfId="806" xr:uid="{00000000-0005-0000-0000-0000AE020000}"/>
    <cellStyle name="Dash" xfId="807" xr:uid="{00000000-0005-0000-0000-0000AF020000}"/>
    <cellStyle name="Decimal_0dp" xfId="808" xr:uid="{00000000-0005-0000-0000-0000B0020000}"/>
    <cellStyle name="Dezimal__Utopia Index Index und Guidance (Deutsch)" xfId="809" xr:uid="{00000000-0005-0000-0000-0000B1020000}"/>
    <cellStyle name="Entrée 2" xfId="810" xr:uid="{00000000-0005-0000-0000-0000B2020000}"/>
    <cellStyle name="Euro" xfId="166" xr:uid="{00000000-0005-0000-0000-0000B3020000}"/>
    <cellStyle name="Euro 2" xfId="811" xr:uid="{00000000-0005-0000-0000-0000B4020000}"/>
    <cellStyle name="Euro 3" xfId="812" xr:uid="{00000000-0005-0000-0000-0000B5020000}"/>
    <cellStyle name="Euro 3 2" xfId="813" xr:uid="{00000000-0005-0000-0000-0000B6020000}"/>
    <cellStyle name="Euro 3_IFRIC 12 classique" xfId="814" xr:uid="{00000000-0005-0000-0000-0000B7020000}"/>
    <cellStyle name="Euro_BFR_TD_2014.02" xfId="815" xr:uid="{00000000-0005-0000-0000-0000B8020000}"/>
    <cellStyle name="Explanatory Text" xfId="167" xr:uid="{00000000-0005-0000-0000-0000B9020000}"/>
    <cellStyle name="Explanatory Text 2" xfId="168" xr:uid="{00000000-0005-0000-0000-0000BA020000}"/>
    <cellStyle name="Explanatory Text 3" xfId="169" xr:uid="{00000000-0005-0000-0000-0000BB020000}"/>
    <cellStyle name="Explanatory Text 4" xfId="170" xr:uid="{00000000-0005-0000-0000-0000BC020000}"/>
    <cellStyle name="Explanatory Text 5" xfId="171" xr:uid="{00000000-0005-0000-0000-0000BD020000}"/>
    <cellStyle name="Explanatory Text 6" xfId="172" xr:uid="{00000000-0005-0000-0000-0000BE020000}"/>
    <cellStyle name="Explanatory Text_Decote croissance organique" xfId="816" xr:uid="{00000000-0005-0000-0000-0000BF020000}"/>
    <cellStyle name="EY Narrative text" xfId="817" xr:uid="{00000000-0005-0000-0000-0000C0020000}"/>
    <cellStyle name="EY%colcalc" xfId="818" xr:uid="{00000000-0005-0000-0000-0000C1020000}"/>
    <cellStyle name="EY%colcalc 2" xfId="819" xr:uid="{00000000-0005-0000-0000-0000C2020000}"/>
    <cellStyle name="EY%input" xfId="820" xr:uid="{00000000-0005-0000-0000-0000C3020000}"/>
    <cellStyle name="EY%input 2" xfId="821" xr:uid="{00000000-0005-0000-0000-0000C4020000}"/>
    <cellStyle name="EY%rowcalc" xfId="822" xr:uid="{00000000-0005-0000-0000-0000C5020000}"/>
    <cellStyle name="EY%rowcalc 2" xfId="823" xr:uid="{00000000-0005-0000-0000-0000C6020000}"/>
    <cellStyle name="EY0dp" xfId="824" xr:uid="{00000000-0005-0000-0000-0000C7020000}"/>
    <cellStyle name="EY0dp 2" xfId="825" xr:uid="{00000000-0005-0000-0000-0000C8020000}"/>
    <cellStyle name="EY1dp" xfId="826" xr:uid="{00000000-0005-0000-0000-0000C9020000}"/>
    <cellStyle name="EY1dp 2" xfId="827" xr:uid="{00000000-0005-0000-0000-0000CA020000}"/>
    <cellStyle name="EY2dp" xfId="828" xr:uid="{00000000-0005-0000-0000-0000CB020000}"/>
    <cellStyle name="EY2dp 2" xfId="829" xr:uid="{00000000-0005-0000-0000-0000CC020000}"/>
    <cellStyle name="EY3dp" xfId="830" xr:uid="{00000000-0005-0000-0000-0000CD020000}"/>
    <cellStyle name="EY3dp 2" xfId="831" xr:uid="{00000000-0005-0000-0000-0000CE020000}"/>
    <cellStyle name="EYColumnHeading" xfId="832" xr:uid="{00000000-0005-0000-0000-0000CF020000}"/>
    <cellStyle name="EYColumnHeading 2" xfId="833" xr:uid="{00000000-0005-0000-0000-0000D0020000}"/>
    <cellStyle name="EYColumnHeading 3" xfId="834" xr:uid="{00000000-0005-0000-0000-0000D1020000}"/>
    <cellStyle name="EYColumnHeading_Decote croissance organique" xfId="835" xr:uid="{00000000-0005-0000-0000-0000D2020000}"/>
    <cellStyle name="EYColumnHeadingItalic" xfId="836" xr:uid="{00000000-0005-0000-0000-0000D3020000}"/>
    <cellStyle name="EYCoverDatabookName" xfId="837" xr:uid="{00000000-0005-0000-0000-0000D4020000}"/>
    <cellStyle name="EYCoverDate" xfId="838" xr:uid="{00000000-0005-0000-0000-0000D5020000}"/>
    <cellStyle name="EYCoverDraft" xfId="839" xr:uid="{00000000-0005-0000-0000-0000D6020000}"/>
    <cellStyle name="EYCoverProjectName" xfId="840" xr:uid="{00000000-0005-0000-0000-0000D7020000}"/>
    <cellStyle name="EYCurrency" xfId="841" xr:uid="{00000000-0005-0000-0000-0000D8020000}"/>
    <cellStyle name="EYHeading1" xfId="842" xr:uid="{00000000-0005-0000-0000-0000D9020000}"/>
    <cellStyle name="EYheading2" xfId="843" xr:uid="{00000000-0005-0000-0000-0000DA020000}"/>
    <cellStyle name="EYheading3" xfId="844" xr:uid="{00000000-0005-0000-0000-0000DB020000}"/>
    <cellStyle name="EYNotes" xfId="845" xr:uid="{00000000-0005-0000-0000-0000DC020000}"/>
    <cellStyle name="EYNotesHeading" xfId="846" xr:uid="{00000000-0005-0000-0000-0000DD020000}"/>
    <cellStyle name="EYnumber" xfId="847" xr:uid="{00000000-0005-0000-0000-0000DE020000}"/>
    <cellStyle name="EYnumber 2" xfId="848" xr:uid="{00000000-0005-0000-0000-0000DF020000}"/>
    <cellStyle name="EYSectionHeading" xfId="849" xr:uid="{00000000-0005-0000-0000-0000E0020000}"/>
    <cellStyle name="EYSheetHeader1" xfId="850" xr:uid="{00000000-0005-0000-0000-0000E1020000}"/>
    <cellStyle name="EYSheetHeading" xfId="851" xr:uid="{00000000-0005-0000-0000-0000E2020000}"/>
    <cellStyle name="EYsmallheading" xfId="852" xr:uid="{00000000-0005-0000-0000-0000E3020000}"/>
    <cellStyle name="EYSource" xfId="853" xr:uid="{00000000-0005-0000-0000-0000E4020000}"/>
    <cellStyle name="EYtext" xfId="854" xr:uid="{00000000-0005-0000-0000-0000E5020000}"/>
    <cellStyle name="EYtext 2" xfId="855" xr:uid="{00000000-0005-0000-0000-0000E6020000}"/>
    <cellStyle name="EYtext 3" xfId="856" xr:uid="{00000000-0005-0000-0000-0000E7020000}"/>
    <cellStyle name="EYtext_Decote croissance organique" xfId="857" xr:uid="{00000000-0005-0000-0000-0000E8020000}"/>
    <cellStyle name="EYtextbold" xfId="858" xr:uid="{00000000-0005-0000-0000-0000E9020000}"/>
    <cellStyle name="EYtextbolditalic" xfId="859" xr:uid="{00000000-0005-0000-0000-0000EA020000}"/>
    <cellStyle name="EYtextitalic" xfId="860" xr:uid="{00000000-0005-0000-0000-0000EB020000}"/>
    <cellStyle name="Followed Hyperlink" xfId="861" xr:uid="{00000000-0005-0000-0000-0000EC020000}"/>
    <cellStyle name="Forecast Cell Column Heading" xfId="862" xr:uid="{00000000-0005-0000-0000-0000ED020000}"/>
    <cellStyle name="FormattingSheetDelimitor" xfId="863" xr:uid="{00000000-0005-0000-0000-0000EE020000}"/>
    <cellStyle name="FRxAmtStyle" xfId="864" xr:uid="{00000000-0005-0000-0000-0000EF020000}"/>
    <cellStyle name="FRxPcntStyle" xfId="865" xr:uid="{00000000-0005-0000-0000-0000F0020000}"/>
    <cellStyle name="Good" xfId="173" xr:uid="{00000000-0005-0000-0000-0000F1020000}"/>
    <cellStyle name="Good 2" xfId="174" xr:uid="{00000000-0005-0000-0000-0000F2020000}"/>
    <cellStyle name="Good 3" xfId="175" xr:uid="{00000000-0005-0000-0000-0000F3020000}"/>
    <cellStyle name="Good 4" xfId="176" xr:uid="{00000000-0005-0000-0000-0000F4020000}"/>
    <cellStyle name="Good 5" xfId="177" xr:uid="{00000000-0005-0000-0000-0000F5020000}"/>
    <cellStyle name="Good 6" xfId="178" xr:uid="{00000000-0005-0000-0000-0000F6020000}"/>
    <cellStyle name="Good_Decote croissance organique" xfId="866" xr:uid="{00000000-0005-0000-0000-0000F7020000}"/>
    <cellStyle name="h" xfId="867" xr:uid="{00000000-0005-0000-0000-0000F8020000}"/>
    <cellStyle name="Heading 1" xfId="179" xr:uid="{00000000-0005-0000-0000-0000F9020000}"/>
    <cellStyle name="Heading 1 2" xfId="180" xr:uid="{00000000-0005-0000-0000-0000FA020000}"/>
    <cellStyle name="Heading 1 3" xfId="181" xr:uid="{00000000-0005-0000-0000-0000FB020000}"/>
    <cellStyle name="Heading 1 4" xfId="182" xr:uid="{00000000-0005-0000-0000-0000FC020000}"/>
    <cellStyle name="Heading 1 5" xfId="183" xr:uid="{00000000-0005-0000-0000-0000FD020000}"/>
    <cellStyle name="Heading 1 6" xfId="184" xr:uid="{00000000-0005-0000-0000-0000FE020000}"/>
    <cellStyle name="Heading 1_Decote croissance organique" xfId="868" xr:uid="{00000000-0005-0000-0000-0000FF020000}"/>
    <cellStyle name="Heading 2" xfId="185" xr:uid="{00000000-0005-0000-0000-000000030000}"/>
    <cellStyle name="Heading 2 2" xfId="186" xr:uid="{00000000-0005-0000-0000-000001030000}"/>
    <cellStyle name="Heading 2 3" xfId="187" xr:uid="{00000000-0005-0000-0000-000002030000}"/>
    <cellStyle name="Heading 2 4" xfId="188" xr:uid="{00000000-0005-0000-0000-000003030000}"/>
    <cellStyle name="Heading 2 5" xfId="189" xr:uid="{00000000-0005-0000-0000-000004030000}"/>
    <cellStyle name="Heading 2 6" xfId="190" xr:uid="{00000000-0005-0000-0000-000005030000}"/>
    <cellStyle name="Heading 2_Decote croissance organique" xfId="869" xr:uid="{00000000-0005-0000-0000-000006030000}"/>
    <cellStyle name="Heading 3" xfId="191" xr:uid="{00000000-0005-0000-0000-000007030000}"/>
    <cellStyle name="Heading 3 2" xfId="192" xr:uid="{00000000-0005-0000-0000-000008030000}"/>
    <cellStyle name="Heading 3 3" xfId="193" xr:uid="{00000000-0005-0000-0000-000009030000}"/>
    <cellStyle name="Heading 3 4" xfId="194" xr:uid="{00000000-0005-0000-0000-00000A030000}"/>
    <cellStyle name="Heading 3 5" xfId="195" xr:uid="{00000000-0005-0000-0000-00000B030000}"/>
    <cellStyle name="Heading 3 6" xfId="196" xr:uid="{00000000-0005-0000-0000-00000C030000}"/>
    <cellStyle name="Heading 3_Decote croissance organique" xfId="870" xr:uid="{00000000-0005-0000-0000-00000D030000}"/>
    <cellStyle name="Heading 4" xfId="197" xr:uid="{00000000-0005-0000-0000-00000E030000}"/>
    <cellStyle name="Heading 4 2" xfId="198" xr:uid="{00000000-0005-0000-0000-00000F030000}"/>
    <cellStyle name="Heading 4 3" xfId="199" xr:uid="{00000000-0005-0000-0000-000010030000}"/>
    <cellStyle name="Heading 4 4" xfId="200" xr:uid="{00000000-0005-0000-0000-000011030000}"/>
    <cellStyle name="Heading 4 5" xfId="201" xr:uid="{00000000-0005-0000-0000-000012030000}"/>
    <cellStyle name="Heading 4 6" xfId="202" xr:uid="{00000000-0005-0000-0000-000013030000}"/>
    <cellStyle name="Heading 4_Decote croissance organique" xfId="871" xr:uid="{00000000-0005-0000-0000-000014030000}"/>
    <cellStyle name="Hyperlink" xfId="872" xr:uid="{00000000-0005-0000-0000-000015030000}"/>
    <cellStyle name="Hyperlink 2" xfId="203" xr:uid="{00000000-0005-0000-0000-000016030000}"/>
    <cellStyle name="Hyperlink 3" xfId="204" xr:uid="{00000000-0005-0000-0000-000017030000}"/>
    <cellStyle name="Input" xfId="205" xr:uid="{00000000-0005-0000-0000-000018030000}"/>
    <cellStyle name="Input 2" xfId="206" xr:uid="{00000000-0005-0000-0000-000019030000}"/>
    <cellStyle name="Input 3" xfId="207" xr:uid="{00000000-0005-0000-0000-00001A030000}"/>
    <cellStyle name="Input 4" xfId="208" xr:uid="{00000000-0005-0000-0000-00001B030000}"/>
    <cellStyle name="Input 5" xfId="209" xr:uid="{00000000-0005-0000-0000-00001C030000}"/>
    <cellStyle name="Input_Action Plan" xfId="873" xr:uid="{00000000-0005-0000-0000-00001D030000}"/>
    <cellStyle name="InputBlueFont" xfId="874" xr:uid="{00000000-0005-0000-0000-00001E030000}"/>
    <cellStyle name="InputBlueFontLocked" xfId="875" xr:uid="{00000000-0005-0000-0000-00001F030000}"/>
    <cellStyle name="Insatisfaisant 2" xfId="876" xr:uid="{00000000-0005-0000-0000-000020030000}"/>
    <cellStyle name="KPMG Heading 1" xfId="877" xr:uid="{00000000-0005-0000-0000-000021030000}"/>
    <cellStyle name="KPMG Heading 2" xfId="878" xr:uid="{00000000-0005-0000-0000-000022030000}"/>
    <cellStyle name="KPMG Heading 3" xfId="879" xr:uid="{00000000-0005-0000-0000-000023030000}"/>
    <cellStyle name="KPMG Heading 4" xfId="880" xr:uid="{00000000-0005-0000-0000-000024030000}"/>
    <cellStyle name="KPMG Normal" xfId="881" xr:uid="{00000000-0005-0000-0000-000025030000}"/>
    <cellStyle name="KPMG Normal Text" xfId="882" xr:uid="{00000000-0005-0000-0000-000026030000}"/>
    <cellStyle name="KPMG Normal_CAPEM BY COUNTRY" xfId="883" xr:uid="{00000000-0005-0000-0000-000027030000}"/>
    <cellStyle name="Lien hypertexte 2" xfId="884" xr:uid="{00000000-0005-0000-0000-000028030000}"/>
    <cellStyle name="Lien hypertexte 3" xfId="210" xr:uid="{00000000-0005-0000-0000-000029030000}"/>
    <cellStyle name="Ligne détail" xfId="211" xr:uid="{00000000-0005-0000-0000-00002A030000}"/>
    <cellStyle name="Linked Cell" xfId="212" xr:uid="{00000000-0005-0000-0000-00002B030000}"/>
    <cellStyle name="Linked Cell 2" xfId="213" xr:uid="{00000000-0005-0000-0000-00002C030000}"/>
    <cellStyle name="Linked Cell 3" xfId="214" xr:uid="{00000000-0005-0000-0000-00002D030000}"/>
    <cellStyle name="Linked Cell 4" xfId="215" xr:uid="{00000000-0005-0000-0000-00002E030000}"/>
    <cellStyle name="Linked Cell 5" xfId="216" xr:uid="{00000000-0005-0000-0000-00002F030000}"/>
    <cellStyle name="Linked Cell_Business Review - Saisie" xfId="217" xr:uid="{00000000-0005-0000-0000-000030030000}"/>
    <cellStyle name="LTM Cell Column Heading" xfId="885" xr:uid="{00000000-0005-0000-0000-000031030000}"/>
    <cellStyle name="MEV4" xfId="218" xr:uid="{00000000-0005-0000-0000-000032030000}"/>
    <cellStyle name="MEV5" xfId="219" xr:uid="{00000000-0005-0000-0000-000033030000}"/>
    <cellStyle name="Milliers 2" xfId="220" xr:uid="{00000000-0005-0000-0000-000034030000}"/>
    <cellStyle name="Milliers 2 2" xfId="886" xr:uid="{00000000-0005-0000-0000-000035030000}"/>
    <cellStyle name="Milliers 2_Decote croissance organique" xfId="887" xr:uid="{00000000-0005-0000-0000-000036030000}"/>
    <cellStyle name="Milliers 3" xfId="221" xr:uid="{00000000-0005-0000-0000-000037030000}"/>
    <cellStyle name="Milliers 4" xfId="222" xr:uid="{00000000-0005-0000-0000-000038030000}"/>
    <cellStyle name="Milliers 5" xfId="888" xr:uid="{00000000-0005-0000-0000-000039030000}"/>
    <cellStyle name="Milliers 6" xfId="889" xr:uid="{00000000-0005-0000-0000-00003A030000}"/>
    <cellStyle name="Milliers 7" xfId="890" xr:uid="{00000000-0005-0000-0000-00003B030000}"/>
    <cellStyle name="Monétaire 2" xfId="891" xr:uid="{00000000-0005-0000-0000-00003C030000}"/>
    <cellStyle name="Multiple" xfId="892" xr:uid="{00000000-0005-0000-0000-00003D030000}"/>
    <cellStyle name="Multiple Cell Column Heading" xfId="893" xr:uid="{00000000-0005-0000-0000-00003E030000}"/>
    <cellStyle name="N?rmal_la?oux_larou?" xfId="223" xr:uid="{00000000-0005-0000-0000-00003F030000}"/>
    <cellStyle name="Navadno 2" xfId="894" xr:uid="{00000000-0005-0000-0000-000040030000}"/>
    <cellStyle name="Neutral" xfId="224" xr:uid="{00000000-0005-0000-0000-000041030000}"/>
    <cellStyle name="Neutral 2" xfId="225" xr:uid="{00000000-0005-0000-0000-000042030000}"/>
    <cellStyle name="Neutral 3" xfId="226" xr:uid="{00000000-0005-0000-0000-000043030000}"/>
    <cellStyle name="Neutral 4" xfId="227" xr:uid="{00000000-0005-0000-0000-000044030000}"/>
    <cellStyle name="Neutral 5" xfId="228" xr:uid="{00000000-0005-0000-0000-000045030000}"/>
    <cellStyle name="Neutral 6" xfId="229" xr:uid="{00000000-0005-0000-0000-000046030000}"/>
    <cellStyle name="Neutral_Decote croissance organique" xfId="895" xr:uid="{00000000-0005-0000-0000-000047030000}"/>
    <cellStyle name="Neutre 2" xfId="896" xr:uid="{00000000-0005-0000-0000-000048030000}"/>
    <cellStyle name="no" xfId="897" xr:uid="{00000000-0005-0000-0000-000049030000}"/>
    <cellStyle name="No-definido" xfId="898" xr:uid="{00000000-0005-0000-0000-00004A030000}"/>
    <cellStyle name="Non d‚fini" xfId="899" xr:uid="{00000000-0005-0000-0000-00004B030000}"/>
    <cellStyle name="Non d‚fini 2" xfId="900" xr:uid="{00000000-0005-0000-0000-00004C030000}"/>
    <cellStyle name="Non d‚fini_Decote croissance organique" xfId="901" xr:uid="{00000000-0005-0000-0000-00004D030000}"/>
    <cellStyle name="Norma?_On Hol?" xfId="230" xr:uid="{00000000-0005-0000-0000-00004E030000}"/>
    <cellStyle name="Normaᷬ_On Holᷤ" xfId="231" xr:uid="{00000000-0005-0000-0000-00004F030000}"/>
    <cellStyle name="Normaali 2" xfId="902" xr:uid="{00000000-0005-0000-0000-000050030000}"/>
    <cellStyle name="Normaali 2 2" xfId="903" xr:uid="{00000000-0005-0000-0000-000051030000}"/>
    <cellStyle name="Normaali 2 2 2" xfId="904" xr:uid="{00000000-0005-0000-0000-000052030000}"/>
    <cellStyle name="Normaali 2 3" xfId="905" xr:uid="{00000000-0005-0000-0000-000053030000}"/>
    <cellStyle name="Normaali 3" xfId="906" xr:uid="{00000000-0005-0000-0000-000054030000}"/>
    <cellStyle name="Normaali 3 2" xfId="907" xr:uid="{00000000-0005-0000-0000-000055030000}"/>
    <cellStyle name="Normaali 3_Action Plan" xfId="908" xr:uid="{00000000-0005-0000-0000-000056030000}"/>
    <cellStyle name="Normaali 4" xfId="909" xr:uid="{00000000-0005-0000-0000-000057030000}"/>
    <cellStyle name="Normaali 5" xfId="910" xr:uid="{00000000-0005-0000-0000-000058030000}"/>
    <cellStyle name="Normal" xfId="0" builtinId="0"/>
    <cellStyle name="Normal - Style1" xfId="232" xr:uid="{00000000-0005-0000-0000-00005A030000}"/>
    <cellStyle name="Normal - Style2" xfId="911" xr:uid="{00000000-0005-0000-0000-00005B030000}"/>
    <cellStyle name="Normal - Style3" xfId="912" xr:uid="{00000000-0005-0000-0000-00005C030000}"/>
    <cellStyle name="Normal - Style4" xfId="913" xr:uid="{00000000-0005-0000-0000-00005D030000}"/>
    <cellStyle name="Normal - Style5" xfId="914" xr:uid="{00000000-0005-0000-0000-00005E030000}"/>
    <cellStyle name="Normal - Style6" xfId="915" xr:uid="{00000000-0005-0000-0000-00005F030000}"/>
    <cellStyle name="Normal - Style7" xfId="916" xr:uid="{00000000-0005-0000-0000-000060030000}"/>
    <cellStyle name="Normal - Style8" xfId="917" xr:uid="{00000000-0005-0000-0000-000061030000}"/>
    <cellStyle name="Normal 10" xfId="3" xr:uid="{00000000-0005-0000-0000-000062030000}"/>
    <cellStyle name="Normal 10 2" xfId="918" xr:uid="{00000000-0005-0000-0000-000063030000}"/>
    <cellStyle name="Normal 10 2 2" xfId="919" xr:uid="{00000000-0005-0000-0000-000064030000}"/>
    <cellStyle name="Normal 10 2 3" xfId="920" xr:uid="{00000000-0005-0000-0000-000065030000}"/>
    <cellStyle name="Normal 10 2_CAPEM BY COUNTRY" xfId="921" xr:uid="{00000000-0005-0000-0000-000066030000}"/>
    <cellStyle name="Normal 10 3" xfId="922" xr:uid="{00000000-0005-0000-0000-000067030000}"/>
    <cellStyle name="Normal 10 4" xfId="923" xr:uid="{00000000-0005-0000-0000-000068030000}"/>
    <cellStyle name="Normal 10 5" xfId="924" xr:uid="{00000000-0005-0000-0000-000069030000}"/>
    <cellStyle name="Normal 10_CAPEX" xfId="925" xr:uid="{00000000-0005-0000-0000-00006A030000}"/>
    <cellStyle name="Normal 11" xfId="233" xr:uid="{00000000-0005-0000-0000-00006B030000}"/>
    <cellStyle name="Normal 11 2" xfId="926" xr:uid="{00000000-0005-0000-0000-00006C030000}"/>
    <cellStyle name="Normal 12" xfId="234" xr:uid="{00000000-0005-0000-0000-00006D030000}"/>
    <cellStyle name="Normal 13" xfId="235" xr:uid="{00000000-0005-0000-0000-00006E030000}"/>
    <cellStyle name="Normal 14" xfId="306" xr:uid="{00000000-0005-0000-0000-00006F030000}"/>
    <cellStyle name="Normal 15" xfId="927" xr:uid="{00000000-0005-0000-0000-000070030000}"/>
    <cellStyle name="Normal 15 2" xfId="928" xr:uid="{00000000-0005-0000-0000-000071030000}"/>
    <cellStyle name="Normal 15 2 2" xfId="929" xr:uid="{00000000-0005-0000-0000-000072030000}"/>
    <cellStyle name="Normal 15 2_Action Plan" xfId="930" xr:uid="{00000000-0005-0000-0000-000073030000}"/>
    <cellStyle name="Normal 15_Decote croissance organique" xfId="931" xr:uid="{00000000-0005-0000-0000-000074030000}"/>
    <cellStyle name="Normal 16" xfId="932" xr:uid="{00000000-0005-0000-0000-000075030000}"/>
    <cellStyle name="Normal 17" xfId="933" xr:uid="{00000000-0005-0000-0000-000076030000}"/>
    <cellStyle name="Normal 18" xfId="934" xr:uid="{00000000-0005-0000-0000-000077030000}"/>
    <cellStyle name="Normal 19" xfId="935" xr:uid="{00000000-0005-0000-0000-000078030000}"/>
    <cellStyle name="Normal 2" xfId="236" xr:uid="{00000000-0005-0000-0000-000079030000}"/>
    <cellStyle name="Normal 2 10" xfId="936" xr:uid="{00000000-0005-0000-0000-00007A030000}"/>
    <cellStyle name="Normal 2 11" xfId="937" xr:uid="{00000000-0005-0000-0000-00007B030000}"/>
    <cellStyle name="Normal 2 12" xfId="938" xr:uid="{00000000-0005-0000-0000-00007C030000}"/>
    <cellStyle name="Normal 2 13" xfId="939" xr:uid="{00000000-0005-0000-0000-00007D030000}"/>
    <cellStyle name="Normal 2 14" xfId="940" xr:uid="{00000000-0005-0000-0000-00007E030000}"/>
    <cellStyle name="Normal 2 15" xfId="941" xr:uid="{00000000-0005-0000-0000-00007F030000}"/>
    <cellStyle name="Normal 2 16" xfId="942" xr:uid="{00000000-0005-0000-0000-000080030000}"/>
    <cellStyle name="Normal 2 17" xfId="943" xr:uid="{00000000-0005-0000-0000-000081030000}"/>
    <cellStyle name="Normal 2 18" xfId="944" xr:uid="{00000000-0005-0000-0000-000082030000}"/>
    <cellStyle name="Normal 2 19" xfId="945" xr:uid="{00000000-0005-0000-0000-000083030000}"/>
    <cellStyle name="Normal 2 2" xfId="237" xr:uid="{00000000-0005-0000-0000-000084030000}"/>
    <cellStyle name="Normal 2 2 2" xfId="946" xr:uid="{00000000-0005-0000-0000-000085030000}"/>
    <cellStyle name="Normal 2 2_CAPEX" xfId="947" xr:uid="{00000000-0005-0000-0000-000086030000}"/>
    <cellStyle name="Normal 2 3" xfId="238" xr:uid="{00000000-0005-0000-0000-000087030000}"/>
    <cellStyle name="Normal 2 4" xfId="239" xr:uid="{00000000-0005-0000-0000-000088030000}"/>
    <cellStyle name="Normal 2 5" xfId="240" xr:uid="{00000000-0005-0000-0000-000089030000}"/>
    <cellStyle name="Normal 2 6" xfId="948" xr:uid="{00000000-0005-0000-0000-00008A030000}"/>
    <cellStyle name="Normal 2 7" xfId="949" xr:uid="{00000000-0005-0000-0000-00008B030000}"/>
    <cellStyle name="Normal 2 8" xfId="950" xr:uid="{00000000-0005-0000-0000-00008C030000}"/>
    <cellStyle name="Normal 2 9" xfId="951" xr:uid="{00000000-0005-0000-0000-00008D030000}"/>
    <cellStyle name="Normal 2_B14_E2_2210" xfId="952" xr:uid="{00000000-0005-0000-0000-00008E030000}"/>
    <cellStyle name="Normal 20" xfId="953" xr:uid="{00000000-0005-0000-0000-00008F030000}"/>
    <cellStyle name="Normal 21" xfId="954" xr:uid="{00000000-0005-0000-0000-000090030000}"/>
    <cellStyle name="Normal 22" xfId="955" xr:uid="{00000000-0005-0000-0000-000091030000}"/>
    <cellStyle name="Normal 23" xfId="956" xr:uid="{00000000-0005-0000-0000-000092030000}"/>
    <cellStyle name="Normal 24" xfId="957" xr:uid="{00000000-0005-0000-0000-000093030000}"/>
    <cellStyle name="Normal 25" xfId="958" xr:uid="{00000000-0005-0000-0000-000094030000}"/>
    <cellStyle name="Normal 26" xfId="959" xr:uid="{00000000-0005-0000-0000-000095030000}"/>
    <cellStyle name="Normal 27" xfId="960" xr:uid="{00000000-0005-0000-0000-000096030000}"/>
    <cellStyle name="Normal 28" xfId="961" xr:uid="{00000000-0005-0000-0000-000097030000}"/>
    <cellStyle name="Normal 28 2" xfId="962" xr:uid="{00000000-0005-0000-0000-000098030000}"/>
    <cellStyle name="Normal 28_Action Plan" xfId="963" xr:uid="{00000000-0005-0000-0000-000099030000}"/>
    <cellStyle name="Normal 29" xfId="964" xr:uid="{00000000-0005-0000-0000-00009A030000}"/>
    <cellStyle name="Normal 29 2" xfId="965" xr:uid="{00000000-0005-0000-0000-00009B030000}"/>
    <cellStyle name="Normal 29_Action Plan" xfId="966" xr:uid="{00000000-0005-0000-0000-00009C030000}"/>
    <cellStyle name="Normal 3" xfId="241" xr:uid="{00000000-0005-0000-0000-00009D030000}"/>
    <cellStyle name="Normal 3 10" xfId="967" xr:uid="{00000000-0005-0000-0000-00009E030000}"/>
    <cellStyle name="Normal 3 11" xfId="968" xr:uid="{00000000-0005-0000-0000-00009F030000}"/>
    <cellStyle name="Normal 3 12" xfId="969" xr:uid="{00000000-0005-0000-0000-0000A0030000}"/>
    <cellStyle name="Normal 3 13" xfId="970" xr:uid="{00000000-0005-0000-0000-0000A1030000}"/>
    <cellStyle name="Normal 3 14" xfId="971" xr:uid="{00000000-0005-0000-0000-0000A2030000}"/>
    <cellStyle name="Normal 3 2" xfId="1" xr:uid="{00000000-0005-0000-0000-0000A3030000}"/>
    <cellStyle name="Normal 3 2 2" xfId="972" xr:uid="{00000000-0005-0000-0000-0000A4030000}"/>
    <cellStyle name="Normal 3 2 3" xfId="973" xr:uid="{00000000-0005-0000-0000-0000A5030000}"/>
    <cellStyle name="Normal 3 2_CAPEX" xfId="974" xr:uid="{00000000-0005-0000-0000-0000A6030000}"/>
    <cellStyle name="Normal 3 3" xfId="242" xr:uid="{00000000-0005-0000-0000-0000A7030000}"/>
    <cellStyle name="Normal 3 4" xfId="243" xr:uid="{00000000-0005-0000-0000-0000A8030000}"/>
    <cellStyle name="Normal 3 5" xfId="244" xr:uid="{00000000-0005-0000-0000-0000A9030000}"/>
    <cellStyle name="Normal 3 6" xfId="245" xr:uid="{00000000-0005-0000-0000-0000AA030000}"/>
    <cellStyle name="Normal 3 7" xfId="246" xr:uid="{00000000-0005-0000-0000-0000AB030000}"/>
    <cellStyle name="Normal 3 8" xfId="975" xr:uid="{00000000-0005-0000-0000-0000AC030000}"/>
    <cellStyle name="Normal 3 9" xfId="976" xr:uid="{00000000-0005-0000-0000-0000AD030000}"/>
    <cellStyle name="Normal 3_0. Investissement" xfId="247" xr:uid="{00000000-0005-0000-0000-0000AE030000}"/>
    <cellStyle name="Normal 30" xfId="977" xr:uid="{00000000-0005-0000-0000-0000AF030000}"/>
    <cellStyle name="Normal 30 2" xfId="978" xr:uid="{00000000-0005-0000-0000-0000B0030000}"/>
    <cellStyle name="Normal 30 3" xfId="979" xr:uid="{00000000-0005-0000-0000-0000B1030000}"/>
    <cellStyle name="Normal 30_Action Plan" xfId="980" xr:uid="{00000000-0005-0000-0000-0000B2030000}"/>
    <cellStyle name="Normal 31" xfId="981" xr:uid="{00000000-0005-0000-0000-0000B3030000}"/>
    <cellStyle name="Normal 32" xfId="982" xr:uid="{00000000-0005-0000-0000-0000B4030000}"/>
    <cellStyle name="Normal 32 2" xfId="983" xr:uid="{00000000-0005-0000-0000-0000B5030000}"/>
    <cellStyle name="Normal 32_Action Plan" xfId="984" xr:uid="{00000000-0005-0000-0000-0000B6030000}"/>
    <cellStyle name="Normal 33" xfId="985" xr:uid="{00000000-0005-0000-0000-0000B7030000}"/>
    <cellStyle name="Normal 33 2" xfId="986" xr:uid="{00000000-0005-0000-0000-0000B8030000}"/>
    <cellStyle name="Normal 33_Action Plan" xfId="987" xr:uid="{00000000-0005-0000-0000-0000B9030000}"/>
    <cellStyle name="Normal 34" xfId="988" xr:uid="{00000000-0005-0000-0000-0000BA030000}"/>
    <cellStyle name="Normal 35" xfId="989" xr:uid="{00000000-0005-0000-0000-0000BB030000}"/>
    <cellStyle name="Normal 36" xfId="990" xr:uid="{00000000-0005-0000-0000-0000BC030000}"/>
    <cellStyle name="Normal 37" xfId="991" xr:uid="{00000000-0005-0000-0000-0000BD030000}"/>
    <cellStyle name="Normal 38" xfId="992" xr:uid="{00000000-0005-0000-0000-0000BE030000}"/>
    <cellStyle name="Normal 38 2" xfId="993" xr:uid="{00000000-0005-0000-0000-0000BF030000}"/>
    <cellStyle name="Normal 38 2 2" xfId="994" xr:uid="{00000000-0005-0000-0000-0000C0030000}"/>
    <cellStyle name="Normal 38 2_Action Plan" xfId="995" xr:uid="{00000000-0005-0000-0000-0000C1030000}"/>
    <cellStyle name="Normal 38_Action Plan" xfId="996" xr:uid="{00000000-0005-0000-0000-0000C2030000}"/>
    <cellStyle name="Normal 39" xfId="997" xr:uid="{00000000-0005-0000-0000-0000C3030000}"/>
    <cellStyle name="Normal 4" xfId="248" xr:uid="{00000000-0005-0000-0000-0000C4030000}"/>
    <cellStyle name="Normal 4 2" xfId="998" xr:uid="{00000000-0005-0000-0000-0000C5030000}"/>
    <cellStyle name="Normal 4 3" xfId="999" xr:uid="{00000000-0005-0000-0000-0000C6030000}"/>
    <cellStyle name="Normal 4 5" xfId="1000" xr:uid="{00000000-0005-0000-0000-0000C7030000}"/>
    <cellStyle name="Normal 4_B14_E2_2210" xfId="1001" xr:uid="{00000000-0005-0000-0000-0000C8030000}"/>
    <cellStyle name="Normal 40" xfId="1002" xr:uid="{00000000-0005-0000-0000-0000C9030000}"/>
    <cellStyle name="Normal 41" xfId="1003" xr:uid="{00000000-0005-0000-0000-0000CA030000}"/>
    <cellStyle name="Normal 42" xfId="1004" xr:uid="{00000000-0005-0000-0000-0000CB030000}"/>
    <cellStyle name="Normal 42 2" xfId="1005" xr:uid="{00000000-0005-0000-0000-0000CC030000}"/>
    <cellStyle name="Normal 42_Action Plan" xfId="1006" xr:uid="{00000000-0005-0000-0000-0000CD030000}"/>
    <cellStyle name="Normal 43" xfId="1007" xr:uid="{00000000-0005-0000-0000-0000CE030000}"/>
    <cellStyle name="Normal 43 2" xfId="1008" xr:uid="{00000000-0005-0000-0000-0000CF030000}"/>
    <cellStyle name="Normal 43 3" xfId="1009" xr:uid="{00000000-0005-0000-0000-0000D0030000}"/>
    <cellStyle name="Normal 43 4" xfId="1010" xr:uid="{00000000-0005-0000-0000-0000D1030000}"/>
    <cellStyle name="Normal 43 5" xfId="1011" xr:uid="{00000000-0005-0000-0000-0000D2030000}"/>
    <cellStyle name="Normal 43_Action Plan" xfId="1012" xr:uid="{00000000-0005-0000-0000-0000D3030000}"/>
    <cellStyle name="Normal 44" xfId="1013" xr:uid="{00000000-0005-0000-0000-0000D4030000}"/>
    <cellStyle name="Normal 45" xfId="1014" xr:uid="{00000000-0005-0000-0000-0000D5030000}"/>
    <cellStyle name="Normal 45 2" xfId="1015" xr:uid="{00000000-0005-0000-0000-0000D6030000}"/>
    <cellStyle name="Normal 45_Action Plan" xfId="1016" xr:uid="{00000000-0005-0000-0000-0000D7030000}"/>
    <cellStyle name="Normal 46" xfId="1017" xr:uid="{00000000-0005-0000-0000-0000D8030000}"/>
    <cellStyle name="Normal 46 2" xfId="1018" xr:uid="{00000000-0005-0000-0000-0000D9030000}"/>
    <cellStyle name="Normal 46 2 2" xfId="1019" xr:uid="{00000000-0005-0000-0000-0000DA030000}"/>
    <cellStyle name="Normal 46_CAPEX" xfId="1020" xr:uid="{00000000-0005-0000-0000-0000DB030000}"/>
    <cellStyle name="Normal 47" xfId="1021" xr:uid="{00000000-0005-0000-0000-0000DC030000}"/>
    <cellStyle name="Normal 48" xfId="1022" xr:uid="{00000000-0005-0000-0000-0000DD030000}"/>
    <cellStyle name="Normal 49" xfId="1023" xr:uid="{00000000-0005-0000-0000-0000DE030000}"/>
    <cellStyle name="Normal 5" xfId="249" xr:uid="{00000000-0005-0000-0000-0000DF030000}"/>
    <cellStyle name="Normal 5 2" xfId="1024" xr:uid="{00000000-0005-0000-0000-0000E0030000}"/>
    <cellStyle name="Normal 5_CAPEX" xfId="1025" xr:uid="{00000000-0005-0000-0000-0000E1030000}"/>
    <cellStyle name="Normal 6" xfId="250" xr:uid="{00000000-0005-0000-0000-0000E2030000}"/>
    <cellStyle name="Normal 6 2" xfId="251" xr:uid="{00000000-0005-0000-0000-0000E3030000}"/>
    <cellStyle name="Normal 6 2 2" xfId="1026" xr:uid="{00000000-0005-0000-0000-0000E4030000}"/>
    <cellStyle name="Normal 6 2 3" xfId="1027" xr:uid="{00000000-0005-0000-0000-0000E5030000}"/>
    <cellStyle name="Normal 6 2_CAPEX" xfId="1028" xr:uid="{00000000-0005-0000-0000-0000E6030000}"/>
    <cellStyle name="Normal 6 3" xfId="252" xr:uid="{00000000-0005-0000-0000-0000E7030000}"/>
    <cellStyle name="Normal 6 4" xfId="253" xr:uid="{00000000-0005-0000-0000-0000E8030000}"/>
    <cellStyle name="Normal 6 5" xfId="254" xr:uid="{00000000-0005-0000-0000-0000E9030000}"/>
    <cellStyle name="Normal 6_0. Investissement" xfId="255" xr:uid="{00000000-0005-0000-0000-0000EA030000}"/>
    <cellStyle name="Normal 60" xfId="1029" xr:uid="{00000000-0005-0000-0000-0000EB030000}"/>
    <cellStyle name="Normal 60 2" xfId="1030" xr:uid="{00000000-0005-0000-0000-0000EC030000}"/>
    <cellStyle name="Normal 60_Action Plan" xfId="1031" xr:uid="{00000000-0005-0000-0000-0000ED030000}"/>
    <cellStyle name="Normal 62" xfId="1032" xr:uid="{00000000-0005-0000-0000-0000EE030000}"/>
    <cellStyle name="Normal 7" xfId="256" xr:uid="{00000000-0005-0000-0000-0000EF030000}"/>
    <cellStyle name="Normal 7 2" xfId="1033" xr:uid="{00000000-0005-0000-0000-0000F0030000}"/>
    <cellStyle name="Normal 7 2 2" xfId="1034" xr:uid="{00000000-0005-0000-0000-0000F1030000}"/>
    <cellStyle name="Normal 7 2 3" xfId="1035" xr:uid="{00000000-0005-0000-0000-0000F2030000}"/>
    <cellStyle name="Normal 7 2_CAPEM BY COUNTRY" xfId="1036" xr:uid="{00000000-0005-0000-0000-0000F3030000}"/>
    <cellStyle name="Normal 7 3" xfId="1037" xr:uid="{00000000-0005-0000-0000-0000F4030000}"/>
    <cellStyle name="Normal 7 4" xfId="1038" xr:uid="{00000000-0005-0000-0000-0000F5030000}"/>
    <cellStyle name="Normal 7 5" xfId="1039" xr:uid="{00000000-0005-0000-0000-0000F6030000}"/>
    <cellStyle name="Normal 7_CAPEX" xfId="1040" xr:uid="{00000000-0005-0000-0000-0000F7030000}"/>
    <cellStyle name="Normal 8" xfId="257" xr:uid="{00000000-0005-0000-0000-0000F8030000}"/>
    <cellStyle name="Normal 8 2" xfId="1041" xr:uid="{00000000-0005-0000-0000-0000F9030000}"/>
    <cellStyle name="Normal 8 2 2" xfId="1042" xr:uid="{00000000-0005-0000-0000-0000FA030000}"/>
    <cellStyle name="Normal 8 2 3" xfId="1043" xr:uid="{00000000-0005-0000-0000-0000FB030000}"/>
    <cellStyle name="Normal 8 2_CAPEM BY COUNTRY" xfId="1044" xr:uid="{00000000-0005-0000-0000-0000FC030000}"/>
    <cellStyle name="Normal 8 3" xfId="1045" xr:uid="{00000000-0005-0000-0000-0000FD030000}"/>
    <cellStyle name="Normal 8 4" xfId="1046" xr:uid="{00000000-0005-0000-0000-0000FE030000}"/>
    <cellStyle name="Normal 8_CAPEX" xfId="1047" xr:uid="{00000000-0005-0000-0000-0000FF030000}"/>
    <cellStyle name="Normal 9" xfId="258" xr:uid="{00000000-0005-0000-0000-000000040000}"/>
    <cellStyle name="Normal 9 2" xfId="1048" xr:uid="{00000000-0005-0000-0000-000001040000}"/>
    <cellStyle name="Normal 9 2 2" xfId="1049" xr:uid="{00000000-0005-0000-0000-000002040000}"/>
    <cellStyle name="Normal 9 2 3" xfId="1050" xr:uid="{00000000-0005-0000-0000-000003040000}"/>
    <cellStyle name="Normal 9 2_CAPEM BY COUNTRY" xfId="1051" xr:uid="{00000000-0005-0000-0000-000004040000}"/>
    <cellStyle name="Normal 9 3" xfId="1052" xr:uid="{00000000-0005-0000-0000-000005040000}"/>
    <cellStyle name="Normal 9 4" xfId="1053" xr:uid="{00000000-0005-0000-0000-000006040000}"/>
    <cellStyle name="Normal 9_CAPEX" xfId="1054" xr:uid="{00000000-0005-0000-0000-000007040000}"/>
    <cellStyle name="Normal_Copie de CRD_CRC_domaine TER_ergo" xfId="2" xr:uid="{00000000-0005-0000-0000-000008040000}"/>
    <cellStyle name="Normal_LTP 2010 - analysis v5" xfId="305" xr:uid="{00000000-0005-0000-0000-000009040000}"/>
    <cellStyle name="Note" xfId="259" xr:uid="{00000000-0005-0000-0000-00000A040000}"/>
    <cellStyle name="Note 2" xfId="260" xr:uid="{00000000-0005-0000-0000-00000B040000}"/>
    <cellStyle name="Note 3" xfId="261" xr:uid="{00000000-0005-0000-0000-00000C040000}"/>
    <cellStyle name="Note 4" xfId="262" xr:uid="{00000000-0005-0000-0000-00000D040000}"/>
    <cellStyle name="Note 5" xfId="263" xr:uid="{00000000-0005-0000-0000-00000E040000}"/>
    <cellStyle name="Note_Action Plan" xfId="1055" xr:uid="{00000000-0005-0000-0000-00000F040000}"/>
    <cellStyle name="Notes_multi" xfId="1056" xr:uid="{00000000-0005-0000-0000-000010040000}"/>
    <cellStyle name="N䃯rmal_la䇲oux_larou᷸" xfId="264" xr:uid="{00000000-0005-0000-0000-000011040000}"/>
    <cellStyle name="Output" xfId="265" xr:uid="{00000000-0005-0000-0000-000012040000}"/>
    <cellStyle name="Output 2" xfId="266" xr:uid="{00000000-0005-0000-0000-000013040000}"/>
    <cellStyle name="Output 3" xfId="267" xr:uid="{00000000-0005-0000-0000-000014040000}"/>
    <cellStyle name="Output 4" xfId="268" xr:uid="{00000000-0005-0000-0000-000015040000}"/>
    <cellStyle name="Output 5" xfId="269" xr:uid="{00000000-0005-0000-0000-000016040000}"/>
    <cellStyle name="Output 6" xfId="270" xr:uid="{00000000-0005-0000-0000-000017040000}"/>
    <cellStyle name="Output_Action Plan" xfId="1057" xr:uid="{00000000-0005-0000-0000-000018040000}"/>
    <cellStyle name="p" xfId="1058" xr:uid="{00000000-0005-0000-0000-000019040000}"/>
    <cellStyle name="p_Actualisation provision contrat déficitaire SNCM 2010 V Def" xfId="1059" xr:uid="{00000000-0005-0000-0000-00001A040000}"/>
    <cellStyle name="p_Actualisation provision contrat déficitaire SNCM 2010 V Def_B14_E2_2210" xfId="1060" xr:uid="{00000000-0005-0000-0000-00001B040000}"/>
    <cellStyle name="p_Actualisation provision contrat déficitaire SNCM 2010 V Def_B14_E2_2210_Bridge_Zone_Sud" xfId="1061" xr:uid="{00000000-0005-0000-0000-00001C040000}"/>
    <cellStyle name="p_Actualisation provision contrat déficitaire SNCM 2010 V Def_Bridge_Zone_Sud" xfId="1062" xr:uid="{00000000-0005-0000-0000-00001D040000}"/>
    <cellStyle name="p_Actualisation provision contrat déficitaire SNCM 2011 V3 30 05 2011" xfId="1063" xr:uid="{00000000-0005-0000-0000-00001E040000}"/>
    <cellStyle name="p_Actualisation provision contrat déficitaire SNCM 2011 V3 30 05 2011_B14_E2_2210" xfId="1064" xr:uid="{00000000-0005-0000-0000-00001F040000}"/>
    <cellStyle name="p_Actualisation provision contrat déficitaire SNCM 2011 V3 30 05 2011_B14_E2_2210_Bridge_Zone_Sud" xfId="1065" xr:uid="{00000000-0005-0000-0000-000020040000}"/>
    <cellStyle name="p_Actualisation provision contrat déficitaire SNCM 2011 V3 30 05 2011_Bridge_Zone_Sud" xfId="1066" xr:uid="{00000000-0005-0000-0000-000021040000}"/>
    <cellStyle name="p_B14_E2_2210" xfId="1067" xr:uid="{00000000-0005-0000-0000-000022040000}"/>
    <cellStyle name="p_B14_E2_2210_Bridge_Zone_Sud" xfId="1068" xr:uid="{00000000-0005-0000-0000-000023040000}"/>
    <cellStyle name="p_Bridge_Zone_Sud" xfId="1069" xr:uid="{00000000-0005-0000-0000-000024040000}"/>
    <cellStyle name="p_PPA SNCM - présentation CAC 28 06 2011" xfId="1070" xr:uid="{00000000-0005-0000-0000-000025040000}"/>
    <cellStyle name="p_PPA SNCM - présentation CAC 28 06 2011_B14_E2_2210" xfId="1071" xr:uid="{00000000-0005-0000-0000-000026040000}"/>
    <cellStyle name="p_PPA SNCM - présentation CAC 28 06 2011_B14_E2_2210_Bridge_Zone_Sud" xfId="1072" xr:uid="{00000000-0005-0000-0000-000027040000}"/>
    <cellStyle name="p_PPA SNCM - présentation CAC 28 06 2011_Bridge_Zone_Sud" xfId="1073" xr:uid="{00000000-0005-0000-0000-000028040000}"/>
    <cellStyle name="pb_page_heading_LS" xfId="1074" xr:uid="{00000000-0005-0000-0000-000029040000}"/>
    <cellStyle name="pe" xfId="1075" xr:uid="{00000000-0005-0000-0000-00002A040000}"/>
    <cellStyle name="per" xfId="1076" xr:uid="{00000000-0005-0000-0000-00002B040000}"/>
    <cellStyle name="Percent [0]" xfId="1077" xr:uid="{00000000-0005-0000-0000-00002D040000}"/>
    <cellStyle name="Percent [1]" xfId="1078" xr:uid="{00000000-0005-0000-0000-00002E040000}"/>
    <cellStyle name="Percent [2]" xfId="1079" xr:uid="{00000000-0005-0000-0000-00002F040000}"/>
    <cellStyle name="Percent 10" xfId="271" xr:uid="{00000000-0005-0000-0000-000030040000}"/>
    <cellStyle name="Percent 2" xfId="272" xr:uid="{00000000-0005-0000-0000-000031040000}"/>
    <cellStyle name="Percent 2 2" xfId="273" xr:uid="{00000000-0005-0000-0000-000032040000}"/>
    <cellStyle name="Percent 3" xfId="274" xr:uid="{00000000-0005-0000-0000-000033040000}"/>
    <cellStyle name="Percent 3 2" xfId="1080" xr:uid="{00000000-0005-0000-0000-000034040000}"/>
    <cellStyle name="Percent 32" xfId="1081" xr:uid="{00000000-0005-0000-0000-000035040000}"/>
    <cellStyle name="Percent 32 3" xfId="1082" xr:uid="{00000000-0005-0000-0000-000036040000}"/>
    <cellStyle name="Percent 4" xfId="275" xr:uid="{00000000-0005-0000-0000-000037040000}"/>
    <cellStyle name="Percent 5" xfId="276" xr:uid="{00000000-0005-0000-0000-000038040000}"/>
    <cellStyle name="Percent 5 2" xfId="277" xr:uid="{00000000-0005-0000-0000-000039040000}"/>
    <cellStyle name="Percent 5 3" xfId="278" xr:uid="{00000000-0005-0000-0000-00003A040000}"/>
    <cellStyle name="Percent 5 4" xfId="279" xr:uid="{00000000-0005-0000-0000-00003B040000}"/>
    <cellStyle name="Percent 5 5" xfId="280" xr:uid="{00000000-0005-0000-0000-00003C040000}"/>
    <cellStyle name="Percent 6" xfId="281" xr:uid="{00000000-0005-0000-0000-00003D040000}"/>
    <cellStyle name="Percent 7" xfId="282" xr:uid="{00000000-0005-0000-0000-00003E040000}"/>
    <cellStyle name="Percent 8" xfId="283" xr:uid="{00000000-0005-0000-0000-00003F040000}"/>
    <cellStyle name="Percent 9" xfId="284" xr:uid="{00000000-0005-0000-0000-000040040000}"/>
    <cellStyle name="Pound" xfId="1083" xr:uid="{00000000-0005-0000-0000-000041040000}"/>
    <cellStyle name="Pound [1]" xfId="1084" xr:uid="{00000000-0005-0000-0000-000042040000}"/>
    <cellStyle name="Pound [2]" xfId="1085" xr:uid="{00000000-0005-0000-0000-000043040000}"/>
    <cellStyle name="Pound_CAPEM BY COUNTRY" xfId="1086" xr:uid="{00000000-0005-0000-0000-000044040000}"/>
    <cellStyle name="Pourcentage" xfId="3339" builtinId="5"/>
    <cellStyle name="Pourcentage 10" xfId="1087" xr:uid="{00000000-0005-0000-0000-000045040000}"/>
    <cellStyle name="Pourcentage 11" xfId="1088" xr:uid="{00000000-0005-0000-0000-000046040000}"/>
    <cellStyle name="Pourcentage 12" xfId="1089" xr:uid="{00000000-0005-0000-0000-000047040000}"/>
    <cellStyle name="Pourcentage 13" xfId="1090" xr:uid="{00000000-0005-0000-0000-000048040000}"/>
    <cellStyle name="Pourcentage 14" xfId="1091" xr:uid="{00000000-0005-0000-0000-000049040000}"/>
    <cellStyle name="Pourcentage 15" xfId="1092" xr:uid="{00000000-0005-0000-0000-00004A040000}"/>
    <cellStyle name="Pourcentage 16" xfId="1093" xr:uid="{00000000-0005-0000-0000-00004B040000}"/>
    <cellStyle name="Pourcentage 17" xfId="1094" xr:uid="{00000000-0005-0000-0000-00004C040000}"/>
    <cellStyle name="Pourcentage 17 2" xfId="1095" xr:uid="{00000000-0005-0000-0000-00004D040000}"/>
    <cellStyle name="Pourcentage 18" xfId="1096" xr:uid="{00000000-0005-0000-0000-00004E040000}"/>
    <cellStyle name="Pourcentage 18 2" xfId="1097" xr:uid="{00000000-0005-0000-0000-00004F040000}"/>
    <cellStyle name="Pourcentage 19" xfId="1098" xr:uid="{00000000-0005-0000-0000-000050040000}"/>
    <cellStyle name="Pourcentage 2" xfId="285" xr:uid="{00000000-0005-0000-0000-000051040000}"/>
    <cellStyle name="Pourcentage 2 2" xfId="1099" xr:uid="{00000000-0005-0000-0000-000052040000}"/>
    <cellStyle name="Pourcentage 2 3" xfId="1100" xr:uid="{00000000-0005-0000-0000-000053040000}"/>
    <cellStyle name="Pourcentage 2 3 2" xfId="1101" xr:uid="{00000000-0005-0000-0000-000054040000}"/>
    <cellStyle name="Pourcentage 2 4" xfId="1102" xr:uid="{00000000-0005-0000-0000-000055040000}"/>
    <cellStyle name="Pourcentage 2 5" xfId="1103" xr:uid="{00000000-0005-0000-0000-000056040000}"/>
    <cellStyle name="Pourcentage 2 6" xfId="1104" xr:uid="{00000000-0005-0000-0000-000057040000}"/>
    <cellStyle name="Pourcentage 2 7" xfId="1105" xr:uid="{00000000-0005-0000-0000-000058040000}"/>
    <cellStyle name="Pourcentage 2 8" xfId="1106" xr:uid="{00000000-0005-0000-0000-000059040000}"/>
    <cellStyle name="Pourcentage 3" xfId="286" xr:uid="{00000000-0005-0000-0000-00005A040000}"/>
    <cellStyle name="Pourcentage 3 2" xfId="1107" xr:uid="{00000000-0005-0000-0000-00005B040000}"/>
    <cellStyle name="Pourcentage 4" xfId="4" xr:uid="{00000000-0005-0000-0000-00005C040000}"/>
    <cellStyle name="Pourcentage 4 2" xfId="1108" xr:uid="{00000000-0005-0000-0000-00005D040000}"/>
    <cellStyle name="Pourcentage 5" xfId="1109" xr:uid="{00000000-0005-0000-0000-00005E040000}"/>
    <cellStyle name="Pourcentage 5 2" xfId="1110" xr:uid="{00000000-0005-0000-0000-00005F040000}"/>
    <cellStyle name="Pourcentage 6" xfId="1111" xr:uid="{00000000-0005-0000-0000-000060040000}"/>
    <cellStyle name="Pourcentage 6 2" xfId="1112" xr:uid="{00000000-0005-0000-0000-000061040000}"/>
    <cellStyle name="Pourcentage 7" xfId="1113" xr:uid="{00000000-0005-0000-0000-000062040000}"/>
    <cellStyle name="Pourcentage 8" xfId="1114" xr:uid="{00000000-0005-0000-0000-000063040000}"/>
    <cellStyle name="Pourcentage 8 2" xfId="1115" xr:uid="{00000000-0005-0000-0000-000064040000}"/>
    <cellStyle name="Pourcentage 9" xfId="1116" xr:uid="{00000000-0005-0000-0000-000065040000}"/>
    <cellStyle name="Prosenttia 10" xfId="1117" xr:uid="{00000000-0005-0000-0000-000066040000}"/>
    <cellStyle name="Prosenttia 2" xfId="1118" xr:uid="{00000000-0005-0000-0000-000067040000}"/>
    <cellStyle name="ptit" xfId="1119" xr:uid="{00000000-0005-0000-0000-000068040000}"/>
    <cellStyle name="rat" xfId="1120" xr:uid="{00000000-0005-0000-0000-000069040000}"/>
    <cellStyle name="rate" xfId="1121" xr:uid="{00000000-0005-0000-0000-00006A040000}"/>
    <cellStyle name="ratio" xfId="1122" xr:uid="{00000000-0005-0000-0000-00006B040000}"/>
    <cellStyle name="s" xfId="1123" xr:uid="{00000000-0005-0000-0000-00006C040000}"/>
    <cellStyle name="s_Actualisation provision contrat déficitaire SNCM 2010 V Def" xfId="1124" xr:uid="{00000000-0005-0000-0000-00006D040000}"/>
    <cellStyle name="s_Actualisation provision contrat déficitaire SNCM 2010 V Def_B14_E2_2210" xfId="1125" xr:uid="{00000000-0005-0000-0000-00006E040000}"/>
    <cellStyle name="s_Actualisation provision contrat déficitaire SNCM 2010 V Def_B14_E2_2210_Bridge_Zone_Sud" xfId="1126" xr:uid="{00000000-0005-0000-0000-00006F040000}"/>
    <cellStyle name="s_Actualisation provision contrat déficitaire SNCM 2010 V Def_Bridge_Zone_Sud" xfId="1127" xr:uid="{00000000-0005-0000-0000-000070040000}"/>
    <cellStyle name="s_Actualisation provision contrat déficitaire SNCM 2010 V Def_CAPEM BY COUNTRY" xfId="1128" xr:uid="{00000000-0005-0000-0000-000071040000}"/>
    <cellStyle name="s_Actualisation provision contrat déficitaire SNCM 2010 V Def_focus par entités CAFOPE2AMF" xfId="1129" xr:uid="{00000000-0005-0000-0000-000072040000}"/>
    <cellStyle name="s_Actualisation provision contrat déficitaire SNCM 2010 V Def_focus par entités CAFOPE2AMF_Bridge_Zone_Sud" xfId="1130" xr:uid="{00000000-0005-0000-0000-000073040000}"/>
    <cellStyle name="s_Actualisation provision contrat déficitaire SNCM 2010 V Def_Maquette PLT" xfId="1131" xr:uid="{00000000-0005-0000-0000-000074040000}"/>
    <cellStyle name="s_Actualisation provision contrat déficitaire SNCM 2010 V Def_Output" xfId="3367" xr:uid="{00000000-0005-0000-0000-000075040000}"/>
    <cellStyle name="s_Actualisation provision contrat déficitaire SNCM 2010 V Def_PAO-CAF-RESOP_04_13_pro_format_variante T1" xfId="1132" xr:uid="{00000000-0005-0000-0000-000076040000}"/>
    <cellStyle name="s_Actualisation provision contrat déficitaire SNCM 2010 V Def_PAO-CAF-RESOP_04_13_pro_format_variante T1_B14_E2_2210" xfId="1133" xr:uid="{00000000-0005-0000-0000-000077040000}"/>
    <cellStyle name="s_Actualisation provision contrat déficitaire SNCM 2010 V Def_PAO-CAF-RESOP_04_13_pro_format_variante T1_B14_E2_2210_Bridge_Zone_Sud" xfId="1134" xr:uid="{00000000-0005-0000-0000-000078040000}"/>
    <cellStyle name="s_Actualisation provision contrat déficitaire SNCM 2010 V Def_PAO-CAF-RESOP_04_13_pro_format_variante T1_Bridge_Zone_Sud" xfId="1135" xr:uid="{00000000-0005-0000-0000-000079040000}"/>
    <cellStyle name="s_Actualisation provision contrat déficitaire SNCM 2010 V Def_PAO-CAF-RESOP_06_13" xfId="1136" xr:uid="{00000000-0005-0000-0000-00007A040000}"/>
    <cellStyle name="s_Actualisation provision contrat déficitaire SNCM 2010 V Def_PAO-CAF-RESOP_06_13_B14_E2_2210" xfId="1137" xr:uid="{00000000-0005-0000-0000-00007B040000}"/>
    <cellStyle name="s_Actualisation provision contrat déficitaire SNCM 2010 V Def_PAO-CAF-RESOP_06_13_B14_E2_2210_Bridge_Zone_Sud" xfId="1138" xr:uid="{00000000-0005-0000-0000-00007C040000}"/>
    <cellStyle name="s_Actualisation provision contrat déficitaire SNCM 2010 V Def_PAO-CAF-RESOP_06_13_Bridge_Zone_Sud" xfId="1139" xr:uid="{00000000-0005-0000-0000-00007D040000}"/>
    <cellStyle name="s_Actualisation provision contrat déficitaire SNCM 2010 V Def_PAO-CAF-RESOP_08_13" xfId="1140" xr:uid="{00000000-0005-0000-0000-00007E040000}"/>
    <cellStyle name="s_Actualisation provision contrat déficitaire SNCM 2010 V Def_PAO-CAF-RESOP_08_13_B14_E2_2210" xfId="1141" xr:uid="{00000000-0005-0000-0000-00007F040000}"/>
    <cellStyle name="s_Actualisation provision contrat déficitaire SNCM 2010 V Def_PAO-CAF-RESOP_08_13_B14_E2_2210_Bridge_Zone_Sud" xfId="1142" xr:uid="{00000000-0005-0000-0000-000080040000}"/>
    <cellStyle name="s_Actualisation provision contrat déficitaire SNCM 2010 V Def_PAO-CAF-RESOP_08_13_Bridge_Zone_Sud" xfId="1143" xr:uid="{00000000-0005-0000-0000-000081040000}"/>
    <cellStyle name="s_Actualisation provision contrat déficitaire SNCM 2010 V Def_PAO-CAF-RESOP_09_13" xfId="1144" xr:uid="{00000000-0005-0000-0000-000082040000}"/>
    <cellStyle name="s_Actualisation provision contrat déficitaire SNCM 2010 V Def_PAO-CAF-RESOP_09_13_Bridge_Zone_Sud" xfId="1145" xr:uid="{00000000-0005-0000-0000-000083040000}"/>
    <cellStyle name="s_Actualisation provision contrat déficitaire SNCM 2010 V Def_PAO-CAF-RESOP_09_2013_Zone_IDF (version 2)" xfId="1146" xr:uid="{00000000-0005-0000-0000-000084040000}"/>
    <cellStyle name="s_Actualisation provision contrat déficitaire SNCM 2010 V Def_PAO-CAF-RESOP_10_12" xfId="1147" xr:uid="{00000000-0005-0000-0000-000085040000}"/>
    <cellStyle name="s_Actualisation provision contrat déficitaire SNCM 2010 V Def_PAO-CAF-RESOP_10_12_Bridge_Zone_Sud" xfId="1148" xr:uid="{00000000-0005-0000-0000-000086040000}"/>
    <cellStyle name="s_Actualisation provision contrat déficitaire SNCM 2010 V Def_PAO-CAF-RESOP_10_12_focus par entités CAFOP" xfId="1149" xr:uid="{00000000-0005-0000-0000-000087040000}"/>
    <cellStyle name="s_Actualisation provision contrat déficitaire SNCM 2010 V Def_PAO-CAF-RESOP_10_12_focus par entités CAFOP_Bridge_Zone_Sud" xfId="1150" xr:uid="{00000000-0005-0000-0000-000088040000}"/>
    <cellStyle name="s_Actualisation provision contrat déficitaire SNCM 2010 V Def_PAO-CAF-RESOP_11_13" xfId="1151" xr:uid="{00000000-0005-0000-0000-000089040000}"/>
    <cellStyle name="s_Actualisation provision contrat déficitaire SNCM 2010 V Def_PAO-CAF-RESOP_B13" xfId="1152" xr:uid="{00000000-0005-0000-0000-00008A040000}"/>
    <cellStyle name="s_Actualisation provision contrat déficitaire SNCM 2010 V Def_PAO-CAF-RESOP_B13_Bridge_Zone_Sud" xfId="1153" xr:uid="{00000000-0005-0000-0000-00008B040000}"/>
    <cellStyle name="s_Actualisation provision contrat déficitaire SNCM 2010 V Def_PAO-CAF-RESOP_B13_focus par entités CAFOP" xfId="1154" xr:uid="{00000000-0005-0000-0000-00008C040000}"/>
    <cellStyle name="s_Actualisation provision contrat déficitaire SNCM 2010 V Def_PAO-CAF-RESOP_B13_focus par entités CAFOP_Bridge_Zone_Sud" xfId="1155" xr:uid="{00000000-0005-0000-0000-00008D040000}"/>
    <cellStyle name="s_Actualisation provision contrat déficitaire SNCM 2010 V Def_PAO-CAF-RESOP_B2014" xfId="1156" xr:uid="{00000000-0005-0000-0000-00008E040000}"/>
    <cellStyle name="s_Actualisation provision contrat déficitaire SNCM 2010 V Def_PAO-CAF-RESOP_B2014_Bridge_Zone_Sud" xfId="1157" xr:uid="{00000000-0005-0000-0000-00008F040000}"/>
    <cellStyle name="s_Actualisation provision contrat déficitaire SNCM 2010 V Def_PAO-CAF-RESOP_B2014_v2" xfId="1158" xr:uid="{00000000-0005-0000-0000-000090040000}"/>
    <cellStyle name="s_Actualisation provision contrat déficitaire SNCM 2010 V Def_PAO-CAF-RESOP_E2_13" xfId="1159" xr:uid="{00000000-0005-0000-0000-000091040000}"/>
    <cellStyle name="s_Actualisation provision contrat déficitaire SNCM 2010 V Def_PAO-CAF-RESOP_E2_13_B14_E2_2210" xfId="1160" xr:uid="{00000000-0005-0000-0000-000092040000}"/>
    <cellStyle name="s_Actualisation provision contrat déficitaire SNCM 2010 V Def_PAO-CAF-RESOP_E2_13_B14_E2_2210_Bridge_Zone_Sud" xfId="1161" xr:uid="{00000000-0005-0000-0000-000093040000}"/>
    <cellStyle name="s_Actualisation provision contrat déficitaire SNCM 2010 V Def_PAO-CAF-RESOP_E2_13_Bridge_Zone_Sud" xfId="1162" xr:uid="{00000000-0005-0000-0000-000094040000}"/>
    <cellStyle name="s_Actualisation provision contrat déficitaire SNCM 2010 V Def_PAO-CAF-RESOP_E2_2013_03_10_19H" xfId="1163" xr:uid="{00000000-0005-0000-0000-000095040000}"/>
    <cellStyle name="s_Actualisation provision contrat déficitaire SNCM 2010 V Def_PAO-CAF-RESOP_E2_2013_03_10_19H_Bridge_Zone_Sud" xfId="1164" xr:uid="{00000000-0005-0000-0000-000096040000}"/>
    <cellStyle name="s_Actualisation provision contrat déficitaire SNCM 2010 V Def_PPA" xfId="1165" xr:uid="{00000000-0005-0000-0000-000097040000}"/>
    <cellStyle name="s_Actualisation provision contrat déficitaire SNCM 2010 V Def_RESOP bef CICE&amp;PPA&amp;RepartHO" xfId="1166" xr:uid="{00000000-0005-0000-0000-000098040000}"/>
    <cellStyle name="s_Actualisation provision contrat déficitaire SNCM 2010 V Def_Synthèse_Présentation_conso_retraitée" xfId="1167" xr:uid="{00000000-0005-0000-0000-000099040000}"/>
    <cellStyle name="s_Actualisation provision contrat déficitaire SNCM 2011 V3 30 05 2011" xfId="1168" xr:uid="{00000000-0005-0000-0000-00009A040000}"/>
    <cellStyle name="s_Actualisation provision contrat déficitaire SNCM 2011 V3 30 05 2011_B14_E2_2210" xfId="1169" xr:uid="{00000000-0005-0000-0000-00009B040000}"/>
    <cellStyle name="s_Actualisation provision contrat déficitaire SNCM 2011 V3 30 05 2011_B14_E2_2210_Bridge_Zone_Sud" xfId="1170" xr:uid="{00000000-0005-0000-0000-00009C040000}"/>
    <cellStyle name="s_Actualisation provision contrat déficitaire SNCM 2011 V3 30 05 2011_Bridge_Zone_Sud" xfId="1171" xr:uid="{00000000-0005-0000-0000-00009D040000}"/>
    <cellStyle name="s_Actualisation provision contrat déficitaire SNCM 2011 V3 30 05 2011_CAPEM BY COUNTRY" xfId="1172" xr:uid="{00000000-0005-0000-0000-00009E040000}"/>
    <cellStyle name="s_Actualisation provision contrat déficitaire SNCM 2011 V3 30 05 2011_focus par entités CAFOPE2AMF" xfId="1173" xr:uid="{00000000-0005-0000-0000-00009F040000}"/>
    <cellStyle name="s_Actualisation provision contrat déficitaire SNCM 2011 V3 30 05 2011_focus par entités CAFOPE2AMF_Bridge_Zone_Sud" xfId="1174" xr:uid="{00000000-0005-0000-0000-0000A0040000}"/>
    <cellStyle name="s_Actualisation provision contrat déficitaire SNCM 2011 V3 30 05 2011_Maquette PLT" xfId="1175" xr:uid="{00000000-0005-0000-0000-0000A1040000}"/>
    <cellStyle name="s_Actualisation provision contrat déficitaire SNCM 2011 V3 30 05 2011_Output" xfId="3368" xr:uid="{00000000-0005-0000-0000-0000A2040000}"/>
    <cellStyle name="s_Actualisation provision contrat déficitaire SNCM 2011 V3 30 05 2011_PAO-CAF-RESOP_04_13_pro_format_variante T1" xfId="1176" xr:uid="{00000000-0005-0000-0000-0000A3040000}"/>
    <cellStyle name="s_Actualisation provision contrat déficitaire SNCM 2011 V3 30 05 2011_PAO-CAF-RESOP_04_13_pro_format_variante T1_B14_E2_2210" xfId="1177" xr:uid="{00000000-0005-0000-0000-0000A4040000}"/>
    <cellStyle name="s_Actualisation provision contrat déficitaire SNCM 2011 V3 30 05 2011_PAO-CAF-RESOP_04_13_pro_format_variante T1_B14_E2_2210_Bridge_Zone_Sud" xfId="1178" xr:uid="{00000000-0005-0000-0000-0000A5040000}"/>
    <cellStyle name="s_Actualisation provision contrat déficitaire SNCM 2011 V3 30 05 2011_PAO-CAF-RESOP_04_13_pro_format_variante T1_Bridge_Zone_Sud" xfId="1179" xr:uid="{00000000-0005-0000-0000-0000A6040000}"/>
    <cellStyle name="s_Actualisation provision contrat déficitaire SNCM 2011 V3 30 05 2011_PAO-CAF-RESOP_06_13" xfId="1180" xr:uid="{00000000-0005-0000-0000-0000A7040000}"/>
    <cellStyle name="s_Actualisation provision contrat déficitaire SNCM 2011 V3 30 05 2011_PAO-CAF-RESOP_06_13_B14_E2_2210" xfId="1181" xr:uid="{00000000-0005-0000-0000-0000A8040000}"/>
    <cellStyle name="s_Actualisation provision contrat déficitaire SNCM 2011 V3 30 05 2011_PAO-CAF-RESOP_06_13_B14_E2_2210_Bridge_Zone_Sud" xfId="1182" xr:uid="{00000000-0005-0000-0000-0000A9040000}"/>
    <cellStyle name="s_Actualisation provision contrat déficitaire SNCM 2011 V3 30 05 2011_PAO-CAF-RESOP_06_13_Bridge_Zone_Sud" xfId="1183" xr:uid="{00000000-0005-0000-0000-0000AA040000}"/>
    <cellStyle name="s_Actualisation provision contrat déficitaire SNCM 2011 V3 30 05 2011_PAO-CAF-RESOP_08_13" xfId="1184" xr:uid="{00000000-0005-0000-0000-0000AB040000}"/>
    <cellStyle name="s_Actualisation provision contrat déficitaire SNCM 2011 V3 30 05 2011_PAO-CAF-RESOP_08_13_B14_E2_2210" xfId="1185" xr:uid="{00000000-0005-0000-0000-0000AC040000}"/>
    <cellStyle name="s_Actualisation provision contrat déficitaire SNCM 2011 V3 30 05 2011_PAO-CAF-RESOP_08_13_B14_E2_2210_Bridge_Zone_Sud" xfId="1186" xr:uid="{00000000-0005-0000-0000-0000AD040000}"/>
    <cellStyle name="s_Actualisation provision contrat déficitaire SNCM 2011 V3 30 05 2011_PAO-CAF-RESOP_08_13_Bridge_Zone_Sud" xfId="1187" xr:uid="{00000000-0005-0000-0000-0000AE040000}"/>
    <cellStyle name="s_Actualisation provision contrat déficitaire SNCM 2011 V3 30 05 2011_PAO-CAF-RESOP_09_13" xfId="1188" xr:uid="{00000000-0005-0000-0000-0000AF040000}"/>
    <cellStyle name="s_Actualisation provision contrat déficitaire SNCM 2011 V3 30 05 2011_PAO-CAF-RESOP_09_13_Bridge_Zone_Sud" xfId="1189" xr:uid="{00000000-0005-0000-0000-0000B0040000}"/>
    <cellStyle name="s_Actualisation provision contrat déficitaire SNCM 2011 V3 30 05 2011_PAO-CAF-RESOP_09_2013_Zone_IDF (version 2)" xfId="1190" xr:uid="{00000000-0005-0000-0000-0000B1040000}"/>
    <cellStyle name="s_Actualisation provision contrat déficitaire SNCM 2011 V3 30 05 2011_PAO-CAF-RESOP_10_12" xfId="1191" xr:uid="{00000000-0005-0000-0000-0000B2040000}"/>
    <cellStyle name="s_Actualisation provision contrat déficitaire SNCM 2011 V3 30 05 2011_PAO-CAF-RESOP_10_12_Bridge_Zone_Sud" xfId="1192" xr:uid="{00000000-0005-0000-0000-0000B3040000}"/>
    <cellStyle name="s_Actualisation provision contrat déficitaire SNCM 2011 V3 30 05 2011_PAO-CAF-RESOP_10_12_focus par entités CAFOP" xfId="1193" xr:uid="{00000000-0005-0000-0000-0000B4040000}"/>
    <cellStyle name="s_Actualisation provision contrat déficitaire SNCM 2011 V3 30 05 2011_PAO-CAF-RESOP_10_12_focus par entités CAFOP_Bridge_Zone_Sud" xfId="1194" xr:uid="{00000000-0005-0000-0000-0000B5040000}"/>
    <cellStyle name="s_Actualisation provision contrat déficitaire SNCM 2011 V3 30 05 2011_PAO-CAF-RESOP_11_13" xfId="1195" xr:uid="{00000000-0005-0000-0000-0000B6040000}"/>
    <cellStyle name="s_Actualisation provision contrat déficitaire SNCM 2011 V3 30 05 2011_PAO-CAF-RESOP_B13" xfId="1196" xr:uid="{00000000-0005-0000-0000-0000B7040000}"/>
    <cellStyle name="s_Actualisation provision contrat déficitaire SNCM 2011 V3 30 05 2011_PAO-CAF-RESOP_B13_Bridge_Zone_Sud" xfId="1197" xr:uid="{00000000-0005-0000-0000-0000B8040000}"/>
    <cellStyle name="s_Actualisation provision contrat déficitaire SNCM 2011 V3 30 05 2011_PAO-CAF-RESOP_B13_focus par entités CAFOP" xfId="1198" xr:uid="{00000000-0005-0000-0000-0000B9040000}"/>
    <cellStyle name="s_Actualisation provision contrat déficitaire SNCM 2011 V3 30 05 2011_PAO-CAF-RESOP_B13_focus par entités CAFOP_Bridge_Zone_Sud" xfId="1199" xr:uid="{00000000-0005-0000-0000-0000BA040000}"/>
    <cellStyle name="s_Actualisation provision contrat déficitaire SNCM 2011 V3 30 05 2011_PAO-CAF-RESOP_B2014" xfId="1200" xr:uid="{00000000-0005-0000-0000-0000BB040000}"/>
    <cellStyle name="s_Actualisation provision contrat déficitaire SNCM 2011 V3 30 05 2011_PAO-CAF-RESOP_B2014_Bridge_Zone_Sud" xfId="1201" xr:uid="{00000000-0005-0000-0000-0000BC040000}"/>
    <cellStyle name="s_Actualisation provision contrat déficitaire SNCM 2011 V3 30 05 2011_PAO-CAF-RESOP_B2014_v2" xfId="1202" xr:uid="{00000000-0005-0000-0000-0000BD040000}"/>
    <cellStyle name="s_Actualisation provision contrat déficitaire SNCM 2011 V3 30 05 2011_PAO-CAF-RESOP_E2_13" xfId="1203" xr:uid="{00000000-0005-0000-0000-0000BE040000}"/>
    <cellStyle name="s_Actualisation provision contrat déficitaire SNCM 2011 V3 30 05 2011_PAO-CAF-RESOP_E2_13_B14_E2_2210" xfId="1204" xr:uid="{00000000-0005-0000-0000-0000BF040000}"/>
    <cellStyle name="s_Actualisation provision contrat déficitaire SNCM 2011 V3 30 05 2011_PAO-CAF-RESOP_E2_13_B14_E2_2210_Bridge_Zone_Sud" xfId="1205" xr:uid="{00000000-0005-0000-0000-0000C0040000}"/>
    <cellStyle name="s_Actualisation provision contrat déficitaire SNCM 2011 V3 30 05 2011_PAO-CAF-RESOP_E2_13_Bridge_Zone_Sud" xfId="1206" xr:uid="{00000000-0005-0000-0000-0000C1040000}"/>
    <cellStyle name="s_Actualisation provision contrat déficitaire SNCM 2011 V3 30 05 2011_PAO-CAF-RESOP_E2_2013_03_10_19H" xfId="1207" xr:uid="{00000000-0005-0000-0000-0000C2040000}"/>
    <cellStyle name="s_Actualisation provision contrat déficitaire SNCM 2011 V3 30 05 2011_PAO-CAF-RESOP_E2_2013_03_10_19H_Bridge_Zone_Sud" xfId="1208" xr:uid="{00000000-0005-0000-0000-0000C3040000}"/>
    <cellStyle name="s_Actualisation provision contrat déficitaire SNCM 2011 V3 30 05 2011_PPA" xfId="1209" xr:uid="{00000000-0005-0000-0000-0000C4040000}"/>
    <cellStyle name="s_Actualisation provision contrat déficitaire SNCM 2011 V3 30 05 2011_RESOP bef CICE&amp;PPA&amp;RepartHO" xfId="1210" xr:uid="{00000000-0005-0000-0000-0000C5040000}"/>
    <cellStyle name="s_Actualisation provision contrat déficitaire SNCM 2011 V3 30 05 2011_Synthèse_Présentation_conso_retraitée" xfId="1211" xr:uid="{00000000-0005-0000-0000-0000C6040000}"/>
    <cellStyle name="s_Assumptions" xfId="1212" xr:uid="{00000000-0005-0000-0000-0000C7040000}"/>
    <cellStyle name="s_Assumptions_Actualisation provision contrat déficitaire SNCM 2010 V Def" xfId="1213" xr:uid="{00000000-0005-0000-0000-0000C8040000}"/>
    <cellStyle name="s_Assumptions_Actualisation provision contrat déficitaire SNCM 2010 V Def_B14_E2_2210" xfId="1214" xr:uid="{00000000-0005-0000-0000-0000C9040000}"/>
    <cellStyle name="s_Assumptions_Actualisation provision contrat déficitaire SNCM 2010 V Def_B14_E2_2210_Bridge_Zone_Sud" xfId="1215" xr:uid="{00000000-0005-0000-0000-0000CA040000}"/>
    <cellStyle name="s_Assumptions_Actualisation provision contrat déficitaire SNCM 2010 V Def_Bridge_Zone_Sud" xfId="1216" xr:uid="{00000000-0005-0000-0000-0000CB040000}"/>
    <cellStyle name="s_Assumptions_Actualisation provision contrat déficitaire SNCM 2010 V Def_CAPEM BY COUNTRY" xfId="1217" xr:uid="{00000000-0005-0000-0000-0000CC040000}"/>
    <cellStyle name="s_Assumptions_Actualisation provision contrat déficitaire SNCM 2010 V Def_focus par entités CAFOPE2AMF" xfId="1218" xr:uid="{00000000-0005-0000-0000-0000CD040000}"/>
    <cellStyle name="s_Assumptions_Actualisation provision contrat déficitaire SNCM 2010 V Def_focus par entités CAFOPE2AMF_Bridge_Zone_Sud" xfId="1219" xr:uid="{00000000-0005-0000-0000-0000CE040000}"/>
    <cellStyle name="s_Assumptions_Actualisation provision contrat déficitaire SNCM 2010 V Def_Maquette PLT" xfId="1220" xr:uid="{00000000-0005-0000-0000-0000CF040000}"/>
    <cellStyle name="s_Assumptions_Actualisation provision contrat déficitaire SNCM 2010 V Def_Output" xfId="3370" xr:uid="{00000000-0005-0000-0000-0000D0040000}"/>
    <cellStyle name="s_Assumptions_Actualisation provision contrat déficitaire SNCM 2010 V Def_PAO-CAF-RESOP_04_13_pro_format_variante T1" xfId="1221" xr:uid="{00000000-0005-0000-0000-0000D1040000}"/>
    <cellStyle name="s_Assumptions_Actualisation provision contrat déficitaire SNCM 2010 V Def_PAO-CAF-RESOP_04_13_pro_format_variante T1_B14_E2_2210" xfId="1222" xr:uid="{00000000-0005-0000-0000-0000D2040000}"/>
    <cellStyle name="s_Assumptions_Actualisation provision contrat déficitaire SNCM 2010 V Def_PAO-CAF-RESOP_04_13_pro_format_variante T1_B14_E2_2210_Bridge_Zone_Sud" xfId="1223" xr:uid="{00000000-0005-0000-0000-0000D3040000}"/>
    <cellStyle name="s_Assumptions_Actualisation provision contrat déficitaire SNCM 2010 V Def_PAO-CAF-RESOP_04_13_pro_format_variante T1_Bridge_Zone_Sud" xfId="1224" xr:uid="{00000000-0005-0000-0000-0000D4040000}"/>
    <cellStyle name="s_Assumptions_Actualisation provision contrat déficitaire SNCM 2010 V Def_PAO-CAF-RESOP_06_13" xfId="1225" xr:uid="{00000000-0005-0000-0000-0000D5040000}"/>
    <cellStyle name="s_Assumptions_Actualisation provision contrat déficitaire SNCM 2010 V Def_PAO-CAF-RESOP_06_13_B14_E2_2210" xfId="1226" xr:uid="{00000000-0005-0000-0000-0000D6040000}"/>
    <cellStyle name="s_Assumptions_Actualisation provision contrat déficitaire SNCM 2010 V Def_PAO-CAF-RESOP_06_13_B14_E2_2210_Bridge_Zone_Sud" xfId="1227" xr:uid="{00000000-0005-0000-0000-0000D7040000}"/>
    <cellStyle name="s_Assumptions_Actualisation provision contrat déficitaire SNCM 2010 V Def_PAO-CAF-RESOP_06_13_Bridge_Zone_Sud" xfId="1228" xr:uid="{00000000-0005-0000-0000-0000D8040000}"/>
    <cellStyle name="s_Assumptions_Actualisation provision contrat déficitaire SNCM 2010 V Def_PAO-CAF-RESOP_08_13" xfId="1229" xr:uid="{00000000-0005-0000-0000-0000D9040000}"/>
    <cellStyle name="s_Assumptions_Actualisation provision contrat déficitaire SNCM 2010 V Def_PAO-CAF-RESOP_08_13_B14_E2_2210" xfId="1230" xr:uid="{00000000-0005-0000-0000-0000DA040000}"/>
    <cellStyle name="s_Assumptions_Actualisation provision contrat déficitaire SNCM 2010 V Def_PAO-CAF-RESOP_08_13_B14_E2_2210_Bridge_Zone_Sud" xfId="1231" xr:uid="{00000000-0005-0000-0000-0000DB040000}"/>
    <cellStyle name="s_Assumptions_Actualisation provision contrat déficitaire SNCM 2010 V Def_PAO-CAF-RESOP_08_13_Bridge_Zone_Sud" xfId="1232" xr:uid="{00000000-0005-0000-0000-0000DC040000}"/>
    <cellStyle name="s_Assumptions_Actualisation provision contrat déficitaire SNCM 2010 V Def_PAO-CAF-RESOP_09_13" xfId="1233" xr:uid="{00000000-0005-0000-0000-0000DD040000}"/>
    <cellStyle name="s_Assumptions_Actualisation provision contrat déficitaire SNCM 2010 V Def_PAO-CAF-RESOP_09_13_Bridge_Zone_Sud" xfId="1234" xr:uid="{00000000-0005-0000-0000-0000DE040000}"/>
    <cellStyle name="s_Assumptions_Actualisation provision contrat déficitaire SNCM 2010 V Def_PAO-CAF-RESOP_09_2013_Zone_IDF (version 2)" xfId="1235" xr:uid="{00000000-0005-0000-0000-0000DF040000}"/>
    <cellStyle name="s_Assumptions_Actualisation provision contrat déficitaire SNCM 2010 V Def_PAO-CAF-RESOP_10_12" xfId="1236" xr:uid="{00000000-0005-0000-0000-0000E0040000}"/>
    <cellStyle name="s_Assumptions_Actualisation provision contrat déficitaire SNCM 2010 V Def_PAO-CAF-RESOP_10_12_Bridge_Zone_Sud" xfId="1237" xr:uid="{00000000-0005-0000-0000-0000E1040000}"/>
    <cellStyle name="s_Assumptions_Actualisation provision contrat déficitaire SNCM 2010 V Def_PAO-CAF-RESOP_10_12_focus par entités CAFOP" xfId="1238" xr:uid="{00000000-0005-0000-0000-0000E2040000}"/>
    <cellStyle name="s_Assumptions_Actualisation provision contrat déficitaire SNCM 2010 V Def_PAO-CAF-RESOP_10_12_focus par entités CAFOP_Bridge_Zone_Sud" xfId="1239" xr:uid="{00000000-0005-0000-0000-0000E3040000}"/>
    <cellStyle name="s_Assumptions_Actualisation provision contrat déficitaire SNCM 2010 V Def_PAO-CAF-RESOP_11_13" xfId="1240" xr:uid="{00000000-0005-0000-0000-0000E4040000}"/>
    <cellStyle name="s_Assumptions_Actualisation provision contrat déficitaire SNCM 2010 V Def_PAO-CAF-RESOP_B13" xfId="1241" xr:uid="{00000000-0005-0000-0000-0000E5040000}"/>
    <cellStyle name="s_Assumptions_Actualisation provision contrat déficitaire SNCM 2010 V Def_PAO-CAF-RESOP_B13_Bridge_Zone_Sud" xfId="1242" xr:uid="{00000000-0005-0000-0000-0000E6040000}"/>
    <cellStyle name="s_Assumptions_Actualisation provision contrat déficitaire SNCM 2010 V Def_PAO-CAF-RESOP_B13_focus par entités CAFOP" xfId="1243" xr:uid="{00000000-0005-0000-0000-0000E7040000}"/>
    <cellStyle name="s_Assumptions_Actualisation provision contrat déficitaire SNCM 2010 V Def_PAO-CAF-RESOP_B13_focus par entités CAFOP_Bridge_Zone_Sud" xfId="1244" xr:uid="{00000000-0005-0000-0000-0000E8040000}"/>
    <cellStyle name="s_Assumptions_Actualisation provision contrat déficitaire SNCM 2010 V Def_PAO-CAF-RESOP_B2014" xfId="1245" xr:uid="{00000000-0005-0000-0000-0000E9040000}"/>
    <cellStyle name="s_Assumptions_Actualisation provision contrat déficitaire SNCM 2010 V Def_PAO-CAF-RESOP_B2014_Bridge_Zone_Sud" xfId="1246" xr:uid="{00000000-0005-0000-0000-0000EA040000}"/>
    <cellStyle name="s_Assumptions_Actualisation provision contrat déficitaire SNCM 2010 V Def_PAO-CAF-RESOP_B2014_v2" xfId="1247" xr:uid="{00000000-0005-0000-0000-0000EB040000}"/>
    <cellStyle name="s_Assumptions_Actualisation provision contrat déficitaire SNCM 2010 V Def_PAO-CAF-RESOP_E2_13" xfId="1248" xr:uid="{00000000-0005-0000-0000-0000EC040000}"/>
    <cellStyle name="s_Assumptions_Actualisation provision contrat déficitaire SNCM 2010 V Def_PAO-CAF-RESOP_E2_13_B14_E2_2210" xfId="1249" xr:uid="{00000000-0005-0000-0000-0000ED040000}"/>
    <cellStyle name="s_Assumptions_Actualisation provision contrat déficitaire SNCM 2010 V Def_PAO-CAF-RESOP_E2_13_B14_E2_2210_Bridge_Zone_Sud" xfId="1250" xr:uid="{00000000-0005-0000-0000-0000EE040000}"/>
    <cellStyle name="s_Assumptions_Actualisation provision contrat déficitaire SNCM 2010 V Def_PAO-CAF-RESOP_E2_13_Bridge_Zone_Sud" xfId="1251" xr:uid="{00000000-0005-0000-0000-0000EF040000}"/>
    <cellStyle name="s_Assumptions_Actualisation provision contrat déficitaire SNCM 2010 V Def_PAO-CAF-RESOP_E2_2013_03_10_19H" xfId="1252" xr:uid="{00000000-0005-0000-0000-0000F0040000}"/>
    <cellStyle name="s_Assumptions_Actualisation provision contrat déficitaire SNCM 2010 V Def_PAO-CAF-RESOP_E2_2013_03_10_19H_Bridge_Zone_Sud" xfId="1253" xr:uid="{00000000-0005-0000-0000-0000F1040000}"/>
    <cellStyle name="s_Assumptions_Actualisation provision contrat déficitaire SNCM 2010 V Def_PPA" xfId="1254" xr:uid="{00000000-0005-0000-0000-0000F2040000}"/>
    <cellStyle name="s_Assumptions_Actualisation provision contrat déficitaire SNCM 2010 V Def_RESOP bef CICE&amp;PPA&amp;RepartHO" xfId="1255" xr:uid="{00000000-0005-0000-0000-0000F3040000}"/>
    <cellStyle name="s_Assumptions_Actualisation provision contrat déficitaire SNCM 2010 V Def_Synthèse_Présentation_conso_retraitée" xfId="1256" xr:uid="{00000000-0005-0000-0000-0000F4040000}"/>
    <cellStyle name="s_Assumptions_Actualisation provision contrat déficitaire SNCM 2011 V3 30 05 2011" xfId="1257" xr:uid="{00000000-0005-0000-0000-0000F5040000}"/>
    <cellStyle name="s_Assumptions_Actualisation provision contrat déficitaire SNCM 2011 V3 30 05 2011_B14_E2_2210" xfId="1258" xr:uid="{00000000-0005-0000-0000-0000F6040000}"/>
    <cellStyle name="s_Assumptions_Actualisation provision contrat déficitaire SNCM 2011 V3 30 05 2011_B14_E2_2210_Bridge_Zone_Sud" xfId="1259" xr:uid="{00000000-0005-0000-0000-0000F7040000}"/>
    <cellStyle name="s_Assumptions_Actualisation provision contrat déficitaire SNCM 2011 V3 30 05 2011_Bridge_Zone_Sud" xfId="1260" xr:uid="{00000000-0005-0000-0000-0000F8040000}"/>
    <cellStyle name="s_Assumptions_Actualisation provision contrat déficitaire SNCM 2011 V3 30 05 2011_CAPEM BY COUNTRY" xfId="1261" xr:uid="{00000000-0005-0000-0000-0000F9040000}"/>
    <cellStyle name="s_Assumptions_Actualisation provision contrat déficitaire SNCM 2011 V3 30 05 2011_focus par entités CAFOPE2AMF" xfId="1262" xr:uid="{00000000-0005-0000-0000-0000FA040000}"/>
    <cellStyle name="s_Assumptions_Actualisation provision contrat déficitaire SNCM 2011 V3 30 05 2011_focus par entités CAFOPE2AMF_Bridge_Zone_Sud" xfId="1263" xr:uid="{00000000-0005-0000-0000-0000FB040000}"/>
    <cellStyle name="s_Assumptions_Actualisation provision contrat déficitaire SNCM 2011 V3 30 05 2011_Maquette PLT" xfId="1264" xr:uid="{00000000-0005-0000-0000-0000FC040000}"/>
    <cellStyle name="s_Assumptions_Actualisation provision contrat déficitaire SNCM 2011 V3 30 05 2011_Output" xfId="3371" xr:uid="{00000000-0005-0000-0000-0000FD040000}"/>
    <cellStyle name="s_Assumptions_Actualisation provision contrat déficitaire SNCM 2011 V3 30 05 2011_PAO-CAF-RESOP_04_13_pro_format_variante T1" xfId="1265" xr:uid="{00000000-0005-0000-0000-0000FE040000}"/>
    <cellStyle name="s_Assumptions_Actualisation provision contrat déficitaire SNCM 2011 V3 30 05 2011_PAO-CAF-RESOP_04_13_pro_format_variante T1_B14_E2_2210" xfId="1266" xr:uid="{00000000-0005-0000-0000-0000FF040000}"/>
    <cellStyle name="s_Assumptions_Actualisation provision contrat déficitaire SNCM 2011 V3 30 05 2011_PAO-CAF-RESOP_04_13_pro_format_variante T1_B14_E2_2210_Bridge_Zone_Sud" xfId="1267" xr:uid="{00000000-0005-0000-0000-000000050000}"/>
    <cellStyle name="s_Assumptions_Actualisation provision contrat déficitaire SNCM 2011 V3 30 05 2011_PAO-CAF-RESOP_04_13_pro_format_variante T1_Bridge_Zone_Sud" xfId="1268" xr:uid="{00000000-0005-0000-0000-000001050000}"/>
    <cellStyle name="s_Assumptions_Actualisation provision contrat déficitaire SNCM 2011 V3 30 05 2011_PAO-CAF-RESOP_06_13" xfId="1269" xr:uid="{00000000-0005-0000-0000-000002050000}"/>
    <cellStyle name="s_Assumptions_Actualisation provision contrat déficitaire SNCM 2011 V3 30 05 2011_PAO-CAF-RESOP_06_13_B14_E2_2210" xfId="1270" xr:uid="{00000000-0005-0000-0000-000003050000}"/>
    <cellStyle name="s_Assumptions_Actualisation provision contrat déficitaire SNCM 2011 V3 30 05 2011_PAO-CAF-RESOP_06_13_B14_E2_2210_Bridge_Zone_Sud" xfId="1271" xr:uid="{00000000-0005-0000-0000-000004050000}"/>
    <cellStyle name="s_Assumptions_Actualisation provision contrat déficitaire SNCM 2011 V3 30 05 2011_PAO-CAF-RESOP_06_13_Bridge_Zone_Sud" xfId="1272" xr:uid="{00000000-0005-0000-0000-000005050000}"/>
    <cellStyle name="s_Assumptions_Actualisation provision contrat déficitaire SNCM 2011 V3 30 05 2011_PAO-CAF-RESOP_08_13" xfId="1273" xr:uid="{00000000-0005-0000-0000-000006050000}"/>
    <cellStyle name="s_Assumptions_Actualisation provision contrat déficitaire SNCM 2011 V3 30 05 2011_PAO-CAF-RESOP_08_13_B14_E2_2210" xfId="1274" xr:uid="{00000000-0005-0000-0000-000007050000}"/>
    <cellStyle name="s_Assumptions_Actualisation provision contrat déficitaire SNCM 2011 V3 30 05 2011_PAO-CAF-RESOP_08_13_B14_E2_2210_Bridge_Zone_Sud" xfId="1275" xr:uid="{00000000-0005-0000-0000-000008050000}"/>
    <cellStyle name="s_Assumptions_Actualisation provision contrat déficitaire SNCM 2011 V3 30 05 2011_PAO-CAF-RESOP_08_13_Bridge_Zone_Sud" xfId="1276" xr:uid="{00000000-0005-0000-0000-000009050000}"/>
    <cellStyle name="s_Assumptions_Actualisation provision contrat déficitaire SNCM 2011 V3 30 05 2011_PAO-CAF-RESOP_09_13" xfId="1277" xr:uid="{00000000-0005-0000-0000-00000A050000}"/>
    <cellStyle name="s_Assumptions_Actualisation provision contrat déficitaire SNCM 2011 V3 30 05 2011_PAO-CAF-RESOP_09_13_Bridge_Zone_Sud" xfId="1278" xr:uid="{00000000-0005-0000-0000-00000B050000}"/>
    <cellStyle name="s_Assumptions_Actualisation provision contrat déficitaire SNCM 2011 V3 30 05 2011_PAO-CAF-RESOP_09_2013_Zone_IDF (version 2)" xfId="1279" xr:uid="{00000000-0005-0000-0000-00000C050000}"/>
    <cellStyle name="s_Assumptions_Actualisation provision contrat déficitaire SNCM 2011 V3 30 05 2011_PAO-CAF-RESOP_10_12" xfId="1280" xr:uid="{00000000-0005-0000-0000-00000D050000}"/>
    <cellStyle name="s_Assumptions_Actualisation provision contrat déficitaire SNCM 2011 V3 30 05 2011_PAO-CAF-RESOP_10_12_Bridge_Zone_Sud" xfId="1281" xr:uid="{00000000-0005-0000-0000-00000E050000}"/>
    <cellStyle name="s_Assumptions_Actualisation provision contrat déficitaire SNCM 2011 V3 30 05 2011_PAO-CAF-RESOP_10_12_focus par entités CAFOP" xfId="1282" xr:uid="{00000000-0005-0000-0000-00000F050000}"/>
    <cellStyle name="s_Assumptions_Actualisation provision contrat déficitaire SNCM 2011 V3 30 05 2011_PAO-CAF-RESOP_10_12_focus par entités CAFOP_Bridge_Zone_Sud" xfId="1283" xr:uid="{00000000-0005-0000-0000-000010050000}"/>
    <cellStyle name="s_Assumptions_Actualisation provision contrat déficitaire SNCM 2011 V3 30 05 2011_PAO-CAF-RESOP_11_13" xfId="1284" xr:uid="{00000000-0005-0000-0000-000011050000}"/>
    <cellStyle name="s_Assumptions_Actualisation provision contrat déficitaire SNCM 2011 V3 30 05 2011_PAO-CAF-RESOP_B13" xfId="1285" xr:uid="{00000000-0005-0000-0000-000012050000}"/>
    <cellStyle name="s_Assumptions_Actualisation provision contrat déficitaire SNCM 2011 V3 30 05 2011_PAO-CAF-RESOP_B13_Bridge_Zone_Sud" xfId="1286" xr:uid="{00000000-0005-0000-0000-000013050000}"/>
    <cellStyle name="s_Assumptions_Actualisation provision contrat déficitaire SNCM 2011 V3 30 05 2011_PAO-CAF-RESOP_B13_focus par entités CAFOP" xfId="1287" xr:uid="{00000000-0005-0000-0000-000014050000}"/>
    <cellStyle name="s_Assumptions_Actualisation provision contrat déficitaire SNCM 2011 V3 30 05 2011_PAO-CAF-RESOP_B13_focus par entités CAFOP_Bridge_Zone_Sud" xfId="1288" xr:uid="{00000000-0005-0000-0000-000015050000}"/>
    <cellStyle name="s_Assumptions_Actualisation provision contrat déficitaire SNCM 2011 V3 30 05 2011_PAO-CAF-RESOP_B2014" xfId="1289" xr:uid="{00000000-0005-0000-0000-000016050000}"/>
    <cellStyle name="s_Assumptions_Actualisation provision contrat déficitaire SNCM 2011 V3 30 05 2011_PAO-CAF-RESOP_B2014_Bridge_Zone_Sud" xfId="1290" xr:uid="{00000000-0005-0000-0000-000017050000}"/>
    <cellStyle name="s_Assumptions_Actualisation provision contrat déficitaire SNCM 2011 V3 30 05 2011_PAO-CAF-RESOP_B2014_v2" xfId="1291" xr:uid="{00000000-0005-0000-0000-000018050000}"/>
    <cellStyle name="s_Assumptions_Actualisation provision contrat déficitaire SNCM 2011 V3 30 05 2011_PAO-CAF-RESOP_E2_13" xfId="1292" xr:uid="{00000000-0005-0000-0000-000019050000}"/>
    <cellStyle name="s_Assumptions_Actualisation provision contrat déficitaire SNCM 2011 V3 30 05 2011_PAO-CAF-RESOP_E2_13_B14_E2_2210" xfId="1293" xr:uid="{00000000-0005-0000-0000-00001A050000}"/>
    <cellStyle name="s_Assumptions_Actualisation provision contrat déficitaire SNCM 2011 V3 30 05 2011_PAO-CAF-RESOP_E2_13_B14_E2_2210_Bridge_Zone_Sud" xfId="1294" xr:uid="{00000000-0005-0000-0000-00001B050000}"/>
    <cellStyle name="s_Assumptions_Actualisation provision contrat déficitaire SNCM 2011 V3 30 05 2011_PAO-CAF-RESOP_E2_13_Bridge_Zone_Sud" xfId="1295" xr:uid="{00000000-0005-0000-0000-00001C050000}"/>
    <cellStyle name="s_Assumptions_Actualisation provision contrat déficitaire SNCM 2011 V3 30 05 2011_PAO-CAF-RESOP_E2_2013_03_10_19H" xfId="1296" xr:uid="{00000000-0005-0000-0000-00001D050000}"/>
    <cellStyle name="s_Assumptions_Actualisation provision contrat déficitaire SNCM 2011 V3 30 05 2011_PAO-CAF-RESOP_E2_2013_03_10_19H_Bridge_Zone_Sud" xfId="1297" xr:uid="{00000000-0005-0000-0000-00001E050000}"/>
    <cellStyle name="s_Assumptions_Actualisation provision contrat déficitaire SNCM 2011 V3 30 05 2011_PPA" xfId="1298" xr:uid="{00000000-0005-0000-0000-00001F050000}"/>
    <cellStyle name="s_Assumptions_Actualisation provision contrat déficitaire SNCM 2011 V3 30 05 2011_RESOP bef CICE&amp;PPA&amp;RepartHO" xfId="1299" xr:uid="{00000000-0005-0000-0000-000020050000}"/>
    <cellStyle name="s_Assumptions_Actualisation provision contrat déficitaire SNCM 2011 V3 30 05 2011_Synthèse_Présentation_conso_retraitée" xfId="1300" xr:uid="{00000000-0005-0000-0000-000021050000}"/>
    <cellStyle name="s_Assumptions_B14_E2_2210" xfId="1301" xr:uid="{00000000-0005-0000-0000-000022050000}"/>
    <cellStyle name="s_Assumptions_B14_E2_2210_Bridge_Zone_Sud" xfId="1302" xr:uid="{00000000-0005-0000-0000-000023050000}"/>
    <cellStyle name="s_Assumptions_BFR_TD_2014.02" xfId="1303" xr:uid="{00000000-0005-0000-0000-000024050000}"/>
    <cellStyle name="s_Assumptions_Bridge_Zone_Nord" xfId="1304" xr:uid="{00000000-0005-0000-0000-000025050000}"/>
    <cellStyle name="s_Assumptions_CAPEM BY COUNTRY" xfId="1305" xr:uid="{00000000-0005-0000-0000-000026050000}"/>
    <cellStyle name="s_Assumptions_LI819L_B13" xfId="1306" xr:uid="{00000000-0005-0000-0000-000027050000}"/>
    <cellStyle name="s_Assumptions_LI819L_B13_CAPEM BY COUNTRY" xfId="1307" xr:uid="{00000000-0005-0000-0000-000028050000}"/>
    <cellStyle name="s_Assumptions_LI819L_B13_Maquette PLT" xfId="1308" xr:uid="{00000000-0005-0000-0000-000029050000}"/>
    <cellStyle name="s_Assumptions_LI819L_B13_Output" xfId="3372" xr:uid="{00000000-0005-0000-0000-00002A050000}"/>
    <cellStyle name="s_Assumptions_LI819L_B13_PPA" xfId="1309" xr:uid="{00000000-0005-0000-0000-00002B050000}"/>
    <cellStyle name="s_Assumptions_LI819L_B13_RESOP bef CICE&amp;PPA&amp;RepartHO" xfId="1310" xr:uid="{00000000-0005-0000-0000-00002C050000}"/>
    <cellStyle name="s_Assumptions_Maquette PLT" xfId="1311" xr:uid="{00000000-0005-0000-0000-00002D050000}"/>
    <cellStyle name="s_Assumptions_Output" xfId="3369" xr:uid="{00000000-0005-0000-0000-00002E050000}"/>
    <cellStyle name="s_Assumptions_PAO-CAF-RESOP_14_01_13 à 20h" xfId="1312" xr:uid="{00000000-0005-0000-0000-00002F050000}"/>
    <cellStyle name="s_Assumptions_PAO-CAF-RESOP_14_01_13 à 20h_CAPEM BY COUNTRY" xfId="1313" xr:uid="{00000000-0005-0000-0000-000030050000}"/>
    <cellStyle name="s_Assumptions_PAO-CAF-RESOP_14_01_13 à 20h_Maquette PLT" xfId="1314" xr:uid="{00000000-0005-0000-0000-000031050000}"/>
    <cellStyle name="s_Assumptions_PAO-CAF-RESOP_14_01_13 à 20h_Output" xfId="3373" xr:uid="{00000000-0005-0000-0000-000032050000}"/>
    <cellStyle name="s_Assumptions_PAO-CAF-RESOP_14_01_13 à 20h_PPA" xfId="1315" xr:uid="{00000000-0005-0000-0000-000033050000}"/>
    <cellStyle name="s_Assumptions_PAO-CAF-RESOP_14_01_13 à 20h_RESOP bef CICE&amp;PPA&amp;RepartHO" xfId="1316" xr:uid="{00000000-0005-0000-0000-000034050000}"/>
    <cellStyle name="s_Assumptions_PAO-CAF-RESOP_2014.02" xfId="1317" xr:uid="{00000000-0005-0000-0000-000035050000}"/>
    <cellStyle name="s_Assumptions_PAO-CAF-RESOP_2014.02_Bridge_Zone_Sud" xfId="1318" xr:uid="{00000000-0005-0000-0000-000036050000}"/>
    <cellStyle name="s_Assumptions_PPA" xfId="1319" xr:uid="{00000000-0005-0000-0000-000037050000}"/>
    <cellStyle name="s_Assumptions_RESOP bef CICE&amp;PPA&amp;RepartHO" xfId="1320" xr:uid="{00000000-0005-0000-0000-000038050000}"/>
    <cellStyle name="s_B_S_Ratios _B" xfId="1321" xr:uid="{00000000-0005-0000-0000-000039050000}"/>
    <cellStyle name="s_B_S_Ratios _B_Actualisation provision contrat déficitaire SNCM 2010 V Def" xfId="1322" xr:uid="{00000000-0005-0000-0000-00003A050000}"/>
    <cellStyle name="s_B_S_Ratios _B_Actualisation provision contrat déficitaire SNCM 2010 V Def_B14_E2_2210" xfId="1323" xr:uid="{00000000-0005-0000-0000-00003B050000}"/>
    <cellStyle name="s_B_S_Ratios _B_Actualisation provision contrat déficitaire SNCM 2010 V Def_B14_E2_2210_Bridge_Zone_Sud" xfId="1324" xr:uid="{00000000-0005-0000-0000-00003C050000}"/>
    <cellStyle name="s_B_S_Ratios _B_Actualisation provision contrat déficitaire SNCM 2010 V Def_Bridge_Zone_Sud" xfId="1325" xr:uid="{00000000-0005-0000-0000-00003D050000}"/>
    <cellStyle name="s_B_S_Ratios _B_Actualisation provision contrat déficitaire SNCM 2010 V Def_CAPEM BY COUNTRY" xfId="1326" xr:uid="{00000000-0005-0000-0000-00003E050000}"/>
    <cellStyle name="s_B_S_Ratios _B_Actualisation provision contrat déficitaire SNCM 2010 V Def_focus par entités CAFOPE2AMF" xfId="1327" xr:uid="{00000000-0005-0000-0000-00003F050000}"/>
    <cellStyle name="s_B_S_Ratios _B_Actualisation provision contrat déficitaire SNCM 2010 V Def_focus par entités CAFOPE2AMF_Bridge_Zone_Sud" xfId="1328" xr:uid="{00000000-0005-0000-0000-000040050000}"/>
    <cellStyle name="s_B_S_Ratios _B_Actualisation provision contrat déficitaire SNCM 2010 V Def_Maquette PLT" xfId="1329" xr:uid="{00000000-0005-0000-0000-000041050000}"/>
    <cellStyle name="s_B_S_Ratios _B_Actualisation provision contrat déficitaire SNCM 2010 V Def_Output" xfId="3375" xr:uid="{00000000-0005-0000-0000-000042050000}"/>
    <cellStyle name="s_B_S_Ratios _B_Actualisation provision contrat déficitaire SNCM 2010 V Def_PAO-CAF-RESOP_04_13_pro_format_variante T1" xfId="1330" xr:uid="{00000000-0005-0000-0000-000043050000}"/>
    <cellStyle name="s_B_S_Ratios _B_Actualisation provision contrat déficitaire SNCM 2010 V Def_PAO-CAF-RESOP_04_13_pro_format_variante T1_B14_E2_2210" xfId="1331" xr:uid="{00000000-0005-0000-0000-000044050000}"/>
    <cellStyle name="s_B_S_Ratios _B_Actualisation provision contrat déficitaire SNCM 2010 V Def_PAO-CAF-RESOP_04_13_pro_format_variante T1_B14_E2_2210_Bridge_Zone_Sud" xfId="1332" xr:uid="{00000000-0005-0000-0000-000045050000}"/>
    <cellStyle name="s_B_S_Ratios _B_Actualisation provision contrat déficitaire SNCM 2010 V Def_PAO-CAF-RESOP_04_13_pro_format_variante T1_Bridge_Zone_Sud" xfId="1333" xr:uid="{00000000-0005-0000-0000-000046050000}"/>
    <cellStyle name="s_B_S_Ratios _B_Actualisation provision contrat déficitaire SNCM 2010 V Def_PAO-CAF-RESOP_06_13" xfId="1334" xr:uid="{00000000-0005-0000-0000-000047050000}"/>
    <cellStyle name="s_B_S_Ratios _B_Actualisation provision contrat déficitaire SNCM 2010 V Def_PAO-CAF-RESOP_06_13_B14_E2_2210" xfId="1335" xr:uid="{00000000-0005-0000-0000-000048050000}"/>
    <cellStyle name="s_B_S_Ratios _B_Actualisation provision contrat déficitaire SNCM 2010 V Def_PAO-CAF-RESOP_06_13_B14_E2_2210_Bridge_Zone_Sud" xfId="1336" xr:uid="{00000000-0005-0000-0000-000049050000}"/>
    <cellStyle name="s_B_S_Ratios _B_Actualisation provision contrat déficitaire SNCM 2010 V Def_PAO-CAF-RESOP_06_13_Bridge_Zone_Sud" xfId="1337" xr:uid="{00000000-0005-0000-0000-00004A050000}"/>
    <cellStyle name="s_B_S_Ratios _B_Actualisation provision contrat déficitaire SNCM 2010 V Def_PAO-CAF-RESOP_08_13" xfId="1338" xr:uid="{00000000-0005-0000-0000-00004B050000}"/>
    <cellStyle name="s_B_S_Ratios _B_Actualisation provision contrat déficitaire SNCM 2010 V Def_PAO-CAF-RESOP_08_13_B14_E2_2210" xfId="1339" xr:uid="{00000000-0005-0000-0000-00004C050000}"/>
    <cellStyle name="s_B_S_Ratios _B_Actualisation provision contrat déficitaire SNCM 2010 V Def_PAO-CAF-RESOP_08_13_B14_E2_2210_Bridge_Zone_Sud" xfId="1340" xr:uid="{00000000-0005-0000-0000-00004D050000}"/>
    <cellStyle name="s_B_S_Ratios _B_Actualisation provision contrat déficitaire SNCM 2010 V Def_PAO-CAF-RESOP_08_13_Bridge_Zone_Sud" xfId="1341" xr:uid="{00000000-0005-0000-0000-00004E050000}"/>
    <cellStyle name="s_B_S_Ratios _B_Actualisation provision contrat déficitaire SNCM 2010 V Def_PAO-CAF-RESOP_09_13" xfId="1342" xr:uid="{00000000-0005-0000-0000-00004F050000}"/>
    <cellStyle name="s_B_S_Ratios _B_Actualisation provision contrat déficitaire SNCM 2010 V Def_PAO-CAF-RESOP_09_13_Bridge_Zone_Sud" xfId="1343" xr:uid="{00000000-0005-0000-0000-000050050000}"/>
    <cellStyle name="s_B_S_Ratios _B_Actualisation provision contrat déficitaire SNCM 2010 V Def_PAO-CAF-RESOP_09_2013_Zone_IDF (version 2)" xfId="1344" xr:uid="{00000000-0005-0000-0000-000051050000}"/>
    <cellStyle name="s_B_S_Ratios _B_Actualisation provision contrat déficitaire SNCM 2010 V Def_PAO-CAF-RESOP_10_12" xfId="1345" xr:uid="{00000000-0005-0000-0000-000052050000}"/>
    <cellStyle name="s_B_S_Ratios _B_Actualisation provision contrat déficitaire SNCM 2010 V Def_PAO-CAF-RESOP_10_12_Bridge_Zone_Sud" xfId="1346" xr:uid="{00000000-0005-0000-0000-000053050000}"/>
    <cellStyle name="s_B_S_Ratios _B_Actualisation provision contrat déficitaire SNCM 2010 V Def_PAO-CAF-RESOP_10_12_focus par entités CAFOP" xfId="1347" xr:uid="{00000000-0005-0000-0000-000054050000}"/>
    <cellStyle name="s_B_S_Ratios _B_Actualisation provision contrat déficitaire SNCM 2010 V Def_PAO-CAF-RESOP_10_12_focus par entités CAFOP_Bridge_Zone_Sud" xfId="1348" xr:uid="{00000000-0005-0000-0000-000055050000}"/>
    <cellStyle name="s_B_S_Ratios _B_Actualisation provision contrat déficitaire SNCM 2010 V Def_PAO-CAF-RESOP_11_13" xfId="1349" xr:uid="{00000000-0005-0000-0000-000056050000}"/>
    <cellStyle name="s_B_S_Ratios _B_Actualisation provision contrat déficitaire SNCM 2010 V Def_PAO-CAF-RESOP_B13" xfId="1350" xr:uid="{00000000-0005-0000-0000-000057050000}"/>
    <cellStyle name="s_B_S_Ratios _B_Actualisation provision contrat déficitaire SNCM 2010 V Def_PAO-CAF-RESOP_B13_Bridge_Zone_Sud" xfId="1351" xr:uid="{00000000-0005-0000-0000-000058050000}"/>
    <cellStyle name="s_B_S_Ratios _B_Actualisation provision contrat déficitaire SNCM 2010 V Def_PAO-CAF-RESOP_B13_focus par entités CAFOP" xfId="1352" xr:uid="{00000000-0005-0000-0000-000059050000}"/>
    <cellStyle name="s_B_S_Ratios _B_Actualisation provision contrat déficitaire SNCM 2010 V Def_PAO-CAF-RESOP_B13_focus par entités CAFOP_Bridge_Zone_Sud" xfId="1353" xr:uid="{00000000-0005-0000-0000-00005A050000}"/>
    <cellStyle name="s_B_S_Ratios _B_Actualisation provision contrat déficitaire SNCM 2010 V Def_PAO-CAF-RESOP_B2014" xfId="1354" xr:uid="{00000000-0005-0000-0000-00005B050000}"/>
    <cellStyle name="s_B_S_Ratios _B_Actualisation provision contrat déficitaire SNCM 2010 V Def_PAO-CAF-RESOP_B2014_Bridge_Zone_Sud" xfId="1355" xr:uid="{00000000-0005-0000-0000-00005C050000}"/>
    <cellStyle name="s_B_S_Ratios _B_Actualisation provision contrat déficitaire SNCM 2010 V Def_PAO-CAF-RESOP_B2014_v2" xfId="1356" xr:uid="{00000000-0005-0000-0000-00005D050000}"/>
    <cellStyle name="s_B_S_Ratios _B_Actualisation provision contrat déficitaire SNCM 2010 V Def_PAO-CAF-RESOP_E2_13" xfId="1357" xr:uid="{00000000-0005-0000-0000-00005E050000}"/>
    <cellStyle name="s_B_S_Ratios _B_Actualisation provision contrat déficitaire SNCM 2010 V Def_PAO-CAF-RESOP_E2_13_B14_E2_2210" xfId="1358" xr:uid="{00000000-0005-0000-0000-00005F050000}"/>
    <cellStyle name="s_B_S_Ratios _B_Actualisation provision contrat déficitaire SNCM 2010 V Def_PAO-CAF-RESOP_E2_13_B14_E2_2210_Bridge_Zone_Sud" xfId="1359" xr:uid="{00000000-0005-0000-0000-000060050000}"/>
    <cellStyle name="s_B_S_Ratios _B_Actualisation provision contrat déficitaire SNCM 2010 V Def_PAO-CAF-RESOP_E2_13_Bridge_Zone_Sud" xfId="1360" xr:uid="{00000000-0005-0000-0000-000061050000}"/>
    <cellStyle name="s_B_S_Ratios _B_Actualisation provision contrat déficitaire SNCM 2010 V Def_PAO-CAF-RESOP_E2_2013_03_10_19H" xfId="1361" xr:uid="{00000000-0005-0000-0000-000062050000}"/>
    <cellStyle name="s_B_S_Ratios _B_Actualisation provision contrat déficitaire SNCM 2010 V Def_PAO-CAF-RESOP_E2_2013_03_10_19H_Bridge_Zone_Sud" xfId="1362" xr:uid="{00000000-0005-0000-0000-000063050000}"/>
    <cellStyle name="s_B_S_Ratios _B_Actualisation provision contrat déficitaire SNCM 2010 V Def_PPA" xfId="1363" xr:uid="{00000000-0005-0000-0000-000064050000}"/>
    <cellStyle name="s_B_S_Ratios _B_Actualisation provision contrat déficitaire SNCM 2010 V Def_RESOP bef CICE&amp;PPA&amp;RepartHO" xfId="1364" xr:uid="{00000000-0005-0000-0000-000065050000}"/>
    <cellStyle name="s_B_S_Ratios _B_Actualisation provision contrat déficitaire SNCM 2010 V Def_Synthèse_Présentation_conso_retraitée" xfId="1365" xr:uid="{00000000-0005-0000-0000-000066050000}"/>
    <cellStyle name="s_B_S_Ratios _B_Actualisation provision contrat déficitaire SNCM 2011 V3 30 05 2011" xfId="1366" xr:uid="{00000000-0005-0000-0000-000067050000}"/>
    <cellStyle name="s_B_S_Ratios _B_Actualisation provision contrat déficitaire SNCM 2011 V3 30 05 2011_B14_E2_2210" xfId="1367" xr:uid="{00000000-0005-0000-0000-000068050000}"/>
    <cellStyle name="s_B_S_Ratios _B_Actualisation provision contrat déficitaire SNCM 2011 V3 30 05 2011_B14_E2_2210_Bridge_Zone_Sud" xfId="1368" xr:uid="{00000000-0005-0000-0000-000069050000}"/>
    <cellStyle name="s_B_S_Ratios _B_Actualisation provision contrat déficitaire SNCM 2011 V3 30 05 2011_Bridge_Zone_Sud" xfId="1369" xr:uid="{00000000-0005-0000-0000-00006A050000}"/>
    <cellStyle name="s_B_S_Ratios _B_Actualisation provision contrat déficitaire SNCM 2011 V3 30 05 2011_CAPEM BY COUNTRY" xfId="1370" xr:uid="{00000000-0005-0000-0000-00006B050000}"/>
    <cellStyle name="s_B_S_Ratios _B_Actualisation provision contrat déficitaire SNCM 2011 V3 30 05 2011_focus par entités CAFOPE2AMF" xfId="1371" xr:uid="{00000000-0005-0000-0000-00006C050000}"/>
    <cellStyle name="s_B_S_Ratios _B_Actualisation provision contrat déficitaire SNCM 2011 V3 30 05 2011_focus par entités CAFOPE2AMF_Bridge_Zone_Sud" xfId="1372" xr:uid="{00000000-0005-0000-0000-00006D050000}"/>
    <cellStyle name="s_B_S_Ratios _B_Actualisation provision contrat déficitaire SNCM 2011 V3 30 05 2011_Maquette PLT" xfId="1373" xr:uid="{00000000-0005-0000-0000-00006E050000}"/>
    <cellStyle name="s_B_S_Ratios _B_Actualisation provision contrat déficitaire SNCM 2011 V3 30 05 2011_Output" xfId="3376" xr:uid="{00000000-0005-0000-0000-00006F050000}"/>
    <cellStyle name="s_B_S_Ratios _B_Actualisation provision contrat déficitaire SNCM 2011 V3 30 05 2011_PAO-CAF-RESOP_04_13_pro_format_variante T1" xfId="1374" xr:uid="{00000000-0005-0000-0000-000070050000}"/>
    <cellStyle name="s_B_S_Ratios _B_Actualisation provision contrat déficitaire SNCM 2011 V3 30 05 2011_PAO-CAF-RESOP_04_13_pro_format_variante T1_B14_E2_2210" xfId="1375" xr:uid="{00000000-0005-0000-0000-000071050000}"/>
    <cellStyle name="s_B_S_Ratios _B_Actualisation provision contrat déficitaire SNCM 2011 V3 30 05 2011_PAO-CAF-RESOP_04_13_pro_format_variante T1_B14_E2_2210_Bridge_Zone_Sud" xfId="1376" xr:uid="{00000000-0005-0000-0000-000072050000}"/>
    <cellStyle name="s_B_S_Ratios _B_Actualisation provision contrat déficitaire SNCM 2011 V3 30 05 2011_PAO-CAF-RESOP_04_13_pro_format_variante T1_Bridge_Zone_Sud" xfId="1377" xr:uid="{00000000-0005-0000-0000-000073050000}"/>
    <cellStyle name="s_B_S_Ratios _B_Actualisation provision contrat déficitaire SNCM 2011 V3 30 05 2011_PAO-CAF-RESOP_06_13" xfId="1378" xr:uid="{00000000-0005-0000-0000-000074050000}"/>
    <cellStyle name="s_B_S_Ratios _B_Actualisation provision contrat déficitaire SNCM 2011 V3 30 05 2011_PAO-CAF-RESOP_06_13_B14_E2_2210" xfId="1379" xr:uid="{00000000-0005-0000-0000-000075050000}"/>
    <cellStyle name="s_B_S_Ratios _B_Actualisation provision contrat déficitaire SNCM 2011 V3 30 05 2011_PAO-CAF-RESOP_06_13_B14_E2_2210_Bridge_Zone_Sud" xfId="1380" xr:uid="{00000000-0005-0000-0000-000076050000}"/>
    <cellStyle name="s_B_S_Ratios _B_Actualisation provision contrat déficitaire SNCM 2011 V3 30 05 2011_PAO-CAF-RESOP_06_13_Bridge_Zone_Sud" xfId="1381" xr:uid="{00000000-0005-0000-0000-000077050000}"/>
    <cellStyle name="s_B_S_Ratios _B_Actualisation provision contrat déficitaire SNCM 2011 V3 30 05 2011_PAO-CAF-RESOP_08_13" xfId="1382" xr:uid="{00000000-0005-0000-0000-000078050000}"/>
    <cellStyle name="s_B_S_Ratios _B_Actualisation provision contrat déficitaire SNCM 2011 V3 30 05 2011_PAO-CAF-RESOP_08_13_B14_E2_2210" xfId="1383" xr:uid="{00000000-0005-0000-0000-000079050000}"/>
    <cellStyle name="s_B_S_Ratios _B_Actualisation provision contrat déficitaire SNCM 2011 V3 30 05 2011_PAO-CAF-RESOP_08_13_B14_E2_2210_Bridge_Zone_Sud" xfId="1384" xr:uid="{00000000-0005-0000-0000-00007A050000}"/>
    <cellStyle name="s_B_S_Ratios _B_Actualisation provision contrat déficitaire SNCM 2011 V3 30 05 2011_PAO-CAF-RESOP_08_13_Bridge_Zone_Sud" xfId="1385" xr:uid="{00000000-0005-0000-0000-00007B050000}"/>
    <cellStyle name="s_B_S_Ratios _B_Actualisation provision contrat déficitaire SNCM 2011 V3 30 05 2011_PAO-CAF-RESOP_09_13" xfId="1386" xr:uid="{00000000-0005-0000-0000-00007C050000}"/>
    <cellStyle name="s_B_S_Ratios _B_Actualisation provision contrat déficitaire SNCM 2011 V3 30 05 2011_PAO-CAF-RESOP_09_13_Bridge_Zone_Sud" xfId="1387" xr:uid="{00000000-0005-0000-0000-00007D050000}"/>
    <cellStyle name="s_B_S_Ratios _B_Actualisation provision contrat déficitaire SNCM 2011 V3 30 05 2011_PAO-CAF-RESOP_09_2013_Zone_IDF (version 2)" xfId="1388" xr:uid="{00000000-0005-0000-0000-00007E050000}"/>
    <cellStyle name="s_B_S_Ratios _B_Actualisation provision contrat déficitaire SNCM 2011 V3 30 05 2011_PAO-CAF-RESOP_10_12" xfId="1389" xr:uid="{00000000-0005-0000-0000-00007F050000}"/>
    <cellStyle name="s_B_S_Ratios _B_Actualisation provision contrat déficitaire SNCM 2011 V3 30 05 2011_PAO-CAF-RESOP_10_12_Bridge_Zone_Sud" xfId="1390" xr:uid="{00000000-0005-0000-0000-000080050000}"/>
    <cellStyle name="s_B_S_Ratios _B_Actualisation provision contrat déficitaire SNCM 2011 V3 30 05 2011_PAO-CAF-RESOP_10_12_focus par entités CAFOP" xfId="1391" xr:uid="{00000000-0005-0000-0000-000081050000}"/>
    <cellStyle name="s_B_S_Ratios _B_Actualisation provision contrat déficitaire SNCM 2011 V3 30 05 2011_PAO-CAF-RESOP_10_12_focus par entités CAFOP_Bridge_Zone_Sud" xfId="1392" xr:uid="{00000000-0005-0000-0000-000082050000}"/>
    <cellStyle name="s_B_S_Ratios _B_Actualisation provision contrat déficitaire SNCM 2011 V3 30 05 2011_PAO-CAF-RESOP_11_13" xfId="1393" xr:uid="{00000000-0005-0000-0000-000083050000}"/>
    <cellStyle name="s_B_S_Ratios _B_Actualisation provision contrat déficitaire SNCM 2011 V3 30 05 2011_PAO-CAF-RESOP_B13" xfId="1394" xr:uid="{00000000-0005-0000-0000-000084050000}"/>
    <cellStyle name="s_B_S_Ratios _B_Actualisation provision contrat déficitaire SNCM 2011 V3 30 05 2011_PAO-CAF-RESOP_B13_Bridge_Zone_Sud" xfId="1395" xr:uid="{00000000-0005-0000-0000-000085050000}"/>
    <cellStyle name="s_B_S_Ratios _B_Actualisation provision contrat déficitaire SNCM 2011 V3 30 05 2011_PAO-CAF-RESOP_B13_focus par entités CAFOP" xfId="1396" xr:uid="{00000000-0005-0000-0000-000086050000}"/>
    <cellStyle name="s_B_S_Ratios _B_Actualisation provision contrat déficitaire SNCM 2011 V3 30 05 2011_PAO-CAF-RESOP_B13_focus par entités CAFOP_Bridge_Zone_Sud" xfId="1397" xr:uid="{00000000-0005-0000-0000-000087050000}"/>
    <cellStyle name="s_B_S_Ratios _B_Actualisation provision contrat déficitaire SNCM 2011 V3 30 05 2011_PAO-CAF-RESOP_B2014" xfId="1398" xr:uid="{00000000-0005-0000-0000-000088050000}"/>
    <cellStyle name="s_B_S_Ratios _B_Actualisation provision contrat déficitaire SNCM 2011 V3 30 05 2011_PAO-CAF-RESOP_B2014_Bridge_Zone_Sud" xfId="1399" xr:uid="{00000000-0005-0000-0000-000089050000}"/>
    <cellStyle name="s_B_S_Ratios _B_Actualisation provision contrat déficitaire SNCM 2011 V3 30 05 2011_PAO-CAF-RESOP_B2014_v2" xfId="1400" xr:uid="{00000000-0005-0000-0000-00008A050000}"/>
    <cellStyle name="s_B_S_Ratios _B_Actualisation provision contrat déficitaire SNCM 2011 V3 30 05 2011_PAO-CAF-RESOP_E2_13" xfId="1401" xr:uid="{00000000-0005-0000-0000-00008B050000}"/>
    <cellStyle name="s_B_S_Ratios _B_Actualisation provision contrat déficitaire SNCM 2011 V3 30 05 2011_PAO-CAF-RESOP_E2_13_B14_E2_2210" xfId="1402" xr:uid="{00000000-0005-0000-0000-00008C050000}"/>
    <cellStyle name="s_B_S_Ratios _B_Actualisation provision contrat déficitaire SNCM 2011 V3 30 05 2011_PAO-CAF-RESOP_E2_13_B14_E2_2210_Bridge_Zone_Sud" xfId="1403" xr:uid="{00000000-0005-0000-0000-00008D050000}"/>
    <cellStyle name="s_B_S_Ratios _B_Actualisation provision contrat déficitaire SNCM 2011 V3 30 05 2011_PAO-CAF-RESOP_E2_13_Bridge_Zone_Sud" xfId="1404" xr:uid="{00000000-0005-0000-0000-00008E050000}"/>
    <cellStyle name="s_B_S_Ratios _B_Actualisation provision contrat déficitaire SNCM 2011 V3 30 05 2011_PAO-CAF-RESOP_E2_2013_03_10_19H" xfId="1405" xr:uid="{00000000-0005-0000-0000-00008F050000}"/>
    <cellStyle name="s_B_S_Ratios _B_Actualisation provision contrat déficitaire SNCM 2011 V3 30 05 2011_PAO-CAF-RESOP_E2_2013_03_10_19H_Bridge_Zone_Sud" xfId="1406" xr:uid="{00000000-0005-0000-0000-000090050000}"/>
    <cellStyle name="s_B_S_Ratios _B_Actualisation provision contrat déficitaire SNCM 2011 V3 30 05 2011_PPA" xfId="1407" xr:uid="{00000000-0005-0000-0000-000091050000}"/>
    <cellStyle name="s_B_S_Ratios _B_Actualisation provision contrat déficitaire SNCM 2011 V3 30 05 2011_RESOP bef CICE&amp;PPA&amp;RepartHO" xfId="1408" xr:uid="{00000000-0005-0000-0000-000092050000}"/>
    <cellStyle name="s_B_S_Ratios _B_Actualisation provision contrat déficitaire SNCM 2011 V3 30 05 2011_Synthèse_Présentation_conso_retraitée" xfId="1409" xr:uid="{00000000-0005-0000-0000-000093050000}"/>
    <cellStyle name="s_B_S_Ratios _B_B14_E2_2210" xfId="1410" xr:uid="{00000000-0005-0000-0000-000094050000}"/>
    <cellStyle name="s_B_S_Ratios _B_B14_E2_2210_Bridge_Zone_Sud" xfId="1411" xr:uid="{00000000-0005-0000-0000-000095050000}"/>
    <cellStyle name="s_B_S_Ratios _B_BFR_TD_2014.02" xfId="1412" xr:uid="{00000000-0005-0000-0000-000096050000}"/>
    <cellStyle name="s_B_S_Ratios _B_Bridge_Zone_Nord" xfId="1413" xr:uid="{00000000-0005-0000-0000-000097050000}"/>
    <cellStyle name="s_B_S_Ratios _B_CAPEM BY COUNTRY" xfId="1414" xr:uid="{00000000-0005-0000-0000-000098050000}"/>
    <cellStyle name="s_B_S_Ratios _B_LI819L_B13" xfId="1415" xr:uid="{00000000-0005-0000-0000-000099050000}"/>
    <cellStyle name="s_B_S_Ratios _B_LI819L_B13_CAPEM BY COUNTRY" xfId="1416" xr:uid="{00000000-0005-0000-0000-00009A050000}"/>
    <cellStyle name="s_B_S_Ratios _B_LI819L_B13_Maquette PLT" xfId="1417" xr:uid="{00000000-0005-0000-0000-00009B050000}"/>
    <cellStyle name="s_B_S_Ratios _B_LI819L_B13_Output" xfId="3377" xr:uid="{00000000-0005-0000-0000-00009C050000}"/>
    <cellStyle name="s_B_S_Ratios _B_LI819L_B13_PPA" xfId="1418" xr:uid="{00000000-0005-0000-0000-00009D050000}"/>
    <cellStyle name="s_B_S_Ratios _B_LI819L_B13_RESOP bef CICE&amp;PPA&amp;RepartHO" xfId="1419" xr:uid="{00000000-0005-0000-0000-00009E050000}"/>
    <cellStyle name="s_B_S_Ratios _B_Maquette PLT" xfId="1420" xr:uid="{00000000-0005-0000-0000-00009F050000}"/>
    <cellStyle name="s_B_S_Ratios _B_Output" xfId="3374" xr:uid="{00000000-0005-0000-0000-0000A0050000}"/>
    <cellStyle name="s_B_S_Ratios _B_PAO-CAF-RESOP_14_01_13 à 20h" xfId="1421" xr:uid="{00000000-0005-0000-0000-0000A1050000}"/>
    <cellStyle name="s_B_S_Ratios _B_PAO-CAF-RESOP_14_01_13 à 20h_CAPEM BY COUNTRY" xfId="1422" xr:uid="{00000000-0005-0000-0000-0000A2050000}"/>
    <cellStyle name="s_B_S_Ratios _B_PAO-CAF-RESOP_14_01_13 à 20h_Maquette PLT" xfId="1423" xr:uid="{00000000-0005-0000-0000-0000A3050000}"/>
    <cellStyle name="s_B_S_Ratios _B_PAO-CAF-RESOP_14_01_13 à 20h_Output" xfId="3378" xr:uid="{00000000-0005-0000-0000-0000A4050000}"/>
    <cellStyle name="s_B_S_Ratios _B_PAO-CAF-RESOP_14_01_13 à 20h_PPA" xfId="1424" xr:uid="{00000000-0005-0000-0000-0000A5050000}"/>
    <cellStyle name="s_B_S_Ratios _B_PAO-CAF-RESOP_14_01_13 à 20h_RESOP bef CICE&amp;PPA&amp;RepartHO" xfId="1425" xr:uid="{00000000-0005-0000-0000-0000A6050000}"/>
    <cellStyle name="s_B_S_Ratios _B_PAO-CAF-RESOP_2014.02" xfId="1426" xr:uid="{00000000-0005-0000-0000-0000A7050000}"/>
    <cellStyle name="s_B_S_Ratios _B_PAO-CAF-RESOP_2014.02_Bridge_Zone_Sud" xfId="1427" xr:uid="{00000000-0005-0000-0000-0000A8050000}"/>
    <cellStyle name="s_B_S_Ratios _B_PPA" xfId="1428" xr:uid="{00000000-0005-0000-0000-0000A9050000}"/>
    <cellStyle name="s_B_S_Ratios _B_RESOP bef CICE&amp;PPA&amp;RepartHO" xfId="1429" xr:uid="{00000000-0005-0000-0000-0000AA050000}"/>
    <cellStyle name="s_B_S_Ratios_T" xfId="1430" xr:uid="{00000000-0005-0000-0000-0000AB050000}"/>
    <cellStyle name="s_B_S_Ratios_T_Actualisation provision contrat déficitaire SNCM 2010 V Def" xfId="1431" xr:uid="{00000000-0005-0000-0000-0000AC050000}"/>
    <cellStyle name="s_B_S_Ratios_T_Actualisation provision contrat déficitaire SNCM 2010 V Def_B14_E2_2210" xfId="1432" xr:uid="{00000000-0005-0000-0000-0000AD050000}"/>
    <cellStyle name="s_B_S_Ratios_T_Actualisation provision contrat déficitaire SNCM 2010 V Def_B14_E2_2210_Bridge_Zone_Sud" xfId="1433" xr:uid="{00000000-0005-0000-0000-0000AE050000}"/>
    <cellStyle name="s_B_S_Ratios_T_Actualisation provision contrat déficitaire SNCM 2010 V Def_Bridge_Zone_Sud" xfId="1434" xr:uid="{00000000-0005-0000-0000-0000AF050000}"/>
    <cellStyle name="s_B_S_Ratios_T_Actualisation provision contrat déficitaire SNCM 2010 V Def_CAPEM BY COUNTRY" xfId="1435" xr:uid="{00000000-0005-0000-0000-0000B0050000}"/>
    <cellStyle name="s_B_S_Ratios_T_Actualisation provision contrat déficitaire SNCM 2010 V Def_focus par entités CAFOPE2AMF" xfId="1436" xr:uid="{00000000-0005-0000-0000-0000B1050000}"/>
    <cellStyle name="s_B_S_Ratios_T_Actualisation provision contrat déficitaire SNCM 2010 V Def_focus par entités CAFOPE2AMF_Bridge_Zone_Sud" xfId="1437" xr:uid="{00000000-0005-0000-0000-0000B2050000}"/>
    <cellStyle name="s_B_S_Ratios_T_Actualisation provision contrat déficitaire SNCM 2010 V Def_Maquette PLT" xfId="1438" xr:uid="{00000000-0005-0000-0000-0000B3050000}"/>
    <cellStyle name="s_B_S_Ratios_T_Actualisation provision contrat déficitaire SNCM 2010 V Def_Output" xfId="3380" xr:uid="{00000000-0005-0000-0000-0000B4050000}"/>
    <cellStyle name="s_B_S_Ratios_T_Actualisation provision contrat déficitaire SNCM 2010 V Def_PAO-CAF-RESOP_04_13_pro_format_variante T1" xfId="1439" xr:uid="{00000000-0005-0000-0000-0000B5050000}"/>
    <cellStyle name="s_B_S_Ratios_T_Actualisation provision contrat déficitaire SNCM 2010 V Def_PAO-CAF-RESOP_04_13_pro_format_variante T1_B14_E2_2210" xfId="1440" xr:uid="{00000000-0005-0000-0000-0000B6050000}"/>
    <cellStyle name="s_B_S_Ratios_T_Actualisation provision contrat déficitaire SNCM 2010 V Def_PAO-CAF-RESOP_04_13_pro_format_variante T1_B14_E2_2210_Bridge_Zone_Sud" xfId="1441" xr:uid="{00000000-0005-0000-0000-0000B7050000}"/>
    <cellStyle name="s_B_S_Ratios_T_Actualisation provision contrat déficitaire SNCM 2010 V Def_PAO-CAF-RESOP_04_13_pro_format_variante T1_Bridge_Zone_Sud" xfId="1442" xr:uid="{00000000-0005-0000-0000-0000B8050000}"/>
    <cellStyle name="s_B_S_Ratios_T_Actualisation provision contrat déficitaire SNCM 2010 V Def_PAO-CAF-RESOP_06_13" xfId="1443" xr:uid="{00000000-0005-0000-0000-0000B9050000}"/>
    <cellStyle name="s_B_S_Ratios_T_Actualisation provision contrat déficitaire SNCM 2010 V Def_PAO-CAF-RESOP_06_13_B14_E2_2210" xfId="1444" xr:uid="{00000000-0005-0000-0000-0000BA050000}"/>
    <cellStyle name="s_B_S_Ratios_T_Actualisation provision contrat déficitaire SNCM 2010 V Def_PAO-CAF-RESOP_06_13_B14_E2_2210_Bridge_Zone_Sud" xfId="1445" xr:uid="{00000000-0005-0000-0000-0000BB050000}"/>
    <cellStyle name="s_B_S_Ratios_T_Actualisation provision contrat déficitaire SNCM 2010 V Def_PAO-CAF-RESOP_06_13_Bridge_Zone_Sud" xfId="1446" xr:uid="{00000000-0005-0000-0000-0000BC050000}"/>
    <cellStyle name="s_B_S_Ratios_T_Actualisation provision contrat déficitaire SNCM 2010 V Def_PAO-CAF-RESOP_08_13" xfId="1447" xr:uid="{00000000-0005-0000-0000-0000BD050000}"/>
    <cellStyle name="s_B_S_Ratios_T_Actualisation provision contrat déficitaire SNCM 2010 V Def_PAO-CAF-RESOP_08_13_B14_E2_2210" xfId="1448" xr:uid="{00000000-0005-0000-0000-0000BE050000}"/>
    <cellStyle name="s_B_S_Ratios_T_Actualisation provision contrat déficitaire SNCM 2010 V Def_PAO-CAF-RESOP_08_13_B14_E2_2210_Bridge_Zone_Sud" xfId="1449" xr:uid="{00000000-0005-0000-0000-0000BF050000}"/>
    <cellStyle name="s_B_S_Ratios_T_Actualisation provision contrat déficitaire SNCM 2010 V Def_PAO-CAF-RESOP_08_13_Bridge_Zone_Sud" xfId="1450" xr:uid="{00000000-0005-0000-0000-0000C0050000}"/>
    <cellStyle name="s_B_S_Ratios_T_Actualisation provision contrat déficitaire SNCM 2010 V Def_PAO-CAF-RESOP_09_13" xfId="1451" xr:uid="{00000000-0005-0000-0000-0000C1050000}"/>
    <cellStyle name="s_B_S_Ratios_T_Actualisation provision contrat déficitaire SNCM 2010 V Def_PAO-CAF-RESOP_09_13_Bridge_Zone_Sud" xfId="1452" xr:uid="{00000000-0005-0000-0000-0000C2050000}"/>
    <cellStyle name="s_B_S_Ratios_T_Actualisation provision contrat déficitaire SNCM 2010 V Def_PAO-CAF-RESOP_09_2013_Zone_IDF (version 2)" xfId="1453" xr:uid="{00000000-0005-0000-0000-0000C3050000}"/>
    <cellStyle name="s_B_S_Ratios_T_Actualisation provision contrat déficitaire SNCM 2010 V Def_PAO-CAF-RESOP_10_12" xfId="1454" xr:uid="{00000000-0005-0000-0000-0000C4050000}"/>
    <cellStyle name="s_B_S_Ratios_T_Actualisation provision contrat déficitaire SNCM 2010 V Def_PAO-CAF-RESOP_10_12_Bridge_Zone_Sud" xfId="1455" xr:uid="{00000000-0005-0000-0000-0000C5050000}"/>
    <cellStyle name="s_B_S_Ratios_T_Actualisation provision contrat déficitaire SNCM 2010 V Def_PAO-CAF-RESOP_10_12_focus par entités CAFOP" xfId="1456" xr:uid="{00000000-0005-0000-0000-0000C6050000}"/>
    <cellStyle name="s_B_S_Ratios_T_Actualisation provision contrat déficitaire SNCM 2010 V Def_PAO-CAF-RESOP_10_12_focus par entités CAFOP_Bridge_Zone_Sud" xfId="1457" xr:uid="{00000000-0005-0000-0000-0000C7050000}"/>
    <cellStyle name="s_B_S_Ratios_T_Actualisation provision contrat déficitaire SNCM 2010 V Def_PAO-CAF-RESOP_11_13" xfId="1458" xr:uid="{00000000-0005-0000-0000-0000C8050000}"/>
    <cellStyle name="s_B_S_Ratios_T_Actualisation provision contrat déficitaire SNCM 2010 V Def_PAO-CAF-RESOP_B13" xfId="1459" xr:uid="{00000000-0005-0000-0000-0000C9050000}"/>
    <cellStyle name="s_B_S_Ratios_T_Actualisation provision contrat déficitaire SNCM 2010 V Def_PAO-CAF-RESOP_B13_Bridge_Zone_Sud" xfId="1460" xr:uid="{00000000-0005-0000-0000-0000CA050000}"/>
    <cellStyle name="s_B_S_Ratios_T_Actualisation provision contrat déficitaire SNCM 2010 V Def_PAO-CAF-RESOP_B13_focus par entités CAFOP" xfId="1461" xr:uid="{00000000-0005-0000-0000-0000CB050000}"/>
    <cellStyle name="s_B_S_Ratios_T_Actualisation provision contrat déficitaire SNCM 2010 V Def_PAO-CAF-RESOP_B13_focus par entités CAFOP_Bridge_Zone_Sud" xfId="1462" xr:uid="{00000000-0005-0000-0000-0000CC050000}"/>
    <cellStyle name="s_B_S_Ratios_T_Actualisation provision contrat déficitaire SNCM 2010 V Def_PAO-CAF-RESOP_B2014" xfId="1463" xr:uid="{00000000-0005-0000-0000-0000CD050000}"/>
    <cellStyle name="s_B_S_Ratios_T_Actualisation provision contrat déficitaire SNCM 2010 V Def_PAO-CAF-RESOP_B2014_Bridge_Zone_Sud" xfId="1464" xr:uid="{00000000-0005-0000-0000-0000CE050000}"/>
    <cellStyle name="s_B_S_Ratios_T_Actualisation provision contrat déficitaire SNCM 2010 V Def_PAO-CAF-RESOP_B2014_v2" xfId="1465" xr:uid="{00000000-0005-0000-0000-0000CF050000}"/>
    <cellStyle name="s_B_S_Ratios_T_Actualisation provision contrat déficitaire SNCM 2010 V Def_PAO-CAF-RESOP_E2_13" xfId="1466" xr:uid="{00000000-0005-0000-0000-0000D0050000}"/>
    <cellStyle name="s_B_S_Ratios_T_Actualisation provision contrat déficitaire SNCM 2010 V Def_PAO-CAF-RESOP_E2_13_B14_E2_2210" xfId="1467" xr:uid="{00000000-0005-0000-0000-0000D1050000}"/>
    <cellStyle name="s_B_S_Ratios_T_Actualisation provision contrat déficitaire SNCM 2010 V Def_PAO-CAF-RESOP_E2_13_B14_E2_2210_Bridge_Zone_Sud" xfId="1468" xr:uid="{00000000-0005-0000-0000-0000D2050000}"/>
    <cellStyle name="s_B_S_Ratios_T_Actualisation provision contrat déficitaire SNCM 2010 V Def_PAO-CAF-RESOP_E2_13_Bridge_Zone_Sud" xfId="1469" xr:uid="{00000000-0005-0000-0000-0000D3050000}"/>
    <cellStyle name="s_B_S_Ratios_T_Actualisation provision contrat déficitaire SNCM 2010 V Def_PAO-CAF-RESOP_E2_2013_03_10_19H" xfId="1470" xr:uid="{00000000-0005-0000-0000-0000D4050000}"/>
    <cellStyle name="s_B_S_Ratios_T_Actualisation provision contrat déficitaire SNCM 2010 V Def_PAO-CAF-RESOP_E2_2013_03_10_19H_Bridge_Zone_Sud" xfId="1471" xr:uid="{00000000-0005-0000-0000-0000D5050000}"/>
    <cellStyle name="s_B_S_Ratios_T_Actualisation provision contrat déficitaire SNCM 2010 V Def_PPA" xfId="1472" xr:uid="{00000000-0005-0000-0000-0000D6050000}"/>
    <cellStyle name="s_B_S_Ratios_T_Actualisation provision contrat déficitaire SNCM 2010 V Def_RESOP bef CICE&amp;PPA&amp;RepartHO" xfId="1473" xr:uid="{00000000-0005-0000-0000-0000D7050000}"/>
    <cellStyle name="s_B_S_Ratios_T_Actualisation provision contrat déficitaire SNCM 2010 V Def_Synthèse_Présentation_conso_retraitée" xfId="1474" xr:uid="{00000000-0005-0000-0000-0000D8050000}"/>
    <cellStyle name="s_B_S_Ratios_T_Actualisation provision contrat déficitaire SNCM 2011 V3 30 05 2011" xfId="1475" xr:uid="{00000000-0005-0000-0000-0000D9050000}"/>
    <cellStyle name="s_B_S_Ratios_T_Actualisation provision contrat déficitaire SNCM 2011 V3 30 05 2011_B14_E2_2210" xfId="1476" xr:uid="{00000000-0005-0000-0000-0000DA050000}"/>
    <cellStyle name="s_B_S_Ratios_T_Actualisation provision contrat déficitaire SNCM 2011 V3 30 05 2011_B14_E2_2210_Bridge_Zone_Sud" xfId="1477" xr:uid="{00000000-0005-0000-0000-0000DB050000}"/>
    <cellStyle name="s_B_S_Ratios_T_Actualisation provision contrat déficitaire SNCM 2011 V3 30 05 2011_Bridge_Zone_Sud" xfId="1478" xr:uid="{00000000-0005-0000-0000-0000DC050000}"/>
    <cellStyle name="s_B_S_Ratios_T_Actualisation provision contrat déficitaire SNCM 2011 V3 30 05 2011_CAPEM BY COUNTRY" xfId="1479" xr:uid="{00000000-0005-0000-0000-0000DD050000}"/>
    <cellStyle name="s_B_S_Ratios_T_Actualisation provision contrat déficitaire SNCM 2011 V3 30 05 2011_focus par entités CAFOPE2AMF" xfId="1480" xr:uid="{00000000-0005-0000-0000-0000DE050000}"/>
    <cellStyle name="s_B_S_Ratios_T_Actualisation provision contrat déficitaire SNCM 2011 V3 30 05 2011_focus par entités CAFOPE2AMF_Bridge_Zone_Sud" xfId="1481" xr:uid="{00000000-0005-0000-0000-0000DF050000}"/>
    <cellStyle name="s_B_S_Ratios_T_Actualisation provision contrat déficitaire SNCM 2011 V3 30 05 2011_Maquette PLT" xfId="1482" xr:uid="{00000000-0005-0000-0000-0000E0050000}"/>
    <cellStyle name="s_B_S_Ratios_T_Actualisation provision contrat déficitaire SNCM 2011 V3 30 05 2011_Output" xfId="3381" xr:uid="{00000000-0005-0000-0000-0000E1050000}"/>
    <cellStyle name="s_B_S_Ratios_T_Actualisation provision contrat déficitaire SNCM 2011 V3 30 05 2011_PAO-CAF-RESOP_04_13_pro_format_variante T1" xfId="1483" xr:uid="{00000000-0005-0000-0000-0000E2050000}"/>
    <cellStyle name="s_B_S_Ratios_T_Actualisation provision contrat déficitaire SNCM 2011 V3 30 05 2011_PAO-CAF-RESOP_04_13_pro_format_variante T1_B14_E2_2210" xfId="1484" xr:uid="{00000000-0005-0000-0000-0000E3050000}"/>
    <cellStyle name="s_B_S_Ratios_T_Actualisation provision contrat déficitaire SNCM 2011 V3 30 05 2011_PAO-CAF-RESOP_04_13_pro_format_variante T1_B14_E2_2210_Bridge_Zone_Sud" xfId="1485" xr:uid="{00000000-0005-0000-0000-0000E4050000}"/>
    <cellStyle name="s_B_S_Ratios_T_Actualisation provision contrat déficitaire SNCM 2011 V3 30 05 2011_PAO-CAF-RESOP_04_13_pro_format_variante T1_Bridge_Zone_Sud" xfId="1486" xr:uid="{00000000-0005-0000-0000-0000E5050000}"/>
    <cellStyle name="s_B_S_Ratios_T_Actualisation provision contrat déficitaire SNCM 2011 V3 30 05 2011_PAO-CAF-RESOP_06_13" xfId="1487" xr:uid="{00000000-0005-0000-0000-0000E6050000}"/>
    <cellStyle name="s_B_S_Ratios_T_Actualisation provision contrat déficitaire SNCM 2011 V3 30 05 2011_PAO-CAF-RESOP_06_13_B14_E2_2210" xfId="1488" xr:uid="{00000000-0005-0000-0000-0000E7050000}"/>
    <cellStyle name="s_B_S_Ratios_T_Actualisation provision contrat déficitaire SNCM 2011 V3 30 05 2011_PAO-CAF-RESOP_06_13_B14_E2_2210_Bridge_Zone_Sud" xfId="1489" xr:uid="{00000000-0005-0000-0000-0000E8050000}"/>
    <cellStyle name="s_B_S_Ratios_T_Actualisation provision contrat déficitaire SNCM 2011 V3 30 05 2011_PAO-CAF-RESOP_06_13_Bridge_Zone_Sud" xfId="1490" xr:uid="{00000000-0005-0000-0000-0000E9050000}"/>
    <cellStyle name="s_B_S_Ratios_T_Actualisation provision contrat déficitaire SNCM 2011 V3 30 05 2011_PAO-CAF-RESOP_08_13" xfId="1491" xr:uid="{00000000-0005-0000-0000-0000EA050000}"/>
    <cellStyle name="s_B_S_Ratios_T_Actualisation provision contrat déficitaire SNCM 2011 V3 30 05 2011_PAO-CAF-RESOP_08_13_B14_E2_2210" xfId="1492" xr:uid="{00000000-0005-0000-0000-0000EB050000}"/>
    <cellStyle name="s_B_S_Ratios_T_Actualisation provision contrat déficitaire SNCM 2011 V3 30 05 2011_PAO-CAF-RESOP_08_13_B14_E2_2210_Bridge_Zone_Sud" xfId="1493" xr:uid="{00000000-0005-0000-0000-0000EC050000}"/>
    <cellStyle name="s_B_S_Ratios_T_Actualisation provision contrat déficitaire SNCM 2011 V3 30 05 2011_PAO-CAF-RESOP_08_13_Bridge_Zone_Sud" xfId="1494" xr:uid="{00000000-0005-0000-0000-0000ED050000}"/>
    <cellStyle name="s_B_S_Ratios_T_Actualisation provision contrat déficitaire SNCM 2011 V3 30 05 2011_PAO-CAF-RESOP_09_13" xfId="1495" xr:uid="{00000000-0005-0000-0000-0000EE050000}"/>
    <cellStyle name="s_B_S_Ratios_T_Actualisation provision contrat déficitaire SNCM 2011 V3 30 05 2011_PAO-CAF-RESOP_09_13_Bridge_Zone_Sud" xfId="1496" xr:uid="{00000000-0005-0000-0000-0000EF050000}"/>
    <cellStyle name="s_B_S_Ratios_T_Actualisation provision contrat déficitaire SNCM 2011 V3 30 05 2011_PAO-CAF-RESOP_09_2013_Zone_IDF (version 2)" xfId="1497" xr:uid="{00000000-0005-0000-0000-0000F0050000}"/>
    <cellStyle name="s_B_S_Ratios_T_Actualisation provision contrat déficitaire SNCM 2011 V3 30 05 2011_PAO-CAF-RESOP_10_12" xfId="1498" xr:uid="{00000000-0005-0000-0000-0000F1050000}"/>
    <cellStyle name="s_B_S_Ratios_T_Actualisation provision contrat déficitaire SNCM 2011 V3 30 05 2011_PAO-CAF-RESOP_10_12_Bridge_Zone_Sud" xfId="1499" xr:uid="{00000000-0005-0000-0000-0000F2050000}"/>
    <cellStyle name="s_B_S_Ratios_T_Actualisation provision contrat déficitaire SNCM 2011 V3 30 05 2011_PAO-CAF-RESOP_10_12_focus par entités CAFOP" xfId="1500" xr:uid="{00000000-0005-0000-0000-0000F3050000}"/>
    <cellStyle name="s_B_S_Ratios_T_Actualisation provision contrat déficitaire SNCM 2011 V3 30 05 2011_PAO-CAF-RESOP_10_12_focus par entités CAFOP_Bridge_Zone_Sud" xfId="1501" xr:uid="{00000000-0005-0000-0000-0000F4050000}"/>
    <cellStyle name="s_B_S_Ratios_T_Actualisation provision contrat déficitaire SNCM 2011 V3 30 05 2011_PAO-CAF-RESOP_11_13" xfId="1502" xr:uid="{00000000-0005-0000-0000-0000F5050000}"/>
    <cellStyle name="s_B_S_Ratios_T_Actualisation provision contrat déficitaire SNCM 2011 V3 30 05 2011_PAO-CAF-RESOP_B13" xfId="1503" xr:uid="{00000000-0005-0000-0000-0000F6050000}"/>
    <cellStyle name="s_B_S_Ratios_T_Actualisation provision contrat déficitaire SNCM 2011 V3 30 05 2011_PAO-CAF-RESOP_B13_Bridge_Zone_Sud" xfId="1504" xr:uid="{00000000-0005-0000-0000-0000F7050000}"/>
    <cellStyle name="s_B_S_Ratios_T_Actualisation provision contrat déficitaire SNCM 2011 V3 30 05 2011_PAO-CAF-RESOP_B13_focus par entités CAFOP" xfId="1505" xr:uid="{00000000-0005-0000-0000-0000F8050000}"/>
    <cellStyle name="s_B_S_Ratios_T_Actualisation provision contrat déficitaire SNCM 2011 V3 30 05 2011_PAO-CAF-RESOP_B13_focus par entités CAFOP_Bridge_Zone_Sud" xfId="1506" xr:uid="{00000000-0005-0000-0000-0000F9050000}"/>
    <cellStyle name="s_B_S_Ratios_T_Actualisation provision contrat déficitaire SNCM 2011 V3 30 05 2011_PAO-CAF-RESOP_B2014" xfId="1507" xr:uid="{00000000-0005-0000-0000-0000FA050000}"/>
    <cellStyle name="s_B_S_Ratios_T_Actualisation provision contrat déficitaire SNCM 2011 V3 30 05 2011_PAO-CAF-RESOP_B2014_Bridge_Zone_Sud" xfId="1508" xr:uid="{00000000-0005-0000-0000-0000FB050000}"/>
    <cellStyle name="s_B_S_Ratios_T_Actualisation provision contrat déficitaire SNCM 2011 V3 30 05 2011_PAO-CAF-RESOP_B2014_v2" xfId="1509" xr:uid="{00000000-0005-0000-0000-0000FC050000}"/>
    <cellStyle name="s_B_S_Ratios_T_Actualisation provision contrat déficitaire SNCM 2011 V3 30 05 2011_PAO-CAF-RESOP_E2_13" xfId="1510" xr:uid="{00000000-0005-0000-0000-0000FD050000}"/>
    <cellStyle name="s_B_S_Ratios_T_Actualisation provision contrat déficitaire SNCM 2011 V3 30 05 2011_PAO-CAF-RESOP_E2_13_B14_E2_2210" xfId="1511" xr:uid="{00000000-0005-0000-0000-0000FE050000}"/>
    <cellStyle name="s_B_S_Ratios_T_Actualisation provision contrat déficitaire SNCM 2011 V3 30 05 2011_PAO-CAF-RESOP_E2_13_B14_E2_2210_Bridge_Zone_Sud" xfId="1512" xr:uid="{00000000-0005-0000-0000-0000FF050000}"/>
    <cellStyle name="s_B_S_Ratios_T_Actualisation provision contrat déficitaire SNCM 2011 V3 30 05 2011_PAO-CAF-RESOP_E2_13_Bridge_Zone_Sud" xfId="1513" xr:uid="{00000000-0005-0000-0000-000000060000}"/>
    <cellStyle name="s_B_S_Ratios_T_Actualisation provision contrat déficitaire SNCM 2011 V3 30 05 2011_PAO-CAF-RESOP_E2_2013_03_10_19H" xfId="1514" xr:uid="{00000000-0005-0000-0000-000001060000}"/>
    <cellStyle name="s_B_S_Ratios_T_Actualisation provision contrat déficitaire SNCM 2011 V3 30 05 2011_PAO-CAF-RESOP_E2_2013_03_10_19H_Bridge_Zone_Sud" xfId="1515" xr:uid="{00000000-0005-0000-0000-000002060000}"/>
    <cellStyle name="s_B_S_Ratios_T_Actualisation provision contrat déficitaire SNCM 2011 V3 30 05 2011_PPA" xfId="1516" xr:uid="{00000000-0005-0000-0000-000003060000}"/>
    <cellStyle name="s_B_S_Ratios_T_Actualisation provision contrat déficitaire SNCM 2011 V3 30 05 2011_RESOP bef CICE&amp;PPA&amp;RepartHO" xfId="1517" xr:uid="{00000000-0005-0000-0000-000004060000}"/>
    <cellStyle name="s_B_S_Ratios_T_Actualisation provision contrat déficitaire SNCM 2011 V3 30 05 2011_Synthèse_Présentation_conso_retraitée" xfId="1518" xr:uid="{00000000-0005-0000-0000-000005060000}"/>
    <cellStyle name="s_B_S_Ratios_T_B14_E2_2210" xfId="1519" xr:uid="{00000000-0005-0000-0000-000006060000}"/>
    <cellStyle name="s_B_S_Ratios_T_B14_E2_2210_Bridge_Zone_Sud" xfId="1520" xr:uid="{00000000-0005-0000-0000-000007060000}"/>
    <cellStyle name="s_B_S_Ratios_T_BFR_TD_2014.02" xfId="1521" xr:uid="{00000000-0005-0000-0000-000008060000}"/>
    <cellStyle name="s_B_S_Ratios_T_Bridge_Zone_Nord" xfId="1522" xr:uid="{00000000-0005-0000-0000-000009060000}"/>
    <cellStyle name="s_B_S_Ratios_T_CAPEM BY COUNTRY" xfId="1523" xr:uid="{00000000-0005-0000-0000-00000A060000}"/>
    <cellStyle name="s_B_S_Ratios_T_LI819L_B13" xfId="1524" xr:uid="{00000000-0005-0000-0000-00000B060000}"/>
    <cellStyle name="s_B_S_Ratios_T_LI819L_B13_CAPEM BY COUNTRY" xfId="1525" xr:uid="{00000000-0005-0000-0000-00000C060000}"/>
    <cellStyle name="s_B_S_Ratios_T_LI819L_B13_Maquette PLT" xfId="1526" xr:uid="{00000000-0005-0000-0000-00000D060000}"/>
    <cellStyle name="s_B_S_Ratios_T_LI819L_B13_Output" xfId="3382" xr:uid="{00000000-0005-0000-0000-00000E060000}"/>
    <cellStyle name="s_B_S_Ratios_T_LI819L_B13_PPA" xfId="1527" xr:uid="{00000000-0005-0000-0000-00000F060000}"/>
    <cellStyle name="s_B_S_Ratios_T_LI819L_B13_RESOP bef CICE&amp;PPA&amp;RepartHO" xfId="1528" xr:uid="{00000000-0005-0000-0000-000010060000}"/>
    <cellStyle name="s_B_S_Ratios_T_Maquette PLT" xfId="1529" xr:uid="{00000000-0005-0000-0000-000011060000}"/>
    <cellStyle name="s_B_S_Ratios_T_Output" xfId="3379" xr:uid="{00000000-0005-0000-0000-000012060000}"/>
    <cellStyle name="s_B_S_Ratios_T_PAO-CAF-RESOP_14_01_13 à 20h" xfId="1530" xr:uid="{00000000-0005-0000-0000-000013060000}"/>
    <cellStyle name="s_B_S_Ratios_T_PAO-CAF-RESOP_14_01_13 à 20h_CAPEM BY COUNTRY" xfId="1531" xr:uid="{00000000-0005-0000-0000-000014060000}"/>
    <cellStyle name="s_B_S_Ratios_T_PAO-CAF-RESOP_14_01_13 à 20h_Maquette PLT" xfId="1532" xr:uid="{00000000-0005-0000-0000-000015060000}"/>
    <cellStyle name="s_B_S_Ratios_T_PAO-CAF-RESOP_14_01_13 à 20h_Output" xfId="3383" xr:uid="{00000000-0005-0000-0000-000016060000}"/>
    <cellStyle name="s_B_S_Ratios_T_PAO-CAF-RESOP_14_01_13 à 20h_PPA" xfId="1533" xr:uid="{00000000-0005-0000-0000-000017060000}"/>
    <cellStyle name="s_B_S_Ratios_T_PAO-CAF-RESOP_14_01_13 à 20h_RESOP bef CICE&amp;PPA&amp;RepartHO" xfId="1534" xr:uid="{00000000-0005-0000-0000-000018060000}"/>
    <cellStyle name="s_B_S_Ratios_T_PAO-CAF-RESOP_2014.02" xfId="1535" xr:uid="{00000000-0005-0000-0000-000019060000}"/>
    <cellStyle name="s_B_S_Ratios_T_PAO-CAF-RESOP_2014.02_Bridge_Zone_Sud" xfId="1536" xr:uid="{00000000-0005-0000-0000-00001A060000}"/>
    <cellStyle name="s_B_S_Ratios_T_PPA" xfId="1537" xr:uid="{00000000-0005-0000-0000-00001B060000}"/>
    <cellStyle name="s_B_S_Ratios_T_RESOP bef CICE&amp;PPA&amp;RepartHO" xfId="1538" xr:uid="{00000000-0005-0000-0000-00001C060000}"/>
    <cellStyle name="s_B14_E2_2210" xfId="1539" xr:uid="{00000000-0005-0000-0000-00001D060000}"/>
    <cellStyle name="s_B14_E2_2210_Bridge_Zone_Sud" xfId="1540" xr:uid="{00000000-0005-0000-0000-00001E060000}"/>
    <cellStyle name="s_BFR_TD_2014.02" xfId="1541" xr:uid="{00000000-0005-0000-0000-00001F060000}"/>
    <cellStyle name="s_Bridge_Zone_Nord" xfId="1542" xr:uid="{00000000-0005-0000-0000-000020060000}"/>
    <cellStyle name="s_CAPEM BY COUNTRY" xfId="1543" xr:uid="{00000000-0005-0000-0000-000021060000}"/>
    <cellStyle name="s_DCFLBO Code" xfId="1544" xr:uid="{00000000-0005-0000-0000-000022060000}"/>
    <cellStyle name="s_DCFLBO Code_1" xfId="1545" xr:uid="{00000000-0005-0000-0000-000023060000}"/>
    <cellStyle name="s_DCFLBO Code_1_Actualisation provision contrat déficitaire SNCM 2010 V Def" xfId="1546" xr:uid="{00000000-0005-0000-0000-000024060000}"/>
    <cellStyle name="s_DCFLBO Code_1_Actualisation provision contrat déficitaire SNCM 2010 V Def_B14_E2_2210" xfId="1547" xr:uid="{00000000-0005-0000-0000-000025060000}"/>
    <cellStyle name="s_DCFLBO Code_1_Actualisation provision contrat déficitaire SNCM 2010 V Def_B14_E2_2210_Bridge_Zone_Sud" xfId="1548" xr:uid="{00000000-0005-0000-0000-000026060000}"/>
    <cellStyle name="s_DCFLBO Code_1_Actualisation provision contrat déficitaire SNCM 2010 V Def_Bridge_Zone_Sud" xfId="1549" xr:uid="{00000000-0005-0000-0000-000027060000}"/>
    <cellStyle name="s_DCFLBO Code_1_Actualisation provision contrat déficitaire SNCM 2010 V Def_CAPEM BY COUNTRY" xfId="1550" xr:uid="{00000000-0005-0000-0000-000028060000}"/>
    <cellStyle name="s_DCFLBO Code_1_Actualisation provision contrat déficitaire SNCM 2010 V Def_focus par entités CAFOPE2AMF" xfId="1551" xr:uid="{00000000-0005-0000-0000-000029060000}"/>
    <cellStyle name="s_DCFLBO Code_1_Actualisation provision contrat déficitaire SNCM 2010 V Def_focus par entités CAFOPE2AMF_Bridge_Zone_Sud" xfId="1552" xr:uid="{00000000-0005-0000-0000-00002A060000}"/>
    <cellStyle name="s_DCFLBO Code_1_Actualisation provision contrat déficitaire SNCM 2010 V Def_Maquette PLT" xfId="1553" xr:uid="{00000000-0005-0000-0000-00002B060000}"/>
    <cellStyle name="s_DCFLBO Code_1_Actualisation provision contrat déficitaire SNCM 2010 V Def_Output" xfId="3386" xr:uid="{00000000-0005-0000-0000-00002C060000}"/>
    <cellStyle name="s_DCFLBO Code_1_Actualisation provision contrat déficitaire SNCM 2010 V Def_PAO-CAF-RESOP_04_13_pro_format_variante T1" xfId="1554" xr:uid="{00000000-0005-0000-0000-00002D060000}"/>
    <cellStyle name="s_DCFLBO Code_1_Actualisation provision contrat déficitaire SNCM 2010 V Def_PAO-CAF-RESOP_04_13_pro_format_variante T1_B14_E2_2210" xfId="1555" xr:uid="{00000000-0005-0000-0000-00002E060000}"/>
    <cellStyle name="s_DCFLBO Code_1_Actualisation provision contrat déficitaire SNCM 2010 V Def_PAO-CAF-RESOP_04_13_pro_format_variante T1_B14_E2_2210_Bridge_Zone_Sud" xfId="1556" xr:uid="{00000000-0005-0000-0000-00002F060000}"/>
    <cellStyle name="s_DCFLBO Code_1_Actualisation provision contrat déficitaire SNCM 2010 V Def_PAO-CAF-RESOP_04_13_pro_format_variante T1_Bridge_Zone_Sud" xfId="1557" xr:uid="{00000000-0005-0000-0000-000030060000}"/>
    <cellStyle name="s_DCFLBO Code_1_Actualisation provision contrat déficitaire SNCM 2010 V Def_PAO-CAF-RESOP_06_13" xfId="1558" xr:uid="{00000000-0005-0000-0000-000031060000}"/>
    <cellStyle name="s_DCFLBO Code_1_Actualisation provision contrat déficitaire SNCM 2010 V Def_PAO-CAF-RESOP_06_13_B14_E2_2210" xfId="1559" xr:uid="{00000000-0005-0000-0000-000032060000}"/>
    <cellStyle name="s_DCFLBO Code_1_Actualisation provision contrat déficitaire SNCM 2010 V Def_PAO-CAF-RESOP_06_13_B14_E2_2210_Bridge_Zone_Sud" xfId="1560" xr:uid="{00000000-0005-0000-0000-000033060000}"/>
    <cellStyle name="s_DCFLBO Code_1_Actualisation provision contrat déficitaire SNCM 2010 V Def_PAO-CAF-RESOP_06_13_Bridge_Zone_Sud" xfId="1561" xr:uid="{00000000-0005-0000-0000-000034060000}"/>
    <cellStyle name="s_DCFLBO Code_1_Actualisation provision contrat déficitaire SNCM 2010 V Def_PAO-CAF-RESOP_08_13" xfId="1562" xr:uid="{00000000-0005-0000-0000-000035060000}"/>
    <cellStyle name="s_DCFLBO Code_1_Actualisation provision contrat déficitaire SNCM 2010 V Def_PAO-CAF-RESOP_08_13_B14_E2_2210" xfId="1563" xr:uid="{00000000-0005-0000-0000-000036060000}"/>
    <cellStyle name="s_DCFLBO Code_1_Actualisation provision contrat déficitaire SNCM 2010 V Def_PAO-CAF-RESOP_08_13_B14_E2_2210_Bridge_Zone_Sud" xfId="1564" xr:uid="{00000000-0005-0000-0000-000037060000}"/>
    <cellStyle name="s_DCFLBO Code_1_Actualisation provision contrat déficitaire SNCM 2010 V Def_PAO-CAF-RESOP_08_13_Bridge_Zone_Sud" xfId="1565" xr:uid="{00000000-0005-0000-0000-000038060000}"/>
    <cellStyle name="s_DCFLBO Code_1_Actualisation provision contrat déficitaire SNCM 2010 V Def_PAO-CAF-RESOP_09_13" xfId="1566" xr:uid="{00000000-0005-0000-0000-000039060000}"/>
    <cellStyle name="s_DCFLBO Code_1_Actualisation provision contrat déficitaire SNCM 2010 V Def_PAO-CAF-RESOP_09_13_Bridge_Zone_Sud" xfId="1567" xr:uid="{00000000-0005-0000-0000-00003A060000}"/>
    <cellStyle name="s_DCFLBO Code_1_Actualisation provision contrat déficitaire SNCM 2010 V Def_PAO-CAF-RESOP_09_2013_Zone_IDF (version 2)" xfId="1568" xr:uid="{00000000-0005-0000-0000-00003B060000}"/>
    <cellStyle name="s_DCFLBO Code_1_Actualisation provision contrat déficitaire SNCM 2010 V Def_PAO-CAF-RESOP_10_12" xfId="1569" xr:uid="{00000000-0005-0000-0000-00003C060000}"/>
    <cellStyle name="s_DCFLBO Code_1_Actualisation provision contrat déficitaire SNCM 2010 V Def_PAO-CAF-RESOP_10_12_Bridge_Zone_Sud" xfId="1570" xr:uid="{00000000-0005-0000-0000-00003D060000}"/>
    <cellStyle name="s_DCFLBO Code_1_Actualisation provision contrat déficitaire SNCM 2010 V Def_PAO-CAF-RESOP_10_12_focus par entités CAFOP" xfId="1571" xr:uid="{00000000-0005-0000-0000-00003E060000}"/>
    <cellStyle name="s_DCFLBO Code_1_Actualisation provision contrat déficitaire SNCM 2010 V Def_PAO-CAF-RESOP_10_12_focus par entités CAFOP_Bridge_Zone_Sud" xfId="1572" xr:uid="{00000000-0005-0000-0000-00003F060000}"/>
    <cellStyle name="s_DCFLBO Code_1_Actualisation provision contrat déficitaire SNCM 2010 V Def_PAO-CAF-RESOP_11_13" xfId="1573" xr:uid="{00000000-0005-0000-0000-000040060000}"/>
    <cellStyle name="s_DCFLBO Code_1_Actualisation provision contrat déficitaire SNCM 2010 V Def_PAO-CAF-RESOP_B13" xfId="1574" xr:uid="{00000000-0005-0000-0000-000041060000}"/>
    <cellStyle name="s_DCFLBO Code_1_Actualisation provision contrat déficitaire SNCM 2010 V Def_PAO-CAF-RESOP_B13_Bridge_Zone_Sud" xfId="1575" xr:uid="{00000000-0005-0000-0000-000042060000}"/>
    <cellStyle name="s_DCFLBO Code_1_Actualisation provision contrat déficitaire SNCM 2010 V Def_PAO-CAF-RESOP_B13_focus par entités CAFOP" xfId="1576" xr:uid="{00000000-0005-0000-0000-000043060000}"/>
    <cellStyle name="s_DCFLBO Code_1_Actualisation provision contrat déficitaire SNCM 2010 V Def_PAO-CAF-RESOP_B13_focus par entités CAFOP_Bridge_Zone_Sud" xfId="1577" xr:uid="{00000000-0005-0000-0000-000044060000}"/>
    <cellStyle name="s_DCFLBO Code_1_Actualisation provision contrat déficitaire SNCM 2010 V Def_PAO-CAF-RESOP_B2014" xfId="1578" xr:uid="{00000000-0005-0000-0000-000045060000}"/>
    <cellStyle name="s_DCFLBO Code_1_Actualisation provision contrat déficitaire SNCM 2010 V Def_PAO-CAF-RESOP_B2014_Bridge_Zone_Sud" xfId="1579" xr:uid="{00000000-0005-0000-0000-000046060000}"/>
    <cellStyle name="s_DCFLBO Code_1_Actualisation provision contrat déficitaire SNCM 2010 V Def_PAO-CAF-RESOP_B2014_v2" xfId="1580" xr:uid="{00000000-0005-0000-0000-000047060000}"/>
    <cellStyle name="s_DCFLBO Code_1_Actualisation provision contrat déficitaire SNCM 2010 V Def_PAO-CAF-RESOP_E2_13" xfId="1581" xr:uid="{00000000-0005-0000-0000-000048060000}"/>
    <cellStyle name="s_DCFLBO Code_1_Actualisation provision contrat déficitaire SNCM 2010 V Def_PAO-CAF-RESOP_E2_13_B14_E2_2210" xfId="1582" xr:uid="{00000000-0005-0000-0000-000049060000}"/>
    <cellStyle name="s_DCFLBO Code_1_Actualisation provision contrat déficitaire SNCM 2010 V Def_PAO-CAF-RESOP_E2_13_B14_E2_2210_Bridge_Zone_Sud" xfId="1583" xr:uid="{00000000-0005-0000-0000-00004A060000}"/>
    <cellStyle name="s_DCFLBO Code_1_Actualisation provision contrat déficitaire SNCM 2010 V Def_PAO-CAF-RESOP_E2_13_Bridge_Zone_Sud" xfId="1584" xr:uid="{00000000-0005-0000-0000-00004B060000}"/>
    <cellStyle name="s_DCFLBO Code_1_Actualisation provision contrat déficitaire SNCM 2010 V Def_PAO-CAF-RESOP_E2_2013_03_10_19H" xfId="1585" xr:uid="{00000000-0005-0000-0000-00004C060000}"/>
    <cellStyle name="s_DCFLBO Code_1_Actualisation provision contrat déficitaire SNCM 2010 V Def_PAO-CAF-RESOP_E2_2013_03_10_19H_Bridge_Zone_Sud" xfId="1586" xr:uid="{00000000-0005-0000-0000-00004D060000}"/>
    <cellStyle name="s_DCFLBO Code_1_Actualisation provision contrat déficitaire SNCM 2010 V Def_PPA" xfId="1587" xr:uid="{00000000-0005-0000-0000-00004E060000}"/>
    <cellStyle name="s_DCFLBO Code_1_Actualisation provision contrat déficitaire SNCM 2010 V Def_RESOP bef CICE&amp;PPA&amp;RepartHO" xfId="1588" xr:uid="{00000000-0005-0000-0000-00004F060000}"/>
    <cellStyle name="s_DCFLBO Code_1_Actualisation provision contrat déficitaire SNCM 2010 V Def_Synthèse_Présentation_conso_retraitée" xfId="1589" xr:uid="{00000000-0005-0000-0000-000050060000}"/>
    <cellStyle name="s_DCFLBO Code_1_Actualisation provision contrat déficitaire SNCM 2011 V3 30 05 2011" xfId="1590" xr:uid="{00000000-0005-0000-0000-000051060000}"/>
    <cellStyle name="s_DCFLBO Code_1_Actualisation provision contrat déficitaire SNCM 2011 V3 30 05 2011_B14_E2_2210" xfId="1591" xr:uid="{00000000-0005-0000-0000-000052060000}"/>
    <cellStyle name="s_DCFLBO Code_1_Actualisation provision contrat déficitaire SNCM 2011 V3 30 05 2011_B14_E2_2210_Bridge_Zone_Sud" xfId="1592" xr:uid="{00000000-0005-0000-0000-000053060000}"/>
    <cellStyle name="s_DCFLBO Code_1_Actualisation provision contrat déficitaire SNCM 2011 V3 30 05 2011_Bridge_Zone_Sud" xfId="1593" xr:uid="{00000000-0005-0000-0000-000054060000}"/>
    <cellStyle name="s_DCFLBO Code_1_Actualisation provision contrat déficitaire SNCM 2011 V3 30 05 2011_CAPEM BY COUNTRY" xfId="1594" xr:uid="{00000000-0005-0000-0000-000055060000}"/>
    <cellStyle name="s_DCFLBO Code_1_Actualisation provision contrat déficitaire SNCM 2011 V3 30 05 2011_focus par entités CAFOPE2AMF" xfId="1595" xr:uid="{00000000-0005-0000-0000-000056060000}"/>
    <cellStyle name="s_DCFLBO Code_1_Actualisation provision contrat déficitaire SNCM 2011 V3 30 05 2011_focus par entités CAFOPE2AMF_Bridge_Zone_Sud" xfId="1596" xr:uid="{00000000-0005-0000-0000-000057060000}"/>
    <cellStyle name="s_DCFLBO Code_1_Actualisation provision contrat déficitaire SNCM 2011 V3 30 05 2011_Maquette PLT" xfId="1597" xr:uid="{00000000-0005-0000-0000-000058060000}"/>
    <cellStyle name="s_DCFLBO Code_1_Actualisation provision contrat déficitaire SNCM 2011 V3 30 05 2011_Output" xfId="3387" xr:uid="{00000000-0005-0000-0000-000059060000}"/>
    <cellStyle name="s_DCFLBO Code_1_Actualisation provision contrat déficitaire SNCM 2011 V3 30 05 2011_PAO-CAF-RESOP_04_13_pro_format_variante T1" xfId="1598" xr:uid="{00000000-0005-0000-0000-00005A060000}"/>
    <cellStyle name="s_DCFLBO Code_1_Actualisation provision contrat déficitaire SNCM 2011 V3 30 05 2011_PAO-CAF-RESOP_04_13_pro_format_variante T1_B14_E2_2210" xfId="1599" xr:uid="{00000000-0005-0000-0000-00005B060000}"/>
    <cellStyle name="s_DCFLBO Code_1_Actualisation provision contrat déficitaire SNCM 2011 V3 30 05 2011_PAO-CAF-RESOP_04_13_pro_format_variante T1_B14_E2_2210_Bridge_Zone_Sud" xfId="1600" xr:uid="{00000000-0005-0000-0000-00005C060000}"/>
    <cellStyle name="s_DCFLBO Code_1_Actualisation provision contrat déficitaire SNCM 2011 V3 30 05 2011_PAO-CAF-RESOP_04_13_pro_format_variante T1_Bridge_Zone_Sud" xfId="1601" xr:uid="{00000000-0005-0000-0000-00005D060000}"/>
    <cellStyle name="s_DCFLBO Code_1_Actualisation provision contrat déficitaire SNCM 2011 V3 30 05 2011_PAO-CAF-RESOP_06_13" xfId="1602" xr:uid="{00000000-0005-0000-0000-00005E060000}"/>
    <cellStyle name="s_DCFLBO Code_1_Actualisation provision contrat déficitaire SNCM 2011 V3 30 05 2011_PAO-CAF-RESOP_06_13_B14_E2_2210" xfId="1603" xr:uid="{00000000-0005-0000-0000-00005F060000}"/>
    <cellStyle name="s_DCFLBO Code_1_Actualisation provision contrat déficitaire SNCM 2011 V3 30 05 2011_PAO-CAF-RESOP_06_13_B14_E2_2210_Bridge_Zone_Sud" xfId="1604" xr:uid="{00000000-0005-0000-0000-000060060000}"/>
    <cellStyle name="s_DCFLBO Code_1_Actualisation provision contrat déficitaire SNCM 2011 V3 30 05 2011_PAO-CAF-RESOP_06_13_Bridge_Zone_Sud" xfId="1605" xr:uid="{00000000-0005-0000-0000-000061060000}"/>
    <cellStyle name="s_DCFLBO Code_1_Actualisation provision contrat déficitaire SNCM 2011 V3 30 05 2011_PAO-CAF-RESOP_08_13" xfId="1606" xr:uid="{00000000-0005-0000-0000-000062060000}"/>
    <cellStyle name="s_DCFLBO Code_1_Actualisation provision contrat déficitaire SNCM 2011 V3 30 05 2011_PAO-CAF-RESOP_08_13_B14_E2_2210" xfId="1607" xr:uid="{00000000-0005-0000-0000-000063060000}"/>
    <cellStyle name="s_DCFLBO Code_1_Actualisation provision contrat déficitaire SNCM 2011 V3 30 05 2011_PAO-CAF-RESOP_08_13_B14_E2_2210_Bridge_Zone_Sud" xfId="1608" xr:uid="{00000000-0005-0000-0000-000064060000}"/>
    <cellStyle name="s_DCFLBO Code_1_Actualisation provision contrat déficitaire SNCM 2011 V3 30 05 2011_PAO-CAF-RESOP_08_13_Bridge_Zone_Sud" xfId="1609" xr:uid="{00000000-0005-0000-0000-000065060000}"/>
    <cellStyle name="s_DCFLBO Code_1_Actualisation provision contrat déficitaire SNCM 2011 V3 30 05 2011_PAO-CAF-RESOP_09_13" xfId="1610" xr:uid="{00000000-0005-0000-0000-000066060000}"/>
    <cellStyle name="s_DCFLBO Code_1_Actualisation provision contrat déficitaire SNCM 2011 V3 30 05 2011_PAO-CAF-RESOP_09_13_Bridge_Zone_Sud" xfId="1611" xr:uid="{00000000-0005-0000-0000-000067060000}"/>
    <cellStyle name="s_DCFLBO Code_1_Actualisation provision contrat déficitaire SNCM 2011 V3 30 05 2011_PAO-CAF-RESOP_09_2013_Zone_IDF (version 2)" xfId="1612" xr:uid="{00000000-0005-0000-0000-000068060000}"/>
    <cellStyle name="s_DCFLBO Code_1_Actualisation provision contrat déficitaire SNCM 2011 V3 30 05 2011_PAO-CAF-RESOP_10_12" xfId="1613" xr:uid="{00000000-0005-0000-0000-000069060000}"/>
    <cellStyle name="s_DCFLBO Code_1_Actualisation provision contrat déficitaire SNCM 2011 V3 30 05 2011_PAO-CAF-RESOP_10_12_Bridge_Zone_Sud" xfId="1614" xr:uid="{00000000-0005-0000-0000-00006A060000}"/>
    <cellStyle name="s_DCFLBO Code_1_Actualisation provision contrat déficitaire SNCM 2011 V3 30 05 2011_PAO-CAF-RESOP_10_12_focus par entités CAFOP" xfId="1615" xr:uid="{00000000-0005-0000-0000-00006B060000}"/>
    <cellStyle name="s_DCFLBO Code_1_Actualisation provision contrat déficitaire SNCM 2011 V3 30 05 2011_PAO-CAF-RESOP_10_12_focus par entités CAFOP_Bridge_Zone_Sud" xfId="1616" xr:uid="{00000000-0005-0000-0000-00006C060000}"/>
    <cellStyle name="s_DCFLBO Code_1_Actualisation provision contrat déficitaire SNCM 2011 V3 30 05 2011_PAO-CAF-RESOP_11_13" xfId="1617" xr:uid="{00000000-0005-0000-0000-00006D060000}"/>
    <cellStyle name="s_DCFLBO Code_1_Actualisation provision contrat déficitaire SNCM 2011 V3 30 05 2011_PAO-CAF-RESOP_B13" xfId="1618" xr:uid="{00000000-0005-0000-0000-00006E060000}"/>
    <cellStyle name="s_DCFLBO Code_1_Actualisation provision contrat déficitaire SNCM 2011 V3 30 05 2011_PAO-CAF-RESOP_B13_Bridge_Zone_Sud" xfId="1619" xr:uid="{00000000-0005-0000-0000-00006F060000}"/>
    <cellStyle name="s_DCFLBO Code_1_Actualisation provision contrat déficitaire SNCM 2011 V3 30 05 2011_PAO-CAF-RESOP_B13_focus par entités CAFOP" xfId="1620" xr:uid="{00000000-0005-0000-0000-000070060000}"/>
    <cellStyle name="s_DCFLBO Code_1_Actualisation provision contrat déficitaire SNCM 2011 V3 30 05 2011_PAO-CAF-RESOP_B13_focus par entités CAFOP_Bridge_Zone_Sud" xfId="1621" xr:uid="{00000000-0005-0000-0000-000071060000}"/>
    <cellStyle name="s_DCFLBO Code_1_Actualisation provision contrat déficitaire SNCM 2011 V3 30 05 2011_PAO-CAF-RESOP_B2014" xfId="1622" xr:uid="{00000000-0005-0000-0000-000072060000}"/>
    <cellStyle name="s_DCFLBO Code_1_Actualisation provision contrat déficitaire SNCM 2011 V3 30 05 2011_PAO-CAF-RESOP_B2014_Bridge_Zone_Sud" xfId="1623" xr:uid="{00000000-0005-0000-0000-000073060000}"/>
    <cellStyle name="s_DCFLBO Code_1_Actualisation provision contrat déficitaire SNCM 2011 V3 30 05 2011_PAO-CAF-RESOP_B2014_v2" xfId="1624" xr:uid="{00000000-0005-0000-0000-000074060000}"/>
    <cellStyle name="s_DCFLBO Code_1_Actualisation provision contrat déficitaire SNCM 2011 V3 30 05 2011_PAO-CAF-RESOP_E2_13" xfId="1625" xr:uid="{00000000-0005-0000-0000-000075060000}"/>
    <cellStyle name="s_DCFLBO Code_1_Actualisation provision contrat déficitaire SNCM 2011 V3 30 05 2011_PAO-CAF-RESOP_E2_13_B14_E2_2210" xfId="1626" xr:uid="{00000000-0005-0000-0000-000076060000}"/>
    <cellStyle name="s_DCFLBO Code_1_Actualisation provision contrat déficitaire SNCM 2011 V3 30 05 2011_PAO-CAF-RESOP_E2_13_B14_E2_2210_Bridge_Zone_Sud" xfId="1627" xr:uid="{00000000-0005-0000-0000-000077060000}"/>
    <cellStyle name="s_DCFLBO Code_1_Actualisation provision contrat déficitaire SNCM 2011 V3 30 05 2011_PAO-CAF-RESOP_E2_13_Bridge_Zone_Sud" xfId="1628" xr:uid="{00000000-0005-0000-0000-000078060000}"/>
    <cellStyle name="s_DCFLBO Code_1_Actualisation provision contrat déficitaire SNCM 2011 V3 30 05 2011_PAO-CAF-RESOP_E2_2013_03_10_19H" xfId="1629" xr:uid="{00000000-0005-0000-0000-000079060000}"/>
    <cellStyle name="s_DCFLBO Code_1_Actualisation provision contrat déficitaire SNCM 2011 V3 30 05 2011_PAO-CAF-RESOP_E2_2013_03_10_19H_Bridge_Zone_Sud" xfId="1630" xr:uid="{00000000-0005-0000-0000-00007A060000}"/>
    <cellStyle name="s_DCFLBO Code_1_Actualisation provision contrat déficitaire SNCM 2011 V3 30 05 2011_PPA" xfId="1631" xr:uid="{00000000-0005-0000-0000-00007B060000}"/>
    <cellStyle name="s_DCFLBO Code_1_Actualisation provision contrat déficitaire SNCM 2011 V3 30 05 2011_RESOP bef CICE&amp;PPA&amp;RepartHO" xfId="1632" xr:uid="{00000000-0005-0000-0000-00007C060000}"/>
    <cellStyle name="s_DCFLBO Code_1_Actualisation provision contrat déficitaire SNCM 2011 V3 30 05 2011_Synthèse_Présentation_conso_retraitée" xfId="1633" xr:uid="{00000000-0005-0000-0000-00007D060000}"/>
    <cellStyle name="s_DCFLBO Code_1_B14_E2_2210" xfId="1634" xr:uid="{00000000-0005-0000-0000-00007E060000}"/>
    <cellStyle name="s_DCFLBO Code_1_B14_E2_2210_Bridge_Zone_Sud" xfId="1635" xr:uid="{00000000-0005-0000-0000-00007F060000}"/>
    <cellStyle name="s_DCFLBO Code_1_BFR_TD_2014.02" xfId="1636" xr:uid="{00000000-0005-0000-0000-000080060000}"/>
    <cellStyle name="s_DCFLBO Code_1_Bridge_Zone_Nord" xfId="1637" xr:uid="{00000000-0005-0000-0000-000081060000}"/>
    <cellStyle name="s_DCFLBO Code_1_CAPEM BY COUNTRY" xfId="1638" xr:uid="{00000000-0005-0000-0000-000082060000}"/>
    <cellStyle name="s_DCFLBO Code_1_LI819L_B13" xfId="1639" xr:uid="{00000000-0005-0000-0000-000083060000}"/>
    <cellStyle name="s_DCFLBO Code_1_LI819L_B13_CAPEM BY COUNTRY" xfId="1640" xr:uid="{00000000-0005-0000-0000-000084060000}"/>
    <cellStyle name="s_DCFLBO Code_1_LI819L_B13_Maquette PLT" xfId="1641" xr:uid="{00000000-0005-0000-0000-000085060000}"/>
    <cellStyle name="s_DCFLBO Code_1_LI819L_B13_Output" xfId="3388" xr:uid="{00000000-0005-0000-0000-000086060000}"/>
    <cellStyle name="s_DCFLBO Code_1_LI819L_B13_PPA" xfId="1642" xr:uid="{00000000-0005-0000-0000-000087060000}"/>
    <cellStyle name="s_DCFLBO Code_1_LI819L_B13_RESOP bef CICE&amp;PPA&amp;RepartHO" xfId="1643" xr:uid="{00000000-0005-0000-0000-000088060000}"/>
    <cellStyle name="s_DCFLBO Code_1_Maquette PLT" xfId="1644" xr:uid="{00000000-0005-0000-0000-000089060000}"/>
    <cellStyle name="s_DCFLBO Code_1_Output" xfId="3385" xr:uid="{00000000-0005-0000-0000-00008A060000}"/>
    <cellStyle name="s_DCFLBO Code_1_PAO-CAF-RESOP_14_01_13 à 20h" xfId="1645" xr:uid="{00000000-0005-0000-0000-00008B060000}"/>
    <cellStyle name="s_DCFLBO Code_1_PAO-CAF-RESOP_14_01_13 à 20h_CAPEM BY COUNTRY" xfId="1646" xr:uid="{00000000-0005-0000-0000-00008C060000}"/>
    <cellStyle name="s_DCFLBO Code_1_PAO-CAF-RESOP_14_01_13 à 20h_Maquette PLT" xfId="1647" xr:uid="{00000000-0005-0000-0000-00008D060000}"/>
    <cellStyle name="s_DCFLBO Code_1_PAO-CAF-RESOP_14_01_13 à 20h_Output" xfId="3389" xr:uid="{00000000-0005-0000-0000-00008E060000}"/>
    <cellStyle name="s_DCFLBO Code_1_PAO-CAF-RESOP_14_01_13 à 20h_PPA" xfId="1648" xr:uid="{00000000-0005-0000-0000-00008F060000}"/>
    <cellStyle name="s_DCFLBO Code_1_PAO-CAF-RESOP_14_01_13 à 20h_RESOP bef CICE&amp;PPA&amp;RepartHO" xfId="1649" xr:uid="{00000000-0005-0000-0000-000090060000}"/>
    <cellStyle name="s_DCFLBO Code_1_PAO-CAF-RESOP_2014.02" xfId="1650" xr:uid="{00000000-0005-0000-0000-000091060000}"/>
    <cellStyle name="s_DCFLBO Code_1_PAO-CAF-RESOP_2014.02_Bridge_Zone_Sud" xfId="1651" xr:uid="{00000000-0005-0000-0000-000092060000}"/>
    <cellStyle name="s_DCFLBO Code_1_PPA" xfId="1652" xr:uid="{00000000-0005-0000-0000-000093060000}"/>
    <cellStyle name="s_DCFLBO Code_1_RESOP bef CICE&amp;PPA&amp;RepartHO" xfId="1653" xr:uid="{00000000-0005-0000-0000-000094060000}"/>
    <cellStyle name="s_DCFLBO Code_Actualisation provision contrat déficitaire SNCM 2010 V Def" xfId="1654" xr:uid="{00000000-0005-0000-0000-000095060000}"/>
    <cellStyle name="s_DCFLBO Code_Actualisation provision contrat déficitaire SNCM 2010 V Def_B14_E2_2210" xfId="1655" xr:uid="{00000000-0005-0000-0000-000096060000}"/>
    <cellStyle name="s_DCFLBO Code_Actualisation provision contrat déficitaire SNCM 2010 V Def_B14_E2_2210_Bridge_Zone_Sud" xfId="1656" xr:uid="{00000000-0005-0000-0000-000097060000}"/>
    <cellStyle name="s_DCFLBO Code_Actualisation provision contrat déficitaire SNCM 2010 V Def_Bridge_Zone_Sud" xfId="1657" xr:uid="{00000000-0005-0000-0000-000098060000}"/>
    <cellStyle name="s_DCFLBO Code_Actualisation provision contrat déficitaire SNCM 2010 V Def_CAPEM BY COUNTRY" xfId="1658" xr:uid="{00000000-0005-0000-0000-000099060000}"/>
    <cellStyle name="s_DCFLBO Code_Actualisation provision contrat déficitaire SNCM 2010 V Def_focus par entités CAFOPE2AMF" xfId="1659" xr:uid="{00000000-0005-0000-0000-00009A060000}"/>
    <cellStyle name="s_DCFLBO Code_Actualisation provision contrat déficitaire SNCM 2010 V Def_focus par entités CAFOPE2AMF_Bridge_Zone_Sud" xfId="1660" xr:uid="{00000000-0005-0000-0000-00009B060000}"/>
    <cellStyle name="s_DCFLBO Code_Actualisation provision contrat déficitaire SNCM 2010 V Def_Maquette PLT" xfId="1661" xr:uid="{00000000-0005-0000-0000-00009C060000}"/>
    <cellStyle name="s_DCFLBO Code_Actualisation provision contrat déficitaire SNCM 2010 V Def_Output" xfId="3390" xr:uid="{00000000-0005-0000-0000-00009D060000}"/>
    <cellStyle name="s_DCFLBO Code_Actualisation provision contrat déficitaire SNCM 2010 V Def_PAO-CAF-RESOP_04_13_pro_format_variante T1" xfId="1662" xr:uid="{00000000-0005-0000-0000-00009E060000}"/>
    <cellStyle name="s_DCFLBO Code_Actualisation provision contrat déficitaire SNCM 2010 V Def_PAO-CAF-RESOP_04_13_pro_format_variante T1_Bridge_Zone_Sud" xfId="1663" xr:uid="{00000000-0005-0000-0000-00009F060000}"/>
    <cellStyle name="s_DCFLBO Code_Actualisation provision contrat déficitaire SNCM 2010 V Def_PAO-CAF-RESOP_06_13" xfId="1664" xr:uid="{00000000-0005-0000-0000-0000A0060000}"/>
    <cellStyle name="s_DCFLBO Code_Actualisation provision contrat déficitaire SNCM 2010 V Def_PAO-CAF-RESOP_06_13_Bridge_Zone_Sud" xfId="1665" xr:uid="{00000000-0005-0000-0000-0000A1060000}"/>
    <cellStyle name="s_DCFLBO Code_Actualisation provision contrat déficitaire SNCM 2010 V Def_PAO-CAF-RESOP_08_13" xfId="1666" xr:uid="{00000000-0005-0000-0000-0000A2060000}"/>
    <cellStyle name="s_DCFLBO Code_Actualisation provision contrat déficitaire SNCM 2010 V Def_PAO-CAF-RESOP_08_13_Bridge_Zone_Sud" xfId="1667" xr:uid="{00000000-0005-0000-0000-0000A3060000}"/>
    <cellStyle name="s_DCFLBO Code_Actualisation provision contrat déficitaire SNCM 2010 V Def_PAO-CAF-RESOP_09_13" xfId="1668" xr:uid="{00000000-0005-0000-0000-0000A4060000}"/>
    <cellStyle name="s_DCFLBO Code_Actualisation provision contrat déficitaire SNCM 2010 V Def_PAO-CAF-RESOP_09_13_Bridge_Zone_Sud" xfId="1669" xr:uid="{00000000-0005-0000-0000-0000A5060000}"/>
    <cellStyle name="s_DCFLBO Code_Actualisation provision contrat déficitaire SNCM 2010 V Def_PAO-CAF-RESOP_09_2013_Zone_IDF (version 2)" xfId="1670" xr:uid="{00000000-0005-0000-0000-0000A6060000}"/>
    <cellStyle name="s_DCFLBO Code_Actualisation provision contrat déficitaire SNCM 2010 V Def_PAO-CAF-RESOP_10_12" xfId="1671" xr:uid="{00000000-0005-0000-0000-0000A7060000}"/>
    <cellStyle name="s_DCFLBO Code_Actualisation provision contrat déficitaire SNCM 2010 V Def_PAO-CAF-RESOP_10_12_Bridge_Zone_Sud" xfId="1672" xr:uid="{00000000-0005-0000-0000-0000A8060000}"/>
    <cellStyle name="s_DCFLBO Code_Actualisation provision contrat déficitaire SNCM 2010 V Def_PAO-CAF-RESOP_10_12_focus par entités CAFOP" xfId="1673" xr:uid="{00000000-0005-0000-0000-0000A9060000}"/>
    <cellStyle name="s_DCFLBO Code_Actualisation provision contrat déficitaire SNCM 2010 V Def_PAO-CAF-RESOP_10_12_focus par entités CAFOP_Bridge_Zone_Sud" xfId="1674" xr:uid="{00000000-0005-0000-0000-0000AA060000}"/>
    <cellStyle name="s_DCFLBO Code_Actualisation provision contrat déficitaire SNCM 2010 V Def_PAO-CAF-RESOP_11_13" xfId="1675" xr:uid="{00000000-0005-0000-0000-0000AB060000}"/>
    <cellStyle name="s_DCFLBO Code_Actualisation provision contrat déficitaire SNCM 2010 V Def_PAO-CAF-RESOP_B13" xfId="1676" xr:uid="{00000000-0005-0000-0000-0000AC060000}"/>
    <cellStyle name="s_DCFLBO Code_Actualisation provision contrat déficitaire SNCM 2010 V Def_PAO-CAF-RESOP_B13_Bridge_Zone_Sud" xfId="1677" xr:uid="{00000000-0005-0000-0000-0000AD060000}"/>
    <cellStyle name="s_DCFLBO Code_Actualisation provision contrat déficitaire SNCM 2010 V Def_PAO-CAF-RESOP_B13_focus par entités CAFOP" xfId="1678" xr:uid="{00000000-0005-0000-0000-0000AE060000}"/>
    <cellStyle name="s_DCFLBO Code_Actualisation provision contrat déficitaire SNCM 2010 V Def_PAO-CAF-RESOP_B13_focus par entités CAFOP_Bridge_Zone_Sud" xfId="1679" xr:uid="{00000000-0005-0000-0000-0000AF060000}"/>
    <cellStyle name="s_DCFLBO Code_Actualisation provision contrat déficitaire SNCM 2010 V Def_PAO-CAF-RESOP_B2014" xfId="1680" xr:uid="{00000000-0005-0000-0000-0000B0060000}"/>
    <cellStyle name="s_DCFLBO Code_Actualisation provision contrat déficitaire SNCM 2010 V Def_PAO-CAF-RESOP_B2014_Bridge_Zone_Sud" xfId="1681" xr:uid="{00000000-0005-0000-0000-0000B1060000}"/>
    <cellStyle name="s_DCFLBO Code_Actualisation provision contrat déficitaire SNCM 2010 V Def_PAO-CAF-RESOP_B2014_v2" xfId="1682" xr:uid="{00000000-0005-0000-0000-0000B2060000}"/>
    <cellStyle name="s_DCFLBO Code_Actualisation provision contrat déficitaire SNCM 2010 V Def_PAO-CAF-RESOP_E2_13" xfId="1683" xr:uid="{00000000-0005-0000-0000-0000B3060000}"/>
    <cellStyle name="s_DCFLBO Code_Actualisation provision contrat déficitaire SNCM 2010 V Def_PAO-CAF-RESOP_E2_13_Bridge_Zone_Sud" xfId="1684" xr:uid="{00000000-0005-0000-0000-0000B4060000}"/>
    <cellStyle name="s_DCFLBO Code_Actualisation provision contrat déficitaire SNCM 2010 V Def_PAO-CAF-RESOP_E2_2013_03_10_19H" xfId="1685" xr:uid="{00000000-0005-0000-0000-0000B5060000}"/>
    <cellStyle name="s_DCFLBO Code_Actualisation provision contrat déficitaire SNCM 2010 V Def_PAO-CAF-RESOP_E2_2013_03_10_19H_Bridge_Zone_Sud" xfId="1686" xr:uid="{00000000-0005-0000-0000-0000B6060000}"/>
    <cellStyle name="s_DCFLBO Code_Actualisation provision contrat déficitaire SNCM 2010 V Def_Synthèse_Présentation_conso_retraitée" xfId="1687" xr:uid="{00000000-0005-0000-0000-0000B7060000}"/>
    <cellStyle name="s_DCFLBO Code_Actualisation provision contrat déficitaire SNCM 2011 V3 30 05 2011" xfId="1688" xr:uid="{00000000-0005-0000-0000-0000B8060000}"/>
    <cellStyle name="s_DCFLBO Code_Actualisation provision contrat déficitaire SNCM 2011 V3 30 05 2011_B14_E2_2210" xfId="1689" xr:uid="{00000000-0005-0000-0000-0000B9060000}"/>
    <cellStyle name="s_DCFLBO Code_Actualisation provision contrat déficitaire SNCM 2011 V3 30 05 2011_B14_E2_2210_Bridge_Zone_Sud" xfId="1690" xr:uid="{00000000-0005-0000-0000-0000BA060000}"/>
    <cellStyle name="s_DCFLBO Code_Actualisation provision contrat déficitaire SNCM 2011 V3 30 05 2011_Bridge_Zone_Sud" xfId="1691" xr:uid="{00000000-0005-0000-0000-0000BB060000}"/>
    <cellStyle name="s_DCFLBO Code_Actualisation provision contrat déficitaire SNCM 2011 V3 30 05 2011_CAPEM BY COUNTRY" xfId="1692" xr:uid="{00000000-0005-0000-0000-0000BC060000}"/>
    <cellStyle name="s_DCFLBO Code_Actualisation provision contrat déficitaire SNCM 2011 V3 30 05 2011_focus par entités CAFOPE2AMF" xfId="1693" xr:uid="{00000000-0005-0000-0000-0000BD060000}"/>
    <cellStyle name="s_DCFLBO Code_Actualisation provision contrat déficitaire SNCM 2011 V3 30 05 2011_focus par entités CAFOPE2AMF_Bridge_Zone_Sud" xfId="1694" xr:uid="{00000000-0005-0000-0000-0000BE060000}"/>
    <cellStyle name="s_DCFLBO Code_Actualisation provision contrat déficitaire SNCM 2011 V3 30 05 2011_Maquette PLT" xfId="1695" xr:uid="{00000000-0005-0000-0000-0000BF060000}"/>
    <cellStyle name="s_DCFLBO Code_Actualisation provision contrat déficitaire SNCM 2011 V3 30 05 2011_Output" xfId="3391" xr:uid="{00000000-0005-0000-0000-0000C0060000}"/>
    <cellStyle name="s_DCFLBO Code_Actualisation provision contrat déficitaire SNCM 2011 V3 30 05 2011_PAO-CAF-RESOP_04_13_pro_format_variante T1" xfId="1696" xr:uid="{00000000-0005-0000-0000-0000C1060000}"/>
    <cellStyle name="s_DCFLBO Code_Actualisation provision contrat déficitaire SNCM 2011 V3 30 05 2011_PAO-CAF-RESOP_04_13_pro_format_variante T1_Bridge_Zone_Sud" xfId="1697" xr:uid="{00000000-0005-0000-0000-0000C2060000}"/>
    <cellStyle name="s_DCFLBO Code_Actualisation provision contrat déficitaire SNCM 2011 V3 30 05 2011_PAO-CAF-RESOP_06_13" xfId="1698" xr:uid="{00000000-0005-0000-0000-0000C3060000}"/>
    <cellStyle name="s_DCFLBO Code_Actualisation provision contrat déficitaire SNCM 2011 V3 30 05 2011_PAO-CAF-RESOP_06_13_Bridge_Zone_Sud" xfId="1699" xr:uid="{00000000-0005-0000-0000-0000C4060000}"/>
    <cellStyle name="s_DCFLBO Code_Actualisation provision contrat déficitaire SNCM 2011 V3 30 05 2011_PAO-CAF-RESOP_08_13" xfId="1700" xr:uid="{00000000-0005-0000-0000-0000C5060000}"/>
    <cellStyle name="s_DCFLBO Code_Actualisation provision contrat déficitaire SNCM 2011 V3 30 05 2011_PAO-CAF-RESOP_08_13_Bridge_Zone_Sud" xfId="1701" xr:uid="{00000000-0005-0000-0000-0000C6060000}"/>
    <cellStyle name="s_DCFLBO Code_Actualisation provision contrat déficitaire SNCM 2011 V3 30 05 2011_PAO-CAF-RESOP_09_13" xfId="1702" xr:uid="{00000000-0005-0000-0000-0000C7060000}"/>
    <cellStyle name="s_DCFLBO Code_Actualisation provision contrat déficitaire SNCM 2011 V3 30 05 2011_PAO-CAF-RESOP_09_13_Bridge_Zone_Sud" xfId="1703" xr:uid="{00000000-0005-0000-0000-0000C8060000}"/>
    <cellStyle name="s_DCFLBO Code_Actualisation provision contrat déficitaire SNCM 2011 V3 30 05 2011_PAO-CAF-RESOP_09_2013_Zone_IDF (version 2)" xfId="1704" xr:uid="{00000000-0005-0000-0000-0000C9060000}"/>
    <cellStyle name="s_DCFLBO Code_Actualisation provision contrat déficitaire SNCM 2011 V3 30 05 2011_PAO-CAF-RESOP_10_12" xfId="1705" xr:uid="{00000000-0005-0000-0000-0000CA060000}"/>
    <cellStyle name="s_DCFLBO Code_Actualisation provision contrat déficitaire SNCM 2011 V3 30 05 2011_PAO-CAF-RESOP_10_12_Bridge_Zone_Sud" xfId="1706" xr:uid="{00000000-0005-0000-0000-0000CB060000}"/>
    <cellStyle name="s_DCFLBO Code_Actualisation provision contrat déficitaire SNCM 2011 V3 30 05 2011_PAO-CAF-RESOP_10_12_focus par entités CAFOP" xfId="1707" xr:uid="{00000000-0005-0000-0000-0000CC060000}"/>
    <cellStyle name="s_DCFLBO Code_Actualisation provision contrat déficitaire SNCM 2011 V3 30 05 2011_PAO-CAF-RESOP_10_12_focus par entités CAFOP_Bridge_Zone_Sud" xfId="1708" xr:uid="{00000000-0005-0000-0000-0000CD060000}"/>
    <cellStyle name="s_DCFLBO Code_Actualisation provision contrat déficitaire SNCM 2011 V3 30 05 2011_PAO-CAF-RESOP_11_13" xfId="1709" xr:uid="{00000000-0005-0000-0000-0000CE060000}"/>
    <cellStyle name="s_DCFLBO Code_Actualisation provision contrat déficitaire SNCM 2011 V3 30 05 2011_PAO-CAF-RESOP_B13" xfId="1710" xr:uid="{00000000-0005-0000-0000-0000CF060000}"/>
    <cellStyle name="s_DCFLBO Code_Actualisation provision contrat déficitaire SNCM 2011 V3 30 05 2011_PAO-CAF-RESOP_B13_Bridge_Zone_Sud" xfId="1711" xr:uid="{00000000-0005-0000-0000-0000D0060000}"/>
    <cellStyle name="s_DCFLBO Code_Actualisation provision contrat déficitaire SNCM 2011 V3 30 05 2011_PAO-CAF-RESOP_B13_focus par entités CAFOP" xfId="1712" xr:uid="{00000000-0005-0000-0000-0000D1060000}"/>
    <cellStyle name="s_DCFLBO Code_Actualisation provision contrat déficitaire SNCM 2011 V3 30 05 2011_PAO-CAF-RESOP_B13_focus par entités CAFOP_Bridge_Zone_Sud" xfId="1713" xr:uid="{00000000-0005-0000-0000-0000D2060000}"/>
    <cellStyle name="s_DCFLBO Code_Actualisation provision contrat déficitaire SNCM 2011 V3 30 05 2011_PAO-CAF-RESOP_B2014" xfId="1714" xr:uid="{00000000-0005-0000-0000-0000D3060000}"/>
    <cellStyle name="s_DCFLBO Code_Actualisation provision contrat déficitaire SNCM 2011 V3 30 05 2011_PAO-CAF-RESOP_B2014_Bridge_Zone_Sud" xfId="1715" xr:uid="{00000000-0005-0000-0000-0000D4060000}"/>
    <cellStyle name="s_DCFLBO Code_Actualisation provision contrat déficitaire SNCM 2011 V3 30 05 2011_PAO-CAF-RESOP_B2014_v2" xfId="1716" xr:uid="{00000000-0005-0000-0000-0000D5060000}"/>
    <cellStyle name="s_DCFLBO Code_Actualisation provision contrat déficitaire SNCM 2011 V3 30 05 2011_PAO-CAF-RESOP_E2_13" xfId="1717" xr:uid="{00000000-0005-0000-0000-0000D6060000}"/>
    <cellStyle name="s_DCFLBO Code_Actualisation provision contrat déficitaire SNCM 2011 V3 30 05 2011_PAO-CAF-RESOP_E2_13_Bridge_Zone_Sud" xfId="1718" xr:uid="{00000000-0005-0000-0000-0000D7060000}"/>
    <cellStyle name="s_DCFLBO Code_Actualisation provision contrat déficitaire SNCM 2011 V3 30 05 2011_PAO-CAF-RESOP_E2_2013_03_10_19H" xfId="1719" xr:uid="{00000000-0005-0000-0000-0000D8060000}"/>
    <cellStyle name="s_DCFLBO Code_Actualisation provision contrat déficitaire SNCM 2011 V3 30 05 2011_PAO-CAF-RESOP_E2_2013_03_10_19H_Bridge_Zone_Sud" xfId="1720" xr:uid="{00000000-0005-0000-0000-0000D9060000}"/>
    <cellStyle name="s_DCFLBO Code_Actualisation provision contrat déficitaire SNCM 2011 V3 30 05 2011_Synthèse_Présentation_conso_retraitée" xfId="1721" xr:uid="{00000000-0005-0000-0000-0000DA060000}"/>
    <cellStyle name="s_DCFLBO Code_BFR_TD_2014.02" xfId="1722" xr:uid="{00000000-0005-0000-0000-0000DB060000}"/>
    <cellStyle name="s_DCFLBO Code_Bridge_Zone_Nord" xfId="1723" xr:uid="{00000000-0005-0000-0000-0000DC060000}"/>
    <cellStyle name="s_DCFLBO Code_CAPEM BY COUNTRY" xfId="1724" xr:uid="{00000000-0005-0000-0000-0000DD060000}"/>
    <cellStyle name="s_DCFLBO Code_LI819L_B13" xfId="1725" xr:uid="{00000000-0005-0000-0000-0000DE060000}"/>
    <cellStyle name="s_DCFLBO Code_LI819L_B13_CAPEM BY COUNTRY" xfId="1726" xr:uid="{00000000-0005-0000-0000-0000DF060000}"/>
    <cellStyle name="s_DCFLBO Code_LI819L_B13_Maquette PLT" xfId="1727" xr:uid="{00000000-0005-0000-0000-0000E0060000}"/>
    <cellStyle name="s_DCFLBO Code_LI819L_B13_Output" xfId="3392" xr:uid="{00000000-0005-0000-0000-0000E1060000}"/>
    <cellStyle name="s_DCFLBO Code_Maquette PLT" xfId="1728" xr:uid="{00000000-0005-0000-0000-0000E2060000}"/>
    <cellStyle name="s_DCFLBO Code_Output" xfId="3384" xr:uid="{00000000-0005-0000-0000-0000E3060000}"/>
    <cellStyle name="s_DCFLBO Code_PAO-CAF-RESOP_14_01_13 à 20h" xfId="1729" xr:uid="{00000000-0005-0000-0000-0000E4060000}"/>
    <cellStyle name="s_DCFLBO Code_PAO-CAF-RESOP_14_01_13 à 20h_CAPEM BY COUNTRY" xfId="1730" xr:uid="{00000000-0005-0000-0000-0000E5060000}"/>
    <cellStyle name="s_DCFLBO Code_PAO-CAF-RESOP_14_01_13 à 20h_Maquette PLT" xfId="1731" xr:uid="{00000000-0005-0000-0000-0000E6060000}"/>
    <cellStyle name="s_DCFLBO Code_PAO-CAF-RESOP_14_01_13 à 20h_Output" xfId="3393" xr:uid="{00000000-0005-0000-0000-0000E7060000}"/>
    <cellStyle name="s_DCFLBO Code_PAO-CAF-RESOP_2014.02" xfId="1732" xr:uid="{00000000-0005-0000-0000-0000E8060000}"/>
    <cellStyle name="s_DCFLBO Code_PAO-CAF-RESOP_2014.02_Bridge_Zone_Sud" xfId="1733" xr:uid="{00000000-0005-0000-0000-0000E9060000}"/>
    <cellStyle name="s_Dilution" xfId="1734" xr:uid="{00000000-0005-0000-0000-0000EA060000}"/>
    <cellStyle name="s_Dilution_Actualisation provision contrat déficitaire SNCM 2010 V Def" xfId="1735" xr:uid="{00000000-0005-0000-0000-0000EB060000}"/>
    <cellStyle name="s_Dilution_Actualisation provision contrat déficitaire SNCM 2010 V Def_B14_E2_2210" xfId="1736" xr:uid="{00000000-0005-0000-0000-0000EC060000}"/>
    <cellStyle name="s_Dilution_Actualisation provision contrat déficitaire SNCM 2010 V Def_B14_E2_2210_Bridge_Zone_Sud" xfId="1737" xr:uid="{00000000-0005-0000-0000-0000ED060000}"/>
    <cellStyle name="s_Dilution_Actualisation provision contrat déficitaire SNCM 2010 V Def_Bridge_Zone_Sud" xfId="1738" xr:uid="{00000000-0005-0000-0000-0000EE060000}"/>
    <cellStyle name="s_Dilution_Actualisation provision contrat déficitaire SNCM 2010 V Def_CAPEM BY COUNTRY" xfId="1739" xr:uid="{00000000-0005-0000-0000-0000EF060000}"/>
    <cellStyle name="s_Dilution_Actualisation provision contrat déficitaire SNCM 2010 V Def_focus par entités CAFOPE2AMF" xfId="1740" xr:uid="{00000000-0005-0000-0000-0000F0060000}"/>
    <cellStyle name="s_Dilution_Actualisation provision contrat déficitaire SNCM 2010 V Def_focus par entités CAFOPE2AMF_Bridge_Zone_Sud" xfId="1741" xr:uid="{00000000-0005-0000-0000-0000F1060000}"/>
    <cellStyle name="s_Dilution_Actualisation provision contrat déficitaire SNCM 2010 V Def_Maquette PLT" xfId="1742" xr:uid="{00000000-0005-0000-0000-0000F2060000}"/>
    <cellStyle name="s_Dilution_Actualisation provision contrat déficitaire SNCM 2010 V Def_Output" xfId="3395" xr:uid="{00000000-0005-0000-0000-0000F3060000}"/>
    <cellStyle name="s_Dilution_Actualisation provision contrat déficitaire SNCM 2010 V Def_PAO-CAF-RESOP_04_13_pro_format_variante T1" xfId="1743" xr:uid="{00000000-0005-0000-0000-0000F4060000}"/>
    <cellStyle name="s_Dilution_Actualisation provision contrat déficitaire SNCM 2010 V Def_PAO-CAF-RESOP_04_13_pro_format_variante T1_B14_E2_2210" xfId="1744" xr:uid="{00000000-0005-0000-0000-0000F5060000}"/>
    <cellStyle name="s_Dilution_Actualisation provision contrat déficitaire SNCM 2010 V Def_PAO-CAF-RESOP_04_13_pro_format_variante T1_B14_E2_2210_Bridge_Zone_Sud" xfId="1745" xr:uid="{00000000-0005-0000-0000-0000F6060000}"/>
    <cellStyle name="s_Dilution_Actualisation provision contrat déficitaire SNCM 2010 V Def_PAO-CAF-RESOP_04_13_pro_format_variante T1_Bridge_Zone_Sud" xfId="1746" xr:uid="{00000000-0005-0000-0000-0000F7060000}"/>
    <cellStyle name="s_Dilution_Actualisation provision contrat déficitaire SNCM 2010 V Def_PAO-CAF-RESOP_06_13" xfId="1747" xr:uid="{00000000-0005-0000-0000-0000F8060000}"/>
    <cellStyle name="s_Dilution_Actualisation provision contrat déficitaire SNCM 2010 V Def_PAO-CAF-RESOP_06_13_B14_E2_2210" xfId="1748" xr:uid="{00000000-0005-0000-0000-0000F9060000}"/>
    <cellStyle name="s_Dilution_Actualisation provision contrat déficitaire SNCM 2010 V Def_PAO-CAF-RESOP_06_13_B14_E2_2210_Bridge_Zone_Sud" xfId="1749" xr:uid="{00000000-0005-0000-0000-0000FA060000}"/>
    <cellStyle name="s_Dilution_Actualisation provision contrat déficitaire SNCM 2010 V Def_PAO-CAF-RESOP_06_13_Bridge_Zone_Sud" xfId="1750" xr:uid="{00000000-0005-0000-0000-0000FB060000}"/>
    <cellStyle name="s_Dilution_Actualisation provision contrat déficitaire SNCM 2010 V Def_PAO-CAF-RESOP_08_13" xfId="1751" xr:uid="{00000000-0005-0000-0000-0000FC060000}"/>
    <cellStyle name="s_Dilution_Actualisation provision contrat déficitaire SNCM 2010 V Def_PAO-CAF-RESOP_08_13_B14_E2_2210" xfId="1752" xr:uid="{00000000-0005-0000-0000-0000FD060000}"/>
    <cellStyle name="s_Dilution_Actualisation provision contrat déficitaire SNCM 2010 V Def_PAO-CAF-RESOP_08_13_B14_E2_2210_Bridge_Zone_Sud" xfId="1753" xr:uid="{00000000-0005-0000-0000-0000FE060000}"/>
    <cellStyle name="s_Dilution_Actualisation provision contrat déficitaire SNCM 2010 V Def_PAO-CAF-RESOP_08_13_Bridge_Zone_Sud" xfId="1754" xr:uid="{00000000-0005-0000-0000-0000FF060000}"/>
    <cellStyle name="s_Dilution_Actualisation provision contrat déficitaire SNCM 2010 V Def_PAO-CAF-RESOP_09_13" xfId="1755" xr:uid="{00000000-0005-0000-0000-000000070000}"/>
    <cellStyle name="s_Dilution_Actualisation provision contrat déficitaire SNCM 2010 V Def_PAO-CAF-RESOP_09_13_Bridge_Zone_Sud" xfId="1756" xr:uid="{00000000-0005-0000-0000-000001070000}"/>
    <cellStyle name="s_Dilution_Actualisation provision contrat déficitaire SNCM 2010 V Def_PAO-CAF-RESOP_09_2013_Zone_IDF (version 2)" xfId="1757" xr:uid="{00000000-0005-0000-0000-000002070000}"/>
    <cellStyle name="s_Dilution_Actualisation provision contrat déficitaire SNCM 2010 V Def_PAO-CAF-RESOP_10_12" xfId="1758" xr:uid="{00000000-0005-0000-0000-000003070000}"/>
    <cellStyle name="s_Dilution_Actualisation provision contrat déficitaire SNCM 2010 V Def_PAO-CAF-RESOP_10_12_Bridge_Zone_Sud" xfId="1759" xr:uid="{00000000-0005-0000-0000-000004070000}"/>
    <cellStyle name="s_Dilution_Actualisation provision contrat déficitaire SNCM 2010 V Def_PAO-CAF-RESOP_10_12_focus par entités CAFOP" xfId="1760" xr:uid="{00000000-0005-0000-0000-000005070000}"/>
    <cellStyle name="s_Dilution_Actualisation provision contrat déficitaire SNCM 2010 V Def_PAO-CAF-RESOP_10_12_focus par entités CAFOP_Bridge_Zone_Sud" xfId="1761" xr:uid="{00000000-0005-0000-0000-000006070000}"/>
    <cellStyle name="s_Dilution_Actualisation provision contrat déficitaire SNCM 2010 V Def_PAO-CAF-RESOP_11_13" xfId="1762" xr:uid="{00000000-0005-0000-0000-000007070000}"/>
    <cellStyle name="s_Dilution_Actualisation provision contrat déficitaire SNCM 2010 V Def_PAO-CAF-RESOP_B13" xfId="1763" xr:uid="{00000000-0005-0000-0000-000008070000}"/>
    <cellStyle name="s_Dilution_Actualisation provision contrat déficitaire SNCM 2010 V Def_PAO-CAF-RESOP_B13_Bridge_Zone_Sud" xfId="1764" xr:uid="{00000000-0005-0000-0000-000009070000}"/>
    <cellStyle name="s_Dilution_Actualisation provision contrat déficitaire SNCM 2010 V Def_PAO-CAF-RESOP_B13_focus par entités CAFOP" xfId="1765" xr:uid="{00000000-0005-0000-0000-00000A070000}"/>
    <cellStyle name="s_Dilution_Actualisation provision contrat déficitaire SNCM 2010 V Def_PAO-CAF-RESOP_B13_focus par entités CAFOP_Bridge_Zone_Sud" xfId="1766" xr:uid="{00000000-0005-0000-0000-00000B070000}"/>
    <cellStyle name="s_Dilution_Actualisation provision contrat déficitaire SNCM 2010 V Def_PAO-CAF-RESOP_B2014" xfId="1767" xr:uid="{00000000-0005-0000-0000-00000C070000}"/>
    <cellStyle name="s_Dilution_Actualisation provision contrat déficitaire SNCM 2010 V Def_PAO-CAF-RESOP_B2014_Bridge_Zone_Sud" xfId="1768" xr:uid="{00000000-0005-0000-0000-00000D070000}"/>
    <cellStyle name="s_Dilution_Actualisation provision contrat déficitaire SNCM 2010 V Def_PAO-CAF-RESOP_B2014_v2" xfId="1769" xr:uid="{00000000-0005-0000-0000-00000E070000}"/>
    <cellStyle name="s_Dilution_Actualisation provision contrat déficitaire SNCM 2010 V Def_PAO-CAF-RESOP_E2_13" xfId="1770" xr:uid="{00000000-0005-0000-0000-00000F070000}"/>
    <cellStyle name="s_Dilution_Actualisation provision contrat déficitaire SNCM 2010 V Def_PAO-CAF-RESOP_E2_13_B14_E2_2210" xfId="1771" xr:uid="{00000000-0005-0000-0000-000010070000}"/>
    <cellStyle name="s_Dilution_Actualisation provision contrat déficitaire SNCM 2010 V Def_PAO-CAF-RESOP_E2_13_B14_E2_2210_Bridge_Zone_Sud" xfId="1772" xr:uid="{00000000-0005-0000-0000-000011070000}"/>
    <cellStyle name="s_Dilution_Actualisation provision contrat déficitaire SNCM 2010 V Def_PAO-CAF-RESOP_E2_13_Bridge_Zone_Sud" xfId="1773" xr:uid="{00000000-0005-0000-0000-000012070000}"/>
    <cellStyle name="s_Dilution_Actualisation provision contrat déficitaire SNCM 2010 V Def_PAO-CAF-RESOP_E2_2013_03_10_19H" xfId="1774" xr:uid="{00000000-0005-0000-0000-000013070000}"/>
    <cellStyle name="s_Dilution_Actualisation provision contrat déficitaire SNCM 2010 V Def_PAO-CAF-RESOP_E2_2013_03_10_19H_Bridge_Zone_Sud" xfId="1775" xr:uid="{00000000-0005-0000-0000-000014070000}"/>
    <cellStyle name="s_Dilution_Actualisation provision contrat déficitaire SNCM 2010 V Def_PPA" xfId="1776" xr:uid="{00000000-0005-0000-0000-000015070000}"/>
    <cellStyle name="s_Dilution_Actualisation provision contrat déficitaire SNCM 2010 V Def_RESOP bef CICE&amp;PPA&amp;RepartHO" xfId="1777" xr:uid="{00000000-0005-0000-0000-000016070000}"/>
    <cellStyle name="s_Dilution_Actualisation provision contrat déficitaire SNCM 2010 V Def_Synthèse_Présentation_conso_retraitée" xfId="1778" xr:uid="{00000000-0005-0000-0000-000017070000}"/>
    <cellStyle name="s_Dilution_Actualisation provision contrat déficitaire SNCM 2011 V3 30 05 2011" xfId="1779" xr:uid="{00000000-0005-0000-0000-000018070000}"/>
    <cellStyle name="s_Dilution_Actualisation provision contrat déficitaire SNCM 2011 V3 30 05 2011_B14_E2_2210" xfId="1780" xr:uid="{00000000-0005-0000-0000-000019070000}"/>
    <cellStyle name="s_Dilution_Actualisation provision contrat déficitaire SNCM 2011 V3 30 05 2011_B14_E2_2210_Bridge_Zone_Sud" xfId="1781" xr:uid="{00000000-0005-0000-0000-00001A070000}"/>
    <cellStyle name="s_Dilution_Actualisation provision contrat déficitaire SNCM 2011 V3 30 05 2011_Bridge_Zone_Sud" xfId="1782" xr:uid="{00000000-0005-0000-0000-00001B070000}"/>
    <cellStyle name="s_Dilution_Actualisation provision contrat déficitaire SNCM 2011 V3 30 05 2011_CAPEM BY COUNTRY" xfId="1783" xr:uid="{00000000-0005-0000-0000-00001C070000}"/>
    <cellStyle name="s_Dilution_Actualisation provision contrat déficitaire SNCM 2011 V3 30 05 2011_focus par entités CAFOPE2AMF" xfId="1784" xr:uid="{00000000-0005-0000-0000-00001D070000}"/>
    <cellStyle name="s_Dilution_Actualisation provision contrat déficitaire SNCM 2011 V3 30 05 2011_focus par entités CAFOPE2AMF_Bridge_Zone_Sud" xfId="1785" xr:uid="{00000000-0005-0000-0000-00001E070000}"/>
    <cellStyle name="s_Dilution_Actualisation provision contrat déficitaire SNCM 2011 V3 30 05 2011_Maquette PLT" xfId="1786" xr:uid="{00000000-0005-0000-0000-00001F070000}"/>
    <cellStyle name="s_Dilution_Actualisation provision contrat déficitaire SNCM 2011 V3 30 05 2011_Output" xfId="3396" xr:uid="{00000000-0005-0000-0000-000020070000}"/>
    <cellStyle name="s_Dilution_Actualisation provision contrat déficitaire SNCM 2011 V3 30 05 2011_PAO-CAF-RESOP_04_13_pro_format_variante T1" xfId="1787" xr:uid="{00000000-0005-0000-0000-000021070000}"/>
    <cellStyle name="s_Dilution_Actualisation provision contrat déficitaire SNCM 2011 V3 30 05 2011_PAO-CAF-RESOP_04_13_pro_format_variante T1_B14_E2_2210" xfId="1788" xr:uid="{00000000-0005-0000-0000-000022070000}"/>
    <cellStyle name="s_Dilution_Actualisation provision contrat déficitaire SNCM 2011 V3 30 05 2011_PAO-CAF-RESOP_04_13_pro_format_variante T1_B14_E2_2210_Bridge_Zone_Sud" xfId="1789" xr:uid="{00000000-0005-0000-0000-000023070000}"/>
    <cellStyle name="s_Dilution_Actualisation provision contrat déficitaire SNCM 2011 V3 30 05 2011_PAO-CAF-RESOP_04_13_pro_format_variante T1_Bridge_Zone_Sud" xfId="1790" xr:uid="{00000000-0005-0000-0000-000024070000}"/>
    <cellStyle name="s_Dilution_Actualisation provision contrat déficitaire SNCM 2011 V3 30 05 2011_PAO-CAF-RESOP_06_13" xfId="1791" xr:uid="{00000000-0005-0000-0000-000025070000}"/>
    <cellStyle name="s_Dilution_Actualisation provision contrat déficitaire SNCM 2011 V3 30 05 2011_PAO-CAF-RESOP_06_13_B14_E2_2210" xfId="1792" xr:uid="{00000000-0005-0000-0000-000026070000}"/>
    <cellStyle name="s_Dilution_Actualisation provision contrat déficitaire SNCM 2011 V3 30 05 2011_PAO-CAF-RESOP_06_13_B14_E2_2210_Bridge_Zone_Sud" xfId="1793" xr:uid="{00000000-0005-0000-0000-000027070000}"/>
    <cellStyle name="s_Dilution_Actualisation provision contrat déficitaire SNCM 2011 V3 30 05 2011_PAO-CAF-RESOP_06_13_Bridge_Zone_Sud" xfId="1794" xr:uid="{00000000-0005-0000-0000-000028070000}"/>
    <cellStyle name="s_Dilution_Actualisation provision contrat déficitaire SNCM 2011 V3 30 05 2011_PAO-CAF-RESOP_08_13" xfId="1795" xr:uid="{00000000-0005-0000-0000-000029070000}"/>
    <cellStyle name="s_Dilution_Actualisation provision contrat déficitaire SNCM 2011 V3 30 05 2011_PAO-CAF-RESOP_08_13_B14_E2_2210" xfId="1796" xr:uid="{00000000-0005-0000-0000-00002A070000}"/>
    <cellStyle name="s_Dilution_Actualisation provision contrat déficitaire SNCM 2011 V3 30 05 2011_PAO-CAF-RESOP_08_13_B14_E2_2210_Bridge_Zone_Sud" xfId="1797" xr:uid="{00000000-0005-0000-0000-00002B070000}"/>
    <cellStyle name="s_Dilution_Actualisation provision contrat déficitaire SNCM 2011 V3 30 05 2011_PAO-CAF-RESOP_08_13_Bridge_Zone_Sud" xfId="1798" xr:uid="{00000000-0005-0000-0000-00002C070000}"/>
    <cellStyle name="s_Dilution_Actualisation provision contrat déficitaire SNCM 2011 V3 30 05 2011_PAO-CAF-RESOP_09_13" xfId="1799" xr:uid="{00000000-0005-0000-0000-00002D070000}"/>
    <cellStyle name="s_Dilution_Actualisation provision contrat déficitaire SNCM 2011 V3 30 05 2011_PAO-CAF-RESOP_09_13_Bridge_Zone_Sud" xfId="1800" xr:uid="{00000000-0005-0000-0000-00002E070000}"/>
    <cellStyle name="s_Dilution_Actualisation provision contrat déficitaire SNCM 2011 V3 30 05 2011_PAO-CAF-RESOP_09_2013_Zone_IDF (version 2)" xfId="1801" xr:uid="{00000000-0005-0000-0000-00002F070000}"/>
    <cellStyle name="s_Dilution_Actualisation provision contrat déficitaire SNCM 2011 V3 30 05 2011_PAO-CAF-RESOP_10_12" xfId="1802" xr:uid="{00000000-0005-0000-0000-000030070000}"/>
    <cellStyle name="s_Dilution_Actualisation provision contrat déficitaire SNCM 2011 V3 30 05 2011_PAO-CAF-RESOP_10_12_Bridge_Zone_Sud" xfId="1803" xr:uid="{00000000-0005-0000-0000-000031070000}"/>
    <cellStyle name="s_Dilution_Actualisation provision contrat déficitaire SNCM 2011 V3 30 05 2011_PAO-CAF-RESOP_10_12_focus par entités CAFOP" xfId="1804" xr:uid="{00000000-0005-0000-0000-000032070000}"/>
    <cellStyle name="s_Dilution_Actualisation provision contrat déficitaire SNCM 2011 V3 30 05 2011_PAO-CAF-RESOP_10_12_focus par entités CAFOP_Bridge_Zone_Sud" xfId="1805" xr:uid="{00000000-0005-0000-0000-000033070000}"/>
    <cellStyle name="s_Dilution_Actualisation provision contrat déficitaire SNCM 2011 V3 30 05 2011_PAO-CAF-RESOP_11_13" xfId="1806" xr:uid="{00000000-0005-0000-0000-000034070000}"/>
    <cellStyle name="s_Dilution_Actualisation provision contrat déficitaire SNCM 2011 V3 30 05 2011_PAO-CAF-RESOP_B13" xfId="1807" xr:uid="{00000000-0005-0000-0000-000035070000}"/>
    <cellStyle name="s_Dilution_Actualisation provision contrat déficitaire SNCM 2011 V3 30 05 2011_PAO-CAF-RESOP_B13_Bridge_Zone_Sud" xfId="1808" xr:uid="{00000000-0005-0000-0000-000036070000}"/>
    <cellStyle name="s_Dilution_Actualisation provision contrat déficitaire SNCM 2011 V3 30 05 2011_PAO-CAF-RESOP_B13_focus par entités CAFOP" xfId="1809" xr:uid="{00000000-0005-0000-0000-000037070000}"/>
    <cellStyle name="s_Dilution_Actualisation provision contrat déficitaire SNCM 2011 V3 30 05 2011_PAO-CAF-RESOP_B13_focus par entités CAFOP_Bridge_Zone_Sud" xfId="1810" xr:uid="{00000000-0005-0000-0000-000038070000}"/>
    <cellStyle name="s_Dilution_Actualisation provision contrat déficitaire SNCM 2011 V3 30 05 2011_PAO-CAF-RESOP_B2014" xfId="1811" xr:uid="{00000000-0005-0000-0000-000039070000}"/>
    <cellStyle name="s_Dilution_Actualisation provision contrat déficitaire SNCM 2011 V3 30 05 2011_PAO-CAF-RESOP_B2014_Bridge_Zone_Sud" xfId="1812" xr:uid="{00000000-0005-0000-0000-00003A070000}"/>
    <cellStyle name="s_Dilution_Actualisation provision contrat déficitaire SNCM 2011 V3 30 05 2011_PAO-CAF-RESOP_B2014_v2" xfId="1813" xr:uid="{00000000-0005-0000-0000-00003B070000}"/>
    <cellStyle name="s_Dilution_Actualisation provision contrat déficitaire SNCM 2011 V3 30 05 2011_PAO-CAF-RESOP_E2_13" xfId="1814" xr:uid="{00000000-0005-0000-0000-00003C070000}"/>
    <cellStyle name="s_Dilution_Actualisation provision contrat déficitaire SNCM 2011 V3 30 05 2011_PAO-CAF-RESOP_E2_13_B14_E2_2210" xfId="1815" xr:uid="{00000000-0005-0000-0000-00003D070000}"/>
    <cellStyle name="s_Dilution_Actualisation provision contrat déficitaire SNCM 2011 V3 30 05 2011_PAO-CAF-RESOP_E2_13_B14_E2_2210_Bridge_Zone_Sud" xfId="1816" xr:uid="{00000000-0005-0000-0000-00003E070000}"/>
    <cellStyle name="s_Dilution_Actualisation provision contrat déficitaire SNCM 2011 V3 30 05 2011_PAO-CAF-RESOP_E2_13_Bridge_Zone_Sud" xfId="1817" xr:uid="{00000000-0005-0000-0000-00003F070000}"/>
    <cellStyle name="s_Dilution_Actualisation provision contrat déficitaire SNCM 2011 V3 30 05 2011_PAO-CAF-RESOP_E2_2013_03_10_19H" xfId="1818" xr:uid="{00000000-0005-0000-0000-000040070000}"/>
    <cellStyle name="s_Dilution_Actualisation provision contrat déficitaire SNCM 2011 V3 30 05 2011_PAO-CAF-RESOP_E2_2013_03_10_19H_Bridge_Zone_Sud" xfId="1819" xr:uid="{00000000-0005-0000-0000-000041070000}"/>
    <cellStyle name="s_Dilution_Actualisation provision contrat déficitaire SNCM 2011 V3 30 05 2011_PPA" xfId="1820" xr:uid="{00000000-0005-0000-0000-000042070000}"/>
    <cellStyle name="s_Dilution_Actualisation provision contrat déficitaire SNCM 2011 V3 30 05 2011_RESOP bef CICE&amp;PPA&amp;RepartHO" xfId="1821" xr:uid="{00000000-0005-0000-0000-000043070000}"/>
    <cellStyle name="s_Dilution_Actualisation provision contrat déficitaire SNCM 2011 V3 30 05 2011_Synthèse_Présentation_conso_retraitée" xfId="1822" xr:uid="{00000000-0005-0000-0000-000044070000}"/>
    <cellStyle name="s_Dilution_B14_E2_2210" xfId="1823" xr:uid="{00000000-0005-0000-0000-000045070000}"/>
    <cellStyle name="s_Dilution_B14_E2_2210_Bridge_Zone_Sud" xfId="1824" xr:uid="{00000000-0005-0000-0000-000046070000}"/>
    <cellStyle name="s_Dilution_BFR_TD_2014.02" xfId="1825" xr:uid="{00000000-0005-0000-0000-000047070000}"/>
    <cellStyle name="s_Dilution_Bridge_Zone_Nord" xfId="1826" xr:uid="{00000000-0005-0000-0000-000048070000}"/>
    <cellStyle name="s_Dilution_CAPEM BY COUNTRY" xfId="1827" xr:uid="{00000000-0005-0000-0000-000049070000}"/>
    <cellStyle name="s_Dilution_LI819L_B13" xfId="1828" xr:uid="{00000000-0005-0000-0000-00004A070000}"/>
    <cellStyle name="s_Dilution_LI819L_B13_CAPEM BY COUNTRY" xfId="1829" xr:uid="{00000000-0005-0000-0000-00004B070000}"/>
    <cellStyle name="s_Dilution_LI819L_B13_Maquette PLT" xfId="1830" xr:uid="{00000000-0005-0000-0000-00004C070000}"/>
    <cellStyle name="s_Dilution_LI819L_B13_Output" xfId="3397" xr:uid="{00000000-0005-0000-0000-00004D070000}"/>
    <cellStyle name="s_Dilution_LI819L_B13_PPA" xfId="1831" xr:uid="{00000000-0005-0000-0000-00004E070000}"/>
    <cellStyle name="s_Dilution_LI819L_B13_RESOP bef CICE&amp;PPA&amp;RepartHO" xfId="1832" xr:uid="{00000000-0005-0000-0000-00004F070000}"/>
    <cellStyle name="s_Dilution_Maquette PLT" xfId="1833" xr:uid="{00000000-0005-0000-0000-000050070000}"/>
    <cellStyle name="s_Dilution_Output" xfId="3394" xr:uid="{00000000-0005-0000-0000-000051070000}"/>
    <cellStyle name="s_Dilution_PAO-CAF-RESOP_14_01_13 à 20h" xfId="1834" xr:uid="{00000000-0005-0000-0000-000052070000}"/>
    <cellStyle name="s_Dilution_PAO-CAF-RESOP_14_01_13 à 20h_CAPEM BY COUNTRY" xfId="1835" xr:uid="{00000000-0005-0000-0000-000053070000}"/>
    <cellStyle name="s_Dilution_PAO-CAF-RESOP_14_01_13 à 20h_Maquette PLT" xfId="1836" xr:uid="{00000000-0005-0000-0000-000054070000}"/>
    <cellStyle name="s_Dilution_PAO-CAF-RESOP_14_01_13 à 20h_Output" xfId="3398" xr:uid="{00000000-0005-0000-0000-000055070000}"/>
    <cellStyle name="s_Dilution_PAO-CAF-RESOP_14_01_13 à 20h_PPA" xfId="1837" xr:uid="{00000000-0005-0000-0000-000056070000}"/>
    <cellStyle name="s_Dilution_PAO-CAF-RESOP_14_01_13 à 20h_RESOP bef CICE&amp;PPA&amp;RepartHO" xfId="1838" xr:uid="{00000000-0005-0000-0000-000057070000}"/>
    <cellStyle name="s_Dilution_PAO-CAF-RESOP_2014.02" xfId="1839" xr:uid="{00000000-0005-0000-0000-000058070000}"/>
    <cellStyle name="s_Dilution_PAO-CAF-RESOP_2014.02_Bridge_Zone_Sud" xfId="1840" xr:uid="{00000000-0005-0000-0000-000059070000}"/>
    <cellStyle name="s_Dilution_PPA" xfId="1841" xr:uid="{00000000-0005-0000-0000-00005A070000}"/>
    <cellStyle name="s_Dilution_RESOP bef CICE&amp;PPA&amp;RepartHO" xfId="1842" xr:uid="{00000000-0005-0000-0000-00005B070000}"/>
    <cellStyle name="s_Financials_B" xfId="1843" xr:uid="{00000000-0005-0000-0000-00005C070000}"/>
    <cellStyle name="s_Financials_B_Actualisation provision contrat déficitaire SNCM 2010 V Def" xfId="1844" xr:uid="{00000000-0005-0000-0000-00005D070000}"/>
    <cellStyle name="s_Financials_B_Actualisation provision contrat déficitaire SNCM 2010 V Def_B14_E2_2210" xfId="1845" xr:uid="{00000000-0005-0000-0000-00005E070000}"/>
    <cellStyle name="s_Financials_B_Actualisation provision contrat déficitaire SNCM 2010 V Def_B14_E2_2210_Bridge_Zone_Sud" xfId="1846" xr:uid="{00000000-0005-0000-0000-00005F070000}"/>
    <cellStyle name="s_Financials_B_Actualisation provision contrat déficitaire SNCM 2010 V Def_Bridge_Zone_Sud" xfId="1847" xr:uid="{00000000-0005-0000-0000-000060070000}"/>
    <cellStyle name="s_Financials_B_Actualisation provision contrat déficitaire SNCM 2010 V Def_CAPEM BY COUNTRY" xfId="1848" xr:uid="{00000000-0005-0000-0000-000061070000}"/>
    <cellStyle name="s_Financials_B_Actualisation provision contrat déficitaire SNCM 2010 V Def_focus par entités CAFOPE2AMF" xfId="1849" xr:uid="{00000000-0005-0000-0000-000062070000}"/>
    <cellStyle name="s_Financials_B_Actualisation provision contrat déficitaire SNCM 2010 V Def_focus par entités CAFOPE2AMF_Bridge_Zone_Sud" xfId="1850" xr:uid="{00000000-0005-0000-0000-000063070000}"/>
    <cellStyle name="s_Financials_B_Actualisation provision contrat déficitaire SNCM 2010 V Def_Maquette PLT" xfId="1851" xr:uid="{00000000-0005-0000-0000-000064070000}"/>
    <cellStyle name="s_Financials_B_Actualisation provision contrat déficitaire SNCM 2010 V Def_Output" xfId="3400" xr:uid="{00000000-0005-0000-0000-000065070000}"/>
    <cellStyle name="s_Financials_B_Actualisation provision contrat déficitaire SNCM 2010 V Def_PAO-CAF-RESOP_04_13_pro_format_variante T1" xfId="1852" xr:uid="{00000000-0005-0000-0000-000066070000}"/>
    <cellStyle name="s_Financials_B_Actualisation provision contrat déficitaire SNCM 2010 V Def_PAO-CAF-RESOP_04_13_pro_format_variante T1_B14_E2_2210" xfId="1853" xr:uid="{00000000-0005-0000-0000-000067070000}"/>
    <cellStyle name="s_Financials_B_Actualisation provision contrat déficitaire SNCM 2010 V Def_PAO-CAF-RESOP_04_13_pro_format_variante T1_B14_E2_2210_Bridge_Zone_Sud" xfId="1854" xr:uid="{00000000-0005-0000-0000-000068070000}"/>
    <cellStyle name="s_Financials_B_Actualisation provision contrat déficitaire SNCM 2010 V Def_PAO-CAF-RESOP_04_13_pro_format_variante T1_Bridge_Zone_Sud" xfId="1855" xr:uid="{00000000-0005-0000-0000-000069070000}"/>
    <cellStyle name="s_Financials_B_Actualisation provision contrat déficitaire SNCM 2010 V Def_PAO-CAF-RESOP_06_13" xfId="1856" xr:uid="{00000000-0005-0000-0000-00006A070000}"/>
    <cellStyle name="s_Financials_B_Actualisation provision contrat déficitaire SNCM 2010 V Def_PAO-CAF-RESOP_06_13_B14_E2_2210" xfId="1857" xr:uid="{00000000-0005-0000-0000-00006B070000}"/>
    <cellStyle name="s_Financials_B_Actualisation provision contrat déficitaire SNCM 2010 V Def_PAO-CAF-RESOP_06_13_B14_E2_2210_Bridge_Zone_Sud" xfId="1858" xr:uid="{00000000-0005-0000-0000-00006C070000}"/>
    <cellStyle name="s_Financials_B_Actualisation provision contrat déficitaire SNCM 2010 V Def_PAO-CAF-RESOP_06_13_Bridge_Zone_Sud" xfId="1859" xr:uid="{00000000-0005-0000-0000-00006D070000}"/>
    <cellStyle name="s_Financials_B_Actualisation provision contrat déficitaire SNCM 2010 V Def_PAO-CAF-RESOP_08_13" xfId="1860" xr:uid="{00000000-0005-0000-0000-00006E070000}"/>
    <cellStyle name="s_Financials_B_Actualisation provision contrat déficitaire SNCM 2010 V Def_PAO-CAF-RESOP_08_13_B14_E2_2210" xfId="1861" xr:uid="{00000000-0005-0000-0000-00006F070000}"/>
    <cellStyle name="s_Financials_B_Actualisation provision contrat déficitaire SNCM 2010 V Def_PAO-CAF-RESOP_08_13_B14_E2_2210_Bridge_Zone_Sud" xfId="1862" xr:uid="{00000000-0005-0000-0000-000070070000}"/>
    <cellStyle name="s_Financials_B_Actualisation provision contrat déficitaire SNCM 2010 V Def_PAO-CAF-RESOP_08_13_Bridge_Zone_Sud" xfId="1863" xr:uid="{00000000-0005-0000-0000-000071070000}"/>
    <cellStyle name="s_Financials_B_Actualisation provision contrat déficitaire SNCM 2010 V Def_PAO-CAF-RESOP_09_13" xfId="1864" xr:uid="{00000000-0005-0000-0000-000072070000}"/>
    <cellStyle name="s_Financials_B_Actualisation provision contrat déficitaire SNCM 2010 V Def_PAO-CAF-RESOP_09_13_Bridge_Zone_Sud" xfId="1865" xr:uid="{00000000-0005-0000-0000-000073070000}"/>
    <cellStyle name="s_Financials_B_Actualisation provision contrat déficitaire SNCM 2010 V Def_PAO-CAF-RESOP_09_2013_Zone_IDF (version 2)" xfId="1866" xr:uid="{00000000-0005-0000-0000-000074070000}"/>
    <cellStyle name="s_Financials_B_Actualisation provision contrat déficitaire SNCM 2010 V Def_PAO-CAF-RESOP_10_12" xfId="1867" xr:uid="{00000000-0005-0000-0000-000075070000}"/>
    <cellStyle name="s_Financials_B_Actualisation provision contrat déficitaire SNCM 2010 V Def_PAO-CAF-RESOP_10_12_Bridge_Zone_Sud" xfId="1868" xr:uid="{00000000-0005-0000-0000-000076070000}"/>
    <cellStyle name="s_Financials_B_Actualisation provision contrat déficitaire SNCM 2010 V Def_PAO-CAF-RESOP_10_12_focus par entités CAFOP" xfId="1869" xr:uid="{00000000-0005-0000-0000-000077070000}"/>
    <cellStyle name="s_Financials_B_Actualisation provision contrat déficitaire SNCM 2010 V Def_PAO-CAF-RESOP_10_12_focus par entités CAFOP_Bridge_Zone_Sud" xfId="1870" xr:uid="{00000000-0005-0000-0000-000078070000}"/>
    <cellStyle name="s_Financials_B_Actualisation provision contrat déficitaire SNCM 2010 V Def_PAO-CAF-RESOP_11_13" xfId="1871" xr:uid="{00000000-0005-0000-0000-000079070000}"/>
    <cellStyle name="s_Financials_B_Actualisation provision contrat déficitaire SNCM 2010 V Def_PAO-CAF-RESOP_B13" xfId="1872" xr:uid="{00000000-0005-0000-0000-00007A070000}"/>
    <cellStyle name="s_Financials_B_Actualisation provision contrat déficitaire SNCM 2010 V Def_PAO-CAF-RESOP_B13_Bridge_Zone_Sud" xfId="1873" xr:uid="{00000000-0005-0000-0000-00007B070000}"/>
    <cellStyle name="s_Financials_B_Actualisation provision contrat déficitaire SNCM 2010 V Def_PAO-CAF-RESOP_B13_focus par entités CAFOP" xfId="1874" xr:uid="{00000000-0005-0000-0000-00007C070000}"/>
    <cellStyle name="s_Financials_B_Actualisation provision contrat déficitaire SNCM 2010 V Def_PAO-CAF-RESOP_B13_focus par entités CAFOP_Bridge_Zone_Sud" xfId="1875" xr:uid="{00000000-0005-0000-0000-00007D070000}"/>
    <cellStyle name="s_Financials_B_Actualisation provision contrat déficitaire SNCM 2010 V Def_PAO-CAF-RESOP_B2014" xfId="1876" xr:uid="{00000000-0005-0000-0000-00007E070000}"/>
    <cellStyle name="s_Financials_B_Actualisation provision contrat déficitaire SNCM 2010 V Def_PAO-CAF-RESOP_B2014_Bridge_Zone_Sud" xfId="1877" xr:uid="{00000000-0005-0000-0000-00007F070000}"/>
    <cellStyle name="s_Financials_B_Actualisation provision contrat déficitaire SNCM 2010 V Def_PAO-CAF-RESOP_B2014_v2" xfId="1878" xr:uid="{00000000-0005-0000-0000-000080070000}"/>
    <cellStyle name="s_Financials_B_Actualisation provision contrat déficitaire SNCM 2010 V Def_PAO-CAF-RESOP_E2_13" xfId="1879" xr:uid="{00000000-0005-0000-0000-000081070000}"/>
    <cellStyle name="s_Financials_B_Actualisation provision contrat déficitaire SNCM 2010 V Def_PAO-CAF-RESOP_E2_13_B14_E2_2210" xfId="1880" xr:uid="{00000000-0005-0000-0000-000082070000}"/>
    <cellStyle name="s_Financials_B_Actualisation provision contrat déficitaire SNCM 2010 V Def_PAO-CAF-RESOP_E2_13_B14_E2_2210_Bridge_Zone_Sud" xfId="1881" xr:uid="{00000000-0005-0000-0000-000083070000}"/>
    <cellStyle name="s_Financials_B_Actualisation provision contrat déficitaire SNCM 2010 V Def_PAO-CAF-RESOP_E2_13_Bridge_Zone_Sud" xfId="1882" xr:uid="{00000000-0005-0000-0000-000084070000}"/>
    <cellStyle name="s_Financials_B_Actualisation provision contrat déficitaire SNCM 2010 V Def_PAO-CAF-RESOP_E2_2013_03_10_19H" xfId="1883" xr:uid="{00000000-0005-0000-0000-000085070000}"/>
    <cellStyle name="s_Financials_B_Actualisation provision contrat déficitaire SNCM 2010 V Def_PAO-CAF-RESOP_E2_2013_03_10_19H_Bridge_Zone_Sud" xfId="1884" xr:uid="{00000000-0005-0000-0000-000086070000}"/>
    <cellStyle name="s_Financials_B_Actualisation provision contrat déficitaire SNCM 2010 V Def_PPA" xfId="1885" xr:uid="{00000000-0005-0000-0000-000087070000}"/>
    <cellStyle name="s_Financials_B_Actualisation provision contrat déficitaire SNCM 2010 V Def_RESOP bef CICE&amp;PPA&amp;RepartHO" xfId="1886" xr:uid="{00000000-0005-0000-0000-000088070000}"/>
    <cellStyle name="s_Financials_B_Actualisation provision contrat déficitaire SNCM 2010 V Def_Synthèse_Présentation_conso_retraitée" xfId="1887" xr:uid="{00000000-0005-0000-0000-000089070000}"/>
    <cellStyle name="s_Financials_B_Actualisation provision contrat déficitaire SNCM 2011 V3 30 05 2011" xfId="1888" xr:uid="{00000000-0005-0000-0000-00008A070000}"/>
    <cellStyle name="s_Financials_B_Actualisation provision contrat déficitaire SNCM 2011 V3 30 05 2011_B14_E2_2210" xfId="1889" xr:uid="{00000000-0005-0000-0000-00008B070000}"/>
    <cellStyle name="s_Financials_B_Actualisation provision contrat déficitaire SNCM 2011 V3 30 05 2011_B14_E2_2210_Bridge_Zone_Sud" xfId="1890" xr:uid="{00000000-0005-0000-0000-00008C070000}"/>
    <cellStyle name="s_Financials_B_Actualisation provision contrat déficitaire SNCM 2011 V3 30 05 2011_Bridge_Zone_Sud" xfId="1891" xr:uid="{00000000-0005-0000-0000-00008D070000}"/>
    <cellStyle name="s_Financials_B_Actualisation provision contrat déficitaire SNCM 2011 V3 30 05 2011_CAPEM BY COUNTRY" xfId="1892" xr:uid="{00000000-0005-0000-0000-00008E070000}"/>
    <cellStyle name="s_Financials_B_Actualisation provision contrat déficitaire SNCM 2011 V3 30 05 2011_focus par entités CAFOPE2AMF" xfId="1893" xr:uid="{00000000-0005-0000-0000-00008F070000}"/>
    <cellStyle name="s_Financials_B_Actualisation provision contrat déficitaire SNCM 2011 V3 30 05 2011_focus par entités CAFOPE2AMF_Bridge_Zone_Sud" xfId="1894" xr:uid="{00000000-0005-0000-0000-000090070000}"/>
    <cellStyle name="s_Financials_B_Actualisation provision contrat déficitaire SNCM 2011 V3 30 05 2011_Maquette PLT" xfId="1895" xr:uid="{00000000-0005-0000-0000-000091070000}"/>
    <cellStyle name="s_Financials_B_Actualisation provision contrat déficitaire SNCM 2011 V3 30 05 2011_Output" xfId="3401" xr:uid="{00000000-0005-0000-0000-000092070000}"/>
    <cellStyle name="s_Financials_B_Actualisation provision contrat déficitaire SNCM 2011 V3 30 05 2011_PAO-CAF-RESOP_04_13_pro_format_variante T1" xfId="1896" xr:uid="{00000000-0005-0000-0000-000093070000}"/>
    <cellStyle name="s_Financials_B_Actualisation provision contrat déficitaire SNCM 2011 V3 30 05 2011_PAO-CAF-RESOP_04_13_pro_format_variante T1_B14_E2_2210" xfId="1897" xr:uid="{00000000-0005-0000-0000-000094070000}"/>
    <cellStyle name="s_Financials_B_Actualisation provision contrat déficitaire SNCM 2011 V3 30 05 2011_PAO-CAF-RESOP_04_13_pro_format_variante T1_B14_E2_2210_Bridge_Zone_Sud" xfId="1898" xr:uid="{00000000-0005-0000-0000-000095070000}"/>
    <cellStyle name="s_Financials_B_Actualisation provision contrat déficitaire SNCM 2011 V3 30 05 2011_PAO-CAF-RESOP_04_13_pro_format_variante T1_Bridge_Zone_Sud" xfId="1899" xr:uid="{00000000-0005-0000-0000-000096070000}"/>
    <cellStyle name="s_Financials_B_Actualisation provision contrat déficitaire SNCM 2011 V3 30 05 2011_PAO-CAF-RESOP_06_13" xfId="1900" xr:uid="{00000000-0005-0000-0000-000097070000}"/>
    <cellStyle name="s_Financials_B_Actualisation provision contrat déficitaire SNCM 2011 V3 30 05 2011_PAO-CAF-RESOP_06_13_B14_E2_2210" xfId="1901" xr:uid="{00000000-0005-0000-0000-000098070000}"/>
    <cellStyle name="s_Financials_B_Actualisation provision contrat déficitaire SNCM 2011 V3 30 05 2011_PAO-CAF-RESOP_06_13_B14_E2_2210_Bridge_Zone_Sud" xfId="1902" xr:uid="{00000000-0005-0000-0000-000099070000}"/>
    <cellStyle name="s_Financials_B_Actualisation provision contrat déficitaire SNCM 2011 V3 30 05 2011_PAO-CAF-RESOP_06_13_Bridge_Zone_Sud" xfId="1903" xr:uid="{00000000-0005-0000-0000-00009A070000}"/>
    <cellStyle name="s_Financials_B_Actualisation provision contrat déficitaire SNCM 2011 V3 30 05 2011_PAO-CAF-RESOP_08_13" xfId="1904" xr:uid="{00000000-0005-0000-0000-00009B070000}"/>
    <cellStyle name="s_Financials_B_Actualisation provision contrat déficitaire SNCM 2011 V3 30 05 2011_PAO-CAF-RESOP_08_13_B14_E2_2210" xfId="1905" xr:uid="{00000000-0005-0000-0000-00009C070000}"/>
    <cellStyle name="s_Financials_B_Actualisation provision contrat déficitaire SNCM 2011 V3 30 05 2011_PAO-CAF-RESOP_08_13_B14_E2_2210_Bridge_Zone_Sud" xfId="1906" xr:uid="{00000000-0005-0000-0000-00009D070000}"/>
    <cellStyle name="s_Financials_B_Actualisation provision contrat déficitaire SNCM 2011 V3 30 05 2011_PAO-CAF-RESOP_08_13_Bridge_Zone_Sud" xfId="1907" xr:uid="{00000000-0005-0000-0000-00009E070000}"/>
    <cellStyle name="s_Financials_B_Actualisation provision contrat déficitaire SNCM 2011 V3 30 05 2011_PAO-CAF-RESOP_09_13" xfId="1908" xr:uid="{00000000-0005-0000-0000-00009F070000}"/>
    <cellStyle name="s_Financials_B_Actualisation provision contrat déficitaire SNCM 2011 V3 30 05 2011_PAO-CAF-RESOP_09_13_Bridge_Zone_Sud" xfId="1909" xr:uid="{00000000-0005-0000-0000-0000A0070000}"/>
    <cellStyle name="s_Financials_B_Actualisation provision contrat déficitaire SNCM 2011 V3 30 05 2011_PAO-CAF-RESOP_09_2013_Zone_IDF (version 2)" xfId="1910" xr:uid="{00000000-0005-0000-0000-0000A1070000}"/>
    <cellStyle name="s_Financials_B_Actualisation provision contrat déficitaire SNCM 2011 V3 30 05 2011_PAO-CAF-RESOP_10_12" xfId="1911" xr:uid="{00000000-0005-0000-0000-0000A2070000}"/>
    <cellStyle name="s_Financials_B_Actualisation provision contrat déficitaire SNCM 2011 V3 30 05 2011_PAO-CAF-RESOP_10_12_Bridge_Zone_Sud" xfId="1912" xr:uid="{00000000-0005-0000-0000-0000A3070000}"/>
    <cellStyle name="s_Financials_B_Actualisation provision contrat déficitaire SNCM 2011 V3 30 05 2011_PAO-CAF-RESOP_10_12_focus par entités CAFOP" xfId="1913" xr:uid="{00000000-0005-0000-0000-0000A4070000}"/>
    <cellStyle name="s_Financials_B_Actualisation provision contrat déficitaire SNCM 2011 V3 30 05 2011_PAO-CAF-RESOP_10_12_focus par entités CAFOP_Bridge_Zone_Sud" xfId="1914" xr:uid="{00000000-0005-0000-0000-0000A5070000}"/>
    <cellStyle name="s_Financials_B_Actualisation provision contrat déficitaire SNCM 2011 V3 30 05 2011_PAO-CAF-RESOP_11_13" xfId="1915" xr:uid="{00000000-0005-0000-0000-0000A6070000}"/>
    <cellStyle name="s_Financials_B_Actualisation provision contrat déficitaire SNCM 2011 V3 30 05 2011_PAO-CAF-RESOP_B13" xfId="1916" xr:uid="{00000000-0005-0000-0000-0000A7070000}"/>
    <cellStyle name="s_Financials_B_Actualisation provision contrat déficitaire SNCM 2011 V3 30 05 2011_PAO-CAF-RESOP_B13_Bridge_Zone_Sud" xfId="1917" xr:uid="{00000000-0005-0000-0000-0000A8070000}"/>
    <cellStyle name="s_Financials_B_Actualisation provision contrat déficitaire SNCM 2011 V3 30 05 2011_PAO-CAF-RESOP_B13_focus par entités CAFOP" xfId="1918" xr:uid="{00000000-0005-0000-0000-0000A9070000}"/>
    <cellStyle name="s_Financials_B_Actualisation provision contrat déficitaire SNCM 2011 V3 30 05 2011_PAO-CAF-RESOP_B13_focus par entités CAFOP_Bridge_Zone_Sud" xfId="1919" xr:uid="{00000000-0005-0000-0000-0000AA070000}"/>
    <cellStyle name="s_Financials_B_Actualisation provision contrat déficitaire SNCM 2011 V3 30 05 2011_PAO-CAF-RESOP_B2014" xfId="1920" xr:uid="{00000000-0005-0000-0000-0000AB070000}"/>
    <cellStyle name="s_Financials_B_Actualisation provision contrat déficitaire SNCM 2011 V3 30 05 2011_PAO-CAF-RESOP_B2014_Bridge_Zone_Sud" xfId="1921" xr:uid="{00000000-0005-0000-0000-0000AC070000}"/>
    <cellStyle name="s_Financials_B_Actualisation provision contrat déficitaire SNCM 2011 V3 30 05 2011_PAO-CAF-RESOP_B2014_v2" xfId="1922" xr:uid="{00000000-0005-0000-0000-0000AD070000}"/>
    <cellStyle name="s_Financials_B_Actualisation provision contrat déficitaire SNCM 2011 V3 30 05 2011_PAO-CAF-RESOP_E2_13" xfId="1923" xr:uid="{00000000-0005-0000-0000-0000AE070000}"/>
    <cellStyle name="s_Financials_B_Actualisation provision contrat déficitaire SNCM 2011 V3 30 05 2011_PAO-CAF-RESOP_E2_13_B14_E2_2210" xfId="1924" xr:uid="{00000000-0005-0000-0000-0000AF070000}"/>
    <cellStyle name="s_Financials_B_Actualisation provision contrat déficitaire SNCM 2011 V3 30 05 2011_PAO-CAF-RESOP_E2_13_B14_E2_2210_Bridge_Zone_Sud" xfId="1925" xr:uid="{00000000-0005-0000-0000-0000B0070000}"/>
    <cellStyle name="s_Financials_B_Actualisation provision contrat déficitaire SNCM 2011 V3 30 05 2011_PAO-CAF-RESOP_E2_13_Bridge_Zone_Sud" xfId="1926" xr:uid="{00000000-0005-0000-0000-0000B1070000}"/>
    <cellStyle name="s_Financials_B_Actualisation provision contrat déficitaire SNCM 2011 V3 30 05 2011_PAO-CAF-RESOP_E2_2013_03_10_19H" xfId="1927" xr:uid="{00000000-0005-0000-0000-0000B2070000}"/>
    <cellStyle name="s_Financials_B_Actualisation provision contrat déficitaire SNCM 2011 V3 30 05 2011_PAO-CAF-RESOP_E2_2013_03_10_19H_Bridge_Zone_Sud" xfId="1928" xr:uid="{00000000-0005-0000-0000-0000B3070000}"/>
    <cellStyle name="s_Financials_B_Actualisation provision contrat déficitaire SNCM 2011 V3 30 05 2011_PPA" xfId="1929" xr:uid="{00000000-0005-0000-0000-0000B4070000}"/>
    <cellStyle name="s_Financials_B_Actualisation provision contrat déficitaire SNCM 2011 V3 30 05 2011_RESOP bef CICE&amp;PPA&amp;RepartHO" xfId="1930" xr:uid="{00000000-0005-0000-0000-0000B5070000}"/>
    <cellStyle name="s_Financials_B_Actualisation provision contrat déficitaire SNCM 2011 V3 30 05 2011_Synthèse_Présentation_conso_retraitée" xfId="1931" xr:uid="{00000000-0005-0000-0000-0000B6070000}"/>
    <cellStyle name="s_Financials_B_B14_E2_2210" xfId="1932" xr:uid="{00000000-0005-0000-0000-0000B7070000}"/>
    <cellStyle name="s_Financials_B_B14_E2_2210_Bridge_Zone_Sud" xfId="1933" xr:uid="{00000000-0005-0000-0000-0000B8070000}"/>
    <cellStyle name="s_Financials_B_BFR_TD_2014.02" xfId="1934" xr:uid="{00000000-0005-0000-0000-0000B9070000}"/>
    <cellStyle name="s_Financials_B_Bridge_Zone_Nord" xfId="1935" xr:uid="{00000000-0005-0000-0000-0000BA070000}"/>
    <cellStyle name="s_Financials_B_CAPEM BY COUNTRY" xfId="1936" xr:uid="{00000000-0005-0000-0000-0000BB070000}"/>
    <cellStyle name="s_Financials_B_LI819L_B13" xfId="1937" xr:uid="{00000000-0005-0000-0000-0000BC070000}"/>
    <cellStyle name="s_Financials_B_LI819L_B13_CAPEM BY COUNTRY" xfId="1938" xr:uid="{00000000-0005-0000-0000-0000BD070000}"/>
    <cellStyle name="s_Financials_B_LI819L_B13_Maquette PLT" xfId="1939" xr:uid="{00000000-0005-0000-0000-0000BE070000}"/>
    <cellStyle name="s_Financials_B_LI819L_B13_Output" xfId="3402" xr:uid="{00000000-0005-0000-0000-0000BF070000}"/>
    <cellStyle name="s_Financials_B_LI819L_B13_PPA" xfId="1940" xr:uid="{00000000-0005-0000-0000-0000C0070000}"/>
    <cellStyle name="s_Financials_B_LI819L_B13_RESOP bef CICE&amp;PPA&amp;RepartHO" xfId="1941" xr:uid="{00000000-0005-0000-0000-0000C1070000}"/>
    <cellStyle name="s_Financials_B_Maquette PLT" xfId="1942" xr:uid="{00000000-0005-0000-0000-0000C2070000}"/>
    <cellStyle name="s_Financials_B_Output" xfId="3399" xr:uid="{00000000-0005-0000-0000-0000C3070000}"/>
    <cellStyle name="s_Financials_B_PAO-CAF-RESOP_14_01_13 à 20h" xfId="1943" xr:uid="{00000000-0005-0000-0000-0000C4070000}"/>
    <cellStyle name="s_Financials_B_PAO-CAF-RESOP_14_01_13 à 20h_CAPEM BY COUNTRY" xfId="1944" xr:uid="{00000000-0005-0000-0000-0000C5070000}"/>
    <cellStyle name="s_Financials_B_PAO-CAF-RESOP_14_01_13 à 20h_Maquette PLT" xfId="1945" xr:uid="{00000000-0005-0000-0000-0000C6070000}"/>
    <cellStyle name="s_Financials_B_PAO-CAF-RESOP_14_01_13 à 20h_Output" xfId="3403" xr:uid="{00000000-0005-0000-0000-0000C7070000}"/>
    <cellStyle name="s_Financials_B_PAO-CAF-RESOP_14_01_13 à 20h_PPA" xfId="1946" xr:uid="{00000000-0005-0000-0000-0000C8070000}"/>
    <cellStyle name="s_Financials_B_PAO-CAF-RESOP_14_01_13 à 20h_RESOP bef CICE&amp;PPA&amp;RepartHO" xfId="1947" xr:uid="{00000000-0005-0000-0000-0000C9070000}"/>
    <cellStyle name="s_Financials_B_PAO-CAF-RESOP_2014.02" xfId="1948" xr:uid="{00000000-0005-0000-0000-0000CA070000}"/>
    <cellStyle name="s_Financials_B_PAO-CAF-RESOP_2014.02_Bridge_Zone_Sud" xfId="1949" xr:uid="{00000000-0005-0000-0000-0000CB070000}"/>
    <cellStyle name="s_Financials_B_PPA" xfId="1950" xr:uid="{00000000-0005-0000-0000-0000CC070000}"/>
    <cellStyle name="s_Financials_B_RESOP bef CICE&amp;PPA&amp;RepartHO" xfId="1951" xr:uid="{00000000-0005-0000-0000-0000CD070000}"/>
    <cellStyle name="s_Financials_T" xfId="1952" xr:uid="{00000000-0005-0000-0000-0000CE070000}"/>
    <cellStyle name="s_Financials_T_Actualisation provision contrat déficitaire SNCM 2010 V Def" xfId="1953" xr:uid="{00000000-0005-0000-0000-0000CF070000}"/>
    <cellStyle name="s_Financials_T_Actualisation provision contrat déficitaire SNCM 2010 V Def_B14_E2_2210" xfId="1954" xr:uid="{00000000-0005-0000-0000-0000D0070000}"/>
    <cellStyle name="s_Financials_T_Actualisation provision contrat déficitaire SNCM 2010 V Def_B14_E2_2210_Bridge_Zone_Sud" xfId="1955" xr:uid="{00000000-0005-0000-0000-0000D1070000}"/>
    <cellStyle name="s_Financials_T_Actualisation provision contrat déficitaire SNCM 2010 V Def_Bridge_Zone_Sud" xfId="1956" xr:uid="{00000000-0005-0000-0000-0000D2070000}"/>
    <cellStyle name="s_Financials_T_Actualisation provision contrat déficitaire SNCM 2010 V Def_CAPEM BY COUNTRY" xfId="1957" xr:uid="{00000000-0005-0000-0000-0000D3070000}"/>
    <cellStyle name="s_Financials_T_Actualisation provision contrat déficitaire SNCM 2010 V Def_focus par entités CAFOPE2AMF" xfId="1958" xr:uid="{00000000-0005-0000-0000-0000D4070000}"/>
    <cellStyle name="s_Financials_T_Actualisation provision contrat déficitaire SNCM 2010 V Def_focus par entités CAFOPE2AMF_Bridge_Zone_Sud" xfId="1959" xr:uid="{00000000-0005-0000-0000-0000D5070000}"/>
    <cellStyle name="s_Financials_T_Actualisation provision contrat déficitaire SNCM 2010 V Def_Maquette PLT" xfId="1960" xr:uid="{00000000-0005-0000-0000-0000D6070000}"/>
    <cellStyle name="s_Financials_T_Actualisation provision contrat déficitaire SNCM 2010 V Def_Output" xfId="3405" xr:uid="{00000000-0005-0000-0000-0000D7070000}"/>
    <cellStyle name="s_Financials_T_Actualisation provision contrat déficitaire SNCM 2010 V Def_PAO-CAF-RESOP_04_13_pro_format_variante T1" xfId="1961" xr:uid="{00000000-0005-0000-0000-0000D8070000}"/>
    <cellStyle name="s_Financials_T_Actualisation provision contrat déficitaire SNCM 2010 V Def_PAO-CAF-RESOP_04_13_pro_format_variante T1_B14_E2_2210" xfId="1962" xr:uid="{00000000-0005-0000-0000-0000D9070000}"/>
    <cellStyle name="s_Financials_T_Actualisation provision contrat déficitaire SNCM 2010 V Def_PAO-CAF-RESOP_04_13_pro_format_variante T1_B14_E2_2210_Bridge_Zone_Sud" xfId="1963" xr:uid="{00000000-0005-0000-0000-0000DA070000}"/>
    <cellStyle name="s_Financials_T_Actualisation provision contrat déficitaire SNCM 2010 V Def_PAO-CAF-RESOP_04_13_pro_format_variante T1_Bridge_Zone_Sud" xfId="1964" xr:uid="{00000000-0005-0000-0000-0000DB070000}"/>
    <cellStyle name="s_Financials_T_Actualisation provision contrat déficitaire SNCM 2010 V Def_PAO-CAF-RESOP_06_13" xfId="1965" xr:uid="{00000000-0005-0000-0000-0000DC070000}"/>
    <cellStyle name="s_Financials_T_Actualisation provision contrat déficitaire SNCM 2010 V Def_PAO-CAF-RESOP_06_13_B14_E2_2210" xfId="1966" xr:uid="{00000000-0005-0000-0000-0000DD070000}"/>
    <cellStyle name="s_Financials_T_Actualisation provision contrat déficitaire SNCM 2010 V Def_PAO-CAF-RESOP_06_13_B14_E2_2210_Bridge_Zone_Sud" xfId="1967" xr:uid="{00000000-0005-0000-0000-0000DE070000}"/>
    <cellStyle name="s_Financials_T_Actualisation provision contrat déficitaire SNCM 2010 V Def_PAO-CAF-RESOP_06_13_Bridge_Zone_Sud" xfId="1968" xr:uid="{00000000-0005-0000-0000-0000DF070000}"/>
    <cellStyle name="s_Financials_T_Actualisation provision contrat déficitaire SNCM 2010 V Def_PAO-CAF-RESOP_08_13" xfId="1969" xr:uid="{00000000-0005-0000-0000-0000E0070000}"/>
    <cellStyle name="s_Financials_T_Actualisation provision contrat déficitaire SNCM 2010 V Def_PAO-CAF-RESOP_08_13_B14_E2_2210" xfId="1970" xr:uid="{00000000-0005-0000-0000-0000E1070000}"/>
    <cellStyle name="s_Financials_T_Actualisation provision contrat déficitaire SNCM 2010 V Def_PAO-CAF-RESOP_08_13_B14_E2_2210_Bridge_Zone_Sud" xfId="1971" xr:uid="{00000000-0005-0000-0000-0000E2070000}"/>
    <cellStyle name="s_Financials_T_Actualisation provision contrat déficitaire SNCM 2010 V Def_PAO-CAF-RESOP_08_13_Bridge_Zone_Sud" xfId="1972" xr:uid="{00000000-0005-0000-0000-0000E3070000}"/>
    <cellStyle name="s_Financials_T_Actualisation provision contrat déficitaire SNCM 2010 V Def_PAO-CAF-RESOP_09_13" xfId="1973" xr:uid="{00000000-0005-0000-0000-0000E4070000}"/>
    <cellStyle name="s_Financials_T_Actualisation provision contrat déficitaire SNCM 2010 V Def_PAO-CAF-RESOP_09_13_Bridge_Zone_Sud" xfId="1974" xr:uid="{00000000-0005-0000-0000-0000E5070000}"/>
    <cellStyle name="s_Financials_T_Actualisation provision contrat déficitaire SNCM 2010 V Def_PAO-CAF-RESOP_09_2013_Zone_IDF (version 2)" xfId="1975" xr:uid="{00000000-0005-0000-0000-0000E6070000}"/>
    <cellStyle name="s_Financials_T_Actualisation provision contrat déficitaire SNCM 2010 V Def_PAO-CAF-RESOP_10_12" xfId="1976" xr:uid="{00000000-0005-0000-0000-0000E7070000}"/>
    <cellStyle name="s_Financials_T_Actualisation provision contrat déficitaire SNCM 2010 V Def_PAO-CAF-RESOP_10_12_Bridge_Zone_Sud" xfId="1977" xr:uid="{00000000-0005-0000-0000-0000E8070000}"/>
    <cellStyle name="s_Financials_T_Actualisation provision contrat déficitaire SNCM 2010 V Def_PAO-CAF-RESOP_10_12_focus par entités CAFOP" xfId="1978" xr:uid="{00000000-0005-0000-0000-0000E9070000}"/>
    <cellStyle name="s_Financials_T_Actualisation provision contrat déficitaire SNCM 2010 V Def_PAO-CAF-RESOP_10_12_focus par entités CAFOP_Bridge_Zone_Sud" xfId="1979" xr:uid="{00000000-0005-0000-0000-0000EA070000}"/>
    <cellStyle name="s_Financials_T_Actualisation provision contrat déficitaire SNCM 2010 V Def_PAO-CAF-RESOP_11_13" xfId="1980" xr:uid="{00000000-0005-0000-0000-0000EB070000}"/>
    <cellStyle name="s_Financials_T_Actualisation provision contrat déficitaire SNCM 2010 V Def_PAO-CAF-RESOP_B13" xfId="1981" xr:uid="{00000000-0005-0000-0000-0000EC070000}"/>
    <cellStyle name="s_Financials_T_Actualisation provision contrat déficitaire SNCM 2010 V Def_PAO-CAF-RESOP_B13_Bridge_Zone_Sud" xfId="1982" xr:uid="{00000000-0005-0000-0000-0000ED070000}"/>
    <cellStyle name="s_Financials_T_Actualisation provision contrat déficitaire SNCM 2010 V Def_PAO-CAF-RESOP_B13_focus par entités CAFOP" xfId="1983" xr:uid="{00000000-0005-0000-0000-0000EE070000}"/>
    <cellStyle name="s_Financials_T_Actualisation provision contrat déficitaire SNCM 2010 V Def_PAO-CAF-RESOP_B13_focus par entités CAFOP_Bridge_Zone_Sud" xfId="1984" xr:uid="{00000000-0005-0000-0000-0000EF070000}"/>
    <cellStyle name="s_Financials_T_Actualisation provision contrat déficitaire SNCM 2010 V Def_PAO-CAF-RESOP_B2014" xfId="1985" xr:uid="{00000000-0005-0000-0000-0000F0070000}"/>
    <cellStyle name="s_Financials_T_Actualisation provision contrat déficitaire SNCM 2010 V Def_PAO-CAF-RESOP_B2014_Bridge_Zone_Sud" xfId="1986" xr:uid="{00000000-0005-0000-0000-0000F1070000}"/>
    <cellStyle name="s_Financials_T_Actualisation provision contrat déficitaire SNCM 2010 V Def_PAO-CAF-RESOP_B2014_v2" xfId="1987" xr:uid="{00000000-0005-0000-0000-0000F2070000}"/>
    <cellStyle name="s_Financials_T_Actualisation provision contrat déficitaire SNCM 2010 V Def_PAO-CAF-RESOP_E2_13" xfId="1988" xr:uid="{00000000-0005-0000-0000-0000F3070000}"/>
    <cellStyle name="s_Financials_T_Actualisation provision contrat déficitaire SNCM 2010 V Def_PAO-CAF-RESOP_E2_13_B14_E2_2210" xfId="1989" xr:uid="{00000000-0005-0000-0000-0000F4070000}"/>
    <cellStyle name="s_Financials_T_Actualisation provision contrat déficitaire SNCM 2010 V Def_PAO-CAF-RESOP_E2_13_B14_E2_2210_Bridge_Zone_Sud" xfId="1990" xr:uid="{00000000-0005-0000-0000-0000F5070000}"/>
    <cellStyle name="s_Financials_T_Actualisation provision contrat déficitaire SNCM 2010 V Def_PAO-CAF-RESOP_E2_13_Bridge_Zone_Sud" xfId="1991" xr:uid="{00000000-0005-0000-0000-0000F6070000}"/>
    <cellStyle name="s_Financials_T_Actualisation provision contrat déficitaire SNCM 2010 V Def_PAO-CAF-RESOP_E2_2013_03_10_19H" xfId="1992" xr:uid="{00000000-0005-0000-0000-0000F7070000}"/>
    <cellStyle name="s_Financials_T_Actualisation provision contrat déficitaire SNCM 2010 V Def_PAO-CAF-RESOP_E2_2013_03_10_19H_Bridge_Zone_Sud" xfId="1993" xr:uid="{00000000-0005-0000-0000-0000F8070000}"/>
    <cellStyle name="s_Financials_T_Actualisation provision contrat déficitaire SNCM 2010 V Def_PPA" xfId="1994" xr:uid="{00000000-0005-0000-0000-0000F9070000}"/>
    <cellStyle name="s_Financials_T_Actualisation provision contrat déficitaire SNCM 2010 V Def_RESOP bef CICE&amp;PPA&amp;RepartHO" xfId="1995" xr:uid="{00000000-0005-0000-0000-0000FA070000}"/>
    <cellStyle name="s_Financials_T_Actualisation provision contrat déficitaire SNCM 2010 V Def_Synthèse_Présentation_conso_retraitée" xfId="1996" xr:uid="{00000000-0005-0000-0000-0000FB070000}"/>
    <cellStyle name="s_Financials_T_Actualisation provision contrat déficitaire SNCM 2011 V3 30 05 2011" xfId="1997" xr:uid="{00000000-0005-0000-0000-0000FC070000}"/>
    <cellStyle name="s_Financials_T_Actualisation provision contrat déficitaire SNCM 2011 V3 30 05 2011_B14_E2_2210" xfId="1998" xr:uid="{00000000-0005-0000-0000-0000FD070000}"/>
    <cellStyle name="s_Financials_T_Actualisation provision contrat déficitaire SNCM 2011 V3 30 05 2011_B14_E2_2210_Bridge_Zone_Sud" xfId="1999" xr:uid="{00000000-0005-0000-0000-0000FE070000}"/>
    <cellStyle name="s_Financials_T_Actualisation provision contrat déficitaire SNCM 2011 V3 30 05 2011_Bridge_Zone_Sud" xfId="2000" xr:uid="{00000000-0005-0000-0000-0000FF070000}"/>
    <cellStyle name="s_Financials_T_Actualisation provision contrat déficitaire SNCM 2011 V3 30 05 2011_CAPEM BY COUNTRY" xfId="2001" xr:uid="{00000000-0005-0000-0000-000000080000}"/>
    <cellStyle name="s_Financials_T_Actualisation provision contrat déficitaire SNCM 2011 V3 30 05 2011_focus par entités CAFOPE2AMF" xfId="2002" xr:uid="{00000000-0005-0000-0000-000001080000}"/>
    <cellStyle name="s_Financials_T_Actualisation provision contrat déficitaire SNCM 2011 V3 30 05 2011_focus par entités CAFOPE2AMF_Bridge_Zone_Sud" xfId="2003" xr:uid="{00000000-0005-0000-0000-000002080000}"/>
    <cellStyle name="s_Financials_T_Actualisation provision contrat déficitaire SNCM 2011 V3 30 05 2011_Maquette PLT" xfId="2004" xr:uid="{00000000-0005-0000-0000-000003080000}"/>
    <cellStyle name="s_Financials_T_Actualisation provision contrat déficitaire SNCM 2011 V3 30 05 2011_Output" xfId="3406" xr:uid="{00000000-0005-0000-0000-000004080000}"/>
    <cellStyle name="s_Financials_T_Actualisation provision contrat déficitaire SNCM 2011 V3 30 05 2011_PAO-CAF-RESOP_04_13_pro_format_variante T1" xfId="2005" xr:uid="{00000000-0005-0000-0000-000005080000}"/>
    <cellStyle name="s_Financials_T_Actualisation provision contrat déficitaire SNCM 2011 V3 30 05 2011_PAO-CAF-RESOP_04_13_pro_format_variante T1_B14_E2_2210" xfId="2006" xr:uid="{00000000-0005-0000-0000-000006080000}"/>
    <cellStyle name="s_Financials_T_Actualisation provision contrat déficitaire SNCM 2011 V3 30 05 2011_PAO-CAF-RESOP_04_13_pro_format_variante T1_B14_E2_2210_Bridge_Zone_Sud" xfId="2007" xr:uid="{00000000-0005-0000-0000-000007080000}"/>
    <cellStyle name="s_Financials_T_Actualisation provision contrat déficitaire SNCM 2011 V3 30 05 2011_PAO-CAF-RESOP_04_13_pro_format_variante T1_Bridge_Zone_Sud" xfId="2008" xr:uid="{00000000-0005-0000-0000-000008080000}"/>
    <cellStyle name="s_Financials_T_Actualisation provision contrat déficitaire SNCM 2011 V3 30 05 2011_PAO-CAF-RESOP_06_13" xfId="2009" xr:uid="{00000000-0005-0000-0000-000009080000}"/>
    <cellStyle name="s_Financials_T_Actualisation provision contrat déficitaire SNCM 2011 V3 30 05 2011_PAO-CAF-RESOP_06_13_B14_E2_2210" xfId="2010" xr:uid="{00000000-0005-0000-0000-00000A080000}"/>
    <cellStyle name="s_Financials_T_Actualisation provision contrat déficitaire SNCM 2011 V3 30 05 2011_PAO-CAF-RESOP_06_13_B14_E2_2210_Bridge_Zone_Sud" xfId="2011" xr:uid="{00000000-0005-0000-0000-00000B080000}"/>
    <cellStyle name="s_Financials_T_Actualisation provision contrat déficitaire SNCM 2011 V3 30 05 2011_PAO-CAF-RESOP_06_13_Bridge_Zone_Sud" xfId="2012" xr:uid="{00000000-0005-0000-0000-00000C080000}"/>
    <cellStyle name="s_Financials_T_Actualisation provision contrat déficitaire SNCM 2011 V3 30 05 2011_PAO-CAF-RESOP_08_13" xfId="2013" xr:uid="{00000000-0005-0000-0000-00000D080000}"/>
    <cellStyle name="s_Financials_T_Actualisation provision contrat déficitaire SNCM 2011 V3 30 05 2011_PAO-CAF-RESOP_08_13_B14_E2_2210" xfId="2014" xr:uid="{00000000-0005-0000-0000-00000E080000}"/>
    <cellStyle name="s_Financials_T_Actualisation provision contrat déficitaire SNCM 2011 V3 30 05 2011_PAO-CAF-RESOP_08_13_B14_E2_2210_Bridge_Zone_Sud" xfId="2015" xr:uid="{00000000-0005-0000-0000-00000F080000}"/>
    <cellStyle name="s_Financials_T_Actualisation provision contrat déficitaire SNCM 2011 V3 30 05 2011_PAO-CAF-RESOP_08_13_Bridge_Zone_Sud" xfId="2016" xr:uid="{00000000-0005-0000-0000-000010080000}"/>
    <cellStyle name="s_Financials_T_Actualisation provision contrat déficitaire SNCM 2011 V3 30 05 2011_PAO-CAF-RESOP_09_13" xfId="2017" xr:uid="{00000000-0005-0000-0000-000011080000}"/>
    <cellStyle name="s_Financials_T_Actualisation provision contrat déficitaire SNCM 2011 V3 30 05 2011_PAO-CAF-RESOP_09_13_Bridge_Zone_Sud" xfId="2018" xr:uid="{00000000-0005-0000-0000-000012080000}"/>
    <cellStyle name="s_Financials_T_Actualisation provision contrat déficitaire SNCM 2011 V3 30 05 2011_PAO-CAF-RESOP_09_2013_Zone_IDF (version 2)" xfId="2019" xr:uid="{00000000-0005-0000-0000-000013080000}"/>
    <cellStyle name="s_Financials_T_Actualisation provision contrat déficitaire SNCM 2011 V3 30 05 2011_PAO-CAF-RESOP_10_12" xfId="2020" xr:uid="{00000000-0005-0000-0000-000014080000}"/>
    <cellStyle name="s_Financials_T_Actualisation provision contrat déficitaire SNCM 2011 V3 30 05 2011_PAO-CAF-RESOP_10_12_Bridge_Zone_Sud" xfId="2021" xr:uid="{00000000-0005-0000-0000-000015080000}"/>
    <cellStyle name="s_Financials_T_Actualisation provision contrat déficitaire SNCM 2011 V3 30 05 2011_PAO-CAF-RESOP_10_12_focus par entités CAFOP" xfId="2022" xr:uid="{00000000-0005-0000-0000-000016080000}"/>
    <cellStyle name="s_Financials_T_Actualisation provision contrat déficitaire SNCM 2011 V3 30 05 2011_PAO-CAF-RESOP_10_12_focus par entités CAFOP_Bridge_Zone_Sud" xfId="2023" xr:uid="{00000000-0005-0000-0000-000017080000}"/>
    <cellStyle name="s_Financials_T_Actualisation provision contrat déficitaire SNCM 2011 V3 30 05 2011_PAO-CAF-RESOP_11_13" xfId="2024" xr:uid="{00000000-0005-0000-0000-000018080000}"/>
    <cellStyle name="s_Financials_T_Actualisation provision contrat déficitaire SNCM 2011 V3 30 05 2011_PAO-CAF-RESOP_B13" xfId="2025" xr:uid="{00000000-0005-0000-0000-000019080000}"/>
    <cellStyle name="s_Financials_T_Actualisation provision contrat déficitaire SNCM 2011 V3 30 05 2011_PAO-CAF-RESOP_B13_Bridge_Zone_Sud" xfId="2026" xr:uid="{00000000-0005-0000-0000-00001A080000}"/>
    <cellStyle name="s_Financials_T_Actualisation provision contrat déficitaire SNCM 2011 V3 30 05 2011_PAO-CAF-RESOP_B13_focus par entités CAFOP" xfId="2027" xr:uid="{00000000-0005-0000-0000-00001B080000}"/>
    <cellStyle name="s_Financials_T_Actualisation provision contrat déficitaire SNCM 2011 V3 30 05 2011_PAO-CAF-RESOP_B13_focus par entités CAFOP_Bridge_Zone_Sud" xfId="2028" xr:uid="{00000000-0005-0000-0000-00001C080000}"/>
    <cellStyle name="s_Financials_T_Actualisation provision contrat déficitaire SNCM 2011 V3 30 05 2011_PAO-CAF-RESOP_B2014" xfId="2029" xr:uid="{00000000-0005-0000-0000-00001D080000}"/>
    <cellStyle name="s_Financials_T_Actualisation provision contrat déficitaire SNCM 2011 V3 30 05 2011_PAO-CAF-RESOP_B2014_Bridge_Zone_Sud" xfId="2030" xr:uid="{00000000-0005-0000-0000-00001E080000}"/>
    <cellStyle name="s_Financials_T_Actualisation provision contrat déficitaire SNCM 2011 V3 30 05 2011_PAO-CAF-RESOP_B2014_v2" xfId="2031" xr:uid="{00000000-0005-0000-0000-00001F080000}"/>
    <cellStyle name="s_Financials_T_Actualisation provision contrat déficitaire SNCM 2011 V3 30 05 2011_PAO-CAF-RESOP_E2_13" xfId="2032" xr:uid="{00000000-0005-0000-0000-000020080000}"/>
    <cellStyle name="s_Financials_T_Actualisation provision contrat déficitaire SNCM 2011 V3 30 05 2011_PAO-CAF-RESOP_E2_13_B14_E2_2210" xfId="2033" xr:uid="{00000000-0005-0000-0000-000021080000}"/>
    <cellStyle name="s_Financials_T_Actualisation provision contrat déficitaire SNCM 2011 V3 30 05 2011_PAO-CAF-RESOP_E2_13_B14_E2_2210_Bridge_Zone_Sud" xfId="2034" xr:uid="{00000000-0005-0000-0000-000022080000}"/>
    <cellStyle name="s_Financials_T_Actualisation provision contrat déficitaire SNCM 2011 V3 30 05 2011_PAO-CAF-RESOP_E2_13_Bridge_Zone_Sud" xfId="2035" xr:uid="{00000000-0005-0000-0000-000023080000}"/>
    <cellStyle name="s_Financials_T_Actualisation provision contrat déficitaire SNCM 2011 V3 30 05 2011_PAO-CAF-RESOP_E2_2013_03_10_19H" xfId="2036" xr:uid="{00000000-0005-0000-0000-000024080000}"/>
    <cellStyle name="s_Financials_T_Actualisation provision contrat déficitaire SNCM 2011 V3 30 05 2011_PAO-CAF-RESOP_E2_2013_03_10_19H_Bridge_Zone_Sud" xfId="2037" xr:uid="{00000000-0005-0000-0000-000025080000}"/>
    <cellStyle name="s_Financials_T_Actualisation provision contrat déficitaire SNCM 2011 V3 30 05 2011_PPA" xfId="2038" xr:uid="{00000000-0005-0000-0000-000026080000}"/>
    <cellStyle name="s_Financials_T_Actualisation provision contrat déficitaire SNCM 2011 V3 30 05 2011_RESOP bef CICE&amp;PPA&amp;RepartHO" xfId="2039" xr:uid="{00000000-0005-0000-0000-000027080000}"/>
    <cellStyle name="s_Financials_T_Actualisation provision contrat déficitaire SNCM 2011 V3 30 05 2011_Synthèse_Présentation_conso_retraitée" xfId="2040" xr:uid="{00000000-0005-0000-0000-000028080000}"/>
    <cellStyle name="s_Financials_T_B14_E2_2210" xfId="2041" xr:uid="{00000000-0005-0000-0000-000029080000}"/>
    <cellStyle name="s_Financials_T_B14_E2_2210_Bridge_Zone_Sud" xfId="2042" xr:uid="{00000000-0005-0000-0000-00002A080000}"/>
    <cellStyle name="s_Financials_T_BFR_TD_2014.02" xfId="2043" xr:uid="{00000000-0005-0000-0000-00002B080000}"/>
    <cellStyle name="s_Financials_T_Bridge_Zone_Nord" xfId="2044" xr:uid="{00000000-0005-0000-0000-00002C080000}"/>
    <cellStyle name="s_Financials_T_CAPEM BY COUNTRY" xfId="2045" xr:uid="{00000000-0005-0000-0000-00002D080000}"/>
    <cellStyle name="s_Financials_T_LI819L_B13" xfId="2046" xr:uid="{00000000-0005-0000-0000-00002E080000}"/>
    <cellStyle name="s_Financials_T_LI819L_B13_CAPEM BY COUNTRY" xfId="2047" xr:uid="{00000000-0005-0000-0000-00002F080000}"/>
    <cellStyle name="s_Financials_T_LI819L_B13_Maquette PLT" xfId="2048" xr:uid="{00000000-0005-0000-0000-000030080000}"/>
    <cellStyle name="s_Financials_T_LI819L_B13_Output" xfId="3407" xr:uid="{00000000-0005-0000-0000-000031080000}"/>
    <cellStyle name="s_Financials_T_LI819L_B13_PPA" xfId="2049" xr:uid="{00000000-0005-0000-0000-000032080000}"/>
    <cellStyle name="s_Financials_T_LI819L_B13_RESOP bef CICE&amp;PPA&amp;RepartHO" xfId="2050" xr:uid="{00000000-0005-0000-0000-000033080000}"/>
    <cellStyle name="s_Financials_T_Maquette PLT" xfId="2051" xr:uid="{00000000-0005-0000-0000-000034080000}"/>
    <cellStyle name="s_Financials_T_Output" xfId="3404" xr:uid="{00000000-0005-0000-0000-000035080000}"/>
    <cellStyle name="s_Financials_T_PAO-CAF-RESOP_14_01_13 à 20h" xfId="2052" xr:uid="{00000000-0005-0000-0000-000036080000}"/>
    <cellStyle name="s_Financials_T_PAO-CAF-RESOP_14_01_13 à 20h_CAPEM BY COUNTRY" xfId="2053" xr:uid="{00000000-0005-0000-0000-000037080000}"/>
    <cellStyle name="s_Financials_T_PAO-CAF-RESOP_14_01_13 à 20h_Maquette PLT" xfId="2054" xr:uid="{00000000-0005-0000-0000-000038080000}"/>
    <cellStyle name="s_Financials_T_PAO-CAF-RESOP_14_01_13 à 20h_Output" xfId="3408" xr:uid="{00000000-0005-0000-0000-000039080000}"/>
    <cellStyle name="s_Financials_T_PAO-CAF-RESOP_14_01_13 à 20h_PPA" xfId="2055" xr:uid="{00000000-0005-0000-0000-00003A080000}"/>
    <cellStyle name="s_Financials_T_PAO-CAF-RESOP_14_01_13 à 20h_RESOP bef CICE&amp;PPA&amp;RepartHO" xfId="2056" xr:uid="{00000000-0005-0000-0000-00003B080000}"/>
    <cellStyle name="s_Financials_T_PAO-CAF-RESOP_2014.02" xfId="2057" xr:uid="{00000000-0005-0000-0000-00003C080000}"/>
    <cellStyle name="s_Financials_T_PAO-CAF-RESOP_2014.02_Bridge_Zone_Sud" xfId="2058" xr:uid="{00000000-0005-0000-0000-00003D080000}"/>
    <cellStyle name="s_Financials_T_PPA" xfId="2059" xr:uid="{00000000-0005-0000-0000-00003E080000}"/>
    <cellStyle name="s_Financials_T_RESOP bef CICE&amp;PPA&amp;RepartHO" xfId="2060" xr:uid="{00000000-0005-0000-0000-00003F080000}"/>
    <cellStyle name="s_Grouse+Pelican" xfId="2061" xr:uid="{00000000-0005-0000-0000-000040080000}"/>
    <cellStyle name="s_Grouse+Pelican_CAPEM BY COUNTRY" xfId="2062" xr:uid="{00000000-0005-0000-0000-000041080000}"/>
    <cellStyle name="s_Grouse+Pelican_Maquette PLT" xfId="2063" xr:uid="{00000000-0005-0000-0000-000042080000}"/>
    <cellStyle name="s_Grouse+Pelican_Output" xfId="3409" xr:uid="{00000000-0005-0000-0000-000043080000}"/>
    <cellStyle name="s_LI819L_B13" xfId="2064" xr:uid="{00000000-0005-0000-0000-000044080000}"/>
    <cellStyle name="s_LI819L_B13_CAPEM BY COUNTRY" xfId="2065" xr:uid="{00000000-0005-0000-0000-000045080000}"/>
    <cellStyle name="s_LI819L_B13_Maquette PLT" xfId="2066" xr:uid="{00000000-0005-0000-0000-000046080000}"/>
    <cellStyle name="s_LI819L_B13_Output" xfId="3410" xr:uid="{00000000-0005-0000-0000-000047080000}"/>
    <cellStyle name="s_LI819L_B13_PPA" xfId="2067" xr:uid="{00000000-0005-0000-0000-000048080000}"/>
    <cellStyle name="s_LI819L_B13_RESOP bef CICE&amp;PPA&amp;RepartHO" xfId="2068" xr:uid="{00000000-0005-0000-0000-000049080000}"/>
    <cellStyle name="s_Maquette PLT" xfId="2069" xr:uid="{00000000-0005-0000-0000-00004A080000}"/>
    <cellStyle name="s_Matrix_B" xfId="2070" xr:uid="{00000000-0005-0000-0000-00004B080000}"/>
    <cellStyle name="s_Matrix_B_Actualisation provision contrat déficitaire SNCM 2010 V Def" xfId="2071" xr:uid="{00000000-0005-0000-0000-00004C080000}"/>
    <cellStyle name="s_Matrix_B_Actualisation provision contrat déficitaire SNCM 2010 V Def_B14_E2_2210" xfId="2072" xr:uid="{00000000-0005-0000-0000-00004D080000}"/>
    <cellStyle name="s_Matrix_B_Actualisation provision contrat déficitaire SNCM 2010 V Def_B14_E2_2210_Bridge_Zone_Sud" xfId="2073" xr:uid="{00000000-0005-0000-0000-00004E080000}"/>
    <cellStyle name="s_Matrix_B_Actualisation provision contrat déficitaire SNCM 2010 V Def_Bridge_Zone_Sud" xfId="2074" xr:uid="{00000000-0005-0000-0000-00004F080000}"/>
    <cellStyle name="s_Matrix_B_Actualisation provision contrat déficitaire SNCM 2010 V Def_CAPEM BY COUNTRY" xfId="2075" xr:uid="{00000000-0005-0000-0000-000050080000}"/>
    <cellStyle name="s_Matrix_B_Actualisation provision contrat déficitaire SNCM 2010 V Def_focus par entités CAFOPE2AMF" xfId="2076" xr:uid="{00000000-0005-0000-0000-000051080000}"/>
    <cellStyle name="s_Matrix_B_Actualisation provision contrat déficitaire SNCM 2010 V Def_focus par entités CAFOPE2AMF_Bridge_Zone_Sud" xfId="2077" xr:uid="{00000000-0005-0000-0000-000052080000}"/>
    <cellStyle name="s_Matrix_B_Actualisation provision contrat déficitaire SNCM 2010 V Def_Maquette PLT" xfId="2078" xr:uid="{00000000-0005-0000-0000-000053080000}"/>
    <cellStyle name="s_Matrix_B_Actualisation provision contrat déficitaire SNCM 2010 V Def_Output" xfId="3412" xr:uid="{00000000-0005-0000-0000-000054080000}"/>
    <cellStyle name="s_Matrix_B_Actualisation provision contrat déficitaire SNCM 2010 V Def_PAO-CAF-RESOP_04_13_pro_format_variante T1" xfId="2079" xr:uid="{00000000-0005-0000-0000-000055080000}"/>
    <cellStyle name="s_Matrix_B_Actualisation provision contrat déficitaire SNCM 2010 V Def_PAO-CAF-RESOP_04_13_pro_format_variante T1_B14_E2_2210" xfId="2080" xr:uid="{00000000-0005-0000-0000-000056080000}"/>
    <cellStyle name="s_Matrix_B_Actualisation provision contrat déficitaire SNCM 2010 V Def_PAO-CAF-RESOP_04_13_pro_format_variante T1_B14_E2_2210_Bridge_Zone_Sud" xfId="2081" xr:uid="{00000000-0005-0000-0000-000057080000}"/>
    <cellStyle name="s_Matrix_B_Actualisation provision contrat déficitaire SNCM 2010 V Def_PAO-CAF-RESOP_04_13_pro_format_variante T1_Bridge_Zone_Sud" xfId="2082" xr:uid="{00000000-0005-0000-0000-000058080000}"/>
    <cellStyle name="s_Matrix_B_Actualisation provision contrat déficitaire SNCM 2010 V Def_PAO-CAF-RESOP_06_13" xfId="2083" xr:uid="{00000000-0005-0000-0000-000059080000}"/>
    <cellStyle name="s_Matrix_B_Actualisation provision contrat déficitaire SNCM 2010 V Def_PAO-CAF-RESOP_06_13_B14_E2_2210" xfId="2084" xr:uid="{00000000-0005-0000-0000-00005A080000}"/>
    <cellStyle name="s_Matrix_B_Actualisation provision contrat déficitaire SNCM 2010 V Def_PAO-CAF-RESOP_06_13_B14_E2_2210_Bridge_Zone_Sud" xfId="2085" xr:uid="{00000000-0005-0000-0000-00005B080000}"/>
    <cellStyle name="s_Matrix_B_Actualisation provision contrat déficitaire SNCM 2010 V Def_PAO-CAF-RESOP_06_13_Bridge_Zone_Sud" xfId="2086" xr:uid="{00000000-0005-0000-0000-00005C080000}"/>
    <cellStyle name="s_Matrix_B_Actualisation provision contrat déficitaire SNCM 2010 V Def_PAO-CAF-RESOP_08_13" xfId="2087" xr:uid="{00000000-0005-0000-0000-00005D080000}"/>
    <cellStyle name="s_Matrix_B_Actualisation provision contrat déficitaire SNCM 2010 V Def_PAO-CAF-RESOP_08_13_B14_E2_2210" xfId="2088" xr:uid="{00000000-0005-0000-0000-00005E080000}"/>
    <cellStyle name="s_Matrix_B_Actualisation provision contrat déficitaire SNCM 2010 V Def_PAO-CAF-RESOP_08_13_B14_E2_2210_Bridge_Zone_Sud" xfId="2089" xr:uid="{00000000-0005-0000-0000-00005F080000}"/>
    <cellStyle name="s_Matrix_B_Actualisation provision contrat déficitaire SNCM 2010 V Def_PAO-CAF-RESOP_08_13_Bridge_Zone_Sud" xfId="2090" xr:uid="{00000000-0005-0000-0000-000060080000}"/>
    <cellStyle name="s_Matrix_B_Actualisation provision contrat déficitaire SNCM 2010 V Def_PAO-CAF-RESOP_09_13" xfId="2091" xr:uid="{00000000-0005-0000-0000-000061080000}"/>
    <cellStyle name="s_Matrix_B_Actualisation provision contrat déficitaire SNCM 2010 V Def_PAO-CAF-RESOP_09_13_Bridge_Zone_Sud" xfId="2092" xr:uid="{00000000-0005-0000-0000-000062080000}"/>
    <cellStyle name="s_Matrix_B_Actualisation provision contrat déficitaire SNCM 2010 V Def_PAO-CAF-RESOP_09_2013_Zone_IDF (version 2)" xfId="2093" xr:uid="{00000000-0005-0000-0000-000063080000}"/>
    <cellStyle name="s_Matrix_B_Actualisation provision contrat déficitaire SNCM 2010 V Def_PAO-CAF-RESOP_10_12" xfId="2094" xr:uid="{00000000-0005-0000-0000-000064080000}"/>
    <cellStyle name="s_Matrix_B_Actualisation provision contrat déficitaire SNCM 2010 V Def_PAO-CAF-RESOP_10_12_Bridge_Zone_Sud" xfId="2095" xr:uid="{00000000-0005-0000-0000-000065080000}"/>
    <cellStyle name="s_Matrix_B_Actualisation provision contrat déficitaire SNCM 2010 V Def_PAO-CAF-RESOP_10_12_focus par entités CAFOP" xfId="2096" xr:uid="{00000000-0005-0000-0000-000066080000}"/>
    <cellStyle name="s_Matrix_B_Actualisation provision contrat déficitaire SNCM 2010 V Def_PAO-CAF-RESOP_10_12_focus par entités CAFOP_Bridge_Zone_Sud" xfId="2097" xr:uid="{00000000-0005-0000-0000-000067080000}"/>
    <cellStyle name="s_Matrix_B_Actualisation provision contrat déficitaire SNCM 2010 V Def_PAO-CAF-RESOP_11_13" xfId="2098" xr:uid="{00000000-0005-0000-0000-000068080000}"/>
    <cellStyle name="s_Matrix_B_Actualisation provision contrat déficitaire SNCM 2010 V Def_PAO-CAF-RESOP_B13" xfId="2099" xr:uid="{00000000-0005-0000-0000-000069080000}"/>
    <cellStyle name="s_Matrix_B_Actualisation provision contrat déficitaire SNCM 2010 V Def_PAO-CAF-RESOP_B13_Bridge_Zone_Sud" xfId="2100" xr:uid="{00000000-0005-0000-0000-00006A080000}"/>
    <cellStyle name="s_Matrix_B_Actualisation provision contrat déficitaire SNCM 2010 V Def_PAO-CAF-RESOP_B13_focus par entités CAFOP" xfId="2101" xr:uid="{00000000-0005-0000-0000-00006B080000}"/>
    <cellStyle name="s_Matrix_B_Actualisation provision contrat déficitaire SNCM 2010 V Def_PAO-CAF-RESOP_B13_focus par entités CAFOP_Bridge_Zone_Sud" xfId="2102" xr:uid="{00000000-0005-0000-0000-00006C080000}"/>
    <cellStyle name="s_Matrix_B_Actualisation provision contrat déficitaire SNCM 2010 V Def_PAO-CAF-RESOP_B2014" xfId="2103" xr:uid="{00000000-0005-0000-0000-00006D080000}"/>
    <cellStyle name="s_Matrix_B_Actualisation provision contrat déficitaire SNCM 2010 V Def_PAO-CAF-RESOP_B2014_Bridge_Zone_Sud" xfId="2104" xr:uid="{00000000-0005-0000-0000-00006E080000}"/>
    <cellStyle name="s_Matrix_B_Actualisation provision contrat déficitaire SNCM 2010 V Def_PAO-CAF-RESOP_B2014_v2" xfId="2105" xr:uid="{00000000-0005-0000-0000-00006F080000}"/>
    <cellStyle name="s_Matrix_B_Actualisation provision contrat déficitaire SNCM 2010 V Def_PAO-CAF-RESOP_E2_13" xfId="2106" xr:uid="{00000000-0005-0000-0000-000070080000}"/>
    <cellStyle name="s_Matrix_B_Actualisation provision contrat déficitaire SNCM 2010 V Def_PAO-CAF-RESOP_E2_13_B14_E2_2210" xfId="2107" xr:uid="{00000000-0005-0000-0000-000071080000}"/>
    <cellStyle name="s_Matrix_B_Actualisation provision contrat déficitaire SNCM 2010 V Def_PAO-CAF-RESOP_E2_13_B14_E2_2210_Bridge_Zone_Sud" xfId="2108" xr:uid="{00000000-0005-0000-0000-000072080000}"/>
    <cellStyle name="s_Matrix_B_Actualisation provision contrat déficitaire SNCM 2010 V Def_PAO-CAF-RESOP_E2_13_Bridge_Zone_Sud" xfId="2109" xr:uid="{00000000-0005-0000-0000-000073080000}"/>
    <cellStyle name="s_Matrix_B_Actualisation provision contrat déficitaire SNCM 2010 V Def_PAO-CAF-RESOP_E2_2013_03_10_19H" xfId="2110" xr:uid="{00000000-0005-0000-0000-000074080000}"/>
    <cellStyle name="s_Matrix_B_Actualisation provision contrat déficitaire SNCM 2010 V Def_PAO-CAF-RESOP_E2_2013_03_10_19H_Bridge_Zone_Sud" xfId="2111" xr:uid="{00000000-0005-0000-0000-000075080000}"/>
    <cellStyle name="s_Matrix_B_Actualisation provision contrat déficitaire SNCM 2010 V Def_PPA" xfId="2112" xr:uid="{00000000-0005-0000-0000-000076080000}"/>
    <cellStyle name="s_Matrix_B_Actualisation provision contrat déficitaire SNCM 2010 V Def_RESOP bef CICE&amp;PPA&amp;RepartHO" xfId="2113" xr:uid="{00000000-0005-0000-0000-000077080000}"/>
    <cellStyle name="s_Matrix_B_Actualisation provision contrat déficitaire SNCM 2010 V Def_Synthèse_Présentation_conso_retraitée" xfId="2114" xr:uid="{00000000-0005-0000-0000-000078080000}"/>
    <cellStyle name="s_Matrix_B_Actualisation provision contrat déficitaire SNCM 2011 V3 30 05 2011" xfId="2115" xr:uid="{00000000-0005-0000-0000-000079080000}"/>
    <cellStyle name="s_Matrix_B_Actualisation provision contrat déficitaire SNCM 2011 V3 30 05 2011_B14_E2_2210" xfId="2116" xr:uid="{00000000-0005-0000-0000-00007A080000}"/>
    <cellStyle name="s_Matrix_B_Actualisation provision contrat déficitaire SNCM 2011 V3 30 05 2011_B14_E2_2210_Bridge_Zone_Sud" xfId="2117" xr:uid="{00000000-0005-0000-0000-00007B080000}"/>
    <cellStyle name="s_Matrix_B_Actualisation provision contrat déficitaire SNCM 2011 V3 30 05 2011_Bridge_Zone_Sud" xfId="2118" xr:uid="{00000000-0005-0000-0000-00007C080000}"/>
    <cellStyle name="s_Matrix_B_Actualisation provision contrat déficitaire SNCM 2011 V3 30 05 2011_CAPEM BY COUNTRY" xfId="2119" xr:uid="{00000000-0005-0000-0000-00007D080000}"/>
    <cellStyle name="s_Matrix_B_Actualisation provision contrat déficitaire SNCM 2011 V3 30 05 2011_focus par entités CAFOPE2AMF" xfId="2120" xr:uid="{00000000-0005-0000-0000-00007E080000}"/>
    <cellStyle name="s_Matrix_B_Actualisation provision contrat déficitaire SNCM 2011 V3 30 05 2011_focus par entités CAFOPE2AMF_Bridge_Zone_Sud" xfId="2121" xr:uid="{00000000-0005-0000-0000-00007F080000}"/>
    <cellStyle name="s_Matrix_B_Actualisation provision contrat déficitaire SNCM 2011 V3 30 05 2011_Maquette PLT" xfId="2122" xr:uid="{00000000-0005-0000-0000-000080080000}"/>
    <cellStyle name="s_Matrix_B_Actualisation provision contrat déficitaire SNCM 2011 V3 30 05 2011_Output" xfId="3413" xr:uid="{00000000-0005-0000-0000-000081080000}"/>
    <cellStyle name="s_Matrix_B_Actualisation provision contrat déficitaire SNCM 2011 V3 30 05 2011_PAO-CAF-RESOP_04_13_pro_format_variante T1" xfId="2123" xr:uid="{00000000-0005-0000-0000-000082080000}"/>
    <cellStyle name="s_Matrix_B_Actualisation provision contrat déficitaire SNCM 2011 V3 30 05 2011_PAO-CAF-RESOP_04_13_pro_format_variante T1_B14_E2_2210" xfId="2124" xr:uid="{00000000-0005-0000-0000-000083080000}"/>
    <cellStyle name="s_Matrix_B_Actualisation provision contrat déficitaire SNCM 2011 V3 30 05 2011_PAO-CAF-RESOP_04_13_pro_format_variante T1_B14_E2_2210_Bridge_Zone_Sud" xfId="2125" xr:uid="{00000000-0005-0000-0000-000084080000}"/>
    <cellStyle name="s_Matrix_B_Actualisation provision contrat déficitaire SNCM 2011 V3 30 05 2011_PAO-CAF-RESOP_04_13_pro_format_variante T1_Bridge_Zone_Sud" xfId="2126" xr:uid="{00000000-0005-0000-0000-000085080000}"/>
    <cellStyle name="s_Matrix_B_Actualisation provision contrat déficitaire SNCM 2011 V3 30 05 2011_PAO-CAF-RESOP_06_13" xfId="2127" xr:uid="{00000000-0005-0000-0000-000086080000}"/>
    <cellStyle name="s_Matrix_B_Actualisation provision contrat déficitaire SNCM 2011 V3 30 05 2011_PAO-CAF-RESOP_06_13_B14_E2_2210" xfId="2128" xr:uid="{00000000-0005-0000-0000-000087080000}"/>
    <cellStyle name="s_Matrix_B_Actualisation provision contrat déficitaire SNCM 2011 V3 30 05 2011_PAO-CAF-RESOP_06_13_B14_E2_2210_Bridge_Zone_Sud" xfId="2129" xr:uid="{00000000-0005-0000-0000-000088080000}"/>
    <cellStyle name="s_Matrix_B_Actualisation provision contrat déficitaire SNCM 2011 V3 30 05 2011_PAO-CAF-RESOP_06_13_Bridge_Zone_Sud" xfId="2130" xr:uid="{00000000-0005-0000-0000-000089080000}"/>
    <cellStyle name="s_Matrix_B_Actualisation provision contrat déficitaire SNCM 2011 V3 30 05 2011_PAO-CAF-RESOP_08_13" xfId="2131" xr:uid="{00000000-0005-0000-0000-00008A080000}"/>
    <cellStyle name="s_Matrix_B_Actualisation provision contrat déficitaire SNCM 2011 V3 30 05 2011_PAO-CAF-RESOP_08_13_B14_E2_2210" xfId="2132" xr:uid="{00000000-0005-0000-0000-00008B080000}"/>
    <cellStyle name="s_Matrix_B_Actualisation provision contrat déficitaire SNCM 2011 V3 30 05 2011_PAO-CAF-RESOP_08_13_B14_E2_2210_Bridge_Zone_Sud" xfId="2133" xr:uid="{00000000-0005-0000-0000-00008C080000}"/>
    <cellStyle name="s_Matrix_B_Actualisation provision contrat déficitaire SNCM 2011 V3 30 05 2011_PAO-CAF-RESOP_08_13_Bridge_Zone_Sud" xfId="2134" xr:uid="{00000000-0005-0000-0000-00008D080000}"/>
    <cellStyle name="s_Matrix_B_Actualisation provision contrat déficitaire SNCM 2011 V3 30 05 2011_PAO-CAF-RESOP_09_13" xfId="2135" xr:uid="{00000000-0005-0000-0000-00008E080000}"/>
    <cellStyle name="s_Matrix_B_Actualisation provision contrat déficitaire SNCM 2011 V3 30 05 2011_PAO-CAF-RESOP_09_13_Bridge_Zone_Sud" xfId="2136" xr:uid="{00000000-0005-0000-0000-00008F080000}"/>
    <cellStyle name="s_Matrix_B_Actualisation provision contrat déficitaire SNCM 2011 V3 30 05 2011_PAO-CAF-RESOP_09_2013_Zone_IDF (version 2)" xfId="2137" xr:uid="{00000000-0005-0000-0000-000090080000}"/>
    <cellStyle name="s_Matrix_B_Actualisation provision contrat déficitaire SNCM 2011 V3 30 05 2011_PAO-CAF-RESOP_10_12" xfId="2138" xr:uid="{00000000-0005-0000-0000-000091080000}"/>
    <cellStyle name="s_Matrix_B_Actualisation provision contrat déficitaire SNCM 2011 V3 30 05 2011_PAO-CAF-RESOP_10_12_Bridge_Zone_Sud" xfId="2139" xr:uid="{00000000-0005-0000-0000-000092080000}"/>
    <cellStyle name="s_Matrix_B_Actualisation provision contrat déficitaire SNCM 2011 V3 30 05 2011_PAO-CAF-RESOP_10_12_focus par entités CAFOP" xfId="2140" xr:uid="{00000000-0005-0000-0000-000093080000}"/>
    <cellStyle name="s_Matrix_B_Actualisation provision contrat déficitaire SNCM 2011 V3 30 05 2011_PAO-CAF-RESOP_10_12_focus par entités CAFOP_Bridge_Zone_Sud" xfId="2141" xr:uid="{00000000-0005-0000-0000-000094080000}"/>
    <cellStyle name="s_Matrix_B_Actualisation provision contrat déficitaire SNCM 2011 V3 30 05 2011_PAO-CAF-RESOP_11_13" xfId="2142" xr:uid="{00000000-0005-0000-0000-000095080000}"/>
    <cellStyle name="s_Matrix_B_Actualisation provision contrat déficitaire SNCM 2011 V3 30 05 2011_PAO-CAF-RESOP_B13" xfId="2143" xr:uid="{00000000-0005-0000-0000-000096080000}"/>
    <cellStyle name="s_Matrix_B_Actualisation provision contrat déficitaire SNCM 2011 V3 30 05 2011_PAO-CAF-RESOP_B13_Bridge_Zone_Sud" xfId="2144" xr:uid="{00000000-0005-0000-0000-000097080000}"/>
    <cellStyle name="s_Matrix_B_Actualisation provision contrat déficitaire SNCM 2011 V3 30 05 2011_PAO-CAF-RESOP_B13_focus par entités CAFOP" xfId="2145" xr:uid="{00000000-0005-0000-0000-000098080000}"/>
    <cellStyle name="s_Matrix_B_Actualisation provision contrat déficitaire SNCM 2011 V3 30 05 2011_PAO-CAF-RESOP_B13_focus par entités CAFOP_Bridge_Zone_Sud" xfId="2146" xr:uid="{00000000-0005-0000-0000-000099080000}"/>
    <cellStyle name="s_Matrix_B_Actualisation provision contrat déficitaire SNCM 2011 V3 30 05 2011_PAO-CAF-RESOP_B2014" xfId="2147" xr:uid="{00000000-0005-0000-0000-00009A080000}"/>
    <cellStyle name="s_Matrix_B_Actualisation provision contrat déficitaire SNCM 2011 V3 30 05 2011_PAO-CAF-RESOP_B2014_Bridge_Zone_Sud" xfId="2148" xr:uid="{00000000-0005-0000-0000-00009B080000}"/>
    <cellStyle name="s_Matrix_B_Actualisation provision contrat déficitaire SNCM 2011 V3 30 05 2011_PAO-CAF-RESOP_B2014_v2" xfId="2149" xr:uid="{00000000-0005-0000-0000-00009C080000}"/>
    <cellStyle name="s_Matrix_B_Actualisation provision contrat déficitaire SNCM 2011 V3 30 05 2011_PAO-CAF-RESOP_E2_13" xfId="2150" xr:uid="{00000000-0005-0000-0000-00009D080000}"/>
    <cellStyle name="s_Matrix_B_Actualisation provision contrat déficitaire SNCM 2011 V3 30 05 2011_PAO-CAF-RESOP_E2_13_B14_E2_2210" xfId="2151" xr:uid="{00000000-0005-0000-0000-00009E080000}"/>
    <cellStyle name="s_Matrix_B_Actualisation provision contrat déficitaire SNCM 2011 V3 30 05 2011_PAO-CAF-RESOP_E2_13_B14_E2_2210_Bridge_Zone_Sud" xfId="2152" xr:uid="{00000000-0005-0000-0000-00009F080000}"/>
    <cellStyle name="s_Matrix_B_Actualisation provision contrat déficitaire SNCM 2011 V3 30 05 2011_PAO-CAF-RESOP_E2_13_Bridge_Zone_Sud" xfId="2153" xr:uid="{00000000-0005-0000-0000-0000A0080000}"/>
    <cellStyle name="s_Matrix_B_Actualisation provision contrat déficitaire SNCM 2011 V3 30 05 2011_PAO-CAF-RESOP_E2_2013_03_10_19H" xfId="2154" xr:uid="{00000000-0005-0000-0000-0000A1080000}"/>
    <cellStyle name="s_Matrix_B_Actualisation provision contrat déficitaire SNCM 2011 V3 30 05 2011_PAO-CAF-RESOP_E2_2013_03_10_19H_Bridge_Zone_Sud" xfId="2155" xr:uid="{00000000-0005-0000-0000-0000A2080000}"/>
    <cellStyle name="s_Matrix_B_Actualisation provision contrat déficitaire SNCM 2011 V3 30 05 2011_PPA" xfId="2156" xr:uid="{00000000-0005-0000-0000-0000A3080000}"/>
    <cellStyle name="s_Matrix_B_Actualisation provision contrat déficitaire SNCM 2011 V3 30 05 2011_RESOP bef CICE&amp;PPA&amp;RepartHO" xfId="2157" xr:uid="{00000000-0005-0000-0000-0000A4080000}"/>
    <cellStyle name="s_Matrix_B_Actualisation provision contrat déficitaire SNCM 2011 V3 30 05 2011_Synthèse_Présentation_conso_retraitée" xfId="2158" xr:uid="{00000000-0005-0000-0000-0000A5080000}"/>
    <cellStyle name="s_Matrix_B_B14_E2_2210" xfId="2159" xr:uid="{00000000-0005-0000-0000-0000A6080000}"/>
    <cellStyle name="s_Matrix_B_B14_E2_2210_Bridge_Zone_Sud" xfId="2160" xr:uid="{00000000-0005-0000-0000-0000A7080000}"/>
    <cellStyle name="s_Matrix_B_BFR_TD_2014.02" xfId="2161" xr:uid="{00000000-0005-0000-0000-0000A8080000}"/>
    <cellStyle name="s_Matrix_B_Bridge_Zone_Nord" xfId="2162" xr:uid="{00000000-0005-0000-0000-0000A9080000}"/>
    <cellStyle name="s_Matrix_B_CAPEM BY COUNTRY" xfId="2163" xr:uid="{00000000-0005-0000-0000-0000AA080000}"/>
    <cellStyle name="s_Matrix_B_LI819L_B13" xfId="2164" xr:uid="{00000000-0005-0000-0000-0000AB080000}"/>
    <cellStyle name="s_Matrix_B_LI819L_B13_CAPEM BY COUNTRY" xfId="2165" xr:uid="{00000000-0005-0000-0000-0000AC080000}"/>
    <cellStyle name="s_Matrix_B_LI819L_B13_Maquette PLT" xfId="2166" xr:uid="{00000000-0005-0000-0000-0000AD080000}"/>
    <cellStyle name="s_Matrix_B_LI819L_B13_Output" xfId="3414" xr:uid="{00000000-0005-0000-0000-0000AE080000}"/>
    <cellStyle name="s_Matrix_B_LI819L_B13_PPA" xfId="2167" xr:uid="{00000000-0005-0000-0000-0000AF080000}"/>
    <cellStyle name="s_Matrix_B_LI819L_B13_RESOP bef CICE&amp;PPA&amp;RepartHO" xfId="2168" xr:uid="{00000000-0005-0000-0000-0000B0080000}"/>
    <cellStyle name="s_Matrix_B_Maquette PLT" xfId="2169" xr:uid="{00000000-0005-0000-0000-0000B1080000}"/>
    <cellStyle name="s_Matrix_B_Output" xfId="3411" xr:uid="{00000000-0005-0000-0000-0000B2080000}"/>
    <cellStyle name="s_Matrix_B_PAO-CAF-RESOP_14_01_13 à 20h" xfId="2170" xr:uid="{00000000-0005-0000-0000-0000B3080000}"/>
    <cellStyle name="s_Matrix_B_PAO-CAF-RESOP_14_01_13 à 20h_CAPEM BY COUNTRY" xfId="2171" xr:uid="{00000000-0005-0000-0000-0000B4080000}"/>
    <cellStyle name="s_Matrix_B_PAO-CAF-RESOP_14_01_13 à 20h_Maquette PLT" xfId="2172" xr:uid="{00000000-0005-0000-0000-0000B5080000}"/>
    <cellStyle name="s_Matrix_B_PAO-CAF-RESOP_14_01_13 à 20h_Output" xfId="3415" xr:uid="{00000000-0005-0000-0000-0000B6080000}"/>
    <cellStyle name="s_Matrix_B_PAO-CAF-RESOP_14_01_13 à 20h_PPA" xfId="2173" xr:uid="{00000000-0005-0000-0000-0000B7080000}"/>
    <cellStyle name="s_Matrix_B_PAO-CAF-RESOP_14_01_13 à 20h_RESOP bef CICE&amp;PPA&amp;RepartHO" xfId="2174" xr:uid="{00000000-0005-0000-0000-0000B8080000}"/>
    <cellStyle name="s_Matrix_B_PAO-CAF-RESOP_2014.02" xfId="2175" xr:uid="{00000000-0005-0000-0000-0000B9080000}"/>
    <cellStyle name="s_Matrix_B_PAO-CAF-RESOP_2014.02_Bridge_Zone_Sud" xfId="2176" xr:uid="{00000000-0005-0000-0000-0000BA080000}"/>
    <cellStyle name="s_Matrix_B_PPA" xfId="2177" xr:uid="{00000000-0005-0000-0000-0000BB080000}"/>
    <cellStyle name="s_Matrix_B_RESOP bef CICE&amp;PPA&amp;RepartHO" xfId="2178" xr:uid="{00000000-0005-0000-0000-0000BC080000}"/>
    <cellStyle name="s_Matrix_T" xfId="2179" xr:uid="{00000000-0005-0000-0000-0000BD080000}"/>
    <cellStyle name="s_Matrix_T_Actualisation provision contrat déficitaire SNCM 2010 V Def" xfId="2180" xr:uid="{00000000-0005-0000-0000-0000BE080000}"/>
    <cellStyle name="s_Matrix_T_Actualisation provision contrat déficitaire SNCM 2010 V Def_B14_E2_2210" xfId="2181" xr:uid="{00000000-0005-0000-0000-0000BF080000}"/>
    <cellStyle name="s_Matrix_T_Actualisation provision contrat déficitaire SNCM 2010 V Def_B14_E2_2210_Bridge_Zone_Sud" xfId="2182" xr:uid="{00000000-0005-0000-0000-0000C0080000}"/>
    <cellStyle name="s_Matrix_T_Actualisation provision contrat déficitaire SNCM 2010 V Def_Bridge_Zone_Sud" xfId="2183" xr:uid="{00000000-0005-0000-0000-0000C1080000}"/>
    <cellStyle name="s_Matrix_T_Actualisation provision contrat déficitaire SNCM 2010 V Def_CAPEM BY COUNTRY" xfId="2184" xr:uid="{00000000-0005-0000-0000-0000C2080000}"/>
    <cellStyle name="s_Matrix_T_Actualisation provision contrat déficitaire SNCM 2010 V Def_focus par entités CAFOPE2AMF" xfId="2185" xr:uid="{00000000-0005-0000-0000-0000C3080000}"/>
    <cellStyle name="s_Matrix_T_Actualisation provision contrat déficitaire SNCM 2010 V Def_focus par entités CAFOPE2AMF_Bridge_Zone_Sud" xfId="2186" xr:uid="{00000000-0005-0000-0000-0000C4080000}"/>
    <cellStyle name="s_Matrix_T_Actualisation provision contrat déficitaire SNCM 2010 V Def_Maquette PLT" xfId="2187" xr:uid="{00000000-0005-0000-0000-0000C5080000}"/>
    <cellStyle name="s_Matrix_T_Actualisation provision contrat déficitaire SNCM 2010 V Def_Output" xfId="3417" xr:uid="{00000000-0005-0000-0000-0000C6080000}"/>
    <cellStyle name="s_Matrix_T_Actualisation provision contrat déficitaire SNCM 2010 V Def_PAO-CAF-RESOP_04_13_pro_format_variante T1" xfId="2188" xr:uid="{00000000-0005-0000-0000-0000C7080000}"/>
    <cellStyle name="s_Matrix_T_Actualisation provision contrat déficitaire SNCM 2010 V Def_PAO-CAF-RESOP_04_13_pro_format_variante T1_B14_E2_2210" xfId="2189" xr:uid="{00000000-0005-0000-0000-0000C8080000}"/>
    <cellStyle name="s_Matrix_T_Actualisation provision contrat déficitaire SNCM 2010 V Def_PAO-CAF-RESOP_04_13_pro_format_variante T1_B14_E2_2210_Bridge_Zone_Sud" xfId="2190" xr:uid="{00000000-0005-0000-0000-0000C9080000}"/>
    <cellStyle name="s_Matrix_T_Actualisation provision contrat déficitaire SNCM 2010 V Def_PAO-CAF-RESOP_04_13_pro_format_variante T1_Bridge_Zone_Sud" xfId="2191" xr:uid="{00000000-0005-0000-0000-0000CA080000}"/>
    <cellStyle name="s_Matrix_T_Actualisation provision contrat déficitaire SNCM 2010 V Def_PAO-CAF-RESOP_06_13" xfId="2192" xr:uid="{00000000-0005-0000-0000-0000CB080000}"/>
    <cellStyle name="s_Matrix_T_Actualisation provision contrat déficitaire SNCM 2010 V Def_PAO-CAF-RESOP_06_13_B14_E2_2210" xfId="2193" xr:uid="{00000000-0005-0000-0000-0000CC080000}"/>
    <cellStyle name="s_Matrix_T_Actualisation provision contrat déficitaire SNCM 2010 V Def_PAO-CAF-RESOP_06_13_B14_E2_2210_Bridge_Zone_Sud" xfId="2194" xr:uid="{00000000-0005-0000-0000-0000CD080000}"/>
    <cellStyle name="s_Matrix_T_Actualisation provision contrat déficitaire SNCM 2010 V Def_PAO-CAF-RESOP_06_13_Bridge_Zone_Sud" xfId="2195" xr:uid="{00000000-0005-0000-0000-0000CE080000}"/>
    <cellStyle name="s_Matrix_T_Actualisation provision contrat déficitaire SNCM 2010 V Def_PAO-CAF-RESOP_08_13" xfId="2196" xr:uid="{00000000-0005-0000-0000-0000CF080000}"/>
    <cellStyle name="s_Matrix_T_Actualisation provision contrat déficitaire SNCM 2010 V Def_PAO-CAF-RESOP_08_13_B14_E2_2210" xfId="2197" xr:uid="{00000000-0005-0000-0000-0000D0080000}"/>
    <cellStyle name="s_Matrix_T_Actualisation provision contrat déficitaire SNCM 2010 V Def_PAO-CAF-RESOP_08_13_B14_E2_2210_Bridge_Zone_Sud" xfId="2198" xr:uid="{00000000-0005-0000-0000-0000D1080000}"/>
    <cellStyle name="s_Matrix_T_Actualisation provision contrat déficitaire SNCM 2010 V Def_PAO-CAF-RESOP_08_13_Bridge_Zone_Sud" xfId="2199" xr:uid="{00000000-0005-0000-0000-0000D2080000}"/>
    <cellStyle name="s_Matrix_T_Actualisation provision contrat déficitaire SNCM 2010 V Def_PAO-CAF-RESOP_09_13" xfId="2200" xr:uid="{00000000-0005-0000-0000-0000D3080000}"/>
    <cellStyle name="s_Matrix_T_Actualisation provision contrat déficitaire SNCM 2010 V Def_PAO-CAF-RESOP_09_13_Bridge_Zone_Sud" xfId="2201" xr:uid="{00000000-0005-0000-0000-0000D4080000}"/>
    <cellStyle name="s_Matrix_T_Actualisation provision contrat déficitaire SNCM 2010 V Def_PAO-CAF-RESOP_09_2013_Zone_IDF (version 2)" xfId="2202" xr:uid="{00000000-0005-0000-0000-0000D5080000}"/>
    <cellStyle name="s_Matrix_T_Actualisation provision contrat déficitaire SNCM 2010 V Def_PAO-CAF-RESOP_10_12" xfId="2203" xr:uid="{00000000-0005-0000-0000-0000D6080000}"/>
    <cellStyle name="s_Matrix_T_Actualisation provision contrat déficitaire SNCM 2010 V Def_PAO-CAF-RESOP_10_12_Bridge_Zone_Sud" xfId="2204" xr:uid="{00000000-0005-0000-0000-0000D7080000}"/>
    <cellStyle name="s_Matrix_T_Actualisation provision contrat déficitaire SNCM 2010 V Def_PAO-CAF-RESOP_10_12_focus par entités CAFOP" xfId="2205" xr:uid="{00000000-0005-0000-0000-0000D8080000}"/>
    <cellStyle name="s_Matrix_T_Actualisation provision contrat déficitaire SNCM 2010 V Def_PAO-CAF-RESOP_10_12_focus par entités CAFOP_Bridge_Zone_Sud" xfId="2206" xr:uid="{00000000-0005-0000-0000-0000D9080000}"/>
    <cellStyle name="s_Matrix_T_Actualisation provision contrat déficitaire SNCM 2010 V Def_PAO-CAF-RESOP_11_13" xfId="2207" xr:uid="{00000000-0005-0000-0000-0000DA080000}"/>
    <cellStyle name="s_Matrix_T_Actualisation provision contrat déficitaire SNCM 2010 V Def_PAO-CAF-RESOP_B13" xfId="2208" xr:uid="{00000000-0005-0000-0000-0000DB080000}"/>
    <cellStyle name="s_Matrix_T_Actualisation provision contrat déficitaire SNCM 2010 V Def_PAO-CAF-RESOP_B13_Bridge_Zone_Sud" xfId="2209" xr:uid="{00000000-0005-0000-0000-0000DC080000}"/>
    <cellStyle name="s_Matrix_T_Actualisation provision contrat déficitaire SNCM 2010 V Def_PAO-CAF-RESOP_B13_focus par entités CAFOP" xfId="2210" xr:uid="{00000000-0005-0000-0000-0000DD080000}"/>
    <cellStyle name="s_Matrix_T_Actualisation provision contrat déficitaire SNCM 2010 V Def_PAO-CAF-RESOP_B13_focus par entités CAFOP_Bridge_Zone_Sud" xfId="2211" xr:uid="{00000000-0005-0000-0000-0000DE080000}"/>
    <cellStyle name="s_Matrix_T_Actualisation provision contrat déficitaire SNCM 2010 V Def_PAO-CAF-RESOP_B2014" xfId="2212" xr:uid="{00000000-0005-0000-0000-0000DF080000}"/>
    <cellStyle name="s_Matrix_T_Actualisation provision contrat déficitaire SNCM 2010 V Def_PAO-CAF-RESOP_B2014_Bridge_Zone_Sud" xfId="2213" xr:uid="{00000000-0005-0000-0000-0000E0080000}"/>
    <cellStyle name="s_Matrix_T_Actualisation provision contrat déficitaire SNCM 2010 V Def_PAO-CAF-RESOP_B2014_v2" xfId="2214" xr:uid="{00000000-0005-0000-0000-0000E1080000}"/>
    <cellStyle name="s_Matrix_T_Actualisation provision contrat déficitaire SNCM 2010 V Def_PAO-CAF-RESOP_E2_13" xfId="2215" xr:uid="{00000000-0005-0000-0000-0000E2080000}"/>
    <cellStyle name="s_Matrix_T_Actualisation provision contrat déficitaire SNCM 2010 V Def_PAO-CAF-RESOP_E2_13_B14_E2_2210" xfId="2216" xr:uid="{00000000-0005-0000-0000-0000E3080000}"/>
    <cellStyle name="s_Matrix_T_Actualisation provision contrat déficitaire SNCM 2010 V Def_PAO-CAF-RESOP_E2_13_B14_E2_2210_Bridge_Zone_Sud" xfId="2217" xr:uid="{00000000-0005-0000-0000-0000E4080000}"/>
    <cellStyle name="s_Matrix_T_Actualisation provision contrat déficitaire SNCM 2010 V Def_PAO-CAF-RESOP_E2_13_Bridge_Zone_Sud" xfId="2218" xr:uid="{00000000-0005-0000-0000-0000E5080000}"/>
    <cellStyle name="s_Matrix_T_Actualisation provision contrat déficitaire SNCM 2010 V Def_PAO-CAF-RESOP_E2_2013_03_10_19H" xfId="2219" xr:uid="{00000000-0005-0000-0000-0000E6080000}"/>
    <cellStyle name="s_Matrix_T_Actualisation provision contrat déficitaire SNCM 2010 V Def_PAO-CAF-RESOP_E2_2013_03_10_19H_Bridge_Zone_Sud" xfId="2220" xr:uid="{00000000-0005-0000-0000-0000E7080000}"/>
    <cellStyle name="s_Matrix_T_Actualisation provision contrat déficitaire SNCM 2010 V Def_PPA" xfId="2221" xr:uid="{00000000-0005-0000-0000-0000E8080000}"/>
    <cellStyle name="s_Matrix_T_Actualisation provision contrat déficitaire SNCM 2010 V Def_RESOP bef CICE&amp;PPA&amp;RepartHO" xfId="2222" xr:uid="{00000000-0005-0000-0000-0000E9080000}"/>
    <cellStyle name="s_Matrix_T_Actualisation provision contrat déficitaire SNCM 2010 V Def_Synthèse_Présentation_conso_retraitée" xfId="2223" xr:uid="{00000000-0005-0000-0000-0000EA080000}"/>
    <cellStyle name="s_Matrix_T_Actualisation provision contrat déficitaire SNCM 2011 V3 30 05 2011" xfId="2224" xr:uid="{00000000-0005-0000-0000-0000EB080000}"/>
    <cellStyle name="s_Matrix_T_Actualisation provision contrat déficitaire SNCM 2011 V3 30 05 2011_B14_E2_2210" xfId="2225" xr:uid="{00000000-0005-0000-0000-0000EC080000}"/>
    <cellStyle name="s_Matrix_T_Actualisation provision contrat déficitaire SNCM 2011 V3 30 05 2011_B14_E2_2210_Bridge_Zone_Sud" xfId="2226" xr:uid="{00000000-0005-0000-0000-0000ED080000}"/>
    <cellStyle name="s_Matrix_T_Actualisation provision contrat déficitaire SNCM 2011 V3 30 05 2011_Bridge_Zone_Sud" xfId="2227" xr:uid="{00000000-0005-0000-0000-0000EE080000}"/>
    <cellStyle name="s_Matrix_T_Actualisation provision contrat déficitaire SNCM 2011 V3 30 05 2011_CAPEM BY COUNTRY" xfId="2228" xr:uid="{00000000-0005-0000-0000-0000EF080000}"/>
    <cellStyle name="s_Matrix_T_Actualisation provision contrat déficitaire SNCM 2011 V3 30 05 2011_focus par entités CAFOPE2AMF" xfId="2229" xr:uid="{00000000-0005-0000-0000-0000F0080000}"/>
    <cellStyle name="s_Matrix_T_Actualisation provision contrat déficitaire SNCM 2011 V3 30 05 2011_focus par entités CAFOPE2AMF_Bridge_Zone_Sud" xfId="2230" xr:uid="{00000000-0005-0000-0000-0000F1080000}"/>
    <cellStyle name="s_Matrix_T_Actualisation provision contrat déficitaire SNCM 2011 V3 30 05 2011_Maquette PLT" xfId="2231" xr:uid="{00000000-0005-0000-0000-0000F2080000}"/>
    <cellStyle name="s_Matrix_T_Actualisation provision contrat déficitaire SNCM 2011 V3 30 05 2011_Output" xfId="3418" xr:uid="{00000000-0005-0000-0000-0000F3080000}"/>
    <cellStyle name="s_Matrix_T_Actualisation provision contrat déficitaire SNCM 2011 V3 30 05 2011_PAO-CAF-RESOP_04_13_pro_format_variante T1" xfId="2232" xr:uid="{00000000-0005-0000-0000-0000F4080000}"/>
    <cellStyle name="s_Matrix_T_Actualisation provision contrat déficitaire SNCM 2011 V3 30 05 2011_PAO-CAF-RESOP_04_13_pro_format_variante T1_B14_E2_2210" xfId="2233" xr:uid="{00000000-0005-0000-0000-0000F5080000}"/>
    <cellStyle name="s_Matrix_T_Actualisation provision contrat déficitaire SNCM 2011 V3 30 05 2011_PAO-CAF-RESOP_04_13_pro_format_variante T1_B14_E2_2210_Bridge_Zone_Sud" xfId="2234" xr:uid="{00000000-0005-0000-0000-0000F6080000}"/>
    <cellStyle name="s_Matrix_T_Actualisation provision contrat déficitaire SNCM 2011 V3 30 05 2011_PAO-CAF-RESOP_04_13_pro_format_variante T1_Bridge_Zone_Sud" xfId="2235" xr:uid="{00000000-0005-0000-0000-0000F7080000}"/>
    <cellStyle name="s_Matrix_T_Actualisation provision contrat déficitaire SNCM 2011 V3 30 05 2011_PAO-CAF-RESOP_06_13" xfId="2236" xr:uid="{00000000-0005-0000-0000-0000F8080000}"/>
    <cellStyle name="s_Matrix_T_Actualisation provision contrat déficitaire SNCM 2011 V3 30 05 2011_PAO-CAF-RESOP_06_13_B14_E2_2210" xfId="2237" xr:uid="{00000000-0005-0000-0000-0000F9080000}"/>
    <cellStyle name="s_Matrix_T_Actualisation provision contrat déficitaire SNCM 2011 V3 30 05 2011_PAO-CAF-RESOP_06_13_B14_E2_2210_Bridge_Zone_Sud" xfId="2238" xr:uid="{00000000-0005-0000-0000-0000FA080000}"/>
    <cellStyle name="s_Matrix_T_Actualisation provision contrat déficitaire SNCM 2011 V3 30 05 2011_PAO-CAF-RESOP_06_13_Bridge_Zone_Sud" xfId="2239" xr:uid="{00000000-0005-0000-0000-0000FB080000}"/>
    <cellStyle name="s_Matrix_T_Actualisation provision contrat déficitaire SNCM 2011 V3 30 05 2011_PAO-CAF-RESOP_08_13" xfId="2240" xr:uid="{00000000-0005-0000-0000-0000FC080000}"/>
    <cellStyle name="s_Matrix_T_Actualisation provision contrat déficitaire SNCM 2011 V3 30 05 2011_PAO-CAF-RESOP_08_13_B14_E2_2210" xfId="2241" xr:uid="{00000000-0005-0000-0000-0000FD080000}"/>
    <cellStyle name="s_Matrix_T_Actualisation provision contrat déficitaire SNCM 2011 V3 30 05 2011_PAO-CAF-RESOP_08_13_B14_E2_2210_Bridge_Zone_Sud" xfId="2242" xr:uid="{00000000-0005-0000-0000-0000FE080000}"/>
    <cellStyle name="s_Matrix_T_Actualisation provision contrat déficitaire SNCM 2011 V3 30 05 2011_PAO-CAF-RESOP_08_13_Bridge_Zone_Sud" xfId="2243" xr:uid="{00000000-0005-0000-0000-0000FF080000}"/>
    <cellStyle name="s_Matrix_T_Actualisation provision contrat déficitaire SNCM 2011 V3 30 05 2011_PAO-CAF-RESOP_09_13" xfId="2244" xr:uid="{00000000-0005-0000-0000-000000090000}"/>
    <cellStyle name="s_Matrix_T_Actualisation provision contrat déficitaire SNCM 2011 V3 30 05 2011_PAO-CAF-RESOP_09_13_Bridge_Zone_Sud" xfId="2245" xr:uid="{00000000-0005-0000-0000-000001090000}"/>
    <cellStyle name="s_Matrix_T_Actualisation provision contrat déficitaire SNCM 2011 V3 30 05 2011_PAO-CAF-RESOP_09_2013_Zone_IDF (version 2)" xfId="2246" xr:uid="{00000000-0005-0000-0000-000002090000}"/>
    <cellStyle name="s_Matrix_T_Actualisation provision contrat déficitaire SNCM 2011 V3 30 05 2011_PAO-CAF-RESOP_10_12" xfId="2247" xr:uid="{00000000-0005-0000-0000-000003090000}"/>
    <cellStyle name="s_Matrix_T_Actualisation provision contrat déficitaire SNCM 2011 V3 30 05 2011_PAO-CAF-RESOP_10_12_Bridge_Zone_Sud" xfId="2248" xr:uid="{00000000-0005-0000-0000-000004090000}"/>
    <cellStyle name="s_Matrix_T_Actualisation provision contrat déficitaire SNCM 2011 V3 30 05 2011_PAO-CAF-RESOP_10_12_focus par entités CAFOP" xfId="2249" xr:uid="{00000000-0005-0000-0000-000005090000}"/>
    <cellStyle name="s_Matrix_T_Actualisation provision contrat déficitaire SNCM 2011 V3 30 05 2011_PAO-CAF-RESOP_10_12_focus par entités CAFOP_Bridge_Zone_Sud" xfId="2250" xr:uid="{00000000-0005-0000-0000-000006090000}"/>
    <cellStyle name="s_Matrix_T_Actualisation provision contrat déficitaire SNCM 2011 V3 30 05 2011_PAO-CAF-RESOP_11_13" xfId="2251" xr:uid="{00000000-0005-0000-0000-000007090000}"/>
    <cellStyle name="s_Matrix_T_Actualisation provision contrat déficitaire SNCM 2011 V3 30 05 2011_PAO-CAF-RESOP_B13" xfId="2252" xr:uid="{00000000-0005-0000-0000-000008090000}"/>
    <cellStyle name="s_Matrix_T_Actualisation provision contrat déficitaire SNCM 2011 V3 30 05 2011_PAO-CAF-RESOP_B13_Bridge_Zone_Sud" xfId="2253" xr:uid="{00000000-0005-0000-0000-000009090000}"/>
    <cellStyle name="s_Matrix_T_Actualisation provision contrat déficitaire SNCM 2011 V3 30 05 2011_PAO-CAF-RESOP_B13_focus par entités CAFOP" xfId="2254" xr:uid="{00000000-0005-0000-0000-00000A090000}"/>
    <cellStyle name="s_Matrix_T_Actualisation provision contrat déficitaire SNCM 2011 V3 30 05 2011_PAO-CAF-RESOP_B13_focus par entités CAFOP_Bridge_Zone_Sud" xfId="2255" xr:uid="{00000000-0005-0000-0000-00000B090000}"/>
    <cellStyle name="s_Matrix_T_Actualisation provision contrat déficitaire SNCM 2011 V3 30 05 2011_PAO-CAF-RESOP_B2014" xfId="2256" xr:uid="{00000000-0005-0000-0000-00000C090000}"/>
    <cellStyle name="s_Matrix_T_Actualisation provision contrat déficitaire SNCM 2011 V3 30 05 2011_PAO-CAF-RESOP_B2014_Bridge_Zone_Sud" xfId="2257" xr:uid="{00000000-0005-0000-0000-00000D090000}"/>
    <cellStyle name="s_Matrix_T_Actualisation provision contrat déficitaire SNCM 2011 V3 30 05 2011_PAO-CAF-RESOP_B2014_v2" xfId="2258" xr:uid="{00000000-0005-0000-0000-00000E090000}"/>
    <cellStyle name="s_Matrix_T_Actualisation provision contrat déficitaire SNCM 2011 V3 30 05 2011_PAO-CAF-RESOP_E2_13" xfId="2259" xr:uid="{00000000-0005-0000-0000-00000F090000}"/>
    <cellStyle name="s_Matrix_T_Actualisation provision contrat déficitaire SNCM 2011 V3 30 05 2011_PAO-CAF-RESOP_E2_13_B14_E2_2210" xfId="2260" xr:uid="{00000000-0005-0000-0000-000010090000}"/>
    <cellStyle name="s_Matrix_T_Actualisation provision contrat déficitaire SNCM 2011 V3 30 05 2011_PAO-CAF-RESOP_E2_13_B14_E2_2210_Bridge_Zone_Sud" xfId="2261" xr:uid="{00000000-0005-0000-0000-000011090000}"/>
    <cellStyle name="s_Matrix_T_Actualisation provision contrat déficitaire SNCM 2011 V3 30 05 2011_PAO-CAF-RESOP_E2_13_Bridge_Zone_Sud" xfId="2262" xr:uid="{00000000-0005-0000-0000-000012090000}"/>
    <cellStyle name="s_Matrix_T_Actualisation provision contrat déficitaire SNCM 2011 V3 30 05 2011_PAO-CAF-RESOP_E2_2013_03_10_19H" xfId="2263" xr:uid="{00000000-0005-0000-0000-000013090000}"/>
    <cellStyle name="s_Matrix_T_Actualisation provision contrat déficitaire SNCM 2011 V3 30 05 2011_PAO-CAF-RESOP_E2_2013_03_10_19H_Bridge_Zone_Sud" xfId="2264" xr:uid="{00000000-0005-0000-0000-000014090000}"/>
    <cellStyle name="s_Matrix_T_Actualisation provision contrat déficitaire SNCM 2011 V3 30 05 2011_PPA" xfId="2265" xr:uid="{00000000-0005-0000-0000-000015090000}"/>
    <cellStyle name="s_Matrix_T_Actualisation provision contrat déficitaire SNCM 2011 V3 30 05 2011_RESOP bef CICE&amp;PPA&amp;RepartHO" xfId="2266" xr:uid="{00000000-0005-0000-0000-000016090000}"/>
    <cellStyle name="s_Matrix_T_Actualisation provision contrat déficitaire SNCM 2011 V3 30 05 2011_Synthèse_Présentation_conso_retraitée" xfId="2267" xr:uid="{00000000-0005-0000-0000-000017090000}"/>
    <cellStyle name="s_Matrix_T_B14_E2_2210" xfId="2268" xr:uid="{00000000-0005-0000-0000-000018090000}"/>
    <cellStyle name="s_Matrix_T_B14_E2_2210_Bridge_Zone_Sud" xfId="2269" xr:uid="{00000000-0005-0000-0000-000019090000}"/>
    <cellStyle name="s_Matrix_T_BFR_TD_2014.02" xfId="2270" xr:uid="{00000000-0005-0000-0000-00001A090000}"/>
    <cellStyle name="s_Matrix_T_Bridge_Zone_Nord" xfId="2271" xr:uid="{00000000-0005-0000-0000-00001B090000}"/>
    <cellStyle name="s_Matrix_T_CAPEM BY COUNTRY" xfId="2272" xr:uid="{00000000-0005-0000-0000-00001C090000}"/>
    <cellStyle name="s_Matrix_T_LI819L_B13" xfId="2273" xr:uid="{00000000-0005-0000-0000-00001D090000}"/>
    <cellStyle name="s_Matrix_T_LI819L_B13_CAPEM BY COUNTRY" xfId="2274" xr:uid="{00000000-0005-0000-0000-00001E090000}"/>
    <cellStyle name="s_Matrix_T_LI819L_B13_Maquette PLT" xfId="2275" xr:uid="{00000000-0005-0000-0000-00001F090000}"/>
    <cellStyle name="s_Matrix_T_LI819L_B13_Output" xfId="3419" xr:uid="{00000000-0005-0000-0000-000020090000}"/>
    <cellStyle name="s_Matrix_T_LI819L_B13_PPA" xfId="2276" xr:uid="{00000000-0005-0000-0000-000021090000}"/>
    <cellStyle name="s_Matrix_T_LI819L_B13_RESOP bef CICE&amp;PPA&amp;RepartHO" xfId="2277" xr:uid="{00000000-0005-0000-0000-000022090000}"/>
    <cellStyle name="s_Matrix_T_Maquette PLT" xfId="2278" xr:uid="{00000000-0005-0000-0000-000023090000}"/>
    <cellStyle name="s_Matrix_T_Output" xfId="3416" xr:uid="{00000000-0005-0000-0000-000024090000}"/>
    <cellStyle name="s_Matrix_T_PAO-CAF-RESOP_14_01_13 à 20h" xfId="2279" xr:uid="{00000000-0005-0000-0000-000025090000}"/>
    <cellStyle name="s_Matrix_T_PAO-CAF-RESOP_14_01_13 à 20h_CAPEM BY COUNTRY" xfId="2280" xr:uid="{00000000-0005-0000-0000-000026090000}"/>
    <cellStyle name="s_Matrix_T_PAO-CAF-RESOP_14_01_13 à 20h_Maquette PLT" xfId="2281" xr:uid="{00000000-0005-0000-0000-000027090000}"/>
    <cellStyle name="s_Matrix_T_PAO-CAF-RESOP_14_01_13 à 20h_Output" xfId="3420" xr:uid="{00000000-0005-0000-0000-000028090000}"/>
    <cellStyle name="s_Matrix_T_PAO-CAF-RESOP_14_01_13 à 20h_PPA" xfId="2282" xr:uid="{00000000-0005-0000-0000-000029090000}"/>
    <cellStyle name="s_Matrix_T_PAO-CAF-RESOP_14_01_13 à 20h_RESOP bef CICE&amp;PPA&amp;RepartHO" xfId="2283" xr:uid="{00000000-0005-0000-0000-00002A090000}"/>
    <cellStyle name="s_Matrix_T_PAO-CAF-RESOP_2014.02" xfId="2284" xr:uid="{00000000-0005-0000-0000-00002B090000}"/>
    <cellStyle name="s_Matrix_T_PAO-CAF-RESOP_2014.02_Bridge_Zone_Sud" xfId="2285" xr:uid="{00000000-0005-0000-0000-00002C090000}"/>
    <cellStyle name="s_Matrix_T_PPA" xfId="2286" xr:uid="{00000000-0005-0000-0000-00002D090000}"/>
    <cellStyle name="s_Matrix_T_RESOP bef CICE&amp;PPA&amp;RepartHO" xfId="2287" xr:uid="{00000000-0005-0000-0000-00002E090000}"/>
    <cellStyle name="s_Merger" xfId="2288" xr:uid="{00000000-0005-0000-0000-00002F090000}"/>
    <cellStyle name="s_Merger_Actualisation provision contrat déficitaire SNCM 2010 V Def" xfId="2289" xr:uid="{00000000-0005-0000-0000-000030090000}"/>
    <cellStyle name="s_Merger_Actualisation provision contrat déficitaire SNCM 2010 V Def_B14_E2_2210" xfId="2290" xr:uid="{00000000-0005-0000-0000-000031090000}"/>
    <cellStyle name="s_Merger_Actualisation provision contrat déficitaire SNCM 2010 V Def_B14_E2_2210_Bridge_Zone_Sud" xfId="2291" xr:uid="{00000000-0005-0000-0000-000032090000}"/>
    <cellStyle name="s_Merger_Actualisation provision contrat déficitaire SNCM 2010 V Def_Bridge_Zone_Sud" xfId="2292" xr:uid="{00000000-0005-0000-0000-000033090000}"/>
    <cellStyle name="s_Merger_Actualisation provision contrat déficitaire SNCM 2010 V Def_CAPEM BY COUNTRY" xfId="2293" xr:uid="{00000000-0005-0000-0000-000034090000}"/>
    <cellStyle name="s_Merger_Actualisation provision contrat déficitaire SNCM 2010 V Def_focus par entités CAFOPE2AMF" xfId="2294" xr:uid="{00000000-0005-0000-0000-000035090000}"/>
    <cellStyle name="s_Merger_Actualisation provision contrat déficitaire SNCM 2010 V Def_focus par entités CAFOPE2AMF_Bridge_Zone_Sud" xfId="2295" xr:uid="{00000000-0005-0000-0000-000036090000}"/>
    <cellStyle name="s_Merger_Actualisation provision contrat déficitaire SNCM 2010 V Def_Maquette PLT" xfId="2296" xr:uid="{00000000-0005-0000-0000-000037090000}"/>
    <cellStyle name="s_Merger_Actualisation provision contrat déficitaire SNCM 2010 V Def_Output" xfId="3422" xr:uid="{00000000-0005-0000-0000-000038090000}"/>
    <cellStyle name="s_Merger_Actualisation provision contrat déficitaire SNCM 2010 V Def_PAO-CAF-RESOP_04_13_pro_format_variante T1" xfId="2297" xr:uid="{00000000-0005-0000-0000-000039090000}"/>
    <cellStyle name="s_Merger_Actualisation provision contrat déficitaire SNCM 2010 V Def_PAO-CAF-RESOP_04_13_pro_format_variante T1_B14_E2_2210" xfId="2298" xr:uid="{00000000-0005-0000-0000-00003A090000}"/>
    <cellStyle name="s_Merger_Actualisation provision contrat déficitaire SNCM 2010 V Def_PAO-CAF-RESOP_04_13_pro_format_variante T1_B14_E2_2210_Bridge_Zone_Sud" xfId="2299" xr:uid="{00000000-0005-0000-0000-00003B090000}"/>
    <cellStyle name="s_Merger_Actualisation provision contrat déficitaire SNCM 2010 V Def_PAO-CAF-RESOP_04_13_pro_format_variante T1_Bridge_Zone_Sud" xfId="2300" xr:uid="{00000000-0005-0000-0000-00003C090000}"/>
    <cellStyle name="s_Merger_Actualisation provision contrat déficitaire SNCM 2010 V Def_PAO-CAF-RESOP_06_13" xfId="2301" xr:uid="{00000000-0005-0000-0000-00003D090000}"/>
    <cellStyle name="s_Merger_Actualisation provision contrat déficitaire SNCM 2010 V Def_PAO-CAF-RESOP_06_13_B14_E2_2210" xfId="2302" xr:uid="{00000000-0005-0000-0000-00003E090000}"/>
    <cellStyle name="s_Merger_Actualisation provision contrat déficitaire SNCM 2010 V Def_PAO-CAF-RESOP_06_13_B14_E2_2210_Bridge_Zone_Sud" xfId="2303" xr:uid="{00000000-0005-0000-0000-00003F090000}"/>
    <cellStyle name="s_Merger_Actualisation provision contrat déficitaire SNCM 2010 V Def_PAO-CAF-RESOP_06_13_Bridge_Zone_Sud" xfId="2304" xr:uid="{00000000-0005-0000-0000-000040090000}"/>
    <cellStyle name="s_Merger_Actualisation provision contrat déficitaire SNCM 2010 V Def_PAO-CAF-RESOP_08_13" xfId="2305" xr:uid="{00000000-0005-0000-0000-000041090000}"/>
    <cellStyle name="s_Merger_Actualisation provision contrat déficitaire SNCM 2010 V Def_PAO-CAF-RESOP_08_13_B14_E2_2210" xfId="2306" xr:uid="{00000000-0005-0000-0000-000042090000}"/>
    <cellStyle name="s_Merger_Actualisation provision contrat déficitaire SNCM 2010 V Def_PAO-CAF-RESOP_08_13_B14_E2_2210_Bridge_Zone_Sud" xfId="2307" xr:uid="{00000000-0005-0000-0000-000043090000}"/>
    <cellStyle name="s_Merger_Actualisation provision contrat déficitaire SNCM 2010 V Def_PAO-CAF-RESOP_08_13_Bridge_Zone_Sud" xfId="2308" xr:uid="{00000000-0005-0000-0000-000044090000}"/>
    <cellStyle name="s_Merger_Actualisation provision contrat déficitaire SNCM 2010 V Def_PAO-CAF-RESOP_09_13" xfId="2309" xr:uid="{00000000-0005-0000-0000-000045090000}"/>
    <cellStyle name="s_Merger_Actualisation provision contrat déficitaire SNCM 2010 V Def_PAO-CAF-RESOP_09_13_Bridge_Zone_Sud" xfId="2310" xr:uid="{00000000-0005-0000-0000-000046090000}"/>
    <cellStyle name="s_Merger_Actualisation provision contrat déficitaire SNCM 2010 V Def_PAO-CAF-RESOP_09_2013_Zone_IDF (version 2)" xfId="2311" xr:uid="{00000000-0005-0000-0000-000047090000}"/>
    <cellStyle name="s_Merger_Actualisation provision contrat déficitaire SNCM 2010 V Def_PAO-CAF-RESOP_10_12" xfId="2312" xr:uid="{00000000-0005-0000-0000-000048090000}"/>
    <cellStyle name="s_Merger_Actualisation provision contrat déficitaire SNCM 2010 V Def_PAO-CAF-RESOP_10_12_Bridge_Zone_Sud" xfId="2313" xr:uid="{00000000-0005-0000-0000-000049090000}"/>
    <cellStyle name="s_Merger_Actualisation provision contrat déficitaire SNCM 2010 V Def_PAO-CAF-RESOP_10_12_focus par entités CAFOP" xfId="2314" xr:uid="{00000000-0005-0000-0000-00004A090000}"/>
    <cellStyle name="s_Merger_Actualisation provision contrat déficitaire SNCM 2010 V Def_PAO-CAF-RESOP_10_12_focus par entités CAFOP_Bridge_Zone_Sud" xfId="2315" xr:uid="{00000000-0005-0000-0000-00004B090000}"/>
    <cellStyle name="s_Merger_Actualisation provision contrat déficitaire SNCM 2010 V Def_PAO-CAF-RESOP_11_13" xfId="2316" xr:uid="{00000000-0005-0000-0000-00004C090000}"/>
    <cellStyle name="s_Merger_Actualisation provision contrat déficitaire SNCM 2010 V Def_PAO-CAF-RESOP_B13" xfId="2317" xr:uid="{00000000-0005-0000-0000-00004D090000}"/>
    <cellStyle name="s_Merger_Actualisation provision contrat déficitaire SNCM 2010 V Def_PAO-CAF-RESOP_B13_Bridge_Zone_Sud" xfId="2318" xr:uid="{00000000-0005-0000-0000-00004E090000}"/>
    <cellStyle name="s_Merger_Actualisation provision contrat déficitaire SNCM 2010 V Def_PAO-CAF-RESOP_B13_focus par entités CAFOP" xfId="2319" xr:uid="{00000000-0005-0000-0000-00004F090000}"/>
    <cellStyle name="s_Merger_Actualisation provision contrat déficitaire SNCM 2010 V Def_PAO-CAF-RESOP_B13_focus par entités CAFOP_Bridge_Zone_Sud" xfId="2320" xr:uid="{00000000-0005-0000-0000-000050090000}"/>
    <cellStyle name="s_Merger_Actualisation provision contrat déficitaire SNCM 2010 V Def_PAO-CAF-RESOP_B2014" xfId="2321" xr:uid="{00000000-0005-0000-0000-000051090000}"/>
    <cellStyle name="s_Merger_Actualisation provision contrat déficitaire SNCM 2010 V Def_PAO-CAF-RESOP_B2014_Bridge_Zone_Sud" xfId="2322" xr:uid="{00000000-0005-0000-0000-000052090000}"/>
    <cellStyle name="s_Merger_Actualisation provision contrat déficitaire SNCM 2010 V Def_PAO-CAF-RESOP_B2014_v2" xfId="2323" xr:uid="{00000000-0005-0000-0000-000053090000}"/>
    <cellStyle name="s_Merger_Actualisation provision contrat déficitaire SNCM 2010 V Def_PAO-CAF-RESOP_E2_13" xfId="2324" xr:uid="{00000000-0005-0000-0000-000054090000}"/>
    <cellStyle name="s_Merger_Actualisation provision contrat déficitaire SNCM 2010 V Def_PAO-CAF-RESOP_E2_13_B14_E2_2210" xfId="2325" xr:uid="{00000000-0005-0000-0000-000055090000}"/>
    <cellStyle name="s_Merger_Actualisation provision contrat déficitaire SNCM 2010 V Def_PAO-CAF-RESOP_E2_13_B14_E2_2210_Bridge_Zone_Sud" xfId="2326" xr:uid="{00000000-0005-0000-0000-000056090000}"/>
    <cellStyle name="s_Merger_Actualisation provision contrat déficitaire SNCM 2010 V Def_PAO-CAF-RESOP_E2_13_Bridge_Zone_Sud" xfId="2327" xr:uid="{00000000-0005-0000-0000-000057090000}"/>
    <cellStyle name="s_Merger_Actualisation provision contrat déficitaire SNCM 2010 V Def_PAO-CAF-RESOP_E2_2013_03_10_19H" xfId="2328" xr:uid="{00000000-0005-0000-0000-000058090000}"/>
    <cellStyle name="s_Merger_Actualisation provision contrat déficitaire SNCM 2010 V Def_PAO-CAF-RESOP_E2_2013_03_10_19H_Bridge_Zone_Sud" xfId="2329" xr:uid="{00000000-0005-0000-0000-000059090000}"/>
    <cellStyle name="s_Merger_Actualisation provision contrat déficitaire SNCM 2010 V Def_PPA" xfId="2330" xr:uid="{00000000-0005-0000-0000-00005A090000}"/>
    <cellStyle name="s_Merger_Actualisation provision contrat déficitaire SNCM 2010 V Def_RESOP bef CICE&amp;PPA&amp;RepartHO" xfId="2331" xr:uid="{00000000-0005-0000-0000-00005B090000}"/>
    <cellStyle name="s_Merger_Actualisation provision contrat déficitaire SNCM 2010 V Def_Synthèse_Présentation_conso_retraitée" xfId="2332" xr:uid="{00000000-0005-0000-0000-00005C090000}"/>
    <cellStyle name="s_Merger_Actualisation provision contrat déficitaire SNCM 2011 V3 30 05 2011" xfId="2333" xr:uid="{00000000-0005-0000-0000-00005D090000}"/>
    <cellStyle name="s_Merger_Actualisation provision contrat déficitaire SNCM 2011 V3 30 05 2011_B14_E2_2210" xfId="2334" xr:uid="{00000000-0005-0000-0000-00005E090000}"/>
    <cellStyle name="s_Merger_Actualisation provision contrat déficitaire SNCM 2011 V3 30 05 2011_B14_E2_2210_Bridge_Zone_Sud" xfId="2335" xr:uid="{00000000-0005-0000-0000-00005F090000}"/>
    <cellStyle name="s_Merger_Actualisation provision contrat déficitaire SNCM 2011 V3 30 05 2011_Bridge_Zone_Sud" xfId="2336" xr:uid="{00000000-0005-0000-0000-000060090000}"/>
    <cellStyle name="s_Merger_Actualisation provision contrat déficitaire SNCM 2011 V3 30 05 2011_CAPEM BY COUNTRY" xfId="2337" xr:uid="{00000000-0005-0000-0000-000061090000}"/>
    <cellStyle name="s_Merger_Actualisation provision contrat déficitaire SNCM 2011 V3 30 05 2011_focus par entités CAFOPE2AMF" xfId="2338" xr:uid="{00000000-0005-0000-0000-000062090000}"/>
    <cellStyle name="s_Merger_Actualisation provision contrat déficitaire SNCM 2011 V3 30 05 2011_focus par entités CAFOPE2AMF_Bridge_Zone_Sud" xfId="2339" xr:uid="{00000000-0005-0000-0000-000063090000}"/>
    <cellStyle name="s_Merger_Actualisation provision contrat déficitaire SNCM 2011 V3 30 05 2011_Maquette PLT" xfId="2340" xr:uid="{00000000-0005-0000-0000-000064090000}"/>
    <cellStyle name="s_Merger_Actualisation provision contrat déficitaire SNCM 2011 V3 30 05 2011_Output" xfId="3423" xr:uid="{00000000-0005-0000-0000-000065090000}"/>
    <cellStyle name="s_Merger_Actualisation provision contrat déficitaire SNCM 2011 V3 30 05 2011_PAO-CAF-RESOP_04_13_pro_format_variante T1" xfId="2341" xr:uid="{00000000-0005-0000-0000-000066090000}"/>
    <cellStyle name="s_Merger_Actualisation provision contrat déficitaire SNCM 2011 V3 30 05 2011_PAO-CAF-RESOP_04_13_pro_format_variante T1_B14_E2_2210" xfId="2342" xr:uid="{00000000-0005-0000-0000-000067090000}"/>
    <cellStyle name="s_Merger_Actualisation provision contrat déficitaire SNCM 2011 V3 30 05 2011_PAO-CAF-RESOP_04_13_pro_format_variante T1_B14_E2_2210_Bridge_Zone_Sud" xfId="2343" xr:uid="{00000000-0005-0000-0000-000068090000}"/>
    <cellStyle name="s_Merger_Actualisation provision contrat déficitaire SNCM 2011 V3 30 05 2011_PAO-CAF-RESOP_04_13_pro_format_variante T1_Bridge_Zone_Sud" xfId="2344" xr:uid="{00000000-0005-0000-0000-000069090000}"/>
    <cellStyle name="s_Merger_Actualisation provision contrat déficitaire SNCM 2011 V3 30 05 2011_PAO-CAF-RESOP_06_13" xfId="2345" xr:uid="{00000000-0005-0000-0000-00006A090000}"/>
    <cellStyle name="s_Merger_Actualisation provision contrat déficitaire SNCM 2011 V3 30 05 2011_PAO-CAF-RESOP_06_13_B14_E2_2210" xfId="2346" xr:uid="{00000000-0005-0000-0000-00006B090000}"/>
    <cellStyle name="s_Merger_Actualisation provision contrat déficitaire SNCM 2011 V3 30 05 2011_PAO-CAF-RESOP_06_13_B14_E2_2210_Bridge_Zone_Sud" xfId="2347" xr:uid="{00000000-0005-0000-0000-00006C090000}"/>
    <cellStyle name="s_Merger_Actualisation provision contrat déficitaire SNCM 2011 V3 30 05 2011_PAO-CAF-RESOP_06_13_Bridge_Zone_Sud" xfId="2348" xr:uid="{00000000-0005-0000-0000-00006D090000}"/>
    <cellStyle name="s_Merger_Actualisation provision contrat déficitaire SNCM 2011 V3 30 05 2011_PAO-CAF-RESOP_08_13" xfId="2349" xr:uid="{00000000-0005-0000-0000-00006E090000}"/>
    <cellStyle name="s_Merger_Actualisation provision contrat déficitaire SNCM 2011 V3 30 05 2011_PAO-CAF-RESOP_08_13_B14_E2_2210" xfId="2350" xr:uid="{00000000-0005-0000-0000-00006F090000}"/>
    <cellStyle name="s_Merger_Actualisation provision contrat déficitaire SNCM 2011 V3 30 05 2011_PAO-CAF-RESOP_08_13_B14_E2_2210_Bridge_Zone_Sud" xfId="2351" xr:uid="{00000000-0005-0000-0000-000070090000}"/>
    <cellStyle name="s_Merger_Actualisation provision contrat déficitaire SNCM 2011 V3 30 05 2011_PAO-CAF-RESOP_08_13_Bridge_Zone_Sud" xfId="2352" xr:uid="{00000000-0005-0000-0000-000071090000}"/>
    <cellStyle name="s_Merger_Actualisation provision contrat déficitaire SNCM 2011 V3 30 05 2011_PAO-CAF-RESOP_09_13" xfId="2353" xr:uid="{00000000-0005-0000-0000-000072090000}"/>
    <cellStyle name="s_Merger_Actualisation provision contrat déficitaire SNCM 2011 V3 30 05 2011_PAO-CAF-RESOP_09_13_Bridge_Zone_Sud" xfId="2354" xr:uid="{00000000-0005-0000-0000-000073090000}"/>
    <cellStyle name="s_Merger_Actualisation provision contrat déficitaire SNCM 2011 V3 30 05 2011_PAO-CAF-RESOP_09_2013_Zone_IDF (version 2)" xfId="2355" xr:uid="{00000000-0005-0000-0000-000074090000}"/>
    <cellStyle name="s_Merger_Actualisation provision contrat déficitaire SNCM 2011 V3 30 05 2011_PAO-CAF-RESOP_10_12" xfId="2356" xr:uid="{00000000-0005-0000-0000-000075090000}"/>
    <cellStyle name="s_Merger_Actualisation provision contrat déficitaire SNCM 2011 V3 30 05 2011_PAO-CAF-RESOP_10_12_Bridge_Zone_Sud" xfId="2357" xr:uid="{00000000-0005-0000-0000-000076090000}"/>
    <cellStyle name="s_Merger_Actualisation provision contrat déficitaire SNCM 2011 V3 30 05 2011_PAO-CAF-RESOP_10_12_focus par entités CAFOP" xfId="2358" xr:uid="{00000000-0005-0000-0000-000077090000}"/>
    <cellStyle name="s_Merger_Actualisation provision contrat déficitaire SNCM 2011 V3 30 05 2011_PAO-CAF-RESOP_10_12_focus par entités CAFOP_Bridge_Zone_Sud" xfId="2359" xr:uid="{00000000-0005-0000-0000-000078090000}"/>
    <cellStyle name="s_Merger_Actualisation provision contrat déficitaire SNCM 2011 V3 30 05 2011_PAO-CAF-RESOP_11_13" xfId="2360" xr:uid="{00000000-0005-0000-0000-000079090000}"/>
    <cellStyle name="s_Merger_Actualisation provision contrat déficitaire SNCM 2011 V3 30 05 2011_PAO-CAF-RESOP_B13" xfId="2361" xr:uid="{00000000-0005-0000-0000-00007A090000}"/>
    <cellStyle name="s_Merger_Actualisation provision contrat déficitaire SNCM 2011 V3 30 05 2011_PAO-CAF-RESOP_B13_Bridge_Zone_Sud" xfId="2362" xr:uid="{00000000-0005-0000-0000-00007B090000}"/>
    <cellStyle name="s_Merger_Actualisation provision contrat déficitaire SNCM 2011 V3 30 05 2011_PAO-CAF-RESOP_B13_focus par entités CAFOP" xfId="2363" xr:uid="{00000000-0005-0000-0000-00007C090000}"/>
    <cellStyle name="s_Merger_Actualisation provision contrat déficitaire SNCM 2011 V3 30 05 2011_PAO-CAF-RESOP_B13_focus par entités CAFOP_Bridge_Zone_Sud" xfId="2364" xr:uid="{00000000-0005-0000-0000-00007D090000}"/>
    <cellStyle name="s_Merger_Actualisation provision contrat déficitaire SNCM 2011 V3 30 05 2011_PAO-CAF-RESOP_B2014" xfId="2365" xr:uid="{00000000-0005-0000-0000-00007E090000}"/>
    <cellStyle name="s_Merger_Actualisation provision contrat déficitaire SNCM 2011 V3 30 05 2011_PAO-CAF-RESOP_B2014_Bridge_Zone_Sud" xfId="2366" xr:uid="{00000000-0005-0000-0000-00007F090000}"/>
    <cellStyle name="s_Merger_Actualisation provision contrat déficitaire SNCM 2011 V3 30 05 2011_PAO-CAF-RESOP_B2014_v2" xfId="2367" xr:uid="{00000000-0005-0000-0000-000080090000}"/>
    <cellStyle name="s_Merger_Actualisation provision contrat déficitaire SNCM 2011 V3 30 05 2011_PAO-CAF-RESOP_E2_13" xfId="2368" xr:uid="{00000000-0005-0000-0000-000081090000}"/>
    <cellStyle name="s_Merger_Actualisation provision contrat déficitaire SNCM 2011 V3 30 05 2011_PAO-CAF-RESOP_E2_13_B14_E2_2210" xfId="2369" xr:uid="{00000000-0005-0000-0000-000082090000}"/>
    <cellStyle name="s_Merger_Actualisation provision contrat déficitaire SNCM 2011 V3 30 05 2011_PAO-CAF-RESOP_E2_13_B14_E2_2210_Bridge_Zone_Sud" xfId="2370" xr:uid="{00000000-0005-0000-0000-000083090000}"/>
    <cellStyle name="s_Merger_Actualisation provision contrat déficitaire SNCM 2011 V3 30 05 2011_PAO-CAF-RESOP_E2_13_Bridge_Zone_Sud" xfId="2371" xr:uid="{00000000-0005-0000-0000-000084090000}"/>
    <cellStyle name="s_Merger_Actualisation provision contrat déficitaire SNCM 2011 V3 30 05 2011_PAO-CAF-RESOP_E2_2013_03_10_19H" xfId="2372" xr:uid="{00000000-0005-0000-0000-000085090000}"/>
    <cellStyle name="s_Merger_Actualisation provision contrat déficitaire SNCM 2011 V3 30 05 2011_PAO-CAF-RESOP_E2_2013_03_10_19H_Bridge_Zone_Sud" xfId="2373" xr:uid="{00000000-0005-0000-0000-000086090000}"/>
    <cellStyle name="s_Merger_Actualisation provision contrat déficitaire SNCM 2011 V3 30 05 2011_PPA" xfId="2374" xr:uid="{00000000-0005-0000-0000-000087090000}"/>
    <cellStyle name="s_Merger_Actualisation provision contrat déficitaire SNCM 2011 V3 30 05 2011_RESOP bef CICE&amp;PPA&amp;RepartHO" xfId="2375" xr:uid="{00000000-0005-0000-0000-000088090000}"/>
    <cellStyle name="s_Merger_Actualisation provision contrat déficitaire SNCM 2011 V3 30 05 2011_Synthèse_Présentation_conso_retraitée" xfId="2376" xr:uid="{00000000-0005-0000-0000-000089090000}"/>
    <cellStyle name="s_Merger_B14_E2_2210" xfId="2377" xr:uid="{00000000-0005-0000-0000-00008A090000}"/>
    <cellStyle name="s_Merger_B14_E2_2210_Bridge_Zone_Sud" xfId="2378" xr:uid="{00000000-0005-0000-0000-00008B090000}"/>
    <cellStyle name="s_Merger_BFR_TD_2014.02" xfId="2379" xr:uid="{00000000-0005-0000-0000-00008C090000}"/>
    <cellStyle name="s_Merger_Bridge_Zone_Nord" xfId="2380" xr:uid="{00000000-0005-0000-0000-00008D090000}"/>
    <cellStyle name="s_Merger_CAPEM BY COUNTRY" xfId="2381" xr:uid="{00000000-0005-0000-0000-00008E090000}"/>
    <cellStyle name="s_Merger_LI819L_B13" xfId="2382" xr:uid="{00000000-0005-0000-0000-00008F090000}"/>
    <cellStyle name="s_Merger_LI819L_B13_CAPEM BY COUNTRY" xfId="2383" xr:uid="{00000000-0005-0000-0000-000090090000}"/>
    <cellStyle name="s_Merger_LI819L_B13_Maquette PLT" xfId="2384" xr:uid="{00000000-0005-0000-0000-000091090000}"/>
    <cellStyle name="s_Merger_LI819L_B13_Output" xfId="3424" xr:uid="{00000000-0005-0000-0000-000092090000}"/>
    <cellStyle name="s_Merger_LI819L_B13_PPA" xfId="2385" xr:uid="{00000000-0005-0000-0000-000093090000}"/>
    <cellStyle name="s_Merger_LI819L_B13_RESOP bef CICE&amp;PPA&amp;RepartHO" xfId="2386" xr:uid="{00000000-0005-0000-0000-000094090000}"/>
    <cellStyle name="s_Merger_Maquette PLT" xfId="2387" xr:uid="{00000000-0005-0000-0000-000095090000}"/>
    <cellStyle name="s_Merger_Output" xfId="3421" xr:uid="{00000000-0005-0000-0000-000096090000}"/>
    <cellStyle name="s_Merger_PAO-CAF-RESOP_14_01_13 à 20h" xfId="2388" xr:uid="{00000000-0005-0000-0000-000097090000}"/>
    <cellStyle name="s_Merger_PAO-CAF-RESOP_14_01_13 à 20h_CAPEM BY COUNTRY" xfId="2389" xr:uid="{00000000-0005-0000-0000-000098090000}"/>
    <cellStyle name="s_Merger_PAO-CAF-RESOP_14_01_13 à 20h_Maquette PLT" xfId="2390" xr:uid="{00000000-0005-0000-0000-000099090000}"/>
    <cellStyle name="s_Merger_PAO-CAF-RESOP_14_01_13 à 20h_Output" xfId="3425" xr:uid="{00000000-0005-0000-0000-00009A090000}"/>
    <cellStyle name="s_Merger_PAO-CAF-RESOP_14_01_13 à 20h_PPA" xfId="2391" xr:uid="{00000000-0005-0000-0000-00009B090000}"/>
    <cellStyle name="s_Merger_PAO-CAF-RESOP_14_01_13 à 20h_RESOP bef CICE&amp;PPA&amp;RepartHO" xfId="2392" xr:uid="{00000000-0005-0000-0000-00009C090000}"/>
    <cellStyle name="s_Merger_PAO-CAF-RESOP_2014.02" xfId="2393" xr:uid="{00000000-0005-0000-0000-00009D090000}"/>
    <cellStyle name="s_Merger_PAO-CAF-RESOP_2014.02_Bridge_Zone_Sud" xfId="2394" xr:uid="{00000000-0005-0000-0000-00009E090000}"/>
    <cellStyle name="s_Merger_PPA" xfId="2395" xr:uid="{00000000-0005-0000-0000-00009F090000}"/>
    <cellStyle name="s_Merger_RESOP bef CICE&amp;PPA&amp;RepartHO" xfId="2396" xr:uid="{00000000-0005-0000-0000-0000A0090000}"/>
    <cellStyle name="s_model2" xfId="2397" xr:uid="{00000000-0005-0000-0000-0000A1090000}"/>
    <cellStyle name="s_model2_Actualisation provision contrat déficitaire SNCM 2010 V Def" xfId="2398" xr:uid="{00000000-0005-0000-0000-0000A2090000}"/>
    <cellStyle name="s_model2_Actualisation provision contrat déficitaire SNCM 2010 V Def_B14_E2_2210" xfId="2399" xr:uid="{00000000-0005-0000-0000-0000A3090000}"/>
    <cellStyle name="s_model2_Actualisation provision contrat déficitaire SNCM 2010 V Def_B14_E2_2210_Bridge_Zone_Sud" xfId="2400" xr:uid="{00000000-0005-0000-0000-0000A4090000}"/>
    <cellStyle name="s_model2_Actualisation provision contrat déficitaire SNCM 2010 V Def_Bridge_Zone_Sud" xfId="2401" xr:uid="{00000000-0005-0000-0000-0000A5090000}"/>
    <cellStyle name="s_model2_Actualisation provision contrat déficitaire SNCM 2010 V Def_CAPEM BY COUNTRY" xfId="2402" xr:uid="{00000000-0005-0000-0000-0000A6090000}"/>
    <cellStyle name="s_model2_Actualisation provision contrat déficitaire SNCM 2010 V Def_focus par entités CAFOPE2AMF" xfId="2403" xr:uid="{00000000-0005-0000-0000-0000A7090000}"/>
    <cellStyle name="s_model2_Actualisation provision contrat déficitaire SNCM 2010 V Def_focus par entités CAFOPE2AMF_Bridge_Zone_Sud" xfId="2404" xr:uid="{00000000-0005-0000-0000-0000A8090000}"/>
    <cellStyle name="s_model2_Actualisation provision contrat déficitaire SNCM 2010 V Def_Maquette PLT" xfId="2405" xr:uid="{00000000-0005-0000-0000-0000A9090000}"/>
    <cellStyle name="s_model2_Actualisation provision contrat déficitaire SNCM 2010 V Def_Output" xfId="3427" xr:uid="{00000000-0005-0000-0000-0000AA090000}"/>
    <cellStyle name="s_model2_Actualisation provision contrat déficitaire SNCM 2010 V Def_PAO-CAF-RESOP_04_13_pro_format_variante T1" xfId="2406" xr:uid="{00000000-0005-0000-0000-0000AB090000}"/>
    <cellStyle name="s_model2_Actualisation provision contrat déficitaire SNCM 2010 V Def_PAO-CAF-RESOP_04_13_pro_format_variante T1_B14_E2_2210" xfId="2407" xr:uid="{00000000-0005-0000-0000-0000AC090000}"/>
    <cellStyle name="s_model2_Actualisation provision contrat déficitaire SNCM 2010 V Def_PAO-CAF-RESOP_04_13_pro_format_variante T1_B14_E2_2210_Bridge_Zone_Sud" xfId="2408" xr:uid="{00000000-0005-0000-0000-0000AD090000}"/>
    <cellStyle name="s_model2_Actualisation provision contrat déficitaire SNCM 2010 V Def_PAO-CAF-RESOP_04_13_pro_format_variante T1_Bridge_Zone_Sud" xfId="2409" xr:uid="{00000000-0005-0000-0000-0000AE090000}"/>
    <cellStyle name="s_model2_Actualisation provision contrat déficitaire SNCM 2010 V Def_PAO-CAF-RESOP_06_13" xfId="2410" xr:uid="{00000000-0005-0000-0000-0000AF090000}"/>
    <cellStyle name="s_model2_Actualisation provision contrat déficitaire SNCM 2010 V Def_PAO-CAF-RESOP_06_13_B14_E2_2210" xfId="2411" xr:uid="{00000000-0005-0000-0000-0000B0090000}"/>
    <cellStyle name="s_model2_Actualisation provision contrat déficitaire SNCM 2010 V Def_PAO-CAF-RESOP_06_13_B14_E2_2210_Bridge_Zone_Sud" xfId="2412" xr:uid="{00000000-0005-0000-0000-0000B1090000}"/>
    <cellStyle name="s_model2_Actualisation provision contrat déficitaire SNCM 2010 V Def_PAO-CAF-RESOP_06_13_Bridge_Zone_Sud" xfId="2413" xr:uid="{00000000-0005-0000-0000-0000B2090000}"/>
    <cellStyle name="s_model2_Actualisation provision contrat déficitaire SNCM 2010 V Def_PAO-CAF-RESOP_08_13" xfId="2414" xr:uid="{00000000-0005-0000-0000-0000B3090000}"/>
    <cellStyle name="s_model2_Actualisation provision contrat déficitaire SNCM 2010 V Def_PAO-CAF-RESOP_08_13_B14_E2_2210" xfId="2415" xr:uid="{00000000-0005-0000-0000-0000B4090000}"/>
    <cellStyle name="s_model2_Actualisation provision contrat déficitaire SNCM 2010 V Def_PAO-CAF-RESOP_08_13_B14_E2_2210_Bridge_Zone_Sud" xfId="2416" xr:uid="{00000000-0005-0000-0000-0000B5090000}"/>
    <cellStyle name="s_model2_Actualisation provision contrat déficitaire SNCM 2010 V Def_PAO-CAF-RESOP_08_13_Bridge_Zone_Sud" xfId="2417" xr:uid="{00000000-0005-0000-0000-0000B6090000}"/>
    <cellStyle name="s_model2_Actualisation provision contrat déficitaire SNCM 2010 V Def_PAO-CAF-RESOP_09_13" xfId="2418" xr:uid="{00000000-0005-0000-0000-0000B7090000}"/>
    <cellStyle name="s_model2_Actualisation provision contrat déficitaire SNCM 2010 V Def_PAO-CAF-RESOP_09_13_Bridge_Zone_Sud" xfId="2419" xr:uid="{00000000-0005-0000-0000-0000B8090000}"/>
    <cellStyle name="s_model2_Actualisation provision contrat déficitaire SNCM 2010 V Def_PAO-CAF-RESOP_09_2013_Zone_IDF (version 2)" xfId="2420" xr:uid="{00000000-0005-0000-0000-0000B9090000}"/>
    <cellStyle name="s_model2_Actualisation provision contrat déficitaire SNCM 2010 V Def_PAO-CAF-RESOP_10_12" xfId="2421" xr:uid="{00000000-0005-0000-0000-0000BA090000}"/>
    <cellStyle name="s_model2_Actualisation provision contrat déficitaire SNCM 2010 V Def_PAO-CAF-RESOP_10_12_Bridge_Zone_Sud" xfId="2422" xr:uid="{00000000-0005-0000-0000-0000BB090000}"/>
    <cellStyle name="s_model2_Actualisation provision contrat déficitaire SNCM 2010 V Def_PAO-CAF-RESOP_10_12_focus par entités CAFOP" xfId="2423" xr:uid="{00000000-0005-0000-0000-0000BC090000}"/>
    <cellStyle name="s_model2_Actualisation provision contrat déficitaire SNCM 2010 V Def_PAO-CAF-RESOP_10_12_focus par entités CAFOP_Bridge_Zone_Sud" xfId="2424" xr:uid="{00000000-0005-0000-0000-0000BD090000}"/>
    <cellStyle name="s_model2_Actualisation provision contrat déficitaire SNCM 2010 V Def_PAO-CAF-RESOP_11_13" xfId="2425" xr:uid="{00000000-0005-0000-0000-0000BE090000}"/>
    <cellStyle name="s_model2_Actualisation provision contrat déficitaire SNCM 2010 V Def_PAO-CAF-RESOP_B13" xfId="2426" xr:uid="{00000000-0005-0000-0000-0000BF090000}"/>
    <cellStyle name="s_model2_Actualisation provision contrat déficitaire SNCM 2010 V Def_PAO-CAF-RESOP_B13_Bridge_Zone_Sud" xfId="2427" xr:uid="{00000000-0005-0000-0000-0000C0090000}"/>
    <cellStyle name="s_model2_Actualisation provision contrat déficitaire SNCM 2010 V Def_PAO-CAF-RESOP_B13_focus par entités CAFOP" xfId="2428" xr:uid="{00000000-0005-0000-0000-0000C1090000}"/>
    <cellStyle name="s_model2_Actualisation provision contrat déficitaire SNCM 2010 V Def_PAO-CAF-RESOP_B13_focus par entités CAFOP_Bridge_Zone_Sud" xfId="2429" xr:uid="{00000000-0005-0000-0000-0000C2090000}"/>
    <cellStyle name="s_model2_Actualisation provision contrat déficitaire SNCM 2010 V Def_PAO-CAF-RESOP_B2014" xfId="2430" xr:uid="{00000000-0005-0000-0000-0000C3090000}"/>
    <cellStyle name="s_model2_Actualisation provision contrat déficitaire SNCM 2010 V Def_PAO-CAF-RESOP_B2014_Bridge_Zone_Sud" xfId="2431" xr:uid="{00000000-0005-0000-0000-0000C4090000}"/>
    <cellStyle name="s_model2_Actualisation provision contrat déficitaire SNCM 2010 V Def_PAO-CAF-RESOP_B2014_v2" xfId="2432" xr:uid="{00000000-0005-0000-0000-0000C5090000}"/>
    <cellStyle name="s_model2_Actualisation provision contrat déficitaire SNCM 2010 V Def_PAO-CAF-RESOP_E2_13" xfId="2433" xr:uid="{00000000-0005-0000-0000-0000C6090000}"/>
    <cellStyle name="s_model2_Actualisation provision contrat déficitaire SNCM 2010 V Def_PAO-CAF-RESOP_E2_13_B14_E2_2210" xfId="2434" xr:uid="{00000000-0005-0000-0000-0000C7090000}"/>
    <cellStyle name="s_model2_Actualisation provision contrat déficitaire SNCM 2010 V Def_PAO-CAF-RESOP_E2_13_B14_E2_2210_Bridge_Zone_Sud" xfId="2435" xr:uid="{00000000-0005-0000-0000-0000C8090000}"/>
    <cellStyle name="s_model2_Actualisation provision contrat déficitaire SNCM 2010 V Def_PAO-CAF-RESOP_E2_13_Bridge_Zone_Sud" xfId="2436" xr:uid="{00000000-0005-0000-0000-0000C9090000}"/>
    <cellStyle name="s_model2_Actualisation provision contrat déficitaire SNCM 2010 V Def_PAO-CAF-RESOP_E2_2013_03_10_19H" xfId="2437" xr:uid="{00000000-0005-0000-0000-0000CA090000}"/>
    <cellStyle name="s_model2_Actualisation provision contrat déficitaire SNCM 2010 V Def_PAO-CAF-RESOP_E2_2013_03_10_19H_Bridge_Zone_Sud" xfId="2438" xr:uid="{00000000-0005-0000-0000-0000CB090000}"/>
    <cellStyle name="s_model2_Actualisation provision contrat déficitaire SNCM 2010 V Def_PPA" xfId="2439" xr:uid="{00000000-0005-0000-0000-0000CC090000}"/>
    <cellStyle name="s_model2_Actualisation provision contrat déficitaire SNCM 2010 V Def_RESOP bef CICE&amp;PPA&amp;RepartHO" xfId="2440" xr:uid="{00000000-0005-0000-0000-0000CD090000}"/>
    <cellStyle name="s_model2_Actualisation provision contrat déficitaire SNCM 2010 V Def_Synthèse_Présentation_conso_retraitée" xfId="2441" xr:uid="{00000000-0005-0000-0000-0000CE090000}"/>
    <cellStyle name="s_model2_Actualisation provision contrat déficitaire SNCM 2011 V3 30 05 2011" xfId="2442" xr:uid="{00000000-0005-0000-0000-0000CF090000}"/>
    <cellStyle name="s_model2_Actualisation provision contrat déficitaire SNCM 2011 V3 30 05 2011_B14_E2_2210" xfId="2443" xr:uid="{00000000-0005-0000-0000-0000D0090000}"/>
    <cellStyle name="s_model2_Actualisation provision contrat déficitaire SNCM 2011 V3 30 05 2011_B14_E2_2210_Bridge_Zone_Sud" xfId="2444" xr:uid="{00000000-0005-0000-0000-0000D1090000}"/>
    <cellStyle name="s_model2_Actualisation provision contrat déficitaire SNCM 2011 V3 30 05 2011_Bridge_Zone_Sud" xfId="2445" xr:uid="{00000000-0005-0000-0000-0000D2090000}"/>
    <cellStyle name="s_model2_Actualisation provision contrat déficitaire SNCM 2011 V3 30 05 2011_CAPEM BY COUNTRY" xfId="2446" xr:uid="{00000000-0005-0000-0000-0000D3090000}"/>
    <cellStyle name="s_model2_Actualisation provision contrat déficitaire SNCM 2011 V3 30 05 2011_focus par entités CAFOPE2AMF" xfId="2447" xr:uid="{00000000-0005-0000-0000-0000D4090000}"/>
    <cellStyle name="s_model2_Actualisation provision contrat déficitaire SNCM 2011 V3 30 05 2011_focus par entités CAFOPE2AMF_Bridge_Zone_Sud" xfId="2448" xr:uid="{00000000-0005-0000-0000-0000D5090000}"/>
    <cellStyle name="s_model2_Actualisation provision contrat déficitaire SNCM 2011 V3 30 05 2011_Maquette PLT" xfId="2449" xr:uid="{00000000-0005-0000-0000-0000D6090000}"/>
    <cellStyle name="s_model2_Actualisation provision contrat déficitaire SNCM 2011 V3 30 05 2011_Output" xfId="3428" xr:uid="{00000000-0005-0000-0000-0000D7090000}"/>
    <cellStyle name="s_model2_Actualisation provision contrat déficitaire SNCM 2011 V3 30 05 2011_PAO-CAF-RESOP_04_13_pro_format_variante T1" xfId="2450" xr:uid="{00000000-0005-0000-0000-0000D8090000}"/>
    <cellStyle name="s_model2_Actualisation provision contrat déficitaire SNCM 2011 V3 30 05 2011_PAO-CAF-RESOP_04_13_pro_format_variante T1_B14_E2_2210" xfId="2451" xr:uid="{00000000-0005-0000-0000-0000D9090000}"/>
    <cellStyle name="s_model2_Actualisation provision contrat déficitaire SNCM 2011 V3 30 05 2011_PAO-CAF-RESOP_04_13_pro_format_variante T1_B14_E2_2210_Bridge_Zone_Sud" xfId="2452" xr:uid="{00000000-0005-0000-0000-0000DA090000}"/>
    <cellStyle name="s_model2_Actualisation provision contrat déficitaire SNCM 2011 V3 30 05 2011_PAO-CAF-RESOP_04_13_pro_format_variante T1_Bridge_Zone_Sud" xfId="2453" xr:uid="{00000000-0005-0000-0000-0000DB090000}"/>
    <cellStyle name="s_model2_Actualisation provision contrat déficitaire SNCM 2011 V3 30 05 2011_PAO-CAF-RESOP_06_13" xfId="2454" xr:uid="{00000000-0005-0000-0000-0000DC090000}"/>
    <cellStyle name="s_model2_Actualisation provision contrat déficitaire SNCM 2011 V3 30 05 2011_PAO-CAF-RESOP_06_13_B14_E2_2210" xfId="2455" xr:uid="{00000000-0005-0000-0000-0000DD090000}"/>
    <cellStyle name="s_model2_Actualisation provision contrat déficitaire SNCM 2011 V3 30 05 2011_PAO-CAF-RESOP_06_13_B14_E2_2210_Bridge_Zone_Sud" xfId="2456" xr:uid="{00000000-0005-0000-0000-0000DE090000}"/>
    <cellStyle name="s_model2_Actualisation provision contrat déficitaire SNCM 2011 V3 30 05 2011_PAO-CAF-RESOP_06_13_Bridge_Zone_Sud" xfId="2457" xr:uid="{00000000-0005-0000-0000-0000DF090000}"/>
    <cellStyle name="s_model2_Actualisation provision contrat déficitaire SNCM 2011 V3 30 05 2011_PAO-CAF-RESOP_08_13" xfId="2458" xr:uid="{00000000-0005-0000-0000-0000E0090000}"/>
    <cellStyle name="s_model2_Actualisation provision contrat déficitaire SNCM 2011 V3 30 05 2011_PAO-CAF-RESOP_08_13_B14_E2_2210" xfId="2459" xr:uid="{00000000-0005-0000-0000-0000E1090000}"/>
    <cellStyle name="s_model2_Actualisation provision contrat déficitaire SNCM 2011 V3 30 05 2011_PAO-CAF-RESOP_08_13_B14_E2_2210_Bridge_Zone_Sud" xfId="2460" xr:uid="{00000000-0005-0000-0000-0000E2090000}"/>
    <cellStyle name="s_model2_Actualisation provision contrat déficitaire SNCM 2011 V3 30 05 2011_PAO-CAF-RESOP_08_13_Bridge_Zone_Sud" xfId="2461" xr:uid="{00000000-0005-0000-0000-0000E3090000}"/>
    <cellStyle name="s_model2_Actualisation provision contrat déficitaire SNCM 2011 V3 30 05 2011_PAO-CAF-RESOP_09_13" xfId="2462" xr:uid="{00000000-0005-0000-0000-0000E4090000}"/>
    <cellStyle name="s_model2_Actualisation provision contrat déficitaire SNCM 2011 V3 30 05 2011_PAO-CAF-RESOP_09_13_Bridge_Zone_Sud" xfId="2463" xr:uid="{00000000-0005-0000-0000-0000E5090000}"/>
    <cellStyle name="s_model2_Actualisation provision contrat déficitaire SNCM 2011 V3 30 05 2011_PAO-CAF-RESOP_09_2013_Zone_IDF (version 2)" xfId="2464" xr:uid="{00000000-0005-0000-0000-0000E6090000}"/>
    <cellStyle name="s_model2_Actualisation provision contrat déficitaire SNCM 2011 V3 30 05 2011_PAO-CAF-RESOP_10_12" xfId="2465" xr:uid="{00000000-0005-0000-0000-0000E7090000}"/>
    <cellStyle name="s_model2_Actualisation provision contrat déficitaire SNCM 2011 V3 30 05 2011_PAO-CAF-RESOP_10_12_Bridge_Zone_Sud" xfId="2466" xr:uid="{00000000-0005-0000-0000-0000E8090000}"/>
    <cellStyle name="s_model2_Actualisation provision contrat déficitaire SNCM 2011 V3 30 05 2011_PAO-CAF-RESOP_10_12_focus par entités CAFOP" xfId="2467" xr:uid="{00000000-0005-0000-0000-0000E9090000}"/>
    <cellStyle name="s_model2_Actualisation provision contrat déficitaire SNCM 2011 V3 30 05 2011_PAO-CAF-RESOP_10_12_focus par entités CAFOP_Bridge_Zone_Sud" xfId="2468" xr:uid="{00000000-0005-0000-0000-0000EA090000}"/>
    <cellStyle name="s_model2_Actualisation provision contrat déficitaire SNCM 2011 V3 30 05 2011_PAO-CAF-RESOP_11_13" xfId="2469" xr:uid="{00000000-0005-0000-0000-0000EB090000}"/>
    <cellStyle name="s_model2_Actualisation provision contrat déficitaire SNCM 2011 V3 30 05 2011_PAO-CAF-RESOP_B13" xfId="2470" xr:uid="{00000000-0005-0000-0000-0000EC090000}"/>
    <cellStyle name="s_model2_Actualisation provision contrat déficitaire SNCM 2011 V3 30 05 2011_PAO-CAF-RESOP_B13_Bridge_Zone_Sud" xfId="2471" xr:uid="{00000000-0005-0000-0000-0000ED090000}"/>
    <cellStyle name="s_model2_Actualisation provision contrat déficitaire SNCM 2011 V3 30 05 2011_PAO-CAF-RESOP_B13_focus par entités CAFOP" xfId="2472" xr:uid="{00000000-0005-0000-0000-0000EE090000}"/>
    <cellStyle name="s_model2_Actualisation provision contrat déficitaire SNCM 2011 V3 30 05 2011_PAO-CAF-RESOP_B13_focus par entités CAFOP_Bridge_Zone_Sud" xfId="2473" xr:uid="{00000000-0005-0000-0000-0000EF090000}"/>
    <cellStyle name="s_model2_Actualisation provision contrat déficitaire SNCM 2011 V3 30 05 2011_PAO-CAF-RESOP_B2014" xfId="2474" xr:uid="{00000000-0005-0000-0000-0000F0090000}"/>
    <cellStyle name="s_model2_Actualisation provision contrat déficitaire SNCM 2011 V3 30 05 2011_PAO-CAF-RESOP_B2014_Bridge_Zone_Sud" xfId="2475" xr:uid="{00000000-0005-0000-0000-0000F1090000}"/>
    <cellStyle name="s_model2_Actualisation provision contrat déficitaire SNCM 2011 V3 30 05 2011_PAO-CAF-RESOP_B2014_v2" xfId="2476" xr:uid="{00000000-0005-0000-0000-0000F2090000}"/>
    <cellStyle name="s_model2_Actualisation provision contrat déficitaire SNCM 2011 V3 30 05 2011_PAO-CAF-RESOP_E2_13" xfId="2477" xr:uid="{00000000-0005-0000-0000-0000F3090000}"/>
    <cellStyle name="s_model2_Actualisation provision contrat déficitaire SNCM 2011 V3 30 05 2011_PAO-CAF-RESOP_E2_13_B14_E2_2210" xfId="2478" xr:uid="{00000000-0005-0000-0000-0000F4090000}"/>
    <cellStyle name="s_model2_Actualisation provision contrat déficitaire SNCM 2011 V3 30 05 2011_PAO-CAF-RESOP_E2_13_B14_E2_2210_Bridge_Zone_Sud" xfId="2479" xr:uid="{00000000-0005-0000-0000-0000F5090000}"/>
    <cellStyle name="s_model2_Actualisation provision contrat déficitaire SNCM 2011 V3 30 05 2011_PAO-CAF-RESOP_E2_13_Bridge_Zone_Sud" xfId="2480" xr:uid="{00000000-0005-0000-0000-0000F6090000}"/>
    <cellStyle name="s_model2_Actualisation provision contrat déficitaire SNCM 2011 V3 30 05 2011_PAO-CAF-RESOP_E2_2013_03_10_19H" xfId="2481" xr:uid="{00000000-0005-0000-0000-0000F7090000}"/>
    <cellStyle name="s_model2_Actualisation provision contrat déficitaire SNCM 2011 V3 30 05 2011_PAO-CAF-RESOP_E2_2013_03_10_19H_Bridge_Zone_Sud" xfId="2482" xr:uid="{00000000-0005-0000-0000-0000F8090000}"/>
    <cellStyle name="s_model2_Actualisation provision contrat déficitaire SNCM 2011 V3 30 05 2011_PPA" xfId="2483" xr:uid="{00000000-0005-0000-0000-0000F9090000}"/>
    <cellStyle name="s_model2_Actualisation provision contrat déficitaire SNCM 2011 V3 30 05 2011_RESOP bef CICE&amp;PPA&amp;RepartHO" xfId="2484" xr:uid="{00000000-0005-0000-0000-0000FA090000}"/>
    <cellStyle name="s_model2_Actualisation provision contrat déficitaire SNCM 2011 V3 30 05 2011_Synthèse_Présentation_conso_retraitée" xfId="2485" xr:uid="{00000000-0005-0000-0000-0000FB090000}"/>
    <cellStyle name="s_model2_B14_E2_2210" xfId="2486" xr:uid="{00000000-0005-0000-0000-0000FC090000}"/>
    <cellStyle name="s_model2_B14_E2_2210_Bridge_Zone_Sud" xfId="2487" xr:uid="{00000000-0005-0000-0000-0000FD090000}"/>
    <cellStyle name="s_model2_BFR_TD_2014.02" xfId="2488" xr:uid="{00000000-0005-0000-0000-0000FE090000}"/>
    <cellStyle name="s_model2_Bridge_Zone_Nord" xfId="2489" xr:uid="{00000000-0005-0000-0000-0000FF090000}"/>
    <cellStyle name="s_model2_CAPEM BY COUNTRY" xfId="2490" xr:uid="{00000000-0005-0000-0000-0000000A0000}"/>
    <cellStyle name="s_model2_LI819L_B13" xfId="2491" xr:uid="{00000000-0005-0000-0000-0000010A0000}"/>
    <cellStyle name="s_model2_LI819L_B13_CAPEM BY COUNTRY" xfId="2492" xr:uid="{00000000-0005-0000-0000-0000020A0000}"/>
    <cellStyle name="s_model2_LI819L_B13_Maquette PLT" xfId="2493" xr:uid="{00000000-0005-0000-0000-0000030A0000}"/>
    <cellStyle name="s_model2_LI819L_B13_Output" xfId="3429" xr:uid="{00000000-0005-0000-0000-0000040A0000}"/>
    <cellStyle name="s_model2_LI819L_B13_PPA" xfId="2494" xr:uid="{00000000-0005-0000-0000-0000050A0000}"/>
    <cellStyle name="s_model2_LI819L_B13_RESOP bef CICE&amp;PPA&amp;RepartHO" xfId="2495" xr:uid="{00000000-0005-0000-0000-0000060A0000}"/>
    <cellStyle name="s_model2_Maquette PLT" xfId="2496" xr:uid="{00000000-0005-0000-0000-0000070A0000}"/>
    <cellStyle name="s_model2_Output" xfId="3426" xr:uid="{00000000-0005-0000-0000-0000080A0000}"/>
    <cellStyle name="s_model2_PAO-CAF-RESOP_14_01_13 à 20h" xfId="2497" xr:uid="{00000000-0005-0000-0000-0000090A0000}"/>
    <cellStyle name="s_model2_PAO-CAF-RESOP_14_01_13 à 20h_CAPEM BY COUNTRY" xfId="2498" xr:uid="{00000000-0005-0000-0000-00000A0A0000}"/>
    <cellStyle name="s_model2_PAO-CAF-RESOP_14_01_13 à 20h_Maquette PLT" xfId="2499" xr:uid="{00000000-0005-0000-0000-00000B0A0000}"/>
    <cellStyle name="s_model2_PAO-CAF-RESOP_14_01_13 à 20h_Output" xfId="3430" xr:uid="{00000000-0005-0000-0000-00000C0A0000}"/>
    <cellStyle name="s_model2_PAO-CAF-RESOP_14_01_13 à 20h_PPA" xfId="2500" xr:uid="{00000000-0005-0000-0000-00000D0A0000}"/>
    <cellStyle name="s_model2_PAO-CAF-RESOP_14_01_13 à 20h_RESOP bef CICE&amp;PPA&amp;RepartHO" xfId="2501" xr:uid="{00000000-0005-0000-0000-00000E0A0000}"/>
    <cellStyle name="s_model2_PAO-CAF-RESOP_2014.02" xfId="2502" xr:uid="{00000000-0005-0000-0000-00000F0A0000}"/>
    <cellStyle name="s_model2_PAO-CAF-RESOP_2014.02_Bridge_Zone_Sud" xfId="2503" xr:uid="{00000000-0005-0000-0000-0000100A0000}"/>
    <cellStyle name="s_model2_PPA" xfId="2504" xr:uid="{00000000-0005-0000-0000-0000110A0000}"/>
    <cellStyle name="s_model2_RESOP bef CICE&amp;PPA&amp;RepartHO" xfId="2505" xr:uid="{00000000-0005-0000-0000-0000120A0000}"/>
    <cellStyle name="s_Output" xfId="3366" xr:uid="{00000000-0005-0000-0000-0000130A0000}"/>
    <cellStyle name="s_P_L_Ratios" xfId="2506" xr:uid="{00000000-0005-0000-0000-0000140A0000}"/>
    <cellStyle name="s_P_L_Ratios_Actualisation provision contrat déficitaire SNCM 2010 V Def" xfId="2507" xr:uid="{00000000-0005-0000-0000-0000150A0000}"/>
    <cellStyle name="s_P_L_Ratios_Actualisation provision contrat déficitaire SNCM 2010 V Def_B14_E2_2210" xfId="2508" xr:uid="{00000000-0005-0000-0000-0000160A0000}"/>
    <cellStyle name="s_P_L_Ratios_Actualisation provision contrat déficitaire SNCM 2010 V Def_B14_E2_2210_Bridge_Zone_Sud" xfId="2509" xr:uid="{00000000-0005-0000-0000-0000170A0000}"/>
    <cellStyle name="s_P_L_Ratios_Actualisation provision contrat déficitaire SNCM 2010 V Def_Bridge_Zone_Sud" xfId="2510" xr:uid="{00000000-0005-0000-0000-0000180A0000}"/>
    <cellStyle name="s_P_L_Ratios_Actualisation provision contrat déficitaire SNCM 2010 V Def_CAPEM BY COUNTRY" xfId="2511" xr:uid="{00000000-0005-0000-0000-0000190A0000}"/>
    <cellStyle name="s_P_L_Ratios_Actualisation provision contrat déficitaire SNCM 2010 V Def_focus par entités CAFOPE2AMF" xfId="2512" xr:uid="{00000000-0005-0000-0000-00001A0A0000}"/>
    <cellStyle name="s_P_L_Ratios_Actualisation provision contrat déficitaire SNCM 2010 V Def_focus par entités CAFOPE2AMF_Bridge_Zone_Sud" xfId="2513" xr:uid="{00000000-0005-0000-0000-00001B0A0000}"/>
    <cellStyle name="s_P_L_Ratios_Actualisation provision contrat déficitaire SNCM 2010 V Def_Maquette PLT" xfId="2514" xr:uid="{00000000-0005-0000-0000-00001C0A0000}"/>
    <cellStyle name="s_P_L_Ratios_Actualisation provision contrat déficitaire SNCM 2010 V Def_Output" xfId="3432" xr:uid="{00000000-0005-0000-0000-00001D0A0000}"/>
    <cellStyle name="s_P_L_Ratios_Actualisation provision contrat déficitaire SNCM 2010 V Def_PAO-CAF-RESOP_04_13_pro_format_variante T1" xfId="2515" xr:uid="{00000000-0005-0000-0000-00001E0A0000}"/>
    <cellStyle name="s_P_L_Ratios_Actualisation provision contrat déficitaire SNCM 2010 V Def_PAO-CAF-RESOP_04_13_pro_format_variante T1_B14_E2_2210" xfId="2516" xr:uid="{00000000-0005-0000-0000-00001F0A0000}"/>
    <cellStyle name="s_P_L_Ratios_Actualisation provision contrat déficitaire SNCM 2010 V Def_PAO-CAF-RESOP_04_13_pro_format_variante T1_B14_E2_2210_Bridge_Zone_Sud" xfId="2517" xr:uid="{00000000-0005-0000-0000-0000200A0000}"/>
    <cellStyle name="s_P_L_Ratios_Actualisation provision contrat déficitaire SNCM 2010 V Def_PAO-CAF-RESOP_04_13_pro_format_variante T1_Bridge_Zone_Sud" xfId="2518" xr:uid="{00000000-0005-0000-0000-0000210A0000}"/>
    <cellStyle name="s_P_L_Ratios_Actualisation provision contrat déficitaire SNCM 2010 V Def_PAO-CAF-RESOP_06_13" xfId="2519" xr:uid="{00000000-0005-0000-0000-0000220A0000}"/>
    <cellStyle name="s_P_L_Ratios_Actualisation provision contrat déficitaire SNCM 2010 V Def_PAO-CAF-RESOP_06_13_B14_E2_2210" xfId="2520" xr:uid="{00000000-0005-0000-0000-0000230A0000}"/>
    <cellStyle name="s_P_L_Ratios_Actualisation provision contrat déficitaire SNCM 2010 V Def_PAO-CAF-RESOP_06_13_B14_E2_2210_Bridge_Zone_Sud" xfId="2521" xr:uid="{00000000-0005-0000-0000-0000240A0000}"/>
    <cellStyle name="s_P_L_Ratios_Actualisation provision contrat déficitaire SNCM 2010 V Def_PAO-CAF-RESOP_06_13_Bridge_Zone_Sud" xfId="2522" xr:uid="{00000000-0005-0000-0000-0000250A0000}"/>
    <cellStyle name="s_P_L_Ratios_Actualisation provision contrat déficitaire SNCM 2010 V Def_PAO-CAF-RESOP_08_13" xfId="2523" xr:uid="{00000000-0005-0000-0000-0000260A0000}"/>
    <cellStyle name="s_P_L_Ratios_Actualisation provision contrat déficitaire SNCM 2010 V Def_PAO-CAF-RESOP_08_13_B14_E2_2210" xfId="2524" xr:uid="{00000000-0005-0000-0000-0000270A0000}"/>
    <cellStyle name="s_P_L_Ratios_Actualisation provision contrat déficitaire SNCM 2010 V Def_PAO-CAF-RESOP_08_13_B14_E2_2210_Bridge_Zone_Sud" xfId="2525" xr:uid="{00000000-0005-0000-0000-0000280A0000}"/>
    <cellStyle name="s_P_L_Ratios_Actualisation provision contrat déficitaire SNCM 2010 V Def_PAO-CAF-RESOP_08_13_Bridge_Zone_Sud" xfId="2526" xr:uid="{00000000-0005-0000-0000-0000290A0000}"/>
    <cellStyle name="s_P_L_Ratios_Actualisation provision contrat déficitaire SNCM 2010 V Def_PAO-CAF-RESOP_09_13" xfId="2527" xr:uid="{00000000-0005-0000-0000-00002A0A0000}"/>
    <cellStyle name="s_P_L_Ratios_Actualisation provision contrat déficitaire SNCM 2010 V Def_PAO-CAF-RESOP_09_13_Bridge_Zone_Sud" xfId="2528" xr:uid="{00000000-0005-0000-0000-00002B0A0000}"/>
    <cellStyle name="s_P_L_Ratios_Actualisation provision contrat déficitaire SNCM 2010 V Def_PAO-CAF-RESOP_09_2013_Zone_IDF (version 2)" xfId="2529" xr:uid="{00000000-0005-0000-0000-00002C0A0000}"/>
    <cellStyle name="s_P_L_Ratios_Actualisation provision contrat déficitaire SNCM 2010 V Def_PAO-CAF-RESOP_10_12" xfId="2530" xr:uid="{00000000-0005-0000-0000-00002D0A0000}"/>
    <cellStyle name="s_P_L_Ratios_Actualisation provision contrat déficitaire SNCM 2010 V Def_PAO-CAF-RESOP_10_12_Bridge_Zone_Sud" xfId="2531" xr:uid="{00000000-0005-0000-0000-00002E0A0000}"/>
    <cellStyle name="s_P_L_Ratios_Actualisation provision contrat déficitaire SNCM 2010 V Def_PAO-CAF-RESOP_10_12_focus par entités CAFOP" xfId="2532" xr:uid="{00000000-0005-0000-0000-00002F0A0000}"/>
    <cellStyle name="s_P_L_Ratios_Actualisation provision contrat déficitaire SNCM 2010 V Def_PAO-CAF-RESOP_10_12_focus par entités CAFOP_Bridge_Zone_Sud" xfId="2533" xr:uid="{00000000-0005-0000-0000-0000300A0000}"/>
    <cellStyle name="s_P_L_Ratios_Actualisation provision contrat déficitaire SNCM 2010 V Def_PAO-CAF-RESOP_11_13" xfId="2534" xr:uid="{00000000-0005-0000-0000-0000310A0000}"/>
    <cellStyle name="s_P_L_Ratios_Actualisation provision contrat déficitaire SNCM 2010 V Def_PAO-CAF-RESOP_B13" xfId="2535" xr:uid="{00000000-0005-0000-0000-0000320A0000}"/>
    <cellStyle name="s_P_L_Ratios_Actualisation provision contrat déficitaire SNCM 2010 V Def_PAO-CAF-RESOP_B13_Bridge_Zone_Sud" xfId="2536" xr:uid="{00000000-0005-0000-0000-0000330A0000}"/>
    <cellStyle name="s_P_L_Ratios_Actualisation provision contrat déficitaire SNCM 2010 V Def_PAO-CAF-RESOP_B13_focus par entités CAFOP" xfId="2537" xr:uid="{00000000-0005-0000-0000-0000340A0000}"/>
    <cellStyle name="s_P_L_Ratios_Actualisation provision contrat déficitaire SNCM 2010 V Def_PAO-CAF-RESOP_B13_focus par entités CAFOP_Bridge_Zone_Sud" xfId="2538" xr:uid="{00000000-0005-0000-0000-0000350A0000}"/>
    <cellStyle name="s_P_L_Ratios_Actualisation provision contrat déficitaire SNCM 2010 V Def_PAO-CAF-RESOP_B2014" xfId="2539" xr:uid="{00000000-0005-0000-0000-0000360A0000}"/>
    <cellStyle name="s_P_L_Ratios_Actualisation provision contrat déficitaire SNCM 2010 V Def_PAO-CAF-RESOP_B2014_Bridge_Zone_Sud" xfId="2540" xr:uid="{00000000-0005-0000-0000-0000370A0000}"/>
    <cellStyle name="s_P_L_Ratios_Actualisation provision contrat déficitaire SNCM 2010 V Def_PAO-CAF-RESOP_B2014_v2" xfId="2541" xr:uid="{00000000-0005-0000-0000-0000380A0000}"/>
    <cellStyle name="s_P_L_Ratios_Actualisation provision contrat déficitaire SNCM 2010 V Def_PAO-CAF-RESOP_E2_13" xfId="2542" xr:uid="{00000000-0005-0000-0000-0000390A0000}"/>
    <cellStyle name="s_P_L_Ratios_Actualisation provision contrat déficitaire SNCM 2010 V Def_PAO-CAF-RESOP_E2_13_B14_E2_2210" xfId="2543" xr:uid="{00000000-0005-0000-0000-00003A0A0000}"/>
    <cellStyle name="s_P_L_Ratios_Actualisation provision contrat déficitaire SNCM 2010 V Def_PAO-CAF-RESOP_E2_13_B14_E2_2210_Bridge_Zone_Sud" xfId="2544" xr:uid="{00000000-0005-0000-0000-00003B0A0000}"/>
    <cellStyle name="s_P_L_Ratios_Actualisation provision contrat déficitaire SNCM 2010 V Def_PAO-CAF-RESOP_E2_13_Bridge_Zone_Sud" xfId="2545" xr:uid="{00000000-0005-0000-0000-00003C0A0000}"/>
    <cellStyle name="s_P_L_Ratios_Actualisation provision contrat déficitaire SNCM 2010 V Def_PAO-CAF-RESOP_E2_2013_03_10_19H" xfId="2546" xr:uid="{00000000-0005-0000-0000-00003D0A0000}"/>
    <cellStyle name="s_P_L_Ratios_Actualisation provision contrat déficitaire SNCM 2010 V Def_PAO-CAF-RESOP_E2_2013_03_10_19H_Bridge_Zone_Sud" xfId="2547" xr:uid="{00000000-0005-0000-0000-00003E0A0000}"/>
    <cellStyle name="s_P_L_Ratios_Actualisation provision contrat déficitaire SNCM 2010 V Def_PPA" xfId="2548" xr:uid="{00000000-0005-0000-0000-00003F0A0000}"/>
    <cellStyle name="s_P_L_Ratios_Actualisation provision contrat déficitaire SNCM 2010 V Def_RESOP bef CICE&amp;PPA&amp;RepartHO" xfId="2549" xr:uid="{00000000-0005-0000-0000-0000400A0000}"/>
    <cellStyle name="s_P_L_Ratios_Actualisation provision contrat déficitaire SNCM 2010 V Def_Synthèse_Présentation_conso_retraitée" xfId="2550" xr:uid="{00000000-0005-0000-0000-0000410A0000}"/>
    <cellStyle name="s_P_L_Ratios_Actualisation provision contrat déficitaire SNCM 2011 V3 30 05 2011" xfId="2551" xr:uid="{00000000-0005-0000-0000-0000420A0000}"/>
    <cellStyle name="s_P_L_Ratios_Actualisation provision contrat déficitaire SNCM 2011 V3 30 05 2011_B14_E2_2210" xfId="2552" xr:uid="{00000000-0005-0000-0000-0000430A0000}"/>
    <cellStyle name="s_P_L_Ratios_Actualisation provision contrat déficitaire SNCM 2011 V3 30 05 2011_B14_E2_2210_Bridge_Zone_Sud" xfId="2553" xr:uid="{00000000-0005-0000-0000-0000440A0000}"/>
    <cellStyle name="s_P_L_Ratios_Actualisation provision contrat déficitaire SNCM 2011 V3 30 05 2011_Bridge_Zone_Sud" xfId="2554" xr:uid="{00000000-0005-0000-0000-0000450A0000}"/>
    <cellStyle name="s_P_L_Ratios_Actualisation provision contrat déficitaire SNCM 2011 V3 30 05 2011_CAPEM BY COUNTRY" xfId="2555" xr:uid="{00000000-0005-0000-0000-0000460A0000}"/>
    <cellStyle name="s_P_L_Ratios_Actualisation provision contrat déficitaire SNCM 2011 V3 30 05 2011_focus par entités CAFOPE2AMF" xfId="2556" xr:uid="{00000000-0005-0000-0000-0000470A0000}"/>
    <cellStyle name="s_P_L_Ratios_Actualisation provision contrat déficitaire SNCM 2011 V3 30 05 2011_focus par entités CAFOPE2AMF_Bridge_Zone_Sud" xfId="2557" xr:uid="{00000000-0005-0000-0000-0000480A0000}"/>
    <cellStyle name="s_P_L_Ratios_Actualisation provision contrat déficitaire SNCM 2011 V3 30 05 2011_Maquette PLT" xfId="2558" xr:uid="{00000000-0005-0000-0000-0000490A0000}"/>
    <cellStyle name="s_P_L_Ratios_Actualisation provision contrat déficitaire SNCM 2011 V3 30 05 2011_Output" xfId="3433" xr:uid="{00000000-0005-0000-0000-00004A0A0000}"/>
    <cellStyle name="s_P_L_Ratios_Actualisation provision contrat déficitaire SNCM 2011 V3 30 05 2011_PAO-CAF-RESOP_04_13_pro_format_variante T1" xfId="2559" xr:uid="{00000000-0005-0000-0000-00004B0A0000}"/>
    <cellStyle name="s_P_L_Ratios_Actualisation provision contrat déficitaire SNCM 2011 V3 30 05 2011_PAO-CAF-RESOP_04_13_pro_format_variante T1_B14_E2_2210" xfId="2560" xr:uid="{00000000-0005-0000-0000-00004C0A0000}"/>
    <cellStyle name="s_P_L_Ratios_Actualisation provision contrat déficitaire SNCM 2011 V3 30 05 2011_PAO-CAF-RESOP_04_13_pro_format_variante T1_B14_E2_2210_Bridge_Zone_Sud" xfId="2561" xr:uid="{00000000-0005-0000-0000-00004D0A0000}"/>
    <cellStyle name="s_P_L_Ratios_Actualisation provision contrat déficitaire SNCM 2011 V3 30 05 2011_PAO-CAF-RESOP_04_13_pro_format_variante T1_Bridge_Zone_Sud" xfId="2562" xr:uid="{00000000-0005-0000-0000-00004E0A0000}"/>
    <cellStyle name="s_P_L_Ratios_Actualisation provision contrat déficitaire SNCM 2011 V3 30 05 2011_PAO-CAF-RESOP_06_13" xfId="2563" xr:uid="{00000000-0005-0000-0000-00004F0A0000}"/>
    <cellStyle name="s_P_L_Ratios_Actualisation provision contrat déficitaire SNCM 2011 V3 30 05 2011_PAO-CAF-RESOP_06_13_B14_E2_2210" xfId="2564" xr:uid="{00000000-0005-0000-0000-0000500A0000}"/>
    <cellStyle name="s_P_L_Ratios_Actualisation provision contrat déficitaire SNCM 2011 V3 30 05 2011_PAO-CAF-RESOP_06_13_B14_E2_2210_Bridge_Zone_Sud" xfId="2565" xr:uid="{00000000-0005-0000-0000-0000510A0000}"/>
    <cellStyle name="s_P_L_Ratios_Actualisation provision contrat déficitaire SNCM 2011 V3 30 05 2011_PAO-CAF-RESOP_06_13_Bridge_Zone_Sud" xfId="2566" xr:uid="{00000000-0005-0000-0000-0000520A0000}"/>
    <cellStyle name="s_P_L_Ratios_Actualisation provision contrat déficitaire SNCM 2011 V3 30 05 2011_PAO-CAF-RESOP_08_13" xfId="2567" xr:uid="{00000000-0005-0000-0000-0000530A0000}"/>
    <cellStyle name="s_P_L_Ratios_Actualisation provision contrat déficitaire SNCM 2011 V3 30 05 2011_PAO-CAF-RESOP_08_13_B14_E2_2210" xfId="2568" xr:uid="{00000000-0005-0000-0000-0000540A0000}"/>
    <cellStyle name="s_P_L_Ratios_Actualisation provision contrat déficitaire SNCM 2011 V3 30 05 2011_PAO-CAF-RESOP_08_13_B14_E2_2210_Bridge_Zone_Sud" xfId="2569" xr:uid="{00000000-0005-0000-0000-0000550A0000}"/>
    <cellStyle name="s_P_L_Ratios_Actualisation provision contrat déficitaire SNCM 2011 V3 30 05 2011_PAO-CAF-RESOP_08_13_Bridge_Zone_Sud" xfId="2570" xr:uid="{00000000-0005-0000-0000-0000560A0000}"/>
    <cellStyle name="s_P_L_Ratios_Actualisation provision contrat déficitaire SNCM 2011 V3 30 05 2011_PAO-CAF-RESOP_09_13" xfId="2571" xr:uid="{00000000-0005-0000-0000-0000570A0000}"/>
    <cellStyle name="s_P_L_Ratios_Actualisation provision contrat déficitaire SNCM 2011 V3 30 05 2011_PAO-CAF-RESOP_09_13_Bridge_Zone_Sud" xfId="2572" xr:uid="{00000000-0005-0000-0000-0000580A0000}"/>
    <cellStyle name="s_P_L_Ratios_Actualisation provision contrat déficitaire SNCM 2011 V3 30 05 2011_PAO-CAF-RESOP_09_2013_Zone_IDF (version 2)" xfId="2573" xr:uid="{00000000-0005-0000-0000-0000590A0000}"/>
    <cellStyle name="s_P_L_Ratios_Actualisation provision contrat déficitaire SNCM 2011 V3 30 05 2011_PAO-CAF-RESOP_10_12" xfId="2574" xr:uid="{00000000-0005-0000-0000-00005A0A0000}"/>
    <cellStyle name="s_P_L_Ratios_Actualisation provision contrat déficitaire SNCM 2011 V3 30 05 2011_PAO-CAF-RESOP_10_12_Bridge_Zone_Sud" xfId="2575" xr:uid="{00000000-0005-0000-0000-00005B0A0000}"/>
    <cellStyle name="s_P_L_Ratios_Actualisation provision contrat déficitaire SNCM 2011 V3 30 05 2011_PAO-CAF-RESOP_10_12_focus par entités CAFOP" xfId="2576" xr:uid="{00000000-0005-0000-0000-00005C0A0000}"/>
    <cellStyle name="s_P_L_Ratios_Actualisation provision contrat déficitaire SNCM 2011 V3 30 05 2011_PAO-CAF-RESOP_10_12_focus par entités CAFOP_Bridge_Zone_Sud" xfId="2577" xr:uid="{00000000-0005-0000-0000-00005D0A0000}"/>
    <cellStyle name="s_P_L_Ratios_Actualisation provision contrat déficitaire SNCM 2011 V3 30 05 2011_PAO-CAF-RESOP_11_13" xfId="2578" xr:uid="{00000000-0005-0000-0000-00005E0A0000}"/>
    <cellStyle name="s_P_L_Ratios_Actualisation provision contrat déficitaire SNCM 2011 V3 30 05 2011_PAO-CAF-RESOP_B13" xfId="2579" xr:uid="{00000000-0005-0000-0000-00005F0A0000}"/>
    <cellStyle name="s_P_L_Ratios_Actualisation provision contrat déficitaire SNCM 2011 V3 30 05 2011_PAO-CAF-RESOP_B13_Bridge_Zone_Sud" xfId="2580" xr:uid="{00000000-0005-0000-0000-0000600A0000}"/>
    <cellStyle name="s_P_L_Ratios_Actualisation provision contrat déficitaire SNCM 2011 V3 30 05 2011_PAO-CAF-RESOP_B13_focus par entités CAFOP" xfId="2581" xr:uid="{00000000-0005-0000-0000-0000610A0000}"/>
    <cellStyle name="s_P_L_Ratios_Actualisation provision contrat déficitaire SNCM 2011 V3 30 05 2011_PAO-CAF-RESOP_B13_focus par entités CAFOP_Bridge_Zone_Sud" xfId="2582" xr:uid="{00000000-0005-0000-0000-0000620A0000}"/>
    <cellStyle name="s_P_L_Ratios_Actualisation provision contrat déficitaire SNCM 2011 V3 30 05 2011_PAO-CAF-RESOP_B2014" xfId="2583" xr:uid="{00000000-0005-0000-0000-0000630A0000}"/>
    <cellStyle name="s_P_L_Ratios_Actualisation provision contrat déficitaire SNCM 2011 V3 30 05 2011_PAO-CAF-RESOP_B2014_Bridge_Zone_Sud" xfId="2584" xr:uid="{00000000-0005-0000-0000-0000640A0000}"/>
    <cellStyle name="s_P_L_Ratios_Actualisation provision contrat déficitaire SNCM 2011 V3 30 05 2011_PAO-CAF-RESOP_B2014_v2" xfId="2585" xr:uid="{00000000-0005-0000-0000-0000650A0000}"/>
    <cellStyle name="s_P_L_Ratios_Actualisation provision contrat déficitaire SNCM 2011 V3 30 05 2011_PAO-CAF-RESOP_E2_13" xfId="2586" xr:uid="{00000000-0005-0000-0000-0000660A0000}"/>
    <cellStyle name="s_P_L_Ratios_Actualisation provision contrat déficitaire SNCM 2011 V3 30 05 2011_PAO-CAF-RESOP_E2_13_B14_E2_2210" xfId="2587" xr:uid="{00000000-0005-0000-0000-0000670A0000}"/>
    <cellStyle name="s_P_L_Ratios_Actualisation provision contrat déficitaire SNCM 2011 V3 30 05 2011_PAO-CAF-RESOP_E2_13_B14_E2_2210_Bridge_Zone_Sud" xfId="2588" xr:uid="{00000000-0005-0000-0000-0000680A0000}"/>
    <cellStyle name="s_P_L_Ratios_Actualisation provision contrat déficitaire SNCM 2011 V3 30 05 2011_PAO-CAF-RESOP_E2_13_Bridge_Zone_Sud" xfId="2589" xr:uid="{00000000-0005-0000-0000-0000690A0000}"/>
    <cellStyle name="s_P_L_Ratios_Actualisation provision contrat déficitaire SNCM 2011 V3 30 05 2011_PAO-CAF-RESOP_E2_2013_03_10_19H" xfId="2590" xr:uid="{00000000-0005-0000-0000-00006A0A0000}"/>
    <cellStyle name="s_P_L_Ratios_Actualisation provision contrat déficitaire SNCM 2011 V3 30 05 2011_PAO-CAF-RESOP_E2_2013_03_10_19H_Bridge_Zone_Sud" xfId="2591" xr:uid="{00000000-0005-0000-0000-00006B0A0000}"/>
    <cellStyle name="s_P_L_Ratios_Actualisation provision contrat déficitaire SNCM 2011 V3 30 05 2011_PPA" xfId="2592" xr:uid="{00000000-0005-0000-0000-00006C0A0000}"/>
    <cellStyle name="s_P_L_Ratios_Actualisation provision contrat déficitaire SNCM 2011 V3 30 05 2011_RESOP bef CICE&amp;PPA&amp;RepartHO" xfId="2593" xr:uid="{00000000-0005-0000-0000-00006D0A0000}"/>
    <cellStyle name="s_P_L_Ratios_Actualisation provision contrat déficitaire SNCM 2011 V3 30 05 2011_Synthèse_Présentation_conso_retraitée" xfId="2594" xr:uid="{00000000-0005-0000-0000-00006E0A0000}"/>
    <cellStyle name="s_P_L_Ratios_B" xfId="2595" xr:uid="{00000000-0005-0000-0000-00006F0A0000}"/>
    <cellStyle name="s_P_L_Ratios_B_Actualisation provision contrat déficitaire SNCM 2010 V Def" xfId="2596" xr:uid="{00000000-0005-0000-0000-0000700A0000}"/>
    <cellStyle name="s_P_L_Ratios_B_Actualisation provision contrat déficitaire SNCM 2010 V Def_B14_E2_2210" xfId="2597" xr:uid="{00000000-0005-0000-0000-0000710A0000}"/>
    <cellStyle name="s_P_L_Ratios_B_Actualisation provision contrat déficitaire SNCM 2010 V Def_B14_E2_2210_Bridge_Zone_Sud" xfId="2598" xr:uid="{00000000-0005-0000-0000-0000720A0000}"/>
    <cellStyle name="s_P_L_Ratios_B_Actualisation provision contrat déficitaire SNCM 2010 V Def_Bridge_Zone_Sud" xfId="2599" xr:uid="{00000000-0005-0000-0000-0000730A0000}"/>
    <cellStyle name="s_P_L_Ratios_B_Actualisation provision contrat déficitaire SNCM 2010 V Def_CAPEM BY COUNTRY" xfId="2600" xr:uid="{00000000-0005-0000-0000-0000740A0000}"/>
    <cellStyle name="s_P_L_Ratios_B_Actualisation provision contrat déficitaire SNCM 2010 V Def_focus par entités CAFOPE2AMF" xfId="2601" xr:uid="{00000000-0005-0000-0000-0000750A0000}"/>
    <cellStyle name="s_P_L_Ratios_B_Actualisation provision contrat déficitaire SNCM 2010 V Def_focus par entités CAFOPE2AMF_Bridge_Zone_Sud" xfId="2602" xr:uid="{00000000-0005-0000-0000-0000760A0000}"/>
    <cellStyle name="s_P_L_Ratios_B_Actualisation provision contrat déficitaire SNCM 2010 V Def_Maquette PLT" xfId="2603" xr:uid="{00000000-0005-0000-0000-0000770A0000}"/>
    <cellStyle name="s_P_L_Ratios_B_Actualisation provision contrat déficitaire SNCM 2010 V Def_Output" xfId="3435" xr:uid="{00000000-0005-0000-0000-0000780A0000}"/>
    <cellStyle name="s_P_L_Ratios_B_Actualisation provision contrat déficitaire SNCM 2010 V Def_PAO-CAF-RESOP_04_13_pro_format_variante T1" xfId="2604" xr:uid="{00000000-0005-0000-0000-0000790A0000}"/>
    <cellStyle name="s_P_L_Ratios_B_Actualisation provision contrat déficitaire SNCM 2010 V Def_PAO-CAF-RESOP_04_13_pro_format_variante T1_B14_E2_2210" xfId="2605" xr:uid="{00000000-0005-0000-0000-00007A0A0000}"/>
    <cellStyle name="s_P_L_Ratios_B_Actualisation provision contrat déficitaire SNCM 2010 V Def_PAO-CAF-RESOP_04_13_pro_format_variante T1_B14_E2_2210_Bridge_Zone_Sud" xfId="2606" xr:uid="{00000000-0005-0000-0000-00007B0A0000}"/>
    <cellStyle name="s_P_L_Ratios_B_Actualisation provision contrat déficitaire SNCM 2010 V Def_PAO-CAF-RESOP_04_13_pro_format_variante T1_Bridge_Zone_Sud" xfId="2607" xr:uid="{00000000-0005-0000-0000-00007C0A0000}"/>
    <cellStyle name="s_P_L_Ratios_B_Actualisation provision contrat déficitaire SNCM 2010 V Def_PAO-CAF-RESOP_06_13" xfId="2608" xr:uid="{00000000-0005-0000-0000-00007D0A0000}"/>
    <cellStyle name="s_P_L_Ratios_B_Actualisation provision contrat déficitaire SNCM 2010 V Def_PAO-CAF-RESOP_06_13_B14_E2_2210" xfId="2609" xr:uid="{00000000-0005-0000-0000-00007E0A0000}"/>
    <cellStyle name="s_P_L_Ratios_B_Actualisation provision contrat déficitaire SNCM 2010 V Def_PAO-CAF-RESOP_06_13_B14_E2_2210_Bridge_Zone_Sud" xfId="2610" xr:uid="{00000000-0005-0000-0000-00007F0A0000}"/>
    <cellStyle name="s_P_L_Ratios_B_Actualisation provision contrat déficitaire SNCM 2010 V Def_PAO-CAF-RESOP_06_13_Bridge_Zone_Sud" xfId="2611" xr:uid="{00000000-0005-0000-0000-0000800A0000}"/>
    <cellStyle name="s_P_L_Ratios_B_Actualisation provision contrat déficitaire SNCM 2010 V Def_PAO-CAF-RESOP_08_13" xfId="2612" xr:uid="{00000000-0005-0000-0000-0000810A0000}"/>
    <cellStyle name="s_P_L_Ratios_B_Actualisation provision contrat déficitaire SNCM 2010 V Def_PAO-CAF-RESOP_08_13_B14_E2_2210" xfId="2613" xr:uid="{00000000-0005-0000-0000-0000820A0000}"/>
    <cellStyle name="s_P_L_Ratios_B_Actualisation provision contrat déficitaire SNCM 2010 V Def_PAO-CAF-RESOP_08_13_B14_E2_2210_Bridge_Zone_Sud" xfId="2614" xr:uid="{00000000-0005-0000-0000-0000830A0000}"/>
    <cellStyle name="s_P_L_Ratios_B_Actualisation provision contrat déficitaire SNCM 2010 V Def_PAO-CAF-RESOP_08_13_Bridge_Zone_Sud" xfId="2615" xr:uid="{00000000-0005-0000-0000-0000840A0000}"/>
    <cellStyle name="s_P_L_Ratios_B_Actualisation provision contrat déficitaire SNCM 2010 V Def_PAO-CAF-RESOP_09_13" xfId="2616" xr:uid="{00000000-0005-0000-0000-0000850A0000}"/>
    <cellStyle name="s_P_L_Ratios_B_Actualisation provision contrat déficitaire SNCM 2010 V Def_PAO-CAF-RESOP_09_13_Bridge_Zone_Sud" xfId="2617" xr:uid="{00000000-0005-0000-0000-0000860A0000}"/>
    <cellStyle name="s_P_L_Ratios_B_Actualisation provision contrat déficitaire SNCM 2010 V Def_PAO-CAF-RESOP_09_2013_Zone_IDF (version 2)" xfId="2618" xr:uid="{00000000-0005-0000-0000-0000870A0000}"/>
    <cellStyle name="s_P_L_Ratios_B_Actualisation provision contrat déficitaire SNCM 2010 V Def_PAO-CAF-RESOP_10_12" xfId="2619" xr:uid="{00000000-0005-0000-0000-0000880A0000}"/>
    <cellStyle name="s_P_L_Ratios_B_Actualisation provision contrat déficitaire SNCM 2010 V Def_PAO-CAF-RESOP_10_12_Bridge_Zone_Sud" xfId="2620" xr:uid="{00000000-0005-0000-0000-0000890A0000}"/>
    <cellStyle name="s_P_L_Ratios_B_Actualisation provision contrat déficitaire SNCM 2010 V Def_PAO-CAF-RESOP_10_12_focus par entités CAFOP" xfId="2621" xr:uid="{00000000-0005-0000-0000-00008A0A0000}"/>
    <cellStyle name="s_P_L_Ratios_B_Actualisation provision contrat déficitaire SNCM 2010 V Def_PAO-CAF-RESOP_10_12_focus par entités CAFOP_Bridge_Zone_Sud" xfId="2622" xr:uid="{00000000-0005-0000-0000-00008B0A0000}"/>
    <cellStyle name="s_P_L_Ratios_B_Actualisation provision contrat déficitaire SNCM 2010 V Def_PAO-CAF-RESOP_11_13" xfId="2623" xr:uid="{00000000-0005-0000-0000-00008C0A0000}"/>
    <cellStyle name="s_P_L_Ratios_B_Actualisation provision contrat déficitaire SNCM 2010 V Def_PAO-CAF-RESOP_B13" xfId="2624" xr:uid="{00000000-0005-0000-0000-00008D0A0000}"/>
    <cellStyle name="s_P_L_Ratios_B_Actualisation provision contrat déficitaire SNCM 2010 V Def_PAO-CAF-RESOP_B13_Bridge_Zone_Sud" xfId="2625" xr:uid="{00000000-0005-0000-0000-00008E0A0000}"/>
    <cellStyle name="s_P_L_Ratios_B_Actualisation provision contrat déficitaire SNCM 2010 V Def_PAO-CAF-RESOP_B13_focus par entités CAFOP" xfId="2626" xr:uid="{00000000-0005-0000-0000-00008F0A0000}"/>
    <cellStyle name="s_P_L_Ratios_B_Actualisation provision contrat déficitaire SNCM 2010 V Def_PAO-CAF-RESOP_B13_focus par entités CAFOP_Bridge_Zone_Sud" xfId="2627" xr:uid="{00000000-0005-0000-0000-0000900A0000}"/>
    <cellStyle name="s_P_L_Ratios_B_Actualisation provision contrat déficitaire SNCM 2010 V Def_PAO-CAF-RESOP_B2014" xfId="2628" xr:uid="{00000000-0005-0000-0000-0000910A0000}"/>
    <cellStyle name="s_P_L_Ratios_B_Actualisation provision contrat déficitaire SNCM 2010 V Def_PAO-CAF-RESOP_B2014_Bridge_Zone_Sud" xfId="2629" xr:uid="{00000000-0005-0000-0000-0000920A0000}"/>
    <cellStyle name="s_P_L_Ratios_B_Actualisation provision contrat déficitaire SNCM 2010 V Def_PAO-CAF-RESOP_B2014_v2" xfId="2630" xr:uid="{00000000-0005-0000-0000-0000930A0000}"/>
    <cellStyle name="s_P_L_Ratios_B_Actualisation provision contrat déficitaire SNCM 2010 V Def_PAO-CAF-RESOP_E2_13" xfId="2631" xr:uid="{00000000-0005-0000-0000-0000940A0000}"/>
    <cellStyle name="s_P_L_Ratios_B_Actualisation provision contrat déficitaire SNCM 2010 V Def_PAO-CAF-RESOP_E2_13_B14_E2_2210" xfId="2632" xr:uid="{00000000-0005-0000-0000-0000950A0000}"/>
    <cellStyle name="s_P_L_Ratios_B_Actualisation provision contrat déficitaire SNCM 2010 V Def_PAO-CAF-RESOP_E2_13_B14_E2_2210_Bridge_Zone_Sud" xfId="2633" xr:uid="{00000000-0005-0000-0000-0000960A0000}"/>
    <cellStyle name="s_P_L_Ratios_B_Actualisation provision contrat déficitaire SNCM 2010 V Def_PAO-CAF-RESOP_E2_13_Bridge_Zone_Sud" xfId="2634" xr:uid="{00000000-0005-0000-0000-0000970A0000}"/>
    <cellStyle name="s_P_L_Ratios_B_Actualisation provision contrat déficitaire SNCM 2010 V Def_PAO-CAF-RESOP_E2_2013_03_10_19H" xfId="2635" xr:uid="{00000000-0005-0000-0000-0000980A0000}"/>
    <cellStyle name="s_P_L_Ratios_B_Actualisation provision contrat déficitaire SNCM 2010 V Def_PAO-CAF-RESOP_E2_2013_03_10_19H_Bridge_Zone_Sud" xfId="2636" xr:uid="{00000000-0005-0000-0000-0000990A0000}"/>
    <cellStyle name="s_P_L_Ratios_B_Actualisation provision contrat déficitaire SNCM 2010 V Def_PPA" xfId="2637" xr:uid="{00000000-0005-0000-0000-00009A0A0000}"/>
    <cellStyle name="s_P_L_Ratios_B_Actualisation provision contrat déficitaire SNCM 2010 V Def_RESOP bef CICE&amp;PPA&amp;RepartHO" xfId="2638" xr:uid="{00000000-0005-0000-0000-00009B0A0000}"/>
    <cellStyle name="s_P_L_Ratios_B_Actualisation provision contrat déficitaire SNCM 2010 V Def_Synthèse_Présentation_conso_retraitée" xfId="2639" xr:uid="{00000000-0005-0000-0000-00009C0A0000}"/>
    <cellStyle name="s_P_L_Ratios_B_Actualisation provision contrat déficitaire SNCM 2011 V3 30 05 2011" xfId="2640" xr:uid="{00000000-0005-0000-0000-00009D0A0000}"/>
    <cellStyle name="s_P_L_Ratios_B_Actualisation provision contrat déficitaire SNCM 2011 V3 30 05 2011_B14_E2_2210" xfId="2641" xr:uid="{00000000-0005-0000-0000-00009E0A0000}"/>
    <cellStyle name="s_P_L_Ratios_B_Actualisation provision contrat déficitaire SNCM 2011 V3 30 05 2011_B14_E2_2210_Bridge_Zone_Sud" xfId="2642" xr:uid="{00000000-0005-0000-0000-00009F0A0000}"/>
    <cellStyle name="s_P_L_Ratios_B_Actualisation provision contrat déficitaire SNCM 2011 V3 30 05 2011_Bridge_Zone_Sud" xfId="2643" xr:uid="{00000000-0005-0000-0000-0000A00A0000}"/>
    <cellStyle name="s_P_L_Ratios_B_Actualisation provision contrat déficitaire SNCM 2011 V3 30 05 2011_CAPEM BY COUNTRY" xfId="2644" xr:uid="{00000000-0005-0000-0000-0000A10A0000}"/>
    <cellStyle name="s_P_L_Ratios_B_Actualisation provision contrat déficitaire SNCM 2011 V3 30 05 2011_focus par entités CAFOPE2AMF" xfId="2645" xr:uid="{00000000-0005-0000-0000-0000A20A0000}"/>
    <cellStyle name="s_P_L_Ratios_B_Actualisation provision contrat déficitaire SNCM 2011 V3 30 05 2011_focus par entités CAFOPE2AMF_Bridge_Zone_Sud" xfId="2646" xr:uid="{00000000-0005-0000-0000-0000A30A0000}"/>
    <cellStyle name="s_P_L_Ratios_B_Actualisation provision contrat déficitaire SNCM 2011 V3 30 05 2011_Maquette PLT" xfId="2647" xr:uid="{00000000-0005-0000-0000-0000A40A0000}"/>
    <cellStyle name="s_P_L_Ratios_B_Actualisation provision contrat déficitaire SNCM 2011 V3 30 05 2011_Output" xfId="3436" xr:uid="{00000000-0005-0000-0000-0000A50A0000}"/>
    <cellStyle name="s_P_L_Ratios_B_Actualisation provision contrat déficitaire SNCM 2011 V3 30 05 2011_PAO-CAF-RESOP_04_13_pro_format_variante T1" xfId="2648" xr:uid="{00000000-0005-0000-0000-0000A60A0000}"/>
    <cellStyle name="s_P_L_Ratios_B_Actualisation provision contrat déficitaire SNCM 2011 V3 30 05 2011_PAO-CAF-RESOP_04_13_pro_format_variante T1_B14_E2_2210" xfId="2649" xr:uid="{00000000-0005-0000-0000-0000A70A0000}"/>
    <cellStyle name="s_P_L_Ratios_B_Actualisation provision contrat déficitaire SNCM 2011 V3 30 05 2011_PAO-CAF-RESOP_04_13_pro_format_variante T1_B14_E2_2210_Bridge_Zone_Sud" xfId="2650" xr:uid="{00000000-0005-0000-0000-0000A80A0000}"/>
    <cellStyle name="s_P_L_Ratios_B_Actualisation provision contrat déficitaire SNCM 2011 V3 30 05 2011_PAO-CAF-RESOP_04_13_pro_format_variante T1_Bridge_Zone_Sud" xfId="2651" xr:uid="{00000000-0005-0000-0000-0000A90A0000}"/>
    <cellStyle name="s_P_L_Ratios_B_Actualisation provision contrat déficitaire SNCM 2011 V3 30 05 2011_PAO-CAF-RESOP_06_13" xfId="2652" xr:uid="{00000000-0005-0000-0000-0000AA0A0000}"/>
    <cellStyle name="s_P_L_Ratios_B_Actualisation provision contrat déficitaire SNCM 2011 V3 30 05 2011_PAO-CAF-RESOP_06_13_B14_E2_2210" xfId="2653" xr:uid="{00000000-0005-0000-0000-0000AB0A0000}"/>
    <cellStyle name="s_P_L_Ratios_B_Actualisation provision contrat déficitaire SNCM 2011 V3 30 05 2011_PAO-CAF-RESOP_06_13_B14_E2_2210_Bridge_Zone_Sud" xfId="2654" xr:uid="{00000000-0005-0000-0000-0000AC0A0000}"/>
    <cellStyle name="s_P_L_Ratios_B_Actualisation provision contrat déficitaire SNCM 2011 V3 30 05 2011_PAO-CAF-RESOP_06_13_Bridge_Zone_Sud" xfId="2655" xr:uid="{00000000-0005-0000-0000-0000AD0A0000}"/>
    <cellStyle name="s_P_L_Ratios_B_Actualisation provision contrat déficitaire SNCM 2011 V3 30 05 2011_PAO-CAF-RESOP_08_13" xfId="2656" xr:uid="{00000000-0005-0000-0000-0000AE0A0000}"/>
    <cellStyle name="s_P_L_Ratios_B_Actualisation provision contrat déficitaire SNCM 2011 V3 30 05 2011_PAO-CAF-RESOP_08_13_B14_E2_2210" xfId="2657" xr:uid="{00000000-0005-0000-0000-0000AF0A0000}"/>
    <cellStyle name="s_P_L_Ratios_B_Actualisation provision contrat déficitaire SNCM 2011 V3 30 05 2011_PAO-CAF-RESOP_08_13_B14_E2_2210_Bridge_Zone_Sud" xfId="2658" xr:uid="{00000000-0005-0000-0000-0000B00A0000}"/>
    <cellStyle name="s_P_L_Ratios_B_Actualisation provision contrat déficitaire SNCM 2011 V3 30 05 2011_PAO-CAF-RESOP_08_13_Bridge_Zone_Sud" xfId="2659" xr:uid="{00000000-0005-0000-0000-0000B10A0000}"/>
    <cellStyle name="s_P_L_Ratios_B_Actualisation provision contrat déficitaire SNCM 2011 V3 30 05 2011_PAO-CAF-RESOP_09_13" xfId="2660" xr:uid="{00000000-0005-0000-0000-0000B20A0000}"/>
    <cellStyle name="s_P_L_Ratios_B_Actualisation provision contrat déficitaire SNCM 2011 V3 30 05 2011_PAO-CAF-RESOP_09_13_Bridge_Zone_Sud" xfId="2661" xr:uid="{00000000-0005-0000-0000-0000B30A0000}"/>
    <cellStyle name="s_P_L_Ratios_B_Actualisation provision contrat déficitaire SNCM 2011 V3 30 05 2011_PAO-CAF-RESOP_09_2013_Zone_IDF (version 2)" xfId="2662" xr:uid="{00000000-0005-0000-0000-0000B40A0000}"/>
    <cellStyle name="s_P_L_Ratios_B_Actualisation provision contrat déficitaire SNCM 2011 V3 30 05 2011_PAO-CAF-RESOP_10_12" xfId="2663" xr:uid="{00000000-0005-0000-0000-0000B50A0000}"/>
    <cellStyle name="s_P_L_Ratios_B_Actualisation provision contrat déficitaire SNCM 2011 V3 30 05 2011_PAO-CAF-RESOP_10_12_Bridge_Zone_Sud" xfId="2664" xr:uid="{00000000-0005-0000-0000-0000B60A0000}"/>
    <cellStyle name="s_P_L_Ratios_B_Actualisation provision contrat déficitaire SNCM 2011 V3 30 05 2011_PAO-CAF-RESOP_10_12_focus par entités CAFOP" xfId="2665" xr:uid="{00000000-0005-0000-0000-0000B70A0000}"/>
    <cellStyle name="s_P_L_Ratios_B_Actualisation provision contrat déficitaire SNCM 2011 V3 30 05 2011_PAO-CAF-RESOP_10_12_focus par entités CAFOP_Bridge_Zone_Sud" xfId="2666" xr:uid="{00000000-0005-0000-0000-0000B80A0000}"/>
    <cellStyle name="s_P_L_Ratios_B_Actualisation provision contrat déficitaire SNCM 2011 V3 30 05 2011_PAO-CAF-RESOP_11_13" xfId="2667" xr:uid="{00000000-0005-0000-0000-0000B90A0000}"/>
    <cellStyle name="s_P_L_Ratios_B_Actualisation provision contrat déficitaire SNCM 2011 V3 30 05 2011_PAO-CAF-RESOP_B13" xfId="2668" xr:uid="{00000000-0005-0000-0000-0000BA0A0000}"/>
    <cellStyle name="s_P_L_Ratios_B_Actualisation provision contrat déficitaire SNCM 2011 V3 30 05 2011_PAO-CAF-RESOP_B13_Bridge_Zone_Sud" xfId="2669" xr:uid="{00000000-0005-0000-0000-0000BB0A0000}"/>
    <cellStyle name="s_P_L_Ratios_B_Actualisation provision contrat déficitaire SNCM 2011 V3 30 05 2011_PAO-CAF-RESOP_B13_focus par entités CAFOP" xfId="2670" xr:uid="{00000000-0005-0000-0000-0000BC0A0000}"/>
    <cellStyle name="s_P_L_Ratios_B_Actualisation provision contrat déficitaire SNCM 2011 V3 30 05 2011_PAO-CAF-RESOP_B13_focus par entités CAFOP_Bridge_Zone_Sud" xfId="2671" xr:uid="{00000000-0005-0000-0000-0000BD0A0000}"/>
    <cellStyle name="s_P_L_Ratios_B_Actualisation provision contrat déficitaire SNCM 2011 V3 30 05 2011_PAO-CAF-RESOP_B2014" xfId="2672" xr:uid="{00000000-0005-0000-0000-0000BE0A0000}"/>
    <cellStyle name="s_P_L_Ratios_B_Actualisation provision contrat déficitaire SNCM 2011 V3 30 05 2011_PAO-CAF-RESOP_B2014_Bridge_Zone_Sud" xfId="2673" xr:uid="{00000000-0005-0000-0000-0000BF0A0000}"/>
    <cellStyle name="s_P_L_Ratios_B_Actualisation provision contrat déficitaire SNCM 2011 V3 30 05 2011_PAO-CAF-RESOP_B2014_v2" xfId="2674" xr:uid="{00000000-0005-0000-0000-0000C00A0000}"/>
    <cellStyle name="s_P_L_Ratios_B_Actualisation provision contrat déficitaire SNCM 2011 V3 30 05 2011_PAO-CAF-RESOP_E2_13" xfId="2675" xr:uid="{00000000-0005-0000-0000-0000C10A0000}"/>
    <cellStyle name="s_P_L_Ratios_B_Actualisation provision contrat déficitaire SNCM 2011 V3 30 05 2011_PAO-CAF-RESOP_E2_13_B14_E2_2210" xfId="2676" xr:uid="{00000000-0005-0000-0000-0000C20A0000}"/>
    <cellStyle name="s_P_L_Ratios_B_Actualisation provision contrat déficitaire SNCM 2011 V3 30 05 2011_PAO-CAF-RESOP_E2_13_B14_E2_2210_Bridge_Zone_Sud" xfId="2677" xr:uid="{00000000-0005-0000-0000-0000C30A0000}"/>
    <cellStyle name="s_P_L_Ratios_B_Actualisation provision contrat déficitaire SNCM 2011 V3 30 05 2011_PAO-CAF-RESOP_E2_13_Bridge_Zone_Sud" xfId="2678" xr:uid="{00000000-0005-0000-0000-0000C40A0000}"/>
    <cellStyle name="s_P_L_Ratios_B_Actualisation provision contrat déficitaire SNCM 2011 V3 30 05 2011_PAO-CAF-RESOP_E2_2013_03_10_19H" xfId="2679" xr:uid="{00000000-0005-0000-0000-0000C50A0000}"/>
    <cellStyle name="s_P_L_Ratios_B_Actualisation provision contrat déficitaire SNCM 2011 V3 30 05 2011_PAO-CAF-RESOP_E2_2013_03_10_19H_Bridge_Zone_Sud" xfId="2680" xr:uid="{00000000-0005-0000-0000-0000C60A0000}"/>
    <cellStyle name="s_P_L_Ratios_B_Actualisation provision contrat déficitaire SNCM 2011 V3 30 05 2011_PPA" xfId="2681" xr:uid="{00000000-0005-0000-0000-0000C70A0000}"/>
    <cellStyle name="s_P_L_Ratios_B_Actualisation provision contrat déficitaire SNCM 2011 V3 30 05 2011_RESOP bef CICE&amp;PPA&amp;RepartHO" xfId="2682" xr:uid="{00000000-0005-0000-0000-0000C80A0000}"/>
    <cellStyle name="s_P_L_Ratios_B_Actualisation provision contrat déficitaire SNCM 2011 V3 30 05 2011_Synthèse_Présentation_conso_retraitée" xfId="2683" xr:uid="{00000000-0005-0000-0000-0000C90A0000}"/>
    <cellStyle name="s_P_L_Ratios_B_B14_E2_2210" xfId="2684" xr:uid="{00000000-0005-0000-0000-0000CA0A0000}"/>
    <cellStyle name="s_P_L_Ratios_B_B14_E2_2210_Bridge_Zone_Sud" xfId="2685" xr:uid="{00000000-0005-0000-0000-0000CB0A0000}"/>
    <cellStyle name="s_P_L_Ratios_B_BFR_TD_2014.02" xfId="2686" xr:uid="{00000000-0005-0000-0000-0000CC0A0000}"/>
    <cellStyle name="s_P_L_Ratios_B_Bridge_Zone_Nord" xfId="2687" xr:uid="{00000000-0005-0000-0000-0000CD0A0000}"/>
    <cellStyle name="s_P_L_Ratios_B_CAPEM BY COUNTRY" xfId="2688" xr:uid="{00000000-0005-0000-0000-0000CE0A0000}"/>
    <cellStyle name="s_P_L_Ratios_B_LI819L_B13" xfId="2689" xr:uid="{00000000-0005-0000-0000-0000CF0A0000}"/>
    <cellStyle name="s_P_L_Ratios_B_LI819L_B13_CAPEM BY COUNTRY" xfId="2690" xr:uid="{00000000-0005-0000-0000-0000D00A0000}"/>
    <cellStyle name="s_P_L_Ratios_B_LI819L_B13_Maquette PLT" xfId="2691" xr:uid="{00000000-0005-0000-0000-0000D10A0000}"/>
    <cellStyle name="s_P_L_Ratios_B_LI819L_B13_Output" xfId="3437" xr:uid="{00000000-0005-0000-0000-0000D20A0000}"/>
    <cellStyle name="s_P_L_Ratios_B_LI819L_B13_PPA" xfId="2692" xr:uid="{00000000-0005-0000-0000-0000D30A0000}"/>
    <cellStyle name="s_P_L_Ratios_B_LI819L_B13_RESOP bef CICE&amp;PPA&amp;RepartHO" xfId="2693" xr:uid="{00000000-0005-0000-0000-0000D40A0000}"/>
    <cellStyle name="s_P_L_Ratios_B_Maquette PLT" xfId="2694" xr:uid="{00000000-0005-0000-0000-0000D50A0000}"/>
    <cellStyle name="s_P_L_Ratios_B_Output" xfId="3434" xr:uid="{00000000-0005-0000-0000-0000D60A0000}"/>
    <cellStyle name="s_P_L_Ratios_B_PAO-CAF-RESOP_14_01_13 à 20h" xfId="2695" xr:uid="{00000000-0005-0000-0000-0000D70A0000}"/>
    <cellStyle name="s_P_L_Ratios_B_PAO-CAF-RESOP_14_01_13 à 20h_CAPEM BY COUNTRY" xfId="2696" xr:uid="{00000000-0005-0000-0000-0000D80A0000}"/>
    <cellStyle name="s_P_L_Ratios_B_PAO-CAF-RESOP_14_01_13 à 20h_Maquette PLT" xfId="2697" xr:uid="{00000000-0005-0000-0000-0000D90A0000}"/>
    <cellStyle name="s_P_L_Ratios_B_PAO-CAF-RESOP_14_01_13 à 20h_Output" xfId="3438" xr:uid="{00000000-0005-0000-0000-0000DA0A0000}"/>
    <cellStyle name="s_P_L_Ratios_B_PAO-CAF-RESOP_14_01_13 à 20h_PPA" xfId="2698" xr:uid="{00000000-0005-0000-0000-0000DB0A0000}"/>
    <cellStyle name="s_P_L_Ratios_B_PAO-CAF-RESOP_14_01_13 à 20h_RESOP bef CICE&amp;PPA&amp;RepartHO" xfId="2699" xr:uid="{00000000-0005-0000-0000-0000DC0A0000}"/>
    <cellStyle name="s_P_L_Ratios_B_PAO-CAF-RESOP_2014.02" xfId="2700" xr:uid="{00000000-0005-0000-0000-0000DD0A0000}"/>
    <cellStyle name="s_P_L_Ratios_B_PAO-CAF-RESOP_2014.02_Bridge_Zone_Sud" xfId="2701" xr:uid="{00000000-0005-0000-0000-0000DE0A0000}"/>
    <cellStyle name="s_P_L_Ratios_B_PPA" xfId="2702" xr:uid="{00000000-0005-0000-0000-0000DF0A0000}"/>
    <cellStyle name="s_P_L_Ratios_B_RESOP bef CICE&amp;PPA&amp;RepartHO" xfId="2703" xr:uid="{00000000-0005-0000-0000-0000E00A0000}"/>
    <cellStyle name="s_P_L_Ratios_B14_E2_2210" xfId="2704" xr:uid="{00000000-0005-0000-0000-0000E10A0000}"/>
    <cellStyle name="s_P_L_Ratios_B14_E2_2210_Bridge_Zone_Sud" xfId="2705" xr:uid="{00000000-0005-0000-0000-0000E20A0000}"/>
    <cellStyle name="s_P_L_Ratios_BFR_TD_2014.02" xfId="2706" xr:uid="{00000000-0005-0000-0000-0000E30A0000}"/>
    <cellStyle name="s_P_L_Ratios_Bridge_Zone_Nord" xfId="2707" xr:uid="{00000000-0005-0000-0000-0000E40A0000}"/>
    <cellStyle name="s_P_L_Ratios_CAPEM BY COUNTRY" xfId="2708" xr:uid="{00000000-0005-0000-0000-0000E50A0000}"/>
    <cellStyle name="s_P_L_Ratios_LI819L_B13" xfId="2709" xr:uid="{00000000-0005-0000-0000-0000E60A0000}"/>
    <cellStyle name="s_P_L_Ratios_LI819L_B13_CAPEM BY COUNTRY" xfId="2710" xr:uid="{00000000-0005-0000-0000-0000E70A0000}"/>
    <cellStyle name="s_P_L_Ratios_LI819L_B13_Maquette PLT" xfId="2711" xr:uid="{00000000-0005-0000-0000-0000E80A0000}"/>
    <cellStyle name="s_P_L_Ratios_LI819L_B13_Output" xfId="3439" xr:uid="{00000000-0005-0000-0000-0000E90A0000}"/>
    <cellStyle name="s_P_L_Ratios_LI819L_B13_PPA" xfId="2712" xr:uid="{00000000-0005-0000-0000-0000EA0A0000}"/>
    <cellStyle name="s_P_L_Ratios_LI819L_B13_RESOP bef CICE&amp;PPA&amp;RepartHO" xfId="2713" xr:uid="{00000000-0005-0000-0000-0000EB0A0000}"/>
    <cellStyle name="s_P_L_Ratios_Maquette PLT" xfId="2714" xr:uid="{00000000-0005-0000-0000-0000EC0A0000}"/>
    <cellStyle name="s_P_L_Ratios_Output" xfId="3431" xr:uid="{00000000-0005-0000-0000-0000ED0A0000}"/>
    <cellStyle name="s_P_L_Ratios_PAO-CAF-RESOP_14_01_13 à 20h" xfId="2715" xr:uid="{00000000-0005-0000-0000-0000EE0A0000}"/>
    <cellStyle name="s_P_L_Ratios_PAO-CAF-RESOP_14_01_13 à 20h_CAPEM BY COUNTRY" xfId="2716" xr:uid="{00000000-0005-0000-0000-0000EF0A0000}"/>
    <cellStyle name="s_P_L_Ratios_PAO-CAF-RESOP_14_01_13 à 20h_Maquette PLT" xfId="2717" xr:uid="{00000000-0005-0000-0000-0000F00A0000}"/>
    <cellStyle name="s_P_L_Ratios_PAO-CAF-RESOP_14_01_13 à 20h_Output" xfId="3440" xr:uid="{00000000-0005-0000-0000-0000F10A0000}"/>
    <cellStyle name="s_P_L_Ratios_PAO-CAF-RESOP_14_01_13 à 20h_PPA" xfId="2718" xr:uid="{00000000-0005-0000-0000-0000F20A0000}"/>
    <cellStyle name="s_P_L_Ratios_PAO-CAF-RESOP_14_01_13 à 20h_RESOP bef CICE&amp;PPA&amp;RepartHO" xfId="2719" xr:uid="{00000000-0005-0000-0000-0000F30A0000}"/>
    <cellStyle name="s_P_L_Ratios_PAO-CAF-RESOP_2014.02" xfId="2720" xr:uid="{00000000-0005-0000-0000-0000F40A0000}"/>
    <cellStyle name="s_P_L_Ratios_PAO-CAF-RESOP_2014.02_Bridge_Zone_Sud" xfId="2721" xr:uid="{00000000-0005-0000-0000-0000F50A0000}"/>
    <cellStyle name="s_P_L_Ratios_PPA" xfId="2722" xr:uid="{00000000-0005-0000-0000-0000F60A0000}"/>
    <cellStyle name="s_P_L_Ratios_RESOP bef CICE&amp;PPA&amp;RepartHO" xfId="2723" xr:uid="{00000000-0005-0000-0000-0000F70A0000}"/>
    <cellStyle name="s_PAO-CAF-RESOP_14_01_13 à 20h" xfId="2724" xr:uid="{00000000-0005-0000-0000-0000F80A0000}"/>
    <cellStyle name="s_PAO-CAF-RESOP_14_01_13 à 20h_CAPEM BY COUNTRY" xfId="2725" xr:uid="{00000000-0005-0000-0000-0000F90A0000}"/>
    <cellStyle name="s_PAO-CAF-RESOP_14_01_13 à 20h_Maquette PLT" xfId="2726" xr:uid="{00000000-0005-0000-0000-0000FA0A0000}"/>
    <cellStyle name="s_PAO-CAF-RESOP_14_01_13 à 20h_Output" xfId="3441" xr:uid="{00000000-0005-0000-0000-0000FB0A0000}"/>
    <cellStyle name="s_PAO-CAF-RESOP_14_01_13 à 20h_PPA" xfId="2727" xr:uid="{00000000-0005-0000-0000-0000FC0A0000}"/>
    <cellStyle name="s_PAO-CAF-RESOP_14_01_13 à 20h_RESOP bef CICE&amp;PPA&amp;RepartHO" xfId="2728" xr:uid="{00000000-0005-0000-0000-0000FD0A0000}"/>
    <cellStyle name="s_PAO-CAF-RESOP_2014.02" xfId="2729" xr:uid="{00000000-0005-0000-0000-0000FE0A0000}"/>
    <cellStyle name="s_PAO-CAF-RESOP_2014.02_Bridge_Zone_Sud" xfId="2730" xr:uid="{00000000-0005-0000-0000-0000FF0A0000}"/>
    <cellStyle name="s_PPA" xfId="2731" xr:uid="{00000000-0005-0000-0000-0000000B0000}"/>
    <cellStyle name="s_RESOP bef CICE&amp;PPA&amp;RepartHO" xfId="2732" xr:uid="{00000000-0005-0000-0000-0000010B0000}"/>
    <cellStyle name="s_S_By_S" xfId="2733" xr:uid="{00000000-0005-0000-0000-0000020B0000}"/>
    <cellStyle name="s_S_By_S_Actualisation provision contrat déficitaire SNCM 2010 V Def" xfId="2734" xr:uid="{00000000-0005-0000-0000-0000030B0000}"/>
    <cellStyle name="s_S_By_S_Actualisation provision contrat déficitaire SNCM 2010 V Def_B14_E2_2210" xfId="2735" xr:uid="{00000000-0005-0000-0000-0000040B0000}"/>
    <cellStyle name="s_S_By_S_Actualisation provision contrat déficitaire SNCM 2010 V Def_B14_E2_2210_Bridge_Zone_Sud" xfId="2736" xr:uid="{00000000-0005-0000-0000-0000050B0000}"/>
    <cellStyle name="s_S_By_S_Actualisation provision contrat déficitaire SNCM 2010 V Def_Bridge_Zone_Sud" xfId="2737" xr:uid="{00000000-0005-0000-0000-0000060B0000}"/>
    <cellStyle name="s_S_By_S_Actualisation provision contrat déficitaire SNCM 2010 V Def_CAPEM BY COUNTRY" xfId="2738" xr:uid="{00000000-0005-0000-0000-0000070B0000}"/>
    <cellStyle name="s_S_By_S_Actualisation provision contrat déficitaire SNCM 2010 V Def_focus par entités CAFOPE2AMF" xfId="2739" xr:uid="{00000000-0005-0000-0000-0000080B0000}"/>
    <cellStyle name="s_S_By_S_Actualisation provision contrat déficitaire SNCM 2010 V Def_focus par entités CAFOPE2AMF_Bridge_Zone_Sud" xfId="2740" xr:uid="{00000000-0005-0000-0000-0000090B0000}"/>
    <cellStyle name="s_S_By_S_Actualisation provision contrat déficitaire SNCM 2010 V Def_Maquette PLT" xfId="2741" xr:uid="{00000000-0005-0000-0000-00000A0B0000}"/>
    <cellStyle name="s_S_By_S_Actualisation provision contrat déficitaire SNCM 2010 V Def_Output" xfId="3443" xr:uid="{00000000-0005-0000-0000-00000B0B0000}"/>
    <cellStyle name="s_S_By_S_Actualisation provision contrat déficitaire SNCM 2010 V Def_PAO-CAF-RESOP_04_13_pro_format_variante T1" xfId="2742" xr:uid="{00000000-0005-0000-0000-00000C0B0000}"/>
    <cellStyle name="s_S_By_S_Actualisation provision contrat déficitaire SNCM 2010 V Def_PAO-CAF-RESOP_04_13_pro_format_variante T1_B14_E2_2210" xfId="2743" xr:uid="{00000000-0005-0000-0000-00000D0B0000}"/>
    <cellStyle name="s_S_By_S_Actualisation provision contrat déficitaire SNCM 2010 V Def_PAO-CAF-RESOP_04_13_pro_format_variante T1_B14_E2_2210_Bridge_Zone_Sud" xfId="2744" xr:uid="{00000000-0005-0000-0000-00000E0B0000}"/>
    <cellStyle name="s_S_By_S_Actualisation provision contrat déficitaire SNCM 2010 V Def_PAO-CAF-RESOP_04_13_pro_format_variante T1_Bridge_Zone_Sud" xfId="2745" xr:uid="{00000000-0005-0000-0000-00000F0B0000}"/>
    <cellStyle name="s_S_By_S_Actualisation provision contrat déficitaire SNCM 2010 V Def_PAO-CAF-RESOP_06_13" xfId="2746" xr:uid="{00000000-0005-0000-0000-0000100B0000}"/>
    <cellStyle name="s_S_By_S_Actualisation provision contrat déficitaire SNCM 2010 V Def_PAO-CAF-RESOP_06_13_B14_E2_2210" xfId="2747" xr:uid="{00000000-0005-0000-0000-0000110B0000}"/>
    <cellStyle name="s_S_By_S_Actualisation provision contrat déficitaire SNCM 2010 V Def_PAO-CAF-RESOP_06_13_B14_E2_2210_Bridge_Zone_Sud" xfId="2748" xr:uid="{00000000-0005-0000-0000-0000120B0000}"/>
    <cellStyle name="s_S_By_S_Actualisation provision contrat déficitaire SNCM 2010 V Def_PAO-CAF-RESOP_06_13_Bridge_Zone_Sud" xfId="2749" xr:uid="{00000000-0005-0000-0000-0000130B0000}"/>
    <cellStyle name="s_S_By_S_Actualisation provision contrat déficitaire SNCM 2010 V Def_PAO-CAF-RESOP_08_13" xfId="2750" xr:uid="{00000000-0005-0000-0000-0000140B0000}"/>
    <cellStyle name="s_S_By_S_Actualisation provision contrat déficitaire SNCM 2010 V Def_PAO-CAF-RESOP_08_13_B14_E2_2210" xfId="2751" xr:uid="{00000000-0005-0000-0000-0000150B0000}"/>
    <cellStyle name="s_S_By_S_Actualisation provision contrat déficitaire SNCM 2010 V Def_PAO-CAF-RESOP_08_13_B14_E2_2210_Bridge_Zone_Sud" xfId="2752" xr:uid="{00000000-0005-0000-0000-0000160B0000}"/>
    <cellStyle name="s_S_By_S_Actualisation provision contrat déficitaire SNCM 2010 V Def_PAO-CAF-RESOP_08_13_Bridge_Zone_Sud" xfId="2753" xr:uid="{00000000-0005-0000-0000-0000170B0000}"/>
    <cellStyle name="s_S_By_S_Actualisation provision contrat déficitaire SNCM 2010 V Def_PAO-CAF-RESOP_09_13" xfId="2754" xr:uid="{00000000-0005-0000-0000-0000180B0000}"/>
    <cellStyle name="s_S_By_S_Actualisation provision contrat déficitaire SNCM 2010 V Def_PAO-CAF-RESOP_09_13_Bridge_Zone_Sud" xfId="2755" xr:uid="{00000000-0005-0000-0000-0000190B0000}"/>
    <cellStyle name="s_S_By_S_Actualisation provision contrat déficitaire SNCM 2010 V Def_PAO-CAF-RESOP_09_2013_Zone_IDF (version 2)" xfId="2756" xr:uid="{00000000-0005-0000-0000-00001A0B0000}"/>
    <cellStyle name="s_S_By_S_Actualisation provision contrat déficitaire SNCM 2010 V Def_PAO-CAF-RESOP_10_12" xfId="2757" xr:uid="{00000000-0005-0000-0000-00001B0B0000}"/>
    <cellStyle name="s_S_By_S_Actualisation provision contrat déficitaire SNCM 2010 V Def_PAO-CAF-RESOP_10_12_Bridge_Zone_Sud" xfId="2758" xr:uid="{00000000-0005-0000-0000-00001C0B0000}"/>
    <cellStyle name="s_S_By_S_Actualisation provision contrat déficitaire SNCM 2010 V Def_PAO-CAF-RESOP_10_12_focus par entités CAFOP" xfId="2759" xr:uid="{00000000-0005-0000-0000-00001D0B0000}"/>
    <cellStyle name="s_S_By_S_Actualisation provision contrat déficitaire SNCM 2010 V Def_PAO-CAF-RESOP_10_12_focus par entités CAFOP_Bridge_Zone_Sud" xfId="2760" xr:uid="{00000000-0005-0000-0000-00001E0B0000}"/>
    <cellStyle name="s_S_By_S_Actualisation provision contrat déficitaire SNCM 2010 V Def_PAO-CAF-RESOP_11_13" xfId="2761" xr:uid="{00000000-0005-0000-0000-00001F0B0000}"/>
    <cellStyle name="s_S_By_S_Actualisation provision contrat déficitaire SNCM 2010 V Def_PAO-CAF-RESOP_B13" xfId="2762" xr:uid="{00000000-0005-0000-0000-0000200B0000}"/>
    <cellStyle name="s_S_By_S_Actualisation provision contrat déficitaire SNCM 2010 V Def_PAO-CAF-RESOP_B13_Bridge_Zone_Sud" xfId="2763" xr:uid="{00000000-0005-0000-0000-0000210B0000}"/>
    <cellStyle name="s_S_By_S_Actualisation provision contrat déficitaire SNCM 2010 V Def_PAO-CAF-RESOP_B13_focus par entités CAFOP" xfId="2764" xr:uid="{00000000-0005-0000-0000-0000220B0000}"/>
    <cellStyle name="s_S_By_S_Actualisation provision contrat déficitaire SNCM 2010 V Def_PAO-CAF-RESOP_B13_focus par entités CAFOP_Bridge_Zone_Sud" xfId="2765" xr:uid="{00000000-0005-0000-0000-0000230B0000}"/>
    <cellStyle name="s_S_By_S_Actualisation provision contrat déficitaire SNCM 2010 V Def_PAO-CAF-RESOP_B2014" xfId="2766" xr:uid="{00000000-0005-0000-0000-0000240B0000}"/>
    <cellStyle name="s_S_By_S_Actualisation provision contrat déficitaire SNCM 2010 V Def_PAO-CAF-RESOP_B2014_Bridge_Zone_Sud" xfId="2767" xr:uid="{00000000-0005-0000-0000-0000250B0000}"/>
    <cellStyle name="s_S_By_S_Actualisation provision contrat déficitaire SNCM 2010 V Def_PAO-CAF-RESOP_B2014_v2" xfId="2768" xr:uid="{00000000-0005-0000-0000-0000260B0000}"/>
    <cellStyle name="s_S_By_S_Actualisation provision contrat déficitaire SNCM 2010 V Def_PAO-CAF-RESOP_E2_13" xfId="2769" xr:uid="{00000000-0005-0000-0000-0000270B0000}"/>
    <cellStyle name="s_S_By_S_Actualisation provision contrat déficitaire SNCM 2010 V Def_PAO-CAF-RESOP_E2_13_B14_E2_2210" xfId="2770" xr:uid="{00000000-0005-0000-0000-0000280B0000}"/>
    <cellStyle name="s_S_By_S_Actualisation provision contrat déficitaire SNCM 2010 V Def_PAO-CAF-RESOP_E2_13_B14_E2_2210_Bridge_Zone_Sud" xfId="2771" xr:uid="{00000000-0005-0000-0000-0000290B0000}"/>
    <cellStyle name="s_S_By_S_Actualisation provision contrat déficitaire SNCM 2010 V Def_PAO-CAF-RESOP_E2_13_Bridge_Zone_Sud" xfId="2772" xr:uid="{00000000-0005-0000-0000-00002A0B0000}"/>
    <cellStyle name="s_S_By_S_Actualisation provision contrat déficitaire SNCM 2010 V Def_PAO-CAF-RESOP_E2_2013_03_10_19H" xfId="2773" xr:uid="{00000000-0005-0000-0000-00002B0B0000}"/>
    <cellStyle name="s_S_By_S_Actualisation provision contrat déficitaire SNCM 2010 V Def_PAO-CAF-RESOP_E2_2013_03_10_19H_Bridge_Zone_Sud" xfId="2774" xr:uid="{00000000-0005-0000-0000-00002C0B0000}"/>
    <cellStyle name="s_S_By_S_Actualisation provision contrat déficitaire SNCM 2010 V Def_PPA" xfId="2775" xr:uid="{00000000-0005-0000-0000-00002D0B0000}"/>
    <cellStyle name="s_S_By_S_Actualisation provision contrat déficitaire SNCM 2010 V Def_RESOP bef CICE&amp;PPA&amp;RepartHO" xfId="2776" xr:uid="{00000000-0005-0000-0000-00002E0B0000}"/>
    <cellStyle name="s_S_By_S_Actualisation provision contrat déficitaire SNCM 2010 V Def_Synthèse_Présentation_conso_retraitée" xfId="2777" xr:uid="{00000000-0005-0000-0000-00002F0B0000}"/>
    <cellStyle name="s_S_By_S_Actualisation provision contrat déficitaire SNCM 2011 V3 30 05 2011" xfId="2778" xr:uid="{00000000-0005-0000-0000-0000300B0000}"/>
    <cellStyle name="s_S_By_S_Actualisation provision contrat déficitaire SNCM 2011 V3 30 05 2011_B14_E2_2210" xfId="2779" xr:uid="{00000000-0005-0000-0000-0000310B0000}"/>
    <cellStyle name="s_S_By_S_Actualisation provision contrat déficitaire SNCM 2011 V3 30 05 2011_B14_E2_2210_Bridge_Zone_Sud" xfId="2780" xr:uid="{00000000-0005-0000-0000-0000320B0000}"/>
    <cellStyle name="s_S_By_S_Actualisation provision contrat déficitaire SNCM 2011 V3 30 05 2011_Bridge_Zone_Sud" xfId="2781" xr:uid="{00000000-0005-0000-0000-0000330B0000}"/>
    <cellStyle name="s_S_By_S_Actualisation provision contrat déficitaire SNCM 2011 V3 30 05 2011_CAPEM BY COUNTRY" xfId="2782" xr:uid="{00000000-0005-0000-0000-0000340B0000}"/>
    <cellStyle name="s_S_By_S_Actualisation provision contrat déficitaire SNCM 2011 V3 30 05 2011_focus par entités CAFOPE2AMF" xfId="2783" xr:uid="{00000000-0005-0000-0000-0000350B0000}"/>
    <cellStyle name="s_S_By_S_Actualisation provision contrat déficitaire SNCM 2011 V3 30 05 2011_focus par entités CAFOPE2AMF_Bridge_Zone_Sud" xfId="2784" xr:uid="{00000000-0005-0000-0000-0000360B0000}"/>
    <cellStyle name="s_S_By_S_Actualisation provision contrat déficitaire SNCM 2011 V3 30 05 2011_Maquette PLT" xfId="2785" xr:uid="{00000000-0005-0000-0000-0000370B0000}"/>
    <cellStyle name="s_S_By_S_Actualisation provision contrat déficitaire SNCM 2011 V3 30 05 2011_Output" xfId="3444" xr:uid="{00000000-0005-0000-0000-0000380B0000}"/>
    <cellStyle name="s_S_By_S_Actualisation provision contrat déficitaire SNCM 2011 V3 30 05 2011_PAO-CAF-RESOP_04_13_pro_format_variante T1" xfId="2786" xr:uid="{00000000-0005-0000-0000-0000390B0000}"/>
    <cellStyle name="s_S_By_S_Actualisation provision contrat déficitaire SNCM 2011 V3 30 05 2011_PAO-CAF-RESOP_04_13_pro_format_variante T1_B14_E2_2210" xfId="2787" xr:uid="{00000000-0005-0000-0000-00003A0B0000}"/>
    <cellStyle name="s_S_By_S_Actualisation provision contrat déficitaire SNCM 2011 V3 30 05 2011_PAO-CAF-RESOP_04_13_pro_format_variante T1_B14_E2_2210_Bridge_Zone_Sud" xfId="2788" xr:uid="{00000000-0005-0000-0000-00003B0B0000}"/>
    <cellStyle name="s_S_By_S_Actualisation provision contrat déficitaire SNCM 2011 V3 30 05 2011_PAO-CAF-RESOP_04_13_pro_format_variante T1_Bridge_Zone_Sud" xfId="2789" xr:uid="{00000000-0005-0000-0000-00003C0B0000}"/>
    <cellStyle name="s_S_By_S_Actualisation provision contrat déficitaire SNCM 2011 V3 30 05 2011_PAO-CAF-RESOP_06_13" xfId="2790" xr:uid="{00000000-0005-0000-0000-00003D0B0000}"/>
    <cellStyle name="s_S_By_S_Actualisation provision contrat déficitaire SNCM 2011 V3 30 05 2011_PAO-CAF-RESOP_06_13_B14_E2_2210" xfId="2791" xr:uid="{00000000-0005-0000-0000-00003E0B0000}"/>
    <cellStyle name="s_S_By_S_Actualisation provision contrat déficitaire SNCM 2011 V3 30 05 2011_PAO-CAF-RESOP_06_13_B14_E2_2210_Bridge_Zone_Sud" xfId="2792" xr:uid="{00000000-0005-0000-0000-00003F0B0000}"/>
    <cellStyle name="s_S_By_S_Actualisation provision contrat déficitaire SNCM 2011 V3 30 05 2011_PAO-CAF-RESOP_06_13_Bridge_Zone_Sud" xfId="2793" xr:uid="{00000000-0005-0000-0000-0000400B0000}"/>
    <cellStyle name="s_S_By_S_Actualisation provision contrat déficitaire SNCM 2011 V3 30 05 2011_PAO-CAF-RESOP_08_13" xfId="2794" xr:uid="{00000000-0005-0000-0000-0000410B0000}"/>
    <cellStyle name="s_S_By_S_Actualisation provision contrat déficitaire SNCM 2011 V3 30 05 2011_PAO-CAF-RESOP_08_13_B14_E2_2210" xfId="2795" xr:uid="{00000000-0005-0000-0000-0000420B0000}"/>
    <cellStyle name="s_S_By_S_Actualisation provision contrat déficitaire SNCM 2011 V3 30 05 2011_PAO-CAF-RESOP_08_13_B14_E2_2210_Bridge_Zone_Sud" xfId="2796" xr:uid="{00000000-0005-0000-0000-0000430B0000}"/>
    <cellStyle name="s_S_By_S_Actualisation provision contrat déficitaire SNCM 2011 V3 30 05 2011_PAO-CAF-RESOP_08_13_Bridge_Zone_Sud" xfId="2797" xr:uid="{00000000-0005-0000-0000-0000440B0000}"/>
    <cellStyle name="s_S_By_S_Actualisation provision contrat déficitaire SNCM 2011 V3 30 05 2011_PAO-CAF-RESOP_09_13" xfId="2798" xr:uid="{00000000-0005-0000-0000-0000450B0000}"/>
    <cellStyle name="s_S_By_S_Actualisation provision contrat déficitaire SNCM 2011 V3 30 05 2011_PAO-CAF-RESOP_09_13_Bridge_Zone_Sud" xfId="2799" xr:uid="{00000000-0005-0000-0000-0000460B0000}"/>
    <cellStyle name="s_S_By_S_Actualisation provision contrat déficitaire SNCM 2011 V3 30 05 2011_PAO-CAF-RESOP_09_2013_Zone_IDF (version 2)" xfId="2800" xr:uid="{00000000-0005-0000-0000-0000470B0000}"/>
    <cellStyle name="s_S_By_S_Actualisation provision contrat déficitaire SNCM 2011 V3 30 05 2011_PAO-CAF-RESOP_10_12" xfId="2801" xr:uid="{00000000-0005-0000-0000-0000480B0000}"/>
    <cellStyle name="s_S_By_S_Actualisation provision contrat déficitaire SNCM 2011 V3 30 05 2011_PAO-CAF-RESOP_10_12_Bridge_Zone_Sud" xfId="2802" xr:uid="{00000000-0005-0000-0000-0000490B0000}"/>
    <cellStyle name="s_S_By_S_Actualisation provision contrat déficitaire SNCM 2011 V3 30 05 2011_PAO-CAF-RESOP_10_12_focus par entités CAFOP" xfId="2803" xr:uid="{00000000-0005-0000-0000-00004A0B0000}"/>
    <cellStyle name="s_S_By_S_Actualisation provision contrat déficitaire SNCM 2011 V3 30 05 2011_PAO-CAF-RESOP_10_12_focus par entités CAFOP_Bridge_Zone_Sud" xfId="2804" xr:uid="{00000000-0005-0000-0000-00004B0B0000}"/>
    <cellStyle name="s_S_By_S_Actualisation provision contrat déficitaire SNCM 2011 V3 30 05 2011_PAO-CAF-RESOP_11_13" xfId="2805" xr:uid="{00000000-0005-0000-0000-00004C0B0000}"/>
    <cellStyle name="s_S_By_S_Actualisation provision contrat déficitaire SNCM 2011 V3 30 05 2011_PAO-CAF-RESOP_B13" xfId="2806" xr:uid="{00000000-0005-0000-0000-00004D0B0000}"/>
    <cellStyle name="s_S_By_S_Actualisation provision contrat déficitaire SNCM 2011 V3 30 05 2011_PAO-CAF-RESOP_B13_Bridge_Zone_Sud" xfId="2807" xr:uid="{00000000-0005-0000-0000-00004E0B0000}"/>
    <cellStyle name="s_S_By_S_Actualisation provision contrat déficitaire SNCM 2011 V3 30 05 2011_PAO-CAF-RESOP_B13_focus par entités CAFOP" xfId="2808" xr:uid="{00000000-0005-0000-0000-00004F0B0000}"/>
    <cellStyle name="s_S_By_S_Actualisation provision contrat déficitaire SNCM 2011 V3 30 05 2011_PAO-CAF-RESOP_B13_focus par entités CAFOP_Bridge_Zone_Sud" xfId="2809" xr:uid="{00000000-0005-0000-0000-0000500B0000}"/>
    <cellStyle name="s_S_By_S_Actualisation provision contrat déficitaire SNCM 2011 V3 30 05 2011_PAO-CAF-RESOP_B2014" xfId="2810" xr:uid="{00000000-0005-0000-0000-0000510B0000}"/>
    <cellStyle name="s_S_By_S_Actualisation provision contrat déficitaire SNCM 2011 V3 30 05 2011_PAO-CAF-RESOP_B2014_Bridge_Zone_Sud" xfId="2811" xr:uid="{00000000-0005-0000-0000-0000520B0000}"/>
    <cellStyle name="s_S_By_S_Actualisation provision contrat déficitaire SNCM 2011 V3 30 05 2011_PAO-CAF-RESOP_B2014_v2" xfId="2812" xr:uid="{00000000-0005-0000-0000-0000530B0000}"/>
    <cellStyle name="s_S_By_S_Actualisation provision contrat déficitaire SNCM 2011 V3 30 05 2011_PAO-CAF-RESOP_E2_13" xfId="2813" xr:uid="{00000000-0005-0000-0000-0000540B0000}"/>
    <cellStyle name="s_S_By_S_Actualisation provision contrat déficitaire SNCM 2011 V3 30 05 2011_PAO-CAF-RESOP_E2_13_B14_E2_2210" xfId="2814" xr:uid="{00000000-0005-0000-0000-0000550B0000}"/>
    <cellStyle name="s_S_By_S_Actualisation provision contrat déficitaire SNCM 2011 V3 30 05 2011_PAO-CAF-RESOP_E2_13_B14_E2_2210_Bridge_Zone_Sud" xfId="2815" xr:uid="{00000000-0005-0000-0000-0000560B0000}"/>
    <cellStyle name="s_S_By_S_Actualisation provision contrat déficitaire SNCM 2011 V3 30 05 2011_PAO-CAF-RESOP_E2_13_Bridge_Zone_Sud" xfId="2816" xr:uid="{00000000-0005-0000-0000-0000570B0000}"/>
    <cellStyle name="s_S_By_S_Actualisation provision contrat déficitaire SNCM 2011 V3 30 05 2011_PAO-CAF-RESOP_E2_2013_03_10_19H" xfId="2817" xr:uid="{00000000-0005-0000-0000-0000580B0000}"/>
    <cellStyle name="s_S_By_S_Actualisation provision contrat déficitaire SNCM 2011 V3 30 05 2011_PAO-CAF-RESOP_E2_2013_03_10_19H_Bridge_Zone_Sud" xfId="2818" xr:uid="{00000000-0005-0000-0000-0000590B0000}"/>
    <cellStyle name="s_S_By_S_Actualisation provision contrat déficitaire SNCM 2011 V3 30 05 2011_PPA" xfId="2819" xr:uid="{00000000-0005-0000-0000-00005A0B0000}"/>
    <cellStyle name="s_S_By_S_Actualisation provision contrat déficitaire SNCM 2011 V3 30 05 2011_RESOP bef CICE&amp;PPA&amp;RepartHO" xfId="2820" xr:uid="{00000000-0005-0000-0000-00005B0B0000}"/>
    <cellStyle name="s_S_By_S_Actualisation provision contrat déficitaire SNCM 2011 V3 30 05 2011_Synthèse_Présentation_conso_retraitée" xfId="2821" xr:uid="{00000000-0005-0000-0000-00005C0B0000}"/>
    <cellStyle name="s_S_By_S_B14_E2_2210" xfId="2822" xr:uid="{00000000-0005-0000-0000-00005D0B0000}"/>
    <cellStyle name="s_S_By_S_B14_E2_2210_Bridge_Zone_Sud" xfId="2823" xr:uid="{00000000-0005-0000-0000-00005E0B0000}"/>
    <cellStyle name="s_S_By_S_BFR_TD_2014.02" xfId="2824" xr:uid="{00000000-0005-0000-0000-00005F0B0000}"/>
    <cellStyle name="s_S_By_S_Bridge_Zone_Nord" xfId="2825" xr:uid="{00000000-0005-0000-0000-0000600B0000}"/>
    <cellStyle name="s_S_By_S_CAPEM BY COUNTRY" xfId="2826" xr:uid="{00000000-0005-0000-0000-0000610B0000}"/>
    <cellStyle name="s_S_By_S_LI819L_B13" xfId="2827" xr:uid="{00000000-0005-0000-0000-0000620B0000}"/>
    <cellStyle name="s_S_By_S_LI819L_B13_CAPEM BY COUNTRY" xfId="2828" xr:uid="{00000000-0005-0000-0000-0000630B0000}"/>
    <cellStyle name="s_S_By_S_LI819L_B13_Maquette PLT" xfId="2829" xr:uid="{00000000-0005-0000-0000-0000640B0000}"/>
    <cellStyle name="s_S_By_S_LI819L_B13_Output" xfId="3445" xr:uid="{00000000-0005-0000-0000-0000650B0000}"/>
    <cellStyle name="s_S_By_S_LI819L_B13_PPA" xfId="2830" xr:uid="{00000000-0005-0000-0000-0000660B0000}"/>
    <cellStyle name="s_S_By_S_LI819L_B13_RESOP bef CICE&amp;PPA&amp;RepartHO" xfId="2831" xr:uid="{00000000-0005-0000-0000-0000670B0000}"/>
    <cellStyle name="s_S_By_S_Maquette PLT" xfId="2832" xr:uid="{00000000-0005-0000-0000-0000680B0000}"/>
    <cellStyle name="s_S_By_S_Output" xfId="3442" xr:uid="{00000000-0005-0000-0000-0000690B0000}"/>
    <cellStyle name="s_S_By_S_PAO-CAF-RESOP_14_01_13 à 20h" xfId="2833" xr:uid="{00000000-0005-0000-0000-00006A0B0000}"/>
    <cellStyle name="s_S_By_S_PAO-CAF-RESOP_14_01_13 à 20h_CAPEM BY COUNTRY" xfId="2834" xr:uid="{00000000-0005-0000-0000-00006B0B0000}"/>
    <cellStyle name="s_S_By_S_PAO-CAF-RESOP_14_01_13 à 20h_Maquette PLT" xfId="2835" xr:uid="{00000000-0005-0000-0000-00006C0B0000}"/>
    <cellStyle name="s_S_By_S_PAO-CAF-RESOP_14_01_13 à 20h_Output" xfId="3446" xr:uid="{00000000-0005-0000-0000-00006D0B0000}"/>
    <cellStyle name="s_S_By_S_PAO-CAF-RESOP_14_01_13 à 20h_PPA" xfId="2836" xr:uid="{00000000-0005-0000-0000-00006E0B0000}"/>
    <cellStyle name="s_S_By_S_PAO-CAF-RESOP_14_01_13 à 20h_RESOP bef CICE&amp;PPA&amp;RepartHO" xfId="2837" xr:uid="{00000000-0005-0000-0000-00006F0B0000}"/>
    <cellStyle name="s_S_By_S_PAO-CAF-RESOP_2014.02" xfId="2838" xr:uid="{00000000-0005-0000-0000-0000700B0000}"/>
    <cellStyle name="s_S_By_S_PAO-CAF-RESOP_2014.02_Bridge_Zone_Sud" xfId="2839" xr:uid="{00000000-0005-0000-0000-0000710B0000}"/>
    <cellStyle name="s_S_By_S_PPA" xfId="2840" xr:uid="{00000000-0005-0000-0000-0000720B0000}"/>
    <cellStyle name="s_S_By_S_RESOP bef CICE&amp;PPA&amp;RepartHO" xfId="2841" xr:uid="{00000000-0005-0000-0000-0000730B0000}"/>
    <cellStyle name="s_Sheet5" xfId="2842" xr:uid="{00000000-0005-0000-0000-0000740B0000}"/>
    <cellStyle name="s_Sheet5_Actualisation provision contrat déficitaire SNCM 2010 V Def" xfId="2843" xr:uid="{00000000-0005-0000-0000-0000750B0000}"/>
    <cellStyle name="s_Sheet5_Actualisation provision contrat déficitaire SNCM 2010 V Def_B14_E2_2210" xfId="2844" xr:uid="{00000000-0005-0000-0000-0000760B0000}"/>
    <cellStyle name="s_Sheet5_Actualisation provision contrat déficitaire SNCM 2010 V Def_B14_E2_2210_Bridge_Zone_Sud" xfId="2845" xr:uid="{00000000-0005-0000-0000-0000770B0000}"/>
    <cellStyle name="s_Sheet5_Actualisation provision contrat déficitaire SNCM 2010 V Def_Bridge_Zone_Sud" xfId="2846" xr:uid="{00000000-0005-0000-0000-0000780B0000}"/>
    <cellStyle name="s_Sheet5_Actualisation provision contrat déficitaire SNCM 2010 V Def_CAPEM BY COUNTRY" xfId="2847" xr:uid="{00000000-0005-0000-0000-0000790B0000}"/>
    <cellStyle name="s_Sheet5_Actualisation provision contrat déficitaire SNCM 2010 V Def_focus par entités CAFOPE2AMF" xfId="2848" xr:uid="{00000000-0005-0000-0000-00007A0B0000}"/>
    <cellStyle name="s_Sheet5_Actualisation provision contrat déficitaire SNCM 2010 V Def_focus par entités CAFOPE2AMF_Bridge_Zone_Sud" xfId="2849" xr:uid="{00000000-0005-0000-0000-00007B0B0000}"/>
    <cellStyle name="s_Sheet5_Actualisation provision contrat déficitaire SNCM 2010 V Def_Maquette PLT" xfId="2850" xr:uid="{00000000-0005-0000-0000-00007C0B0000}"/>
    <cellStyle name="s_Sheet5_Actualisation provision contrat déficitaire SNCM 2010 V Def_Output" xfId="3448" xr:uid="{00000000-0005-0000-0000-00007D0B0000}"/>
    <cellStyle name="s_Sheet5_Actualisation provision contrat déficitaire SNCM 2010 V Def_PAO-CAF-RESOP_04_13_pro_format_variante T1" xfId="2851" xr:uid="{00000000-0005-0000-0000-00007E0B0000}"/>
    <cellStyle name="s_Sheet5_Actualisation provision contrat déficitaire SNCM 2010 V Def_PAO-CAF-RESOP_04_13_pro_format_variante T1_B14_E2_2210" xfId="2852" xr:uid="{00000000-0005-0000-0000-00007F0B0000}"/>
    <cellStyle name="s_Sheet5_Actualisation provision contrat déficitaire SNCM 2010 V Def_PAO-CAF-RESOP_04_13_pro_format_variante T1_B14_E2_2210_Bridge_Zone_Sud" xfId="2853" xr:uid="{00000000-0005-0000-0000-0000800B0000}"/>
    <cellStyle name="s_Sheet5_Actualisation provision contrat déficitaire SNCM 2010 V Def_PAO-CAF-RESOP_04_13_pro_format_variante T1_Bridge_Zone_Sud" xfId="2854" xr:uid="{00000000-0005-0000-0000-0000810B0000}"/>
    <cellStyle name="s_Sheet5_Actualisation provision contrat déficitaire SNCM 2010 V Def_PAO-CAF-RESOP_06_13" xfId="2855" xr:uid="{00000000-0005-0000-0000-0000820B0000}"/>
    <cellStyle name="s_Sheet5_Actualisation provision contrat déficitaire SNCM 2010 V Def_PAO-CAF-RESOP_06_13_B14_E2_2210" xfId="2856" xr:uid="{00000000-0005-0000-0000-0000830B0000}"/>
    <cellStyle name="s_Sheet5_Actualisation provision contrat déficitaire SNCM 2010 V Def_PAO-CAF-RESOP_06_13_B14_E2_2210_Bridge_Zone_Sud" xfId="2857" xr:uid="{00000000-0005-0000-0000-0000840B0000}"/>
    <cellStyle name="s_Sheet5_Actualisation provision contrat déficitaire SNCM 2010 V Def_PAO-CAF-RESOP_06_13_Bridge_Zone_Sud" xfId="2858" xr:uid="{00000000-0005-0000-0000-0000850B0000}"/>
    <cellStyle name="s_Sheet5_Actualisation provision contrat déficitaire SNCM 2010 V Def_PAO-CAF-RESOP_08_13" xfId="2859" xr:uid="{00000000-0005-0000-0000-0000860B0000}"/>
    <cellStyle name="s_Sheet5_Actualisation provision contrat déficitaire SNCM 2010 V Def_PAO-CAF-RESOP_08_13_B14_E2_2210" xfId="2860" xr:uid="{00000000-0005-0000-0000-0000870B0000}"/>
    <cellStyle name="s_Sheet5_Actualisation provision contrat déficitaire SNCM 2010 V Def_PAO-CAF-RESOP_08_13_B14_E2_2210_Bridge_Zone_Sud" xfId="2861" xr:uid="{00000000-0005-0000-0000-0000880B0000}"/>
    <cellStyle name="s_Sheet5_Actualisation provision contrat déficitaire SNCM 2010 V Def_PAO-CAF-RESOP_08_13_Bridge_Zone_Sud" xfId="2862" xr:uid="{00000000-0005-0000-0000-0000890B0000}"/>
    <cellStyle name="s_Sheet5_Actualisation provision contrat déficitaire SNCM 2010 V Def_PAO-CAF-RESOP_09_13" xfId="2863" xr:uid="{00000000-0005-0000-0000-00008A0B0000}"/>
    <cellStyle name="s_Sheet5_Actualisation provision contrat déficitaire SNCM 2010 V Def_PAO-CAF-RESOP_09_13_Bridge_Zone_Sud" xfId="2864" xr:uid="{00000000-0005-0000-0000-00008B0B0000}"/>
    <cellStyle name="s_Sheet5_Actualisation provision contrat déficitaire SNCM 2010 V Def_PAO-CAF-RESOP_09_2013_Zone_IDF (version 2)" xfId="2865" xr:uid="{00000000-0005-0000-0000-00008C0B0000}"/>
    <cellStyle name="s_Sheet5_Actualisation provision contrat déficitaire SNCM 2010 V Def_PAO-CAF-RESOP_10_12" xfId="2866" xr:uid="{00000000-0005-0000-0000-00008D0B0000}"/>
    <cellStyle name="s_Sheet5_Actualisation provision contrat déficitaire SNCM 2010 V Def_PAO-CAF-RESOP_10_12_Bridge_Zone_Sud" xfId="2867" xr:uid="{00000000-0005-0000-0000-00008E0B0000}"/>
    <cellStyle name="s_Sheet5_Actualisation provision contrat déficitaire SNCM 2010 V Def_PAO-CAF-RESOP_10_12_focus par entités CAFOP" xfId="2868" xr:uid="{00000000-0005-0000-0000-00008F0B0000}"/>
    <cellStyle name="s_Sheet5_Actualisation provision contrat déficitaire SNCM 2010 V Def_PAO-CAF-RESOP_10_12_focus par entités CAFOP_Bridge_Zone_Sud" xfId="2869" xr:uid="{00000000-0005-0000-0000-0000900B0000}"/>
    <cellStyle name="s_Sheet5_Actualisation provision contrat déficitaire SNCM 2010 V Def_PAO-CAF-RESOP_11_13" xfId="2870" xr:uid="{00000000-0005-0000-0000-0000910B0000}"/>
    <cellStyle name="s_Sheet5_Actualisation provision contrat déficitaire SNCM 2010 V Def_PAO-CAF-RESOP_B13" xfId="2871" xr:uid="{00000000-0005-0000-0000-0000920B0000}"/>
    <cellStyle name="s_Sheet5_Actualisation provision contrat déficitaire SNCM 2010 V Def_PAO-CAF-RESOP_B13_Bridge_Zone_Sud" xfId="2872" xr:uid="{00000000-0005-0000-0000-0000930B0000}"/>
    <cellStyle name="s_Sheet5_Actualisation provision contrat déficitaire SNCM 2010 V Def_PAO-CAF-RESOP_B13_focus par entités CAFOP" xfId="2873" xr:uid="{00000000-0005-0000-0000-0000940B0000}"/>
    <cellStyle name="s_Sheet5_Actualisation provision contrat déficitaire SNCM 2010 V Def_PAO-CAF-RESOP_B13_focus par entités CAFOP_Bridge_Zone_Sud" xfId="2874" xr:uid="{00000000-0005-0000-0000-0000950B0000}"/>
    <cellStyle name="s_Sheet5_Actualisation provision contrat déficitaire SNCM 2010 V Def_PAO-CAF-RESOP_B2014" xfId="2875" xr:uid="{00000000-0005-0000-0000-0000960B0000}"/>
    <cellStyle name="s_Sheet5_Actualisation provision contrat déficitaire SNCM 2010 V Def_PAO-CAF-RESOP_B2014_Bridge_Zone_Sud" xfId="2876" xr:uid="{00000000-0005-0000-0000-0000970B0000}"/>
    <cellStyle name="s_Sheet5_Actualisation provision contrat déficitaire SNCM 2010 V Def_PAO-CAF-RESOP_B2014_v2" xfId="2877" xr:uid="{00000000-0005-0000-0000-0000980B0000}"/>
    <cellStyle name="s_Sheet5_Actualisation provision contrat déficitaire SNCM 2010 V Def_PAO-CAF-RESOP_E2_13" xfId="2878" xr:uid="{00000000-0005-0000-0000-0000990B0000}"/>
    <cellStyle name="s_Sheet5_Actualisation provision contrat déficitaire SNCM 2010 V Def_PAO-CAF-RESOP_E2_13_B14_E2_2210" xfId="2879" xr:uid="{00000000-0005-0000-0000-00009A0B0000}"/>
    <cellStyle name="s_Sheet5_Actualisation provision contrat déficitaire SNCM 2010 V Def_PAO-CAF-RESOP_E2_13_B14_E2_2210_Bridge_Zone_Sud" xfId="2880" xr:uid="{00000000-0005-0000-0000-00009B0B0000}"/>
    <cellStyle name="s_Sheet5_Actualisation provision contrat déficitaire SNCM 2010 V Def_PAO-CAF-RESOP_E2_13_Bridge_Zone_Sud" xfId="2881" xr:uid="{00000000-0005-0000-0000-00009C0B0000}"/>
    <cellStyle name="s_Sheet5_Actualisation provision contrat déficitaire SNCM 2010 V Def_PAO-CAF-RESOP_E2_2013_03_10_19H" xfId="2882" xr:uid="{00000000-0005-0000-0000-00009D0B0000}"/>
    <cellStyle name="s_Sheet5_Actualisation provision contrat déficitaire SNCM 2010 V Def_PAO-CAF-RESOP_E2_2013_03_10_19H_Bridge_Zone_Sud" xfId="2883" xr:uid="{00000000-0005-0000-0000-00009E0B0000}"/>
    <cellStyle name="s_Sheet5_Actualisation provision contrat déficitaire SNCM 2010 V Def_PPA" xfId="2884" xr:uid="{00000000-0005-0000-0000-00009F0B0000}"/>
    <cellStyle name="s_Sheet5_Actualisation provision contrat déficitaire SNCM 2010 V Def_RESOP bef CICE&amp;PPA&amp;RepartHO" xfId="2885" xr:uid="{00000000-0005-0000-0000-0000A00B0000}"/>
    <cellStyle name="s_Sheet5_Actualisation provision contrat déficitaire SNCM 2010 V Def_Synthèse_Présentation_conso_retraitée" xfId="2886" xr:uid="{00000000-0005-0000-0000-0000A10B0000}"/>
    <cellStyle name="s_Sheet5_Actualisation provision contrat déficitaire SNCM 2011 V3 30 05 2011" xfId="2887" xr:uid="{00000000-0005-0000-0000-0000A20B0000}"/>
    <cellStyle name="s_Sheet5_Actualisation provision contrat déficitaire SNCM 2011 V3 30 05 2011_B14_E2_2210" xfId="2888" xr:uid="{00000000-0005-0000-0000-0000A30B0000}"/>
    <cellStyle name="s_Sheet5_Actualisation provision contrat déficitaire SNCM 2011 V3 30 05 2011_B14_E2_2210_Bridge_Zone_Sud" xfId="2889" xr:uid="{00000000-0005-0000-0000-0000A40B0000}"/>
    <cellStyle name="s_Sheet5_Actualisation provision contrat déficitaire SNCM 2011 V3 30 05 2011_Bridge_Zone_Sud" xfId="2890" xr:uid="{00000000-0005-0000-0000-0000A50B0000}"/>
    <cellStyle name="s_Sheet5_Actualisation provision contrat déficitaire SNCM 2011 V3 30 05 2011_CAPEM BY COUNTRY" xfId="2891" xr:uid="{00000000-0005-0000-0000-0000A60B0000}"/>
    <cellStyle name="s_Sheet5_Actualisation provision contrat déficitaire SNCM 2011 V3 30 05 2011_focus par entités CAFOPE2AMF" xfId="2892" xr:uid="{00000000-0005-0000-0000-0000A70B0000}"/>
    <cellStyle name="s_Sheet5_Actualisation provision contrat déficitaire SNCM 2011 V3 30 05 2011_focus par entités CAFOPE2AMF_Bridge_Zone_Sud" xfId="2893" xr:uid="{00000000-0005-0000-0000-0000A80B0000}"/>
    <cellStyle name="s_Sheet5_Actualisation provision contrat déficitaire SNCM 2011 V3 30 05 2011_Maquette PLT" xfId="2894" xr:uid="{00000000-0005-0000-0000-0000A90B0000}"/>
    <cellStyle name="s_Sheet5_Actualisation provision contrat déficitaire SNCM 2011 V3 30 05 2011_Output" xfId="3449" xr:uid="{00000000-0005-0000-0000-0000AA0B0000}"/>
    <cellStyle name="s_Sheet5_Actualisation provision contrat déficitaire SNCM 2011 V3 30 05 2011_PAO-CAF-RESOP_04_13_pro_format_variante T1" xfId="2895" xr:uid="{00000000-0005-0000-0000-0000AB0B0000}"/>
    <cellStyle name="s_Sheet5_Actualisation provision contrat déficitaire SNCM 2011 V3 30 05 2011_PAO-CAF-RESOP_04_13_pro_format_variante T1_B14_E2_2210" xfId="2896" xr:uid="{00000000-0005-0000-0000-0000AC0B0000}"/>
    <cellStyle name="s_Sheet5_Actualisation provision contrat déficitaire SNCM 2011 V3 30 05 2011_PAO-CAF-RESOP_04_13_pro_format_variante T1_B14_E2_2210_Bridge_Zone_Sud" xfId="2897" xr:uid="{00000000-0005-0000-0000-0000AD0B0000}"/>
    <cellStyle name="s_Sheet5_Actualisation provision contrat déficitaire SNCM 2011 V3 30 05 2011_PAO-CAF-RESOP_04_13_pro_format_variante T1_Bridge_Zone_Sud" xfId="2898" xr:uid="{00000000-0005-0000-0000-0000AE0B0000}"/>
    <cellStyle name="s_Sheet5_Actualisation provision contrat déficitaire SNCM 2011 V3 30 05 2011_PAO-CAF-RESOP_06_13" xfId="2899" xr:uid="{00000000-0005-0000-0000-0000AF0B0000}"/>
    <cellStyle name="s_Sheet5_Actualisation provision contrat déficitaire SNCM 2011 V3 30 05 2011_PAO-CAF-RESOP_06_13_B14_E2_2210" xfId="2900" xr:uid="{00000000-0005-0000-0000-0000B00B0000}"/>
    <cellStyle name="s_Sheet5_Actualisation provision contrat déficitaire SNCM 2011 V3 30 05 2011_PAO-CAF-RESOP_06_13_B14_E2_2210_Bridge_Zone_Sud" xfId="2901" xr:uid="{00000000-0005-0000-0000-0000B10B0000}"/>
    <cellStyle name="s_Sheet5_Actualisation provision contrat déficitaire SNCM 2011 V3 30 05 2011_PAO-CAF-RESOP_06_13_Bridge_Zone_Sud" xfId="2902" xr:uid="{00000000-0005-0000-0000-0000B20B0000}"/>
    <cellStyle name="s_Sheet5_Actualisation provision contrat déficitaire SNCM 2011 V3 30 05 2011_PAO-CAF-RESOP_08_13" xfId="2903" xr:uid="{00000000-0005-0000-0000-0000B30B0000}"/>
    <cellStyle name="s_Sheet5_Actualisation provision contrat déficitaire SNCM 2011 V3 30 05 2011_PAO-CAF-RESOP_08_13_B14_E2_2210" xfId="2904" xr:uid="{00000000-0005-0000-0000-0000B40B0000}"/>
    <cellStyle name="s_Sheet5_Actualisation provision contrat déficitaire SNCM 2011 V3 30 05 2011_PAO-CAF-RESOP_08_13_B14_E2_2210_Bridge_Zone_Sud" xfId="2905" xr:uid="{00000000-0005-0000-0000-0000B50B0000}"/>
    <cellStyle name="s_Sheet5_Actualisation provision contrat déficitaire SNCM 2011 V3 30 05 2011_PAO-CAF-RESOP_08_13_Bridge_Zone_Sud" xfId="2906" xr:uid="{00000000-0005-0000-0000-0000B60B0000}"/>
    <cellStyle name="s_Sheet5_Actualisation provision contrat déficitaire SNCM 2011 V3 30 05 2011_PAO-CAF-RESOP_09_13" xfId="2907" xr:uid="{00000000-0005-0000-0000-0000B70B0000}"/>
    <cellStyle name="s_Sheet5_Actualisation provision contrat déficitaire SNCM 2011 V3 30 05 2011_PAO-CAF-RESOP_09_13_Bridge_Zone_Sud" xfId="2908" xr:uid="{00000000-0005-0000-0000-0000B80B0000}"/>
    <cellStyle name="s_Sheet5_Actualisation provision contrat déficitaire SNCM 2011 V3 30 05 2011_PAO-CAF-RESOP_09_2013_Zone_IDF (version 2)" xfId="2909" xr:uid="{00000000-0005-0000-0000-0000B90B0000}"/>
    <cellStyle name="s_Sheet5_Actualisation provision contrat déficitaire SNCM 2011 V3 30 05 2011_PAO-CAF-RESOP_10_12" xfId="2910" xr:uid="{00000000-0005-0000-0000-0000BA0B0000}"/>
    <cellStyle name="s_Sheet5_Actualisation provision contrat déficitaire SNCM 2011 V3 30 05 2011_PAO-CAF-RESOP_10_12_Bridge_Zone_Sud" xfId="2911" xr:uid="{00000000-0005-0000-0000-0000BB0B0000}"/>
    <cellStyle name="s_Sheet5_Actualisation provision contrat déficitaire SNCM 2011 V3 30 05 2011_PAO-CAF-RESOP_10_12_focus par entités CAFOP" xfId="2912" xr:uid="{00000000-0005-0000-0000-0000BC0B0000}"/>
    <cellStyle name="s_Sheet5_Actualisation provision contrat déficitaire SNCM 2011 V3 30 05 2011_PAO-CAF-RESOP_10_12_focus par entités CAFOP_Bridge_Zone_Sud" xfId="2913" xr:uid="{00000000-0005-0000-0000-0000BD0B0000}"/>
    <cellStyle name="s_Sheet5_Actualisation provision contrat déficitaire SNCM 2011 V3 30 05 2011_PAO-CAF-RESOP_11_13" xfId="2914" xr:uid="{00000000-0005-0000-0000-0000BE0B0000}"/>
    <cellStyle name="s_Sheet5_Actualisation provision contrat déficitaire SNCM 2011 V3 30 05 2011_PAO-CAF-RESOP_B13" xfId="2915" xr:uid="{00000000-0005-0000-0000-0000BF0B0000}"/>
    <cellStyle name="s_Sheet5_Actualisation provision contrat déficitaire SNCM 2011 V3 30 05 2011_PAO-CAF-RESOP_B13_Bridge_Zone_Sud" xfId="2916" xr:uid="{00000000-0005-0000-0000-0000C00B0000}"/>
    <cellStyle name="s_Sheet5_Actualisation provision contrat déficitaire SNCM 2011 V3 30 05 2011_PAO-CAF-RESOP_B13_focus par entités CAFOP" xfId="2917" xr:uid="{00000000-0005-0000-0000-0000C10B0000}"/>
    <cellStyle name="s_Sheet5_Actualisation provision contrat déficitaire SNCM 2011 V3 30 05 2011_PAO-CAF-RESOP_B13_focus par entités CAFOP_Bridge_Zone_Sud" xfId="2918" xr:uid="{00000000-0005-0000-0000-0000C20B0000}"/>
    <cellStyle name="s_Sheet5_Actualisation provision contrat déficitaire SNCM 2011 V3 30 05 2011_PAO-CAF-RESOP_B2014" xfId="2919" xr:uid="{00000000-0005-0000-0000-0000C30B0000}"/>
    <cellStyle name="s_Sheet5_Actualisation provision contrat déficitaire SNCM 2011 V3 30 05 2011_PAO-CAF-RESOP_B2014_Bridge_Zone_Sud" xfId="2920" xr:uid="{00000000-0005-0000-0000-0000C40B0000}"/>
    <cellStyle name="s_Sheet5_Actualisation provision contrat déficitaire SNCM 2011 V3 30 05 2011_PAO-CAF-RESOP_B2014_v2" xfId="2921" xr:uid="{00000000-0005-0000-0000-0000C50B0000}"/>
    <cellStyle name="s_Sheet5_Actualisation provision contrat déficitaire SNCM 2011 V3 30 05 2011_PAO-CAF-RESOP_E2_13" xfId="2922" xr:uid="{00000000-0005-0000-0000-0000C60B0000}"/>
    <cellStyle name="s_Sheet5_Actualisation provision contrat déficitaire SNCM 2011 V3 30 05 2011_PAO-CAF-RESOP_E2_13_B14_E2_2210" xfId="2923" xr:uid="{00000000-0005-0000-0000-0000C70B0000}"/>
    <cellStyle name="s_Sheet5_Actualisation provision contrat déficitaire SNCM 2011 V3 30 05 2011_PAO-CAF-RESOP_E2_13_B14_E2_2210_Bridge_Zone_Sud" xfId="2924" xr:uid="{00000000-0005-0000-0000-0000C80B0000}"/>
    <cellStyle name="s_Sheet5_Actualisation provision contrat déficitaire SNCM 2011 V3 30 05 2011_PAO-CAF-RESOP_E2_13_Bridge_Zone_Sud" xfId="2925" xr:uid="{00000000-0005-0000-0000-0000C90B0000}"/>
    <cellStyle name="s_Sheet5_Actualisation provision contrat déficitaire SNCM 2011 V3 30 05 2011_PAO-CAF-RESOP_E2_2013_03_10_19H" xfId="2926" xr:uid="{00000000-0005-0000-0000-0000CA0B0000}"/>
    <cellStyle name="s_Sheet5_Actualisation provision contrat déficitaire SNCM 2011 V3 30 05 2011_PAO-CAF-RESOP_E2_2013_03_10_19H_Bridge_Zone_Sud" xfId="2927" xr:uid="{00000000-0005-0000-0000-0000CB0B0000}"/>
    <cellStyle name="s_Sheet5_Actualisation provision contrat déficitaire SNCM 2011 V3 30 05 2011_PPA" xfId="2928" xr:uid="{00000000-0005-0000-0000-0000CC0B0000}"/>
    <cellStyle name="s_Sheet5_Actualisation provision contrat déficitaire SNCM 2011 V3 30 05 2011_RESOP bef CICE&amp;PPA&amp;RepartHO" xfId="2929" xr:uid="{00000000-0005-0000-0000-0000CD0B0000}"/>
    <cellStyle name="s_Sheet5_Actualisation provision contrat déficitaire SNCM 2011 V3 30 05 2011_Synthèse_Présentation_conso_retraitée" xfId="2930" xr:uid="{00000000-0005-0000-0000-0000CE0B0000}"/>
    <cellStyle name="s_Sheet5_B14_E2_2210" xfId="2931" xr:uid="{00000000-0005-0000-0000-0000CF0B0000}"/>
    <cellStyle name="s_Sheet5_B14_E2_2210_Bridge_Zone_Sud" xfId="2932" xr:uid="{00000000-0005-0000-0000-0000D00B0000}"/>
    <cellStyle name="s_Sheet5_BFR_TD_2014.02" xfId="2933" xr:uid="{00000000-0005-0000-0000-0000D10B0000}"/>
    <cellStyle name="s_Sheet5_Bridge_Zone_Nord" xfId="2934" xr:uid="{00000000-0005-0000-0000-0000D20B0000}"/>
    <cellStyle name="s_Sheet5_CAPEM BY COUNTRY" xfId="2935" xr:uid="{00000000-0005-0000-0000-0000D30B0000}"/>
    <cellStyle name="s_Sheet5_LI819L_B13" xfId="2936" xr:uid="{00000000-0005-0000-0000-0000D40B0000}"/>
    <cellStyle name="s_Sheet5_LI819L_B13_CAPEM BY COUNTRY" xfId="2937" xr:uid="{00000000-0005-0000-0000-0000D50B0000}"/>
    <cellStyle name="s_Sheet5_LI819L_B13_Maquette PLT" xfId="2938" xr:uid="{00000000-0005-0000-0000-0000D60B0000}"/>
    <cellStyle name="s_Sheet5_LI819L_B13_Output" xfId="3450" xr:uid="{00000000-0005-0000-0000-0000D70B0000}"/>
    <cellStyle name="s_Sheet5_LI819L_B13_PPA" xfId="2939" xr:uid="{00000000-0005-0000-0000-0000D80B0000}"/>
    <cellStyle name="s_Sheet5_LI819L_B13_RESOP bef CICE&amp;PPA&amp;RepartHO" xfId="2940" xr:uid="{00000000-0005-0000-0000-0000D90B0000}"/>
    <cellStyle name="s_Sheet5_Maquette PLT" xfId="2941" xr:uid="{00000000-0005-0000-0000-0000DA0B0000}"/>
    <cellStyle name="s_Sheet5_Output" xfId="3447" xr:uid="{00000000-0005-0000-0000-0000DB0B0000}"/>
    <cellStyle name="s_Sheet5_PAO-CAF-RESOP_14_01_13 à 20h" xfId="2942" xr:uid="{00000000-0005-0000-0000-0000DC0B0000}"/>
    <cellStyle name="s_Sheet5_PAO-CAF-RESOP_14_01_13 à 20h_CAPEM BY COUNTRY" xfId="2943" xr:uid="{00000000-0005-0000-0000-0000DD0B0000}"/>
    <cellStyle name="s_Sheet5_PAO-CAF-RESOP_14_01_13 à 20h_Maquette PLT" xfId="2944" xr:uid="{00000000-0005-0000-0000-0000DE0B0000}"/>
    <cellStyle name="s_Sheet5_PAO-CAF-RESOP_14_01_13 à 20h_Output" xfId="3451" xr:uid="{00000000-0005-0000-0000-0000DF0B0000}"/>
    <cellStyle name="s_Sheet5_PAO-CAF-RESOP_14_01_13 à 20h_PPA" xfId="2945" xr:uid="{00000000-0005-0000-0000-0000E00B0000}"/>
    <cellStyle name="s_Sheet5_PAO-CAF-RESOP_14_01_13 à 20h_RESOP bef CICE&amp;PPA&amp;RepartHO" xfId="2946" xr:uid="{00000000-0005-0000-0000-0000E10B0000}"/>
    <cellStyle name="s_Sheet5_PAO-CAF-RESOP_2014.02" xfId="2947" xr:uid="{00000000-0005-0000-0000-0000E20B0000}"/>
    <cellStyle name="s_Sheet5_PAO-CAF-RESOP_2014.02_Bridge_Zone_Sud" xfId="2948" xr:uid="{00000000-0005-0000-0000-0000E30B0000}"/>
    <cellStyle name="s_Sheet5_PPA" xfId="2949" xr:uid="{00000000-0005-0000-0000-0000E40B0000}"/>
    <cellStyle name="s_Sheet5_RESOP bef CICE&amp;PPA&amp;RepartHO" xfId="2950" xr:uid="{00000000-0005-0000-0000-0000E50B0000}"/>
    <cellStyle name="s_Valuation " xfId="2951" xr:uid="{00000000-0005-0000-0000-0000E60B0000}"/>
    <cellStyle name="s_Valuation _Actualisation provision contrat déficitaire SNCM 2010 V Def" xfId="2952" xr:uid="{00000000-0005-0000-0000-0000E70B0000}"/>
    <cellStyle name="s_Valuation _Actualisation provision contrat déficitaire SNCM 2010 V Def_B14_E2_2210" xfId="2953" xr:uid="{00000000-0005-0000-0000-0000E80B0000}"/>
    <cellStyle name="s_Valuation _Actualisation provision contrat déficitaire SNCM 2010 V Def_B14_E2_2210_Bridge_Zone_Sud" xfId="2954" xr:uid="{00000000-0005-0000-0000-0000E90B0000}"/>
    <cellStyle name="s_Valuation _Actualisation provision contrat déficitaire SNCM 2010 V Def_Bridge_Zone_Sud" xfId="2955" xr:uid="{00000000-0005-0000-0000-0000EA0B0000}"/>
    <cellStyle name="s_Valuation _Actualisation provision contrat déficitaire SNCM 2010 V Def_CAPEM BY COUNTRY" xfId="2956" xr:uid="{00000000-0005-0000-0000-0000EB0B0000}"/>
    <cellStyle name="s_Valuation _Actualisation provision contrat déficitaire SNCM 2010 V Def_focus par entités CAFOPE2AMF" xfId="2957" xr:uid="{00000000-0005-0000-0000-0000EC0B0000}"/>
    <cellStyle name="s_Valuation _Actualisation provision contrat déficitaire SNCM 2010 V Def_focus par entités CAFOPE2AMF_Bridge_Zone_Sud" xfId="2958" xr:uid="{00000000-0005-0000-0000-0000ED0B0000}"/>
    <cellStyle name="s_Valuation _Actualisation provision contrat déficitaire SNCM 2010 V Def_Maquette PLT" xfId="2959" xr:uid="{00000000-0005-0000-0000-0000EE0B0000}"/>
    <cellStyle name="s_Valuation _Actualisation provision contrat déficitaire SNCM 2010 V Def_Output" xfId="3453" xr:uid="{00000000-0005-0000-0000-0000EF0B0000}"/>
    <cellStyle name="s_Valuation _Actualisation provision contrat déficitaire SNCM 2010 V Def_PAO-CAF-RESOP_04_13_pro_format_variante T1" xfId="2960" xr:uid="{00000000-0005-0000-0000-0000F00B0000}"/>
    <cellStyle name="s_Valuation _Actualisation provision contrat déficitaire SNCM 2010 V Def_PAO-CAF-RESOP_04_13_pro_format_variante T1_B14_E2_2210" xfId="2961" xr:uid="{00000000-0005-0000-0000-0000F10B0000}"/>
    <cellStyle name="s_Valuation _Actualisation provision contrat déficitaire SNCM 2010 V Def_PAO-CAF-RESOP_04_13_pro_format_variante T1_B14_E2_2210_Bridge_Zone_Sud" xfId="2962" xr:uid="{00000000-0005-0000-0000-0000F20B0000}"/>
    <cellStyle name="s_Valuation _Actualisation provision contrat déficitaire SNCM 2010 V Def_PAO-CAF-RESOP_04_13_pro_format_variante T1_Bridge_Zone_Sud" xfId="2963" xr:uid="{00000000-0005-0000-0000-0000F30B0000}"/>
    <cellStyle name="s_Valuation _Actualisation provision contrat déficitaire SNCM 2010 V Def_PAO-CAF-RESOP_06_13" xfId="2964" xr:uid="{00000000-0005-0000-0000-0000F40B0000}"/>
    <cellStyle name="s_Valuation _Actualisation provision contrat déficitaire SNCM 2010 V Def_PAO-CAF-RESOP_06_13_B14_E2_2210" xfId="2965" xr:uid="{00000000-0005-0000-0000-0000F50B0000}"/>
    <cellStyle name="s_Valuation _Actualisation provision contrat déficitaire SNCM 2010 V Def_PAO-CAF-RESOP_06_13_B14_E2_2210_Bridge_Zone_Sud" xfId="2966" xr:uid="{00000000-0005-0000-0000-0000F60B0000}"/>
    <cellStyle name="s_Valuation _Actualisation provision contrat déficitaire SNCM 2010 V Def_PAO-CAF-RESOP_06_13_Bridge_Zone_Sud" xfId="2967" xr:uid="{00000000-0005-0000-0000-0000F70B0000}"/>
    <cellStyle name="s_Valuation _Actualisation provision contrat déficitaire SNCM 2010 V Def_PAO-CAF-RESOP_08_13" xfId="2968" xr:uid="{00000000-0005-0000-0000-0000F80B0000}"/>
    <cellStyle name="s_Valuation _Actualisation provision contrat déficitaire SNCM 2010 V Def_PAO-CAF-RESOP_08_13_B14_E2_2210" xfId="2969" xr:uid="{00000000-0005-0000-0000-0000F90B0000}"/>
    <cellStyle name="s_Valuation _Actualisation provision contrat déficitaire SNCM 2010 V Def_PAO-CAF-RESOP_08_13_B14_E2_2210_Bridge_Zone_Sud" xfId="2970" xr:uid="{00000000-0005-0000-0000-0000FA0B0000}"/>
    <cellStyle name="s_Valuation _Actualisation provision contrat déficitaire SNCM 2010 V Def_PAO-CAF-RESOP_08_13_Bridge_Zone_Sud" xfId="2971" xr:uid="{00000000-0005-0000-0000-0000FB0B0000}"/>
    <cellStyle name="s_Valuation _Actualisation provision contrat déficitaire SNCM 2010 V Def_PAO-CAF-RESOP_09_13" xfId="2972" xr:uid="{00000000-0005-0000-0000-0000FC0B0000}"/>
    <cellStyle name="s_Valuation _Actualisation provision contrat déficitaire SNCM 2010 V Def_PAO-CAF-RESOP_09_13_Bridge_Zone_Sud" xfId="2973" xr:uid="{00000000-0005-0000-0000-0000FD0B0000}"/>
    <cellStyle name="s_Valuation _Actualisation provision contrat déficitaire SNCM 2010 V Def_PAO-CAF-RESOP_09_2013_Zone_IDF (version 2)" xfId="2974" xr:uid="{00000000-0005-0000-0000-0000FE0B0000}"/>
    <cellStyle name="s_Valuation _Actualisation provision contrat déficitaire SNCM 2010 V Def_PAO-CAF-RESOP_10_12" xfId="2975" xr:uid="{00000000-0005-0000-0000-0000FF0B0000}"/>
    <cellStyle name="s_Valuation _Actualisation provision contrat déficitaire SNCM 2010 V Def_PAO-CAF-RESOP_10_12_Bridge_Zone_Sud" xfId="2976" xr:uid="{00000000-0005-0000-0000-0000000C0000}"/>
    <cellStyle name="s_Valuation _Actualisation provision contrat déficitaire SNCM 2010 V Def_PAO-CAF-RESOP_10_12_focus par entités CAFOP" xfId="2977" xr:uid="{00000000-0005-0000-0000-0000010C0000}"/>
    <cellStyle name="s_Valuation _Actualisation provision contrat déficitaire SNCM 2010 V Def_PAO-CAF-RESOP_10_12_focus par entités CAFOP_Bridge_Zone_Sud" xfId="2978" xr:uid="{00000000-0005-0000-0000-0000020C0000}"/>
    <cellStyle name="s_Valuation _Actualisation provision contrat déficitaire SNCM 2010 V Def_PAO-CAF-RESOP_11_13" xfId="2979" xr:uid="{00000000-0005-0000-0000-0000030C0000}"/>
    <cellStyle name="s_Valuation _Actualisation provision contrat déficitaire SNCM 2010 V Def_PAO-CAF-RESOP_B13" xfId="2980" xr:uid="{00000000-0005-0000-0000-0000040C0000}"/>
    <cellStyle name="s_Valuation _Actualisation provision contrat déficitaire SNCM 2010 V Def_PAO-CAF-RESOP_B13_Bridge_Zone_Sud" xfId="2981" xr:uid="{00000000-0005-0000-0000-0000050C0000}"/>
    <cellStyle name="s_Valuation _Actualisation provision contrat déficitaire SNCM 2010 V Def_PAO-CAF-RESOP_B13_focus par entités CAFOP" xfId="2982" xr:uid="{00000000-0005-0000-0000-0000060C0000}"/>
    <cellStyle name="s_Valuation _Actualisation provision contrat déficitaire SNCM 2010 V Def_PAO-CAF-RESOP_B13_focus par entités CAFOP_Bridge_Zone_Sud" xfId="2983" xr:uid="{00000000-0005-0000-0000-0000070C0000}"/>
    <cellStyle name="s_Valuation _Actualisation provision contrat déficitaire SNCM 2010 V Def_PAO-CAF-RESOP_B2014" xfId="2984" xr:uid="{00000000-0005-0000-0000-0000080C0000}"/>
    <cellStyle name="s_Valuation _Actualisation provision contrat déficitaire SNCM 2010 V Def_PAO-CAF-RESOP_B2014_Bridge_Zone_Sud" xfId="2985" xr:uid="{00000000-0005-0000-0000-0000090C0000}"/>
    <cellStyle name="s_Valuation _Actualisation provision contrat déficitaire SNCM 2010 V Def_PAO-CAF-RESOP_B2014_v2" xfId="2986" xr:uid="{00000000-0005-0000-0000-00000A0C0000}"/>
    <cellStyle name="s_Valuation _Actualisation provision contrat déficitaire SNCM 2010 V Def_PAO-CAF-RESOP_E2_13" xfId="2987" xr:uid="{00000000-0005-0000-0000-00000B0C0000}"/>
    <cellStyle name="s_Valuation _Actualisation provision contrat déficitaire SNCM 2010 V Def_PAO-CAF-RESOP_E2_13_B14_E2_2210" xfId="2988" xr:uid="{00000000-0005-0000-0000-00000C0C0000}"/>
    <cellStyle name="s_Valuation _Actualisation provision contrat déficitaire SNCM 2010 V Def_PAO-CAF-RESOP_E2_13_B14_E2_2210_Bridge_Zone_Sud" xfId="2989" xr:uid="{00000000-0005-0000-0000-00000D0C0000}"/>
    <cellStyle name="s_Valuation _Actualisation provision contrat déficitaire SNCM 2010 V Def_PAO-CAF-RESOP_E2_13_Bridge_Zone_Sud" xfId="2990" xr:uid="{00000000-0005-0000-0000-00000E0C0000}"/>
    <cellStyle name="s_Valuation _Actualisation provision contrat déficitaire SNCM 2010 V Def_PAO-CAF-RESOP_E2_2013_03_10_19H" xfId="2991" xr:uid="{00000000-0005-0000-0000-00000F0C0000}"/>
    <cellStyle name="s_Valuation _Actualisation provision contrat déficitaire SNCM 2010 V Def_PAO-CAF-RESOP_E2_2013_03_10_19H_Bridge_Zone_Sud" xfId="2992" xr:uid="{00000000-0005-0000-0000-0000100C0000}"/>
    <cellStyle name="s_Valuation _Actualisation provision contrat déficitaire SNCM 2010 V Def_PPA" xfId="2993" xr:uid="{00000000-0005-0000-0000-0000110C0000}"/>
    <cellStyle name="s_Valuation _Actualisation provision contrat déficitaire SNCM 2010 V Def_RESOP bef CICE&amp;PPA&amp;RepartHO" xfId="2994" xr:uid="{00000000-0005-0000-0000-0000120C0000}"/>
    <cellStyle name="s_Valuation _Actualisation provision contrat déficitaire SNCM 2010 V Def_Synthèse_Présentation_conso_retraitée" xfId="2995" xr:uid="{00000000-0005-0000-0000-0000130C0000}"/>
    <cellStyle name="s_Valuation _Actualisation provision contrat déficitaire SNCM 2011 V3 30 05 2011" xfId="2996" xr:uid="{00000000-0005-0000-0000-0000140C0000}"/>
    <cellStyle name="s_Valuation _Actualisation provision contrat déficitaire SNCM 2011 V3 30 05 2011_B14_E2_2210" xfId="2997" xr:uid="{00000000-0005-0000-0000-0000150C0000}"/>
    <cellStyle name="s_Valuation _Actualisation provision contrat déficitaire SNCM 2011 V3 30 05 2011_B14_E2_2210_Bridge_Zone_Sud" xfId="2998" xr:uid="{00000000-0005-0000-0000-0000160C0000}"/>
    <cellStyle name="s_Valuation _Actualisation provision contrat déficitaire SNCM 2011 V3 30 05 2011_Bridge_Zone_Sud" xfId="2999" xr:uid="{00000000-0005-0000-0000-0000170C0000}"/>
    <cellStyle name="s_Valuation _Actualisation provision contrat déficitaire SNCM 2011 V3 30 05 2011_CAPEM BY COUNTRY" xfId="3000" xr:uid="{00000000-0005-0000-0000-0000180C0000}"/>
    <cellStyle name="s_Valuation _Actualisation provision contrat déficitaire SNCM 2011 V3 30 05 2011_focus par entités CAFOPE2AMF" xfId="3001" xr:uid="{00000000-0005-0000-0000-0000190C0000}"/>
    <cellStyle name="s_Valuation _Actualisation provision contrat déficitaire SNCM 2011 V3 30 05 2011_focus par entités CAFOPE2AMF_Bridge_Zone_Sud" xfId="3002" xr:uid="{00000000-0005-0000-0000-00001A0C0000}"/>
    <cellStyle name="s_Valuation _Actualisation provision contrat déficitaire SNCM 2011 V3 30 05 2011_Maquette PLT" xfId="3003" xr:uid="{00000000-0005-0000-0000-00001B0C0000}"/>
    <cellStyle name="s_Valuation _Actualisation provision contrat déficitaire SNCM 2011 V3 30 05 2011_Output" xfId="3454" xr:uid="{00000000-0005-0000-0000-00001C0C0000}"/>
    <cellStyle name="s_Valuation _Actualisation provision contrat déficitaire SNCM 2011 V3 30 05 2011_PAO-CAF-RESOP_04_13_pro_format_variante T1" xfId="3004" xr:uid="{00000000-0005-0000-0000-00001D0C0000}"/>
    <cellStyle name="s_Valuation _Actualisation provision contrat déficitaire SNCM 2011 V3 30 05 2011_PAO-CAF-RESOP_04_13_pro_format_variante T1_B14_E2_2210" xfId="3005" xr:uid="{00000000-0005-0000-0000-00001E0C0000}"/>
    <cellStyle name="s_Valuation _Actualisation provision contrat déficitaire SNCM 2011 V3 30 05 2011_PAO-CAF-RESOP_04_13_pro_format_variante T1_B14_E2_2210_Bridge_Zone_Sud" xfId="3006" xr:uid="{00000000-0005-0000-0000-00001F0C0000}"/>
    <cellStyle name="s_Valuation _Actualisation provision contrat déficitaire SNCM 2011 V3 30 05 2011_PAO-CAF-RESOP_04_13_pro_format_variante T1_Bridge_Zone_Sud" xfId="3007" xr:uid="{00000000-0005-0000-0000-0000200C0000}"/>
    <cellStyle name="s_Valuation _Actualisation provision contrat déficitaire SNCM 2011 V3 30 05 2011_PAO-CAF-RESOP_06_13" xfId="3008" xr:uid="{00000000-0005-0000-0000-0000210C0000}"/>
    <cellStyle name="s_Valuation _Actualisation provision contrat déficitaire SNCM 2011 V3 30 05 2011_PAO-CAF-RESOP_06_13_B14_E2_2210" xfId="3009" xr:uid="{00000000-0005-0000-0000-0000220C0000}"/>
    <cellStyle name="s_Valuation _Actualisation provision contrat déficitaire SNCM 2011 V3 30 05 2011_PAO-CAF-RESOP_06_13_B14_E2_2210_Bridge_Zone_Sud" xfId="3010" xr:uid="{00000000-0005-0000-0000-0000230C0000}"/>
    <cellStyle name="s_Valuation _Actualisation provision contrat déficitaire SNCM 2011 V3 30 05 2011_PAO-CAF-RESOP_06_13_Bridge_Zone_Sud" xfId="3011" xr:uid="{00000000-0005-0000-0000-0000240C0000}"/>
    <cellStyle name="s_Valuation _Actualisation provision contrat déficitaire SNCM 2011 V3 30 05 2011_PAO-CAF-RESOP_08_13" xfId="3012" xr:uid="{00000000-0005-0000-0000-0000250C0000}"/>
    <cellStyle name="s_Valuation _Actualisation provision contrat déficitaire SNCM 2011 V3 30 05 2011_PAO-CAF-RESOP_08_13_B14_E2_2210" xfId="3013" xr:uid="{00000000-0005-0000-0000-0000260C0000}"/>
    <cellStyle name="s_Valuation _Actualisation provision contrat déficitaire SNCM 2011 V3 30 05 2011_PAO-CAF-RESOP_08_13_B14_E2_2210_Bridge_Zone_Sud" xfId="3014" xr:uid="{00000000-0005-0000-0000-0000270C0000}"/>
    <cellStyle name="s_Valuation _Actualisation provision contrat déficitaire SNCM 2011 V3 30 05 2011_PAO-CAF-RESOP_08_13_Bridge_Zone_Sud" xfId="3015" xr:uid="{00000000-0005-0000-0000-0000280C0000}"/>
    <cellStyle name="s_Valuation _Actualisation provision contrat déficitaire SNCM 2011 V3 30 05 2011_PAO-CAF-RESOP_09_13" xfId="3016" xr:uid="{00000000-0005-0000-0000-0000290C0000}"/>
    <cellStyle name="s_Valuation _Actualisation provision contrat déficitaire SNCM 2011 V3 30 05 2011_PAO-CAF-RESOP_09_13_Bridge_Zone_Sud" xfId="3017" xr:uid="{00000000-0005-0000-0000-00002A0C0000}"/>
    <cellStyle name="s_Valuation _Actualisation provision contrat déficitaire SNCM 2011 V3 30 05 2011_PAO-CAF-RESOP_09_2013_Zone_IDF (version 2)" xfId="3018" xr:uid="{00000000-0005-0000-0000-00002B0C0000}"/>
    <cellStyle name="s_Valuation _Actualisation provision contrat déficitaire SNCM 2011 V3 30 05 2011_PAO-CAF-RESOP_10_12" xfId="3019" xr:uid="{00000000-0005-0000-0000-00002C0C0000}"/>
    <cellStyle name="s_Valuation _Actualisation provision contrat déficitaire SNCM 2011 V3 30 05 2011_PAO-CAF-RESOP_10_12_Bridge_Zone_Sud" xfId="3020" xr:uid="{00000000-0005-0000-0000-00002D0C0000}"/>
    <cellStyle name="s_Valuation _Actualisation provision contrat déficitaire SNCM 2011 V3 30 05 2011_PAO-CAF-RESOP_10_12_focus par entités CAFOP" xfId="3021" xr:uid="{00000000-0005-0000-0000-00002E0C0000}"/>
    <cellStyle name="s_Valuation _Actualisation provision contrat déficitaire SNCM 2011 V3 30 05 2011_PAO-CAF-RESOP_10_12_focus par entités CAFOP_Bridge_Zone_Sud" xfId="3022" xr:uid="{00000000-0005-0000-0000-00002F0C0000}"/>
    <cellStyle name="s_Valuation _Actualisation provision contrat déficitaire SNCM 2011 V3 30 05 2011_PAO-CAF-RESOP_11_13" xfId="3023" xr:uid="{00000000-0005-0000-0000-0000300C0000}"/>
    <cellStyle name="s_Valuation _Actualisation provision contrat déficitaire SNCM 2011 V3 30 05 2011_PAO-CAF-RESOP_B13" xfId="3024" xr:uid="{00000000-0005-0000-0000-0000310C0000}"/>
    <cellStyle name="s_Valuation _Actualisation provision contrat déficitaire SNCM 2011 V3 30 05 2011_PAO-CAF-RESOP_B13_Bridge_Zone_Sud" xfId="3025" xr:uid="{00000000-0005-0000-0000-0000320C0000}"/>
    <cellStyle name="s_Valuation _Actualisation provision contrat déficitaire SNCM 2011 V3 30 05 2011_PAO-CAF-RESOP_B13_focus par entités CAFOP" xfId="3026" xr:uid="{00000000-0005-0000-0000-0000330C0000}"/>
    <cellStyle name="s_Valuation _Actualisation provision contrat déficitaire SNCM 2011 V3 30 05 2011_PAO-CAF-RESOP_B13_focus par entités CAFOP_Bridge_Zone_Sud" xfId="3027" xr:uid="{00000000-0005-0000-0000-0000340C0000}"/>
    <cellStyle name="s_Valuation _Actualisation provision contrat déficitaire SNCM 2011 V3 30 05 2011_PAO-CAF-RESOP_B2014" xfId="3028" xr:uid="{00000000-0005-0000-0000-0000350C0000}"/>
    <cellStyle name="s_Valuation _Actualisation provision contrat déficitaire SNCM 2011 V3 30 05 2011_PAO-CAF-RESOP_B2014_Bridge_Zone_Sud" xfId="3029" xr:uid="{00000000-0005-0000-0000-0000360C0000}"/>
    <cellStyle name="s_Valuation _Actualisation provision contrat déficitaire SNCM 2011 V3 30 05 2011_PAO-CAF-RESOP_B2014_v2" xfId="3030" xr:uid="{00000000-0005-0000-0000-0000370C0000}"/>
    <cellStyle name="s_Valuation _Actualisation provision contrat déficitaire SNCM 2011 V3 30 05 2011_PAO-CAF-RESOP_E2_13" xfId="3031" xr:uid="{00000000-0005-0000-0000-0000380C0000}"/>
    <cellStyle name="s_Valuation _Actualisation provision contrat déficitaire SNCM 2011 V3 30 05 2011_PAO-CAF-RESOP_E2_13_B14_E2_2210" xfId="3032" xr:uid="{00000000-0005-0000-0000-0000390C0000}"/>
    <cellStyle name="s_Valuation _Actualisation provision contrat déficitaire SNCM 2011 V3 30 05 2011_PAO-CAF-RESOP_E2_13_B14_E2_2210_Bridge_Zone_Sud" xfId="3033" xr:uid="{00000000-0005-0000-0000-00003A0C0000}"/>
    <cellStyle name="s_Valuation _Actualisation provision contrat déficitaire SNCM 2011 V3 30 05 2011_PAO-CAF-RESOP_E2_13_Bridge_Zone_Sud" xfId="3034" xr:uid="{00000000-0005-0000-0000-00003B0C0000}"/>
    <cellStyle name="s_Valuation _Actualisation provision contrat déficitaire SNCM 2011 V3 30 05 2011_PAO-CAF-RESOP_E2_2013_03_10_19H" xfId="3035" xr:uid="{00000000-0005-0000-0000-00003C0C0000}"/>
    <cellStyle name="s_Valuation _Actualisation provision contrat déficitaire SNCM 2011 V3 30 05 2011_PAO-CAF-RESOP_E2_2013_03_10_19H_Bridge_Zone_Sud" xfId="3036" xr:uid="{00000000-0005-0000-0000-00003D0C0000}"/>
    <cellStyle name="s_Valuation _Actualisation provision contrat déficitaire SNCM 2011 V3 30 05 2011_PPA" xfId="3037" xr:uid="{00000000-0005-0000-0000-00003E0C0000}"/>
    <cellStyle name="s_Valuation _Actualisation provision contrat déficitaire SNCM 2011 V3 30 05 2011_RESOP bef CICE&amp;PPA&amp;RepartHO" xfId="3038" xr:uid="{00000000-0005-0000-0000-00003F0C0000}"/>
    <cellStyle name="s_Valuation _Actualisation provision contrat déficitaire SNCM 2011 V3 30 05 2011_Synthèse_Présentation_conso_retraitée" xfId="3039" xr:uid="{00000000-0005-0000-0000-0000400C0000}"/>
    <cellStyle name="s_Valuation _B14_E2_2210" xfId="3040" xr:uid="{00000000-0005-0000-0000-0000410C0000}"/>
    <cellStyle name="s_Valuation _B14_E2_2210_Bridge_Zone_Sud" xfId="3041" xr:uid="{00000000-0005-0000-0000-0000420C0000}"/>
    <cellStyle name="s_Valuation _BFR_TD_2014.02" xfId="3042" xr:uid="{00000000-0005-0000-0000-0000430C0000}"/>
    <cellStyle name="s_Valuation _Bridge_Zone_Nord" xfId="3043" xr:uid="{00000000-0005-0000-0000-0000440C0000}"/>
    <cellStyle name="s_Valuation _CAPEM BY COUNTRY" xfId="3044" xr:uid="{00000000-0005-0000-0000-0000450C0000}"/>
    <cellStyle name="s_Valuation _LI819L_B13" xfId="3045" xr:uid="{00000000-0005-0000-0000-0000460C0000}"/>
    <cellStyle name="s_Valuation _LI819L_B13_CAPEM BY COUNTRY" xfId="3046" xr:uid="{00000000-0005-0000-0000-0000470C0000}"/>
    <cellStyle name="s_Valuation _LI819L_B13_Maquette PLT" xfId="3047" xr:uid="{00000000-0005-0000-0000-0000480C0000}"/>
    <cellStyle name="s_Valuation _LI819L_B13_Output" xfId="3455" xr:uid="{00000000-0005-0000-0000-0000490C0000}"/>
    <cellStyle name="s_Valuation _LI819L_B13_PPA" xfId="3048" xr:uid="{00000000-0005-0000-0000-00004A0C0000}"/>
    <cellStyle name="s_Valuation _LI819L_B13_RESOP bef CICE&amp;PPA&amp;RepartHO" xfId="3049" xr:uid="{00000000-0005-0000-0000-00004B0C0000}"/>
    <cellStyle name="s_Valuation _Maquette PLT" xfId="3050" xr:uid="{00000000-0005-0000-0000-00004C0C0000}"/>
    <cellStyle name="s_Valuation _Output" xfId="3452" xr:uid="{00000000-0005-0000-0000-00004D0C0000}"/>
    <cellStyle name="s_Valuation _PAO-CAF-RESOP_14_01_13 à 20h" xfId="3051" xr:uid="{00000000-0005-0000-0000-00004E0C0000}"/>
    <cellStyle name="s_Valuation _PAO-CAF-RESOP_14_01_13 à 20h_CAPEM BY COUNTRY" xfId="3052" xr:uid="{00000000-0005-0000-0000-00004F0C0000}"/>
    <cellStyle name="s_Valuation _PAO-CAF-RESOP_14_01_13 à 20h_Maquette PLT" xfId="3053" xr:uid="{00000000-0005-0000-0000-0000500C0000}"/>
    <cellStyle name="s_Valuation _PAO-CAF-RESOP_14_01_13 à 20h_Output" xfId="3456" xr:uid="{00000000-0005-0000-0000-0000510C0000}"/>
    <cellStyle name="s_Valuation _PAO-CAF-RESOP_14_01_13 à 20h_PPA" xfId="3054" xr:uid="{00000000-0005-0000-0000-0000520C0000}"/>
    <cellStyle name="s_Valuation _PAO-CAF-RESOP_14_01_13 à 20h_RESOP bef CICE&amp;PPA&amp;RepartHO" xfId="3055" xr:uid="{00000000-0005-0000-0000-0000530C0000}"/>
    <cellStyle name="s_Valuation _PAO-CAF-RESOP_2014.02" xfId="3056" xr:uid="{00000000-0005-0000-0000-0000540C0000}"/>
    <cellStyle name="s_Valuation _PAO-CAF-RESOP_2014.02_Bridge_Zone_Sud" xfId="3057" xr:uid="{00000000-0005-0000-0000-0000550C0000}"/>
    <cellStyle name="s_Valuation _PPA" xfId="3058" xr:uid="{00000000-0005-0000-0000-0000560C0000}"/>
    <cellStyle name="s_Valuation _RESOP bef CICE&amp;PPA&amp;RepartHO" xfId="3059" xr:uid="{00000000-0005-0000-0000-0000570C0000}"/>
    <cellStyle name="SAPBEXHLevel1" xfId="3060" xr:uid="{00000000-0005-0000-0000-0000580C0000}"/>
    <cellStyle name="SAPBEXstdData" xfId="3061" xr:uid="{00000000-0005-0000-0000-0000590C0000}"/>
    <cellStyle name="Satisfaisant 2" xfId="3062" xr:uid="{00000000-0005-0000-0000-00005A0C0000}"/>
    <cellStyle name="Shading" xfId="3063" xr:uid="{00000000-0005-0000-0000-00005B0C0000}"/>
    <cellStyle name="Single Cell Column Heading" xfId="3064" xr:uid="{00000000-0005-0000-0000-00005C0C0000}"/>
    <cellStyle name="Smart Bold" xfId="3065" xr:uid="{00000000-0005-0000-0000-00005D0C0000}"/>
    <cellStyle name="Smart Forecast" xfId="3066" xr:uid="{00000000-0005-0000-0000-00005E0C0000}"/>
    <cellStyle name="Smart General" xfId="3067" xr:uid="{00000000-0005-0000-0000-00005F0C0000}"/>
    <cellStyle name="Smart Highlight" xfId="3068" xr:uid="{00000000-0005-0000-0000-0000600C0000}"/>
    <cellStyle name="Smart Percent" xfId="3069" xr:uid="{00000000-0005-0000-0000-0000610C0000}"/>
    <cellStyle name="Smart Source" xfId="3070" xr:uid="{00000000-0005-0000-0000-0000620C0000}"/>
    <cellStyle name="Smart Subtitle 1" xfId="3071" xr:uid="{00000000-0005-0000-0000-0000630C0000}"/>
    <cellStyle name="Smart Subtitle 2" xfId="3072" xr:uid="{00000000-0005-0000-0000-0000640C0000}"/>
    <cellStyle name="Smart Subtotal" xfId="3073" xr:uid="{00000000-0005-0000-0000-0000650C0000}"/>
    <cellStyle name="Smart Title" xfId="3074" xr:uid="{00000000-0005-0000-0000-0000660C0000}"/>
    <cellStyle name="Smart Total" xfId="3075" xr:uid="{00000000-0005-0000-0000-0000670C0000}"/>
    <cellStyle name="Sortie 2" xfId="3076" xr:uid="{00000000-0005-0000-0000-0000680C0000}"/>
    <cellStyle name="Standaard 2" xfId="3077" xr:uid="{00000000-0005-0000-0000-0000690C0000}"/>
    <cellStyle name="Standaard 2 2 10" xfId="3078" xr:uid="{00000000-0005-0000-0000-00006A0C0000}"/>
    <cellStyle name="Standaard 2 2 10 2" xfId="3079" xr:uid="{00000000-0005-0000-0000-00006B0C0000}"/>
    <cellStyle name="Standaard 2_CAPEX" xfId="3080" xr:uid="{00000000-0005-0000-0000-00006C0C0000}"/>
    <cellStyle name="Standaard_Blad1" xfId="3081" xr:uid="{00000000-0005-0000-0000-00006D0C0000}"/>
    <cellStyle name="Standard__Utopia Index Index und Guidance (Deutsch)" xfId="3082" xr:uid="{00000000-0005-0000-0000-00006E0C0000}"/>
    <cellStyle name="Style 1" xfId="3083" xr:uid="{00000000-0005-0000-0000-00006F0C0000}"/>
    <cellStyle name="STYLE1" xfId="3084" xr:uid="{00000000-0005-0000-0000-0000700C0000}"/>
    <cellStyle name="STYLE1 2" xfId="3085" xr:uid="{00000000-0005-0000-0000-0000710C0000}"/>
    <cellStyle name="STYLE2" xfId="3086" xr:uid="{00000000-0005-0000-0000-0000720C0000}"/>
    <cellStyle name="STYLE2 2" xfId="3087" xr:uid="{00000000-0005-0000-0000-0000730C0000}"/>
    <cellStyle name="STYLE3" xfId="3088" xr:uid="{00000000-0005-0000-0000-0000740C0000}"/>
    <cellStyle name="STYLE3 2" xfId="3089" xr:uid="{00000000-0005-0000-0000-0000750C0000}"/>
    <cellStyle name="STYLE4" xfId="3090" xr:uid="{00000000-0005-0000-0000-0000760C0000}"/>
    <cellStyle name="STYLE4 2" xfId="3091" xr:uid="{00000000-0005-0000-0000-0000770C0000}"/>
    <cellStyle name="STYLE5" xfId="3092" xr:uid="{00000000-0005-0000-0000-0000780C0000}"/>
    <cellStyle name="STYLE5 2" xfId="3093" xr:uid="{00000000-0005-0000-0000-0000790C0000}"/>
    <cellStyle name="STYLE6" xfId="3094" xr:uid="{00000000-0005-0000-0000-00007A0C0000}"/>
    <cellStyle name="STYLE6 2" xfId="3095" xr:uid="{00000000-0005-0000-0000-00007B0C0000}"/>
    <cellStyle name="STYLE7" xfId="3096" xr:uid="{00000000-0005-0000-0000-00007C0C0000}"/>
    <cellStyle name="STYLE7 2" xfId="3097" xr:uid="{00000000-0005-0000-0000-00007D0C0000}"/>
    <cellStyle name="STYLE8" xfId="3098" xr:uid="{00000000-0005-0000-0000-00007E0C0000}"/>
    <cellStyle name="STYLE8 2" xfId="3099" xr:uid="{00000000-0005-0000-0000-00007F0C0000}"/>
    <cellStyle name="STYLE9" xfId="3100" xr:uid="{00000000-0005-0000-0000-0000800C0000}"/>
    <cellStyle name="STYLE9 2" xfId="3101" xr:uid="{00000000-0005-0000-0000-0000810C0000}"/>
    <cellStyle name="t" xfId="3102" xr:uid="{00000000-0005-0000-0000-0000820C0000}"/>
    <cellStyle name="t_Actualisation provision contrat déficitaire SNCM 2010 V Def" xfId="3103" xr:uid="{00000000-0005-0000-0000-0000830C0000}"/>
    <cellStyle name="t_Actualisation provision contrat déficitaire SNCM 2010 V Def_B14_E2_2210" xfId="3104" xr:uid="{00000000-0005-0000-0000-0000840C0000}"/>
    <cellStyle name="t_Actualisation provision contrat déficitaire SNCM 2010 V Def_B14_E2_2210_Bridge_Zone_Sud" xfId="3105" xr:uid="{00000000-0005-0000-0000-0000850C0000}"/>
    <cellStyle name="t_Actualisation provision contrat déficitaire SNCM 2010 V Def_Bridge_Zone_Sud" xfId="3106" xr:uid="{00000000-0005-0000-0000-0000860C0000}"/>
    <cellStyle name="t_Actualisation provision contrat déficitaire SNCM 2010 V Def_CAPEM BY COUNTRY" xfId="3107" xr:uid="{00000000-0005-0000-0000-0000870C0000}"/>
    <cellStyle name="t_Actualisation provision contrat déficitaire SNCM 2010 V Def_focus par entités CAFOPE2AMF" xfId="3108" xr:uid="{00000000-0005-0000-0000-0000880C0000}"/>
    <cellStyle name="t_Actualisation provision contrat déficitaire SNCM 2010 V Def_focus par entités CAFOPE2AMF_Bridge_Zone_Sud" xfId="3109" xr:uid="{00000000-0005-0000-0000-0000890C0000}"/>
    <cellStyle name="t_Actualisation provision contrat déficitaire SNCM 2010 V Def_Maquette PLT" xfId="3110" xr:uid="{00000000-0005-0000-0000-00008A0C0000}"/>
    <cellStyle name="t_Actualisation provision contrat déficitaire SNCM 2010 V Def_Output" xfId="3458" xr:uid="{00000000-0005-0000-0000-00008B0C0000}"/>
    <cellStyle name="t_Actualisation provision contrat déficitaire SNCM 2010 V Def_PAO-CAF-RESOP_04_13_pro_format_variante T1" xfId="3111" xr:uid="{00000000-0005-0000-0000-00008C0C0000}"/>
    <cellStyle name="t_Actualisation provision contrat déficitaire SNCM 2010 V Def_PAO-CAF-RESOP_04_13_pro_format_variante T1_B14_E2_2210" xfId="3112" xr:uid="{00000000-0005-0000-0000-00008D0C0000}"/>
    <cellStyle name="t_Actualisation provision contrat déficitaire SNCM 2010 V Def_PAO-CAF-RESOP_04_13_pro_format_variante T1_B14_E2_2210_Bridge_Zone_Sud" xfId="3113" xr:uid="{00000000-0005-0000-0000-00008E0C0000}"/>
    <cellStyle name="t_Actualisation provision contrat déficitaire SNCM 2010 V Def_PAO-CAF-RESOP_04_13_pro_format_variante T1_Bridge_Zone_Sud" xfId="3114" xr:uid="{00000000-0005-0000-0000-00008F0C0000}"/>
    <cellStyle name="t_Actualisation provision contrat déficitaire SNCM 2010 V Def_PAO-CAF-RESOP_06_13" xfId="3115" xr:uid="{00000000-0005-0000-0000-0000900C0000}"/>
    <cellStyle name="t_Actualisation provision contrat déficitaire SNCM 2010 V Def_PAO-CAF-RESOP_06_13_B14_E2_2210" xfId="3116" xr:uid="{00000000-0005-0000-0000-0000910C0000}"/>
    <cellStyle name="t_Actualisation provision contrat déficitaire SNCM 2010 V Def_PAO-CAF-RESOP_06_13_B14_E2_2210_Bridge_Zone_Sud" xfId="3117" xr:uid="{00000000-0005-0000-0000-0000920C0000}"/>
    <cellStyle name="t_Actualisation provision contrat déficitaire SNCM 2010 V Def_PAO-CAF-RESOP_06_13_Bridge_Zone_Sud" xfId="3118" xr:uid="{00000000-0005-0000-0000-0000930C0000}"/>
    <cellStyle name="t_Actualisation provision contrat déficitaire SNCM 2010 V Def_PAO-CAF-RESOP_08_13" xfId="3119" xr:uid="{00000000-0005-0000-0000-0000940C0000}"/>
    <cellStyle name="t_Actualisation provision contrat déficitaire SNCM 2010 V Def_PAO-CAF-RESOP_08_13_B14_E2_2210" xfId="3120" xr:uid="{00000000-0005-0000-0000-0000950C0000}"/>
    <cellStyle name="t_Actualisation provision contrat déficitaire SNCM 2010 V Def_PAO-CAF-RESOP_08_13_B14_E2_2210_Bridge_Zone_Sud" xfId="3121" xr:uid="{00000000-0005-0000-0000-0000960C0000}"/>
    <cellStyle name="t_Actualisation provision contrat déficitaire SNCM 2010 V Def_PAO-CAF-RESOP_08_13_Bridge_Zone_Sud" xfId="3122" xr:uid="{00000000-0005-0000-0000-0000970C0000}"/>
    <cellStyle name="t_Actualisation provision contrat déficitaire SNCM 2010 V Def_PAO-CAF-RESOP_09_13" xfId="3123" xr:uid="{00000000-0005-0000-0000-0000980C0000}"/>
    <cellStyle name="t_Actualisation provision contrat déficitaire SNCM 2010 V Def_PAO-CAF-RESOP_09_13_Bridge_Zone_Sud" xfId="3124" xr:uid="{00000000-0005-0000-0000-0000990C0000}"/>
    <cellStyle name="t_Actualisation provision contrat déficitaire SNCM 2010 V Def_PAO-CAF-RESOP_09_2013_Zone_IDF (version 2)" xfId="3125" xr:uid="{00000000-0005-0000-0000-00009A0C0000}"/>
    <cellStyle name="t_Actualisation provision contrat déficitaire SNCM 2010 V Def_PAO-CAF-RESOP_10_12" xfId="3126" xr:uid="{00000000-0005-0000-0000-00009B0C0000}"/>
    <cellStyle name="t_Actualisation provision contrat déficitaire SNCM 2010 V Def_PAO-CAF-RESOP_10_12_Bridge_Zone_Sud" xfId="3127" xr:uid="{00000000-0005-0000-0000-00009C0C0000}"/>
    <cellStyle name="t_Actualisation provision contrat déficitaire SNCM 2010 V Def_PAO-CAF-RESOP_10_12_focus par entités CAFOP" xfId="3128" xr:uid="{00000000-0005-0000-0000-00009D0C0000}"/>
    <cellStyle name="t_Actualisation provision contrat déficitaire SNCM 2010 V Def_PAO-CAF-RESOP_10_12_focus par entités CAFOP_Bridge_Zone_Sud" xfId="3129" xr:uid="{00000000-0005-0000-0000-00009E0C0000}"/>
    <cellStyle name="t_Actualisation provision contrat déficitaire SNCM 2010 V Def_PAO-CAF-RESOP_11_13" xfId="3130" xr:uid="{00000000-0005-0000-0000-00009F0C0000}"/>
    <cellStyle name="t_Actualisation provision contrat déficitaire SNCM 2010 V Def_PAO-CAF-RESOP_B13" xfId="3131" xr:uid="{00000000-0005-0000-0000-0000A00C0000}"/>
    <cellStyle name="t_Actualisation provision contrat déficitaire SNCM 2010 V Def_PAO-CAF-RESOP_B13_Bridge_Zone_Sud" xfId="3132" xr:uid="{00000000-0005-0000-0000-0000A10C0000}"/>
    <cellStyle name="t_Actualisation provision contrat déficitaire SNCM 2010 V Def_PAO-CAF-RESOP_B13_focus par entités CAFOP" xfId="3133" xr:uid="{00000000-0005-0000-0000-0000A20C0000}"/>
    <cellStyle name="t_Actualisation provision contrat déficitaire SNCM 2010 V Def_PAO-CAF-RESOP_B13_focus par entités CAFOP_Bridge_Zone_Sud" xfId="3134" xr:uid="{00000000-0005-0000-0000-0000A30C0000}"/>
    <cellStyle name="t_Actualisation provision contrat déficitaire SNCM 2010 V Def_PAO-CAF-RESOP_B2014" xfId="3135" xr:uid="{00000000-0005-0000-0000-0000A40C0000}"/>
    <cellStyle name="t_Actualisation provision contrat déficitaire SNCM 2010 V Def_PAO-CAF-RESOP_B2014_Bridge_Zone_Sud" xfId="3136" xr:uid="{00000000-0005-0000-0000-0000A50C0000}"/>
    <cellStyle name="t_Actualisation provision contrat déficitaire SNCM 2010 V Def_PAO-CAF-RESOP_B2014_v2" xfId="3137" xr:uid="{00000000-0005-0000-0000-0000A60C0000}"/>
    <cellStyle name="t_Actualisation provision contrat déficitaire SNCM 2010 V Def_PAO-CAF-RESOP_E2_13" xfId="3138" xr:uid="{00000000-0005-0000-0000-0000A70C0000}"/>
    <cellStyle name="t_Actualisation provision contrat déficitaire SNCM 2010 V Def_PAO-CAF-RESOP_E2_13_B14_E2_2210" xfId="3139" xr:uid="{00000000-0005-0000-0000-0000A80C0000}"/>
    <cellStyle name="t_Actualisation provision contrat déficitaire SNCM 2010 V Def_PAO-CAF-RESOP_E2_13_B14_E2_2210_Bridge_Zone_Sud" xfId="3140" xr:uid="{00000000-0005-0000-0000-0000A90C0000}"/>
    <cellStyle name="t_Actualisation provision contrat déficitaire SNCM 2010 V Def_PAO-CAF-RESOP_E2_13_Bridge_Zone_Sud" xfId="3141" xr:uid="{00000000-0005-0000-0000-0000AA0C0000}"/>
    <cellStyle name="t_Actualisation provision contrat déficitaire SNCM 2010 V Def_PAO-CAF-RESOP_E2_2013_03_10_19H" xfId="3142" xr:uid="{00000000-0005-0000-0000-0000AB0C0000}"/>
    <cellStyle name="t_Actualisation provision contrat déficitaire SNCM 2010 V Def_PAO-CAF-RESOP_E2_2013_03_10_19H_Bridge_Zone_Sud" xfId="3143" xr:uid="{00000000-0005-0000-0000-0000AC0C0000}"/>
    <cellStyle name="t_Actualisation provision contrat déficitaire SNCM 2010 V Def_PPA" xfId="3144" xr:uid="{00000000-0005-0000-0000-0000AD0C0000}"/>
    <cellStyle name="t_Actualisation provision contrat déficitaire SNCM 2010 V Def_RESOP bef CICE&amp;PPA&amp;RepartHO" xfId="3145" xr:uid="{00000000-0005-0000-0000-0000AE0C0000}"/>
    <cellStyle name="t_Actualisation provision contrat déficitaire SNCM 2010 V Def_Synthèse_Présentation_conso_retraitée" xfId="3146" xr:uid="{00000000-0005-0000-0000-0000AF0C0000}"/>
    <cellStyle name="t_Actualisation provision contrat déficitaire SNCM 2011 V3 30 05 2011" xfId="3147" xr:uid="{00000000-0005-0000-0000-0000B00C0000}"/>
    <cellStyle name="t_Actualisation provision contrat déficitaire SNCM 2011 V3 30 05 2011_B14_E2_2210" xfId="3148" xr:uid="{00000000-0005-0000-0000-0000B10C0000}"/>
    <cellStyle name="t_Actualisation provision contrat déficitaire SNCM 2011 V3 30 05 2011_B14_E2_2210_Bridge_Zone_Sud" xfId="3149" xr:uid="{00000000-0005-0000-0000-0000B20C0000}"/>
    <cellStyle name="t_Actualisation provision contrat déficitaire SNCM 2011 V3 30 05 2011_Bridge_Zone_Sud" xfId="3150" xr:uid="{00000000-0005-0000-0000-0000B30C0000}"/>
    <cellStyle name="t_Actualisation provision contrat déficitaire SNCM 2011 V3 30 05 2011_CAPEM BY COUNTRY" xfId="3151" xr:uid="{00000000-0005-0000-0000-0000B40C0000}"/>
    <cellStyle name="t_Actualisation provision contrat déficitaire SNCM 2011 V3 30 05 2011_focus par entités CAFOPE2AMF" xfId="3152" xr:uid="{00000000-0005-0000-0000-0000B50C0000}"/>
    <cellStyle name="t_Actualisation provision contrat déficitaire SNCM 2011 V3 30 05 2011_focus par entités CAFOPE2AMF_Bridge_Zone_Sud" xfId="3153" xr:uid="{00000000-0005-0000-0000-0000B60C0000}"/>
    <cellStyle name="t_Actualisation provision contrat déficitaire SNCM 2011 V3 30 05 2011_Maquette PLT" xfId="3154" xr:uid="{00000000-0005-0000-0000-0000B70C0000}"/>
    <cellStyle name="t_Actualisation provision contrat déficitaire SNCM 2011 V3 30 05 2011_Output" xfId="3459" xr:uid="{00000000-0005-0000-0000-0000B80C0000}"/>
    <cellStyle name="t_Actualisation provision contrat déficitaire SNCM 2011 V3 30 05 2011_PAO-CAF-RESOP_04_13_pro_format_variante T1" xfId="3155" xr:uid="{00000000-0005-0000-0000-0000B90C0000}"/>
    <cellStyle name="t_Actualisation provision contrat déficitaire SNCM 2011 V3 30 05 2011_PAO-CAF-RESOP_04_13_pro_format_variante T1_B14_E2_2210" xfId="3156" xr:uid="{00000000-0005-0000-0000-0000BA0C0000}"/>
    <cellStyle name="t_Actualisation provision contrat déficitaire SNCM 2011 V3 30 05 2011_PAO-CAF-RESOP_04_13_pro_format_variante T1_B14_E2_2210_Bridge_Zone_Sud" xfId="3157" xr:uid="{00000000-0005-0000-0000-0000BB0C0000}"/>
    <cellStyle name="t_Actualisation provision contrat déficitaire SNCM 2011 V3 30 05 2011_PAO-CAF-RESOP_04_13_pro_format_variante T1_Bridge_Zone_Sud" xfId="3158" xr:uid="{00000000-0005-0000-0000-0000BC0C0000}"/>
    <cellStyle name="t_Actualisation provision contrat déficitaire SNCM 2011 V3 30 05 2011_PAO-CAF-RESOP_06_13" xfId="3159" xr:uid="{00000000-0005-0000-0000-0000BD0C0000}"/>
    <cellStyle name="t_Actualisation provision contrat déficitaire SNCM 2011 V3 30 05 2011_PAO-CAF-RESOP_06_13_B14_E2_2210" xfId="3160" xr:uid="{00000000-0005-0000-0000-0000BE0C0000}"/>
    <cellStyle name="t_Actualisation provision contrat déficitaire SNCM 2011 V3 30 05 2011_PAO-CAF-RESOP_06_13_B14_E2_2210_Bridge_Zone_Sud" xfId="3161" xr:uid="{00000000-0005-0000-0000-0000BF0C0000}"/>
    <cellStyle name="t_Actualisation provision contrat déficitaire SNCM 2011 V3 30 05 2011_PAO-CAF-RESOP_06_13_Bridge_Zone_Sud" xfId="3162" xr:uid="{00000000-0005-0000-0000-0000C00C0000}"/>
    <cellStyle name="t_Actualisation provision contrat déficitaire SNCM 2011 V3 30 05 2011_PAO-CAF-RESOP_08_13" xfId="3163" xr:uid="{00000000-0005-0000-0000-0000C10C0000}"/>
    <cellStyle name="t_Actualisation provision contrat déficitaire SNCM 2011 V3 30 05 2011_PAO-CAF-RESOP_08_13_B14_E2_2210" xfId="3164" xr:uid="{00000000-0005-0000-0000-0000C20C0000}"/>
    <cellStyle name="t_Actualisation provision contrat déficitaire SNCM 2011 V3 30 05 2011_PAO-CAF-RESOP_08_13_B14_E2_2210_Bridge_Zone_Sud" xfId="3165" xr:uid="{00000000-0005-0000-0000-0000C30C0000}"/>
    <cellStyle name="t_Actualisation provision contrat déficitaire SNCM 2011 V3 30 05 2011_PAO-CAF-RESOP_08_13_Bridge_Zone_Sud" xfId="3166" xr:uid="{00000000-0005-0000-0000-0000C40C0000}"/>
    <cellStyle name="t_Actualisation provision contrat déficitaire SNCM 2011 V3 30 05 2011_PAO-CAF-RESOP_09_13" xfId="3167" xr:uid="{00000000-0005-0000-0000-0000C50C0000}"/>
    <cellStyle name="t_Actualisation provision contrat déficitaire SNCM 2011 V3 30 05 2011_PAO-CAF-RESOP_09_13_Bridge_Zone_Sud" xfId="3168" xr:uid="{00000000-0005-0000-0000-0000C60C0000}"/>
    <cellStyle name="t_Actualisation provision contrat déficitaire SNCM 2011 V3 30 05 2011_PAO-CAF-RESOP_09_2013_Zone_IDF (version 2)" xfId="3169" xr:uid="{00000000-0005-0000-0000-0000C70C0000}"/>
    <cellStyle name="t_Actualisation provision contrat déficitaire SNCM 2011 V3 30 05 2011_PAO-CAF-RESOP_10_12" xfId="3170" xr:uid="{00000000-0005-0000-0000-0000C80C0000}"/>
    <cellStyle name="t_Actualisation provision contrat déficitaire SNCM 2011 V3 30 05 2011_PAO-CAF-RESOP_10_12_Bridge_Zone_Sud" xfId="3171" xr:uid="{00000000-0005-0000-0000-0000C90C0000}"/>
    <cellStyle name="t_Actualisation provision contrat déficitaire SNCM 2011 V3 30 05 2011_PAO-CAF-RESOP_10_12_focus par entités CAFOP" xfId="3172" xr:uid="{00000000-0005-0000-0000-0000CA0C0000}"/>
    <cellStyle name="t_Actualisation provision contrat déficitaire SNCM 2011 V3 30 05 2011_PAO-CAF-RESOP_10_12_focus par entités CAFOP_Bridge_Zone_Sud" xfId="3173" xr:uid="{00000000-0005-0000-0000-0000CB0C0000}"/>
    <cellStyle name="t_Actualisation provision contrat déficitaire SNCM 2011 V3 30 05 2011_PAO-CAF-RESOP_11_13" xfId="3174" xr:uid="{00000000-0005-0000-0000-0000CC0C0000}"/>
    <cellStyle name="t_Actualisation provision contrat déficitaire SNCM 2011 V3 30 05 2011_PAO-CAF-RESOP_B13" xfId="3175" xr:uid="{00000000-0005-0000-0000-0000CD0C0000}"/>
    <cellStyle name="t_Actualisation provision contrat déficitaire SNCM 2011 V3 30 05 2011_PAO-CAF-RESOP_B13_Bridge_Zone_Sud" xfId="3176" xr:uid="{00000000-0005-0000-0000-0000CE0C0000}"/>
    <cellStyle name="t_Actualisation provision contrat déficitaire SNCM 2011 V3 30 05 2011_PAO-CAF-RESOP_B13_focus par entités CAFOP" xfId="3177" xr:uid="{00000000-0005-0000-0000-0000CF0C0000}"/>
    <cellStyle name="t_Actualisation provision contrat déficitaire SNCM 2011 V3 30 05 2011_PAO-CAF-RESOP_B13_focus par entités CAFOP_Bridge_Zone_Sud" xfId="3178" xr:uid="{00000000-0005-0000-0000-0000D00C0000}"/>
    <cellStyle name="t_Actualisation provision contrat déficitaire SNCM 2011 V3 30 05 2011_PAO-CAF-RESOP_B2014" xfId="3179" xr:uid="{00000000-0005-0000-0000-0000D10C0000}"/>
    <cellStyle name="t_Actualisation provision contrat déficitaire SNCM 2011 V3 30 05 2011_PAO-CAF-RESOP_B2014_Bridge_Zone_Sud" xfId="3180" xr:uid="{00000000-0005-0000-0000-0000D20C0000}"/>
    <cellStyle name="t_Actualisation provision contrat déficitaire SNCM 2011 V3 30 05 2011_PAO-CAF-RESOP_B2014_v2" xfId="3181" xr:uid="{00000000-0005-0000-0000-0000D30C0000}"/>
    <cellStyle name="t_Actualisation provision contrat déficitaire SNCM 2011 V3 30 05 2011_PAO-CAF-RESOP_E2_13" xfId="3182" xr:uid="{00000000-0005-0000-0000-0000D40C0000}"/>
    <cellStyle name="t_Actualisation provision contrat déficitaire SNCM 2011 V3 30 05 2011_PAO-CAF-RESOP_E2_13_B14_E2_2210" xfId="3183" xr:uid="{00000000-0005-0000-0000-0000D50C0000}"/>
    <cellStyle name="t_Actualisation provision contrat déficitaire SNCM 2011 V3 30 05 2011_PAO-CAF-RESOP_E2_13_B14_E2_2210_Bridge_Zone_Sud" xfId="3184" xr:uid="{00000000-0005-0000-0000-0000D60C0000}"/>
    <cellStyle name="t_Actualisation provision contrat déficitaire SNCM 2011 V3 30 05 2011_PAO-CAF-RESOP_E2_13_Bridge_Zone_Sud" xfId="3185" xr:uid="{00000000-0005-0000-0000-0000D70C0000}"/>
    <cellStyle name="t_Actualisation provision contrat déficitaire SNCM 2011 V3 30 05 2011_PAO-CAF-RESOP_E2_2013_03_10_19H" xfId="3186" xr:uid="{00000000-0005-0000-0000-0000D80C0000}"/>
    <cellStyle name="t_Actualisation provision contrat déficitaire SNCM 2011 V3 30 05 2011_PAO-CAF-RESOP_E2_2013_03_10_19H_Bridge_Zone_Sud" xfId="3187" xr:uid="{00000000-0005-0000-0000-0000D90C0000}"/>
    <cellStyle name="t_Actualisation provision contrat déficitaire SNCM 2011 V3 30 05 2011_PPA" xfId="3188" xr:uid="{00000000-0005-0000-0000-0000DA0C0000}"/>
    <cellStyle name="t_Actualisation provision contrat déficitaire SNCM 2011 V3 30 05 2011_RESOP bef CICE&amp;PPA&amp;RepartHO" xfId="3189" xr:uid="{00000000-0005-0000-0000-0000DB0C0000}"/>
    <cellStyle name="t_Actualisation provision contrat déficitaire SNCM 2011 V3 30 05 2011_Synthèse_Présentation_conso_retraitée" xfId="3190" xr:uid="{00000000-0005-0000-0000-0000DC0C0000}"/>
    <cellStyle name="t_B14_E2_2210" xfId="3191" xr:uid="{00000000-0005-0000-0000-0000DD0C0000}"/>
    <cellStyle name="t_B14_E2_2210_Bridge_Zone_Sud" xfId="3192" xr:uid="{00000000-0005-0000-0000-0000DE0C0000}"/>
    <cellStyle name="t_BFR_TD_2014.02" xfId="3193" xr:uid="{00000000-0005-0000-0000-0000DF0C0000}"/>
    <cellStyle name="t_Bridge_Zone_Nord" xfId="3194" xr:uid="{00000000-0005-0000-0000-0000E00C0000}"/>
    <cellStyle name="t_CAPEM BY COUNTRY" xfId="3195" xr:uid="{00000000-0005-0000-0000-0000E10C0000}"/>
    <cellStyle name="t_LI819L_B13" xfId="3196" xr:uid="{00000000-0005-0000-0000-0000E20C0000}"/>
    <cellStyle name="t_LI819L_B13_CAPEM BY COUNTRY" xfId="3197" xr:uid="{00000000-0005-0000-0000-0000E30C0000}"/>
    <cellStyle name="t_LI819L_B13_Maquette PLT" xfId="3198" xr:uid="{00000000-0005-0000-0000-0000E40C0000}"/>
    <cellStyle name="t_LI819L_B13_Output" xfId="3460" xr:uid="{00000000-0005-0000-0000-0000E50C0000}"/>
    <cellStyle name="t_LI819L_B13_PPA" xfId="3199" xr:uid="{00000000-0005-0000-0000-0000E60C0000}"/>
    <cellStyle name="t_LI819L_B13_RESOP bef CICE&amp;PPA&amp;RepartHO" xfId="3200" xr:uid="{00000000-0005-0000-0000-0000E70C0000}"/>
    <cellStyle name="t_Manager" xfId="3201" xr:uid="{00000000-0005-0000-0000-0000E80C0000}"/>
    <cellStyle name="t_Manager_Actualisation provision contrat déficitaire SNCM 2010 V Def" xfId="3202" xr:uid="{00000000-0005-0000-0000-0000E90C0000}"/>
    <cellStyle name="t_Manager_Actualisation provision contrat déficitaire SNCM 2010 V Def_B14_E2_2210" xfId="3203" xr:uid="{00000000-0005-0000-0000-0000EA0C0000}"/>
    <cellStyle name="t_Manager_Actualisation provision contrat déficitaire SNCM 2010 V Def_B14_E2_2210_Bridge_Zone_Sud" xfId="3204" xr:uid="{00000000-0005-0000-0000-0000EB0C0000}"/>
    <cellStyle name="t_Manager_Actualisation provision contrat déficitaire SNCM 2010 V Def_Bridge_Zone_Sud" xfId="3205" xr:uid="{00000000-0005-0000-0000-0000EC0C0000}"/>
    <cellStyle name="t_Manager_Actualisation provision contrat déficitaire SNCM 2010 V Def_CAPEM BY COUNTRY" xfId="3206" xr:uid="{00000000-0005-0000-0000-0000ED0C0000}"/>
    <cellStyle name="t_Manager_Actualisation provision contrat déficitaire SNCM 2010 V Def_focus par entités CAFOPE2AMF" xfId="3207" xr:uid="{00000000-0005-0000-0000-0000EE0C0000}"/>
    <cellStyle name="t_Manager_Actualisation provision contrat déficitaire SNCM 2010 V Def_focus par entités CAFOPE2AMF_Bridge_Zone_Sud" xfId="3208" xr:uid="{00000000-0005-0000-0000-0000EF0C0000}"/>
    <cellStyle name="t_Manager_Actualisation provision contrat déficitaire SNCM 2010 V Def_Maquette PLT" xfId="3209" xr:uid="{00000000-0005-0000-0000-0000F00C0000}"/>
    <cellStyle name="t_Manager_Actualisation provision contrat déficitaire SNCM 2010 V Def_Output" xfId="3462" xr:uid="{00000000-0005-0000-0000-0000F10C0000}"/>
    <cellStyle name="t_Manager_Actualisation provision contrat déficitaire SNCM 2010 V Def_PAO-CAF-RESOP_04_13_pro_format_variante T1" xfId="3210" xr:uid="{00000000-0005-0000-0000-0000F20C0000}"/>
    <cellStyle name="t_Manager_Actualisation provision contrat déficitaire SNCM 2010 V Def_PAO-CAF-RESOP_04_13_pro_format_variante T1_B14_E2_2210" xfId="3211" xr:uid="{00000000-0005-0000-0000-0000F30C0000}"/>
    <cellStyle name="t_Manager_Actualisation provision contrat déficitaire SNCM 2010 V Def_PAO-CAF-RESOP_04_13_pro_format_variante T1_B14_E2_2210_Bridge_Zone_Sud" xfId="3212" xr:uid="{00000000-0005-0000-0000-0000F40C0000}"/>
    <cellStyle name="t_Manager_Actualisation provision contrat déficitaire SNCM 2010 V Def_PAO-CAF-RESOP_04_13_pro_format_variante T1_Bridge_Zone_Sud" xfId="3213" xr:uid="{00000000-0005-0000-0000-0000F50C0000}"/>
    <cellStyle name="t_Manager_Actualisation provision contrat déficitaire SNCM 2010 V Def_PAO-CAF-RESOP_06_13" xfId="3214" xr:uid="{00000000-0005-0000-0000-0000F60C0000}"/>
    <cellStyle name="t_Manager_Actualisation provision contrat déficitaire SNCM 2010 V Def_PAO-CAF-RESOP_06_13_B14_E2_2210" xfId="3215" xr:uid="{00000000-0005-0000-0000-0000F70C0000}"/>
    <cellStyle name="t_Manager_Actualisation provision contrat déficitaire SNCM 2010 V Def_PAO-CAF-RESOP_06_13_B14_E2_2210_Bridge_Zone_Sud" xfId="3216" xr:uid="{00000000-0005-0000-0000-0000F80C0000}"/>
    <cellStyle name="t_Manager_Actualisation provision contrat déficitaire SNCM 2010 V Def_PAO-CAF-RESOP_06_13_Bridge_Zone_Sud" xfId="3217" xr:uid="{00000000-0005-0000-0000-0000F90C0000}"/>
    <cellStyle name="t_Manager_Actualisation provision contrat déficitaire SNCM 2010 V Def_PAO-CAF-RESOP_08_13" xfId="3218" xr:uid="{00000000-0005-0000-0000-0000FA0C0000}"/>
    <cellStyle name="t_Manager_Actualisation provision contrat déficitaire SNCM 2010 V Def_PAO-CAF-RESOP_08_13_B14_E2_2210" xfId="3219" xr:uid="{00000000-0005-0000-0000-0000FB0C0000}"/>
    <cellStyle name="t_Manager_Actualisation provision contrat déficitaire SNCM 2010 V Def_PAO-CAF-RESOP_08_13_B14_E2_2210_Bridge_Zone_Sud" xfId="3220" xr:uid="{00000000-0005-0000-0000-0000FC0C0000}"/>
    <cellStyle name="t_Manager_Actualisation provision contrat déficitaire SNCM 2010 V Def_PAO-CAF-RESOP_08_13_Bridge_Zone_Sud" xfId="3221" xr:uid="{00000000-0005-0000-0000-0000FD0C0000}"/>
    <cellStyle name="t_Manager_Actualisation provision contrat déficitaire SNCM 2010 V Def_PAO-CAF-RESOP_09_13" xfId="3222" xr:uid="{00000000-0005-0000-0000-0000FE0C0000}"/>
    <cellStyle name="t_Manager_Actualisation provision contrat déficitaire SNCM 2010 V Def_PAO-CAF-RESOP_09_13_Bridge_Zone_Sud" xfId="3223" xr:uid="{00000000-0005-0000-0000-0000FF0C0000}"/>
    <cellStyle name="t_Manager_Actualisation provision contrat déficitaire SNCM 2010 V Def_PAO-CAF-RESOP_09_2013_Zone_IDF (version 2)" xfId="3224" xr:uid="{00000000-0005-0000-0000-0000000D0000}"/>
    <cellStyle name="t_Manager_Actualisation provision contrat déficitaire SNCM 2010 V Def_PAO-CAF-RESOP_10_12" xfId="3225" xr:uid="{00000000-0005-0000-0000-0000010D0000}"/>
    <cellStyle name="t_Manager_Actualisation provision contrat déficitaire SNCM 2010 V Def_PAO-CAF-RESOP_10_12_Bridge_Zone_Sud" xfId="3226" xr:uid="{00000000-0005-0000-0000-0000020D0000}"/>
    <cellStyle name="t_Manager_Actualisation provision contrat déficitaire SNCM 2010 V Def_PAO-CAF-RESOP_10_12_focus par entités CAFOP" xfId="3227" xr:uid="{00000000-0005-0000-0000-0000030D0000}"/>
    <cellStyle name="t_Manager_Actualisation provision contrat déficitaire SNCM 2010 V Def_PAO-CAF-RESOP_10_12_focus par entités CAFOP_Bridge_Zone_Sud" xfId="3228" xr:uid="{00000000-0005-0000-0000-0000040D0000}"/>
    <cellStyle name="t_Manager_Actualisation provision contrat déficitaire SNCM 2010 V Def_PAO-CAF-RESOP_11_13" xfId="3229" xr:uid="{00000000-0005-0000-0000-0000050D0000}"/>
    <cellStyle name="t_Manager_Actualisation provision contrat déficitaire SNCM 2010 V Def_PAO-CAF-RESOP_B13" xfId="3230" xr:uid="{00000000-0005-0000-0000-0000060D0000}"/>
    <cellStyle name="t_Manager_Actualisation provision contrat déficitaire SNCM 2010 V Def_PAO-CAF-RESOP_B13_Bridge_Zone_Sud" xfId="3231" xr:uid="{00000000-0005-0000-0000-0000070D0000}"/>
    <cellStyle name="t_Manager_Actualisation provision contrat déficitaire SNCM 2010 V Def_PAO-CAF-RESOP_B13_focus par entités CAFOP" xfId="3232" xr:uid="{00000000-0005-0000-0000-0000080D0000}"/>
    <cellStyle name="t_Manager_Actualisation provision contrat déficitaire SNCM 2010 V Def_PAO-CAF-RESOP_B13_focus par entités CAFOP_Bridge_Zone_Sud" xfId="3233" xr:uid="{00000000-0005-0000-0000-0000090D0000}"/>
    <cellStyle name="t_Manager_Actualisation provision contrat déficitaire SNCM 2010 V Def_PAO-CAF-RESOP_B2014" xfId="3234" xr:uid="{00000000-0005-0000-0000-00000A0D0000}"/>
    <cellStyle name="t_Manager_Actualisation provision contrat déficitaire SNCM 2010 V Def_PAO-CAF-RESOP_B2014_Bridge_Zone_Sud" xfId="3235" xr:uid="{00000000-0005-0000-0000-00000B0D0000}"/>
    <cellStyle name="t_Manager_Actualisation provision contrat déficitaire SNCM 2010 V Def_PAO-CAF-RESOP_B2014_v2" xfId="3236" xr:uid="{00000000-0005-0000-0000-00000C0D0000}"/>
    <cellStyle name="t_Manager_Actualisation provision contrat déficitaire SNCM 2010 V Def_PAO-CAF-RESOP_E2_13" xfId="3237" xr:uid="{00000000-0005-0000-0000-00000D0D0000}"/>
    <cellStyle name="t_Manager_Actualisation provision contrat déficitaire SNCM 2010 V Def_PAO-CAF-RESOP_E2_13_B14_E2_2210" xfId="3238" xr:uid="{00000000-0005-0000-0000-00000E0D0000}"/>
    <cellStyle name="t_Manager_Actualisation provision contrat déficitaire SNCM 2010 V Def_PAO-CAF-RESOP_E2_13_B14_E2_2210_Bridge_Zone_Sud" xfId="3239" xr:uid="{00000000-0005-0000-0000-00000F0D0000}"/>
    <cellStyle name="t_Manager_Actualisation provision contrat déficitaire SNCM 2010 V Def_PAO-CAF-RESOP_E2_13_Bridge_Zone_Sud" xfId="3240" xr:uid="{00000000-0005-0000-0000-0000100D0000}"/>
    <cellStyle name="t_Manager_Actualisation provision contrat déficitaire SNCM 2010 V Def_PAO-CAF-RESOP_E2_2013_03_10_19H" xfId="3241" xr:uid="{00000000-0005-0000-0000-0000110D0000}"/>
    <cellStyle name="t_Manager_Actualisation provision contrat déficitaire SNCM 2010 V Def_PAO-CAF-RESOP_E2_2013_03_10_19H_Bridge_Zone_Sud" xfId="3242" xr:uid="{00000000-0005-0000-0000-0000120D0000}"/>
    <cellStyle name="t_Manager_Actualisation provision contrat déficitaire SNCM 2010 V Def_PPA" xfId="3243" xr:uid="{00000000-0005-0000-0000-0000130D0000}"/>
    <cellStyle name="t_Manager_Actualisation provision contrat déficitaire SNCM 2010 V Def_RESOP bef CICE&amp;PPA&amp;RepartHO" xfId="3244" xr:uid="{00000000-0005-0000-0000-0000140D0000}"/>
    <cellStyle name="t_Manager_Actualisation provision contrat déficitaire SNCM 2010 V Def_Synthèse_Présentation_conso_retraitée" xfId="3245" xr:uid="{00000000-0005-0000-0000-0000150D0000}"/>
    <cellStyle name="t_Manager_Actualisation provision contrat déficitaire SNCM 2011 V3 30 05 2011" xfId="3246" xr:uid="{00000000-0005-0000-0000-0000160D0000}"/>
    <cellStyle name="t_Manager_Actualisation provision contrat déficitaire SNCM 2011 V3 30 05 2011_B14_E2_2210" xfId="3247" xr:uid="{00000000-0005-0000-0000-0000170D0000}"/>
    <cellStyle name="t_Manager_Actualisation provision contrat déficitaire SNCM 2011 V3 30 05 2011_B14_E2_2210_Bridge_Zone_Sud" xfId="3248" xr:uid="{00000000-0005-0000-0000-0000180D0000}"/>
    <cellStyle name="t_Manager_Actualisation provision contrat déficitaire SNCM 2011 V3 30 05 2011_Bridge_Zone_Sud" xfId="3249" xr:uid="{00000000-0005-0000-0000-0000190D0000}"/>
    <cellStyle name="t_Manager_Actualisation provision contrat déficitaire SNCM 2011 V3 30 05 2011_CAPEM BY COUNTRY" xfId="3250" xr:uid="{00000000-0005-0000-0000-00001A0D0000}"/>
    <cellStyle name="t_Manager_Actualisation provision contrat déficitaire SNCM 2011 V3 30 05 2011_focus par entités CAFOPE2AMF" xfId="3251" xr:uid="{00000000-0005-0000-0000-00001B0D0000}"/>
    <cellStyle name="t_Manager_Actualisation provision contrat déficitaire SNCM 2011 V3 30 05 2011_focus par entités CAFOPE2AMF_Bridge_Zone_Sud" xfId="3252" xr:uid="{00000000-0005-0000-0000-00001C0D0000}"/>
    <cellStyle name="t_Manager_Actualisation provision contrat déficitaire SNCM 2011 V3 30 05 2011_Maquette PLT" xfId="3253" xr:uid="{00000000-0005-0000-0000-00001D0D0000}"/>
    <cellStyle name="t_Manager_Actualisation provision contrat déficitaire SNCM 2011 V3 30 05 2011_Output" xfId="3463" xr:uid="{00000000-0005-0000-0000-00001E0D0000}"/>
    <cellStyle name="t_Manager_Actualisation provision contrat déficitaire SNCM 2011 V3 30 05 2011_PAO-CAF-RESOP_04_13_pro_format_variante T1" xfId="3254" xr:uid="{00000000-0005-0000-0000-00001F0D0000}"/>
    <cellStyle name="t_Manager_Actualisation provision contrat déficitaire SNCM 2011 V3 30 05 2011_PAO-CAF-RESOP_04_13_pro_format_variante T1_B14_E2_2210" xfId="3255" xr:uid="{00000000-0005-0000-0000-0000200D0000}"/>
    <cellStyle name="t_Manager_Actualisation provision contrat déficitaire SNCM 2011 V3 30 05 2011_PAO-CAF-RESOP_04_13_pro_format_variante T1_B14_E2_2210_Bridge_Zone_Sud" xfId="3256" xr:uid="{00000000-0005-0000-0000-0000210D0000}"/>
    <cellStyle name="t_Manager_Actualisation provision contrat déficitaire SNCM 2011 V3 30 05 2011_PAO-CAF-RESOP_04_13_pro_format_variante T1_Bridge_Zone_Sud" xfId="3257" xr:uid="{00000000-0005-0000-0000-0000220D0000}"/>
    <cellStyle name="t_Manager_Actualisation provision contrat déficitaire SNCM 2011 V3 30 05 2011_PAO-CAF-RESOP_06_13" xfId="3258" xr:uid="{00000000-0005-0000-0000-0000230D0000}"/>
    <cellStyle name="t_Manager_Actualisation provision contrat déficitaire SNCM 2011 V3 30 05 2011_PAO-CAF-RESOP_06_13_B14_E2_2210" xfId="3259" xr:uid="{00000000-0005-0000-0000-0000240D0000}"/>
    <cellStyle name="t_Manager_Actualisation provision contrat déficitaire SNCM 2011 V3 30 05 2011_PAO-CAF-RESOP_06_13_B14_E2_2210_Bridge_Zone_Sud" xfId="3260" xr:uid="{00000000-0005-0000-0000-0000250D0000}"/>
    <cellStyle name="t_Manager_Actualisation provision contrat déficitaire SNCM 2011 V3 30 05 2011_PAO-CAF-RESOP_06_13_Bridge_Zone_Sud" xfId="3261" xr:uid="{00000000-0005-0000-0000-0000260D0000}"/>
    <cellStyle name="t_Manager_Actualisation provision contrat déficitaire SNCM 2011 V3 30 05 2011_PAO-CAF-RESOP_08_13" xfId="3262" xr:uid="{00000000-0005-0000-0000-0000270D0000}"/>
    <cellStyle name="t_Manager_Actualisation provision contrat déficitaire SNCM 2011 V3 30 05 2011_PAO-CAF-RESOP_08_13_B14_E2_2210" xfId="3263" xr:uid="{00000000-0005-0000-0000-0000280D0000}"/>
    <cellStyle name="t_Manager_Actualisation provision contrat déficitaire SNCM 2011 V3 30 05 2011_PAO-CAF-RESOP_08_13_B14_E2_2210_Bridge_Zone_Sud" xfId="3264" xr:uid="{00000000-0005-0000-0000-0000290D0000}"/>
    <cellStyle name="t_Manager_Actualisation provision contrat déficitaire SNCM 2011 V3 30 05 2011_PAO-CAF-RESOP_08_13_Bridge_Zone_Sud" xfId="3265" xr:uid="{00000000-0005-0000-0000-00002A0D0000}"/>
    <cellStyle name="t_Manager_Actualisation provision contrat déficitaire SNCM 2011 V3 30 05 2011_PAO-CAF-RESOP_09_13" xfId="3266" xr:uid="{00000000-0005-0000-0000-00002B0D0000}"/>
    <cellStyle name="t_Manager_Actualisation provision contrat déficitaire SNCM 2011 V3 30 05 2011_PAO-CAF-RESOP_09_13_Bridge_Zone_Sud" xfId="3267" xr:uid="{00000000-0005-0000-0000-00002C0D0000}"/>
    <cellStyle name="t_Manager_Actualisation provision contrat déficitaire SNCM 2011 V3 30 05 2011_PAO-CAF-RESOP_09_2013_Zone_IDF (version 2)" xfId="3268" xr:uid="{00000000-0005-0000-0000-00002D0D0000}"/>
    <cellStyle name="t_Manager_Actualisation provision contrat déficitaire SNCM 2011 V3 30 05 2011_PAO-CAF-RESOP_10_12" xfId="3269" xr:uid="{00000000-0005-0000-0000-00002E0D0000}"/>
    <cellStyle name="t_Manager_Actualisation provision contrat déficitaire SNCM 2011 V3 30 05 2011_PAO-CAF-RESOP_10_12_Bridge_Zone_Sud" xfId="3270" xr:uid="{00000000-0005-0000-0000-00002F0D0000}"/>
    <cellStyle name="t_Manager_Actualisation provision contrat déficitaire SNCM 2011 V3 30 05 2011_PAO-CAF-RESOP_10_12_focus par entités CAFOP" xfId="3271" xr:uid="{00000000-0005-0000-0000-0000300D0000}"/>
    <cellStyle name="t_Manager_Actualisation provision contrat déficitaire SNCM 2011 V3 30 05 2011_PAO-CAF-RESOP_10_12_focus par entités CAFOP_Bridge_Zone_Sud" xfId="3272" xr:uid="{00000000-0005-0000-0000-0000310D0000}"/>
    <cellStyle name="t_Manager_Actualisation provision contrat déficitaire SNCM 2011 V3 30 05 2011_PAO-CAF-RESOP_11_13" xfId="3273" xr:uid="{00000000-0005-0000-0000-0000320D0000}"/>
    <cellStyle name="t_Manager_Actualisation provision contrat déficitaire SNCM 2011 V3 30 05 2011_PAO-CAF-RESOP_B13" xfId="3274" xr:uid="{00000000-0005-0000-0000-0000330D0000}"/>
    <cellStyle name="t_Manager_Actualisation provision contrat déficitaire SNCM 2011 V3 30 05 2011_PAO-CAF-RESOP_B13_Bridge_Zone_Sud" xfId="3275" xr:uid="{00000000-0005-0000-0000-0000340D0000}"/>
    <cellStyle name="t_Manager_Actualisation provision contrat déficitaire SNCM 2011 V3 30 05 2011_PAO-CAF-RESOP_B13_focus par entités CAFOP" xfId="3276" xr:uid="{00000000-0005-0000-0000-0000350D0000}"/>
    <cellStyle name="t_Manager_Actualisation provision contrat déficitaire SNCM 2011 V3 30 05 2011_PAO-CAF-RESOP_B13_focus par entités CAFOP_Bridge_Zone_Sud" xfId="3277" xr:uid="{00000000-0005-0000-0000-0000360D0000}"/>
    <cellStyle name="t_Manager_Actualisation provision contrat déficitaire SNCM 2011 V3 30 05 2011_PAO-CAF-RESOP_B2014" xfId="3278" xr:uid="{00000000-0005-0000-0000-0000370D0000}"/>
    <cellStyle name="t_Manager_Actualisation provision contrat déficitaire SNCM 2011 V3 30 05 2011_PAO-CAF-RESOP_B2014_Bridge_Zone_Sud" xfId="3279" xr:uid="{00000000-0005-0000-0000-0000380D0000}"/>
    <cellStyle name="t_Manager_Actualisation provision contrat déficitaire SNCM 2011 V3 30 05 2011_PAO-CAF-RESOP_B2014_v2" xfId="3280" xr:uid="{00000000-0005-0000-0000-0000390D0000}"/>
    <cellStyle name="t_Manager_Actualisation provision contrat déficitaire SNCM 2011 V3 30 05 2011_PAO-CAF-RESOP_E2_13" xfId="3281" xr:uid="{00000000-0005-0000-0000-00003A0D0000}"/>
    <cellStyle name="t_Manager_Actualisation provision contrat déficitaire SNCM 2011 V3 30 05 2011_PAO-CAF-RESOP_E2_13_B14_E2_2210" xfId="3282" xr:uid="{00000000-0005-0000-0000-00003B0D0000}"/>
    <cellStyle name="t_Manager_Actualisation provision contrat déficitaire SNCM 2011 V3 30 05 2011_PAO-CAF-RESOP_E2_13_B14_E2_2210_Bridge_Zone_Sud" xfId="3283" xr:uid="{00000000-0005-0000-0000-00003C0D0000}"/>
    <cellStyle name="t_Manager_Actualisation provision contrat déficitaire SNCM 2011 V3 30 05 2011_PAO-CAF-RESOP_E2_13_Bridge_Zone_Sud" xfId="3284" xr:uid="{00000000-0005-0000-0000-00003D0D0000}"/>
    <cellStyle name="t_Manager_Actualisation provision contrat déficitaire SNCM 2011 V3 30 05 2011_PAO-CAF-RESOP_E2_2013_03_10_19H" xfId="3285" xr:uid="{00000000-0005-0000-0000-00003E0D0000}"/>
    <cellStyle name="t_Manager_Actualisation provision contrat déficitaire SNCM 2011 V3 30 05 2011_PAO-CAF-RESOP_E2_2013_03_10_19H_Bridge_Zone_Sud" xfId="3286" xr:uid="{00000000-0005-0000-0000-00003F0D0000}"/>
    <cellStyle name="t_Manager_Actualisation provision contrat déficitaire SNCM 2011 V3 30 05 2011_PPA" xfId="3287" xr:uid="{00000000-0005-0000-0000-0000400D0000}"/>
    <cellStyle name="t_Manager_Actualisation provision contrat déficitaire SNCM 2011 V3 30 05 2011_RESOP bef CICE&amp;PPA&amp;RepartHO" xfId="3288" xr:uid="{00000000-0005-0000-0000-0000410D0000}"/>
    <cellStyle name="t_Manager_Actualisation provision contrat déficitaire SNCM 2011 V3 30 05 2011_Synthèse_Présentation_conso_retraitée" xfId="3289" xr:uid="{00000000-0005-0000-0000-0000420D0000}"/>
    <cellStyle name="t_Manager_B14_E2_2210" xfId="3290" xr:uid="{00000000-0005-0000-0000-0000430D0000}"/>
    <cellStyle name="t_Manager_B14_E2_2210_Bridge_Zone_Sud" xfId="3291" xr:uid="{00000000-0005-0000-0000-0000440D0000}"/>
    <cellStyle name="t_Manager_BFR_TD_2014.02" xfId="3292" xr:uid="{00000000-0005-0000-0000-0000450D0000}"/>
    <cellStyle name="t_Manager_Bridge_Zone_Nord" xfId="3293" xr:uid="{00000000-0005-0000-0000-0000460D0000}"/>
    <cellStyle name="t_Manager_CAPEM BY COUNTRY" xfId="3294" xr:uid="{00000000-0005-0000-0000-0000470D0000}"/>
    <cellStyle name="t_Manager_LI819L_B13" xfId="3295" xr:uid="{00000000-0005-0000-0000-0000480D0000}"/>
    <cellStyle name="t_Manager_LI819L_B13_CAPEM BY COUNTRY" xfId="3296" xr:uid="{00000000-0005-0000-0000-0000490D0000}"/>
    <cellStyle name="t_Manager_LI819L_B13_Maquette PLT" xfId="3297" xr:uid="{00000000-0005-0000-0000-00004A0D0000}"/>
    <cellStyle name="t_Manager_LI819L_B13_Output" xfId="3464" xr:uid="{00000000-0005-0000-0000-00004B0D0000}"/>
    <cellStyle name="t_Manager_LI819L_B13_PPA" xfId="3298" xr:uid="{00000000-0005-0000-0000-00004C0D0000}"/>
    <cellStyle name="t_Manager_LI819L_B13_RESOP bef CICE&amp;PPA&amp;RepartHO" xfId="3299" xr:uid="{00000000-0005-0000-0000-00004D0D0000}"/>
    <cellStyle name="t_Manager_Maquette PLT" xfId="3300" xr:uid="{00000000-0005-0000-0000-00004E0D0000}"/>
    <cellStyle name="t_Manager_Output" xfId="3461" xr:uid="{00000000-0005-0000-0000-00004F0D0000}"/>
    <cellStyle name="t_Manager_PAO-CAF-RESOP_14_01_13 à 20h" xfId="3301" xr:uid="{00000000-0005-0000-0000-0000500D0000}"/>
    <cellStyle name="t_Manager_PAO-CAF-RESOP_14_01_13 à 20h_CAPEM BY COUNTRY" xfId="3302" xr:uid="{00000000-0005-0000-0000-0000510D0000}"/>
    <cellStyle name="t_Manager_PAO-CAF-RESOP_14_01_13 à 20h_Maquette PLT" xfId="3303" xr:uid="{00000000-0005-0000-0000-0000520D0000}"/>
    <cellStyle name="t_Manager_PAO-CAF-RESOP_14_01_13 à 20h_Output" xfId="3465" xr:uid="{00000000-0005-0000-0000-0000530D0000}"/>
    <cellStyle name="t_Manager_PAO-CAF-RESOP_14_01_13 à 20h_PPA" xfId="3304" xr:uid="{00000000-0005-0000-0000-0000540D0000}"/>
    <cellStyle name="t_Manager_PAO-CAF-RESOP_14_01_13 à 20h_RESOP bef CICE&amp;PPA&amp;RepartHO" xfId="3305" xr:uid="{00000000-0005-0000-0000-0000550D0000}"/>
    <cellStyle name="t_Manager_PAO-CAF-RESOP_2014.02" xfId="3306" xr:uid="{00000000-0005-0000-0000-0000560D0000}"/>
    <cellStyle name="t_Manager_PAO-CAF-RESOP_2014.02_Bridge_Zone_Sud" xfId="3307" xr:uid="{00000000-0005-0000-0000-0000570D0000}"/>
    <cellStyle name="t_Manager_PPA" xfId="3308" xr:uid="{00000000-0005-0000-0000-0000580D0000}"/>
    <cellStyle name="t_Manager_RESOP bef CICE&amp;PPA&amp;RepartHO" xfId="3309" xr:uid="{00000000-0005-0000-0000-0000590D0000}"/>
    <cellStyle name="t_Maquette PLT" xfId="3310" xr:uid="{00000000-0005-0000-0000-00005A0D0000}"/>
    <cellStyle name="t_Output" xfId="3457" xr:uid="{00000000-0005-0000-0000-00005B0D0000}"/>
    <cellStyle name="t_PAO-CAF-RESOP_14_01_13 à 20h" xfId="3311" xr:uid="{00000000-0005-0000-0000-00005C0D0000}"/>
    <cellStyle name="t_PAO-CAF-RESOP_14_01_13 à 20h_CAPEM BY COUNTRY" xfId="3312" xr:uid="{00000000-0005-0000-0000-00005D0D0000}"/>
    <cellStyle name="t_PAO-CAF-RESOP_14_01_13 à 20h_Maquette PLT" xfId="3313" xr:uid="{00000000-0005-0000-0000-00005E0D0000}"/>
    <cellStyle name="t_PAO-CAF-RESOP_14_01_13 à 20h_Output" xfId="3466" xr:uid="{00000000-0005-0000-0000-00005F0D0000}"/>
    <cellStyle name="t_PAO-CAF-RESOP_14_01_13 à 20h_PPA" xfId="3314" xr:uid="{00000000-0005-0000-0000-0000600D0000}"/>
    <cellStyle name="t_PAO-CAF-RESOP_14_01_13 à 20h_RESOP bef CICE&amp;PPA&amp;RepartHO" xfId="3315" xr:uid="{00000000-0005-0000-0000-0000610D0000}"/>
    <cellStyle name="t_PAO-CAF-RESOP_2014.02" xfId="3316" xr:uid="{00000000-0005-0000-0000-0000620D0000}"/>
    <cellStyle name="t_PAO-CAF-RESOP_2014.02_Bridge_Zone_Sud" xfId="3317" xr:uid="{00000000-0005-0000-0000-0000630D0000}"/>
    <cellStyle name="t_PPA" xfId="3318" xr:uid="{00000000-0005-0000-0000-0000640D0000}"/>
    <cellStyle name="t_RESOP bef CICE&amp;PPA&amp;RepartHO" xfId="3319" xr:uid="{00000000-0005-0000-0000-0000650D0000}"/>
    <cellStyle name="Text Level 1" xfId="3320" xr:uid="{00000000-0005-0000-0000-0000660D0000}"/>
    <cellStyle name="Text Level 2" xfId="3321" xr:uid="{00000000-0005-0000-0000-0000670D0000}"/>
    <cellStyle name="Text Level 3" xfId="3322" xr:uid="{00000000-0005-0000-0000-0000680D0000}"/>
    <cellStyle name="Text Level 4" xfId="3323" xr:uid="{00000000-0005-0000-0000-0000690D0000}"/>
    <cellStyle name="Texte explicatif 2" xfId="3324" xr:uid="{00000000-0005-0000-0000-00006A0D0000}"/>
    <cellStyle name="Title" xfId="287" xr:uid="{00000000-0005-0000-0000-00006B0D0000}"/>
    <cellStyle name="Title 2" xfId="288" xr:uid="{00000000-0005-0000-0000-00006C0D0000}"/>
    <cellStyle name="Title 3" xfId="289" xr:uid="{00000000-0005-0000-0000-00006D0D0000}"/>
    <cellStyle name="Title 4" xfId="290" xr:uid="{00000000-0005-0000-0000-00006E0D0000}"/>
    <cellStyle name="Title 5" xfId="291" xr:uid="{00000000-0005-0000-0000-00006F0D0000}"/>
    <cellStyle name="Title 6" xfId="292" xr:uid="{00000000-0005-0000-0000-0000700D0000}"/>
    <cellStyle name="Title_Decote croissance organique" xfId="3325" xr:uid="{00000000-0005-0000-0000-0000710D0000}"/>
    <cellStyle name="Titles" xfId="3326" xr:uid="{00000000-0005-0000-0000-0000720D0000}"/>
    <cellStyle name="Titre 2" xfId="3327" xr:uid="{00000000-0005-0000-0000-0000730D0000}"/>
    <cellStyle name="Titre colonnes" xfId="293" xr:uid="{00000000-0005-0000-0000-0000740D0000}"/>
    <cellStyle name="Titre lignes" xfId="294" xr:uid="{00000000-0005-0000-0000-0000750D0000}"/>
    <cellStyle name="Titre 1 2" xfId="3328" xr:uid="{00000000-0005-0000-0000-0000760D0000}"/>
    <cellStyle name="Titre 2 2" xfId="3329" xr:uid="{00000000-0005-0000-0000-0000770D0000}"/>
    <cellStyle name="Titre 3 2" xfId="3330" xr:uid="{00000000-0005-0000-0000-0000780D0000}"/>
    <cellStyle name="Titre 4 2" xfId="3331" xr:uid="{00000000-0005-0000-0000-0000790D0000}"/>
    <cellStyle name="Top_Double_Bottom" xfId="3332" xr:uid="{00000000-0005-0000-0000-00007A0D0000}"/>
    <cellStyle name="Total 2" xfId="295" xr:uid="{00000000-0005-0000-0000-00007B0D0000}"/>
    <cellStyle name="Total 3" xfId="296" xr:uid="{00000000-0005-0000-0000-00007C0D0000}"/>
    <cellStyle name="Total 4" xfId="297" xr:uid="{00000000-0005-0000-0000-00007D0D0000}"/>
    <cellStyle name="Total 5" xfId="298" xr:uid="{00000000-0005-0000-0000-00007E0D0000}"/>
    <cellStyle name="Total 6" xfId="299" xr:uid="{00000000-0005-0000-0000-00007F0D0000}"/>
    <cellStyle name="UNDERRUBRIK" xfId="3333" xr:uid="{00000000-0005-0000-0000-0000800D0000}"/>
    <cellStyle name="Vérification 2" xfId="3334" xr:uid="{00000000-0005-0000-0000-0000810D0000}"/>
    <cellStyle name="Warning Text" xfId="300" xr:uid="{00000000-0005-0000-0000-0000820D0000}"/>
    <cellStyle name="Warning Text 2" xfId="301" xr:uid="{00000000-0005-0000-0000-0000830D0000}"/>
    <cellStyle name="Warning Text 3" xfId="302" xr:uid="{00000000-0005-0000-0000-0000840D0000}"/>
    <cellStyle name="Warning Text 4" xfId="303" xr:uid="{00000000-0005-0000-0000-0000850D0000}"/>
    <cellStyle name="Warning Text 5" xfId="304" xr:uid="{00000000-0005-0000-0000-0000860D0000}"/>
    <cellStyle name="Warning Text_Feuil1" xfId="3335" xr:uid="{00000000-0005-0000-0000-0000870D0000}"/>
    <cellStyle name="Year" xfId="3336" xr:uid="{00000000-0005-0000-0000-0000880D0000}"/>
    <cellStyle name="zoe" xfId="3337" xr:uid="{00000000-0005-0000-0000-0000890D0000}"/>
    <cellStyle name="常规_Sheet1_Sub-consolidation Scope 2008 12 SX432 Lanzhou" xfId="3338" xr:uid="{00000000-0005-0000-0000-00008A0D0000}"/>
  </cellStyles>
  <dxfs count="3"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1AA"/>
      <color rgb="FFDDDDDD"/>
      <color rgb="FF7E408F"/>
      <color rgb="FFD9D9D9"/>
      <color rgb="FFC0C0C0"/>
      <color rgb="FF803588"/>
      <color rgb="FFFFFFCC"/>
      <color rgb="FFB8A888"/>
      <color rgb="FFFFFF99"/>
      <color rgb="FFD0C2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1523998</xdr:colOff>
      <xdr:row>11</xdr:row>
      <xdr:rowOff>0</xdr:rowOff>
    </xdr:from>
    <xdr:to>
      <xdr:col>11</xdr:col>
      <xdr:colOff>666748</xdr:colOff>
      <xdr:row>13</xdr:row>
      <xdr:rowOff>261937</xdr:rowOff>
    </xdr:to>
    <xdr:sp macro="[0]!RefreshActivity_Cliquer" textlink="">
      <xdr:nvSpPr>
        <xdr:cNvPr id="2" name="RefreshActivityLis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239373" y="20478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>
    <xdr:from>
      <xdr:col>9</xdr:col>
      <xdr:colOff>1485898</xdr:colOff>
      <xdr:row>14</xdr:row>
      <xdr:rowOff>271462</xdr:rowOff>
    </xdr:from>
    <xdr:to>
      <xdr:col>11</xdr:col>
      <xdr:colOff>628648</xdr:colOff>
      <xdr:row>17</xdr:row>
      <xdr:rowOff>223837</xdr:rowOff>
    </xdr:to>
    <xdr:sp macro="[0]!RefreshReport_Cliquer" textlink="">
      <xdr:nvSpPr>
        <xdr:cNvPr id="7" name="RefreshActivityList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201273" y="31527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</a:t>
          </a:r>
          <a:r>
            <a:rPr lang="en-US" sz="2000" b="1" baseline="0">
              <a:solidFill>
                <a:schemeClr val="accent5">
                  <a:lumMod val="50000"/>
                </a:schemeClr>
              </a:solidFill>
            </a:rPr>
            <a:t> Report</a:t>
          </a:r>
          <a:endParaRPr lang="en-US" sz="2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22</xdr:col>
      <xdr:colOff>128594</xdr:colOff>
      <xdr:row>10</xdr:row>
      <xdr:rowOff>200024</xdr:rowOff>
    </xdr:from>
    <xdr:to>
      <xdr:col>23</xdr:col>
      <xdr:colOff>1223969</xdr:colOff>
      <xdr:row>13</xdr:row>
      <xdr:rowOff>200024</xdr:rowOff>
    </xdr:to>
    <xdr:sp macro="[0]!RefreshActivity_Cliquer" textlink="">
      <xdr:nvSpPr>
        <xdr:cNvPr id="8" name="RefreshActivityLis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751719" y="1985962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ABIEN~1.CAU\AppData\Local\Temp\19\TM122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ext"/>
      <sheetName val="Control"/>
      <sheetName val="Plan Input"/>
      <sheetName val="Plan Input_DBS"/>
      <sheetName val="IFRS16 Simulation"/>
    </sheetNames>
    <sheetDataSet>
      <sheetData sheetId="0">
        <row r="14">
          <cell r="P14" t="str">
            <v>Sweden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9"/>
  <sheetViews>
    <sheetView workbookViewId="0">
      <selection activeCell="H16" sqref="H16"/>
    </sheetView>
  </sheetViews>
  <sheetFormatPr baseColWidth="10" defaultColWidth="9.1796875" defaultRowHeight="12.5"/>
  <cols>
    <col min="1" max="1" width="35.7265625" customWidth="1"/>
    <col min="2" max="2" width="24.7265625" customWidth="1"/>
  </cols>
  <sheetData>
    <row r="1" spans="1:2" ht="18">
      <c r="A1" s="8" t="s">
        <v>110</v>
      </c>
      <c r="B1" s="9"/>
    </row>
    <row r="2" spans="1:2">
      <c r="A2" s="9"/>
      <c r="B2" s="9"/>
    </row>
    <row r="3" spans="1:2" ht="15.5">
      <c r="A3" s="10" t="s">
        <v>86</v>
      </c>
      <c r="B3" s="9"/>
    </row>
    <row r="4" spans="1:2" ht="13">
      <c r="A4" s="11" t="s">
        <v>87</v>
      </c>
      <c r="B4" s="12" t="s">
        <v>123</v>
      </c>
    </row>
    <row r="5" spans="1:2" ht="13">
      <c r="A5" s="11" t="s">
        <v>88</v>
      </c>
      <c r="B5" s="13" t="str">
        <f>LEFT(Server,LEN(Server)-1)</f>
        <v>tango_core_model</v>
      </c>
    </row>
    <row r="6" spans="1:2" ht="13">
      <c r="A6" s="11" t="s">
        <v>89</v>
      </c>
      <c r="B6" s="13" t="s">
        <v>174</v>
      </c>
    </row>
    <row r="7" spans="1:2" ht="13">
      <c r="A7" s="11" t="s">
        <v>90</v>
      </c>
      <c r="B7" s="13">
        <v>0</v>
      </c>
    </row>
    <row r="8" spans="1:2" ht="13">
      <c r="A8" s="11" t="s">
        <v>91</v>
      </c>
      <c r="B8" s="13">
        <v>0</v>
      </c>
    </row>
    <row r="9" spans="1:2">
      <c r="B9" s="14"/>
    </row>
    <row r="10" spans="1:2" ht="15.5">
      <c r="A10" s="10" t="s">
        <v>92</v>
      </c>
      <c r="B10" s="14"/>
    </row>
    <row r="11" spans="1:2" ht="13">
      <c r="A11" s="11" t="s">
        <v>93</v>
      </c>
      <c r="B11" s="13" t="s">
        <v>155</v>
      </c>
    </row>
    <row r="12" spans="1:2" ht="13">
      <c r="A12" s="11" t="s">
        <v>94</v>
      </c>
      <c r="B12" s="13" t="s">
        <v>95</v>
      </c>
    </row>
    <row r="13" spans="1:2" ht="13">
      <c r="A13" s="11" t="s">
        <v>96</v>
      </c>
      <c r="B13" s="13" t="str">
        <f>_xll.DBR(Server&amp;"z_Admin_Param","YEAR_LTP","STR_VAR1")</f>
        <v>2025</v>
      </c>
    </row>
    <row r="14" spans="1:2" ht="13">
      <c r="A14" s="11" t="s">
        <v>97</v>
      </c>
      <c r="B14" s="13" t="str">
        <f>_xll.DBR(Server&amp;"z_Admin_Param","PHASE_LTP","STR_VAR1")</f>
        <v>LTP_2025_VC</v>
      </c>
    </row>
    <row r="15" spans="1:2" ht="13">
      <c r="A15" s="11" t="s">
        <v>98</v>
      </c>
      <c r="B15" s="13" t="str">
        <f>_xll.DBR(Server&amp;"z_Client_Properties","Language",_xll.TM1USER(xServer))</f>
        <v>French</v>
      </c>
    </row>
    <row r="16" spans="1:2" ht="13">
      <c r="A16" s="181" t="s">
        <v>99</v>
      </c>
      <c r="B16" s="15" t="s">
        <v>100</v>
      </c>
    </row>
    <row r="17" spans="1:2" ht="13">
      <c r="A17" s="182"/>
      <c r="B17" s="15" t="s">
        <v>101</v>
      </c>
    </row>
    <row r="18" spans="1:2" ht="13">
      <c r="A18" s="182"/>
      <c r="B18" s="15"/>
    </row>
    <row r="19" spans="1:2" ht="13">
      <c r="A19" s="182"/>
      <c r="B19" s="15"/>
    </row>
    <row r="20" spans="1:2" ht="13">
      <c r="A20" s="183"/>
      <c r="B20" s="15"/>
    </row>
    <row r="21" spans="1:2" ht="13">
      <c r="A21" s="181" t="s">
        <v>102</v>
      </c>
      <c r="B21" s="15" t="s">
        <v>103</v>
      </c>
    </row>
    <row r="22" spans="1:2" ht="13">
      <c r="A22" s="182"/>
      <c r="B22" s="15" t="s">
        <v>104</v>
      </c>
    </row>
    <row r="23" spans="1:2" ht="13">
      <c r="A23" s="183"/>
      <c r="B23" s="15" t="s">
        <v>105</v>
      </c>
    </row>
    <row r="25" spans="1:2" ht="15.5">
      <c r="A25" s="10" t="s">
        <v>106</v>
      </c>
    </row>
    <row r="26" spans="1:2" ht="15.5">
      <c r="A26" t="s">
        <v>107</v>
      </c>
      <c r="B26" s="1"/>
    </row>
    <row r="27" spans="1:2">
      <c r="A27" t="s">
        <v>108</v>
      </c>
      <c r="B27" s="16"/>
    </row>
    <row r="28" spans="1:2">
      <c r="A28" t="s">
        <v>109</v>
      </c>
      <c r="B28" s="17"/>
    </row>
    <row r="29" spans="1:2" ht="13">
      <c r="A29" s="18"/>
      <c r="B29" s="18"/>
    </row>
  </sheetData>
  <mergeCells count="2">
    <mergeCell ref="A16:A20"/>
    <mergeCell ref="A21:A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">
    <tabColor rgb="FFFF0000"/>
    <pageSetUpPr fitToPage="1"/>
  </sheetPr>
  <dimension ref="A1:XEY139"/>
  <sheetViews>
    <sheetView showGridLines="0" tabSelected="1" topLeftCell="F7" zoomScale="40" zoomScaleNormal="40" zoomScalePageLayoutView="60" workbookViewId="0">
      <pane xSplit="3" ySplit="17" topLeftCell="I24" activePane="bottomRight" state="frozen"/>
      <selection activeCell="F7" sqref="F7"/>
      <selection pane="topRight" activeCell="I7" sqref="I7"/>
      <selection pane="bottomLeft" activeCell="F24" sqref="F24"/>
      <selection pane="bottomRight"/>
    </sheetView>
  </sheetViews>
  <sheetFormatPr baseColWidth="10" defaultColWidth="0" defaultRowHeight="18" customHeight="1" zeroHeight="1" outlineLevelRow="1" outlineLevelCol="1"/>
  <cols>
    <col min="1" max="1" width="23.54296875" style="48" hidden="1" customWidth="1" outlineLevel="1"/>
    <col min="2" max="2" width="21" style="48" hidden="1" customWidth="1" outlineLevel="1"/>
    <col min="3" max="3" width="35.81640625" style="48" hidden="1" customWidth="1" outlineLevel="1"/>
    <col min="4" max="4" width="11" style="48" hidden="1" customWidth="1" outlineLevel="1"/>
    <col min="5" max="5" width="5.453125" style="22" hidden="1" customWidth="1" outlineLevel="1"/>
    <col min="6" max="6" width="5.7265625" style="45" customWidth="1" collapsed="1"/>
    <col min="7" max="7" width="42.453125" style="42" customWidth="1"/>
    <col min="8" max="8" width="52.54296875" style="42" customWidth="1"/>
    <col min="9" max="9" width="30.54296875" style="43" bestFit="1" customWidth="1"/>
    <col min="10" max="10" width="29.81640625" style="43" bestFit="1" customWidth="1"/>
    <col min="11" max="16" width="30.54296875" style="43" bestFit="1" customWidth="1"/>
    <col min="17" max="17" width="11.26953125" style="82" bestFit="1" customWidth="1"/>
    <col min="18" max="18" width="43.453125" style="82" hidden="1" customWidth="1"/>
    <col min="19" max="20" width="29.81640625" style="43" bestFit="1" customWidth="1"/>
    <col min="21" max="21" width="39.453125" style="43" bestFit="1" customWidth="1"/>
    <col min="22" max="22" width="29.81640625" style="43" bestFit="1" customWidth="1"/>
    <col min="23" max="26" width="30.54296875" style="43" bestFit="1" customWidth="1"/>
    <col min="27" max="27" width="6" style="82" customWidth="1"/>
    <col min="28" max="28" width="23" style="82" bestFit="1" customWidth="1"/>
    <col min="29" max="29" width="15.81640625" style="82" bestFit="1" customWidth="1"/>
    <col min="30" max="30" width="24.1796875" style="82" bestFit="1" customWidth="1"/>
    <col min="31" max="33" width="17.7265625" style="82" bestFit="1" customWidth="1"/>
    <col min="34" max="35" width="19.453125" style="43" bestFit="1" customWidth="1"/>
    <col min="36" max="36" width="5.7265625" style="44" customWidth="1"/>
    <col min="37" max="37" width="11.26953125" style="44" hidden="1" customWidth="1"/>
    <col min="38" max="38" width="33.1796875" style="44" hidden="1" customWidth="1"/>
    <col min="39" max="39" width="30" style="44" hidden="1" customWidth="1"/>
    <col min="40" max="40" width="28.1796875" style="44" hidden="1" customWidth="1"/>
    <col min="41" max="41" width="29.7265625" style="44" hidden="1" customWidth="1"/>
    <col min="42" max="42" width="27.1796875" style="44" hidden="1" customWidth="1"/>
    <col min="43" max="43" width="21.1796875" style="44" hidden="1" customWidth="1"/>
    <col min="44" max="44" width="9" style="44" hidden="1" customWidth="1"/>
    <col min="45" max="49" width="11.453125" style="43" hidden="1"/>
    <col min="50" max="16379" width="0" style="43" hidden="1"/>
    <col min="16380" max="16384" width="11.453125" style="43" hidden="1"/>
  </cols>
  <sheetData>
    <row r="1" spans="1:44" s="26" customFormat="1" ht="23.5" hidden="1">
      <c r="A1" s="22"/>
      <c r="B1" s="22"/>
      <c r="C1" s="22"/>
      <c r="D1" s="22"/>
      <c r="E1" s="22"/>
      <c r="F1" s="23"/>
      <c r="G1" s="24" t="s">
        <v>53</v>
      </c>
      <c r="H1" s="25" t="e">
        <f>_xll.SUBNM(Server&amp;"Phase","",$H$12,"")</f>
        <v>#VALUE!</v>
      </c>
      <c r="Q1" s="79"/>
      <c r="R1" s="25" t="e">
        <f>_xll.SUBNM(Server&amp;"Phase","",$U$12,"")</f>
        <v>#VALUE!</v>
      </c>
      <c r="AA1" s="79"/>
      <c r="AB1" s="79"/>
      <c r="AC1" s="79"/>
      <c r="AD1" s="79"/>
      <c r="AE1" s="79"/>
      <c r="AF1" s="79"/>
      <c r="AG1" s="79"/>
      <c r="AJ1" s="44"/>
      <c r="AK1" s="27"/>
      <c r="AL1" s="27"/>
      <c r="AM1" s="27"/>
      <c r="AN1" s="27"/>
      <c r="AO1" s="27"/>
      <c r="AP1" s="27"/>
      <c r="AQ1" s="27"/>
      <c r="AR1" s="27"/>
    </row>
    <row r="2" spans="1:44" s="26" customFormat="1" ht="23.5" hidden="1">
      <c r="A2" s="22"/>
      <c r="B2" s="22"/>
      <c r="C2" s="22"/>
      <c r="D2" s="22"/>
      <c r="E2" s="22"/>
      <c r="F2" s="23"/>
      <c r="G2" s="24" t="s">
        <v>58</v>
      </c>
      <c r="H2" s="28" t="e">
        <f>MID(H1,5,4)</f>
        <v>#VALUE!</v>
      </c>
      <c r="I2" s="29" t="e">
        <f>_xll.DBRA(Server&amp;$G$2,$J2,"Prior Year")</f>
        <v>#VALUE!</v>
      </c>
      <c r="J2" s="29" t="e">
        <f>"F_year_"&amp;$H$2</f>
        <v>#VALUE!</v>
      </c>
      <c r="K2" s="29" t="e">
        <f>_xll.DBRA(Server&amp;$G$2,J2,"Next Year")</f>
        <v>#VALUE!</v>
      </c>
      <c r="L2" s="29" t="e">
        <f>_xll.DBRA(Server&amp;$G$2,K2,"Next Year")</f>
        <v>#VALUE!</v>
      </c>
      <c r="M2" s="29" t="e">
        <f>_xll.DBRA(Server&amp;$G$2,L2,"Next Year")</f>
        <v>#VALUE!</v>
      </c>
      <c r="N2" s="29" t="e">
        <f>_xll.DBRA(Server&amp;$G$2,M2,"Next Year")</f>
        <v>#VALUE!</v>
      </c>
      <c r="O2" s="29" t="e">
        <f>_xll.DBRA(Server&amp;$G$2,N2,"Next Year")</f>
        <v>#VALUE!</v>
      </c>
      <c r="P2" s="29" t="e">
        <f>_xll.DBRA(Server&amp;$G$2,O2,"Next Year")</f>
        <v>#VALUE!</v>
      </c>
      <c r="Q2" s="80"/>
      <c r="R2" s="28" t="e">
        <f>MID(R1,5,4)</f>
        <v>#VALUE!</v>
      </c>
      <c r="S2" s="29" t="e">
        <f>_xll.DBRA(Server&amp;$G$2,$T2,"Prior Year")</f>
        <v>#VALUE!</v>
      </c>
      <c r="T2" s="29" t="e">
        <f>"F_year_"&amp;$R$2</f>
        <v>#VALUE!</v>
      </c>
      <c r="U2" s="29" t="e">
        <f>_xll.DBRA(Server&amp;$G$2,T2,"Next Year")</f>
        <v>#VALUE!</v>
      </c>
      <c r="V2" s="29" t="e">
        <f>_xll.DBRA(Server&amp;$G$2,U2,"Next Year")</f>
        <v>#VALUE!</v>
      </c>
      <c r="W2" s="29" t="e">
        <f>_xll.DBRA(Server&amp;$G$2,V2,"Next Year")</f>
        <v>#VALUE!</v>
      </c>
      <c r="X2" s="29" t="e">
        <f>_xll.DBRA(Server&amp;$G$2,W2,"Next Year")</f>
        <v>#VALUE!</v>
      </c>
      <c r="Y2" s="29" t="e">
        <f>_xll.DBRA(Server&amp;$G$2,X2,"Next Year")</f>
        <v>#VALUE!</v>
      </c>
      <c r="Z2" s="29" t="e">
        <f>_xll.DBRA(Server&amp;$G$2,Y2,"Next Year")</f>
        <v>#VALUE!</v>
      </c>
      <c r="AA2" s="80"/>
      <c r="AB2" s="80"/>
      <c r="AC2" s="80"/>
      <c r="AD2" s="80"/>
      <c r="AE2" s="80"/>
      <c r="AF2" s="80"/>
      <c r="AG2" s="80"/>
      <c r="AH2" s="30"/>
      <c r="AI2" s="30"/>
      <c r="AJ2" s="86"/>
      <c r="AK2" s="27"/>
      <c r="AL2" s="27"/>
      <c r="AM2" s="27"/>
      <c r="AN2" s="27"/>
      <c r="AO2" s="27"/>
      <c r="AP2" s="27"/>
      <c r="AQ2" s="27"/>
      <c r="AR2" s="27"/>
    </row>
    <row r="3" spans="1:44" s="26" customFormat="1" ht="23.5" hidden="1">
      <c r="A3" s="22"/>
      <c r="B3" s="22"/>
      <c r="C3" s="22"/>
      <c r="D3" s="22"/>
      <c r="E3" s="22"/>
      <c r="F3" s="23"/>
      <c r="G3" s="31" t="e">
        <f>_xll.VIEW(Server&amp;Cube1,ctx_activity_Context,$H$17,$H$13,$H$16,ctx_legal_Context,"!",$H$12,"!")</f>
        <v>#VALUE!</v>
      </c>
      <c r="H3" s="32" t="s">
        <v>122</v>
      </c>
      <c r="I3" s="33" t="e">
        <f>_xll.DBRA(Server&amp;$G$2,$J3,"Prior Year")</f>
        <v>#VALUE!</v>
      </c>
      <c r="J3" s="33" t="e">
        <f>$H$2</f>
        <v>#VALUE!</v>
      </c>
      <c r="K3" s="33" t="e">
        <f>_xll.DBRA(Server&amp;$G$2,J3,"Next Year")</f>
        <v>#VALUE!</v>
      </c>
      <c r="L3" s="33" t="e">
        <f>_xll.DBRA(Server&amp;$G$2,K3,"Next Year")</f>
        <v>#VALUE!</v>
      </c>
      <c r="M3" s="33" t="e">
        <f>_xll.DBRA(Server&amp;$G$2,L3,"Next Year")</f>
        <v>#VALUE!</v>
      </c>
      <c r="N3" s="33" t="e">
        <f>_xll.DBRA(Server&amp;$G$2,M3,"Next Year")</f>
        <v>#VALUE!</v>
      </c>
      <c r="O3" s="33" t="e">
        <f>_xll.DBRA(Server&amp;$G$2,N3,"Next Year")</f>
        <v>#VALUE!</v>
      </c>
      <c r="P3" s="33" t="e">
        <f>_xll.DBRA(Server&amp;$G$2,O3,"Next Year")</f>
        <v>#VALUE!</v>
      </c>
      <c r="Q3" s="80"/>
      <c r="R3" s="80"/>
      <c r="S3" s="33" t="e">
        <f>_xll.DBRA(Server&amp;$G$2,$T3,"Prior Year")</f>
        <v>#VALUE!</v>
      </c>
      <c r="T3" s="33" t="e">
        <f>$R$2</f>
        <v>#VALUE!</v>
      </c>
      <c r="U3" s="33" t="e">
        <f>_xll.DBRA(Server&amp;$G$2,T3,"Next Year")</f>
        <v>#VALUE!</v>
      </c>
      <c r="V3" s="33" t="e">
        <f>_xll.DBRA(Server&amp;$G$2,U3,"Next Year")</f>
        <v>#VALUE!</v>
      </c>
      <c r="W3" s="33" t="e">
        <f>_xll.DBRA(Server&amp;$G$2,V3,"Next Year")</f>
        <v>#VALUE!</v>
      </c>
      <c r="X3" s="33" t="e">
        <f>_xll.DBRA(Server&amp;$G$2,W3,"Next Year")</f>
        <v>#VALUE!</v>
      </c>
      <c r="Y3" s="33" t="e">
        <f>_xll.DBRA(Server&amp;$G$2,X3,"Next Year")</f>
        <v>#VALUE!</v>
      </c>
      <c r="Z3" s="33" t="e">
        <f>_xll.DBRA(Server&amp;$G$2,Y3,"Next Year")</f>
        <v>#VALUE!</v>
      </c>
      <c r="AA3" s="80"/>
      <c r="AB3" s="80"/>
      <c r="AC3" s="80"/>
      <c r="AD3" s="80"/>
      <c r="AE3" s="80"/>
      <c r="AF3" s="80"/>
      <c r="AG3" s="80"/>
      <c r="AH3" s="30"/>
      <c r="AI3" s="30"/>
      <c r="AJ3" s="86"/>
      <c r="AK3" s="27"/>
      <c r="AL3" s="27"/>
      <c r="AM3" s="27"/>
      <c r="AN3" s="27"/>
      <c r="AO3" s="27"/>
      <c r="AP3" s="27"/>
      <c r="AQ3" s="27"/>
      <c r="AR3" s="27"/>
    </row>
    <row r="4" spans="1:44" s="26" customFormat="1" ht="23.25" hidden="1" customHeight="1">
      <c r="A4" s="22"/>
      <c r="B4" s="22"/>
      <c r="C4" s="22"/>
      <c r="D4" s="22"/>
      <c r="E4" s="22"/>
      <c r="F4" s="23"/>
      <c r="G4" s="34"/>
      <c r="H4" s="31"/>
      <c r="I4" s="35" t="e">
        <f>_xll.DBRW("tango_core_model:TC_LTP_Version_Annee_Ouverture",$H$12,I$2,"STR_VAR1")</f>
        <v>#VALUE!</v>
      </c>
      <c r="J4" s="35" t="e">
        <f>_xll.DBRW("tango_core_model:TC_LTP_Version_Annee_Ouverture",$H$12,J$2,"STR_VAR1")</f>
        <v>#VALUE!</v>
      </c>
      <c r="K4" s="35" t="e">
        <f>_xll.DBRW("tango_core_model:TC_LTP_Version_Annee_Ouverture",$H$12,K$2,"STR_VAR1")</f>
        <v>#VALUE!</v>
      </c>
      <c r="L4" s="35" t="e">
        <f>_xll.DBRW("tango_core_model:TC_LTP_Version_Annee_Ouverture",$H$12,L$2,"STR_VAR1")</f>
        <v>#VALUE!</v>
      </c>
      <c r="M4" s="35" t="e">
        <f>_xll.DBRW("tango_core_model:TC_LTP_Version_Annee_Ouverture",$H$12,M$2,"STR_VAR1")</f>
        <v>#VALUE!</v>
      </c>
      <c r="N4" s="35" t="e">
        <f>_xll.DBRW("tango_core_model:TC_LTP_Version_Annee_Ouverture",$H$12,N$2,"STR_VAR1")</f>
        <v>#VALUE!</v>
      </c>
      <c r="O4" s="35" t="e">
        <f>_xll.DBRW("tango_core_model:TC_LTP_Version_Annee_Ouverture",$H$12,O$2,"STR_VAR1")</f>
        <v>#VALUE!</v>
      </c>
      <c r="P4" s="35" t="e">
        <f>_xll.DBRW("tango_core_model:TC_LTP_Version_Annee_Ouverture",$H$12,P$2,"STR_VAR1")</f>
        <v>#VALUE!</v>
      </c>
      <c r="Q4" s="81"/>
      <c r="R4" s="81"/>
      <c r="S4" s="35" t="e">
        <f>_xll.DBRW("tango_core_model:TC_LTP_Version_Annee_Ouverture",$U$12,S$2,"STR_VAR1")</f>
        <v>#VALUE!</v>
      </c>
      <c r="T4" s="35" t="e">
        <f>_xll.DBRW("tango_core_model:TC_LTP_Version_Annee_Ouverture",$U$12,T$2,"STR_VAR1")</f>
        <v>#VALUE!</v>
      </c>
      <c r="U4" s="35" t="e">
        <f>_xll.DBRW("tango_core_model:TC_LTP_Version_Annee_Ouverture",$U$12,U$2,"STR_VAR1")</f>
        <v>#VALUE!</v>
      </c>
      <c r="V4" s="35" t="e">
        <f>_xll.DBRW("tango_core_model:TC_LTP_Version_Annee_Ouverture",$U$12,V$2,"STR_VAR1")</f>
        <v>#VALUE!</v>
      </c>
      <c r="W4" s="35" t="e">
        <f>_xll.DBRW("tango_core_model:TC_LTP_Version_Annee_Ouverture",$U$12,W$2,"STR_VAR1")</f>
        <v>#VALUE!</v>
      </c>
      <c r="X4" s="35" t="e">
        <f>_xll.DBRW("tango_core_model:TC_LTP_Version_Annee_Ouverture",$U$12,X$2,"STR_VAR1")</f>
        <v>#VALUE!</v>
      </c>
      <c r="Y4" s="35" t="e">
        <f>_xll.DBRW("tango_core_model:TC_LTP_Version_Annee_Ouverture",$U$12,Y$2,"STR_VAR1")</f>
        <v>#VALUE!</v>
      </c>
      <c r="Z4" s="35" t="e">
        <f>_xll.DBRW("tango_core_model:TC_LTP_Version_Annee_Ouverture",$U$12,Z$2,"STR_VAR1")</f>
        <v>#VALUE!</v>
      </c>
      <c r="AA4" s="81"/>
      <c r="AB4" s="81"/>
      <c r="AC4" s="81"/>
      <c r="AD4" s="81"/>
      <c r="AE4" s="81"/>
      <c r="AF4" s="81"/>
      <c r="AG4" s="81"/>
      <c r="AH4" s="37"/>
      <c r="AI4" s="37"/>
      <c r="AJ4" s="44"/>
      <c r="AK4" s="27"/>
      <c r="AL4" s="27"/>
      <c r="AM4" s="27"/>
      <c r="AN4" s="27"/>
      <c r="AO4" s="27"/>
      <c r="AP4" s="27"/>
      <c r="AQ4" s="27"/>
      <c r="AR4" s="27"/>
    </row>
    <row r="5" spans="1:44" s="26" customFormat="1" ht="14.25" customHeight="1" outlineLevel="1">
      <c r="A5" s="22"/>
      <c r="B5" s="22"/>
      <c r="C5" s="22"/>
      <c r="D5" s="22"/>
      <c r="E5" s="22"/>
      <c r="F5" s="23"/>
      <c r="G5" s="34"/>
      <c r="H5" s="31" t="e">
        <f>_xll.DBR(Server&amp;"z_Admin_Param","PHASE_LTP","STR_VAR1")</f>
        <v>#N/A</v>
      </c>
      <c r="I5" s="35"/>
      <c r="J5" s="36"/>
      <c r="K5" s="37"/>
      <c r="L5" s="37"/>
      <c r="M5" s="37"/>
      <c r="N5" s="37"/>
      <c r="O5" s="37"/>
      <c r="P5" s="37"/>
      <c r="Q5" s="81"/>
      <c r="R5" s="81"/>
      <c r="S5" s="35"/>
      <c r="T5" s="36"/>
      <c r="U5" s="37"/>
      <c r="V5" s="37"/>
      <c r="W5" s="37"/>
      <c r="X5" s="37"/>
      <c r="Y5" s="37"/>
      <c r="Z5" s="37"/>
      <c r="AA5" s="81"/>
      <c r="AB5" s="81"/>
      <c r="AC5" s="81"/>
      <c r="AD5" s="81"/>
      <c r="AE5" s="81"/>
      <c r="AF5" s="81"/>
      <c r="AG5" s="81"/>
      <c r="AH5" s="37"/>
      <c r="AI5" s="37"/>
      <c r="AJ5" s="44"/>
      <c r="AK5" s="27"/>
      <c r="AL5" s="27"/>
      <c r="AM5" s="27"/>
      <c r="AN5" s="27"/>
      <c r="AO5" s="27"/>
      <c r="AP5" s="27"/>
      <c r="AQ5" s="27"/>
      <c r="AR5" s="27"/>
    </row>
    <row r="6" spans="1:44" s="26" customFormat="1" ht="9.75" customHeight="1" outlineLevel="1">
      <c r="A6" s="22"/>
      <c r="B6" s="22"/>
      <c r="C6" s="22"/>
      <c r="D6" s="22"/>
      <c r="E6" s="22"/>
      <c r="F6" s="23"/>
      <c r="G6" s="34"/>
      <c r="H6" s="31"/>
      <c r="I6" s="35"/>
      <c r="J6" s="36"/>
      <c r="K6" s="37"/>
      <c r="L6" s="37"/>
      <c r="M6" s="37"/>
      <c r="N6" s="37"/>
      <c r="O6" s="37"/>
      <c r="P6" s="37"/>
      <c r="Q6" s="81"/>
      <c r="R6" s="81"/>
      <c r="S6" s="35"/>
      <c r="T6" s="36"/>
      <c r="U6" s="37"/>
      <c r="V6" s="37"/>
      <c r="W6" s="37"/>
      <c r="X6" s="37"/>
      <c r="Y6" s="37"/>
      <c r="Z6" s="37"/>
      <c r="AA6" s="81"/>
      <c r="AB6" s="81"/>
      <c r="AC6" s="81"/>
      <c r="AD6" s="81"/>
      <c r="AE6" s="81"/>
      <c r="AF6" s="81"/>
      <c r="AG6" s="81"/>
      <c r="AH6" s="37"/>
      <c r="AI6" s="37"/>
      <c r="AJ6" s="44"/>
      <c r="AK6" s="27"/>
      <c r="AL6" s="27"/>
      <c r="AM6" s="27"/>
      <c r="AN6" s="27"/>
      <c r="AO6" s="27"/>
      <c r="AP6" s="27"/>
      <c r="AQ6" s="27"/>
      <c r="AR6" s="27"/>
    </row>
    <row r="7" spans="1:44" s="26" customFormat="1" ht="23.5">
      <c r="A7" s="22"/>
      <c r="B7" s="22"/>
      <c r="C7" s="22"/>
      <c r="D7" s="22"/>
      <c r="E7" s="22"/>
      <c r="F7" s="23"/>
      <c r="G7" s="34"/>
      <c r="H7" s="31"/>
      <c r="I7" s="35"/>
      <c r="J7" s="36"/>
      <c r="K7" s="37"/>
      <c r="L7" s="37"/>
      <c r="M7" s="37"/>
      <c r="N7" s="37"/>
      <c r="O7" s="37"/>
      <c r="P7" s="37"/>
      <c r="Q7" s="81"/>
      <c r="R7" s="81"/>
      <c r="S7" s="35"/>
      <c r="T7" s="36"/>
      <c r="U7" s="37"/>
      <c r="V7" s="37"/>
      <c r="W7" s="37"/>
      <c r="X7" s="37"/>
      <c r="Y7" s="37"/>
      <c r="Z7" s="37"/>
      <c r="AA7" s="81"/>
      <c r="AB7" s="81"/>
      <c r="AC7" s="81"/>
      <c r="AD7" s="81"/>
      <c r="AE7" s="81"/>
      <c r="AF7" s="81"/>
      <c r="AG7" s="81"/>
      <c r="AH7" s="37"/>
      <c r="AI7" s="37"/>
      <c r="AJ7" s="44"/>
      <c r="AK7" s="27"/>
      <c r="AL7" s="27"/>
      <c r="AM7" s="27"/>
      <c r="AN7" s="27"/>
      <c r="AO7" s="27"/>
      <c r="AP7" s="27"/>
      <c r="AQ7" s="27"/>
      <c r="AR7" s="27"/>
    </row>
    <row r="8" spans="1:44" s="26" customFormat="1" ht="39.75" customHeight="1">
      <c r="A8" s="22"/>
      <c r="B8" s="22"/>
      <c r="C8" s="22"/>
      <c r="D8" s="22"/>
      <c r="E8" s="22"/>
      <c r="F8" s="23"/>
      <c r="G8" s="204" t="e">
        <f>H13</f>
        <v>#VALUE!</v>
      </c>
      <c r="H8" s="204"/>
      <c r="I8" s="204"/>
      <c r="J8" s="204"/>
      <c r="K8" s="204"/>
      <c r="L8" s="204"/>
      <c r="M8" s="204"/>
      <c r="N8" s="204"/>
      <c r="O8" s="204"/>
      <c r="P8" s="204"/>
      <c r="Q8" s="204"/>
      <c r="R8" s="204"/>
      <c r="S8" s="204"/>
      <c r="T8" s="204"/>
      <c r="U8" s="204"/>
      <c r="V8" s="204"/>
      <c r="W8" s="204"/>
      <c r="X8" s="204"/>
      <c r="Y8" s="204"/>
      <c r="Z8" s="204"/>
      <c r="AA8" s="204"/>
      <c r="AB8" s="204"/>
      <c r="AC8" s="204"/>
      <c r="AD8" s="204"/>
      <c r="AE8" s="204"/>
      <c r="AF8" s="204"/>
      <c r="AG8" s="204"/>
      <c r="AH8" s="204"/>
      <c r="AI8" s="204"/>
      <c r="AJ8" s="44"/>
      <c r="AK8" s="27"/>
      <c r="AL8" s="27"/>
      <c r="AM8" s="27"/>
      <c r="AN8" s="27"/>
      <c r="AO8" s="27"/>
      <c r="AP8" s="27"/>
      <c r="AQ8" s="27"/>
      <c r="AR8" s="27"/>
    </row>
    <row r="9" spans="1:44" s="26" customFormat="1" ht="39.75" customHeight="1">
      <c r="A9" s="22"/>
      <c r="B9" s="22"/>
      <c r="C9" s="22"/>
      <c r="D9" s="22"/>
      <c r="E9" s="22"/>
      <c r="F9" s="23"/>
      <c r="G9" s="205" t="e">
        <f>$H$14&amp;" - "&amp;$H$15&amp;" - "&amp;$H$16&amp;" - "&amp;$H$17</f>
        <v>#VALUE!</v>
      </c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205"/>
      <c r="W9" s="205"/>
      <c r="X9" s="205"/>
      <c r="Y9" s="205"/>
      <c r="Z9" s="205"/>
      <c r="AA9" s="205"/>
      <c r="AB9" s="205"/>
      <c r="AC9" s="205"/>
      <c r="AD9" s="205"/>
      <c r="AE9" s="205"/>
      <c r="AF9" s="205"/>
      <c r="AG9" s="205"/>
      <c r="AH9" s="205"/>
      <c r="AI9" s="205"/>
      <c r="AJ9" s="44"/>
      <c r="AK9" s="27"/>
      <c r="AL9" s="27"/>
      <c r="AM9" s="27"/>
      <c r="AN9" s="27"/>
      <c r="AO9" s="27"/>
      <c r="AP9" s="27"/>
      <c r="AQ9" s="27"/>
      <c r="AR9" s="27"/>
    </row>
    <row r="10" spans="1:44" s="26" customFormat="1" ht="39.75" customHeight="1">
      <c r="A10" s="22"/>
      <c r="B10" s="22"/>
      <c r="C10" s="22"/>
      <c r="D10" s="22"/>
      <c r="E10" s="22"/>
      <c r="F10" s="23"/>
      <c r="G10" s="206" t="e">
        <f>I20&amp;"  vs  "&amp;S20</f>
        <v>#N/A</v>
      </c>
      <c r="H10" s="206"/>
      <c r="I10" s="206"/>
      <c r="J10" s="206"/>
      <c r="K10" s="206"/>
      <c r="L10" s="206"/>
      <c r="M10" s="206"/>
      <c r="N10" s="206"/>
      <c r="O10" s="206"/>
      <c r="P10" s="206"/>
      <c r="Q10" s="206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  <c r="AD10" s="206"/>
      <c r="AE10" s="206"/>
      <c r="AF10" s="206"/>
      <c r="AG10" s="206"/>
      <c r="AH10" s="206"/>
      <c r="AI10" s="206"/>
      <c r="AJ10" s="44"/>
      <c r="AK10" s="27"/>
      <c r="AL10" s="27"/>
      <c r="AM10" s="27"/>
      <c r="AN10" s="27"/>
      <c r="AO10" s="27"/>
      <c r="AP10" s="27"/>
      <c r="AQ10" s="27"/>
      <c r="AR10" s="27"/>
    </row>
    <row r="11" spans="1:44" s="26" customFormat="1" ht="21" customHeight="1">
      <c r="A11" s="22"/>
      <c r="B11" s="22"/>
      <c r="C11" s="22"/>
      <c r="D11" s="22"/>
      <c r="E11" s="22"/>
      <c r="F11" s="23"/>
      <c r="G11" s="34"/>
      <c r="H11" s="31"/>
      <c r="I11" s="35"/>
      <c r="J11" s="36"/>
      <c r="K11" s="37"/>
      <c r="L11" s="37"/>
      <c r="M11" s="37"/>
      <c r="N11" s="37"/>
      <c r="O11" s="37"/>
      <c r="P11" s="37"/>
      <c r="Q11" s="81"/>
      <c r="R11" s="81"/>
      <c r="S11" s="35"/>
      <c r="T11" s="36"/>
      <c r="U11" s="37"/>
      <c r="V11" s="37"/>
      <c r="W11" s="37"/>
      <c r="X11" s="37"/>
      <c r="Y11" s="37"/>
      <c r="Z11" s="37"/>
      <c r="AA11" s="81"/>
      <c r="AB11" s="81"/>
      <c r="AC11" s="81"/>
      <c r="AD11" s="81"/>
      <c r="AE11" s="81"/>
      <c r="AF11" s="81"/>
      <c r="AG11" s="81"/>
      <c r="AH11" s="37"/>
      <c r="AI11" s="37"/>
      <c r="AJ11" s="44"/>
      <c r="AK11" s="27"/>
      <c r="AL11" s="27"/>
      <c r="AM11" s="27"/>
      <c r="AN11" s="27"/>
      <c r="AO11" s="27"/>
      <c r="AP11" s="27"/>
      <c r="AQ11" s="27"/>
      <c r="AR11" s="27"/>
    </row>
    <row r="12" spans="1:44" s="26" customFormat="1" ht="21" customHeight="1">
      <c r="A12" s="22"/>
      <c r="B12" s="22"/>
      <c r="C12" s="22"/>
      <c r="D12" s="22"/>
      <c r="E12" s="22"/>
      <c r="F12" s="23"/>
      <c r="G12" s="38" t="e">
        <f>_xll.DBRA(Server&amp;$AL$25,$AL29,$H$18)</f>
        <v>#N/A</v>
      </c>
      <c r="H12" s="39" t="e">
        <f>_xll.SUBNM(Server&amp;"Phase","LTP_Current","LTP_2021_VC")</f>
        <v>#N/A</v>
      </c>
      <c r="I12" s="35"/>
      <c r="J12" s="36"/>
      <c r="K12" s="37"/>
      <c r="L12" s="37"/>
      <c r="M12" s="37"/>
      <c r="N12" s="37"/>
      <c r="O12" s="37"/>
      <c r="P12" s="37"/>
      <c r="Q12" s="81"/>
      <c r="R12" s="81"/>
      <c r="S12" s="207" t="e">
        <f>_xll.DBRA(Server&amp;$AL$25,$AL29,$H$18)</f>
        <v>#N/A</v>
      </c>
      <c r="T12" s="208"/>
      <c r="U12" s="209" t="e">
        <f>_xll.SUBNM(Server&amp;"Phase","LTP_Phase_LAST_YEAR","LTP_2019_V9_V14_V3")</f>
        <v>#N/A</v>
      </c>
      <c r="V12" s="210"/>
      <c r="W12" s="37"/>
      <c r="X12" s="37"/>
      <c r="Y12" s="37"/>
      <c r="Z12" s="37"/>
      <c r="AA12" s="81"/>
      <c r="AB12" s="81"/>
      <c r="AC12" s="81"/>
      <c r="AD12" s="81"/>
      <c r="AE12" s="81"/>
      <c r="AF12" s="81"/>
      <c r="AG12" s="81"/>
      <c r="AH12" s="37"/>
      <c r="AI12" s="37"/>
      <c r="AJ12" s="44"/>
      <c r="AK12" s="27"/>
      <c r="AL12" s="27"/>
      <c r="AM12" s="27"/>
      <c r="AN12" s="27"/>
      <c r="AO12" s="27"/>
      <c r="AP12" s="27"/>
      <c r="AQ12" s="27"/>
      <c r="AR12" s="27"/>
    </row>
    <row r="13" spans="1:44" s="26" customFormat="1" ht="23.5">
      <c r="A13" s="22"/>
      <c r="B13" s="22"/>
      <c r="C13" s="22"/>
      <c r="D13" s="22"/>
      <c r="E13" s="22"/>
      <c r="F13" s="23"/>
      <c r="G13" s="38" t="e">
        <f>_xll.DBRA(Server&amp;$AL$25,$AL30,$H$18)</f>
        <v>#N/A</v>
      </c>
      <c r="H13" s="39" t="e">
        <f>_xll.SUBNM(Server&amp;"LTP_Components","",$AN$29,$H$18)</f>
        <v>#VALUE!</v>
      </c>
      <c r="I13" s="36"/>
      <c r="J13" s="36"/>
      <c r="K13" s="37"/>
      <c r="L13" s="170"/>
      <c r="M13" s="36"/>
      <c r="N13" s="37"/>
      <c r="O13" s="37"/>
      <c r="P13" s="37"/>
      <c r="Q13" s="81"/>
      <c r="R13" s="81"/>
      <c r="S13" s="207" t="e">
        <f>_xll.DBRA(Server&amp;$AL$25,$AL30,$H$18)</f>
        <v>#N/A</v>
      </c>
      <c r="T13" s="208"/>
      <c r="U13" s="209" t="e">
        <f>_xll.SUBNM(Server&amp;"LTP_Components","",$AN$29,$H$18)</f>
        <v>#VALUE!</v>
      </c>
      <c r="V13" s="210"/>
      <c r="W13" s="36"/>
      <c r="X13" s="37"/>
      <c r="Y13" s="37"/>
      <c r="Z13" s="37"/>
      <c r="AA13" s="81"/>
      <c r="AB13" s="81"/>
      <c r="AC13" s="81"/>
      <c r="AD13" s="81"/>
      <c r="AE13" s="81"/>
      <c r="AF13" s="81"/>
      <c r="AG13" s="81"/>
      <c r="AH13" s="37"/>
      <c r="AI13" s="37"/>
      <c r="AJ13" s="44"/>
      <c r="AK13" s="27"/>
      <c r="AL13" s="27"/>
      <c r="AM13" s="27"/>
      <c r="AN13" s="27"/>
      <c r="AO13" s="27"/>
      <c r="AP13" s="27"/>
      <c r="AQ13" s="27"/>
      <c r="AR13" s="27"/>
    </row>
    <row r="14" spans="1:44" s="26" customFormat="1" ht="23.5">
      <c r="A14" s="22"/>
      <c r="B14" s="22"/>
      <c r="C14" s="22"/>
      <c r="D14" s="22"/>
      <c r="E14" s="22"/>
      <c r="F14" s="23"/>
      <c r="G14" s="38" t="e">
        <f>_xll.DBRA(Server&amp;$AL$25,$AL$31,$H$18)</f>
        <v>#N/A</v>
      </c>
      <c r="H14" s="39" t="e">
        <f>_xll.SUBNM(Server&amp;"Legal_Organization","",_xll.DBR(Server&amp;"z_Client_Properties","Default_Legal_Organization",_xll.TM1USER(xServer)),"Code_Name")</f>
        <v>#VALUE!</v>
      </c>
      <c r="I14" s="36"/>
      <c r="J14" s="36"/>
      <c r="K14" s="37"/>
      <c r="L14" s="171"/>
      <c r="M14" s="84" t="s">
        <v>8</v>
      </c>
      <c r="N14" s="37"/>
      <c r="O14" s="37"/>
      <c r="P14" s="37"/>
      <c r="Q14" s="81"/>
      <c r="R14" s="81"/>
      <c r="S14" s="207" t="e">
        <f>_xll.DBRA(Server&amp;$AL$25,$AL$31,$H$18)</f>
        <v>#N/A</v>
      </c>
      <c r="T14" s="208"/>
      <c r="U14" s="39" t="e">
        <f>_xll.SUBNM(Server&amp;"Legal_Organization","",_xll.DBR(Server&amp;"z_Client_Properties","Default_Legal_Organization",_xll.TM1USER(xServer)),"Code_Name")</f>
        <v>#VALUE!</v>
      </c>
      <c r="V14" s="171"/>
      <c r="W14" s="84" t="s">
        <v>8</v>
      </c>
      <c r="X14" s="37"/>
      <c r="Y14" s="37"/>
      <c r="Z14" s="37"/>
      <c r="AA14" s="81"/>
      <c r="AB14" s="81"/>
      <c r="AC14" s="81"/>
      <c r="AD14" s="176"/>
      <c r="AE14" s="81"/>
      <c r="AF14" s="81"/>
      <c r="AG14" s="81"/>
      <c r="AH14" s="37"/>
      <c r="AI14" s="37"/>
      <c r="AJ14" s="44"/>
      <c r="AK14" s="27"/>
      <c r="AL14" s="27"/>
      <c r="AM14" s="27"/>
      <c r="AN14" s="27"/>
      <c r="AO14" s="27"/>
      <c r="AP14" s="27"/>
      <c r="AQ14" s="27"/>
      <c r="AR14" s="27"/>
    </row>
    <row r="15" spans="1:44" s="26" customFormat="1" ht="23.5">
      <c r="A15" s="22"/>
      <c r="B15" s="22"/>
      <c r="C15" s="22"/>
      <c r="D15" s="22"/>
      <c r="E15" s="22"/>
      <c r="F15" s="23"/>
      <c r="G15" s="38" t="e">
        <f>_xll.DBRA(Server&amp;$AL$25,$AL$36,$H$18)</f>
        <v>#N/A</v>
      </c>
      <c r="H15" s="39" t="s">
        <v>124</v>
      </c>
      <c r="I15" s="36"/>
      <c r="J15" s="36"/>
      <c r="K15" s="37"/>
      <c r="L15" s="171"/>
      <c r="M15" s="37"/>
      <c r="N15" s="37"/>
      <c r="O15" s="37"/>
      <c r="P15" s="37"/>
      <c r="Q15" s="81"/>
      <c r="R15" s="81"/>
      <c r="S15" s="207" t="e">
        <f>_xll.DBRA(Server&amp;$AL$25,$AL$36,$H$18)</f>
        <v>#N/A</v>
      </c>
      <c r="T15" s="208"/>
      <c r="U15" s="39" t="s">
        <v>124</v>
      </c>
      <c r="V15" s="171"/>
      <c r="W15" s="37"/>
      <c r="X15" s="37"/>
      <c r="Y15" s="37"/>
      <c r="Z15" s="37"/>
      <c r="AA15" s="81"/>
      <c r="AB15" s="81"/>
      <c r="AC15" s="81"/>
      <c r="AD15" s="81"/>
      <c r="AE15" s="81"/>
      <c r="AF15" s="81"/>
      <c r="AG15" s="81"/>
      <c r="AH15" s="37"/>
      <c r="AI15" s="37"/>
      <c r="AJ15" s="44"/>
      <c r="AK15" s="27"/>
      <c r="AL15" s="27"/>
      <c r="AM15" s="27"/>
      <c r="AN15" s="27"/>
      <c r="AO15" s="27"/>
      <c r="AP15" s="27"/>
      <c r="AQ15" s="27"/>
      <c r="AR15" s="27"/>
    </row>
    <row r="16" spans="1:44" s="26" customFormat="1" ht="23.5">
      <c r="A16" s="22"/>
      <c r="B16" s="22"/>
      <c r="C16" s="22"/>
      <c r="D16" s="22"/>
      <c r="E16" s="22"/>
      <c r="F16" s="23"/>
      <c r="G16" s="38" t="e">
        <f>_xll.DBRA(Server&amp;$AL$25,$AL$32,$H$18)</f>
        <v>#N/A</v>
      </c>
      <c r="H16" s="39" t="e">
        <f>IF(MID(H12,5,4)&gt;"2020",_xll.SUBNM(Server&amp;"Weighting","","W_APP"),_xll.SUBNM(Server&amp;"Weighting","","W_NO_APP"))</f>
        <v>#N/A</v>
      </c>
      <c r="I16" s="35"/>
      <c r="J16" s="36"/>
      <c r="K16" s="37"/>
      <c r="L16" s="170"/>
      <c r="M16" s="36"/>
      <c r="N16" s="37"/>
      <c r="O16" s="37"/>
      <c r="P16" s="37"/>
      <c r="Q16" s="81"/>
      <c r="R16" s="81"/>
      <c r="S16" s="207" t="e">
        <f>_xll.DBRA(Server&amp;$AL$25,$AL$32,$H$18)</f>
        <v>#N/A</v>
      </c>
      <c r="T16" s="208"/>
      <c r="U16" s="39" t="e">
        <f>IF(MID(U12,5,4)&gt;"2020",_xll.SUBNM(Server&amp;"Weighting","","W_APP"),_xll.SUBNM(Server&amp;"Weighting","","W_NO_APP"))</f>
        <v>#N/A</v>
      </c>
      <c r="V16" s="170"/>
      <c r="W16" s="36"/>
      <c r="X16" s="37"/>
      <c r="Y16" s="37"/>
      <c r="Z16" s="37"/>
      <c r="AA16" s="81"/>
      <c r="AB16" s="81"/>
      <c r="AC16" s="81"/>
      <c r="AD16" s="81"/>
      <c r="AE16" s="81"/>
      <c r="AF16" s="81"/>
      <c r="AG16" s="81"/>
      <c r="AH16" s="37"/>
      <c r="AI16" s="37"/>
      <c r="AJ16" s="44"/>
      <c r="AK16" s="27"/>
      <c r="AL16" s="27"/>
      <c r="AM16" s="27"/>
      <c r="AN16" s="27"/>
      <c r="AO16" s="27"/>
      <c r="AP16" s="27"/>
      <c r="AQ16" s="27"/>
      <c r="AR16" s="27"/>
    </row>
    <row r="17" spans="1:44" s="26" customFormat="1" ht="23.5">
      <c r="A17" s="22"/>
      <c r="B17" s="22"/>
      <c r="C17" s="22"/>
      <c r="D17" s="22"/>
      <c r="E17" s="22"/>
      <c r="F17" s="23"/>
      <c r="G17" s="38" t="e">
        <f>_xll.DBRA(Server&amp;$AL$25,$AL37,$H$18)</f>
        <v>#N/A</v>
      </c>
      <c r="H17" s="39" t="e">
        <f>_xll.SUBNM(Server&amp;"Currency","","MEUR")</f>
        <v>#N/A</v>
      </c>
      <c r="I17" s="35"/>
      <c r="J17" s="36"/>
      <c r="K17" s="37"/>
      <c r="L17" s="37"/>
      <c r="M17" s="37"/>
      <c r="N17" s="37"/>
      <c r="O17" s="37"/>
      <c r="P17" s="37"/>
      <c r="Q17" s="81"/>
      <c r="R17" s="81"/>
      <c r="S17" s="35"/>
      <c r="U17" s="36"/>
      <c r="V17" s="37"/>
      <c r="W17" s="37"/>
      <c r="X17" s="37"/>
      <c r="Y17" s="37"/>
      <c r="Z17" s="37"/>
      <c r="AA17" s="81"/>
      <c r="AB17" s="81"/>
      <c r="AC17" s="81"/>
      <c r="AD17" s="81"/>
      <c r="AE17" s="81"/>
      <c r="AF17" s="81"/>
      <c r="AG17" s="81"/>
      <c r="AH17" s="37"/>
      <c r="AI17" s="37"/>
      <c r="AJ17" s="44"/>
      <c r="AK17" s="27"/>
      <c r="AL17" s="27"/>
      <c r="AM17" s="27"/>
      <c r="AN17" s="27"/>
      <c r="AO17" s="27"/>
      <c r="AP17" s="27"/>
      <c r="AQ17" s="27"/>
      <c r="AR17" s="27"/>
    </row>
    <row r="18" spans="1:44" s="26" customFormat="1" ht="23.5">
      <c r="A18" s="22"/>
      <c r="B18" s="22"/>
      <c r="C18" s="22"/>
      <c r="D18" s="22"/>
      <c r="E18" s="22"/>
      <c r="F18" s="23"/>
      <c r="G18" s="38" t="e">
        <f>_xll.DBRA(Server&amp;$AL$25,$AL$38,$H$18)</f>
        <v>#N/A</v>
      </c>
      <c r="H18" s="40" t="s">
        <v>100</v>
      </c>
      <c r="I18" s="35"/>
      <c r="J18" s="36"/>
      <c r="K18" s="37"/>
      <c r="L18" s="37"/>
      <c r="M18" s="37"/>
      <c r="N18" s="37"/>
      <c r="O18" s="37"/>
      <c r="P18" s="37"/>
      <c r="Q18" s="81"/>
      <c r="R18" s="81"/>
      <c r="S18" s="35"/>
      <c r="T18" s="36"/>
      <c r="U18" s="37"/>
      <c r="V18" s="37"/>
      <c r="W18" s="37"/>
      <c r="X18" s="37"/>
      <c r="Y18" s="37"/>
      <c r="Z18" s="37"/>
      <c r="AA18" s="81"/>
      <c r="AB18" s="81"/>
      <c r="AC18" s="81"/>
      <c r="AD18" s="81"/>
      <c r="AE18" s="81"/>
      <c r="AF18" s="81"/>
      <c r="AG18" s="81"/>
      <c r="AH18" s="37"/>
      <c r="AI18" s="37"/>
      <c r="AJ18" s="44"/>
      <c r="AK18" s="27"/>
      <c r="AL18" s="27"/>
      <c r="AM18" s="27"/>
      <c r="AN18" s="27"/>
      <c r="AO18" s="27"/>
      <c r="AP18" s="27"/>
      <c r="AQ18" s="27"/>
      <c r="AR18" s="27"/>
    </row>
    <row r="19" spans="1:44" ht="29.25" customHeight="1">
      <c r="A19" s="41"/>
      <c r="B19" s="41"/>
      <c r="C19" s="41"/>
      <c r="D19" s="41"/>
      <c r="F19" s="23"/>
    </row>
    <row r="20" spans="1:44" ht="34.5" customHeight="1">
      <c r="A20" s="41"/>
      <c r="B20" s="41"/>
      <c r="C20" s="41"/>
      <c r="D20" s="41"/>
      <c r="G20" s="174"/>
      <c r="H20" s="174"/>
      <c r="I20" s="201" t="e">
        <f>H12</f>
        <v>#N/A</v>
      </c>
      <c r="J20" s="201"/>
      <c r="K20" s="201"/>
      <c r="L20" s="201"/>
      <c r="M20" s="201"/>
      <c r="N20" s="201"/>
      <c r="O20" s="201"/>
      <c r="P20" s="201"/>
      <c r="Q20" s="83"/>
      <c r="R20" s="83"/>
      <c r="S20" s="201" t="e">
        <f>U12</f>
        <v>#N/A</v>
      </c>
      <c r="T20" s="201"/>
      <c r="U20" s="201"/>
      <c r="V20" s="201"/>
      <c r="W20" s="201"/>
      <c r="X20" s="201"/>
      <c r="Y20" s="201"/>
      <c r="Z20" s="201"/>
      <c r="AA20" s="83"/>
      <c r="AB20" s="201" t="e">
        <f>I20&amp;"  vs  "&amp;S20</f>
        <v>#N/A</v>
      </c>
      <c r="AC20" s="201"/>
      <c r="AD20" s="201"/>
      <c r="AE20" s="201"/>
      <c r="AF20" s="201"/>
      <c r="AG20" s="201"/>
      <c r="AH20" s="201"/>
      <c r="AI20" s="201"/>
    </row>
    <row r="21" spans="1:44" s="119" customFormat="1" ht="27.75" customHeight="1">
      <c r="A21" s="115" t="s">
        <v>59</v>
      </c>
      <c r="B21" s="115"/>
      <c r="C21" s="115"/>
      <c r="D21" s="115">
        <v>1</v>
      </c>
      <c r="E21" s="116"/>
      <c r="F21" s="117"/>
      <c r="G21" s="187" t="e">
        <f>_xll.DBRA(Server&amp;$AL$25,$AL$50,$H$18)</f>
        <v>#N/A</v>
      </c>
      <c r="H21" s="187"/>
      <c r="I21" s="121" t="e">
        <f t="shared" ref="I21:P21" si="0">I4&amp;" "&amp;I3</f>
        <v>#VALUE!</v>
      </c>
      <c r="J21" s="121" t="e">
        <f t="shared" si="0"/>
        <v>#VALUE!</v>
      </c>
      <c r="K21" s="121" t="e">
        <f t="shared" si="0"/>
        <v>#VALUE!</v>
      </c>
      <c r="L21" s="121" t="e">
        <f t="shared" si="0"/>
        <v>#VALUE!</v>
      </c>
      <c r="M21" s="121" t="e">
        <f t="shared" si="0"/>
        <v>#VALUE!</v>
      </c>
      <c r="N21" s="121" t="e">
        <f t="shared" si="0"/>
        <v>#VALUE!</v>
      </c>
      <c r="O21" s="121" t="e">
        <f t="shared" si="0"/>
        <v>#VALUE!</v>
      </c>
      <c r="P21" s="121" t="e">
        <f t="shared" si="0"/>
        <v>#VALUE!</v>
      </c>
      <c r="Q21" s="122"/>
      <c r="R21" s="122"/>
      <c r="S21" s="121" t="e">
        <f t="shared" ref="S21:Z21" si="1">S4&amp;" "&amp;S3</f>
        <v>#VALUE!</v>
      </c>
      <c r="T21" s="121" t="e">
        <f t="shared" si="1"/>
        <v>#VALUE!</v>
      </c>
      <c r="U21" s="121" t="e">
        <f t="shared" si="1"/>
        <v>#VALUE!</v>
      </c>
      <c r="V21" s="121" t="e">
        <f t="shared" si="1"/>
        <v>#VALUE!</v>
      </c>
      <c r="W21" s="121" t="e">
        <f t="shared" si="1"/>
        <v>#VALUE!</v>
      </c>
      <c r="X21" s="121" t="e">
        <f t="shared" si="1"/>
        <v>#VALUE!</v>
      </c>
      <c r="Y21" s="121" t="e">
        <f t="shared" si="1"/>
        <v>#VALUE!</v>
      </c>
      <c r="Z21" s="121" t="e">
        <f t="shared" si="1"/>
        <v>#VALUE!</v>
      </c>
      <c r="AA21" s="122"/>
      <c r="AB21" s="121" t="e">
        <f>_xll.DBRA(Server&amp;$G$2,I$3,$H$18)</f>
        <v>#VALUE!</v>
      </c>
      <c r="AC21" s="121" t="e">
        <f>_xll.DBRA(Server&amp;$G$2,J$3,$H$18)</f>
        <v>#VALUE!</v>
      </c>
      <c r="AD21" s="121" t="e">
        <f>_xll.DBRA(Server&amp;$G$2,K$3,$H$18)</f>
        <v>#VALUE!</v>
      </c>
      <c r="AE21" s="121" t="e">
        <f>_xll.DBRA(Server&amp;$G$2,L$3,$H$18)</f>
        <v>#VALUE!</v>
      </c>
      <c r="AF21" s="121" t="e">
        <f>_xll.DBRA(Server&amp;$G$2,M$3,$H$18)</f>
        <v>#VALUE!</v>
      </c>
      <c r="AG21" s="121" t="e">
        <f>_xll.DBRA(Server&amp;$G$2,N$3,$H$18)</f>
        <v>#VALUE!</v>
      </c>
      <c r="AH21" s="121" t="e">
        <f>_xll.DBRA(Server&amp;$G$2,O$3,$H$18)</f>
        <v>#VALUE!</v>
      </c>
      <c r="AI21" s="121" t="e">
        <f>_xll.DBRA(Server&amp;$G$2,P$3,$H$18)</f>
        <v>#VALUE!</v>
      </c>
      <c r="AK21" s="161"/>
      <c r="AL21" s="161"/>
      <c r="AM21" s="161"/>
      <c r="AN21" s="161"/>
      <c r="AO21" s="161"/>
      <c r="AP21" s="161"/>
      <c r="AQ21" s="161"/>
      <c r="AR21" s="161"/>
    </row>
    <row r="22" spans="1:44" s="119" customFormat="1" ht="27.75" hidden="1" customHeight="1">
      <c r="A22" s="115"/>
      <c r="B22" s="115"/>
      <c r="C22" s="115"/>
      <c r="D22" s="115"/>
      <c r="E22" s="116"/>
      <c r="F22" s="117"/>
      <c r="G22" s="172"/>
      <c r="H22" s="172"/>
      <c r="I22" s="121" t="e">
        <f>I3</f>
        <v>#VALUE!</v>
      </c>
      <c r="J22" s="121" t="e">
        <f t="shared" ref="J22:P22" si="2">J3</f>
        <v>#VALUE!</v>
      </c>
      <c r="K22" s="121" t="e">
        <f t="shared" si="2"/>
        <v>#VALUE!</v>
      </c>
      <c r="L22" s="121" t="e">
        <f t="shared" si="2"/>
        <v>#VALUE!</v>
      </c>
      <c r="M22" s="121" t="e">
        <f t="shared" si="2"/>
        <v>#VALUE!</v>
      </c>
      <c r="N22" s="121" t="e">
        <f t="shared" si="2"/>
        <v>#VALUE!</v>
      </c>
      <c r="O22" s="121" t="e">
        <f t="shared" si="2"/>
        <v>#VALUE!</v>
      </c>
      <c r="P22" s="121" t="e">
        <f t="shared" si="2"/>
        <v>#VALUE!</v>
      </c>
      <c r="Q22" s="122"/>
      <c r="R22" s="122"/>
      <c r="S22" s="121" t="e">
        <f>S3</f>
        <v>#VALUE!</v>
      </c>
      <c r="T22" s="121" t="e">
        <f t="shared" ref="T22:Z22" si="3">T3</f>
        <v>#VALUE!</v>
      </c>
      <c r="U22" s="121" t="e">
        <f t="shared" si="3"/>
        <v>#VALUE!</v>
      </c>
      <c r="V22" s="121" t="e">
        <f t="shared" si="3"/>
        <v>#VALUE!</v>
      </c>
      <c r="W22" s="121" t="e">
        <f t="shared" si="3"/>
        <v>#VALUE!</v>
      </c>
      <c r="X22" s="121" t="e">
        <f t="shared" si="3"/>
        <v>#VALUE!</v>
      </c>
      <c r="Y22" s="121" t="e">
        <f t="shared" si="3"/>
        <v>#VALUE!</v>
      </c>
      <c r="Z22" s="121" t="e">
        <f t="shared" si="3"/>
        <v>#VALUE!</v>
      </c>
      <c r="AA22" s="122"/>
      <c r="AB22" s="121"/>
      <c r="AC22" s="121"/>
      <c r="AD22" s="121"/>
      <c r="AE22" s="121"/>
      <c r="AF22" s="121"/>
      <c r="AG22" s="121"/>
      <c r="AH22" s="121"/>
      <c r="AI22" s="121"/>
      <c r="AK22" s="161"/>
      <c r="AL22" s="161"/>
      <c r="AM22" s="161"/>
      <c r="AN22" s="161"/>
      <c r="AO22" s="161"/>
      <c r="AP22" s="161"/>
      <c r="AQ22" s="161"/>
      <c r="AR22" s="161"/>
    </row>
    <row r="23" spans="1:44" ht="8.25" customHeight="1" thickBot="1">
      <c r="B23" s="41"/>
      <c r="C23" s="41"/>
      <c r="D23" s="41">
        <v>2</v>
      </c>
      <c r="G23" s="123"/>
      <c r="H23" s="124"/>
      <c r="I23" s="125"/>
      <c r="J23" s="125"/>
      <c r="K23" s="125"/>
      <c r="L23" s="125"/>
      <c r="M23" s="125"/>
      <c r="N23" s="125"/>
      <c r="O23" s="125"/>
      <c r="P23" s="125"/>
      <c r="Q23" s="122"/>
      <c r="R23" s="122"/>
      <c r="S23" s="125"/>
      <c r="T23" s="125"/>
      <c r="U23" s="125"/>
      <c r="V23" s="125"/>
      <c r="W23" s="125"/>
      <c r="X23" s="125"/>
      <c r="Y23" s="125"/>
      <c r="Z23" s="125"/>
      <c r="AA23" s="122"/>
      <c r="AB23" s="125"/>
      <c r="AC23" s="125"/>
      <c r="AD23" s="125"/>
      <c r="AE23" s="125"/>
      <c r="AF23" s="125"/>
      <c r="AG23" s="125"/>
      <c r="AH23" s="125"/>
      <c r="AI23" s="125"/>
      <c r="AJ23" s="43"/>
      <c r="AK23" s="47"/>
      <c r="AL23" s="49"/>
      <c r="AM23" s="47"/>
      <c r="AN23" s="47"/>
      <c r="AO23" s="47"/>
      <c r="AP23" s="47"/>
      <c r="AQ23" s="47"/>
      <c r="AR23" s="47"/>
    </row>
    <row r="24" spans="1:44" ht="21.75" customHeight="1" thickBot="1">
      <c r="A24" s="50" t="s">
        <v>0</v>
      </c>
      <c r="B24" s="41"/>
      <c r="C24" s="41"/>
      <c r="D24" s="41">
        <v>3</v>
      </c>
      <c r="G24" s="185" t="e">
        <f>_xll.DBRA(Server&amp;$A$21,$A24,$H$18)</f>
        <v>#N/A</v>
      </c>
      <c r="H24" s="186"/>
      <c r="I24" s="126" t="e">
        <f>_xll.DBRW($G$3,$H$15,$H$17,$H$13,$H$16,$H$14,I$2,$H$12,$A24)</f>
        <v>#VALUE!</v>
      </c>
      <c r="J24" s="127" t="e">
        <f>_xll.DBRW($G$3,$H$15,$H$17,$H$13,$H$16,$H$14,J$2,$H$12,$A24)</f>
        <v>#VALUE!</v>
      </c>
      <c r="K24" s="127" t="e">
        <f>_xll.DBRW($G$3,$H$15,$H$17,$H$13,$H$16,$H$14,K$2,$H$12,$A24)</f>
        <v>#VALUE!</v>
      </c>
      <c r="L24" s="127" t="e">
        <f>_xll.DBRW($G$3,$H$15,$H$17,$H$13,$H$16,$H$14,L$2,$H$12,$A24)</f>
        <v>#VALUE!</v>
      </c>
      <c r="M24" s="127" t="e">
        <f>_xll.DBRW($G$3,$H$15,$H$17,$H$13,$H$16,$H$14,M$2,$H$12,$A24)</f>
        <v>#VALUE!</v>
      </c>
      <c r="N24" s="127" t="e">
        <f>_xll.DBRW($G$3,$H$15,$H$17,$H$13,$H$16,$H$14,N$2,$H$12,$A24)</f>
        <v>#VALUE!</v>
      </c>
      <c r="O24" s="127" t="e">
        <f>_xll.DBRW($G$3,$H$15,$H$17,$H$13,$H$16,$H$14,O$2,$H$12,$A24)</f>
        <v>#VALUE!</v>
      </c>
      <c r="P24" s="128" t="e">
        <f>_xll.DBRW($G$3,$H$15,$H$17,$H$13,$H$16,$H$14,P$2,$H$12,$A24)</f>
        <v>#VALUE!</v>
      </c>
      <c r="Q24" s="129"/>
      <c r="R24" s="129"/>
      <c r="S24" s="126" t="e">
        <f>_xll.DBRW($G$3,$U$15,$H$17,$U$13,$U$16,$U$14,S$2,$U$12,$A24)</f>
        <v>#VALUE!</v>
      </c>
      <c r="T24" s="127" t="e">
        <f>_xll.DBRW($G$3,$U$15,$H$17,$U$13,$U$16,$U$14,T$2,$U$12,$A24)</f>
        <v>#VALUE!</v>
      </c>
      <c r="U24" s="127" t="e">
        <f>_xll.DBRW($G$3,$U$15,$H$17,$U$13,$U$16,$U$14,U$2,$U$12,$A24)</f>
        <v>#VALUE!</v>
      </c>
      <c r="V24" s="127" t="e">
        <f>_xll.DBRW($G$3,$U$15,$H$17,$U$13,$U$16,$U$14,V$2,$U$12,$A24)</f>
        <v>#VALUE!</v>
      </c>
      <c r="W24" s="127" t="e">
        <f>_xll.DBRW($G$3,$U$15,$H$17,$U$13,$U$16,$U$14,W$2,$U$12,$A24)</f>
        <v>#VALUE!</v>
      </c>
      <c r="X24" s="127" t="e">
        <f>_xll.DBRW($G$3,$U$15,$H$17,$U$13,$U$16,$U$14,X$2,$U$12,$A24)</f>
        <v>#VALUE!</v>
      </c>
      <c r="Y24" s="127" t="e">
        <f>_xll.DBRW($G$3,$U$15,$H$17,$U$13,$U$16,$U$14,Y$2,$U$12,$A24)</f>
        <v>#VALUE!</v>
      </c>
      <c r="Z24" s="128" t="e">
        <f>_xll.DBRW($G$3,$U$15,$H$17,$U$13,$U$16,$U$14,Z$2,$U$12,$A24)</f>
        <v>#VALUE!</v>
      </c>
      <c r="AA24" s="129"/>
      <c r="AB24" s="126" t="e">
        <f>U24-I24</f>
        <v>#VALUE!</v>
      </c>
      <c r="AC24" s="126" t="e">
        <f t="shared" ref="AC24:AI24" si="4">V24-J24</f>
        <v>#VALUE!</v>
      </c>
      <c r="AD24" s="126" t="e">
        <f t="shared" si="4"/>
        <v>#VALUE!</v>
      </c>
      <c r="AE24" s="126" t="e">
        <f t="shared" si="4"/>
        <v>#VALUE!</v>
      </c>
      <c r="AF24" s="126" t="e">
        <f t="shared" si="4"/>
        <v>#VALUE!</v>
      </c>
      <c r="AG24" s="126" t="e">
        <f t="shared" si="4"/>
        <v>#VALUE!</v>
      </c>
      <c r="AH24" s="126" t="e">
        <f t="shared" si="4"/>
        <v>#VALUE!</v>
      </c>
      <c r="AI24" s="126" t="e">
        <f t="shared" si="4"/>
        <v>#VALUE!</v>
      </c>
      <c r="AJ24" s="43"/>
      <c r="AK24" s="47"/>
      <c r="AL24" s="47"/>
      <c r="AM24" s="47"/>
      <c r="AN24" s="47"/>
      <c r="AO24" s="47"/>
      <c r="AP24" s="47"/>
      <c r="AQ24" s="47"/>
      <c r="AR24" s="47"/>
    </row>
    <row r="25" spans="1:44" ht="21.75" customHeight="1" thickBot="1">
      <c r="A25" s="50" t="s">
        <v>1</v>
      </c>
      <c r="B25" s="41"/>
      <c r="C25" s="41"/>
      <c r="D25" s="41">
        <v>4</v>
      </c>
      <c r="G25" s="185" t="e">
        <f>_xll.DBRA(Server&amp;$A$21,$A25,$H$18)</f>
        <v>#N/A</v>
      </c>
      <c r="H25" s="186"/>
      <c r="I25" s="126" t="e">
        <f>_xll.DBRW($G$3,$H$15,$H$17,$H$13,$H$16,$H$14,I$2,$H$12,$A25)</f>
        <v>#VALUE!</v>
      </c>
      <c r="J25" s="127" t="e">
        <f>_xll.DBRW($G$3,$H$15,$H$17,$H$13,$H$16,$H$14,J$2,$H$12,$A25)</f>
        <v>#VALUE!</v>
      </c>
      <c r="K25" s="127" t="e">
        <f>_xll.DBRW($G$3,$H$15,$H$17,$H$13,$H$16,$H$14,K$2,$H$12,$A25)</f>
        <v>#VALUE!</v>
      </c>
      <c r="L25" s="127" t="e">
        <f>_xll.DBRW($G$3,$H$15,$H$17,$H$13,$H$16,$H$14,L$2,$H$12,$A25)</f>
        <v>#VALUE!</v>
      </c>
      <c r="M25" s="127" t="e">
        <f>_xll.DBRW($G$3,$H$15,$H$17,$H$13,$H$16,$H$14,M$2,$H$12,$A25)</f>
        <v>#VALUE!</v>
      </c>
      <c r="N25" s="127" t="e">
        <f>_xll.DBRW($G$3,$H$15,$H$17,$H$13,$H$16,$H$14,N$2,$H$12,$A25)</f>
        <v>#VALUE!</v>
      </c>
      <c r="O25" s="127" t="e">
        <f>_xll.DBRW($G$3,$H$15,$H$17,$H$13,$H$16,$H$14,O$2,$H$12,$A25)</f>
        <v>#VALUE!</v>
      </c>
      <c r="P25" s="128" t="e">
        <f>_xll.DBRW($G$3,$H$15,$H$17,$H$13,$H$16,$H$14,P$2,$H$12,$A25)</f>
        <v>#VALUE!</v>
      </c>
      <c r="Q25" s="129"/>
      <c r="R25" s="129"/>
      <c r="S25" s="126" t="e">
        <f>_xll.DBRW($G$3,$U$15,$H$17,$U$13,$U$16,$U$14,S$2,$U$12,$A25)</f>
        <v>#VALUE!</v>
      </c>
      <c r="T25" s="127" t="e">
        <f>_xll.DBRW($G$3,$U$15,$H$17,$U$13,$U$16,$U$14,T$2,$U$12,$A25)</f>
        <v>#VALUE!</v>
      </c>
      <c r="U25" s="127" t="e">
        <f>_xll.DBRW($G$3,$U$15,$H$17,$U$13,$U$16,$U$14,U$2,$U$12,$A25)</f>
        <v>#VALUE!</v>
      </c>
      <c r="V25" s="127" t="e">
        <f>_xll.DBRW($G$3,$U$15,$H$17,$U$13,$U$16,$U$14,V$2,$U$12,$A25)</f>
        <v>#VALUE!</v>
      </c>
      <c r="W25" s="127" t="e">
        <f>_xll.DBRW($G$3,$U$15,$H$17,$U$13,$U$16,$U$14,W$2,$U$12,$A25)</f>
        <v>#VALUE!</v>
      </c>
      <c r="X25" s="127" t="e">
        <f>_xll.DBRW($G$3,$U$15,$H$17,$U$13,$U$16,$U$14,X$2,$U$12,$A25)</f>
        <v>#VALUE!</v>
      </c>
      <c r="Y25" s="127" t="e">
        <f>_xll.DBRW($G$3,$U$15,$H$17,$U$13,$U$16,$U$14,Y$2,$U$12,$A25)</f>
        <v>#VALUE!</v>
      </c>
      <c r="Z25" s="128" t="e">
        <f>_xll.DBRW($G$3,$U$15,$H$17,$U$13,$U$16,$U$14,Z$2,$U$12,$A25)</f>
        <v>#VALUE!</v>
      </c>
      <c r="AA25" s="129"/>
      <c r="AB25" s="126" t="e">
        <f>U25-I25</f>
        <v>#VALUE!</v>
      </c>
      <c r="AC25" s="126" t="e">
        <f t="shared" ref="AC25" si="5">V25-J25</f>
        <v>#VALUE!</v>
      </c>
      <c r="AD25" s="126" t="e">
        <f t="shared" ref="AD25" si="6">W25-K25</f>
        <v>#VALUE!</v>
      </c>
      <c r="AE25" s="126" t="e">
        <f t="shared" ref="AE25" si="7">X25-L25</f>
        <v>#VALUE!</v>
      </c>
      <c r="AF25" s="126" t="e">
        <f t="shared" ref="AF25" si="8">Y25-M25</f>
        <v>#VALUE!</v>
      </c>
      <c r="AG25" s="126" t="e">
        <f t="shared" ref="AG25" si="9">Z25-N25</f>
        <v>#VALUE!</v>
      </c>
      <c r="AH25" s="126" t="e">
        <f t="shared" ref="AH25" si="10">AA25-O25</f>
        <v>#VALUE!</v>
      </c>
      <c r="AI25" s="126" t="e">
        <f t="shared" ref="AI25" si="11">AB25-P25</f>
        <v>#VALUE!</v>
      </c>
      <c r="AJ25" s="43"/>
      <c r="AK25" s="47"/>
      <c r="AL25" s="52" t="s">
        <v>54</v>
      </c>
      <c r="AM25" s="47"/>
      <c r="AN25" s="47"/>
      <c r="AO25" s="47"/>
      <c r="AP25" s="53" t="s">
        <v>54</v>
      </c>
      <c r="AQ25" s="54" t="s">
        <v>60</v>
      </c>
      <c r="AR25" s="47"/>
    </row>
    <row r="26" spans="1:44" ht="21.75" customHeight="1" thickBot="1">
      <c r="A26" s="50" t="s">
        <v>49</v>
      </c>
      <c r="B26" s="41"/>
      <c r="C26" s="41"/>
      <c r="D26" s="41">
        <v>5</v>
      </c>
      <c r="G26" s="197" t="e">
        <f>_xll.DBRA(Server&amp;$A$21,$A26,$H$18)</f>
        <v>#N/A</v>
      </c>
      <c r="H26" s="198"/>
      <c r="I26" s="130" t="e">
        <f>_xll.DBRW($G$3,$H$15,$H$17,$H$13,$H$16,$H$14,I$2,$H$12,$A26)</f>
        <v>#VALUE!</v>
      </c>
      <c r="J26" s="130" t="e">
        <f>_xll.DBRW($G$3,$H$15,$H$17,$H$13,$H$16,$H$14,J$2,$H$12,$A26)</f>
        <v>#VALUE!</v>
      </c>
      <c r="K26" s="130" t="e">
        <f>_xll.DBRW($G$3,$H$15,$H$17,$H$13,$H$16,$H$14,K$2,$H$12,$A26)</f>
        <v>#VALUE!</v>
      </c>
      <c r="L26" s="130" t="e">
        <f>_xll.DBRW($G$3,$H$15,$H$17,$H$13,$H$16,$H$14,L$2,$H$12,$A26)</f>
        <v>#VALUE!</v>
      </c>
      <c r="M26" s="130" t="e">
        <f>_xll.DBRW($G$3,$H$15,$H$17,$H$13,$H$16,$H$14,M$2,$H$12,$A26)</f>
        <v>#VALUE!</v>
      </c>
      <c r="N26" s="130" t="e">
        <f>_xll.DBRW($G$3,$H$15,$H$17,$H$13,$H$16,$H$14,N$2,$H$12,$A26)</f>
        <v>#VALUE!</v>
      </c>
      <c r="O26" s="130" t="e">
        <f>_xll.DBRW($G$3,$H$15,$H$17,$H$13,$H$16,$H$14,O$2,$H$12,$A26)</f>
        <v>#VALUE!</v>
      </c>
      <c r="P26" s="130" t="e">
        <f>_xll.DBRW($G$3,$H$15,$H$17,$H$13,$H$16,$H$14,P$2,$H$12,$A26)</f>
        <v>#VALUE!</v>
      </c>
      <c r="Q26" s="131" t="e">
        <f>SUM(I26:P26)-SUM(I24:P25)</f>
        <v>#VALUE!</v>
      </c>
      <c r="R26" s="131"/>
      <c r="S26" s="130" t="e">
        <f>_xll.DBRW($G$3,$U$15,$H$17,$U$13,$U$16,$U$14,S$2,$U$12,$A26)</f>
        <v>#VALUE!</v>
      </c>
      <c r="T26" s="130" t="e">
        <f>_xll.DBRW($G$3,$U$15,$H$17,$U$13,$U$16,$U$14,T$2,$U$12,$A26)</f>
        <v>#VALUE!</v>
      </c>
      <c r="U26" s="130" t="e">
        <f>_xll.DBRW($G$3,$U$15,$H$17,$U$13,$U$16,$U$14,U$2,$U$12,$A26)</f>
        <v>#VALUE!</v>
      </c>
      <c r="V26" s="130" t="e">
        <f>_xll.DBRW($G$3,$U$15,$H$17,$U$13,$U$16,$U$14,V$2,$U$12,$A26)</f>
        <v>#VALUE!</v>
      </c>
      <c r="W26" s="130" t="e">
        <f>_xll.DBRW($G$3,$U$15,$H$17,$U$13,$U$16,$U$14,W$2,$U$12,$A26)</f>
        <v>#VALUE!</v>
      </c>
      <c r="X26" s="130" t="e">
        <f>_xll.DBRW($G$3,$U$15,$H$17,$U$13,$U$16,$U$14,X$2,$U$12,$A26)</f>
        <v>#VALUE!</v>
      </c>
      <c r="Y26" s="130" t="e">
        <f>_xll.DBRW($G$3,$U$15,$H$17,$U$13,$U$16,$U$14,Y$2,$U$12,$A26)</f>
        <v>#VALUE!</v>
      </c>
      <c r="Z26" s="130" t="e">
        <f>_xll.DBRW($G$3,$U$15,$H$17,$U$13,$U$16,$U$14,Z$2,$U$12,$A26)</f>
        <v>#VALUE!</v>
      </c>
      <c r="AA26" s="131" t="e">
        <f>SUM(S26:Z26)-SUM(S24:Z25)</f>
        <v>#VALUE!</v>
      </c>
      <c r="AB26" s="130" t="e">
        <f>U26-I26</f>
        <v>#VALUE!</v>
      </c>
      <c r="AC26" s="130" t="e">
        <f t="shared" ref="AC26:AC46" si="12">V26-J26</f>
        <v>#VALUE!</v>
      </c>
      <c r="AD26" s="130" t="e">
        <f t="shared" ref="AD26:AD46" si="13">W26-K26</f>
        <v>#VALUE!</v>
      </c>
      <c r="AE26" s="130" t="e">
        <f t="shared" ref="AE26:AE46" si="14">X26-L26</f>
        <v>#VALUE!</v>
      </c>
      <c r="AF26" s="130" t="e">
        <f t="shared" ref="AF26:AF46" si="15">Y26-M26</f>
        <v>#VALUE!</v>
      </c>
      <c r="AG26" s="130" t="e">
        <f t="shared" ref="AG26:AG46" si="16">Z26-N26</f>
        <v>#VALUE!</v>
      </c>
      <c r="AH26" s="130" t="e">
        <f t="shared" ref="AH26:AH46" si="17">AA26-O26</f>
        <v>#VALUE!</v>
      </c>
      <c r="AI26" s="130" t="e">
        <f t="shared" ref="AI26:AI46" si="18">AB26-P26</f>
        <v>#VALUE!</v>
      </c>
      <c r="AJ26" s="43"/>
      <c r="AK26" s="47"/>
      <c r="AL26" s="55" t="s">
        <v>55</v>
      </c>
      <c r="AM26" s="56" t="s">
        <v>111</v>
      </c>
      <c r="AN26" s="56" t="s">
        <v>112</v>
      </c>
      <c r="AO26" s="47"/>
      <c r="AP26" s="57" t="s">
        <v>55</v>
      </c>
      <c r="AQ26" s="58" t="s">
        <v>62</v>
      </c>
      <c r="AR26" s="47"/>
    </row>
    <row r="27" spans="1:44" ht="21.75" customHeight="1">
      <c r="A27" s="85" t="s">
        <v>158</v>
      </c>
      <c r="B27" s="41"/>
      <c r="C27" s="41"/>
      <c r="D27" s="41">
        <v>6</v>
      </c>
      <c r="G27" s="185" t="str">
        <f>IF($H$18="English","Total operating costs excluding MF","Total coûts opérationnels hors MF")</f>
        <v>Total operating costs excluding MF</v>
      </c>
      <c r="H27" s="186"/>
      <c r="I27" s="126" t="e">
        <f t="shared" ref="I27:P27" si="19">I33-I26-I32</f>
        <v>#VALUE!</v>
      </c>
      <c r="J27" s="126" t="e">
        <f t="shared" si="19"/>
        <v>#VALUE!</v>
      </c>
      <c r="K27" s="126" t="e">
        <f t="shared" si="19"/>
        <v>#VALUE!</v>
      </c>
      <c r="L27" s="126" t="e">
        <f t="shared" si="19"/>
        <v>#VALUE!</v>
      </c>
      <c r="M27" s="126" t="e">
        <f t="shared" si="19"/>
        <v>#VALUE!</v>
      </c>
      <c r="N27" s="126" t="e">
        <f t="shared" si="19"/>
        <v>#VALUE!</v>
      </c>
      <c r="O27" s="126" t="e">
        <f t="shared" si="19"/>
        <v>#VALUE!</v>
      </c>
      <c r="P27" s="126" t="e">
        <f t="shared" si="19"/>
        <v>#VALUE!</v>
      </c>
      <c r="Q27" s="129" t="e">
        <f>SUM(I28:P31)-SUM(I27:P27)</f>
        <v>#N/A</v>
      </c>
      <c r="R27" s="129"/>
      <c r="S27" s="126" t="e">
        <f t="shared" ref="S27:Z27" si="20">S33-S26-S32</f>
        <v>#VALUE!</v>
      </c>
      <c r="T27" s="126" t="e">
        <f t="shared" si="20"/>
        <v>#VALUE!</v>
      </c>
      <c r="U27" s="126" t="e">
        <f t="shared" si="20"/>
        <v>#VALUE!</v>
      </c>
      <c r="V27" s="126" t="e">
        <f t="shared" si="20"/>
        <v>#VALUE!</v>
      </c>
      <c r="W27" s="126" t="e">
        <f t="shared" si="20"/>
        <v>#VALUE!</v>
      </c>
      <c r="X27" s="126" t="e">
        <f t="shared" si="20"/>
        <v>#VALUE!</v>
      </c>
      <c r="Y27" s="126" t="e">
        <f t="shared" si="20"/>
        <v>#VALUE!</v>
      </c>
      <c r="Z27" s="126" t="e">
        <f t="shared" si="20"/>
        <v>#VALUE!</v>
      </c>
      <c r="AA27" s="129" t="e">
        <f>SUM(S28:Z31)-SUM(S27:Z27)</f>
        <v>#N/A</v>
      </c>
      <c r="AB27" s="126" t="e">
        <f t="shared" ref="AB27:AB46" si="21">U27-I27</f>
        <v>#VALUE!</v>
      </c>
      <c r="AC27" s="126" t="e">
        <f t="shared" si="12"/>
        <v>#VALUE!</v>
      </c>
      <c r="AD27" s="126" t="e">
        <f t="shared" si="13"/>
        <v>#VALUE!</v>
      </c>
      <c r="AE27" s="126" t="e">
        <f t="shared" si="14"/>
        <v>#VALUE!</v>
      </c>
      <c r="AF27" s="126" t="e">
        <f t="shared" si="15"/>
        <v>#VALUE!</v>
      </c>
      <c r="AG27" s="126" t="e">
        <f t="shared" si="16"/>
        <v>#VALUE!</v>
      </c>
      <c r="AH27" s="126" t="e">
        <f t="shared" si="17"/>
        <v>#N/A</v>
      </c>
      <c r="AI27" s="126" t="e">
        <f t="shared" si="18"/>
        <v>#VALUE!</v>
      </c>
      <c r="AJ27" s="43"/>
      <c r="AK27" s="59"/>
      <c r="AL27" s="60"/>
      <c r="AM27" s="61"/>
      <c r="AN27" s="61"/>
      <c r="AO27" s="47"/>
      <c r="AP27" s="62"/>
      <c r="AQ27" s="62"/>
      <c r="AR27" s="47"/>
    </row>
    <row r="28" spans="1:44" ht="21.75" hidden="1" customHeight="1" outlineLevel="1" thickBot="1">
      <c r="A28" s="50" t="s">
        <v>140</v>
      </c>
      <c r="B28" s="85" t="s">
        <v>158</v>
      </c>
      <c r="C28" s="41"/>
      <c r="D28" s="41">
        <v>7</v>
      </c>
      <c r="G28" s="199" t="e">
        <f>_xll.DBRA(Server&amp;$A$21,$A28,$H$18)</f>
        <v>#N/A</v>
      </c>
      <c r="H28" s="200"/>
      <c r="I28" s="126" t="e">
        <f>IF(MID($H$12,5,4)&gt;"2019",_xll.DBRW($G$3,$H$15,$H$17,$H$13,$H$16,$H$14,I$2,$H$12,$A28),I27-SUM(I29:I31))</f>
        <v>#N/A</v>
      </c>
      <c r="J28" s="126" t="e">
        <f>IF(MID($H$12,5,4)&gt;"2019",_xll.DBRW($G$3,$H$15,$H$17,$H$13,$H$16,$H$14,J$2,$H$12,$A28),J27-SUM(J29:J31))</f>
        <v>#N/A</v>
      </c>
      <c r="K28" s="126" t="e">
        <f>IF(MID($H$12,5,4)&gt;"2019",_xll.DBRW($G$3,$H$15,$H$17,$H$13,$H$16,$H$14,K$2,$H$12,$A28),K27-SUM(K29:K31))</f>
        <v>#N/A</v>
      </c>
      <c r="L28" s="126" t="e">
        <f>IF(MID($H$12,5,4)&gt;"2019",_xll.DBRW($G$3,$H$15,$H$17,$H$13,$H$16,$H$14,L$2,$H$12,$A28),L27-SUM(L29:L31))</f>
        <v>#N/A</v>
      </c>
      <c r="M28" s="126" t="e">
        <f>IF(MID($H$12,5,4)&gt;"2019",_xll.DBRW($G$3,$H$15,$H$17,$H$13,$H$16,$H$14,M$2,$H$12,$A28),M27-SUM(M29:M31))</f>
        <v>#N/A</v>
      </c>
      <c r="N28" s="126" t="e">
        <f>IF(MID($H$12,5,4)&gt;"2019",_xll.DBRW($G$3,$H$15,$H$17,$H$13,$H$16,$H$14,N$2,$H$12,$A28),N27-SUM(N29:N31))</f>
        <v>#N/A</v>
      </c>
      <c r="O28" s="126" t="e">
        <f>IF(MID($H$12,5,4)&gt;"2019",_xll.DBRW($G$3,$H$15,$H$17,$H$13,$H$16,$H$14,O$2,$H$12,$A28),O27-SUM(O29:O31))</f>
        <v>#N/A</v>
      </c>
      <c r="P28" s="126" t="e">
        <f>IF(MID($H$12,5,4)&gt;"2019",_xll.DBRW($G$3,$H$15,$H$17,$H$13,$H$16,$H$14,P$2,$H$12,$A28),P27-SUM(P29:P31))</f>
        <v>#N/A</v>
      </c>
      <c r="Q28" s="129"/>
      <c r="R28" s="129"/>
      <c r="S28" s="126" t="e">
        <f>IF(MID($U$12,5,4)&gt;"2019",_xll.DBRW($G$3,$U$15,$H$17,$U$13,$U$16,$U$14,S$2,$U$12,$A28),S27-SUM(S29:S31))</f>
        <v>#N/A</v>
      </c>
      <c r="T28" s="126" t="e">
        <f>IF(MID($U$12,5,4)&gt;"2019",_xll.DBRW($G$3,$U$15,$H$17,$U$13,$U$16,$U$14,T$2,$U$12,$A28),T27-SUM(T29:T31))</f>
        <v>#N/A</v>
      </c>
      <c r="U28" s="126" t="e">
        <f>IF(MID($U$12,5,4)&gt;"2019",_xll.DBRW($G$3,$U$15,$H$17,$U$13,$U$16,$U$14,U$2,$U$12,$A28),U27-SUM(U29:U31))</f>
        <v>#N/A</v>
      </c>
      <c r="V28" s="126" t="e">
        <f>IF(MID($U$12,5,4)&gt;"2019",_xll.DBRW($G$3,$U$15,$H$17,$U$13,$U$16,$U$14,V$2,$U$12,$A28),V27-SUM(V29:V31))</f>
        <v>#N/A</v>
      </c>
      <c r="W28" s="126" t="e">
        <f>IF(MID($U$12,5,4)&gt;"2019",_xll.DBRW($G$3,$U$15,$H$17,$U$13,$U$16,$U$14,W$2,$U$12,$A28),W27-SUM(W29:W31))</f>
        <v>#N/A</v>
      </c>
      <c r="X28" s="126" t="e">
        <f>IF(MID($U$12,5,4)&gt;"2019",_xll.DBRW($G$3,$U$15,$H$17,$U$13,$U$16,$U$14,X$2,$U$12,$A28),X27-SUM(X29:X31))</f>
        <v>#N/A</v>
      </c>
      <c r="Y28" s="126" t="e">
        <f>IF(MID($U$12,5,4)&gt;"2019",_xll.DBRW($G$3,$U$15,$H$17,$U$13,$U$16,$U$14,Y$2,$U$12,$A28),Y27-SUM(Y29:Y31))</f>
        <v>#N/A</v>
      </c>
      <c r="Z28" s="126" t="e">
        <f>IF(MID($U$12,5,4)&gt;"2019",_xll.DBRW($G$3,$U$15,$H$17,$U$13,$U$16,$U$14,Z$2,$U$12,$A28),Z27-SUM(Z29:Z31))</f>
        <v>#N/A</v>
      </c>
      <c r="AA28" s="129"/>
      <c r="AB28" s="126" t="e">
        <f t="shared" si="21"/>
        <v>#N/A</v>
      </c>
      <c r="AC28" s="126" t="e">
        <f t="shared" si="12"/>
        <v>#N/A</v>
      </c>
      <c r="AD28" s="126" t="e">
        <f t="shared" si="13"/>
        <v>#N/A</v>
      </c>
      <c r="AE28" s="126" t="e">
        <f t="shared" si="14"/>
        <v>#N/A</v>
      </c>
      <c r="AF28" s="126" t="e">
        <f t="shared" si="15"/>
        <v>#N/A</v>
      </c>
      <c r="AG28" s="126" t="e">
        <f t="shared" si="16"/>
        <v>#N/A</v>
      </c>
      <c r="AH28" s="126" t="e">
        <f t="shared" si="17"/>
        <v>#N/A</v>
      </c>
      <c r="AI28" s="126" t="e">
        <f t="shared" si="18"/>
        <v>#N/A</v>
      </c>
      <c r="AJ28" s="43"/>
      <c r="AK28" s="59"/>
      <c r="AL28" s="60" t="s">
        <v>113</v>
      </c>
      <c r="AM28" s="61" t="e">
        <f>_xll.DBRA(Server&amp;"LTP_Components",$AL40,$H$18)</f>
        <v>#N/A</v>
      </c>
      <c r="AN28" s="61" t="e">
        <f>_xll.DBR(Server&amp;"z_Client_Properties","LTP_Corp_Security",_xll.TM1USER(xServer))</f>
        <v>#N/A</v>
      </c>
      <c r="AO28" s="47"/>
      <c r="AP28" s="62" t="s">
        <v>56</v>
      </c>
      <c r="AQ28" s="62" t="s">
        <v>63</v>
      </c>
      <c r="AR28" s="47"/>
    </row>
    <row r="29" spans="1:44" ht="21.75" hidden="1" customHeight="1" outlineLevel="1">
      <c r="A29" s="50" t="s">
        <v>135</v>
      </c>
      <c r="B29" s="41" t="s">
        <v>141</v>
      </c>
      <c r="C29" s="41"/>
      <c r="D29" s="41">
        <v>8</v>
      </c>
      <c r="G29" s="199" t="e">
        <f>_xll.DBRA(Server&amp;$A$21,$A29,$H$18)</f>
        <v>#N/A</v>
      </c>
      <c r="H29" s="200"/>
      <c r="I29" s="126" t="e">
        <f>-_xll.DBRW($G$3,$H$15,$H$17,$H$13,$H$16,$H$14,I$2,$H$12,$B29)+_xll.DBRW($G$3,$H$15,$H$17,$H$13,$H$16,$H$14,I$2,$H$12,$A29)</f>
        <v>#VALUE!</v>
      </c>
      <c r="J29" s="126" t="e">
        <f>-_xll.DBRW($G$3,$H$15,$H$17,$H$13,$H$16,$H$14,J$2,$H$12,$B29)+_xll.DBRW($G$3,$H$15,$H$17,$H$13,$H$16,$H$14,J$2,$H$12,$A29)</f>
        <v>#VALUE!</v>
      </c>
      <c r="K29" s="126" t="e">
        <f>-_xll.DBRW($G$3,$H$15,$H$17,$H$13,$H$16,$H$14,K$2,$H$12,$B29)+_xll.DBRW($G$3,$H$15,$H$17,$H$13,$H$16,$H$14,K$2,$H$12,$A29)</f>
        <v>#VALUE!</v>
      </c>
      <c r="L29" s="126" t="e">
        <f>-_xll.DBRW($G$3,$H$15,$H$17,$H$13,$H$16,$H$14,L$2,$H$12,$B29)+_xll.DBRW($G$3,$H$15,$H$17,$H$13,$H$16,$H$14,L$2,$H$12,$A29)</f>
        <v>#VALUE!</v>
      </c>
      <c r="M29" s="126" t="e">
        <f>-_xll.DBRW($G$3,$H$15,$H$17,$H$13,$H$16,$H$14,M$2,$H$12,$B29)+_xll.DBRW($G$3,$H$15,$H$17,$H$13,$H$16,$H$14,M$2,$H$12,$A29)</f>
        <v>#VALUE!</v>
      </c>
      <c r="N29" s="126" t="e">
        <f>-_xll.DBRW($G$3,$H$15,$H$17,$H$13,$H$16,$H$14,N$2,$H$12,$B29)+_xll.DBRW($G$3,$H$15,$H$17,$H$13,$H$16,$H$14,N$2,$H$12,$A29)</f>
        <v>#VALUE!</v>
      </c>
      <c r="O29" s="126" t="e">
        <f>-_xll.DBRW($G$3,$H$15,$H$17,$H$13,$H$16,$H$14,O$2,$H$12,$B29)+_xll.DBRW($G$3,$H$15,$H$17,$H$13,$H$16,$H$14,O$2,$H$12,$A29)</f>
        <v>#VALUE!</v>
      </c>
      <c r="P29" s="126" t="e">
        <f>-_xll.DBRW($G$3,$H$15,$H$17,$H$13,$H$16,$H$14,P$2,$H$12,$B29)+_xll.DBRW($G$3,$H$15,$H$17,$H$13,$H$16,$H$14,P$2,$H$12,$A29)</f>
        <v>#VALUE!</v>
      </c>
      <c r="Q29" s="129"/>
      <c r="R29" s="129"/>
      <c r="S29" s="126" t="e">
        <f>-_xll.DBRW($G$3,$U$15,$H$17,$U$13,$U$16,$U$14,S$2,$U$12,$B29)+_xll.DBRW($G$3,$U$15,$H$17,$U$13,$U$16,$U$14,S$2,$U$12,$A29)</f>
        <v>#VALUE!</v>
      </c>
      <c r="T29" s="126" t="e">
        <f>-_xll.DBRW($G$3,$U$15,$H$17,$U$13,$U$16,$U$14,T$2,$U$12,$B29)+_xll.DBRW($G$3,$U$15,$H$17,$U$13,$U$16,$U$14,T$2,$U$12,$A29)</f>
        <v>#VALUE!</v>
      </c>
      <c r="U29" s="126" t="e">
        <f>-_xll.DBRW($G$3,$U$15,$H$17,$U$13,$U$16,$U$14,U$2,$U$12,$B29)+_xll.DBRW($G$3,$U$15,$H$17,$U$13,$U$16,$U$14,U$2,$U$12,$A29)</f>
        <v>#VALUE!</v>
      </c>
      <c r="V29" s="126" t="e">
        <f>-_xll.DBRW($G$3,$U$15,$H$17,$U$13,$U$16,$U$14,V$2,$U$12,$B29)+_xll.DBRW($G$3,$U$15,$H$17,$U$13,$U$16,$U$14,V$2,$U$12,$A29)</f>
        <v>#VALUE!</v>
      </c>
      <c r="W29" s="126" t="e">
        <f>-_xll.DBRW($G$3,$U$15,$H$17,$U$13,$U$16,$U$14,W$2,$U$12,$B29)+_xll.DBRW($G$3,$U$15,$H$17,$U$13,$U$16,$U$14,W$2,$U$12,$A29)</f>
        <v>#VALUE!</v>
      </c>
      <c r="X29" s="126" t="e">
        <f>-_xll.DBRW($G$3,$U$15,$H$17,$U$13,$U$16,$U$14,X$2,$U$12,$B29)+_xll.DBRW($G$3,$U$15,$H$17,$U$13,$U$16,$U$14,X$2,$U$12,$A29)</f>
        <v>#VALUE!</v>
      </c>
      <c r="Y29" s="126" t="e">
        <f>-_xll.DBRW($G$3,$U$15,$H$17,$U$13,$U$16,$U$14,Y$2,$U$12,$B29)+_xll.DBRW($G$3,$U$15,$H$17,$U$13,$U$16,$U$14,Y$2,$U$12,$A29)</f>
        <v>#VALUE!</v>
      </c>
      <c r="Z29" s="126" t="e">
        <f>-_xll.DBRW($G$3,$U$15,$H$17,$U$13,$U$16,$U$14,Z$2,$U$12,$B29)+_xll.DBRW($G$3,$U$15,$H$17,$U$13,$U$16,$U$14,Z$2,$U$12,$A29)</f>
        <v>#VALUE!</v>
      </c>
      <c r="AA29" s="129"/>
      <c r="AB29" s="126" t="e">
        <f t="shared" si="21"/>
        <v>#VALUE!</v>
      </c>
      <c r="AC29" s="126" t="e">
        <f t="shared" si="12"/>
        <v>#VALUE!</v>
      </c>
      <c r="AD29" s="126" t="e">
        <f t="shared" si="13"/>
        <v>#VALUE!</v>
      </c>
      <c r="AE29" s="126" t="e">
        <f t="shared" si="14"/>
        <v>#VALUE!</v>
      </c>
      <c r="AF29" s="126" t="e">
        <f t="shared" si="15"/>
        <v>#VALUE!</v>
      </c>
      <c r="AG29" s="126" t="e">
        <f t="shared" si="16"/>
        <v>#VALUE!</v>
      </c>
      <c r="AH29" s="126" t="e">
        <f t="shared" si="17"/>
        <v>#VALUE!</v>
      </c>
      <c r="AI29" s="126" t="e">
        <f t="shared" si="18"/>
        <v>#VALUE!</v>
      </c>
      <c r="AJ29" s="43"/>
      <c r="AK29" s="59"/>
      <c r="AL29" s="60" t="s">
        <v>53</v>
      </c>
      <c r="AM29" s="63" t="e">
        <f>_xll.DBRA(Server&amp;"LTP_Components",$AL44,$H$18)</f>
        <v>#N/A</v>
      </c>
      <c r="AN29" s="61" t="e">
        <f>IF($AN$28 = "1",$AM$28,$AM$29)</f>
        <v>#N/A</v>
      </c>
      <c r="AO29" s="47"/>
      <c r="AP29" s="62" t="s">
        <v>57</v>
      </c>
      <c r="AQ29" s="62" t="s">
        <v>64</v>
      </c>
      <c r="AR29" s="47"/>
    </row>
    <row r="30" spans="1:44" ht="21.75" hidden="1" customHeight="1" outlineLevel="1" thickBot="1">
      <c r="A30" s="50" t="s">
        <v>136</v>
      </c>
      <c r="B30" s="41" t="s">
        <v>142</v>
      </c>
      <c r="C30" s="41"/>
      <c r="D30" s="41">
        <v>9</v>
      </c>
      <c r="G30" s="199" t="e">
        <f>_xll.DBRA(Server&amp;$A$21,$A30,$H$18)</f>
        <v>#N/A</v>
      </c>
      <c r="H30" s="200"/>
      <c r="I30" s="126" t="e">
        <f>-_xll.DBRW($G$3,$H$15,$H$17,$H$13,$H$16,$H$14,I$2,$H$12,$B30)+_xll.DBRW($G$3,$H$15,$H$17,$H$13,$H$16,$H$14,I$2,$H$12,$A30)</f>
        <v>#VALUE!</v>
      </c>
      <c r="J30" s="126" t="e">
        <f>-_xll.DBRW($G$3,$H$15,$H$17,$H$13,$H$16,$H$14,J$2,$H$12,$B30)+_xll.DBRW($G$3,$H$15,$H$17,$H$13,$H$16,$H$14,J$2,$H$12,$A30)</f>
        <v>#VALUE!</v>
      </c>
      <c r="K30" s="126" t="e">
        <f>-_xll.DBRW($G$3,$H$15,$H$17,$H$13,$H$16,$H$14,K$2,$H$12,$B30)+_xll.DBRW($G$3,$H$15,$H$17,$H$13,$H$16,$H$14,K$2,$H$12,$A30)</f>
        <v>#VALUE!</v>
      </c>
      <c r="L30" s="126" t="e">
        <f>-_xll.DBRW($G$3,$H$15,$H$17,$H$13,$H$16,$H$14,L$2,$H$12,$B30)+_xll.DBRW($G$3,$H$15,$H$17,$H$13,$H$16,$H$14,L$2,$H$12,$A30)</f>
        <v>#VALUE!</v>
      </c>
      <c r="M30" s="126" t="e">
        <f>-_xll.DBRW($G$3,$H$15,$H$17,$H$13,$H$16,$H$14,M$2,$H$12,$B30)+_xll.DBRW($G$3,$H$15,$H$17,$H$13,$H$16,$H$14,M$2,$H$12,$A30)</f>
        <v>#VALUE!</v>
      </c>
      <c r="N30" s="126" t="e">
        <f>-_xll.DBRW($G$3,$H$15,$H$17,$H$13,$H$16,$H$14,N$2,$H$12,$B30)+_xll.DBRW($G$3,$H$15,$H$17,$H$13,$H$16,$H$14,N$2,$H$12,$A30)</f>
        <v>#VALUE!</v>
      </c>
      <c r="O30" s="126" t="e">
        <f>-_xll.DBRW($G$3,$H$15,$H$17,$H$13,$H$16,$H$14,O$2,$H$12,$B30)+_xll.DBRW($G$3,$H$15,$H$17,$H$13,$H$16,$H$14,O$2,$H$12,$A30)</f>
        <v>#VALUE!</v>
      </c>
      <c r="P30" s="126" t="e">
        <f>-_xll.DBRW($G$3,$H$15,$H$17,$H$13,$H$16,$H$14,P$2,$H$12,$B30)+_xll.DBRW($G$3,$H$15,$H$17,$H$13,$H$16,$H$14,P$2,$H$12,$A30)</f>
        <v>#VALUE!</v>
      </c>
      <c r="Q30" s="129"/>
      <c r="R30" s="129"/>
      <c r="S30" s="126" t="e">
        <f>-_xll.DBRW($G$3,$U$15,$H$17,$U$13,$U$16,$U$14,S$2,$U$12,$B30)+_xll.DBRW($G$3,$U$15,$H$17,$U$13,$U$16,$U$14,S$2,$U$12,$A30)</f>
        <v>#VALUE!</v>
      </c>
      <c r="T30" s="126" t="e">
        <f>-_xll.DBRW($G$3,$U$15,$H$17,$U$13,$U$16,$U$14,T$2,$U$12,$B30)+_xll.DBRW($G$3,$U$15,$H$17,$U$13,$U$16,$U$14,T$2,$U$12,$A30)</f>
        <v>#VALUE!</v>
      </c>
      <c r="U30" s="126" t="e">
        <f>-_xll.DBRW($G$3,$U$15,$H$17,$U$13,$U$16,$U$14,U$2,$U$12,$B30)+_xll.DBRW($G$3,$U$15,$H$17,$U$13,$U$16,$U$14,U$2,$U$12,$A30)</f>
        <v>#VALUE!</v>
      </c>
      <c r="V30" s="126" t="e">
        <f>-_xll.DBRW($G$3,$U$15,$H$17,$U$13,$U$16,$U$14,V$2,$U$12,$B30)+_xll.DBRW($G$3,$U$15,$H$17,$U$13,$U$16,$U$14,V$2,$U$12,$A30)</f>
        <v>#VALUE!</v>
      </c>
      <c r="W30" s="126" t="e">
        <f>-_xll.DBRW($G$3,$U$15,$H$17,$U$13,$U$16,$U$14,W$2,$U$12,$B30)+_xll.DBRW($G$3,$U$15,$H$17,$U$13,$U$16,$U$14,W$2,$U$12,$A30)</f>
        <v>#VALUE!</v>
      </c>
      <c r="X30" s="126" t="e">
        <f>-_xll.DBRW($G$3,$U$15,$H$17,$U$13,$U$16,$U$14,X$2,$U$12,$B30)+_xll.DBRW($G$3,$U$15,$H$17,$U$13,$U$16,$U$14,X$2,$U$12,$A30)</f>
        <v>#VALUE!</v>
      </c>
      <c r="Y30" s="126" t="e">
        <f>-_xll.DBRW($G$3,$U$15,$H$17,$U$13,$U$16,$U$14,Y$2,$U$12,$B30)+_xll.DBRW($G$3,$U$15,$H$17,$U$13,$U$16,$U$14,Y$2,$U$12,$A30)</f>
        <v>#VALUE!</v>
      </c>
      <c r="Z30" s="126" t="e">
        <f>-_xll.DBRW($G$3,$U$15,$H$17,$U$13,$U$16,$U$14,Z$2,$U$12,$B30)+_xll.DBRW($G$3,$U$15,$H$17,$U$13,$U$16,$U$14,Z$2,$U$12,$A30)</f>
        <v>#VALUE!</v>
      </c>
      <c r="AA30" s="129"/>
      <c r="AB30" s="126" t="e">
        <f t="shared" si="21"/>
        <v>#VALUE!</v>
      </c>
      <c r="AC30" s="126" t="e">
        <f t="shared" si="12"/>
        <v>#VALUE!</v>
      </c>
      <c r="AD30" s="126" t="e">
        <f t="shared" si="13"/>
        <v>#VALUE!</v>
      </c>
      <c r="AE30" s="126" t="e">
        <f t="shared" si="14"/>
        <v>#VALUE!</v>
      </c>
      <c r="AF30" s="126" t="e">
        <f t="shared" si="15"/>
        <v>#VALUE!</v>
      </c>
      <c r="AG30" s="126" t="e">
        <f t="shared" si="16"/>
        <v>#VALUE!</v>
      </c>
      <c r="AH30" s="126" t="e">
        <f t="shared" si="17"/>
        <v>#VALUE!</v>
      </c>
      <c r="AI30" s="126" t="e">
        <f t="shared" si="18"/>
        <v>#VALUE!</v>
      </c>
      <c r="AJ30" s="43"/>
      <c r="AK30" s="59"/>
      <c r="AL30" s="65" t="s">
        <v>83</v>
      </c>
      <c r="AM30" s="47"/>
      <c r="AN30" s="47"/>
      <c r="AO30" s="47"/>
      <c r="AP30" s="62" t="s">
        <v>75</v>
      </c>
      <c r="AQ30" s="62" t="s">
        <v>65</v>
      </c>
      <c r="AR30" s="47"/>
    </row>
    <row r="31" spans="1:44" ht="21.75" hidden="1" customHeight="1" outlineLevel="1">
      <c r="A31" s="77" t="s">
        <v>137</v>
      </c>
      <c r="B31" s="85" t="s">
        <v>158</v>
      </c>
      <c r="C31" s="41"/>
      <c r="D31" s="41">
        <v>10</v>
      </c>
      <c r="G31" s="199" t="e">
        <f>_xll.DBRA(Server&amp;$A$21,$A31,$H$18)</f>
        <v>#N/A</v>
      </c>
      <c r="H31" s="200"/>
      <c r="I31" s="126" t="e">
        <f>IF(MID($H$12,5,4)&gt;"2019",_xll.DBRW($G$3,$H$15,$H$17,$H$13,$H$16,$H$14,I$2,$H$12,$A31),-I53)</f>
        <v>#N/A</v>
      </c>
      <c r="J31" s="126" t="e">
        <f>IF(MID($H$12,5,4)&gt;"2019",_xll.DBRW($G$3,$H$15,$H$17,$H$13,$H$16,$H$14,J$2,$H$12,$A31),-J53)</f>
        <v>#N/A</v>
      </c>
      <c r="K31" s="126" t="e">
        <f>IF(MID($H$12,5,4)&gt;"2019",_xll.DBRW($G$3,$H$15,$H$17,$H$13,$H$16,$H$14,K$2,$H$12,$A31),-K53)</f>
        <v>#N/A</v>
      </c>
      <c r="L31" s="126" t="e">
        <f>IF(MID($H$12,5,4)&gt;"2019",_xll.DBRW($G$3,$H$15,$H$17,$H$13,$H$16,$H$14,L$2,$H$12,$A31),-L53)</f>
        <v>#N/A</v>
      </c>
      <c r="M31" s="126" t="e">
        <f>IF(MID($H$12,5,4)&gt;"2019",_xll.DBRW($G$3,$H$15,$H$17,$H$13,$H$16,$H$14,M$2,$H$12,$A31),-M53)</f>
        <v>#N/A</v>
      </c>
      <c r="N31" s="126" t="e">
        <f>IF(MID($H$12,5,4)&gt;"2019",_xll.DBRW($G$3,$H$15,$H$17,$H$13,$H$16,$H$14,N$2,$H$12,$A31),-N53)</f>
        <v>#N/A</v>
      </c>
      <c r="O31" s="126" t="e">
        <f>IF(MID($H$12,5,4)&gt;"2019",_xll.DBRW($G$3,$H$15,$H$17,$H$13,$H$16,$H$14,O$2,$H$12,$A31),-O53)</f>
        <v>#N/A</v>
      </c>
      <c r="P31" s="126" t="e">
        <f>IF(MID($H$12,5,4)&gt;"2019",_xll.DBRW($G$3,$H$15,$H$17,$H$13,$H$16,$H$14,P$2,$H$12,$A31),-P53)</f>
        <v>#N/A</v>
      </c>
      <c r="Q31" s="129"/>
      <c r="R31" s="129"/>
      <c r="S31" s="126" t="e">
        <f>IF(MID($U$12,5,4)&gt;"2019",_xll.DBRW($G$3,$U$15,$H$17,$U$13,$U$16,$U$14,S$2,$U$12,$A31),-S53)</f>
        <v>#N/A</v>
      </c>
      <c r="T31" s="126" t="e">
        <f>IF(MID($U$12,5,4)&gt;"2019",_xll.DBRW($G$3,$U$15,$H$17,$U$13,$U$16,$U$14,T$2,$U$12,$A31),-T53)</f>
        <v>#N/A</v>
      </c>
      <c r="U31" s="126" t="e">
        <f>IF(MID($U$12,5,4)&gt;"2019",_xll.DBRW($G$3,$U$15,$H$17,$U$13,$U$16,$U$14,U$2,$U$12,$A31),-U53)</f>
        <v>#N/A</v>
      </c>
      <c r="V31" s="126" t="e">
        <f>IF(MID($U$12,5,4)&gt;"2019",_xll.DBRW($G$3,$U$15,$H$17,$U$13,$U$16,$U$14,V$2,$U$12,$A31),-V53)</f>
        <v>#N/A</v>
      </c>
      <c r="W31" s="126" t="e">
        <f>IF(MID($U$12,5,4)&gt;"2019",_xll.DBRW($G$3,$U$15,$H$17,$U$13,$U$16,$U$14,W$2,$U$12,$A31),-W53)</f>
        <v>#N/A</v>
      </c>
      <c r="X31" s="126" t="e">
        <f>IF(MID($U$12,5,4)&gt;"2019",_xll.DBRW($G$3,$U$15,$H$17,$U$13,$U$16,$U$14,X$2,$U$12,$A31),-X53)</f>
        <v>#N/A</v>
      </c>
      <c r="Y31" s="126" t="e">
        <f>IF(MID($U$12,5,4)&gt;"2019",_xll.DBRW($G$3,$U$15,$H$17,$U$13,$U$16,$U$14,Y$2,$U$12,$A31),-Y53)</f>
        <v>#N/A</v>
      </c>
      <c r="Z31" s="126" t="e">
        <f>IF(MID($U$12,5,4)&gt;"2019",_xll.DBRW($G$3,$U$15,$H$17,$U$13,$U$16,$U$14,Z$2,$U$12,$A31),-Z53)</f>
        <v>#N/A</v>
      </c>
      <c r="AA31" s="129"/>
      <c r="AB31" s="126" t="e">
        <f t="shared" si="21"/>
        <v>#N/A</v>
      </c>
      <c r="AC31" s="126" t="e">
        <f t="shared" si="12"/>
        <v>#N/A</v>
      </c>
      <c r="AD31" s="126" t="e">
        <f t="shared" si="13"/>
        <v>#N/A</v>
      </c>
      <c r="AE31" s="126" t="e">
        <f t="shared" si="14"/>
        <v>#N/A</v>
      </c>
      <c r="AF31" s="126" t="e">
        <f t="shared" si="15"/>
        <v>#N/A</v>
      </c>
      <c r="AG31" s="126" t="e">
        <f t="shared" si="16"/>
        <v>#N/A</v>
      </c>
      <c r="AH31" s="126" t="e">
        <f t="shared" si="17"/>
        <v>#N/A</v>
      </c>
      <c r="AI31" s="126" t="e">
        <f t="shared" si="18"/>
        <v>#N/A</v>
      </c>
      <c r="AJ31" s="43"/>
      <c r="AK31" s="59"/>
      <c r="AL31" s="49" t="s">
        <v>84</v>
      </c>
      <c r="AM31" s="66" t="s">
        <v>116</v>
      </c>
      <c r="AN31" s="47"/>
      <c r="AO31" s="47"/>
      <c r="AP31" s="62"/>
      <c r="AQ31" s="62"/>
      <c r="AR31" s="47"/>
    </row>
    <row r="32" spans="1:44" ht="21.75" customHeight="1" collapsed="1" thickBot="1">
      <c r="A32" s="50" t="s">
        <v>138</v>
      </c>
      <c r="B32" s="64" t="s">
        <v>143</v>
      </c>
      <c r="C32" s="41"/>
      <c r="D32" s="41">
        <v>11</v>
      </c>
      <c r="G32" s="185" t="e">
        <f>_xll.DBRA(Server&amp;$A$21,$A32,$H$18)</f>
        <v>#N/A</v>
      </c>
      <c r="H32" s="186"/>
      <c r="I32" s="126" t="e">
        <f>_xll.DBRW($G$3,$H$15,$H$17,$H$13,$H$16,$H$14,I$2,$H$12,$B32)+_xll.DBRW($G$3,$H$15,$H$17,$H$13,$H$16,$H$14,I$2,$H$12,$A32)</f>
        <v>#VALUE!</v>
      </c>
      <c r="J32" s="126" t="e">
        <f>_xll.DBRW($G$3,$H$15,$H$17,$H$13,$H$16,$H$14,J$2,$H$12,$B32)+_xll.DBRW($G$3,$H$15,$H$17,$H$13,$H$16,$H$14,J$2,$H$12,$A32)</f>
        <v>#VALUE!</v>
      </c>
      <c r="K32" s="126" t="e">
        <f>_xll.DBRW($G$3,$H$15,$H$17,$H$13,$H$16,$H$14,K$2,$H$12,$B32)+_xll.DBRW($G$3,$H$15,$H$17,$H$13,$H$16,$H$14,K$2,$H$12,$A32)</f>
        <v>#VALUE!</v>
      </c>
      <c r="L32" s="126" t="e">
        <f>_xll.DBRW($G$3,$H$15,$H$17,$H$13,$H$16,$H$14,L$2,$H$12,$B32)+_xll.DBRW($G$3,$H$15,$H$17,$H$13,$H$16,$H$14,L$2,$H$12,$A32)</f>
        <v>#VALUE!</v>
      </c>
      <c r="M32" s="126" t="e">
        <f>_xll.DBRW($G$3,$H$15,$H$17,$H$13,$H$16,$H$14,M$2,$H$12,$B32)+_xll.DBRW($G$3,$H$15,$H$17,$H$13,$H$16,$H$14,M$2,$H$12,$A32)</f>
        <v>#VALUE!</v>
      </c>
      <c r="N32" s="126" t="e">
        <f>_xll.DBRW($G$3,$H$15,$H$17,$H$13,$H$16,$H$14,N$2,$H$12,$B32)+_xll.DBRW($G$3,$H$15,$H$17,$H$13,$H$16,$H$14,N$2,$H$12,$A32)</f>
        <v>#VALUE!</v>
      </c>
      <c r="O32" s="126" t="e">
        <f>_xll.DBRW($G$3,$H$15,$H$17,$H$13,$H$16,$H$14,O$2,$H$12,$B32)+_xll.DBRW($G$3,$H$15,$H$17,$H$13,$H$16,$H$14,O$2,$H$12,$A32)</f>
        <v>#VALUE!</v>
      </c>
      <c r="P32" s="126" t="e">
        <f>_xll.DBRW($G$3,$H$15,$H$17,$H$13,$H$16,$H$14,P$2,$H$12,$B32)+_xll.DBRW($G$3,$H$15,$H$17,$H$13,$H$16,$H$14,P$2,$H$12,$A32)</f>
        <v>#VALUE!</v>
      </c>
      <c r="Q32" s="129"/>
      <c r="R32" s="129"/>
      <c r="S32" s="126" t="e">
        <f>_xll.DBRW($G$3,$U$15,$H$17,$U$13,$U$16,$U$14,S$2,$U$12,$B32)+_xll.DBRW($G$3,$U$15,$H$17,$U$13,$U$16,$U$14,S$2,$U$12,$A32)</f>
        <v>#VALUE!</v>
      </c>
      <c r="T32" s="126" t="e">
        <f>_xll.DBRW($G$3,$U$15,$H$17,$U$13,$U$16,$U$14,T$2,$U$12,$B32)+_xll.DBRW($G$3,$U$15,$H$17,$U$13,$U$16,$U$14,T$2,$U$12,$A32)</f>
        <v>#VALUE!</v>
      </c>
      <c r="U32" s="126" t="e">
        <f>_xll.DBRW($G$3,$U$15,$H$17,$U$13,$U$16,$U$14,U$2,$U$12,$B32)+_xll.DBRW($G$3,$U$15,$H$17,$U$13,$U$16,$U$14,U$2,$U$12,$A32)</f>
        <v>#VALUE!</v>
      </c>
      <c r="V32" s="126" t="e">
        <f>_xll.DBRW($G$3,$U$15,$H$17,$U$13,$U$16,$U$14,V$2,$U$12,$B32)+_xll.DBRW($G$3,$U$15,$H$17,$U$13,$U$16,$U$14,V$2,$U$12,$A32)</f>
        <v>#VALUE!</v>
      </c>
      <c r="W32" s="126" t="e">
        <f>_xll.DBRW($G$3,$U$15,$H$17,$U$13,$U$16,$U$14,W$2,$U$12,$B32)+_xll.DBRW($G$3,$U$15,$H$17,$U$13,$U$16,$U$14,W$2,$U$12,$A32)</f>
        <v>#VALUE!</v>
      </c>
      <c r="X32" s="126" t="e">
        <f>_xll.DBRW($G$3,$U$15,$H$17,$U$13,$U$16,$U$14,X$2,$U$12,$B32)+_xll.DBRW($G$3,$U$15,$H$17,$U$13,$U$16,$U$14,X$2,$U$12,$A32)</f>
        <v>#VALUE!</v>
      </c>
      <c r="Y32" s="126" t="e">
        <f>_xll.DBRW($G$3,$U$15,$H$17,$U$13,$U$16,$U$14,Y$2,$U$12,$B32)+_xll.DBRW($G$3,$U$15,$H$17,$U$13,$U$16,$U$14,Y$2,$U$12,$A32)</f>
        <v>#VALUE!</v>
      </c>
      <c r="Z32" s="126" t="e">
        <f>_xll.DBRW($G$3,$U$15,$H$17,$U$13,$U$16,$U$14,Z$2,$U$12,$B32)+_xll.DBRW($G$3,$U$15,$H$17,$U$13,$U$16,$U$14,Z$2,$U$12,$A32)</f>
        <v>#VALUE!</v>
      </c>
      <c r="AA32" s="129"/>
      <c r="AB32" s="126" t="e">
        <f t="shared" si="21"/>
        <v>#VALUE!</v>
      </c>
      <c r="AC32" s="126" t="e">
        <f t="shared" si="12"/>
        <v>#VALUE!</v>
      </c>
      <c r="AD32" s="126" t="e">
        <f t="shared" si="13"/>
        <v>#VALUE!</v>
      </c>
      <c r="AE32" s="126" t="e">
        <f t="shared" si="14"/>
        <v>#VALUE!</v>
      </c>
      <c r="AF32" s="126" t="e">
        <f t="shared" si="15"/>
        <v>#VALUE!</v>
      </c>
      <c r="AG32" s="126" t="e">
        <f t="shared" si="16"/>
        <v>#VALUE!</v>
      </c>
      <c r="AH32" s="126" t="e">
        <f t="shared" si="17"/>
        <v>#VALUE!</v>
      </c>
      <c r="AI32" s="126" t="e">
        <f t="shared" si="18"/>
        <v>#VALUE!</v>
      </c>
      <c r="AJ32" s="43"/>
      <c r="AK32" s="59"/>
      <c r="AL32" s="60" t="s">
        <v>47</v>
      </c>
      <c r="AM32" s="63" t="s">
        <v>117</v>
      </c>
      <c r="AN32" s="47"/>
      <c r="AO32" s="47"/>
      <c r="AP32" s="62"/>
      <c r="AQ32" s="62"/>
      <c r="AR32" s="47"/>
    </row>
    <row r="33" spans="1:44" ht="21.75" customHeight="1" thickBot="1">
      <c r="A33" s="50" t="s">
        <v>157</v>
      </c>
      <c r="B33" s="64"/>
      <c r="C33" s="41"/>
      <c r="D33" s="41">
        <v>12</v>
      </c>
      <c r="G33" s="191" t="e">
        <f>_xll.DBRA(Server&amp;$A$21,$A33,$H$18)</f>
        <v>#N/A</v>
      </c>
      <c r="H33" s="191"/>
      <c r="I33" s="130" t="e">
        <f>_xll.DBRW($G$3,$H$15,$H$17,$H$13,$H$16,$H$14,I$2,$H$12,$A33)</f>
        <v>#VALUE!</v>
      </c>
      <c r="J33" s="130" t="e">
        <f>_xll.DBRW($G$3,$H$15,$H$17,$H$13,$H$16,$H$14,J$2,$H$12,$A33)</f>
        <v>#VALUE!</v>
      </c>
      <c r="K33" s="130" t="e">
        <f>_xll.DBRW($G$3,$H$15,$H$17,$H$13,$H$16,$H$14,K$2,$H$12,$A33)</f>
        <v>#VALUE!</v>
      </c>
      <c r="L33" s="130" t="e">
        <f>_xll.DBRW($G$3,$H$15,$H$17,$H$13,$H$16,$H$14,L$2,$H$12,$A33)</f>
        <v>#VALUE!</v>
      </c>
      <c r="M33" s="130" t="e">
        <f>_xll.DBRW($G$3,$H$15,$H$17,$H$13,$H$16,$H$14,M$2,$H$12,$A33)</f>
        <v>#VALUE!</v>
      </c>
      <c r="N33" s="130" t="e">
        <f>_xll.DBRW($G$3,$H$15,$H$17,$H$13,$H$16,$H$14,N$2,$H$12,$A33)</f>
        <v>#VALUE!</v>
      </c>
      <c r="O33" s="130" t="e">
        <f>_xll.DBRW($G$3,$H$15,$H$17,$H$13,$H$16,$H$14,O$2,$H$12,$A33)</f>
        <v>#VALUE!</v>
      </c>
      <c r="P33" s="130" t="e">
        <f>_xll.DBRW($G$3,$H$15,$H$17,$H$13,$H$16,$H$14,P$2,$H$12,$A33)</f>
        <v>#VALUE!</v>
      </c>
      <c r="Q33" s="131" t="e">
        <f>SUM(I26:P26)+SUM(I27:P27)+SUM(I32:P32)-SUM(I33:P33)</f>
        <v>#VALUE!</v>
      </c>
      <c r="R33" s="131"/>
      <c r="S33" s="130" t="e">
        <f>_xll.DBRW($G$3,$U$15,$H$17,$U$13,$U$16,$U$14,S$2,$U$12,$A33)</f>
        <v>#VALUE!</v>
      </c>
      <c r="T33" s="130" t="e">
        <f>_xll.DBRW($G$3,$U$15,$H$17,$U$13,$U$16,$U$14,T$2,$U$12,$A33)</f>
        <v>#VALUE!</v>
      </c>
      <c r="U33" s="130" t="e">
        <f>_xll.DBRW($G$3,$U$15,$H$17,$U$13,$U$16,$U$14,U$2,$U$12,$A33)</f>
        <v>#VALUE!</v>
      </c>
      <c r="V33" s="130" t="e">
        <f>_xll.DBRW($G$3,$U$15,$H$17,$U$13,$U$16,$U$14,V$2,$U$12,$A33)</f>
        <v>#VALUE!</v>
      </c>
      <c r="W33" s="130" t="e">
        <f>_xll.DBRW($G$3,$U$15,$H$17,$U$13,$U$16,$U$14,W$2,$U$12,$A33)</f>
        <v>#VALUE!</v>
      </c>
      <c r="X33" s="130" t="e">
        <f>_xll.DBRW($G$3,$U$15,$H$17,$U$13,$U$16,$U$14,X$2,$U$12,$A33)</f>
        <v>#VALUE!</v>
      </c>
      <c r="Y33" s="130" t="e">
        <f>_xll.DBRW($G$3,$U$15,$H$17,$U$13,$U$16,$U$14,Y$2,$U$12,$A33)</f>
        <v>#VALUE!</v>
      </c>
      <c r="Z33" s="130" t="e">
        <f>_xll.DBRW($G$3,$U$15,$H$17,$U$13,$U$16,$U$14,Z$2,$U$12,$A33)</f>
        <v>#VALUE!</v>
      </c>
      <c r="AA33" s="131" t="e">
        <f>SUM(S26:Z26)+SUM(S27:Z27)+SUM(S32:Z32)-SUM(S33:Z33)</f>
        <v>#VALUE!</v>
      </c>
      <c r="AB33" s="130" t="e">
        <f t="shared" si="21"/>
        <v>#VALUE!</v>
      </c>
      <c r="AC33" s="130" t="e">
        <f t="shared" si="12"/>
        <v>#VALUE!</v>
      </c>
      <c r="AD33" s="130" t="e">
        <f t="shared" si="13"/>
        <v>#VALUE!</v>
      </c>
      <c r="AE33" s="130" t="e">
        <f t="shared" si="14"/>
        <v>#VALUE!</v>
      </c>
      <c r="AF33" s="130" t="e">
        <f t="shared" si="15"/>
        <v>#VALUE!</v>
      </c>
      <c r="AG33" s="130" t="e">
        <f t="shared" si="16"/>
        <v>#VALUE!</v>
      </c>
      <c r="AH33" s="130" t="e">
        <f t="shared" si="17"/>
        <v>#VALUE!</v>
      </c>
      <c r="AI33" s="130" t="e">
        <f t="shared" si="18"/>
        <v>#VALUE!</v>
      </c>
      <c r="AJ33" s="43"/>
      <c r="AK33" s="59"/>
      <c r="AL33" s="60"/>
      <c r="AM33" s="46"/>
      <c r="AN33" s="47"/>
      <c r="AO33" s="47"/>
      <c r="AP33" s="62"/>
      <c r="AQ33" s="62"/>
      <c r="AR33" s="47"/>
    </row>
    <row r="34" spans="1:44" s="94" customFormat="1" ht="21.75" customHeight="1">
      <c r="A34" s="89" t="s">
        <v>158</v>
      </c>
      <c r="B34" s="90"/>
      <c r="C34" s="91"/>
      <c r="D34" s="41">
        <v>13</v>
      </c>
      <c r="E34" s="92"/>
      <c r="F34" s="93"/>
      <c r="G34" s="132" t="str">
        <f>IF($H$18="English","        EBIT bef. MF margin (% ROA)","        Marge RESOP av. FS (%PAO)")</f>
        <v xml:space="preserve">        EBIT bef. MF margin (% ROA)</v>
      </c>
      <c r="H34" s="132"/>
      <c r="I34" s="133">
        <f t="shared" ref="I34:Z34" si="22">IF(ISERROR(+I$33/I$26)=TRUE,0,+I$33/I$26)</f>
        <v>0</v>
      </c>
      <c r="J34" s="133">
        <f t="shared" si="22"/>
        <v>0</v>
      </c>
      <c r="K34" s="133">
        <f t="shared" si="22"/>
        <v>0</v>
      </c>
      <c r="L34" s="133">
        <f t="shared" si="22"/>
        <v>0</v>
      </c>
      <c r="M34" s="133">
        <f t="shared" si="22"/>
        <v>0</v>
      </c>
      <c r="N34" s="133">
        <f t="shared" si="22"/>
        <v>0</v>
      </c>
      <c r="O34" s="133">
        <f t="shared" si="22"/>
        <v>0</v>
      </c>
      <c r="P34" s="133">
        <f t="shared" si="22"/>
        <v>0</v>
      </c>
      <c r="Q34" s="131"/>
      <c r="R34" s="131"/>
      <c r="S34" s="133">
        <f t="shared" si="22"/>
        <v>0</v>
      </c>
      <c r="T34" s="133">
        <f t="shared" si="22"/>
        <v>0</v>
      </c>
      <c r="U34" s="133">
        <f t="shared" si="22"/>
        <v>0</v>
      </c>
      <c r="V34" s="133">
        <f t="shared" si="22"/>
        <v>0</v>
      </c>
      <c r="W34" s="133">
        <f t="shared" si="22"/>
        <v>0</v>
      </c>
      <c r="X34" s="133">
        <f t="shared" si="22"/>
        <v>0</v>
      </c>
      <c r="Y34" s="133">
        <f t="shared" si="22"/>
        <v>0</v>
      </c>
      <c r="Z34" s="133">
        <f t="shared" si="22"/>
        <v>0</v>
      </c>
      <c r="AA34" s="131"/>
      <c r="AB34" s="133">
        <f t="shared" si="21"/>
        <v>0</v>
      </c>
      <c r="AC34" s="133">
        <f t="shared" si="12"/>
        <v>0</v>
      </c>
      <c r="AD34" s="133">
        <f t="shared" si="13"/>
        <v>0</v>
      </c>
      <c r="AE34" s="133">
        <f t="shared" si="14"/>
        <v>0</v>
      </c>
      <c r="AF34" s="133">
        <f t="shared" si="15"/>
        <v>0</v>
      </c>
      <c r="AG34" s="133">
        <f t="shared" si="16"/>
        <v>0</v>
      </c>
      <c r="AH34" s="133">
        <f t="shared" si="17"/>
        <v>0</v>
      </c>
      <c r="AI34" s="133">
        <f t="shared" si="18"/>
        <v>0</v>
      </c>
      <c r="AK34" s="95"/>
      <c r="AL34" s="96"/>
      <c r="AM34" s="97"/>
      <c r="AN34" s="98"/>
      <c r="AO34" s="98"/>
      <c r="AP34" s="99"/>
      <c r="AQ34" s="99"/>
      <c r="AR34" s="98"/>
    </row>
    <row r="35" spans="1:44" ht="21.75" customHeight="1" thickBot="1">
      <c r="A35" s="50" t="s">
        <v>78</v>
      </c>
      <c r="B35" s="41"/>
      <c r="C35" s="41"/>
      <c r="D35" s="41">
        <v>14</v>
      </c>
      <c r="G35" s="185" t="e">
        <f>_xll.DBRA(Server&amp;$A$21,$A35,$H$18)</f>
        <v>#N/A</v>
      </c>
      <c r="H35" s="186"/>
      <c r="I35" s="126" t="e">
        <f>_xll.DBRW($G$3,$H$15,$H$17,$H$13,$H$16,$H$14,I$2,$H$12,$A35)</f>
        <v>#VALUE!</v>
      </c>
      <c r="J35" s="127" t="e">
        <f>_xll.DBRW($G$3,$H$15,$H$17,$H$13,$H$16,$H$14,J$2,$H$12,$A35)</f>
        <v>#VALUE!</v>
      </c>
      <c r="K35" s="127" t="e">
        <f>_xll.DBRW($G$3,$H$15,$H$17,$H$13,$H$16,$H$14,K$2,$H$12,$A35)</f>
        <v>#VALUE!</v>
      </c>
      <c r="L35" s="127" t="e">
        <f>_xll.DBRW($G$3,$H$15,$H$17,$H$13,$H$16,$H$14,L$2,$H$12,$A35)</f>
        <v>#VALUE!</v>
      </c>
      <c r="M35" s="127" t="e">
        <f>_xll.DBRW($G$3,$H$15,$H$17,$H$13,$H$16,$H$14,M$2,$H$12,$A35)</f>
        <v>#VALUE!</v>
      </c>
      <c r="N35" s="127" t="e">
        <f>_xll.DBRW($G$3,$H$15,$H$17,$H$13,$H$16,$H$14,N$2,$H$12,$A35)</f>
        <v>#VALUE!</v>
      </c>
      <c r="O35" s="127" t="e">
        <f>_xll.DBRW($G$3,$H$15,$H$17,$H$13,$H$16,$H$14,O$2,$H$12,$A35)</f>
        <v>#VALUE!</v>
      </c>
      <c r="P35" s="128" t="e">
        <f>_xll.DBRW($G$3,$H$15,$H$17,$H$13,$H$16,$H$14,P$2,$H$12,$A35)</f>
        <v>#VALUE!</v>
      </c>
      <c r="Q35" s="129"/>
      <c r="R35" s="129"/>
      <c r="S35" s="126" t="e">
        <f>_xll.DBRW($G$3,$U$15,$H$17,$U$13,$U$16,$U$14,S$2,$U$12,$A35)</f>
        <v>#VALUE!</v>
      </c>
      <c r="T35" s="127" t="e">
        <f>_xll.DBRW($G$3,$U$15,$H$17,$U$13,$U$16,$U$14,T$2,$U$12,$A35)</f>
        <v>#VALUE!</v>
      </c>
      <c r="U35" s="127" t="e">
        <f>_xll.DBRW($G$3,$U$15,$H$17,$U$13,$U$16,$U$14,U$2,$U$12,$A35)</f>
        <v>#VALUE!</v>
      </c>
      <c r="V35" s="127" t="e">
        <f>_xll.DBRW($G$3,$U$15,$H$17,$U$13,$U$16,$U$14,V$2,$U$12,$A35)</f>
        <v>#VALUE!</v>
      </c>
      <c r="W35" s="127" t="e">
        <f>_xll.DBRW($G$3,$U$15,$H$17,$U$13,$U$16,$U$14,W$2,$U$12,$A35)</f>
        <v>#VALUE!</v>
      </c>
      <c r="X35" s="127" t="e">
        <f>_xll.DBRW($G$3,$U$15,$H$17,$U$13,$U$16,$U$14,X$2,$U$12,$A35)</f>
        <v>#VALUE!</v>
      </c>
      <c r="Y35" s="127" t="e">
        <f>_xll.DBRW($G$3,$U$15,$H$17,$U$13,$U$16,$U$14,Y$2,$U$12,$A35)</f>
        <v>#VALUE!</v>
      </c>
      <c r="Z35" s="128" t="e">
        <f>_xll.DBRW($G$3,$U$15,$H$17,$U$13,$U$16,$U$14,Z$2,$U$12,$A35)</f>
        <v>#VALUE!</v>
      </c>
      <c r="AA35" s="129"/>
      <c r="AB35" s="126" t="e">
        <f t="shared" si="21"/>
        <v>#VALUE!</v>
      </c>
      <c r="AC35" s="127" t="e">
        <f t="shared" si="12"/>
        <v>#VALUE!</v>
      </c>
      <c r="AD35" s="127" t="e">
        <f t="shared" si="13"/>
        <v>#VALUE!</v>
      </c>
      <c r="AE35" s="127" t="e">
        <f t="shared" si="14"/>
        <v>#VALUE!</v>
      </c>
      <c r="AF35" s="127" t="e">
        <f t="shared" si="15"/>
        <v>#VALUE!</v>
      </c>
      <c r="AG35" s="127" t="e">
        <f t="shared" si="16"/>
        <v>#VALUE!</v>
      </c>
      <c r="AH35" s="127" t="e">
        <f t="shared" si="17"/>
        <v>#VALUE!</v>
      </c>
      <c r="AI35" s="128" t="e">
        <f t="shared" si="18"/>
        <v>#VALUE!</v>
      </c>
      <c r="AJ35" s="43"/>
      <c r="AK35" s="59"/>
      <c r="AL35" s="60"/>
      <c r="AM35" s="46"/>
      <c r="AN35" s="47"/>
      <c r="AO35" s="47"/>
      <c r="AP35" s="62"/>
      <c r="AQ35" s="62"/>
      <c r="AR35" s="47"/>
    </row>
    <row r="36" spans="1:44" ht="21.75" customHeight="1" thickBot="1">
      <c r="A36" s="50" t="s">
        <v>50</v>
      </c>
      <c r="B36" s="64"/>
      <c r="C36" s="41"/>
      <c r="D36" s="41">
        <v>15</v>
      </c>
      <c r="G36" s="190" t="e">
        <f>_xll.DBRA(Server&amp;$A$21,$A36,$H$18)</f>
        <v>#N/A</v>
      </c>
      <c r="H36" s="190"/>
      <c r="I36" s="130" t="e">
        <f>_xll.DBRW($G$3,$H$15,$H$17,$H$13,$H$16,$H$14,I$2,$H$12,$A36)</f>
        <v>#VALUE!</v>
      </c>
      <c r="J36" s="130" t="e">
        <f>_xll.DBRW($G$3,$H$15,$H$17,$H$13,$H$16,$H$14,J$2,$H$12,$A36)</f>
        <v>#VALUE!</v>
      </c>
      <c r="K36" s="130" t="e">
        <f>_xll.DBRW($G$3,$H$15,$H$17,$H$13,$H$16,$H$14,K$2,$H$12,$A36)</f>
        <v>#VALUE!</v>
      </c>
      <c r="L36" s="130" t="e">
        <f>_xll.DBRW($G$3,$H$15,$H$17,$H$13,$H$16,$H$14,L$2,$H$12,$A36)</f>
        <v>#VALUE!</v>
      </c>
      <c r="M36" s="130" t="e">
        <f>_xll.DBRW($G$3,$H$15,$H$17,$H$13,$H$16,$H$14,M$2,$H$12,$A36)</f>
        <v>#VALUE!</v>
      </c>
      <c r="N36" s="130" t="e">
        <f>_xll.DBRW($G$3,$H$15,$H$17,$H$13,$H$16,$H$14,N$2,$H$12,$A36)</f>
        <v>#VALUE!</v>
      </c>
      <c r="O36" s="130" t="e">
        <f>_xll.DBRW($G$3,$H$15,$H$17,$H$13,$H$16,$H$14,O$2,$H$12,$A36)</f>
        <v>#VALUE!</v>
      </c>
      <c r="P36" s="130" t="e">
        <f>_xll.DBRW($G$3,$H$15,$H$17,$H$13,$H$16,$H$14,P$2,$H$12,$A36)</f>
        <v>#VALUE!</v>
      </c>
      <c r="Q36" s="131" t="e">
        <f>SUM(I36:P36)-SUM(I33:P33)-SUM(I35:P35)</f>
        <v>#VALUE!</v>
      </c>
      <c r="R36" s="131"/>
      <c r="S36" s="130" t="e">
        <f>_xll.DBRW($G$3,$U$15,$H$17,$U$13,$U$16,$U$14,S$2,$U$12,$A36)</f>
        <v>#VALUE!</v>
      </c>
      <c r="T36" s="130" t="e">
        <f>_xll.DBRW($G$3,$U$15,$H$17,$U$13,$U$16,$U$14,T$2,$U$12,$A36)</f>
        <v>#VALUE!</v>
      </c>
      <c r="U36" s="130" t="e">
        <f>_xll.DBRW($G$3,$U$15,$H$17,$U$13,$U$16,$U$14,U$2,$U$12,$A36)</f>
        <v>#VALUE!</v>
      </c>
      <c r="V36" s="130" t="e">
        <f>_xll.DBRW($G$3,$U$15,$H$17,$U$13,$U$16,$U$14,V$2,$U$12,$A36)</f>
        <v>#VALUE!</v>
      </c>
      <c r="W36" s="130" t="e">
        <f>_xll.DBRW($G$3,$U$15,$H$17,$U$13,$U$16,$U$14,W$2,$U$12,$A36)</f>
        <v>#VALUE!</v>
      </c>
      <c r="X36" s="130" t="e">
        <f>_xll.DBRW($G$3,$U$15,$H$17,$U$13,$U$16,$U$14,X$2,$U$12,$A36)</f>
        <v>#VALUE!</v>
      </c>
      <c r="Y36" s="130" t="e">
        <f>_xll.DBRW($G$3,$U$15,$H$17,$U$13,$U$16,$U$14,Y$2,$U$12,$A36)</f>
        <v>#VALUE!</v>
      </c>
      <c r="Z36" s="130" t="e">
        <f>_xll.DBRW($G$3,$U$15,$H$17,$U$13,$U$16,$U$14,Z$2,$U$12,$A36)</f>
        <v>#VALUE!</v>
      </c>
      <c r="AA36" s="131" t="e">
        <f>SUM(S36:Z36)-SUM(S33:Z33)-SUM(S35:Z35)</f>
        <v>#VALUE!</v>
      </c>
      <c r="AB36" s="130" t="e">
        <f t="shared" si="21"/>
        <v>#VALUE!</v>
      </c>
      <c r="AC36" s="130" t="e">
        <f t="shared" si="12"/>
        <v>#VALUE!</v>
      </c>
      <c r="AD36" s="130" t="e">
        <f t="shared" si="13"/>
        <v>#VALUE!</v>
      </c>
      <c r="AE36" s="130" t="e">
        <f t="shared" si="14"/>
        <v>#VALUE!</v>
      </c>
      <c r="AF36" s="130" t="e">
        <f t="shared" si="15"/>
        <v>#VALUE!</v>
      </c>
      <c r="AG36" s="130" t="e">
        <f t="shared" si="16"/>
        <v>#VALUE!</v>
      </c>
      <c r="AH36" s="130" t="e">
        <f t="shared" si="17"/>
        <v>#VALUE!</v>
      </c>
      <c r="AI36" s="130" t="e">
        <f t="shared" si="18"/>
        <v>#VALUE!</v>
      </c>
      <c r="AJ36" s="43"/>
      <c r="AK36" s="47"/>
      <c r="AL36" s="49" t="s">
        <v>48</v>
      </c>
      <c r="AM36" s="47"/>
      <c r="AN36" s="47"/>
      <c r="AO36" s="47"/>
      <c r="AP36" s="62" t="s">
        <v>76</v>
      </c>
      <c r="AQ36" s="62" t="s">
        <v>66</v>
      </c>
      <c r="AR36" s="47"/>
    </row>
    <row r="37" spans="1:44" s="94" customFormat="1" ht="21.75" customHeight="1">
      <c r="A37" s="89" t="s">
        <v>158</v>
      </c>
      <c r="B37" s="90"/>
      <c r="C37" s="91"/>
      <c r="D37" s="41">
        <v>16</v>
      </c>
      <c r="E37" s="92"/>
      <c r="F37" s="93"/>
      <c r="G37" s="132" t="str">
        <f>IF(H18="English","        EBIT margin (% ROA)","        Marge RESOP (%PAO)")</f>
        <v xml:space="preserve">        EBIT margin (% ROA)</v>
      </c>
      <c r="H37" s="132"/>
      <c r="I37" s="133">
        <f t="shared" ref="I37:Z37" si="23">IF(ISERROR(+I$36/I$26)=TRUE,0,+I$36/I$26)</f>
        <v>0</v>
      </c>
      <c r="J37" s="133">
        <f t="shared" si="23"/>
        <v>0</v>
      </c>
      <c r="K37" s="133">
        <f t="shared" si="23"/>
        <v>0</v>
      </c>
      <c r="L37" s="133">
        <f t="shared" si="23"/>
        <v>0</v>
      </c>
      <c r="M37" s="133">
        <f t="shared" si="23"/>
        <v>0</v>
      </c>
      <c r="N37" s="133">
        <f t="shared" si="23"/>
        <v>0</v>
      </c>
      <c r="O37" s="133">
        <f t="shared" si="23"/>
        <v>0</v>
      </c>
      <c r="P37" s="133">
        <f t="shared" si="23"/>
        <v>0</v>
      </c>
      <c r="Q37" s="129"/>
      <c r="R37" s="129"/>
      <c r="S37" s="133">
        <f t="shared" si="23"/>
        <v>0</v>
      </c>
      <c r="T37" s="133">
        <f t="shared" si="23"/>
        <v>0</v>
      </c>
      <c r="U37" s="133">
        <f t="shared" si="23"/>
        <v>0</v>
      </c>
      <c r="V37" s="133">
        <f t="shared" si="23"/>
        <v>0</v>
      </c>
      <c r="W37" s="133">
        <f t="shared" si="23"/>
        <v>0</v>
      </c>
      <c r="X37" s="133">
        <f t="shared" si="23"/>
        <v>0</v>
      </c>
      <c r="Y37" s="133">
        <f t="shared" si="23"/>
        <v>0</v>
      </c>
      <c r="Z37" s="133">
        <f t="shared" si="23"/>
        <v>0</v>
      </c>
      <c r="AA37" s="129"/>
      <c r="AB37" s="133">
        <f t="shared" si="21"/>
        <v>0</v>
      </c>
      <c r="AC37" s="133">
        <f t="shared" si="12"/>
        <v>0</v>
      </c>
      <c r="AD37" s="133">
        <f t="shared" si="13"/>
        <v>0</v>
      </c>
      <c r="AE37" s="133">
        <f t="shared" si="14"/>
        <v>0</v>
      </c>
      <c r="AF37" s="133">
        <f t="shared" si="15"/>
        <v>0</v>
      </c>
      <c r="AG37" s="133">
        <f t="shared" si="16"/>
        <v>0</v>
      </c>
      <c r="AH37" s="133">
        <f t="shared" si="17"/>
        <v>0</v>
      </c>
      <c r="AI37" s="133">
        <f t="shared" si="18"/>
        <v>0</v>
      </c>
      <c r="AK37" s="98"/>
      <c r="AL37" s="100" t="s">
        <v>45</v>
      </c>
      <c r="AM37" s="98"/>
      <c r="AN37" s="98"/>
      <c r="AO37" s="98"/>
      <c r="AP37" s="99" t="s">
        <v>77</v>
      </c>
      <c r="AQ37" s="99" t="s">
        <v>67</v>
      </c>
      <c r="AR37" s="98"/>
    </row>
    <row r="38" spans="1:44" ht="21.75" customHeight="1">
      <c r="A38" s="50" t="s">
        <v>144</v>
      </c>
      <c r="B38" s="64"/>
      <c r="C38" s="41"/>
      <c r="D38" s="41">
        <v>17</v>
      </c>
      <c r="G38" s="185" t="e">
        <f>_xll.DBRA(Server&amp;$A$21,$A38,$H$18)</f>
        <v>#N/A</v>
      </c>
      <c r="H38" s="186"/>
      <c r="I38" s="126" t="e">
        <f>_xll.DBRW($G$3,$H$15,$H$17,$H$13,$H$16,$H$14,I$2,$H$12,$A38)</f>
        <v>#VALUE!</v>
      </c>
      <c r="J38" s="127" t="e">
        <f>_xll.DBRW($G$3,$H$15,$H$17,$H$13,$H$16,$H$14,J$2,$H$12,$A38)</f>
        <v>#VALUE!</v>
      </c>
      <c r="K38" s="127" t="e">
        <f>_xll.DBRW($G$3,$H$15,$H$17,$H$13,$H$16,$H$14,K$2,$H$12,$A38)</f>
        <v>#VALUE!</v>
      </c>
      <c r="L38" s="127" t="e">
        <f>_xll.DBRW($G$3,$H$15,$H$17,$H$13,$H$16,$H$14,L$2,$H$12,$A38)</f>
        <v>#VALUE!</v>
      </c>
      <c r="M38" s="127" t="e">
        <f>_xll.DBRW($G$3,$H$15,$H$17,$H$13,$H$16,$H$14,M$2,$H$12,$A38)</f>
        <v>#VALUE!</v>
      </c>
      <c r="N38" s="127" t="e">
        <f>_xll.DBRW($G$3,$H$15,$H$17,$H$13,$H$16,$H$14,N$2,$H$12,$A38)</f>
        <v>#VALUE!</v>
      </c>
      <c r="O38" s="127" t="e">
        <f>_xll.DBRW($G$3,$H$15,$H$17,$H$13,$H$16,$H$14,O$2,$H$12,$A38)</f>
        <v>#VALUE!</v>
      </c>
      <c r="P38" s="128" t="e">
        <f>_xll.DBRW($G$3,$H$15,$H$17,$H$13,$H$16,$H$14,P$2,$H$12,$A38)</f>
        <v>#VALUE!</v>
      </c>
      <c r="Q38" s="122"/>
      <c r="R38" s="122"/>
      <c r="S38" s="126" t="e">
        <f>_xll.DBRW($G$3,$U$15,$H$17,$U$13,$U$16,$U$14,S$2,$U$12,$A38)</f>
        <v>#VALUE!</v>
      </c>
      <c r="T38" s="127" t="e">
        <f>_xll.DBRW($G$3,$U$15,$H$17,$U$13,$U$16,$U$14,T$2,$U$12,$A38)</f>
        <v>#VALUE!</v>
      </c>
      <c r="U38" s="127" t="e">
        <f>_xll.DBRW($G$3,$U$15,$H$17,$U$13,$U$16,$U$14,U$2,$U$12,$A38)</f>
        <v>#VALUE!</v>
      </c>
      <c r="V38" s="127" t="e">
        <f>_xll.DBRW($G$3,$U$15,$H$17,$U$13,$U$16,$U$14,V$2,$U$12,$A38)</f>
        <v>#VALUE!</v>
      </c>
      <c r="W38" s="127" t="e">
        <f>_xll.DBRW($G$3,$U$15,$H$17,$U$13,$U$16,$U$14,W$2,$U$12,$A38)</f>
        <v>#VALUE!</v>
      </c>
      <c r="X38" s="127" t="e">
        <f>_xll.DBRW($G$3,$U$15,$H$17,$U$13,$U$16,$U$14,X$2,$U$12,$A38)</f>
        <v>#VALUE!</v>
      </c>
      <c r="Y38" s="127" t="e">
        <f>_xll.DBRW($G$3,$U$15,$H$17,$U$13,$U$16,$U$14,Y$2,$U$12,$A38)</f>
        <v>#VALUE!</v>
      </c>
      <c r="Z38" s="128" t="e">
        <f>_xll.DBRW($G$3,$U$15,$H$17,$U$13,$U$16,$U$14,Z$2,$U$12,$A38)</f>
        <v>#VALUE!</v>
      </c>
      <c r="AA38" s="122"/>
      <c r="AB38" s="126" t="e">
        <f t="shared" si="21"/>
        <v>#VALUE!</v>
      </c>
      <c r="AC38" s="127" t="e">
        <f t="shared" si="12"/>
        <v>#VALUE!</v>
      </c>
      <c r="AD38" s="127" t="e">
        <f t="shared" si="13"/>
        <v>#VALUE!</v>
      </c>
      <c r="AE38" s="127" t="e">
        <f t="shared" si="14"/>
        <v>#VALUE!</v>
      </c>
      <c r="AF38" s="127" t="e">
        <f t="shared" si="15"/>
        <v>#VALUE!</v>
      </c>
      <c r="AG38" s="127" t="e">
        <f t="shared" si="16"/>
        <v>#VALUE!</v>
      </c>
      <c r="AH38" s="127" t="e">
        <f t="shared" si="17"/>
        <v>#VALUE!</v>
      </c>
      <c r="AI38" s="128" t="e">
        <f t="shared" si="18"/>
        <v>#VALUE!</v>
      </c>
      <c r="AJ38" s="43"/>
      <c r="AK38" s="47"/>
      <c r="AL38" s="49" t="s">
        <v>85</v>
      </c>
      <c r="AM38" s="47"/>
      <c r="AN38" s="47"/>
      <c r="AO38" s="47"/>
      <c r="AP38" s="67"/>
      <c r="AQ38" s="67"/>
      <c r="AR38" s="47"/>
    </row>
    <row r="39" spans="1:44" ht="21.75" customHeight="1" thickBot="1">
      <c r="A39" s="50" t="s">
        <v>2</v>
      </c>
      <c r="B39" s="41"/>
      <c r="C39" s="41"/>
      <c r="D39" s="41">
        <v>18</v>
      </c>
      <c r="G39" s="185" t="e">
        <f>_xll.DBRA(Server&amp;$A$21,$A39,$H$18)</f>
        <v>#N/A</v>
      </c>
      <c r="H39" s="186"/>
      <c r="I39" s="126" t="e">
        <f>_xll.DBRW($G$3,$H$15,$H$17,$H$13,$H$16,$H$14,I$2,$H$12,$A39)</f>
        <v>#VALUE!</v>
      </c>
      <c r="J39" s="127" t="e">
        <f>_xll.DBRW($G$3,$H$15,$H$17,$H$13,$H$16,$H$14,J$2,$H$12,$A39)</f>
        <v>#VALUE!</v>
      </c>
      <c r="K39" s="127" t="e">
        <f>_xll.DBRW($G$3,$H$15,$H$17,$H$13,$H$16,$H$14,K$2,$H$12,$A39)</f>
        <v>#VALUE!</v>
      </c>
      <c r="L39" s="127" t="e">
        <f>_xll.DBRW($G$3,$H$15,$H$17,$H$13,$H$16,$H$14,L$2,$H$12,$A39)</f>
        <v>#VALUE!</v>
      </c>
      <c r="M39" s="127" t="e">
        <f>_xll.DBRW($G$3,$H$15,$H$17,$H$13,$H$16,$H$14,M$2,$H$12,$A39)</f>
        <v>#VALUE!</v>
      </c>
      <c r="N39" s="127" t="e">
        <f>_xll.DBRW($G$3,$H$15,$H$17,$H$13,$H$16,$H$14,N$2,$H$12,$A39)</f>
        <v>#VALUE!</v>
      </c>
      <c r="O39" s="127" t="e">
        <f>_xll.DBRW($G$3,$H$15,$H$17,$H$13,$H$16,$H$14,O$2,$H$12,$A39)</f>
        <v>#VALUE!</v>
      </c>
      <c r="P39" s="128" t="e">
        <f>_xll.DBRW($G$3,$H$15,$H$17,$H$13,$H$16,$H$14,P$2,$H$12,$A39)</f>
        <v>#VALUE!</v>
      </c>
      <c r="Q39" s="122"/>
      <c r="R39" s="122"/>
      <c r="S39" s="126" t="e">
        <f>_xll.DBRW($G$3,$U$15,$H$17,$U$13,$U$16,$U$14,S$2,$U$12,$A39)</f>
        <v>#VALUE!</v>
      </c>
      <c r="T39" s="127" t="e">
        <f>_xll.DBRW($G$3,$U$15,$H$17,$U$13,$U$16,$U$14,T$2,$U$12,$A39)</f>
        <v>#VALUE!</v>
      </c>
      <c r="U39" s="127" t="e">
        <f>_xll.DBRW($G$3,$U$15,$H$17,$U$13,$U$16,$U$14,U$2,$U$12,$A39)</f>
        <v>#VALUE!</v>
      </c>
      <c r="V39" s="127" t="e">
        <f>_xll.DBRW($G$3,$U$15,$H$17,$U$13,$U$16,$U$14,V$2,$U$12,$A39)</f>
        <v>#VALUE!</v>
      </c>
      <c r="W39" s="127" t="e">
        <f>_xll.DBRW($G$3,$U$15,$H$17,$U$13,$U$16,$U$14,W$2,$U$12,$A39)</f>
        <v>#VALUE!</v>
      </c>
      <c r="X39" s="127" t="e">
        <f>_xll.DBRW($G$3,$U$15,$H$17,$U$13,$U$16,$U$14,X$2,$U$12,$A39)</f>
        <v>#VALUE!</v>
      </c>
      <c r="Y39" s="127" t="e">
        <f>_xll.DBRW($G$3,$U$15,$H$17,$U$13,$U$16,$U$14,Y$2,$U$12,$A39)</f>
        <v>#VALUE!</v>
      </c>
      <c r="Z39" s="128" t="e">
        <f>_xll.DBRW($G$3,$U$15,$H$17,$U$13,$U$16,$U$14,Z$2,$U$12,$A39)</f>
        <v>#VALUE!</v>
      </c>
      <c r="AA39" s="122"/>
      <c r="AB39" s="126" t="e">
        <f t="shared" si="21"/>
        <v>#VALUE!</v>
      </c>
      <c r="AC39" s="127" t="e">
        <f t="shared" si="12"/>
        <v>#VALUE!</v>
      </c>
      <c r="AD39" s="127" t="e">
        <f t="shared" si="13"/>
        <v>#VALUE!</v>
      </c>
      <c r="AE39" s="127" t="e">
        <f t="shared" si="14"/>
        <v>#VALUE!</v>
      </c>
      <c r="AF39" s="127" t="e">
        <f t="shared" si="15"/>
        <v>#VALUE!</v>
      </c>
      <c r="AG39" s="127" t="e">
        <f t="shared" si="16"/>
        <v>#VALUE!</v>
      </c>
      <c r="AH39" s="127" t="e">
        <f t="shared" si="17"/>
        <v>#VALUE!</v>
      </c>
      <c r="AI39" s="128" t="e">
        <f t="shared" si="18"/>
        <v>#VALUE!</v>
      </c>
      <c r="AJ39" s="43"/>
      <c r="AK39" s="47"/>
      <c r="AL39" s="49"/>
      <c r="AM39" s="47"/>
      <c r="AN39" s="47"/>
      <c r="AO39" s="47"/>
      <c r="AP39" s="67"/>
      <c r="AQ39" s="67"/>
      <c r="AR39" s="47"/>
    </row>
    <row r="40" spans="1:44" ht="21.75" customHeight="1" thickBot="1">
      <c r="A40" s="50" t="s">
        <v>3</v>
      </c>
      <c r="B40" s="64"/>
      <c r="C40" s="41"/>
      <c r="D40" s="41">
        <v>19</v>
      </c>
      <c r="G40" s="192" t="e">
        <f>_xll.DBRA(Server&amp;$A$21,$A40,$H$18)</f>
        <v>#N/A</v>
      </c>
      <c r="H40" s="193"/>
      <c r="I40" s="130" t="e">
        <f>_xll.DBRW($G$3,$H$15,$H$17,$H$13,$H$16,$H$14,I$2,$H$12,$A40)</f>
        <v>#VALUE!</v>
      </c>
      <c r="J40" s="130" t="e">
        <f>_xll.DBRW($G$3,$H$15,$H$17,$H$13,$H$16,$H$14,J$2,$H$12,$A40)</f>
        <v>#VALUE!</v>
      </c>
      <c r="K40" s="130" t="e">
        <f>_xll.DBRW($G$3,$H$15,$H$17,$H$13,$H$16,$H$14,K$2,$H$12,$A40)</f>
        <v>#VALUE!</v>
      </c>
      <c r="L40" s="130" t="e">
        <f>_xll.DBRW($G$3,$H$15,$H$17,$H$13,$H$16,$H$14,L$2,$H$12,$A40)</f>
        <v>#VALUE!</v>
      </c>
      <c r="M40" s="130" t="e">
        <f>_xll.DBRW($G$3,$H$15,$H$17,$H$13,$H$16,$H$14,M$2,$H$12,$A40)</f>
        <v>#VALUE!</v>
      </c>
      <c r="N40" s="130" t="e">
        <f>_xll.DBRW($G$3,$H$15,$H$17,$H$13,$H$16,$H$14,N$2,$H$12,$A40)</f>
        <v>#VALUE!</v>
      </c>
      <c r="O40" s="130" t="e">
        <f>_xll.DBRW($G$3,$H$15,$H$17,$H$13,$H$16,$H$14,O$2,$H$12,$A40)</f>
        <v>#VALUE!</v>
      </c>
      <c r="P40" s="130" t="e">
        <f>_xll.DBRW($G$3,$H$15,$H$17,$H$13,$H$16,$H$14,P$2,$H$12,$A40)</f>
        <v>#VALUE!</v>
      </c>
      <c r="Q40" s="131" t="e">
        <f>SUM(I40:P40)-SUM(I36:P36)-SUM(I38:P39)</f>
        <v>#VALUE!</v>
      </c>
      <c r="R40" s="131"/>
      <c r="S40" s="130" t="e">
        <f>_xll.DBRW($G$3,$U$15,$H$17,$U$13,$U$16,$U$14,S$2,$U$12,$A40)</f>
        <v>#VALUE!</v>
      </c>
      <c r="T40" s="130" t="e">
        <f>_xll.DBRW($G$3,$U$15,$H$17,$U$13,$U$16,$U$14,T$2,$U$12,$A40)</f>
        <v>#VALUE!</v>
      </c>
      <c r="U40" s="130" t="e">
        <f>_xll.DBRW($G$3,$U$15,$H$17,$U$13,$U$16,$U$14,U$2,$U$12,$A40)</f>
        <v>#VALUE!</v>
      </c>
      <c r="V40" s="130" t="e">
        <f>_xll.DBRW($G$3,$U$15,$H$17,$U$13,$U$16,$U$14,V$2,$U$12,$A40)</f>
        <v>#VALUE!</v>
      </c>
      <c r="W40" s="130" t="e">
        <f>_xll.DBRW($G$3,$U$15,$H$17,$U$13,$U$16,$U$14,W$2,$U$12,$A40)</f>
        <v>#VALUE!</v>
      </c>
      <c r="X40" s="130" t="e">
        <f>_xll.DBRW($G$3,$U$15,$H$17,$U$13,$U$16,$U$14,X$2,$U$12,$A40)</f>
        <v>#VALUE!</v>
      </c>
      <c r="Y40" s="130" t="e">
        <f>_xll.DBRW($G$3,$U$15,$H$17,$U$13,$U$16,$U$14,Y$2,$U$12,$A40)</f>
        <v>#VALUE!</v>
      </c>
      <c r="Z40" s="130" t="e">
        <f>_xll.DBRW($G$3,$U$15,$H$17,$U$13,$U$16,$U$14,Z$2,$U$12,$A40)</f>
        <v>#VALUE!</v>
      </c>
      <c r="AA40" s="131" t="e">
        <f>SUM(S40:Z40)-SUM(S36:Z36)-SUM(S38:Z39)</f>
        <v>#VALUE!</v>
      </c>
      <c r="AB40" s="130" t="e">
        <f t="shared" si="21"/>
        <v>#VALUE!</v>
      </c>
      <c r="AC40" s="130" t="e">
        <f t="shared" si="12"/>
        <v>#VALUE!</v>
      </c>
      <c r="AD40" s="130" t="e">
        <f t="shared" si="13"/>
        <v>#VALUE!</v>
      </c>
      <c r="AE40" s="130" t="e">
        <f t="shared" si="14"/>
        <v>#VALUE!</v>
      </c>
      <c r="AF40" s="130" t="e">
        <f t="shared" si="15"/>
        <v>#VALUE!</v>
      </c>
      <c r="AG40" s="130" t="e">
        <f t="shared" si="16"/>
        <v>#VALUE!</v>
      </c>
      <c r="AH40" s="130" t="e">
        <f t="shared" si="17"/>
        <v>#VALUE!</v>
      </c>
      <c r="AI40" s="130" t="e">
        <f t="shared" si="18"/>
        <v>#VALUE!</v>
      </c>
      <c r="AJ40" s="43"/>
      <c r="AK40" s="47"/>
      <c r="AL40" s="49" t="s">
        <v>120</v>
      </c>
      <c r="AM40" s="47"/>
      <c r="AN40" s="47"/>
      <c r="AO40" s="47"/>
      <c r="AP40" s="62" t="s">
        <v>46</v>
      </c>
      <c r="AQ40" s="67" t="s">
        <v>80</v>
      </c>
      <c r="AR40" s="47"/>
    </row>
    <row r="41" spans="1:44" ht="21.75" customHeight="1" thickBot="1">
      <c r="A41" s="50" t="s">
        <v>4</v>
      </c>
      <c r="B41" s="78"/>
      <c r="C41" s="41"/>
      <c r="D41" s="41">
        <v>20</v>
      </c>
      <c r="G41" s="185" t="e">
        <f>_xll.DBRA(Server&amp;$A$21,$A41,$H$18)</f>
        <v>#N/A</v>
      </c>
      <c r="H41" s="186"/>
      <c r="I41" s="126" t="e">
        <f>_xll.DBRW($G$3,$H$15,$H$17,$H$13,$H$16,$H$14,I$2,$H$12,$A41)</f>
        <v>#VALUE!</v>
      </c>
      <c r="J41" s="127" t="e">
        <f>_xll.DBRW($G$3,$H$15,$H$17,$H$13,$H$16,$H$14,J$2,$H$12,$A41)</f>
        <v>#VALUE!</v>
      </c>
      <c r="K41" s="127" t="e">
        <f>_xll.DBRW($G$3,$H$15,$H$17,$H$13,$H$16,$H$14,K$2,$H$12,$A41)</f>
        <v>#VALUE!</v>
      </c>
      <c r="L41" s="127" t="e">
        <f>_xll.DBRW($G$3,$H$15,$H$17,$H$13,$H$16,$H$14,L$2,$H$12,$A41)</f>
        <v>#VALUE!</v>
      </c>
      <c r="M41" s="127" t="e">
        <f>_xll.DBRW($G$3,$H$15,$H$17,$H$13,$H$16,$H$14,M$2,$H$12,$A41)</f>
        <v>#VALUE!</v>
      </c>
      <c r="N41" s="127" t="e">
        <f>_xll.DBRW($G$3,$H$15,$H$17,$H$13,$H$16,$H$14,N$2,$H$12,$A41)</f>
        <v>#VALUE!</v>
      </c>
      <c r="O41" s="127" t="e">
        <f>_xll.DBRW($G$3,$H$15,$H$17,$H$13,$H$16,$H$14,O$2,$H$12,$A41)</f>
        <v>#VALUE!</v>
      </c>
      <c r="P41" s="128" t="e">
        <f>_xll.DBRW($G$3,$H$15,$H$17,$H$13,$H$16,$H$14,P$2,$H$12,$A41)</f>
        <v>#VALUE!</v>
      </c>
      <c r="Q41" s="131"/>
      <c r="R41" s="131"/>
      <c r="S41" s="126" t="e">
        <f>_xll.DBRW($G$3,$U$15,$H$17,$U$13,$U$16,$U$14,S$2,$U$12,$A41)</f>
        <v>#VALUE!</v>
      </c>
      <c r="T41" s="127" t="e">
        <f>_xll.DBRW($G$3,$U$15,$H$17,$U$13,$U$16,$U$14,T$2,$U$12,$A41)</f>
        <v>#VALUE!</v>
      </c>
      <c r="U41" s="127" t="e">
        <f>_xll.DBRW($G$3,$U$15,$H$17,$U$13,$U$16,$U$14,U$2,$U$12,$A41)</f>
        <v>#VALUE!</v>
      </c>
      <c r="V41" s="127" t="e">
        <f>_xll.DBRW($G$3,$U$15,$H$17,$U$13,$U$16,$U$14,V$2,$U$12,$A41)</f>
        <v>#VALUE!</v>
      </c>
      <c r="W41" s="127" t="e">
        <f>_xll.DBRW($G$3,$U$15,$H$17,$U$13,$U$16,$U$14,W$2,$U$12,$A41)</f>
        <v>#VALUE!</v>
      </c>
      <c r="X41" s="127" t="e">
        <f>_xll.DBRW($G$3,$U$15,$H$17,$U$13,$U$16,$U$14,X$2,$U$12,$A41)</f>
        <v>#VALUE!</v>
      </c>
      <c r="Y41" s="127" t="e">
        <f>_xll.DBRW($G$3,$U$15,$H$17,$U$13,$U$16,$U$14,Y$2,$U$12,$A41)</f>
        <v>#VALUE!</v>
      </c>
      <c r="Z41" s="128" t="e">
        <f>_xll.DBRW($G$3,$U$15,$H$17,$U$13,$U$16,$U$14,Z$2,$U$12,$A41)</f>
        <v>#VALUE!</v>
      </c>
      <c r="AA41" s="131"/>
      <c r="AB41" s="126" t="e">
        <f t="shared" si="21"/>
        <v>#VALUE!</v>
      </c>
      <c r="AC41" s="127" t="e">
        <f t="shared" si="12"/>
        <v>#VALUE!</v>
      </c>
      <c r="AD41" s="127" t="e">
        <f t="shared" si="13"/>
        <v>#VALUE!</v>
      </c>
      <c r="AE41" s="127" t="e">
        <f t="shared" si="14"/>
        <v>#VALUE!</v>
      </c>
      <c r="AF41" s="127" t="e">
        <f t="shared" si="15"/>
        <v>#VALUE!</v>
      </c>
      <c r="AG41" s="127" t="e">
        <f t="shared" si="16"/>
        <v>#VALUE!</v>
      </c>
      <c r="AH41" s="127" t="e">
        <f t="shared" si="17"/>
        <v>#VALUE!</v>
      </c>
      <c r="AI41" s="128" t="e">
        <f t="shared" si="18"/>
        <v>#VALUE!</v>
      </c>
      <c r="AJ41" s="43"/>
      <c r="AK41" s="59"/>
      <c r="AL41" s="60" t="s">
        <v>53</v>
      </c>
      <c r="AM41" s="63" t="e">
        <f>_xll.DBRA(Server&amp;"LTP_Components",$AL54,$H$18)</f>
        <v>#N/A</v>
      </c>
      <c r="AN41" s="61" t="e">
        <f>IF($AN$28 = "1",$AM$28,$AM$29)</f>
        <v>#N/A</v>
      </c>
      <c r="AO41" s="47"/>
      <c r="AP41" s="62" t="s">
        <v>57</v>
      </c>
      <c r="AQ41" s="62" t="s">
        <v>64</v>
      </c>
      <c r="AR41" s="47"/>
    </row>
    <row r="42" spans="1:44" ht="21.75" hidden="1" customHeight="1" outlineLevel="1" thickBot="1">
      <c r="A42" s="50" t="s">
        <v>145</v>
      </c>
      <c r="B42" s="78"/>
      <c r="C42" s="41"/>
      <c r="D42" s="41">
        <v>21</v>
      </c>
      <c r="G42" s="185" t="e">
        <f>_xll.DBRA(Server&amp;$A$21,$A42,$H$18)</f>
        <v>#N/A</v>
      </c>
      <c r="H42" s="186"/>
      <c r="I42" s="126" t="e">
        <f>_xll.DBRW($G$3,$H$15,$H$17,$H$13,$H$16,$H$14,I$2,$H$12,$A42)</f>
        <v>#VALUE!</v>
      </c>
      <c r="J42" s="127" t="e">
        <f>_xll.DBRW($G$3,$H$15,$H$17,$H$13,$H$16,$H$14,J$2,$H$12,$A42)</f>
        <v>#VALUE!</v>
      </c>
      <c r="K42" s="127" t="e">
        <f>_xll.DBRW($G$3,$H$15,$H$17,$H$13,$H$16,$H$14,K$2,$H$12,$A42)</f>
        <v>#VALUE!</v>
      </c>
      <c r="L42" s="127" t="e">
        <f>_xll.DBRW($G$3,$H$15,$H$17,$H$13,$H$16,$H$14,L$2,$H$12,$A42)</f>
        <v>#VALUE!</v>
      </c>
      <c r="M42" s="127" t="e">
        <f>_xll.DBRW($G$3,$H$15,$H$17,$H$13,$H$16,$H$14,M$2,$H$12,$A42)</f>
        <v>#VALUE!</v>
      </c>
      <c r="N42" s="127" t="e">
        <f>_xll.DBRW($G$3,$H$15,$H$17,$H$13,$H$16,$H$14,N$2,$H$12,$A42)</f>
        <v>#VALUE!</v>
      </c>
      <c r="O42" s="127" t="e">
        <f>_xll.DBRW($G$3,$H$15,$H$17,$H$13,$H$16,$H$14,O$2,$H$12,$A42)</f>
        <v>#VALUE!</v>
      </c>
      <c r="P42" s="128" t="e">
        <f>_xll.DBRW($G$3,$H$15,$H$17,$H$13,$H$16,$H$14,P$2,$H$12,$A42)</f>
        <v>#VALUE!</v>
      </c>
      <c r="Q42" s="131"/>
      <c r="R42" s="131"/>
      <c r="S42" s="126" t="e">
        <f>_xll.DBRW($G$3,$U$15,$H$17,$U$13,$U$16,$U$14,S$2,$U$12,$A42)</f>
        <v>#VALUE!</v>
      </c>
      <c r="T42" s="127" t="e">
        <f>_xll.DBRW($G$3,$U$15,$H$17,$U$13,$U$16,$U$14,T$2,$U$12,$A42)</f>
        <v>#VALUE!</v>
      </c>
      <c r="U42" s="127" t="e">
        <f>_xll.DBRW($G$3,$U$15,$H$17,$U$13,$U$16,$U$14,U$2,$U$12,$A42)</f>
        <v>#VALUE!</v>
      </c>
      <c r="V42" s="127" t="e">
        <f>_xll.DBRW($G$3,$U$15,$H$17,$U$13,$U$16,$U$14,V$2,$U$12,$A42)</f>
        <v>#VALUE!</v>
      </c>
      <c r="W42" s="127" t="e">
        <f>_xll.DBRW($G$3,$U$15,$H$17,$U$13,$U$16,$U$14,W$2,$U$12,$A42)</f>
        <v>#VALUE!</v>
      </c>
      <c r="X42" s="127" t="e">
        <f>_xll.DBRW($G$3,$U$15,$H$17,$U$13,$U$16,$U$14,X$2,$U$12,$A42)</f>
        <v>#VALUE!</v>
      </c>
      <c r="Y42" s="127" t="e">
        <f>_xll.DBRW($G$3,$U$15,$H$17,$U$13,$U$16,$U$14,Y$2,$U$12,$A42)</f>
        <v>#VALUE!</v>
      </c>
      <c r="Z42" s="128" t="e">
        <f>_xll.DBRW($G$3,$U$15,$H$17,$U$13,$U$16,$U$14,Z$2,$U$12,$A42)</f>
        <v>#VALUE!</v>
      </c>
      <c r="AA42" s="131"/>
      <c r="AB42" s="126" t="e">
        <f t="shared" si="21"/>
        <v>#VALUE!</v>
      </c>
      <c r="AC42" s="127" t="e">
        <f t="shared" si="12"/>
        <v>#VALUE!</v>
      </c>
      <c r="AD42" s="127" t="e">
        <f t="shared" si="13"/>
        <v>#VALUE!</v>
      </c>
      <c r="AE42" s="127" t="e">
        <f t="shared" si="14"/>
        <v>#VALUE!</v>
      </c>
      <c r="AF42" s="127" t="e">
        <f t="shared" si="15"/>
        <v>#VALUE!</v>
      </c>
      <c r="AG42" s="127" t="e">
        <f t="shared" si="16"/>
        <v>#VALUE!</v>
      </c>
      <c r="AH42" s="127" t="e">
        <f t="shared" si="17"/>
        <v>#VALUE!</v>
      </c>
      <c r="AI42" s="128" t="e">
        <f t="shared" si="18"/>
        <v>#VALUE!</v>
      </c>
      <c r="AJ42" s="43"/>
      <c r="AK42" s="47"/>
      <c r="AL42" s="49"/>
      <c r="AM42" s="47"/>
      <c r="AN42" s="47"/>
      <c r="AO42" s="47"/>
      <c r="AP42" s="67"/>
      <c r="AQ42" s="67"/>
      <c r="AR42" s="47"/>
    </row>
    <row r="43" spans="1:44" ht="21.75" customHeight="1" collapsed="1" thickBot="1">
      <c r="A43" s="50" t="s">
        <v>5</v>
      </c>
      <c r="B43" s="64"/>
      <c r="C43" s="41"/>
      <c r="D43" s="41">
        <v>22</v>
      </c>
      <c r="G43" s="192" t="e">
        <f>_xll.DBRA(Server&amp;$A$21,$A43,$H$18)</f>
        <v>#N/A</v>
      </c>
      <c r="H43" s="193"/>
      <c r="I43" s="134" t="e">
        <f>_xll.DBRW($G$3,$H$15,$H$17,$H$13,$H$16,$H$14,I$2,$H$12,$A43)</f>
        <v>#VALUE!</v>
      </c>
      <c r="J43" s="134" t="e">
        <f>_xll.DBRW($G$3,$H$15,$H$17,$H$13,$H$16,$H$14,J$2,$H$12,$A43)</f>
        <v>#VALUE!</v>
      </c>
      <c r="K43" s="134" t="e">
        <f>_xll.DBRW($G$3,$H$15,$H$17,$H$13,$H$16,$H$14,K$2,$H$12,$A43)</f>
        <v>#VALUE!</v>
      </c>
      <c r="L43" s="134" t="e">
        <f>_xll.DBRW($G$3,$H$15,$H$17,$H$13,$H$16,$H$14,L$2,$H$12,$A43)</f>
        <v>#VALUE!</v>
      </c>
      <c r="M43" s="134" t="e">
        <f>_xll.DBRW($G$3,$H$15,$H$17,$H$13,$H$16,$H$14,M$2,$H$12,$A43)</f>
        <v>#VALUE!</v>
      </c>
      <c r="N43" s="134" t="e">
        <f>_xll.DBRW($G$3,$H$15,$H$17,$H$13,$H$16,$H$14,N$2,$H$12,$A43)</f>
        <v>#VALUE!</v>
      </c>
      <c r="O43" s="134" t="e">
        <f>_xll.DBRW($G$3,$H$15,$H$17,$H$13,$H$16,$H$14,O$2,$H$12,$A43)</f>
        <v>#VALUE!</v>
      </c>
      <c r="P43" s="134" t="e">
        <f>_xll.DBRW($G$3,$H$15,$H$17,$H$13,$H$16,$H$14,P$2,$H$12,$A43)</f>
        <v>#VALUE!</v>
      </c>
      <c r="Q43" s="131" t="e">
        <f>SUM(I43:P43)-SUM(I40:P42)</f>
        <v>#VALUE!</v>
      </c>
      <c r="R43" s="131"/>
      <c r="S43" s="134" t="e">
        <f>_xll.DBRW($G$3,$U$15,$H$17,$U$13,$U$16,$U$14,S$2,$U$12,$A43)</f>
        <v>#VALUE!</v>
      </c>
      <c r="T43" s="134" t="e">
        <f>_xll.DBRW($G$3,$U$15,$H$17,$U$13,$U$16,$U$14,T$2,$U$12,$A43)</f>
        <v>#VALUE!</v>
      </c>
      <c r="U43" s="134" t="e">
        <f>_xll.DBRW($G$3,$U$15,$H$17,$U$13,$U$16,$U$14,U$2,$U$12,$A43)</f>
        <v>#VALUE!</v>
      </c>
      <c r="V43" s="134" t="e">
        <f>_xll.DBRW($G$3,$U$15,$H$17,$U$13,$U$16,$U$14,V$2,$U$12,$A43)</f>
        <v>#VALUE!</v>
      </c>
      <c r="W43" s="134" t="e">
        <f>_xll.DBRW($G$3,$U$15,$H$17,$U$13,$U$16,$U$14,W$2,$U$12,$A43)</f>
        <v>#VALUE!</v>
      </c>
      <c r="X43" s="134" t="e">
        <f>_xll.DBRW($G$3,$U$15,$H$17,$U$13,$U$16,$U$14,X$2,$U$12,$A43)</f>
        <v>#VALUE!</v>
      </c>
      <c r="Y43" s="134" t="e">
        <f>_xll.DBRW($G$3,$U$15,$H$17,$U$13,$U$16,$U$14,Y$2,$U$12,$A43)</f>
        <v>#VALUE!</v>
      </c>
      <c r="Z43" s="134" t="e">
        <f>_xll.DBRW($G$3,$U$15,$H$17,$U$13,$U$16,$U$14,Z$2,$U$12,$A43)</f>
        <v>#VALUE!</v>
      </c>
      <c r="AA43" s="131" t="e">
        <f>SUM(S43:Z43)-SUM(S40:Z42)</f>
        <v>#VALUE!</v>
      </c>
      <c r="AB43" s="134" t="e">
        <f t="shared" si="21"/>
        <v>#VALUE!</v>
      </c>
      <c r="AC43" s="134" t="e">
        <f t="shared" si="12"/>
        <v>#VALUE!</v>
      </c>
      <c r="AD43" s="134" t="e">
        <f t="shared" si="13"/>
        <v>#VALUE!</v>
      </c>
      <c r="AE43" s="134" t="e">
        <f t="shared" si="14"/>
        <v>#VALUE!</v>
      </c>
      <c r="AF43" s="134" t="e">
        <f t="shared" si="15"/>
        <v>#VALUE!</v>
      </c>
      <c r="AG43" s="134" t="e">
        <f t="shared" si="16"/>
        <v>#VALUE!</v>
      </c>
      <c r="AH43" s="134" t="e">
        <f t="shared" si="17"/>
        <v>#VALUE!</v>
      </c>
      <c r="AI43" s="134" t="e">
        <f t="shared" si="18"/>
        <v>#VALUE!</v>
      </c>
      <c r="AJ43" s="43"/>
      <c r="AK43" s="47"/>
      <c r="AL43" s="49"/>
      <c r="AM43" s="47"/>
      <c r="AN43" s="47"/>
      <c r="AO43" s="47"/>
      <c r="AP43" s="67"/>
      <c r="AQ43" s="67"/>
      <c r="AR43" s="47"/>
    </row>
    <row r="44" spans="1:44" ht="21.75" customHeight="1" thickBot="1">
      <c r="A44" s="50" t="s">
        <v>6</v>
      </c>
      <c r="B44" s="41"/>
      <c r="C44" s="41"/>
      <c r="D44" s="41">
        <v>23</v>
      </c>
      <c r="G44" s="185" t="e">
        <f>_xll.DBRA(Server&amp;$A$21,$A44,$H$18)</f>
        <v>#N/A</v>
      </c>
      <c r="H44" s="186"/>
      <c r="I44" s="126" t="e">
        <f>_xll.DBRW($G$3,$H$15,$H$17,$H$13,$H$16,$H$14,I$2,$H$12,$A44)</f>
        <v>#VALUE!</v>
      </c>
      <c r="J44" s="127" t="e">
        <f>_xll.DBRW($G$3,$H$15,$H$17,$H$13,$H$16,$H$14,J$2,$H$12,$A44)</f>
        <v>#VALUE!</v>
      </c>
      <c r="K44" s="127" t="e">
        <f>_xll.DBRW($G$3,$H$15,$H$17,$H$13,$H$16,$H$14,K$2,$H$12,$A44)</f>
        <v>#VALUE!</v>
      </c>
      <c r="L44" s="127" t="e">
        <f>_xll.DBRW($G$3,$H$15,$H$17,$H$13,$H$16,$H$14,L$2,$H$12,$A44)</f>
        <v>#VALUE!</v>
      </c>
      <c r="M44" s="127" t="e">
        <f>_xll.DBRW($G$3,$H$15,$H$17,$H$13,$H$16,$H$14,M$2,$H$12,$A44)</f>
        <v>#VALUE!</v>
      </c>
      <c r="N44" s="127" t="e">
        <f>_xll.DBRW($G$3,$H$15,$H$17,$H$13,$H$16,$H$14,N$2,$H$12,$A44)</f>
        <v>#VALUE!</v>
      </c>
      <c r="O44" s="127" t="e">
        <f>_xll.DBRW($G$3,$H$15,$H$17,$H$13,$H$16,$H$14,O$2,$H$12,$A44)</f>
        <v>#VALUE!</v>
      </c>
      <c r="P44" s="128" t="e">
        <f>_xll.DBRW($G$3,$H$15,$H$17,$H$13,$H$16,$H$14,P$2,$H$12,$A44)</f>
        <v>#VALUE!</v>
      </c>
      <c r="Q44" s="131"/>
      <c r="R44" s="131"/>
      <c r="S44" s="126" t="e">
        <f>_xll.DBRW($G$3,$U$15,$H$17,$U$13,$U$16,$U$14,S$2,$U$12,$A44)</f>
        <v>#VALUE!</v>
      </c>
      <c r="T44" s="127" t="e">
        <f>_xll.DBRW($G$3,$U$15,$H$17,$U$13,$U$16,$U$14,T$2,$U$12,$A44)</f>
        <v>#VALUE!</v>
      </c>
      <c r="U44" s="127" t="e">
        <f>_xll.DBRW($G$3,$U$15,$H$17,$U$13,$U$16,$U$14,U$2,$U$12,$A44)</f>
        <v>#VALUE!</v>
      </c>
      <c r="V44" s="127" t="e">
        <f>_xll.DBRW($G$3,$U$15,$H$17,$U$13,$U$16,$U$14,V$2,$U$12,$A44)</f>
        <v>#VALUE!</v>
      </c>
      <c r="W44" s="127" t="e">
        <f>_xll.DBRW($G$3,$U$15,$H$17,$U$13,$U$16,$U$14,W$2,$U$12,$A44)</f>
        <v>#VALUE!</v>
      </c>
      <c r="X44" s="127" t="e">
        <f>_xll.DBRW($G$3,$U$15,$H$17,$U$13,$U$16,$U$14,X$2,$U$12,$A44)</f>
        <v>#VALUE!</v>
      </c>
      <c r="Y44" s="127" t="e">
        <f>_xll.DBRW($G$3,$U$15,$H$17,$U$13,$U$16,$U$14,Y$2,$U$12,$A44)</f>
        <v>#VALUE!</v>
      </c>
      <c r="Z44" s="128" t="e">
        <f>_xll.DBRW($G$3,$U$15,$H$17,$U$13,$U$16,$U$14,Z$2,$U$12,$A44)</f>
        <v>#VALUE!</v>
      </c>
      <c r="AA44" s="131"/>
      <c r="AB44" s="126" t="e">
        <f t="shared" si="21"/>
        <v>#VALUE!</v>
      </c>
      <c r="AC44" s="127" t="e">
        <f t="shared" si="12"/>
        <v>#VALUE!</v>
      </c>
      <c r="AD44" s="127" t="e">
        <f t="shared" si="13"/>
        <v>#VALUE!</v>
      </c>
      <c r="AE44" s="127" t="e">
        <f t="shared" si="14"/>
        <v>#VALUE!</v>
      </c>
      <c r="AF44" s="127" t="e">
        <f t="shared" si="15"/>
        <v>#VALUE!</v>
      </c>
      <c r="AG44" s="127" t="e">
        <f t="shared" si="16"/>
        <v>#VALUE!</v>
      </c>
      <c r="AH44" s="127" t="e">
        <f t="shared" si="17"/>
        <v>#VALUE!</v>
      </c>
      <c r="AI44" s="128" t="e">
        <f t="shared" si="18"/>
        <v>#VALUE!</v>
      </c>
      <c r="AJ44" s="43"/>
      <c r="AK44" s="47"/>
      <c r="AL44" s="49" t="s">
        <v>121</v>
      </c>
      <c r="AM44" s="47"/>
      <c r="AN44" s="47"/>
      <c r="AO44" s="47"/>
      <c r="AP44" s="47" t="s">
        <v>44</v>
      </c>
      <c r="AQ44" s="47"/>
      <c r="AR44" s="47"/>
    </row>
    <row r="45" spans="1:44" ht="21.75" customHeight="1" thickBot="1">
      <c r="A45" s="50" t="s">
        <v>7</v>
      </c>
      <c r="B45" s="64"/>
      <c r="C45" s="41"/>
      <c r="D45" s="41">
        <v>24</v>
      </c>
      <c r="G45" s="192" t="e">
        <f>_xll.DBRA(Server&amp;$A$21,$A45,$H$18)</f>
        <v>#N/A</v>
      </c>
      <c r="H45" s="193"/>
      <c r="I45" s="134" t="e">
        <f>_xll.DBRW($G$3,$H$15,$H$17,$H$13,$H$16,$H$14,I$2,$H$12,$A45)</f>
        <v>#VALUE!</v>
      </c>
      <c r="J45" s="134" t="e">
        <f>_xll.DBRW($G$3,$H$15,$H$17,$H$13,$H$16,$H$14,J$2,$H$12,$A45)</f>
        <v>#VALUE!</v>
      </c>
      <c r="K45" s="134" t="e">
        <f>_xll.DBRW($G$3,$H$15,$H$17,$H$13,$H$16,$H$14,K$2,$H$12,$A45)</f>
        <v>#VALUE!</v>
      </c>
      <c r="L45" s="134" t="e">
        <f>_xll.DBRW($G$3,$H$15,$H$17,$H$13,$H$16,$H$14,L$2,$H$12,$A45)</f>
        <v>#VALUE!</v>
      </c>
      <c r="M45" s="134" t="e">
        <f>_xll.DBRW($G$3,$H$15,$H$17,$H$13,$H$16,$H$14,M$2,$H$12,$A45)</f>
        <v>#VALUE!</v>
      </c>
      <c r="N45" s="134" t="e">
        <f>_xll.DBRW($G$3,$H$15,$H$17,$H$13,$H$16,$H$14,N$2,$H$12,$A45)</f>
        <v>#VALUE!</v>
      </c>
      <c r="O45" s="134" t="e">
        <f>_xll.DBRW($G$3,$H$15,$H$17,$H$13,$H$16,$H$14,O$2,$H$12,$A45)</f>
        <v>#VALUE!</v>
      </c>
      <c r="P45" s="134" t="e">
        <f>_xll.DBRW($G$3,$H$15,$H$17,$H$13,$H$16,$H$14,P$2,$H$12,$A45)</f>
        <v>#VALUE!</v>
      </c>
      <c r="Q45" s="131" t="e">
        <f>SUM(I45:P45)-SUM(I43:P44)</f>
        <v>#VALUE!</v>
      </c>
      <c r="R45" s="131"/>
      <c r="S45" s="134" t="e">
        <f>_xll.DBRW($G$3,$U$15,$H$17,$U$13,$U$16,$U$14,S$2,$U$12,$A45)</f>
        <v>#VALUE!</v>
      </c>
      <c r="T45" s="134" t="e">
        <f>_xll.DBRW($G$3,$U$15,$H$17,$U$13,$U$16,$U$14,T$2,$U$12,$A45)</f>
        <v>#VALUE!</v>
      </c>
      <c r="U45" s="134" t="e">
        <f>_xll.DBRW($G$3,$U$15,$H$17,$U$13,$U$16,$U$14,U$2,$U$12,$A45)</f>
        <v>#VALUE!</v>
      </c>
      <c r="V45" s="134" t="e">
        <f>_xll.DBRW($G$3,$U$15,$H$17,$U$13,$U$16,$U$14,V$2,$U$12,$A45)</f>
        <v>#VALUE!</v>
      </c>
      <c r="W45" s="134" t="e">
        <f>_xll.DBRW($G$3,$U$15,$H$17,$U$13,$U$16,$U$14,W$2,$U$12,$A45)</f>
        <v>#VALUE!</v>
      </c>
      <c r="X45" s="134" t="e">
        <f>_xll.DBRW($G$3,$U$15,$H$17,$U$13,$U$16,$U$14,X$2,$U$12,$A45)</f>
        <v>#VALUE!</v>
      </c>
      <c r="Y45" s="134" t="e">
        <f>_xll.DBRW($G$3,$U$15,$H$17,$U$13,$U$16,$U$14,Y$2,$U$12,$A45)</f>
        <v>#VALUE!</v>
      </c>
      <c r="Z45" s="134" t="e">
        <f>_xll.DBRW($G$3,$U$15,$H$17,$U$13,$U$16,$U$14,Z$2,$U$12,$A45)</f>
        <v>#VALUE!</v>
      </c>
      <c r="AA45" s="131" t="e">
        <f>SUM(S45:Z45)-SUM(S43:Z44)</f>
        <v>#VALUE!</v>
      </c>
      <c r="AB45" s="134" t="e">
        <f t="shared" si="21"/>
        <v>#VALUE!</v>
      </c>
      <c r="AC45" s="134" t="e">
        <f t="shared" si="12"/>
        <v>#VALUE!</v>
      </c>
      <c r="AD45" s="134" t="e">
        <f t="shared" si="13"/>
        <v>#VALUE!</v>
      </c>
      <c r="AE45" s="134" t="e">
        <f t="shared" si="14"/>
        <v>#VALUE!</v>
      </c>
      <c r="AF45" s="134" t="e">
        <f t="shared" si="15"/>
        <v>#VALUE!</v>
      </c>
      <c r="AG45" s="134" t="e">
        <f t="shared" si="16"/>
        <v>#VALUE!</v>
      </c>
      <c r="AH45" s="134" t="e">
        <f t="shared" si="17"/>
        <v>#VALUE!</v>
      </c>
      <c r="AI45" s="134" t="e">
        <f t="shared" si="18"/>
        <v>#VALUE!</v>
      </c>
      <c r="AJ45" s="43"/>
      <c r="AK45" s="47"/>
      <c r="AL45" s="49"/>
      <c r="AM45" s="47"/>
      <c r="AN45" s="47"/>
      <c r="AO45" s="47"/>
      <c r="AP45" s="47"/>
      <c r="AQ45" s="47"/>
      <c r="AR45" s="47"/>
    </row>
    <row r="46" spans="1:44" s="94" customFormat="1" ht="21.75" customHeight="1">
      <c r="A46" s="89" t="s">
        <v>158</v>
      </c>
      <c r="B46" s="90"/>
      <c r="C46" s="91"/>
      <c r="D46" s="41">
        <v>25</v>
      </c>
      <c r="E46" s="92"/>
      <c r="F46" s="93"/>
      <c r="G46" s="132" t="str">
        <f>IF(H18="English","        Net profit GS margin (% ROA)","        Marge RNPG (%PAO)")</f>
        <v xml:space="preserve">        Net profit GS margin (% ROA)</v>
      </c>
      <c r="H46" s="132"/>
      <c r="I46" s="133">
        <f t="shared" ref="I46:Z46" si="24">IF(ISERROR(+I$45/I$26)=TRUE,0,+I$45/I$26)</f>
        <v>0</v>
      </c>
      <c r="J46" s="133">
        <f t="shared" si="24"/>
        <v>0</v>
      </c>
      <c r="K46" s="133">
        <f t="shared" si="24"/>
        <v>0</v>
      </c>
      <c r="L46" s="133">
        <f t="shared" si="24"/>
        <v>0</v>
      </c>
      <c r="M46" s="133">
        <f t="shared" si="24"/>
        <v>0</v>
      </c>
      <c r="N46" s="133">
        <f t="shared" si="24"/>
        <v>0</v>
      </c>
      <c r="O46" s="133">
        <f t="shared" si="24"/>
        <v>0</v>
      </c>
      <c r="P46" s="133">
        <f t="shared" si="24"/>
        <v>0</v>
      </c>
      <c r="Q46" s="131"/>
      <c r="R46" s="131"/>
      <c r="S46" s="133">
        <f t="shared" si="24"/>
        <v>0</v>
      </c>
      <c r="T46" s="133">
        <f t="shared" si="24"/>
        <v>0</v>
      </c>
      <c r="U46" s="133">
        <f t="shared" si="24"/>
        <v>0</v>
      </c>
      <c r="V46" s="133">
        <f t="shared" si="24"/>
        <v>0</v>
      </c>
      <c r="W46" s="133">
        <f t="shared" si="24"/>
        <v>0</v>
      </c>
      <c r="X46" s="133">
        <f t="shared" si="24"/>
        <v>0</v>
      </c>
      <c r="Y46" s="133">
        <f t="shared" si="24"/>
        <v>0</v>
      </c>
      <c r="Z46" s="133">
        <f t="shared" si="24"/>
        <v>0</v>
      </c>
      <c r="AA46" s="131"/>
      <c r="AB46" s="133">
        <f t="shared" si="21"/>
        <v>0</v>
      </c>
      <c r="AC46" s="133">
        <f t="shared" si="12"/>
        <v>0</v>
      </c>
      <c r="AD46" s="133">
        <f t="shared" si="13"/>
        <v>0</v>
      </c>
      <c r="AE46" s="133">
        <f t="shared" si="14"/>
        <v>0</v>
      </c>
      <c r="AF46" s="133">
        <f t="shared" si="15"/>
        <v>0</v>
      </c>
      <c r="AG46" s="133">
        <f t="shared" si="16"/>
        <v>0</v>
      </c>
      <c r="AH46" s="133">
        <f t="shared" si="17"/>
        <v>0</v>
      </c>
      <c r="AI46" s="133">
        <f t="shared" si="18"/>
        <v>0</v>
      </c>
      <c r="AK46" s="98"/>
      <c r="AL46" s="100" t="s">
        <v>82</v>
      </c>
      <c r="AM46" s="98"/>
      <c r="AN46" s="98"/>
      <c r="AO46" s="98"/>
      <c r="AP46" s="101"/>
      <c r="AQ46" s="101"/>
      <c r="AR46" s="98"/>
    </row>
    <row r="47" spans="1:44" ht="24.75" customHeight="1">
      <c r="A47" s="41"/>
      <c r="B47" s="41"/>
      <c r="C47" s="41"/>
      <c r="D47" s="41">
        <v>26</v>
      </c>
      <c r="G47" s="135"/>
      <c r="H47" s="136" t="s">
        <v>8</v>
      </c>
      <c r="I47" s="137"/>
      <c r="J47" s="137"/>
      <c r="K47" s="137"/>
      <c r="L47" s="137"/>
      <c r="M47" s="137"/>
      <c r="N47" s="137"/>
      <c r="O47" s="137"/>
      <c r="P47" s="137"/>
      <c r="Q47" s="131"/>
      <c r="R47" s="131"/>
      <c r="S47" s="137"/>
      <c r="T47" s="137"/>
      <c r="U47" s="137"/>
      <c r="V47" s="137"/>
      <c r="W47" s="137"/>
      <c r="X47" s="137"/>
      <c r="Y47" s="137"/>
      <c r="Z47" s="137"/>
      <c r="AA47" s="131"/>
      <c r="AB47" s="137"/>
      <c r="AC47" s="137"/>
      <c r="AD47" s="137"/>
      <c r="AE47" s="137"/>
      <c r="AF47" s="137"/>
      <c r="AG47" s="137"/>
      <c r="AH47" s="137"/>
      <c r="AI47" s="137"/>
      <c r="AJ47" s="43"/>
      <c r="AK47" s="47"/>
      <c r="AL47" s="49"/>
      <c r="AM47" s="47"/>
      <c r="AN47" s="47"/>
      <c r="AO47" s="47"/>
      <c r="AP47" s="67" t="s">
        <v>82</v>
      </c>
      <c r="AQ47" s="47"/>
      <c r="AR47" s="47"/>
    </row>
    <row r="48" spans="1:44" s="119" customFormat="1" ht="27.75" customHeight="1">
      <c r="A48" s="115"/>
      <c r="B48" s="115"/>
      <c r="C48" s="115"/>
      <c r="D48" s="115">
        <v>27</v>
      </c>
      <c r="E48" s="116"/>
      <c r="F48" s="117"/>
      <c r="G48" s="187" t="e">
        <f>_xll.DBRA(Server&amp;$AL$25,$AL$51,$H$18)</f>
        <v>#N/A</v>
      </c>
      <c r="H48" s="187"/>
      <c r="I48" s="121" t="e">
        <f>I$21</f>
        <v>#VALUE!</v>
      </c>
      <c r="J48" s="121" t="e">
        <f t="shared" ref="J48:P48" si="25">J$21</f>
        <v>#VALUE!</v>
      </c>
      <c r="K48" s="121" t="e">
        <f t="shared" si="25"/>
        <v>#VALUE!</v>
      </c>
      <c r="L48" s="121" t="e">
        <f t="shared" si="25"/>
        <v>#VALUE!</v>
      </c>
      <c r="M48" s="121" t="e">
        <f t="shared" si="25"/>
        <v>#VALUE!</v>
      </c>
      <c r="N48" s="121" t="e">
        <f t="shared" si="25"/>
        <v>#VALUE!</v>
      </c>
      <c r="O48" s="121" t="e">
        <f t="shared" si="25"/>
        <v>#VALUE!</v>
      </c>
      <c r="P48" s="121" t="e">
        <f t="shared" si="25"/>
        <v>#VALUE!</v>
      </c>
      <c r="Q48" s="131"/>
      <c r="R48" s="131"/>
      <c r="S48" s="121" t="e">
        <f>S$21</f>
        <v>#VALUE!</v>
      </c>
      <c r="T48" s="121" t="e">
        <f t="shared" ref="T48:Z48" si="26">T$21</f>
        <v>#VALUE!</v>
      </c>
      <c r="U48" s="121" t="e">
        <f t="shared" si="26"/>
        <v>#VALUE!</v>
      </c>
      <c r="V48" s="121" t="e">
        <f t="shared" si="26"/>
        <v>#VALUE!</v>
      </c>
      <c r="W48" s="121" t="e">
        <f t="shared" si="26"/>
        <v>#VALUE!</v>
      </c>
      <c r="X48" s="121" t="e">
        <f t="shared" si="26"/>
        <v>#VALUE!</v>
      </c>
      <c r="Y48" s="121" t="e">
        <f t="shared" si="26"/>
        <v>#VALUE!</v>
      </c>
      <c r="Z48" s="121" t="e">
        <f t="shared" si="26"/>
        <v>#VALUE!</v>
      </c>
      <c r="AA48" s="131"/>
      <c r="AB48" s="121" t="e">
        <f>I48</f>
        <v>#VALUE!</v>
      </c>
      <c r="AC48" s="121" t="e">
        <f t="shared" ref="AC48:AI48" si="27">J48</f>
        <v>#VALUE!</v>
      </c>
      <c r="AD48" s="121" t="e">
        <f t="shared" si="27"/>
        <v>#VALUE!</v>
      </c>
      <c r="AE48" s="121" t="e">
        <f t="shared" si="27"/>
        <v>#VALUE!</v>
      </c>
      <c r="AF48" s="121" t="e">
        <f t="shared" si="27"/>
        <v>#VALUE!</v>
      </c>
      <c r="AG48" s="121" t="e">
        <f t="shared" si="27"/>
        <v>#VALUE!</v>
      </c>
      <c r="AH48" s="121" t="e">
        <f t="shared" si="27"/>
        <v>#VALUE!</v>
      </c>
      <c r="AI48" s="121" t="e">
        <f t="shared" si="27"/>
        <v>#VALUE!</v>
      </c>
      <c r="AK48" s="161"/>
      <c r="AL48" s="162"/>
      <c r="AM48" s="161"/>
      <c r="AN48" s="161"/>
      <c r="AO48" s="161"/>
      <c r="AP48" s="163" t="s">
        <v>82</v>
      </c>
      <c r="AQ48" s="161"/>
      <c r="AR48" s="161"/>
    </row>
    <row r="49" spans="1:44" ht="6.75" customHeight="1" thickBot="1">
      <c r="A49" s="41"/>
      <c r="B49" s="41"/>
      <c r="C49" s="41"/>
      <c r="D49" s="41">
        <v>28</v>
      </c>
      <c r="G49" s="123"/>
      <c r="H49" s="124"/>
      <c r="I49" s="125"/>
      <c r="J49" s="125"/>
      <c r="K49" s="125"/>
      <c r="L49" s="125"/>
      <c r="M49" s="125"/>
      <c r="N49" s="125"/>
      <c r="O49" s="125"/>
      <c r="P49" s="125"/>
      <c r="Q49" s="131"/>
      <c r="R49" s="131"/>
      <c r="S49" s="125"/>
      <c r="T49" s="125"/>
      <c r="U49" s="125"/>
      <c r="V49" s="125"/>
      <c r="W49" s="125"/>
      <c r="X49" s="125"/>
      <c r="Y49" s="125"/>
      <c r="Z49" s="125"/>
      <c r="AA49" s="131"/>
      <c r="AB49" s="125"/>
      <c r="AC49" s="125"/>
      <c r="AD49" s="125"/>
      <c r="AE49" s="125"/>
      <c r="AF49" s="125"/>
      <c r="AG49" s="125"/>
      <c r="AH49" s="125"/>
      <c r="AI49" s="125"/>
      <c r="AJ49" s="43"/>
      <c r="AK49" s="47"/>
      <c r="AL49" s="49" t="s">
        <v>62</v>
      </c>
      <c r="AM49" s="43"/>
      <c r="AN49" s="47"/>
      <c r="AO49" s="47"/>
      <c r="AP49" s="47"/>
      <c r="AQ49" s="47"/>
      <c r="AR49" s="47"/>
    </row>
    <row r="50" spans="1:44" ht="21.75" customHeight="1" thickBot="1">
      <c r="A50" s="50" t="s">
        <v>50</v>
      </c>
      <c r="B50" s="64"/>
      <c r="C50" s="41"/>
      <c r="D50" s="41">
        <v>29</v>
      </c>
      <c r="G50" s="194" t="e">
        <f>_xll.DBRA(Server&amp;$A$21,$A50,$H$18)</f>
        <v>#N/A</v>
      </c>
      <c r="H50" s="194"/>
      <c r="I50" s="138" t="e">
        <f>_xll.DBRW($G$3,$H$15,$H$17,$H$13,$H$16,$H$14,I$2,$H$12,$A50)</f>
        <v>#VALUE!</v>
      </c>
      <c r="J50" s="138" t="e">
        <f>_xll.DBRW($G$3,$H$15,$H$17,$H$13,$H$16,$H$14,J$2,$H$12,$A50)</f>
        <v>#VALUE!</v>
      </c>
      <c r="K50" s="138" t="e">
        <f>_xll.DBRW($G$3,$H$15,$H$17,$H$13,$H$16,$H$14,K$2,$H$12,$A50)</f>
        <v>#VALUE!</v>
      </c>
      <c r="L50" s="138" t="e">
        <f>_xll.DBRW($G$3,$H$15,$H$17,$H$13,$H$16,$H$14,L$2,$H$12,$A50)</f>
        <v>#VALUE!</v>
      </c>
      <c r="M50" s="138" t="e">
        <f>_xll.DBRW($G$3,$H$15,$H$17,$H$13,$H$16,$H$14,M$2,$H$12,$A50)</f>
        <v>#VALUE!</v>
      </c>
      <c r="N50" s="138" t="e">
        <f>_xll.DBRW($G$3,$H$15,$H$17,$H$13,$H$16,$H$14,N$2,$H$12,$A50)</f>
        <v>#VALUE!</v>
      </c>
      <c r="O50" s="138" t="e">
        <f>_xll.DBRW($G$3,$H$15,$H$17,$H$13,$H$16,$H$14,O$2,$H$12,$A50)</f>
        <v>#VALUE!</v>
      </c>
      <c r="P50" s="138" t="e">
        <f>_xll.DBRW($G$3,$H$15,$H$17,$H$13,$H$16,$H$14,P$2,$H$12,$A50)</f>
        <v>#VALUE!</v>
      </c>
      <c r="Q50" s="131" t="e">
        <f>SUM(I50:P50)-SUM(I36:P36)</f>
        <v>#VALUE!</v>
      </c>
      <c r="R50" s="131"/>
      <c r="S50" s="138" t="e">
        <f>_xll.DBRW($G$3,$U$15,$H$17,$U$13,$U$16,$U$14,S$2,$U$12,$A50)</f>
        <v>#VALUE!</v>
      </c>
      <c r="T50" s="138" t="e">
        <f>_xll.DBRW($G$3,$U$15,$H$17,$U$13,$U$16,$U$14,T$2,$U$12,$A50)</f>
        <v>#VALUE!</v>
      </c>
      <c r="U50" s="138" t="e">
        <f>_xll.DBRW($G$3,$U$15,$H$17,$U$13,$U$16,$U$14,U$2,$U$12,$A50)</f>
        <v>#VALUE!</v>
      </c>
      <c r="V50" s="138" t="e">
        <f>_xll.DBRW($G$3,$U$15,$H$17,$U$13,$U$16,$U$14,V$2,$U$12,$A50)</f>
        <v>#VALUE!</v>
      </c>
      <c r="W50" s="138" t="e">
        <f>_xll.DBRW($G$3,$U$15,$H$17,$U$13,$U$16,$U$14,W$2,$U$12,$A50)</f>
        <v>#VALUE!</v>
      </c>
      <c r="X50" s="138" t="e">
        <f>_xll.DBRW($G$3,$U$15,$H$17,$U$13,$U$16,$U$14,X$2,$U$12,$A50)</f>
        <v>#VALUE!</v>
      </c>
      <c r="Y50" s="138" t="e">
        <f>_xll.DBRW($G$3,$U$15,$H$17,$U$13,$U$16,$U$14,Y$2,$U$12,$A50)</f>
        <v>#VALUE!</v>
      </c>
      <c r="Z50" s="138" t="e">
        <f>_xll.DBRW($G$3,$U$15,$H$17,$U$13,$U$16,$U$14,Z$2,$U$12,$A50)</f>
        <v>#VALUE!</v>
      </c>
      <c r="AA50" s="131" t="e">
        <f>SUM(S50:Z50)-SUM(S36:Z36)</f>
        <v>#VALUE!</v>
      </c>
      <c r="AB50" s="134" t="e">
        <f t="shared" ref="AB50:AB85" si="28">U50-I50</f>
        <v>#VALUE!</v>
      </c>
      <c r="AC50" s="134" t="e">
        <f t="shared" ref="AC50:AC85" si="29">V50-J50</f>
        <v>#VALUE!</v>
      </c>
      <c r="AD50" s="134" t="e">
        <f t="shared" ref="AD50:AD85" si="30">W50-K50</f>
        <v>#VALUE!</v>
      </c>
      <c r="AE50" s="134" t="e">
        <f t="shared" ref="AE50:AE85" si="31">X50-L50</f>
        <v>#VALUE!</v>
      </c>
      <c r="AF50" s="134" t="e">
        <f t="shared" ref="AF50:AF85" si="32">Y50-M50</f>
        <v>#VALUE!</v>
      </c>
      <c r="AG50" s="134" t="e">
        <f t="shared" ref="AG50:AG85" si="33">Z50-N50</f>
        <v>#VALUE!</v>
      </c>
      <c r="AH50" s="134" t="e">
        <f t="shared" ref="AH50:AH85" si="34">AA50-O50</f>
        <v>#VALUE!</v>
      </c>
      <c r="AI50" s="134" t="e">
        <f t="shared" ref="AI50:AI85" si="35">AB50-P50</f>
        <v>#VALUE!</v>
      </c>
      <c r="AJ50" s="43"/>
      <c r="AK50" s="47"/>
      <c r="AL50" s="49" t="s">
        <v>63</v>
      </c>
      <c r="AM50" s="43"/>
      <c r="AN50" s="68"/>
      <c r="AO50" s="68"/>
      <c r="AP50" s="47"/>
      <c r="AQ50" s="47"/>
      <c r="AR50" s="47"/>
    </row>
    <row r="51" spans="1:44" ht="21.75" customHeight="1">
      <c r="A51" s="50" t="s">
        <v>135</v>
      </c>
      <c r="B51" s="41" t="s">
        <v>141</v>
      </c>
      <c r="C51" s="41"/>
      <c r="D51" s="41">
        <v>30</v>
      </c>
      <c r="G51" s="203" t="e">
        <f>_xll.DBRA(Server&amp;$A$21,$A51,$H$18)</f>
        <v>#N/A</v>
      </c>
      <c r="H51" s="203"/>
      <c r="I51" s="139" t="e">
        <f>_xll.DBRW($G$3,$H$15,$H$17,$H$13,$H$16,$H$14,I$2,$H$12,$B51)-_xll.DBRW($G$3,$H$15,$H$17,$H$13,$H$16,$H$14,I$2,$H$12,$A51)</f>
        <v>#VALUE!</v>
      </c>
      <c r="J51" s="139" t="e">
        <f>_xll.DBRW($G$3,$H$15,$H$17,$H$13,$H$16,$H$14,J$2,$H$12,$B51)-_xll.DBRW($G$3,$H$15,$H$17,$H$13,$H$16,$H$14,J$2,$H$12,$A51)</f>
        <v>#VALUE!</v>
      </c>
      <c r="K51" s="139" t="e">
        <f>_xll.DBRW($G$3,$H$15,$H$17,$H$13,$H$16,$H$14,K$2,$H$12,$B51)-_xll.DBRW($G$3,$H$15,$H$17,$H$13,$H$16,$H$14,K$2,$H$12,$A51)</f>
        <v>#VALUE!</v>
      </c>
      <c r="L51" s="139" t="e">
        <f>_xll.DBRW($G$3,$H$15,$H$17,$H$13,$H$16,$H$14,L$2,$H$12,$B51)-_xll.DBRW($G$3,$H$15,$H$17,$H$13,$H$16,$H$14,L$2,$H$12,$A51)</f>
        <v>#VALUE!</v>
      </c>
      <c r="M51" s="139" t="e">
        <f>_xll.DBRW($G$3,$H$15,$H$17,$H$13,$H$16,$H$14,M$2,$H$12,$B51)-_xll.DBRW($G$3,$H$15,$H$17,$H$13,$H$16,$H$14,M$2,$H$12,$A51)</f>
        <v>#VALUE!</v>
      </c>
      <c r="N51" s="139" t="e">
        <f>_xll.DBRW($G$3,$H$15,$H$17,$H$13,$H$16,$H$14,N$2,$H$12,$B51)-_xll.DBRW($G$3,$H$15,$H$17,$H$13,$H$16,$H$14,N$2,$H$12,$A51)</f>
        <v>#VALUE!</v>
      </c>
      <c r="O51" s="139" t="e">
        <f>_xll.DBRW($G$3,$H$15,$H$17,$H$13,$H$16,$H$14,O$2,$H$12,$B51)-_xll.DBRW($G$3,$H$15,$H$17,$H$13,$H$16,$H$14,O$2,$H$12,$A51)</f>
        <v>#VALUE!</v>
      </c>
      <c r="P51" s="139" t="e">
        <f>_xll.DBRW($G$3,$H$15,$H$17,$H$13,$H$16,$H$14,P$2,$H$12,$B51)-_xll.DBRW($G$3,$H$15,$H$17,$H$13,$H$16,$H$14,P$2,$H$12,$A51)</f>
        <v>#VALUE!</v>
      </c>
      <c r="Q51" s="131"/>
      <c r="R51" s="131"/>
      <c r="S51" s="139" t="e">
        <f>_xll.DBRW($G$3,$U$15,$H$17,$U$13,$U$16,$U$14,S$2,$U$12,$B51)-_xll.DBRW($G$3,$U$15,$H$17,$U$13,$U$16,$U$14,S$2,$U$12,$A51)</f>
        <v>#VALUE!</v>
      </c>
      <c r="T51" s="139" t="e">
        <f>_xll.DBRW($G$3,$U$15,$H$17,$U$13,$U$16,$U$14,T$2,$U$12,$B51)-_xll.DBRW($G$3,$U$15,$H$17,$U$13,$U$16,$U$14,T$2,$U$12,$A51)</f>
        <v>#VALUE!</v>
      </c>
      <c r="U51" s="139" t="e">
        <f>_xll.DBRW($G$3,$U$15,$H$17,$U$13,$U$16,$U$14,U$2,$U$12,$B51)-_xll.DBRW($G$3,$U$15,$H$17,$U$13,$U$16,$U$14,U$2,$U$12,$A51)</f>
        <v>#VALUE!</v>
      </c>
      <c r="V51" s="139" t="e">
        <f>_xll.DBRW($G$3,$U$15,$H$17,$U$13,$U$16,$U$14,V$2,$U$12,$B51)-_xll.DBRW($G$3,$U$15,$H$17,$U$13,$U$16,$U$14,V$2,$U$12,$A51)</f>
        <v>#VALUE!</v>
      </c>
      <c r="W51" s="139" t="e">
        <f>_xll.DBRW($G$3,$U$15,$H$17,$U$13,$U$16,$U$14,W$2,$U$12,$B51)-_xll.DBRW($G$3,$U$15,$H$17,$U$13,$U$16,$U$14,W$2,$U$12,$A51)</f>
        <v>#VALUE!</v>
      </c>
      <c r="X51" s="139" t="e">
        <f>_xll.DBRW($G$3,$U$15,$H$17,$U$13,$U$16,$U$14,X$2,$U$12,$B51)-_xll.DBRW($G$3,$U$15,$H$17,$U$13,$U$16,$U$14,X$2,$U$12,$A51)</f>
        <v>#VALUE!</v>
      </c>
      <c r="Y51" s="139" t="e">
        <f>_xll.DBRW($G$3,$U$15,$H$17,$U$13,$U$16,$U$14,Y$2,$U$12,$B51)-_xll.DBRW($G$3,$U$15,$H$17,$U$13,$U$16,$U$14,Y$2,$U$12,$A51)</f>
        <v>#VALUE!</v>
      </c>
      <c r="Z51" s="139" t="e">
        <f>_xll.DBRW($G$3,$U$15,$H$17,$U$13,$U$16,$U$14,Z$2,$U$12,$B51)-_xll.DBRW($G$3,$U$15,$H$17,$U$13,$U$16,$U$14,Z$2,$U$12,$A51)</f>
        <v>#VALUE!</v>
      </c>
      <c r="AA51" s="131"/>
      <c r="AB51" s="139" t="e">
        <f t="shared" si="28"/>
        <v>#VALUE!</v>
      </c>
      <c r="AC51" s="139" t="e">
        <f t="shared" si="29"/>
        <v>#VALUE!</v>
      </c>
      <c r="AD51" s="139" t="e">
        <f t="shared" si="30"/>
        <v>#VALUE!</v>
      </c>
      <c r="AE51" s="139" t="e">
        <f t="shared" si="31"/>
        <v>#VALUE!</v>
      </c>
      <c r="AF51" s="139" t="e">
        <f t="shared" si="32"/>
        <v>#VALUE!</v>
      </c>
      <c r="AG51" s="139" t="e">
        <f t="shared" si="33"/>
        <v>#VALUE!</v>
      </c>
      <c r="AH51" s="139" t="e">
        <f t="shared" si="34"/>
        <v>#VALUE!</v>
      </c>
      <c r="AI51" s="139" t="e">
        <f t="shared" si="35"/>
        <v>#VALUE!</v>
      </c>
      <c r="AJ51" s="43"/>
      <c r="AK51" s="47"/>
      <c r="AL51" s="49" t="s">
        <v>64</v>
      </c>
      <c r="AM51" s="43"/>
      <c r="AN51" s="69"/>
      <c r="AO51" s="69"/>
      <c r="AP51" s="47"/>
      <c r="AQ51" s="47"/>
      <c r="AR51" s="47"/>
    </row>
    <row r="52" spans="1:44" ht="21.75" customHeight="1">
      <c r="A52" s="50" t="s">
        <v>136</v>
      </c>
      <c r="B52" s="41" t="s">
        <v>142</v>
      </c>
      <c r="C52" s="41"/>
      <c r="D52" s="41">
        <v>31</v>
      </c>
      <c r="G52" s="185" t="e">
        <f>_xll.DBRA(Server&amp;$A$21,$A52,$H$18)</f>
        <v>#N/A</v>
      </c>
      <c r="H52" s="186"/>
      <c r="I52" s="126" t="e">
        <f>_xll.DBRW($G$3,$H$15,$H$17,$H$13,$H$16,$H$14,I$2,$H$12,$B52)-_xll.DBRW($G$3,$H$15,$H$17,$H$13,$H$16,$H$14,I$2,$H$12,$A52)</f>
        <v>#VALUE!</v>
      </c>
      <c r="J52" s="126" t="e">
        <f>_xll.DBRW($G$3,$H$15,$H$17,$H$13,$H$16,$H$14,J$2,$H$12,$B52)-_xll.DBRW($G$3,$H$15,$H$17,$H$13,$H$16,$H$14,J$2,$H$12,$A52)</f>
        <v>#VALUE!</v>
      </c>
      <c r="K52" s="126" t="e">
        <f>_xll.DBRW($G$3,$H$15,$H$17,$H$13,$H$16,$H$14,K$2,$H$12,$B52)-_xll.DBRW($G$3,$H$15,$H$17,$H$13,$H$16,$H$14,K$2,$H$12,$A52)</f>
        <v>#VALUE!</v>
      </c>
      <c r="L52" s="126" t="e">
        <f>_xll.DBRW($G$3,$H$15,$H$17,$H$13,$H$16,$H$14,L$2,$H$12,$B52)-_xll.DBRW($G$3,$H$15,$H$17,$H$13,$H$16,$H$14,L$2,$H$12,$A52)</f>
        <v>#VALUE!</v>
      </c>
      <c r="M52" s="126" t="e">
        <f>_xll.DBRW($G$3,$H$15,$H$17,$H$13,$H$16,$H$14,M$2,$H$12,$B52)-_xll.DBRW($G$3,$H$15,$H$17,$H$13,$H$16,$H$14,M$2,$H$12,$A52)</f>
        <v>#VALUE!</v>
      </c>
      <c r="N52" s="126" t="e">
        <f>_xll.DBRW($G$3,$H$15,$H$17,$H$13,$H$16,$H$14,N$2,$H$12,$B52)-_xll.DBRW($G$3,$H$15,$H$17,$H$13,$H$16,$H$14,N$2,$H$12,$A52)</f>
        <v>#VALUE!</v>
      </c>
      <c r="O52" s="126" t="e">
        <f>_xll.DBRW($G$3,$H$15,$H$17,$H$13,$H$16,$H$14,O$2,$H$12,$B52)-_xll.DBRW($G$3,$H$15,$H$17,$H$13,$H$16,$H$14,O$2,$H$12,$A52)</f>
        <v>#VALUE!</v>
      </c>
      <c r="P52" s="126" t="e">
        <f>_xll.DBRW($G$3,$H$15,$H$17,$H$13,$H$16,$H$14,P$2,$H$12,$B52)-_xll.DBRW($G$3,$H$15,$H$17,$H$13,$H$16,$H$14,P$2,$H$12,$A52)</f>
        <v>#VALUE!</v>
      </c>
      <c r="Q52" s="131"/>
      <c r="R52" s="131"/>
      <c r="S52" s="126" t="e">
        <f>_xll.DBRW($G$3,$U$15,$H$17,$U$13,$U$16,$U$14,S$2,$U$12,$B52)-_xll.DBRW($G$3,$U$15,$H$17,$U$13,$U$16,$U$14,S$2,$U$12,$A52)</f>
        <v>#VALUE!</v>
      </c>
      <c r="T52" s="126" t="e">
        <f>_xll.DBRW($G$3,$U$15,$H$17,$U$13,$U$16,$U$14,T$2,$U$12,$B52)-_xll.DBRW($G$3,$U$15,$H$17,$U$13,$U$16,$U$14,T$2,$U$12,$A52)</f>
        <v>#VALUE!</v>
      </c>
      <c r="U52" s="126" t="e">
        <f>_xll.DBRW($G$3,$U$15,$H$17,$U$13,$U$16,$U$14,U$2,$U$12,$B52)-_xll.DBRW($G$3,$U$15,$H$17,$U$13,$U$16,$U$14,U$2,$U$12,$A52)</f>
        <v>#VALUE!</v>
      </c>
      <c r="V52" s="126" t="e">
        <f>_xll.DBRW($G$3,$U$15,$H$17,$U$13,$U$16,$U$14,V$2,$U$12,$B52)-_xll.DBRW($G$3,$U$15,$H$17,$U$13,$U$16,$U$14,V$2,$U$12,$A52)</f>
        <v>#VALUE!</v>
      </c>
      <c r="W52" s="126" t="e">
        <f>_xll.DBRW($G$3,$U$15,$H$17,$U$13,$U$16,$U$14,W$2,$U$12,$B52)-_xll.DBRW($G$3,$U$15,$H$17,$U$13,$U$16,$U$14,W$2,$U$12,$A52)</f>
        <v>#VALUE!</v>
      </c>
      <c r="X52" s="126" t="e">
        <f>_xll.DBRW($G$3,$U$15,$H$17,$U$13,$U$16,$U$14,X$2,$U$12,$B52)-_xll.DBRW($G$3,$U$15,$H$17,$U$13,$U$16,$U$14,X$2,$U$12,$A52)</f>
        <v>#VALUE!</v>
      </c>
      <c r="Y52" s="126" t="e">
        <f>_xll.DBRW($G$3,$U$15,$H$17,$U$13,$U$16,$U$14,Y$2,$U$12,$B52)-_xll.DBRW($G$3,$U$15,$H$17,$U$13,$U$16,$U$14,Y$2,$U$12,$A52)</f>
        <v>#VALUE!</v>
      </c>
      <c r="Z52" s="126" t="e">
        <f>_xll.DBRW($G$3,$U$15,$H$17,$U$13,$U$16,$U$14,Z$2,$U$12,$B52)-_xll.DBRW($G$3,$U$15,$H$17,$U$13,$U$16,$U$14,Z$2,$U$12,$A52)</f>
        <v>#VALUE!</v>
      </c>
      <c r="AA52" s="131"/>
      <c r="AB52" s="126" t="e">
        <f t="shared" si="28"/>
        <v>#VALUE!</v>
      </c>
      <c r="AC52" s="126" t="e">
        <f t="shared" si="29"/>
        <v>#VALUE!</v>
      </c>
      <c r="AD52" s="126" t="e">
        <f t="shared" si="30"/>
        <v>#VALUE!</v>
      </c>
      <c r="AE52" s="126" t="e">
        <f t="shared" si="31"/>
        <v>#VALUE!</v>
      </c>
      <c r="AF52" s="126" t="e">
        <f t="shared" si="32"/>
        <v>#VALUE!</v>
      </c>
      <c r="AG52" s="126" t="e">
        <f t="shared" si="33"/>
        <v>#VALUE!</v>
      </c>
      <c r="AH52" s="126" t="e">
        <f t="shared" si="34"/>
        <v>#VALUE!</v>
      </c>
      <c r="AI52" s="126" t="e">
        <f t="shared" si="35"/>
        <v>#VALUE!</v>
      </c>
      <c r="AJ52" s="43"/>
      <c r="AK52" s="47"/>
      <c r="AL52" s="49" t="s">
        <v>65</v>
      </c>
      <c r="AM52" s="70"/>
      <c r="AN52" s="70"/>
      <c r="AO52" s="70"/>
      <c r="AP52" s="47"/>
      <c r="AQ52" s="47"/>
      <c r="AR52" s="47"/>
    </row>
    <row r="53" spans="1:44" ht="21.75" customHeight="1">
      <c r="A53" s="50" t="s">
        <v>137</v>
      </c>
      <c r="B53" s="85" t="s">
        <v>158</v>
      </c>
      <c r="C53" s="41"/>
      <c r="D53" s="41">
        <v>32</v>
      </c>
      <c r="G53" s="185" t="e">
        <f>_xll.DBRA(Server&amp;$A$21,$A53,$H$18)</f>
        <v>#N/A</v>
      </c>
      <c r="H53" s="186"/>
      <c r="I53" s="126" t="e">
        <f>I55-I50-I51-I52-I54</f>
        <v>#VALUE!</v>
      </c>
      <c r="J53" s="126" t="e">
        <f t="shared" ref="J53:P53" si="36">J55-J50-J51-J52-J54</f>
        <v>#VALUE!</v>
      </c>
      <c r="K53" s="126" t="e">
        <f t="shared" si="36"/>
        <v>#VALUE!</v>
      </c>
      <c r="L53" s="126" t="e">
        <f t="shared" si="36"/>
        <v>#VALUE!</v>
      </c>
      <c r="M53" s="126" t="e">
        <f t="shared" si="36"/>
        <v>#VALUE!</v>
      </c>
      <c r="N53" s="126" t="e">
        <f t="shared" si="36"/>
        <v>#VALUE!</v>
      </c>
      <c r="O53" s="126" t="e">
        <f t="shared" si="36"/>
        <v>#VALUE!</v>
      </c>
      <c r="P53" s="126" t="e">
        <f t="shared" si="36"/>
        <v>#VALUE!</v>
      </c>
      <c r="Q53" s="131"/>
      <c r="R53" s="131"/>
      <c r="S53" s="126" t="e">
        <f>S55-S50-S51-S52-S54</f>
        <v>#VALUE!</v>
      </c>
      <c r="T53" s="126" t="e">
        <f t="shared" ref="T53:Z53" si="37">T55-T50-T51-T52-T54</f>
        <v>#VALUE!</v>
      </c>
      <c r="U53" s="126" t="e">
        <f t="shared" si="37"/>
        <v>#VALUE!</v>
      </c>
      <c r="V53" s="126" t="e">
        <f t="shared" si="37"/>
        <v>#VALUE!</v>
      </c>
      <c r="W53" s="126" t="e">
        <f t="shared" si="37"/>
        <v>#VALUE!</v>
      </c>
      <c r="X53" s="126" t="e">
        <f t="shared" si="37"/>
        <v>#VALUE!</v>
      </c>
      <c r="Y53" s="126" t="e">
        <f t="shared" si="37"/>
        <v>#VALUE!</v>
      </c>
      <c r="Z53" s="126" t="e">
        <f t="shared" si="37"/>
        <v>#VALUE!</v>
      </c>
      <c r="AA53" s="131"/>
      <c r="AB53" s="126" t="e">
        <f t="shared" si="28"/>
        <v>#VALUE!</v>
      </c>
      <c r="AC53" s="126" t="e">
        <f t="shared" si="29"/>
        <v>#VALUE!</v>
      </c>
      <c r="AD53" s="126" t="e">
        <f t="shared" si="30"/>
        <v>#VALUE!</v>
      </c>
      <c r="AE53" s="126" t="e">
        <f t="shared" si="31"/>
        <v>#VALUE!</v>
      </c>
      <c r="AF53" s="126" t="e">
        <f t="shared" si="32"/>
        <v>#VALUE!</v>
      </c>
      <c r="AG53" s="126" t="e">
        <f t="shared" si="33"/>
        <v>#VALUE!</v>
      </c>
      <c r="AH53" s="126" t="e">
        <f t="shared" si="34"/>
        <v>#VALUE!</v>
      </c>
      <c r="AI53" s="126" t="e">
        <f t="shared" si="35"/>
        <v>#VALUE!</v>
      </c>
      <c r="AJ53" s="43"/>
      <c r="AK53" s="47"/>
      <c r="AL53" s="49" t="s">
        <v>66</v>
      </c>
      <c r="AM53" s="47"/>
      <c r="AN53" s="47"/>
      <c r="AO53" s="47"/>
      <c r="AP53" s="47"/>
      <c r="AQ53" s="47"/>
      <c r="AR53" s="47"/>
    </row>
    <row r="54" spans="1:44" ht="21.75" customHeight="1" thickBot="1">
      <c r="A54" s="50" t="s">
        <v>138</v>
      </c>
      <c r="B54" s="64" t="s">
        <v>143</v>
      </c>
      <c r="C54" s="41"/>
      <c r="D54" s="41">
        <v>33</v>
      </c>
      <c r="G54" s="185" t="e">
        <f>_xll.DBRA(Server&amp;$A$21,$A54,$H$18)</f>
        <v>#N/A</v>
      </c>
      <c r="H54" s="186"/>
      <c r="I54" s="126" t="e">
        <f>-_xll.DBRW($G$3,$H$15,$H$17,$H$13,$H$16,$H$14,I$2,$H$12,$B54)-_xll.DBRW($G$3,$H$15,$H$17,$H$13,$H$16,$H$14,I$2,$H$12,$A54)</f>
        <v>#VALUE!</v>
      </c>
      <c r="J54" s="126" t="e">
        <f>-_xll.DBRW($G$3,$H$15,$H$17,$H$13,$H$16,$H$14,J$2,$H$12,$B54)-_xll.DBRW($G$3,$H$15,$H$17,$H$13,$H$16,$H$14,J$2,$H$12,$A54)</f>
        <v>#VALUE!</v>
      </c>
      <c r="K54" s="126" t="e">
        <f>-_xll.DBRW($G$3,$H$15,$H$17,$H$13,$H$16,$H$14,K$2,$H$12,$B54)-_xll.DBRW($G$3,$H$15,$H$17,$H$13,$H$16,$H$14,K$2,$H$12,$A54)</f>
        <v>#VALUE!</v>
      </c>
      <c r="L54" s="126" t="e">
        <f>-_xll.DBRW($G$3,$H$15,$H$17,$H$13,$H$16,$H$14,L$2,$H$12,$B54)-_xll.DBRW($G$3,$H$15,$H$17,$H$13,$H$16,$H$14,L$2,$H$12,$A54)</f>
        <v>#VALUE!</v>
      </c>
      <c r="M54" s="126" t="e">
        <f>-_xll.DBRW($G$3,$H$15,$H$17,$H$13,$H$16,$H$14,M$2,$H$12,$B54)-_xll.DBRW($G$3,$H$15,$H$17,$H$13,$H$16,$H$14,M$2,$H$12,$A54)</f>
        <v>#VALUE!</v>
      </c>
      <c r="N54" s="126" t="e">
        <f>-_xll.DBRW($G$3,$H$15,$H$17,$H$13,$H$16,$H$14,N$2,$H$12,$B54)-_xll.DBRW($G$3,$H$15,$H$17,$H$13,$H$16,$H$14,N$2,$H$12,$A54)</f>
        <v>#VALUE!</v>
      </c>
      <c r="O54" s="126" t="e">
        <f>-_xll.DBRW($G$3,$H$15,$H$17,$H$13,$H$16,$H$14,O$2,$H$12,$B54)-_xll.DBRW($G$3,$H$15,$H$17,$H$13,$H$16,$H$14,O$2,$H$12,$A54)</f>
        <v>#VALUE!</v>
      </c>
      <c r="P54" s="126" t="e">
        <f>-_xll.DBRW($G$3,$H$15,$H$17,$H$13,$H$16,$H$14,P$2,$H$12,$B54)-_xll.DBRW($G$3,$H$15,$H$17,$H$13,$H$16,$H$14,P$2,$H$12,$A54)</f>
        <v>#VALUE!</v>
      </c>
      <c r="Q54" s="131"/>
      <c r="R54" s="131"/>
      <c r="S54" s="126" t="e">
        <f>-_xll.DBRW($G$3,$U$15,$H$17,$U$13,$U$16,$U$14,S$2,$U$12,$B54)-_xll.DBRW($G$3,$U$15,$H$17,$U$13,$U$16,$U$14,S$2,$U$12,$A54)</f>
        <v>#VALUE!</v>
      </c>
      <c r="T54" s="126" t="e">
        <f>-_xll.DBRW($G$3,$U$15,$H$17,$U$13,$U$16,$U$14,T$2,$U$12,$B54)-_xll.DBRW($G$3,$U$15,$H$17,$U$13,$U$16,$U$14,T$2,$U$12,$A54)</f>
        <v>#VALUE!</v>
      </c>
      <c r="U54" s="126" t="e">
        <f>-_xll.DBRW($G$3,$U$15,$H$17,$U$13,$U$16,$U$14,U$2,$U$12,$B54)-_xll.DBRW($G$3,$U$15,$H$17,$U$13,$U$16,$U$14,U$2,$U$12,$A54)</f>
        <v>#VALUE!</v>
      </c>
      <c r="V54" s="126" t="e">
        <f>-_xll.DBRW($G$3,$U$15,$H$17,$U$13,$U$16,$U$14,V$2,$U$12,$B54)-_xll.DBRW($G$3,$U$15,$H$17,$U$13,$U$16,$U$14,V$2,$U$12,$A54)</f>
        <v>#VALUE!</v>
      </c>
      <c r="W54" s="126" t="e">
        <f>-_xll.DBRW($G$3,$U$15,$H$17,$U$13,$U$16,$U$14,W$2,$U$12,$B54)-_xll.DBRW($G$3,$U$15,$H$17,$U$13,$U$16,$U$14,W$2,$U$12,$A54)</f>
        <v>#VALUE!</v>
      </c>
      <c r="X54" s="126" t="e">
        <f>-_xll.DBRW($G$3,$U$15,$H$17,$U$13,$U$16,$U$14,X$2,$U$12,$B54)-_xll.DBRW($G$3,$U$15,$H$17,$U$13,$U$16,$U$14,X$2,$U$12,$A54)</f>
        <v>#VALUE!</v>
      </c>
      <c r="Y54" s="126" t="e">
        <f>-_xll.DBRW($G$3,$U$15,$H$17,$U$13,$U$16,$U$14,Y$2,$U$12,$B54)-_xll.DBRW($G$3,$U$15,$H$17,$U$13,$U$16,$U$14,Y$2,$U$12,$A54)</f>
        <v>#VALUE!</v>
      </c>
      <c r="Z54" s="126" t="e">
        <f>-_xll.DBRW($G$3,$U$15,$H$17,$U$13,$U$16,$U$14,Z$2,$U$12,$B54)-_xll.DBRW($G$3,$U$15,$H$17,$U$13,$U$16,$U$14,Z$2,$U$12,$A54)</f>
        <v>#VALUE!</v>
      </c>
      <c r="AA54" s="131"/>
      <c r="AB54" s="126" t="e">
        <f t="shared" si="28"/>
        <v>#VALUE!</v>
      </c>
      <c r="AC54" s="126" t="e">
        <f t="shared" si="29"/>
        <v>#VALUE!</v>
      </c>
      <c r="AD54" s="126" t="e">
        <f t="shared" si="30"/>
        <v>#VALUE!</v>
      </c>
      <c r="AE54" s="126" t="e">
        <f t="shared" si="31"/>
        <v>#VALUE!</v>
      </c>
      <c r="AF54" s="126" t="e">
        <f t="shared" si="32"/>
        <v>#VALUE!</v>
      </c>
      <c r="AG54" s="126" t="e">
        <f t="shared" si="33"/>
        <v>#VALUE!</v>
      </c>
      <c r="AH54" s="126" t="e">
        <f t="shared" si="34"/>
        <v>#VALUE!</v>
      </c>
      <c r="AI54" s="126" t="e">
        <f t="shared" si="35"/>
        <v>#VALUE!</v>
      </c>
      <c r="AJ54" s="43"/>
      <c r="AK54" s="47"/>
      <c r="AL54" s="49" t="s">
        <v>67</v>
      </c>
      <c r="AM54" s="47"/>
      <c r="AN54" s="47"/>
      <c r="AO54" s="47"/>
      <c r="AP54" s="47"/>
      <c r="AQ54" s="47"/>
      <c r="AR54" s="47"/>
    </row>
    <row r="55" spans="1:44" ht="23.25" customHeight="1" thickBot="1">
      <c r="A55" s="50" t="s">
        <v>9</v>
      </c>
      <c r="B55" s="64"/>
      <c r="C55" s="41"/>
      <c r="D55" s="41">
        <v>34</v>
      </c>
      <c r="G55" s="184" t="e">
        <f>_xll.DBRA(Server&amp;$A$21,$A55,$H$18)</f>
        <v>#N/A</v>
      </c>
      <c r="H55" s="184"/>
      <c r="I55" s="134" t="e">
        <f>_xll.DBRW($G$3,$H$15,$H$17,$H$13,$H$16,$H$14,I$2,$H$12,$A55)</f>
        <v>#VALUE!</v>
      </c>
      <c r="J55" s="134" t="e">
        <f>_xll.DBRW($G$3,$H$15,$H$17,$H$13,$H$16,$H$14,J$2,$H$12,$A55)</f>
        <v>#VALUE!</v>
      </c>
      <c r="K55" s="134" t="e">
        <f>_xll.DBRW($G$3,$H$15,$H$17,$H$13,$H$16,$H$14,K$2,$H$12,$A55)</f>
        <v>#VALUE!</v>
      </c>
      <c r="L55" s="134" t="e">
        <f>_xll.DBRW($G$3,$H$15,$H$17,$H$13,$H$16,$H$14,L$2,$H$12,$A55)</f>
        <v>#VALUE!</v>
      </c>
      <c r="M55" s="134" t="e">
        <f>_xll.DBRW($G$3,$H$15,$H$17,$H$13,$H$16,$H$14,M$2,$H$12,$A55)</f>
        <v>#VALUE!</v>
      </c>
      <c r="N55" s="134" t="e">
        <f>_xll.DBRW($G$3,$H$15,$H$17,$H$13,$H$16,$H$14,N$2,$H$12,$A55)</f>
        <v>#VALUE!</v>
      </c>
      <c r="O55" s="134" t="e">
        <f>_xll.DBRW($G$3,$H$15,$H$17,$H$13,$H$16,$H$14,O$2,$H$12,$A55)</f>
        <v>#VALUE!</v>
      </c>
      <c r="P55" s="134" t="e">
        <f>_xll.DBRW($G$3,$H$15,$H$17,$H$13,$H$16,$H$14,P$2,$H$12,$A55)</f>
        <v>#VALUE!</v>
      </c>
      <c r="Q55" s="131" t="e">
        <f>SUM(I55:P55)-SUM(I50:P54)</f>
        <v>#VALUE!</v>
      </c>
      <c r="R55" s="131"/>
      <c r="S55" s="134" t="e">
        <f>_xll.DBRW($G$3,$U$15,$H$17,$U$13,$U$16,$U$14,S$2,$U$12,$A55)</f>
        <v>#VALUE!</v>
      </c>
      <c r="T55" s="134" t="e">
        <f>_xll.DBRW($G$3,$U$15,$H$17,$U$13,$U$16,$U$14,T$2,$U$12,$A55)</f>
        <v>#VALUE!</v>
      </c>
      <c r="U55" s="134" t="e">
        <f>_xll.DBRW($G$3,$U$15,$H$17,$U$13,$U$16,$U$14,U$2,$U$12,$A55)</f>
        <v>#VALUE!</v>
      </c>
      <c r="V55" s="134" t="e">
        <f>_xll.DBRW($G$3,$U$15,$H$17,$U$13,$U$16,$U$14,V$2,$U$12,$A55)</f>
        <v>#VALUE!</v>
      </c>
      <c r="W55" s="134" t="e">
        <f>_xll.DBRW($G$3,$U$15,$H$17,$U$13,$U$16,$U$14,W$2,$U$12,$A55)</f>
        <v>#VALUE!</v>
      </c>
      <c r="X55" s="134" t="e">
        <f>_xll.DBRW($G$3,$U$15,$H$17,$U$13,$U$16,$U$14,X$2,$U$12,$A55)</f>
        <v>#VALUE!</v>
      </c>
      <c r="Y55" s="134" t="e">
        <f>_xll.DBRW($G$3,$U$15,$H$17,$U$13,$U$16,$U$14,Y$2,$U$12,$A55)</f>
        <v>#VALUE!</v>
      </c>
      <c r="Z55" s="134" t="e">
        <f>_xll.DBRW($G$3,$U$15,$H$17,$U$13,$U$16,$U$14,Z$2,$U$12,$A55)</f>
        <v>#VALUE!</v>
      </c>
      <c r="AA55" s="131" t="e">
        <f>SUM(S55:Z55)-SUM(S50:Z54)</f>
        <v>#VALUE!</v>
      </c>
      <c r="AB55" s="134" t="e">
        <f t="shared" si="28"/>
        <v>#VALUE!</v>
      </c>
      <c r="AC55" s="134" t="e">
        <f t="shared" si="29"/>
        <v>#VALUE!</v>
      </c>
      <c r="AD55" s="134" t="e">
        <f t="shared" si="30"/>
        <v>#VALUE!</v>
      </c>
      <c r="AE55" s="134" t="e">
        <f t="shared" si="31"/>
        <v>#VALUE!</v>
      </c>
      <c r="AF55" s="134" t="e">
        <f t="shared" si="32"/>
        <v>#VALUE!</v>
      </c>
      <c r="AG55" s="134" t="e">
        <f t="shared" si="33"/>
        <v>#VALUE!</v>
      </c>
      <c r="AH55" s="134" t="e">
        <f t="shared" si="34"/>
        <v>#VALUE!</v>
      </c>
      <c r="AI55" s="134" t="e">
        <f t="shared" si="35"/>
        <v>#VALUE!</v>
      </c>
      <c r="AJ55" s="43"/>
      <c r="AK55" s="47"/>
      <c r="AL55" s="49" t="s">
        <v>114</v>
      </c>
      <c r="AM55" s="47"/>
      <c r="AN55" s="47"/>
      <c r="AO55" s="47"/>
      <c r="AP55" s="47"/>
      <c r="AQ55" s="47"/>
      <c r="AR55" s="47"/>
    </row>
    <row r="56" spans="1:44" ht="21.75" customHeight="1" thickBot="1">
      <c r="A56" s="50" t="s">
        <v>10</v>
      </c>
      <c r="B56" s="41"/>
      <c r="C56" s="41"/>
      <c r="D56" s="41">
        <v>35</v>
      </c>
      <c r="G56" s="185" t="e">
        <f>_xll.DBRA(Server&amp;$A$21,$A56,$H$18)</f>
        <v>#N/A</v>
      </c>
      <c r="H56" s="186"/>
      <c r="I56" s="126" t="e">
        <f>_xll.DBRW($G$3,$H$15,$H$17,$H$13,$H$16,$H$14,I$2,$H$12,$A56)</f>
        <v>#VALUE!</v>
      </c>
      <c r="J56" s="126" t="e">
        <f>_xll.DBRW($G$3,$H$15,$H$17,$H$13,$H$16,$H$14,J$2,$H$12,$A56)</f>
        <v>#VALUE!</v>
      </c>
      <c r="K56" s="126" t="e">
        <f>_xll.DBRW($G$3,$H$15,$H$17,$H$13,$H$16,$H$14,K$2,$H$12,$A56)</f>
        <v>#VALUE!</v>
      </c>
      <c r="L56" s="126" t="e">
        <f>_xll.DBRW($G$3,$H$15,$H$17,$H$13,$H$16,$H$14,L$2,$H$12,$A56)</f>
        <v>#VALUE!</v>
      </c>
      <c r="M56" s="126" t="e">
        <f>_xll.DBRW($G$3,$H$15,$H$17,$H$13,$H$16,$H$14,M$2,$H$12,$A56)</f>
        <v>#VALUE!</v>
      </c>
      <c r="N56" s="126" t="e">
        <f>_xll.DBRW($G$3,$H$15,$H$17,$H$13,$H$16,$H$14,N$2,$H$12,$A56)</f>
        <v>#VALUE!</v>
      </c>
      <c r="O56" s="126" t="e">
        <f>_xll.DBRW($G$3,$H$15,$H$17,$H$13,$H$16,$H$14,O$2,$H$12,$A56)</f>
        <v>#VALUE!</v>
      </c>
      <c r="P56" s="126" t="e">
        <f>_xll.DBRW($G$3,$H$15,$H$17,$H$13,$H$16,$H$14,P$2,$H$12,$A56)</f>
        <v>#VALUE!</v>
      </c>
      <c r="Q56" s="131"/>
      <c r="R56" s="131"/>
      <c r="S56" s="126" t="e">
        <f>_xll.DBRW($G$3,$U$15,$H$17,$U$13,$U$16,$U$14,S$2,$U$12,$A56)</f>
        <v>#VALUE!</v>
      </c>
      <c r="T56" s="126" t="e">
        <f>_xll.DBRW($G$3,$U$15,$H$17,$U$13,$U$16,$U$14,T$2,$U$12,$A56)</f>
        <v>#VALUE!</v>
      </c>
      <c r="U56" s="126" t="e">
        <f>_xll.DBRW($G$3,$U$15,$H$17,$U$13,$U$16,$U$14,U$2,$U$12,$A56)</f>
        <v>#VALUE!</v>
      </c>
      <c r="V56" s="126" t="e">
        <f>_xll.DBRW($G$3,$U$15,$H$17,$U$13,$U$16,$U$14,V$2,$U$12,$A56)</f>
        <v>#VALUE!</v>
      </c>
      <c r="W56" s="126" t="e">
        <f>_xll.DBRW($G$3,$U$15,$H$17,$U$13,$U$16,$U$14,W$2,$U$12,$A56)</f>
        <v>#VALUE!</v>
      </c>
      <c r="X56" s="126" t="e">
        <f>_xll.DBRW($G$3,$U$15,$H$17,$U$13,$U$16,$U$14,X$2,$U$12,$A56)</f>
        <v>#VALUE!</v>
      </c>
      <c r="Y56" s="126" t="e">
        <f>_xll.DBRW($G$3,$U$15,$H$17,$U$13,$U$16,$U$14,Y$2,$U$12,$A56)</f>
        <v>#VALUE!</v>
      </c>
      <c r="Z56" s="126" t="e">
        <f>_xll.DBRW($G$3,$U$15,$H$17,$U$13,$U$16,$U$14,Z$2,$U$12,$A56)</f>
        <v>#VALUE!</v>
      </c>
      <c r="AA56" s="131"/>
      <c r="AB56" s="126" t="e">
        <f t="shared" si="28"/>
        <v>#VALUE!</v>
      </c>
      <c r="AC56" s="126" t="e">
        <f t="shared" si="29"/>
        <v>#VALUE!</v>
      </c>
      <c r="AD56" s="126" t="e">
        <f t="shared" si="30"/>
        <v>#VALUE!</v>
      </c>
      <c r="AE56" s="126" t="e">
        <f t="shared" si="31"/>
        <v>#VALUE!</v>
      </c>
      <c r="AF56" s="126" t="e">
        <f t="shared" si="32"/>
        <v>#VALUE!</v>
      </c>
      <c r="AG56" s="126" t="e">
        <f t="shared" si="33"/>
        <v>#VALUE!</v>
      </c>
      <c r="AH56" s="126" t="e">
        <f t="shared" si="34"/>
        <v>#VALUE!</v>
      </c>
      <c r="AI56" s="126" t="e">
        <f t="shared" si="35"/>
        <v>#VALUE!</v>
      </c>
      <c r="AJ56" s="43"/>
      <c r="AK56" s="47"/>
      <c r="AL56" s="49" t="s">
        <v>115</v>
      </c>
      <c r="AM56" s="47"/>
      <c r="AN56" s="47"/>
      <c r="AO56" s="47"/>
      <c r="AP56" s="47"/>
      <c r="AQ56" s="47"/>
      <c r="AR56" s="47"/>
    </row>
    <row r="57" spans="1:44" ht="21.75" hidden="1" customHeight="1" outlineLevel="1" thickBot="1">
      <c r="A57" s="50" t="s">
        <v>148</v>
      </c>
      <c r="B57" s="41"/>
      <c r="C57" s="41"/>
      <c r="D57" s="41">
        <v>36</v>
      </c>
      <c r="G57" s="185" t="e">
        <f>_xll.DBRA(Server&amp;$A$21,$A57,$H$18)</f>
        <v>#N/A</v>
      </c>
      <c r="H57" s="186"/>
      <c r="I57" s="126" t="e">
        <f>_xll.DBRW($G$3,$H$15,$H$17,$H$13,$H$16,$H$14,I$2,$H$12,$A57)</f>
        <v>#VALUE!</v>
      </c>
      <c r="J57" s="126" t="e">
        <f>_xll.DBRW($G$3,$H$15,$H$17,$H$13,$H$16,$H$14,J$2,$H$12,$A57)</f>
        <v>#VALUE!</v>
      </c>
      <c r="K57" s="126" t="e">
        <f>_xll.DBRW($G$3,$H$15,$H$17,$H$13,$H$16,$H$14,K$2,$H$12,$A57)</f>
        <v>#VALUE!</v>
      </c>
      <c r="L57" s="126" t="e">
        <f>_xll.DBRW($G$3,$H$15,$H$17,$H$13,$H$16,$H$14,L$2,$H$12,$A57)</f>
        <v>#VALUE!</v>
      </c>
      <c r="M57" s="126" t="e">
        <f>_xll.DBRW($G$3,$H$15,$H$17,$H$13,$H$16,$H$14,M$2,$H$12,$A57)</f>
        <v>#VALUE!</v>
      </c>
      <c r="N57" s="126" t="e">
        <f>_xll.DBRW($G$3,$H$15,$H$17,$H$13,$H$16,$H$14,N$2,$H$12,$A57)</f>
        <v>#VALUE!</v>
      </c>
      <c r="O57" s="126" t="e">
        <f>_xll.DBRW($G$3,$H$15,$H$17,$H$13,$H$16,$H$14,O$2,$H$12,$A57)</f>
        <v>#VALUE!</v>
      </c>
      <c r="P57" s="126" t="e">
        <f>_xll.DBRW($G$3,$H$15,$H$17,$H$13,$H$16,$H$14,P$2,$H$12,$A57)</f>
        <v>#VALUE!</v>
      </c>
      <c r="Q57" s="131"/>
      <c r="R57" s="131"/>
      <c r="S57" s="126" t="e">
        <f>_xll.DBRW($G$3,$U$15,$H$17,$U$13,$U$16,$U$14,S$2,$U$12,$A57)</f>
        <v>#VALUE!</v>
      </c>
      <c r="T57" s="126" t="e">
        <f>_xll.DBRW($G$3,$U$15,$H$17,$U$13,$U$16,$U$14,T$2,$U$12,$A57)</f>
        <v>#VALUE!</v>
      </c>
      <c r="U57" s="126" t="e">
        <f>_xll.DBRW($G$3,$U$15,$H$17,$U$13,$U$16,$U$14,U$2,$U$12,$A57)</f>
        <v>#VALUE!</v>
      </c>
      <c r="V57" s="126" t="e">
        <f>_xll.DBRW($G$3,$U$15,$H$17,$U$13,$U$16,$U$14,V$2,$U$12,$A57)</f>
        <v>#VALUE!</v>
      </c>
      <c r="W57" s="126" t="e">
        <f>_xll.DBRW($G$3,$U$15,$H$17,$U$13,$U$16,$U$14,W$2,$U$12,$A57)</f>
        <v>#VALUE!</v>
      </c>
      <c r="X57" s="126" t="e">
        <f>_xll.DBRW($G$3,$U$15,$H$17,$U$13,$U$16,$U$14,X$2,$U$12,$A57)</f>
        <v>#VALUE!</v>
      </c>
      <c r="Y57" s="126" t="e">
        <f>_xll.DBRW($G$3,$U$15,$H$17,$U$13,$U$16,$U$14,Y$2,$U$12,$A57)</f>
        <v>#VALUE!</v>
      </c>
      <c r="Z57" s="126" t="e">
        <f>_xll.DBRW($G$3,$U$15,$H$17,$U$13,$U$16,$U$14,Z$2,$U$12,$A57)</f>
        <v>#VALUE!</v>
      </c>
      <c r="AA57" s="131"/>
      <c r="AB57" s="126" t="e">
        <f t="shared" si="28"/>
        <v>#VALUE!</v>
      </c>
      <c r="AC57" s="126" t="e">
        <f t="shared" si="29"/>
        <v>#VALUE!</v>
      </c>
      <c r="AD57" s="126" t="e">
        <f t="shared" si="30"/>
        <v>#VALUE!</v>
      </c>
      <c r="AE57" s="126" t="e">
        <f t="shared" si="31"/>
        <v>#VALUE!</v>
      </c>
      <c r="AF57" s="126" t="e">
        <f t="shared" si="32"/>
        <v>#VALUE!</v>
      </c>
      <c r="AG57" s="126" t="e">
        <f t="shared" si="33"/>
        <v>#VALUE!</v>
      </c>
      <c r="AH57" s="126" t="e">
        <f t="shared" si="34"/>
        <v>#VALUE!</v>
      </c>
      <c r="AI57" s="126" t="e">
        <f t="shared" si="35"/>
        <v>#VALUE!</v>
      </c>
      <c r="AJ57" s="43"/>
      <c r="AK57" s="47"/>
      <c r="AL57" s="49" t="s">
        <v>68</v>
      </c>
      <c r="AM57" s="47"/>
      <c r="AN57" s="47"/>
      <c r="AO57" s="47"/>
      <c r="AP57" s="47"/>
      <c r="AQ57" s="47"/>
      <c r="AR57" s="47"/>
    </row>
    <row r="58" spans="1:44" ht="21.75" customHeight="1" collapsed="1" thickBot="1">
      <c r="A58" s="50" t="s">
        <v>11</v>
      </c>
      <c r="B58" s="64"/>
      <c r="C58" s="41"/>
      <c r="D58" s="41">
        <v>37</v>
      </c>
      <c r="G58" s="184" t="e">
        <f>_xll.DBRA(Server&amp;$A$21,$A58,$H$18)</f>
        <v>#N/A</v>
      </c>
      <c r="H58" s="184"/>
      <c r="I58" s="134" t="e">
        <f>_xll.DBRW($G$3,$H$15,$H$17,$H$13,$H$16,$H$14,I$2,$H$12,$A58)</f>
        <v>#VALUE!</v>
      </c>
      <c r="J58" s="134" t="e">
        <f>_xll.DBRW($G$3,$H$15,$H$17,$H$13,$H$16,$H$14,J$2,$H$12,$A58)</f>
        <v>#VALUE!</v>
      </c>
      <c r="K58" s="134" t="e">
        <f>_xll.DBRW($G$3,$H$15,$H$17,$H$13,$H$16,$H$14,K$2,$H$12,$A58)</f>
        <v>#VALUE!</v>
      </c>
      <c r="L58" s="134" t="e">
        <f>_xll.DBRW($G$3,$H$15,$H$17,$H$13,$H$16,$H$14,L$2,$H$12,$A58)</f>
        <v>#VALUE!</v>
      </c>
      <c r="M58" s="134" t="e">
        <f>_xll.DBRW($G$3,$H$15,$H$17,$H$13,$H$16,$H$14,M$2,$H$12,$A58)</f>
        <v>#VALUE!</v>
      </c>
      <c r="N58" s="134" t="e">
        <f>_xll.DBRW($G$3,$H$15,$H$17,$H$13,$H$16,$H$14,N$2,$H$12,$A58)</f>
        <v>#VALUE!</v>
      </c>
      <c r="O58" s="134" t="e">
        <f>_xll.DBRW($G$3,$H$15,$H$17,$H$13,$H$16,$H$14,O$2,$H$12,$A58)</f>
        <v>#VALUE!</v>
      </c>
      <c r="P58" s="134" t="e">
        <f>_xll.DBRW($G$3,$H$15,$H$17,$H$13,$H$16,$H$14,P$2,$H$12,$A58)</f>
        <v>#VALUE!</v>
      </c>
      <c r="Q58" s="131" t="e">
        <f>SUM(I58:P58)-SUM(I55:P57)</f>
        <v>#VALUE!</v>
      </c>
      <c r="R58" s="131"/>
      <c r="S58" s="134" t="e">
        <f>_xll.DBRW($G$3,$U$15,$H$17,$U$13,$U$16,$U$14,S$2,$U$12,$A58)</f>
        <v>#VALUE!</v>
      </c>
      <c r="T58" s="134" t="e">
        <f>_xll.DBRW($G$3,$U$15,$H$17,$U$13,$U$16,$U$14,T$2,$U$12,$A58)</f>
        <v>#VALUE!</v>
      </c>
      <c r="U58" s="134" t="e">
        <f>_xll.DBRW($G$3,$U$15,$H$17,$U$13,$U$16,$U$14,U$2,$U$12,$A58)</f>
        <v>#VALUE!</v>
      </c>
      <c r="V58" s="134" t="e">
        <f>_xll.DBRW($G$3,$U$15,$H$17,$U$13,$U$16,$U$14,V$2,$U$12,$A58)</f>
        <v>#VALUE!</v>
      </c>
      <c r="W58" s="134" t="e">
        <f>_xll.DBRW($G$3,$U$15,$H$17,$U$13,$U$16,$U$14,W$2,$U$12,$A58)</f>
        <v>#VALUE!</v>
      </c>
      <c r="X58" s="134" t="e">
        <f>_xll.DBRW($G$3,$U$15,$H$17,$U$13,$U$16,$U$14,X$2,$U$12,$A58)</f>
        <v>#VALUE!</v>
      </c>
      <c r="Y58" s="134" t="e">
        <f>_xll.DBRW($G$3,$U$15,$H$17,$U$13,$U$16,$U$14,Y$2,$U$12,$A58)</f>
        <v>#VALUE!</v>
      </c>
      <c r="Z58" s="134" t="e">
        <f>_xll.DBRW($G$3,$U$15,$H$17,$U$13,$U$16,$U$14,Z$2,$U$12,$A58)</f>
        <v>#VALUE!</v>
      </c>
      <c r="AA58" s="131" t="e">
        <f>SUM(S58:Z58)-SUM(S55:Z57)</f>
        <v>#VALUE!</v>
      </c>
      <c r="AB58" s="134" t="e">
        <f t="shared" si="28"/>
        <v>#VALUE!</v>
      </c>
      <c r="AC58" s="134" t="e">
        <f t="shared" si="29"/>
        <v>#VALUE!</v>
      </c>
      <c r="AD58" s="134" t="e">
        <f t="shared" si="30"/>
        <v>#VALUE!</v>
      </c>
      <c r="AE58" s="134" t="e">
        <f t="shared" si="31"/>
        <v>#VALUE!</v>
      </c>
      <c r="AF58" s="134" t="e">
        <f t="shared" si="32"/>
        <v>#VALUE!</v>
      </c>
      <c r="AG58" s="134" t="e">
        <f t="shared" si="33"/>
        <v>#VALUE!</v>
      </c>
      <c r="AH58" s="134" t="e">
        <f t="shared" si="34"/>
        <v>#VALUE!</v>
      </c>
      <c r="AI58" s="134" t="e">
        <f t="shared" si="35"/>
        <v>#VALUE!</v>
      </c>
      <c r="AJ58" s="43"/>
      <c r="AK58" s="47"/>
      <c r="AL58" s="49" t="s">
        <v>61</v>
      </c>
      <c r="AM58" s="47"/>
      <c r="AN58" s="47"/>
      <c r="AO58" s="47"/>
      <c r="AP58" s="47"/>
      <c r="AQ58" s="47"/>
      <c r="AR58" s="47"/>
    </row>
    <row r="59" spans="1:44" ht="21.75" customHeight="1">
      <c r="A59" s="50" t="s">
        <v>12</v>
      </c>
      <c r="B59" s="41"/>
      <c r="C59" s="41"/>
      <c r="D59" s="41">
        <v>38</v>
      </c>
      <c r="G59" s="185" t="e">
        <f>_xll.DBRA(Server&amp;$A$21,$A59,$H$18)</f>
        <v>#N/A</v>
      </c>
      <c r="H59" s="186"/>
      <c r="I59" s="126" t="e">
        <f>_xll.DBRW($G$3,$H$15,$H$17,$H$13,$H$16,$H$14,I$2,$H$12,$A59)</f>
        <v>#VALUE!</v>
      </c>
      <c r="J59" s="127" t="e">
        <f>_xll.DBRW($G$3,$H$15,$H$17,$H$13,$H$16,$H$14,J$2,$H$12,$A59)</f>
        <v>#VALUE!</v>
      </c>
      <c r="K59" s="127" t="e">
        <f>_xll.DBRW($G$3,$H$15,$H$17,$H$13,$H$16,$H$14,K$2,$H$12,$A59)</f>
        <v>#VALUE!</v>
      </c>
      <c r="L59" s="127" t="e">
        <f>_xll.DBRW($G$3,$H$15,$H$17,$H$13,$H$16,$H$14,L$2,$H$12,$A59)</f>
        <v>#VALUE!</v>
      </c>
      <c r="M59" s="127" t="e">
        <f>_xll.DBRW($G$3,$H$15,$H$17,$H$13,$H$16,$H$14,M$2,$H$12,$A59)</f>
        <v>#VALUE!</v>
      </c>
      <c r="N59" s="127" t="e">
        <f>_xll.DBRW($G$3,$H$15,$H$17,$H$13,$H$16,$H$14,N$2,$H$12,$A59)</f>
        <v>#VALUE!</v>
      </c>
      <c r="O59" s="127" t="e">
        <f>_xll.DBRW($G$3,$H$15,$H$17,$H$13,$H$16,$H$14,O$2,$H$12,$A59)</f>
        <v>#VALUE!</v>
      </c>
      <c r="P59" s="128" t="e">
        <f>_xll.DBRW($G$3,$H$15,$H$17,$H$13,$H$16,$H$14,P$2,$H$12,$A59)</f>
        <v>#VALUE!</v>
      </c>
      <c r="Q59" s="131"/>
      <c r="R59" s="131"/>
      <c r="S59" s="126" t="e">
        <f>_xll.DBRW($G$3,$U$15,$H$17,$U$13,$U$16,$U$14,S$2,$U$12,$A59)</f>
        <v>#VALUE!</v>
      </c>
      <c r="T59" s="127" t="e">
        <f>_xll.DBRW($G$3,$U$15,$H$17,$U$13,$U$16,$U$14,T$2,$U$12,$A59)</f>
        <v>#VALUE!</v>
      </c>
      <c r="U59" s="127" t="e">
        <f>_xll.DBRW($G$3,$U$15,$H$17,$U$13,$U$16,$U$14,U$2,$U$12,$A59)</f>
        <v>#VALUE!</v>
      </c>
      <c r="V59" s="127" t="e">
        <f>_xll.DBRW($G$3,$U$15,$H$17,$U$13,$U$16,$U$14,V$2,$U$12,$A59)</f>
        <v>#VALUE!</v>
      </c>
      <c r="W59" s="127" t="e">
        <f>_xll.DBRW($G$3,$U$15,$H$17,$U$13,$U$16,$U$14,W$2,$U$12,$A59)</f>
        <v>#VALUE!</v>
      </c>
      <c r="X59" s="127" t="e">
        <f>_xll.DBRW($G$3,$U$15,$H$17,$U$13,$U$16,$U$14,X$2,$U$12,$A59)</f>
        <v>#VALUE!</v>
      </c>
      <c r="Y59" s="127" t="e">
        <f>_xll.DBRW($G$3,$U$15,$H$17,$U$13,$U$16,$U$14,Y$2,$U$12,$A59)</f>
        <v>#VALUE!</v>
      </c>
      <c r="Z59" s="128" t="e">
        <f>_xll.DBRW($G$3,$U$15,$H$17,$U$13,$U$16,$U$14,Z$2,$U$12,$A59)</f>
        <v>#VALUE!</v>
      </c>
      <c r="AA59" s="131"/>
      <c r="AB59" s="126" t="e">
        <f t="shared" si="28"/>
        <v>#VALUE!</v>
      </c>
      <c r="AC59" s="127" t="e">
        <f t="shared" si="29"/>
        <v>#VALUE!</v>
      </c>
      <c r="AD59" s="127" t="e">
        <f t="shared" si="30"/>
        <v>#VALUE!</v>
      </c>
      <c r="AE59" s="127" t="e">
        <f t="shared" si="31"/>
        <v>#VALUE!</v>
      </c>
      <c r="AF59" s="127" t="e">
        <f t="shared" si="32"/>
        <v>#VALUE!</v>
      </c>
      <c r="AG59" s="127" t="e">
        <f t="shared" si="33"/>
        <v>#VALUE!</v>
      </c>
      <c r="AH59" s="127" t="e">
        <f t="shared" si="34"/>
        <v>#VALUE!</v>
      </c>
      <c r="AI59" s="128" t="e">
        <f t="shared" si="35"/>
        <v>#VALUE!</v>
      </c>
      <c r="AJ59" s="43"/>
      <c r="AK59" s="47"/>
      <c r="AL59" s="49" t="s">
        <v>118</v>
      </c>
      <c r="AM59" s="47"/>
      <c r="AN59" s="47"/>
      <c r="AO59" s="47"/>
      <c r="AP59" s="47"/>
      <c r="AQ59" s="47"/>
      <c r="AR59" s="47"/>
    </row>
    <row r="60" spans="1:44" ht="21.75" customHeight="1" thickBot="1">
      <c r="A60" s="50" t="s">
        <v>13</v>
      </c>
      <c r="B60" s="41"/>
      <c r="C60" s="41"/>
      <c r="D60" s="41">
        <v>39</v>
      </c>
      <c r="G60" s="185" t="e">
        <f>_xll.DBRA(Server&amp;$A$21,$A60,$H$18)</f>
        <v>#N/A</v>
      </c>
      <c r="H60" s="186"/>
      <c r="I60" s="126" t="e">
        <f>_xll.DBRW($G$3,$H$15,$H$17,$H$13,$H$16,$H$14,I$2,$H$12,$A60)</f>
        <v>#VALUE!</v>
      </c>
      <c r="J60" s="127" t="e">
        <f>_xll.DBRW($G$3,$H$15,$H$17,$H$13,$H$16,$H$14,J$2,$H$12,$A60)</f>
        <v>#VALUE!</v>
      </c>
      <c r="K60" s="127" t="e">
        <f>_xll.DBRW($G$3,$H$15,$H$17,$H$13,$H$16,$H$14,K$2,$H$12,$A60)</f>
        <v>#VALUE!</v>
      </c>
      <c r="L60" s="127" t="e">
        <f>_xll.DBRW($G$3,$H$15,$H$17,$H$13,$H$16,$H$14,L$2,$H$12,$A60)</f>
        <v>#VALUE!</v>
      </c>
      <c r="M60" s="127" t="e">
        <f>_xll.DBRW($G$3,$H$15,$H$17,$H$13,$H$16,$H$14,M$2,$H$12,$A60)</f>
        <v>#VALUE!</v>
      </c>
      <c r="N60" s="127" t="e">
        <f>_xll.DBRW($G$3,$H$15,$H$17,$H$13,$H$16,$H$14,N$2,$H$12,$A60)</f>
        <v>#VALUE!</v>
      </c>
      <c r="O60" s="127" t="e">
        <f>_xll.DBRW($G$3,$H$15,$H$17,$H$13,$H$16,$H$14,O$2,$H$12,$A60)</f>
        <v>#VALUE!</v>
      </c>
      <c r="P60" s="128" t="e">
        <f>_xll.DBRW($G$3,$H$15,$H$17,$H$13,$H$16,$H$14,P$2,$H$12,$A60)</f>
        <v>#VALUE!</v>
      </c>
      <c r="Q60" s="131"/>
      <c r="R60" s="131"/>
      <c r="S60" s="126" t="e">
        <f>_xll.DBRW($G$3,$U$15,$H$17,$U$13,$U$16,$U$14,S$2,$U$12,$A60)</f>
        <v>#VALUE!</v>
      </c>
      <c r="T60" s="127" t="e">
        <f>_xll.DBRW($G$3,$U$15,$H$17,$U$13,$U$16,$U$14,T$2,$U$12,$A60)</f>
        <v>#VALUE!</v>
      </c>
      <c r="U60" s="127" t="e">
        <f>_xll.DBRW($G$3,$U$15,$H$17,$U$13,$U$16,$U$14,U$2,$U$12,$A60)</f>
        <v>#VALUE!</v>
      </c>
      <c r="V60" s="127" t="e">
        <f>_xll.DBRW($G$3,$U$15,$H$17,$U$13,$U$16,$U$14,V$2,$U$12,$A60)</f>
        <v>#VALUE!</v>
      </c>
      <c r="W60" s="127" t="e">
        <f>_xll.DBRW($G$3,$U$15,$H$17,$U$13,$U$16,$U$14,W$2,$U$12,$A60)</f>
        <v>#VALUE!</v>
      </c>
      <c r="X60" s="127" t="e">
        <f>_xll.DBRW($G$3,$U$15,$H$17,$U$13,$U$16,$U$14,X$2,$U$12,$A60)</f>
        <v>#VALUE!</v>
      </c>
      <c r="Y60" s="127" t="e">
        <f>_xll.DBRW($G$3,$U$15,$H$17,$U$13,$U$16,$U$14,Y$2,$U$12,$A60)</f>
        <v>#VALUE!</v>
      </c>
      <c r="Z60" s="128" t="e">
        <f>_xll.DBRW($G$3,$U$15,$H$17,$U$13,$U$16,$U$14,Z$2,$U$12,$A60)</f>
        <v>#VALUE!</v>
      </c>
      <c r="AA60" s="131"/>
      <c r="AB60" s="126" t="e">
        <f t="shared" si="28"/>
        <v>#VALUE!</v>
      </c>
      <c r="AC60" s="127" t="e">
        <f t="shared" si="29"/>
        <v>#VALUE!</v>
      </c>
      <c r="AD60" s="127" t="e">
        <f t="shared" si="30"/>
        <v>#VALUE!</v>
      </c>
      <c r="AE60" s="127" t="e">
        <f t="shared" si="31"/>
        <v>#VALUE!</v>
      </c>
      <c r="AF60" s="127" t="e">
        <f t="shared" si="32"/>
        <v>#VALUE!</v>
      </c>
      <c r="AG60" s="127" t="e">
        <f t="shared" si="33"/>
        <v>#VALUE!</v>
      </c>
      <c r="AH60" s="127" t="e">
        <f t="shared" si="34"/>
        <v>#VALUE!</v>
      </c>
      <c r="AI60" s="128" t="e">
        <f t="shared" si="35"/>
        <v>#VALUE!</v>
      </c>
      <c r="AJ60" s="43"/>
      <c r="AK60" s="47"/>
      <c r="AL60" s="49" t="s">
        <v>44</v>
      </c>
      <c r="AM60" s="47"/>
      <c r="AN60" s="47"/>
      <c r="AO60" s="47"/>
      <c r="AP60" s="47"/>
      <c r="AQ60" s="47"/>
      <c r="AR60" s="47"/>
    </row>
    <row r="61" spans="1:44" ht="21.75" customHeight="1" thickBot="1">
      <c r="A61" s="50" t="s">
        <v>14</v>
      </c>
      <c r="B61" s="64"/>
      <c r="C61" s="41"/>
      <c r="D61" s="41">
        <v>40</v>
      </c>
      <c r="G61" s="184" t="e">
        <f>_xll.DBRA(Server&amp;$A$21,$A61,$H$18)</f>
        <v>#N/A</v>
      </c>
      <c r="H61" s="184"/>
      <c r="I61" s="134" t="e">
        <f>_xll.DBRW($G$3,$H$15,$H$17,$H$13,$H$16,$H$14,I$2,$H$12,$A61)</f>
        <v>#VALUE!</v>
      </c>
      <c r="J61" s="134" t="e">
        <f>_xll.DBRW($G$3,$H$15,$H$17,$H$13,$H$16,$H$14,J$2,$H$12,$A61)</f>
        <v>#VALUE!</v>
      </c>
      <c r="K61" s="134" t="e">
        <f>_xll.DBRW($G$3,$H$15,$H$17,$H$13,$H$16,$H$14,K$2,$H$12,$A61)</f>
        <v>#VALUE!</v>
      </c>
      <c r="L61" s="134" t="e">
        <f>_xll.DBRW($G$3,$H$15,$H$17,$H$13,$H$16,$H$14,L$2,$H$12,$A61)</f>
        <v>#VALUE!</v>
      </c>
      <c r="M61" s="134" t="e">
        <f>_xll.DBRW($G$3,$H$15,$H$17,$H$13,$H$16,$H$14,M$2,$H$12,$A61)</f>
        <v>#VALUE!</v>
      </c>
      <c r="N61" s="134" t="e">
        <f>_xll.DBRW($G$3,$H$15,$H$17,$H$13,$H$16,$H$14,N$2,$H$12,$A61)</f>
        <v>#VALUE!</v>
      </c>
      <c r="O61" s="134" t="e">
        <f>_xll.DBRW($G$3,$H$15,$H$17,$H$13,$H$16,$H$14,O$2,$H$12,$A61)</f>
        <v>#VALUE!</v>
      </c>
      <c r="P61" s="134" t="e">
        <f>_xll.DBRW($G$3,$H$15,$H$17,$H$13,$H$16,$H$14,P$2,$H$12,$A61)</f>
        <v>#VALUE!</v>
      </c>
      <c r="Q61" s="131" t="e">
        <f>SUM(I61:P61)-SUM(I58:P60)</f>
        <v>#VALUE!</v>
      </c>
      <c r="R61" s="131"/>
      <c r="S61" s="134" t="e">
        <f>_xll.DBRW($G$3,$U$15,$H$17,$U$13,$U$16,$U$14,S$2,$U$12,$A61)</f>
        <v>#VALUE!</v>
      </c>
      <c r="T61" s="134" t="e">
        <f>_xll.DBRW($G$3,$U$15,$H$17,$U$13,$U$16,$U$14,T$2,$U$12,$A61)</f>
        <v>#VALUE!</v>
      </c>
      <c r="U61" s="134" t="e">
        <f>_xll.DBRW($G$3,$U$15,$H$17,$U$13,$U$16,$U$14,U$2,$U$12,$A61)</f>
        <v>#VALUE!</v>
      </c>
      <c r="V61" s="134" t="e">
        <f>_xll.DBRW($G$3,$U$15,$H$17,$U$13,$U$16,$U$14,V$2,$U$12,$A61)</f>
        <v>#VALUE!</v>
      </c>
      <c r="W61" s="134" t="e">
        <f>_xll.DBRW($G$3,$U$15,$H$17,$U$13,$U$16,$U$14,W$2,$U$12,$A61)</f>
        <v>#VALUE!</v>
      </c>
      <c r="X61" s="134" t="e">
        <f>_xll.DBRW($G$3,$U$15,$H$17,$U$13,$U$16,$U$14,X$2,$U$12,$A61)</f>
        <v>#VALUE!</v>
      </c>
      <c r="Y61" s="134" t="e">
        <f>_xll.DBRW($G$3,$U$15,$H$17,$U$13,$U$16,$U$14,Y$2,$U$12,$A61)</f>
        <v>#VALUE!</v>
      </c>
      <c r="Z61" s="134" t="e">
        <f>_xll.DBRW($G$3,$U$15,$H$17,$U$13,$U$16,$U$14,Z$2,$U$12,$A61)</f>
        <v>#VALUE!</v>
      </c>
      <c r="AA61" s="131" t="e">
        <f>SUM(S61:Z61)-SUM(S58:Z60)</f>
        <v>#VALUE!</v>
      </c>
      <c r="AB61" s="134" t="e">
        <f t="shared" si="28"/>
        <v>#VALUE!</v>
      </c>
      <c r="AC61" s="134" t="e">
        <f t="shared" si="29"/>
        <v>#VALUE!</v>
      </c>
      <c r="AD61" s="134" t="e">
        <f t="shared" si="30"/>
        <v>#VALUE!</v>
      </c>
      <c r="AE61" s="134" t="e">
        <f t="shared" si="31"/>
        <v>#VALUE!</v>
      </c>
      <c r="AF61" s="134" t="e">
        <f t="shared" si="32"/>
        <v>#VALUE!</v>
      </c>
      <c r="AG61" s="134" t="e">
        <f t="shared" si="33"/>
        <v>#VALUE!</v>
      </c>
      <c r="AH61" s="134" t="e">
        <f t="shared" si="34"/>
        <v>#VALUE!</v>
      </c>
      <c r="AI61" s="134" t="e">
        <f t="shared" si="35"/>
        <v>#VALUE!</v>
      </c>
      <c r="AJ61" s="43"/>
      <c r="AK61" s="47"/>
      <c r="AL61" s="49" t="s">
        <v>119</v>
      </c>
      <c r="AM61" s="47"/>
      <c r="AN61" s="47"/>
      <c r="AO61" s="47"/>
      <c r="AP61" s="47"/>
      <c r="AQ61" s="47"/>
      <c r="AR61" s="47"/>
    </row>
    <row r="62" spans="1:44" ht="21.75" customHeight="1">
      <c r="A62" s="50" t="s">
        <v>127</v>
      </c>
      <c r="B62" s="41" t="s">
        <v>146</v>
      </c>
      <c r="C62" s="41" t="s">
        <v>147</v>
      </c>
      <c r="D62" s="41">
        <v>41</v>
      </c>
      <c r="G62" s="185" t="e">
        <f>_xll.DBRA(Server&amp;$A$21,$A62,$H$18)</f>
        <v>#N/A</v>
      </c>
      <c r="H62" s="186"/>
      <c r="I62" s="126" t="e">
        <f>_xll.DBRW($G$3,$H$15,$H$17,$H$13,$H$16,$H$14,I$2,$H$12,$B62)+_xll.DBRW($G$3,$H$15,$H$17,$H$13,$H$16,$H$14,I$2,$H$12,$C62)+_xll.DBRW($G$3,$H$15,$H$17,$H$13,$H$16,$H$14,I$2,$H$12,$A62)</f>
        <v>#VALUE!</v>
      </c>
      <c r="J62" s="126" t="e">
        <f>_xll.DBRW($G$3,$H$15,$H$17,$H$13,$H$16,$H$14,J$2,$H$12,$B62)+_xll.DBRW($G$3,$H$15,$H$17,$H$13,$H$16,$H$14,J$2,$H$12,$C62)+_xll.DBRW($G$3,$H$15,$H$17,$H$13,$H$16,$H$14,J$2,$H$12,$A62)</f>
        <v>#VALUE!</v>
      </c>
      <c r="K62" s="126" t="e">
        <f>_xll.DBRW($G$3,$H$15,$H$17,$H$13,$H$16,$H$14,K$2,$H$12,$B62)+_xll.DBRW($G$3,$H$15,$H$17,$H$13,$H$16,$H$14,K$2,$H$12,$C62)+_xll.DBRW($G$3,$H$15,$H$17,$H$13,$H$16,$H$14,K$2,$H$12,$A62)</f>
        <v>#VALUE!</v>
      </c>
      <c r="L62" s="126" t="e">
        <f>_xll.DBRW($G$3,$H$15,$H$17,$H$13,$H$16,$H$14,L$2,$H$12,$B62)+_xll.DBRW($G$3,$H$15,$H$17,$H$13,$H$16,$H$14,L$2,$H$12,$C62)+_xll.DBRW($G$3,$H$15,$H$17,$H$13,$H$16,$H$14,L$2,$H$12,$A62)</f>
        <v>#VALUE!</v>
      </c>
      <c r="M62" s="126" t="e">
        <f>_xll.DBRW($G$3,$H$15,$H$17,$H$13,$H$16,$H$14,M$2,$H$12,$B62)+_xll.DBRW($G$3,$H$15,$H$17,$H$13,$H$16,$H$14,M$2,$H$12,$C62)+_xll.DBRW($G$3,$H$15,$H$17,$H$13,$H$16,$H$14,M$2,$H$12,$A62)</f>
        <v>#VALUE!</v>
      </c>
      <c r="N62" s="126" t="e">
        <f>_xll.DBRW($G$3,$H$15,$H$17,$H$13,$H$16,$H$14,N$2,$H$12,$B62)+_xll.DBRW($G$3,$H$15,$H$17,$H$13,$H$16,$H$14,N$2,$H$12,$C62)+_xll.DBRW($G$3,$H$15,$H$17,$H$13,$H$16,$H$14,N$2,$H$12,$A62)</f>
        <v>#VALUE!</v>
      </c>
      <c r="O62" s="126" t="e">
        <f>_xll.DBRW($G$3,$H$15,$H$17,$H$13,$H$16,$H$14,O$2,$H$12,$B62)+_xll.DBRW($G$3,$H$15,$H$17,$H$13,$H$16,$H$14,O$2,$H$12,$C62)+_xll.DBRW($G$3,$H$15,$H$17,$H$13,$H$16,$H$14,O$2,$H$12,$A62)</f>
        <v>#VALUE!</v>
      </c>
      <c r="P62" s="126" t="e">
        <f>_xll.DBRW($G$3,$H$15,$H$17,$H$13,$H$16,$H$14,P$2,$H$12,$B62)+_xll.DBRW($G$3,$H$15,$H$17,$H$13,$H$16,$H$14,P$2,$H$12,$C62)+_xll.DBRW($G$3,$H$15,$H$17,$H$13,$H$16,$H$14,P$2,$H$12,$A62)</f>
        <v>#VALUE!</v>
      </c>
      <c r="Q62" s="131"/>
      <c r="R62" s="131"/>
      <c r="S62" s="126" t="e">
        <f>_xll.DBRW($G$3,$U$15,$H$17,$U$13,$U$16,$U$14,S$2,$U$12,$B62)+_xll.DBRW($G$3,$U$15,$H$17,$U$13,$U$16,$U$14,S$2,$U$12,$C62)+_xll.DBRW($G$3,$U$15,$H$17,$U$13,$U$16,$U$14,S$2,$U$12,$A62)</f>
        <v>#VALUE!</v>
      </c>
      <c r="T62" s="126" t="e">
        <f>_xll.DBRW($G$3,$U$15,$H$17,$U$13,$U$16,$U$14,T$2,$U$12,$B62)+_xll.DBRW($G$3,$U$15,$H$17,$U$13,$U$16,$U$14,T$2,$U$12,$C62)+_xll.DBRW($G$3,$U$15,$H$17,$U$13,$U$16,$U$14,T$2,$U$12,$A62)</f>
        <v>#VALUE!</v>
      </c>
      <c r="U62" s="126" t="e">
        <f>_xll.DBRW($G$3,$U$15,$H$17,$U$13,$U$16,$U$14,U$2,$U$12,$B62)+_xll.DBRW($G$3,$U$15,$H$17,$U$13,$U$16,$U$14,U$2,$U$12,$C62)+_xll.DBRW($G$3,$U$15,$H$17,$U$13,$U$16,$U$14,U$2,$U$12,$A62)</f>
        <v>#VALUE!</v>
      </c>
      <c r="V62" s="126" t="e">
        <f>_xll.DBRW($G$3,$U$15,$H$17,$U$13,$U$16,$U$14,V$2,$U$12,$B62)+_xll.DBRW($G$3,$U$15,$H$17,$U$13,$U$16,$U$14,V$2,$U$12,$C62)+_xll.DBRW($G$3,$U$15,$H$17,$U$13,$U$16,$U$14,V$2,$U$12,$A62)</f>
        <v>#VALUE!</v>
      </c>
      <c r="W62" s="126" t="e">
        <f>_xll.DBRW($G$3,$U$15,$H$17,$U$13,$U$16,$U$14,W$2,$U$12,$B62)+_xll.DBRW($G$3,$U$15,$H$17,$U$13,$U$16,$U$14,W$2,$U$12,$C62)+_xll.DBRW($G$3,$U$15,$H$17,$U$13,$U$16,$U$14,W$2,$U$12,$A62)</f>
        <v>#VALUE!</v>
      </c>
      <c r="X62" s="126" t="e">
        <f>_xll.DBRW($G$3,$U$15,$H$17,$U$13,$U$16,$U$14,X$2,$U$12,$B62)+_xll.DBRW($G$3,$U$15,$H$17,$U$13,$U$16,$U$14,X$2,$U$12,$C62)+_xll.DBRW($G$3,$U$15,$H$17,$U$13,$U$16,$U$14,X$2,$U$12,$A62)</f>
        <v>#VALUE!</v>
      </c>
      <c r="Y62" s="126" t="e">
        <f>_xll.DBRW($G$3,$U$15,$H$17,$U$13,$U$16,$U$14,Y$2,$U$12,$B62)+_xll.DBRW($G$3,$U$15,$H$17,$U$13,$U$16,$U$14,Y$2,$U$12,$C62)+_xll.DBRW($G$3,$U$15,$H$17,$U$13,$U$16,$U$14,Y$2,$U$12,$A62)</f>
        <v>#VALUE!</v>
      </c>
      <c r="Z62" s="126" t="e">
        <f>_xll.DBRW($G$3,$U$15,$H$17,$U$13,$U$16,$U$14,Z$2,$U$12,$B62)+_xll.DBRW($G$3,$U$15,$H$17,$U$13,$U$16,$U$14,Z$2,$U$12,$C62)+_xll.DBRW($G$3,$U$15,$H$17,$U$13,$U$16,$U$14,Z$2,$U$12,$A62)</f>
        <v>#VALUE!</v>
      </c>
      <c r="AA62" s="131"/>
      <c r="AB62" s="126" t="e">
        <f t="shared" si="28"/>
        <v>#VALUE!</v>
      </c>
      <c r="AC62" s="126" t="e">
        <f t="shared" si="29"/>
        <v>#VALUE!</v>
      </c>
      <c r="AD62" s="126" t="e">
        <f t="shared" si="30"/>
        <v>#VALUE!</v>
      </c>
      <c r="AE62" s="126" t="e">
        <f t="shared" si="31"/>
        <v>#VALUE!</v>
      </c>
      <c r="AF62" s="126" t="e">
        <f t="shared" si="32"/>
        <v>#VALUE!</v>
      </c>
      <c r="AG62" s="126" t="e">
        <f t="shared" si="33"/>
        <v>#VALUE!</v>
      </c>
      <c r="AH62" s="126" t="e">
        <f t="shared" si="34"/>
        <v>#VALUE!</v>
      </c>
      <c r="AI62" s="126" t="e">
        <f t="shared" si="35"/>
        <v>#VALUE!</v>
      </c>
      <c r="AJ62" s="43"/>
      <c r="AK62" s="47"/>
      <c r="AL62" s="49"/>
      <c r="AM62" s="47"/>
      <c r="AN62" s="47"/>
      <c r="AO62" s="47"/>
      <c r="AP62" s="47"/>
      <c r="AQ62" s="47"/>
      <c r="AR62" s="47"/>
    </row>
    <row r="63" spans="1:44" ht="21.75" customHeight="1">
      <c r="A63" s="50" t="s">
        <v>15</v>
      </c>
      <c r="B63" s="41"/>
      <c r="C63" s="41"/>
      <c r="D63" s="41">
        <v>42</v>
      </c>
      <c r="G63" s="185" t="e">
        <f>_xll.DBRA(Server&amp;$A$21,$A63,$H$18)</f>
        <v>#N/A</v>
      </c>
      <c r="H63" s="186"/>
      <c r="I63" s="126" t="e">
        <f>_xll.DBRW($G$3,$H$15,$H$17,$H$13,$H$16,$H$14,I$2,$H$12,$A63)</f>
        <v>#VALUE!</v>
      </c>
      <c r="J63" s="127" t="e">
        <f>_xll.DBRW($G$3,$H$15,$H$17,$H$13,$H$16,$H$14,J$2,$H$12,$A63)</f>
        <v>#VALUE!</v>
      </c>
      <c r="K63" s="127" t="e">
        <f>_xll.DBRW($G$3,$H$15,$H$17,$H$13,$H$16,$H$14,K$2,$H$12,$A63)</f>
        <v>#VALUE!</v>
      </c>
      <c r="L63" s="127" t="e">
        <f>_xll.DBRW($G$3,$H$15,$H$17,$H$13,$H$16,$H$14,L$2,$H$12,$A63)</f>
        <v>#VALUE!</v>
      </c>
      <c r="M63" s="127" t="e">
        <f>_xll.DBRW($G$3,$H$15,$H$17,$H$13,$H$16,$H$14,M$2,$H$12,$A63)</f>
        <v>#VALUE!</v>
      </c>
      <c r="N63" s="127" t="e">
        <f>_xll.DBRW($G$3,$H$15,$H$17,$H$13,$H$16,$H$14,N$2,$H$12,$A63)</f>
        <v>#VALUE!</v>
      </c>
      <c r="O63" s="127" t="e">
        <f>_xll.DBRW($G$3,$H$15,$H$17,$H$13,$H$16,$H$14,O$2,$H$12,$A63)</f>
        <v>#VALUE!</v>
      </c>
      <c r="P63" s="128" t="e">
        <f>_xll.DBRW($G$3,$H$15,$H$17,$H$13,$H$16,$H$14,P$2,$H$12,$A63)</f>
        <v>#VALUE!</v>
      </c>
      <c r="Q63" s="131"/>
      <c r="R63" s="131"/>
      <c r="S63" s="126" t="e">
        <f>_xll.DBRW($G$3,$U$15,$H$17,$U$13,$U$16,$U$14,S$2,$U$12,$A63)</f>
        <v>#VALUE!</v>
      </c>
      <c r="T63" s="127" t="e">
        <f>_xll.DBRW($G$3,$U$15,$H$17,$U$13,$U$16,$U$14,T$2,$U$12,$A63)</f>
        <v>#VALUE!</v>
      </c>
      <c r="U63" s="127" t="e">
        <f>_xll.DBRW($G$3,$U$15,$H$17,$U$13,$U$16,$U$14,U$2,$U$12,$A63)</f>
        <v>#VALUE!</v>
      </c>
      <c r="V63" s="127" t="e">
        <f>_xll.DBRW($G$3,$U$15,$H$17,$U$13,$U$16,$U$14,V$2,$U$12,$A63)</f>
        <v>#VALUE!</v>
      </c>
      <c r="W63" s="127" t="e">
        <f>_xll.DBRW($G$3,$U$15,$H$17,$U$13,$U$16,$U$14,W$2,$U$12,$A63)</f>
        <v>#VALUE!</v>
      </c>
      <c r="X63" s="127" t="e">
        <f>_xll.DBRW($G$3,$U$15,$H$17,$U$13,$U$16,$U$14,X$2,$U$12,$A63)</f>
        <v>#VALUE!</v>
      </c>
      <c r="Y63" s="127" t="e">
        <f>_xll.DBRW($G$3,$U$15,$H$17,$U$13,$U$16,$U$14,Y$2,$U$12,$A63)</f>
        <v>#VALUE!</v>
      </c>
      <c r="Z63" s="128" t="e">
        <f>_xll.DBRW($G$3,$U$15,$H$17,$U$13,$U$16,$U$14,Z$2,$U$12,$A63)</f>
        <v>#VALUE!</v>
      </c>
      <c r="AA63" s="131"/>
      <c r="AB63" s="126" t="e">
        <f t="shared" si="28"/>
        <v>#VALUE!</v>
      </c>
      <c r="AC63" s="127" t="e">
        <f t="shared" si="29"/>
        <v>#VALUE!</v>
      </c>
      <c r="AD63" s="127" t="e">
        <f t="shared" si="30"/>
        <v>#VALUE!</v>
      </c>
      <c r="AE63" s="127" t="e">
        <f t="shared" si="31"/>
        <v>#VALUE!</v>
      </c>
      <c r="AF63" s="127" t="e">
        <f t="shared" si="32"/>
        <v>#VALUE!</v>
      </c>
      <c r="AG63" s="127" t="e">
        <f t="shared" si="33"/>
        <v>#VALUE!</v>
      </c>
      <c r="AH63" s="127" t="e">
        <f t="shared" si="34"/>
        <v>#VALUE!</v>
      </c>
      <c r="AI63" s="128" t="e">
        <f t="shared" si="35"/>
        <v>#VALUE!</v>
      </c>
      <c r="AJ63" s="43"/>
      <c r="AK63" s="47"/>
      <c r="AL63" s="49"/>
      <c r="AM63" s="47"/>
      <c r="AN63" s="47"/>
      <c r="AO63" s="47"/>
      <c r="AP63" s="47"/>
      <c r="AQ63" s="47"/>
      <c r="AR63" s="47"/>
    </row>
    <row r="64" spans="1:44" ht="21.75" customHeight="1">
      <c r="A64" s="50" t="s">
        <v>16</v>
      </c>
      <c r="B64" s="41" t="s">
        <v>149</v>
      </c>
      <c r="C64" s="41"/>
      <c r="D64" s="41">
        <v>43</v>
      </c>
      <c r="G64" s="185" t="e">
        <f>_xll.DBRA(Server&amp;$A$21,$A64,$H$18)</f>
        <v>#N/A</v>
      </c>
      <c r="H64" s="186"/>
      <c r="I64" s="126" t="e">
        <f>_xll.DBRW($G$3,$H$15,$H$17,$H$13,$H$16,$H$14,I$2,$H$12,$B64)+_xll.DBRW($G$3,$H$15,$H$17,$H$13,$H$16,$H$14,I$2,$H$12,$A64)</f>
        <v>#VALUE!</v>
      </c>
      <c r="J64" s="126" t="e">
        <f>_xll.DBRW($G$3,$H$15,$H$17,$H$13,$H$16,$H$14,J$2,$H$12,$B64)+_xll.DBRW($G$3,$H$15,$H$17,$H$13,$H$16,$H$14,J$2,$H$12,$A64)</f>
        <v>#VALUE!</v>
      </c>
      <c r="K64" s="126" t="e">
        <f>_xll.DBRW($G$3,$H$15,$H$17,$H$13,$H$16,$H$14,K$2,$H$12,$B64)+_xll.DBRW($G$3,$H$15,$H$17,$H$13,$H$16,$H$14,K$2,$H$12,$A64)</f>
        <v>#VALUE!</v>
      </c>
      <c r="L64" s="126" t="e">
        <f>_xll.DBRW($G$3,$H$15,$H$17,$H$13,$H$16,$H$14,L$2,$H$12,$B64)+_xll.DBRW($G$3,$H$15,$H$17,$H$13,$H$16,$H$14,L$2,$H$12,$A64)</f>
        <v>#VALUE!</v>
      </c>
      <c r="M64" s="126" t="e">
        <f>_xll.DBRW($G$3,$H$15,$H$17,$H$13,$H$16,$H$14,M$2,$H$12,$B64)+_xll.DBRW($G$3,$H$15,$H$17,$H$13,$H$16,$H$14,M$2,$H$12,$A64)</f>
        <v>#VALUE!</v>
      </c>
      <c r="N64" s="126" t="e">
        <f>_xll.DBRW($G$3,$H$15,$H$17,$H$13,$H$16,$H$14,N$2,$H$12,$B64)+_xll.DBRW($G$3,$H$15,$H$17,$H$13,$H$16,$H$14,N$2,$H$12,$A64)</f>
        <v>#VALUE!</v>
      </c>
      <c r="O64" s="126" t="e">
        <f>_xll.DBRW($G$3,$H$15,$H$17,$H$13,$H$16,$H$14,O$2,$H$12,$B64)+_xll.DBRW($G$3,$H$15,$H$17,$H$13,$H$16,$H$14,O$2,$H$12,$A64)</f>
        <v>#VALUE!</v>
      </c>
      <c r="P64" s="126" t="e">
        <f>_xll.DBRW($G$3,$H$15,$H$17,$H$13,$H$16,$H$14,P$2,$H$12,$B64)+_xll.DBRW($G$3,$H$15,$H$17,$H$13,$H$16,$H$14,P$2,$H$12,$A64)</f>
        <v>#VALUE!</v>
      </c>
      <c r="Q64" s="131"/>
      <c r="R64" s="131"/>
      <c r="S64" s="126" t="e">
        <f>_xll.DBRW($G$3,$U$15,$H$17,$U$13,$U$16,$U$14,S$2,$U$12,$B64)+_xll.DBRW($G$3,$U$15,$H$17,$U$13,$U$16,$U$14,S$2,$U$12,$A64)</f>
        <v>#VALUE!</v>
      </c>
      <c r="T64" s="126" t="e">
        <f>_xll.DBRW($G$3,$U$15,$H$17,$U$13,$U$16,$U$14,T$2,$U$12,$B64)+_xll.DBRW($G$3,$U$15,$H$17,$U$13,$U$16,$U$14,T$2,$U$12,$A64)</f>
        <v>#VALUE!</v>
      </c>
      <c r="U64" s="126" t="e">
        <f>_xll.DBRW($G$3,$U$15,$H$17,$U$13,$U$16,$U$14,U$2,$U$12,$B64)+_xll.DBRW($G$3,$U$15,$H$17,$U$13,$U$16,$U$14,U$2,$U$12,$A64)</f>
        <v>#VALUE!</v>
      </c>
      <c r="V64" s="126" t="e">
        <f>_xll.DBRW($G$3,$U$15,$H$17,$U$13,$U$16,$U$14,V$2,$U$12,$B64)+_xll.DBRW($G$3,$U$15,$H$17,$U$13,$U$16,$U$14,V$2,$U$12,$A64)</f>
        <v>#VALUE!</v>
      </c>
      <c r="W64" s="126" t="e">
        <f>_xll.DBRW($G$3,$U$15,$H$17,$U$13,$U$16,$U$14,W$2,$U$12,$B64)+_xll.DBRW($G$3,$U$15,$H$17,$U$13,$U$16,$U$14,W$2,$U$12,$A64)</f>
        <v>#VALUE!</v>
      </c>
      <c r="X64" s="126" t="e">
        <f>_xll.DBRW($G$3,$U$15,$H$17,$U$13,$U$16,$U$14,X$2,$U$12,$B64)+_xll.DBRW($G$3,$U$15,$H$17,$U$13,$U$16,$U$14,X$2,$U$12,$A64)</f>
        <v>#VALUE!</v>
      </c>
      <c r="Y64" s="126" t="e">
        <f>_xll.DBRW($G$3,$U$15,$H$17,$U$13,$U$16,$U$14,Y$2,$U$12,$B64)+_xll.DBRW($G$3,$U$15,$H$17,$U$13,$U$16,$U$14,Y$2,$U$12,$A64)</f>
        <v>#VALUE!</v>
      </c>
      <c r="Z64" s="126" t="e">
        <f>_xll.DBRW($G$3,$U$15,$H$17,$U$13,$U$16,$U$14,Z$2,$U$12,$B64)+_xll.DBRW($G$3,$U$15,$H$17,$U$13,$U$16,$U$14,Z$2,$U$12,$A64)</f>
        <v>#VALUE!</v>
      </c>
      <c r="AA64" s="131"/>
      <c r="AB64" s="126" t="e">
        <f t="shared" si="28"/>
        <v>#VALUE!</v>
      </c>
      <c r="AC64" s="126" t="e">
        <f t="shared" si="29"/>
        <v>#VALUE!</v>
      </c>
      <c r="AD64" s="126" t="e">
        <f t="shared" si="30"/>
        <v>#VALUE!</v>
      </c>
      <c r="AE64" s="126" t="e">
        <f t="shared" si="31"/>
        <v>#VALUE!</v>
      </c>
      <c r="AF64" s="126" t="e">
        <f t="shared" si="32"/>
        <v>#VALUE!</v>
      </c>
      <c r="AG64" s="126" t="e">
        <f t="shared" si="33"/>
        <v>#VALUE!</v>
      </c>
      <c r="AH64" s="126" t="e">
        <f t="shared" si="34"/>
        <v>#VALUE!</v>
      </c>
      <c r="AI64" s="126" t="e">
        <f t="shared" si="35"/>
        <v>#VALUE!</v>
      </c>
      <c r="AJ64" s="43"/>
      <c r="AK64" s="47"/>
      <c r="AL64" s="49" t="s">
        <v>125</v>
      </c>
      <c r="AM64" s="47"/>
      <c r="AN64" s="47"/>
      <c r="AO64" s="47"/>
      <c r="AP64" s="47"/>
      <c r="AQ64" s="47"/>
      <c r="AR64" s="47"/>
    </row>
    <row r="65" spans="1:44" ht="21.75" customHeight="1">
      <c r="A65" s="50" t="s">
        <v>17</v>
      </c>
      <c r="B65" s="41"/>
      <c r="C65" s="41"/>
      <c r="D65" s="41">
        <v>44</v>
      </c>
      <c r="G65" s="185" t="e">
        <f>_xll.DBRA(Server&amp;$A$21,$A65,$H$18)</f>
        <v>#N/A</v>
      </c>
      <c r="H65" s="186"/>
      <c r="I65" s="126" t="e">
        <f>_xll.DBRW($G$3,$H$15,$H$17,$H$13,$H$16,$H$14,I$2,$H$12,$A65)</f>
        <v>#VALUE!</v>
      </c>
      <c r="J65" s="127" t="e">
        <f>_xll.DBRW($G$3,$H$15,$H$17,$H$13,$H$16,$H$14,J$2,$H$12,$A65)</f>
        <v>#VALUE!</v>
      </c>
      <c r="K65" s="127" t="e">
        <f>_xll.DBRW($G$3,$H$15,$H$17,$H$13,$H$16,$H$14,K$2,$H$12,$A65)</f>
        <v>#VALUE!</v>
      </c>
      <c r="L65" s="127" t="e">
        <f>_xll.DBRW($G$3,$H$15,$H$17,$H$13,$H$16,$H$14,L$2,$H$12,$A65)</f>
        <v>#VALUE!</v>
      </c>
      <c r="M65" s="127" t="e">
        <f>_xll.DBRW($G$3,$H$15,$H$17,$H$13,$H$16,$H$14,M$2,$H$12,$A65)</f>
        <v>#VALUE!</v>
      </c>
      <c r="N65" s="127" t="e">
        <f>_xll.DBRW($G$3,$H$15,$H$17,$H$13,$H$16,$H$14,N$2,$H$12,$A65)</f>
        <v>#VALUE!</v>
      </c>
      <c r="O65" s="127" t="e">
        <f>_xll.DBRW($G$3,$H$15,$H$17,$H$13,$H$16,$H$14,O$2,$H$12,$A65)</f>
        <v>#VALUE!</v>
      </c>
      <c r="P65" s="128" t="e">
        <f>_xll.DBRW($G$3,$H$15,$H$17,$H$13,$H$16,$H$14,P$2,$H$12,$A65)</f>
        <v>#VALUE!</v>
      </c>
      <c r="Q65" s="131"/>
      <c r="R65" s="131"/>
      <c r="S65" s="126" t="e">
        <f>_xll.DBRW($G$3,$U$15,$H$17,$U$13,$U$16,$U$14,S$2,$U$12,$A65)</f>
        <v>#VALUE!</v>
      </c>
      <c r="T65" s="127" t="e">
        <f>_xll.DBRW($G$3,$U$15,$H$17,$U$13,$U$16,$U$14,T$2,$U$12,$A65)</f>
        <v>#VALUE!</v>
      </c>
      <c r="U65" s="127" t="e">
        <f>_xll.DBRW($G$3,$U$15,$H$17,$U$13,$U$16,$U$14,U$2,$U$12,$A65)</f>
        <v>#VALUE!</v>
      </c>
      <c r="V65" s="127" t="e">
        <f>_xll.DBRW($G$3,$U$15,$H$17,$U$13,$U$16,$U$14,V$2,$U$12,$A65)</f>
        <v>#VALUE!</v>
      </c>
      <c r="W65" s="127" t="e">
        <f>_xll.DBRW($G$3,$U$15,$H$17,$U$13,$U$16,$U$14,W$2,$U$12,$A65)</f>
        <v>#VALUE!</v>
      </c>
      <c r="X65" s="127" t="e">
        <f>_xll.DBRW($G$3,$U$15,$H$17,$U$13,$U$16,$U$14,X$2,$U$12,$A65)</f>
        <v>#VALUE!</v>
      </c>
      <c r="Y65" s="127" t="e">
        <f>_xll.DBRW($G$3,$U$15,$H$17,$U$13,$U$16,$U$14,Y$2,$U$12,$A65)</f>
        <v>#VALUE!</v>
      </c>
      <c r="Z65" s="128" t="e">
        <f>_xll.DBRW($G$3,$U$15,$H$17,$U$13,$U$16,$U$14,Z$2,$U$12,$A65)</f>
        <v>#VALUE!</v>
      </c>
      <c r="AA65" s="131"/>
      <c r="AB65" s="126" t="e">
        <f t="shared" si="28"/>
        <v>#VALUE!</v>
      </c>
      <c r="AC65" s="127" t="e">
        <f t="shared" si="29"/>
        <v>#VALUE!</v>
      </c>
      <c r="AD65" s="127" t="e">
        <f t="shared" si="30"/>
        <v>#VALUE!</v>
      </c>
      <c r="AE65" s="127" t="e">
        <f t="shared" si="31"/>
        <v>#VALUE!</v>
      </c>
      <c r="AF65" s="127" t="e">
        <f t="shared" si="32"/>
        <v>#VALUE!</v>
      </c>
      <c r="AG65" s="127" t="e">
        <f t="shared" si="33"/>
        <v>#VALUE!</v>
      </c>
      <c r="AH65" s="127" t="e">
        <f t="shared" si="34"/>
        <v>#VALUE!</v>
      </c>
      <c r="AI65" s="128" t="e">
        <f t="shared" si="35"/>
        <v>#VALUE!</v>
      </c>
      <c r="AJ65" s="43"/>
      <c r="AK65" s="47"/>
      <c r="AL65" s="47"/>
      <c r="AM65" s="47"/>
      <c r="AN65" s="47"/>
      <c r="AO65" s="47"/>
      <c r="AP65" s="47"/>
      <c r="AQ65" s="47"/>
      <c r="AR65" s="47"/>
    </row>
    <row r="66" spans="1:44" ht="21.75" customHeight="1">
      <c r="A66" s="50" t="s">
        <v>18</v>
      </c>
      <c r="B66" s="41"/>
      <c r="C66" s="41"/>
      <c r="D66" s="41">
        <v>45</v>
      </c>
      <c r="G66" s="185" t="e">
        <f>_xll.DBRA(Server&amp;$A$21,$A66,$H$18)</f>
        <v>#N/A</v>
      </c>
      <c r="H66" s="186"/>
      <c r="I66" s="126" t="e">
        <f>_xll.DBRW($G$3,$H$15,$H$17,$H$13,$H$16,$H$14,I$2,$H$12,$A66)</f>
        <v>#VALUE!</v>
      </c>
      <c r="J66" s="126" t="e">
        <f>_xll.DBRW($G$3,$H$15,$H$17,$H$13,$H$16,$H$14,J$2,$H$12,$A66)</f>
        <v>#VALUE!</v>
      </c>
      <c r="K66" s="126" t="e">
        <f>_xll.DBRW($G$3,$H$15,$H$17,$H$13,$H$16,$H$14,K$2,$H$12,$A66)</f>
        <v>#VALUE!</v>
      </c>
      <c r="L66" s="126" t="e">
        <f>_xll.DBRW($G$3,$H$15,$H$17,$H$13,$H$16,$H$14,L$2,$H$12,$A66)</f>
        <v>#VALUE!</v>
      </c>
      <c r="M66" s="126" t="e">
        <f>_xll.DBRW($G$3,$H$15,$H$17,$H$13,$H$16,$H$14,M$2,$H$12,$A66)</f>
        <v>#VALUE!</v>
      </c>
      <c r="N66" s="126" t="e">
        <f>_xll.DBRW($G$3,$H$15,$H$17,$H$13,$H$16,$H$14,N$2,$H$12,$A66)</f>
        <v>#VALUE!</v>
      </c>
      <c r="O66" s="126" t="e">
        <f>_xll.DBRW($G$3,$H$15,$H$17,$H$13,$H$16,$H$14,O$2,$H$12,$A66)</f>
        <v>#VALUE!</v>
      </c>
      <c r="P66" s="126" t="e">
        <f>_xll.DBRW($G$3,$H$15,$H$17,$H$13,$H$16,$H$14,P$2,$H$12,$A66)</f>
        <v>#VALUE!</v>
      </c>
      <c r="Q66" s="131"/>
      <c r="R66" s="131"/>
      <c r="S66" s="126" t="e">
        <f>_xll.DBRW($G$3,$U$15,$H$17,$U$13,$U$16,$U$14,S$2,$U$12,$A66)</f>
        <v>#VALUE!</v>
      </c>
      <c r="T66" s="126" t="e">
        <f>_xll.DBRW($G$3,$U$15,$H$17,$U$13,$U$16,$U$14,T$2,$U$12,$A66)</f>
        <v>#VALUE!</v>
      </c>
      <c r="U66" s="126" t="e">
        <f>_xll.DBRW($G$3,$U$15,$H$17,$U$13,$U$16,$U$14,U$2,$U$12,$A66)</f>
        <v>#VALUE!</v>
      </c>
      <c r="V66" s="126" t="e">
        <f>_xll.DBRW($G$3,$U$15,$H$17,$U$13,$U$16,$U$14,V$2,$U$12,$A66)</f>
        <v>#VALUE!</v>
      </c>
      <c r="W66" s="126" t="e">
        <f>_xll.DBRW($G$3,$U$15,$H$17,$U$13,$U$16,$U$14,W$2,$U$12,$A66)</f>
        <v>#VALUE!</v>
      </c>
      <c r="X66" s="126" t="e">
        <f>_xll.DBRW($G$3,$U$15,$H$17,$U$13,$U$16,$U$14,X$2,$U$12,$A66)</f>
        <v>#VALUE!</v>
      </c>
      <c r="Y66" s="126" t="e">
        <f>_xll.DBRW($G$3,$U$15,$H$17,$U$13,$U$16,$U$14,Y$2,$U$12,$A66)</f>
        <v>#VALUE!</v>
      </c>
      <c r="Z66" s="126" t="e">
        <f>_xll.DBRW($G$3,$U$15,$H$17,$U$13,$U$16,$U$14,Z$2,$U$12,$A66)</f>
        <v>#VALUE!</v>
      </c>
      <c r="AA66" s="131"/>
      <c r="AB66" s="126" t="e">
        <f t="shared" si="28"/>
        <v>#VALUE!</v>
      </c>
      <c r="AC66" s="126" t="e">
        <f t="shared" si="29"/>
        <v>#VALUE!</v>
      </c>
      <c r="AD66" s="126" t="e">
        <f t="shared" si="30"/>
        <v>#VALUE!</v>
      </c>
      <c r="AE66" s="126" t="e">
        <f t="shared" si="31"/>
        <v>#VALUE!</v>
      </c>
      <c r="AF66" s="126" t="e">
        <f t="shared" si="32"/>
        <v>#VALUE!</v>
      </c>
      <c r="AG66" s="126" t="e">
        <f t="shared" si="33"/>
        <v>#VALUE!</v>
      </c>
      <c r="AH66" s="126" t="e">
        <f t="shared" si="34"/>
        <v>#VALUE!</v>
      </c>
      <c r="AI66" s="126" t="e">
        <f t="shared" si="35"/>
        <v>#VALUE!</v>
      </c>
      <c r="AJ66" s="43"/>
      <c r="AK66" s="47"/>
      <c r="AL66" s="47"/>
      <c r="AM66" s="47"/>
      <c r="AN66" s="47"/>
      <c r="AO66" s="47"/>
      <c r="AP66" s="47"/>
      <c r="AQ66" s="47"/>
      <c r="AR66" s="47"/>
    </row>
    <row r="67" spans="1:44" ht="21.75" customHeight="1">
      <c r="A67" s="50" t="s">
        <v>19</v>
      </c>
      <c r="B67" s="41" t="s">
        <v>150</v>
      </c>
      <c r="C67" s="41"/>
      <c r="D67" s="41">
        <v>46</v>
      </c>
      <c r="G67" s="185" t="e">
        <f>_xll.DBRA(Server&amp;$A$21,$A67,$H$18)</f>
        <v>#N/A</v>
      </c>
      <c r="H67" s="186"/>
      <c r="I67" s="126" t="e">
        <f>_xll.DBRW($G$3,$H$15,$H$17,$H$13,$H$16,$H$14,I$2,$H$12,$B67)+_xll.DBRW($G$3,$H$15,$H$17,$H$13,$H$16,$H$14,I$2,$H$12,$A67)</f>
        <v>#VALUE!</v>
      </c>
      <c r="J67" s="126" t="e">
        <f>_xll.DBRW($G$3,$H$15,$H$17,$H$13,$H$16,$H$14,J$2,$H$12,$B67)+_xll.DBRW($G$3,$H$15,$H$17,$H$13,$H$16,$H$14,J$2,$H$12,$A67)</f>
        <v>#VALUE!</v>
      </c>
      <c r="K67" s="126" t="e">
        <f>_xll.DBRW($G$3,$H$15,$H$17,$H$13,$H$16,$H$14,K$2,$H$12,$B67)+_xll.DBRW($G$3,$H$15,$H$17,$H$13,$H$16,$H$14,K$2,$H$12,$A67)</f>
        <v>#VALUE!</v>
      </c>
      <c r="L67" s="126" t="e">
        <f>_xll.DBRW($G$3,$H$15,$H$17,$H$13,$H$16,$H$14,L$2,$H$12,$B67)+_xll.DBRW($G$3,$H$15,$H$17,$H$13,$H$16,$H$14,L$2,$H$12,$A67)</f>
        <v>#VALUE!</v>
      </c>
      <c r="M67" s="126" t="e">
        <f>_xll.DBRW($G$3,$H$15,$H$17,$H$13,$H$16,$H$14,M$2,$H$12,$B67)+_xll.DBRW($G$3,$H$15,$H$17,$H$13,$H$16,$H$14,M$2,$H$12,$A67)</f>
        <v>#VALUE!</v>
      </c>
      <c r="N67" s="126" t="e">
        <f>_xll.DBRW($G$3,$H$15,$H$17,$H$13,$H$16,$H$14,N$2,$H$12,$B67)+_xll.DBRW($G$3,$H$15,$H$17,$H$13,$H$16,$H$14,N$2,$H$12,$A67)</f>
        <v>#VALUE!</v>
      </c>
      <c r="O67" s="126" t="e">
        <f>_xll.DBRW($G$3,$H$15,$H$17,$H$13,$H$16,$H$14,O$2,$H$12,$B67)+_xll.DBRW($G$3,$H$15,$H$17,$H$13,$H$16,$H$14,O$2,$H$12,$A67)</f>
        <v>#VALUE!</v>
      </c>
      <c r="P67" s="126" t="e">
        <f>_xll.DBRW($G$3,$H$15,$H$17,$H$13,$H$16,$H$14,P$2,$H$12,$B67)+_xll.DBRW($G$3,$H$15,$H$17,$H$13,$H$16,$H$14,P$2,$H$12,$A67)</f>
        <v>#VALUE!</v>
      </c>
      <c r="Q67" s="131"/>
      <c r="R67" s="131"/>
      <c r="S67" s="126" t="e">
        <f>_xll.DBRW($G$3,$U$15,$H$17,$U$13,$U$16,$U$14,S$2,$U$12,$B67)+_xll.DBRW($G$3,$U$15,$H$17,$U$13,$U$16,$U$14,S$2,$U$12,$A67)</f>
        <v>#VALUE!</v>
      </c>
      <c r="T67" s="126" t="e">
        <f>_xll.DBRW($G$3,$U$15,$H$17,$U$13,$U$16,$U$14,T$2,$U$12,$B67)+_xll.DBRW($G$3,$U$15,$H$17,$U$13,$U$16,$U$14,T$2,$U$12,$A67)</f>
        <v>#VALUE!</v>
      </c>
      <c r="U67" s="126" t="e">
        <f>_xll.DBRW($G$3,$U$15,$H$17,$U$13,$U$16,$U$14,U$2,$U$12,$B67)+_xll.DBRW($G$3,$U$15,$H$17,$U$13,$U$16,$U$14,U$2,$U$12,$A67)</f>
        <v>#VALUE!</v>
      </c>
      <c r="V67" s="126" t="e">
        <f>_xll.DBRW($G$3,$U$15,$H$17,$U$13,$U$16,$U$14,V$2,$U$12,$B67)+_xll.DBRW($G$3,$U$15,$H$17,$U$13,$U$16,$U$14,V$2,$U$12,$A67)</f>
        <v>#VALUE!</v>
      </c>
      <c r="W67" s="126" t="e">
        <f>_xll.DBRW($G$3,$U$15,$H$17,$U$13,$U$16,$U$14,W$2,$U$12,$B67)+_xll.DBRW($G$3,$U$15,$H$17,$U$13,$U$16,$U$14,W$2,$U$12,$A67)</f>
        <v>#VALUE!</v>
      </c>
      <c r="X67" s="126" t="e">
        <f>_xll.DBRW($G$3,$U$15,$H$17,$U$13,$U$16,$U$14,X$2,$U$12,$B67)+_xll.DBRW($G$3,$U$15,$H$17,$U$13,$U$16,$U$14,X$2,$U$12,$A67)</f>
        <v>#VALUE!</v>
      </c>
      <c r="Y67" s="126" t="e">
        <f>_xll.DBRW($G$3,$U$15,$H$17,$U$13,$U$16,$U$14,Y$2,$U$12,$B67)+_xll.DBRW($G$3,$U$15,$H$17,$U$13,$U$16,$U$14,Y$2,$U$12,$A67)</f>
        <v>#VALUE!</v>
      </c>
      <c r="Z67" s="126" t="e">
        <f>_xll.DBRW($G$3,$U$15,$H$17,$U$13,$U$16,$U$14,Z$2,$U$12,$B67)+_xll.DBRW($G$3,$U$15,$H$17,$U$13,$U$16,$U$14,Z$2,$U$12,$A67)</f>
        <v>#VALUE!</v>
      </c>
      <c r="AA67" s="131"/>
      <c r="AB67" s="126" t="e">
        <f t="shared" si="28"/>
        <v>#VALUE!</v>
      </c>
      <c r="AC67" s="126" t="e">
        <f t="shared" si="29"/>
        <v>#VALUE!</v>
      </c>
      <c r="AD67" s="126" t="e">
        <f t="shared" si="30"/>
        <v>#VALUE!</v>
      </c>
      <c r="AE67" s="126" t="e">
        <f t="shared" si="31"/>
        <v>#VALUE!</v>
      </c>
      <c r="AF67" s="126" t="e">
        <f t="shared" si="32"/>
        <v>#VALUE!</v>
      </c>
      <c r="AG67" s="126" t="e">
        <f t="shared" si="33"/>
        <v>#VALUE!</v>
      </c>
      <c r="AH67" s="126" t="e">
        <f t="shared" si="34"/>
        <v>#VALUE!</v>
      </c>
      <c r="AI67" s="126" t="e">
        <f t="shared" si="35"/>
        <v>#VALUE!</v>
      </c>
      <c r="AJ67" s="43"/>
      <c r="AK67" s="47"/>
      <c r="AL67" s="47"/>
      <c r="AM67" s="47"/>
      <c r="AN67" s="47"/>
      <c r="AO67" s="47"/>
      <c r="AP67" s="47"/>
      <c r="AQ67" s="47"/>
      <c r="AR67" s="47"/>
    </row>
    <row r="68" spans="1:44" ht="21.75" customHeight="1">
      <c r="A68" s="50" t="s">
        <v>20</v>
      </c>
      <c r="B68" s="41"/>
      <c r="C68" s="41"/>
      <c r="D68" s="41">
        <v>47</v>
      </c>
      <c r="G68" s="185" t="e">
        <f>_xll.DBRA(Server&amp;$A$21,$A68,$H$18)</f>
        <v>#N/A</v>
      </c>
      <c r="H68" s="186"/>
      <c r="I68" s="126" t="e">
        <f>_xll.DBRW($G$3,$H$15,$H$17,$H$13,$H$16,$H$14,I$2,$H$12,$A68)</f>
        <v>#VALUE!</v>
      </c>
      <c r="J68" s="127" t="e">
        <f>_xll.DBRW($G$3,$H$15,$H$17,$H$13,$H$16,$H$14,J$2,$H$12,$A68)</f>
        <v>#VALUE!</v>
      </c>
      <c r="K68" s="127" t="e">
        <f>_xll.DBRW($G$3,$H$15,$H$17,$H$13,$H$16,$H$14,K$2,$H$12,$A68)</f>
        <v>#VALUE!</v>
      </c>
      <c r="L68" s="127" t="e">
        <f>_xll.DBRW($G$3,$H$15,$H$17,$H$13,$H$16,$H$14,L$2,$H$12,$A68)</f>
        <v>#VALUE!</v>
      </c>
      <c r="M68" s="127" t="e">
        <f>_xll.DBRW($G$3,$H$15,$H$17,$H$13,$H$16,$H$14,M$2,$H$12,$A68)</f>
        <v>#VALUE!</v>
      </c>
      <c r="N68" s="127" t="e">
        <f>_xll.DBRW($G$3,$H$15,$H$17,$H$13,$H$16,$H$14,N$2,$H$12,$A68)</f>
        <v>#VALUE!</v>
      </c>
      <c r="O68" s="127" t="e">
        <f>_xll.DBRW($G$3,$H$15,$H$17,$H$13,$H$16,$H$14,O$2,$H$12,$A68)</f>
        <v>#VALUE!</v>
      </c>
      <c r="P68" s="128" t="e">
        <f>_xll.DBRW($G$3,$H$15,$H$17,$H$13,$H$16,$H$14,P$2,$H$12,$A68)</f>
        <v>#VALUE!</v>
      </c>
      <c r="Q68" s="131"/>
      <c r="R68" s="131"/>
      <c r="S68" s="126" t="e">
        <f>_xll.DBRW($G$3,$U$15,$H$17,$U$13,$U$16,$U$14,S$2,$U$12,$A68)</f>
        <v>#VALUE!</v>
      </c>
      <c r="T68" s="127" t="e">
        <f>_xll.DBRW($G$3,$U$15,$H$17,$U$13,$U$16,$U$14,T$2,$U$12,$A68)</f>
        <v>#VALUE!</v>
      </c>
      <c r="U68" s="127" t="e">
        <f>_xll.DBRW($G$3,$U$15,$H$17,$U$13,$U$16,$U$14,U$2,$U$12,$A68)</f>
        <v>#VALUE!</v>
      </c>
      <c r="V68" s="127" t="e">
        <f>_xll.DBRW($G$3,$U$15,$H$17,$U$13,$U$16,$U$14,V$2,$U$12,$A68)</f>
        <v>#VALUE!</v>
      </c>
      <c r="W68" s="127" t="e">
        <f>_xll.DBRW($G$3,$U$15,$H$17,$U$13,$U$16,$U$14,W$2,$U$12,$A68)</f>
        <v>#VALUE!</v>
      </c>
      <c r="X68" s="127" t="e">
        <f>_xll.DBRW($G$3,$U$15,$H$17,$U$13,$U$16,$U$14,X$2,$U$12,$A68)</f>
        <v>#VALUE!</v>
      </c>
      <c r="Y68" s="127" t="e">
        <f>_xll.DBRW($G$3,$U$15,$H$17,$U$13,$U$16,$U$14,Y$2,$U$12,$A68)</f>
        <v>#VALUE!</v>
      </c>
      <c r="Z68" s="128" t="e">
        <f>_xll.DBRW($G$3,$U$15,$H$17,$U$13,$U$16,$U$14,Z$2,$U$12,$A68)</f>
        <v>#VALUE!</v>
      </c>
      <c r="AA68" s="131"/>
      <c r="AB68" s="126" t="e">
        <f t="shared" si="28"/>
        <v>#VALUE!</v>
      </c>
      <c r="AC68" s="127" t="e">
        <f t="shared" si="29"/>
        <v>#VALUE!</v>
      </c>
      <c r="AD68" s="127" t="e">
        <f t="shared" si="30"/>
        <v>#VALUE!</v>
      </c>
      <c r="AE68" s="127" t="e">
        <f t="shared" si="31"/>
        <v>#VALUE!</v>
      </c>
      <c r="AF68" s="127" t="e">
        <f t="shared" si="32"/>
        <v>#VALUE!</v>
      </c>
      <c r="AG68" s="127" t="e">
        <f t="shared" si="33"/>
        <v>#VALUE!</v>
      </c>
      <c r="AH68" s="127" t="e">
        <f t="shared" si="34"/>
        <v>#VALUE!</v>
      </c>
      <c r="AI68" s="128" t="e">
        <f t="shared" si="35"/>
        <v>#VALUE!</v>
      </c>
      <c r="AJ68" s="43"/>
      <c r="AK68" s="47"/>
      <c r="AL68" s="47"/>
      <c r="AM68" s="47"/>
      <c r="AN68" s="47"/>
      <c r="AO68" s="47"/>
      <c r="AP68" s="47"/>
      <c r="AQ68" s="47"/>
      <c r="AR68" s="47"/>
    </row>
    <row r="69" spans="1:44" ht="21.75" customHeight="1">
      <c r="A69" s="50" t="s">
        <v>21</v>
      </c>
      <c r="B69" s="41"/>
      <c r="C69" s="41"/>
      <c r="D69" s="41">
        <v>48</v>
      </c>
      <c r="G69" s="185" t="e">
        <f>_xll.DBRA(Server&amp;$A$21,$A69,$H$18)</f>
        <v>#N/A</v>
      </c>
      <c r="H69" s="186"/>
      <c r="I69" s="126" t="e">
        <f>_xll.DBRW($G$3,$H$15,$H$17,$H$13,$H$16,$H$14,I$2,$H$12,$A69)</f>
        <v>#VALUE!</v>
      </c>
      <c r="J69" s="127" t="e">
        <f>_xll.DBRW($G$3,$H$15,$H$17,$H$13,$H$16,$H$14,J$2,$H$12,$A69)</f>
        <v>#VALUE!</v>
      </c>
      <c r="K69" s="127" t="e">
        <f>_xll.DBRW($G$3,$H$15,$H$17,$H$13,$H$16,$H$14,K$2,$H$12,$A69)</f>
        <v>#VALUE!</v>
      </c>
      <c r="L69" s="127" t="e">
        <f>_xll.DBRW($G$3,$H$15,$H$17,$H$13,$H$16,$H$14,L$2,$H$12,$A69)</f>
        <v>#VALUE!</v>
      </c>
      <c r="M69" s="127" t="e">
        <f>_xll.DBRW($G$3,$H$15,$H$17,$H$13,$H$16,$H$14,M$2,$H$12,$A69)</f>
        <v>#VALUE!</v>
      </c>
      <c r="N69" s="127" t="e">
        <f>_xll.DBRW($G$3,$H$15,$H$17,$H$13,$H$16,$H$14,N$2,$H$12,$A69)</f>
        <v>#VALUE!</v>
      </c>
      <c r="O69" s="127" t="e">
        <f>_xll.DBRW($G$3,$H$15,$H$17,$H$13,$H$16,$H$14,O$2,$H$12,$A69)</f>
        <v>#VALUE!</v>
      </c>
      <c r="P69" s="128" t="e">
        <f>_xll.DBRW($G$3,$H$15,$H$17,$H$13,$H$16,$H$14,P$2,$H$12,$A69)</f>
        <v>#VALUE!</v>
      </c>
      <c r="Q69" s="131"/>
      <c r="R69" s="131"/>
      <c r="S69" s="126" t="e">
        <f>_xll.DBRW($G$3,$U$15,$H$17,$U$13,$U$16,$U$14,S$2,$U$12,$A69)</f>
        <v>#VALUE!</v>
      </c>
      <c r="T69" s="127" t="e">
        <f>_xll.DBRW($G$3,$U$15,$H$17,$U$13,$U$16,$U$14,T$2,$U$12,$A69)</f>
        <v>#VALUE!</v>
      </c>
      <c r="U69" s="127" t="e">
        <f>_xll.DBRW($G$3,$U$15,$H$17,$U$13,$U$16,$U$14,U$2,$U$12,$A69)</f>
        <v>#VALUE!</v>
      </c>
      <c r="V69" s="127" t="e">
        <f>_xll.DBRW($G$3,$U$15,$H$17,$U$13,$U$16,$U$14,V$2,$U$12,$A69)</f>
        <v>#VALUE!</v>
      </c>
      <c r="W69" s="127" t="e">
        <f>_xll.DBRW($G$3,$U$15,$H$17,$U$13,$U$16,$U$14,W$2,$U$12,$A69)</f>
        <v>#VALUE!</v>
      </c>
      <c r="X69" s="127" t="e">
        <f>_xll.DBRW($G$3,$U$15,$H$17,$U$13,$U$16,$U$14,X$2,$U$12,$A69)</f>
        <v>#VALUE!</v>
      </c>
      <c r="Y69" s="127" t="e">
        <f>_xll.DBRW($G$3,$U$15,$H$17,$U$13,$U$16,$U$14,Y$2,$U$12,$A69)</f>
        <v>#VALUE!</v>
      </c>
      <c r="Z69" s="128" t="e">
        <f>_xll.DBRW($G$3,$U$15,$H$17,$U$13,$U$16,$U$14,Z$2,$U$12,$A69)</f>
        <v>#VALUE!</v>
      </c>
      <c r="AA69" s="131"/>
      <c r="AB69" s="126" t="e">
        <f t="shared" si="28"/>
        <v>#VALUE!</v>
      </c>
      <c r="AC69" s="127" t="e">
        <f t="shared" si="29"/>
        <v>#VALUE!</v>
      </c>
      <c r="AD69" s="127" t="e">
        <f t="shared" si="30"/>
        <v>#VALUE!</v>
      </c>
      <c r="AE69" s="127" t="e">
        <f t="shared" si="31"/>
        <v>#VALUE!</v>
      </c>
      <c r="AF69" s="127" t="e">
        <f t="shared" si="32"/>
        <v>#VALUE!</v>
      </c>
      <c r="AG69" s="127" t="e">
        <f t="shared" si="33"/>
        <v>#VALUE!</v>
      </c>
      <c r="AH69" s="127" t="e">
        <f t="shared" si="34"/>
        <v>#VALUE!</v>
      </c>
      <c r="AI69" s="128" t="e">
        <f t="shared" si="35"/>
        <v>#VALUE!</v>
      </c>
      <c r="AJ69" s="43"/>
      <c r="AK69" s="47"/>
      <c r="AL69" s="47"/>
      <c r="AM69" s="47"/>
      <c r="AN69" s="47"/>
      <c r="AO69" s="47"/>
      <c r="AP69" s="47"/>
      <c r="AQ69" s="47"/>
      <c r="AR69" s="47"/>
    </row>
    <row r="70" spans="1:44" ht="21.75" customHeight="1">
      <c r="A70" s="50" t="s">
        <v>22</v>
      </c>
      <c r="B70" s="41"/>
      <c r="C70" s="41"/>
      <c r="D70" s="41">
        <v>49</v>
      </c>
      <c r="G70" s="185" t="e">
        <f>_xll.DBRA(Server&amp;$A$21,$A70,$H$18)</f>
        <v>#N/A</v>
      </c>
      <c r="H70" s="186"/>
      <c r="I70" s="126" t="e">
        <f>_xll.DBRW($G$3,$H$15,$H$17,$H$13,$H$16,$H$14,I$2,$H$12,$A70)</f>
        <v>#VALUE!</v>
      </c>
      <c r="J70" s="127" t="e">
        <f>_xll.DBRW($G$3,$H$15,$H$17,$H$13,$H$16,$H$14,J$2,$H$12,$A70)</f>
        <v>#VALUE!</v>
      </c>
      <c r="K70" s="127" t="e">
        <f>_xll.DBRW($G$3,$H$15,$H$17,$H$13,$H$16,$H$14,K$2,$H$12,$A70)</f>
        <v>#VALUE!</v>
      </c>
      <c r="L70" s="127" t="e">
        <f>_xll.DBRW($G$3,$H$15,$H$17,$H$13,$H$16,$H$14,L$2,$H$12,$A70)</f>
        <v>#VALUE!</v>
      </c>
      <c r="M70" s="127" t="e">
        <f>_xll.DBRW($G$3,$H$15,$H$17,$H$13,$H$16,$H$14,M$2,$H$12,$A70)</f>
        <v>#VALUE!</v>
      </c>
      <c r="N70" s="127" t="e">
        <f>_xll.DBRW($G$3,$H$15,$H$17,$H$13,$H$16,$H$14,N$2,$H$12,$A70)</f>
        <v>#VALUE!</v>
      </c>
      <c r="O70" s="127" t="e">
        <f>_xll.DBRW($G$3,$H$15,$H$17,$H$13,$H$16,$H$14,O$2,$H$12,$A70)</f>
        <v>#VALUE!</v>
      </c>
      <c r="P70" s="128" t="e">
        <f>_xll.DBRW($G$3,$H$15,$H$17,$H$13,$H$16,$H$14,P$2,$H$12,$A70)</f>
        <v>#VALUE!</v>
      </c>
      <c r="Q70" s="131"/>
      <c r="R70" s="131"/>
      <c r="S70" s="126" t="e">
        <f>_xll.DBRW($G$3,$U$15,$H$17,$U$13,$U$16,$U$14,S$2,$U$12,$A70)</f>
        <v>#VALUE!</v>
      </c>
      <c r="T70" s="127" t="e">
        <f>_xll.DBRW($G$3,$U$15,$H$17,$U$13,$U$16,$U$14,T$2,$U$12,$A70)</f>
        <v>#VALUE!</v>
      </c>
      <c r="U70" s="127" t="e">
        <f>_xll.DBRW($G$3,$U$15,$H$17,$U$13,$U$16,$U$14,U$2,$U$12,$A70)</f>
        <v>#VALUE!</v>
      </c>
      <c r="V70" s="127" t="e">
        <f>_xll.DBRW($G$3,$U$15,$H$17,$U$13,$U$16,$U$14,V$2,$U$12,$A70)</f>
        <v>#VALUE!</v>
      </c>
      <c r="W70" s="127" t="e">
        <f>_xll.DBRW($G$3,$U$15,$H$17,$U$13,$U$16,$U$14,W$2,$U$12,$A70)</f>
        <v>#VALUE!</v>
      </c>
      <c r="X70" s="127" t="e">
        <f>_xll.DBRW($G$3,$U$15,$H$17,$U$13,$U$16,$U$14,X$2,$U$12,$A70)</f>
        <v>#VALUE!</v>
      </c>
      <c r="Y70" s="127" t="e">
        <f>_xll.DBRW($G$3,$U$15,$H$17,$U$13,$U$16,$U$14,Y$2,$U$12,$A70)</f>
        <v>#VALUE!</v>
      </c>
      <c r="Z70" s="128" t="e">
        <f>_xll.DBRW($G$3,$U$15,$H$17,$U$13,$U$16,$U$14,Z$2,$U$12,$A70)</f>
        <v>#VALUE!</v>
      </c>
      <c r="AA70" s="131"/>
      <c r="AB70" s="126" t="e">
        <f t="shared" si="28"/>
        <v>#VALUE!</v>
      </c>
      <c r="AC70" s="127" t="e">
        <f t="shared" si="29"/>
        <v>#VALUE!</v>
      </c>
      <c r="AD70" s="127" t="e">
        <f t="shared" si="30"/>
        <v>#VALUE!</v>
      </c>
      <c r="AE70" s="127" t="e">
        <f t="shared" si="31"/>
        <v>#VALUE!</v>
      </c>
      <c r="AF70" s="127" t="e">
        <f t="shared" si="32"/>
        <v>#VALUE!</v>
      </c>
      <c r="AG70" s="127" t="e">
        <f t="shared" si="33"/>
        <v>#VALUE!</v>
      </c>
      <c r="AH70" s="127" t="e">
        <f t="shared" si="34"/>
        <v>#VALUE!</v>
      </c>
      <c r="AI70" s="128" t="e">
        <f t="shared" si="35"/>
        <v>#VALUE!</v>
      </c>
      <c r="AJ70" s="43"/>
      <c r="AK70" s="47"/>
      <c r="AL70" s="47"/>
      <c r="AM70" s="47"/>
      <c r="AN70" s="47"/>
      <c r="AO70" s="47"/>
      <c r="AP70" s="47"/>
      <c r="AQ70" s="47"/>
      <c r="AR70" s="47"/>
    </row>
    <row r="71" spans="1:44" ht="21.75" customHeight="1" thickBot="1">
      <c r="A71" s="50" t="s">
        <v>23</v>
      </c>
      <c r="B71" s="41"/>
      <c r="C71" s="41"/>
      <c r="D71" s="41">
        <v>50</v>
      </c>
      <c r="G71" s="185" t="e">
        <f>_xll.DBRA(Server&amp;$A$21,$A71,$H$18)</f>
        <v>#N/A</v>
      </c>
      <c r="H71" s="186"/>
      <c r="I71" s="126" t="e">
        <f>_xll.DBRW($G$3,$H$15,$H$17,$H$13,$H$16,$H$14,I$2,$H$12,$A71)</f>
        <v>#VALUE!</v>
      </c>
      <c r="J71" s="127" t="e">
        <f>_xll.DBRW($G$3,$H$15,$H$17,$H$13,$H$16,$H$14,J$2,$H$12,$A71)</f>
        <v>#VALUE!</v>
      </c>
      <c r="K71" s="127" t="e">
        <f>_xll.DBRW($G$3,$H$15,$H$17,$H$13,$H$16,$H$14,K$2,$H$12,$A71)</f>
        <v>#VALUE!</v>
      </c>
      <c r="L71" s="127" t="e">
        <f>_xll.DBRW($G$3,$H$15,$H$17,$H$13,$H$16,$H$14,L$2,$H$12,$A71)</f>
        <v>#VALUE!</v>
      </c>
      <c r="M71" s="127" t="e">
        <f>_xll.DBRW($G$3,$H$15,$H$17,$H$13,$H$16,$H$14,M$2,$H$12,$A71)</f>
        <v>#VALUE!</v>
      </c>
      <c r="N71" s="127" t="e">
        <f>_xll.DBRW($G$3,$H$15,$H$17,$H$13,$H$16,$H$14,N$2,$H$12,$A71)</f>
        <v>#VALUE!</v>
      </c>
      <c r="O71" s="127" t="e">
        <f>_xll.DBRW($G$3,$H$15,$H$17,$H$13,$H$16,$H$14,O$2,$H$12,$A71)</f>
        <v>#VALUE!</v>
      </c>
      <c r="P71" s="128" t="e">
        <f>_xll.DBRW($G$3,$H$15,$H$17,$H$13,$H$16,$H$14,P$2,$H$12,$A71)</f>
        <v>#VALUE!</v>
      </c>
      <c r="Q71" s="131"/>
      <c r="R71" s="131"/>
      <c r="S71" s="126" t="e">
        <f>_xll.DBRW($G$3,$U$15,$H$17,$U$13,$U$16,$U$14,S$2,$U$12,$A71)</f>
        <v>#VALUE!</v>
      </c>
      <c r="T71" s="127" t="e">
        <f>_xll.DBRW($G$3,$U$15,$H$17,$U$13,$U$16,$U$14,T$2,$U$12,$A71)</f>
        <v>#VALUE!</v>
      </c>
      <c r="U71" s="127" t="e">
        <f>_xll.DBRW($G$3,$U$15,$H$17,$U$13,$U$16,$U$14,U$2,$U$12,$A71)</f>
        <v>#VALUE!</v>
      </c>
      <c r="V71" s="127" t="e">
        <f>_xll.DBRW($G$3,$U$15,$H$17,$U$13,$U$16,$U$14,V$2,$U$12,$A71)</f>
        <v>#VALUE!</v>
      </c>
      <c r="W71" s="127" t="e">
        <f>_xll.DBRW($G$3,$U$15,$H$17,$U$13,$U$16,$U$14,W$2,$U$12,$A71)</f>
        <v>#VALUE!</v>
      </c>
      <c r="X71" s="127" t="e">
        <f>_xll.DBRW($G$3,$U$15,$H$17,$U$13,$U$16,$U$14,X$2,$U$12,$A71)</f>
        <v>#VALUE!</v>
      </c>
      <c r="Y71" s="127" t="e">
        <f>_xll.DBRW($G$3,$U$15,$H$17,$U$13,$U$16,$U$14,Y$2,$U$12,$A71)</f>
        <v>#VALUE!</v>
      </c>
      <c r="Z71" s="128" t="e">
        <f>_xll.DBRW($G$3,$U$15,$H$17,$U$13,$U$16,$U$14,Z$2,$U$12,$A71)</f>
        <v>#VALUE!</v>
      </c>
      <c r="AA71" s="131"/>
      <c r="AB71" s="126" t="e">
        <f t="shared" si="28"/>
        <v>#VALUE!</v>
      </c>
      <c r="AC71" s="127" t="e">
        <f t="shared" si="29"/>
        <v>#VALUE!</v>
      </c>
      <c r="AD71" s="127" t="e">
        <f t="shared" si="30"/>
        <v>#VALUE!</v>
      </c>
      <c r="AE71" s="127" t="e">
        <f t="shared" si="31"/>
        <v>#VALUE!</v>
      </c>
      <c r="AF71" s="127" t="e">
        <f t="shared" si="32"/>
        <v>#VALUE!</v>
      </c>
      <c r="AG71" s="127" t="e">
        <f t="shared" si="33"/>
        <v>#VALUE!</v>
      </c>
      <c r="AH71" s="127" t="e">
        <f t="shared" si="34"/>
        <v>#VALUE!</v>
      </c>
      <c r="AI71" s="128" t="e">
        <f t="shared" si="35"/>
        <v>#VALUE!</v>
      </c>
      <c r="AJ71" s="43"/>
      <c r="AK71" s="47"/>
      <c r="AL71" s="47"/>
      <c r="AM71" s="47"/>
      <c r="AN71" s="47"/>
      <c r="AO71" s="47"/>
      <c r="AP71" s="47"/>
      <c r="AQ71" s="47"/>
      <c r="AR71" s="47"/>
    </row>
    <row r="72" spans="1:44" ht="21.75" hidden="1" customHeight="1" outlineLevel="1">
      <c r="A72" s="71" t="s">
        <v>130</v>
      </c>
      <c r="B72" s="41"/>
      <c r="C72" s="41"/>
      <c r="D72" s="41">
        <v>51</v>
      </c>
      <c r="G72" s="185" t="e">
        <f>_xll.DBRA(Server&amp;$A$21,$A72,$H$18)</f>
        <v>#N/A</v>
      </c>
      <c r="H72" s="186"/>
      <c r="I72" s="126" t="e">
        <f>_xll.DBRW($G$3,$H$15,$H$17,$H$13,$H$16,$H$14,I$2,$H$12,$A72)</f>
        <v>#VALUE!</v>
      </c>
      <c r="J72" s="127" t="e">
        <f>_xll.DBRW($G$3,$H$15,$H$17,$H$13,$H$16,$H$14,J$2,$H$12,$A72)</f>
        <v>#VALUE!</v>
      </c>
      <c r="K72" s="127" t="e">
        <f>_xll.DBRW($G$3,$H$15,$H$17,$H$13,$H$16,$H$14,K$2,$H$12,$A72)</f>
        <v>#VALUE!</v>
      </c>
      <c r="L72" s="127" t="e">
        <f>_xll.DBRW($G$3,$H$15,$H$17,$H$13,$H$16,$H$14,L$2,$H$12,$A72)</f>
        <v>#VALUE!</v>
      </c>
      <c r="M72" s="127" t="e">
        <f>_xll.DBRW($G$3,$H$15,$H$17,$H$13,$H$16,$H$14,M$2,$H$12,$A72)</f>
        <v>#VALUE!</v>
      </c>
      <c r="N72" s="127" t="e">
        <f>_xll.DBRW($G$3,$H$15,$H$17,$H$13,$H$16,$H$14,N$2,$H$12,$A72)</f>
        <v>#VALUE!</v>
      </c>
      <c r="O72" s="127" t="e">
        <f>_xll.DBRW($G$3,$H$15,$H$17,$H$13,$H$16,$H$14,O$2,$H$12,$A72)</f>
        <v>#VALUE!</v>
      </c>
      <c r="P72" s="128" t="e">
        <f>_xll.DBRW($G$3,$H$15,$H$17,$H$13,$H$16,$H$14,P$2,$H$12,$A72)</f>
        <v>#VALUE!</v>
      </c>
      <c r="Q72" s="131"/>
      <c r="R72" s="131"/>
      <c r="S72" s="126" t="e">
        <f>_xll.DBRW($G$3,$U$15,$H$17,$U$13,$U$16,$U$14,S$2,$U$12,$A72)</f>
        <v>#VALUE!</v>
      </c>
      <c r="T72" s="127" t="e">
        <f>_xll.DBRW($G$3,$U$15,$H$17,$U$13,$U$16,$U$14,T$2,$U$12,$A72)</f>
        <v>#VALUE!</v>
      </c>
      <c r="U72" s="127" t="e">
        <f>_xll.DBRW($G$3,$U$15,$H$17,$U$13,$U$16,$U$14,U$2,$U$12,$A72)</f>
        <v>#VALUE!</v>
      </c>
      <c r="V72" s="127" t="e">
        <f>_xll.DBRW($G$3,$U$15,$H$17,$U$13,$U$16,$U$14,V$2,$U$12,$A72)</f>
        <v>#VALUE!</v>
      </c>
      <c r="W72" s="127" t="e">
        <f>_xll.DBRW($G$3,$U$15,$H$17,$U$13,$U$16,$U$14,W$2,$U$12,$A72)</f>
        <v>#VALUE!</v>
      </c>
      <c r="X72" s="127" t="e">
        <f>_xll.DBRW($G$3,$U$15,$H$17,$U$13,$U$16,$U$14,X$2,$U$12,$A72)</f>
        <v>#VALUE!</v>
      </c>
      <c r="Y72" s="127" t="e">
        <f>_xll.DBRW($G$3,$U$15,$H$17,$U$13,$U$16,$U$14,Y$2,$U$12,$A72)</f>
        <v>#VALUE!</v>
      </c>
      <c r="Z72" s="128" t="e">
        <f>_xll.DBRW($G$3,$U$15,$H$17,$U$13,$U$16,$U$14,Z$2,$U$12,$A72)</f>
        <v>#VALUE!</v>
      </c>
      <c r="AA72" s="131"/>
      <c r="AB72" s="126" t="e">
        <f t="shared" si="28"/>
        <v>#VALUE!</v>
      </c>
      <c r="AC72" s="127" t="e">
        <f t="shared" si="29"/>
        <v>#VALUE!</v>
      </c>
      <c r="AD72" s="127" t="e">
        <f t="shared" si="30"/>
        <v>#VALUE!</v>
      </c>
      <c r="AE72" s="127" t="e">
        <f t="shared" si="31"/>
        <v>#VALUE!</v>
      </c>
      <c r="AF72" s="127" t="e">
        <f t="shared" si="32"/>
        <v>#VALUE!</v>
      </c>
      <c r="AG72" s="127" t="e">
        <f t="shared" si="33"/>
        <v>#VALUE!</v>
      </c>
      <c r="AH72" s="127" t="e">
        <f t="shared" si="34"/>
        <v>#VALUE!</v>
      </c>
      <c r="AI72" s="128" t="e">
        <f t="shared" si="35"/>
        <v>#VALUE!</v>
      </c>
      <c r="AJ72" s="43"/>
      <c r="AK72" s="47"/>
      <c r="AL72" s="47"/>
      <c r="AM72" s="47"/>
      <c r="AN72" s="47"/>
      <c r="AO72" s="47"/>
      <c r="AP72" s="47"/>
      <c r="AQ72" s="47"/>
      <c r="AR72" s="47"/>
    </row>
    <row r="73" spans="1:44" ht="21.75" hidden="1" customHeight="1" outlineLevel="1" thickBot="1">
      <c r="A73" s="71" t="s">
        <v>131</v>
      </c>
      <c r="B73" s="41"/>
      <c r="C73" s="41"/>
      <c r="D73" s="41">
        <v>52</v>
      </c>
      <c r="G73" s="185" t="e">
        <f>_xll.DBRA(Server&amp;$A$21,$A73,$H$18)</f>
        <v>#N/A</v>
      </c>
      <c r="H73" s="186"/>
      <c r="I73" s="126" t="e">
        <f>_xll.DBRW($G$3,$H$15,$H$17,$H$13,$H$16,$H$14,I$2,$H$12,$A73)</f>
        <v>#VALUE!</v>
      </c>
      <c r="J73" s="127" t="e">
        <f>_xll.DBRW($G$3,$H$15,$H$17,$H$13,$H$16,$H$14,J$2,$H$12,$A73)</f>
        <v>#VALUE!</v>
      </c>
      <c r="K73" s="127" t="e">
        <f>_xll.DBRW($G$3,$H$15,$H$17,$H$13,$H$16,$H$14,K$2,$H$12,$A73)</f>
        <v>#VALUE!</v>
      </c>
      <c r="L73" s="127" t="e">
        <f>_xll.DBRW($G$3,$H$15,$H$17,$H$13,$H$16,$H$14,L$2,$H$12,$A73)</f>
        <v>#VALUE!</v>
      </c>
      <c r="M73" s="127" t="e">
        <f>_xll.DBRW($G$3,$H$15,$H$17,$H$13,$H$16,$H$14,M$2,$H$12,$A73)</f>
        <v>#VALUE!</v>
      </c>
      <c r="N73" s="127" t="e">
        <f>_xll.DBRW($G$3,$H$15,$H$17,$H$13,$H$16,$H$14,N$2,$H$12,$A73)</f>
        <v>#VALUE!</v>
      </c>
      <c r="O73" s="127" t="e">
        <f>_xll.DBRW($G$3,$H$15,$H$17,$H$13,$H$16,$H$14,O$2,$H$12,$A73)</f>
        <v>#VALUE!</v>
      </c>
      <c r="P73" s="128" t="e">
        <f>_xll.DBRW($G$3,$H$15,$H$17,$H$13,$H$16,$H$14,P$2,$H$12,$A73)</f>
        <v>#VALUE!</v>
      </c>
      <c r="Q73" s="131"/>
      <c r="R73" s="131"/>
      <c r="S73" s="126" t="e">
        <f>_xll.DBRW($G$3,$U$15,$H$17,$U$13,$U$16,$U$14,S$2,$U$12,$A73)</f>
        <v>#VALUE!</v>
      </c>
      <c r="T73" s="127" t="e">
        <f>_xll.DBRW($G$3,$U$15,$H$17,$U$13,$U$16,$U$14,T$2,$U$12,$A73)</f>
        <v>#VALUE!</v>
      </c>
      <c r="U73" s="127" t="e">
        <f>_xll.DBRW($G$3,$U$15,$H$17,$U$13,$U$16,$U$14,U$2,$U$12,$A73)</f>
        <v>#VALUE!</v>
      </c>
      <c r="V73" s="127" t="e">
        <f>_xll.DBRW($G$3,$U$15,$H$17,$U$13,$U$16,$U$14,V$2,$U$12,$A73)</f>
        <v>#VALUE!</v>
      </c>
      <c r="W73" s="127" t="e">
        <f>_xll.DBRW($G$3,$U$15,$H$17,$U$13,$U$16,$U$14,W$2,$U$12,$A73)</f>
        <v>#VALUE!</v>
      </c>
      <c r="X73" s="127" t="e">
        <f>_xll.DBRW($G$3,$U$15,$H$17,$U$13,$U$16,$U$14,X$2,$U$12,$A73)</f>
        <v>#VALUE!</v>
      </c>
      <c r="Y73" s="127" t="e">
        <f>_xll.DBRW($G$3,$U$15,$H$17,$U$13,$U$16,$U$14,Y$2,$U$12,$A73)</f>
        <v>#VALUE!</v>
      </c>
      <c r="Z73" s="128" t="e">
        <f>_xll.DBRW($G$3,$U$15,$H$17,$U$13,$U$16,$U$14,Z$2,$U$12,$A73)</f>
        <v>#VALUE!</v>
      </c>
      <c r="AA73" s="131"/>
      <c r="AB73" s="126" t="e">
        <f t="shared" si="28"/>
        <v>#VALUE!</v>
      </c>
      <c r="AC73" s="127" t="e">
        <f t="shared" si="29"/>
        <v>#VALUE!</v>
      </c>
      <c r="AD73" s="127" t="e">
        <f t="shared" si="30"/>
        <v>#VALUE!</v>
      </c>
      <c r="AE73" s="127" t="e">
        <f t="shared" si="31"/>
        <v>#VALUE!</v>
      </c>
      <c r="AF73" s="127" t="e">
        <f t="shared" si="32"/>
        <v>#VALUE!</v>
      </c>
      <c r="AG73" s="127" t="e">
        <f t="shared" si="33"/>
        <v>#VALUE!</v>
      </c>
      <c r="AH73" s="127" t="e">
        <f t="shared" si="34"/>
        <v>#VALUE!</v>
      </c>
      <c r="AI73" s="128" t="e">
        <f t="shared" si="35"/>
        <v>#VALUE!</v>
      </c>
      <c r="AJ73" s="43"/>
      <c r="AK73" s="47"/>
      <c r="AL73" s="47"/>
      <c r="AM73" s="47"/>
      <c r="AN73" s="47"/>
      <c r="AO73" s="47"/>
      <c r="AP73" s="47"/>
      <c r="AQ73" s="47"/>
      <c r="AR73" s="47"/>
    </row>
    <row r="74" spans="1:44" ht="21.75" customHeight="1" collapsed="1" thickBot="1">
      <c r="A74" s="50" t="s">
        <v>24</v>
      </c>
      <c r="B74" s="64"/>
      <c r="C74" s="41"/>
      <c r="D74" s="41">
        <v>53</v>
      </c>
      <c r="G74" s="184" t="e">
        <f>_xll.DBRA(Server&amp;$A$21,$A74,$H$18)</f>
        <v>#N/A</v>
      </c>
      <c r="H74" s="184"/>
      <c r="I74" s="134" t="e">
        <f>_xll.DBRW($G$3,$H$15,$H$17,$H$13,$H$16,$H$14,I$2,$H$12,$A74)</f>
        <v>#VALUE!</v>
      </c>
      <c r="J74" s="134" t="e">
        <f>_xll.DBRW($G$3,$H$15,$H$17,$H$13,$H$16,$H$14,J$2,$H$12,$A74)</f>
        <v>#VALUE!</v>
      </c>
      <c r="K74" s="134" t="e">
        <f>_xll.DBRW($G$3,$H$15,$H$17,$H$13,$H$16,$H$14,K$2,$H$12,$A74)</f>
        <v>#VALUE!</v>
      </c>
      <c r="L74" s="134" t="e">
        <f>_xll.DBRW($G$3,$H$15,$H$17,$H$13,$H$16,$H$14,L$2,$H$12,$A74)</f>
        <v>#VALUE!</v>
      </c>
      <c r="M74" s="134" t="e">
        <f>_xll.DBRW($G$3,$H$15,$H$17,$H$13,$H$16,$H$14,M$2,$H$12,$A74)</f>
        <v>#VALUE!</v>
      </c>
      <c r="N74" s="134" t="e">
        <f>_xll.DBRW($G$3,$H$15,$H$17,$H$13,$H$16,$H$14,N$2,$H$12,$A74)</f>
        <v>#VALUE!</v>
      </c>
      <c r="O74" s="134" t="e">
        <f>_xll.DBRW($G$3,$H$15,$H$17,$H$13,$H$16,$H$14,O$2,$H$12,$A74)</f>
        <v>#VALUE!</v>
      </c>
      <c r="P74" s="134" t="e">
        <f>_xll.DBRW($G$3,$H$15,$H$17,$H$13,$H$16,$H$14,P$2,$H$12,$A74)</f>
        <v>#VALUE!</v>
      </c>
      <c r="Q74" s="131" t="e">
        <f>SUM(I74:P74)-SUM(I62:P73)</f>
        <v>#VALUE!</v>
      </c>
      <c r="R74" s="131"/>
      <c r="S74" s="134" t="e">
        <f>_xll.DBRW($G$3,$U$15,$H$17,$U$13,$U$16,$U$14,S$2,$U$12,$A74)</f>
        <v>#VALUE!</v>
      </c>
      <c r="T74" s="134" t="e">
        <f>_xll.DBRW($G$3,$U$15,$H$17,$U$13,$U$16,$U$14,T$2,$U$12,$A74)</f>
        <v>#VALUE!</v>
      </c>
      <c r="U74" s="134" t="e">
        <f>_xll.DBRW($G$3,$U$15,$H$17,$U$13,$U$16,$U$14,U$2,$U$12,$A74)</f>
        <v>#VALUE!</v>
      </c>
      <c r="V74" s="134" t="e">
        <f>_xll.DBRW($G$3,$U$15,$H$17,$U$13,$U$16,$U$14,V$2,$U$12,$A74)</f>
        <v>#VALUE!</v>
      </c>
      <c r="W74" s="134" t="e">
        <f>_xll.DBRW($G$3,$U$15,$H$17,$U$13,$U$16,$U$14,W$2,$U$12,$A74)</f>
        <v>#VALUE!</v>
      </c>
      <c r="X74" s="134" t="e">
        <f>_xll.DBRW($G$3,$U$15,$H$17,$U$13,$U$16,$U$14,X$2,$U$12,$A74)</f>
        <v>#VALUE!</v>
      </c>
      <c r="Y74" s="134" t="e">
        <f>_xll.DBRW($G$3,$U$15,$H$17,$U$13,$U$16,$U$14,Y$2,$U$12,$A74)</f>
        <v>#VALUE!</v>
      </c>
      <c r="Z74" s="134" t="e">
        <f>_xll.DBRW($G$3,$U$15,$H$17,$U$13,$U$16,$U$14,Z$2,$U$12,$A74)</f>
        <v>#VALUE!</v>
      </c>
      <c r="AA74" s="131" t="e">
        <f>SUM(S74:Z74)-SUM(S62:Z73)</f>
        <v>#VALUE!</v>
      </c>
      <c r="AB74" s="134" t="e">
        <f t="shared" si="28"/>
        <v>#VALUE!</v>
      </c>
      <c r="AC74" s="134" t="e">
        <f t="shared" si="29"/>
        <v>#VALUE!</v>
      </c>
      <c r="AD74" s="134" t="e">
        <f t="shared" si="30"/>
        <v>#VALUE!</v>
      </c>
      <c r="AE74" s="134" t="e">
        <f t="shared" si="31"/>
        <v>#VALUE!</v>
      </c>
      <c r="AF74" s="134" t="e">
        <f t="shared" si="32"/>
        <v>#VALUE!</v>
      </c>
      <c r="AG74" s="134" t="e">
        <f t="shared" si="33"/>
        <v>#VALUE!</v>
      </c>
      <c r="AH74" s="134" t="e">
        <f t="shared" si="34"/>
        <v>#VALUE!</v>
      </c>
      <c r="AI74" s="134" t="e">
        <f t="shared" si="35"/>
        <v>#VALUE!</v>
      </c>
      <c r="AJ74" s="43"/>
      <c r="AK74" s="47"/>
      <c r="AL74" s="47"/>
      <c r="AM74" s="47"/>
      <c r="AN74" s="47"/>
      <c r="AO74" s="47"/>
      <c r="AP74" s="47" t="s">
        <v>81</v>
      </c>
      <c r="AQ74" s="47" t="s">
        <v>68</v>
      </c>
      <c r="AR74" s="47"/>
    </row>
    <row r="75" spans="1:44" ht="21.75" customHeight="1" thickBot="1">
      <c r="A75" s="50" t="s">
        <v>25</v>
      </c>
      <c r="B75" s="64"/>
      <c r="C75" s="41"/>
      <c r="D75" s="41">
        <v>54</v>
      </c>
      <c r="G75" s="184" t="e">
        <f>_xll.DBRA(Server&amp;$A$21,$A75,$H$18)</f>
        <v>#N/A</v>
      </c>
      <c r="H75" s="184"/>
      <c r="I75" s="134" t="e">
        <f>_xll.DBRW($G$3,$H$15,$H$17,$H$13,$H$16,$H$14,I$2,$H$12,$A75)</f>
        <v>#VALUE!</v>
      </c>
      <c r="J75" s="134" t="e">
        <f>_xll.DBRW($G$3,$H$15,$H$17,$H$13,$H$16,$H$14,J$2,$H$12,$A75)</f>
        <v>#VALUE!</v>
      </c>
      <c r="K75" s="134" t="e">
        <f>_xll.DBRW($G$3,$H$15,$H$17,$H$13,$H$16,$H$14,K$2,$H$12,$A75)</f>
        <v>#VALUE!</v>
      </c>
      <c r="L75" s="134" t="e">
        <f>_xll.DBRW($G$3,$H$15,$H$17,$H$13,$H$16,$H$14,L$2,$H$12,$A75)</f>
        <v>#VALUE!</v>
      </c>
      <c r="M75" s="134" t="e">
        <f>_xll.DBRW($G$3,$H$15,$H$17,$H$13,$H$16,$H$14,M$2,$H$12,$A75)</f>
        <v>#VALUE!</v>
      </c>
      <c r="N75" s="134" t="e">
        <f>_xll.DBRW($G$3,$H$15,$H$17,$H$13,$H$16,$H$14,N$2,$H$12,$A75)</f>
        <v>#VALUE!</v>
      </c>
      <c r="O75" s="134" t="e">
        <f>_xll.DBRW($G$3,$H$15,$H$17,$H$13,$H$16,$H$14,O$2,$H$12,$A75)</f>
        <v>#VALUE!</v>
      </c>
      <c r="P75" s="134" t="e">
        <f>_xll.DBRW($G$3,$H$15,$H$17,$H$13,$H$16,$H$14,P$2,$H$12,$A75)</f>
        <v>#VALUE!</v>
      </c>
      <c r="Q75" s="131" t="e">
        <f>SUM(I75:P75)-SUM(I74:P74)-SUM(I61:P61)</f>
        <v>#VALUE!</v>
      </c>
      <c r="R75" s="131"/>
      <c r="S75" s="134" t="e">
        <f>_xll.DBRW($G$3,$U$15,$H$17,$U$13,$U$16,$U$14,S$2,$U$12,$A75)</f>
        <v>#VALUE!</v>
      </c>
      <c r="T75" s="134" t="e">
        <f>_xll.DBRW($G$3,$U$15,$H$17,$U$13,$U$16,$U$14,T$2,$U$12,$A75)</f>
        <v>#VALUE!</v>
      </c>
      <c r="U75" s="134" t="e">
        <f>_xll.DBRW($G$3,$U$15,$H$17,$U$13,$U$16,$U$14,U$2,$U$12,$A75)</f>
        <v>#VALUE!</v>
      </c>
      <c r="V75" s="134" t="e">
        <f>_xll.DBRW($G$3,$U$15,$H$17,$U$13,$U$16,$U$14,V$2,$U$12,$A75)</f>
        <v>#VALUE!</v>
      </c>
      <c r="W75" s="134" t="e">
        <f>_xll.DBRW($G$3,$U$15,$H$17,$U$13,$U$16,$U$14,W$2,$U$12,$A75)</f>
        <v>#VALUE!</v>
      </c>
      <c r="X75" s="134" t="e">
        <f>_xll.DBRW($G$3,$U$15,$H$17,$U$13,$U$16,$U$14,X$2,$U$12,$A75)</f>
        <v>#VALUE!</v>
      </c>
      <c r="Y75" s="134" t="e">
        <f>_xll.DBRW($G$3,$U$15,$H$17,$U$13,$U$16,$U$14,Y$2,$U$12,$A75)</f>
        <v>#VALUE!</v>
      </c>
      <c r="Z75" s="134" t="e">
        <f>_xll.DBRW($G$3,$U$15,$H$17,$U$13,$U$16,$U$14,Z$2,$U$12,$A75)</f>
        <v>#VALUE!</v>
      </c>
      <c r="AA75" s="131" t="e">
        <f>SUM(S75:Z75)-SUM(S74:Z74)-SUM(S61:Z61)</f>
        <v>#VALUE!</v>
      </c>
      <c r="AB75" s="134" t="e">
        <f t="shared" si="28"/>
        <v>#VALUE!</v>
      </c>
      <c r="AC75" s="134" t="e">
        <f t="shared" si="29"/>
        <v>#VALUE!</v>
      </c>
      <c r="AD75" s="134" t="e">
        <f t="shared" si="30"/>
        <v>#VALUE!</v>
      </c>
      <c r="AE75" s="134" t="e">
        <f t="shared" si="31"/>
        <v>#VALUE!</v>
      </c>
      <c r="AF75" s="134" t="e">
        <f t="shared" si="32"/>
        <v>#VALUE!</v>
      </c>
      <c r="AG75" s="134" t="e">
        <f t="shared" si="33"/>
        <v>#VALUE!</v>
      </c>
      <c r="AH75" s="134" t="e">
        <f t="shared" si="34"/>
        <v>#VALUE!</v>
      </c>
      <c r="AI75" s="134" t="e">
        <f t="shared" si="35"/>
        <v>#VALUE!</v>
      </c>
      <c r="AJ75" s="43"/>
      <c r="AK75" s="47"/>
      <c r="AL75" s="47"/>
      <c r="AM75" s="47"/>
      <c r="AN75" s="47"/>
      <c r="AO75" s="47"/>
      <c r="AP75" s="47" t="s">
        <v>61</v>
      </c>
      <c r="AQ75" s="47" t="s">
        <v>69</v>
      </c>
      <c r="AR75" s="47"/>
    </row>
    <row r="76" spans="1:44" ht="21.75" customHeight="1">
      <c r="A76" s="50" t="s">
        <v>154</v>
      </c>
      <c r="B76" s="41" t="s">
        <v>153</v>
      </c>
      <c r="C76" s="41"/>
      <c r="D76" s="41">
        <v>55</v>
      </c>
      <c r="F76" s="23"/>
      <c r="G76" s="195" t="e">
        <f>G38</f>
        <v>#N/A</v>
      </c>
      <c r="H76" s="196"/>
      <c r="I76" s="140" t="e">
        <f>_xll.DBRW($G$3,$H$15,$H$17,$H$13,$H$16,$H$14,I$2,$H$12,$B76)+_xll.DBRW($G$3,$H$15,$H$17,$H$13,$H$16,$H$14,I$2,$H$12,$A76)</f>
        <v>#VALUE!</v>
      </c>
      <c r="J76" s="140" t="e">
        <f>_xll.DBRW($G$3,$H$15,$H$17,$H$13,$H$16,$H$14,J$2,$H$12,$B76)+_xll.DBRW($G$3,$H$15,$H$17,$H$13,$H$16,$H$14,J$2,$H$12,$A76)</f>
        <v>#VALUE!</v>
      </c>
      <c r="K76" s="140" t="e">
        <f>_xll.DBRW($G$3,$H$15,$H$17,$H$13,$H$16,$H$14,K$2,$H$12,$B76)+_xll.DBRW($G$3,$H$15,$H$17,$H$13,$H$16,$H$14,K$2,$H$12,$A76)</f>
        <v>#VALUE!</v>
      </c>
      <c r="L76" s="140" t="e">
        <f>_xll.DBRW($G$3,$H$15,$H$17,$H$13,$H$16,$H$14,L$2,$H$12,$B76)+_xll.DBRW($G$3,$H$15,$H$17,$H$13,$H$16,$H$14,L$2,$H$12,$A76)</f>
        <v>#VALUE!</v>
      </c>
      <c r="M76" s="140" t="e">
        <f>_xll.DBRW($G$3,$H$15,$H$17,$H$13,$H$16,$H$14,M$2,$H$12,$B76)+_xll.DBRW($G$3,$H$15,$H$17,$H$13,$H$16,$H$14,M$2,$H$12,$A76)</f>
        <v>#VALUE!</v>
      </c>
      <c r="N76" s="140" t="e">
        <f>_xll.DBRW($G$3,$H$15,$H$17,$H$13,$H$16,$H$14,N$2,$H$12,$B76)+_xll.DBRW($G$3,$H$15,$H$17,$H$13,$H$16,$H$14,N$2,$H$12,$A76)</f>
        <v>#VALUE!</v>
      </c>
      <c r="O76" s="140" t="e">
        <f>_xll.DBRW($G$3,$H$15,$H$17,$H$13,$H$16,$H$14,O$2,$H$12,$B76)+_xll.DBRW($G$3,$H$15,$H$17,$H$13,$H$16,$H$14,O$2,$H$12,$A76)</f>
        <v>#VALUE!</v>
      </c>
      <c r="P76" s="140" t="e">
        <f>_xll.DBRW($G$3,$H$15,$H$17,$H$13,$H$16,$H$14,P$2,$H$12,$B76)+_xll.DBRW($G$3,$H$15,$H$17,$H$13,$H$16,$H$14,P$2,$H$12,$A76)</f>
        <v>#VALUE!</v>
      </c>
      <c r="Q76" s="131"/>
      <c r="R76" s="131"/>
      <c r="S76" s="140" t="e">
        <f>_xll.DBRW($G$3,$U$15,$H$17,$U$13,$U$16,$U$14,S$2,$U$12,$B76)+_xll.DBRW($G$3,$U$15,$H$17,$U$13,$U$16,$U$14,S$2,$U$12,$A76)</f>
        <v>#VALUE!</v>
      </c>
      <c r="T76" s="140" t="e">
        <f>_xll.DBRW($G$3,$U$15,$H$17,$U$13,$U$16,$U$14,T$2,$U$12,$B76)+_xll.DBRW($G$3,$U$15,$H$17,$U$13,$U$16,$U$14,T$2,$U$12,$A76)</f>
        <v>#VALUE!</v>
      </c>
      <c r="U76" s="140" t="e">
        <f>_xll.DBRW($G$3,$U$15,$H$17,$U$13,$U$16,$U$14,U$2,$U$12,$B76)+_xll.DBRW($G$3,$U$15,$H$17,$U$13,$U$16,$U$14,U$2,$U$12,$A76)</f>
        <v>#VALUE!</v>
      </c>
      <c r="V76" s="140" t="e">
        <f>_xll.DBRW($G$3,$U$15,$H$17,$U$13,$U$16,$U$14,V$2,$U$12,$B76)+_xll.DBRW($G$3,$U$15,$H$17,$U$13,$U$16,$U$14,V$2,$U$12,$A76)</f>
        <v>#VALUE!</v>
      </c>
      <c r="W76" s="140" t="e">
        <f>_xll.DBRW($G$3,$U$15,$H$17,$U$13,$U$16,$U$14,W$2,$U$12,$B76)+_xll.DBRW($G$3,$U$15,$H$17,$U$13,$U$16,$U$14,W$2,$U$12,$A76)</f>
        <v>#VALUE!</v>
      </c>
      <c r="X76" s="140" t="e">
        <f>_xll.DBRW($G$3,$U$15,$H$17,$U$13,$U$16,$U$14,X$2,$U$12,$B76)+_xll.DBRW($G$3,$U$15,$H$17,$U$13,$U$16,$U$14,X$2,$U$12,$A76)</f>
        <v>#VALUE!</v>
      </c>
      <c r="Y76" s="140" t="e">
        <f>_xll.DBRW($G$3,$U$15,$H$17,$U$13,$U$16,$U$14,Y$2,$U$12,$B76)+_xll.DBRW($G$3,$U$15,$H$17,$U$13,$U$16,$U$14,Y$2,$U$12,$A76)</f>
        <v>#VALUE!</v>
      </c>
      <c r="Z76" s="140" t="e">
        <f>_xll.DBRW($G$3,$U$15,$H$17,$U$13,$U$16,$U$14,Z$2,$U$12,$B76)+_xll.DBRW($G$3,$U$15,$H$17,$U$13,$U$16,$U$14,Z$2,$U$12,$A76)</f>
        <v>#VALUE!</v>
      </c>
      <c r="AA76" s="131"/>
      <c r="AB76" s="140" t="e">
        <f t="shared" si="28"/>
        <v>#VALUE!</v>
      </c>
      <c r="AC76" s="140" t="e">
        <f t="shared" si="29"/>
        <v>#VALUE!</v>
      </c>
      <c r="AD76" s="140" t="e">
        <f t="shared" si="30"/>
        <v>#VALUE!</v>
      </c>
      <c r="AE76" s="140" t="e">
        <f t="shared" si="31"/>
        <v>#VALUE!</v>
      </c>
      <c r="AF76" s="140" t="e">
        <f t="shared" si="32"/>
        <v>#VALUE!</v>
      </c>
      <c r="AG76" s="140" t="e">
        <f t="shared" si="33"/>
        <v>#VALUE!</v>
      </c>
      <c r="AH76" s="140" t="e">
        <f t="shared" si="34"/>
        <v>#VALUE!</v>
      </c>
      <c r="AI76" s="140" t="e">
        <f t="shared" si="35"/>
        <v>#VALUE!</v>
      </c>
      <c r="AJ76" s="43"/>
      <c r="AK76" s="47"/>
      <c r="AL76" s="47"/>
      <c r="AM76" s="47"/>
      <c r="AN76" s="47"/>
      <c r="AO76" s="47"/>
      <c r="AP76" s="47"/>
      <c r="AQ76" s="47"/>
      <c r="AR76" s="47"/>
    </row>
    <row r="77" spans="1:44" ht="21.75" customHeight="1">
      <c r="A77" s="50" t="s">
        <v>28</v>
      </c>
      <c r="B77" s="41"/>
      <c r="C77" s="41"/>
      <c r="D77" s="41">
        <v>56</v>
      </c>
      <c r="F77" s="23"/>
      <c r="G77" s="195" t="e">
        <f>_xll.DBRA(Server&amp;$A$21,$A77,$H$18)</f>
        <v>#N/A</v>
      </c>
      <c r="H77" s="196"/>
      <c r="I77" s="140" t="e">
        <f>_xll.DBRW($G$3,$H$15,$H$17,$H$13,$H$16,$H$14,I$2,$H$12,$A77)</f>
        <v>#VALUE!</v>
      </c>
      <c r="J77" s="141" t="e">
        <f>_xll.DBRW($G$3,$H$15,$H$17,$H$13,$H$16,$H$14,J$2,$H$12,$A77)</f>
        <v>#VALUE!</v>
      </c>
      <c r="K77" s="141" t="e">
        <f>_xll.DBRW($G$3,$H$15,$H$17,$H$13,$H$16,$H$14,K$2,$H$12,$A77)</f>
        <v>#VALUE!</v>
      </c>
      <c r="L77" s="141" t="e">
        <f>_xll.DBRW($G$3,$H$15,$H$17,$H$13,$H$16,$H$14,L$2,$H$12,$A77)</f>
        <v>#VALUE!</v>
      </c>
      <c r="M77" s="141" t="e">
        <f>_xll.DBRW($G$3,$H$15,$H$17,$H$13,$H$16,$H$14,M$2,$H$12,$A77)</f>
        <v>#VALUE!</v>
      </c>
      <c r="N77" s="141" t="e">
        <f>_xll.DBRW($G$3,$H$15,$H$17,$H$13,$H$16,$H$14,N$2,$H$12,$A77)</f>
        <v>#VALUE!</v>
      </c>
      <c r="O77" s="141" t="e">
        <f>_xll.DBRW($G$3,$H$15,$H$17,$H$13,$H$16,$H$14,O$2,$H$12,$A77)</f>
        <v>#VALUE!</v>
      </c>
      <c r="P77" s="142" t="e">
        <f>_xll.DBRW($G$3,$H$15,$H$17,$H$13,$H$16,$H$14,P$2,$H$12,$A77)</f>
        <v>#VALUE!</v>
      </c>
      <c r="Q77" s="131"/>
      <c r="R77" s="131"/>
      <c r="S77" s="140" t="e">
        <f>_xll.DBRW($G$3,$U$15,$H$17,$U$13,$U$16,$U$14,S$2,$U$12,$A77)</f>
        <v>#VALUE!</v>
      </c>
      <c r="T77" s="141" t="e">
        <f>_xll.DBRW($G$3,$U$15,$H$17,$U$13,$U$16,$U$14,T$2,$U$12,$A77)</f>
        <v>#VALUE!</v>
      </c>
      <c r="U77" s="141" t="e">
        <f>_xll.DBRW($G$3,$U$15,$H$17,$U$13,$U$16,$U$14,U$2,$U$12,$A77)</f>
        <v>#VALUE!</v>
      </c>
      <c r="V77" s="141" t="e">
        <f>_xll.DBRW($G$3,$U$15,$H$17,$U$13,$U$16,$U$14,V$2,$U$12,$A77)</f>
        <v>#VALUE!</v>
      </c>
      <c r="W77" s="141" t="e">
        <f>_xll.DBRW($G$3,$U$15,$H$17,$U$13,$U$16,$U$14,W$2,$U$12,$A77)</f>
        <v>#VALUE!</v>
      </c>
      <c r="X77" s="141" t="e">
        <f>_xll.DBRW($G$3,$U$15,$H$17,$U$13,$U$16,$U$14,X$2,$U$12,$A77)</f>
        <v>#VALUE!</v>
      </c>
      <c r="Y77" s="141" t="e">
        <f>_xll.DBRW($G$3,$U$15,$H$17,$U$13,$U$16,$U$14,Y$2,$U$12,$A77)</f>
        <v>#VALUE!</v>
      </c>
      <c r="Z77" s="142" t="e">
        <f>_xll.DBRW($G$3,$U$15,$H$17,$U$13,$U$16,$U$14,Z$2,$U$12,$A77)</f>
        <v>#VALUE!</v>
      </c>
      <c r="AA77" s="131"/>
      <c r="AB77" s="140" t="e">
        <f t="shared" si="28"/>
        <v>#VALUE!</v>
      </c>
      <c r="AC77" s="141" t="e">
        <f t="shared" si="29"/>
        <v>#VALUE!</v>
      </c>
      <c r="AD77" s="141" t="e">
        <f t="shared" si="30"/>
        <v>#VALUE!</v>
      </c>
      <c r="AE77" s="141" t="e">
        <f t="shared" si="31"/>
        <v>#VALUE!</v>
      </c>
      <c r="AF77" s="141" t="e">
        <f t="shared" si="32"/>
        <v>#VALUE!</v>
      </c>
      <c r="AG77" s="141" t="e">
        <f t="shared" si="33"/>
        <v>#VALUE!</v>
      </c>
      <c r="AH77" s="141" t="e">
        <f t="shared" si="34"/>
        <v>#VALUE!</v>
      </c>
      <c r="AI77" s="142" t="e">
        <f t="shared" si="35"/>
        <v>#VALUE!</v>
      </c>
      <c r="AJ77" s="43"/>
      <c r="AK77" s="47"/>
      <c r="AL77" s="47"/>
      <c r="AM77" s="47"/>
      <c r="AN77" s="47"/>
      <c r="AO77" s="47"/>
      <c r="AP77" s="47"/>
      <c r="AQ77" s="47"/>
      <c r="AR77" s="47"/>
    </row>
    <row r="78" spans="1:44" ht="21.75" customHeight="1">
      <c r="A78" s="50" t="s">
        <v>29</v>
      </c>
      <c r="B78" s="41"/>
      <c r="C78" s="41"/>
      <c r="D78" s="41">
        <v>57</v>
      </c>
      <c r="G78" s="195" t="e">
        <f>_xll.DBRA(Server&amp;$A$21,$A78,$H$18)</f>
        <v>#N/A</v>
      </c>
      <c r="H78" s="196"/>
      <c r="I78" s="140" t="e">
        <f>_xll.DBRW($G$3,$H$15,$H$17,$H$13,$H$16,$H$14,I$2,$H$12,$A78)</f>
        <v>#VALUE!</v>
      </c>
      <c r="J78" s="141" t="e">
        <f>_xll.DBRW($G$3,$H$15,$H$17,$H$13,$H$16,$H$14,J$2,$H$12,$A78)</f>
        <v>#VALUE!</v>
      </c>
      <c r="K78" s="141" t="e">
        <f>_xll.DBRW($G$3,$H$15,$H$17,$H$13,$H$16,$H$14,K$2,$H$12,$A78)</f>
        <v>#VALUE!</v>
      </c>
      <c r="L78" s="141" t="e">
        <f>_xll.DBRW($G$3,$H$15,$H$17,$H$13,$H$16,$H$14,L$2,$H$12,$A78)</f>
        <v>#VALUE!</v>
      </c>
      <c r="M78" s="141" t="e">
        <f>_xll.DBRW($G$3,$H$15,$H$17,$H$13,$H$16,$H$14,M$2,$H$12,$A78)</f>
        <v>#VALUE!</v>
      </c>
      <c r="N78" s="141" t="e">
        <f>_xll.DBRW($G$3,$H$15,$H$17,$H$13,$H$16,$H$14,N$2,$H$12,$A78)</f>
        <v>#VALUE!</v>
      </c>
      <c r="O78" s="141" t="e">
        <f>_xll.DBRW($G$3,$H$15,$H$17,$H$13,$H$16,$H$14,O$2,$H$12,$A78)</f>
        <v>#VALUE!</v>
      </c>
      <c r="P78" s="142" t="e">
        <f>_xll.DBRW($G$3,$H$15,$H$17,$H$13,$H$16,$H$14,P$2,$H$12,$A78)</f>
        <v>#VALUE!</v>
      </c>
      <c r="Q78" s="131"/>
      <c r="R78" s="131"/>
      <c r="S78" s="140" t="e">
        <f>_xll.DBRW($G$3,$U$15,$H$17,$U$13,$U$16,$U$14,S$2,$U$12,$A78)</f>
        <v>#VALUE!</v>
      </c>
      <c r="T78" s="141" t="e">
        <f>_xll.DBRW($G$3,$U$15,$H$17,$U$13,$U$16,$U$14,T$2,$U$12,$A78)</f>
        <v>#VALUE!</v>
      </c>
      <c r="U78" s="141" t="e">
        <f>_xll.DBRW($G$3,$U$15,$H$17,$U$13,$U$16,$U$14,U$2,$U$12,$A78)</f>
        <v>#VALUE!</v>
      </c>
      <c r="V78" s="141" t="e">
        <f>_xll.DBRW($G$3,$U$15,$H$17,$U$13,$U$16,$U$14,V$2,$U$12,$A78)</f>
        <v>#VALUE!</v>
      </c>
      <c r="W78" s="141" t="e">
        <f>_xll.DBRW($G$3,$U$15,$H$17,$U$13,$U$16,$U$14,W$2,$U$12,$A78)</f>
        <v>#VALUE!</v>
      </c>
      <c r="X78" s="141" t="e">
        <f>_xll.DBRW($G$3,$U$15,$H$17,$U$13,$U$16,$U$14,X$2,$U$12,$A78)</f>
        <v>#VALUE!</v>
      </c>
      <c r="Y78" s="141" t="e">
        <f>_xll.DBRW($G$3,$U$15,$H$17,$U$13,$U$16,$U$14,Y$2,$U$12,$A78)</f>
        <v>#VALUE!</v>
      </c>
      <c r="Z78" s="142" t="e">
        <f>_xll.DBRW($G$3,$U$15,$H$17,$U$13,$U$16,$U$14,Z$2,$U$12,$A78)</f>
        <v>#VALUE!</v>
      </c>
      <c r="AA78" s="131"/>
      <c r="AB78" s="140" t="e">
        <f t="shared" si="28"/>
        <v>#VALUE!</v>
      </c>
      <c r="AC78" s="141" t="e">
        <f t="shared" si="29"/>
        <v>#VALUE!</v>
      </c>
      <c r="AD78" s="141" t="e">
        <f t="shared" si="30"/>
        <v>#VALUE!</v>
      </c>
      <c r="AE78" s="141" t="e">
        <f t="shared" si="31"/>
        <v>#VALUE!</v>
      </c>
      <c r="AF78" s="141" t="e">
        <f t="shared" si="32"/>
        <v>#VALUE!</v>
      </c>
      <c r="AG78" s="141" t="e">
        <f t="shared" si="33"/>
        <v>#VALUE!</v>
      </c>
      <c r="AH78" s="141" t="e">
        <f t="shared" si="34"/>
        <v>#VALUE!</v>
      </c>
      <c r="AI78" s="142" t="e">
        <f t="shared" si="35"/>
        <v>#VALUE!</v>
      </c>
      <c r="AJ78" s="43"/>
      <c r="AK78" s="47"/>
      <c r="AL78" s="47"/>
      <c r="AM78" s="47"/>
      <c r="AN78" s="47"/>
      <c r="AO78" s="47"/>
      <c r="AP78" s="47"/>
      <c r="AQ78" s="47"/>
      <c r="AR78" s="47"/>
    </row>
    <row r="79" spans="1:44" ht="21.75" customHeight="1">
      <c r="A79" s="50" t="s">
        <v>27</v>
      </c>
      <c r="B79" s="41"/>
      <c r="C79" s="41"/>
      <c r="D79" s="41">
        <v>58</v>
      </c>
      <c r="G79" s="185" t="e">
        <f>_xll.DBRA(Server&amp;$A$21,$A79,$H$18)</f>
        <v>#N/A</v>
      </c>
      <c r="H79" s="186"/>
      <c r="I79" s="126" t="e">
        <f>_xll.DBRW($G$3,$H$15,$H$17,$H$13,$H$16,$H$14,I$2,$H$12,$A79)</f>
        <v>#VALUE!</v>
      </c>
      <c r="J79" s="127" t="e">
        <f>_xll.DBRW($G$3,$H$15,$H$17,$H$13,$H$16,$H$14,J$2,$H$12,$A79)</f>
        <v>#VALUE!</v>
      </c>
      <c r="K79" s="127" t="e">
        <f>_xll.DBRW($G$3,$H$15,$H$17,$H$13,$H$16,$H$14,K$2,$H$12,$A79)</f>
        <v>#VALUE!</v>
      </c>
      <c r="L79" s="127" t="e">
        <f>_xll.DBRW($G$3,$H$15,$H$17,$H$13,$H$16,$H$14,L$2,$H$12,$A79)</f>
        <v>#VALUE!</v>
      </c>
      <c r="M79" s="127" t="e">
        <f>_xll.DBRW($G$3,$H$15,$H$17,$H$13,$H$16,$H$14,M$2,$H$12,$A79)</f>
        <v>#VALUE!</v>
      </c>
      <c r="N79" s="127" t="e">
        <f>_xll.DBRW($G$3,$H$15,$H$17,$H$13,$H$16,$H$14,N$2,$H$12,$A79)</f>
        <v>#VALUE!</v>
      </c>
      <c r="O79" s="127" t="e">
        <f>_xll.DBRW($G$3,$H$15,$H$17,$H$13,$H$16,$H$14,O$2,$H$12,$A79)</f>
        <v>#VALUE!</v>
      </c>
      <c r="P79" s="128" t="e">
        <f>_xll.DBRW($G$3,$H$15,$H$17,$H$13,$H$16,$H$14,P$2,$H$12,$A79)</f>
        <v>#VALUE!</v>
      </c>
      <c r="Q79" s="131"/>
      <c r="R79" s="131"/>
      <c r="S79" s="126" t="e">
        <f>_xll.DBRW($G$3,$U$15,$H$17,$U$13,$U$16,$U$14,S$2,$U$12,$A79)</f>
        <v>#VALUE!</v>
      </c>
      <c r="T79" s="127" t="e">
        <f>_xll.DBRW($G$3,$U$15,$H$17,$U$13,$U$16,$U$14,T$2,$U$12,$A79)</f>
        <v>#VALUE!</v>
      </c>
      <c r="U79" s="127" t="e">
        <f>_xll.DBRW($G$3,$U$15,$H$17,$U$13,$U$16,$U$14,U$2,$U$12,$A79)</f>
        <v>#VALUE!</v>
      </c>
      <c r="V79" s="127" t="e">
        <f>_xll.DBRW($G$3,$U$15,$H$17,$U$13,$U$16,$U$14,V$2,$U$12,$A79)</f>
        <v>#VALUE!</v>
      </c>
      <c r="W79" s="127" t="e">
        <f>_xll.DBRW($G$3,$U$15,$H$17,$U$13,$U$16,$U$14,W$2,$U$12,$A79)</f>
        <v>#VALUE!</v>
      </c>
      <c r="X79" s="127" t="e">
        <f>_xll.DBRW($G$3,$U$15,$H$17,$U$13,$U$16,$U$14,X$2,$U$12,$A79)</f>
        <v>#VALUE!</v>
      </c>
      <c r="Y79" s="127" t="e">
        <f>_xll.DBRW($G$3,$U$15,$H$17,$U$13,$U$16,$U$14,Y$2,$U$12,$A79)</f>
        <v>#VALUE!</v>
      </c>
      <c r="Z79" s="128" t="e">
        <f>_xll.DBRW($G$3,$U$15,$H$17,$U$13,$U$16,$U$14,Z$2,$U$12,$A79)</f>
        <v>#VALUE!</v>
      </c>
      <c r="AA79" s="131"/>
      <c r="AB79" s="126" t="e">
        <f t="shared" si="28"/>
        <v>#VALUE!</v>
      </c>
      <c r="AC79" s="127" t="e">
        <f t="shared" si="29"/>
        <v>#VALUE!</v>
      </c>
      <c r="AD79" s="127" t="e">
        <f t="shared" si="30"/>
        <v>#VALUE!</v>
      </c>
      <c r="AE79" s="127" t="e">
        <f t="shared" si="31"/>
        <v>#VALUE!</v>
      </c>
      <c r="AF79" s="127" t="e">
        <f t="shared" si="32"/>
        <v>#VALUE!</v>
      </c>
      <c r="AG79" s="127" t="e">
        <f t="shared" si="33"/>
        <v>#VALUE!</v>
      </c>
      <c r="AH79" s="127" t="e">
        <f t="shared" si="34"/>
        <v>#VALUE!</v>
      </c>
      <c r="AI79" s="128" t="e">
        <f t="shared" si="35"/>
        <v>#VALUE!</v>
      </c>
      <c r="AJ79" s="43"/>
      <c r="AK79" s="47"/>
      <c r="AL79" s="47"/>
      <c r="AM79" s="47"/>
      <c r="AN79" s="47"/>
      <c r="AO79" s="47"/>
      <c r="AP79" s="47"/>
      <c r="AQ79" s="47"/>
      <c r="AR79" s="47"/>
    </row>
    <row r="80" spans="1:44" ht="21.75" customHeight="1" thickBot="1">
      <c r="A80" s="50" t="s">
        <v>26</v>
      </c>
      <c r="B80" s="41"/>
      <c r="C80" s="41"/>
      <c r="D80" s="41">
        <v>59</v>
      </c>
      <c r="G80" s="185" t="e">
        <f>_xll.DBRA(Server&amp;$A$21,$A80,$H$18)</f>
        <v>#N/A</v>
      </c>
      <c r="H80" s="186"/>
      <c r="I80" s="126" t="e">
        <f>_xll.DBRW($G$3,$H$15,$H$17,$H$13,$H$16,$H$14,I$2,$H$12,$A80)</f>
        <v>#VALUE!</v>
      </c>
      <c r="J80" s="127" t="e">
        <f>_xll.DBRW($G$3,$H$15,$H$17,$H$13,$H$16,$H$14,J$2,$H$12,$A80)</f>
        <v>#VALUE!</v>
      </c>
      <c r="K80" s="127" t="e">
        <f>_xll.DBRW($G$3,$H$15,$H$17,$H$13,$H$16,$H$14,K$2,$H$12,$A80)</f>
        <v>#VALUE!</v>
      </c>
      <c r="L80" s="127" t="e">
        <f>_xll.DBRW($G$3,$H$15,$H$17,$H$13,$H$16,$H$14,L$2,$H$12,$A80)</f>
        <v>#VALUE!</v>
      </c>
      <c r="M80" s="127" t="e">
        <f>_xll.DBRW($G$3,$H$15,$H$17,$H$13,$H$16,$H$14,M$2,$H$12,$A80)</f>
        <v>#VALUE!</v>
      </c>
      <c r="N80" s="127" t="e">
        <f>_xll.DBRW($G$3,$H$15,$H$17,$H$13,$H$16,$H$14,N$2,$H$12,$A80)</f>
        <v>#VALUE!</v>
      </c>
      <c r="O80" s="127" t="e">
        <f>_xll.DBRW($G$3,$H$15,$H$17,$H$13,$H$16,$H$14,O$2,$H$12,$A80)</f>
        <v>#VALUE!</v>
      </c>
      <c r="P80" s="128" t="e">
        <f>_xll.DBRW($G$3,$H$15,$H$17,$H$13,$H$16,$H$14,P$2,$H$12,$A80)</f>
        <v>#VALUE!</v>
      </c>
      <c r="Q80" s="131"/>
      <c r="R80" s="131"/>
      <c r="S80" s="126" t="e">
        <f>_xll.DBRW($G$3,$U$15,$H$17,$U$13,$U$16,$U$14,S$2,$U$12,$A80)</f>
        <v>#VALUE!</v>
      </c>
      <c r="T80" s="127" t="e">
        <f>_xll.DBRW($G$3,$U$15,$H$17,$U$13,$U$16,$U$14,T$2,$U$12,$A80)</f>
        <v>#VALUE!</v>
      </c>
      <c r="U80" s="127" t="e">
        <f>_xll.DBRW($G$3,$U$15,$H$17,$U$13,$U$16,$U$14,U$2,$U$12,$A80)</f>
        <v>#VALUE!</v>
      </c>
      <c r="V80" s="127" t="e">
        <f>_xll.DBRW($G$3,$U$15,$H$17,$U$13,$U$16,$U$14,V$2,$U$12,$A80)</f>
        <v>#VALUE!</v>
      </c>
      <c r="W80" s="127" t="e">
        <f>_xll.DBRW($G$3,$U$15,$H$17,$U$13,$U$16,$U$14,W$2,$U$12,$A80)</f>
        <v>#VALUE!</v>
      </c>
      <c r="X80" s="127" t="e">
        <f>_xll.DBRW($G$3,$U$15,$H$17,$U$13,$U$16,$U$14,X$2,$U$12,$A80)</f>
        <v>#VALUE!</v>
      </c>
      <c r="Y80" s="127" t="e">
        <f>_xll.DBRW($G$3,$U$15,$H$17,$U$13,$U$16,$U$14,Y$2,$U$12,$A80)</f>
        <v>#VALUE!</v>
      </c>
      <c r="Z80" s="128" t="e">
        <f>_xll.DBRW($G$3,$U$15,$H$17,$U$13,$U$16,$U$14,Z$2,$U$12,$A80)</f>
        <v>#VALUE!</v>
      </c>
      <c r="AA80" s="131"/>
      <c r="AB80" s="126" t="e">
        <f t="shared" si="28"/>
        <v>#VALUE!</v>
      </c>
      <c r="AC80" s="127" t="e">
        <f t="shared" si="29"/>
        <v>#VALUE!</v>
      </c>
      <c r="AD80" s="127" t="e">
        <f t="shared" si="30"/>
        <v>#VALUE!</v>
      </c>
      <c r="AE80" s="127" t="e">
        <f t="shared" si="31"/>
        <v>#VALUE!</v>
      </c>
      <c r="AF80" s="127" t="e">
        <f t="shared" si="32"/>
        <v>#VALUE!</v>
      </c>
      <c r="AG80" s="127" t="e">
        <f t="shared" si="33"/>
        <v>#VALUE!</v>
      </c>
      <c r="AH80" s="127" t="e">
        <f t="shared" si="34"/>
        <v>#VALUE!</v>
      </c>
      <c r="AI80" s="128" t="e">
        <f t="shared" si="35"/>
        <v>#VALUE!</v>
      </c>
      <c r="AJ80" s="43"/>
      <c r="AK80" s="47"/>
      <c r="AL80" s="47"/>
      <c r="AM80" s="47"/>
      <c r="AN80" s="47"/>
      <c r="AO80" s="47"/>
      <c r="AP80" s="47"/>
      <c r="AQ80" s="47"/>
      <c r="AR80" s="47"/>
    </row>
    <row r="81" spans="1:44" ht="21.75" hidden="1" customHeight="1" outlineLevel="1">
      <c r="A81" s="50" t="s">
        <v>151</v>
      </c>
      <c r="B81" s="41"/>
      <c r="C81" s="41"/>
      <c r="D81" s="41">
        <v>60</v>
      </c>
      <c r="G81" s="185" t="e">
        <f>_xll.DBRA(Server&amp;$A$21,$A81,$H$18)</f>
        <v>#N/A</v>
      </c>
      <c r="H81" s="186"/>
      <c r="I81" s="126" t="e">
        <f>_xll.DBRW($G$3,$H$15,$H$17,$H$13,$H$16,$H$14,I$2,$H$12,$A81)</f>
        <v>#VALUE!</v>
      </c>
      <c r="J81" s="127" t="e">
        <f>_xll.DBRW($G$3,$H$15,$H$17,$H$13,$H$16,$H$14,J$2,$H$12,$A81)</f>
        <v>#VALUE!</v>
      </c>
      <c r="K81" s="127" t="e">
        <f>_xll.DBRW($G$3,$H$15,$H$17,$H$13,$H$16,$H$14,K$2,$H$12,$A81)</f>
        <v>#VALUE!</v>
      </c>
      <c r="L81" s="127" t="e">
        <f>_xll.DBRW($G$3,$H$15,$H$17,$H$13,$H$16,$H$14,L$2,$H$12,$A81)</f>
        <v>#VALUE!</v>
      </c>
      <c r="M81" s="127" t="e">
        <f>_xll.DBRW($G$3,$H$15,$H$17,$H$13,$H$16,$H$14,M$2,$H$12,$A81)</f>
        <v>#VALUE!</v>
      </c>
      <c r="N81" s="127" t="e">
        <f>_xll.DBRW($G$3,$H$15,$H$17,$H$13,$H$16,$H$14,N$2,$H$12,$A81)</f>
        <v>#VALUE!</v>
      </c>
      <c r="O81" s="127" t="e">
        <f>_xll.DBRW($G$3,$H$15,$H$17,$H$13,$H$16,$H$14,O$2,$H$12,$A81)</f>
        <v>#VALUE!</v>
      </c>
      <c r="P81" s="128" t="e">
        <f>_xll.DBRW($G$3,$H$15,$H$17,$H$13,$H$16,$H$14,P$2,$H$12,$A81)</f>
        <v>#VALUE!</v>
      </c>
      <c r="Q81" s="131"/>
      <c r="R81" s="131"/>
      <c r="S81" s="126" t="e">
        <f>_xll.DBRW($G$3,$U$15,$H$17,$U$13,$U$16,$U$14,S$2,$U$12,$A81)</f>
        <v>#VALUE!</v>
      </c>
      <c r="T81" s="127" t="e">
        <f>_xll.DBRW($G$3,$U$15,$H$17,$U$13,$U$16,$U$14,T$2,$U$12,$A81)</f>
        <v>#VALUE!</v>
      </c>
      <c r="U81" s="127" t="e">
        <f>_xll.DBRW($G$3,$U$15,$H$17,$U$13,$U$16,$U$14,U$2,$U$12,$A81)</f>
        <v>#VALUE!</v>
      </c>
      <c r="V81" s="127" t="e">
        <f>_xll.DBRW($G$3,$U$15,$H$17,$U$13,$U$16,$U$14,V$2,$U$12,$A81)</f>
        <v>#VALUE!</v>
      </c>
      <c r="W81" s="127" t="e">
        <f>_xll.DBRW($G$3,$U$15,$H$17,$U$13,$U$16,$U$14,W$2,$U$12,$A81)</f>
        <v>#VALUE!</v>
      </c>
      <c r="X81" s="127" t="e">
        <f>_xll.DBRW($G$3,$U$15,$H$17,$U$13,$U$16,$U$14,X$2,$U$12,$A81)</f>
        <v>#VALUE!</v>
      </c>
      <c r="Y81" s="127" t="e">
        <f>_xll.DBRW($G$3,$U$15,$H$17,$U$13,$U$16,$U$14,Y$2,$U$12,$A81)</f>
        <v>#VALUE!</v>
      </c>
      <c r="Z81" s="128" t="e">
        <f>_xll.DBRW($G$3,$U$15,$H$17,$U$13,$U$16,$U$14,Z$2,$U$12,$A81)</f>
        <v>#VALUE!</v>
      </c>
      <c r="AA81" s="131"/>
      <c r="AB81" s="126" t="e">
        <f t="shared" si="28"/>
        <v>#VALUE!</v>
      </c>
      <c r="AC81" s="127" t="e">
        <f t="shared" si="29"/>
        <v>#VALUE!</v>
      </c>
      <c r="AD81" s="127" t="e">
        <f t="shared" si="30"/>
        <v>#VALUE!</v>
      </c>
      <c r="AE81" s="127" t="e">
        <f t="shared" si="31"/>
        <v>#VALUE!</v>
      </c>
      <c r="AF81" s="127" t="e">
        <f t="shared" si="32"/>
        <v>#VALUE!</v>
      </c>
      <c r="AG81" s="127" t="e">
        <f t="shared" si="33"/>
        <v>#VALUE!</v>
      </c>
      <c r="AH81" s="127" t="e">
        <f t="shared" si="34"/>
        <v>#VALUE!</v>
      </c>
      <c r="AI81" s="128" t="e">
        <f t="shared" si="35"/>
        <v>#VALUE!</v>
      </c>
      <c r="AJ81" s="43"/>
      <c r="AK81" s="47"/>
      <c r="AL81" s="47"/>
      <c r="AM81" s="47"/>
      <c r="AN81" s="47"/>
      <c r="AO81" s="47"/>
      <c r="AP81" s="47" t="s">
        <v>81</v>
      </c>
      <c r="AQ81" s="47" t="s">
        <v>68</v>
      </c>
      <c r="AR81" s="47"/>
    </row>
    <row r="82" spans="1:44" ht="21.75" hidden="1" customHeight="1" outlineLevel="1" thickBot="1">
      <c r="A82" s="50" t="s">
        <v>152</v>
      </c>
      <c r="B82" s="41"/>
      <c r="C82" s="41"/>
      <c r="D82" s="41">
        <v>61</v>
      </c>
      <c r="G82" s="185" t="e">
        <f>_xll.DBRA(Server&amp;$A$21,$A82,$H$18)</f>
        <v>#N/A</v>
      </c>
      <c r="H82" s="186"/>
      <c r="I82" s="126" t="e">
        <f>_xll.DBRW($G$3,$H$15,$H$17,$H$13,$H$16,$H$14,I$2,$H$12,$A82)</f>
        <v>#VALUE!</v>
      </c>
      <c r="J82" s="127" t="e">
        <f>_xll.DBRW($G$3,$H$15,$H$17,$H$13,$H$16,$H$14,J$2,$H$12,$A82)</f>
        <v>#VALUE!</v>
      </c>
      <c r="K82" s="127" t="e">
        <f>_xll.DBRW($G$3,$H$15,$H$17,$H$13,$H$16,$H$14,K$2,$H$12,$A82)</f>
        <v>#VALUE!</v>
      </c>
      <c r="L82" s="127" t="e">
        <f>_xll.DBRW($G$3,$H$15,$H$17,$H$13,$H$16,$H$14,L$2,$H$12,$A82)</f>
        <v>#VALUE!</v>
      </c>
      <c r="M82" s="127" t="e">
        <f>_xll.DBRW($G$3,$H$15,$H$17,$H$13,$H$16,$H$14,M$2,$H$12,$A82)</f>
        <v>#VALUE!</v>
      </c>
      <c r="N82" s="127" t="e">
        <f>_xll.DBRW($G$3,$H$15,$H$17,$H$13,$H$16,$H$14,N$2,$H$12,$A82)</f>
        <v>#VALUE!</v>
      </c>
      <c r="O82" s="127" t="e">
        <f>_xll.DBRW($G$3,$H$15,$H$17,$H$13,$H$16,$H$14,O$2,$H$12,$A82)</f>
        <v>#VALUE!</v>
      </c>
      <c r="P82" s="128" t="e">
        <f>_xll.DBRW($G$3,$H$15,$H$17,$H$13,$H$16,$H$14,P$2,$H$12,$A82)</f>
        <v>#VALUE!</v>
      </c>
      <c r="Q82" s="131"/>
      <c r="R82" s="131"/>
      <c r="S82" s="126" t="e">
        <f>_xll.DBRW($G$3,$U$15,$H$17,$U$13,$U$16,$U$14,S$2,$U$12,$A82)</f>
        <v>#VALUE!</v>
      </c>
      <c r="T82" s="127" t="e">
        <f>_xll.DBRW($G$3,$U$15,$H$17,$U$13,$U$16,$U$14,T$2,$U$12,$A82)</f>
        <v>#VALUE!</v>
      </c>
      <c r="U82" s="127" t="e">
        <f>_xll.DBRW($G$3,$U$15,$H$17,$U$13,$U$16,$U$14,U$2,$U$12,$A82)</f>
        <v>#VALUE!</v>
      </c>
      <c r="V82" s="127" t="e">
        <f>_xll.DBRW($G$3,$U$15,$H$17,$U$13,$U$16,$U$14,V$2,$U$12,$A82)</f>
        <v>#VALUE!</v>
      </c>
      <c r="W82" s="127" t="e">
        <f>_xll.DBRW($G$3,$U$15,$H$17,$U$13,$U$16,$U$14,W$2,$U$12,$A82)</f>
        <v>#VALUE!</v>
      </c>
      <c r="X82" s="127" t="e">
        <f>_xll.DBRW($G$3,$U$15,$H$17,$U$13,$U$16,$U$14,X$2,$U$12,$A82)</f>
        <v>#VALUE!</v>
      </c>
      <c r="Y82" s="127" t="e">
        <f>_xll.DBRW($G$3,$U$15,$H$17,$U$13,$U$16,$U$14,Y$2,$U$12,$A82)</f>
        <v>#VALUE!</v>
      </c>
      <c r="Z82" s="128" t="e">
        <f>_xll.DBRW($G$3,$U$15,$H$17,$U$13,$U$16,$U$14,Z$2,$U$12,$A82)</f>
        <v>#VALUE!</v>
      </c>
      <c r="AA82" s="131"/>
      <c r="AB82" s="126" t="e">
        <f t="shared" si="28"/>
        <v>#VALUE!</v>
      </c>
      <c r="AC82" s="127" t="e">
        <f t="shared" si="29"/>
        <v>#VALUE!</v>
      </c>
      <c r="AD82" s="127" t="e">
        <f t="shared" si="30"/>
        <v>#VALUE!</v>
      </c>
      <c r="AE82" s="127" t="e">
        <f t="shared" si="31"/>
        <v>#VALUE!</v>
      </c>
      <c r="AF82" s="127" t="e">
        <f t="shared" si="32"/>
        <v>#VALUE!</v>
      </c>
      <c r="AG82" s="127" t="e">
        <f t="shared" si="33"/>
        <v>#VALUE!</v>
      </c>
      <c r="AH82" s="127" t="e">
        <f t="shared" si="34"/>
        <v>#VALUE!</v>
      </c>
      <c r="AI82" s="128" t="e">
        <f t="shared" si="35"/>
        <v>#VALUE!</v>
      </c>
      <c r="AJ82" s="43"/>
      <c r="AK82" s="47"/>
      <c r="AL82" s="47"/>
      <c r="AM82" s="47"/>
      <c r="AN82" s="47"/>
      <c r="AO82" s="47"/>
      <c r="AP82" s="47" t="s">
        <v>61</v>
      </c>
      <c r="AQ82" s="47" t="s">
        <v>69</v>
      </c>
      <c r="AR82" s="47"/>
    </row>
    <row r="83" spans="1:44" ht="21.75" customHeight="1" collapsed="1" thickBot="1">
      <c r="A83" s="50" t="s">
        <v>30</v>
      </c>
      <c r="B83" s="64"/>
      <c r="C83" s="41"/>
      <c r="D83" s="41">
        <v>62</v>
      </c>
      <c r="G83" s="184" t="e">
        <f>_xll.DBRA(Server&amp;$A$21,$A83,$H$18)</f>
        <v>#N/A</v>
      </c>
      <c r="H83" s="184"/>
      <c r="I83" s="134" t="e">
        <f>_xll.DBRW($G$3,$H$15,$H$17,$H$13,$H$16,$H$14,I$2,$H$12,$A83)</f>
        <v>#VALUE!</v>
      </c>
      <c r="J83" s="134" t="e">
        <f>_xll.DBRW($G$3,$H$15,$H$17,$H$13,$H$16,$H$14,J$2,$H$12,$A83)</f>
        <v>#VALUE!</v>
      </c>
      <c r="K83" s="134" t="e">
        <f>_xll.DBRW($G$3,$H$15,$H$17,$H$13,$H$16,$H$14,K$2,$H$12,$A83)</f>
        <v>#VALUE!</v>
      </c>
      <c r="L83" s="134" t="e">
        <f>_xll.DBRW($G$3,$H$15,$H$17,$H$13,$H$16,$H$14,L$2,$H$12,$A83)</f>
        <v>#VALUE!</v>
      </c>
      <c r="M83" s="134" t="e">
        <f>_xll.DBRW($G$3,$H$15,$H$17,$H$13,$H$16,$H$14,M$2,$H$12,$A83)</f>
        <v>#VALUE!</v>
      </c>
      <c r="N83" s="134" t="e">
        <f>_xll.DBRW($G$3,$H$15,$H$17,$H$13,$H$16,$H$14,N$2,$H$12,$A83)</f>
        <v>#VALUE!</v>
      </c>
      <c r="O83" s="134" t="e">
        <f>_xll.DBRW($G$3,$H$15,$H$17,$H$13,$H$16,$H$14,O$2,$H$12,$A83)</f>
        <v>#VALUE!</v>
      </c>
      <c r="P83" s="134" t="e">
        <f>_xll.DBRW($G$3,$H$15,$H$17,$H$13,$H$16,$H$14,P$2,$H$12,$A83)</f>
        <v>#VALUE!</v>
      </c>
      <c r="Q83" s="131" t="e">
        <f>SUM(I83:P83)-SUM(I76:P82)</f>
        <v>#VALUE!</v>
      </c>
      <c r="R83" s="131"/>
      <c r="S83" s="134" t="e">
        <f>_xll.DBRW($G$3,$U$15,$H$17,$U$13,$U$16,$U$14,S$2,$U$12,$A83)</f>
        <v>#VALUE!</v>
      </c>
      <c r="T83" s="134" t="e">
        <f>_xll.DBRW($G$3,$U$15,$H$17,$U$13,$U$16,$U$14,T$2,$U$12,$A83)</f>
        <v>#VALUE!</v>
      </c>
      <c r="U83" s="134" t="e">
        <f>_xll.DBRW($G$3,$U$15,$H$17,$U$13,$U$16,$U$14,U$2,$U$12,$A83)</f>
        <v>#VALUE!</v>
      </c>
      <c r="V83" s="134" t="e">
        <f>_xll.DBRW($G$3,$U$15,$H$17,$U$13,$U$16,$U$14,V$2,$U$12,$A83)</f>
        <v>#VALUE!</v>
      </c>
      <c r="W83" s="134" t="e">
        <f>_xll.DBRW($G$3,$U$15,$H$17,$U$13,$U$16,$U$14,W$2,$U$12,$A83)</f>
        <v>#VALUE!</v>
      </c>
      <c r="X83" s="134" t="e">
        <f>_xll.DBRW($G$3,$U$15,$H$17,$U$13,$U$16,$U$14,X$2,$U$12,$A83)</f>
        <v>#VALUE!</v>
      </c>
      <c r="Y83" s="134" t="e">
        <f>_xll.DBRW($G$3,$U$15,$H$17,$U$13,$U$16,$U$14,Y$2,$U$12,$A83)</f>
        <v>#VALUE!</v>
      </c>
      <c r="Z83" s="134" t="e">
        <f>_xll.DBRW($G$3,$U$15,$H$17,$U$13,$U$16,$U$14,Z$2,$U$12,$A83)</f>
        <v>#VALUE!</v>
      </c>
      <c r="AA83" s="131" t="e">
        <f>SUM(S83:Z83)-SUM(S76:Z82)</f>
        <v>#VALUE!</v>
      </c>
      <c r="AB83" s="134" t="e">
        <f t="shared" si="28"/>
        <v>#VALUE!</v>
      </c>
      <c r="AC83" s="134" t="e">
        <f t="shared" si="29"/>
        <v>#VALUE!</v>
      </c>
      <c r="AD83" s="134" t="e">
        <f t="shared" si="30"/>
        <v>#VALUE!</v>
      </c>
      <c r="AE83" s="134" t="e">
        <f t="shared" si="31"/>
        <v>#VALUE!</v>
      </c>
      <c r="AF83" s="134" t="e">
        <f t="shared" si="32"/>
        <v>#VALUE!</v>
      </c>
      <c r="AG83" s="134" t="e">
        <f t="shared" si="33"/>
        <v>#VALUE!</v>
      </c>
      <c r="AH83" s="134" t="e">
        <f t="shared" si="34"/>
        <v>#VALUE!</v>
      </c>
      <c r="AI83" s="134" t="e">
        <f t="shared" si="35"/>
        <v>#VALUE!</v>
      </c>
      <c r="AJ83" s="43"/>
      <c r="AK83" s="47"/>
      <c r="AL83" s="47"/>
      <c r="AM83" s="47"/>
      <c r="AN83" s="47"/>
      <c r="AO83" s="47"/>
      <c r="AP83" s="47" t="s">
        <v>61</v>
      </c>
      <c r="AQ83" s="47" t="s">
        <v>69</v>
      </c>
      <c r="AR83" s="47"/>
    </row>
    <row r="84" spans="1:44" ht="21.75" customHeight="1" thickBot="1">
      <c r="A84" s="50" t="s">
        <v>51</v>
      </c>
      <c r="B84" s="64"/>
      <c r="C84" s="41"/>
      <c r="D84" s="41">
        <v>63</v>
      </c>
      <c r="G84" s="188" t="e">
        <f>_xll.DBRA(Server&amp;$A$21,$A84,$H$18)</f>
        <v>#N/A</v>
      </c>
      <c r="H84" s="189"/>
      <c r="I84" s="143" t="e">
        <f>_xll.DBRW($G$3,$H$15,$H$17,$H$13,$H$16,$H$14,I$2,$H$12,$A84)</f>
        <v>#VALUE!</v>
      </c>
      <c r="J84" s="144" t="e">
        <f>_xll.DBRW($G$3,$H$15,$H$17,$H$13,$H$16,$H$14,J$2,$H$12,$A84)</f>
        <v>#VALUE!</v>
      </c>
      <c r="K84" s="144" t="e">
        <f>_xll.DBRW($G$3,$H$15,$H$17,$H$13,$H$16,$H$14,K$2,$H$12,$A84)</f>
        <v>#VALUE!</v>
      </c>
      <c r="L84" s="144" t="e">
        <f>_xll.DBRW($G$3,$H$15,$H$17,$H$13,$H$16,$H$14,L$2,$H$12,$A84)</f>
        <v>#VALUE!</v>
      </c>
      <c r="M84" s="144" t="e">
        <f>_xll.DBRW($G$3,$H$15,$H$17,$H$13,$H$16,$H$14,M$2,$H$12,$A84)</f>
        <v>#VALUE!</v>
      </c>
      <c r="N84" s="144" t="e">
        <f>_xll.DBRW($G$3,$H$15,$H$17,$H$13,$H$16,$H$14,N$2,$H$12,$A84)</f>
        <v>#VALUE!</v>
      </c>
      <c r="O84" s="144" t="e">
        <f>_xll.DBRW($G$3,$H$15,$H$17,$H$13,$H$16,$H$14,O$2,$H$12,$A84)</f>
        <v>#VALUE!</v>
      </c>
      <c r="P84" s="145" t="e">
        <f>_xll.DBRW($G$3,$H$15,$H$17,$H$13,$H$16,$H$14,P$2,$H$12,$A84)</f>
        <v>#VALUE!</v>
      </c>
      <c r="Q84" s="131"/>
      <c r="R84" s="131"/>
      <c r="S84" s="143" t="e">
        <f>_xll.DBRW($G$3,$U$15,$H$17,$U$13,$U$16,$U$14,S$2,$U$12,$A84)</f>
        <v>#VALUE!</v>
      </c>
      <c r="T84" s="144" t="e">
        <f>_xll.DBRW($G$3,$U$15,$H$17,$U$13,$U$16,$U$14,T$2,$U$12,$A84)</f>
        <v>#VALUE!</v>
      </c>
      <c r="U84" s="144" t="e">
        <f>_xll.DBRW($G$3,$U$15,$H$17,$U$13,$U$16,$U$14,U$2,$U$12,$A84)</f>
        <v>#VALUE!</v>
      </c>
      <c r="V84" s="144" t="e">
        <f>_xll.DBRW($G$3,$U$15,$H$17,$U$13,$U$16,$U$14,V$2,$U$12,$A84)</f>
        <v>#VALUE!</v>
      </c>
      <c r="W84" s="144" t="e">
        <f>_xll.DBRW($G$3,$U$15,$H$17,$U$13,$U$16,$U$14,W$2,$U$12,$A84)</f>
        <v>#VALUE!</v>
      </c>
      <c r="X84" s="144" t="e">
        <f>_xll.DBRW($G$3,$U$15,$H$17,$U$13,$U$16,$U$14,X$2,$U$12,$A84)</f>
        <v>#VALUE!</v>
      </c>
      <c r="Y84" s="144" t="e">
        <f>_xll.DBRW($G$3,$U$15,$H$17,$U$13,$U$16,$U$14,Y$2,$U$12,$A84)</f>
        <v>#VALUE!</v>
      </c>
      <c r="Z84" s="145" t="e">
        <f>_xll.DBRW($G$3,$U$15,$H$17,$U$13,$U$16,$U$14,Z$2,$U$12,$A84)</f>
        <v>#VALUE!</v>
      </c>
      <c r="AA84" s="131"/>
      <c r="AB84" s="143" t="e">
        <f t="shared" si="28"/>
        <v>#VALUE!</v>
      </c>
      <c r="AC84" s="144" t="e">
        <f t="shared" si="29"/>
        <v>#VALUE!</v>
      </c>
      <c r="AD84" s="144" t="e">
        <f t="shared" si="30"/>
        <v>#VALUE!</v>
      </c>
      <c r="AE84" s="144" t="e">
        <f t="shared" si="31"/>
        <v>#VALUE!</v>
      </c>
      <c r="AF84" s="144" t="e">
        <f t="shared" si="32"/>
        <v>#VALUE!</v>
      </c>
      <c r="AG84" s="144" t="e">
        <f t="shared" si="33"/>
        <v>#VALUE!</v>
      </c>
      <c r="AH84" s="144" t="e">
        <f t="shared" si="34"/>
        <v>#VALUE!</v>
      </c>
      <c r="AI84" s="145" t="e">
        <f t="shared" si="35"/>
        <v>#VALUE!</v>
      </c>
      <c r="AJ84" s="43"/>
      <c r="AK84" s="47"/>
      <c r="AL84" s="52" t="s">
        <v>54</v>
      </c>
      <c r="AM84" s="47"/>
      <c r="AN84" s="47"/>
      <c r="AO84" s="47"/>
      <c r="AP84" s="53" t="s">
        <v>54</v>
      </c>
      <c r="AQ84" s="54" t="s">
        <v>60</v>
      </c>
      <c r="AR84" s="47"/>
    </row>
    <row r="85" spans="1:44" ht="21.75" customHeight="1" thickBot="1">
      <c r="A85" s="50" t="s">
        <v>31</v>
      </c>
      <c r="B85" s="64"/>
      <c r="C85" s="41"/>
      <c r="D85" s="41">
        <v>64</v>
      </c>
      <c r="G85" s="184" t="e">
        <f>_xll.DBRA(Server&amp;$A$21,$A85,$H$18)</f>
        <v>#N/A</v>
      </c>
      <c r="H85" s="184"/>
      <c r="I85" s="134" t="e">
        <f>_xll.DBRW($G$3,$H$15,$H$17,$H$13,$H$16,$H$14,I$2,$H$12,$A85)</f>
        <v>#VALUE!</v>
      </c>
      <c r="J85" s="134" t="e">
        <f>_xll.DBRW($G$3,$H$15,$H$17,$H$13,$H$16,$H$14,J$2,$H$12,$A85)</f>
        <v>#VALUE!</v>
      </c>
      <c r="K85" s="134" t="e">
        <f>_xll.DBRW($G$3,$H$15,$H$17,$H$13,$H$16,$H$14,K$2,$H$12,$A85)</f>
        <v>#VALUE!</v>
      </c>
      <c r="L85" s="134" t="e">
        <f>_xll.DBRW($G$3,$H$15,$H$17,$H$13,$H$16,$H$14,L$2,$H$12,$A85)</f>
        <v>#VALUE!</v>
      </c>
      <c r="M85" s="134" t="e">
        <f>_xll.DBRW($G$3,$H$15,$H$17,$H$13,$H$16,$H$14,M$2,$H$12,$A85)</f>
        <v>#VALUE!</v>
      </c>
      <c r="N85" s="134" t="e">
        <f>_xll.DBRW($G$3,$H$15,$H$17,$H$13,$H$16,$H$14,N$2,$H$12,$A85)</f>
        <v>#VALUE!</v>
      </c>
      <c r="O85" s="134" t="e">
        <f>_xll.DBRW($G$3,$H$15,$H$17,$H$13,$H$16,$H$14,O$2,$H$12,$A85)</f>
        <v>#VALUE!</v>
      </c>
      <c r="P85" s="134" t="e">
        <f>_xll.DBRW($G$3,$H$15,$H$17,$H$13,$H$16,$H$14,P$2,$H$12,$A85)</f>
        <v>#VALUE!</v>
      </c>
      <c r="Q85" s="131" t="e">
        <f>SUM(I85:P85)-SUM(I83:P84)-SUM(I75:P75)</f>
        <v>#VALUE!</v>
      </c>
      <c r="R85" s="131"/>
      <c r="S85" s="134" t="e">
        <f>_xll.DBRW($G$3,$U$15,$H$17,$U$13,$U$16,$U$14,S$2,$U$12,$A85)</f>
        <v>#VALUE!</v>
      </c>
      <c r="T85" s="134" t="e">
        <f>_xll.DBRW($G$3,$U$15,$H$17,$U$13,$U$16,$U$14,T$2,$U$12,$A85)</f>
        <v>#VALUE!</v>
      </c>
      <c r="U85" s="134" t="e">
        <f>_xll.DBRW($G$3,$U$15,$H$17,$U$13,$U$16,$U$14,U$2,$U$12,$A85)</f>
        <v>#VALUE!</v>
      </c>
      <c r="V85" s="134" t="e">
        <f>_xll.DBRW($G$3,$U$15,$H$17,$U$13,$U$16,$U$14,V$2,$U$12,$A85)</f>
        <v>#VALUE!</v>
      </c>
      <c r="W85" s="134" t="e">
        <f>_xll.DBRW($G$3,$U$15,$H$17,$U$13,$U$16,$U$14,W$2,$U$12,$A85)</f>
        <v>#VALUE!</v>
      </c>
      <c r="X85" s="134" t="e">
        <f>_xll.DBRW($G$3,$U$15,$H$17,$U$13,$U$16,$U$14,X$2,$U$12,$A85)</f>
        <v>#VALUE!</v>
      </c>
      <c r="Y85" s="134" t="e">
        <f>_xll.DBRW($G$3,$U$15,$H$17,$U$13,$U$16,$U$14,Y$2,$U$12,$A85)</f>
        <v>#VALUE!</v>
      </c>
      <c r="Z85" s="134" t="e">
        <f>_xll.DBRW($G$3,$U$15,$H$17,$U$13,$U$16,$U$14,Z$2,$U$12,$A85)</f>
        <v>#VALUE!</v>
      </c>
      <c r="AA85" s="131" t="e">
        <f>SUM(S85:Z85)-SUM(S83:Z84)-SUM(S75:Z75)</f>
        <v>#VALUE!</v>
      </c>
      <c r="AB85" s="134" t="e">
        <f t="shared" si="28"/>
        <v>#VALUE!</v>
      </c>
      <c r="AC85" s="134" t="e">
        <f t="shared" si="29"/>
        <v>#VALUE!</v>
      </c>
      <c r="AD85" s="134" t="e">
        <f t="shared" si="30"/>
        <v>#VALUE!</v>
      </c>
      <c r="AE85" s="134" t="e">
        <f t="shared" si="31"/>
        <v>#VALUE!</v>
      </c>
      <c r="AF85" s="134" t="e">
        <f t="shared" si="32"/>
        <v>#VALUE!</v>
      </c>
      <c r="AG85" s="134" t="e">
        <f t="shared" si="33"/>
        <v>#VALUE!</v>
      </c>
      <c r="AH85" s="134" t="e">
        <f t="shared" si="34"/>
        <v>#VALUE!</v>
      </c>
      <c r="AI85" s="134" t="e">
        <f t="shared" si="35"/>
        <v>#VALUE!</v>
      </c>
      <c r="AJ85" s="43"/>
      <c r="AK85" s="47"/>
      <c r="AL85" s="55" t="s">
        <v>55</v>
      </c>
      <c r="AM85" s="56" t="s">
        <v>111</v>
      </c>
      <c r="AN85" s="56" t="s">
        <v>112</v>
      </c>
      <c r="AO85" s="47"/>
      <c r="AP85" s="57" t="s">
        <v>55</v>
      </c>
      <c r="AQ85" s="58" t="s">
        <v>62</v>
      </c>
      <c r="AR85" s="47"/>
    </row>
    <row r="86" spans="1:44" ht="24.75" customHeight="1" thickBot="1">
      <c r="A86" s="41"/>
      <c r="B86" s="41"/>
      <c r="C86" s="41"/>
      <c r="D86" s="41">
        <v>65</v>
      </c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31"/>
      <c r="R86" s="131"/>
      <c r="S86" s="119"/>
      <c r="T86" s="119"/>
      <c r="U86" s="119"/>
      <c r="V86" s="119"/>
      <c r="W86" s="119"/>
      <c r="X86" s="119"/>
      <c r="Y86" s="119"/>
      <c r="Z86" s="119"/>
      <c r="AA86" s="131"/>
      <c r="AB86" s="119"/>
      <c r="AC86" s="119"/>
      <c r="AD86" s="119"/>
      <c r="AE86" s="119"/>
      <c r="AF86" s="119"/>
      <c r="AG86" s="119"/>
      <c r="AH86" s="119"/>
      <c r="AI86" s="119"/>
      <c r="AJ86" s="43"/>
      <c r="AK86" s="59"/>
      <c r="AL86" s="60" t="s">
        <v>113</v>
      </c>
      <c r="AM86" s="61" t="e">
        <f>_xll.DBRA(Server&amp;"LTP_Components",$AL92,$H$18)</f>
        <v>#N/A</v>
      </c>
      <c r="AN86" s="61" t="e">
        <f>_xll.DBR(Server&amp;"z_Client_Properties","LTP_Corp_Security",_xll.TM1USER(xServer))</f>
        <v>#N/A</v>
      </c>
      <c r="AO86" s="47"/>
      <c r="AP86" s="62" t="s">
        <v>56</v>
      </c>
      <c r="AQ86" s="62" t="s">
        <v>63</v>
      </c>
      <c r="AR86" s="47"/>
    </row>
    <row r="87" spans="1:44" s="119" customFormat="1" ht="27.75" customHeight="1" thickBot="1">
      <c r="A87" s="115"/>
      <c r="B87" s="115"/>
      <c r="C87" s="115"/>
      <c r="D87" s="115">
        <v>66</v>
      </c>
      <c r="E87" s="116"/>
      <c r="F87" s="117"/>
      <c r="G87" s="187" t="e">
        <f>_xll.DBRA(Server&amp;$AL$25,$AL$52,$H$18)</f>
        <v>#N/A</v>
      </c>
      <c r="H87" s="187"/>
      <c r="I87" s="121" t="e">
        <f>I$21</f>
        <v>#VALUE!</v>
      </c>
      <c r="J87" s="121" t="e">
        <f t="shared" ref="J87:P87" si="38">J$21</f>
        <v>#VALUE!</v>
      </c>
      <c r="K87" s="121" t="e">
        <f t="shared" si="38"/>
        <v>#VALUE!</v>
      </c>
      <c r="L87" s="121" t="e">
        <f t="shared" si="38"/>
        <v>#VALUE!</v>
      </c>
      <c r="M87" s="121" t="e">
        <f t="shared" si="38"/>
        <v>#VALUE!</v>
      </c>
      <c r="N87" s="121" t="e">
        <f t="shared" si="38"/>
        <v>#VALUE!</v>
      </c>
      <c r="O87" s="121" t="e">
        <f t="shared" si="38"/>
        <v>#VALUE!</v>
      </c>
      <c r="P87" s="121" t="e">
        <f t="shared" si="38"/>
        <v>#VALUE!</v>
      </c>
      <c r="Q87" s="131"/>
      <c r="R87" s="131"/>
      <c r="S87" s="121" t="e">
        <f>S$21</f>
        <v>#VALUE!</v>
      </c>
      <c r="T87" s="121" t="e">
        <f t="shared" ref="T87:Z87" si="39">T$21</f>
        <v>#VALUE!</v>
      </c>
      <c r="U87" s="121" t="e">
        <f t="shared" si="39"/>
        <v>#VALUE!</v>
      </c>
      <c r="V87" s="121" t="e">
        <f t="shared" si="39"/>
        <v>#VALUE!</v>
      </c>
      <c r="W87" s="121" t="e">
        <f t="shared" si="39"/>
        <v>#VALUE!</v>
      </c>
      <c r="X87" s="121" t="e">
        <f t="shared" si="39"/>
        <v>#VALUE!</v>
      </c>
      <c r="Y87" s="121" t="e">
        <f t="shared" si="39"/>
        <v>#VALUE!</v>
      </c>
      <c r="Z87" s="121" t="e">
        <f t="shared" si="39"/>
        <v>#VALUE!</v>
      </c>
      <c r="AA87" s="131"/>
      <c r="AB87" s="121" t="e">
        <f>I87</f>
        <v>#VALUE!</v>
      </c>
      <c r="AC87" s="121" t="e">
        <f t="shared" ref="AC87:AI87" si="40">J87</f>
        <v>#VALUE!</v>
      </c>
      <c r="AD87" s="121" t="e">
        <f t="shared" si="40"/>
        <v>#VALUE!</v>
      </c>
      <c r="AE87" s="121" t="e">
        <f t="shared" si="40"/>
        <v>#VALUE!</v>
      </c>
      <c r="AF87" s="121" t="e">
        <f t="shared" si="40"/>
        <v>#VALUE!</v>
      </c>
      <c r="AG87" s="121" t="e">
        <f t="shared" si="40"/>
        <v>#VALUE!</v>
      </c>
      <c r="AH87" s="121" t="e">
        <f t="shared" si="40"/>
        <v>#VALUE!</v>
      </c>
      <c r="AI87" s="121" t="e">
        <f t="shared" si="40"/>
        <v>#VALUE!</v>
      </c>
      <c r="AK87" s="164"/>
      <c r="AL87" s="165" t="s">
        <v>113</v>
      </c>
      <c r="AM87" s="166" t="e">
        <f>_xll.DBRA(Server&amp;"LTP_Components",$AL93,$H$18)</f>
        <v>#N/A</v>
      </c>
      <c r="AN87" s="166" t="e">
        <f>_xll.DBR(Server&amp;"z_Client_Properties","LTP_Corp_Security",_xll.TM1USER(xServer))</f>
        <v>#N/A</v>
      </c>
      <c r="AO87" s="161"/>
      <c r="AP87" s="167" t="s">
        <v>56</v>
      </c>
      <c r="AQ87" s="167" t="s">
        <v>63</v>
      </c>
      <c r="AR87" s="161"/>
    </row>
    <row r="88" spans="1:44" ht="3.75" customHeight="1" thickBot="1">
      <c r="B88" s="41"/>
      <c r="C88" s="41"/>
      <c r="D88" s="41">
        <v>67</v>
      </c>
      <c r="G88" s="123"/>
      <c r="H88" s="124"/>
      <c r="I88" s="125"/>
      <c r="J88" s="125"/>
      <c r="K88" s="125"/>
      <c r="L88" s="125"/>
      <c r="M88" s="125"/>
      <c r="N88" s="125"/>
      <c r="O88" s="125"/>
      <c r="P88" s="125"/>
      <c r="Q88" s="131"/>
      <c r="R88" s="131"/>
      <c r="S88" s="125"/>
      <c r="T88" s="125"/>
      <c r="U88" s="125"/>
      <c r="V88" s="125"/>
      <c r="W88" s="125"/>
      <c r="X88" s="125"/>
      <c r="Y88" s="125"/>
      <c r="Z88" s="125"/>
      <c r="AA88" s="131"/>
      <c r="AB88" s="125"/>
      <c r="AC88" s="125"/>
      <c r="AD88" s="125"/>
      <c r="AE88" s="125"/>
      <c r="AF88" s="125"/>
      <c r="AG88" s="125"/>
      <c r="AH88" s="125"/>
      <c r="AI88" s="125"/>
      <c r="AJ88" s="43"/>
      <c r="AK88" s="59"/>
      <c r="AL88" s="60" t="s">
        <v>113</v>
      </c>
      <c r="AM88" s="61" t="e">
        <f>_xll.DBRA(Server&amp;"LTP_Components",$AL94,$H$18)</f>
        <v>#VALUE!</v>
      </c>
      <c r="AN88" s="61" t="e">
        <f>_xll.DBR(Server&amp;"z_Client_Properties","LTP_Corp_Security",_xll.TM1USER(xServer))</f>
        <v>#N/A</v>
      </c>
      <c r="AO88" s="47"/>
      <c r="AP88" s="62" t="s">
        <v>56</v>
      </c>
      <c r="AQ88" s="62" t="s">
        <v>63</v>
      </c>
      <c r="AR88" s="47"/>
    </row>
    <row r="89" spans="1:44" ht="21.75" customHeight="1">
      <c r="A89" s="50" t="s">
        <v>132</v>
      </c>
      <c r="B89" s="41"/>
      <c r="C89" s="41"/>
      <c r="D89" s="41">
        <v>68</v>
      </c>
      <c r="G89" s="185" t="e">
        <f>_xll.DBRA(Server&amp;$A$21,$A89,$H$18)</f>
        <v>#N/A</v>
      </c>
      <c r="H89" s="186"/>
      <c r="I89" s="126" t="e">
        <f>_xll.DBRW($G$3,$H$15,$H$17,$H$13,$H$16,$H$14,I$2,$H$12,$A89)</f>
        <v>#VALUE!</v>
      </c>
      <c r="J89" s="127" t="e">
        <f>_xll.DBRW($G$3,$H$15,$H$17,$H$13,$H$16,$H$14,J$2,$H$12,$A89)</f>
        <v>#VALUE!</v>
      </c>
      <c r="K89" s="127" t="e">
        <f>_xll.DBRW($G$3,$H$15,$H$17,$H$13,$H$16,$H$14,K$2,$H$12,$A89)</f>
        <v>#VALUE!</v>
      </c>
      <c r="L89" s="127" t="e">
        <f>_xll.DBRW($G$3,$H$15,$H$17,$H$13,$H$16,$H$14,L$2,$H$12,$A89)</f>
        <v>#VALUE!</v>
      </c>
      <c r="M89" s="127" t="e">
        <f>_xll.DBRW($G$3,$H$15,$H$17,$H$13,$H$16,$H$14,M$2,$H$12,$A89)</f>
        <v>#VALUE!</v>
      </c>
      <c r="N89" s="127" t="e">
        <f>_xll.DBRW($G$3,$H$15,$H$17,$H$13,$H$16,$H$14,N$2,$H$12,$A89)</f>
        <v>#VALUE!</v>
      </c>
      <c r="O89" s="127" t="e">
        <f>_xll.DBRW($G$3,$H$15,$H$17,$H$13,$H$16,$H$14,O$2,$H$12,$A89)</f>
        <v>#VALUE!</v>
      </c>
      <c r="P89" s="128" t="e">
        <f>_xll.DBRW($G$3,$H$15,$H$17,$H$13,$H$16,$H$14,P$2,$H$12,$A89)</f>
        <v>#VALUE!</v>
      </c>
      <c r="Q89" s="131"/>
      <c r="R89" s="131"/>
      <c r="S89" s="126" t="e">
        <f>_xll.DBRW($G$3,$U$15,$H$17,$U$13,$U$16,$U$14,S$2,$U$12,$A89)</f>
        <v>#VALUE!</v>
      </c>
      <c r="T89" s="127" t="e">
        <f>_xll.DBRW($G$3,$U$15,$H$17,$U$13,$U$16,$U$14,T$2,$U$12,$A89)</f>
        <v>#VALUE!</v>
      </c>
      <c r="U89" s="127" t="e">
        <f>_xll.DBRW($G$3,$U$15,$H$17,$U$13,$U$16,$U$14,U$2,$U$12,$A89)</f>
        <v>#VALUE!</v>
      </c>
      <c r="V89" s="127" t="e">
        <f>_xll.DBRW($G$3,$U$15,$H$17,$U$13,$U$16,$U$14,V$2,$U$12,$A89)</f>
        <v>#VALUE!</v>
      </c>
      <c r="W89" s="127" t="e">
        <f>_xll.DBRW($G$3,$U$15,$H$17,$U$13,$U$16,$U$14,W$2,$U$12,$A89)</f>
        <v>#VALUE!</v>
      </c>
      <c r="X89" s="127" t="e">
        <f>_xll.DBRW($G$3,$U$15,$H$17,$U$13,$U$16,$U$14,X$2,$U$12,$A89)</f>
        <v>#VALUE!</v>
      </c>
      <c r="Y89" s="127" t="e">
        <f>_xll.DBRW($G$3,$U$15,$H$17,$U$13,$U$16,$U$14,Y$2,$U$12,$A89)</f>
        <v>#VALUE!</v>
      </c>
      <c r="Z89" s="128" t="e">
        <f>_xll.DBRW($G$3,$U$15,$H$17,$U$13,$U$16,$U$14,Z$2,$U$12,$A89)</f>
        <v>#VALUE!</v>
      </c>
      <c r="AA89" s="131"/>
      <c r="AB89" s="140" t="e">
        <f t="shared" ref="AB89:AB106" si="41">U89-I89</f>
        <v>#VALUE!</v>
      </c>
      <c r="AC89" s="141" t="e">
        <f t="shared" ref="AC89:AC106" si="42">V89-J89</f>
        <v>#VALUE!</v>
      </c>
      <c r="AD89" s="141" t="e">
        <f t="shared" ref="AD89:AD106" si="43">W89-K89</f>
        <v>#VALUE!</v>
      </c>
      <c r="AE89" s="141" t="e">
        <f t="shared" ref="AE89:AE106" si="44">X89-L89</f>
        <v>#VALUE!</v>
      </c>
      <c r="AF89" s="141" t="e">
        <f t="shared" ref="AF89:AF106" si="45">Y89-M89</f>
        <v>#VALUE!</v>
      </c>
      <c r="AG89" s="141" t="e">
        <f t="shared" ref="AG89:AG106" si="46">Z89-N89</f>
        <v>#VALUE!</v>
      </c>
      <c r="AH89" s="141" t="e">
        <f t="shared" ref="AH89:AH106" si="47">AA89-O89</f>
        <v>#VALUE!</v>
      </c>
      <c r="AI89" s="142" t="e">
        <f t="shared" ref="AI89:AI106" si="48">AB89-P89</f>
        <v>#VALUE!</v>
      </c>
      <c r="AJ89" s="43"/>
      <c r="AK89" s="59"/>
      <c r="AL89" s="60" t="s">
        <v>53</v>
      </c>
      <c r="AM89" s="63" t="e">
        <f>_xll.DBRA(Server&amp;"LTP_Components",$AL93,$H$18)</f>
        <v>#N/A</v>
      </c>
      <c r="AN89" s="61" t="e">
        <f>IF($AN$28 = "1",$AM$28,$AM$29)</f>
        <v>#N/A</v>
      </c>
      <c r="AO89" s="47"/>
      <c r="AP89" s="62" t="s">
        <v>57</v>
      </c>
      <c r="AQ89" s="62" t="s">
        <v>64</v>
      </c>
      <c r="AR89" s="47"/>
    </row>
    <row r="90" spans="1:44" ht="21.75" customHeight="1">
      <c r="A90" s="50" t="s">
        <v>32</v>
      </c>
      <c r="B90" s="41"/>
      <c r="C90" s="41"/>
      <c r="D90" s="41">
        <v>69</v>
      </c>
      <c r="G90" s="185" t="e">
        <f>_xll.DBRA(Server&amp;$A$21,$A90,$H$18)</f>
        <v>#N/A</v>
      </c>
      <c r="H90" s="186"/>
      <c r="I90" s="126" t="e">
        <f>_xll.DBRW($G$3,$H$15,$H$17,$H$13,$H$16,$H$14,I$2,$H$12,$A90)</f>
        <v>#VALUE!</v>
      </c>
      <c r="J90" s="127" t="e">
        <f>_xll.DBRW($G$3,$H$15,$H$17,$H$13,$H$16,$H$14,J$2,$H$12,$A90)</f>
        <v>#VALUE!</v>
      </c>
      <c r="K90" s="127" t="e">
        <f>_xll.DBRW($G$3,$H$15,$H$17,$H$13,$H$16,$H$14,K$2,$H$12,$A90)</f>
        <v>#VALUE!</v>
      </c>
      <c r="L90" s="127" t="e">
        <f>_xll.DBRW($G$3,$H$15,$H$17,$H$13,$H$16,$H$14,L$2,$H$12,$A90)</f>
        <v>#VALUE!</v>
      </c>
      <c r="M90" s="127" t="e">
        <f>_xll.DBRW($G$3,$H$15,$H$17,$H$13,$H$16,$H$14,M$2,$H$12,$A90)</f>
        <v>#VALUE!</v>
      </c>
      <c r="N90" s="127" t="e">
        <f>_xll.DBRW($G$3,$H$15,$H$17,$H$13,$H$16,$H$14,N$2,$H$12,$A90)</f>
        <v>#VALUE!</v>
      </c>
      <c r="O90" s="127" t="e">
        <f>_xll.DBRW($G$3,$H$15,$H$17,$H$13,$H$16,$H$14,O$2,$H$12,$A90)</f>
        <v>#VALUE!</v>
      </c>
      <c r="P90" s="128" t="e">
        <f>_xll.DBRW($G$3,$H$15,$H$17,$H$13,$H$16,$H$14,P$2,$H$12,$A90)</f>
        <v>#VALUE!</v>
      </c>
      <c r="Q90" s="131"/>
      <c r="R90" s="131"/>
      <c r="S90" s="126" t="e">
        <f>_xll.DBRW($G$3,$U$15,$H$17,$U$13,$U$16,$U$14,S$2,$U$12,$A90)</f>
        <v>#VALUE!</v>
      </c>
      <c r="T90" s="127" t="e">
        <f>_xll.DBRW($G$3,$U$15,$H$17,$U$13,$U$16,$U$14,T$2,$U$12,$A90)</f>
        <v>#VALUE!</v>
      </c>
      <c r="U90" s="127" t="e">
        <f>_xll.DBRW($G$3,$U$15,$H$17,$U$13,$U$16,$U$14,U$2,$U$12,$A90)</f>
        <v>#VALUE!</v>
      </c>
      <c r="V90" s="127" t="e">
        <f>_xll.DBRW($G$3,$U$15,$H$17,$U$13,$U$16,$U$14,V$2,$U$12,$A90)</f>
        <v>#VALUE!</v>
      </c>
      <c r="W90" s="127" t="e">
        <f>_xll.DBRW($G$3,$U$15,$H$17,$U$13,$U$16,$U$14,W$2,$U$12,$A90)</f>
        <v>#VALUE!</v>
      </c>
      <c r="X90" s="127" t="e">
        <f>_xll.DBRW($G$3,$U$15,$H$17,$U$13,$U$16,$U$14,X$2,$U$12,$A90)</f>
        <v>#VALUE!</v>
      </c>
      <c r="Y90" s="127" t="e">
        <f>_xll.DBRW($G$3,$U$15,$H$17,$U$13,$U$16,$U$14,Y$2,$U$12,$A90)</f>
        <v>#VALUE!</v>
      </c>
      <c r="Z90" s="128" t="e">
        <f>_xll.DBRW($G$3,$U$15,$H$17,$U$13,$U$16,$U$14,Z$2,$U$12,$A90)</f>
        <v>#VALUE!</v>
      </c>
      <c r="AA90" s="131"/>
      <c r="AB90" s="126" t="e">
        <f t="shared" si="41"/>
        <v>#VALUE!</v>
      </c>
      <c r="AC90" s="127" t="e">
        <f t="shared" si="42"/>
        <v>#VALUE!</v>
      </c>
      <c r="AD90" s="127" t="e">
        <f t="shared" si="43"/>
        <v>#VALUE!</v>
      </c>
      <c r="AE90" s="127" t="e">
        <f t="shared" si="44"/>
        <v>#VALUE!</v>
      </c>
      <c r="AF90" s="127" t="e">
        <f t="shared" si="45"/>
        <v>#VALUE!</v>
      </c>
      <c r="AG90" s="127" t="e">
        <f t="shared" si="46"/>
        <v>#VALUE!</v>
      </c>
      <c r="AH90" s="127" t="e">
        <f t="shared" si="47"/>
        <v>#VALUE!</v>
      </c>
      <c r="AI90" s="128" t="e">
        <f t="shared" si="48"/>
        <v>#VALUE!</v>
      </c>
      <c r="AJ90" s="43"/>
      <c r="AK90" s="47"/>
      <c r="AL90" s="49" t="s">
        <v>45</v>
      </c>
      <c r="AM90" s="47"/>
      <c r="AN90" s="47"/>
      <c r="AO90" s="47"/>
      <c r="AP90" s="62" t="s">
        <v>77</v>
      </c>
      <c r="AQ90" s="62" t="s">
        <v>67</v>
      </c>
      <c r="AR90" s="47"/>
    </row>
    <row r="91" spans="1:44" ht="21.75" customHeight="1">
      <c r="A91" s="50" t="s">
        <v>33</v>
      </c>
      <c r="B91" s="41"/>
      <c r="C91" s="41"/>
      <c r="D91" s="41">
        <v>70</v>
      </c>
      <c r="G91" s="185" t="e">
        <f>_xll.DBRA(Server&amp;$A$21,$A91,$H$18)</f>
        <v>#N/A</v>
      </c>
      <c r="H91" s="186"/>
      <c r="I91" s="126" t="e">
        <f>_xll.DBRW($G$3,$H$15,$H$17,$H$13,$H$16,$H$14,I$2,$H$12,$A91)</f>
        <v>#VALUE!</v>
      </c>
      <c r="J91" s="127" t="e">
        <f>_xll.DBRW($G$3,$H$15,$H$17,$H$13,$H$16,$H$14,J$2,$H$12,$A91)</f>
        <v>#VALUE!</v>
      </c>
      <c r="K91" s="127" t="e">
        <f>_xll.DBRW($G$3,$H$15,$H$17,$H$13,$H$16,$H$14,K$2,$H$12,$A91)</f>
        <v>#VALUE!</v>
      </c>
      <c r="L91" s="127" t="e">
        <f>_xll.DBRW($G$3,$H$15,$H$17,$H$13,$H$16,$H$14,L$2,$H$12,$A91)</f>
        <v>#VALUE!</v>
      </c>
      <c r="M91" s="127" t="e">
        <f>_xll.DBRW($G$3,$H$15,$H$17,$H$13,$H$16,$H$14,M$2,$H$12,$A91)</f>
        <v>#VALUE!</v>
      </c>
      <c r="N91" s="127" t="e">
        <f>_xll.DBRW($G$3,$H$15,$H$17,$H$13,$H$16,$H$14,N$2,$H$12,$A91)</f>
        <v>#VALUE!</v>
      </c>
      <c r="O91" s="127" t="e">
        <f>_xll.DBRW($G$3,$H$15,$H$17,$H$13,$H$16,$H$14,O$2,$H$12,$A91)</f>
        <v>#VALUE!</v>
      </c>
      <c r="P91" s="128" t="e">
        <f>_xll.DBRW($G$3,$H$15,$H$17,$H$13,$H$16,$H$14,P$2,$H$12,$A91)</f>
        <v>#VALUE!</v>
      </c>
      <c r="Q91" s="131"/>
      <c r="R91" s="131"/>
      <c r="S91" s="126" t="e">
        <f>_xll.DBRW($G$3,$U$15,$H$17,$U$13,$U$16,$U$14,S$2,$U$12,$A91)</f>
        <v>#VALUE!</v>
      </c>
      <c r="T91" s="127" t="e">
        <f>_xll.DBRW($G$3,$U$15,$H$17,$U$13,$U$16,$U$14,T$2,$U$12,$A91)</f>
        <v>#VALUE!</v>
      </c>
      <c r="U91" s="127" t="e">
        <f>_xll.DBRW($G$3,$U$15,$H$17,$U$13,$U$16,$U$14,U$2,$U$12,$A91)</f>
        <v>#VALUE!</v>
      </c>
      <c r="V91" s="127" t="e">
        <f>_xll.DBRW($G$3,$U$15,$H$17,$U$13,$U$16,$U$14,V$2,$U$12,$A91)</f>
        <v>#VALUE!</v>
      </c>
      <c r="W91" s="127" t="e">
        <f>_xll.DBRW($G$3,$U$15,$H$17,$U$13,$U$16,$U$14,W$2,$U$12,$A91)</f>
        <v>#VALUE!</v>
      </c>
      <c r="X91" s="127" t="e">
        <f>_xll.DBRW($G$3,$U$15,$H$17,$U$13,$U$16,$U$14,X$2,$U$12,$A91)</f>
        <v>#VALUE!</v>
      </c>
      <c r="Y91" s="127" t="e">
        <f>_xll.DBRW($G$3,$U$15,$H$17,$U$13,$U$16,$U$14,Y$2,$U$12,$A91)</f>
        <v>#VALUE!</v>
      </c>
      <c r="Z91" s="128" t="e">
        <f>_xll.DBRW($G$3,$U$15,$H$17,$U$13,$U$16,$U$14,Z$2,$U$12,$A91)</f>
        <v>#VALUE!</v>
      </c>
      <c r="AA91" s="131"/>
      <c r="AB91" s="126" t="e">
        <f t="shared" si="41"/>
        <v>#VALUE!</v>
      </c>
      <c r="AC91" s="127" t="e">
        <f t="shared" si="42"/>
        <v>#VALUE!</v>
      </c>
      <c r="AD91" s="127" t="e">
        <f t="shared" si="43"/>
        <v>#VALUE!</v>
      </c>
      <c r="AE91" s="127" t="e">
        <f t="shared" si="44"/>
        <v>#VALUE!</v>
      </c>
      <c r="AF91" s="127" t="e">
        <f t="shared" si="45"/>
        <v>#VALUE!</v>
      </c>
      <c r="AG91" s="127" t="e">
        <f t="shared" si="46"/>
        <v>#VALUE!</v>
      </c>
      <c r="AH91" s="127" t="e">
        <f t="shared" si="47"/>
        <v>#VALUE!</v>
      </c>
      <c r="AI91" s="128" t="e">
        <f t="shared" si="48"/>
        <v>#VALUE!</v>
      </c>
      <c r="AK91" s="47"/>
      <c r="AL91" s="49" t="s">
        <v>85</v>
      </c>
      <c r="AM91" s="47"/>
      <c r="AN91" s="47"/>
      <c r="AO91" s="47"/>
      <c r="AP91" s="67"/>
      <c r="AQ91" s="67"/>
      <c r="AR91" s="47"/>
    </row>
    <row r="92" spans="1:44" ht="21.75" customHeight="1">
      <c r="A92" s="50" t="s">
        <v>34</v>
      </c>
      <c r="B92" s="41"/>
      <c r="C92" s="41"/>
      <c r="D92" s="41">
        <v>71</v>
      </c>
      <c r="G92" s="185" t="e">
        <f>_xll.DBRA(Server&amp;$A$21,$A92,$H$18)</f>
        <v>#N/A</v>
      </c>
      <c r="H92" s="186"/>
      <c r="I92" s="126" t="e">
        <f>_xll.DBRW($G$3,$H$15,$H$17,$H$13,$H$16,$H$14,I$2,$H$12,$A92)</f>
        <v>#VALUE!</v>
      </c>
      <c r="J92" s="127" t="e">
        <f>_xll.DBRW($G$3,$H$15,$H$17,$H$13,$H$16,$H$14,J$2,$H$12,$A92)</f>
        <v>#VALUE!</v>
      </c>
      <c r="K92" s="127" t="e">
        <f>_xll.DBRW($G$3,$H$15,$H$17,$H$13,$H$16,$H$14,K$2,$H$12,$A92)</f>
        <v>#VALUE!</v>
      </c>
      <c r="L92" s="127" t="e">
        <f>_xll.DBRW($G$3,$H$15,$H$17,$H$13,$H$16,$H$14,L$2,$H$12,$A92)</f>
        <v>#VALUE!</v>
      </c>
      <c r="M92" s="127" t="e">
        <f>_xll.DBRW($G$3,$H$15,$H$17,$H$13,$H$16,$H$14,M$2,$H$12,$A92)</f>
        <v>#VALUE!</v>
      </c>
      <c r="N92" s="127" t="e">
        <f>_xll.DBRW($G$3,$H$15,$H$17,$H$13,$H$16,$H$14,N$2,$H$12,$A92)</f>
        <v>#VALUE!</v>
      </c>
      <c r="O92" s="127" t="e">
        <f>_xll.DBRW($G$3,$H$15,$H$17,$H$13,$H$16,$H$14,O$2,$H$12,$A92)</f>
        <v>#VALUE!</v>
      </c>
      <c r="P92" s="128" t="e">
        <f>_xll.DBRW($G$3,$H$15,$H$17,$H$13,$H$16,$H$14,P$2,$H$12,$A92)</f>
        <v>#VALUE!</v>
      </c>
      <c r="Q92" s="131"/>
      <c r="R92" s="131"/>
      <c r="S92" s="126" t="e">
        <f>_xll.DBRW($G$3,$U$15,$H$17,$U$13,$U$16,$U$14,S$2,$U$12,$A92)</f>
        <v>#VALUE!</v>
      </c>
      <c r="T92" s="127" t="e">
        <f>_xll.DBRW($G$3,$U$15,$H$17,$U$13,$U$16,$U$14,T$2,$U$12,$A92)</f>
        <v>#VALUE!</v>
      </c>
      <c r="U92" s="127" t="e">
        <f>_xll.DBRW($G$3,$U$15,$H$17,$U$13,$U$16,$U$14,U$2,$U$12,$A92)</f>
        <v>#VALUE!</v>
      </c>
      <c r="V92" s="127" t="e">
        <f>_xll.DBRW($G$3,$U$15,$H$17,$U$13,$U$16,$U$14,V$2,$U$12,$A92)</f>
        <v>#VALUE!</v>
      </c>
      <c r="W92" s="127" t="e">
        <f>_xll.DBRW($G$3,$U$15,$H$17,$U$13,$U$16,$U$14,W$2,$U$12,$A92)</f>
        <v>#VALUE!</v>
      </c>
      <c r="X92" s="127" t="e">
        <f>_xll.DBRW($G$3,$U$15,$H$17,$U$13,$U$16,$U$14,X$2,$U$12,$A92)</f>
        <v>#VALUE!</v>
      </c>
      <c r="Y92" s="127" t="e">
        <f>_xll.DBRW($G$3,$U$15,$H$17,$U$13,$U$16,$U$14,Y$2,$U$12,$A92)</f>
        <v>#VALUE!</v>
      </c>
      <c r="Z92" s="128" t="e">
        <f>_xll.DBRW($G$3,$U$15,$H$17,$U$13,$U$16,$U$14,Z$2,$U$12,$A92)</f>
        <v>#VALUE!</v>
      </c>
      <c r="AA92" s="131"/>
      <c r="AB92" s="126" t="e">
        <f t="shared" si="41"/>
        <v>#VALUE!</v>
      </c>
      <c r="AC92" s="127" t="e">
        <f t="shared" si="42"/>
        <v>#VALUE!</v>
      </c>
      <c r="AD92" s="127" t="e">
        <f t="shared" si="43"/>
        <v>#VALUE!</v>
      </c>
      <c r="AE92" s="127" t="e">
        <f t="shared" si="44"/>
        <v>#VALUE!</v>
      </c>
      <c r="AF92" s="127" t="e">
        <f t="shared" si="45"/>
        <v>#VALUE!</v>
      </c>
      <c r="AG92" s="127" t="e">
        <f t="shared" si="46"/>
        <v>#VALUE!</v>
      </c>
      <c r="AH92" s="127" t="e">
        <f t="shared" si="47"/>
        <v>#VALUE!</v>
      </c>
      <c r="AI92" s="128" t="e">
        <f t="shared" si="48"/>
        <v>#VALUE!</v>
      </c>
      <c r="AJ92" s="43"/>
      <c r="AK92" s="47"/>
      <c r="AL92" s="49" t="s">
        <v>120</v>
      </c>
      <c r="AM92" s="47"/>
      <c r="AN92" s="47"/>
      <c r="AO92" s="47"/>
      <c r="AP92" s="62" t="s">
        <v>46</v>
      </c>
      <c r="AQ92" s="67" t="s">
        <v>80</v>
      </c>
      <c r="AR92" s="47"/>
    </row>
    <row r="93" spans="1:44" ht="21.75" customHeight="1" thickBot="1">
      <c r="A93" s="50" t="s">
        <v>35</v>
      </c>
      <c r="B93" s="41"/>
      <c r="C93" s="41"/>
      <c r="D93" s="41">
        <v>72</v>
      </c>
      <c r="G93" s="185" t="e">
        <f>_xll.DBRA(Server&amp;$A$21,$A93,$H$18)</f>
        <v>#N/A</v>
      </c>
      <c r="H93" s="186"/>
      <c r="I93" s="126" t="e">
        <f>_xll.DBRW($G$3,$H$15,$H$17,$H$13,$H$16,$H$14,I$2,$H$12,$A93)</f>
        <v>#VALUE!</v>
      </c>
      <c r="J93" s="127" t="e">
        <f>_xll.DBRW($G$3,$H$15,$H$17,$H$13,$H$16,$H$14,J$2,$H$12,$A93)</f>
        <v>#VALUE!</v>
      </c>
      <c r="K93" s="127" t="e">
        <f>_xll.DBRW($G$3,$H$15,$H$17,$H$13,$H$16,$H$14,K$2,$H$12,$A93)</f>
        <v>#VALUE!</v>
      </c>
      <c r="L93" s="127" t="e">
        <f>_xll.DBRW($G$3,$H$15,$H$17,$H$13,$H$16,$H$14,L$2,$H$12,$A93)</f>
        <v>#VALUE!</v>
      </c>
      <c r="M93" s="127" t="e">
        <f>_xll.DBRW($G$3,$H$15,$H$17,$H$13,$H$16,$H$14,M$2,$H$12,$A93)</f>
        <v>#VALUE!</v>
      </c>
      <c r="N93" s="127" t="e">
        <f>_xll.DBRW($G$3,$H$15,$H$17,$H$13,$H$16,$H$14,N$2,$H$12,$A93)</f>
        <v>#VALUE!</v>
      </c>
      <c r="O93" s="127" t="e">
        <f>_xll.DBRW($G$3,$H$15,$H$17,$H$13,$H$16,$H$14,O$2,$H$12,$A93)</f>
        <v>#VALUE!</v>
      </c>
      <c r="P93" s="128" t="e">
        <f>_xll.DBRW($G$3,$H$15,$H$17,$H$13,$H$16,$H$14,P$2,$H$12,$A93)</f>
        <v>#VALUE!</v>
      </c>
      <c r="Q93" s="131"/>
      <c r="R93" s="131"/>
      <c r="S93" s="126" t="e">
        <f>_xll.DBRW($G$3,$U$15,$H$17,$U$13,$U$16,$U$14,S$2,$U$12,$A93)</f>
        <v>#VALUE!</v>
      </c>
      <c r="T93" s="127" t="e">
        <f>_xll.DBRW($G$3,$U$15,$H$17,$U$13,$U$16,$U$14,T$2,$U$12,$A93)</f>
        <v>#VALUE!</v>
      </c>
      <c r="U93" s="127" t="e">
        <f>_xll.DBRW($G$3,$U$15,$H$17,$U$13,$U$16,$U$14,U$2,$U$12,$A93)</f>
        <v>#VALUE!</v>
      </c>
      <c r="V93" s="127" t="e">
        <f>_xll.DBRW($G$3,$U$15,$H$17,$U$13,$U$16,$U$14,V$2,$U$12,$A93)</f>
        <v>#VALUE!</v>
      </c>
      <c r="W93" s="127" t="e">
        <f>_xll.DBRW($G$3,$U$15,$H$17,$U$13,$U$16,$U$14,W$2,$U$12,$A93)</f>
        <v>#VALUE!</v>
      </c>
      <c r="X93" s="127" t="e">
        <f>_xll.DBRW($G$3,$U$15,$H$17,$U$13,$U$16,$U$14,X$2,$U$12,$A93)</f>
        <v>#VALUE!</v>
      </c>
      <c r="Y93" s="127" t="e">
        <f>_xll.DBRW($G$3,$U$15,$H$17,$U$13,$U$16,$U$14,Y$2,$U$12,$A93)</f>
        <v>#VALUE!</v>
      </c>
      <c r="Z93" s="128" t="e">
        <f>_xll.DBRW($G$3,$U$15,$H$17,$U$13,$U$16,$U$14,Z$2,$U$12,$A93)</f>
        <v>#VALUE!</v>
      </c>
      <c r="AA93" s="131"/>
      <c r="AB93" s="126" t="e">
        <f t="shared" si="41"/>
        <v>#VALUE!</v>
      </c>
      <c r="AC93" s="127" t="e">
        <f t="shared" si="42"/>
        <v>#VALUE!</v>
      </c>
      <c r="AD93" s="127" t="e">
        <f t="shared" si="43"/>
        <v>#VALUE!</v>
      </c>
      <c r="AE93" s="127" t="e">
        <f t="shared" si="44"/>
        <v>#VALUE!</v>
      </c>
      <c r="AF93" s="127" t="e">
        <f t="shared" si="45"/>
        <v>#VALUE!</v>
      </c>
      <c r="AG93" s="127" t="e">
        <f t="shared" si="46"/>
        <v>#VALUE!</v>
      </c>
      <c r="AH93" s="127" t="e">
        <f t="shared" si="47"/>
        <v>#VALUE!</v>
      </c>
      <c r="AI93" s="128" t="e">
        <f t="shared" si="48"/>
        <v>#VALUE!</v>
      </c>
      <c r="AJ93" s="43"/>
      <c r="AK93" s="47"/>
      <c r="AL93" s="49" t="s">
        <v>121</v>
      </c>
      <c r="AM93" s="47"/>
      <c r="AN93" s="47"/>
      <c r="AO93" s="47"/>
      <c r="AP93" s="47" t="s">
        <v>44</v>
      </c>
      <c r="AQ93" s="47"/>
      <c r="AR93" s="47"/>
    </row>
    <row r="94" spans="1:44" ht="20.25" customHeight="1" thickBot="1">
      <c r="A94" s="50" t="s">
        <v>139</v>
      </c>
      <c r="B94" s="64"/>
      <c r="C94" s="41"/>
      <c r="D94" s="41">
        <v>73</v>
      </c>
      <c r="G94" s="184" t="e">
        <f>_xll.DBRA(Server&amp;$A$21,$A94,$H$18)</f>
        <v>#N/A</v>
      </c>
      <c r="H94" s="184"/>
      <c r="I94" s="134" t="e">
        <f>_xll.DBRW($G$3,$H$15,$H$17,$H$13,$H$16,$H$14,I$2,$H$12,$A94)</f>
        <v>#VALUE!</v>
      </c>
      <c r="J94" s="134" t="e">
        <f>_xll.DBRW($G$3,$H$15,$H$17,$H$13,$H$16,$H$14,J$2,$H$12,$A94)</f>
        <v>#VALUE!</v>
      </c>
      <c r="K94" s="134" t="e">
        <f>_xll.DBRW($G$3,$H$15,$H$17,$H$13,$H$16,$H$14,K$2,$H$12,$A94)</f>
        <v>#VALUE!</v>
      </c>
      <c r="L94" s="134" t="e">
        <f>_xll.DBRW($G$3,$H$15,$H$17,$H$13,$H$16,$H$14,L$2,$H$12,$A94)</f>
        <v>#VALUE!</v>
      </c>
      <c r="M94" s="134" t="e">
        <f>_xll.DBRW($G$3,$H$15,$H$17,$H$13,$H$16,$H$14,M$2,$H$12,$A94)</f>
        <v>#VALUE!</v>
      </c>
      <c r="N94" s="134" t="e">
        <f>_xll.DBRW($G$3,$H$15,$H$17,$H$13,$H$16,$H$14,N$2,$H$12,$A94)</f>
        <v>#VALUE!</v>
      </c>
      <c r="O94" s="134" t="e">
        <f>_xll.DBRW($G$3,$H$15,$H$17,$H$13,$H$16,$H$14,O$2,$H$12,$A94)</f>
        <v>#VALUE!</v>
      </c>
      <c r="P94" s="134" t="e">
        <f>_xll.DBRW($G$3,$H$15,$H$17,$H$13,$H$16,$H$14,P$2,$H$12,$A94)</f>
        <v>#VALUE!</v>
      </c>
      <c r="Q94" s="131" t="e">
        <f>SUM(I94:P94)-SUM(I89:P93)</f>
        <v>#VALUE!</v>
      </c>
      <c r="R94" s="131"/>
      <c r="S94" s="134" t="e">
        <f>_xll.DBRW($G$3,$U$15,$H$17,$U$13,$U$16,$U$14,S$2,$U$12,$A94)</f>
        <v>#VALUE!</v>
      </c>
      <c r="T94" s="134" t="e">
        <f>_xll.DBRW($G$3,$U$15,$H$17,$U$13,$U$16,$U$14,T$2,$U$12,$A94)</f>
        <v>#VALUE!</v>
      </c>
      <c r="U94" s="134" t="e">
        <f>_xll.DBRW($G$3,$U$15,$H$17,$U$13,$U$16,$U$14,U$2,$U$12,$A94)</f>
        <v>#VALUE!</v>
      </c>
      <c r="V94" s="134" t="e">
        <f>_xll.DBRW($G$3,$U$15,$H$17,$U$13,$U$16,$U$14,V$2,$U$12,$A94)</f>
        <v>#VALUE!</v>
      </c>
      <c r="W94" s="134" t="e">
        <f>_xll.DBRW($G$3,$U$15,$H$17,$U$13,$U$16,$U$14,W$2,$U$12,$A94)</f>
        <v>#VALUE!</v>
      </c>
      <c r="X94" s="134" t="e">
        <f>_xll.DBRW($G$3,$U$15,$H$17,$U$13,$U$16,$U$14,X$2,$U$12,$A94)</f>
        <v>#VALUE!</v>
      </c>
      <c r="Y94" s="134" t="e">
        <f>_xll.DBRW($G$3,$U$15,$H$17,$U$13,$U$16,$U$14,Y$2,$U$12,$A94)</f>
        <v>#VALUE!</v>
      </c>
      <c r="Z94" s="134" t="e">
        <f>_xll.DBRW($G$3,$U$15,$H$17,$U$13,$U$16,$U$14,Z$2,$U$12,$A94)</f>
        <v>#VALUE!</v>
      </c>
      <c r="AA94" s="131" t="e">
        <f>SUM(S94:Z94)-SUM(S89:Z93)</f>
        <v>#VALUE!</v>
      </c>
      <c r="AB94" s="134" t="e">
        <f t="shared" si="41"/>
        <v>#VALUE!</v>
      </c>
      <c r="AC94" s="134" t="e">
        <f t="shared" si="42"/>
        <v>#VALUE!</v>
      </c>
      <c r="AD94" s="134" t="e">
        <f t="shared" si="43"/>
        <v>#VALUE!</v>
      </c>
      <c r="AE94" s="134" t="e">
        <f t="shared" si="44"/>
        <v>#VALUE!</v>
      </c>
      <c r="AF94" s="134" t="e">
        <f t="shared" si="45"/>
        <v>#VALUE!</v>
      </c>
      <c r="AG94" s="134" t="e">
        <f t="shared" si="46"/>
        <v>#VALUE!</v>
      </c>
      <c r="AH94" s="134" t="e">
        <f t="shared" si="47"/>
        <v>#VALUE!</v>
      </c>
      <c r="AI94" s="134" t="e">
        <f t="shared" si="48"/>
        <v>#VALUE!</v>
      </c>
      <c r="AJ94" s="43"/>
      <c r="AK94" s="47"/>
      <c r="AL94" s="49"/>
      <c r="AM94" s="47"/>
      <c r="AN94" s="47"/>
      <c r="AO94" s="47"/>
      <c r="AP94" s="47"/>
      <c r="AQ94" s="47"/>
      <c r="AR94" s="47"/>
    </row>
    <row r="95" spans="1:44" ht="19.5" customHeight="1" thickBot="1">
      <c r="A95" s="50" t="s">
        <v>36</v>
      </c>
      <c r="B95" s="64"/>
      <c r="C95" s="41"/>
      <c r="D95" s="41">
        <v>74</v>
      </c>
      <c r="G95" s="185" t="e">
        <f>_xll.DBRA(Server&amp;$A$21,$A95,$H$18)</f>
        <v>#N/A</v>
      </c>
      <c r="H95" s="186"/>
      <c r="I95" s="126" t="e">
        <f>_xll.DBRW($G$3,$H$15,$H$17,$H$13,$H$16,$H$14,I$2,$H$12,$A95)</f>
        <v>#VALUE!</v>
      </c>
      <c r="J95" s="127" t="e">
        <f>_xll.DBRW($G$3,$H$15,$H$17,$H$13,$H$16,$H$14,J$2,$H$12,$A95)</f>
        <v>#VALUE!</v>
      </c>
      <c r="K95" s="127" t="e">
        <f>_xll.DBRW($G$3,$H$15,$H$17,$H$13,$H$16,$H$14,K$2,$H$12,$A95)</f>
        <v>#VALUE!</v>
      </c>
      <c r="L95" s="127" t="e">
        <f>_xll.DBRW($G$3,$H$15,$H$17,$H$13,$H$16,$H$14,L$2,$H$12,$A95)</f>
        <v>#VALUE!</v>
      </c>
      <c r="M95" s="127" t="e">
        <f>_xll.DBRW($G$3,$H$15,$H$17,$H$13,$H$16,$H$14,M$2,$H$12,$A95)</f>
        <v>#VALUE!</v>
      </c>
      <c r="N95" s="127" t="e">
        <f>_xll.DBRW($G$3,$H$15,$H$17,$H$13,$H$16,$H$14,N$2,$H$12,$A95)</f>
        <v>#VALUE!</v>
      </c>
      <c r="O95" s="127" t="e">
        <f>_xll.DBRW($G$3,$H$15,$H$17,$H$13,$H$16,$H$14,O$2,$H$12,$A95)</f>
        <v>#VALUE!</v>
      </c>
      <c r="P95" s="128" t="e">
        <f>_xll.DBRW($G$3,$H$15,$H$17,$H$13,$H$16,$H$14,P$2,$H$12,$A95)</f>
        <v>#VALUE!</v>
      </c>
      <c r="Q95" s="131"/>
      <c r="R95" s="131"/>
      <c r="S95" s="126" t="e">
        <f>_xll.DBRW($G$3,$U$15,$H$17,$U$13,$U$16,$U$14,S$2,$U$12,$A95)</f>
        <v>#VALUE!</v>
      </c>
      <c r="T95" s="127" t="e">
        <f>_xll.DBRW($G$3,$U$15,$H$17,$U$13,$U$16,$U$14,T$2,$U$12,$A95)</f>
        <v>#VALUE!</v>
      </c>
      <c r="U95" s="127" t="e">
        <f>_xll.DBRW($G$3,$U$15,$H$17,$U$13,$U$16,$U$14,U$2,$U$12,$A95)</f>
        <v>#VALUE!</v>
      </c>
      <c r="V95" s="127" t="e">
        <f>_xll.DBRW($G$3,$U$15,$H$17,$U$13,$U$16,$U$14,V$2,$U$12,$A95)</f>
        <v>#VALUE!</v>
      </c>
      <c r="W95" s="127" t="e">
        <f>_xll.DBRW($G$3,$U$15,$H$17,$U$13,$U$16,$U$14,W$2,$U$12,$A95)</f>
        <v>#VALUE!</v>
      </c>
      <c r="X95" s="127" t="e">
        <f>_xll.DBRW($G$3,$U$15,$H$17,$U$13,$U$16,$U$14,X$2,$U$12,$A95)</f>
        <v>#VALUE!</v>
      </c>
      <c r="Y95" s="127" t="e">
        <f>_xll.DBRW($G$3,$U$15,$H$17,$U$13,$U$16,$U$14,Y$2,$U$12,$A95)</f>
        <v>#VALUE!</v>
      </c>
      <c r="Z95" s="128" t="e">
        <f>_xll.DBRW($G$3,$U$15,$H$17,$U$13,$U$16,$U$14,Z$2,$U$12,$A95)</f>
        <v>#VALUE!</v>
      </c>
      <c r="AA95" s="131"/>
      <c r="AB95" s="126" t="e">
        <f t="shared" si="41"/>
        <v>#VALUE!</v>
      </c>
      <c r="AC95" s="127" t="e">
        <f t="shared" si="42"/>
        <v>#VALUE!</v>
      </c>
      <c r="AD95" s="127" t="e">
        <f t="shared" si="43"/>
        <v>#VALUE!</v>
      </c>
      <c r="AE95" s="127" t="e">
        <f t="shared" si="44"/>
        <v>#VALUE!</v>
      </c>
      <c r="AF95" s="127" t="e">
        <f t="shared" si="45"/>
        <v>#VALUE!</v>
      </c>
      <c r="AG95" s="127" t="e">
        <f t="shared" si="46"/>
        <v>#VALUE!</v>
      </c>
      <c r="AH95" s="127" t="e">
        <f t="shared" si="47"/>
        <v>#VALUE!</v>
      </c>
      <c r="AI95" s="128" t="e">
        <f t="shared" si="48"/>
        <v>#VALUE!</v>
      </c>
      <c r="AJ95" s="43"/>
      <c r="AK95" s="47"/>
      <c r="AL95" s="49" t="s">
        <v>82</v>
      </c>
      <c r="AM95" s="47"/>
      <c r="AN95" s="47"/>
      <c r="AO95" s="47"/>
      <c r="AP95" s="67"/>
      <c r="AQ95" s="67"/>
      <c r="AR95" s="47"/>
    </row>
    <row r="96" spans="1:44" ht="21.75" customHeight="1" thickBot="1">
      <c r="A96" s="50" t="s">
        <v>128</v>
      </c>
      <c r="B96" s="64"/>
      <c r="C96" s="41"/>
      <c r="D96" s="41">
        <v>75</v>
      </c>
      <c r="G96" s="184" t="e">
        <f>_xll.DBRA(Server&amp;$A$21,$A96,$H$18)</f>
        <v>#N/A</v>
      </c>
      <c r="H96" s="184"/>
      <c r="I96" s="134" t="e">
        <f>_xll.DBRW($G$3,$H$15,$H$17,$H$13,$H$16,$H$14,I$2,$H$12,$A96)</f>
        <v>#VALUE!</v>
      </c>
      <c r="J96" s="134" t="e">
        <f>_xll.DBRW($G$3,$H$15,$H$17,$H$13,$H$16,$H$14,J$2,$H$12,$A96)</f>
        <v>#VALUE!</v>
      </c>
      <c r="K96" s="134" t="e">
        <f>_xll.DBRW($G$3,$H$15,$H$17,$H$13,$H$16,$H$14,K$2,$H$12,$A96)</f>
        <v>#VALUE!</v>
      </c>
      <c r="L96" s="134" t="e">
        <f>_xll.DBRW($G$3,$H$15,$H$17,$H$13,$H$16,$H$14,L$2,$H$12,$A96)</f>
        <v>#VALUE!</v>
      </c>
      <c r="M96" s="134" t="e">
        <f>_xll.DBRW($G$3,$H$15,$H$17,$H$13,$H$16,$H$14,M$2,$H$12,$A96)</f>
        <v>#VALUE!</v>
      </c>
      <c r="N96" s="134" t="e">
        <f>_xll.DBRW($G$3,$H$15,$H$17,$H$13,$H$16,$H$14,N$2,$H$12,$A96)</f>
        <v>#VALUE!</v>
      </c>
      <c r="O96" s="134" t="e">
        <f>_xll.DBRW($G$3,$H$15,$H$17,$H$13,$H$16,$H$14,O$2,$H$12,$A96)</f>
        <v>#VALUE!</v>
      </c>
      <c r="P96" s="134" t="e">
        <f>_xll.DBRW($G$3,$H$15,$H$17,$H$13,$H$16,$H$14,P$2,$H$12,$A96)</f>
        <v>#VALUE!</v>
      </c>
      <c r="Q96" s="146" t="e">
        <f>SUM(I96:P96)-SUM(I94:P95)</f>
        <v>#VALUE!</v>
      </c>
      <c r="R96" s="146"/>
      <c r="S96" s="134" t="e">
        <f>_xll.DBRW($G$3,$U$15,$H$17,$U$13,$U$16,$U$14,S$2,$U$12,$A96)</f>
        <v>#VALUE!</v>
      </c>
      <c r="T96" s="134" t="e">
        <f>_xll.DBRW($G$3,$U$15,$H$17,$U$13,$U$16,$U$14,T$2,$U$12,$A96)</f>
        <v>#VALUE!</v>
      </c>
      <c r="U96" s="134" t="e">
        <f>_xll.DBRW($G$3,$U$15,$H$17,$U$13,$U$16,$U$14,U$2,$U$12,$A96)</f>
        <v>#VALUE!</v>
      </c>
      <c r="V96" s="134" t="e">
        <f>_xll.DBRW($G$3,$U$15,$H$17,$U$13,$U$16,$U$14,V$2,$U$12,$A96)</f>
        <v>#VALUE!</v>
      </c>
      <c r="W96" s="134" t="e">
        <f>_xll.DBRW($G$3,$U$15,$H$17,$U$13,$U$16,$U$14,W$2,$U$12,$A96)</f>
        <v>#VALUE!</v>
      </c>
      <c r="X96" s="134" t="e">
        <f>_xll.DBRW($G$3,$U$15,$H$17,$U$13,$U$16,$U$14,X$2,$U$12,$A96)</f>
        <v>#VALUE!</v>
      </c>
      <c r="Y96" s="134" t="e">
        <f>_xll.DBRW($G$3,$U$15,$H$17,$U$13,$U$16,$U$14,Y$2,$U$12,$A96)</f>
        <v>#VALUE!</v>
      </c>
      <c r="Z96" s="134" t="e">
        <f>_xll.DBRW($G$3,$U$15,$H$17,$U$13,$U$16,$U$14,Z$2,$U$12,$A96)</f>
        <v>#VALUE!</v>
      </c>
      <c r="AA96" s="146" t="e">
        <f>SUM(S96:Z96)-SUM(S94:Z95)</f>
        <v>#VALUE!</v>
      </c>
      <c r="AB96" s="134" t="e">
        <f t="shared" si="41"/>
        <v>#VALUE!</v>
      </c>
      <c r="AC96" s="134" t="e">
        <f t="shared" si="42"/>
        <v>#VALUE!</v>
      </c>
      <c r="AD96" s="134" t="e">
        <f t="shared" si="43"/>
        <v>#VALUE!</v>
      </c>
      <c r="AE96" s="134" t="e">
        <f t="shared" si="44"/>
        <v>#VALUE!</v>
      </c>
      <c r="AF96" s="134" t="e">
        <f t="shared" si="45"/>
        <v>#VALUE!</v>
      </c>
      <c r="AG96" s="134" t="e">
        <f t="shared" si="46"/>
        <v>#VALUE!</v>
      </c>
      <c r="AH96" s="134" t="e">
        <f t="shared" si="47"/>
        <v>#VALUE!</v>
      </c>
      <c r="AI96" s="134" t="e">
        <f t="shared" si="48"/>
        <v>#VALUE!</v>
      </c>
      <c r="AJ96" s="43"/>
      <c r="AK96" s="47"/>
      <c r="AL96" s="49"/>
      <c r="AM96" s="47"/>
      <c r="AN96" s="47"/>
      <c r="AO96" s="47"/>
      <c r="AP96" s="67" t="s">
        <v>82</v>
      </c>
      <c r="AQ96" s="47"/>
      <c r="AR96" s="47"/>
    </row>
    <row r="97" spans="1:44" ht="21.75" customHeight="1" thickBot="1">
      <c r="A97" s="50" t="s">
        <v>129</v>
      </c>
      <c r="B97" s="41"/>
      <c r="C97" s="41"/>
      <c r="D97" s="41">
        <v>76</v>
      </c>
      <c r="G97" s="184" t="e">
        <f>_xll.DBRA(Server&amp;$A$21,$A97,$H$18)</f>
        <v>#N/A</v>
      </c>
      <c r="H97" s="184"/>
      <c r="I97" s="134" t="e">
        <f>_xll.DBRW($G$3,$H$15,$H$17,$H$13,$H$16,$H$14,I$2,$H$12,$A97)</f>
        <v>#VALUE!</v>
      </c>
      <c r="J97" s="134" t="e">
        <f>_xll.DBRW($G$3,$H$15,$H$17,$H$13,$H$16,$H$14,J$2,$H$12,$A97)</f>
        <v>#VALUE!</v>
      </c>
      <c r="K97" s="134" t="e">
        <f>_xll.DBRW($G$3,$H$15,$H$17,$H$13,$H$16,$H$14,K$2,$H$12,$A97)</f>
        <v>#VALUE!</v>
      </c>
      <c r="L97" s="134" t="e">
        <f>_xll.DBRW($G$3,$H$15,$H$17,$H$13,$H$16,$H$14,L$2,$H$12,$A97)</f>
        <v>#VALUE!</v>
      </c>
      <c r="M97" s="134" t="e">
        <f>_xll.DBRW($G$3,$H$15,$H$17,$H$13,$H$16,$H$14,M$2,$H$12,$A97)</f>
        <v>#VALUE!</v>
      </c>
      <c r="N97" s="134" t="e">
        <f>_xll.DBRW($G$3,$H$15,$H$17,$H$13,$H$16,$H$14,N$2,$H$12,$A97)</f>
        <v>#VALUE!</v>
      </c>
      <c r="O97" s="134" t="e">
        <f>_xll.DBRW($G$3,$H$15,$H$17,$H$13,$H$16,$H$14,O$2,$H$12,$A97)</f>
        <v>#VALUE!</v>
      </c>
      <c r="P97" s="134" t="e">
        <f>_xll.DBRW($G$3,$H$15,$H$17,$H$13,$H$16,$H$14,P$2,$H$12,$A97)</f>
        <v>#VALUE!</v>
      </c>
      <c r="Q97" s="131"/>
      <c r="R97" s="131"/>
      <c r="S97" s="134" t="e">
        <f>_xll.DBRW($G$3,$U$15,$H$17,$U$13,$U$16,$U$14,S$2,$U$12,$A97)</f>
        <v>#VALUE!</v>
      </c>
      <c r="T97" s="134" t="e">
        <f>_xll.DBRW($G$3,$U$15,$H$17,$U$13,$U$16,$U$14,T$2,$U$12,$A97)</f>
        <v>#VALUE!</v>
      </c>
      <c r="U97" s="134" t="e">
        <f>_xll.DBRW($G$3,$U$15,$H$17,$U$13,$U$16,$U$14,U$2,$U$12,$A97)</f>
        <v>#VALUE!</v>
      </c>
      <c r="V97" s="134" t="e">
        <f>_xll.DBRW($G$3,$U$15,$H$17,$U$13,$U$16,$U$14,V$2,$U$12,$A97)</f>
        <v>#VALUE!</v>
      </c>
      <c r="W97" s="134" t="e">
        <f>_xll.DBRW($G$3,$U$15,$H$17,$U$13,$U$16,$U$14,W$2,$U$12,$A97)</f>
        <v>#VALUE!</v>
      </c>
      <c r="X97" s="134" t="e">
        <f>_xll.DBRW($G$3,$U$15,$H$17,$U$13,$U$16,$U$14,X$2,$U$12,$A97)</f>
        <v>#VALUE!</v>
      </c>
      <c r="Y97" s="134" t="e">
        <f>_xll.DBRW($G$3,$U$15,$H$17,$U$13,$U$16,$U$14,Y$2,$U$12,$A97)</f>
        <v>#VALUE!</v>
      </c>
      <c r="Z97" s="134" t="e">
        <f>_xll.DBRW($G$3,$U$15,$H$17,$U$13,$U$16,$U$14,Z$2,$U$12,$A97)</f>
        <v>#VALUE!</v>
      </c>
      <c r="AA97" s="131"/>
      <c r="AB97" s="134" t="e">
        <f t="shared" si="41"/>
        <v>#VALUE!</v>
      </c>
      <c r="AC97" s="134" t="e">
        <f t="shared" si="42"/>
        <v>#VALUE!</v>
      </c>
      <c r="AD97" s="134" t="e">
        <f t="shared" si="43"/>
        <v>#VALUE!</v>
      </c>
      <c r="AE97" s="134" t="e">
        <f t="shared" si="44"/>
        <v>#VALUE!</v>
      </c>
      <c r="AF97" s="134" t="e">
        <f t="shared" si="45"/>
        <v>#VALUE!</v>
      </c>
      <c r="AG97" s="134" t="e">
        <f t="shared" si="46"/>
        <v>#VALUE!</v>
      </c>
      <c r="AH97" s="134" t="e">
        <f t="shared" si="47"/>
        <v>#VALUE!</v>
      </c>
      <c r="AI97" s="134" t="e">
        <f t="shared" si="48"/>
        <v>#VALUE!</v>
      </c>
      <c r="AJ97" s="43"/>
      <c r="AK97" s="47"/>
      <c r="AL97" s="49" t="s">
        <v>62</v>
      </c>
      <c r="AM97" s="43"/>
      <c r="AN97" s="47"/>
      <c r="AO97" s="47"/>
      <c r="AP97" s="47"/>
      <c r="AQ97" s="47"/>
      <c r="AR97" s="47"/>
    </row>
    <row r="98" spans="1:44" ht="21.75" customHeight="1" thickBot="1">
      <c r="A98" s="50" t="s">
        <v>37</v>
      </c>
      <c r="B98" s="41"/>
      <c r="C98" s="41"/>
      <c r="D98" s="41">
        <v>77</v>
      </c>
      <c r="G98" s="185" t="e">
        <f>_xll.DBRA(Server&amp;$A$21,$A98,$H$18)</f>
        <v>#N/A</v>
      </c>
      <c r="H98" s="186"/>
      <c r="I98" s="126" t="e">
        <f>_xll.DBRW($G$3,$H$15,$H$17,$H$13,$H$16,$H$14,I$2,$H$12,$A98)</f>
        <v>#VALUE!</v>
      </c>
      <c r="J98" s="127" t="e">
        <f>_xll.DBRW($G$3,$H$15,$H$17,$H$13,$H$16,$H$14,J$2,$H$12,$A98)</f>
        <v>#VALUE!</v>
      </c>
      <c r="K98" s="127" t="e">
        <f>_xll.DBRW($G$3,$H$15,$H$17,$H$13,$H$16,$H$14,K$2,$H$12,$A98)</f>
        <v>#VALUE!</v>
      </c>
      <c r="L98" s="127" t="e">
        <f>_xll.DBRW($G$3,$H$15,$H$17,$H$13,$H$16,$H$14,L$2,$H$12,$A98)</f>
        <v>#VALUE!</v>
      </c>
      <c r="M98" s="127" t="e">
        <f>_xll.DBRW($G$3,$H$15,$H$17,$H$13,$H$16,$H$14,M$2,$H$12,$A98)</f>
        <v>#VALUE!</v>
      </c>
      <c r="N98" s="127" t="e">
        <f>_xll.DBRW($G$3,$H$15,$H$17,$H$13,$H$16,$H$14,N$2,$H$12,$A98)</f>
        <v>#VALUE!</v>
      </c>
      <c r="O98" s="127" t="e">
        <f>_xll.DBRW($G$3,$H$15,$H$17,$H$13,$H$16,$H$14,O$2,$H$12,$A98)</f>
        <v>#VALUE!</v>
      </c>
      <c r="P98" s="128" t="e">
        <f>_xll.DBRW($G$3,$H$15,$H$17,$H$13,$H$16,$H$14,P$2,$H$12,$A98)</f>
        <v>#VALUE!</v>
      </c>
      <c r="Q98" s="131"/>
      <c r="R98" s="131"/>
      <c r="S98" s="126" t="e">
        <f>_xll.DBRW($G$3,$U$15,$H$17,$U$13,$U$16,$U$14,S$2,$U$12,$A98)</f>
        <v>#VALUE!</v>
      </c>
      <c r="T98" s="127" t="e">
        <f>_xll.DBRW($G$3,$U$15,$H$17,$U$13,$U$16,$U$14,T$2,$U$12,$A98)</f>
        <v>#VALUE!</v>
      </c>
      <c r="U98" s="127" t="e">
        <f>_xll.DBRW($G$3,$U$15,$H$17,$U$13,$U$16,$U$14,U$2,$U$12,$A98)</f>
        <v>#VALUE!</v>
      </c>
      <c r="V98" s="127" t="e">
        <f>_xll.DBRW($G$3,$U$15,$H$17,$U$13,$U$16,$U$14,V$2,$U$12,$A98)</f>
        <v>#VALUE!</v>
      </c>
      <c r="W98" s="127" t="e">
        <f>_xll.DBRW($G$3,$U$15,$H$17,$U$13,$U$16,$U$14,W$2,$U$12,$A98)</f>
        <v>#VALUE!</v>
      </c>
      <c r="X98" s="127" t="e">
        <f>_xll.DBRW($G$3,$U$15,$H$17,$U$13,$U$16,$U$14,X$2,$U$12,$A98)</f>
        <v>#VALUE!</v>
      </c>
      <c r="Y98" s="127" t="e">
        <f>_xll.DBRW($G$3,$U$15,$H$17,$U$13,$U$16,$U$14,Y$2,$U$12,$A98)</f>
        <v>#VALUE!</v>
      </c>
      <c r="Z98" s="128" t="e">
        <f>_xll.DBRW($G$3,$U$15,$H$17,$U$13,$U$16,$U$14,Z$2,$U$12,$A98)</f>
        <v>#VALUE!</v>
      </c>
      <c r="AA98" s="131"/>
      <c r="AB98" s="126" t="e">
        <f t="shared" si="41"/>
        <v>#VALUE!</v>
      </c>
      <c r="AC98" s="127" t="e">
        <f t="shared" si="42"/>
        <v>#VALUE!</v>
      </c>
      <c r="AD98" s="127" t="e">
        <f t="shared" si="43"/>
        <v>#VALUE!</v>
      </c>
      <c r="AE98" s="127" t="e">
        <f t="shared" si="44"/>
        <v>#VALUE!</v>
      </c>
      <c r="AF98" s="127" t="e">
        <f t="shared" si="45"/>
        <v>#VALUE!</v>
      </c>
      <c r="AG98" s="127" t="e">
        <f t="shared" si="46"/>
        <v>#VALUE!</v>
      </c>
      <c r="AH98" s="127" t="e">
        <f t="shared" si="47"/>
        <v>#VALUE!</v>
      </c>
      <c r="AI98" s="128" t="e">
        <f t="shared" si="48"/>
        <v>#VALUE!</v>
      </c>
      <c r="AJ98" s="43"/>
      <c r="AK98" s="47"/>
      <c r="AL98" s="49" t="s">
        <v>62</v>
      </c>
      <c r="AM98" s="43"/>
      <c r="AN98" s="47"/>
      <c r="AO98" s="47"/>
      <c r="AP98" s="47"/>
      <c r="AQ98" s="47"/>
      <c r="AR98" s="47"/>
    </row>
    <row r="99" spans="1:44" ht="21.75" customHeight="1" thickBot="1">
      <c r="A99" s="50" t="s">
        <v>38</v>
      </c>
      <c r="B99" s="64"/>
      <c r="C99" s="41"/>
      <c r="D99" s="41">
        <v>78</v>
      </c>
      <c r="G99" s="184" t="e">
        <f>_xll.DBRA(Server&amp;$A$21,$A99,$H$18)</f>
        <v>#N/A</v>
      </c>
      <c r="H99" s="184"/>
      <c r="I99" s="134" t="e">
        <f>_xll.DBRW($G$3,$H$15,$H$17,$H$13,$H$16,$H$14,I$2,$H$12,$A99)</f>
        <v>#VALUE!</v>
      </c>
      <c r="J99" s="134" t="e">
        <f>_xll.DBRW($G$3,$H$15,$H$17,$H$13,$H$16,$H$14,J$2,$H$12,$A99)</f>
        <v>#VALUE!</v>
      </c>
      <c r="K99" s="134" t="e">
        <f>_xll.DBRW($G$3,$H$15,$H$17,$H$13,$H$16,$H$14,K$2,$H$12,$A99)</f>
        <v>#VALUE!</v>
      </c>
      <c r="L99" s="134" t="e">
        <f>_xll.DBRW($G$3,$H$15,$H$17,$H$13,$H$16,$H$14,L$2,$H$12,$A99)</f>
        <v>#VALUE!</v>
      </c>
      <c r="M99" s="134" t="e">
        <f>_xll.DBRW($G$3,$H$15,$H$17,$H$13,$H$16,$H$14,M$2,$H$12,$A99)</f>
        <v>#VALUE!</v>
      </c>
      <c r="N99" s="134" t="e">
        <f>_xll.DBRW($G$3,$H$15,$H$17,$H$13,$H$16,$H$14,N$2,$H$12,$A99)</f>
        <v>#VALUE!</v>
      </c>
      <c r="O99" s="134" t="e">
        <f>_xll.DBRW($G$3,$H$15,$H$17,$H$13,$H$16,$H$14,O$2,$H$12,$A99)</f>
        <v>#VALUE!</v>
      </c>
      <c r="P99" s="134" t="e">
        <f>_xll.DBRW($G$3,$H$15,$H$17,$H$13,$H$16,$H$14,P$2,$H$12,$A99)</f>
        <v>#VALUE!</v>
      </c>
      <c r="Q99" s="131" t="e">
        <f>SUM(I99:P99)-SUM(I97:P98)</f>
        <v>#VALUE!</v>
      </c>
      <c r="R99" s="131"/>
      <c r="S99" s="134" t="e">
        <f>_xll.DBRW($G$3,$U$15,$H$17,$U$13,$U$16,$U$14,S$2,$U$12,$A99)</f>
        <v>#VALUE!</v>
      </c>
      <c r="T99" s="134" t="e">
        <f>_xll.DBRW($G$3,$U$15,$H$17,$U$13,$U$16,$U$14,T$2,$U$12,$A99)</f>
        <v>#VALUE!</v>
      </c>
      <c r="U99" s="134" t="e">
        <f>_xll.DBRW($G$3,$U$15,$H$17,$U$13,$U$16,$U$14,U$2,$U$12,$A99)</f>
        <v>#VALUE!</v>
      </c>
      <c r="V99" s="134" t="e">
        <f>_xll.DBRW($G$3,$U$15,$H$17,$U$13,$U$16,$U$14,V$2,$U$12,$A99)</f>
        <v>#VALUE!</v>
      </c>
      <c r="W99" s="134" t="e">
        <f>_xll.DBRW($G$3,$U$15,$H$17,$U$13,$U$16,$U$14,W$2,$U$12,$A99)</f>
        <v>#VALUE!</v>
      </c>
      <c r="X99" s="134" t="e">
        <f>_xll.DBRW($G$3,$U$15,$H$17,$U$13,$U$16,$U$14,X$2,$U$12,$A99)</f>
        <v>#VALUE!</v>
      </c>
      <c r="Y99" s="134" t="e">
        <f>_xll.DBRW($G$3,$U$15,$H$17,$U$13,$U$16,$U$14,Y$2,$U$12,$A99)</f>
        <v>#VALUE!</v>
      </c>
      <c r="Z99" s="134" t="e">
        <f>_xll.DBRW($G$3,$U$15,$H$17,$U$13,$U$16,$U$14,Z$2,$U$12,$A99)</f>
        <v>#VALUE!</v>
      </c>
      <c r="AA99" s="131" t="e">
        <f>SUM(S99:Z99)-SUM(S97:Z98)</f>
        <v>#VALUE!</v>
      </c>
      <c r="AB99" s="134" t="e">
        <f t="shared" si="41"/>
        <v>#VALUE!</v>
      </c>
      <c r="AC99" s="134" t="e">
        <f t="shared" si="42"/>
        <v>#VALUE!</v>
      </c>
      <c r="AD99" s="134" t="e">
        <f t="shared" si="43"/>
        <v>#VALUE!</v>
      </c>
      <c r="AE99" s="134" t="e">
        <f t="shared" si="44"/>
        <v>#VALUE!</v>
      </c>
      <c r="AF99" s="134" t="e">
        <f t="shared" si="45"/>
        <v>#VALUE!</v>
      </c>
      <c r="AG99" s="134" t="e">
        <f t="shared" si="46"/>
        <v>#VALUE!</v>
      </c>
      <c r="AH99" s="134" t="e">
        <f t="shared" si="47"/>
        <v>#VALUE!</v>
      </c>
      <c r="AI99" s="134" t="e">
        <f t="shared" si="48"/>
        <v>#VALUE!</v>
      </c>
      <c r="AJ99" s="43"/>
      <c r="AK99" s="47"/>
      <c r="AL99" s="49" t="s">
        <v>62</v>
      </c>
      <c r="AM99" s="43"/>
      <c r="AN99" s="47"/>
      <c r="AO99" s="47"/>
      <c r="AP99" s="47"/>
      <c r="AQ99" s="47"/>
      <c r="AR99" s="47"/>
    </row>
    <row r="100" spans="1:44" ht="21.75" customHeight="1">
      <c r="A100" s="50" t="s">
        <v>39</v>
      </c>
      <c r="B100" s="41"/>
      <c r="C100" s="41"/>
      <c r="D100" s="41">
        <v>79</v>
      </c>
      <c r="G100" s="185" t="e">
        <f>_xll.DBRA(Server&amp;$A$21,$A100,$H$18)</f>
        <v>#N/A</v>
      </c>
      <c r="H100" s="186"/>
      <c r="I100" s="126" t="e">
        <f>_xll.DBRW($G$3,$H$15,$H$17,$H$13,$H$16,$H$14,I$2,$H$12,$A100)</f>
        <v>#VALUE!</v>
      </c>
      <c r="J100" s="127" t="e">
        <f>_xll.DBRW($G$3,$H$15,$H$17,$H$13,$H$16,$H$14,J$2,$H$12,$A100)</f>
        <v>#VALUE!</v>
      </c>
      <c r="K100" s="127" t="e">
        <f>_xll.DBRW($G$3,$H$15,$H$17,$H$13,$H$16,$H$14,K$2,$H$12,$A100)</f>
        <v>#VALUE!</v>
      </c>
      <c r="L100" s="127" t="e">
        <f>_xll.DBRW($G$3,$H$15,$H$17,$H$13,$H$16,$H$14,L$2,$H$12,$A100)</f>
        <v>#VALUE!</v>
      </c>
      <c r="M100" s="127" t="e">
        <f>_xll.DBRW($G$3,$H$15,$H$17,$H$13,$H$16,$H$14,M$2,$H$12,$A100)</f>
        <v>#VALUE!</v>
      </c>
      <c r="N100" s="127" t="e">
        <f>_xll.DBRW($G$3,$H$15,$H$17,$H$13,$H$16,$H$14,N$2,$H$12,$A100)</f>
        <v>#VALUE!</v>
      </c>
      <c r="O100" s="127" t="e">
        <f>_xll.DBRW($G$3,$H$15,$H$17,$H$13,$H$16,$H$14,O$2,$H$12,$A100)</f>
        <v>#VALUE!</v>
      </c>
      <c r="P100" s="128" t="e">
        <f>_xll.DBRW($G$3,$H$15,$H$17,$H$13,$H$16,$H$14,P$2,$H$12,$A100)</f>
        <v>#VALUE!</v>
      </c>
      <c r="Q100" s="131"/>
      <c r="R100" s="131"/>
      <c r="S100" s="126" t="e">
        <f>_xll.DBRW($G$3,$U$15,$H$17,$U$13,$U$16,$U$14,S$2,$U$12,$A100)</f>
        <v>#VALUE!</v>
      </c>
      <c r="T100" s="127" t="e">
        <f>_xll.DBRW($G$3,$U$15,$H$17,$U$13,$U$16,$U$14,T$2,$U$12,$A100)</f>
        <v>#VALUE!</v>
      </c>
      <c r="U100" s="127" t="e">
        <f>_xll.DBRW($G$3,$U$15,$H$17,$U$13,$U$16,$U$14,U$2,$U$12,$A100)</f>
        <v>#VALUE!</v>
      </c>
      <c r="V100" s="127" t="e">
        <f>_xll.DBRW($G$3,$U$15,$H$17,$U$13,$U$16,$U$14,V$2,$U$12,$A100)</f>
        <v>#VALUE!</v>
      </c>
      <c r="W100" s="127" t="e">
        <f>_xll.DBRW($G$3,$U$15,$H$17,$U$13,$U$16,$U$14,W$2,$U$12,$A100)</f>
        <v>#VALUE!</v>
      </c>
      <c r="X100" s="127" t="e">
        <f>_xll.DBRW($G$3,$U$15,$H$17,$U$13,$U$16,$U$14,X$2,$U$12,$A100)</f>
        <v>#VALUE!</v>
      </c>
      <c r="Y100" s="127" t="e">
        <f>_xll.DBRW($G$3,$U$15,$H$17,$U$13,$U$16,$U$14,Y$2,$U$12,$A100)</f>
        <v>#VALUE!</v>
      </c>
      <c r="Z100" s="128" t="e">
        <f>_xll.DBRW($G$3,$U$15,$H$17,$U$13,$U$16,$U$14,Z$2,$U$12,$A100)</f>
        <v>#VALUE!</v>
      </c>
      <c r="AA100" s="131"/>
      <c r="AB100" s="126" t="e">
        <f t="shared" si="41"/>
        <v>#VALUE!</v>
      </c>
      <c r="AC100" s="127" t="e">
        <f t="shared" si="42"/>
        <v>#VALUE!</v>
      </c>
      <c r="AD100" s="127" t="e">
        <f t="shared" si="43"/>
        <v>#VALUE!</v>
      </c>
      <c r="AE100" s="127" t="e">
        <f t="shared" si="44"/>
        <v>#VALUE!</v>
      </c>
      <c r="AF100" s="127" t="e">
        <f t="shared" si="45"/>
        <v>#VALUE!</v>
      </c>
      <c r="AG100" s="127" t="e">
        <f t="shared" si="46"/>
        <v>#VALUE!</v>
      </c>
      <c r="AH100" s="127" t="e">
        <f t="shared" si="47"/>
        <v>#VALUE!</v>
      </c>
      <c r="AI100" s="128" t="e">
        <f t="shared" si="48"/>
        <v>#VALUE!</v>
      </c>
      <c r="AJ100" s="43"/>
      <c r="AK100" s="47"/>
      <c r="AL100" s="49" t="s">
        <v>62</v>
      </c>
      <c r="AM100" s="43"/>
      <c r="AN100" s="47"/>
      <c r="AO100" s="47"/>
      <c r="AP100" s="47"/>
      <c r="AQ100" s="47"/>
      <c r="AR100" s="47"/>
    </row>
    <row r="101" spans="1:44" ht="21.75" customHeight="1">
      <c r="A101" s="50" t="s">
        <v>40</v>
      </c>
      <c r="B101" s="41"/>
      <c r="C101" s="41"/>
      <c r="D101" s="41">
        <v>80</v>
      </c>
      <c r="G101" s="185" t="e">
        <f>_xll.DBRA(Server&amp;$A$21,$A101,$H$18)</f>
        <v>#N/A</v>
      </c>
      <c r="H101" s="186"/>
      <c r="I101" s="126" t="e">
        <f>_xll.DBRW($G$3,$H$15,$H$17,$H$13,$H$16,$H$14,I$2,$H$12,$A101)</f>
        <v>#VALUE!</v>
      </c>
      <c r="J101" s="127" t="e">
        <f>_xll.DBRW($G$3,$H$15,$H$17,$H$13,$H$16,$H$14,J$2,$H$12,$A101)</f>
        <v>#VALUE!</v>
      </c>
      <c r="K101" s="127" t="e">
        <f>_xll.DBRW($G$3,$H$15,$H$17,$H$13,$H$16,$H$14,K$2,$H$12,$A101)</f>
        <v>#VALUE!</v>
      </c>
      <c r="L101" s="127" t="e">
        <f>_xll.DBRW($G$3,$H$15,$H$17,$H$13,$H$16,$H$14,L$2,$H$12,$A101)</f>
        <v>#VALUE!</v>
      </c>
      <c r="M101" s="127" t="e">
        <f>_xll.DBRW($G$3,$H$15,$H$17,$H$13,$H$16,$H$14,M$2,$H$12,$A101)</f>
        <v>#VALUE!</v>
      </c>
      <c r="N101" s="127" t="e">
        <f>_xll.DBRW($G$3,$H$15,$H$17,$H$13,$H$16,$H$14,N$2,$H$12,$A101)</f>
        <v>#VALUE!</v>
      </c>
      <c r="O101" s="127" t="e">
        <f>_xll.DBRW($G$3,$H$15,$H$17,$H$13,$H$16,$H$14,O$2,$H$12,$A101)</f>
        <v>#VALUE!</v>
      </c>
      <c r="P101" s="128" t="e">
        <f>_xll.DBRW($G$3,$H$15,$H$17,$H$13,$H$16,$H$14,P$2,$H$12,$A101)</f>
        <v>#VALUE!</v>
      </c>
      <c r="Q101" s="131"/>
      <c r="R101" s="131"/>
      <c r="S101" s="126" t="e">
        <f>_xll.DBRW($G$3,$U$15,$H$17,$U$13,$U$16,$U$14,S$2,$U$12,$A101)</f>
        <v>#VALUE!</v>
      </c>
      <c r="T101" s="127" t="e">
        <f>_xll.DBRW($G$3,$U$15,$H$17,$U$13,$U$16,$U$14,T$2,$U$12,$A101)</f>
        <v>#VALUE!</v>
      </c>
      <c r="U101" s="127" t="e">
        <f>_xll.DBRW($G$3,$U$15,$H$17,$U$13,$U$16,$U$14,U$2,$U$12,$A101)</f>
        <v>#VALUE!</v>
      </c>
      <c r="V101" s="127" t="e">
        <f>_xll.DBRW($G$3,$U$15,$H$17,$U$13,$U$16,$U$14,V$2,$U$12,$A101)</f>
        <v>#VALUE!</v>
      </c>
      <c r="W101" s="127" t="e">
        <f>_xll.DBRW($G$3,$U$15,$H$17,$U$13,$U$16,$U$14,W$2,$U$12,$A101)</f>
        <v>#VALUE!</v>
      </c>
      <c r="X101" s="127" t="e">
        <f>_xll.DBRW($G$3,$U$15,$H$17,$U$13,$U$16,$U$14,X$2,$U$12,$A101)</f>
        <v>#VALUE!</v>
      </c>
      <c r="Y101" s="127" t="e">
        <f>_xll.DBRW($G$3,$U$15,$H$17,$U$13,$U$16,$U$14,Y$2,$U$12,$A101)</f>
        <v>#VALUE!</v>
      </c>
      <c r="Z101" s="128" t="e">
        <f>_xll.DBRW($G$3,$U$15,$H$17,$U$13,$U$16,$U$14,Z$2,$U$12,$A101)</f>
        <v>#VALUE!</v>
      </c>
      <c r="AA101" s="131"/>
      <c r="AB101" s="126" t="e">
        <f t="shared" si="41"/>
        <v>#VALUE!</v>
      </c>
      <c r="AC101" s="127" t="e">
        <f t="shared" si="42"/>
        <v>#VALUE!</v>
      </c>
      <c r="AD101" s="127" t="e">
        <f t="shared" si="43"/>
        <v>#VALUE!</v>
      </c>
      <c r="AE101" s="127" t="e">
        <f t="shared" si="44"/>
        <v>#VALUE!</v>
      </c>
      <c r="AF101" s="127" t="e">
        <f t="shared" si="45"/>
        <v>#VALUE!</v>
      </c>
      <c r="AG101" s="127" t="e">
        <f t="shared" si="46"/>
        <v>#VALUE!</v>
      </c>
      <c r="AH101" s="127" t="e">
        <f t="shared" si="47"/>
        <v>#VALUE!</v>
      </c>
      <c r="AI101" s="128" t="e">
        <f t="shared" si="48"/>
        <v>#VALUE!</v>
      </c>
      <c r="AJ101" s="43"/>
      <c r="AK101" s="47"/>
      <c r="AL101" s="49" t="s">
        <v>62</v>
      </c>
      <c r="AM101" s="43"/>
      <c r="AN101" s="47"/>
      <c r="AO101" s="47"/>
      <c r="AP101" s="47"/>
      <c r="AQ101" s="47"/>
      <c r="AR101" s="47"/>
    </row>
    <row r="102" spans="1:44" ht="21.75" hidden="1" customHeight="1" outlineLevel="1">
      <c r="A102" s="50" t="s">
        <v>41</v>
      </c>
      <c r="B102" s="41"/>
      <c r="C102" s="41"/>
      <c r="D102" s="41">
        <v>81</v>
      </c>
      <c r="G102" s="185" t="e">
        <f>_xll.DBRA(Server&amp;$A$21,$A102,$H$18)</f>
        <v>#N/A</v>
      </c>
      <c r="H102" s="186"/>
      <c r="I102" s="126" t="e">
        <f>_xll.DBRW($G$3,$H$15,$H$17,$H$13,$H$16,$H$14,I$2,$H$12,$A102)</f>
        <v>#VALUE!</v>
      </c>
      <c r="J102" s="127" t="e">
        <f>_xll.DBRW($G$3,$H$15,$H$17,$H$13,$H$16,$H$14,J$2,$H$12,$A102)</f>
        <v>#VALUE!</v>
      </c>
      <c r="K102" s="127" t="e">
        <f>_xll.DBRW($G$3,$H$15,$H$17,$H$13,$H$16,$H$14,K$2,$H$12,$A102)</f>
        <v>#VALUE!</v>
      </c>
      <c r="L102" s="127" t="e">
        <f>_xll.DBRW($G$3,$H$15,$H$17,$H$13,$H$16,$H$14,L$2,$H$12,$A102)</f>
        <v>#VALUE!</v>
      </c>
      <c r="M102" s="127" t="e">
        <f>_xll.DBRW($G$3,$H$15,$H$17,$H$13,$H$16,$H$14,M$2,$H$12,$A102)</f>
        <v>#VALUE!</v>
      </c>
      <c r="N102" s="127" t="e">
        <f>_xll.DBRW($G$3,$H$15,$H$17,$H$13,$H$16,$H$14,N$2,$H$12,$A102)</f>
        <v>#VALUE!</v>
      </c>
      <c r="O102" s="127" t="e">
        <f>_xll.DBRW($G$3,$H$15,$H$17,$H$13,$H$16,$H$14,O$2,$H$12,$A102)</f>
        <v>#VALUE!</v>
      </c>
      <c r="P102" s="128" t="e">
        <f>_xll.DBRW($G$3,$H$15,$H$17,$H$13,$H$16,$H$14,P$2,$H$12,$A102)</f>
        <v>#VALUE!</v>
      </c>
      <c r="Q102" s="131"/>
      <c r="R102" s="131"/>
      <c r="S102" s="126" t="e">
        <f>_xll.DBRW($G$3,$U$15,$H$17,$U$13,$U$16,$U$14,S$2,$U$12,$A102)</f>
        <v>#VALUE!</v>
      </c>
      <c r="T102" s="127" t="e">
        <f>_xll.DBRW($G$3,$U$15,$H$17,$U$13,$U$16,$U$14,T$2,$U$12,$A102)</f>
        <v>#VALUE!</v>
      </c>
      <c r="U102" s="127" t="e">
        <f>_xll.DBRW($G$3,$U$15,$H$17,$U$13,$U$16,$U$14,U$2,$U$12,$A102)</f>
        <v>#VALUE!</v>
      </c>
      <c r="V102" s="127" t="e">
        <f>_xll.DBRW($G$3,$U$15,$H$17,$U$13,$U$16,$U$14,V$2,$U$12,$A102)</f>
        <v>#VALUE!</v>
      </c>
      <c r="W102" s="127" t="e">
        <f>_xll.DBRW($G$3,$U$15,$H$17,$U$13,$U$16,$U$14,W$2,$U$12,$A102)</f>
        <v>#VALUE!</v>
      </c>
      <c r="X102" s="127" t="e">
        <f>_xll.DBRW($G$3,$U$15,$H$17,$U$13,$U$16,$U$14,X$2,$U$12,$A102)</f>
        <v>#VALUE!</v>
      </c>
      <c r="Y102" s="127" t="e">
        <f>_xll.DBRW($G$3,$U$15,$H$17,$U$13,$U$16,$U$14,Y$2,$U$12,$A102)</f>
        <v>#VALUE!</v>
      </c>
      <c r="Z102" s="128" t="e">
        <f>_xll.DBRW($G$3,$U$15,$H$17,$U$13,$U$16,$U$14,Z$2,$U$12,$A102)</f>
        <v>#VALUE!</v>
      </c>
      <c r="AA102" s="131"/>
      <c r="AB102" s="126" t="e">
        <f t="shared" si="41"/>
        <v>#VALUE!</v>
      </c>
      <c r="AC102" s="127" t="e">
        <f t="shared" si="42"/>
        <v>#VALUE!</v>
      </c>
      <c r="AD102" s="127" t="e">
        <f t="shared" si="43"/>
        <v>#VALUE!</v>
      </c>
      <c r="AE102" s="127" t="e">
        <f t="shared" si="44"/>
        <v>#VALUE!</v>
      </c>
      <c r="AF102" s="127" t="e">
        <f t="shared" si="45"/>
        <v>#VALUE!</v>
      </c>
      <c r="AG102" s="127" t="e">
        <f t="shared" si="46"/>
        <v>#VALUE!</v>
      </c>
      <c r="AH102" s="127" t="e">
        <f t="shared" si="47"/>
        <v>#VALUE!</v>
      </c>
      <c r="AI102" s="128" t="e">
        <f t="shared" si="48"/>
        <v>#VALUE!</v>
      </c>
      <c r="AJ102" s="43"/>
      <c r="AK102" s="47"/>
      <c r="AL102" s="47"/>
      <c r="AM102" s="47"/>
      <c r="AN102" s="47"/>
      <c r="AO102" s="47"/>
      <c r="AP102" s="47"/>
      <c r="AQ102" s="47"/>
      <c r="AR102" s="47"/>
    </row>
    <row r="103" spans="1:44" ht="21.75" customHeight="1" collapsed="1">
      <c r="A103" s="50" t="s">
        <v>42</v>
      </c>
      <c r="B103" s="41"/>
      <c r="C103" s="41"/>
      <c r="D103" s="41">
        <v>82</v>
      </c>
      <c r="G103" s="185" t="e">
        <f>_xll.DBRA(Server&amp;$A$21,$A103,$H$18)</f>
        <v>#N/A</v>
      </c>
      <c r="H103" s="186"/>
      <c r="I103" s="126" t="e">
        <f>_xll.DBRW($G$3,$H$15,$H$17,$H$13,$H$16,$H$14,I$2,$H$12,$A103)</f>
        <v>#VALUE!</v>
      </c>
      <c r="J103" s="127" t="e">
        <f>_xll.DBRW($G$3,$H$15,$H$17,$H$13,$H$16,$H$14,J$2,$H$12,$A103)</f>
        <v>#VALUE!</v>
      </c>
      <c r="K103" s="127" t="e">
        <f>_xll.DBRW($G$3,$H$15,$H$17,$H$13,$H$16,$H$14,K$2,$H$12,$A103)</f>
        <v>#VALUE!</v>
      </c>
      <c r="L103" s="127" t="e">
        <f>_xll.DBRW($G$3,$H$15,$H$17,$H$13,$H$16,$H$14,L$2,$H$12,$A103)</f>
        <v>#VALUE!</v>
      </c>
      <c r="M103" s="127" t="e">
        <f>_xll.DBRW($G$3,$H$15,$H$17,$H$13,$H$16,$H$14,M$2,$H$12,$A103)</f>
        <v>#VALUE!</v>
      </c>
      <c r="N103" s="127" t="e">
        <f>_xll.DBRW($G$3,$H$15,$H$17,$H$13,$H$16,$H$14,N$2,$H$12,$A103)</f>
        <v>#VALUE!</v>
      </c>
      <c r="O103" s="127" t="e">
        <f>_xll.DBRW($G$3,$H$15,$H$17,$H$13,$H$16,$H$14,O$2,$H$12,$A103)</f>
        <v>#VALUE!</v>
      </c>
      <c r="P103" s="128" t="e">
        <f>_xll.DBRW($G$3,$H$15,$H$17,$H$13,$H$16,$H$14,P$2,$H$12,$A103)</f>
        <v>#VALUE!</v>
      </c>
      <c r="Q103" s="131"/>
      <c r="R103" s="131"/>
      <c r="S103" s="126" t="e">
        <f>_xll.DBRW($G$3,$U$15,$H$17,$U$13,$U$16,$U$14,S$2,$U$12,$A103)</f>
        <v>#VALUE!</v>
      </c>
      <c r="T103" s="127" t="e">
        <f>_xll.DBRW($G$3,$U$15,$H$17,$U$13,$U$16,$U$14,T$2,$U$12,$A103)</f>
        <v>#VALUE!</v>
      </c>
      <c r="U103" s="127" t="e">
        <f>_xll.DBRW($G$3,$U$15,$H$17,$U$13,$U$16,$U$14,U$2,$U$12,$A103)</f>
        <v>#VALUE!</v>
      </c>
      <c r="V103" s="127" t="e">
        <f>_xll.DBRW($G$3,$U$15,$H$17,$U$13,$U$16,$U$14,V$2,$U$12,$A103)</f>
        <v>#VALUE!</v>
      </c>
      <c r="W103" s="127" t="e">
        <f>_xll.DBRW($G$3,$U$15,$H$17,$U$13,$U$16,$U$14,W$2,$U$12,$A103)</f>
        <v>#VALUE!</v>
      </c>
      <c r="X103" s="127" t="e">
        <f>_xll.DBRW($G$3,$U$15,$H$17,$U$13,$U$16,$U$14,X$2,$U$12,$A103)</f>
        <v>#VALUE!</v>
      </c>
      <c r="Y103" s="127" t="e">
        <f>_xll.DBRW($G$3,$U$15,$H$17,$U$13,$U$16,$U$14,Y$2,$U$12,$A103)</f>
        <v>#VALUE!</v>
      </c>
      <c r="Z103" s="128" t="e">
        <f>_xll.DBRW($G$3,$U$15,$H$17,$U$13,$U$16,$U$14,Z$2,$U$12,$A103)</f>
        <v>#VALUE!</v>
      </c>
      <c r="AA103" s="131"/>
      <c r="AB103" s="126" t="e">
        <f t="shared" si="41"/>
        <v>#VALUE!</v>
      </c>
      <c r="AC103" s="127" t="e">
        <f t="shared" si="42"/>
        <v>#VALUE!</v>
      </c>
      <c r="AD103" s="127" t="e">
        <f t="shared" si="43"/>
        <v>#VALUE!</v>
      </c>
      <c r="AE103" s="127" t="e">
        <f t="shared" si="44"/>
        <v>#VALUE!</v>
      </c>
      <c r="AF103" s="127" t="e">
        <f t="shared" si="45"/>
        <v>#VALUE!</v>
      </c>
      <c r="AG103" s="127" t="e">
        <f t="shared" si="46"/>
        <v>#VALUE!</v>
      </c>
      <c r="AH103" s="127" t="e">
        <f t="shared" si="47"/>
        <v>#VALUE!</v>
      </c>
      <c r="AI103" s="128" t="e">
        <f t="shared" si="48"/>
        <v>#VALUE!</v>
      </c>
      <c r="AJ103" s="43"/>
      <c r="AK103" s="47"/>
      <c r="AL103" s="47"/>
      <c r="AM103" s="47"/>
      <c r="AN103" s="47"/>
      <c r="AO103" s="47"/>
      <c r="AP103" s="47"/>
      <c r="AQ103" s="47"/>
      <c r="AR103" s="47"/>
    </row>
    <row r="104" spans="1:44" ht="21.75" customHeight="1" thickBot="1">
      <c r="A104" s="50" t="s">
        <v>43</v>
      </c>
      <c r="B104" s="41"/>
      <c r="C104" s="41"/>
      <c r="D104" s="41">
        <v>83</v>
      </c>
      <c r="G104" s="185" t="e">
        <f>_xll.DBRA(Server&amp;$A$21,$A104,$H$18)</f>
        <v>#N/A</v>
      </c>
      <c r="H104" s="186"/>
      <c r="I104" s="126" t="e">
        <f>_xll.DBRW($G$3,$H$15,$H$17,$H$13,$H$16,$H$14,I$2,$H$12,$A104)</f>
        <v>#VALUE!</v>
      </c>
      <c r="J104" s="127" t="e">
        <f>_xll.DBRW($G$3,$H$15,$H$17,$H$13,$H$16,$H$14,J$2,$H$12,$A104)</f>
        <v>#VALUE!</v>
      </c>
      <c r="K104" s="127" t="e">
        <f>_xll.DBRW($G$3,$H$15,$H$17,$H$13,$H$16,$H$14,K$2,$H$12,$A104)</f>
        <v>#VALUE!</v>
      </c>
      <c r="L104" s="127" t="e">
        <f>_xll.DBRW($G$3,$H$15,$H$17,$H$13,$H$16,$H$14,L$2,$H$12,$A104)</f>
        <v>#VALUE!</v>
      </c>
      <c r="M104" s="127" t="e">
        <f>_xll.DBRW($G$3,$H$15,$H$17,$H$13,$H$16,$H$14,M$2,$H$12,$A104)</f>
        <v>#VALUE!</v>
      </c>
      <c r="N104" s="127" t="e">
        <f>_xll.DBRW($G$3,$H$15,$H$17,$H$13,$H$16,$H$14,N$2,$H$12,$A104)</f>
        <v>#VALUE!</v>
      </c>
      <c r="O104" s="127" t="e">
        <f>_xll.DBRW($G$3,$H$15,$H$17,$H$13,$H$16,$H$14,O$2,$H$12,$A104)</f>
        <v>#VALUE!</v>
      </c>
      <c r="P104" s="128" t="e">
        <f>_xll.DBRW($G$3,$H$15,$H$17,$H$13,$H$16,$H$14,P$2,$H$12,$A104)</f>
        <v>#VALUE!</v>
      </c>
      <c r="Q104" s="131"/>
      <c r="R104" s="131"/>
      <c r="S104" s="126" t="e">
        <f>_xll.DBRW($G$3,$U$15,$H$17,$U$13,$U$16,$U$14,S$2,$U$12,$A104)</f>
        <v>#VALUE!</v>
      </c>
      <c r="T104" s="127" t="e">
        <f>_xll.DBRW($G$3,$U$15,$H$17,$U$13,$U$16,$U$14,T$2,$U$12,$A104)</f>
        <v>#VALUE!</v>
      </c>
      <c r="U104" s="127" t="e">
        <f>_xll.DBRW($G$3,$U$15,$H$17,$U$13,$U$16,$U$14,U$2,$U$12,$A104)</f>
        <v>#VALUE!</v>
      </c>
      <c r="V104" s="127" t="e">
        <f>_xll.DBRW($G$3,$U$15,$H$17,$U$13,$U$16,$U$14,V$2,$U$12,$A104)</f>
        <v>#VALUE!</v>
      </c>
      <c r="W104" s="127" t="e">
        <f>_xll.DBRW($G$3,$U$15,$H$17,$U$13,$U$16,$U$14,W$2,$U$12,$A104)</f>
        <v>#VALUE!</v>
      </c>
      <c r="X104" s="127" t="e">
        <f>_xll.DBRW($G$3,$U$15,$H$17,$U$13,$U$16,$U$14,X$2,$U$12,$A104)</f>
        <v>#VALUE!</v>
      </c>
      <c r="Y104" s="127" t="e">
        <f>_xll.DBRW($G$3,$U$15,$H$17,$U$13,$U$16,$U$14,Y$2,$U$12,$A104)</f>
        <v>#VALUE!</v>
      </c>
      <c r="Z104" s="128" t="e">
        <f>_xll.DBRW($G$3,$U$15,$H$17,$U$13,$U$16,$U$14,Z$2,$U$12,$A104)</f>
        <v>#VALUE!</v>
      </c>
      <c r="AA104" s="131"/>
      <c r="AB104" s="126" t="e">
        <f t="shared" si="41"/>
        <v>#VALUE!</v>
      </c>
      <c r="AC104" s="127" t="e">
        <f t="shared" si="42"/>
        <v>#VALUE!</v>
      </c>
      <c r="AD104" s="127" t="e">
        <f t="shared" si="43"/>
        <v>#VALUE!</v>
      </c>
      <c r="AE104" s="127" t="e">
        <f t="shared" si="44"/>
        <v>#VALUE!</v>
      </c>
      <c r="AF104" s="127" t="e">
        <f t="shared" si="45"/>
        <v>#VALUE!</v>
      </c>
      <c r="AG104" s="127" t="e">
        <f t="shared" si="46"/>
        <v>#VALUE!</v>
      </c>
      <c r="AH104" s="127" t="e">
        <f t="shared" si="47"/>
        <v>#VALUE!</v>
      </c>
      <c r="AI104" s="128" t="e">
        <f t="shared" si="48"/>
        <v>#VALUE!</v>
      </c>
      <c r="AJ104" s="43"/>
      <c r="AK104" s="47"/>
      <c r="AL104" s="47"/>
      <c r="AM104" s="47"/>
      <c r="AN104" s="47"/>
      <c r="AO104" s="47"/>
      <c r="AP104" s="47"/>
      <c r="AQ104" s="47"/>
      <c r="AR104" s="47"/>
    </row>
    <row r="105" spans="1:44" s="26" customFormat="1" ht="21.75" customHeight="1" thickBot="1">
      <c r="A105" s="50" t="s">
        <v>52</v>
      </c>
      <c r="B105" s="64"/>
      <c r="C105" s="41"/>
      <c r="D105" s="41">
        <v>84</v>
      </c>
      <c r="E105" s="22"/>
      <c r="F105" s="45"/>
      <c r="G105" s="184" t="e">
        <f>_xll.DBRA(Server&amp;$A$21,$A105,$H$18)</f>
        <v>#N/A</v>
      </c>
      <c r="H105" s="184"/>
      <c r="I105" s="134" t="e">
        <f>_xll.DBRW($G$3,$H$15,$H$17,$H$13,$H$16,$H$14,I$2,$H$12,$A105)</f>
        <v>#VALUE!</v>
      </c>
      <c r="J105" s="134" t="e">
        <f>_xll.DBRW($G$3,$H$15,$H$17,$H$13,$H$16,$H$14,J$2,$H$12,$A105)</f>
        <v>#VALUE!</v>
      </c>
      <c r="K105" s="134" t="e">
        <f>_xll.DBRW($G$3,$H$15,$H$17,$H$13,$H$16,$H$14,K$2,$H$12,$A105)</f>
        <v>#VALUE!</v>
      </c>
      <c r="L105" s="134" t="e">
        <f>_xll.DBRW($G$3,$H$15,$H$17,$H$13,$H$16,$H$14,L$2,$H$12,$A105)</f>
        <v>#VALUE!</v>
      </c>
      <c r="M105" s="134" t="e">
        <f>_xll.DBRW($G$3,$H$15,$H$17,$H$13,$H$16,$H$14,M$2,$H$12,$A105)</f>
        <v>#VALUE!</v>
      </c>
      <c r="N105" s="134" t="e">
        <f>_xll.DBRW($G$3,$H$15,$H$17,$H$13,$H$16,$H$14,N$2,$H$12,$A105)</f>
        <v>#VALUE!</v>
      </c>
      <c r="O105" s="134" t="e">
        <f>_xll.DBRW($G$3,$H$15,$H$17,$H$13,$H$16,$H$14,O$2,$H$12,$A105)</f>
        <v>#VALUE!</v>
      </c>
      <c r="P105" s="134" t="e">
        <f>_xll.DBRW($G$3,$H$15,$H$17,$H$13,$H$16,$H$14,P$2,$H$12,$A105)</f>
        <v>#VALUE!</v>
      </c>
      <c r="Q105" s="131" t="e">
        <f>SUM(I105:P105)-SUM(I100:P104)</f>
        <v>#VALUE!</v>
      </c>
      <c r="R105" s="131"/>
      <c r="S105" s="134" t="e">
        <f>_xll.DBRW($G$3,$U$15,$H$17,$U$13,$U$16,$U$14,S$2,$U$12,$A105)</f>
        <v>#VALUE!</v>
      </c>
      <c r="T105" s="134" t="e">
        <f>_xll.DBRW($G$3,$U$15,$H$17,$U$13,$U$16,$U$14,T$2,$U$12,$A105)</f>
        <v>#VALUE!</v>
      </c>
      <c r="U105" s="134" t="e">
        <f>_xll.DBRW($G$3,$U$15,$H$17,$U$13,$U$16,$U$14,U$2,$U$12,$A105)</f>
        <v>#VALUE!</v>
      </c>
      <c r="V105" s="134" t="e">
        <f>_xll.DBRW($G$3,$U$15,$H$17,$U$13,$U$16,$U$14,V$2,$U$12,$A105)</f>
        <v>#VALUE!</v>
      </c>
      <c r="W105" s="134" t="e">
        <f>_xll.DBRW($G$3,$U$15,$H$17,$U$13,$U$16,$U$14,W$2,$U$12,$A105)</f>
        <v>#VALUE!</v>
      </c>
      <c r="X105" s="134" t="e">
        <f>_xll.DBRW($G$3,$U$15,$H$17,$U$13,$U$16,$U$14,X$2,$U$12,$A105)</f>
        <v>#VALUE!</v>
      </c>
      <c r="Y105" s="134" t="e">
        <f>_xll.DBRW($G$3,$U$15,$H$17,$U$13,$U$16,$U$14,Y$2,$U$12,$A105)</f>
        <v>#VALUE!</v>
      </c>
      <c r="Z105" s="134" t="e">
        <f>_xll.DBRW($G$3,$U$15,$H$17,$U$13,$U$16,$U$14,Z$2,$U$12,$A105)</f>
        <v>#VALUE!</v>
      </c>
      <c r="AA105" s="131" t="e">
        <f>SUM(S105:Z105)-SUM(S100:Z104)</f>
        <v>#VALUE!</v>
      </c>
      <c r="AB105" s="134" t="e">
        <f t="shared" si="41"/>
        <v>#VALUE!</v>
      </c>
      <c r="AC105" s="134" t="e">
        <f t="shared" si="42"/>
        <v>#VALUE!</v>
      </c>
      <c r="AD105" s="134" t="e">
        <f t="shared" si="43"/>
        <v>#VALUE!</v>
      </c>
      <c r="AE105" s="134" t="e">
        <f t="shared" si="44"/>
        <v>#VALUE!</v>
      </c>
      <c r="AF105" s="134" t="e">
        <f t="shared" si="45"/>
        <v>#VALUE!</v>
      </c>
      <c r="AG105" s="134" t="e">
        <f t="shared" si="46"/>
        <v>#VALUE!</v>
      </c>
      <c r="AH105" s="134" t="e">
        <f t="shared" si="47"/>
        <v>#VALUE!</v>
      </c>
      <c r="AI105" s="134" t="e">
        <f t="shared" si="48"/>
        <v>#VALUE!</v>
      </c>
      <c r="AJ105" s="43"/>
      <c r="AK105" s="47"/>
      <c r="AL105" s="47"/>
      <c r="AM105" s="47"/>
      <c r="AN105" s="47"/>
      <c r="AO105" s="47"/>
      <c r="AP105" s="47"/>
      <c r="AQ105" s="47"/>
      <c r="AR105" s="47"/>
    </row>
    <row r="106" spans="1:44" ht="21.75" customHeight="1">
      <c r="A106" s="72" t="s">
        <v>79</v>
      </c>
      <c r="B106" s="73"/>
      <c r="C106" s="41"/>
      <c r="D106" s="41">
        <v>85</v>
      </c>
      <c r="E106" s="74"/>
      <c r="F106" s="75"/>
      <c r="G106" s="147" t="e">
        <f>_xll.DBRA(Server&amp;$AL$25,$A106,$H$18)</f>
        <v>#N/A</v>
      </c>
      <c r="H106" s="148"/>
      <c r="I106" s="149" t="e">
        <f t="shared" ref="I106:P106" si="49">I96+I99+I105</f>
        <v>#VALUE!</v>
      </c>
      <c r="J106" s="149" t="e">
        <f t="shared" si="49"/>
        <v>#VALUE!</v>
      </c>
      <c r="K106" s="149" t="e">
        <f t="shared" si="49"/>
        <v>#VALUE!</v>
      </c>
      <c r="L106" s="149" t="e">
        <f t="shared" si="49"/>
        <v>#VALUE!</v>
      </c>
      <c r="M106" s="149" t="e">
        <f t="shared" si="49"/>
        <v>#VALUE!</v>
      </c>
      <c r="N106" s="149" t="e">
        <f t="shared" si="49"/>
        <v>#VALUE!</v>
      </c>
      <c r="O106" s="149" t="e">
        <f t="shared" si="49"/>
        <v>#VALUE!</v>
      </c>
      <c r="P106" s="149" t="e">
        <f t="shared" si="49"/>
        <v>#VALUE!</v>
      </c>
      <c r="Q106" s="131"/>
      <c r="R106" s="131"/>
      <c r="S106" s="149" t="e">
        <f t="shared" ref="S106:Z106" si="50">S96+S99+S105</f>
        <v>#VALUE!</v>
      </c>
      <c r="T106" s="149" t="e">
        <f t="shared" si="50"/>
        <v>#VALUE!</v>
      </c>
      <c r="U106" s="149" t="e">
        <f t="shared" si="50"/>
        <v>#VALUE!</v>
      </c>
      <c r="V106" s="149" t="e">
        <f t="shared" si="50"/>
        <v>#VALUE!</v>
      </c>
      <c r="W106" s="149" t="e">
        <f t="shared" si="50"/>
        <v>#VALUE!</v>
      </c>
      <c r="X106" s="149" t="e">
        <f t="shared" si="50"/>
        <v>#VALUE!</v>
      </c>
      <c r="Y106" s="149" t="e">
        <f t="shared" si="50"/>
        <v>#VALUE!</v>
      </c>
      <c r="Z106" s="149" t="e">
        <f t="shared" si="50"/>
        <v>#VALUE!</v>
      </c>
      <c r="AA106" s="131"/>
      <c r="AB106" s="149" t="e">
        <f t="shared" si="41"/>
        <v>#VALUE!</v>
      </c>
      <c r="AC106" s="149" t="e">
        <f t="shared" si="42"/>
        <v>#VALUE!</v>
      </c>
      <c r="AD106" s="149" t="e">
        <f t="shared" si="43"/>
        <v>#VALUE!</v>
      </c>
      <c r="AE106" s="149" t="e">
        <f t="shared" si="44"/>
        <v>#VALUE!</v>
      </c>
      <c r="AF106" s="149" t="e">
        <f t="shared" si="45"/>
        <v>#VALUE!</v>
      </c>
      <c r="AG106" s="149" t="e">
        <f t="shared" si="46"/>
        <v>#VALUE!</v>
      </c>
      <c r="AH106" s="149" t="e">
        <f t="shared" si="47"/>
        <v>#VALUE!</v>
      </c>
      <c r="AI106" s="149" t="e">
        <f t="shared" si="48"/>
        <v>#VALUE!</v>
      </c>
      <c r="AJ106" s="43"/>
    </row>
    <row r="107" spans="1:44" ht="24.75" customHeight="1">
      <c r="A107" s="50"/>
      <c r="B107" s="41"/>
      <c r="C107" s="41"/>
      <c r="D107" s="41">
        <v>86</v>
      </c>
      <c r="G107" s="150"/>
      <c r="H107" s="150"/>
      <c r="I107" s="151"/>
      <c r="J107" s="120"/>
      <c r="K107" s="120"/>
      <c r="L107" s="152"/>
      <c r="M107" s="120"/>
      <c r="N107" s="119"/>
      <c r="O107" s="119"/>
      <c r="P107" s="119"/>
      <c r="Q107" s="131"/>
      <c r="R107" s="131"/>
      <c r="S107" s="151"/>
      <c r="T107" s="120"/>
      <c r="U107" s="120"/>
      <c r="V107" s="152"/>
      <c r="W107" s="120"/>
      <c r="X107" s="119"/>
      <c r="Y107" s="119"/>
      <c r="Z107" s="119"/>
      <c r="AA107" s="131"/>
      <c r="AB107" s="151"/>
      <c r="AC107" s="120"/>
      <c r="AD107" s="120"/>
      <c r="AE107" s="152"/>
      <c r="AF107" s="120"/>
      <c r="AG107" s="119"/>
      <c r="AH107" s="119"/>
      <c r="AI107" s="119"/>
      <c r="AR107" s="43"/>
    </row>
    <row r="108" spans="1:44" s="119" customFormat="1" ht="27.75" customHeight="1">
      <c r="A108" s="168"/>
      <c r="B108" s="115"/>
      <c r="C108" s="115"/>
      <c r="D108" s="115">
        <v>87</v>
      </c>
      <c r="E108" s="116"/>
      <c r="F108" s="117"/>
      <c r="G108" s="187" t="str">
        <f>IF($H$18="English","IV - OPERATIONAL INVESTMENTS","IV - INVESTISSEMENTS OPERATIONNELS")</f>
        <v>IV - OPERATIONAL INVESTMENTS</v>
      </c>
      <c r="H108" s="187"/>
      <c r="I108" s="121" t="e">
        <f>I$21</f>
        <v>#VALUE!</v>
      </c>
      <c r="J108" s="121" t="e">
        <f t="shared" ref="J108:P108" si="51">J$21</f>
        <v>#VALUE!</v>
      </c>
      <c r="K108" s="121" t="e">
        <f t="shared" si="51"/>
        <v>#VALUE!</v>
      </c>
      <c r="L108" s="121" t="e">
        <f t="shared" si="51"/>
        <v>#VALUE!</v>
      </c>
      <c r="M108" s="121" t="e">
        <f t="shared" si="51"/>
        <v>#VALUE!</v>
      </c>
      <c r="N108" s="121" t="e">
        <f t="shared" si="51"/>
        <v>#VALUE!</v>
      </c>
      <c r="O108" s="121" t="e">
        <f t="shared" si="51"/>
        <v>#VALUE!</v>
      </c>
      <c r="P108" s="121" t="e">
        <f t="shared" si="51"/>
        <v>#VALUE!</v>
      </c>
      <c r="Q108" s="131"/>
      <c r="R108" s="131"/>
      <c r="S108" s="121" t="e">
        <f>S$21</f>
        <v>#VALUE!</v>
      </c>
      <c r="T108" s="121" t="e">
        <f t="shared" ref="T108:Z108" si="52">T$21</f>
        <v>#VALUE!</v>
      </c>
      <c r="U108" s="121" t="e">
        <f t="shared" si="52"/>
        <v>#VALUE!</v>
      </c>
      <c r="V108" s="121" t="e">
        <f t="shared" si="52"/>
        <v>#VALUE!</v>
      </c>
      <c r="W108" s="121" t="e">
        <f t="shared" si="52"/>
        <v>#VALUE!</v>
      </c>
      <c r="X108" s="121" t="e">
        <f t="shared" si="52"/>
        <v>#VALUE!</v>
      </c>
      <c r="Y108" s="121" t="e">
        <f t="shared" si="52"/>
        <v>#VALUE!</v>
      </c>
      <c r="Z108" s="121" t="e">
        <f t="shared" si="52"/>
        <v>#VALUE!</v>
      </c>
      <c r="AA108" s="131"/>
      <c r="AB108" s="121" t="e">
        <f>I108</f>
        <v>#VALUE!</v>
      </c>
      <c r="AC108" s="121" t="e">
        <f t="shared" ref="AC108:AI108" si="53">J108</f>
        <v>#VALUE!</v>
      </c>
      <c r="AD108" s="121" t="e">
        <f t="shared" si="53"/>
        <v>#VALUE!</v>
      </c>
      <c r="AE108" s="121" t="e">
        <f t="shared" si="53"/>
        <v>#VALUE!</v>
      </c>
      <c r="AF108" s="121" t="e">
        <f t="shared" si="53"/>
        <v>#VALUE!</v>
      </c>
      <c r="AG108" s="121" t="e">
        <f t="shared" si="53"/>
        <v>#VALUE!</v>
      </c>
      <c r="AH108" s="121" t="e">
        <f t="shared" si="53"/>
        <v>#VALUE!</v>
      </c>
      <c r="AI108" s="121" t="e">
        <f t="shared" si="53"/>
        <v>#VALUE!</v>
      </c>
      <c r="AJ108" s="118"/>
      <c r="AK108" s="118"/>
      <c r="AL108" s="118"/>
      <c r="AM108" s="118"/>
      <c r="AN108" s="118"/>
      <c r="AO108" s="118"/>
      <c r="AP108" s="118"/>
      <c r="AQ108" s="118"/>
    </row>
    <row r="109" spans="1:44" ht="5.25" customHeight="1" thickBot="1">
      <c r="B109" s="41"/>
      <c r="C109" s="41"/>
      <c r="D109" s="41">
        <v>88</v>
      </c>
      <c r="G109" s="123"/>
      <c r="H109" s="124"/>
      <c r="I109" s="125"/>
      <c r="J109" s="125"/>
      <c r="K109" s="125"/>
      <c r="L109" s="125"/>
      <c r="M109" s="125"/>
      <c r="N109" s="125"/>
      <c r="O109" s="125"/>
      <c r="P109" s="125"/>
      <c r="Q109" s="131"/>
      <c r="R109" s="131"/>
      <c r="S109" s="125"/>
      <c r="T109" s="125"/>
      <c r="U109" s="125"/>
      <c r="V109" s="125"/>
      <c r="W109" s="125"/>
      <c r="X109" s="125"/>
      <c r="Y109" s="125"/>
      <c r="Z109" s="125"/>
      <c r="AA109" s="131"/>
      <c r="AB109" s="125"/>
      <c r="AC109" s="125"/>
      <c r="AD109" s="125"/>
      <c r="AE109" s="125"/>
      <c r="AF109" s="125"/>
      <c r="AG109" s="125"/>
      <c r="AH109" s="125"/>
      <c r="AI109" s="125"/>
      <c r="AR109" s="43"/>
    </row>
    <row r="110" spans="1:44" ht="26">
      <c r="A110" s="50" t="s">
        <v>156</v>
      </c>
      <c r="B110" s="64" t="s">
        <v>147</v>
      </c>
      <c r="C110" s="41"/>
      <c r="D110" s="41">
        <v>89</v>
      </c>
      <c r="G110" s="185" t="e">
        <f>_xll.DBRA(Server&amp;$A$21,$A110,$H$18)</f>
        <v>#N/A</v>
      </c>
      <c r="H110" s="186"/>
      <c r="I110" s="126" t="e">
        <f>_xll.DBRW($G$3,$H$15,$H$17,$H$13,$H$16,$H$14,I$2,$H$12,$B110)+_xll.DBRW($G$3,$H$15,$H$17,$H$13,$H$16,$H$14,I$2,$H$12,$A110)</f>
        <v>#VALUE!</v>
      </c>
      <c r="J110" s="126" t="e">
        <f>_xll.DBRW($G$3,$H$15,$H$17,$H$13,$H$16,$H$14,J$2,$H$12,$B110)+_xll.DBRW($G$3,$H$15,$H$17,$H$13,$H$16,$H$14,J$2,$H$12,$A110)</f>
        <v>#VALUE!</v>
      </c>
      <c r="K110" s="126" t="e">
        <f>_xll.DBRW($G$3,$H$15,$H$17,$H$13,$H$16,$H$14,K$2,$H$12,$B110)+_xll.DBRW($G$3,$H$15,$H$17,$H$13,$H$16,$H$14,K$2,$H$12,$A110)</f>
        <v>#VALUE!</v>
      </c>
      <c r="L110" s="126" t="e">
        <f>_xll.DBRW($G$3,$H$15,$H$17,$H$13,$H$16,$H$14,L$2,$H$12,$B110)+_xll.DBRW($G$3,$H$15,$H$17,$H$13,$H$16,$H$14,L$2,$H$12,$A110)</f>
        <v>#VALUE!</v>
      </c>
      <c r="M110" s="126" t="e">
        <f>_xll.DBRW($G$3,$H$15,$H$17,$H$13,$H$16,$H$14,M$2,$H$12,$B110)+_xll.DBRW($G$3,$H$15,$H$17,$H$13,$H$16,$H$14,M$2,$H$12,$A110)</f>
        <v>#VALUE!</v>
      </c>
      <c r="N110" s="126" t="e">
        <f>_xll.DBRW($G$3,$H$15,$H$17,$H$13,$H$16,$H$14,N$2,$H$12,$B110)+_xll.DBRW($G$3,$H$15,$H$17,$H$13,$H$16,$H$14,N$2,$H$12,$A110)</f>
        <v>#VALUE!</v>
      </c>
      <c r="O110" s="126" t="e">
        <f>_xll.DBRW($G$3,$H$15,$H$17,$H$13,$H$16,$H$14,O$2,$H$12,$B110)+_xll.DBRW($G$3,$H$15,$H$17,$H$13,$H$16,$H$14,O$2,$H$12,$A110)</f>
        <v>#VALUE!</v>
      </c>
      <c r="P110" s="126" t="e">
        <f>_xll.DBRW($G$3,$H$15,$H$17,$H$13,$H$16,$H$14,P$2,$H$12,$B110)+_xll.DBRW($G$3,$H$15,$H$17,$H$13,$H$16,$H$14,P$2,$H$12,$A110)</f>
        <v>#VALUE!</v>
      </c>
      <c r="Q110" s="131"/>
      <c r="R110" s="131"/>
      <c r="S110" s="126" t="e">
        <f>_xll.DBRW($G$3,$U$15,$H$17,$U$13,$U$16,$U$14,S$2,$U$12,$B110)+_xll.DBRW($G$3,$U$15,$H$17,$U$13,$U$16,$U$14,S$2,$U$12,$A110)</f>
        <v>#VALUE!</v>
      </c>
      <c r="T110" s="126" t="e">
        <f>_xll.DBRW($G$3,$U$15,$H$17,$U$13,$U$16,$U$14,T$2,$U$12,$B110)+_xll.DBRW($G$3,$U$15,$H$17,$U$13,$U$16,$U$14,T$2,$U$12,$A110)</f>
        <v>#VALUE!</v>
      </c>
      <c r="U110" s="126" t="e">
        <f>_xll.DBRW($G$3,$U$15,$H$17,$U$13,$U$16,$U$14,U$2,$U$12,$B110)+_xll.DBRW($G$3,$U$15,$H$17,$U$13,$U$16,$U$14,U$2,$U$12,$A110)</f>
        <v>#VALUE!</v>
      </c>
      <c r="V110" s="126" t="e">
        <f>_xll.DBRW($G$3,$U$15,$H$17,$U$13,$U$16,$U$14,V$2,$U$12,$B110)+_xll.DBRW($G$3,$U$15,$H$17,$U$13,$U$16,$U$14,V$2,$U$12,$A110)</f>
        <v>#VALUE!</v>
      </c>
      <c r="W110" s="126" t="e">
        <f>_xll.DBRW($G$3,$U$15,$H$17,$U$13,$U$16,$U$14,W$2,$U$12,$B110)+_xll.DBRW($G$3,$U$15,$H$17,$U$13,$U$16,$U$14,W$2,$U$12,$A110)</f>
        <v>#VALUE!</v>
      </c>
      <c r="X110" s="126" t="e">
        <f>_xll.DBRW($G$3,$U$15,$H$17,$U$13,$U$16,$U$14,X$2,$U$12,$B110)+_xll.DBRW($G$3,$U$15,$H$17,$U$13,$U$16,$U$14,X$2,$U$12,$A110)</f>
        <v>#VALUE!</v>
      </c>
      <c r="Y110" s="126" t="e">
        <f>_xll.DBRW($G$3,$U$15,$H$17,$U$13,$U$16,$U$14,Y$2,$U$12,$B110)+_xll.DBRW($G$3,$U$15,$H$17,$U$13,$U$16,$U$14,Y$2,$U$12,$A110)</f>
        <v>#VALUE!</v>
      </c>
      <c r="Z110" s="126" t="e">
        <f>_xll.DBRW($G$3,$U$15,$H$17,$U$13,$U$16,$U$14,Z$2,$U$12,$B110)+_xll.DBRW($G$3,$U$15,$H$17,$U$13,$U$16,$U$14,Z$2,$U$12,$A110)</f>
        <v>#VALUE!</v>
      </c>
      <c r="AA110" s="131"/>
      <c r="AB110" s="126" t="e">
        <f t="shared" ref="AB110:AB113" si="54">U110-I110</f>
        <v>#VALUE!</v>
      </c>
      <c r="AC110" s="127" t="e">
        <f t="shared" ref="AC110:AC113" si="55">V110-J110</f>
        <v>#VALUE!</v>
      </c>
      <c r="AD110" s="127" t="e">
        <f t="shared" ref="AD110:AD113" si="56">W110-K110</f>
        <v>#VALUE!</v>
      </c>
      <c r="AE110" s="127" t="e">
        <f t="shared" ref="AE110:AE113" si="57">X110-L110</f>
        <v>#VALUE!</v>
      </c>
      <c r="AF110" s="127" t="e">
        <f t="shared" ref="AF110:AF113" si="58">Y110-M110</f>
        <v>#VALUE!</v>
      </c>
      <c r="AG110" s="127" t="e">
        <f t="shared" ref="AG110:AG113" si="59">Z110-N110</f>
        <v>#VALUE!</v>
      </c>
      <c r="AH110" s="127" t="e">
        <f t="shared" ref="AH110:AH113" si="60">AA110-O110</f>
        <v>#VALUE!</v>
      </c>
      <c r="AI110" s="128" t="e">
        <f t="shared" ref="AI110:AI113" si="61">AB110-P110</f>
        <v>#VALUE!</v>
      </c>
      <c r="AR110" s="43"/>
    </row>
    <row r="111" spans="1:44" ht="21.75" customHeight="1">
      <c r="A111" s="50" t="s">
        <v>134</v>
      </c>
      <c r="B111" s="64"/>
      <c r="C111" s="41"/>
      <c r="D111" s="41">
        <v>90</v>
      </c>
      <c r="G111" s="185" t="e">
        <f>_xll.DBRA(Server&amp;$A$21,$A111,$H$18)</f>
        <v>#N/A</v>
      </c>
      <c r="H111" s="186"/>
      <c r="I111" s="153" t="e">
        <f>_xll.DBRW($G$3,$H$15,$H$17,$H$13,$H$16,$H$14,I$2,$H$12,$A111)</f>
        <v>#VALUE!</v>
      </c>
      <c r="J111" s="153" t="e">
        <f>_xll.DBRW($G$3,$H$15,$H$17,$H$13,$H$16,$H$14,J$2,$H$12,$A111)</f>
        <v>#VALUE!</v>
      </c>
      <c r="K111" s="153" t="e">
        <f>_xll.DBRW($G$3,$H$15,$H$17,$H$13,$H$16,$H$14,K$2,$H$12,$A111)</f>
        <v>#VALUE!</v>
      </c>
      <c r="L111" s="153" t="e">
        <f>_xll.DBRW($G$3,$H$15,$H$17,$H$13,$H$16,$H$14,L$2,$H$12,$A111)</f>
        <v>#VALUE!</v>
      </c>
      <c r="M111" s="153" t="e">
        <f>_xll.DBRW($G$3,$H$15,$H$17,$H$13,$H$16,$H$14,M$2,$H$12,$A111)</f>
        <v>#VALUE!</v>
      </c>
      <c r="N111" s="153" t="e">
        <f>_xll.DBRW($G$3,$H$15,$H$17,$H$13,$H$16,$H$14,N$2,$H$12,$A111)</f>
        <v>#VALUE!</v>
      </c>
      <c r="O111" s="153" t="e">
        <f>_xll.DBRW($G$3,$H$15,$H$17,$H$13,$H$16,$H$14,O$2,$H$12,$A111)</f>
        <v>#VALUE!</v>
      </c>
      <c r="P111" s="153" t="e">
        <f>_xll.DBRW($G$3,$H$15,$H$17,$H$13,$H$16,$H$14,P$2,$H$12,$A111)</f>
        <v>#VALUE!</v>
      </c>
      <c r="Q111" s="131"/>
      <c r="R111" s="131"/>
      <c r="S111" s="153" t="e">
        <f>_xll.DBRW($G$3,$U$15,$H$17,$U$13,$U$16,$U$14,S$2,$U$12,$A111)</f>
        <v>#VALUE!</v>
      </c>
      <c r="T111" s="153" t="e">
        <f>_xll.DBRW($G$3,$U$15,$H$17,$U$13,$U$16,$U$14,T$2,$U$12,$A111)</f>
        <v>#VALUE!</v>
      </c>
      <c r="U111" s="153" t="e">
        <f>_xll.DBRW($G$3,$U$15,$H$17,$U$13,$U$16,$U$14,U$2,$U$12,$A111)</f>
        <v>#VALUE!</v>
      </c>
      <c r="V111" s="153" t="e">
        <f>_xll.DBRW($G$3,$U$15,$H$17,$U$13,$U$16,$U$14,V$2,$U$12,$A111)</f>
        <v>#VALUE!</v>
      </c>
      <c r="W111" s="153" t="e">
        <f>_xll.DBRW($G$3,$U$15,$H$17,$U$13,$U$16,$U$14,W$2,$U$12,$A111)</f>
        <v>#VALUE!</v>
      </c>
      <c r="X111" s="153" t="e">
        <f>_xll.DBRW($G$3,$U$15,$H$17,$U$13,$U$16,$U$14,X$2,$U$12,$A111)</f>
        <v>#VALUE!</v>
      </c>
      <c r="Y111" s="153" t="e">
        <f>_xll.DBRW($G$3,$U$15,$H$17,$U$13,$U$16,$U$14,Y$2,$U$12,$A111)</f>
        <v>#VALUE!</v>
      </c>
      <c r="Z111" s="153" t="e">
        <f>_xll.DBRW($G$3,$U$15,$H$17,$U$13,$U$16,$U$14,Z$2,$U$12,$A111)</f>
        <v>#VALUE!</v>
      </c>
      <c r="AA111" s="131"/>
      <c r="AB111" s="153" t="e">
        <f t="shared" si="54"/>
        <v>#VALUE!</v>
      </c>
      <c r="AC111" s="153" t="e">
        <f t="shared" si="55"/>
        <v>#VALUE!</v>
      </c>
      <c r="AD111" s="153" t="e">
        <f t="shared" si="56"/>
        <v>#VALUE!</v>
      </c>
      <c r="AE111" s="153" t="e">
        <f t="shared" si="57"/>
        <v>#VALUE!</v>
      </c>
      <c r="AF111" s="153" t="e">
        <f t="shared" si="58"/>
        <v>#VALUE!</v>
      </c>
      <c r="AG111" s="153" t="e">
        <f t="shared" si="59"/>
        <v>#VALUE!</v>
      </c>
      <c r="AH111" s="153" t="e">
        <f t="shared" si="60"/>
        <v>#VALUE!</v>
      </c>
      <c r="AI111" s="153" t="e">
        <f t="shared" si="61"/>
        <v>#VALUE!</v>
      </c>
      <c r="AR111" s="43"/>
    </row>
    <row r="112" spans="1:44" ht="21.75" customHeight="1" thickBot="1">
      <c r="A112" s="50" t="s">
        <v>133</v>
      </c>
      <c r="B112" s="64"/>
      <c r="C112" s="41"/>
      <c r="D112" s="41">
        <v>91</v>
      </c>
      <c r="G112" s="185" t="e">
        <f>_xll.DBRA(Server&amp;$A$21,$A112,$H$18)</f>
        <v>#N/A</v>
      </c>
      <c r="H112" s="186"/>
      <c r="I112" s="153" t="e">
        <f>_xll.DBRW($G$3,$H$15,$H$17,$H$13,$H$16,$H$14,I$2,$H$12,$A112)</f>
        <v>#VALUE!</v>
      </c>
      <c r="J112" s="153" t="e">
        <f>_xll.DBRW($G$3,$H$15,$H$17,$H$13,$H$16,$H$14,J$2,$H$12,$A112)</f>
        <v>#VALUE!</v>
      </c>
      <c r="K112" s="153" t="e">
        <f>_xll.DBRW($G$3,$H$15,$H$17,$H$13,$H$16,$H$14,K$2,$H$12,$A112)</f>
        <v>#VALUE!</v>
      </c>
      <c r="L112" s="153" t="e">
        <f>_xll.DBRW($G$3,$H$15,$H$17,$H$13,$H$16,$H$14,L$2,$H$12,$A112)</f>
        <v>#VALUE!</v>
      </c>
      <c r="M112" s="153" t="e">
        <f>_xll.DBRW($G$3,$H$15,$H$17,$H$13,$H$16,$H$14,M$2,$H$12,$A112)</f>
        <v>#VALUE!</v>
      </c>
      <c r="N112" s="153" t="e">
        <f>_xll.DBRW($G$3,$H$15,$H$17,$H$13,$H$16,$H$14,N$2,$H$12,$A112)</f>
        <v>#VALUE!</v>
      </c>
      <c r="O112" s="153" t="e">
        <f>_xll.DBRW($G$3,$H$15,$H$17,$H$13,$H$16,$H$14,O$2,$H$12,$A112)</f>
        <v>#VALUE!</v>
      </c>
      <c r="P112" s="153" t="e">
        <f>_xll.DBRW($G$3,$H$15,$H$17,$H$13,$H$16,$H$14,P$2,$H$12,$A112)</f>
        <v>#VALUE!</v>
      </c>
      <c r="Q112" s="131"/>
      <c r="R112" s="131"/>
      <c r="S112" s="153" t="e">
        <f>_xll.DBRW($G$3,$U$15,$H$17,$U$13,$U$16,$U$14,S$2,$U$12,$A112)</f>
        <v>#VALUE!</v>
      </c>
      <c r="T112" s="153" t="e">
        <f>_xll.DBRW($G$3,$U$15,$H$17,$U$13,$U$16,$U$14,T$2,$U$12,$A112)</f>
        <v>#VALUE!</v>
      </c>
      <c r="U112" s="153" t="e">
        <f>_xll.DBRW($G$3,$U$15,$H$17,$U$13,$U$16,$U$14,U$2,$U$12,$A112)</f>
        <v>#VALUE!</v>
      </c>
      <c r="V112" s="153" t="e">
        <f>_xll.DBRW($G$3,$U$15,$H$17,$U$13,$U$16,$U$14,V$2,$U$12,$A112)</f>
        <v>#VALUE!</v>
      </c>
      <c r="W112" s="153" t="e">
        <f>_xll.DBRW($G$3,$U$15,$H$17,$U$13,$U$16,$U$14,W$2,$U$12,$A112)</f>
        <v>#VALUE!</v>
      </c>
      <c r="X112" s="153" t="e">
        <f>_xll.DBRW($G$3,$U$15,$H$17,$U$13,$U$16,$U$14,X$2,$U$12,$A112)</f>
        <v>#VALUE!</v>
      </c>
      <c r="Y112" s="153" t="e">
        <f>_xll.DBRW($G$3,$U$15,$H$17,$U$13,$U$16,$U$14,Y$2,$U$12,$A112)</f>
        <v>#VALUE!</v>
      </c>
      <c r="Z112" s="153" t="e">
        <f>_xll.DBRW($G$3,$U$15,$H$17,$U$13,$U$16,$U$14,Z$2,$U$12,$A112)</f>
        <v>#VALUE!</v>
      </c>
      <c r="AA112" s="131"/>
      <c r="AB112" s="153" t="e">
        <f t="shared" si="54"/>
        <v>#VALUE!</v>
      </c>
      <c r="AC112" s="153" t="e">
        <f t="shared" si="55"/>
        <v>#VALUE!</v>
      </c>
      <c r="AD112" s="153" t="e">
        <f t="shared" si="56"/>
        <v>#VALUE!</v>
      </c>
      <c r="AE112" s="153" t="e">
        <f t="shared" si="57"/>
        <v>#VALUE!</v>
      </c>
      <c r="AF112" s="153" t="e">
        <f t="shared" si="58"/>
        <v>#VALUE!</v>
      </c>
      <c r="AG112" s="153" t="e">
        <f t="shared" si="59"/>
        <v>#VALUE!</v>
      </c>
      <c r="AH112" s="153" t="e">
        <f t="shared" si="60"/>
        <v>#VALUE!</v>
      </c>
      <c r="AI112" s="153" t="e">
        <f t="shared" si="61"/>
        <v>#VALUE!</v>
      </c>
      <c r="AR112" s="43"/>
    </row>
    <row r="113" spans="1:44" ht="21.75" customHeight="1" thickBot="1">
      <c r="A113" s="50"/>
      <c r="B113" s="64"/>
      <c r="C113" s="41"/>
      <c r="D113" s="41">
        <v>92</v>
      </c>
      <c r="G113" s="184" t="str">
        <f>IF($H$18="English","Total Gross Investments (all financing modes)","Total des Investissements bruts (tout mode de financement)")</f>
        <v>Total Gross Investments (all financing modes)</v>
      </c>
      <c r="H113" s="184"/>
      <c r="I113" s="134" t="e">
        <f t="shared" ref="I113:P113" si="62">SUM(I110:I112)</f>
        <v>#VALUE!</v>
      </c>
      <c r="J113" s="134" t="e">
        <f t="shared" si="62"/>
        <v>#VALUE!</v>
      </c>
      <c r="K113" s="134" t="e">
        <f t="shared" si="62"/>
        <v>#VALUE!</v>
      </c>
      <c r="L113" s="134" t="e">
        <f t="shared" si="62"/>
        <v>#VALUE!</v>
      </c>
      <c r="M113" s="134" t="e">
        <f t="shared" si="62"/>
        <v>#VALUE!</v>
      </c>
      <c r="N113" s="134" t="e">
        <f t="shared" si="62"/>
        <v>#VALUE!</v>
      </c>
      <c r="O113" s="134" t="e">
        <f t="shared" si="62"/>
        <v>#VALUE!</v>
      </c>
      <c r="P113" s="134" t="e">
        <f t="shared" si="62"/>
        <v>#VALUE!</v>
      </c>
      <c r="Q113" s="131"/>
      <c r="R113" s="131"/>
      <c r="S113" s="134" t="e">
        <f t="shared" ref="S113:Z113" si="63">SUM(S110:S112)</f>
        <v>#VALUE!</v>
      </c>
      <c r="T113" s="134" t="e">
        <f t="shared" si="63"/>
        <v>#VALUE!</v>
      </c>
      <c r="U113" s="134" t="e">
        <f t="shared" si="63"/>
        <v>#VALUE!</v>
      </c>
      <c r="V113" s="134" t="e">
        <f t="shared" si="63"/>
        <v>#VALUE!</v>
      </c>
      <c r="W113" s="134" t="e">
        <f t="shared" si="63"/>
        <v>#VALUE!</v>
      </c>
      <c r="X113" s="134" t="e">
        <f t="shared" si="63"/>
        <v>#VALUE!</v>
      </c>
      <c r="Y113" s="134" t="e">
        <f t="shared" si="63"/>
        <v>#VALUE!</v>
      </c>
      <c r="Z113" s="134" t="e">
        <f t="shared" si="63"/>
        <v>#VALUE!</v>
      </c>
      <c r="AA113" s="131"/>
      <c r="AB113" s="134" t="e">
        <f t="shared" si="54"/>
        <v>#VALUE!</v>
      </c>
      <c r="AC113" s="134" t="e">
        <f t="shared" si="55"/>
        <v>#VALUE!</v>
      </c>
      <c r="AD113" s="134" t="e">
        <f t="shared" si="56"/>
        <v>#VALUE!</v>
      </c>
      <c r="AE113" s="134" t="e">
        <f t="shared" si="57"/>
        <v>#VALUE!</v>
      </c>
      <c r="AF113" s="134" t="e">
        <f t="shared" si="58"/>
        <v>#VALUE!</v>
      </c>
      <c r="AG113" s="134" t="e">
        <f t="shared" si="59"/>
        <v>#VALUE!</v>
      </c>
      <c r="AH113" s="134" t="e">
        <f t="shared" si="60"/>
        <v>#VALUE!</v>
      </c>
      <c r="AI113" s="134" t="e">
        <f t="shared" si="61"/>
        <v>#VALUE!</v>
      </c>
      <c r="AR113" s="43"/>
    </row>
    <row r="114" spans="1:44" ht="24.75" customHeight="1">
      <c r="A114" s="50"/>
      <c r="B114" s="64"/>
      <c r="C114" s="41"/>
      <c r="D114" s="41">
        <v>93</v>
      </c>
      <c r="G114" s="154"/>
      <c r="H114" s="155"/>
      <c r="I114" s="153"/>
      <c r="J114" s="153"/>
      <c r="K114" s="153"/>
      <c r="L114" s="153"/>
      <c r="M114" s="153"/>
      <c r="N114" s="153"/>
      <c r="O114" s="153"/>
      <c r="P114" s="153"/>
      <c r="Q114" s="131"/>
      <c r="R114" s="131"/>
      <c r="S114" s="153"/>
      <c r="T114" s="153"/>
      <c r="U114" s="153"/>
      <c r="V114" s="153"/>
      <c r="W114" s="153"/>
      <c r="X114" s="153"/>
      <c r="Y114" s="153"/>
      <c r="Z114" s="153"/>
      <c r="AA114" s="131"/>
      <c r="AB114" s="153"/>
      <c r="AC114" s="153"/>
      <c r="AD114" s="153"/>
      <c r="AE114" s="153"/>
      <c r="AF114" s="153"/>
      <c r="AG114" s="153"/>
      <c r="AH114" s="153"/>
      <c r="AI114" s="153"/>
      <c r="AR114" s="43"/>
    </row>
    <row r="115" spans="1:44" s="119" customFormat="1" ht="27.75" customHeight="1">
      <c r="A115" s="168"/>
      <c r="B115" s="169"/>
      <c r="C115" s="115"/>
      <c r="D115" s="115">
        <v>94</v>
      </c>
      <c r="E115" s="116"/>
      <c r="F115" s="117"/>
      <c r="G115" s="187" t="s">
        <v>164</v>
      </c>
      <c r="H115" s="187"/>
      <c r="I115" s="121" t="e">
        <f>I$21</f>
        <v>#VALUE!</v>
      </c>
      <c r="J115" s="121" t="e">
        <f t="shared" ref="J115:P115" si="64">J$21</f>
        <v>#VALUE!</v>
      </c>
      <c r="K115" s="121" t="e">
        <f t="shared" si="64"/>
        <v>#VALUE!</v>
      </c>
      <c r="L115" s="121" t="e">
        <f t="shared" si="64"/>
        <v>#VALUE!</v>
      </c>
      <c r="M115" s="121" t="e">
        <f t="shared" si="64"/>
        <v>#VALUE!</v>
      </c>
      <c r="N115" s="121" t="e">
        <f t="shared" si="64"/>
        <v>#VALUE!</v>
      </c>
      <c r="O115" s="121" t="e">
        <f t="shared" si="64"/>
        <v>#VALUE!</v>
      </c>
      <c r="P115" s="121" t="e">
        <f t="shared" si="64"/>
        <v>#VALUE!</v>
      </c>
      <c r="Q115" s="131"/>
      <c r="R115" s="131"/>
      <c r="S115" s="121" t="e">
        <f>S$21</f>
        <v>#VALUE!</v>
      </c>
      <c r="T115" s="121" t="e">
        <f t="shared" ref="T115:Z115" si="65">T$21</f>
        <v>#VALUE!</v>
      </c>
      <c r="U115" s="121" t="e">
        <f t="shared" si="65"/>
        <v>#VALUE!</v>
      </c>
      <c r="V115" s="121" t="e">
        <f t="shared" si="65"/>
        <v>#VALUE!</v>
      </c>
      <c r="W115" s="121" t="e">
        <f t="shared" si="65"/>
        <v>#VALUE!</v>
      </c>
      <c r="X115" s="121" t="e">
        <f t="shared" si="65"/>
        <v>#VALUE!</v>
      </c>
      <c r="Y115" s="121" t="e">
        <f t="shared" si="65"/>
        <v>#VALUE!</v>
      </c>
      <c r="Z115" s="121" t="e">
        <f t="shared" si="65"/>
        <v>#VALUE!</v>
      </c>
      <c r="AA115" s="131"/>
      <c r="AB115" s="175"/>
      <c r="AC115" s="175"/>
      <c r="AD115" s="175"/>
      <c r="AE115" s="175"/>
      <c r="AF115" s="175"/>
      <c r="AG115" s="175"/>
      <c r="AH115" s="175"/>
      <c r="AI115" s="175"/>
      <c r="AJ115" s="118"/>
      <c r="AK115" s="118"/>
      <c r="AL115" s="118"/>
      <c r="AM115" s="118"/>
      <c r="AN115" s="118"/>
      <c r="AO115" s="118"/>
      <c r="AP115" s="118"/>
      <c r="AQ115" s="118"/>
    </row>
    <row r="116" spans="1:44" ht="5.25" customHeight="1" thickBot="1">
      <c r="A116" s="50"/>
      <c r="B116" s="64"/>
      <c r="C116" s="41"/>
      <c r="D116" s="41">
        <v>95</v>
      </c>
      <c r="G116" s="123"/>
      <c r="H116" s="124"/>
      <c r="I116" s="125"/>
      <c r="J116" s="125"/>
      <c r="K116" s="125"/>
      <c r="L116" s="125"/>
      <c r="M116" s="125"/>
      <c r="N116" s="125"/>
      <c r="O116" s="125"/>
      <c r="P116" s="125"/>
      <c r="Q116" s="131"/>
      <c r="R116" s="131"/>
      <c r="S116" s="125"/>
      <c r="T116" s="125"/>
      <c r="U116" s="125"/>
      <c r="V116" s="125"/>
      <c r="W116" s="125"/>
      <c r="X116" s="125"/>
      <c r="Y116" s="125"/>
      <c r="Z116" s="125"/>
      <c r="AA116" s="131"/>
      <c r="AB116" s="173"/>
      <c r="AC116" s="173"/>
      <c r="AD116" s="173"/>
      <c r="AE116" s="173"/>
      <c r="AF116" s="173"/>
      <c r="AG116" s="173"/>
      <c r="AH116" s="173"/>
      <c r="AI116" s="173"/>
      <c r="AR116" s="43"/>
    </row>
    <row r="117" spans="1:44" s="94" customFormat="1" ht="21.75" customHeight="1">
      <c r="A117" s="50"/>
      <c r="B117" s="64"/>
      <c r="C117" s="41"/>
      <c r="D117" s="41">
        <v>96</v>
      </c>
      <c r="E117" s="92"/>
      <c r="F117" s="93"/>
      <c r="G117" s="156" t="str">
        <f>IF($H$18="English","Amortization /Revenue","Amortissements / Chiffre d'affaires")</f>
        <v>Amortization /Revenue</v>
      </c>
      <c r="H117" s="156"/>
      <c r="I117" s="157" t="str">
        <f t="shared" ref="I117:P117" si="66">IFERROR(I51/I24,"")</f>
        <v/>
      </c>
      <c r="J117" s="157" t="str">
        <f t="shared" si="66"/>
        <v/>
      </c>
      <c r="K117" s="157" t="str">
        <f t="shared" si="66"/>
        <v/>
      </c>
      <c r="L117" s="157" t="str">
        <f t="shared" si="66"/>
        <v/>
      </c>
      <c r="M117" s="157" t="str">
        <f t="shared" si="66"/>
        <v/>
      </c>
      <c r="N117" s="157" t="str">
        <f t="shared" si="66"/>
        <v/>
      </c>
      <c r="O117" s="157" t="str">
        <f t="shared" si="66"/>
        <v/>
      </c>
      <c r="P117" s="157" t="str">
        <f t="shared" si="66"/>
        <v/>
      </c>
      <c r="Q117" s="131"/>
      <c r="R117" s="131"/>
      <c r="S117" s="157" t="str">
        <f t="shared" ref="S117:Z117" si="67">IFERROR(S51/S24,"")</f>
        <v/>
      </c>
      <c r="T117" s="157" t="str">
        <f t="shared" si="67"/>
        <v/>
      </c>
      <c r="U117" s="157" t="str">
        <f t="shared" si="67"/>
        <v/>
      </c>
      <c r="V117" s="157" t="str">
        <f t="shared" si="67"/>
        <v/>
      </c>
      <c r="W117" s="157" t="str">
        <f t="shared" si="67"/>
        <v/>
      </c>
      <c r="X117" s="157" t="str">
        <f t="shared" si="67"/>
        <v/>
      </c>
      <c r="Y117" s="157" t="str">
        <f t="shared" si="67"/>
        <v/>
      </c>
      <c r="Z117" s="157" t="str">
        <f t="shared" si="67"/>
        <v/>
      </c>
      <c r="AA117" s="131"/>
      <c r="AB117" s="157"/>
      <c r="AC117" s="157"/>
      <c r="AD117" s="157"/>
      <c r="AE117" s="157"/>
      <c r="AF117" s="157"/>
      <c r="AG117" s="157"/>
      <c r="AH117" s="157"/>
      <c r="AI117" s="157"/>
    </row>
    <row r="118" spans="1:44" s="94" customFormat="1" ht="21.75" customHeight="1">
      <c r="A118" s="50"/>
      <c r="B118" s="64"/>
      <c r="C118" s="41"/>
      <c r="D118" s="41">
        <v>97</v>
      </c>
      <c r="E118" s="103"/>
      <c r="F118" s="93"/>
      <c r="G118" s="158" t="str">
        <f>IF($H$18="English","ROCE after theoritical MF &amp; Tax excl. IFRIC12","ROCE après MF et Impot théoriques et avant IFRIC12")</f>
        <v>ROCE after theoritical MF &amp; Tax excl. IFRIC12</v>
      </c>
      <c r="H118" s="159"/>
      <c r="I118" s="160" t="s">
        <v>165</v>
      </c>
      <c r="J118" s="157" t="str">
        <f>IFERROR(J132,"-")</f>
        <v>-</v>
      </c>
      <c r="K118" s="157" t="str">
        <f t="shared" ref="K118:P118" si="68">IFERROR(K132,"-")</f>
        <v>-</v>
      </c>
      <c r="L118" s="157" t="str">
        <f t="shared" si="68"/>
        <v>-</v>
      </c>
      <c r="M118" s="157" t="str">
        <f t="shared" si="68"/>
        <v>-</v>
      </c>
      <c r="N118" s="157" t="str">
        <f t="shared" si="68"/>
        <v>-</v>
      </c>
      <c r="O118" s="157" t="str">
        <f t="shared" si="68"/>
        <v>-</v>
      </c>
      <c r="P118" s="157" t="str">
        <f t="shared" si="68"/>
        <v>-</v>
      </c>
      <c r="Q118" s="122"/>
      <c r="R118" s="122"/>
      <c r="S118" s="160" t="s">
        <v>165</v>
      </c>
      <c r="T118" s="157" t="str">
        <f>IFERROR(T132,"-")</f>
        <v>-</v>
      </c>
      <c r="U118" s="157" t="str">
        <f t="shared" ref="U118:Z118" si="69">IFERROR(U132,"-")</f>
        <v>-</v>
      </c>
      <c r="V118" s="157" t="str">
        <f t="shared" si="69"/>
        <v>-</v>
      </c>
      <c r="W118" s="157" t="str">
        <f t="shared" si="69"/>
        <v>-</v>
      </c>
      <c r="X118" s="157" t="str">
        <f t="shared" si="69"/>
        <v>-</v>
      </c>
      <c r="Y118" s="157" t="str">
        <f t="shared" si="69"/>
        <v>-</v>
      </c>
      <c r="Z118" s="157" t="str">
        <f t="shared" si="69"/>
        <v>-</v>
      </c>
      <c r="AA118" s="122"/>
      <c r="AB118" s="160"/>
      <c r="AC118" s="157"/>
      <c r="AD118" s="157"/>
      <c r="AE118" s="157"/>
      <c r="AF118" s="157"/>
      <c r="AG118" s="157"/>
      <c r="AH118" s="157"/>
      <c r="AI118" s="157"/>
      <c r="AN118" s="113"/>
    </row>
    <row r="119" spans="1:44" s="94" customFormat="1" ht="21.75" customHeight="1">
      <c r="A119" s="50"/>
      <c r="B119" s="64"/>
      <c r="C119" s="41"/>
      <c r="D119" s="41">
        <v>98</v>
      </c>
      <c r="E119" s="103"/>
      <c r="F119" s="93"/>
      <c r="G119" s="158" t="str">
        <f>IF($H$18="English","Implicit interest rate","Taux d'intérêt implicite")</f>
        <v>Implicit interest rate</v>
      </c>
      <c r="H119" s="159"/>
      <c r="I119" s="160" t="s">
        <v>165</v>
      </c>
      <c r="J119" s="157" t="str">
        <f t="shared" ref="J119:K119" si="70">IFERROR(J38/AVERAGE(I97:J97),"-")</f>
        <v>-</v>
      </c>
      <c r="K119" s="157" t="str">
        <f t="shared" si="70"/>
        <v>-</v>
      </c>
      <c r="L119" s="157" t="str">
        <f>IFERROR(L38/AVERAGE(K97:L97),"-")</f>
        <v>-</v>
      </c>
      <c r="M119" s="157" t="str">
        <f t="shared" ref="M119:P119" si="71">IFERROR(M38/AVERAGE(L97:M97),"-")</f>
        <v>-</v>
      </c>
      <c r="N119" s="157" t="str">
        <f t="shared" si="71"/>
        <v>-</v>
      </c>
      <c r="O119" s="157" t="str">
        <f t="shared" si="71"/>
        <v>-</v>
      </c>
      <c r="P119" s="157" t="str">
        <f t="shared" si="71"/>
        <v>-</v>
      </c>
      <c r="Q119" s="122"/>
      <c r="R119" s="122"/>
      <c r="S119" s="160" t="s">
        <v>165</v>
      </c>
      <c r="T119" s="157" t="str">
        <f t="shared" ref="T119" si="72">IFERROR(T38/AVERAGE(S97:T97),"-")</f>
        <v>-</v>
      </c>
      <c r="U119" s="157" t="str">
        <f t="shared" ref="U119" si="73">IFERROR(U38/AVERAGE(T97:U97),"-")</f>
        <v>-</v>
      </c>
      <c r="V119" s="157" t="str">
        <f>IFERROR(V38/AVERAGE(U97:V97),"-")</f>
        <v>-</v>
      </c>
      <c r="W119" s="157" t="str">
        <f t="shared" ref="W119" si="74">IFERROR(W38/AVERAGE(V97:W97),"-")</f>
        <v>-</v>
      </c>
      <c r="X119" s="157" t="str">
        <f t="shared" ref="X119" si="75">IFERROR(X38/AVERAGE(W97:X97),"-")</f>
        <v>-</v>
      </c>
      <c r="Y119" s="157" t="str">
        <f t="shared" ref="Y119" si="76">IFERROR(Y38/AVERAGE(X97:Y97),"-")</f>
        <v>-</v>
      </c>
      <c r="Z119" s="157" t="str">
        <f t="shared" ref="Z119" si="77">IFERROR(Z38/AVERAGE(Y97:Z97),"-")</f>
        <v>-</v>
      </c>
      <c r="AA119" s="122"/>
      <c r="AB119" s="160"/>
      <c r="AC119" s="157"/>
      <c r="AD119" s="157"/>
      <c r="AE119" s="157"/>
      <c r="AF119" s="157"/>
      <c r="AG119" s="157"/>
      <c r="AH119" s="157"/>
      <c r="AI119" s="157"/>
      <c r="AP119" s="113"/>
    </row>
    <row r="120" spans="1:44" s="94" customFormat="1" ht="21.75" customHeight="1">
      <c r="A120" s="50"/>
      <c r="B120" s="64"/>
      <c r="C120" s="41"/>
      <c r="D120" s="41">
        <v>98</v>
      </c>
      <c r="E120" s="103"/>
      <c r="F120" s="93"/>
      <c r="G120" s="158" t="str">
        <f>IF($H$18="English","Effective tax rate","Taux d'impôt effectif")</f>
        <v>Effective tax rate</v>
      </c>
      <c r="H120" s="159"/>
      <c r="I120" s="160" t="str">
        <f>IFERROR(-I41/I40,"-")</f>
        <v>-</v>
      </c>
      <c r="J120" s="160" t="str">
        <f t="shared" ref="J120:P120" si="78">IFERROR(-J41/J40,"-")</f>
        <v>-</v>
      </c>
      <c r="K120" s="160" t="str">
        <f t="shared" si="78"/>
        <v>-</v>
      </c>
      <c r="L120" s="160" t="str">
        <f t="shared" si="78"/>
        <v>-</v>
      </c>
      <c r="M120" s="160" t="str">
        <f t="shared" si="78"/>
        <v>-</v>
      </c>
      <c r="N120" s="160" t="str">
        <f t="shared" si="78"/>
        <v>-</v>
      </c>
      <c r="O120" s="160" t="str">
        <f t="shared" si="78"/>
        <v>-</v>
      </c>
      <c r="P120" s="160" t="str">
        <f t="shared" si="78"/>
        <v>-</v>
      </c>
      <c r="Q120" s="122"/>
      <c r="R120" s="122"/>
      <c r="S120" s="160" t="str">
        <f t="shared" ref="S120:Z120" si="79">IFERROR(-S41/S40,"-")</f>
        <v>-</v>
      </c>
      <c r="T120" s="160" t="str">
        <f t="shared" si="79"/>
        <v>-</v>
      </c>
      <c r="U120" s="160" t="str">
        <f t="shared" si="79"/>
        <v>-</v>
      </c>
      <c r="V120" s="160" t="str">
        <f t="shared" si="79"/>
        <v>-</v>
      </c>
      <c r="W120" s="160" t="str">
        <f t="shared" si="79"/>
        <v>-</v>
      </c>
      <c r="X120" s="160" t="str">
        <f t="shared" si="79"/>
        <v>-</v>
      </c>
      <c r="Y120" s="160" t="str">
        <f t="shared" si="79"/>
        <v>-</v>
      </c>
      <c r="Z120" s="160" t="str">
        <f t="shared" si="79"/>
        <v>-</v>
      </c>
      <c r="AA120" s="122"/>
      <c r="AB120" s="160"/>
      <c r="AC120" s="157"/>
      <c r="AD120" s="157"/>
      <c r="AE120" s="157"/>
      <c r="AF120" s="157"/>
      <c r="AG120" s="157"/>
      <c r="AH120" s="157"/>
      <c r="AI120" s="157"/>
      <c r="AP120" s="113"/>
    </row>
    <row r="121" spans="1:44" ht="21.75" customHeight="1" outlineLevel="1">
      <c r="AB121" s="43"/>
      <c r="AC121" s="43"/>
      <c r="AD121" s="43"/>
      <c r="AE121" s="43"/>
      <c r="AF121" s="43"/>
      <c r="AG121" s="43"/>
      <c r="AJ121" s="43"/>
      <c r="AP121" s="114"/>
    </row>
    <row r="122" spans="1:44" ht="21.75" customHeight="1" outlineLevel="1">
      <c r="Q122" s="79"/>
      <c r="R122" s="79"/>
      <c r="AA122" s="79"/>
      <c r="AB122" s="79"/>
      <c r="AC122" s="79"/>
      <c r="AD122" s="79"/>
      <c r="AE122" s="79"/>
      <c r="AF122" s="79"/>
      <c r="AG122" s="79"/>
      <c r="AJ122" s="43"/>
      <c r="AP122" s="114"/>
    </row>
    <row r="123" spans="1:44" ht="21.75" customHeight="1" outlineLevel="1">
      <c r="G123" s="202" t="s">
        <v>166</v>
      </c>
      <c r="H123" s="202"/>
      <c r="AJ123" s="43"/>
      <c r="AP123" s="114"/>
    </row>
    <row r="124" spans="1:44" ht="21.75" customHeight="1" outlineLevel="1">
      <c r="G124" s="108" t="e">
        <f>IF(_xll.DBRW(xServer&amp;":}ElementAttributes_Legal_Organization",ctx_legal_Context,"Country_Entity")="","Corporate",_xll.DBRW(xServer&amp;":}ElementAttributes_Legal_Organization",ctx_legal_Context,"Country_Entity"))</f>
        <v>#VALUE!</v>
      </c>
      <c r="H124" s="108" t="e">
        <f>IF(MID(H12,5,4)&gt;"2019",H12,"LTP_2021_VC")</f>
        <v>#N/A</v>
      </c>
      <c r="AJ124" s="43"/>
    </row>
    <row r="125" spans="1:44" ht="21.75" customHeight="1" outlineLevel="1">
      <c r="G125" s="109" t="s">
        <v>167</v>
      </c>
      <c r="H125" s="110" t="e">
        <f>_xll.DBR("tango_core_model:ST_LTP_TAXES_INTERESTS_RATES",$H$124,$P$2,$G$124,"Theoretical_tax_rate")</f>
        <v>#VALUE!</v>
      </c>
      <c r="I125" s="105"/>
      <c r="J125" s="104"/>
      <c r="K125" s="104"/>
      <c r="L125" s="104"/>
      <c r="M125" s="104"/>
      <c r="N125" s="104"/>
      <c r="O125" s="104"/>
      <c r="S125" s="105"/>
      <c r="T125" s="104"/>
      <c r="U125" s="104"/>
      <c r="V125" s="104"/>
      <c r="W125" s="104"/>
      <c r="X125" s="104"/>
      <c r="Y125" s="104"/>
      <c r="AJ125" s="43"/>
    </row>
    <row r="126" spans="1:44" ht="21.75" customHeight="1" outlineLevel="1">
      <c r="G126" s="109" t="s">
        <v>168</v>
      </c>
      <c r="H126" s="110">
        <v>8.9999999999999993E-3</v>
      </c>
      <c r="I126" s="105"/>
      <c r="J126" s="104"/>
      <c r="K126" s="104"/>
      <c r="L126" s="104"/>
      <c r="M126" s="104"/>
      <c r="N126" s="104"/>
      <c r="O126" s="104"/>
      <c r="S126" s="105"/>
      <c r="T126" s="104"/>
      <c r="U126" s="104"/>
      <c r="V126" s="104"/>
      <c r="W126" s="104"/>
      <c r="X126" s="104"/>
      <c r="Y126" s="104"/>
      <c r="AJ126" s="43"/>
    </row>
    <row r="127" spans="1:44" ht="21.75" customHeight="1" outlineLevel="1">
      <c r="G127" s="42" t="s">
        <v>169</v>
      </c>
      <c r="H127" s="105"/>
      <c r="I127" s="51" t="e">
        <f>(I33-I25)</f>
        <v>#VALUE!</v>
      </c>
      <c r="J127" s="51" t="e">
        <f t="shared" ref="J127:P127" si="80">(J33-J25)</f>
        <v>#VALUE!</v>
      </c>
      <c r="K127" s="51" t="e">
        <f t="shared" si="80"/>
        <v>#VALUE!</v>
      </c>
      <c r="L127" s="51" t="e">
        <f t="shared" si="80"/>
        <v>#VALUE!</v>
      </c>
      <c r="M127" s="51" t="e">
        <f t="shared" si="80"/>
        <v>#VALUE!</v>
      </c>
      <c r="N127" s="51" t="e">
        <f t="shared" si="80"/>
        <v>#VALUE!</v>
      </c>
      <c r="O127" s="51" t="e">
        <f t="shared" si="80"/>
        <v>#VALUE!</v>
      </c>
      <c r="P127" s="51" t="e">
        <f t="shared" si="80"/>
        <v>#VALUE!</v>
      </c>
      <c r="S127" s="51" t="e">
        <f>(S33-S25)</f>
        <v>#VALUE!</v>
      </c>
      <c r="T127" s="51" t="e">
        <f t="shared" ref="T127:Z127" si="81">(T33-T25)</f>
        <v>#VALUE!</v>
      </c>
      <c r="U127" s="51" t="e">
        <f t="shared" si="81"/>
        <v>#VALUE!</v>
      </c>
      <c r="V127" s="51" t="e">
        <f t="shared" si="81"/>
        <v>#VALUE!</v>
      </c>
      <c r="W127" s="51" t="e">
        <f t="shared" si="81"/>
        <v>#VALUE!</v>
      </c>
      <c r="X127" s="51" t="e">
        <f t="shared" si="81"/>
        <v>#VALUE!</v>
      </c>
      <c r="Y127" s="51" t="e">
        <f t="shared" si="81"/>
        <v>#VALUE!</v>
      </c>
      <c r="Z127" s="51" t="e">
        <f t="shared" si="81"/>
        <v>#VALUE!</v>
      </c>
      <c r="AJ127" s="43"/>
    </row>
    <row r="128" spans="1:44" ht="21.75" customHeight="1" outlineLevel="1">
      <c r="G128" s="42" t="s">
        <v>170</v>
      </c>
      <c r="H128" s="105"/>
      <c r="I128" s="51" t="e">
        <f>IF($G$124="Corporate",0,-$H$126*I24)</f>
        <v>#VALUE!</v>
      </c>
      <c r="J128" s="51" t="e">
        <f t="shared" ref="J128:P128" si="82">IF($G$124="Corporate",0,-$H$126*J24)</f>
        <v>#VALUE!</v>
      </c>
      <c r="K128" s="51" t="e">
        <f t="shared" si="82"/>
        <v>#VALUE!</v>
      </c>
      <c r="L128" s="51" t="e">
        <f t="shared" si="82"/>
        <v>#VALUE!</v>
      </c>
      <c r="M128" s="51" t="e">
        <f t="shared" si="82"/>
        <v>#VALUE!</v>
      </c>
      <c r="N128" s="51" t="e">
        <f t="shared" si="82"/>
        <v>#VALUE!</v>
      </c>
      <c r="O128" s="51" t="e">
        <f t="shared" si="82"/>
        <v>#VALUE!</v>
      </c>
      <c r="P128" s="51" t="e">
        <f t="shared" si="82"/>
        <v>#VALUE!</v>
      </c>
      <c r="S128" s="51" t="e">
        <f>IF($G$124="Corporate",0,-$H$126*S24)</f>
        <v>#VALUE!</v>
      </c>
      <c r="T128" s="51" t="e">
        <f t="shared" ref="T128:Z128" si="83">IF($G$124="Corporate",0,-$H$126*T24)</f>
        <v>#VALUE!</v>
      </c>
      <c r="U128" s="51" t="e">
        <f t="shared" si="83"/>
        <v>#VALUE!</v>
      </c>
      <c r="V128" s="51" t="e">
        <f t="shared" si="83"/>
        <v>#VALUE!</v>
      </c>
      <c r="W128" s="51" t="e">
        <f t="shared" si="83"/>
        <v>#VALUE!</v>
      </c>
      <c r="X128" s="51" t="e">
        <f t="shared" si="83"/>
        <v>#VALUE!</v>
      </c>
      <c r="Y128" s="51" t="e">
        <f t="shared" si="83"/>
        <v>#VALUE!</v>
      </c>
      <c r="Z128" s="51" t="e">
        <f t="shared" si="83"/>
        <v>#VALUE!</v>
      </c>
      <c r="AJ128" s="43"/>
    </row>
    <row r="129" spans="7:36" ht="21.75" customHeight="1" outlineLevel="1">
      <c r="G129" s="42" t="s">
        <v>171</v>
      </c>
      <c r="H129" s="106"/>
      <c r="I129" s="51" t="e">
        <f>SUM(I127:I128)</f>
        <v>#VALUE!</v>
      </c>
      <c r="J129" s="51" t="e">
        <f t="shared" ref="J129:P129" si="84">SUM(J127:J128)</f>
        <v>#VALUE!</v>
      </c>
      <c r="K129" s="51" t="e">
        <f t="shared" si="84"/>
        <v>#VALUE!</v>
      </c>
      <c r="L129" s="51" t="e">
        <f t="shared" si="84"/>
        <v>#VALUE!</v>
      </c>
      <c r="M129" s="51" t="e">
        <f t="shared" si="84"/>
        <v>#VALUE!</v>
      </c>
      <c r="N129" s="51" t="e">
        <f t="shared" si="84"/>
        <v>#VALUE!</v>
      </c>
      <c r="O129" s="51" t="e">
        <f t="shared" si="84"/>
        <v>#VALUE!</v>
      </c>
      <c r="P129" s="51" t="e">
        <f t="shared" si="84"/>
        <v>#VALUE!</v>
      </c>
      <c r="S129" s="51" t="e">
        <f>SUM(S127:S128)</f>
        <v>#VALUE!</v>
      </c>
      <c r="T129" s="51" t="e">
        <f t="shared" ref="T129:Z129" si="85">SUM(T127:T128)</f>
        <v>#VALUE!</v>
      </c>
      <c r="U129" s="51" t="e">
        <f t="shared" si="85"/>
        <v>#VALUE!</v>
      </c>
      <c r="V129" s="51" t="e">
        <f t="shared" si="85"/>
        <v>#VALUE!</v>
      </c>
      <c r="W129" s="51" t="e">
        <f t="shared" si="85"/>
        <v>#VALUE!</v>
      </c>
      <c r="X129" s="51" t="e">
        <f t="shared" si="85"/>
        <v>#VALUE!</v>
      </c>
      <c r="Y129" s="51" t="e">
        <f t="shared" si="85"/>
        <v>#VALUE!</v>
      </c>
      <c r="Z129" s="51" t="e">
        <f t="shared" si="85"/>
        <v>#VALUE!</v>
      </c>
      <c r="AJ129" s="43"/>
    </row>
    <row r="130" spans="7:36" ht="21.75" customHeight="1" outlineLevel="1">
      <c r="G130" s="42" t="s">
        <v>167</v>
      </c>
      <c r="H130" s="106"/>
      <c r="I130" s="51" t="e">
        <f>I129*-$H$125</f>
        <v>#VALUE!</v>
      </c>
      <c r="J130" s="51" t="e">
        <f t="shared" ref="J130:P130" si="86">J129*-$H$125</f>
        <v>#VALUE!</v>
      </c>
      <c r="K130" s="51" t="e">
        <f t="shared" si="86"/>
        <v>#VALUE!</v>
      </c>
      <c r="L130" s="51" t="e">
        <f t="shared" si="86"/>
        <v>#VALUE!</v>
      </c>
      <c r="M130" s="51" t="e">
        <f t="shared" si="86"/>
        <v>#VALUE!</v>
      </c>
      <c r="N130" s="51" t="e">
        <f t="shared" si="86"/>
        <v>#VALUE!</v>
      </c>
      <c r="O130" s="51" t="e">
        <f t="shared" si="86"/>
        <v>#VALUE!</v>
      </c>
      <c r="P130" s="51" t="e">
        <f t="shared" si="86"/>
        <v>#VALUE!</v>
      </c>
      <c r="S130" s="51" t="e">
        <f>S129*-$H$125</f>
        <v>#VALUE!</v>
      </c>
      <c r="T130" s="51" t="e">
        <f t="shared" ref="T130:Z130" si="87">T129*-$H$125</f>
        <v>#VALUE!</v>
      </c>
      <c r="U130" s="51" t="e">
        <f t="shared" si="87"/>
        <v>#VALUE!</v>
      </c>
      <c r="V130" s="51" t="e">
        <f t="shared" si="87"/>
        <v>#VALUE!</v>
      </c>
      <c r="W130" s="51" t="e">
        <f t="shared" si="87"/>
        <v>#VALUE!</v>
      </c>
      <c r="X130" s="51" t="e">
        <f t="shared" si="87"/>
        <v>#VALUE!</v>
      </c>
      <c r="Y130" s="51" t="e">
        <f t="shared" si="87"/>
        <v>#VALUE!</v>
      </c>
      <c r="Z130" s="51" t="e">
        <f t="shared" si="87"/>
        <v>#VALUE!</v>
      </c>
      <c r="AJ130" s="43"/>
    </row>
    <row r="131" spans="7:36" ht="21.75" customHeight="1" outlineLevel="1">
      <c r="G131" s="76" t="s">
        <v>172</v>
      </c>
      <c r="H131" s="111"/>
      <c r="I131" s="112" t="e">
        <f>SUM(I129:I130)</f>
        <v>#VALUE!</v>
      </c>
      <c r="J131" s="112" t="e">
        <f t="shared" ref="J131:P131" si="88">SUM(J129:J130)</f>
        <v>#VALUE!</v>
      </c>
      <c r="K131" s="112" t="e">
        <f t="shared" si="88"/>
        <v>#VALUE!</v>
      </c>
      <c r="L131" s="112" t="e">
        <f t="shared" si="88"/>
        <v>#VALUE!</v>
      </c>
      <c r="M131" s="112" t="e">
        <f t="shared" si="88"/>
        <v>#VALUE!</v>
      </c>
      <c r="N131" s="112" t="e">
        <f t="shared" si="88"/>
        <v>#VALUE!</v>
      </c>
      <c r="O131" s="112" t="e">
        <f t="shared" si="88"/>
        <v>#VALUE!</v>
      </c>
      <c r="P131" s="112" t="e">
        <f t="shared" si="88"/>
        <v>#VALUE!</v>
      </c>
      <c r="S131" s="112" t="e">
        <f>SUM(S129:S130)</f>
        <v>#VALUE!</v>
      </c>
      <c r="T131" s="112" t="e">
        <f t="shared" ref="T131:Z131" si="89">SUM(T129:T130)</f>
        <v>#VALUE!</v>
      </c>
      <c r="U131" s="112" t="e">
        <f t="shared" si="89"/>
        <v>#VALUE!</v>
      </c>
      <c r="V131" s="112" t="e">
        <f t="shared" si="89"/>
        <v>#VALUE!</v>
      </c>
      <c r="W131" s="112" t="e">
        <f t="shared" si="89"/>
        <v>#VALUE!</v>
      </c>
      <c r="X131" s="112" t="e">
        <f t="shared" si="89"/>
        <v>#VALUE!</v>
      </c>
      <c r="Y131" s="112" t="e">
        <f t="shared" si="89"/>
        <v>#VALUE!</v>
      </c>
      <c r="Z131" s="112" t="e">
        <f t="shared" si="89"/>
        <v>#VALUE!</v>
      </c>
      <c r="AJ131" s="43"/>
    </row>
    <row r="132" spans="7:36" ht="23.5" outlineLevel="1">
      <c r="G132" s="94" t="s">
        <v>173</v>
      </c>
      <c r="H132" s="94"/>
      <c r="I132" s="102"/>
      <c r="J132" s="102" t="e">
        <f>J131/AVERAGE(I94:J94)</f>
        <v>#VALUE!</v>
      </c>
      <c r="K132" s="102" t="e">
        <f t="shared" ref="K132:P132" si="90">K131/AVERAGE(J94:K94)</f>
        <v>#VALUE!</v>
      </c>
      <c r="L132" s="102" t="e">
        <f t="shared" si="90"/>
        <v>#VALUE!</v>
      </c>
      <c r="M132" s="102" t="e">
        <f t="shared" si="90"/>
        <v>#VALUE!</v>
      </c>
      <c r="N132" s="102" t="e">
        <f t="shared" si="90"/>
        <v>#VALUE!</v>
      </c>
      <c r="O132" s="102" t="e">
        <f t="shared" si="90"/>
        <v>#VALUE!</v>
      </c>
      <c r="P132" s="102" t="e">
        <f t="shared" si="90"/>
        <v>#VALUE!</v>
      </c>
      <c r="S132" s="102"/>
      <c r="T132" s="102" t="e">
        <f>T131/AVERAGE(S94:T94)</f>
        <v>#VALUE!</v>
      </c>
      <c r="U132" s="102" t="e">
        <f t="shared" ref="U132:Z132" si="91">U131/AVERAGE(T94:U94)</f>
        <v>#VALUE!</v>
      </c>
      <c r="V132" s="102" t="e">
        <f t="shared" si="91"/>
        <v>#VALUE!</v>
      </c>
      <c r="W132" s="102" t="e">
        <f t="shared" si="91"/>
        <v>#VALUE!</v>
      </c>
      <c r="X132" s="102" t="e">
        <f t="shared" si="91"/>
        <v>#VALUE!</v>
      </c>
      <c r="Y132" s="102" t="e">
        <f t="shared" si="91"/>
        <v>#VALUE!</v>
      </c>
      <c r="Z132" s="102" t="e">
        <f t="shared" si="91"/>
        <v>#VALUE!</v>
      </c>
    </row>
    <row r="133" spans="7:36" ht="18" customHeight="1" outlineLevel="1">
      <c r="I133" s="107"/>
      <c r="J133" s="107"/>
      <c r="K133" s="107"/>
      <c r="L133" s="107"/>
      <c r="M133" s="107"/>
      <c r="N133" s="107"/>
      <c r="O133" s="107"/>
      <c r="P133" s="107"/>
      <c r="S133" s="107"/>
      <c r="T133" s="107"/>
      <c r="U133" s="107"/>
      <c r="V133" s="107"/>
      <c r="W133" s="107"/>
      <c r="X133" s="107"/>
      <c r="Y133" s="107"/>
      <c r="Z133" s="107"/>
    </row>
    <row r="134" spans="7:36" ht="18" customHeight="1">
      <c r="J134" s="88"/>
      <c r="K134" s="88"/>
      <c r="L134" s="88"/>
      <c r="M134" s="88"/>
      <c r="N134" s="88"/>
      <c r="O134" s="88"/>
      <c r="P134" s="88"/>
      <c r="T134" s="88"/>
      <c r="U134" s="88"/>
      <c r="V134" s="88"/>
      <c r="W134" s="88"/>
      <c r="X134" s="88"/>
      <c r="Y134" s="88"/>
      <c r="Z134" s="88"/>
    </row>
    <row r="135" spans="7:36" ht="18" customHeight="1"/>
    <row r="136" spans="7:36" ht="18" customHeight="1"/>
    <row r="137" spans="7:36" ht="18" customHeight="1"/>
    <row r="138" spans="7:36" ht="18" customHeight="1"/>
    <row r="139" spans="7:36" ht="18" customHeight="1"/>
  </sheetData>
  <sheetProtection formatColumns="0" formatRows="0"/>
  <protectedRanges>
    <protectedRange sqref="AA26:AG28 AB51:AI51 Q24:R28 AA24:AI25" name="Plage1_1_1"/>
  </protectedRanges>
  <mergeCells count="96">
    <mergeCell ref="AB20:AI20"/>
    <mergeCell ref="G8:AI8"/>
    <mergeCell ref="G9:AI9"/>
    <mergeCell ref="G10:AI10"/>
    <mergeCell ref="S12:T12"/>
    <mergeCell ref="S13:T13"/>
    <mergeCell ref="S14:T14"/>
    <mergeCell ref="S15:T15"/>
    <mergeCell ref="S16:T16"/>
    <mergeCell ref="U12:V12"/>
    <mergeCell ref="U13:V13"/>
    <mergeCell ref="G123:H123"/>
    <mergeCell ref="G29:H29"/>
    <mergeCell ref="G30:H30"/>
    <mergeCell ref="G31:H31"/>
    <mergeCell ref="G42:H42"/>
    <mergeCell ref="G62:H62"/>
    <mergeCell ref="G54:H54"/>
    <mergeCell ref="G55:H55"/>
    <mergeCell ref="G56:H56"/>
    <mergeCell ref="G51:H51"/>
    <mergeCell ref="G52:H52"/>
    <mergeCell ref="G53:H53"/>
    <mergeCell ref="G58:H58"/>
    <mergeCell ref="G59:H59"/>
    <mergeCell ref="G60:H60"/>
    <mergeCell ref="G61:H61"/>
    <mergeCell ref="G21:H21"/>
    <mergeCell ref="G24:H24"/>
    <mergeCell ref="I20:P20"/>
    <mergeCell ref="S20:Z20"/>
    <mergeCell ref="G25:H25"/>
    <mergeCell ref="G26:H26"/>
    <mergeCell ref="G28:H28"/>
    <mergeCell ref="G27:H27"/>
    <mergeCell ref="G35:H35"/>
    <mergeCell ref="G32:H32"/>
    <mergeCell ref="G57:H57"/>
    <mergeCell ref="G79:H79"/>
    <mergeCell ref="G78:H78"/>
    <mergeCell ref="G77:H77"/>
    <mergeCell ref="G76:H76"/>
    <mergeCell ref="G74:H74"/>
    <mergeCell ref="G75:H75"/>
    <mergeCell ref="G39:H39"/>
    <mergeCell ref="G40:H40"/>
    <mergeCell ref="G48:H48"/>
    <mergeCell ref="G50:H50"/>
    <mergeCell ref="G41:H41"/>
    <mergeCell ref="G43:H43"/>
    <mergeCell ref="G44:H44"/>
    <mergeCell ref="G45:H45"/>
    <mergeCell ref="G36:H36"/>
    <mergeCell ref="G38:H38"/>
    <mergeCell ref="G33:H33"/>
    <mergeCell ref="G85:H85"/>
    <mergeCell ref="G63:H63"/>
    <mergeCell ref="G64:H64"/>
    <mergeCell ref="G65:H65"/>
    <mergeCell ref="G66:H66"/>
    <mergeCell ref="G72:H72"/>
    <mergeCell ref="G80:H80"/>
    <mergeCell ref="G67:H67"/>
    <mergeCell ref="G68:H68"/>
    <mergeCell ref="G69:H69"/>
    <mergeCell ref="G70:H70"/>
    <mergeCell ref="G71:H71"/>
    <mergeCell ref="G73:H73"/>
    <mergeCell ref="G105:H105"/>
    <mergeCell ref="G115:H115"/>
    <mergeCell ref="G99:H99"/>
    <mergeCell ref="G100:H100"/>
    <mergeCell ref="G101:H101"/>
    <mergeCell ref="G102:H102"/>
    <mergeCell ref="G103:H103"/>
    <mergeCell ref="G104:H104"/>
    <mergeCell ref="G108:H108"/>
    <mergeCell ref="G111:H111"/>
    <mergeCell ref="G112:H112"/>
    <mergeCell ref="G113:H113"/>
    <mergeCell ref="G110:H110"/>
    <mergeCell ref="G81:H81"/>
    <mergeCell ref="G82:H82"/>
    <mergeCell ref="G87:H87"/>
    <mergeCell ref="G89:H89"/>
    <mergeCell ref="G90:H90"/>
    <mergeCell ref="G84:H84"/>
    <mergeCell ref="G96:H96"/>
    <mergeCell ref="G98:H98"/>
    <mergeCell ref="G95:H95"/>
    <mergeCell ref="G97:H97"/>
    <mergeCell ref="G83:H83"/>
    <mergeCell ref="G91:H91"/>
    <mergeCell ref="G92:H92"/>
    <mergeCell ref="G93:H93"/>
    <mergeCell ref="G94:H94"/>
  </mergeCells>
  <conditionalFormatting sqref="I106:P106">
    <cfRule type="expression" dxfId="2" priority="4" stopIfTrue="1">
      <formula>ABS(I106)&gt;0.1</formula>
    </cfRule>
  </conditionalFormatting>
  <conditionalFormatting sqref="S106:Z106">
    <cfRule type="expression" dxfId="1" priority="2" stopIfTrue="1">
      <formula>ABS(S106)&gt;0.1</formula>
    </cfRule>
  </conditionalFormatting>
  <conditionalFormatting sqref="AB106:AI106">
    <cfRule type="expression" dxfId="0" priority="1" stopIfTrue="1">
      <formula>ABS(AB106)&gt;0.1</formula>
    </cfRule>
  </conditionalFormatting>
  <dataValidations disablePrompts="1" count="2">
    <dataValidation type="list" allowBlank="1" showInputMessage="1" showErrorMessage="1" sqref="H18" xr:uid="{00000000-0002-0000-0100-000000000000}">
      <formula1>Language</formula1>
    </dataValidation>
    <dataValidation type="list" allowBlank="1" showInputMessage="1" showErrorMessage="1" sqref="H15 U15" xr:uid="{00000000-0002-0000-0100-000001000000}">
      <formula1>ActivityList</formula1>
    </dataValidation>
  </dataValidations>
  <hyperlinks>
    <hyperlink ref="F19" location="'Operating Lease'!A1" display="'Operating Lease'!A1" xr:uid="{00000000-0004-0000-0100-000000000000}"/>
    <hyperlink ref="E19" location="'Operating Lease'!A1" display="'Operating Lease'!A1" xr:uid="{00000000-0004-0000-0100-000001000000}"/>
    <hyperlink ref="F18" location="Capex!A1" display="Capex" xr:uid="{00000000-0004-0000-0100-000002000000}"/>
    <hyperlink ref="F17" location="Context!A1" display="Context!A1" xr:uid="{00000000-0004-0000-0100-000003000000}"/>
    <hyperlink ref="G19" location="'Operating Lease'!A1" display="'Operating Lease'!A1" xr:uid="{00000000-0004-0000-0100-000004000000}"/>
    <hyperlink ref="G18" location="Capex!A1" display="Capex" xr:uid="{00000000-0004-0000-0100-000005000000}"/>
    <hyperlink ref="G17" location="Context!A1" display="Context!A1" xr:uid="{00000000-0004-0000-0100-000006000000}"/>
  </hyperlinks>
  <printOptions horizontalCentered="1"/>
  <pageMargins left="0.25" right="0.25" top="0.75" bottom="0.75" header="0.3" footer="0.3"/>
  <pageSetup paperSize="9" scale="17" orientation="landscape" r:id="rId1"/>
  <headerFooter scaleWithDoc="0">
    <oddFooter>&amp;L&amp;8&amp;D&amp;CConfidentiel  -  Direction Financière&amp;R&amp;8&amp;P</oddFooter>
  </headerFooter>
  <ignoredErrors>
    <ignoredError sqref="I37:P37 G37 J53:P53 I62:P62 I64:P64 I67:P67 I76:P76 I27:Q27 G34:P34 S34:Z35 S37:Z37 S62:Z69 S76:Z77 G27" formula="1"/>
    <ignoredError sqref="H13 U13 H15:H18 U15:U16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71"/>
  <sheetViews>
    <sheetView topLeftCell="B1" workbookViewId="0"/>
  </sheetViews>
  <sheetFormatPr baseColWidth="10" defaultColWidth="9.1796875" defaultRowHeight="12.5"/>
  <cols>
    <col min="1" max="1" width="19.453125" hidden="1" customWidth="1"/>
    <col min="4" max="4" width="46.81640625" bestFit="1" customWidth="1"/>
    <col min="5" max="5" width="10.54296875" bestFit="1" customWidth="1"/>
    <col min="6" max="6" width="10.54296875" customWidth="1"/>
    <col min="7" max="7" width="10.54296875" hidden="1" customWidth="1"/>
    <col min="8" max="8" width="0" hidden="1" customWidth="1"/>
  </cols>
  <sheetData>
    <row r="1" spans="1:7">
      <c r="A1" t="s">
        <v>73</v>
      </c>
    </row>
    <row r="2" spans="1:7" ht="13">
      <c r="A2">
        <f>0</f>
        <v>0</v>
      </c>
      <c r="D2" s="19"/>
      <c r="E2" s="3"/>
      <c r="F2" s="3"/>
      <c r="G2" s="5"/>
    </row>
    <row r="3" spans="1:7">
      <c r="A3">
        <f>1</f>
        <v>1</v>
      </c>
      <c r="D3" s="20"/>
      <c r="E3" s="4"/>
      <c r="F3" s="4"/>
      <c r="G3" s="6"/>
    </row>
    <row r="4" spans="1:7">
      <c r="A4">
        <f>2</f>
        <v>2</v>
      </c>
      <c r="D4" s="20"/>
      <c r="E4" s="4"/>
      <c r="F4" s="4"/>
      <c r="G4" s="6"/>
    </row>
    <row r="5" spans="1:7">
      <c r="A5">
        <f>3</f>
        <v>3</v>
      </c>
      <c r="D5" s="20"/>
      <c r="E5" s="4"/>
      <c r="F5" s="4"/>
      <c r="G5" s="6"/>
    </row>
    <row r="6" spans="1:7">
      <c r="A6" t="s">
        <v>71</v>
      </c>
      <c r="D6" s="20"/>
      <c r="E6" s="4"/>
      <c r="F6" s="4"/>
      <c r="G6" s="6"/>
    </row>
    <row r="7" spans="1:7">
      <c r="A7" t="s">
        <v>72</v>
      </c>
      <c r="D7" s="20"/>
      <c r="G7" s="7"/>
    </row>
    <row r="8" spans="1:7">
      <c r="A8" t="s">
        <v>74</v>
      </c>
    </row>
    <row r="15" spans="1:7">
      <c r="D15" t="str">
        <f>_xll.TM1RPTVIEW(Server&amp;"TC_CONTROL_LEGAL_ACTIVITY:ARPT1", 1,TM1RPTFMTRNG,TM1RPTFMTIDCOL)</f>
        <v>tango_core_model:TC_CONTROL_LEGAL_ACTIVITY:ARPT1</v>
      </c>
    </row>
    <row r="16" spans="1:7">
      <c r="D16" t="e">
        <f>"{[Legal_Organization].["&amp;$F$18&amp;"]}"</f>
        <v>#N/A</v>
      </c>
    </row>
    <row r="18" spans="1:7">
      <c r="F18" t="e">
        <f>_xll.SUBNM(Server&amp;"Legal_Organization","",Output!$H$14,Output!$H$18)</f>
        <v>#N/A</v>
      </c>
    </row>
    <row r="19" spans="1:7" ht="13">
      <c r="G19" s="2" t="s">
        <v>70</v>
      </c>
    </row>
    <row r="20" spans="1:7" ht="13">
      <c r="A20" t="e">
        <f ca="1">IF(_xll.TM1RPTELISCONSOLIDATED($E$20,$E20),IF(_xll.TM1RPTELLEV($E$20,$E20)&lt;=3,_xll.TM1RPTELLEV($E$20,$E20),"D"),"N")</f>
        <v>#VALUE!</v>
      </c>
      <c r="D20" s="177" t="e">
        <f>_xll.TM1RPTROW($D$15,Server&amp;"Legal_Organization","","",Output!$H$18,0,$D$16,,1)</f>
        <v>#VALUE!</v>
      </c>
      <c r="E20" s="179" t="str">
        <f ca="1">_xll.TM1RPTROW($D$15,Server&amp;"Activity","",,"",0)</f>
        <v>pending__2 - Plan Output Comparison (light).xlsm:Control:TM1RPTDATARNG:ARPT1</v>
      </c>
      <c r="F20" s="3" t="e">
        <f ca="1">_xll.DBRA(Server&amp;"Activity",$E20,Output!$H$18)</f>
        <v>#VALUE!</v>
      </c>
      <c r="G20" s="5" t="e">
        <f>_xll.DBRW($D$15,$D20,$E20,G$19)</f>
        <v>#VALUE!</v>
      </c>
    </row>
    <row r="21" spans="1:7">
      <c r="A21" t="e">
        <f ca="1">IF(_xll.TM1RPTELISCONSOLIDATED($E$20,$E21),IF(_xll.TM1RPTELLEV($E$20,$E21)&lt;=3,_xll.TM1RPTELLEV($E$20,$E21),"D"),"N")</f>
        <v>#VALUE!</v>
      </c>
      <c r="D21" s="178" t="s">
        <v>175</v>
      </c>
      <c r="E21" s="180" t="s">
        <v>159</v>
      </c>
      <c r="F21" s="4" t="e">
        <f>_xll.DBRA(Server&amp;"Activity",$E21,Output!$H$18)</f>
        <v>#N/A</v>
      </c>
      <c r="G21" s="6" t="str">
        <f>_xll.DBRW($D$15,$D21,$E21,G$19)</f>
        <v>1</v>
      </c>
    </row>
    <row r="22" spans="1:7">
      <c r="A22" t="e">
        <f ca="1">IF(_xll.TM1RPTELISCONSOLIDATED($E$20,$E22),IF(_xll.TM1RPTELLEV($E$20,$E22)&lt;=3,_xll.TM1RPTELLEV($E$20,$E22),"D"),"N")</f>
        <v>#VALUE!</v>
      </c>
      <c r="D22" s="178" t="s">
        <v>175</v>
      </c>
      <c r="E22" s="87" t="s">
        <v>160</v>
      </c>
      <c r="F22" t="e">
        <f>_xll.DBRA(Server&amp;"Activity",$E22,Output!$H$18)</f>
        <v>#N/A</v>
      </c>
      <c r="G22" s="7" t="str">
        <f>_xll.DBRW($D$15,$D22,$E22,G$19)</f>
        <v>1</v>
      </c>
    </row>
    <row r="23" spans="1:7">
      <c r="A23" t="e">
        <f ca="1">IF(_xll.TM1RPTELISCONSOLIDATED($E$20,$E23),IF(_xll.TM1RPTELLEV($E$20,$E23)&lt;=3,_xll.TM1RPTELLEV($E$20,$E23),"D"),"N")</f>
        <v>#VALUE!</v>
      </c>
      <c r="D23" s="178" t="s">
        <v>175</v>
      </c>
      <c r="E23" s="87" t="s">
        <v>161</v>
      </c>
      <c r="F23" t="e">
        <f>_xll.DBRA(Server&amp;"Activity",$E23,Output!$H$18)</f>
        <v>#N/A</v>
      </c>
      <c r="G23" s="7" t="str">
        <f>_xll.DBRW($D$15,$D23,$E23,G$19)</f>
        <v>1</v>
      </c>
    </row>
    <row r="24" spans="1:7">
      <c r="A24" t="e">
        <f ca="1">IF(_xll.TM1RPTELISCONSOLIDATED($E$20,$E24),IF(_xll.TM1RPTELLEV($E$20,$E24)&lt;=3,_xll.TM1RPTELLEV($E$20,$E24),"D"),"N")</f>
        <v>#VALUE!</v>
      </c>
      <c r="D24" s="178" t="s">
        <v>175</v>
      </c>
      <c r="E24" s="87" t="s">
        <v>162</v>
      </c>
      <c r="F24" t="e">
        <f>_xll.DBRA(Server&amp;"Activity",$E24,Output!$H$18)</f>
        <v>#N/A</v>
      </c>
      <c r="G24" s="7" t="str">
        <f>_xll.DBRW($D$15,$D24,$E24,G$19)</f>
        <v>1</v>
      </c>
    </row>
    <row r="25" spans="1:7">
      <c r="A25" t="e">
        <f ca="1">IF(_xll.TM1RPTELISCONSOLIDATED($E$20,$E25),IF(_xll.TM1RPTELLEV($E$20,$E25)&lt;=3,_xll.TM1RPTELLEV($E$20,$E25),"D"),"N")</f>
        <v>#VALUE!</v>
      </c>
      <c r="D25" s="178" t="s">
        <v>175</v>
      </c>
      <c r="E25" s="87" t="s">
        <v>176</v>
      </c>
      <c r="F25" t="e">
        <f>_xll.DBRA(Server&amp;"Activity",$E25,Output!$H$18)</f>
        <v>#N/A</v>
      </c>
      <c r="G25" s="7" t="str">
        <f>_xll.DBRW($D$15,$D25,$E25,G$19)</f>
        <v>1</v>
      </c>
    </row>
    <row r="26" spans="1:7">
      <c r="A26" t="e">
        <f ca="1">IF(_xll.TM1RPTELISCONSOLIDATED($E$20,$E26),IF(_xll.TM1RPTELLEV($E$20,$E26)&lt;=3,_xll.TM1RPTELLEV($E$20,$E26),"D"),"N")</f>
        <v>#VALUE!</v>
      </c>
      <c r="D26" s="178" t="s">
        <v>175</v>
      </c>
      <c r="E26" s="87" t="s">
        <v>177</v>
      </c>
      <c r="F26" t="e">
        <f>_xll.DBRA(Server&amp;"Activity",$E26,Output!$H$18)</f>
        <v>#N/A</v>
      </c>
      <c r="G26" s="7" t="str">
        <f>_xll.DBRW($D$15,$D26,$E26,G$19)</f>
        <v>1</v>
      </c>
    </row>
    <row r="27" spans="1:7">
      <c r="A27" t="e">
        <f ca="1">IF(_xll.TM1RPTELISCONSOLIDATED($E$20,$E27),IF(_xll.TM1RPTELLEV($E$20,$E27)&lt;=3,_xll.TM1RPTELLEV($E$20,$E27),"D"),"N")</f>
        <v>#VALUE!</v>
      </c>
      <c r="D27" s="178" t="s">
        <v>175</v>
      </c>
      <c r="E27" s="87" t="s">
        <v>178</v>
      </c>
      <c r="F27" t="e">
        <f>_xll.DBRA(Server&amp;"Activity",$E27,Output!$H$18)</f>
        <v>#N/A</v>
      </c>
      <c r="G27" s="7" t="str">
        <f>_xll.DBRW($D$15,$D27,$E27,G$19)</f>
        <v>1</v>
      </c>
    </row>
    <row r="28" spans="1:7">
      <c r="A28" t="e">
        <f ca="1">IF(_xll.TM1RPTELISCONSOLIDATED($E$20,$E28),IF(_xll.TM1RPTELLEV($E$20,$E28)&lt;=3,_xll.TM1RPTELLEV($E$20,$E28),"D"),"N")</f>
        <v>#VALUE!</v>
      </c>
      <c r="D28" s="178" t="s">
        <v>175</v>
      </c>
      <c r="E28" s="87" t="s">
        <v>179</v>
      </c>
      <c r="F28" t="e">
        <f>_xll.DBRA(Server&amp;"Activity",$E28,Output!$H$18)</f>
        <v>#N/A</v>
      </c>
      <c r="G28" s="7" t="str">
        <f>_xll.DBRW($D$15,$D28,$E28,G$19)</f>
        <v>1</v>
      </c>
    </row>
    <row r="29" spans="1:7">
      <c r="A29" t="e">
        <f ca="1">IF(_xll.TM1RPTELISCONSOLIDATED($E$20,$E29),IF(_xll.TM1RPTELLEV($E$20,$E29)&lt;=3,_xll.TM1RPTELLEV($E$20,$E29),"D"),"N")</f>
        <v>#VALUE!</v>
      </c>
      <c r="D29" s="178" t="s">
        <v>175</v>
      </c>
      <c r="E29" s="87" t="s">
        <v>180</v>
      </c>
      <c r="F29" t="e">
        <f>_xll.DBRA(Server&amp;"Activity",$E29,Output!$H$18)</f>
        <v>#N/A</v>
      </c>
      <c r="G29" s="7" t="str">
        <f>_xll.DBRW($D$15,$D29,$E29,G$19)</f>
        <v>1</v>
      </c>
    </row>
    <row r="30" spans="1:7">
      <c r="A30" t="e">
        <f ca="1">IF(_xll.TM1RPTELISCONSOLIDATED($E$20,$E30),IF(_xll.TM1RPTELLEV($E$20,$E30)&lt;=3,_xll.TM1RPTELLEV($E$20,$E30),"D"),"N")</f>
        <v>#VALUE!</v>
      </c>
      <c r="D30" s="178" t="s">
        <v>175</v>
      </c>
      <c r="E30" s="180" t="s">
        <v>181</v>
      </c>
      <c r="F30" s="4" t="e">
        <f>_xll.DBRA(Server&amp;"Activity",$E30,Output!$H$18)</f>
        <v>#N/A</v>
      </c>
      <c r="G30" s="6" t="str">
        <f>_xll.DBRW($D$15,$D30,$E30,G$19)</f>
        <v>1</v>
      </c>
    </row>
    <row r="31" spans="1:7">
      <c r="A31" t="e">
        <f ca="1">IF(_xll.TM1RPTELISCONSOLIDATED($E$20,$E31),IF(_xll.TM1RPTELLEV($E$20,$E31)&lt;=3,_xll.TM1RPTELLEV($E$20,$E31),"D"),"N")</f>
        <v>#VALUE!</v>
      </c>
      <c r="D31" s="178" t="s">
        <v>175</v>
      </c>
      <c r="E31" s="87" t="s">
        <v>182</v>
      </c>
      <c r="F31" t="e">
        <f>_xll.DBRA(Server&amp;"Activity",$E31,Output!$H$18)</f>
        <v>#N/A</v>
      </c>
      <c r="G31" s="7" t="str">
        <f>_xll.DBRW($D$15,$D31,$E31,G$19)</f>
        <v>1</v>
      </c>
    </row>
    <row r="32" spans="1:7">
      <c r="A32" t="e">
        <f ca="1">IF(_xll.TM1RPTELISCONSOLIDATED($E$20,$E32),IF(_xll.TM1RPTELLEV($E$20,$E32)&lt;=3,_xll.TM1RPTELLEV($E$20,$E32),"D"),"N")</f>
        <v>#VALUE!</v>
      </c>
      <c r="D32" s="178" t="s">
        <v>175</v>
      </c>
      <c r="E32" s="87" t="s">
        <v>183</v>
      </c>
      <c r="F32" t="e">
        <f>_xll.DBRA(Server&amp;"Activity",$E32,Output!$H$18)</f>
        <v>#N/A</v>
      </c>
      <c r="G32" s="7" t="str">
        <f>_xll.DBRW($D$15,$D32,$E32,G$19)</f>
        <v>1</v>
      </c>
    </row>
    <row r="33" spans="1:7">
      <c r="A33" t="e">
        <f ca="1">IF(_xll.TM1RPTELISCONSOLIDATED($E$20,$E33),IF(_xll.TM1RPTELLEV($E$20,$E33)&lt;=3,_xll.TM1RPTELLEV($E$20,$E33),"D"),"N")</f>
        <v>#VALUE!</v>
      </c>
      <c r="D33" s="178" t="s">
        <v>175</v>
      </c>
      <c r="E33" s="87" t="s">
        <v>184</v>
      </c>
      <c r="F33" t="e">
        <f>_xll.DBRA(Server&amp;"Activity",$E33,Output!$H$18)</f>
        <v>#N/A</v>
      </c>
      <c r="G33" s="7" t="str">
        <f>_xll.DBRW($D$15,$D33,$E33,G$19)</f>
        <v>1</v>
      </c>
    </row>
    <row r="34" spans="1:7">
      <c r="A34" t="e">
        <f ca="1">IF(_xll.TM1RPTELISCONSOLIDATED($E$20,$E34),IF(_xll.TM1RPTELLEV($E$20,$E34)&lt;=3,_xll.TM1RPTELLEV($E$20,$E34),"D"),"N")</f>
        <v>#VALUE!</v>
      </c>
      <c r="D34" s="178" t="s">
        <v>175</v>
      </c>
      <c r="E34" s="87" t="s">
        <v>185</v>
      </c>
      <c r="F34" t="e">
        <f>_xll.DBRA(Server&amp;"Activity",$E34,Output!$H$18)</f>
        <v>#N/A</v>
      </c>
      <c r="G34" s="7" t="str">
        <f>_xll.DBRW($D$15,$D34,$E34,G$19)</f>
        <v>1</v>
      </c>
    </row>
    <row r="35" spans="1:7">
      <c r="A35" t="e">
        <f ca="1">IF(_xll.TM1RPTELISCONSOLIDATED($E$20,$E35),IF(_xll.TM1RPTELLEV($E$20,$E35)&lt;=3,_xll.TM1RPTELLEV($E$20,$E35),"D"),"N")</f>
        <v>#VALUE!</v>
      </c>
      <c r="D35" s="178" t="s">
        <v>175</v>
      </c>
      <c r="E35" s="180" t="s">
        <v>186</v>
      </c>
      <c r="F35" s="4" t="e">
        <f>_xll.DBRA(Server&amp;"Activity",$E35,Output!$H$18)</f>
        <v>#N/A</v>
      </c>
      <c r="G35" s="6" t="str">
        <f>_xll.DBRW($D$15,$D35,$E35,G$19)</f>
        <v>1</v>
      </c>
    </row>
    <row r="36" spans="1:7">
      <c r="A36" t="e">
        <f ca="1">IF(_xll.TM1RPTELISCONSOLIDATED($E$20,$E36),IF(_xll.TM1RPTELLEV($E$20,$E36)&lt;=3,_xll.TM1RPTELLEV($E$20,$E36),"D"),"N")</f>
        <v>#VALUE!</v>
      </c>
      <c r="D36" s="178" t="s">
        <v>175</v>
      </c>
      <c r="E36" s="87" t="s">
        <v>187</v>
      </c>
      <c r="F36" t="e">
        <f>_xll.DBRA(Server&amp;"Activity",$E36,Output!$H$18)</f>
        <v>#N/A</v>
      </c>
      <c r="G36" s="7" t="str">
        <f>_xll.DBRW($D$15,$D36,$E36,G$19)</f>
        <v>1</v>
      </c>
    </row>
    <row r="37" spans="1:7">
      <c r="A37" t="e">
        <f ca="1">IF(_xll.TM1RPTELISCONSOLIDATED($E$20,$E37),IF(_xll.TM1RPTELLEV($E$20,$E37)&lt;=3,_xll.TM1RPTELLEV($E$20,$E37),"D"),"N")</f>
        <v>#VALUE!</v>
      </c>
      <c r="D37" s="178" t="s">
        <v>175</v>
      </c>
      <c r="E37" s="87" t="s">
        <v>188</v>
      </c>
      <c r="F37" t="e">
        <f>_xll.DBRA(Server&amp;"Activity",$E37,Output!$H$18)</f>
        <v>#N/A</v>
      </c>
      <c r="G37" s="7" t="str">
        <f>_xll.DBRW($D$15,$D37,$E37,G$19)</f>
        <v>1</v>
      </c>
    </row>
    <row r="38" spans="1:7">
      <c r="A38" t="e">
        <f ca="1">IF(_xll.TM1RPTELISCONSOLIDATED($E$20,$E38),IF(_xll.TM1RPTELLEV($E$20,$E38)&lt;=3,_xll.TM1RPTELLEV($E$20,$E38),"D"),"N")</f>
        <v>#VALUE!</v>
      </c>
      <c r="D38" s="178" t="s">
        <v>175</v>
      </c>
      <c r="E38" s="87" t="s">
        <v>189</v>
      </c>
      <c r="F38" t="e">
        <f>_xll.DBRA(Server&amp;"Activity",$E38,Output!$H$18)</f>
        <v>#N/A</v>
      </c>
      <c r="G38" s="7" t="str">
        <f>_xll.DBRW($D$15,$D38,$E38,G$19)</f>
        <v>1</v>
      </c>
    </row>
    <row r="39" spans="1:7">
      <c r="A39" t="e">
        <f ca="1">IF(_xll.TM1RPTELISCONSOLIDATED($E$20,$E39),IF(_xll.TM1RPTELLEV($E$20,$E39)&lt;=3,_xll.TM1RPTELLEV($E$20,$E39),"D"),"N")</f>
        <v>#VALUE!</v>
      </c>
      <c r="D39" s="178" t="s">
        <v>175</v>
      </c>
      <c r="E39" s="180" t="s">
        <v>190</v>
      </c>
      <c r="F39" s="4" t="e">
        <f>_xll.DBRA(Server&amp;"Activity",$E39,Output!$H$18)</f>
        <v>#N/A</v>
      </c>
      <c r="G39" s="6" t="str">
        <f>_xll.DBRW($D$15,$D39,$E39,G$19)</f>
        <v>1</v>
      </c>
    </row>
    <row r="40" spans="1:7">
      <c r="A40" t="e">
        <f ca="1">IF(_xll.TM1RPTELISCONSOLIDATED($E$20,$E40),IF(_xll.TM1RPTELLEV($E$20,$E40)&lt;=3,_xll.TM1RPTELLEV($E$20,$E40),"D"),"N")</f>
        <v>#VALUE!</v>
      </c>
      <c r="D40" s="178" t="s">
        <v>175</v>
      </c>
      <c r="E40" s="87" t="s">
        <v>191</v>
      </c>
      <c r="F40" t="e">
        <f>_xll.DBRA(Server&amp;"Activity",$E40,Output!$H$18)</f>
        <v>#N/A</v>
      </c>
      <c r="G40" s="7" t="str">
        <f>_xll.DBRW($D$15,$D40,$E40,G$19)</f>
        <v>1</v>
      </c>
    </row>
    <row r="41" spans="1:7">
      <c r="A41" t="e">
        <f ca="1">IF(_xll.TM1RPTELISCONSOLIDATED($E$20,$E41),IF(_xll.TM1RPTELLEV($E$20,$E41)&lt;=3,_xll.TM1RPTELLEV($E$20,$E41),"D"),"N")</f>
        <v>#VALUE!</v>
      </c>
      <c r="D41" s="178" t="s">
        <v>175</v>
      </c>
      <c r="E41" s="87" t="s">
        <v>192</v>
      </c>
      <c r="F41" t="e">
        <f>_xll.DBRA(Server&amp;"Activity",$E41,Output!$H$18)</f>
        <v>#N/A</v>
      </c>
      <c r="G41" s="7" t="str">
        <f>_xll.DBRW($D$15,$D41,$E41,G$19)</f>
        <v>1</v>
      </c>
    </row>
    <row r="42" spans="1:7">
      <c r="A42" t="e">
        <f ca="1">IF(_xll.TM1RPTELISCONSOLIDATED($E$20,$E42),IF(_xll.TM1RPTELLEV($E$20,$E42)&lt;=3,_xll.TM1RPTELLEV($E$20,$E42),"D"),"N")</f>
        <v>#VALUE!</v>
      </c>
      <c r="D42" s="178" t="s">
        <v>175</v>
      </c>
      <c r="E42" s="87" t="s">
        <v>193</v>
      </c>
      <c r="F42" t="e">
        <f>_xll.DBRA(Server&amp;"Activity",$E42,Output!$H$18)</f>
        <v>#N/A</v>
      </c>
      <c r="G42" s="7" t="str">
        <f>_xll.DBRW($D$15,$D42,$E42,G$19)</f>
        <v>1</v>
      </c>
    </row>
    <row r="43" spans="1:7">
      <c r="A43" t="e">
        <f ca="1">IF(_xll.TM1RPTELISCONSOLIDATED($E$20,$E43),IF(_xll.TM1RPTELLEV($E$20,$E43)&lt;=3,_xll.TM1RPTELLEV($E$20,$E43),"D"),"N")</f>
        <v>#VALUE!</v>
      </c>
      <c r="D43" s="178" t="s">
        <v>175</v>
      </c>
      <c r="E43" s="87" t="s">
        <v>194</v>
      </c>
      <c r="F43" t="e">
        <f>_xll.DBRA(Server&amp;"Activity",$E43,Output!$H$18)</f>
        <v>#N/A</v>
      </c>
      <c r="G43" s="7" t="str">
        <f>_xll.DBRW($D$15,$D43,$E43,G$19)</f>
        <v>1</v>
      </c>
    </row>
    <row r="44" spans="1:7">
      <c r="A44" t="e">
        <f ca="1">IF(_xll.TM1RPTELISCONSOLIDATED($E$20,$E44),IF(_xll.TM1RPTELLEV($E$20,$E44)&lt;=3,_xll.TM1RPTELLEV($E$20,$E44),"D"),"N")</f>
        <v>#VALUE!</v>
      </c>
      <c r="D44" s="178" t="s">
        <v>175</v>
      </c>
      <c r="E44" s="87" t="s">
        <v>195</v>
      </c>
      <c r="F44" t="e">
        <f>_xll.DBRA(Server&amp;"Activity",$E44,Output!$H$18)</f>
        <v>#N/A</v>
      </c>
      <c r="G44" s="7" t="str">
        <f>_xll.DBRW($D$15,$D44,$E44,G$19)</f>
        <v>1</v>
      </c>
    </row>
    <row r="45" spans="1:7">
      <c r="A45" t="e">
        <f ca="1">IF(_xll.TM1RPTELISCONSOLIDATED($E$20,$E45),IF(_xll.TM1RPTELLEV($E$20,$E45)&lt;=3,_xll.TM1RPTELLEV($E$20,$E45),"D"),"N")</f>
        <v>#VALUE!</v>
      </c>
      <c r="D45" s="178" t="s">
        <v>175</v>
      </c>
      <c r="E45" s="87" t="s">
        <v>196</v>
      </c>
      <c r="F45" t="e">
        <f>_xll.DBRA(Server&amp;"Activity",$E45,Output!$H$18)</f>
        <v>#N/A</v>
      </c>
      <c r="G45" s="7" t="str">
        <f>_xll.DBRW($D$15,$D45,$E45,G$19)</f>
        <v>1</v>
      </c>
    </row>
    <row r="46" spans="1:7">
      <c r="A46" t="e">
        <f ca="1">IF(_xll.TM1RPTELISCONSOLIDATED($E$20,$E46),IF(_xll.TM1RPTELLEV($E$20,$E46)&lt;=3,_xll.TM1RPTELLEV($E$20,$E46),"D"),"N")</f>
        <v>#VALUE!</v>
      </c>
      <c r="D46" s="178" t="s">
        <v>175</v>
      </c>
      <c r="E46" s="87" t="s">
        <v>197</v>
      </c>
      <c r="F46" t="e">
        <f>_xll.DBRA(Server&amp;"Activity",$E46,Output!$H$18)</f>
        <v>#N/A</v>
      </c>
      <c r="G46" s="7" t="str">
        <f>_xll.DBRW($D$15,$D46,$E46,G$19)</f>
        <v>1</v>
      </c>
    </row>
    <row r="47" spans="1:7">
      <c r="A47" t="e">
        <f ca="1">IF(_xll.TM1RPTELISCONSOLIDATED($E$20,$E47),IF(_xll.TM1RPTELLEV($E$20,$E47)&lt;=3,_xll.TM1RPTELLEV($E$20,$E47),"D"),"N")</f>
        <v>#VALUE!</v>
      </c>
      <c r="D47" s="178" t="s">
        <v>175</v>
      </c>
      <c r="E47" s="180" t="s">
        <v>198</v>
      </c>
      <c r="F47" s="4" t="e">
        <f>_xll.DBRA(Server&amp;"Activity",$E47,Output!$H$18)</f>
        <v>#N/A</v>
      </c>
      <c r="G47" s="6" t="str">
        <f>_xll.DBRW($D$15,$D47,$E47,G$19)</f>
        <v>1</v>
      </c>
    </row>
    <row r="48" spans="1:7">
      <c r="A48" t="e">
        <f ca="1">IF(_xll.TM1RPTELISCONSOLIDATED($E$20,$E48),IF(_xll.TM1RPTELLEV($E$20,$E48)&lt;=3,_xll.TM1RPTELLEV($E$20,$E48),"D"),"N")</f>
        <v>#VALUE!</v>
      </c>
      <c r="D48" s="178" t="s">
        <v>175</v>
      </c>
      <c r="E48" s="87" t="s">
        <v>199</v>
      </c>
      <c r="F48" t="e">
        <f>_xll.DBRA(Server&amp;"Activity",$E48,Output!$H$18)</f>
        <v>#N/A</v>
      </c>
      <c r="G48" s="7" t="str">
        <f>_xll.DBRW($D$15,$D48,$E48,G$19)</f>
        <v>1</v>
      </c>
    </row>
    <row r="49" spans="1:7">
      <c r="A49" t="e">
        <f ca="1">IF(_xll.TM1RPTELISCONSOLIDATED($E$20,$E49),IF(_xll.TM1RPTELLEV($E$20,$E49)&lt;=3,_xll.TM1RPTELLEV($E$20,$E49),"D"),"N")</f>
        <v>#VALUE!</v>
      </c>
      <c r="D49" s="178" t="s">
        <v>175</v>
      </c>
      <c r="E49" s="87" t="s">
        <v>200</v>
      </c>
      <c r="F49" t="e">
        <f>_xll.DBRA(Server&amp;"Activity",$E49,Output!$H$18)</f>
        <v>#N/A</v>
      </c>
      <c r="G49" s="7" t="str">
        <f>_xll.DBRW($D$15,$D49,$E49,G$19)</f>
        <v>1</v>
      </c>
    </row>
    <row r="50" spans="1:7">
      <c r="A50" t="e">
        <f ca="1">IF(_xll.TM1RPTELISCONSOLIDATED($E$20,$E50),IF(_xll.TM1RPTELLEV($E$20,$E50)&lt;=3,_xll.TM1RPTELLEV($E$20,$E50),"D"),"N")</f>
        <v>#VALUE!</v>
      </c>
      <c r="D50" s="178" t="s">
        <v>175</v>
      </c>
      <c r="E50" s="87" t="s">
        <v>201</v>
      </c>
      <c r="F50" t="e">
        <f>_xll.DBRA(Server&amp;"Activity",$E50,Output!$H$18)</f>
        <v>#N/A</v>
      </c>
      <c r="G50" s="7" t="str">
        <f>_xll.DBRW($D$15,$D50,$E50,G$19)</f>
        <v>1</v>
      </c>
    </row>
    <row r="51" spans="1:7">
      <c r="A51" t="e">
        <f ca="1">IF(_xll.TM1RPTELISCONSOLIDATED($E$20,$E51),IF(_xll.TM1RPTELLEV($E$20,$E51)&lt;=3,_xll.TM1RPTELLEV($E$20,$E51),"D"),"N")</f>
        <v>#VALUE!</v>
      </c>
      <c r="D51" s="178" t="s">
        <v>175</v>
      </c>
      <c r="E51" s="87" t="s">
        <v>202</v>
      </c>
      <c r="F51" t="e">
        <f>_xll.DBRA(Server&amp;"Activity",$E51,Output!$H$18)</f>
        <v>#N/A</v>
      </c>
      <c r="G51" s="7" t="str">
        <f>_xll.DBRW($D$15,$D51,$E51,G$19)</f>
        <v>1</v>
      </c>
    </row>
    <row r="52" spans="1:7">
      <c r="A52" t="e">
        <f ca="1">IF(_xll.TM1RPTELISCONSOLIDATED($E$20,$E52),IF(_xll.TM1RPTELLEV($E$20,$E52)&lt;=3,_xll.TM1RPTELLEV($E$20,$E52),"D"),"N")</f>
        <v>#VALUE!</v>
      </c>
      <c r="D52" s="178" t="s">
        <v>175</v>
      </c>
      <c r="E52" s="21" t="s">
        <v>203</v>
      </c>
      <c r="F52" t="e">
        <f>_xll.DBRA(Server&amp;"Activity",$E52,Output!$H$18)</f>
        <v>#N/A</v>
      </c>
      <c r="G52" s="7" t="str">
        <f>_xll.DBRW($D$15,$D52,$E52,G$19)</f>
        <v>1</v>
      </c>
    </row>
    <row r="53" spans="1:7">
      <c r="A53" t="e">
        <f ca="1">IF(_xll.TM1RPTELISCONSOLIDATED($E$20,$E53),IF(_xll.TM1RPTELLEV($E$20,$E53)&lt;=3,_xll.TM1RPTELLEV($E$20,$E53),"D"),"N")</f>
        <v>#VALUE!</v>
      </c>
      <c r="D53" s="178" t="s">
        <v>175</v>
      </c>
      <c r="E53" s="180" t="s">
        <v>204</v>
      </c>
      <c r="F53" s="4" t="e">
        <f>_xll.DBRA(Server&amp;"Activity",$E53,Output!$H$18)</f>
        <v>#N/A</v>
      </c>
      <c r="G53" s="6" t="str">
        <f>_xll.DBRW($D$15,$D53,$E53,G$19)</f>
        <v>1</v>
      </c>
    </row>
    <row r="54" spans="1:7">
      <c r="A54" t="e">
        <f ca="1">IF(_xll.TM1RPTELISCONSOLIDATED($E$20,$E54),IF(_xll.TM1RPTELLEV($E$20,$E54)&lt;=3,_xll.TM1RPTELLEV($E$20,$E54),"D"),"N")</f>
        <v>#VALUE!</v>
      </c>
      <c r="D54" s="178" t="s">
        <v>175</v>
      </c>
      <c r="E54" s="87" t="s">
        <v>205</v>
      </c>
      <c r="F54" t="e">
        <f>_xll.DBRA(Server&amp;"Activity",$E54,Output!$H$18)</f>
        <v>#N/A</v>
      </c>
      <c r="G54" s="7" t="str">
        <f>_xll.DBRW($D$15,$D54,$E54,G$19)</f>
        <v>1</v>
      </c>
    </row>
    <row r="55" spans="1:7">
      <c r="A55" t="e">
        <f ca="1">IF(_xll.TM1RPTELISCONSOLIDATED($E$20,$E55),IF(_xll.TM1RPTELLEV($E$20,$E55)&lt;=3,_xll.TM1RPTELLEV($E$20,$E55),"D"),"N")</f>
        <v>#VALUE!</v>
      </c>
      <c r="D55" s="178" t="s">
        <v>175</v>
      </c>
      <c r="E55" s="87" t="s">
        <v>206</v>
      </c>
      <c r="F55" t="e">
        <f>_xll.DBRA(Server&amp;"Activity",$E55,Output!$H$18)</f>
        <v>#N/A</v>
      </c>
      <c r="G55" s="7" t="str">
        <f>_xll.DBRW($D$15,$D55,$E55,G$19)</f>
        <v>1</v>
      </c>
    </row>
    <row r="56" spans="1:7">
      <c r="A56" t="e">
        <f ca="1">IF(_xll.TM1RPTELISCONSOLIDATED($E$20,$E56),IF(_xll.TM1RPTELLEV($E$20,$E56)&lt;=3,_xll.TM1RPTELLEV($E$20,$E56),"D"),"N")</f>
        <v>#VALUE!</v>
      </c>
      <c r="D56" s="178" t="s">
        <v>175</v>
      </c>
      <c r="E56" s="87" t="s">
        <v>207</v>
      </c>
      <c r="F56" t="e">
        <f>_xll.DBRA(Server&amp;"Activity",$E56,Output!$H$18)</f>
        <v>#N/A</v>
      </c>
      <c r="G56" s="7" t="str">
        <f>_xll.DBRW($D$15,$D56,$E56,G$19)</f>
        <v>1</v>
      </c>
    </row>
    <row r="57" spans="1:7">
      <c r="A57" t="e">
        <f ca="1">IF(_xll.TM1RPTELISCONSOLIDATED($E$20,$E57),IF(_xll.TM1RPTELLEV($E$20,$E57)&lt;=3,_xll.TM1RPTELLEV($E$20,$E57),"D"),"N")</f>
        <v>#VALUE!</v>
      </c>
      <c r="D57" s="178" t="s">
        <v>175</v>
      </c>
      <c r="E57" s="180" t="s">
        <v>208</v>
      </c>
      <c r="F57" s="4" t="e">
        <f>_xll.DBRA(Server&amp;"Activity",$E57,Output!$H$18)</f>
        <v>#N/A</v>
      </c>
      <c r="G57" s="6" t="str">
        <f>_xll.DBRW($D$15,$D57,$E57,G$19)</f>
        <v>1</v>
      </c>
    </row>
    <row r="58" spans="1:7">
      <c r="A58" t="e">
        <f ca="1">IF(_xll.TM1RPTELISCONSOLIDATED($E$20,$E58),IF(_xll.TM1RPTELLEV($E$20,$E58)&lt;=3,_xll.TM1RPTELLEV($E$20,$E58),"D"),"N")</f>
        <v>#VALUE!</v>
      </c>
      <c r="D58" s="178" t="s">
        <v>175</v>
      </c>
      <c r="E58" s="87" t="s">
        <v>209</v>
      </c>
      <c r="F58" t="e">
        <f>_xll.DBRA(Server&amp;"Activity",$E58,Output!$H$18)</f>
        <v>#N/A</v>
      </c>
      <c r="G58" s="7" t="str">
        <f>_xll.DBRW($D$15,$D58,$E58,G$19)</f>
        <v>1</v>
      </c>
    </row>
    <row r="59" spans="1:7">
      <c r="A59" t="e">
        <f ca="1">IF(_xll.TM1RPTELISCONSOLIDATED($E$20,$E59),IF(_xll.TM1RPTELLEV($E$20,$E59)&lt;=3,_xll.TM1RPTELLEV($E$20,$E59),"D"),"N")</f>
        <v>#VALUE!</v>
      </c>
      <c r="D59" s="178" t="s">
        <v>175</v>
      </c>
      <c r="E59" s="87" t="s">
        <v>210</v>
      </c>
      <c r="F59" t="e">
        <f>_xll.DBRA(Server&amp;"Activity",$E59,Output!$H$18)</f>
        <v>#N/A</v>
      </c>
      <c r="G59" s="7" t="str">
        <f>_xll.DBRW($D$15,$D59,$E59,G$19)</f>
        <v>1</v>
      </c>
    </row>
    <row r="60" spans="1:7">
      <c r="A60" t="e">
        <f ca="1">IF(_xll.TM1RPTELISCONSOLIDATED($E$20,$E60),IF(_xll.TM1RPTELLEV($E$20,$E60)&lt;=3,_xll.TM1RPTELLEV($E$20,$E60),"D"),"N")</f>
        <v>#VALUE!</v>
      </c>
      <c r="D60" s="178" t="s">
        <v>175</v>
      </c>
      <c r="E60" s="87" t="s">
        <v>211</v>
      </c>
      <c r="F60" t="e">
        <f>_xll.DBRA(Server&amp;"Activity",$E60,Output!$H$18)</f>
        <v>#N/A</v>
      </c>
      <c r="G60" s="7" t="str">
        <f>_xll.DBRW($D$15,$D60,$E60,G$19)</f>
        <v>1</v>
      </c>
    </row>
    <row r="61" spans="1:7">
      <c r="A61" t="e">
        <f ca="1">IF(_xll.TM1RPTELISCONSOLIDATED($E$20,$E61),IF(_xll.TM1RPTELLEV($E$20,$E61)&lt;=3,_xll.TM1RPTELLEV($E$20,$E61),"D"),"N")</f>
        <v>#VALUE!</v>
      </c>
      <c r="D61" s="178" t="s">
        <v>175</v>
      </c>
      <c r="E61" s="87" t="s">
        <v>212</v>
      </c>
      <c r="F61" t="e">
        <f>_xll.DBRA(Server&amp;"Activity",$E61,Output!$H$18)</f>
        <v>#N/A</v>
      </c>
      <c r="G61" s="7" t="str">
        <f>_xll.DBRW($D$15,$D61,$E61,G$19)</f>
        <v>1</v>
      </c>
    </row>
    <row r="62" spans="1:7">
      <c r="A62" t="e">
        <f ca="1">IF(_xll.TM1RPTELISCONSOLIDATED($E$20,$E62),IF(_xll.TM1RPTELLEV($E$20,$E62)&lt;=3,_xll.TM1RPTELLEV($E$20,$E62),"D"),"N")</f>
        <v>#VALUE!</v>
      </c>
      <c r="D62" s="178" t="s">
        <v>175</v>
      </c>
      <c r="E62" s="180" t="s">
        <v>213</v>
      </c>
      <c r="F62" s="4" t="e">
        <f>_xll.DBRA(Server&amp;"Activity",$E62,Output!$H$18)</f>
        <v>#N/A</v>
      </c>
      <c r="G62" s="6" t="str">
        <f>_xll.DBRW($D$15,$D62,$E62,G$19)</f>
        <v>1</v>
      </c>
    </row>
    <row r="63" spans="1:7">
      <c r="A63" t="e">
        <f ca="1">IF(_xll.TM1RPTELISCONSOLIDATED($E$20,$E63),IF(_xll.TM1RPTELLEV($E$20,$E63)&lt;=3,_xll.TM1RPTELLEV($E$20,$E63),"D"),"N")</f>
        <v>#VALUE!</v>
      </c>
      <c r="D63" s="178" t="s">
        <v>175</v>
      </c>
      <c r="E63" s="87" t="s">
        <v>163</v>
      </c>
      <c r="F63" t="e">
        <f>_xll.DBRA(Server&amp;"Activity",$E63,Output!$H$18)</f>
        <v>#N/A</v>
      </c>
      <c r="G63" s="7" t="str">
        <f>_xll.DBRW($D$15,$D63,$E63,G$19)</f>
        <v>1</v>
      </c>
    </row>
    <row r="64" spans="1:7">
      <c r="A64" t="e">
        <f ca="1">IF(_xll.TM1RPTELISCONSOLIDATED($E$20,$E64),IF(_xll.TM1RPTELLEV($E$20,$E64)&lt;=3,_xll.TM1RPTELLEV($E$20,$E64),"D"),"N")</f>
        <v>#VALUE!</v>
      </c>
      <c r="D64" s="178" t="s">
        <v>175</v>
      </c>
      <c r="E64" s="87" t="s">
        <v>214</v>
      </c>
      <c r="F64" t="e">
        <f>_xll.DBRA(Server&amp;"Activity",$E64,Output!$H$18)</f>
        <v>#N/A</v>
      </c>
      <c r="G64" s="7" t="str">
        <f>_xll.DBRW($D$15,$D64,$E64,G$19)</f>
        <v>1</v>
      </c>
    </row>
    <row r="65" spans="1:7">
      <c r="A65" t="e">
        <f ca="1">IF(_xll.TM1RPTELISCONSOLIDATED($E$20,$E65),IF(_xll.TM1RPTELLEV($E$20,$E65)&lt;=3,_xll.TM1RPTELLEV($E$20,$E65),"D"),"N")</f>
        <v>#VALUE!</v>
      </c>
      <c r="D65" s="178" t="s">
        <v>175</v>
      </c>
      <c r="E65" s="87" t="s">
        <v>215</v>
      </c>
      <c r="F65" t="e">
        <f>_xll.DBRA(Server&amp;"Activity",$E65,Output!$H$18)</f>
        <v>#N/A</v>
      </c>
      <c r="G65" s="7" t="str">
        <f>_xll.DBRW($D$15,$D65,$E65,G$19)</f>
        <v>1</v>
      </c>
    </row>
    <row r="66" spans="1:7">
      <c r="A66" t="e">
        <f ca="1">IF(_xll.TM1RPTELISCONSOLIDATED($E$20,$E66),IF(_xll.TM1RPTELLEV($E$20,$E66)&lt;=3,_xll.TM1RPTELLEV($E$20,$E66),"D"),"N")</f>
        <v>#VALUE!</v>
      </c>
      <c r="D66" s="178" t="s">
        <v>175</v>
      </c>
      <c r="E66" s="87" t="s">
        <v>216</v>
      </c>
      <c r="F66" t="e">
        <f>_xll.DBRA(Server&amp;"Activity",$E66,Output!$H$18)</f>
        <v>#N/A</v>
      </c>
      <c r="G66" s="7" t="str">
        <f>_xll.DBRW($D$15,$D66,$E66,G$19)</f>
        <v>1</v>
      </c>
    </row>
    <row r="67" spans="1:7">
      <c r="A67" t="e">
        <f ca="1">IF(_xll.TM1RPTELISCONSOLIDATED($E$20,$E67),IF(_xll.TM1RPTELLEV($E$20,$E67)&lt;=3,_xll.TM1RPTELLEV($E$20,$E67),"D"),"N")</f>
        <v>#VALUE!</v>
      </c>
      <c r="D67" s="178" t="s">
        <v>175</v>
      </c>
      <c r="E67" s="87" t="s">
        <v>217</v>
      </c>
      <c r="F67" t="e">
        <f>_xll.DBRA(Server&amp;"Activity",$E67,Output!$H$18)</f>
        <v>#N/A</v>
      </c>
      <c r="G67" s="7" t="str">
        <f>_xll.DBRW($D$15,$D67,$E67,G$19)</f>
        <v>1</v>
      </c>
    </row>
    <row r="68" spans="1:7">
      <c r="A68" t="e">
        <f ca="1">IF(_xll.TM1RPTELISCONSOLIDATED($E$20,$E68),IF(_xll.TM1RPTELLEV($E$20,$E68)&lt;=3,_xll.TM1RPTELLEV($E$20,$E68),"D"),"N")</f>
        <v>#VALUE!</v>
      </c>
      <c r="D68" s="178" t="s">
        <v>175</v>
      </c>
      <c r="E68" s="87" t="s">
        <v>218</v>
      </c>
      <c r="F68" t="e">
        <f>_xll.DBRA(Server&amp;"Activity",$E68,Output!$H$18)</f>
        <v>#N/A</v>
      </c>
      <c r="G68" s="7" t="str">
        <f>_xll.DBRW($D$15,$D68,$E68,G$19)</f>
        <v>1</v>
      </c>
    </row>
    <row r="69" spans="1:7">
      <c r="A69" t="e">
        <f ca="1">IF(_xll.TM1RPTELISCONSOLIDATED($E$20,$E69),IF(_xll.TM1RPTELLEV($E$20,$E69)&lt;=3,_xll.TM1RPTELLEV($E$20,$E69),"D"),"N")</f>
        <v>#VALUE!</v>
      </c>
      <c r="D69" s="178" t="s">
        <v>175</v>
      </c>
      <c r="E69" s="87" t="s">
        <v>219</v>
      </c>
      <c r="F69" t="e">
        <f>_xll.DBRA(Server&amp;"Activity",$E69,Output!$H$18)</f>
        <v>#N/A</v>
      </c>
      <c r="G69" s="7" t="str">
        <f>_xll.DBRW($D$15,$D69,$E69,G$19)</f>
        <v>1</v>
      </c>
    </row>
    <row r="70" spans="1:7">
      <c r="A70" t="e">
        <f ca="1">IF(_xll.TM1RPTELISCONSOLIDATED($E$20,$E70),IF(_xll.TM1RPTELLEV($E$20,$E70)&lt;=3,_xll.TM1RPTELLEV($E$20,$E70),"D"),"N")</f>
        <v>#VALUE!</v>
      </c>
      <c r="D70" s="178" t="s">
        <v>175</v>
      </c>
      <c r="E70" s="87" t="s">
        <v>220</v>
      </c>
      <c r="F70" t="e">
        <f>_xll.DBRA(Server&amp;"Activity",$E70,Output!$H$18)</f>
        <v>#N/A</v>
      </c>
      <c r="G70" s="7" t="str">
        <f>_xll.DBRW($D$15,$D70,$E70,G$19)</f>
        <v>1</v>
      </c>
    </row>
    <row r="71" spans="1:7">
      <c r="A71" t="e">
        <f ca="1">IF(_xll.TM1RPTELISCONSOLIDATED($E$20,$E71),IF(_xll.TM1RPTELLEV($E$20,$E71)&lt;=3,_xll.TM1RPTELLEV($E$20,$E71),"D"),"N")</f>
        <v>#VALUE!</v>
      </c>
      <c r="D71" s="178" t="s">
        <v>175</v>
      </c>
      <c r="E71" s="21" t="s">
        <v>126</v>
      </c>
      <c r="F71" t="e">
        <f>_xll.DBRA(Server&amp;"Activity",$E71,Output!$H$18)</f>
        <v>#N/A</v>
      </c>
      <c r="G71" s="7" t="str">
        <f>_xll.DBRW($D$15,$D71,$E71,G$19)</f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?mso-contentType ?>
<SharedContentType xmlns="Microsoft.SharePoint.Taxonomy.ContentTypeSync" SourceId="b49a2378-73c7-4e4c-bff8-b85a2f404b86" ContentTypeId="0x0101" PreviousValue="false"/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8F41DDFC12A047B89ADFEAFA8CA40C" ma:contentTypeVersion="18" ma:contentTypeDescription="Crée un document." ma:contentTypeScope="" ma:versionID="1f7140a7bbedc0c2710b5bb791715270">
  <xsd:schema xmlns:xsd="http://www.w3.org/2001/XMLSchema" xmlns:xs="http://www.w3.org/2001/XMLSchema" xmlns:p="http://schemas.microsoft.com/office/2006/metadata/properties" xmlns:ns2="37c46d26-95e5-4380-a06b-df42f7fe1bef" xmlns:ns3="7ab32658-e8b5-4d7e-b280-1fb722dd2be1" targetNamespace="http://schemas.microsoft.com/office/2006/metadata/properties" ma:root="true" ma:fieldsID="99e5fd3a55f4560dcbc440286aaed2a9" ns2:_="" ns3:_="">
    <xsd:import namespace="37c46d26-95e5-4380-a06b-df42f7fe1bef"/>
    <xsd:import namespace="7ab32658-e8b5-4d7e-b280-1fb722dd2b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c46d26-95e5-4380-a06b-df42f7fe1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32658-e8b5-4d7e-b280-1fb722dd2b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300512F-87B9-4C12-9E20-F6A74AA6C18E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7ab32658-e8b5-4d7e-b280-1fb722dd2be1"/>
    <ds:schemaRef ds:uri="37c46d26-95e5-4380-a06b-df42f7fe1be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8FC0194E-6657-4460-A362-BEE88BCD706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A5D37E-79BF-4691-80F5-E7387A1F9D69}">
  <ds:schemaRefs>
    <ds:schemaRef ds:uri="Microsoft.SharePoint.Taxonomy.ContentTypeSync"/>
  </ds:schemaRefs>
</ds:datastoreItem>
</file>

<file path=customXml/itemProps4.xml><?xml version="1.0" encoding="utf-8"?>
<ds:datastoreItem xmlns:ds="http://schemas.openxmlformats.org/officeDocument/2006/customXml" ds:itemID="{964EF926-8AED-49F7-848F-E8B9DC59E4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c46d26-95e5-4380-a06b-df42f7fe1bef"/>
    <ds:schemaRef ds:uri="7ab32658-e8b5-4d7e-b280-1fb722dd2b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21</vt:i4>
      </vt:variant>
    </vt:vector>
  </HeadingPairs>
  <TitlesOfParts>
    <vt:vector size="24" baseType="lpstr">
      <vt:lpstr>Context</vt:lpstr>
      <vt:lpstr>Output</vt:lpstr>
      <vt:lpstr>Control</vt:lpstr>
      <vt:lpstr>ActivityList</vt:lpstr>
      <vt:lpstr>ActualLTP</vt:lpstr>
      <vt:lpstr>ActualYear</vt:lpstr>
      <vt:lpstr>AutoRefresh_Output</vt:lpstr>
      <vt:lpstr>Check_Activity</vt:lpstr>
      <vt:lpstr>ctx_activity_Context</vt:lpstr>
      <vt:lpstr>ctx_legal_Context</vt:lpstr>
      <vt:lpstr>Cube1</vt:lpstr>
      <vt:lpstr>Cube2</vt:lpstr>
      <vt:lpstr>Flag_Send_Comment</vt:lpstr>
      <vt:lpstr>Flag_Send_Data</vt:lpstr>
      <vt:lpstr>Language</vt:lpstr>
      <vt:lpstr>LocalLanguage</vt:lpstr>
      <vt:lpstr>Server</vt:lpstr>
      <vt:lpstr>Control!TM1RPTDATARNGARPT1</vt:lpstr>
      <vt:lpstr>Control!TM1RPTFMTIDCOL</vt:lpstr>
      <vt:lpstr>Control!TM1RPTFMTRNG</vt:lpstr>
      <vt:lpstr>xActualPhase</vt:lpstr>
      <vt:lpstr>xHost</vt:lpstr>
      <vt:lpstr>xServer</vt:lpstr>
      <vt:lpstr>Output!Zone_d_impression</vt:lpstr>
    </vt:vector>
  </TitlesOfParts>
  <Company>BearingPoint EMEA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Erwan Tang</cp:lastModifiedBy>
  <cp:lastPrinted>2021-07-30T12:10:16Z</cp:lastPrinted>
  <dcterms:created xsi:type="dcterms:W3CDTF">2012-01-30T16:11:20Z</dcterms:created>
  <dcterms:modified xsi:type="dcterms:W3CDTF">2024-08-22T07:54:46Z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0x010100CF8F41DDFC12A047B89ADFEAFA8CA40C</vt:lpwstr>
  </property>
</Properties>
</file>