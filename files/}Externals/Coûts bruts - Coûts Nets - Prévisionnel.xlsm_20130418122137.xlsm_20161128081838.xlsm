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5" windowWidth="7605" windowHeight="3930" tabRatio="852" firstSheet="1" activeTab="1"/>
  </bookViews>
  <sheets>
    <sheet name="Context" sheetId="66" state="hidden" r:id="rId1"/>
    <sheet name="Couts_bruts_Couts_net" sheetId="58" r:id="rId2"/>
  </sheets>
  <functionGroups builtInGroupCount="17"/>
  <definedNames>
    <definedName name="_xlnm._FilterDatabase" localSheetId="1" hidden="1">Couts_bruts_Couts_net!$A$1:$A$8</definedName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ualBudgetAdmin">Context!$C$14</definedName>
    <definedName name="ActualForecast1Admin">Context!$C$15</definedName>
    <definedName name="ActualForecast2Admin">Context!$C$16</definedName>
    <definedName name="ActualMonth">Context!$B$13</definedName>
    <definedName name="ActualYear">Context!$C$13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fit1">Couts_bruts_Couts_net!$I$33:$K$54</definedName>
    <definedName name="Autofit2">Couts_bruts_Couts_net!$M$33:$N$54</definedName>
    <definedName name="Autofit3">Couts_bruts_Couts_net!$Q$33:$R$54</definedName>
    <definedName name="Autofit4">Couts_bruts_Couts_net!$V$33:$X$54</definedName>
    <definedName name="Autofit5">Couts_bruts_Couts_net!$Z$33:$AA$54</definedName>
    <definedName name="Autofit6">Couts_bruts_Couts_net!$AD$33:$AE$54</definedName>
    <definedName name="AutoRefresh_Couts_bruts_Couts_net">Couts_bruts_Couts_net!$G$11</definedName>
    <definedName name="AutoRefresh_Input_PL">Couts_bruts_Couts_net!$AJ$11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be1">Context!$B$11</definedName>
    <definedName name="Cube2">Context!$B$12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Data">Context!$B$7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_xlnm.Print_Titles" localSheetId="1">Couts_bruts_Couts_net!$E:$AF,Couts_bruts_Couts_net!$16:$33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Context!$B$18:$B$19</definedName>
    <definedName name="LocalLanguage">Context!$B$17</definedName>
    <definedName name="LocalLanguage2">Context!$C$17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Note">Context!$B$23:$B$25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M1REBUILDOPTION">1</definedName>
    <definedName name="TM1RPTDATARNGARPT3" localSheetId="1">Couts_bruts_Couts_net!$52:$52</definedName>
    <definedName name="TM1RPTFMTIDCOL" localSheetId="1">Couts_bruts_Couts_net!$A$1:$A$8</definedName>
    <definedName name="TM1RPTFMTRNG" localSheetId="1">Couts_bruts_Couts_net!$F$1:$AG$8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Host">Context!$B$6</definedName>
    <definedName name="xServer">Context!$B$5</definedName>
    <definedName name="_xlnm.Print_Area" localSheetId="1">Couts_bruts_Couts_net!$F$18:$AF$90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F38" i="58" l="1"/>
  <c r="G28" i="58"/>
  <c r="F36" i="58"/>
  <c r="F52" i="58"/>
  <c r="AW18" i="58"/>
  <c r="G30" i="58"/>
  <c r="G40" i="58"/>
  <c r="G23" i="58"/>
  <c r="G41" i="58"/>
  <c r="G24" i="58"/>
  <c r="G42" i="58"/>
  <c r="G29" i="58"/>
  <c r="G43" i="58"/>
  <c r="G44" i="58"/>
  <c r="G26" i="58"/>
  <c r="G45" i="58"/>
  <c r="G46" i="58"/>
  <c r="AU22" i="58"/>
  <c r="G27" i="58"/>
  <c r="H13" i="58"/>
  <c r="V12" i="58"/>
  <c r="W12" i="58"/>
  <c r="W11" i="58"/>
  <c r="X12" i="58"/>
  <c r="X11" i="58"/>
  <c r="G13" i="58"/>
  <c r="I15" i="58"/>
  <c r="J12" i="58"/>
  <c r="J11" i="58"/>
  <c r="K12" i="58"/>
  <c r="K11" i="58"/>
  <c r="N15" i="58"/>
  <c r="I12" i="58"/>
  <c r="B13" i="66"/>
  <c r="C13" i="66"/>
  <c r="AU23" i="58"/>
  <c r="AU74" i="58"/>
  <c r="AU70" i="58"/>
  <c r="AU66" i="58"/>
  <c r="V33" i="58"/>
  <c r="I33" i="58"/>
  <c r="X19" i="58"/>
  <c r="F26" i="58"/>
  <c r="I35" i="58"/>
  <c r="F28" i="58"/>
  <c r="AU24" i="58"/>
  <c r="F29" i="58"/>
  <c r="Z31" i="58"/>
  <c r="V31" i="58"/>
  <c r="M31" i="58"/>
  <c r="I31" i="58"/>
  <c r="B5" i="66"/>
  <c r="B17" i="66"/>
  <c r="C17" i="66"/>
  <c r="P11" i="58"/>
  <c r="F60" i="58"/>
  <c r="F59" i="58"/>
  <c r="F58" i="58"/>
  <c r="F57" i="58"/>
  <c r="AV75" i="58"/>
  <c r="AX75" i="58"/>
  <c r="AY75" i="58"/>
  <c r="AZ75" i="58"/>
  <c r="BA75" i="58"/>
  <c r="BB75" i="58"/>
  <c r="BC65" i="58"/>
  <c r="BC75" i="58"/>
  <c r="BD75" i="58"/>
  <c r="BE75" i="58"/>
  <c r="AW75" i="58"/>
  <c r="AV74" i="58"/>
  <c r="AX74" i="58"/>
  <c r="AY74" i="58"/>
  <c r="AZ74" i="58"/>
  <c r="BA74" i="58"/>
  <c r="BB74" i="58"/>
  <c r="BC74" i="58"/>
  <c r="BD74" i="58"/>
  <c r="BE74" i="58"/>
  <c r="AW74" i="58"/>
  <c r="AV70" i="58"/>
  <c r="BA70" i="58"/>
  <c r="AV72" i="58"/>
  <c r="AY72" i="58"/>
  <c r="AV71" i="58"/>
  <c r="BB71" i="58"/>
  <c r="AX71" i="58"/>
  <c r="AY71" i="58"/>
  <c r="AZ71" i="58"/>
  <c r="BA71" i="58"/>
  <c r="BC71" i="58"/>
  <c r="BD71" i="58"/>
  <c r="BE71" i="58"/>
  <c r="AW71" i="58"/>
  <c r="AX70" i="58"/>
  <c r="AY70" i="58"/>
  <c r="AZ70" i="58"/>
  <c r="BB70" i="58"/>
  <c r="BC70" i="58"/>
  <c r="BD70" i="58"/>
  <c r="BE70" i="58"/>
  <c r="AW70" i="58"/>
  <c r="AV68" i="58"/>
  <c r="AW68" i="58"/>
  <c r="AV67" i="58"/>
  <c r="AX67" i="58"/>
  <c r="AY67" i="58"/>
  <c r="AZ67" i="58"/>
  <c r="BA67" i="58"/>
  <c r="BB67" i="58"/>
  <c r="BC67" i="58"/>
  <c r="BD67" i="58"/>
  <c r="BE67" i="58"/>
  <c r="AW67" i="58"/>
  <c r="AV66" i="58"/>
  <c r="AZ66" i="58"/>
  <c r="BA66" i="58"/>
  <c r="AX66" i="58"/>
  <c r="AY66" i="58"/>
  <c r="BB66" i="58"/>
  <c r="BC66" i="58"/>
  <c r="BD66" i="58"/>
  <c r="BE66" i="58"/>
  <c r="AW66" i="58"/>
  <c r="AU76" i="58"/>
  <c r="AU72" i="58"/>
  <c r="AU68" i="58"/>
  <c r="K33" i="58"/>
  <c r="AU75" i="58"/>
  <c r="AU71" i="58"/>
  <c r="AU67" i="58"/>
  <c r="J33" i="58"/>
  <c r="AV76" i="58"/>
  <c r="AX61" i="58"/>
  <c r="BE76" i="58"/>
  <c r="BD76" i="58"/>
  <c r="BC76" i="58"/>
  <c r="BB76" i="58"/>
  <c r="BA76" i="58"/>
  <c r="AZ76" i="58"/>
  <c r="AY76" i="58"/>
  <c r="AX76" i="58"/>
  <c r="AW76" i="58"/>
  <c r="AU73" i="58"/>
  <c r="BE72" i="58"/>
  <c r="BD72" i="58"/>
  <c r="BC72" i="58"/>
  <c r="BB72" i="58"/>
  <c r="BA72" i="58"/>
  <c r="AZ72" i="58"/>
  <c r="AX72" i="58"/>
  <c r="AW72" i="58"/>
  <c r="AU69" i="58"/>
  <c r="BE68" i="58"/>
  <c r="BD68" i="58"/>
  <c r="BC68" i="58"/>
  <c r="BB68" i="58"/>
  <c r="BA68" i="58"/>
  <c r="AZ68" i="58"/>
  <c r="AY68" i="58"/>
  <c r="AX68" i="58"/>
  <c r="AU65" i="58"/>
  <c r="BE64" i="58"/>
  <c r="BD64" i="58"/>
  <c r="BC64" i="58"/>
  <c r="BB64" i="58"/>
  <c r="BA64" i="58"/>
  <c r="AZ64" i="58"/>
  <c r="AY64" i="58"/>
  <c r="AX64" i="58"/>
  <c r="AW64" i="58"/>
  <c r="AU64" i="58"/>
  <c r="W33" i="58"/>
  <c r="G19" i="58"/>
  <c r="X33" i="58"/>
  <c r="J35" i="58"/>
  <c r="K35" i="58"/>
  <c r="Q35" i="58"/>
  <c r="S35" i="58"/>
  <c r="V35" i="58"/>
  <c r="X35" i="58"/>
  <c r="Z35" i="58"/>
  <c r="AB35" i="58"/>
  <c r="W35" i="58"/>
  <c r="AD35" i="58"/>
  <c r="AF35" i="58"/>
  <c r="W52" i="58"/>
  <c r="X52" i="58"/>
  <c r="AD52" i="58"/>
  <c r="AF52" i="58"/>
  <c r="V52" i="58"/>
  <c r="Z52" i="58"/>
  <c r="AB52" i="58"/>
  <c r="J52" i="58"/>
  <c r="K52" i="58"/>
  <c r="Q52" i="58"/>
  <c r="S52" i="58"/>
  <c r="I52" i="58"/>
  <c r="M52" i="58"/>
  <c r="O52" i="58"/>
  <c r="M35" i="58"/>
  <c r="O35" i="58"/>
  <c r="AI52" i="58"/>
  <c r="AK52" i="58"/>
  <c r="AL52" i="58"/>
  <c r="AJ52" i="58"/>
  <c r="AG52" i="58"/>
  <c r="AC52" i="58"/>
  <c r="T52" i="58"/>
  <c r="P52" i="58"/>
  <c r="AG35" i="58"/>
  <c r="AC35" i="58"/>
  <c r="T35" i="58"/>
  <c r="P35" i="58"/>
  <c r="AG33" i="58"/>
  <c r="AC33" i="58"/>
  <c r="AD33" i="58"/>
  <c r="Q33" i="58"/>
  <c r="T33" i="58"/>
  <c r="Z33" i="58"/>
  <c r="M33" i="58"/>
  <c r="P33" i="58"/>
  <c r="F35" i="58"/>
  <c r="F24" i="58"/>
  <c r="F23" i="58"/>
  <c r="F30" i="58"/>
  <c r="F56" i="58"/>
  <c r="U33" i="58"/>
  <c r="F22" i="58"/>
  <c r="F27" i="58"/>
  <c r="F33" i="58"/>
  <c r="F25" i="58"/>
  <c r="A5" i="58"/>
  <c r="A4" i="58"/>
  <c r="A3" i="58"/>
  <c r="A2" i="58"/>
  <c r="A52" i="58"/>
  <c r="B14" i="66"/>
  <c r="B16" i="66"/>
  <c r="B15" i="66"/>
</calcChain>
</file>

<file path=xl/sharedStrings.xml><?xml version="1.0" encoding="utf-8"?>
<sst xmlns="http://schemas.openxmlformats.org/spreadsheetml/2006/main" count="119" uniqueCount="105">
  <si>
    <t>Phase</t>
  </si>
  <si>
    <t>English</t>
  </si>
  <si>
    <t>Local language</t>
  </si>
  <si>
    <t>Host Server :</t>
  </si>
  <si>
    <t>Server Name :</t>
  </si>
  <si>
    <t>Administration Generic Context :</t>
  </si>
  <si>
    <t>Excel Report Context :</t>
  </si>
  <si>
    <t>xServer</t>
  </si>
  <si>
    <t xml:space="preserve"> </t>
  </si>
  <si>
    <t>Actual Month :</t>
  </si>
  <si>
    <t>Comments</t>
  </si>
  <si>
    <t>Dutch</t>
  </si>
  <si>
    <t>German</t>
  </si>
  <si>
    <t>Portugese</t>
  </si>
  <si>
    <t>Cube n°1 :</t>
  </si>
  <si>
    <t>Cube n°2 :</t>
  </si>
  <si>
    <t>Currency</t>
  </si>
  <si>
    <t>Gaap</t>
  </si>
  <si>
    <t>Flag Send Data :</t>
  </si>
  <si>
    <t>Budget Version :</t>
  </si>
  <si>
    <t>Forecast Version 1</t>
  </si>
  <si>
    <t>Sheets Context Legend :</t>
  </si>
  <si>
    <t>Technical Named Cell for VBA process :</t>
  </si>
  <si>
    <t>Fixed Dimension Context</t>
  </si>
  <si>
    <t>z_Admin_Param Dimension Context</t>
  </si>
  <si>
    <t>A</t>
  </si>
  <si>
    <t>B</t>
  </si>
  <si>
    <t>C</t>
  </si>
  <si>
    <t>Language List :</t>
  </si>
  <si>
    <t>Note List :</t>
  </si>
  <si>
    <t>Comment_1</t>
  </si>
  <si>
    <t>Comment_2</t>
  </si>
  <si>
    <t>Comment_3</t>
  </si>
  <si>
    <t>Comment_4</t>
  </si>
  <si>
    <t>Flag Send Comment :</t>
  </si>
  <si>
    <t>Context_selection</t>
  </si>
  <si>
    <t>Management_organization</t>
  </si>
  <si>
    <t>Legal_organization</t>
  </si>
  <si>
    <t>z_Translate_Report</t>
  </si>
  <si>
    <t>Language</t>
  </si>
  <si>
    <t>TFR-AP019298</t>
  </si>
  <si>
    <t>Forecast Version 2</t>
  </si>
  <si>
    <t>List 1</t>
  </si>
  <si>
    <t>Period</t>
  </si>
  <si>
    <t>Name of the dimension concerning report translation</t>
  </si>
  <si>
    <t>RP_PL_Corp</t>
  </si>
  <si>
    <t>Français</t>
  </si>
  <si>
    <t>Integration_Rate</t>
  </si>
  <si>
    <t>Projets</t>
  </si>
  <si>
    <t>Matricules</t>
  </si>
  <si>
    <t>Legal_Organization_Corp</t>
  </si>
  <si>
    <t>Indicator_Corp</t>
  </si>
  <si>
    <t>Tiers</t>
  </si>
  <si>
    <t>D</t>
  </si>
  <si>
    <t>N</t>
  </si>
  <si>
    <t>[Begin Format Range]</t>
  </si>
  <si>
    <t>[End Format Range]</t>
  </si>
  <si>
    <t>Langue</t>
  </si>
  <si>
    <t>Budget</t>
  </si>
  <si>
    <t>Forecast_1</t>
  </si>
  <si>
    <t>Forecast_2</t>
  </si>
  <si>
    <t>Total</t>
  </si>
  <si>
    <t>ACT_TOT</t>
  </si>
  <si>
    <t>Eléments fixes</t>
  </si>
  <si>
    <t>RP_Comments_PL_Corp</t>
  </si>
  <si>
    <t>Integration_rate</t>
  </si>
  <si>
    <t>Actual_N_1</t>
  </si>
  <si>
    <t>Chges_ope</t>
  </si>
  <si>
    <t>TPL1_dest_aprs_mgmt_fees</t>
  </si>
  <si>
    <t>RESOP</t>
  </si>
  <si>
    <t>Variances</t>
  </si>
  <si>
    <t>Variance</t>
  </si>
  <si>
    <t>Couts_Bruts</t>
  </si>
  <si>
    <t>Output</t>
  </si>
  <si>
    <t>Tot_tiers</t>
  </si>
  <si>
    <t>VTD</t>
  </si>
  <si>
    <t>Trend arrows</t>
  </si>
  <si>
    <t>ì</t>
  </si>
  <si>
    <t>î</t>
  </si>
  <si>
    <t>è</t>
  </si>
  <si>
    <t>Phase for comments</t>
  </si>
  <si>
    <t>YearToDate</t>
  </si>
  <si>
    <t>Ytd</t>
  </si>
  <si>
    <t>Pdts_ope</t>
  </si>
  <si>
    <t>Dir_gen</t>
  </si>
  <si>
    <t>Dir_com</t>
  </si>
  <si>
    <t>Dir_fi</t>
  </si>
  <si>
    <t>Dir_si</t>
  </si>
  <si>
    <t>Dir_rh</t>
  </si>
  <si>
    <t>Dir_jur</t>
  </si>
  <si>
    <t>Dir_inno_dev_dur</t>
  </si>
  <si>
    <t>Dir_del_rail</t>
  </si>
  <si>
    <t>Management_Organization_Corp</t>
  </si>
  <si>
    <t>AutoRefresh_Couts_bruts_Couts_net</t>
  </si>
  <si>
    <t>Coûts Bruts - Coûts Nets Réalisé :</t>
  </si>
  <si>
    <t>Couts_bruts_Couts_nets_Forecast</t>
  </si>
  <si>
    <t>Year</t>
  </si>
  <si>
    <t>Forecast2_N_1</t>
  </si>
  <si>
    <t>Couts_bruts_Couts_net_Estime</t>
  </si>
  <si>
    <t>Indicator_Corp for comments</t>
  </si>
  <si>
    <t>Prior Period</t>
  </si>
  <si>
    <t>Prior Prior Period</t>
  </si>
  <si>
    <t>traduction phase</t>
  </si>
  <si>
    <t>Actual_N_2</t>
  </si>
  <si>
    <t>tango_core_model: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</si>
</sst>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(* #,##0.00_);_(* \(#,##0.00\);_(* &quot;-&quot;??_);_(@_)"/>
    <numFmt numFmtId="165" formatCode="_-* #,##0.00\ _F_-;\-* #,##0.00\ _F_-;_-* &quot;-&quot;??\ _F_-;_-@_-"/>
    <numFmt numFmtId="166" formatCode="#,###,##0.00"/>
    <numFmt numFmtId="167" formatCode="#,###,##0.0"/>
    <numFmt numFmtId="168" formatCode="#,###,##0"/>
    <numFmt numFmtId="169" formatCode="0.00_)"/>
    <numFmt numFmtId="170" formatCode="#,###,##0.000"/>
    <numFmt numFmtId="171" formatCode="&quot;+ &quot;@"/>
    <numFmt numFmtId="172" formatCode="#,##0.0"/>
    <numFmt numFmtId="173" formatCode="00"/>
    <numFmt numFmtId="174" formatCode="#,##0;&quot;(&quot;#,##0&quot;)&quot;"/>
  </numFmts>
  <fonts count="84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4"/>
      <name val="Calibri"/>
      <family val="2"/>
    </font>
    <font>
      <b/>
      <sz val="18"/>
      <color indexed="9"/>
      <name val="Calibri"/>
      <family val="2"/>
    </font>
    <font>
      <b/>
      <sz val="14"/>
      <color indexed="9"/>
      <name val="Calibri"/>
      <family val="2"/>
    </font>
    <font>
      <sz val="10"/>
      <color indexed="62"/>
      <name val="Calibri"/>
      <family val="2"/>
    </font>
    <font>
      <b/>
      <sz val="10"/>
      <color indexed="9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0"/>
      <color indexed="8"/>
      <name val="Times New Roman"/>
      <family val="1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8"/>
      <name val="Calibri"/>
      <family val="2"/>
    </font>
    <font>
      <sz val="20"/>
      <name val="Wingdings"/>
      <charset val="2"/>
    </font>
    <font>
      <b/>
      <sz val="20"/>
      <color indexed="9"/>
      <name val="Calibri"/>
      <family val="2"/>
    </font>
    <font>
      <sz val="15"/>
      <name val="Calibri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0"/>
      <color indexed="46"/>
      <name val="Arial"/>
      <family val="2"/>
    </font>
    <font>
      <b/>
      <sz val="10"/>
      <color indexed="9"/>
      <name val="Arial"/>
      <family val="2"/>
    </font>
    <font>
      <b/>
      <sz val="14"/>
      <color indexed="46"/>
      <name val="Arial"/>
      <family val="2"/>
    </font>
    <font>
      <b/>
      <sz val="12"/>
      <color indexed="45"/>
      <name val="Arial"/>
      <family val="2"/>
    </font>
    <font>
      <b/>
      <sz val="12"/>
      <name val="Arial"/>
      <family val="2"/>
    </font>
    <font>
      <sz val="10"/>
      <color indexed="9"/>
      <name val="Arial"/>
      <family val="2"/>
    </font>
    <font>
      <sz val="10"/>
      <color rgb="FFFF0000"/>
      <name val="Arial"/>
      <family val="2"/>
    </font>
    <font>
      <b/>
      <sz val="12"/>
      <color rgb="FFFF0000"/>
      <name val="Arial"/>
      <family val="2"/>
    </font>
    <font>
      <sz val="9"/>
      <name val="Arial"/>
      <family val="2"/>
    </font>
    <font>
      <sz val="10"/>
      <color theme="0"/>
      <name val="Arial"/>
      <family val="2"/>
    </font>
    <font>
      <b/>
      <sz val="11"/>
      <color rgb="FF0070C0"/>
      <name val="Calibri"/>
      <family val="2"/>
    </font>
    <font>
      <b/>
      <sz val="12"/>
      <color rgb="FF0070C0"/>
      <name val="Arial"/>
      <family val="2"/>
    </font>
    <font>
      <b/>
      <sz val="11"/>
      <color rgb="FF00B050"/>
      <name val="Arial"/>
      <family val="2"/>
    </font>
    <font>
      <b/>
      <sz val="32"/>
      <color theme="0"/>
      <name val="Calibri"/>
      <family val="2"/>
    </font>
    <font>
      <b/>
      <sz val="11"/>
      <name val="Arial"/>
      <family val="2"/>
    </font>
    <font>
      <sz val="10"/>
      <color indexed="9"/>
      <name val="Calibri"/>
      <family val="2"/>
    </font>
    <font>
      <sz val="9"/>
      <color indexed="9"/>
      <name val="Calibri"/>
      <family val="2"/>
    </font>
    <font>
      <sz val="14"/>
      <name val="Calibri"/>
      <family val="2"/>
    </font>
    <font>
      <b/>
      <i/>
      <sz val="22"/>
      <color theme="0"/>
      <name val="Calibri"/>
      <family val="2"/>
    </font>
    <font>
      <b/>
      <sz val="18"/>
      <name val="Wingdings"/>
      <charset val="2"/>
    </font>
    <font>
      <b/>
      <sz val="18"/>
      <color indexed="57"/>
      <name val="Wingdings"/>
      <charset val="2"/>
    </font>
    <font>
      <sz val="11"/>
      <color rgb="FFFF0000"/>
      <name val="Calibri"/>
      <family val="2"/>
    </font>
    <font>
      <b/>
      <sz val="12"/>
      <color indexed="8"/>
      <name val="Calibri"/>
      <family val="2"/>
    </font>
    <font>
      <b/>
      <sz val="11"/>
      <color rgb="FFFF0000"/>
      <name val="Arial"/>
      <family val="2"/>
    </font>
    <font>
      <sz val="12"/>
      <color indexed="8"/>
      <name val="Calibri"/>
      <family val="2"/>
    </font>
    <font>
      <b/>
      <sz val="10"/>
      <color indexed="8"/>
      <name val="Calibri"/>
      <family val="2"/>
    </font>
    <font>
      <sz val="10"/>
      <color indexed="8"/>
      <name val="Calibri"/>
      <family val="2"/>
    </font>
    <font>
      <sz val="10"/>
      <color rgb="FFFF0000"/>
      <name val="Calibri"/>
      <family val="2"/>
    </font>
    <font>
      <sz val="10"/>
      <color rgb="FF0070C0"/>
      <name val="Arial"/>
      <family val="2"/>
    </font>
    <font>
      <sz val="13"/>
      <name val="Calibri"/>
      <family val="2"/>
    </font>
    <font>
      <b/>
      <sz val="16"/>
      <color indexed="9"/>
      <name val="Calibri"/>
      <family val="2"/>
    </font>
    <font>
      <b/>
      <sz val="18"/>
      <name val="Calibri"/>
      <family val="2"/>
    </font>
    <font>
      <sz val="18"/>
      <name val="Calibri"/>
      <family val="2"/>
    </font>
    <font>
      <b/>
      <sz val="16"/>
      <name val="Calibri"/>
      <family val="2"/>
    </font>
    <font>
      <sz val="16"/>
      <name val="Calibri"/>
      <family val="2"/>
    </font>
    <font>
      <b/>
      <sz val="16"/>
      <color indexed="57"/>
      <name val="Wingdings"/>
      <charset val="2"/>
    </font>
    <font>
      <b/>
      <sz val="15"/>
      <name val="Calibri"/>
      <family val="2"/>
    </font>
    <font>
      <b/>
      <sz val="15"/>
      <color indexed="57"/>
      <name val="Wingdings"/>
      <charset val="2"/>
    </font>
    <font>
      <b/>
      <sz val="18"/>
      <color theme="1"/>
      <name val="Calibri"/>
      <family val="2"/>
    </font>
  </fonts>
  <fills count="5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9"/>
      </patternFill>
    </fill>
    <fill>
      <patternFill patternType="solid">
        <fgColor indexed="27"/>
        <bgColor indexed="9"/>
      </patternFill>
    </fill>
    <fill>
      <patternFill patternType="solid">
        <fgColor indexed="18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EAEAEA"/>
        <bgColor rgb="FF000000"/>
      </patternFill>
    </fill>
    <fill>
      <patternFill patternType="solid">
        <fgColor indexed="44"/>
        <bgColor indexed="64"/>
      </patternFill>
    </fill>
    <fill>
      <patternFill patternType="solid">
        <fgColor rgb="FF7E408F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DAFB6"/>
        <bgColor indexed="64"/>
      </patternFill>
    </fill>
    <fill>
      <patternFill patternType="solid">
        <fgColor rgb="FF7F8399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0000"/>
        <bgColor auto="1"/>
      </patternFill>
    </fill>
  </fills>
  <borders count="5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medium">
        <color indexed="23"/>
      </left>
      <right/>
      <top/>
      <bottom/>
      <diagonal/>
    </border>
    <border>
      <left style="dotted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9"/>
      </bottom>
      <diagonal/>
    </border>
    <border>
      <left/>
      <right style="medium">
        <color indexed="9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indexed="9"/>
      </right>
      <top style="thick">
        <color indexed="9"/>
      </top>
      <bottom/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/>
      <bottom style="medium">
        <color auto="1"/>
      </bottom>
      <diagonal/>
    </border>
    <border>
      <left style="medium">
        <color indexed="23"/>
      </left>
      <right/>
      <top style="medium">
        <color indexed="23"/>
      </top>
      <bottom/>
      <diagonal/>
    </border>
    <border>
      <left/>
      <right/>
      <top style="medium">
        <color indexed="23"/>
      </top>
      <bottom/>
      <diagonal/>
    </border>
    <border>
      <left style="medium">
        <color indexed="23"/>
      </left>
      <right/>
      <top/>
      <bottom style="medium">
        <color indexed="64"/>
      </bottom>
      <diagonal/>
    </border>
    <border>
      <left style="thick">
        <color indexed="9"/>
      </left>
      <right style="thick">
        <color indexed="9"/>
      </right>
      <top style="thick">
        <color indexed="9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9"/>
      </bottom>
      <diagonal/>
    </border>
    <border>
      <left style="medium">
        <color indexed="9"/>
      </left>
      <right style="medium">
        <color indexed="9"/>
      </right>
      <top style="thick">
        <color indexed="9"/>
      </top>
      <bottom/>
      <diagonal/>
    </border>
    <border>
      <left style="thick">
        <color indexed="9"/>
      </left>
      <right/>
      <top style="thick">
        <color indexed="9"/>
      </top>
      <bottom/>
      <diagonal/>
    </border>
    <border>
      <left style="medium">
        <color indexed="9"/>
      </left>
      <right/>
      <top style="thick">
        <color indexed="9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23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288">
    <xf numFmtId="0" fontId="0" fillId="0" borderId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2" borderId="0" applyNumberFormat="0" applyBorder="0" applyAlignment="0" applyProtection="0"/>
    <xf numFmtId="0" fontId="11" fillId="12" borderId="0" applyNumberFormat="0" applyBorder="0" applyAlignment="0" applyProtection="0"/>
    <xf numFmtId="0" fontId="11" fillId="12" borderId="0" applyNumberFormat="0" applyBorder="0" applyAlignment="0" applyProtection="0"/>
    <xf numFmtId="0" fontId="11" fillId="12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5" fillId="3" borderId="0" applyNumberFormat="0" applyBorder="0" applyAlignment="0" applyProtection="0"/>
    <xf numFmtId="0" fontId="15" fillId="3" borderId="0" applyNumberFormat="0" applyBorder="0" applyAlignment="0" applyProtection="0"/>
    <xf numFmtId="0" fontId="15" fillId="3" borderId="0" applyNumberFormat="0" applyBorder="0" applyAlignment="0" applyProtection="0"/>
    <xf numFmtId="0" fontId="15" fillId="3" borderId="0" applyNumberFormat="0" applyBorder="0" applyAlignment="0" applyProtection="0"/>
    <xf numFmtId="0" fontId="16" fillId="7" borderId="1" applyNumberFormat="0" applyAlignment="0" applyProtection="0"/>
    <xf numFmtId="0" fontId="16" fillId="7" borderId="1" applyNumberFormat="0" applyAlignment="0" applyProtection="0"/>
    <xf numFmtId="0" fontId="16" fillId="7" borderId="1" applyNumberFormat="0" applyAlignment="0" applyProtection="0"/>
    <xf numFmtId="0" fontId="16" fillId="7" borderId="1" applyNumberFormat="0" applyAlignment="0" applyProtection="0"/>
    <xf numFmtId="0" fontId="16" fillId="7" borderId="1" applyNumberFormat="0" applyAlignment="0" applyProtection="0"/>
    <xf numFmtId="0" fontId="10" fillId="20" borderId="3" applyNumberFormat="0" applyAlignment="0" applyProtection="0"/>
    <xf numFmtId="0" fontId="10" fillId="20" borderId="3" applyNumberFormat="0" applyAlignment="0" applyProtection="0"/>
    <xf numFmtId="0" fontId="10" fillId="20" borderId="3" applyNumberFormat="0" applyAlignment="0" applyProtection="0"/>
    <xf numFmtId="0" fontId="10" fillId="20" borderId="3" applyNumberFormat="0" applyAlignment="0" applyProtection="0"/>
    <xf numFmtId="0" fontId="12" fillId="0" borderId="4">
      <alignment horizontal="left" wrapText="1"/>
    </xf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4" borderId="0" applyNumberFormat="0" applyBorder="0" applyAlignment="0" applyProtection="0"/>
    <xf numFmtId="0" fontId="20" fillId="4" borderId="0" applyNumberFormat="0" applyBorder="0" applyAlignment="0" applyProtection="0"/>
    <xf numFmtId="0" fontId="20" fillId="4" borderId="0" applyNumberFormat="0" applyBorder="0" applyAlignment="0" applyProtection="0"/>
    <xf numFmtId="0" fontId="20" fillId="4" borderId="0" applyNumberFormat="0" applyBorder="0" applyAlignment="0" applyProtection="0"/>
    <xf numFmtId="0" fontId="21" fillId="0" borderId="7" applyNumberFormat="0" applyFill="0" applyAlignment="0" applyProtection="0"/>
    <xf numFmtId="0" fontId="21" fillId="0" borderId="7" applyNumberFormat="0" applyFill="0" applyAlignment="0" applyProtection="0"/>
    <xf numFmtId="0" fontId="21" fillId="0" borderId="7" applyNumberFormat="0" applyFill="0" applyAlignment="0" applyProtection="0"/>
    <xf numFmtId="0" fontId="21" fillId="0" borderId="7" applyNumberFormat="0" applyFill="0" applyAlignment="0" applyProtection="0"/>
    <xf numFmtId="0" fontId="22" fillId="0" borderId="8" applyNumberFormat="0" applyFill="0" applyAlignment="0" applyProtection="0"/>
    <xf numFmtId="0" fontId="22" fillId="0" borderId="8" applyNumberFormat="0" applyFill="0" applyAlignment="0" applyProtection="0"/>
    <xf numFmtId="0" fontId="22" fillId="0" borderId="8" applyNumberFormat="0" applyFill="0" applyAlignment="0" applyProtection="0"/>
    <xf numFmtId="0" fontId="22" fillId="0" borderId="8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25" fillId="0" borderId="0" applyNumberFormat="0" applyFill="0" applyBorder="0" applyAlignment="0" applyProtection="0">
      <alignment vertical="top"/>
      <protection locked="0"/>
    </xf>
    <xf numFmtId="0" fontId="18" fillId="7" borderId="1" applyNumberFormat="0" applyAlignment="0" applyProtection="0"/>
    <xf numFmtId="0" fontId="18" fillId="7" borderId="1" applyNumberFormat="0" applyAlignment="0" applyProtection="0"/>
    <xf numFmtId="0" fontId="18" fillId="7" borderId="1" applyNumberFormat="0" applyAlignment="0" applyProtection="0"/>
    <xf numFmtId="0" fontId="18" fillId="7" borderId="1" applyNumberFormat="0" applyAlignment="0" applyProtection="0"/>
    <xf numFmtId="0" fontId="18" fillId="7" borderId="1" applyNumberFormat="0" applyAlignment="0" applyProtection="0"/>
    <xf numFmtId="0" fontId="15" fillId="3" borderId="0" applyNumberFormat="0" applyBorder="0" applyAlignment="0" applyProtection="0"/>
    <xf numFmtId="0" fontId="25" fillId="0" borderId="0" applyNumberFormat="0" applyFill="0" applyBorder="0" applyAlignment="0" applyProtection="0">
      <alignment vertical="top"/>
      <protection locked="0"/>
    </xf>
    <xf numFmtId="166" fontId="26" fillId="22" borderId="0" applyNumberFormat="0" applyBorder="0">
      <alignment horizontal="right"/>
      <protection locked="0"/>
    </xf>
    <xf numFmtId="0" fontId="17" fillId="0" borderId="2" applyNumberFormat="0" applyFill="0" applyAlignment="0" applyProtection="0"/>
    <xf numFmtId="0" fontId="17" fillId="0" borderId="2" applyNumberFormat="0" applyFill="0" applyAlignment="0" applyProtection="0"/>
    <xf numFmtId="0" fontId="17" fillId="0" borderId="2" applyNumberFormat="0" applyFill="0" applyAlignment="0" applyProtection="0"/>
    <xf numFmtId="0" fontId="17" fillId="0" borderId="2" applyNumberFormat="0" applyFill="0" applyAlignment="0" applyProtection="0"/>
    <xf numFmtId="0" fontId="17" fillId="0" borderId="2" applyNumberFormat="0" applyFill="0" applyAlignment="0" applyProtection="0"/>
    <xf numFmtId="167" fontId="27" fillId="23" borderId="0" applyNumberFormat="0" applyBorder="0">
      <alignment horizontal="right" vertical="center"/>
      <protection locked="0"/>
    </xf>
    <xf numFmtId="168" fontId="27" fillId="24" borderId="0" applyNumberFormat="0" applyBorder="0">
      <alignment horizontal="right" vertical="center"/>
      <protection locked="0"/>
    </xf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8" fillId="25" borderId="0"/>
    <xf numFmtId="0" fontId="29" fillId="26" borderId="0" applyNumberFormat="0" applyBorder="0" applyAlignment="0" applyProtection="0"/>
    <xf numFmtId="0" fontId="29" fillId="26" borderId="0" applyNumberFormat="0" applyBorder="0" applyAlignment="0" applyProtection="0"/>
    <xf numFmtId="0" fontId="29" fillId="26" borderId="0" applyNumberFormat="0" applyBorder="0" applyAlignment="0" applyProtection="0"/>
    <xf numFmtId="0" fontId="29" fillId="26" borderId="0" applyNumberFormat="0" applyBorder="0" applyAlignment="0" applyProtection="0"/>
    <xf numFmtId="0" fontId="29" fillId="26" borderId="0" applyNumberFormat="0" applyBorder="0" applyAlignment="0" applyProtection="0"/>
    <xf numFmtId="0" fontId="28" fillId="25" borderId="0"/>
    <xf numFmtId="0" fontId="28" fillId="25" borderId="0"/>
    <xf numFmtId="169" fontId="30" fillId="0" borderId="0"/>
    <xf numFmtId="0" fontId="2" fillId="0" borderId="0"/>
    <xf numFmtId="0" fontId="1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3" fillId="21" borderId="5" applyNumberFormat="0" applyFont="0" applyAlignment="0" applyProtection="0"/>
    <xf numFmtId="0" fontId="13" fillId="21" borderId="5" applyNumberFormat="0" applyFont="0" applyAlignment="0" applyProtection="0"/>
    <xf numFmtId="0" fontId="13" fillId="21" borderId="5" applyNumberFormat="0" applyFont="0" applyAlignment="0" applyProtection="0"/>
    <xf numFmtId="0" fontId="13" fillId="21" borderId="5" applyNumberFormat="0" applyFont="0" applyAlignment="0" applyProtection="0"/>
    <xf numFmtId="0" fontId="13" fillId="21" borderId="5" applyNumberFormat="0" applyFont="0" applyAlignment="0" applyProtection="0"/>
    <xf numFmtId="0" fontId="28" fillId="25" borderId="0"/>
    <xf numFmtId="0" fontId="31" fillId="7" borderId="10" applyNumberFormat="0" applyAlignment="0" applyProtection="0"/>
    <xf numFmtId="0" fontId="31" fillId="7" borderId="10" applyNumberFormat="0" applyAlignment="0" applyProtection="0"/>
    <xf numFmtId="0" fontId="31" fillId="7" borderId="10" applyNumberFormat="0" applyAlignment="0" applyProtection="0"/>
    <xf numFmtId="0" fontId="31" fillId="7" borderId="10" applyNumberForma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0" fillId="12" borderId="0" applyNumberFormat="0" applyBorder="0" applyAlignment="0" applyProtection="0"/>
    <xf numFmtId="0" fontId="31" fillId="27" borderId="10" applyNumberFormat="0" applyAlignment="0" applyProtection="0"/>
    <xf numFmtId="0" fontId="19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170" fontId="34" fillId="28" borderId="0" applyNumberFormat="0" applyBorder="0">
      <alignment horizontal="left" vertical="center"/>
      <protection locked="0"/>
    </xf>
    <xf numFmtId="170" fontId="35" fillId="22" borderId="0" applyNumberFormat="0" applyBorder="0">
      <alignment horizontal="left"/>
      <protection locked="0"/>
    </xf>
    <xf numFmtId="0" fontId="36" fillId="0" borderId="6" applyNumberFormat="0" applyFill="0" applyAlignment="0" applyProtection="0"/>
    <xf numFmtId="0" fontId="37" fillId="0" borderId="11" applyNumberFormat="0" applyFill="0" applyAlignment="0" applyProtection="0"/>
    <xf numFmtId="0" fontId="38" fillId="0" borderId="12" applyNumberFormat="0" applyFill="0" applyAlignment="0" applyProtection="0"/>
    <xf numFmtId="0" fontId="38" fillId="0" borderId="0" applyNumberFormat="0" applyFill="0" applyBorder="0" applyAlignment="0" applyProtection="0"/>
    <xf numFmtId="0" fontId="39" fillId="0" borderId="13" applyNumberFormat="0" applyFill="0" applyAlignment="0" applyProtection="0"/>
    <xf numFmtId="0" fontId="39" fillId="0" borderId="13" applyNumberFormat="0" applyFill="0" applyAlignment="0" applyProtection="0"/>
    <xf numFmtId="0" fontId="39" fillId="0" borderId="13" applyNumberFormat="0" applyFill="0" applyAlignment="0" applyProtection="0"/>
    <xf numFmtId="0" fontId="39" fillId="0" borderId="13" applyNumberFormat="0" applyFill="0" applyAlignment="0" applyProtection="0"/>
    <xf numFmtId="0" fontId="39" fillId="0" borderId="13" applyNumberFormat="0" applyFill="0" applyAlignment="0" applyProtection="0"/>
    <xf numFmtId="0" fontId="10" fillId="20" borderId="3" applyNumberFormat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239">
    <xf numFmtId="0" fontId="0" fillId="0" borderId="0" xfId="0"/>
    <xf numFmtId="0" fontId="4" fillId="0" borderId="0" xfId="205" applyFont="1" applyFill="1" applyBorder="1" applyAlignment="1" applyProtection="1">
      <alignment vertical="center"/>
    </xf>
    <xf numFmtId="0" fontId="4" fillId="0" borderId="0" xfId="205" applyFont="1" applyFill="1" applyBorder="1" applyAlignment="1" applyProtection="1">
      <alignment horizontal="left" vertical="center"/>
    </xf>
    <xf numFmtId="0" fontId="8" fillId="0" borderId="0" xfId="205" applyFont="1" applyBorder="1" applyAlignment="1" applyProtection="1">
      <alignment vertical="center"/>
    </xf>
    <xf numFmtId="0" fontId="4" fillId="0" borderId="0" xfId="205" applyFont="1" applyFill="1" applyAlignment="1" applyProtection="1">
      <alignment vertical="center"/>
    </xf>
    <xf numFmtId="0" fontId="5" fillId="0" borderId="0" xfId="222" applyFont="1" applyAlignment="1" applyProtection="1"/>
    <xf numFmtId="0" fontId="47" fillId="0" borderId="0" xfId="0" applyFont="1" applyFill="1" applyProtection="1">
      <protection locked="0"/>
    </xf>
    <xf numFmtId="0" fontId="2" fillId="0" borderId="0" xfId="0" applyFont="1" applyProtection="1">
      <protection locked="0"/>
    </xf>
    <xf numFmtId="0" fontId="0" fillId="0" borderId="0" xfId="0" applyProtection="1">
      <protection locked="0"/>
    </xf>
    <xf numFmtId="0" fontId="48" fillId="30" borderId="14" xfId="0" applyFont="1" applyFill="1" applyBorder="1" applyAlignment="1" applyProtection="1">
      <alignment horizontal="left"/>
      <protection locked="0"/>
    </xf>
    <xf numFmtId="0" fontId="46" fillId="30" borderId="15" xfId="0" applyFont="1" applyFill="1" applyBorder="1" applyProtection="1">
      <protection locked="0"/>
    </xf>
    <xf numFmtId="0" fontId="45" fillId="31" borderId="16" xfId="0" applyFont="1" applyFill="1" applyBorder="1" applyProtection="1">
      <protection locked="0"/>
    </xf>
    <xf numFmtId="0" fontId="45" fillId="0" borderId="16" xfId="0" applyFont="1" applyBorder="1" applyProtection="1">
      <protection locked="0"/>
    </xf>
    <xf numFmtId="0" fontId="45" fillId="0" borderId="16" xfId="0" applyNumberFormat="1" applyFont="1" applyBorder="1" applyProtection="1">
      <protection locked="0"/>
    </xf>
    <xf numFmtId="0" fontId="0" fillId="0" borderId="0" xfId="0" applyProtection="1"/>
    <xf numFmtId="0" fontId="0" fillId="0" borderId="0" xfId="0" applyBorder="1" applyProtection="1"/>
    <xf numFmtId="0" fontId="4" fillId="0" borderId="0" xfId="0" applyFont="1" applyFill="1" applyAlignment="1" applyProtection="1">
      <alignment horizontal="left" indent="1"/>
    </xf>
    <xf numFmtId="0" fontId="4" fillId="30" borderId="0" xfId="0" applyFont="1" applyFill="1" applyAlignment="1" applyProtection="1">
      <alignment horizontal="left" indent="1"/>
    </xf>
    <xf numFmtId="0" fontId="0" fillId="0" borderId="0" xfId="0" applyFill="1" applyAlignment="1" applyProtection="1"/>
    <xf numFmtId="0" fontId="6" fillId="32" borderId="0" xfId="0" applyFont="1" applyFill="1" applyBorder="1" applyAlignment="1" applyProtection="1">
      <alignment horizontal="left" vertical="center"/>
    </xf>
    <xf numFmtId="0" fontId="5" fillId="29" borderId="19" xfId="0" applyFont="1" applyFill="1" applyBorder="1" applyAlignment="1" applyProtection="1">
      <alignment horizontal="left" vertical="center"/>
    </xf>
    <xf numFmtId="0" fontId="40" fillId="0" borderId="0" xfId="0" applyFont="1" applyFill="1" applyAlignment="1" applyProtection="1"/>
    <xf numFmtId="0" fontId="5" fillId="0" borderId="0" xfId="0" applyFont="1" applyFill="1" applyBorder="1" applyAlignment="1" applyProtection="1">
      <alignment horizontal="left" vertical="center"/>
    </xf>
    <xf numFmtId="0" fontId="4" fillId="0" borderId="0" xfId="0" applyFont="1" applyBorder="1" applyProtection="1"/>
    <xf numFmtId="0" fontId="4" fillId="0" borderId="0" xfId="0" applyFont="1" applyProtection="1"/>
    <xf numFmtId="0" fontId="49" fillId="33" borderId="4" xfId="0" applyFont="1" applyFill="1" applyBorder="1" applyAlignment="1" applyProtection="1">
      <alignment horizontal="center"/>
    </xf>
    <xf numFmtId="0" fontId="0" fillId="34" borderId="4" xfId="0" applyFill="1" applyBorder="1" applyProtection="1">
      <protection locked="0"/>
    </xf>
    <xf numFmtId="0" fontId="0" fillId="30" borderId="4" xfId="0" applyFill="1" applyBorder="1" applyProtection="1">
      <protection locked="0"/>
    </xf>
    <xf numFmtId="0" fontId="45" fillId="0" borderId="20" xfId="0" applyFont="1" applyBorder="1" applyProtection="1">
      <protection locked="0"/>
    </xf>
    <xf numFmtId="0" fontId="0" fillId="0" borderId="0" xfId="0" applyProtection="1"/>
    <xf numFmtId="0" fontId="2" fillId="0" borderId="0" xfId="0" applyFont="1" applyProtection="1"/>
    <xf numFmtId="0" fontId="6" fillId="0" borderId="0" xfId="0" applyFont="1" applyFill="1" applyBorder="1" applyAlignment="1" applyProtection="1">
      <alignment horizontal="left" vertical="center"/>
    </xf>
    <xf numFmtId="0" fontId="5" fillId="0" borderId="22" xfId="0" applyFont="1" applyFill="1" applyBorder="1" applyAlignment="1" applyProtection="1">
      <alignment horizontal="left" vertical="center"/>
      <protection locked="0"/>
    </xf>
    <xf numFmtId="0" fontId="5" fillId="0" borderId="0" xfId="0" applyFont="1" applyFill="1" applyBorder="1" applyAlignment="1" applyProtection="1">
      <alignment horizontal="left" vertical="center"/>
      <protection locked="0"/>
    </xf>
    <xf numFmtId="0" fontId="0" fillId="0" borderId="23" xfId="0" applyBorder="1" applyProtection="1"/>
    <xf numFmtId="0" fontId="2" fillId="0" borderId="24" xfId="0" applyFont="1" applyBorder="1" applyProtection="1"/>
    <xf numFmtId="0" fontId="3" fillId="36" borderId="24" xfId="205" applyFont="1" applyFill="1" applyBorder="1" applyAlignment="1" applyProtection="1">
      <alignment horizontal="center" vertical="center"/>
    </xf>
    <xf numFmtId="0" fontId="0" fillId="0" borderId="27" xfId="0" applyBorder="1" applyProtection="1"/>
    <xf numFmtId="0" fontId="0" fillId="0" borderId="26" xfId="0" applyBorder="1" applyProtection="1"/>
    <xf numFmtId="0" fontId="49" fillId="0" borderId="27" xfId="0" applyFont="1" applyBorder="1" applyAlignment="1" applyProtection="1">
      <alignment horizontal="center"/>
    </xf>
    <xf numFmtId="0" fontId="0" fillId="35" borderId="0" xfId="0" applyFill="1" applyProtection="1"/>
    <xf numFmtId="0" fontId="0" fillId="35" borderId="18" xfId="0" applyFill="1" applyBorder="1" applyProtection="1"/>
    <xf numFmtId="0" fontId="0" fillId="35" borderId="28" xfId="0" applyFill="1" applyBorder="1" applyProtection="1"/>
    <xf numFmtId="0" fontId="4" fillId="35" borderId="0" xfId="205" applyFont="1" applyFill="1" applyBorder="1" applyAlignment="1" applyProtection="1">
      <alignment vertical="center"/>
    </xf>
    <xf numFmtId="0" fontId="4" fillId="35" borderId="28" xfId="205" applyFont="1" applyFill="1" applyBorder="1" applyAlignment="1" applyProtection="1">
      <alignment vertical="center"/>
    </xf>
    <xf numFmtId="0" fontId="2" fillId="35" borderId="28" xfId="0" applyFont="1" applyFill="1" applyBorder="1" applyProtection="1"/>
    <xf numFmtId="0" fontId="44" fillId="35" borderId="28" xfId="0" applyFont="1" applyFill="1" applyBorder="1" applyProtection="1"/>
    <xf numFmtId="0" fontId="51" fillId="35" borderId="0" xfId="0" applyFont="1" applyFill="1" applyAlignment="1" applyProtection="1">
      <alignment horizontal="right"/>
    </xf>
    <xf numFmtId="0" fontId="0" fillId="35" borderId="0" xfId="0" applyFill="1" applyBorder="1" applyProtection="1"/>
    <xf numFmtId="0" fontId="2" fillId="35" borderId="0" xfId="0" applyFont="1" applyFill="1" applyProtection="1"/>
    <xf numFmtId="0" fontId="44" fillId="35" borderId="0" xfId="0" applyFont="1" applyFill="1" applyAlignment="1" applyProtection="1">
      <alignment horizontal="right"/>
    </xf>
    <xf numFmtId="0" fontId="4" fillId="37" borderId="0" xfId="205" applyFont="1" applyFill="1" applyBorder="1" applyAlignment="1" applyProtection="1">
      <alignment vertical="center"/>
    </xf>
    <xf numFmtId="0" fontId="0" fillId="35" borderId="17" xfId="0" applyFill="1" applyBorder="1" applyProtection="1"/>
    <xf numFmtId="0" fontId="44" fillId="35" borderId="0" xfId="0" applyFont="1" applyFill="1" applyBorder="1" applyAlignment="1" applyProtection="1">
      <alignment horizontal="right"/>
    </xf>
    <xf numFmtId="0" fontId="50" fillId="35" borderId="0" xfId="0" applyFont="1" applyFill="1" applyBorder="1" applyProtection="1"/>
    <xf numFmtId="0" fontId="2" fillId="35" borderId="0" xfId="0" applyFont="1" applyFill="1" applyBorder="1" applyProtection="1"/>
    <xf numFmtId="0" fontId="0" fillId="36" borderId="4" xfId="0" applyFill="1" applyBorder="1" applyProtection="1">
      <protection locked="0"/>
    </xf>
    <xf numFmtId="0" fontId="12" fillId="0" borderId="0" xfId="0" applyFont="1"/>
    <xf numFmtId="0" fontId="52" fillId="0" borderId="0" xfId="0" applyFont="1" applyAlignment="1" applyProtection="1">
      <alignment horizontal="right"/>
    </xf>
    <xf numFmtId="0" fontId="52" fillId="0" borderId="27" xfId="0" applyFont="1" applyBorder="1" applyAlignment="1" applyProtection="1">
      <alignment horizontal="center"/>
    </xf>
    <xf numFmtId="0" fontId="2" fillId="0" borderId="27" xfId="0" applyFont="1" applyBorder="1" applyProtection="1"/>
    <xf numFmtId="0" fontId="2" fillId="0" borderId="26" xfId="0" applyFont="1" applyFill="1" applyBorder="1" applyProtection="1"/>
    <xf numFmtId="0" fontId="2" fillId="0" borderId="25" xfId="0" applyFont="1" applyFill="1" applyBorder="1" applyProtection="1"/>
    <xf numFmtId="0" fontId="4" fillId="0" borderId="26" xfId="205" applyFont="1" applyFill="1" applyBorder="1" applyAlignment="1" applyProtection="1">
      <alignment vertical="center"/>
    </xf>
    <xf numFmtId="0" fontId="0" fillId="0" borderId="25" xfId="0" applyBorder="1" applyProtection="1"/>
    <xf numFmtId="0" fontId="41" fillId="0" borderId="0" xfId="0" applyFont="1" applyFill="1" applyBorder="1" applyAlignment="1" applyProtection="1">
      <alignment vertical="center" wrapText="1"/>
    </xf>
    <xf numFmtId="0" fontId="7" fillId="0" borderId="0" xfId="0" applyFont="1" applyFill="1" applyBorder="1" applyAlignment="1" applyProtection="1">
      <alignment vertical="center" wrapText="1"/>
    </xf>
    <xf numFmtId="0" fontId="54" fillId="39" borderId="0" xfId="0" applyFont="1" applyFill="1" applyBorder="1" applyProtection="1"/>
    <xf numFmtId="0" fontId="54" fillId="30" borderId="29" xfId="0" applyFont="1" applyFill="1" applyBorder="1" applyProtection="1"/>
    <xf numFmtId="0" fontId="12" fillId="35" borderId="0" xfId="0" applyFont="1" applyFill="1" applyAlignment="1" applyProtection="1">
      <alignment horizontal="right" vertical="center"/>
    </xf>
    <xf numFmtId="0" fontId="52" fillId="35" borderId="0" xfId="0" applyFont="1" applyFill="1" applyProtection="1"/>
    <xf numFmtId="0" fontId="49" fillId="35" borderId="0" xfId="0" applyFont="1" applyFill="1" applyProtection="1"/>
    <xf numFmtId="0" fontId="12" fillId="35" borderId="28" xfId="0" applyFont="1" applyFill="1" applyBorder="1" applyProtection="1"/>
    <xf numFmtId="0" fontId="44" fillId="35" borderId="0" xfId="0" applyFont="1" applyFill="1" applyBorder="1" applyProtection="1"/>
    <xf numFmtId="0" fontId="42" fillId="0" borderId="34" xfId="205" applyFont="1" applyFill="1" applyBorder="1" applyAlignment="1" applyProtection="1">
      <alignment vertical="center"/>
    </xf>
    <xf numFmtId="0" fontId="55" fillId="0" borderId="0" xfId="205" applyFont="1" applyFill="1" applyBorder="1" applyAlignment="1" applyProtection="1">
      <alignment vertical="center"/>
    </xf>
    <xf numFmtId="0" fontId="56" fillId="0" borderId="0" xfId="0" applyFont="1"/>
    <xf numFmtId="0" fontId="42" fillId="29" borderId="0" xfId="222" applyFont="1" applyFill="1" applyBorder="1" applyAlignment="1">
      <alignment vertical="center" wrapText="1"/>
    </xf>
    <xf numFmtId="0" fontId="0" fillId="0" borderId="0" xfId="0" applyFill="1" applyBorder="1" applyProtection="1"/>
    <xf numFmtId="0" fontId="12" fillId="0" borderId="0" xfId="0" applyFont="1" applyFill="1" applyBorder="1" applyProtection="1"/>
    <xf numFmtId="0" fontId="2" fillId="0" borderId="0" xfId="0" applyFont="1" applyFill="1" applyBorder="1" applyProtection="1"/>
    <xf numFmtId="0" fontId="12" fillId="0" borderId="0" xfId="0" applyFont="1" applyFill="1" applyProtection="1"/>
    <xf numFmtId="0" fontId="44" fillId="0" borderId="0" xfId="0" applyFont="1" applyFill="1" applyBorder="1" applyProtection="1"/>
    <xf numFmtId="0" fontId="0" fillId="0" borderId="0" xfId="0" applyFill="1"/>
    <xf numFmtId="0" fontId="0" fillId="35" borderId="35" xfId="0" applyFill="1" applyBorder="1" applyProtection="1"/>
    <xf numFmtId="0" fontId="57" fillId="0" borderId="0" xfId="0" applyFont="1"/>
    <xf numFmtId="0" fontId="42" fillId="0" borderId="0" xfId="205" applyFont="1" applyFill="1" applyBorder="1" applyAlignment="1" applyProtection="1">
      <alignment vertical="center"/>
    </xf>
    <xf numFmtId="0" fontId="42" fillId="0" borderId="0" xfId="222" applyFont="1" applyFill="1" applyBorder="1" applyAlignment="1">
      <alignment vertical="center" wrapText="1"/>
    </xf>
    <xf numFmtId="0" fontId="49" fillId="0" borderId="0" xfId="0" applyFont="1" applyFill="1" applyBorder="1" applyAlignment="1" applyProtection="1">
      <alignment horizontal="center"/>
    </xf>
    <xf numFmtId="0" fontId="0" fillId="0" borderId="0" xfId="0" applyFill="1" applyBorder="1"/>
    <xf numFmtId="0" fontId="53" fillId="0" borderId="0" xfId="0" applyNumberFormat="1" applyFont="1" applyFill="1" applyBorder="1"/>
    <xf numFmtId="0" fontId="4" fillId="0" borderId="0" xfId="0" applyFont="1" applyFill="1" applyBorder="1" applyAlignment="1" applyProtection="1">
      <alignment horizontal="left" indent="1"/>
    </xf>
    <xf numFmtId="0" fontId="6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right" vertical="center"/>
    </xf>
    <xf numFmtId="172" fontId="42" fillId="0" borderId="34" xfId="205" applyNumberFormat="1" applyFont="1" applyFill="1" applyBorder="1" applyAlignment="1" applyProtection="1">
      <alignment horizontal="right" vertical="center" indent="1"/>
    </xf>
    <xf numFmtId="0" fontId="50" fillId="39" borderId="0" xfId="0" applyFont="1" applyFill="1" applyBorder="1" applyProtection="1"/>
    <xf numFmtId="0" fontId="59" fillId="35" borderId="0" xfId="0" applyFont="1" applyFill="1" applyProtection="1"/>
    <xf numFmtId="0" fontId="3" fillId="0" borderId="0" xfId="222" applyFont="1" applyProtection="1"/>
    <xf numFmtId="0" fontId="60" fillId="0" borderId="0" xfId="205" applyFont="1" applyFill="1" applyBorder="1" applyAlignment="1" applyProtection="1">
      <alignment vertical="center"/>
    </xf>
    <xf numFmtId="0" fontId="3" fillId="0" borderId="0" xfId="222" applyFont="1" applyAlignment="1" applyProtection="1">
      <alignment horizontal="right" indent="1"/>
    </xf>
    <xf numFmtId="0" fontId="4" fillId="0" borderId="0" xfId="222" applyFont="1" applyAlignment="1" applyProtection="1">
      <alignment horizontal="right" indent="1"/>
    </xf>
    <xf numFmtId="0" fontId="60" fillId="0" borderId="0" xfId="205" applyFont="1" applyFill="1" applyBorder="1" applyAlignment="1" applyProtection="1">
      <alignment horizontal="right" vertical="center" indent="1"/>
    </xf>
    <xf numFmtId="0" fontId="61" fillId="0" borderId="0" xfId="205" applyFont="1" applyFill="1" applyBorder="1" applyAlignment="1" applyProtection="1">
      <alignment horizontal="right" vertical="center" indent="1"/>
    </xf>
    <xf numFmtId="0" fontId="2" fillId="0" borderId="0" xfId="0" applyFont="1"/>
    <xf numFmtId="0" fontId="7" fillId="0" borderId="0" xfId="0" applyFont="1" applyFill="1" applyBorder="1" applyAlignment="1" applyProtection="1">
      <alignment horizontal="center" vertical="center" wrapText="1"/>
    </xf>
    <xf numFmtId="0" fontId="0" fillId="0" borderId="40" xfId="0" applyBorder="1" applyProtection="1"/>
    <xf numFmtId="0" fontId="12" fillId="35" borderId="40" xfId="0" applyFont="1" applyFill="1" applyBorder="1" applyProtection="1"/>
    <xf numFmtId="0" fontId="0" fillId="0" borderId="26" xfId="0" applyFill="1" applyBorder="1" applyProtection="1"/>
    <xf numFmtId="0" fontId="1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73" fontId="0" fillId="0" borderId="0" xfId="0" applyNumberFormat="1" applyAlignment="1" applyProtection="1">
      <alignment horizontal="center"/>
      <protection locked="0"/>
    </xf>
    <xf numFmtId="0" fontId="59" fillId="35" borderId="0" xfId="0" applyFont="1" applyFill="1" applyBorder="1" applyAlignment="1" applyProtection="1">
      <alignment vertical="center"/>
    </xf>
    <xf numFmtId="0" fontId="5" fillId="29" borderId="19" xfId="0" applyFont="1" applyFill="1" applyBorder="1" applyAlignment="1" applyProtection="1">
      <alignment vertical="center"/>
    </xf>
    <xf numFmtId="0" fontId="7" fillId="32" borderId="42" xfId="0" applyFont="1" applyFill="1" applyBorder="1" applyAlignment="1" applyProtection="1">
      <alignment horizontal="center" vertical="center" wrapText="1"/>
    </xf>
    <xf numFmtId="0" fontId="2" fillId="0" borderId="0" xfId="0" applyFont="1" applyFill="1" applyBorder="1"/>
    <xf numFmtId="0" fontId="41" fillId="0" borderId="30" xfId="0" applyFont="1" applyFill="1" applyBorder="1" applyAlignment="1" applyProtection="1">
      <alignment vertical="center" wrapText="1"/>
    </xf>
    <xf numFmtId="172" fontId="6" fillId="0" borderId="41" xfId="0" applyNumberFormat="1" applyFont="1" applyFill="1" applyBorder="1" applyAlignment="1">
      <alignment horizontal="right" vertical="center" indent="1"/>
    </xf>
    <xf numFmtId="0" fontId="7" fillId="32" borderId="44" xfId="0" applyFont="1" applyFill="1" applyBorder="1" applyAlignment="1" applyProtection="1">
      <alignment horizontal="center" vertical="center" wrapText="1"/>
    </xf>
    <xf numFmtId="0" fontId="64" fillId="0" borderId="27" xfId="0" applyFont="1" applyBorder="1" applyAlignment="1" applyProtection="1">
      <alignment horizontal="center"/>
    </xf>
    <xf numFmtId="0" fontId="9" fillId="0" borderId="0" xfId="196" applyFont="1" applyFill="1" applyBorder="1" applyAlignment="1" applyProtection="1">
      <alignment horizontal="center" vertical="center" wrapText="1"/>
    </xf>
    <xf numFmtId="0" fontId="65" fillId="35" borderId="0" xfId="196" applyFont="1" applyFill="1" applyBorder="1" applyAlignment="1">
      <alignment horizontal="center" vertical="center"/>
    </xf>
    <xf numFmtId="0" fontId="2" fillId="35" borderId="18" xfId="0" applyFont="1" applyFill="1" applyBorder="1" applyProtection="1"/>
    <xf numFmtId="0" fontId="44" fillId="35" borderId="0" xfId="0" applyFont="1" applyFill="1" applyBorder="1" applyAlignment="1" applyProtection="1">
      <alignment horizontal="left"/>
    </xf>
    <xf numFmtId="0" fontId="4" fillId="29" borderId="0" xfId="205" applyFont="1" applyFill="1" applyBorder="1" applyAlignment="1" applyProtection="1">
      <alignment horizontal="left" vertical="center"/>
    </xf>
    <xf numFmtId="0" fontId="4" fillId="29" borderId="0" xfId="205" applyFont="1" applyFill="1" applyBorder="1" applyAlignment="1" applyProtection="1">
      <alignment vertical="center"/>
    </xf>
    <xf numFmtId="0" fontId="4" fillId="40" borderId="0" xfId="205" applyFont="1" applyFill="1" applyBorder="1" applyAlignment="1" applyProtection="1">
      <alignment vertical="center"/>
    </xf>
    <xf numFmtId="0" fontId="4" fillId="40" borderId="0" xfId="205" applyFont="1" applyFill="1" applyBorder="1" applyAlignment="1" applyProtection="1">
      <alignment horizontal="left" vertical="center"/>
    </xf>
    <xf numFmtId="0" fontId="3" fillId="29" borderId="0" xfId="205" applyFont="1" applyFill="1" applyBorder="1" applyAlignment="1" applyProtection="1">
      <alignment horizontal="center" vertical="center"/>
    </xf>
    <xf numFmtId="0" fontId="52" fillId="0" borderId="0" xfId="0" applyFont="1" applyAlignment="1" applyProtection="1">
      <alignment horizontal="left" vertical="center"/>
    </xf>
    <xf numFmtId="0" fontId="66" fillId="0" borderId="0" xfId="205" applyFont="1" applyFill="1" applyBorder="1" applyAlignment="1" applyProtection="1">
      <alignment horizontal="center" vertical="center"/>
    </xf>
    <xf numFmtId="0" fontId="67" fillId="0" borderId="0" xfId="205" applyFont="1" applyFill="1" applyBorder="1" applyAlignment="1" applyProtection="1">
      <alignment horizontal="right" vertical="center"/>
    </xf>
    <xf numFmtId="0" fontId="68" fillId="0" borderId="0" xfId="0" applyFont="1" applyProtection="1"/>
    <xf numFmtId="0" fontId="67" fillId="0" borderId="0" xfId="205" applyFont="1" applyFill="1" applyBorder="1" applyAlignment="1" applyProtection="1">
      <alignment vertical="center"/>
    </xf>
    <xf numFmtId="0" fontId="69" fillId="0" borderId="0" xfId="205" applyFont="1" applyFill="1" applyBorder="1" applyAlignment="1" applyProtection="1">
      <alignment vertical="center"/>
    </xf>
    <xf numFmtId="0" fontId="51" fillId="0" borderId="0" xfId="0" applyFont="1" applyProtection="1"/>
    <xf numFmtId="0" fontId="72" fillId="0" borderId="0" xfId="205" applyFont="1" applyFill="1" applyAlignment="1" applyProtection="1">
      <alignment vertical="center"/>
    </xf>
    <xf numFmtId="0" fontId="73" fillId="0" borderId="0" xfId="0" applyFont="1" applyProtection="1"/>
    <xf numFmtId="3" fontId="70" fillId="0" borderId="4" xfId="205" applyNumberFormat="1" applyFont="1" applyFill="1" applyBorder="1" applyAlignment="1" applyProtection="1">
      <alignment horizontal="center" vertical="center"/>
    </xf>
    <xf numFmtId="3" fontId="0" fillId="0" borderId="0" xfId="0" applyNumberFormat="1" applyProtection="1"/>
    <xf numFmtId="3" fontId="4" fillId="0" borderId="0" xfId="0" applyNumberFormat="1" applyFont="1" applyProtection="1"/>
    <xf numFmtId="3" fontId="71" fillId="0" borderId="0" xfId="205" applyNumberFormat="1" applyFont="1" applyFill="1" applyBorder="1" applyAlignment="1" applyProtection="1">
      <alignment vertical="center"/>
    </xf>
    <xf numFmtId="0" fontId="42" fillId="0" borderId="0" xfId="222" applyFont="1" applyFill="1" applyBorder="1" applyAlignment="1" applyProtection="1">
      <alignment vertical="center" wrapText="1"/>
    </xf>
    <xf numFmtId="0" fontId="65" fillId="35" borderId="0" xfId="196" applyFont="1" applyFill="1" applyBorder="1" applyAlignment="1" applyProtection="1">
      <alignment horizontal="center" vertical="center"/>
    </xf>
    <xf numFmtId="0" fontId="7" fillId="0" borderId="32" xfId="0" applyFont="1" applyFill="1" applyBorder="1" applyAlignment="1" applyProtection="1">
      <alignment vertical="center" wrapText="1"/>
    </xf>
    <xf numFmtId="0" fontId="3" fillId="37" borderId="0" xfId="205" applyFont="1" applyFill="1" applyBorder="1" applyAlignment="1" applyProtection="1">
      <alignment vertical="center"/>
    </xf>
    <xf numFmtId="174" fontId="4" fillId="0" borderId="0" xfId="205" applyNumberFormat="1" applyFont="1" applyFill="1" applyBorder="1" applyAlignment="1" applyProtection="1">
      <alignment vertical="center"/>
    </xf>
    <xf numFmtId="174" fontId="0" fillId="0" borderId="0" xfId="0" applyNumberFormat="1"/>
    <xf numFmtId="174" fontId="12" fillId="0" borderId="0" xfId="0" applyNumberFormat="1" applyFont="1"/>
    <xf numFmtId="9" fontId="6" fillId="32" borderId="0" xfId="0" applyNumberFormat="1" applyFont="1" applyFill="1" applyBorder="1" applyAlignment="1">
      <alignment horizontal="right" vertical="center" indent="1"/>
    </xf>
    <xf numFmtId="9" fontId="4" fillId="0" borderId="0" xfId="205" applyNumberFormat="1" applyFont="1" applyFill="1" applyBorder="1" applyAlignment="1" applyProtection="1">
      <alignment vertical="center"/>
    </xf>
    <xf numFmtId="9" fontId="0" fillId="0" borderId="0" xfId="0" applyNumberFormat="1"/>
    <xf numFmtId="9" fontId="12" fillId="0" borderId="0" xfId="0" applyNumberFormat="1" applyFont="1"/>
    <xf numFmtId="174" fontId="6" fillId="0" borderId="41" xfId="0" applyNumberFormat="1" applyFont="1" applyFill="1" applyBorder="1" applyAlignment="1">
      <alignment horizontal="right" vertical="center" indent="1"/>
    </xf>
    <xf numFmtId="174" fontId="42" fillId="0" borderId="34" xfId="205" applyNumberFormat="1" applyFont="1" applyFill="1" applyBorder="1" applyAlignment="1" applyProtection="1">
      <alignment horizontal="right" vertical="center" indent="1"/>
    </xf>
    <xf numFmtId="174" fontId="74" fillId="0" borderId="34" xfId="205" applyNumberFormat="1" applyFont="1" applyFill="1" applyBorder="1" applyAlignment="1" applyProtection="1">
      <alignment horizontal="right" vertical="center" indent="1"/>
    </xf>
    <xf numFmtId="9" fontId="74" fillId="0" borderId="34" xfId="205" applyNumberFormat="1" applyFont="1" applyFill="1" applyBorder="1" applyAlignment="1" applyProtection="1">
      <alignment horizontal="right" vertical="center" indent="1"/>
    </xf>
    <xf numFmtId="174" fontId="0" fillId="0" borderId="0" xfId="0" applyNumberFormat="1" applyProtection="1"/>
    <xf numFmtId="0" fontId="59" fillId="0" borderId="45" xfId="0" applyFont="1" applyBorder="1" applyAlignment="1" applyProtection="1">
      <alignment horizontal="center"/>
    </xf>
    <xf numFmtId="0" fontId="59" fillId="0" borderId="46" xfId="0" applyFont="1" applyBorder="1" applyAlignment="1" applyProtection="1">
      <alignment horizontal="center"/>
    </xf>
    <xf numFmtId="0" fontId="59" fillId="0" borderId="47" xfId="0" applyFont="1" applyBorder="1" applyAlignment="1" applyProtection="1">
      <alignment horizontal="center"/>
    </xf>
    <xf numFmtId="0" fontId="0" fillId="35" borderId="40" xfId="0" applyFill="1" applyBorder="1" applyProtection="1"/>
    <xf numFmtId="0" fontId="41" fillId="38" borderId="0" xfId="0" applyFont="1" applyFill="1" applyBorder="1" applyAlignment="1" applyProtection="1">
      <alignment vertical="center" wrapText="1"/>
    </xf>
    <xf numFmtId="0" fontId="41" fillId="38" borderId="30" xfId="0" applyFont="1" applyFill="1" applyBorder="1" applyAlignment="1" applyProtection="1">
      <alignment vertical="center" wrapText="1"/>
    </xf>
    <xf numFmtId="174" fontId="75" fillId="32" borderId="0" xfId="0" applyNumberFormat="1" applyFont="1" applyFill="1" applyBorder="1" applyAlignment="1">
      <alignment horizontal="right" vertical="center" indent="1"/>
    </xf>
    <xf numFmtId="0" fontId="62" fillId="31" borderId="37" xfId="205" applyFont="1" applyFill="1" applyBorder="1" applyAlignment="1" applyProtection="1">
      <alignment vertical="center"/>
      <protection locked="0"/>
    </xf>
    <xf numFmtId="0" fontId="62" fillId="31" borderId="48" xfId="205" applyFont="1" applyFill="1" applyBorder="1" applyAlignment="1" applyProtection="1">
      <alignment vertical="center"/>
      <protection locked="0"/>
    </xf>
    <xf numFmtId="0" fontId="62" fillId="31" borderId="0" xfId="205" applyFont="1" applyFill="1" applyBorder="1" applyAlignment="1" applyProtection="1">
      <alignment vertical="center"/>
      <protection locked="0"/>
    </xf>
    <xf numFmtId="0" fontId="62" fillId="31" borderId="49" xfId="205" applyFont="1" applyFill="1" applyBorder="1" applyAlignment="1" applyProtection="1">
      <alignment vertical="center"/>
      <protection locked="0"/>
    </xf>
    <xf numFmtId="0" fontId="62" fillId="31" borderId="35" xfId="205" applyFont="1" applyFill="1" applyBorder="1" applyAlignment="1" applyProtection="1">
      <alignment vertical="center"/>
      <protection locked="0"/>
    </xf>
    <xf numFmtId="0" fontId="62" fillId="31" borderId="50" xfId="205" applyFont="1" applyFill="1" applyBorder="1" applyAlignment="1" applyProtection="1">
      <alignment vertical="center"/>
      <protection locked="0"/>
    </xf>
    <xf numFmtId="0" fontId="62" fillId="31" borderId="0" xfId="205" applyFont="1" applyFill="1" applyBorder="1" applyAlignment="1" applyProtection="1">
      <alignment horizontal="center" vertical="center"/>
      <protection locked="0"/>
    </xf>
    <xf numFmtId="0" fontId="62" fillId="31" borderId="35" xfId="205" applyFont="1" applyFill="1" applyBorder="1" applyAlignment="1" applyProtection="1">
      <alignment horizontal="center" vertical="center"/>
      <protection locked="0"/>
    </xf>
    <xf numFmtId="0" fontId="62" fillId="31" borderId="37" xfId="205" applyFont="1" applyFill="1" applyBorder="1" applyAlignment="1" applyProtection="1">
      <alignment horizontal="center" vertical="center"/>
      <protection locked="0"/>
    </xf>
    <xf numFmtId="0" fontId="41" fillId="38" borderId="0" xfId="0" applyFont="1" applyFill="1" applyBorder="1" applyAlignment="1" applyProtection="1">
      <alignment horizontal="center" vertical="center" wrapText="1"/>
    </xf>
    <xf numFmtId="0" fontId="41" fillId="38" borderId="30" xfId="0" applyFont="1" applyFill="1" applyBorder="1" applyAlignment="1" applyProtection="1">
      <alignment horizontal="center" vertical="center" wrapText="1"/>
    </xf>
    <xf numFmtId="0" fontId="76" fillId="41" borderId="0" xfId="222" applyFont="1" applyFill="1" applyBorder="1" applyAlignment="1" applyProtection="1">
      <alignment vertical="center" wrapText="1"/>
    </xf>
    <xf numFmtId="0" fontId="77" fillId="42" borderId="0" xfId="222" applyFont="1" applyFill="1" applyBorder="1" applyAlignment="1" applyProtection="1">
      <alignment vertical="center" wrapText="1"/>
    </xf>
    <xf numFmtId="0" fontId="78" fillId="43" borderId="0" xfId="222" applyFont="1" applyFill="1" applyBorder="1" applyAlignment="1" applyProtection="1">
      <alignment vertical="center" wrapText="1"/>
    </xf>
    <xf numFmtId="0" fontId="79" fillId="44" borderId="0" xfId="222" applyFont="1" applyFill="1" applyBorder="1" applyAlignment="1" applyProtection="1">
      <alignment vertical="center" wrapText="1"/>
    </xf>
    <xf numFmtId="0" fontId="42" fillId="45" borderId="0" xfId="222" applyFont="1" applyFill="1" applyBorder="1" applyAlignment="1" applyProtection="1">
      <alignment vertical="center" wrapText="1"/>
    </xf>
    <xf numFmtId="174" fontId="76" fillId="41" borderId="0" xfId="205" applyNumberFormat="1" applyFont="1" applyFill="1" applyBorder="1" applyAlignment="1" applyProtection="1">
      <alignment horizontal="right" vertical="center" indent="1"/>
    </xf>
    <xf numFmtId="174" fontId="42" fillId="0" borderId="41" xfId="205" applyNumberFormat="1" applyFont="1" applyFill="1" applyBorder="1" applyAlignment="1" applyProtection="1">
      <alignment horizontal="right" vertical="center" indent="1"/>
    </xf>
    <xf numFmtId="174" fontId="77" fillId="42" borderId="0" xfId="205" applyNumberFormat="1" applyFont="1" applyFill="1" applyBorder="1" applyAlignment="1" applyProtection="1">
      <alignment horizontal="right" vertical="center" indent="1"/>
    </xf>
    <xf numFmtId="174" fontId="78" fillId="43" borderId="0" xfId="205" applyNumberFormat="1" applyFont="1" applyFill="1" applyBorder="1" applyAlignment="1" applyProtection="1">
      <alignment horizontal="right" vertical="center" indent="1"/>
    </xf>
    <xf numFmtId="174" fontId="79" fillId="44" borderId="0" xfId="205" applyNumberFormat="1" applyFont="1" applyFill="1" applyBorder="1" applyAlignment="1" applyProtection="1">
      <alignment horizontal="right" vertical="center" indent="1"/>
    </xf>
    <xf numFmtId="0" fontId="76" fillId="41" borderId="0" xfId="222" applyFont="1" applyFill="1" applyBorder="1" applyAlignment="1" applyProtection="1">
      <alignment horizontal="left" vertical="center"/>
    </xf>
    <xf numFmtId="0" fontId="77" fillId="42" borderId="0" xfId="222" applyFont="1" applyFill="1" applyBorder="1" applyAlignment="1" applyProtection="1">
      <alignment horizontal="left" vertical="center"/>
    </xf>
    <xf numFmtId="0" fontId="78" fillId="43" borderId="0" xfId="222" applyFont="1" applyFill="1" applyBorder="1" applyAlignment="1" applyProtection="1">
      <alignment horizontal="left" vertical="center"/>
    </xf>
    <xf numFmtId="0" fontId="79" fillId="44" borderId="0" xfId="222" applyFont="1" applyFill="1" applyBorder="1" applyAlignment="1" applyProtection="1">
      <alignment horizontal="left" vertical="center"/>
    </xf>
    <xf numFmtId="0" fontId="42" fillId="45" borderId="0" xfId="222" applyFont="1" applyFill="1" applyBorder="1" applyAlignment="1" applyProtection="1">
      <alignment horizontal="left" vertical="center"/>
    </xf>
    <xf numFmtId="0" fontId="42" fillId="45" borderId="0" xfId="222" applyFont="1" applyFill="1" applyBorder="1" applyAlignment="1" applyProtection="1">
      <alignment vertical="center"/>
    </xf>
    <xf numFmtId="0" fontId="6" fillId="0" borderId="0" xfId="0" applyFont="1" applyFill="1" applyBorder="1" applyAlignment="1">
      <alignment horizontal="left" vertical="center"/>
    </xf>
    <xf numFmtId="174" fontId="6" fillId="32" borderId="0" xfId="0" applyNumberFormat="1" applyFont="1" applyFill="1" applyBorder="1" applyAlignment="1">
      <alignment horizontal="right" vertical="center" indent="1"/>
    </xf>
    <xf numFmtId="174" fontId="77" fillId="0" borderId="0" xfId="205" applyNumberFormat="1" applyFont="1" applyFill="1" applyBorder="1" applyAlignment="1" applyProtection="1">
      <alignment horizontal="right" vertical="center" indent="1"/>
    </xf>
    <xf numFmtId="174" fontId="78" fillId="41" borderId="0" xfId="205" applyNumberFormat="1" applyFont="1" applyFill="1" applyBorder="1" applyAlignment="1" applyProtection="1">
      <alignment horizontal="right" vertical="center" indent="1"/>
    </xf>
    <xf numFmtId="174" fontId="79" fillId="0" borderId="0" xfId="205" applyNumberFormat="1" applyFont="1" applyFill="1" applyBorder="1" applyAlignment="1" applyProtection="1">
      <alignment horizontal="right" vertical="center" indent="1"/>
    </xf>
    <xf numFmtId="174" fontId="80" fillId="35" borderId="0" xfId="196" applyNumberFormat="1" applyFont="1" applyFill="1" applyBorder="1" applyAlignment="1" applyProtection="1">
      <alignment horizontal="center" vertical="center"/>
    </xf>
    <xf numFmtId="174" fontId="79" fillId="42" borderId="0" xfId="205" applyNumberFormat="1" applyFont="1" applyFill="1" applyBorder="1" applyAlignment="1" applyProtection="1">
      <alignment horizontal="right" vertical="center" indent="1"/>
    </xf>
    <xf numFmtId="174" fontId="81" fillId="43" borderId="0" xfId="205" applyNumberFormat="1" applyFont="1" applyFill="1" applyBorder="1" applyAlignment="1" applyProtection="1">
      <alignment horizontal="right" vertical="center" indent="1"/>
    </xf>
    <xf numFmtId="174" fontId="42" fillId="0" borderId="0" xfId="205" applyNumberFormat="1" applyFont="1" applyFill="1" applyBorder="1" applyAlignment="1" applyProtection="1">
      <alignment horizontal="right" vertical="center" indent="1"/>
    </xf>
    <xf numFmtId="174" fontId="82" fillId="35" borderId="0" xfId="196" applyNumberFormat="1" applyFont="1" applyFill="1" applyBorder="1" applyAlignment="1" applyProtection="1">
      <alignment horizontal="center" vertical="center"/>
    </xf>
    <xf numFmtId="174" fontId="42" fillId="44" borderId="0" xfId="205" applyNumberFormat="1" applyFont="1" applyFill="1" applyBorder="1" applyAlignment="1" applyProtection="1">
      <alignment horizontal="right" vertical="center" indent="1"/>
    </xf>
    <xf numFmtId="0" fontId="58" fillId="47" borderId="0" xfId="0" applyFont="1" applyFill="1" applyAlignment="1" applyProtection="1">
      <alignment vertical="center"/>
    </xf>
    <xf numFmtId="0" fontId="4" fillId="47" borderId="0" xfId="0" applyFont="1" applyFill="1" applyAlignment="1" applyProtection="1">
      <alignment horizontal="left" indent="1"/>
    </xf>
    <xf numFmtId="0" fontId="7" fillId="49" borderId="31" xfId="0" applyFont="1" applyFill="1" applyBorder="1" applyAlignment="1" applyProtection="1">
      <alignment horizontal="center" vertical="center" wrapText="1"/>
    </xf>
    <xf numFmtId="0" fontId="7" fillId="49" borderId="33" xfId="0" applyFont="1" applyFill="1" applyBorder="1" applyAlignment="1" applyProtection="1">
      <alignment horizontal="center" vertical="center" wrapText="1"/>
    </xf>
    <xf numFmtId="0" fontId="7" fillId="49" borderId="39" xfId="0" applyFont="1" applyFill="1" applyBorder="1" applyAlignment="1" applyProtection="1">
      <alignment horizontal="center" vertical="center" wrapText="1"/>
    </xf>
    <xf numFmtId="0" fontId="7" fillId="49" borderId="43" xfId="0" applyFont="1" applyFill="1" applyBorder="1" applyAlignment="1" applyProtection="1">
      <alignment horizontal="center" vertical="center" wrapText="1"/>
    </xf>
    <xf numFmtId="0" fontId="7" fillId="49" borderId="42" xfId="0" applyFont="1" applyFill="1" applyBorder="1" applyAlignment="1" applyProtection="1">
      <alignment horizontal="center" vertical="center" wrapText="1"/>
    </xf>
    <xf numFmtId="0" fontId="7" fillId="49" borderId="44" xfId="0" applyFont="1" applyFill="1" applyBorder="1" applyAlignment="1" applyProtection="1">
      <alignment horizontal="center" vertical="center" wrapText="1"/>
    </xf>
    <xf numFmtId="171" fontId="83" fillId="50" borderId="0" xfId="222" applyNumberFormat="1" applyFont="1" applyFill="1" applyBorder="1" applyAlignment="1" applyProtection="1">
      <alignment horizontal="left" vertical="center"/>
    </xf>
    <xf numFmtId="0" fontId="83" fillId="50" borderId="0" xfId="222" applyFont="1" applyFill="1" applyBorder="1" applyAlignment="1" applyProtection="1">
      <alignment vertical="center" wrapText="1"/>
    </xf>
    <xf numFmtId="174" fontId="76" fillId="50" borderId="0" xfId="205" applyNumberFormat="1" applyFont="1" applyFill="1" applyBorder="1" applyAlignment="1" applyProtection="1">
      <alignment horizontal="right" vertical="center" indent="1"/>
    </xf>
    <xf numFmtId="174" fontId="78" fillId="50" borderId="0" xfId="205" applyNumberFormat="1" applyFont="1" applyFill="1" applyBorder="1" applyAlignment="1" applyProtection="1">
      <alignment horizontal="right" vertical="center" indent="1"/>
    </xf>
    <xf numFmtId="174" fontId="79" fillId="50" borderId="0" xfId="205" applyNumberFormat="1" applyFont="1" applyFill="1" applyBorder="1" applyAlignment="1" applyProtection="1">
      <alignment horizontal="right" vertical="center" indent="1"/>
    </xf>
    <xf numFmtId="174" fontId="80" fillId="50" borderId="0" xfId="196" applyNumberFormat="1" applyFont="1" applyFill="1" applyBorder="1" applyAlignment="1" applyProtection="1">
      <alignment horizontal="center" vertical="center"/>
    </xf>
    <xf numFmtId="0" fontId="46" fillId="30" borderId="14" xfId="0" applyFont="1" applyFill="1" applyBorder="1" applyAlignment="1" applyProtection="1">
      <alignment horizontal="left" vertical="center"/>
      <protection locked="0"/>
    </xf>
    <xf numFmtId="0" fontId="63" fillId="47" borderId="0" xfId="0" applyFont="1" applyFill="1" applyAlignment="1" applyProtection="1">
      <alignment horizontal="center" vertical="center"/>
    </xf>
    <xf numFmtId="0" fontId="62" fillId="31" borderId="21" xfId="205" applyFont="1" applyFill="1" applyBorder="1" applyAlignment="1" applyProtection="1">
      <alignment horizontal="center" vertical="center"/>
      <protection locked="0"/>
    </xf>
    <xf numFmtId="0" fontId="62" fillId="31" borderId="0" xfId="205" applyFont="1" applyFill="1" applyBorder="1" applyAlignment="1" applyProtection="1">
      <alignment horizontal="center" vertical="center"/>
      <protection locked="0"/>
    </xf>
    <xf numFmtId="0" fontId="62" fillId="31" borderId="49" xfId="205" applyFont="1" applyFill="1" applyBorder="1" applyAlignment="1" applyProtection="1">
      <alignment horizontal="center" vertical="center"/>
      <protection locked="0"/>
    </xf>
    <xf numFmtId="0" fontId="62" fillId="31" borderId="38" xfId="205" applyFont="1" applyFill="1" applyBorder="1" applyAlignment="1" applyProtection="1">
      <alignment horizontal="center" vertical="center"/>
      <protection locked="0"/>
    </xf>
    <xf numFmtId="0" fontId="62" fillId="31" borderId="35" xfId="205" applyFont="1" applyFill="1" applyBorder="1" applyAlignment="1" applyProtection="1">
      <alignment horizontal="center" vertical="center"/>
      <protection locked="0"/>
    </xf>
    <xf numFmtId="0" fontId="62" fillId="31" borderId="50" xfId="205" applyFont="1" applyFill="1" applyBorder="1" applyAlignment="1" applyProtection="1">
      <alignment horizontal="center" vertical="center"/>
      <protection locked="0"/>
    </xf>
    <xf numFmtId="0" fontId="7" fillId="49" borderId="32" xfId="0" applyFont="1" applyFill="1" applyBorder="1" applyAlignment="1" applyProtection="1">
      <alignment horizontal="center" vertical="center" wrapText="1"/>
    </xf>
    <xf numFmtId="0" fontId="7" fillId="49" borderId="31" xfId="0" applyFont="1" applyFill="1" applyBorder="1" applyAlignment="1" applyProtection="1">
      <alignment horizontal="center" vertical="center" wrapText="1"/>
    </xf>
    <xf numFmtId="0" fontId="7" fillId="49" borderId="44" xfId="0" applyFont="1" applyFill="1" applyBorder="1" applyAlignment="1" applyProtection="1">
      <alignment horizontal="center" vertical="center" wrapText="1"/>
    </xf>
    <xf numFmtId="0" fontId="62" fillId="31" borderId="36" xfId="205" applyFont="1" applyFill="1" applyBorder="1" applyAlignment="1" applyProtection="1">
      <alignment horizontal="center" vertical="center"/>
      <protection locked="0"/>
    </xf>
    <xf numFmtId="0" fontId="62" fillId="31" borderId="37" xfId="205" applyFont="1" applyFill="1" applyBorder="1" applyAlignment="1" applyProtection="1">
      <alignment horizontal="center" vertical="center"/>
      <protection locked="0"/>
    </xf>
    <xf numFmtId="0" fontId="62" fillId="31" borderId="48" xfId="205" applyFont="1" applyFill="1" applyBorder="1" applyAlignment="1" applyProtection="1">
      <alignment horizontal="center" vertical="center"/>
      <protection locked="0"/>
    </xf>
    <xf numFmtId="0" fontId="59" fillId="0" borderId="45" xfId="0" applyFont="1" applyBorder="1" applyAlignment="1" applyProtection="1">
      <alignment horizontal="center"/>
    </xf>
    <xf numFmtId="0" fontId="59" fillId="0" borderId="46" xfId="0" applyFont="1" applyBorder="1" applyAlignment="1" applyProtection="1">
      <alignment horizontal="center"/>
    </xf>
    <xf numFmtId="0" fontId="59" fillId="0" borderId="47" xfId="0" applyFont="1" applyBorder="1" applyAlignment="1" applyProtection="1">
      <alignment horizontal="center"/>
    </xf>
    <xf numFmtId="0" fontId="41" fillId="0" borderId="0" xfId="0" applyFont="1" applyFill="1" applyBorder="1" applyAlignment="1" applyProtection="1">
      <alignment horizontal="center" vertical="center" wrapText="1"/>
    </xf>
    <xf numFmtId="0" fontId="6" fillId="0" borderId="0" xfId="0" applyFont="1" applyFill="1" applyBorder="1" applyAlignment="1">
      <alignment horizontal="left" vertical="center"/>
    </xf>
    <xf numFmtId="0" fontId="6" fillId="46" borderId="0" xfId="0" applyFont="1" applyFill="1" applyBorder="1" applyAlignment="1">
      <alignment horizontal="left" vertical="center"/>
    </xf>
    <xf numFmtId="0" fontId="41" fillId="48" borderId="0" xfId="0" applyFont="1" applyFill="1" applyBorder="1" applyAlignment="1" applyProtection="1">
      <alignment horizontal="center" vertical="center" wrapText="1"/>
    </xf>
    <xf numFmtId="0" fontId="41" fillId="48" borderId="30" xfId="0" applyFont="1" applyFill="1" applyBorder="1" applyAlignment="1" applyProtection="1">
      <alignment horizontal="center" vertical="center" wrapText="1"/>
    </xf>
    <xf numFmtId="0" fontId="58" fillId="51" borderId="0" xfId="0" applyFont="1" applyFill="1" applyAlignment="1" applyProtection="1">
      <alignment horizontal="center" vertical="center"/>
    </xf>
  </cellXfs>
  <cellStyles count="288">
    <cellStyle name="20 % - Accent1" xfId="1"/>
    <cellStyle name="20 % - Accent2" xfId="6"/>
    <cellStyle name="20 % - Accent3" xfId="11"/>
    <cellStyle name="20 % - Accent4" xfId="16"/>
    <cellStyle name="20 % - Accent5" xfId="21"/>
    <cellStyle name="20 % - Accent6" xfId="26"/>
    <cellStyle name="20% - Accent1 2" xfId="2"/>
    <cellStyle name="20% - Accent1 3" xfId="3"/>
    <cellStyle name="20% - Accent1 4" xfId="4"/>
    <cellStyle name="20% - Accent1 5" xfId="5"/>
    <cellStyle name="20% - Accent2 2" xfId="7"/>
    <cellStyle name="20% - Accent2 3" xfId="8"/>
    <cellStyle name="20% - Accent2 4" xfId="9"/>
    <cellStyle name="20% - Accent2 5" xfId="10"/>
    <cellStyle name="20% - Accent3 2" xfId="12"/>
    <cellStyle name="20% - Accent3 3" xfId="13"/>
    <cellStyle name="20% - Accent3 4" xfId="14"/>
    <cellStyle name="20% - Accent3 5" xfId="15"/>
    <cellStyle name="20% - Accent4 2" xfId="17"/>
    <cellStyle name="20% - Accent4 3" xfId="18"/>
    <cellStyle name="20% - Accent4 4" xfId="19"/>
    <cellStyle name="20% - Accent4 5" xfId="20"/>
    <cellStyle name="20% - Accent5 2" xfId="22"/>
    <cellStyle name="20% - Accent5 3" xfId="23"/>
    <cellStyle name="20% - Accent5 4" xfId="24"/>
    <cellStyle name="20% - Accent5 5" xfId="25"/>
    <cellStyle name="20% - Accent6 2" xfId="27"/>
    <cellStyle name="20% - Accent6 3" xfId="28"/>
    <cellStyle name="20% - Accent6 4" xfId="29"/>
    <cellStyle name="20% - Accent6 5" xfId="30"/>
    <cellStyle name="40 % - Accent1" xfId="31"/>
    <cellStyle name="40 % - Accent2" xfId="36"/>
    <cellStyle name="40 % - Accent3" xfId="41"/>
    <cellStyle name="40 % - Accent4" xfId="46"/>
    <cellStyle name="40 % - Accent5" xfId="51"/>
    <cellStyle name="40 % - Accent6" xfId="56"/>
    <cellStyle name="40% - Accent1 2" xfId="32"/>
    <cellStyle name="40% - Accent1 3" xfId="33"/>
    <cellStyle name="40% - Accent1 4" xfId="34"/>
    <cellStyle name="40% - Accent1 5" xfId="35"/>
    <cellStyle name="40% - Accent2 2" xfId="37"/>
    <cellStyle name="40% - Accent2 3" xfId="38"/>
    <cellStyle name="40% - Accent2 4" xfId="39"/>
    <cellStyle name="40% - Accent2 5" xfId="40"/>
    <cellStyle name="40% - Accent3 2" xfId="42"/>
    <cellStyle name="40% - Accent3 3" xfId="43"/>
    <cellStyle name="40% - Accent3 4" xfId="44"/>
    <cellStyle name="40% - Accent3 5" xfId="45"/>
    <cellStyle name="40% - Accent4 2" xfId="47"/>
    <cellStyle name="40% - Accent4 3" xfId="48"/>
    <cellStyle name="40% - Accent4 4" xfId="49"/>
    <cellStyle name="40% - Accent4 5" xfId="50"/>
    <cellStyle name="40% - Accent5 2" xfId="52"/>
    <cellStyle name="40% - Accent5 3" xfId="53"/>
    <cellStyle name="40% - Accent5 4" xfId="54"/>
    <cellStyle name="40% - Accent5 5" xfId="55"/>
    <cellStyle name="40% - Accent6 2" xfId="57"/>
    <cellStyle name="40% - Accent6 3" xfId="58"/>
    <cellStyle name="40% - Accent6 4" xfId="59"/>
    <cellStyle name="40% - Accent6 5" xfId="60"/>
    <cellStyle name="60 % - Accent1" xfId="61"/>
    <cellStyle name="60 % - Accent2" xfId="66"/>
    <cellStyle name="60 % - Accent3" xfId="71"/>
    <cellStyle name="60 % - Accent4" xfId="76"/>
    <cellStyle name="60 % - Accent5" xfId="81"/>
    <cellStyle name="60 % - Accent6" xfId="86"/>
    <cellStyle name="60% - Accent1 2" xfId="62"/>
    <cellStyle name="60% - Accent1 3" xfId="63"/>
    <cellStyle name="60% - Accent1 4" xfId="64"/>
    <cellStyle name="60% - Accent1 5" xfId="65"/>
    <cellStyle name="60% - Accent2 2" xfId="67"/>
    <cellStyle name="60% - Accent2 3" xfId="68"/>
    <cellStyle name="60% - Accent2 4" xfId="69"/>
    <cellStyle name="60% - Accent2 5" xfId="70"/>
    <cellStyle name="60% - Accent3 2" xfId="72"/>
    <cellStyle name="60% - Accent3 3" xfId="73"/>
    <cellStyle name="60% - Accent3 4" xfId="74"/>
    <cellStyle name="60% - Accent3 5" xfId="75"/>
    <cellStyle name="60% - Accent4 2" xfId="77"/>
    <cellStyle name="60% - Accent4 3" xfId="78"/>
    <cellStyle name="60% - Accent4 4" xfId="79"/>
    <cellStyle name="60% - Accent4 5" xfId="80"/>
    <cellStyle name="60% - Accent5 2" xfId="82"/>
    <cellStyle name="60% - Accent5 3" xfId="83"/>
    <cellStyle name="60% - Accent5 4" xfId="84"/>
    <cellStyle name="60% - Accent5 5" xfId="85"/>
    <cellStyle name="60% - Accent6 2" xfId="87"/>
    <cellStyle name="60% - Accent6 3" xfId="88"/>
    <cellStyle name="60% - Accent6 4" xfId="89"/>
    <cellStyle name="60% - Accent6 5" xfId="90"/>
    <cellStyle name="Accent1" xfId="91" builtinId="29" customBuiltin="1"/>
    <cellStyle name="Accent1 2" xfId="92"/>
    <cellStyle name="Accent1 3" xfId="93"/>
    <cellStyle name="Accent1 4" xfId="94"/>
    <cellStyle name="Accent1 5" xfId="95"/>
    <cellStyle name="Accent2" xfId="96" builtinId="33" customBuiltin="1"/>
    <cellStyle name="Accent2 2" xfId="97"/>
    <cellStyle name="Accent2 3" xfId="98"/>
    <cellStyle name="Accent2 4" xfId="99"/>
    <cellStyle name="Accent2 5" xfId="100"/>
    <cellStyle name="Accent3" xfId="101" builtinId="37" customBuiltin="1"/>
    <cellStyle name="Accent3 2" xfId="102"/>
    <cellStyle name="Accent3 3" xfId="103"/>
    <cellStyle name="Accent3 4" xfId="104"/>
    <cellStyle name="Accent3 5" xfId="105"/>
    <cellStyle name="Accent4" xfId="106" builtinId="41" customBuiltin="1"/>
    <cellStyle name="Accent4 2" xfId="107"/>
    <cellStyle name="Accent4 3" xfId="108"/>
    <cellStyle name="Accent4 4" xfId="109"/>
    <cellStyle name="Accent4 5" xfId="110"/>
    <cellStyle name="Accent5" xfId="111" builtinId="45" customBuiltin="1"/>
    <cellStyle name="Accent5 2" xfId="112"/>
    <cellStyle name="Accent5 3" xfId="113"/>
    <cellStyle name="Accent5 4" xfId="114"/>
    <cellStyle name="Accent5 5" xfId="115"/>
    <cellStyle name="Accent6" xfId="116" builtinId="49" customBuiltin="1"/>
    <cellStyle name="Accent6 2" xfId="117"/>
    <cellStyle name="Accent6 3" xfId="118"/>
    <cellStyle name="Accent6 4" xfId="119"/>
    <cellStyle name="Accent6 5" xfId="120"/>
    <cellStyle name="Avertissement" xfId="269"/>
    <cellStyle name="Bad 2" xfId="121"/>
    <cellStyle name="Bad 3" xfId="122"/>
    <cellStyle name="Bad 4" xfId="123"/>
    <cellStyle name="Bad 5" xfId="124"/>
    <cellStyle name="Calcul" xfId="125"/>
    <cellStyle name="Calculation 2" xfId="126"/>
    <cellStyle name="Calculation 3" xfId="127"/>
    <cellStyle name="Calculation 4" xfId="128"/>
    <cellStyle name="Calculation 5" xfId="129"/>
    <cellStyle name="Cellule liée" xfId="177"/>
    <cellStyle name="Check Cell 2" xfId="130"/>
    <cellStyle name="Check Cell 3" xfId="131"/>
    <cellStyle name="Check Cell 4" xfId="132"/>
    <cellStyle name="Check Cell 5" xfId="133"/>
    <cellStyle name="ColumnHeading" xfId="134"/>
    <cellStyle name="Comma 2" xfId="135"/>
    <cellStyle name="Comma 3" xfId="136"/>
    <cellStyle name="Comma 4" xfId="137"/>
    <cellStyle name="Comma 5" xfId="138"/>
    <cellStyle name="Comma 6" xfId="139"/>
    <cellStyle name="Comma 7" xfId="140"/>
    <cellStyle name="Comma 8" xfId="141"/>
    <cellStyle name="Commentaire" xfId="223"/>
    <cellStyle name="Entrée" xfId="169"/>
    <cellStyle name="Euro" xfId="142"/>
    <cellStyle name="Explanatory Text 2" xfId="143"/>
    <cellStyle name="Explanatory Text 3" xfId="144"/>
    <cellStyle name="Explanatory Text 4" xfId="145"/>
    <cellStyle name="Explanatory Text 5" xfId="146"/>
    <cellStyle name="Good 2" xfId="147"/>
    <cellStyle name="Good 3" xfId="148"/>
    <cellStyle name="Good 4" xfId="149"/>
    <cellStyle name="Good 5" xfId="150"/>
    <cellStyle name="Heading 1 2" xfId="151"/>
    <cellStyle name="Heading 1 3" xfId="152"/>
    <cellStyle name="Heading 1 4" xfId="153"/>
    <cellStyle name="Heading 1 5" xfId="154"/>
    <cellStyle name="Heading 2 2" xfId="155"/>
    <cellStyle name="Heading 2 3" xfId="156"/>
    <cellStyle name="Heading 2 4" xfId="157"/>
    <cellStyle name="Heading 2 5" xfId="158"/>
    <cellStyle name="Heading 3 2" xfId="159"/>
    <cellStyle name="Heading 3 3" xfId="160"/>
    <cellStyle name="Heading 3 4" xfId="161"/>
    <cellStyle name="Heading 3 5" xfId="162"/>
    <cellStyle name="Heading 4 2" xfId="163"/>
    <cellStyle name="Heading 4 3" xfId="164"/>
    <cellStyle name="Heading 4 4" xfId="165"/>
    <cellStyle name="Heading 4 5" xfId="166"/>
    <cellStyle name="Hyperlink 2" xfId="167"/>
    <cellStyle name="Hyperlink 3" xfId="168"/>
    <cellStyle name="Input 2" xfId="170"/>
    <cellStyle name="Input 3" xfId="171"/>
    <cellStyle name="Input 4" xfId="172"/>
    <cellStyle name="Input 5" xfId="173"/>
    <cellStyle name="Insatisfaisant" xfId="174" builtinId="27" customBuiltin="1"/>
    <cellStyle name="Lien hypertexte 3" xfId="175"/>
    <cellStyle name="Ligne détail" xfId="176"/>
    <cellStyle name="Linked Cell 2" xfId="178"/>
    <cellStyle name="Linked Cell 3" xfId="179"/>
    <cellStyle name="Linked Cell 4" xfId="180"/>
    <cellStyle name="Linked Cell 5" xfId="181"/>
    <cellStyle name="MEV4" xfId="182"/>
    <cellStyle name="MEV5" xfId="183"/>
    <cellStyle name="Milliers 2" xfId="184"/>
    <cellStyle name="Milliers 3" xfId="185"/>
    <cellStyle name="Milliers 4" xfId="186"/>
    <cellStyle name="N?rmal_la?oux_larou?" xfId="187"/>
    <cellStyle name="Neutral 2" xfId="188"/>
    <cellStyle name="Neutral 3" xfId="189"/>
    <cellStyle name="Neutral 4" xfId="190"/>
    <cellStyle name="Neutral 5" xfId="191"/>
    <cellStyle name="Neutre" xfId="192" builtinId="28" customBuiltin="1"/>
    <cellStyle name="Norma?_On Hol?" xfId="193"/>
    <cellStyle name="Normaᷬ_On Holᷤ" xfId="194"/>
    <cellStyle name="Normal" xfId="0" builtinId="0"/>
    <cellStyle name="Normal - Style1" xfId="195"/>
    <cellStyle name="Normal 10" xfId="196"/>
    <cellStyle name="Normal 11" xfId="197"/>
    <cellStyle name="Normal 12" xfId="274"/>
    <cellStyle name="Normal 13" xfId="275"/>
    <cellStyle name="Normal 14" xfId="276"/>
    <cellStyle name="Normal 15" xfId="277"/>
    <cellStyle name="Normal 16" xfId="278"/>
    <cellStyle name="Normal 17" xfId="279"/>
    <cellStyle name="Normal 18" xfId="280"/>
    <cellStyle name="Normal 19" xfId="281"/>
    <cellStyle name="Normal 2" xfId="198"/>
    <cellStyle name="Normal 2 2" xfId="199"/>
    <cellStyle name="Normal 2 3" xfId="200"/>
    <cellStyle name="Normal 2 4" xfId="201"/>
    <cellStyle name="Normal 2 5" xfId="202"/>
    <cellStyle name="Normal 2_CRD hybride yc EMB" xfId="203"/>
    <cellStyle name="Normal 20" xfId="282"/>
    <cellStyle name="Normal 21" xfId="283"/>
    <cellStyle name="Normal 22" xfId="284"/>
    <cellStyle name="Normal 23" xfId="285"/>
    <cellStyle name="Normal 24" xfId="286"/>
    <cellStyle name="Normal 25" xfId="287"/>
    <cellStyle name="Normal 3" xfId="204"/>
    <cellStyle name="Normal 3 2" xfId="205"/>
    <cellStyle name="Normal 3 3" xfId="206"/>
    <cellStyle name="Normal 3 4" xfId="207"/>
    <cellStyle name="Normal 3 5" xfId="208"/>
    <cellStyle name="Normal 3 6" xfId="209"/>
    <cellStyle name="Normal 3_0. Investissement" xfId="210"/>
    <cellStyle name="Normal 4" xfId="211"/>
    <cellStyle name="Normal 5" xfId="212"/>
    <cellStyle name="Normal 6" xfId="213"/>
    <cellStyle name="Normal 6 2" xfId="214"/>
    <cellStyle name="Normal 6 3" xfId="215"/>
    <cellStyle name="Normal 6 4" xfId="216"/>
    <cellStyle name="Normal 6 5" xfId="217"/>
    <cellStyle name="Normal 6_0. Investissement" xfId="218"/>
    <cellStyle name="Normal 7" xfId="219"/>
    <cellStyle name="Normal 8" xfId="220"/>
    <cellStyle name="Normal 9" xfId="221"/>
    <cellStyle name="Normal_Copie de CRD_CRC_domaine TER_ergo" xfId="222"/>
    <cellStyle name="Note 2" xfId="224"/>
    <cellStyle name="Note 3" xfId="225"/>
    <cellStyle name="Note 4" xfId="226"/>
    <cellStyle name="Note 5" xfId="227"/>
    <cellStyle name="N䃯rmal_la䇲oux_larou᷸" xfId="228"/>
    <cellStyle name="Output 2" xfId="229"/>
    <cellStyle name="Output 3" xfId="230"/>
    <cellStyle name="Output 4" xfId="231"/>
    <cellStyle name="Output 5" xfId="232"/>
    <cellStyle name="Percent 10" xfId="233"/>
    <cellStyle name="Percent 2" xfId="234"/>
    <cellStyle name="Percent 2 2" xfId="235"/>
    <cellStyle name="Percent 3" xfId="236"/>
    <cellStyle name="Percent 4" xfId="237"/>
    <cellStyle name="Percent 5" xfId="238"/>
    <cellStyle name="Percent 5 2" xfId="239"/>
    <cellStyle name="Percent 5 3" xfId="240"/>
    <cellStyle name="Percent 5 4" xfId="241"/>
    <cellStyle name="Percent 5 5" xfId="242"/>
    <cellStyle name="Percent 6" xfId="243"/>
    <cellStyle name="Percent 7" xfId="244"/>
    <cellStyle name="Percent 8" xfId="245"/>
    <cellStyle name="Percent 9" xfId="246"/>
    <cellStyle name="Pourcentage 2" xfId="247"/>
    <cellStyle name="Pourcentage 3" xfId="248"/>
    <cellStyle name="Satisfaisant" xfId="249" builtinId="26" customBuiltin="1"/>
    <cellStyle name="Sortie" xfId="250" builtinId="21" customBuiltin="1"/>
    <cellStyle name="Texte explicatif" xfId="251" builtinId="53" customBuiltin="1"/>
    <cellStyle name="Title 2" xfId="252"/>
    <cellStyle name="Title 3" xfId="253"/>
    <cellStyle name="Title 4" xfId="254"/>
    <cellStyle name="Title 5" xfId="255"/>
    <cellStyle name="Titre" xfId="256" builtinId="15" customBuiltin="1"/>
    <cellStyle name="Titre colonnes" xfId="257"/>
    <cellStyle name="Titre lignes" xfId="258"/>
    <cellStyle name="Titre 1" xfId="259" builtinId="16" customBuiltin="1"/>
    <cellStyle name="Titre 2" xfId="260" builtinId="17" customBuiltin="1"/>
    <cellStyle name="Titre 3" xfId="261" builtinId="18" customBuiltin="1"/>
    <cellStyle name="Titre 4" xfId="262" builtinId="19" customBuiltin="1"/>
    <cellStyle name="Total" xfId="263" builtinId="25" customBuiltin="1"/>
    <cellStyle name="Total 2" xfId="264"/>
    <cellStyle name="Total 3" xfId="265"/>
    <cellStyle name="Total 4" xfId="266"/>
    <cellStyle name="Total 5" xfId="267"/>
    <cellStyle name="Vérification" xfId="268" builtinId="23" customBuiltin="1"/>
    <cellStyle name="Warning Text 2" xfId="270"/>
    <cellStyle name="Warning Text 3" xfId="271"/>
    <cellStyle name="Warning Text 4" xfId="272"/>
    <cellStyle name="Warning Text 5" xfId="273"/>
  </cellStyles>
  <dxfs count="24"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EAEAEA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DFEEF1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F7072"/>
      <rgbColor rgb="00CCFFCC"/>
      <rgbColor rgb="00FFFF99"/>
      <rgbColor rgb="00D0C2A4"/>
      <rgbColor rgb="00FF99CC"/>
      <rgbColor rgb="007E408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DDDDDD"/>
      <rgbColor rgb="00339966"/>
      <rgbColor rgb="00003300"/>
      <rgbColor rgb="00DDDDDD"/>
      <rgbColor rgb="00993300"/>
      <rgbColor rgb="00993366"/>
      <rgbColor rgb="00333399"/>
      <rgbColor rgb="00333333"/>
    </indexedColors>
    <mruColors>
      <color rgb="FFDDDDDD"/>
      <color rgb="FF7F8399"/>
      <color rgb="FF9999FF"/>
      <color rgb="FFD0C2A4"/>
      <color rgb="FF7E408F"/>
      <color rgb="FFFF5353"/>
      <color rgb="FF3F1260"/>
      <color rgb="FFFFFF99"/>
      <color rgb="FF6F7072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Couts_bruts_Couts_net!$AU$64</c:f>
          <c:strCache>
            <c:ptCount val="1"/>
            <c:pt idx="0">
              <c:v>RESOP</c:v>
            </c:pt>
          </c:strCache>
        </c:strRef>
      </c:tx>
      <c:layout/>
      <c:overlay val="0"/>
      <c:spPr>
        <a:noFill/>
        <a:ln w="25400">
          <a:noFill/>
        </a:ln>
      </c:spPr>
      <c:txPr>
        <a:bodyPr/>
        <a:lstStyle/>
        <a:p>
          <a:pPr>
            <a:defRPr/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8267264224051506E-2"/>
          <c:y val="0.106109536657023"/>
          <c:w val="0.92256501688081549"/>
          <c:h val="0.5513498618899145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Couts_bruts_Couts_net!$AU$67</c:f>
              <c:strCache>
                <c:ptCount val="1"/>
                <c:pt idx="0">
                  <c:v>Estimé 2 N-1</c:v>
                </c:pt>
              </c:strCache>
            </c:strRef>
          </c:tx>
          <c:spPr>
            <a:solidFill>
              <a:srgbClr val="9999FF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Couts_bruts_Couts_net!$AW$64:$BE$64</c:f>
              <c:strCache>
                <c:ptCount val="9"/>
                <c:pt idx="0">
                  <c:v>Direction Générale</c:v>
                </c:pt>
                <c:pt idx="1">
                  <c:v>Direction Performance et Commerciale</c:v>
                </c:pt>
                <c:pt idx="2">
                  <c:v>Direction Financière</c:v>
                </c:pt>
                <c:pt idx="3">
                  <c:v>Direction Système d'information</c:v>
                </c:pt>
                <c:pt idx="4">
                  <c:v>Direction Ressources Humaines</c:v>
                </c:pt>
                <c:pt idx="5">
                  <c:v>Direction Juridique</c:v>
                </c:pt>
                <c:pt idx="6">
                  <c:v>SG - Communication</c:v>
                </c:pt>
                <c:pt idx="7">
                  <c:v>Direction Innovation et Stratégie</c:v>
                </c:pt>
                <c:pt idx="8">
                  <c:v>Direction Déléguée Rail - Grand Paris</c:v>
                </c:pt>
              </c:strCache>
            </c:strRef>
          </c:cat>
          <c:val>
            <c:numRef>
              <c:f>Couts_bruts_Couts_net!$AW$67:$BE$67</c:f>
              <c:numCache>
                <c:formatCode>#,##0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ser>
          <c:idx val="3"/>
          <c:order val="2"/>
          <c:tx>
            <c:strRef>
              <c:f>Couts_bruts_Couts_net!$AU$68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D0C2A4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Couts_bruts_Couts_net!$AW$64:$BE$64</c:f>
              <c:strCache>
                <c:ptCount val="9"/>
                <c:pt idx="0">
                  <c:v>Direction Générale</c:v>
                </c:pt>
                <c:pt idx="1">
                  <c:v>Direction Performance et Commerciale</c:v>
                </c:pt>
                <c:pt idx="2">
                  <c:v>Direction Financière</c:v>
                </c:pt>
                <c:pt idx="3">
                  <c:v>Direction Système d'information</c:v>
                </c:pt>
                <c:pt idx="4">
                  <c:v>Direction Ressources Humaines</c:v>
                </c:pt>
                <c:pt idx="5">
                  <c:v>Direction Juridique</c:v>
                </c:pt>
                <c:pt idx="6">
                  <c:v>SG - Communication</c:v>
                </c:pt>
                <c:pt idx="7">
                  <c:v>Direction Innovation et Stratégie</c:v>
                </c:pt>
                <c:pt idx="8">
                  <c:v>Direction Déléguée Rail - Grand Paris</c:v>
                </c:pt>
              </c:strCache>
            </c:strRef>
          </c:cat>
          <c:val>
            <c:numRef>
              <c:f>Couts_bruts_Couts_net!$AW$68:$BE$68</c:f>
              <c:numCache>
                <c:formatCode>#,##0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4025600"/>
        <c:axId val="284028288"/>
      </c:barChart>
      <c:scatterChart>
        <c:scatterStyle val="lineMarker"/>
        <c:varyColors val="0"/>
        <c:ser>
          <c:idx val="0"/>
          <c:order val="0"/>
          <c:tx>
            <c:strRef>
              <c:f>Couts_bruts_Couts_net!$AU$66</c:f>
              <c:strCache>
                <c:ptCount val="1"/>
                <c:pt idx="0">
                  <c:v>Réalisé N-2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FF0000"/>
              </a:solidFill>
              <a:ln w="0"/>
            </c:spPr>
          </c:marker>
          <c:xVal>
            <c:strRef>
              <c:f>Couts_bruts_Couts_net!$AW$64:$BE$64</c:f>
              <c:strCache>
                <c:ptCount val="9"/>
                <c:pt idx="0">
                  <c:v>Direction Générale</c:v>
                </c:pt>
                <c:pt idx="1">
                  <c:v>Direction Performance et Commerciale</c:v>
                </c:pt>
                <c:pt idx="2">
                  <c:v>Direction Financière</c:v>
                </c:pt>
                <c:pt idx="3">
                  <c:v>Direction Système d'information</c:v>
                </c:pt>
                <c:pt idx="4">
                  <c:v>Direction Ressources Humaines</c:v>
                </c:pt>
                <c:pt idx="5">
                  <c:v>Direction Juridique</c:v>
                </c:pt>
                <c:pt idx="6">
                  <c:v>SG - Communication</c:v>
                </c:pt>
                <c:pt idx="7">
                  <c:v>Direction Innovation et Stratégie</c:v>
                </c:pt>
                <c:pt idx="8">
                  <c:v>Direction Déléguée Rail - Grand Paris</c:v>
                </c:pt>
              </c:strCache>
            </c:strRef>
          </c:xVal>
          <c:yVal>
            <c:numRef>
              <c:f>Couts_bruts_Couts_net!$AW$66:$BE$66</c:f>
              <c:numCache>
                <c:formatCode>#,##0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025600"/>
        <c:axId val="284028288"/>
      </c:scatterChart>
      <c:catAx>
        <c:axId val="284025600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high"/>
        <c:txPr>
          <a:bodyPr rot="-1920000" vert="horz"/>
          <a:lstStyle/>
          <a:p>
            <a:pPr>
              <a:defRPr sz="1500"/>
            </a:pPr>
            <a:endParaRPr lang="fr-FR"/>
          </a:p>
        </c:txPr>
        <c:crossAx val="284028288"/>
        <c:crosses val="autoZero"/>
        <c:auto val="1"/>
        <c:lblAlgn val="ctr"/>
        <c:lblOffset val="100"/>
        <c:noMultiLvlLbl val="0"/>
      </c:catAx>
      <c:valAx>
        <c:axId val="284028288"/>
        <c:scaling>
          <c:orientation val="maxMin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spPr>
          <a:ln w="9525">
            <a:noFill/>
          </a:ln>
        </c:spPr>
        <c:txPr>
          <a:bodyPr/>
          <a:lstStyle/>
          <a:p>
            <a:pPr>
              <a:defRPr sz="1500"/>
            </a:pPr>
            <a:endParaRPr lang="fr-FR"/>
          </a:p>
        </c:txPr>
        <c:crossAx val="28402560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2.1341772031673589E-2"/>
          <c:y val="0.93944954128440372"/>
          <c:w val="0.94023394043339392"/>
          <c:h val="4.4036697247706424E-2"/>
        </c:manualLayout>
      </c:layout>
      <c:overlay val="0"/>
      <c:txPr>
        <a:bodyPr/>
        <a:lstStyle/>
        <a:p>
          <a:pPr>
            <a:defRPr sz="1500"/>
          </a:pPr>
          <a:endParaRPr lang="fr-FR"/>
        </a:p>
      </c:txPr>
    </c:legend>
    <c:plotVisOnly val="0"/>
    <c:dispBlanksAs val="gap"/>
    <c:showDLblsOverMax val="0"/>
  </c:chart>
  <c:spPr>
    <a:noFill/>
    <a:ln w="9525">
      <a:noFill/>
    </a:ln>
  </c:spPr>
  <c:printSettings>
    <c:headerFooter alignWithMargins="0"/>
    <c:pageMargins b="1" l="0.75" r="0.75" t="1" header="0.4921259845" footer="0.492125984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Couts_bruts_Couts_net!$AU$69</c:f>
          <c:strCache>
            <c:ptCount val="1"/>
            <c:pt idx="0">
              <c:v>CHARGES OPERATIONNELLES</c:v>
            </c:pt>
          </c:strCache>
        </c:strRef>
      </c:tx>
      <c:layout/>
      <c:overlay val="0"/>
      <c:spPr>
        <a:noFill/>
        <a:ln w="25400">
          <a:noFill/>
        </a:ln>
      </c:spPr>
      <c:txPr>
        <a:bodyPr/>
        <a:lstStyle/>
        <a:p>
          <a:pPr>
            <a:defRPr/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8267264224051506E-2"/>
          <c:y val="0.106109536657023"/>
          <c:w val="0.92256501688081549"/>
          <c:h val="0.5513498618899145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Couts_bruts_Couts_net!$AU$71</c:f>
              <c:strCache>
                <c:ptCount val="1"/>
                <c:pt idx="0">
                  <c:v>Estimé 2 N-1</c:v>
                </c:pt>
              </c:strCache>
            </c:strRef>
          </c:tx>
          <c:spPr>
            <a:solidFill>
              <a:srgbClr val="9999FF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Couts_bruts_Couts_net!$AW$64:$BE$64</c:f>
              <c:strCache>
                <c:ptCount val="9"/>
                <c:pt idx="0">
                  <c:v>Direction Générale</c:v>
                </c:pt>
                <c:pt idx="1">
                  <c:v>Direction Performance et Commerciale</c:v>
                </c:pt>
                <c:pt idx="2">
                  <c:v>Direction Financière</c:v>
                </c:pt>
                <c:pt idx="3">
                  <c:v>Direction Système d'information</c:v>
                </c:pt>
                <c:pt idx="4">
                  <c:v>Direction Ressources Humaines</c:v>
                </c:pt>
                <c:pt idx="5">
                  <c:v>Direction Juridique</c:v>
                </c:pt>
                <c:pt idx="6">
                  <c:v>SG - Communication</c:v>
                </c:pt>
                <c:pt idx="7">
                  <c:v>Direction Innovation et Stratégie</c:v>
                </c:pt>
                <c:pt idx="8">
                  <c:v>Direction Déléguée Rail - Grand Paris</c:v>
                </c:pt>
              </c:strCache>
            </c:strRef>
          </c:cat>
          <c:val>
            <c:numRef>
              <c:f>Couts_bruts_Couts_net!$AW$71:$BE$71</c:f>
              <c:numCache>
                <c:formatCode>#,##0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ser>
          <c:idx val="3"/>
          <c:order val="2"/>
          <c:tx>
            <c:strRef>
              <c:f>Couts_bruts_Couts_net!$AU$72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D0C2A4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Couts_bruts_Couts_net!$AW$64:$BE$64</c:f>
              <c:strCache>
                <c:ptCount val="9"/>
                <c:pt idx="0">
                  <c:v>Direction Générale</c:v>
                </c:pt>
                <c:pt idx="1">
                  <c:v>Direction Performance et Commerciale</c:v>
                </c:pt>
                <c:pt idx="2">
                  <c:v>Direction Financière</c:v>
                </c:pt>
                <c:pt idx="3">
                  <c:v>Direction Système d'information</c:v>
                </c:pt>
                <c:pt idx="4">
                  <c:v>Direction Ressources Humaines</c:v>
                </c:pt>
                <c:pt idx="5">
                  <c:v>Direction Juridique</c:v>
                </c:pt>
                <c:pt idx="6">
                  <c:v>SG - Communication</c:v>
                </c:pt>
                <c:pt idx="7">
                  <c:v>Direction Innovation et Stratégie</c:v>
                </c:pt>
                <c:pt idx="8">
                  <c:v>Direction Déléguée Rail - Grand Paris</c:v>
                </c:pt>
              </c:strCache>
            </c:strRef>
          </c:cat>
          <c:val>
            <c:numRef>
              <c:f>Couts_bruts_Couts_net!$AW$72:$BE$72</c:f>
              <c:numCache>
                <c:formatCode>#,##0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8342656"/>
        <c:axId val="298362752"/>
      </c:barChart>
      <c:scatterChart>
        <c:scatterStyle val="lineMarker"/>
        <c:varyColors val="0"/>
        <c:ser>
          <c:idx val="0"/>
          <c:order val="0"/>
          <c:tx>
            <c:strRef>
              <c:f>Couts_bruts_Couts_net!$AU$70</c:f>
              <c:strCache>
                <c:ptCount val="1"/>
                <c:pt idx="0">
                  <c:v>Réalisé N-2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9"/>
            <c:spPr>
              <a:solidFill>
                <a:srgbClr val="FF0000"/>
              </a:solidFill>
            </c:spPr>
          </c:marker>
          <c:xVal>
            <c:strRef>
              <c:f>Couts_bruts_Couts_net!$AW$64:$BE$64</c:f>
              <c:strCache>
                <c:ptCount val="9"/>
                <c:pt idx="0">
                  <c:v>Direction Générale</c:v>
                </c:pt>
                <c:pt idx="1">
                  <c:v>Direction Performance et Commerciale</c:v>
                </c:pt>
                <c:pt idx="2">
                  <c:v>Direction Financière</c:v>
                </c:pt>
                <c:pt idx="3">
                  <c:v>Direction Système d'information</c:v>
                </c:pt>
                <c:pt idx="4">
                  <c:v>Direction Ressources Humaines</c:v>
                </c:pt>
                <c:pt idx="5">
                  <c:v>Direction Juridique</c:v>
                </c:pt>
                <c:pt idx="6">
                  <c:v>SG - Communication</c:v>
                </c:pt>
                <c:pt idx="7">
                  <c:v>Direction Innovation et Stratégie</c:v>
                </c:pt>
                <c:pt idx="8">
                  <c:v>Direction Déléguée Rail - Grand Paris</c:v>
                </c:pt>
              </c:strCache>
            </c:strRef>
          </c:xVal>
          <c:yVal>
            <c:numRef>
              <c:f>Couts_bruts_Couts_net!$AW$70:$BE$70</c:f>
              <c:numCache>
                <c:formatCode>#,##0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342656"/>
        <c:axId val="298362752"/>
      </c:scatterChart>
      <c:catAx>
        <c:axId val="298342656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high"/>
        <c:txPr>
          <a:bodyPr rot="-1920000" vert="horz"/>
          <a:lstStyle/>
          <a:p>
            <a:pPr>
              <a:defRPr sz="1500"/>
            </a:pPr>
            <a:endParaRPr lang="fr-FR"/>
          </a:p>
        </c:txPr>
        <c:crossAx val="298362752"/>
        <c:crosses val="autoZero"/>
        <c:auto val="1"/>
        <c:lblAlgn val="ctr"/>
        <c:lblOffset val="100"/>
        <c:noMultiLvlLbl val="0"/>
      </c:catAx>
      <c:valAx>
        <c:axId val="298362752"/>
        <c:scaling>
          <c:orientation val="maxMin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spPr>
          <a:ln w="9525">
            <a:noFill/>
          </a:ln>
        </c:spPr>
        <c:txPr>
          <a:bodyPr/>
          <a:lstStyle/>
          <a:p>
            <a:pPr>
              <a:defRPr sz="1500"/>
            </a:pPr>
            <a:endParaRPr lang="fr-FR"/>
          </a:p>
        </c:txPr>
        <c:crossAx val="29834265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2.1341772031673589E-2"/>
          <c:y val="0.93944954128440372"/>
          <c:w val="0.94023394043339392"/>
          <c:h val="4.4036697247706424E-2"/>
        </c:manualLayout>
      </c:layout>
      <c:overlay val="0"/>
      <c:txPr>
        <a:bodyPr/>
        <a:lstStyle/>
        <a:p>
          <a:pPr>
            <a:defRPr sz="1500"/>
          </a:pPr>
          <a:endParaRPr lang="fr-FR"/>
        </a:p>
      </c:txPr>
    </c:legend>
    <c:plotVisOnly val="0"/>
    <c:dispBlanksAs val="gap"/>
    <c:showDLblsOverMax val="0"/>
  </c:chart>
  <c:spPr>
    <a:noFill/>
    <a:ln w="9525">
      <a:noFill/>
    </a:ln>
  </c:spPr>
  <c:printSettings>
    <c:headerFooter alignWithMargins="0"/>
    <c:pageMargins b="1" l="0.75" r="0.75" t="1" header="0.4921259845" footer="0.492125984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Couts_bruts_Couts_net!$AU$73</c:f>
          <c:strCache>
            <c:ptCount val="1"/>
            <c:pt idx="0">
              <c:v>PRODUITS OPERATIONNELS</c:v>
            </c:pt>
          </c:strCache>
        </c:strRef>
      </c:tx>
      <c:layout/>
      <c:overlay val="0"/>
      <c:spPr>
        <a:noFill/>
        <a:ln w="25400">
          <a:noFill/>
        </a:ln>
      </c:spPr>
      <c:txPr>
        <a:bodyPr/>
        <a:lstStyle/>
        <a:p>
          <a:pPr>
            <a:defRPr/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8267264224051506E-2"/>
          <c:y val="0.106109536657023"/>
          <c:w val="0.92256501688081549"/>
          <c:h val="0.5513498618899145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Couts_bruts_Couts_net!$AU$75</c:f>
              <c:strCache>
                <c:ptCount val="1"/>
                <c:pt idx="0">
                  <c:v>Estimé 2 N-1</c:v>
                </c:pt>
              </c:strCache>
            </c:strRef>
          </c:tx>
          <c:spPr>
            <a:solidFill>
              <a:srgbClr val="9999FF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Couts_bruts_Couts_net!$AW$64:$BE$64</c:f>
              <c:strCache>
                <c:ptCount val="9"/>
                <c:pt idx="0">
                  <c:v>Direction Générale</c:v>
                </c:pt>
                <c:pt idx="1">
                  <c:v>Direction Performance et Commerciale</c:v>
                </c:pt>
                <c:pt idx="2">
                  <c:v>Direction Financière</c:v>
                </c:pt>
                <c:pt idx="3">
                  <c:v>Direction Système d'information</c:v>
                </c:pt>
                <c:pt idx="4">
                  <c:v>Direction Ressources Humaines</c:v>
                </c:pt>
                <c:pt idx="5">
                  <c:v>Direction Juridique</c:v>
                </c:pt>
                <c:pt idx="6">
                  <c:v>SG - Communication</c:v>
                </c:pt>
                <c:pt idx="7">
                  <c:v>Direction Innovation et Stratégie</c:v>
                </c:pt>
                <c:pt idx="8">
                  <c:v>Direction Déléguée Rail - Grand Paris</c:v>
                </c:pt>
              </c:strCache>
            </c:strRef>
          </c:cat>
          <c:val>
            <c:numRef>
              <c:f>Couts_bruts_Couts_net!$AW$75:$BE$75</c:f>
              <c:numCache>
                <c:formatCode>#,##0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ser>
          <c:idx val="3"/>
          <c:order val="2"/>
          <c:tx>
            <c:strRef>
              <c:f>Couts_bruts_Couts_net!$AU$76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D0C2A4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Couts_bruts_Couts_net!$AW$64:$BE$64</c:f>
              <c:strCache>
                <c:ptCount val="9"/>
                <c:pt idx="0">
                  <c:v>Direction Générale</c:v>
                </c:pt>
                <c:pt idx="1">
                  <c:v>Direction Performance et Commerciale</c:v>
                </c:pt>
                <c:pt idx="2">
                  <c:v>Direction Financière</c:v>
                </c:pt>
                <c:pt idx="3">
                  <c:v>Direction Système d'information</c:v>
                </c:pt>
                <c:pt idx="4">
                  <c:v>Direction Ressources Humaines</c:v>
                </c:pt>
                <c:pt idx="5">
                  <c:v>Direction Juridique</c:v>
                </c:pt>
                <c:pt idx="6">
                  <c:v>SG - Communication</c:v>
                </c:pt>
                <c:pt idx="7">
                  <c:v>Direction Innovation et Stratégie</c:v>
                </c:pt>
                <c:pt idx="8">
                  <c:v>Direction Déléguée Rail - Grand Paris</c:v>
                </c:pt>
              </c:strCache>
            </c:strRef>
          </c:cat>
          <c:val>
            <c:numRef>
              <c:f>Couts_bruts_Couts_net!$AW$76:$BE$76</c:f>
              <c:numCache>
                <c:formatCode>#,##0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536896"/>
        <c:axId val="251538816"/>
      </c:barChart>
      <c:scatterChart>
        <c:scatterStyle val="lineMarker"/>
        <c:varyColors val="0"/>
        <c:ser>
          <c:idx val="0"/>
          <c:order val="0"/>
          <c:tx>
            <c:strRef>
              <c:f>Couts_bruts_Couts_net!$AU$74</c:f>
              <c:strCache>
                <c:ptCount val="1"/>
                <c:pt idx="0">
                  <c:v>Réalisé N-2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9"/>
            <c:spPr>
              <a:solidFill>
                <a:srgbClr val="FF0000"/>
              </a:solidFill>
            </c:spPr>
          </c:marker>
          <c:xVal>
            <c:strRef>
              <c:f>Couts_bruts_Couts_net!$AW$64:$BE$64</c:f>
              <c:strCache>
                <c:ptCount val="9"/>
                <c:pt idx="0">
                  <c:v>Direction Générale</c:v>
                </c:pt>
                <c:pt idx="1">
                  <c:v>Direction Performance et Commerciale</c:v>
                </c:pt>
                <c:pt idx="2">
                  <c:v>Direction Financière</c:v>
                </c:pt>
                <c:pt idx="3">
                  <c:v>Direction Système d'information</c:v>
                </c:pt>
                <c:pt idx="4">
                  <c:v>Direction Ressources Humaines</c:v>
                </c:pt>
                <c:pt idx="5">
                  <c:v>Direction Juridique</c:v>
                </c:pt>
                <c:pt idx="6">
                  <c:v>SG - Communication</c:v>
                </c:pt>
                <c:pt idx="7">
                  <c:v>Direction Innovation et Stratégie</c:v>
                </c:pt>
                <c:pt idx="8">
                  <c:v>Direction Déléguée Rail - Grand Paris</c:v>
                </c:pt>
              </c:strCache>
            </c:strRef>
          </c:xVal>
          <c:yVal>
            <c:numRef>
              <c:f>Couts_bruts_Couts_net!$AW$74:$BE$74</c:f>
              <c:numCache>
                <c:formatCode>#,##0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550336"/>
        <c:axId val="251548800"/>
      </c:scatterChart>
      <c:catAx>
        <c:axId val="25153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1920000" vert="horz"/>
          <a:lstStyle/>
          <a:p>
            <a:pPr>
              <a:defRPr sz="1500"/>
            </a:pPr>
            <a:endParaRPr lang="fr-FR"/>
          </a:p>
        </c:txPr>
        <c:crossAx val="251538816"/>
        <c:crosses val="autoZero"/>
        <c:auto val="1"/>
        <c:lblAlgn val="ctr"/>
        <c:lblOffset val="100"/>
        <c:noMultiLvlLbl val="0"/>
      </c:catAx>
      <c:valAx>
        <c:axId val="25153881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spPr>
          <a:ln w="9525">
            <a:noFill/>
          </a:ln>
        </c:spPr>
        <c:txPr>
          <a:bodyPr/>
          <a:lstStyle/>
          <a:p>
            <a:pPr>
              <a:defRPr sz="1500"/>
            </a:pPr>
            <a:endParaRPr lang="fr-FR"/>
          </a:p>
        </c:txPr>
        <c:crossAx val="251536896"/>
        <c:crosses val="autoZero"/>
        <c:crossBetween val="between"/>
      </c:valAx>
      <c:valAx>
        <c:axId val="251548800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251550336"/>
        <c:crosses val="max"/>
        <c:crossBetween val="midCat"/>
      </c:valAx>
      <c:valAx>
        <c:axId val="251550336"/>
        <c:scaling>
          <c:orientation val="minMax"/>
        </c:scaling>
        <c:delete val="1"/>
        <c:axPos val="t"/>
        <c:majorTickMark val="out"/>
        <c:minorTickMark val="none"/>
        <c:tickLblPos val="nextTo"/>
        <c:crossAx val="251548800"/>
        <c:crosses val="max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2.1341772031673589E-2"/>
          <c:y val="0.93944954128440372"/>
          <c:w val="0.94023394043339392"/>
          <c:h val="4.4036697247706424E-2"/>
        </c:manualLayout>
      </c:layout>
      <c:overlay val="0"/>
      <c:txPr>
        <a:bodyPr/>
        <a:lstStyle/>
        <a:p>
          <a:pPr>
            <a:defRPr sz="1500"/>
          </a:pPr>
          <a:endParaRPr lang="fr-FR"/>
        </a:p>
      </c:txPr>
    </c:legend>
    <c:plotVisOnly val="0"/>
    <c:dispBlanksAs val="gap"/>
    <c:showDLblsOverMax val="0"/>
  </c:chart>
  <c:spPr>
    <a:noFill/>
    <a:ln w="9525">
      <a:noFill/>
    </a:ln>
  </c:spPr>
  <c:printSettings>
    <c:headerFooter alignWithMargins="0"/>
    <c:pageMargins b="1" l="0.75" r="0.75" t="1" header="0.4921259845" footer="0.492125984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Relationship Id="rId5" Type="http://schemas.openxmlformats.org/officeDocument/2006/relationships/image" Target="../media/image3.png"/><Relationship Id="rId4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171450</xdr:colOff>
      <xdr:row>15</xdr:row>
      <xdr:rowOff>142875</xdr:rowOff>
    </xdr:from>
    <xdr:to>
      <xdr:col>5</xdr:col>
      <xdr:colOff>2905125</xdr:colOff>
      <xdr:row>16</xdr:row>
      <xdr:rowOff>152400</xdr:rowOff>
    </xdr:to>
    <xdr:sp macro="" textlink="">
      <xdr:nvSpPr>
        <xdr:cNvPr id="10" name="SaveData_Input_PL" hidden="1">
          <a:extLst>
            <a:ext uri="{63B3BB69-23CF-44E3-9099-C40C66FF867C}">
              <a14:compatExt xmlns:a14="http://schemas.microsoft.com/office/drawing/2010/main" spid="_x0000_s16079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15</xdr:row>
          <xdr:rowOff>114300</xdr:rowOff>
        </xdr:from>
        <xdr:to>
          <xdr:col>5</xdr:col>
          <xdr:colOff>2333625</xdr:colOff>
          <xdr:row>16</xdr:row>
          <xdr:rowOff>180975</xdr:rowOff>
        </xdr:to>
        <xdr:sp macro="" textlink="">
          <xdr:nvSpPr>
            <xdr:cNvPr id="160787" name="Refresh_Report" hidden="1">
              <a:extLst>
                <a:ext uri="{63B3BB69-23CF-44E3-9099-C40C66FF867C}">
                  <a14:compatExt spid="_x0000_s160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 editAs="oneCell">
    <xdr:from>
      <xdr:col>25</xdr:col>
      <xdr:colOff>1104900</xdr:colOff>
      <xdr:row>17</xdr:row>
      <xdr:rowOff>321581</xdr:rowOff>
    </xdr:from>
    <xdr:to>
      <xdr:col>29</xdr:col>
      <xdr:colOff>552450</xdr:colOff>
      <xdr:row>20</xdr:row>
      <xdr:rowOff>43609</xdr:rowOff>
    </xdr:to>
    <xdr:pic>
      <xdr:nvPicPr>
        <xdr:cNvPr id="14" name="Picture 6" descr="http://www.iconlib.info/original/Misc_icon_kfilereplace_2700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lum contrast="-1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19735800" y="1083581"/>
          <a:ext cx="762000" cy="8650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419101</xdr:colOff>
      <xdr:row>63</xdr:row>
      <xdr:rowOff>190500</xdr:rowOff>
    </xdr:from>
    <xdr:to>
      <xdr:col>8</xdr:col>
      <xdr:colOff>134401</xdr:colOff>
      <xdr:row>88</xdr:row>
      <xdr:rowOff>200025</xdr:rowOff>
    </xdr:to>
    <xdr:graphicFrame macro="">
      <xdr:nvGraphicFramePr>
        <xdr:cNvPr id="12" name="Graphique 16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304800</xdr:colOff>
      <xdr:row>64</xdr:row>
      <xdr:rowOff>19050</xdr:rowOff>
    </xdr:from>
    <xdr:to>
      <xdr:col>20</xdr:col>
      <xdr:colOff>134400</xdr:colOff>
      <xdr:row>88</xdr:row>
      <xdr:rowOff>180975</xdr:rowOff>
    </xdr:to>
    <xdr:graphicFrame macro="">
      <xdr:nvGraphicFramePr>
        <xdr:cNvPr id="16" name="Graphique 16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1143000</xdr:colOff>
      <xdr:row>64</xdr:row>
      <xdr:rowOff>0</xdr:rowOff>
    </xdr:from>
    <xdr:to>
      <xdr:col>29</xdr:col>
      <xdr:colOff>990600</xdr:colOff>
      <xdr:row>88</xdr:row>
      <xdr:rowOff>85725</xdr:rowOff>
    </xdr:to>
    <xdr:graphicFrame macro="">
      <xdr:nvGraphicFramePr>
        <xdr:cNvPr id="17" name="Graphique 16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5</xdr:col>
      <xdr:colOff>1</xdr:colOff>
      <xdr:row>18</xdr:row>
      <xdr:rowOff>0</xdr:rowOff>
    </xdr:from>
    <xdr:to>
      <xdr:col>5</xdr:col>
      <xdr:colOff>2266950</xdr:colOff>
      <xdr:row>20</xdr:row>
      <xdr:rowOff>2815</xdr:rowOff>
    </xdr:to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1" y="1143000"/>
          <a:ext cx="2266949" cy="76481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indexed="10"/>
  </sheetPr>
  <dimension ref="A1:G31"/>
  <sheetViews>
    <sheetView workbookViewId="0"/>
  </sheetViews>
  <sheetFormatPr baseColWidth="10" defaultColWidth="9.140625" defaultRowHeight="12.75" x14ac:dyDescent="0.2"/>
  <cols>
    <col min="1" max="1" width="38.28515625" style="8" bestFit="1" customWidth="1"/>
    <col min="2" max="2" width="17.85546875" style="8" bestFit="1" customWidth="1"/>
    <col min="3" max="3" width="9.140625" style="8"/>
    <col min="4" max="4" width="27.7109375" style="8" customWidth="1"/>
    <col min="5" max="16384" width="9.140625" style="8"/>
  </cols>
  <sheetData>
    <row r="1" spans="1:7" ht="18" x14ac:dyDescent="0.25">
      <c r="A1" s="6" t="s">
        <v>94</v>
      </c>
      <c r="B1" s="7"/>
    </row>
    <row r="2" spans="1:7" x14ac:dyDescent="0.2">
      <c r="A2" s="7"/>
      <c r="B2" s="7"/>
    </row>
    <row r="3" spans="1:7" ht="15.75" x14ac:dyDescent="0.25">
      <c r="A3" s="9" t="s">
        <v>5</v>
      </c>
      <c r="B3" s="7"/>
    </row>
    <row r="4" spans="1:7" x14ac:dyDescent="0.2">
      <c r="A4" s="10" t="s">
        <v>4</v>
      </c>
      <c r="B4" s="11" t="s">
        <v>104</v>
      </c>
    </row>
    <row r="5" spans="1:7" x14ac:dyDescent="0.2">
      <c r="A5" s="10" t="s">
        <v>7</v>
      </c>
      <c r="B5" s="12" t="str">
        <f ca="1">LEFT(Server,LEN(Server)-1)</f>
        <v>tango_core_model</v>
      </c>
    </row>
    <row r="6" spans="1:7" x14ac:dyDescent="0.2">
      <c r="A6" s="10" t="s">
        <v>3</v>
      </c>
      <c r="B6" s="12" t="s">
        <v>40</v>
      </c>
    </row>
    <row r="7" spans="1:7" x14ac:dyDescent="0.2">
      <c r="A7" s="10" t="s">
        <v>18</v>
      </c>
      <c r="B7" s="12">
        <v>0</v>
      </c>
    </row>
    <row r="8" spans="1:7" x14ac:dyDescent="0.2">
      <c r="A8" s="10" t="s">
        <v>34</v>
      </c>
      <c r="B8" s="12">
        <v>0</v>
      </c>
    </row>
    <row r="10" spans="1:7" ht="15.75" x14ac:dyDescent="0.25">
      <c r="A10" s="9" t="s">
        <v>6</v>
      </c>
    </row>
    <row r="11" spans="1:7" ht="13.5" customHeight="1" x14ac:dyDescent="0.2">
      <c r="A11" s="10" t="s">
        <v>14</v>
      </c>
      <c r="B11" s="12" t="s">
        <v>45</v>
      </c>
    </row>
    <row r="12" spans="1:7" ht="13.5" customHeight="1" x14ac:dyDescent="0.2">
      <c r="A12" s="10" t="s">
        <v>15</v>
      </c>
      <c r="B12" s="12" t="s">
        <v>64</v>
      </c>
      <c r="C12" s="108" t="s">
        <v>96</v>
      </c>
      <c r="D12" s="108"/>
      <c r="E12" s="108"/>
      <c r="F12" s="108"/>
      <c r="G12" s="108"/>
    </row>
    <row r="13" spans="1:7" x14ac:dyDescent="0.2">
      <c r="A13" s="10" t="s">
        <v>9</v>
      </c>
      <c r="B13" s="12" t="str">
        <f ca="1">_xll.DBR(Server&amp;"z_Admin_Param","MONTH_CORPORATE","STR_VAR1")</f>
        <v>2013.03</v>
      </c>
      <c r="C13" s="109" t="str">
        <f ca="1">LEFT($B$13,4)</f>
        <v>2013</v>
      </c>
      <c r="D13" s="110"/>
    </row>
    <row r="14" spans="1:7" x14ac:dyDescent="0.2">
      <c r="A14" s="10" t="s">
        <v>19</v>
      </c>
      <c r="B14" s="12" t="str">
        <f ca="1">_xll.DBR(Server&amp;"z_Admin_Param","BUDGET_VERSION_BUDGET_FORECAST","STR_VAR1")</f>
        <v>VC</v>
      </c>
    </row>
    <row r="15" spans="1:7" x14ac:dyDescent="0.2">
      <c r="A15" s="10" t="s">
        <v>20</v>
      </c>
      <c r="B15" s="12" t="str">
        <f ca="1">_xll.DBR(Server&amp;"z_Admin_Param","FORECAST_1_VERSION_BUDGET_FORECAST","STR_VAR1")</f>
        <v>VC</v>
      </c>
    </row>
    <row r="16" spans="1:7" x14ac:dyDescent="0.2">
      <c r="A16" s="10" t="s">
        <v>41</v>
      </c>
      <c r="B16" s="12" t="str">
        <f ca="1">_xll.DBR(Server&amp;"z_Admin_Param","FORECAST_2_VERSION_BUDGET_FORECAST","STR_VAR1")</f>
        <v>VC</v>
      </c>
    </row>
    <row r="17" spans="1:6" x14ac:dyDescent="0.2">
      <c r="A17" s="10" t="s">
        <v>2</v>
      </c>
      <c r="B17" s="13" t="str">
        <f ca="1">_xll.DBR(Server&amp;"z_Client_Properties","Language",_xll.TM1USER(xServer))</f>
        <v>French</v>
      </c>
      <c r="C17" s="8" t="str">
        <f ca="1">IF(LocalLanguage="French","Français",LocalLanguage)</f>
        <v>Français</v>
      </c>
    </row>
    <row r="18" spans="1:6" x14ac:dyDescent="0.2">
      <c r="A18" s="216" t="s">
        <v>28</v>
      </c>
      <c r="B18" s="28" t="s">
        <v>1</v>
      </c>
    </row>
    <row r="19" spans="1:6" x14ac:dyDescent="0.2">
      <c r="A19" s="216"/>
      <c r="B19" s="28" t="s">
        <v>46</v>
      </c>
    </row>
    <row r="20" spans="1:6" x14ac:dyDescent="0.2">
      <c r="A20" s="216"/>
      <c r="B20" s="28" t="s">
        <v>11</v>
      </c>
    </row>
    <row r="21" spans="1:6" x14ac:dyDescent="0.2">
      <c r="A21" s="216"/>
      <c r="B21" s="28" t="s">
        <v>12</v>
      </c>
    </row>
    <row r="22" spans="1:6" x14ac:dyDescent="0.2">
      <c r="A22" s="216"/>
      <c r="B22" s="28" t="s">
        <v>13</v>
      </c>
    </row>
    <row r="23" spans="1:6" x14ac:dyDescent="0.2">
      <c r="A23" s="216" t="s">
        <v>29</v>
      </c>
      <c r="B23" s="28" t="s">
        <v>25</v>
      </c>
    </row>
    <row r="24" spans="1:6" x14ac:dyDescent="0.2">
      <c r="A24" s="216"/>
      <c r="B24" s="28" t="s">
        <v>26</v>
      </c>
    </row>
    <row r="25" spans="1:6" x14ac:dyDescent="0.2">
      <c r="A25" s="216"/>
      <c r="B25" s="28" t="s">
        <v>27</v>
      </c>
    </row>
    <row r="27" spans="1:6" ht="15.75" x14ac:dyDescent="0.25">
      <c r="A27" s="9" t="s">
        <v>21</v>
      </c>
      <c r="F27" s="8" t="s">
        <v>8</v>
      </c>
    </row>
    <row r="28" spans="1:6" ht="13.5" customHeight="1" x14ac:dyDescent="0.25">
      <c r="A28" s="8" t="s">
        <v>22</v>
      </c>
      <c r="B28" s="25"/>
    </row>
    <row r="29" spans="1:6" x14ac:dyDescent="0.2">
      <c r="A29" s="8" t="s">
        <v>23</v>
      </c>
      <c r="B29" s="26"/>
    </row>
    <row r="30" spans="1:6" x14ac:dyDescent="0.2">
      <c r="A30" s="8" t="s">
        <v>24</v>
      </c>
      <c r="B30" s="27"/>
    </row>
    <row r="31" spans="1:6" x14ac:dyDescent="0.2">
      <c r="A31" s="8" t="s">
        <v>44</v>
      </c>
      <c r="B31" s="56"/>
    </row>
  </sheetData>
  <sheetProtection formatColumns="0" formatRows="0"/>
  <mergeCells count="2">
    <mergeCell ref="A18:A22"/>
    <mergeCell ref="A23:A25"/>
  </mergeCells>
  <phoneticPr fontId="43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BQ158"/>
  <sheetViews>
    <sheetView showGridLines="0" tabSelected="1" topLeftCell="E16" zoomScale="50" zoomScaleNormal="50" zoomScaleSheetLayoutView="70" workbookViewId="0">
      <selection activeCell="H21" sqref="H21"/>
    </sheetView>
  </sheetViews>
  <sheetFormatPr baseColWidth="10" defaultColWidth="11.42578125" defaultRowHeight="18" customHeight="1" outlineLevelRow="1" x14ac:dyDescent="0.2"/>
  <cols>
    <col min="1" max="1" width="20.42578125" style="1" hidden="1" customWidth="1"/>
    <col min="2" max="2" width="8.140625" style="14" hidden="1" customWidth="1"/>
    <col min="3" max="3" width="25.140625" style="14" hidden="1" customWidth="1"/>
    <col min="4" max="4" width="29" style="14" hidden="1" customWidth="1"/>
    <col min="5" max="5" width="3" style="29" customWidth="1"/>
    <col min="6" max="6" width="45.7109375" style="14" customWidth="1"/>
    <col min="7" max="7" width="30.7109375" style="29" customWidth="1"/>
    <col min="8" max="8" width="5.42578125" style="29" customWidth="1"/>
    <col min="9" max="11" width="19.7109375" style="29" customWidth="1"/>
    <col min="12" max="12" width="2.7109375" style="29" customWidth="1"/>
    <col min="13" max="13" width="19.7109375" style="29" customWidth="1"/>
    <col min="14" max="14" width="3" style="29" hidden="1" customWidth="1"/>
    <col min="15" max="15" width="2.5703125" style="29" hidden="1" customWidth="1"/>
    <col min="16" max="16" width="4" style="29" hidden="1" customWidth="1"/>
    <col min="17" max="17" width="18.7109375" style="29" customWidth="1"/>
    <col min="18" max="18" width="1.7109375" style="29" hidden="1" customWidth="1"/>
    <col min="19" max="19" width="3.140625" style="29" hidden="1" customWidth="1"/>
    <col min="20" max="20" width="4.5703125" style="29" hidden="1" customWidth="1"/>
    <col min="21" max="21" width="2.7109375" style="29" customWidth="1"/>
    <col min="22" max="24" width="19.7109375" style="29" customWidth="1"/>
    <col min="25" max="25" width="2.7109375" style="29" customWidth="1"/>
    <col min="26" max="26" width="19.7109375" style="29" customWidth="1"/>
    <col min="27" max="27" width="2.42578125" style="29" hidden="1" customWidth="1"/>
    <col min="28" max="28" width="15.42578125" style="29" hidden="1" customWidth="1"/>
    <col min="29" max="29" width="1.140625" style="29" hidden="1" customWidth="1"/>
    <col min="30" max="30" width="19.7109375" style="29" customWidth="1"/>
    <col min="31" max="31" width="2" style="29" hidden="1" customWidth="1"/>
    <col min="32" max="33" width="15.42578125" style="29" hidden="1" customWidth="1"/>
    <col min="34" max="34" width="31.28515625" style="29" hidden="1" customWidth="1"/>
    <col min="35" max="35" width="29.140625" style="2" hidden="1" customWidth="1"/>
    <col min="36" max="36" width="22.7109375" style="2" hidden="1" customWidth="1"/>
    <col min="37" max="37" width="12.85546875" style="2" hidden="1" customWidth="1"/>
    <col min="38" max="38" width="20.85546875" style="2" hidden="1" customWidth="1"/>
    <col min="39" max="39" width="14.28515625" style="14" hidden="1" customWidth="1"/>
    <col min="40" max="40" width="6.42578125" style="14" hidden="1" customWidth="1"/>
    <col min="41" max="45" width="9" style="14" hidden="1" customWidth="1"/>
    <col min="46" max="46" width="25.140625" style="14" hidden="1" customWidth="1"/>
    <col min="47" max="47" width="10.5703125" style="14" hidden="1" customWidth="1"/>
    <col min="48" max="48" width="11.5703125" style="14" hidden="1" customWidth="1"/>
    <col min="49" max="49" width="18.85546875" style="14" hidden="1" customWidth="1"/>
    <col min="50" max="50" width="16.28515625" style="14" hidden="1" customWidth="1"/>
    <col min="51" max="51" width="6.140625" style="14" hidden="1" customWidth="1"/>
    <col min="52" max="52" width="6.5703125" style="14" hidden="1" customWidth="1"/>
    <col min="53" max="59" width="6.5703125" style="1" hidden="1" customWidth="1"/>
    <col min="60" max="61" width="6.42578125" style="1" hidden="1" customWidth="1"/>
    <col min="62" max="69" width="11.42578125" style="1" hidden="1" customWidth="1"/>
    <col min="70" max="86" width="0" style="1" hidden="1" customWidth="1"/>
    <col min="87" max="16384" width="11.42578125" style="1"/>
  </cols>
  <sheetData>
    <row r="1" spans="1:51" customFormat="1" ht="18" hidden="1" customHeight="1" x14ac:dyDescent="0.2">
      <c r="A1" t="s">
        <v>55</v>
      </c>
      <c r="AI1" s="89"/>
      <c r="AJ1" s="89"/>
      <c r="AK1" s="89"/>
      <c r="AL1" s="89"/>
    </row>
    <row r="2" spans="1:51" customFormat="1" ht="27" hidden="1" customHeight="1" x14ac:dyDescent="0.2">
      <c r="A2">
        <f ca="1">0</f>
        <v>0</v>
      </c>
      <c r="F2" s="185"/>
      <c r="G2" s="175"/>
      <c r="H2" s="141"/>
      <c r="I2" s="180"/>
      <c r="J2" s="180"/>
      <c r="K2" s="180"/>
      <c r="L2" s="156"/>
      <c r="M2" s="194"/>
      <c r="N2" s="195"/>
      <c r="O2" s="195"/>
      <c r="P2" s="196"/>
      <c r="Q2" s="194"/>
      <c r="R2" s="154"/>
      <c r="S2" s="155"/>
      <c r="T2" s="142"/>
      <c r="U2" s="156"/>
      <c r="V2" s="180"/>
      <c r="W2" s="180"/>
      <c r="X2" s="180"/>
      <c r="Y2" s="156"/>
      <c r="Z2" s="194"/>
      <c r="AA2" s="195"/>
      <c r="AB2" s="195"/>
      <c r="AC2" s="195"/>
      <c r="AD2" s="194"/>
      <c r="AE2" s="154"/>
      <c r="AF2" s="155"/>
      <c r="AG2" s="142"/>
      <c r="AI2" s="87"/>
      <c r="AJ2" s="87"/>
      <c r="AK2" s="87"/>
      <c r="AL2" s="86"/>
    </row>
    <row r="3" spans="1:51" customFormat="1" ht="27" hidden="1" customHeight="1" x14ac:dyDescent="0.2">
      <c r="A3">
        <f ca="1">1</f>
        <v>1</v>
      </c>
      <c r="F3" s="186"/>
      <c r="G3" s="176"/>
      <c r="H3" s="141"/>
      <c r="I3" s="182"/>
      <c r="J3" s="182"/>
      <c r="K3" s="182"/>
      <c r="L3" s="156"/>
      <c r="M3" s="197"/>
      <c r="N3" s="195"/>
      <c r="O3" s="195"/>
      <c r="P3" s="196"/>
      <c r="Q3" s="197"/>
      <c r="R3" s="154"/>
      <c r="S3" s="155"/>
      <c r="T3" s="142"/>
      <c r="U3" s="156"/>
      <c r="V3" s="182"/>
      <c r="W3" s="182"/>
      <c r="X3" s="182"/>
      <c r="Y3" s="156"/>
      <c r="Z3" s="197"/>
      <c r="AA3" s="195"/>
      <c r="AB3" s="195"/>
      <c r="AC3" s="195"/>
      <c r="AD3" s="197"/>
      <c r="AE3" s="154"/>
      <c r="AF3" s="155"/>
      <c r="AG3" s="142"/>
      <c r="AI3" s="87"/>
      <c r="AJ3" s="87"/>
      <c r="AK3" s="87"/>
      <c r="AL3" s="86"/>
    </row>
    <row r="4" spans="1:51" customFormat="1" ht="27" hidden="1" customHeight="1" x14ac:dyDescent="0.2">
      <c r="A4">
        <f ca="1">2</f>
        <v>2</v>
      </c>
      <c r="F4" s="187"/>
      <c r="G4" s="177"/>
      <c r="H4" s="141"/>
      <c r="I4" s="183"/>
      <c r="J4" s="183"/>
      <c r="K4" s="183"/>
      <c r="L4" s="156"/>
      <c r="M4" s="198"/>
      <c r="N4" s="199"/>
      <c r="O4" s="199"/>
      <c r="P4" s="200"/>
      <c r="Q4" s="198"/>
      <c r="R4" s="154"/>
      <c r="S4" s="155"/>
      <c r="T4" s="142"/>
      <c r="U4" s="156"/>
      <c r="V4" s="183"/>
      <c r="W4" s="183"/>
      <c r="X4" s="183"/>
      <c r="Y4" s="156"/>
      <c r="Z4" s="198"/>
      <c r="AA4" s="199"/>
      <c r="AB4" s="199"/>
      <c r="AC4" s="199"/>
      <c r="AD4" s="198"/>
      <c r="AE4" s="154"/>
      <c r="AF4" s="155"/>
      <c r="AG4" s="142"/>
      <c r="AI4" s="87"/>
      <c r="AJ4" s="87"/>
      <c r="AK4" s="87"/>
      <c r="AL4" s="86"/>
    </row>
    <row r="5" spans="1:51" customFormat="1" ht="27" hidden="1" customHeight="1" x14ac:dyDescent="0.2">
      <c r="A5">
        <f ca="1">3</f>
        <v>3</v>
      </c>
      <c r="F5" s="188"/>
      <c r="G5" s="178"/>
      <c r="H5" s="141"/>
      <c r="I5" s="184"/>
      <c r="J5" s="184"/>
      <c r="K5" s="184"/>
      <c r="L5" s="156"/>
      <c r="M5" s="201"/>
      <c r="N5" s="199"/>
      <c r="O5" s="199"/>
      <c r="P5" s="200"/>
      <c r="Q5" s="201"/>
      <c r="R5" s="154"/>
      <c r="S5" s="155"/>
      <c r="T5" s="142"/>
      <c r="U5" s="156"/>
      <c r="V5" s="184"/>
      <c r="W5" s="184"/>
      <c r="X5" s="184"/>
      <c r="Y5" s="156"/>
      <c r="Z5" s="201"/>
      <c r="AA5" s="199"/>
      <c r="AB5" s="199"/>
      <c r="AC5" s="199"/>
      <c r="AD5" s="201"/>
      <c r="AE5" s="154"/>
      <c r="AF5" s="155"/>
      <c r="AG5" s="142"/>
      <c r="AI5" s="87"/>
      <c r="AJ5" s="87"/>
      <c r="AK5" s="87"/>
      <c r="AL5" s="86"/>
    </row>
    <row r="6" spans="1:51" customFormat="1" ht="27" hidden="1" customHeight="1" x14ac:dyDescent="0.2">
      <c r="A6" t="s">
        <v>53</v>
      </c>
      <c r="F6" s="189"/>
      <c r="G6" s="179"/>
      <c r="H6" s="141"/>
      <c r="I6" s="181"/>
      <c r="J6" s="181"/>
      <c r="K6" s="181"/>
      <c r="L6" s="156"/>
      <c r="M6" s="181"/>
      <c r="N6" s="181"/>
      <c r="O6" s="181"/>
      <c r="P6" s="200"/>
      <c r="Q6" s="181"/>
      <c r="R6" s="154"/>
      <c r="S6" s="155"/>
      <c r="T6" s="142"/>
      <c r="U6" s="94"/>
      <c r="V6" s="181"/>
      <c r="W6" s="181"/>
      <c r="X6" s="181"/>
      <c r="Y6" s="156"/>
      <c r="Z6" s="181"/>
      <c r="AA6" s="181"/>
      <c r="AB6" s="181"/>
      <c r="AC6" s="181"/>
      <c r="AD6" s="181"/>
      <c r="AE6" s="154"/>
      <c r="AF6" s="155"/>
      <c r="AG6" s="142"/>
      <c r="AI6" s="87"/>
      <c r="AJ6" s="87"/>
      <c r="AK6" s="87"/>
      <c r="AL6" s="86"/>
    </row>
    <row r="7" spans="1:51" customFormat="1" ht="27" hidden="1" customHeight="1" x14ac:dyDescent="0.2">
      <c r="A7" t="s">
        <v>54</v>
      </c>
      <c r="F7" s="189"/>
      <c r="G7" s="190"/>
      <c r="H7" s="141"/>
      <c r="I7" s="153"/>
      <c r="J7" s="153"/>
      <c r="K7" s="153"/>
      <c r="L7" s="156"/>
      <c r="M7" s="153"/>
      <c r="N7" s="153"/>
      <c r="O7" s="153"/>
      <c r="P7" s="200"/>
      <c r="Q7" s="153"/>
      <c r="R7" s="154"/>
      <c r="S7" s="155"/>
      <c r="T7" s="142"/>
      <c r="U7" s="94"/>
      <c r="V7" s="153"/>
      <c r="W7" s="153"/>
      <c r="X7" s="153"/>
      <c r="Y7" s="156"/>
      <c r="Z7" s="153"/>
      <c r="AA7" s="153"/>
      <c r="AB7" s="153"/>
      <c r="AC7" s="153"/>
      <c r="AD7" s="153"/>
      <c r="AE7" s="154"/>
      <c r="AF7" s="155"/>
      <c r="AG7" s="142"/>
      <c r="AI7" s="87"/>
      <c r="AJ7" s="87"/>
      <c r="AK7" s="87"/>
      <c r="AL7" s="90"/>
    </row>
    <row r="8" spans="1:51" customFormat="1" ht="18" hidden="1" customHeight="1" x14ac:dyDescent="0.2">
      <c r="A8" t="s">
        <v>56</v>
      </c>
      <c r="S8" s="155"/>
      <c r="AI8" s="89"/>
      <c r="AJ8" s="89"/>
      <c r="AK8" s="89"/>
      <c r="AL8" s="89"/>
    </row>
    <row r="9" spans="1:51" customFormat="1" ht="18" hidden="1" customHeight="1" x14ac:dyDescent="0.2">
      <c r="AI9" s="89"/>
      <c r="AJ9" s="89"/>
      <c r="AK9" s="89"/>
      <c r="AL9" s="89"/>
    </row>
    <row r="10" spans="1:51" customFormat="1" ht="18" hidden="1" customHeight="1" x14ac:dyDescent="0.2">
      <c r="AI10" s="89"/>
      <c r="AJ10" s="89"/>
      <c r="AK10" s="89"/>
      <c r="AL10" s="89"/>
    </row>
    <row r="11" spans="1:51" ht="22.5" hidden="1" customHeight="1" x14ac:dyDescent="0.25">
      <c r="B11" s="40"/>
      <c r="C11" s="40"/>
      <c r="D11" s="40"/>
      <c r="E11" s="40"/>
      <c r="F11" s="25"/>
      <c r="G11" s="25" t="s">
        <v>93</v>
      </c>
      <c r="H11" s="53" t="s">
        <v>0</v>
      </c>
      <c r="I11" s="67" t="s">
        <v>62</v>
      </c>
      <c r="J11" s="68" t="str">
        <f ca="1">IF($G$33=$AU$22,"FC_2_TOT",IF($G$33=$AU$23,"BUDG_TOT","FC_1_TOT"))</f>
        <v>FC_2_TOT</v>
      </c>
      <c r="K11" s="68" t="str">
        <f ca="1">IF($G$33=$AU$22,"BUDG_TOT",IF($G$33=$AU$23,"FC_1_TOT","FC_2_TOT"))</f>
        <v>BUDG_TOT</v>
      </c>
      <c r="L11" s="54"/>
      <c r="M11" s="122" t="s">
        <v>80</v>
      </c>
      <c r="N11" s="122"/>
      <c r="O11" s="122"/>
      <c r="P11" s="95" t="str">
        <f ca="1">IF($G$33=$AU$22,"BUDG",IF($G$33=$AU$23,"FC_1","FC_2"))</f>
        <v>BUDG</v>
      </c>
      <c r="Q11" s="54"/>
      <c r="R11" s="54"/>
      <c r="S11" s="54"/>
      <c r="T11" s="54"/>
      <c r="U11" s="54"/>
      <c r="V11" s="67" t="s">
        <v>62</v>
      </c>
      <c r="W11" s="68" t="str">
        <f ca="1">IF($G$33=$AU$22,"FC_2_TOT",IF($G$33=$AU$23,"BUDG_TOT","FC_1_TOT"))</f>
        <v>FC_2_TOT</v>
      </c>
      <c r="X11" s="67" t="str">
        <f ca="1">IF($G$33=$AU$22,"BUDG_TOT",IF($G$33=$AU$23,"FC_1_TOT","FC_2_TOT"))</f>
        <v>BUDG_TOT</v>
      </c>
      <c r="Y11" s="54"/>
      <c r="Z11" s="54"/>
      <c r="AA11" s="54"/>
      <c r="AB11" s="54"/>
      <c r="AC11" s="54"/>
      <c r="AD11" s="48"/>
      <c r="AE11" s="48"/>
      <c r="AF11" s="48"/>
      <c r="AG11" s="55"/>
      <c r="AH11" s="40"/>
      <c r="AI11" s="88"/>
      <c r="AJ11" s="88"/>
      <c r="AK11" s="88"/>
    </row>
    <row r="12" spans="1:51" ht="22.5" hidden="1" customHeight="1" x14ac:dyDescent="0.25">
      <c r="B12" s="40"/>
      <c r="C12" s="40"/>
      <c r="D12" s="40"/>
      <c r="E12" s="40"/>
      <c r="F12" s="40"/>
      <c r="G12" s="49"/>
      <c r="H12" s="50" t="s">
        <v>43</v>
      </c>
      <c r="I12" s="51" t="str">
        <f ca="1">IF($G$13=$AU$22,$N$15,IF($G$13=$AU$23,$I$15,$I$15))</f>
        <v>2011</v>
      </c>
      <c r="J12" s="51" t="str">
        <f ca="1">IF($G$13=$AU$22,$I$15,$H$13)</f>
        <v>2012</v>
      </c>
      <c r="K12" s="51" t="str">
        <f ca="1">$H$13</f>
        <v>2013</v>
      </c>
      <c r="L12" s="40"/>
      <c r="M12" s="122" t="s">
        <v>99</v>
      </c>
      <c r="N12" s="122"/>
      <c r="O12" s="51"/>
      <c r="P12" s="144" t="s">
        <v>67</v>
      </c>
      <c r="Q12" s="51"/>
      <c r="R12" s="51"/>
      <c r="S12" s="51"/>
      <c r="T12" s="51"/>
      <c r="U12" s="51"/>
      <c r="V12" s="51" t="str">
        <f ca="1">_xll.DBRA(Server&amp;$H$12,$H$13,"Prior Year")</f>
        <v>2012</v>
      </c>
      <c r="W12" s="51" t="str">
        <f ca="1">IF($G$33=$AU$22,$V$12,$H$13)</f>
        <v>2012</v>
      </c>
      <c r="X12" s="51" t="str">
        <f ca="1">$H$13</f>
        <v>2013</v>
      </c>
      <c r="Y12" s="51"/>
      <c r="Z12" s="51"/>
      <c r="AA12" s="51"/>
      <c r="AB12" s="51"/>
      <c r="AC12" s="51"/>
      <c r="AD12" s="48"/>
      <c r="AE12" s="48"/>
      <c r="AF12" s="40"/>
      <c r="AG12" s="40"/>
      <c r="AH12" s="40"/>
      <c r="AI12" s="78"/>
      <c r="AJ12" s="80"/>
      <c r="AK12" s="80"/>
      <c r="AM12" s="40"/>
      <c r="AN12" s="40"/>
      <c r="AO12" s="40"/>
      <c r="AP12" s="40"/>
      <c r="AQ12" s="40"/>
      <c r="AR12" s="40"/>
      <c r="AS12" s="40"/>
      <c r="AT12" s="40"/>
      <c r="AU12" s="40"/>
      <c r="AV12" s="40"/>
      <c r="AW12" s="40"/>
      <c r="AX12" s="40"/>
      <c r="AY12" s="40"/>
    </row>
    <row r="13" spans="1:51" ht="22.5" hidden="1" customHeight="1" x14ac:dyDescent="0.25">
      <c r="B13" s="40"/>
      <c r="C13" s="40"/>
      <c r="D13" s="40"/>
      <c r="E13" s="40"/>
      <c r="F13" s="50" t="s">
        <v>102</v>
      </c>
      <c r="G13" s="40" t="str">
        <f ca="1">_xll.SUBNM(Server&amp;"z_translate_report","",G33,"")</f>
        <v>Budget</v>
      </c>
      <c r="H13" s="69" t="str">
        <f ca="1">_xll.SUBNM(Server&amp;"Period","",$G$27,"")</f>
        <v>2013</v>
      </c>
      <c r="I13" s="48"/>
      <c r="J13" s="48"/>
      <c r="K13" s="48"/>
      <c r="L13" s="40"/>
      <c r="M13" s="122"/>
      <c r="N13" s="122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8"/>
      <c r="AE13" s="48"/>
      <c r="AF13" s="40"/>
      <c r="AG13" s="40"/>
      <c r="AH13" s="40"/>
      <c r="AI13" s="78"/>
      <c r="AJ13" s="78"/>
      <c r="AK13" s="78"/>
      <c r="AM13" s="40"/>
      <c r="AN13" s="40"/>
      <c r="AO13" s="40"/>
      <c r="AP13" s="40"/>
      <c r="AQ13" s="40"/>
      <c r="AR13" s="40"/>
      <c r="AS13" s="40"/>
      <c r="AT13" s="40"/>
      <c r="AU13" s="40"/>
      <c r="AV13" s="40"/>
      <c r="AW13" s="40"/>
      <c r="AX13" s="40"/>
      <c r="AY13" s="40"/>
    </row>
    <row r="14" spans="1:51" ht="22.5" hidden="1" customHeight="1" x14ac:dyDescent="0.25">
      <c r="B14" s="40"/>
      <c r="C14" s="40"/>
      <c r="D14" s="40"/>
      <c r="E14" s="40"/>
      <c r="F14" s="48"/>
      <c r="G14" s="48"/>
      <c r="H14" s="73" t="s">
        <v>51</v>
      </c>
      <c r="I14" s="111" t="s">
        <v>68</v>
      </c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111" t="s">
        <v>67</v>
      </c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78"/>
      <c r="AJ14" s="78"/>
      <c r="AK14" s="78"/>
      <c r="AM14" s="40"/>
      <c r="AN14" s="40"/>
      <c r="AO14" s="40"/>
      <c r="AP14" s="40"/>
      <c r="AQ14" s="40"/>
      <c r="AR14" s="40"/>
      <c r="AS14" s="40"/>
      <c r="AT14" s="40"/>
      <c r="AU14" s="40"/>
      <c r="AV14" s="40"/>
      <c r="AW14" s="40"/>
      <c r="AX14" s="40"/>
      <c r="AY14" s="40"/>
    </row>
    <row r="15" spans="1:51" ht="22.5" hidden="1" customHeight="1" thickBot="1" x14ac:dyDescent="0.3">
      <c r="B15" s="40"/>
      <c r="C15" s="40"/>
      <c r="D15" s="40"/>
      <c r="E15" s="84"/>
      <c r="F15" s="52"/>
      <c r="G15" s="52"/>
      <c r="H15" s="50" t="s">
        <v>100</v>
      </c>
      <c r="I15" s="52" t="str">
        <f ca="1">_xll.DBRA(Server&amp;$H$12,$H$13,"Prior Year")</f>
        <v>2012</v>
      </c>
      <c r="J15" s="52"/>
      <c r="K15" s="52"/>
      <c r="L15" s="52"/>
      <c r="M15" s="50" t="s">
        <v>101</v>
      </c>
      <c r="N15" s="84" t="str">
        <f ca="1">_xll.DBRA(Server&amp;$H$12,$I$15,"Prior Year")</f>
        <v>2011</v>
      </c>
      <c r="O15" s="52"/>
      <c r="P15" s="52"/>
      <c r="Q15" s="52"/>
      <c r="R15" s="84"/>
      <c r="S15" s="52"/>
      <c r="T15" s="52"/>
      <c r="U15" s="52"/>
      <c r="V15" s="52"/>
      <c r="W15" s="84"/>
      <c r="X15" s="84"/>
      <c r="Y15" s="84"/>
      <c r="Z15" s="52"/>
      <c r="AA15" s="84"/>
      <c r="AB15" s="84"/>
      <c r="AC15" s="84"/>
      <c r="AD15" s="52"/>
      <c r="AE15" s="84"/>
      <c r="AF15" s="52"/>
      <c r="AG15" s="52"/>
      <c r="AH15" s="48"/>
      <c r="AI15" s="78"/>
      <c r="AJ15" s="78"/>
      <c r="AK15" s="78"/>
      <c r="AL15" s="78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</row>
    <row r="16" spans="1:51" ht="30" customHeight="1" x14ac:dyDescent="0.2">
      <c r="B16" s="40"/>
      <c r="C16" s="40"/>
      <c r="D16" s="41"/>
      <c r="E16" s="78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78"/>
      <c r="AJ16" s="78"/>
      <c r="AK16" s="78"/>
      <c r="AL16" s="78"/>
    </row>
    <row r="17" spans="2:53" ht="30" customHeight="1" x14ac:dyDescent="0.2">
      <c r="B17" s="40"/>
      <c r="C17" s="40"/>
      <c r="D17" s="41"/>
      <c r="E17" s="78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78"/>
      <c r="AJ17" s="78"/>
      <c r="AK17" s="78"/>
      <c r="AL17" s="78"/>
    </row>
    <row r="18" spans="2:53" ht="30" customHeight="1" x14ac:dyDescent="0.25">
      <c r="B18" s="40"/>
      <c r="C18" s="71" t="s">
        <v>63</v>
      </c>
      <c r="D18" s="42"/>
      <c r="E18" s="78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15"/>
      <c r="AV18" s="58" t="s">
        <v>57</v>
      </c>
      <c r="AW18" s="14" t="str">
        <f ca="1">IF($G$25="Français","French","English")</f>
        <v>French</v>
      </c>
    </row>
    <row r="19" spans="2:53" ht="30" customHeight="1" thickBot="1" x14ac:dyDescent="0.3">
      <c r="B19" s="40"/>
      <c r="C19" s="70" t="s">
        <v>52</v>
      </c>
      <c r="D19" s="72" t="s">
        <v>74</v>
      </c>
      <c r="E19" s="79"/>
      <c r="F19" s="203"/>
      <c r="G19" s="238" t="str">
        <f ca="1">_xll.DBRA(Server&amp;$AT$21,$AT$37,$AW$18)</f>
        <v>Coûts bruts - Coûts nets (analyse du prévisionnel)</v>
      </c>
      <c r="H19" s="238"/>
      <c r="I19" s="238"/>
      <c r="J19" s="238"/>
      <c r="K19" s="238"/>
      <c r="L19" s="238"/>
      <c r="M19" s="238"/>
      <c r="N19" s="238"/>
      <c r="O19" s="238"/>
      <c r="P19" s="238"/>
      <c r="Q19" s="238"/>
      <c r="R19" s="238"/>
      <c r="S19" s="238"/>
      <c r="T19" s="238"/>
      <c r="U19" s="238"/>
      <c r="V19" s="238"/>
      <c r="W19" s="238"/>
      <c r="X19" s="217" t="str">
        <f ca="1">_xll.DBRA(Server&amp;$AT$21,$AT$43,$AW$18)</f>
        <v>Restitution</v>
      </c>
      <c r="Y19" s="217"/>
      <c r="Z19" s="217"/>
      <c r="AA19" s="217"/>
      <c r="AB19" s="217"/>
      <c r="AC19" s="202"/>
      <c r="AD19" s="203"/>
      <c r="AE19" s="17"/>
      <c r="AF19" s="17"/>
      <c r="AG19" s="17"/>
      <c r="AH19" s="15"/>
      <c r="AI19" s="91"/>
      <c r="AJ19" s="91"/>
      <c r="AK19" s="91"/>
      <c r="AL19" s="91"/>
      <c r="AV19" s="29"/>
    </row>
    <row r="20" spans="2:53" ht="30" customHeight="1" thickBot="1" x14ac:dyDescent="0.3">
      <c r="B20" s="40"/>
      <c r="C20" s="70" t="s">
        <v>49</v>
      </c>
      <c r="D20" s="72" t="s">
        <v>75</v>
      </c>
      <c r="E20" s="79"/>
      <c r="F20" s="203"/>
      <c r="G20" s="238"/>
      <c r="H20" s="238"/>
      <c r="I20" s="238"/>
      <c r="J20" s="238"/>
      <c r="K20" s="238"/>
      <c r="L20" s="238"/>
      <c r="M20" s="238"/>
      <c r="N20" s="238"/>
      <c r="O20" s="238"/>
      <c r="P20" s="238"/>
      <c r="Q20" s="238"/>
      <c r="R20" s="238"/>
      <c r="S20" s="238"/>
      <c r="T20" s="238"/>
      <c r="U20" s="238"/>
      <c r="V20" s="238"/>
      <c r="W20" s="238"/>
      <c r="X20" s="217"/>
      <c r="Y20" s="217"/>
      <c r="Z20" s="217"/>
      <c r="AA20" s="217"/>
      <c r="AB20" s="217"/>
      <c r="AC20" s="202"/>
      <c r="AD20" s="203"/>
      <c r="AE20" s="17"/>
      <c r="AF20" s="17"/>
      <c r="AG20" s="17"/>
      <c r="AH20" s="15"/>
      <c r="AI20" s="91"/>
      <c r="AJ20" s="91"/>
      <c r="AK20" s="91"/>
      <c r="AL20" s="91"/>
      <c r="AU20" s="39" t="s">
        <v>42</v>
      </c>
      <c r="AV20" s="29"/>
    </row>
    <row r="21" spans="2:53" ht="30" customHeight="1" thickBot="1" x14ac:dyDescent="0.3">
      <c r="B21" s="40"/>
      <c r="C21" s="70"/>
      <c r="D21" s="72"/>
      <c r="E21" s="79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5"/>
      <c r="AI21" s="1"/>
      <c r="AJ21" s="1"/>
      <c r="AK21" s="1"/>
      <c r="AL21" s="1"/>
      <c r="AT21" s="36" t="s">
        <v>38</v>
      </c>
      <c r="AU21" s="59" t="s">
        <v>0</v>
      </c>
      <c r="AV21" s="29"/>
    </row>
    <row r="22" spans="2:53" ht="30" customHeight="1" thickBot="1" x14ac:dyDescent="0.3">
      <c r="B22" s="40"/>
      <c r="C22" s="70"/>
      <c r="D22" s="72"/>
      <c r="E22" s="79"/>
      <c r="F22" s="19" t="str">
        <f ca="1">_xll.DBRA(Server&amp;$AT$21,$AT$22,$AW$18)</f>
        <v>Sélection du contexte</v>
      </c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15"/>
      <c r="AI22" s="31"/>
      <c r="AJ22" s="31"/>
      <c r="AK22" s="31"/>
      <c r="AL22" s="31"/>
      <c r="AT22" s="37" t="s">
        <v>35</v>
      </c>
      <c r="AU22" s="38" t="str">
        <f ca="1">_xll.DBRA(Server&amp;$AT$21,$AT$33,$AW$18)</f>
        <v>Budget</v>
      </c>
      <c r="AV22" s="29"/>
    </row>
    <row r="23" spans="2:53" ht="30" customHeight="1" outlineLevel="1" x14ac:dyDescent="0.25">
      <c r="B23" s="40"/>
      <c r="C23" s="70"/>
      <c r="D23" s="72"/>
      <c r="E23" s="79"/>
      <c r="F23" s="20" t="str">
        <f ca="1">_xll.DBRA(Server&amp;$AT$21,$AT$28,$AW$18)</f>
        <v>Gaap</v>
      </c>
      <c r="G23" s="33" t="str">
        <f ca="1">_xll.SUBNM(Server&amp;"GAAP","Corp_FR","Local_Gaap",$AW$18)</f>
        <v>Gaap local</v>
      </c>
      <c r="H23" s="33"/>
      <c r="I23" s="2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5"/>
      <c r="AI23" s="22"/>
      <c r="AJ23" s="33"/>
      <c r="AK23" s="33"/>
      <c r="AM23" s="29"/>
      <c r="AN23" s="29"/>
      <c r="AO23" s="29"/>
      <c r="AP23" s="29"/>
      <c r="AQ23" s="29"/>
      <c r="AR23" s="29"/>
      <c r="AS23" s="29"/>
      <c r="AT23" s="35" t="s">
        <v>43</v>
      </c>
      <c r="AU23" s="63" t="str">
        <f ca="1">_xll.DBRA(Server&amp;$AT$21,$AT$34,$AW$18)</f>
        <v>Estimé 1</v>
      </c>
      <c r="AV23" s="29"/>
      <c r="AW23" s="29"/>
      <c r="AX23" s="29"/>
      <c r="AY23" s="29"/>
      <c r="AZ23" s="29"/>
    </row>
    <row r="24" spans="2:53" ht="30" customHeight="1" outlineLevel="1" thickBot="1" x14ac:dyDescent="0.3">
      <c r="B24" s="40"/>
      <c r="C24" s="70"/>
      <c r="D24" s="72"/>
      <c r="E24" s="79"/>
      <c r="F24" s="20" t="str">
        <f ca="1">_xll.DBRA(Server&amp;$AT$21,$AT$29,$AW$18)</f>
        <v>Taux d'intégration</v>
      </c>
      <c r="G24" s="33" t="str">
        <f ca="1">_xll.SUBNM(Server&amp;"Integration_Rate","Corp_FR","NO_APP",$AW$18)</f>
        <v>Données de liasse (Tx d'intégration No-APP)</v>
      </c>
      <c r="H24" s="33"/>
      <c r="I24" s="2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5"/>
      <c r="AI24" s="22"/>
      <c r="AJ24" s="33"/>
      <c r="AK24" s="33"/>
      <c r="AT24" s="38" t="s">
        <v>36</v>
      </c>
      <c r="AU24" s="64" t="str">
        <f ca="1">_xll.DBRA(Server&amp;$AT$21,$AT$35,$AW$18)</f>
        <v>Estimé 2</v>
      </c>
      <c r="AV24" s="29"/>
    </row>
    <row r="25" spans="2:53" ht="30" customHeight="1" outlineLevel="1" x14ac:dyDescent="0.35">
      <c r="B25" s="40"/>
      <c r="C25" s="70"/>
      <c r="D25" s="106"/>
      <c r="E25" s="79"/>
      <c r="F25" s="20" t="str">
        <f ca="1">_xll.DBRA(Server&amp;$AT$21,$AT$30,$AW$18)</f>
        <v>Langue</v>
      </c>
      <c r="G25" s="33" t="s">
        <v>46</v>
      </c>
      <c r="H25" s="33"/>
      <c r="I25" s="2"/>
      <c r="L25" s="18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8"/>
      <c r="AG25" s="21"/>
      <c r="AH25" s="15"/>
      <c r="AI25" s="22"/>
      <c r="AJ25" s="33"/>
      <c r="AK25" s="33"/>
      <c r="AM25" s="29"/>
      <c r="AN25" s="29"/>
      <c r="AO25" s="29"/>
      <c r="AP25" s="29"/>
      <c r="AQ25" s="29"/>
      <c r="AR25" s="29"/>
      <c r="AS25" s="29"/>
      <c r="AT25" s="107" t="s">
        <v>48</v>
      </c>
      <c r="AU25" s="105"/>
      <c r="AV25" s="29"/>
      <c r="AW25" s="29"/>
      <c r="AX25" s="29"/>
      <c r="AY25" s="29"/>
      <c r="AZ25" s="29"/>
    </row>
    <row r="26" spans="2:53" ht="30" customHeight="1" outlineLevel="1" x14ac:dyDescent="0.35">
      <c r="B26" s="40"/>
      <c r="C26" s="70"/>
      <c r="D26" s="106"/>
      <c r="E26" s="79"/>
      <c r="F26" s="20" t="str">
        <f ca="1">_xll.DBRA(Server&amp;$AT$21,$AT$27,$AW$18)</f>
        <v>Organisation légale</v>
      </c>
      <c r="G26" s="32" t="str">
        <f ca="1">_xll.SUBNM(Server&amp;"Legal_Organization_Corp","Corp_FR",_xll.DBR(Server&amp;"z_Client_Properties","Default_Legal_Organization_Corp",_xll.TM1USER(xServer)),$G$25)</f>
        <v/>
      </c>
      <c r="H26" s="33"/>
      <c r="I26" s="2"/>
      <c r="L26" s="18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8"/>
      <c r="AG26" s="21"/>
      <c r="AH26" s="15"/>
      <c r="AI26" s="22"/>
      <c r="AJ26" s="33"/>
      <c r="AK26" s="33"/>
      <c r="AM26" s="29"/>
      <c r="AN26" s="29"/>
      <c r="AO26" s="29"/>
      <c r="AP26" s="29"/>
      <c r="AQ26" s="29"/>
      <c r="AR26" s="29"/>
      <c r="AS26" s="29"/>
      <c r="AT26" s="38" t="s">
        <v>16</v>
      </c>
      <c r="AU26" s="105"/>
      <c r="AV26" s="29"/>
      <c r="AW26" s="29"/>
      <c r="AX26" s="29"/>
      <c r="AY26" s="29"/>
      <c r="AZ26" s="29"/>
    </row>
    <row r="27" spans="2:53" ht="30" customHeight="1" x14ac:dyDescent="0.35">
      <c r="B27" s="40"/>
      <c r="C27" s="70"/>
      <c r="D27" s="106"/>
      <c r="E27" s="79"/>
      <c r="F27" s="20" t="str">
        <f ca="1">_xll.DBRA(Server&amp;$AT$21,$AT$23,$AW$18)</f>
        <v>Période</v>
      </c>
      <c r="G27" s="32" t="str">
        <f ca="1">_xll.SUBNM(Server&amp;"Period","Corp_FR",ActualYear,$AW$18)</f>
        <v>2013</v>
      </c>
      <c r="H27" s="33"/>
      <c r="I27" s="2"/>
      <c r="L27" s="18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8"/>
      <c r="AG27" s="21"/>
      <c r="AH27" s="15"/>
      <c r="AI27" s="22"/>
      <c r="AJ27" s="33"/>
      <c r="AK27" s="33"/>
      <c r="AM27" s="29"/>
      <c r="AN27" s="29"/>
      <c r="AO27" s="29"/>
      <c r="AP27" s="29"/>
      <c r="AQ27" s="29"/>
      <c r="AR27" s="29"/>
      <c r="AS27" s="29"/>
      <c r="AT27" s="38" t="s">
        <v>37</v>
      </c>
      <c r="AU27" s="105"/>
      <c r="AV27" s="29"/>
      <c r="AW27" s="29"/>
      <c r="AX27" s="29"/>
      <c r="AY27" s="29"/>
      <c r="AZ27" s="29"/>
    </row>
    <row r="28" spans="2:53" ht="30" customHeight="1" x14ac:dyDescent="0.35">
      <c r="B28" s="40"/>
      <c r="C28" s="70"/>
      <c r="D28" s="72"/>
      <c r="E28" s="79"/>
      <c r="F28" s="20" t="str">
        <f ca="1">_xll.DBRA(Server&amp;$AT$21,$AT$24,$AW$18)</f>
        <v>Organisation managériale</v>
      </c>
      <c r="G28" s="32" t="str">
        <f ca="1">_xll.SUBNM(Server&amp;"Management_Organization_Corp","Corp_FR","VTD")</f>
        <v>VTD</v>
      </c>
      <c r="H28" s="33"/>
      <c r="I28" s="2"/>
      <c r="L28" s="18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8"/>
      <c r="AG28" s="21"/>
      <c r="AH28" s="15"/>
      <c r="AI28" s="22"/>
      <c r="AJ28" s="33"/>
      <c r="AK28" s="33"/>
      <c r="AM28" s="29"/>
      <c r="AN28" s="29"/>
      <c r="AO28" s="29"/>
      <c r="AP28" s="29"/>
      <c r="AQ28" s="29"/>
      <c r="AR28" s="29"/>
      <c r="AS28" s="29"/>
      <c r="AT28" s="38" t="s">
        <v>17</v>
      </c>
      <c r="AU28" s="105"/>
      <c r="AV28" s="29"/>
      <c r="AW28" s="29"/>
      <c r="AX28" s="29"/>
      <c r="AY28" s="29"/>
      <c r="AZ28" s="29"/>
    </row>
    <row r="29" spans="2:53" ht="30" customHeight="1" thickBot="1" x14ac:dyDescent="0.4">
      <c r="B29" s="40"/>
      <c r="C29" s="70"/>
      <c r="D29" s="72"/>
      <c r="E29" s="79"/>
      <c r="F29" s="20" t="str">
        <f ca="1">_xll.DBRA(Server&amp;$AT$21,$AT$25,$AW$18)</f>
        <v>Projets</v>
      </c>
      <c r="G29" s="33" t="str">
        <f ca="1">_xll.SUBNM(Server&amp;"Projets","Corp_FR","Tot_proj",$G$25)</f>
        <v>Total Projets</v>
      </c>
      <c r="H29" s="33"/>
      <c r="I29" s="2"/>
      <c r="L29" s="18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8"/>
      <c r="AG29" s="21"/>
      <c r="AH29" s="15"/>
      <c r="AI29" s="22"/>
      <c r="AJ29" s="33"/>
      <c r="AK29" s="33"/>
      <c r="AM29" s="29"/>
      <c r="AN29" s="29"/>
      <c r="AO29" s="29"/>
      <c r="AP29" s="29"/>
      <c r="AQ29" s="29"/>
      <c r="AR29" s="29"/>
      <c r="AS29" s="29"/>
      <c r="AT29" s="38" t="s">
        <v>65</v>
      </c>
      <c r="AU29" s="105"/>
      <c r="AV29" s="29"/>
      <c r="AW29" s="29"/>
      <c r="AX29" s="29"/>
      <c r="AY29" s="29"/>
      <c r="AZ29" s="29"/>
    </row>
    <row r="30" spans="2:53" ht="30" customHeight="1" thickBot="1" x14ac:dyDescent="0.3">
      <c r="B30" s="40"/>
      <c r="C30" s="40"/>
      <c r="D30" s="42"/>
      <c r="E30" s="78"/>
      <c r="F30" s="20" t="str">
        <f ca="1">_xll.DBRA(Server&amp;$AT$21,$AT$26,$AW$18)</f>
        <v>Devise</v>
      </c>
      <c r="G30" s="33" t="str">
        <f ca="1">_xll.SUBNM(Server&amp;"Currency","Corp_FR","KEUR",$AW$18)</f>
        <v>K€</v>
      </c>
      <c r="H30" s="33"/>
      <c r="I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5"/>
      <c r="AI30" s="22"/>
      <c r="AJ30" s="33"/>
      <c r="AK30" s="33"/>
      <c r="AL30" s="233"/>
      <c r="AT30" s="60" t="s">
        <v>39</v>
      </c>
      <c r="AU30" s="34"/>
      <c r="AV30" s="29"/>
      <c r="AY30" s="230" t="s">
        <v>76</v>
      </c>
      <c r="AZ30" s="231"/>
      <c r="BA30" s="232"/>
    </row>
    <row r="31" spans="2:53" ht="30" customHeight="1" thickBot="1" x14ac:dyDescent="0.3">
      <c r="B31" s="40"/>
      <c r="C31" s="40"/>
      <c r="D31" s="160"/>
      <c r="E31" s="78"/>
      <c r="F31" s="16"/>
      <c r="G31" s="16"/>
      <c r="H31" s="33"/>
      <c r="I31" s="236" t="str">
        <f ca="1">_xll.DBRA(Server&amp;$AT$21,$AT$39,$AW$18)</f>
        <v>RESOP</v>
      </c>
      <c r="J31" s="236"/>
      <c r="K31" s="236"/>
      <c r="L31" s="18"/>
      <c r="M31" s="236" t="str">
        <f ca="1">_xll.DBRA(Server&amp;$AT$21,$AT$40,$AW$18)</f>
        <v>Variances</v>
      </c>
      <c r="N31" s="236"/>
      <c r="O31" s="236"/>
      <c r="P31" s="236"/>
      <c r="Q31" s="236"/>
      <c r="R31" s="173"/>
      <c r="S31" s="161"/>
      <c r="T31" s="161"/>
      <c r="U31" s="65"/>
      <c r="V31" s="236" t="str">
        <f ca="1">_xll.DBRA(Server&amp;$AT$21,$AT$42,$AW$18)</f>
        <v>Coûts bruts</v>
      </c>
      <c r="W31" s="236"/>
      <c r="X31" s="236"/>
      <c r="Y31" s="65"/>
      <c r="Z31" s="236" t="str">
        <f ca="1">_xll.DBRA(Server&amp;$AT$21,$AT$40,$AW$18)</f>
        <v>Variances</v>
      </c>
      <c r="AA31" s="236"/>
      <c r="AB31" s="236"/>
      <c r="AC31" s="236"/>
      <c r="AD31" s="236"/>
      <c r="AE31" s="173"/>
      <c r="AF31" s="161"/>
      <c r="AG31" s="161"/>
      <c r="AH31" s="15"/>
      <c r="AI31" s="22"/>
      <c r="AJ31" s="33"/>
      <c r="AK31" s="33"/>
      <c r="AL31" s="233"/>
      <c r="AM31" s="29"/>
      <c r="AN31" s="29"/>
      <c r="AO31" s="29"/>
      <c r="AP31" s="29"/>
      <c r="AQ31" s="29"/>
      <c r="AR31" s="29"/>
      <c r="AS31" s="29"/>
      <c r="AT31" s="35"/>
      <c r="AU31" s="105"/>
      <c r="AV31" s="29"/>
      <c r="AW31" s="29"/>
      <c r="AX31" s="29"/>
      <c r="AY31" s="157"/>
      <c r="AZ31" s="158"/>
      <c r="BA31" s="159"/>
    </row>
    <row r="32" spans="2:53" ht="30" customHeight="1" thickBot="1" x14ac:dyDescent="0.35">
      <c r="B32" s="40"/>
      <c r="C32" s="43"/>
      <c r="D32" s="42"/>
      <c r="E32" s="78"/>
      <c r="F32" s="2"/>
      <c r="G32" s="2"/>
      <c r="H32" s="2"/>
      <c r="I32" s="237"/>
      <c r="J32" s="237"/>
      <c r="K32" s="237"/>
      <c r="L32" s="18"/>
      <c r="M32" s="237"/>
      <c r="N32" s="237"/>
      <c r="O32" s="237"/>
      <c r="P32" s="237"/>
      <c r="Q32" s="237"/>
      <c r="R32" s="174"/>
      <c r="S32" s="162"/>
      <c r="T32" s="162"/>
      <c r="U32" s="115"/>
      <c r="V32" s="237"/>
      <c r="W32" s="237"/>
      <c r="X32" s="237"/>
      <c r="Y32" s="115"/>
      <c r="Z32" s="237"/>
      <c r="AA32" s="237"/>
      <c r="AB32" s="237"/>
      <c r="AC32" s="237"/>
      <c r="AD32" s="237"/>
      <c r="AE32" s="174"/>
      <c r="AF32" s="162"/>
      <c r="AG32" s="162"/>
      <c r="AH32" s="15"/>
      <c r="AL32" s="233"/>
      <c r="AT32" s="35" t="s">
        <v>0</v>
      </c>
      <c r="AU32" s="34"/>
      <c r="AV32" s="29"/>
      <c r="AY32" s="118" t="s">
        <v>77</v>
      </c>
      <c r="AZ32" s="118" t="s">
        <v>78</v>
      </c>
      <c r="BA32" s="118" t="s">
        <v>79</v>
      </c>
    </row>
    <row r="33" spans="2:60" ht="40.5" customHeight="1" thickTop="1" x14ac:dyDescent="0.2">
      <c r="B33" s="40"/>
      <c r="C33" s="40"/>
      <c r="D33" s="44"/>
      <c r="E33" s="1"/>
      <c r="F33" s="112" t="str">
        <f ca="1">_xll.DBRA(Server&amp;$AT$21,$AT$32,$AW$18)</f>
        <v>Phase</v>
      </c>
      <c r="G33" s="33" t="s">
        <v>58</v>
      </c>
      <c r="H33" s="22"/>
      <c r="I33" s="205" t="str">
        <f ca="1">IF($G$13=$AU$22,_xll.DBRA(Server&amp;$AT$21,$AU$38,$AW$18),_xll.DBRA(Server&amp;$AT$21,$AT$38,$AW$18))</f>
        <v>Réalisé N-2</v>
      </c>
      <c r="J33" s="206" t="str">
        <f ca="1">IF($G$33=$AU$22,_xll.DBRA(Server&amp;$AT$21,$AT$45,$AW$18),_xll.DBRA(Server&amp;"Phase",$J$11,$AW$18))</f>
        <v>Estimé 2 N-1</v>
      </c>
      <c r="K33" s="207" t="str">
        <f ca="1">_xll.DBRA(Server&amp;"Phase",$K$11,$AW$18)</f>
        <v>Budget</v>
      </c>
      <c r="L33" s="18"/>
      <c r="M33" s="224" t="str">
        <f ca="1">$K$33&amp;" / "&amp;$I$33</f>
        <v>Budget / Réalisé N-2</v>
      </c>
      <c r="N33" s="224"/>
      <c r="O33" s="225"/>
      <c r="P33" s="113" t="str">
        <f ca="1">_xll.DBRA(Server&amp;$AT$21,$AT$41,$AW$18)</f>
        <v>Variance</v>
      </c>
      <c r="Q33" s="226" t="str">
        <f ca="1">$K$33&amp;" / "&amp;$J$33</f>
        <v>Budget / Estimé 2 N-1</v>
      </c>
      <c r="R33" s="224"/>
      <c r="S33" s="225"/>
      <c r="T33" s="117" t="str">
        <f ca="1">_xll.DBRA(Server&amp;$AT$21,$AT$41,$AW$18)</f>
        <v>Variance</v>
      </c>
      <c r="U33" s="143" t="str">
        <f ca="1">_xll.DBRA(Server&amp;"Period",U$12,$AW$18)</f>
        <v/>
      </c>
      <c r="V33" s="204" t="str">
        <f ca="1">IF($G$13=$AU$22,_xll.DBRA(Server&amp;$AT$21,$AU$38,$AW$18),_xll.DBRA(Server&amp;$AT$21,$AT$38,$AW$18))</f>
        <v>Réalisé N-2</v>
      </c>
      <c r="W33" s="208" t="str">
        <f ca="1">IF($G$33=$AU$22,_xll.DBRA(Server&amp;$AT$21,$AT$45,$AW$18),_xll.DBRA(Server&amp;"Phase",$J$11,$AW$18))</f>
        <v>Estimé 2 N-1</v>
      </c>
      <c r="X33" s="209" t="str">
        <f ca="1">_xll.DBRA(Server&amp;"Phase",$X$11,$AW$18)</f>
        <v>Budget</v>
      </c>
      <c r="Y33" s="143"/>
      <c r="Z33" s="224" t="str">
        <f ca="1">$X$33&amp;" / "&amp;$V$33</f>
        <v>Budget / Réalisé N-2</v>
      </c>
      <c r="AA33" s="224"/>
      <c r="AB33" s="225"/>
      <c r="AC33" s="113" t="str">
        <f ca="1">_xll.DBRA(Server&amp;$AT$21,$AT$41,$AW$18)</f>
        <v>Variance</v>
      </c>
      <c r="AD33" s="226" t="str">
        <f ca="1">$X$33&amp;" / "&amp;$W$33</f>
        <v>Budget / Estimé 2 N-1</v>
      </c>
      <c r="AE33" s="224"/>
      <c r="AF33" s="225"/>
      <c r="AG33" s="117" t="str">
        <f ca="1">_xll.DBRA(Server&amp;$AT$21,$AT$41,$AW$18)</f>
        <v>Variance</v>
      </c>
      <c r="AH33" s="15"/>
      <c r="AI33" s="22"/>
      <c r="AJ33" s="22"/>
      <c r="AK33" s="22"/>
      <c r="AL33" s="104"/>
      <c r="AT33" s="61" t="s">
        <v>58</v>
      </c>
      <c r="AU33" s="34"/>
      <c r="AV33" s="29"/>
      <c r="BA33" s="3"/>
      <c r="BB33" s="3"/>
      <c r="BC33" s="3"/>
      <c r="BD33" s="3"/>
      <c r="BE33" s="3"/>
      <c r="BF33" s="3"/>
      <c r="BG33" s="3"/>
      <c r="BH33" s="3"/>
    </row>
    <row r="34" spans="2:60" s="4" customFormat="1" ht="18" customHeight="1" x14ac:dyDescent="0.25">
      <c r="B34" s="40"/>
      <c r="C34" s="73"/>
      <c r="D34" s="45"/>
      <c r="E34" s="80"/>
      <c r="F34" s="22"/>
      <c r="G34" s="22"/>
      <c r="H34" s="22"/>
      <c r="J34" s="119"/>
      <c r="K34" s="66"/>
      <c r="L34" s="104"/>
      <c r="M34" s="66"/>
      <c r="N34" s="66"/>
      <c r="O34" s="66"/>
      <c r="P34" s="66"/>
      <c r="Q34" s="66"/>
      <c r="R34" s="66"/>
      <c r="S34" s="66"/>
      <c r="T34" s="66"/>
      <c r="U34" s="66"/>
      <c r="V34" s="66"/>
      <c r="W34" s="66"/>
      <c r="X34" s="66"/>
      <c r="Y34" s="66"/>
      <c r="Z34" s="66"/>
      <c r="AA34" s="66"/>
      <c r="AB34" s="66"/>
      <c r="AC34" s="66"/>
      <c r="AD34" s="66"/>
      <c r="AE34" s="66"/>
      <c r="AF34" s="66"/>
      <c r="AG34" s="66"/>
      <c r="AH34" s="1"/>
      <c r="AI34" s="22"/>
      <c r="AJ34" s="22"/>
      <c r="AK34" s="22"/>
      <c r="AL34" s="1"/>
      <c r="AM34" s="29"/>
      <c r="AN34" s="29"/>
      <c r="AO34" s="29"/>
      <c r="AP34" s="29"/>
      <c r="AQ34" s="29"/>
      <c r="AR34" s="29"/>
      <c r="AS34" s="29"/>
      <c r="AT34" s="61" t="s">
        <v>59</v>
      </c>
      <c r="AU34" s="29"/>
      <c r="AV34" s="29"/>
      <c r="AW34" s="29"/>
      <c r="AX34" s="29"/>
      <c r="AY34" s="29"/>
      <c r="AZ34" s="29"/>
    </row>
    <row r="35" spans="2:60" s="4" customFormat="1" ht="30" customHeight="1" thickBot="1" x14ac:dyDescent="0.3">
      <c r="B35" s="40"/>
      <c r="C35" s="40"/>
      <c r="D35" s="96"/>
      <c r="E35" s="81"/>
      <c r="F35" s="235" t="str">
        <f ca="1">G28</f>
        <v>VTD</v>
      </c>
      <c r="G35" s="235"/>
      <c r="H35" s="191"/>
      <c r="I35" s="192" t="str">
        <f ca="1">_xll.DBRW(Server&amp;Cube1,$G$30,$G$23,$G$24,$G$29,$D$20,$G$26,$G$28,$D$19,I$12,I$11,$I$14)</f>
        <v/>
      </c>
      <c r="J35" s="192" t="str">
        <f ca="1">_xll.DBRW(Server&amp;Cube1,$G$30,$G$23,$G$24,$G$29,$D$20,$G$26,$G$28,$D$19,J$12,J$11,$I$14)</f>
        <v/>
      </c>
      <c r="K35" s="192" t="str">
        <f ca="1">_xll.DBRW(Server&amp;Cube1,$G$30,$G$23,$G$24,$G$29,$D$20,$G$26,$G$28,$D$19,K$12,K$11,$I$14)</f>
        <v/>
      </c>
      <c r="L35" s="193"/>
      <c r="M35" s="163" t="e">
        <f ca="1">$K$35-$I$35</f>
        <v>#VALUE!</v>
      </c>
      <c r="N35" s="163"/>
      <c r="O35" s="163" t="e">
        <f ca="1">IF($I$35=0,0,IF($I$35&lt;0,$M$35/-$I$35,$M$35/$I$35))</f>
        <v>#VALUE!</v>
      </c>
      <c r="P35" s="163" t="e">
        <f ca="1">IF(O35&gt;0.01,$AY$32,IF(O35&lt;-0.01,$AZ$32,$BA$32))</f>
        <v>#VALUE!</v>
      </c>
      <c r="Q35" s="163" t="e">
        <f ca="1">$K$35-$J$35</f>
        <v>#VALUE!</v>
      </c>
      <c r="R35" s="192"/>
      <c r="S35" s="148" t="e">
        <f ca="1">IF($J$35=0,0,IF($J$35&lt;0,$Q$35/-$J$35,$Q$35/$J$35))</f>
        <v>#VALUE!</v>
      </c>
      <c r="T35" s="120" t="e">
        <f ca="1">IF(S35&gt;0.01,$AY$32,IF(S35&lt;-0.01,$AZ$32,$BA$32))</f>
        <v>#VALUE!</v>
      </c>
      <c r="U35" s="116"/>
      <c r="V35" s="192" t="str">
        <f ca="1">_xll.DBRW(Server&amp;Cube1,$G$30,$G$23,$G$24,$G$29,$D$20,$G$26,$G$28,$D$19,V$12,V$11,$V$14)</f>
        <v/>
      </c>
      <c r="W35" s="192" t="str">
        <f ca="1">_xll.DBRW(Server&amp;Cube1,$G$30,$G$23,$G$24,$G$29,$D$20,$G$26,$G$28,$D$19,W$12,W$11,$V$14)</f>
        <v/>
      </c>
      <c r="X35" s="192" t="str">
        <f ca="1">_xll.DBRW(Server&amp;Cube1,$G$30,$G$23,$G$24,$G$29,$D$20,$G$26,$G$28,$D$19,X$12,X$11,$V$14)</f>
        <v/>
      </c>
      <c r="Y35" s="152"/>
      <c r="Z35" s="163" t="e">
        <f ca="1">$X$35-$V$35</f>
        <v>#VALUE!</v>
      </c>
      <c r="AA35" s="163"/>
      <c r="AB35" s="163" t="e">
        <f ca="1">IF($V$35=0,0,IF($V$35&lt;0,$Z$35/-$V$35,$Z$35/$V$35))</f>
        <v>#VALUE!</v>
      </c>
      <c r="AC35" s="163" t="e">
        <f ca="1">IF(AB35&gt;0.01,$AY$32,IF(AB35&lt;-0.01,$AZ$32,$BA$32))</f>
        <v>#VALUE!</v>
      </c>
      <c r="AD35" s="163" t="e">
        <f ca="1">$X$35-$W$35</f>
        <v>#VALUE!</v>
      </c>
      <c r="AE35" s="163"/>
      <c r="AF35" s="148" t="e">
        <f ca="1">IF($W$35=0,0,IF($W$35&lt;0,$AD$35/-$W$35,$AD$35/$W$35))</f>
        <v>#VALUE!</v>
      </c>
      <c r="AG35" s="120" t="e">
        <f ca="1">IF(AF35&gt;0.01,$AY$32,IF(AF35&lt;-0.01,$AZ$32,$BA$32))</f>
        <v>#VALUE!</v>
      </c>
      <c r="AH35" s="1"/>
      <c r="AI35" s="234"/>
      <c r="AJ35" s="234"/>
      <c r="AK35" s="92"/>
      <c r="AL35" s="93"/>
      <c r="AM35" s="29"/>
      <c r="AN35" s="29"/>
      <c r="AO35" s="29"/>
      <c r="AP35" s="29"/>
      <c r="AQ35" s="29"/>
      <c r="AR35" s="29"/>
      <c r="AS35" s="29"/>
      <c r="AT35" s="62" t="s">
        <v>60</v>
      </c>
      <c r="AU35" s="29"/>
      <c r="AV35" s="29"/>
      <c r="AW35" s="29"/>
      <c r="AX35" s="29"/>
      <c r="AY35" s="29"/>
      <c r="AZ35" s="29"/>
    </row>
    <row r="36" spans="2:60" s="4" customFormat="1" ht="17.25" hidden="1" customHeight="1" x14ac:dyDescent="0.25">
      <c r="B36" s="40"/>
      <c r="C36" s="40"/>
      <c r="D36" s="46"/>
      <c r="E36" s="82"/>
      <c r="F36" s="75" t="str">
        <f ca="1">"[Management_Organization_Corp].["&amp;$G$28&amp;"].Children"</f>
        <v>[Management_Organization_Corp].[VTD].Children</v>
      </c>
      <c r="G36" s="1"/>
      <c r="H36" s="1"/>
      <c r="I36" s="145"/>
      <c r="J36" s="145"/>
      <c r="K36" s="145"/>
      <c r="L36" s="145"/>
      <c r="M36" s="145"/>
      <c r="N36" s="145"/>
      <c r="O36" s="149"/>
      <c r="P36" s="1"/>
      <c r="Q36" s="145"/>
      <c r="R36" s="145"/>
      <c r="S36" s="149"/>
      <c r="T36" s="1"/>
      <c r="U36" s="1"/>
      <c r="V36" s="145"/>
      <c r="W36" s="145"/>
      <c r="X36" s="145"/>
      <c r="Y36" s="145"/>
      <c r="Z36" s="145"/>
      <c r="AA36" s="145"/>
      <c r="AB36" s="149"/>
      <c r="AC36" s="1"/>
      <c r="AD36" s="145"/>
      <c r="AE36" s="145"/>
      <c r="AF36" s="149"/>
      <c r="AG36" s="1"/>
      <c r="AH36" s="1"/>
      <c r="AI36" s="1"/>
      <c r="AJ36" s="1"/>
      <c r="AK36" s="1"/>
      <c r="AL36" s="1"/>
      <c r="AM36" s="29"/>
      <c r="AN36" s="29"/>
      <c r="AO36" s="29"/>
      <c r="AP36" s="29"/>
      <c r="AQ36" s="29"/>
      <c r="AR36" s="29"/>
      <c r="AS36" s="29"/>
      <c r="AT36" s="61" t="s">
        <v>61</v>
      </c>
      <c r="AU36" s="29"/>
      <c r="AV36" s="29"/>
      <c r="AW36" s="29"/>
      <c r="AX36" s="29"/>
      <c r="AY36" s="29"/>
      <c r="AZ36" s="29"/>
    </row>
    <row r="37" spans="2:60" s="4" customFormat="1" ht="17.25" hidden="1" customHeight="1" x14ac:dyDescent="0.25">
      <c r="B37" s="40"/>
      <c r="C37" s="40"/>
      <c r="D37" s="46"/>
      <c r="E37" s="82"/>
      <c r="F37" s="1"/>
      <c r="G37" s="1"/>
      <c r="H37" s="1"/>
      <c r="I37" s="145"/>
      <c r="J37" s="145"/>
      <c r="K37" s="145"/>
      <c r="L37" s="145"/>
      <c r="M37" s="145"/>
      <c r="N37" s="145"/>
      <c r="O37" s="149"/>
      <c r="P37" s="1"/>
      <c r="Q37" s="145"/>
      <c r="R37" s="145"/>
      <c r="S37" s="149"/>
      <c r="T37" s="1"/>
      <c r="U37" s="1"/>
      <c r="V37" s="145"/>
      <c r="W37" s="145"/>
      <c r="X37" s="145"/>
      <c r="Y37" s="145"/>
      <c r="Z37" s="145"/>
      <c r="AA37" s="145"/>
      <c r="AB37" s="149"/>
      <c r="AC37" s="1"/>
      <c r="AD37" s="145"/>
      <c r="AE37" s="145"/>
      <c r="AF37" s="149"/>
      <c r="AG37" s="1"/>
      <c r="AH37" s="1"/>
      <c r="AI37" s="1"/>
      <c r="AJ37" s="1"/>
      <c r="AK37" s="1"/>
      <c r="AL37" s="1"/>
      <c r="AM37" s="29"/>
      <c r="AN37" s="29"/>
      <c r="AO37" s="29"/>
      <c r="AP37" s="29"/>
      <c r="AQ37" s="29"/>
      <c r="AR37" s="29"/>
      <c r="AS37" s="29"/>
      <c r="AT37" s="61" t="s">
        <v>95</v>
      </c>
      <c r="AU37" s="29"/>
      <c r="AV37" s="29"/>
      <c r="AW37" s="29"/>
      <c r="AX37" s="29"/>
      <c r="AY37" s="29"/>
      <c r="AZ37" s="29"/>
    </row>
    <row r="38" spans="2:60" customFormat="1" ht="17.25" hidden="1" customHeight="1" x14ac:dyDescent="0.25">
      <c r="E38" s="83"/>
      <c r="F38" s="85" t="str">
        <f ca="1">_xll.TM1RPTVIEW(Server&amp;"RP_PL_Corp:ARPT3", 0, _xll.TM1RPTTITLE(Server&amp;"Currency",$G$40), _xll.TM1RPTTITLE(Server&amp;"Gaap",$G$41), _xll.TM1RPTTITLE(Server&amp;"Integration_Rate",$G$42), _xll.TM1RPTTITLE(Server&amp;"Projets",$G$43), _xll.TM1RPTTITLE(Server&amp;"Matricules",$G$44), _xll.TM1RPTTITLE(Server&amp;"Legal_Organization_Corp",$G$45), _xll.TM1RPTTITLE(Server&amp;"Tiers",$G$46), TM1RPTFMTRNG,TM1RPTFMTIDCOL)</f>
        <v>tango_core_model:RP_PL_Corp:ARPT3</v>
      </c>
      <c r="I38" s="146"/>
      <c r="J38" s="146"/>
      <c r="K38" s="146"/>
      <c r="L38" s="146"/>
      <c r="M38" s="146"/>
      <c r="N38" s="146"/>
      <c r="O38" s="150"/>
      <c r="Q38" s="146"/>
      <c r="R38" s="146"/>
      <c r="S38" s="150"/>
      <c r="V38" s="146"/>
      <c r="W38" s="146"/>
      <c r="X38" s="146"/>
      <c r="Y38" s="146"/>
      <c r="Z38" s="146"/>
      <c r="AA38" s="146"/>
      <c r="AB38" s="150"/>
      <c r="AD38" s="146"/>
      <c r="AE38" s="146"/>
      <c r="AF38" s="150"/>
      <c r="AT38" t="s">
        <v>66</v>
      </c>
      <c r="AU38" t="s">
        <v>103</v>
      </c>
    </row>
    <row r="39" spans="2:60" customFormat="1" ht="17.25" hidden="1" customHeight="1" x14ac:dyDescent="0.2">
      <c r="E39" s="83"/>
      <c r="I39" s="146"/>
      <c r="J39" s="146"/>
      <c r="K39" s="146"/>
      <c r="L39" s="146"/>
      <c r="M39" s="146"/>
      <c r="N39" s="146"/>
      <c r="O39" s="150"/>
      <c r="Q39" s="146"/>
      <c r="R39" s="146"/>
      <c r="S39" s="150"/>
      <c r="V39" s="146"/>
      <c r="W39" s="146"/>
      <c r="X39" s="146"/>
      <c r="Y39" s="146"/>
      <c r="Z39" s="146"/>
      <c r="AA39" s="146"/>
      <c r="AB39" s="150"/>
      <c r="AD39" s="146"/>
      <c r="AE39" s="146"/>
      <c r="AF39" s="150"/>
      <c r="AT39" s="103" t="s">
        <v>69</v>
      </c>
    </row>
    <row r="40" spans="2:60" customFormat="1" ht="17.25" hidden="1" customHeight="1" x14ac:dyDescent="0.25">
      <c r="E40" s="83"/>
      <c r="F40" s="76" t="s">
        <v>16</v>
      </c>
      <c r="G40" t="str">
        <f ca="1">_xll.SUBNM(Server&amp;"Currency","",$G$30)</f>
        <v>KEUR</v>
      </c>
      <c r="H40" s="57"/>
      <c r="I40" s="147"/>
      <c r="J40" s="147"/>
      <c r="K40" s="147"/>
      <c r="L40" s="147"/>
      <c r="M40" s="147"/>
      <c r="N40" s="147"/>
      <c r="O40" s="151"/>
      <c r="P40" s="57"/>
      <c r="Q40" s="147"/>
      <c r="R40" s="147"/>
      <c r="S40" s="151"/>
      <c r="T40" s="57"/>
      <c r="U40" s="57"/>
      <c r="V40" s="147"/>
      <c r="W40" s="147"/>
      <c r="X40" s="147"/>
      <c r="Y40" s="147"/>
      <c r="Z40" s="147"/>
      <c r="AA40" s="147"/>
      <c r="AB40" s="151"/>
      <c r="AC40" s="57"/>
      <c r="AD40" s="147"/>
      <c r="AE40" s="147"/>
      <c r="AF40" s="151"/>
      <c r="AG40" s="57"/>
      <c r="AH40" s="57"/>
      <c r="AI40" s="2"/>
      <c r="AT40" s="114" t="s">
        <v>70</v>
      </c>
    </row>
    <row r="41" spans="2:60" customFormat="1" ht="17.25" hidden="1" customHeight="1" x14ac:dyDescent="0.25">
      <c r="E41" s="83"/>
      <c r="F41" s="76" t="s">
        <v>17</v>
      </c>
      <c r="G41" t="str">
        <f ca="1">_xll.SUBNM(Server&amp;"Gaap","",$G$23)</f>
        <v>Local_Gaap</v>
      </c>
      <c r="H41" s="57"/>
      <c r="I41" s="147"/>
      <c r="J41" s="147"/>
      <c r="K41" s="147"/>
      <c r="L41" s="147"/>
      <c r="M41" s="147"/>
      <c r="N41" s="147"/>
      <c r="O41" s="151"/>
      <c r="P41" s="57"/>
      <c r="Q41" s="147"/>
      <c r="R41" s="147"/>
      <c r="S41" s="151"/>
      <c r="T41" s="57"/>
      <c r="U41" s="57"/>
      <c r="V41" s="147"/>
      <c r="W41" s="147"/>
      <c r="X41" s="147"/>
      <c r="Y41" s="147"/>
      <c r="Z41" s="147"/>
      <c r="AA41" s="147"/>
      <c r="AB41" s="151"/>
      <c r="AC41" s="57"/>
      <c r="AD41" s="147"/>
      <c r="AE41" s="147"/>
      <c r="AF41" s="151"/>
      <c r="AG41" s="57"/>
      <c r="AH41" s="57"/>
      <c r="AI41" s="2"/>
      <c r="AT41" s="114" t="s">
        <v>71</v>
      </c>
    </row>
    <row r="42" spans="2:60" customFormat="1" ht="17.25" hidden="1" customHeight="1" x14ac:dyDescent="0.25">
      <c r="E42" s="83"/>
      <c r="F42" s="76" t="s">
        <v>47</v>
      </c>
      <c r="G42" t="str">
        <f ca="1">_xll.SUBNM(Server&amp;"Integration_Rate","",$G$24)</f>
        <v>NO_APP</v>
      </c>
      <c r="H42" s="57"/>
      <c r="I42" s="147"/>
      <c r="J42" s="147"/>
      <c r="K42" s="147"/>
      <c r="L42" s="147"/>
      <c r="M42" s="147"/>
      <c r="N42" s="147"/>
      <c r="O42" s="151"/>
      <c r="P42" s="57"/>
      <c r="Q42" s="147"/>
      <c r="R42" s="147"/>
      <c r="S42" s="151"/>
      <c r="T42" s="57"/>
      <c r="U42" s="57"/>
      <c r="V42" s="147"/>
      <c r="W42" s="147"/>
      <c r="X42" s="147"/>
      <c r="Y42" s="147"/>
      <c r="Z42" s="147"/>
      <c r="AA42" s="147"/>
      <c r="AB42" s="151"/>
      <c r="AC42" s="57"/>
      <c r="AD42" s="147"/>
      <c r="AE42" s="147"/>
      <c r="AF42" s="151"/>
      <c r="AG42" s="57"/>
      <c r="AH42" s="57"/>
      <c r="AI42" s="2"/>
      <c r="AT42" t="s">
        <v>72</v>
      </c>
    </row>
    <row r="43" spans="2:60" customFormat="1" ht="17.25" hidden="1" customHeight="1" x14ac:dyDescent="0.25">
      <c r="E43" s="83"/>
      <c r="F43" s="76" t="s">
        <v>48</v>
      </c>
      <c r="G43" t="str">
        <f ca="1">_xll.SUBNM(Server&amp;"Projets","",$G$29)</f>
        <v>Tot_proj</v>
      </c>
      <c r="H43" s="57"/>
      <c r="I43" s="147"/>
      <c r="J43" s="147"/>
      <c r="K43" s="147"/>
      <c r="L43" s="147"/>
      <c r="M43" s="147"/>
      <c r="N43" s="147"/>
      <c r="O43" s="151"/>
      <c r="P43" s="57"/>
      <c r="Q43" s="147"/>
      <c r="R43" s="147"/>
      <c r="S43" s="151"/>
      <c r="T43" s="57"/>
      <c r="U43" s="57"/>
      <c r="V43" s="147"/>
      <c r="W43" s="147"/>
      <c r="X43" s="147"/>
      <c r="Y43" s="147"/>
      <c r="Z43" s="147"/>
      <c r="AA43" s="147"/>
      <c r="AB43" s="151"/>
      <c r="AC43" s="57"/>
      <c r="AD43" s="147"/>
      <c r="AE43" s="147"/>
      <c r="AF43" s="151"/>
      <c r="AG43" s="57"/>
      <c r="AH43" s="57"/>
      <c r="AI43" s="2"/>
      <c r="AT43" t="s">
        <v>73</v>
      </c>
    </row>
    <row r="44" spans="2:60" customFormat="1" ht="17.25" hidden="1" customHeight="1" x14ac:dyDescent="0.25">
      <c r="E44" s="83"/>
      <c r="F44" s="76" t="s">
        <v>49</v>
      </c>
      <c r="G44" t="str">
        <f ca="1">_xll.SUBNM(Server&amp;"Matricules","",$D$20)</f>
        <v>VTD</v>
      </c>
      <c r="H44" s="57"/>
      <c r="I44" s="147"/>
      <c r="J44" s="147"/>
      <c r="K44" s="147"/>
      <c r="L44" s="147"/>
      <c r="M44" s="147"/>
      <c r="N44" s="147"/>
      <c r="O44" s="151"/>
      <c r="P44" s="57"/>
      <c r="Q44" s="147"/>
      <c r="R44" s="147"/>
      <c r="S44" s="151"/>
      <c r="T44" s="57"/>
      <c r="U44" s="57"/>
      <c r="V44" s="147"/>
      <c r="W44" s="147"/>
      <c r="X44" s="147"/>
      <c r="Y44" s="147"/>
      <c r="Z44" s="147"/>
      <c r="AA44" s="147"/>
      <c r="AB44" s="151"/>
      <c r="AC44" s="57"/>
      <c r="AD44" s="147"/>
      <c r="AE44" s="147"/>
      <c r="AF44" s="151"/>
      <c r="AG44" s="57"/>
      <c r="AH44" s="57"/>
      <c r="AI44" s="2"/>
      <c r="AT44" t="s">
        <v>82</v>
      </c>
    </row>
    <row r="45" spans="2:60" customFormat="1" ht="17.25" hidden="1" customHeight="1" x14ac:dyDescent="0.25">
      <c r="E45" s="83"/>
      <c r="F45" s="76" t="s">
        <v>50</v>
      </c>
      <c r="G45" t="str">
        <f ca="1">_xll.SUBNM(Server&amp;"Legal_Organization_Corp","",$G$26)</f>
        <v/>
      </c>
      <c r="H45" s="57"/>
      <c r="I45" s="147"/>
      <c r="J45" s="147"/>
      <c r="K45" s="147"/>
      <c r="L45" s="147"/>
      <c r="M45" s="147"/>
      <c r="N45" s="147"/>
      <c r="O45" s="151"/>
      <c r="P45" s="57"/>
      <c r="Q45" s="147"/>
      <c r="R45" s="147"/>
      <c r="S45" s="151"/>
      <c r="T45" s="57"/>
      <c r="U45" s="57"/>
      <c r="V45" s="147"/>
      <c r="W45" s="147"/>
      <c r="X45" s="147"/>
      <c r="Y45" s="147"/>
      <c r="Z45" s="147"/>
      <c r="AA45" s="147"/>
      <c r="AB45" s="151"/>
      <c r="AC45" s="57"/>
      <c r="AD45" s="147"/>
      <c r="AE45" s="147"/>
      <c r="AF45" s="151"/>
      <c r="AG45" s="57"/>
      <c r="AH45" s="57"/>
      <c r="AI45" s="2"/>
      <c r="AT45" t="s">
        <v>97</v>
      </c>
    </row>
    <row r="46" spans="2:60" customFormat="1" ht="17.25" hidden="1" customHeight="1" x14ac:dyDescent="0.25">
      <c r="E46" s="83"/>
      <c r="F46" s="76" t="s">
        <v>52</v>
      </c>
      <c r="G46" t="str">
        <f ca="1">_xll.SUBNM(Server&amp;"Tiers","",$D$19)</f>
        <v>Tot_tiers</v>
      </c>
      <c r="H46" s="57"/>
      <c r="I46" s="147"/>
      <c r="J46" s="147"/>
      <c r="K46" s="147"/>
      <c r="L46" s="147"/>
      <c r="M46" s="147"/>
      <c r="N46" s="147"/>
      <c r="O46" s="151"/>
      <c r="P46" s="57"/>
      <c r="Q46" s="147"/>
      <c r="R46" s="147"/>
      <c r="S46" s="151"/>
      <c r="T46" s="57"/>
      <c r="U46" s="57"/>
      <c r="V46" s="147"/>
      <c r="W46" s="147"/>
      <c r="X46" s="147"/>
      <c r="Y46" s="147"/>
      <c r="Z46" s="147"/>
      <c r="AA46" s="147"/>
      <c r="AB46" s="151"/>
      <c r="AC46" s="57"/>
      <c r="AD46" s="147"/>
      <c r="AE46" s="147"/>
      <c r="AF46" s="151"/>
      <c r="AG46" s="57"/>
      <c r="AH46" s="57"/>
      <c r="AI46" s="2"/>
    </row>
    <row r="47" spans="2:60" customFormat="1" ht="17.25" hidden="1" customHeight="1" x14ac:dyDescent="0.2">
      <c r="E47" s="83"/>
      <c r="F47" s="14"/>
      <c r="G47" s="29"/>
      <c r="H47" s="57"/>
      <c r="I47" s="147"/>
      <c r="J47" s="147"/>
      <c r="K47" s="147"/>
      <c r="L47" s="147"/>
      <c r="M47" s="147"/>
      <c r="N47" s="147"/>
      <c r="O47" s="151"/>
      <c r="P47" s="57"/>
      <c r="Q47" s="147"/>
      <c r="R47" s="147"/>
      <c r="S47" s="151"/>
      <c r="T47" s="57"/>
      <c r="U47" s="57"/>
      <c r="V47" s="147"/>
      <c r="W47" s="147"/>
      <c r="X47" s="147"/>
      <c r="Y47" s="147"/>
      <c r="Z47" s="147"/>
      <c r="AA47" s="147"/>
      <c r="AB47" s="151"/>
      <c r="AC47" s="57"/>
      <c r="AD47" s="147"/>
      <c r="AE47" s="147"/>
      <c r="AF47" s="151"/>
      <c r="AG47" s="57"/>
      <c r="AH47" s="57"/>
      <c r="AI47" s="2"/>
    </row>
    <row r="48" spans="2:60" customFormat="1" ht="17.25" hidden="1" customHeight="1" x14ac:dyDescent="0.25">
      <c r="E48" s="83"/>
      <c r="F48" s="76"/>
      <c r="H48" s="57"/>
      <c r="I48" s="147"/>
      <c r="J48" s="147"/>
      <c r="K48" s="147"/>
      <c r="L48" s="147"/>
      <c r="M48" s="147"/>
      <c r="N48" s="147"/>
      <c r="O48" s="151"/>
      <c r="P48" s="57"/>
      <c r="Q48" s="147"/>
      <c r="R48" s="147"/>
      <c r="S48" s="151"/>
      <c r="T48" s="57"/>
      <c r="U48" s="57"/>
      <c r="V48" s="147"/>
      <c r="W48" s="147"/>
      <c r="X48" s="147"/>
      <c r="Y48" s="147"/>
      <c r="Z48" s="147"/>
      <c r="AA48" s="147"/>
      <c r="AB48" s="151"/>
      <c r="AC48" s="57"/>
      <c r="AD48" s="147"/>
      <c r="AE48" s="147"/>
      <c r="AF48" s="151"/>
      <c r="AG48" s="57"/>
      <c r="AH48" s="57"/>
      <c r="AI48" s="2"/>
    </row>
    <row r="49" spans="1:57" customFormat="1" ht="17.25" hidden="1" customHeight="1" x14ac:dyDescent="0.2">
      <c r="E49" s="83"/>
      <c r="I49" s="146"/>
      <c r="J49" s="146"/>
      <c r="K49" s="146"/>
      <c r="L49" s="146"/>
      <c r="M49" s="146"/>
      <c r="N49" s="146"/>
      <c r="O49" s="150"/>
      <c r="Q49" s="146"/>
      <c r="R49" s="146"/>
      <c r="S49" s="150"/>
      <c r="V49" s="146"/>
      <c r="W49" s="146"/>
      <c r="X49" s="146"/>
      <c r="Y49" s="146"/>
      <c r="Z49" s="146"/>
      <c r="AA49" s="146"/>
      <c r="AB49" s="150"/>
      <c r="AD49" s="146"/>
      <c r="AE49" s="146"/>
      <c r="AF49" s="150"/>
    </row>
    <row r="50" spans="1:57" customFormat="1" ht="17.25" hidden="1" customHeight="1" x14ac:dyDescent="0.2">
      <c r="E50" s="83"/>
      <c r="I50" s="146"/>
      <c r="J50" s="146"/>
      <c r="K50" s="146"/>
      <c r="L50" s="146"/>
      <c r="M50" s="146"/>
      <c r="N50" s="146"/>
      <c r="O50" s="150"/>
      <c r="Q50" s="146"/>
      <c r="R50" s="146"/>
      <c r="S50" s="150"/>
      <c r="V50" s="146"/>
      <c r="W50" s="146"/>
      <c r="X50" s="146"/>
      <c r="Y50" s="146"/>
      <c r="Z50" s="146"/>
      <c r="AA50" s="146"/>
      <c r="AB50" s="150"/>
      <c r="AD50" s="146"/>
      <c r="AE50" s="146"/>
      <c r="AF50" s="150"/>
    </row>
    <row r="51" spans="1:57" customFormat="1" ht="17.25" hidden="1" customHeight="1" x14ac:dyDescent="0.2">
      <c r="E51" s="83"/>
      <c r="I51" s="146"/>
      <c r="J51" s="146"/>
      <c r="K51" s="146"/>
      <c r="L51" s="146"/>
      <c r="M51" s="146"/>
      <c r="N51" s="146"/>
      <c r="O51" s="150"/>
      <c r="Q51" s="146"/>
      <c r="R51" s="146"/>
      <c r="S51" s="150"/>
      <c r="V51" s="146"/>
      <c r="W51" s="146"/>
      <c r="X51" s="146"/>
      <c r="Y51" s="146"/>
      <c r="Z51" s="146"/>
      <c r="AA51" s="146"/>
      <c r="AB51" s="150"/>
      <c r="AD51" s="146"/>
      <c r="AE51" s="146"/>
      <c r="AF51" s="150"/>
    </row>
    <row r="52" spans="1:57" customFormat="1" ht="27" customHeight="1" x14ac:dyDescent="0.2">
      <c r="A52" t="str">
        <f ca="1">IF(_xll.TM1RPTELISCONSOLIDATED($F$52,$F52),IF(_xll.TM1RPTELLEV($F$52,$F52)&lt;=3,_xll.TM1RPTELLEV($F$52,$F52),"D"),"N")</f>
        <v>N</v>
      </c>
      <c r="F52" s="210" t="str">
        <f ca="1">_xll.TM1RPTROW($F$38,Server&amp;"Management_Organization_Corp","","",$G$25,0,$F$36,,1)</f>
        <v/>
      </c>
      <c r="G52" s="211"/>
      <c r="H52" s="141"/>
      <c r="I52" s="212" t="str">
        <f ca="1">_xll.DBRW(Server&amp;Cube1,$G$30,$G$23,$G$24,$G$29,$D$20,$G$26,$F52,$D$19,I$12,I$11,$I$14)</f>
        <v/>
      </c>
      <c r="J52" s="212" t="str">
        <f ca="1">_xll.DBRW(Server&amp;Cube1,$G$30,$G$23,$G$24,$G$29,$D$20,$G$26,$F52,$D$19,J$12,J$11,$I$14)</f>
        <v/>
      </c>
      <c r="K52" s="212" t="str">
        <f ca="1">_xll.DBRW(Server&amp;Cube1,$G$30,$G$23,$G$24,$G$29,$D$20,$G$26,$F52,$D$19,K$12,K$11,$I$14)</f>
        <v/>
      </c>
      <c r="L52" s="156"/>
      <c r="M52" s="213" t="e">
        <f ca="1">$K52-$I52</f>
        <v>#VALUE!</v>
      </c>
      <c r="N52" s="214"/>
      <c r="O52" s="214" t="e">
        <f ca="1">IF($I52=0,0,IF($I52&lt;0,$M52/-$I52,$M52/$I52))</f>
        <v>#VALUE!</v>
      </c>
      <c r="P52" s="215" t="e">
        <f ca="1">IF(O52&gt;0.01,$AY$32,IF(O52&lt;-0.01,$AZ$32,$BA$32))</f>
        <v>#VALUE!</v>
      </c>
      <c r="Q52" s="213" t="e">
        <f ca="1">$K52-$J52</f>
        <v>#VALUE!</v>
      </c>
      <c r="R52" s="154"/>
      <c r="S52" s="155" t="e">
        <f ca="1">IF($J52=0,0,IF($J52&lt;0,$Q52/-$J52,$Q52/$J52))</f>
        <v>#VALUE!</v>
      </c>
      <c r="T52" s="142" t="e">
        <f ca="1">IF(S52&gt;0.01,$AY$32,IF(S52&lt;-0.01,$AZ$32,$BA$32))</f>
        <v>#VALUE!</v>
      </c>
      <c r="U52" s="156"/>
      <c r="V52" s="212" t="str">
        <f ca="1">_xll.DBRW(Server&amp;Cube1,$G$30,$G$23,$G$24,$G$29,$D$20,$G$26,$F52,$D$19,V$12,V$11,$V$14)</f>
        <v/>
      </c>
      <c r="W52" s="212" t="str">
        <f ca="1">_xll.DBRW(Server&amp;Cube1,$G$30,$G$23,$G$24,$G$29,$D$20,$G$26,$F52,$D$19,W$12,W$11,$V$14)</f>
        <v/>
      </c>
      <c r="X52" s="212" t="str">
        <f ca="1">_xll.DBRW(Server&amp;Cube1,$G$30,$G$23,$G$24,$G$29,$D$20,$G$26,$F52,$D$19,X$12,X$11,$V$14)</f>
        <v/>
      </c>
      <c r="Y52" s="156"/>
      <c r="Z52" s="213" t="e">
        <f ca="1">$X52-$V52</f>
        <v>#VALUE!</v>
      </c>
      <c r="AA52" s="214"/>
      <c r="AB52" s="214" t="e">
        <f ca="1">IF($V52=0,0,IF($V52&lt;0,$Z52/-$V52,$Z52/$V52))</f>
        <v>#VALUE!</v>
      </c>
      <c r="AC52" s="214" t="e">
        <f ca="1">IF(AB52&gt;0.01,$AY$32,IF(AB52&lt;-0.01,$AZ$32,$BA$32))</f>
        <v>#VALUE!</v>
      </c>
      <c r="AD52" s="213" t="e">
        <f ca="1">$X52-$W52</f>
        <v>#VALUE!</v>
      </c>
      <c r="AE52" s="154"/>
      <c r="AF52" s="155" t="e">
        <f ca="1">IF($W52=0,0,IF($W52&lt;0,$AD52/-$W52,$AD52/$W52))</f>
        <v>#VALUE!</v>
      </c>
      <c r="AG52" s="142" t="e">
        <f ca="1">IF(AF52&gt;0.01,$AY$32,IF(AF52&lt;-0.01,$AZ$32,$BA$32))</f>
        <v>#VALUE!</v>
      </c>
      <c r="AI52" s="77" t="str">
        <f ca="1">_xll.DBRW($F$38,$G$40,$G$41,$G$42,$G$43,$G$44,$G$45,$F52,$G$46,$K$12,$K$11,$I$14)</f>
        <v/>
      </c>
      <c r="AJ52" s="77" t="str">
        <f ca="1">_xll.DBRW($F$38,$G$40,$G$41,$G$42,$G$43,$G$44,$G$45,$F52,$G$46,$J$12,J$11,$I$14)</f>
        <v/>
      </c>
      <c r="AK52" s="77" t="str">
        <f ca="1">_xll.DBRW($F$38,$G$40,$G$41,$G$42,$G$43,$G$44,$G$45,$F52,$G$46,$X$12,$X$11,$V$14)</f>
        <v/>
      </c>
      <c r="AL52" s="74" t="str">
        <f ca="1">_xll.DBRW($F$38,$G$40,$G$41,$G$42,$G$43,$G$44,$G$45,$F52,$G$46,$W$12,$W$11,$V$14)</f>
        <v/>
      </c>
      <c r="AT52" s="103"/>
    </row>
    <row r="53" spans="1:57" s="4" customFormat="1" ht="17.25" hidden="1" customHeight="1" x14ac:dyDescent="0.25">
      <c r="B53" s="40"/>
      <c r="C53" s="40"/>
      <c r="D53" s="46"/>
      <c r="E53" s="82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M53" s="29"/>
      <c r="AN53" s="29"/>
      <c r="AO53" s="29"/>
      <c r="AP53" s="29"/>
      <c r="AQ53" s="29"/>
      <c r="AR53" s="29"/>
      <c r="AS53" s="29"/>
      <c r="AT53" s="15"/>
      <c r="AU53" s="29"/>
      <c r="AV53" s="29"/>
      <c r="AW53" s="29"/>
      <c r="AX53" s="29"/>
      <c r="AY53" s="29"/>
      <c r="AZ53" s="29"/>
    </row>
    <row r="54" spans="1:57" s="4" customFormat="1" ht="27" customHeight="1" x14ac:dyDescent="0.25">
      <c r="B54" s="40"/>
      <c r="C54" s="40"/>
      <c r="D54" s="46"/>
      <c r="E54" s="82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M54" s="29"/>
      <c r="AN54" s="29"/>
      <c r="AO54" s="29"/>
      <c r="AP54" s="29"/>
      <c r="AQ54" s="29"/>
      <c r="AR54" s="29"/>
      <c r="AS54" s="29"/>
      <c r="AT54" s="15"/>
      <c r="AU54" s="29"/>
      <c r="AV54" s="29"/>
      <c r="AW54" s="29"/>
      <c r="AX54" s="29"/>
      <c r="AY54" s="29"/>
      <c r="AZ54" s="29"/>
    </row>
    <row r="55" spans="1:57" s="4" customFormat="1" ht="27" hidden="1" customHeight="1" x14ac:dyDescent="0.25">
      <c r="B55" s="40"/>
      <c r="C55" s="40"/>
      <c r="D55" s="121" t="s">
        <v>98</v>
      </c>
      <c r="E55" s="82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M55" s="29"/>
      <c r="AN55" s="29"/>
      <c r="AO55" s="29"/>
      <c r="AP55" s="29"/>
      <c r="AQ55" s="29"/>
      <c r="AR55" s="29"/>
      <c r="AS55" s="29"/>
      <c r="AT55" s="15"/>
      <c r="AU55" s="29"/>
      <c r="AV55" s="29"/>
      <c r="AW55" s="29"/>
      <c r="AX55" s="29"/>
      <c r="AY55" s="29"/>
      <c r="AZ55" s="29"/>
    </row>
    <row r="56" spans="1:57" s="4" customFormat="1" ht="27" customHeight="1" thickBot="1" x14ac:dyDescent="0.35">
      <c r="B56" s="40"/>
      <c r="C56" s="40"/>
      <c r="D56" s="41" t="s">
        <v>10</v>
      </c>
      <c r="E56" s="82"/>
      <c r="F56" s="5" t="str">
        <f ca="1">_xll.DBRA(Server&amp;$AT$21,$D$56,$AW$18)</f>
        <v>Commentaires</v>
      </c>
      <c r="G56" s="97"/>
      <c r="H56" s="97"/>
      <c r="I56" s="97"/>
      <c r="J56" s="97"/>
      <c r="K56" s="98"/>
      <c r="L56" s="99"/>
      <c r="M56" s="99"/>
      <c r="N56" s="99"/>
      <c r="O56" s="100"/>
      <c r="P56" s="101"/>
      <c r="Q56" s="101"/>
      <c r="R56" s="101"/>
      <c r="S56" s="101"/>
      <c r="T56" s="102"/>
      <c r="U56" s="102"/>
      <c r="V56" s="98"/>
      <c r="W56" s="98"/>
      <c r="X56" s="98"/>
      <c r="Y56" s="98"/>
      <c r="Z56" s="98"/>
      <c r="AA56" s="98"/>
      <c r="AB56" s="98"/>
      <c r="AC56" s="98"/>
      <c r="AD56" s="98"/>
      <c r="AE56" s="98"/>
      <c r="AF56" s="98"/>
      <c r="AG56" s="98"/>
      <c r="AH56" s="1"/>
      <c r="AM56" s="29"/>
      <c r="AN56" s="29"/>
      <c r="AO56" s="29"/>
      <c r="AP56" s="29"/>
      <c r="AQ56" s="29"/>
      <c r="AR56" s="29"/>
      <c r="AS56" s="29"/>
      <c r="AT56" s="15"/>
      <c r="AU56" s="29"/>
      <c r="AV56" s="29"/>
      <c r="AW56" s="29"/>
      <c r="AX56" s="29"/>
      <c r="AY56" s="29"/>
      <c r="AZ56" s="29"/>
    </row>
    <row r="57" spans="1:57" s="4" customFormat="1" ht="27" customHeight="1" x14ac:dyDescent="0.25">
      <c r="B57" s="40"/>
      <c r="C57" s="40"/>
      <c r="D57" s="41" t="s">
        <v>30</v>
      </c>
      <c r="E57" s="82"/>
      <c r="F57" s="227" t="str">
        <f ca="1">_xll.DBRW(Server&amp;Cube2,$G$23,$G$24,$G$29,$G$26,$G$28,$D$19,$G$27,$P$11,$P$12,$D$55,$D$57)</f>
        <v/>
      </c>
      <c r="G57" s="228"/>
      <c r="H57" s="228"/>
      <c r="I57" s="228"/>
      <c r="J57" s="228"/>
      <c r="K57" s="228"/>
      <c r="L57" s="228"/>
      <c r="M57" s="228"/>
      <c r="N57" s="228"/>
      <c r="O57" s="228"/>
      <c r="P57" s="228"/>
      <c r="Q57" s="228"/>
      <c r="R57" s="228"/>
      <c r="S57" s="228"/>
      <c r="T57" s="228"/>
      <c r="U57" s="228"/>
      <c r="V57" s="228"/>
      <c r="W57" s="228"/>
      <c r="X57" s="228"/>
      <c r="Y57" s="228"/>
      <c r="Z57" s="228"/>
      <c r="AA57" s="228"/>
      <c r="AB57" s="228"/>
      <c r="AC57" s="228"/>
      <c r="AD57" s="229"/>
      <c r="AE57" s="172"/>
      <c r="AF57" s="164"/>
      <c r="AG57" s="165"/>
      <c r="AH57" s="1"/>
      <c r="AM57" s="29"/>
      <c r="AN57" s="29"/>
      <c r="AO57" s="29"/>
      <c r="AP57" s="29"/>
      <c r="AQ57" s="29"/>
      <c r="AR57" s="29"/>
      <c r="AS57" s="29"/>
      <c r="AT57" s="15"/>
      <c r="AU57" s="29"/>
      <c r="AV57" s="29"/>
      <c r="AW57" s="29"/>
      <c r="AX57" s="29"/>
      <c r="AY57" s="29"/>
      <c r="AZ57" s="29"/>
    </row>
    <row r="58" spans="1:57" s="4" customFormat="1" ht="27" customHeight="1" x14ac:dyDescent="0.25">
      <c r="B58" s="40"/>
      <c r="C58" s="40"/>
      <c r="D58" s="41" t="s">
        <v>31</v>
      </c>
      <c r="E58" s="82"/>
      <c r="F58" s="218" t="str">
        <f ca="1">_xll.DBRW(Server&amp;Cube2,$G$23,$G$24,$G$29,$G$26,$G$28,$D$19,$G$27,$P$11,$P$12,$D$55,$D$58)</f>
        <v/>
      </c>
      <c r="G58" s="219"/>
      <c r="H58" s="219"/>
      <c r="I58" s="219"/>
      <c r="J58" s="219"/>
      <c r="K58" s="219"/>
      <c r="L58" s="219"/>
      <c r="M58" s="219"/>
      <c r="N58" s="219"/>
      <c r="O58" s="219"/>
      <c r="P58" s="219"/>
      <c r="Q58" s="219"/>
      <c r="R58" s="219"/>
      <c r="S58" s="219"/>
      <c r="T58" s="219"/>
      <c r="U58" s="219"/>
      <c r="V58" s="219"/>
      <c r="W58" s="219"/>
      <c r="X58" s="219"/>
      <c r="Y58" s="219"/>
      <c r="Z58" s="219"/>
      <c r="AA58" s="219"/>
      <c r="AB58" s="219"/>
      <c r="AC58" s="219"/>
      <c r="AD58" s="220"/>
      <c r="AE58" s="170"/>
      <c r="AF58" s="166"/>
      <c r="AG58" s="167"/>
      <c r="AH58" s="1"/>
      <c r="AM58" s="29"/>
      <c r="AN58" s="29"/>
      <c r="AO58" s="29"/>
      <c r="AP58" s="29"/>
      <c r="AQ58" s="29"/>
      <c r="AR58" s="29"/>
      <c r="AS58" s="29"/>
      <c r="AT58" s="15"/>
      <c r="AU58" s="29"/>
      <c r="AV58" s="29"/>
      <c r="AW58" s="29"/>
      <c r="AX58" s="29"/>
      <c r="AY58" s="29"/>
      <c r="AZ58" s="29"/>
    </row>
    <row r="59" spans="1:57" s="4" customFormat="1" ht="27" customHeight="1" x14ac:dyDescent="0.25">
      <c r="B59" s="40"/>
      <c r="C59" s="40"/>
      <c r="D59" s="41" t="s">
        <v>32</v>
      </c>
      <c r="E59" s="82"/>
      <c r="F59" s="218" t="str">
        <f ca="1">_xll.DBRW(Server&amp;Cube2,$G$23,$G$24,$G$29,$G$26,$G$28,$D$19,$G$27,$P$11,$P$12,$D$55,$D$59)</f>
        <v/>
      </c>
      <c r="G59" s="219"/>
      <c r="H59" s="219"/>
      <c r="I59" s="219"/>
      <c r="J59" s="219"/>
      <c r="K59" s="219"/>
      <c r="L59" s="219"/>
      <c r="M59" s="219"/>
      <c r="N59" s="219"/>
      <c r="O59" s="219"/>
      <c r="P59" s="219"/>
      <c r="Q59" s="219"/>
      <c r="R59" s="219"/>
      <c r="S59" s="219"/>
      <c r="T59" s="219"/>
      <c r="U59" s="219"/>
      <c r="V59" s="219"/>
      <c r="W59" s="219"/>
      <c r="X59" s="219"/>
      <c r="Y59" s="219"/>
      <c r="Z59" s="219"/>
      <c r="AA59" s="219"/>
      <c r="AB59" s="219"/>
      <c r="AC59" s="219"/>
      <c r="AD59" s="220"/>
      <c r="AE59" s="170"/>
      <c r="AF59" s="166"/>
      <c r="AG59" s="167"/>
      <c r="AH59" s="1"/>
      <c r="AM59" s="29"/>
      <c r="AN59" s="29"/>
      <c r="AO59" s="29"/>
      <c r="AP59" s="29"/>
      <c r="AQ59" s="29"/>
      <c r="AR59" s="29"/>
      <c r="AS59" s="29"/>
      <c r="AT59" s="15"/>
      <c r="AU59" s="29"/>
      <c r="AV59" s="29"/>
      <c r="AW59" s="29"/>
      <c r="AX59" s="29"/>
      <c r="AY59" s="29"/>
      <c r="AZ59" s="29"/>
    </row>
    <row r="60" spans="1:57" s="4" customFormat="1" ht="27" customHeight="1" thickBot="1" x14ac:dyDescent="0.3">
      <c r="B60" s="40"/>
      <c r="C60" s="40"/>
      <c r="D60" s="41" t="s">
        <v>33</v>
      </c>
      <c r="E60" s="82"/>
      <c r="F60" s="221" t="str">
        <f ca="1">_xll.DBRW(Server&amp;Cube2,$G$23,$G$24,$G$29,$G$26,$G$28,$D$19,$G$27,$P$11,$P$12,$D$55,$D$60)</f>
        <v/>
      </c>
      <c r="G60" s="222"/>
      <c r="H60" s="222"/>
      <c r="I60" s="222"/>
      <c r="J60" s="222"/>
      <c r="K60" s="222"/>
      <c r="L60" s="222"/>
      <c r="M60" s="222"/>
      <c r="N60" s="222"/>
      <c r="O60" s="222"/>
      <c r="P60" s="222"/>
      <c r="Q60" s="222"/>
      <c r="R60" s="222"/>
      <c r="S60" s="222"/>
      <c r="T60" s="222"/>
      <c r="U60" s="222"/>
      <c r="V60" s="222"/>
      <c r="W60" s="222"/>
      <c r="X60" s="222"/>
      <c r="Y60" s="222"/>
      <c r="Z60" s="222"/>
      <c r="AA60" s="222"/>
      <c r="AB60" s="222"/>
      <c r="AC60" s="222"/>
      <c r="AD60" s="223"/>
      <c r="AE60" s="171"/>
      <c r="AF60" s="168"/>
      <c r="AG60" s="169"/>
      <c r="AH60" s="1"/>
      <c r="AM60" s="29"/>
      <c r="AN60" s="29"/>
      <c r="AO60" s="29"/>
      <c r="AP60" s="29"/>
      <c r="AQ60" s="29"/>
      <c r="AR60" s="29"/>
      <c r="AS60" s="29"/>
      <c r="AT60" s="15"/>
      <c r="AU60" s="29"/>
      <c r="AV60" s="29"/>
      <c r="AW60" s="29"/>
      <c r="AX60" s="29"/>
      <c r="AY60" s="29"/>
      <c r="AZ60" s="29"/>
    </row>
    <row r="61" spans="1:57" s="4" customFormat="1" ht="27" customHeight="1" x14ac:dyDescent="0.25">
      <c r="B61" s="40"/>
      <c r="C61" s="40"/>
      <c r="D61" s="46"/>
      <c r="E61" s="82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M61" s="29"/>
      <c r="AN61" s="29"/>
      <c r="AO61" s="29"/>
      <c r="AP61" s="29"/>
      <c r="AQ61" s="29"/>
      <c r="AR61" s="29"/>
      <c r="AS61" s="29"/>
      <c r="AT61" s="15"/>
      <c r="AU61" s="29"/>
      <c r="AV61" s="132" t="s">
        <v>81</v>
      </c>
      <c r="AW61" s="98"/>
      <c r="AX61" s="133" t="str">
        <f ca="1">IF(RIGHT(_xll.SUBNM(Server&amp;"Period","",$G$27,""),3)="YTD","Yes","No")</f>
        <v>No</v>
      </c>
      <c r="AY61" s="29"/>
      <c r="AZ61" s="29"/>
    </row>
    <row r="62" spans="1:57" s="4" customFormat="1" ht="27" customHeight="1" x14ac:dyDescent="0.25">
      <c r="B62" s="40"/>
      <c r="C62" s="40"/>
      <c r="D62" s="46"/>
      <c r="E62" s="82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M62" s="29"/>
      <c r="AN62" s="29"/>
      <c r="AO62" s="29"/>
      <c r="AP62" s="29"/>
      <c r="AQ62" s="29"/>
      <c r="AR62" s="29"/>
      <c r="AS62" s="29"/>
      <c r="AT62" s="15"/>
      <c r="AU62" s="29"/>
      <c r="AV62" s="29"/>
      <c r="AX62" s="29"/>
      <c r="AY62" s="29"/>
      <c r="AZ62" s="29"/>
    </row>
    <row r="63" spans="1:57" s="4" customFormat="1" ht="17.25" customHeight="1" x14ac:dyDescent="0.25">
      <c r="B63" s="40"/>
      <c r="C63" s="40"/>
      <c r="D63" s="46"/>
      <c r="E63" s="82"/>
      <c r="F63" s="123"/>
      <c r="G63" s="123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124"/>
      <c r="U63" s="124"/>
      <c r="V63" s="124"/>
      <c r="W63" s="124"/>
      <c r="X63" s="124"/>
      <c r="Y63" s="124"/>
      <c r="Z63" s="124"/>
      <c r="AA63" s="124"/>
      <c r="AB63" s="124"/>
      <c r="AC63" s="124"/>
      <c r="AD63" s="124"/>
      <c r="AE63" s="124"/>
      <c r="AF63" s="124"/>
      <c r="AG63" s="124"/>
      <c r="AH63" s="1"/>
      <c r="AM63" s="29"/>
      <c r="AN63" s="29"/>
      <c r="AO63" s="29"/>
      <c r="AP63" s="29"/>
      <c r="AQ63" s="29"/>
      <c r="AR63" s="29"/>
      <c r="AS63" s="29"/>
      <c r="AT63" s="15"/>
      <c r="AU63" s="29"/>
      <c r="AV63" s="29"/>
      <c r="AW63" s="136" t="s">
        <v>92</v>
      </c>
      <c r="AX63" s="29"/>
      <c r="AY63" s="29"/>
      <c r="AZ63" s="29"/>
    </row>
    <row r="64" spans="1:57" s="4" customFormat="1" ht="17.25" customHeight="1" x14ac:dyDescent="0.25">
      <c r="B64" s="40"/>
      <c r="C64" s="40"/>
      <c r="D64" s="46"/>
      <c r="E64" s="82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124"/>
      <c r="U64" s="124"/>
      <c r="V64" s="124"/>
      <c r="W64" s="124"/>
      <c r="X64" s="124"/>
      <c r="Y64" s="124"/>
      <c r="Z64" s="124"/>
      <c r="AA64" s="124"/>
      <c r="AB64" s="124"/>
      <c r="AC64" s="124"/>
      <c r="AD64" s="124"/>
      <c r="AE64" s="124"/>
      <c r="AF64" s="124"/>
      <c r="AG64" s="124"/>
      <c r="AH64" s="1"/>
      <c r="AM64" s="29"/>
      <c r="AN64" s="29"/>
      <c r="AO64" s="29"/>
      <c r="AP64" s="29"/>
      <c r="AQ64" s="29"/>
      <c r="AR64" s="29"/>
      <c r="AS64" s="29"/>
      <c r="AT64" s="15"/>
      <c r="AU64" s="128" t="str">
        <f ca="1">IF($AX$61="No",_xll.DBRA(Server&amp;$AT$21,$AT$39,$AW$18),_xll.DBRA(Server&amp;$AT$21,$AT$39,$AW$18)&amp; " ("&amp;_xll.DBRA(Server&amp;$AT$21,$AT$44,$AW$18)&amp;")")</f>
        <v>RESOP</v>
      </c>
      <c r="AV64" s="29"/>
      <c r="AW64" s="134" t="str">
        <f ca="1">_xll.DBRA(Server&amp;$AW$63,AW$65,$G$25)</f>
        <v>Direction Générale</v>
      </c>
      <c r="AX64" s="134" t="str">
        <f ca="1">_xll.DBRA(Server&amp;$AW$63,AX$65,$G$25)</f>
        <v>Direction Performance et Commerciale</v>
      </c>
      <c r="AY64" s="134" t="str">
        <f ca="1">_xll.DBRA(Server&amp;$AW$63,AY$65,$G$25)</f>
        <v>Direction Financière</v>
      </c>
      <c r="AZ64" s="134" t="str">
        <f ca="1">_xll.DBRA(Server&amp;$AW$63,AZ$65,$G$25)</f>
        <v>Direction Système d'information</v>
      </c>
      <c r="BA64" s="134" t="str">
        <f ca="1">_xll.DBRA(Server&amp;$AW$63,BA$65,$G$25)</f>
        <v>Direction Ressources Humaines</v>
      </c>
      <c r="BB64" s="134" t="str">
        <f ca="1">_xll.DBRA(Server&amp;$AW$63,BB$65,$G$25)</f>
        <v>Direction Juridique</v>
      </c>
      <c r="BC64" s="134" t="str">
        <f ca="1">_xll.DBRA(Server&amp;$AW$63,BC$65,$G$25)</f>
        <v>SG - Communication</v>
      </c>
      <c r="BD64" s="134" t="str">
        <f ca="1">_xll.DBRA(Server&amp;$AW$63,BD$65,$G$25)</f>
        <v>Direction Innovation et Stratégie</v>
      </c>
      <c r="BE64" s="134" t="str">
        <f ca="1">_xll.DBRA(Server&amp;$AW$63,BE$65,$G$25)</f>
        <v>Direction Déléguée Rail - Grand Paris</v>
      </c>
    </row>
    <row r="65" spans="1:59" s="4" customFormat="1" ht="17.25" customHeight="1" x14ac:dyDescent="0.25">
      <c r="B65" s="40"/>
      <c r="C65" s="40"/>
      <c r="D65" s="46"/>
      <c r="E65" s="82"/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25"/>
      <c r="R65" s="125"/>
      <c r="S65" s="125"/>
      <c r="T65" s="125"/>
      <c r="U65" s="125"/>
      <c r="V65" s="125"/>
      <c r="W65" s="125"/>
      <c r="X65" s="125"/>
      <c r="Y65" s="125"/>
      <c r="Z65" s="125"/>
      <c r="AA65" s="125"/>
      <c r="AB65" s="125"/>
      <c r="AC65" s="125"/>
      <c r="AD65" s="125"/>
      <c r="AE65" s="125"/>
      <c r="AF65" s="125"/>
      <c r="AG65" s="125"/>
      <c r="AH65" s="1"/>
      <c r="AM65" s="29"/>
      <c r="AN65" s="29"/>
      <c r="AO65" s="29"/>
      <c r="AP65" s="29"/>
      <c r="AQ65" s="29"/>
      <c r="AR65" s="29"/>
      <c r="AS65" s="29"/>
      <c r="AT65" s="29"/>
      <c r="AU65" s="128" t="str">
        <f ca="1">IF($AX$61="No",_xll.DBRA(Server&amp;$H$14,$AV65,$G$25),_xll.DBRA(Server&amp;$H$14,$AV65,$G$25)&amp; " ("&amp;_xll.DBRA(Server&amp;$AT$21,$AT$44,$AW$18)&amp;")")</f>
        <v>RESULTAT OPERATIONNEL APRES MF</v>
      </c>
      <c r="AV65" s="129" t="s">
        <v>68</v>
      </c>
      <c r="AW65" s="30" t="s">
        <v>84</v>
      </c>
      <c r="AX65" s="30" t="s">
        <v>85</v>
      </c>
      <c r="AY65" s="30" t="s">
        <v>86</v>
      </c>
      <c r="AZ65" s="30" t="s">
        <v>87</v>
      </c>
      <c r="BA65" s="4" t="s">
        <v>88</v>
      </c>
      <c r="BB65" s="4" t="s">
        <v>89</v>
      </c>
      <c r="BC65" s="4" t="str">
        <f ca="1">"4310"</f>
        <v>4310</v>
      </c>
      <c r="BD65" s="4" t="s">
        <v>90</v>
      </c>
      <c r="BE65" s="4" t="s">
        <v>91</v>
      </c>
      <c r="BF65" s="135"/>
      <c r="BG65" s="135"/>
    </row>
    <row r="66" spans="1:59" s="4" customFormat="1" ht="17.25" customHeight="1" x14ac:dyDescent="0.25">
      <c r="B66" s="40"/>
      <c r="C66" s="40"/>
      <c r="D66" s="46"/>
      <c r="E66" s="82"/>
      <c r="F66" s="126"/>
      <c r="G66" s="126"/>
      <c r="H66" s="125"/>
      <c r="I66" s="125"/>
      <c r="J66" s="125"/>
      <c r="K66" s="125"/>
      <c r="L66" s="125"/>
      <c r="M66" s="125"/>
      <c r="N66" s="125"/>
      <c r="O66" s="125"/>
      <c r="P66" s="125"/>
      <c r="Q66" s="125"/>
      <c r="R66" s="125"/>
      <c r="S66" s="125"/>
      <c r="T66" s="125"/>
      <c r="U66" s="125"/>
      <c r="V66" s="125"/>
      <c r="W66" s="125"/>
      <c r="X66" s="125"/>
      <c r="Y66" s="125"/>
      <c r="Z66" s="125"/>
      <c r="AA66" s="125"/>
      <c r="AB66" s="125"/>
      <c r="AC66" s="125"/>
      <c r="AD66" s="125"/>
      <c r="AE66" s="125"/>
      <c r="AF66" s="125"/>
      <c r="AG66" s="125"/>
      <c r="AH66" s="1"/>
      <c r="AM66" s="29"/>
      <c r="AN66" s="29"/>
      <c r="AO66" s="29"/>
      <c r="AP66" s="29"/>
      <c r="AQ66" s="29"/>
      <c r="AR66" s="29"/>
      <c r="AS66" s="29"/>
      <c r="AT66" s="29"/>
      <c r="AU66" s="130" t="str">
        <f ca="1">IF($G$13=$AU$22,_xll.DBRA(Server&amp;$AT$21,$AU$38,$AW$18),_xll.DBRA(Server&amp;$AT$21,$AT$38,$AW$18))</f>
        <v>Réalisé N-2</v>
      </c>
      <c r="AV66" s="2" t="str">
        <f ca="1">$I$11</f>
        <v>ACT_TOT</v>
      </c>
      <c r="AW66" s="137" t="str">
        <f ca="1">_xll.DBRW(Server&amp;Cube1,$G$30,$G$23,$G$24,$G$29,$D$20,$G$26,AW$65,$D$19,$I$12,$AV66,$AV$65)</f>
        <v/>
      </c>
      <c r="AX66" s="137" t="str">
        <f ca="1">_xll.DBRW(Server&amp;Cube1,$G$30,$G$23,$G$24,$G$29,$D$20,$G$26,AX$65,$D$19,$I$12,$AV66,$AV$65)</f>
        <v/>
      </c>
      <c r="AY66" s="137" t="str">
        <f ca="1">_xll.DBRW(Server&amp;Cube1,$G$30,$G$23,$G$24,$G$29,$D$20,$G$26,AY$65,$D$19,$I$12,$AV66,$AV$65)</f>
        <v/>
      </c>
      <c r="AZ66" s="137" t="str">
        <f ca="1">_xll.DBRW(Server&amp;Cube1,$G$30,$G$23,$G$24,$G$29,$D$20,$G$26,AZ$65,$D$19,$I$12,$AV66,$AV$65)</f>
        <v/>
      </c>
      <c r="BA66" s="137" t="str">
        <f ca="1">_xll.DBRW(Server&amp;Cube1,$G$30,$G$23,$G$24,$G$29,$D$20,$G$26,BA$65,$D$19,$I$12,$AV66,$AV$65)</f>
        <v/>
      </c>
      <c r="BB66" s="137" t="str">
        <f ca="1">_xll.DBRW(Server&amp;Cube1,$G$30,$G$23,$G$24,$G$29,$D$20,$G$26,BB$65,$D$19,$I$12,$AV66,$AV$65)</f>
        <v/>
      </c>
      <c r="BC66" s="137" t="str">
        <f ca="1">_xll.DBRW(Server&amp;Cube1,$G$30,$G$23,$G$24,$G$29,$D$20,$G$26,BC$65,$D$19,$I$12,$AV66,$AV$65)</f>
        <v/>
      </c>
      <c r="BD66" s="137" t="str">
        <f ca="1">_xll.DBRW(Server&amp;Cube1,$G$30,$G$23,$G$24,$G$29,$D$20,$G$26,BD$65,$D$19,$I$12,$AV66,$AV$65)</f>
        <v/>
      </c>
      <c r="BE66" s="137" t="str">
        <f ca="1">_xll.DBRW(Server&amp;Cube1,$G$30,$G$23,$G$24,$G$29,$D$20,$G$26,BE$65,$D$19,$I$12,$AV66,$AV$65)</f>
        <v/>
      </c>
    </row>
    <row r="67" spans="1:59" s="4" customFormat="1" ht="17.25" customHeight="1" x14ac:dyDescent="0.25">
      <c r="B67" s="40"/>
      <c r="C67" s="40"/>
      <c r="D67" s="46"/>
      <c r="E67" s="82"/>
      <c r="F67" s="123"/>
      <c r="G67" s="123"/>
      <c r="H67" s="124"/>
      <c r="I67" s="124"/>
      <c r="J67" s="124"/>
      <c r="K67" s="124"/>
      <c r="L67" s="124"/>
      <c r="M67" s="124"/>
      <c r="N67" s="124"/>
      <c r="O67" s="124"/>
      <c r="P67" s="124"/>
      <c r="Q67" s="124"/>
      <c r="R67" s="124"/>
      <c r="S67" s="124"/>
      <c r="T67" s="124"/>
      <c r="U67" s="124"/>
      <c r="V67" s="124"/>
      <c r="W67" s="124"/>
      <c r="X67" s="124"/>
      <c r="Y67" s="124"/>
      <c r="Z67" s="124"/>
      <c r="AA67" s="124"/>
      <c r="AB67" s="124"/>
      <c r="AC67" s="124"/>
      <c r="AD67" s="124"/>
      <c r="AE67" s="124"/>
      <c r="AF67" s="124"/>
      <c r="AG67" s="124"/>
      <c r="AH67" s="1"/>
      <c r="AM67" s="29"/>
      <c r="AN67" s="29"/>
      <c r="AO67" s="29"/>
      <c r="AP67" s="29"/>
      <c r="AQ67" s="29"/>
      <c r="AR67" s="29"/>
      <c r="AS67" s="29"/>
      <c r="AT67" s="29"/>
      <c r="AU67" s="130" t="str">
        <f ca="1">IF($G$33=$AU$22,_xll.DBRA(Server&amp;$AT$21,$AT$45,$AW$18),_xll.DBRA(Server&amp;"Phase",$J$11,$AW$18))</f>
        <v>Estimé 2 N-1</v>
      </c>
      <c r="AV67" s="2" t="str">
        <f ca="1">$J$11</f>
        <v>FC_2_TOT</v>
      </c>
      <c r="AW67" s="137" t="str">
        <f ca="1">_xll.DBRW(Server&amp;Cube1,$G$30,$G$23,$G$24,$G$29,$D$20,$G$26,AW$65,$D$19,$J$12,$AV67,$AV$65)</f>
        <v/>
      </c>
      <c r="AX67" s="137" t="str">
        <f ca="1">_xll.DBRW(Server&amp;Cube1,$G$30,$G$23,$G$24,$G$29,$D$20,$G$26,AX$65,$D$19,$J$12,$AV67,$AV$65)</f>
        <v/>
      </c>
      <c r="AY67" s="137" t="str">
        <f ca="1">_xll.DBRW(Server&amp;Cube1,$G$30,$G$23,$G$24,$G$29,$D$20,$G$26,AY$65,$D$19,$J$12,$AV67,$AV$65)</f>
        <v/>
      </c>
      <c r="AZ67" s="137" t="str">
        <f ca="1">_xll.DBRW(Server&amp;Cube1,$G$30,$G$23,$G$24,$G$29,$D$20,$G$26,AZ$65,$D$19,$J$12,$AV67,$AV$65)</f>
        <v/>
      </c>
      <c r="BA67" s="137" t="str">
        <f ca="1">_xll.DBRW(Server&amp;Cube1,$G$30,$G$23,$G$24,$G$29,$D$20,$G$26,BA$65,$D$19,$J$12,$AV67,$AV$65)</f>
        <v/>
      </c>
      <c r="BB67" s="137" t="str">
        <f ca="1">_xll.DBRW(Server&amp;Cube1,$G$30,$G$23,$G$24,$G$29,$D$20,$G$26,BB$65,$D$19,$J$12,$AV67,$AV$65)</f>
        <v/>
      </c>
      <c r="BC67" s="137" t="str">
        <f ca="1">_xll.DBRW(Server&amp;Cube1,$G$30,$G$23,$G$24,$G$29,$D$20,$G$26,BC$65,$D$19,$J$12,$AV67,$AV$65)</f>
        <v/>
      </c>
      <c r="BD67" s="137" t="str">
        <f ca="1">_xll.DBRW(Server&amp;Cube1,$G$30,$G$23,$G$24,$G$29,$D$20,$G$26,BD$65,$D$19,$J$12,$AV67,$AV$65)</f>
        <v/>
      </c>
      <c r="BE67" s="137" t="str">
        <f ca="1">_xll.DBRW(Server&amp;Cube1,$G$30,$G$23,$G$24,$G$29,$D$20,$G$26,BE$65,$D$19,$J$12,$AV67,$AV$65)</f>
        <v/>
      </c>
    </row>
    <row r="68" spans="1:59" ht="22.5" customHeight="1" x14ac:dyDescent="0.25">
      <c r="B68" s="40"/>
      <c r="C68" s="47"/>
      <c r="D68" s="46"/>
      <c r="E68" s="80"/>
      <c r="F68" s="123"/>
      <c r="G68" s="123"/>
      <c r="H68" s="124"/>
      <c r="I68" s="124"/>
      <c r="J68" s="124"/>
      <c r="K68" s="124"/>
      <c r="L68" s="124"/>
      <c r="M68" s="124"/>
      <c r="N68" s="124"/>
      <c r="O68" s="124"/>
      <c r="P68" s="124"/>
      <c r="Q68" s="124"/>
      <c r="R68" s="124"/>
      <c r="S68" s="124"/>
      <c r="T68" s="124"/>
      <c r="U68" s="124"/>
      <c r="V68" s="124"/>
      <c r="W68" s="124"/>
      <c r="X68" s="124"/>
      <c r="Y68" s="124"/>
      <c r="Z68" s="124"/>
      <c r="AA68" s="124"/>
      <c r="AB68" s="124"/>
      <c r="AC68" s="124"/>
      <c r="AD68" s="124"/>
      <c r="AE68" s="124"/>
      <c r="AF68" s="124"/>
      <c r="AG68" s="124"/>
      <c r="AH68" s="15"/>
      <c r="AI68" s="4"/>
      <c r="AJ68" s="4"/>
      <c r="AK68" s="4"/>
      <c r="AL68" s="4"/>
      <c r="AM68" s="29"/>
      <c r="AN68" s="29"/>
      <c r="AO68" s="29"/>
      <c r="AP68" s="29"/>
      <c r="AQ68" s="29"/>
      <c r="AR68" s="29"/>
      <c r="AS68" s="29"/>
      <c r="AT68" s="29"/>
      <c r="AU68" s="130" t="str">
        <f ca="1">_xll.DBRA(Server&amp;"Phase",$K$11,$AW$18)</f>
        <v>Budget</v>
      </c>
      <c r="AV68" s="2" t="str">
        <f ca="1">$K$11</f>
        <v>BUDG_TOT</v>
      </c>
      <c r="AW68" s="137" t="str">
        <f ca="1">_xll.DBRW(Server&amp;Cube1,$G$30,$G$23,$G$24,$G$29,$D$20,$G$26,AW$65,$D$19,$K$12,$AV68,$AV$65)</f>
        <v/>
      </c>
      <c r="AX68" s="137" t="str">
        <f ca="1">_xll.DBRW(Server&amp;Cube1,$G$30,$G$23,$G$24,$G$29,$D$20,$G$26,AX$65,$D$19,$K$12,$AV68,$AV$65)</f>
        <v/>
      </c>
      <c r="AY68" s="137" t="str">
        <f ca="1">_xll.DBRW(Server&amp;Cube1,$G$30,$G$23,$G$24,$G$29,$D$20,$G$26,AY$65,$D$19,$K$12,$AV68,$AV$65)</f>
        <v/>
      </c>
      <c r="AZ68" s="137" t="str">
        <f ca="1">_xll.DBRW(Server&amp;Cube1,$G$30,$G$23,$G$24,$G$29,$D$20,$G$26,AZ$65,$D$19,$K$12,$AV68,$AV$65)</f>
        <v/>
      </c>
      <c r="BA68" s="137" t="str">
        <f ca="1">_xll.DBRW(Server&amp;Cube1,$G$30,$G$23,$G$24,$G$29,$D$20,$G$26,BA$65,$D$19,$K$12,$AV68,$AV$65)</f>
        <v/>
      </c>
      <c r="BB68" s="137" t="str">
        <f ca="1">_xll.DBRW(Server&amp;Cube1,$G$30,$G$23,$G$24,$G$29,$D$20,$G$26,BB$65,$D$19,$K$12,$AV68,$AV$65)</f>
        <v/>
      </c>
      <c r="BC68" s="137" t="str">
        <f ca="1">_xll.DBRW(Server&amp;Cube1,$G$30,$G$23,$G$24,$G$29,$D$20,$G$26,BC$65,$D$19,$K$12,$AV68,$AV$65)</f>
        <v/>
      </c>
      <c r="BD68" s="137" t="str">
        <f ca="1">_xll.DBRW(Server&amp;Cube1,$G$30,$G$23,$G$24,$G$29,$D$20,$G$26,BD$65,$D$19,$K$12,$AV68,$AV$65)</f>
        <v/>
      </c>
      <c r="BE68" s="137" t="str">
        <f ca="1">_xll.DBRW(Server&amp;Cube1,$G$30,$G$23,$G$24,$G$29,$D$20,$G$26,BE$65,$D$19,$K$12,$AV68,$AV$65)</f>
        <v/>
      </c>
    </row>
    <row r="69" spans="1:59" s="24" customFormat="1" ht="20.25" customHeight="1" x14ac:dyDescent="0.25">
      <c r="B69" s="40"/>
      <c r="C69" s="40"/>
      <c r="D69" s="46"/>
      <c r="E69" s="78"/>
      <c r="F69" s="123"/>
      <c r="G69" s="123"/>
      <c r="H69" s="124"/>
      <c r="I69" s="124"/>
      <c r="J69" s="124"/>
      <c r="K69" s="124"/>
      <c r="L69" s="124"/>
      <c r="M69" s="124"/>
      <c r="N69" s="124"/>
      <c r="O69" s="124"/>
      <c r="P69" s="124"/>
      <c r="Q69" s="124"/>
      <c r="R69" s="124"/>
      <c r="S69" s="124"/>
      <c r="T69" s="124"/>
      <c r="U69" s="124"/>
      <c r="V69" s="124"/>
      <c r="W69" s="124"/>
      <c r="X69" s="124"/>
      <c r="Y69" s="124"/>
      <c r="Z69" s="124"/>
      <c r="AA69" s="124"/>
      <c r="AB69" s="124"/>
      <c r="AC69" s="124"/>
      <c r="AD69" s="124"/>
      <c r="AE69" s="124"/>
      <c r="AF69" s="124"/>
      <c r="AG69" s="124"/>
      <c r="AH69" s="23"/>
      <c r="AI69" s="4"/>
      <c r="AJ69" s="4"/>
      <c r="AK69" s="4"/>
      <c r="AL69" s="4"/>
      <c r="AM69" s="29"/>
      <c r="AN69" s="29"/>
      <c r="AO69" s="14"/>
      <c r="AP69" s="14"/>
      <c r="AQ69" s="14"/>
      <c r="AR69" s="14"/>
      <c r="AS69" s="14"/>
      <c r="AT69" s="29"/>
      <c r="AU69" s="128" t="str">
        <f ca="1">IF($AX$61="No",_xll.DBRA(Server&amp;$H$14,$AV69,$G$25),_xll.DBRA(Server&amp;$H$14,$AV69,$G$25)&amp; " ("&amp;_xll.DBRA(Server&amp;$AT$21,$AT$44,$AW$18)&amp;")")</f>
        <v>CHARGES OPERATIONNELLES</v>
      </c>
      <c r="AV69" s="129" t="s">
        <v>67</v>
      </c>
      <c r="AW69" s="138"/>
      <c r="AX69" s="138"/>
      <c r="AY69" s="138"/>
      <c r="AZ69" s="138"/>
      <c r="BA69" s="138"/>
      <c r="BB69" s="138"/>
      <c r="BC69" s="139"/>
      <c r="BD69" s="139"/>
      <c r="BE69" s="139"/>
    </row>
    <row r="70" spans="1:59" s="24" customFormat="1" ht="23.25" customHeight="1" x14ac:dyDescent="0.25">
      <c r="B70" s="40"/>
      <c r="C70" s="40"/>
      <c r="D70" s="46"/>
      <c r="E70" s="78"/>
      <c r="F70" s="123"/>
      <c r="G70" s="123"/>
      <c r="H70" s="124"/>
      <c r="I70" s="124"/>
      <c r="J70" s="124"/>
      <c r="K70" s="124"/>
      <c r="L70" s="124"/>
      <c r="M70" s="124"/>
      <c r="N70" s="124"/>
      <c r="O70" s="124"/>
      <c r="P70" s="124"/>
      <c r="Q70" s="124"/>
      <c r="R70" s="124"/>
      <c r="S70" s="124"/>
      <c r="T70" s="124"/>
      <c r="U70" s="124"/>
      <c r="V70" s="124"/>
      <c r="W70" s="124"/>
      <c r="X70" s="124"/>
      <c r="Y70" s="124"/>
      <c r="Z70" s="124"/>
      <c r="AA70" s="124"/>
      <c r="AB70" s="124"/>
      <c r="AC70" s="124"/>
      <c r="AD70" s="124"/>
      <c r="AE70" s="124"/>
      <c r="AF70" s="124"/>
      <c r="AG70" s="124"/>
      <c r="AH70" s="23"/>
      <c r="AI70" s="4"/>
      <c r="AJ70" s="4"/>
      <c r="AK70" s="4"/>
      <c r="AL70" s="4"/>
      <c r="AM70" s="29"/>
      <c r="AN70" s="29"/>
      <c r="AO70" s="14"/>
      <c r="AP70" s="14"/>
      <c r="AQ70" s="14"/>
      <c r="AR70" s="14"/>
      <c r="AS70" s="14"/>
      <c r="AT70" s="131"/>
      <c r="AU70" s="130" t="str">
        <f ca="1">IF($G$13=$AU$22,_xll.DBRA(Server&amp;$AT$21,$AU$38,$AW$18),_xll.DBRA(Server&amp;$AT$21,$AT$38,$AW$18))</f>
        <v>Réalisé N-2</v>
      </c>
      <c r="AV70" s="2" t="str">
        <f ca="1">$I$11</f>
        <v>ACT_TOT</v>
      </c>
      <c r="AW70" s="137" t="str">
        <f ca="1">_xll.DBRW(Server&amp;Cube1,$G$30,$G$23,$G$24,$G$29,$D$20,$G$26,AW$65,$D$19,$I$12,$AV70,$AV$69)</f>
        <v/>
      </c>
      <c r="AX70" s="137" t="str">
        <f ca="1">_xll.DBRW(Server&amp;Cube1,$G$30,$G$23,$G$24,$G$29,$D$20,$G$26,AX$65,$D$19,$I$12,$AV70,$AV$69)</f>
        <v/>
      </c>
      <c r="AY70" s="137" t="str">
        <f ca="1">_xll.DBRW(Server&amp;Cube1,$G$30,$G$23,$G$24,$G$29,$D$20,$G$26,AY$65,$D$19,$I$12,$AV70,$AV$69)</f>
        <v/>
      </c>
      <c r="AZ70" s="137" t="str">
        <f ca="1">_xll.DBRW(Server&amp;Cube1,$G$30,$G$23,$G$24,$G$29,$D$20,$G$26,AZ$65,$D$19,$I$12,$AV70,$AV$69)</f>
        <v/>
      </c>
      <c r="BA70" s="137" t="str">
        <f ca="1">_xll.DBRW(Server&amp;Cube1,$G$30,$G$23,$G$24,$G$29,$D$20,$G$26,BA$65,$D$19,$I$12,$AV70,$AV$69)</f>
        <v/>
      </c>
      <c r="BB70" s="137" t="str">
        <f ca="1">_xll.DBRW(Server&amp;Cube1,$G$30,$G$23,$G$24,$G$29,$D$20,$G$26,BB$65,$D$19,$I$12,$AV70,$AV$69)</f>
        <v/>
      </c>
      <c r="BC70" s="137" t="str">
        <f ca="1">_xll.DBRW(Server&amp;Cube1,$G$30,$G$23,$G$24,$G$29,$D$20,$G$26,BC$65,$D$19,$I$12,$AV70,$AV$69)</f>
        <v/>
      </c>
      <c r="BD70" s="137" t="str">
        <f ca="1">_xll.DBRW(Server&amp;Cube1,$G$30,$G$23,$G$24,$G$29,$D$20,$G$26,BD$65,$D$19,$I$12,$AV70,$AV$69)</f>
        <v/>
      </c>
      <c r="BE70" s="137" t="str">
        <f ca="1">_xll.DBRW(Server&amp;Cube1,$G$30,$G$23,$G$24,$G$29,$D$20,$G$26,BE$65,$D$19,$I$12,$AV70,$AV$69)</f>
        <v/>
      </c>
    </row>
    <row r="71" spans="1:59" s="24" customFormat="1" ht="23.25" customHeight="1" x14ac:dyDescent="0.25">
      <c r="B71" s="40"/>
      <c r="C71" s="40"/>
      <c r="D71" s="46"/>
      <c r="E71" s="78"/>
      <c r="F71" s="123"/>
      <c r="G71" s="123"/>
      <c r="H71" s="124"/>
      <c r="I71" s="124"/>
      <c r="J71" s="124"/>
      <c r="K71" s="124"/>
      <c r="L71" s="124"/>
      <c r="M71" s="124"/>
      <c r="N71" s="124"/>
      <c r="O71" s="124"/>
      <c r="P71" s="124"/>
      <c r="Q71" s="124"/>
      <c r="R71" s="124"/>
      <c r="S71" s="124"/>
      <c r="T71" s="124"/>
      <c r="U71" s="124"/>
      <c r="V71" s="124"/>
      <c r="W71" s="124"/>
      <c r="X71" s="124"/>
      <c r="Y71" s="124"/>
      <c r="Z71" s="124"/>
      <c r="AA71" s="124"/>
      <c r="AB71" s="124"/>
      <c r="AC71" s="124"/>
      <c r="AD71" s="124"/>
      <c r="AE71" s="124"/>
      <c r="AF71" s="124"/>
      <c r="AG71" s="124"/>
      <c r="AH71" s="23"/>
      <c r="AI71" s="4"/>
      <c r="AJ71" s="4"/>
      <c r="AK71" s="4"/>
      <c r="AL71" s="4"/>
      <c r="AM71" s="29"/>
      <c r="AN71" s="29"/>
      <c r="AO71" s="14"/>
      <c r="AP71" s="14"/>
      <c r="AQ71" s="14"/>
      <c r="AR71" s="14"/>
      <c r="AS71" s="14"/>
      <c r="AT71" s="131"/>
      <c r="AU71" s="130" t="str">
        <f ca="1">IF($G$33=$AU$22,_xll.DBRA(Server&amp;$AT$21,$AT$45,$AW$18),_xll.DBRA(Server&amp;"Phase",$J$11,$AW$18))</f>
        <v>Estimé 2 N-1</v>
      </c>
      <c r="AV71" s="2" t="str">
        <f ca="1">$J$11</f>
        <v>FC_2_TOT</v>
      </c>
      <c r="AW71" s="137" t="str">
        <f ca="1">_xll.DBRW(Server&amp;Cube1,$G$30,$G$23,$G$24,$G$29,$D$20,$G$26,AW$65,$D$19,$J$12,$AV71,$AV$69)</f>
        <v/>
      </c>
      <c r="AX71" s="137" t="str">
        <f ca="1">_xll.DBRW(Server&amp;Cube1,$G$30,$G$23,$G$24,$G$29,$D$20,$G$26,AX$65,$D$19,$J$12,$AV71,$AV$69)</f>
        <v/>
      </c>
      <c r="AY71" s="137" t="str">
        <f ca="1">_xll.DBRW(Server&amp;Cube1,$G$30,$G$23,$G$24,$G$29,$D$20,$G$26,AY$65,$D$19,$J$12,$AV71,$AV$69)</f>
        <v/>
      </c>
      <c r="AZ71" s="137" t="str">
        <f ca="1">_xll.DBRW(Server&amp;Cube1,$G$30,$G$23,$G$24,$G$29,$D$20,$G$26,AZ$65,$D$19,$J$12,$AV71,$AV$69)</f>
        <v/>
      </c>
      <c r="BA71" s="137" t="str">
        <f ca="1">_xll.DBRW(Server&amp;Cube1,$G$30,$G$23,$G$24,$G$29,$D$20,$G$26,BA$65,$D$19,$J$12,$AV71,$AV$69)</f>
        <v/>
      </c>
      <c r="BB71" s="137" t="str">
        <f ca="1">_xll.DBRW(Server&amp;Cube1,$G$30,$G$23,$G$24,$G$29,$D$20,$G$26,BB$65,$D$19,$J$12,$AV71,$AV$69)</f>
        <v/>
      </c>
      <c r="BC71" s="137" t="str">
        <f ca="1">_xll.DBRW(Server&amp;Cube1,$G$30,$G$23,$G$24,$G$29,$D$20,$G$26,BC$65,$D$19,$J$12,$AV71,$AV$69)</f>
        <v/>
      </c>
      <c r="BD71" s="137" t="str">
        <f ca="1">_xll.DBRW(Server&amp;Cube1,$G$30,$G$23,$G$24,$G$29,$D$20,$G$26,BD$65,$D$19,$J$12,$AV71,$AV$69)</f>
        <v/>
      </c>
      <c r="BE71" s="137" t="str">
        <f ca="1">_xll.DBRW(Server&amp;Cube1,$G$30,$G$23,$G$24,$G$29,$D$20,$G$26,BE$65,$D$19,$J$12,$AV71,$AV$69)</f>
        <v/>
      </c>
    </row>
    <row r="72" spans="1:59" s="24" customFormat="1" ht="23.25" customHeight="1" x14ac:dyDescent="0.25">
      <c r="B72" s="40"/>
      <c r="C72" s="40"/>
      <c r="D72" s="46"/>
      <c r="E72" s="78"/>
      <c r="F72" s="123"/>
      <c r="G72" s="123"/>
      <c r="H72" s="124"/>
      <c r="I72" s="124"/>
      <c r="J72" s="124"/>
      <c r="K72" s="124"/>
      <c r="L72" s="124"/>
      <c r="M72" s="124"/>
      <c r="N72" s="124"/>
      <c r="O72" s="124"/>
      <c r="P72" s="124"/>
      <c r="Q72" s="124"/>
      <c r="R72" s="124"/>
      <c r="S72" s="124"/>
      <c r="T72" s="124"/>
      <c r="U72" s="124"/>
      <c r="V72" s="124"/>
      <c r="W72" s="124"/>
      <c r="X72" s="124"/>
      <c r="Y72" s="124"/>
      <c r="Z72" s="124"/>
      <c r="AA72" s="124"/>
      <c r="AB72" s="124"/>
      <c r="AC72" s="124"/>
      <c r="AD72" s="124"/>
      <c r="AE72" s="124"/>
      <c r="AF72" s="124"/>
      <c r="AG72" s="124"/>
      <c r="AH72" s="23"/>
      <c r="AI72" s="4"/>
      <c r="AJ72" s="4"/>
      <c r="AK72" s="4"/>
      <c r="AL72" s="4"/>
      <c r="AM72" s="29"/>
      <c r="AN72" s="29"/>
      <c r="AO72" s="14"/>
      <c r="AP72" s="14"/>
      <c r="AQ72" s="14"/>
      <c r="AR72" s="14"/>
      <c r="AS72" s="14"/>
      <c r="AT72" s="29"/>
      <c r="AU72" s="130" t="str">
        <f ca="1">_xll.DBRA(Server&amp;"Phase",$K$11,$AW$18)</f>
        <v>Budget</v>
      </c>
      <c r="AV72" s="2" t="str">
        <f ca="1">$K$11</f>
        <v>BUDG_TOT</v>
      </c>
      <c r="AW72" s="137" t="str">
        <f ca="1">_xll.DBRW(Server&amp;Cube1,$G$30,$G$23,$G$24,$G$29,$D$20,$G$26,AW$65,$D$19,$K$12,$AV72,$AV$69)</f>
        <v/>
      </c>
      <c r="AX72" s="137" t="str">
        <f ca="1">_xll.DBRW(Server&amp;Cube1,$G$30,$G$23,$G$24,$G$29,$D$20,$G$26,AX$65,$D$19,$K$12,$AV72,$AV$69)</f>
        <v/>
      </c>
      <c r="AY72" s="137" t="str">
        <f ca="1">_xll.DBRW(Server&amp;Cube1,$G$30,$G$23,$G$24,$G$29,$D$20,$G$26,AY$65,$D$19,$K$12,$AV72,$AV$69)</f>
        <v/>
      </c>
      <c r="AZ72" s="137" t="str">
        <f ca="1">_xll.DBRW(Server&amp;Cube1,$G$30,$G$23,$G$24,$G$29,$D$20,$G$26,AZ$65,$D$19,$K$12,$AV72,$AV$69)</f>
        <v/>
      </c>
      <c r="BA72" s="137" t="str">
        <f ca="1">_xll.DBRW(Server&amp;Cube1,$G$30,$G$23,$G$24,$G$29,$D$20,$G$26,BA$65,$D$19,$K$12,$AV72,$AV$69)</f>
        <v/>
      </c>
      <c r="BB72" s="137" t="str">
        <f ca="1">_xll.DBRW(Server&amp;Cube1,$G$30,$G$23,$G$24,$G$29,$D$20,$G$26,BB$65,$D$19,$K$12,$AV72,$AV$69)</f>
        <v/>
      </c>
      <c r="BC72" s="137" t="str">
        <f ca="1">_xll.DBRW(Server&amp;Cube1,$G$30,$G$23,$G$24,$G$29,$D$20,$G$26,BC$65,$D$19,$K$12,$AV72,$AV$69)</f>
        <v/>
      </c>
      <c r="BD72" s="137" t="str">
        <f ca="1">_xll.DBRW(Server&amp;Cube1,$G$30,$G$23,$G$24,$G$29,$D$20,$G$26,BD$65,$D$19,$K$12,$AV72,$AV$69)</f>
        <v/>
      </c>
      <c r="BE72" s="137" t="str">
        <f ca="1">_xll.DBRW(Server&amp;Cube1,$G$30,$G$23,$G$24,$G$29,$D$20,$G$26,BE$65,$D$19,$K$12,$AV72,$AV$69)</f>
        <v/>
      </c>
    </row>
    <row r="73" spans="1:59" s="24" customFormat="1" ht="23.25" customHeight="1" x14ac:dyDescent="0.25">
      <c r="B73" s="40"/>
      <c r="C73" s="40"/>
      <c r="D73" s="46"/>
      <c r="E73" s="78"/>
      <c r="F73" s="123"/>
      <c r="G73" s="123"/>
      <c r="H73" s="124"/>
      <c r="I73" s="124"/>
      <c r="J73" s="124"/>
      <c r="K73" s="124"/>
      <c r="L73" s="124"/>
      <c r="M73" s="124"/>
      <c r="N73" s="124"/>
      <c r="O73" s="124"/>
      <c r="P73" s="124"/>
      <c r="Q73" s="124"/>
      <c r="R73" s="124"/>
      <c r="S73" s="124"/>
      <c r="T73" s="124"/>
      <c r="U73" s="124"/>
      <c r="V73" s="124"/>
      <c r="W73" s="124"/>
      <c r="X73" s="124"/>
      <c r="Y73" s="124"/>
      <c r="Z73" s="124"/>
      <c r="AA73" s="124"/>
      <c r="AB73" s="124"/>
      <c r="AC73" s="124"/>
      <c r="AD73" s="124"/>
      <c r="AE73" s="124"/>
      <c r="AF73" s="124"/>
      <c r="AG73" s="124"/>
      <c r="AH73" s="23"/>
      <c r="AI73" s="4"/>
      <c r="AJ73" s="4"/>
      <c r="AK73" s="4"/>
      <c r="AL73" s="4"/>
      <c r="AM73" s="29"/>
      <c r="AN73" s="29"/>
      <c r="AO73" s="14"/>
      <c r="AP73" s="14"/>
      <c r="AQ73" s="14"/>
      <c r="AR73" s="14"/>
      <c r="AS73" s="14"/>
      <c r="AT73" s="29"/>
      <c r="AU73" s="128" t="str">
        <f ca="1">IF($AX$61="No",_xll.DBRA(Server&amp;$H$14,$AV73,$G$25),_xll.DBRA(Server&amp;$H$14,$AV73,$G$25)&amp; " ("&amp;_xll.DBRA(Server&amp;$AT$21,$AT$44,$AW$18)&amp;")")</f>
        <v>PRODUITS OPERATIONNELS</v>
      </c>
      <c r="AV73" s="129" t="s">
        <v>83</v>
      </c>
      <c r="AW73" s="140"/>
      <c r="AX73" s="140"/>
      <c r="AY73" s="140"/>
      <c r="AZ73" s="140"/>
      <c r="BA73" s="140"/>
      <c r="BB73" s="140"/>
      <c r="BC73" s="139"/>
      <c r="BD73" s="139"/>
      <c r="BE73" s="139"/>
    </row>
    <row r="74" spans="1:59" s="24" customFormat="1" ht="15.75" x14ac:dyDescent="0.25">
      <c r="B74" s="40"/>
      <c r="C74" s="40"/>
      <c r="D74" s="46"/>
      <c r="E74" s="78"/>
      <c r="F74" s="123"/>
      <c r="G74" s="123"/>
      <c r="H74" s="124"/>
      <c r="I74" s="124"/>
      <c r="J74" s="124"/>
      <c r="K74" s="124"/>
      <c r="L74" s="124"/>
      <c r="M74" s="124"/>
      <c r="N74" s="124"/>
      <c r="O74" s="124"/>
      <c r="P74" s="124"/>
      <c r="Q74" s="124"/>
      <c r="R74" s="124"/>
      <c r="S74" s="124"/>
      <c r="T74" s="124"/>
      <c r="U74" s="124"/>
      <c r="V74" s="124"/>
      <c r="W74" s="124"/>
      <c r="X74" s="124"/>
      <c r="Y74" s="124"/>
      <c r="Z74" s="124"/>
      <c r="AA74" s="124"/>
      <c r="AB74" s="124"/>
      <c r="AC74" s="124"/>
      <c r="AD74" s="124"/>
      <c r="AE74" s="124"/>
      <c r="AF74" s="124"/>
      <c r="AG74" s="124"/>
      <c r="AH74" s="23"/>
      <c r="AM74" s="14"/>
      <c r="AN74" s="14"/>
      <c r="AO74" s="14"/>
      <c r="AP74" s="14"/>
      <c r="AQ74" s="14"/>
      <c r="AR74" s="14"/>
      <c r="AS74" s="14"/>
      <c r="AT74" s="29"/>
      <c r="AU74" s="130" t="str">
        <f ca="1">IF($G$13=$AU$22,_xll.DBRA(Server&amp;$AT$21,$AU$38,$AW$18),_xll.DBRA(Server&amp;$AT$21,$AT$38,$AW$18))</f>
        <v>Réalisé N-2</v>
      </c>
      <c r="AV74" s="2" t="str">
        <f ca="1">$I$11</f>
        <v>ACT_TOT</v>
      </c>
      <c r="AW74" s="137" t="str">
        <f ca="1">_xll.DBRW(Server&amp;Cube1,$G$30,$G$23,$G$24,$G$29,$D$20,$G$26,AW$65,$D$19,$I$12,$AV74,$AV$73)</f>
        <v/>
      </c>
      <c r="AX74" s="137" t="str">
        <f ca="1">_xll.DBRW(Server&amp;Cube1,$G$30,$G$23,$G$24,$G$29,$D$20,$G$26,AX$65,$D$19,$I$12,$AV74,$AV$73)</f>
        <v/>
      </c>
      <c r="AY74" s="137" t="str">
        <f ca="1">_xll.DBRW(Server&amp;Cube1,$G$30,$G$23,$G$24,$G$29,$D$20,$G$26,AY$65,$D$19,$I$12,$AV74,$AV$73)</f>
        <v/>
      </c>
      <c r="AZ74" s="137" t="str">
        <f ca="1">_xll.DBRW(Server&amp;Cube1,$G$30,$G$23,$G$24,$G$29,$D$20,$G$26,AZ$65,$D$19,$I$12,$AV74,$AV$73)</f>
        <v/>
      </c>
      <c r="BA74" s="137" t="str">
        <f ca="1">_xll.DBRW(Server&amp;Cube1,$G$30,$G$23,$G$24,$G$29,$D$20,$G$26,BA$65,$D$19,$I$12,$AV74,$AV$73)</f>
        <v/>
      </c>
      <c r="BB74" s="137" t="str">
        <f ca="1">_xll.DBRW(Server&amp;Cube1,$G$30,$G$23,$G$24,$G$29,$D$20,$G$26,BB$65,$D$19,$I$12,$AV74,$AV$73)</f>
        <v/>
      </c>
      <c r="BC74" s="137" t="str">
        <f ca="1">_xll.DBRW(Server&amp;Cube1,$G$30,$G$23,$G$24,$G$29,$D$20,$G$26,BC$65,$D$19,$I$12,$AV74,$AV$73)</f>
        <v/>
      </c>
      <c r="BD74" s="137" t="str">
        <f ca="1">_xll.DBRW(Server&amp;Cube1,$G$30,$G$23,$G$24,$G$29,$D$20,$G$26,BD$65,$D$19,$I$12,$AV74,$AV$73)</f>
        <v/>
      </c>
      <c r="BE74" s="137" t="str">
        <f ca="1">_xll.DBRW(Server&amp;Cube1,$G$30,$G$23,$G$24,$G$29,$D$20,$G$26,BE$65,$D$19,$I$12,$AV74,$AV$73)</f>
        <v/>
      </c>
    </row>
    <row r="75" spans="1:59" s="24" customFormat="1" ht="15.75" x14ac:dyDescent="0.2">
      <c r="B75" s="40"/>
      <c r="C75" s="40"/>
      <c r="D75" s="41"/>
      <c r="E75" s="78"/>
      <c r="F75" s="123"/>
      <c r="G75" s="123"/>
      <c r="H75" s="124"/>
      <c r="I75" s="124"/>
      <c r="J75" s="124"/>
      <c r="K75" s="124"/>
      <c r="L75" s="124"/>
      <c r="M75" s="124"/>
      <c r="N75" s="124"/>
      <c r="O75" s="124"/>
      <c r="P75" s="124"/>
      <c r="Q75" s="124"/>
      <c r="R75" s="124"/>
      <c r="S75" s="124"/>
      <c r="T75" s="124"/>
      <c r="U75" s="124"/>
      <c r="V75" s="124"/>
      <c r="W75" s="124"/>
      <c r="X75" s="124"/>
      <c r="Y75" s="124"/>
      <c r="Z75" s="124"/>
      <c r="AA75" s="124"/>
      <c r="AB75" s="124"/>
      <c r="AC75" s="124"/>
      <c r="AD75" s="124"/>
      <c r="AE75" s="124"/>
      <c r="AF75" s="124"/>
      <c r="AG75" s="124"/>
      <c r="AH75" s="23"/>
      <c r="AM75" s="14"/>
      <c r="AN75" s="14"/>
      <c r="AO75" s="14"/>
      <c r="AP75" s="14"/>
      <c r="AQ75" s="14"/>
      <c r="AR75" s="14"/>
      <c r="AS75" s="14"/>
      <c r="AT75" s="29"/>
      <c r="AU75" s="130" t="str">
        <f ca="1">IF($G$33=$AU$22,_xll.DBRA(Server&amp;$AT$21,$AT$45,$AW$18),_xll.DBRA(Server&amp;"Phase",$J$11,$AW$18))</f>
        <v>Estimé 2 N-1</v>
      </c>
      <c r="AV75" s="2" t="str">
        <f ca="1">$J$11</f>
        <v>FC_2_TOT</v>
      </c>
      <c r="AW75" s="137" t="str">
        <f ca="1">_xll.DBRW(Server&amp;Cube1,$G$30,$G$23,$G$24,$G$29,$D$20,$G$26,AW$65,$D$19,$J$12,$AV75,$AV$73)</f>
        <v/>
      </c>
      <c r="AX75" s="137" t="str">
        <f ca="1">_xll.DBRW(Server&amp;Cube1,$G$30,$G$23,$G$24,$G$29,$D$20,$G$26,AX$65,$D$19,$J$12,$AV75,$AV$73)</f>
        <v/>
      </c>
      <c r="AY75" s="137" t="str">
        <f ca="1">_xll.DBRW(Server&amp;Cube1,$G$30,$G$23,$G$24,$G$29,$D$20,$G$26,AY$65,$D$19,$J$12,$AV75,$AV$73)</f>
        <v/>
      </c>
      <c r="AZ75" s="137" t="str">
        <f ca="1">_xll.DBRW(Server&amp;Cube1,$G$30,$G$23,$G$24,$G$29,$D$20,$G$26,AZ$65,$D$19,$J$12,$AV75,$AV$73)</f>
        <v/>
      </c>
      <c r="BA75" s="137" t="str">
        <f ca="1">_xll.DBRW(Server&amp;Cube1,$G$30,$G$23,$G$24,$G$29,$D$20,$G$26,BA$65,$D$19,$J$12,$AV75,$AV$73)</f>
        <v/>
      </c>
      <c r="BB75" s="137" t="str">
        <f ca="1">_xll.DBRW(Server&amp;Cube1,$G$30,$G$23,$G$24,$G$29,$D$20,$G$26,BB$65,$D$19,$J$12,$AV75,$AV$73)</f>
        <v/>
      </c>
      <c r="BC75" s="137" t="str">
        <f ca="1">_xll.DBRW(Server&amp;Cube1,$G$30,$G$23,$G$24,$G$29,$D$20,$G$26,BC$65,$D$19,$J$12,$AV75,$AV$73)</f>
        <v/>
      </c>
      <c r="BD75" s="137" t="str">
        <f ca="1">_xll.DBRW(Server&amp;Cube1,$G$30,$G$23,$G$24,$G$29,$D$20,$G$26,BD$65,$D$19,$J$12,$AV75,$AV$73)</f>
        <v/>
      </c>
      <c r="BE75" s="137" t="str">
        <f ca="1">_xll.DBRW(Server&amp;Cube1,$G$30,$G$23,$G$24,$G$29,$D$20,$G$26,BE$65,$D$19,$J$12,$AV75,$AV$73)</f>
        <v/>
      </c>
    </row>
    <row r="76" spans="1:59" s="24" customFormat="1" ht="15.75" x14ac:dyDescent="0.2">
      <c r="B76" s="40"/>
      <c r="C76" s="40"/>
      <c r="D76" s="41"/>
      <c r="E76" s="78"/>
      <c r="F76" s="123"/>
      <c r="G76" s="123"/>
      <c r="H76" s="124"/>
      <c r="I76" s="124"/>
      <c r="J76" s="124"/>
      <c r="K76" s="124"/>
      <c r="L76" s="124"/>
      <c r="M76" s="124"/>
      <c r="N76" s="124"/>
      <c r="O76" s="124"/>
      <c r="P76" s="124"/>
      <c r="Q76" s="124"/>
      <c r="R76" s="124"/>
      <c r="S76" s="124"/>
      <c r="T76" s="124"/>
      <c r="U76" s="124"/>
      <c r="V76" s="124"/>
      <c r="W76" s="124"/>
      <c r="X76" s="124"/>
      <c r="Y76" s="124"/>
      <c r="Z76" s="124"/>
      <c r="AA76" s="124"/>
      <c r="AB76" s="124"/>
      <c r="AC76" s="124"/>
      <c r="AD76" s="124"/>
      <c r="AE76" s="124"/>
      <c r="AF76" s="124"/>
      <c r="AG76" s="124"/>
      <c r="AH76" s="23"/>
      <c r="AM76" s="14"/>
      <c r="AN76" s="14"/>
      <c r="AO76" s="14"/>
      <c r="AP76" s="14"/>
      <c r="AQ76" s="14"/>
      <c r="AR76" s="14"/>
      <c r="AS76" s="14"/>
      <c r="AT76" s="29"/>
      <c r="AU76" s="130" t="str">
        <f ca="1">_xll.DBRA(Server&amp;"Phase",$K$11,$AW$18)</f>
        <v>Budget</v>
      </c>
      <c r="AV76" s="2" t="str">
        <f ca="1">$K$11</f>
        <v>BUDG_TOT</v>
      </c>
      <c r="AW76" s="137" t="str">
        <f ca="1">_xll.DBRW(Server&amp;Cube1,$G$30,$G$23,$G$24,$G$29,$D$20,$G$26,AW$65,$D$19,$K$12,$AV76,$AV$73)</f>
        <v/>
      </c>
      <c r="AX76" s="137" t="str">
        <f ca="1">_xll.DBRW(Server&amp;Cube1,$G$30,$G$23,$G$24,$G$29,$D$20,$G$26,AX$65,$D$19,$K$12,$AV76,$AV$73)</f>
        <v/>
      </c>
      <c r="AY76" s="137" t="str">
        <f ca="1">_xll.DBRW(Server&amp;Cube1,$G$30,$G$23,$G$24,$G$29,$D$20,$G$26,AY$65,$D$19,$K$12,$AV76,$AV$73)</f>
        <v/>
      </c>
      <c r="AZ76" s="137" t="str">
        <f ca="1">_xll.DBRW(Server&amp;Cube1,$G$30,$G$23,$G$24,$G$29,$D$20,$G$26,AZ$65,$D$19,$K$12,$AV76,$AV$73)</f>
        <v/>
      </c>
      <c r="BA76" s="137" t="str">
        <f ca="1">_xll.DBRW(Server&amp;Cube1,$G$30,$G$23,$G$24,$G$29,$D$20,$G$26,BA$65,$D$19,$K$12,$AV76,$AV$73)</f>
        <v/>
      </c>
      <c r="BB76" s="137" t="str">
        <f ca="1">_xll.DBRW(Server&amp;Cube1,$G$30,$G$23,$G$24,$G$29,$D$20,$G$26,BB$65,$D$19,$K$12,$AV76,$AV$73)</f>
        <v/>
      </c>
      <c r="BC76" s="137" t="str">
        <f ca="1">_xll.DBRW(Server&amp;Cube1,$G$30,$G$23,$G$24,$G$29,$D$20,$G$26,BC$65,$D$19,$K$12,$AV76,$AV$73)</f>
        <v/>
      </c>
      <c r="BD76" s="137" t="str">
        <f ca="1">_xll.DBRW(Server&amp;Cube1,$G$30,$G$23,$G$24,$G$29,$D$20,$G$26,BD$65,$D$19,$K$12,$AV76,$AV$73)</f>
        <v/>
      </c>
      <c r="BE76" s="137" t="str">
        <f ca="1">_xll.DBRW(Server&amp;Cube1,$G$30,$G$23,$G$24,$G$29,$D$20,$G$26,BE$65,$D$19,$K$12,$AV76,$AV$73)</f>
        <v/>
      </c>
    </row>
    <row r="77" spans="1:59" s="14" customFormat="1" ht="12.75" x14ac:dyDescent="0.2">
      <c r="A77" s="29"/>
      <c r="B77" s="40"/>
      <c r="C77" s="40"/>
      <c r="D77" s="41"/>
      <c r="E77" s="78"/>
      <c r="F77" s="123"/>
      <c r="G77" s="123"/>
      <c r="H77" s="124"/>
      <c r="I77" s="124"/>
      <c r="J77" s="124"/>
      <c r="K77" s="124"/>
      <c r="L77" s="124"/>
      <c r="M77" s="124"/>
      <c r="N77" s="124"/>
      <c r="O77" s="124"/>
      <c r="P77" s="124"/>
      <c r="Q77" s="124"/>
      <c r="R77" s="124"/>
      <c r="S77" s="124"/>
      <c r="T77" s="124"/>
      <c r="U77" s="124"/>
      <c r="V77" s="124"/>
      <c r="W77" s="124"/>
      <c r="X77" s="124"/>
      <c r="Y77" s="124"/>
      <c r="Z77" s="124"/>
      <c r="AA77" s="124"/>
      <c r="AB77" s="124"/>
      <c r="AC77" s="124"/>
      <c r="AD77" s="124"/>
      <c r="AE77" s="124"/>
      <c r="AF77" s="124"/>
      <c r="AG77" s="124"/>
      <c r="AH77" s="15"/>
      <c r="AJ77" s="29"/>
      <c r="AK77" s="29"/>
      <c r="AL77" s="29"/>
      <c r="AX77" s="29"/>
      <c r="AY77" s="29"/>
      <c r="AZ77" s="29"/>
      <c r="BA77" s="4"/>
      <c r="BB77" s="4"/>
      <c r="BC77" s="4"/>
      <c r="BD77" s="4"/>
      <c r="BE77" s="4"/>
    </row>
    <row r="78" spans="1:59" s="14" customFormat="1" ht="18" customHeight="1" x14ac:dyDescent="0.2">
      <c r="A78" s="29"/>
      <c r="B78" s="40"/>
      <c r="C78" s="40"/>
      <c r="D78" s="41"/>
      <c r="E78" s="78"/>
      <c r="F78" s="123"/>
      <c r="G78" s="123"/>
      <c r="H78" s="124"/>
      <c r="I78" s="124"/>
      <c r="J78" s="124"/>
      <c r="K78" s="124"/>
      <c r="L78" s="124"/>
      <c r="M78" s="124"/>
      <c r="N78" s="124"/>
      <c r="O78" s="124"/>
      <c r="P78" s="124"/>
      <c r="Q78" s="124"/>
      <c r="R78" s="124"/>
      <c r="S78" s="124"/>
      <c r="T78" s="124"/>
      <c r="U78" s="124"/>
      <c r="V78" s="124"/>
      <c r="W78" s="124"/>
      <c r="X78" s="124"/>
      <c r="Y78" s="124"/>
      <c r="Z78" s="124"/>
      <c r="AA78" s="124"/>
      <c r="AB78" s="124"/>
      <c r="AC78" s="124"/>
      <c r="AD78" s="124"/>
      <c r="AE78" s="124"/>
      <c r="AF78" s="124"/>
      <c r="AG78" s="124"/>
      <c r="AH78" s="15"/>
      <c r="AJ78" s="29"/>
      <c r="AK78" s="29"/>
      <c r="AL78" s="29"/>
      <c r="AX78" s="29"/>
      <c r="AY78" s="29"/>
      <c r="AZ78" s="29"/>
      <c r="BA78" s="4"/>
      <c r="BB78" s="4"/>
      <c r="BC78" s="4"/>
      <c r="BD78" s="4"/>
      <c r="BE78" s="4"/>
    </row>
    <row r="79" spans="1:59" s="14" customFormat="1" ht="18" customHeight="1" x14ac:dyDescent="0.2">
      <c r="A79" s="29"/>
      <c r="B79" s="40"/>
      <c r="C79" s="40"/>
      <c r="D79" s="41"/>
      <c r="E79" s="78"/>
      <c r="F79" s="123"/>
      <c r="G79" s="123"/>
      <c r="H79" s="124"/>
      <c r="I79" s="124"/>
      <c r="J79" s="124"/>
      <c r="K79" s="124"/>
      <c r="L79" s="124"/>
      <c r="M79" s="124"/>
      <c r="N79" s="124"/>
      <c r="O79" s="124"/>
      <c r="P79" s="124"/>
      <c r="Q79" s="124"/>
      <c r="R79" s="124"/>
      <c r="S79" s="124"/>
      <c r="T79" s="124"/>
      <c r="U79" s="124"/>
      <c r="V79" s="124"/>
      <c r="W79" s="124"/>
      <c r="X79" s="124"/>
      <c r="Y79" s="124"/>
      <c r="Z79" s="124"/>
      <c r="AA79" s="124"/>
      <c r="AB79" s="124"/>
      <c r="AC79" s="124"/>
      <c r="AD79" s="124"/>
      <c r="AE79" s="124"/>
      <c r="AF79" s="124"/>
      <c r="AG79" s="124"/>
      <c r="AH79" s="29"/>
      <c r="AI79" s="30"/>
      <c r="AJ79" s="30"/>
      <c r="AK79" s="30"/>
      <c r="AL79" s="30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29"/>
      <c r="AY79" s="29"/>
      <c r="AZ79" s="29"/>
      <c r="BA79" s="4"/>
      <c r="BB79" s="4"/>
      <c r="BC79" s="4"/>
      <c r="BD79" s="4"/>
      <c r="BE79" s="4"/>
    </row>
    <row r="80" spans="1:59" s="14" customFormat="1" ht="18" customHeight="1" x14ac:dyDescent="0.2">
      <c r="A80" s="29"/>
      <c r="B80" s="40"/>
      <c r="C80" s="40"/>
      <c r="D80" s="41"/>
      <c r="E80" s="78"/>
      <c r="F80" s="123"/>
      <c r="G80" s="123"/>
      <c r="H80" s="124"/>
      <c r="I80" s="124"/>
      <c r="J80" s="124"/>
      <c r="K80" s="124"/>
      <c r="L80" s="124"/>
      <c r="M80" s="124"/>
      <c r="N80" s="124"/>
      <c r="O80" s="124"/>
      <c r="P80" s="124"/>
      <c r="Q80" s="124"/>
      <c r="R80" s="124"/>
      <c r="S80" s="124"/>
      <c r="T80" s="124"/>
      <c r="U80" s="124"/>
      <c r="V80" s="124"/>
      <c r="W80" s="124"/>
      <c r="X80" s="124"/>
      <c r="Y80" s="124"/>
      <c r="Z80" s="124"/>
      <c r="AA80" s="124"/>
      <c r="AB80" s="124"/>
      <c r="AC80" s="124"/>
      <c r="AD80" s="124"/>
      <c r="AE80" s="124"/>
      <c r="AF80" s="124"/>
      <c r="AG80" s="124"/>
      <c r="AH80" s="29"/>
      <c r="AI80" s="30"/>
      <c r="AJ80" s="30"/>
      <c r="AK80" s="30"/>
      <c r="AL80" s="30"/>
    </row>
    <row r="81" spans="1:38" s="14" customFormat="1" ht="18" customHeight="1" x14ac:dyDescent="0.2">
      <c r="A81" s="29"/>
      <c r="B81" s="40"/>
      <c r="C81" s="40"/>
      <c r="D81" s="41"/>
      <c r="E81" s="78"/>
      <c r="F81" s="123"/>
      <c r="G81" s="123"/>
      <c r="H81" s="124"/>
      <c r="I81" s="124"/>
      <c r="J81" s="124"/>
      <c r="K81" s="124"/>
      <c r="L81" s="124"/>
      <c r="M81" s="124"/>
      <c r="N81" s="124"/>
      <c r="O81" s="124"/>
      <c r="P81" s="124"/>
      <c r="Q81" s="124"/>
      <c r="R81" s="124"/>
      <c r="S81" s="124"/>
      <c r="T81" s="124"/>
      <c r="U81" s="124"/>
      <c r="V81" s="124"/>
      <c r="W81" s="124"/>
      <c r="X81" s="124"/>
      <c r="Y81" s="124"/>
      <c r="Z81" s="124"/>
      <c r="AA81" s="124"/>
      <c r="AB81" s="124"/>
      <c r="AC81" s="124"/>
      <c r="AD81" s="124"/>
      <c r="AE81" s="124"/>
      <c r="AF81" s="124"/>
      <c r="AG81" s="124"/>
      <c r="AH81" s="29"/>
      <c r="AJ81" s="29"/>
      <c r="AK81" s="29"/>
      <c r="AL81" s="29"/>
    </row>
    <row r="82" spans="1:38" s="14" customFormat="1" ht="18" customHeight="1" x14ac:dyDescent="0.2">
      <c r="A82" s="29"/>
      <c r="B82" s="40"/>
      <c r="C82" s="40"/>
      <c r="D82" s="41"/>
      <c r="E82" s="78"/>
      <c r="F82" s="123"/>
      <c r="G82" s="123"/>
      <c r="H82" s="124"/>
      <c r="I82" s="124"/>
      <c r="J82" s="124"/>
      <c r="K82" s="124"/>
      <c r="L82" s="124"/>
      <c r="M82" s="124"/>
      <c r="N82" s="124"/>
      <c r="O82" s="124"/>
      <c r="P82" s="124"/>
      <c r="Q82" s="124"/>
      <c r="R82" s="124"/>
      <c r="S82" s="124"/>
      <c r="T82" s="124"/>
      <c r="U82" s="124"/>
      <c r="V82" s="124"/>
      <c r="W82" s="124"/>
      <c r="X82" s="124"/>
      <c r="Y82" s="124"/>
      <c r="Z82" s="124"/>
      <c r="AA82" s="124"/>
      <c r="AB82" s="124"/>
      <c r="AC82" s="124"/>
      <c r="AD82" s="124"/>
      <c r="AE82" s="124"/>
      <c r="AF82" s="124"/>
      <c r="AG82" s="124"/>
      <c r="AH82" s="29"/>
      <c r="AJ82" s="29"/>
      <c r="AK82" s="29"/>
      <c r="AL82" s="29"/>
    </row>
    <row r="83" spans="1:38" s="14" customFormat="1" ht="18" customHeight="1" x14ac:dyDescent="0.2">
      <c r="A83" s="29"/>
      <c r="E83" s="29"/>
      <c r="F83" s="123"/>
      <c r="G83" s="123"/>
      <c r="H83" s="124"/>
      <c r="I83" s="124"/>
      <c r="J83" s="124"/>
      <c r="K83" s="124"/>
      <c r="L83" s="124"/>
      <c r="M83" s="124"/>
      <c r="N83" s="124"/>
      <c r="O83" s="124"/>
      <c r="P83" s="124"/>
      <c r="Q83" s="124"/>
      <c r="R83" s="124"/>
      <c r="S83" s="124"/>
      <c r="T83" s="124"/>
      <c r="U83" s="124"/>
      <c r="V83" s="124"/>
      <c r="W83" s="124"/>
      <c r="X83" s="124"/>
      <c r="Y83" s="124"/>
      <c r="Z83" s="124"/>
      <c r="AA83" s="124"/>
      <c r="AB83" s="124"/>
      <c r="AC83" s="124"/>
      <c r="AD83" s="124"/>
      <c r="AE83" s="124"/>
      <c r="AF83" s="124"/>
      <c r="AG83" s="124"/>
      <c r="AH83" s="29"/>
      <c r="AJ83" s="29"/>
      <c r="AK83" s="29"/>
      <c r="AL83" s="29"/>
    </row>
    <row r="84" spans="1:38" s="14" customFormat="1" ht="18" customHeight="1" x14ac:dyDescent="0.2">
      <c r="A84" s="29"/>
      <c r="E84" s="29"/>
      <c r="F84" s="127"/>
      <c r="G84" s="123"/>
      <c r="H84" s="123"/>
      <c r="I84" s="124"/>
      <c r="J84" s="123"/>
      <c r="K84" s="123"/>
      <c r="L84" s="124"/>
      <c r="M84" s="124"/>
      <c r="N84" s="124"/>
      <c r="O84" s="124"/>
      <c r="P84" s="124"/>
      <c r="Q84" s="124"/>
      <c r="R84" s="124"/>
      <c r="S84" s="124"/>
      <c r="T84" s="124"/>
      <c r="U84" s="123"/>
      <c r="V84" s="123"/>
      <c r="W84" s="124"/>
      <c r="X84" s="124"/>
      <c r="Y84" s="124"/>
      <c r="Z84" s="124"/>
      <c r="AA84" s="124"/>
      <c r="AB84" s="124"/>
      <c r="AC84" s="124"/>
      <c r="AD84" s="124"/>
      <c r="AE84" s="124"/>
      <c r="AF84" s="124"/>
      <c r="AG84" s="124"/>
      <c r="AH84" s="29"/>
      <c r="AJ84" s="29"/>
      <c r="AK84" s="29"/>
      <c r="AL84" s="29"/>
    </row>
    <row r="85" spans="1:38" s="14" customFormat="1" ht="18" customHeight="1" x14ac:dyDescent="0.2">
      <c r="A85" s="29"/>
      <c r="E85" s="29"/>
      <c r="F85" s="127"/>
      <c r="G85" s="123"/>
      <c r="H85" s="123"/>
      <c r="I85" s="124"/>
      <c r="J85" s="123"/>
      <c r="K85" s="123"/>
      <c r="L85" s="124"/>
      <c r="M85" s="124"/>
      <c r="N85" s="124"/>
      <c r="O85" s="124"/>
      <c r="P85" s="124"/>
      <c r="Q85" s="124"/>
      <c r="R85" s="124"/>
      <c r="S85" s="124"/>
      <c r="T85" s="124"/>
      <c r="U85" s="123"/>
      <c r="V85" s="123"/>
      <c r="W85" s="124"/>
      <c r="X85" s="124"/>
      <c r="Y85" s="124"/>
      <c r="Z85" s="124"/>
      <c r="AA85" s="124"/>
      <c r="AB85" s="124"/>
      <c r="AC85" s="124"/>
      <c r="AD85" s="124"/>
      <c r="AE85" s="124"/>
      <c r="AF85" s="124"/>
      <c r="AG85" s="124"/>
      <c r="AH85" s="29"/>
      <c r="AJ85" s="29"/>
      <c r="AK85" s="29"/>
      <c r="AL85" s="29"/>
    </row>
    <row r="86" spans="1:38" s="29" customFormat="1" ht="18" customHeight="1" x14ac:dyDescent="0.2">
      <c r="F86" s="127"/>
      <c r="G86" s="123"/>
      <c r="H86" s="123"/>
      <c r="I86" s="124"/>
      <c r="J86" s="123"/>
      <c r="K86" s="123"/>
      <c r="L86" s="124"/>
      <c r="M86" s="124"/>
      <c r="N86" s="124"/>
      <c r="O86" s="124"/>
      <c r="P86" s="124"/>
      <c r="Q86" s="124"/>
      <c r="R86" s="124"/>
      <c r="S86" s="124"/>
      <c r="T86" s="124"/>
      <c r="U86" s="123"/>
      <c r="V86" s="123"/>
      <c r="W86" s="124"/>
      <c r="X86" s="124"/>
      <c r="Y86" s="124"/>
      <c r="Z86" s="124"/>
      <c r="AA86" s="124"/>
      <c r="AB86" s="124"/>
      <c r="AC86" s="124"/>
      <c r="AD86" s="124"/>
      <c r="AE86" s="124"/>
      <c r="AF86" s="124"/>
      <c r="AG86" s="124"/>
    </row>
    <row r="87" spans="1:38" s="29" customFormat="1" ht="18" customHeight="1" x14ac:dyDescent="0.2">
      <c r="F87" s="127"/>
      <c r="G87" s="123"/>
      <c r="H87" s="123"/>
      <c r="I87" s="124"/>
      <c r="J87" s="123"/>
      <c r="K87" s="123"/>
      <c r="L87" s="124"/>
      <c r="M87" s="124"/>
      <c r="N87" s="124"/>
      <c r="O87" s="124"/>
      <c r="P87" s="124"/>
      <c r="Q87" s="124"/>
      <c r="R87" s="124"/>
      <c r="S87" s="124"/>
      <c r="T87" s="124"/>
      <c r="U87" s="123"/>
      <c r="V87" s="123"/>
      <c r="W87" s="124"/>
      <c r="X87" s="124"/>
      <c r="Y87" s="124"/>
      <c r="Z87" s="124"/>
      <c r="AA87" s="124"/>
      <c r="AB87" s="124"/>
      <c r="AC87" s="124"/>
      <c r="AD87" s="124"/>
      <c r="AE87" s="124"/>
      <c r="AF87" s="124"/>
      <c r="AG87" s="124"/>
    </row>
    <row r="88" spans="1:38" s="14" customFormat="1" ht="18" customHeight="1" x14ac:dyDescent="0.2">
      <c r="A88" s="29"/>
      <c r="E88" s="29"/>
      <c r="F88" s="127"/>
      <c r="G88" s="123"/>
      <c r="H88" s="123"/>
      <c r="I88" s="124"/>
      <c r="J88" s="123"/>
      <c r="K88" s="123"/>
      <c r="L88" s="124"/>
      <c r="M88" s="124"/>
      <c r="N88" s="124"/>
      <c r="O88" s="124"/>
      <c r="P88" s="124"/>
      <c r="Q88" s="124"/>
      <c r="R88" s="124"/>
      <c r="S88" s="124"/>
      <c r="T88" s="124"/>
      <c r="U88" s="123"/>
      <c r="V88" s="123"/>
      <c r="W88" s="124"/>
      <c r="X88" s="124"/>
      <c r="Y88" s="124"/>
      <c r="Z88" s="124"/>
      <c r="AA88" s="124"/>
      <c r="AB88" s="124"/>
      <c r="AC88" s="124"/>
      <c r="AD88" s="124"/>
      <c r="AE88" s="124"/>
      <c r="AF88" s="124"/>
      <c r="AG88" s="124"/>
      <c r="AH88" s="29"/>
      <c r="AJ88" s="29"/>
      <c r="AK88" s="29"/>
      <c r="AL88" s="29"/>
    </row>
    <row r="89" spans="1:38" s="14" customFormat="1" ht="18" customHeight="1" x14ac:dyDescent="0.2">
      <c r="A89" s="29"/>
      <c r="E89" s="29"/>
      <c r="F89" s="127"/>
      <c r="G89" s="123"/>
      <c r="H89" s="123"/>
      <c r="I89" s="124"/>
      <c r="J89" s="123"/>
      <c r="K89" s="123"/>
      <c r="L89" s="124"/>
      <c r="M89" s="124"/>
      <c r="N89" s="124"/>
      <c r="O89" s="124"/>
      <c r="P89" s="124"/>
      <c r="Q89" s="124"/>
      <c r="R89" s="124"/>
      <c r="S89" s="124"/>
      <c r="T89" s="124"/>
      <c r="U89" s="123"/>
      <c r="V89" s="123"/>
      <c r="W89" s="124"/>
      <c r="X89" s="124"/>
      <c r="Y89" s="124"/>
      <c r="Z89" s="124"/>
      <c r="AA89" s="124"/>
      <c r="AB89" s="124"/>
      <c r="AC89" s="124"/>
      <c r="AD89" s="124"/>
      <c r="AE89" s="124"/>
      <c r="AF89" s="124"/>
      <c r="AG89" s="124"/>
      <c r="AH89" s="29"/>
      <c r="AJ89" s="29"/>
      <c r="AK89" s="29"/>
      <c r="AL89" s="29"/>
    </row>
    <row r="90" spans="1:38" s="14" customFormat="1" ht="18" customHeight="1" x14ac:dyDescent="0.2">
      <c r="A90" s="29"/>
      <c r="E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29"/>
      <c r="AF90" s="29"/>
      <c r="AG90" s="29"/>
      <c r="AH90" s="29"/>
      <c r="AJ90" s="29"/>
      <c r="AK90" s="29"/>
      <c r="AL90" s="29"/>
    </row>
    <row r="91" spans="1:38" s="14" customFormat="1" ht="18" customHeight="1" x14ac:dyDescent="0.2">
      <c r="A91" s="29"/>
      <c r="E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29"/>
      <c r="AH91" s="29"/>
      <c r="AJ91" s="29"/>
      <c r="AK91" s="29"/>
      <c r="AL91" s="29"/>
    </row>
    <row r="92" spans="1:38" s="14" customFormat="1" ht="18" customHeight="1" x14ac:dyDescent="0.2">
      <c r="A92" s="29"/>
      <c r="E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29"/>
      <c r="AF92" s="29"/>
      <c r="AG92" s="29"/>
      <c r="AH92" s="29"/>
      <c r="AJ92" s="29"/>
      <c r="AK92" s="29"/>
      <c r="AL92" s="29"/>
    </row>
    <row r="93" spans="1:38" s="14" customFormat="1" ht="18" customHeight="1" x14ac:dyDescent="0.2">
      <c r="A93" s="29"/>
      <c r="E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29"/>
      <c r="AF93" s="29"/>
      <c r="AG93" s="29"/>
      <c r="AH93" s="29"/>
      <c r="AJ93" s="29"/>
      <c r="AK93" s="29"/>
      <c r="AL93" s="29"/>
    </row>
    <row r="94" spans="1:38" s="14" customFormat="1" ht="18" customHeight="1" x14ac:dyDescent="0.2">
      <c r="A94" s="29"/>
      <c r="E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29"/>
      <c r="AF94" s="29"/>
      <c r="AG94" s="29"/>
      <c r="AH94" s="29"/>
      <c r="AJ94" s="29"/>
      <c r="AK94" s="29"/>
      <c r="AL94" s="29"/>
    </row>
    <row r="95" spans="1:38" s="14" customFormat="1" ht="18" customHeight="1" x14ac:dyDescent="0.2">
      <c r="A95" s="29"/>
      <c r="E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29"/>
      <c r="AF95" s="29"/>
      <c r="AG95" s="29"/>
      <c r="AH95" s="29"/>
      <c r="AJ95" s="29"/>
      <c r="AK95" s="29"/>
      <c r="AL95" s="29"/>
    </row>
    <row r="96" spans="1:38" s="14" customFormat="1" ht="18" customHeight="1" x14ac:dyDescent="0.2">
      <c r="A96" s="29"/>
      <c r="D96" s="30"/>
      <c r="E96" s="30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29"/>
      <c r="AF96" s="29"/>
      <c r="AG96" s="29"/>
      <c r="AH96" s="29"/>
      <c r="AJ96" s="29"/>
      <c r="AK96" s="29"/>
      <c r="AL96" s="29"/>
    </row>
    <row r="97" spans="1:38" s="14" customFormat="1" ht="18" customHeight="1" x14ac:dyDescent="0.2">
      <c r="A97" s="29"/>
      <c r="E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J97" s="29"/>
      <c r="AK97" s="29"/>
      <c r="AL97" s="29"/>
    </row>
    <row r="98" spans="1:38" s="14" customFormat="1" ht="18" customHeight="1" x14ac:dyDescent="0.2">
      <c r="A98" s="29"/>
      <c r="E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29"/>
      <c r="AF98" s="29"/>
      <c r="AG98" s="29"/>
      <c r="AH98" s="29"/>
      <c r="AJ98" s="29"/>
      <c r="AK98" s="29"/>
      <c r="AL98" s="29"/>
    </row>
    <row r="99" spans="1:38" s="14" customFormat="1" ht="18" customHeight="1" x14ac:dyDescent="0.2">
      <c r="A99" s="29"/>
      <c r="E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29"/>
      <c r="AF99" s="29"/>
      <c r="AG99" s="29"/>
      <c r="AH99" s="29"/>
      <c r="AJ99" s="29"/>
      <c r="AK99" s="29"/>
      <c r="AL99" s="29"/>
    </row>
    <row r="100" spans="1:38" s="14" customFormat="1" ht="18" customHeight="1" x14ac:dyDescent="0.2">
      <c r="A100" s="29"/>
      <c r="E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29"/>
      <c r="AF100" s="29"/>
      <c r="AG100" s="29"/>
      <c r="AH100" s="29"/>
      <c r="AJ100" s="29"/>
      <c r="AK100" s="29"/>
      <c r="AL100" s="29"/>
    </row>
    <row r="101" spans="1:38" s="14" customFormat="1" ht="18" customHeight="1" x14ac:dyDescent="0.2">
      <c r="A101" s="29"/>
      <c r="E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  <c r="AJ101" s="29"/>
      <c r="AK101" s="29"/>
      <c r="AL101" s="29"/>
    </row>
    <row r="102" spans="1:38" s="14" customFormat="1" ht="18" customHeight="1" x14ac:dyDescent="0.2">
      <c r="A102" s="29"/>
      <c r="E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29"/>
      <c r="AF102" s="29"/>
      <c r="AG102" s="29"/>
      <c r="AH102" s="29"/>
      <c r="AJ102" s="29"/>
      <c r="AK102" s="29"/>
      <c r="AL102" s="29"/>
    </row>
    <row r="103" spans="1:38" s="14" customFormat="1" ht="18" customHeight="1" x14ac:dyDescent="0.2">
      <c r="A103" s="29"/>
      <c r="E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29"/>
      <c r="AH103" s="29"/>
      <c r="AJ103" s="29"/>
      <c r="AK103" s="29"/>
      <c r="AL103" s="29"/>
    </row>
    <row r="104" spans="1:38" s="14" customFormat="1" ht="18" customHeight="1" x14ac:dyDescent="0.2">
      <c r="A104" s="29"/>
      <c r="E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J104" s="29"/>
      <c r="AK104" s="29"/>
      <c r="AL104" s="29"/>
    </row>
    <row r="105" spans="1:38" s="14" customFormat="1" ht="18" customHeight="1" x14ac:dyDescent="0.2">
      <c r="A105" s="29"/>
      <c r="E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29"/>
      <c r="AF105" s="29"/>
      <c r="AG105" s="29"/>
      <c r="AH105" s="29"/>
      <c r="AJ105" s="29"/>
      <c r="AK105" s="29"/>
      <c r="AL105" s="29"/>
    </row>
    <row r="106" spans="1:38" s="14" customFormat="1" ht="18" customHeight="1" x14ac:dyDescent="0.2">
      <c r="A106" s="29"/>
      <c r="E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29"/>
      <c r="AF106" s="29"/>
      <c r="AG106" s="29"/>
      <c r="AH106" s="29"/>
      <c r="AJ106" s="29"/>
      <c r="AK106" s="29"/>
      <c r="AL106" s="29"/>
    </row>
    <row r="107" spans="1:38" s="14" customFormat="1" ht="18" customHeight="1" x14ac:dyDescent="0.2">
      <c r="A107" s="29"/>
      <c r="E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29"/>
      <c r="AF107" s="29"/>
      <c r="AG107" s="29"/>
      <c r="AH107" s="29"/>
      <c r="AJ107" s="29"/>
      <c r="AK107" s="29"/>
      <c r="AL107" s="29"/>
    </row>
    <row r="108" spans="1:38" s="14" customFormat="1" ht="18" customHeight="1" x14ac:dyDescent="0.2">
      <c r="A108" s="29"/>
      <c r="E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J108" s="29"/>
      <c r="AK108" s="29"/>
      <c r="AL108" s="29"/>
    </row>
    <row r="109" spans="1:38" s="14" customFormat="1" ht="18" customHeight="1" x14ac:dyDescent="0.2">
      <c r="A109" s="29"/>
      <c r="E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29"/>
      <c r="AH109" s="29"/>
      <c r="AJ109" s="29"/>
      <c r="AK109" s="29"/>
      <c r="AL109" s="29"/>
    </row>
    <row r="110" spans="1:38" s="14" customFormat="1" ht="18" customHeight="1" x14ac:dyDescent="0.2">
      <c r="A110" s="29"/>
      <c r="E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29"/>
      <c r="AF110" s="29"/>
      <c r="AG110" s="29"/>
      <c r="AH110" s="29"/>
      <c r="AJ110" s="29"/>
      <c r="AK110" s="29"/>
      <c r="AL110" s="29"/>
    </row>
    <row r="111" spans="1:38" s="14" customFormat="1" ht="18" customHeight="1" x14ac:dyDescent="0.2">
      <c r="A111" s="29"/>
      <c r="E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29"/>
      <c r="AF111" s="29"/>
      <c r="AG111" s="29"/>
      <c r="AH111" s="29"/>
      <c r="AJ111" s="29"/>
      <c r="AK111" s="29"/>
      <c r="AL111" s="29"/>
    </row>
    <row r="112" spans="1:38" s="14" customFormat="1" ht="18" customHeight="1" x14ac:dyDescent="0.2">
      <c r="A112" s="29"/>
      <c r="E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J112" s="29"/>
      <c r="AK112" s="29"/>
      <c r="AL112" s="29"/>
    </row>
    <row r="113" spans="1:38" s="14" customFormat="1" ht="18" customHeight="1" x14ac:dyDescent="0.2">
      <c r="A113" s="29"/>
      <c r="E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29"/>
      <c r="AF113" s="29"/>
      <c r="AG113" s="29"/>
      <c r="AH113" s="29"/>
      <c r="AJ113" s="29"/>
      <c r="AK113" s="29"/>
      <c r="AL113" s="29"/>
    </row>
    <row r="114" spans="1:38" s="14" customFormat="1" ht="18" customHeight="1" x14ac:dyDescent="0.2">
      <c r="A114" s="29"/>
      <c r="E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29"/>
      <c r="AF114" s="29"/>
      <c r="AG114" s="29"/>
      <c r="AH114" s="29"/>
      <c r="AJ114" s="29"/>
      <c r="AK114" s="29"/>
      <c r="AL114" s="29"/>
    </row>
    <row r="115" spans="1:38" s="14" customFormat="1" ht="18" customHeight="1" x14ac:dyDescent="0.2">
      <c r="A115" s="29"/>
      <c r="E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H115" s="29"/>
      <c r="AJ115" s="29"/>
      <c r="AK115" s="29"/>
      <c r="AL115" s="29"/>
    </row>
    <row r="116" spans="1:38" s="14" customFormat="1" ht="18" customHeight="1" x14ac:dyDescent="0.2">
      <c r="A116" s="29"/>
      <c r="E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29"/>
      <c r="AF116" s="29"/>
      <c r="AG116" s="29"/>
      <c r="AH116" s="29"/>
      <c r="AJ116" s="29"/>
      <c r="AK116" s="29"/>
      <c r="AL116" s="29"/>
    </row>
    <row r="117" spans="1:38" s="14" customFormat="1" ht="18" customHeight="1" x14ac:dyDescent="0.2">
      <c r="A117" s="29"/>
      <c r="E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29"/>
      <c r="AF117" s="29"/>
      <c r="AG117" s="29"/>
      <c r="AH117" s="29"/>
      <c r="AJ117" s="29"/>
      <c r="AK117" s="29"/>
      <c r="AL117" s="29"/>
    </row>
    <row r="118" spans="1:38" s="14" customFormat="1" ht="18" customHeight="1" x14ac:dyDescent="0.2">
      <c r="A118" s="29"/>
      <c r="E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29"/>
      <c r="AF118" s="29"/>
      <c r="AG118" s="29"/>
      <c r="AH118" s="29"/>
      <c r="AJ118" s="29"/>
      <c r="AK118" s="29"/>
      <c r="AL118" s="29"/>
    </row>
    <row r="119" spans="1:38" s="14" customFormat="1" ht="18" customHeight="1" x14ac:dyDescent="0.2">
      <c r="A119" s="29"/>
      <c r="E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  <c r="AH119" s="29"/>
      <c r="AJ119" s="29"/>
      <c r="AK119" s="29"/>
      <c r="AL119" s="29"/>
    </row>
    <row r="120" spans="1:38" s="14" customFormat="1" ht="18" customHeight="1" x14ac:dyDescent="0.2">
      <c r="A120" s="29"/>
      <c r="E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29"/>
      <c r="AH120" s="29"/>
      <c r="AJ120" s="29"/>
      <c r="AK120" s="29"/>
      <c r="AL120" s="29"/>
    </row>
    <row r="121" spans="1:38" s="14" customFormat="1" ht="18" customHeight="1" x14ac:dyDescent="0.2">
      <c r="A121" s="29"/>
      <c r="E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29"/>
      <c r="AF121" s="29"/>
      <c r="AG121" s="29"/>
      <c r="AH121" s="29"/>
      <c r="AJ121" s="29"/>
      <c r="AK121" s="29"/>
      <c r="AL121" s="29"/>
    </row>
    <row r="122" spans="1:38" s="14" customFormat="1" ht="18" customHeight="1" x14ac:dyDescent="0.2">
      <c r="A122" s="29"/>
      <c r="E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29"/>
      <c r="AF122" s="29"/>
      <c r="AG122" s="29"/>
      <c r="AH122" s="29"/>
      <c r="AJ122" s="29"/>
      <c r="AK122" s="29"/>
      <c r="AL122" s="29"/>
    </row>
    <row r="123" spans="1:38" s="14" customFormat="1" ht="18" customHeight="1" x14ac:dyDescent="0.2">
      <c r="A123" s="29"/>
      <c r="E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J123" s="29"/>
      <c r="AK123" s="29"/>
      <c r="AL123" s="29"/>
    </row>
    <row r="124" spans="1:38" s="14" customFormat="1" ht="18" customHeight="1" x14ac:dyDescent="0.2">
      <c r="A124" s="29"/>
      <c r="E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J124" s="29"/>
      <c r="AK124" s="29"/>
      <c r="AL124" s="29"/>
    </row>
    <row r="125" spans="1:38" s="14" customFormat="1" ht="18" customHeight="1" x14ac:dyDescent="0.2">
      <c r="A125" s="29"/>
      <c r="E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29"/>
      <c r="AF125" s="29"/>
      <c r="AG125" s="29"/>
      <c r="AH125" s="29"/>
      <c r="AJ125" s="29"/>
      <c r="AK125" s="29"/>
      <c r="AL125" s="29"/>
    </row>
    <row r="126" spans="1:38" s="14" customFormat="1" ht="18" customHeight="1" x14ac:dyDescent="0.2">
      <c r="A126" s="29"/>
      <c r="E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29"/>
      <c r="AF126" s="29"/>
      <c r="AG126" s="29"/>
      <c r="AH126" s="29"/>
      <c r="AJ126" s="29"/>
      <c r="AK126" s="29"/>
      <c r="AL126" s="29"/>
    </row>
    <row r="127" spans="1:38" s="14" customFormat="1" ht="18" customHeight="1" x14ac:dyDescent="0.2">
      <c r="A127" s="29"/>
      <c r="E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29"/>
      <c r="AF127" s="29"/>
      <c r="AG127" s="29"/>
      <c r="AH127" s="29"/>
      <c r="AJ127" s="29"/>
      <c r="AK127" s="29"/>
      <c r="AL127" s="29"/>
    </row>
    <row r="128" spans="1:38" s="14" customFormat="1" ht="18" customHeight="1" x14ac:dyDescent="0.2">
      <c r="A128" s="29"/>
      <c r="E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29"/>
      <c r="AF128" s="29"/>
      <c r="AG128" s="29"/>
      <c r="AH128" s="29"/>
      <c r="AJ128" s="29"/>
      <c r="AK128" s="29"/>
      <c r="AL128" s="29"/>
    </row>
    <row r="129" spans="1:38" s="14" customFormat="1" ht="18" customHeight="1" x14ac:dyDescent="0.2">
      <c r="A129" s="29"/>
      <c r="E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29"/>
      <c r="AF129" s="29"/>
      <c r="AG129" s="29"/>
      <c r="AH129" s="29"/>
      <c r="AJ129" s="29"/>
      <c r="AK129" s="29"/>
      <c r="AL129" s="29"/>
    </row>
    <row r="130" spans="1:38" s="14" customFormat="1" ht="18" customHeight="1" x14ac:dyDescent="0.2">
      <c r="A130" s="29"/>
      <c r="E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29"/>
      <c r="AH130" s="29"/>
      <c r="AJ130" s="29"/>
      <c r="AK130" s="29"/>
      <c r="AL130" s="29"/>
    </row>
    <row r="131" spans="1:38" s="14" customFormat="1" ht="18" customHeight="1" x14ac:dyDescent="0.2">
      <c r="A131" s="29"/>
      <c r="E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29"/>
      <c r="AF131" s="29"/>
      <c r="AG131" s="29"/>
      <c r="AH131" s="29"/>
      <c r="AJ131" s="29"/>
      <c r="AK131" s="29"/>
      <c r="AL131" s="29"/>
    </row>
    <row r="132" spans="1:38" s="14" customFormat="1" ht="18" customHeight="1" x14ac:dyDescent="0.2">
      <c r="A132" s="29"/>
      <c r="E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29"/>
      <c r="AF132" s="29"/>
      <c r="AG132" s="29"/>
      <c r="AH132" s="29"/>
      <c r="AJ132" s="29"/>
      <c r="AK132" s="29"/>
      <c r="AL132" s="29"/>
    </row>
    <row r="133" spans="1:38" s="14" customFormat="1" ht="18" customHeight="1" x14ac:dyDescent="0.2">
      <c r="A133" s="29"/>
      <c r="E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29"/>
      <c r="AF133" s="29"/>
      <c r="AG133" s="29"/>
      <c r="AH133" s="29"/>
      <c r="AJ133" s="29"/>
      <c r="AK133" s="29"/>
      <c r="AL133" s="29"/>
    </row>
    <row r="134" spans="1:38" s="14" customFormat="1" ht="18" customHeight="1" x14ac:dyDescent="0.2">
      <c r="A134" s="29"/>
      <c r="E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29"/>
      <c r="AF134" s="29"/>
      <c r="AG134" s="29"/>
      <c r="AH134" s="29"/>
      <c r="AJ134" s="29"/>
      <c r="AK134" s="29"/>
      <c r="AL134" s="29"/>
    </row>
    <row r="135" spans="1:38" s="14" customFormat="1" ht="18" customHeight="1" x14ac:dyDescent="0.2">
      <c r="A135" s="29"/>
      <c r="E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29"/>
      <c r="AF135" s="29"/>
      <c r="AG135" s="29"/>
      <c r="AH135" s="29"/>
      <c r="AJ135" s="29"/>
      <c r="AK135" s="29"/>
      <c r="AL135" s="29"/>
    </row>
    <row r="136" spans="1:38" s="14" customFormat="1" ht="18" customHeight="1" x14ac:dyDescent="0.2">
      <c r="A136" s="29"/>
      <c r="E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29"/>
      <c r="AF136" s="29"/>
      <c r="AG136" s="29"/>
      <c r="AH136" s="29"/>
      <c r="AJ136" s="29"/>
      <c r="AK136" s="29"/>
      <c r="AL136" s="29"/>
    </row>
    <row r="137" spans="1:38" s="14" customFormat="1" ht="18" customHeight="1" x14ac:dyDescent="0.2">
      <c r="A137" s="29"/>
      <c r="E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29"/>
      <c r="AF137" s="29"/>
      <c r="AG137" s="29"/>
      <c r="AH137" s="29"/>
      <c r="AJ137" s="29"/>
      <c r="AK137" s="29"/>
      <c r="AL137" s="29"/>
    </row>
    <row r="138" spans="1:38" s="14" customFormat="1" ht="18" customHeight="1" x14ac:dyDescent="0.2">
      <c r="A138" s="29"/>
      <c r="E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29"/>
      <c r="AF138" s="29"/>
      <c r="AG138" s="29"/>
      <c r="AH138" s="29"/>
      <c r="AJ138" s="29"/>
      <c r="AK138" s="29"/>
      <c r="AL138" s="29"/>
    </row>
    <row r="139" spans="1:38" s="14" customFormat="1" ht="18" customHeight="1" x14ac:dyDescent="0.2">
      <c r="A139" s="29"/>
      <c r="E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29"/>
      <c r="AF139" s="29"/>
      <c r="AG139" s="29"/>
      <c r="AH139" s="29"/>
      <c r="AJ139" s="29"/>
      <c r="AK139" s="29"/>
      <c r="AL139" s="29"/>
    </row>
    <row r="140" spans="1:38" s="14" customFormat="1" ht="18" customHeight="1" x14ac:dyDescent="0.2">
      <c r="A140" s="29"/>
      <c r="E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29"/>
      <c r="AF140" s="29"/>
      <c r="AG140" s="29"/>
      <c r="AH140" s="29"/>
      <c r="AJ140" s="29"/>
      <c r="AK140" s="29"/>
      <c r="AL140" s="29"/>
    </row>
    <row r="141" spans="1:38" s="14" customFormat="1" ht="18" customHeight="1" x14ac:dyDescent="0.2">
      <c r="A141" s="29"/>
      <c r="E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  <c r="AG141" s="29"/>
      <c r="AH141" s="29"/>
      <c r="AJ141" s="29"/>
      <c r="AK141" s="29"/>
      <c r="AL141" s="29"/>
    </row>
    <row r="142" spans="1:38" s="14" customFormat="1" ht="18" customHeight="1" x14ac:dyDescent="0.2">
      <c r="A142" s="29"/>
      <c r="E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29"/>
      <c r="AF142" s="29"/>
      <c r="AG142" s="29"/>
      <c r="AH142" s="29"/>
      <c r="AJ142" s="29"/>
      <c r="AK142" s="29"/>
      <c r="AL142" s="29"/>
    </row>
    <row r="143" spans="1:38" s="14" customFormat="1" ht="18" customHeight="1" x14ac:dyDescent="0.2">
      <c r="A143" s="29"/>
      <c r="E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29"/>
      <c r="AF143" s="29"/>
      <c r="AG143" s="29"/>
      <c r="AH143" s="29"/>
      <c r="AJ143" s="29"/>
      <c r="AK143" s="29"/>
      <c r="AL143" s="29"/>
    </row>
    <row r="144" spans="1:38" s="14" customFormat="1" ht="18" customHeight="1" x14ac:dyDescent="0.2">
      <c r="A144" s="29"/>
      <c r="E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29"/>
      <c r="AF144" s="29"/>
      <c r="AG144" s="29"/>
      <c r="AH144" s="29"/>
      <c r="AJ144" s="29"/>
      <c r="AK144" s="29"/>
      <c r="AL144" s="29"/>
    </row>
    <row r="145" spans="1:38" s="14" customFormat="1" ht="18" customHeight="1" x14ac:dyDescent="0.2">
      <c r="A145" s="29"/>
      <c r="E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29"/>
      <c r="AF145" s="29"/>
      <c r="AG145" s="29"/>
      <c r="AH145" s="29"/>
      <c r="AJ145" s="29"/>
      <c r="AK145" s="29"/>
      <c r="AL145" s="29"/>
    </row>
    <row r="146" spans="1:38" s="14" customFormat="1" ht="18" customHeight="1" x14ac:dyDescent="0.2">
      <c r="A146" s="29"/>
      <c r="E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29"/>
      <c r="AF146" s="29"/>
      <c r="AG146" s="29"/>
      <c r="AH146" s="29"/>
      <c r="AJ146" s="29"/>
      <c r="AK146" s="29"/>
      <c r="AL146" s="29"/>
    </row>
    <row r="147" spans="1:38" s="14" customFormat="1" ht="18" customHeight="1" x14ac:dyDescent="0.2">
      <c r="A147" s="29"/>
      <c r="E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J147" s="29"/>
      <c r="AK147" s="29"/>
      <c r="AL147" s="29"/>
    </row>
    <row r="148" spans="1:38" s="14" customFormat="1" ht="18" customHeight="1" x14ac:dyDescent="0.2">
      <c r="A148" s="29"/>
      <c r="E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29"/>
      <c r="AF148" s="29"/>
      <c r="AG148" s="29"/>
      <c r="AH148" s="29"/>
      <c r="AJ148" s="29"/>
      <c r="AK148" s="29"/>
      <c r="AL148" s="29"/>
    </row>
    <row r="149" spans="1:38" s="14" customFormat="1" ht="18" customHeight="1" x14ac:dyDescent="0.2">
      <c r="A149" s="29"/>
      <c r="E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29"/>
      <c r="AF149" s="29"/>
      <c r="AG149" s="29"/>
      <c r="AH149" s="29"/>
      <c r="AJ149" s="29"/>
      <c r="AK149" s="29"/>
      <c r="AL149" s="29"/>
    </row>
    <row r="150" spans="1:38" s="14" customFormat="1" ht="18" customHeight="1" x14ac:dyDescent="0.2">
      <c r="A150" s="29"/>
      <c r="E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29"/>
      <c r="AF150" s="29"/>
      <c r="AG150" s="29"/>
      <c r="AH150" s="29"/>
      <c r="AJ150" s="29"/>
      <c r="AK150" s="29"/>
      <c r="AL150" s="29"/>
    </row>
    <row r="151" spans="1:38" s="14" customFormat="1" ht="18" customHeight="1" x14ac:dyDescent="0.2">
      <c r="A151" s="29"/>
      <c r="E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29"/>
      <c r="AF151" s="29"/>
      <c r="AG151" s="29"/>
      <c r="AH151" s="29"/>
      <c r="AJ151" s="29"/>
      <c r="AK151" s="29"/>
      <c r="AL151" s="29"/>
    </row>
    <row r="152" spans="1:38" s="14" customFormat="1" ht="18" customHeight="1" x14ac:dyDescent="0.2">
      <c r="A152" s="29"/>
      <c r="E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29"/>
      <c r="AF152" s="29"/>
      <c r="AG152" s="29"/>
      <c r="AH152" s="29"/>
      <c r="AJ152" s="29"/>
      <c r="AK152" s="29"/>
      <c r="AL152" s="29"/>
    </row>
    <row r="153" spans="1:38" s="14" customFormat="1" ht="18" customHeight="1" x14ac:dyDescent="0.2">
      <c r="A153" s="29"/>
      <c r="E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29"/>
      <c r="AF153" s="29"/>
      <c r="AG153" s="29"/>
      <c r="AH153" s="29"/>
      <c r="AJ153" s="29"/>
      <c r="AK153" s="29"/>
      <c r="AL153" s="29"/>
    </row>
    <row r="154" spans="1:38" s="14" customFormat="1" ht="18" customHeight="1" x14ac:dyDescent="0.2">
      <c r="A154" s="29"/>
      <c r="E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29"/>
      <c r="AF154" s="29"/>
      <c r="AG154" s="29"/>
      <c r="AH154" s="29"/>
      <c r="AJ154" s="29"/>
      <c r="AK154" s="29"/>
      <c r="AL154" s="29"/>
    </row>
    <row r="155" spans="1:38" s="14" customFormat="1" ht="18" customHeight="1" x14ac:dyDescent="0.2">
      <c r="A155" s="29"/>
      <c r="E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29"/>
      <c r="AF155" s="29"/>
      <c r="AG155" s="29"/>
      <c r="AH155" s="29"/>
      <c r="AJ155" s="29"/>
      <c r="AK155" s="29"/>
      <c r="AL155" s="29"/>
    </row>
    <row r="156" spans="1:38" s="14" customFormat="1" ht="18" customHeight="1" x14ac:dyDescent="0.2">
      <c r="A156" s="29"/>
      <c r="E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29"/>
      <c r="AF156" s="29"/>
      <c r="AG156" s="29"/>
      <c r="AH156" s="29"/>
      <c r="AJ156" s="29"/>
      <c r="AK156" s="29"/>
      <c r="AL156" s="29"/>
    </row>
    <row r="157" spans="1:38" s="14" customFormat="1" ht="18" customHeight="1" x14ac:dyDescent="0.2">
      <c r="A157" s="29"/>
      <c r="E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29"/>
      <c r="AF157" s="29"/>
      <c r="AG157" s="29"/>
      <c r="AH157" s="29"/>
      <c r="AJ157" s="29"/>
      <c r="AK157" s="29"/>
      <c r="AL157" s="29"/>
    </row>
    <row r="158" spans="1:38" s="14" customFormat="1" ht="18" customHeight="1" x14ac:dyDescent="0.2">
      <c r="A158" s="29"/>
      <c r="E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29"/>
      <c r="AF158" s="29"/>
      <c r="AG158" s="29"/>
      <c r="AH158" s="29"/>
      <c r="AJ158" s="29"/>
      <c r="AK158" s="29"/>
      <c r="AL158" s="29"/>
    </row>
  </sheetData>
  <sheetProtection formatColumns="0" formatRows="0"/>
  <protectedRanges>
    <protectedRange sqref="G57:Y59" name="Commentaires"/>
  </protectedRanges>
  <autoFilter ref="A1:A8"/>
  <mergeCells count="18">
    <mergeCell ref="AY30:BA30"/>
    <mergeCell ref="AL30:AL32"/>
    <mergeCell ref="AI35:AJ35"/>
    <mergeCell ref="F35:G35"/>
    <mergeCell ref="I31:K32"/>
    <mergeCell ref="M31:Q32"/>
    <mergeCell ref="V31:X32"/>
    <mergeCell ref="Z31:AD32"/>
    <mergeCell ref="X19:AB20"/>
    <mergeCell ref="F58:AD58"/>
    <mergeCell ref="F59:AD59"/>
    <mergeCell ref="F60:AD60"/>
    <mergeCell ref="M33:O33"/>
    <mergeCell ref="Q33:S33"/>
    <mergeCell ref="Z33:AB33"/>
    <mergeCell ref="AD33:AF33"/>
    <mergeCell ref="F57:AD57"/>
    <mergeCell ref="G19:W20"/>
  </mergeCells>
  <phoneticPr fontId="0" type="noConversion"/>
  <conditionalFormatting sqref="T35">
    <cfRule type="cellIs" dxfId="23" priority="7044" operator="equal">
      <formula>$AY$32</formula>
    </cfRule>
  </conditionalFormatting>
  <conditionalFormatting sqref="T35">
    <cfRule type="cellIs" dxfId="22" priority="7043" operator="equal">
      <formula>$AZ$32</formula>
    </cfRule>
  </conditionalFormatting>
  <conditionalFormatting sqref="T35">
    <cfRule type="cellIs" dxfId="21" priority="7042" operator="equal">
      <formula>$BA$32</formula>
    </cfRule>
  </conditionalFormatting>
  <conditionalFormatting sqref="P2:P7">
    <cfRule type="cellIs" dxfId="20" priority="7023" operator="equal">
      <formula>$AY$32</formula>
    </cfRule>
  </conditionalFormatting>
  <conditionalFormatting sqref="P2:P7">
    <cfRule type="cellIs" dxfId="19" priority="7022" operator="equal">
      <formula>$AZ$32</formula>
    </cfRule>
  </conditionalFormatting>
  <conditionalFormatting sqref="P2:P7">
    <cfRule type="cellIs" dxfId="18" priority="7021" operator="equal">
      <formula>$BA$32</formula>
    </cfRule>
  </conditionalFormatting>
  <conditionalFormatting sqref="AG35">
    <cfRule type="cellIs" dxfId="17" priority="7038" operator="equal">
      <formula>$AY$32</formula>
    </cfRule>
  </conditionalFormatting>
  <conditionalFormatting sqref="AG35">
    <cfRule type="cellIs" dxfId="16" priority="7037" operator="equal">
      <formula>$AZ$32</formula>
    </cfRule>
  </conditionalFormatting>
  <conditionalFormatting sqref="AG35">
    <cfRule type="cellIs" dxfId="15" priority="7036" operator="equal">
      <formula>$BA$32</formula>
    </cfRule>
  </conditionalFormatting>
  <conditionalFormatting sqref="T2:T7">
    <cfRule type="cellIs" dxfId="14" priority="7011" operator="equal">
      <formula>$AY$32</formula>
    </cfRule>
  </conditionalFormatting>
  <conditionalFormatting sqref="T2:T7">
    <cfRule type="cellIs" dxfId="13" priority="7010" operator="equal">
      <formula>$AZ$32</formula>
    </cfRule>
  </conditionalFormatting>
  <conditionalFormatting sqref="T2:T7">
    <cfRule type="cellIs" dxfId="12" priority="7009" operator="equal">
      <formula>$BA$32</formula>
    </cfRule>
  </conditionalFormatting>
  <conditionalFormatting sqref="AG2:AG7">
    <cfRule type="cellIs" dxfId="11" priority="6933" operator="equal">
      <formula>$AY$32</formula>
    </cfRule>
  </conditionalFormatting>
  <conditionalFormatting sqref="AG2:AG7">
    <cfRule type="cellIs" dxfId="10" priority="6932" operator="equal">
      <formula>$AZ$32</formula>
    </cfRule>
  </conditionalFormatting>
  <conditionalFormatting sqref="AG2:AG7">
    <cfRule type="cellIs" dxfId="9" priority="6931" operator="equal">
      <formula>$BA$32</formula>
    </cfRule>
  </conditionalFormatting>
  <conditionalFormatting sqref="P52">
    <cfRule type="cellIs" dxfId="8" priority="9" operator="equal">
      <formula>$AY$32</formula>
    </cfRule>
  </conditionalFormatting>
  <conditionalFormatting sqref="P52">
    <cfRule type="cellIs" dxfId="7" priority="8" operator="equal">
      <formula>$AZ$32</formula>
    </cfRule>
  </conditionalFormatting>
  <conditionalFormatting sqref="P52">
    <cfRule type="cellIs" dxfId="6" priority="7" operator="equal">
      <formula>$BA$32</formula>
    </cfRule>
  </conditionalFormatting>
  <conditionalFormatting sqref="T52">
    <cfRule type="cellIs" dxfId="5" priority="6" operator="equal">
      <formula>$AY$32</formula>
    </cfRule>
  </conditionalFormatting>
  <conditionalFormatting sqref="T52">
    <cfRule type="cellIs" dxfId="4" priority="5" operator="equal">
      <formula>$AZ$32</formula>
    </cfRule>
  </conditionalFormatting>
  <conditionalFormatting sqref="T52">
    <cfRule type="cellIs" dxfId="3" priority="4" operator="equal">
      <formula>$BA$32</formula>
    </cfRule>
  </conditionalFormatting>
  <conditionalFormatting sqref="AG52">
    <cfRule type="cellIs" dxfId="2" priority="3" operator="equal">
      <formula>$AY$32</formula>
    </cfRule>
  </conditionalFormatting>
  <conditionalFormatting sqref="AG52">
    <cfRule type="cellIs" dxfId="1" priority="2" operator="equal">
      <formula>$AZ$32</formula>
    </cfRule>
  </conditionalFormatting>
  <conditionalFormatting sqref="AG52">
    <cfRule type="cellIs" dxfId="0" priority="1" operator="equal">
      <formula>$BA$32</formula>
    </cfRule>
  </conditionalFormatting>
  <dataValidations count="2">
    <dataValidation type="list" allowBlank="1" showInputMessage="1" showErrorMessage="1" sqref="AJ30:AK31 G25">
      <formula1>Language</formula1>
    </dataValidation>
    <dataValidation type="list" allowBlank="1" showInputMessage="1" showErrorMessage="1" sqref="G33 AJ33">
      <formula1>$AU$22:$AU$24</formula1>
    </dataValidation>
  </dataValidations>
  <printOptions horizontalCentered="1"/>
  <pageMargins left="0" right="0" top="0" bottom="0" header="0.15748031496062992" footer="0.15748031496062992"/>
  <pageSetup paperSize="9" scale="45" orientation="landscape" r:id="rId1"/>
  <headerFooter alignWithMargins="0">
    <oddFooter>&amp;LConfidentiel&amp;C&amp;D&amp;RPage &amp;P</oddFooter>
  </headerFooter>
  <rowBreaks count="1" manualBreakCount="1">
    <brk id="61" max="16383" man="1"/>
  </rowBreaks>
  <drawing r:id="rId2"/>
  <legacyDrawing r:id="rId3"/>
  <controls>
    <mc:AlternateContent xmlns:mc="http://schemas.openxmlformats.org/markup-compatibility/2006">
      <mc:Choice Requires="x14">
        <control shapeId="160787" r:id="rId4" name="Refresh_Report">
          <controlPr defaultSize="0" print="0" autoLine="0" r:id="rId5">
            <anchor moveWithCells="1">
              <from>
                <xdr:col>5</xdr:col>
                <xdr:colOff>85725</xdr:colOff>
                <xdr:row>15</xdr:row>
                <xdr:rowOff>114300</xdr:rowOff>
              </from>
              <to>
                <xdr:col>5</xdr:col>
                <xdr:colOff>2333625</xdr:colOff>
                <xdr:row>16</xdr:row>
                <xdr:rowOff>180975</xdr:rowOff>
              </to>
            </anchor>
          </controlPr>
        </control>
      </mc:Choice>
      <mc:Fallback>
        <control shapeId="160787" r:id="rId4" name="Refresh_Repor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29</vt:i4>
      </vt:variant>
    </vt:vector>
  </HeadingPairs>
  <TitlesOfParts>
    <vt:vector size="31" baseType="lpstr">
      <vt:lpstr>Context</vt:lpstr>
      <vt:lpstr>Couts_bruts_Couts_net</vt:lpstr>
      <vt:lpstr>ActualBudgetAdmin</vt:lpstr>
      <vt:lpstr>ActualForecast1Admin</vt:lpstr>
      <vt:lpstr>ActualForecast2Admin</vt:lpstr>
      <vt:lpstr>ActualMonth</vt:lpstr>
      <vt:lpstr>ActualYear</vt:lpstr>
      <vt:lpstr>Autofit1</vt:lpstr>
      <vt:lpstr>Autofit2</vt:lpstr>
      <vt:lpstr>Autofit3</vt:lpstr>
      <vt:lpstr>Autofit4</vt:lpstr>
      <vt:lpstr>Autofit5</vt:lpstr>
      <vt:lpstr>Autofit6</vt:lpstr>
      <vt:lpstr>AutoRefresh_Couts_bruts_Couts_net</vt:lpstr>
      <vt:lpstr>AutoRefresh_Input_PL</vt:lpstr>
      <vt:lpstr>Cube1</vt:lpstr>
      <vt:lpstr>Cube2</vt:lpstr>
      <vt:lpstr>Flag_Send_Comment</vt:lpstr>
      <vt:lpstr>Flag_Send_Data</vt:lpstr>
      <vt:lpstr>Couts_bruts_Couts_net!Impression_des_titres</vt:lpstr>
      <vt:lpstr>Language</vt:lpstr>
      <vt:lpstr>LocalLanguage</vt:lpstr>
      <vt:lpstr>LocalLanguage2</vt:lpstr>
      <vt:lpstr>Note</vt:lpstr>
      <vt:lpstr>Server</vt:lpstr>
      <vt:lpstr>Couts_bruts_Couts_net!TM1RPTDATARNGARPT3</vt:lpstr>
      <vt:lpstr>Couts_bruts_Couts_net!TM1RPTFMTIDCOL</vt:lpstr>
      <vt:lpstr>Couts_bruts_Couts_net!TM1RPTFMTRNG</vt:lpstr>
      <vt:lpstr>xHost</vt:lpstr>
      <vt:lpstr>xServer</vt:lpstr>
      <vt:lpstr>Couts_bruts_Couts_net!Zone_d_impression</vt:lpstr>
    </vt:vector>
  </TitlesOfParts>
  <Company>VEOLIA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michael.dahan</dc:creator>
  <cp:lastModifiedBy>humbert.de-miribel</cp:lastModifiedBy>
  <cp:lastPrinted>2012-06-25T13:57:49Z</cp:lastPrinted>
  <dcterms:created xsi:type="dcterms:W3CDTF">2011-06-21T16:52:24Z</dcterms:created>
  <dcterms:modified xsi:type="dcterms:W3CDTF">2013-04-18T12:03:36Z</dcterms:modified>
</cp:coreProperties>
</file>