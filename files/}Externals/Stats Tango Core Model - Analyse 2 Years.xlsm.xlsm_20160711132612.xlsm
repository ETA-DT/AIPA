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4030" windowHeight="5205" tabRatio="601"/>
  </bookViews>
  <sheets>
    <sheet name="AF TCM" sheetId="1" r:id="rId1"/>
    <sheet name="Context" sheetId="5" state="hidden" r:id="rId2"/>
    <sheet name="{AR}01" sheetId="4" state="hidden" r:id="rId3"/>
    <sheet name="{PL}PickLst" sheetId="6" state="hidden" r:id="rId4"/>
  </sheets>
  <definedNames>
    <definedName name="_xlnm._FilterDatabase" localSheetId="0" hidden="1">'AF TCM'!$P$18:$P$18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Month">Context!$B$12</definedName>
    <definedName name="ActualYear">Context!$B$11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Context!$B$9</definedName>
    <definedName name="Cube2">Context!$B$10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">'AF TCM'!$D$12</definedName>
    <definedName name="CURRENT_PERIOD_CUMUL">'AF TCM'!$E$12</definedName>
    <definedName name="CURRENT_YEAR">'AF TCM'!$D$11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Context!$B$14:$B$17</definedName>
    <definedName name="LocalLanguage">Context!$B$13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dx">'AF TCM'!$E$13</definedName>
    <definedName name="MONTH_ACTUAL">'AF TCM'!$D$13</definedName>
    <definedName name="PREVIOUS_YEAR">'AF TCM'!$E$11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upp_Zero">'AF TCM'!$D$14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2" localSheetId="0">'AF TCM'!$18:$18</definedName>
    <definedName name="TM1RPTFMTIDCOL" localSheetId="0">'AF TCM'!$A$1:$A$8</definedName>
    <definedName name="TM1RPTFMTRNG" localSheetId="0">'AF TCM'!$B$1:$AQ$8</definedName>
    <definedName name="TM1RPTVIEW_cell">'AF TCM'!$B$9</definedName>
    <definedName name="Top_Hierarchy">'AF TCM'!$B$17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O18" i="1" l="1"/>
  <c r="C9" i="1"/>
  <c r="D12" i="1"/>
  <c r="B9" i="1"/>
  <c r="B17" i="1"/>
  <c r="E13" i="1"/>
  <c r="B18" i="1"/>
  <c r="P11" i="1"/>
  <c r="D11" i="1"/>
  <c r="E11" i="1"/>
  <c r="E12" i="1"/>
  <c r="S11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D14" i="1"/>
  <c r="AC14" i="1"/>
  <c r="AB14" i="1"/>
  <c r="AA14" i="1"/>
  <c r="Z14" i="1"/>
  <c r="Y14" i="1"/>
  <c r="X14" i="1"/>
  <c r="W14" i="1"/>
  <c r="V14" i="1"/>
  <c r="U14" i="1"/>
  <c r="T14" i="1"/>
  <c r="S14" i="1"/>
  <c r="Q14" i="1"/>
  <c r="P14" i="1"/>
  <c r="D13" i="1"/>
  <c r="B16" i="1"/>
  <c r="D18" i="1"/>
  <c r="B15" i="1"/>
  <c r="B5" i="5"/>
  <c r="B13" i="5"/>
  <c r="B12" i="5"/>
  <c r="B11" i="5"/>
  <c r="A18" i="1"/>
  <c r="C18" i="1"/>
  <c r="E18" i="1"/>
  <c r="F18" i="1"/>
  <c r="G18" i="1"/>
  <c r="H18" i="1"/>
  <c r="I18" i="1"/>
  <c r="J18" i="1"/>
  <c r="K18" i="1"/>
  <c r="L18" i="1"/>
  <c r="M18" i="1"/>
  <c r="N18" i="1"/>
  <c r="P18" i="1"/>
  <c r="Q18" i="1"/>
  <c r="S18" i="1"/>
  <c r="T18" i="1"/>
  <c r="U18" i="1"/>
  <c r="V18" i="1"/>
  <c r="W18" i="1"/>
  <c r="X18" i="1"/>
  <c r="Y18" i="1"/>
  <c r="Z18" i="1"/>
  <c r="AA18" i="1"/>
  <c r="AB18" i="1"/>
  <c r="AC18" i="1"/>
  <c r="AD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Y15" i="1"/>
  <c r="X15" i="1"/>
  <c r="W15" i="1"/>
  <c r="V15" i="1"/>
  <c r="U15" i="1"/>
  <c r="AA15" i="1"/>
  <c r="Z15" i="1"/>
  <c r="T15" i="1"/>
  <c r="AN15" i="1"/>
  <c r="AO15" i="1"/>
  <c r="AP15" i="1"/>
  <c r="AF15" i="1"/>
  <c r="AL15" i="1"/>
  <c r="AM15" i="1"/>
  <c r="S15" i="1"/>
  <c r="AB15" i="1"/>
  <c r="AC15" i="1"/>
  <c r="AD15" i="1"/>
  <c r="AG15" i="1"/>
  <c r="AH15" i="1"/>
  <c r="AI15" i="1"/>
  <c r="AJ15" i="1"/>
  <c r="AK15" i="1"/>
  <c r="AQ15" i="1"/>
  <c r="A5" i="1"/>
  <c r="A4" i="1"/>
  <c r="A3" i="1"/>
  <c r="A2" i="1"/>
</calcChain>
</file>

<file path=xl/comments1.xml><?xml version="1.0" encoding="utf-8"?>
<comments xmlns="http://schemas.openxmlformats.org/spreadsheetml/2006/main">
  <authors>
    <author>DERRIEN, Yannick</author>
  </authors>
  <commentList>
    <comment ref="E14" authorId="0">
      <text>
        <r>
          <rPr>
            <b/>
            <sz val="9"/>
            <color indexed="81"/>
            <rFont val="Tahoma"/>
            <family val="2"/>
          </rPr>
          <t>DERRIEN, Yannick:</t>
        </r>
        <r>
          <rPr>
            <sz val="9"/>
            <color indexed="81"/>
            <rFont val="Tahoma"/>
            <family val="2"/>
          </rPr>
          <t xml:space="preserve">
MDX ou les Admin ne sont pas filtrés (les totaux par contre sont exhaustifs)</t>
        </r>
      </text>
    </comment>
  </commentList>
</comments>
</file>

<file path=xl/sharedStrings.xml><?xml version="1.0" encoding="utf-8"?>
<sst xmlns="http://schemas.openxmlformats.org/spreadsheetml/2006/main" count="2694" uniqueCount="567">
  <si>
    <t>z_Stat_Indicateur</t>
  </si>
  <si>
    <t>Utilisateurs par Zone</t>
  </si>
  <si>
    <t>Administrator</t>
  </si>
  <si>
    <t>Admin</t>
  </si>
  <si>
    <t>ADMIN.DSI</t>
  </si>
  <si>
    <t>admin_vba_process</t>
  </si>
  <si>
    <t>ARNAUD.SZALEK</t>
  </si>
  <si>
    <t>CONSULTANT.TM1</t>
  </si>
  <si>
    <t>ETIENNE.WANIART</t>
  </si>
  <si>
    <t>FREDERIC.BRET</t>
  </si>
  <si>
    <t>OLIVIER.BARRE</t>
  </si>
  <si>
    <t>PASCAL.MADELAIGUE</t>
  </si>
  <si>
    <t>renaud.martial</t>
  </si>
  <si>
    <t>ROZENN.DECREVECOEUR</t>
  </si>
  <si>
    <t>VIET.NGUYEN</t>
  </si>
  <si>
    <t>YANNICK.DERRIEN</t>
  </si>
  <si>
    <t>Australia</t>
  </si>
  <si>
    <t>Alex.Murray</t>
  </si>
  <si>
    <t>Alex.Satyanadhan</t>
  </si>
  <si>
    <t>Andrew.Timmins</t>
  </si>
  <si>
    <t>Ben.Crookes</t>
  </si>
  <si>
    <t>Bruno.Lancelot</t>
  </si>
  <si>
    <t>Colin.Ivey</t>
  </si>
  <si>
    <t>Colin.Jennings</t>
  </si>
  <si>
    <t>Daryl.Caesar</t>
  </si>
  <si>
    <t>David.Nott</t>
  </si>
  <si>
    <t>Edward.Thomas</t>
  </si>
  <si>
    <t>Findlay.Calderwood</t>
  </si>
  <si>
    <t>Geoffroy.Denis</t>
  </si>
  <si>
    <t>Graham.Richards</t>
  </si>
  <si>
    <t>Helen.Kojevnikova</t>
  </si>
  <si>
    <t>Henry.Grzwyna</t>
  </si>
  <si>
    <t>Ian.Kerr</t>
  </si>
  <si>
    <t>Josh.Thornton</t>
  </si>
  <si>
    <t>Julian.McGowan</t>
  </si>
  <si>
    <t>Justin.Miller</t>
  </si>
  <si>
    <t>Kerry.Davy</t>
  </si>
  <si>
    <t>Lance.Henry</t>
  </si>
  <si>
    <t>Len.Kidd</t>
  </si>
  <si>
    <t>Mark.Brogle</t>
  </si>
  <si>
    <t>Matt.Baynie</t>
  </si>
  <si>
    <t>Mijo.Frianjovic</t>
  </si>
  <si>
    <t>Morris.Caputi</t>
  </si>
  <si>
    <t>Murray.Goosen</t>
  </si>
  <si>
    <t>Peter.Bale</t>
  </si>
  <si>
    <t>Phil.Kershaw</t>
  </si>
  <si>
    <t>Ravi.Patel</t>
  </si>
  <si>
    <t>Rebecca.Hawkins</t>
  </si>
  <si>
    <t>Reece.Smith</t>
  </si>
  <si>
    <t>Rhett.Flanigan</t>
  </si>
  <si>
    <t>Robyn.Kleinshmidt</t>
  </si>
  <si>
    <t>Sam.Distefano</t>
  </si>
  <si>
    <t>Sam.Robinson</t>
  </si>
  <si>
    <t>Shane.Ellison</t>
  </si>
  <si>
    <t>Sheena.Sasi Kumar</t>
  </si>
  <si>
    <t>Sze.Ling</t>
  </si>
  <si>
    <t>Theo.Fatseas</t>
  </si>
  <si>
    <t>Tim.Carr</t>
  </si>
  <si>
    <t>Tony.Hopkins</t>
  </si>
  <si>
    <t>Tony.Ralph</t>
  </si>
  <si>
    <t>Warren.Fowler</t>
  </si>
  <si>
    <t>Wayne.Spalding</t>
  </si>
  <si>
    <t>Australia &amp; New Zealand</t>
  </si>
  <si>
    <t>Allison.Leech</t>
  </si>
  <si>
    <t>IAN.HOU</t>
  </si>
  <si>
    <t>Jonathan.Metcalfe</t>
  </si>
  <si>
    <t>louise.roberts</t>
  </si>
  <si>
    <t>Mark.Paterson</t>
  </si>
  <si>
    <t>Peter.Lodge</t>
  </si>
  <si>
    <t>PETRA.HEAVEY</t>
  </si>
  <si>
    <t>Phong.Tran</t>
  </si>
  <si>
    <t>PIERRE.TALGORN</t>
  </si>
  <si>
    <t>shruti.mathur</t>
  </si>
  <si>
    <t>Canada</t>
  </si>
  <si>
    <t>Annie.Lessard</t>
  </si>
  <si>
    <t>CHANTAL.POTVIN</t>
  </si>
  <si>
    <t>Daniel.Rivet</t>
  </si>
  <si>
    <t>DOMINIQUE.LEMAY</t>
  </si>
  <si>
    <t>EMILE.CADIEUX</t>
  </si>
  <si>
    <t>FRANCE.LABRIE</t>
  </si>
  <si>
    <t>GISELE.BOMBARDIER</t>
  </si>
  <si>
    <t>Guy.Malboeuf</t>
  </si>
  <si>
    <t>Jean-Claude.Levesque</t>
  </si>
  <si>
    <t>JULIEN.LEMAY</t>
  </si>
  <si>
    <t>LORRAINE.DUSSAULT</t>
  </si>
  <si>
    <t>LUCILLE.WARD</t>
  </si>
  <si>
    <t>MARTIN.GAUVREAU</t>
  </si>
  <si>
    <t>Michel.Cloutier</t>
  </si>
  <si>
    <t>Michel.Leboeuf</t>
  </si>
  <si>
    <t>NATHALIE.MORISSETTE</t>
  </si>
  <si>
    <t>NATHALIE.RATTE</t>
  </si>
  <si>
    <t>NICOLE.DUTILLY</t>
  </si>
  <si>
    <t>Ron .Cloudsdale</t>
  </si>
  <si>
    <t>SEBASTIEN.BOUDRIAS</t>
  </si>
  <si>
    <t>Sonia.Poulin</t>
  </si>
  <si>
    <t>STEPHANIE.LEVIS</t>
  </si>
  <si>
    <t>SYLVIE.GENEST</t>
  </si>
  <si>
    <t>VALERIE.BERTHIAUME</t>
  </si>
  <si>
    <t>Chile</t>
  </si>
  <si>
    <t>HERNAN.PEREZ</t>
  </si>
  <si>
    <t>ROMAIN.CHAMPENOIS</t>
  </si>
  <si>
    <t>China</t>
  </si>
  <si>
    <t>ELLEN.ZHUANG</t>
  </si>
  <si>
    <t>SHAUN.TAN</t>
  </si>
  <si>
    <t>XIAO.DONG</t>
  </si>
  <si>
    <t>CORPORATE</t>
  </si>
  <si>
    <t>Beatrice.Gelbmann</t>
  </si>
  <si>
    <t>C.JAMY-STOWASSER</t>
  </si>
  <si>
    <t>CATHERINE.VANGYSEL</t>
  </si>
  <si>
    <t>CHRISTELLE.FRESNAIS</t>
  </si>
  <si>
    <t>CHRISTINE.PEYROT</t>
  </si>
  <si>
    <t>CHRISTOPHE.CARER</t>
  </si>
  <si>
    <t>corinne.bardak</t>
  </si>
  <si>
    <t>EMMANUEL.SEMEN</t>
  </si>
  <si>
    <t>FABIENNE.CAUSSIDOU</t>
  </si>
  <si>
    <t>FABIENNE.CAUSSIDOU_LTP</t>
  </si>
  <si>
    <t>FLORENCE.LACAILLE</t>
  </si>
  <si>
    <t>FRANCOIS.MARCHAND</t>
  </si>
  <si>
    <t>FRANCOIS.REGEMBAL</t>
  </si>
  <si>
    <t>GAELE.LAVOUE</t>
  </si>
  <si>
    <t>GUILLAUME.JEANNENEY</t>
  </si>
  <si>
    <t>helene.douarre-emery</t>
  </si>
  <si>
    <t>HUBERT.HAYS-NARBONNE</t>
  </si>
  <si>
    <t>JEAN.BORDEAUX-MONTRIEUX</t>
  </si>
  <si>
    <t>JEAN.STURZENEGGER</t>
  </si>
  <si>
    <t>JEREMY.GRENIER</t>
  </si>
  <si>
    <t>JEROME.GIRARDEAU</t>
  </si>
  <si>
    <t>JOEL.LAGESSE</t>
  </si>
  <si>
    <t>JOEL.LAGESSE_LTP</t>
  </si>
  <si>
    <t>JULIEN.NAVES</t>
  </si>
  <si>
    <t>JULIEN.NAVES_LTP</t>
  </si>
  <si>
    <t>kelly.Marchal</t>
  </si>
  <si>
    <t>LAURENT.TERRIS</t>
  </si>
  <si>
    <t>LOIC.HUET</t>
  </si>
  <si>
    <t>LOIC.HUET_LTP</t>
  </si>
  <si>
    <t>lounis.nait-amer</t>
  </si>
  <si>
    <t>MARCOS.GARCIA</t>
  </si>
  <si>
    <t>michael.deruiter</t>
  </si>
  <si>
    <t>NADIR.MEZIANI</t>
  </si>
  <si>
    <t>NANA.PEPRAH</t>
  </si>
  <si>
    <t>NATHALIE.RESMOND</t>
  </si>
  <si>
    <t>OLIVIER.HASSOUN</t>
  </si>
  <si>
    <t>SOFIANE.HOCHART</t>
  </si>
  <si>
    <t>SOLENE.KERMORGANT-MASSON</t>
  </si>
  <si>
    <t>SOPHIE.ROLLAN</t>
  </si>
  <si>
    <t>SOPHIE.ROLLAN_LTP</t>
  </si>
  <si>
    <t>Sylvie.Levare</t>
  </si>
  <si>
    <t>yann.leriche</t>
  </si>
  <si>
    <t>EUROLINES</t>
  </si>
  <si>
    <t>CHRISTOPHE.C.HUSSON</t>
  </si>
  <si>
    <t>Fatna.BELGACEM</t>
  </si>
  <si>
    <t>Finland</t>
  </si>
  <si>
    <t>PAIVI.KATAJISTO</t>
  </si>
  <si>
    <t>SATU.AHOLA</t>
  </si>
  <si>
    <t>FRANCE</t>
  </si>
  <si>
    <t>a-c.jaffard</t>
  </si>
  <si>
    <t>AGNES.DEZE</t>
  </si>
  <si>
    <t>AIMAD.SEFIANI</t>
  </si>
  <si>
    <t>Alain.Fargeau</t>
  </si>
  <si>
    <t>ALAIN.PITTAVINO</t>
  </si>
  <si>
    <t>ALBERT.BELINGARD</t>
  </si>
  <si>
    <t>alexandre.toullec</t>
  </si>
  <si>
    <t>ALEXIA.BAUMELOU</t>
  </si>
  <si>
    <t>ALICE.LEUNG-SAM-FONG</t>
  </si>
  <si>
    <t>ALINE.PATERNOTTE</t>
  </si>
  <si>
    <t>ANNE-MARIE.CASIMIRO</t>
  </si>
  <si>
    <t>ANTHONY.MELIN</t>
  </si>
  <si>
    <t>ARNAUD.HESPEL</t>
  </si>
  <si>
    <t>ARNAUD.LAVILLE</t>
  </si>
  <si>
    <t>arnaud.vitou</t>
  </si>
  <si>
    <t>AUDE.ANCEL</t>
  </si>
  <si>
    <t>AURELIE.VUAGNAT</t>
  </si>
  <si>
    <t>BEATRICE.AYAD</t>
  </si>
  <si>
    <t>BEATRICE.PICHON</t>
  </si>
  <si>
    <t>BERNADETTE.HENNE</t>
  </si>
  <si>
    <t>BERNARD.COLLET</t>
  </si>
  <si>
    <t>BETTY.GODEST</t>
  </si>
  <si>
    <t>BOYKA.NIKOLOVA</t>
  </si>
  <si>
    <t>BRIGITTE.FORFERT</t>
  </si>
  <si>
    <t>BRUNO.ROSSET</t>
  </si>
  <si>
    <t>CAROLINE.TORLET</t>
  </si>
  <si>
    <t>CATHERINE.GUILBERT</t>
  </si>
  <si>
    <t>CATHERINE.REBOLLO</t>
  </si>
  <si>
    <t>CATHERINE.VIDAL</t>
  </si>
  <si>
    <t>CATHY.FEMENIA</t>
  </si>
  <si>
    <t>CELINE.DESOLI</t>
  </si>
  <si>
    <t>CELINE.ROLAND</t>
  </si>
  <si>
    <t>CHANTAL.MORI</t>
  </si>
  <si>
    <t>CHARLOTTE.MAUCHIEN</t>
  </si>
  <si>
    <t>CHRISTELLE.BAILLY</t>
  </si>
  <si>
    <t>CHRISTIAN.KERCKHOVE</t>
  </si>
  <si>
    <t>CHRISTILIA.MUSCAT</t>
  </si>
  <si>
    <t>CHRISTINE.BARON</t>
  </si>
  <si>
    <t>CHRISTINE.GASPARINI</t>
  </si>
  <si>
    <t>CHRISTOPHE.PELTIER</t>
  </si>
  <si>
    <t>CLAIRE.CAMPANELLA</t>
  </si>
  <si>
    <t>CLEMENCE.KUREK</t>
  </si>
  <si>
    <t>CLEMENT.MENASSIER</t>
  </si>
  <si>
    <t>CORINE.LAINE</t>
  </si>
  <si>
    <t>CORINNE.DAVID</t>
  </si>
  <si>
    <t>CORINNE.LOZANO</t>
  </si>
  <si>
    <t>CYRIL.BOURDIN</t>
  </si>
  <si>
    <t>DAMIEN.HUYSENTRUYT</t>
  </si>
  <si>
    <t>DANIEL.MAIA</t>
  </si>
  <si>
    <t>DANIEL.MORENO</t>
  </si>
  <si>
    <t>DANIELLE.FOUQUY</t>
  </si>
  <si>
    <t>DARATHAY.LOVAN</t>
  </si>
  <si>
    <t>DENIS.MONTANES</t>
  </si>
  <si>
    <t>Edouard.CASTRO</t>
  </si>
  <si>
    <t>ELIZABETH.CORTES</t>
  </si>
  <si>
    <t>EMILIE.DEL-GALLO</t>
  </si>
  <si>
    <t>EMILIE.HENRY</t>
  </si>
  <si>
    <t>EMMANUEL.BOURDILLAT</t>
  </si>
  <si>
    <t>EMMANUEL.LEMAIGNEN</t>
  </si>
  <si>
    <t>EMMELINE.MORO</t>
  </si>
  <si>
    <t>ERIC.ANTOINE</t>
  </si>
  <si>
    <t>ERIC.PELOTON</t>
  </si>
  <si>
    <t>ERIC.VALLEE</t>
  </si>
  <si>
    <t>ERIC.VANDERMOERE</t>
  </si>
  <si>
    <t>EVELYNE.HIERSO</t>
  </si>
  <si>
    <t>EVRARD.PLUMEAU</t>
  </si>
  <si>
    <t>F-O.ROSSIGNOLLE</t>
  </si>
  <si>
    <t>FABIENNE.DUMONTIER</t>
  </si>
  <si>
    <t>FABRICE.SAKEZIN</t>
  </si>
  <si>
    <t>FLORENCE.GARRIVET</t>
  </si>
  <si>
    <t>FLORENCE.PRIANON</t>
  </si>
  <si>
    <t>FLORIAN.SCRITE</t>
  </si>
  <si>
    <t>FREDERIC.CHAPUIS</t>
  </si>
  <si>
    <t>FREDERIC.MONTEIRO</t>
  </si>
  <si>
    <t>FREDERIQUE.PUYJALON</t>
  </si>
  <si>
    <t>GAELLE.OLIVIER</t>
  </si>
  <si>
    <t>GAYLORD.COIGNARD</t>
  </si>
  <si>
    <t>GERARD.MERIC</t>
  </si>
  <si>
    <t>GILLES.ODIC</t>
  </si>
  <si>
    <t>HELENE.VALLERANT</t>
  </si>
  <si>
    <t>HERVE.MONNIER</t>
  </si>
  <si>
    <t>Hugues.de-vasselot</t>
  </si>
  <si>
    <t>ISABELLE.HOUDART</t>
  </si>
  <si>
    <t>ISABELLE.MONTAGU</t>
  </si>
  <si>
    <t>ISABELLE.PREVOST</t>
  </si>
  <si>
    <t>JACQUELINE.BATHEDOU</t>
  </si>
  <si>
    <t>JEAN-BAPTISTE.DUPONT</t>
  </si>
  <si>
    <t>JEAN-MARC.MORENO</t>
  </si>
  <si>
    <t>JEAN-MARIE.ESTEBE</t>
  </si>
  <si>
    <t>JEAN-MARIE.LOISEL</t>
  </si>
  <si>
    <t>JEAN-MICHEL.CARLE</t>
  </si>
  <si>
    <t>JEAN-PHILIPPE.BIET</t>
  </si>
  <si>
    <t>JEAN-PIERRE.POCHAT</t>
  </si>
  <si>
    <t>JESSICA.SULTAN</t>
  </si>
  <si>
    <t>JULIE.BUREL</t>
  </si>
  <si>
    <t>JULIE.CHAUVIN</t>
  </si>
  <si>
    <t>JULIEN.DAMANCE</t>
  </si>
  <si>
    <t>JULIO.REYES</t>
  </si>
  <si>
    <t>katie.lozay</t>
  </si>
  <si>
    <t>LAETITIA.AUBERTIN</t>
  </si>
  <si>
    <t>LINE.KOSIOR</t>
  </si>
  <si>
    <t>LOIC.GOUNON</t>
  </si>
  <si>
    <t>LYDIE.JOUBAULT</t>
  </si>
  <si>
    <t>M-C.MERCEREAU</t>
  </si>
  <si>
    <t>M-O.GAZAGNE</t>
  </si>
  <si>
    <t>M.FAVRE-DES-COTES</t>
  </si>
  <si>
    <t>MAGALI.ANTONI</t>
  </si>
  <si>
    <t>MALA.ETH</t>
  </si>
  <si>
    <t>MAMADOU.DIEDHIOU</t>
  </si>
  <si>
    <t>MARC.GARCZYNSKI</t>
  </si>
  <si>
    <t>MARC.HATE</t>
  </si>
  <si>
    <t>MARC.LAFORGUE</t>
  </si>
  <si>
    <t>MARIE-HELENE.GEHNERT</t>
  </si>
  <si>
    <t>MARIE-NOELLE.MAZON</t>
  </si>
  <si>
    <t>MARIE.FELICE</t>
  </si>
  <si>
    <t>MARIE.PARDO</t>
  </si>
  <si>
    <t>MARTINE.MOLINARI</t>
  </si>
  <si>
    <t>MAUD.BERTHAULT</t>
  </si>
  <si>
    <t>MELANIE.DECHAMPS</t>
  </si>
  <si>
    <t>MYRIAM.JOUHRI</t>
  </si>
  <si>
    <t>NATHALIE.CAZENEUVE</t>
  </si>
  <si>
    <t>NATHALIE.DEQUESNE</t>
  </si>
  <si>
    <t>NICOLAS.FISHER</t>
  </si>
  <si>
    <t>NICOLAS.LERALL</t>
  </si>
  <si>
    <t>NICOLE.THIBAUD</t>
  </si>
  <si>
    <t>OLIVIER.CADET</t>
  </si>
  <si>
    <t>OLIVIER.FERRAND</t>
  </si>
  <si>
    <t>PAULIN.CALVEZ</t>
  </si>
  <si>
    <t>PHILIPPE.FLEURY</t>
  </si>
  <si>
    <t>philippe.rodrigues</t>
  </si>
  <si>
    <t>R.FAURE-MILLER</t>
  </si>
  <si>
    <t>RAPHAEL.ROUX</t>
  </si>
  <si>
    <t>RICHARD.DREVET</t>
  </si>
  <si>
    <t>ROSE-ANNE.SIMON</t>
  </si>
  <si>
    <t>SABINE.CONGNARD</t>
  </si>
  <si>
    <t>SALIMA.ZEGHOUDI</t>
  </si>
  <si>
    <t>SANDRINE.GIMENEZ</t>
  </si>
  <si>
    <t>SANDRINE.PATANCHON</t>
  </si>
  <si>
    <t>SEBASTIEN.MARCHE</t>
  </si>
  <si>
    <t>SEBASTIEN.NOEL</t>
  </si>
  <si>
    <t>SIMONE.ETCHEVERRY</t>
  </si>
  <si>
    <t>SOFIA.FERNANDES</t>
  </si>
  <si>
    <t>SONIA.PALUMBO</t>
  </si>
  <si>
    <t>sophie.dominguez</t>
  </si>
  <si>
    <t>STEPHANE.BISSON</t>
  </si>
  <si>
    <t>STEPHANE.GIGON</t>
  </si>
  <si>
    <t>STEPHANIE.DUCORNET</t>
  </si>
  <si>
    <t>STEPHANIE.PFEIFFER</t>
  </si>
  <si>
    <t>SYLVAIN.FLECHAIRE</t>
  </si>
  <si>
    <t>Sylvain.Prevot</t>
  </si>
  <si>
    <t>SYLVAIN.RUCHAUD</t>
  </si>
  <si>
    <t>SYLVIE.MAITRE</t>
  </si>
  <si>
    <t>THIBAUD.NICOLLE</t>
  </si>
  <si>
    <t>THIERRY.ERVEDOZA</t>
  </si>
  <si>
    <t>THOMAS.MALIET</t>
  </si>
  <si>
    <t>VALERIE.CHARIER</t>
  </si>
  <si>
    <t>VALERIE.GUERRY</t>
  </si>
  <si>
    <t>VALERIE.MORIN</t>
  </si>
  <si>
    <t>VERONIQUE.BONICHON</t>
  </si>
  <si>
    <t>VERONIQUE.BOUGAMONT</t>
  </si>
  <si>
    <t>VERONIQUE.GEY</t>
  </si>
  <si>
    <t>VERONIQUE.PECQUENARD</t>
  </si>
  <si>
    <t>VINCENT.KRUSZEWSKI</t>
  </si>
  <si>
    <t>VINCENT.MALIVERNAY</t>
  </si>
  <si>
    <t>VIOLAINE.DUCLOS</t>
  </si>
  <si>
    <t>VIRGINIE.VACHERON</t>
  </si>
  <si>
    <t>XAVIER.DURANTET</t>
  </si>
  <si>
    <t>YAHYA.CHATAR</t>
  </si>
  <si>
    <t>YASMINA.MICOUD</t>
  </si>
  <si>
    <t>yoann.poulvelarie</t>
  </si>
  <si>
    <t>YOHANN.REGNAUX</t>
  </si>
  <si>
    <t>YVELINE.GUILLOU</t>
  </si>
  <si>
    <t>YVES.NOURRY</t>
  </si>
  <si>
    <t>Germany</t>
  </si>
  <si>
    <t>ANKE.NEUMANN</t>
  </si>
  <si>
    <t>JULIAN.SCHMIDT</t>
  </si>
  <si>
    <t>KARSTEN.GRAEBER</t>
  </si>
  <si>
    <t>KATRIN.KEIDAT</t>
  </si>
  <si>
    <t>Matthias.Adler</t>
  </si>
  <si>
    <t>STEFAN.MANS</t>
  </si>
  <si>
    <t>YOUNES.ROUISSI</t>
  </si>
  <si>
    <t>Hong Kong</t>
  </si>
  <si>
    <t>CAROL.LU</t>
  </si>
  <si>
    <t>CHLOE.LAI</t>
  </si>
  <si>
    <t>MAGGY.TSANG</t>
  </si>
  <si>
    <t>India</t>
  </si>
  <si>
    <t>MILIND.KALELKAR</t>
  </si>
  <si>
    <t>Ireland</t>
  </si>
  <si>
    <t>MARY.MORRELL</t>
  </si>
  <si>
    <t>Korea</t>
  </si>
  <si>
    <t>JAE-CHUL.CHOI</t>
  </si>
  <si>
    <t>SUNKYUNG.CHOI</t>
  </si>
  <si>
    <t>Morocco</t>
  </si>
  <si>
    <t>RADOUANE.BOUNATTA</t>
  </si>
  <si>
    <t>SAAD.HAMERY</t>
  </si>
  <si>
    <t>NAM  - Corp</t>
  </si>
  <si>
    <t>JAN.HORSTMANN</t>
  </si>
  <si>
    <t>NICOLAS.RAUCOURT</t>
  </si>
  <si>
    <t>ROLAND.PILOD</t>
  </si>
  <si>
    <t>tango-anglais2</t>
  </si>
  <si>
    <t>Netherlands -  CXX</t>
  </si>
  <si>
    <t>BENNO.SCHEP</t>
  </si>
  <si>
    <t>HENNIE.VAN-SCHAIK</t>
  </si>
  <si>
    <t>JASPER.MUIS</t>
  </si>
  <si>
    <t>JEROEN.KLOEZEMAN</t>
  </si>
  <si>
    <t>PETER.DE-RAADT</t>
  </si>
  <si>
    <t>ROBBERT.DE-WIT</t>
  </si>
  <si>
    <t>VLADLENA.DOROFEEVA</t>
  </si>
  <si>
    <t>Netherlands -  VTNL</t>
  </si>
  <si>
    <t>marcel.van-herk</t>
  </si>
  <si>
    <t>MARTIJN.NENNIE</t>
  </si>
  <si>
    <t>Portugal</t>
  </si>
  <si>
    <t>Alvaro.Pimenta</t>
  </si>
  <si>
    <t>Amandio.Oliveira</t>
  </si>
  <si>
    <t>Andre.Leitao</t>
  </si>
  <si>
    <t>Antonio.Fernandes</t>
  </si>
  <si>
    <t>Artur.Sousa</t>
  </si>
  <si>
    <t>Carlos.Carneiro</t>
  </si>
  <si>
    <t>David.Cruz</t>
  </si>
  <si>
    <t>Dinis.Pereira</t>
  </si>
  <si>
    <t>Filipe.Lima</t>
  </si>
  <si>
    <t>HUGO.BACELOS</t>
  </si>
  <si>
    <t>ISABEL.GOMES</t>
  </si>
  <si>
    <t>Joao.Araujo</t>
  </si>
  <si>
    <t>Joao.Varzeas</t>
  </si>
  <si>
    <t>JOSE-MIGUEL.RIBEIRO</t>
  </si>
  <si>
    <t>Jose.Gomes</t>
  </si>
  <si>
    <t>LILIANA.VIEIRA</t>
  </si>
  <si>
    <t>Luis.Bispo</t>
  </si>
  <si>
    <t>Luis.Salvador</t>
  </si>
  <si>
    <t>MARIANA.COUTINHO</t>
  </si>
  <si>
    <t>Michel.Maanen</t>
  </si>
  <si>
    <t>Paulo.Silva</t>
  </si>
  <si>
    <t>Ricardo.Afonso</t>
  </si>
  <si>
    <t>Ricardo.Paulo</t>
  </si>
  <si>
    <t>Sergio.Adegas</t>
  </si>
  <si>
    <t>Sergio.Costa</t>
  </si>
  <si>
    <t>Sergio.Ferreira</t>
  </si>
  <si>
    <t>Susete.Almeida</t>
  </si>
  <si>
    <t>Teresa.Reis</t>
  </si>
  <si>
    <t>VITOR.CARDOSO</t>
  </si>
  <si>
    <t>Portugal/Routier</t>
  </si>
  <si>
    <t>AGOSTINHO.FERREIRA</t>
  </si>
  <si>
    <t>EUNICE.NOGUEIRA</t>
  </si>
  <si>
    <t>JOAO.SOARES</t>
  </si>
  <si>
    <t>Marco.Augusto</t>
  </si>
  <si>
    <t>PAULO.REIS</t>
  </si>
  <si>
    <t>Pierre.Jaffard</t>
  </si>
  <si>
    <t>Rui.Silva</t>
  </si>
  <si>
    <t>USER.TEST</t>
  </si>
  <si>
    <t>Spain</t>
  </si>
  <si>
    <t>JAVIER.ANGOITIA</t>
  </si>
  <si>
    <t>MONTSE.LOBATO</t>
  </si>
  <si>
    <t>ROSA.CASTRO</t>
  </si>
  <si>
    <t>Sweden</t>
  </si>
  <si>
    <t>BJORN.WEIDSTAM</t>
  </si>
  <si>
    <t>FABRICE.ANDRIVEAU</t>
  </si>
  <si>
    <t>Magnus.Nordlof</t>
  </si>
  <si>
    <t>UK &amp; TOD</t>
  </si>
  <si>
    <t>Cedric.Rouveyrol</t>
  </si>
  <si>
    <t>JACK.STANISIC</t>
  </si>
  <si>
    <t>JULIE.DANIELLS</t>
  </si>
  <si>
    <t>USA - On Demand</t>
  </si>
  <si>
    <t>CHRISTY.WEEMS</t>
  </si>
  <si>
    <t>KAVITA.PATEL</t>
  </si>
  <si>
    <t>MATT.BUSHARD</t>
  </si>
  <si>
    <t>PAUL.BRUNOFORTE</t>
  </si>
  <si>
    <t>WADE.PENNINGTON</t>
  </si>
  <si>
    <t>USA - Transit</t>
  </si>
  <si>
    <t>JENNIFER.RUSNIAK</t>
  </si>
  <si>
    <t>KEVIN.OOMS</t>
  </si>
  <si>
    <t>STEVE.BREIDENBAUGH</t>
  </si>
  <si>
    <t>zZone NA</t>
  </si>
  <si>
    <t>ACHILLE.ESSOMBE</t>
  </si>
  <si>
    <t>ALAIN.LAROUSSE</t>
  </si>
  <si>
    <t>ANDREEA.TICOI</t>
  </si>
  <si>
    <t>anne-catherine.jaffard</t>
  </si>
  <si>
    <t>ANNE-MARIE.FREMONT</t>
  </si>
  <si>
    <t>ANNIKA.REHLAENDER</t>
  </si>
  <si>
    <t>ANTOINE.COROYER</t>
  </si>
  <si>
    <t>ARNAUD.VILLIN</t>
  </si>
  <si>
    <t>ARSENE.BOSSON</t>
  </si>
  <si>
    <t>ASTRID.DEGEYER</t>
  </si>
  <si>
    <t>Berthiaume.Valerie</t>
  </si>
  <si>
    <t>Billy.Clem</t>
  </si>
  <si>
    <t>Bombardier.Gisele</t>
  </si>
  <si>
    <t>Boudrias.Sebastien</t>
  </si>
  <si>
    <t>Ceu.Branco</t>
  </si>
  <si>
    <t>DAPO.KELEKO</t>
  </si>
  <si>
    <t>DORIANE.GALL</t>
  </si>
  <si>
    <t>Dussault.Lorraine</t>
  </si>
  <si>
    <t>edwin.yap</t>
  </si>
  <si>
    <t>ELODIE.CHOUISNARD</t>
  </si>
  <si>
    <t>Enis.sliti</t>
  </si>
  <si>
    <t>FLORENCE.ESCULIER</t>
  </si>
  <si>
    <t>FLORENCE.LACAILLE_LTP</t>
  </si>
  <si>
    <t>GABRIELE.DONA</t>
  </si>
  <si>
    <t>Gaetan.Labelle</t>
  </si>
  <si>
    <t>Gauvreau.Martin</t>
  </si>
  <si>
    <t>Genest.Sylvie</t>
  </si>
  <si>
    <t>GUILLAUME.JEANNENEY_LTP</t>
  </si>
  <si>
    <t>HERVE.LACOMBE</t>
  </si>
  <si>
    <t>HUMBERT.DE-MIRIBEL</t>
  </si>
  <si>
    <t>Ian.Cash</t>
  </si>
  <si>
    <t>INGE.TAN</t>
  </si>
  <si>
    <t>JAECHUL.CHOI</t>
  </si>
  <si>
    <t>Jennifer.Corke</t>
  </si>
  <si>
    <t>KETHY.PHILOCLES</t>
  </si>
  <si>
    <t>KEVIN.PIRET</t>
  </si>
  <si>
    <t>Labrie.France</t>
  </si>
  <si>
    <t>Lemay.Julien</t>
  </si>
  <si>
    <t>LEO.PINGEOT</t>
  </si>
  <si>
    <t>Marcus.Deering</t>
  </si>
  <si>
    <t>MARIE.DIOP</t>
  </si>
  <si>
    <t>MATHIEU.CREPY</t>
  </si>
  <si>
    <t>Michel.van Maanen</t>
  </si>
  <si>
    <t>MIGUEL.FERNANDES</t>
  </si>
  <si>
    <t>Morissette.Nathalie</t>
  </si>
  <si>
    <t>NATALIA.BASTRON</t>
  </si>
  <si>
    <t>Non affecté</t>
  </si>
  <si>
    <t>OROWER</t>
  </si>
  <si>
    <t>P-E.Dubois</t>
  </si>
  <si>
    <t>PBRUNOFORTE</t>
  </si>
  <si>
    <t>PIERRE.TALGORN_LTP</t>
  </si>
  <si>
    <t>Potvin.Chantal</t>
  </si>
  <si>
    <t>Ratte.Nathalie</t>
  </si>
  <si>
    <t>rosa.castrosanchez</t>
  </si>
  <si>
    <t>Sandra.Vinagre</t>
  </si>
  <si>
    <t>SOFIA.MAMOUNI</t>
  </si>
  <si>
    <t>SORAIS.LAURANNE</t>
  </si>
  <si>
    <t>STEWART.SHUTE</t>
  </si>
  <si>
    <t>Susan.Stevenson</t>
  </si>
  <si>
    <t>TEDDY.SAINT-AMAND</t>
  </si>
  <si>
    <t>TEDDY.SAINTAMAND</t>
  </si>
  <si>
    <t>THIERRY.LEGROS</t>
  </si>
  <si>
    <t>TOM.LAVOY</t>
  </si>
  <si>
    <t>VENUS.CHAU</t>
  </si>
  <si>
    <t>VIRGINIE.MERLE</t>
  </si>
  <si>
    <t>Ward.Lucille</t>
  </si>
  <si>
    <t>XINJIANG.WANG</t>
  </si>
  <si>
    <t>YVON.MIDOL</t>
  </si>
  <si>
    <t>Utilisateurs par Fonction</t>
  </si>
  <si>
    <t>Accountant</t>
  </si>
  <si>
    <t>Chief Financial Officer</t>
  </si>
  <si>
    <t>Contrôleur de gestion IDF</t>
  </si>
  <si>
    <t>Contrôleur financier France</t>
  </si>
  <si>
    <t>DAF</t>
  </si>
  <si>
    <t>Finance</t>
  </si>
  <si>
    <t>Finance Manager</t>
  </si>
  <si>
    <t>Responsable Contrôle Financier Central</t>
  </si>
  <si>
    <t>Responsable performance</t>
  </si>
  <si>
    <t>Stagiaire - Contrôle Financier</t>
  </si>
  <si>
    <t>zFonction NA</t>
  </si>
  <si>
    <t>Total_Utilisateurs</t>
  </si>
  <si>
    <t>Utilisateurs_Courants</t>
  </si>
  <si>
    <t>Utilisateurs_Histo</t>
  </si>
  <si>
    <t>Utilisateurs LTP</t>
  </si>
  <si>
    <t>zLTP NA</t>
  </si>
  <si>
    <t>Utilisateurs Country_PM</t>
  </si>
  <si>
    <t>zCountry_PM NA</t>
  </si>
  <si>
    <t>Utilisateurs par Profil</t>
  </si>
  <si>
    <t>Admin.</t>
  </si>
  <si>
    <t>Country_PM</t>
  </si>
  <si>
    <t>zProfil NA</t>
  </si>
  <si>
    <t>D</t>
  </si>
  <si>
    <t>N</t>
  </si>
  <si>
    <t>[Begin Format Range]</t>
  </si>
  <si>
    <t>[End Format Range]</t>
  </si>
  <si>
    <t>Prenom</t>
  </si>
  <si>
    <t>Nom</t>
  </si>
  <si>
    <t>AdresseMail</t>
  </si>
  <si>
    <t>Zone</t>
  </si>
  <si>
    <t>Profil</t>
  </si>
  <si>
    <t>Fonction</t>
  </si>
  <si>
    <t>EstCourant</t>
  </si>
  <si>
    <t>EstCountry_PM</t>
  </si>
  <si>
    <t>EstLTP</t>
  </si>
  <si>
    <t>DateCreation</t>
  </si>
  <si>
    <t>DateSuppression</t>
  </si>
  <si>
    <t>DateMAJ</t>
  </si>
  <si>
    <t>Nombre de jours ouvrables -&gt;&gt;</t>
  </si>
  <si>
    <t>STR_VAR1</t>
  </si>
  <si>
    <t>CURRENT_YEAR</t>
  </si>
  <si>
    <t>PREVIOUS_YEAR</t>
  </si>
  <si>
    <t>CURRENT_PERIOD</t>
  </si>
  <si>
    <t>CURRENT_PERIOD_CUMUL</t>
  </si>
  <si>
    <t>MONTH_ACTUAL</t>
  </si>
  <si>
    <t>Administration Generic Context :</t>
  </si>
  <si>
    <t>Server Name :</t>
  </si>
  <si>
    <t>xServer</t>
  </si>
  <si>
    <t>Host Server :</t>
  </si>
  <si>
    <t>TFR-AP019298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</si>
  <si>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</si>
  <si>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</si>
  <si>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</si>
  <si>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</si>
  <si>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</si>
  <si>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</si>
  <si>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</si>
  <si>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Local language</t>
  </si>
  <si>
    <t>Language List :</t>
  </si>
  <si>
    <t>English</t>
  </si>
  <si>
    <t>French</t>
  </si>
  <si>
    <t>Dutch</t>
  </si>
  <si>
    <t>German</t>
  </si>
  <si>
    <t>Portuguese</t>
  </si>
  <si>
    <t>BUDG_TOT</t>
  </si>
  <si>
    <t>Stats Tango Core Model - Analyse 2 Years</t>
  </si>
  <si>
    <t>Afficher_tout</t>
  </si>
  <si>
    <t>="{TM1DRILLDOWNMEMBER( {TM1FILTERBYPATTERN( {TM1SUBSETALL( [Z_Stat_utilisateur] )}, """&amp;Top_Hierarchy&amp;""")}, ALL, RECURSIVE )}"</t>
  </si>
  <si>
    <t>tango_core_model:</t>
  </si>
  <si>
    <t>Inactif &lt; 6 mois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</si>
</sst>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- &quot;@"/>
    <numFmt numFmtId="165" formatCode="_-* #,##0.00\ _F_-;\-* #,##0.00\ _F_-;_-* &quot;-&quot;??\ _F_-;_-@_-"/>
    <numFmt numFmtId="166" formatCode="_(* #,##0.00_);_(* \(#,##0.00\);_(* &quot;-&quot;??_);_(@_)"/>
    <numFmt numFmtId="167" formatCode="#,###,##0.00"/>
    <numFmt numFmtId="168" formatCode="#,###,##0.0"/>
    <numFmt numFmtId="169" formatCode="#,###,##0"/>
    <numFmt numFmtId="170" formatCode="0.00_)"/>
    <numFmt numFmtId="171" formatCode="#,###,##0.000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 tint="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6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medium">
        <color theme="1" tint="0.34998626667073579"/>
      </left>
      <right style="medium">
        <color theme="1" tint="0.34998626667073579"/>
      </right>
      <top/>
      <bottom style="thin">
        <color theme="1" tint="0.3499862666707357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32">
    <xf numFmtId="0" fontId="0" fillId="0" borderId="0"/>
    <xf numFmtId="0" fontId="12" fillId="0" borderId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14" borderId="21" applyNumberFormat="0" applyAlignment="0" applyProtection="0"/>
    <xf numFmtId="0" fontId="16" fillId="14" borderId="21" applyNumberFormat="0" applyAlignment="0" applyProtection="0"/>
    <xf numFmtId="0" fontId="16" fillId="14" borderId="21" applyNumberFormat="0" applyAlignment="0" applyProtection="0"/>
    <xf numFmtId="0" fontId="16" fillId="14" borderId="21" applyNumberFormat="0" applyAlignment="0" applyProtection="0"/>
    <xf numFmtId="0" fontId="17" fillId="27" borderId="22" applyNumberFormat="0" applyAlignment="0" applyProtection="0"/>
    <xf numFmtId="0" fontId="17" fillId="27" borderId="22" applyNumberFormat="0" applyAlignment="0" applyProtection="0"/>
    <xf numFmtId="0" fontId="17" fillId="27" borderId="22" applyNumberFormat="0" applyAlignment="0" applyProtection="0"/>
    <xf numFmtId="0" fontId="17" fillId="27" borderId="22" applyNumberFormat="0" applyAlignment="0" applyProtection="0"/>
    <xf numFmtId="0" fontId="18" fillId="0" borderId="16">
      <alignment horizontal="left" wrapText="1"/>
    </xf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1" fillId="0" borderId="23" applyNumberFormat="0" applyFill="0" applyAlignment="0" applyProtection="0"/>
    <xf numFmtId="0" fontId="21" fillId="0" borderId="23" applyNumberFormat="0" applyFill="0" applyAlignment="0" applyProtection="0"/>
    <xf numFmtId="0" fontId="21" fillId="0" borderId="23" applyNumberFormat="0" applyFill="0" applyAlignment="0" applyProtection="0"/>
    <xf numFmtId="0" fontId="21" fillId="0" borderId="23" applyNumberFormat="0" applyFill="0" applyAlignment="0" applyProtection="0"/>
    <xf numFmtId="0" fontId="22" fillId="0" borderId="24" applyNumberFormat="0" applyFill="0" applyAlignment="0" applyProtection="0"/>
    <xf numFmtId="0" fontId="22" fillId="0" borderId="24" applyNumberFormat="0" applyFill="0" applyAlignment="0" applyProtection="0"/>
    <xf numFmtId="0" fontId="22" fillId="0" borderId="24" applyNumberFormat="0" applyFill="0" applyAlignment="0" applyProtection="0"/>
    <xf numFmtId="0" fontId="22" fillId="0" borderId="24" applyNumberFormat="0" applyFill="0" applyAlignment="0" applyProtection="0"/>
    <xf numFmtId="0" fontId="23" fillId="0" borderId="25" applyNumberFormat="0" applyFill="0" applyAlignment="0" applyProtection="0"/>
    <xf numFmtId="0" fontId="23" fillId="0" borderId="25" applyNumberFormat="0" applyFill="0" applyAlignment="0" applyProtection="0"/>
    <xf numFmtId="0" fontId="23" fillId="0" borderId="25" applyNumberFormat="0" applyFill="0" applyAlignment="0" applyProtection="0"/>
    <xf numFmtId="0" fontId="23" fillId="0" borderId="25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14" borderId="21" applyNumberFormat="0" applyAlignment="0" applyProtection="0"/>
    <xf numFmtId="0" fontId="26" fillId="14" borderId="21" applyNumberFormat="0" applyAlignment="0" applyProtection="0"/>
    <xf numFmtId="0" fontId="26" fillId="14" borderId="21" applyNumberFormat="0" applyAlignment="0" applyProtection="0"/>
    <xf numFmtId="0" fontId="26" fillId="14" borderId="21" applyNumberFormat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7" fontId="27" fillId="28" borderId="0" applyNumberFormat="0" applyBorder="0">
      <alignment horizontal="right"/>
      <protection locked="0"/>
    </xf>
    <xf numFmtId="0" fontId="28" fillId="0" borderId="26" applyNumberFormat="0" applyFill="0" applyAlignment="0" applyProtection="0"/>
    <xf numFmtId="0" fontId="28" fillId="0" borderId="26" applyNumberFormat="0" applyFill="0" applyAlignment="0" applyProtection="0"/>
    <xf numFmtId="0" fontId="28" fillId="0" borderId="26" applyNumberFormat="0" applyFill="0" applyAlignment="0" applyProtection="0"/>
    <xf numFmtId="0" fontId="28" fillId="0" borderId="26" applyNumberFormat="0" applyFill="0" applyAlignment="0" applyProtection="0"/>
    <xf numFmtId="168" fontId="29" fillId="29" borderId="0" applyNumberFormat="0" applyBorder="0">
      <alignment horizontal="right" vertical="center"/>
      <protection locked="0"/>
    </xf>
    <xf numFmtId="169" fontId="29" fillId="30" borderId="0" applyNumberFormat="0" applyBorder="0">
      <alignment horizontal="right" vertical="center"/>
      <protection locked="0"/>
    </xf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30" fillId="31" borderId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0" fillId="31" borderId="0"/>
    <xf numFmtId="0" fontId="30" fillId="31" borderId="0"/>
    <xf numFmtId="170" fontId="3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33" borderId="27" applyNumberFormat="0" applyFont="0" applyAlignment="0" applyProtection="0"/>
    <xf numFmtId="0" fontId="13" fillId="33" borderId="27" applyNumberFormat="0" applyFont="0" applyAlignment="0" applyProtection="0"/>
    <xf numFmtId="0" fontId="13" fillId="33" borderId="27" applyNumberFormat="0" applyFont="0" applyAlignment="0" applyProtection="0"/>
    <xf numFmtId="0" fontId="13" fillId="33" borderId="27" applyNumberFormat="0" applyFont="0" applyAlignment="0" applyProtection="0"/>
    <xf numFmtId="0" fontId="30" fillId="31" borderId="0"/>
    <xf numFmtId="0" fontId="33" fillId="14" borderId="28" applyNumberFormat="0" applyAlignment="0" applyProtection="0"/>
    <xf numFmtId="0" fontId="33" fillId="14" borderId="28" applyNumberFormat="0" applyAlignment="0" applyProtection="0"/>
    <xf numFmtId="0" fontId="33" fillId="14" borderId="28" applyNumberFormat="0" applyAlignment="0" applyProtection="0"/>
    <xf numFmtId="0" fontId="33" fillId="14" borderId="28" applyNumberForma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171" fontId="35" fillId="34" borderId="0" applyNumberFormat="0" applyBorder="0">
      <alignment horizontal="left" vertical="center"/>
      <protection locked="0"/>
    </xf>
    <xf numFmtId="171" fontId="36" fillId="28" borderId="0" applyNumberFormat="0" applyBorder="0">
      <alignment horizontal="left"/>
      <protection locked="0"/>
    </xf>
    <xf numFmtId="0" fontId="37" fillId="0" borderId="29" applyNumberFormat="0" applyFill="0" applyAlignment="0" applyProtection="0"/>
    <xf numFmtId="0" fontId="37" fillId="0" borderId="29" applyNumberFormat="0" applyFill="0" applyAlignment="0" applyProtection="0"/>
    <xf numFmtId="0" fontId="37" fillId="0" borderId="29" applyNumberFormat="0" applyFill="0" applyAlignment="0" applyProtection="0"/>
    <xf numFmtId="0" fontId="37" fillId="0" borderId="2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</cellStyleXfs>
  <cellXfs count="81">
    <xf numFmtId="0" fontId="0" fillId="0" borderId="0" xfId="0"/>
    <xf numFmtId="0" fontId="0" fillId="6" borderId="0" xfId="0" applyFill="1"/>
    <xf numFmtId="0" fontId="1" fillId="2" borderId="1" xfId="0" applyFont="1" applyFill="1" applyBorder="1"/>
    <xf numFmtId="0" fontId="0" fillId="4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0" borderId="1" xfId="0" applyBorder="1"/>
    <xf numFmtId="164" fontId="1" fillId="2" borderId="1" xfId="0" applyNumberFormat="1" applyFont="1" applyFill="1" applyBorder="1" applyAlignment="1"/>
    <xf numFmtId="0" fontId="5" fillId="2" borderId="1" xfId="0" applyNumberFormat="1" applyFont="1" applyFill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6" fillId="4" borderId="1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5" borderId="1" xfId="0" applyNumberFormat="1" applyFont="1" applyFill="1" applyBorder="1" applyAlignment="1">
      <alignment horizontal="center"/>
    </xf>
    <xf numFmtId="0" fontId="6" fillId="7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5" fillId="2" borderId="8" xfId="0" applyNumberFormat="1" applyFont="1" applyFill="1" applyBorder="1" applyAlignment="1">
      <alignment horizontal="center"/>
    </xf>
    <xf numFmtId="0" fontId="6" fillId="4" borderId="8" xfId="0" applyNumberFormat="1" applyFont="1" applyFill="1" applyBorder="1" applyAlignment="1">
      <alignment horizontal="center"/>
    </xf>
    <xf numFmtId="0" fontId="6" fillId="3" borderId="8" xfId="0" applyNumberFormat="1" applyFont="1" applyFill="1" applyBorder="1" applyAlignment="1">
      <alignment horizontal="center"/>
    </xf>
    <xf numFmtId="0" fontId="6" fillId="5" borderId="8" xfId="0" applyNumberFormat="1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8" fillId="7" borderId="8" xfId="0" applyNumberFormat="1" applyFont="1" applyFill="1" applyBorder="1" applyAlignment="1">
      <alignment horizontal="center"/>
    </xf>
    <xf numFmtId="0" fontId="7" fillId="6" borderId="0" xfId="0" applyFont="1" applyFill="1"/>
    <xf numFmtId="0" fontId="9" fillId="7" borderId="2" xfId="0" applyFont="1" applyFill="1" applyBorder="1" applyAlignment="1">
      <alignment horizontal="center"/>
    </xf>
    <xf numFmtId="0" fontId="7" fillId="8" borderId="15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0" fillId="6" borderId="0" xfId="0" applyFont="1" applyFill="1" applyAlignment="1">
      <alignment vertical="top"/>
    </xf>
    <xf numFmtId="0" fontId="0" fillId="7" borderId="11" xfId="0" applyFill="1" applyBorder="1" applyAlignment="1">
      <alignment horizontal="center" vertical="center"/>
    </xf>
    <xf numFmtId="0" fontId="3" fillId="8" borderId="2" xfId="0" applyNumberFormat="1" applyFont="1" applyFill="1" applyBorder="1" applyAlignment="1">
      <alignment horizontal="center"/>
    </xf>
    <xf numFmtId="0" fontId="0" fillId="6" borderId="0" xfId="0" applyNumberFormat="1" applyFill="1"/>
    <xf numFmtId="0" fontId="1" fillId="2" borderId="12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/>
    </xf>
    <xf numFmtId="0" fontId="8" fillId="5" borderId="18" xfId="0" applyNumberFormat="1" applyFont="1" applyFill="1" applyBorder="1" applyAlignment="1">
      <alignment horizontal="center"/>
    </xf>
    <xf numFmtId="0" fontId="12" fillId="0" borderId="0" xfId="1" applyFont="1" applyProtection="1">
      <protection locked="0"/>
    </xf>
    <xf numFmtId="0" fontId="12" fillId="0" borderId="0" xfId="1" applyProtection="1">
      <protection locked="0"/>
    </xf>
    <xf numFmtId="0" fontId="39" fillId="0" borderId="0" xfId="1" applyFont="1" applyFill="1" applyProtection="1">
      <protection locked="0"/>
    </xf>
    <xf numFmtId="0" fontId="18" fillId="5" borderId="20" xfId="1" applyFont="1" applyFill="1" applyBorder="1" applyProtection="1">
      <protection locked="0"/>
    </xf>
    <xf numFmtId="0" fontId="40" fillId="6" borderId="19" xfId="1" applyFont="1" applyFill="1" applyBorder="1" applyAlignment="1" applyProtection="1">
      <alignment horizontal="left"/>
      <protection locked="0"/>
    </xf>
    <xf numFmtId="0" fontId="41" fillId="6" borderId="30" xfId="1" applyFont="1" applyFill="1" applyBorder="1" applyProtection="1">
      <protection locked="0"/>
    </xf>
    <xf numFmtId="0" fontId="12" fillId="6" borderId="30" xfId="1" applyFont="1" applyFill="1" applyBorder="1" applyProtection="1">
      <protection locked="0"/>
    </xf>
    <xf numFmtId="0" fontId="12" fillId="6" borderId="30" xfId="1" applyNumberFormat="1" applyFont="1" applyFill="1" applyBorder="1" applyProtection="1">
      <protection locked="0"/>
    </xf>
    <xf numFmtId="0" fontId="2" fillId="35" borderId="16" xfId="0" applyNumberFormat="1" applyFont="1" applyFill="1" applyBorder="1"/>
    <xf numFmtId="0" fontId="2" fillId="35" borderId="16" xfId="0" applyNumberFormat="1" applyFont="1" applyFill="1" applyBorder="1" applyAlignment="1">
      <alignment horizontal="left"/>
    </xf>
    <xf numFmtId="0" fontId="44" fillId="6" borderId="0" xfId="0" applyFont="1" applyFill="1" applyAlignment="1">
      <alignment horizontal="left" vertical="center" shrinkToFit="1"/>
    </xf>
    <xf numFmtId="0" fontId="42" fillId="6" borderId="0" xfId="0" applyFont="1" applyFill="1"/>
    <xf numFmtId="0" fontId="45" fillId="6" borderId="0" xfId="0" applyFont="1" applyFill="1"/>
    <xf numFmtId="0" fontId="45" fillId="6" borderId="0" xfId="0" applyFont="1" applyFill="1" applyBorder="1"/>
    <xf numFmtId="0" fontId="0" fillId="6" borderId="31" xfId="0" applyFill="1" applyBorder="1"/>
    <xf numFmtId="0" fontId="0" fillId="6" borderId="0" xfId="0" quotePrefix="1" applyFill="1"/>
    <xf numFmtId="0" fontId="42" fillId="6" borderId="0" xfId="0" applyNumberFormat="1" applyFont="1" applyFill="1"/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46" fillId="6" borderId="0" xfId="0" applyFont="1" applyFill="1"/>
    <xf numFmtId="0" fontId="0" fillId="6" borderId="32" xfId="0" applyFill="1" applyBorder="1" applyAlignment="1">
      <alignment horizontal="center"/>
    </xf>
    <xf numFmtId="1" fontId="0" fillId="0" borderId="16" xfId="0" applyNumberFormat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46" fillId="0" borderId="0" xfId="0" quotePrefix="1" applyFont="1"/>
    <xf numFmtId="0" fontId="0" fillId="6" borderId="13" xfId="0" applyFill="1" applyBorder="1" applyAlignment="1">
      <alignment horizontal="center"/>
    </xf>
    <xf numFmtId="0" fontId="1" fillId="8" borderId="14" xfId="0" applyNumberFormat="1" applyFont="1" applyFill="1" applyBorder="1" applyAlignment="1">
      <alignment horizontal="center"/>
    </xf>
    <xf numFmtId="0" fontId="1" fillId="8" borderId="3" xfId="0" applyNumberFormat="1" applyFont="1" applyFill="1" applyBorder="1" applyAlignment="1">
      <alignment horizontal="center"/>
    </xf>
    <xf numFmtId="0" fontId="43" fillId="6" borderId="0" xfId="0" applyFont="1" applyFill="1" applyAlignment="1">
      <alignment horizontal="center" vertical="top" wrapText="1"/>
    </xf>
    <xf numFmtId="0" fontId="43" fillId="6" borderId="17" xfId="0" applyFont="1" applyFill="1" applyBorder="1" applyAlignment="1">
      <alignment horizontal="center" vertical="top" wrapText="1"/>
    </xf>
    <xf numFmtId="0" fontId="18" fillId="5" borderId="20" xfId="1" applyFont="1" applyFill="1" applyBorder="1" applyAlignment="1" applyProtection="1">
      <alignment horizontal="left" vertical="center"/>
      <protection locked="0"/>
    </xf>
  </cellXfs>
  <cellStyles count="232">
    <cellStyle name="20% - Accent1 2" xfId="2"/>
    <cellStyle name="20% - Accent1 3" xfId="3"/>
    <cellStyle name="20% - Accent1 4" xfId="4"/>
    <cellStyle name="20% - Accent1 5" xfId="5"/>
    <cellStyle name="20% - Accent2 2" xfId="6"/>
    <cellStyle name="20% - Accent2 3" xfId="7"/>
    <cellStyle name="20% - Accent2 4" xfId="8"/>
    <cellStyle name="20% - Accent2 5" xfId="9"/>
    <cellStyle name="20% - Accent3 2" xfId="10"/>
    <cellStyle name="20% - Accent3 3" xfId="11"/>
    <cellStyle name="20% - Accent3 4" xfId="12"/>
    <cellStyle name="20% - Accent3 5" xfId="13"/>
    <cellStyle name="20% - Accent4 2" xfId="14"/>
    <cellStyle name="20% - Accent4 3" xfId="15"/>
    <cellStyle name="20% - Accent4 4" xfId="16"/>
    <cellStyle name="20% - Accent4 5" xfId="17"/>
    <cellStyle name="20% - Accent5 2" xfId="18"/>
    <cellStyle name="20% - Accent5 3" xfId="19"/>
    <cellStyle name="20% - Accent5 4" xfId="20"/>
    <cellStyle name="20% - Accent5 5" xfId="21"/>
    <cellStyle name="20% - Accent6 2" xfId="22"/>
    <cellStyle name="20% - Accent6 3" xfId="23"/>
    <cellStyle name="20% - Accent6 4" xfId="24"/>
    <cellStyle name="20% - Accent6 5" xfId="25"/>
    <cellStyle name="40% - Accent1 2" xfId="26"/>
    <cellStyle name="40% - Accent1 3" xfId="27"/>
    <cellStyle name="40% - Accent1 4" xfId="28"/>
    <cellStyle name="40% - Accent1 5" xfId="29"/>
    <cellStyle name="40% - Accent2 2" xfId="30"/>
    <cellStyle name="40% - Accent2 3" xfId="31"/>
    <cellStyle name="40% - Accent2 4" xfId="32"/>
    <cellStyle name="40% - Accent2 5" xfId="33"/>
    <cellStyle name="40% - Accent3 2" xfId="34"/>
    <cellStyle name="40% - Accent3 3" xfId="35"/>
    <cellStyle name="40% - Accent3 4" xfId="36"/>
    <cellStyle name="40% - Accent3 5" xfId="37"/>
    <cellStyle name="40% - Accent4 2" xfId="38"/>
    <cellStyle name="40% - Accent4 3" xfId="39"/>
    <cellStyle name="40% - Accent4 4" xfId="40"/>
    <cellStyle name="40% - Accent4 5" xfId="41"/>
    <cellStyle name="40% - Accent5 2" xfId="42"/>
    <cellStyle name="40% - Accent5 3" xfId="43"/>
    <cellStyle name="40% - Accent5 4" xfId="44"/>
    <cellStyle name="40% - Accent5 5" xfId="45"/>
    <cellStyle name="40% - Accent6 2" xfId="46"/>
    <cellStyle name="40% - Accent6 3" xfId="47"/>
    <cellStyle name="40% - Accent6 4" xfId="48"/>
    <cellStyle name="40% - Accent6 5" xfId="49"/>
    <cellStyle name="60% - Accent1 2" xfId="50"/>
    <cellStyle name="60% - Accent1 3" xfId="51"/>
    <cellStyle name="60% - Accent1 4" xfId="52"/>
    <cellStyle name="60% - Accent1 5" xfId="53"/>
    <cellStyle name="60% - Accent2 2" xfId="54"/>
    <cellStyle name="60% - Accent2 3" xfId="55"/>
    <cellStyle name="60% - Accent2 4" xfId="56"/>
    <cellStyle name="60% - Accent2 5" xfId="57"/>
    <cellStyle name="60% - Accent3 2" xfId="58"/>
    <cellStyle name="60% - Accent3 3" xfId="59"/>
    <cellStyle name="60% - Accent3 4" xfId="60"/>
    <cellStyle name="60% - Accent3 5" xfId="61"/>
    <cellStyle name="60% - Accent4 2" xfId="62"/>
    <cellStyle name="60% - Accent4 3" xfId="63"/>
    <cellStyle name="60% - Accent4 4" xfId="64"/>
    <cellStyle name="60% - Accent4 5" xfId="65"/>
    <cellStyle name="60% - Accent5 2" xfId="66"/>
    <cellStyle name="60% - Accent5 3" xfId="67"/>
    <cellStyle name="60% - Accent5 4" xfId="68"/>
    <cellStyle name="60% - Accent5 5" xfId="69"/>
    <cellStyle name="60% - Accent6 2" xfId="70"/>
    <cellStyle name="60% - Accent6 3" xfId="71"/>
    <cellStyle name="60% - Accent6 4" xfId="72"/>
    <cellStyle name="60% - Accent6 5" xfId="73"/>
    <cellStyle name="Accent1 2" xfId="74"/>
    <cellStyle name="Accent1 3" xfId="75"/>
    <cellStyle name="Accent1 4" xfId="76"/>
    <cellStyle name="Accent1 5" xfId="77"/>
    <cellStyle name="Accent2 2" xfId="78"/>
    <cellStyle name="Accent2 3" xfId="79"/>
    <cellStyle name="Accent2 4" xfId="80"/>
    <cellStyle name="Accent2 5" xfId="81"/>
    <cellStyle name="Accent3 2" xfId="82"/>
    <cellStyle name="Accent3 3" xfId="83"/>
    <cellStyle name="Accent3 4" xfId="84"/>
    <cellStyle name="Accent3 5" xfId="85"/>
    <cellStyle name="Accent4 2" xfId="86"/>
    <cellStyle name="Accent4 3" xfId="87"/>
    <cellStyle name="Accent4 4" xfId="88"/>
    <cellStyle name="Accent4 5" xfId="89"/>
    <cellStyle name="Accent5 2" xfId="90"/>
    <cellStyle name="Accent5 3" xfId="91"/>
    <cellStyle name="Accent5 4" xfId="92"/>
    <cellStyle name="Accent5 5" xfId="93"/>
    <cellStyle name="Accent6 2" xfId="94"/>
    <cellStyle name="Accent6 3" xfId="95"/>
    <cellStyle name="Accent6 4" xfId="96"/>
    <cellStyle name="Accent6 5" xfId="97"/>
    <cellStyle name="Bad 2" xfId="98"/>
    <cellStyle name="Bad 3" xfId="99"/>
    <cellStyle name="Bad 4" xfId="100"/>
    <cellStyle name="Bad 5" xfId="101"/>
    <cellStyle name="Calculation 2" xfId="102"/>
    <cellStyle name="Calculation 3" xfId="103"/>
    <cellStyle name="Calculation 4" xfId="104"/>
    <cellStyle name="Calculation 5" xfId="105"/>
    <cellStyle name="Check Cell 2" xfId="106"/>
    <cellStyle name="Check Cell 3" xfId="107"/>
    <cellStyle name="Check Cell 4" xfId="108"/>
    <cellStyle name="Check Cell 5" xfId="109"/>
    <cellStyle name="ColumnHeading" xfId="110"/>
    <cellStyle name="Comma 2" xfId="111"/>
    <cellStyle name="Comma 3" xfId="112"/>
    <cellStyle name="Comma 4" xfId="113"/>
    <cellStyle name="Comma 5" xfId="114"/>
    <cellStyle name="Comma 6" xfId="115"/>
    <cellStyle name="Comma 7" xfId="116"/>
    <cellStyle name="Comma 8" xfId="117"/>
    <cellStyle name="Euro" xfId="118"/>
    <cellStyle name="Explanatory Text 2" xfId="119"/>
    <cellStyle name="Explanatory Text 3" xfId="120"/>
    <cellStyle name="Explanatory Text 4" xfId="121"/>
    <cellStyle name="Explanatory Text 5" xfId="122"/>
    <cellStyle name="Good 2" xfId="123"/>
    <cellStyle name="Good 3" xfId="124"/>
    <cellStyle name="Good 4" xfId="125"/>
    <cellStyle name="Good 5" xfId="126"/>
    <cellStyle name="Heading 1 2" xfId="127"/>
    <cellStyle name="Heading 1 3" xfId="128"/>
    <cellStyle name="Heading 1 4" xfId="129"/>
    <cellStyle name="Heading 1 5" xfId="130"/>
    <cellStyle name="Heading 2 2" xfId="131"/>
    <cellStyle name="Heading 2 3" xfId="132"/>
    <cellStyle name="Heading 2 4" xfId="133"/>
    <cellStyle name="Heading 2 5" xfId="134"/>
    <cellStyle name="Heading 3 2" xfId="135"/>
    <cellStyle name="Heading 3 3" xfId="136"/>
    <cellStyle name="Heading 3 4" xfId="137"/>
    <cellStyle name="Heading 3 5" xfId="138"/>
    <cellStyle name="Heading 4 2" xfId="139"/>
    <cellStyle name="Heading 4 3" xfId="140"/>
    <cellStyle name="Heading 4 4" xfId="141"/>
    <cellStyle name="Heading 4 5" xfId="142"/>
    <cellStyle name="Hyperlink 2" xfId="143"/>
    <cellStyle name="Hyperlink 3" xfId="144"/>
    <cellStyle name="Input 2" xfId="145"/>
    <cellStyle name="Input 3" xfId="146"/>
    <cellStyle name="Input 4" xfId="147"/>
    <cellStyle name="Input 5" xfId="148"/>
    <cellStyle name="Lien hypertexte 3" xfId="149"/>
    <cellStyle name="Ligne détail" xfId="150"/>
    <cellStyle name="Linked Cell 2" xfId="151"/>
    <cellStyle name="Linked Cell 3" xfId="152"/>
    <cellStyle name="Linked Cell 4" xfId="153"/>
    <cellStyle name="Linked Cell 5" xfId="154"/>
    <cellStyle name="MEV4" xfId="155"/>
    <cellStyle name="MEV5" xfId="156"/>
    <cellStyle name="Milliers 2" xfId="157"/>
    <cellStyle name="Milliers 3" xfId="158"/>
    <cellStyle name="Milliers 4" xfId="159"/>
    <cellStyle name="N?rmal_la?oux_larou?" xfId="160"/>
    <cellStyle name="Neutral 2" xfId="161"/>
    <cellStyle name="Neutral 3" xfId="162"/>
    <cellStyle name="Neutral 4" xfId="163"/>
    <cellStyle name="Neutral 5" xfId="164"/>
    <cellStyle name="Norma?_On Hol?" xfId="165"/>
    <cellStyle name="Normaᷬ_On Holᷤ" xfId="166"/>
    <cellStyle name="Normal" xfId="0" builtinId="0"/>
    <cellStyle name="Normal - Style1" xfId="167"/>
    <cellStyle name="Normal 10" xfId="168"/>
    <cellStyle name="Normal 11" xfId="169"/>
    <cellStyle name="Normal 2" xfId="1"/>
    <cellStyle name="Normal 2 2" xfId="170"/>
    <cellStyle name="Normal 2 3" xfId="171"/>
    <cellStyle name="Normal 2 4" xfId="172"/>
    <cellStyle name="Normal 2 5" xfId="173"/>
    <cellStyle name="Normal 2_CRD hybride yc EMB" xfId="174"/>
    <cellStyle name="Normal 3" xfId="175"/>
    <cellStyle name="Normal 3 2" xfId="176"/>
    <cellStyle name="Normal 3 3" xfId="177"/>
    <cellStyle name="Normal 3 4" xfId="178"/>
    <cellStyle name="Normal 3 5" xfId="179"/>
    <cellStyle name="Normal 3 6" xfId="180"/>
    <cellStyle name="Normal 3_0. Investissement" xfId="181"/>
    <cellStyle name="Normal 4" xfId="182"/>
    <cellStyle name="Normal 5" xfId="183"/>
    <cellStyle name="Normal 6" xfId="184"/>
    <cellStyle name="Normal 6 2" xfId="185"/>
    <cellStyle name="Normal 6 3" xfId="186"/>
    <cellStyle name="Normal 6 4" xfId="187"/>
    <cellStyle name="Normal 6 5" xfId="188"/>
    <cellStyle name="Normal 6_0. Investissement" xfId="189"/>
    <cellStyle name="Normal 7" xfId="190"/>
    <cellStyle name="Normal 8" xfId="191"/>
    <cellStyle name="Normal 9" xfId="192"/>
    <cellStyle name="Note 2" xfId="193"/>
    <cellStyle name="Note 3" xfId="194"/>
    <cellStyle name="Note 4" xfId="195"/>
    <cellStyle name="Note 5" xfId="196"/>
    <cellStyle name="N䃯rmal_la䇲oux_larou᷸" xfId="197"/>
    <cellStyle name="Output 2" xfId="198"/>
    <cellStyle name="Output 3" xfId="199"/>
    <cellStyle name="Output 4" xfId="200"/>
    <cellStyle name="Output 5" xfId="201"/>
    <cellStyle name="Percent 10" xfId="202"/>
    <cellStyle name="Percent 2" xfId="203"/>
    <cellStyle name="Percent 2 2" xfId="204"/>
    <cellStyle name="Percent 3" xfId="205"/>
    <cellStyle name="Percent 4" xfId="206"/>
    <cellStyle name="Percent 5" xfId="207"/>
    <cellStyle name="Percent 5 2" xfId="208"/>
    <cellStyle name="Percent 5 3" xfId="209"/>
    <cellStyle name="Percent 5 4" xfId="210"/>
    <cellStyle name="Percent 5 5" xfId="211"/>
    <cellStyle name="Percent 6" xfId="212"/>
    <cellStyle name="Percent 7" xfId="213"/>
    <cellStyle name="Percent 8" xfId="214"/>
    <cellStyle name="Percent 9" xfId="215"/>
    <cellStyle name="Pourcentage 2" xfId="216"/>
    <cellStyle name="Pourcentage 3" xfId="217"/>
    <cellStyle name="Title 2" xfId="218"/>
    <cellStyle name="Title 3" xfId="219"/>
    <cellStyle name="Title 4" xfId="220"/>
    <cellStyle name="Title 5" xfId="221"/>
    <cellStyle name="Titre colonnes" xfId="222"/>
    <cellStyle name="Titre lignes" xfId="223"/>
    <cellStyle name="Total 2" xfId="224"/>
    <cellStyle name="Total 3" xfId="225"/>
    <cellStyle name="Total 4" xfId="226"/>
    <cellStyle name="Total 5" xfId="227"/>
    <cellStyle name="Warning Text 2" xfId="228"/>
    <cellStyle name="Warning Text 3" xfId="229"/>
    <cellStyle name="Warning Text 4" xfId="230"/>
    <cellStyle name="Warning Text 5" xfId="231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u/>
        <color theme="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>
  <ax:ocxPr ax:name="_Version" ax:value="65540"/>
  <ax:ocxPr ax:name="_ExtentX" ax:value="6853"/>
  <ax:ocxPr ax:name="_ExtentY" ax:value="873"/>
  <ax:ocxPr ax:name="_StockProps" ax:value="0"/>
  <ax:ocxPr ax:name="ServerName" ax:value="Tango_core_model_bck"/>
  <ax:ocxPr ax:name="ProcessName" ax:value="DB_Activity"/>
  <ax:ocxPr ax:name="Name" ax:value=""/>
  <ax:ocxPr ax:name="Type" ax:value=""/>
  <ax:ocxPr ax:name="Value" ax:value=""/>
  <ax:ocxPr ax:name="Prompt" ax:value=""/>
  <ax:ocxPr ax:name="BackColor" ax:value="13160660"/>
  <ax:ocxPr ax:name="ForeColor" ax:value="0"/>
  <ax:ocxPr ax:name="Font">
    <ax:font ax:persistence="persistPropertyBag">
      <ax:ocxPr ax:name="Name" ax:value="Arial"/>
      <ax:ocxPr ax:name="Size" ax:value="9,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afraichir / Regénérer le report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Voulez-vous vraiment exécuter ce processus ?"/>
  <ax:ocxPr ax:name="SuccessMessage" ax:value="Processus terminé avec succès."/>
  <ax:ocxPr ax:name="FailureMessage" ax:value="Echec du processus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28575</xdr:rowOff>
    </xdr:from>
    <xdr:to>
      <xdr:col>14</xdr:col>
      <xdr:colOff>1000125</xdr:colOff>
      <xdr:row>13</xdr:row>
      <xdr:rowOff>190500</xdr:rowOff>
    </xdr:to>
    <xdr:sp macro="" textlink="">
      <xdr:nvSpPr>
        <xdr:cNvPr id="3" name="Rectangle 2"/>
        <xdr:cNvSpPr/>
      </xdr:nvSpPr>
      <xdr:spPr>
        <a:xfrm>
          <a:off x="0" y="28575"/>
          <a:ext cx="19916775" cy="12573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171450</xdr:colOff>
      <xdr:row>10</xdr:row>
      <xdr:rowOff>169082</xdr:rowOff>
    </xdr:from>
    <xdr:to>
      <xdr:col>1</xdr:col>
      <xdr:colOff>2914650</xdr:colOff>
      <xdr:row>13</xdr:row>
      <xdr:rowOff>76378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359582"/>
          <a:ext cx="2743200" cy="621671"/>
        </a:xfrm>
        <a:prstGeom prst="rect">
          <a:avLst/>
        </a:prstGeom>
      </xdr:spPr>
    </xdr:pic>
    <xdr:clientData/>
  </xdr:twoCellAnchor>
  <xdr:twoCellAnchor>
    <xdr:from>
      <xdr:col>1</xdr:col>
      <xdr:colOff>1552572</xdr:colOff>
      <xdr:row>16</xdr:row>
      <xdr:rowOff>9525</xdr:rowOff>
    </xdr:from>
    <xdr:to>
      <xdr:col>1</xdr:col>
      <xdr:colOff>3076574</xdr:colOff>
      <xdr:row>16</xdr:row>
      <xdr:rowOff>304800</xdr:rowOff>
    </xdr:to>
    <xdr:sp macro="" textlink="">
      <xdr:nvSpPr>
        <xdr:cNvPr id="4" name="Pentagone 3"/>
        <xdr:cNvSpPr/>
      </xdr:nvSpPr>
      <xdr:spPr>
        <a:xfrm flipH="1">
          <a:off x="1552572" y="1304925"/>
          <a:ext cx="1524002" cy="295275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chemeClr val="bg1"/>
              </a:solidFill>
            </a:rPr>
            <a:t>Cliquez Ici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16</xdr:row>
          <xdr:rowOff>9525</xdr:rowOff>
        </xdr:from>
        <xdr:to>
          <xdr:col>16</xdr:col>
          <xdr:colOff>1247775</xdr:colOff>
          <xdr:row>16</xdr:row>
          <xdr:rowOff>323850</xdr:rowOff>
        </xdr:to>
        <xdr:sp macro="" textlink="">
          <xdr:nvSpPr>
            <xdr:cNvPr id="1027" name="TI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28575</xdr:rowOff>
        </xdr:from>
        <xdr:to>
          <xdr:col>17</xdr:col>
          <xdr:colOff>0</xdr:colOff>
          <xdr:row>12</xdr:row>
          <xdr:rowOff>209550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8</xdr:row>
          <xdr:rowOff>47625</xdr:rowOff>
        </xdr:from>
        <xdr:to>
          <xdr:col>16</xdr:col>
          <xdr:colOff>1209675</xdr:colOff>
          <xdr:row>9</xdr:row>
          <xdr:rowOff>142875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Right="0"/>
  </sheetPr>
  <dimension ref="A1:AR22"/>
  <sheetViews>
    <sheetView tabSelected="1" topLeftCell="B9" zoomScaleNormal="100" workbookViewId="0">
      <pane xSplit="1" ySplit="9" topLeftCell="F18" activePane="bottomRight" state="frozen"/>
      <selection activeCell="B9" sqref="B9"/>
      <selection pane="topRight" activeCell="C9" sqref="C9"/>
      <selection pane="bottomLeft" activeCell="B18" sqref="B18"/>
      <selection pane="bottomRight" activeCell="R18" sqref="R18"/>
    </sheetView>
  </sheetViews>
  <sheetFormatPr baseColWidth="10" defaultRowHeight="15" outlineLevelRow="1" outlineLevelCol="2" x14ac:dyDescent="0.25"/>
  <cols>
    <col min="1" max="1" width="2.7109375" hidden="1" customWidth="1"/>
    <col min="2" max="2" width="46.42578125" bestFit="1" customWidth="1" collapsed="1"/>
    <col min="3" max="3" width="17.28515625" hidden="1" customWidth="1" outlineLevel="1"/>
    <col min="4" max="4" width="16.140625" hidden="1" customWidth="1" outlineLevel="1"/>
    <col min="5" max="5" width="40.85546875" hidden="1" customWidth="1" outlineLevel="1"/>
    <col min="6" max="6" width="23" hidden="1" customWidth="1" outlineLevel="1" collapsed="1"/>
    <col min="7" max="7" width="11.85546875" hidden="1" customWidth="1" outlineLevel="2"/>
    <col min="8" max="8" width="36.42578125" hidden="1" customWidth="1" outlineLevel="2"/>
    <col min="9" max="10" width="15" style="15" hidden="1" customWidth="1" outlineLevel="2"/>
    <col min="11" max="11" width="15" style="15" hidden="1" customWidth="1" outlineLevel="2" collapsed="1"/>
    <col min="12" max="14" width="15.5703125" hidden="1" customWidth="1" outlineLevel="2"/>
    <col min="15" max="15" width="15.5703125" hidden="1" customWidth="1" outlineLevel="1"/>
    <col min="16" max="16" width="18.85546875" customWidth="1"/>
    <col min="17" max="17" width="18.85546875" customWidth="1" outlineLevel="1"/>
    <col min="18" max="18" width="4" style="1" customWidth="1"/>
    <col min="19" max="30" width="10.28515625" customWidth="1" outlineLevel="1"/>
    <col min="31" max="31" width="4.5703125" style="1" customWidth="1" collapsed="1"/>
    <col min="32" max="43" width="10.28515625" hidden="1" customWidth="1" outlineLevel="1"/>
    <col min="44" max="44" width="4.7109375" customWidth="1"/>
  </cols>
  <sheetData>
    <row r="1" spans="1:44" ht="15.75" hidden="1" thickBot="1" x14ac:dyDescent="0.3">
      <c r="A1" t="s">
        <v>521</v>
      </c>
    </row>
    <row r="2" spans="1:44" ht="15.75" hidden="1" thickBot="1" x14ac:dyDescent="0.3">
      <c r="A2">
        <f ca="1">0</f>
        <v>0</v>
      </c>
      <c r="B2" s="2"/>
      <c r="C2" s="29"/>
      <c r="D2" s="30"/>
      <c r="E2" s="30"/>
      <c r="F2" s="30"/>
      <c r="G2" s="30"/>
      <c r="H2" s="30"/>
      <c r="I2" s="35"/>
      <c r="J2" s="35"/>
      <c r="K2" s="35"/>
      <c r="L2" s="30"/>
      <c r="M2" s="30"/>
      <c r="N2" s="30"/>
      <c r="O2" s="45"/>
      <c r="P2" s="23"/>
      <c r="Q2" s="23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</row>
    <row r="3" spans="1:44" ht="15.75" hidden="1" thickBot="1" x14ac:dyDescent="0.3">
      <c r="A3">
        <f ca="1">1</f>
        <v>1</v>
      </c>
      <c r="B3" s="3"/>
      <c r="C3" s="27"/>
      <c r="D3" s="28"/>
      <c r="E3" s="28"/>
      <c r="F3" s="28"/>
      <c r="G3" s="28"/>
      <c r="H3" s="28"/>
      <c r="I3" s="36"/>
      <c r="J3" s="36"/>
      <c r="K3" s="36"/>
      <c r="L3" s="28"/>
      <c r="M3" s="28"/>
      <c r="N3" s="28"/>
      <c r="O3" s="46"/>
      <c r="P3" s="24"/>
      <c r="Q3" s="2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</row>
    <row r="4" spans="1:44" ht="15.75" hidden="1" thickBot="1" x14ac:dyDescent="0.3">
      <c r="A4">
        <f ca="1">2</f>
        <v>2</v>
      </c>
      <c r="B4" s="4"/>
      <c r="C4" s="16"/>
      <c r="D4" s="17"/>
      <c r="E4" s="17"/>
      <c r="F4" s="17"/>
      <c r="G4" s="17"/>
      <c r="H4" s="17"/>
      <c r="I4" s="37"/>
      <c r="J4" s="37"/>
      <c r="K4" s="37"/>
      <c r="L4" s="17"/>
      <c r="M4" s="17"/>
      <c r="N4" s="20"/>
      <c r="O4" s="47"/>
      <c r="P4" s="25"/>
      <c r="Q4" s="25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</row>
    <row r="5" spans="1:44" ht="15.75" hidden="1" thickBot="1" x14ac:dyDescent="0.3">
      <c r="A5">
        <f ca="1">3</f>
        <v>3</v>
      </c>
      <c r="B5" s="5"/>
      <c r="C5" s="16"/>
      <c r="D5" s="17"/>
      <c r="E5" s="17"/>
      <c r="F5" s="17"/>
      <c r="G5" s="17"/>
      <c r="H5" s="17"/>
      <c r="I5" s="37"/>
      <c r="J5" s="37"/>
      <c r="K5" s="37"/>
      <c r="L5" s="17"/>
      <c r="M5" s="17"/>
      <c r="N5" s="20"/>
      <c r="O5" s="47"/>
      <c r="P5" s="26"/>
      <c r="Q5" s="26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</row>
    <row r="6" spans="1:44" ht="15.75" hidden="1" thickBot="1" x14ac:dyDescent="0.3">
      <c r="A6" t="s">
        <v>519</v>
      </c>
      <c r="B6" s="6"/>
      <c r="C6" s="18"/>
      <c r="D6" s="19"/>
      <c r="E6" s="19"/>
      <c r="F6" s="19"/>
      <c r="G6" s="19"/>
      <c r="H6" s="19"/>
      <c r="I6" s="38"/>
      <c r="J6" s="38"/>
      <c r="K6" s="38"/>
      <c r="L6" s="19"/>
      <c r="M6" s="19"/>
      <c r="N6" s="21"/>
      <c r="O6" s="48"/>
      <c r="P6" s="31"/>
      <c r="Q6" s="3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</row>
    <row r="7" spans="1:44" hidden="1" x14ac:dyDescent="0.25">
      <c r="A7" t="s">
        <v>520</v>
      </c>
      <c r="B7" s="7"/>
      <c r="C7" s="6"/>
      <c r="D7" s="6"/>
      <c r="E7" s="6"/>
      <c r="F7" s="6"/>
      <c r="G7" s="6"/>
      <c r="H7" s="6"/>
      <c r="I7" s="39"/>
      <c r="J7" s="39"/>
      <c r="K7" s="39"/>
      <c r="L7" s="6"/>
      <c r="M7" s="6"/>
      <c r="N7" s="22"/>
      <c r="O7" s="42"/>
      <c r="P7" s="50"/>
      <c r="Q7" s="5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</row>
    <row r="8" spans="1:44" hidden="1" x14ac:dyDescent="0.25">
      <c r="A8" t="s">
        <v>522</v>
      </c>
    </row>
    <row r="9" spans="1:44" x14ac:dyDescent="0.25">
      <c r="B9" s="67" t="str">
        <f ca="1">_xll.TM1RPTVIEW(Server&amp;"z_Admin_Audit_Analyse:2",Supp_Zero, _xll.TM1RPTTITLE(Server&amp;"z_Stat_Indicateur",$P$11),TM1RPTFMTRNG,TM1RPTFMTIDCOL)</f>
        <v>tango_core_model:z_Admin_Audit_Analyse:2</v>
      </c>
      <c r="C9" s="62" t="str">
        <f ca="1">_xll.VIEW(Server&amp;"z_Admin_Param","!","!")</f>
        <v>tango_core_model:z_Admin_Param</v>
      </c>
      <c r="D9" s="62"/>
      <c r="E9" s="1"/>
      <c r="F9" s="1"/>
      <c r="G9" s="1"/>
      <c r="H9" s="1"/>
      <c r="I9" s="40"/>
      <c r="J9" s="40"/>
      <c r="K9" s="40"/>
      <c r="L9" s="1"/>
      <c r="M9" s="1"/>
      <c r="N9" s="1"/>
      <c r="O9" s="1"/>
      <c r="P9" s="1"/>
      <c r="Q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spans="1:44" x14ac:dyDescent="0.25">
      <c r="B10" s="1"/>
      <c r="C10" s="63" t="s">
        <v>536</v>
      </c>
      <c r="D10" s="1"/>
      <c r="E10" s="1"/>
      <c r="F10" s="1"/>
      <c r="G10" s="1"/>
      <c r="H10" s="1"/>
      <c r="I10" s="40"/>
      <c r="J10" s="40"/>
      <c r="K10" s="40"/>
      <c r="L10" s="1"/>
      <c r="M10" s="1"/>
      <c r="N10" s="1"/>
      <c r="O10" s="1"/>
      <c r="P10" s="1"/>
      <c r="Q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ht="18.75" customHeight="1" x14ac:dyDescent="0.25">
      <c r="B11" s="32" t="s">
        <v>0</v>
      </c>
      <c r="C11" s="63" t="s">
        <v>537</v>
      </c>
      <c r="D11" s="59" t="str">
        <f ca="1">MID(CURRENT_PERIOD,1,4)</f>
        <v>*KEY</v>
      </c>
      <c r="E11" s="60" t="e">
        <f ca="1">VALUE(CURRENT_YEAR)-1</f>
        <v>#VALUE!</v>
      </c>
      <c r="F11" s="63" t="s">
        <v>538</v>
      </c>
      <c r="G11" s="68"/>
      <c r="H11" s="68"/>
      <c r="I11" s="69"/>
      <c r="J11" s="69"/>
      <c r="K11" s="69"/>
      <c r="L11" s="68"/>
      <c r="M11" s="68"/>
      <c r="N11" s="68"/>
      <c r="O11" s="68"/>
      <c r="P11" s="76" t="str">
        <f ca="1">_xll.SUBNM(Server&amp;"z_Stat_Indicateur","","Nb_Connexion")</f>
        <v/>
      </c>
      <c r="Q11" s="77"/>
      <c r="S11" s="78" t="e">
        <f ca="1">"Statistiques des connections Utilisateurs de "&amp;PREVIOUS_YEAR&amp;" à "&amp;CURRENT_PERIOD_CUMUL&amp;" 
Les valeurs représentent le nombre de jours durant lesquels l'utilisateur s'est connecté au moins une fois sur le mois (les Admin sont comptabilisés) "</f>
        <v>#VALUE!</v>
      </c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1"/>
    </row>
    <row r="12" spans="1:44" ht="18.75" customHeight="1" x14ac:dyDescent="0.25">
      <c r="B12" s="1"/>
      <c r="C12" s="63" t="s">
        <v>539</v>
      </c>
      <c r="D12" s="59" t="str">
        <f ca="1">_xll.DBR($C$9,$C$12,$C$10)</f>
        <v>*KEY_ERR</v>
      </c>
      <c r="E12" s="59" t="str">
        <f ca="1">_xll.DBRA(Server&amp;"z_Stat_Date",CURRENT_PERIOD,"Cumul")</f>
        <v/>
      </c>
      <c r="F12" s="63" t="s">
        <v>540</v>
      </c>
      <c r="G12" s="1"/>
      <c r="H12" s="1"/>
      <c r="I12" s="40"/>
      <c r="J12" s="40"/>
      <c r="K12" s="40"/>
      <c r="L12" s="1"/>
      <c r="M12" s="1"/>
      <c r="N12" s="1"/>
      <c r="O12" s="1"/>
      <c r="P12" s="1"/>
      <c r="Q12" s="1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1"/>
    </row>
    <row r="13" spans="1:44" ht="18.75" customHeight="1" x14ac:dyDescent="0.25">
      <c r="B13" s="1"/>
      <c r="C13" s="64" t="s">
        <v>541</v>
      </c>
      <c r="D13" s="59" t="str">
        <f ca="1">_xll.DBR($C$9,$C$13,$C$10)</f>
        <v>*KEY_ERR</v>
      </c>
      <c r="E13" s="70" t="str">
        <f ca="1">"{EXCEPT({TM1DRILLDOWNMEMBER( {TM1FILTERBYPATTERN( {TM1SUBSETALL( [Z_Stat_utilisateur] )}, """&amp;Top_Hierarchy&amp;""")}, ALL, RECURSIVE )}"&amp;",{FILTER( {TM1FILTERBYLEVEL( {TM1SUBSETALL( [z_Stat_Utilisateur] )},0)},[z_Stat_Utilisateur].[Profil] ="&amp;"""Admin."""&amp;")})}"</f>
        <v>{EXCEPT({TM1DRILLDOWNMEMBER( {TM1FILTERBYPATTERN( {TM1SUBSETALL( [Z_Stat_utilisateur] )}, "")}, ALL, RECURSIVE )},{FILTER( {TM1FILTERBYLEVEL( {TM1SUBSETALL( [z_Stat_Utilisateur] )},0)},[z_Stat_Utilisateur].[Profil] ="Admin.")})}</v>
      </c>
      <c r="F13" s="63"/>
      <c r="G13" s="1"/>
      <c r="H13" s="1"/>
      <c r="I13" s="40"/>
      <c r="J13" s="40"/>
      <c r="K13" s="40"/>
      <c r="L13" s="1"/>
      <c r="M13" s="1"/>
      <c r="N13" s="1"/>
      <c r="O13" s="1"/>
      <c r="P13" s="1"/>
      <c r="Q13" s="1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1"/>
    </row>
    <row r="14" spans="1:44" ht="15.75" x14ac:dyDescent="0.25">
      <c r="B14" s="1"/>
      <c r="C14" s="64" t="s">
        <v>563</v>
      </c>
      <c r="D14" s="72">
        <v>0</v>
      </c>
      <c r="E14" s="74" t="s">
        <v>564</v>
      </c>
      <c r="F14" s="1"/>
      <c r="G14" s="1"/>
      <c r="H14" s="1"/>
      <c r="I14" s="40"/>
      <c r="J14" s="40"/>
      <c r="K14" s="40"/>
      <c r="L14" s="1"/>
      <c r="M14" s="1"/>
      <c r="N14" s="1"/>
      <c r="O14" s="1"/>
      <c r="P14" s="33" t="str">
        <f ca="1">CURRENT_PERIOD_CUMUL</f>
        <v/>
      </c>
      <c r="Q14" s="33" t="e">
        <f ca="1">PREVIOUS_YEAR</f>
        <v>#VALUE!</v>
      </c>
      <c r="S14" s="43" t="str">
        <f ca="1">CURRENT_YEAR&amp;".12"</f>
        <v>*KEY.12</v>
      </c>
      <c r="T14" s="43" t="str">
        <f ca="1">CURRENT_YEAR&amp;".11"</f>
        <v>*KEY.11</v>
      </c>
      <c r="U14" s="43" t="str">
        <f ca="1">CURRENT_YEAR&amp;".10"</f>
        <v>*KEY.10</v>
      </c>
      <c r="V14" s="43" t="str">
        <f ca="1">CURRENT_YEAR&amp;".09"</f>
        <v>*KEY.09</v>
      </c>
      <c r="W14" s="43" t="str">
        <f ca="1">CURRENT_YEAR&amp;".08"</f>
        <v>*KEY.08</v>
      </c>
      <c r="X14" s="43" t="str">
        <f ca="1">CURRENT_YEAR&amp;".07"</f>
        <v>*KEY.07</v>
      </c>
      <c r="Y14" s="43" t="str">
        <f ca="1">CURRENT_YEAR&amp;".06"</f>
        <v>*KEY.06</v>
      </c>
      <c r="Z14" s="43" t="str">
        <f ca="1">CURRENT_YEAR&amp;".05"</f>
        <v>*KEY.05</v>
      </c>
      <c r="AA14" s="43" t="str">
        <f ca="1">CURRENT_YEAR&amp;".04"</f>
        <v>*KEY.04</v>
      </c>
      <c r="AB14" s="43" t="str">
        <f ca="1">CURRENT_YEAR&amp;".03"</f>
        <v>*KEY.03</v>
      </c>
      <c r="AC14" s="43" t="str">
        <f ca="1">CURRENT_YEAR&amp;".02"</f>
        <v>*KEY.02</v>
      </c>
      <c r="AD14" s="43" t="str">
        <f ca="1">CURRENT_YEAR&amp;".01"</f>
        <v>*KEY.01</v>
      </c>
      <c r="AE14" s="44"/>
      <c r="AF14" s="43" t="e">
        <f ca="1">PREVIOUS_YEAR&amp;".12"</f>
        <v>#VALUE!</v>
      </c>
      <c r="AG14" s="43" t="e">
        <f ca="1">PREVIOUS_YEAR&amp;".11"</f>
        <v>#VALUE!</v>
      </c>
      <c r="AH14" s="43" t="e">
        <f ca="1">PREVIOUS_YEAR&amp;".10"</f>
        <v>#VALUE!</v>
      </c>
      <c r="AI14" s="43" t="e">
        <f ca="1">PREVIOUS_YEAR&amp;".09"</f>
        <v>#VALUE!</v>
      </c>
      <c r="AJ14" s="43" t="e">
        <f ca="1">PREVIOUS_YEAR&amp;".08"</f>
        <v>#VALUE!</v>
      </c>
      <c r="AK14" s="43" t="e">
        <f ca="1">PREVIOUS_YEAR&amp;".07"</f>
        <v>#VALUE!</v>
      </c>
      <c r="AL14" s="43" t="e">
        <f ca="1">PREVIOUS_YEAR&amp;".06"</f>
        <v>#VALUE!</v>
      </c>
      <c r="AM14" s="43" t="e">
        <f ca="1">PREVIOUS_YEAR&amp;".05"</f>
        <v>#VALUE!</v>
      </c>
      <c r="AN14" s="43" t="e">
        <f ca="1">PREVIOUS_YEAR&amp;".04"</f>
        <v>#VALUE!</v>
      </c>
      <c r="AO14" s="43" t="e">
        <f ca="1">PREVIOUS_YEAR&amp;".03"</f>
        <v>#VALUE!</v>
      </c>
      <c r="AP14" s="43" t="e">
        <f ca="1">PREVIOUS_YEAR&amp;".02"</f>
        <v>#VALUE!</v>
      </c>
      <c r="AQ14" s="43" t="e">
        <f ca="1">PREVIOUS_YEAR&amp;".01"</f>
        <v>#VALUE!</v>
      </c>
      <c r="AR14" s="1"/>
    </row>
    <row r="15" spans="1:44" hidden="1" outlineLevel="1" x14ac:dyDescent="0.25">
      <c r="B15" s="32" t="str">
        <f ca="1">Server&amp;"z_Stat_Date"</f>
        <v>tango_core_model:z_Stat_Date</v>
      </c>
      <c r="C15" s="1"/>
      <c r="D15" s="1"/>
      <c r="E15" s="66"/>
      <c r="F15" s="1"/>
      <c r="G15" s="1"/>
      <c r="H15" s="1"/>
      <c r="I15" s="40"/>
      <c r="J15" s="40"/>
      <c r="K15" s="40"/>
      <c r="L15" s="1"/>
      <c r="M15" s="1"/>
      <c r="N15" s="1"/>
      <c r="O15" s="1"/>
      <c r="P15" s="75" t="s">
        <v>535</v>
      </c>
      <c r="Q15" s="75"/>
      <c r="S15" s="71" t="str">
        <f ca="1">_xll.DBRA($B$15,S$14,"Nb_Jour_Ouvrable")</f>
        <v/>
      </c>
      <c r="T15" s="71" t="str">
        <f ca="1">_xll.DBRA($B$15,T$14,"Nb_Jour_Ouvrable")</f>
        <v/>
      </c>
      <c r="U15" s="71" t="str">
        <f ca="1">_xll.DBRA($B$15,U$14,"Nb_Jour_Ouvrable")</f>
        <v/>
      </c>
      <c r="V15" s="71" t="str">
        <f ca="1">_xll.DBRA($B$15,V$14,"Nb_Jour_Ouvrable")</f>
        <v/>
      </c>
      <c r="W15" s="71" t="str">
        <f ca="1">_xll.DBRA($B$15,W$14,"Nb_Jour_Ouvrable")</f>
        <v/>
      </c>
      <c r="X15" s="71" t="str">
        <f ca="1">_xll.DBRA($B$15,X$14,"Nb_Jour_Ouvrable")</f>
        <v/>
      </c>
      <c r="Y15" s="71" t="str">
        <f ca="1">_xll.DBRA($B$15,Y$14,"Nb_Jour_Ouvrable")</f>
        <v/>
      </c>
      <c r="Z15" s="71" t="str">
        <f ca="1">_xll.DBRA($B$15,Z$14,"Nb_Jour_Ouvrable")</f>
        <v/>
      </c>
      <c r="AA15" s="71" t="str">
        <f ca="1">_xll.DBRA($B$15,AA$14,"Nb_Jour_Ouvrable")</f>
        <v/>
      </c>
      <c r="AB15" s="71" t="str">
        <f ca="1">_xll.DBRA($B$15,AB$14,"Nb_Jour_Ouvrable")</f>
        <v/>
      </c>
      <c r="AC15" s="71" t="str">
        <f ca="1">_xll.DBRA($B$15,AC$14,"Nb_Jour_Ouvrable")</f>
        <v/>
      </c>
      <c r="AD15" s="71" t="str">
        <f ca="1">_xll.DBRA($B$15,AD$14,"Nb_Jour_Ouvrable")</f>
        <v/>
      </c>
      <c r="AE15" s="65"/>
      <c r="AF15" s="71" t="str">
        <f ca="1">_xll.DBRA($B$15,AF$14,"Nb_Jour_Ouvrable")</f>
        <v/>
      </c>
      <c r="AG15" s="71" t="str">
        <f ca="1">_xll.DBRA($B$15,AG$14,"Nb_Jour_Ouvrable")</f>
        <v/>
      </c>
      <c r="AH15" s="71" t="str">
        <f ca="1">_xll.DBRA($B$15,AH$14,"Nb_Jour_Ouvrable")</f>
        <v/>
      </c>
      <c r="AI15" s="71" t="str">
        <f ca="1">_xll.DBRA($B$15,AI$14,"Nb_Jour_Ouvrable")</f>
        <v/>
      </c>
      <c r="AJ15" s="71" t="str">
        <f ca="1">_xll.DBRA($B$15,AJ$14,"Nb_Jour_Ouvrable")</f>
        <v/>
      </c>
      <c r="AK15" s="71" t="str">
        <f ca="1">_xll.DBRA($B$15,AK$14,"Nb_Jour_Ouvrable")</f>
        <v/>
      </c>
      <c r="AL15" s="71" t="str">
        <f ca="1">_xll.DBRA($B$15,AL$14,"Nb_Jour_Ouvrable")</f>
        <v/>
      </c>
      <c r="AM15" s="71" t="str">
        <f ca="1">_xll.DBRA($B$15,AM$14,"Nb_Jour_Ouvrable")</f>
        <v/>
      </c>
      <c r="AN15" s="71" t="str">
        <f ca="1">_xll.DBRA($B$15,AN$14,"Nb_Jour_Ouvrable")</f>
        <v/>
      </c>
      <c r="AO15" s="71" t="str">
        <f ca="1">_xll.DBRA($B$15,AO$14,"Nb_Jour_Ouvrable")</f>
        <v/>
      </c>
      <c r="AP15" s="71" t="str">
        <f ca="1">_xll.DBRA($B$15,AP$14,"Nb_Jour_Ouvrable")</f>
        <v/>
      </c>
      <c r="AQ15" s="71" t="str">
        <f ca="1">_xll.DBRA($B$15,AQ$14,"Nb_Jour_Ouvrable")</f>
        <v/>
      </c>
      <c r="AR15" s="1"/>
    </row>
    <row r="16" spans="1:44" hidden="1" outlineLevel="1" x14ac:dyDescent="0.25">
      <c r="B16" s="32" t="str">
        <f ca="1">Server&amp;"z_Stat_Utilisateur"</f>
        <v>tango_core_model:z_Stat_Utilisateur</v>
      </c>
      <c r="C16" s="1"/>
      <c r="D16" s="1"/>
      <c r="E16" s="1"/>
      <c r="F16" s="1"/>
      <c r="G16" s="1"/>
      <c r="H16" s="1"/>
      <c r="I16" s="40"/>
      <c r="J16" s="40"/>
      <c r="K16" s="40"/>
      <c r="L16" s="1"/>
      <c r="M16" s="1"/>
      <c r="N16" s="1"/>
      <c r="O16" s="1"/>
      <c r="P16" s="1"/>
      <c r="Q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:44" ht="27" customHeight="1" collapsed="1" thickBot="1" x14ac:dyDescent="0.3">
      <c r="B17" s="61" t="str">
        <f ca="1">_xll.SUBNM(Server&amp;"z_stat_utilisateur","Par défaut","Total_Utilisateurs")</f>
        <v/>
      </c>
      <c r="C17" s="34" t="s">
        <v>523</v>
      </c>
      <c r="D17" s="34" t="s">
        <v>524</v>
      </c>
      <c r="E17" s="34" t="s">
        <v>525</v>
      </c>
      <c r="F17" s="34" t="s">
        <v>526</v>
      </c>
      <c r="G17" s="34" t="s">
        <v>527</v>
      </c>
      <c r="H17" s="34" t="s">
        <v>528</v>
      </c>
      <c r="I17" s="34" t="s">
        <v>529</v>
      </c>
      <c r="J17" s="34" t="s">
        <v>530</v>
      </c>
      <c r="K17" s="34" t="s">
        <v>531</v>
      </c>
      <c r="L17" s="34" t="s">
        <v>532</v>
      </c>
      <c r="M17" s="34" t="s">
        <v>533</v>
      </c>
      <c r="N17" s="34" t="s">
        <v>534</v>
      </c>
      <c r="O17" s="49" t="s">
        <v>566</v>
      </c>
      <c r="P17" s="1"/>
      <c r="Q17" s="1"/>
      <c r="R17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1:44" ht="15.75" thickBot="1" x14ac:dyDescent="0.3">
      <c r="A18" t="str">
        <f ca="1">IF(_xll.TM1RPTELISCONSOLIDATED($B$18,$B18),IF(_xll.TM1RPTELLEV($B$18,$B18)&lt;=3,_xll.TM1RPTELLEV($B$18,$B18),"D"),"N")</f>
        <v>N</v>
      </c>
      <c r="B18" s="8" t="str">
        <f ca="1">_xll.TM1RPTROW($B$9,Server&amp;"z_Stat_Utilisateur",,,,0,$E$13,1,1)</f>
        <v/>
      </c>
      <c r="C18" s="29" t="str">
        <f ca="1">_xll.DBRA($B$16,$B18,C$17)</f>
        <v/>
      </c>
      <c r="D18" s="30" t="str">
        <f ca="1">_xll.DBRA($B$16,$B18,D$17)</f>
        <v/>
      </c>
      <c r="E18" s="30" t="str">
        <f ca="1">_xll.DBRA($B$16,$B18,E$17)</f>
        <v/>
      </c>
      <c r="F18" s="30" t="str">
        <f ca="1">_xll.DBRA($B$16,$B18,F$17)</f>
        <v/>
      </c>
      <c r="G18" s="30" t="str">
        <f ca="1">_xll.DBRA($B$16,$B18,G$17)</f>
        <v/>
      </c>
      <c r="H18" s="30" t="str">
        <f ca="1">_xll.DBRA($B$16,$B18,H$17)</f>
        <v/>
      </c>
      <c r="I18" s="35" t="str">
        <f ca="1">_xll.DBRA($B$16,$B18,I$17)</f>
        <v/>
      </c>
      <c r="J18" s="35" t="str">
        <f ca="1">_xll.DBRA($B$16,$B18,J$17)</f>
        <v/>
      </c>
      <c r="K18" s="35" t="str">
        <f ca="1">_xll.DBRA($B$16,$B18,K$17)</f>
        <v/>
      </c>
      <c r="L18" s="30" t="str">
        <f ca="1">_xll.DBRA($B$16,$B18,L$17)</f>
        <v/>
      </c>
      <c r="M18" s="30" t="str">
        <f ca="1">_xll.DBRA($B$16,$B18,M$17)</f>
        <v/>
      </c>
      <c r="N18" s="30" t="str">
        <f ca="1">_xll.DBRA($B$16,$B18,N$17)</f>
        <v/>
      </c>
      <c r="O18" s="45" t="str">
        <f ca="1">_xll.DBR(Server&amp;"z_Admin_Audit_Analyse",CURRENT_PERIOD,$B18,"Nb_Inactive_Users_6_Months")</f>
        <v>*KEY_ERR</v>
      </c>
      <c r="P18" s="23" t="str">
        <f ca="1">_xll.DBRW($B$9,P$14,$B18,$P$11)</f>
        <v/>
      </c>
      <c r="Q18" s="23" t="str">
        <f ca="1">_xll.DBRW($B$9,Q$14,$B18,$P$11)</f>
        <v/>
      </c>
      <c r="S18" s="9" t="str">
        <f ca="1">_xll.DBRW($B$9,S$14,$B18,$P$11)</f>
        <v/>
      </c>
      <c r="T18" s="9" t="str">
        <f ca="1">_xll.DBRW($B$9,T$14,$B18,$P$11)</f>
        <v/>
      </c>
      <c r="U18" s="9" t="str">
        <f ca="1">_xll.DBRW($B$9,U$14,$B18,$P$11)</f>
        <v/>
      </c>
      <c r="V18" s="9" t="str">
        <f ca="1">_xll.DBRW($B$9,V$14,$B18,$P$11)</f>
        <v/>
      </c>
      <c r="W18" s="9" t="str">
        <f ca="1">_xll.DBRW($B$9,W$14,$B18,$P$11)</f>
        <v/>
      </c>
      <c r="X18" s="9" t="str">
        <f ca="1">_xll.DBRW($B$9,X$14,$B18,$P$11)</f>
        <v/>
      </c>
      <c r="Y18" s="9" t="str">
        <f ca="1">_xll.DBRW($B$9,Y$14,$B18,$P$11)</f>
        <v/>
      </c>
      <c r="Z18" s="9" t="str">
        <f ca="1">_xll.DBRW($B$9,Z$14,$B18,$P$11)</f>
        <v/>
      </c>
      <c r="AA18" s="9" t="str">
        <f ca="1">_xll.DBRW($B$9,AA$14,$B18,$P$11)</f>
        <v/>
      </c>
      <c r="AB18" s="9" t="str">
        <f ca="1">_xll.DBRW($B$9,AB$14,$B18,$P$11)</f>
        <v/>
      </c>
      <c r="AC18" s="9" t="str">
        <f ca="1">_xll.DBRW($B$9,AC$14,$B18,$P$11)</f>
        <v/>
      </c>
      <c r="AD18" s="9" t="str">
        <f ca="1">_xll.DBRW($B$9,AD$14,$B18,$P$11)</f>
        <v/>
      </c>
      <c r="AF18" s="9" t="str">
        <f ca="1">_xll.DBRW($B$9,AF$14,$B18,$P$11)</f>
        <v/>
      </c>
      <c r="AG18" s="9" t="str">
        <f ca="1">_xll.DBRW($B$9,AG$14,$B18,$P$11)</f>
        <v/>
      </c>
      <c r="AH18" s="9" t="str">
        <f ca="1">_xll.DBRW($B$9,AH$14,$B18,$P$11)</f>
        <v/>
      </c>
      <c r="AI18" s="9" t="str">
        <f ca="1">_xll.DBRW($B$9,AI$14,$B18,$P$11)</f>
        <v/>
      </c>
      <c r="AJ18" s="9" t="str">
        <f ca="1">_xll.DBRW($B$9,AJ$14,$B18,$P$11)</f>
        <v/>
      </c>
      <c r="AK18" s="9" t="str">
        <f ca="1">_xll.DBRW($B$9,AK$14,$B18,$P$11)</f>
        <v/>
      </c>
      <c r="AL18" s="9" t="str">
        <f ca="1">_xll.DBRW($B$9,AL$14,$B18,$P$11)</f>
        <v/>
      </c>
      <c r="AM18" s="9" t="str">
        <f ca="1">_xll.DBRW($B$9,AM$14,$B18,$P$11)</f>
        <v/>
      </c>
      <c r="AN18" s="9" t="str">
        <f ca="1">_xll.DBRW($B$9,AN$14,$B18,$P$11)</f>
        <v/>
      </c>
      <c r="AO18" s="9" t="str">
        <f ca="1">_xll.DBRW($B$9,AO$14,$B18,$P$11)</f>
        <v/>
      </c>
      <c r="AP18" s="9" t="str">
        <f ca="1">_xll.DBRW($B$9,AP$14,$B18,$P$11)</f>
        <v/>
      </c>
      <c r="AQ18" s="9" t="str">
        <f ca="1">_xll.DBRW($B$9,AQ$14,$B18,$P$11)</f>
        <v/>
      </c>
      <c r="AR18" s="1"/>
    </row>
    <row r="19" spans="1:44" x14ac:dyDescent="0.25">
      <c r="B19" s="1"/>
      <c r="C19" s="1"/>
      <c r="D19" s="1"/>
      <c r="E19" s="1"/>
      <c r="F19" s="1"/>
      <c r="G19" s="1"/>
      <c r="H19" s="1"/>
      <c r="I19" s="40"/>
      <c r="J19" s="40"/>
      <c r="K19" s="40"/>
      <c r="L19" s="1"/>
      <c r="M19" s="1"/>
      <c r="N19" s="1"/>
      <c r="O19" s="1"/>
      <c r="P19" s="1"/>
      <c r="Q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2" spans="1:44" x14ac:dyDescent="0.25">
      <c r="B22" s="73"/>
    </row>
  </sheetData>
  <mergeCells count="3">
    <mergeCell ref="P15:Q15"/>
    <mergeCell ref="P11:Q11"/>
    <mergeCell ref="S11:AD13"/>
  </mergeCells>
  <conditionalFormatting sqref="AB7:AQ7 S7">
    <cfRule type="colorScale" priority="945">
      <colorScale>
        <cfvo type="num" val="0"/>
        <cfvo type="num" val="15"/>
        <cfvo type="num" val="30"/>
        <color theme="0"/>
        <color theme="6" tint="0.79998168889431442"/>
        <color rgb="FF63BE7B"/>
      </colorScale>
    </cfRule>
  </conditionalFormatting>
  <conditionalFormatting sqref="I7:K7">
    <cfRule type="cellIs" dxfId="4" priority="942" operator="equal">
      <formula>"N"</formula>
    </cfRule>
    <cfRule type="cellIs" dxfId="3" priority="943" operator="equal">
      <formula>"Y"</formula>
    </cfRule>
  </conditionalFormatting>
  <conditionalFormatting sqref="U7:V7">
    <cfRule type="colorScale" priority="925">
      <colorScale>
        <cfvo type="num" val="0"/>
        <cfvo type="num" val="15"/>
        <cfvo type="num" val="30"/>
        <color theme="0"/>
        <color theme="6" tint="0.79998168889431442"/>
        <color rgb="FF63BE7B"/>
      </colorScale>
    </cfRule>
  </conditionalFormatting>
  <conditionalFormatting sqref="Z7:AA7 T7">
    <cfRule type="colorScale" priority="929">
      <colorScale>
        <cfvo type="num" val="0"/>
        <cfvo type="num" val="15"/>
        <cfvo type="num" val="30"/>
        <color theme="0"/>
        <color theme="6" tint="0.79998168889431442"/>
        <color rgb="FF63BE7B"/>
      </colorScale>
    </cfRule>
  </conditionalFormatting>
  <conditionalFormatting sqref="W7:Y7">
    <cfRule type="colorScale" priority="927">
      <colorScale>
        <cfvo type="num" val="0"/>
        <cfvo type="num" val="15"/>
        <cfvo type="num" val="30"/>
        <color theme="0"/>
        <color theme="6" tint="0.79998168889431442"/>
        <color rgb="FF63BE7B"/>
      </colorScale>
    </cfRule>
  </conditionalFormatting>
  <conditionalFormatting sqref="T14:AD14 AF14:AQ14">
    <cfRule type="expression" dxfId="2" priority="923">
      <formula>EXACT(T$14,MID($P$14,1,7))</formula>
    </cfRule>
  </conditionalFormatting>
  <conditionalFormatting sqref="D14">
    <cfRule type="cellIs" dxfId="1" priority="337" operator="equal">
      <formula>0</formula>
    </cfRule>
    <cfRule type="cellIs" dxfId="0" priority="338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r:id="rId5">
            <anchor moveWithCells="1">
              <from>
                <xdr:col>15</xdr:col>
                <xdr:colOff>47625</xdr:colOff>
                <xdr:row>8</xdr:row>
                <xdr:rowOff>47625</xdr:rowOff>
              </from>
              <to>
                <xdr:col>16</xdr:col>
                <xdr:colOff>1209675</xdr:colOff>
                <xdr:row>9</xdr:row>
                <xdr:rowOff>142875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r:id="rId7">
            <anchor moveWithCells="1">
              <from>
                <xdr:col>15</xdr:col>
                <xdr:colOff>28575</xdr:colOff>
                <xdr:row>11</xdr:row>
                <xdr:rowOff>28575</xdr:rowOff>
              </from>
              <to>
                <xdr:col>17</xdr:col>
                <xdr:colOff>0</xdr:colOff>
                <xdr:row>12</xdr:row>
                <xdr:rowOff>209550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7" r:id="rId8" name="TIButton1">
          <controlPr defaultSize="0" print="0" autoLine="0" r:id="rId9">
            <anchor moveWithCells="1">
              <from>
                <xdr:col>15</xdr:col>
                <xdr:colOff>38100</xdr:colOff>
                <xdr:row>16</xdr:row>
                <xdr:rowOff>9525</xdr:rowOff>
              </from>
              <to>
                <xdr:col>16</xdr:col>
                <xdr:colOff>1247775</xdr:colOff>
                <xdr:row>16</xdr:row>
                <xdr:rowOff>323850</xdr:rowOff>
              </to>
            </anchor>
          </controlPr>
        </control>
      </mc:Choice>
      <mc:Fallback>
        <control shapeId="1027" r:id="rId8" name="TI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31" id="{F5420019-D41D-4AE7-AEA9-266099F4003D}">
            <x14:iconSet iconSet="3Symbols" showValue="0" custom="1">
              <x14:cfvo type="percent">
                <xm:f>0</xm:f>
              </x14:cfvo>
              <x14:cfvo type="num">
                <xm:f>-1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" iconId="0"/>
            </x14:iconSet>
          </x14:cfRule>
          <xm:sqref>O7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21"/>
  <sheetViews>
    <sheetView workbookViewId="0"/>
  </sheetViews>
  <sheetFormatPr baseColWidth="10" defaultColWidth="9.140625" defaultRowHeight="12.75" outlineLevelRow="1" x14ac:dyDescent="0.2"/>
  <cols>
    <col min="1" max="1" width="37.42578125" style="52" customWidth="1"/>
    <col min="2" max="2" width="25.7109375" style="52" customWidth="1"/>
    <col min="3" max="3" width="9.140625" style="52"/>
    <col min="4" max="4" width="27.7109375" style="52" customWidth="1"/>
    <col min="5" max="16384" width="9.140625" style="52"/>
  </cols>
  <sheetData>
    <row r="1" spans="1:2" ht="18" x14ac:dyDescent="0.25">
      <c r="A1" s="53" t="s">
        <v>562</v>
      </c>
      <c r="B1" s="51"/>
    </row>
    <row r="2" spans="1:2" x14ac:dyDescent="0.2">
      <c r="A2" s="51"/>
      <c r="B2" s="51"/>
    </row>
    <row r="3" spans="1:2" ht="15.75" x14ac:dyDescent="0.25">
      <c r="A3" s="55" t="s">
        <v>542</v>
      </c>
      <c r="B3" s="51"/>
    </row>
    <row r="4" spans="1:2" x14ac:dyDescent="0.2">
      <c r="A4" s="54" t="s">
        <v>543</v>
      </c>
      <c r="B4" s="56" t="s">
        <v>565</v>
      </c>
    </row>
    <row r="5" spans="1:2" x14ac:dyDescent="0.2">
      <c r="A5" s="54" t="s">
        <v>544</v>
      </c>
      <c r="B5" s="56" t="str">
        <f ca="1">LEFT(Server,LEN(Server)-1)</f>
        <v>tango_core_model</v>
      </c>
    </row>
    <row r="6" spans="1:2" x14ac:dyDescent="0.2">
      <c r="A6" s="54" t="s">
        <v>545</v>
      </c>
      <c r="B6" s="56" t="s">
        <v>546</v>
      </c>
    </row>
    <row r="8" spans="1:2" ht="15.75" hidden="1" outlineLevel="1" x14ac:dyDescent="0.25">
      <c r="A8" s="55" t="s">
        <v>547</v>
      </c>
    </row>
    <row r="9" spans="1:2" ht="13.5" hidden="1" customHeight="1" outlineLevel="1" x14ac:dyDescent="0.2">
      <c r="A9" s="54" t="s">
        <v>548</v>
      </c>
      <c r="B9" s="57" t="s">
        <v>549</v>
      </c>
    </row>
    <row r="10" spans="1:2" ht="13.5" hidden="1" customHeight="1" outlineLevel="1" x14ac:dyDescent="0.2">
      <c r="A10" s="54" t="s">
        <v>550</v>
      </c>
      <c r="B10" s="57" t="s">
        <v>551</v>
      </c>
    </row>
    <row r="11" spans="1:2" hidden="1" outlineLevel="1" x14ac:dyDescent="0.2">
      <c r="A11" s="54" t="s">
        <v>552</v>
      </c>
      <c r="B11" s="57" t="str">
        <f ca="1">_xll.DBR(Server&amp;"z_Admin_Param","YEAR_ACTUAL","STR_VAR1")</f>
        <v>*KEY_ERR</v>
      </c>
    </row>
    <row r="12" spans="1:2" hidden="1" outlineLevel="1" x14ac:dyDescent="0.2">
      <c r="A12" s="54" t="s">
        <v>553</v>
      </c>
      <c r="B12" s="57" t="str">
        <f ca="1">_xll.DBR(Server&amp;"z_Admin_Param","MONTH_ACTUAL","STR_VAR1")</f>
        <v>*KEY_ERR</v>
      </c>
    </row>
    <row r="13" spans="1:2" hidden="1" outlineLevel="1" x14ac:dyDescent="0.2">
      <c r="A13" s="54" t="s">
        <v>554</v>
      </c>
      <c r="B13" s="58" t="str">
        <f ca="1">_xll.DBR(Server&amp;"z_Client_Properties","Language",_xll.TM1USER(xServer))</f>
        <v>*KEY_ERR</v>
      </c>
    </row>
    <row r="14" spans="1:2" hidden="1" outlineLevel="1" x14ac:dyDescent="0.2">
      <c r="A14" s="80" t="s">
        <v>555</v>
      </c>
      <c r="B14" s="57" t="s">
        <v>556</v>
      </c>
    </row>
    <row r="15" spans="1:2" hidden="1" outlineLevel="1" x14ac:dyDescent="0.2">
      <c r="A15" s="80"/>
      <c r="B15" s="57" t="s">
        <v>557</v>
      </c>
    </row>
    <row r="16" spans="1:2" hidden="1" outlineLevel="1" x14ac:dyDescent="0.2">
      <c r="A16" s="80"/>
      <c r="B16" s="57" t="s">
        <v>558</v>
      </c>
    </row>
    <row r="17" spans="1:2" hidden="1" outlineLevel="1" x14ac:dyDescent="0.2">
      <c r="A17" s="80"/>
      <c r="B17" s="57" t="s">
        <v>559</v>
      </c>
    </row>
    <row r="18" spans="1:2" hidden="1" outlineLevel="1" x14ac:dyDescent="0.2">
      <c r="A18" s="80"/>
      <c r="B18" s="57" t="s">
        <v>560</v>
      </c>
    </row>
    <row r="19" spans="1:2" hidden="1" outlineLevel="1" x14ac:dyDescent="0.2"/>
    <row r="20" spans="1:2" hidden="1" outlineLevel="1" x14ac:dyDescent="0.2"/>
    <row r="21" spans="1:2" collapsed="1" x14ac:dyDescent="0.2"/>
  </sheetData>
  <mergeCells count="1">
    <mergeCell ref="A14:A18"/>
  </mergeCell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5:B2659"/>
  <sheetViews>
    <sheetView workbookViewId="0"/>
  </sheetViews>
  <sheetFormatPr baseColWidth="10" defaultRowHeight="15" x14ac:dyDescent="0.25"/>
  <sheetData>
    <row r="15" spans="2:2" x14ac:dyDescent="0.25">
      <c r="B15" t="s">
        <v>1</v>
      </c>
    </row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338</v>
      </c>
    </row>
    <row r="513" spans="2:2" x14ac:dyDescent="0.25">
      <c r="B513" t="s">
        <v>498</v>
      </c>
    </row>
    <row r="514" spans="2:2" x14ac:dyDescent="0.25">
      <c r="B514" t="s">
        <v>345</v>
      </c>
    </row>
    <row r="515" spans="2:2" x14ac:dyDescent="0.25">
      <c r="B515" t="s">
        <v>499</v>
      </c>
    </row>
    <row r="516" spans="2:2" x14ac:dyDescent="0.25">
      <c r="B516" t="s">
        <v>212</v>
      </c>
    </row>
    <row r="517" spans="2:2" x14ac:dyDescent="0.25">
      <c r="B517" t="s">
        <v>324</v>
      </c>
    </row>
    <row r="518" spans="2:2" x14ac:dyDescent="0.25">
      <c r="B518" t="s">
        <v>500</v>
      </c>
    </row>
    <row r="519" spans="2:2" x14ac:dyDescent="0.25">
      <c r="B519" t="s">
        <v>284</v>
      </c>
    </row>
    <row r="520" spans="2:2" x14ac:dyDescent="0.25">
      <c r="B520" t="s">
        <v>501</v>
      </c>
    </row>
    <row r="521" spans="2:2" x14ac:dyDescent="0.25">
      <c r="B521" t="s">
        <v>194</v>
      </c>
    </row>
    <row r="522" spans="2:2" x14ac:dyDescent="0.25">
      <c r="B522" t="s">
        <v>223</v>
      </c>
    </row>
    <row r="523" spans="2:2" x14ac:dyDescent="0.25">
      <c r="B523" t="s">
        <v>502</v>
      </c>
    </row>
    <row r="524" spans="2:2" x14ac:dyDescent="0.25">
      <c r="B524" t="s">
        <v>160</v>
      </c>
    </row>
    <row r="525" spans="2:2" x14ac:dyDescent="0.25">
      <c r="B525" t="s">
        <v>382</v>
      </c>
    </row>
    <row r="526" spans="2:2" x14ac:dyDescent="0.25">
      <c r="B526" t="s">
        <v>339</v>
      </c>
    </row>
    <row r="527" spans="2:2" x14ac:dyDescent="0.25">
      <c r="B527" t="s">
        <v>268</v>
      </c>
    </row>
    <row r="528" spans="2:2" x14ac:dyDescent="0.25">
      <c r="B528" t="s">
        <v>277</v>
      </c>
    </row>
    <row r="529" spans="2:2" x14ac:dyDescent="0.25">
      <c r="B529" t="s">
        <v>279</v>
      </c>
    </row>
    <row r="530" spans="2:2" x14ac:dyDescent="0.25">
      <c r="B530" t="s">
        <v>292</v>
      </c>
    </row>
    <row r="531" spans="2:2" x14ac:dyDescent="0.25">
      <c r="B531" t="s">
        <v>103</v>
      </c>
    </row>
    <row r="532" spans="2:2" x14ac:dyDescent="0.25">
      <c r="B532" t="s">
        <v>503</v>
      </c>
    </row>
    <row r="533" spans="2:2" x14ac:dyDescent="0.25">
      <c r="B533" t="s">
        <v>337</v>
      </c>
    </row>
    <row r="534" spans="2:2" x14ac:dyDescent="0.25">
      <c r="B534" t="s">
        <v>504</v>
      </c>
    </row>
    <row r="535" spans="2:2" x14ac:dyDescent="0.25">
      <c r="B535" t="s">
        <v>203</v>
      </c>
    </row>
    <row r="536" spans="2:2" x14ac:dyDescent="0.25">
      <c r="B536" t="s">
        <v>505</v>
      </c>
    </row>
    <row r="537" spans="2:2" x14ac:dyDescent="0.25">
      <c r="B537" t="s">
        <v>389</v>
      </c>
    </row>
    <row r="538" spans="2:2" x14ac:dyDescent="0.25">
      <c r="B538" t="s">
        <v>506</v>
      </c>
    </row>
    <row r="539" spans="2:2" x14ac:dyDescent="0.25">
      <c r="B539" t="s">
        <v>139</v>
      </c>
    </row>
    <row r="540" spans="2:2" x14ac:dyDescent="0.25">
      <c r="B540" t="s">
        <v>507</v>
      </c>
    </row>
    <row r="541" spans="2:2" x14ac:dyDescent="0.25">
      <c r="B541" t="s">
        <v>155</v>
      </c>
    </row>
    <row r="542" spans="2:2" x14ac:dyDescent="0.25">
      <c r="B542" t="s">
        <v>428</v>
      </c>
    </row>
    <row r="543" spans="2:2" x14ac:dyDescent="0.25">
      <c r="B543" t="s">
        <v>3</v>
      </c>
    </row>
    <row r="544" spans="2:2" x14ac:dyDescent="0.25">
      <c r="B544" t="s">
        <v>4</v>
      </c>
    </row>
    <row r="545" spans="2:2" x14ac:dyDescent="0.25">
      <c r="B545" t="s">
        <v>5</v>
      </c>
    </row>
    <row r="546" spans="2:2" x14ac:dyDescent="0.25">
      <c r="B546" t="s">
        <v>156</v>
      </c>
    </row>
    <row r="547" spans="2:2" x14ac:dyDescent="0.25">
      <c r="B547" t="s">
        <v>397</v>
      </c>
    </row>
    <row r="548" spans="2:2" x14ac:dyDescent="0.25">
      <c r="B548" t="s">
        <v>157</v>
      </c>
    </row>
    <row r="549" spans="2:2" x14ac:dyDescent="0.25">
      <c r="B549" t="s">
        <v>158</v>
      </c>
    </row>
    <row r="550" spans="2:2" x14ac:dyDescent="0.25">
      <c r="B550" t="s">
        <v>429</v>
      </c>
    </row>
    <row r="551" spans="2:2" x14ac:dyDescent="0.25">
      <c r="B551" t="s">
        <v>159</v>
      </c>
    </row>
    <row r="552" spans="2:2" x14ac:dyDescent="0.25">
      <c r="B552" t="s">
        <v>17</v>
      </c>
    </row>
    <row r="553" spans="2:2" x14ac:dyDescent="0.25">
      <c r="B553" t="s">
        <v>18</v>
      </c>
    </row>
    <row r="554" spans="2:2" x14ac:dyDescent="0.25">
      <c r="B554" t="s">
        <v>161</v>
      </c>
    </row>
    <row r="555" spans="2:2" x14ac:dyDescent="0.25">
      <c r="B555" t="s">
        <v>162</v>
      </c>
    </row>
    <row r="556" spans="2:2" x14ac:dyDescent="0.25">
      <c r="B556" t="s">
        <v>163</v>
      </c>
    </row>
    <row r="557" spans="2:2" x14ac:dyDescent="0.25">
      <c r="B557" t="s">
        <v>164</v>
      </c>
    </row>
    <row r="558" spans="2:2" x14ac:dyDescent="0.25">
      <c r="B558" t="s">
        <v>63</v>
      </c>
    </row>
    <row r="559" spans="2:2" x14ac:dyDescent="0.25">
      <c r="B559" t="s">
        <v>367</v>
      </c>
    </row>
    <row r="560" spans="2:2" x14ac:dyDescent="0.25">
      <c r="B560" t="s">
        <v>368</v>
      </c>
    </row>
    <row r="561" spans="2:2" x14ac:dyDescent="0.25">
      <c r="B561" t="s">
        <v>369</v>
      </c>
    </row>
    <row r="562" spans="2:2" x14ac:dyDescent="0.25">
      <c r="B562" t="s">
        <v>430</v>
      </c>
    </row>
    <row r="563" spans="2:2" x14ac:dyDescent="0.25">
      <c r="B563" t="s">
        <v>19</v>
      </c>
    </row>
    <row r="564" spans="2:2" x14ac:dyDescent="0.25">
      <c r="B564" t="s">
        <v>329</v>
      </c>
    </row>
    <row r="565" spans="2:2" x14ac:dyDescent="0.25">
      <c r="B565" t="s">
        <v>431</v>
      </c>
    </row>
    <row r="566" spans="2:2" x14ac:dyDescent="0.25">
      <c r="B566" t="s">
        <v>165</v>
      </c>
    </row>
    <row r="567" spans="2:2" x14ac:dyDescent="0.25">
      <c r="B567" t="s">
        <v>432</v>
      </c>
    </row>
    <row r="568" spans="2:2" x14ac:dyDescent="0.25">
      <c r="B568" t="s">
        <v>74</v>
      </c>
    </row>
    <row r="569" spans="2:2" x14ac:dyDescent="0.25">
      <c r="B569" t="s">
        <v>433</v>
      </c>
    </row>
    <row r="570" spans="2:2" x14ac:dyDescent="0.25">
      <c r="B570" t="s">
        <v>166</v>
      </c>
    </row>
    <row r="571" spans="2:2" x14ac:dyDescent="0.25">
      <c r="B571" t="s">
        <v>434</v>
      </c>
    </row>
    <row r="572" spans="2:2" x14ac:dyDescent="0.25">
      <c r="B572" t="s">
        <v>370</v>
      </c>
    </row>
    <row r="573" spans="2:2" x14ac:dyDescent="0.25">
      <c r="B573" t="s">
        <v>167</v>
      </c>
    </row>
    <row r="574" spans="2:2" x14ac:dyDescent="0.25">
      <c r="B574" t="s">
        <v>168</v>
      </c>
    </row>
    <row r="575" spans="2:2" x14ac:dyDescent="0.25">
      <c r="B575" t="s">
        <v>6</v>
      </c>
    </row>
    <row r="576" spans="2:2" x14ac:dyDescent="0.25">
      <c r="B576" t="s">
        <v>435</v>
      </c>
    </row>
    <row r="577" spans="2:2" x14ac:dyDescent="0.25">
      <c r="B577" t="s">
        <v>169</v>
      </c>
    </row>
    <row r="578" spans="2:2" x14ac:dyDescent="0.25">
      <c r="B578" t="s">
        <v>436</v>
      </c>
    </row>
    <row r="579" spans="2:2" x14ac:dyDescent="0.25">
      <c r="B579" t="s">
        <v>371</v>
      </c>
    </row>
    <row r="580" spans="2:2" x14ac:dyDescent="0.25">
      <c r="B580" t="s">
        <v>437</v>
      </c>
    </row>
    <row r="581" spans="2:2" x14ac:dyDescent="0.25">
      <c r="B581" t="s">
        <v>170</v>
      </c>
    </row>
    <row r="582" spans="2:2" x14ac:dyDescent="0.25">
      <c r="B582" t="s">
        <v>171</v>
      </c>
    </row>
    <row r="583" spans="2:2" x14ac:dyDescent="0.25">
      <c r="B583" t="s">
        <v>172</v>
      </c>
    </row>
    <row r="584" spans="2:2" x14ac:dyDescent="0.25">
      <c r="B584" t="s">
        <v>106</v>
      </c>
    </row>
    <row r="585" spans="2:2" x14ac:dyDescent="0.25">
      <c r="B585" t="s">
        <v>173</v>
      </c>
    </row>
    <row r="586" spans="2:2" x14ac:dyDescent="0.25">
      <c r="B586" t="s">
        <v>20</v>
      </c>
    </row>
    <row r="587" spans="2:2" x14ac:dyDescent="0.25">
      <c r="B587" t="s">
        <v>356</v>
      </c>
    </row>
    <row r="588" spans="2:2" x14ac:dyDescent="0.25">
      <c r="B588" t="s">
        <v>174</v>
      </c>
    </row>
    <row r="589" spans="2:2" x14ac:dyDescent="0.25">
      <c r="B589" t="s">
        <v>175</v>
      </c>
    </row>
    <row r="590" spans="2:2" x14ac:dyDescent="0.25">
      <c r="B590" t="s">
        <v>438</v>
      </c>
    </row>
    <row r="591" spans="2:2" x14ac:dyDescent="0.25">
      <c r="B591" t="s">
        <v>176</v>
      </c>
    </row>
    <row r="592" spans="2:2" x14ac:dyDescent="0.25">
      <c r="B592" t="s">
        <v>439</v>
      </c>
    </row>
    <row r="593" spans="2:2" x14ac:dyDescent="0.25">
      <c r="B593" t="s">
        <v>410</v>
      </c>
    </row>
    <row r="594" spans="2:2" x14ac:dyDescent="0.25">
      <c r="B594" t="s">
        <v>440</v>
      </c>
    </row>
    <row r="595" spans="2:2" x14ac:dyDescent="0.25">
      <c r="B595" t="s">
        <v>441</v>
      </c>
    </row>
    <row r="596" spans="2:2" x14ac:dyDescent="0.25">
      <c r="B596" t="s">
        <v>177</v>
      </c>
    </row>
    <row r="597" spans="2:2" x14ac:dyDescent="0.25">
      <c r="B597" t="s">
        <v>178</v>
      </c>
    </row>
    <row r="598" spans="2:2" x14ac:dyDescent="0.25">
      <c r="B598" t="s">
        <v>21</v>
      </c>
    </row>
    <row r="599" spans="2:2" x14ac:dyDescent="0.25">
      <c r="B599" t="s">
        <v>179</v>
      </c>
    </row>
    <row r="600" spans="2:2" x14ac:dyDescent="0.25">
      <c r="B600" t="s">
        <v>107</v>
      </c>
    </row>
    <row r="601" spans="2:2" x14ac:dyDescent="0.25">
      <c r="B601" t="s">
        <v>372</v>
      </c>
    </row>
    <row r="602" spans="2:2" x14ac:dyDescent="0.25">
      <c r="B602" t="s">
        <v>180</v>
      </c>
    </row>
    <row r="603" spans="2:2" x14ac:dyDescent="0.25">
      <c r="B603" t="s">
        <v>181</v>
      </c>
    </row>
    <row r="604" spans="2:2" x14ac:dyDescent="0.25">
      <c r="B604" t="s">
        <v>182</v>
      </c>
    </row>
    <row r="605" spans="2:2" x14ac:dyDescent="0.25">
      <c r="B605" t="s">
        <v>108</v>
      </c>
    </row>
    <row r="606" spans="2:2" x14ac:dyDescent="0.25">
      <c r="B606" t="s">
        <v>183</v>
      </c>
    </row>
    <row r="607" spans="2:2" x14ac:dyDescent="0.25">
      <c r="B607" t="s">
        <v>184</v>
      </c>
    </row>
    <row r="608" spans="2:2" x14ac:dyDescent="0.25">
      <c r="B608" t="s">
        <v>414</v>
      </c>
    </row>
    <row r="609" spans="2:2" x14ac:dyDescent="0.25">
      <c r="B609" t="s">
        <v>185</v>
      </c>
    </row>
    <row r="610" spans="2:2" x14ac:dyDescent="0.25">
      <c r="B610" t="s">
        <v>186</v>
      </c>
    </row>
    <row r="611" spans="2:2" x14ac:dyDescent="0.25">
      <c r="B611" t="s">
        <v>442</v>
      </c>
    </row>
    <row r="612" spans="2:2" x14ac:dyDescent="0.25">
      <c r="B612" t="s">
        <v>187</v>
      </c>
    </row>
    <row r="613" spans="2:2" x14ac:dyDescent="0.25">
      <c r="B613" t="s">
        <v>75</v>
      </c>
    </row>
    <row r="614" spans="2:2" x14ac:dyDescent="0.25">
      <c r="B614" t="s">
        <v>188</v>
      </c>
    </row>
    <row r="615" spans="2:2" x14ac:dyDescent="0.25">
      <c r="B615" t="s">
        <v>189</v>
      </c>
    </row>
    <row r="616" spans="2:2" x14ac:dyDescent="0.25">
      <c r="B616" t="s">
        <v>109</v>
      </c>
    </row>
    <row r="617" spans="2:2" x14ac:dyDescent="0.25">
      <c r="B617" t="s">
        <v>190</v>
      </c>
    </row>
    <row r="618" spans="2:2" x14ac:dyDescent="0.25">
      <c r="B618" t="s">
        <v>191</v>
      </c>
    </row>
    <row r="619" spans="2:2" x14ac:dyDescent="0.25">
      <c r="B619" t="s">
        <v>192</v>
      </c>
    </row>
    <row r="620" spans="2:2" x14ac:dyDescent="0.25">
      <c r="B620" t="s">
        <v>193</v>
      </c>
    </row>
    <row r="621" spans="2:2" x14ac:dyDescent="0.25">
      <c r="B621" t="s">
        <v>110</v>
      </c>
    </row>
    <row r="622" spans="2:2" x14ac:dyDescent="0.25">
      <c r="B622" t="s">
        <v>149</v>
      </c>
    </row>
    <row r="623" spans="2:2" x14ac:dyDescent="0.25">
      <c r="B623" t="s">
        <v>111</v>
      </c>
    </row>
    <row r="624" spans="2:2" x14ac:dyDescent="0.25">
      <c r="B624" t="s">
        <v>418</v>
      </c>
    </row>
    <row r="625" spans="2:2" x14ac:dyDescent="0.25">
      <c r="B625" t="s">
        <v>195</v>
      </c>
    </row>
    <row r="626" spans="2:2" x14ac:dyDescent="0.25">
      <c r="B626" t="s">
        <v>196</v>
      </c>
    </row>
    <row r="627" spans="2:2" x14ac:dyDescent="0.25">
      <c r="B627" t="s">
        <v>197</v>
      </c>
    </row>
    <row r="628" spans="2:2" x14ac:dyDescent="0.25">
      <c r="B628" t="s">
        <v>22</v>
      </c>
    </row>
    <row r="629" spans="2:2" x14ac:dyDescent="0.25">
      <c r="B629" t="s">
        <v>23</v>
      </c>
    </row>
    <row r="630" spans="2:2" x14ac:dyDescent="0.25">
      <c r="B630" t="s">
        <v>7</v>
      </c>
    </row>
    <row r="631" spans="2:2" x14ac:dyDescent="0.25">
      <c r="B631" t="s">
        <v>198</v>
      </c>
    </row>
    <row r="632" spans="2:2" x14ac:dyDescent="0.25">
      <c r="B632" t="s">
        <v>112</v>
      </c>
    </row>
    <row r="633" spans="2:2" x14ac:dyDescent="0.25">
      <c r="B633" t="s">
        <v>199</v>
      </c>
    </row>
    <row r="634" spans="2:2" x14ac:dyDescent="0.25">
      <c r="B634" t="s">
        <v>200</v>
      </c>
    </row>
    <row r="635" spans="2:2" x14ac:dyDescent="0.25">
      <c r="B635" t="s">
        <v>201</v>
      </c>
    </row>
    <row r="636" spans="2:2" x14ac:dyDescent="0.25">
      <c r="B636" t="s">
        <v>202</v>
      </c>
    </row>
    <row r="637" spans="2:2" x14ac:dyDescent="0.25">
      <c r="B637" t="s">
        <v>204</v>
      </c>
    </row>
    <row r="638" spans="2:2" x14ac:dyDescent="0.25">
      <c r="B638" t="s">
        <v>76</v>
      </c>
    </row>
    <row r="639" spans="2:2" x14ac:dyDescent="0.25">
      <c r="B639" t="s">
        <v>205</v>
      </c>
    </row>
    <row r="640" spans="2:2" x14ac:dyDescent="0.25">
      <c r="B640" t="s">
        <v>443</v>
      </c>
    </row>
    <row r="641" spans="2:2" x14ac:dyDescent="0.25">
      <c r="B641" t="s">
        <v>206</v>
      </c>
    </row>
    <row r="642" spans="2:2" x14ac:dyDescent="0.25">
      <c r="B642" t="s">
        <v>24</v>
      </c>
    </row>
    <row r="643" spans="2:2" x14ac:dyDescent="0.25">
      <c r="B643" t="s">
        <v>373</v>
      </c>
    </row>
    <row r="644" spans="2:2" x14ac:dyDescent="0.25">
      <c r="B644" t="s">
        <v>25</v>
      </c>
    </row>
    <row r="645" spans="2:2" x14ac:dyDescent="0.25">
      <c r="B645" t="s">
        <v>207</v>
      </c>
    </row>
    <row r="646" spans="2:2" x14ac:dyDescent="0.25">
      <c r="B646" t="s">
        <v>374</v>
      </c>
    </row>
    <row r="647" spans="2:2" x14ac:dyDescent="0.25">
      <c r="B647" t="s">
        <v>77</v>
      </c>
    </row>
    <row r="648" spans="2:2" x14ac:dyDescent="0.25">
      <c r="B648" t="s">
        <v>444</v>
      </c>
    </row>
    <row r="649" spans="2:2" x14ac:dyDescent="0.25">
      <c r="B649" t="s">
        <v>445</v>
      </c>
    </row>
    <row r="650" spans="2:2" x14ac:dyDescent="0.25">
      <c r="B650" t="s">
        <v>208</v>
      </c>
    </row>
    <row r="651" spans="2:2" x14ac:dyDescent="0.25">
      <c r="B651" t="s">
        <v>26</v>
      </c>
    </row>
    <row r="652" spans="2:2" x14ac:dyDescent="0.25">
      <c r="B652" t="s">
        <v>446</v>
      </c>
    </row>
    <row r="653" spans="2:2" x14ac:dyDescent="0.25">
      <c r="B653" t="s">
        <v>209</v>
      </c>
    </row>
    <row r="654" spans="2:2" x14ac:dyDescent="0.25">
      <c r="B654" t="s">
        <v>102</v>
      </c>
    </row>
    <row r="655" spans="2:2" x14ac:dyDescent="0.25">
      <c r="B655" t="s">
        <v>447</v>
      </c>
    </row>
    <row r="656" spans="2:2" x14ac:dyDescent="0.25">
      <c r="B656" t="s">
        <v>78</v>
      </c>
    </row>
    <row r="657" spans="2:2" x14ac:dyDescent="0.25">
      <c r="B657" t="s">
        <v>210</v>
      </c>
    </row>
    <row r="658" spans="2:2" x14ac:dyDescent="0.25">
      <c r="B658" t="s">
        <v>211</v>
      </c>
    </row>
    <row r="659" spans="2:2" x14ac:dyDescent="0.25">
      <c r="B659" t="s">
        <v>213</v>
      </c>
    </row>
    <row r="660" spans="2:2" x14ac:dyDescent="0.25">
      <c r="B660" t="s">
        <v>113</v>
      </c>
    </row>
    <row r="661" spans="2:2" x14ac:dyDescent="0.25">
      <c r="B661" t="s">
        <v>214</v>
      </c>
    </row>
    <row r="662" spans="2:2" x14ac:dyDescent="0.25">
      <c r="B662" t="s">
        <v>448</v>
      </c>
    </row>
    <row r="663" spans="2:2" x14ac:dyDescent="0.25">
      <c r="B663" t="s">
        <v>215</v>
      </c>
    </row>
    <row r="664" spans="2:2" x14ac:dyDescent="0.25">
      <c r="B664" t="s">
        <v>216</v>
      </c>
    </row>
    <row r="665" spans="2:2" x14ac:dyDescent="0.25">
      <c r="B665" t="s">
        <v>217</v>
      </c>
    </row>
    <row r="666" spans="2:2" x14ac:dyDescent="0.25">
      <c r="B666" t="s">
        <v>218</v>
      </c>
    </row>
    <row r="667" spans="2:2" x14ac:dyDescent="0.25">
      <c r="B667" t="s">
        <v>8</v>
      </c>
    </row>
    <row r="668" spans="2:2" x14ac:dyDescent="0.25">
      <c r="B668" t="s">
        <v>398</v>
      </c>
    </row>
    <row r="669" spans="2:2" x14ac:dyDescent="0.25">
      <c r="B669" t="s">
        <v>219</v>
      </c>
    </row>
    <row r="670" spans="2:2" x14ac:dyDescent="0.25">
      <c r="B670" t="s">
        <v>220</v>
      </c>
    </row>
    <row r="671" spans="2:2" x14ac:dyDescent="0.25">
      <c r="B671" t="s">
        <v>221</v>
      </c>
    </row>
    <row r="672" spans="2:2" x14ac:dyDescent="0.25">
      <c r="B672" t="s">
        <v>114</v>
      </c>
    </row>
    <row r="673" spans="2:2" x14ac:dyDescent="0.25">
      <c r="B673" t="s">
        <v>115</v>
      </c>
    </row>
    <row r="674" spans="2:2" x14ac:dyDescent="0.25">
      <c r="B674" t="s">
        <v>222</v>
      </c>
    </row>
    <row r="675" spans="2:2" x14ac:dyDescent="0.25">
      <c r="B675" t="s">
        <v>411</v>
      </c>
    </row>
    <row r="676" spans="2:2" x14ac:dyDescent="0.25">
      <c r="B676" t="s">
        <v>150</v>
      </c>
    </row>
    <row r="677" spans="2:2" x14ac:dyDescent="0.25">
      <c r="B677" t="s">
        <v>375</v>
      </c>
    </row>
    <row r="678" spans="2:2" x14ac:dyDescent="0.25">
      <c r="B678" t="s">
        <v>27</v>
      </c>
    </row>
    <row r="679" spans="2:2" x14ac:dyDescent="0.25">
      <c r="B679" t="s">
        <v>449</v>
      </c>
    </row>
    <row r="680" spans="2:2" x14ac:dyDescent="0.25">
      <c r="B680" t="s">
        <v>224</v>
      </c>
    </row>
    <row r="681" spans="2:2" x14ac:dyDescent="0.25">
      <c r="B681" t="s">
        <v>116</v>
      </c>
    </row>
    <row r="682" spans="2:2" x14ac:dyDescent="0.25">
      <c r="B682" t="s">
        <v>450</v>
      </c>
    </row>
    <row r="683" spans="2:2" x14ac:dyDescent="0.25">
      <c r="B683" t="s">
        <v>225</v>
      </c>
    </row>
    <row r="684" spans="2:2" x14ac:dyDescent="0.25">
      <c r="B684" t="s">
        <v>226</v>
      </c>
    </row>
    <row r="685" spans="2:2" x14ac:dyDescent="0.25">
      <c r="B685" t="s">
        <v>79</v>
      </c>
    </row>
    <row r="686" spans="2:2" x14ac:dyDescent="0.25">
      <c r="B686" t="s">
        <v>117</v>
      </c>
    </row>
    <row r="687" spans="2:2" x14ac:dyDescent="0.25">
      <c r="B687" t="s">
        <v>118</v>
      </c>
    </row>
    <row r="688" spans="2:2" x14ac:dyDescent="0.25">
      <c r="B688" t="s">
        <v>9</v>
      </c>
    </row>
    <row r="689" spans="2:2" x14ac:dyDescent="0.25">
      <c r="B689" t="s">
        <v>227</v>
      </c>
    </row>
    <row r="690" spans="2:2" x14ac:dyDescent="0.25">
      <c r="B690" t="s">
        <v>228</v>
      </c>
    </row>
    <row r="691" spans="2:2" x14ac:dyDescent="0.25">
      <c r="B691" t="s">
        <v>229</v>
      </c>
    </row>
    <row r="692" spans="2:2" x14ac:dyDescent="0.25">
      <c r="B692" t="s">
        <v>451</v>
      </c>
    </row>
    <row r="693" spans="2:2" x14ac:dyDescent="0.25">
      <c r="B693" t="s">
        <v>119</v>
      </c>
    </row>
    <row r="694" spans="2:2" x14ac:dyDescent="0.25">
      <c r="B694" t="s">
        <v>230</v>
      </c>
    </row>
    <row r="695" spans="2:2" x14ac:dyDescent="0.25">
      <c r="B695" t="s">
        <v>452</v>
      </c>
    </row>
    <row r="696" spans="2:2" x14ac:dyDescent="0.25">
      <c r="B696" t="s">
        <v>453</v>
      </c>
    </row>
    <row r="697" spans="2:2" x14ac:dyDescent="0.25">
      <c r="B697" t="s">
        <v>231</v>
      </c>
    </row>
    <row r="698" spans="2:2" x14ac:dyDescent="0.25">
      <c r="B698" t="s">
        <v>454</v>
      </c>
    </row>
    <row r="699" spans="2:2" x14ac:dyDescent="0.25">
      <c r="B699" t="s">
        <v>28</v>
      </c>
    </row>
    <row r="700" spans="2:2" x14ac:dyDescent="0.25">
      <c r="B700" t="s">
        <v>232</v>
      </c>
    </row>
    <row r="701" spans="2:2" x14ac:dyDescent="0.25">
      <c r="B701" t="s">
        <v>233</v>
      </c>
    </row>
    <row r="702" spans="2:2" x14ac:dyDescent="0.25">
      <c r="B702" t="s">
        <v>80</v>
      </c>
    </row>
    <row r="703" spans="2:2" x14ac:dyDescent="0.25">
      <c r="B703" t="s">
        <v>29</v>
      </c>
    </row>
    <row r="704" spans="2:2" x14ac:dyDescent="0.25">
      <c r="B704" t="s">
        <v>120</v>
      </c>
    </row>
    <row r="705" spans="2:2" x14ac:dyDescent="0.25">
      <c r="B705" t="s">
        <v>455</v>
      </c>
    </row>
    <row r="706" spans="2:2" x14ac:dyDescent="0.25">
      <c r="B706" t="s">
        <v>81</v>
      </c>
    </row>
    <row r="707" spans="2:2" x14ac:dyDescent="0.25">
      <c r="B707" t="s">
        <v>30</v>
      </c>
    </row>
    <row r="708" spans="2:2" x14ac:dyDescent="0.25">
      <c r="B708" t="s">
        <v>121</v>
      </c>
    </row>
    <row r="709" spans="2:2" x14ac:dyDescent="0.25">
      <c r="B709" t="s">
        <v>234</v>
      </c>
    </row>
    <row r="710" spans="2:2" x14ac:dyDescent="0.25">
      <c r="B710" t="s">
        <v>357</v>
      </c>
    </row>
    <row r="711" spans="2:2" x14ac:dyDescent="0.25">
      <c r="B711" t="s">
        <v>31</v>
      </c>
    </row>
    <row r="712" spans="2:2" x14ac:dyDescent="0.25">
      <c r="B712" t="s">
        <v>99</v>
      </c>
    </row>
    <row r="713" spans="2:2" x14ac:dyDescent="0.25">
      <c r="B713" t="s">
        <v>456</v>
      </c>
    </row>
    <row r="714" spans="2:2" x14ac:dyDescent="0.25">
      <c r="B714" t="s">
        <v>235</v>
      </c>
    </row>
    <row r="715" spans="2:2" x14ac:dyDescent="0.25">
      <c r="B715" t="s">
        <v>122</v>
      </c>
    </row>
    <row r="716" spans="2:2" x14ac:dyDescent="0.25">
      <c r="B716" t="s">
        <v>376</v>
      </c>
    </row>
    <row r="717" spans="2:2" x14ac:dyDescent="0.25">
      <c r="B717" t="s">
        <v>236</v>
      </c>
    </row>
    <row r="718" spans="2:2" x14ac:dyDescent="0.25">
      <c r="B718" t="s">
        <v>457</v>
      </c>
    </row>
    <row r="719" spans="2:2" x14ac:dyDescent="0.25">
      <c r="B719" t="s">
        <v>458</v>
      </c>
    </row>
    <row r="720" spans="2:2" x14ac:dyDescent="0.25">
      <c r="B720" t="s">
        <v>64</v>
      </c>
    </row>
    <row r="721" spans="2:2" x14ac:dyDescent="0.25">
      <c r="B721" t="s">
        <v>32</v>
      </c>
    </row>
    <row r="722" spans="2:2" x14ac:dyDescent="0.25">
      <c r="B722" t="s">
        <v>459</v>
      </c>
    </row>
    <row r="723" spans="2:2" x14ac:dyDescent="0.25">
      <c r="B723" t="s">
        <v>377</v>
      </c>
    </row>
    <row r="724" spans="2:2" x14ac:dyDescent="0.25">
      <c r="B724" t="s">
        <v>237</v>
      </c>
    </row>
    <row r="725" spans="2:2" x14ac:dyDescent="0.25">
      <c r="B725" t="s">
        <v>238</v>
      </c>
    </row>
    <row r="726" spans="2:2" x14ac:dyDescent="0.25">
      <c r="B726" t="s">
        <v>239</v>
      </c>
    </row>
    <row r="727" spans="2:2" x14ac:dyDescent="0.25">
      <c r="B727" t="s">
        <v>415</v>
      </c>
    </row>
    <row r="728" spans="2:2" x14ac:dyDescent="0.25">
      <c r="B728" t="s">
        <v>240</v>
      </c>
    </row>
    <row r="729" spans="2:2" x14ac:dyDescent="0.25">
      <c r="B729" t="s">
        <v>460</v>
      </c>
    </row>
    <row r="730" spans="2:2" x14ac:dyDescent="0.25">
      <c r="B730" t="s">
        <v>351</v>
      </c>
    </row>
    <row r="731" spans="2:2" x14ac:dyDescent="0.25">
      <c r="B731" t="s">
        <v>358</v>
      </c>
    </row>
    <row r="732" spans="2:2" x14ac:dyDescent="0.25">
      <c r="B732" t="s">
        <v>406</v>
      </c>
    </row>
    <row r="733" spans="2:2" x14ac:dyDescent="0.25">
      <c r="B733" t="s">
        <v>241</v>
      </c>
    </row>
    <row r="734" spans="2:2" x14ac:dyDescent="0.25">
      <c r="B734" t="s">
        <v>82</v>
      </c>
    </row>
    <row r="735" spans="2:2" x14ac:dyDescent="0.25">
      <c r="B735" t="s">
        <v>242</v>
      </c>
    </row>
    <row r="736" spans="2:2" x14ac:dyDescent="0.25">
      <c r="B736" t="s">
        <v>243</v>
      </c>
    </row>
    <row r="737" spans="2:2" x14ac:dyDescent="0.25">
      <c r="B737" t="s">
        <v>244</v>
      </c>
    </row>
    <row r="738" spans="2:2" x14ac:dyDescent="0.25">
      <c r="B738" t="s">
        <v>245</v>
      </c>
    </row>
    <row r="739" spans="2:2" x14ac:dyDescent="0.25">
      <c r="B739" t="s">
        <v>246</v>
      </c>
    </row>
    <row r="740" spans="2:2" x14ac:dyDescent="0.25">
      <c r="B740" t="s">
        <v>247</v>
      </c>
    </row>
    <row r="741" spans="2:2" x14ac:dyDescent="0.25">
      <c r="B741" t="s">
        <v>123</v>
      </c>
    </row>
    <row r="742" spans="2:2" x14ac:dyDescent="0.25">
      <c r="B742" t="s">
        <v>124</v>
      </c>
    </row>
    <row r="743" spans="2:2" x14ac:dyDescent="0.25">
      <c r="B743" t="s">
        <v>461</v>
      </c>
    </row>
    <row r="744" spans="2:2" x14ac:dyDescent="0.25">
      <c r="B744" t="s">
        <v>424</v>
      </c>
    </row>
    <row r="745" spans="2:2" x14ac:dyDescent="0.25">
      <c r="B745" t="s">
        <v>125</v>
      </c>
    </row>
    <row r="746" spans="2:2" x14ac:dyDescent="0.25">
      <c r="B746" t="s">
        <v>359</v>
      </c>
    </row>
    <row r="747" spans="2:2" x14ac:dyDescent="0.25">
      <c r="B747" t="s">
        <v>126</v>
      </c>
    </row>
    <row r="748" spans="2:2" x14ac:dyDescent="0.25">
      <c r="B748" t="s">
        <v>248</v>
      </c>
    </row>
    <row r="749" spans="2:2" x14ac:dyDescent="0.25">
      <c r="B749" t="s">
        <v>378</v>
      </c>
    </row>
    <row r="750" spans="2:2" x14ac:dyDescent="0.25">
      <c r="B750" t="s">
        <v>399</v>
      </c>
    </row>
    <row r="751" spans="2:2" x14ac:dyDescent="0.25">
      <c r="B751" t="s">
        <v>379</v>
      </c>
    </row>
    <row r="752" spans="2:2" x14ac:dyDescent="0.25">
      <c r="B752" t="s">
        <v>127</v>
      </c>
    </row>
    <row r="753" spans="2:2" x14ac:dyDescent="0.25">
      <c r="B753" t="s">
        <v>128</v>
      </c>
    </row>
    <row r="754" spans="2:2" x14ac:dyDescent="0.25">
      <c r="B754" t="s">
        <v>65</v>
      </c>
    </row>
    <row r="755" spans="2:2" x14ac:dyDescent="0.25">
      <c r="B755" t="s">
        <v>380</v>
      </c>
    </row>
    <row r="756" spans="2:2" x14ac:dyDescent="0.25">
      <c r="B756" t="s">
        <v>381</v>
      </c>
    </row>
    <row r="757" spans="2:2" x14ac:dyDescent="0.25">
      <c r="B757" t="s">
        <v>33</v>
      </c>
    </row>
    <row r="758" spans="2:2" x14ac:dyDescent="0.25">
      <c r="B758" t="s">
        <v>34</v>
      </c>
    </row>
    <row r="759" spans="2:2" x14ac:dyDescent="0.25">
      <c r="B759" t="s">
        <v>330</v>
      </c>
    </row>
    <row r="760" spans="2:2" x14ac:dyDescent="0.25">
      <c r="B760" t="s">
        <v>249</v>
      </c>
    </row>
    <row r="761" spans="2:2" x14ac:dyDescent="0.25">
      <c r="B761" t="s">
        <v>250</v>
      </c>
    </row>
    <row r="762" spans="2:2" x14ac:dyDescent="0.25">
      <c r="B762" t="s">
        <v>416</v>
      </c>
    </row>
    <row r="763" spans="2:2" x14ac:dyDescent="0.25">
      <c r="B763" t="s">
        <v>251</v>
      </c>
    </row>
    <row r="764" spans="2:2" x14ac:dyDescent="0.25">
      <c r="B764" t="s">
        <v>83</v>
      </c>
    </row>
    <row r="765" spans="2:2" x14ac:dyDescent="0.25">
      <c r="B765" t="s">
        <v>129</v>
      </c>
    </row>
    <row r="766" spans="2:2" x14ac:dyDescent="0.25">
      <c r="B766" t="s">
        <v>130</v>
      </c>
    </row>
    <row r="767" spans="2:2" x14ac:dyDescent="0.25">
      <c r="B767" t="s">
        <v>252</v>
      </c>
    </row>
    <row r="768" spans="2:2" x14ac:dyDescent="0.25">
      <c r="B768" t="s">
        <v>35</v>
      </c>
    </row>
    <row r="769" spans="2:2" x14ac:dyDescent="0.25">
      <c r="B769" t="s">
        <v>331</v>
      </c>
    </row>
    <row r="770" spans="2:2" x14ac:dyDescent="0.25">
      <c r="B770" t="s">
        <v>253</v>
      </c>
    </row>
    <row r="771" spans="2:2" x14ac:dyDescent="0.25">
      <c r="B771" t="s">
        <v>332</v>
      </c>
    </row>
    <row r="772" spans="2:2" x14ac:dyDescent="0.25">
      <c r="B772" t="s">
        <v>419</v>
      </c>
    </row>
    <row r="773" spans="2:2" x14ac:dyDescent="0.25">
      <c r="B773" t="s">
        <v>131</v>
      </c>
    </row>
    <row r="774" spans="2:2" x14ac:dyDescent="0.25">
      <c r="B774" t="s">
        <v>36</v>
      </c>
    </row>
    <row r="775" spans="2:2" x14ac:dyDescent="0.25">
      <c r="B775" t="s">
        <v>462</v>
      </c>
    </row>
    <row r="776" spans="2:2" x14ac:dyDescent="0.25">
      <c r="B776" t="s">
        <v>425</v>
      </c>
    </row>
    <row r="777" spans="2:2" x14ac:dyDescent="0.25">
      <c r="B777" t="s">
        <v>463</v>
      </c>
    </row>
    <row r="778" spans="2:2" x14ac:dyDescent="0.25">
      <c r="B778" t="s">
        <v>464</v>
      </c>
    </row>
    <row r="779" spans="2:2" x14ac:dyDescent="0.25">
      <c r="B779" t="s">
        <v>254</v>
      </c>
    </row>
    <row r="780" spans="2:2" x14ac:dyDescent="0.25">
      <c r="B780" t="s">
        <v>37</v>
      </c>
    </row>
    <row r="781" spans="2:2" x14ac:dyDescent="0.25">
      <c r="B781" t="s">
        <v>132</v>
      </c>
    </row>
    <row r="782" spans="2:2" x14ac:dyDescent="0.25">
      <c r="B782" t="s">
        <v>465</v>
      </c>
    </row>
    <row r="783" spans="2:2" x14ac:dyDescent="0.25">
      <c r="B783" t="s">
        <v>38</v>
      </c>
    </row>
    <row r="784" spans="2:2" x14ac:dyDescent="0.25">
      <c r="B784" t="s">
        <v>466</v>
      </c>
    </row>
    <row r="785" spans="2:2" x14ac:dyDescent="0.25">
      <c r="B785" t="s">
        <v>255</v>
      </c>
    </row>
    <row r="786" spans="2:2" x14ac:dyDescent="0.25">
      <c r="B786" t="s">
        <v>256</v>
      </c>
    </row>
    <row r="787" spans="2:2" x14ac:dyDescent="0.25">
      <c r="B787" t="s">
        <v>133</v>
      </c>
    </row>
    <row r="788" spans="2:2" x14ac:dyDescent="0.25">
      <c r="B788" t="s">
        <v>134</v>
      </c>
    </row>
    <row r="789" spans="2:2" x14ac:dyDescent="0.25">
      <c r="B789" t="s">
        <v>84</v>
      </c>
    </row>
    <row r="790" spans="2:2" x14ac:dyDescent="0.25">
      <c r="B790" t="s">
        <v>66</v>
      </c>
    </row>
    <row r="791" spans="2:2" x14ac:dyDescent="0.25">
      <c r="B791" t="s">
        <v>135</v>
      </c>
    </row>
    <row r="792" spans="2:2" x14ac:dyDescent="0.25">
      <c r="B792" t="s">
        <v>85</v>
      </c>
    </row>
    <row r="793" spans="2:2" x14ac:dyDescent="0.25">
      <c r="B793" t="s">
        <v>383</v>
      </c>
    </row>
    <row r="794" spans="2:2" x14ac:dyDescent="0.25">
      <c r="B794" t="s">
        <v>384</v>
      </c>
    </row>
    <row r="795" spans="2:2" x14ac:dyDescent="0.25">
      <c r="B795" t="s">
        <v>257</v>
      </c>
    </row>
    <row r="796" spans="2:2" x14ac:dyDescent="0.25">
      <c r="B796" t="s">
        <v>258</v>
      </c>
    </row>
    <row r="797" spans="2:2" x14ac:dyDescent="0.25">
      <c r="B797" t="s">
        <v>259</v>
      </c>
    </row>
    <row r="798" spans="2:2" x14ac:dyDescent="0.25">
      <c r="B798" t="s">
        <v>260</v>
      </c>
    </row>
    <row r="799" spans="2:2" x14ac:dyDescent="0.25">
      <c r="B799" t="s">
        <v>261</v>
      </c>
    </row>
    <row r="800" spans="2:2" x14ac:dyDescent="0.25">
      <c r="B800" t="s">
        <v>412</v>
      </c>
    </row>
    <row r="801" spans="2:2" x14ac:dyDescent="0.25">
      <c r="B801" t="s">
        <v>262</v>
      </c>
    </row>
    <row r="802" spans="2:2" x14ac:dyDescent="0.25">
      <c r="B802" t="s">
        <v>263</v>
      </c>
    </row>
    <row r="803" spans="2:2" x14ac:dyDescent="0.25">
      <c r="B803" t="s">
        <v>264</v>
      </c>
    </row>
    <row r="804" spans="2:2" x14ac:dyDescent="0.25">
      <c r="B804" t="s">
        <v>265</v>
      </c>
    </row>
    <row r="805" spans="2:2" x14ac:dyDescent="0.25">
      <c r="B805" t="s">
        <v>266</v>
      </c>
    </row>
    <row r="806" spans="2:2" x14ac:dyDescent="0.25">
      <c r="B806" t="s">
        <v>364</v>
      </c>
    </row>
    <row r="807" spans="2:2" x14ac:dyDescent="0.25">
      <c r="B807" t="s">
        <v>400</v>
      </c>
    </row>
    <row r="808" spans="2:2" x14ac:dyDescent="0.25">
      <c r="B808" t="s">
        <v>136</v>
      </c>
    </row>
    <row r="809" spans="2:2" x14ac:dyDescent="0.25">
      <c r="B809" t="s">
        <v>467</v>
      </c>
    </row>
    <row r="810" spans="2:2" x14ac:dyDescent="0.25">
      <c r="B810" t="s">
        <v>385</v>
      </c>
    </row>
    <row r="811" spans="2:2" x14ac:dyDescent="0.25">
      <c r="B811" t="s">
        <v>267</v>
      </c>
    </row>
    <row r="812" spans="2:2" x14ac:dyDescent="0.25">
      <c r="B812" t="s">
        <v>468</v>
      </c>
    </row>
    <row r="813" spans="2:2" x14ac:dyDescent="0.25">
      <c r="B813" t="s">
        <v>269</v>
      </c>
    </row>
    <row r="814" spans="2:2" x14ac:dyDescent="0.25">
      <c r="B814" t="s">
        <v>270</v>
      </c>
    </row>
    <row r="815" spans="2:2" x14ac:dyDescent="0.25">
      <c r="B815" t="s">
        <v>39</v>
      </c>
    </row>
    <row r="816" spans="2:2" x14ac:dyDescent="0.25">
      <c r="B816" t="s">
        <v>67</v>
      </c>
    </row>
    <row r="817" spans="2:2" x14ac:dyDescent="0.25">
      <c r="B817" t="s">
        <v>365</v>
      </c>
    </row>
    <row r="818" spans="2:2" x14ac:dyDescent="0.25">
      <c r="B818" t="s">
        <v>86</v>
      </c>
    </row>
    <row r="819" spans="2:2" x14ac:dyDescent="0.25">
      <c r="B819" t="s">
        <v>271</v>
      </c>
    </row>
    <row r="820" spans="2:2" x14ac:dyDescent="0.25">
      <c r="B820" t="s">
        <v>343</v>
      </c>
    </row>
    <row r="821" spans="2:2" x14ac:dyDescent="0.25">
      <c r="B821" t="s">
        <v>469</v>
      </c>
    </row>
    <row r="822" spans="2:2" x14ac:dyDescent="0.25">
      <c r="B822" t="s">
        <v>40</v>
      </c>
    </row>
    <row r="823" spans="2:2" x14ac:dyDescent="0.25">
      <c r="B823" t="s">
        <v>420</v>
      </c>
    </row>
    <row r="824" spans="2:2" x14ac:dyDescent="0.25">
      <c r="B824" t="s">
        <v>333</v>
      </c>
    </row>
    <row r="825" spans="2:2" x14ac:dyDescent="0.25">
      <c r="B825" t="s">
        <v>272</v>
      </c>
    </row>
    <row r="826" spans="2:2" x14ac:dyDescent="0.25">
      <c r="B826" t="s">
        <v>273</v>
      </c>
    </row>
    <row r="827" spans="2:2" x14ac:dyDescent="0.25">
      <c r="B827" t="s">
        <v>137</v>
      </c>
    </row>
    <row r="828" spans="2:2" x14ac:dyDescent="0.25">
      <c r="B828" t="s">
        <v>87</v>
      </c>
    </row>
    <row r="829" spans="2:2" x14ac:dyDescent="0.25">
      <c r="B829" t="s">
        <v>88</v>
      </c>
    </row>
    <row r="830" spans="2:2" x14ac:dyDescent="0.25">
      <c r="B830" t="s">
        <v>386</v>
      </c>
    </row>
    <row r="831" spans="2:2" x14ac:dyDescent="0.25">
      <c r="B831" t="s">
        <v>470</v>
      </c>
    </row>
    <row r="832" spans="2:2" x14ac:dyDescent="0.25">
      <c r="B832" t="s">
        <v>471</v>
      </c>
    </row>
    <row r="833" spans="2:2" x14ac:dyDescent="0.25">
      <c r="B833" t="s">
        <v>41</v>
      </c>
    </row>
    <row r="834" spans="2:2" x14ac:dyDescent="0.25">
      <c r="B834" t="s">
        <v>341</v>
      </c>
    </row>
    <row r="835" spans="2:2" x14ac:dyDescent="0.25">
      <c r="B835" t="s">
        <v>407</v>
      </c>
    </row>
    <row r="836" spans="2:2" x14ac:dyDescent="0.25">
      <c r="B836" t="s">
        <v>472</v>
      </c>
    </row>
    <row r="837" spans="2:2" x14ac:dyDescent="0.25">
      <c r="B837" t="s">
        <v>42</v>
      </c>
    </row>
    <row r="838" spans="2:2" x14ac:dyDescent="0.25">
      <c r="B838" t="s">
        <v>43</v>
      </c>
    </row>
    <row r="839" spans="2:2" x14ac:dyDescent="0.25">
      <c r="B839" t="s">
        <v>274</v>
      </c>
    </row>
    <row r="840" spans="2:2" x14ac:dyDescent="0.25">
      <c r="B840" t="s">
        <v>138</v>
      </c>
    </row>
    <row r="841" spans="2:2" x14ac:dyDescent="0.25">
      <c r="B841" t="s">
        <v>473</v>
      </c>
    </row>
    <row r="842" spans="2:2" x14ac:dyDescent="0.25">
      <c r="B842" t="s">
        <v>275</v>
      </c>
    </row>
    <row r="843" spans="2:2" x14ac:dyDescent="0.25">
      <c r="B843" t="s">
        <v>276</v>
      </c>
    </row>
    <row r="844" spans="2:2" x14ac:dyDescent="0.25">
      <c r="B844" t="s">
        <v>89</v>
      </c>
    </row>
    <row r="845" spans="2:2" x14ac:dyDescent="0.25">
      <c r="B845" t="s">
        <v>90</v>
      </c>
    </row>
    <row r="846" spans="2:2" x14ac:dyDescent="0.25">
      <c r="B846" t="s">
        <v>140</v>
      </c>
    </row>
    <row r="847" spans="2:2" x14ac:dyDescent="0.25">
      <c r="B847" t="s">
        <v>278</v>
      </c>
    </row>
    <row r="848" spans="2:2" x14ac:dyDescent="0.25">
      <c r="B848" t="s">
        <v>352</v>
      </c>
    </row>
    <row r="849" spans="2:2" x14ac:dyDescent="0.25">
      <c r="B849" t="s">
        <v>91</v>
      </c>
    </row>
    <row r="850" spans="2:2" x14ac:dyDescent="0.25">
      <c r="B850" t="s">
        <v>474</v>
      </c>
    </row>
    <row r="851" spans="2:2" x14ac:dyDescent="0.25">
      <c r="B851" t="s">
        <v>10</v>
      </c>
    </row>
    <row r="852" spans="2:2" x14ac:dyDescent="0.25">
      <c r="B852" t="s">
        <v>280</v>
      </c>
    </row>
    <row r="853" spans="2:2" x14ac:dyDescent="0.25">
      <c r="B853" t="s">
        <v>281</v>
      </c>
    </row>
    <row r="854" spans="2:2" x14ac:dyDescent="0.25">
      <c r="B854" t="s">
        <v>141</v>
      </c>
    </row>
    <row r="855" spans="2:2" x14ac:dyDescent="0.25">
      <c r="B855" t="s">
        <v>475</v>
      </c>
    </row>
    <row r="856" spans="2:2" x14ac:dyDescent="0.25">
      <c r="B856" t="s">
        <v>476</v>
      </c>
    </row>
    <row r="857" spans="2:2" x14ac:dyDescent="0.25">
      <c r="B857" t="s">
        <v>152</v>
      </c>
    </row>
    <row r="858" spans="2:2" x14ac:dyDescent="0.25">
      <c r="B858" t="s">
        <v>11</v>
      </c>
    </row>
    <row r="859" spans="2:2" x14ac:dyDescent="0.25">
      <c r="B859" t="s">
        <v>421</v>
      </c>
    </row>
    <row r="860" spans="2:2" x14ac:dyDescent="0.25">
      <c r="B860" t="s">
        <v>282</v>
      </c>
    </row>
    <row r="861" spans="2:2" x14ac:dyDescent="0.25">
      <c r="B861" t="s">
        <v>401</v>
      </c>
    </row>
    <row r="862" spans="2:2" x14ac:dyDescent="0.25">
      <c r="B862" t="s">
        <v>387</v>
      </c>
    </row>
    <row r="863" spans="2:2" x14ac:dyDescent="0.25">
      <c r="B863" t="s">
        <v>477</v>
      </c>
    </row>
    <row r="864" spans="2:2" x14ac:dyDescent="0.25">
      <c r="B864" t="s">
        <v>44</v>
      </c>
    </row>
    <row r="865" spans="2:2" x14ac:dyDescent="0.25">
      <c r="B865" t="s">
        <v>360</v>
      </c>
    </row>
    <row r="866" spans="2:2" x14ac:dyDescent="0.25">
      <c r="B866" t="s">
        <v>68</v>
      </c>
    </row>
    <row r="867" spans="2:2" x14ac:dyDescent="0.25">
      <c r="B867" t="s">
        <v>69</v>
      </c>
    </row>
    <row r="868" spans="2:2" x14ac:dyDescent="0.25">
      <c r="B868" t="s">
        <v>45</v>
      </c>
    </row>
    <row r="869" spans="2:2" x14ac:dyDescent="0.25">
      <c r="B869" t="s">
        <v>283</v>
      </c>
    </row>
    <row r="870" spans="2:2" x14ac:dyDescent="0.25">
      <c r="B870" t="s">
        <v>70</v>
      </c>
    </row>
    <row r="871" spans="2:2" x14ac:dyDescent="0.25">
      <c r="B871" t="s">
        <v>402</v>
      </c>
    </row>
    <row r="872" spans="2:2" x14ac:dyDescent="0.25">
      <c r="B872" t="s">
        <v>71</v>
      </c>
    </row>
    <row r="873" spans="2:2" x14ac:dyDescent="0.25">
      <c r="B873" t="s">
        <v>478</v>
      </c>
    </row>
    <row r="874" spans="2:2" x14ac:dyDescent="0.25">
      <c r="B874" t="s">
        <v>479</v>
      </c>
    </row>
    <row r="875" spans="2:2" x14ac:dyDescent="0.25">
      <c r="B875" t="s">
        <v>285</v>
      </c>
    </row>
    <row r="876" spans="2:2" x14ac:dyDescent="0.25">
      <c r="B876" t="s">
        <v>348</v>
      </c>
    </row>
    <row r="877" spans="2:2" x14ac:dyDescent="0.25">
      <c r="B877" t="s">
        <v>286</v>
      </c>
    </row>
    <row r="878" spans="2:2" x14ac:dyDescent="0.25">
      <c r="B878" t="s">
        <v>480</v>
      </c>
    </row>
    <row r="879" spans="2:2" x14ac:dyDescent="0.25">
      <c r="B879" t="s">
        <v>46</v>
      </c>
    </row>
    <row r="880" spans="2:2" x14ac:dyDescent="0.25">
      <c r="B880" t="s">
        <v>47</v>
      </c>
    </row>
    <row r="881" spans="2:2" x14ac:dyDescent="0.25">
      <c r="B881" t="s">
        <v>48</v>
      </c>
    </row>
    <row r="882" spans="2:2" x14ac:dyDescent="0.25">
      <c r="B882" t="s">
        <v>12</v>
      </c>
    </row>
    <row r="883" spans="2:2" x14ac:dyDescent="0.25">
      <c r="B883" t="s">
        <v>49</v>
      </c>
    </row>
    <row r="884" spans="2:2" x14ac:dyDescent="0.25">
      <c r="B884" t="s">
        <v>388</v>
      </c>
    </row>
    <row r="885" spans="2:2" x14ac:dyDescent="0.25">
      <c r="B885" t="s">
        <v>287</v>
      </c>
    </row>
    <row r="886" spans="2:2" x14ac:dyDescent="0.25">
      <c r="B886" t="s">
        <v>361</v>
      </c>
    </row>
    <row r="887" spans="2:2" x14ac:dyDescent="0.25">
      <c r="B887" t="s">
        <v>50</v>
      </c>
    </row>
    <row r="888" spans="2:2" x14ac:dyDescent="0.25">
      <c r="B888" t="s">
        <v>353</v>
      </c>
    </row>
    <row r="889" spans="2:2" x14ac:dyDescent="0.25">
      <c r="B889" t="s">
        <v>100</v>
      </c>
    </row>
    <row r="890" spans="2:2" x14ac:dyDescent="0.25">
      <c r="B890" t="s">
        <v>92</v>
      </c>
    </row>
    <row r="891" spans="2:2" x14ac:dyDescent="0.25">
      <c r="B891" t="s">
        <v>408</v>
      </c>
    </row>
    <row r="892" spans="2:2" x14ac:dyDescent="0.25">
      <c r="B892" t="s">
        <v>481</v>
      </c>
    </row>
    <row r="893" spans="2:2" x14ac:dyDescent="0.25">
      <c r="B893" t="s">
        <v>288</v>
      </c>
    </row>
    <row r="894" spans="2:2" x14ac:dyDescent="0.25">
      <c r="B894" t="s">
        <v>13</v>
      </c>
    </row>
    <row r="895" spans="2:2" x14ac:dyDescent="0.25">
      <c r="B895" t="s">
        <v>403</v>
      </c>
    </row>
    <row r="896" spans="2:2" x14ac:dyDescent="0.25">
      <c r="B896" t="s">
        <v>349</v>
      </c>
    </row>
    <row r="897" spans="2:2" x14ac:dyDescent="0.25">
      <c r="B897" t="s">
        <v>289</v>
      </c>
    </row>
    <row r="898" spans="2:2" x14ac:dyDescent="0.25">
      <c r="B898" t="s">
        <v>290</v>
      </c>
    </row>
    <row r="899" spans="2:2" x14ac:dyDescent="0.25">
      <c r="B899" t="s">
        <v>51</v>
      </c>
    </row>
    <row r="900" spans="2:2" x14ac:dyDescent="0.25">
      <c r="B900" t="s">
        <v>52</v>
      </c>
    </row>
    <row r="901" spans="2:2" x14ac:dyDescent="0.25">
      <c r="B901" t="s">
        <v>482</v>
      </c>
    </row>
    <row r="902" spans="2:2" x14ac:dyDescent="0.25">
      <c r="B902" t="s">
        <v>291</v>
      </c>
    </row>
    <row r="903" spans="2:2" x14ac:dyDescent="0.25">
      <c r="B903" t="s">
        <v>153</v>
      </c>
    </row>
    <row r="904" spans="2:2" x14ac:dyDescent="0.25">
      <c r="B904" t="s">
        <v>93</v>
      </c>
    </row>
    <row r="905" spans="2:2" x14ac:dyDescent="0.25">
      <c r="B905" t="s">
        <v>293</v>
      </c>
    </row>
    <row r="906" spans="2:2" x14ac:dyDescent="0.25">
      <c r="B906" t="s">
        <v>294</v>
      </c>
    </row>
    <row r="907" spans="2:2" x14ac:dyDescent="0.25">
      <c r="B907" t="s">
        <v>390</v>
      </c>
    </row>
    <row r="908" spans="2:2" x14ac:dyDescent="0.25">
      <c r="B908" t="s">
        <v>391</v>
      </c>
    </row>
    <row r="909" spans="2:2" x14ac:dyDescent="0.25">
      <c r="B909" t="s">
        <v>392</v>
      </c>
    </row>
    <row r="910" spans="2:2" x14ac:dyDescent="0.25">
      <c r="B910" t="s">
        <v>53</v>
      </c>
    </row>
    <row r="911" spans="2:2" x14ac:dyDescent="0.25">
      <c r="B911" t="s">
        <v>54</v>
      </c>
    </row>
    <row r="912" spans="2:2" x14ac:dyDescent="0.25">
      <c r="B912" t="s">
        <v>72</v>
      </c>
    </row>
    <row r="913" spans="2:2" x14ac:dyDescent="0.25">
      <c r="B913" t="s">
        <v>295</v>
      </c>
    </row>
    <row r="914" spans="2:2" x14ac:dyDescent="0.25">
      <c r="B914" t="s">
        <v>296</v>
      </c>
    </row>
    <row r="915" spans="2:2" x14ac:dyDescent="0.25">
      <c r="B915" t="s">
        <v>483</v>
      </c>
    </row>
    <row r="916" spans="2:2" x14ac:dyDescent="0.25">
      <c r="B916" t="s">
        <v>142</v>
      </c>
    </row>
    <row r="917" spans="2:2" x14ac:dyDescent="0.25">
      <c r="B917" t="s">
        <v>143</v>
      </c>
    </row>
    <row r="918" spans="2:2" x14ac:dyDescent="0.25">
      <c r="B918" t="s">
        <v>297</v>
      </c>
    </row>
    <row r="919" spans="2:2" x14ac:dyDescent="0.25">
      <c r="B919" t="s">
        <v>94</v>
      </c>
    </row>
    <row r="920" spans="2:2" x14ac:dyDescent="0.25">
      <c r="B920" t="s">
        <v>298</v>
      </c>
    </row>
    <row r="921" spans="2:2" x14ac:dyDescent="0.25">
      <c r="B921" t="s">
        <v>144</v>
      </c>
    </row>
    <row r="922" spans="2:2" x14ac:dyDescent="0.25">
      <c r="B922" t="s">
        <v>145</v>
      </c>
    </row>
    <row r="923" spans="2:2" x14ac:dyDescent="0.25">
      <c r="B923" t="s">
        <v>484</v>
      </c>
    </row>
    <row r="924" spans="2:2" x14ac:dyDescent="0.25">
      <c r="B924" t="s">
        <v>334</v>
      </c>
    </row>
    <row r="925" spans="2:2" x14ac:dyDescent="0.25">
      <c r="B925" t="s">
        <v>299</v>
      </c>
    </row>
    <row r="926" spans="2:2" x14ac:dyDescent="0.25">
      <c r="B926" t="s">
        <v>300</v>
      </c>
    </row>
    <row r="927" spans="2:2" x14ac:dyDescent="0.25">
      <c r="B927" t="s">
        <v>301</v>
      </c>
    </row>
    <row r="928" spans="2:2" x14ac:dyDescent="0.25">
      <c r="B928" t="s">
        <v>95</v>
      </c>
    </row>
    <row r="929" spans="2:2" x14ac:dyDescent="0.25">
      <c r="B929" t="s">
        <v>302</v>
      </c>
    </row>
    <row r="930" spans="2:2" x14ac:dyDescent="0.25">
      <c r="B930" t="s">
        <v>426</v>
      </c>
    </row>
    <row r="931" spans="2:2" x14ac:dyDescent="0.25">
      <c r="B931" t="s">
        <v>485</v>
      </c>
    </row>
    <row r="932" spans="2:2" x14ac:dyDescent="0.25">
      <c r="B932" t="s">
        <v>346</v>
      </c>
    </row>
    <row r="933" spans="2:2" x14ac:dyDescent="0.25">
      <c r="B933" t="s">
        <v>486</v>
      </c>
    </row>
    <row r="934" spans="2:2" x14ac:dyDescent="0.25">
      <c r="B934" t="s">
        <v>393</v>
      </c>
    </row>
    <row r="935" spans="2:2" x14ac:dyDescent="0.25">
      <c r="B935" t="s">
        <v>303</v>
      </c>
    </row>
    <row r="936" spans="2:2" x14ac:dyDescent="0.25">
      <c r="B936" t="s">
        <v>304</v>
      </c>
    </row>
    <row r="937" spans="2:2" x14ac:dyDescent="0.25">
      <c r="B937" t="s">
        <v>305</v>
      </c>
    </row>
    <row r="938" spans="2:2" x14ac:dyDescent="0.25">
      <c r="B938" t="s">
        <v>96</v>
      </c>
    </row>
    <row r="939" spans="2:2" x14ac:dyDescent="0.25">
      <c r="B939" t="s">
        <v>146</v>
      </c>
    </row>
    <row r="940" spans="2:2" x14ac:dyDescent="0.25">
      <c r="B940" t="s">
        <v>306</v>
      </c>
    </row>
    <row r="941" spans="2:2" x14ac:dyDescent="0.25">
      <c r="B941" t="s">
        <v>55</v>
      </c>
    </row>
    <row r="942" spans="2:2" x14ac:dyDescent="0.25">
      <c r="B942" t="s">
        <v>354</v>
      </c>
    </row>
    <row r="943" spans="2:2" x14ac:dyDescent="0.25">
      <c r="B943" t="s">
        <v>487</v>
      </c>
    </row>
    <row r="944" spans="2:2" x14ac:dyDescent="0.25">
      <c r="B944" t="s">
        <v>488</v>
      </c>
    </row>
    <row r="945" spans="2:2" x14ac:dyDescent="0.25">
      <c r="B945" t="s">
        <v>394</v>
      </c>
    </row>
    <row r="946" spans="2:2" x14ac:dyDescent="0.25">
      <c r="B946" t="s">
        <v>56</v>
      </c>
    </row>
    <row r="947" spans="2:2" x14ac:dyDescent="0.25">
      <c r="B947" t="s">
        <v>307</v>
      </c>
    </row>
    <row r="948" spans="2:2" x14ac:dyDescent="0.25">
      <c r="B948" t="s">
        <v>308</v>
      </c>
    </row>
    <row r="949" spans="2:2" x14ac:dyDescent="0.25">
      <c r="B949" t="s">
        <v>489</v>
      </c>
    </row>
    <row r="950" spans="2:2" x14ac:dyDescent="0.25">
      <c r="B950" t="s">
        <v>309</v>
      </c>
    </row>
    <row r="951" spans="2:2" x14ac:dyDescent="0.25">
      <c r="B951" t="s">
        <v>57</v>
      </c>
    </row>
    <row r="952" spans="2:2" x14ac:dyDescent="0.25">
      <c r="B952" t="s">
        <v>490</v>
      </c>
    </row>
    <row r="953" spans="2:2" x14ac:dyDescent="0.25">
      <c r="B953" t="s">
        <v>58</v>
      </c>
    </row>
    <row r="954" spans="2:2" x14ac:dyDescent="0.25">
      <c r="B954" t="s">
        <v>59</v>
      </c>
    </row>
    <row r="955" spans="2:2" x14ac:dyDescent="0.25">
      <c r="B955" t="s">
        <v>404</v>
      </c>
    </row>
    <row r="956" spans="2:2" x14ac:dyDescent="0.25">
      <c r="B956" t="s">
        <v>97</v>
      </c>
    </row>
    <row r="957" spans="2:2" x14ac:dyDescent="0.25">
      <c r="B957" t="s">
        <v>310</v>
      </c>
    </row>
    <row r="958" spans="2:2" x14ac:dyDescent="0.25">
      <c r="B958" t="s">
        <v>311</v>
      </c>
    </row>
    <row r="959" spans="2:2" x14ac:dyDescent="0.25">
      <c r="B959" t="s">
        <v>312</v>
      </c>
    </row>
    <row r="960" spans="2:2" x14ac:dyDescent="0.25">
      <c r="B960" t="s">
        <v>491</v>
      </c>
    </row>
    <row r="961" spans="2:2" x14ac:dyDescent="0.25">
      <c r="B961" t="s">
        <v>313</v>
      </c>
    </row>
    <row r="962" spans="2:2" x14ac:dyDescent="0.25">
      <c r="B962" t="s">
        <v>314</v>
      </c>
    </row>
    <row r="963" spans="2:2" x14ac:dyDescent="0.25">
      <c r="B963" t="s">
        <v>315</v>
      </c>
    </row>
    <row r="964" spans="2:2" x14ac:dyDescent="0.25">
      <c r="B964" t="s">
        <v>316</v>
      </c>
    </row>
    <row r="965" spans="2:2" x14ac:dyDescent="0.25">
      <c r="B965" t="s">
        <v>14</v>
      </c>
    </row>
    <row r="966" spans="2:2" x14ac:dyDescent="0.25">
      <c r="B966" t="s">
        <v>317</v>
      </c>
    </row>
    <row r="967" spans="2:2" x14ac:dyDescent="0.25">
      <c r="B967" t="s">
        <v>318</v>
      </c>
    </row>
    <row r="968" spans="2:2" x14ac:dyDescent="0.25">
      <c r="B968" t="s">
        <v>319</v>
      </c>
    </row>
    <row r="969" spans="2:2" x14ac:dyDescent="0.25">
      <c r="B969" t="s">
        <v>492</v>
      </c>
    </row>
    <row r="970" spans="2:2" x14ac:dyDescent="0.25">
      <c r="B970" t="s">
        <v>320</v>
      </c>
    </row>
    <row r="971" spans="2:2" x14ac:dyDescent="0.25">
      <c r="B971" t="s">
        <v>395</v>
      </c>
    </row>
    <row r="972" spans="2:2" x14ac:dyDescent="0.25">
      <c r="B972" t="s">
        <v>362</v>
      </c>
    </row>
    <row r="973" spans="2:2" x14ac:dyDescent="0.25">
      <c r="B973" t="s">
        <v>422</v>
      </c>
    </row>
    <row r="974" spans="2:2" x14ac:dyDescent="0.25">
      <c r="B974" t="s">
        <v>493</v>
      </c>
    </row>
    <row r="975" spans="2:2" x14ac:dyDescent="0.25">
      <c r="B975" t="s">
        <v>60</v>
      </c>
    </row>
    <row r="976" spans="2:2" x14ac:dyDescent="0.25">
      <c r="B976" t="s">
        <v>61</v>
      </c>
    </row>
    <row r="977" spans="2:2" x14ac:dyDescent="0.25">
      <c r="B977" t="s">
        <v>321</v>
      </c>
    </row>
    <row r="978" spans="2:2" x14ac:dyDescent="0.25">
      <c r="B978" t="s">
        <v>104</v>
      </c>
    </row>
    <row r="979" spans="2:2" x14ac:dyDescent="0.25">
      <c r="B979" t="s">
        <v>494</v>
      </c>
    </row>
    <row r="980" spans="2:2" x14ac:dyDescent="0.25">
      <c r="B980" t="s">
        <v>322</v>
      </c>
    </row>
    <row r="981" spans="2:2" x14ac:dyDescent="0.25">
      <c r="B981" t="s">
        <v>147</v>
      </c>
    </row>
    <row r="982" spans="2:2" x14ac:dyDescent="0.25">
      <c r="B982" t="s">
        <v>15</v>
      </c>
    </row>
    <row r="983" spans="2:2" x14ac:dyDescent="0.25">
      <c r="B983" t="s">
        <v>323</v>
      </c>
    </row>
    <row r="984" spans="2:2" x14ac:dyDescent="0.25">
      <c r="B984" t="s">
        <v>325</v>
      </c>
    </row>
    <row r="985" spans="2:2" x14ac:dyDescent="0.25">
      <c r="B985" t="s">
        <v>335</v>
      </c>
    </row>
    <row r="986" spans="2:2" x14ac:dyDescent="0.25">
      <c r="B986" t="s">
        <v>326</v>
      </c>
    </row>
    <row r="987" spans="2:2" x14ac:dyDescent="0.25">
      <c r="B987" t="s">
        <v>327</v>
      </c>
    </row>
    <row r="988" spans="2:2" x14ac:dyDescent="0.25">
      <c r="B988" t="s">
        <v>495</v>
      </c>
    </row>
    <row r="989" spans="2:2" x14ac:dyDescent="0.25">
      <c r="B989" t="s">
        <v>508</v>
      </c>
    </row>
    <row r="990" spans="2:2" x14ac:dyDescent="0.25">
      <c r="B990" t="s">
        <v>474</v>
      </c>
    </row>
    <row r="991" spans="2:2" x14ac:dyDescent="0.25">
      <c r="B991" t="s">
        <v>509</v>
      </c>
    </row>
    <row r="992" spans="2:2" x14ac:dyDescent="0.25">
      <c r="B992" t="s">
        <v>155</v>
      </c>
    </row>
    <row r="993" spans="2:2" x14ac:dyDescent="0.25">
      <c r="B993" t="s">
        <v>3</v>
      </c>
    </row>
    <row r="994" spans="2:2" x14ac:dyDescent="0.25">
      <c r="B994" t="s">
        <v>4</v>
      </c>
    </row>
    <row r="995" spans="2:2" x14ac:dyDescent="0.25">
      <c r="B995" t="s">
        <v>5</v>
      </c>
    </row>
    <row r="996" spans="2:2" x14ac:dyDescent="0.25">
      <c r="B996" t="s">
        <v>156</v>
      </c>
    </row>
    <row r="997" spans="2:2" x14ac:dyDescent="0.25">
      <c r="B997" t="s">
        <v>397</v>
      </c>
    </row>
    <row r="998" spans="2:2" x14ac:dyDescent="0.25">
      <c r="B998" t="s">
        <v>157</v>
      </c>
    </row>
    <row r="999" spans="2:2" x14ac:dyDescent="0.25">
      <c r="B999" t="s">
        <v>158</v>
      </c>
    </row>
    <row r="1000" spans="2:2" x14ac:dyDescent="0.25">
      <c r="B1000" t="s">
        <v>159</v>
      </c>
    </row>
    <row r="1001" spans="2:2" x14ac:dyDescent="0.25">
      <c r="B1001" t="s">
        <v>160</v>
      </c>
    </row>
    <row r="1002" spans="2:2" x14ac:dyDescent="0.25">
      <c r="B1002" t="s">
        <v>17</v>
      </c>
    </row>
    <row r="1003" spans="2:2" x14ac:dyDescent="0.25">
      <c r="B1003" t="s">
        <v>18</v>
      </c>
    </row>
    <row r="1004" spans="2:2" x14ac:dyDescent="0.25">
      <c r="B1004" t="s">
        <v>161</v>
      </c>
    </row>
    <row r="1005" spans="2:2" x14ac:dyDescent="0.25">
      <c r="B1005" t="s">
        <v>162</v>
      </c>
    </row>
    <row r="1006" spans="2:2" x14ac:dyDescent="0.25">
      <c r="B1006" t="s">
        <v>163</v>
      </c>
    </row>
    <row r="1007" spans="2:2" x14ac:dyDescent="0.25">
      <c r="B1007" t="s">
        <v>164</v>
      </c>
    </row>
    <row r="1008" spans="2:2" x14ac:dyDescent="0.25">
      <c r="B1008" t="s">
        <v>63</v>
      </c>
    </row>
    <row r="1009" spans="2:2" x14ac:dyDescent="0.25">
      <c r="B1009" t="s">
        <v>367</v>
      </c>
    </row>
    <row r="1010" spans="2:2" x14ac:dyDescent="0.25">
      <c r="B1010" t="s">
        <v>368</v>
      </c>
    </row>
    <row r="1011" spans="2:2" x14ac:dyDescent="0.25">
      <c r="B1011" t="s">
        <v>369</v>
      </c>
    </row>
    <row r="1012" spans="2:2" x14ac:dyDescent="0.25">
      <c r="B1012" t="s">
        <v>19</v>
      </c>
    </row>
    <row r="1013" spans="2:2" x14ac:dyDescent="0.25">
      <c r="B1013" t="s">
        <v>329</v>
      </c>
    </row>
    <row r="1014" spans="2:2" x14ac:dyDescent="0.25">
      <c r="B1014" t="s">
        <v>165</v>
      </c>
    </row>
    <row r="1015" spans="2:2" x14ac:dyDescent="0.25">
      <c r="B1015" t="s">
        <v>74</v>
      </c>
    </row>
    <row r="1016" spans="2:2" x14ac:dyDescent="0.25">
      <c r="B1016" t="s">
        <v>166</v>
      </c>
    </row>
    <row r="1017" spans="2:2" x14ac:dyDescent="0.25">
      <c r="B1017" t="s">
        <v>370</v>
      </c>
    </row>
    <row r="1018" spans="2:2" x14ac:dyDescent="0.25">
      <c r="B1018" t="s">
        <v>167</v>
      </c>
    </row>
    <row r="1019" spans="2:2" x14ac:dyDescent="0.25">
      <c r="B1019" t="s">
        <v>168</v>
      </c>
    </row>
    <row r="1020" spans="2:2" x14ac:dyDescent="0.25">
      <c r="B1020" t="s">
        <v>6</v>
      </c>
    </row>
    <row r="1021" spans="2:2" x14ac:dyDescent="0.25">
      <c r="B1021" t="s">
        <v>169</v>
      </c>
    </row>
    <row r="1022" spans="2:2" x14ac:dyDescent="0.25">
      <c r="B1022" t="s">
        <v>371</v>
      </c>
    </row>
    <row r="1023" spans="2:2" x14ac:dyDescent="0.25">
      <c r="B1023" t="s">
        <v>170</v>
      </c>
    </row>
    <row r="1024" spans="2:2" x14ac:dyDescent="0.25">
      <c r="B1024" t="s">
        <v>171</v>
      </c>
    </row>
    <row r="1025" spans="2:2" x14ac:dyDescent="0.25">
      <c r="B1025" t="s">
        <v>172</v>
      </c>
    </row>
    <row r="1026" spans="2:2" x14ac:dyDescent="0.25">
      <c r="B1026" t="s">
        <v>106</v>
      </c>
    </row>
    <row r="1027" spans="2:2" x14ac:dyDescent="0.25">
      <c r="B1027" t="s">
        <v>173</v>
      </c>
    </row>
    <row r="1028" spans="2:2" x14ac:dyDescent="0.25">
      <c r="B1028" t="s">
        <v>20</v>
      </c>
    </row>
    <row r="1029" spans="2:2" x14ac:dyDescent="0.25">
      <c r="B1029" t="s">
        <v>356</v>
      </c>
    </row>
    <row r="1030" spans="2:2" x14ac:dyDescent="0.25">
      <c r="B1030" t="s">
        <v>174</v>
      </c>
    </row>
    <row r="1031" spans="2:2" x14ac:dyDescent="0.25">
      <c r="B1031" t="s">
        <v>175</v>
      </c>
    </row>
    <row r="1032" spans="2:2" x14ac:dyDescent="0.25">
      <c r="B1032" t="s">
        <v>176</v>
      </c>
    </row>
    <row r="1033" spans="2:2" x14ac:dyDescent="0.25">
      <c r="B1033" t="s">
        <v>410</v>
      </c>
    </row>
    <row r="1034" spans="2:2" x14ac:dyDescent="0.25">
      <c r="B1034" t="s">
        <v>177</v>
      </c>
    </row>
    <row r="1035" spans="2:2" x14ac:dyDescent="0.25">
      <c r="B1035" t="s">
        <v>178</v>
      </c>
    </row>
    <row r="1036" spans="2:2" x14ac:dyDescent="0.25">
      <c r="B1036" t="s">
        <v>21</v>
      </c>
    </row>
    <row r="1037" spans="2:2" x14ac:dyDescent="0.25">
      <c r="B1037" t="s">
        <v>179</v>
      </c>
    </row>
    <row r="1038" spans="2:2" x14ac:dyDescent="0.25">
      <c r="B1038" t="s">
        <v>107</v>
      </c>
    </row>
    <row r="1039" spans="2:2" x14ac:dyDescent="0.25">
      <c r="B1039" t="s">
        <v>372</v>
      </c>
    </row>
    <row r="1040" spans="2:2" x14ac:dyDescent="0.25">
      <c r="B1040" t="s">
        <v>337</v>
      </c>
    </row>
    <row r="1041" spans="2:2" x14ac:dyDescent="0.25">
      <c r="B1041" t="s">
        <v>180</v>
      </c>
    </row>
    <row r="1042" spans="2:2" x14ac:dyDescent="0.25">
      <c r="B1042" t="s">
        <v>181</v>
      </c>
    </row>
    <row r="1043" spans="2:2" x14ac:dyDescent="0.25">
      <c r="B1043" t="s">
        <v>182</v>
      </c>
    </row>
    <row r="1044" spans="2:2" x14ac:dyDescent="0.25">
      <c r="B1044" t="s">
        <v>108</v>
      </c>
    </row>
    <row r="1045" spans="2:2" x14ac:dyDescent="0.25">
      <c r="B1045" t="s">
        <v>183</v>
      </c>
    </row>
    <row r="1046" spans="2:2" x14ac:dyDescent="0.25">
      <c r="B1046" t="s">
        <v>184</v>
      </c>
    </row>
    <row r="1047" spans="2:2" x14ac:dyDescent="0.25">
      <c r="B1047" t="s">
        <v>414</v>
      </c>
    </row>
    <row r="1048" spans="2:2" x14ac:dyDescent="0.25">
      <c r="B1048" t="s">
        <v>185</v>
      </c>
    </row>
    <row r="1049" spans="2:2" x14ac:dyDescent="0.25">
      <c r="B1049" t="s">
        <v>186</v>
      </c>
    </row>
    <row r="1050" spans="2:2" x14ac:dyDescent="0.25">
      <c r="B1050" t="s">
        <v>187</v>
      </c>
    </row>
    <row r="1051" spans="2:2" x14ac:dyDescent="0.25">
      <c r="B1051" t="s">
        <v>75</v>
      </c>
    </row>
    <row r="1052" spans="2:2" x14ac:dyDescent="0.25">
      <c r="B1052" t="s">
        <v>188</v>
      </c>
    </row>
    <row r="1053" spans="2:2" x14ac:dyDescent="0.25">
      <c r="B1053" t="s">
        <v>338</v>
      </c>
    </row>
    <row r="1054" spans="2:2" x14ac:dyDescent="0.25">
      <c r="B1054" t="s">
        <v>189</v>
      </c>
    </row>
    <row r="1055" spans="2:2" x14ac:dyDescent="0.25">
      <c r="B1055" t="s">
        <v>109</v>
      </c>
    </row>
    <row r="1056" spans="2:2" x14ac:dyDescent="0.25">
      <c r="B1056" t="s">
        <v>190</v>
      </c>
    </row>
    <row r="1057" spans="2:2" x14ac:dyDescent="0.25">
      <c r="B1057" t="s">
        <v>191</v>
      </c>
    </row>
    <row r="1058" spans="2:2" x14ac:dyDescent="0.25">
      <c r="B1058" t="s">
        <v>192</v>
      </c>
    </row>
    <row r="1059" spans="2:2" x14ac:dyDescent="0.25">
      <c r="B1059" t="s">
        <v>193</v>
      </c>
    </row>
    <row r="1060" spans="2:2" x14ac:dyDescent="0.25">
      <c r="B1060" t="s">
        <v>110</v>
      </c>
    </row>
    <row r="1061" spans="2:2" x14ac:dyDescent="0.25">
      <c r="B1061" t="s">
        <v>149</v>
      </c>
    </row>
    <row r="1062" spans="2:2" x14ac:dyDescent="0.25">
      <c r="B1062" t="s">
        <v>111</v>
      </c>
    </row>
    <row r="1063" spans="2:2" x14ac:dyDescent="0.25">
      <c r="B1063" t="s">
        <v>194</v>
      </c>
    </row>
    <row r="1064" spans="2:2" x14ac:dyDescent="0.25">
      <c r="B1064" t="s">
        <v>418</v>
      </c>
    </row>
    <row r="1065" spans="2:2" x14ac:dyDescent="0.25">
      <c r="B1065" t="s">
        <v>195</v>
      </c>
    </row>
    <row r="1066" spans="2:2" x14ac:dyDescent="0.25">
      <c r="B1066" t="s">
        <v>196</v>
      </c>
    </row>
    <row r="1067" spans="2:2" x14ac:dyDescent="0.25">
      <c r="B1067" t="s">
        <v>197</v>
      </c>
    </row>
    <row r="1068" spans="2:2" x14ac:dyDescent="0.25">
      <c r="B1068" t="s">
        <v>22</v>
      </c>
    </row>
    <row r="1069" spans="2:2" x14ac:dyDescent="0.25">
      <c r="B1069" t="s">
        <v>23</v>
      </c>
    </row>
    <row r="1070" spans="2:2" x14ac:dyDescent="0.25">
      <c r="B1070" t="s">
        <v>7</v>
      </c>
    </row>
    <row r="1071" spans="2:2" x14ac:dyDescent="0.25">
      <c r="B1071" t="s">
        <v>198</v>
      </c>
    </row>
    <row r="1072" spans="2:2" x14ac:dyDescent="0.25">
      <c r="B1072" t="s">
        <v>112</v>
      </c>
    </row>
    <row r="1073" spans="2:2" x14ac:dyDescent="0.25">
      <c r="B1073" t="s">
        <v>199</v>
      </c>
    </row>
    <row r="1074" spans="2:2" x14ac:dyDescent="0.25">
      <c r="B1074" t="s">
        <v>200</v>
      </c>
    </row>
    <row r="1075" spans="2:2" x14ac:dyDescent="0.25">
      <c r="B1075" t="s">
        <v>201</v>
      </c>
    </row>
    <row r="1076" spans="2:2" x14ac:dyDescent="0.25">
      <c r="B1076" t="s">
        <v>202</v>
      </c>
    </row>
    <row r="1077" spans="2:2" x14ac:dyDescent="0.25">
      <c r="B1077" t="s">
        <v>203</v>
      </c>
    </row>
    <row r="1078" spans="2:2" x14ac:dyDescent="0.25">
      <c r="B1078" t="s">
        <v>204</v>
      </c>
    </row>
    <row r="1079" spans="2:2" x14ac:dyDescent="0.25">
      <c r="B1079" t="s">
        <v>76</v>
      </c>
    </row>
    <row r="1080" spans="2:2" x14ac:dyDescent="0.25">
      <c r="B1080" t="s">
        <v>205</v>
      </c>
    </row>
    <row r="1081" spans="2:2" x14ac:dyDescent="0.25">
      <c r="B1081" t="s">
        <v>206</v>
      </c>
    </row>
    <row r="1082" spans="2:2" x14ac:dyDescent="0.25">
      <c r="B1082" t="s">
        <v>24</v>
      </c>
    </row>
    <row r="1083" spans="2:2" x14ac:dyDescent="0.25">
      <c r="B1083" t="s">
        <v>373</v>
      </c>
    </row>
    <row r="1084" spans="2:2" x14ac:dyDescent="0.25">
      <c r="B1084" t="s">
        <v>25</v>
      </c>
    </row>
    <row r="1085" spans="2:2" x14ac:dyDescent="0.25">
      <c r="B1085" t="s">
        <v>207</v>
      </c>
    </row>
    <row r="1086" spans="2:2" x14ac:dyDescent="0.25">
      <c r="B1086" t="s">
        <v>374</v>
      </c>
    </row>
    <row r="1087" spans="2:2" x14ac:dyDescent="0.25">
      <c r="B1087" t="s">
        <v>77</v>
      </c>
    </row>
    <row r="1088" spans="2:2" x14ac:dyDescent="0.25">
      <c r="B1088" t="s">
        <v>208</v>
      </c>
    </row>
    <row r="1089" spans="2:2" x14ac:dyDescent="0.25">
      <c r="B1089" t="s">
        <v>26</v>
      </c>
    </row>
    <row r="1090" spans="2:2" x14ac:dyDescent="0.25">
      <c r="B1090" t="s">
        <v>209</v>
      </c>
    </row>
    <row r="1091" spans="2:2" x14ac:dyDescent="0.25">
      <c r="B1091" t="s">
        <v>102</v>
      </c>
    </row>
    <row r="1092" spans="2:2" x14ac:dyDescent="0.25">
      <c r="B1092" t="s">
        <v>78</v>
      </c>
    </row>
    <row r="1093" spans="2:2" x14ac:dyDescent="0.25">
      <c r="B1093" t="s">
        <v>210</v>
      </c>
    </row>
    <row r="1094" spans="2:2" x14ac:dyDescent="0.25">
      <c r="B1094" t="s">
        <v>211</v>
      </c>
    </row>
    <row r="1095" spans="2:2" x14ac:dyDescent="0.25">
      <c r="B1095" t="s">
        <v>212</v>
      </c>
    </row>
    <row r="1096" spans="2:2" x14ac:dyDescent="0.25">
      <c r="B1096" t="s">
        <v>213</v>
      </c>
    </row>
    <row r="1097" spans="2:2" x14ac:dyDescent="0.25">
      <c r="B1097" t="s">
        <v>113</v>
      </c>
    </row>
    <row r="1098" spans="2:2" x14ac:dyDescent="0.25">
      <c r="B1098" t="s">
        <v>214</v>
      </c>
    </row>
    <row r="1099" spans="2:2" x14ac:dyDescent="0.25">
      <c r="B1099" t="s">
        <v>215</v>
      </c>
    </row>
    <row r="1100" spans="2:2" x14ac:dyDescent="0.25">
      <c r="B1100" t="s">
        <v>216</v>
      </c>
    </row>
    <row r="1101" spans="2:2" x14ac:dyDescent="0.25">
      <c r="B1101" t="s">
        <v>217</v>
      </c>
    </row>
    <row r="1102" spans="2:2" x14ac:dyDescent="0.25">
      <c r="B1102" t="s">
        <v>218</v>
      </c>
    </row>
    <row r="1103" spans="2:2" x14ac:dyDescent="0.25">
      <c r="B1103" t="s">
        <v>8</v>
      </c>
    </row>
    <row r="1104" spans="2:2" x14ac:dyDescent="0.25">
      <c r="B1104" t="s">
        <v>398</v>
      </c>
    </row>
    <row r="1105" spans="2:2" x14ac:dyDescent="0.25">
      <c r="B1105" t="s">
        <v>219</v>
      </c>
    </row>
    <row r="1106" spans="2:2" x14ac:dyDescent="0.25">
      <c r="B1106" t="s">
        <v>220</v>
      </c>
    </row>
    <row r="1107" spans="2:2" x14ac:dyDescent="0.25">
      <c r="B1107" t="s">
        <v>221</v>
      </c>
    </row>
    <row r="1108" spans="2:2" x14ac:dyDescent="0.25">
      <c r="B1108" t="s">
        <v>114</v>
      </c>
    </row>
    <row r="1109" spans="2:2" x14ac:dyDescent="0.25">
      <c r="B1109" t="s">
        <v>115</v>
      </c>
    </row>
    <row r="1110" spans="2:2" x14ac:dyDescent="0.25">
      <c r="B1110" t="s">
        <v>222</v>
      </c>
    </row>
    <row r="1111" spans="2:2" x14ac:dyDescent="0.25">
      <c r="B1111" t="s">
        <v>411</v>
      </c>
    </row>
    <row r="1112" spans="2:2" x14ac:dyDescent="0.25">
      <c r="B1112" t="s">
        <v>223</v>
      </c>
    </row>
    <row r="1113" spans="2:2" x14ac:dyDescent="0.25">
      <c r="B1113" t="s">
        <v>150</v>
      </c>
    </row>
    <row r="1114" spans="2:2" x14ac:dyDescent="0.25">
      <c r="B1114" t="s">
        <v>375</v>
      </c>
    </row>
    <row r="1115" spans="2:2" x14ac:dyDescent="0.25">
      <c r="B1115" t="s">
        <v>27</v>
      </c>
    </row>
    <row r="1116" spans="2:2" x14ac:dyDescent="0.25">
      <c r="B1116" t="s">
        <v>224</v>
      </c>
    </row>
    <row r="1117" spans="2:2" x14ac:dyDescent="0.25">
      <c r="B1117" t="s">
        <v>116</v>
      </c>
    </row>
    <row r="1118" spans="2:2" x14ac:dyDescent="0.25">
      <c r="B1118" t="s">
        <v>225</v>
      </c>
    </row>
    <row r="1119" spans="2:2" x14ac:dyDescent="0.25">
      <c r="B1119" t="s">
        <v>226</v>
      </c>
    </row>
    <row r="1120" spans="2:2" x14ac:dyDescent="0.25">
      <c r="B1120" t="s">
        <v>79</v>
      </c>
    </row>
    <row r="1121" spans="2:2" x14ac:dyDescent="0.25">
      <c r="B1121" t="s">
        <v>117</v>
      </c>
    </row>
    <row r="1122" spans="2:2" x14ac:dyDescent="0.25">
      <c r="B1122" t="s">
        <v>118</v>
      </c>
    </row>
    <row r="1123" spans="2:2" x14ac:dyDescent="0.25">
      <c r="B1123" t="s">
        <v>9</v>
      </c>
    </row>
    <row r="1124" spans="2:2" x14ac:dyDescent="0.25">
      <c r="B1124" t="s">
        <v>227</v>
      </c>
    </row>
    <row r="1125" spans="2:2" x14ac:dyDescent="0.25">
      <c r="B1125" t="s">
        <v>228</v>
      </c>
    </row>
    <row r="1126" spans="2:2" x14ac:dyDescent="0.25">
      <c r="B1126" t="s">
        <v>229</v>
      </c>
    </row>
    <row r="1127" spans="2:2" x14ac:dyDescent="0.25">
      <c r="B1127" t="s">
        <v>119</v>
      </c>
    </row>
    <row r="1128" spans="2:2" x14ac:dyDescent="0.25">
      <c r="B1128" t="s">
        <v>230</v>
      </c>
    </row>
    <row r="1129" spans="2:2" x14ac:dyDescent="0.25">
      <c r="B1129" t="s">
        <v>231</v>
      </c>
    </row>
    <row r="1130" spans="2:2" x14ac:dyDescent="0.25">
      <c r="B1130" t="s">
        <v>28</v>
      </c>
    </row>
    <row r="1131" spans="2:2" x14ac:dyDescent="0.25">
      <c r="B1131" t="s">
        <v>232</v>
      </c>
    </row>
    <row r="1132" spans="2:2" x14ac:dyDescent="0.25">
      <c r="B1132" t="s">
        <v>233</v>
      </c>
    </row>
    <row r="1133" spans="2:2" x14ac:dyDescent="0.25">
      <c r="B1133" t="s">
        <v>80</v>
      </c>
    </row>
    <row r="1134" spans="2:2" x14ac:dyDescent="0.25">
      <c r="B1134" t="s">
        <v>29</v>
      </c>
    </row>
    <row r="1135" spans="2:2" x14ac:dyDescent="0.25">
      <c r="B1135" t="s">
        <v>120</v>
      </c>
    </row>
    <row r="1136" spans="2:2" x14ac:dyDescent="0.25">
      <c r="B1136" t="s">
        <v>81</v>
      </c>
    </row>
    <row r="1137" spans="2:2" x14ac:dyDescent="0.25">
      <c r="B1137" t="s">
        <v>30</v>
      </c>
    </row>
    <row r="1138" spans="2:2" x14ac:dyDescent="0.25">
      <c r="B1138" t="s">
        <v>121</v>
      </c>
    </row>
    <row r="1139" spans="2:2" x14ac:dyDescent="0.25">
      <c r="B1139" t="s">
        <v>234</v>
      </c>
    </row>
    <row r="1140" spans="2:2" x14ac:dyDescent="0.25">
      <c r="B1140" t="s">
        <v>357</v>
      </c>
    </row>
    <row r="1141" spans="2:2" x14ac:dyDescent="0.25">
      <c r="B1141" t="s">
        <v>31</v>
      </c>
    </row>
    <row r="1142" spans="2:2" x14ac:dyDescent="0.25">
      <c r="B1142" t="s">
        <v>99</v>
      </c>
    </row>
    <row r="1143" spans="2:2" x14ac:dyDescent="0.25">
      <c r="B1143" t="s">
        <v>235</v>
      </c>
    </row>
    <row r="1144" spans="2:2" x14ac:dyDescent="0.25">
      <c r="B1144" t="s">
        <v>122</v>
      </c>
    </row>
    <row r="1145" spans="2:2" x14ac:dyDescent="0.25">
      <c r="B1145" t="s">
        <v>376</v>
      </c>
    </row>
    <row r="1146" spans="2:2" x14ac:dyDescent="0.25">
      <c r="B1146" t="s">
        <v>236</v>
      </c>
    </row>
    <row r="1147" spans="2:2" x14ac:dyDescent="0.25">
      <c r="B1147" t="s">
        <v>64</v>
      </c>
    </row>
    <row r="1148" spans="2:2" x14ac:dyDescent="0.25">
      <c r="B1148" t="s">
        <v>32</v>
      </c>
    </row>
    <row r="1149" spans="2:2" x14ac:dyDescent="0.25">
      <c r="B1149" t="s">
        <v>377</v>
      </c>
    </row>
    <row r="1150" spans="2:2" x14ac:dyDescent="0.25">
      <c r="B1150" t="s">
        <v>237</v>
      </c>
    </row>
    <row r="1151" spans="2:2" x14ac:dyDescent="0.25">
      <c r="B1151" t="s">
        <v>238</v>
      </c>
    </row>
    <row r="1152" spans="2:2" x14ac:dyDescent="0.25">
      <c r="B1152" t="s">
        <v>239</v>
      </c>
    </row>
    <row r="1153" spans="2:2" x14ac:dyDescent="0.25">
      <c r="B1153" t="s">
        <v>415</v>
      </c>
    </row>
    <row r="1154" spans="2:2" x14ac:dyDescent="0.25">
      <c r="B1154" t="s">
        <v>240</v>
      </c>
    </row>
    <row r="1155" spans="2:2" x14ac:dyDescent="0.25">
      <c r="B1155" t="s">
        <v>345</v>
      </c>
    </row>
    <row r="1156" spans="2:2" x14ac:dyDescent="0.25">
      <c r="B1156" t="s">
        <v>351</v>
      </c>
    </row>
    <row r="1157" spans="2:2" x14ac:dyDescent="0.25">
      <c r="B1157" t="s">
        <v>358</v>
      </c>
    </row>
    <row r="1158" spans="2:2" x14ac:dyDescent="0.25">
      <c r="B1158" t="s">
        <v>406</v>
      </c>
    </row>
    <row r="1159" spans="2:2" x14ac:dyDescent="0.25">
      <c r="B1159" t="s">
        <v>241</v>
      </c>
    </row>
    <row r="1160" spans="2:2" x14ac:dyDescent="0.25">
      <c r="B1160" t="s">
        <v>82</v>
      </c>
    </row>
    <row r="1161" spans="2:2" x14ac:dyDescent="0.25">
      <c r="B1161" t="s">
        <v>242</v>
      </c>
    </row>
    <row r="1162" spans="2:2" x14ac:dyDescent="0.25">
      <c r="B1162" t="s">
        <v>243</v>
      </c>
    </row>
    <row r="1163" spans="2:2" x14ac:dyDescent="0.25">
      <c r="B1163" t="s">
        <v>244</v>
      </c>
    </row>
    <row r="1164" spans="2:2" x14ac:dyDescent="0.25">
      <c r="B1164" t="s">
        <v>245</v>
      </c>
    </row>
    <row r="1165" spans="2:2" x14ac:dyDescent="0.25">
      <c r="B1165" t="s">
        <v>246</v>
      </c>
    </row>
    <row r="1166" spans="2:2" x14ac:dyDescent="0.25">
      <c r="B1166" t="s">
        <v>247</v>
      </c>
    </row>
    <row r="1167" spans="2:2" x14ac:dyDescent="0.25">
      <c r="B1167" t="s">
        <v>123</v>
      </c>
    </row>
    <row r="1168" spans="2:2" x14ac:dyDescent="0.25">
      <c r="B1168" t="s">
        <v>124</v>
      </c>
    </row>
    <row r="1169" spans="2:2" x14ac:dyDescent="0.25">
      <c r="B1169" t="s">
        <v>424</v>
      </c>
    </row>
    <row r="1170" spans="2:2" x14ac:dyDescent="0.25">
      <c r="B1170" t="s">
        <v>125</v>
      </c>
    </row>
    <row r="1171" spans="2:2" x14ac:dyDescent="0.25">
      <c r="B1171" t="s">
        <v>359</v>
      </c>
    </row>
    <row r="1172" spans="2:2" x14ac:dyDescent="0.25">
      <c r="B1172" t="s">
        <v>126</v>
      </c>
    </row>
    <row r="1173" spans="2:2" x14ac:dyDescent="0.25">
      <c r="B1173" t="s">
        <v>248</v>
      </c>
    </row>
    <row r="1174" spans="2:2" x14ac:dyDescent="0.25">
      <c r="B1174" t="s">
        <v>378</v>
      </c>
    </row>
    <row r="1175" spans="2:2" x14ac:dyDescent="0.25">
      <c r="B1175" t="s">
        <v>399</v>
      </c>
    </row>
    <row r="1176" spans="2:2" x14ac:dyDescent="0.25">
      <c r="B1176" t="s">
        <v>379</v>
      </c>
    </row>
    <row r="1177" spans="2:2" x14ac:dyDescent="0.25">
      <c r="B1177" t="s">
        <v>127</v>
      </c>
    </row>
    <row r="1178" spans="2:2" x14ac:dyDescent="0.25">
      <c r="B1178" t="s">
        <v>128</v>
      </c>
    </row>
    <row r="1179" spans="2:2" x14ac:dyDescent="0.25">
      <c r="B1179" t="s">
        <v>65</v>
      </c>
    </row>
    <row r="1180" spans="2:2" x14ac:dyDescent="0.25">
      <c r="B1180" t="s">
        <v>380</v>
      </c>
    </row>
    <row r="1181" spans="2:2" x14ac:dyDescent="0.25">
      <c r="B1181" t="s">
        <v>381</v>
      </c>
    </row>
    <row r="1182" spans="2:2" x14ac:dyDescent="0.25">
      <c r="B1182" t="s">
        <v>33</v>
      </c>
    </row>
    <row r="1183" spans="2:2" x14ac:dyDescent="0.25">
      <c r="B1183" t="s">
        <v>34</v>
      </c>
    </row>
    <row r="1184" spans="2:2" x14ac:dyDescent="0.25">
      <c r="B1184" t="s">
        <v>330</v>
      </c>
    </row>
    <row r="1185" spans="2:2" x14ac:dyDescent="0.25">
      <c r="B1185" t="s">
        <v>249</v>
      </c>
    </row>
    <row r="1186" spans="2:2" x14ac:dyDescent="0.25">
      <c r="B1186" t="s">
        <v>250</v>
      </c>
    </row>
    <row r="1187" spans="2:2" x14ac:dyDescent="0.25">
      <c r="B1187" t="s">
        <v>416</v>
      </c>
    </row>
    <row r="1188" spans="2:2" x14ac:dyDescent="0.25">
      <c r="B1188" t="s">
        <v>251</v>
      </c>
    </row>
    <row r="1189" spans="2:2" x14ac:dyDescent="0.25">
      <c r="B1189" t="s">
        <v>83</v>
      </c>
    </row>
    <row r="1190" spans="2:2" x14ac:dyDescent="0.25">
      <c r="B1190" t="s">
        <v>129</v>
      </c>
    </row>
    <row r="1191" spans="2:2" x14ac:dyDescent="0.25">
      <c r="B1191" t="s">
        <v>130</v>
      </c>
    </row>
    <row r="1192" spans="2:2" x14ac:dyDescent="0.25">
      <c r="B1192" t="s">
        <v>252</v>
      </c>
    </row>
    <row r="1193" spans="2:2" x14ac:dyDescent="0.25">
      <c r="B1193" t="s">
        <v>35</v>
      </c>
    </row>
    <row r="1194" spans="2:2" x14ac:dyDescent="0.25">
      <c r="B1194" t="s">
        <v>331</v>
      </c>
    </row>
    <row r="1195" spans="2:2" x14ac:dyDescent="0.25">
      <c r="B1195" t="s">
        <v>253</v>
      </c>
    </row>
    <row r="1196" spans="2:2" x14ac:dyDescent="0.25">
      <c r="B1196" t="s">
        <v>332</v>
      </c>
    </row>
    <row r="1197" spans="2:2" x14ac:dyDescent="0.25">
      <c r="B1197" t="s">
        <v>419</v>
      </c>
    </row>
    <row r="1198" spans="2:2" x14ac:dyDescent="0.25">
      <c r="B1198" t="s">
        <v>131</v>
      </c>
    </row>
    <row r="1199" spans="2:2" x14ac:dyDescent="0.25">
      <c r="B1199" t="s">
        <v>36</v>
      </c>
    </row>
    <row r="1200" spans="2:2" x14ac:dyDescent="0.25">
      <c r="B1200" t="s">
        <v>425</v>
      </c>
    </row>
    <row r="1201" spans="2:2" x14ac:dyDescent="0.25">
      <c r="B1201" t="s">
        <v>254</v>
      </c>
    </row>
    <row r="1202" spans="2:2" x14ac:dyDescent="0.25">
      <c r="B1202" t="s">
        <v>37</v>
      </c>
    </row>
    <row r="1203" spans="2:2" x14ac:dyDescent="0.25">
      <c r="B1203" t="s">
        <v>132</v>
      </c>
    </row>
    <row r="1204" spans="2:2" x14ac:dyDescent="0.25">
      <c r="B1204" t="s">
        <v>38</v>
      </c>
    </row>
    <row r="1205" spans="2:2" x14ac:dyDescent="0.25">
      <c r="B1205" t="s">
        <v>382</v>
      </c>
    </row>
    <row r="1206" spans="2:2" x14ac:dyDescent="0.25">
      <c r="B1206" t="s">
        <v>255</v>
      </c>
    </row>
    <row r="1207" spans="2:2" x14ac:dyDescent="0.25">
      <c r="B1207" t="s">
        <v>256</v>
      </c>
    </row>
    <row r="1208" spans="2:2" x14ac:dyDescent="0.25">
      <c r="B1208" t="s">
        <v>133</v>
      </c>
    </row>
    <row r="1209" spans="2:2" x14ac:dyDescent="0.25">
      <c r="B1209" t="s">
        <v>134</v>
      </c>
    </row>
    <row r="1210" spans="2:2" x14ac:dyDescent="0.25">
      <c r="B1210" t="s">
        <v>84</v>
      </c>
    </row>
    <row r="1211" spans="2:2" x14ac:dyDescent="0.25">
      <c r="B1211" t="s">
        <v>66</v>
      </c>
    </row>
    <row r="1212" spans="2:2" x14ac:dyDescent="0.25">
      <c r="B1212" t="s">
        <v>135</v>
      </c>
    </row>
    <row r="1213" spans="2:2" x14ac:dyDescent="0.25">
      <c r="B1213" t="s">
        <v>85</v>
      </c>
    </row>
    <row r="1214" spans="2:2" x14ac:dyDescent="0.25">
      <c r="B1214" t="s">
        <v>383</v>
      </c>
    </row>
    <row r="1215" spans="2:2" x14ac:dyDescent="0.25">
      <c r="B1215" t="s">
        <v>384</v>
      </c>
    </row>
    <row r="1216" spans="2:2" x14ac:dyDescent="0.25">
      <c r="B1216" t="s">
        <v>257</v>
      </c>
    </row>
    <row r="1217" spans="2:2" x14ac:dyDescent="0.25">
      <c r="B1217" t="s">
        <v>258</v>
      </c>
    </row>
    <row r="1218" spans="2:2" x14ac:dyDescent="0.25">
      <c r="B1218" t="s">
        <v>259</v>
      </c>
    </row>
    <row r="1219" spans="2:2" x14ac:dyDescent="0.25">
      <c r="B1219" t="s">
        <v>260</v>
      </c>
    </row>
    <row r="1220" spans="2:2" x14ac:dyDescent="0.25">
      <c r="B1220" t="s">
        <v>261</v>
      </c>
    </row>
    <row r="1221" spans="2:2" x14ac:dyDescent="0.25">
      <c r="B1221" t="s">
        <v>339</v>
      </c>
    </row>
    <row r="1222" spans="2:2" x14ac:dyDescent="0.25">
      <c r="B1222" t="s">
        <v>412</v>
      </c>
    </row>
    <row r="1223" spans="2:2" x14ac:dyDescent="0.25">
      <c r="B1223" t="s">
        <v>262</v>
      </c>
    </row>
    <row r="1224" spans="2:2" x14ac:dyDescent="0.25">
      <c r="B1224" t="s">
        <v>263</v>
      </c>
    </row>
    <row r="1225" spans="2:2" x14ac:dyDescent="0.25">
      <c r="B1225" t="s">
        <v>264</v>
      </c>
    </row>
    <row r="1226" spans="2:2" x14ac:dyDescent="0.25">
      <c r="B1226" t="s">
        <v>265</v>
      </c>
    </row>
    <row r="1227" spans="2:2" x14ac:dyDescent="0.25">
      <c r="B1227" t="s">
        <v>266</v>
      </c>
    </row>
    <row r="1228" spans="2:2" x14ac:dyDescent="0.25">
      <c r="B1228" t="s">
        <v>364</v>
      </c>
    </row>
    <row r="1229" spans="2:2" x14ac:dyDescent="0.25">
      <c r="B1229" t="s">
        <v>400</v>
      </c>
    </row>
    <row r="1230" spans="2:2" x14ac:dyDescent="0.25">
      <c r="B1230" t="s">
        <v>136</v>
      </c>
    </row>
    <row r="1231" spans="2:2" x14ac:dyDescent="0.25">
      <c r="B1231" t="s">
        <v>385</v>
      </c>
    </row>
    <row r="1232" spans="2:2" x14ac:dyDescent="0.25">
      <c r="B1232" t="s">
        <v>267</v>
      </c>
    </row>
    <row r="1233" spans="2:2" x14ac:dyDescent="0.25">
      <c r="B1233" t="s">
        <v>268</v>
      </c>
    </row>
    <row r="1234" spans="2:2" x14ac:dyDescent="0.25">
      <c r="B1234" t="s">
        <v>269</v>
      </c>
    </row>
    <row r="1235" spans="2:2" x14ac:dyDescent="0.25">
      <c r="B1235" t="s">
        <v>270</v>
      </c>
    </row>
    <row r="1236" spans="2:2" x14ac:dyDescent="0.25">
      <c r="B1236" t="s">
        <v>39</v>
      </c>
    </row>
    <row r="1237" spans="2:2" x14ac:dyDescent="0.25">
      <c r="B1237" t="s">
        <v>67</v>
      </c>
    </row>
    <row r="1238" spans="2:2" x14ac:dyDescent="0.25">
      <c r="B1238" t="s">
        <v>365</v>
      </c>
    </row>
    <row r="1239" spans="2:2" x14ac:dyDescent="0.25">
      <c r="B1239" t="s">
        <v>86</v>
      </c>
    </row>
    <row r="1240" spans="2:2" x14ac:dyDescent="0.25">
      <c r="B1240" t="s">
        <v>271</v>
      </c>
    </row>
    <row r="1241" spans="2:2" x14ac:dyDescent="0.25">
      <c r="B1241" t="s">
        <v>343</v>
      </c>
    </row>
    <row r="1242" spans="2:2" x14ac:dyDescent="0.25">
      <c r="B1242" t="s">
        <v>40</v>
      </c>
    </row>
    <row r="1243" spans="2:2" x14ac:dyDescent="0.25">
      <c r="B1243" t="s">
        <v>420</v>
      </c>
    </row>
    <row r="1244" spans="2:2" x14ac:dyDescent="0.25">
      <c r="B1244" t="s">
        <v>333</v>
      </c>
    </row>
    <row r="1245" spans="2:2" x14ac:dyDescent="0.25">
      <c r="B1245" t="s">
        <v>272</v>
      </c>
    </row>
    <row r="1246" spans="2:2" x14ac:dyDescent="0.25">
      <c r="B1246" t="s">
        <v>273</v>
      </c>
    </row>
    <row r="1247" spans="2:2" x14ac:dyDescent="0.25">
      <c r="B1247" t="s">
        <v>137</v>
      </c>
    </row>
    <row r="1248" spans="2:2" x14ac:dyDescent="0.25">
      <c r="B1248" t="s">
        <v>87</v>
      </c>
    </row>
    <row r="1249" spans="2:2" x14ac:dyDescent="0.25">
      <c r="B1249" t="s">
        <v>88</v>
      </c>
    </row>
    <row r="1250" spans="2:2" x14ac:dyDescent="0.25">
      <c r="B1250" t="s">
        <v>386</v>
      </c>
    </row>
    <row r="1251" spans="2:2" x14ac:dyDescent="0.25">
      <c r="B1251" t="s">
        <v>41</v>
      </c>
    </row>
    <row r="1252" spans="2:2" x14ac:dyDescent="0.25">
      <c r="B1252" t="s">
        <v>341</v>
      </c>
    </row>
    <row r="1253" spans="2:2" x14ac:dyDescent="0.25">
      <c r="B1253" t="s">
        <v>407</v>
      </c>
    </row>
    <row r="1254" spans="2:2" x14ac:dyDescent="0.25">
      <c r="B1254" t="s">
        <v>42</v>
      </c>
    </row>
    <row r="1255" spans="2:2" x14ac:dyDescent="0.25">
      <c r="B1255" t="s">
        <v>43</v>
      </c>
    </row>
    <row r="1256" spans="2:2" x14ac:dyDescent="0.25">
      <c r="B1256" t="s">
        <v>274</v>
      </c>
    </row>
    <row r="1257" spans="2:2" x14ac:dyDescent="0.25">
      <c r="B1257" t="s">
        <v>138</v>
      </c>
    </row>
    <row r="1258" spans="2:2" x14ac:dyDescent="0.25">
      <c r="B1258" t="s">
        <v>139</v>
      </c>
    </row>
    <row r="1259" spans="2:2" x14ac:dyDescent="0.25">
      <c r="B1259" t="s">
        <v>275</v>
      </c>
    </row>
    <row r="1260" spans="2:2" x14ac:dyDescent="0.25">
      <c r="B1260" t="s">
        <v>276</v>
      </c>
    </row>
    <row r="1261" spans="2:2" x14ac:dyDescent="0.25">
      <c r="B1261" t="s">
        <v>89</v>
      </c>
    </row>
    <row r="1262" spans="2:2" x14ac:dyDescent="0.25">
      <c r="B1262" t="s">
        <v>90</v>
      </c>
    </row>
    <row r="1263" spans="2:2" x14ac:dyDescent="0.25">
      <c r="B1263" t="s">
        <v>140</v>
      </c>
    </row>
    <row r="1264" spans="2:2" x14ac:dyDescent="0.25">
      <c r="B1264" t="s">
        <v>277</v>
      </c>
    </row>
    <row r="1265" spans="2:2" x14ac:dyDescent="0.25">
      <c r="B1265" t="s">
        <v>278</v>
      </c>
    </row>
    <row r="1266" spans="2:2" x14ac:dyDescent="0.25">
      <c r="B1266" t="s">
        <v>352</v>
      </c>
    </row>
    <row r="1267" spans="2:2" x14ac:dyDescent="0.25">
      <c r="B1267" t="s">
        <v>91</v>
      </c>
    </row>
    <row r="1268" spans="2:2" x14ac:dyDescent="0.25">
      <c r="B1268" t="s">
        <v>279</v>
      </c>
    </row>
    <row r="1269" spans="2:2" x14ac:dyDescent="0.25">
      <c r="B1269" t="s">
        <v>10</v>
      </c>
    </row>
    <row r="1270" spans="2:2" x14ac:dyDescent="0.25">
      <c r="B1270" t="s">
        <v>280</v>
      </c>
    </row>
    <row r="1271" spans="2:2" x14ac:dyDescent="0.25">
      <c r="B1271" t="s">
        <v>281</v>
      </c>
    </row>
    <row r="1272" spans="2:2" x14ac:dyDescent="0.25">
      <c r="B1272" t="s">
        <v>141</v>
      </c>
    </row>
    <row r="1273" spans="2:2" x14ac:dyDescent="0.25">
      <c r="B1273" t="s">
        <v>152</v>
      </c>
    </row>
    <row r="1274" spans="2:2" x14ac:dyDescent="0.25">
      <c r="B1274" t="s">
        <v>11</v>
      </c>
    </row>
    <row r="1275" spans="2:2" x14ac:dyDescent="0.25">
      <c r="B1275" t="s">
        <v>421</v>
      </c>
    </row>
    <row r="1276" spans="2:2" x14ac:dyDescent="0.25">
      <c r="B1276" t="s">
        <v>282</v>
      </c>
    </row>
    <row r="1277" spans="2:2" x14ac:dyDescent="0.25">
      <c r="B1277" t="s">
        <v>401</v>
      </c>
    </row>
    <row r="1278" spans="2:2" x14ac:dyDescent="0.25">
      <c r="B1278" t="s">
        <v>387</v>
      </c>
    </row>
    <row r="1279" spans="2:2" x14ac:dyDescent="0.25">
      <c r="B1279" t="s">
        <v>44</v>
      </c>
    </row>
    <row r="1280" spans="2:2" x14ac:dyDescent="0.25">
      <c r="B1280" t="s">
        <v>360</v>
      </c>
    </row>
    <row r="1281" spans="2:2" x14ac:dyDescent="0.25">
      <c r="B1281" t="s">
        <v>68</v>
      </c>
    </row>
    <row r="1282" spans="2:2" x14ac:dyDescent="0.25">
      <c r="B1282" t="s">
        <v>69</v>
      </c>
    </row>
    <row r="1283" spans="2:2" x14ac:dyDescent="0.25">
      <c r="B1283" t="s">
        <v>45</v>
      </c>
    </row>
    <row r="1284" spans="2:2" x14ac:dyDescent="0.25">
      <c r="B1284" t="s">
        <v>283</v>
      </c>
    </row>
    <row r="1285" spans="2:2" x14ac:dyDescent="0.25">
      <c r="B1285" t="s">
        <v>284</v>
      </c>
    </row>
    <row r="1286" spans="2:2" x14ac:dyDescent="0.25">
      <c r="B1286" t="s">
        <v>70</v>
      </c>
    </row>
    <row r="1287" spans="2:2" x14ac:dyDescent="0.25">
      <c r="B1287" t="s">
        <v>402</v>
      </c>
    </row>
    <row r="1288" spans="2:2" x14ac:dyDescent="0.25">
      <c r="B1288" t="s">
        <v>71</v>
      </c>
    </row>
    <row r="1289" spans="2:2" x14ac:dyDescent="0.25">
      <c r="B1289" t="s">
        <v>285</v>
      </c>
    </row>
    <row r="1290" spans="2:2" x14ac:dyDescent="0.25">
      <c r="B1290" t="s">
        <v>348</v>
      </c>
    </row>
    <row r="1291" spans="2:2" x14ac:dyDescent="0.25">
      <c r="B1291" t="s">
        <v>286</v>
      </c>
    </row>
    <row r="1292" spans="2:2" x14ac:dyDescent="0.25">
      <c r="B1292" t="s">
        <v>46</v>
      </c>
    </row>
    <row r="1293" spans="2:2" x14ac:dyDescent="0.25">
      <c r="B1293" t="s">
        <v>47</v>
      </c>
    </row>
    <row r="1294" spans="2:2" x14ac:dyDescent="0.25">
      <c r="B1294" t="s">
        <v>48</v>
      </c>
    </row>
    <row r="1295" spans="2:2" x14ac:dyDescent="0.25">
      <c r="B1295" t="s">
        <v>12</v>
      </c>
    </row>
    <row r="1296" spans="2:2" x14ac:dyDescent="0.25">
      <c r="B1296" t="s">
        <v>49</v>
      </c>
    </row>
    <row r="1297" spans="2:2" x14ac:dyDescent="0.25">
      <c r="B1297" t="s">
        <v>388</v>
      </c>
    </row>
    <row r="1298" spans="2:2" x14ac:dyDescent="0.25">
      <c r="B1298" t="s">
        <v>389</v>
      </c>
    </row>
    <row r="1299" spans="2:2" x14ac:dyDescent="0.25">
      <c r="B1299" t="s">
        <v>287</v>
      </c>
    </row>
    <row r="1300" spans="2:2" x14ac:dyDescent="0.25">
      <c r="B1300" t="s">
        <v>361</v>
      </c>
    </row>
    <row r="1301" spans="2:2" x14ac:dyDescent="0.25">
      <c r="B1301" t="s">
        <v>50</v>
      </c>
    </row>
    <row r="1302" spans="2:2" x14ac:dyDescent="0.25">
      <c r="B1302" t="s">
        <v>353</v>
      </c>
    </row>
    <row r="1303" spans="2:2" x14ac:dyDescent="0.25">
      <c r="B1303" t="s">
        <v>100</v>
      </c>
    </row>
    <row r="1304" spans="2:2" x14ac:dyDescent="0.25">
      <c r="B1304" t="s">
        <v>92</v>
      </c>
    </row>
    <row r="1305" spans="2:2" x14ac:dyDescent="0.25">
      <c r="B1305" t="s">
        <v>408</v>
      </c>
    </row>
    <row r="1306" spans="2:2" x14ac:dyDescent="0.25">
      <c r="B1306" t="s">
        <v>288</v>
      </c>
    </row>
    <row r="1307" spans="2:2" x14ac:dyDescent="0.25">
      <c r="B1307" t="s">
        <v>13</v>
      </c>
    </row>
    <row r="1308" spans="2:2" x14ac:dyDescent="0.25">
      <c r="B1308" t="s">
        <v>403</v>
      </c>
    </row>
    <row r="1309" spans="2:2" x14ac:dyDescent="0.25">
      <c r="B1309" t="s">
        <v>349</v>
      </c>
    </row>
    <row r="1310" spans="2:2" x14ac:dyDescent="0.25">
      <c r="B1310" t="s">
        <v>289</v>
      </c>
    </row>
    <row r="1311" spans="2:2" x14ac:dyDescent="0.25">
      <c r="B1311" t="s">
        <v>290</v>
      </c>
    </row>
    <row r="1312" spans="2:2" x14ac:dyDescent="0.25">
      <c r="B1312" t="s">
        <v>51</v>
      </c>
    </row>
    <row r="1313" spans="2:2" x14ac:dyDescent="0.25">
      <c r="B1313" t="s">
        <v>52</v>
      </c>
    </row>
    <row r="1314" spans="2:2" x14ac:dyDescent="0.25">
      <c r="B1314" t="s">
        <v>291</v>
      </c>
    </row>
    <row r="1315" spans="2:2" x14ac:dyDescent="0.25">
      <c r="B1315" t="s">
        <v>292</v>
      </c>
    </row>
    <row r="1316" spans="2:2" x14ac:dyDescent="0.25">
      <c r="B1316" t="s">
        <v>153</v>
      </c>
    </row>
    <row r="1317" spans="2:2" x14ac:dyDescent="0.25">
      <c r="B1317" t="s">
        <v>93</v>
      </c>
    </row>
    <row r="1318" spans="2:2" x14ac:dyDescent="0.25">
      <c r="B1318" t="s">
        <v>293</v>
      </c>
    </row>
    <row r="1319" spans="2:2" x14ac:dyDescent="0.25">
      <c r="B1319" t="s">
        <v>294</v>
      </c>
    </row>
    <row r="1320" spans="2:2" x14ac:dyDescent="0.25">
      <c r="B1320" t="s">
        <v>390</v>
      </c>
    </row>
    <row r="1321" spans="2:2" x14ac:dyDescent="0.25">
      <c r="B1321" t="s">
        <v>391</v>
      </c>
    </row>
    <row r="1322" spans="2:2" x14ac:dyDescent="0.25">
      <c r="B1322" t="s">
        <v>392</v>
      </c>
    </row>
    <row r="1323" spans="2:2" x14ac:dyDescent="0.25">
      <c r="B1323" t="s">
        <v>53</v>
      </c>
    </row>
    <row r="1324" spans="2:2" x14ac:dyDescent="0.25">
      <c r="B1324" t="s">
        <v>103</v>
      </c>
    </row>
    <row r="1325" spans="2:2" x14ac:dyDescent="0.25">
      <c r="B1325" t="s">
        <v>54</v>
      </c>
    </row>
    <row r="1326" spans="2:2" x14ac:dyDescent="0.25">
      <c r="B1326" t="s">
        <v>72</v>
      </c>
    </row>
    <row r="1327" spans="2:2" x14ac:dyDescent="0.25">
      <c r="B1327" t="s">
        <v>295</v>
      </c>
    </row>
    <row r="1328" spans="2:2" x14ac:dyDescent="0.25">
      <c r="B1328" t="s">
        <v>296</v>
      </c>
    </row>
    <row r="1329" spans="2:2" x14ac:dyDescent="0.25">
      <c r="B1329" t="s">
        <v>142</v>
      </c>
    </row>
    <row r="1330" spans="2:2" x14ac:dyDescent="0.25">
      <c r="B1330" t="s">
        <v>143</v>
      </c>
    </row>
    <row r="1331" spans="2:2" x14ac:dyDescent="0.25">
      <c r="B1331" t="s">
        <v>297</v>
      </c>
    </row>
    <row r="1332" spans="2:2" x14ac:dyDescent="0.25">
      <c r="B1332" t="s">
        <v>94</v>
      </c>
    </row>
    <row r="1333" spans="2:2" x14ac:dyDescent="0.25">
      <c r="B1333" t="s">
        <v>298</v>
      </c>
    </row>
    <row r="1334" spans="2:2" x14ac:dyDescent="0.25">
      <c r="B1334" t="s">
        <v>144</v>
      </c>
    </row>
    <row r="1335" spans="2:2" x14ac:dyDescent="0.25">
      <c r="B1335" t="s">
        <v>145</v>
      </c>
    </row>
    <row r="1336" spans="2:2" x14ac:dyDescent="0.25">
      <c r="B1336" t="s">
        <v>334</v>
      </c>
    </row>
    <row r="1337" spans="2:2" x14ac:dyDescent="0.25">
      <c r="B1337" t="s">
        <v>299</v>
      </c>
    </row>
    <row r="1338" spans="2:2" x14ac:dyDescent="0.25">
      <c r="B1338" t="s">
        <v>300</v>
      </c>
    </row>
    <row r="1339" spans="2:2" x14ac:dyDescent="0.25">
      <c r="B1339" t="s">
        <v>301</v>
      </c>
    </row>
    <row r="1340" spans="2:2" x14ac:dyDescent="0.25">
      <c r="B1340" t="s">
        <v>95</v>
      </c>
    </row>
    <row r="1341" spans="2:2" x14ac:dyDescent="0.25">
      <c r="B1341" t="s">
        <v>302</v>
      </c>
    </row>
    <row r="1342" spans="2:2" x14ac:dyDescent="0.25">
      <c r="B1342" t="s">
        <v>426</v>
      </c>
    </row>
    <row r="1343" spans="2:2" x14ac:dyDescent="0.25">
      <c r="B1343" t="s">
        <v>346</v>
      </c>
    </row>
    <row r="1344" spans="2:2" x14ac:dyDescent="0.25">
      <c r="B1344" t="s">
        <v>393</v>
      </c>
    </row>
    <row r="1345" spans="2:2" x14ac:dyDescent="0.25">
      <c r="B1345" t="s">
        <v>303</v>
      </c>
    </row>
    <row r="1346" spans="2:2" x14ac:dyDescent="0.25">
      <c r="B1346" t="s">
        <v>304</v>
      </c>
    </row>
    <row r="1347" spans="2:2" x14ac:dyDescent="0.25">
      <c r="B1347" t="s">
        <v>305</v>
      </c>
    </row>
    <row r="1348" spans="2:2" x14ac:dyDescent="0.25">
      <c r="B1348" t="s">
        <v>96</v>
      </c>
    </row>
    <row r="1349" spans="2:2" x14ac:dyDescent="0.25">
      <c r="B1349" t="s">
        <v>146</v>
      </c>
    </row>
    <row r="1350" spans="2:2" x14ac:dyDescent="0.25">
      <c r="B1350" t="s">
        <v>306</v>
      </c>
    </row>
    <row r="1351" spans="2:2" x14ac:dyDescent="0.25">
      <c r="B1351" t="s">
        <v>55</v>
      </c>
    </row>
    <row r="1352" spans="2:2" x14ac:dyDescent="0.25">
      <c r="B1352" t="s">
        <v>354</v>
      </c>
    </row>
    <row r="1353" spans="2:2" x14ac:dyDescent="0.25">
      <c r="B1353" t="s">
        <v>394</v>
      </c>
    </row>
    <row r="1354" spans="2:2" x14ac:dyDescent="0.25">
      <c r="B1354" t="s">
        <v>56</v>
      </c>
    </row>
    <row r="1355" spans="2:2" x14ac:dyDescent="0.25">
      <c r="B1355" t="s">
        <v>307</v>
      </c>
    </row>
    <row r="1356" spans="2:2" x14ac:dyDescent="0.25">
      <c r="B1356" t="s">
        <v>308</v>
      </c>
    </row>
    <row r="1357" spans="2:2" x14ac:dyDescent="0.25">
      <c r="B1357" t="s">
        <v>309</v>
      </c>
    </row>
    <row r="1358" spans="2:2" x14ac:dyDescent="0.25">
      <c r="B1358" t="s">
        <v>57</v>
      </c>
    </row>
    <row r="1359" spans="2:2" x14ac:dyDescent="0.25">
      <c r="B1359" t="s">
        <v>58</v>
      </c>
    </row>
    <row r="1360" spans="2:2" x14ac:dyDescent="0.25">
      <c r="B1360" t="s">
        <v>59</v>
      </c>
    </row>
    <row r="1361" spans="2:2" x14ac:dyDescent="0.25">
      <c r="B1361" t="s">
        <v>404</v>
      </c>
    </row>
    <row r="1362" spans="2:2" x14ac:dyDescent="0.25">
      <c r="B1362" t="s">
        <v>97</v>
      </c>
    </row>
    <row r="1363" spans="2:2" x14ac:dyDescent="0.25">
      <c r="B1363" t="s">
        <v>310</v>
      </c>
    </row>
    <row r="1364" spans="2:2" x14ac:dyDescent="0.25">
      <c r="B1364" t="s">
        <v>311</v>
      </c>
    </row>
    <row r="1365" spans="2:2" x14ac:dyDescent="0.25">
      <c r="B1365" t="s">
        <v>312</v>
      </c>
    </row>
    <row r="1366" spans="2:2" x14ac:dyDescent="0.25">
      <c r="B1366" t="s">
        <v>313</v>
      </c>
    </row>
    <row r="1367" spans="2:2" x14ac:dyDescent="0.25">
      <c r="B1367" t="s">
        <v>314</v>
      </c>
    </row>
    <row r="1368" spans="2:2" x14ac:dyDescent="0.25">
      <c r="B1368" t="s">
        <v>315</v>
      </c>
    </row>
    <row r="1369" spans="2:2" x14ac:dyDescent="0.25">
      <c r="B1369" t="s">
        <v>316</v>
      </c>
    </row>
    <row r="1370" spans="2:2" x14ac:dyDescent="0.25">
      <c r="B1370" t="s">
        <v>14</v>
      </c>
    </row>
    <row r="1371" spans="2:2" x14ac:dyDescent="0.25">
      <c r="B1371" t="s">
        <v>317</v>
      </c>
    </row>
    <row r="1372" spans="2:2" x14ac:dyDescent="0.25">
      <c r="B1372" t="s">
        <v>318</v>
      </c>
    </row>
    <row r="1373" spans="2:2" x14ac:dyDescent="0.25">
      <c r="B1373" t="s">
        <v>319</v>
      </c>
    </row>
    <row r="1374" spans="2:2" x14ac:dyDescent="0.25">
      <c r="B1374" t="s">
        <v>320</v>
      </c>
    </row>
    <row r="1375" spans="2:2" x14ac:dyDescent="0.25">
      <c r="B1375" t="s">
        <v>395</v>
      </c>
    </row>
    <row r="1376" spans="2:2" x14ac:dyDescent="0.25">
      <c r="B1376" t="s">
        <v>362</v>
      </c>
    </row>
    <row r="1377" spans="2:2" x14ac:dyDescent="0.25">
      <c r="B1377" t="s">
        <v>422</v>
      </c>
    </row>
    <row r="1378" spans="2:2" x14ac:dyDescent="0.25">
      <c r="B1378" t="s">
        <v>60</v>
      </c>
    </row>
    <row r="1379" spans="2:2" x14ac:dyDescent="0.25">
      <c r="B1379" t="s">
        <v>61</v>
      </c>
    </row>
    <row r="1380" spans="2:2" x14ac:dyDescent="0.25">
      <c r="B1380" t="s">
        <v>321</v>
      </c>
    </row>
    <row r="1381" spans="2:2" x14ac:dyDescent="0.25">
      <c r="B1381" t="s">
        <v>104</v>
      </c>
    </row>
    <row r="1382" spans="2:2" x14ac:dyDescent="0.25">
      <c r="B1382" t="s">
        <v>322</v>
      </c>
    </row>
    <row r="1383" spans="2:2" x14ac:dyDescent="0.25">
      <c r="B1383" t="s">
        <v>147</v>
      </c>
    </row>
    <row r="1384" spans="2:2" x14ac:dyDescent="0.25">
      <c r="B1384" t="s">
        <v>15</v>
      </c>
    </row>
    <row r="1385" spans="2:2" x14ac:dyDescent="0.25">
      <c r="B1385" t="s">
        <v>323</v>
      </c>
    </row>
    <row r="1386" spans="2:2" x14ac:dyDescent="0.25">
      <c r="B1386" t="s">
        <v>324</v>
      </c>
    </row>
    <row r="1387" spans="2:2" x14ac:dyDescent="0.25">
      <c r="B1387" t="s">
        <v>325</v>
      </c>
    </row>
    <row r="1388" spans="2:2" x14ac:dyDescent="0.25">
      <c r="B1388" t="s">
        <v>335</v>
      </c>
    </row>
    <row r="1389" spans="2:2" x14ac:dyDescent="0.25">
      <c r="B1389" t="s">
        <v>326</v>
      </c>
    </row>
    <row r="1390" spans="2:2" x14ac:dyDescent="0.25">
      <c r="B1390" t="s">
        <v>327</v>
      </c>
    </row>
    <row r="1391" spans="2:2" x14ac:dyDescent="0.25">
      <c r="B1391" t="s">
        <v>510</v>
      </c>
    </row>
    <row r="1392" spans="2:2" x14ac:dyDescent="0.25">
      <c r="B1392" t="s">
        <v>428</v>
      </c>
    </row>
    <row r="1393" spans="2:2" x14ac:dyDescent="0.25">
      <c r="B1393" t="s">
        <v>429</v>
      </c>
    </row>
    <row r="1394" spans="2:2" x14ac:dyDescent="0.25">
      <c r="B1394" t="s">
        <v>430</v>
      </c>
    </row>
    <row r="1395" spans="2:2" x14ac:dyDescent="0.25">
      <c r="B1395" t="s">
        <v>431</v>
      </c>
    </row>
    <row r="1396" spans="2:2" x14ac:dyDescent="0.25">
      <c r="B1396" t="s">
        <v>432</v>
      </c>
    </row>
    <row r="1397" spans="2:2" x14ac:dyDescent="0.25">
      <c r="B1397" t="s">
        <v>433</v>
      </c>
    </row>
    <row r="1398" spans="2:2" x14ac:dyDescent="0.25">
      <c r="B1398" t="s">
        <v>434</v>
      </c>
    </row>
    <row r="1399" spans="2:2" x14ac:dyDescent="0.25">
      <c r="B1399" t="s">
        <v>435</v>
      </c>
    </row>
    <row r="1400" spans="2:2" x14ac:dyDescent="0.25">
      <c r="B1400" t="s">
        <v>436</v>
      </c>
    </row>
    <row r="1401" spans="2:2" x14ac:dyDescent="0.25">
      <c r="B1401" t="s">
        <v>437</v>
      </c>
    </row>
    <row r="1402" spans="2:2" x14ac:dyDescent="0.25">
      <c r="B1402" t="s">
        <v>438</v>
      </c>
    </row>
    <row r="1403" spans="2:2" x14ac:dyDescent="0.25">
      <c r="B1403" t="s">
        <v>439</v>
      </c>
    </row>
    <row r="1404" spans="2:2" x14ac:dyDescent="0.25">
      <c r="B1404" t="s">
        <v>440</v>
      </c>
    </row>
    <row r="1405" spans="2:2" x14ac:dyDescent="0.25">
      <c r="B1405" t="s">
        <v>441</v>
      </c>
    </row>
    <row r="1406" spans="2:2" x14ac:dyDescent="0.25">
      <c r="B1406" t="s">
        <v>442</v>
      </c>
    </row>
    <row r="1407" spans="2:2" x14ac:dyDescent="0.25">
      <c r="B1407" t="s">
        <v>443</v>
      </c>
    </row>
    <row r="1408" spans="2:2" x14ac:dyDescent="0.25">
      <c r="B1408" t="s">
        <v>444</v>
      </c>
    </row>
    <row r="1409" spans="2:2" x14ac:dyDescent="0.25">
      <c r="B1409" t="s">
        <v>445</v>
      </c>
    </row>
    <row r="1410" spans="2:2" x14ac:dyDescent="0.25">
      <c r="B1410" t="s">
        <v>446</v>
      </c>
    </row>
    <row r="1411" spans="2:2" x14ac:dyDescent="0.25">
      <c r="B1411" t="s">
        <v>447</v>
      </c>
    </row>
    <row r="1412" spans="2:2" x14ac:dyDescent="0.25">
      <c r="B1412" t="s">
        <v>448</v>
      </c>
    </row>
    <row r="1413" spans="2:2" x14ac:dyDescent="0.25">
      <c r="B1413" t="s">
        <v>449</v>
      </c>
    </row>
    <row r="1414" spans="2:2" x14ac:dyDescent="0.25">
      <c r="B1414" t="s">
        <v>450</v>
      </c>
    </row>
    <row r="1415" spans="2:2" x14ac:dyDescent="0.25">
      <c r="B1415" t="s">
        <v>451</v>
      </c>
    </row>
    <row r="1416" spans="2:2" x14ac:dyDescent="0.25">
      <c r="B1416" t="s">
        <v>452</v>
      </c>
    </row>
    <row r="1417" spans="2:2" x14ac:dyDescent="0.25">
      <c r="B1417" t="s">
        <v>453</v>
      </c>
    </row>
    <row r="1418" spans="2:2" x14ac:dyDescent="0.25">
      <c r="B1418" t="s">
        <v>454</v>
      </c>
    </row>
    <row r="1419" spans="2:2" x14ac:dyDescent="0.25">
      <c r="B1419" t="s">
        <v>455</v>
      </c>
    </row>
    <row r="1420" spans="2:2" x14ac:dyDescent="0.25">
      <c r="B1420" t="s">
        <v>456</v>
      </c>
    </row>
    <row r="1421" spans="2:2" x14ac:dyDescent="0.25">
      <c r="B1421" t="s">
        <v>457</v>
      </c>
    </row>
    <row r="1422" spans="2:2" x14ac:dyDescent="0.25">
      <c r="B1422" t="s">
        <v>458</v>
      </c>
    </row>
    <row r="1423" spans="2:2" x14ac:dyDescent="0.25">
      <c r="B1423" t="s">
        <v>459</v>
      </c>
    </row>
    <row r="1424" spans="2:2" x14ac:dyDescent="0.25">
      <c r="B1424" t="s">
        <v>460</v>
      </c>
    </row>
    <row r="1425" spans="2:2" x14ac:dyDescent="0.25">
      <c r="B1425" t="s">
        <v>461</v>
      </c>
    </row>
    <row r="1426" spans="2:2" x14ac:dyDescent="0.25">
      <c r="B1426" t="s">
        <v>462</v>
      </c>
    </row>
    <row r="1427" spans="2:2" x14ac:dyDescent="0.25">
      <c r="B1427" t="s">
        <v>463</v>
      </c>
    </row>
    <row r="1428" spans="2:2" x14ac:dyDescent="0.25">
      <c r="B1428" t="s">
        <v>464</v>
      </c>
    </row>
    <row r="1429" spans="2:2" x14ac:dyDescent="0.25">
      <c r="B1429" t="s">
        <v>465</v>
      </c>
    </row>
    <row r="1430" spans="2:2" x14ac:dyDescent="0.25">
      <c r="B1430" t="s">
        <v>466</v>
      </c>
    </row>
    <row r="1431" spans="2:2" x14ac:dyDescent="0.25">
      <c r="B1431" t="s">
        <v>467</v>
      </c>
    </row>
    <row r="1432" spans="2:2" x14ac:dyDescent="0.25">
      <c r="B1432" t="s">
        <v>468</v>
      </c>
    </row>
    <row r="1433" spans="2:2" x14ac:dyDescent="0.25">
      <c r="B1433" t="s">
        <v>469</v>
      </c>
    </row>
    <row r="1434" spans="2:2" x14ac:dyDescent="0.25">
      <c r="B1434" t="s">
        <v>470</v>
      </c>
    </row>
    <row r="1435" spans="2:2" x14ac:dyDescent="0.25">
      <c r="B1435" t="s">
        <v>471</v>
      </c>
    </row>
    <row r="1436" spans="2:2" x14ac:dyDescent="0.25">
      <c r="B1436" t="s">
        <v>472</v>
      </c>
    </row>
    <row r="1437" spans="2:2" x14ac:dyDescent="0.25">
      <c r="B1437" t="s">
        <v>473</v>
      </c>
    </row>
    <row r="1438" spans="2:2" x14ac:dyDescent="0.25">
      <c r="B1438" t="s">
        <v>475</v>
      </c>
    </row>
    <row r="1439" spans="2:2" x14ac:dyDescent="0.25">
      <c r="B1439" t="s">
        <v>476</v>
      </c>
    </row>
    <row r="1440" spans="2:2" x14ac:dyDescent="0.25">
      <c r="B1440" t="s">
        <v>477</v>
      </c>
    </row>
    <row r="1441" spans="2:2" x14ac:dyDescent="0.25">
      <c r="B1441" t="s">
        <v>478</v>
      </c>
    </row>
    <row r="1442" spans="2:2" x14ac:dyDescent="0.25">
      <c r="B1442" t="s">
        <v>479</v>
      </c>
    </row>
    <row r="1443" spans="2:2" x14ac:dyDescent="0.25">
      <c r="B1443" t="s">
        <v>480</v>
      </c>
    </row>
    <row r="1444" spans="2:2" x14ac:dyDescent="0.25">
      <c r="B1444" t="s">
        <v>481</v>
      </c>
    </row>
    <row r="1445" spans="2:2" x14ac:dyDescent="0.25">
      <c r="B1445" t="s">
        <v>482</v>
      </c>
    </row>
    <row r="1446" spans="2:2" x14ac:dyDescent="0.25">
      <c r="B1446" t="s">
        <v>483</v>
      </c>
    </row>
    <row r="1447" spans="2:2" x14ac:dyDescent="0.25">
      <c r="B1447" t="s">
        <v>484</v>
      </c>
    </row>
    <row r="1448" spans="2:2" x14ac:dyDescent="0.25">
      <c r="B1448" t="s">
        <v>485</v>
      </c>
    </row>
    <row r="1449" spans="2:2" x14ac:dyDescent="0.25">
      <c r="B1449" t="s">
        <v>486</v>
      </c>
    </row>
    <row r="1450" spans="2:2" x14ac:dyDescent="0.25">
      <c r="B1450" t="s">
        <v>487</v>
      </c>
    </row>
    <row r="1451" spans="2:2" x14ac:dyDescent="0.25">
      <c r="B1451" t="s">
        <v>488</v>
      </c>
    </row>
    <row r="1452" spans="2:2" x14ac:dyDescent="0.25">
      <c r="B1452" t="s">
        <v>489</v>
      </c>
    </row>
    <row r="1453" spans="2:2" x14ac:dyDescent="0.25">
      <c r="B1453" t="s">
        <v>490</v>
      </c>
    </row>
    <row r="1454" spans="2:2" x14ac:dyDescent="0.25">
      <c r="B1454" t="s">
        <v>491</v>
      </c>
    </row>
    <row r="1455" spans="2:2" x14ac:dyDescent="0.25">
      <c r="B1455" t="s">
        <v>492</v>
      </c>
    </row>
    <row r="1456" spans="2:2" x14ac:dyDescent="0.25">
      <c r="B1456" t="s">
        <v>493</v>
      </c>
    </row>
    <row r="1457" spans="2:2" x14ac:dyDescent="0.25">
      <c r="B1457" t="s">
        <v>494</v>
      </c>
    </row>
    <row r="1458" spans="2:2" x14ac:dyDescent="0.25">
      <c r="B1458" t="s">
        <v>495</v>
      </c>
    </row>
    <row r="1459" spans="2:2" x14ac:dyDescent="0.25">
      <c r="B1459" t="s">
        <v>511</v>
      </c>
    </row>
    <row r="1460" spans="2:2" x14ac:dyDescent="0.25">
      <c r="B1460" t="s">
        <v>512</v>
      </c>
    </row>
    <row r="1461" spans="2:2" x14ac:dyDescent="0.25">
      <c r="B1461" t="s">
        <v>428</v>
      </c>
    </row>
    <row r="1462" spans="2:2" x14ac:dyDescent="0.25">
      <c r="B1462" t="s">
        <v>3</v>
      </c>
    </row>
    <row r="1463" spans="2:2" x14ac:dyDescent="0.25">
      <c r="B1463" t="s">
        <v>4</v>
      </c>
    </row>
    <row r="1464" spans="2:2" x14ac:dyDescent="0.25">
      <c r="B1464" t="s">
        <v>5</v>
      </c>
    </row>
    <row r="1465" spans="2:2" x14ac:dyDescent="0.25">
      <c r="B1465" t="s">
        <v>156</v>
      </c>
    </row>
    <row r="1466" spans="2:2" x14ac:dyDescent="0.25">
      <c r="B1466" t="s">
        <v>397</v>
      </c>
    </row>
    <row r="1467" spans="2:2" x14ac:dyDescent="0.25">
      <c r="B1467" t="s">
        <v>157</v>
      </c>
    </row>
    <row r="1468" spans="2:2" x14ac:dyDescent="0.25">
      <c r="B1468" t="s">
        <v>429</v>
      </c>
    </row>
    <row r="1469" spans="2:2" x14ac:dyDescent="0.25">
      <c r="B1469" t="s">
        <v>159</v>
      </c>
    </row>
    <row r="1470" spans="2:2" x14ac:dyDescent="0.25">
      <c r="B1470" t="s">
        <v>17</v>
      </c>
    </row>
    <row r="1471" spans="2:2" x14ac:dyDescent="0.25">
      <c r="B1471" t="s">
        <v>18</v>
      </c>
    </row>
    <row r="1472" spans="2:2" x14ac:dyDescent="0.25">
      <c r="B1472" t="s">
        <v>163</v>
      </c>
    </row>
    <row r="1473" spans="2:2" x14ac:dyDescent="0.25">
      <c r="B1473" t="s">
        <v>63</v>
      </c>
    </row>
    <row r="1474" spans="2:2" x14ac:dyDescent="0.25">
      <c r="B1474" t="s">
        <v>367</v>
      </c>
    </row>
    <row r="1475" spans="2:2" x14ac:dyDescent="0.25">
      <c r="B1475" t="s">
        <v>368</v>
      </c>
    </row>
    <row r="1476" spans="2:2" x14ac:dyDescent="0.25">
      <c r="B1476" t="s">
        <v>369</v>
      </c>
    </row>
    <row r="1477" spans="2:2" x14ac:dyDescent="0.25">
      <c r="B1477" t="s">
        <v>430</v>
      </c>
    </row>
    <row r="1478" spans="2:2" x14ac:dyDescent="0.25">
      <c r="B1478" t="s">
        <v>19</v>
      </c>
    </row>
    <row r="1479" spans="2:2" x14ac:dyDescent="0.25">
      <c r="B1479" t="s">
        <v>431</v>
      </c>
    </row>
    <row r="1480" spans="2:2" x14ac:dyDescent="0.25">
      <c r="B1480" t="s">
        <v>165</v>
      </c>
    </row>
    <row r="1481" spans="2:2" x14ac:dyDescent="0.25">
      <c r="B1481" t="s">
        <v>432</v>
      </c>
    </row>
    <row r="1482" spans="2:2" x14ac:dyDescent="0.25">
      <c r="B1482" t="s">
        <v>74</v>
      </c>
    </row>
    <row r="1483" spans="2:2" x14ac:dyDescent="0.25">
      <c r="B1483" t="s">
        <v>433</v>
      </c>
    </row>
    <row r="1484" spans="2:2" x14ac:dyDescent="0.25">
      <c r="B1484" t="s">
        <v>434</v>
      </c>
    </row>
    <row r="1485" spans="2:2" x14ac:dyDescent="0.25">
      <c r="B1485" t="s">
        <v>370</v>
      </c>
    </row>
    <row r="1486" spans="2:2" x14ac:dyDescent="0.25">
      <c r="B1486" t="s">
        <v>168</v>
      </c>
    </row>
    <row r="1487" spans="2:2" x14ac:dyDescent="0.25">
      <c r="B1487" t="s">
        <v>6</v>
      </c>
    </row>
    <row r="1488" spans="2:2" x14ac:dyDescent="0.25">
      <c r="B1488" t="s">
        <v>435</v>
      </c>
    </row>
    <row r="1489" spans="2:2" x14ac:dyDescent="0.25">
      <c r="B1489" t="s">
        <v>436</v>
      </c>
    </row>
    <row r="1490" spans="2:2" x14ac:dyDescent="0.25">
      <c r="B1490" t="s">
        <v>371</v>
      </c>
    </row>
    <row r="1491" spans="2:2" x14ac:dyDescent="0.25">
      <c r="B1491" t="s">
        <v>437</v>
      </c>
    </row>
    <row r="1492" spans="2:2" x14ac:dyDescent="0.25">
      <c r="B1492" t="s">
        <v>170</v>
      </c>
    </row>
    <row r="1493" spans="2:2" x14ac:dyDescent="0.25">
      <c r="B1493" t="s">
        <v>171</v>
      </c>
    </row>
    <row r="1494" spans="2:2" x14ac:dyDescent="0.25">
      <c r="B1494" t="s">
        <v>172</v>
      </c>
    </row>
    <row r="1495" spans="2:2" x14ac:dyDescent="0.25">
      <c r="B1495" t="s">
        <v>106</v>
      </c>
    </row>
    <row r="1496" spans="2:2" x14ac:dyDescent="0.25">
      <c r="B1496" t="s">
        <v>173</v>
      </c>
    </row>
    <row r="1497" spans="2:2" x14ac:dyDescent="0.25">
      <c r="B1497" t="s">
        <v>20</v>
      </c>
    </row>
    <row r="1498" spans="2:2" x14ac:dyDescent="0.25">
      <c r="B1498" t="s">
        <v>174</v>
      </c>
    </row>
    <row r="1499" spans="2:2" x14ac:dyDescent="0.25">
      <c r="B1499" t="s">
        <v>438</v>
      </c>
    </row>
    <row r="1500" spans="2:2" x14ac:dyDescent="0.25">
      <c r="B1500" t="s">
        <v>176</v>
      </c>
    </row>
    <row r="1501" spans="2:2" x14ac:dyDescent="0.25">
      <c r="B1501" t="s">
        <v>439</v>
      </c>
    </row>
    <row r="1502" spans="2:2" x14ac:dyDescent="0.25">
      <c r="B1502" t="s">
        <v>440</v>
      </c>
    </row>
    <row r="1503" spans="2:2" x14ac:dyDescent="0.25">
      <c r="B1503" t="s">
        <v>441</v>
      </c>
    </row>
    <row r="1504" spans="2:2" x14ac:dyDescent="0.25">
      <c r="B1504" t="s">
        <v>178</v>
      </c>
    </row>
    <row r="1505" spans="2:2" x14ac:dyDescent="0.25">
      <c r="B1505" t="s">
        <v>21</v>
      </c>
    </row>
    <row r="1506" spans="2:2" x14ac:dyDescent="0.25">
      <c r="B1506" t="s">
        <v>372</v>
      </c>
    </row>
    <row r="1507" spans="2:2" x14ac:dyDescent="0.25">
      <c r="B1507" t="s">
        <v>181</v>
      </c>
    </row>
    <row r="1508" spans="2:2" x14ac:dyDescent="0.25">
      <c r="B1508" t="s">
        <v>108</v>
      </c>
    </row>
    <row r="1509" spans="2:2" x14ac:dyDescent="0.25">
      <c r="B1509" t="s">
        <v>184</v>
      </c>
    </row>
    <row r="1510" spans="2:2" x14ac:dyDescent="0.25">
      <c r="B1510" t="s">
        <v>442</v>
      </c>
    </row>
    <row r="1511" spans="2:2" x14ac:dyDescent="0.25">
      <c r="B1511" t="s">
        <v>187</v>
      </c>
    </row>
    <row r="1512" spans="2:2" x14ac:dyDescent="0.25">
      <c r="B1512" t="s">
        <v>188</v>
      </c>
    </row>
    <row r="1513" spans="2:2" x14ac:dyDescent="0.25">
      <c r="B1513" t="s">
        <v>109</v>
      </c>
    </row>
    <row r="1514" spans="2:2" x14ac:dyDescent="0.25">
      <c r="B1514" t="s">
        <v>190</v>
      </c>
    </row>
    <row r="1515" spans="2:2" x14ac:dyDescent="0.25">
      <c r="B1515" t="s">
        <v>191</v>
      </c>
    </row>
    <row r="1516" spans="2:2" x14ac:dyDescent="0.25">
      <c r="B1516" t="s">
        <v>192</v>
      </c>
    </row>
    <row r="1517" spans="2:2" x14ac:dyDescent="0.25">
      <c r="B1517" t="s">
        <v>111</v>
      </c>
    </row>
    <row r="1518" spans="2:2" x14ac:dyDescent="0.25">
      <c r="B1518" t="s">
        <v>22</v>
      </c>
    </row>
    <row r="1519" spans="2:2" x14ac:dyDescent="0.25">
      <c r="B1519" t="s">
        <v>23</v>
      </c>
    </row>
    <row r="1520" spans="2:2" x14ac:dyDescent="0.25">
      <c r="B1520" t="s">
        <v>7</v>
      </c>
    </row>
    <row r="1521" spans="2:2" x14ac:dyDescent="0.25">
      <c r="B1521" t="s">
        <v>198</v>
      </c>
    </row>
    <row r="1522" spans="2:2" x14ac:dyDescent="0.25">
      <c r="B1522" t="s">
        <v>112</v>
      </c>
    </row>
    <row r="1523" spans="2:2" x14ac:dyDescent="0.25">
      <c r="B1523" t="s">
        <v>199</v>
      </c>
    </row>
    <row r="1524" spans="2:2" x14ac:dyDescent="0.25">
      <c r="B1524" t="s">
        <v>200</v>
      </c>
    </row>
    <row r="1525" spans="2:2" x14ac:dyDescent="0.25">
      <c r="B1525" t="s">
        <v>202</v>
      </c>
    </row>
    <row r="1526" spans="2:2" x14ac:dyDescent="0.25">
      <c r="B1526" t="s">
        <v>204</v>
      </c>
    </row>
    <row r="1527" spans="2:2" x14ac:dyDescent="0.25">
      <c r="B1527" t="s">
        <v>76</v>
      </c>
    </row>
    <row r="1528" spans="2:2" x14ac:dyDescent="0.25">
      <c r="B1528" t="s">
        <v>205</v>
      </c>
    </row>
    <row r="1529" spans="2:2" x14ac:dyDescent="0.25">
      <c r="B1529" t="s">
        <v>443</v>
      </c>
    </row>
    <row r="1530" spans="2:2" x14ac:dyDescent="0.25">
      <c r="B1530" t="s">
        <v>206</v>
      </c>
    </row>
    <row r="1531" spans="2:2" x14ac:dyDescent="0.25">
      <c r="B1531" t="s">
        <v>24</v>
      </c>
    </row>
    <row r="1532" spans="2:2" x14ac:dyDescent="0.25">
      <c r="B1532" t="s">
        <v>373</v>
      </c>
    </row>
    <row r="1533" spans="2:2" x14ac:dyDescent="0.25">
      <c r="B1533" t="s">
        <v>25</v>
      </c>
    </row>
    <row r="1534" spans="2:2" x14ac:dyDescent="0.25">
      <c r="B1534" t="s">
        <v>207</v>
      </c>
    </row>
    <row r="1535" spans="2:2" x14ac:dyDescent="0.25">
      <c r="B1535" t="s">
        <v>374</v>
      </c>
    </row>
    <row r="1536" spans="2:2" x14ac:dyDescent="0.25">
      <c r="B1536" t="s">
        <v>77</v>
      </c>
    </row>
    <row r="1537" spans="2:2" x14ac:dyDescent="0.25">
      <c r="B1537" t="s">
        <v>444</v>
      </c>
    </row>
    <row r="1538" spans="2:2" x14ac:dyDescent="0.25">
      <c r="B1538" t="s">
        <v>445</v>
      </c>
    </row>
    <row r="1539" spans="2:2" x14ac:dyDescent="0.25">
      <c r="B1539" t="s">
        <v>26</v>
      </c>
    </row>
    <row r="1540" spans="2:2" x14ac:dyDescent="0.25">
      <c r="B1540" t="s">
        <v>446</v>
      </c>
    </row>
    <row r="1541" spans="2:2" x14ac:dyDescent="0.25">
      <c r="B1541" t="s">
        <v>209</v>
      </c>
    </row>
    <row r="1542" spans="2:2" x14ac:dyDescent="0.25">
      <c r="B1542" t="s">
        <v>447</v>
      </c>
    </row>
    <row r="1543" spans="2:2" x14ac:dyDescent="0.25">
      <c r="B1543" t="s">
        <v>78</v>
      </c>
    </row>
    <row r="1544" spans="2:2" x14ac:dyDescent="0.25">
      <c r="B1544" t="s">
        <v>210</v>
      </c>
    </row>
    <row r="1545" spans="2:2" x14ac:dyDescent="0.25">
      <c r="B1545" t="s">
        <v>211</v>
      </c>
    </row>
    <row r="1546" spans="2:2" x14ac:dyDescent="0.25">
      <c r="B1546" t="s">
        <v>213</v>
      </c>
    </row>
    <row r="1547" spans="2:2" x14ac:dyDescent="0.25">
      <c r="B1547" t="s">
        <v>113</v>
      </c>
    </row>
    <row r="1548" spans="2:2" x14ac:dyDescent="0.25">
      <c r="B1548" t="s">
        <v>214</v>
      </c>
    </row>
    <row r="1549" spans="2:2" x14ac:dyDescent="0.25">
      <c r="B1549" t="s">
        <v>448</v>
      </c>
    </row>
    <row r="1550" spans="2:2" x14ac:dyDescent="0.25">
      <c r="B1550" t="s">
        <v>216</v>
      </c>
    </row>
    <row r="1551" spans="2:2" x14ac:dyDescent="0.25">
      <c r="B1551" t="s">
        <v>217</v>
      </c>
    </row>
    <row r="1552" spans="2:2" x14ac:dyDescent="0.25">
      <c r="B1552" t="s">
        <v>218</v>
      </c>
    </row>
    <row r="1553" spans="2:2" x14ac:dyDescent="0.25">
      <c r="B1553" t="s">
        <v>8</v>
      </c>
    </row>
    <row r="1554" spans="2:2" x14ac:dyDescent="0.25">
      <c r="B1554" t="s">
        <v>398</v>
      </c>
    </row>
    <row r="1555" spans="2:2" x14ac:dyDescent="0.25">
      <c r="B1555" t="s">
        <v>219</v>
      </c>
    </row>
    <row r="1556" spans="2:2" x14ac:dyDescent="0.25">
      <c r="B1556" t="s">
        <v>221</v>
      </c>
    </row>
    <row r="1557" spans="2:2" x14ac:dyDescent="0.25">
      <c r="B1557" t="s">
        <v>222</v>
      </c>
    </row>
    <row r="1558" spans="2:2" x14ac:dyDescent="0.25">
      <c r="B1558" t="s">
        <v>375</v>
      </c>
    </row>
    <row r="1559" spans="2:2" x14ac:dyDescent="0.25">
      <c r="B1559" t="s">
        <v>27</v>
      </c>
    </row>
    <row r="1560" spans="2:2" x14ac:dyDescent="0.25">
      <c r="B1560" t="s">
        <v>449</v>
      </c>
    </row>
    <row r="1561" spans="2:2" x14ac:dyDescent="0.25">
      <c r="B1561" t="s">
        <v>224</v>
      </c>
    </row>
    <row r="1562" spans="2:2" x14ac:dyDescent="0.25">
      <c r="B1562" t="s">
        <v>116</v>
      </c>
    </row>
    <row r="1563" spans="2:2" x14ac:dyDescent="0.25">
      <c r="B1563" t="s">
        <v>450</v>
      </c>
    </row>
    <row r="1564" spans="2:2" x14ac:dyDescent="0.25">
      <c r="B1564" t="s">
        <v>226</v>
      </c>
    </row>
    <row r="1565" spans="2:2" x14ac:dyDescent="0.25">
      <c r="B1565" t="s">
        <v>79</v>
      </c>
    </row>
    <row r="1566" spans="2:2" x14ac:dyDescent="0.25">
      <c r="B1566" t="s">
        <v>118</v>
      </c>
    </row>
    <row r="1567" spans="2:2" x14ac:dyDescent="0.25">
      <c r="B1567" t="s">
        <v>9</v>
      </c>
    </row>
    <row r="1568" spans="2:2" x14ac:dyDescent="0.25">
      <c r="B1568" t="s">
        <v>228</v>
      </c>
    </row>
    <row r="1569" spans="2:2" x14ac:dyDescent="0.25">
      <c r="B1569" t="s">
        <v>229</v>
      </c>
    </row>
    <row r="1570" spans="2:2" x14ac:dyDescent="0.25">
      <c r="B1570" t="s">
        <v>451</v>
      </c>
    </row>
    <row r="1571" spans="2:2" x14ac:dyDescent="0.25">
      <c r="B1571" t="s">
        <v>119</v>
      </c>
    </row>
    <row r="1572" spans="2:2" x14ac:dyDescent="0.25">
      <c r="B1572" t="s">
        <v>230</v>
      </c>
    </row>
    <row r="1573" spans="2:2" x14ac:dyDescent="0.25">
      <c r="B1573" t="s">
        <v>452</v>
      </c>
    </row>
    <row r="1574" spans="2:2" x14ac:dyDescent="0.25">
      <c r="B1574" t="s">
        <v>453</v>
      </c>
    </row>
    <row r="1575" spans="2:2" x14ac:dyDescent="0.25">
      <c r="B1575" t="s">
        <v>231</v>
      </c>
    </row>
    <row r="1576" spans="2:2" x14ac:dyDescent="0.25">
      <c r="B1576" t="s">
        <v>454</v>
      </c>
    </row>
    <row r="1577" spans="2:2" x14ac:dyDescent="0.25">
      <c r="B1577" t="s">
        <v>28</v>
      </c>
    </row>
    <row r="1578" spans="2:2" x14ac:dyDescent="0.25">
      <c r="B1578" t="s">
        <v>232</v>
      </c>
    </row>
    <row r="1579" spans="2:2" x14ac:dyDescent="0.25">
      <c r="B1579" t="s">
        <v>233</v>
      </c>
    </row>
    <row r="1580" spans="2:2" x14ac:dyDescent="0.25">
      <c r="B1580" t="s">
        <v>80</v>
      </c>
    </row>
    <row r="1581" spans="2:2" x14ac:dyDescent="0.25">
      <c r="B1581" t="s">
        <v>29</v>
      </c>
    </row>
    <row r="1582" spans="2:2" x14ac:dyDescent="0.25">
      <c r="B1582" t="s">
        <v>120</v>
      </c>
    </row>
    <row r="1583" spans="2:2" x14ac:dyDescent="0.25">
      <c r="B1583" t="s">
        <v>455</v>
      </c>
    </row>
    <row r="1584" spans="2:2" x14ac:dyDescent="0.25">
      <c r="B1584" t="s">
        <v>81</v>
      </c>
    </row>
    <row r="1585" spans="2:2" x14ac:dyDescent="0.25">
      <c r="B1585" t="s">
        <v>30</v>
      </c>
    </row>
    <row r="1586" spans="2:2" x14ac:dyDescent="0.25">
      <c r="B1586" t="s">
        <v>234</v>
      </c>
    </row>
    <row r="1587" spans="2:2" x14ac:dyDescent="0.25">
      <c r="B1587" t="s">
        <v>31</v>
      </c>
    </row>
    <row r="1588" spans="2:2" x14ac:dyDescent="0.25">
      <c r="B1588" t="s">
        <v>456</v>
      </c>
    </row>
    <row r="1589" spans="2:2" x14ac:dyDescent="0.25">
      <c r="B1589" t="s">
        <v>235</v>
      </c>
    </row>
    <row r="1590" spans="2:2" x14ac:dyDescent="0.25">
      <c r="B1590" t="s">
        <v>457</v>
      </c>
    </row>
    <row r="1591" spans="2:2" x14ac:dyDescent="0.25">
      <c r="B1591" t="s">
        <v>458</v>
      </c>
    </row>
    <row r="1592" spans="2:2" x14ac:dyDescent="0.25">
      <c r="B1592" t="s">
        <v>32</v>
      </c>
    </row>
    <row r="1593" spans="2:2" x14ac:dyDescent="0.25">
      <c r="B1593" t="s">
        <v>459</v>
      </c>
    </row>
    <row r="1594" spans="2:2" x14ac:dyDescent="0.25">
      <c r="B1594" t="s">
        <v>237</v>
      </c>
    </row>
    <row r="1595" spans="2:2" x14ac:dyDescent="0.25">
      <c r="B1595" t="s">
        <v>238</v>
      </c>
    </row>
    <row r="1596" spans="2:2" x14ac:dyDescent="0.25">
      <c r="B1596" t="s">
        <v>240</v>
      </c>
    </row>
    <row r="1597" spans="2:2" x14ac:dyDescent="0.25">
      <c r="B1597" t="s">
        <v>460</v>
      </c>
    </row>
    <row r="1598" spans="2:2" x14ac:dyDescent="0.25">
      <c r="B1598" t="s">
        <v>82</v>
      </c>
    </row>
    <row r="1599" spans="2:2" x14ac:dyDescent="0.25">
      <c r="B1599" t="s">
        <v>243</v>
      </c>
    </row>
    <row r="1600" spans="2:2" x14ac:dyDescent="0.25">
      <c r="B1600" t="s">
        <v>244</v>
      </c>
    </row>
    <row r="1601" spans="2:2" x14ac:dyDescent="0.25">
      <c r="B1601" t="s">
        <v>123</v>
      </c>
    </row>
    <row r="1602" spans="2:2" x14ac:dyDescent="0.25">
      <c r="B1602" t="s">
        <v>124</v>
      </c>
    </row>
    <row r="1603" spans="2:2" x14ac:dyDescent="0.25">
      <c r="B1603" t="s">
        <v>461</v>
      </c>
    </row>
    <row r="1604" spans="2:2" x14ac:dyDescent="0.25">
      <c r="B1604" t="s">
        <v>424</v>
      </c>
    </row>
    <row r="1605" spans="2:2" x14ac:dyDescent="0.25">
      <c r="B1605" t="s">
        <v>126</v>
      </c>
    </row>
    <row r="1606" spans="2:2" x14ac:dyDescent="0.25">
      <c r="B1606" t="s">
        <v>248</v>
      </c>
    </row>
    <row r="1607" spans="2:2" x14ac:dyDescent="0.25">
      <c r="B1607" t="s">
        <v>378</v>
      </c>
    </row>
    <row r="1608" spans="2:2" x14ac:dyDescent="0.25">
      <c r="B1608" t="s">
        <v>399</v>
      </c>
    </row>
    <row r="1609" spans="2:2" x14ac:dyDescent="0.25">
      <c r="B1609" t="s">
        <v>379</v>
      </c>
    </row>
    <row r="1610" spans="2:2" x14ac:dyDescent="0.25">
      <c r="B1610" t="s">
        <v>65</v>
      </c>
    </row>
    <row r="1611" spans="2:2" x14ac:dyDescent="0.25">
      <c r="B1611" t="s">
        <v>380</v>
      </c>
    </row>
    <row r="1612" spans="2:2" x14ac:dyDescent="0.25">
      <c r="B1612" t="s">
        <v>381</v>
      </c>
    </row>
    <row r="1613" spans="2:2" x14ac:dyDescent="0.25">
      <c r="B1613" t="s">
        <v>33</v>
      </c>
    </row>
    <row r="1614" spans="2:2" x14ac:dyDescent="0.25">
      <c r="B1614" t="s">
        <v>34</v>
      </c>
    </row>
    <row r="1615" spans="2:2" x14ac:dyDescent="0.25">
      <c r="B1615" t="s">
        <v>249</v>
      </c>
    </row>
    <row r="1616" spans="2:2" x14ac:dyDescent="0.25">
      <c r="B1616" t="s">
        <v>83</v>
      </c>
    </row>
    <row r="1617" spans="2:2" x14ac:dyDescent="0.25">
      <c r="B1617" t="s">
        <v>252</v>
      </c>
    </row>
    <row r="1618" spans="2:2" x14ac:dyDescent="0.25">
      <c r="B1618" t="s">
        <v>35</v>
      </c>
    </row>
    <row r="1619" spans="2:2" x14ac:dyDescent="0.25">
      <c r="B1619" t="s">
        <v>131</v>
      </c>
    </row>
    <row r="1620" spans="2:2" x14ac:dyDescent="0.25">
      <c r="B1620" t="s">
        <v>36</v>
      </c>
    </row>
    <row r="1621" spans="2:2" x14ac:dyDescent="0.25">
      <c r="B1621" t="s">
        <v>462</v>
      </c>
    </row>
    <row r="1622" spans="2:2" x14ac:dyDescent="0.25">
      <c r="B1622" t="s">
        <v>425</v>
      </c>
    </row>
    <row r="1623" spans="2:2" x14ac:dyDescent="0.25">
      <c r="B1623" t="s">
        <v>463</v>
      </c>
    </row>
    <row r="1624" spans="2:2" x14ac:dyDescent="0.25">
      <c r="B1624" t="s">
        <v>464</v>
      </c>
    </row>
    <row r="1625" spans="2:2" x14ac:dyDescent="0.25">
      <c r="B1625" t="s">
        <v>37</v>
      </c>
    </row>
    <row r="1626" spans="2:2" x14ac:dyDescent="0.25">
      <c r="B1626" t="s">
        <v>465</v>
      </c>
    </row>
    <row r="1627" spans="2:2" x14ac:dyDescent="0.25">
      <c r="B1627" t="s">
        <v>38</v>
      </c>
    </row>
    <row r="1628" spans="2:2" x14ac:dyDescent="0.25">
      <c r="B1628" t="s">
        <v>466</v>
      </c>
    </row>
    <row r="1629" spans="2:2" x14ac:dyDescent="0.25">
      <c r="B1629" t="s">
        <v>255</v>
      </c>
    </row>
    <row r="1630" spans="2:2" x14ac:dyDescent="0.25">
      <c r="B1630" t="s">
        <v>84</v>
      </c>
    </row>
    <row r="1631" spans="2:2" x14ac:dyDescent="0.25">
      <c r="B1631" t="s">
        <v>135</v>
      </c>
    </row>
    <row r="1632" spans="2:2" x14ac:dyDescent="0.25">
      <c r="B1632" t="s">
        <v>85</v>
      </c>
    </row>
    <row r="1633" spans="2:2" x14ac:dyDescent="0.25">
      <c r="B1633" t="s">
        <v>383</v>
      </c>
    </row>
    <row r="1634" spans="2:2" x14ac:dyDescent="0.25">
      <c r="B1634" t="s">
        <v>384</v>
      </c>
    </row>
    <row r="1635" spans="2:2" x14ac:dyDescent="0.25">
      <c r="B1635" t="s">
        <v>257</v>
      </c>
    </row>
    <row r="1636" spans="2:2" x14ac:dyDescent="0.25">
      <c r="B1636" t="s">
        <v>258</v>
      </c>
    </row>
    <row r="1637" spans="2:2" x14ac:dyDescent="0.25">
      <c r="B1637" t="s">
        <v>261</v>
      </c>
    </row>
    <row r="1638" spans="2:2" x14ac:dyDescent="0.25">
      <c r="B1638" t="s">
        <v>412</v>
      </c>
    </row>
    <row r="1639" spans="2:2" x14ac:dyDescent="0.25">
      <c r="B1639" t="s">
        <v>263</v>
      </c>
    </row>
    <row r="1640" spans="2:2" x14ac:dyDescent="0.25">
      <c r="B1640" t="s">
        <v>265</v>
      </c>
    </row>
    <row r="1641" spans="2:2" x14ac:dyDescent="0.25">
      <c r="B1641" t="s">
        <v>266</v>
      </c>
    </row>
    <row r="1642" spans="2:2" x14ac:dyDescent="0.25">
      <c r="B1642" t="s">
        <v>467</v>
      </c>
    </row>
    <row r="1643" spans="2:2" x14ac:dyDescent="0.25">
      <c r="B1643" t="s">
        <v>385</v>
      </c>
    </row>
    <row r="1644" spans="2:2" x14ac:dyDescent="0.25">
      <c r="B1644" t="s">
        <v>267</v>
      </c>
    </row>
    <row r="1645" spans="2:2" x14ac:dyDescent="0.25">
      <c r="B1645" t="s">
        <v>468</v>
      </c>
    </row>
    <row r="1646" spans="2:2" x14ac:dyDescent="0.25">
      <c r="B1646" t="s">
        <v>269</v>
      </c>
    </row>
    <row r="1647" spans="2:2" x14ac:dyDescent="0.25">
      <c r="B1647" t="s">
        <v>39</v>
      </c>
    </row>
    <row r="1648" spans="2:2" x14ac:dyDescent="0.25">
      <c r="B1648" t="s">
        <v>67</v>
      </c>
    </row>
    <row r="1649" spans="2:2" x14ac:dyDescent="0.25">
      <c r="B1649" t="s">
        <v>86</v>
      </c>
    </row>
    <row r="1650" spans="2:2" x14ac:dyDescent="0.25">
      <c r="B1650" t="s">
        <v>271</v>
      </c>
    </row>
    <row r="1651" spans="2:2" x14ac:dyDescent="0.25">
      <c r="B1651" t="s">
        <v>469</v>
      </c>
    </row>
    <row r="1652" spans="2:2" x14ac:dyDescent="0.25">
      <c r="B1652" t="s">
        <v>40</v>
      </c>
    </row>
    <row r="1653" spans="2:2" x14ac:dyDescent="0.25">
      <c r="B1653" t="s">
        <v>137</v>
      </c>
    </row>
    <row r="1654" spans="2:2" x14ac:dyDescent="0.25">
      <c r="B1654" t="s">
        <v>87</v>
      </c>
    </row>
    <row r="1655" spans="2:2" x14ac:dyDescent="0.25">
      <c r="B1655" t="s">
        <v>88</v>
      </c>
    </row>
    <row r="1656" spans="2:2" x14ac:dyDescent="0.25">
      <c r="B1656" t="s">
        <v>386</v>
      </c>
    </row>
    <row r="1657" spans="2:2" x14ac:dyDescent="0.25">
      <c r="B1657" t="s">
        <v>470</v>
      </c>
    </row>
    <row r="1658" spans="2:2" x14ac:dyDescent="0.25">
      <c r="B1658" t="s">
        <v>471</v>
      </c>
    </row>
    <row r="1659" spans="2:2" x14ac:dyDescent="0.25">
      <c r="B1659" t="s">
        <v>41</v>
      </c>
    </row>
    <row r="1660" spans="2:2" x14ac:dyDescent="0.25">
      <c r="B1660" t="s">
        <v>472</v>
      </c>
    </row>
    <row r="1661" spans="2:2" x14ac:dyDescent="0.25">
      <c r="B1661" t="s">
        <v>42</v>
      </c>
    </row>
    <row r="1662" spans="2:2" x14ac:dyDescent="0.25">
      <c r="B1662" t="s">
        <v>43</v>
      </c>
    </row>
    <row r="1663" spans="2:2" x14ac:dyDescent="0.25">
      <c r="B1663" t="s">
        <v>138</v>
      </c>
    </row>
    <row r="1664" spans="2:2" x14ac:dyDescent="0.25">
      <c r="B1664" t="s">
        <v>473</v>
      </c>
    </row>
    <row r="1665" spans="2:2" x14ac:dyDescent="0.25">
      <c r="B1665" t="s">
        <v>276</v>
      </c>
    </row>
    <row r="1666" spans="2:2" x14ac:dyDescent="0.25">
      <c r="B1666" t="s">
        <v>90</v>
      </c>
    </row>
    <row r="1667" spans="2:2" x14ac:dyDescent="0.25">
      <c r="B1667" t="s">
        <v>140</v>
      </c>
    </row>
    <row r="1668" spans="2:2" x14ac:dyDescent="0.25">
      <c r="B1668" t="s">
        <v>474</v>
      </c>
    </row>
    <row r="1669" spans="2:2" x14ac:dyDescent="0.25">
      <c r="B1669" t="s">
        <v>10</v>
      </c>
    </row>
    <row r="1670" spans="2:2" x14ac:dyDescent="0.25">
      <c r="B1670" t="s">
        <v>280</v>
      </c>
    </row>
    <row r="1671" spans="2:2" x14ac:dyDescent="0.25">
      <c r="B1671" t="s">
        <v>141</v>
      </c>
    </row>
    <row r="1672" spans="2:2" x14ac:dyDescent="0.25">
      <c r="B1672" t="s">
        <v>475</v>
      </c>
    </row>
    <row r="1673" spans="2:2" x14ac:dyDescent="0.25">
      <c r="B1673" t="s">
        <v>476</v>
      </c>
    </row>
    <row r="1674" spans="2:2" x14ac:dyDescent="0.25">
      <c r="B1674" t="s">
        <v>11</v>
      </c>
    </row>
    <row r="1675" spans="2:2" x14ac:dyDescent="0.25">
      <c r="B1675" t="s">
        <v>282</v>
      </c>
    </row>
    <row r="1676" spans="2:2" x14ac:dyDescent="0.25">
      <c r="B1676" t="s">
        <v>401</v>
      </c>
    </row>
    <row r="1677" spans="2:2" x14ac:dyDescent="0.25">
      <c r="B1677" t="s">
        <v>387</v>
      </c>
    </row>
    <row r="1678" spans="2:2" x14ac:dyDescent="0.25">
      <c r="B1678" t="s">
        <v>477</v>
      </c>
    </row>
    <row r="1679" spans="2:2" x14ac:dyDescent="0.25">
      <c r="B1679" t="s">
        <v>44</v>
      </c>
    </row>
    <row r="1680" spans="2:2" x14ac:dyDescent="0.25">
      <c r="B1680" t="s">
        <v>68</v>
      </c>
    </row>
    <row r="1681" spans="2:2" x14ac:dyDescent="0.25">
      <c r="B1681" t="s">
        <v>45</v>
      </c>
    </row>
    <row r="1682" spans="2:2" x14ac:dyDescent="0.25">
      <c r="B1682" t="s">
        <v>402</v>
      </c>
    </row>
    <row r="1683" spans="2:2" x14ac:dyDescent="0.25">
      <c r="B1683" t="s">
        <v>478</v>
      </c>
    </row>
    <row r="1684" spans="2:2" x14ac:dyDescent="0.25">
      <c r="B1684" t="s">
        <v>479</v>
      </c>
    </row>
    <row r="1685" spans="2:2" x14ac:dyDescent="0.25">
      <c r="B1685" t="s">
        <v>480</v>
      </c>
    </row>
    <row r="1686" spans="2:2" x14ac:dyDescent="0.25">
      <c r="B1686" t="s">
        <v>46</v>
      </c>
    </row>
    <row r="1687" spans="2:2" x14ac:dyDescent="0.25">
      <c r="B1687" t="s">
        <v>47</v>
      </c>
    </row>
    <row r="1688" spans="2:2" x14ac:dyDescent="0.25">
      <c r="B1688" t="s">
        <v>48</v>
      </c>
    </row>
    <row r="1689" spans="2:2" x14ac:dyDescent="0.25">
      <c r="B1689" t="s">
        <v>12</v>
      </c>
    </row>
    <row r="1690" spans="2:2" x14ac:dyDescent="0.25">
      <c r="B1690" t="s">
        <v>49</v>
      </c>
    </row>
    <row r="1691" spans="2:2" x14ac:dyDescent="0.25">
      <c r="B1691" t="s">
        <v>388</v>
      </c>
    </row>
    <row r="1692" spans="2:2" x14ac:dyDescent="0.25">
      <c r="B1692" t="s">
        <v>389</v>
      </c>
    </row>
    <row r="1693" spans="2:2" x14ac:dyDescent="0.25">
      <c r="B1693" t="s">
        <v>50</v>
      </c>
    </row>
    <row r="1694" spans="2:2" x14ac:dyDescent="0.25">
      <c r="B1694" t="s">
        <v>353</v>
      </c>
    </row>
    <row r="1695" spans="2:2" x14ac:dyDescent="0.25">
      <c r="B1695" t="s">
        <v>92</v>
      </c>
    </row>
    <row r="1696" spans="2:2" x14ac:dyDescent="0.25">
      <c r="B1696" t="s">
        <v>481</v>
      </c>
    </row>
    <row r="1697" spans="2:2" x14ac:dyDescent="0.25">
      <c r="B1697" t="s">
        <v>13</v>
      </c>
    </row>
    <row r="1698" spans="2:2" x14ac:dyDescent="0.25">
      <c r="B1698" t="s">
        <v>403</v>
      </c>
    </row>
    <row r="1699" spans="2:2" x14ac:dyDescent="0.25">
      <c r="B1699" t="s">
        <v>289</v>
      </c>
    </row>
    <row r="1700" spans="2:2" x14ac:dyDescent="0.25">
      <c r="B1700" t="s">
        <v>290</v>
      </c>
    </row>
    <row r="1701" spans="2:2" x14ac:dyDescent="0.25">
      <c r="B1701" t="s">
        <v>51</v>
      </c>
    </row>
    <row r="1702" spans="2:2" x14ac:dyDescent="0.25">
      <c r="B1702" t="s">
        <v>52</v>
      </c>
    </row>
    <row r="1703" spans="2:2" x14ac:dyDescent="0.25">
      <c r="B1703" t="s">
        <v>482</v>
      </c>
    </row>
    <row r="1704" spans="2:2" x14ac:dyDescent="0.25">
      <c r="B1704" t="s">
        <v>291</v>
      </c>
    </row>
    <row r="1705" spans="2:2" x14ac:dyDescent="0.25">
      <c r="B1705" t="s">
        <v>93</v>
      </c>
    </row>
    <row r="1706" spans="2:2" x14ac:dyDescent="0.25">
      <c r="B1706" t="s">
        <v>294</v>
      </c>
    </row>
    <row r="1707" spans="2:2" x14ac:dyDescent="0.25">
      <c r="B1707" t="s">
        <v>390</v>
      </c>
    </row>
    <row r="1708" spans="2:2" x14ac:dyDescent="0.25">
      <c r="B1708" t="s">
        <v>391</v>
      </c>
    </row>
    <row r="1709" spans="2:2" x14ac:dyDescent="0.25">
      <c r="B1709" t="s">
        <v>392</v>
      </c>
    </row>
    <row r="1710" spans="2:2" x14ac:dyDescent="0.25">
      <c r="B1710" t="s">
        <v>53</v>
      </c>
    </row>
    <row r="1711" spans="2:2" x14ac:dyDescent="0.25">
      <c r="B1711" t="s">
        <v>54</v>
      </c>
    </row>
    <row r="1712" spans="2:2" x14ac:dyDescent="0.25">
      <c r="B1712" t="s">
        <v>296</v>
      </c>
    </row>
    <row r="1713" spans="2:2" x14ac:dyDescent="0.25">
      <c r="B1713" t="s">
        <v>483</v>
      </c>
    </row>
    <row r="1714" spans="2:2" x14ac:dyDescent="0.25">
      <c r="B1714" t="s">
        <v>142</v>
      </c>
    </row>
    <row r="1715" spans="2:2" x14ac:dyDescent="0.25">
      <c r="B1715" t="s">
        <v>143</v>
      </c>
    </row>
    <row r="1716" spans="2:2" x14ac:dyDescent="0.25">
      <c r="B1716" t="s">
        <v>94</v>
      </c>
    </row>
    <row r="1717" spans="2:2" x14ac:dyDescent="0.25">
      <c r="B1717" t="s">
        <v>484</v>
      </c>
    </row>
    <row r="1718" spans="2:2" x14ac:dyDescent="0.25">
      <c r="B1718" t="s">
        <v>299</v>
      </c>
    </row>
    <row r="1719" spans="2:2" x14ac:dyDescent="0.25">
      <c r="B1719" t="s">
        <v>300</v>
      </c>
    </row>
    <row r="1720" spans="2:2" x14ac:dyDescent="0.25">
      <c r="B1720" t="s">
        <v>301</v>
      </c>
    </row>
    <row r="1721" spans="2:2" x14ac:dyDescent="0.25">
      <c r="B1721" t="s">
        <v>302</v>
      </c>
    </row>
    <row r="1722" spans="2:2" x14ac:dyDescent="0.25">
      <c r="B1722" t="s">
        <v>426</v>
      </c>
    </row>
    <row r="1723" spans="2:2" x14ac:dyDescent="0.25">
      <c r="B1723" t="s">
        <v>485</v>
      </c>
    </row>
    <row r="1724" spans="2:2" x14ac:dyDescent="0.25">
      <c r="B1724" t="s">
        <v>486</v>
      </c>
    </row>
    <row r="1725" spans="2:2" x14ac:dyDescent="0.25">
      <c r="B1725" t="s">
        <v>393</v>
      </c>
    </row>
    <row r="1726" spans="2:2" x14ac:dyDescent="0.25">
      <c r="B1726" t="s">
        <v>303</v>
      </c>
    </row>
    <row r="1727" spans="2:2" x14ac:dyDescent="0.25">
      <c r="B1727" t="s">
        <v>96</v>
      </c>
    </row>
    <row r="1728" spans="2:2" x14ac:dyDescent="0.25">
      <c r="B1728" t="s">
        <v>146</v>
      </c>
    </row>
    <row r="1729" spans="2:2" x14ac:dyDescent="0.25">
      <c r="B1729" t="s">
        <v>55</v>
      </c>
    </row>
    <row r="1730" spans="2:2" x14ac:dyDescent="0.25">
      <c r="B1730" t="s">
        <v>487</v>
      </c>
    </row>
    <row r="1731" spans="2:2" x14ac:dyDescent="0.25">
      <c r="B1731" t="s">
        <v>488</v>
      </c>
    </row>
    <row r="1732" spans="2:2" x14ac:dyDescent="0.25">
      <c r="B1732" t="s">
        <v>394</v>
      </c>
    </row>
    <row r="1733" spans="2:2" x14ac:dyDescent="0.25">
      <c r="B1733" t="s">
        <v>56</v>
      </c>
    </row>
    <row r="1734" spans="2:2" x14ac:dyDescent="0.25">
      <c r="B1734" t="s">
        <v>308</v>
      </c>
    </row>
    <row r="1735" spans="2:2" x14ac:dyDescent="0.25">
      <c r="B1735" t="s">
        <v>489</v>
      </c>
    </row>
    <row r="1736" spans="2:2" x14ac:dyDescent="0.25">
      <c r="B1736" t="s">
        <v>57</v>
      </c>
    </row>
    <row r="1737" spans="2:2" x14ac:dyDescent="0.25">
      <c r="B1737" t="s">
        <v>490</v>
      </c>
    </row>
    <row r="1738" spans="2:2" x14ac:dyDescent="0.25">
      <c r="B1738" t="s">
        <v>58</v>
      </c>
    </row>
    <row r="1739" spans="2:2" x14ac:dyDescent="0.25">
      <c r="B1739" t="s">
        <v>59</v>
      </c>
    </row>
    <row r="1740" spans="2:2" x14ac:dyDescent="0.25">
      <c r="B1740" t="s">
        <v>404</v>
      </c>
    </row>
    <row r="1741" spans="2:2" x14ac:dyDescent="0.25">
      <c r="B1741" t="s">
        <v>97</v>
      </c>
    </row>
    <row r="1742" spans="2:2" x14ac:dyDescent="0.25">
      <c r="B1742" t="s">
        <v>310</v>
      </c>
    </row>
    <row r="1743" spans="2:2" x14ac:dyDescent="0.25">
      <c r="B1743" t="s">
        <v>311</v>
      </c>
    </row>
    <row r="1744" spans="2:2" x14ac:dyDescent="0.25">
      <c r="B1744" t="s">
        <v>312</v>
      </c>
    </row>
    <row r="1745" spans="2:2" x14ac:dyDescent="0.25">
      <c r="B1745" t="s">
        <v>491</v>
      </c>
    </row>
    <row r="1746" spans="2:2" x14ac:dyDescent="0.25">
      <c r="B1746" t="s">
        <v>314</v>
      </c>
    </row>
    <row r="1747" spans="2:2" x14ac:dyDescent="0.25">
      <c r="B1747" t="s">
        <v>316</v>
      </c>
    </row>
    <row r="1748" spans="2:2" x14ac:dyDescent="0.25">
      <c r="B1748" t="s">
        <v>14</v>
      </c>
    </row>
    <row r="1749" spans="2:2" x14ac:dyDescent="0.25">
      <c r="B1749" t="s">
        <v>318</v>
      </c>
    </row>
    <row r="1750" spans="2:2" x14ac:dyDescent="0.25">
      <c r="B1750" t="s">
        <v>319</v>
      </c>
    </row>
    <row r="1751" spans="2:2" x14ac:dyDescent="0.25">
      <c r="B1751" t="s">
        <v>492</v>
      </c>
    </row>
    <row r="1752" spans="2:2" x14ac:dyDescent="0.25">
      <c r="B1752" t="s">
        <v>362</v>
      </c>
    </row>
    <row r="1753" spans="2:2" x14ac:dyDescent="0.25">
      <c r="B1753" t="s">
        <v>493</v>
      </c>
    </row>
    <row r="1754" spans="2:2" x14ac:dyDescent="0.25">
      <c r="B1754" t="s">
        <v>60</v>
      </c>
    </row>
    <row r="1755" spans="2:2" x14ac:dyDescent="0.25">
      <c r="B1755" t="s">
        <v>61</v>
      </c>
    </row>
    <row r="1756" spans="2:2" x14ac:dyDescent="0.25">
      <c r="B1756" t="s">
        <v>494</v>
      </c>
    </row>
    <row r="1757" spans="2:2" x14ac:dyDescent="0.25">
      <c r="B1757" t="s">
        <v>147</v>
      </c>
    </row>
    <row r="1758" spans="2:2" x14ac:dyDescent="0.25">
      <c r="B1758" t="s">
        <v>15</v>
      </c>
    </row>
    <row r="1759" spans="2:2" x14ac:dyDescent="0.25">
      <c r="B1759" t="s">
        <v>326</v>
      </c>
    </row>
    <row r="1760" spans="2:2" x14ac:dyDescent="0.25">
      <c r="B1760" t="s">
        <v>327</v>
      </c>
    </row>
    <row r="1761" spans="2:2" x14ac:dyDescent="0.25">
      <c r="B1761" t="s">
        <v>495</v>
      </c>
    </row>
    <row r="1762" spans="2:2" x14ac:dyDescent="0.25">
      <c r="B1762" t="s">
        <v>513</v>
      </c>
    </row>
    <row r="1763" spans="2:2" x14ac:dyDescent="0.25">
      <c r="B1763" t="s">
        <v>514</v>
      </c>
    </row>
    <row r="1764" spans="2:2" x14ac:dyDescent="0.25">
      <c r="B1764" t="s">
        <v>155</v>
      </c>
    </row>
    <row r="1765" spans="2:2" x14ac:dyDescent="0.25">
      <c r="B1765" t="s">
        <v>428</v>
      </c>
    </row>
    <row r="1766" spans="2:2" x14ac:dyDescent="0.25">
      <c r="B1766" t="s">
        <v>3</v>
      </c>
    </row>
    <row r="1767" spans="2:2" x14ac:dyDescent="0.25">
      <c r="B1767" t="s">
        <v>4</v>
      </c>
    </row>
    <row r="1768" spans="2:2" x14ac:dyDescent="0.25">
      <c r="B1768" t="s">
        <v>5</v>
      </c>
    </row>
    <row r="1769" spans="2:2" x14ac:dyDescent="0.25">
      <c r="B1769" t="s">
        <v>156</v>
      </c>
    </row>
    <row r="1770" spans="2:2" x14ac:dyDescent="0.25">
      <c r="B1770" t="s">
        <v>397</v>
      </c>
    </row>
    <row r="1771" spans="2:2" x14ac:dyDescent="0.25">
      <c r="B1771" t="s">
        <v>157</v>
      </c>
    </row>
    <row r="1772" spans="2:2" x14ac:dyDescent="0.25">
      <c r="B1772" t="s">
        <v>158</v>
      </c>
    </row>
    <row r="1773" spans="2:2" x14ac:dyDescent="0.25">
      <c r="B1773" t="s">
        <v>429</v>
      </c>
    </row>
    <row r="1774" spans="2:2" x14ac:dyDescent="0.25">
      <c r="B1774" t="s">
        <v>159</v>
      </c>
    </row>
    <row r="1775" spans="2:2" x14ac:dyDescent="0.25">
      <c r="B1775" t="s">
        <v>160</v>
      </c>
    </row>
    <row r="1776" spans="2:2" x14ac:dyDescent="0.25">
      <c r="B1776" t="s">
        <v>17</v>
      </c>
    </row>
    <row r="1777" spans="2:2" x14ac:dyDescent="0.25">
      <c r="B1777" t="s">
        <v>18</v>
      </c>
    </row>
    <row r="1778" spans="2:2" x14ac:dyDescent="0.25">
      <c r="B1778" t="s">
        <v>161</v>
      </c>
    </row>
    <row r="1779" spans="2:2" x14ac:dyDescent="0.25">
      <c r="B1779" t="s">
        <v>162</v>
      </c>
    </row>
    <row r="1780" spans="2:2" x14ac:dyDescent="0.25">
      <c r="B1780" t="s">
        <v>163</v>
      </c>
    </row>
    <row r="1781" spans="2:2" x14ac:dyDescent="0.25">
      <c r="B1781" t="s">
        <v>164</v>
      </c>
    </row>
    <row r="1782" spans="2:2" x14ac:dyDescent="0.25">
      <c r="B1782" t="s">
        <v>63</v>
      </c>
    </row>
    <row r="1783" spans="2:2" x14ac:dyDescent="0.25">
      <c r="B1783" t="s">
        <v>367</v>
      </c>
    </row>
    <row r="1784" spans="2:2" x14ac:dyDescent="0.25">
      <c r="B1784" t="s">
        <v>368</v>
      </c>
    </row>
    <row r="1785" spans="2:2" x14ac:dyDescent="0.25">
      <c r="B1785" t="s">
        <v>369</v>
      </c>
    </row>
    <row r="1786" spans="2:2" x14ac:dyDescent="0.25">
      <c r="B1786" t="s">
        <v>430</v>
      </c>
    </row>
    <row r="1787" spans="2:2" x14ac:dyDescent="0.25">
      <c r="B1787" t="s">
        <v>19</v>
      </c>
    </row>
    <row r="1788" spans="2:2" x14ac:dyDescent="0.25">
      <c r="B1788" t="s">
        <v>431</v>
      </c>
    </row>
    <row r="1789" spans="2:2" x14ac:dyDescent="0.25">
      <c r="B1789" t="s">
        <v>165</v>
      </c>
    </row>
    <row r="1790" spans="2:2" x14ac:dyDescent="0.25">
      <c r="B1790" t="s">
        <v>432</v>
      </c>
    </row>
    <row r="1791" spans="2:2" x14ac:dyDescent="0.25">
      <c r="B1791" t="s">
        <v>74</v>
      </c>
    </row>
    <row r="1792" spans="2:2" x14ac:dyDescent="0.25">
      <c r="B1792" t="s">
        <v>433</v>
      </c>
    </row>
    <row r="1793" spans="2:2" x14ac:dyDescent="0.25">
      <c r="B1793" t="s">
        <v>166</v>
      </c>
    </row>
    <row r="1794" spans="2:2" x14ac:dyDescent="0.25">
      <c r="B1794" t="s">
        <v>434</v>
      </c>
    </row>
    <row r="1795" spans="2:2" x14ac:dyDescent="0.25">
      <c r="B1795" t="s">
        <v>370</v>
      </c>
    </row>
    <row r="1796" spans="2:2" x14ac:dyDescent="0.25">
      <c r="B1796" t="s">
        <v>167</v>
      </c>
    </row>
    <row r="1797" spans="2:2" x14ac:dyDescent="0.25">
      <c r="B1797" t="s">
        <v>168</v>
      </c>
    </row>
    <row r="1798" spans="2:2" x14ac:dyDescent="0.25">
      <c r="B1798" t="s">
        <v>6</v>
      </c>
    </row>
    <row r="1799" spans="2:2" x14ac:dyDescent="0.25">
      <c r="B1799" t="s">
        <v>435</v>
      </c>
    </row>
    <row r="1800" spans="2:2" x14ac:dyDescent="0.25">
      <c r="B1800" t="s">
        <v>169</v>
      </c>
    </row>
    <row r="1801" spans="2:2" x14ac:dyDescent="0.25">
      <c r="B1801" t="s">
        <v>436</v>
      </c>
    </row>
    <row r="1802" spans="2:2" x14ac:dyDescent="0.25">
      <c r="B1802" t="s">
        <v>371</v>
      </c>
    </row>
    <row r="1803" spans="2:2" x14ac:dyDescent="0.25">
      <c r="B1803" t="s">
        <v>437</v>
      </c>
    </row>
    <row r="1804" spans="2:2" x14ac:dyDescent="0.25">
      <c r="B1804" t="s">
        <v>170</v>
      </c>
    </row>
    <row r="1805" spans="2:2" x14ac:dyDescent="0.25">
      <c r="B1805" t="s">
        <v>171</v>
      </c>
    </row>
    <row r="1806" spans="2:2" x14ac:dyDescent="0.25">
      <c r="B1806" t="s">
        <v>172</v>
      </c>
    </row>
    <row r="1807" spans="2:2" x14ac:dyDescent="0.25">
      <c r="B1807" t="s">
        <v>106</v>
      </c>
    </row>
    <row r="1808" spans="2:2" x14ac:dyDescent="0.25">
      <c r="B1808" t="s">
        <v>173</v>
      </c>
    </row>
    <row r="1809" spans="2:2" x14ac:dyDescent="0.25">
      <c r="B1809" t="s">
        <v>20</v>
      </c>
    </row>
    <row r="1810" spans="2:2" x14ac:dyDescent="0.25">
      <c r="B1810" t="s">
        <v>356</v>
      </c>
    </row>
    <row r="1811" spans="2:2" x14ac:dyDescent="0.25">
      <c r="B1811" t="s">
        <v>174</v>
      </c>
    </row>
    <row r="1812" spans="2:2" x14ac:dyDescent="0.25">
      <c r="B1812" t="s">
        <v>175</v>
      </c>
    </row>
    <row r="1813" spans="2:2" x14ac:dyDescent="0.25">
      <c r="B1813" t="s">
        <v>438</v>
      </c>
    </row>
    <row r="1814" spans="2:2" x14ac:dyDescent="0.25">
      <c r="B1814" t="s">
        <v>176</v>
      </c>
    </row>
    <row r="1815" spans="2:2" x14ac:dyDescent="0.25">
      <c r="B1815" t="s">
        <v>439</v>
      </c>
    </row>
    <row r="1816" spans="2:2" x14ac:dyDescent="0.25">
      <c r="B1816" t="s">
        <v>410</v>
      </c>
    </row>
    <row r="1817" spans="2:2" x14ac:dyDescent="0.25">
      <c r="B1817" t="s">
        <v>440</v>
      </c>
    </row>
    <row r="1818" spans="2:2" x14ac:dyDescent="0.25">
      <c r="B1818" t="s">
        <v>441</v>
      </c>
    </row>
    <row r="1819" spans="2:2" x14ac:dyDescent="0.25">
      <c r="B1819" t="s">
        <v>177</v>
      </c>
    </row>
    <row r="1820" spans="2:2" x14ac:dyDescent="0.25">
      <c r="B1820" t="s">
        <v>178</v>
      </c>
    </row>
    <row r="1821" spans="2:2" x14ac:dyDescent="0.25">
      <c r="B1821" t="s">
        <v>21</v>
      </c>
    </row>
    <row r="1822" spans="2:2" x14ac:dyDescent="0.25">
      <c r="B1822" t="s">
        <v>179</v>
      </c>
    </row>
    <row r="1823" spans="2:2" x14ac:dyDescent="0.25">
      <c r="B1823" t="s">
        <v>372</v>
      </c>
    </row>
    <row r="1824" spans="2:2" x14ac:dyDescent="0.25">
      <c r="B1824" t="s">
        <v>337</v>
      </c>
    </row>
    <row r="1825" spans="2:2" x14ac:dyDescent="0.25">
      <c r="B1825" t="s">
        <v>180</v>
      </c>
    </row>
    <row r="1826" spans="2:2" x14ac:dyDescent="0.25">
      <c r="B1826" t="s">
        <v>181</v>
      </c>
    </row>
    <row r="1827" spans="2:2" x14ac:dyDescent="0.25">
      <c r="B1827" t="s">
        <v>182</v>
      </c>
    </row>
    <row r="1828" spans="2:2" x14ac:dyDescent="0.25">
      <c r="B1828" t="s">
        <v>108</v>
      </c>
    </row>
    <row r="1829" spans="2:2" x14ac:dyDescent="0.25">
      <c r="B1829" t="s">
        <v>183</v>
      </c>
    </row>
    <row r="1830" spans="2:2" x14ac:dyDescent="0.25">
      <c r="B1830" t="s">
        <v>184</v>
      </c>
    </row>
    <row r="1831" spans="2:2" x14ac:dyDescent="0.25">
      <c r="B1831" t="s">
        <v>185</v>
      </c>
    </row>
    <row r="1832" spans="2:2" x14ac:dyDescent="0.25">
      <c r="B1832" t="s">
        <v>186</v>
      </c>
    </row>
    <row r="1833" spans="2:2" x14ac:dyDescent="0.25">
      <c r="B1833" t="s">
        <v>442</v>
      </c>
    </row>
    <row r="1834" spans="2:2" x14ac:dyDescent="0.25">
      <c r="B1834" t="s">
        <v>187</v>
      </c>
    </row>
    <row r="1835" spans="2:2" x14ac:dyDescent="0.25">
      <c r="B1835" t="s">
        <v>75</v>
      </c>
    </row>
    <row r="1836" spans="2:2" x14ac:dyDescent="0.25">
      <c r="B1836" t="s">
        <v>188</v>
      </c>
    </row>
    <row r="1837" spans="2:2" x14ac:dyDescent="0.25">
      <c r="B1837" t="s">
        <v>338</v>
      </c>
    </row>
    <row r="1838" spans="2:2" x14ac:dyDescent="0.25">
      <c r="B1838" t="s">
        <v>189</v>
      </c>
    </row>
    <row r="1839" spans="2:2" x14ac:dyDescent="0.25">
      <c r="B1839" t="s">
        <v>109</v>
      </c>
    </row>
    <row r="1840" spans="2:2" x14ac:dyDescent="0.25">
      <c r="B1840" t="s">
        <v>190</v>
      </c>
    </row>
    <row r="1841" spans="2:2" x14ac:dyDescent="0.25">
      <c r="B1841" t="s">
        <v>191</v>
      </c>
    </row>
    <row r="1842" spans="2:2" x14ac:dyDescent="0.25">
      <c r="B1842" t="s">
        <v>192</v>
      </c>
    </row>
    <row r="1843" spans="2:2" x14ac:dyDescent="0.25">
      <c r="B1843" t="s">
        <v>193</v>
      </c>
    </row>
    <row r="1844" spans="2:2" x14ac:dyDescent="0.25">
      <c r="B1844" t="s">
        <v>110</v>
      </c>
    </row>
    <row r="1845" spans="2:2" x14ac:dyDescent="0.25">
      <c r="B1845" t="s">
        <v>149</v>
      </c>
    </row>
    <row r="1846" spans="2:2" x14ac:dyDescent="0.25">
      <c r="B1846" t="s">
        <v>111</v>
      </c>
    </row>
    <row r="1847" spans="2:2" x14ac:dyDescent="0.25">
      <c r="B1847" t="s">
        <v>194</v>
      </c>
    </row>
    <row r="1848" spans="2:2" x14ac:dyDescent="0.25">
      <c r="B1848" t="s">
        <v>195</v>
      </c>
    </row>
    <row r="1849" spans="2:2" x14ac:dyDescent="0.25">
      <c r="B1849" t="s">
        <v>196</v>
      </c>
    </row>
    <row r="1850" spans="2:2" x14ac:dyDescent="0.25">
      <c r="B1850" t="s">
        <v>197</v>
      </c>
    </row>
    <row r="1851" spans="2:2" x14ac:dyDescent="0.25">
      <c r="B1851" t="s">
        <v>22</v>
      </c>
    </row>
    <row r="1852" spans="2:2" x14ac:dyDescent="0.25">
      <c r="B1852" t="s">
        <v>23</v>
      </c>
    </row>
    <row r="1853" spans="2:2" x14ac:dyDescent="0.25">
      <c r="B1853" t="s">
        <v>7</v>
      </c>
    </row>
    <row r="1854" spans="2:2" x14ac:dyDescent="0.25">
      <c r="B1854" t="s">
        <v>198</v>
      </c>
    </row>
    <row r="1855" spans="2:2" x14ac:dyDescent="0.25">
      <c r="B1855" t="s">
        <v>112</v>
      </c>
    </row>
    <row r="1856" spans="2:2" x14ac:dyDescent="0.25">
      <c r="B1856" t="s">
        <v>199</v>
      </c>
    </row>
    <row r="1857" spans="2:2" x14ac:dyDescent="0.25">
      <c r="B1857" t="s">
        <v>200</v>
      </c>
    </row>
    <row r="1858" spans="2:2" x14ac:dyDescent="0.25">
      <c r="B1858" t="s">
        <v>201</v>
      </c>
    </row>
    <row r="1859" spans="2:2" x14ac:dyDescent="0.25">
      <c r="B1859" t="s">
        <v>202</v>
      </c>
    </row>
    <row r="1860" spans="2:2" x14ac:dyDescent="0.25">
      <c r="B1860" t="s">
        <v>203</v>
      </c>
    </row>
    <row r="1861" spans="2:2" x14ac:dyDescent="0.25">
      <c r="B1861" t="s">
        <v>204</v>
      </c>
    </row>
    <row r="1862" spans="2:2" x14ac:dyDescent="0.25">
      <c r="B1862" t="s">
        <v>76</v>
      </c>
    </row>
    <row r="1863" spans="2:2" x14ac:dyDescent="0.25">
      <c r="B1863" t="s">
        <v>205</v>
      </c>
    </row>
    <row r="1864" spans="2:2" x14ac:dyDescent="0.25">
      <c r="B1864" t="s">
        <v>443</v>
      </c>
    </row>
    <row r="1865" spans="2:2" x14ac:dyDescent="0.25">
      <c r="B1865" t="s">
        <v>206</v>
      </c>
    </row>
    <row r="1866" spans="2:2" x14ac:dyDescent="0.25">
      <c r="B1866" t="s">
        <v>24</v>
      </c>
    </row>
    <row r="1867" spans="2:2" x14ac:dyDescent="0.25">
      <c r="B1867" t="s">
        <v>373</v>
      </c>
    </row>
    <row r="1868" spans="2:2" x14ac:dyDescent="0.25">
      <c r="B1868" t="s">
        <v>25</v>
      </c>
    </row>
    <row r="1869" spans="2:2" x14ac:dyDescent="0.25">
      <c r="B1869" t="s">
        <v>207</v>
      </c>
    </row>
    <row r="1870" spans="2:2" x14ac:dyDescent="0.25">
      <c r="B1870" t="s">
        <v>374</v>
      </c>
    </row>
    <row r="1871" spans="2:2" x14ac:dyDescent="0.25">
      <c r="B1871" t="s">
        <v>77</v>
      </c>
    </row>
    <row r="1872" spans="2:2" x14ac:dyDescent="0.25">
      <c r="B1872" t="s">
        <v>444</v>
      </c>
    </row>
    <row r="1873" spans="2:2" x14ac:dyDescent="0.25">
      <c r="B1873" t="s">
        <v>445</v>
      </c>
    </row>
    <row r="1874" spans="2:2" x14ac:dyDescent="0.25">
      <c r="B1874" t="s">
        <v>208</v>
      </c>
    </row>
    <row r="1875" spans="2:2" x14ac:dyDescent="0.25">
      <c r="B1875" t="s">
        <v>26</v>
      </c>
    </row>
    <row r="1876" spans="2:2" x14ac:dyDescent="0.25">
      <c r="B1876" t="s">
        <v>446</v>
      </c>
    </row>
    <row r="1877" spans="2:2" x14ac:dyDescent="0.25">
      <c r="B1877" t="s">
        <v>209</v>
      </c>
    </row>
    <row r="1878" spans="2:2" x14ac:dyDescent="0.25">
      <c r="B1878" t="s">
        <v>102</v>
      </c>
    </row>
    <row r="1879" spans="2:2" x14ac:dyDescent="0.25">
      <c r="B1879" t="s">
        <v>447</v>
      </c>
    </row>
    <row r="1880" spans="2:2" x14ac:dyDescent="0.25">
      <c r="B1880" t="s">
        <v>78</v>
      </c>
    </row>
    <row r="1881" spans="2:2" x14ac:dyDescent="0.25">
      <c r="B1881" t="s">
        <v>210</v>
      </c>
    </row>
    <row r="1882" spans="2:2" x14ac:dyDescent="0.25">
      <c r="B1882" t="s">
        <v>211</v>
      </c>
    </row>
    <row r="1883" spans="2:2" x14ac:dyDescent="0.25">
      <c r="B1883" t="s">
        <v>212</v>
      </c>
    </row>
    <row r="1884" spans="2:2" x14ac:dyDescent="0.25">
      <c r="B1884" t="s">
        <v>213</v>
      </c>
    </row>
    <row r="1885" spans="2:2" x14ac:dyDescent="0.25">
      <c r="B1885" t="s">
        <v>113</v>
      </c>
    </row>
    <row r="1886" spans="2:2" x14ac:dyDescent="0.25">
      <c r="B1886" t="s">
        <v>214</v>
      </c>
    </row>
    <row r="1887" spans="2:2" x14ac:dyDescent="0.25">
      <c r="B1887" t="s">
        <v>448</v>
      </c>
    </row>
    <row r="1888" spans="2:2" x14ac:dyDescent="0.25">
      <c r="B1888" t="s">
        <v>215</v>
      </c>
    </row>
    <row r="1889" spans="2:2" x14ac:dyDescent="0.25">
      <c r="B1889" t="s">
        <v>216</v>
      </c>
    </row>
    <row r="1890" spans="2:2" x14ac:dyDescent="0.25">
      <c r="B1890" t="s">
        <v>217</v>
      </c>
    </row>
    <row r="1891" spans="2:2" x14ac:dyDescent="0.25">
      <c r="B1891" t="s">
        <v>218</v>
      </c>
    </row>
    <row r="1892" spans="2:2" x14ac:dyDescent="0.25">
      <c r="B1892" t="s">
        <v>8</v>
      </c>
    </row>
    <row r="1893" spans="2:2" x14ac:dyDescent="0.25">
      <c r="B1893" t="s">
        <v>219</v>
      </c>
    </row>
    <row r="1894" spans="2:2" x14ac:dyDescent="0.25">
      <c r="B1894" t="s">
        <v>220</v>
      </c>
    </row>
    <row r="1895" spans="2:2" x14ac:dyDescent="0.25">
      <c r="B1895" t="s">
        <v>221</v>
      </c>
    </row>
    <row r="1896" spans="2:2" x14ac:dyDescent="0.25">
      <c r="B1896" t="s">
        <v>115</v>
      </c>
    </row>
    <row r="1897" spans="2:2" x14ac:dyDescent="0.25">
      <c r="B1897" t="s">
        <v>222</v>
      </c>
    </row>
    <row r="1898" spans="2:2" x14ac:dyDescent="0.25">
      <c r="B1898" t="s">
        <v>223</v>
      </c>
    </row>
    <row r="1899" spans="2:2" x14ac:dyDescent="0.25">
      <c r="B1899" t="s">
        <v>150</v>
      </c>
    </row>
    <row r="1900" spans="2:2" x14ac:dyDescent="0.25">
      <c r="B1900" t="s">
        <v>375</v>
      </c>
    </row>
    <row r="1901" spans="2:2" x14ac:dyDescent="0.25">
      <c r="B1901" t="s">
        <v>27</v>
      </c>
    </row>
    <row r="1902" spans="2:2" x14ac:dyDescent="0.25">
      <c r="B1902" t="s">
        <v>449</v>
      </c>
    </row>
    <row r="1903" spans="2:2" x14ac:dyDescent="0.25">
      <c r="B1903" t="s">
        <v>224</v>
      </c>
    </row>
    <row r="1904" spans="2:2" x14ac:dyDescent="0.25">
      <c r="B1904" t="s">
        <v>116</v>
      </c>
    </row>
    <row r="1905" spans="2:2" x14ac:dyDescent="0.25">
      <c r="B1905" t="s">
        <v>450</v>
      </c>
    </row>
    <row r="1906" spans="2:2" x14ac:dyDescent="0.25">
      <c r="B1906" t="s">
        <v>225</v>
      </c>
    </row>
    <row r="1907" spans="2:2" x14ac:dyDescent="0.25">
      <c r="B1907" t="s">
        <v>226</v>
      </c>
    </row>
    <row r="1908" spans="2:2" x14ac:dyDescent="0.25">
      <c r="B1908" t="s">
        <v>79</v>
      </c>
    </row>
    <row r="1909" spans="2:2" x14ac:dyDescent="0.25">
      <c r="B1909" t="s">
        <v>117</v>
      </c>
    </row>
    <row r="1910" spans="2:2" x14ac:dyDescent="0.25">
      <c r="B1910" t="s">
        <v>9</v>
      </c>
    </row>
    <row r="1911" spans="2:2" x14ac:dyDescent="0.25">
      <c r="B1911" t="s">
        <v>227</v>
      </c>
    </row>
    <row r="1912" spans="2:2" x14ac:dyDescent="0.25">
      <c r="B1912" t="s">
        <v>228</v>
      </c>
    </row>
    <row r="1913" spans="2:2" x14ac:dyDescent="0.25">
      <c r="B1913" t="s">
        <v>229</v>
      </c>
    </row>
    <row r="1914" spans="2:2" x14ac:dyDescent="0.25">
      <c r="B1914" t="s">
        <v>451</v>
      </c>
    </row>
    <row r="1915" spans="2:2" x14ac:dyDescent="0.25">
      <c r="B1915" t="s">
        <v>230</v>
      </c>
    </row>
    <row r="1916" spans="2:2" x14ac:dyDescent="0.25">
      <c r="B1916" t="s">
        <v>452</v>
      </c>
    </row>
    <row r="1917" spans="2:2" x14ac:dyDescent="0.25">
      <c r="B1917" t="s">
        <v>453</v>
      </c>
    </row>
    <row r="1918" spans="2:2" x14ac:dyDescent="0.25">
      <c r="B1918" t="s">
        <v>231</v>
      </c>
    </row>
    <row r="1919" spans="2:2" x14ac:dyDescent="0.25">
      <c r="B1919" t="s">
        <v>454</v>
      </c>
    </row>
    <row r="1920" spans="2:2" x14ac:dyDescent="0.25">
      <c r="B1920" t="s">
        <v>28</v>
      </c>
    </row>
    <row r="1921" spans="2:2" x14ac:dyDescent="0.25">
      <c r="B1921" t="s">
        <v>232</v>
      </c>
    </row>
    <row r="1922" spans="2:2" x14ac:dyDescent="0.25">
      <c r="B1922" t="s">
        <v>233</v>
      </c>
    </row>
    <row r="1923" spans="2:2" x14ac:dyDescent="0.25">
      <c r="B1923" t="s">
        <v>80</v>
      </c>
    </row>
    <row r="1924" spans="2:2" x14ac:dyDescent="0.25">
      <c r="B1924" t="s">
        <v>29</v>
      </c>
    </row>
    <row r="1925" spans="2:2" x14ac:dyDescent="0.25">
      <c r="B1925" t="s">
        <v>120</v>
      </c>
    </row>
    <row r="1926" spans="2:2" x14ac:dyDescent="0.25">
      <c r="B1926" t="s">
        <v>455</v>
      </c>
    </row>
    <row r="1927" spans="2:2" x14ac:dyDescent="0.25">
      <c r="B1927" t="s">
        <v>81</v>
      </c>
    </row>
    <row r="1928" spans="2:2" x14ac:dyDescent="0.25">
      <c r="B1928" t="s">
        <v>30</v>
      </c>
    </row>
    <row r="1929" spans="2:2" x14ac:dyDescent="0.25">
      <c r="B1929" t="s">
        <v>234</v>
      </c>
    </row>
    <row r="1930" spans="2:2" x14ac:dyDescent="0.25">
      <c r="B1930" t="s">
        <v>31</v>
      </c>
    </row>
    <row r="1931" spans="2:2" x14ac:dyDescent="0.25">
      <c r="B1931" t="s">
        <v>99</v>
      </c>
    </row>
    <row r="1932" spans="2:2" x14ac:dyDescent="0.25">
      <c r="B1932" t="s">
        <v>456</v>
      </c>
    </row>
    <row r="1933" spans="2:2" x14ac:dyDescent="0.25">
      <c r="B1933" t="s">
        <v>235</v>
      </c>
    </row>
    <row r="1934" spans="2:2" x14ac:dyDescent="0.25">
      <c r="B1934" t="s">
        <v>122</v>
      </c>
    </row>
    <row r="1935" spans="2:2" x14ac:dyDescent="0.25">
      <c r="B1935" t="s">
        <v>236</v>
      </c>
    </row>
    <row r="1936" spans="2:2" x14ac:dyDescent="0.25">
      <c r="B1936" t="s">
        <v>457</v>
      </c>
    </row>
    <row r="1937" spans="2:2" x14ac:dyDescent="0.25">
      <c r="B1937" t="s">
        <v>458</v>
      </c>
    </row>
    <row r="1938" spans="2:2" x14ac:dyDescent="0.25">
      <c r="B1938" t="s">
        <v>64</v>
      </c>
    </row>
    <row r="1939" spans="2:2" x14ac:dyDescent="0.25">
      <c r="B1939" t="s">
        <v>32</v>
      </c>
    </row>
    <row r="1940" spans="2:2" x14ac:dyDescent="0.25">
      <c r="B1940" t="s">
        <v>459</v>
      </c>
    </row>
    <row r="1941" spans="2:2" x14ac:dyDescent="0.25">
      <c r="B1941" t="s">
        <v>377</v>
      </c>
    </row>
    <row r="1942" spans="2:2" x14ac:dyDescent="0.25">
      <c r="B1942" t="s">
        <v>237</v>
      </c>
    </row>
    <row r="1943" spans="2:2" x14ac:dyDescent="0.25">
      <c r="B1943" t="s">
        <v>238</v>
      </c>
    </row>
    <row r="1944" spans="2:2" x14ac:dyDescent="0.25">
      <c r="B1944" t="s">
        <v>239</v>
      </c>
    </row>
    <row r="1945" spans="2:2" x14ac:dyDescent="0.25">
      <c r="B1945" t="s">
        <v>415</v>
      </c>
    </row>
    <row r="1946" spans="2:2" x14ac:dyDescent="0.25">
      <c r="B1946" t="s">
        <v>240</v>
      </c>
    </row>
    <row r="1947" spans="2:2" x14ac:dyDescent="0.25">
      <c r="B1947" t="s">
        <v>345</v>
      </c>
    </row>
    <row r="1948" spans="2:2" x14ac:dyDescent="0.25">
      <c r="B1948" t="s">
        <v>460</v>
      </c>
    </row>
    <row r="1949" spans="2:2" x14ac:dyDescent="0.25">
      <c r="B1949" t="s">
        <v>351</v>
      </c>
    </row>
    <row r="1950" spans="2:2" x14ac:dyDescent="0.25">
      <c r="B1950" t="s">
        <v>406</v>
      </c>
    </row>
    <row r="1951" spans="2:2" x14ac:dyDescent="0.25">
      <c r="B1951" t="s">
        <v>241</v>
      </c>
    </row>
    <row r="1952" spans="2:2" x14ac:dyDescent="0.25">
      <c r="B1952" t="s">
        <v>82</v>
      </c>
    </row>
    <row r="1953" spans="2:2" x14ac:dyDescent="0.25">
      <c r="B1953" t="s">
        <v>242</v>
      </c>
    </row>
    <row r="1954" spans="2:2" x14ac:dyDescent="0.25">
      <c r="B1954" t="s">
        <v>243</v>
      </c>
    </row>
    <row r="1955" spans="2:2" x14ac:dyDescent="0.25">
      <c r="B1955" t="s">
        <v>244</v>
      </c>
    </row>
    <row r="1956" spans="2:2" x14ac:dyDescent="0.25">
      <c r="B1956" t="s">
        <v>245</v>
      </c>
    </row>
    <row r="1957" spans="2:2" x14ac:dyDescent="0.25">
      <c r="B1957" t="s">
        <v>246</v>
      </c>
    </row>
    <row r="1958" spans="2:2" x14ac:dyDescent="0.25">
      <c r="B1958" t="s">
        <v>247</v>
      </c>
    </row>
    <row r="1959" spans="2:2" x14ac:dyDescent="0.25">
      <c r="B1959" t="s">
        <v>123</v>
      </c>
    </row>
    <row r="1960" spans="2:2" x14ac:dyDescent="0.25">
      <c r="B1960" t="s">
        <v>124</v>
      </c>
    </row>
    <row r="1961" spans="2:2" x14ac:dyDescent="0.25">
      <c r="B1961" t="s">
        <v>461</v>
      </c>
    </row>
    <row r="1962" spans="2:2" x14ac:dyDescent="0.25">
      <c r="B1962" t="s">
        <v>125</v>
      </c>
    </row>
    <row r="1963" spans="2:2" x14ac:dyDescent="0.25">
      <c r="B1963" t="s">
        <v>126</v>
      </c>
    </row>
    <row r="1964" spans="2:2" x14ac:dyDescent="0.25">
      <c r="B1964" t="s">
        <v>248</v>
      </c>
    </row>
    <row r="1965" spans="2:2" x14ac:dyDescent="0.25">
      <c r="B1965" t="s">
        <v>378</v>
      </c>
    </row>
    <row r="1966" spans="2:2" x14ac:dyDescent="0.25">
      <c r="B1966" t="s">
        <v>399</v>
      </c>
    </row>
    <row r="1967" spans="2:2" x14ac:dyDescent="0.25">
      <c r="B1967" t="s">
        <v>379</v>
      </c>
    </row>
    <row r="1968" spans="2:2" x14ac:dyDescent="0.25">
      <c r="B1968" t="s">
        <v>128</v>
      </c>
    </row>
    <row r="1969" spans="2:2" x14ac:dyDescent="0.25">
      <c r="B1969" t="s">
        <v>65</v>
      </c>
    </row>
    <row r="1970" spans="2:2" x14ac:dyDescent="0.25">
      <c r="B1970" t="s">
        <v>380</v>
      </c>
    </row>
    <row r="1971" spans="2:2" x14ac:dyDescent="0.25">
      <c r="B1971" t="s">
        <v>381</v>
      </c>
    </row>
    <row r="1972" spans="2:2" x14ac:dyDescent="0.25">
      <c r="B1972" t="s">
        <v>33</v>
      </c>
    </row>
    <row r="1973" spans="2:2" x14ac:dyDescent="0.25">
      <c r="B1973" t="s">
        <v>34</v>
      </c>
    </row>
    <row r="1974" spans="2:2" x14ac:dyDescent="0.25">
      <c r="B1974" t="s">
        <v>330</v>
      </c>
    </row>
    <row r="1975" spans="2:2" x14ac:dyDescent="0.25">
      <c r="B1975" t="s">
        <v>249</v>
      </c>
    </row>
    <row r="1976" spans="2:2" x14ac:dyDescent="0.25">
      <c r="B1976" t="s">
        <v>250</v>
      </c>
    </row>
    <row r="1977" spans="2:2" x14ac:dyDescent="0.25">
      <c r="B1977" t="s">
        <v>251</v>
      </c>
    </row>
    <row r="1978" spans="2:2" x14ac:dyDescent="0.25">
      <c r="B1978" t="s">
        <v>83</v>
      </c>
    </row>
    <row r="1979" spans="2:2" x14ac:dyDescent="0.25">
      <c r="B1979" t="s">
        <v>130</v>
      </c>
    </row>
    <row r="1980" spans="2:2" x14ac:dyDescent="0.25">
      <c r="B1980" t="s">
        <v>252</v>
      </c>
    </row>
    <row r="1981" spans="2:2" x14ac:dyDescent="0.25">
      <c r="B1981" t="s">
        <v>35</v>
      </c>
    </row>
    <row r="1982" spans="2:2" x14ac:dyDescent="0.25">
      <c r="B1982" t="s">
        <v>253</v>
      </c>
    </row>
    <row r="1983" spans="2:2" x14ac:dyDescent="0.25">
      <c r="B1983" t="s">
        <v>419</v>
      </c>
    </row>
    <row r="1984" spans="2:2" x14ac:dyDescent="0.25">
      <c r="B1984" t="s">
        <v>131</v>
      </c>
    </row>
    <row r="1985" spans="2:2" x14ac:dyDescent="0.25">
      <c r="B1985" t="s">
        <v>36</v>
      </c>
    </row>
    <row r="1986" spans="2:2" x14ac:dyDescent="0.25">
      <c r="B1986" t="s">
        <v>462</v>
      </c>
    </row>
    <row r="1987" spans="2:2" x14ac:dyDescent="0.25">
      <c r="B1987" t="s">
        <v>463</v>
      </c>
    </row>
    <row r="1988" spans="2:2" x14ac:dyDescent="0.25">
      <c r="B1988" t="s">
        <v>464</v>
      </c>
    </row>
    <row r="1989" spans="2:2" x14ac:dyDescent="0.25">
      <c r="B1989" t="s">
        <v>254</v>
      </c>
    </row>
    <row r="1990" spans="2:2" x14ac:dyDescent="0.25">
      <c r="B1990" t="s">
        <v>37</v>
      </c>
    </row>
    <row r="1991" spans="2:2" x14ac:dyDescent="0.25">
      <c r="B1991" t="s">
        <v>132</v>
      </c>
    </row>
    <row r="1992" spans="2:2" x14ac:dyDescent="0.25">
      <c r="B1992" t="s">
        <v>465</v>
      </c>
    </row>
    <row r="1993" spans="2:2" x14ac:dyDescent="0.25">
      <c r="B1993" t="s">
        <v>38</v>
      </c>
    </row>
    <row r="1994" spans="2:2" x14ac:dyDescent="0.25">
      <c r="B1994" t="s">
        <v>466</v>
      </c>
    </row>
    <row r="1995" spans="2:2" x14ac:dyDescent="0.25">
      <c r="B1995" t="s">
        <v>382</v>
      </c>
    </row>
    <row r="1996" spans="2:2" x14ac:dyDescent="0.25">
      <c r="B1996" t="s">
        <v>255</v>
      </c>
    </row>
    <row r="1997" spans="2:2" x14ac:dyDescent="0.25">
      <c r="B1997" t="s">
        <v>256</v>
      </c>
    </row>
    <row r="1998" spans="2:2" x14ac:dyDescent="0.25">
      <c r="B1998" t="s">
        <v>134</v>
      </c>
    </row>
    <row r="1999" spans="2:2" x14ac:dyDescent="0.25">
      <c r="B1999" t="s">
        <v>84</v>
      </c>
    </row>
    <row r="2000" spans="2:2" x14ac:dyDescent="0.25">
      <c r="B2000" t="s">
        <v>135</v>
      </c>
    </row>
    <row r="2001" spans="2:2" x14ac:dyDescent="0.25">
      <c r="B2001" t="s">
        <v>85</v>
      </c>
    </row>
    <row r="2002" spans="2:2" x14ac:dyDescent="0.25">
      <c r="B2002" t="s">
        <v>383</v>
      </c>
    </row>
    <row r="2003" spans="2:2" x14ac:dyDescent="0.25">
      <c r="B2003" t="s">
        <v>384</v>
      </c>
    </row>
    <row r="2004" spans="2:2" x14ac:dyDescent="0.25">
      <c r="B2004" t="s">
        <v>257</v>
      </c>
    </row>
    <row r="2005" spans="2:2" x14ac:dyDescent="0.25">
      <c r="B2005" t="s">
        <v>258</v>
      </c>
    </row>
    <row r="2006" spans="2:2" x14ac:dyDescent="0.25">
      <c r="B2006" t="s">
        <v>259</v>
      </c>
    </row>
    <row r="2007" spans="2:2" x14ac:dyDescent="0.25">
      <c r="B2007" t="s">
        <v>260</v>
      </c>
    </row>
    <row r="2008" spans="2:2" x14ac:dyDescent="0.25">
      <c r="B2008" t="s">
        <v>261</v>
      </c>
    </row>
    <row r="2009" spans="2:2" x14ac:dyDescent="0.25">
      <c r="B2009" t="s">
        <v>339</v>
      </c>
    </row>
    <row r="2010" spans="2:2" x14ac:dyDescent="0.25">
      <c r="B2010" t="s">
        <v>262</v>
      </c>
    </row>
    <row r="2011" spans="2:2" x14ac:dyDescent="0.25">
      <c r="B2011" t="s">
        <v>263</v>
      </c>
    </row>
    <row r="2012" spans="2:2" x14ac:dyDescent="0.25">
      <c r="B2012" t="s">
        <v>264</v>
      </c>
    </row>
    <row r="2013" spans="2:2" x14ac:dyDescent="0.25">
      <c r="B2013" t="s">
        <v>265</v>
      </c>
    </row>
    <row r="2014" spans="2:2" x14ac:dyDescent="0.25">
      <c r="B2014" t="s">
        <v>266</v>
      </c>
    </row>
    <row r="2015" spans="2:2" x14ac:dyDescent="0.25">
      <c r="B2015" t="s">
        <v>400</v>
      </c>
    </row>
    <row r="2016" spans="2:2" x14ac:dyDescent="0.25">
      <c r="B2016" t="s">
        <v>136</v>
      </c>
    </row>
    <row r="2017" spans="2:2" x14ac:dyDescent="0.25">
      <c r="B2017" t="s">
        <v>467</v>
      </c>
    </row>
    <row r="2018" spans="2:2" x14ac:dyDescent="0.25">
      <c r="B2018" t="s">
        <v>385</v>
      </c>
    </row>
    <row r="2019" spans="2:2" x14ac:dyDescent="0.25">
      <c r="B2019" t="s">
        <v>267</v>
      </c>
    </row>
    <row r="2020" spans="2:2" x14ac:dyDescent="0.25">
      <c r="B2020" t="s">
        <v>268</v>
      </c>
    </row>
    <row r="2021" spans="2:2" x14ac:dyDescent="0.25">
      <c r="B2021" t="s">
        <v>468</v>
      </c>
    </row>
    <row r="2022" spans="2:2" x14ac:dyDescent="0.25">
      <c r="B2022" t="s">
        <v>269</v>
      </c>
    </row>
    <row r="2023" spans="2:2" x14ac:dyDescent="0.25">
      <c r="B2023" t="s">
        <v>270</v>
      </c>
    </row>
    <row r="2024" spans="2:2" x14ac:dyDescent="0.25">
      <c r="B2024" t="s">
        <v>39</v>
      </c>
    </row>
    <row r="2025" spans="2:2" x14ac:dyDescent="0.25">
      <c r="B2025" t="s">
        <v>67</v>
      </c>
    </row>
    <row r="2026" spans="2:2" x14ac:dyDescent="0.25">
      <c r="B2026" t="s">
        <v>365</v>
      </c>
    </row>
    <row r="2027" spans="2:2" x14ac:dyDescent="0.25">
      <c r="B2027" t="s">
        <v>86</v>
      </c>
    </row>
    <row r="2028" spans="2:2" x14ac:dyDescent="0.25">
      <c r="B2028" t="s">
        <v>271</v>
      </c>
    </row>
    <row r="2029" spans="2:2" x14ac:dyDescent="0.25">
      <c r="B2029" t="s">
        <v>343</v>
      </c>
    </row>
    <row r="2030" spans="2:2" x14ac:dyDescent="0.25">
      <c r="B2030" t="s">
        <v>469</v>
      </c>
    </row>
    <row r="2031" spans="2:2" x14ac:dyDescent="0.25">
      <c r="B2031" t="s">
        <v>40</v>
      </c>
    </row>
    <row r="2032" spans="2:2" x14ac:dyDescent="0.25">
      <c r="B2032" t="s">
        <v>333</v>
      </c>
    </row>
    <row r="2033" spans="2:2" x14ac:dyDescent="0.25">
      <c r="B2033" t="s">
        <v>272</v>
      </c>
    </row>
    <row r="2034" spans="2:2" x14ac:dyDescent="0.25">
      <c r="B2034" t="s">
        <v>273</v>
      </c>
    </row>
    <row r="2035" spans="2:2" x14ac:dyDescent="0.25">
      <c r="B2035" t="s">
        <v>87</v>
      </c>
    </row>
    <row r="2036" spans="2:2" x14ac:dyDescent="0.25">
      <c r="B2036" t="s">
        <v>88</v>
      </c>
    </row>
    <row r="2037" spans="2:2" x14ac:dyDescent="0.25">
      <c r="B2037" t="s">
        <v>386</v>
      </c>
    </row>
    <row r="2038" spans="2:2" x14ac:dyDescent="0.25">
      <c r="B2038" t="s">
        <v>470</v>
      </c>
    </row>
    <row r="2039" spans="2:2" x14ac:dyDescent="0.25">
      <c r="B2039" t="s">
        <v>471</v>
      </c>
    </row>
    <row r="2040" spans="2:2" x14ac:dyDescent="0.25">
      <c r="B2040" t="s">
        <v>41</v>
      </c>
    </row>
    <row r="2041" spans="2:2" x14ac:dyDescent="0.25">
      <c r="B2041" t="s">
        <v>341</v>
      </c>
    </row>
    <row r="2042" spans="2:2" x14ac:dyDescent="0.25">
      <c r="B2042" t="s">
        <v>407</v>
      </c>
    </row>
    <row r="2043" spans="2:2" x14ac:dyDescent="0.25">
      <c r="B2043" t="s">
        <v>472</v>
      </c>
    </row>
    <row r="2044" spans="2:2" x14ac:dyDescent="0.25">
      <c r="B2044" t="s">
        <v>42</v>
      </c>
    </row>
    <row r="2045" spans="2:2" x14ac:dyDescent="0.25">
      <c r="B2045" t="s">
        <v>43</v>
      </c>
    </row>
    <row r="2046" spans="2:2" x14ac:dyDescent="0.25">
      <c r="B2046" t="s">
        <v>274</v>
      </c>
    </row>
    <row r="2047" spans="2:2" x14ac:dyDescent="0.25">
      <c r="B2047" t="s">
        <v>138</v>
      </c>
    </row>
    <row r="2048" spans="2:2" x14ac:dyDescent="0.25">
      <c r="B2048" t="s">
        <v>473</v>
      </c>
    </row>
    <row r="2049" spans="2:2" x14ac:dyDescent="0.25">
      <c r="B2049" t="s">
        <v>275</v>
      </c>
    </row>
    <row r="2050" spans="2:2" x14ac:dyDescent="0.25">
      <c r="B2050" t="s">
        <v>276</v>
      </c>
    </row>
    <row r="2051" spans="2:2" x14ac:dyDescent="0.25">
      <c r="B2051" t="s">
        <v>89</v>
      </c>
    </row>
    <row r="2052" spans="2:2" x14ac:dyDescent="0.25">
      <c r="B2052" t="s">
        <v>90</v>
      </c>
    </row>
    <row r="2053" spans="2:2" x14ac:dyDescent="0.25">
      <c r="B2053" t="s">
        <v>140</v>
      </c>
    </row>
    <row r="2054" spans="2:2" x14ac:dyDescent="0.25">
      <c r="B2054" t="s">
        <v>277</v>
      </c>
    </row>
    <row r="2055" spans="2:2" x14ac:dyDescent="0.25">
      <c r="B2055" t="s">
        <v>278</v>
      </c>
    </row>
    <row r="2056" spans="2:2" x14ac:dyDescent="0.25">
      <c r="B2056" t="s">
        <v>279</v>
      </c>
    </row>
    <row r="2057" spans="2:2" x14ac:dyDescent="0.25">
      <c r="B2057" t="s">
        <v>474</v>
      </c>
    </row>
    <row r="2058" spans="2:2" x14ac:dyDescent="0.25">
      <c r="B2058" t="s">
        <v>10</v>
      </c>
    </row>
    <row r="2059" spans="2:2" x14ac:dyDescent="0.25">
      <c r="B2059" t="s">
        <v>280</v>
      </c>
    </row>
    <row r="2060" spans="2:2" x14ac:dyDescent="0.25">
      <c r="B2060" t="s">
        <v>281</v>
      </c>
    </row>
    <row r="2061" spans="2:2" x14ac:dyDescent="0.25">
      <c r="B2061" t="s">
        <v>475</v>
      </c>
    </row>
    <row r="2062" spans="2:2" x14ac:dyDescent="0.25">
      <c r="B2062" t="s">
        <v>476</v>
      </c>
    </row>
    <row r="2063" spans="2:2" x14ac:dyDescent="0.25">
      <c r="B2063" t="s">
        <v>152</v>
      </c>
    </row>
    <row r="2064" spans="2:2" x14ac:dyDescent="0.25">
      <c r="B2064" t="s">
        <v>11</v>
      </c>
    </row>
    <row r="2065" spans="2:2" x14ac:dyDescent="0.25">
      <c r="B2065" t="s">
        <v>282</v>
      </c>
    </row>
    <row r="2066" spans="2:2" x14ac:dyDescent="0.25">
      <c r="B2066" t="s">
        <v>401</v>
      </c>
    </row>
    <row r="2067" spans="2:2" x14ac:dyDescent="0.25">
      <c r="B2067" t="s">
        <v>387</v>
      </c>
    </row>
    <row r="2068" spans="2:2" x14ac:dyDescent="0.25">
      <c r="B2068" t="s">
        <v>477</v>
      </c>
    </row>
    <row r="2069" spans="2:2" x14ac:dyDescent="0.25">
      <c r="B2069" t="s">
        <v>44</v>
      </c>
    </row>
    <row r="2070" spans="2:2" x14ac:dyDescent="0.25">
      <c r="B2070" t="s">
        <v>360</v>
      </c>
    </row>
    <row r="2071" spans="2:2" x14ac:dyDescent="0.25">
      <c r="B2071" t="s">
        <v>68</v>
      </c>
    </row>
    <row r="2072" spans="2:2" x14ac:dyDescent="0.25">
      <c r="B2072" t="s">
        <v>45</v>
      </c>
    </row>
    <row r="2073" spans="2:2" x14ac:dyDescent="0.25">
      <c r="B2073" t="s">
        <v>283</v>
      </c>
    </row>
    <row r="2074" spans="2:2" x14ac:dyDescent="0.25">
      <c r="B2074" t="s">
        <v>284</v>
      </c>
    </row>
    <row r="2075" spans="2:2" x14ac:dyDescent="0.25">
      <c r="B2075" t="s">
        <v>70</v>
      </c>
    </row>
    <row r="2076" spans="2:2" x14ac:dyDescent="0.25">
      <c r="B2076" t="s">
        <v>402</v>
      </c>
    </row>
    <row r="2077" spans="2:2" x14ac:dyDescent="0.25">
      <c r="B2077" t="s">
        <v>478</v>
      </c>
    </row>
    <row r="2078" spans="2:2" x14ac:dyDescent="0.25">
      <c r="B2078" t="s">
        <v>479</v>
      </c>
    </row>
    <row r="2079" spans="2:2" x14ac:dyDescent="0.25">
      <c r="B2079" t="s">
        <v>285</v>
      </c>
    </row>
    <row r="2080" spans="2:2" x14ac:dyDescent="0.25">
      <c r="B2080" t="s">
        <v>348</v>
      </c>
    </row>
    <row r="2081" spans="2:2" x14ac:dyDescent="0.25">
      <c r="B2081" t="s">
        <v>286</v>
      </c>
    </row>
    <row r="2082" spans="2:2" x14ac:dyDescent="0.25">
      <c r="B2082" t="s">
        <v>480</v>
      </c>
    </row>
    <row r="2083" spans="2:2" x14ac:dyDescent="0.25">
      <c r="B2083" t="s">
        <v>46</v>
      </c>
    </row>
    <row r="2084" spans="2:2" x14ac:dyDescent="0.25">
      <c r="B2084" t="s">
        <v>47</v>
      </c>
    </row>
    <row r="2085" spans="2:2" x14ac:dyDescent="0.25">
      <c r="B2085" t="s">
        <v>48</v>
      </c>
    </row>
    <row r="2086" spans="2:2" x14ac:dyDescent="0.25">
      <c r="B2086" t="s">
        <v>12</v>
      </c>
    </row>
    <row r="2087" spans="2:2" x14ac:dyDescent="0.25">
      <c r="B2087" t="s">
        <v>49</v>
      </c>
    </row>
    <row r="2088" spans="2:2" x14ac:dyDescent="0.25">
      <c r="B2088" t="s">
        <v>388</v>
      </c>
    </row>
    <row r="2089" spans="2:2" x14ac:dyDescent="0.25">
      <c r="B2089" t="s">
        <v>287</v>
      </c>
    </row>
    <row r="2090" spans="2:2" x14ac:dyDescent="0.25">
      <c r="B2090" t="s">
        <v>361</v>
      </c>
    </row>
    <row r="2091" spans="2:2" x14ac:dyDescent="0.25">
      <c r="B2091" t="s">
        <v>50</v>
      </c>
    </row>
    <row r="2092" spans="2:2" x14ac:dyDescent="0.25">
      <c r="B2092" t="s">
        <v>353</v>
      </c>
    </row>
    <row r="2093" spans="2:2" x14ac:dyDescent="0.25">
      <c r="B2093" t="s">
        <v>100</v>
      </c>
    </row>
    <row r="2094" spans="2:2" x14ac:dyDescent="0.25">
      <c r="B2094" t="s">
        <v>92</v>
      </c>
    </row>
    <row r="2095" spans="2:2" x14ac:dyDescent="0.25">
      <c r="B2095" t="s">
        <v>408</v>
      </c>
    </row>
    <row r="2096" spans="2:2" x14ac:dyDescent="0.25">
      <c r="B2096" t="s">
        <v>481</v>
      </c>
    </row>
    <row r="2097" spans="2:2" x14ac:dyDescent="0.25">
      <c r="B2097" t="s">
        <v>288</v>
      </c>
    </row>
    <row r="2098" spans="2:2" x14ac:dyDescent="0.25">
      <c r="B2098" t="s">
        <v>13</v>
      </c>
    </row>
    <row r="2099" spans="2:2" x14ac:dyDescent="0.25">
      <c r="B2099" t="s">
        <v>403</v>
      </c>
    </row>
    <row r="2100" spans="2:2" x14ac:dyDescent="0.25">
      <c r="B2100" t="s">
        <v>349</v>
      </c>
    </row>
    <row r="2101" spans="2:2" x14ac:dyDescent="0.25">
      <c r="B2101" t="s">
        <v>289</v>
      </c>
    </row>
    <row r="2102" spans="2:2" x14ac:dyDescent="0.25">
      <c r="B2102" t="s">
        <v>290</v>
      </c>
    </row>
    <row r="2103" spans="2:2" x14ac:dyDescent="0.25">
      <c r="B2103" t="s">
        <v>51</v>
      </c>
    </row>
    <row r="2104" spans="2:2" x14ac:dyDescent="0.25">
      <c r="B2104" t="s">
        <v>52</v>
      </c>
    </row>
    <row r="2105" spans="2:2" x14ac:dyDescent="0.25">
      <c r="B2105" t="s">
        <v>482</v>
      </c>
    </row>
    <row r="2106" spans="2:2" x14ac:dyDescent="0.25">
      <c r="B2106" t="s">
        <v>291</v>
      </c>
    </row>
    <row r="2107" spans="2:2" x14ac:dyDescent="0.25">
      <c r="B2107" t="s">
        <v>292</v>
      </c>
    </row>
    <row r="2108" spans="2:2" x14ac:dyDescent="0.25">
      <c r="B2108" t="s">
        <v>153</v>
      </c>
    </row>
    <row r="2109" spans="2:2" x14ac:dyDescent="0.25">
      <c r="B2109" t="s">
        <v>293</v>
      </c>
    </row>
    <row r="2110" spans="2:2" x14ac:dyDescent="0.25">
      <c r="B2110" t="s">
        <v>294</v>
      </c>
    </row>
    <row r="2111" spans="2:2" x14ac:dyDescent="0.25">
      <c r="B2111" t="s">
        <v>390</v>
      </c>
    </row>
    <row r="2112" spans="2:2" x14ac:dyDescent="0.25">
      <c r="B2112" t="s">
        <v>391</v>
      </c>
    </row>
    <row r="2113" spans="2:2" x14ac:dyDescent="0.25">
      <c r="B2113" t="s">
        <v>392</v>
      </c>
    </row>
    <row r="2114" spans="2:2" x14ac:dyDescent="0.25">
      <c r="B2114" t="s">
        <v>53</v>
      </c>
    </row>
    <row r="2115" spans="2:2" x14ac:dyDescent="0.25">
      <c r="B2115" t="s">
        <v>103</v>
      </c>
    </row>
    <row r="2116" spans="2:2" x14ac:dyDescent="0.25">
      <c r="B2116" t="s">
        <v>54</v>
      </c>
    </row>
    <row r="2117" spans="2:2" x14ac:dyDescent="0.25">
      <c r="B2117" t="s">
        <v>295</v>
      </c>
    </row>
    <row r="2118" spans="2:2" x14ac:dyDescent="0.25">
      <c r="B2118" t="s">
        <v>296</v>
      </c>
    </row>
    <row r="2119" spans="2:2" x14ac:dyDescent="0.25">
      <c r="B2119" t="s">
        <v>483</v>
      </c>
    </row>
    <row r="2120" spans="2:2" x14ac:dyDescent="0.25">
      <c r="B2120" t="s">
        <v>142</v>
      </c>
    </row>
    <row r="2121" spans="2:2" x14ac:dyDescent="0.25">
      <c r="B2121" t="s">
        <v>143</v>
      </c>
    </row>
    <row r="2122" spans="2:2" x14ac:dyDescent="0.25">
      <c r="B2122" t="s">
        <v>297</v>
      </c>
    </row>
    <row r="2123" spans="2:2" x14ac:dyDescent="0.25">
      <c r="B2123" t="s">
        <v>94</v>
      </c>
    </row>
    <row r="2124" spans="2:2" x14ac:dyDescent="0.25">
      <c r="B2124" t="s">
        <v>298</v>
      </c>
    </row>
    <row r="2125" spans="2:2" x14ac:dyDescent="0.25">
      <c r="B2125" t="s">
        <v>145</v>
      </c>
    </row>
    <row r="2126" spans="2:2" x14ac:dyDescent="0.25">
      <c r="B2126" t="s">
        <v>484</v>
      </c>
    </row>
    <row r="2127" spans="2:2" x14ac:dyDescent="0.25">
      <c r="B2127" t="s">
        <v>299</v>
      </c>
    </row>
    <row r="2128" spans="2:2" x14ac:dyDescent="0.25">
      <c r="B2128" t="s">
        <v>300</v>
      </c>
    </row>
    <row r="2129" spans="2:2" x14ac:dyDescent="0.25">
      <c r="B2129" t="s">
        <v>301</v>
      </c>
    </row>
    <row r="2130" spans="2:2" x14ac:dyDescent="0.25">
      <c r="B2130" t="s">
        <v>95</v>
      </c>
    </row>
    <row r="2131" spans="2:2" x14ac:dyDescent="0.25">
      <c r="B2131" t="s">
        <v>302</v>
      </c>
    </row>
    <row r="2132" spans="2:2" x14ac:dyDescent="0.25">
      <c r="B2132" t="s">
        <v>485</v>
      </c>
    </row>
    <row r="2133" spans="2:2" x14ac:dyDescent="0.25">
      <c r="B2133" t="s">
        <v>346</v>
      </c>
    </row>
    <row r="2134" spans="2:2" x14ac:dyDescent="0.25">
      <c r="B2134" t="s">
        <v>486</v>
      </c>
    </row>
    <row r="2135" spans="2:2" x14ac:dyDescent="0.25">
      <c r="B2135" t="s">
        <v>393</v>
      </c>
    </row>
    <row r="2136" spans="2:2" x14ac:dyDescent="0.25">
      <c r="B2136" t="s">
        <v>303</v>
      </c>
    </row>
    <row r="2137" spans="2:2" x14ac:dyDescent="0.25">
      <c r="B2137" t="s">
        <v>304</v>
      </c>
    </row>
    <row r="2138" spans="2:2" x14ac:dyDescent="0.25">
      <c r="B2138" t="s">
        <v>305</v>
      </c>
    </row>
    <row r="2139" spans="2:2" x14ac:dyDescent="0.25">
      <c r="B2139" t="s">
        <v>96</v>
      </c>
    </row>
    <row r="2140" spans="2:2" x14ac:dyDescent="0.25">
      <c r="B2140" t="s">
        <v>146</v>
      </c>
    </row>
    <row r="2141" spans="2:2" x14ac:dyDescent="0.25">
      <c r="B2141" t="s">
        <v>306</v>
      </c>
    </row>
    <row r="2142" spans="2:2" x14ac:dyDescent="0.25">
      <c r="B2142" t="s">
        <v>55</v>
      </c>
    </row>
    <row r="2143" spans="2:2" x14ac:dyDescent="0.25">
      <c r="B2143" t="s">
        <v>487</v>
      </c>
    </row>
    <row r="2144" spans="2:2" x14ac:dyDescent="0.25">
      <c r="B2144" t="s">
        <v>488</v>
      </c>
    </row>
    <row r="2145" spans="2:2" x14ac:dyDescent="0.25">
      <c r="B2145" t="s">
        <v>394</v>
      </c>
    </row>
    <row r="2146" spans="2:2" x14ac:dyDescent="0.25">
      <c r="B2146" t="s">
        <v>56</v>
      </c>
    </row>
    <row r="2147" spans="2:2" x14ac:dyDescent="0.25">
      <c r="B2147" t="s">
        <v>307</v>
      </c>
    </row>
    <row r="2148" spans="2:2" x14ac:dyDescent="0.25">
      <c r="B2148" t="s">
        <v>308</v>
      </c>
    </row>
    <row r="2149" spans="2:2" x14ac:dyDescent="0.25">
      <c r="B2149" t="s">
        <v>489</v>
      </c>
    </row>
    <row r="2150" spans="2:2" x14ac:dyDescent="0.25">
      <c r="B2150" t="s">
        <v>309</v>
      </c>
    </row>
    <row r="2151" spans="2:2" x14ac:dyDescent="0.25">
      <c r="B2151" t="s">
        <v>57</v>
      </c>
    </row>
    <row r="2152" spans="2:2" x14ac:dyDescent="0.25">
      <c r="B2152" t="s">
        <v>490</v>
      </c>
    </row>
    <row r="2153" spans="2:2" x14ac:dyDescent="0.25">
      <c r="B2153" t="s">
        <v>58</v>
      </c>
    </row>
    <row r="2154" spans="2:2" x14ac:dyDescent="0.25">
      <c r="B2154" t="s">
        <v>59</v>
      </c>
    </row>
    <row r="2155" spans="2:2" x14ac:dyDescent="0.25">
      <c r="B2155" t="s">
        <v>404</v>
      </c>
    </row>
    <row r="2156" spans="2:2" x14ac:dyDescent="0.25">
      <c r="B2156" t="s">
        <v>97</v>
      </c>
    </row>
    <row r="2157" spans="2:2" x14ac:dyDescent="0.25">
      <c r="B2157" t="s">
        <v>310</v>
      </c>
    </row>
    <row r="2158" spans="2:2" x14ac:dyDescent="0.25">
      <c r="B2158" t="s">
        <v>311</v>
      </c>
    </row>
    <row r="2159" spans="2:2" x14ac:dyDescent="0.25">
      <c r="B2159" t="s">
        <v>312</v>
      </c>
    </row>
    <row r="2160" spans="2:2" x14ac:dyDescent="0.25">
      <c r="B2160" t="s">
        <v>491</v>
      </c>
    </row>
    <row r="2161" spans="2:2" x14ac:dyDescent="0.25">
      <c r="B2161" t="s">
        <v>313</v>
      </c>
    </row>
    <row r="2162" spans="2:2" x14ac:dyDescent="0.25">
      <c r="B2162" t="s">
        <v>314</v>
      </c>
    </row>
    <row r="2163" spans="2:2" x14ac:dyDescent="0.25">
      <c r="B2163" t="s">
        <v>315</v>
      </c>
    </row>
    <row r="2164" spans="2:2" x14ac:dyDescent="0.25">
      <c r="B2164" t="s">
        <v>316</v>
      </c>
    </row>
    <row r="2165" spans="2:2" x14ac:dyDescent="0.25">
      <c r="B2165" t="s">
        <v>14</v>
      </c>
    </row>
    <row r="2166" spans="2:2" x14ac:dyDescent="0.25">
      <c r="B2166" t="s">
        <v>317</v>
      </c>
    </row>
    <row r="2167" spans="2:2" x14ac:dyDescent="0.25">
      <c r="B2167" t="s">
        <v>318</v>
      </c>
    </row>
    <row r="2168" spans="2:2" x14ac:dyDescent="0.25">
      <c r="B2168" t="s">
        <v>319</v>
      </c>
    </row>
    <row r="2169" spans="2:2" x14ac:dyDescent="0.25">
      <c r="B2169" t="s">
        <v>492</v>
      </c>
    </row>
    <row r="2170" spans="2:2" x14ac:dyDescent="0.25">
      <c r="B2170" t="s">
        <v>320</v>
      </c>
    </row>
    <row r="2171" spans="2:2" x14ac:dyDescent="0.25">
      <c r="B2171" t="s">
        <v>395</v>
      </c>
    </row>
    <row r="2172" spans="2:2" x14ac:dyDescent="0.25">
      <c r="B2172" t="s">
        <v>362</v>
      </c>
    </row>
    <row r="2173" spans="2:2" x14ac:dyDescent="0.25">
      <c r="B2173" t="s">
        <v>493</v>
      </c>
    </row>
    <row r="2174" spans="2:2" x14ac:dyDescent="0.25">
      <c r="B2174" t="s">
        <v>60</v>
      </c>
    </row>
    <row r="2175" spans="2:2" x14ac:dyDescent="0.25">
      <c r="B2175" t="s">
        <v>61</v>
      </c>
    </row>
    <row r="2176" spans="2:2" x14ac:dyDescent="0.25">
      <c r="B2176" t="s">
        <v>321</v>
      </c>
    </row>
    <row r="2177" spans="2:2" x14ac:dyDescent="0.25">
      <c r="B2177" t="s">
        <v>104</v>
      </c>
    </row>
    <row r="2178" spans="2:2" x14ac:dyDescent="0.25">
      <c r="B2178" t="s">
        <v>494</v>
      </c>
    </row>
    <row r="2179" spans="2:2" x14ac:dyDescent="0.25">
      <c r="B2179" t="s">
        <v>322</v>
      </c>
    </row>
    <row r="2180" spans="2:2" x14ac:dyDescent="0.25">
      <c r="B2180" t="s">
        <v>147</v>
      </c>
    </row>
    <row r="2181" spans="2:2" x14ac:dyDescent="0.25">
      <c r="B2181" t="s">
        <v>15</v>
      </c>
    </row>
    <row r="2182" spans="2:2" x14ac:dyDescent="0.25">
      <c r="B2182" t="s">
        <v>323</v>
      </c>
    </row>
    <row r="2183" spans="2:2" x14ac:dyDescent="0.25">
      <c r="B2183" t="s">
        <v>324</v>
      </c>
    </row>
    <row r="2184" spans="2:2" x14ac:dyDescent="0.25">
      <c r="B2184" t="s">
        <v>325</v>
      </c>
    </row>
    <row r="2185" spans="2:2" x14ac:dyDescent="0.25">
      <c r="B2185" t="s">
        <v>335</v>
      </c>
    </row>
    <row r="2186" spans="2:2" x14ac:dyDescent="0.25">
      <c r="B2186" t="s">
        <v>326</v>
      </c>
    </row>
    <row r="2187" spans="2:2" x14ac:dyDescent="0.25">
      <c r="B2187" t="s">
        <v>327</v>
      </c>
    </row>
    <row r="2188" spans="2:2" x14ac:dyDescent="0.25">
      <c r="B2188" t="s">
        <v>495</v>
      </c>
    </row>
    <row r="2189" spans="2:2" x14ac:dyDescent="0.25">
      <c r="B2189" t="s">
        <v>515</v>
      </c>
    </row>
    <row r="2190" spans="2:2" x14ac:dyDescent="0.25">
      <c r="B2190" t="s">
        <v>516</v>
      </c>
    </row>
    <row r="2191" spans="2:2" x14ac:dyDescent="0.25">
      <c r="B2191" t="s">
        <v>3</v>
      </c>
    </row>
    <row r="2192" spans="2:2" x14ac:dyDescent="0.25">
      <c r="B2192" t="s">
        <v>4</v>
      </c>
    </row>
    <row r="2193" spans="2:2" x14ac:dyDescent="0.25">
      <c r="B2193" t="s">
        <v>5</v>
      </c>
    </row>
    <row r="2194" spans="2:2" x14ac:dyDescent="0.25">
      <c r="B2194" t="s">
        <v>6</v>
      </c>
    </row>
    <row r="2195" spans="2:2" x14ac:dyDescent="0.25">
      <c r="B2195" t="s">
        <v>7</v>
      </c>
    </row>
    <row r="2196" spans="2:2" x14ac:dyDescent="0.25">
      <c r="B2196" t="s">
        <v>8</v>
      </c>
    </row>
    <row r="2197" spans="2:2" x14ac:dyDescent="0.25">
      <c r="B2197" t="s">
        <v>9</v>
      </c>
    </row>
    <row r="2198" spans="2:2" x14ac:dyDescent="0.25">
      <c r="B2198" t="s">
        <v>10</v>
      </c>
    </row>
    <row r="2199" spans="2:2" x14ac:dyDescent="0.25">
      <c r="B2199" t="s">
        <v>13</v>
      </c>
    </row>
    <row r="2200" spans="2:2" x14ac:dyDescent="0.25">
      <c r="B2200" t="s">
        <v>14</v>
      </c>
    </row>
    <row r="2201" spans="2:2" x14ac:dyDescent="0.25">
      <c r="B2201" t="s">
        <v>15</v>
      </c>
    </row>
    <row r="2202" spans="2:2" x14ac:dyDescent="0.25">
      <c r="B2202" t="s">
        <v>517</v>
      </c>
    </row>
    <row r="2203" spans="2:2" x14ac:dyDescent="0.25">
      <c r="B2203" t="s">
        <v>329</v>
      </c>
    </row>
    <row r="2204" spans="2:2" x14ac:dyDescent="0.25">
      <c r="B2204" t="s">
        <v>107</v>
      </c>
    </row>
    <row r="2205" spans="2:2" x14ac:dyDescent="0.25">
      <c r="B2205" t="s">
        <v>414</v>
      </c>
    </row>
    <row r="2206" spans="2:2" x14ac:dyDescent="0.25">
      <c r="B2206" t="s">
        <v>418</v>
      </c>
    </row>
    <row r="2207" spans="2:2" x14ac:dyDescent="0.25">
      <c r="B2207" t="s">
        <v>398</v>
      </c>
    </row>
    <row r="2208" spans="2:2" x14ac:dyDescent="0.25">
      <c r="B2208" t="s">
        <v>114</v>
      </c>
    </row>
    <row r="2209" spans="2:2" x14ac:dyDescent="0.25">
      <c r="B2209" t="s">
        <v>411</v>
      </c>
    </row>
    <row r="2210" spans="2:2" x14ac:dyDescent="0.25">
      <c r="B2210" t="s">
        <v>118</v>
      </c>
    </row>
    <row r="2211" spans="2:2" x14ac:dyDescent="0.25">
      <c r="B2211" t="s">
        <v>119</v>
      </c>
    </row>
    <row r="2212" spans="2:2" x14ac:dyDescent="0.25">
      <c r="B2212" t="s">
        <v>121</v>
      </c>
    </row>
    <row r="2213" spans="2:2" x14ac:dyDescent="0.25">
      <c r="B2213" t="s">
        <v>357</v>
      </c>
    </row>
    <row r="2214" spans="2:2" x14ac:dyDescent="0.25">
      <c r="B2214" t="s">
        <v>376</v>
      </c>
    </row>
    <row r="2215" spans="2:2" x14ac:dyDescent="0.25">
      <c r="B2215" t="s">
        <v>358</v>
      </c>
    </row>
    <row r="2216" spans="2:2" x14ac:dyDescent="0.25">
      <c r="B2216" t="s">
        <v>424</v>
      </c>
    </row>
    <row r="2217" spans="2:2" x14ac:dyDescent="0.25">
      <c r="B2217" t="s">
        <v>359</v>
      </c>
    </row>
    <row r="2218" spans="2:2" x14ac:dyDescent="0.25">
      <c r="B2218" t="s">
        <v>127</v>
      </c>
    </row>
    <row r="2219" spans="2:2" x14ac:dyDescent="0.25">
      <c r="B2219" t="s">
        <v>416</v>
      </c>
    </row>
    <row r="2220" spans="2:2" x14ac:dyDescent="0.25">
      <c r="B2220" t="s">
        <v>129</v>
      </c>
    </row>
    <row r="2221" spans="2:2" x14ac:dyDescent="0.25">
      <c r="B2221" t="s">
        <v>331</v>
      </c>
    </row>
    <row r="2222" spans="2:2" x14ac:dyDescent="0.25">
      <c r="B2222" t="s">
        <v>332</v>
      </c>
    </row>
    <row r="2223" spans="2:2" x14ac:dyDescent="0.25">
      <c r="B2223" t="s">
        <v>425</v>
      </c>
    </row>
    <row r="2224" spans="2:2" x14ac:dyDescent="0.25">
      <c r="B2224" t="s">
        <v>133</v>
      </c>
    </row>
    <row r="2225" spans="2:2" x14ac:dyDescent="0.25">
      <c r="B2225" t="s">
        <v>66</v>
      </c>
    </row>
    <row r="2226" spans="2:2" x14ac:dyDescent="0.25">
      <c r="B2226" t="s">
        <v>412</v>
      </c>
    </row>
    <row r="2227" spans="2:2" x14ac:dyDescent="0.25">
      <c r="B2227" t="s">
        <v>364</v>
      </c>
    </row>
    <row r="2228" spans="2:2" x14ac:dyDescent="0.25">
      <c r="B2228" t="s">
        <v>420</v>
      </c>
    </row>
    <row r="2229" spans="2:2" x14ac:dyDescent="0.25">
      <c r="B2229" t="s">
        <v>137</v>
      </c>
    </row>
    <row r="2230" spans="2:2" x14ac:dyDescent="0.25">
      <c r="B2230" t="s">
        <v>139</v>
      </c>
    </row>
    <row r="2231" spans="2:2" x14ac:dyDescent="0.25">
      <c r="B2231" t="s">
        <v>352</v>
      </c>
    </row>
    <row r="2232" spans="2:2" x14ac:dyDescent="0.25">
      <c r="B2232" t="s">
        <v>91</v>
      </c>
    </row>
    <row r="2233" spans="2:2" x14ac:dyDescent="0.25">
      <c r="B2233" t="s">
        <v>141</v>
      </c>
    </row>
    <row r="2234" spans="2:2" x14ac:dyDescent="0.25">
      <c r="B2234" t="s">
        <v>421</v>
      </c>
    </row>
    <row r="2235" spans="2:2" x14ac:dyDescent="0.25">
      <c r="B2235" t="s">
        <v>69</v>
      </c>
    </row>
    <row r="2236" spans="2:2" x14ac:dyDescent="0.25">
      <c r="B2236" t="s">
        <v>71</v>
      </c>
    </row>
    <row r="2237" spans="2:2" x14ac:dyDescent="0.25">
      <c r="B2237" t="s">
        <v>389</v>
      </c>
    </row>
    <row r="2238" spans="2:2" x14ac:dyDescent="0.25">
      <c r="B2238" t="s">
        <v>93</v>
      </c>
    </row>
    <row r="2239" spans="2:2" x14ac:dyDescent="0.25">
      <c r="B2239" t="s">
        <v>72</v>
      </c>
    </row>
    <row r="2240" spans="2:2" x14ac:dyDescent="0.25">
      <c r="B2240" t="s">
        <v>144</v>
      </c>
    </row>
    <row r="2241" spans="2:2" x14ac:dyDescent="0.25">
      <c r="B2241" t="s">
        <v>334</v>
      </c>
    </row>
    <row r="2242" spans="2:2" x14ac:dyDescent="0.25">
      <c r="B2242" t="s">
        <v>426</v>
      </c>
    </row>
    <row r="2243" spans="2:2" x14ac:dyDescent="0.25">
      <c r="B2243" t="s">
        <v>354</v>
      </c>
    </row>
    <row r="2244" spans="2:2" x14ac:dyDescent="0.25">
      <c r="B2244" t="s">
        <v>422</v>
      </c>
    </row>
    <row r="2245" spans="2:2" x14ac:dyDescent="0.25">
      <c r="B2245" t="s">
        <v>518</v>
      </c>
    </row>
    <row r="2246" spans="2:2" x14ac:dyDescent="0.25">
      <c r="B2246" t="s">
        <v>155</v>
      </c>
    </row>
    <row r="2247" spans="2:2" x14ac:dyDescent="0.25">
      <c r="B2247" t="s">
        <v>428</v>
      </c>
    </row>
    <row r="2248" spans="2:2" x14ac:dyDescent="0.25">
      <c r="B2248" t="s">
        <v>156</v>
      </c>
    </row>
    <row r="2249" spans="2:2" x14ac:dyDescent="0.25">
      <c r="B2249" t="s">
        <v>397</v>
      </c>
    </row>
    <row r="2250" spans="2:2" x14ac:dyDescent="0.25">
      <c r="B2250" t="s">
        <v>157</v>
      </c>
    </row>
    <row r="2251" spans="2:2" x14ac:dyDescent="0.25">
      <c r="B2251" t="s">
        <v>158</v>
      </c>
    </row>
    <row r="2252" spans="2:2" x14ac:dyDescent="0.25">
      <c r="B2252" t="s">
        <v>429</v>
      </c>
    </row>
    <row r="2253" spans="2:2" x14ac:dyDescent="0.25">
      <c r="B2253" t="s">
        <v>159</v>
      </c>
    </row>
    <row r="2254" spans="2:2" x14ac:dyDescent="0.25">
      <c r="B2254" t="s">
        <v>160</v>
      </c>
    </row>
    <row r="2255" spans="2:2" x14ac:dyDescent="0.25">
      <c r="B2255" t="s">
        <v>17</v>
      </c>
    </row>
    <row r="2256" spans="2:2" x14ac:dyDescent="0.25">
      <c r="B2256" t="s">
        <v>18</v>
      </c>
    </row>
    <row r="2257" spans="2:2" x14ac:dyDescent="0.25">
      <c r="B2257" t="s">
        <v>161</v>
      </c>
    </row>
    <row r="2258" spans="2:2" x14ac:dyDescent="0.25">
      <c r="B2258" t="s">
        <v>162</v>
      </c>
    </row>
    <row r="2259" spans="2:2" x14ac:dyDescent="0.25">
      <c r="B2259" t="s">
        <v>163</v>
      </c>
    </row>
    <row r="2260" spans="2:2" x14ac:dyDescent="0.25">
      <c r="B2260" t="s">
        <v>164</v>
      </c>
    </row>
    <row r="2261" spans="2:2" x14ac:dyDescent="0.25">
      <c r="B2261" t="s">
        <v>63</v>
      </c>
    </row>
    <row r="2262" spans="2:2" x14ac:dyDescent="0.25">
      <c r="B2262" t="s">
        <v>367</v>
      </c>
    </row>
    <row r="2263" spans="2:2" x14ac:dyDescent="0.25">
      <c r="B2263" t="s">
        <v>368</v>
      </c>
    </row>
    <row r="2264" spans="2:2" x14ac:dyDescent="0.25">
      <c r="B2264" t="s">
        <v>369</v>
      </c>
    </row>
    <row r="2265" spans="2:2" x14ac:dyDescent="0.25">
      <c r="B2265" t="s">
        <v>430</v>
      </c>
    </row>
    <row r="2266" spans="2:2" x14ac:dyDescent="0.25">
      <c r="B2266" t="s">
        <v>19</v>
      </c>
    </row>
    <row r="2267" spans="2:2" x14ac:dyDescent="0.25">
      <c r="B2267" t="s">
        <v>431</v>
      </c>
    </row>
    <row r="2268" spans="2:2" x14ac:dyDescent="0.25">
      <c r="B2268" t="s">
        <v>165</v>
      </c>
    </row>
    <row r="2269" spans="2:2" x14ac:dyDescent="0.25">
      <c r="B2269" t="s">
        <v>432</v>
      </c>
    </row>
    <row r="2270" spans="2:2" x14ac:dyDescent="0.25">
      <c r="B2270" t="s">
        <v>74</v>
      </c>
    </row>
    <row r="2271" spans="2:2" x14ac:dyDescent="0.25">
      <c r="B2271" t="s">
        <v>433</v>
      </c>
    </row>
    <row r="2272" spans="2:2" x14ac:dyDescent="0.25">
      <c r="B2272" t="s">
        <v>166</v>
      </c>
    </row>
    <row r="2273" spans="2:2" x14ac:dyDescent="0.25">
      <c r="B2273" t="s">
        <v>434</v>
      </c>
    </row>
    <row r="2274" spans="2:2" x14ac:dyDescent="0.25">
      <c r="B2274" t="s">
        <v>370</v>
      </c>
    </row>
    <row r="2275" spans="2:2" x14ac:dyDescent="0.25">
      <c r="B2275" t="s">
        <v>167</v>
      </c>
    </row>
    <row r="2276" spans="2:2" x14ac:dyDescent="0.25">
      <c r="B2276" t="s">
        <v>168</v>
      </c>
    </row>
    <row r="2277" spans="2:2" x14ac:dyDescent="0.25">
      <c r="B2277" t="s">
        <v>435</v>
      </c>
    </row>
    <row r="2278" spans="2:2" x14ac:dyDescent="0.25">
      <c r="B2278" t="s">
        <v>169</v>
      </c>
    </row>
    <row r="2279" spans="2:2" x14ac:dyDescent="0.25">
      <c r="B2279" t="s">
        <v>436</v>
      </c>
    </row>
    <row r="2280" spans="2:2" x14ac:dyDescent="0.25">
      <c r="B2280" t="s">
        <v>371</v>
      </c>
    </row>
    <row r="2281" spans="2:2" x14ac:dyDescent="0.25">
      <c r="B2281" t="s">
        <v>437</v>
      </c>
    </row>
    <row r="2282" spans="2:2" x14ac:dyDescent="0.25">
      <c r="B2282" t="s">
        <v>170</v>
      </c>
    </row>
    <row r="2283" spans="2:2" x14ac:dyDescent="0.25">
      <c r="B2283" t="s">
        <v>171</v>
      </c>
    </row>
    <row r="2284" spans="2:2" x14ac:dyDescent="0.25">
      <c r="B2284" t="s">
        <v>172</v>
      </c>
    </row>
    <row r="2285" spans="2:2" x14ac:dyDescent="0.25">
      <c r="B2285" t="s">
        <v>106</v>
      </c>
    </row>
    <row r="2286" spans="2:2" x14ac:dyDescent="0.25">
      <c r="B2286" t="s">
        <v>173</v>
      </c>
    </row>
    <row r="2287" spans="2:2" x14ac:dyDescent="0.25">
      <c r="B2287" t="s">
        <v>20</v>
      </c>
    </row>
    <row r="2288" spans="2:2" x14ac:dyDescent="0.25">
      <c r="B2288" t="s">
        <v>356</v>
      </c>
    </row>
    <row r="2289" spans="2:2" x14ac:dyDescent="0.25">
      <c r="B2289" t="s">
        <v>174</v>
      </c>
    </row>
    <row r="2290" spans="2:2" x14ac:dyDescent="0.25">
      <c r="B2290" t="s">
        <v>175</v>
      </c>
    </row>
    <row r="2291" spans="2:2" x14ac:dyDescent="0.25">
      <c r="B2291" t="s">
        <v>438</v>
      </c>
    </row>
    <row r="2292" spans="2:2" x14ac:dyDescent="0.25">
      <c r="B2292" t="s">
        <v>176</v>
      </c>
    </row>
    <row r="2293" spans="2:2" x14ac:dyDescent="0.25">
      <c r="B2293" t="s">
        <v>439</v>
      </c>
    </row>
    <row r="2294" spans="2:2" x14ac:dyDescent="0.25">
      <c r="B2294" t="s">
        <v>410</v>
      </c>
    </row>
    <row r="2295" spans="2:2" x14ac:dyDescent="0.25">
      <c r="B2295" t="s">
        <v>440</v>
      </c>
    </row>
    <row r="2296" spans="2:2" x14ac:dyDescent="0.25">
      <c r="B2296" t="s">
        <v>441</v>
      </c>
    </row>
    <row r="2297" spans="2:2" x14ac:dyDescent="0.25">
      <c r="B2297" t="s">
        <v>177</v>
      </c>
    </row>
    <row r="2298" spans="2:2" x14ac:dyDescent="0.25">
      <c r="B2298" t="s">
        <v>178</v>
      </c>
    </row>
    <row r="2299" spans="2:2" x14ac:dyDescent="0.25">
      <c r="B2299" t="s">
        <v>21</v>
      </c>
    </row>
    <row r="2300" spans="2:2" x14ac:dyDescent="0.25">
      <c r="B2300" t="s">
        <v>179</v>
      </c>
    </row>
    <row r="2301" spans="2:2" x14ac:dyDescent="0.25">
      <c r="B2301" t="s">
        <v>372</v>
      </c>
    </row>
    <row r="2302" spans="2:2" x14ac:dyDescent="0.25">
      <c r="B2302" t="s">
        <v>337</v>
      </c>
    </row>
    <row r="2303" spans="2:2" x14ac:dyDescent="0.25">
      <c r="B2303" t="s">
        <v>180</v>
      </c>
    </row>
    <row r="2304" spans="2:2" x14ac:dyDescent="0.25">
      <c r="B2304" t="s">
        <v>181</v>
      </c>
    </row>
    <row r="2305" spans="2:2" x14ac:dyDescent="0.25">
      <c r="B2305" t="s">
        <v>182</v>
      </c>
    </row>
    <row r="2306" spans="2:2" x14ac:dyDescent="0.25">
      <c r="B2306" t="s">
        <v>108</v>
      </c>
    </row>
    <row r="2307" spans="2:2" x14ac:dyDescent="0.25">
      <c r="B2307" t="s">
        <v>183</v>
      </c>
    </row>
    <row r="2308" spans="2:2" x14ac:dyDescent="0.25">
      <c r="B2308" t="s">
        <v>184</v>
      </c>
    </row>
    <row r="2309" spans="2:2" x14ac:dyDescent="0.25">
      <c r="B2309" t="s">
        <v>185</v>
      </c>
    </row>
    <row r="2310" spans="2:2" x14ac:dyDescent="0.25">
      <c r="B2310" t="s">
        <v>186</v>
      </c>
    </row>
    <row r="2311" spans="2:2" x14ac:dyDescent="0.25">
      <c r="B2311" t="s">
        <v>442</v>
      </c>
    </row>
    <row r="2312" spans="2:2" x14ac:dyDescent="0.25">
      <c r="B2312" t="s">
        <v>187</v>
      </c>
    </row>
    <row r="2313" spans="2:2" x14ac:dyDescent="0.25">
      <c r="B2313" t="s">
        <v>75</v>
      </c>
    </row>
    <row r="2314" spans="2:2" x14ac:dyDescent="0.25">
      <c r="B2314" t="s">
        <v>188</v>
      </c>
    </row>
    <row r="2315" spans="2:2" x14ac:dyDescent="0.25">
      <c r="B2315" t="s">
        <v>338</v>
      </c>
    </row>
    <row r="2316" spans="2:2" x14ac:dyDescent="0.25">
      <c r="B2316" t="s">
        <v>189</v>
      </c>
    </row>
    <row r="2317" spans="2:2" x14ac:dyDescent="0.25">
      <c r="B2317" t="s">
        <v>109</v>
      </c>
    </row>
    <row r="2318" spans="2:2" x14ac:dyDescent="0.25">
      <c r="B2318" t="s">
        <v>190</v>
      </c>
    </row>
    <row r="2319" spans="2:2" x14ac:dyDescent="0.25">
      <c r="B2319" t="s">
        <v>191</v>
      </c>
    </row>
    <row r="2320" spans="2:2" x14ac:dyDescent="0.25">
      <c r="B2320" t="s">
        <v>192</v>
      </c>
    </row>
    <row r="2321" spans="2:2" x14ac:dyDescent="0.25">
      <c r="B2321" t="s">
        <v>193</v>
      </c>
    </row>
    <row r="2322" spans="2:2" x14ac:dyDescent="0.25">
      <c r="B2322" t="s">
        <v>110</v>
      </c>
    </row>
    <row r="2323" spans="2:2" x14ac:dyDescent="0.25">
      <c r="B2323" t="s">
        <v>149</v>
      </c>
    </row>
    <row r="2324" spans="2:2" x14ac:dyDescent="0.25">
      <c r="B2324" t="s">
        <v>111</v>
      </c>
    </row>
    <row r="2325" spans="2:2" x14ac:dyDescent="0.25">
      <c r="B2325" t="s">
        <v>194</v>
      </c>
    </row>
    <row r="2326" spans="2:2" x14ac:dyDescent="0.25">
      <c r="B2326" t="s">
        <v>195</v>
      </c>
    </row>
    <row r="2327" spans="2:2" x14ac:dyDescent="0.25">
      <c r="B2327" t="s">
        <v>196</v>
      </c>
    </row>
    <row r="2328" spans="2:2" x14ac:dyDescent="0.25">
      <c r="B2328" t="s">
        <v>197</v>
      </c>
    </row>
    <row r="2329" spans="2:2" x14ac:dyDescent="0.25">
      <c r="B2329" t="s">
        <v>22</v>
      </c>
    </row>
    <row r="2330" spans="2:2" x14ac:dyDescent="0.25">
      <c r="B2330" t="s">
        <v>23</v>
      </c>
    </row>
    <row r="2331" spans="2:2" x14ac:dyDescent="0.25">
      <c r="B2331" t="s">
        <v>198</v>
      </c>
    </row>
    <row r="2332" spans="2:2" x14ac:dyDescent="0.25">
      <c r="B2332" t="s">
        <v>112</v>
      </c>
    </row>
    <row r="2333" spans="2:2" x14ac:dyDescent="0.25">
      <c r="B2333" t="s">
        <v>199</v>
      </c>
    </row>
    <row r="2334" spans="2:2" x14ac:dyDescent="0.25">
      <c r="B2334" t="s">
        <v>200</v>
      </c>
    </row>
    <row r="2335" spans="2:2" x14ac:dyDescent="0.25">
      <c r="B2335" t="s">
        <v>201</v>
      </c>
    </row>
    <row r="2336" spans="2:2" x14ac:dyDescent="0.25">
      <c r="B2336" t="s">
        <v>202</v>
      </c>
    </row>
    <row r="2337" spans="2:2" x14ac:dyDescent="0.25">
      <c r="B2337" t="s">
        <v>203</v>
      </c>
    </row>
    <row r="2338" spans="2:2" x14ac:dyDescent="0.25">
      <c r="B2338" t="s">
        <v>204</v>
      </c>
    </row>
    <row r="2339" spans="2:2" x14ac:dyDescent="0.25">
      <c r="B2339" t="s">
        <v>76</v>
      </c>
    </row>
    <row r="2340" spans="2:2" x14ac:dyDescent="0.25">
      <c r="B2340" t="s">
        <v>205</v>
      </c>
    </row>
    <row r="2341" spans="2:2" x14ac:dyDescent="0.25">
      <c r="B2341" t="s">
        <v>443</v>
      </c>
    </row>
    <row r="2342" spans="2:2" x14ac:dyDescent="0.25">
      <c r="B2342" t="s">
        <v>206</v>
      </c>
    </row>
    <row r="2343" spans="2:2" x14ac:dyDescent="0.25">
      <c r="B2343" t="s">
        <v>24</v>
      </c>
    </row>
    <row r="2344" spans="2:2" x14ac:dyDescent="0.25">
      <c r="B2344" t="s">
        <v>373</v>
      </c>
    </row>
    <row r="2345" spans="2:2" x14ac:dyDescent="0.25">
      <c r="B2345" t="s">
        <v>25</v>
      </c>
    </row>
    <row r="2346" spans="2:2" x14ac:dyDescent="0.25">
      <c r="B2346" t="s">
        <v>207</v>
      </c>
    </row>
    <row r="2347" spans="2:2" x14ac:dyDescent="0.25">
      <c r="B2347" t="s">
        <v>374</v>
      </c>
    </row>
    <row r="2348" spans="2:2" x14ac:dyDescent="0.25">
      <c r="B2348" t="s">
        <v>77</v>
      </c>
    </row>
    <row r="2349" spans="2:2" x14ac:dyDescent="0.25">
      <c r="B2349" t="s">
        <v>444</v>
      </c>
    </row>
    <row r="2350" spans="2:2" x14ac:dyDescent="0.25">
      <c r="B2350" t="s">
        <v>445</v>
      </c>
    </row>
    <row r="2351" spans="2:2" x14ac:dyDescent="0.25">
      <c r="B2351" t="s">
        <v>208</v>
      </c>
    </row>
    <row r="2352" spans="2:2" x14ac:dyDescent="0.25">
      <c r="B2352" t="s">
        <v>26</v>
      </c>
    </row>
    <row r="2353" spans="2:2" x14ac:dyDescent="0.25">
      <c r="B2353" t="s">
        <v>446</v>
      </c>
    </row>
    <row r="2354" spans="2:2" x14ac:dyDescent="0.25">
      <c r="B2354" t="s">
        <v>209</v>
      </c>
    </row>
    <row r="2355" spans="2:2" x14ac:dyDescent="0.25">
      <c r="B2355" t="s">
        <v>102</v>
      </c>
    </row>
    <row r="2356" spans="2:2" x14ac:dyDescent="0.25">
      <c r="B2356" t="s">
        <v>447</v>
      </c>
    </row>
    <row r="2357" spans="2:2" x14ac:dyDescent="0.25">
      <c r="B2357" t="s">
        <v>78</v>
      </c>
    </row>
    <row r="2358" spans="2:2" x14ac:dyDescent="0.25">
      <c r="B2358" t="s">
        <v>210</v>
      </c>
    </row>
    <row r="2359" spans="2:2" x14ac:dyDescent="0.25">
      <c r="B2359" t="s">
        <v>211</v>
      </c>
    </row>
    <row r="2360" spans="2:2" x14ac:dyDescent="0.25">
      <c r="B2360" t="s">
        <v>212</v>
      </c>
    </row>
    <row r="2361" spans="2:2" x14ac:dyDescent="0.25">
      <c r="B2361" t="s">
        <v>213</v>
      </c>
    </row>
    <row r="2362" spans="2:2" x14ac:dyDescent="0.25">
      <c r="B2362" t="s">
        <v>113</v>
      </c>
    </row>
    <row r="2363" spans="2:2" x14ac:dyDescent="0.25">
      <c r="B2363" t="s">
        <v>214</v>
      </c>
    </row>
    <row r="2364" spans="2:2" x14ac:dyDescent="0.25">
      <c r="B2364" t="s">
        <v>448</v>
      </c>
    </row>
    <row r="2365" spans="2:2" x14ac:dyDescent="0.25">
      <c r="B2365" t="s">
        <v>215</v>
      </c>
    </row>
    <row r="2366" spans="2:2" x14ac:dyDescent="0.25">
      <c r="B2366" t="s">
        <v>216</v>
      </c>
    </row>
    <row r="2367" spans="2:2" x14ac:dyDescent="0.25">
      <c r="B2367" t="s">
        <v>217</v>
      </c>
    </row>
    <row r="2368" spans="2:2" x14ac:dyDescent="0.25">
      <c r="B2368" t="s">
        <v>218</v>
      </c>
    </row>
    <row r="2369" spans="2:2" x14ac:dyDescent="0.25">
      <c r="B2369" t="s">
        <v>219</v>
      </c>
    </row>
    <row r="2370" spans="2:2" x14ac:dyDescent="0.25">
      <c r="B2370" t="s">
        <v>220</v>
      </c>
    </row>
    <row r="2371" spans="2:2" x14ac:dyDescent="0.25">
      <c r="B2371" t="s">
        <v>221</v>
      </c>
    </row>
    <row r="2372" spans="2:2" x14ac:dyDescent="0.25">
      <c r="B2372" t="s">
        <v>115</v>
      </c>
    </row>
    <row r="2373" spans="2:2" x14ac:dyDescent="0.25">
      <c r="B2373" t="s">
        <v>222</v>
      </c>
    </row>
    <row r="2374" spans="2:2" x14ac:dyDescent="0.25">
      <c r="B2374" t="s">
        <v>223</v>
      </c>
    </row>
    <row r="2375" spans="2:2" x14ac:dyDescent="0.25">
      <c r="B2375" t="s">
        <v>150</v>
      </c>
    </row>
    <row r="2376" spans="2:2" x14ac:dyDescent="0.25">
      <c r="B2376" t="s">
        <v>375</v>
      </c>
    </row>
    <row r="2377" spans="2:2" x14ac:dyDescent="0.25">
      <c r="B2377" t="s">
        <v>27</v>
      </c>
    </row>
    <row r="2378" spans="2:2" x14ac:dyDescent="0.25">
      <c r="B2378" t="s">
        <v>449</v>
      </c>
    </row>
    <row r="2379" spans="2:2" x14ac:dyDescent="0.25">
      <c r="B2379" t="s">
        <v>224</v>
      </c>
    </row>
    <row r="2380" spans="2:2" x14ac:dyDescent="0.25">
      <c r="B2380" t="s">
        <v>116</v>
      </c>
    </row>
    <row r="2381" spans="2:2" x14ac:dyDescent="0.25">
      <c r="B2381" t="s">
        <v>450</v>
      </c>
    </row>
    <row r="2382" spans="2:2" x14ac:dyDescent="0.25">
      <c r="B2382" t="s">
        <v>225</v>
      </c>
    </row>
    <row r="2383" spans="2:2" x14ac:dyDescent="0.25">
      <c r="B2383" t="s">
        <v>226</v>
      </c>
    </row>
    <row r="2384" spans="2:2" x14ac:dyDescent="0.25">
      <c r="B2384" t="s">
        <v>79</v>
      </c>
    </row>
    <row r="2385" spans="2:2" x14ac:dyDescent="0.25">
      <c r="B2385" t="s">
        <v>117</v>
      </c>
    </row>
    <row r="2386" spans="2:2" x14ac:dyDescent="0.25">
      <c r="B2386" t="s">
        <v>227</v>
      </c>
    </row>
    <row r="2387" spans="2:2" x14ac:dyDescent="0.25">
      <c r="B2387" t="s">
        <v>228</v>
      </c>
    </row>
    <row r="2388" spans="2:2" x14ac:dyDescent="0.25">
      <c r="B2388" t="s">
        <v>229</v>
      </c>
    </row>
    <row r="2389" spans="2:2" x14ac:dyDescent="0.25">
      <c r="B2389" t="s">
        <v>451</v>
      </c>
    </row>
    <row r="2390" spans="2:2" x14ac:dyDescent="0.25">
      <c r="B2390" t="s">
        <v>230</v>
      </c>
    </row>
    <row r="2391" spans="2:2" x14ac:dyDescent="0.25">
      <c r="B2391" t="s">
        <v>452</v>
      </c>
    </row>
    <row r="2392" spans="2:2" x14ac:dyDescent="0.25">
      <c r="B2392" t="s">
        <v>453</v>
      </c>
    </row>
    <row r="2393" spans="2:2" x14ac:dyDescent="0.25">
      <c r="B2393" t="s">
        <v>231</v>
      </c>
    </row>
    <row r="2394" spans="2:2" x14ac:dyDescent="0.25">
      <c r="B2394" t="s">
        <v>454</v>
      </c>
    </row>
    <row r="2395" spans="2:2" x14ac:dyDescent="0.25">
      <c r="B2395" t="s">
        <v>28</v>
      </c>
    </row>
    <row r="2396" spans="2:2" x14ac:dyDescent="0.25">
      <c r="B2396" t="s">
        <v>232</v>
      </c>
    </row>
    <row r="2397" spans="2:2" x14ac:dyDescent="0.25">
      <c r="B2397" t="s">
        <v>233</v>
      </c>
    </row>
    <row r="2398" spans="2:2" x14ac:dyDescent="0.25">
      <c r="B2398" t="s">
        <v>80</v>
      </c>
    </row>
    <row r="2399" spans="2:2" x14ac:dyDescent="0.25">
      <c r="B2399" t="s">
        <v>29</v>
      </c>
    </row>
    <row r="2400" spans="2:2" x14ac:dyDescent="0.25">
      <c r="B2400" t="s">
        <v>120</v>
      </c>
    </row>
    <row r="2401" spans="2:2" x14ac:dyDescent="0.25">
      <c r="B2401" t="s">
        <v>455</v>
      </c>
    </row>
    <row r="2402" spans="2:2" x14ac:dyDescent="0.25">
      <c r="B2402" t="s">
        <v>81</v>
      </c>
    </row>
    <row r="2403" spans="2:2" x14ac:dyDescent="0.25">
      <c r="B2403" t="s">
        <v>30</v>
      </c>
    </row>
    <row r="2404" spans="2:2" x14ac:dyDescent="0.25">
      <c r="B2404" t="s">
        <v>234</v>
      </c>
    </row>
    <row r="2405" spans="2:2" x14ac:dyDescent="0.25">
      <c r="B2405" t="s">
        <v>31</v>
      </c>
    </row>
    <row r="2406" spans="2:2" x14ac:dyDescent="0.25">
      <c r="B2406" t="s">
        <v>99</v>
      </c>
    </row>
    <row r="2407" spans="2:2" x14ac:dyDescent="0.25">
      <c r="B2407" t="s">
        <v>456</v>
      </c>
    </row>
    <row r="2408" spans="2:2" x14ac:dyDescent="0.25">
      <c r="B2408" t="s">
        <v>235</v>
      </c>
    </row>
    <row r="2409" spans="2:2" x14ac:dyDescent="0.25">
      <c r="B2409" t="s">
        <v>122</v>
      </c>
    </row>
    <row r="2410" spans="2:2" x14ac:dyDescent="0.25">
      <c r="B2410" t="s">
        <v>236</v>
      </c>
    </row>
    <row r="2411" spans="2:2" x14ac:dyDescent="0.25">
      <c r="B2411" t="s">
        <v>457</v>
      </c>
    </row>
    <row r="2412" spans="2:2" x14ac:dyDescent="0.25">
      <c r="B2412" t="s">
        <v>458</v>
      </c>
    </row>
    <row r="2413" spans="2:2" x14ac:dyDescent="0.25">
      <c r="B2413" t="s">
        <v>64</v>
      </c>
    </row>
    <row r="2414" spans="2:2" x14ac:dyDescent="0.25">
      <c r="B2414" t="s">
        <v>32</v>
      </c>
    </row>
    <row r="2415" spans="2:2" x14ac:dyDescent="0.25">
      <c r="B2415" t="s">
        <v>459</v>
      </c>
    </row>
    <row r="2416" spans="2:2" x14ac:dyDescent="0.25">
      <c r="B2416" t="s">
        <v>377</v>
      </c>
    </row>
    <row r="2417" spans="2:2" x14ac:dyDescent="0.25">
      <c r="B2417" t="s">
        <v>237</v>
      </c>
    </row>
    <row r="2418" spans="2:2" x14ac:dyDescent="0.25">
      <c r="B2418" t="s">
        <v>238</v>
      </c>
    </row>
    <row r="2419" spans="2:2" x14ac:dyDescent="0.25">
      <c r="B2419" t="s">
        <v>239</v>
      </c>
    </row>
    <row r="2420" spans="2:2" x14ac:dyDescent="0.25">
      <c r="B2420" t="s">
        <v>415</v>
      </c>
    </row>
    <row r="2421" spans="2:2" x14ac:dyDescent="0.25">
      <c r="B2421" t="s">
        <v>240</v>
      </c>
    </row>
    <row r="2422" spans="2:2" x14ac:dyDescent="0.25">
      <c r="B2422" t="s">
        <v>345</v>
      </c>
    </row>
    <row r="2423" spans="2:2" x14ac:dyDescent="0.25">
      <c r="B2423" t="s">
        <v>460</v>
      </c>
    </row>
    <row r="2424" spans="2:2" x14ac:dyDescent="0.25">
      <c r="B2424" t="s">
        <v>351</v>
      </c>
    </row>
    <row r="2425" spans="2:2" x14ac:dyDescent="0.25">
      <c r="B2425" t="s">
        <v>406</v>
      </c>
    </row>
    <row r="2426" spans="2:2" x14ac:dyDescent="0.25">
      <c r="B2426" t="s">
        <v>241</v>
      </c>
    </row>
    <row r="2427" spans="2:2" x14ac:dyDescent="0.25">
      <c r="B2427" t="s">
        <v>82</v>
      </c>
    </row>
    <row r="2428" spans="2:2" x14ac:dyDescent="0.25">
      <c r="B2428" t="s">
        <v>242</v>
      </c>
    </row>
    <row r="2429" spans="2:2" x14ac:dyDescent="0.25">
      <c r="B2429" t="s">
        <v>243</v>
      </c>
    </row>
    <row r="2430" spans="2:2" x14ac:dyDescent="0.25">
      <c r="B2430" t="s">
        <v>244</v>
      </c>
    </row>
    <row r="2431" spans="2:2" x14ac:dyDescent="0.25">
      <c r="B2431" t="s">
        <v>245</v>
      </c>
    </row>
    <row r="2432" spans="2:2" x14ac:dyDescent="0.25">
      <c r="B2432" t="s">
        <v>246</v>
      </c>
    </row>
    <row r="2433" spans="2:2" x14ac:dyDescent="0.25">
      <c r="B2433" t="s">
        <v>247</v>
      </c>
    </row>
    <row r="2434" spans="2:2" x14ac:dyDescent="0.25">
      <c r="B2434" t="s">
        <v>123</v>
      </c>
    </row>
    <row r="2435" spans="2:2" x14ac:dyDescent="0.25">
      <c r="B2435" t="s">
        <v>124</v>
      </c>
    </row>
    <row r="2436" spans="2:2" x14ac:dyDescent="0.25">
      <c r="B2436" t="s">
        <v>461</v>
      </c>
    </row>
    <row r="2437" spans="2:2" x14ac:dyDescent="0.25">
      <c r="B2437" t="s">
        <v>125</v>
      </c>
    </row>
    <row r="2438" spans="2:2" x14ac:dyDescent="0.25">
      <c r="B2438" t="s">
        <v>126</v>
      </c>
    </row>
    <row r="2439" spans="2:2" x14ac:dyDescent="0.25">
      <c r="B2439" t="s">
        <v>248</v>
      </c>
    </row>
    <row r="2440" spans="2:2" x14ac:dyDescent="0.25">
      <c r="B2440" t="s">
        <v>378</v>
      </c>
    </row>
    <row r="2441" spans="2:2" x14ac:dyDescent="0.25">
      <c r="B2441" t="s">
        <v>399</v>
      </c>
    </row>
    <row r="2442" spans="2:2" x14ac:dyDescent="0.25">
      <c r="B2442" t="s">
        <v>379</v>
      </c>
    </row>
    <row r="2443" spans="2:2" x14ac:dyDescent="0.25">
      <c r="B2443" t="s">
        <v>128</v>
      </c>
    </row>
    <row r="2444" spans="2:2" x14ac:dyDescent="0.25">
      <c r="B2444" t="s">
        <v>65</v>
      </c>
    </row>
    <row r="2445" spans="2:2" x14ac:dyDescent="0.25">
      <c r="B2445" t="s">
        <v>380</v>
      </c>
    </row>
    <row r="2446" spans="2:2" x14ac:dyDescent="0.25">
      <c r="B2446" t="s">
        <v>381</v>
      </c>
    </row>
    <row r="2447" spans="2:2" x14ac:dyDescent="0.25">
      <c r="B2447" t="s">
        <v>33</v>
      </c>
    </row>
    <row r="2448" spans="2:2" x14ac:dyDescent="0.25">
      <c r="B2448" t="s">
        <v>34</v>
      </c>
    </row>
    <row r="2449" spans="2:2" x14ac:dyDescent="0.25">
      <c r="B2449" t="s">
        <v>330</v>
      </c>
    </row>
    <row r="2450" spans="2:2" x14ac:dyDescent="0.25">
      <c r="B2450" t="s">
        <v>249</v>
      </c>
    </row>
    <row r="2451" spans="2:2" x14ac:dyDescent="0.25">
      <c r="B2451" t="s">
        <v>250</v>
      </c>
    </row>
    <row r="2452" spans="2:2" x14ac:dyDescent="0.25">
      <c r="B2452" t="s">
        <v>251</v>
      </c>
    </row>
    <row r="2453" spans="2:2" x14ac:dyDescent="0.25">
      <c r="B2453" t="s">
        <v>83</v>
      </c>
    </row>
    <row r="2454" spans="2:2" x14ac:dyDescent="0.25">
      <c r="B2454" t="s">
        <v>130</v>
      </c>
    </row>
    <row r="2455" spans="2:2" x14ac:dyDescent="0.25">
      <c r="B2455" t="s">
        <v>252</v>
      </c>
    </row>
    <row r="2456" spans="2:2" x14ac:dyDescent="0.25">
      <c r="B2456" t="s">
        <v>35</v>
      </c>
    </row>
    <row r="2457" spans="2:2" x14ac:dyDescent="0.25">
      <c r="B2457" t="s">
        <v>253</v>
      </c>
    </row>
    <row r="2458" spans="2:2" x14ac:dyDescent="0.25">
      <c r="B2458" t="s">
        <v>419</v>
      </c>
    </row>
    <row r="2459" spans="2:2" x14ac:dyDescent="0.25">
      <c r="B2459" t="s">
        <v>131</v>
      </c>
    </row>
    <row r="2460" spans="2:2" x14ac:dyDescent="0.25">
      <c r="B2460" t="s">
        <v>36</v>
      </c>
    </row>
    <row r="2461" spans="2:2" x14ac:dyDescent="0.25">
      <c r="B2461" t="s">
        <v>462</v>
      </c>
    </row>
    <row r="2462" spans="2:2" x14ac:dyDescent="0.25">
      <c r="B2462" t="s">
        <v>463</v>
      </c>
    </row>
    <row r="2463" spans="2:2" x14ac:dyDescent="0.25">
      <c r="B2463" t="s">
        <v>464</v>
      </c>
    </row>
    <row r="2464" spans="2:2" x14ac:dyDescent="0.25">
      <c r="B2464" t="s">
        <v>254</v>
      </c>
    </row>
    <row r="2465" spans="2:2" x14ac:dyDescent="0.25">
      <c r="B2465" t="s">
        <v>37</v>
      </c>
    </row>
    <row r="2466" spans="2:2" x14ac:dyDescent="0.25">
      <c r="B2466" t="s">
        <v>132</v>
      </c>
    </row>
    <row r="2467" spans="2:2" x14ac:dyDescent="0.25">
      <c r="B2467" t="s">
        <v>465</v>
      </c>
    </row>
    <row r="2468" spans="2:2" x14ac:dyDescent="0.25">
      <c r="B2468" t="s">
        <v>38</v>
      </c>
    </row>
    <row r="2469" spans="2:2" x14ac:dyDescent="0.25">
      <c r="B2469" t="s">
        <v>466</v>
      </c>
    </row>
    <row r="2470" spans="2:2" x14ac:dyDescent="0.25">
      <c r="B2470" t="s">
        <v>382</v>
      </c>
    </row>
    <row r="2471" spans="2:2" x14ac:dyDescent="0.25">
      <c r="B2471" t="s">
        <v>255</v>
      </c>
    </row>
    <row r="2472" spans="2:2" x14ac:dyDescent="0.25">
      <c r="B2472" t="s">
        <v>256</v>
      </c>
    </row>
    <row r="2473" spans="2:2" x14ac:dyDescent="0.25">
      <c r="B2473" t="s">
        <v>134</v>
      </c>
    </row>
    <row r="2474" spans="2:2" x14ac:dyDescent="0.25">
      <c r="B2474" t="s">
        <v>84</v>
      </c>
    </row>
    <row r="2475" spans="2:2" x14ac:dyDescent="0.25">
      <c r="B2475" t="s">
        <v>135</v>
      </c>
    </row>
    <row r="2476" spans="2:2" x14ac:dyDescent="0.25">
      <c r="B2476" t="s">
        <v>85</v>
      </c>
    </row>
    <row r="2477" spans="2:2" x14ac:dyDescent="0.25">
      <c r="B2477" t="s">
        <v>383</v>
      </c>
    </row>
    <row r="2478" spans="2:2" x14ac:dyDescent="0.25">
      <c r="B2478" t="s">
        <v>384</v>
      </c>
    </row>
    <row r="2479" spans="2:2" x14ac:dyDescent="0.25">
      <c r="B2479" t="s">
        <v>257</v>
      </c>
    </row>
    <row r="2480" spans="2:2" x14ac:dyDescent="0.25">
      <c r="B2480" t="s">
        <v>258</v>
      </c>
    </row>
    <row r="2481" spans="2:2" x14ac:dyDescent="0.25">
      <c r="B2481" t="s">
        <v>259</v>
      </c>
    </row>
    <row r="2482" spans="2:2" x14ac:dyDescent="0.25">
      <c r="B2482" t="s">
        <v>260</v>
      </c>
    </row>
    <row r="2483" spans="2:2" x14ac:dyDescent="0.25">
      <c r="B2483" t="s">
        <v>261</v>
      </c>
    </row>
    <row r="2484" spans="2:2" x14ac:dyDescent="0.25">
      <c r="B2484" t="s">
        <v>339</v>
      </c>
    </row>
    <row r="2485" spans="2:2" x14ac:dyDescent="0.25">
      <c r="B2485" t="s">
        <v>262</v>
      </c>
    </row>
    <row r="2486" spans="2:2" x14ac:dyDescent="0.25">
      <c r="B2486" t="s">
        <v>263</v>
      </c>
    </row>
    <row r="2487" spans="2:2" x14ac:dyDescent="0.25">
      <c r="B2487" t="s">
        <v>264</v>
      </c>
    </row>
    <row r="2488" spans="2:2" x14ac:dyDescent="0.25">
      <c r="B2488" t="s">
        <v>265</v>
      </c>
    </row>
    <row r="2489" spans="2:2" x14ac:dyDescent="0.25">
      <c r="B2489" t="s">
        <v>266</v>
      </c>
    </row>
    <row r="2490" spans="2:2" x14ac:dyDescent="0.25">
      <c r="B2490" t="s">
        <v>400</v>
      </c>
    </row>
    <row r="2491" spans="2:2" x14ac:dyDescent="0.25">
      <c r="B2491" t="s">
        <v>136</v>
      </c>
    </row>
    <row r="2492" spans="2:2" x14ac:dyDescent="0.25">
      <c r="B2492" t="s">
        <v>467</v>
      </c>
    </row>
    <row r="2493" spans="2:2" x14ac:dyDescent="0.25">
      <c r="B2493" t="s">
        <v>385</v>
      </c>
    </row>
    <row r="2494" spans="2:2" x14ac:dyDescent="0.25">
      <c r="B2494" t="s">
        <v>267</v>
      </c>
    </row>
    <row r="2495" spans="2:2" x14ac:dyDescent="0.25">
      <c r="B2495" t="s">
        <v>268</v>
      </c>
    </row>
    <row r="2496" spans="2:2" x14ac:dyDescent="0.25">
      <c r="B2496" t="s">
        <v>468</v>
      </c>
    </row>
    <row r="2497" spans="2:2" x14ac:dyDescent="0.25">
      <c r="B2497" t="s">
        <v>269</v>
      </c>
    </row>
    <row r="2498" spans="2:2" x14ac:dyDescent="0.25">
      <c r="B2498" t="s">
        <v>270</v>
      </c>
    </row>
    <row r="2499" spans="2:2" x14ac:dyDescent="0.25">
      <c r="B2499" t="s">
        <v>39</v>
      </c>
    </row>
    <row r="2500" spans="2:2" x14ac:dyDescent="0.25">
      <c r="B2500" t="s">
        <v>67</v>
      </c>
    </row>
    <row r="2501" spans="2:2" x14ac:dyDescent="0.25">
      <c r="B2501" t="s">
        <v>365</v>
      </c>
    </row>
    <row r="2502" spans="2:2" x14ac:dyDescent="0.25">
      <c r="B2502" t="s">
        <v>86</v>
      </c>
    </row>
    <row r="2503" spans="2:2" x14ac:dyDescent="0.25">
      <c r="B2503" t="s">
        <v>271</v>
      </c>
    </row>
    <row r="2504" spans="2:2" x14ac:dyDescent="0.25">
      <c r="B2504" t="s">
        <v>343</v>
      </c>
    </row>
    <row r="2505" spans="2:2" x14ac:dyDescent="0.25">
      <c r="B2505" t="s">
        <v>469</v>
      </c>
    </row>
    <row r="2506" spans="2:2" x14ac:dyDescent="0.25">
      <c r="B2506" t="s">
        <v>40</v>
      </c>
    </row>
    <row r="2507" spans="2:2" x14ac:dyDescent="0.25">
      <c r="B2507" t="s">
        <v>333</v>
      </c>
    </row>
    <row r="2508" spans="2:2" x14ac:dyDescent="0.25">
      <c r="B2508" t="s">
        <v>272</v>
      </c>
    </row>
    <row r="2509" spans="2:2" x14ac:dyDescent="0.25">
      <c r="B2509" t="s">
        <v>273</v>
      </c>
    </row>
    <row r="2510" spans="2:2" x14ac:dyDescent="0.25">
      <c r="B2510" t="s">
        <v>87</v>
      </c>
    </row>
    <row r="2511" spans="2:2" x14ac:dyDescent="0.25">
      <c r="B2511" t="s">
        <v>88</v>
      </c>
    </row>
    <row r="2512" spans="2:2" x14ac:dyDescent="0.25">
      <c r="B2512" t="s">
        <v>386</v>
      </c>
    </row>
    <row r="2513" spans="2:2" x14ac:dyDescent="0.25">
      <c r="B2513" t="s">
        <v>470</v>
      </c>
    </row>
    <row r="2514" spans="2:2" x14ac:dyDescent="0.25">
      <c r="B2514" t="s">
        <v>471</v>
      </c>
    </row>
    <row r="2515" spans="2:2" x14ac:dyDescent="0.25">
      <c r="B2515" t="s">
        <v>41</v>
      </c>
    </row>
    <row r="2516" spans="2:2" x14ac:dyDescent="0.25">
      <c r="B2516" t="s">
        <v>341</v>
      </c>
    </row>
    <row r="2517" spans="2:2" x14ac:dyDescent="0.25">
      <c r="B2517" t="s">
        <v>407</v>
      </c>
    </row>
    <row r="2518" spans="2:2" x14ac:dyDescent="0.25">
      <c r="B2518" t="s">
        <v>472</v>
      </c>
    </row>
    <row r="2519" spans="2:2" x14ac:dyDescent="0.25">
      <c r="B2519" t="s">
        <v>42</v>
      </c>
    </row>
    <row r="2520" spans="2:2" x14ac:dyDescent="0.25">
      <c r="B2520" t="s">
        <v>43</v>
      </c>
    </row>
    <row r="2521" spans="2:2" x14ac:dyDescent="0.25">
      <c r="B2521" t="s">
        <v>274</v>
      </c>
    </row>
    <row r="2522" spans="2:2" x14ac:dyDescent="0.25">
      <c r="B2522" t="s">
        <v>138</v>
      </c>
    </row>
    <row r="2523" spans="2:2" x14ac:dyDescent="0.25">
      <c r="B2523" t="s">
        <v>473</v>
      </c>
    </row>
    <row r="2524" spans="2:2" x14ac:dyDescent="0.25">
      <c r="B2524" t="s">
        <v>275</v>
      </c>
    </row>
    <row r="2525" spans="2:2" x14ac:dyDescent="0.25">
      <c r="B2525" t="s">
        <v>276</v>
      </c>
    </row>
    <row r="2526" spans="2:2" x14ac:dyDescent="0.25">
      <c r="B2526" t="s">
        <v>89</v>
      </c>
    </row>
    <row r="2527" spans="2:2" x14ac:dyDescent="0.25">
      <c r="B2527" t="s">
        <v>90</v>
      </c>
    </row>
    <row r="2528" spans="2:2" x14ac:dyDescent="0.25">
      <c r="B2528" t="s">
        <v>140</v>
      </c>
    </row>
    <row r="2529" spans="2:2" x14ac:dyDescent="0.25">
      <c r="B2529" t="s">
        <v>277</v>
      </c>
    </row>
    <row r="2530" spans="2:2" x14ac:dyDescent="0.25">
      <c r="B2530" t="s">
        <v>278</v>
      </c>
    </row>
    <row r="2531" spans="2:2" x14ac:dyDescent="0.25">
      <c r="B2531" t="s">
        <v>279</v>
      </c>
    </row>
    <row r="2532" spans="2:2" x14ac:dyDescent="0.25">
      <c r="B2532" t="s">
        <v>474</v>
      </c>
    </row>
    <row r="2533" spans="2:2" x14ac:dyDescent="0.25">
      <c r="B2533" t="s">
        <v>280</v>
      </c>
    </row>
    <row r="2534" spans="2:2" x14ac:dyDescent="0.25">
      <c r="B2534" t="s">
        <v>281</v>
      </c>
    </row>
    <row r="2535" spans="2:2" x14ac:dyDescent="0.25">
      <c r="B2535" t="s">
        <v>475</v>
      </c>
    </row>
    <row r="2536" spans="2:2" x14ac:dyDescent="0.25">
      <c r="B2536" t="s">
        <v>476</v>
      </c>
    </row>
    <row r="2537" spans="2:2" x14ac:dyDescent="0.25">
      <c r="B2537" t="s">
        <v>152</v>
      </c>
    </row>
    <row r="2538" spans="2:2" x14ac:dyDescent="0.25">
      <c r="B2538" t="s">
        <v>11</v>
      </c>
    </row>
    <row r="2539" spans="2:2" x14ac:dyDescent="0.25">
      <c r="B2539" t="s">
        <v>282</v>
      </c>
    </row>
    <row r="2540" spans="2:2" x14ac:dyDescent="0.25">
      <c r="B2540" t="s">
        <v>401</v>
      </c>
    </row>
    <row r="2541" spans="2:2" x14ac:dyDescent="0.25">
      <c r="B2541" t="s">
        <v>387</v>
      </c>
    </row>
    <row r="2542" spans="2:2" x14ac:dyDescent="0.25">
      <c r="B2542" t="s">
        <v>477</v>
      </c>
    </row>
    <row r="2543" spans="2:2" x14ac:dyDescent="0.25">
      <c r="B2543" t="s">
        <v>44</v>
      </c>
    </row>
    <row r="2544" spans="2:2" x14ac:dyDescent="0.25">
      <c r="B2544" t="s">
        <v>360</v>
      </c>
    </row>
    <row r="2545" spans="2:2" x14ac:dyDescent="0.25">
      <c r="B2545" t="s">
        <v>68</v>
      </c>
    </row>
    <row r="2546" spans="2:2" x14ac:dyDescent="0.25">
      <c r="B2546" t="s">
        <v>45</v>
      </c>
    </row>
    <row r="2547" spans="2:2" x14ac:dyDescent="0.25">
      <c r="B2547" t="s">
        <v>283</v>
      </c>
    </row>
    <row r="2548" spans="2:2" x14ac:dyDescent="0.25">
      <c r="B2548" t="s">
        <v>284</v>
      </c>
    </row>
    <row r="2549" spans="2:2" x14ac:dyDescent="0.25">
      <c r="B2549" t="s">
        <v>70</v>
      </c>
    </row>
    <row r="2550" spans="2:2" x14ac:dyDescent="0.25">
      <c r="B2550" t="s">
        <v>402</v>
      </c>
    </row>
    <row r="2551" spans="2:2" x14ac:dyDescent="0.25">
      <c r="B2551" t="s">
        <v>478</v>
      </c>
    </row>
    <row r="2552" spans="2:2" x14ac:dyDescent="0.25">
      <c r="B2552" t="s">
        <v>479</v>
      </c>
    </row>
    <row r="2553" spans="2:2" x14ac:dyDescent="0.25">
      <c r="B2553" t="s">
        <v>285</v>
      </c>
    </row>
    <row r="2554" spans="2:2" x14ac:dyDescent="0.25">
      <c r="B2554" t="s">
        <v>348</v>
      </c>
    </row>
    <row r="2555" spans="2:2" x14ac:dyDescent="0.25">
      <c r="B2555" t="s">
        <v>286</v>
      </c>
    </row>
    <row r="2556" spans="2:2" x14ac:dyDescent="0.25">
      <c r="B2556" t="s">
        <v>480</v>
      </c>
    </row>
    <row r="2557" spans="2:2" x14ac:dyDescent="0.25">
      <c r="B2557" t="s">
        <v>46</v>
      </c>
    </row>
    <row r="2558" spans="2:2" x14ac:dyDescent="0.25">
      <c r="B2558" t="s">
        <v>47</v>
      </c>
    </row>
    <row r="2559" spans="2:2" x14ac:dyDescent="0.25">
      <c r="B2559" t="s">
        <v>48</v>
      </c>
    </row>
    <row r="2560" spans="2:2" x14ac:dyDescent="0.25">
      <c r="B2560" t="s">
        <v>12</v>
      </c>
    </row>
    <row r="2561" spans="2:2" x14ac:dyDescent="0.25">
      <c r="B2561" t="s">
        <v>49</v>
      </c>
    </row>
    <row r="2562" spans="2:2" x14ac:dyDescent="0.25">
      <c r="B2562" t="s">
        <v>388</v>
      </c>
    </row>
    <row r="2563" spans="2:2" x14ac:dyDescent="0.25">
      <c r="B2563" t="s">
        <v>287</v>
      </c>
    </row>
    <row r="2564" spans="2:2" x14ac:dyDescent="0.25">
      <c r="B2564" t="s">
        <v>361</v>
      </c>
    </row>
    <row r="2565" spans="2:2" x14ac:dyDescent="0.25">
      <c r="B2565" t="s">
        <v>50</v>
      </c>
    </row>
    <row r="2566" spans="2:2" x14ac:dyDescent="0.25">
      <c r="B2566" t="s">
        <v>353</v>
      </c>
    </row>
    <row r="2567" spans="2:2" x14ac:dyDescent="0.25">
      <c r="B2567" t="s">
        <v>100</v>
      </c>
    </row>
    <row r="2568" spans="2:2" x14ac:dyDescent="0.25">
      <c r="B2568" t="s">
        <v>92</v>
      </c>
    </row>
    <row r="2569" spans="2:2" x14ac:dyDescent="0.25">
      <c r="B2569" t="s">
        <v>408</v>
      </c>
    </row>
    <row r="2570" spans="2:2" x14ac:dyDescent="0.25">
      <c r="B2570" t="s">
        <v>481</v>
      </c>
    </row>
    <row r="2571" spans="2:2" x14ac:dyDescent="0.25">
      <c r="B2571" t="s">
        <v>288</v>
      </c>
    </row>
    <row r="2572" spans="2:2" x14ac:dyDescent="0.25">
      <c r="B2572" t="s">
        <v>403</v>
      </c>
    </row>
    <row r="2573" spans="2:2" x14ac:dyDescent="0.25">
      <c r="B2573" t="s">
        <v>349</v>
      </c>
    </row>
    <row r="2574" spans="2:2" x14ac:dyDescent="0.25">
      <c r="B2574" t="s">
        <v>289</v>
      </c>
    </row>
    <row r="2575" spans="2:2" x14ac:dyDescent="0.25">
      <c r="B2575" t="s">
        <v>290</v>
      </c>
    </row>
    <row r="2576" spans="2:2" x14ac:dyDescent="0.25">
      <c r="B2576" t="s">
        <v>51</v>
      </c>
    </row>
    <row r="2577" spans="2:2" x14ac:dyDescent="0.25">
      <c r="B2577" t="s">
        <v>52</v>
      </c>
    </row>
    <row r="2578" spans="2:2" x14ac:dyDescent="0.25">
      <c r="B2578" t="s">
        <v>482</v>
      </c>
    </row>
    <row r="2579" spans="2:2" x14ac:dyDescent="0.25">
      <c r="B2579" t="s">
        <v>291</v>
      </c>
    </row>
    <row r="2580" spans="2:2" x14ac:dyDescent="0.25">
      <c r="B2580" t="s">
        <v>292</v>
      </c>
    </row>
    <row r="2581" spans="2:2" x14ac:dyDescent="0.25">
      <c r="B2581" t="s">
        <v>153</v>
      </c>
    </row>
    <row r="2582" spans="2:2" x14ac:dyDescent="0.25">
      <c r="B2582" t="s">
        <v>293</v>
      </c>
    </row>
    <row r="2583" spans="2:2" x14ac:dyDescent="0.25">
      <c r="B2583" t="s">
        <v>294</v>
      </c>
    </row>
    <row r="2584" spans="2:2" x14ac:dyDescent="0.25">
      <c r="B2584" t="s">
        <v>390</v>
      </c>
    </row>
    <row r="2585" spans="2:2" x14ac:dyDescent="0.25">
      <c r="B2585" t="s">
        <v>391</v>
      </c>
    </row>
    <row r="2586" spans="2:2" x14ac:dyDescent="0.25">
      <c r="B2586" t="s">
        <v>392</v>
      </c>
    </row>
    <row r="2587" spans="2:2" x14ac:dyDescent="0.25">
      <c r="B2587" t="s">
        <v>53</v>
      </c>
    </row>
    <row r="2588" spans="2:2" x14ac:dyDescent="0.25">
      <c r="B2588" t="s">
        <v>103</v>
      </c>
    </row>
    <row r="2589" spans="2:2" x14ac:dyDescent="0.25">
      <c r="B2589" t="s">
        <v>54</v>
      </c>
    </row>
    <row r="2590" spans="2:2" x14ac:dyDescent="0.25">
      <c r="B2590" t="s">
        <v>295</v>
      </c>
    </row>
    <row r="2591" spans="2:2" x14ac:dyDescent="0.25">
      <c r="B2591" t="s">
        <v>296</v>
      </c>
    </row>
    <row r="2592" spans="2:2" x14ac:dyDescent="0.25">
      <c r="B2592" t="s">
        <v>483</v>
      </c>
    </row>
    <row r="2593" spans="2:2" x14ac:dyDescent="0.25">
      <c r="B2593" t="s">
        <v>142</v>
      </c>
    </row>
    <row r="2594" spans="2:2" x14ac:dyDescent="0.25">
      <c r="B2594" t="s">
        <v>143</v>
      </c>
    </row>
    <row r="2595" spans="2:2" x14ac:dyDescent="0.25">
      <c r="B2595" t="s">
        <v>297</v>
      </c>
    </row>
    <row r="2596" spans="2:2" x14ac:dyDescent="0.25">
      <c r="B2596" t="s">
        <v>94</v>
      </c>
    </row>
    <row r="2597" spans="2:2" x14ac:dyDescent="0.25">
      <c r="B2597" t="s">
        <v>298</v>
      </c>
    </row>
    <row r="2598" spans="2:2" x14ac:dyDescent="0.25">
      <c r="B2598" t="s">
        <v>145</v>
      </c>
    </row>
    <row r="2599" spans="2:2" x14ac:dyDescent="0.25">
      <c r="B2599" t="s">
        <v>484</v>
      </c>
    </row>
    <row r="2600" spans="2:2" x14ac:dyDescent="0.25">
      <c r="B2600" t="s">
        <v>299</v>
      </c>
    </row>
    <row r="2601" spans="2:2" x14ac:dyDescent="0.25">
      <c r="B2601" t="s">
        <v>300</v>
      </c>
    </row>
    <row r="2602" spans="2:2" x14ac:dyDescent="0.25">
      <c r="B2602" t="s">
        <v>301</v>
      </c>
    </row>
    <row r="2603" spans="2:2" x14ac:dyDescent="0.25">
      <c r="B2603" t="s">
        <v>95</v>
      </c>
    </row>
    <row r="2604" spans="2:2" x14ac:dyDescent="0.25">
      <c r="B2604" t="s">
        <v>302</v>
      </c>
    </row>
    <row r="2605" spans="2:2" x14ac:dyDescent="0.25">
      <c r="B2605" t="s">
        <v>485</v>
      </c>
    </row>
    <row r="2606" spans="2:2" x14ac:dyDescent="0.25">
      <c r="B2606" t="s">
        <v>346</v>
      </c>
    </row>
    <row r="2607" spans="2:2" x14ac:dyDescent="0.25">
      <c r="B2607" t="s">
        <v>486</v>
      </c>
    </row>
    <row r="2608" spans="2:2" x14ac:dyDescent="0.25">
      <c r="B2608" t="s">
        <v>393</v>
      </c>
    </row>
    <row r="2609" spans="2:2" x14ac:dyDescent="0.25">
      <c r="B2609" t="s">
        <v>303</v>
      </c>
    </row>
    <row r="2610" spans="2:2" x14ac:dyDescent="0.25">
      <c r="B2610" t="s">
        <v>304</v>
      </c>
    </row>
    <row r="2611" spans="2:2" x14ac:dyDescent="0.25">
      <c r="B2611" t="s">
        <v>305</v>
      </c>
    </row>
    <row r="2612" spans="2:2" x14ac:dyDescent="0.25">
      <c r="B2612" t="s">
        <v>96</v>
      </c>
    </row>
    <row r="2613" spans="2:2" x14ac:dyDescent="0.25">
      <c r="B2613" t="s">
        <v>146</v>
      </c>
    </row>
    <row r="2614" spans="2:2" x14ac:dyDescent="0.25">
      <c r="B2614" t="s">
        <v>306</v>
      </c>
    </row>
    <row r="2615" spans="2:2" x14ac:dyDescent="0.25">
      <c r="B2615" t="s">
        <v>55</v>
      </c>
    </row>
    <row r="2616" spans="2:2" x14ac:dyDescent="0.25">
      <c r="B2616" t="s">
        <v>487</v>
      </c>
    </row>
    <row r="2617" spans="2:2" x14ac:dyDescent="0.25">
      <c r="B2617" t="s">
        <v>488</v>
      </c>
    </row>
    <row r="2618" spans="2:2" x14ac:dyDescent="0.25">
      <c r="B2618" t="s">
        <v>394</v>
      </c>
    </row>
    <row r="2619" spans="2:2" x14ac:dyDescent="0.25">
      <c r="B2619" t="s">
        <v>56</v>
      </c>
    </row>
    <row r="2620" spans="2:2" x14ac:dyDescent="0.25">
      <c r="B2620" t="s">
        <v>307</v>
      </c>
    </row>
    <row r="2621" spans="2:2" x14ac:dyDescent="0.25">
      <c r="B2621" t="s">
        <v>308</v>
      </c>
    </row>
    <row r="2622" spans="2:2" x14ac:dyDescent="0.25">
      <c r="B2622" t="s">
        <v>489</v>
      </c>
    </row>
    <row r="2623" spans="2:2" x14ac:dyDescent="0.25">
      <c r="B2623" t="s">
        <v>309</v>
      </c>
    </row>
    <row r="2624" spans="2:2" x14ac:dyDescent="0.25">
      <c r="B2624" t="s">
        <v>57</v>
      </c>
    </row>
    <row r="2625" spans="2:2" x14ac:dyDescent="0.25">
      <c r="B2625" t="s">
        <v>490</v>
      </c>
    </row>
    <row r="2626" spans="2:2" x14ac:dyDescent="0.25">
      <c r="B2626" t="s">
        <v>58</v>
      </c>
    </row>
    <row r="2627" spans="2:2" x14ac:dyDescent="0.25">
      <c r="B2627" t="s">
        <v>59</v>
      </c>
    </row>
    <row r="2628" spans="2:2" x14ac:dyDescent="0.25">
      <c r="B2628" t="s">
        <v>404</v>
      </c>
    </row>
    <row r="2629" spans="2:2" x14ac:dyDescent="0.25">
      <c r="B2629" t="s">
        <v>97</v>
      </c>
    </row>
    <row r="2630" spans="2:2" x14ac:dyDescent="0.25">
      <c r="B2630" t="s">
        <v>310</v>
      </c>
    </row>
    <row r="2631" spans="2:2" x14ac:dyDescent="0.25">
      <c r="B2631" t="s">
        <v>311</v>
      </c>
    </row>
    <row r="2632" spans="2:2" x14ac:dyDescent="0.25">
      <c r="B2632" t="s">
        <v>312</v>
      </c>
    </row>
    <row r="2633" spans="2:2" x14ac:dyDescent="0.25">
      <c r="B2633" t="s">
        <v>491</v>
      </c>
    </row>
    <row r="2634" spans="2:2" x14ac:dyDescent="0.25">
      <c r="B2634" t="s">
        <v>313</v>
      </c>
    </row>
    <row r="2635" spans="2:2" x14ac:dyDescent="0.25">
      <c r="B2635" t="s">
        <v>314</v>
      </c>
    </row>
    <row r="2636" spans="2:2" x14ac:dyDescent="0.25">
      <c r="B2636" t="s">
        <v>315</v>
      </c>
    </row>
    <row r="2637" spans="2:2" x14ac:dyDescent="0.25">
      <c r="B2637" t="s">
        <v>316</v>
      </c>
    </row>
    <row r="2638" spans="2:2" x14ac:dyDescent="0.25">
      <c r="B2638" t="s">
        <v>317</v>
      </c>
    </row>
    <row r="2639" spans="2:2" x14ac:dyDescent="0.25">
      <c r="B2639" t="s">
        <v>318</v>
      </c>
    </row>
    <row r="2640" spans="2:2" x14ac:dyDescent="0.25">
      <c r="B2640" t="s">
        <v>319</v>
      </c>
    </row>
    <row r="2641" spans="2:2" x14ac:dyDescent="0.25">
      <c r="B2641" t="s">
        <v>492</v>
      </c>
    </row>
    <row r="2642" spans="2:2" x14ac:dyDescent="0.25">
      <c r="B2642" t="s">
        <v>320</v>
      </c>
    </row>
    <row r="2643" spans="2:2" x14ac:dyDescent="0.25">
      <c r="B2643" t="s">
        <v>395</v>
      </c>
    </row>
    <row r="2644" spans="2:2" x14ac:dyDescent="0.25">
      <c r="B2644" t="s">
        <v>362</v>
      </c>
    </row>
    <row r="2645" spans="2:2" x14ac:dyDescent="0.25">
      <c r="B2645" t="s">
        <v>493</v>
      </c>
    </row>
    <row r="2646" spans="2:2" x14ac:dyDescent="0.25">
      <c r="B2646" t="s">
        <v>60</v>
      </c>
    </row>
    <row r="2647" spans="2:2" x14ac:dyDescent="0.25">
      <c r="B2647" t="s">
        <v>61</v>
      </c>
    </row>
    <row r="2648" spans="2:2" x14ac:dyDescent="0.25">
      <c r="B2648" t="s">
        <v>321</v>
      </c>
    </row>
    <row r="2649" spans="2:2" x14ac:dyDescent="0.25">
      <c r="B2649" t="s">
        <v>104</v>
      </c>
    </row>
    <row r="2650" spans="2:2" x14ac:dyDescent="0.25">
      <c r="B2650" t="s">
        <v>494</v>
      </c>
    </row>
    <row r="2651" spans="2:2" x14ac:dyDescent="0.25">
      <c r="B2651" t="s">
        <v>322</v>
      </c>
    </row>
    <row r="2652" spans="2:2" x14ac:dyDescent="0.25">
      <c r="B2652" t="s">
        <v>147</v>
      </c>
    </row>
    <row r="2653" spans="2:2" x14ac:dyDescent="0.25">
      <c r="B2653" t="s">
        <v>323</v>
      </c>
    </row>
    <row r="2654" spans="2:2" x14ac:dyDescent="0.25">
      <c r="B2654" t="s">
        <v>324</v>
      </c>
    </row>
    <row r="2655" spans="2:2" x14ac:dyDescent="0.25">
      <c r="B2655" t="s">
        <v>325</v>
      </c>
    </row>
    <row r="2656" spans="2:2" x14ac:dyDescent="0.25">
      <c r="B2656" t="s">
        <v>335</v>
      </c>
    </row>
    <row r="2657" spans="2:2" x14ac:dyDescent="0.25">
      <c r="B2657" t="s">
        <v>326</v>
      </c>
    </row>
    <row r="2658" spans="2:2" x14ac:dyDescent="0.25">
      <c r="B2658" t="s">
        <v>327</v>
      </c>
    </row>
    <row r="2659" spans="2:2" x14ac:dyDescent="0.25">
      <c r="B2659" t="s">
        <v>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>
    <row r="1" spans="1:1" x14ac:dyDescent="0.25">
      <c r="A1" t="s">
        <v>561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20</vt:i4>
      </vt:variant>
    </vt:vector>
  </HeadingPairs>
  <TitlesOfParts>
    <vt:vector size="24" baseType="lpstr">
      <vt:lpstr>AF TCM</vt:lpstr>
      <vt:lpstr>Context</vt:lpstr>
      <vt:lpstr>{AR}01</vt:lpstr>
      <vt:lpstr>{PL}PickLst</vt:lpstr>
      <vt:lpstr>ActualMonth</vt:lpstr>
      <vt:lpstr>ActualYear</vt:lpstr>
      <vt:lpstr>Cube1</vt:lpstr>
      <vt:lpstr>Cube2</vt:lpstr>
      <vt:lpstr>CURRENT_PERIOD</vt:lpstr>
      <vt:lpstr>CURRENT_PERIOD_CUMUL</vt:lpstr>
      <vt:lpstr>CURRENT_YEAR</vt:lpstr>
      <vt:lpstr>Language</vt:lpstr>
      <vt:lpstr>LocalLanguage</vt:lpstr>
      <vt:lpstr>mdx</vt:lpstr>
      <vt:lpstr>MONTH_ACTUAL</vt:lpstr>
      <vt:lpstr>PREVIOUS_YEAR</vt:lpstr>
      <vt:lpstr>Server</vt:lpstr>
      <vt:lpstr>Supp_Zero</vt:lpstr>
      <vt:lpstr>'AF TCM'!TM1RPTDATARNG2</vt:lpstr>
      <vt:lpstr>'AF TCM'!TM1RPTFMTIDCOL</vt:lpstr>
      <vt:lpstr>'AF TCM'!TM1RPTFMTRNG</vt:lpstr>
      <vt:lpstr>TM1RPTVIEW_cell</vt:lpstr>
      <vt:lpstr>Top_Hierarchy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DERRIEN, Yannick</dc:creator>
  <cp:lastModifiedBy>DERRIEN, Yannick</cp:lastModifiedBy>
  <dcterms:created xsi:type="dcterms:W3CDTF">2016-05-13T07:43:07Z</dcterms:created>
  <dcterms:modified xsi:type="dcterms:W3CDTF">2016-07-05T11:47:14Z</dcterms:modified>
</cp:coreProperties>
</file>