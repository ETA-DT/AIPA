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8680" yWindow="-120" windowWidth="28950" windowHeight="15840"/>
  </bookViews>
  <sheets>
    <sheet name="Val" sheetId="1" r:id="rId1"/>
    <sheet name="DBS" sheetId="2" r:id="rId2"/>
  </sheets>
  <definedNames>
    <definedName name="_xlnm._FilterDatabase" localSheetId="1" hidden="1">DBS!$B$10:$Q$463</definedName>
    <definedName name="_xlnm._FilterDatabase" localSheetId="0" hidden="1">Val!$B$10:$R$463</definedName>
    <definedName name="Flag_Send_Data">Val!$A$1</definedName>
    <definedName name="TM1REBUILDOPTION">1</definedName>
  </definedNames>
  <calcPr calcId="145621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1" l="1"/>
  <c r="C1" i="1"/>
  <c r="C2" i="1"/>
  <c r="C3" i="1"/>
  <c r="C4" i="1"/>
  <c r="C5" i="1"/>
  <c r="C6" i="1"/>
  <c r="Q463" i="2"/>
  <c r="P463" i="2"/>
  <c r="O463" i="2"/>
  <c r="N463" i="2"/>
  <c r="M463" i="2"/>
  <c r="L463" i="2"/>
  <c r="K463" i="2"/>
  <c r="J463" i="2"/>
  <c r="I463" i="2"/>
  <c r="H463" i="2"/>
  <c r="G463" i="2"/>
  <c r="F463" i="2"/>
  <c r="Q462" i="2"/>
  <c r="P462" i="2"/>
  <c r="O462" i="2"/>
  <c r="N462" i="2"/>
  <c r="M462" i="2"/>
  <c r="L462" i="2"/>
  <c r="K462" i="2"/>
  <c r="J462" i="2"/>
  <c r="I462" i="2"/>
  <c r="H462" i="2"/>
  <c r="G462" i="2"/>
  <c r="F462" i="2"/>
  <c r="Q461" i="2"/>
  <c r="P461" i="2"/>
  <c r="O461" i="2"/>
  <c r="N461" i="2"/>
  <c r="M461" i="2"/>
  <c r="L461" i="2"/>
  <c r="K461" i="2"/>
  <c r="J461" i="2"/>
  <c r="I461" i="2"/>
  <c r="H461" i="2"/>
  <c r="G461" i="2"/>
  <c r="F461" i="2"/>
  <c r="Q460" i="2"/>
  <c r="P460" i="2"/>
  <c r="O460" i="2"/>
  <c r="N460" i="2"/>
  <c r="M460" i="2"/>
  <c r="L460" i="2"/>
  <c r="K460" i="2"/>
  <c r="J460" i="2"/>
  <c r="I460" i="2"/>
  <c r="H460" i="2"/>
  <c r="G460" i="2"/>
  <c r="F460" i="2"/>
  <c r="Q459" i="2"/>
  <c r="P459" i="2"/>
  <c r="O459" i="2"/>
  <c r="N459" i="2"/>
  <c r="M459" i="2"/>
  <c r="L459" i="2"/>
  <c r="K459" i="2"/>
  <c r="J459" i="2"/>
  <c r="I459" i="2"/>
  <c r="H459" i="2"/>
  <c r="G459" i="2"/>
  <c r="F459" i="2"/>
  <c r="Q458" i="2"/>
  <c r="P458" i="2"/>
  <c r="O458" i="2"/>
  <c r="N458" i="2"/>
  <c r="M458" i="2"/>
  <c r="L458" i="2"/>
  <c r="K458" i="2"/>
  <c r="J458" i="2"/>
  <c r="I458" i="2"/>
  <c r="H458" i="2"/>
  <c r="G458" i="2"/>
  <c r="F458" i="2"/>
  <c r="Q457" i="2"/>
  <c r="P457" i="2"/>
  <c r="O457" i="2"/>
  <c r="N457" i="2"/>
  <c r="M457" i="2"/>
  <c r="L457" i="2"/>
  <c r="K457" i="2"/>
  <c r="J457" i="2"/>
  <c r="I457" i="2"/>
  <c r="H457" i="2"/>
  <c r="G457" i="2"/>
  <c r="F457" i="2"/>
  <c r="Q456" i="2"/>
  <c r="P456" i="2"/>
  <c r="O456" i="2"/>
  <c r="N456" i="2"/>
  <c r="M456" i="2"/>
  <c r="L456" i="2"/>
  <c r="K456" i="2"/>
  <c r="J456" i="2"/>
  <c r="I456" i="2"/>
  <c r="H456" i="2"/>
  <c r="G456" i="2"/>
  <c r="F456" i="2"/>
  <c r="Q455" i="2"/>
  <c r="P455" i="2"/>
  <c r="O455" i="2"/>
  <c r="N455" i="2"/>
  <c r="M455" i="2"/>
  <c r="L455" i="2"/>
  <c r="K455" i="2"/>
  <c r="J455" i="2"/>
  <c r="I455" i="2"/>
  <c r="H455" i="2"/>
  <c r="G455" i="2"/>
  <c r="F455" i="2"/>
  <c r="Q454" i="2"/>
  <c r="P454" i="2"/>
  <c r="O454" i="2"/>
  <c r="N454" i="2"/>
  <c r="M454" i="2"/>
  <c r="L454" i="2"/>
  <c r="K454" i="2"/>
  <c r="J454" i="2"/>
  <c r="I454" i="2"/>
  <c r="H454" i="2"/>
  <c r="G454" i="2"/>
  <c r="F454" i="2"/>
  <c r="Q453" i="2"/>
  <c r="P453" i="2"/>
  <c r="O453" i="2"/>
  <c r="N453" i="2"/>
  <c r="M453" i="2"/>
  <c r="L453" i="2"/>
  <c r="K453" i="2"/>
  <c r="J453" i="2"/>
  <c r="I453" i="2"/>
  <c r="H453" i="2"/>
  <c r="G453" i="2"/>
  <c r="F453" i="2"/>
  <c r="Q452" i="2"/>
  <c r="P452" i="2"/>
  <c r="O452" i="2"/>
  <c r="N452" i="2"/>
  <c r="M452" i="2"/>
  <c r="L452" i="2"/>
  <c r="K452" i="2"/>
  <c r="J452" i="2"/>
  <c r="I452" i="2"/>
  <c r="H452" i="2"/>
  <c r="G452" i="2"/>
  <c r="F452" i="2"/>
  <c r="Q451" i="2"/>
  <c r="P451" i="2"/>
  <c r="O451" i="2"/>
  <c r="N451" i="2"/>
  <c r="M451" i="2"/>
  <c r="L451" i="2"/>
  <c r="K451" i="2"/>
  <c r="J451" i="2"/>
  <c r="I451" i="2"/>
  <c r="H451" i="2"/>
  <c r="G451" i="2"/>
  <c r="F451" i="2"/>
  <c r="Q450" i="2"/>
  <c r="P450" i="2"/>
  <c r="O450" i="2"/>
  <c r="N450" i="2"/>
  <c r="M450" i="2"/>
  <c r="L450" i="2"/>
  <c r="K450" i="2"/>
  <c r="J450" i="2"/>
  <c r="I450" i="2"/>
  <c r="H450" i="2"/>
  <c r="G450" i="2"/>
  <c r="F450" i="2"/>
  <c r="Q449" i="2"/>
  <c r="P449" i="2"/>
  <c r="O449" i="2"/>
  <c r="N449" i="2"/>
  <c r="M449" i="2"/>
  <c r="L449" i="2"/>
  <c r="K449" i="2"/>
  <c r="J449" i="2"/>
  <c r="I449" i="2"/>
  <c r="H449" i="2"/>
  <c r="G449" i="2"/>
  <c r="F449" i="2"/>
  <c r="Q448" i="2"/>
  <c r="P448" i="2"/>
  <c r="O448" i="2"/>
  <c r="N448" i="2"/>
  <c r="M448" i="2"/>
  <c r="L448" i="2"/>
  <c r="K448" i="2"/>
  <c r="J448" i="2"/>
  <c r="I448" i="2"/>
  <c r="H448" i="2"/>
  <c r="G448" i="2"/>
  <c r="F448" i="2"/>
  <c r="Q447" i="2"/>
  <c r="P447" i="2"/>
  <c r="O447" i="2"/>
  <c r="N447" i="2"/>
  <c r="M447" i="2"/>
  <c r="L447" i="2"/>
  <c r="K447" i="2"/>
  <c r="J447" i="2"/>
  <c r="I447" i="2"/>
  <c r="H447" i="2"/>
  <c r="G447" i="2"/>
  <c r="F447" i="2"/>
  <c r="Q446" i="2"/>
  <c r="P446" i="2"/>
  <c r="O446" i="2"/>
  <c r="N446" i="2"/>
  <c r="M446" i="2"/>
  <c r="L446" i="2"/>
  <c r="K446" i="2"/>
  <c r="J446" i="2"/>
  <c r="I446" i="2"/>
  <c r="H446" i="2"/>
  <c r="G446" i="2"/>
  <c r="F446" i="2"/>
  <c r="Q445" i="2"/>
  <c r="P445" i="2"/>
  <c r="O445" i="2"/>
  <c r="N445" i="2"/>
  <c r="M445" i="2"/>
  <c r="L445" i="2"/>
  <c r="K445" i="2"/>
  <c r="J445" i="2"/>
  <c r="I445" i="2"/>
  <c r="H445" i="2"/>
  <c r="G445" i="2"/>
  <c r="F445" i="2"/>
  <c r="Q444" i="2"/>
  <c r="P444" i="2"/>
  <c r="O444" i="2"/>
  <c r="N444" i="2"/>
  <c r="M444" i="2"/>
  <c r="L444" i="2"/>
  <c r="K444" i="2"/>
  <c r="J444" i="2"/>
  <c r="I444" i="2"/>
  <c r="H444" i="2"/>
  <c r="G444" i="2"/>
  <c r="F444" i="2"/>
  <c r="Q443" i="2"/>
  <c r="P443" i="2"/>
  <c r="O443" i="2"/>
  <c r="N443" i="2"/>
  <c r="M443" i="2"/>
  <c r="L443" i="2"/>
  <c r="K443" i="2"/>
  <c r="J443" i="2"/>
  <c r="I443" i="2"/>
  <c r="H443" i="2"/>
  <c r="G443" i="2"/>
  <c r="F443" i="2"/>
  <c r="Q442" i="2"/>
  <c r="P442" i="2"/>
  <c r="O442" i="2"/>
  <c r="N442" i="2"/>
  <c r="M442" i="2"/>
  <c r="L442" i="2"/>
  <c r="K442" i="2"/>
  <c r="J442" i="2"/>
  <c r="I442" i="2"/>
  <c r="H442" i="2"/>
  <c r="G442" i="2"/>
  <c r="F442" i="2"/>
  <c r="Q441" i="2"/>
  <c r="P441" i="2"/>
  <c r="O441" i="2"/>
  <c r="N441" i="2"/>
  <c r="M441" i="2"/>
  <c r="L441" i="2"/>
  <c r="K441" i="2"/>
  <c r="J441" i="2"/>
  <c r="I441" i="2"/>
  <c r="H441" i="2"/>
  <c r="G441" i="2"/>
  <c r="F441" i="2"/>
  <c r="Q440" i="2"/>
  <c r="P440" i="2"/>
  <c r="O440" i="2"/>
  <c r="N440" i="2"/>
  <c r="M440" i="2"/>
  <c r="L440" i="2"/>
  <c r="K440" i="2"/>
  <c r="J440" i="2"/>
  <c r="I440" i="2"/>
  <c r="H440" i="2"/>
  <c r="G440" i="2"/>
  <c r="F440" i="2"/>
  <c r="Q439" i="2"/>
  <c r="P439" i="2"/>
  <c r="O439" i="2"/>
  <c r="N439" i="2"/>
  <c r="M439" i="2"/>
  <c r="L439" i="2"/>
  <c r="K439" i="2"/>
  <c r="J439" i="2"/>
  <c r="I439" i="2"/>
  <c r="H439" i="2"/>
  <c r="G439" i="2"/>
  <c r="F439" i="2"/>
  <c r="Q438" i="2"/>
  <c r="P438" i="2"/>
  <c r="O438" i="2"/>
  <c r="N438" i="2"/>
  <c r="M438" i="2"/>
  <c r="L438" i="2"/>
  <c r="K438" i="2"/>
  <c r="J438" i="2"/>
  <c r="I438" i="2"/>
  <c r="H438" i="2"/>
  <c r="G438" i="2"/>
  <c r="F438" i="2"/>
  <c r="Q437" i="2"/>
  <c r="P437" i="2"/>
  <c r="O437" i="2"/>
  <c r="N437" i="2"/>
  <c r="M437" i="2"/>
  <c r="L437" i="2"/>
  <c r="K437" i="2"/>
  <c r="J437" i="2"/>
  <c r="I437" i="2"/>
  <c r="H437" i="2"/>
  <c r="G437" i="2"/>
  <c r="F437" i="2"/>
  <c r="Q436" i="2"/>
  <c r="P436" i="2"/>
  <c r="O436" i="2"/>
  <c r="N436" i="2"/>
  <c r="M436" i="2"/>
  <c r="L436" i="2"/>
  <c r="K436" i="2"/>
  <c r="J436" i="2"/>
  <c r="I436" i="2"/>
  <c r="H436" i="2"/>
  <c r="G436" i="2"/>
  <c r="F436" i="2"/>
  <c r="Q435" i="2"/>
  <c r="P435" i="2"/>
  <c r="O435" i="2"/>
  <c r="N435" i="2"/>
  <c r="M435" i="2"/>
  <c r="L435" i="2"/>
  <c r="K435" i="2"/>
  <c r="J435" i="2"/>
  <c r="I435" i="2"/>
  <c r="H435" i="2"/>
  <c r="G435" i="2"/>
  <c r="F435" i="2"/>
  <c r="Q434" i="2"/>
  <c r="P434" i="2"/>
  <c r="O434" i="2"/>
  <c r="N434" i="2"/>
  <c r="M434" i="2"/>
  <c r="L434" i="2"/>
  <c r="K434" i="2"/>
  <c r="J434" i="2"/>
  <c r="I434" i="2"/>
  <c r="H434" i="2"/>
  <c r="G434" i="2"/>
  <c r="F434" i="2"/>
  <c r="Q433" i="2"/>
  <c r="P433" i="2"/>
  <c r="O433" i="2"/>
  <c r="N433" i="2"/>
  <c r="M433" i="2"/>
  <c r="L433" i="2"/>
  <c r="K433" i="2"/>
  <c r="J433" i="2"/>
  <c r="I433" i="2"/>
  <c r="H433" i="2"/>
  <c r="G433" i="2"/>
  <c r="F433" i="2"/>
  <c r="Q432" i="2"/>
  <c r="P432" i="2"/>
  <c r="O432" i="2"/>
  <c r="N432" i="2"/>
  <c r="M432" i="2"/>
  <c r="L432" i="2"/>
  <c r="K432" i="2"/>
  <c r="J432" i="2"/>
  <c r="I432" i="2"/>
  <c r="H432" i="2"/>
  <c r="G432" i="2"/>
  <c r="F432" i="2"/>
  <c r="Q431" i="2"/>
  <c r="P431" i="2"/>
  <c r="O431" i="2"/>
  <c r="N431" i="2"/>
  <c r="M431" i="2"/>
  <c r="L431" i="2"/>
  <c r="K431" i="2"/>
  <c r="J431" i="2"/>
  <c r="I431" i="2"/>
  <c r="H431" i="2"/>
  <c r="G431" i="2"/>
  <c r="F431" i="2"/>
  <c r="Q430" i="2"/>
  <c r="P430" i="2"/>
  <c r="O430" i="2"/>
  <c r="N430" i="2"/>
  <c r="M430" i="2"/>
  <c r="L430" i="2"/>
  <c r="K430" i="2"/>
  <c r="J430" i="2"/>
  <c r="I430" i="2"/>
  <c r="H430" i="2"/>
  <c r="G430" i="2"/>
  <c r="F430" i="2"/>
  <c r="Q429" i="2"/>
  <c r="P429" i="2"/>
  <c r="O429" i="2"/>
  <c r="N429" i="2"/>
  <c r="M429" i="2"/>
  <c r="L429" i="2"/>
  <c r="K429" i="2"/>
  <c r="J429" i="2"/>
  <c r="I429" i="2"/>
  <c r="H429" i="2"/>
  <c r="G429" i="2"/>
  <c r="F429" i="2"/>
  <c r="Q428" i="2"/>
  <c r="P428" i="2"/>
  <c r="O428" i="2"/>
  <c r="N428" i="2"/>
  <c r="M428" i="2"/>
  <c r="L428" i="2"/>
  <c r="K428" i="2"/>
  <c r="J428" i="2"/>
  <c r="I428" i="2"/>
  <c r="H428" i="2"/>
  <c r="G428" i="2"/>
  <c r="F428" i="2"/>
  <c r="Q427" i="2"/>
  <c r="P427" i="2"/>
  <c r="O427" i="2"/>
  <c r="N427" i="2"/>
  <c r="M427" i="2"/>
  <c r="L427" i="2"/>
  <c r="K427" i="2"/>
  <c r="J427" i="2"/>
  <c r="I427" i="2"/>
  <c r="H427" i="2"/>
  <c r="G427" i="2"/>
  <c r="F427" i="2"/>
  <c r="Q426" i="2"/>
  <c r="P426" i="2"/>
  <c r="O426" i="2"/>
  <c r="N426" i="2"/>
  <c r="M426" i="2"/>
  <c r="L426" i="2"/>
  <c r="K426" i="2"/>
  <c r="J426" i="2"/>
  <c r="I426" i="2"/>
  <c r="H426" i="2"/>
  <c r="G426" i="2"/>
  <c r="F426" i="2"/>
  <c r="Q425" i="2"/>
  <c r="P425" i="2"/>
  <c r="O425" i="2"/>
  <c r="N425" i="2"/>
  <c r="M425" i="2"/>
  <c r="L425" i="2"/>
  <c r="K425" i="2"/>
  <c r="J425" i="2"/>
  <c r="I425" i="2"/>
  <c r="H425" i="2"/>
  <c r="G425" i="2"/>
  <c r="F425" i="2"/>
  <c r="Q424" i="2"/>
  <c r="P424" i="2"/>
  <c r="O424" i="2"/>
  <c r="N424" i="2"/>
  <c r="M424" i="2"/>
  <c r="L424" i="2"/>
  <c r="K424" i="2"/>
  <c r="J424" i="2"/>
  <c r="I424" i="2"/>
  <c r="H424" i="2"/>
  <c r="G424" i="2"/>
  <c r="F424" i="2"/>
  <c r="Q423" i="2"/>
  <c r="P423" i="2"/>
  <c r="O423" i="2"/>
  <c r="N423" i="2"/>
  <c r="M423" i="2"/>
  <c r="L423" i="2"/>
  <c r="K423" i="2"/>
  <c r="J423" i="2"/>
  <c r="I423" i="2"/>
  <c r="H423" i="2"/>
  <c r="G423" i="2"/>
  <c r="F423" i="2"/>
  <c r="Q422" i="2"/>
  <c r="P422" i="2"/>
  <c r="O422" i="2"/>
  <c r="N422" i="2"/>
  <c r="M422" i="2"/>
  <c r="L422" i="2"/>
  <c r="K422" i="2"/>
  <c r="J422" i="2"/>
  <c r="I422" i="2"/>
  <c r="H422" i="2"/>
  <c r="G422" i="2"/>
  <c r="F422" i="2"/>
  <c r="Q421" i="2"/>
  <c r="P421" i="2"/>
  <c r="O421" i="2"/>
  <c r="N421" i="2"/>
  <c r="M421" i="2"/>
  <c r="L421" i="2"/>
  <c r="K421" i="2"/>
  <c r="J421" i="2"/>
  <c r="I421" i="2"/>
  <c r="H421" i="2"/>
  <c r="G421" i="2"/>
  <c r="F421" i="2"/>
  <c r="Q420" i="2"/>
  <c r="P420" i="2"/>
  <c r="O420" i="2"/>
  <c r="N420" i="2"/>
  <c r="M420" i="2"/>
  <c r="L420" i="2"/>
  <c r="K420" i="2"/>
  <c r="J420" i="2"/>
  <c r="I420" i="2"/>
  <c r="H420" i="2"/>
  <c r="G420" i="2"/>
  <c r="F420" i="2"/>
  <c r="Q419" i="2"/>
  <c r="P419" i="2"/>
  <c r="O419" i="2"/>
  <c r="N419" i="2"/>
  <c r="M419" i="2"/>
  <c r="L419" i="2"/>
  <c r="K419" i="2"/>
  <c r="J419" i="2"/>
  <c r="I419" i="2"/>
  <c r="H419" i="2"/>
  <c r="G419" i="2"/>
  <c r="F419" i="2"/>
  <c r="Q418" i="2"/>
  <c r="P418" i="2"/>
  <c r="O418" i="2"/>
  <c r="N418" i="2"/>
  <c r="M418" i="2"/>
  <c r="L418" i="2"/>
  <c r="K418" i="2"/>
  <c r="J418" i="2"/>
  <c r="I418" i="2"/>
  <c r="H418" i="2"/>
  <c r="G418" i="2"/>
  <c r="F418" i="2"/>
  <c r="Q417" i="2"/>
  <c r="P417" i="2"/>
  <c r="O417" i="2"/>
  <c r="N417" i="2"/>
  <c r="M417" i="2"/>
  <c r="L417" i="2"/>
  <c r="K417" i="2"/>
  <c r="J417" i="2"/>
  <c r="I417" i="2"/>
  <c r="H417" i="2"/>
  <c r="G417" i="2"/>
  <c r="F417" i="2"/>
  <c r="Q416" i="2"/>
  <c r="P416" i="2"/>
  <c r="O416" i="2"/>
  <c r="N416" i="2"/>
  <c r="M416" i="2"/>
  <c r="L416" i="2"/>
  <c r="K416" i="2"/>
  <c r="J416" i="2"/>
  <c r="I416" i="2"/>
  <c r="H416" i="2"/>
  <c r="G416" i="2"/>
  <c r="F416" i="2"/>
  <c r="Q415" i="2"/>
  <c r="P415" i="2"/>
  <c r="O415" i="2"/>
  <c r="N415" i="2"/>
  <c r="M415" i="2"/>
  <c r="L415" i="2"/>
  <c r="K415" i="2"/>
  <c r="J415" i="2"/>
  <c r="I415" i="2"/>
  <c r="H415" i="2"/>
  <c r="G415" i="2"/>
  <c r="F415" i="2"/>
  <c r="Q414" i="2"/>
  <c r="P414" i="2"/>
  <c r="O414" i="2"/>
  <c r="N414" i="2"/>
  <c r="M414" i="2"/>
  <c r="L414" i="2"/>
  <c r="K414" i="2"/>
  <c r="J414" i="2"/>
  <c r="I414" i="2"/>
  <c r="H414" i="2"/>
  <c r="G414" i="2"/>
  <c r="F414" i="2"/>
  <c r="Q413" i="2"/>
  <c r="P413" i="2"/>
  <c r="O413" i="2"/>
  <c r="N413" i="2"/>
  <c r="M413" i="2"/>
  <c r="L413" i="2"/>
  <c r="K413" i="2"/>
  <c r="J413" i="2"/>
  <c r="I413" i="2"/>
  <c r="H413" i="2"/>
  <c r="G413" i="2"/>
  <c r="F413" i="2"/>
  <c r="Q412" i="2"/>
  <c r="P412" i="2"/>
  <c r="O412" i="2"/>
  <c r="N412" i="2"/>
  <c r="M412" i="2"/>
  <c r="L412" i="2"/>
  <c r="K412" i="2"/>
  <c r="J412" i="2"/>
  <c r="I412" i="2"/>
  <c r="H412" i="2"/>
  <c r="G412" i="2"/>
  <c r="F412" i="2"/>
  <c r="Q411" i="2"/>
  <c r="P411" i="2"/>
  <c r="O411" i="2"/>
  <c r="N411" i="2"/>
  <c r="M411" i="2"/>
  <c r="L411" i="2"/>
  <c r="K411" i="2"/>
  <c r="J411" i="2"/>
  <c r="I411" i="2"/>
  <c r="H411" i="2"/>
  <c r="G411" i="2"/>
  <c r="F411" i="2"/>
  <c r="Q410" i="2"/>
  <c r="P410" i="2"/>
  <c r="O410" i="2"/>
  <c r="N410" i="2"/>
  <c r="M410" i="2"/>
  <c r="L410" i="2"/>
  <c r="K410" i="2"/>
  <c r="J410" i="2"/>
  <c r="I410" i="2"/>
  <c r="H410" i="2"/>
  <c r="G410" i="2"/>
  <c r="F410" i="2"/>
  <c r="Q409" i="2"/>
  <c r="P409" i="2"/>
  <c r="O409" i="2"/>
  <c r="N409" i="2"/>
  <c r="M409" i="2"/>
  <c r="L409" i="2"/>
  <c r="K409" i="2"/>
  <c r="J409" i="2"/>
  <c r="I409" i="2"/>
  <c r="H409" i="2"/>
  <c r="G409" i="2"/>
  <c r="F409" i="2"/>
  <c r="Q408" i="2"/>
  <c r="P408" i="2"/>
  <c r="O408" i="2"/>
  <c r="N408" i="2"/>
  <c r="M408" i="2"/>
  <c r="L408" i="2"/>
  <c r="K408" i="2"/>
  <c r="J408" i="2"/>
  <c r="I408" i="2"/>
  <c r="H408" i="2"/>
  <c r="G408" i="2"/>
  <c r="F408" i="2"/>
  <c r="Q407" i="2"/>
  <c r="P407" i="2"/>
  <c r="O407" i="2"/>
  <c r="N407" i="2"/>
  <c r="M407" i="2"/>
  <c r="L407" i="2"/>
  <c r="K407" i="2"/>
  <c r="J407" i="2"/>
  <c r="I407" i="2"/>
  <c r="H407" i="2"/>
  <c r="G407" i="2"/>
  <c r="F407" i="2"/>
  <c r="Q406" i="2"/>
  <c r="P406" i="2"/>
  <c r="O406" i="2"/>
  <c r="N406" i="2"/>
  <c r="M406" i="2"/>
  <c r="L406" i="2"/>
  <c r="K406" i="2"/>
  <c r="J406" i="2"/>
  <c r="I406" i="2"/>
  <c r="H406" i="2"/>
  <c r="G406" i="2"/>
  <c r="F406" i="2"/>
  <c r="Q405" i="2"/>
  <c r="P405" i="2"/>
  <c r="O405" i="2"/>
  <c r="N405" i="2"/>
  <c r="M405" i="2"/>
  <c r="L405" i="2"/>
  <c r="K405" i="2"/>
  <c r="J405" i="2"/>
  <c r="I405" i="2"/>
  <c r="H405" i="2"/>
  <c r="G405" i="2"/>
  <c r="F405" i="2"/>
  <c r="Q404" i="2"/>
  <c r="P404" i="2"/>
  <c r="O404" i="2"/>
  <c r="N404" i="2"/>
  <c r="M404" i="2"/>
  <c r="L404" i="2"/>
  <c r="K404" i="2"/>
  <c r="J404" i="2"/>
  <c r="I404" i="2"/>
  <c r="H404" i="2"/>
  <c r="G404" i="2"/>
  <c r="F404" i="2"/>
  <c r="Q403" i="2"/>
  <c r="P403" i="2"/>
  <c r="O403" i="2"/>
  <c r="N403" i="2"/>
  <c r="M403" i="2"/>
  <c r="L403" i="2"/>
  <c r="K403" i="2"/>
  <c r="J403" i="2"/>
  <c r="I403" i="2"/>
  <c r="H403" i="2"/>
  <c r="G403" i="2"/>
  <c r="F403" i="2"/>
  <c r="Q402" i="2"/>
  <c r="P402" i="2"/>
  <c r="O402" i="2"/>
  <c r="N402" i="2"/>
  <c r="M402" i="2"/>
  <c r="L402" i="2"/>
  <c r="K402" i="2"/>
  <c r="J402" i="2"/>
  <c r="I402" i="2"/>
  <c r="H402" i="2"/>
  <c r="G402" i="2"/>
  <c r="F402" i="2"/>
  <c r="Q401" i="2"/>
  <c r="P401" i="2"/>
  <c r="O401" i="2"/>
  <c r="N401" i="2"/>
  <c r="M401" i="2"/>
  <c r="L401" i="2"/>
  <c r="K401" i="2"/>
  <c r="J401" i="2"/>
  <c r="I401" i="2"/>
  <c r="H401" i="2"/>
  <c r="G401" i="2"/>
  <c r="F401" i="2"/>
  <c r="Q400" i="2"/>
  <c r="P400" i="2"/>
  <c r="O400" i="2"/>
  <c r="N400" i="2"/>
  <c r="M400" i="2"/>
  <c r="L400" i="2"/>
  <c r="K400" i="2"/>
  <c r="J400" i="2"/>
  <c r="I400" i="2"/>
  <c r="H400" i="2"/>
  <c r="G400" i="2"/>
  <c r="F400" i="2"/>
  <c r="Q399" i="2"/>
  <c r="P399" i="2"/>
  <c r="O399" i="2"/>
  <c r="N399" i="2"/>
  <c r="M399" i="2"/>
  <c r="L399" i="2"/>
  <c r="K399" i="2"/>
  <c r="J399" i="2"/>
  <c r="I399" i="2"/>
  <c r="H399" i="2"/>
  <c r="G399" i="2"/>
  <c r="F399" i="2"/>
  <c r="Q398" i="2"/>
  <c r="P398" i="2"/>
  <c r="O398" i="2"/>
  <c r="N398" i="2"/>
  <c r="M398" i="2"/>
  <c r="L398" i="2"/>
  <c r="K398" i="2"/>
  <c r="J398" i="2"/>
  <c r="I398" i="2"/>
  <c r="H398" i="2"/>
  <c r="G398" i="2"/>
  <c r="F398" i="2"/>
  <c r="Q397" i="2"/>
  <c r="P397" i="2"/>
  <c r="O397" i="2"/>
  <c r="N397" i="2"/>
  <c r="M397" i="2"/>
  <c r="L397" i="2"/>
  <c r="K397" i="2"/>
  <c r="J397" i="2"/>
  <c r="I397" i="2"/>
  <c r="H397" i="2"/>
  <c r="G397" i="2"/>
  <c r="F397" i="2"/>
  <c r="Q396" i="2"/>
  <c r="P396" i="2"/>
  <c r="O396" i="2"/>
  <c r="N396" i="2"/>
  <c r="M396" i="2"/>
  <c r="L396" i="2"/>
  <c r="K396" i="2"/>
  <c r="J396" i="2"/>
  <c r="I396" i="2"/>
  <c r="H396" i="2"/>
  <c r="G396" i="2"/>
  <c r="F396" i="2"/>
  <c r="Q395" i="2"/>
  <c r="P395" i="2"/>
  <c r="O395" i="2"/>
  <c r="N395" i="2"/>
  <c r="M395" i="2"/>
  <c r="L395" i="2"/>
  <c r="K395" i="2"/>
  <c r="J395" i="2"/>
  <c r="I395" i="2"/>
  <c r="H395" i="2"/>
  <c r="G395" i="2"/>
  <c r="F395" i="2"/>
  <c r="Q394" i="2"/>
  <c r="P394" i="2"/>
  <c r="O394" i="2"/>
  <c r="N394" i="2"/>
  <c r="M394" i="2"/>
  <c r="L394" i="2"/>
  <c r="K394" i="2"/>
  <c r="J394" i="2"/>
  <c r="I394" i="2"/>
  <c r="H394" i="2"/>
  <c r="G394" i="2"/>
  <c r="F394" i="2"/>
  <c r="Q393" i="2"/>
  <c r="P393" i="2"/>
  <c r="O393" i="2"/>
  <c r="N393" i="2"/>
  <c r="M393" i="2"/>
  <c r="L393" i="2"/>
  <c r="K393" i="2"/>
  <c r="J393" i="2"/>
  <c r="I393" i="2"/>
  <c r="H393" i="2"/>
  <c r="G393" i="2"/>
  <c r="F393" i="2"/>
  <c r="Q392" i="2"/>
  <c r="P392" i="2"/>
  <c r="O392" i="2"/>
  <c r="N392" i="2"/>
  <c r="M392" i="2"/>
  <c r="L392" i="2"/>
  <c r="K392" i="2"/>
  <c r="J392" i="2"/>
  <c r="I392" i="2"/>
  <c r="H392" i="2"/>
  <c r="G392" i="2"/>
  <c r="F392" i="2"/>
  <c r="Q391" i="2"/>
  <c r="P391" i="2"/>
  <c r="O391" i="2"/>
  <c r="N391" i="2"/>
  <c r="M391" i="2"/>
  <c r="L391" i="2"/>
  <c r="K391" i="2"/>
  <c r="J391" i="2"/>
  <c r="I391" i="2"/>
  <c r="H391" i="2"/>
  <c r="G391" i="2"/>
  <c r="F391" i="2"/>
  <c r="Q390" i="2"/>
  <c r="P390" i="2"/>
  <c r="O390" i="2"/>
  <c r="N390" i="2"/>
  <c r="M390" i="2"/>
  <c r="L390" i="2"/>
  <c r="K390" i="2"/>
  <c r="J390" i="2"/>
  <c r="I390" i="2"/>
  <c r="H390" i="2"/>
  <c r="G390" i="2"/>
  <c r="F390" i="2"/>
  <c r="Q389" i="2"/>
  <c r="P389" i="2"/>
  <c r="O389" i="2"/>
  <c r="N389" i="2"/>
  <c r="M389" i="2"/>
  <c r="L389" i="2"/>
  <c r="K389" i="2"/>
  <c r="J389" i="2"/>
  <c r="I389" i="2"/>
  <c r="H389" i="2"/>
  <c r="G389" i="2"/>
  <c r="F389" i="2"/>
  <c r="Q388" i="2"/>
  <c r="P388" i="2"/>
  <c r="O388" i="2"/>
  <c r="N388" i="2"/>
  <c r="M388" i="2"/>
  <c r="L388" i="2"/>
  <c r="K388" i="2"/>
  <c r="J388" i="2"/>
  <c r="I388" i="2"/>
  <c r="H388" i="2"/>
  <c r="G388" i="2"/>
  <c r="F388" i="2"/>
  <c r="Q387" i="2"/>
  <c r="P387" i="2"/>
  <c r="O387" i="2"/>
  <c r="N387" i="2"/>
  <c r="M387" i="2"/>
  <c r="L387" i="2"/>
  <c r="K387" i="2"/>
  <c r="J387" i="2"/>
  <c r="I387" i="2"/>
  <c r="H387" i="2"/>
  <c r="G387" i="2"/>
  <c r="F387" i="2"/>
  <c r="Q386" i="2"/>
  <c r="P386" i="2"/>
  <c r="O386" i="2"/>
  <c r="N386" i="2"/>
  <c r="M386" i="2"/>
  <c r="L386" i="2"/>
  <c r="K386" i="2"/>
  <c r="J386" i="2"/>
  <c r="I386" i="2"/>
  <c r="H386" i="2"/>
  <c r="G386" i="2"/>
  <c r="F386" i="2"/>
  <c r="Q385" i="2"/>
  <c r="P385" i="2"/>
  <c r="O385" i="2"/>
  <c r="N385" i="2"/>
  <c r="M385" i="2"/>
  <c r="L385" i="2"/>
  <c r="K385" i="2"/>
  <c r="J385" i="2"/>
  <c r="I385" i="2"/>
  <c r="H385" i="2"/>
  <c r="G385" i="2"/>
  <c r="F385" i="2"/>
  <c r="Q384" i="2"/>
  <c r="P384" i="2"/>
  <c r="O384" i="2"/>
  <c r="N384" i="2"/>
  <c r="M384" i="2"/>
  <c r="L384" i="2"/>
  <c r="K384" i="2"/>
  <c r="J384" i="2"/>
  <c r="I384" i="2"/>
  <c r="H384" i="2"/>
  <c r="G384" i="2"/>
  <c r="F384" i="2"/>
  <c r="Q383" i="2"/>
  <c r="P383" i="2"/>
  <c r="O383" i="2"/>
  <c r="N383" i="2"/>
  <c r="M383" i="2"/>
  <c r="L383" i="2"/>
  <c r="K383" i="2"/>
  <c r="J383" i="2"/>
  <c r="I383" i="2"/>
  <c r="H383" i="2"/>
  <c r="G383" i="2"/>
  <c r="F383" i="2"/>
  <c r="Q382" i="2"/>
  <c r="P382" i="2"/>
  <c r="O382" i="2"/>
  <c r="N382" i="2"/>
  <c r="M382" i="2"/>
  <c r="L382" i="2"/>
  <c r="K382" i="2"/>
  <c r="J382" i="2"/>
  <c r="I382" i="2"/>
  <c r="H382" i="2"/>
  <c r="G382" i="2"/>
  <c r="F382" i="2"/>
  <c r="Q381" i="2"/>
  <c r="P381" i="2"/>
  <c r="O381" i="2"/>
  <c r="N381" i="2"/>
  <c r="M381" i="2"/>
  <c r="L381" i="2"/>
  <c r="K381" i="2"/>
  <c r="J381" i="2"/>
  <c r="I381" i="2"/>
  <c r="H381" i="2"/>
  <c r="G381" i="2"/>
  <c r="F381" i="2"/>
  <c r="Q380" i="2"/>
  <c r="P380" i="2"/>
  <c r="O380" i="2"/>
  <c r="N380" i="2"/>
  <c r="M380" i="2"/>
  <c r="L380" i="2"/>
  <c r="K380" i="2"/>
  <c r="J380" i="2"/>
  <c r="I380" i="2"/>
  <c r="H380" i="2"/>
  <c r="G380" i="2"/>
  <c r="F380" i="2"/>
  <c r="Q379" i="2"/>
  <c r="P379" i="2"/>
  <c r="O379" i="2"/>
  <c r="N379" i="2"/>
  <c r="M379" i="2"/>
  <c r="L379" i="2"/>
  <c r="K379" i="2"/>
  <c r="J379" i="2"/>
  <c r="I379" i="2"/>
  <c r="H379" i="2"/>
  <c r="G379" i="2"/>
  <c r="F379" i="2"/>
  <c r="Q378" i="2"/>
  <c r="P378" i="2"/>
  <c r="O378" i="2"/>
  <c r="N378" i="2"/>
  <c r="M378" i="2"/>
  <c r="L378" i="2"/>
  <c r="K378" i="2"/>
  <c r="J378" i="2"/>
  <c r="I378" i="2"/>
  <c r="H378" i="2"/>
  <c r="G378" i="2"/>
  <c r="F378" i="2"/>
  <c r="Q377" i="2"/>
  <c r="P377" i="2"/>
  <c r="O377" i="2"/>
  <c r="N377" i="2"/>
  <c r="M377" i="2"/>
  <c r="L377" i="2"/>
  <c r="K377" i="2"/>
  <c r="J377" i="2"/>
  <c r="I377" i="2"/>
  <c r="H377" i="2"/>
  <c r="G377" i="2"/>
  <c r="F377" i="2"/>
  <c r="Q376" i="2"/>
  <c r="P376" i="2"/>
  <c r="O376" i="2"/>
  <c r="N376" i="2"/>
  <c r="M376" i="2"/>
  <c r="L376" i="2"/>
  <c r="K376" i="2"/>
  <c r="J376" i="2"/>
  <c r="I376" i="2"/>
  <c r="H376" i="2"/>
  <c r="G376" i="2"/>
  <c r="F376" i="2"/>
  <c r="Q375" i="2"/>
  <c r="P375" i="2"/>
  <c r="O375" i="2"/>
  <c r="N375" i="2"/>
  <c r="M375" i="2"/>
  <c r="L375" i="2"/>
  <c r="K375" i="2"/>
  <c r="J375" i="2"/>
  <c r="I375" i="2"/>
  <c r="H375" i="2"/>
  <c r="G375" i="2"/>
  <c r="F375" i="2"/>
  <c r="Q374" i="2"/>
  <c r="P374" i="2"/>
  <c r="O374" i="2"/>
  <c r="N374" i="2"/>
  <c r="M374" i="2"/>
  <c r="L374" i="2"/>
  <c r="K374" i="2"/>
  <c r="J374" i="2"/>
  <c r="I374" i="2"/>
  <c r="H374" i="2"/>
  <c r="G374" i="2"/>
  <c r="F374" i="2"/>
  <c r="Q373" i="2"/>
  <c r="P373" i="2"/>
  <c r="O373" i="2"/>
  <c r="N373" i="2"/>
  <c r="M373" i="2"/>
  <c r="L373" i="2"/>
  <c r="K373" i="2"/>
  <c r="J373" i="2"/>
  <c r="I373" i="2"/>
  <c r="H373" i="2"/>
  <c r="G373" i="2"/>
  <c r="F373" i="2"/>
  <c r="Q372" i="2"/>
  <c r="P372" i="2"/>
  <c r="O372" i="2"/>
  <c r="N372" i="2"/>
  <c r="M372" i="2"/>
  <c r="L372" i="2"/>
  <c r="K372" i="2"/>
  <c r="J372" i="2"/>
  <c r="I372" i="2"/>
  <c r="H372" i="2"/>
  <c r="G372" i="2"/>
  <c r="F372" i="2"/>
  <c r="Q371" i="2"/>
  <c r="P371" i="2"/>
  <c r="O371" i="2"/>
  <c r="N371" i="2"/>
  <c r="M371" i="2"/>
  <c r="L371" i="2"/>
  <c r="K371" i="2"/>
  <c r="J371" i="2"/>
  <c r="I371" i="2"/>
  <c r="H371" i="2"/>
  <c r="G371" i="2"/>
  <c r="F371" i="2"/>
  <c r="Q370" i="2"/>
  <c r="P370" i="2"/>
  <c r="O370" i="2"/>
  <c r="N370" i="2"/>
  <c r="M370" i="2"/>
  <c r="L370" i="2"/>
  <c r="K370" i="2"/>
  <c r="J370" i="2"/>
  <c r="I370" i="2"/>
  <c r="H370" i="2"/>
  <c r="G370" i="2"/>
  <c r="F370" i="2"/>
  <c r="Q369" i="2"/>
  <c r="P369" i="2"/>
  <c r="O369" i="2"/>
  <c r="N369" i="2"/>
  <c r="M369" i="2"/>
  <c r="L369" i="2"/>
  <c r="K369" i="2"/>
  <c r="J369" i="2"/>
  <c r="I369" i="2"/>
  <c r="H369" i="2"/>
  <c r="G369" i="2"/>
  <c r="F369" i="2"/>
  <c r="Q368" i="2"/>
  <c r="P368" i="2"/>
  <c r="O368" i="2"/>
  <c r="N368" i="2"/>
  <c r="M368" i="2"/>
  <c r="L368" i="2"/>
  <c r="K368" i="2"/>
  <c r="J368" i="2"/>
  <c r="I368" i="2"/>
  <c r="H368" i="2"/>
  <c r="G368" i="2"/>
  <c r="F368" i="2"/>
  <c r="Q367" i="2"/>
  <c r="P367" i="2"/>
  <c r="O367" i="2"/>
  <c r="N367" i="2"/>
  <c r="M367" i="2"/>
  <c r="L367" i="2"/>
  <c r="K367" i="2"/>
  <c r="J367" i="2"/>
  <c r="I367" i="2"/>
  <c r="H367" i="2"/>
  <c r="G367" i="2"/>
  <c r="F367" i="2"/>
  <c r="Q366" i="2"/>
  <c r="P366" i="2"/>
  <c r="O366" i="2"/>
  <c r="N366" i="2"/>
  <c r="M366" i="2"/>
  <c r="L366" i="2"/>
  <c r="K366" i="2"/>
  <c r="J366" i="2"/>
  <c r="I366" i="2"/>
  <c r="H366" i="2"/>
  <c r="G366" i="2"/>
  <c r="F366" i="2"/>
  <c r="Q365" i="2"/>
  <c r="P365" i="2"/>
  <c r="O365" i="2"/>
  <c r="N365" i="2"/>
  <c r="M365" i="2"/>
  <c r="L365" i="2"/>
  <c r="K365" i="2"/>
  <c r="J365" i="2"/>
  <c r="I365" i="2"/>
  <c r="H365" i="2"/>
  <c r="G365" i="2"/>
  <c r="F365" i="2"/>
  <c r="Q364" i="2"/>
  <c r="P364" i="2"/>
  <c r="O364" i="2"/>
  <c r="N364" i="2"/>
  <c r="M364" i="2"/>
  <c r="L364" i="2"/>
  <c r="K364" i="2"/>
  <c r="J364" i="2"/>
  <c r="I364" i="2"/>
  <c r="H364" i="2"/>
  <c r="G364" i="2"/>
  <c r="F364" i="2"/>
  <c r="Q363" i="2"/>
  <c r="P363" i="2"/>
  <c r="O363" i="2"/>
  <c r="N363" i="2"/>
  <c r="M363" i="2"/>
  <c r="L363" i="2"/>
  <c r="K363" i="2"/>
  <c r="J363" i="2"/>
  <c r="I363" i="2"/>
  <c r="H363" i="2"/>
  <c r="G363" i="2"/>
  <c r="F363" i="2"/>
  <c r="Q362" i="2"/>
  <c r="P362" i="2"/>
  <c r="O362" i="2"/>
  <c r="N362" i="2"/>
  <c r="M362" i="2"/>
  <c r="L362" i="2"/>
  <c r="K362" i="2"/>
  <c r="J362" i="2"/>
  <c r="I362" i="2"/>
  <c r="H362" i="2"/>
  <c r="G362" i="2"/>
  <c r="F362" i="2"/>
  <c r="Q361" i="2"/>
  <c r="P361" i="2"/>
  <c r="O361" i="2"/>
  <c r="N361" i="2"/>
  <c r="M361" i="2"/>
  <c r="L361" i="2"/>
  <c r="K361" i="2"/>
  <c r="J361" i="2"/>
  <c r="I361" i="2"/>
  <c r="H361" i="2"/>
  <c r="G361" i="2"/>
  <c r="F361" i="2"/>
  <c r="Q360" i="2"/>
  <c r="P360" i="2"/>
  <c r="O360" i="2"/>
  <c r="N360" i="2"/>
  <c r="M360" i="2"/>
  <c r="L360" i="2"/>
  <c r="K360" i="2"/>
  <c r="J360" i="2"/>
  <c r="I360" i="2"/>
  <c r="H360" i="2"/>
  <c r="G360" i="2"/>
  <c r="F360" i="2"/>
  <c r="Q359" i="2"/>
  <c r="P359" i="2"/>
  <c r="O359" i="2"/>
  <c r="N359" i="2"/>
  <c r="M359" i="2"/>
  <c r="L359" i="2"/>
  <c r="K359" i="2"/>
  <c r="J359" i="2"/>
  <c r="I359" i="2"/>
  <c r="H359" i="2"/>
  <c r="G359" i="2"/>
  <c r="F359" i="2"/>
  <c r="Q358" i="2"/>
  <c r="P358" i="2"/>
  <c r="O358" i="2"/>
  <c r="N358" i="2"/>
  <c r="M358" i="2"/>
  <c r="L358" i="2"/>
  <c r="K358" i="2"/>
  <c r="J358" i="2"/>
  <c r="I358" i="2"/>
  <c r="H358" i="2"/>
  <c r="G358" i="2"/>
  <c r="F358" i="2"/>
  <c r="Q357" i="2"/>
  <c r="P357" i="2"/>
  <c r="O357" i="2"/>
  <c r="N357" i="2"/>
  <c r="M357" i="2"/>
  <c r="L357" i="2"/>
  <c r="K357" i="2"/>
  <c r="J357" i="2"/>
  <c r="I357" i="2"/>
  <c r="H357" i="2"/>
  <c r="G357" i="2"/>
  <c r="F357" i="2"/>
  <c r="Q356" i="2"/>
  <c r="P356" i="2"/>
  <c r="O356" i="2"/>
  <c r="N356" i="2"/>
  <c r="M356" i="2"/>
  <c r="L356" i="2"/>
  <c r="K356" i="2"/>
  <c r="J356" i="2"/>
  <c r="I356" i="2"/>
  <c r="H356" i="2"/>
  <c r="G356" i="2"/>
  <c r="F356" i="2"/>
  <c r="Q355" i="2"/>
  <c r="P355" i="2"/>
  <c r="O355" i="2"/>
  <c r="N355" i="2"/>
  <c r="M355" i="2"/>
  <c r="L355" i="2"/>
  <c r="K355" i="2"/>
  <c r="J355" i="2"/>
  <c r="I355" i="2"/>
  <c r="H355" i="2"/>
  <c r="G355" i="2"/>
  <c r="F355" i="2"/>
  <c r="Q354" i="2"/>
  <c r="P354" i="2"/>
  <c r="O354" i="2"/>
  <c r="N354" i="2"/>
  <c r="M354" i="2"/>
  <c r="L354" i="2"/>
  <c r="K354" i="2"/>
  <c r="J354" i="2"/>
  <c r="I354" i="2"/>
  <c r="H354" i="2"/>
  <c r="G354" i="2"/>
  <c r="F354" i="2"/>
  <c r="Q353" i="2"/>
  <c r="P353" i="2"/>
  <c r="O353" i="2"/>
  <c r="N353" i="2"/>
  <c r="M353" i="2"/>
  <c r="L353" i="2"/>
  <c r="K353" i="2"/>
  <c r="J353" i="2"/>
  <c r="I353" i="2"/>
  <c r="H353" i="2"/>
  <c r="G353" i="2"/>
  <c r="F353" i="2"/>
  <c r="Q352" i="2"/>
  <c r="P352" i="2"/>
  <c r="O352" i="2"/>
  <c r="N352" i="2"/>
  <c r="M352" i="2"/>
  <c r="L352" i="2"/>
  <c r="K352" i="2"/>
  <c r="J352" i="2"/>
  <c r="I352" i="2"/>
  <c r="H352" i="2"/>
  <c r="G352" i="2"/>
  <c r="F352" i="2"/>
  <c r="Q351" i="2"/>
  <c r="P351" i="2"/>
  <c r="O351" i="2"/>
  <c r="N351" i="2"/>
  <c r="M351" i="2"/>
  <c r="L351" i="2"/>
  <c r="K351" i="2"/>
  <c r="J351" i="2"/>
  <c r="I351" i="2"/>
  <c r="H351" i="2"/>
  <c r="G351" i="2"/>
  <c r="F351" i="2"/>
  <c r="Q350" i="2"/>
  <c r="P350" i="2"/>
  <c r="O350" i="2"/>
  <c r="N350" i="2"/>
  <c r="M350" i="2"/>
  <c r="L350" i="2"/>
  <c r="K350" i="2"/>
  <c r="J350" i="2"/>
  <c r="I350" i="2"/>
  <c r="H350" i="2"/>
  <c r="G350" i="2"/>
  <c r="F350" i="2"/>
  <c r="Q349" i="2"/>
  <c r="P349" i="2"/>
  <c r="O349" i="2"/>
  <c r="N349" i="2"/>
  <c r="M349" i="2"/>
  <c r="L349" i="2"/>
  <c r="K349" i="2"/>
  <c r="J349" i="2"/>
  <c r="I349" i="2"/>
  <c r="H349" i="2"/>
  <c r="G349" i="2"/>
  <c r="F349" i="2"/>
  <c r="Q348" i="2"/>
  <c r="P348" i="2"/>
  <c r="O348" i="2"/>
  <c r="N348" i="2"/>
  <c r="M348" i="2"/>
  <c r="L348" i="2"/>
  <c r="K348" i="2"/>
  <c r="J348" i="2"/>
  <c r="I348" i="2"/>
  <c r="H348" i="2"/>
  <c r="G348" i="2"/>
  <c r="F348" i="2"/>
  <c r="Q347" i="2"/>
  <c r="P347" i="2"/>
  <c r="O347" i="2"/>
  <c r="N347" i="2"/>
  <c r="M347" i="2"/>
  <c r="L347" i="2"/>
  <c r="K347" i="2"/>
  <c r="J347" i="2"/>
  <c r="I347" i="2"/>
  <c r="H347" i="2"/>
  <c r="G347" i="2"/>
  <c r="F347" i="2"/>
  <c r="Q346" i="2"/>
  <c r="P346" i="2"/>
  <c r="O346" i="2"/>
  <c r="N346" i="2"/>
  <c r="M346" i="2"/>
  <c r="L346" i="2"/>
  <c r="K346" i="2"/>
  <c r="J346" i="2"/>
  <c r="I346" i="2"/>
  <c r="H346" i="2"/>
  <c r="G346" i="2"/>
  <c r="F346" i="2"/>
  <c r="Q345" i="2"/>
  <c r="P345" i="2"/>
  <c r="O345" i="2"/>
  <c r="N345" i="2"/>
  <c r="M345" i="2"/>
  <c r="L345" i="2"/>
  <c r="K345" i="2"/>
  <c r="J345" i="2"/>
  <c r="I345" i="2"/>
  <c r="H345" i="2"/>
  <c r="G345" i="2"/>
  <c r="F345" i="2"/>
  <c r="Q344" i="2"/>
  <c r="P344" i="2"/>
  <c r="O344" i="2"/>
  <c r="N344" i="2"/>
  <c r="M344" i="2"/>
  <c r="L344" i="2"/>
  <c r="K344" i="2"/>
  <c r="J344" i="2"/>
  <c r="I344" i="2"/>
  <c r="H344" i="2"/>
  <c r="G344" i="2"/>
  <c r="F344" i="2"/>
  <c r="Q343" i="2"/>
  <c r="P343" i="2"/>
  <c r="O343" i="2"/>
  <c r="N343" i="2"/>
  <c r="M343" i="2"/>
  <c r="L343" i="2"/>
  <c r="K343" i="2"/>
  <c r="J343" i="2"/>
  <c r="I343" i="2"/>
  <c r="H343" i="2"/>
  <c r="G343" i="2"/>
  <c r="F343" i="2"/>
  <c r="Q342" i="2"/>
  <c r="P342" i="2"/>
  <c r="O342" i="2"/>
  <c r="N342" i="2"/>
  <c r="M342" i="2"/>
  <c r="L342" i="2"/>
  <c r="K342" i="2"/>
  <c r="J342" i="2"/>
  <c r="I342" i="2"/>
  <c r="H342" i="2"/>
  <c r="G342" i="2"/>
  <c r="F342" i="2"/>
  <c r="Q341" i="2"/>
  <c r="P341" i="2"/>
  <c r="O341" i="2"/>
  <c r="N341" i="2"/>
  <c r="M341" i="2"/>
  <c r="L341" i="2"/>
  <c r="K341" i="2"/>
  <c r="J341" i="2"/>
  <c r="I341" i="2"/>
  <c r="H341" i="2"/>
  <c r="G341" i="2"/>
  <c r="F341" i="2"/>
  <c r="Q340" i="2"/>
  <c r="P340" i="2"/>
  <c r="O340" i="2"/>
  <c r="N340" i="2"/>
  <c r="M340" i="2"/>
  <c r="L340" i="2"/>
  <c r="K340" i="2"/>
  <c r="J340" i="2"/>
  <c r="I340" i="2"/>
  <c r="H340" i="2"/>
  <c r="G340" i="2"/>
  <c r="F340" i="2"/>
  <c r="Q339" i="2"/>
  <c r="P339" i="2"/>
  <c r="O339" i="2"/>
  <c r="N339" i="2"/>
  <c r="M339" i="2"/>
  <c r="L339" i="2"/>
  <c r="K339" i="2"/>
  <c r="J339" i="2"/>
  <c r="I339" i="2"/>
  <c r="H339" i="2"/>
  <c r="G339" i="2"/>
  <c r="F339" i="2"/>
  <c r="Q338" i="2"/>
  <c r="P338" i="2"/>
  <c r="O338" i="2"/>
  <c r="N338" i="2"/>
  <c r="M338" i="2"/>
  <c r="L338" i="2"/>
  <c r="K338" i="2"/>
  <c r="J338" i="2"/>
  <c r="I338" i="2"/>
  <c r="H338" i="2"/>
  <c r="G338" i="2"/>
  <c r="F338" i="2"/>
  <c r="Q337" i="2"/>
  <c r="P337" i="2"/>
  <c r="O337" i="2"/>
  <c r="N337" i="2"/>
  <c r="M337" i="2"/>
  <c r="L337" i="2"/>
  <c r="K337" i="2"/>
  <c r="J337" i="2"/>
  <c r="I337" i="2"/>
  <c r="H337" i="2"/>
  <c r="G337" i="2"/>
  <c r="F337" i="2"/>
  <c r="Q336" i="2"/>
  <c r="P336" i="2"/>
  <c r="O336" i="2"/>
  <c r="N336" i="2"/>
  <c r="M336" i="2"/>
  <c r="L336" i="2"/>
  <c r="K336" i="2"/>
  <c r="J336" i="2"/>
  <c r="I336" i="2"/>
  <c r="H336" i="2"/>
  <c r="G336" i="2"/>
  <c r="F336" i="2"/>
  <c r="Q335" i="2"/>
  <c r="P335" i="2"/>
  <c r="O335" i="2"/>
  <c r="N335" i="2"/>
  <c r="M335" i="2"/>
  <c r="L335" i="2"/>
  <c r="K335" i="2"/>
  <c r="J335" i="2"/>
  <c r="I335" i="2"/>
  <c r="H335" i="2"/>
  <c r="G335" i="2"/>
  <c r="F335" i="2"/>
  <c r="Q334" i="2"/>
  <c r="P334" i="2"/>
  <c r="O334" i="2"/>
  <c r="N334" i="2"/>
  <c r="M334" i="2"/>
  <c r="L334" i="2"/>
  <c r="K334" i="2"/>
  <c r="J334" i="2"/>
  <c r="I334" i="2"/>
  <c r="H334" i="2"/>
  <c r="G334" i="2"/>
  <c r="F334" i="2"/>
  <c r="Q333" i="2"/>
  <c r="P333" i="2"/>
  <c r="O333" i="2"/>
  <c r="N333" i="2"/>
  <c r="M333" i="2"/>
  <c r="L333" i="2"/>
  <c r="K333" i="2"/>
  <c r="J333" i="2"/>
  <c r="I333" i="2"/>
  <c r="H333" i="2"/>
  <c r="G333" i="2"/>
  <c r="F333" i="2"/>
  <c r="Q332" i="2"/>
  <c r="P332" i="2"/>
  <c r="O332" i="2"/>
  <c r="N332" i="2"/>
  <c r="M332" i="2"/>
  <c r="L332" i="2"/>
  <c r="K332" i="2"/>
  <c r="J332" i="2"/>
  <c r="I332" i="2"/>
  <c r="H332" i="2"/>
  <c r="G332" i="2"/>
  <c r="F332" i="2"/>
  <c r="Q331" i="2"/>
  <c r="P331" i="2"/>
  <c r="O331" i="2"/>
  <c r="N331" i="2"/>
  <c r="M331" i="2"/>
  <c r="L331" i="2"/>
  <c r="K331" i="2"/>
  <c r="J331" i="2"/>
  <c r="I331" i="2"/>
  <c r="H331" i="2"/>
  <c r="G331" i="2"/>
  <c r="F331" i="2"/>
  <c r="Q330" i="2"/>
  <c r="P330" i="2"/>
  <c r="O330" i="2"/>
  <c r="N330" i="2"/>
  <c r="M330" i="2"/>
  <c r="L330" i="2"/>
  <c r="K330" i="2"/>
  <c r="J330" i="2"/>
  <c r="I330" i="2"/>
  <c r="H330" i="2"/>
  <c r="G330" i="2"/>
  <c r="F330" i="2"/>
  <c r="Q329" i="2"/>
  <c r="P329" i="2"/>
  <c r="O329" i="2"/>
  <c r="N329" i="2"/>
  <c r="M329" i="2"/>
  <c r="L329" i="2"/>
  <c r="K329" i="2"/>
  <c r="J329" i="2"/>
  <c r="I329" i="2"/>
  <c r="H329" i="2"/>
  <c r="G329" i="2"/>
  <c r="F329" i="2"/>
  <c r="Q328" i="2"/>
  <c r="P328" i="2"/>
  <c r="O328" i="2"/>
  <c r="N328" i="2"/>
  <c r="M328" i="2"/>
  <c r="L328" i="2"/>
  <c r="K328" i="2"/>
  <c r="J328" i="2"/>
  <c r="I328" i="2"/>
  <c r="H328" i="2"/>
  <c r="G328" i="2"/>
  <c r="F328" i="2"/>
  <c r="Q327" i="2"/>
  <c r="P327" i="2"/>
  <c r="O327" i="2"/>
  <c r="N327" i="2"/>
  <c r="M327" i="2"/>
  <c r="L327" i="2"/>
  <c r="K327" i="2"/>
  <c r="J327" i="2"/>
  <c r="I327" i="2"/>
  <c r="H327" i="2"/>
  <c r="G327" i="2"/>
  <c r="F327" i="2"/>
  <c r="Q326" i="2"/>
  <c r="P326" i="2"/>
  <c r="O326" i="2"/>
  <c r="N326" i="2"/>
  <c r="M326" i="2"/>
  <c r="L326" i="2"/>
  <c r="K326" i="2"/>
  <c r="J326" i="2"/>
  <c r="I326" i="2"/>
  <c r="H326" i="2"/>
  <c r="G326" i="2"/>
  <c r="F326" i="2"/>
  <c r="Q325" i="2"/>
  <c r="P325" i="2"/>
  <c r="O325" i="2"/>
  <c r="N325" i="2"/>
  <c r="M325" i="2"/>
  <c r="L325" i="2"/>
  <c r="K325" i="2"/>
  <c r="J325" i="2"/>
  <c r="I325" i="2"/>
  <c r="H325" i="2"/>
  <c r="G325" i="2"/>
  <c r="F325" i="2"/>
  <c r="Q324" i="2"/>
  <c r="P324" i="2"/>
  <c r="O324" i="2"/>
  <c r="N324" i="2"/>
  <c r="M324" i="2"/>
  <c r="L324" i="2"/>
  <c r="K324" i="2"/>
  <c r="J324" i="2"/>
  <c r="I324" i="2"/>
  <c r="H324" i="2"/>
  <c r="G324" i="2"/>
  <c r="F324" i="2"/>
  <c r="Q323" i="2"/>
  <c r="P323" i="2"/>
  <c r="O323" i="2"/>
  <c r="N323" i="2"/>
  <c r="M323" i="2"/>
  <c r="L323" i="2"/>
  <c r="K323" i="2"/>
  <c r="J323" i="2"/>
  <c r="I323" i="2"/>
  <c r="H323" i="2"/>
  <c r="G323" i="2"/>
  <c r="F323" i="2"/>
  <c r="Q322" i="2"/>
  <c r="P322" i="2"/>
  <c r="O322" i="2"/>
  <c r="N322" i="2"/>
  <c r="M322" i="2"/>
  <c r="L322" i="2"/>
  <c r="K322" i="2"/>
  <c r="J322" i="2"/>
  <c r="I322" i="2"/>
  <c r="H322" i="2"/>
  <c r="G322" i="2"/>
  <c r="F322" i="2"/>
  <c r="Q321" i="2"/>
  <c r="P321" i="2"/>
  <c r="O321" i="2"/>
  <c r="N321" i="2"/>
  <c r="M321" i="2"/>
  <c r="L321" i="2"/>
  <c r="K321" i="2"/>
  <c r="J321" i="2"/>
  <c r="I321" i="2"/>
  <c r="H321" i="2"/>
  <c r="G321" i="2"/>
  <c r="F321" i="2"/>
  <c r="Q320" i="2"/>
  <c r="P320" i="2"/>
  <c r="O320" i="2"/>
  <c r="N320" i="2"/>
  <c r="M320" i="2"/>
  <c r="L320" i="2"/>
  <c r="K320" i="2"/>
  <c r="J320" i="2"/>
  <c r="I320" i="2"/>
  <c r="H320" i="2"/>
  <c r="G320" i="2"/>
  <c r="F320" i="2"/>
  <c r="Q319" i="2"/>
  <c r="P319" i="2"/>
  <c r="O319" i="2"/>
  <c r="N319" i="2"/>
  <c r="M319" i="2"/>
  <c r="L319" i="2"/>
  <c r="K319" i="2"/>
  <c r="J319" i="2"/>
  <c r="I319" i="2"/>
  <c r="H319" i="2"/>
  <c r="G319" i="2"/>
  <c r="F319" i="2"/>
  <c r="Q318" i="2"/>
  <c r="P318" i="2"/>
  <c r="O318" i="2"/>
  <c r="N318" i="2"/>
  <c r="M318" i="2"/>
  <c r="L318" i="2"/>
  <c r="K318" i="2"/>
  <c r="J318" i="2"/>
  <c r="I318" i="2"/>
  <c r="H318" i="2"/>
  <c r="G318" i="2"/>
  <c r="F318" i="2"/>
  <c r="Q317" i="2"/>
  <c r="P317" i="2"/>
  <c r="O317" i="2"/>
  <c r="N317" i="2"/>
  <c r="M317" i="2"/>
  <c r="L317" i="2"/>
  <c r="K317" i="2"/>
  <c r="J317" i="2"/>
  <c r="I317" i="2"/>
  <c r="H317" i="2"/>
  <c r="G317" i="2"/>
  <c r="F317" i="2"/>
  <c r="Q316" i="2"/>
  <c r="P316" i="2"/>
  <c r="O316" i="2"/>
  <c r="N316" i="2"/>
  <c r="M316" i="2"/>
  <c r="L316" i="2"/>
  <c r="K316" i="2"/>
  <c r="J316" i="2"/>
  <c r="I316" i="2"/>
  <c r="H316" i="2"/>
  <c r="G316" i="2"/>
  <c r="F316" i="2"/>
  <c r="Q315" i="2"/>
  <c r="P315" i="2"/>
  <c r="O315" i="2"/>
  <c r="N315" i="2"/>
  <c r="M315" i="2"/>
  <c r="L315" i="2"/>
  <c r="K315" i="2"/>
  <c r="J315" i="2"/>
  <c r="I315" i="2"/>
  <c r="H315" i="2"/>
  <c r="G315" i="2"/>
  <c r="F315" i="2"/>
  <c r="Q314" i="2"/>
  <c r="P314" i="2"/>
  <c r="O314" i="2"/>
  <c r="N314" i="2"/>
  <c r="M314" i="2"/>
  <c r="L314" i="2"/>
  <c r="K314" i="2"/>
  <c r="J314" i="2"/>
  <c r="I314" i="2"/>
  <c r="H314" i="2"/>
  <c r="G314" i="2"/>
  <c r="F314" i="2"/>
  <c r="Q313" i="2"/>
  <c r="P313" i="2"/>
  <c r="O313" i="2"/>
  <c r="N313" i="2"/>
  <c r="M313" i="2"/>
  <c r="L313" i="2"/>
  <c r="K313" i="2"/>
  <c r="J313" i="2"/>
  <c r="I313" i="2"/>
  <c r="H313" i="2"/>
  <c r="G313" i="2"/>
  <c r="F313" i="2"/>
  <c r="Q312" i="2"/>
  <c r="P312" i="2"/>
  <c r="O312" i="2"/>
  <c r="N312" i="2"/>
  <c r="M312" i="2"/>
  <c r="L312" i="2"/>
  <c r="K312" i="2"/>
  <c r="J312" i="2"/>
  <c r="I312" i="2"/>
  <c r="H312" i="2"/>
  <c r="G312" i="2"/>
  <c r="F312" i="2"/>
  <c r="Q311" i="2"/>
  <c r="P311" i="2"/>
  <c r="O311" i="2"/>
  <c r="N311" i="2"/>
  <c r="M311" i="2"/>
  <c r="L311" i="2"/>
  <c r="K311" i="2"/>
  <c r="J311" i="2"/>
  <c r="I311" i="2"/>
  <c r="H311" i="2"/>
  <c r="G311" i="2"/>
  <c r="F311" i="2"/>
  <c r="Q310" i="2"/>
  <c r="P310" i="2"/>
  <c r="O310" i="2"/>
  <c r="N310" i="2"/>
  <c r="M310" i="2"/>
  <c r="L310" i="2"/>
  <c r="K310" i="2"/>
  <c r="J310" i="2"/>
  <c r="I310" i="2"/>
  <c r="H310" i="2"/>
  <c r="G310" i="2"/>
  <c r="F310" i="2"/>
  <c r="Q309" i="2"/>
  <c r="P309" i="2"/>
  <c r="O309" i="2"/>
  <c r="N309" i="2"/>
  <c r="M309" i="2"/>
  <c r="L309" i="2"/>
  <c r="K309" i="2"/>
  <c r="J309" i="2"/>
  <c r="I309" i="2"/>
  <c r="H309" i="2"/>
  <c r="G309" i="2"/>
  <c r="F309" i="2"/>
  <c r="Q308" i="2"/>
  <c r="P308" i="2"/>
  <c r="O308" i="2"/>
  <c r="N308" i="2"/>
  <c r="M308" i="2"/>
  <c r="L308" i="2"/>
  <c r="K308" i="2"/>
  <c r="J308" i="2"/>
  <c r="I308" i="2"/>
  <c r="H308" i="2"/>
  <c r="G308" i="2"/>
  <c r="F308" i="2"/>
  <c r="Q307" i="2"/>
  <c r="P307" i="2"/>
  <c r="O307" i="2"/>
  <c r="N307" i="2"/>
  <c r="M307" i="2"/>
  <c r="L307" i="2"/>
  <c r="K307" i="2"/>
  <c r="J307" i="2"/>
  <c r="I307" i="2"/>
  <c r="H307" i="2"/>
  <c r="G307" i="2"/>
  <c r="F307" i="2"/>
  <c r="Q306" i="2"/>
  <c r="P306" i="2"/>
  <c r="O306" i="2"/>
  <c r="N306" i="2"/>
  <c r="M306" i="2"/>
  <c r="L306" i="2"/>
  <c r="K306" i="2"/>
  <c r="J306" i="2"/>
  <c r="I306" i="2"/>
  <c r="H306" i="2"/>
  <c r="G306" i="2"/>
  <c r="F306" i="2"/>
  <c r="Q305" i="2"/>
  <c r="P305" i="2"/>
  <c r="O305" i="2"/>
  <c r="N305" i="2"/>
  <c r="M305" i="2"/>
  <c r="L305" i="2"/>
  <c r="K305" i="2"/>
  <c r="J305" i="2"/>
  <c r="I305" i="2"/>
  <c r="H305" i="2"/>
  <c r="G305" i="2"/>
  <c r="F305" i="2"/>
  <c r="Q304" i="2"/>
  <c r="P304" i="2"/>
  <c r="O304" i="2"/>
  <c r="N304" i="2"/>
  <c r="M304" i="2"/>
  <c r="L304" i="2"/>
  <c r="K304" i="2"/>
  <c r="J304" i="2"/>
  <c r="I304" i="2"/>
  <c r="H304" i="2"/>
  <c r="G304" i="2"/>
  <c r="F304" i="2"/>
  <c r="Q303" i="2"/>
  <c r="P303" i="2"/>
  <c r="O303" i="2"/>
  <c r="N303" i="2"/>
  <c r="M303" i="2"/>
  <c r="L303" i="2"/>
  <c r="K303" i="2"/>
  <c r="J303" i="2"/>
  <c r="I303" i="2"/>
  <c r="H303" i="2"/>
  <c r="G303" i="2"/>
  <c r="F303" i="2"/>
  <c r="Q302" i="2"/>
  <c r="P302" i="2"/>
  <c r="O302" i="2"/>
  <c r="N302" i="2"/>
  <c r="M302" i="2"/>
  <c r="L302" i="2"/>
  <c r="K302" i="2"/>
  <c r="J302" i="2"/>
  <c r="I302" i="2"/>
  <c r="H302" i="2"/>
  <c r="G302" i="2"/>
  <c r="F302" i="2"/>
  <c r="Q301" i="2"/>
  <c r="P301" i="2"/>
  <c r="O301" i="2"/>
  <c r="N301" i="2"/>
  <c r="M301" i="2"/>
  <c r="L301" i="2"/>
  <c r="K301" i="2"/>
  <c r="J301" i="2"/>
  <c r="I301" i="2"/>
  <c r="H301" i="2"/>
  <c r="G301" i="2"/>
  <c r="F301" i="2"/>
  <c r="Q300" i="2"/>
  <c r="P300" i="2"/>
  <c r="O300" i="2"/>
  <c r="N300" i="2"/>
  <c r="M300" i="2"/>
  <c r="L300" i="2"/>
  <c r="K300" i="2"/>
  <c r="J300" i="2"/>
  <c r="I300" i="2"/>
  <c r="H300" i="2"/>
  <c r="G300" i="2"/>
  <c r="F300" i="2"/>
  <c r="Q299" i="2"/>
  <c r="P299" i="2"/>
  <c r="O299" i="2"/>
  <c r="N299" i="2"/>
  <c r="M299" i="2"/>
  <c r="L299" i="2"/>
  <c r="K299" i="2"/>
  <c r="J299" i="2"/>
  <c r="I299" i="2"/>
  <c r="H299" i="2"/>
  <c r="G299" i="2"/>
  <c r="F299" i="2"/>
  <c r="Q298" i="2"/>
  <c r="P298" i="2"/>
  <c r="O298" i="2"/>
  <c r="N298" i="2"/>
  <c r="M298" i="2"/>
  <c r="L298" i="2"/>
  <c r="K298" i="2"/>
  <c r="J298" i="2"/>
  <c r="I298" i="2"/>
  <c r="H298" i="2"/>
  <c r="G298" i="2"/>
  <c r="F298" i="2"/>
  <c r="Q297" i="2"/>
  <c r="P297" i="2"/>
  <c r="O297" i="2"/>
  <c r="N297" i="2"/>
  <c r="M297" i="2"/>
  <c r="L297" i="2"/>
  <c r="K297" i="2"/>
  <c r="J297" i="2"/>
  <c r="I297" i="2"/>
  <c r="H297" i="2"/>
  <c r="G297" i="2"/>
  <c r="F297" i="2"/>
  <c r="Q296" i="2"/>
  <c r="P296" i="2"/>
  <c r="O296" i="2"/>
  <c r="N296" i="2"/>
  <c r="M296" i="2"/>
  <c r="L296" i="2"/>
  <c r="K296" i="2"/>
  <c r="J296" i="2"/>
  <c r="I296" i="2"/>
  <c r="H296" i="2"/>
  <c r="G296" i="2"/>
  <c r="F296" i="2"/>
  <c r="Q295" i="2"/>
  <c r="P295" i="2"/>
  <c r="O295" i="2"/>
  <c r="N295" i="2"/>
  <c r="M295" i="2"/>
  <c r="L295" i="2"/>
  <c r="K295" i="2"/>
  <c r="J295" i="2"/>
  <c r="I295" i="2"/>
  <c r="H295" i="2"/>
  <c r="G295" i="2"/>
  <c r="F295" i="2"/>
  <c r="Q294" i="2"/>
  <c r="P294" i="2"/>
  <c r="O294" i="2"/>
  <c r="N294" i="2"/>
  <c r="M294" i="2"/>
  <c r="L294" i="2"/>
  <c r="K294" i="2"/>
  <c r="J294" i="2"/>
  <c r="I294" i="2"/>
  <c r="H294" i="2"/>
  <c r="G294" i="2"/>
  <c r="F294" i="2"/>
  <c r="Q293" i="2"/>
  <c r="P293" i="2"/>
  <c r="O293" i="2"/>
  <c r="N293" i="2"/>
  <c r="M293" i="2"/>
  <c r="L293" i="2"/>
  <c r="K293" i="2"/>
  <c r="J293" i="2"/>
  <c r="I293" i="2"/>
  <c r="H293" i="2"/>
  <c r="G293" i="2"/>
  <c r="F293" i="2"/>
  <c r="Q292" i="2"/>
  <c r="P292" i="2"/>
  <c r="O292" i="2"/>
  <c r="N292" i="2"/>
  <c r="M292" i="2"/>
  <c r="L292" i="2"/>
  <c r="K292" i="2"/>
  <c r="J292" i="2"/>
  <c r="I292" i="2"/>
  <c r="H292" i="2"/>
  <c r="G292" i="2"/>
  <c r="F292" i="2"/>
  <c r="Q291" i="2"/>
  <c r="P291" i="2"/>
  <c r="O291" i="2"/>
  <c r="N291" i="2"/>
  <c r="M291" i="2"/>
  <c r="L291" i="2"/>
  <c r="K291" i="2"/>
  <c r="J291" i="2"/>
  <c r="I291" i="2"/>
  <c r="H291" i="2"/>
  <c r="G291" i="2"/>
  <c r="F291" i="2"/>
  <c r="Q290" i="2"/>
  <c r="P290" i="2"/>
  <c r="O290" i="2"/>
  <c r="N290" i="2"/>
  <c r="M290" i="2"/>
  <c r="L290" i="2"/>
  <c r="K290" i="2"/>
  <c r="J290" i="2"/>
  <c r="I290" i="2"/>
  <c r="H290" i="2"/>
  <c r="G290" i="2"/>
  <c r="F290" i="2"/>
  <c r="Q289" i="2"/>
  <c r="P289" i="2"/>
  <c r="O289" i="2"/>
  <c r="N289" i="2"/>
  <c r="M289" i="2"/>
  <c r="L289" i="2"/>
  <c r="K289" i="2"/>
  <c r="J289" i="2"/>
  <c r="I289" i="2"/>
  <c r="H289" i="2"/>
  <c r="G289" i="2"/>
  <c r="F289" i="2"/>
  <c r="Q288" i="2"/>
  <c r="P288" i="2"/>
  <c r="O288" i="2"/>
  <c r="N288" i="2"/>
  <c r="M288" i="2"/>
  <c r="L288" i="2"/>
  <c r="K288" i="2"/>
  <c r="J288" i="2"/>
  <c r="I288" i="2"/>
  <c r="H288" i="2"/>
  <c r="G288" i="2"/>
  <c r="F288" i="2"/>
  <c r="Q287" i="2"/>
  <c r="P287" i="2"/>
  <c r="O287" i="2"/>
  <c r="N287" i="2"/>
  <c r="M287" i="2"/>
  <c r="L287" i="2"/>
  <c r="K287" i="2"/>
  <c r="J287" i="2"/>
  <c r="I287" i="2"/>
  <c r="H287" i="2"/>
  <c r="G287" i="2"/>
  <c r="F287" i="2"/>
  <c r="Q286" i="2"/>
  <c r="P286" i="2"/>
  <c r="O286" i="2"/>
  <c r="N286" i="2"/>
  <c r="M286" i="2"/>
  <c r="L286" i="2"/>
  <c r="K286" i="2"/>
  <c r="J286" i="2"/>
  <c r="I286" i="2"/>
  <c r="H286" i="2"/>
  <c r="G286" i="2"/>
  <c r="F286" i="2"/>
  <c r="Q285" i="2"/>
  <c r="P285" i="2"/>
  <c r="O285" i="2"/>
  <c r="N285" i="2"/>
  <c r="M285" i="2"/>
  <c r="L285" i="2"/>
  <c r="K285" i="2"/>
  <c r="J285" i="2"/>
  <c r="I285" i="2"/>
  <c r="H285" i="2"/>
  <c r="G285" i="2"/>
  <c r="F285" i="2"/>
  <c r="Q284" i="2"/>
  <c r="P284" i="2"/>
  <c r="O284" i="2"/>
  <c r="N284" i="2"/>
  <c r="M284" i="2"/>
  <c r="L284" i="2"/>
  <c r="K284" i="2"/>
  <c r="J284" i="2"/>
  <c r="I284" i="2"/>
  <c r="H284" i="2"/>
  <c r="G284" i="2"/>
  <c r="F284" i="2"/>
  <c r="Q283" i="2"/>
  <c r="P283" i="2"/>
  <c r="O283" i="2"/>
  <c r="N283" i="2"/>
  <c r="M283" i="2"/>
  <c r="L283" i="2"/>
  <c r="K283" i="2"/>
  <c r="J283" i="2"/>
  <c r="I283" i="2"/>
  <c r="H283" i="2"/>
  <c r="G283" i="2"/>
  <c r="F283" i="2"/>
  <c r="Q282" i="2"/>
  <c r="P282" i="2"/>
  <c r="O282" i="2"/>
  <c r="N282" i="2"/>
  <c r="M282" i="2"/>
  <c r="L282" i="2"/>
  <c r="K282" i="2"/>
  <c r="J282" i="2"/>
  <c r="I282" i="2"/>
  <c r="H282" i="2"/>
  <c r="G282" i="2"/>
  <c r="F282" i="2"/>
  <c r="Q281" i="2"/>
  <c r="P281" i="2"/>
  <c r="O281" i="2"/>
  <c r="N281" i="2"/>
  <c r="M281" i="2"/>
  <c r="L281" i="2"/>
  <c r="K281" i="2"/>
  <c r="J281" i="2"/>
  <c r="I281" i="2"/>
  <c r="H281" i="2"/>
  <c r="G281" i="2"/>
  <c r="F281" i="2"/>
  <c r="Q280" i="2"/>
  <c r="P280" i="2"/>
  <c r="O280" i="2"/>
  <c r="N280" i="2"/>
  <c r="M280" i="2"/>
  <c r="L280" i="2"/>
  <c r="K280" i="2"/>
  <c r="J280" i="2"/>
  <c r="I280" i="2"/>
  <c r="H280" i="2"/>
  <c r="G280" i="2"/>
  <c r="F280" i="2"/>
  <c r="Q279" i="2"/>
  <c r="P279" i="2"/>
  <c r="O279" i="2"/>
  <c r="N279" i="2"/>
  <c r="M279" i="2"/>
  <c r="L279" i="2"/>
  <c r="K279" i="2"/>
  <c r="J279" i="2"/>
  <c r="I279" i="2"/>
  <c r="H279" i="2"/>
  <c r="G279" i="2"/>
  <c r="F279" i="2"/>
  <c r="Q278" i="2"/>
  <c r="P278" i="2"/>
  <c r="O278" i="2"/>
  <c r="N278" i="2"/>
  <c r="M278" i="2"/>
  <c r="L278" i="2"/>
  <c r="K278" i="2"/>
  <c r="J278" i="2"/>
  <c r="I278" i="2"/>
  <c r="H278" i="2"/>
  <c r="G278" i="2"/>
  <c r="F278" i="2"/>
  <c r="Q277" i="2"/>
  <c r="P277" i="2"/>
  <c r="O277" i="2"/>
  <c r="N277" i="2"/>
  <c r="M277" i="2"/>
  <c r="L277" i="2"/>
  <c r="K277" i="2"/>
  <c r="J277" i="2"/>
  <c r="I277" i="2"/>
  <c r="H277" i="2"/>
  <c r="G277" i="2"/>
  <c r="F277" i="2"/>
  <c r="Q276" i="2"/>
  <c r="P276" i="2"/>
  <c r="O276" i="2"/>
  <c r="N276" i="2"/>
  <c r="M276" i="2"/>
  <c r="L276" i="2"/>
  <c r="K276" i="2"/>
  <c r="J276" i="2"/>
  <c r="I276" i="2"/>
  <c r="H276" i="2"/>
  <c r="G276" i="2"/>
  <c r="F276" i="2"/>
  <c r="Q275" i="2"/>
  <c r="P275" i="2"/>
  <c r="O275" i="2"/>
  <c r="N275" i="2"/>
  <c r="M275" i="2"/>
  <c r="L275" i="2"/>
  <c r="K275" i="2"/>
  <c r="J275" i="2"/>
  <c r="I275" i="2"/>
  <c r="H275" i="2"/>
  <c r="G275" i="2"/>
  <c r="F275" i="2"/>
  <c r="Q274" i="2"/>
  <c r="P274" i="2"/>
  <c r="O274" i="2"/>
  <c r="N274" i="2"/>
  <c r="M274" i="2"/>
  <c r="L274" i="2"/>
  <c r="K274" i="2"/>
  <c r="J274" i="2"/>
  <c r="I274" i="2"/>
  <c r="H274" i="2"/>
  <c r="G274" i="2"/>
  <c r="F274" i="2"/>
  <c r="Q273" i="2"/>
  <c r="P273" i="2"/>
  <c r="O273" i="2"/>
  <c r="N273" i="2"/>
  <c r="M273" i="2"/>
  <c r="L273" i="2"/>
  <c r="K273" i="2"/>
  <c r="J273" i="2"/>
  <c r="I273" i="2"/>
  <c r="H273" i="2"/>
  <c r="G273" i="2"/>
  <c r="F273" i="2"/>
  <c r="Q272" i="2"/>
  <c r="P272" i="2"/>
  <c r="O272" i="2"/>
  <c r="N272" i="2"/>
  <c r="M272" i="2"/>
  <c r="L272" i="2"/>
  <c r="K272" i="2"/>
  <c r="J272" i="2"/>
  <c r="I272" i="2"/>
  <c r="H272" i="2"/>
  <c r="G272" i="2"/>
  <c r="F272" i="2"/>
  <c r="Q271" i="2"/>
  <c r="P271" i="2"/>
  <c r="O271" i="2"/>
  <c r="N271" i="2"/>
  <c r="M271" i="2"/>
  <c r="L271" i="2"/>
  <c r="K271" i="2"/>
  <c r="J271" i="2"/>
  <c r="I271" i="2"/>
  <c r="H271" i="2"/>
  <c r="G271" i="2"/>
  <c r="F271" i="2"/>
  <c r="Q270" i="2"/>
  <c r="P270" i="2"/>
  <c r="O270" i="2"/>
  <c r="N270" i="2"/>
  <c r="M270" i="2"/>
  <c r="L270" i="2"/>
  <c r="K270" i="2"/>
  <c r="J270" i="2"/>
  <c r="I270" i="2"/>
  <c r="H270" i="2"/>
  <c r="G270" i="2"/>
  <c r="F270" i="2"/>
  <c r="Q269" i="2"/>
  <c r="P269" i="2"/>
  <c r="O269" i="2"/>
  <c r="N269" i="2"/>
  <c r="M269" i="2"/>
  <c r="L269" i="2"/>
  <c r="K269" i="2"/>
  <c r="J269" i="2"/>
  <c r="I269" i="2"/>
  <c r="H269" i="2"/>
  <c r="G269" i="2"/>
  <c r="F269" i="2"/>
  <c r="Q268" i="2"/>
  <c r="P268" i="2"/>
  <c r="O268" i="2"/>
  <c r="N268" i="2"/>
  <c r="M268" i="2"/>
  <c r="L268" i="2"/>
  <c r="K268" i="2"/>
  <c r="J268" i="2"/>
  <c r="I268" i="2"/>
  <c r="H268" i="2"/>
  <c r="G268" i="2"/>
  <c r="F268" i="2"/>
  <c r="Q267" i="2"/>
  <c r="P267" i="2"/>
  <c r="O267" i="2"/>
  <c r="N267" i="2"/>
  <c r="M267" i="2"/>
  <c r="L267" i="2"/>
  <c r="K267" i="2"/>
  <c r="J267" i="2"/>
  <c r="I267" i="2"/>
  <c r="H267" i="2"/>
  <c r="G267" i="2"/>
  <c r="F267" i="2"/>
  <c r="Q266" i="2"/>
  <c r="P266" i="2"/>
  <c r="O266" i="2"/>
  <c r="N266" i="2"/>
  <c r="M266" i="2"/>
  <c r="L266" i="2"/>
  <c r="K266" i="2"/>
  <c r="J266" i="2"/>
  <c r="I266" i="2"/>
  <c r="H266" i="2"/>
  <c r="G266" i="2"/>
  <c r="F266" i="2"/>
  <c r="Q265" i="2"/>
  <c r="P265" i="2"/>
  <c r="O265" i="2"/>
  <c r="N265" i="2"/>
  <c r="M265" i="2"/>
  <c r="L265" i="2"/>
  <c r="K265" i="2"/>
  <c r="J265" i="2"/>
  <c r="I265" i="2"/>
  <c r="H265" i="2"/>
  <c r="G265" i="2"/>
  <c r="F265" i="2"/>
  <c r="Q264" i="2"/>
  <c r="P264" i="2"/>
  <c r="O264" i="2"/>
  <c r="N264" i="2"/>
  <c r="M264" i="2"/>
  <c r="L264" i="2"/>
  <c r="K264" i="2"/>
  <c r="J264" i="2"/>
  <c r="I264" i="2"/>
  <c r="H264" i="2"/>
  <c r="G264" i="2"/>
  <c r="F264" i="2"/>
  <c r="Q263" i="2"/>
  <c r="P263" i="2"/>
  <c r="O263" i="2"/>
  <c r="N263" i="2"/>
  <c r="M263" i="2"/>
  <c r="L263" i="2"/>
  <c r="K263" i="2"/>
  <c r="J263" i="2"/>
  <c r="I263" i="2"/>
  <c r="H263" i="2"/>
  <c r="G263" i="2"/>
  <c r="F263" i="2"/>
  <c r="Q262" i="2"/>
  <c r="P262" i="2"/>
  <c r="O262" i="2"/>
  <c r="N262" i="2"/>
  <c r="M262" i="2"/>
  <c r="L262" i="2"/>
  <c r="K262" i="2"/>
  <c r="J262" i="2"/>
  <c r="I262" i="2"/>
  <c r="H262" i="2"/>
  <c r="G262" i="2"/>
  <c r="F262" i="2"/>
  <c r="Q261" i="2"/>
  <c r="P261" i="2"/>
  <c r="O261" i="2"/>
  <c r="N261" i="2"/>
  <c r="M261" i="2"/>
  <c r="L261" i="2"/>
  <c r="K261" i="2"/>
  <c r="J261" i="2"/>
  <c r="I261" i="2"/>
  <c r="H261" i="2"/>
  <c r="G261" i="2"/>
  <c r="F261" i="2"/>
  <c r="Q260" i="2"/>
  <c r="P260" i="2"/>
  <c r="O260" i="2"/>
  <c r="N260" i="2"/>
  <c r="M260" i="2"/>
  <c r="L260" i="2"/>
  <c r="K260" i="2"/>
  <c r="J260" i="2"/>
  <c r="I260" i="2"/>
  <c r="H260" i="2"/>
  <c r="G260" i="2"/>
  <c r="F260" i="2"/>
  <c r="Q259" i="2"/>
  <c r="P259" i="2"/>
  <c r="O259" i="2"/>
  <c r="N259" i="2"/>
  <c r="M259" i="2"/>
  <c r="L259" i="2"/>
  <c r="K259" i="2"/>
  <c r="J259" i="2"/>
  <c r="I259" i="2"/>
  <c r="H259" i="2"/>
  <c r="G259" i="2"/>
  <c r="F259" i="2"/>
  <c r="Q258" i="2"/>
  <c r="P258" i="2"/>
  <c r="O258" i="2"/>
  <c r="N258" i="2"/>
  <c r="M258" i="2"/>
  <c r="L258" i="2"/>
  <c r="K258" i="2"/>
  <c r="J258" i="2"/>
  <c r="I258" i="2"/>
  <c r="H258" i="2"/>
  <c r="G258" i="2"/>
  <c r="F258" i="2"/>
  <c r="Q257" i="2"/>
  <c r="P257" i="2"/>
  <c r="O257" i="2"/>
  <c r="N257" i="2"/>
  <c r="M257" i="2"/>
  <c r="L257" i="2"/>
  <c r="K257" i="2"/>
  <c r="J257" i="2"/>
  <c r="I257" i="2"/>
  <c r="H257" i="2"/>
  <c r="G257" i="2"/>
  <c r="F257" i="2"/>
  <c r="Q256" i="2"/>
  <c r="P256" i="2"/>
  <c r="O256" i="2"/>
  <c r="N256" i="2"/>
  <c r="M256" i="2"/>
  <c r="L256" i="2"/>
  <c r="K256" i="2"/>
  <c r="J256" i="2"/>
  <c r="I256" i="2"/>
  <c r="H256" i="2"/>
  <c r="G256" i="2"/>
  <c r="F256" i="2"/>
  <c r="Q255" i="2"/>
  <c r="P255" i="2"/>
  <c r="O255" i="2"/>
  <c r="N255" i="2"/>
  <c r="M255" i="2"/>
  <c r="L255" i="2"/>
  <c r="K255" i="2"/>
  <c r="J255" i="2"/>
  <c r="I255" i="2"/>
  <c r="H255" i="2"/>
  <c r="G255" i="2"/>
  <c r="F255" i="2"/>
  <c r="Q254" i="2"/>
  <c r="P254" i="2"/>
  <c r="O254" i="2"/>
  <c r="N254" i="2"/>
  <c r="M254" i="2"/>
  <c r="L254" i="2"/>
  <c r="K254" i="2"/>
  <c r="J254" i="2"/>
  <c r="I254" i="2"/>
  <c r="H254" i="2"/>
  <c r="G254" i="2"/>
  <c r="F254" i="2"/>
  <c r="Q253" i="2"/>
  <c r="P253" i="2"/>
  <c r="O253" i="2"/>
  <c r="N253" i="2"/>
  <c r="M253" i="2"/>
  <c r="L253" i="2"/>
  <c r="K253" i="2"/>
  <c r="J253" i="2"/>
  <c r="I253" i="2"/>
  <c r="H253" i="2"/>
  <c r="G253" i="2"/>
  <c r="F253" i="2"/>
  <c r="Q252" i="2"/>
  <c r="P252" i="2"/>
  <c r="O252" i="2"/>
  <c r="N252" i="2"/>
  <c r="M252" i="2"/>
  <c r="L252" i="2"/>
  <c r="K252" i="2"/>
  <c r="J252" i="2"/>
  <c r="I252" i="2"/>
  <c r="H252" i="2"/>
  <c r="G252" i="2"/>
  <c r="F252" i="2"/>
  <c r="Q251" i="2"/>
  <c r="P251" i="2"/>
  <c r="O251" i="2"/>
  <c r="N251" i="2"/>
  <c r="M251" i="2"/>
  <c r="L251" i="2"/>
  <c r="K251" i="2"/>
  <c r="J251" i="2"/>
  <c r="I251" i="2"/>
  <c r="H251" i="2"/>
  <c r="G251" i="2"/>
  <c r="F251" i="2"/>
  <c r="Q250" i="2"/>
  <c r="P250" i="2"/>
  <c r="O250" i="2"/>
  <c r="N250" i="2"/>
  <c r="M250" i="2"/>
  <c r="L250" i="2"/>
  <c r="K250" i="2"/>
  <c r="J250" i="2"/>
  <c r="I250" i="2"/>
  <c r="H250" i="2"/>
  <c r="G250" i="2"/>
  <c r="F250" i="2"/>
  <c r="Q249" i="2"/>
  <c r="P249" i="2"/>
  <c r="O249" i="2"/>
  <c r="N249" i="2"/>
  <c r="M249" i="2"/>
  <c r="L249" i="2"/>
  <c r="K249" i="2"/>
  <c r="J249" i="2"/>
  <c r="I249" i="2"/>
  <c r="H249" i="2"/>
  <c r="G249" i="2"/>
  <c r="F249" i="2"/>
  <c r="Q248" i="2"/>
  <c r="P248" i="2"/>
  <c r="O248" i="2"/>
  <c r="N248" i="2"/>
  <c r="M248" i="2"/>
  <c r="L248" i="2"/>
  <c r="K248" i="2"/>
  <c r="J248" i="2"/>
  <c r="I248" i="2"/>
  <c r="H248" i="2"/>
  <c r="G248" i="2"/>
  <c r="F248" i="2"/>
  <c r="Q247" i="2"/>
  <c r="P247" i="2"/>
  <c r="O247" i="2"/>
  <c r="N247" i="2"/>
  <c r="M247" i="2"/>
  <c r="L247" i="2"/>
  <c r="K247" i="2"/>
  <c r="J247" i="2"/>
  <c r="I247" i="2"/>
  <c r="H247" i="2"/>
  <c r="G247" i="2"/>
  <c r="F247" i="2"/>
  <c r="Q246" i="2"/>
  <c r="P246" i="2"/>
  <c r="O246" i="2"/>
  <c r="N246" i="2"/>
  <c r="M246" i="2"/>
  <c r="L246" i="2"/>
  <c r="K246" i="2"/>
  <c r="J246" i="2"/>
  <c r="I246" i="2"/>
  <c r="H246" i="2"/>
  <c r="G246" i="2"/>
  <c r="F246" i="2"/>
  <c r="Q245" i="2"/>
  <c r="P245" i="2"/>
  <c r="O245" i="2"/>
  <c r="N245" i="2"/>
  <c r="M245" i="2"/>
  <c r="L245" i="2"/>
  <c r="K245" i="2"/>
  <c r="J245" i="2"/>
  <c r="I245" i="2"/>
  <c r="H245" i="2"/>
  <c r="G245" i="2"/>
  <c r="F245" i="2"/>
  <c r="Q244" i="2"/>
  <c r="P244" i="2"/>
  <c r="O244" i="2"/>
  <c r="N244" i="2"/>
  <c r="M244" i="2"/>
  <c r="L244" i="2"/>
  <c r="K244" i="2"/>
  <c r="J244" i="2"/>
  <c r="I244" i="2"/>
  <c r="H244" i="2"/>
  <c r="G244" i="2"/>
  <c r="F244" i="2"/>
  <c r="Q243" i="2"/>
  <c r="P243" i="2"/>
  <c r="O243" i="2"/>
  <c r="N243" i="2"/>
  <c r="M243" i="2"/>
  <c r="L243" i="2"/>
  <c r="K243" i="2"/>
  <c r="J243" i="2"/>
  <c r="I243" i="2"/>
  <c r="H243" i="2"/>
  <c r="G243" i="2"/>
  <c r="F243" i="2"/>
  <c r="Q242" i="2"/>
  <c r="P242" i="2"/>
  <c r="O242" i="2"/>
  <c r="N242" i="2"/>
  <c r="M242" i="2"/>
  <c r="L242" i="2"/>
  <c r="K242" i="2"/>
  <c r="J242" i="2"/>
  <c r="I242" i="2"/>
  <c r="H242" i="2"/>
  <c r="G242" i="2"/>
  <c r="F242" i="2"/>
  <c r="Q241" i="2"/>
  <c r="P241" i="2"/>
  <c r="O241" i="2"/>
  <c r="N241" i="2"/>
  <c r="M241" i="2"/>
  <c r="L241" i="2"/>
  <c r="K241" i="2"/>
  <c r="J241" i="2"/>
  <c r="I241" i="2"/>
  <c r="H241" i="2"/>
  <c r="G241" i="2"/>
  <c r="F241" i="2"/>
  <c r="Q240" i="2"/>
  <c r="P240" i="2"/>
  <c r="O240" i="2"/>
  <c r="N240" i="2"/>
  <c r="M240" i="2"/>
  <c r="L240" i="2"/>
  <c r="K240" i="2"/>
  <c r="J240" i="2"/>
  <c r="I240" i="2"/>
  <c r="H240" i="2"/>
  <c r="G240" i="2"/>
  <c r="F240" i="2"/>
  <c r="Q239" i="2"/>
  <c r="P239" i="2"/>
  <c r="O239" i="2"/>
  <c r="N239" i="2"/>
  <c r="M239" i="2"/>
  <c r="L239" i="2"/>
  <c r="K239" i="2"/>
  <c r="J239" i="2"/>
  <c r="I239" i="2"/>
  <c r="H239" i="2"/>
  <c r="G239" i="2"/>
  <c r="F239" i="2"/>
  <c r="Q238" i="2"/>
  <c r="P238" i="2"/>
  <c r="O238" i="2"/>
  <c r="N238" i="2"/>
  <c r="M238" i="2"/>
  <c r="L238" i="2"/>
  <c r="K238" i="2"/>
  <c r="J238" i="2"/>
  <c r="I238" i="2"/>
  <c r="H238" i="2"/>
  <c r="G238" i="2"/>
  <c r="F238" i="2"/>
  <c r="Q237" i="2"/>
  <c r="P237" i="2"/>
  <c r="O237" i="2"/>
  <c r="N237" i="2"/>
  <c r="M237" i="2"/>
  <c r="L237" i="2"/>
  <c r="K237" i="2"/>
  <c r="J237" i="2"/>
  <c r="I237" i="2"/>
  <c r="H237" i="2"/>
  <c r="G237" i="2"/>
  <c r="F237" i="2"/>
  <c r="Q236" i="2"/>
  <c r="P236" i="2"/>
  <c r="O236" i="2"/>
  <c r="N236" i="2"/>
  <c r="M236" i="2"/>
  <c r="L236" i="2"/>
  <c r="K236" i="2"/>
  <c r="J236" i="2"/>
  <c r="I236" i="2"/>
  <c r="H236" i="2"/>
  <c r="G236" i="2"/>
  <c r="F236" i="2"/>
  <c r="Q235" i="2"/>
  <c r="P235" i="2"/>
  <c r="O235" i="2"/>
  <c r="N235" i="2"/>
  <c r="M235" i="2"/>
  <c r="L235" i="2"/>
  <c r="K235" i="2"/>
  <c r="J235" i="2"/>
  <c r="I235" i="2"/>
  <c r="H235" i="2"/>
  <c r="G235" i="2"/>
  <c r="F235" i="2"/>
  <c r="Q234" i="2"/>
  <c r="P234" i="2"/>
  <c r="O234" i="2"/>
  <c r="N234" i="2"/>
  <c r="M234" i="2"/>
  <c r="L234" i="2"/>
  <c r="K234" i="2"/>
  <c r="J234" i="2"/>
  <c r="I234" i="2"/>
  <c r="H234" i="2"/>
  <c r="G234" i="2"/>
  <c r="F234" i="2"/>
  <c r="Q233" i="2"/>
  <c r="P233" i="2"/>
  <c r="O233" i="2"/>
  <c r="N233" i="2"/>
  <c r="M233" i="2"/>
  <c r="L233" i="2"/>
  <c r="K233" i="2"/>
  <c r="J233" i="2"/>
  <c r="I233" i="2"/>
  <c r="H233" i="2"/>
  <c r="G233" i="2"/>
  <c r="F233" i="2"/>
  <c r="Q232" i="2"/>
  <c r="P232" i="2"/>
  <c r="O232" i="2"/>
  <c r="N232" i="2"/>
  <c r="M232" i="2"/>
  <c r="L232" i="2"/>
  <c r="K232" i="2"/>
  <c r="J232" i="2"/>
  <c r="I232" i="2"/>
  <c r="H232" i="2"/>
  <c r="G232" i="2"/>
  <c r="F232" i="2"/>
  <c r="Q231" i="2"/>
  <c r="P231" i="2"/>
  <c r="O231" i="2"/>
  <c r="N231" i="2"/>
  <c r="M231" i="2"/>
  <c r="L231" i="2"/>
  <c r="K231" i="2"/>
  <c r="J231" i="2"/>
  <c r="I231" i="2"/>
  <c r="H231" i="2"/>
  <c r="G231" i="2"/>
  <c r="F231" i="2"/>
  <c r="Q230" i="2"/>
  <c r="P230" i="2"/>
  <c r="O230" i="2"/>
  <c r="N230" i="2"/>
  <c r="M230" i="2"/>
  <c r="L230" i="2"/>
  <c r="K230" i="2"/>
  <c r="J230" i="2"/>
  <c r="I230" i="2"/>
  <c r="H230" i="2"/>
  <c r="G230" i="2"/>
  <c r="F230" i="2"/>
  <c r="Q229" i="2"/>
  <c r="P229" i="2"/>
  <c r="O229" i="2"/>
  <c r="N229" i="2"/>
  <c r="M229" i="2"/>
  <c r="L229" i="2"/>
  <c r="K229" i="2"/>
  <c r="J229" i="2"/>
  <c r="I229" i="2"/>
  <c r="H229" i="2"/>
  <c r="G229" i="2"/>
  <c r="F229" i="2"/>
  <c r="Q228" i="2"/>
  <c r="P228" i="2"/>
  <c r="O228" i="2"/>
  <c r="N228" i="2"/>
  <c r="M228" i="2"/>
  <c r="L228" i="2"/>
  <c r="K228" i="2"/>
  <c r="J228" i="2"/>
  <c r="I228" i="2"/>
  <c r="H228" i="2"/>
  <c r="G228" i="2"/>
  <c r="F228" i="2"/>
  <c r="Q227" i="2"/>
  <c r="P227" i="2"/>
  <c r="O227" i="2"/>
  <c r="N227" i="2"/>
  <c r="M227" i="2"/>
  <c r="L227" i="2"/>
  <c r="K227" i="2"/>
  <c r="J227" i="2"/>
  <c r="I227" i="2"/>
  <c r="H227" i="2"/>
  <c r="G227" i="2"/>
  <c r="F227" i="2"/>
  <c r="Q226" i="2"/>
  <c r="P226" i="2"/>
  <c r="O226" i="2"/>
  <c r="N226" i="2"/>
  <c r="M226" i="2"/>
  <c r="L226" i="2"/>
  <c r="K226" i="2"/>
  <c r="J226" i="2"/>
  <c r="I226" i="2"/>
  <c r="H226" i="2"/>
  <c r="G226" i="2"/>
  <c r="F226" i="2"/>
  <c r="Q225" i="2"/>
  <c r="P225" i="2"/>
  <c r="O225" i="2"/>
  <c r="N225" i="2"/>
  <c r="M225" i="2"/>
  <c r="L225" i="2"/>
  <c r="K225" i="2"/>
  <c r="J225" i="2"/>
  <c r="I225" i="2"/>
  <c r="H225" i="2"/>
  <c r="G225" i="2"/>
  <c r="F225" i="2"/>
  <c r="Q224" i="2"/>
  <c r="P224" i="2"/>
  <c r="O224" i="2"/>
  <c r="N224" i="2"/>
  <c r="M224" i="2"/>
  <c r="L224" i="2"/>
  <c r="K224" i="2"/>
  <c r="J224" i="2"/>
  <c r="I224" i="2"/>
  <c r="H224" i="2"/>
  <c r="G224" i="2"/>
  <c r="F224" i="2"/>
  <c r="Q223" i="2"/>
  <c r="P223" i="2"/>
  <c r="O223" i="2"/>
  <c r="N223" i="2"/>
  <c r="M223" i="2"/>
  <c r="L223" i="2"/>
  <c r="K223" i="2"/>
  <c r="J223" i="2"/>
  <c r="I223" i="2"/>
  <c r="H223" i="2"/>
  <c r="G223" i="2"/>
  <c r="F223" i="2"/>
  <c r="Q222" i="2"/>
  <c r="P222" i="2"/>
  <c r="O222" i="2"/>
  <c r="N222" i="2"/>
  <c r="M222" i="2"/>
  <c r="L222" i="2"/>
  <c r="K222" i="2"/>
  <c r="J222" i="2"/>
  <c r="I222" i="2"/>
  <c r="H222" i="2"/>
  <c r="G222" i="2"/>
  <c r="F222" i="2"/>
  <c r="Q221" i="2"/>
  <c r="P221" i="2"/>
  <c r="O221" i="2"/>
  <c r="N221" i="2"/>
  <c r="M221" i="2"/>
  <c r="L221" i="2"/>
  <c r="K221" i="2"/>
  <c r="J221" i="2"/>
  <c r="I221" i="2"/>
  <c r="H221" i="2"/>
  <c r="G221" i="2"/>
  <c r="F221" i="2"/>
  <c r="Q220" i="2"/>
  <c r="P220" i="2"/>
  <c r="O220" i="2"/>
  <c r="N220" i="2"/>
  <c r="M220" i="2"/>
  <c r="L220" i="2"/>
  <c r="K220" i="2"/>
  <c r="J220" i="2"/>
  <c r="I220" i="2"/>
  <c r="H220" i="2"/>
  <c r="G220" i="2"/>
  <c r="F220" i="2"/>
  <c r="Q219" i="2"/>
  <c r="P219" i="2"/>
  <c r="O219" i="2"/>
  <c r="N219" i="2"/>
  <c r="M219" i="2"/>
  <c r="L219" i="2"/>
  <c r="K219" i="2"/>
  <c r="J219" i="2"/>
  <c r="I219" i="2"/>
  <c r="H219" i="2"/>
  <c r="G219" i="2"/>
  <c r="F219" i="2"/>
  <c r="Q218" i="2"/>
  <c r="P218" i="2"/>
  <c r="O218" i="2"/>
  <c r="N218" i="2"/>
  <c r="M218" i="2"/>
  <c r="L218" i="2"/>
  <c r="K218" i="2"/>
  <c r="J218" i="2"/>
  <c r="I218" i="2"/>
  <c r="H218" i="2"/>
  <c r="G218" i="2"/>
  <c r="F218" i="2"/>
  <c r="Q217" i="2"/>
  <c r="P217" i="2"/>
  <c r="O217" i="2"/>
  <c r="N217" i="2"/>
  <c r="M217" i="2"/>
  <c r="L217" i="2"/>
  <c r="K217" i="2"/>
  <c r="J217" i="2"/>
  <c r="I217" i="2"/>
  <c r="H217" i="2"/>
  <c r="G217" i="2"/>
  <c r="F217" i="2"/>
  <c r="Q216" i="2"/>
  <c r="P216" i="2"/>
  <c r="O216" i="2"/>
  <c r="N216" i="2"/>
  <c r="M216" i="2"/>
  <c r="L216" i="2"/>
  <c r="K216" i="2"/>
  <c r="J216" i="2"/>
  <c r="I216" i="2"/>
  <c r="H216" i="2"/>
  <c r="G216" i="2"/>
  <c r="F216" i="2"/>
  <c r="Q215" i="2"/>
  <c r="P215" i="2"/>
  <c r="O215" i="2"/>
  <c r="N215" i="2"/>
  <c r="M215" i="2"/>
  <c r="L215" i="2"/>
  <c r="K215" i="2"/>
  <c r="J215" i="2"/>
  <c r="I215" i="2"/>
  <c r="H215" i="2"/>
  <c r="G215" i="2"/>
  <c r="F215" i="2"/>
  <c r="Q214" i="2"/>
  <c r="P214" i="2"/>
  <c r="O214" i="2"/>
  <c r="N214" i="2"/>
  <c r="M214" i="2"/>
  <c r="L214" i="2"/>
  <c r="K214" i="2"/>
  <c r="J214" i="2"/>
  <c r="I214" i="2"/>
  <c r="H214" i="2"/>
  <c r="G214" i="2"/>
  <c r="F214" i="2"/>
  <c r="Q213" i="2"/>
  <c r="P213" i="2"/>
  <c r="O213" i="2"/>
  <c r="N213" i="2"/>
  <c r="M213" i="2"/>
  <c r="L213" i="2"/>
  <c r="K213" i="2"/>
  <c r="J213" i="2"/>
  <c r="I213" i="2"/>
  <c r="H213" i="2"/>
  <c r="G213" i="2"/>
  <c r="F213" i="2"/>
  <c r="Q212" i="2"/>
  <c r="P212" i="2"/>
  <c r="O212" i="2"/>
  <c r="N212" i="2"/>
  <c r="M212" i="2"/>
  <c r="L212" i="2"/>
  <c r="K212" i="2"/>
  <c r="J212" i="2"/>
  <c r="I212" i="2"/>
  <c r="H212" i="2"/>
  <c r="G212" i="2"/>
  <c r="F212" i="2"/>
  <c r="Q211" i="2"/>
  <c r="P211" i="2"/>
  <c r="O211" i="2"/>
  <c r="N211" i="2"/>
  <c r="M211" i="2"/>
  <c r="L211" i="2"/>
  <c r="K211" i="2"/>
  <c r="J211" i="2"/>
  <c r="I211" i="2"/>
  <c r="H211" i="2"/>
  <c r="G211" i="2"/>
  <c r="F211" i="2"/>
  <c r="Q210" i="2"/>
  <c r="P210" i="2"/>
  <c r="O210" i="2"/>
  <c r="N210" i="2"/>
  <c r="M210" i="2"/>
  <c r="L210" i="2"/>
  <c r="K210" i="2"/>
  <c r="J210" i="2"/>
  <c r="I210" i="2"/>
  <c r="H210" i="2"/>
  <c r="G210" i="2"/>
  <c r="F210" i="2"/>
  <c r="Q209" i="2"/>
  <c r="P209" i="2"/>
  <c r="O209" i="2"/>
  <c r="N209" i="2"/>
  <c r="M209" i="2"/>
  <c r="L209" i="2"/>
  <c r="K209" i="2"/>
  <c r="J209" i="2"/>
  <c r="I209" i="2"/>
  <c r="H209" i="2"/>
  <c r="G209" i="2"/>
  <c r="F209" i="2"/>
  <c r="Q208" i="2"/>
  <c r="P208" i="2"/>
  <c r="O208" i="2"/>
  <c r="N208" i="2"/>
  <c r="M208" i="2"/>
  <c r="L208" i="2"/>
  <c r="K208" i="2"/>
  <c r="J208" i="2"/>
  <c r="I208" i="2"/>
  <c r="H208" i="2"/>
  <c r="G208" i="2"/>
  <c r="F208" i="2"/>
  <c r="Q207" i="2"/>
  <c r="P207" i="2"/>
  <c r="O207" i="2"/>
  <c r="N207" i="2"/>
  <c r="M207" i="2"/>
  <c r="L207" i="2"/>
  <c r="K207" i="2"/>
  <c r="J207" i="2"/>
  <c r="I207" i="2"/>
  <c r="H207" i="2"/>
  <c r="G207" i="2"/>
  <c r="F207" i="2"/>
  <c r="Q206" i="2"/>
  <c r="P206" i="2"/>
  <c r="O206" i="2"/>
  <c r="N206" i="2"/>
  <c r="M206" i="2"/>
  <c r="L206" i="2"/>
  <c r="K206" i="2"/>
  <c r="J206" i="2"/>
  <c r="I206" i="2"/>
  <c r="H206" i="2"/>
  <c r="G206" i="2"/>
  <c r="F206" i="2"/>
  <c r="Q205" i="2"/>
  <c r="P205" i="2"/>
  <c r="O205" i="2"/>
  <c r="N205" i="2"/>
  <c r="M205" i="2"/>
  <c r="L205" i="2"/>
  <c r="K205" i="2"/>
  <c r="J205" i="2"/>
  <c r="I205" i="2"/>
  <c r="H205" i="2"/>
  <c r="G205" i="2"/>
  <c r="F205" i="2"/>
  <c r="Q204" i="2"/>
  <c r="P204" i="2"/>
  <c r="O204" i="2"/>
  <c r="N204" i="2"/>
  <c r="M204" i="2"/>
  <c r="L204" i="2"/>
  <c r="K204" i="2"/>
  <c r="J204" i="2"/>
  <c r="I204" i="2"/>
  <c r="H204" i="2"/>
  <c r="G204" i="2"/>
  <c r="F204" i="2"/>
  <c r="Q203" i="2"/>
  <c r="P203" i="2"/>
  <c r="O203" i="2"/>
  <c r="N203" i="2"/>
  <c r="M203" i="2"/>
  <c r="L203" i="2"/>
  <c r="K203" i="2"/>
  <c r="J203" i="2"/>
  <c r="I203" i="2"/>
  <c r="H203" i="2"/>
  <c r="G203" i="2"/>
  <c r="F203" i="2"/>
  <c r="Q202" i="2"/>
  <c r="P202" i="2"/>
  <c r="O202" i="2"/>
  <c r="N202" i="2"/>
  <c r="M202" i="2"/>
  <c r="L202" i="2"/>
  <c r="K202" i="2"/>
  <c r="J202" i="2"/>
  <c r="I202" i="2"/>
  <c r="H202" i="2"/>
  <c r="G202" i="2"/>
  <c r="F202" i="2"/>
  <c r="Q201" i="2"/>
  <c r="P201" i="2"/>
  <c r="O201" i="2"/>
  <c r="N201" i="2"/>
  <c r="M201" i="2"/>
  <c r="L201" i="2"/>
  <c r="K201" i="2"/>
  <c r="J201" i="2"/>
  <c r="I201" i="2"/>
  <c r="H201" i="2"/>
  <c r="G201" i="2"/>
  <c r="F201" i="2"/>
  <c r="Q200" i="2"/>
  <c r="P200" i="2"/>
  <c r="O200" i="2"/>
  <c r="N200" i="2"/>
  <c r="M200" i="2"/>
  <c r="L200" i="2"/>
  <c r="K200" i="2"/>
  <c r="J200" i="2"/>
  <c r="I200" i="2"/>
  <c r="H200" i="2"/>
  <c r="G200" i="2"/>
  <c r="F200" i="2"/>
  <c r="Q199" i="2"/>
  <c r="P199" i="2"/>
  <c r="O199" i="2"/>
  <c r="N199" i="2"/>
  <c r="M199" i="2"/>
  <c r="L199" i="2"/>
  <c r="K199" i="2"/>
  <c r="J199" i="2"/>
  <c r="I199" i="2"/>
  <c r="H199" i="2"/>
  <c r="G199" i="2"/>
  <c r="F199" i="2"/>
  <c r="Q198" i="2"/>
  <c r="P198" i="2"/>
  <c r="O198" i="2"/>
  <c r="N198" i="2"/>
  <c r="M198" i="2"/>
  <c r="L198" i="2"/>
  <c r="K198" i="2"/>
  <c r="J198" i="2"/>
  <c r="I198" i="2"/>
  <c r="H198" i="2"/>
  <c r="G198" i="2"/>
  <c r="F198" i="2"/>
  <c r="Q197" i="2"/>
  <c r="P197" i="2"/>
  <c r="O197" i="2"/>
  <c r="N197" i="2"/>
  <c r="M197" i="2"/>
  <c r="L197" i="2"/>
  <c r="K197" i="2"/>
  <c r="J197" i="2"/>
  <c r="I197" i="2"/>
  <c r="H197" i="2"/>
  <c r="G197" i="2"/>
  <c r="F197" i="2"/>
  <c r="Q196" i="2"/>
  <c r="P196" i="2"/>
  <c r="O196" i="2"/>
  <c r="N196" i="2"/>
  <c r="M196" i="2"/>
  <c r="L196" i="2"/>
  <c r="K196" i="2"/>
  <c r="J196" i="2"/>
  <c r="I196" i="2"/>
  <c r="H196" i="2"/>
  <c r="G196" i="2"/>
  <c r="F196" i="2"/>
  <c r="Q195" i="2"/>
  <c r="P195" i="2"/>
  <c r="O195" i="2"/>
  <c r="N195" i="2"/>
  <c r="M195" i="2"/>
  <c r="L195" i="2"/>
  <c r="K195" i="2"/>
  <c r="J195" i="2"/>
  <c r="I195" i="2"/>
  <c r="H195" i="2"/>
  <c r="G195" i="2"/>
  <c r="F195" i="2"/>
  <c r="Q194" i="2"/>
  <c r="P194" i="2"/>
  <c r="O194" i="2"/>
  <c r="N194" i="2"/>
  <c r="M194" i="2"/>
  <c r="L194" i="2"/>
  <c r="K194" i="2"/>
  <c r="J194" i="2"/>
  <c r="I194" i="2"/>
  <c r="H194" i="2"/>
  <c r="G194" i="2"/>
  <c r="F194" i="2"/>
  <c r="Q193" i="2"/>
  <c r="P193" i="2"/>
  <c r="O193" i="2"/>
  <c r="N193" i="2"/>
  <c r="M193" i="2"/>
  <c r="L193" i="2"/>
  <c r="K193" i="2"/>
  <c r="J193" i="2"/>
  <c r="I193" i="2"/>
  <c r="H193" i="2"/>
  <c r="G193" i="2"/>
  <c r="F193" i="2"/>
  <c r="Q192" i="2"/>
  <c r="P192" i="2"/>
  <c r="O192" i="2"/>
  <c r="N192" i="2"/>
  <c r="M192" i="2"/>
  <c r="L192" i="2"/>
  <c r="K192" i="2"/>
  <c r="J192" i="2"/>
  <c r="I192" i="2"/>
  <c r="H192" i="2"/>
  <c r="G192" i="2"/>
  <c r="F192" i="2"/>
  <c r="Q191" i="2"/>
  <c r="P191" i="2"/>
  <c r="O191" i="2"/>
  <c r="N191" i="2"/>
  <c r="M191" i="2"/>
  <c r="L191" i="2"/>
  <c r="K191" i="2"/>
  <c r="J191" i="2"/>
  <c r="I191" i="2"/>
  <c r="H191" i="2"/>
  <c r="G191" i="2"/>
  <c r="F191" i="2"/>
  <c r="Q190" i="2"/>
  <c r="P190" i="2"/>
  <c r="O190" i="2"/>
  <c r="N190" i="2"/>
  <c r="M190" i="2"/>
  <c r="L190" i="2"/>
  <c r="K190" i="2"/>
  <c r="J190" i="2"/>
  <c r="I190" i="2"/>
  <c r="H190" i="2"/>
  <c r="G190" i="2"/>
  <c r="F190" i="2"/>
  <c r="Q189" i="2"/>
  <c r="P189" i="2"/>
  <c r="O189" i="2"/>
  <c r="N189" i="2"/>
  <c r="M189" i="2"/>
  <c r="L189" i="2"/>
  <c r="K189" i="2"/>
  <c r="J189" i="2"/>
  <c r="I189" i="2"/>
  <c r="H189" i="2"/>
  <c r="G189" i="2"/>
  <c r="F189" i="2"/>
  <c r="Q188" i="2"/>
  <c r="P188" i="2"/>
  <c r="O188" i="2"/>
  <c r="N188" i="2"/>
  <c r="M188" i="2"/>
  <c r="L188" i="2"/>
  <c r="K188" i="2"/>
  <c r="J188" i="2"/>
  <c r="I188" i="2"/>
  <c r="H188" i="2"/>
  <c r="G188" i="2"/>
  <c r="F188" i="2"/>
  <c r="Q187" i="2"/>
  <c r="P187" i="2"/>
  <c r="O187" i="2"/>
  <c r="N187" i="2"/>
  <c r="M187" i="2"/>
  <c r="L187" i="2"/>
  <c r="K187" i="2"/>
  <c r="J187" i="2"/>
  <c r="I187" i="2"/>
  <c r="H187" i="2"/>
  <c r="G187" i="2"/>
  <c r="F187" i="2"/>
  <c r="Q186" i="2"/>
  <c r="P186" i="2"/>
  <c r="O186" i="2"/>
  <c r="N186" i="2"/>
  <c r="M186" i="2"/>
  <c r="L186" i="2"/>
  <c r="K186" i="2"/>
  <c r="J186" i="2"/>
  <c r="I186" i="2"/>
  <c r="H186" i="2"/>
  <c r="G186" i="2"/>
  <c r="F186" i="2"/>
  <c r="Q185" i="2"/>
  <c r="P185" i="2"/>
  <c r="O185" i="2"/>
  <c r="N185" i="2"/>
  <c r="M185" i="2"/>
  <c r="L185" i="2"/>
  <c r="K185" i="2"/>
  <c r="J185" i="2"/>
  <c r="I185" i="2"/>
  <c r="H185" i="2"/>
  <c r="G185" i="2"/>
  <c r="F185" i="2"/>
  <c r="Q184" i="2"/>
  <c r="P184" i="2"/>
  <c r="O184" i="2"/>
  <c r="N184" i="2"/>
  <c r="M184" i="2"/>
  <c r="L184" i="2"/>
  <c r="K184" i="2"/>
  <c r="J184" i="2"/>
  <c r="I184" i="2"/>
  <c r="H184" i="2"/>
  <c r="G184" i="2"/>
  <c r="F184" i="2"/>
  <c r="Q183" i="2"/>
  <c r="P183" i="2"/>
  <c r="O183" i="2"/>
  <c r="N183" i="2"/>
  <c r="M183" i="2"/>
  <c r="L183" i="2"/>
  <c r="K183" i="2"/>
  <c r="J183" i="2"/>
  <c r="I183" i="2"/>
  <c r="H183" i="2"/>
  <c r="G183" i="2"/>
  <c r="F183" i="2"/>
  <c r="Q182" i="2"/>
  <c r="P182" i="2"/>
  <c r="O182" i="2"/>
  <c r="N182" i="2"/>
  <c r="M182" i="2"/>
  <c r="L182" i="2"/>
  <c r="K182" i="2"/>
  <c r="J182" i="2"/>
  <c r="I182" i="2"/>
  <c r="H182" i="2"/>
  <c r="G182" i="2"/>
  <c r="F182" i="2"/>
  <c r="Q181" i="2"/>
  <c r="P181" i="2"/>
  <c r="O181" i="2"/>
  <c r="N181" i="2"/>
  <c r="M181" i="2"/>
  <c r="L181" i="2"/>
  <c r="K181" i="2"/>
  <c r="J181" i="2"/>
  <c r="I181" i="2"/>
  <c r="H181" i="2"/>
  <c r="G181" i="2"/>
  <c r="F181" i="2"/>
  <c r="Q180" i="2"/>
  <c r="P180" i="2"/>
  <c r="O180" i="2"/>
  <c r="N180" i="2"/>
  <c r="M180" i="2"/>
  <c r="L180" i="2"/>
  <c r="K180" i="2"/>
  <c r="J180" i="2"/>
  <c r="I180" i="2"/>
  <c r="H180" i="2"/>
  <c r="G180" i="2"/>
  <c r="F180" i="2"/>
  <c r="Q179" i="2"/>
  <c r="P179" i="2"/>
  <c r="O179" i="2"/>
  <c r="N179" i="2"/>
  <c r="M179" i="2"/>
  <c r="L179" i="2"/>
  <c r="K179" i="2"/>
  <c r="J179" i="2"/>
  <c r="I179" i="2"/>
  <c r="H179" i="2"/>
  <c r="G179" i="2"/>
  <c r="F179" i="2"/>
  <c r="Q178" i="2"/>
  <c r="P178" i="2"/>
  <c r="O178" i="2"/>
  <c r="N178" i="2"/>
  <c r="M178" i="2"/>
  <c r="L178" i="2"/>
  <c r="K178" i="2"/>
  <c r="J178" i="2"/>
  <c r="I178" i="2"/>
  <c r="H178" i="2"/>
  <c r="G178" i="2"/>
  <c r="F178" i="2"/>
  <c r="Q177" i="2"/>
  <c r="P177" i="2"/>
  <c r="O177" i="2"/>
  <c r="N177" i="2"/>
  <c r="M177" i="2"/>
  <c r="L177" i="2"/>
  <c r="K177" i="2"/>
  <c r="J177" i="2"/>
  <c r="I177" i="2"/>
  <c r="H177" i="2"/>
  <c r="G177" i="2"/>
  <c r="F177" i="2"/>
  <c r="Q176" i="2"/>
  <c r="P176" i="2"/>
  <c r="O176" i="2"/>
  <c r="N176" i="2"/>
  <c r="M176" i="2"/>
  <c r="L176" i="2"/>
  <c r="K176" i="2"/>
  <c r="J176" i="2"/>
  <c r="I176" i="2"/>
  <c r="H176" i="2"/>
  <c r="G176" i="2"/>
  <c r="F176" i="2"/>
  <c r="Q175" i="2"/>
  <c r="P175" i="2"/>
  <c r="O175" i="2"/>
  <c r="N175" i="2"/>
  <c r="M175" i="2"/>
  <c r="L175" i="2"/>
  <c r="K175" i="2"/>
  <c r="J175" i="2"/>
  <c r="I175" i="2"/>
  <c r="H175" i="2"/>
  <c r="G175" i="2"/>
  <c r="F175" i="2"/>
  <c r="Q174" i="2"/>
  <c r="P174" i="2"/>
  <c r="O174" i="2"/>
  <c r="N174" i="2"/>
  <c r="M174" i="2"/>
  <c r="L174" i="2"/>
  <c r="K174" i="2"/>
  <c r="J174" i="2"/>
  <c r="I174" i="2"/>
  <c r="H174" i="2"/>
  <c r="G174" i="2"/>
  <c r="F174" i="2"/>
  <c r="Q173" i="2"/>
  <c r="P173" i="2"/>
  <c r="O173" i="2"/>
  <c r="N173" i="2"/>
  <c r="M173" i="2"/>
  <c r="L173" i="2"/>
  <c r="K173" i="2"/>
  <c r="J173" i="2"/>
  <c r="I173" i="2"/>
  <c r="H173" i="2"/>
  <c r="G173" i="2"/>
  <c r="F173" i="2"/>
  <c r="Q172" i="2"/>
  <c r="P172" i="2"/>
  <c r="O172" i="2"/>
  <c r="N172" i="2"/>
  <c r="M172" i="2"/>
  <c r="L172" i="2"/>
  <c r="K172" i="2"/>
  <c r="J172" i="2"/>
  <c r="I172" i="2"/>
  <c r="H172" i="2"/>
  <c r="G172" i="2"/>
  <c r="F172" i="2"/>
  <c r="Q171" i="2"/>
  <c r="P171" i="2"/>
  <c r="O171" i="2"/>
  <c r="N171" i="2"/>
  <c r="M171" i="2"/>
  <c r="L171" i="2"/>
  <c r="K171" i="2"/>
  <c r="J171" i="2"/>
  <c r="I171" i="2"/>
  <c r="H171" i="2"/>
  <c r="G171" i="2"/>
  <c r="F171" i="2"/>
  <c r="Q170" i="2"/>
  <c r="P170" i="2"/>
  <c r="O170" i="2"/>
  <c r="N170" i="2"/>
  <c r="M170" i="2"/>
  <c r="L170" i="2"/>
  <c r="K170" i="2"/>
  <c r="J170" i="2"/>
  <c r="I170" i="2"/>
  <c r="H170" i="2"/>
  <c r="G170" i="2"/>
  <c r="F170" i="2"/>
  <c r="Q169" i="2"/>
  <c r="P169" i="2"/>
  <c r="O169" i="2"/>
  <c r="N169" i="2"/>
  <c r="M169" i="2"/>
  <c r="L169" i="2"/>
  <c r="K169" i="2"/>
  <c r="J169" i="2"/>
  <c r="I169" i="2"/>
  <c r="H169" i="2"/>
  <c r="G169" i="2"/>
  <c r="F169" i="2"/>
  <c r="Q168" i="2"/>
  <c r="P168" i="2"/>
  <c r="O168" i="2"/>
  <c r="N168" i="2"/>
  <c r="M168" i="2"/>
  <c r="L168" i="2"/>
  <c r="K168" i="2"/>
  <c r="J168" i="2"/>
  <c r="I168" i="2"/>
  <c r="H168" i="2"/>
  <c r="G168" i="2"/>
  <c r="F168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Q166" i="2"/>
  <c r="P166" i="2"/>
  <c r="O166" i="2"/>
  <c r="N166" i="2"/>
  <c r="M166" i="2"/>
  <c r="L166" i="2"/>
  <c r="K166" i="2"/>
  <c r="J166" i="2"/>
  <c r="I166" i="2"/>
  <c r="H166" i="2"/>
  <c r="G166" i="2"/>
  <c r="F166" i="2"/>
  <c r="Q165" i="2"/>
  <c r="P165" i="2"/>
  <c r="O165" i="2"/>
  <c r="N165" i="2"/>
  <c r="M165" i="2"/>
  <c r="L165" i="2"/>
  <c r="K165" i="2"/>
  <c r="J165" i="2"/>
  <c r="I165" i="2"/>
  <c r="H165" i="2"/>
  <c r="G165" i="2"/>
  <c r="F165" i="2"/>
  <c r="Q164" i="2"/>
  <c r="P164" i="2"/>
  <c r="O164" i="2"/>
  <c r="N164" i="2"/>
  <c r="M164" i="2"/>
  <c r="L164" i="2"/>
  <c r="K164" i="2"/>
  <c r="J164" i="2"/>
  <c r="I164" i="2"/>
  <c r="H164" i="2"/>
  <c r="G164" i="2"/>
  <c r="F164" i="2"/>
  <c r="Q163" i="2"/>
  <c r="P163" i="2"/>
  <c r="O163" i="2"/>
  <c r="N163" i="2"/>
  <c r="M163" i="2"/>
  <c r="L163" i="2"/>
  <c r="K163" i="2"/>
  <c r="J163" i="2"/>
  <c r="I163" i="2"/>
  <c r="H163" i="2"/>
  <c r="G163" i="2"/>
  <c r="F163" i="2"/>
  <c r="Q162" i="2"/>
  <c r="P162" i="2"/>
  <c r="O162" i="2"/>
  <c r="N162" i="2"/>
  <c r="M162" i="2"/>
  <c r="L162" i="2"/>
  <c r="K162" i="2"/>
  <c r="J162" i="2"/>
  <c r="I162" i="2"/>
  <c r="H162" i="2"/>
  <c r="G162" i="2"/>
  <c r="F162" i="2"/>
  <c r="Q161" i="2"/>
  <c r="P161" i="2"/>
  <c r="O161" i="2"/>
  <c r="N161" i="2"/>
  <c r="M161" i="2"/>
  <c r="L161" i="2"/>
  <c r="K161" i="2"/>
  <c r="J161" i="2"/>
  <c r="I161" i="2"/>
  <c r="H161" i="2"/>
  <c r="G161" i="2"/>
  <c r="F161" i="2"/>
  <c r="Q160" i="2"/>
  <c r="P160" i="2"/>
  <c r="O160" i="2"/>
  <c r="N160" i="2"/>
  <c r="M160" i="2"/>
  <c r="L160" i="2"/>
  <c r="K160" i="2"/>
  <c r="J160" i="2"/>
  <c r="I160" i="2"/>
  <c r="H160" i="2"/>
  <c r="G160" i="2"/>
  <c r="F160" i="2"/>
  <c r="Q159" i="2"/>
  <c r="P159" i="2"/>
  <c r="O159" i="2"/>
  <c r="N159" i="2"/>
  <c r="M159" i="2"/>
  <c r="L159" i="2"/>
  <c r="K159" i="2"/>
  <c r="J159" i="2"/>
  <c r="I159" i="2"/>
  <c r="H159" i="2"/>
  <c r="G159" i="2"/>
  <c r="F159" i="2"/>
  <c r="Q158" i="2"/>
  <c r="P158" i="2"/>
  <c r="O158" i="2"/>
  <c r="N158" i="2"/>
  <c r="M158" i="2"/>
  <c r="L158" i="2"/>
  <c r="K158" i="2"/>
  <c r="J158" i="2"/>
  <c r="I158" i="2"/>
  <c r="H158" i="2"/>
  <c r="G158" i="2"/>
  <c r="F158" i="2"/>
  <c r="Q157" i="2"/>
  <c r="P157" i="2"/>
  <c r="O157" i="2"/>
  <c r="N157" i="2"/>
  <c r="M157" i="2"/>
  <c r="L157" i="2"/>
  <c r="K157" i="2"/>
  <c r="J157" i="2"/>
  <c r="I157" i="2"/>
  <c r="H157" i="2"/>
  <c r="G157" i="2"/>
  <c r="F157" i="2"/>
  <c r="Q156" i="2"/>
  <c r="P156" i="2"/>
  <c r="O156" i="2"/>
  <c r="N156" i="2"/>
  <c r="M156" i="2"/>
  <c r="L156" i="2"/>
  <c r="K156" i="2"/>
  <c r="J156" i="2"/>
  <c r="I156" i="2"/>
  <c r="H156" i="2"/>
  <c r="G156" i="2"/>
  <c r="F156" i="2"/>
  <c r="Q155" i="2"/>
  <c r="P155" i="2"/>
  <c r="O155" i="2"/>
  <c r="N155" i="2"/>
  <c r="M155" i="2"/>
  <c r="L155" i="2"/>
  <c r="K155" i="2"/>
  <c r="J155" i="2"/>
  <c r="I155" i="2"/>
  <c r="H155" i="2"/>
  <c r="G155" i="2"/>
  <c r="F155" i="2"/>
  <c r="Q154" i="2"/>
  <c r="P154" i="2"/>
  <c r="O154" i="2"/>
  <c r="N154" i="2"/>
  <c r="M154" i="2"/>
  <c r="L154" i="2"/>
  <c r="K154" i="2"/>
  <c r="J154" i="2"/>
  <c r="I154" i="2"/>
  <c r="H154" i="2"/>
  <c r="G154" i="2"/>
  <c r="F154" i="2"/>
  <c r="Q153" i="2"/>
  <c r="P153" i="2"/>
  <c r="O153" i="2"/>
  <c r="N153" i="2"/>
  <c r="M153" i="2"/>
  <c r="L153" i="2"/>
  <c r="K153" i="2"/>
  <c r="J153" i="2"/>
  <c r="I153" i="2"/>
  <c r="H153" i="2"/>
  <c r="G153" i="2"/>
  <c r="F153" i="2"/>
  <c r="Q152" i="2"/>
  <c r="P152" i="2"/>
  <c r="O152" i="2"/>
  <c r="N152" i="2"/>
  <c r="M152" i="2"/>
  <c r="L152" i="2"/>
  <c r="K152" i="2"/>
  <c r="J152" i="2"/>
  <c r="I152" i="2"/>
  <c r="H152" i="2"/>
  <c r="G152" i="2"/>
  <c r="F152" i="2"/>
  <c r="Q151" i="2"/>
  <c r="P151" i="2"/>
  <c r="O151" i="2"/>
  <c r="N151" i="2"/>
  <c r="M151" i="2"/>
  <c r="L151" i="2"/>
  <c r="K151" i="2"/>
  <c r="J151" i="2"/>
  <c r="I151" i="2"/>
  <c r="H151" i="2"/>
  <c r="G151" i="2"/>
  <c r="F151" i="2"/>
  <c r="Q150" i="2"/>
  <c r="P150" i="2"/>
  <c r="O150" i="2"/>
  <c r="N150" i="2"/>
  <c r="M150" i="2"/>
  <c r="L150" i="2"/>
  <c r="K150" i="2"/>
  <c r="J150" i="2"/>
  <c r="I150" i="2"/>
  <c r="H150" i="2"/>
  <c r="G150" i="2"/>
  <c r="F150" i="2"/>
  <c r="Q149" i="2"/>
  <c r="P149" i="2"/>
  <c r="O149" i="2"/>
  <c r="N149" i="2"/>
  <c r="M149" i="2"/>
  <c r="L149" i="2"/>
  <c r="K149" i="2"/>
  <c r="J149" i="2"/>
  <c r="I149" i="2"/>
  <c r="H149" i="2"/>
  <c r="G149" i="2"/>
  <c r="F149" i="2"/>
  <c r="Q148" i="2"/>
  <c r="P148" i="2"/>
  <c r="O148" i="2"/>
  <c r="N148" i="2"/>
  <c r="M148" i="2"/>
  <c r="L148" i="2"/>
  <c r="K148" i="2"/>
  <c r="J148" i="2"/>
  <c r="I148" i="2"/>
  <c r="H148" i="2"/>
  <c r="G148" i="2"/>
  <c r="F148" i="2"/>
  <c r="Q147" i="2"/>
  <c r="P147" i="2"/>
  <c r="O147" i="2"/>
  <c r="N147" i="2"/>
  <c r="M147" i="2"/>
  <c r="L147" i="2"/>
  <c r="K147" i="2"/>
  <c r="J147" i="2"/>
  <c r="I147" i="2"/>
  <c r="H147" i="2"/>
  <c r="G147" i="2"/>
  <c r="F147" i="2"/>
  <c r="Q146" i="2"/>
  <c r="P146" i="2"/>
  <c r="O146" i="2"/>
  <c r="N146" i="2"/>
  <c r="M146" i="2"/>
  <c r="L146" i="2"/>
  <c r="K146" i="2"/>
  <c r="J146" i="2"/>
  <c r="I146" i="2"/>
  <c r="H146" i="2"/>
  <c r="G146" i="2"/>
  <c r="F146" i="2"/>
  <c r="Q145" i="2"/>
  <c r="P145" i="2"/>
  <c r="O145" i="2"/>
  <c r="N145" i="2"/>
  <c r="M145" i="2"/>
  <c r="L145" i="2"/>
  <c r="K145" i="2"/>
  <c r="J145" i="2"/>
  <c r="I145" i="2"/>
  <c r="H145" i="2"/>
  <c r="G145" i="2"/>
  <c r="F145" i="2"/>
  <c r="Q144" i="2"/>
  <c r="P144" i="2"/>
  <c r="O144" i="2"/>
  <c r="N144" i="2"/>
  <c r="M144" i="2"/>
  <c r="L144" i="2"/>
  <c r="K144" i="2"/>
  <c r="J144" i="2"/>
  <c r="I144" i="2"/>
  <c r="H144" i="2"/>
  <c r="G144" i="2"/>
  <c r="F144" i="2"/>
  <c r="Q143" i="2"/>
  <c r="P143" i="2"/>
  <c r="O143" i="2"/>
  <c r="N143" i="2"/>
  <c r="M143" i="2"/>
  <c r="L143" i="2"/>
  <c r="K143" i="2"/>
  <c r="J143" i="2"/>
  <c r="I143" i="2"/>
  <c r="H143" i="2"/>
  <c r="G143" i="2"/>
  <c r="F143" i="2"/>
  <c r="Q142" i="2"/>
  <c r="P142" i="2"/>
  <c r="O142" i="2"/>
  <c r="N142" i="2"/>
  <c r="M142" i="2"/>
  <c r="L142" i="2"/>
  <c r="K142" i="2"/>
  <c r="J142" i="2"/>
  <c r="I142" i="2"/>
  <c r="H142" i="2"/>
  <c r="G142" i="2"/>
  <c r="F142" i="2"/>
  <c r="Q141" i="2"/>
  <c r="P141" i="2"/>
  <c r="O141" i="2"/>
  <c r="N141" i="2"/>
  <c r="M141" i="2"/>
  <c r="L141" i="2"/>
  <c r="K141" i="2"/>
  <c r="J141" i="2"/>
  <c r="I141" i="2"/>
  <c r="H141" i="2"/>
  <c r="G141" i="2"/>
  <c r="F141" i="2"/>
  <c r="Q140" i="2"/>
  <c r="P140" i="2"/>
  <c r="O140" i="2"/>
  <c r="N140" i="2"/>
  <c r="M140" i="2"/>
  <c r="L140" i="2"/>
  <c r="K140" i="2"/>
  <c r="J140" i="2"/>
  <c r="I140" i="2"/>
  <c r="H140" i="2"/>
  <c r="G140" i="2"/>
  <c r="F140" i="2"/>
  <c r="Q139" i="2"/>
  <c r="P139" i="2"/>
  <c r="O139" i="2"/>
  <c r="N139" i="2"/>
  <c r="M139" i="2"/>
  <c r="L139" i="2"/>
  <c r="K139" i="2"/>
  <c r="J139" i="2"/>
  <c r="I139" i="2"/>
  <c r="H139" i="2"/>
  <c r="G139" i="2"/>
  <c r="F139" i="2"/>
  <c r="Q138" i="2"/>
  <c r="P138" i="2"/>
  <c r="O138" i="2"/>
  <c r="N138" i="2"/>
  <c r="M138" i="2"/>
  <c r="L138" i="2"/>
  <c r="K138" i="2"/>
  <c r="J138" i="2"/>
  <c r="I138" i="2"/>
  <c r="H138" i="2"/>
  <c r="G138" i="2"/>
  <c r="F138" i="2"/>
  <c r="Q137" i="2"/>
  <c r="P137" i="2"/>
  <c r="O137" i="2"/>
  <c r="N137" i="2"/>
  <c r="M137" i="2"/>
  <c r="L137" i="2"/>
  <c r="K137" i="2"/>
  <c r="J137" i="2"/>
  <c r="I137" i="2"/>
  <c r="H137" i="2"/>
  <c r="G137" i="2"/>
  <c r="F137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Q135" i="2"/>
  <c r="P135" i="2"/>
  <c r="O135" i="2"/>
  <c r="N135" i="2"/>
  <c r="M135" i="2"/>
  <c r="L135" i="2"/>
  <c r="K135" i="2"/>
  <c r="J135" i="2"/>
  <c r="I135" i="2"/>
  <c r="H135" i="2"/>
  <c r="G135" i="2"/>
  <c r="F135" i="2"/>
  <c r="Q134" i="2"/>
  <c r="P134" i="2"/>
  <c r="O134" i="2"/>
  <c r="N134" i="2"/>
  <c r="M134" i="2"/>
  <c r="L134" i="2"/>
  <c r="K134" i="2"/>
  <c r="J134" i="2"/>
  <c r="I134" i="2"/>
  <c r="H134" i="2"/>
  <c r="G134" i="2"/>
  <c r="F134" i="2"/>
  <c r="Q133" i="2"/>
  <c r="P133" i="2"/>
  <c r="O133" i="2"/>
  <c r="N133" i="2"/>
  <c r="M133" i="2"/>
  <c r="L133" i="2"/>
  <c r="K133" i="2"/>
  <c r="J133" i="2"/>
  <c r="I133" i="2"/>
  <c r="H133" i="2"/>
  <c r="G133" i="2"/>
  <c r="F133" i="2"/>
  <c r="Q132" i="2"/>
  <c r="P132" i="2"/>
  <c r="O132" i="2"/>
  <c r="N132" i="2"/>
  <c r="M132" i="2"/>
  <c r="L132" i="2"/>
  <c r="K132" i="2"/>
  <c r="J132" i="2"/>
  <c r="I132" i="2"/>
  <c r="H132" i="2"/>
  <c r="G132" i="2"/>
  <c r="F132" i="2"/>
  <c r="Q131" i="2"/>
  <c r="P131" i="2"/>
  <c r="O131" i="2"/>
  <c r="N131" i="2"/>
  <c r="M131" i="2"/>
  <c r="L131" i="2"/>
  <c r="K131" i="2"/>
  <c r="J131" i="2"/>
  <c r="I131" i="2"/>
  <c r="H131" i="2"/>
  <c r="G131" i="2"/>
  <c r="F131" i="2"/>
  <c r="Q130" i="2"/>
  <c r="P130" i="2"/>
  <c r="O130" i="2"/>
  <c r="N130" i="2"/>
  <c r="M130" i="2"/>
  <c r="L130" i="2"/>
  <c r="K130" i="2"/>
  <c r="J130" i="2"/>
  <c r="I130" i="2"/>
  <c r="H130" i="2"/>
  <c r="G130" i="2"/>
  <c r="F130" i="2"/>
  <c r="Q129" i="2"/>
  <c r="P129" i="2"/>
  <c r="O129" i="2"/>
  <c r="N129" i="2"/>
  <c r="M129" i="2"/>
  <c r="L129" i="2"/>
  <c r="K129" i="2"/>
  <c r="J129" i="2"/>
  <c r="I129" i="2"/>
  <c r="H129" i="2"/>
  <c r="G129" i="2"/>
  <c r="F129" i="2"/>
  <c r="Q128" i="2"/>
  <c r="P128" i="2"/>
  <c r="O128" i="2"/>
  <c r="N128" i="2"/>
  <c r="M128" i="2"/>
  <c r="L128" i="2"/>
  <c r="K128" i="2"/>
  <c r="J128" i="2"/>
  <c r="I128" i="2"/>
  <c r="H128" i="2"/>
  <c r="G128" i="2"/>
  <c r="F128" i="2"/>
  <c r="Q127" i="2"/>
  <c r="P127" i="2"/>
  <c r="O127" i="2"/>
  <c r="N127" i="2"/>
  <c r="M127" i="2"/>
  <c r="L127" i="2"/>
  <c r="K127" i="2"/>
  <c r="J127" i="2"/>
  <c r="I127" i="2"/>
  <c r="H127" i="2"/>
  <c r="G127" i="2"/>
  <c r="F127" i="2"/>
  <c r="Q126" i="2"/>
  <c r="P126" i="2"/>
  <c r="O126" i="2"/>
  <c r="N126" i="2"/>
  <c r="M126" i="2"/>
  <c r="L126" i="2"/>
  <c r="K126" i="2"/>
  <c r="J126" i="2"/>
  <c r="I126" i="2"/>
  <c r="H126" i="2"/>
  <c r="G126" i="2"/>
  <c r="F126" i="2"/>
  <c r="Q125" i="2"/>
  <c r="P125" i="2"/>
  <c r="O125" i="2"/>
  <c r="N125" i="2"/>
  <c r="M125" i="2"/>
  <c r="L125" i="2"/>
  <c r="K125" i="2"/>
  <c r="J125" i="2"/>
  <c r="I125" i="2"/>
  <c r="H125" i="2"/>
  <c r="G125" i="2"/>
  <c r="F125" i="2"/>
  <c r="Q124" i="2"/>
  <c r="P124" i="2"/>
  <c r="O124" i="2"/>
  <c r="N124" i="2"/>
  <c r="M124" i="2"/>
  <c r="L124" i="2"/>
  <c r="K124" i="2"/>
  <c r="J124" i="2"/>
  <c r="I124" i="2"/>
  <c r="H124" i="2"/>
  <c r="G124" i="2"/>
  <c r="F124" i="2"/>
  <c r="Q123" i="2"/>
  <c r="P123" i="2"/>
  <c r="O123" i="2"/>
  <c r="N123" i="2"/>
  <c r="M123" i="2"/>
  <c r="L123" i="2"/>
  <c r="K123" i="2"/>
  <c r="J123" i="2"/>
  <c r="I123" i="2"/>
  <c r="H123" i="2"/>
  <c r="G123" i="2"/>
  <c r="F123" i="2"/>
  <c r="Q122" i="2"/>
  <c r="P122" i="2"/>
  <c r="O122" i="2"/>
  <c r="N122" i="2"/>
  <c r="M122" i="2"/>
  <c r="L122" i="2"/>
  <c r="K122" i="2"/>
  <c r="J122" i="2"/>
  <c r="I122" i="2"/>
  <c r="H122" i="2"/>
  <c r="G122" i="2"/>
  <c r="F122" i="2"/>
  <c r="Q121" i="2"/>
  <c r="P121" i="2"/>
  <c r="O121" i="2"/>
  <c r="N121" i="2"/>
  <c r="M121" i="2"/>
  <c r="L121" i="2"/>
  <c r="K121" i="2"/>
  <c r="J121" i="2"/>
  <c r="I121" i="2"/>
  <c r="H121" i="2"/>
  <c r="G121" i="2"/>
  <c r="F121" i="2"/>
  <c r="Q120" i="2"/>
  <c r="P120" i="2"/>
  <c r="O120" i="2"/>
  <c r="N120" i="2"/>
  <c r="M120" i="2"/>
  <c r="L120" i="2"/>
  <c r="K120" i="2"/>
  <c r="J120" i="2"/>
  <c r="I120" i="2"/>
  <c r="H120" i="2"/>
  <c r="G120" i="2"/>
  <c r="F120" i="2"/>
  <c r="Q119" i="2"/>
  <c r="P119" i="2"/>
  <c r="O119" i="2"/>
  <c r="N119" i="2"/>
  <c r="M119" i="2"/>
  <c r="L119" i="2"/>
  <c r="K119" i="2"/>
  <c r="J119" i="2"/>
  <c r="I119" i="2"/>
  <c r="H119" i="2"/>
  <c r="G119" i="2"/>
  <c r="F119" i="2"/>
  <c r="Q118" i="2"/>
  <c r="P118" i="2"/>
  <c r="O118" i="2"/>
  <c r="N118" i="2"/>
  <c r="M118" i="2"/>
  <c r="L118" i="2"/>
  <c r="K118" i="2"/>
  <c r="J118" i="2"/>
  <c r="I118" i="2"/>
  <c r="H118" i="2"/>
  <c r="G118" i="2"/>
  <c r="F118" i="2"/>
  <c r="Q117" i="2"/>
  <c r="P117" i="2"/>
  <c r="O117" i="2"/>
  <c r="N117" i="2"/>
  <c r="M117" i="2"/>
  <c r="L117" i="2"/>
  <c r="K117" i="2"/>
  <c r="J117" i="2"/>
  <c r="I117" i="2"/>
  <c r="H117" i="2"/>
  <c r="G117" i="2"/>
  <c r="F117" i="2"/>
  <c r="Q116" i="2"/>
  <c r="P116" i="2"/>
  <c r="O116" i="2"/>
  <c r="N116" i="2"/>
  <c r="M116" i="2"/>
  <c r="L116" i="2"/>
  <c r="K116" i="2"/>
  <c r="J116" i="2"/>
  <c r="I116" i="2"/>
  <c r="H116" i="2"/>
  <c r="G116" i="2"/>
  <c r="F116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Q113" i="2"/>
  <c r="P113" i="2"/>
  <c r="O113" i="2"/>
  <c r="N113" i="2"/>
  <c r="M113" i="2"/>
  <c r="L113" i="2"/>
  <c r="K113" i="2"/>
  <c r="J113" i="2"/>
  <c r="I113" i="2"/>
  <c r="H113" i="2"/>
  <c r="G113" i="2"/>
  <c r="F113" i="2"/>
  <c r="Q112" i="2"/>
  <c r="P112" i="2"/>
  <c r="O112" i="2"/>
  <c r="N112" i="2"/>
  <c r="M112" i="2"/>
  <c r="L112" i="2"/>
  <c r="K112" i="2"/>
  <c r="J112" i="2"/>
  <c r="I112" i="2"/>
  <c r="H112" i="2"/>
  <c r="G112" i="2"/>
  <c r="F112" i="2"/>
  <c r="Q111" i="2"/>
  <c r="P111" i="2"/>
  <c r="O111" i="2"/>
  <c r="N111" i="2"/>
  <c r="M111" i="2"/>
  <c r="L111" i="2"/>
  <c r="K111" i="2"/>
  <c r="J111" i="2"/>
  <c r="I111" i="2"/>
  <c r="H111" i="2"/>
  <c r="G111" i="2"/>
  <c r="F111" i="2"/>
  <c r="Q110" i="2"/>
  <c r="P110" i="2"/>
  <c r="O110" i="2"/>
  <c r="N110" i="2"/>
  <c r="M110" i="2"/>
  <c r="L110" i="2"/>
  <c r="K110" i="2"/>
  <c r="J110" i="2"/>
  <c r="I110" i="2"/>
  <c r="H110" i="2"/>
  <c r="G110" i="2"/>
  <c r="F110" i="2"/>
  <c r="Q109" i="2"/>
  <c r="P109" i="2"/>
  <c r="O109" i="2"/>
  <c r="N109" i="2"/>
  <c r="M109" i="2"/>
  <c r="L109" i="2"/>
  <c r="K109" i="2"/>
  <c r="J109" i="2"/>
  <c r="I109" i="2"/>
  <c r="H109" i="2"/>
  <c r="G109" i="2"/>
  <c r="F109" i="2"/>
  <c r="Q108" i="2"/>
  <c r="P108" i="2"/>
  <c r="O108" i="2"/>
  <c r="N108" i="2"/>
  <c r="M108" i="2"/>
  <c r="L108" i="2"/>
  <c r="K108" i="2"/>
  <c r="J108" i="2"/>
  <c r="I108" i="2"/>
  <c r="H108" i="2"/>
  <c r="G108" i="2"/>
  <c r="F108" i="2"/>
  <c r="Q107" i="2"/>
  <c r="P107" i="2"/>
  <c r="O107" i="2"/>
  <c r="N107" i="2"/>
  <c r="M107" i="2"/>
  <c r="L107" i="2"/>
  <c r="K107" i="2"/>
  <c r="J107" i="2"/>
  <c r="I107" i="2"/>
  <c r="H107" i="2"/>
  <c r="G107" i="2"/>
  <c r="F107" i="2"/>
  <c r="Q106" i="2"/>
  <c r="P106" i="2"/>
  <c r="O106" i="2"/>
  <c r="N106" i="2"/>
  <c r="M106" i="2"/>
  <c r="L106" i="2"/>
  <c r="K106" i="2"/>
  <c r="J106" i="2"/>
  <c r="I106" i="2"/>
  <c r="H106" i="2"/>
  <c r="G106" i="2"/>
  <c r="F106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Q103" i="2"/>
  <c r="P103" i="2"/>
  <c r="O103" i="2"/>
  <c r="N103" i="2"/>
  <c r="M103" i="2"/>
  <c r="L103" i="2"/>
  <c r="K103" i="2"/>
  <c r="J103" i="2"/>
  <c r="I103" i="2"/>
  <c r="H103" i="2"/>
  <c r="G103" i="2"/>
  <c r="F103" i="2"/>
  <c r="Q102" i="2"/>
  <c r="P102" i="2"/>
  <c r="O102" i="2"/>
  <c r="N102" i="2"/>
  <c r="M102" i="2"/>
  <c r="L102" i="2"/>
  <c r="K102" i="2"/>
  <c r="J102" i="2"/>
  <c r="I102" i="2"/>
  <c r="H102" i="2"/>
  <c r="G102" i="2"/>
  <c r="F102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Q99" i="2"/>
  <c r="P99" i="2"/>
  <c r="O99" i="2"/>
  <c r="N99" i="2"/>
  <c r="M99" i="2"/>
  <c r="L99" i="2"/>
  <c r="K99" i="2"/>
  <c r="J99" i="2"/>
  <c r="I99" i="2"/>
  <c r="H99" i="2"/>
  <c r="G99" i="2"/>
  <c r="F99" i="2"/>
  <c r="Q98" i="2"/>
  <c r="P98" i="2"/>
  <c r="O98" i="2"/>
  <c r="N98" i="2"/>
  <c r="M98" i="2"/>
  <c r="L98" i="2"/>
  <c r="K98" i="2"/>
  <c r="J98" i="2"/>
  <c r="I98" i="2"/>
  <c r="H98" i="2"/>
  <c r="G98" i="2"/>
  <c r="F98" i="2"/>
  <c r="Q97" i="2"/>
  <c r="P97" i="2"/>
  <c r="O97" i="2"/>
  <c r="N97" i="2"/>
  <c r="M97" i="2"/>
  <c r="L97" i="2"/>
  <c r="K97" i="2"/>
  <c r="J97" i="2"/>
  <c r="I97" i="2"/>
  <c r="H97" i="2"/>
  <c r="G97" i="2"/>
  <c r="F97" i="2"/>
  <c r="Q96" i="2"/>
  <c r="P96" i="2"/>
  <c r="O96" i="2"/>
  <c r="N96" i="2"/>
  <c r="M96" i="2"/>
  <c r="L96" i="2"/>
  <c r="K96" i="2"/>
  <c r="J96" i="2"/>
  <c r="I96" i="2"/>
  <c r="H96" i="2"/>
  <c r="G96" i="2"/>
  <c r="F96" i="2"/>
  <c r="Q95" i="2"/>
  <c r="P95" i="2"/>
  <c r="O95" i="2"/>
  <c r="N95" i="2"/>
  <c r="M95" i="2"/>
  <c r="L95" i="2"/>
  <c r="K95" i="2"/>
  <c r="J95" i="2"/>
  <c r="I95" i="2"/>
  <c r="H95" i="2"/>
  <c r="G95" i="2"/>
  <c r="F95" i="2"/>
  <c r="Q94" i="2"/>
  <c r="P94" i="2"/>
  <c r="O94" i="2"/>
  <c r="N94" i="2"/>
  <c r="M94" i="2"/>
  <c r="L94" i="2"/>
  <c r="K94" i="2"/>
  <c r="J94" i="2"/>
  <c r="I94" i="2"/>
  <c r="H94" i="2"/>
  <c r="G94" i="2"/>
  <c r="F94" i="2"/>
  <c r="Q93" i="2"/>
  <c r="P93" i="2"/>
  <c r="O93" i="2"/>
  <c r="N93" i="2"/>
  <c r="M93" i="2"/>
  <c r="L93" i="2"/>
  <c r="K93" i="2"/>
  <c r="J93" i="2"/>
  <c r="I93" i="2"/>
  <c r="H93" i="2"/>
  <c r="G93" i="2"/>
  <c r="F93" i="2"/>
  <c r="Q92" i="2"/>
  <c r="P92" i="2"/>
  <c r="O92" i="2"/>
  <c r="N92" i="2"/>
  <c r="M92" i="2"/>
  <c r="L92" i="2"/>
  <c r="K92" i="2"/>
  <c r="J92" i="2"/>
  <c r="I92" i="2"/>
  <c r="H92" i="2"/>
  <c r="G92" i="2"/>
  <c r="F92" i="2"/>
  <c r="Q91" i="2"/>
  <c r="P91" i="2"/>
  <c r="O91" i="2"/>
  <c r="N91" i="2"/>
  <c r="M91" i="2"/>
  <c r="L91" i="2"/>
  <c r="K91" i="2"/>
  <c r="J91" i="2"/>
  <c r="I91" i="2"/>
  <c r="H91" i="2"/>
  <c r="G91" i="2"/>
  <c r="F91" i="2"/>
  <c r="Q90" i="2"/>
  <c r="P90" i="2"/>
  <c r="O90" i="2"/>
  <c r="N90" i="2"/>
  <c r="M90" i="2"/>
  <c r="L90" i="2"/>
  <c r="K90" i="2"/>
  <c r="J90" i="2"/>
  <c r="I90" i="2"/>
  <c r="H90" i="2"/>
  <c r="G90" i="2"/>
  <c r="F90" i="2"/>
  <c r="Q89" i="2"/>
  <c r="P89" i="2"/>
  <c r="O89" i="2"/>
  <c r="N89" i="2"/>
  <c r="M89" i="2"/>
  <c r="L89" i="2"/>
  <c r="K89" i="2"/>
  <c r="J89" i="2"/>
  <c r="I89" i="2"/>
  <c r="H89" i="2"/>
  <c r="G89" i="2"/>
  <c r="F89" i="2"/>
  <c r="Q88" i="2"/>
  <c r="P88" i="2"/>
  <c r="O88" i="2"/>
  <c r="N88" i="2"/>
  <c r="M88" i="2"/>
  <c r="L88" i="2"/>
  <c r="K88" i="2"/>
  <c r="J88" i="2"/>
  <c r="I88" i="2"/>
  <c r="H88" i="2"/>
  <c r="G88" i="2"/>
  <c r="F88" i="2"/>
  <c r="Q87" i="2"/>
  <c r="P87" i="2"/>
  <c r="O87" i="2"/>
  <c r="N87" i="2"/>
  <c r="M87" i="2"/>
  <c r="L87" i="2"/>
  <c r="K87" i="2"/>
  <c r="J87" i="2"/>
  <c r="I87" i="2"/>
  <c r="H87" i="2"/>
  <c r="G87" i="2"/>
  <c r="F87" i="2"/>
  <c r="Q86" i="2"/>
  <c r="P86" i="2"/>
  <c r="O86" i="2"/>
  <c r="N86" i="2"/>
  <c r="M86" i="2"/>
  <c r="L86" i="2"/>
  <c r="K86" i="2"/>
  <c r="J86" i="2"/>
  <c r="I86" i="2"/>
  <c r="H86" i="2"/>
  <c r="G86" i="2"/>
  <c r="F86" i="2"/>
  <c r="Q85" i="2"/>
  <c r="P85" i="2"/>
  <c r="O85" i="2"/>
  <c r="N85" i="2"/>
  <c r="M85" i="2"/>
  <c r="L85" i="2"/>
  <c r="K85" i="2"/>
  <c r="J85" i="2"/>
  <c r="I85" i="2"/>
  <c r="H85" i="2"/>
  <c r="G85" i="2"/>
  <c r="F85" i="2"/>
  <c r="Q84" i="2"/>
  <c r="P84" i="2"/>
  <c r="O84" i="2"/>
  <c r="N84" i="2"/>
  <c r="M84" i="2"/>
  <c r="L84" i="2"/>
  <c r="K84" i="2"/>
  <c r="J84" i="2"/>
  <c r="I84" i="2"/>
  <c r="H84" i="2"/>
  <c r="G84" i="2"/>
  <c r="F84" i="2"/>
  <c r="Q83" i="2"/>
  <c r="P83" i="2"/>
  <c r="O83" i="2"/>
  <c r="N83" i="2"/>
  <c r="M83" i="2"/>
  <c r="L83" i="2"/>
  <c r="K83" i="2"/>
  <c r="J83" i="2"/>
  <c r="I83" i="2"/>
  <c r="H83" i="2"/>
  <c r="G83" i="2"/>
  <c r="F83" i="2"/>
  <c r="Q82" i="2"/>
  <c r="P82" i="2"/>
  <c r="O82" i="2"/>
  <c r="N82" i="2"/>
  <c r="M82" i="2"/>
  <c r="L82" i="2"/>
  <c r="K82" i="2"/>
  <c r="J82" i="2"/>
  <c r="I82" i="2"/>
  <c r="H82" i="2"/>
  <c r="G82" i="2"/>
  <c r="F82" i="2"/>
  <c r="Q81" i="2"/>
  <c r="P81" i="2"/>
  <c r="O81" i="2"/>
  <c r="N81" i="2"/>
  <c r="M81" i="2"/>
  <c r="L81" i="2"/>
  <c r="K81" i="2"/>
  <c r="J81" i="2"/>
  <c r="I81" i="2"/>
  <c r="H81" i="2"/>
  <c r="G81" i="2"/>
  <c r="F81" i="2"/>
  <c r="Q80" i="2"/>
  <c r="P80" i="2"/>
  <c r="O80" i="2"/>
  <c r="N80" i="2"/>
  <c r="M80" i="2"/>
  <c r="L80" i="2"/>
  <c r="K80" i="2"/>
  <c r="J80" i="2"/>
  <c r="I80" i="2"/>
  <c r="H80" i="2"/>
  <c r="G80" i="2"/>
  <c r="F80" i="2"/>
  <c r="Q79" i="2"/>
  <c r="P79" i="2"/>
  <c r="O79" i="2"/>
  <c r="N79" i="2"/>
  <c r="M79" i="2"/>
  <c r="L79" i="2"/>
  <c r="K79" i="2"/>
  <c r="J79" i="2"/>
  <c r="I79" i="2"/>
  <c r="H79" i="2"/>
  <c r="G79" i="2"/>
  <c r="F79" i="2"/>
  <c r="Q78" i="2"/>
  <c r="P78" i="2"/>
  <c r="O78" i="2"/>
  <c r="N78" i="2"/>
  <c r="M78" i="2"/>
  <c r="L78" i="2"/>
  <c r="K78" i="2"/>
  <c r="J78" i="2"/>
  <c r="I78" i="2"/>
  <c r="H78" i="2"/>
  <c r="G78" i="2"/>
  <c r="F78" i="2"/>
  <c r="Q77" i="2"/>
  <c r="P77" i="2"/>
  <c r="O77" i="2"/>
  <c r="N77" i="2"/>
  <c r="M77" i="2"/>
  <c r="L77" i="2"/>
  <c r="K77" i="2"/>
  <c r="J77" i="2"/>
  <c r="I77" i="2"/>
  <c r="H77" i="2"/>
  <c r="G77" i="2"/>
  <c r="F77" i="2"/>
  <c r="Q76" i="2"/>
  <c r="P76" i="2"/>
  <c r="O76" i="2"/>
  <c r="N76" i="2"/>
  <c r="M76" i="2"/>
  <c r="L76" i="2"/>
  <c r="K76" i="2"/>
  <c r="J76" i="2"/>
  <c r="I76" i="2"/>
  <c r="H76" i="2"/>
  <c r="G76" i="2"/>
  <c r="F76" i="2"/>
  <c r="Q75" i="2"/>
  <c r="P75" i="2"/>
  <c r="O75" i="2"/>
  <c r="N75" i="2"/>
  <c r="M75" i="2"/>
  <c r="L75" i="2"/>
  <c r="K75" i="2"/>
  <c r="J75" i="2"/>
  <c r="I75" i="2"/>
  <c r="H75" i="2"/>
  <c r="G75" i="2"/>
  <c r="F75" i="2"/>
  <c r="Q74" i="2"/>
  <c r="P74" i="2"/>
  <c r="O74" i="2"/>
  <c r="N74" i="2"/>
  <c r="M74" i="2"/>
  <c r="L74" i="2"/>
  <c r="K74" i="2"/>
  <c r="J74" i="2"/>
  <c r="I74" i="2"/>
  <c r="H74" i="2"/>
  <c r="G74" i="2"/>
  <c r="F74" i="2"/>
  <c r="Q73" i="2"/>
  <c r="P73" i="2"/>
  <c r="O73" i="2"/>
  <c r="N73" i="2"/>
  <c r="M73" i="2"/>
  <c r="L73" i="2"/>
  <c r="K73" i="2"/>
  <c r="J73" i="2"/>
  <c r="I73" i="2"/>
  <c r="H73" i="2"/>
  <c r="G73" i="2"/>
  <c r="F73" i="2"/>
  <c r="Q72" i="2"/>
  <c r="P72" i="2"/>
  <c r="O72" i="2"/>
  <c r="N72" i="2"/>
  <c r="M72" i="2"/>
  <c r="L72" i="2"/>
  <c r="K72" i="2"/>
  <c r="J72" i="2"/>
  <c r="I72" i="2"/>
  <c r="H72" i="2"/>
  <c r="G72" i="2"/>
  <c r="F72" i="2"/>
  <c r="Q71" i="2"/>
  <c r="P71" i="2"/>
  <c r="O71" i="2"/>
  <c r="N71" i="2"/>
  <c r="M71" i="2"/>
  <c r="L71" i="2"/>
  <c r="K71" i="2"/>
  <c r="J71" i="2"/>
  <c r="I71" i="2"/>
  <c r="H71" i="2"/>
  <c r="G71" i="2"/>
  <c r="F71" i="2"/>
  <c r="Q70" i="2"/>
  <c r="P70" i="2"/>
  <c r="O70" i="2"/>
  <c r="N70" i="2"/>
  <c r="M70" i="2"/>
  <c r="L70" i="2"/>
  <c r="K70" i="2"/>
  <c r="J70" i="2"/>
  <c r="I70" i="2"/>
  <c r="H70" i="2"/>
  <c r="G70" i="2"/>
  <c r="F70" i="2"/>
  <c r="Q69" i="2"/>
  <c r="P69" i="2"/>
  <c r="O69" i="2"/>
  <c r="N69" i="2"/>
  <c r="M69" i="2"/>
  <c r="L69" i="2"/>
  <c r="K69" i="2"/>
  <c r="J69" i="2"/>
  <c r="I69" i="2"/>
  <c r="H69" i="2"/>
  <c r="G69" i="2"/>
  <c r="F69" i="2"/>
  <c r="Q68" i="2"/>
  <c r="P68" i="2"/>
  <c r="O68" i="2"/>
  <c r="N68" i="2"/>
  <c r="M68" i="2"/>
  <c r="L68" i="2"/>
  <c r="K68" i="2"/>
  <c r="J68" i="2"/>
  <c r="I68" i="2"/>
  <c r="H68" i="2"/>
  <c r="G68" i="2"/>
  <c r="F68" i="2"/>
  <c r="Q67" i="2"/>
  <c r="P67" i="2"/>
  <c r="O67" i="2"/>
  <c r="N67" i="2"/>
  <c r="M67" i="2"/>
  <c r="L67" i="2"/>
  <c r="K67" i="2"/>
  <c r="J67" i="2"/>
  <c r="I67" i="2"/>
  <c r="H67" i="2"/>
  <c r="G67" i="2"/>
  <c r="F67" i="2"/>
  <c r="Q66" i="2"/>
  <c r="P66" i="2"/>
  <c r="O66" i="2"/>
  <c r="N66" i="2"/>
  <c r="M66" i="2"/>
  <c r="L66" i="2"/>
  <c r="K66" i="2"/>
  <c r="J66" i="2"/>
  <c r="I66" i="2"/>
  <c r="H66" i="2"/>
  <c r="G66" i="2"/>
  <c r="F66" i="2"/>
  <c r="Q65" i="2"/>
  <c r="P65" i="2"/>
  <c r="O65" i="2"/>
  <c r="N65" i="2"/>
  <c r="M65" i="2"/>
  <c r="L65" i="2"/>
  <c r="K65" i="2"/>
  <c r="J65" i="2"/>
  <c r="I65" i="2"/>
  <c r="H65" i="2"/>
  <c r="G65" i="2"/>
  <c r="F65" i="2"/>
  <c r="Q64" i="2"/>
  <c r="P64" i="2"/>
  <c r="O64" i="2"/>
  <c r="N64" i="2"/>
  <c r="M64" i="2"/>
  <c r="L64" i="2"/>
  <c r="K64" i="2"/>
  <c r="J64" i="2"/>
  <c r="I64" i="2"/>
  <c r="H64" i="2"/>
  <c r="G64" i="2"/>
  <c r="F64" i="2"/>
  <c r="Q63" i="2"/>
  <c r="P63" i="2"/>
  <c r="O63" i="2"/>
  <c r="N63" i="2"/>
  <c r="M63" i="2"/>
  <c r="L63" i="2"/>
  <c r="K63" i="2"/>
  <c r="J63" i="2"/>
  <c r="I63" i="2"/>
  <c r="H63" i="2"/>
  <c r="G63" i="2"/>
  <c r="F63" i="2"/>
  <c r="Q62" i="2"/>
  <c r="P62" i="2"/>
  <c r="O62" i="2"/>
  <c r="N62" i="2"/>
  <c r="M62" i="2"/>
  <c r="L62" i="2"/>
  <c r="K62" i="2"/>
  <c r="J62" i="2"/>
  <c r="I62" i="2"/>
  <c r="H62" i="2"/>
  <c r="G62" i="2"/>
  <c r="F62" i="2"/>
  <c r="Q61" i="2"/>
  <c r="P61" i="2"/>
  <c r="O61" i="2"/>
  <c r="N61" i="2"/>
  <c r="M61" i="2"/>
  <c r="L61" i="2"/>
  <c r="K61" i="2"/>
  <c r="J61" i="2"/>
  <c r="I61" i="2"/>
  <c r="H61" i="2"/>
  <c r="G61" i="2"/>
  <c r="F61" i="2"/>
  <c r="Q60" i="2"/>
  <c r="P60" i="2"/>
  <c r="O60" i="2"/>
  <c r="N60" i="2"/>
  <c r="M60" i="2"/>
  <c r="L60" i="2"/>
  <c r="K60" i="2"/>
  <c r="J60" i="2"/>
  <c r="I60" i="2"/>
  <c r="H60" i="2"/>
  <c r="G60" i="2"/>
  <c r="F60" i="2"/>
  <c r="Q59" i="2"/>
  <c r="P59" i="2"/>
  <c r="O59" i="2"/>
  <c r="N59" i="2"/>
  <c r="M59" i="2"/>
  <c r="L59" i="2"/>
  <c r="K59" i="2"/>
  <c r="J59" i="2"/>
  <c r="I59" i="2"/>
  <c r="H59" i="2"/>
  <c r="G59" i="2"/>
  <c r="F59" i="2"/>
  <c r="Q58" i="2"/>
  <c r="P58" i="2"/>
  <c r="O58" i="2"/>
  <c r="N58" i="2"/>
  <c r="M58" i="2"/>
  <c r="L58" i="2"/>
  <c r="K58" i="2"/>
  <c r="J58" i="2"/>
  <c r="I58" i="2"/>
  <c r="H58" i="2"/>
  <c r="G58" i="2"/>
  <c r="F58" i="2"/>
  <c r="Q57" i="2"/>
  <c r="P57" i="2"/>
  <c r="O57" i="2"/>
  <c r="N57" i="2"/>
  <c r="M57" i="2"/>
  <c r="L57" i="2"/>
  <c r="K57" i="2"/>
  <c r="J57" i="2"/>
  <c r="I57" i="2"/>
  <c r="H57" i="2"/>
  <c r="G57" i="2"/>
  <c r="F57" i="2"/>
  <c r="Q56" i="2"/>
  <c r="P56" i="2"/>
  <c r="O56" i="2"/>
  <c r="N56" i="2"/>
  <c r="M56" i="2"/>
  <c r="L56" i="2"/>
  <c r="K56" i="2"/>
  <c r="J56" i="2"/>
  <c r="I56" i="2"/>
  <c r="H56" i="2"/>
  <c r="G56" i="2"/>
  <c r="F56" i="2"/>
  <c r="Q55" i="2"/>
  <c r="P55" i="2"/>
  <c r="O55" i="2"/>
  <c r="N55" i="2"/>
  <c r="M55" i="2"/>
  <c r="L55" i="2"/>
  <c r="K55" i="2"/>
  <c r="J55" i="2"/>
  <c r="I55" i="2"/>
  <c r="H55" i="2"/>
  <c r="G55" i="2"/>
  <c r="F55" i="2"/>
  <c r="Q54" i="2"/>
  <c r="P54" i="2"/>
  <c r="O54" i="2"/>
  <c r="N54" i="2"/>
  <c r="M54" i="2"/>
  <c r="L54" i="2"/>
  <c r="K54" i="2"/>
  <c r="J54" i="2"/>
  <c r="I54" i="2"/>
  <c r="H54" i="2"/>
  <c r="G54" i="2"/>
  <c r="F54" i="2"/>
  <c r="Q53" i="2"/>
  <c r="P53" i="2"/>
  <c r="O53" i="2"/>
  <c r="N53" i="2"/>
  <c r="M53" i="2"/>
  <c r="L53" i="2"/>
  <c r="K53" i="2"/>
  <c r="J53" i="2"/>
  <c r="I53" i="2"/>
  <c r="H53" i="2"/>
  <c r="G53" i="2"/>
  <c r="F53" i="2"/>
  <c r="Q52" i="2"/>
  <c r="P52" i="2"/>
  <c r="O52" i="2"/>
  <c r="N52" i="2"/>
  <c r="M52" i="2"/>
  <c r="L52" i="2"/>
  <c r="K52" i="2"/>
  <c r="J52" i="2"/>
  <c r="I52" i="2"/>
  <c r="H52" i="2"/>
  <c r="G52" i="2"/>
  <c r="F52" i="2"/>
  <c r="Q51" i="2"/>
  <c r="P51" i="2"/>
  <c r="O51" i="2"/>
  <c r="N51" i="2"/>
  <c r="M51" i="2"/>
  <c r="L51" i="2"/>
  <c r="K51" i="2"/>
  <c r="J51" i="2"/>
  <c r="I51" i="2"/>
  <c r="H51" i="2"/>
  <c r="G51" i="2"/>
  <c r="F51" i="2"/>
  <c r="Q50" i="2"/>
  <c r="P50" i="2"/>
  <c r="O50" i="2"/>
  <c r="N50" i="2"/>
  <c r="M50" i="2"/>
  <c r="L50" i="2"/>
  <c r="K50" i="2"/>
  <c r="J50" i="2"/>
  <c r="I50" i="2"/>
  <c r="H50" i="2"/>
  <c r="G50" i="2"/>
  <c r="F50" i="2"/>
  <c r="Q49" i="2"/>
  <c r="P49" i="2"/>
  <c r="O49" i="2"/>
  <c r="N49" i="2"/>
  <c r="M49" i="2"/>
  <c r="L49" i="2"/>
  <c r="K49" i="2"/>
  <c r="J49" i="2"/>
  <c r="I49" i="2"/>
  <c r="H49" i="2"/>
  <c r="G49" i="2"/>
  <c r="F49" i="2"/>
  <c r="Q48" i="2"/>
  <c r="P48" i="2"/>
  <c r="O48" i="2"/>
  <c r="N48" i="2"/>
  <c r="M48" i="2"/>
  <c r="L48" i="2"/>
  <c r="K48" i="2"/>
  <c r="J48" i="2"/>
  <c r="I48" i="2"/>
  <c r="H48" i="2"/>
  <c r="G48" i="2"/>
  <c r="F48" i="2"/>
  <c r="Q47" i="2"/>
  <c r="P47" i="2"/>
  <c r="O47" i="2"/>
  <c r="N47" i="2"/>
  <c r="M47" i="2"/>
  <c r="L47" i="2"/>
  <c r="K47" i="2"/>
  <c r="J47" i="2"/>
  <c r="I47" i="2"/>
  <c r="H47" i="2"/>
  <c r="G47" i="2"/>
  <c r="F47" i="2"/>
  <c r="Q46" i="2"/>
  <c r="P46" i="2"/>
  <c r="O46" i="2"/>
  <c r="N46" i="2"/>
  <c r="M46" i="2"/>
  <c r="L46" i="2"/>
  <c r="K46" i="2"/>
  <c r="J46" i="2"/>
  <c r="I46" i="2"/>
  <c r="H46" i="2"/>
  <c r="G46" i="2"/>
  <c r="F46" i="2"/>
  <c r="Q45" i="2"/>
  <c r="P45" i="2"/>
  <c r="O45" i="2"/>
  <c r="N45" i="2"/>
  <c r="M45" i="2"/>
  <c r="L45" i="2"/>
  <c r="K45" i="2"/>
  <c r="J45" i="2"/>
  <c r="I45" i="2"/>
  <c r="H45" i="2"/>
  <c r="G45" i="2"/>
  <c r="F45" i="2"/>
  <c r="Q44" i="2"/>
  <c r="P44" i="2"/>
  <c r="O44" i="2"/>
  <c r="N44" i="2"/>
  <c r="M44" i="2"/>
  <c r="L44" i="2"/>
  <c r="K44" i="2"/>
  <c r="J44" i="2"/>
  <c r="I44" i="2"/>
  <c r="H44" i="2"/>
  <c r="G44" i="2"/>
  <c r="F44" i="2"/>
  <c r="Q43" i="2"/>
  <c r="P43" i="2"/>
  <c r="O43" i="2"/>
  <c r="N43" i="2"/>
  <c r="M43" i="2"/>
  <c r="L43" i="2"/>
  <c r="K43" i="2"/>
  <c r="J43" i="2"/>
  <c r="I43" i="2"/>
  <c r="H43" i="2"/>
  <c r="G43" i="2"/>
  <c r="F43" i="2"/>
  <c r="Q42" i="2"/>
  <c r="P42" i="2"/>
  <c r="O42" i="2"/>
  <c r="N42" i="2"/>
  <c r="M42" i="2"/>
  <c r="L42" i="2"/>
  <c r="K42" i="2"/>
  <c r="J42" i="2"/>
  <c r="I42" i="2"/>
  <c r="H42" i="2"/>
  <c r="G42" i="2"/>
  <c r="F42" i="2"/>
  <c r="Q41" i="2"/>
  <c r="P41" i="2"/>
  <c r="O41" i="2"/>
  <c r="N41" i="2"/>
  <c r="M41" i="2"/>
  <c r="L41" i="2"/>
  <c r="K41" i="2"/>
  <c r="J41" i="2"/>
  <c r="I41" i="2"/>
  <c r="H41" i="2"/>
  <c r="G41" i="2"/>
  <c r="F41" i="2"/>
  <c r="Q40" i="2"/>
  <c r="P40" i="2"/>
  <c r="O40" i="2"/>
  <c r="N40" i="2"/>
  <c r="M40" i="2"/>
  <c r="L40" i="2"/>
  <c r="K40" i="2"/>
  <c r="J40" i="2"/>
  <c r="I40" i="2"/>
  <c r="H40" i="2"/>
  <c r="G40" i="2"/>
  <c r="F40" i="2"/>
  <c r="Q39" i="2"/>
  <c r="P39" i="2"/>
  <c r="O39" i="2"/>
  <c r="N39" i="2"/>
  <c r="M39" i="2"/>
  <c r="L39" i="2"/>
  <c r="K39" i="2"/>
  <c r="J39" i="2"/>
  <c r="I39" i="2"/>
  <c r="H39" i="2"/>
  <c r="G39" i="2"/>
  <c r="F39" i="2"/>
  <c r="Q38" i="2"/>
  <c r="P38" i="2"/>
  <c r="O38" i="2"/>
  <c r="N38" i="2"/>
  <c r="M38" i="2"/>
  <c r="L38" i="2"/>
  <c r="K38" i="2"/>
  <c r="J38" i="2"/>
  <c r="I38" i="2"/>
  <c r="H38" i="2"/>
  <c r="G38" i="2"/>
  <c r="F38" i="2"/>
  <c r="Q37" i="2"/>
  <c r="P37" i="2"/>
  <c r="O37" i="2"/>
  <c r="N37" i="2"/>
  <c r="M37" i="2"/>
  <c r="L37" i="2"/>
  <c r="K37" i="2"/>
  <c r="J37" i="2"/>
  <c r="I37" i="2"/>
  <c r="H37" i="2"/>
  <c r="G37" i="2"/>
  <c r="F37" i="2"/>
  <c r="Q36" i="2"/>
  <c r="P36" i="2"/>
  <c r="O36" i="2"/>
  <c r="N36" i="2"/>
  <c r="M36" i="2"/>
  <c r="L36" i="2"/>
  <c r="K36" i="2"/>
  <c r="J36" i="2"/>
  <c r="I36" i="2"/>
  <c r="H36" i="2"/>
  <c r="G36" i="2"/>
  <c r="F36" i="2"/>
  <c r="Q35" i="2"/>
  <c r="P35" i="2"/>
  <c r="O35" i="2"/>
  <c r="N35" i="2"/>
  <c r="M35" i="2"/>
  <c r="L35" i="2"/>
  <c r="K35" i="2"/>
  <c r="J35" i="2"/>
  <c r="I35" i="2"/>
  <c r="H35" i="2"/>
  <c r="G35" i="2"/>
  <c r="F35" i="2"/>
  <c r="Q34" i="2"/>
  <c r="P34" i="2"/>
  <c r="O34" i="2"/>
  <c r="N34" i="2"/>
  <c r="M34" i="2"/>
  <c r="L34" i="2"/>
  <c r="K34" i="2"/>
  <c r="J34" i="2"/>
  <c r="I34" i="2"/>
  <c r="H34" i="2"/>
  <c r="G34" i="2"/>
  <c r="F34" i="2"/>
  <c r="Q33" i="2"/>
  <c r="P33" i="2"/>
  <c r="O33" i="2"/>
  <c r="N33" i="2"/>
  <c r="M33" i="2"/>
  <c r="L33" i="2"/>
  <c r="K33" i="2"/>
  <c r="J33" i="2"/>
  <c r="I33" i="2"/>
  <c r="H33" i="2"/>
  <c r="G33" i="2"/>
  <c r="F33" i="2"/>
  <c r="Q32" i="2"/>
  <c r="P32" i="2"/>
  <c r="O32" i="2"/>
  <c r="N32" i="2"/>
  <c r="M32" i="2"/>
  <c r="L32" i="2"/>
  <c r="K32" i="2"/>
  <c r="J32" i="2"/>
  <c r="I32" i="2"/>
  <c r="H32" i="2"/>
  <c r="G32" i="2"/>
  <c r="F32" i="2"/>
  <c r="Q31" i="2"/>
  <c r="P31" i="2"/>
  <c r="O31" i="2"/>
  <c r="N31" i="2"/>
  <c r="M31" i="2"/>
  <c r="L31" i="2"/>
  <c r="K31" i="2"/>
  <c r="J31" i="2"/>
  <c r="I31" i="2"/>
  <c r="H31" i="2"/>
  <c r="G31" i="2"/>
  <c r="F31" i="2"/>
  <c r="Q30" i="2"/>
  <c r="P30" i="2"/>
  <c r="O30" i="2"/>
  <c r="N30" i="2"/>
  <c r="M30" i="2"/>
  <c r="L30" i="2"/>
  <c r="K30" i="2"/>
  <c r="J30" i="2"/>
  <c r="I30" i="2"/>
  <c r="H30" i="2"/>
  <c r="G30" i="2"/>
  <c r="F30" i="2"/>
  <c r="Q29" i="2"/>
  <c r="P29" i="2"/>
  <c r="O29" i="2"/>
  <c r="N29" i="2"/>
  <c r="M29" i="2"/>
  <c r="L29" i="2"/>
  <c r="K29" i="2"/>
  <c r="J29" i="2"/>
  <c r="I29" i="2"/>
  <c r="H29" i="2"/>
  <c r="G29" i="2"/>
  <c r="F29" i="2"/>
  <c r="Q28" i="2"/>
  <c r="P28" i="2"/>
  <c r="O28" i="2"/>
  <c r="N28" i="2"/>
  <c r="M28" i="2"/>
  <c r="L28" i="2"/>
  <c r="K28" i="2"/>
  <c r="J28" i="2"/>
  <c r="I28" i="2"/>
  <c r="H28" i="2"/>
  <c r="G28" i="2"/>
  <c r="F28" i="2"/>
  <c r="Q27" i="2"/>
  <c r="P27" i="2"/>
  <c r="O27" i="2"/>
  <c r="N27" i="2"/>
  <c r="M27" i="2"/>
  <c r="L27" i="2"/>
  <c r="K27" i="2"/>
  <c r="J27" i="2"/>
  <c r="I27" i="2"/>
  <c r="H27" i="2"/>
  <c r="G27" i="2"/>
  <c r="F27" i="2"/>
  <c r="Q26" i="2"/>
  <c r="P26" i="2"/>
  <c r="O26" i="2"/>
  <c r="N26" i="2"/>
  <c r="M26" i="2"/>
  <c r="L26" i="2"/>
  <c r="K26" i="2"/>
  <c r="J26" i="2"/>
  <c r="I26" i="2"/>
  <c r="H26" i="2"/>
  <c r="G26" i="2"/>
  <c r="F26" i="2"/>
  <c r="Q25" i="2"/>
  <c r="P25" i="2"/>
  <c r="O25" i="2"/>
  <c r="N25" i="2"/>
  <c r="M25" i="2"/>
  <c r="L25" i="2"/>
  <c r="K25" i="2"/>
  <c r="J25" i="2"/>
  <c r="I25" i="2"/>
  <c r="H25" i="2"/>
  <c r="G25" i="2"/>
  <c r="F25" i="2"/>
  <c r="Q24" i="2"/>
  <c r="P24" i="2"/>
  <c r="O24" i="2"/>
  <c r="N24" i="2"/>
  <c r="M24" i="2"/>
  <c r="L24" i="2"/>
  <c r="K24" i="2"/>
  <c r="J24" i="2"/>
  <c r="I24" i="2"/>
  <c r="H24" i="2"/>
  <c r="G24" i="2"/>
  <c r="F24" i="2"/>
  <c r="Q23" i="2"/>
  <c r="P23" i="2"/>
  <c r="O23" i="2"/>
  <c r="N23" i="2"/>
  <c r="M23" i="2"/>
  <c r="L23" i="2"/>
  <c r="K23" i="2"/>
  <c r="J23" i="2"/>
  <c r="I23" i="2"/>
  <c r="H23" i="2"/>
  <c r="G23" i="2"/>
  <c r="F23" i="2"/>
  <c r="Q22" i="2"/>
  <c r="P22" i="2"/>
  <c r="O22" i="2"/>
  <c r="N22" i="2"/>
  <c r="M22" i="2"/>
  <c r="L22" i="2"/>
  <c r="K22" i="2"/>
  <c r="J22" i="2"/>
  <c r="I22" i="2"/>
  <c r="H22" i="2"/>
  <c r="G22" i="2"/>
  <c r="F22" i="2"/>
  <c r="Q21" i="2"/>
  <c r="P21" i="2"/>
  <c r="O21" i="2"/>
  <c r="N21" i="2"/>
  <c r="M21" i="2"/>
  <c r="L21" i="2"/>
  <c r="K21" i="2"/>
  <c r="J21" i="2"/>
  <c r="I21" i="2"/>
  <c r="H21" i="2"/>
  <c r="G21" i="2"/>
  <c r="F21" i="2"/>
  <c r="Q20" i="2"/>
  <c r="P20" i="2"/>
  <c r="O20" i="2"/>
  <c r="N20" i="2"/>
  <c r="M20" i="2"/>
  <c r="L20" i="2"/>
  <c r="K20" i="2"/>
  <c r="J20" i="2"/>
  <c r="I20" i="2"/>
  <c r="H20" i="2"/>
  <c r="G20" i="2"/>
  <c r="F20" i="2"/>
  <c r="Q19" i="2"/>
  <c r="P19" i="2"/>
  <c r="O19" i="2"/>
  <c r="N19" i="2"/>
  <c r="M19" i="2"/>
  <c r="L19" i="2"/>
  <c r="K19" i="2"/>
  <c r="J19" i="2"/>
  <c r="I19" i="2"/>
  <c r="H19" i="2"/>
  <c r="G19" i="2"/>
  <c r="F19" i="2"/>
  <c r="Q18" i="2"/>
  <c r="P18" i="2"/>
  <c r="O18" i="2"/>
  <c r="N18" i="2"/>
  <c r="M18" i="2"/>
  <c r="L18" i="2"/>
  <c r="K18" i="2"/>
  <c r="J18" i="2"/>
  <c r="I18" i="2"/>
  <c r="H18" i="2"/>
  <c r="G18" i="2"/>
  <c r="F18" i="2"/>
  <c r="Q17" i="2"/>
  <c r="P17" i="2"/>
  <c r="O17" i="2"/>
  <c r="N17" i="2"/>
  <c r="M17" i="2"/>
  <c r="L17" i="2"/>
  <c r="K17" i="2"/>
  <c r="J17" i="2"/>
  <c r="I17" i="2"/>
  <c r="H17" i="2"/>
  <c r="G17" i="2"/>
  <c r="F17" i="2"/>
  <c r="Q16" i="2"/>
  <c r="P16" i="2"/>
  <c r="O16" i="2"/>
  <c r="N16" i="2"/>
  <c r="M16" i="2"/>
  <c r="L16" i="2"/>
  <c r="K16" i="2"/>
  <c r="J16" i="2"/>
  <c r="I16" i="2"/>
  <c r="H16" i="2"/>
  <c r="G16" i="2"/>
  <c r="F16" i="2"/>
  <c r="Q15" i="2"/>
  <c r="P15" i="2"/>
  <c r="O15" i="2"/>
  <c r="N15" i="2"/>
  <c r="M15" i="2"/>
  <c r="L15" i="2"/>
  <c r="K15" i="2"/>
  <c r="J15" i="2"/>
  <c r="I15" i="2"/>
  <c r="H15" i="2"/>
  <c r="G15" i="2"/>
  <c r="F15" i="2"/>
  <c r="Q14" i="2"/>
  <c r="P14" i="2"/>
  <c r="O14" i="2"/>
  <c r="N14" i="2"/>
  <c r="M14" i="2"/>
  <c r="L14" i="2"/>
  <c r="K14" i="2"/>
  <c r="J14" i="2"/>
  <c r="I14" i="2"/>
  <c r="H14" i="2"/>
  <c r="G14" i="2"/>
  <c r="F14" i="2"/>
  <c r="Q13" i="2"/>
  <c r="P13" i="2"/>
  <c r="O13" i="2"/>
  <c r="N13" i="2"/>
  <c r="M13" i="2"/>
  <c r="L13" i="2"/>
  <c r="K13" i="2"/>
  <c r="J13" i="2"/>
  <c r="I13" i="2"/>
  <c r="H13" i="2"/>
  <c r="G13" i="2"/>
  <c r="F13" i="2"/>
  <c r="Q12" i="2"/>
  <c r="P12" i="2"/>
  <c r="O12" i="2"/>
  <c r="N12" i="2"/>
  <c r="M12" i="2"/>
  <c r="L12" i="2"/>
  <c r="K12" i="2"/>
  <c r="J12" i="2"/>
  <c r="I12" i="2"/>
  <c r="H12" i="2"/>
  <c r="G12" i="2"/>
  <c r="F12" i="2"/>
  <c r="Q11" i="2"/>
  <c r="P11" i="2"/>
  <c r="O11" i="2"/>
  <c r="N11" i="2"/>
  <c r="M11" i="2"/>
  <c r="L11" i="2"/>
  <c r="K11" i="2"/>
  <c r="J11" i="2"/>
  <c r="I11" i="2"/>
  <c r="H11" i="2"/>
  <c r="G11" i="2"/>
  <c r="F11" i="2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14" i="1"/>
  <c r="R15" i="1"/>
  <c r="C7" i="2"/>
  <c r="R12" i="1"/>
  <c r="R13" i="1"/>
  <c r="R11" i="1"/>
  <c r="C6" i="2"/>
  <c r="C4" i="2"/>
  <c r="C5" i="2"/>
  <c r="C3" i="2"/>
  <c r="C2" i="2"/>
  <c r="C1" i="2"/>
</calcChain>
</file>

<file path=xl/sharedStrings.xml><?xml version="1.0" encoding="utf-8"?>
<sst xmlns="http://schemas.openxmlformats.org/spreadsheetml/2006/main" count="3671" uniqueCount="301">
  <si>
    <t>CUBE:</t>
  </si>
  <si>
    <t>Currency</t>
  </si>
  <si>
    <t>Gaap</t>
  </si>
  <si>
    <t>Integration_Rate</t>
  </si>
  <si>
    <t>Matricules</t>
  </si>
  <si>
    <t>Legal_Organization_Corp</t>
  </si>
  <si>
    <t>Phase</t>
  </si>
  <si>
    <t>CS7530</t>
  </si>
  <si>
    <t>PL1110_DS_10</t>
  </si>
  <si>
    <t>CS7675</t>
  </si>
  <si>
    <t>CSU1050</t>
  </si>
  <si>
    <t>PL1210_BD</t>
  </si>
  <si>
    <t>PL1215_BD_70_507002</t>
  </si>
  <si>
    <t>PL1215_BD_99_6112</t>
  </si>
  <si>
    <t>CS7000</t>
  </si>
  <si>
    <t>CSUS2013</t>
  </si>
  <si>
    <t>PL1215_BD_75_cons</t>
  </si>
  <si>
    <t>FS7574</t>
  </si>
  <si>
    <t>PL1310_GM_10</t>
  </si>
  <si>
    <t>PL1315_GM_70_507002</t>
  </si>
  <si>
    <t>PL1315_GM_75_cons</t>
  </si>
  <si>
    <t>PL1315_GM_99_6112</t>
  </si>
  <si>
    <t>PL1315_GM_99_assist_ext</t>
  </si>
  <si>
    <t>PL1310_IA_10</t>
  </si>
  <si>
    <t>PL1315_IA_70_507002</t>
  </si>
  <si>
    <t>PL1315_IA_99_6112</t>
  </si>
  <si>
    <t>PL1310_FI_10</t>
  </si>
  <si>
    <t>PL1315_FI_70_5070</t>
  </si>
  <si>
    <t>PL1315_FI_70_507002</t>
  </si>
  <si>
    <t>PL1315_FI_75_cons</t>
  </si>
  <si>
    <t>PL1315_FI_99_6112</t>
  </si>
  <si>
    <t>CSU955</t>
  </si>
  <si>
    <t>PL1310_IT_10</t>
  </si>
  <si>
    <t>PL1315_IT_70_507002</t>
  </si>
  <si>
    <t>PL1315_IT_75_cons</t>
  </si>
  <si>
    <t>PL1315_IT_99_6112</t>
  </si>
  <si>
    <t>PL1310_CO_10</t>
  </si>
  <si>
    <t>PL1315_CO_70_507002</t>
  </si>
  <si>
    <t>PL1315_CO_75_cons</t>
  </si>
  <si>
    <t>PL1315_CO_99_6112</t>
  </si>
  <si>
    <t>PL1310_RM_10</t>
  </si>
  <si>
    <t>PL1315_RM_70_507002</t>
  </si>
  <si>
    <t>PL1315_RM_75_cons</t>
  </si>
  <si>
    <t>PL1315_RM_99_6112</t>
  </si>
  <si>
    <t>CS7574</t>
  </si>
  <si>
    <t>PL1310_GS_10</t>
  </si>
  <si>
    <t>PL1315_GS_75_cons</t>
  </si>
  <si>
    <t>PL1315_GS_99_601</t>
  </si>
  <si>
    <t>PL1315_GS_99_6112</t>
  </si>
  <si>
    <t>PL1315_GS_99_fr_post</t>
  </si>
  <si>
    <t>PL1315_GS_99_loc_entr</t>
  </si>
  <si>
    <t>PL1310_HR_10</t>
  </si>
  <si>
    <t>PL1315_HR_70_507002</t>
  </si>
  <si>
    <t>PL1315_HR_75_cons</t>
  </si>
  <si>
    <t>PL1315_HR_99_6112</t>
  </si>
  <si>
    <t>PL1315_HR_99_6280</t>
  </si>
  <si>
    <t>PL1310_LE_10</t>
  </si>
  <si>
    <t>PL1315_LE_70_507002</t>
  </si>
  <si>
    <t>PL1315_LE_75_cons</t>
  </si>
  <si>
    <t>PL1315_LE_99_6112</t>
  </si>
  <si>
    <t>PL1310_RD_10</t>
  </si>
  <si>
    <t>PL1315_RD_70_507002</t>
  </si>
  <si>
    <t>PL1315_RD_75_cons</t>
  </si>
  <si>
    <t>PL1315_RD_99_6112</t>
  </si>
  <si>
    <t>PL1340_GM_autres</t>
  </si>
  <si>
    <t>CS7717</t>
  </si>
  <si>
    <t>PL1315_GS_99_6241</t>
  </si>
  <si>
    <t>PL1315_GM_99_6241</t>
  </si>
  <si>
    <t>PL1315_GM_99_6239</t>
  </si>
  <si>
    <t>CS7536</t>
  </si>
  <si>
    <t>CSI342</t>
  </si>
  <si>
    <t>CSUS2066B</t>
  </si>
  <si>
    <t>PL1315_GS_99_602</t>
  </si>
  <si>
    <t>PL1315_GS_99_assist_ext</t>
  </si>
  <si>
    <t>CSI793</t>
  </si>
  <si>
    <t>CSU586</t>
  </si>
  <si>
    <t>CS7599</t>
  </si>
  <si>
    <t>FS7000</t>
  </si>
  <si>
    <t>TANGO</t>
  </si>
  <si>
    <t>PL1315_IA_75_cons</t>
  </si>
  <si>
    <t>PL1315_FI_75_abo</t>
  </si>
  <si>
    <t>PL1240_BD</t>
  </si>
  <si>
    <t>PL1315_GS_99_6278</t>
  </si>
  <si>
    <t>Centre</t>
  </si>
  <si>
    <t>Ligne budg</t>
  </si>
  <si>
    <t>Projet</t>
  </si>
  <si>
    <t>Tiers</t>
  </si>
  <si>
    <t>PL1315_GS_70_507002</t>
  </si>
  <si>
    <t>RS France</t>
  </si>
  <si>
    <t>RS Europe</t>
  </si>
  <si>
    <t>RS Groupe</t>
  </si>
  <si>
    <t>PL1316_IT_99_5075</t>
  </si>
  <si>
    <t>PL1355_IT_05_2010</t>
  </si>
  <si>
    <t>PL1315_IT_99_5061</t>
  </si>
  <si>
    <t>FONDATION</t>
  </si>
  <si>
    <t>PL1316_GM_99_5075</t>
  </si>
  <si>
    <t>PL1356_MF_2060</t>
  </si>
  <si>
    <t>CSU976</t>
  </si>
  <si>
    <t>CSU771</t>
  </si>
  <si>
    <t>PL1355_GM_05_2010</t>
  </si>
  <si>
    <t>PL1355_GM_05_2040</t>
  </si>
  <si>
    <t>PL1316_IA_99_5075</t>
  </si>
  <si>
    <t>VECTOR</t>
  </si>
  <si>
    <t>NORMES</t>
  </si>
  <si>
    <t>PL1316_FI_99_5075</t>
  </si>
  <si>
    <t>PL1355_FI_05_2010</t>
  </si>
  <si>
    <t>CAC</t>
  </si>
  <si>
    <t>PL1316_RM_99_5075</t>
  </si>
  <si>
    <t>PL1316_GS_99_5075</t>
  </si>
  <si>
    <t>PL1216_BD_99_5075</t>
  </si>
  <si>
    <t>PL1316_HR_99_5075</t>
  </si>
  <si>
    <t>PL1355_HR_05_2010</t>
  </si>
  <si>
    <t>PL1355_HR_05_2040</t>
  </si>
  <si>
    <t>PL1316_CO_99_5075</t>
  </si>
  <si>
    <t>PL1355_CO_05_2010</t>
  </si>
  <si>
    <t>PL1355_RM_05_2010</t>
  </si>
  <si>
    <t>PL1355_RM_05_2040</t>
  </si>
  <si>
    <t>PL1316_LE_99_5075</t>
  </si>
  <si>
    <t>PL1355_LE_05_2040</t>
  </si>
  <si>
    <t>FS7911</t>
  </si>
  <si>
    <t>FDS II</t>
  </si>
  <si>
    <t>GENIUS</t>
  </si>
  <si>
    <t>MOVE</t>
  </si>
  <si>
    <t>JESI</t>
  </si>
  <si>
    <t>PL1316_RD_99_5075</t>
  </si>
  <si>
    <t>PL1006_RC_2001</t>
  </si>
  <si>
    <t>PL1316_GS_99_loc_bat</t>
  </si>
  <si>
    <t>PL1155_DS_99_2040</t>
  </si>
  <si>
    <t>SU9999</t>
  </si>
  <si>
    <t>COGNOS</t>
  </si>
  <si>
    <t>FS7530</t>
  </si>
  <si>
    <t>PL1315_FI_99_loc_entr</t>
  </si>
  <si>
    <t>PPM</t>
  </si>
  <si>
    <t>HASTUS</t>
  </si>
  <si>
    <t>CS7801</t>
  </si>
  <si>
    <t>PL1315_GM_99_loc_entr</t>
  </si>
  <si>
    <t>CSU765</t>
  </si>
  <si>
    <t>CS2000</t>
  </si>
  <si>
    <t>CRYSTAL</t>
  </si>
  <si>
    <t>CSI764</t>
  </si>
  <si>
    <t>CSU3018</t>
  </si>
  <si>
    <t>CSU3024</t>
  </si>
  <si>
    <t>FSU586</t>
  </si>
  <si>
    <t>PL1315_GM_99_6274</t>
  </si>
  <si>
    <t>PL1350_GM</t>
  </si>
  <si>
    <t>CLEAR</t>
  </si>
  <si>
    <t>PL1315_FI_99_assist_ext</t>
  </si>
  <si>
    <t>ENABLON</t>
  </si>
  <si>
    <t>LEGALSUITE</t>
  </si>
  <si>
    <t>RODEO</t>
  </si>
  <si>
    <t>PL1315_GS_70_5070</t>
  </si>
  <si>
    <t>VISUAL SCOPE</t>
  </si>
  <si>
    <t>CSI145</t>
  </si>
  <si>
    <t>FA00174-75007</t>
  </si>
  <si>
    <t>F110264-92270</t>
  </si>
  <si>
    <t>F114660-75014</t>
  </si>
  <si>
    <t>CHANGSHA</t>
  </si>
  <si>
    <t>F114952-92210</t>
  </si>
  <si>
    <t>F103751-69006</t>
  </si>
  <si>
    <t>FA01668-69007</t>
  </si>
  <si>
    <t>F118750-57000</t>
  </si>
  <si>
    <t>FA07840-92210</t>
  </si>
  <si>
    <t>PL1315_FI_99_5061</t>
  </si>
  <si>
    <t>FSU4461</t>
  </si>
  <si>
    <t>PL1316_GM_99_loc_appart</t>
  </si>
  <si>
    <t>F301463-92400</t>
  </si>
  <si>
    <t>PL1315_GM_99_5075</t>
  </si>
  <si>
    <t>PL1215_BD_99_5075</t>
  </si>
  <si>
    <t>F400030-69800</t>
  </si>
  <si>
    <t>PL1315_GM_99_5061</t>
  </si>
  <si>
    <t>GFCS</t>
  </si>
  <si>
    <t>PL1315_IT_99_601</t>
  </si>
  <si>
    <t>RBS</t>
  </si>
  <si>
    <t>CONTENU</t>
  </si>
  <si>
    <t>PL1315_HR_70_5070</t>
  </si>
  <si>
    <t>F104220-69450</t>
  </si>
  <si>
    <t>FP01780-75116</t>
  </si>
  <si>
    <t>PL1215_BD_99_loc_entr</t>
  </si>
  <si>
    <t>TOD</t>
  </si>
  <si>
    <t>MAAS</t>
  </si>
  <si>
    <t>EUROLINES</t>
  </si>
  <si>
    <t>PL1315_FI_20</t>
  </si>
  <si>
    <t>FA04587-75008</t>
  </si>
  <si>
    <t>PL1355_CO_05_2040</t>
  </si>
  <si>
    <t>PL1315_HR_99_5061</t>
  </si>
  <si>
    <t>SIRH</t>
  </si>
  <si>
    <t>CRM B2G</t>
  </si>
  <si>
    <t>2020.01</t>
  </si>
  <si>
    <t>2020.02</t>
  </si>
  <si>
    <t>2020.03</t>
  </si>
  <si>
    <t>2020.04</t>
  </si>
  <si>
    <t>2020.05</t>
  </si>
  <si>
    <t>2020.06</t>
  </si>
  <si>
    <t>2020.07</t>
  </si>
  <si>
    <t>2020.08</t>
  </si>
  <si>
    <t>2020.09</t>
  </si>
  <si>
    <t>2020.10</t>
  </si>
  <si>
    <t>2020.11</t>
  </si>
  <si>
    <t>2020.12</t>
  </si>
  <si>
    <t>FONCTIONNEMENT</t>
  </si>
  <si>
    <t>CSI217</t>
  </si>
  <si>
    <t>CSI517</t>
  </si>
  <si>
    <t>CSU045</t>
  </si>
  <si>
    <t>REDEVANCE MARQUE</t>
  </si>
  <si>
    <t>CSU4207</t>
  </si>
  <si>
    <t>MOBILITE DRH INTERNATIONALE</t>
  </si>
  <si>
    <t>Projet SECURITE</t>
  </si>
  <si>
    <t>Autres evenementiel</t>
  </si>
  <si>
    <t>CONTROLE INTERNE</t>
  </si>
  <si>
    <t>FISCALITE</t>
  </si>
  <si>
    <t>Projet TEO</t>
  </si>
  <si>
    <t>Autres Digital</t>
  </si>
  <si>
    <t>CULTURE INTERNE</t>
  </si>
  <si>
    <t>PARTENARIAT</t>
  </si>
  <si>
    <t>RELATION PRESSE</t>
  </si>
  <si>
    <t>ASSURANCES DOMMAGES</t>
  </si>
  <si>
    <t>CYBER RISK</t>
  </si>
  <si>
    <t>RCG</t>
  </si>
  <si>
    <t>WEBRISK</t>
  </si>
  <si>
    <t>PL1315_RM_99_assu</t>
  </si>
  <si>
    <t>ASSURANCE VEHICULE FONCTION</t>
  </si>
  <si>
    <t>RCMS</t>
  </si>
  <si>
    <t>F600681-75116</t>
  </si>
  <si>
    <t>COUT DETOURAGE VE ACHAT</t>
  </si>
  <si>
    <t>RECRUTEMENT MOBILITE</t>
  </si>
  <si>
    <t>FORMATION</t>
  </si>
  <si>
    <t>DEVELOPPEMENT RH</t>
  </si>
  <si>
    <t>EPARGNE</t>
  </si>
  <si>
    <t>IMMEUBLE SEREINIS</t>
  </si>
  <si>
    <t>IMMEUBLE GALAXI</t>
  </si>
  <si>
    <t>CCO</t>
  </si>
  <si>
    <t>CSTO - Achats</t>
  </si>
  <si>
    <t>CSTO - Bid Performance and Support</t>
  </si>
  <si>
    <t>CSTO - Clients &amp; TOD</t>
  </si>
  <si>
    <t>CSTO - CTO &amp; Digital</t>
  </si>
  <si>
    <t>CSTO - Data Science &amp; Revenue Risk</t>
  </si>
  <si>
    <t>CSTO - Direction et administration</t>
  </si>
  <si>
    <t>CSTO - Innovation</t>
  </si>
  <si>
    <t>CSTO - MaaS</t>
  </si>
  <si>
    <t>CSTO - Performance</t>
  </si>
  <si>
    <t>CSTO - Sécurité</t>
  </si>
  <si>
    <t>CSTO - Stratégie, Enviro &amp; Change</t>
  </si>
  <si>
    <t>CSTO - Technique &amp; Opérations</t>
  </si>
  <si>
    <t>DAF - Comptabilité - Contrôle de Gestion</t>
  </si>
  <si>
    <t>DAF - Consolidation</t>
  </si>
  <si>
    <t>DAF - Core System</t>
  </si>
  <si>
    <t>DAF - Direction Financière et administration</t>
  </si>
  <si>
    <t>DAF - Projets</t>
  </si>
  <si>
    <t>DAF - Trésorerie</t>
  </si>
  <si>
    <t>DG - Direction de l'Audit Interne</t>
  </si>
  <si>
    <t>DG - Direction Générale</t>
  </si>
  <si>
    <t>DG - Projets internationaux</t>
  </si>
  <si>
    <t>Direction Internationale</t>
  </si>
  <si>
    <t>DJ - Appels d'offres et relations institutionnelles</t>
  </si>
  <si>
    <t>DJ - Corporate, Gouvernance, PI</t>
  </si>
  <si>
    <t>DJ - Direction et Achats, contrats métiers</t>
  </si>
  <si>
    <t>DJ - Pôle international</t>
  </si>
  <si>
    <t>DJ - Vie des sociétés et immobilier</t>
  </si>
  <si>
    <t>DP - Northen And Central Europe &amp; Performance</t>
  </si>
  <si>
    <t>DP - Performance</t>
  </si>
  <si>
    <t>DP - Task Force</t>
  </si>
  <si>
    <t>DRH - Comp &amp; Ben</t>
  </si>
  <si>
    <t>DRH - CRS RSE</t>
  </si>
  <si>
    <t>DRH - Gestion directeurs Pôles et Département</t>
  </si>
  <si>
    <t>DRH - Learning</t>
  </si>
  <si>
    <t>DRH - Performance RH</t>
  </si>
  <si>
    <t>DRH - Recrutements</t>
  </si>
  <si>
    <t>DRH - Relations Sociales</t>
  </si>
  <si>
    <t>DRH - Relations sociales délégués</t>
  </si>
  <si>
    <t>DRH - Services Généraux</t>
  </si>
  <si>
    <t>DRH - Talents Groupe</t>
  </si>
  <si>
    <t>DRH Groupe - Direction</t>
  </si>
  <si>
    <t>DRH Siège - Direction</t>
  </si>
  <si>
    <t>DRH Siège - Gestion Admin paie</t>
  </si>
  <si>
    <t>DSI - Core System</t>
  </si>
  <si>
    <t>DSI - Direction Etude</t>
  </si>
  <si>
    <t>DSI - Direction informatique et administration</t>
  </si>
  <si>
    <t>DSI - Direction technique</t>
  </si>
  <si>
    <t>DSI - Gestion</t>
  </si>
  <si>
    <t>DSI - Opérations France</t>
  </si>
  <si>
    <t>Holding - Bureautique, téléphonie</t>
  </si>
  <si>
    <t>Holding - Coûts non récurrents</t>
  </si>
  <si>
    <t>Holding - Immeuble Crystal</t>
  </si>
  <si>
    <t>Holding - Immeuble Lyon</t>
  </si>
  <si>
    <t>Holding - Immeuble Serenis</t>
  </si>
  <si>
    <t>Holding - Impôts et Taxes et autres dépenses sièges</t>
  </si>
  <si>
    <t>F0RESI095</t>
  </si>
  <si>
    <t>Holding - Personnel en Instance d'affectation</t>
  </si>
  <si>
    <t>Holding - PMAD France</t>
  </si>
  <si>
    <t>Holding - PMAD GIE Formation</t>
  </si>
  <si>
    <t>Holding - PMAD International Autres pays</t>
  </si>
  <si>
    <t>Holding - PMAD T BIS</t>
  </si>
  <si>
    <t>Holding - Redevance Mgmt Fees</t>
  </si>
  <si>
    <t>SG - Assurances</t>
  </si>
  <si>
    <t>SG - Autres SG</t>
  </si>
  <si>
    <t>SG - Communication</t>
  </si>
  <si>
    <t>SG - Gestion du risque et comité d'engagement</t>
  </si>
  <si>
    <t>SG - Relations institutionnelles</t>
  </si>
  <si>
    <t>SG - Secrétariat Général et Administration</t>
  </si>
  <si>
    <t>SG - Sureté</t>
  </si>
  <si>
    <t>Save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</si>
</sst>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152400</xdr:rowOff>
    </xdr:from>
    <xdr:to>
      <xdr:col>9</xdr:col>
      <xdr:colOff>85725</xdr:colOff>
      <xdr:row>4</xdr:row>
      <xdr:rowOff>104775</xdr:rowOff>
    </xdr:to>
    <xdr:sp macro="[0]!Feuil1.SendData" textlink="">
      <xdr:nvSpPr>
        <xdr:cNvPr id="2" name="Rectangle à coins arrondis 1"/>
        <xdr:cNvSpPr/>
      </xdr:nvSpPr>
      <xdr:spPr>
        <a:xfrm>
          <a:off x="6496050" y="152400"/>
          <a:ext cx="2143125" cy="714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solidFill>
                <a:schemeClr val="bg1"/>
              </a:solidFill>
            </a:rPr>
            <a:t>Save</a:t>
          </a:r>
          <a:r>
            <a:rPr lang="en-US" sz="2800" b="1" baseline="0">
              <a:solidFill>
                <a:schemeClr val="bg1"/>
              </a:solidFill>
            </a:rPr>
            <a:t> Data</a:t>
          </a:r>
          <a:endParaRPr lang="en-US" sz="28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R463"/>
  <sheetViews>
    <sheetView tabSelected="1" zoomScaleNormal="100" workbookViewId="0">
      <selection activeCell="D7" sqref="D7"/>
    </sheetView>
  </sheetViews>
  <sheetFormatPr baseColWidth="10" defaultRowHeight="15" x14ac:dyDescent="0.25"/>
  <cols>
    <col min="2" max="2" width="23.28515625" bestFit="1" customWidth="1"/>
    <col min="3" max="3" width="25.5703125" customWidth="1"/>
    <col min="4" max="4" width="8.42578125" bestFit="1" customWidth="1"/>
    <col min="5" max="5" width="13.5703125" bestFit="1" customWidth="1"/>
    <col min="6" max="6" width="11.42578125" customWidth="1"/>
    <col min="8" max="16" width="11.5703125" bestFit="1" customWidth="1"/>
    <col min="17" max="17" width="12.140625" bestFit="1" customWidth="1"/>
    <col min="18" max="18" width="12" bestFit="1" customWidth="1"/>
  </cols>
  <sheetData>
    <row r="1" spans="1:18" x14ac:dyDescent="0.25">
      <c r="A1">
        <v>0</v>
      </c>
      <c r="B1" t="s">
        <v>0</v>
      </c>
      <c r="C1" t="str">
        <f ca="1">_xll.VIEW("tango_core_model:RP_PL_Corp",$C$2,$C$3,$C$4,"!",$C$5,$C$6,"!","!","!",$C$7,"!")</f>
        <v>tango_core_model:RP_PL_Corp</v>
      </c>
    </row>
    <row r="2" spans="1:18" x14ac:dyDescent="0.25">
      <c r="B2" s="1" t="s">
        <v>1</v>
      </c>
      <c r="C2" t="str">
        <f ca="1">_xll.SUBNM("tango_core_model:Currency","","LCL")</f>
        <v>LCL</v>
      </c>
    </row>
    <row r="3" spans="1:18" x14ac:dyDescent="0.25">
      <c r="B3" s="1" t="s">
        <v>2</v>
      </c>
      <c r="C3" t="str">
        <f ca="1">_xll.SUBNM("tango_core_model:Gaap","","Local_Gaap_Mgmt_tool")</f>
        <v>Local_Gaap_Mgmt_tool</v>
      </c>
      <c r="H3" t="s">
        <v>300</v>
      </c>
    </row>
    <row r="4" spans="1:18" x14ac:dyDescent="0.25">
      <c r="B4" s="1" t="s">
        <v>3</v>
      </c>
      <c r="C4" t="str">
        <f ca="1">_xll.SUBNM("tango_core_model:Integration_Rate","","NO_APP")</f>
        <v>NO_APP</v>
      </c>
    </row>
    <row r="5" spans="1:18" x14ac:dyDescent="0.25">
      <c r="B5" s="1" t="s">
        <v>4</v>
      </c>
      <c r="C5" t="str">
        <f ca="1">_xll.SUBNM("tango_core_model:Matricules","","NA")</f>
        <v>NA</v>
      </c>
    </row>
    <row r="6" spans="1:18" x14ac:dyDescent="0.25">
      <c r="B6" s="1" t="s">
        <v>5</v>
      </c>
      <c r="C6" t="str">
        <f ca="1">_xll.SUBNM("tango_core_model:Legal_Organization_Corp","","SH001")</f>
        <v>SH001</v>
      </c>
    </row>
    <row r="7" spans="1:18" x14ac:dyDescent="0.25">
      <c r="B7" s="1" t="s">
        <v>6</v>
      </c>
      <c r="C7" t="str">
        <f ca="1">_xll.SUBNM("tango_core_model:Phase","Phases_Holding","MAN_BUDG")</f>
        <v>MAN_BUDG</v>
      </c>
    </row>
    <row r="10" spans="1:18" x14ac:dyDescent="0.25">
      <c r="B10" s="1" t="s">
        <v>83</v>
      </c>
      <c r="C10" t="s">
        <v>84</v>
      </c>
      <c r="D10" t="s">
        <v>85</v>
      </c>
      <c r="E10" t="s">
        <v>86</v>
      </c>
      <c r="F10" t="s">
        <v>187</v>
      </c>
      <c r="G10" t="s">
        <v>188</v>
      </c>
      <c r="H10" t="s">
        <v>189</v>
      </c>
      <c r="I10" t="s">
        <v>190</v>
      </c>
      <c r="J10" t="s">
        <v>191</v>
      </c>
      <c r="K10" t="s">
        <v>192</v>
      </c>
      <c r="L10" t="s">
        <v>193</v>
      </c>
      <c r="M10" t="s">
        <v>194</v>
      </c>
      <c r="N10" t="s">
        <v>195</v>
      </c>
      <c r="O10" t="s">
        <v>196</v>
      </c>
      <c r="P10" t="s">
        <v>197</v>
      </c>
      <c r="Q10" t="s">
        <v>198</v>
      </c>
    </row>
    <row r="11" spans="1:18" x14ac:dyDescent="0.25">
      <c r="B11" s="3" t="s">
        <v>230</v>
      </c>
      <c r="C11" t="s">
        <v>11</v>
      </c>
      <c r="D11" t="s">
        <v>199</v>
      </c>
      <c r="E11" t="s">
        <v>128</v>
      </c>
      <c r="F11" s="2">
        <v>-71907.534166666665</v>
      </c>
      <c r="G11" s="2">
        <v>-71907.534166666665</v>
      </c>
      <c r="H11" s="2">
        <v>-71907.534166666665</v>
      </c>
      <c r="I11" s="2">
        <v>-71907.534166666665</v>
      </c>
      <c r="J11" s="2">
        <v>-71907.534166666665</v>
      </c>
      <c r="K11" s="2">
        <v>-71907.534166666665</v>
      </c>
      <c r="L11" s="2">
        <v>-71907.534166666665</v>
      </c>
      <c r="M11" s="2">
        <v>-71907.534166666665</v>
      </c>
      <c r="N11" s="2">
        <v>-71907.534166666665</v>
      </c>
      <c r="O11" s="2">
        <v>-71907.534166666665</v>
      </c>
      <c r="P11" s="2">
        <v>-71907.534166666665</v>
      </c>
      <c r="Q11" s="2">
        <v>-71907.534166666665</v>
      </c>
      <c r="R11">
        <f>SUMSQ(F11,G11,H11,I11,J11,K11,L11,M11,N11,O11,P11,Q11)</f>
        <v>62048321639.164024</v>
      </c>
    </row>
    <row r="12" spans="1:18" x14ac:dyDescent="0.25">
      <c r="B12" s="3" t="s">
        <v>230</v>
      </c>
      <c r="C12" t="s">
        <v>12</v>
      </c>
      <c r="D12" t="s">
        <v>199</v>
      </c>
      <c r="E12" t="s">
        <v>128</v>
      </c>
      <c r="F12">
        <v>-7500</v>
      </c>
      <c r="G12">
        <v>-7500</v>
      </c>
      <c r="H12">
        <v>-7500</v>
      </c>
      <c r="I12">
        <v>-7500</v>
      </c>
      <c r="J12">
        <v>-7500</v>
      </c>
      <c r="K12">
        <v>-7500</v>
      </c>
      <c r="L12">
        <v>-7500</v>
      </c>
      <c r="M12">
        <v>-7500</v>
      </c>
      <c r="N12">
        <v>-7500</v>
      </c>
      <c r="O12">
        <v>-7500</v>
      </c>
      <c r="P12">
        <v>-7500</v>
      </c>
      <c r="Q12">
        <v>-7500</v>
      </c>
      <c r="R12">
        <f t="shared" ref="R12" si="0">SUMSQ(F12,G12,H12,I12,J12,K12,L12,M12,N12,O12,P12,Q12)</f>
        <v>675000000</v>
      </c>
    </row>
    <row r="13" spans="1:18" x14ac:dyDescent="0.25">
      <c r="B13" s="3" t="s">
        <v>230</v>
      </c>
      <c r="C13" t="s">
        <v>16</v>
      </c>
      <c r="D13" t="s">
        <v>186</v>
      </c>
      <c r="E13" t="s">
        <v>17</v>
      </c>
      <c r="F13">
        <v>-12140.46</v>
      </c>
      <c r="G13">
        <v>-12140.46</v>
      </c>
      <c r="H13">
        <v>-12140.46</v>
      </c>
      <c r="I13">
        <v>-12140.46</v>
      </c>
      <c r="J13">
        <v>-12140.46</v>
      </c>
      <c r="K13">
        <v>-12140.46</v>
      </c>
      <c r="L13">
        <v>-12140.46</v>
      </c>
      <c r="M13">
        <v>-12140.46</v>
      </c>
      <c r="N13">
        <v>-12140.46</v>
      </c>
      <c r="O13">
        <v>-12140.46</v>
      </c>
      <c r="P13">
        <v>-12140.46</v>
      </c>
      <c r="Q13">
        <v>-12140.46</v>
      </c>
      <c r="R13">
        <f t="shared" ref="R13" si="1">SUMSQ(F13,G13,H13,I13,J13,K13,L13,M13,N13,O13,P13,Q13)</f>
        <v>1768689228.1392</v>
      </c>
    </row>
    <row r="14" spans="1:18" x14ac:dyDescent="0.25">
      <c r="B14" s="3" t="s">
        <v>230</v>
      </c>
      <c r="C14" t="s">
        <v>16</v>
      </c>
      <c r="D14" t="s">
        <v>199</v>
      </c>
      <c r="E14" t="s">
        <v>128</v>
      </c>
      <c r="F14">
        <v>-15583.333333333334</v>
      </c>
      <c r="G14">
        <v>-15583.333333333334</v>
      </c>
      <c r="H14">
        <v>-15583.333333333334</v>
      </c>
      <c r="I14">
        <v>-15583.333333333334</v>
      </c>
      <c r="J14">
        <v>-15583.333333333334</v>
      </c>
      <c r="K14">
        <v>-15583.333333333334</v>
      </c>
      <c r="L14">
        <v>-15583.333333333334</v>
      </c>
      <c r="M14">
        <v>-15583.333333333334</v>
      </c>
      <c r="N14">
        <v>-15583.333333333334</v>
      </c>
      <c r="O14">
        <v>-28916.666666666668</v>
      </c>
      <c r="P14">
        <v>-28916.666666666668</v>
      </c>
      <c r="Q14">
        <v>-28916.666666666668</v>
      </c>
      <c r="R14">
        <f t="shared" ref="R14" si="2">SUMSQ(F14,G14,H14,I14,J14,K14,L14,M14,N14,O14,P14,Q14)</f>
        <v>4694083333.333333</v>
      </c>
    </row>
    <row r="15" spans="1:18" x14ac:dyDescent="0.25">
      <c r="B15" s="3" t="s">
        <v>230</v>
      </c>
      <c r="C15" t="s">
        <v>13</v>
      </c>
      <c r="D15" t="s">
        <v>199</v>
      </c>
      <c r="E15" t="s">
        <v>128</v>
      </c>
      <c r="F15">
        <v>-416.66666666666669</v>
      </c>
      <c r="G15">
        <v>-416.66666666666669</v>
      </c>
      <c r="H15">
        <v>-416.66666666666669</v>
      </c>
      <c r="I15">
        <v>-416.66666666666669</v>
      </c>
      <c r="J15">
        <v>-416.66666666666669</v>
      </c>
      <c r="K15">
        <v>-416.66666666666669</v>
      </c>
      <c r="L15">
        <v>-416.66666666666669</v>
      </c>
      <c r="M15">
        <v>-416.66666666666669</v>
      </c>
      <c r="N15">
        <v>-416.66666666666669</v>
      </c>
      <c r="O15">
        <v>-416.66666666666669</v>
      </c>
      <c r="P15">
        <v>-416.66666666666669</v>
      </c>
      <c r="Q15">
        <v>-416.66666666666669</v>
      </c>
      <c r="R15">
        <f t="shared" ref="R15" si="3">SUMSQ(F15,G15,H15,I15,J15,K15,L15,M15,N15,O15,P15,Q15)</f>
        <v>2083333.333333333</v>
      </c>
    </row>
    <row r="16" spans="1:18" x14ac:dyDescent="0.25">
      <c r="B16" s="3" t="s">
        <v>230</v>
      </c>
      <c r="C16" t="s">
        <v>109</v>
      </c>
      <c r="D16" t="s">
        <v>199</v>
      </c>
      <c r="E16" t="s">
        <v>128</v>
      </c>
      <c r="F16">
        <v>-833.33333333333337</v>
      </c>
      <c r="G16">
        <v>-833.33333333333337</v>
      </c>
      <c r="H16">
        <v>-833.33333333333337</v>
      </c>
      <c r="I16">
        <v>-833.33333333333337</v>
      </c>
      <c r="J16">
        <v>-833.33333333333337</v>
      </c>
      <c r="K16">
        <v>-833.33333333333337</v>
      </c>
      <c r="L16">
        <v>-833.33333333333337</v>
      </c>
      <c r="M16">
        <v>-833.33333333333337</v>
      </c>
      <c r="N16">
        <v>-833.33333333333337</v>
      </c>
      <c r="O16">
        <v>-833.33333333333337</v>
      </c>
      <c r="P16">
        <v>-833.33333333333337</v>
      </c>
      <c r="Q16">
        <v>-833.33333333333337</v>
      </c>
      <c r="R16">
        <f t="shared" ref="R16" si="4">SUMSQ(F16,G16,H16,I16,J16,K16,L16,M16,N16,O16,P16,Q16)</f>
        <v>8333333.3333333321</v>
      </c>
    </row>
    <row r="17" spans="2:18" x14ac:dyDescent="0.25">
      <c r="B17" s="3" t="s">
        <v>230</v>
      </c>
      <c r="C17" t="s">
        <v>81</v>
      </c>
      <c r="D17" t="s">
        <v>199</v>
      </c>
      <c r="E17" t="s">
        <v>128</v>
      </c>
      <c r="F17">
        <v>-5187.5</v>
      </c>
      <c r="G17">
        <v>-5187.5</v>
      </c>
      <c r="H17">
        <v>-5187.5</v>
      </c>
      <c r="I17">
        <v>-5187.5</v>
      </c>
      <c r="J17">
        <v>-5187.5</v>
      </c>
      <c r="K17">
        <v>-5187.5</v>
      </c>
      <c r="L17">
        <v>-5187.5</v>
      </c>
      <c r="M17">
        <v>-5187.5</v>
      </c>
      <c r="N17">
        <v>-5187.5</v>
      </c>
      <c r="O17">
        <v>-5187.5</v>
      </c>
      <c r="P17">
        <v>-5187.5</v>
      </c>
      <c r="Q17">
        <v>-5187.5</v>
      </c>
      <c r="R17">
        <f t="shared" ref="R17" si="5">SUMSQ(F17,G17,H17,I17,J17,K17,L17,M17,N17,O17,P17,Q17)</f>
        <v>322921875</v>
      </c>
    </row>
    <row r="18" spans="2:18" x14ac:dyDescent="0.25">
      <c r="B18" s="3" t="s">
        <v>231</v>
      </c>
      <c r="C18" t="s">
        <v>64</v>
      </c>
      <c r="D18" t="s">
        <v>199</v>
      </c>
      <c r="E18" t="s">
        <v>128</v>
      </c>
      <c r="F18">
        <v>-233.33333333333334</v>
      </c>
      <c r="G18">
        <v>-233.33333333333334</v>
      </c>
      <c r="H18">
        <v>-233.33333333333334</v>
      </c>
      <c r="I18">
        <v>-233.33333333333334</v>
      </c>
      <c r="J18">
        <v>-233.33333333333334</v>
      </c>
      <c r="K18">
        <v>-233.33333333333334</v>
      </c>
      <c r="L18">
        <v>-233.33333333333334</v>
      </c>
      <c r="M18">
        <v>-233.33333333333334</v>
      </c>
      <c r="N18">
        <v>-233.33333333333334</v>
      </c>
      <c r="O18">
        <v>-233.33333333333334</v>
      </c>
      <c r="P18">
        <v>-233.33333333333334</v>
      </c>
      <c r="Q18">
        <v>-233.33333333333334</v>
      </c>
      <c r="R18">
        <f t="shared" ref="R18" si="6">SUMSQ(F18,G18,H18,I18,J18,K18,L18,M18,N18,O18,P18,Q18)</f>
        <v>653333.33333333349</v>
      </c>
    </row>
    <row r="19" spans="2:18" x14ac:dyDescent="0.25">
      <c r="B19" s="3" t="s">
        <v>232</v>
      </c>
      <c r="C19" t="s">
        <v>81</v>
      </c>
      <c r="D19" t="s">
        <v>199</v>
      </c>
      <c r="E19" t="s">
        <v>128</v>
      </c>
      <c r="F19">
        <v>-11.97</v>
      </c>
      <c r="G19">
        <v>-11.97</v>
      </c>
      <c r="H19">
        <v>-11.97</v>
      </c>
      <c r="I19">
        <v>-11.97</v>
      </c>
      <c r="J19">
        <v>-11.97</v>
      </c>
      <c r="K19">
        <v>-11.97</v>
      </c>
      <c r="L19">
        <v>-11.97</v>
      </c>
      <c r="M19">
        <v>-11.97</v>
      </c>
      <c r="N19">
        <v>-11.97</v>
      </c>
      <c r="O19">
        <v>-11.97</v>
      </c>
      <c r="P19">
        <v>-11.97</v>
      </c>
      <c r="Q19">
        <v>-11.97</v>
      </c>
      <c r="R19">
        <f t="shared" ref="R19" si="7">SUMSQ(F19,G19,H19,I19,J19,K19,L19,M19,N19,O19,P19,Q19)</f>
        <v>1719.3707999999999</v>
      </c>
    </row>
    <row r="20" spans="2:18" x14ac:dyDescent="0.25">
      <c r="B20" s="3" t="s">
        <v>233</v>
      </c>
      <c r="C20" t="s">
        <v>11</v>
      </c>
      <c r="D20" t="s">
        <v>199</v>
      </c>
      <c r="E20" t="s">
        <v>128</v>
      </c>
      <c r="F20">
        <v>-103084.02952380953</v>
      </c>
      <c r="G20">
        <v>-103084.02952380953</v>
      </c>
      <c r="H20">
        <v>-112009.02952380953</v>
      </c>
      <c r="I20">
        <v>-112994.53142857143</v>
      </c>
      <c r="J20">
        <v>-112009.03</v>
      </c>
      <c r="K20">
        <v>-112009.03</v>
      </c>
      <c r="L20">
        <v>-112009.03</v>
      </c>
      <c r="M20">
        <v>-112009.03</v>
      </c>
      <c r="N20">
        <v>-112009.03</v>
      </c>
      <c r="O20">
        <v>-110038.02666666667</v>
      </c>
      <c r="P20">
        <v>-110038.02666666667</v>
      </c>
      <c r="Q20">
        <v>-110038.02666666667</v>
      </c>
      <c r="R20">
        <f t="shared" ref="R20:R21" si="8">SUMSQ(F20,G20,H20,I20,J20,K20,L20,M20,N20,O20,P20,Q20)</f>
        <v>145621637059.14594</v>
      </c>
    </row>
    <row r="21" spans="2:18" x14ac:dyDescent="0.25">
      <c r="B21" s="3" t="s">
        <v>233</v>
      </c>
      <c r="C21" t="s">
        <v>12</v>
      </c>
      <c r="D21" t="s">
        <v>199</v>
      </c>
      <c r="E21" t="s">
        <v>128</v>
      </c>
      <c r="F21">
        <v>-10000</v>
      </c>
      <c r="G21">
        <v>-10000</v>
      </c>
      <c r="H21">
        <v>-10000</v>
      </c>
      <c r="I21">
        <v>-10000</v>
      </c>
      <c r="J21">
        <v>-10000</v>
      </c>
      <c r="K21">
        <v>-10000</v>
      </c>
      <c r="L21">
        <v>-10000</v>
      </c>
      <c r="M21">
        <v>-10000</v>
      </c>
      <c r="N21">
        <v>-10000</v>
      </c>
      <c r="O21">
        <v>-10000</v>
      </c>
      <c r="P21">
        <v>-10000</v>
      </c>
      <c r="Q21">
        <v>-10000</v>
      </c>
      <c r="R21">
        <f t="shared" si="8"/>
        <v>1200000000</v>
      </c>
    </row>
    <row r="22" spans="2:18" x14ac:dyDescent="0.25">
      <c r="B22" s="3" t="s">
        <v>233</v>
      </c>
      <c r="C22" t="s">
        <v>16</v>
      </c>
      <c r="D22" t="s">
        <v>199</v>
      </c>
      <c r="E22" t="s">
        <v>17</v>
      </c>
      <c r="F22">
        <v>-1421.1666666666667</v>
      </c>
      <c r="G22">
        <v>-1421.1666666666667</v>
      </c>
      <c r="H22">
        <v>-1421.1666666666667</v>
      </c>
      <c r="I22">
        <v>-1421.1666666666667</v>
      </c>
      <c r="J22">
        <v>-1421.1666666666667</v>
      </c>
      <c r="K22">
        <v>-1421.1666666666667</v>
      </c>
      <c r="L22">
        <v>-1421.1666666666667</v>
      </c>
      <c r="M22">
        <v>-1421.1666666666667</v>
      </c>
      <c r="N22">
        <v>-1421.1666666666667</v>
      </c>
      <c r="O22">
        <v>-1421.1666666666667</v>
      </c>
      <c r="P22">
        <v>-1421.1666666666667</v>
      </c>
      <c r="Q22">
        <v>-1421.1666666666667</v>
      </c>
      <c r="R22">
        <f t="shared" ref="R22" si="9">SUMSQ(F22,G22,H22,I22,J22,K22,L22,M22,N22,O22,P22,Q22)</f>
        <v>24236576.333333332</v>
      </c>
    </row>
    <row r="23" spans="2:18" x14ac:dyDescent="0.25">
      <c r="B23" s="3" t="s">
        <v>233</v>
      </c>
      <c r="C23" t="s">
        <v>16</v>
      </c>
      <c r="D23" t="s">
        <v>199</v>
      </c>
      <c r="E23" t="s">
        <v>128</v>
      </c>
      <c r="F23">
        <v>-86250</v>
      </c>
      <c r="G23">
        <v>-86250</v>
      </c>
      <c r="H23">
        <v>-86250</v>
      </c>
      <c r="I23">
        <v>-86250</v>
      </c>
      <c r="J23">
        <v>-86250</v>
      </c>
      <c r="K23">
        <v>-86250</v>
      </c>
      <c r="L23">
        <v>-86250</v>
      </c>
      <c r="M23">
        <v>-86250</v>
      </c>
      <c r="N23">
        <v>-86250</v>
      </c>
      <c r="O23">
        <v>-86250</v>
      </c>
      <c r="P23">
        <v>-86250</v>
      </c>
      <c r="Q23">
        <v>-86250</v>
      </c>
      <c r="R23">
        <f t="shared" ref="R23" si="10">SUMSQ(F23,G23,H23,I23,J23,K23,L23,M23,N23,O23,P23,Q23)</f>
        <v>89268750000</v>
      </c>
    </row>
    <row r="24" spans="2:18" x14ac:dyDescent="0.25">
      <c r="B24" s="3" t="s">
        <v>233</v>
      </c>
      <c r="C24" t="s">
        <v>16</v>
      </c>
      <c r="D24" t="s">
        <v>178</v>
      </c>
      <c r="E24" t="s">
        <v>128</v>
      </c>
      <c r="F24">
        <v>-25000</v>
      </c>
      <c r="G24">
        <v>-25000</v>
      </c>
      <c r="H24">
        <v>-25000</v>
      </c>
      <c r="I24">
        <v>-25000</v>
      </c>
      <c r="J24">
        <v>-25000</v>
      </c>
      <c r="K24">
        <v>-25000</v>
      </c>
      <c r="L24">
        <v>-25000</v>
      </c>
      <c r="M24">
        <v>-25000</v>
      </c>
      <c r="N24">
        <v>-25000</v>
      </c>
      <c r="O24">
        <v>-25000</v>
      </c>
      <c r="P24">
        <v>-25000</v>
      </c>
      <c r="Q24">
        <v>-25000</v>
      </c>
      <c r="R24">
        <f t="shared" ref="R24" si="11">SUMSQ(F24,G24,H24,I24,J24,K24,L24,M24,N24,O24,P24,Q24)</f>
        <v>7500000000</v>
      </c>
    </row>
    <row r="25" spans="2:18" x14ac:dyDescent="0.25">
      <c r="B25" s="3" t="s">
        <v>233</v>
      </c>
      <c r="C25" t="s">
        <v>13</v>
      </c>
      <c r="D25" t="s">
        <v>199</v>
      </c>
      <c r="E25" t="s">
        <v>128</v>
      </c>
      <c r="F25">
        <v>-833.33333333333337</v>
      </c>
      <c r="G25">
        <v>-833.33333333333337</v>
      </c>
      <c r="H25">
        <v>-833.33333333333337</v>
      </c>
      <c r="I25">
        <v>-833.33333333333337</v>
      </c>
      <c r="J25">
        <v>-833.33333333333337</v>
      </c>
      <c r="K25">
        <v>-833.33333333333337</v>
      </c>
      <c r="L25">
        <v>-833.33333333333337</v>
      </c>
      <c r="M25">
        <v>-833.33333333333337</v>
      </c>
      <c r="N25">
        <v>-833.33333333333337</v>
      </c>
      <c r="O25">
        <v>-833.33333333333337</v>
      </c>
      <c r="P25">
        <v>-833.33333333333337</v>
      </c>
      <c r="Q25">
        <v>-833.33333333333337</v>
      </c>
      <c r="R25">
        <f t="shared" ref="R25" si="12">SUMSQ(F25,G25,H25,I25,J25,K25,L25,M25,N25,O25,P25,Q25)</f>
        <v>8333333.3333333321</v>
      </c>
    </row>
    <row r="26" spans="2:18" x14ac:dyDescent="0.25">
      <c r="B26" s="3" t="s">
        <v>233</v>
      </c>
      <c r="C26" t="s">
        <v>109</v>
      </c>
      <c r="D26" t="s">
        <v>199</v>
      </c>
      <c r="E26" t="s">
        <v>128</v>
      </c>
      <c r="F26">
        <v>-1250</v>
      </c>
      <c r="G26">
        <v>-1250</v>
      </c>
      <c r="H26">
        <v>-1250</v>
      </c>
      <c r="I26">
        <v>-1250</v>
      </c>
      <c r="J26">
        <v>-1250</v>
      </c>
      <c r="K26">
        <v>-1250</v>
      </c>
      <c r="L26">
        <v>-1250</v>
      </c>
      <c r="M26">
        <v>-1250</v>
      </c>
      <c r="N26">
        <v>-1250</v>
      </c>
      <c r="O26">
        <v>-1250</v>
      </c>
      <c r="P26">
        <v>-1250</v>
      </c>
      <c r="Q26">
        <v>-1250</v>
      </c>
      <c r="R26">
        <f t="shared" ref="R26:R27" si="13">SUMSQ(F26,G26,H26,I26,J26,K26,L26,M26,N26,O26,P26,Q26)</f>
        <v>18750000</v>
      </c>
    </row>
    <row r="27" spans="2:18" x14ac:dyDescent="0.25">
      <c r="B27" s="3" t="s">
        <v>233</v>
      </c>
      <c r="C27" t="s">
        <v>81</v>
      </c>
      <c r="D27" t="s">
        <v>199</v>
      </c>
      <c r="E27" t="s">
        <v>128</v>
      </c>
      <c r="F27">
        <v>-2481.4814814814813</v>
      </c>
      <c r="G27">
        <v>-2481.4814814814813</v>
      </c>
      <c r="H27">
        <v>-2481.4814814814813</v>
      </c>
      <c r="I27">
        <v>-2481.4814814814813</v>
      </c>
      <c r="J27">
        <v>-2481.4814814814813</v>
      </c>
      <c r="K27">
        <v>-2481.4814814814813</v>
      </c>
      <c r="L27">
        <v>-2481.4814814814813</v>
      </c>
      <c r="M27">
        <v>-2481.4814814814813</v>
      </c>
      <c r="N27">
        <v>-2481.4814814814813</v>
      </c>
      <c r="O27">
        <v>-2481.4814814814813</v>
      </c>
      <c r="P27">
        <v>-2481.4814814814813</v>
      </c>
      <c r="Q27">
        <v>-2481.4814814814813</v>
      </c>
      <c r="R27">
        <f t="shared" si="13"/>
        <v>73893004.115226313</v>
      </c>
    </row>
    <row r="28" spans="2:18" x14ac:dyDescent="0.25">
      <c r="B28" t="s">
        <v>234</v>
      </c>
      <c r="C28" t="s">
        <v>11</v>
      </c>
      <c r="D28" t="s">
        <v>199</v>
      </c>
      <c r="E28" t="s">
        <v>128</v>
      </c>
      <c r="F28">
        <v>-72833.890833333324</v>
      </c>
      <c r="G28">
        <v>-72833.890833333324</v>
      </c>
      <c r="H28">
        <v>-72833.890833333324</v>
      </c>
      <c r="I28">
        <v>-98461.390833333324</v>
      </c>
      <c r="J28">
        <v>-98461.390833333324</v>
      </c>
      <c r="K28">
        <v>-98461.390833333324</v>
      </c>
      <c r="L28">
        <v>-98461.390833333324</v>
      </c>
      <c r="M28">
        <v>-98461.390833333324</v>
      </c>
      <c r="N28">
        <v>-98461.390833333324</v>
      </c>
      <c r="O28">
        <v>-98461.390833333324</v>
      </c>
      <c r="P28">
        <v>-98461.390833333324</v>
      </c>
      <c r="Q28">
        <v>-98461.390833333324</v>
      </c>
      <c r="R28">
        <f t="shared" ref="R28:R31" si="14">SUMSQ(F28,G28,H28,I28,J28,K28,L28,M28,N28,O28,P28,Q28)</f>
        <v>103166136325.27547</v>
      </c>
    </row>
    <row r="29" spans="2:18" x14ac:dyDescent="0.25">
      <c r="B29" s="3" t="s">
        <v>234</v>
      </c>
      <c r="C29" t="s">
        <v>12</v>
      </c>
      <c r="D29" t="s">
        <v>199</v>
      </c>
      <c r="E29" t="s">
        <v>165</v>
      </c>
      <c r="F29">
        <v>-4166.666666666667</v>
      </c>
      <c r="G29">
        <v>-4166.666666666667</v>
      </c>
      <c r="H29">
        <v>-4166.666666666667</v>
      </c>
      <c r="I29">
        <v>-4166.666666666667</v>
      </c>
      <c r="J29">
        <v>-4166.666666666667</v>
      </c>
      <c r="K29">
        <v>-4166.666666666667</v>
      </c>
      <c r="L29">
        <v>-4166.666666666667</v>
      </c>
      <c r="M29">
        <v>-4166.666666666667</v>
      </c>
      <c r="N29">
        <v>-4166.666666666667</v>
      </c>
      <c r="O29">
        <v>-4166.666666666667</v>
      </c>
      <c r="P29">
        <v>-4166.666666666667</v>
      </c>
      <c r="Q29">
        <v>-4166.666666666667</v>
      </c>
      <c r="R29">
        <f t="shared" si="14"/>
        <v>208333333.33333328</v>
      </c>
    </row>
    <row r="30" spans="2:18" x14ac:dyDescent="0.25">
      <c r="B30" s="3" t="s">
        <v>234</v>
      </c>
      <c r="C30" t="s">
        <v>16</v>
      </c>
      <c r="D30" t="s">
        <v>199</v>
      </c>
      <c r="E30" t="s">
        <v>128</v>
      </c>
      <c r="F30">
        <v>-76666.666666666672</v>
      </c>
      <c r="G30">
        <v>-76666.666666666672</v>
      </c>
      <c r="H30">
        <v>-76666.666666666672</v>
      </c>
      <c r="I30">
        <v>-76666.666666666672</v>
      </c>
      <c r="J30">
        <v>-76666.666666666672</v>
      </c>
      <c r="K30">
        <v>-76666.666666666672</v>
      </c>
      <c r="L30">
        <v>-76666.666666666672</v>
      </c>
      <c r="M30">
        <v>-76666.666666666672</v>
      </c>
      <c r="N30">
        <v>-76666.666666666672</v>
      </c>
      <c r="O30">
        <v>-76666.666666666672</v>
      </c>
      <c r="P30">
        <v>-76666.666666666672</v>
      </c>
      <c r="Q30">
        <v>-76666.666666666672</v>
      </c>
      <c r="R30">
        <f t="shared" si="14"/>
        <v>70533333333.333344</v>
      </c>
    </row>
    <row r="31" spans="2:18" x14ac:dyDescent="0.25">
      <c r="B31" s="3" t="s">
        <v>234</v>
      </c>
      <c r="C31" t="s">
        <v>13</v>
      </c>
      <c r="D31" t="s">
        <v>199</v>
      </c>
      <c r="E31" t="s">
        <v>168</v>
      </c>
      <c r="F31">
        <v>-83.333333333333329</v>
      </c>
      <c r="G31">
        <v>-83.333333333333329</v>
      </c>
      <c r="H31">
        <v>-83.333333333333329</v>
      </c>
      <c r="I31">
        <v>-83.333333333333329</v>
      </c>
      <c r="J31">
        <v>-83.333333333333329</v>
      </c>
      <c r="K31">
        <v>-83.333333333333329</v>
      </c>
      <c r="L31">
        <v>-83.333333333333329</v>
      </c>
      <c r="M31">
        <v>-83.333333333333329</v>
      </c>
      <c r="N31">
        <v>-83.333333333333329</v>
      </c>
      <c r="O31">
        <v>-83.333333333333329</v>
      </c>
      <c r="P31">
        <v>-83.333333333333329</v>
      </c>
      <c r="Q31">
        <v>-83.333333333333329</v>
      </c>
      <c r="R31">
        <f t="shared" si="14"/>
        <v>83333.333333333314</v>
      </c>
    </row>
    <row r="32" spans="2:18" x14ac:dyDescent="0.25">
      <c r="B32" s="3" t="s">
        <v>235</v>
      </c>
      <c r="C32" t="s">
        <v>11</v>
      </c>
      <c r="D32" t="s">
        <v>199</v>
      </c>
      <c r="E32" t="s">
        <v>128</v>
      </c>
      <c r="F32">
        <v>-38644.824166666665</v>
      </c>
      <c r="G32">
        <v>-38644.824166666665</v>
      </c>
      <c r="H32">
        <v>-38644.824166666665</v>
      </c>
      <c r="I32">
        <v>-54582.324166666665</v>
      </c>
      <c r="J32">
        <v>-54582.324166666665</v>
      </c>
      <c r="K32">
        <v>-54582.324166666665</v>
      </c>
      <c r="L32">
        <v>-54582.324166666665</v>
      </c>
      <c r="M32">
        <v>-54582.324166666665</v>
      </c>
      <c r="N32">
        <v>-60319.824166666665</v>
      </c>
      <c r="O32">
        <v>-60319.824166666665</v>
      </c>
      <c r="P32">
        <v>-60319.824166666665</v>
      </c>
      <c r="Q32">
        <v>-60319.824166666665</v>
      </c>
      <c r="R32">
        <f t="shared" ref="R32:R33" si="15">SUMSQ(F32,G32,H32,I32,J32,K32,L32,M32,N32,O32,P32,Q32)</f>
        <v>33930342611.783512</v>
      </c>
    </row>
    <row r="33" spans="2:18" x14ac:dyDescent="0.25">
      <c r="B33" s="3" t="s">
        <v>235</v>
      </c>
      <c r="C33" t="s">
        <v>12</v>
      </c>
      <c r="D33" t="s">
        <v>199</v>
      </c>
      <c r="E33" t="s">
        <v>128</v>
      </c>
      <c r="F33">
        <v>-2500</v>
      </c>
      <c r="G33">
        <v>-2500</v>
      </c>
      <c r="H33">
        <v>-2500</v>
      </c>
      <c r="I33">
        <v>-2500</v>
      </c>
      <c r="J33">
        <v>-2500</v>
      </c>
      <c r="K33">
        <v>-2500</v>
      </c>
      <c r="L33">
        <v>-2500</v>
      </c>
      <c r="M33">
        <v>-2500</v>
      </c>
      <c r="N33">
        <v>-2500</v>
      </c>
      <c r="O33">
        <v>-2500</v>
      </c>
      <c r="P33">
        <v>-2500</v>
      </c>
      <c r="Q33">
        <v>-2500</v>
      </c>
      <c r="R33">
        <f t="shared" si="15"/>
        <v>75000000</v>
      </c>
    </row>
    <row r="34" spans="2:18" x14ac:dyDescent="0.25">
      <c r="B34" s="3" t="s">
        <v>235</v>
      </c>
      <c r="C34" t="s">
        <v>16</v>
      </c>
      <c r="D34" t="s">
        <v>199</v>
      </c>
      <c r="E34" t="s">
        <v>128</v>
      </c>
      <c r="F34">
        <v>-43333.333333333336</v>
      </c>
      <c r="G34">
        <v>-43333.333333333336</v>
      </c>
      <c r="H34">
        <v>-43333.333333333336</v>
      </c>
      <c r="I34">
        <v>-43333.333333333336</v>
      </c>
      <c r="J34">
        <v>-43333.333333333336</v>
      </c>
      <c r="K34">
        <v>-43333.333333333336</v>
      </c>
      <c r="L34">
        <v>-43333.333333333336</v>
      </c>
      <c r="M34">
        <v>-43333.333333333336</v>
      </c>
      <c r="N34">
        <v>-43333.333333333336</v>
      </c>
      <c r="O34">
        <v>-43333.333333333336</v>
      </c>
      <c r="P34">
        <v>-43333.333333333336</v>
      </c>
      <c r="Q34">
        <v>-43333.333333333336</v>
      </c>
      <c r="R34">
        <f t="shared" ref="R34:R35" si="16">SUMSQ(F34,G34,H34,I34,J34,K34,L34,M34,N34,O34,P34,Q34)</f>
        <v>22533333333.33334</v>
      </c>
    </row>
    <row r="35" spans="2:18" x14ac:dyDescent="0.25">
      <c r="B35" s="3" t="s">
        <v>235</v>
      </c>
      <c r="C35" t="s">
        <v>16</v>
      </c>
      <c r="D35" t="s">
        <v>121</v>
      </c>
      <c r="E35" t="s">
        <v>130</v>
      </c>
      <c r="F35">
        <v>-8333.3333333333339</v>
      </c>
      <c r="G35">
        <v>-8333.3333333333339</v>
      </c>
      <c r="H35">
        <v>-8333.3333333333339</v>
      </c>
      <c r="I35">
        <v>-8333.3333333333339</v>
      </c>
      <c r="J35">
        <v>-8333.3333333333339</v>
      </c>
      <c r="K35">
        <v>-8333.3333333333339</v>
      </c>
      <c r="L35">
        <v>-8333.3333333333339</v>
      </c>
      <c r="M35">
        <v>-8333.3333333333339</v>
      </c>
      <c r="N35">
        <v>-8333.3333333333339</v>
      </c>
      <c r="O35">
        <v>-8333.3333333333339</v>
      </c>
      <c r="P35">
        <v>-8333.3333333333339</v>
      </c>
      <c r="Q35">
        <v>-8333.3333333333339</v>
      </c>
      <c r="R35">
        <f t="shared" si="16"/>
        <v>833333333.33333313</v>
      </c>
    </row>
    <row r="36" spans="2:18" x14ac:dyDescent="0.25">
      <c r="B36" s="3" t="s">
        <v>235</v>
      </c>
      <c r="C36" t="s">
        <v>13</v>
      </c>
      <c r="D36" t="s">
        <v>199</v>
      </c>
      <c r="E36" t="s">
        <v>128</v>
      </c>
      <c r="F36">
        <v>-166.66666666666666</v>
      </c>
      <c r="G36">
        <v>-166.66666666666666</v>
      </c>
      <c r="H36">
        <v>-166.66666666666666</v>
      </c>
      <c r="I36">
        <v>-166.66666666666666</v>
      </c>
      <c r="J36">
        <v>-166.66666666666666</v>
      </c>
      <c r="K36">
        <v>-166.66666666666666</v>
      </c>
      <c r="L36">
        <v>-166.66666666666666</v>
      </c>
      <c r="M36">
        <v>-166.66666666666666</v>
      </c>
      <c r="N36">
        <v>-166.66666666666666</v>
      </c>
      <c r="O36">
        <v>-166.66666666666666</v>
      </c>
      <c r="P36">
        <v>-166.66666666666666</v>
      </c>
      <c r="Q36">
        <v>-166.66666666666666</v>
      </c>
      <c r="R36">
        <f t="shared" ref="R36" si="17">SUMSQ(F36,G36,H36,I36,J36,K36,L36,M36,N36,O36,P36,Q36)</f>
        <v>333333.33333333326</v>
      </c>
    </row>
    <row r="37" spans="2:18" x14ac:dyDescent="0.25">
      <c r="B37" s="3" t="s">
        <v>235</v>
      </c>
      <c r="C37" t="s">
        <v>177</v>
      </c>
      <c r="D37" t="s">
        <v>121</v>
      </c>
      <c r="E37" t="s">
        <v>17</v>
      </c>
      <c r="F37">
        <v>-2564.4608333333335</v>
      </c>
      <c r="G37">
        <v>-2564.4608333333335</v>
      </c>
      <c r="H37">
        <v>-2564.4608333333335</v>
      </c>
      <c r="I37">
        <v>-2564.4608333333335</v>
      </c>
      <c r="J37">
        <v>-2564.4608333333335</v>
      </c>
      <c r="K37">
        <v>-2564.4608333333335</v>
      </c>
      <c r="L37">
        <v>-2564.4608333333335</v>
      </c>
      <c r="M37">
        <v>-2564.4608333333335</v>
      </c>
      <c r="N37">
        <v>-2564.4608333333335</v>
      </c>
      <c r="O37">
        <v>-2564.4608333333335</v>
      </c>
      <c r="P37">
        <v>-2564.4608333333335</v>
      </c>
      <c r="Q37">
        <v>-2564.4608333333335</v>
      </c>
      <c r="R37">
        <f t="shared" ref="R37:R38" si="18">SUMSQ(F37,G37,H37,I37,J37,K37,L37,M37,N37,O37,P37,Q37)</f>
        <v>78917512.388408333</v>
      </c>
    </row>
    <row r="38" spans="2:18" x14ac:dyDescent="0.25">
      <c r="B38" s="3" t="s">
        <v>235</v>
      </c>
      <c r="C38" t="s">
        <v>81</v>
      </c>
      <c r="D38" t="s">
        <v>199</v>
      </c>
      <c r="E38" t="s">
        <v>128</v>
      </c>
      <c r="F38">
        <v>-55.558333333333337</v>
      </c>
      <c r="G38">
        <v>-55.558333333333337</v>
      </c>
      <c r="H38">
        <v>-55.558333333333337</v>
      </c>
      <c r="I38">
        <v>-55.558333333333337</v>
      </c>
      <c r="J38">
        <v>-55.558333333333337</v>
      </c>
      <c r="K38">
        <v>-55.558333333333337</v>
      </c>
      <c r="L38">
        <v>-55.558333333333337</v>
      </c>
      <c r="M38">
        <v>-55.558333333333337</v>
      </c>
      <c r="N38">
        <v>-55.558333333333337</v>
      </c>
      <c r="O38">
        <v>-55.558333333333337</v>
      </c>
      <c r="P38">
        <v>-55.558333333333337</v>
      </c>
      <c r="Q38">
        <v>-55.558333333333337</v>
      </c>
      <c r="R38">
        <f t="shared" si="18"/>
        <v>37040.740833333337</v>
      </c>
    </row>
    <row r="39" spans="2:18" x14ac:dyDescent="0.25">
      <c r="B39" s="3" t="s">
        <v>236</v>
      </c>
      <c r="C39" t="s">
        <v>11</v>
      </c>
      <c r="D39" t="s">
        <v>199</v>
      </c>
      <c r="E39" t="s">
        <v>128</v>
      </c>
      <c r="F39">
        <v>-83780.99083333333</v>
      </c>
      <c r="G39">
        <v>-83780.99083333333</v>
      </c>
      <c r="H39">
        <v>-83780.99083333333</v>
      </c>
      <c r="I39">
        <v>-83780.99083333333</v>
      </c>
      <c r="J39">
        <v>-83780.99083333333</v>
      </c>
      <c r="K39">
        <v>-83780.99083333333</v>
      </c>
      <c r="L39">
        <v>-83780.99083333333</v>
      </c>
      <c r="M39">
        <v>-83780.99083333333</v>
      </c>
      <c r="N39">
        <v>-83780.99083333333</v>
      </c>
      <c r="O39">
        <v>-83780.99083333333</v>
      </c>
      <c r="P39">
        <v>-83780.99083333333</v>
      </c>
      <c r="Q39">
        <v>-83780.99083333333</v>
      </c>
      <c r="R39">
        <f t="shared" ref="R39" si="19">SUMSQ(F39,G39,H39,I39,J39,K39,L39,M39,N39,O39,P39,Q39)</f>
        <v>84231053100.181</v>
      </c>
    </row>
    <row r="40" spans="2:18" x14ac:dyDescent="0.25">
      <c r="B40" s="3" t="s">
        <v>236</v>
      </c>
      <c r="C40" t="s">
        <v>12</v>
      </c>
      <c r="D40" t="s">
        <v>199</v>
      </c>
      <c r="E40" t="s">
        <v>128</v>
      </c>
      <c r="F40">
        <v>-5833.333333333333</v>
      </c>
      <c r="G40">
        <v>-5833.333333333333</v>
      </c>
      <c r="H40">
        <v>-5833.333333333333</v>
      </c>
      <c r="I40">
        <v>-5833.333333333333</v>
      </c>
      <c r="J40">
        <v>-5833.333333333333</v>
      </c>
      <c r="K40">
        <v>-5833.333333333333</v>
      </c>
      <c r="L40">
        <v>-5833.333333333333</v>
      </c>
      <c r="M40">
        <v>-5833.333333333333</v>
      </c>
      <c r="N40">
        <v>-5833.333333333333</v>
      </c>
      <c r="O40">
        <v>-5833.333333333333</v>
      </c>
      <c r="P40">
        <v>-5833.333333333333</v>
      </c>
      <c r="Q40">
        <v>-5833.333333333333</v>
      </c>
      <c r="R40">
        <f t="shared" ref="R40" si="20">SUMSQ(F40,G40,H40,I40,J40,K40,L40,M40,N40,O40,P40,Q40)</f>
        <v>408333333.33333343</v>
      </c>
    </row>
    <row r="41" spans="2:18" x14ac:dyDescent="0.25">
      <c r="B41" s="3" t="s">
        <v>236</v>
      </c>
      <c r="C41" t="s">
        <v>16</v>
      </c>
      <c r="D41" t="s">
        <v>199</v>
      </c>
      <c r="E41" t="s">
        <v>128</v>
      </c>
      <c r="F41">
        <v>-50000</v>
      </c>
      <c r="G41">
        <v>-50000</v>
      </c>
      <c r="H41">
        <v>-50000</v>
      </c>
      <c r="I41">
        <v>-50000</v>
      </c>
      <c r="J41">
        <v>-50000</v>
      </c>
      <c r="K41">
        <v>-50000</v>
      </c>
      <c r="L41">
        <v>-50000</v>
      </c>
      <c r="M41">
        <v>-50000</v>
      </c>
      <c r="N41">
        <v>-50000</v>
      </c>
      <c r="O41">
        <v>-50000</v>
      </c>
      <c r="P41">
        <v>-50000</v>
      </c>
      <c r="Q41">
        <v>-50000</v>
      </c>
      <c r="R41">
        <f t="shared" ref="R41" si="21">SUMSQ(F41,G41,H41,I41,J41,K41,L41,M41,N41,O41,P41,Q41)</f>
        <v>30000000000</v>
      </c>
    </row>
    <row r="42" spans="2:18" x14ac:dyDescent="0.25">
      <c r="B42" s="3" t="s">
        <v>236</v>
      </c>
      <c r="C42" t="s">
        <v>13</v>
      </c>
      <c r="D42" t="s">
        <v>199</v>
      </c>
      <c r="E42" t="s">
        <v>128</v>
      </c>
      <c r="F42">
        <v>-250</v>
      </c>
      <c r="G42">
        <v>-250</v>
      </c>
      <c r="H42">
        <v>-250</v>
      </c>
      <c r="I42">
        <v>-250</v>
      </c>
      <c r="J42">
        <v>-250</v>
      </c>
      <c r="K42">
        <v>-250</v>
      </c>
      <c r="L42">
        <v>-250</v>
      </c>
      <c r="M42">
        <v>-250</v>
      </c>
      <c r="N42">
        <v>-250</v>
      </c>
      <c r="O42">
        <v>-250</v>
      </c>
      <c r="P42">
        <v>-250</v>
      </c>
      <c r="Q42">
        <v>-250</v>
      </c>
      <c r="R42">
        <f t="shared" ref="R42" si="22">SUMSQ(F42,G42,H42,I42,J42,K42,L42,M42,N42,O42,P42,Q42)</f>
        <v>750000</v>
      </c>
    </row>
    <row r="43" spans="2:18" x14ac:dyDescent="0.25">
      <c r="B43" s="3" t="s">
        <v>236</v>
      </c>
      <c r="C43" t="s">
        <v>109</v>
      </c>
      <c r="D43" t="s">
        <v>199</v>
      </c>
      <c r="E43" t="s">
        <v>128</v>
      </c>
      <c r="F43">
        <v>-583.33333333333337</v>
      </c>
      <c r="G43">
        <v>-583.33333333333337</v>
      </c>
      <c r="H43">
        <v>-583.33333333333337</v>
      </c>
      <c r="I43">
        <v>-583.33333333333337</v>
      </c>
      <c r="J43">
        <v>-583.33333333333337</v>
      </c>
      <c r="K43">
        <v>-583.33333333333337</v>
      </c>
      <c r="L43">
        <v>-583.33333333333337</v>
      </c>
      <c r="M43">
        <v>-583.33333333333337</v>
      </c>
      <c r="N43">
        <v>-583.33333333333337</v>
      </c>
      <c r="O43">
        <v>-583.33333333333337</v>
      </c>
      <c r="P43">
        <v>-583.33333333333337</v>
      </c>
      <c r="Q43">
        <v>-583.33333333333337</v>
      </c>
      <c r="R43">
        <f t="shared" ref="R43" si="23">SUMSQ(F43,G43,H43,I43,J43,K43,L43,M43,N43,O43,P43,Q43)</f>
        <v>4083333.3333333344</v>
      </c>
    </row>
    <row r="44" spans="2:18" x14ac:dyDescent="0.25">
      <c r="B44" s="3" t="s">
        <v>236</v>
      </c>
      <c r="C44" t="s">
        <v>81</v>
      </c>
      <c r="D44" t="s">
        <v>199</v>
      </c>
      <c r="E44" t="s">
        <v>128</v>
      </c>
      <c r="F44">
        <v>-318.28416666666669</v>
      </c>
      <c r="G44">
        <v>-318.28416666666669</v>
      </c>
      <c r="H44">
        <v>-318.28416666666669</v>
      </c>
      <c r="I44">
        <v>-318.28416666666669</v>
      </c>
      <c r="J44">
        <v>-318.28416666666669</v>
      </c>
      <c r="K44">
        <v>-318.28416666666669</v>
      </c>
      <c r="L44">
        <v>-318.28416666666669</v>
      </c>
      <c r="M44">
        <v>-318.28416666666669</v>
      </c>
      <c r="N44">
        <v>-318.28416666666669</v>
      </c>
      <c r="O44">
        <v>-318.28416666666669</v>
      </c>
      <c r="P44">
        <v>-318.28416666666669</v>
      </c>
      <c r="Q44">
        <v>-318.28416666666669</v>
      </c>
      <c r="R44">
        <f t="shared" ref="R44:R45" si="24">SUMSQ(F44,G44,H44,I44,J44,K44,L44,M44,N44,O44,P44,Q44)</f>
        <v>1215657.7290083335</v>
      </c>
    </row>
    <row r="45" spans="2:18" x14ac:dyDescent="0.25">
      <c r="B45" s="3" t="s">
        <v>237</v>
      </c>
      <c r="C45" t="s">
        <v>60</v>
      </c>
      <c r="D45" t="s">
        <v>199</v>
      </c>
      <c r="E45" t="s">
        <v>128</v>
      </c>
      <c r="F45">
        <v>-81261.550833333327</v>
      </c>
      <c r="G45">
        <v>-81261.550833333327</v>
      </c>
      <c r="H45">
        <v>-81261.550833333327</v>
      </c>
      <c r="I45">
        <v>-81261.550833333327</v>
      </c>
      <c r="J45">
        <v>-81261.550833333327</v>
      </c>
      <c r="K45">
        <v>-81261.550833333327</v>
      </c>
      <c r="L45">
        <v>-81261.550833333327</v>
      </c>
      <c r="M45">
        <v>-81261.550833333327</v>
      </c>
      <c r="N45">
        <v>-81261.550833333327</v>
      </c>
      <c r="O45">
        <v>-73803.077499999999</v>
      </c>
      <c r="P45">
        <v>-73803.077499999999</v>
      </c>
      <c r="Q45">
        <v>-73803.077499999999</v>
      </c>
      <c r="R45">
        <f t="shared" si="24"/>
        <v>75771639539.958771</v>
      </c>
    </row>
    <row r="46" spans="2:18" x14ac:dyDescent="0.25">
      <c r="B46" s="3" t="s">
        <v>237</v>
      </c>
      <c r="C46" t="s">
        <v>61</v>
      </c>
      <c r="D46" t="s">
        <v>199</v>
      </c>
      <c r="E46" t="s">
        <v>128</v>
      </c>
      <c r="F46">
        <v>-5000</v>
      </c>
      <c r="G46">
        <v>-5000</v>
      </c>
      <c r="H46">
        <v>-5000</v>
      </c>
      <c r="I46">
        <v>-5000</v>
      </c>
      <c r="J46">
        <v>-5000</v>
      </c>
      <c r="K46">
        <v>-5000</v>
      </c>
      <c r="L46">
        <v>-5000</v>
      </c>
      <c r="M46">
        <v>-5000</v>
      </c>
      <c r="N46">
        <v>-5000</v>
      </c>
      <c r="O46">
        <v>-5000</v>
      </c>
      <c r="P46">
        <v>-5000</v>
      </c>
      <c r="Q46">
        <v>-5000</v>
      </c>
      <c r="R46">
        <f t="shared" ref="R46" si="25">SUMSQ(F46,G46,H46,I46,J46,K46,L46,M46,N46,O46,P46,Q46)</f>
        <v>300000000</v>
      </c>
    </row>
    <row r="47" spans="2:18" x14ac:dyDescent="0.25">
      <c r="B47" s="3" t="s">
        <v>237</v>
      </c>
      <c r="C47" t="s">
        <v>62</v>
      </c>
      <c r="D47" t="s">
        <v>199</v>
      </c>
      <c r="E47" t="s">
        <v>17</v>
      </c>
      <c r="F47">
        <v>-1172.0833333333333</v>
      </c>
      <c r="G47">
        <v>-1172.0833333333333</v>
      </c>
      <c r="H47">
        <v>-1172.0833333333333</v>
      </c>
      <c r="I47">
        <v>-1172.0833333333333</v>
      </c>
      <c r="J47">
        <v>-1172.0833333333333</v>
      </c>
      <c r="K47">
        <v>-1172.0833333333333</v>
      </c>
      <c r="L47">
        <v>-1172.0833333333333</v>
      </c>
      <c r="M47">
        <v>-1172.0833333333333</v>
      </c>
      <c r="N47">
        <v>-1172.0833333333333</v>
      </c>
      <c r="O47">
        <v>-1172.0833333333333</v>
      </c>
      <c r="P47">
        <v>-1172.0833333333333</v>
      </c>
      <c r="Q47">
        <v>-1172.0833333333333</v>
      </c>
      <c r="R47">
        <f t="shared" ref="R47:R49" si="26">SUMSQ(F47,G47,H47,I47,J47,K47,L47,M47,N47,O47,P47,Q47)</f>
        <v>16485352.083333334</v>
      </c>
    </row>
    <row r="48" spans="2:18" x14ac:dyDescent="0.25">
      <c r="B48" s="3" t="s">
        <v>237</v>
      </c>
      <c r="C48" t="s">
        <v>62</v>
      </c>
      <c r="D48" t="s">
        <v>199</v>
      </c>
      <c r="E48" t="s">
        <v>128</v>
      </c>
      <c r="F48">
        <v>-43333.333333333328</v>
      </c>
      <c r="G48">
        <v>-43333.333333333328</v>
      </c>
      <c r="H48">
        <v>-43333.333333333328</v>
      </c>
      <c r="I48">
        <v>-90000</v>
      </c>
      <c r="J48">
        <v>-90000</v>
      </c>
      <c r="K48">
        <v>-90000</v>
      </c>
      <c r="L48">
        <v>-51666.666666666664</v>
      </c>
      <c r="M48">
        <v>-51666.666666666664</v>
      </c>
      <c r="N48">
        <v>-51666.666666666664</v>
      </c>
      <c r="O48">
        <v>-28333.333333333332</v>
      </c>
      <c r="P48">
        <v>-28333.333333333332</v>
      </c>
      <c r="Q48">
        <v>-28333.333333333332</v>
      </c>
      <c r="R48">
        <f t="shared" si="26"/>
        <v>40350000000</v>
      </c>
    </row>
    <row r="49" spans="2:18" x14ac:dyDescent="0.25">
      <c r="B49" s="3" t="s">
        <v>237</v>
      </c>
      <c r="C49" t="s">
        <v>63</v>
      </c>
      <c r="D49" t="s">
        <v>199</v>
      </c>
      <c r="E49" t="s">
        <v>128</v>
      </c>
      <c r="F49">
        <v>-416.66666666666669</v>
      </c>
      <c r="G49">
        <v>-416.66666666666669</v>
      </c>
      <c r="H49">
        <v>-416.66666666666669</v>
      </c>
      <c r="I49">
        <v>-416.66666666666669</v>
      </c>
      <c r="J49">
        <v>-416.66666666666669</v>
      </c>
      <c r="K49">
        <v>-416.66666666666669</v>
      </c>
      <c r="L49">
        <v>-416.66666666666669</v>
      </c>
      <c r="M49">
        <v>-416.66666666666669</v>
      </c>
      <c r="N49">
        <v>-416.66666666666669</v>
      </c>
      <c r="O49">
        <v>-416.66666666666669</v>
      </c>
      <c r="P49">
        <v>-416.66666666666669</v>
      </c>
      <c r="Q49">
        <v>-416.66666666666669</v>
      </c>
      <c r="R49">
        <f t="shared" si="26"/>
        <v>2083333.333333333</v>
      </c>
    </row>
    <row r="50" spans="2:18" x14ac:dyDescent="0.25">
      <c r="B50" s="3" t="s">
        <v>237</v>
      </c>
      <c r="C50" t="s">
        <v>124</v>
      </c>
      <c r="D50" t="s">
        <v>199</v>
      </c>
      <c r="E50" t="s">
        <v>128</v>
      </c>
      <c r="F50">
        <v>-1250</v>
      </c>
      <c r="G50">
        <v>-1250</v>
      </c>
      <c r="H50">
        <v>-1250</v>
      </c>
      <c r="I50">
        <v>-1250</v>
      </c>
      <c r="J50">
        <v>-1250</v>
      </c>
      <c r="K50">
        <v>-1250</v>
      </c>
      <c r="L50">
        <v>-1250</v>
      </c>
      <c r="M50">
        <v>-1250</v>
      </c>
      <c r="N50">
        <v>-1250</v>
      </c>
      <c r="O50">
        <v>-1250</v>
      </c>
      <c r="P50">
        <v>-1250</v>
      </c>
      <c r="Q50">
        <v>-1250</v>
      </c>
      <c r="R50">
        <f t="shared" ref="R50:R65" si="27">SUMSQ(F50,G50,H50,I50,J50,K50,L50,M50,N50,O50,P50,Q50)</f>
        <v>18750000</v>
      </c>
    </row>
    <row r="51" spans="2:18" x14ac:dyDescent="0.25">
      <c r="B51" s="3" t="s">
        <v>237</v>
      </c>
      <c r="C51" t="s">
        <v>64</v>
      </c>
      <c r="D51" t="s">
        <v>199</v>
      </c>
      <c r="E51" t="s">
        <v>128</v>
      </c>
      <c r="F51">
        <v>-2797.1608333333334</v>
      </c>
      <c r="G51">
        <v>-2797.1608333333334</v>
      </c>
      <c r="H51">
        <v>-2797.1608333333334</v>
      </c>
      <c r="I51">
        <v>-2797.1608333333334</v>
      </c>
      <c r="J51">
        <v>-2797.1608333333334</v>
      </c>
      <c r="K51">
        <v>-2797.1608333333334</v>
      </c>
      <c r="L51">
        <v>-2797.1608333333334</v>
      </c>
      <c r="M51">
        <v>-2797.1608333333334</v>
      </c>
      <c r="N51">
        <v>-2797.1608333333334</v>
      </c>
      <c r="O51">
        <v>-2797.1608333333334</v>
      </c>
      <c r="P51">
        <v>-2797.1608333333334</v>
      </c>
      <c r="Q51">
        <v>-2797.1608333333334</v>
      </c>
      <c r="R51">
        <f t="shared" si="27"/>
        <v>93889304.730408326</v>
      </c>
    </row>
    <row r="52" spans="2:18" x14ac:dyDescent="0.25">
      <c r="B52" s="3" t="s">
        <v>238</v>
      </c>
      <c r="C52" t="s">
        <v>11</v>
      </c>
      <c r="D52" t="s">
        <v>199</v>
      </c>
      <c r="E52" t="s">
        <v>155</v>
      </c>
      <c r="I52">
        <v>-3666.6666666666665</v>
      </c>
      <c r="J52">
        <v>-3666.6666666666665</v>
      </c>
      <c r="K52">
        <v>-3666.6666666666665</v>
      </c>
      <c r="L52">
        <v>-3666.6666666666665</v>
      </c>
      <c r="M52">
        <v>-3666.6666666666665</v>
      </c>
      <c r="N52">
        <v>-3666.6666666666665</v>
      </c>
      <c r="O52">
        <v>-3666.6666666666665</v>
      </c>
      <c r="P52">
        <v>-3666.6666666666665</v>
      </c>
      <c r="Q52">
        <v>-3666.6666666666665</v>
      </c>
      <c r="R52">
        <f t="shared" si="27"/>
        <v>121000000.00000001</v>
      </c>
    </row>
    <row r="53" spans="2:18" x14ac:dyDescent="0.25">
      <c r="B53" s="3" t="s">
        <v>238</v>
      </c>
      <c r="C53" t="s">
        <v>11</v>
      </c>
      <c r="D53" t="s">
        <v>199</v>
      </c>
      <c r="E53" t="s">
        <v>128</v>
      </c>
      <c r="F53">
        <v>-83229.537500000006</v>
      </c>
      <c r="G53">
        <v>-83229.537500000006</v>
      </c>
      <c r="H53">
        <v>-83229.537500000006</v>
      </c>
      <c r="I53">
        <v>-81246.290833333333</v>
      </c>
      <c r="J53">
        <v>-81246.290833333333</v>
      </c>
      <c r="K53">
        <v>-81246.290833333333</v>
      </c>
      <c r="L53">
        <v>-81246.290833333333</v>
      </c>
      <c r="M53">
        <v>-81246.290833333333</v>
      </c>
      <c r="N53">
        <v>-81246.290833333333</v>
      </c>
      <c r="O53">
        <v>-81246.290833333333</v>
      </c>
      <c r="P53">
        <v>-81246.290833333333</v>
      </c>
      <c r="Q53">
        <v>-81246.290833333333</v>
      </c>
      <c r="R53">
        <f t="shared" si="27"/>
        <v>80190105704.962982</v>
      </c>
    </row>
    <row r="54" spans="2:18" x14ac:dyDescent="0.25">
      <c r="B54" s="3" t="s">
        <v>238</v>
      </c>
      <c r="C54" t="s">
        <v>12</v>
      </c>
      <c r="D54" t="s">
        <v>199</v>
      </c>
      <c r="E54" t="s">
        <v>128</v>
      </c>
      <c r="F54">
        <v>-10416.666666666666</v>
      </c>
      <c r="G54">
        <v>-10416.666666666666</v>
      </c>
      <c r="H54">
        <v>-10416.666666666666</v>
      </c>
      <c r="I54">
        <v>-10416.666666666666</v>
      </c>
      <c r="J54">
        <v>-10416.666666666666</v>
      </c>
      <c r="K54">
        <v>-10416.666666666666</v>
      </c>
      <c r="L54">
        <v>-10416.666666666666</v>
      </c>
      <c r="M54">
        <v>-10416.666666666666</v>
      </c>
      <c r="N54">
        <v>-10416.666666666666</v>
      </c>
      <c r="O54">
        <v>-10416.666666666666</v>
      </c>
      <c r="P54">
        <v>-10416.666666666666</v>
      </c>
      <c r="Q54">
        <v>-10416.666666666666</v>
      </c>
      <c r="R54">
        <f t="shared" si="27"/>
        <v>1302083333.3333333</v>
      </c>
    </row>
    <row r="55" spans="2:18" x14ac:dyDescent="0.25">
      <c r="B55" s="3" t="s">
        <v>238</v>
      </c>
      <c r="C55" t="s">
        <v>13</v>
      </c>
      <c r="D55" t="s">
        <v>199</v>
      </c>
      <c r="E55" t="s">
        <v>128</v>
      </c>
      <c r="F55">
        <v>-666.66666666666663</v>
      </c>
      <c r="G55">
        <v>-666.66666666666663</v>
      </c>
      <c r="H55">
        <v>-666.66666666666663</v>
      </c>
      <c r="I55">
        <v>-666.66666666666663</v>
      </c>
      <c r="J55">
        <v>-666.66666666666663</v>
      </c>
      <c r="K55">
        <v>-666.66666666666663</v>
      </c>
      <c r="L55">
        <v>-666.66666666666663</v>
      </c>
      <c r="M55">
        <v>-666.66666666666663</v>
      </c>
      <c r="N55">
        <v>-666.66666666666663</v>
      </c>
      <c r="O55">
        <v>-666.66666666666663</v>
      </c>
      <c r="P55">
        <v>-666.66666666666663</v>
      </c>
      <c r="Q55">
        <v>-666.66666666666663</v>
      </c>
      <c r="R55">
        <f t="shared" si="27"/>
        <v>5333333.3333333321</v>
      </c>
    </row>
    <row r="56" spans="2:18" x14ac:dyDescent="0.25">
      <c r="B56" s="3" t="s">
        <v>238</v>
      </c>
      <c r="C56" t="s">
        <v>62</v>
      </c>
      <c r="D56" t="s">
        <v>179</v>
      </c>
      <c r="E56" t="s">
        <v>128</v>
      </c>
      <c r="F56">
        <v>-70833.333333333328</v>
      </c>
      <c r="G56">
        <v>-70833.333333333328</v>
      </c>
      <c r="H56">
        <v>-70833.333333333328</v>
      </c>
      <c r="I56">
        <v>-70833.333333333328</v>
      </c>
      <c r="J56">
        <v>-70833.333333333328</v>
      </c>
      <c r="K56">
        <v>-70833.333333333328</v>
      </c>
      <c r="L56">
        <v>-70833.333333333328</v>
      </c>
      <c r="M56">
        <v>-70833.333333333328</v>
      </c>
      <c r="N56">
        <v>-70833.333333333328</v>
      </c>
      <c r="O56">
        <v>-70833.333333333328</v>
      </c>
      <c r="P56">
        <v>-70833.333333333328</v>
      </c>
      <c r="Q56">
        <v>-70833.333333333328</v>
      </c>
      <c r="R56">
        <f t="shared" si="27"/>
        <v>60208333333.333344</v>
      </c>
    </row>
    <row r="57" spans="2:18" x14ac:dyDescent="0.25">
      <c r="B57" t="s">
        <v>239</v>
      </c>
      <c r="C57" t="s">
        <v>11</v>
      </c>
      <c r="D57" t="s">
        <v>199</v>
      </c>
      <c r="E57" t="s">
        <v>128</v>
      </c>
      <c r="F57">
        <v>-86249.426666666666</v>
      </c>
      <c r="G57">
        <v>-86249.426666666666</v>
      </c>
      <c r="H57">
        <v>-86249.426666666666</v>
      </c>
      <c r="I57">
        <v>-86249.426666666666</v>
      </c>
      <c r="J57">
        <v>-86249.426666666666</v>
      </c>
      <c r="K57">
        <v>-86249.426666666666</v>
      </c>
      <c r="L57">
        <v>-86249.426666666666</v>
      </c>
      <c r="M57">
        <v>-86249.426666666666</v>
      </c>
      <c r="N57">
        <v>-86249.426666666666</v>
      </c>
      <c r="O57">
        <v>-86249.426666666666</v>
      </c>
      <c r="P57">
        <v>-86249.426666666666</v>
      </c>
      <c r="Q57">
        <v>-86249.426666666666</v>
      </c>
      <c r="R57">
        <f t="shared" si="27"/>
        <v>89267563203.944519</v>
      </c>
    </row>
    <row r="58" spans="2:18" x14ac:dyDescent="0.25">
      <c r="B58" s="3" t="s">
        <v>239</v>
      </c>
      <c r="C58" t="s">
        <v>12</v>
      </c>
      <c r="D58" t="s">
        <v>199</v>
      </c>
      <c r="E58" t="s">
        <v>128</v>
      </c>
      <c r="F58">
        <v>-5000</v>
      </c>
      <c r="G58">
        <v>-5000</v>
      </c>
      <c r="H58">
        <v>-5000</v>
      </c>
      <c r="I58">
        <v>-5000</v>
      </c>
      <c r="J58">
        <v>-5000</v>
      </c>
      <c r="K58">
        <v>-5000</v>
      </c>
      <c r="L58">
        <v>-5000</v>
      </c>
      <c r="M58">
        <v>-5000</v>
      </c>
      <c r="N58">
        <v>-5000</v>
      </c>
      <c r="O58">
        <v>-5000</v>
      </c>
      <c r="P58">
        <v>-5000</v>
      </c>
      <c r="Q58">
        <v>-5000</v>
      </c>
      <c r="R58">
        <f t="shared" si="27"/>
        <v>300000000</v>
      </c>
    </row>
    <row r="59" spans="2:18" x14ac:dyDescent="0.25">
      <c r="B59" s="3" t="s">
        <v>239</v>
      </c>
      <c r="C59" t="s">
        <v>16</v>
      </c>
      <c r="D59" t="s">
        <v>199</v>
      </c>
      <c r="E59" t="s">
        <v>128</v>
      </c>
      <c r="F59">
        <v>-20833.333333333332</v>
      </c>
      <c r="G59">
        <v>-20833.333333333332</v>
      </c>
      <c r="H59">
        <v>-20833.333333333332</v>
      </c>
      <c r="I59">
        <v>-20833.333333333332</v>
      </c>
      <c r="J59">
        <v>-20833.333333333332</v>
      </c>
      <c r="K59">
        <v>-20833.333333333332</v>
      </c>
      <c r="L59">
        <v>-20833.333333333332</v>
      </c>
      <c r="M59">
        <v>-20833.333333333332</v>
      </c>
      <c r="N59">
        <v>-20833.333333333332</v>
      </c>
      <c r="O59">
        <v>-20833.333333333332</v>
      </c>
      <c r="P59">
        <v>-20833.333333333332</v>
      </c>
      <c r="Q59">
        <v>-20833.333333333332</v>
      </c>
      <c r="R59">
        <f t="shared" si="27"/>
        <v>5208333333.333333</v>
      </c>
    </row>
    <row r="60" spans="2:18" x14ac:dyDescent="0.25">
      <c r="B60" s="3" t="s">
        <v>239</v>
      </c>
      <c r="C60" t="s">
        <v>13</v>
      </c>
      <c r="D60" t="s">
        <v>199</v>
      </c>
      <c r="E60" t="s">
        <v>128</v>
      </c>
      <c r="F60">
        <v>-83.333333333333329</v>
      </c>
      <c r="G60">
        <v>-83.333333333333329</v>
      </c>
      <c r="H60">
        <v>-83.333333333333329</v>
      </c>
      <c r="I60">
        <v>-83.333333333333329</v>
      </c>
      <c r="J60">
        <v>-83.333333333333329</v>
      </c>
      <c r="K60">
        <v>-83.333333333333329</v>
      </c>
      <c r="L60">
        <v>-83.333333333333329</v>
      </c>
      <c r="M60">
        <v>-83.333333333333329</v>
      </c>
      <c r="N60">
        <v>-83.333333333333329</v>
      </c>
      <c r="O60">
        <v>-83.333333333333329</v>
      </c>
      <c r="P60">
        <v>-83.333333333333329</v>
      </c>
      <c r="Q60">
        <v>-83.333333333333329</v>
      </c>
      <c r="R60">
        <f t="shared" si="27"/>
        <v>83333.333333333314</v>
      </c>
    </row>
    <row r="61" spans="2:18" x14ac:dyDescent="0.25">
      <c r="B61" t="s">
        <v>240</v>
      </c>
      <c r="C61" t="s">
        <v>81</v>
      </c>
      <c r="D61" t="s">
        <v>199</v>
      </c>
      <c r="E61" t="s">
        <v>128</v>
      </c>
      <c r="F61">
        <v>-666.66666666666663</v>
      </c>
      <c r="G61">
        <v>-666.66666666666663</v>
      </c>
      <c r="H61">
        <v>-666.66666666666663</v>
      </c>
      <c r="I61">
        <v>-666.66666666666663</v>
      </c>
      <c r="J61">
        <v>-666.66666666666663</v>
      </c>
      <c r="K61">
        <v>-666.66666666666663</v>
      </c>
      <c r="L61">
        <v>-666.66666666666663</v>
      </c>
      <c r="M61">
        <v>-666.66666666666663</v>
      </c>
      <c r="N61">
        <v>-666.66666666666663</v>
      </c>
      <c r="O61">
        <v>-666.66666666666663</v>
      </c>
      <c r="P61">
        <v>-666.66666666666663</v>
      </c>
      <c r="Q61">
        <v>-666.66666666666663</v>
      </c>
      <c r="R61">
        <f t="shared" si="27"/>
        <v>5333333.3333333321</v>
      </c>
    </row>
    <row r="62" spans="2:18" x14ac:dyDescent="0.25">
      <c r="B62" s="3" t="s">
        <v>240</v>
      </c>
      <c r="C62" t="s">
        <v>18</v>
      </c>
      <c r="D62" t="s">
        <v>199</v>
      </c>
      <c r="E62" t="s">
        <v>128</v>
      </c>
      <c r="F62">
        <v>-36568.165000000001</v>
      </c>
      <c r="G62">
        <v>-36568.165000000001</v>
      </c>
      <c r="H62">
        <v>-36568.165000000001</v>
      </c>
      <c r="I62">
        <v>-36568.165000000001</v>
      </c>
      <c r="J62">
        <v>-36568.165000000001</v>
      </c>
      <c r="K62">
        <v>-36568.165000000001</v>
      </c>
      <c r="L62">
        <v>-36568.165000000001</v>
      </c>
      <c r="M62">
        <v>-36568.165000000001</v>
      </c>
      <c r="N62">
        <v>-36568.165000000001</v>
      </c>
      <c r="O62">
        <v>-36568.165000000001</v>
      </c>
      <c r="P62">
        <v>-36568.165000000001</v>
      </c>
      <c r="Q62">
        <v>-36568.165000000001</v>
      </c>
      <c r="R62">
        <f t="shared" si="27"/>
        <v>16046768297.606697</v>
      </c>
    </row>
    <row r="63" spans="2:18" x14ac:dyDescent="0.25">
      <c r="B63" s="3" t="s">
        <v>240</v>
      </c>
      <c r="C63" t="s">
        <v>19</v>
      </c>
      <c r="D63" t="s">
        <v>199</v>
      </c>
      <c r="E63" t="s">
        <v>128</v>
      </c>
      <c r="F63">
        <v>-583.33333333333337</v>
      </c>
      <c r="G63">
        <v>-583.33333333333337</v>
      </c>
      <c r="H63">
        <v>-583.33333333333337</v>
      </c>
      <c r="I63">
        <v>-583.33333333333337</v>
      </c>
      <c r="J63">
        <v>-583.33333333333337</v>
      </c>
      <c r="K63">
        <v>-583.33333333333337</v>
      </c>
      <c r="L63">
        <v>-583.33333333333337</v>
      </c>
      <c r="M63">
        <v>-583.33333333333337</v>
      </c>
      <c r="N63">
        <v>-583.33333333333337</v>
      </c>
      <c r="O63">
        <v>-583.33333333333337</v>
      </c>
      <c r="P63">
        <v>-583.33333333333337</v>
      </c>
      <c r="Q63">
        <v>-583.33333333333337</v>
      </c>
      <c r="R63">
        <f t="shared" si="27"/>
        <v>4083333.3333333344</v>
      </c>
    </row>
    <row r="64" spans="2:18" x14ac:dyDescent="0.25">
      <c r="B64" s="3" t="s">
        <v>240</v>
      </c>
      <c r="C64" t="s">
        <v>21</v>
      </c>
      <c r="D64" t="s">
        <v>199</v>
      </c>
      <c r="E64" t="s">
        <v>128</v>
      </c>
      <c r="F64">
        <v>-250</v>
      </c>
      <c r="G64">
        <v>-250</v>
      </c>
      <c r="H64">
        <v>-250</v>
      </c>
      <c r="I64">
        <v>-250</v>
      </c>
      <c r="J64">
        <v>-250</v>
      </c>
      <c r="K64">
        <v>-250</v>
      </c>
      <c r="L64">
        <v>-250</v>
      </c>
      <c r="M64">
        <v>-250</v>
      </c>
      <c r="N64">
        <v>-250</v>
      </c>
      <c r="O64">
        <v>-250</v>
      </c>
      <c r="P64">
        <v>-250</v>
      </c>
      <c r="Q64">
        <v>-250</v>
      </c>
      <c r="R64">
        <f t="shared" si="27"/>
        <v>750000</v>
      </c>
    </row>
    <row r="65" spans="2:18" x14ac:dyDescent="0.25">
      <c r="B65" s="3" t="s">
        <v>240</v>
      </c>
      <c r="C65" t="s">
        <v>62</v>
      </c>
      <c r="D65" t="s">
        <v>206</v>
      </c>
      <c r="E65" t="s">
        <v>128</v>
      </c>
      <c r="F65">
        <v>-20000</v>
      </c>
      <c r="G65">
        <v>-20000</v>
      </c>
      <c r="H65">
        <v>-20000</v>
      </c>
      <c r="I65">
        <v>-13333.333333333334</v>
      </c>
      <c r="J65">
        <v>-13333.333333333334</v>
      </c>
      <c r="K65">
        <v>-13333.333333333334</v>
      </c>
      <c r="L65">
        <v>-18333.333333333336</v>
      </c>
      <c r="M65">
        <v>-18333.333333333336</v>
      </c>
      <c r="N65">
        <v>-18333.333333333336</v>
      </c>
      <c r="O65">
        <v>-18333.333333333336</v>
      </c>
      <c r="P65">
        <v>-18333.333333333336</v>
      </c>
      <c r="Q65">
        <v>-18333.333333333336</v>
      </c>
      <c r="R65">
        <f t="shared" si="27"/>
        <v>3750000000</v>
      </c>
    </row>
    <row r="66" spans="2:18" x14ac:dyDescent="0.25">
      <c r="B66" s="3" t="s">
        <v>241</v>
      </c>
      <c r="C66" t="s">
        <v>11</v>
      </c>
      <c r="D66" t="s">
        <v>199</v>
      </c>
      <c r="E66" t="s">
        <v>128</v>
      </c>
      <c r="F66">
        <v>-79212.999833333335</v>
      </c>
      <c r="G66">
        <v>-79212.999833333335</v>
      </c>
      <c r="H66">
        <v>-79212.999833333335</v>
      </c>
      <c r="I66">
        <v>-78053.747166666668</v>
      </c>
      <c r="J66">
        <v>-74575.989166666666</v>
      </c>
      <c r="K66">
        <v>-74575.989166666666</v>
      </c>
      <c r="L66">
        <v>-74575.989166666666</v>
      </c>
      <c r="M66">
        <v>-74575.989166666666</v>
      </c>
      <c r="N66">
        <v>-74575.989166666666</v>
      </c>
      <c r="O66">
        <v>-74575.989166666666</v>
      </c>
      <c r="P66">
        <v>-74575.989166666666</v>
      </c>
      <c r="Q66">
        <v>-74575.989166666666</v>
      </c>
      <c r="R66">
        <f t="shared" ref="R66:R71" si="28">SUMSQ(F66,G66,H66,I66,J66,K66,L66,M66,N66,O66,P66,Q66)</f>
        <v>69409110756.0392</v>
      </c>
    </row>
    <row r="67" spans="2:18" x14ac:dyDescent="0.25">
      <c r="B67" s="3" t="s">
        <v>241</v>
      </c>
      <c r="C67" t="s">
        <v>12</v>
      </c>
      <c r="D67" t="s">
        <v>199</v>
      </c>
      <c r="E67" t="s">
        <v>128</v>
      </c>
      <c r="F67">
        <v>-5000</v>
      </c>
      <c r="G67">
        <v>-5000</v>
      </c>
      <c r="H67">
        <v>-5000</v>
      </c>
      <c r="I67">
        <v>-5000</v>
      </c>
      <c r="J67">
        <v>-5000</v>
      </c>
      <c r="K67">
        <v>-5000</v>
      </c>
      <c r="L67">
        <v>-5000</v>
      </c>
      <c r="M67">
        <v>-5000</v>
      </c>
      <c r="N67">
        <v>-5000</v>
      </c>
      <c r="O67">
        <v>-5000</v>
      </c>
      <c r="P67">
        <v>-5000</v>
      </c>
      <c r="Q67">
        <v>-5000</v>
      </c>
      <c r="R67">
        <f t="shared" si="28"/>
        <v>300000000</v>
      </c>
    </row>
    <row r="68" spans="2:18" x14ac:dyDescent="0.25">
      <c r="B68" s="3" t="s">
        <v>241</v>
      </c>
      <c r="C68" t="s">
        <v>167</v>
      </c>
      <c r="D68" t="s">
        <v>199</v>
      </c>
      <c r="E68" t="s">
        <v>128</v>
      </c>
      <c r="F68">
        <v>-583.33333333333337</v>
      </c>
      <c r="G68">
        <v>-583.33333333333337</v>
      </c>
      <c r="H68">
        <v>-583.33333333333337</v>
      </c>
      <c r="I68">
        <v>-583.33333333333337</v>
      </c>
      <c r="J68">
        <v>-583.33333333333337</v>
      </c>
      <c r="K68">
        <v>-583.33333333333337</v>
      </c>
      <c r="L68">
        <v>-583.33333333333337</v>
      </c>
      <c r="M68">
        <v>-583.33333333333337</v>
      </c>
      <c r="N68">
        <v>-583.33333333333337</v>
      </c>
      <c r="O68">
        <v>-583.33333333333337</v>
      </c>
      <c r="P68">
        <v>-583.33333333333337</v>
      </c>
      <c r="Q68">
        <v>-583.33333333333337</v>
      </c>
      <c r="R68">
        <f t="shared" si="28"/>
        <v>4083333.3333333344</v>
      </c>
    </row>
    <row r="69" spans="2:18" x14ac:dyDescent="0.25">
      <c r="B69" s="3" t="s">
        <v>241</v>
      </c>
      <c r="C69" t="s">
        <v>13</v>
      </c>
      <c r="D69" t="s">
        <v>199</v>
      </c>
      <c r="E69" t="s">
        <v>128</v>
      </c>
      <c r="F69">
        <v>-250</v>
      </c>
      <c r="G69">
        <v>-250</v>
      </c>
      <c r="H69">
        <v>-250</v>
      </c>
      <c r="I69">
        <v>-250</v>
      </c>
      <c r="J69">
        <v>-250</v>
      </c>
      <c r="K69">
        <v>-250</v>
      </c>
      <c r="L69">
        <v>-250</v>
      </c>
      <c r="M69">
        <v>-250</v>
      </c>
      <c r="N69">
        <v>-250</v>
      </c>
      <c r="O69">
        <v>-250</v>
      </c>
      <c r="P69">
        <v>-250</v>
      </c>
      <c r="Q69">
        <v>-250</v>
      </c>
      <c r="R69">
        <f t="shared" si="28"/>
        <v>750000</v>
      </c>
    </row>
    <row r="70" spans="2:18" x14ac:dyDescent="0.25">
      <c r="B70" s="3" t="s">
        <v>241</v>
      </c>
      <c r="C70" t="s">
        <v>62</v>
      </c>
      <c r="D70" t="s">
        <v>199</v>
      </c>
      <c r="E70" t="s">
        <v>128</v>
      </c>
      <c r="F70">
        <v>-51750</v>
      </c>
      <c r="G70">
        <v>-51750</v>
      </c>
      <c r="H70">
        <v>-51750</v>
      </c>
      <c r="I70">
        <v>-51750</v>
      </c>
      <c r="J70">
        <v>-51750</v>
      </c>
      <c r="K70">
        <v>-51750</v>
      </c>
      <c r="L70">
        <v>-26750</v>
      </c>
      <c r="M70">
        <v>-26750</v>
      </c>
      <c r="N70">
        <v>-26750</v>
      </c>
      <c r="O70">
        <v>-26750</v>
      </c>
      <c r="P70">
        <v>-26750</v>
      </c>
      <c r="Q70">
        <v>-26750</v>
      </c>
      <c r="R70">
        <f t="shared" si="28"/>
        <v>20361750000</v>
      </c>
    </row>
    <row r="71" spans="2:18" x14ac:dyDescent="0.25">
      <c r="B71" s="3" t="s">
        <v>242</v>
      </c>
      <c r="C71" t="s">
        <v>11</v>
      </c>
      <c r="D71" t="s">
        <v>199</v>
      </c>
      <c r="E71" t="s">
        <v>128</v>
      </c>
      <c r="F71">
        <v>-174083.82166666668</v>
      </c>
      <c r="G71">
        <v>-186897.57166666668</v>
      </c>
      <c r="H71">
        <v>-186897.57166666668</v>
      </c>
      <c r="I71">
        <v>-195945.74937908497</v>
      </c>
      <c r="J71">
        <v>-200105.03820261438</v>
      </c>
      <c r="K71">
        <v>-200105.03820261438</v>
      </c>
      <c r="L71">
        <v>-209666.74153594772</v>
      </c>
      <c r="M71">
        <v>-209666.74153594772</v>
      </c>
      <c r="N71">
        <v>-209666.74153594772</v>
      </c>
      <c r="O71">
        <v>-209666.74153594772</v>
      </c>
      <c r="P71">
        <v>-209666.74153594772</v>
      </c>
      <c r="Q71">
        <v>-209666.74153594772</v>
      </c>
      <c r="R71">
        <f t="shared" si="28"/>
        <v>482406225921.54749</v>
      </c>
    </row>
    <row r="72" spans="2:18" x14ac:dyDescent="0.25">
      <c r="B72" s="3" t="s">
        <v>242</v>
      </c>
      <c r="C72" t="s">
        <v>12</v>
      </c>
      <c r="D72" t="s">
        <v>199</v>
      </c>
      <c r="E72" t="s">
        <v>128</v>
      </c>
      <c r="F72">
        <v>-20833.333333333332</v>
      </c>
      <c r="G72">
        <v>-20833.333333333332</v>
      </c>
      <c r="H72">
        <v>-20833.333333333332</v>
      </c>
      <c r="I72">
        <v>-20833.333333333332</v>
      </c>
      <c r="J72">
        <v>-20833.333333333332</v>
      </c>
      <c r="K72">
        <v>-20833.333333333332</v>
      </c>
      <c r="L72">
        <v>-20833.333333333332</v>
      </c>
      <c r="M72">
        <v>-20833.333333333332</v>
      </c>
      <c r="N72">
        <v>-20833.333333333332</v>
      </c>
      <c r="O72">
        <v>-20833.333333333332</v>
      </c>
      <c r="P72">
        <v>-20833.333333333332</v>
      </c>
      <c r="Q72">
        <v>-20833.333333333332</v>
      </c>
      <c r="R72">
        <f t="shared" ref="R72:R74" si="29">SUMSQ(F72,G72,H72,I72,J72,K72,L72,M72,N72,O72,P72,Q72)</f>
        <v>5208333333.333333</v>
      </c>
    </row>
    <row r="73" spans="2:18" x14ac:dyDescent="0.25">
      <c r="B73" s="3" t="s">
        <v>242</v>
      </c>
      <c r="C73" t="s">
        <v>16</v>
      </c>
      <c r="D73" t="s">
        <v>199</v>
      </c>
      <c r="E73" t="s">
        <v>128</v>
      </c>
      <c r="F73">
        <v>-138750.00000000035</v>
      </c>
      <c r="G73">
        <v>-138750.00000000035</v>
      </c>
      <c r="H73">
        <v>-138750.00000000035</v>
      </c>
      <c r="I73">
        <v>-155416.66666666634</v>
      </c>
      <c r="J73">
        <v>-155416.66666666634</v>
      </c>
      <c r="K73">
        <v>-155416.66666666634</v>
      </c>
      <c r="L73">
        <v>-122083.33333333333</v>
      </c>
      <c r="M73">
        <v>-122083.33333333333</v>
      </c>
      <c r="N73">
        <v>-122083.33333333333</v>
      </c>
      <c r="O73">
        <v>-122083.33333333333</v>
      </c>
      <c r="P73">
        <v>-122083.33333333333</v>
      </c>
      <c r="Q73">
        <v>-122083.33333333333</v>
      </c>
      <c r="R73">
        <f t="shared" si="29"/>
        <v>219643749999.99997</v>
      </c>
    </row>
    <row r="74" spans="2:18" x14ac:dyDescent="0.25">
      <c r="B74" s="3" t="s">
        <v>242</v>
      </c>
      <c r="C74" t="s">
        <v>16</v>
      </c>
      <c r="D74" t="s">
        <v>206</v>
      </c>
      <c r="E74" t="s">
        <v>17</v>
      </c>
      <c r="F74">
        <v>-2858.3333333333335</v>
      </c>
      <c r="G74">
        <v>-2858.3333333333335</v>
      </c>
      <c r="H74">
        <v>-2858.3333333333335</v>
      </c>
      <c r="I74">
        <v>-2858.3333333333335</v>
      </c>
      <c r="J74">
        <v>-2858.3333333333335</v>
      </c>
      <c r="K74">
        <v>-2858.3333333333335</v>
      </c>
      <c r="L74">
        <v>-2858.3333333333335</v>
      </c>
      <c r="M74">
        <v>-2858.3333333333335</v>
      </c>
      <c r="N74">
        <v>-2858.3333333333335</v>
      </c>
      <c r="O74">
        <v>-2858.3333333333335</v>
      </c>
      <c r="P74">
        <v>-2858.3333333333335</v>
      </c>
      <c r="Q74">
        <v>-2858.3333333333335</v>
      </c>
      <c r="R74">
        <f t="shared" si="29"/>
        <v>98040833.333333358</v>
      </c>
    </row>
    <row r="75" spans="2:18" x14ac:dyDescent="0.25">
      <c r="B75" s="3" t="s">
        <v>242</v>
      </c>
      <c r="C75" t="s">
        <v>13</v>
      </c>
      <c r="D75" t="s">
        <v>199</v>
      </c>
      <c r="E75" t="s">
        <v>128</v>
      </c>
      <c r="F75">
        <v>-750</v>
      </c>
      <c r="G75">
        <v>-750</v>
      </c>
      <c r="H75">
        <v>-750</v>
      </c>
      <c r="I75">
        <v>-750</v>
      </c>
      <c r="J75">
        <v>-750</v>
      </c>
      <c r="K75">
        <v>-750</v>
      </c>
      <c r="L75">
        <v>-750</v>
      </c>
      <c r="M75">
        <v>-750</v>
      </c>
      <c r="N75">
        <v>-750</v>
      </c>
      <c r="O75">
        <v>-750</v>
      </c>
      <c r="P75">
        <v>-750</v>
      </c>
      <c r="Q75">
        <v>-750</v>
      </c>
      <c r="R75">
        <f t="shared" ref="R75:R81" si="30">SUMSQ(F75,G75,H75,I75,J75,K75,L75,M75,N75,O75,P75,Q75)</f>
        <v>6750000</v>
      </c>
    </row>
    <row r="76" spans="2:18" x14ac:dyDescent="0.25">
      <c r="B76" s="3" t="s">
        <v>242</v>
      </c>
      <c r="C76" t="s">
        <v>109</v>
      </c>
      <c r="D76" t="s">
        <v>199</v>
      </c>
      <c r="E76" t="s">
        <v>128</v>
      </c>
      <c r="F76">
        <v>-583.33333333333337</v>
      </c>
      <c r="G76">
        <v>-583.33333333333337</v>
      </c>
      <c r="H76">
        <v>-583.33333333333337</v>
      </c>
      <c r="I76">
        <v>-583.33333333333337</v>
      </c>
      <c r="J76">
        <v>-583.33333333333337</v>
      </c>
      <c r="K76">
        <v>-583.33333333333337</v>
      </c>
      <c r="L76">
        <v>-583.33333333333337</v>
      </c>
      <c r="M76">
        <v>-583.33333333333337</v>
      </c>
      <c r="N76">
        <v>-583.33333333333337</v>
      </c>
      <c r="O76">
        <v>-583.33333333333337</v>
      </c>
      <c r="P76">
        <v>-583.33333333333337</v>
      </c>
      <c r="Q76">
        <v>-583.33333333333337</v>
      </c>
      <c r="R76">
        <f t="shared" si="30"/>
        <v>4083333.3333333344</v>
      </c>
    </row>
    <row r="77" spans="2:18" x14ac:dyDescent="0.25">
      <c r="B77" s="3" t="s">
        <v>242</v>
      </c>
      <c r="C77" t="s">
        <v>81</v>
      </c>
      <c r="D77" t="s">
        <v>199</v>
      </c>
      <c r="E77" t="s">
        <v>128</v>
      </c>
      <c r="F77">
        <v>-3466.0185185185182</v>
      </c>
      <c r="G77">
        <v>-3466.0185185185182</v>
      </c>
      <c r="H77">
        <v>-3466.0185185185182</v>
      </c>
      <c r="I77">
        <v>-3466.0185185185182</v>
      </c>
      <c r="J77">
        <v>-3466.0185185185182</v>
      </c>
      <c r="K77">
        <v>-3466.0185185185182</v>
      </c>
      <c r="L77">
        <v>-3466.0185185185182</v>
      </c>
      <c r="M77">
        <v>-3466.0185185185182</v>
      </c>
      <c r="N77">
        <v>-3466.0185185185182</v>
      </c>
      <c r="O77">
        <v>-3466.0185185185182</v>
      </c>
      <c r="P77">
        <v>-3466.0185185185182</v>
      </c>
      <c r="Q77">
        <v>-3466.0185185185182</v>
      </c>
      <c r="R77">
        <f t="shared" si="30"/>
        <v>144159412.44855967</v>
      </c>
    </row>
    <row r="78" spans="2:18" x14ac:dyDescent="0.25">
      <c r="B78" s="3" t="s">
        <v>243</v>
      </c>
      <c r="C78" t="s">
        <v>26</v>
      </c>
      <c r="D78" t="s">
        <v>199</v>
      </c>
      <c r="E78" t="s">
        <v>128</v>
      </c>
      <c r="F78">
        <v>-49409.978333333333</v>
      </c>
      <c r="G78">
        <v>-49409.978333333333</v>
      </c>
      <c r="H78">
        <v>-49409.978333333333</v>
      </c>
      <c r="I78">
        <v>-49409.978333333333</v>
      </c>
      <c r="J78">
        <v>-49409.978333333333</v>
      </c>
      <c r="K78">
        <v>-49409.978333333333</v>
      </c>
      <c r="L78">
        <v>-49409.978333333333</v>
      </c>
      <c r="M78">
        <v>-49409.978333333333</v>
      </c>
      <c r="N78">
        <v>-49409.978333333333</v>
      </c>
      <c r="O78">
        <v>-49409.978333333333</v>
      </c>
      <c r="P78">
        <v>-49409.978333333333</v>
      </c>
      <c r="Q78">
        <v>-49409.978333333333</v>
      </c>
      <c r="R78">
        <f t="shared" si="30"/>
        <v>29296151506.805637</v>
      </c>
    </row>
    <row r="79" spans="2:18" x14ac:dyDescent="0.25">
      <c r="B79" s="3" t="s">
        <v>243</v>
      </c>
      <c r="C79" t="s">
        <v>27</v>
      </c>
      <c r="D79" t="s">
        <v>199</v>
      </c>
      <c r="E79" t="s">
        <v>128</v>
      </c>
      <c r="F79">
        <v>-83.333333333333329</v>
      </c>
      <c r="G79">
        <v>-83.333333333333329</v>
      </c>
      <c r="H79">
        <v>-83.333333333333329</v>
      </c>
      <c r="I79">
        <v>-83.333333333333329</v>
      </c>
      <c r="J79">
        <v>-83.333333333333329</v>
      </c>
      <c r="K79">
        <v>-83.333333333333329</v>
      </c>
      <c r="L79">
        <v>-83.333333333333329</v>
      </c>
      <c r="M79">
        <v>-83.333333333333329</v>
      </c>
      <c r="N79">
        <v>-83.333333333333329</v>
      </c>
      <c r="O79">
        <v>-83.333333333333329</v>
      </c>
      <c r="P79">
        <v>-83.333333333333329</v>
      </c>
      <c r="Q79">
        <v>-83.333333333333329</v>
      </c>
      <c r="R79">
        <f t="shared" si="30"/>
        <v>83333.333333333314</v>
      </c>
    </row>
    <row r="80" spans="2:18" x14ac:dyDescent="0.25">
      <c r="B80" s="3" t="s">
        <v>243</v>
      </c>
      <c r="C80" t="s">
        <v>80</v>
      </c>
      <c r="D80" t="s">
        <v>106</v>
      </c>
      <c r="E80" t="s">
        <v>128</v>
      </c>
      <c r="F80">
        <v>-16225</v>
      </c>
      <c r="G80">
        <v>-16225</v>
      </c>
      <c r="H80">
        <v>-16225</v>
      </c>
      <c r="I80">
        <v>-16225</v>
      </c>
      <c r="J80">
        <v>-16225</v>
      </c>
      <c r="K80">
        <v>-16225</v>
      </c>
      <c r="L80">
        <v>-16225</v>
      </c>
      <c r="M80">
        <v>-16225</v>
      </c>
      <c r="N80">
        <v>-16225</v>
      </c>
      <c r="O80">
        <v>-16225</v>
      </c>
      <c r="P80">
        <v>-16225</v>
      </c>
      <c r="Q80">
        <v>-16225</v>
      </c>
      <c r="R80">
        <f t="shared" si="30"/>
        <v>3159007500</v>
      </c>
    </row>
    <row r="81" spans="2:18" x14ac:dyDescent="0.25">
      <c r="B81" s="3" t="s">
        <v>243</v>
      </c>
      <c r="C81" t="s">
        <v>80</v>
      </c>
      <c r="D81" t="s">
        <v>199</v>
      </c>
      <c r="E81" t="s">
        <v>128</v>
      </c>
      <c r="F81">
        <v>-1250</v>
      </c>
      <c r="G81">
        <v>-1250</v>
      </c>
      <c r="H81">
        <v>-1250</v>
      </c>
      <c r="I81">
        <v>-1250</v>
      </c>
      <c r="J81">
        <v>-1250</v>
      </c>
      <c r="K81">
        <v>-1250</v>
      </c>
      <c r="L81">
        <v>-1250</v>
      </c>
      <c r="M81">
        <v>-1250</v>
      </c>
      <c r="N81">
        <v>-1250</v>
      </c>
      <c r="O81">
        <v>-1250</v>
      </c>
      <c r="P81">
        <v>-1250</v>
      </c>
      <c r="Q81">
        <v>-1250</v>
      </c>
      <c r="R81">
        <f t="shared" si="30"/>
        <v>18750000</v>
      </c>
    </row>
    <row r="82" spans="2:18" x14ac:dyDescent="0.25">
      <c r="B82" s="3" t="s">
        <v>243</v>
      </c>
      <c r="C82" t="s">
        <v>29</v>
      </c>
      <c r="D82" t="s">
        <v>199</v>
      </c>
      <c r="E82" t="s">
        <v>158</v>
      </c>
      <c r="F82">
        <v>-8333.3333333333339</v>
      </c>
      <c r="G82">
        <v>-8333.3333333333339</v>
      </c>
      <c r="H82">
        <v>-8333.3333333333339</v>
      </c>
      <c r="I82">
        <v>-8333.3333333333339</v>
      </c>
      <c r="J82">
        <v>-8333.3333333333339</v>
      </c>
      <c r="K82">
        <v>-8333.3333333333339</v>
      </c>
      <c r="L82">
        <v>-8333.3333333333339</v>
      </c>
      <c r="M82">
        <v>-8333.3333333333339</v>
      </c>
      <c r="N82">
        <v>-8333.3333333333339</v>
      </c>
      <c r="O82">
        <v>-8333.3333333333339</v>
      </c>
      <c r="P82">
        <v>-8333.3333333333339</v>
      </c>
      <c r="Q82">
        <v>-8333.3333333333339</v>
      </c>
      <c r="R82">
        <f t="shared" ref="R82:R95" si="31">SUMSQ(F82,G82,H82,I82,J82,K82,L82,M82,N82,O82,P82,Q82)</f>
        <v>833333333.33333313</v>
      </c>
    </row>
    <row r="83" spans="2:18" x14ac:dyDescent="0.25">
      <c r="B83" s="3" t="s">
        <v>243</v>
      </c>
      <c r="C83" t="s">
        <v>30</v>
      </c>
      <c r="D83" t="s">
        <v>199</v>
      </c>
      <c r="E83" t="s">
        <v>128</v>
      </c>
      <c r="F83">
        <v>-83.333333333333329</v>
      </c>
      <c r="G83">
        <v>-83.333333333333329</v>
      </c>
      <c r="H83">
        <v>-83.333333333333329</v>
      </c>
      <c r="I83">
        <v>-83.333333333333329</v>
      </c>
      <c r="J83">
        <v>-83.333333333333329</v>
      </c>
      <c r="K83">
        <v>-83.333333333333329</v>
      </c>
      <c r="L83">
        <v>-83.333333333333329</v>
      </c>
      <c r="M83">
        <v>-83.333333333333329</v>
      </c>
      <c r="N83">
        <v>-83.333333333333329</v>
      </c>
      <c r="O83">
        <v>-83.333333333333329</v>
      </c>
      <c r="P83">
        <v>-83.333333333333329</v>
      </c>
      <c r="Q83">
        <v>-83.333333333333329</v>
      </c>
      <c r="R83">
        <f t="shared" si="31"/>
        <v>83333.333333333314</v>
      </c>
    </row>
    <row r="84" spans="2:18" x14ac:dyDescent="0.25">
      <c r="B84" s="3" t="s">
        <v>243</v>
      </c>
      <c r="C84" t="s">
        <v>131</v>
      </c>
      <c r="D84" t="s">
        <v>199</v>
      </c>
      <c r="E84" t="s">
        <v>17</v>
      </c>
      <c r="F84">
        <v>-2296.0833333333335</v>
      </c>
      <c r="G84">
        <v>-2296.0833333333335</v>
      </c>
      <c r="H84">
        <v>-2296.0833333333335</v>
      </c>
      <c r="I84">
        <v>-2296.0833333333335</v>
      </c>
      <c r="J84">
        <v>-2296.0833333333335</v>
      </c>
      <c r="K84">
        <v>-2296.0833333333335</v>
      </c>
      <c r="L84">
        <v>-2296.0833333333335</v>
      </c>
      <c r="M84">
        <v>-2296.0833333333335</v>
      </c>
      <c r="N84">
        <v>-2296.0833333333335</v>
      </c>
      <c r="O84">
        <v>-2296.0833333333335</v>
      </c>
      <c r="P84">
        <v>-2296.0833333333335</v>
      </c>
      <c r="Q84">
        <v>-2296.0833333333335</v>
      </c>
      <c r="R84">
        <f t="shared" si="31"/>
        <v>63263984.083333343</v>
      </c>
    </row>
    <row r="85" spans="2:18" x14ac:dyDescent="0.25">
      <c r="B85" s="3" t="s">
        <v>244</v>
      </c>
      <c r="C85" t="s">
        <v>26</v>
      </c>
      <c r="D85" t="s">
        <v>199</v>
      </c>
      <c r="E85" t="s">
        <v>128</v>
      </c>
      <c r="F85">
        <v>-88749.255833333344</v>
      </c>
      <c r="G85">
        <v>-88749.255833333344</v>
      </c>
      <c r="H85">
        <v>-88749.255833333344</v>
      </c>
      <c r="I85">
        <v>-88749.255833333344</v>
      </c>
      <c r="J85">
        <v>-88749.255833333344</v>
      </c>
      <c r="K85">
        <v>-88749.255833333344</v>
      </c>
      <c r="L85">
        <v>-88749.255833333344</v>
      </c>
      <c r="M85">
        <v>-88749.255833333344</v>
      </c>
      <c r="N85">
        <v>-88749.255833333344</v>
      </c>
      <c r="O85">
        <v>-88749.255833333344</v>
      </c>
      <c r="P85">
        <v>-88749.255833333344</v>
      </c>
      <c r="Q85">
        <v>-88749.255833333344</v>
      </c>
      <c r="R85">
        <f t="shared" si="31"/>
        <v>94517164931.645447</v>
      </c>
    </row>
    <row r="86" spans="2:18" x14ac:dyDescent="0.25">
      <c r="B86" s="3" t="s">
        <v>244</v>
      </c>
      <c r="C86" t="s">
        <v>181</v>
      </c>
      <c r="D86" t="s">
        <v>199</v>
      </c>
      <c r="E86" t="s">
        <v>182</v>
      </c>
      <c r="H86">
        <v>-7500</v>
      </c>
      <c r="K86">
        <v>-7500</v>
      </c>
      <c r="N86">
        <v>-7500</v>
      </c>
      <c r="Q86">
        <v>-7500</v>
      </c>
      <c r="R86">
        <f t="shared" si="31"/>
        <v>225000000</v>
      </c>
    </row>
    <row r="87" spans="2:18" x14ac:dyDescent="0.25">
      <c r="B87" s="3" t="s">
        <v>244</v>
      </c>
      <c r="C87" t="s">
        <v>28</v>
      </c>
      <c r="D87" t="s">
        <v>199</v>
      </c>
      <c r="E87" t="s">
        <v>128</v>
      </c>
      <c r="F87">
        <v>-166.66666666666666</v>
      </c>
      <c r="G87">
        <v>-166.66666666666666</v>
      </c>
      <c r="H87">
        <v>-166.66666666666666</v>
      </c>
      <c r="I87">
        <v>-166.66666666666666</v>
      </c>
      <c r="J87">
        <v>-166.66666666666666</v>
      </c>
      <c r="K87">
        <v>-166.66666666666666</v>
      </c>
      <c r="L87">
        <v>-166.66666666666666</v>
      </c>
      <c r="M87">
        <v>-166.66666666666666</v>
      </c>
      <c r="N87">
        <v>-166.66666666666666</v>
      </c>
      <c r="O87">
        <v>-166.66666666666666</v>
      </c>
      <c r="P87">
        <v>-166.66666666666666</v>
      </c>
      <c r="Q87">
        <v>-166.66666666666666</v>
      </c>
      <c r="R87">
        <f t="shared" si="31"/>
        <v>333333.33333333326</v>
      </c>
    </row>
    <row r="88" spans="2:18" x14ac:dyDescent="0.25">
      <c r="B88" s="3" t="s">
        <v>244</v>
      </c>
      <c r="C88" t="s">
        <v>80</v>
      </c>
      <c r="D88" t="s">
        <v>106</v>
      </c>
      <c r="E88" t="s">
        <v>128</v>
      </c>
      <c r="F88">
        <v>-32941.666666666664</v>
      </c>
      <c r="G88">
        <v>-32941.666666666664</v>
      </c>
      <c r="H88">
        <v>-32941.666666666664</v>
      </c>
      <c r="I88">
        <v>-32941.666666666664</v>
      </c>
      <c r="J88">
        <v>-32941.666666666664</v>
      </c>
      <c r="K88">
        <v>-32941.666666666664</v>
      </c>
      <c r="L88">
        <v>-32941.666666666664</v>
      </c>
      <c r="M88">
        <v>-32941.666666666664</v>
      </c>
      <c r="N88">
        <v>-32941.666666666664</v>
      </c>
      <c r="O88">
        <v>-32941.666666666664</v>
      </c>
      <c r="P88">
        <v>-32941.666666666664</v>
      </c>
      <c r="Q88">
        <v>-32941.666666666664</v>
      </c>
      <c r="R88">
        <f t="shared" si="31"/>
        <v>13021840833.333336</v>
      </c>
    </row>
    <row r="89" spans="2:18" x14ac:dyDescent="0.25">
      <c r="B89" s="3" t="s">
        <v>244</v>
      </c>
      <c r="C89" t="s">
        <v>80</v>
      </c>
      <c r="D89" t="s">
        <v>199</v>
      </c>
      <c r="E89" t="s">
        <v>128</v>
      </c>
      <c r="F89">
        <v>-1416.6666666666667</v>
      </c>
      <c r="G89">
        <v>-1416.6666666666667</v>
      </c>
      <c r="H89">
        <v>-1416.6666666666667</v>
      </c>
      <c r="I89">
        <v>-1416.6666666666667</v>
      </c>
      <c r="J89">
        <v>-1416.6666666666667</v>
      </c>
      <c r="K89">
        <v>-1416.6666666666667</v>
      </c>
      <c r="L89">
        <v>-1416.6666666666667</v>
      </c>
      <c r="M89">
        <v>-1416.6666666666667</v>
      </c>
      <c r="N89">
        <v>-1416.6666666666667</v>
      </c>
      <c r="O89">
        <v>-1416.6666666666667</v>
      </c>
      <c r="P89">
        <v>-1416.6666666666667</v>
      </c>
      <c r="Q89">
        <v>-1416.6666666666667</v>
      </c>
      <c r="R89">
        <f t="shared" si="31"/>
        <v>24083333.333333332</v>
      </c>
    </row>
    <row r="90" spans="2:18" x14ac:dyDescent="0.25">
      <c r="B90" s="3" t="s">
        <v>244</v>
      </c>
      <c r="C90" t="s">
        <v>29</v>
      </c>
      <c r="D90" t="s">
        <v>102</v>
      </c>
      <c r="E90" t="s">
        <v>17</v>
      </c>
      <c r="F90">
        <v>-29187.75</v>
      </c>
      <c r="G90">
        <v>-29187.75</v>
      </c>
      <c r="H90">
        <v>-29187.75</v>
      </c>
      <c r="I90">
        <v>-29187.75</v>
      </c>
      <c r="J90">
        <v>-29187.75</v>
      </c>
      <c r="K90">
        <v>-29187.75</v>
      </c>
      <c r="L90">
        <v>-29187.75</v>
      </c>
      <c r="M90">
        <v>-29187.75</v>
      </c>
      <c r="N90">
        <v>-29187.75</v>
      </c>
      <c r="O90">
        <v>-29187.75</v>
      </c>
      <c r="P90">
        <v>-29187.75</v>
      </c>
      <c r="Q90">
        <v>-29187.75</v>
      </c>
      <c r="R90">
        <f t="shared" si="31"/>
        <v>10223097000.75</v>
      </c>
    </row>
    <row r="91" spans="2:18" x14ac:dyDescent="0.25">
      <c r="B91" s="3" t="s">
        <v>244</v>
      </c>
      <c r="C91" t="s">
        <v>29</v>
      </c>
      <c r="D91" t="s">
        <v>102</v>
      </c>
      <c r="E91" t="s">
        <v>128</v>
      </c>
      <c r="F91">
        <v>-13750</v>
      </c>
      <c r="G91">
        <v>-13750</v>
      </c>
      <c r="H91">
        <v>-13750</v>
      </c>
      <c r="I91">
        <v>-13750</v>
      </c>
      <c r="J91">
        <v>-13750</v>
      </c>
      <c r="K91">
        <v>-13750</v>
      </c>
      <c r="L91">
        <v>-13750</v>
      </c>
      <c r="M91">
        <v>-13750</v>
      </c>
      <c r="N91">
        <v>-13750</v>
      </c>
      <c r="O91">
        <v>-13750</v>
      </c>
      <c r="P91">
        <v>-13750</v>
      </c>
      <c r="Q91">
        <v>-13750</v>
      </c>
      <c r="R91">
        <f t="shared" si="31"/>
        <v>2268750000</v>
      </c>
    </row>
    <row r="92" spans="2:18" x14ac:dyDescent="0.25">
      <c r="B92" s="3" t="s">
        <v>244</v>
      </c>
      <c r="C92" t="s">
        <v>30</v>
      </c>
      <c r="D92" t="s">
        <v>199</v>
      </c>
      <c r="E92" t="s">
        <v>128</v>
      </c>
      <c r="F92">
        <v>-166.66666666666666</v>
      </c>
      <c r="G92">
        <v>-166.66666666666666</v>
      </c>
      <c r="H92">
        <v>-166.66666666666666</v>
      </c>
      <c r="I92">
        <v>-166.66666666666666</v>
      </c>
      <c r="J92">
        <v>-166.66666666666666</v>
      </c>
      <c r="K92">
        <v>-166.66666666666666</v>
      </c>
      <c r="L92">
        <v>-166.66666666666666</v>
      </c>
      <c r="M92">
        <v>-166.66666666666666</v>
      </c>
      <c r="N92">
        <v>-166.66666666666666</v>
      </c>
      <c r="O92">
        <v>-166.66666666666666</v>
      </c>
      <c r="P92">
        <v>-166.66666666666666</v>
      </c>
      <c r="Q92">
        <v>-166.66666666666666</v>
      </c>
      <c r="R92">
        <f t="shared" si="31"/>
        <v>333333.33333333326</v>
      </c>
    </row>
    <row r="93" spans="2:18" x14ac:dyDescent="0.25">
      <c r="B93" s="3" t="s">
        <v>244</v>
      </c>
      <c r="C93" t="s">
        <v>104</v>
      </c>
      <c r="D93" t="s">
        <v>199</v>
      </c>
      <c r="E93" t="s">
        <v>128</v>
      </c>
      <c r="F93">
        <v>-416.66666666666669</v>
      </c>
      <c r="G93">
        <v>-416.66666666666669</v>
      </c>
      <c r="H93">
        <v>-416.66666666666669</v>
      </c>
      <c r="I93">
        <v>-416.66666666666669</v>
      </c>
      <c r="J93">
        <v>-416.66666666666669</v>
      </c>
      <c r="K93">
        <v>-416.66666666666669</v>
      </c>
      <c r="L93">
        <v>-416.66666666666669</v>
      </c>
      <c r="M93">
        <v>-416.66666666666669</v>
      </c>
      <c r="N93">
        <v>-416.66666666666669</v>
      </c>
      <c r="O93">
        <v>-416.66666666666669</v>
      </c>
      <c r="P93">
        <v>-416.66666666666669</v>
      </c>
      <c r="Q93">
        <v>-416.66666666666669</v>
      </c>
      <c r="R93">
        <f t="shared" si="31"/>
        <v>2083333.333333333</v>
      </c>
    </row>
    <row r="94" spans="2:18" x14ac:dyDescent="0.25">
      <c r="B94" s="3" t="s">
        <v>245</v>
      </c>
      <c r="C94" t="s">
        <v>26</v>
      </c>
      <c r="D94" t="s">
        <v>199</v>
      </c>
      <c r="E94" t="s">
        <v>128</v>
      </c>
      <c r="F94">
        <v>-68127.66</v>
      </c>
      <c r="G94">
        <v>-68127.66</v>
      </c>
      <c r="H94">
        <v>-68127.66</v>
      </c>
      <c r="I94">
        <v>-68127.66</v>
      </c>
      <c r="J94">
        <v>-68127.66</v>
      </c>
      <c r="K94">
        <v>-68127.66</v>
      </c>
      <c r="L94">
        <v>-68127.66</v>
      </c>
      <c r="M94">
        <v>-68127.66</v>
      </c>
      <c r="N94">
        <v>-68127.66</v>
      </c>
      <c r="O94">
        <v>-68127.66</v>
      </c>
      <c r="P94">
        <v>-68127.66</v>
      </c>
      <c r="Q94">
        <v>-68127.66</v>
      </c>
      <c r="R94">
        <f t="shared" si="31"/>
        <v>55696536684.907204</v>
      </c>
    </row>
    <row r="95" spans="2:18" x14ac:dyDescent="0.25">
      <c r="B95" s="3" t="s">
        <v>245</v>
      </c>
      <c r="C95" t="s">
        <v>28</v>
      </c>
      <c r="D95" t="s">
        <v>199</v>
      </c>
      <c r="E95" t="s">
        <v>128</v>
      </c>
      <c r="F95">
        <v>-2500</v>
      </c>
      <c r="G95">
        <v>-2500</v>
      </c>
      <c r="H95">
        <v>-2500</v>
      </c>
      <c r="I95">
        <v>-2500</v>
      </c>
      <c r="J95">
        <v>-2500</v>
      </c>
      <c r="K95">
        <v>-2500</v>
      </c>
      <c r="L95">
        <v>-2500</v>
      </c>
      <c r="M95">
        <v>-2500</v>
      </c>
      <c r="N95">
        <v>-2500</v>
      </c>
      <c r="O95">
        <v>-2500</v>
      </c>
      <c r="P95">
        <v>-2500</v>
      </c>
      <c r="Q95">
        <v>-2500</v>
      </c>
      <c r="R95">
        <f t="shared" si="31"/>
        <v>75000000</v>
      </c>
    </row>
    <row r="96" spans="2:18" x14ac:dyDescent="0.25">
      <c r="B96" s="3" t="s">
        <v>245</v>
      </c>
      <c r="C96" t="s">
        <v>162</v>
      </c>
      <c r="D96" t="s">
        <v>199</v>
      </c>
      <c r="E96" t="s">
        <v>17</v>
      </c>
      <c r="F96">
        <v>-9709.4325000000008</v>
      </c>
      <c r="G96">
        <v>-9709.4325000000008</v>
      </c>
      <c r="H96">
        <v>-9709.4325000000008</v>
      </c>
      <c r="I96">
        <v>-9709.4325000000008</v>
      </c>
      <c r="J96">
        <v>-9709.4325000000008</v>
      </c>
      <c r="K96">
        <v>-9709.4325000000008</v>
      </c>
      <c r="L96">
        <v>-9709.4325000000008</v>
      </c>
      <c r="M96">
        <v>-9709.4325000000008</v>
      </c>
      <c r="N96">
        <v>-9709.4325000000008</v>
      </c>
      <c r="O96">
        <v>-9709.4325000000008</v>
      </c>
      <c r="P96">
        <v>-9709.4325000000008</v>
      </c>
      <c r="Q96">
        <v>-9709.4325000000008</v>
      </c>
      <c r="R96">
        <f t="shared" ref="R96:R109" si="32">SUMSQ(F96,G96,H96,I96,J96,K96,L96,M96,N96,O96,P96,Q96)</f>
        <v>1131276953.6646752</v>
      </c>
    </row>
    <row r="97" spans="2:18" x14ac:dyDescent="0.25">
      <c r="B97" s="3" t="s">
        <v>245</v>
      </c>
      <c r="C97" t="s">
        <v>30</v>
      </c>
      <c r="D97" t="s">
        <v>199</v>
      </c>
      <c r="E97" t="s">
        <v>128</v>
      </c>
      <c r="F97">
        <v>-166.66666666666666</v>
      </c>
      <c r="G97">
        <v>-166.66666666666666</v>
      </c>
      <c r="H97">
        <v>-166.66666666666666</v>
      </c>
      <c r="I97">
        <v>-166.66666666666666</v>
      </c>
      <c r="J97">
        <v>-166.66666666666666</v>
      </c>
      <c r="K97">
        <v>-166.66666666666666</v>
      </c>
      <c r="L97">
        <v>-166.66666666666666</v>
      </c>
      <c r="M97">
        <v>-166.66666666666666</v>
      </c>
      <c r="N97">
        <v>-166.66666666666666</v>
      </c>
      <c r="O97">
        <v>-166.66666666666666</v>
      </c>
      <c r="P97">
        <v>-166.66666666666666</v>
      </c>
      <c r="Q97">
        <v>-166.66666666666666</v>
      </c>
      <c r="R97">
        <f t="shared" si="32"/>
        <v>333333.33333333326</v>
      </c>
    </row>
    <row r="98" spans="2:18" x14ac:dyDescent="0.25">
      <c r="B98" s="3" t="s">
        <v>245</v>
      </c>
      <c r="C98" t="s">
        <v>146</v>
      </c>
      <c r="D98" t="s">
        <v>199</v>
      </c>
      <c r="E98" t="s">
        <v>128</v>
      </c>
      <c r="F98">
        <v>-29166.666666666668</v>
      </c>
      <c r="G98">
        <v>-29166.666666666668</v>
      </c>
      <c r="H98">
        <v>-29166.666666666668</v>
      </c>
      <c r="I98">
        <v>-29166.666666666668</v>
      </c>
      <c r="J98">
        <v>-29166.666666666668</v>
      </c>
      <c r="K98">
        <v>-29166.666666666668</v>
      </c>
      <c r="L98">
        <v>-29166.666666666668</v>
      </c>
      <c r="M98">
        <v>-29166.666666666668</v>
      </c>
      <c r="N98">
        <v>-29166.666666666668</v>
      </c>
      <c r="O98">
        <v>-29166.666666666668</v>
      </c>
      <c r="P98">
        <v>-29166.666666666668</v>
      </c>
      <c r="Q98">
        <v>-29166.666666666668</v>
      </c>
      <c r="R98">
        <f t="shared" si="32"/>
        <v>10208333333.333334</v>
      </c>
    </row>
    <row r="99" spans="2:18" x14ac:dyDescent="0.25">
      <c r="B99" s="3" t="s">
        <v>245</v>
      </c>
      <c r="C99" t="s">
        <v>104</v>
      </c>
      <c r="D99" t="s">
        <v>199</v>
      </c>
      <c r="E99" t="s">
        <v>128</v>
      </c>
      <c r="F99">
        <v>-1250</v>
      </c>
      <c r="G99">
        <v>-1250</v>
      </c>
      <c r="H99">
        <v>-1250</v>
      </c>
      <c r="I99">
        <v>-1250</v>
      </c>
      <c r="J99">
        <v>-1250</v>
      </c>
      <c r="K99">
        <v>-1250</v>
      </c>
      <c r="L99">
        <v>-1250</v>
      </c>
      <c r="M99">
        <v>-1250</v>
      </c>
      <c r="N99">
        <v>-1250</v>
      </c>
      <c r="O99">
        <v>-1250</v>
      </c>
      <c r="P99">
        <v>-1250</v>
      </c>
      <c r="Q99">
        <v>-1250</v>
      </c>
      <c r="R99">
        <f t="shared" si="32"/>
        <v>18750000</v>
      </c>
    </row>
    <row r="100" spans="2:18" x14ac:dyDescent="0.25">
      <c r="B100" s="3" t="s">
        <v>245</v>
      </c>
      <c r="C100" t="s">
        <v>64</v>
      </c>
      <c r="D100" t="s">
        <v>170</v>
      </c>
      <c r="E100" t="s">
        <v>128</v>
      </c>
      <c r="F100">
        <v>-51404.324537037028</v>
      </c>
      <c r="G100">
        <v>-51404.324537037028</v>
      </c>
      <c r="H100">
        <v>-51404.324537037028</v>
      </c>
      <c r="I100">
        <v>-51404.324537037028</v>
      </c>
      <c r="J100">
        <v>-51404.324537037028</v>
      </c>
      <c r="K100">
        <v>-51404.324537037028</v>
      </c>
      <c r="L100">
        <v>-51404.324537037028</v>
      </c>
      <c r="M100">
        <v>-51404.324537037028</v>
      </c>
      <c r="N100">
        <v>-51404.324537037028</v>
      </c>
      <c r="O100">
        <v>-51404.324537037028</v>
      </c>
      <c r="P100">
        <v>-51404.324537037028</v>
      </c>
      <c r="Q100">
        <v>-51404.324537037028</v>
      </c>
      <c r="R100">
        <f t="shared" si="32"/>
        <v>31708854973.308331</v>
      </c>
    </row>
    <row r="101" spans="2:18" x14ac:dyDescent="0.25">
      <c r="B101" s="3" t="s">
        <v>246</v>
      </c>
      <c r="C101" t="s">
        <v>26</v>
      </c>
      <c r="D101" t="s">
        <v>199</v>
      </c>
      <c r="E101" t="s">
        <v>128</v>
      </c>
      <c r="F101">
        <v>-305674.34833333339</v>
      </c>
      <c r="G101">
        <v>-305674.34833333339</v>
      </c>
      <c r="H101">
        <v>-305674.34833333339</v>
      </c>
      <c r="I101">
        <v>-305674.34833333339</v>
      </c>
      <c r="J101">
        <v>-305674.34833333339</v>
      </c>
      <c r="K101">
        <v>-305674.34833333339</v>
      </c>
      <c r="L101">
        <v>-312022.6816666667</v>
      </c>
      <c r="M101">
        <v>-312022.6816666667</v>
      </c>
      <c r="N101">
        <v>-312022.6816666667</v>
      </c>
      <c r="O101">
        <v>-312022.6816666667</v>
      </c>
      <c r="P101">
        <v>-312022.6816666667</v>
      </c>
      <c r="Q101">
        <v>-312022.6816666667</v>
      </c>
      <c r="R101">
        <f t="shared" si="32"/>
        <v>1144769766620.7964</v>
      </c>
    </row>
    <row r="102" spans="2:18" x14ac:dyDescent="0.25">
      <c r="B102" s="3" t="s">
        <v>246</v>
      </c>
      <c r="C102" t="s">
        <v>28</v>
      </c>
      <c r="D102" t="s">
        <v>199</v>
      </c>
      <c r="E102" t="s">
        <v>128</v>
      </c>
      <c r="F102">
        <v>-7833.333333333333</v>
      </c>
      <c r="G102">
        <v>-7833.333333333333</v>
      </c>
      <c r="H102">
        <v>-7833.333333333333</v>
      </c>
      <c r="I102">
        <v>-7833.333333333333</v>
      </c>
      <c r="J102">
        <v>-7833.333333333333</v>
      </c>
      <c r="K102">
        <v>-7833.333333333333</v>
      </c>
      <c r="L102">
        <v>-7833.333333333333</v>
      </c>
      <c r="M102">
        <v>-7833.333333333333</v>
      </c>
      <c r="N102">
        <v>-7833.333333333333</v>
      </c>
      <c r="O102">
        <v>-7833.333333333333</v>
      </c>
      <c r="P102">
        <v>-7833.333333333333</v>
      </c>
      <c r="Q102">
        <v>-7833.333333333333</v>
      </c>
      <c r="R102">
        <f t="shared" si="32"/>
        <v>736333333.33333349</v>
      </c>
    </row>
    <row r="103" spans="2:18" x14ac:dyDescent="0.25">
      <c r="B103" s="3" t="s">
        <v>246</v>
      </c>
      <c r="C103" t="s">
        <v>29</v>
      </c>
      <c r="D103" t="s">
        <v>145</v>
      </c>
      <c r="E103" t="s">
        <v>17</v>
      </c>
      <c r="F103">
        <v>-9566.6666666666661</v>
      </c>
      <c r="G103">
        <v>-9566.6666666666661</v>
      </c>
      <c r="H103">
        <v>-9566.6666666666661</v>
      </c>
      <c r="I103">
        <v>-9566.6666666666661</v>
      </c>
      <c r="J103">
        <v>-9566.6666666666661</v>
      </c>
      <c r="K103">
        <v>-9566.6666666666661</v>
      </c>
      <c r="L103">
        <v>-9566.6666666666661</v>
      </c>
      <c r="M103">
        <v>-9566.6666666666661</v>
      </c>
      <c r="N103">
        <v>-9566.6666666666661</v>
      </c>
      <c r="O103">
        <v>-9566.6666666666661</v>
      </c>
      <c r="P103">
        <v>-9566.6666666666661</v>
      </c>
      <c r="Q103">
        <v>-9566.6666666666661</v>
      </c>
      <c r="R103">
        <f t="shared" si="32"/>
        <v>1098253333.3333335</v>
      </c>
    </row>
    <row r="104" spans="2:18" x14ac:dyDescent="0.25">
      <c r="B104" s="3" t="s">
        <v>246</v>
      </c>
      <c r="C104" t="s">
        <v>29</v>
      </c>
      <c r="D104" t="s">
        <v>208</v>
      </c>
      <c r="E104" t="s">
        <v>128</v>
      </c>
      <c r="F104">
        <v>-18166.666666666668</v>
      </c>
      <c r="G104">
        <v>-18166.666666666668</v>
      </c>
      <c r="H104">
        <v>-18166.666666666668</v>
      </c>
      <c r="I104">
        <v>-18166.666666666668</v>
      </c>
      <c r="J104">
        <v>-18166.666666666668</v>
      </c>
      <c r="K104">
        <v>-18166.666666666668</v>
      </c>
      <c r="L104">
        <v>-18166.666666666668</v>
      </c>
      <c r="M104">
        <v>-18166.666666666668</v>
      </c>
      <c r="N104">
        <v>-18166.666666666668</v>
      </c>
      <c r="O104">
        <v>-18166.666666666668</v>
      </c>
      <c r="P104">
        <v>-18166.666666666668</v>
      </c>
      <c r="Q104">
        <v>-18166.666666666668</v>
      </c>
      <c r="R104">
        <f t="shared" si="32"/>
        <v>3960333333.3333335</v>
      </c>
    </row>
    <row r="105" spans="2:18" x14ac:dyDescent="0.25">
      <c r="B105" s="3" t="s">
        <v>246</v>
      </c>
      <c r="C105" t="s">
        <v>29</v>
      </c>
      <c r="D105" t="s">
        <v>209</v>
      </c>
      <c r="E105" t="s">
        <v>17</v>
      </c>
      <c r="F105">
        <v>-159.25</v>
      </c>
      <c r="G105">
        <v>-159.25</v>
      </c>
      <c r="H105">
        <v>-159.25</v>
      </c>
      <c r="I105">
        <v>-159.25</v>
      </c>
      <c r="J105">
        <v>-159.25</v>
      </c>
      <c r="K105">
        <v>-159.25</v>
      </c>
      <c r="L105">
        <v>-159.25</v>
      </c>
      <c r="M105">
        <v>-159.25</v>
      </c>
      <c r="N105">
        <v>-159.25</v>
      </c>
      <c r="O105">
        <v>-159.25</v>
      </c>
      <c r="P105">
        <v>-159.25</v>
      </c>
      <c r="Q105">
        <v>-159.25</v>
      </c>
      <c r="R105">
        <f t="shared" si="32"/>
        <v>304326.75</v>
      </c>
    </row>
    <row r="106" spans="2:18" x14ac:dyDescent="0.25">
      <c r="B106" s="3" t="s">
        <v>246</v>
      </c>
      <c r="C106" t="s">
        <v>29</v>
      </c>
      <c r="D106" t="s">
        <v>209</v>
      </c>
      <c r="E106" t="s">
        <v>128</v>
      </c>
      <c r="F106">
        <v>-14583.333333333334</v>
      </c>
      <c r="G106">
        <v>-14583.333333333334</v>
      </c>
      <c r="H106">
        <v>-14583.333333333334</v>
      </c>
      <c r="I106">
        <v>-14583.333333333334</v>
      </c>
      <c r="J106">
        <v>-14583.333333333334</v>
      </c>
      <c r="K106">
        <v>-14583.333333333334</v>
      </c>
      <c r="L106">
        <v>-14583.333333333334</v>
      </c>
      <c r="M106">
        <v>-14583.333333333334</v>
      </c>
      <c r="N106">
        <v>-14583.333333333334</v>
      </c>
      <c r="O106">
        <v>-14583.333333333334</v>
      </c>
      <c r="P106">
        <v>-14583.333333333334</v>
      </c>
      <c r="Q106">
        <v>-14583.333333333334</v>
      </c>
      <c r="R106">
        <f t="shared" si="32"/>
        <v>2552083333.3333335</v>
      </c>
    </row>
    <row r="107" spans="2:18" x14ac:dyDescent="0.25">
      <c r="B107" s="3" t="s">
        <v>246</v>
      </c>
      <c r="C107" t="s">
        <v>29</v>
      </c>
      <c r="D107" t="s">
        <v>199</v>
      </c>
      <c r="E107" t="s">
        <v>17</v>
      </c>
      <c r="F107">
        <v>-6009.416666666667</v>
      </c>
      <c r="G107">
        <v>-6009.416666666667</v>
      </c>
      <c r="H107">
        <v>-6009.416666666667</v>
      </c>
      <c r="I107">
        <v>-6009.416666666667</v>
      </c>
      <c r="J107">
        <v>-6009.416666666667</v>
      </c>
      <c r="K107">
        <v>-6009.416666666667</v>
      </c>
      <c r="L107">
        <v>-6009.416666666667</v>
      </c>
      <c r="M107">
        <v>-6009.416666666667</v>
      </c>
      <c r="N107">
        <v>-6009.416666666667</v>
      </c>
      <c r="O107">
        <v>-6009.416666666667</v>
      </c>
      <c r="P107">
        <v>-6009.416666666667</v>
      </c>
      <c r="Q107">
        <v>-6009.416666666667</v>
      </c>
      <c r="R107">
        <f t="shared" si="32"/>
        <v>433357064.08333331</v>
      </c>
    </row>
    <row r="108" spans="2:18" x14ac:dyDescent="0.25">
      <c r="B108" s="3" t="s">
        <v>246</v>
      </c>
      <c r="C108" t="s">
        <v>29</v>
      </c>
      <c r="D108" t="s">
        <v>199</v>
      </c>
      <c r="E108" t="s">
        <v>128</v>
      </c>
      <c r="F108">
        <v>-8500</v>
      </c>
      <c r="G108">
        <v>-8500</v>
      </c>
      <c r="H108">
        <v>-8500</v>
      </c>
      <c r="I108">
        <v>-8500</v>
      </c>
      <c r="J108">
        <v>-8500</v>
      </c>
      <c r="K108">
        <v>-8500</v>
      </c>
      <c r="L108">
        <v>-8500</v>
      </c>
      <c r="M108">
        <v>-8500</v>
      </c>
      <c r="N108">
        <v>-8500</v>
      </c>
      <c r="O108">
        <v>-8500</v>
      </c>
      <c r="P108">
        <v>-8500</v>
      </c>
      <c r="Q108">
        <v>-8500</v>
      </c>
      <c r="R108">
        <f t="shared" si="32"/>
        <v>867000000</v>
      </c>
    </row>
    <row r="109" spans="2:18" x14ac:dyDescent="0.25">
      <c r="B109" s="3" t="s">
        <v>246</v>
      </c>
      <c r="C109" t="s">
        <v>29</v>
      </c>
      <c r="D109" t="s">
        <v>103</v>
      </c>
      <c r="E109" t="s">
        <v>128</v>
      </c>
      <c r="F109">
        <v>-5775</v>
      </c>
      <c r="G109">
        <v>-5775</v>
      </c>
      <c r="H109">
        <v>-5775</v>
      </c>
      <c r="I109">
        <v>-5775</v>
      </c>
      <c r="J109">
        <v>-5775</v>
      </c>
      <c r="K109">
        <v>-5775</v>
      </c>
      <c r="L109">
        <v>-5775</v>
      </c>
      <c r="M109">
        <v>-5775</v>
      </c>
      <c r="N109">
        <v>-5775</v>
      </c>
      <c r="O109">
        <v>-5775</v>
      </c>
      <c r="P109">
        <v>-5775</v>
      </c>
      <c r="Q109">
        <v>-5775</v>
      </c>
      <c r="R109">
        <f t="shared" si="32"/>
        <v>400207500</v>
      </c>
    </row>
    <row r="110" spans="2:18" x14ac:dyDescent="0.25">
      <c r="B110" s="3" t="s">
        <v>246</v>
      </c>
      <c r="C110" t="s">
        <v>29</v>
      </c>
      <c r="D110" t="s">
        <v>78</v>
      </c>
      <c r="E110" t="s">
        <v>17</v>
      </c>
      <c r="F110">
        <v>-7499.2374999999993</v>
      </c>
      <c r="G110">
        <v>-7499.2374999999993</v>
      </c>
      <c r="H110">
        <v>-7499.2374999999993</v>
      </c>
      <c r="I110">
        <v>-7499.2374999999993</v>
      </c>
      <c r="J110">
        <v>-7499.2374999999993</v>
      </c>
      <c r="K110">
        <v>-7499.2374999999993</v>
      </c>
      <c r="L110">
        <v>-7499.2374999999993</v>
      </c>
      <c r="M110">
        <v>-7499.2374999999993</v>
      </c>
      <c r="N110">
        <v>-7499.2374999999993</v>
      </c>
      <c r="O110">
        <v>-7499.2374999999993</v>
      </c>
      <c r="P110">
        <v>-7499.2374999999993</v>
      </c>
      <c r="Q110">
        <v>-7499.2374999999993</v>
      </c>
      <c r="R110">
        <f t="shared" ref="R110:R113" si="33">SUMSQ(F110,G110,H110,I110,J110,K110,L110,M110,N110,O110,P110,Q110)</f>
        <v>674862756.97687483</v>
      </c>
    </row>
    <row r="111" spans="2:18" x14ac:dyDescent="0.25">
      <c r="B111" s="3" t="s">
        <v>246</v>
      </c>
      <c r="C111" t="s">
        <v>30</v>
      </c>
      <c r="D111" t="s">
        <v>199</v>
      </c>
      <c r="E111" t="s">
        <v>128</v>
      </c>
      <c r="F111">
        <v>-1250</v>
      </c>
      <c r="G111">
        <v>-1250</v>
      </c>
      <c r="H111">
        <v>-1250</v>
      </c>
      <c r="I111">
        <v>-1250</v>
      </c>
      <c r="J111">
        <v>-1250</v>
      </c>
      <c r="K111">
        <v>-1250</v>
      </c>
      <c r="L111">
        <v>-1250</v>
      </c>
      <c r="M111">
        <v>-1250</v>
      </c>
      <c r="N111">
        <v>-1250</v>
      </c>
      <c r="O111">
        <v>-1250</v>
      </c>
      <c r="P111">
        <v>-1250</v>
      </c>
      <c r="Q111">
        <v>-1250</v>
      </c>
      <c r="R111">
        <f t="shared" si="33"/>
        <v>18750000</v>
      </c>
    </row>
    <row r="112" spans="2:18" x14ac:dyDescent="0.25">
      <c r="B112" s="3" t="s">
        <v>246</v>
      </c>
      <c r="C112" t="s">
        <v>104</v>
      </c>
      <c r="D112" t="s">
        <v>199</v>
      </c>
      <c r="E112" t="s">
        <v>128</v>
      </c>
      <c r="F112">
        <v>-3750</v>
      </c>
      <c r="G112">
        <v>-3750</v>
      </c>
      <c r="H112">
        <v>-3750</v>
      </c>
      <c r="I112">
        <v>-3750</v>
      </c>
      <c r="J112">
        <v>-3750</v>
      </c>
      <c r="K112">
        <v>-3750</v>
      </c>
      <c r="L112">
        <v>-3750</v>
      </c>
      <c r="M112">
        <v>-3750</v>
      </c>
      <c r="N112">
        <v>-3750</v>
      </c>
      <c r="O112">
        <v>-3750</v>
      </c>
      <c r="P112">
        <v>-3750</v>
      </c>
      <c r="Q112">
        <v>-3750</v>
      </c>
      <c r="R112">
        <f t="shared" si="33"/>
        <v>168750000</v>
      </c>
    </row>
    <row r="113" spans="2:18" x14ac:dyDescent="0.25">
      <c r="B113" s="3" t="s">
        <v>246</v>
      </c>
      <c r="C113" t="s">
        <v>64</v>
      </c>
      <c r="D113" t="s">
        <v>199</v>
      </c>
      <c r="E113" t="s">
        <v>128</v>
      </c>
      <c r="F113">
        <v>-207.31487962962964</v>
      </c>
      <c r="G113">
        <v>-207.31487962962964</v>
      </c>
      <c r="H113">
        <v>-207.31487962962964</v>
      </c>
      <c r="I113">
        <v>-207.31487962962964</v>
      </c>
      <c r="J113">
        <v>-207.31487962962964</v>
      </c>
      <c r="K113">
        <v>-207.31487962962964</v>
      </c>
      <c r="L113">
        <v>-207.31487962962964</v>
      </c>
      <c r="M113">
        <v>-207.31487962962964</v>
      </c>
      <c r="N113">
        <v>-207.31487962962964</v>
      </c>
      <c r="O113">
        <v>-207.31487962962964</v>
      </c>
      <c r="P113">
        <v>-207.31487962962964</v>
      </c>
      <c r="Q113">
        <v>-207.31487962962964</v>
      </c>
      <c r="R113">
        <f t="shared" si="33"/>
        <v>515753.511790174</v>
      </c>
    </row>
    <row r="114" spans="2:18" x14ac:dyDescent="0.25">
      <c r="B114" s="3" t="s">
        <v>247</v>
      </c>
      <c r="C114" t="s">
        <v>26</v>
      </c>
      <c r="D114" t="s">
        <v>199</v>
      </c>
      <c r="E114" t="s">
        <v>128</v>
      </c>
      <c r="F114">
        <v>-86066.266666666663</v>
      </c>
      <c r="G114">
        <v>-86066.266666666663</v>
      </c>
      <c r="H114">
        <v>-86066.266666666663</v>
      </c>
      <c r="I114">
        <v>-86066.266666666663</v>
      </c>
      <c r="J114">
        <v>-86066.266666666663</v>
      </c>
      <c r="K114">
        <v>-86066.266666666663</v>
      </c>
      <c r="L114">
        <v>-86066.266666666663</v>
      </c>
      <c r="M114">
        <v>-86066.266666666663</v>
      </c>
      <c r="N114">
        <v>-86066.266666666663</v>
      </c>
      <c r="O114">
        <v>-86066.266666666663</v>
      </c>
      <c r="P114">
        <v>-86066.266666666663</v>
      </c>
      <c r="Q114">
        <v>-86066.266666666663</v>
      </c>
      <c r="R114">
        <f t="shared" ref="R114:R118" si="34">SUMSQ(F114,G114,H114,I114,J114,K114,L114,M114,N114,O114,P114,Q114)</f>
        <v>88888827095.253311</v>
      </c>
    </row>
    <row r="115" spans="2:18" x14ac:dyDescent="0.25">
      <c r="B115" s="3" t="s">
        <v>247</v>
      </c>
      <c r="C115" t="s">
        <v>28</v>
      </c>
      <c r="D115" t="s">
        <v>199</v>
      </c>
      <c r="E115" t="s">
        <v>128</v>
      </c>
      <c r="F115">
        <v>-7083.333333333333</v>
      </c>
      <c r="G115">
        <v>-7083.333333333333</v>
      </c>
      <c r="H115">
        <v>-7083.333333333333</v>
      </c>
      <c r="I115">
        <v>-7083.333333333333</v>
      </c>
      <c r="J115">
        <v>-7083.333333333333</v>
      </c>
      <c r="K115">
        <v>-7083.333333333333</v>
      </c>
      <c r="L115">
        <v>-7083.333333333333</v>
      </c>
      <c r="M115">
        <v>-7083.333333333333</v>
      </c>
      <c r="N115">
        <v>-7083.333333333333</v>
      </c>
      <c r="O115">
        <v>-7083.333333333333</v>
      </c>
      <c r="P115">
        <v>-7083.333333333333</v>
      </c>
      <c r="Q115">
        <v>-7083.333333333333</v>
      </c>
      <c r="R115">
        <f t="shared" si="34"/>
        <v>602083333.33333325</v>
      </c>
    </row>
    <row r="116" spans="2:18" x14ac:dyDescent="0.25">
      <c r="B116" s="3" t="s">
        <v>247</v>
      </c>
      <c r="C116" t="s">
        <v>29</v>
      </c>
      <c r="D116" t="s">
        <v>199</v>
      </c>
      <c r="E116" t="s">
        <v>128</v>
      </c>
      <c r="F116">
        <v>-2083.3333333333335</v>
      </c>
      <c r="G116">
        <v>-2083.3333333333335</v>
      </c>
      <c r="H116">
        <v>-2083.3333333333335</v>
      </c>
      <c r="I116">
        <v>-2083.3333333333335</v>
      </c>
      <c r="J116">
        <v>-2083.3333333333335</v>
      </c>
      <c r="K116">
        <v>-2083.3333333333335</v>
      </c>
      <c r="L116">
        <v>-2083.3333333333335</v>
      </c>
      <c r="M116">
        <v>-2083.3333333333335</v>
      </c>
      <c r="N116">
        <v>-2083.3333333333335</v>
      </c>
      <c r="O116">
        <v>-2083.3333333333335</v>
      </c>
      <c r="P116">
        <v>-2083.3333333333335</v>
      </c>
      <c r="Q116">
        <v>-2083.3333333333335</v>
      </c>
      <c r="R116">
        <f t="shared" si="34"/>
        <v>52083333.333333321</v>
      </c>
    </row>
    <row r="117" spans="2:18" x14ac:dyDescent="0.25">
      <c r="B117" s="3" t="s">
        <v>247</v>
      </c>
      <c r="C117" t="s">
        <v>30</v>
      </c>
      <c r="D117" t="s">
        <v>199</v>
      </c>
      <c r="E117" t="s">
        <v>128</v>
      </c>
      <c r="F117">
        <v>-416.66666666666669</v>
      </c>
      <c r="G117">
        <v>-416.66666666666669</v>
      </c>
      <c r="H117">
        <v>-416.66666666666669</v>
      </c>
      <c r="I117">
        <v>-416.66666666666669</v>
      </c>
      <c r="J117">
        <v>-416.66666666666669</v>
      </c>
      <c r="K117">
        <v>-416.66666666666669</v>
      </c>
      <c r="L117">
        <v>-416.66666666666669</v>
      </c>
      <c r="M117">
        <v>-416.66666666666669</v>
      </c>
      <c r="N117">
        <v>-416.66666666666669</v>
      </c>
      <c r="O117">
        <v>-416.66666666666669</v>
      </c>
      <c r="P117">
        <v>-416.66666666666669</v>
      </c>
      <c r="Q117">
        <v>-416.66666666666669</v>
      </c>
      <c r="R117">
        <f t="shared" si="34"/>
        <v>2083333.333333333</v>
      </c>
    </row>
    <row r="118" spans="2:18" x14ac:dyDescent="0.25">
      <c r="B118" s="3" t="s">
        <v>247</v>
      </c>
      <c r="C118" t="s">
        <v>104</v>
      </c>
      <c r="D118" t="s">
        <v>199</v>
      </c>
      <c r="E118" t="s">
        <v>128</v>
      </c>
      <c r="F118">
        <v>-1250</v>
      </c>
      <c r="G118">
        <v>-1250</v>
      </c>
      <c r="H118">
        <v>-1250</v>
      </c>
      <c r="I118">
        <v>-1250</v>
      </c>
      <c r="J118">
        <v>-1250</v>
      </c>
      <c r="K118">
        <v>-1250</v>
      </c>
      <c r="L118">
        <v>-1250</v>
      </c>
      <c r="M118">
        <v>-1250</v>
      </c>
      <c r="N118">
        <v>-1250</v>
      </c>
      <c r="O118">
        <v>-1250</v>
      </c>
      <c r="P118">
        <v>-1250</v>
      </c>
      <c r="Q118">
        <v>-1250</v>
      </c>
      <c r="R118">
        <f t="shared" si="34"/>
        <v>18750000</v>
      </c>
    </row>
    <row r="119" spans="2:18" x14ac:dyDescent="0.25">
      <c r="B119" s="3" t="s">
        <v>248</v>
      </c>
      <c r="C119" t="s">
        <v>26</v>
      </c>
      <c r="D119" t="s">
        <v>199</v>
      </c>
      <c r="E119" t="s">
        <v>128</v>
      </c>
      <c r="F119">
        <v>-51075.151666666665</v>
      </c>
      <c r="G119">
        <v>-51075.151666666665</v>
      </c>
      <c r="H119">
        <v>-51075.151666666665</v>
      </c>
      <c r="I119">
        <v>-51075.151666666665</v>
      </c>
      <c r="J119">
        <v>-51075.151666666665</v>
      </c>
      <c r="K119">
        <v>-51075.151666666665</v>
      </c>
      <c r="L119">
        <v>-51075.151666666665</v>
      </c>
      <c r="M119">
        <v>-51075.151666666665</v>
      </c>
      <c r="N119">
        <v>-51075.151666666665</v>
      </c>
      <c r="O119">
        <v>-51075.151666666665</v>
      </c>
      <c r="P119">
        <v>-51075.151666666665</v>
      </c>
      <c r="Q119">
        <v>-51075.151666666665</v>
      </c>
      <c r="R119">
        <f t="shared" ref="R119:R128" si="35">SUMSQ(F119,G119,H119,I119,J119,K119,L119,M119,N119,O119,P119,Q119)</f>
        <v>31304053413.276031</v>
      </c>
    </row>
    <row r="120" spans="2:18" x14ac:dyDescent="0.25">
      <c r="B120" s="3" t="s">
        <v>248</v>
      </c>
      <c r="C120" t="s">
        <v>28</v>
      </c>
      <c r="D120" t="s">
        <v>199</v>
      </c>
      <c r="E120" t="s">
        <v>128</v>
      </c>
      <c r="F120">
        <v>-583.33333333333337</v>
      </c>
      <c r="G120">
        <v>-583.33333333333337</v>
      </c>
      <c r="H120">
        <v>-583.33333333333337</v>
      </c>
      <c r="I120">
        <v>-583.33333333333337</v>
      </c>
      <c r="J120">
        <v>-583.33333333333337</v>
      </c>
      <c r="K120">
        <v>-583.33333333333337</v>
      </c>
      <c r="L120">
        <v>-583.33333333333337</v>
      </c>
      <c r="M120">
        <v>-583.33333333333337</v>
      </c>
      <c r="N120">
        <v>-583.33333333333337</v>
      </c>
      <c r="O120">
        <v>-583.33333333333337</v>
      </c>
      <c r="P120">
        <v>-583.33333333333337</v>
      </c>
      <c r="Q120">
        <v>-583.33333333333337</v>
      </c>
      <c r="R120">
        <f t="shared" si="35"/>
        <v>4083333.3333333344</v>
      </c>
    </row>
    <row r="121" spans="2:18" x14ac:dyDescent="0.25">
      <c r="B121" s="3" t="s">
        <v>248</v>
      </c>
      <c r="C121" t="s">
        <v>29</v>
      </c>
      <c r="D121" t="s">
        <v>199</v>
      </c>
      <c r="E121" t="s">
        <v>157</v>
      </c>
      <c r="F121">
        <v>-14416.666666666666</v>
      </c>
      <c r="G121">
        <v>-14416.666666666666</v>
      </c>
      <c r="H121">
        <v>-14416.666666666666</v>
      </c>
      <c r="I121">
        <v>-14416.666666666666</v>
      </c>
      <c r="J121">
        <v>-14416.666666666666</v>
      </c>
      <c r="K121">
        <v>-14416.666666666666</v>
      </c>
      <c r="L121">
        <v>-14416.666666666666</v>
      </c>
      <c r="M121">
        <v>-14416.666666666666</v>
      </c>
      <c r="N121">
        <v>-14416.666666666666</v>
      </c>
      <c r="O121">
        <v>-14416.666666666666</v>
      </c>
      <c r="P121">
        <v>-14416.666666666666</v>
      </c>
      <c r="Q121">
        <v>-14416.666666666666</v>
      </c>
      <c r="R121">
        <f t="shared" si="35"/>
        <v>2494083333.3333325</v>
      </c>
    </row>
    <row r="122" spans="2:18" x14ac:dyDescent="0.25">
      <c r="B122" s="3" t="s">
        <v>248</v>
      </c>
      <c r="C122" t="s">
        <v>29</v>
      </c>
      <c r="D122" t="s">
        <v>199</v>
      </c>
      <c r="E122" t="s">
        <v>128</v>
      </c>
      <c r="F122">
        <v>-5833.333333333333</v>
      </c>
      <c r="G122">
        <v>-5833.333333333333</v>
      </c>
      <c r="H122">
        <v>-5833.333333333333</v>
      </c>
      <c r="I122">
        <v>-5833.333333333333</v>
      </c>
      <c r="J122">
        <v>-5833.333333333333</v>
      </c>
      <c r="K122">
        <v>-5833.333333333333</v>
      </c>
      <c r="L122">
        <v>-5833.333333333333</v>
      </c>
      <c r="M122">
        <v>-5833.333333333333</v>
      </c>
      <c r="N122">
        <v>-5833.333333333333</v>
      </c>
      <c r="O122">
        <v>-5833.333333333333</v>
      </c>
      <c r="P122">
        <v>-5833.333333333333</v>
      </c>
      <c r="Q122">
        <v>-5833.333333333333</v>
      </c>
      <c r="R122">
        <f t="shared" si="35"/>
        <v>408333333.33333343</v>
      </c>
    </row>
    <row r="123" spans="2:18" x14ac:dyDescent="0.25">
      <c r="B123" s="3" t="s">
        <v>248</v>
      </c>
      <c r="C123" t="s">
        <v>30</v>
      </c>
      <c r="D123" t="s">
        <v>199</v>
      </c>
      <c r="E123" t="s">
        <v>128</v>
      </c>
      <c r="F123">
        <v>-83.333333333333329</v>
      </c>
      <c r="G123">
        <v>-83.333333333333329</v>
      </c>
      <c r="H123">
        <v>-83.333333333333329</v>
      </c>
      <c r="I123">
        <v>-83.333333333333329</v>
      </c>
      <c r="J123">
        <v>-83.333333333333329</v>
      </c>
      <c r="K123">
        <v>-83.333333333333329</v>
      </c>
      <c r="L123">
        <v>-83.333333333333329</v>
      </c>
      <c r="M123">
        <v>-83.333333333333329</v>
      </c>
      <c r="N123">
        <v>-83.333333333333329</v>
      </c>
      <c r="O123">
        <v>-83.333333333333329</v>
      </c>
      <c r="P123">
        <v>-83.333333333333329</v>
      </c>
      <c r="Q123">
        <v>-83.333333333333329</v>
      </c>
      <c r="R123">
        <f t="shared" si="35"/>
        <v>83333.333333333314</v>
      </c>
    </row>
    <row r="124" spans="2:18" x14ac:dyDescent="0.25">
      <c r="B124" s="3" t="s">
        <v>248</v>
      </c>
      <c r="C124" t="s">
        <v>104</v>
      </c>
      <c r="D124" t="s">
        <v>199</v>
      </c>
      <c r="E124" t="s">
        <v>128</v>
      </c>
      <c r="F124">
        <v>-666.66666666666663</v>
      </c>
      <c r="G124">
        <v>-666.66666666666663</v>
      </c>
      <c r="H124">
        <v>-666.66666666666663</v>
      </c>
      <c r="I124">
        <v>-666.66666666666663</v>
      </c>
      <c r="J124">
        <v>-666.66666666666663</v>
      </c>
      <c r="K124">
        <v>-666.66666666666663</v>
      </c>
      <c r="L124">
        <v>-666.66666666666663</v>
      </c>
      <c r="M124">
        <v>-666.66666666666663</v>
      </c>
      <c r="N124">
        <v>-666.66666666666663</v>
      </c>
      <c r="O124">
        <v>-666.66666666666663</v>
      </c>
      <c r="P124">
        <v>-666.66666666666663</v>
      </c>
      <c r="Q124">
        <v>-666.66666666666663</v>
      </c>
      <c r="R124">
        <f t="shared" si="35"/>
        <v>5333333.3333333321</v>
      </c>
    </row>
    <row r="125" spans="2:18" x14ac:dyDescent="0.25">
      <c r="B125" s="3" t="s">
        <v>248</v>
      </c>
      <c r="C125" t="s">
        <v>105</v>
      </c>
      <c r="D125" t="s">
        <v>199</v>
      </c>
      <c r="E125" t="s">
        <v>44</v>
      </c>
      <c r="F125">
        <v>15666.666666666666</v>
      </c>
      <c r="G125">
        <v>15666.666666666666</v>
      </c>
      <c r="H125">
        <v>15666.666666666666</v>
      </c>
      <c r="I125">
        <v>15666.666666666666</v>
      </c>
      <c r="J125">
        <v>15666.666666666666</v>
      </c>
      <c r="K125">
        <v>15666.666666666666</v>
      </c>
      <c r="L125">
        <v>15666.666666666666</v>
      </c>
      <c r="M125">
        <v>15666.666666666666</v>
      </c>
      <c r="N125">
        <v>15666.666666666666</v>
      </c>
      <c r="O125">
        <v>15666.666666666666</v>
      </c>
      <c r="P125">
        <v>15666.666666666666</v>
      </c>
      <c r="Q125">
        <v>15666.666666666666</v>
      </c>
      <c r="R125">
        <f t="shared" si="35"/>
        <v>2945333333.333334</v>
      </c>
    </row>
    <row r="126" spans="2:18" x14ac:dyDescent="0.25">
      <c r="B126" t="s">
        <v>249</v>
      </c>
      <c r="C126" t="s">
        <v>23</v>
      </c>
      <c r="D126" t="s">
        <v>199</v>
      </c>
      <c r="E126" t="s">
        <v>128</v>
      </c>
      <c r="F126">
        <v>-54685.332499999997</v>
      </c>
      <c r="G126">
        <v>-54685.332499999997</v>
      </c>
      <c r="H126">
        <v>-54685.332499999997</v>
      </c>
      <c r="I126">
        <v>-54685.332499999997</v>
      </c>
      <c r="J126">
        <v>-54685.332499999997</v>
      </c>
      <c r="K126">
        <v>-54685.332499999997</v>
      </c>
      <c r="L126">
        <v>-54685.332499999997</v>
      </c>
      <c r="M126">
        <v>-54685.332499999997</v>
      </c>
      <c r="N126">
        <v>-54685.332499999997</v>
      </c>
      <c r="O126">
        <v>-54685.332499999997</v>
      </c>
      <c r="P126">
        <v>-54685.332499999997</v>
      </c>
      <c r="Q126">
        <v>-54685.332499999997</v>
      </c>
      <c r="R126">
        <f t="shared" si="35"/>
        <v>35885827087.626671</v>
      </c>
    </row>
    <row r="127" spans="2:18" x14ac:dyDescent="0.25">
      <c r="B127" t="s">
        <v>249</v>
      </c>
      <c r="C127" t="s">
        <v>24</v>
      </c>
      <c r="D127" t="s">
        <v>199</v>
      </c>
      <c r="E127" t="s">
        <v>128</v>
      </c>
      <c r="F127">
        <v>-5583.333333333333</v>
      </c>
      <c r="G127">
        <v>-5583.333333333333</v>
      </c>
      <c r="H127">
        <v>-5583.333333333333</v>
      </c>
      <c r="I127">
        <v>-5583.333333333333</v>
      </c>
      <c r="J127">
        <v>-5583.333333333333</v>
      </c>
      <c r="K127">
        <v>-5583.333333333333</v>
      </c>
      <c r="L127">
        <v>-5583.333333333333</v>
      </c>
      <c r="M127">
        <v>-5583.333333333333</v>
      </c>
      <c r="N127">
        <v>-5583.333333333333</v>
      </c>
      <c r="O127">
        <v>-5583.333333333333</v>
      </c>
      <c r="P127">
        <v>-5583.333333333333</v>
      </c>
      <c r="Q127">
        <v>-5583.333333333333</v>
      </c>
      <c r="R127">
        <f t="shared" si="35"/>
        <v>374083333.33333331</v>
      </c>
    </row>
    <row r="128" spans="2:18" x14ac:dyDescent="0.25">
      <c r="B128" t="s">
        <v>249</v>
      </c>
      <c r="C128" t="s">
        <v>79</v>
      </c>
      <c r="D128" t="s">
        <v>199</v>
      </c>
      <c r="E128" t="s">
        <v>128</v>
      </c>
      <c r="F128">
        <v>-1000</v>
      </c>
      <c r="G128">
        <v>-1000</v>
      </c>
      <c r="H128">
        <v>-1000</v>
      </c>
      <c r="I128">
        <v>-250</v>
      </c>
      <c r="J128">
        <v>-250</v>
      </c>
      <c r="K128">
        <v>-250</v>
      </c>
      <c r="L128">
        <v>-7000</v>
      </c>
      <c r="M128">
        <v>-7000</v>
      </c>
      <c r="N128">
        <v>-7000</v>
      </c>
      <c r="O128">
        <v>-250</v>
      </c>
      <c r="P128">
        <v>-250</v>
      </c>
      <c r="Q128">
        <v>-250</v>
      </c>
      <c r="R128">
        <f t="shared" si="35"/>
        <v>150375000</v>
      </c>
    </row>
    <row r="129" spans="2:18" x14ac:dyDescent="0.25">
      <c r="B129" t="s">
        <v>249</v>
      </c>
      <c r="C129" t="s">
        <v>25</v>
      </c>
      <c r="D129" t="s">
        <v>199</v>
      </c>
      <c r="E129" t="s">
        <v>128</v>
      </c>
      <c r="F129">
        <v>-483.33333333333331</v>
      </c>
      <c r="G129">
        <v>-483.33333333333331</v>
      </c>
      <c r="H129">
        <v>-483.33333333333331</v>
      </c>
      <c r="I129">
        <v>-483.33333333333331</v>
      </c>
      <c r="J129">
        <v>-483.33333333333331</v>
      </c>
      <c r="K129">
        <v>-483.33333333333331</v>
      </c>
      <c r="L129">
        <v>-483.33333333333331</v>
      </c>
      <c r="M129">
        <v>-483.33333333333331</v>
      </c>
      <c r="N129">
        <v>-483.33333333333331</v>
      </c>
      <c r="O129">
        <v>-483.33333333333331</v>
      </c>
      <c r="P129">
        <v>-483.33333333333331</v>
      </c>
      <c r="Q129">
        <v>-483.33333333333331</v>
      </c>
      <c r="R129">
        <f t="shared" ref="R129:R134" si="36">SUMSQ(F129,G129,H129,I129,J129,K129,L129,M129,N129,O129,P129,Q129)</f>
        <v>2803333.3333333326</v>
      </c>
    </row>
    <row r="130" spans="2:18" x14ac:dyDescent="0.25">
      <c r="B130" t="s">
        <v>249</v>
      </c>
      <c r="C130" t="s">
        <v>101</v>
      </c>
      <c r="D130" t="s">
        <v>199</v>
      </c>
      <c r="E130" t="s">
        <v>128</v>
      </c>
      <c r="F130">
        <v>-500</v>
      </c>
      <c r="G130">
        <v>-500</v>
      </c>
      <c r="H130">
        <v>-500</v>
      </c>
      <c r="I130">
        <v>-500</v>
      </c>
      <c r="J130">
        <v>-500</v>
      </c>
      <c r="K130">
        <v>-500</v>
      </c>
      <c r="L130">
        <v>-500</v>
      </c>
      <c r="M130">
        <v>-500</v>
      </c>
      <c r="N130">
        <v>-500</v>
      </c>
      <c r="O130">
        <v>-500</v>
      </c>
      <c r="P130">
        <v>-500</v>
      </c>
      <c r="Q130">
        <v>-500</v>
      </c>
      <c r="R130">
        <f t="shared" si="36"/>
        <v>3000000</v>
      </c>
    </row>
    <row r="131" spans="2:18" x14ac:dyDescent="0.25">
      <c r="B131" t="s">
        <v>250</v>
      </c>
      <c r="C131" t="s">
        <v>18</v>
      </c>
      <c r="D131" t="s">
        <v>199</v>
      </c>
      <c r="E131" t="s">
        <v>128</v>
      </c>
      <c r="F131">
        <v>-76005.697499999995</v>
      </c>
      <c r="G131">
        <v>-76005.697499999995</v>
      </c>
      <c r="H131">
        <v>-76005.697499999995</v>
      </c>
      <c r="I131">
        <v>-76005.697499999995</v>
      </c>
      <c r="J131">
        <v>-76005.697499999995</v>
      </c>
      <c r="K131">
        <v>-76005.697499999995</v>
      </c>
      <c r="L131">
        <v>-76005.697499999995</v>
      </c>
      <c r="M131">
        <v>-76005.697499999995</v>
      </c>
      <c r="N131">
        <v>-76005.697499999995</v>
      </c>
      <c r="O131">
        <v>-76005.697499999995</v>
      </c>
      <c r="P131">
        <v>-76005.697499999995</v>
      </c>
      <c r="Q131">
        <v>-76005.697499999995</v>
      </c>
      <c r="R131">
        <f t="shared" si="36"/>
        <v>69322392629.538055</v>
      </c>
    </row>
    <row r="132" spans="2:18" x14ac:dyDescent="0.25">
      <c r="B132" t="s">
        <v>250</v>
      </c>
      <c r="C132" t="s">
        <v>19</v>
      </c>
      <c r="D132" t="s">
        <v>199</v>
      </c>
      <c r="E132" t="s">
        <v>128</v>
      </c>
      <c r="F132">
        <v>-10000</v>
      </c>
      <c r="G132">
        <v>-10000</v>
      </c>
      <c r="H132">
        <v>-10000</v>
      </c>
      <c r="I132">
        <v>-10000</v>
      </c>
      <c r="J132">
        <v>-10000</v>
      </c>
      <c r="K132">
        <v>-10000</v>
      </c>
      <c r="L132">
        <v>-10000</v>
      </c>
      <c r="M132">
        <v>-10000</v>
      </c>
      <c r="N132">
        <v>-10000</v>
      </c>
      <c r="O132">
        <v>-10000</v>
      </c>
      <c r="P132">
        <v>-10000</v>
      </c>
      <c r="Q132">
        <v>-10000</v>
      </c>
      <c r="R132">
        <f t="shared" si="36"/>
        <v>1200000000</v>
      </c>
    </row>
    <row r="133" spans="2:18" x14ac:dyDescent="0.25">
      <c r="B133" t="s">
        <v>250</v>
      </c>
      <c r="C133" t="s">
        <v>20</v>
      </c>
      <c r="D133" t="s">
        <v>199</v>
      </c>
      <c r="E133" t="s">
        <v>153</v>
      </c>
      <c r="F133">
        <v>-7500</v>
      </c>
      <c r="G133">
        <v>-7500</v>
      </c>
      <c r="H133">
        <v>-7500</v>
      </c>
      <c r="I133">
        <v>-7500</v>
      </c>
      <c r="J133">
        <v>-7500</v>
      </c>
      <c r="K133">
        <v>-7500</v>
      </c>
      <c r="L133">
        <v>-7500</v>
      </c>
      <c r="M133">
        <v>-7500</v>
      </c>
      <c r="N133">
        <v>-7500</v>
      </c>
      <c r="O133">
        <v>-7500</v>
      </c>
      <c r="P133">
        <v>-7500</v>
      </c>
      <c r="Q133">
        <v>-7500</v>
      </c>
      <c r="R133">
        <f t="shared" si="36"/>
        <v>675000000</v>
      </c>
    </row>
    <row r="134" spans="2:18" x14ac:dyDescent="0.25">
      <c r="B134" t="s">
        <v>250</v>
      </c>
      <c r="C134" t="s">
        <v>20</v>
      </c>
      <c r="D134" t="s">
        <v>199</v>
      </c>
      <c r="E134" t="s">
        <v>128</v>
      </c>
      <c r="F134">
        <v>-34166.666666666664</v>
      </c>
      <c r="G134">
        <v>-34166.666666666664</v>
      </c>
      <c r="H134">
        <v>-34166.666666666664</v>
      </c>
      <c r="I134">
        <v>-34166.666666666664</v>
      </c>
      <c r="J134">
        <v>-34166.666666666664</v>
      </c>
      <c r="K134">
        <v>-34166.666666666664</v>
      </c>
      <c r="L134">
        <v>-34166.666666666664</v>
      </c>
      <c r="M134">
        <v>-34166.666666666664</v>
      </c>
      <c r="N134">
        <v>-34166.666666666664</v>
      </c>
      <c r="O134">
        <v>-34166.666666666664</v>
      </c>
      <c r="P134">
        <v>-34166.666666666664</v>
      </c>
      <c r="Q134">
        <v>-34166.666666666664</v>
      </c>
      <c r="R134">
        <f t="shared" si="36"/>
        <v>14008333333.33333</v>
      </c>
    </row>
    <row r="135" spans="2:18" x14ac:dyDescent="0.25">
      <c r="B135" t="s">
        <v>250</v>
      </c>
      <c r="C135" t="s">
        <v>21</v>
      </c>
      <c r="D135" t="s">
        <v>199</v>
      </c>
      <c r="E135" t="s">
        <v>128</v>
      </c>
      <c r="F135">
        <v>-833.33333333333337</v>
      </c>
      <c r="G135">
        <v>-833.33333333333337</v>
      </c>
      <c r="H135">
        <v>-833.33333333333337</v>
      </c>
      <c r="I135">
        <v>-833.33333333333337</v>
      </c>
      <c r="J135">
        <v>-833.33333333333337</v>
      </c>
      <c r="K135">
        <v>-833.33333333333337</v>
      </c>
      <c r="L135">
        <v>-833.33333333333337</v>
      </c>
      <c r="M135">
        <v>-833.33333333333337</v>
      </c>
      <c r="N135">
        <v>-833.33333333333337</v>
      </c>
      <c r="O135">
        <v>-833.33333333333337</v>
      </c>
      <c r="P135">
        <v>-833.33333333333337</v>
      </c>
      <c r="Q135">
        <v>-833.33333333333337</v>
      </c>
      <c r="R135">
        <f t="shared" ref="R135:R140" si="37">SUMSQ(F135,G135,H135,I135,J135,K135,L135,M135,N135,O135,P135,Q135)</f>
        <v>8333333.3333333321</v>
      </c>
    </row>
    <row r="136" spans="2:18" x14ac:dyDescent="0.25">
      <c r="B136" t="s">
        <v>250</v>
      </c>
      <c r="C136" t="s">
        <v>95</v>
      </c>
      <c r="D136" t="s">
        <v>199</v>
      </c>
      <c r="E136" t="s">
        <v>128</v>
      </c>
      <c r="F136">
        <v>-1250</v>
      </c>
      <c r="G136">
        <v>-1250</v>
      </c>
      <c r="H136">
        <v>-1250</v>
      </c>
      <c r="I136">
        <v>-1250</v>
      </c>
      <c r="J136">
        <v>-1250</v>
      </c>
      <c r="K136">
        <v>-1250</v>
      </c>
      <c r="L136">
        <v>-1250</v>
      </c>
      <c r="M136">
        <v>-1250</v>
      </c>
      <c r="N136">
        <v>-1250</v>
      </c>
      <c r="O136">
        <v>-1250</v>
      </c>
      <c r="P136">
        <v>-1250</v>
      </c>
      <c r="Q136">
        <v>-1250</v>
      </c>
      <c r="R136">
        <f t="shared" si="37"/>
        <v>18750000</v>
      </c>
    </row>
    <row r="137" spans="2:18" x14ac:dyDescent="0.25">
      <c r="B137" t="s">
        <v>250</v>
      </c>
      <c r="C137" t="s">
        <v>64</v>
      </c>
      <c r="D137" t="s">
        <v>199</v>
      </c>
      <c r="E137" t="s">
        <v>128</v>
      </c>
      <c r="F137">
        <v>-21.150000000000002</v>
      </c>
      <c r="G137">
        <v>-21.150000000000002</v>
      </c>
      <c r="H137">
        <v>-21.150000000000002</v>
      </c>
      <c r="I137">
        <v>-21.150000000000002</v>
      </c>
      <c r="J137">
        <v>-21.150000000000002</v>
      </c>
      <c r="K137">
        <v>-21.150000000000002</v>
      </c>
      <c r="L137">
        <v>-21.150000000000002</v>
      </c>
      <c r="M137">
        <v>-21.150000000000002</v>
      </c>
      <c r="N137">
        <v>-21.150000000000002</v>
      </c>
      <c r="O137">
        <v>-21.150000000000002</v>
      </c>
      <c r="P137">
        <v>-21.150000000000002</v>
      </c>
      <c r="Q137">
        <v>-21.150000000000002</v>
      </c>
      <c r="R137">
        <f t="shared" si="37"/>
        <v>5367.8700000000017</v>
      </c>
    </row>
    <row r="138" spans="2:18" x14ac:dyDescent="0.25">
      <c r="B138" t="s">
        <v>251</v>
      </c>
      <c r="C138" t="s">
        <v>18</v>
      </c>
      <c r="D138" t="s">
        <v>199</v>
      </c>
      <c r="E138" t="s">
        <v>128</v>
      </c>
      <c r="F138">
        <v>-72307.767500000002</v>
      </c>
      <c r="G138">
        <v>-72307.767500000002</v>
      </c>
      <c r="H138">
        <v>-72307.767500000002</v>
      </c>
      <c r="I138">
        <v>-72307.767500000002</v>
      </c>
      <c r="J138">
        <v>-72307.767500000002</v>
      </c>
      <c r="K138">
        <v>-72307.767500000002</v>
      </c>
      <c r="L138">
        <v>-72307.767500000002</v>
      </c>
      <c r="M138">
        <v>-72307.767500000002</v>
      </c>
      <c r="N138">
        <v>-72307.767500000002</v>
      </c>
      <c r="O138">
        <v>-72307.767500000002</v>
      </c>
      <c r="P138">
        <v>-72307.767500000002</v>
      </c>
      <c r="Q138">
        <v>-72307.767500000002</v>
      </c>
      <c r="R138">
        <f t="shared" si="37"/>
        <v>62740958890.008698</v>
      </c>
    </row>
    <row r="139" spans="2:18" x14ac:dyDescent="0.25">
      <c r="B139" t="s">
        <v>251</v>
      </c>
      <c r="C139" t="s">
        <v>23</v>
      </c>
      <c r="D139" t="s">
        <v>199</v>
      </c>
      <c r="E139" t="s">
        <v>155</v>
      </c>
      <c r="F139">
        <v>-7333.333333333333</v>
      </c>
      <c r="G139">
        <v>-7333.333333333333</v>
      </c>
      <c r="H139">
        <v>-7333.333333333333</v>
      </c>
      <c r="I139">
        <v>-7333.333333333333</v>
      </c>
      <c r="J139">
        <v>-7333.333333333333</v>
      </c>
      <c r="K139">
        <v>-7333.333333333333</v>
      </c>
      <c r="L139">
        <v>-7333.333333333333</v>
      </c>
      <c r="M139">
        <v>-7333.333333333333</v>
      </c>
      <c r="N139">
        <v>-7333.333333333333</v>
      </c>
      <c r="O139">
        <v>-7333.333333333333</v>
      </c>
      <c r="P139">
        <v>-7333.333333333333</v>
      </c>
      <c r="Q139">
        <v>-7333.333333333333</v>
      </c>
      <c r="R139">
        <f t="shared" si="37"/>
        <v>645333333.33333337</v>
      </c>
    </row>
    <row r="140" spans="2:18" x14ac:dyDescent="0.25">
      <c r="B140" t="s">
        <v>251</v>
      </c>
      <c r="C140" t="s">
        <v>19</v>
      </c>
      <c r="D140" t="s">
        <v>156</v>
      </c>
      <c r="E140" t="s">
        <v>128</v>
      </c>
      <c r="F140">
        <v>-18333.333333333332</v>
      </c>
      <c r="G140">
        <v>-18333.333333333332</v>
      </c>
      <c r="H140">
        <v>-18333.333333333332</v>
      </c>
      <c r="I140">
        <v>-18333.333333333332</v>
      </c>
      <c r="J140">
        <v>-18333.333333333332</v>
      </c>
      <c r="K140">
        <v>-18333.333333333332</v>
      </c>
      <c r="L140">
        <v>-18333.333333333332</v>
      </c>
      <c r="M140">
        <v>-18333.333333333332</v>
      </c>
      <c r="N140">
        <v>-18333.333333333332</v>
      </c>
      <c r="O140">
        <v>-18333.333333333332</v>
      </c>
      <c r="P140">
        <v>-18333.333333333332</v>
      </c>
      <c r="Q140">
        <v>-18333.333333333332</v>
      </c>
      <c r="R140">
        <f t="shared" si="37"/>
        <v>4033333333.3333335</v>
      </c>
    </row>
    <row r="141" spans="2:18" x14ac:dyDescent="0.25">
      <c r="B141" t="s">
        <v>251</v>
      </c>
      <c r="C141" t="s">
        <v>20</v>
      </c>
      <c r="D141" t="s">
        <v>199</v>
      </c>
      <c r="E141" t="s">
        <v>128</v>
      </c>
      <c r="F141">
        <v>-333333.33333333331</v>
      </c>
      <c r="G141">
        <v>-333333.33333333331</v>
      </c>
      <c r="H141">
        <v>-333333.33333333331</v>
      </c>
      <c r="I141">
        <v>-333333.33333333331</v>
      </c>
      <c r="J141">
        <v>-333333.33333333331</v>
      </c>
      <c r="K141">
        <v>-333333.33333333331</v>
      </c>
      <c r="L141">
        <v>-333333.33333333331</v>
      </c>
      <c r="M141">
        <v>-333333.33333333331</v>
      </c>
      <c r="N141">
        <v>-333333.33333333331</v>
      </c>
      <c r="O141">
        <v>-333333.33333333331</v>
      </c>
      <c r="P141">
        <v>-333333.33333333331</v>
      </c>
      <c r="Q141">
        <v>-333333.33333333331</v>
      </c>
      <c r="R141">
        <f t="shared" ref="R141" si="38">SUMSQ(F141,G141,H141,I141,J141,K141,L141,M141,N141,O141,P141,Q141)</f>
        <v>1333333333333.3333</v>
      </c>
    </row>
    <row r="142" spans="2:18" x14ac:dyDescent="0.25">
      <c r="B142" t="s">
        <v>251</v>
      </c>
      <c r="C142" t="s">
        <v>166</v>
      </c>
      <c r="D142" t="s">
        <v>199</v>
      </c>
      <c r="E142" t="s">
        <v>128</v>
      </c>
      <c r="F142">
        <v>-833.33333333333337</v>
      </c>
      <c r="G142">
        <v>-833.33333333333337</v>
      </c>
      <c r="H142">
        <v>-833.33333333333337</v>
      </c>
      <c r="I142">
        <v>-833.33333333333337</v>
      </c>
      <c r="J142">
        <v>-833.33333333333337</v>
      </c>
      <c r="K142">
        <v>-833.33333333333337</v>
      </c>
      <c r="L142">
        <v>-833.33333333333337</v>
      </c>
      <c r="M142">
        <v>-833.33333333333337</v>
      </c>
      <c r="N142">
        <v>-833.33333333333337</v>
      </c>
      <c r="O142">
        <v>-833.33333333333337</v>
      </c>
      <c r="P142">
        <v>-833.33333333333337</v>
      </c>
      <c r="Q142">
        <v>-833.33333333333337</v>
      </c>
      <c r="R142">
        <f t="shared" ref="R142:R145" si="39">SUMSQ(F142,G142,H142,I142,J142,K142,L142,M142,N142,O142,P142,Q142)</f>
        <v>8333333.3333333321</v>
      </c>
    </row>
    <row r="143" spans="2:18" x14ac:dyDescent="0.25">
      <c r="B143" t="s">
        <v>251</v>
      </c>
      <c r="C143" t="s">
        <v>21</v>
      </c>
      <c r="D143" t="s">
        <v>199</v>
      </c>
      <c r="E143" t="s">
        <v>128</v>
      </c>
      <c r="F143">
        <v>-2500</v>
      </c>
      <c r="G143">
        <v>-2500</v>
      </c>
      <c r="H143">
        <v>-2500</v>
      </c>
      <c r="I143">
        <v>-2500</v>
      </c>
      <c r="J143">
        <v>-2500</v>
      </c>
      <c r="K143">
        <v>-2500</v>
      </c>
      <c r="L143">
        <v>-2500</v>
      </c>
      <c r="M143">
        <v>-2500</v>
      </c>
      <c r="N143">
        <v>-2500</v>
      </c>
      <c r="O143">
        <v>-2500</v>
      </c>
      <c r="P143">
        <v>-2500</v>
      </c>
      <c r="Q143">
        <v>-2500</v>
      </c>
      <c r="R143">
        <f t="shared" si="39"/>
        <v>75000000</v>
      </c>
    </row>
    <row r="144" spans="2:18" x14ac:dyDescent="0.25">
      <c r="B144" t="s">
        <v>252</v>
      </c>
      <c r="C144" t="s">
        <v>11</v>
      </c>
      <c r="D144" t="s">
        <v>199</v>
      </c>
      <c r="E144" t="s">
        <v>128</v>
      </c>
      <c r="F144">
        <v>-143612.25666666668</v>
      </c>
      <c r="G144">
        <v>-143612.25666666668</v>
      </c>
      <c r="H144">
        <v>-143612.25666666668</v>
      </c>
      <c r="I144">
        <v>-143612.25666666668</v>
      </c>
      <c r="J144">
        <v>-143612.25666666668</v>
      </c>
      <c r="K144">
        <v>-143612.25666666668</v>
      </c>
      <c r="L144">
        <v>-143612.25666666668</v>
      </c>
      <c r="M144">
        <v>-143612.25666666668</v>
      </c>
      <c r="N144">
        <v>-143612.25666666668</v>
      </c>
      <c r="O144">
        <v>-143612.25666666668</v>
      </c>
      <c r="P144">
        <v>-143612.25666666668</v>
      </c>
      <c r="Q144">
        <v>-143612.25666666668</v>
      </c>
      <c r="R144">
        <f t="shared" si="39"/>
        <v>247493763178.71057</v>
      </c>
    </row>
    <row r="145" spans="2:18" x14ac:dyDescent="0.25">
      <c r="B145" t="s">
        <v>252</v>
      </c>
      <c r="C145" t="s">
        <v>12</v>
      </c>
      <c r="D145" t="s">
        <v>199</v>
      </c>
      <c r="E145" t="s">
        <v>128</v>
      </c>
      <c r="F145">
        <v>-20833.333333333332</v>
      </c>
      <c r="G145">
        <v>-20833.333333333332</v>
      </c>
      <c r="H145">
        <v>-20833.333333333332</v>
      </c>
      <c r="I145">
        <v>-20833.333333333332</v>
      </c>
      <c r="J145">
        <v>-20833.333333333332</v>
      </c>
      <c r="K145">
        <v>-20833.333333333332</v>
      </c>
      <c r="L145">
        <v>-20833.333333333332</v>
      </c>
      <c r="M145">
        <v>-20833.333333333332</v>
      </c>
      <c r="N145">
        <v>-20833.333333333332</v>
      </c>
      <c r="O145">
        <v>-20833.333333333332</v>
      </c>
      <c r="P145">
        <v>-20833.333333333332</v>
      </c>
      <c r="Q145">
        <v>-20833.333333333332</v>
      </c>
      <c r="R145">
        <f t="shared" si="39"/>
        <v>5208333333.333333</v>
      </c>
    </row>
    <row r="146" spans="2:18" x14ac:dyDescent="0.25">
      <c r="B146" t="s">
        <v>252</v>
      </c>
      <c r="C146" t="s">
        <v>16</v>
      </c>
      <c r="D146" t="s">
        <v>199</v>
      </c>
      <c r="E146" t="s">
        <v>128</v>
      </c>
      <c r="F146">
        <v>-20833.333333333332</v>
      </c>
      <c r="G146">
        <v>-20833.333333333332</v>
      </c>
      <c r="H146">
        <v>-20833.333333333332</v>
      </c>
      <c r="I146">
        <v>-20833.333333333332</v>
      </c>
      <c r="J146">
        <v>-20833.333333333332</v>
      </c>
      <c r="K146">
        <v>-20833.333333333332</v>
      </c>
      <c r="L146">
        <v>-20833.333333333332</v>
      </c>
      <c r="M146">
        <v>-20833.333333333332</v>
      </c>
      <c r="N146">
        <v>-20833.333333333332</v>
      </c>
      <c r="O146">
        <v>-20833.333333333332</v>
      </c>
      <c r="P146">
        <v>-20833.333333333332</v>
      </c>
      <c r="Q146">
        <v>-20833.333333333332</v>
      </c>
      <c r="R146">
        <f t="shared" ref="R146:R147" si="40">SUMSQ(F146,G146,H146,I146,J146,K146,L146,M146,N146,O146,P146,Q146)</f>
        <v>5208333333.333333</v>
      </c>
    </row>
    <row r="147" spans="2:18" x14ac:dyDescent="0.25">
      <c r="B147" t="s">
        <v>252</v>
      </c>
      <c r="C147" t="s">
        <v>13</v>
      </c>
      <c r="D147" t="s">
        <v>199</v>
      </c>
      <c r="E147" t="s">
        <v>128</v>
      </c>
      <c r="F147">
        <v>-4166.666666666667</v>
      </c>
      <c r="G147">
        <v>-4166.666666666667</v>
      </c>
      <c r="H147">
        <v>-4166.666666666667</v>
      </c>
      <c r="I147">
        <v>-4166.666666666667</v>
      </c>
      <c r="J147">
        <v>-4166.666666666667</v>
      </c>
      <c r="K147">
        <v>-4166.666666666667</v>
      </c>
      <c r="L147">
        <v>-4166.666666666667</v>
      </c>
      <c r="M147">
        <v>-4166.666666666667</v>
      </c>
      <c r="N147">
        <v>-4166.666666666667</v>
      </c>
      <c r="O147">
        <v>-4166.666666666667</v>
      </c>
      <c r="P147">
        <v>-4166.666666666667</v>
      </c>
      <c r="Q147">
        <v>-4166.666666666667</v>
      </c>
      <c r="R147">
        <f t="shared" si="40"/>
        <v>208333333.33333328</v>
      </c>
    </row>
    <row r="148" spans="2:18" x14ac:dyDescent="0.25">
      <c r="B148" t="s">
        <v>252</v>
      </c>
      <c r="C148" t="s">
        <v>109</v>
      </c>
      <c r="D148" t="s">
        <v>199</v>
      </c>
      <c r="E148" t="s">
        <v>128</v>
      </c>
      <c r="F148">
        <v>-2500</v>
      </c>
      <c r="G148">
        <v>-2500</v>
      </c>
      <c r="H148">
        <v>-2500</v>
      </c>
      <c r="I148">
        <v>-2500</v>
      </c>
      <c r="J148">
        <v>-2500</v>
      </c>
      <c r="K148">
        <v>-2500</v>
      </c>
      <c r="L148">
        <v>-2500</v>
      </c>
      <c r="M148">
        <v>-2500</v>
      </c>
      <c r="N148">
        <v>-2500</v>
      </c>
      <c r="O148">
        <v>-2500</v>
      </c>
      <c r="P148">
        <v>-2500</v>
      </c>
      <c r="Q148">
        <v>-2500</v>
      </c>
      <c r="R148">
        <f t="shared" ref="R148:R158" si="41">SUMSQ(F148,G148,H148,I148,J148,K148,L148,M148,N148,O148,P148,Q148)</f>
        <v>75000000</v>
      </c>
    </row>
    <row r="149" spans="2:18" x14ac:dyDescent="0.25">
      <c r="B149" t="s">
        <v>252</v>
      </c>
      <c r="C149" t="s">
        <v>81</v>
      </c>
      <c r="D149" t="s">
        <v>199</v>
      </c>
      <c r="E149" t="s">
        <v>128</v>
      </c>
      <c r="F149">
        <v>-13.733333333333334</v>
      </c>
      <c r="G149">
        <v>-13.733333333333334</v>
      </c>
      <c r="H149">
        <v>-13.733333333333334</v>
      </c>
      <c r="I149">
        <v>-13.733333333333334</v>
      </c>
      <c r="J149">
        <v>-13.733333333333334</v>
      </c>
      <c r="K149">
        <v>-13.733333333333334</v>
      </c>
      <c r="L149">
        <v>-13.733333333333334</v>
      </c>
      <c r="M149">
        <v>-13.733333333333334</v>
      </c>
      <c r="N149">
        <v>-13.733333333333334</v>
      </c>
      <c r="O149">
        <v>-13.733333333333334</v>
      </c>
      <c r="P149">
        <v>-13.733333333333334</v>
      </c>
      <c r="Q149">
        <v>-13.733333333333334</v>
      </c>
      <c r="R149">
        <f t="shared" si="41"/>
        <v>2263.2533333333336</v>
      </c>
    </row>
    <row r="150" spans="2:18" x14ac:dyDescent="0.25">
      <c r="B150" t="s">
        <v>253</v>
      </c>
      <c r="C150" t="s">
        <v>56</v>
      </c>
      <c r="D150" t="s">
        <v>199</v>
      </c>
      <c r="E150" t="s">
        <v>128</v>
      </c>
      <c r="F150">
        <v>-70671.366666666669</v>
      </c>
      <c r="G150">
        <v>-70671.366666666669</v>
      </c>
      <c r="H150">
        <v>-70671.366666666669</v>
      </c>
      <c r="I150">
        <v>-70671.366666666669</v>
      </c>
      <c r="J150">
        <v>-70671.366666666669</v>
      </c>
      <c r="K150">
        <v>-70671.366666666669</v>
      </c>
      <c r="L150">
        <v>-70671.366666666669</v>
      </c>
      <c r="M150">
        <v>-70671.366666666669</v>
      </c>
      <c r="N150">
        <v>-70671.366666666669</v>
      </c>
      <c r="O150">
        <v>-70671.366666666669</v>
      </c>
      <c r="P150">
        <v>-70671.366666666669</v>
      </c>
      <c r="Q150">
        <v>-70671.366666666669</v>
      </c>
      <c r="R150">
        <f t="shared" si="41"/>
        <v>59933304798.413353</v>
      </c>
    </row>
    <row r="151" spans="2:18" x14ac:dyDescent="0.25">
      <c r="B151" t="s">
        <v>253</v>
      </c>
      <c r="C151" t="s">
        <v>57</v>
      </c>
      <c r="D151" t="s">
        <v>199</v>
      </c>
      <c r="E151" t="s">
        <v>128</v>
      </c>
      <c r="F151">
        <v>-1666.6666666666667</v>
      </c>
      <c r="G151">
        <v>-1666.6666666666667</v>
      </c>
      <c r="H151">
        <v>-1666.6666666666667</v>
      </c>
      <c r="I151">
        <v>-1666.6666666666667</v>
      </c>
      <c r="J151">
        <v>-1666.6666666666667</v>
      </c>
      <c r="K151">
        <v>-1666.6666666666667</v>
      </c>
      <c r="L151">
        <v>-1666.6666666666667</v>
      </c>
      <c r="M151">
        <v>-1666.6666666666667</v>
      </c>
      <c r="N151">
        <v>-1666.6666666666667</v>
      </c>
      <c r="O151">
        <v>-1666.6666666666667</v>
      </c>
      <c r="P151">
        <v>-1666.6666666666667</v>
      </c>
      <c r="Q151">
        <v>-1666.6666666666667</v>
      </c>
      <c r="R151">
        <f t="shared" si="41"/>
        <v>33333333.333333328</v>
      </c>
    </row>
    <row r="152" spans="2:18" x14ac:dyDescent="0.25">
      <c r="B152" t="s">
        <v>253</v>
      </c>
      <c r="C152" t="s">
        <v>58</v>
      </c>
      <c r="D152" t="s">
        <v>199</v>
      </c>
      <c r="E152" t="s">
        <v>128</v>
      </c>
      <c r="F152">
        <v>-10833.333333333334</v>
      </c>
      <c r="G152">
        <v>-10833.333333333334</v>
      </c>
      <c r="H152">
        <v>-10833.333333333334</v>
      </c>
      <c r="I152">
        <v>-10833.333333333334</v>
      </c>
      <c r="J152">
        <v>-10833.333333333334</v>
      </c>
      <c r="K152">
        <v>-10833.333333333334</v>
      </c>
      <c r="L152">
        <v>-10833.333333333334</v>
      </c>
      <c r="M152">
        <v>-10833.333333333334</v>
      </c>
      <c r="N152">
        <v>-10833.333333333334</v>
      </c>
      <c r="O152">
        <v>-10833.333333333334</v>
      </c>
      <c r="P152">
        <v>-10833.333333333334</v>
      </c>
      <c r="Q152">
        <v>-10833.333333333334</v>
      </c>
      <c r="R152">
        <f t="shared" si="41"/>
        <v>1408333333.3333337</v>
      </c>
    </row>
    <row r="153" spans="2:18" x14ac:dyDescent="0.25">
      <c r="B153" t="s">
        <v>253</v>
      </c>
      <c r="C153" t="s">
        <v>59</v>
      </c>
      <c r="D153" t="s">
        <v>199</v>
      </c>
      <c r="E153" t="s">
        <v>128</v>
      </c>
      <c r="F153">
        <v>-83.333333333333329</v>
      </c>
      <c r="G153">
        <v>-83.333333333333329</v>
      </c>
      <c r="H153">
        <v>-83.333333333333329</v>
      </c>
      <c r="I153">
        <v>-83.333333333333329</v>
      </c>
      <c r="J153">
        <v>-83.333333333333329</v>
      </c>
      <c r="K153">
        <v>-83.333333333333329</v>
      </c>
      <c r="L153">
        <v>-83.333333333333329</v>
      </c>
      <c r="M153">
        <v>-83.333333333333329</v>
      </c>
      <c r="N153">
        <v>-83.333333333333329</v>
      </c>
      <c r="O153">
        <v>-83.333333333333329</v>
      </c>
      <c r="P153">
        <v>-83.333333333333329</v>
      </c>
      <c r="Q153">
        <v>-83.333333333333329</v>
      </c>
      <c r="R153">
        <f t="shared" si="41"/>
        <v>83333.333333333314</v>
      </c>
    </row>
    <row r="154" spans="2:18" x14ac:dyDescent="0.25">
      <c r="B154" t="s">
        <v>253</v>
      </c>
      <c r="C154" t="s">
        <v>117</v>
      </c>
      <c r="D154" t="s">
        <v>199</v>
      </c>
      <c r="E154" t="s">
        <v>128</v>
      </c>
      <c r="F154">
        <v>-2083.3333333333335</v>
      </c>
      <c r="G154">
        <v>-2083.3333333333335</v>
      </c>
      <c r="H154">
        <v>-2083.3333333333335</v>
      </c>
      <c r="I154">
        <v>-2083.3333333333335</v>
      </c>
      <c r="J154">
        <v>-2083.3333333333335</v>
      </c>
      <c r="K154">
        <v>-2083.3333333333335</v>
      </c>
      <c r="L154">
        <v>-2083.3333333333335</v>
      </c>
      <c r="M154">
        <v>-2083.3333333333335</v>
      </c>
      <c r="N154">
        <v>-2083.3333333333335</v>
      </c>
      <c r="O154">
        <v>-2083.3333333333335</v>
      </c>
      <c r="P154">
        <v>-2083.3333333333335</v>
      </c>
      <c r="Q154">
        <v>-2083.3333333333335</v>
      </c>
      <c r="R154">
        <f t="shared" si="41"/>
        <v>52083333.333333321</v>
      </c>
    </row>
    <row r="155" spans="2:18" x14ac:dyDescent="0.25">
      <c r="B155" t="s">
        <v>253</v>
      </c>
      <c r="C155" t="s">
        <v>118</v>
      </c>
      <c r="D155" t="s">
        <v>199</v>
      </c>
      <c r="E155" t="s">
        <v>14</v>
      </c>
      <c r="F155">
        <v>65877.767500000002</v>
      </c>
      <c r="G155">
        <v>65877.767500000002</v>
      </c>
      <c r="H155">
        <v>65877.767500000002</v>
      </c>
      <c r="I155">
        <v>65877.767500000002</v>
      </c>
      <c r="J155">
        <v>65877.767500000002</v>
      </c>
      <c r="K155">
        <v>65877.767500000002</v>
      </c>
      <c r="L155">
        <v>65877.767500000002</v>
      </c>
      <c r="M155">
        <v>65877.767500000002</v>
      </c>
      <c r="N155">
        <v>65877.767500000002</v>
      </c>
      <c r="O155">
        <v>65877.767500000002</v>
      </c>
      <c r="P155">
        <v>65877.767500000002</v>
      </c>
      <c r="Q155">
        <v>65877.767500000002</v>
      </c>
      <c r="R155">
        <f t="shared" si="41"/>
        <v>52078563009.408684</v>
      </c>
    </row>
    <row r="156" spans="2:18" x14ac:dyDescent="0.25">
      <c r="B156" t="s">
        <v>254</v>
      </c>
      <c r="C156" t="s">
        <v>56</v>
      </c>
      <c r="D156" t="s">
        <v>199</v>
      </c>
      <c r="E156" t="s">
        <v>128</v>
      </c>
      <c r="F156">
        <v>-73046.369166666671</v>
      </c>
      <c r="G156">
        <v>-73046.369166666671</v>
      </c>
      <c r="H156">
        <v>-73046.369166666671</v>
      </c>
      <c r="I156">
        <v>-73046.369166666671</v>
      </c>
      <c r="J156">
        <v>-73046.369166666671</v>
      </c>
      <c r="K156">
        <v>-73046.369166666671</v>
      </c>
      <c r="L156">
        <v>-73046.369166666671</v>
      </c>
      <c r="M156">
        <v>-73046.369166666671</v>
      </c>
      <c r="N156">
        <v>-73046.369166666671</v>
      </c>
      <c r="O156">
        <v>-73046.369166666671</v>
      </c>
      <c r="P156">
        <v>-73046.369166666671</v>
      </c>
      <c r="Q156">
        <v>-73046.369166666671</v>
      </c>
      <c r="R156">
        <f t="shared" si="41"/>
        <v>64029264581.195427</v>
      </c>
    </row>
    <row r="157" spans="2:18" x14ac:dyDescent="0.25">
      <c r="B157" t="s">
        <v>254</v>
      </c>
      <c r="C157" t="s">
        <v>57</v>
      </c>
      <c r="D157" t="s">
        <v>199</v>
      </c>
      <c r="E157" t="s">
        <v>128</v>
      </c>
      <c r="F157">
        <v>-666.66666666666663</v>
      </c>
      <c r="G157">
        <v>-666.66666666666663</v>
      </c>
      <c r="H157">
        <v>-666.66666666666663</v>
      </c>
      <c r="I157">
        <v>-666.66666666666663</v>
      </c>
      <c r="J157">
        <v>-666.66666666666663</v>
      </c>
      <c r="K157">
        <v>-666.66666666666663</v>
      </c>
      <c r="L157">
        <v>-666.66666666666663</v>
      </c>
      <c r="M157">
        <v>-666.66666666666663</v>
      </c>
      <c r="N157">
        <v>-666.66666666666663</v>
      </c>
      <c r="O157">
        <v>-666.66666666666663</v>
      </c>
      <c r="P157">
        <v>-666.66666666666663</v>
      </c>
      <c r="Q157">
        <v>-666.66666666666663</v>
      </c>
      <c r="R157">
        <f t="shared" si="41"/>
        <v>5333333.3333333321</v>
      </c>
    </row>
    <row r="158" spans="2:18" x14ac:dyDescent="0.25">
      <c r="B158" t="s">
        <v>254</v>
      </c>
      <c r="C158" t="s">
        <v>58</v>
      </c>
      <c r="D158" t="s">
        <v>199</v>
      </c>
      <c r="E158" t="s">
        <v>128</v>
      </c>
      <c r="F158">
        <v>-18333.333333333332</v>
      </c>
      <c r="G158">
        <v>-18333.333333333332</v>
      </c>
      <c r="H158">
        <v>-18333.333333333332</v>
      </c>
      <c r="I158">
        <v>-18333.333333333332</v>
      </c>
      <c r="J158">
        <v>-18333.333333333332</v>
      </c>
      <c r="K158">
        <v>-18333.333333333332</v>
      </c>
      <c r="L158">
        <v>-18333.333333333332</v>
      </c>
      <c r="M158">
        <v>-18333.333333333332</v>
      </c>
      <c r="N158">
        <v>-18333.333333333332</v>
      </c>
      <c r="O158">
        <v>-18333.333333333332</v>
      </c>
      <c r="P158">
        <v>-18333.333333333332</v>
      </c>
      <c r="Q158">
        <v>-18333.333333333332</v>
      </c>
      <c r="R158">
        <f t="shared" si="41"/>
        <v>4033333333.3333335</v>
      </c>
    </row>
    <row r="159" spans="2:18" x14ac:dyDescent="0.25">
      <c r="B159" t="s">
        <v>254</v>
      </c>
      <c r="C159" t="s">
        <v>59</v>
      </c>
      <c r="D159" t="s">
        <v>199</v>
      </c>
      <c r="E159" t="s">
        <v>128</v>
      </c>
      <c r="F159">
        <v>-83.333333333333329</v>
      </c>
      <c r="G159">
        <v>-83.333333333333329</v>
      </c>
      <c r="H159">
        <v>-83.333333333333329</v>
      </c>
      <c r="I159">
        <v>-83.333333333333329</v>
      </c>
      <c r="J159">
        <v>-83.333333333333329</v>
      </c>
      <c r="K159">
        <v>-83.333333333333329</v>
      </c>
      <c r="L159">
        <v>-83.333333333333329</v>
      </c>
      <c r="M159">
        <v>-83.333333333333329</v>
      </c>
      <c r="N159">
        <v>-83.333333333333329</v>
      </c>
      <c r="O159">
        <v>-83.333333333333329</v>
      </c>
      <c r="P159">
        <v>-83.333333333333329</v>
      </c>
      <c r="Q159">
        <v>-83.333333333333329</v>
      </c>
      <c r="R159">
        <f t="shared" ref="R159:R163" si="42">SUMSQ(F159,G159,H159,I159,J159,K159,L159,M159,N159,O159,P159,Q159)</f>
        <v>83333.333333333314</v>
      </c>
    </row>
    <row r="160" spans="2:18" x14ac:dyDescent="0.25">
      <c r="B160" t="s">
        <v>254</v>
      </c>
      <c r="C160" t="s">
        <v>118</v>
      </c>
      <c r="D160" t="s">
        <v>199</v>
      </c>
      <c r="E160" t="s">
        <v>14</v>
      </c>
      <c r="F160">
        <v>28164.63</v>
      </c>
      <c r="G160">
        <v>28164.63</v>
      </c>
      <c r="H160">
        <v>28164.63</v>
      </c>
      <c r="I160">
        <v>28164.63</v>
      </c>
      <c r="J160">
        <v>28164.63</v>
      </c>
      <c r="K160">
        <v>28164.63</v>
      </c>
      <c r="L160">
        <v>28164.63</v>
      </c>
      <c r="M160">
        <v>28164.63</v>
      </c>
      <c r="N160">
        <v>28164.63</v>
      </c>
      <c r="O160">
        <v>28164.63</v>
      </c>
      <c r="P160">
        <v>28164.63</v>
      </c>
      <c r="Q160">
        <v>28164.63</v>
      </c>
      <c r="R160">
        <f t="shared" si="42"/>
        <v>9518956596.4427986</v>
      </c>
    </row>
    <row r="161" spans="2:18" x14ac:dyDescent="0.25">
      <c r="B161" t="s">
        <v>255</v>
      </c>
      <c r="C161" t="s">
        <v>56</v>
      </c>
      <c r="D161" t="s">
        <v>199</v>
      </c>
      <c r="E161" t="s">
        <v>128</v>
      </c>
      <c r="F161">
        <v>-51992.4375</v>
      </c>
      <c r="G161">
        <v>-51992.4375</v>
      </c>
      <c r="H161">
        <v>-51992.4375</v>
      </c>
      <c r="I161">
        <v>-51992.4375</v>
      </c>
      <c r="J161">
        <v>-51992.4375</v>
      </c>
      <c r="K161">
        <v>-51992.4375</v>
      </c>
      <c r="L161">
        <v>-51992.4375</v>
      </c>
      <c r="M161">
        <v>-51992.4375</v>
      </c>
      <c r="N161">
        <v>-51992.4375</v>
      </c>
      <c r="O161">
        <v>-51992.4375</v>
      </c>
      <c r="P161">
        <v>-51992.4375</v>
      </c>
      <c r="Q161">
        <v>-51992.4375</v>
      </c>
      <c r="R161">
        <f t="shared" si="42"/>
        <v>32438562686.296875</v>
      </c>
    </row>
    <row r="162" spans="2:18" x14ac:dyDescent="0.25">
      <c r="B162" t="s">
        <v>255</v>
      </c>
      <c r="C162" t="s">
        <v>57</v>
      </c>
      <c r="D162" t="s">
        <v>199</v>
      </c>
      <c r="E162" t="s">
        <v>128</v>
      </c>
      <c r="F162">
        <v>-1833.3333333333333</v>
      </c>
      <c r="G162">
        <v>-1833.3333333333333</v>
      </c>
      <c r="H162">
        <v>-1833.3333333333333</v>
      </c>
      <c r="I162">
        <v>-1833.3333333333333</v>
      </c>
      <c r="J162">
        <v>-1833.3333333333333</v>
      </c>
      <c r="K162">
        <v>-1833.3333333333333</v>
      </c>
      <c r="L162">
        <v>-1833.3333333333333</v>
      </c>
      <c r="M162">
        <v>-1833.3333333333333</v>
      </c>
      <c r="N162">
        <v>-1833.3333333333333</v>
      </c>
      <c r="O162">
        <v>-1833.3333333333333</v>
      </c>
      <c r="P162">
        <v>-1833.3333333333333</v>
      </c>
      <c r="Q162">
        <v>-1833.3333333333333</v>
      </c>
      <c r="R162">
        <f t="shared" si="42"/>
        <v>40333333.333333336</v>
      </c>
    </row>
    <row r="163" spans="2:18" x14ac:dyDescent="0.25">
      <c r="B163" t="s">
        <v>255</v>
      </c>
      <c r="C163" t="s">
        <v>58</v>
      </c>
      <c r="D163" t="s">
        <v>199</v>
      </c>
      <c r="E163" t="s">
        <v>128</v>
      </c>
      <c r="F163">
        <v>-14833.333333333334</v>
      </c>
      <c r="G163">
        <v>-14833.333333333334</v>
      </c>
      <c r="H163">
        <v>-14833.333333333334</v>
      </c>
      <c r="I163">
        <v>-14833.333333333334</v>
      </c>
      <c r="J163">
        <v>-14833.333333333334</v>
      </c>
      <c r="K163">
        <v>-14833.333333333334</v>
      </c>
      <c r="L163">
        <v>-14833.333333333334</v>
      </c>
      <c r="M163">
        <v>-14833.333333333334</v>
      </c>
      <c r="N163">
        <v>-14833.333333333334</v>
      </c>
      <c r="O163">
        <v>-14833.333333333334</v>
      </c>
      <c r="P163">
        <v>-14833.333333333334</v>
      </c>
      <c r="Q163">
        <v>-14833.333333333334</v>
      </c>
      <c r="R163">
        <f t="shared" si="42"/>
        <v>2640333333.3333325</v>
      </c>
    </row>
    <row r="164" spans="2:18" x14ac:dyDescent="0.25">
      <c r="B164" t="s">
        <v>255</v>
      </c>
      <c r="C164" t="s">
        <v>58</v>
      </c>
      <c r="D164" t="s">
        <v>148</v>
      </c>
      <c r="E164" t="s">
        <v>17</v>
      </c>
      <c r="F164">
        <v>-1388.25</v>
      </c>
      <c r="G164">
        <v>-1388.25</v>
      </c>
      <c r="H164">
        <v>-1388.25</v>
      </c>
      <c r="I164">
        <v>-1388.25</v>
      </c>
      <c r="J164">
        <v>-1388.25</v>
      </c>
      <c r="K164">
        <v>-1388.25</v>
      </c>
      <c r="L164">
        <v>-1388.25</v>
      </c>
      <c r="M164">
        <v>-1388.25</v>
      </c>
      <c r="N164">
        <v>-1388.25</v>
      </c>
      <c r="O164">
        <v>-1388.25</v>
      </c>
      <c r="P164">
        <v>-1388.25</v>
      </c>
      <c r="Q164">
        <v>-1388.25</v>
      </c>
      <c r="R164">
        <f t="shared" ref="R164:R171" si="43">SUMSQ(F164,G164,H164,I164,J164,K164,L164,M164,N164,O164,P164,Q164)</f>
        <v>23126856.75</v>
      </c>
    </row>
    <row r="165" spans="2:18" x14ac:dyDescent="0.25">
      <c r="B165" t="s">
        <v>255</v>
      </c>
      <c r="C165" t="s">
        <v>58</v>
      </c>
      <c r="D165" t="s">
        <v>151</v>
      </c>
      <c r="E165" t="s">
        <v>17</v>
      </c>
      <c r="F165">
        <v>-1589.0783333333336</v>
      </c>
      <c r="G165">
        <v>-1589.0783333333336</v>
      </c>
      <c r="H165">
        <v>-1589.0783333333336</v>
      </c>
      <c r="I165">
        <v>-1589.0783333333336</v>
      </c>
      <c r="J165">
        <v>-1589.0783333333336</v>
      </c>
      <c r="K165">
        <v>-1589.0783333333336</v>
      </c>
      <c r="L165">
        <v>-1589.0783333333336</v>
      </c>
      <c r="M165">
        <v>-1589.0783333333336</v>
      </c>
      <c r="N165">
        <v>-1589.0783333333336</v>
      </c>
      <c r="O165">
        <v>-1589.0783333333336</v>
      </c>
      <c r="P165">
        <v>-1589.0783333333336</v>
      </c>
      <c r="Q165">
        <v>-1589.0783333333336</v>
      </c>
      <c r="R165">
        <f t="shared" si="43"/>
        <v>30302039.393633351</v>
      </c>
    </row>
    <row r="166" spans="2:18" x14ac:dyDescent="0.25">
      <c r="B166" t="s">
        <v>255</v>
      </c>
      <c r="C166" t="s">
        <v>59</v>
      </c>
      <c r="D166" t="s">
        <v>199</v>
      </c>
      <c r="E166" t="s">
        <v>128</v>
      </c>
      <c r="F166">
        <v>-333.33333333333331</v>
      </c>
      <c r="G166">
        <v>-333.33333333333331</v>
      </c>
      <c r="H166">
        <v>-333.33333333333331</v>
      </c>
      <c r="I166">
        <v>-333.33333333333331</v>
      </c>
      <c r="J166">
        <v>-333.33333333333331</v>
      </c>
      <c r="K166">
        <v>-333.33333333333331</v>
      </c>
      <c r="L166">
        <v>-333.33333333333331</v>
      </c>
      <c r="M166">
        <v>-333.33333333333331</v>
      </c>
      <c r="N166">
        <v>-333.33333333333331</v>
      </c>
      <c r="O166">
        <v>-333.33333333333331</v>
      </c>
      <c r="P166">
        <v>-333.33333333333331</v>
      </c>
      <c r="Q166">
        <v>-333.33333333333331</v>
      </c>
      <c r="R166">
        <f t="shared" si="43"/>
        <v>1333333.333333333</v>
      </c>
    </row>
    <row r="167" spans="2:18" x14ac:dyDescent="0.25">
      <c r="B167" t="s">
        <v>255</v>
      </c>
      <c r="C167" t="s">
        <v>117</v>
      </c>
      <c r="D167" t="s">
        <v>199</v>
      </c>
      <c r="E167" t="s">
        <v>128</v>
      </c>
      <c r="F167">
        <v>-1250</v>
      </c>
      <c r="G167">
        <v>-1250</v>
      </c>
      <c r="H167">
        <v>-1250</v>
      </c>
      <c r="I167">
        <v>-1250</v>
      </c>
      <c r="J167">
        <v>-1250</v>
      </c>
      <c r="K167">
        <v>-1250</v>
      </c>
      <c r="L167">
        <v>-1250</v>
      </c>
      <c r="M167">
        <v>-1250</v>
      </c>
      <c r="N167">
        <v>-1250</v>
      </c>
      <c r="O167">
        <v>-1250</v>
      </c>
      <c r="P167">
        <v>-1250</v>
      </c>
      <c r="Q167">
        <v>-1250</v>
      </c>
      <c r="R167">
        <f t="shared" si="43"/>
        <v>18750000</v>
      </c>
    </row>
    <row r="168" spans="2:18" x14ac:dyDescent="0.25">
      <c r="B168" t="s">
        <v>255</v>
      </c>
      <c r="C168" t="s">
        <v>64</v>
      </c>
      <c r="D168" t="s">
        <v>151</v>
      </c>
      <c r="E168" t="s">
        <v>128</v>
      </c>
      <c r="F168">
        <v>-1020.8333333333334</v>
      </c>
      <c r="G168">
        <v>-1020.8333333333334</v>
      </c>
      <c r="H168">
        <v>-1020.8333333333334</v>
      </c>
      <c r="I168">
        <v>-1020.8333333333334</v>
      </c>
      <c r="J168">
        <v>-1020.8333333333334</v>
      </c>
      <c r="K168">
        <v>-1020.8333333333334</v>
      </c>
      <c r="L168">
        <v>-1020.8333333333334</v>
      </c>
      <c r="M168">
        <v>-1020.8333333333334</v>
      </c>
      <c r="N168">
        <v>-1020.8333333333334</v>
      </c>
      <c r="O168">
        <v>-1020.8333333333334</v>
      </c>
      <c r="P168">
        <v>-1020.8333333333334</v>
      </c>
      <c r="Q168">
        <v>-1020.8333333333334</v>
      </c>
      <c r="R168">
        <f t="shared" si="43"/>
        <v>12505208.33333333</v>
      </c>
    </row>
    <row r="169" spans="2:18" x14ac:dyDescent="0.25">
      <c r="B169" t="s">
        <v>255</v>
      </c>
      <c r="C169" t="s">
        <v>118</v>
      </c>
      <c r="D169" t="s">
        <v>199</v>
      </c>
      <c r="E169" t="s">
        <v>14</v>
      </c>
      <c r="F169">
        <v>20867.947499999998</v>
      </c>
      <c r="G169">
        <v>20867.947499999998</v>
      </c>
      <c r="H169">
        <v>20867.947499999998</v>
      </c>
      <c r="I169">
        <v>20867.947499999998</v>
      </c>
      <c r="J169">
        <v>20867.947499999998</v>
      </c>
      <c r="K169">
        <v>20867.947499999998</v>
      </c>
      <c r="L169">
        <v>20867.947499999998</v>
      </c>
      <c r="M169">
        <v>20867.947499999998</v>
      </c>
      <c r="N169">
        <v>20867.947499999998</v>
      </c>
      <c r="O169">
        <v>20867.947499999998</v>
      </c>
      <c r="P169">
        <v>20867.947499999998</v>
      </c>
      <c r="Q169">
        <v>20867.947499999998</v>
      </c>
      <c r="R169">
        <f t="shared" si="43"/>
        <v>5225654794.3530731</v>
      </c>
    </row>
    <row r="170" spans="2:18" x14ac:dyDescent="0.25">
      <c r="B170" t="s">
        <v>256</v>
      </c>
      <c r="C170" t="s">
        <v>56</v>
      </c>
      <c r="D170" t="s">
        <v>199</v>
      </c>
      <c r="E170" t="s">
        <v>128</v>
      </c>
      <c r="F170">
        <v>-50163.8825</v>
      </c>
      <c r="G170">
        <v>-50163.8825</v>
      </c>
      <c r="H170">
        <v>-50163.8825</v>
      </c>
      <c r="I170">
        <v>-50163.8825</v>
      </c>
      <c r="J170">
        <v>-50163.8825</v>
      </c>
      <c r="K170">
        <v>-50163.8825</v>
      </c>
      <c r="L170">
        <v>-50163.8825</v>
      </c>
      <c r="M170">
        <v>-50163.8825</v>
      </c>
      <c r="N170">
        <v>-50163.8825</v>
      </c>
      <c r="O170">
        <v>-50163.8825</v>
      </c>
      <c r="P170">
        <v>-50163.8825</v>
      </c>
      <c r="Q170">
        <v>-50163.8825</v>
      </c>
      <c r="R170">
        <f t="shared" si="43"/>
        <v>30196981289.685684</v>
      </c>
    </row>
    <row r="171" spans="2:18" x14ac:dyDescent="0.25">
      <c r="B171" t="s">
        <v>256</v>
      </c>
      <c r="C171" t="s">
        <v>57</v>
      </c>
      <c r="D171" t="s">
        <v>199</v>
      </c>
      <c r="E171" t="s">
        <v>128</v>
      </c>
      <c r="F171">
        <v>-4166.666666666667</v>
      </c>
      <c r="G171">
        <v>-4166.666666666667</v>
      </c>
      <c r="H171">
        <v>-4166.666666666667</v>
      </c>
      <c r="I171">
        <v>-4166.666666666667</v>
      </c>
      <c r="J171">
        <v>-4166.666666666667</v>
      </c>
      <c r="K171">
        <v>-4166.666666666667</v>
      </c>
      <c r="L171">
        <v>-4166.666666666667</v>
      </c>
      <c r="M171">
        <v>-4166.666666666667</v>
      </c>
      <c r="N171">
        <v>-4166.666666666667</v>
      </c>
      <c r="O171">
        <v>-4166.666666666667</v>
      </c>
      <c r="P171">
        <v>-4166.666666666667</v>
      </c>
      <c r="Q171">
        <v>-4166.666666666667</v>
      </c>
      <c r="R171">
        <f t="shared" si="43"/>
        <v>208333333.33333328</v>
      </c>
    </row>
    <row r="172" spans="2:18" x14ac:dyDescent="0.25">
      <c r="B172" t="s">
        <v>256</v>
      </c>
      <c r="C172" t="s">
        <v>58</v>
      </c>
      <c r="D172" t="s">
        <v>199</v>
      </c>
      <c r="E172" t="s">
        <v>128</v>
      </c>
      <c r="F172">
        <v>-4166.666666666667</v>
      </c>
      <c r="G172">
        <v>-4166.666666666667</v>
      </c>
      <c r="H172">
        <v>-4166.666666666667</v>
      </c>
      <c r="I172">
        <v>-20833.333333333336</v>
      </c>
      <c r="J172">
        <v>-20833.333333333336</v>
      </c>
      <c r="K172">
        <v>-20833.333333333336</v>
      </c>
      <c r="L172">
        <v>-37500</v>
      </c>
      <c r="M172">
        <v>-37500</v>
      </c>
      <c r="N172">
        <v>-37500</v>
      </c>
      <c r="O172">
        <v>-37500</v>
      </c>
      <c r="P172">
        <v>-37500</v>
      </c>
      <c r="Q172">
        <v>-37500</v>
      </c>
      <c r="R172">
        <f t="shared" ref="R172:R179" si="44">SUMSQ(F172,G172,H172,I172,J172,K172,L172,M172,N172,O172,P172,Q172)</f>
        <v>9791666666.6666679</v>
      </c>
    </row>
    <row r="173" spans="2:18" x14ac:dyDescent="0.25">
      <c r="B173" t="s">
        <v>256</v>
      </c>
      <c r="C173" t="s">
        <v>59</v>
      </c>
      <c r="D173" t="s">
        <v>199</v>
      </c>
      <c r="E173" t="s">
        <v>128</v>
      </c>
      <c r="F173">
        <v>-583.33333333333337</v>
      </c>
      <c r="G173">
        <v>-583.33333333333337</v>
      </c>
      <c r="H173">
        <v>-583.33333333333337</v>
      </c>
      <c r="I173">
        <v>-583.33333333333337</v>
      </c>
      <c r="J173">
        <v>-583.33333333333337</v>
      </c>
      <c r="K173">
        <v>-583.33333333333337</v>
      </c>
      <c r="L173">
        <v>-583.33333333333337</v>
      </c>
      <c r="M173">
        <v>-583.33333333333337</v>
      </c>
      <c r="N173">
        <v>-583.33333333333337</v>
      </c>
      <c r="O173">
        <v>-583.33333333333337</v>
      </c>
      <c r="P173">
        <v>-583.33333333333337</v>
      </c>
      <c r="Q173">
        <v>-583.33333333333337</v>
      </c>
      <c r="R173">
        <f t="shared" si="44"/>
        <v>4083333.3333333344</v>
      </c>
    </row>
    <row r="174" spans="2:18" x14ac:dyDescent="0.25">
      <c r="B174" t="s">
        <v>256</v>
      </c>
      <c r="C174" t="s">
        <v>117</v>
      </c>
      <c r="D174" t="s">
        <v>199</v>
      </c>
      <c r="E174" t="s">
        <v>128</v>
      </c>
      <c r="F174">
        <v>-416.66666666666669</v>
      </c>
      <c r="G174">
        <v>-416.66666666666669</v>
      </c>
      <c r="H174">
        <v>-416.66666666666669</v>
      </c>
      <c r="I174">
        <v>-416.66666666666669</v>
      </c>
      <c r="J174">
        <v>-416.66666666666669</v>
      </c>
      <c r="K174">
        <v>-416.66666666666669</v>
      </c>
      <c r="L174">
        <v>-416.66666666666669</v>
      </c>
      <c r="M174">
        <v>-416.66666666666669</v>
      </c>
      <c r="N174">
        <v>-416.66666666666669</v>
      </c>
      <c r="O174">
        <v>-416.66666666666669</v>
      </c>
      <c r="P174">
        <v>-416.66666666666669</v>
      </c>
      <c r="Q174">
        <v>-416.66666666666669</v>
      </c>
      <c r="R174">
        <f t="shared" si="44"/>
        <v>2083333.333333333</v>
      </c>
    </row>
    <row r="175" spans="2:18" x14ac:dyDescent="0.25">
      <c r="B175" t="s">
        <v>257</v>
      </c>
      <c r="C175" t="s">
        <v>56</v>
      </c>
      <c r="D175" t="s">
        <v>199</v>
      </c>
      <c r="E175" t="s">
        <v>128</v>
      </c>
      <c r="F175">
        <v>-38169.74</v>
      </c>
      <c r="G175">
        <v>-38169.74</v>
      </c>
      <c r="H175">
        <v>-38169.74</v>
      </c>
      <c r="I175">
        <v>-38169.74</v>
      </c>
      <c r="J175">
        <v>-38169.74</v>
      </c>
      <c r="K175">
        <v>-38169.74</v>
      </c>
      <c r="L175">
        <v>-38169.74</v>
      </c>
      <c r="M175">
        <v>-38169.74</v>
      </c>
      <c r="N175">
        <v>-38169.74</v>
      </c>
      <c r="O175">
        <v>-38169.74</v>
      </c>
      <c r="P175">
        <v>-38169.74</v>
      </c>
      <c r="Q175">
        <v>-38169.74</v>
      </c>
      <c r="R175">
        <f t="shared" si="44"/>
        <v>17483148620.011204</v>
      </c>
    </row>
    <row r="176" spans="2:18" x14ac:dyDescent="0.25">
      <c r="B176" t="s">
        <v>257</v>
      </c>
      <c r="C176" t="s">
        <v>58</v>
      </c>
      <c r="D176" t="s">
        <v>199</v>
      </c>
      <c r="E176" t="s">
        <v>128</v>
      </c>
      <c r="F176">
        <v>-2583.3333333333335</v>
      </c>
      <c r="G176">
        <v>-2583.3333333333335</v>
      </c>
      <c r="H176">
        <v>-2583.3333333333335</v>
      </c>
      <c r="I176">
        <v>-2583.3333333333335</v>
      </c>
      <c r="J176">
        <v>-2583.3333333333335</v>
      </c>
      <c r="K176">
        <v>-2583.3333333333335</v>
      </c>
      <c r="L176">
        <v>-2583.3333333333335</v>
      </c>
      <c r="M176">
        <v>-2583.3333333333335</v>
      </c>
      <c r="N176">
        <v>-2583.3333333333335</v>
      </c>
      <c r="O176">
        <v>-2583.3333333333335</v>
      </c>
      <c r="P176">
        <v>-2583.3333333333335</v>
      </c>
      <c r="Q176">
        <v>-2583.3333333333335</v>
      </c>
      <c r="R176">
        <f t="shared" si="44"/>
        <v>80083333.333333343</v>
      </c>
    </row>
    <row r="177" spans="2:18" x14ac:dyDescent="0.25">
      <c r="B177" t="s">
        <v>257</v>
      </c>
      <c r="C177" t="s">
        <v>59</v>
      </c>
      <c r="D177" t="s">
        <v>199</v>
      </c>
      <c r="E177" t="s">
        <v>128</v>
      </c>
      <c r="F177">
        <v>-83.333333333333329</v>
      </c>
      <c r="G177">
        <v>-83.333333333333329</v>
      </c>
      <c r="H177">
        <v>-83.333333333333329</v>
      </c>
      <c r="I177">
        <v>-83.333333333333329</v>
      </c>
      <c r="J177">
        <v>-83.333333333333329</v>
      </c>
      <c r="K177">
        <v>-83.333333333333329</v>
      </c>
      <c r="L177">
        <v>-83.333333333333329</v>
      </c>
      <c r="M177">
        <v>-83.333333333333329</v>
      </c>
      <c r="N177">
        <v>-83.333333333333329</v>
      </c>
      <c r="O177">
        <v>-83.333333333333329</v>
      </c>
      <c r="P177">
        <v>-83.333333333333329</v>
      </c>
      <c r="Q177">
        <v>-83.333333333333329</v>
      </c>
      <c r="R177">
        <f t="shared" si="44"/>
        <v>83333.333333333314</v>
      </c>
    </row>
    <row r="178" spans="2:18" x14ac:dyDescent="0.25">
      <c r="B178" t="s">
        <v>257</v>
      </c>
      <c r="C178" t="s">
        <v>117</v>
      </c>
      <c r="D178" t="s">
        <v>199</v>
      </c>
      <c r="E178" t="s">
        <v>128</v>
      </c>
      <c r="F178">
        <v>-666.66666666666663</v>
      </c>
      <c r="G178">
        <v>-666.66666666666663</v>
      </c>
      <c r="H178">
        <v>-666.66666666666663</v>
      </c>
      <c r="I178">
        <v>-666.66666666666663</v>
      </c>
      <c r="J178">
        <v>-666.66666666666663</v>
      </c>
      <c r="K178">
        <v>-666.66666666666663</v>
      </c>
      <c r="L178">
        <v>-666.66666666666663</v>
      </c>
      <c r="M178">
        <v>-666.66666666666663</v>
      </c>
      <c r="N178">
        <v>-666.66666666666663</v>
      </c>
      <c r="O178">
        <v>-666.66666666666663</v>
      </c>
      <c r="P178">
        <v>-666.66666666666663</v>
      </c>
      <c r="Q178">
        <v>-666.66666666666663</v>
      </c>
      <c r="R178">
        <f t="shared" si="44"/>
        <v>5333333.3333333321</v>
      </c>
    </row>
    <row r="179" spans="2:18" x14ac:dyDescent="0.25">
      <c r="B179" t="s">
        <v>257</v>
      </c>
      <c r="C179" t="s">
        <v>118</v>
      </c>
      <c r="D179" t="s">
        <v>199</v>
      </c>
      <c r="E179" t="s">
        <v>14</v>
      </c>
      <c r="F179">
        <v>38169.74</v>
      </c>
      <c r="G179">
        <v>38169.74</v>
      </c>
      <c r="H179">
        <v>38169.74</v>
      </c>
      <c r="I179">
        <v>38169.74</v>
      </c>
      <c r="J179">
        <v>38169.74</v>
      </c>
      <c r="K179">
        <v>38169.74</v>
      </c>
      <c r="L179">
        <v>38169.74</v>
      </c>
      <c r="M179">
        <v>38169.74</v>
      </c>
      <c r="N179">
        <v>38169.74</v>
      </c>
      <c r="O179">
        <v>38169.74</v>
      </c>
      <c r="P179">
        <v>38169.74</v>
      </c>
      <c r="Q179">
        <v>38169.74</v>
      </c>
      <c r="R179">
        <f t="shared" si="44"/>
        <v>17483148620.011204</v>
      </c>
    </row>
    <row r="180" spans="2:18" x14ac:dyDescent="0.25">
      <c r="B180" t="s">
        <v>258</v>
      </c>
      <c r="C180" t="s">
        <v>19</v>
      </c>
      <c r="D180" t="s">
        <v>199</v>
      </c>
      <c r="E180" t="s">
        <v>128</v>
      </c>
      <c r="F180">
        <v>-5000</v>
      </c>
      <c r="G180">
        <v>-5000</v>
      </c>
      <c r="H180">
        <v>-5000</v>
      </c>
      <c r="I180">
        <v>-5000</v>
      </c>
      <c r="J180">
        <v>-5000</v>
      </c>
      <c r="K180">
        <v>-5000</v>
      </c>
      <c r="L180">
        <v>-5000</v>
      </c>
      <c r="M180">
        <v>-5000</v>
      </c>
      <c r="N180">
        <v>-5000</v>
      </c>
      <c r="O180">
        <v>-5000</v>
      </c>
      <c r="P180">
        <v>-5000</v>
      </c>
      <c r="Q180">
        <v>-5000</v>
      </c>
      <c r="R180">
        <f t="shared" ref="R180:R191" si="45">SUMSQ(F180,G180,H180,I180,J180,K180,L180,M180,N180,O180,P180,Q180)</f>
        <v>300000000</v>
      </c>
    </row>
    <row r="181" spans="2:18" x14ac:dyDescent="0.25">
      <c r="B181" t="s">
        <v>258</v>
      </c>
      <c r="C181" t="s">
        <v>20</v>
      </c>
      <c r="D181" t="s">
        <v>199</v>
      </c>
      <c r="E181" t="s">
        <v>128</v>
      </c>
      <c r="F181">
        <v>-4416.666666666667</v>
      </c>
      <c r="G181">
        <v>-4416.666666666667</v>
      </c>
      <c r="H181">
        <v>-4416.666666666667</v>
      </c>
      <c r="I181">
        <v>-4416.666666666667</v>
      </c>
      <c r="J181">
        <v>-4416.666666666667</v>
      </c>
      <c r="K181">
        <v>-4416.666666666667</v>
      </c>
      <c r="L181">
        <v>-4416.666666666667</v>
      </c>
      <c r="M181">
        <v>-4416.666666666667</v>
      </c>
      <c r="N181">
        <v>-4416.666666666667</v>
      </c>
      <c r="O181">
        <v>-4416.666666666667</v>
      </c>
      <c r="P181">
        <v>-4416.666666666667</v>
      </c>
      <c r="Q181">
        <v>-4416.666666666667</v>
      </c>
      <c r="R181">
        <f t="shared" si="45"/>
        <v>234083333.33333337</v>
      </c>
    </row>
    <row r="182" spans="2:18" x14ac:dyDescent="0.25">
      <c r="B182" t="s">
        <v>258</v>
      </c>
      <c r="C182" t="s">
        <v>169</v>
      </c>
      <c r="D182" t="s">
        <v>199</v>
      </c>
      <c r="E182" t="s">
        <v>119</v>
      </c>
      <c r="F182">
        <v>-5551.7966666666662</v>
      </c>
      <c r="G182">
        <v>-5551.7966666666662</v>
      </c>
      <c r="H182">
        <v>-5551.7966666666662</v>
      </c>
      <c r="I182">
        <v>-5551.7966666666662</v>
      </c>
      <c r="J182">
        <v>-5551.7966666666662</v>
      </c>
      <c r="K182">
        <v>-5551.7966666666662</v>
      </c>
      <c r="L182">
        <v>-5551.7966666666662</v>
      </c>
      <c r="M182">
        <v>-5551.7966666666662</v>
      </c>
      <c r="N182">
        <v>-5551.7966666666662</v>
      </c>
      <c r="O182">
        <v>-5551.7966666666662</v>
      </c>
      <c r="P182">
        <v>-5551.7966666666662</v>
      </c>
      <c r="Q182">
        <v>-5551.7966666666662</v>
      </c>
      <c r="R182">
        <f t="shared" si="45"/>
        <v>369869354.73613334</v>
      </c>
    </row>
    <row r="183" spans="2:18" x14ac:dyDescent="0.25">
      <c r="B183" t="s">
        <v>258</v>
      </c>
      <c r="C183" t="s">
        <v>169</v>
      </c>
      <c r="D183" t="s">
        <v>199</v>
      </c>
      <c r="E183" t="s">
        <v>142</v>
      </c>
      <c r="F183">
        <v>-53372.083333333336</v>
      </c>
      <c r="G183">
        <v>-53372.083333333336</v>
      </c>
      <c r="H183">
        <v>-53372.083333333336</v>
      </c>
      <c r="I183">
        <v>-53372.083333333336</v>
      </c>
      <c r="J183">
        <v>-53372.083333333336</v>
      </c>
      <c r="K183">
        <v>-53372.083333333336</v>
      </c>
      <c r="L183">
        <v>-53372.083333333336</v>
      </c>
      <c r="M183">
        <v>-53372.083333333336</v>
      </c>
      <c r="N183">
        <v>-53372.083333333336</v>
      </c>
      <c r="O183">
        <v>-53372.083333333336</v>
      </c>
      <c r="P183">
        <v>-53372.083333333336</v>
      </c>
      <c r="Q183">
        <v>-53372.083333333336</v>
      </c>
      <c r="R183">
        <f t="shared" si="45"/>
        <v>34182951352.08334</v>
      </c>
    </row>
    <row r="184" spans="2:18" x14ac:dyDescent="0.25">
      <c r="B184" t="s">
        <v>258</v>
      </c>
      <c r="C184" t="s">
        <v>21</v>
      </c>
      <c r="D184" t="s">
        <v>199</v>
      </c>
      <c r="E184" t="s">
        <v>128</v>
      </c>
      <c r="F184">
        <v>-83.333333333333329</v>
      </c>
      <c r="G184">
        <v>-83.333333333333329</v>
      </c>
      <c r="H184">
        <v>-83.333333333333329</v>
      </c>
      <c r="I184">
        <v>-83.333333333333329</v>
      </c>
      <c r="J184">
        <v>-83.333333333333329</v>
      </c>
      <c r="K184">
        <v>-83.333333333333329</v>
      </c>
      <c r="L184">
        <v>-83.333333333333329</v>
      </c>
      <c r="M184">
        <v>-83.333333333333329</v>
      </c>
      <c r="N184">
        <v>-83.333333333333329</v>
      </c>
      <c r="O184">
        <v>-83.333333333333329</v>
      </c>
      <c r="P184">
        <v>-83.333333333333329</v>
      </c>
      <c r="Q184">
        <v>-83.333333333333329</v>
      </c>
      <c r="R184">
        <f t="shared" si="45"/>
        <v>83333.333333333314</v>
      </c>
    </row>
    <row r="185" spans="2:18" x14ac:dyDescent="0.25">
      <c r="B185" t="s">
        <v>258</v>
      </c>
      <c r="C185" t="s">
        <v>95</v>
      </c>
      <c r="D185" t="s">
        <v>199</v>
      </c>
      <c r="E185" t="s">
        <v>128</v>
      </c>
      <c r="F185">
        <v>-583.33333333333337</v>
      </c>
      <c r="G185">
        <v>-583.33333333333337</v>
      </c>
      <c r="H185">
        <v>-583.33333333333337</v>
      </c>
      <c r="I185">
        <v>-583.33333333333337</v>
      </c>
      <c r="J185">
        <v>-583.33333333333337</v>
      </c>
      <c r="K185">
        <v>-583.33333333333337</v>
      </c>
      <c r="L185">
        <v>-583.33333333333337</v>
      </c>
      <c r="M185">
        <v>-583.33333333333337</v>
      </c>
      <c r="N185">
        <v>-583.33333333333337</v>
      </c>
      <c r="O185">
        <v>-583.33333333333337</v>
      </c>
      <c r="P185">
        <v>-583.33333333333337</v>
      </c>
      <c r="Q185">
        <v>-583.33333333333337</v>
      </c>
      <c r="R185">
        <f t="shared" si="45"/>
        <v>4083333.3333333344</v>
      </c>
    </row>
    <row r="186" spans="2:18" x14ac:dyDescent="0.25">
      <c r="B186" t="s">
        <v>258</v>
      </c>
      <c r="C186" t="s">
        <v>164</v>
      </c>
      <c r="D186" t="s">
        <v>199</v>
      </c>
      <c r="E186" t="s">
        <v>161</v>
      </c>
      <c r="F186">
        <v>-5100</v>
      </c>
      <c r="G186">
        <v>-5100</v>
      </c>
      <c r="H186">
        <v>-5100</v>
      </c>
      <c r="I186">
        <v>-5100</v>
      </c>
      <c r="J186">
        <v>-5100</v>
      </c>
      <c r="K186">
        <v>-5100</v>
      </c>
      <c r="L186">
        <v>-5100</v>
      </c>
      <c r="M186">
        <v>-5100</v>
      </c>
      <c r="N186">
        <v>-5100</v>
      </c>
      <c r="O186">
        <v>-5100</v>
      </c>
      <c r="P186">
        <v>-5100</v>
      </c>
      <c r="Q186">
        <v>-5100</v>
      </c>
      <c r="R186">
        <f t="shared" si="45"/>
        <v>312120000</v>
      </c>
    </row>
    <row r="187" spans="2:18" x14ac:dyDescent="0.25">
      <c r="B187" t="s">
        <v>259</v>
      </c>
      <c r="C187" t="s">
        <v>18</v>
      </c>
      <c r="D187" t="s">
        <v>199</v>
      </c>
      <c r="E187" t="s">
        <v>128</v>
      </c>
      <c r="F187">
        <v>-40614.360833333332</v>
      </c>
      <c r="G187">
        <v>-40614.360833333332</v>
      </c>
      <c r="H187">
        <v>-40614.360833333332</v>
      </c>
      <c r="I187">
        <v>-40614.360833333332</v>
      </c>
      <c r="J187">
        <v>-40614.360833333332</v>
      </c>
      <c r="K187">
        <v>-40614.360833333332</v>
      </c>
      <c r="L187">
        <v>-40614.360833333332</v>
      </c>
      <c r="M187">
        <v>-40614.360833333332</v>
      </c>
      <c r="N187">
        <v>-40614.360833333332</v>
      </c>
      <c r="O187">
        <v>-40614.360833333332</v>
      </c>
      <c r="P187">
        <v>-40614.360833333332</v>
      </c>
      <c r="Q187">
        <v>-40614.360833333332</v>
      </c>
      <c r="R187">
        <f t="shared" si="45"/>
        <v>19794315670.802402</v>
      </c>
    </row>
    <row r="188" spans="2:18" x14ac:dyDescent="0.25">
      <c r="B188" t="s">
        <v>259</v>
      </c>
      <c r="C188" t="s">
        <v>19</v>
      </c>
      <c r="D188" t="s">
        <v>199</v>
      </c>
      <c r="E188" t="s">
        <v>128</v>
      </c>
      <c r="F188">
        <v>-3333.3333333333335</v>
      </c>
      <c r="G188">
        <v>-3333.3333333333335</v>
      </c>
      <c r="H188">
        <v>-3333.3333333333335</v>
      </c>
      <c r="I188">
        <v>-3333.3333333333335</v>
      </c>
      <c r="J188">
        <v>-3333.3333333333335</v>
      </c>
      <c r="K188">
        <v>-3333.3333333333335</v>
      </c>
      <c r="L188">
        <v>-3333.3333333333335</v>
      </c>
      <c r="M188">
        <v>-3333.3333333333335</v>
      </c>
      <c r="N188">
        <v>-3333.3333333333335</v>
      </c>
      <c r="O188">
        <v>-3333.3333333333335</v>
      </c>
      <c r="P188">
        <v>-3333.3333333333335</v>
      </c>
      <c r="Q188">
        <v>-3333.3333333333335</v>
      </c>
      <c r="R188">
        <f t="shared" si="45"/>
        <v>133333333.33333331</v>
      </c>
    </row>
    <row r="189" spans="2:18" x14ac:dyDescent="0.25">
      <c r="B189" t="s">
        <v>259</v>
      </c>
      <c r="C189" t="s">
        <v>20</v>
      </c>
      <c r="D189" t="s">
        <v>199</v>
      </c>
      <c r="E189" t="s">
        <v>128</v>
      </c>
      <c r="F189">
        <v>-9166.6666666666661</v>
      </c>
      <c r="G189">
        <v>-9166.6666666666661</v>
      </c>
      <c r="H189">
        <v>-9166.6666666666661</v>
      </c>
      <c r="I189">
        <v>-9166.6666666666661</v>
      </c>
      <c r="J189">
        <v>-9166.6666666666661</v>
      </c>
      <c r="K189">
        <v>-9166.6666666666661</v>
      </c>
      <c r="L189">
        <v>-9166.6666666666661</v>
      </c>
      <c r="M189">
        <v>-9166.6666666666661</v>
      </c>
      <c r="N189">
        <v>-9166.6666666666661</v>
      </c>
      <c r="O189">
        <v>-9166.6666666666661</v>
      </c>
      <c r="P189">
        <v>-9166.6666666666661</v>
      </c>
      <c r="Q189">
        <v>-9166.6666666666661</v>
      </c>
      <c r="R189">
        <f t="shared" si="45"/>
        <v>1008333333.3333334</v>
      </c>
    </row>
    <row r="190" spans="2:18" x14ac:dyDescent="0.25">
      <c r="B190" t="s">
        <v>259</v>
      </c>
      <c r="C190" t="s">
        <v>21</v>
      </c>
      <c r="D190" t="s">
        <v>199</v>
      </c>
      <c r="E190" t="s">
        <v>128</v>
      </c>
      <c r="F190">
        <v>-250</v>
      </c>
      <c r="G190">
        <v>-250</v>
      </c>
      <c r="H190">
        <v>-250</v>
      </c>
      <c r="I190">
        <v>-250</v>
      </c>
      <c r="J190">
        <v>-250</v>
      </c>
      <c r="K190">
        <v>-250</v>
      </c>
      <c r="L190">
        <v>-250</v>
      </c>
      <c r="M190">
        <v>-250</v>
      </c>
      <c r="N190">
        <v>-250</v>
      </c>
      <c r="O190">
        <v>-250</v>
      </c>
      <c r="P190">
        <v>-250</v>
      </c>
      <c r="Q190">
        <v>-250</v>
      </c>
      <c r="R190">
        <f t="shared" si="45"/>
        <v>750000</v>
      </c>
    </row>
    <row r="191" spans="2:18" x14ac:dyDescent="0.25">
      <c r="B191" t="s">
        <v>259</v>
      </c>
      <c r="C191" t="s">
        <v>95</v>
      </c>
      <c r="D191" t="s">
        <v>199</v>
      </c>
      <c r="E191" t="s">
        <v>128</v>
      </c>
      <c r="F191">
        <v>-666.66666666666663</v>
      </c>
      <c r="G191">
        <v>-666.66666666666663</v>
      </c>
      <c r="H191">
        <v>-666.66666666666663</v>
      </c>
      <c r="I191">
        <v>-666.66666666666663</v>
      </c>
      <c r="J191">
        <v>-666.66666666666663</v>
      </c>
      <c r="K191">
        <v>-666.66666666666663</v>
      </c>
      <c r="L191">
        <v>-666.66666666666663</v>
      </c>
      <c r="M191">
        <v>-666.66666666666663</v>
      </c>
      <c r="N191">
        <v>-666.66666666666663</v>
      </c>
      <c r="O191">
        <v>-666.66666666666663</v>
      </c>
      <c r="P191">
        <v>-666.66666666666663</v>
      </c>
      <c r="Q191">
        <v>-666.66666666666663</v>
      </c>
      <c r="R191">
        <f t="shared" si="45"/>
        <v>5333333.3333333321</v>
      </c>
    </row>
    <row r="192" spans="2:18" x14ac:dyDescent="0.25">
      <c r="B192" t="s">
        <v>260</v>
      </c>
      <c r="C192" t="s">
        <v>18</v>
      </c>
      <c r="D192" t="s">
        <v>199</v>
      </c>
      <c r="E192" t="s">
        <v>128</v>
      </c>
      <c r="F192">
        <v>-35060.040833333333</v>
      </c>
      <c r="G192">
        <v>-35060.040833333333</v>
      </c>
      <c r="H192">
        <v>-35060.040833333333</v>
      </c>
      <c r="I192">
        <v>-35060.040833333333</v>
      </c>
      <c r="J192">
        <v>-35060.040833333333</v>
      </c>
      <c r="K192">
        <v>-35060.040833333333</v>
      </c>
      <c r="L192">
        <v>-35060.040833333333</v>
      </c>
      <c r="M192">
        <v>-35060.040833333333</v>
      </c>
      <c r="N192">
        <v>-35060.040833333333</v>
      </c>
      <c r="O192">
        <v>-35060.040833333333</v>
      </c>
      <c r="P192">
        <v>-35060.040833333333</v>
      </c>
      <c r="Q192">
        <v>-35060.040833333333</v>
      </c>
      <c r="R192">
        <f t="shared" ref="R192:R207" si="46">SUMSQ(F192,G192,H192,I192,J192,K192,L192,M192,N192,O192,P192,Q192)</f>
        <v>14750477558.820007</v>
      </c>
    </row>
    <row r="193" spans="2:18" x14ac:dyDescent="0.25">
      <c r="B193" t="s">
        <v>260</v>
      </c>
      <c r="C193" t="s">
        <v>19</v>
      </c>
      <c r="D193" t="s">
        <v>199</v>
      </c>
      <c r="E193" t="s">
        <v>128</v>
      </c>
      <c r="F193">
        <v>-10500</v>
      </c>
      <c r="G193">
        <v>-10500</v>
      </c>
      <c r="H193">
        <v>-10500</v>
      </c>
      <c r="I193">
        <v>-10500</v>
      </c>
      <c r="J193">
        <v>-10500</v>
      </c>
      <c r="K193">
        <v>-10500</v>
      </c>
      <c r="L193">
        <v>-10500</v>
      </c>
      <c r="M193">
        <v>-10500</v>
      </c>
      <c r="N193">
        <v>-10500</v>
      </c>
      <c r="O193">
        <v>-10500</v>
      </c>
      <c r="P193">
        <v>-10500</v>
      </c>
      <c r="Q193">
        <v>-10500</v>
      </c>
      <c r="R193">
        <f t="shared" si="46"/>
        <v>1323000000</v>
      </c>
    </row>
    <row r="194" spans="2:18" x14ac:dyDescent="0.25">
      <c r="B194" t="s">
        <v>260</v>
      </c>
      <c r="C194" t="s">
        <v>169</v>
      </c>
      <c r="D194" t="s">
        <v>199</v>
      </c>
      <c r="E194" t="s">
        <v>142</v>
      </c>
      <c r="F194">
        <v>-5366.666666666667</v>
      </c>
      <c r="G194">
        <v>-5366.666666666667</v>
      </c>
      <c r="H194">
        <v>-5366.666666666667</v>
      </c>
      <c r="I194">
        <v>-5366.666666666667</v>
      </c>
      <c r="J194">
        <v>-5366.666666666667</v>
      </c>
      <c r="K194">
        <v>-5366.666666666667</v>
      </c>
      <c r="L194">
        <v>-5366.666666666667</v>
      </c>
      <c r="M194">
        <v>-5366.666666666667</v>
      </c>
      <c r="N194">
        <v>-5366.666666666667</v>
      </c>
      <c r="O194">
        <v>-5366.666666666667</v>
      </c>
      <c r="P194">
        <v>-5366.666666666667</v>
      </c>
      <c r="Q194">
        <v>-5366.666666666667</v>
      </c>
      <c r="R194">
        <f t="shared" si="46"/>
        <v>345613333.33333331</v>
      </c>
    </row>
    <row r="195" spans="2:18" x14ac:dyDescent="0.25">
      <c r="B195" t="s">
        <v>260</v>
      </c>
      <c r="C195" t="s">
        <v>21</v>
      </c>
      <c r="D195" t="s">
        <v>199</v>
      </c>
      <c r="E195" t="s">
        <v>128</v>
      </c>
      <c r="F195">
        <v>-250</v>
      </c>
      <c r="G195">
        <v>-250</v>
      </c>
      <c r="H195">
        <v>-250</v>
      </c>
      <c r="I195">
        <v>-250</v>
      </c>
      <c r="J195">
        <v>-250</v>
      </c>
      <c r="K195">
        <v>-250</v>
      </c>
      <c r="L195">
        <v>-250</v>
      </c>
      <c r="M195">
        <v>-250</v>
      </c>
      <c r="N195">
        <v>-250</v>
      </c>
      <c r="O195">
        <v>-250</v>
      </c>
      <c r="P195">
        <v>-250</v>
      </c>
      <c r="Q195">
        <v>-250</v>
      </c>
      <c r="R195">
        <f t="shared" si="46"/>
        <v>750000</v>
      </c>
    </row>
    <row r="196" spans="2:18" x14ac:dyDescent="0.25">
      <c r="B196" t="s">
        <v>261</v>
      </c>
      <c r="C196" t="s">
        <v>167</v>
      </c>
      <c r="D196" t="s">
        <v>199</v>
      </c>
      <c r="E196" t="s">
        <v>128</v>
      </c>
      <c r="F196">
        <v>-416.66666666666669</v>
      </c>
      <c r="G196">
        <v>-416.66666666666669</v>
      </c>
      <c r="H196">
        <v>-416.66666666666669</v>
      </c>
      <c r="I196">
        <v>-416.66666666666669</v>
      </c>
      <c r="J196">
        <v>-416.66666666666669</v>
      </c>
      <c r="K196">
        <v>-416.66666666666669</v>
      </c>
      <c r="L196">
        <v>-416.66666666666669</v>
      </c>
      <c r="M196">
        <v>-416.66666666666669</v>
      </c>
      <c r="N196">
        <v>-416.66666666666669</v>
      </c>
      <c r="O196">
        <v>-416.66666666666669</v>
      </c>
      <c r="P196">
        <v>-416.66666666666669</v>
      </c>
      <c r="Q196">
        <v>-416.66666666666669</v>
      </c>
      <c r="R196">
        <f t="shared" si="46"/>
        <v>2083333.333333333</v>
      </c>
    </row>
    <row r="197" spans="2:18" x14ac:dyDescent="0.25">
      <c r="B197" t="s">
        <v>261</v>
      </c>
      <c r="C197" t="s">
        <v>13</v>
      </c>
      <c r="D197" t="s">
        <v>199</v>
      </c>
      <c r="E197" t="s">
        <v>128</v>
      </c>
      <c r="F197">
        <v>-166.66666666666666</v>
      </c>
      <c r="G197">
        <v>-166.66666666666666</v>
      </c>
      <c r="H197">
        <v>-166.66666666666666</v>
      </c>
      <c r="I197">
        <v>-166.66666666666666</v>
      </c>
      <c r="J197">
        <v>-166.66666666666666</v>
      </c>
      <c r="K197">
        <v>-166.66666666666666</v>
      </c>
      <c r="L197">
        <v>-166.66666666666666</v>
      </c>
      <c r="M197">
        <v>-166.66666666666666</v>
      </c>
      <c r="N197">
        <v>-166.66666666666666</v>
      </c>
      <c r="O197">
        <v>-166.66666666666666</v>
      </c>
      <c r="P197">
        <v>-166.66666666666666</v>
      </c>
      <c r="Q197">
        <v>-166.66666666666666</v>
      </c>
      <c r="R197">
        <f t="shared" si="46"/>
        <v>333333.33333333326</v>
      </c>
    </row>
    <row r="198" spans="2:18" x14ac:dyDescent="0.25">
      <c r="B198" t="s">
        <v>261</v>
      </c>
      <c r="C198" t="s">
        <v>51</v>
      </c>
      <c r="D198" t="s">
        <v>199</v>
      </c>
      <c r="E198" t="s">
        <v>128</v>
      </c>
      <c r="F198">
        <v>-43473.025000000001</v>
      </c>
      <c r="G198">
        <v>-43473.025000000001</v>
      </c>
      <c r="H198">
        <v>-43473.025000000001</v>
      </c>
      <c r="I198">
        <v>-43473.025000000001</v>
      </c>
      <c r="J198">
        <v>-43473.025000000001</v>
      </c>
      <c r="K198">
        <v>-43473.025000000001</v>
      </c>
      <c r="L198">
        <v>-43473.025000000001</v>
      </c>
      <c r="M198">
        <v>-43473.025000000001</v>
      </c>
      <c r="N198">
        <v>-43473.025000000001</v>
      </c>
      <c r="O198">
        <v>-43473.025000000001</v>
      </c>
      <c r="P198">
        <v>-43473.025000000001</v>
      </c>
      <c r="Q198">
        <v>-43473.025000000001</v>
      </c>
      <c r="R198">
        <f t="shared" si="46"/>
        <v>22678846831.807503</v>
      </c>
    </row>
    <row r="199" spans="2:18" x14ac:dyDescent="0.25">
      <c r="B199" t="s">
        <v>261</v>
      </c>
      <c r="C199" t="s">
        <v>174</v>
      </c>
      <c r="D199" t="s">
        <v>199</v>
      </c>
      <c r="E199" t="s">
        <v>128</v>
      </c>
      <c r="F199">
        <v>-1666.6666666666667</v>
      </c>
      <c r="G199">
        <v>-1666.6666666666667</v>
      </c>
      <c r="H199">
        <v>-1666.6666666666667</v>
      </c>
      <c r="I199">
        <v>-1666.6666666666667</v>
      </c>
      <c r="J199">
        <v>-1666.6666666666667</v>
      </c>
      <c r="K199">
        <v>-1666.6666666666667</v>
      </c>
      <c r="L199">
        <v>-1666.6666666666667</v>
      </c>
      <c r="M199">
        <v>-1666.6666666666667</v>
      </c>
      <c r="N199">
        <v>-1666.6666666666667</v>
      </c>
      <c r="O199">
        <v>-1666.6666666666667</v>
      </c>
      <c r="P199">
        <v>-1666.6666666666667</v>
      </c>
      <c r="Q199">
        <v>-1666.6666666666667</v>
      </c>
      <c r="R199">
        <f t="shared" si="46"/>
        <v>33333333.333333328</v>
      </c>
    </row>
    <row r="200" spans="2:18" x14ac:dyDescent="0.25">
      <c r="B200" t="s">
        <v>261</v>
      </c>
      <c r="C200" t="s">
        <v>53</v>
      </c>
      <c r="D200" t="s">
        <v>227</v>
      </c>
      <c r="E200" t="s">
        <v>128</v>
      </c>
      <c r="F200">
        <v>-29083.333333333332</v>
      </c>
      <c r="G200">
        <v>-29083.333333333332</v>
      </c>
      <c r="H200">
        <v>-29083.333333333332</v>
      </c>
      <c r="I200">
        <v>-29083.333333333332</v>
      </c>
      <c r="J200">
        <v>-29083.333333333332</v>
      </c>
      <c r="K200">
        <v>-29083.333333333332</v>
      </c>
      <c r="L200">
        <v>-29083.333333333332</v>
      </c>
      <c r="M200">
        <v>-29083.333333333332</v>
      </c>
      <c r="N200">
        <v>-29083.333333333332</v>
      </c>
      <c r="O200">
        <v>-29083.333333333332</v>
      </c>
      <c r="P200">
        <v>-29083.333333333332</v>
      </c>
      <c r="Q200">
        <v>-29083.333333333332</v>
      </c>
      <c r="R200">
        <f t="shared" si="46"/>
        <v>10150083333.333332</v>
      </c>
    </row>
    <row r="201" spans="2:18" x14ac:dyDescent="0.25">
      <c r="B201" t="s">
        <v>261</v>
      </c>
      <c r="C201" t="s">
        <v>53</v>
      </c>
      <c r="D201" t="s">
        <v>199</v>
      </c>
      <c r="E201" t="s">
        <v>128</v>
      </c>
      <c r="F201">
        <v>-2750</v>
      </c>
      <c r="G201">
        <v>-2750</v>
      </c>
      <c r="H201">
        <v>-2750</v>
      </c>
      <c r="I201">
        <v>-19416.666666666701</v>
      </c>
      <c r="J201">
        <v>-19416.666666666701</v>
      </c>
      <c r="K201">
        <v>-19416.666666666701</v>
      </c>
      <c r="L201">
        <v>-2750</v>
      </c>
      <c r="M201">
        <v>-2750</v>
      </c>
      <c r="N201">
        <v>-2750</v>
      </c>
      <c r="O201">
        <v>-2750</v>
      </c>
      <c r="P201">
        <v>-2750</v>
      </c>
      <c r="Q201">
        <v>-2750</v>
      </c>
      <c r="R201">
        <f t="shared" si="46"/>
        <v>1199083333.3333373</v>
      </c>
    </row>
    <row r="202" spans="2:18" x14ac:dyDescent="0.25">
      <c r="B202" t="s">
        <v>261</v>
      </c>
      <c r="C202" t="s">
        <v>53</v>
      </c>
      <c r="D202" t="s">
        <v>205</v>
      </c>
      <c r="E202" t="s">
        <v>128</v>
      </c>
      <c r="F202">
        <v>-18916.666666666668</v>
      </c>
      <c r="G202">
        <v>-18916.666666666668</v>
      </c>
      <c r="H202">
        <v>-18916.666666666668</v>
      </c>
      <c r="I202">
        <v>-18916.666666666668</v>
      </c>
      <c r="J202">
        <v>-18916.666666666668</v>
      </c>
      <c r="K202">
        <v>-18916.666666666668</v>
      </c>
      <c r="L202">
        <v>-18916.666666666668</v>
      </c>
      <c r="M202">
        <v>-18916.666666666668</v>
      </c>
      <c r="N202">
        <v>-18916.666666666668</v>
      </c>
      <c r="O202">
        <v>-18916.666666666668</v>
      </c>
      <c r="P202">
        <v>-18916.666666666668</v>
      </c>
      <c r="Q202">
        <v>-18916.666666666668</v>
      </c>
      <c r="R202">
        <f t="shared" si="46"/>
        <v>4294083333.3333335</v>
      </c>
    </row>
    <row r="203" spans="2:18" x14ac:dyDescent="0.25">
      <c r="B203" t="s">
        <v>261</v>
      </c>
      <c r="C203" t="s">
        <v>64</v>
      </c>
      <c r="D203" t="s">
        <v>147</v>
      </c>
      <c r="E203" t="s">
        <v>128</v>
      </c>
      <c r="F203">
        <v>-726.64600000000007</v>
      </c>
      <c r="G203">
        <v>-726.64600000000007</v>
      </c>
      <c r="H203">
        <v>-726.64600000000007</v>
      </c>
      <c r="I203">
        <v>-726.64600000000007</v>
      </c>
      <c r="J203">
        <v>-726.64600000000007</v>
      </c>
      <c r="K203">
        <v>-726.64600000000007</v>
      </c>
      <c r="L203">
        <v>-726.64600000000007</v>
      </c>
      <c r="M203">
        <v>-726.64600000000007</v>
      </c>
      <c r="N203">
        <v>-726.64600000000007</v>
      </c>
      <c r="O203">
        <v>-726.64600000000007</v>
      </c>
      <c r="P203">
        <v>-726.64600000000007</v>
      </c>
      <c r="Q203">
        <v>-726.64600000000007</v>
      </c>
      <c r="R203">
        <f t="shared" si="46"/>
        <v>6336172.9117919989</v>
      </c>
    </row>
    <row r="204" spans="2:18" x14ac:dyDescent="0.25">
      <c r="B204" t="s">
        <v>261</v>
      </c>
      <c r="C204" t="s">
        <v>99</v>
      </c>
      <c r="D204" t="s">
        <v>199</v>
      </c>
      <c r="E204" t="s">
        <v>14</v>
      </c>
      <c r="F204">
        <v>23000</v>
      </c>
      <c r="G204">
        <v>23000</v>
      </c>
      <c r="H204">
        <v>23000</v>
      </c>
      <c r="I204">
        <v>23000</v>
      </c>
      <c r="J204">
        <v>23000</v>
      </c>
      <c r="K204">
        <v>23000</v>
      </c>
      <c r="L204">
        <v>23000</v>
      </c>
      <c r="M204">
        <v>23000</v>
      </c>
      <c r="N204">
        <v>23000</v>
      </c>
      <c r="O204">
        <v>23000</v>
      </c>
      <c r="P204">
        <v>23000</v>
      </c>
      <c r="Q204">
        <v>23000</v>
      </c>
      <c r="R204">
        <f t="shared" si="46"/>
        <v>6348000000</v>
      </c>
    </row>
    <row r="205" spans="2:18" x14ac:dyDescent="0.25">
      <c r="B205" t="s">
        <v>261</v>
      </c>
      <c r="C205" t="s">
        <v>100</v>
      </c>
      <c r="D205" t="s">
        <v>199</v>
      </c>
      <c r="E205" t="s">
        <v>14</v>
      </c>
      <c r="F205">
        <v>8312.9025000000001</v>
      </c>
      <c r="G205">
        <v>8312.9025000000001</v>
      </c>
      <c r="H205">
        <v>8312.9025000000001</v>
      </c>
      <c r="I205">
        <v>8312.9025000000001</v>
      </c>
      <c r="J205">
        <v>8312.9025000000001</v>
      </c>
      <c r="K205">
        <v>8312.9025000000001</v>
      </c>
      <c r="L205">
        <v>8312.9025000000001</v>
      </c>
      <c r="M205">
        <v>8312.9025000000001</v>
      </c>
      <c r="N205">
        <v>8312.9025000000001</v>
      </c>
      <c r="O205">
        <v>8312.9025000000001</v>
      </c>
      <c r="P205">
        <v>8312.9025000000001</v>
      </c>
      <c r="Q205">
        <v>8312.9025000000001</v>
      </c>
      <c r="R205">
        <f t="shared" si="46"/>
        <v>829252175.69407511</v>
      </c>
    </row>
    <row r="206" spans="2:18" x14ac:dyDescent="0.25">
      <c r="B206" t="s">
        <v>262</v>
      </c>
      <c r="C206" t="s">
        <v>51</v>
      </c>
      <c r="D206" t="s">
        <v>199</v>
      </c>
      <c r="E206" t="s">
        <v>128</v>
      </c>
      <c r="F206">
        <v>-21948.662500000002</v>
      </c>
      <c r="G206">
        <v>-21948.662500000002</v>
      </c>
      <c r="H206">
        <v>-21948.662500000002</v>
      </c>
      <c r="I206">
        <v>-21948.662500000002</v>
      </c>
      <c r="J206">
        <v>-21948.662500000002</v>
      </c>
      <c r="K206">
        <v>-21948.662500000002</v>
      </c>
      <c r="L206">
        <v>-21948.662500000002</v>
      </c>
      <c r="M206">
        <v>-21948.662500000002</v>
      </c>
      <c r="N206">
        <v>-21948.662500000002</v>
      </c>
      <c r="O206">
        <v>-21948.662500000002</v>
      </c>
      <c r="P206">
        <v>-21948.662500000002</v>
      </c>
      <c r="Q206">
        <v>-21948.662500000002</v>
      </c>
      <c r="R206">
        <f t="shared" si="46"/>
        <v>5780925426.4668741</v>
      </c>
    </row>
    <row r="207" spans="2:18" x14ac:dyDescent="0.25">
      <c r="B207" t="s">
        <v>262</v>
      </c>
      <c r="C207" t="s">
        <v>52</v>
      </c>
      <c r="D207" t="s">
        <v>199</v>
      </c>
      <c r="E207" t="s">
        <v>128</v>
      </c>
      <c r="F207">
        <v>-1000</v>
      </c>
      <c r="G207">
        <v>-1000</v>
      </c>
      <c r="H207">
        <v>-1000</v>
      </c>
      <c r="I207">
        <v>-1000</v>
      </c>
      <c r="J207">
        <v>-1000</v>
      </c>
      <c r="K207">
        <v>-1000</v>
      </c>
      <c r="L207">
        <v>-1000</v>
      </c>
      <c r="M207">
        <v>-1000</v>
      </c>
      <c r="N207">
        <v>-1000</v>
      </c>
      <c r="O207">
        <v>-1000</v>
      </c>
      <c r="P207">
        <v>-1000</v>
      </c>
      <c r="Q207">
        <v>-1000</v>
      </c>
      <c r="R207">
        <f t="shared" si="46"/>
        <v>12000000</v>
      </c>
    </row>
    <row r="208" spans="2:18" x14ac:dyDescent="0.25">
      <c r="B208" t="s">
        <v>262</v>
      </c>
      <c r="C208" t="s">
        <v>53</v>
      </c>
      <c r="D208" t="s">
        <v>199</v>
      </c>
      <c r="E208" t="s">
        <v>128</v>
      </c>
      <c r="F208">
        <v>-15666.666666666633</v>
      </c>
      <c r="G208">
        <v>-15666.666666666633</v>
      </c>
      <c r="H208">
        <v>-15666.666666666633</v>
      </c>
      <c r="I208">
        <v>-15666.666666666633</v>
      </c>
      <c r="J208">
        <v>-15666.666666666633</v>
      </c>
      <c r="K208">
        <v>-15666.666666666633</v>
      </c>
      <c r="L208">
        <v>-15666.666666666633</v>
      </c>
      <c r="M208">
        <v>-15666.666666666633</v>
      </c>
      <c r="N208">
        <v>-15666.666666666633</v>
      </c>
      <c r="O208">
        <v>-15666.666666666633</v>
      </c>
      <c r="P208">
        <v>-15666.666666666633</v>
      </c>
      <c r="Q208">
        <v>-15666.666666666633</v>
      </c>
      <c r="R208">
        <f t="shared" ref="R208:R214" si="47">SUMSQ(F208,G208,H208,I208,J208,K208,L208,M208,N208,O208,P208,Q208)</f>
        <v>2945333333.3333206</v>
      </c>
    </row>
    <row r="209" spans="2:18" x14ac:dyDescent="0.25">
      <c r="B209" t="s">
        <v>262</v>
      </c>
      <c r="C209" t="s">
        <v>54</v>
      </c>
      <c r="D209" t="s">
        <v>199</v>
      </c>
      <c r="E209" t="s">
        <v>128</v>
      </c>
      <c r="F209">
        <v>-83.333333333333329</v>
      </c>
      <c r="G209">
        <v>-83.333333333333329</v>
      </c>
      <c r="H209">
        <v>-83.333333333333329</v>
      </c>
      <c r="I209">
        <v>-83.333333333333329</v>
      </c>
      <c r="J209">
        <v>-83.333333333333329</v>
      </c>
      <c r="K209">
        <v>-83.333333333333329</v>
      </c>
      <c r="L209">
        <v>-83.333333333333329</v>
      </c>
      <c r="M209">
        <v>-83.333333333333329</v>
      </c>
      <c r="N209">
        <v>-83.333333333333329</v>
      </c>
      <c r="O209">
        <v>-83.333333333333329</v>
      </c>
      <c r="P209">
        <v>-83.333333333333329</v>
      </c>
      <c r="Q209">
        <v>-83.333333333333329</v>
      </c>
      <c r="R209">
        <f t="shared" si="47"/>
        <v>83333.333333333314</v>
      </c>
    </row>
    <row r="210" spans="2:18" x14ac:dyDescent="0.25">
      <c r="B210" t="s">
        <v>262</v>
      </c>
      <c r="C210" t="s">
        <v>110</v>
      </c>
      <c r="D210" t="s">
        <v>199</v>
      </c>
      <c r="E210" t="s">
        <v>128</v>
      </c>
      <c r="F210">
        <v>-416.66666666666669</v>
      </c>
      <c r="G210">
        <v>-416.66666666666669</v>
      </c>
      <c r="H210">
        <v>-416.66666666666669</v>
      </c>
      <c r="I210">
        <v>-416.66666666666669</v>
      </c>
      <c r="J210">
        <v>-416.66666666666669</v>
      </c>
      <c r="K210">
        <v>-416.66666666666669</v>
      </c>
      <c r="L210">
        <v>-416.66666666666669</v>
      </c>
      <c r="M210">
        <v>-416.66666666666669</v>
      </c>
      <c r="N210">
        <v>-416.66666666666669</v>
      </c>
      <c r="O210">
        <v>-416.66666666666669</v>
      </c>
      <c r="P210">
        <v>-416.66666666666669</v>
      </c>
      <c r="Q210">
        <v>-416.66666666666669</v>
      </c>
      <c r="R210">
        <f t="shared" si="47"/>
        <v>2083333.333333333</v>
      </c>
    </row>
    <row r="211" spans="2:18" x14ac:dyDescent="0.25">
      <c r="B211" t="s">
        <v>263</v>
      </c>
      <c r="C211" t="s">
        <v>51</v>
      </c>
      <c r="D211" t="s">
        <v>199</v>
      </c>
      <c r="E211" t="s">
        <v>128</v>
      </c>
      <c r="F211">
        <v>-10670.691666666668</v>
      </c>
      <c r="G211">
        <v>-10670.691666666668</v>
      </c>
      <c r="H211">
        <v>-10670.691666666668</v>
      </c>
      <c r="I211">
        <v>-10670.691666666668</v>
      </c>
      <c r="J211">
        <v>-10670.691666666668</v>
      </c>
      <c r="K211">
        <v>-10670.691666666668</v>
      </c>
      <c r="L211">
        <v>-10670.691666666668</v>
      </c>
      <c r="M211">
        <v>-10670.691666666668</v>
      </c>
      <c r="N211">
        <v>-10670.691666666668</v>
      </c>
      <c r="O211">
        <v>-10670.691666666668</v>
      </c>
      <c r="P211">
        <v>-10670.691666666668</v>
      </c>
      <c r="Q211">
        <v>-10670.691666666668</v>
      </c>
      <c r="R211">
        <f t="shared" si="47"/>
        <v>1366363927.7408333</v>
      </c>
    </row>
    <row r="212" spans="2:18" x14ac:dyDescent="0.25">
      <c r="B212" t="s">
        <v>263</v>
      </c>
      <c r="C212" t="s">
        <v>52</v>
      </c>
      <c r="D212" t="s">
        <v>199</v>
      </c>
      <c r="E212" t="s">
        <v>128</v>
      </c>
      <c r="F212">
        <v>-416.66666666666669</v>
      </c>
      <c r="G212">
        <v>-416.66666666666669</v>
      </c>
      <c r="H212">
        <v>-416.66666666666669</v>
      </c>
      <c r="I212">
        <v>-416.66666666666669</v>
      </c>
      <c r="J212">
        <v>-416.66666666666669</v>
      </c>
      <c r="K212">
        <v>-416.66666666666669</v>
      </c>
      <c r="L212">
        <v>-416.66666666666669</v>
      </c>
      <c r="M212">
        <v>-416.66666666666669</v>
      </c>
      <c r="N212">
        <v>-416.66666666666669</v>
      </c>
      <c r="O212">
        <v>-416.66666666666669</v>
      </c>
      <c r="P212">
        <v>-416.66666666666669</v>
      </c>
      <c r="Q212">
        <v>-416.66666666666669</v>
      </c>
      <c r="R212">
        <f t="shared" si="47"/>
        <v>2083333.333333333</v>
      </c>
    </row>
    <row r="213" spans="2:18" x14ac:dyDescent="0.25">
      <c r="B213" t="s">
        <v>263</v>
      </c>
      <c r="C213" t="s">
        <v>53</v>
      </c>
      <c r="D213" t="s">
        <v>226</v>
      </c>
      <c r="E213" t="s">
        <v>128</v>
      </c>
      <c r="F213">
        <v>-16666.666666666668</v>
      </c>
      <c r="G213">
        <v>-16666.666666666668</v>
      </c>
      <c r="H213">
        <v>-16666.666666666668</v>
      </c>
      <c r="I213">
        <v>-16666.666666666668</v>
      </c>
      <c r="J213">
        <v>-16666.666666666668</v>
      </c>
      <c r="K213">
        <v>-16666.666666666668</v>
      </c>
      <c r="L213">
        <v>-16666.666666666668</v>
      </c>
      <c r="M213">
        <v>-16666.666666666668</v>
      </c>
      <c r="N213">
        <v>-16666.666666666668</v>
      </c>
      <c r="O213">
        <v>-16666.666666666668</v>
      </c>
      <c r="P213">
        <v>-16666.666666666668</v>
      </c>
      <c r="Q213">
        <v>-16666.666666666668</v>
      </c>
      <c r="R213">
        <f t="shared" si="47"/>
        <v>3333333333.3333325</v>
      </c>
    </row>
    <row r="214" spans="2:18" x14ac:dyDescent="0.25">
      <c r="B214" t="s">
        <v>263</v>
      </c>
      <c r="C214" t="s">
        <v>54</v>
      </c>
      <c r="D214" t="s">
        <v>199</v>
      </c>
      <c r="E214" t="s">
        <v>128</v>
      </c>
      <c r="F214">
        <v>-83.333333333333329</v>
      </c>
      <c r="G214">
        <v>-83.333333333333329</v>
      </c>
      <c r="H214">
        <v>-83.333333333333329</v>
      </c>
      <c r="I214">
        <v>-83.333333333333329</v>
      </c>
      <c r="J214">
        <v>-83.333333333333329</v>
      </c>
      <c r="K214">
        <v>-83.333333333333329</v>
      </c>
      <c r="L214">
        <v>-83.333333333333329</v>
      </c>
      <c r="M214">
        <v>-83.333333333333329</v>
      </c>
      <c r="N214">
        <v>-83.333333333333329</v>
      </c>
      <c r="O214">
        <v>-83.333333333333329</v>
      </c>
      <c r="P214">
        <v>-83.333333333333329</v>
      </c>
      <c r="Q214">
        <v>-83.333333333333329</v>
      </c>
      <c r="R214">
        <f t="shared" si="47"/>
        <v>83333.333333333314</v>
      </c>
    </row>
    <row r="215" spans="2:18" x14ac:dyDescent="0.25">
      <c r="B215" t="s">
        <v>263</v>
      </c>
      <c r="C215" t="s">
        <v>112</v>
      </c>
      <c r="D215" t="s">
        <v>199</v>
      </c>
      <c r="E215" t="s">
        <v>14</v>
      </c>
      <c r="F215">
        <v>7469.4841666666662</v>
      </c>
      <c r="G215">
        <v>7469.4841666666662</v>
      </c>
      <c r="H215">
        <v>7469.4841666666662</v>
      </c>
      <c r="I215">
        <v>7469.4841666666662</v>
      </c>
      <c r="J215">
        <v>7469.4841666666662</v>
      </c>
      <c r="K215">
        <v>7469.4841666666662</v>
      </c>
      <c r="L215">
        <v>7469.4841666666662</v>
      </c>
      <c r="M215">
        <v>7469.4841666666662</v>
      </c>
      <c r="N215">
        <v>7469.4841666666662</v>
      </c>
      <c r="O215">
        <v>7469.4841666666662</v>
      </c>
      <c r="P215">
        <v>7469.4841666666662</v>
      </c>
      <c r="Q215">
        <v>7469.4841666666662</v>
      </c>
      <c r="R215">
        <f t="shared" ref="R215:R218" si="48">SUMSQ(F215,G215,H215,I215,J215,K215,L215,M215,N215,O215,P215,Q215)</f>
        <v>669518324.59300816</v>
      </c>
    </row>
    <row r="216" spans="2:18" x14ac:dyDescent="0.25">
      <c r="B216" t="s">
        <v>264</v>
      </c>
      <c r="C216" t="s">
        <v>51</v>
      </c>
      <c r="D216" t="s">
        <v>199</v>
      </c>
      <c r="E216" t="s">
        <v>128</v>
      </c>
      <c r="F216">
        <v>-30934.68416666667</v>
      </c>
      <c r="G216">
        <v>-30934.68416666667</v>
      </c>
      <c r="H216">
        <v>-30934.68416666667</v>
      </c>
      <c r="I216">
        <v>-30934.68416666667</v>
      </c>
      <c r="J216">
        <v>-30934.68416666667</v>
      </c>
      <c r="K216">
        <v>-30934.68416666667</v>
      </c>
      <c r="L216">
        <v>-30934.68416666667</v>
      </c>
      <c r="M216">
        <v>-30934.68416666667</v>
      </c>
      <c r="N216">
        <v>-30934.68416666667</v>
      </c>
      <c r="O216">
        <v>-30934.68416666667</v>
      </c>
      <c r="P216">
        <v>-30934.68416666667</v>
      </c>
      <c r="Q216">
        <v>-30934.68416666667</v>
      </c>
      <c r="R216">
        <f t="shared" si="48"/>
        <v>11483456213.897009</v>
      </c>
    </row>
    <row r="217" spans="2:18" x14ac:dyDescent="0.25">
      <c r="B217" t="s">
        <v>264</v>
      </c>
      <c r="C217" t="s">
        <v>52</v>
      </c>
      <c r="D217" t="s">
        <v>199</v>
      </c>
      <c r="E217" t="s">
        <v>128</v>
      </c>
      <c r="F217">
        <v>-2916.6666666666665</v>
      </c>
      <c r="G217">
        <v>-2916.6666666666665</v>
      </c>
      <c r="H217">
        <v>-2916.6666666666665</v>
      </c>
      <c r="I217">
        <v>-2916.6666666666665</v>
      </c>
      <c r="J217">
        <v>-2916.6666666666665</v>
      </c>
      <c r="K217">
        <v>-2916.6666666666665</v>
      </c>
      <c r="L217">
        <v>-2916.6666666666665</v>
      </c>
      <c r="M217">
        <v>-2916.6666666666665</v>
      </c>
      <c r="N217">
        <v>-2916.6666666666665</v>
      </c>
      <c r="O217">
        <v>-2916.6666666666665</v>
      </c>
      <c r="P217">
        <v>-2916.6666666666665</v>
      </c>
      <c r="Q217">
        <v>-2916.6666666666665</v>
      </c>
      <c r="R217">
        <f t="shared" si="48"/>
        <v>102083333.33333336</v>
      </c>
    </row>
    <row r="218" spans="2:18" x14ac:dyDescent="0.25">
      <c r="B218" t="s">
        <v>264</v>
      </c>
      <c r="C218" t="s">
        <v>53</v>
      </c>
      <c r="D218" t="s">
        <v>199</v>
      </c>
      <c r="E218" t="s">
        <v>77</v>
      </c>
      <c r="F218">
        <v>-2500</v>
      </c>
      <c r="G218">
        <v>-2500</v>
      </c>
      <c r="H218">
        <v>-2500</v>
      </c>
      <c r="I218">
        <v>-2500</v>
      </c>
      <c r="J218">
        <v>-2500</v>
      </c>
      <c r="K218">
        <v>-2500</v>
      </c>
      <c r="L218">
        <v>-2500</v>
      </c>
      <c r="M218">
        <v>-2500</v>
      </c>
      <c r="N218">
        <v>-2500</v>
      </c>
      <c r="O218">
        <v>-2500</v>
      </c>
      <c r="P218">
        <v>-2500</v>
      </c>
      <c r="Q218">
        <v>-2500</v>
      </c>
      <c r="R218">
        <f t="shared" si="48"/>
        <v>75000000</v>
      </c>
    </row>
    <row r="219" spans="2:18" x14ac:dyDescent="0.25">
      <c r="B219" t="s">
        <v>264</v>
      </c>
      <c r="C219" t="s">
        <v>54</v>
      </c>
      <c r="D219" t="s">
        <v>199</v>
      </c>
      <c r="E219" t="s">
        <v>128</v>
      </c>
      <c r="F219">
        <v>-166.66666666666666</v>
      </c>
      <c r="G219">
        <v>-166.66666666666666</v>
      </c>
      <c r="H219">
        <v>-166.66666666666666</v>
      </c>
      <c r="I219">
        <v>-166.66666666666666</v>
      </c>
      <c r="J219">
        <v>-166.66666666666666</v>
      </c>
      <c r="K219">
        <v>-166.66666666666666</v>
      </c>
      <c r="L219">
        <v>-166.66666666666666</v>
      </c>
      <c r="M219">
        <v>-166.66666666666666</v>
      </c>
      <c r="N219">
        <v>-166.66666666666666</v>
      </c>
      <c r="O219">
        <v>-166.66666666666666</v>
      </c>
      <c r="P219">
        <v>-166.66666666666666</v>
      </c>
      <c r="Q219">
        <v>-166.66666666666666</v>
      </c>
      <c r="R219">
        <f t="shared" ref="R219:R221" si="49">SUMSQ(F219,G219,H219,I219,J219,K219,L219,M219,N219,O219,P219,Q219)</f>
        <v>333333.33333333326</v>
      </c>
    </row>
    <row r="220" spans="2:18" x14ac:dyDescent="0.25">
      <c r="B220" t="s">
        <v>264</v>
      </c>
      <c r="C220" t="s">
        <v>55</v>
      </c>
      <c r="D220" t="s">
        <v>199</v>
      </c>
      <c r="E220" t="s">
        <v>128</v>
      </c>
      <c r="F220">
        <v>-59166.666666666664</v>
      </c>
      <c r="G220">
        <v>-59166.666666666664</v>
      </c>
      <c r="H220">
        <v>-59166.666666666664</v>
      </c>
      <c r="I220">
        <v>-25833.333333333365</v>
      </c>
      <c r="J220">
        <v>-25833.333333333365</v>
      </c>
      <c r="K220">
        <v>-25833.333333333365</v>
      </c>
      <c r="L220">
        <v>-25833.333333333365</v>
      </c>
      <c r="M220">
        <v>-25833.333333333365</v>
      </c>
      <c r="N220">
        <v>-25833.333333333365</v>
      </c>
      <c r="O220">
        <v>-119166.66666666667</v>
      </c>
      <c r="P220">
        <v>-119166.66666666667</v>
      </c>
      <c r="Q220">
        <v>-119166.66666666667</v>
      </c>
      <c r="R220">
        <f t="shared" si="49"/>
        <v>57108333333.333336</v>
      </c>
    </row>
    <row r="221" spans="2:18" x14ac:dyDescent="0.25">
      <c r="B221" t="s">
        <v>264</v>
      </c>
      <c r="C221" t="s">
        <v>55</v>
      </c>
      <c r="D221" t="s">
        <v>225</v>
      </c>
      <c r="E221" t="s">
        <v>128</v>
      </c>
      <c r="F221">
        <v>-23333.333333333332</v>
      </c>
      <c r="G221">
        <v>-23333.333333333332</v>
      </c>
      <c r="H221">
        <v>-23333.333333333332</v>
      </c>
      <c r="I221">
        <v>-23333.333333333332</v>
      </c>
      <c r="J221">
        <v>-23333.333333333332</v>
      </c>
      <c r="K221">
        <v>-23333.333333333332</v>
      </c>
      <c r="L221">
        <v>-23333.333333333332</v>
      </c>
      <c r="M221">
        <v>-23333.333333333332</v>
      </c>
      <c r="N221">
        <v>-23333.333333333332</v>
      </c>
      <c r="O221">
        <v>-23333.333333333332</v>
      </c>
      <c r="P221">
        <v>-23333.333333333332</v>
      </c>
      <c r="Q221">
        <v>-23333.333333333332</v>
      </c>
      <c r="R221">
        <f t="shared" si="49"/>
        <v>6533333333.3333349</v>
      </c>
    </row>
    <row r="222" spans="2:18" x14ac:dyDescent="0.25">
      <c r="B222" t="s">
        <v>264</v>
      </c>
      <c r="C222" t="s">
        <v>112</v>
      </c>
      <c r="D222" t="s">
        <v>199</v>
      </c>
      <c r="E222" t="s">
        <v>14</v>
      </c>
      <c r="F222">
        <v>5851.7841666666673</v>
      </c>
      <c r="G222">
        <v>5851.7841666666673</v>
      </c>
      <c r="H222">
        <v>5851.7841666666673</v>
      </c>
      <c r="I222">
        <v>5851.7841666666673</v>
      </c>
      <c r="J222">
        <v>5851.7841666666673</v>
      </c>
      <c r="K222">
        <v>5851.7841666666673</v>
      </c>
      <c r="L222">
        <v>5851.7841666666673</v>
      </c>
      <c r="M222">
        <v>5851.7841666666673</v>
      </c>
      <c r="N222">
        <v>5851.7841666666673</v>
      </c>
      <c r="O222">
        <v>5851.7841666666673</v>
      </c>
      <c r="P222">
        <v>5851.7841666666673</v>
      </c>
      <c r="Q222">
        <v>5851.7841666666673</v>
      </c>
      <c r="R222">
        <f t="shared" ref="R222:R224" si="50">SUMSQ(F222,G222,H222,I222,J222,K222,L222,M222,N222,O222,P222,Q222)</f>
        <v>410920535.19900852</v>
      </c>
    </row>
    <row r="223" spans="2:18" x14ac:dyDescent="0.25">
      <c r="B223" t="s">
        <v>265</v>
      </c>
      <c r="C223" t="s">
        <v>51</v>
      </c>
      <c r="D223" t="s">
        <v>199</v>
      </c>
      <c r="E223" t="s">
        <v>128</v>
      </c>
      <c r="F223">
        <v>-29785.325000000001</v>
      </c>
      <c r="G223">
        <v>-29785.325000000001</v>
      </c>
      <c r="H223">
        <v>-29785.325000000001</v>
      </c>
      <c r="I223">
        <v>-29785.325000000001</v>
      </c>
      <c r="J223">
        <v>-29785.325000000001</v>
      </c>
      <c r="K223">
        <v>-29785.325000000001</v>
      </c>
      <c r="L223">
        <v>-29785.325000000001</v>
      </c>
      <c r="M223">
        <v>-29785.325000000001</v>
      </c>
      <c r="N223">
        <v>-29785.325000000001</v>
      </c>
      <c r="O223">
        <v>-29785.325000000001</v>
      </c>
      <c r="P223">
        <v>-29785.325000000001</v>
      </c>
      <c r="Q223">
        <v>-29785.325000000001</v>
      </c>
      <c r="R223">
        <f t="shared" si="50"/>
        <v>10645987024.2675</v>
      </c>
    </row>
    <row r="224" spans="2:18" x14ac:dyDescent="0.25">
      <c r="B224" t="s">
        <v>265</v>
      </c>
      <c r="C224" t="s">
        <v>52</v>
      </c>
      <c r="D224" t="s">
        <v>199</v>
      </c>
      <c r="E224" t="s">
        <v>128</v>
      </c>
      <c r="F224">
        <v>-416.66666666666669</v>
      </c>
      <c r="G224">
        <v>-416.66666666666669</v>
      </c>
      <c r="H224">
        <v>-416.66666666666669</v>
      </c>
      <c r="I224">
        <v>-416.66666666666669</v>
      </c>
      <c r="J224">
        <v>-416.66666666666669</v>
      </c>
      <c r="K224">
        <v>-416.66666666666669</v>
      </c>
      <c r="L224">
        <v>-416.66666666666669</v>
      </c>
      <c r="M224">
        <v>-416.66666666666669</v>
      </c>
      <c r="N224">
        <v>-416.66666666666669</v>
      </c>
      <c r="O224">
        <v>-416.66666666666669</v>
      </c>
      <c r="P224">
        <v>-416.66666666666669</v>
      </c>
      <c r="Q224">
        <v>-416.66666666666669</v>
      </c>
      <c r="R224">
        <f t="shared" si="50"/>
        <v>2083333.333333333</v>
      </c>
    </row>
    <row r="225" spans="2:18" x14ac:dyDescent="0.25">
      <c r="B225" t="s">
        <v>265</v>
      </c>
      <c r="C225" t="s">
        <v>53</v>
      </c>
      <c r="D225" t="s">
        <v>199</v>
      </c>
      <c r="E225" t="s">
        <v>17</v>
      </c>
      <c r="F225">
        <v>-3775.1666666666665</v>
      </c>
      <c r="G225">
        <v>-3775.1666666666665</v>
      </c>
      <c r="H225">
        <v>-3775.1666666666665</v>
      </c>
      <c r="I225">
        <v>-3775.1666666666665</v>
      </c>
      <c r="J225">
        <v>-3775.1666666666665</v>
      </c>
      <c r="K225">
        <v>-3775.1666666666665</v>
      </c>
      <c r="L225">
        <v>-3775.1666666666665</v>
      </c>
      <c r="M225">
        <v>-3775.1666666666665</v>
      </c>
      <c r="N225">
        <v>-3775.1666666666665</v>
      </c>
      <c r="O225">
        <v>-3775.1666666666665</v>
      </c>
      <c r="P225">
        <v>-3775.1666666666665</v>
      </c>
      <c r="Q225">
        <v>-3775.1666666666665</v>
      </c>
      <c r="R225">
        <f t="shared" ref="R225:R233" si="51">SUMSQ(F225,G225,H225,I225,J225,K225,L225,M225,N225,O225,P225,Q225)</f>
        <v>171022600.33333328</v>
      </c>
    </row>
    <row r="226" spans="2:18" x14ac:dyDescent="0.25">
      <c r="B226" t="s">
        <v>265</v>
      </c>
      <c r="C226" t="s">
        <v>53</v>
      </c>
      <c r="D226" t="s">
        <v>199</v>
      </c>
      <c r="E226" t="s">
        <v>128</v>
      </c>
      <c r="F226">
        <v>-26833.333333333332</v>
      </c>
      <c r="G226">
        <v>-26833.333333333332</v>
      </c>
      <c r="H226">
        <v>-26833.333333333332</v>
      </c>
      <c r="I226">
        <v>-26833.333333333332</v>
      </c>
      <c r="J226">
        <v>-26833.333333333332</v>
      </c>
      <c r="K226">
        <v>-26833.333333333332</v>
      </c>
      <c r="L226">
        <v>-26833.333333333332</v>
      </c>
      <c r="M226">
        <v>-26833.333333333332</v>
      </c>
      <c r="N226">
        <v>-26833.333333333332</v>
      </c>
      <c r="O226">
        <v>-26833.333333333332</v>
      </c>
      <c r="P226">
        <v>-26833.333333333332</v>
      </c>
      <c r="Q226">
        <v>-26833.333333333332</v>
      </c>
      <c r="R226">
        <f t="shared" si="51"/>
        <v>8640333333.3333321</v>
      </c>
    </row>
    <row r="227" spans="2:18" x14ac:dyDescent="0.25">
      <c r="B227" t="s">
        <v>265</v>
      </c>
      <c r="C227" t="s">
        <v>53</v>
      </c>
      <c r="D227" t="s">
        <v>149</v>
      </c>
      <c r="E227" t="s">
        <v>17</v>
      </c>
      <c r="F227">
        <v>-7917.75</v>
      </c>
      <c r="G227">
        <v>-7917.75</v>
      </c>
      <c r="H227">
        <v>-7917.75</v>
      </c>
      <c r="I227">
        <v>-7917.75</v>
      </c>
      <c r="J227">
        <v>-7917.75</v>
      </c>
      <c r="K227">
        <v>-7917.75</v>
      </c>
      <c r="L227">
        <v>-7917.75</v>
      </c>
      <c r="M227">
        <v>-7917.75</v>
      </c>
      <c r="N227">
        <v>-7917.75</v>
      </c>
      <c r="O227">
        <v>-7917.75</v>
      </c>
      <c r="P227">
        <v>-7917.75</v>
      </c>
      <c r="Q227">
        <v>-7917.75</v>
      </c>
      <c r="R227">
        <f t="shared" si="51"/>
        <v>752289180.75</v>
      </c>
    </row>
    <row r="228" spans="2:18" x14ac:dyDescent="0.25">
      <c r="B228" t="s">
        <v>265</v>
      </c>
      <c r="C228" t="s">
        <v>53</v>
      </c>
      <c r="D228" t="s">
        <v>185</v>
      </c>
      <c r="E228" t="s">
        <v>17</v>
      </c>
      <c r="F228">
        <v>-31250</v>
      </c>
      <c r="G228">
        <v>-31250</v>
      </c>
      <c r="H228">
        <v>-31250</v>
      </c>
      <c r="I228">
        <v>-31250</v>
      </c>
      <c r="J228">
        <v>-31250</v>
      </c>
      <c r="K228">
        <v>-31250</v>
      </c>
      <c r="L228">
        <v>-31250</v>
      </c>
      <c r="M228">
        <v>-31250</v>
      </c>
      <c r="N228">
        <v>-31250</v>
      </c>
      <c r="O228">
        <v>-31250</v>
      </c>
      <c r="P228">
        <v>-31250</v>
      </c>
      <c r="Q228">
        <v>-43050</v>
      </c>
      <c r="R228">
        <f t="shared" si="51"/>
        <v>12595490000</v>
      </c>
    </row>
    <row r="229" spans="2:18" x14ac:dyDescent="0.25">
      <c r="B229" t="s">
        <v>265</v>
      </c>
      <c r="C229" t="s">
        <v>53</v>
      </c>
      <c r="D229" t="s">
        <v>185</v>
      </c>
      <c r="E229" t="s">
        <v>128</v>
      </c>
      <c r="F229">
        <v>-24666.666666666668</v>
      </c>
      <c r="G229">
        <v>-24666.666666666668</v>
      </c>
      <c r="H229">
        <v>-24666.666666666668</v>
      </c>
      <c r="I229">
        <v>-24666.666666666668</v>
      </c>
      <c r="J229">
        <v>-24666.666666666668</v>
      </c>
      <c r="K229">
        <v>-24666.666666666668</v>
      </c>
      <c r="L229">
        <v>-24666.666666666668</v>
      </c>
      <c r="M229">
        <v>-24666.666666666668</v>
      </c>
      <c r="N229">
        <v>-24666.666666666668</v>
      </c>
      <c r="O229">
        <v>-24666.666666666668</v>
      </c>
      <c r="P229">
        <v>-24666.666666666668</v>
      </c>
      <c r="Q229">
        <v>-24666.666666666668</v>
      </c>
      <c r="R229">
        <f t="shared" si="51"/>
        <v>7301333333.3333349</v>
      </c>
    </row>
    <row r="230" spans="2:18" x14ac:dyDescent="0.25">
      <c r="B230" t="s">
        <v>265</v>
      </c>
      <c r="C230" t="s">
        <v>54</v>
      </c>
      <c r="D230" t="s">
        <v>199</v>
      </c>
      <c r="E230" t="s">
        <v>128</v>
      </c>
      <c r="F230">
        <v>-166.66666666666666</v>
      </c>
      <c r="G230">
        <v>-166.66666666666666</v>
      </c>
      <c r="H230">
        <v>-166.66666666666666</v>
      </c>
      <c r="I230">
        <v>-166.66666666666666</v>
      </c>
      <c r="J230">
        <v>-166.66666666666666</v>
      </c>
      <c r="K230">
        <v>-166.66666666666666</v>
      </c>
      <c r="L230">
        <v>-166.66666666666666</v>
      </c>
      <c r="M230">
        <v>-166.66666666666666</v>
      </c>
      <c r="N230">
        <v>-166.66666666666666</v>
      </c>
      <c r="O230">
        <v>-166.66666666666666</v>
      </c>
      <c r="P230">
        <v>-166.66666666666666</v>
      </c>
      <c r="Q230">
        <v>-166.66666666666666</v>
      </c>
      <c r="R230">
        <f t="shared" si="51"/>
        <v>333333.33333333326</v>
      </c>
    </row>
    <row r="231" spans="2:18" x14ac:dyDescent="0.25">
      <c r="B231" t="s">
        <v>265</v>
      </c>
      <c r="C231" t="s">
        <v>110</v>
      </c>
      <c r="D231" t="s">
        <v>199</v>
      </c>
      <c r="E231" t="s">
        <v>128</v>
      </c>
      <c r="F231">
        <v>-416.66666666666669</v>
      </c>
      <c r="G231">
        <v>-416.66666666666669</v>
      </c>
      <c r="H231">
        <v>-416.66666666666669</v>
      </c>
      <c r="I231">
        <v>-416.66666666666669</v>
      </c>
      <c r="J231">
        <v>-416.66666666666669</v>
      </c>
      <c r="K231">
        <v>-416.66666666666669</v>
      </c>
      <c r="L231">
        <v>-416.66666666666669</v>
      </c>
      <c r="M231">
        <v>-416.66666666666669</v>
      </c>
      <c r="N231">
        <v>-416.66666666666669</v>
      </c>
      <c r="O231">
        <v>-416.66666666666669</v>
      </c>
      <c r="P231">
        <v>-416.66666666666669</v>
      </c>
      <c r="Q231">
        <v>-416.66666666666669</v>
      </c>
      <c r="R231">
        <f t="shared" si="51"/>
        <v>2083333.333333333</v>
      </c>
    </row>
    <row r="232" spans="2:18" x14ac:dyDescent="0.25">
      <c r="B232" t="s">
        <v>265</v>
      </c>
      <c r="C232" t="s">
        <v>64</v>
      </c>
      <c r="D232" t="s">
        <v>199</v>
      </c>
      <c r="E232" t="s">
        <v>128</v>
      </c>
      <c r="F232">
        <v>-5026.166666666667</v>
      </c>
      <c r="G232">
        <v>-5026.166666666667</v>
      </c>
      <c r="H232">
        <v>-5026.166666666667</v>
      </c>
      <c r="I232">
        <v>-5026.166666666667</v>
      </c>
      <c r="J232">
        <v>-5026.166666666667</v>
      </c>
      <c r="K232">
        <v>-5026.166666666667</v>
      </c>
      <c r="L232">
        <v>-5026.166666666667</v>
      </c>
      <c r="M232">
        <v>-5026.166666666667</v>
      </c>
      <c r="N232">
        <v>-5026.166666666667</v>
      </c>
      <c r="O232">
        <v>-5026.166666666667</v>
      </c>
      <c r="P232">
        <v>-5026.166666666667</v>
      </c>
      <c r="Q232">
        <v>-5026.166666666667</v>
      </c>
      <c r="R232">
        <f t="shared" si="51"/>
        <v>303148216.33333331</v>
      </c>
    </row>
    <row r="233" spans="2:18" x14ac:dyDescent="0.25">
      <c r="B233" t="s">
        <v>265</v>
      </c>
      <c r="C233" t="s">
        <v>99</v>
      </c>
      <c r="D233" t="s">
        <v>199</v>
      </c>
      <c r="E233" t="s">
        <v>44</v>
      </c>
      <c r="F233">
        <v>21000</v>
      </c>
      <c r="G233">
        <v>21000</v>
      </c>
      <c r="H233">
        <v>21000</v>
      </c>
      <c r="I233">
        <v>21000</v>
      </c>
      <c r="J233">
        <v>21000</v>
      </c>
      <c r="K233">
        <v>21000</v>
      </c>
      <c r="L233">
        <v>21000</v>
      </c>
      <c r="M233">
        <v>21000</v>
      </c>
      <c r="N233">
        <v>21000</v>
      </c>
      <c r="O233">
        <v>21000</v>
      </c>
      <c r="P233">
        <v>21000</v>
      </c>
      <c r="Q233">
        <v>21000</v>
      </c>
      <c r="R233">
        <f t="shared" si="51"/>
        <v>5292000000</v>
      </c>
    </row>
    <row r="234" spans="2:18" x14ac:dyDescent="0.25">
      <c r="B234" t="s">
        <v>265</v>
      </c>
      <c r="C234" t="s">
        <v>100</v>
      </c>
      <c r="D234" t="s">
        <v>199</v>
      </c>
      <c r="E234" t="s">
        <v>14</v>
      </c>
      <c r="F234">
        <v>6114.3508333333339</v>
      </c>
      <c r="G234">
        <v>6114.3508333333339</v>
      </c>
      <c r="H234">
        <v>6114.3508333333339</v>
      </c>
      <c r="I234">
        <v>6114.3508333333339</v>
      </c>
      <c r="J234">
        <v>6114.3508333333339</v>
      </c>
      <c r="K234">
        <v>6114.3508333333339</v>
      </c>
      <c r="L234">
        <v>6114.3508333333339</v>
      </c>
      <c r="M234">
        <v>6114.3508333333339</v>
      </c>
      <c r="N234">
        <v>6114.3508333333339</v>
      </c>
      <c r="O234">
        <v>6114.3508333333339</v>
      </c>
      <c r="P234">
        <v>6114.3508333333339</v>
      </c>
      <c r="Q234">
        <v>6114.3508333333339</v>
      </c>
      <c r="R234">
        <f t="shared" ref="R234:R236" si="52">SUMSQ(F234,G234,H234,I234,J234,K234,L234,M234,N234,O234,P234,Q234)</f>
        <v>448623433.35700828</v>
      </c>
    </row>
    <row r="235" spans="2:18" x14ac:dyDescent="0.25">
      <c r="B235" t="s">
        <v>266</v>
      </c>
      <c r="C235" t="s">
        <v>51</v>
      </c>
      <c r="D235" t="s">
        <v>199</v>
      </c>
      <c r="E235" t="s">
        <v>128</v>
      </c>
      <c r="F235">
        <v>-28414.011666666669</v>
      </c>
      <c r="G235">
        <v>-28414.011666666669</v>
      </c>
      <c r="H235">
        <v>-28414.011666666669</v>
      </c>
      <c r="I235">
        <v>-28414.011666666669</v>
      </c>
      <c r="J235">
        <v>-28414.011666666669</v>
      </c>
      <c r="K235">
        <v>-28414.011666666669</v>
      </c>
      <c r="L235">
        <v>-28414.011666666669</v>
      </c>
      <c r="M235">
        <v>-28414.011666666669</v>
      </c>
      <c r="N235">
        <v>-28414.011666666669</v>
      </c>
      <c r="O235">
        <v>-28414.011666666669</v>
      </c>
      <c r="P235">
        <v>-28414.011666666669</v>
      </c>
      <c r="Q235">
        <v>-28414.011666666669</v>
      </c>
      <c r="R235">
        <f t="shared" si="52"/>
        <v>9688272707.9216328</v>
      </c>
    </row>
    <row r="236" spans="2:18" x14ac:dyDescent="0.25">
      <c r="B236" t="s">
        <v>266</v>
      </c>
      <c r="C236" t="s">
        <v>52</v>
      </c>
      <c r="D236" t="s">
        <v>199</v>
      </c>
      <c r="E236" t="s">
        <v>128</v>
      </c>
      <c r="F236">
        <v>-833.33333333333337</v>
      </c>
      <c r="G236">
        <v>-833.33333333333337</v>
      </c>
      <c r="H236">
        <v>-833.33333333333337</v>
      </c>
      <c r="I236">
        <v>-833.33333333333337</v>
      </c>
      <c r="J236">
        <v>-833.33333333333337</v>
      </c>
      <c r="K236">
        <v>-833.33333333333337</v>
      </c>
      <c r="L236">
        <v>-833.33333333333337</v>
      </c>
      <c r="M236">
        <v>-833.33333333333337</v>
      </c>
      <c r="N236">
        <v>-833.33333333333337</v>
      </c>
      <c r="O236">
        <v>-833.33333333333337</v>
      </c>
      <c r="P236">
        <v>-833.33333333333337</v>
      </c>
      <c r="Q236">
        <v>-833.33333333333337</v>
      </c>
      <c r="R236">
        <f t="shared" si="52"/>
        <v>8333333.3333333321</v>
      </c>
    </row>
    <row r="237" spans="2:18" x14ac:dyDescent="0.25">
      <c r="B237" t="s">
        <v>266</v>
      </c>
      <c r="C237" t="s">
        <v>53</v>
      </c>
      <c r="D237" t="s">
        <v>224</v>
      </c>
      <c r="E237" t="s">
        <v>128</v>
      </c>
      <c r="F237">
        <v>-15583.333333333334</v>
      </c>
      <c r="G237">
        <v>-15583.333333333334</v>
      </c>
      <c r="H237">
        <v>-15583.333333333334</v>
      </c>
      <c r="I237">
        <v>-15583.333333333334</v>
      </c>
      <c r="J237">
        <v>-15583.333333333334</v>
      </c>
      <c r="K237">
        <v>-15583.333333333334</v>
      </c>
      <c r="L237">
        <v>-15583.333333333334</v>
      </c>
      <c r="M237">
        <v>-15583.333333333334</v>
      </c>
      <c r="N237">
        <v>-15583.333333333334</v>
      </c>
      <c r="O237">
        <v>-15583.333333333334</v>
      </c>
      <c r="P237">
        <v>-15583.333333333334</v>
      </c>
      <c r="Q237">
        <v>-15583.333333333334</v>
      </c>
      <c r="R237">
        <f t="shared" ref="R237:R241" si="53">SUMSQ(F237,G237,H237,I237,J237,K237,L237,M237,N237,O237,P237,Q237)</f>
        <v>2914083333.3333325</v>
      </c>
    </row>
    <row r="238" spans="2:18" x14ac:dyDescent="0.25">
      <c r="B238" t="s">
        <v>266</v>
      </c>
      <c r="C238" t="s">
        <v>54</v>
      </c>
      <c r="D238" t="s">
        <v>199</v>
      </c>
      <c r="E238" t="s">
        <v>128</v>
      </c>
      <c r="F238">
        <v>-166.66666666666666</v>
      </c>
      <c r="G238">
        <v>-166.66666666666666</v>
      </c>
      <c r="H238">
        <v>-166.66666666666666</v>
      </c>
      <c r="I238">
        <v>-166.66666666666666</v>
      </c>
      <c r="J238">
        <v>-166.66666666666666</v>
      </c>
      <c r="K238">
        <v>-166.66666666666666</v>
      </c>
      <c r="L238">
        <v>-166.66666666666666</v>
      </c>
      <c r="M238">
        <v>-166.66666666666666</v>
      </c>
      <c r="N238">
        <v>-166.66666666666666</v>
      </c>
      <c r="O238">
        <v>-166.66666666666666</v>
      </c>
      <c r="P238">
        <v>-166.66666666666666</v>
      </c>
      <c r="Q238">
        <v>-166.66666666666666</v>
      </c>
      <c r="R238">
        <f t="shared" si="53"/>
        <v>333333.33333333326</v>
      </c>
    </row>
    <row r="239" spans="2:18" x14ac:dyDescent="0.25">
      <c r="B239" t="s">
        <v>266</v>
      </c>
      <c r="C239" t="s">
        <v>100</v>
      </c>
      <c r="D239" t="s">
        <v>199</v>
      </c>
      <c r="E239" t="s">
        <v>14</v>
      </c>
      <c r="F239">
        <v>19889.808333333334</v>
      </c>
      <c r="G239">
        <v>19889.808333333334</v>
      </c>
      <c r="H239">
        <v>19889.808333333334</v>
      </c>
      <c r="I239">
        <v>19889.808333333334</v>
      </c>
      <c r="J239">
        <v>19889.808333333334</v>
      </c>
      <c r="K239">
        <v>19889.808333333334</v>
      </c>
      <c r="L239">
        <v>19889.808333333334</v>
      </c>
      <c r="M239">
        <v>19889.808333333334</v>
      </c>
      <c r="N239">
        <v>19889.808333333334</v>
      </c>
      <c r="O239">
        <v>19889.808333333334</v>
      </c>
      <c r="P239">
        <v>19889.808333333334</v>
      </c>
      <c r="Q239">
        <v>19889.808333333334</v>
      </c>
      <c r="R239">
        <f t="shared" si="53"/>
        <v>4747253706.4408331</v>
      </c>
    </row>
    <row r="240" spans="2:18" x14ac:dyDescent="0.25">
      <c r="B240" t="s">
        <v>267</v>
      </c>
      <c r="C240" t="s">
        <v>51</v>
      </c>
      <c r="D240" t="s">
        <v>199</v>
      </c>
      <c r="E240" t="s">
        <v>128</v>
      </c>
      <c r="F240">
        <v>-41820.084999999999</v>
      </c>
      <c r="G240">
        <v>-41820.084999999999</v>
      </c>
      <c r="H240">
        <v>-41820.084999999999</v>
      </c>
      <c r="I240">
        <v>-41820.084999999999</v>
      </c>
      <c r="J240">
        <v>-41820.084999999999</v>
      </c>
      <c r="K240">
        <v>-41820.084999999999</v>
      </c>
      <c r="L240">
        <v>-41820.084999999999</v>
      </c>
      <c r="M240">
        <v>-41820.084999999999</v>
      </c>
      <c r="N240">
        <v>-41820.084999999999</v>
      </c>
      <c r="O240">
        <v>-41820.084999999999</v>
      </c>
      <c r="P240">
        <v>-41820.084999999999</v>
      </c>
      <c r="Q240">
        <v>-41820.084999999999</v>
      </c>
      <c r="R240">
        <f t="shared" si="53"/>
        <v>20987034112.886703</v>
      </c>
    </row>
    <row r="241" spans="2:18" x14ac:dyDescent="0.25">
      <c r="B241" t="s">
        <v>267</v>
      </c>
      <c r="C241" t="s">
        <v>52</v>
      </c>
      <c r="D241" t="s">
        <v>199</v>
      </c>
      <c r="E241" t="s">
        <v>128</v>
      </c>
      <c r="F241">
        <v>-833.33333333333337</v>
      </c>
      <c r="G241">
        <v>-833.33333333333337</v>
      </c>
      <c r="H241">
        <v>-833.33333333333337</v>
      </c>
      <c r="I241">
        <v>-833.33333333333337</v>
      </c>
      <c r="J241">
        <v>-833.33333333333337</v>
      </c>
      <c r="K241">
        <v>-833.33333333333337</v>
      </c>
      <c r="L241">
        <v>-833.33333333333337</v>
      </c>
      <c r="M241">
        <v>-833.33333333333337</v>
      </c>
      <c r="N241">
        <v>-833.33333333333337</v>
      </c>
      <c r="O241">
        <v>-833.33333333333337</v>
      </c>
      <c r="P241">
        <v>-833.33333333333337</v>
      </c>
      <c r="Q241">
        <v>-833.33333333333337</v>
      </c>
      <c r="R241">
        <f t="shared" si="53"/>
        <v>8333333.3333333321</v>
      </c>
    </row>
    <row r="242" spans="2:18" x14ac:dyDescent="0.25">
      <c r="B242" t="s">
        <v>267</v>
      </c>
      <c r="C242" t="s">
        <v>53</v>
      </c>
      <c r="D242" t="s">
        <v>89</v>
      </c>
      <c r="E242" t="s">
        <v>128</v>
      </c>
      <c r="F242">
        <v>0</v>
      </c>
      <c r="G242">
        <v>0</v>
      </c>
      <c r="H242">
        <v>0</v>
      </c>
      <c r="I242">
        <v>-61166.666666666664</v>
      </c>
      <c r="J242">
        <v>-61166.666666666664</v>
      </c>
      <c r="K242">
        <v>-61166.666666666664</v>
      </c>
      <c r="L242">
        <v>0</v>
      </c>
      <c r="M242">
        <v>0</v>
      </c>
      <c r="N242">
        <v>0</v>
      </c>
      <c r="O242">
        <v>-61166.666666666664</v>
      </c>
      <c r="P242">
        <v>-61166.666666666664</v>
      </c>
      <c r="Q242">
        <v>-61166.666666666664</v>
      </c>
      <c r="R242">
        <f t="shared" ref="R242" si="54">SUMSQ(F242,G242,H242,I242,J242,K242,L242,M242,N242,O242,P242,Q242)</f>
        <v>22448166666.666664</v>
      </c>
    </row>
    <row r="243" spans="2:18" x14ac:dyDescent="0.25">
      <c r="B243" t="s">
        <v>267</v>
      </c>
      <c r="C243" t="s">
        <v>53</v>
      </c>
      <c r="D243" t="s">
        <v>90</v>
      </c>
      <c r="E243" t="s">
        <v>128</v>
      </c>
      <c r="F243">
        <v>-32583.333333333332</v>
      </c>
      <c r="G243">
        <v>-32583.333333333332</v>
      </c>
      <c r="H243">
        <v>-32583.333333333332</v>
      </c>
      <c r="I243">
        <v>-105083.33333333333</v>
      </c>
      <c r="J243">
        <v>-105083.33333333333</v>
      </c>
      <c r="K243">
        <v>-105083.33333333333</v>
      </c>
      <c r="L243">
        <v>-32583.333333333332</v>
      </c>
      <c r="M243">
        <v>-32583.333333333332</v>
      </c>
      <c r="N243">
        <v>-32583.333333333332</v>
      </c>
      <c r="O243">
        <v>-97083.333333333328</v>
      </c>
      <c r="P243">
        <v>-97083.333333333328</v>
      </c>
      <c r="Q243">
        <v>-97083.333333333328</v>
      </c>
      <c r="R243">
        <f t="shared" ref="R243:R244" si="55">SUMSQ(F243,G243,H243,I243,J243,K243,L243,M243,N243,O243,P243,Q243)</f>
        <v>67773083333.333344</v>
      </c>
    </row>
    <row r="244" spans="2:18" x14ac:dyDescent="0.25">
      <c r="B244" t="s">
        <v>267</v>
      </c>
      <c r="C244" t="s">
        <v>54</v>
      </c>
      <c r="D244" t="s">
        <v>199</v>
      </c>
      <c r="E244" t="s">
        <v>128</v>
      </c>
      <c r="F244">
        <v>-250</v>
      </c>
      <c r="G244">
        <v>-250</v>
      </c>
      <c r="H244">
        <v>-250</v>
      </c>
      <c r="I244">
        <v>-250</v>
      </c>
      <c r="J244">
        <v>-250</v>
      </c>
      <c r="K244">
        <v>-250</v>
      </c>
      <c r="L244">
        <v>-250</v>
      </c>
      <c r="M244">
        <v>-250</v>
      </c>
      <c r="N244">
        <v>-250</v>
      </c>
      <c r="O244">
        <v>-250</v>
      </c>
      <c r="P244">
        <v>-250</v>
      </c>
      <c r="Q244">
        <v>-250</v>
      </c>
      <c r="R244">
        <f t="shared" si="55"/>
        <v>750000</v>
      </c>
    </row>
    <row r="245" spans="2:18" x14ac:dyDescent="0.25">
      <c r="B245" t="s">
        <v>267</v>
      </c>
      <c r="C245" t="s">
        <v>111</v>
      </c>
      <c r="D245" t="s">
        <v>199</v>
      </c>
      <c r="E245" t="s">
        <v>44</v>
      </c>
      <c r="F245">
        <v>2166.6666666666665</v>
      </c>
      <c r="G245">
        <v>2166.6666666666665</v>
      </c>
      <c r="H245">
        <v>2166.6666666666665</v>
      </c>
      <c r="I245">
        <v>2166.6666666666665</v>
      </c>
      <c r="J245">
        <v>2166.6666666666665</v>
      </c>
      <c r="K245">
        <v>2166.6666666666665</v>
      </c>
      <c r="L245">
        <v>2166.6666666666665</v>
      </c>
      <c r="M245">
        <v>2166.6666666666665</v>
      </c>
      <c r="N245">
        <v>2166.6666666666665</v>
      </c>
      <c r="O245">
        <v>2166.6666666666665</v>
      </c>
      <c r="P245">
        <v>2166.6666666666665</v>
      </c>
      <c r="Q245">
        <v>2166.6666666666665</v>
      </c>
      <c r="R245">
        <f t="shared" ref="R245:R254" si="56">SUMSQ(F245,G245,H245,I245,J245,K245,L245,M245,N245,O245,P245,Q245)</f>
        <v>56333333.333333343</v>
      </c>
    </row>
    <row r="246" spans="2:18" x14ac:dyDescent="0.25">
      <c r="B246" t="s">
        <v>267</v>
      </c>
      <c r="C246" t="s">
        <v>111</v>
      </c>
      <c r="D246" t="s">
        <v>88</v>
      </c>
      <c r="E246" t="s">
        <v>14</v>
      </c>
      <c r="F246">
        <v>10833.333333333334</v>
      </c>
      <c r="G246">
        <v>10833.333333333334</v>
      </c>
      <c r="H246">
        <v>10833.333333333334</v>
      </c>
      <c r="I246">
        <v>47666.666666666672</v>
      </c>
      <c r="J246">
        <v>47666.666666666672</v>
      </c>
      <c r="K246">
        <v>47666.666666666672</v>
      </c>
      <c r="L246">
        <v>10833.333333333334</v>
      </c>
      <c r="M246">
        <v>10833.333333333334</v>
      </c>
      <c r="N246">
        <v>10833.333333333334</v>
      </c>
      <c r="O246">
        <v>47666.666666666672</v>
      </c>
      <c r="P246">
        <v>47666.666666666672</v>
      </c>
      <c r="Q246">
        <v>47666.666666666672</v>
      </c>
      <c r="R246">
        <f t="shared" si="56"/>
        <v>14336833333.333336</v>
      </c>
    </row>
    <row r="247" spans="2:18" x14ac:dyDescent="0.25">
      <c r="B247" t="s">
        <v>267</v>
      </c>
      <c r="C247" t="s">
        <v>112</v>
      </c>
      <c r="D247" t="s">
        <v>88</v>
      </c>
      <c r="E247" t="s">
        <v>14</v>
      </c>
      <c r="F247">
        <v>29493.594166666666</v>
      </c>
      <c r="G247">
        <v>29493.594166666666</v>
      </c>
      <c r="H247">
        <v>29493.594166666666</v>
      </c>
      <c r="I247">
        <v>29493.594166666666</v>
      </c>
      <c r="J247">
        <v>29493.594166666666</v>
      </c>
      <c r="K247">
        <v>29493.594166666666</v>
      </c>
      <c r="L247">
        <v>29493.594166666666</v>
      </c>
      <c r="M247">
        <v>29493.594166666666</v>
      </c>
      <c r="N247">
        <v>29493.594166666666</v>
      </c>
      <c r="O247">
        <v>29493.594166666666</v>
      </c>
      <c r="P247">
        <v>29493.594166666666</v>
      </c>
      <c r="Q247">
        <v>29493.594166666666</v>
      </c>
      <c r="R247">
        <f t="shared" si="56"/>
        <v>10438465162.41641</v>
      </c>
    </row>
    <row r="248" spans="2:18" x14ac:dyDescent="0.25">
      <c r="B248" t="s">
        <v>268</v>
      </c>
      <c r="C248" t="s">
        <v>51</v>
      </c>
      <c r="D248" t="s">
        <v>199</v>
      </c>
      <c r="E248" t="s">
        <v>128</v>
      </c>
      <c r="F248">
        <v>-24353.34</v>
      </c>
      <c r="G248">
        <v>-24353.34</v>
      </c>
      <c r="H248">
        <v>-24353.34</v>
      </c>
      <c r="I248">
        <v>-24353.34</v>
      </c>
      <c r="J248">
        <v>-24353.34</v>
      </c>
      <c r="K248">
        <v>-24353.34</v>
      </c>
      <c r="L248">
        <v>-24353.34</v>
      </c>
      <c r="M248">
        <v>-24353.34</v>
      </c>
      <c r="N248">
        <v>-24353.34</v>
      </c>
      <c r="O248">
        <v>-24353.34</v>
      </c>
      <c r="P248">
        <v>-24353.34</v>
      </c>
      <c r="Q248">
        <v>-24353.34</v>
      </c>
      <c r="R248">
        <f t="shared" si="56"/>
        <v>7117022029.867198</v>
      </c>
    </row>
    <row r="249" spans="2:18" x14ac:dyDescent="0.25">
      <c r="B249" t="s">
        <v>268</v>
      </c>
      <c r="C249" t="s">
        <v>52</v>
      </c>
      <c r="D249" t="s">
        <v>199</v>
      </c>
      <c r="E249" t="s">
        <v>128</v>
      </c>
      <c r="F249">
        <v>-416.66666666666669</v>
      </c>
      <c r="G249">
        <v>-416.66666666666669</v>
      </c>
      <c r="H249">
        <v>-416.66666666666669</v>
      </c>
      <c r="I249">
        <v>-416.66666666666669</v>
      </c>
      <c r="J249">
        <v>-416.66666666666669</v>
      </c>
      <c r="K249">
        <v>-416.66666666666669</v>
      </c>
      <c r="L249">
        <v>-416.66666666666669</v>
      </c>
      <c r="M249">
        <v>-416.66666666666669</v>
      </c>
      <c r="N249">
        <v>-416.66666666666669</v>
      </c>
      <c r="O249">
        <v>-416.66666666666669</v>
      </c>
      <c r="P249">
        <v>-416.66666666666669</v>
      </c>
      <c r="Q249">
        <v>-416.66666666666669</v>
      </c>
      <c r="R249">
        <f t="shared" si="56"/>
        <v>2083333.333333333</v>
      </c>
    </row>
    <row r="250" spans="2:18" x14ac:dyDescent="0.25">
      <c r="B250" t="s">
        <v>268</v>
      </c>
      <c r="C250" t="s">
        <v>54</v>
      </c>
      <c r="D250" t="s">
        <v>199</v>
      </c>
      <c r="E250" t="s">
        <v>128</v>
      </c>
      <c r="F250">
        <v>-166.66666666666666</v>
      </c>
      <c r="G250">
        <v>-166.66666666666666</v>
      </c>
      <c r="H250">
        <v>-166.66666666666666</v>
      </c>
      <c r="I250">
        <v>-166.66666666666666</v>
      </c>
      <c r="J250">
        <v>-166.66666666666666</v>
      </c>
      <c r="K250">
        <v>-166.66666666666666</v>
      </c>
      <c r="L250">
        <v>-166.66666666666666</v>
      </c>
      <c r="M250">
        <v>-166.66666666666666</v>
      </c>
      <c r="N250">
        <v>-166.66666666666666</v>
      </c>
      <c r="O250">
        <v>-166.66666666666666</v>
      </c>
      <c r="P250">
        <v>-166.66666666666666</v>
      </c>
      <c r="Q250">
        <v>-166.66666666666666</v>
      </c>
      <c r="R250">
        <f t="shared" si="56"/>
        <v>333333.33333333326</v>
      </c>
    </row>
    <row r="251" spans="2:18" x14ac:dyDescent="0.25">
      <c r="B251" t="s">
        <v>268</v>
      </c>
      <c r="C251" t="s">
        <v>110</v>
      </c>
      <c r="D251" t="s">
        <v>199</v>
      </c>
      <c r="E251" t="s">
        <v>128</v>
      </c>
      <c r="F251">
        <v>-1250</v>
      </c>
      <c r="G251">
        <v>-1250</v>
      </c>
      <c r="H251">
        <v>-1250</v>
      </c>
      <c r="I251">
        <v>-1250</v>
      </c>
      <c r="J251">
        <v>-1250</v>
      </c>
      <c r="K251">
        <v>-1250</v>
      </c>
      <c r="L251">
        <v>-1250</v>
      </c>
      <c r="M251">
        <v>-1250</v>
      </c>
      <c r="N251">
        <v>-1250</v>
      </c>
      <c r="O251">
        <v>-1250</v>
      </c>
      <c r="P251">
        <v>-1250</v>
      </c>
      <c r="Q251">
        <v>-1250</v>
      </c>
      <c r="R251">
        <f t="shared" si="56"/>
        <v>18750000</v>
      </c>
    </row>
    <row r="252" spans="2:18" x14ac:dyDescent="0.25">
      <c r="B252" t="s">
        <v>269</v>
      </c>
      <c r="C252" t="s">
        <v>45</v>
      </c>
      <c r="D252" t="s">
        <v>199</v>
      </c>
      <c r="E252" t="s">
        <v>128</v>
      </c>
      <c r="F252">
        <v>-11640.825833333334</v>
      </c>
      <c r="G252">
        <v>-11640.825833333334</v>
      </c>
      <c r="H252">
        <v>-11640.825833333334</v>
      </c>
      <c r="I252">
        <v>-11640.825833333334</v>
      </c>
      <c r="J252">
        <v>-11640.825833333334</v>
      </c>
      <c r="K252">
        <v>-11640.825833333334</v>
      </c>
      <c r="L252">
        <v>-11640.825833333334</v>
      </c>
      <c r="M252">
        <v>-11640.825833333334</v>
      </c>
      <c r="N252">
        <v>-11640.825833333334</v>
      </c>
      <c r="O252">
        <v>-11640.825833333334</v>
      </c>
      <c r="P252">
        <v>-11640.825833333334</v>
      </c>
      <c r="Q252">
        <v>-11640.825833333334</v>
      </c>
      <c r="R252">
        <f t="shared" si="56"/>
        <v>1626105912.9840086</v>
      </c>
    </row>
    <row r="253" spans="2:18" x14ac:dyDescent="0.25">
      <c r="B253" t="s">
        <v>269</v>
      </c>
      <c r="C253" t="s">
        <v>87</v>
      </c>
      <c r="D253" t="s">
        <v>199</v>
      </c>
      <c r="E253" t="s">
        <v>128</v>
      </c>
      <c r="F253">
        <v>-166.66666666666666</v>
      </c>
      <c r="G253">
        <v>-166.66666666666666</v>
      </c>
      <c r="H253">
        <v>-166.66666666666666</v>
      </c>
      <c r="I253">
        <v>-166.66666666666666</v>
      </c>
      <c r="J253">
        <v>-166.66666666666666</v>
      </c>
      <c r="K253">
        <v>-166.66666666666666</v>
      </c>
      <c r="L253">
        <v>-166.66666666666666</v>
      </c>
      <c r="M253">
        <v>-166.66666666666666</v>
      </c>
      <c r="N253">
        <v>-166.66666666666666</v>
      </c>
      <c r="O253">
        <v>-166.66666666666666</v>
      </c>
      <c r="P253">
        <v>-166.66666666666666</v>
      </c>
      <c r="Q253">
        <v>-166.66666666666666</v>
      </c>
      <c r="R253">
        <f t="shared" si="56"/>
        <v>333333.33333333326</v>
      </c>
    </row>
    <row r="254" spans="2:18" x14ac:dyDescent="0.25">
      <c r="B254" t="s">
        <v>269</v>
      </c>
      <c r="C254" t="s">
        <v>46</v>
      </c>
      <c r="D254" t="s">
        <v>199</v>
      </c>
      <c r="E254" t="s">
        <v>17</v>
      </c>
      <c r="F254">
        <v>-338.25</v>
      </c>
      <c r="G254">
        <v>-338.25</v>
      </c>
      <c r="H254">
        <v>-338.25</v>
      </c>
      <c r="I254">
        <v>-338.25</v>
      </c>
      <c r="J254">
        <v>-338.25</v>
      </c>
      <c r="K254">
        <v>-338.25</v>
      </c>
      <c r="L254">
        <v>-338.25</v>
      </c>
      <c r="M254">
        <v>-338.25</v>
      </c>
      <c r="N254">
        <v>-338.25</v>
      </c>
      <c r="O254">
        <v>-338.25</v>
      </c>
      <c r="P254">
        <v>-338.25</v>
      </c>
      <c r="Q254">
        <v>-338.25</v>
      </c>
      <c r="R254">
        <f t="shared" si="56"/>
        <v>1372956.75</v>
      </c>
    </row>
    <row r="255" spans="2:18" x14ac:dyDescent="0.25">
      <c r="B255" t="s">
        <v>269</v>
      </c>
      <c r="C255" t="s">
        <v>47</v>
      </c>
      <c r="D255" t="s">
        <v>199</v>
      </c>
      <c r="E255" t="s">
        <v>128</v>
      </c>
      <c r="F255">
        <v>-125</v>
      </c>
      <c r="G255">
        <v>-125</v>
      </c>
      <c r="H255">
        <v>-125</v>
      </c>
      <c r="I255">
        <v>-125</v>
      </c>
      <c r="J255">
        <v>-125</v>
      </c>
      <c r="K255">
        <v>-125</v>
      </c>
      <c r="L255">
        <v>-125</v>
      </c>
      <c r="M255">
        <v>-125</v>
      </c>
      <c r="N255">
        <v>-125</v>
      </c>
      <c r="O255">
        <v>-125</v>
      </c>
      <c r="P255">
        <v>-125</v>
      </c>
      <c r="Q255">
        <v>-125</v>
      </c>
      <c r="R255">
        <f t="shared" ref="R255:R260" si="57">SUMSQ(F255,G255,H255,I255,J255,K255,L255,M255,N255,O255,P255,Q255)</f>
        <v>187500</v>
      </c>
    </row>
    <row r="256" spans="2:18" x14ac:dyDescent="0.25">
      <c r="B256" t="s">
        <v>269</v>
      </c>
      <c r="C256" t="s">
        <v>48</v>
      </c>
      <c r="D256" t="s">
        <v>199</v>
      </c>
      <c r="E256" t="s">
        <v>128</v>
      </c>
      <c r="F256">
        <v>-83.333333333333329</v>
      </c>
      <c r="G256">
        <v>-83.333333333333329</v>
      </c>
      <c r="H256">
        <v>-83.333333333333329</v>
      </c>
      <c r="I256">
        <v>-83.333333333333329</v>
      </c>
      <c r="J256">
        <v>-83.333333333333329</v>
      </c>
      <c r="K256">
        <v>-83.333333333333329</v>
      </c>
      <c r="L256">
        <v>-83.333333333333329</v>
      </c>
      <c r="M256">
        <v>-83.333333333333329</v>
      </c>
      <c r="N256">
        <v>-83.333333333333329</v>
      </c>
      <c r="O256">
        <v>-83.333333333333329</v>
      </c>
      <c r="P256">
        <v>-83.333333333333329</v>
      </c>
      <c r="Q256">
        <v>-83.333333333333329</v>
      </c>
      <c r="R256">
        <f t="shared" si="57"/>
        <v>83333.333333333314</v>
      </c>
    </row>
    <row r="257" spans="2:18" x14ac:dyDescent="0.25">
      <c r="B257" t="s">
        <v>269</v>
      </c>
      <c r="C257" t="s">
        <v>108</v>
      </c>
      <c r="D257" t="s">
        <v>199</v>
      </c>
      <c r="E257" t="s">
        <v>128</v>
      </c>
      <c r="F257">
        <v>-416.66666666666669</v>
      </c>
      <c r="G257">
        <v>-416.66666666666669</v>
      </c>
      <c r="H257">
        <v>-416.66666666666669</v>
      </c>
      <c r="I257">
        <v>-416.66666666666669</v>
      </c>
      <c r="J257">
        <v>-416.66666666666669</v>
      </c>
      <c r="K257">
        <v>-416.66666666666669</v>
      </c>
      <c r="L257">
        <v>-416.66666666666669</v>
      </c>
      <c r="M257">
        <v>-416.66666666666669</v>
      </c>
      <c r="N257">
        <v>-416.66666666666669</v>
      </c>
      <c r="O257">
        <v>-416.66666666666669</v>
      </c>
      <c r="P257">
        <v>-416.66666666666669</v>
      </c>
      <c r="Q257">
        <v>-416.66666666666669</v>
      </c>
      <c r="R257">
        <f t="shared" si="57"/>
        <v>2083333.333333333</v>
      </c>
    </row>
    <row r="258" spans="2:18" x14ac:dyDescent="0.25">
      <c r="B258" t="s">
        <v>270</v>
      </c>
      <c r="C258" t="s">
        <v>51</v>
      </c>
      <c r="D258" t="s">
        <v>199</v>
      </c>
      <c r="E258" t="s">
        <v>128</v>
      </c>
      <c r="F258">
        <v>-59898.496666666666</v>
      </c>
      <c r="G258">
        <v>-59898.496666666666</v>
      </c>
      <c r="H258">
        <v>-59898.496666666666</v>
      </c>
      <c r="I258">
        <v>-59898.496666666666</v>
      </c>
      <c r="J258">
        <v>-59898.496666666666</v>
      </c>
      <c r="K258">
        <v>-59898.496666666666</v>
      </c>
      <c r="L258">
        <v>-59898.496666666666</v>
      </c>
      <c r="M258">
        <v>-59898.496666666666</v>
      </c>
      <c r="N258">
        <v>-59898.496666666666</v>
      </c>
      <c r="O258">
        <v>-59898.496666666666</v>
      </c>
      <c r="P258">
        <v>-59898.496666666666</v>
      </c>
      <c r="Q258">
        <v>-59898.496666666666</v>
      </c>
      <c r="R258">
        <f t="shared" si="57"/>
        <v>43053958835.120132</v>
      </c>
    </row>
    <row r="259" spans="2:18" x14ac:dyDescent="0.25">
      <c r="B259" t="s">
        <v>270</v>
      </c>
      <c r="C259" t="s">
        <v>52</v>
      </c>
      <c r="D259" t="s">
        <v>199</v>
      </c>
      <c r="E259" t="s">
        <v>128</v>
      </c>
      <c r="F259">
        <v>-2916.6666666666665</v>
      </c>
      <c r="G259">
        <v>-2916.6666666666665</v>
      </c>
      <c r="H259">
        <v>-2916.6666666666665</v>
      </c>
      <c r="I259">
        <v>-2916.6666666666665</v>
      </c>
      <c r="J259">
        <v>-2916.6666666666665</v>
      </c>
      <c r="K259">
        <v>-2916.6666666666665</v>
      </c>
      <c r="L259">
        <v>-2916.6666666666665</v>
      </c>
      <c r="M259">
        <v>-2916.6666666666665</v>
      </c>
      <c r="N259">
        <v>-2916.6666666666665</v>
      </c>
      <c r="O259">
        <v>-2916.6666666666665</v>
      </c>
      <c r="P259">
        <v>-2916.6666666666665</v>
      </c>
      <c r="Q259">
        <v>-2916.6666666666665</v>
      </c>
      <c r="R259">
        <f t="shared" si="57"/>
        <v>102083333.33333336</v>
      </c>
    </row>
    <row r="260" spans="2:18" x14ac:dyDescent="0.25">
      <c r="B260" t="s">
        <v>270</v>
      </c>
      <c r="C260" t="s">
        <v>53</v>
      </c>
      <c r="D260" t="s">
        <v>199</v>
      </c>
      <c r="E260" t="s">
        <v>128</v>
      </c>
      <c r="F260">
        <v>-51000.000000000036</v>
      </c>
      <c r="G260">
        <v>-51000.000000000036</v>
      </c>
      <c r="H260">
        <v>-51000.000000000036</v>
      </c>
      <c r="I260">
        <v>-51000.000000000036</v>
      </c>
      <c r="J260">
        <v>-51000.000000000036</v>
      </c>
      <c r="K260">
        <v>-51000.000000000036</v>
      </c>
      <c r="L260">
        <v>-51000.000000000036</v>
      </c>
      <c r="M260">
        <v>-51000.000000000036</v>
      </c>
      <c r="N260">
        <v>-51000.000000000036</v>
      </c>
      <c r="O260">
        <v>-51000.000000000036</v>
      </c>
      <c r="P260">
        <v>-51000.000000000036</v>
      </c>
      <c r="Q260">
        <v>-51000.000000000036</v>
      </c>
      <c r="R260">
        <f t="shared" si="57"/>
        <v>31212000000.000046</v>
      </c>
    </row>
    <row r="261" spans="2:18" x14ac:dyDescent="0.25">
      <c r="B261" t="s">
        <v>270</v>
      </c>
      <c r="C261" t="s">
        <v>54</v>
      </c>
      <c r="D261" t="s">
        <v>199</v>
      </c>
      <c r="E261" t="s">
        <v>128</v>
      </c>
      <c r="F261">
        <v>-416.66666666666669</v>
      </c>
      <c r="G261">
        <v>-416.66666666666669</v>
      </c>
      <c r="H261">
        <v>-416.66666666666669</v>
      </c>
      <c r="I261">
        <v>-416.66666666666669</v>
      </c>
      <c r="J261">
        <v>-416.66666666666669</v>
      </c>
      <c r="K261">
        <v>-416.66666666666669</v>
      </c>
      <c r="L261">
        <v>-416.66666666666669</v>
      </c>
      <c r="M261">
        <v>-416.66666666666669</v>
      </c>
      <c r="N261">
        <v>-416.66666666666669</v>
      </c>
      <c r="O261">
        <v>-416.66666666666669</v>
      </c>
      <c r="P261">
        <v>-416.66666666666669</v>
      </c>
      <c r="Q261">
        <v>-416.66666666666669</v>
      </c>
      <c r="R261">
        <f t="shared" ref="R261:R266" si="58">SUMSQ(F261,G261,H261,I261,J261,K261,L261,M261,N261,O261,P261,Q261)</f>
        <v>2083333.333333333</v>
      </c>
    </row>
    <row r="262" spans="2:18" x14ac:dyDescent="0.25">
      <c r="B262" t="s">
        <v>270</v>
      </c>
      <c r="C262" t="s">
        <v>110</v>
      </c>
      <c r="D262" t="s">
        <v>199</v>
      </c>
      <c r="E262" t="s">
        <v>128</v>
      </c>
      <c r="F262">
        <v>-1000</v>
      </c>
      <c r="G262">
        <v>-1000</v>
      </c>
      <c r="H262">
        <v>-1000</v>
      </c>
      <c r="I262">
        <v>-1000</v>
      </c>
      <c r="J262">
        <v>-1000</v>
      </c>
      <c r="K262">
        <v>-1000</v>
      </c>
      <c r="L262">
        <v>-1000</v>
      </c>
      <c r="M262">
        <v>-1000</v>
      </c>
      <c r="N262">
        <v>-1000</v>
      </c>
      <c r="O262">
        <v>-1000</v>
      </c>
      <c r="P262">
        <v>-1000</v>
      </c>
      <c r="Q262">
        <v>-1000</v>
      </c>
      <c r="R262">
        <f t="shared" si="58"/>
        <v>12000000</v>
      </c>
    </row>
    <row r="263" spans="2:18" x14ac:dyDescent="0.25">
      <c r="B263" t="s">
        <v>271</v>
      </c>
      <c r="C263" t="s">
        <v>51</v>
      </c>
      <c r="D263" t="s">
        <v>199</v>
      </c>
      <c r="E263" t="s">
        <v>128</v>
      </c>
      <c r="F263">
        <v>-98602.841666666674</v>
      </c>
      <c r="G263">
        <v>-98602.841666666674</v>
      </c>
      <c r="H263">
        <v>-98602.841666666674</v>
      </c>
      <c r="I263">
        <v>-98602.841666666674</v>
      </c>
      <c r="J263">
        <v>-98602.841666666674</v>
      </c>
      <c r="K263">
        <v>-98602.841666666674</v>
      </c>
      <c r="L263">
        <v>-98602.841666666674</v>
      </c>
      <c r="M263">
        <v>-98602.841666666674</v>
      </c>
      <c r="N263">
        <v>-98602.841666666674</v>
      </c>
      <c r="O263">
        <v>-98602.841666666674</v>
      </c>
      <c r="P263">
        <v>-98602.841666666674</v>
      </c>
      <c r="Q263">
        <v>-98602.841666666674</v>
      </c>
      <c r="R263">
        <f t="shared" si="58"/>
        <v>116670244616.90082</v>
      </c>
    </row>
    <row r="264" spans="2:18" x14ac:dyDescent="0.25">
      <c r="B264" t="s">
        <v>271</v>
      </c>
      <c r="C264" t="s">
        <v>52</v>
      </c>
      <c r="D264" t="s">
        <v>199</v>
      </c>
      <c r="E264" t="s">
        <v>128</v>
      </c>
      <c r="F264">
        <v>-3333.3333333333335</v>
      </c>
      <c r="G264">
        <v>-3333.3333333333335</v>
      </c>
      <c r="H264">
        <v>-3333.3333333333335</v>
      </c>
      <c r="I264">
        <v>-3333.3333333333335</v>
      </c>
      <c r="J264">
        <v>-3333.3333333333335</v>
      </c>
      <c r="K264">
        <v>-3333.3333333333335</v>
      </c>
      <c r="L264">
        <v>-3333.3333333333335</v>
      </c>
      <c r="M264">
        <v>-3333.3333333333335</v>
      </c>
      <c r="N264">
        <v>-3333.3333333333335</v>
      </c>
      <c r="O264">
        <v>-3333.3333333333335</v>
      </c>
      <c r="P264">
        <v>-3333.3333333333335</v>
      </c>
      <c r="Q264">
        <v>-3333.3333333333335</v>
      </c>
      <c r="R264">
        <f t="shared" si="58"/>
        <v>133333333.33333331</v>
      </c>
    </row>
    <row r="265" spans="2:18" x14ac:dyDescent="0.25">
      <c r="B265" t="s">
        <v>271</v>
      </c>
      <c r="C265" t="s">
        <v>53</v>
      </c>
      <c r="D265" t="s">
        <v>199</v>
      </c>
      <c r="E265" t="s">
        <v>128</v>
      </c>
      <c r="F265">
        <v>-20833.333333333332</v>
      </c>
      <c r="G265">
        <v>-20833.333333333332</v>
      </c>
      <c r="H265">
        <v>-20833.333333333332</v>
      </c>
      <c r="I265">
        <v>-20833.333333333332</v>
      </c>
      <c r="J265">
        <v>-20833.333333333332</v>
      </c>
      <c r="K265">
        <v>-20833.333333333332</v>
      </c>
      <c r="L265">
        <v>-20833.333333333332</v>
      </c>
      <c r="M265">
        <v>-20833.333333333332</v>
      </c>
      <c r="N265">
        <v>-20833.333333333332</v>
      </c>
      <c r="O265">
        <v>-20833.333333333332</v>
      </c>
      <c r="P265">
        <v>-20833.333333333332</v>
      </c>
      <c r="Q265">
        <v>-20833.333333333332</v>
      </c>
      <c r="R265">
        <f t="shared" si="58"/>
        <v>5208333333.333333</v>
      </c>
    </row>
    <row r="266" spans="2:18" x14ac:dyDescent="0.25">
      <c r="B266" t="s">
        <v>271</v>
      </c>
      <c r="C266" t="s">
        <v>54</v>
      </c>
      <c r="D266" t="s">
        <v>199</v>
      </c>
      <c r="E266" t="s">
        <v>128</v>
      </c>
      <c r="F266">
        <v>-333.33333333333331</v>
      </c>
      <c r="G266">
        <v>-333.33333333333331</v>
      </c>
      <c r="H266">
        <v>-333.33333333333331</v>
      </c>
      <c r="I266">
        <v>-333.33333333333331</v>
      </c>
      <c r="J266">
        <v>-333.33333333333331</v>
      </c>
      <c r="K266">
        <v>-333.33333333333331</v>
      </c>
      <c r="L266">
        <v>-333.33333333333331</v>
      </c>
      <c r="M266">
        <v>-333.33333333333331</v>
      </c>
      <c r="N266">
        <v>-333.33333333333331</v>
      </c>
      <c r="O266">
        <v>-333.33333333333331</v>
      </c>
      <c r="P266">
        <v>-333.33333333333331</v>
      </c>
      <c r="Q266">
        <v>-333.33333333333331</v>
      </c>
      <c r="R266">
        <f t="shared" si="58"/>
        <v>1333333.333333333</v>
      </c>
    </row>
    <row r="267" spans="2:18" x14ac:dyDescent="0.25">
      <c r="B267" t="s">
        <v>271</v>
      </c>
      <c r="C267" t="s">
        <v>110</v>
      </c>
      <c r="D267" t="s">
        <v>199</v>
      </c>
      <c r="E267" t="s">
        <v>128</v>
      </c>
      <c r="F267">
        <v>-1666.6666666666667</v>
      </c>
      <c r="G267">
        <v>-1666.6666666666667</v>
      </c>
      <c r="H267">
        <v>-1666.6666666666667</v>
      </c>
      <c r="I267">
        <v>-1666.6666666666667</v>
      </c>
      <c r="J267">
        <v>-1666.6666666666667</v>
      </c>
      <c r="K267">
        <v>-1666.6666666666667</v>
      </c>
      <c r="L267">
        <v>-1666.6666666666667</v>
      </c>
      <c r="M267">
        <v>-1666.6666666666667</v>
      </c>
      <c r="N267">
        <v>-1666.6666666666667</v>
      </c>
      <c r="O267">
        <v>-1666.6666666666667</v>
      </c>
      <c r="P267">
        <v>-1666.6666666666667</v>
      </c>
      <c r="Q267">
        <v>-1666.6666666666667</v>
      </c>
      <c r="R267">
        <f t="shared" ref="R267:R269" si="59">SUMSQ(F267,G267,H267,I267,J267,K267,L267,M267,N267,O267,P267,Q267)</f>
        <v>33333333.333333328</v>
      </c>
    </row>
    <row r="268" spans="2:18" x14ac:dyDescent="0.25">
      <c r="B268" t="s">
        <v>272</v>
      </c>
      <c r="C268" t="s">
        <v>51</v>
      </c>
      <c r="D268" t="s">
        <v>199</v>
      </c>
      <c r="E268" t="s">
        <v>128</v>
      </c>
      <c r="F268">
        <v>-35674.202499999999</v>
      </c>
      <c r="G268">
        <v>-35674.202499999999</v>
      </c>
      <c r="H268">
        <v>-35674.202499999999</v>
      </c>
      <c r="I268">
        <v>-35674.202499999999</v>
      </c>
      <c r="J268">
        <v>-35674.202499999999</v>
      </c>
      <c r="K268">
        <v>-35674.202499999999</v>
      </c>
      <c r="L268">
        <v>-35674.202499999999</v>
      </c>
      <c r="M268">
        <v>-35674.202499999999</v>
      </c>
      <c r="N268">
        <v>-35674.202499999999</v>
      </c>
      <c r="O268">
        <v>-35674.202499999999</v>
      </c>
      <c r="P268">
        <v>-35674.202499999999</v>
      </c>
      <c r="Q268">
        <v>-35674.202499999999</v>
      </c>
      <c r="R268">
        <f t="shared" si="59"/>
        <v>15271784688.132071</v>
      </c>
    </row>
    <row r="269" spans="2:18" x14ac:dyDescent="0.25">
      <c r="B269" t="s">
        <v>272</v>
      </c>
      <c r="C269" t="s">
        <v>52</v>
      </c>
      <c r="D269" t="s">
        <v>199</v>
      </c>
      <c r="E269" t="s">
        <v>128</v>
      </c>
      <c r="F269">
        <v>0</v>
      </c>
      <c r="G269">
        <v>-333.33333333333331</v>
      </c>
      <c r="H269">
        <v>-333.33333333333331</v>
      </c>
      <c r="I269">
        <v>-333.33333333333331</v>
      </c>
      <c r="J269">
        <v>-333.33333333333331</v>
      </c>
      <c r="K269">
        <v>-333.33333333333331</v>
      </c>
      <c r="L269">
        <v>-333.33333333333331</v>
      </c>
      <c r="M269">
        <v>-333.33333333333331</v>
      </c>
      <c r="N269">
        <v>-333.33333333333331</v>
      </c>
      <c r="O269">
        <v>-333.33333333333331</v>
      </c>
      <c r="P269">
        <v>-333.33333333333331</v>
      </c>
      <c r="Q269">
        <v>-333.33333333333331</v>
      </c>
      <c r="R269">
        <f t="shared" si="59"/>
        <v>1222222.222222222</v>
      </c>
    </row>
    <row r="270" spans="2:18" x14ac:dyDescent="0.25">
      <c r="B270" t="s">
        <v>272</v>
      </c>
      <c r="C270" t="s">
        <v>53</v>
      </c>
      <c r="D270" t="s">
        <v>199</v>
      </c>
      <c r="E270" t="s">
        <v>128</v>
      </c>
      <c r="F270">
        <v>-6333.333333333333</v>
      </c>
      <c r="G270">
        <v>-6333.333333333333</v>
      </c>
      <c r="H270">
        <v>-6333.333333333333</v>
      </c>
      <c r="I270">
        <v>-9666.6666666666333</v>
      </c>
      <c r="J270">
        <v>-9666.6666666666333</v>
      </c>
      <c r="K270">
        <v>-9666.6666666666333</v>
      </c>
      <c r="L270">
        <v>-13000.000000000035</v>
      </c>
      <c r="M270">
        <v>-13000.000000000035</v>
      </c>
      <c r="N270">
        <v>-13000.000000000035</v>
      </c>
      <c r="O270">
        <v>-6333.333333333333</v>
      </c>
      <c r="P270">
        <v>-6333.333333333333</v>
      </c>
      <c r="Q270">
        <v>-6333.333333333333</v>
      </c>
      <c r="R270">
        <f t="shared" ref="R270:R275" si="60">SUMSQ(F270,G270,H270,I270,J270,K270,L270,M270,N270,O270,P270,Q270)</f>
        <v>1028000000.000001</v>
      </c>
    </row>
    <row r="271" spans="2:18" x14ac:dyDescent="0.25">
      <c r="B271" t="s">
        <v>272</v>
      </c>
      <c r="C271" t="s">
        <v>54</v>
      </c>
      <c r="D271" t="s">
        <v>199</v>
      </c>
      <c r="E271" t="s">
        <v>128</v>
      </c>
      <c r="F271">
        <v>-375</v>
      </c>
      <c r="G271">
        <v>-375</v>
      </c>
      <c r="H271">
        <v>-375</v>
      </c>
      <c r="I271">
        <v>-375</v>
      </c>
      <c r="J271">
        <v>-375</v>
      </c>
      <c r="K271">
        <v>-375</v>
      </c>
      <c r="L271">
        <v>-375</v>
      </c>
      <c r="M271">
        <v>-375</v>
      </c>
      <c r="N271">
        <v>-375</v>
      </c>
      <c r="O271">
        <v>-375</v>
      </c>
      <c r="P271">
        <v>-375</v>
      </c>
      <c r="Q271">
        <v>-375</v>
      </c>
      <c r="R271">
        <f t="shared" si="60"/>
        <v>1687500</v>
      </c>
    </row>
    <row r="272" spans="2:18" x14ac:dyDescent="0.25">
      <c r="B272" t="s">
        <v>272</v>
      </c>
      <c r="C272" t="s">
        <v>110</v>
      </c>
      <c r="D272" t="s">
        <v>199</v>
      </c>
      <c r="E272" t="s">
        <v>128</v>
      </c>
      <c r="F272">
        <v>-750</v>
      </c>
      <c r="G272">
        <v>-750</v>
      </c>
      <c r="H272">
        <v>-750</v>
      </c>
      <c r="I272">
        <v>-750</v>
      </c>
      <c r="J272">
        <v>-750</v>
      </c>
      <c r="K272">
        <v>-750</v>
      </c>
      <c r="L272">
        <v>-750</v>
      </c>
      <c r="M272">
        <v>-750</v>
      </c>
      <c r="N272">
        <v>-750</v>
      </c>
      <c r="O272">
        <v>-750</v>
      </c>
      <c r="P272">
        <v>-750</v>
      </c>
      <c r="Q272">
        <v>-750</v>
      </c>
      <c r="R272">
        <f t="shared" si="60"/>
        <v>6750000</v>
      </c>
    </row>
    <row r="273" spans="2:18" x14ac:dyDescent="0.25">
      <c r="B273" t="s">
        <v>272</v>
      </c>
      <c r="C273" t="s">
        <v>111</v>
      </c>
      <c r="D273" t="s">
        <v>199</v>
      </c>
      <c r="E273" t="s">
        <v>14</v>
      </c>
      <c r="F273">
        <v>500</v>
      </c>
      <c r="G273">
        <v>500</v>
      </c>
      <c r="H273">
        <v>500</v>
      </c>
      <c r="I273">
        <v>500</v>
      </c>
      <c r="J273">
        <v>500</v>
      </c>
      <c r="K273">
        <v>500</v>
      </c>
      <c r="L273">
        <v>500</v>
      </c>
      <c r="M273">
        <v>500</v>
      </c>
      <c r="N273">
        <v>500</v>
      </c>
      <c r="O273">
        <v>500</v>
      </c>
      <c r="P273">
        <v>500</v>
      </c>
      <c r="Q273">
        <v>500</v>
      </c>
      <c r="R273">
        <f t="shared" si="60"/>
        <v>3000000</v>
      </c>
    </row>
    <row r="274" spans="2:18" x14ac:dyDescent="0.25">
      <c r="B274" t="s">
        <v>272</v>
      </c>
      <c r="C274" t="s">
        <v>112</v>
      </c>
      <c r="D274" t="s">
        <v>199</v>
      </c>
      <c r="E274" t="s">
        <v>14</v>
      </c>
      <c r="F274">
        <v>3515.7625000000003</v>
      </c>
      <c r="G274">
        <v>3515.7625000000003</v>
      </c>
      <c r="H274">
        <v>3515.7625000000003</v>
      </c>
      <c r="I274">
        <v>3515.7625000000003</v>
      </c>
      <c r="J274">
        <v>3515.7625000000003</v>
      </c>
      <c r="K274">
        <v>3515.7625000000003</v>
      </c>
      <c r="L274">
        <v>3515.7625000000003</v>
      </c>
      <c r="M274">
        <v>3515.7625000000003</v>
      </c>
      <c r="N274">
        <v>3515.7625000000003</v>
      </c>
      <c r="O274">
        <v>3515.7625000000003</v>
      </c>
      <c r="P274">
        <v>3515.7625000000003</v>
      </c>
      <c r="Q274">
        <v>3515.7625000000003</v>
      </c>
      <c r="R274">
        <f t="shared" si="60"/>
        <v>148327031.47687504</v>
      </c>
    </row>
    <row r="275" spans="2:18" x14ac:dyDescent="0.25">
      <c r="B275" t="s">
        <v>273</v>
      </c>
      <c r="C275" t="s">
        <v>52</v>
      </c>
      <c r="D275" t="s">
        <v>199</v>
      </c>
      <c r="E275" t="s">
        <v>128</v>
      </c>
      <c r="F275">
        <v>-83.333333333333329</v>
      </c>
      <c r="G275">
        <v>-83.333333333333329</v>
      </c>
      <c r="H275">
        <v>-83.333333333333329</v>
      </c>
      <c r="I275">
        <v>-83.333333333333329</v>
      </c>
      <c r="J275">
        <v>-83.333333333333329</v>
      </c>
      <c r="K275">
        <v>-83.333333333333329</v>
      </c>
      <c r="L275">
        <v>-83.333333333333329</v>
      </c>
      <c r="M275">
        <v>-83.333333333333329</v>
      </c>
      <c r="N275">
        <v>-83.333333333333329</v>
      </c>
      <c r="O275">
        <v>-83.333333333333329</v>
      </c>
      <c r="P275">
        <v>-83.333333333333329</v>
      </c>
      <c r="Q275">
        <v>-83.333333333333329</v>
      </c>
      <c r="R275">
        <f t="shared" si="60"/>
        <v>83333.333333333314</v>
      </c>
    </row>
    <row r="276" spans="2:18" x14ac:dyDescent="0.25">
      <c r="B276" t="s">
        <v>273</v>
      </c>
      <c r="C276" t="s">
        <v>53</v>
      </c>
      <c r="D276" t="s">
        <v>199</v>
      </c>
      <c r="E276" t="s">
        <v>17</v>
      </c>
      <c r="F276">
        <v>-2388.8316666666665</v>
      </c>
      <c r="G276">
        <v>-2388.8316666666665</v>
      </c>
      <c r="H276">
        <v>-2388.8316666666665</v>
      </c>
      <c r="I276">
        <v>-2388.8316666666665</v>
      </c>
      <c r="J276">
        <v>-2388.8316666666665</v>
      </c>
      <c r="K276">
        <v>-2388.8316666666665</v>
      </c>
      <c r="L276">
        <v>-2388.8316666666665</v>
      </c>
      <c r="M276">
        <v>-2388.8316666666665</v>
      </c>
      <c r="N276">
        <v>-2388.8316666666665</v>
      </c>
      <c r="O276">
        <v>-2388.8316666666665</v>
      </c>
      <c r="P276">
        <v>-2388.8316666666665</v>
      </c>
      <c r="Q276">
        <v>-2388.8316666666665</v>
      </c>
      <c r="R276">
        <f t="shared" ref="R276:R283" si="61">SUMSQ(F276,G276,H276,I276,J276,K276,L276,M276,N276,O276,P276,Q276)</f>
        <v>68478200.780033305</v>
      </c>
    </row>
    <row r="277" spans="2:18" x14ac:dyDescent="0.25">
      <c r="B277" t="s">
        <v>273</v>
      </c>
      <c r="C277" t="s">
        <v>53</v>
      </c>
      <c r="D277" t="s">
        <v>199</v>
      </c>
      <c r="E277" t="s">
        <v>163</v>
      </c>
      <c r="F277">
        <v>-8333.3333333333339</v>
      </c>
      <c r="G277">
        <v>-8333.3333333333339</v>
      </c>
      <c r="H277">
        <v>-8333.3333333333339</v>
      </c>
      <c r="I277">
        <v>-8333.3333333333339</v>
      </c>
      <c r="J277">
        <v>-8333.3333333333339</v>
      </c>
      <c r="K277">
        <v>-8333.3333333333339</v>
      </c>
      <c r="L277">
        <v>-8333.3333333333339</v>
      </c>
      <c r="M277">
        <v>-8333.3333333333339</v>
      </c>
      <c r="N277">
        <v>-8333.3333333333339</v>
      </c>
      <c r="O277">
        <v>-8333.3333333333339</v>
      </c>
      <c r="P277">
        <v>-8333.3333333333339</v>
      </c>
      <c r="Q277">
        <v>-8333.3333333333339</v>
      </c>
      <c r="R277">
        <f t="shared" si="61"/>
        <v>833333333.33333313</v>
      </c>
    </row>
    <row r="278" spans="2:18" x14ac:dyDescent="0.25">
      <c r="B278" t="s">
        <v>273</v>
      </c>
      <c r="C278" t="s">
        <v>53</v>
      </c>
      <c r="D278" t="s">
        <v>199</v>
      </c>
      <c r="E278" t="s">
        <v>128</v>
      </c>
      <c r="F278">
        <v>-10750</v>
      </c>
      <c r="G278">
        <v>-10750</v>
      </c>
      <c r="H278">
        <v>-10750</v>
      </c>
      <c r="I278">
        <v>-10750</v>
      </c>
      <c r="J278">
        <v>-10750</v>
      </c>
      <c r="K278">
        <v>-10750</v>
      </c>
      <c r="L278">
        <v>-10750</v>
      </c>
      <c r="M278">
        <v>-10750</v>
      </c>
      <c r="N278">
        <v>-10750</v>
      </c>
      <c r="O278">
        <v>-10750</v>
      </c>
      <c r="P278">
        <v>-10750</v>
      </c>
      <c r="Q278">
        <v>-10750</v>
      </c>
      <c r="R278">
        <f t="shared" si="61"/>
        <v>1386750000</v>
      </c>
    </row>
    <row r="279" spans="2:18" x14ac:dyDescent="0.25">
      <c r="B279" t="s">
        <v>273</v>
      </c>
      <c r="C279" t="s">
        <v>184</v>
      </c>
      <c r="D279" t="s">
        <v>199</v>
      </c>
      <c r="E279" t="s">
        <v>163</v>
      </c>
      <c r="F279">
        <v>-9419.3966666666656</v>
      </c>
      <c r="G279">
        <v>-9419.3966666666656</v>
      </c>
      <c r="H279">
        <v>-9419.3966666666656</v>
      </c>
      <c r="I279">
        <v>-9419.3966666666656</v>
      </c>
      <c r="J279">
        <v>-9419.3966666666656</v>
      </c>
      <c r="K279">
        <v>-9419.3966666666656</v>
      </c>
      <c r="L279">
        <v>-9419.3966666666656</v>
      </c>
      <c r="M279">
        <v>-9419.3966666666656</v>
      </c>
      <c r="N279">
        <v>-9419.3966666666656</v>
      </c>
      <c r="O279">
        <v>-9419.3966666666656</v>
      </c>
      <c r="P279">
        <v>-9419.3966666666656</v>
      </c>
      <c r="Q279">
        <v>-9419.3966666666656</v>
      </c>
      <c r="R279">
        <f t="shared" si="61"/>
        <v>1064700402.7681332</v>
      </c>
    </row>
    <row r="280" spans="2:18" x14ac:dyDescent="0.25">
      <c r="B280" t="s">
        <v>273</v>
      </c>
      <c r="C280" t="s">
        <v>54</v>
      </c>
      <c r="D280" t="s">
        <v>199</v>
      </c>
      <c r="E280" t="s">
        <v>128</v>
      </c>
      <c r="F280">
        <v>-41.666666666666664</v>
      </c>
      <c r="G280">
        <v>-41.666666666666664</v>
      </c>
      <c r="H280">
        <v>-41.666666666666664</v>
      </c>
      <c r="I280">
        <v>-41.666666666666664</v>
      </c>
      <c r="J280">
        <v>-41.666666666666664</v>
      </c>
      <c r="K280">
        <v>-41.666666666666664</v>
      </c>
      <c r="L280">
        <v>-41.666666666666664</v>
      </c>
      <c r="M280">
        <v>-41.666666666666664</v>
      </c>
      <c r="N280">
        <v>-41.666666666666664</v>
      </c>
      <c r="O280">
        <v>-41.666666666666664</v>
      </c>
      <c r="P280">
        <v>-41.666666666666664</v>
      </c>
      <c r="Q280">
        <v>-41.666666666666664</v>
      </c>
      <c r="R280">
        <f t="shared" si="61"/>
        <v>20833.333333333328</v>
      </c>
    </row>
    <row r="281" spans="2:18" x14ac:dyDescent="0.25">
      <c r="B281" t="s">
        <v>273</v>
      </c>
      <c r="C281" t="s">
        <v>64</v>
      </c>
      <c r="D281" t="s">
        <v>199</v>
      </c>
      <c r="E281" t="s">
        <v>128</v>
      </c>
      <c r="F281">
        <v>-104.70666666666666</v>
      </c>
      <c r="G281">
        <v>-104.70666666666666</v>
      </c>
      <c r="H281">
        <v>-104.70666666666666</v>
      </c>
      <c r="I281">
        <v>-104.70666666666666</v>
      </c>
      <c r="J281">
        <v>-104.70666666666666</v>
      </c>
      <c r="K281">
        <v>-104.70666666666666</v>
      </c>
      <c r="L281">
        <v>-104.70666666666666</v>
      </c>
      <c r="M281">
        <v>-104.70666666666666</v>
      </c>
      <c r="N281">
        <v>-104.70666666666666</v>
      </c>
      <c r="O281">
        <v>-104.70666666666666</v>
      </c>
      <c r="P281">
        <v>-104.70666666666666</v>
      </c>
      <c r="Q281">
        <v>-104.70666666666666</v>
      </c>
      <c r="R281">
        <f t="shared" si="61"/>
        <v>131561.83253333336</v>
      </c>
    </row>
    <row r="282" spans="2:18" x14ac:dyDescent="0.25">
      <c r="B282" t="s">
        <v>273</v>
      </c>
      <c r="C282" t="s">
        <v>112</v>
      </c>
      <c r="D282" t="s">
        <v>199</v>
      </c>
      <c r="E282" t="s">
        <v>14</v>
      </c>
      <c r="F282">
        <v>2653.8233333333333</v>
      </c>
      <c r="G282">
        <v>2653.8233333333333</v>
      </c>
      <c r="H282">
        <v>2653.8233333333333</v>
      </c>
      <c r="I282">
        <v>2653.8233333333333</v>
      </c>
      <c r="J282">
        <v>2653.8233333333333</v>
      </c>
      <c r="K282">
        <v>2653.8233333333333</v>
      </c>
      <c r="L282">
        <v>2653.8233333333333</v>
      </c>
      <c r="M282">
        <v>2653.8233333333333</v>
      </c>
      <c r="N282">
        <v>2653.8233333333333</v>
      </c>
      <c r="O282">
        <v>2653.8233333333333</v>
      </c>
      <c r="P282">
        <v>2653.8233333333333</v>
      </c>
      <c r="Q282">
        <v>2653.8233333333333</v>
      </c>
      <c r="R282">
        <f t="shared" si="61"/>
        <v>84513339.414533317</v>
      </c>
    </row>
    <row r="283" spans="2:18" x14ac:dyDescent="0.25">
      <c r="B283" t="s">
        <v>274</v>
      </c>
      <c r="C283" t="s">
        <v>146</v>
      </c>
      <c r="D283" t="s">
        <v>199</v>
      </c>
      <c r="E283" t="s">
        <v>128</v>
      </c>
      <c r="F283">
        <v>-4333.333333333333</v>
      </c>
      <c r="G283">
        <v>-4333.333333333333</v>
      </c>
      <c r="H283">
        <v>-4333.333333333333</v>
      </c>
      <c r="I283">
        <v>-4333.333333333333</v>
      </c>
      <c r="J283">
        <v>-4333.333333333333</v>
      </c>
      <c r="K283">
        <v>-4333.333333333333</v>
      </c>
      <c r="L283">
        <v>-4333.333333333333</v>
      </c>
      <c r="M283">
        <v>-4333.333333333333</v>
      </c>
      <c r="N283">
        <v>-4333.333333333333</v>
      </c>
      <c r="O283">
        <v>-4333.333333333333</v>
      </c>
      <c r="P283">
        <v>-4333.333333333333</v>
      </c>
      <c r="Q283">
        <v>-4333.333333333333</v>
      </c>
      <c r="R283">
        <f t="shared" si="61"/>
        <v>225333333.33333337</v>
      </c>
    </row>
    <row r="284" spans="2:18" x14ac:dyDescent="0.25">
      <c r="B284" t="s">
        <v>274</v>
      </c>
      <c r="C284" t="s">
        <v>34</v>
      </c>
      <c r="D284" t="s">
        <v>170</v>
      </c>
      <c r="E284" t="s">
        <v>17</v>
      </c>
      <c r="F284">
        <v>-12180.5</v>
      </c>
      <c r="G284">
        <v>-12180.5</v>
      </c>
      <c r="H284">
        <v>-12180.5</v>
      </c>
      <c r="I284">
        <v>-12180.5</v>
      </c>
      <c r="J284">
        <v>-12180.5</v>
      </c>
      <c r="K284">
        <v>-12180.5</v>
      </c>
      <c r="L284">
        <v>-12180.5</v>
      </c>
      <c r="M284">
        <v>-12180.5</v>
      </c>
      <c r="N284">
        <v>-12180.5</v>
      </c>
      <c r="O284">
        <v>-12180.5</v>
      </c>
      <c r="P284">
        <v>-12180.5</v>
      </c>
      <c r="Q284">
        <v>-12180.5</v>
      </c>
      <c r="R284">
        <f t="shared" ref="R284:R288" si="62">SUMSQ(F284,G284,H284,I284,J284,K284,L284,M284,N284,O284,P284,Q284)</f>
        <v>1780374963</v>
      </c>
    </row>
    <row r="285" spans="2:18" x14ac:dyDescent="0.25">
      <c r="B285" t="s">
        <v>274</v>
      </c>
      <c r="C285" t="s">
        <v>171</v>
      </c>
      <c r="D285" t="s">
        <v>170</v>
      </c>
      <c r="E285" t="s">
        <v>142</v>
      </c>
      <c r="F285">
        <v>-7812.5</v>
      </c>
      <c r="G285">
        <v>-7812.5</v>
      </c>
      <c r="H285">
        <v>-7812.5</v>
      </c>
      <c r="I285">
        <v>-7812.5</v>
      </c>
      <c r="J285">
        <v>-7812.5</v>
      </c>
      <c r="K285">
        <v>-7812.5</v>
      </c>
      <c r="L285">
        <v>-7812.5</v>
      </c>
      <c r="M285">
        <v>-7812.5</v>
      </c>
      <c r="N285">
        <v>-7812.5</v>
      </c>
      <c r="O285">
        <v>-7812.5</v>
      </c>
      <c r="P285">
        <v>-7812.5</v>
      </c>
      <c r="Q285">
        <v>-7812.5</v>
      </c>
      <c r="R285">
        <f t="shared" si="62"/>
        <v>732421875</v>
      </c>
    </row>
    <row r="286" spans="2:18" x14ac:dyDescent="0.25">
      <c r="B286" t="s">
        <v>274</v>
      </c>
      <c r="C286" t="s">
        <v>64</v>
      </c>
      <c r="D286" t="s">
        <v>199</v>
      </c>
      <c r="E286" t="s">
        <v>128</v>
      </c>
      <c r="F286">
        <v>-6505.184166666666</v>
      </c>
      <c r="G286">
        <v>-6505.184166666666</v>
      </c>
      <c r="H286">
        <v>-6505.184166666666</v>
      </c>
      <c r="I286">
        <v>-6505.184166666666</v>
      </c>
      <c r="J286">
        <v>-6505.184166666666</v>
      </c>
      <c r="K286">
        <v>-6505.184166666666</v>
      </c>
      <c r="L286">
        <v>-6505.184166666666</v>
      </c>
      <c r="M286">
        <v>-6505.184166666666</v>
      </c>
      <c r="N286">
        <v>-6505.184166666666</v>
      </c>
      <c r="O286">
        <v>-6505.184166666666</v>
      </c>
      <c r="P286">
        <v>-6505.184166666666</v>
      </c>
      <c r="Q286">
        <v>-6505.184166666666</v>
      </c>
      <c r="R286">
        <f t="shared" si="62"/>
        <v>507809052.50700825</v>
      </c>
    </row>
    <row r="287" spans="2:18" x14ac:dyDescent="0.25">
      <c r="B287" t="s">
        <v>275</v>
      </c>
      <c r="C287" t="s">
        <v>34</v>
      </c>
      <c r="D287" t="s">
        <v>199</v>
      </c>
      <c r="E287" t="s">
        <v>17</v>
      </c>
      <c r="F287">
        <v>-79916.666666666672</v>
      </c>
      <c r="G287">
        <v>-79916.666666666672</v>
      </c>
      <c r="H287">
        <v>-79916.666666666672</v>
      </c>
      <c r="I287">
        <v>-79916.666666666672</v>
      </c>
      <c r="J287">
        <v>-79916.666666666672</v>
      </c>
      <c r="K287">
        <v>-79916.666666666672</v>
      </c>
      <c r="L287">
        <v>-79916.666666666672</v>
      </c>
      <c r="M287">
        <v>-79916.666666666672</v>
      </c>
      <c r="N287">
        <v>-79916.666666666672</v>
      </c>
      <c r="O287">
        <v>-79916.666666666672</v>
      </c>
      <c r="P287">
        <v>-79916.666666666672</v>
      </c>
      <c r="Q287">
        <v>-79916.666666666672</v>
      </c>
      <c r="R287">
        <f t="shared" si="62"/>
        <v>76640083333.333359</v>
      </c>
    </row>
    <row r="288" spans="2:18" x14ac:dyDescent="0.25">
      <c r="B288" t="s">
        <v>275</v>
      </c>
      <c r="C288" t="s">
        <v>93</v>
      </c>
      <c r="D288" t="s">
        <v>199</v>
      </c>
      <c r="E288" t="s">
        <v>17</v>
      </c>
      <c r="F288">
        <v>-87587.460833333331</v>
      </c>
      <c r="G288">
        <v>-87587.460833333331</v>
      </c>
      <c r="H288">
        <v>-87587.460833333331</v>
      </c>
      <c r="I288">
        <v>-87587.460833333331</v>
      </c>
      <c r="J288">
        <v>-87587.460833333331</v>
      </c>
      <c r="K288">
        <v>-87587.460833333331</v>
      </c>
      <c r="L288">
        <v>-87587.460833333331</v>
      </c>
      <c r="M288">
        <v>-87587.460833333331</v>
      </c>
      <c r="N288">
        <v>-87587.460833333331</v>
      </c>
      <c r="O288">
        <v>-87587.460833333331</v>
      </c>
      <c r="P288">
        <v>-87587.460833333331</v>
      </c>
      <c r="Q288">
        <v>-87587.460833333331</v>
      </c>
      <c r="R288">
        <f t="shared" si="62"/>
        <v>92058759542.768387</v>
      </c>
    </row>
    <row r="289" spans="2:18" x14ac:dyDescent="0.25">
      <c r="B289" t="s">
        <v>275</v>
      </c>
      <c r="C289" t="s">
        <v>64</v>
      </c>
      <c r="D289" t="s">
        <v>199</v>
      </c>
      <c r="E289" t="s">
        <v>128</v>
      </c>
      <c r="F289">
        <v>-54620.673429629642</v>
      </c>
      <c r="G289">
        <v>-54620.673429629642</v>
      </c>
      <c r="H289">
        <v>-54620.673429629642</v>
      </c>
      <c r="I289">
        <v>-54620.673429629642</v>
      </c>
      <c r="J289">
        <v>-54620.673429629642</v>
      </c>
      <c r="K289">
        <v>-54620.673429629642</v>
      </c>
      <c r="L289">
        <v>-54620.673429629642</v>
      </c>
      <c r="M289">
        <v>-54620.673429629642</v>
      </c>
      <c r="N289">
        <v>-54620.673429629642</v>
      </c>
      <c r="O289">
        <v>-54620.673429629642</v>
      </c>
      <c r="P289">
        <v>-54620.673429629642</v>
      </c>
      <c r="Q289">
        <v>-54620.673429629642</v>
      </c>
      <c r="R289">
        <f t="shared" ref="R289" si="63">SUMSQ(F289,G289,H289,I289,J289,K289,L289,M289,N289,O289,P289,Q289)</f>
        <v>35801015590.874992</v>
      </c>
    </row>
    <row r="290" spans="2:18" x14ac:dyDescent="0.25">
      <c r="B290" t="s">
        <v>275</v>
      </c>
      <c r="C290" t="s">
        <v>144</v>
      </c>
      <c r="D290" t="s">
        <v>172</v>
      </c>
      <c r="E290" t="s">
        <v>128</v>
      </c>
      <c r="F290">
        <v>9158.3333333333339</v>
      </c>
      <c r="G290">
        <v>9158.3333333333339</v>
      </c>
      <c r="H290">
        <v>9158.3333333333339</v>
      </c>
      <c r="I290">
        <v>9158.3333333333339</v>
      </c>
      <c r="J290">
        <v>9158.3333333333339</v>
      </c>
      <c r="K290">
        <v>9158.3333333333339</v>
      </c>
      <c r="L290">
        <v>9158.3333333333339</v>
      </c>
      <c r="M290">
        <v>9158.3333333333339</v>
      </c>
      <c r="N290">
        <v>9158.3333333333339</v>
      </c>
      <c r="O290">
        <v>9158.3333333333339</v>
      </c>
      <c r="P290">
        <v>9158.3333333333339</v>
      </c>
      <c r="Q290">
        <v>9158.3333333333339</v>
      </c>
      <c r="R290">
        <f t="shared" ref="R290:R300" si="64">SUMSQ(F290,G290,H290,I290,J290,K290,L290,M290,N290,O290,P290,Q290)</f>
        <v>1006500833.3333334</v>
      </c>
    </row>
    <row r="291" spans="2:18" x14ac:dyDescent="0.25">
      <c r="B291" t="s">
        <v>275</v>
      </c>
      <c r="C291" t="s">
        <v>92</v>
      </c>
      <c r="D291" t="s">
        <v>120</v>
      </c>
      <c r="E291" t="s">
        <v>44</v>
      </c>
      <c r="F291">
        <v>9672.1666666666661</v>
      </c>
      <c r="G291">
        <v>9672.1666666666661</v>
      </c>
      <c r="H291">
        <v>9672.1666666666661</v>
      </c>
      <c r="I291">
        <v>9672.1666666666661</v>
      </c>
      <c r="J291">
        <v>9672.1666666666661</v>
      </c>
      <c r="K291">
        <v>9672.1666666666661</v>
      </c>
      <c r="L291">
        <v>9672.1666666666661</v>
      </c>
      <c r="M291">
        <v>9672.1666666666661</v>
      </c>
      <c r="N291">
        <v>9672.1666666666661</v>
      </c>
      <c r="O291">
        <v>9672.1666666666661</v>
      </c>
      <c r="P291">
        <v>9672.1666666666661</v>
      </c>
      <c r="Q291">
        <v>9672.1666666666661</v>
      </c>
      <c r="R291">
        <f t="shared" si="64"/>
        <v>1122609696.3333333</v>
      </c>
    </row>
    <row r="292" spans="2:18" x14ac:dyDescent="0.25">
      <c r="B292" t="s">
        <v>275</v>
      </c>
      <c r="C292" t="s">
        <v>92</v>
      </c>
      <c r="D292" t="s">
        <v>133</v>
      </c>
      <c r="E292" t="s">
        <v>44</v>
      </c>
      <c r="F292">
        <v>73.333333333333329</v>
      </c>
      <c r="G292">
        <v>73.333333333333329</v>
      </c>
      <c r="H292">
        <v>73.333333333333329</v>
      </c>
      <c r="I292">
        <v>73.333333333333329</v>
      </c>
      <c r="J292">
        <v>73.333333333333329</v>
      </c>
      <c r="K292">
        <v>73.333333333333329</v>
      </c>
      <c r="L292">
        <v>73.333333333333329</v>
      </c>
      <c r="M292">
        <v>73.333333333333329</v>
      </c>
      <c r="N292">
        <v>73.333333333333329</v>
      </c>
      <c r="O292">
        <v>73.333333333333329</v>
      </c>
      <c r="P292">
        <v>73.333333333333329</v>
      </c>
      <c r="Q292">
        <v>73.333333333333329</v>
      </c>
      <c r="R292">
        <f t="shared" si="64"/>
        <v>64533.333333333343</v>
      </c>
    </row>
    <row r="293" spans="2:18" x14ac:dyDescent="0.25">
      <c r="B293" t="s">
        <v>275</v>
      </c>
      <c r="C293" t="s">
        <v>92</v>
      </c>
      <c r="D293" t="s">
        <v>123</v>
      </c>
      <c r="E293" t="s">
        <v>44</v>
      </c>
      <c r="F293">
        <v>355.16666666666669</v>
      </c>
      <c r="G293">
        <v>355.16666666666669</v>
      </c>
      <c r="H293">
        <v>355.16666666666669</v>
      </c>
      <c r="I293">
        <v>355.16666666666669</v>
      </c>
      <c r="J293">
        <v>355.16666666666669</v>
      </c>
      <c r="K293">
        <v>355.16666666666669</v>
      </c>
      <c r="L293">
        <v>355.16666666666669</v>
      </c>
      <c r="M293">
        <v>355.16666666666669</v>
      </c>
      <c r="N293">
        <v>355.16666666666669</v>
      </c>
      <c r="O293">
        <v>355.16666666666669</v>
      </c>
      <c r="P293">
        <v>355.16666666666669</v>
      </c>
      <c r="Q293">
        <v>355.16666666666669</v>
      </c>
      <c r="R293">
        <f t="shared" si="64"/>
        <v>1513720.333333333</v>
      </c>
    </row>
    <row r="294" spans="2:18" x14ac:dyDescent="0.25">
      <c r="B294" t="s">
        <v>275</v>
      </c>
      <c r="C294" t="s">
        <v>92</v>
      </c>
      <c r="D294" t="s">
        <v>122</v>
      </c>
      <c r="E294" t="s">
        <v>44</v>
      </c>
      <c r="F294">
        <v>282.41666666666669</v>
      </c>
      <c r="G294">
        <v>282.41666666666669</v>
      </c>
      <c r="H294">
        <v>282.41666666666669</v>
      </c>
      <c r="I294">
        <v>282.41666666666669</v>
      </c>
      <c r="J294">
        <v>282.41666666666669</v>
      </c>
      <c r="K294">
        <v>282.41666666666669</v>
      </c>
      <c r="L294">
        <v>282.41666666666669</v>
      </c>
      <c r="M294">
        <v>282.41666666666669</v>
      </c>
      <c r="N294">
        <v>282.41666666666669</v>
      </c>
      <c r="O294">
        <v>282.41666666666669</v>
      </c>
      <c r="P294">
        <v>282.41666666666669</v>
      </c>
      <c r="Q294">
        <v>282.41666666666669</v>
      </c>
      <c r="R294">
        <f t="shared" si="64"/>
        <v>957110.08333333349</v>
      </c>
    </row>
    <row r="295" spans="2:18" x14ac:dyDescent="0.25">
      <c r="B295" t="s">
        <v>275</v>
      </c>
      <c r="C295" t="s">
        <v>92</v>
      </c>
      <c r="D295" t="s">
        <v>210</v>
      </c>
      <c r="E295" t="s">
        <v>44</v>
      </c>
      <c r="F295">
        <v>1377.4166666666667</v>
      </c>
      <c r="G295">
        <v>1377.4166666666667</v>
      </c>
      <c r="H295">
        <v>1377.4166666666667</v>
      </c>
      <c r="I295">
        <v>1377.4166666666667</v>
      </c>
      <c r="J295">
        <v>1377.4166666666667</v>
      </c>
      <c r="K295">
        <v>1377.4166666666667</v>
      </c>
      <c r="L295">
        <v>1377.4166666666667</v>
      </c>
      <c r="M295">
        <v>1377.4166666666667</v>
      </c>
      <c r="N295">
        <v>1377.4166666666667</v>
      </c>
      <c r="O295">
        <v>1377.4166666666667</v>
      </c>
      <c r="P295">
        <v>1377.4166666666667</v>
      </c>
      <c r="Q295">
        <v>1377.4166666666667</v>
      </c>
      <c r="R295">
        <f t="shared" si="64"/>
        <v>22767320.08333334</v>
      </c>
    </row>
    <row r="296" spans="2:18" x14ac:dyDescent="0.25">
      <c r="B296" t="s">
        <v>276</v>
      </c>
      <c r="C296" t="s">
        <v>32</v>
      </c>
      <c r="D296" t="s">
        <v>199</v>
      </c>
      <c r="E296" t="s">
        <v>128</v>
      </c>
      <c r="F296">
        <v>-37564.592499999999</v>
      </c>
      <c r="G296">
        <v>-37564.592499999999</v>
      </c>
      <c r="H296">
        <v>-37564.592499999999</v>
      </c>
      <c r="I296">
        <v>-37564.592499999999</v>
      </c>
      <c r="J296">
        <v>-37564.592499999999</v>
      </c>
      <c r="K296">
        <v>-37564.592499999999</v>
      </c>
      <c r="L296">
        <v>-37564.592499999999</v>
      </c>
      <c r="M296">
        <v>-37564.592499999999</v>
      </c>
      <c r="N296">
        <v>-37564.592499999999</v>
      </c>
      <c r="O296">
        <v>-37564.592499999999</v>
      </c>
      <c r="P296">
        <v>-37564.592499999999</v>
      </c>
      <c r="Q296">
        <v>-37564.592499999999</v>
      </c>
      <c r="R296">
        <f t="shared" si="64"/>
        <v>16933183316.292671</v>
      </c>
    </row>
    <row r="297" spans="2:18" x14ac:dyDescent="0.25">
      <c r="B297" t="s">
        <v>276</v>
      </c>
      <c r="C297" t="s">
        <v>33</v>
      </c>
      <c r="D297" t="s">
        <v>199</v>
      </c>
      <c r="E297" t="s">
        <v>128</v>
      </c>
      <c r="F297">
        <v>-1250</v>
      </c>
      <c r="G297">
        <v>-1250</v>
      </c>
      <c r="H297">
        <v>-1250</v>
      </c>
      <c r="I297">
        <v>-1250</v>
      </c>
      <c r="J297">
        <v>-1250</v>
      </c>
      <c r="K297">
        <v>-1250</v>
      </c>
      <c r="L297">
        <v>-1250</v>
      </c>
      <c r="M297">
        <v>-1250</v>
      </c>
      <c r="N297">
        <v>-1250</v>
      </c>
      <c r="O297">
        <v>-1250</v>
      </c>
      <c r="P297">
        <v>-1250</v>
      </c>
      <c r="Q297">
        <v>-1250</v>
      </c>
      <c r="R297">
        <f t="shared" si="64"/>
        <v>18750000</v>
      </c>
    </row>
    <row r="298" spans="2:18" x14ac:dyDescent="0.25">
      <c r="B298" t="s">
        <v>276</v>
      </c>
      <c r="C298" t="s">
        <v>34</v>
      </c>
      <c r="D298" t="s">
        <v>199</v>
      </c>
      <c r="E298" t="s">
        <v>17</v>
      </c>
      <c r="F298">
        <v>-25250</v>
      </c>
      <c r="G298">
        <v>-25250</v>
      </c>
      <c r="H298">
        <v>-25250</v>
      </c>
      <c r="I298">
        <v>-25250</v>
      </c>
      <c r="J298">
        <v>-25250</v>
      </c>
      <c r="K298">
        <v>-25250</v>
      </c>
      <c r="L298">
        <v>-25250</v>
      </c>
      <c r="M298">
        <v>-25250</v>
      </c>
      <c r="N298">
        <v>-25250</v>
      </c>
      <c r="O298">
        <v>-25250</v>
      </c>
      <c r="P298">
        <v>-25250</v>
      </c>
      <c r="Q298">
        <v>-25250</v>
      </c>
      <c r="R298">
        <f t="shared" si="64"/>
        <v>7650750000</v>
      </c>
    </row>
    <row r="299" spans="2:18" x14ac:dyDescent="0.25">
      <c r="B299" t="s">
        <v>276</v>
      </c>
      <c r="C299" t="s">
        <v>93</v>
      </c>
      <c r="D299" t="s">
        <v>199</v>
      </c>
      <c r="E299" t="s">
        <v>17</v>
      </c>
      <c r="F299">
        <v>-72174.150000000009</v>
      </c>
      <c r="G299">
        <v>-72174.150000000009</v>
      </c>
      <c r="H299">
        <v>-72174.150000000009</v>
      </c>
      <c r="I299">
        <v>-72174.150000000009</v>
      </c>
      <c r="J299">
        <v>-72174.150000000009</v>
      </c>
      <c r="K299">
        <v>-72174.150000000009</v>
      </c>
      <c r="L299">
        <v>-72174.150000000009</v>
      </c>
      <c r="M299">
        <v>-72174.150000000009</v>
      </c>
      <c r="N299">
        <v>-72174.150000000009</v>
      </c>
      <c r="O299">
        <v>-72174.150000000009</v>
      </c>
      <c r="P299">
        <v>-72174.150000000009</v>
      </c>
      <c r="Q299">
        <v>-72174.150000000009</v>
      </c>
      <c r="R299">
        <f t="shared" si="64"/>
        <v>62509295138.670021</v>
      </c>
    </row>
    <row r="300" spans="2:18" x14ac:dyDescent="0.25">
      <c r="B300" t="s">
        <v>276</v>
      </c>
      <c r="C300" t="s">
        <v>35</v>
      </c>
      <c r="D300" t="s">
        <v>199</v>
      </c>
      <c r="E300" t="s">
        <v>128</v>
      </c>
      <c r="F300">
        <v>-41.666666666666664</v>
      </c>
      <c r="G300">
        <v>-41.666666666666664</v>
      </c>
      <c r="H300">
        <v>-41.666666666666664</v>
      </c>
      <c r="I300">
        <v>-41.666666666666664</v>
      </c>
      <c r="J300">
        <v>-41.666666666666664</v>
      </c>
      <c r="K300">
        <v>-41.666666666666664</v>
      </c>
      <c r="L300">
        <v>-41.666666666666664</v>
      </c>
      <c r="M300">
        <v>-41.666666666666664</v>
      </c>
      <c r="N300">
        <v>-41.666666666666664</v>
      </c>
      <c r="O300">
        <v>-41.666666666666664</v>
      </c>
      <c r="P300">
        <v>-41.666666666666664</v>
      </c>
      <c r="Q300">
        <v>-41.666666666666664</v>
      </c>
      <c r="R300">
        <f t="shared" si="64"/>
        <v>20833.333333333328</v>
      </c>
    </row>
    <row r="301" spans="2:18" x14ac:dyDescent="0.25">
      <c r="B301" t="s">
        <v>276</v>
      </c>
      <c r="C301" t="s">
        <v>91</v>
      </c>
      <c r="D301" t="s">
        <v>199</v>
      </c>
      <c r="E301" t="s">
        <v>128</v>
      </c>
      <c r="F301">
        <v>-583.33333333333337</v>
      </c>
      <c r="G301">
        <v>-583.33333333333337</v>
      </c>
      <c r="H301">
        <v>-583.33333333333337</v>
      </c>
      <c r="I301">
        <v>-583.33333333333337</v>
      </c>
      <c r="J301">
        <v>-583.33333333333337</v>
      </c>
      <c r="K301">
        <v>-583.33333333333337</v>
      </c>
      <c r="L301">
        <v>-583.33333333333337</v>
      </c>
      <c r="M301">
        <v>-583.33333333333337</v>
      </c>
      <c r="N301">
        <v>-583.33333333333337</v>
      </c>
      <c r="O301">
        <v>-583.33333333333337</v>
      </c>
      <c r="P301">
        <v>-583.33333333333337</v>
      </c>
      <c r="Q301">
        <v>-583.33333333333337</v>
      </c>
      <c r="R301">
        <f t="shared" ref="R301:R305" si="65">SUMSQ(F301,G301,H301,I301,J301,K301,L301,M301,N301,O301,P301,Q301)</f>
        <v>4083333.3333333344</v>
      </c>
    </row>
    <row r="302" spans="2:18" x14ac:dyDescent="0.25">
      <c r="B302" t="s">
        <v>276</v>
      </c>
      <c r="C302" t="s">
        <v>64</v>
      </c>
      <c r="D302" t="s">
        <v>132</v>
      </c>
      <c r="E302" t="s">
        <v>128</v>
      </c>
      <c r="F302">
        <v>-124.15916666666665</v>
      </c>
      <c r="G302">
        <v>-124.15916666666665</v>
      </c>
      <c r="H302">
        <v>-124.15916666666665</v>
      </c>
      <c r="I302">
        <v>-124.15916666666665</v>
      </c>
      <c r="J302">
        <v>-124.15916666666665</v>
      </c>
      <c r="K302">
        <v>-124.15916666666665</v>
      </c>
      <c r="L302">
        <v>-124.15916666666665</v>
      </c>
      <c r="M302">
        <v>-124.15916666666665</v>
      </c>
      <c r="N302">
        <v>-124.15916666666665</v>
      </c>
      <c r="O302">
        <v>-124.15916666666665</v>
      </c>
      <c r="P302">
        <v>-124.15916666666665</v>
      </c>
      <c r="Q302">
        <v>-124.15916666666665</v>
      </c>
      <c r="R302">
        <f t="shared" si="65"/>
        <v>184985.98400833327</v>
      </c>
    </row>
    <row r="303" spans="2:18" x14ac:dyDescent="0.25">
      <c r="B303" t="s">
        <v>277</v>
      </c>
      <c r="C303" t="s">
        <v>34</v>
      </c>
      <c r="D303" t="s">
        <v>199</v>
      </c>
      <c r="E303" t="s">
        <v>17</v>
      </c>
      <c r="F303">
        <v>-96000</v>
      </c>
      <c r="G303">
        <v>-96000</v>
      </c>
      <c r="H303">
        <v>-96000</v>
      </c>
      <c r="I303">
        <v>-96000</v>
      </c>
      <c r="J303">
        <v>-96000</v>
      </c>
      <c r="K303">
        <v>-96000</v>
      </c>
      <c r="L303">
        <v>-96000</v>
      </c>
      <c r="M303">
        <v>-96000</v>
      </c>
      <c r="N303">
        <v>-96000</v>
      </c>
      <c r="O303">
        <v>-96000</v>
      </c>
      <c r="P303">
        <v>-96000</v>
      </c>
      <c r="Q303">
        <v>-96000</v>
      </c>
      <c r="R303">
        <f t="shared" si="65"/>
        <v>110592000000</v>
      </c>
    </row>
    <row r="304" spans="2:18" x14ac:dyDescent="0.25">
      <c r="B304" t="s">
        <v>277</v>
      </c>
      <c r="C304" t="s">
        <v>93</v>
      </c>
      <c r="D304" t="s">
        <v>199</v>
      </c>
      <c r="E304" t="s">
        <v>17</v>
      </c>
      <c r="F304">
        <v>-90971.922500000001</v>
      </c>
      <c r="G304">
        <v>-90971.922500000001</v>
      </c>
      <c r="H304">
        <v>-90971.922500000001</v>
      </c>
      <c r="I304">
        <v>-90971.922500000001</v>
      </c>
      <c r="J304">
        <v>-90971.922500000001</v>
      </c>
      <c r="K304">
        <v>-90971.922500000001</v>
      </c>
      <c r="L304">
        <v>-90971.922500000001</v>
      </c>
      <c r="M304">
        <v>-90971.922500000001</v>
      </c>
      <c r="N304">
        <v>-90971.922500000001</v>
      </c>
      <c r="O304">
        <v>-90971.922500000001</v>
      </c>
      <c r="P304">
        <v>-90971.922500000001</v>
      </c>
      <c r="Q304">
        <v>-90971.922500000001</v>
      </c>
      <c r="R304">
        <f t="shared" si="65"/>
        <v>99310688200.152084</v>
      </c>
    </row>
    <row r="305" spans="2:18" x14ac:dyDescent="0.25">
      <c r="B305" t="s">
        <v>277</v>
      </c>
      <c r="C305" t="s">
        <v>64</v>
      </c>
      <c r="D305" t="s">
        <v>199</v>
      </c>
      <c r="E305" t="s">
        <v>128</v>
      </c>
      <c r="F305">
        <v>-45619.708318106306</v>
      </c>
      <c r="G305">
        <v>-45619.708318106306</v>
      </c>
      <c r="H305">
        <v>-45619.708318106306</v>
      </c>
      <c r="I305">
        <v>-45619.708318106306</v>
      </c>
      <c r="J305">
        <v>-45619.708318106306</v>
      </c>
      <c r="K305">
        <v>-45619.708318106306</v>
      </c>
      <c r="L305">
        <v>-45619.708318106306</v>
      </c>
      <c r="M305">
        <v>-45619.708318106306</v>
      </c>
      <c r="N305">
        <v>-45619.708318106306</v>
      </c>
      <c r="O305">
        <v>-45619.708318106306</v>
      </c>
      <c r="P305">
        <v>-45619.708318106306</v>
      </c>
      <c r="Q305">
        <v>-45619.708318106306</v>
      </c>
      <c r="R305">
        <f t="shared" si="65"/>
        <v>24973893444.349178</v>
      </c>
    </row>
    <row r="306" spans="2:18" x14ac:dyDescent="0.25">
      <c r="B306" t="s">
        <v>278</v>
      </c>
      <c r="C306" t="s">
        <v>64</v>
      </c>
      <c r="D306" t="s">
        <v>199</v>
      </c>
      <c r="E306" t="s">
        <v>128</v>
      </c>
      <c r="F306">
        <v>-409.15199999999987</v>
      </c>
      <c r="G306">
        <v>-409.15199999999987</v>
      </c>
      <c r="H306">
        <v>-409.15199999999987</v>
      </c>
      <c r="I306">
        <v>-409.15199999999987</v>
      </c>
      <c r="J306">
        <v>-409.15199999999987</v>
      </c>
      <c r="K306">
        <v>-409.15199999999987</v>
      </c>
      <c r="L306">
        <v>-409.15199999999987</v>
      </c>
      <c r="M306">
        <v>-409.15199999999987</v>
      </c>
      <c r="N306">
        <v>-409.15199999999987</v>
      </c>
      <c r="O306">
        <v>-409.15199999999987</v>
      </c>
      <c r="P306">
        <v>-409.15199999999987</v>
      </c>
      <c r="Q306">
        <v>-409.15199999999987</v>
      </c>
      <c r="R306">
        <f t="shared" ref="R306" si="66">SUMSQ(F306,G306,H306,I306,J306,K306,L306,M306,N306,O306,P306,Q306)</f>
        <v>2008864.3092479983</v>
      </c>
    </row>
    <row r="307" spans="2:18" x14ac:dyDescent="0.25">
      <c r="B307" t="s">
        <v>279</v>
      </c>
      <c r="C307" t="s">
        <v>64</v>
      </c>
      <c r="D307" t="s">
        <v>199</v>
      </c>
      <c r="E307" t="s">
        <v>128</v>
      </c>
      <c r="F307">
        <v>-60.205000000000005</v>
      </c>
      <c r="G307">
        <v>-60.205000000000005</v>
      </c>
      <c r="H307">
        <v>-60.205000000000005</v>
      </c>
      <c r="I307">
        <v>-60.205000000000005</v>
      </c>
      <c r="J307">
        <v>-60.205000000000005</v>
      </c>
      <c r="K307">
        <v>-60.205000000000005</v>
      </c>
      <c r="L307">
        <v>-60.205000000000005</v>
      </c>
      <c r="M307">
        <v>-60.205000000000005</v>
      </c>
      <c r="N307">
        <v>-60.205000000000005</v>
      </c>
      <c r="O307">
        <v>-60.205000000000005</v>
      </c>
      <c r="P307">
        <v>-60.205000000000005</v>
      </c>
      <c r="Q307">
        <v>-60.205000000000005</v>
      </c>
      <c r="R307">
        <f t="shared" ref="R307" si="67">SUMSQ(F307,G307,H307,I307,J307,K307,L307,M307,N307,O307,P307,Q307)</f>
        <v>43495.704300000005</v>
      </c>
    </row>
    <row r="308" spans="2:18" x14ac:dyDescent="0.25">
      <c r="B308" t="s">
        <v>280</v>
      </c>
      <c r="C308" t="s">
        <v>46</v>
      </c>
      <c r="D308" t="s">
        <v>199</v>
      </c>
      <c r="E308" t="s">
        <v>17</v>
      </c>
      <c r="F308">
        <v>-54644.256666666675</v>
      </c>
      <c r="G308">
        <v>-54644.256666666675</v>
      </c>
      <c r="H308">
        <v>-54644.256666666675</v>
      </c>
      <c r="I308">
        <v>-54644.256666666675</v>
      </c>
      <c r="J308">
        <v>-54644.256666666675</v>
      </c>
      <c r="K308">
        <v>-54644.256666666675</v>
      </c>
      <c r="L308">
        <v>-54644.256666666675</v>
      </c>
      <c r="M308">
        <v>-54644.256666666675</v>
      </c>
      <c r="N308">
        <v>-54644.256666666675</v>
      </c>
      <c r="O308">
        <v>-54644.256666666675</v>
      </c>
      <c r="P308">
        <v>-54644.256666666675</v>
      </c>
      <c r="Q308">
        <v>-54644.256666666675</v>
      </c>
      <c r="R308">
        <f t="shared" ref="R308:R310" si="68">SUMSQ(F308,G308,H308,I308,J308,K308,L308,M308,N308,O308,P308,Q308)</f>
        <v>35831937439.830544</v>
      </c>
    </row>
    <row r="309" spans="2:18" x14ac:dyDescent="0.25">
      <c r="B309" t="s">
        <v>280</v>
      </c>
      <c r="C309" t="s">
        <v>64</v>
      </c>
      <c r="D309" t="s">
        <v>199</v>
      </c>
      <c r="E309" t="s">
        <v>128</v>
      </c>
      <c r="F309">
        <v>-10857.523932870376</v>
      </c>
      <c r="G309">
        <v>-10857.523932870376</v>
      </c>
      <c r="H309">
        <v>-10857.523932870376</v>
      </c>
      <c r="I309">
        <v>-10857.523932870376</v>
      </c>
      <c r="J309">
        <v>-10857.523932870376</v>
      </c>
      <c r="K309">
        <v>-10857.523932870376</v>
      </c>
      <c r="L309">
        <v>-10857.523932870376</v>
      </c>
      <c r="M309">
        <v>-10857.523932870376</v>
      </c>
      <c r="N309">
        <v>-10857.523932870376</v>
      </c>
      <c r="O309">
        <v>-10857.523932870376</v>
      </c>
      <c r="P309">
        <v>-10857.523932870376</v>
      </c>
      <c r="Q309">
        <v>-10857.523932870376</v>
      </c>
      <c r="R309">
        <f t="shared" si="68"/>
        <v>1414629911.4342358</v>
      </c>
    </row>
    <row r="310" spans="2:18" x14ac:dyDescent="0.25">
      <c r="B310" t="s">
        <v>281</v>
      </c>
      <c r="C310" t="s">
        <v>20</v>
      </c>
      <c r="D310" t="s">
        <v>180</v>
      </c>
      <c r="E310" t="s">
        <v>17</v>
      </c>
      <c r="F310">
        <v>-7318.333333333333</v>
      </c>
      <c r="G310">
        <v>-7318.333333333333</v>
      </c>
      <c r="H310">
        <v>-7318.333333333333</v>
      </c>
      <c r="I310">
        <v>-7318.333333333333</v>
      </c>
      <c r="J310">
        <v>-7318.333333333333</v>
      </c>
      <c r="K310">
        <v>-7318.333333333333</v>
      </c>
      <c r="L310">
        <v>-7318.333333333333</v>
      </c>
      <c r="M310">
        <v>-7318.333333333333</v>
      </c>
      <c r="N310">
        <v>-7318.333333333333</v>
      </c>
      <c r="O310">
        <v>-7318.333333333333</v>
      </c>
      <c r="P310">
        <v>-7318.333333333333</v>
      </c>
      <c r="Q310">
        <v>-7318.333333333333</v>
      </c>
      <c r="R310">
        <f t="shared" si="68"/>
        <v>642696033.33333337</v>
      </c>
    </row>
    <row r="311" spans="2:18" x14ac:dyDescent="0.25">
      <c r="B311" t="s">
        <v>282</v>
      </c>
      <c r="C311" t="s">
        <v>125</v>
      </c>
      <c r="D311" t="s">
        <v>199</v>
      </c>
      <c r="E311" t="s">
        <v>14</v>
      </c>
      <c r="F311">
        <v>280566.08333333331</v>
      </c>
      <c r="G311">
        <v>280566.08333333331</v>
      </c>
      <c r="H311">
        <v>280566.08333333331</v>
      </c>
      <c r="I311">
        <v>280566.08333333331</v>
      </c>
      <c r="J311">
        <v>280566.08333333331</v>
      </c>
      <c r="K311">
        <v>280566.08333333331</v>
      </c>
      <c r="L311">
        <v>280566.08333333331</v>
      </c>
      <c r="M311">
        <v>280566.08333333331</v>
      </c>
      <c r="N311">
        <v>280566.08333333331</v>
      </c>
      <c r="O311">
        <v>280566.08333333331</v>
      </c>
      <c r="P311">
        <v>280566.08333333331</v>
      </c>
      <c r="Q311">
        <v>280566.08333333331</v>
      </c>
      <c r="R311">
        <f t="shared" ref="R311:R314" si="69">SUMSQ(F311,G311,H311,I311,J311,K311,L311,M311,N311,O311,P311,Q311)</f>
        <v>944607925404.08337</v>
      </c>
    </row>
    <row r="312" spans="2:18" x14ac:dyDescent="0.25">
      <c r="B312" t="s">
        <v>282</v>
      </c>
      <c r="C312" t="s">
        <v>125</v>
      </c>
      <c r="D312" t="s">
        <v>199</v>
      </c>
      <c r="E312" t="s">
        <v>44</v>
      </c>
      <c r="F312">
        <v>50833.333333333336</v>
      </c>
      <c r="G312">
        <v>50833.333333333336</v>
      </c>
      <c r="H312">
        <v>50833.333333333336</v>
      </c>
      <c r="I312">
        <v>50833.333333333336</v>
      </c>
      <c r="J312">
        <v>50833.333333333336</v>
      </c>
      <c r="K312">
        <v>50833.333333333336</v>
      </c>
      <c r="L312">
        <v>50833.333333333336</v>
      </c>
      <c r="M312">
        <v>50833.333333333336</v>
      </c>
      <c r="N312">
        <v>50833.333333333336</v>
      </c>
      <c r="O312">
        <v>50833.333333333336</v>
      </c>
      <c r="P312">
        <v>50833.333333333336</v>
      </c>
      <c r="Q312">
        <v>50833.333333333336</v>
      </c>
      <c r="R312">
        <f t="shared" si="69"/>
        <v>31008333333.33334</v>
      </c>
    </row>
    <row r="313" spans="2:18" x14ac:dyDescent="0.25">
      <c r="B313" t="s">
        <v>282</v>
      </c>
      <c r="C313" t="s">
        <v>125</v>
      </c>
      <c r="D313" t="s">
        <v>199</v>
      </c>
      <c r="E313" t="s">
        <v>65</v>
      </c>
      <c r="F313">
        <v>13009.203964010749</v>
      </c>
      <c r="G313">
        <v>13009.203964010749</v>
      </c>
      <c r="H313">
        <v>13009.203964010749</v>
      </c>
      <c r="I313">
        <v>13009.203964010749</v>
      </c>
      <c r="J313">
        <v>13009.203964010749</v>
      </c>
      <c r="K313">
        <v>13009.203964010749</v>
      </c>
      <c r="L313">
        <v>13009.203964010749</v>
      </c>
      <c r="M313">
        <v>13009.203964010749</v>
      </c>
      <c r="N313">
        <v>13009.203964010749</v>
      </c>
      <c r="O313">
        <v>13009.203964010749</v>
      </c>
      <c r="P313">
        <v>13009.203964010749</v>
      </c>
      <c r="Q313">
        <v>13009.203964010749</v>
      </c>
      <c r="R313">
        <f t="shared" si="69"/>
        <v>2030872653.3267953</v>
      </c>
    </row>
    <row r="314" spans="2:18" x14ac:dyDescent="0.25">
      <c r="B314" t="s">
        <v>282</v>
      </c>
      <c r="C314" t="s">
        <v>150</v>
      </c>
      <c r="D314" t="s">
        <v>199</v>
      </c>
      <c r="E314" t="s">
        <v>128</v>
      </c>
      <c r="F314">
        <v>-416.66666666666669</v>
      </c>
      <c r="G314">
        <v>-416.66666666666669</v>
      </c>
      <c r="H314">
        <v>-416.66666666666669</v>
      </c>
      <c r="I314">
        <v>-416.66666666666669</v>
      </c>
      <c r="J314">
        <v>-416.66666666666669</v>
      </c>
      <c r="K314">
        <v>-416.66666666666669</v>
      </c>
      <c r="L314">
        <v>-416.66666666666669</v>
      </c>
      <c r="M314">
        <v>-416.66666666666669</v>
      </c>
      <c r="N314">
        <v>-416.66666666666669</v>
      </c>
      <c r="O314">
        <v>-416.66666666666669</v>
      </c>
      <c r="P314">
        <v>-416.66666666666669</v>
      </c>
      <c r="Q314">
        <v>-416.66666666666669</v>
      </c>
      <c r="R314">
        <f t="shared" si="69"/>
        <v>2083333.333333333</v>
      </c>
    </row>
    <row r="315" spans="2:18" x14ac:dyDescent="0.25">
      <c r="B315" t="s">
        <v>282</v>
      </c>
      <c r="C315" t="s">
        <v>46</v>
      </c>
      <c r="D315" t="s">
        <v>138</v>
      </c>
      <c r="E315" t="s">
        <v>176</v>
      </c>
      <c r="F315">
        <v>-8562.75</v>
      </c>
      <c r="G315">
        <v>-8562.75</v>
      </c>
      <c r="H315">
        <v>-8562.75</v>
      </c>
      <c r="I315">
        <v>-8562.75</v>
      </c>
      <c r="J315">
        <v>-8562.75</v>
      </c>
      <c r="K315">
        <v>-8562.75</v>
      </c>
      <c r="L315">
        <v>-8562.75</v>
      </c>
      <c r="M315">
        <v>-8562.75</v>
      </c>
      <c r="N315">
        <v>-8562.75</v>
      </c>
      <c r="O315">
        <v>-8562.75</v>
      </c>
      <c r="P315">
        <v>-8562.75</v>
      </c>
      <c r="Q315">
        <v>-8562.75</v>
      </c>
      <c r="R315">
        <f t="shared" ref="R315:R321" si="70">SUMSQ(F315,G315,H315,I315,J315,K315,L315,M315,N315,O315,P315,Q315)</f>
        <v>879848250.75</v>
      </c>
    </row>
    <row r="316" spans="2:18" x14ac:dyDescent="0.25">
      <c r="B316" t="s">
        <v>282</v>
      </c>
      <c r="C316" t="s">
        <v>46</v>
      </c>
      <c r="D316" t="s">
        <v>199</v>
      </c>
      <c r="E316" t="s">
        <v>17</v>
      </c>
      <c r="F316">
        <v>-20916.666666666668</v>
      </c>
      <c r="G316">
        <v>-20916.666666666668</v>
      </c>
      <c r="H316">
        <v>-20916.666666666668</v>
      </c>
      <c r="I316">
        <v>-20916.666666666668</v>
      </c>
      <c r="J316">
        <v>-20916.666666666668</v>
      </c>
      <c r="K316">
        <v>-20916.666666666668</v>
      </c>
      <c r="L316">
        <v>-20916.666666666668</v>
      </c>
      <c r="M316">
        <v>-20916.666666666668</v>
      </c>
      <c r="N316">
        <v>-20916.666666666668</v>
      </c>
      <c r="O316">
        <v>-20916.666666666668</v>
      </c>
      <c r="P316">
        <v>-20916.666666666668</v>
      </c>
      <c r="Q316">
        <v>-20916.666666666668</v>
      </c>
      <c r="R316">
        <f t="shared" si="70"/>
        <v>5250083333.3333349</v>
      </c>
    </row>
    <row r="317" spans="2:18" x14ac:dyDescent="0.25">
      <c r="B317" t="s">
        <v>282</v>
      </c>
      <c r="C317" t="s">
        <v>47</v>
      </c>
      <c r="D317" t="s">
        <v>138</v>
      </c>
      <c r="E317" t="s">
        <v>128</v>
      </c>
      <c r="F317">
        <v>-17083.333333333332</v>
      </c>
      <c r="G317">
        <v>-17083.333333333332</v>
      </c>
      <c r="H317">
        <v>-17083.333333333332</v>
      </c>
      <c r="I317">
        <v>-17083.333333333332</v>
      </c>
      <c r="J317">
        <v>-17083.333333333332</v>
      </c>
      <c r="K317">
        <v>-17083.333333333332</v>
      </c>
      <c r="L317">
        <v>-17083.333333333332</v>
      </c>
      <c r="M317">
        <v>-17083.333333333332</v>
      </c>
      <c r="N317">
        <v>-17083.333333333332</v>
      </c>
      <c r="O317">
        <v>-17083.333333333332</v>
      </c>
      <c r="P317">
        <v>-17083.333333333332</v>
      </c>
      <c r="Q317">
        <v>-17083.333333333332</v>
      </c>
      <c r="R317">
        <f t="shared" si="70"/>
        <v>3502083333.3333325</v>
      </c>
    </row>
    <row r="318" spans="2:18" x14ac:dyDescent="0.25">
      <c r="B318" t="s">
        <v>282</v>
      </c>
      <c r="C318" t="s">
        <v>72</v>
      </c>
      <c r="D318" t="s">
        <v>138</v>
      </c>
      <c r="E318" t="s">
        <v>128</v>
      </c>
      <c r="F318">
        <v>-22583.333333333332</v>
      </c>
      <c r="G318">
        <v>-22583.333333333332</v>
      </c>
      <c r="H318">
        <v>-22583.333333333332</v>
      </c>
      <c r="I318">
        <v>-22583.333333333332</v>
      </c>
      <c r="J318">
        <v>-22583.333333333332</v>
      </c>
      <c r="K318">
        <v>-22583.333333333332</v>
      </c>
      <c r="L318">
        <v>-22583.333333333332</v>
      </c>
      <c r="M318">
        <v>-22583.333333333332</v>
      </c>
      <c r="N318">
        <v>-22583.333333333332</v>
      </c>
      <c r="O318">
        <v>-22583.333333333332</v>
      </c>
      <c r="P318">
        <v>-22583.333333333332</v>
      </c>
      <c r="Q318">
        <v>-22583.333333333332</v>
      </c>
      <c r="R318">
        <f t="shared" si="70"/>
        <v>6120083333.3333349</v>
      </c>
    </row>
    <row r="319" spans="2:18" x14ac:dyDescent="0.25">
      <c r="B319" t="s">
        <v>282</v>
      </c>
      <c r="C319" t="s">
        <v>48</v>
      </c>
      <c r="D319" t="s">
        <v>199</v>
      </c>
      <c r="E319" t="s">
        <v>128</v>
      </c>
      <c r="F319">
        <v>-41.666666666666664</v>
      </c>
      <c r="G319">
        <v>-41.666666666666664</v>
      </c>
      <c r="H319">
        <v>-41.666666666666664</v>
      </c>
      <c r="I319">
        <v>-41.666666666666664</v>
      </c>
      <c r="J319">
        <v>-41.666666666666664</v>
      </c>
      <c r="K319">
        <v>-41.666666666666664</v>
      </c>
      <c r="L319">
        <v>-41.666666666666664</v>
      </c>
      <c r="M319">
        <v>-41.666666666666664</v>
      </c>
      <c r="N319">
        <v>-41.666666666666664</v>
      </c>
      <c r="O319">
        <v>-41.666666666666664</v>
      </c>
      <c r="P319">
        <v>-41.666666666666664</v>
      </c>
      <c r="Q319">
        <v>-41.666666666666664</v>
      </c>
      <c r="R319">
        <f t="shared" si="70"/>
        <v>20833.333333333328</v>
      </c>
    </row>
    <row r="320" spans="2:18" x14ac:dyDescent="0.25">
      <c r="B320" t="s">
        <v>282</v>
      </c>
      <c r="C320" t="s">
        <v>66</v>
      </c>
      <c r="D320" t="s">
        <v>138</v>
      </c>
      <c r="E320" t="s">
        <v>176</v>
      </c>
      <c r="F320">
        <v>-52998.327083333315</v>
      </c>
      <c r="G320">
        <v>-52998.327083333315</v>
      </c>
      <c r="H320">
        <v>-52998.327083333315</v>
      </c>
      <c r="I320">
        <v>-52998.327083333315</v>
      </c>
      <c r="J320">
        <v>-52998.327083333315</v>
      </c>
      <c r="K320">
        <v>-52998.327083333315</v>
      </c>
      <c r="L320">
        <v>-52998.327083333315</v>
      </c>
      <c r="M320">
        <v>-52998.327083333315</v>
      </c>
      <c r="N320">
        <v>-52998.327083333315</v>
      </c>
      <c r="O320">
        <v>-52998.327083333315</v>
      </c>
      <c r="P320">
        <v>-52998.327083333315</v>
      </c>
      <c r="Q320">
        <v>-52998.327083333315</v>
      </c>
      <c r="R320">
        <f t="shared" si="70"/>
        <v>33705872083.583775</v>
      </c>
    </row>
    <row r="321" spans="2:18" x14ac:dyDescent="0.25">
      <c r="B321" t="s">
        <v>282</v>
      </c>
      <c r="C321" t="s">
        <v>82</v>
      </c>
      <c r="D321" t="s">
        <v>138</v>
      </c>
      <c r="E321" t="s">
        <v>128</v>
      </c>
      <c r="F321">
        <v>-25000</v>
      </c>
      <c r="G321">
        <v>-25000</v>
      </c>
      <c r="H321">
        <v>-25000</v>
      </c>
      <c r="I321">
        <v>-25000</v>
      </c>
      <c r="J321">
        <v>-25000</v>
      </c>
      <c r="K321">
        <v>-25000</v>
      </c>
      <c r="L321">
        <v>-25000</v>
      </c>
      <c r="M321">
        <v>-25000</v>
      </c>
      <c r="N321">
        <v>-25000</v>
      </c>
      <c r="O321">
        <v>-25000</v>
      </c>
      <c r="P321">
        <v>-25000</v>
      </c>
      <c r="Q321">
        <v>-25000</v>
      </c>
      <c r="R321">
        <f t="shared" si="70"/>
        <v>7500000000</v>
      </c>
    </row>
    <row r="322" spans="2:18" x14ac:dyDescent="0.25">
      <c r="B322" t="s">
        <v>282</v>
      </c>
      <c r="C322" t="s">
        <v>73</v>
      </c>
      <c r="D322" t="s">
        <v>138</v>
      </c>
      <c r="E322" t="s">
        <v>128</v>
      </c>
      <c r="F322">
        <v>-113772.33333333333</v>
      </c>
      <c r="G322">
        <v>-113772.33333333333</v>
      </c>
      <c r="H322">
        <v>-113772.33333333333</v>
      </c>
      <c r="I322">
        <v>-113772.33333333333</v>
      </c>
      <c r="J322">
        <v>-113772.33333333333</v>
      </c>
      <c r="K322">
        <v>-113772.33333333333</v>
      </c>
      <c r="L322">
        <v>-113772.33333333333</v>
      </c>
      <c r="M322">
        <v>-113772.33333333333</v>
      </c>
      <c r="N322">
        <v>-113772.33333333333</v>
      </c>
      <c r="O322">
        <v>-113772.33333333333</v>
      </c>
      <c r="P322">
        <v>-113772.33333333333</v>
      </c>
      <c r="Q322">
        <v>-113772.33333333333</v>
      </c>
      <c r="R322">
        <f t="shared" ref="R322" si="71">SUMSQ(F322,G322,H322,I322,J322,K322,L322,M322,N322,O322,P322,Q322)</f>
        <v>155329725985.33334</v>
      </c>
    </row>
    <row r="323" spans="2:18" x14ac:dyDescent="0.25">
      <c r="B323" t="s">
        <v>282</v>
      </c>
      <c r="C323" t="s">
        <v>49</v>
      </c>
      <c r="D323" t="s">
        <v>138</v>
      </c>
      <c r="E323" t="s">
        <v>128</v>
      </c>
      <c r="F323">
        <v>-6475</v>
      </c>
      <c r="G323">
        <v>-6475</v>
      </c>
      <c r="H323">
        <v>-6475</v>
      </c>
      <c r="I323">
        <v>-6475</v>
      </c>
      <c r="J323">
        <v>-6475</v>
      </c>
      <c r="K323">
        <v>-6475</v>
      </c>
      <c r="L323">
        <v>-6475</v>
      </c>
      <c r="M323">
        <v>-6475</v>
      </c>
      <c r="N323">
        <v>-6475</v>
      </c>
      <c r="O323">
        <v>-6475</v>
      </c>
      <c r="P323">
        <v>-6475</v>
      </c>
      <c r="Q323">
        <v>-6475</v>
      </c>
      <c r="R323">
        <f t="shared" ref="R323:R334" si="72">SUMSQ(F323,G323,H323,I323,J323,K323,L323,M323,N323,O323,P323,Q323)</f>
        <v>503107500</v>
      </c>
    </row>
    <row r="324" spans="2:18" x14ac:dyDescent="0.25">
      <c r="B324" t="s">
        <v>282</v>
      </c>
      <c r="C324" t="s">
        <v>50</v>
      </c>
      <c r="D324" t="s">
        <v>138</v>
      </c>
      <c r="E324" t="s">
        <v>128</v>
      </c>
      <c r="F324">
        <v>-9016.6666666666661</v>
      </c>
      <c r="G324">
        <v>-9016.6666666666661</v>
      </c>
      <c r="H324">
        <v>-9016.6666666666661</v>
      </c>
      <c r="I324">
        <v>-9016.6666666666661</v>
      </c>
      <c r="J324">
        <v>-9016.6666666666661</v>
      </c>
      <c r="K324">
        <v>-9016.6666666666661</v>
      </c>
      <c r="L324">
        <v>-9016.6666666666661</v>
      </c>
      <c r="M324">
        <v>-9016.6666666666661</v>
      </c>
      <c r="N324">
        <v>-9016.6666666666661</v>
      </c>
      <c r="O324">
        <v>-9016.6666666666661</v>
      </c>
      <c r="P324">
        <v>-9016.6666666666661</v>
      </c>
      <c r="Q324">
        <v>-9016.6666666666661</v>
      </c>
      <c r="R324">
        <f t="shared" si="72"/>
        <v>975603333.33333337</v>
      </c>
    </row>
    <row r="325" spans="2:18" x14ac:dyDescent="0.25">
      <c r="B325" t="s">
        <v>282</v>
      </c>
      <c r="C325" t="s">
        <v>126</v>
      </c>
      <c r="D325" t="s">
        <v>138</v>
      </c>
      <c r="E325" t="s">
        <v>160</v>
      </c>
      <c r="F325">
        <v>68091.67</v>
      </c>
      <c r="G325">
        <v>68091.67</v>
      </c>
      <c r="H325">
        <v>68091.67</v>
      </c>
      <c r="I325">
        <v>68091.67</v>
      </c>
      <c r="J325">
        <v>68091.67</v>
      </c>
      <c r="K325">
        <v>68091.67</v>
      </c>
      <c r="L325">
        <v>68091.67</v>
      </c>
      <c r="M325">
        <v>68091.67</v>
      </c>
      <c r="N325">
        <v>68091.67</v>
      </c>
      <c r="O325">
        <v>68091.67</v>
      </c>
      <c r="P325">
        <v>68091.67</v>
      </c>
      <c r="Q325">
        <v>68091.67</v>
      </c>
      <c r="R325">
        <f t="shared" si="72"/>
        <v>55637706280.666801</v>
      </c>
    </row>
    <row r="326" spans="2:18" x14ac:dyDescent="0.25">
      <c r="B326" t="s">
        <v>282</v>
      </c>
      <c r="C326" t="s">
        <v>126</v>
      </c>
      <c r="D326" t="s">
        <v>138</v>
      </c>
      <c r="E326" t="s">
        <v>176</v>
      </c>
      <c r="F326">
        <v>-424949.87333333335</v>
      </c>
      <c r="G326">
        <v>-424949.87333333335</v>
      </c>
      <c r="H326">
        <v>-424949.87333333335</v>
      </c>
      <c r="I326">
        <v>-424949.87333333335</v>
      </c>
      <c r="J326">
        <v>-424949.87333333335</v>
      </c>
      <c r="K326">
        <v>-424949.87333333335</v>
      </c>
      <c r="L326">
        <v>-431324.12143333332</v>
      </c>
      <c r="M326">
        <v>-431324.12143333332</v>
      </c>
      <c r="N326">
        <v>-431324.12143333332</v>
      </c>
      <c r="O326">
        <v>-431324.12143333332</v>
      </c>
      <c r="P326">
        <v>-431324.12143333332</v>
      </c>
      <c r="Q326">
        <v>-431324.12143333332</v>
      </c>
      <c r="R326">
        <f t="shared" si="72"/>
        <v>2199737355457.5176</v>
      </c>
    </row>
    <row r="327" spans="2:18" x14ac:dyDescent="0.25">
      <c r="B327" t="s">
        <v>282</v>
      </c>
      <c r="C327" t="s">
        <v>64</v>
      </c>
      <c r="D327" t="s">
        <v>138</v>
      </c>
      <c r="E327" t="s">
        <v>128</v>
      </c>
      <c r="F327">
        <v>-38777.833333333336</v>
      </c>
      <c r="G327">
        <v>-38777.833333333336</v>
      </c>
      <c r="H327">
        <v>-38777.833333333336</v>
      </c>
      <c r="I327">
        <v>-38777.833333333336</v>
      </c>
      <c r="J327">
        <v>-38777.833333333336</v>
      </c>
      <c r="K327">
        <v>-38777.833333333336</v>
      </c>
      <c r="L327">
        <v>-38777.833333333336</v>
      </c>
      <c r="M327">
        <v>-38777.833333333336</v>
      </c>
      <c r="N327">
        <v>-38777.833333333336</v>
      </c>
      <c r="O327">
        <v>-38777.833333333336</v>
      </c>
      <c r="P327">
        <v>-38777.833333333336</v>
      </c>
      <c r="Q327">
        <v>-38777.833333333336</v>
      </c>
      <c r="R327">
        <f t="shared" si="72"/>
        <v>18044644296.33334</v>
      </c>
    </row>
    <row r="328" spans="2:18" x14ac:dyDescent="0.25">
      <c r="B328" t="s">
        <v>283</v>
      </c>
      <c r="C328" t="s">
        <v>125</v>
      </c>
      <c r="D328" t="s">
        <v>199</v>
      </c>
      <c r="E328" t="s">
        <v>14</v>
      </c>
      <c r="F328">
        <v>13026.583333333334</v>
      </c>
      <c r="G328">
        <v>13026.583333333334</v>
      </c>
      <c r="H328">
        <v>13026.583333333334</v>
      </c>
      <c r="I328">
        <v>13026.583333333334</v>
      </c>
      <c r="J328">
        <v>13026.583333333334</v>
      </c>
      <c r="K328">
        <v>13026.583333333334</v>
      </c>
      <c r="L328">
        <v>13026.583333333334</v>
      </c>
      <c r="M328">
        <v>13026.583333333334</v>
      </c>
      <c r="N328">
        <v>13026.583333333334</v>
      </c>
      <c r="O328">
        <v>13026.583333333334</v>
      </c>
      <c r="P328">
        <v>13026.583333333334</v>
      </c>
      <c r="Q328">
        <v>13026.583333333334</v>
      </c>
      <c r="R328">
        <f t="shared" si="72"/>
        <v>2036302480.083333</v>
      </c>
    </row>
    <row r="329" spans="2:18" x14ac:dyDescent="0.25">
      <c r="B329" t="s">
        <v>283</v>
      </c>
      <c r="C329" t="s">
        <v>125</v>
      </c>
      <c r="D329" t="s">
        <v>199</v>
      </c>
      <c r="E329" t="s">
        <v>7</v>
      </c>
      <c r="F329">
        <v>2419.4533333333302</v>
      </c>
      <c r="G329">
        <v>2419.4133333333298</v>
      </c>
      <c r="H329">
        <v>2419.4133333333298</v>
      </c>
      <c r="I329">
        <v>2419.4133333333298</v>
      </c>
      <c r="J329">
        <v>2419.4133333333298</v>
      </c>
      <c r="K329">
        <v>2419.4133333333298</v>
      </c>
      <c r="L329">
        <v>2419.4133333333298</v>
      </c>
      <c r="M329">
        <v>2419.4133333333298</v>
      </c>
      <c r="N329">
        <v>2419.4133333333298</v>
      </c>
      <c r="O329">
        <v>2419.4133333333298</v>
      </c>
      <c r="P329">
        <v>2419.4133333333298</v>
      </c>
      <c r="Q329">
        <v>2419.4133333333298</v>
      </c>
      <c r="R329">
        <f t="shared" si="72"/>
        <v>70242924.084799781</v>
      </c>
    </row>
    <row r="330" spans="2:18" x14ac:dyDescent="0.25">
      <c r="B330" t="s">
        <v>283</v>
      </c>
      <c r="C330" t="s">
        <v>125</v>
      </c>
      <c r="D330" t="s">
        <v>199</v>
      </c>
      <c r="E330" t="s">
        <v>44</v>
      </c>
      <c r="F330">
        <v>9166.6666666666661</v>
      </c>
      <c r="G330">
        <v>9166.6666666666661</v>
      </c>
      <c r="H330">
        <v>9166.6666666666661</v>
      </c>
      <c r="I330">
        <v>9166.6666666666661</v>
      </c>
      <c r="J330">
        <v>9166.6666666666661</v>
      </c>
      <c r="K330">
        <v>9166.6666666666661</v>
      </c>
      <c r="L330">
        <v>9166.6666666666661</v>
      </c>
      <c r="M330">
        <v>9166.6666666666661</v>
      </c>
      <c r="N330">
        <v>9166.6666666666661</v>
      </c>
      <c r="O330">
        <v>9166.6666666666661</v>
      </c>
      <c r="P330">
        <v>9166.6666666666661</v>
      </c>
      <c r="Q330">
        <v>9166.6666666666661</v>
      </c>
      <c r="R330">
        <f t="shared" si="72"/>
        <v>1008333333.3333334</v>
      </c>
    </row>
    <row r="331" spans="2:18" x14ac:dyDescent="0.25">
      <c r="B331" t="s">
        <v>283</v>
      </c>
      <c r="C331" t="s">
        <v>46</v>
      </c>
      <c r="D331" t="s">
        <v>199</v>
      </c>
      <c r="E331" t="s">
        <v>17</v>
      </c>
      <c r="F331">
        <v>-1351.1666666666665</v>
      </c>
      <c r="G331">
        <v>-1351.1666666666665</v>
      </c>
      <c r="H331">
        <v>-1351.1666666666665</v>
      </c>
      <c r="I331">
        <v>-1351.1666666666665</v>
      </c>
      <c r="J331">
        <v>-1351.1666666666665</v>
      </c>
      <c r="K331">
        <v>-1351.1666666666665</v>
      </c>
      <c r="L331">
        <v>-1351.1666666666665</v>
      </c>
      <c r="M331">
        <v>-1351.1666666666665</v>
      </c>
      <c r="N331">
        <v>-1351.1666666666665</v>
      </c>
      <c r="O331">
        <v>-1351.1666666666665</v>
      </c>
      <c r="P331">
        <v>-1351.1666666666665</v>
      </c>
      <c r="Q331">
        <v>-1351.1666666666665</v>
      </c>
      <c r="R331">
        <f t="shared" si="72"/>
        <v>21907816.333333328</v>
      </c>
    </row>
    <row r="332" spans="2:18" x14ac:dyDescent="0.25">
      <c r="B332" t="s">
        <v>283</v>
      </c>
      <c r="C332" t="s">
        <v>47</v>
      </c>
      <c r="D332" t="s">
        <v>229</v>
      </c>
      <c r="E332" t="s">
        <v>128</v>
      </c>
      <c r="F332">
        <v>-2750</v>
      </c>
      <c r="G332">
        <v>-2750</v>
      </c>
      <c r="H332">
        <v>-2750</v>
      </c>
      <c r="I332">
        <v>-2750</v>
      </c>
      <c r="J332">
        <v>-2750</v>
      </c>
      <c r="K332">
        <v>-2750</v>
      </c>
      <c r="L332">
        <v>-2750</v>
      </c>
      <c r="M332">
        <v>-2750</v>
      </c>
      <c r="N332">
        <v>-2750</v>
      </c>
      <c r="O332">
        <v>-2750</v>
      </c>
      <c r="P332">
        <v>-2750</v>
      </c>
      <c r="Q332">
        <v>-2750</v>
      </c>
      <c r="R332">
        <f t="shared" si="72"/>
        <v>90750000</v>
      </c>
    </row>
    <row r="333" spans="2:18" x14ac:dyDescent="0.25">
      <c r="B333" t="s">
        <v>283</v>
      </c>
      <c r="C333" t="s">
        <v>72</v>
      </c>
      <c r="D333" t="s">
        <v>229</v>
      </c>
      <c r="E333" t="s">
        <v>128</v>
      </c>
      <c r="F333">
        <v>-2666.6666666666665</v>
      </c>
      <c r="G333">
        <v>-2666.6666666666665</v>
      </c>
      <c r="H333">
        <v>-2666.6666666666665</v>
      </c>
      <c r="I333">
        <v>-2666.6666666666665</v>
      </c>
      <c r="J333">
        <v>-2666.6666666666665</v>
      </c>
      <c r="K333">
        <v>-2666.6666666666665</v>
      </c>
      <c r="L333">
        <v>-2666.6666666666665</v>
      </c>
      <c r="M333">
        <v>-2666.6666666666665</v>
      </c>
      <c r="N333">
        <v>-2666.6666666666665</v>
      </c>
      <c r="O333">
        <v>-2666.6666666666665</v>
      </c>
      <c r="P333">
        <v>-2666.6666666666665</v>
      </c>
      <c r="Q333">
        <v>-2666.6666666666665</v>
      </c>
      <c r="R333">
        <f t="shared" si="72"/>
        <v>85333333.333333313</v>
      </c>
    </row>
    <row r="334" spans="2:18" x14ac:dyDescent="0.25">
      <c r="B334" t="s">
        <v>283</v>
      </c>
      <c r="C334" t="s">
        <v>66</v>
      </c>
      <c r="D334" t="s">
        <v>229</v>
      </c>
      <c r="E334" t="s">
        <v>128</v>
      </c>
      <c r="F334">
        <v>-2237.9004</v>
      </c>
      <c r="G334">
        <v>-2237.9004</v>
      </c>
      <c r="H334">
        <v>-2237.9004</v>
      </c>
      <c r="I334">
        <v>-2237.9004</v>
      </c>
      <c r="J334">
        <v>-2237.9004</v>
      </c>
      <c r="K334">
        <v>-2237.9004</v>
      </c>
      <c r="L334">
        <v>-2237.9004</v>
      </c>
      <c r="M334">
        <v>-2237.9004</v>
      </c>
      <c r="N334">
        <v>-2237.9004</v>
      </c>
      <c r="O334">
        <v>-2237.9004</v>
      </c>
      <c r="P334">
        <v>-2237.9004</v>
      </c>
      <c r="Q334">
        <v>-2237.9004</v>
      </c>
      <c r="R334">
        <f t="shared" si="72"/>
        <v>60098378.403841935</v>
      </c>
    </row>
    <row r="335" spans="2:18" x14ac:dyDescent="0.25">
      <c r="B335" t="s">
        <v>283</v>
      </c>
      <c r="C335" t="s">
        <v>73</v>
      </c>
      <c r="D335" t="s">
        <v>229</v>
      </c>
      <c r="E335" t="s">
        <v>128</v>
      </c>
      <c r="F335">
        <v>-6970.833333333333</v>
      </c>
      <c r="G335">
        <v>-6970.833333333333</v>
      </c>
      <c r="H335">
        <v>-6970.833333333333</v>
      </c>
      <c r="I335">
        <v>-6970.833333333333</v>
      </c>
      <c r="J335">
        <v>-6970.833333333333</v>
      </c>
      <c r="K335">
        <v>-6970.833333333333</v>
      </c>
      <c r="L335">
        <v>-6970.833333333333</v>
      </c>
      <c r="M335">
        <v>-6970.833333333333</v>
      </c>
      <c r="N335">
        <v>-6970.833333333333</v>
      </c>
      <c r="O335">
        <v>-6970.833333333333</v>
      </c>
      <c r="P335">
        <v>-6970.833333333333</v>
      </c>
      <c r="Q335">
        <v>-6970.833333333333</v>
      </c>
      <c r="R335">
        <f t="shared" ref="R335:R344" si="73">SUMSQ(F335,G335,H335,I335,J335,K335,L335,M335,N335,O335,P335,Q335)</f>
        <v>583110208.33333325</v>
      </c>
    </row>
    <row r="336" spans="2:18" x14ac:dyDescent="0.25">
      <c r="B336" t="s">
        <v>283</v>
      </c>
      <c r="C336" t="s">
        <v>49</v>
      </c>
      <c r="D336" t="s">
        <v>229</v>
      </c>
      <c r="E336" t="s">
        <v>128</v>
      </c>
      <c r="F336">
        <v>-333.33333333333331</v>
      </c>
      <c r="G336">
        <v>-333.33333333333331</v>
      </c>
      <c r="H336">
        <v>-333.33333333333331</v>
      </c>
      <c r="I336">
        <v>-333.33333333333331</v>
      </c>
      <c r="J336">
        <v>-333.33333333333331</v>
      </c>
      <c r="K336">
        <v>-333.33333333333331</v>
      </c>
      <c r="L336">
        <v>-333.33333333333331</v>
      </c>
      <c r="M336">
        <v>-333.33333333333331</v>
      </c>
      <c r="N336">
        <v>-333.33333333333331</v>
      </c>
      <c r="O336">
        <v>-333.33333333333331</v>
      </c>
      <c r="P336">
        <v>-333.33333333333331</v>
      </c>
      <c r="Q336">
        <v>-333.33333333333331</v>
      </c>
      <c r="R336">
        <f t="shared" si="73"/>
        <v>1333333.333333333</v>
      </c>
    </row>
    <row r="337" spans="2:18" x14ac:dyDescent="0.25">
      <c r="B337" t="s">
        <v>283</v>
      </c>
      <c r="C337" t="s">
        <v>50</v>
      </c>
      <c r="D337" t="s">
        <v>229</v>
      </c>
      <c r="E337" t="s">
        <v>128</v>
      </c>
      <c r="F337">
        <v>-566.66666666666663</v>
      </c>
      <c r="G337">
        <v>-566.66666666666663</v>
      </c>
      <c r="H337">
        <v>-566.66666666666663</v>
      </c>
      <c r="I337">
        <v>-566.66666666666663</v>
      </c>
      <c r="J337">
        <v>-566.66666666666663</v>
      </c>
      <c r="K337">
        <v>-566.66666666666663</v>
      </c>
      <c r="L337">
        <v>-566.66666666666663</v>
      </c>
      <c r="M337">
        <v>-566.66666666666663</v>
      </c>
      <c r="N337">
        <v>-566.66666666666663</v>
      </c>
      <c r="O337">
        <v>-566.66666666666663</v>
      </c>
      <c r="P337">
        <v>-566.66666666666663</v>
      </c>
      <c r="Q337">
        <v>-566.66666666666663</v>
      </c>
      <c r="R337">
        <f t="shared" si="73"/>
        <v>3853333.3333333326</v>
      </c>
    </row>
    <row r="338" spans="2:18" x14ac:dyDescent="0.25">
      <c r="B338" t="s">
        <v>283</v>
      </c>
      <c r="C338" t="s">
        <v>126</v>
      </c>
      <c r="D338" t="s">
        <v>229</v>
      </c>
      <c r="E338" t="s">
        <v>175</v>
      </c>
      <c r="F338">
        <v>-541.66666666666663</v>
      </c>
      <c r="G338">
        <v>-541.66666666666663</v>
      </c>
      <c r="H338">
        <v>-541.66666666666663</v>
      </c>
      <c r="I338">
        <v>-541.66666666666663</v>
      </c>
      <c r="J338">
        <v>-541.66666666666663</v>
      </c>
      <c r="K338">
        <v>-541.66666666666663</v>
      </c>
      <c r="L338">
        <v>-541.66666666666663</v>
      </c>
      <c r="M338">
        <v>-541.66666666666663</v>
      </c>
      <c r="N338">
        <v>-541.66666666666663</v>
      </c>
      <c r="O338">
        <v>-541.66666666666663</v>
      </c>
      <c r="P338">
        <v>-541.66666666666663</v>
      </c>
      <c r="Q338">
        <v>-541.66666666666663</v>
      </c>
      <c r="R338">
        <f t="shared" si="73"/>
        <v>3520833.333333334</v>
      </c>
    </row>
    <row r="339" spans="2:18" x14ac:dyDescent="0.25">
      <c r="B339" t="s">
        <v>283</v>
      </c>
      <c r="C339" t="s">
        <v>126</v>
      </c>
      <c r="D339" t="s">
        <v>229</v>
      </c>
      <c r="E339" t="s">
        <v>159</v>
      </c>
      <c r="F339">
        <v>-13482.25</v>
      </c>
      <c r="G339">
        <v>-13482.25</v>
      </c>
      <c r="H339">
        <v>-13482.25</v>
      </c>
      <c r="I339">
        <v>-13482.25</v>
      </c>
      <c r="J339">
        <v>-13482.25</v>
      </c>
      <c r="K339">
        <v>-13482.25</v>
      </c>
      <c r="L339">
        <v>-13482.25</v>
      </c>
      <c r="M339">
        <v>-13482.25</v>
      </c>
      <c r="N339">
        <v>-13482.25</v>
      </c>
      <c r="O339">
        <v>-13482.25</v>
      </c>
      <c r="P339">
        <v>-13482.25</v>
      </c>
      <c r="Q339">
        <v>-13482.25</v>
      </c>
      <c r="R339">
        <f t="shared" si="73"/>
        <v>2181252780.75</v>
      </c>
    </row>
    <row r="340" spans="2:18" x14ac:dyDescent="0.25">
      <c r="B340" t="s">
        <v>283</v>
      </c>
      <c r="C340" t="s">
        <v>64</v>
      </c>
      <c r="D340" t="s">
        <v>229</v>
      </c>
      <c r="E340" t="s">
        <v>128</v>
      </c>
      <c r="F340">
        <v>-1148.2467592592593</v>
      </c>
      <c r="G340">
        <v>-1148.2467592592593</v>
      </c>
      <c r="H340">
        <v>-1148.2467592592593</v>
      </c>
      <c r="I340">
        <v>-1148.2467592592593</v>
      </c>
      <c r="J340">
        <v>-1148.2467592592593</v>
      </c>
      <c r="K340">
        <v>-1148.2467592592593</v>
      </c>
      <c r="L340">
        <v>-1148.2467592592593</v>
      </c>
      <c r="M340">
        <v>-1148.2467592592593</v>
      </c>
      <c r="N340">
        <v>-1148.2467592592593</v>
      </c>
      <c r="O340">
        <v>-1148.2467592592593</v>
      </c>
      <c r="P340">
        <v>-1148.2467592592593</v>
      </c>
      <c r="Q340">
        <v>-1148.2467592592593</v>
      </c>
      <c r="R340">
        <f t="shared" si="73"/>
        <v>15821647.441792695</v>
      </c>
    </row>
    <row r="341" spans="2:18" x14ac:dyDescent="0.25">
      <c r="B341" t="s">
        <v>284</v>
      </c>
      <c r="C341" t="s">
        <v>64</v>
      </c>
      <c r="D341" t="s">
        <v>228</v>
      </c>
      <c r="E341" t="s">
        <v>128</v>
      </c>
      <c r="F341">
        <v>-56.246833333333335</v>
      </c>
      <c r="G341">
        <v>-56.246833333333335</v>
      </c>
      <c r="H341">
        <v>-56.246833333333335</v>
      </c>
      <c r="I341">
        <v>-56.246833333333335</v>
      </c>
      <c r="J341">
        <v>-56.246833333333335</v>
      </c>
      <c r="K341">
        <v>-56.246833333333335</v>
      </c>
      <c r="L341">
        <v>-56.246833333333335</v>
      </c>
      <c r="M341">
        <v>-56.246833333333335</v>
      </c>
      <c r="N341">
        <v>-56.246833333333335</v>
      </c>
      <c r="O341">
        <v>-56.246833333333335</v>
      </c>
      <c r="P341">
        <v>-56.246833333333335</v>
      </c>
      <c r="Q341">
        <v>-56.246833333333335</v>
      </c>
      <c r="R341">
        <f t="shared" si="73"/>
        <v>37964.475120333336</v>
      </c>
    </row>
    <row r="342" spans="2:18" x14ac:dyDescent="0.25">
      <c r="B342" t="s">
        <v>285</v>
      </c>
      <c r="C342" t="s">
        <v>18</v>
      </c>
      <c r="D342" t="s">
        <v>199</v>
      </c>
      <c r="E342" t="s">
        <v>128</v>
      </c>
      <c r="F342">
        <v>-55583.333333333336</v>
      </c>
      <c r="G342">
        <v>-55583.333333333336</v>
      </c>
      <c r="H342">
        <v>-55583.333333333336</v>
      </c>
      <c r="I342">
        <v>-55583.333333333336</v>
      </c>
      <c r="J342">
        <v>-55583.333333333336</v>
      </c>
      <c r="K342">
        <v>-55583.333333333336</v>
      </c>
      <c r="L342">
        <v>-55583.333333333336</v>
      </c>
      <c r="M342">
        <v>-55583.333333333336</v>
      </c>
      <c r="N342">
        <v>-55583.333333333336</v>
      </c>
      <c r="O342">
        <v>-55583.333333333336</v>
      </c>
      <c r="P342">
        <v>-55583.333333333336</v>
      </c>
      <c r="Q342">
        <v>-55583.333333333336</v>
      </c>
      <c r="R342">
        <f t="shared" si="73"/>
        <v>37074083333.333328</v>
      </c>
    </row>
    <row r="343" spans="2:18" x14ac:dyDescent="0.25">
      <c r="B343" t="s">
        <v>285</v>
      </c>
      <c r="C343" t="s">
        <v>20</v>
      </c>
      <c r="D343" t="s">
        <v>199</v>
      </c>
      <c r="E343" t="s">
        <v>128</v>
      </c>
      <c r="F343">
        <v>-8333.3333333333339</v>
      </c>
      <c r="G343">
        <v>-8333.3333333333339</v>
      </c>
      <c r="H343">
        <v>-8333.3333333333339</v>
      </c>
      <c r="I343">
        <v>-8333.3333333333339</v>
      </c>
      <c r="J343">
        <v>-8333.3333333333339</v>
      </c>
      <c r="K343">
        <v>-8333.3333333333339</v>
      </c>
      <c r="L343">
        <v>-8333.3333333333339</v>
      </c>
      <c r="M343">
        <v>-8333.3333333333339</v>
      </c>
      <c r="N343">
        <v>-8333.3333333333339</v>
      </c>
      <c r="O343">
        <v>-8333.3333333333339</v>
      </c>
      <c r="P343">
        <v>-8333.3333333333339</v>
      </c>
      <c r="Q343">
        <v>-8333.3333333333339</v>
      </c>
      <c r="R343">
        <f t="shared" si="73"/>
        <v>833333333.33333313</v>
      </c>
    </row>
    <row r="344" spans="2:18" x14ac:dyDescent="0.25">
      <c r="B344" t="s">
        <v>285</v>
      </c>
      <c r="C344" t="s">
        <v>68</v>
      </c>
      <c r="D344" t="s">
        <v>199</v>
      </c>
      <c r="E344" t="s">
        <v>128</v>
      </c>
      <c r="F344">
        <v>-75000</v>
      </c>
      <c r="G344">
        <v>-75000</v>
      </c>
      <c r="H344">
        <v>-75000</v>
      </c>
      <c r="I344">
        <v>-75000</v>
      </c>
      <c r="J344">
        <v>-75000</v>
      </c>
      <c r="K344">
        <v>-75000</v>
      </c>
      <c r="L344">
        <v>-75000</v>
      </c>
      <c r="M344">
        <v>-75000</v>
      </c>
      <c r="N344">
        <v>-75000</v>
      </c>
      <c r="O344">
        <v>-75000</v>
      </c>
      <c r="P344">
        <v>-75000</v>
      </c>
      <c r="Q344">
        <v>-75000</v>
      </c>
      <c r="R344">
        <f t="shared" si="73"/>
        <v>67500000000</v>
      </c>
    </row>
    <row r="345" spans="2:18" x14ac:dyDescent="0.25">
      <c r="B345" t="s">
        <v>285</v>
      </c>
      <c r="C345" t="s">
        <v>67</v>
      </c>
      <c r="D345" t="s">
        <v>199</v>
      </c>
      <c r="E345" t="s">
        <v>128</v>
      </c>
      <c r="F345">
        <v>-25833.333333333332</v>
      </c>
      <c r="G345">
        <v>-25833.333333333332</v>
      </c>
      <c r="H345">
        <v>-25833.333333333332</v>
      </c>
      <c r="I345">
        <v>-25833.333333333332</v>
      </c>
      <c r="J345">
        <v>-25833.333333333332</v>
      </c>
      <c r="K345">
        <v>-25833.333333333332</v>
      </c>
      <c r="L345">
        <v>-25833.333333333332</v>
      </c>
      <c r="M345">
        <v>-25833.333333333332</v>
      </c>
      <c r="N345">
        <v>-25833.333333333332</v>
      </c>
      <c r="O345">
        <v>-25833.333333333332</v>
      </c>
      <c r="P345">
        <v>-25833.333333333332</v>
      </c>
      <c r="Q345">
        <v>-25833.333333333332</v>
      </c>
      <c r="R345">
        <f t="shared" ref="R345:R363" si="74">SUMSQ(F345,G345,H345,I345,J345,K345,L345,M345,N345,O345,P345,Q345)</f>
        <v>8008333333.3333311</v>
      </c>
    </row>
    <row r="346" spans="2:18" x14ac:dyDescent="0.25">
      <c r="B346" t="s">
        <v>285</v>
      </c>
      <c r="C346" t="s">
        <v>143</v>
      </c>
      <c r="D346" t="s">
        <v>199</v>
      </c>
      <c r="E346" t="s">
        <v>286</v>
      </c>
      <c r="F346">
        <v>-6750000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f t="shared" si="74"/>
        <v>45562500000000</v>
      </c>
    </row>
    <row r="347" spans="2:18" x14ac:dyDescent="0.25">
      <c r="B347" t="s">
        <v>285</v>
      </c>
      <c r="C347" t="s">
        <v>143</v>
      </c>
      <c r="D347" t="s">
        <v>199</v>
      </c>
      <c r="E347" t="s">
        <v>128</v>
      </c>
      <c r="F347">
        <v>-25000</v>
      </c>
      <c r="G347">
        <v>-25000</v>
      </c>
      <c r="H347">
        <v>-25000</v>
      </c>
      <c r="I347">
        <v>-25000</v>
      </c>
      <c r="J347">
        <v>-25000</v>
      </c>
      <c r="K347">
        <v>-25000</v>
      </c>
      <c r="L347">
        <v>-25000</v>
      </c>
      <c r="M347">
        <v>-25000</v>
      </c>
      <c r="N347">
        <v>-25000</v>
      </c>
      <c r="O347">
        <v>-25000</v>
      </c>
      <c r="P347">
        <v>-25000</v>
      </c>
      <c r="Q347">
        <v>-25000</v>
      </c>
      <c r="R347">
        <f t="shared" si="74"/>
        <v>7500000000</v>
      </c>
    </row>
    <row r="348" spans="2:18" x14ac:dyDescent="0.25">
      <c r="B348" t="s">
        <v>285</v>
      </c>
      <c r="C348" t="s">
        <v>22</v>
      </c>
      <c r="D348" t="s">
        <v>199</v>
      </c>
      <c r="E348" t="s">
        <v>77</v>
      </c>
      <c r="F348">
        <v>-58333.333333333336</v>
      </c>
      <c r="G348">
        <v>-58333.333333333336</v>
      </c>
      <c r="H348">
        <v>-58333.333333333336</v>
      </c>
      <c r="I348">
        <v>-58333.333333333336</v>
      </c>
      <c r="J348">
        <v>-58333.333333333336</v>
      </c>
      <c r="K348">
        <v>-58333.333333333336</v>
      </c>
      <c r="L348">
        <v>-58333.333333333336</v>
      </c>
      <c r="M348">
        <v>-58333.333333333336</v>
      </c>
      <c r="N348">
        <v>-58333.333333333336</v>
      </c>
      <c r="O348">
        <v>-58333.333333333336</v>
      </c>
      <c r="P348">
        <v>-58333.333333333336</v>
      </c>
      <c r="Q348">
        <v>-58333.333333333336</v>
      </c>
      <c r="R348">
        <f t="shared" si="74"/>
        <v>40833333333.333336</v>
      </c>
    </row>
    <row r="349" spans="2:18" x14ac:dyDescent="0.25">
      <c r="B349" t="s">
        <v>285</v>
      </c>
      <c r="C349" t="s">
        <v>22</v>
      </c>
      <c r="D349" t="s">
        <v>199</v>
      </c>
      <c r="E349" t="s">
        <v>128</v>
      </c>
      <c r="F349">
        <v>-5000</v>
      </c>
      <c r="G349">
        <v>-5000</v>
      </c>
      <c r="H349">
        <v>-5000</v>
      </c>
      <c r="I349">
        <v>-5000</v>
      </c>
      <c r="J349">
        <v>-5000</v>
      </c>
      <c r="K349">
        <v>-5000</v>
      </c>
      <c r="L349">
        <v>-5000</v>
      </c>
      <c r="M349">
        <v>-5000</v>
      </c>
      <c r="N349">
        <v>-5000</v>
      </c>
      <c r="O349">
        <v>-5000</v>
      </c>
      <c r="P349">
        <v>-5000</v>
      </c>
      <c r="Q349">
        <v>-5000</v>
      </c>
      <c r="R349">
        <f t="shared" si="74"/>
        <v>300000000</v>
      </c>
    </row>
    <row r="350" spans="2:18" x14ac:dyDescent="0.25">
      <c r="B350" t="s">
        <v>285</v>
      </c>
      <c r="C350" t="s">
        <v>135</v>
      </c>
      <c r="D350" t="s">
        <v>129</v>
      </c>
      <c r="E350" t="s">
        <v>154</v>
      </c>
      <c r="F350">
        <v>-14416.666666666666</v>
      </c>
      <c r="G350">
        <v>-14416.666666666666</v>
      </c>
      <c r="H350">
        <v>-14416.666666666666</v>
      </c>
      <c r="I350">
        <v>-14416.666666666666</v>
      </c>
      <c r="J350">
        <v>-14416.666666666666</v>
      </c>
      <c r="K350">
        <v>-14416.666666666666</v>
      </c>
      <c r="L350">
        <v>-14416.666666666666</v>
      </c>
      <c r="M350">
        <v>-14416.666666666666</v>
      </c>
      <c r="N350">
        <v>-14416.666666666666</v>
      </c>
      <c r="O350">
        <v>-14416.666666666666</v>
      </c>
      <c r="P350">
        <v>-14416.666666666666</v>
      </c>
      <c r="Q350">
        <v>-14416.666666666666</v>
      </c>
      <c r="R350">
        <f t="shared" si="74"/>
        <v>2494083333.3333325</v>
      </c>
    </row>
    <row r="351" spans="2:18" x14ac:dyDescent="0.25">
      <c r="B351" t="s">
        <v>285</v>
      </c>
      <c r="C351" t="s">
        <v>144</v>
      </c>
      <c r="D351" t="s">
        <v>199</v>
      </c>
      <c r="E351" t="s">
        <v>128</v>
      </c>
      <c r="F351">
        <v>-60833.333333333336</v>
      </c>
      <c r="G351">
        <v>-60833.333333333336</v>
      </c>
      <c r="H351">
        <v>-60833.333333333336</v>
      </c>
      <c r="I351">
        <v>-60833.333333333336</v>
      </c>
      <c r="J351">
        <v>-60833.333333333336</v>
      </c>
      <c r="K351">
        <v>-60833.333333333336</v>
      </c>
      <c r="L351">
        <v>-60833.333333333336</v>
      </c>
      <c r="M351">
        <v>-60833.333333333336</v>
      </c>
      <c r="N351">
        <v>-60833.333333333336</v>
      </c>
      <c r="O351">
        <v>-60833.333333333336</v>
      </c>
      <c r="P351">
        <v>-60833.333333333336</v>
      </c>
      <c r="Q351">
        <v>-60833.333333333336</v>
      </c>
      <c r="R351">
        <f t="shared" si="74"/>
        <v>44408333333.333321</v>
      </c>
    </row>
    <row r="352" spans="2:18" x14ac:dyDescent="0.25">
      <c r="B352" t="s">
        <v>285</v>
      </c>
      <c r="C352" t="s">
        <v>99</v>
      </c>
      <c r="D352" t="s">
        <v>199</v>
      </c>
      <c r="E352" t="s">
        <v>137</v>
      </c>
      <c r="F352">
        <v>63333.333333333336</v>
      </c>
      <c r="G352">
        <v>63333.333333333336</v>
      </c>
      <c r="H352">
        <v>63333.333333333336</v>
      </c>
      <c r="I352">
        <v>63333.333333333336</v>
      </c>
      <c r="J352">
        <v>63333.333333333336</v>
      </c>
      <c r="K352">
        <v>63333.333333333336</v>
      </c>
      <c r="L352">
        <v>63333.333333333336</v>
      </c>
      <c r="M352">
        <v>63333.333333333336</v>
      </c>
      <c r="N352">
        <v>63333.333333333336</v>
      </c>
      <c r="O352">
        <v>63333.333333333336</v>
      </c>
      <c r="P352">
        <v>63333.333333333336</v>
      </c>
      <c r="Q352">
        <v>63333.333333333336</v>
      </c>
      <c r="R352">
        <f t="shared" si="74"/>
        <v>48133333333.333344</v>
      </c>
    </row>
    <row r="353" spans="2:18" x14ac:dyDescent="0.25">
      <c r="B353" t="s">
        <v>285</v>
      </c>
      <c r="C353" t="s">
        <v>99</v>
      </c>
      <c r="D353" t="s">
        <v>199</v>
      </c>
      <c r="E353" t="s">
        <v>69</v>
      </c>
      <c r="F353">
        <v>666.66666666666663</v>
      </c>
      <c r="G353">
        <v>666.66666666666663</v>
      </c>
      <c r="H353">
        <v>666.66666666666663</v>
      </c>
      <c r="I353">
        <v>666.66666666666663</v>
      </c>
      <c r="J353">
        <v>666.66666666666663</v>
      </c>
      <c r="K353">
        <v>666.66666666666663</v>
      </c>
      <c r="L353">
        <v>666.66666666666663</v>
      </c>
      <c r="M353">
        <v>666.66666666666663</v>
      </c>
      <c r="N353">
        <v>666.66666666666663</v>
      </c>
      <c r="O353">
        <v>666.66666666666663</v>
      </c>
      <c r="P353">
        <v>666.66666666666663</v>
      </c>
      <c r="Q353">
        <v>666.66666666666663</v>
      </c>
      <c r="R353">
        <f t="shared" si="74"/>
        <v>5333333.3333333321</v>
      </c>
    </row>
    <row r="354" spans="2:18" x14ac:dyDescent="0.25">
      <c r="B354" t="s">
        <v>285</v>
      </c>
      <c r="C354" t="s">
        <v>99</v>
      </c>
      <c r="D354" t="s">
        <v>199</v>
      </c>
      <c r="E354" t="s">
        <v>44</v>
      </c>
      <c r="F354">
        <v>9000</v>
      </c>
      <c r="G354">
        <v>9000</v>
      </c>
      <c r="H354">
        <v>9000</v>
      </c>
      <c r="I354">
        <v>9000</v>
      </c>
      <c r="J354">
        <v>9000</v>
      </c>
      <c r="K354">
        <v>9000</v>
      </c>
      <c r="L354">
        <v>9000</v>
      </c>
      <c r="M354">
        <v>9000</v>
      </c>
      <c r="N354">
        <v>9000</v>
      </c>
      <c r="O354">
        <v>9000</v>
      </c>
      <c r="P354">
        <v>9000</v>
      </c>
      <c r="Q354">
        <v>9000</v>
      </c>
      <c r="R354">
        <f t="shared" si="74"/>
        <v>972000000</v>
      </c>
    </row>
    <row r="355" spans="2:18" x14ac:dyDescent="0.25">
      <c r="B355" t="s">
        <v>285</v>
      </c>
      <c r="C355" t="s">
        <v>99</v>
      </c>
      <c r="D355" t="s">
        <v>199</v>
      </c>
      <c r="E355" t="s">
        <v>9</v>
      </c>
      <c r="F355">
        <v>250</v>
      </c>
      <c r="G355">
        <v>250</v>
      </c>
      <c r="H355">
        <v>250</v>
      </c>
      <c r="I355">
        <v>250</v>
      </c>
      <c r="J355">
        <v>250</v>
      </c>
      <c r="K355">
        <v>250</v>
      </c>
      <c r="L355">
        <v>250</v>
      </c>
      <c r="M355">
        <v>250</v>
      </c>
      <c r="N355">
        <v>250</v>
      </c>
      <c r="O355">
        <v>250</v>
      </c>
      <c r="P355">
        <v>250</v>
      </c>
      <c r="Q355">
        <v>250</v>
      </c>
      <c r="R355">
        <f t="shared" si="74"/>
        <v>750000</v>
      </c>
    </row>
    <row r="356" spans="2:18" x14ac:dyDescent="0.25">
      <c r="B356" t="s">
        <v>285</v>
      </c>
      <c r="C356" t="s">
        <v>99</v>
      </c>
      <c r="D356" t="s">
        <v>199</v>
      </c>
      <c r="E356" t="s">
        <v>134</v>
      </c>
      <c r="F356">
        <v>1000</v>
      </c>
      <c r="G356">
        <v>1000</v>
      </c>
      <c r="H356">
        <v>1000</v>
      </c>
      <c r="I356">
        <v>1000</v>
      </c>
      <c r="J356">
        <v>1000</v>
      </c>
      <c r="K356">
        <v>1000</v>
      </c>
      <c r="L356">
        <v>1000</v>
      </c>
      <c r="M356">
        <v>1000</v>
      </c>
      <c r="N356">
        <v>1000</v>
      </c>
      <c r="O356">
        <v>1000</v>
      </c>
      <c r="P356">
        <v>1000</v>
      </c>
      <c r="Q356">
        <v>1000</v>
      </c>
      <c r="R356">
        <f t="shared" si="74"/>
        <v>12000000</v>
      </c>
    </row>
    <row r="357" spans="2:18" x14ac:dyDescent="0.25">
      <c r="B357" t="s">
        <v>285</v>
      </c>
      <c r="C357" t="s">
        <v>99</v>
      </c>
      <c r="D357" t="s">
        <v>199</v>
      </c>
      <c r="E357" t="s">
        <v>74</v>
      </c>
      <c r="F357">
        <v>250</v>
      </c>
      <c r="G357">
        <v>250</v>
      </c>
      <c r="H357">
        <v>250</v>
      </c>
      <c r="I357">
        <v>250</v>
      </c>
      <c r="J357">
        <v>250</v>
      </c>
      <c r="K357">
        <v>250</v>
      </c>
      <c r="L357">
        <v>250</v>
      </c>
      <c r="M357">
        <v>250</v>
      </c>
      <c r="N357">
        <v>250</v>
      </c>
      <c r="O357">
        <v>250</v>
      </c>
      <c r="P357">
        <v>250</v>
      </c>
      <c r="Q357">
        <v>250</v>
      </c>
      <c r="R357">
        <f t="shared" si="74"/>
        <v>750000</v>
      </c>
    </row>
    <row r="358" spans="2:18" x14ac:dyDescent="0.25">
      <c r="B358" t="s">
        <v>285</v>
      </c>
      <c r="C358" t="s">
        <v>99</v>
      </c>
      <c r="D358" t="s">
        <v>199</v>
      </c>
      <c r="E358" t="s">
        <v>10</v>
      </c>
      <c r="F358">
        <v>333.33333333333331</v>
      </c>
      <c r="G358">
        <v>333.33333333333331</v>
      </c>
      <c r="H358">
        <v>333.33333333333331</v>
      </c>
      <c r="I358">
        <v>333.33333333333331</v>
      </c>
      <c r="J358">
        <v>333.33333333333331</v>
      </c>
      <c r="K358">
        <v>333.33333333333331</v>
      </c>
      <c r="L358">
        <v>333.33333333333331</v>
      </c>
      <c r="M358">
        <v>333.33333333333331</v>
      </c>
      <c r="N358">
        <v>333.33333333333331</v>
      </c>
      <c r="O358">
        <v>333.33333333333331</v>
      </c>
      <c r="P358">
        <v>333.33333333333331</v>
      </c>
      <c r="Q358">
        <v>333.33333333333331</v>
      </c>
      <c r="R358">
        <f t="shared" si="74"/>
        <v>1333333.333333333</v>
      </c>
    </row>
    <row r="359" spans="2:18" x14ac:dyDescent="0.25">
      <c r="B359" t="s">
        <v>285</v>
      </c>
      <c r="C359" t="s">
        <v>99</v>
      </c>
      <c r="D359" t="s">
        <v>199</v>
      </c>
      <c r="E359" t="s">
        <v>141</v>
      </c>
      <c r="F359">
        <v>166.66666666666666</v>
      </c>
      <c r="G359">
        <v>166.66666666666666</v>
      </c>
      <c r="H359">
        <v>166.66666666666666</v>
      </c>
      <c r="I359">
        <v>166.66666666666666</v>
      </c>
      <c r="J359">
        <v>166.66666666666666</v>
      </c>
      <c r="K359">
        <v>166.66666666666666</v>
      </c>
      <c r="L359">
        <v>166.66666666666666</v>
      </c>
      <c r="M359">
        <v>166.66666666666666</v>
      </c>
      <c r="N359">
        <v>166.66666666666666</v>
      </c>
      <c r="O359">
        <v>166.66666666666666</v>
      </c>
      <c r="P359">
        <v>166.66666666666666</v>
      </c>
      <c r="Q359">
        <v>166.66666666666666</v>
      </c>
      <c r="R359">
        <f t="shared" si="74"/>
        <v>333333.33333333326</v>
      </c>
    </row>
    <row r="360" spans="2:18" x14ac:dyDescent="0.25">
      <c r="B360" t="s">
        <v>285</v>
      </c>
      <c r="C360" t="s">
        <v>99</v>
      </c>
      <c r="D360" t="s">
        <v>199</v>
      </c>
      <c r="E360" t="s">
        <v>75</v>
      </c>
      <c r="F360">
        <v>1166.6666666666667</v>
      </c>
      <c r="G360">
        <v>1166.6666666666667</v>
      </c>
      <c r="H360">
        <v>1166.6666666666667</v>
      </c>
      <c r="I360">
        <v>1166.6666666666667</v>
      </c>
      <c r="J360">
        <v>1166.6666666666667</v>
      </c>
      <c r="K360">
        <v>1166.6666666666667</v>
      </c>
      <c r="L360">
        <v>1166.6666666666667</v>
      </c>
      <c r="M360">
        <v>1166.6666666666667</v>
      </c>
      <c r="N360">
        <v>1166.6666666666667</v>
      </c>
      <c r="O360">
        <v>1166.6666666666667</v>
      </c>
      <c r="P360">
        <v>1166.6666666666667</v>
      </c>
      <c r="Q360">
        <v>1166.6666666666667</v>
      </c>
      <c r="R360">
        <f t="shared" si="74"/>
        <v>16333333.333333338</v>
      </c>
    </row>
    <row r="361" spans="2:18" x14ac:dyDescent="0.25">
      <c r="B361" t="s">
        <v>285</v>
      </c>
      <c r="C361" t="s">
        <v>99</v>
      </c>
      <c r="D361" t="s">
        <v>199</v>
      </c>
      <c r="E361" t="s">
        <v>136</v>
      </c>
      <c r="F361">
        <v>166.66666666666666</v>
      </c>
      <c r="G361">
        <v>166.66666666666666</v>
      </c>
      <c r="H361">
        <v>166.66666666666666</v>
      </c>
      <c r="I361">
        <v>166.66666666666666</v>
      </c>
      <c r="J361">
        <v>166.66666666666666</v>
      </c>
      <c r="K361">
        <v>166.66666666666666</v>
      </c>
      <c r="L361">
        <v>166.66666666666666</v>
      </c>
      <c r="M361">
        <v>166.66666666666666</v>
      </c>
      <c r="N361">
        <v>166.66666666666666</v>
      </c>
      <c r="O361">
        <v>166.66666666666666</v>
      </c>
      <c r="P361">
        <v>166.66666666666666</v>
      </c>
      <c r="Q361">
        <v>166.66666666666666</v>
      </c>
      <c r="R361">
        <f t="shared" si="74"/>
        <v>333333.33333333326</v>
      </c>
    </row>
    <row r="362" spans="2:18" x14ac:dyDescent="0.25">
      <c r="B362" t="s">
        <v>285</v>
      </c>
      <c r="C362" t="s">
        <v>99</v>
      </c>
      <c r="D362" t="s">
        <v>199</v>
      </c>
      <c r="E362" t="s">
        <v>31</v>
      </c>
      <c r="F362">
        <v>250</v>
      </c>
      <c r="G362">
        <v>250</v>
      </c>
      <c r="H362">
        <v>250</v>
      </c>
      <c r="I362">
        <v>250</v>
      </c>
      <c r="J362">
        <v>250</v>
      </c>
      <c r="K362">
        <v>250</v>
      </c>
      <c r="L362">
        <v>250</v>
      </c>
      <c r="M362">
        <v>250</v>
      </c>
      <c r="N362">
        <v>250</v>
      </c>
      <c r="O362">
        <v>250</v>
      </c>
      <c r="P362">
        <v>250</v>
      </c>
      <c r="Q362">
        <v>250</v>
      </c>
      <c r="R362">
        <f t="shared" si="74"/>
        <v>750000</v>
      </c>
    </row>
    <row r="363" spans="2:18" x14ac:dyDescent="0.25">
      <c r="B363" t="s">
        <v>285</v>
      </c>
      <c r="C363" t="s">
        <v>99</v>
      </c>
      <c r="D363" t="s">
        <v>199</v>
      </c>
      <c r="E363" t="s">
        <v>15</v>
      </c>
      <c r="F363">
        <v>166.66666666666666</v>
      </c>
      <c r="G363">
        <v>166.66666666666666</v>
      </c>
      <c r="H363">
        <v>166.66666666666666</v>
      </c>
      <c r="I363">
        <v>166.66666666666666</v>
      </c>
      <c r="J363">
        <v>166.66666666666666</v>
      </c>
      <c r="K363">
        <v>166.66666666666666</v>
      </c>
      <c r="L363">
        <v>166.66666666666666</v>
      </c>
      <c r="M363">
        <v>166.66666666666666</v>
      </c>
      <c r="N363">
        <v>166.66666666666666</v>
      </c>
      <c r="O363">
        <v>166.66666666666666</v>
      </c>
      <c r="P363">
        <v>166.66666666666666</v>
      </c>
      <c r="Q363">
        <v>166.66666666666666</v>
      </c>
      <c r="R363">
        <f t="shared" si="74"/>
        <v>333333.33333333326</v>
      </c>
    </row>
    <row r="364" spans="2:18" x14ac:dyDescent="0.25">
      <c r="B364" t="s">
        <v>287</v>
      </c>
      <c r="C364" t="s">
        <v>18</v>
      </c>
      <c r="D364" t="s">
        <v>199</v>
      </c>
      <c r="E364" t="s">
        <v>128</v>
      </c>
      <c r="F364">
        <v>-86906.536666666667</v>
      </c>
      <c r="G364">
        <v>-86906.536666666667</v>
      </c>
      <c r="H364">
        <v>-336906.53666666668</v>
      </c>
      <c r="K364">
        <v>-250000</v>
      </c>
      <c r="N364">
        <v>-250000</v>
      </c>
      <c r="Q364">
        <v>-250000</v>
      </c>
      <c r="R364">
        <f t="shared" ref="R364:R366" si="75">SUMSQ(F364,G364,H364,I364,J364,K364,L364,M364,N364,O364,P364,Q364)</f>
        <v>316111506679.5174</v>
      </c>
    </row>
    <row r="365" spans="2:18" x14ac:dyDescent="0.25">
      <c r="B365" t="s">
        <v>287</v>
      </c>
      <c r="C365" t="s">
        <v>22</v>
      </c>
      <c r="D365" t="s">
        <v>199</v>
      </c>
      <c r="E365" t="s">
        <v>128</v>
      </c>
      <c r="F365">
        <v>-5000</v>
      </c>
      <c r="G365">
        <v>-5000</v>
      </c>
      <c r="H365">
        <v>-5000</v>
      </c>
      <c r="I365">
        <v>-5000</v>
      </c>
      <c r="J365">
        <v>-5000</v>
      </c>
      <c r="K365">
        <v>-5000</v>
      </c>
      <c r="L365">
        <v>-5000</v>
      </c>
      <c r="M365">
        <v>-5000</v>
      </c>
      <c r="N365">
        <v>-5000</v>
      </c>
      <c r="O365">
        <v>-5000</v>
      </c>
      <c r="P365">
        <v>-5000</v>
      </c>
      <c r="Q365">
        <v>-5000</v>
      </c>
      <c r="R365">
        <f t="shared" si="75"/>
        <v>300000000</v>
      </c>
    </row>
    <row r="366" spans="2:18" x14ac:dyDescent="0.25">
      <c r="B366" t="s">
        <v>288</v>
      </c>
      <c r="C366" t="s">
        <v>8</v>
      </c>
      <c r="D366" t="s">
        <v>199</v>
      </c>
      <c r="E366" t="s">
        <v>128</v>
      </c>
      <c r="F366">
        <v>-81806.310833333337</v>
      </c>
      <c r="G366">
        <v>-81806.310833333337</v>
      </c>
      <c r="H366">
        <v>-81806.310833333337</v>
      </c>
      <c r="I366">
        <v>-81806.310833333337</v>
      </c>
      <c r="J366">
        <v>-81806.310833333337</v>
      </c>
      <c r="K366">
        <v>-81806.310833333337</v>
      </c>
      <c r="L366">
        <v>-81806.310833333337</v>
      </c>
      <c r="M366">
        <v>-81806.310833333337</v>
      </c>
      <c r="N366">
        <v>-81806.310833333337</v>
      </c>
      <c r="O366">
        <v>-81806.310833333337</v>
      </c>
      <c r="P366">
        <v>-81806.310833333337</v>
      </c>
      <c r="Q366">
        <v>-81806.310833333337</v>
      </c>
      <c r="R366">
        <f t="shared" si="75"/>
        <v>80307269905.919418</v>
      </c>
    </row>
    <row r="367" spans="2:18" x14ac:dyDescent="0.25">
      <c r="B367" t="s">
        <v>288</v>
      </c>
      <c r="C367" t="s">
        <v>127</v>
      </c>
      <c r="D367" t="s">
        <v>199</v>
      </c>
      <c r="E367" t="s">
        <v>14</v>
      </c>
      <c r="F367">
        <v>58222.503333333334</v>
      </c>
      <c r="G367">
        <v>58222.503333333334</v>
      </c>
      <c r="H367">
        <v>58222.503333333334</v>
      </c>
      <c r="I367">
        <v>58222.503333333334</v>
      </c>
      <c r="J367">
        <v>58222.503333333334</v>
      </c>
      <c r="K367">
        <v>58222.503333333334</v>
      </c>
      <c r="L367">
        <v>58222.503333333334</v>
      </c>
      <c r="M367">
        <v>58222.503333333334</v>
      </c>
      <c r="N367">
        <v>58222.503333333334</v>
      </c>
      <c r="O367">
        <v>58222.503333333334</v>
      </c>
      <c r="P367">
        <v>58222.503333333334</v>
      </c>
      <c r="Q367">
        <v>58222.503333333334</v>
      </c>
      <c r="R367">
        <f t="shared" ref="R367:R372" si="76">SUMSQ(F367,G367,H367,I367,J367,K367,L367,M367,N367,O367,P367,Q367)</f>
        <v>40678318732.800125</v>
      </c>
    </row>
    <row r="368" spans="2:18" x14ac:dyDescent="0.25">
      <c r="B368" t="s">
        <v>288</v>
      </c>
      <c r="C368" t="s">
        <v>127</v>
      </c>
      <c r="D368" t="s">
        <v>199</v>
      </c>
      <c r="E368" t="s">
        <v>140</v>
      </c>
      <c r="F368">
        <v>6003.1866666666674</v>
      </c>
      <c r="G368">
        <v>6003.1866666666674</v>
      </c>
      <c r="H368">
        <v>6003.1866666666674</v>
      </c>
      <c r="I368">
        <v>6003.1866666666674</v>
      </c>
      <c r="J368">
        <v>6003.1866666666674</v>
      </c>
      <c r="K368">
        <v>6003.1866666666674</v>
      </c>
      <c r="L368">
        <v>6003.1866666666674</v>
      </c>
      <c r="M368">
        <v>6003.1866666666674</v>
      </c>
      <c r="N368">
        <v>6003.1866666666674</v>
      </c>
      <c r="O368">
        <v>6003.1866666666674</v>
      </c>
      <c r="P368">
        <v>6003.1866666666674</v>
      </c>
      <c r="Q368">
        <v>6003.1866666666674</v>
      </c>
      <c r="R368">
        <f t="shared" si="76"/>
        <v>432459001.85813349</v>
      </c>
    </row>
    <row r="369" spans="2:18" x14ac:dyDescent="0.25">
      <c r="B369" t="s">
        <v>288</v>
      </c>
      <c r="C369" t="s">
        <v>127</v>
      </c>
      <c r="D369" t="s">
        <v>199</v>
      </c>
      <c r="E369" t="s">
        <v>204</v>
      </c>
      <c r="F369">
        <v>17580.62</v>
      </c>
      <c r="G369">
        <v>17580.62</v>
      </c>
      <c r="H369">
        <v>17580.62</v>
      </c>
      <c r="I369">
        <v>17580.62</v>
      </c>
      <c r="J369">
        <v>17580.62</v>
      </c>
      <c r="K369">
        <v>17580.62</v>
      </c>
      <c r="L369">
        <v>17580.62</v>
      </c>
      <c r="M369">
        <v>17580.62</v>
      </c>
      <c r="N369">
        <v>17580.62</v>
      </c>
      <c r="O369">
        <v>17580.62</v>
      </c>
      <c r="P369">
        <v>17580.62</v>
      </c>
      <c r="Q369">
        <v>17580.62</v>
      </c>
      <c r="R369">
        <f t="shared" si="76"/>
        <v>3708938395.0128002</v>
      </c>
    </row>
    <row r="370" spans="2:18" x14ac:dyDescent="0.25">
      <c r="B370" t="s">
        <v>289</v>
      </c>
      <c r="C370" t="s">
        <v>8</v>
      </c>
      <c r="D370" t="s">
        <v>199</v>
      </c>
      <c r="E370" t="s">
        <v>128</v>
      </c>
      <c r="F370">
        <v>-37737.004166666666</v>
      </c>
      <c r="G370">
        <v>-37737.004166666666</v>
      </c>
      <c r="H370">
        <v>-37737.004166666666</v>
      </c>
      <c r="I370">
        <v>-37737.004166666666</v>
      </c>
      <c r="J370">
        <v>-37737.004166666666</v>
      </c>
      <c r="K370">
        <v>-37737.004166666666</v>
      </c>
      <c r="L370">
        <v>-37737.004166666666</v>
      </c>
      <c r="M370">
        <v>-37737.004166666666</v>
      </c>
      <c r="N370">
        <v>-37737.004166666666</v>
      </c>
      <c r="O370">
        <v>-37737.004166666666</v>
      </c>
      <c r="P370">
        <v>-37737.004166666666</v>
      </c>
      <c r="Q370">
        <v>-37737.004166666666</v>
      </c>
      <c r="R370">
        <f t="shared" si="76"/>
        <v>17088977801.700209</v>
      </c>
    </row>
    <row r="371" spans="2:18" x14ac:dyDescent="0.25">
      <c r="B371" t="s">
        <v>289</v>
      </c>
      <c r="C371" t="s">
        <v>127</v>
      </c>
      <c r="D371" t="s">
        <v>199</v>
      </c>
      <c r="E371" t="s">
        <v>65</v>
      </c>
      <c r="F371">
        <v>37737.004166666666</v>
      </c>
      <c r="G371">
        <v>37737.004166666666</v>
      </c>
      <c r="H371">
        <v>37737.004166666666</v>
      </c>
      <c r="I371">
        <v>37737.004166666666</v>
      </c>
      <c r="J371">
        <v>37737.004166666666</v>
      </c>
      <c r="K371">
        <v>37737.004166666666</v>
      </c>
      <c r="L371">
        <v>37737.004166666666</v>
      </c>
      <c r="M371">
        <v>37737.004166666666</v>
      </c>
      <c r="N371">
        <v>37737.004166666666</v>
      </c>
      <c r="O371">
        <v>37737.004166666666</v>
      </c>
      <c r="P371">
        <v>37737.004166666666</v>
      </c>
      <c r="Q371">
        <v>37737.004166666666</v>
      </c>
      <c r="R371">
        <f t="shared" si="76"/>
        <v>17088977801.700209</v>
      </c>
    </row>
    <row r="372" spans="2:18" x14ac:dyDescent="0.25">
      <c r="B372" t="s">
        <v>290</v>
      </c>
      <c r="C372" t="s">
        <v>8</v>
      </c>
      <c r="D372" t="s">
        <v>199</v>
      </c>
      <c r="E372" t="s">
        <v>128</v>
      </c>
      <c r="F372">
        <v>-63335.109999999993</v>
      </c>
      <c r="G372">
        <v>-63335.109999999993</v>
      </c>
      <c r="H372">
        <v>-63335.109999999993</v>
      </c>
      <c r="I372">
        <v>-63335.109999999993</v>
      </c>
      <c r="J372">
        <v>-63335.109999999993</v>
      </c>
      <c r="K372">
        <v>-63335.109999999993</v>
      </c>
      <c r="L372">
        <v>-63335.109999999993</v>
      </c>
      <c r="M372">
        <v>-63335.109999999993</v>
      </c>
      <c r="N372">
        <v>-63335.109999999993</v>
      </c>
      <c r="O372">
        <v>-63335.109999999993</v>
      </c>
      <c r="P372">
        <v>-63335.109999999993</v>
      </c>
      <c r="Q372">
        <v>-63335.109999999993</v>
      </c>
      <c r="R372">
        <f t="shared" si="76"/>
        <v>48136033904.545174</v>
      </c>
    </row>
    <row r="373" spans="2:18" x14ac:dyDescent="0.25">
      <c r="B373" t="s">
        <v>290</v>
      </c>
      <c r="C373" t="s">
        <v>127</v>
      </c>
      <c r="D373" t="s">
        <v>199</v>
      </c>
      <c r="E373" t="s">
        <v>76</v>
      </c>
      <c r="F373">
        <v>6193.9458333333341</v>
      </c>
      <c r="G373">
        <v>6193.9458333333341</v>
      </c>
      <c r="H373">
        <v>6193.9458333333341</v>
      </c>
      <c r="I373">
        <v>6193.9458333333341</v>
      </c>
      <c r="J373">
        <v>6193.9458333333341</v>
      </c>
      <c r="K373">
        <v>6193.9458333333341</v>
      </c>
      <c r="L373">
        <v>6193.9458333333341</v>
      </c>
      <c r="M373">
        <v>6193.9458333333341</v>
      </c>
      <c r="N373">
        <v>6193.9458333333341</v>
      </c>
      <c r="O373">
        <v>6193.9458333333341</v>
      </c>
      <c r="P373">
        <v>6193.9458333333341</v>
      </c>
      <c r="Q373">
        <v>6193.9458333333341</v>
      </c>
      <c r="R373">
        <f t="shared" ref="R373:R384" si="77">SUMSQ(F373,G373,H373,I373,J373,K373,L373,M373,N373,O373,P373,Q373)</f>
        <v>460379579.83520859</v>
      </c>
    </row>
    <row r="374" spans="2:18" x14ac:dyDescent="0.25">
      <c r="B374" t="s">
        <v>290</v>
      </c>
      <c r="C374" t="s">
        <v>127</v>
      </c>
      <c r="D374" t="s">
        <v>199</v>
      </c>
      <c r="E374" t="s">
        <v>9</v>
      </c>
      <c r="F374">
        <v>4502.4483333333328</v>
      </c>
      <c r="G374">
        <v>4502.4483333333328</v>
      </c>
      <c r="H374">
        <v>4502.4483333333328</v>
      </c>
      <c r="I374">
        <v>4502.4483333333328</v>
      </c>
      <c r="J374">
        <v>4502.4483333333328</v>
      </c>
      <c r="K374">
        <v>4502.4483333333328</v>
      </c>
      <c r="L374">
        <v>4502.4483333333328</v>
      </c>
      <c r="M374">
        <v>4502.4483333333328</v>
      </c>
      <c r="N374">
        <v>4502.4483333333328</v>
      </c>
      <c r="O374">
        <v>4502.4483333333328</v>
      </c>
      <c r="P374">
        <v>4502.4483333333328</v>
      </c>
      <c r="Q374">
        <v>4502.4483333333328</v>
      </c>
      <c r="R374">
        <f t="shared" si="77"/>
        <v>243264491.93203321</v>
      </c>
    </row>
    <row r="375" spans="2:18" x14ac:dyDescent="0.25">
      <c r="B375" t="s">
        <v>290</v>
      </c>
      <c r="C375" t="s">
        <v>127</v>
      </c>
      <c r="D375" t="s">
        <v>199</v>
      </c>
      <c r="E375" t="s">
        <v>134</v>
      </c>
      <c r="F375">
        <v>8268.9549999999999</v>
      </c>
      <c r="G375">
        <v>8268.9549999999999</v>
      </c>
      <c r="H375">
        <v>8268.9549999999999</v>
      </c>
      <c r="I375">
        <v>8268.9549999999999</v>
      </c>
      <c r="J375">
        <v>8268.9549999999999</v>
      </c>
      <c r="K375">
        <v>8268.9549999999999</v>
      </c>
      <c r="L375">
        <v>8268.9549999999999</v>
      </c>
      <c r="M375">
        <v>8268.9549999999999</v>
      </c>
      <c r="N375">
        <v>8268.9549999999999</v>
      </c>
      <c r="O375">
        <v>8268.9549999999999</v>
      </c>
      <c r="P375">
        <v>8268.9549999999999</v>
      </c>
      <c r="Q375">
        <v>8268.9549999999999</v>
      </c>
      <c r="R375">
        <f t="shared" si="77"/>
        <v>820507401.50429976</v>
      </c>
    </row>
    <row r="376" spans="2:18" x14ac:dyDescent="0.25">
      <c r="B376" t="s">
        <v>290</v>
      </c>
      <c r="C376" t="s">
        <v>127</v>
      </c>
      <c r="D376" t="s">
        <v>199</v>
      </c>
      <c r="E376" t="s">
        <v>74</v>
      </c>
      <c r="F376">
        <v>13810.282500000001</v>
      </c>
      <c r="G376">
        <v>13810.282500000001</v>
      </c>
      <c r="H376">
        <v>13810.282500000001</v>
      </c>
      <c r="I376">
        <v>13810.282500000001</v>
      </c>
      <c r="J376">
        <v>13810.282500000001</v>
      </c>
      <c r="K376">
        <v>13810.282500000001</v>
      </c>
      <c r="L376">
        <v>13810.282500000001</v>
      </c>
      <c r="M376">
        <v>13810.282500000001</v>
      </c>
      <c r="N376">
        <v>13810.282500000001</v>
      </c>
      <c r="O376">
        <v>13810.282500000001</v>
      </c>
      <c r="P376">
        <v>13810.282500000001</v>
      </c>
      <c r="Q376">
        <v>13810.282500000001</v>
      </c>
      <c r="R376">
        <f t="shared" si="77"/>
        <v>2288686832.7576747</v>
      </c>
    </row>
    <row r="377" spans="2:18" x14ac:dyDescent="0.25">
      <c r="B377" t="s">
        <v>290</v>
      </c>
      <c r="C377" t="s">
        <v>127</v>
      </c>
      <c r="D377" t="s">
        <v>199</v>
      </c>
      <c r="E377" t="s">
        <v>10</v>
      </c>
      <c r="F377">
        <v>15469.219166666668</v>
      </c>
      <c r="G377">
        <v>15469.219166666668</v>
      </c>
      <c r="H377">
        <v>15469.219166666668</v>
      </c>
      <c r="I377">
        <v>15469.219166666668</v>
      </c>
      <c r="J377">
        <v>15469.219166666668</v>
      </c>
      <c r="K377">
        <v>15469.219166666668</v>
      </c>
      <c r="L377">
        <v>15469.219166666668</v>
      </c>
      <c r="M377">
        <v>15469.219166666668</v>
      </c>
      <c r="N377">
        <v>15469.219166666668</v>
      </c>
      <c r="O377">
        <v>15469.219166666668</v>
      </c>
      <c r="P377">
        <v>15469.219166666668</v>
      </c>
      <c r="Q377">
        <v>15469.219166666668</v>
      </c>
      <c r="R377">
        <f t="shared" si="77"/>
        <v>2871560899.5164089</v>
      </c>
    </row>
    <row r="378" spans="2:18" x14ac:dyDescent="0.25">
      <c r="B378" t="s">
        <v>290</v>
      </c>
      <c r="C378" t="s">
        <v>127</v>
      </c>
      <c r="D378" t="s">
        <v>199</v>
      </c>
      <c r="E378" t="s">
        <v>141</v>
      </c>
      <c r="F378">
        <v>6877.1125000000002</v>
      </c>
      <c r="G378">
        <v>6877.1125000000002</v>
      </c>
      <c r="H378">
        <v>6877.1125000000002</v>
      </c>
      <c r="I378">
        <v>6877.1125000000002</v>
      </c>
      <c r="J378">
        <v>6877.1125000000002</v>
      </c>
      <c r="K378">
        <v>6877.1125000000002</v>
      </c>
      <c r="L378">
        <v>6877.1125000000002</v>
      </c>
      <c r="M378">
        <v>6877.1125000000002</v>
      </c>
      <c r="N378">
        <v>6877.1125000000002</v>
      </c>
      <c r="O378">
        <v>6877.1125000000002</v>
      </c>
      <c r="P378">
        <v>6877.1125000000002</v>
      </c>
      <c r="Q378">
        <v>6877.1125000000002</v>
      </c>
      <c r="R378">
        <f t="shared" si="77"/>
        <v>567536116.051875</v>
      </c>
    </row>
    <row r="379" spans="2:18" x14ac:dyDescent="0.25">
      <c r="B379" t="s">
        <v>290</v>
      </c>
      <c r="C379" t="s">
        <v>127</v>
      </c>
      <c r="D379" t="s">
        <v>199</v>
      </c>
      <c r="E379" t="s">
        <v>75</v>
      </c>
      <c r="F379">
        <v>5975.0516666666663</v>
      </c>
      <c r="G379">
        <v>5975.0516666666663</v>
      </c>
      <c r="H379">
        <v>5975.0516666666663</v>
      </c>
      <c r="I379">
        <v>5975.0516666666663</v>
      </c>
      <c r="J379">
        <v>5975.0516666666663</v>
      </c>
      <c r="K379">
        <v>5975.0516666666663</v>
      </c>
      <c r="L379">
        <v>5975.0516666666663</v>
      </c>
      <c r="M379">
        <v>5975.0516666666663</v>
      </c>
      <c r="N379">
        <v>5975.0516666666663</v>
      </c>
      <c r="O379">
        <v>5975.0516666666663</v>
      </c>
      <c r="P379">
        <v>5975.0516666666663</v>
      </c>
      <c r="Q379">
        <v>5975.0516666666663</v>
      </c>
      <c r="R379">
        <f t="shared" si="77"/>
        <v>428414909.03203315</v>
      </c>
    </row>
    <row r="380" spans="2:18" x14ac:dyDescent="0.25">
      <c r="B380" t="s">
        <v>291</v>
      </c>
      <c r="C380" t="s">
        <v>8</v>
      </c>
      <c r="D380" t="s">
        <v>199</v>
      </c>
      <c r="E380" t="s">
        <v>128</v>
      </c>
      <c r="F380">
        <v>-18820.935833333333</v>
      </c>
      <c r="G380">
        <v>-18820.935833333333</v>
      </c>
      <c r="H380">
        <v>-18820.935833333333</v>
      </c>
      <c r="I380">
        <v>-18820.935833333333</v>
      </c>
      <c r="J380">
        <v>-18820.935833333333</v>
      </c>
      <c r="K380">
        <v>-18820.935833333333</v>
      </c>
      <c r="L380">
        <v>-18820.935833333333</v>
      </c>
      <c r="M380">
        <v>-18820.935833333333</v>
      </c>
      <c r="N380">
        <v>-18820.935833333333</v>
      </c>
      <c r="O380">
        <v>-18820.935833333333</v>
      </c>
      <c r="P380">
        <v>-18820.935833333333</v>
      </c>
      <c r="Q380">
        <v>-18820.935833333333</v>
      </c>
      <c r="R380">
        <f t="shared" si="77"/>
        <v>4250731507.7094092</v>
      </c>
    </row>
    <row r="381" spans="2:18" x14ac:dyDescent="0.25">
      <c r="B381" t="s">
        <v>291</v>
      </c>
      <c r="C381" t="s">
        <v>127</v>
      </c>
      <c r="D381" t="s">
        <v>199</v>
      </c>
      <c r="E381" t="s">
        <v>44</v>
      </c>
      <c r="F381">
        <v>18820.935833333333</v>
      </c>
      <c r="G381">
        <v>18820.935833333333</v>
      </c>
      <c r="H381">
        <v>18820.935833333333</v>
      </c>
      <c r="I381">
        <v>18820.935833333333</v>
      </c>
      <c r="J381">
        <v>18820.935833333333</v>
      </c>
      <c r="K381">
        <v>18820.935833333333</v>
      </c>
      <c r="L381">
        <v>18820.935833333333</v>
      </c>
      <c r="M381">
        <v>18820.935833333333</v>
      </c>
      <c r="N381">
        <v>18820.935833333333</v>
      </c>
      <c r="O381">
        <v>18820.935833333333</v>
      </c>
      <c r="P381">
        <v>18820.935833333333</v>
      </c>
      <c r="Q381">
        <v>18820.935833333333</v>
      </c>
      <c r="R381">
        <f t="shared" si="77"/>
        <v>4250731507.7094092</v>
      </c>
    </row>
    <row r="382" spans="2:18" x14ac:dyDescent="0.25">
      <c r="B382" t="s">
        <v>292</v>
      </c>
      <c r="C382" t="s">
        <v>96</v>
      </c>
      <c r="D382" t="s">
        <v>199</v>
      </c>
      <c r="E382" t="s">
        <v>14</v>
      </c>
      <c r="F382">
        <v>2119666.6666666665</v>
      </c>
      <c r="G382">
        <v>2119666.6666666665</v>
      </c>
      <c r="H382">
        <v>2119666.6666666665</v>
      </c>
      <c r="I382">
        <v>2119666.6666666665</v>
      </c>
      <c r="J382">
        <v>2119666.6666666665</v>
      </c>
      <c r="K382">
        <v>2119666.6666666665</v>
      </c>
      <c r="L382">
        <v>2119666.6666666665</v>
      </c>
      <c r="M382">
        <v>2119666.6666666665</v>
      </c>
      <c r="N382">
        <v>2119666.6666666665</v>
      </c>
      <c r="O382">
        <v>2119666.6666666665</v>
      </c>
      <c r="P382">
        <v>2119666.6666666665</v>
      </c>
      <c r="Q382">
        <v>2119666.6666666665</v>
      </c>
      <c r="R382">
        <f t="shared" si="77"/>
        <v>53915841333333.344</v>
      </c>
    </row>
    <row r="383" spans="2:18" x14ac:dyDescent="0.25">
      <c r="B383" t="s">
        <v>292</v>
      </c>
      <c r="C383" t="s">
        <v>96</v>
      </c>
      <c r="D383" t="s">
        <v>199</v>
      </c>
      <c r="E383" t="s">
        <v>69</v>
      </c>
      <c r="F383">
        <v>69916.666666666672</v>
      </c>
      <c r="G383">
        <v>69916.666666666672</v>
      </c>
      <c r="H383">
        <v>69916.666666666672</v>
      </c>
      <c r="I383">
        <v>69916.666666666672</v>
      </c>
      <c r="J383">
        <v>69916.666666666672</v>
      </c>
      <c r="K383">
        <v>69916.666666666672</v>
      </c>
      <c r="L383">
        <v>69916.666666666672</v>
      </c>
      <c r="M383">
        <v>69916.666666666672</v>
      </c>
      <c r="N383">
        <v>69916.666666666672</v>
      </c>
      <c r="O383">
        <v>69916.666666666672</v>
      </c>
      <c r="P383">
        <v>69916.666666666672</v>
      </c>
      <c r="Q383">
        <v>69916.666666666672</v>
      </c>
      <c r="R383">
        <f t="shared" si="77"/>
        <v>58660083333.333344</v>
      </c>
    </row>
    <row r="384" spans="2:18" x14ac:dyDescent="0.25">
      <c r="B384" t="s">
        <v>292</v>
      </c>
      <c r="C384" t="s">
        <v>96</v>
      </c>
      <c r="D384" t="s">
        <v>199</v>
      </c>
      <c r="E384" t="s">
        <v>76</v>
      </c>
      <c r="F384">
        <v>9583.3333333333339</v>
      </c>
      <c r="G384">
        <v>9583.3333333333339</v>
      </c>
      <c r="H384">
        <v>9583.3333333333339</v>
      </c>
      <c r="I384">
        <v>9583.3333333333339</v>
      </c>
      <c r="J384">
        <v>9583.3333333333339</v>
      </c>
      <c r="K384">
        <v>9583.3333333333339</v>
      </c>
      <c r="L384">
        <v>9583.3333333333339</v>
      </c>
      <c r="M384">
        <v>9583.3333333333339</v>
      </c>
      <c r="N384">
        <v>9583.3333333333339</v>
      </c>
      <c r="O384">
        <v>9583.3333333333339</v>
      </c>
      <c r="P384">
        <v>9583.3333333333339</v>
      </c>
      <c r="Q384">
        <v>9583.3333333333339</v>
      </c>
      <c r="R384">
        <f t="shared" si="77"/>
        <v>1102083333.3333335</v>
      </c>
    </row>
    <row r="385" spans="2:18" x14ac:dyDescent="0.25">
      <c r="B385" t="s">
        <v>292</v>
      </c>
      <c r="C385" t="s">
        <v>96</v>
      </c>
      <c r="D385" t="s">
        <v>199</v>
      </c>
      <c r="E385" t="s">
        <v>9</v>
      </c>
      <c r="F385">
        <v>106833.33333333333</v>
      </c>
      <c r="G385">
        <v>106833.33333333333</v>
      </c>
      <c r="H385">
        <v>106833.33333333333</v>
      </c>
      <c r="I385">
        <v>106833.33333333333</v>
      </c>
      <c r="J385">
        <v>106833.33333333333</v>
      </c>
      <c r="K385">
        <v>106833.33333333333</v>
      </c>
      <c r="L385">
        <v>106833.33333333333</v>
      </c>
      <c r="M385">
        <v>106833.33333333333</v>
      </c>
      <c r="N385">
        <v>106833.33333333333</v>
      </c>
      <c r="O385">
        <v>106833.33333333333</v>
      </c>
      <c r="P385">
        <v>106833.33333333333</v>
      </c>
      <c r="Q385">
        <v>106833.33333333333</v>
      </c>
      <c r="R385">
        <f t="shared" ref="R385:R407" si="78">SUMSQ(F385,G385,H385,I385,J385,K385,L385,M385,N385,O385,P385,Q385)</f>
        <v>136960333333.33336</v>
      </c>
    </row>
    <row r="386" spans="2:18" x14ac:dyDescent="0.25">
      <c r="B386" t="s">
        <v>292</v>
      </c>
      <c r="C386" t="s">
        <v>96</v>
      </c>
      <c r="D386" t="s">
        <v>199</v>
      </c>
      <c r="E386" t="s">
        <v>134</v>
      </c>
      <c r="F386">
        <v>468083.33333333331</v>
      </c>
      <c r="G386">
        <v>468083.33333333331</v>
      </c>
      <c r="H386">
        <v>468083.33333333331</v>
      </c>
      <c r="I386">
        <v>468083.33333333331</v>
      </c>
      <c r="J386">
        <v>468083.33333333331</v>
      </c>
      <c r="K386">
        <v>468083.33333333331</v>
      </c>
      <c r="L386">
        <v>468083.33333333331</v>
      </c>
      <c r="M386">
        <v>468083.33333333331</v>
      </c>
      <c r="N386">
        <v>468083.33333333331</v>
      </c>
      <c r="O386">
        <v>468083.33333333331</v>
      </c>
      <c r="P386">
        <v>468083.33333333331</v>
      </c>
      <c r="Q386">
        <v>468083.33333333331</v>
      </c>
      <c r="R386">
        <f t="shared" si="78"/>
        <v>2629224083333.3325</v>
      </c>
    </row>
    <row r="387" spans="2:18" x14ac:dyDescent="0.25">
      <c r="B387" t="s">
        <v>292</v>
      </c>
      <c r="C387" t="s">
        <v>96</v>
      </c>
      <c r="D387" t="s">
        <v>199</v>
      </c>
      <c r="E387" t="s">
        <v>152</v>
      </c>
      <c r="F387">
        <v>9083.3333333333339</v>
      </c>
      <c r="G387">
        <v>9083.3333333333339</v>
      </c>
      <c r="H387">
        <v>9083.3333333333339</v>
      </c>
      <c r="I387">
        <v>9083.3333333333339</v>
      </c>
      <c r="J387">
        <v>9083.3333333333339</v>
      </c>
      <c r="K387">
        <v>9083.3333333333339</v>
      </c>
      <c r="L387">
        <v>9083.3333333333339</v>
      </c>
      <c r="M387">
        <v>9083.3333333333339</v>
      </c>
      <c r="N387">
        <v>9083.3333333333339</v>
      </c>
      <c r="O387">
        <v>9083.3333333333339</v>
      </c>
      <c r="P387">
        <v>9083.3333333333339</v>
      </c>
      <c r="Q387">
        <v>9083.3333333333339</v>
      </c>
      <c r="R387">
        <f t="shared" si="78"/>
        <v>990083333.33333337</v>
      </c>
    </row>
    <row r="388" spans="2:18" x14ac:dyDescent="0.25">
      <c r="B388" t="s">
        <v>292</v>
      </c>
      <c r="C388" t="s">
        <v>96</v>
      </c>
      <c r="D388" t="s">
        <v>199</v>
      </c>
      <c r="E388" t="s">
        <v>200</v>
      </c>
      <c r="F388">
        <v>29166.666666666668</v>
      </c>
      <c r="G388">
        <v>29166.666666666668</v>
      </c>
      <c r="H388">
        <v>29166.666666666668</v>
      </c>
      <c r="I388">
        <v>29166.666666666668</v>
      </c>
      <c r="J388">
        <v>29166.666666666668</v>
      </c>
      <c r="K388">
        <v>29166.666666666668</v>
      </c>
      <c r="L388">
        <v>29166.666666666668</v>
      </c>
      <c r="M388">
        <v>29166.666666666668</v>
      </c>
      <c r="N388">
        <v>29166.666666666668</v>
      </c>
      <c r="O388">
        <v>29166.666666666668</v>
      </c>
      <c r="P388">
        <v>29166.666666666668</v>
      </c>
      <c r="Q388">
        <v>29166.666666666668</v>
      </c>
      <c r="R388">
        <f t="shared" si="78"/>
        <v>10208333333.333334</v>
      </c>
    </row>
    <row r="389" spans="2:18" x14ac:dyDescent="0.25">
      <c r="B389" t="s">
        <v>292</v>
      </c>
      <c r="C389" t="s">
        <v>96</v>
      </c>
      <c r="D389" t="s">
        <v>199</v>
      </c>
      <c r="E389" t="s">
        <v>70</v>
      </c>
      <c r="F389">
        <v>31333.333333333332</v>
      </c>
      <c r="G389">
        <v>31333.333333333332</v>
      </c>
      <c r="H389">
        <v>31333.333333333332</v>
      </c>
      <c r="I389">
        <v>31333.333333333332</v>
      </c>
      <c r="J389">
        <v>31333.333333333332</v>
      </c>
      <c r="K389">
        <v>31333.333333333332</v>
      </c>
      <c r="L389">
        <v>31333.333333333332</v>
      </c>
      <c r="M389">
        <v>31333.333333333332</v>
      </c>
      <c r="N389">
        <v>31333.333333333332</v>
      </c>
      <c r="O389">
        <v>31333.333333333332</v>
      </c>
      <c r="P389">
        <v>31333.333333333332</v>
      </c>
      <c r="Q389">
        <v>31333.333333333332</v>
      </c>
      <c r="R389">
        <f t="shared" si="78"/>
        <v>11781333333.333336</v>
      </c>
    </row>
    <row r="390" spans="2:18" x14ac:dyDescent="0.25">
      <c r="B390" t="s">
        <v>292</v>
      </c>
      <c r="C390" t="s">
        <v>96</v>
      </c>
      <c r="D390" t="s">
        <v>199</v>
      </c>
      <c r="E390" t="s">
        <v>201</v>
      </c>
      <c r="F390">
        <v>24166.666666666668</v>
      </c>
      <c r="G390">
        <v>24166.666666666668</v>
      </c>
      <c r="H390">
        <v>24166.666666666668</v>
      </c>
      <c r="I390">
        <v>24166.666666666668</v>
      </c>
      <c r="J390">
        <v>24166.666666666668</v>
      </c>
      <c r="K390">
        <v>24166.666666666668</v>
      </c>
      <c r="L390">
        <v>24166.666666666668</v>
      </c>
      <c r="M390">
        <v>24166.666666666668</v>
      </c>
      <c r="N390">
        <v>24166.666666666668</v>
      </c>
      <c r="O390">
        <v>24166.666666666668</v>
      </c>
      <c r="P390">
        <v>24166.666666666668</v>
      </c>
      <c r="Q390">
        <v>24166.666666666668</v>
      </c>
      <c r="R390">
        <f t="shared" si="78"/>
        <v>7008333333.333333</v>
      </c>
    </row>
    <row r="391" spans="2:18" x14ac:dyDescent="0.25">
      <c r="B391" t="s">
        <v>292</v>
      </c>
      <c r="C391" t="s">
        <v>96</v>
      </c>
      <c r="D391" t="s">
        <v>199</v>
      </c>
      <c r="E391" t="s">
        <v>139</v>
      </c>
      <c r="F391">
        <v>5750</v>
      </c>
      <c r="G391">
        <v>5750</v>
      </c>
      <c r="H391">
        <v>5750</v>
      </c>
      <c r="I391">
        <v>5750</v>
      </c>
      <c r="J391">
        <v>5750</v>
      </c>
      <c r="K391">
        <v>5750</v>
      </c>
      <c r="L391">
        <v>5750</v>
      </c>
      <c r="M391">
        <v>5750</v>
      </c>
      <c r="N391">
        <v>5750</v>
      </c>
      <c r="O391">
        <v>5750</v>
      </c>
      <c r="P391">
        <v>5750</v>
      </c>
      <c r="Q391">
        <v>5750</v>
      </c>
      <c r="R391">
        <f t="shared" si="78"/>
        <v>396750000</v>
      </c>
    </row>
    <row r="392" spans="2:18" x14ac:dyDescent="0.25">
      <c r="B392" t="s">
        <v>292</v>
      </c>
      <c r="C392" t="s">
        <v>96</v>
      </c>
      <c r="D392" t="s">
        <v>199</v>
      </c>
      <c r="E392" t="s">
        <v>74</v>
      </c>
      <c r="F392">
        <v>51416.666666666664</v>
      </c>
      <c r="G392">
        <v>51416.666666666664</v>
      </c>
      <c r="H392">
        <v>51416.666666666664</v>
      </c>
      <c r="I392">
        <v>51416.666666666664</v>
      </c>
      <c r="J392">
        <v>51416.666666666664</v>
      </c>
      <c r="K392">
        <v>51416.666666666664</v>
      </c>
      <c r="L392">
        <v>51416.666666666664</v>
      </c>
      <c r="M392">
        <v>51416.666666666664</v>
      </c>
      <c r="N392">
        <v>51416.666666666664</v>
      </c>
      <c r="O392">
        <v>51416.666666666664</v>
      </c>
      <c r="P392">
        <v>51416.666666666664</v>
      </c>
      <c r="Q392">
        <v>51416.666666666664</v>
      </c>
      <c r="R392">
        <f t="shared" si="78"/>
        <v>31724083333.333328</v>
      </c>
    </row>
    <row r="393" spans="2:18" x14ac:dyDescent="0.25">
      <c r="B393" t="s">
        <v>292</v>
      </c>
      <c r="C393" t="s">
        <v>96</v>
      </c>
      <c r="D393" t="s">
        <v>199</v>
      </c>
      <c r="E393" t="s">
        <v>202</v>
      </c>
      <c r="F393">
        <v>9416.6666666666661</v>
      </c>
      <c r="G393">
        <v>9416.6666666666661</v>
      </c>
      <c r="H393">
        <v>9416.6666666666661</v>
      </c>
      <c r="I393">
        <v>9416.6666666666661</v>
      </c>
      <c r="J393">
        <v>9416.6666666666661</v>
      </c>
      <c r="K393">
        <v>9416.6666666666661</v>
      </c>
      <c r="L393">
        <v>9416.6666666666661</v>
      </c>
      <c r="M393">
        <v>9416.6666666666661</v>
      </c>
      <c r="N393">
        <v>9416.6666666666661</v>
      </c>
      <c r="O393">
        <v>9416.6666666666661</v>
      </c>
      <c r="P393">
        <v>9416.6666666666661</v>
      </c>
      <c r="Q393">
        <v>9416.6666666666661</v>
      </c>
      <c r="R393">
        <f t="shared" si="78"/>
        <v>1064083333.3333335</v>
      </c>
    </row>
    <row r="394" spans="2:18" x14ac:dyDescent="0.25">
      <c r="B394" t="s">
        <v>292</v>
      </c>
      <c r="C394" t="s">
        <v>96</v>
      </c>
      <c r="D394" t="s">
        <v>199</v>
      </c>
      <c r="E394" t="s">
        <v>10</v>
      </c>
      <c r="F394">
        <v>911250</v>
      </c>
      <c r="G394">
        <v>911250</v>
      </c>
      <c r="H394">
        <v>911250</v>
      </c>
      <c r="I394">
        <v>911250</v>
      </c>
      <c r="J394">
        <v>911250</v>
      </c>
      <c r="K394">
        <v>911250</v>
      </c>
      <c r="L394">
        <v>911250</v>
      </c>
      <c r="M394">
        <v>911250</v>
      </c>
      <c r="N394">
        <v>911250</v>
      </c>
      <c r="O394">
        <v>911250</v>
      </c>
      <c r="P394">
        <v>911250</v>
      </c>
      <c r="Q394">
        <v>911250</v>
      </c>
      <c r="R394">
        <f t="shared" si="78"/>
        <v>9964518750000</v>
      </c>
    </row>
    <row r="395" spans="2:18" x14ac:dyDescent="0.25">
      <c r="B395" t="s">
        <v>292</v>
      </c>
      <c r="C395" t="s">
        <v>96</v>
      </c>
      <c r="D395" t="s">
        <v>199</v>
      </c>
      <c r="E395" t="s">
        <v>141</v>
      </c>
      <c r="F395">
        <v>88000</v>
      </c>
      <c r="G395">
        <v>88000</v>
      </c>
      <c r="H395">
        <v>88000</v>
      </c>
      <c r="I395">
        <v>88000</v>
      </c>
      <c r="J395">
        <v>88000</v>
      </c>
      <c r="K395">
        <v>88000</v>
      </c>
      <c r="L395">
        <v>88000</v>
      </c>
      <c r="M395">
        <v>88000</v>
      </c>
      <c r="N395">
        <v>88000</v>
      </c>
      <c r="O395">
        <v>88000</v>
      </c>
      <c r="P395">
        <v>88000</v>
      </c>
      <c r="Q395">
        <v>88000</v>
      </c>
      <c r="R395">
        <f t="shared" si="78"/>
        <v>92928000000</v>
      </c>
    </row>
    <row r="396" spans="2:18" x14ac:dyDescent="0.25">
      <c r="B396" t="s">
        <v>292</v>
      </c>
      <c r="C396" t="s">
        <v>96</v>
      </c>
      <c r="D396" t="s">
        <v>199</v>
      </c>
      <c r="E396" t="s">
        <v>75</v>
      </c>
      <c r="F396">
        <v>686416.66666666663</v>
      </c>
      <c r="G396">
        <v>686416.66666666663</v>
      </c>
      <c r="H396">
        <v>686416.66666666663</v>
      </c>
      <c r="I396">
        <v>686416.66666666663</v>
      </c>
      <c r="J396">
        <v>686416.66666666663</v>
      </c>
      <c r="K396">
        <v>686416.66666666663</v>
      </c>
      <c r="L396">
        <v>686416.66666666663</v>
      </c>
      <c r="M396">
        <v>686416.66666666663</v>
      </c>
      <c r="N396">
        <v>686416.66666666663</v>
      </c>
      <c r="O396">
        <v>686416.66666666663</v>
      </c>
      <c r="P396">
        <v>686416.66666666663</v>
      </c>
      <c r="Q396">
        <v>686416.66666666663</v>
      </c>
      <c r="R396">
        <f t="shared" si="78"/>
        <v>5654014083333.332</v>
      </c>
    </row>
    <row r="397" spans="2:18" x14ac:dyDescent="0.25">
      <c r="B397" t="s">
        <v>292</v>
      </c>
      <c r="C397" t="s">
        <v>96</v>
      </c>
      <c r="D397" t="s">
        <v>199</v>
      </c>
      <c r="E397" t="s">
        <v>136</v>
      </c>
      <c r="F397">
        <v>15750</v>
      </c>
      <c r="G397">
        <v>15750</v>
      </c>
      <c r="H397">
        <v>15750</v>
      </c>
      <c r="I397">
        <v>15750</v>
      </c>
      <c r="J397">
        <v>15750</v>
      </c>
      <c r="K397">
        <v>15750</v>
      </c>
      <c r="L397">
        <v>15750</v>
      </c>
      <c r="M397">
        <v>15750</v>
      </c>
      <c r="N397">
        <v>15750</v>
      </c>
      <c r="O397">
        <v>15750</v>
      </c>
      <c r="P397">
        <v>15750</v>
      </c>
      <c r="Q397">
        <v>15750</v>
      </c>
      <c r="R397">
        <f t="shared" si="78"/>
        <v>2976750000</v>
      </c>
    </row>
    <row r="398" spans="2:18" x14ac:dyDescent="0.25">
      <c r="B398" t="s">
        <v>292</v>
      </c>
      <c r="C398" t="s">
        <v>96</v>
      </c>
      <c r="D398" t="s">
        <v>199</v>
      </c>
      <c r="E398" t="s">
        <v>98</v>
      </c>
      <c r="F398">
        <v>56083.333333333336</v>
      </c>
      <c r="G398">
        <v>56083.333333333336</v>
      </c>
      <c r="H398">
        <v>56083.333333333336</v>
      </c>
      <c r="I398">
        <v>56083.333333333336</v>
      </c>
      <c r="J398">
        <v>56083.333333333336</v>
      </c>
      <c r="K398">
        <v>56083.333333333336</v>
      </c>
      <c r="L398">
        <v>56083.333333333336</v>
      </c>
      <c r="M398">
        <v>56083.333333333336</v>
      </c>
      <c r="N398">
        <v>56083.333333333336</v>
      </c>
      <c r="O398">
        <v>56083.333333333336</v>
      </c>
      <c r="P398">
        <v>56083.333333333336</v>
      </c>
      <c r="Q398">
        <v>56083.333333333336</v>
      </c>
      <c r="R398">
        <f t="shared" si="78"/>
        <v>37744083333.333336</v>
      </c>
    </row>
    <row r="399" spans="2:18" x14ac:dyDescent="0.25">
      <c r="B399" t="s">
        <v>292</v>
      </c>
      <c r="C399" t="s">
        <v>96</v>
      </c>
      <c r="D399" t="s">
        <v>199</v>
      </c>
      <c r="E399" t="s">
        <v>31</v>
      </c>
      <c r="F399">
        <v>487833.33333333331</v>
      </c>
      <c r="G399">
        <v>487833.33333333331</v>
      </c>
      <c r="H399">
        <v>487833.33333333331</v>
      </c>
      <c r="I399">
        <v>487833.33333333331</v>
      </c>
      <c r="J399">
        <v>487833.33333333331</v>
      </c>
      <c r="K399">
        <v>487833.33333333331</v>
      </c>
      <c r="L399">
        <v>487833.33333333331</v>
      </c>
      <c r="M399">
        <v>487833.33333333331</v>
      </c>
      <c r="N399">
        <v>487833.33333333331</v>
      </c>
      <c r="O399">
        <v>487833.33333333331</v>
      </c>
      <c r="P399">
        <v>487833.33333333331</v>
      </c>
      <c r="Q399">
        <v>487833.33333333331</v>
      </c>
      <c r="R399">
        <f t="shared" si="78"/>
        <v>2855776333333.333</v>
      </c>
    </row>
    <row r="400" spans="2:18" x14ac:dyDescent="0.25">
      <c r="B400" t="s">
        <v>292</v>
      </c>
      <c r="C400" t="s">
        <v>96</v>
      </c>
      <c r="D400" t="s">
        <v>199</v>
      </c>
      <c r="E400" t="s">
        <v>97</v>
      </c>
      <c r="F400">
        <v>11083.333333333334</v>
      </c>
      <c r="G400">
        <v>11083.333333333334</v>
      </c>
      <c r="H400">
        <v>11083.333333333334</v>
      </c>
      <c r="I400">
        <v>11083.333333333334</v>
      </c>
      <c r="J400">
        <v>11083.333333333334</v>
      </c>
      <c r="K400">
        <v>11083.333333333334</v>
      </c>
      <c r="L400">
        <v>11083.333333333334</v>
      </c>
      <c r="M400">
        <v>11083.333333333334</v>
      </c>
      <c r="N400">
        <v>11083.333333333334</v>
      </c>
      <c r="O400">
        <v>11083.333333333334</v>
      </c>
      <c r="P400">
        <v>11083.333333333334</v>
      </c>
      <c r="Q400">
        <v>11083.333333333334</v>
      </c>
      <c r="R400">
        <f t="shared" si="78"/>
        <v>1474083333.333333</v>
      </c>
    </row>
    <row r="401" spans="2:18" x14ac:dyDescent="0.25">
      <c r="B401" t="s">
        <v>292</v>
      </c>
      <c r="C401" t="s">
        <v>96</v>
      </c>
      <c r="D401" t="s">
        <v>199</v>
      </c>
      <c r="E401" t="s">
        <v>15</v>
      </c>
      <c r="F401">
        <v>406916.66666666669</v>
      </c>
      <c r="G401">
        <v>406916.66666666669</v>
      </c>
      <c r="H401">
        <v>406916.66666666669</v>
      </c>
      <c r="I401">
        <v>406916.66666666669</v>
      </c>
      <c r="J401">
        <v>406916.66666666669</v>
      </c>
      <c r="K401">
        <v>406916.66666666669</v>
      </c>
      <c r="L401">
        <v>406916.66666666669</v>
      </c>
      <c r="M401">
        <v>406916.66666666669</v>
      </c>
      <c r="N401">
        <v>406916.66666666669</v>
      </c>
      <c r="O401">
        <v>406916.66666666669</v>
      </c>
      <c r="P401">
        <v>406916.66666666669</v>
      </c>
      <c r="Q401">
        <v>406916.66666666669</v>
      </c>
      <c r="R401">
        <f t="shared" si="78"/>
        <v>1986974083333.3333</v>
      </c>
    </row>
    <row r="402" spans="2:18" x14ac:dyDescent="0.25">
      <c r="B402" t="s">
        <v>292</v>
      </c>
      <c r="C402" t="s">
        <v>96</v>
      </c>
      <c r="D402" t="s">
        <v>199</v>
      </c>
      <c r="E402" t="s">
        <v>71</v>
      </c>
      <c r="F402">
        <v>5666.666666666667</v>
      </c>
      <c r="G402">
        <v>5666.666666666667</v>
      </c>
      <c r="H402">
        <v>5666.666666666667</v>
      </c>
      <c r="I402">
        <v>5666.666666666667</v>
      </c>
      <c r="J402">
        <v>5666.666666666667</v>
      </c>
      <c r="K402">
        <v>5666.666666666667</v>
      </c>
      <c r="L402">
        <v>5666.666666666667</v>
      </c>
      <c r="M402">
        <v>5666.666666666667</v>
      </c>
      <c r="N402">
        <v>5666.666666666667</v>
      </c>
      <c r="O402">
        <v>5666.666666666667</v>
      </c>
      <c r="P402">
        <v>5666.666666666667</v>
      </c>
      <c r="Q402">
        <v>5666.666666666667</v>
      </c>
      <c r="R402">
        <f t="shared" si="78"/>
        <v>385333333.33333331</v>
      </c>
    </row>
    <row r="403" spans="2:18" x14ac:dyDescent="0.25">
      <c r="B403" t="s">
        <v>293</v>
      </c>
      <c r="C403" t="s">
        <v>40</v>
      </c>
      <c r="D403" t="s">
        <v>199</v>
      </c>
      <c r="E403" t="s">
        <v>128</v>
      </c>
      <c r="F403">
        <v>-49759.439166666671</v>
      </c>
      <c r="G403">
        <v>-49759.439166666671</v>
      </c>
      <c r="H403">
        <v>-49759.439166666671</v>
      </c>
      <c r="I403">
        <v>-49759.439166666671</v>
      </c>
      <c r="J403">
        <v>-49759.439166666671</v>
      </c>
      <c r="K403">
        <v>-49759.439166666671</v>
      </c>
      <c r="L403">
        <v>-49759.439166666671</v>
      </c>
      <c r="M403">
        <v>-49759.439166666671</v>
      </c>
      <c r="N403">
        <v>-49759.439166666671</v>
      </c>
      <c r="O403">
        <v>-49759.439166666671</v>
      </c>
      <c r="P403">
        <v>-49759.439166666671</v>
      </c>
      <c r="Q403">
        <v>-49759.439166666671</v>
      </c>
      <c r="R403">
        <f t="shared" si="78"/>
        <v>29712021434.174419</v>
      </c>
    </row>
    <row r="404" spans="2:18" x14ac:dyDescent="0.25">
      <c r="B404" t="s">
        <v>293</v>
      </c>
      <c r="C404" t="s">
        <v>41</v>
      </c>
      <c r="D404" t="s">
        <v>199</v>
      </c>
      <c r="E404" t="s">
        <v>128</v>
      </c>
      <c r="F404">
        <v>-2083.3333333333335</v>
      </c>
      <c r="G404">
        <v>-2083.3333333333335</v>
      </c>
      <c r="H404">
        <v>-2083.3333333333335</v>
      </c>
      <c r="I404">
        <v>-2083.3333333333335</v>
      </c>
      <c r="J404">
        <v>-2083.3333333333335</v>
      </c>
      <c r="K404">
        <v>-2083.3333333333335</v>
      </c>
      <c r="L404">
        <v>-2083.3333333333335</v>
      </c>
      <c r="M404">
        <v>-2083.3333333333335</v>
      </c>
      <c r="N404">
        <v>-2083.3333333333335</v>
      </c>
      <c r="O404">
        <v>-2083.3333333333335</v>
      </c>
      <c r="P404">
        <v>-2083.3333333333335</v>
      </c>
      <c r="Q404">
        <v>-2083.3333333333335</v>
      </c>
      <c r="R404">
        <f t="shared" si="78"/>
        <v>52083333.333333321</v>
      </c>
    </row>
    <row r="405" spans="2:18" x14ac:dyDescent="0.25">
      <c r="B405" t="s">
        <v>293</v>
      </c>
      <c r="C405" t="s">
        <v>42</v>
      </c>
      <c r="D405" t="s">
        <v>215</v>
      </c>
      <c r="E405" t="s">
        <v>128</v>
      </c>
      <c r="F405">
        <v>-3750</v>
      </c>
      <c r="G405">
        <v>-3750</v>
      </c>
      <c r="H405">
        <v>-3750</v>
      </c>
      <c r="I405">
        <v>-3750</v>
      </c>
      <c r="J405">
        <v>-3750</v>
      </c>
      <c r="K405">
        <v>-3750</v>
      </c>
      <c r="L405">
        <v>-3750</v>
      </c>
      <c r="M405">
        <v>-3750</v>
      </c>
      <c r="N405">
        <v>-3750</v>
      </c>
      <c r="O405">
        <v>-3750</v>
      </c>
      <c r="P405">
        <v>-3750</v>
      </c>
      <c r="Q405">
        <v>-3750</v>
      </c>
      <c r="R405">
        <f t="shared" si="78"/>
        <v>168750000</v>
      </c>
    </row>
    <row r="406" spans="2:18" x14ac:dyDescent="0.25">
      <c r="B406" t="s">
        <v>293</v>
      </c>
      <c r="C406" t="s">
        <v>42</v>
      </c>
      <c r="D406" t="s">
        <v>216</v>
      </c>
      <c r="E406" t="s">
        <v>128</v>
      </c>
      <c r="F406">
        <v>-16666.666666666668</v>
      </c>
      <c r="G406">
        <v>-16666.666666666668</v>
      </c>
      <c r="H406">
        <v>-16666.666666666668</v>
      </c>
      <c r="I406">
        <v>-16666.666666666668</v>
      </c>
      <c r="J406">
        <v>-16666.666666666668</v>
      </c>
      <c r="K406">
        <v>-16666.666666666668</v>
      </c>
      <c r="L406">
        <v>-16666.666666666668</v>
      </c>
      <c r="M406">
        <v>-16666.666666666668</v>
      </c>
      <c r="N406">
        <v>-16666.666666666668</v>
      </c>
      <c r="O406">
        <v>-16666.666666666668</v>
      </c>
      <c r="P406">
        <v>-16666.666666666668</v>
      </c>
      <c r="Q406">
        <v>-16666.666666666668</v>
      </c>
      <c r="R406">
        <f t="shared" si="78"/>
        <v>3333333333.3333325</v>
      </c>
    </row>
    <row r="407" spans="2:18" x14ac:dyDescent="0.25">
      <c r="B407" t="s">
        <v>293</v>
      </c>
      <c r="C407" t="s">
        <v>42</v>
      </c>
      <c r="D407" t="s">
        <v>199</v>
      </c>
      <c r="E407" t="s">
        <v>128</v>
      </c>
      <c r="F407">
        <v>-5666.666666666667</v>
      </c>
      <c r="G407">
        <v>-5666.666666666667</v>
      </c>
      <c r="H407">
        <v>-5666.666666666667</v>
      </c>
      <c r="I407">
        <v>-5666.666666666667</v>
      </c>
      <c r="J407">
        <v>-5666.666666666667</v>
      </c>
      <c r="K407">
        <v>-5666.666666666667</v>
      </c>
      <c r="L407">
        <v>-5666.666666666667</v>
      </c>
      <c r="M407">
        <v>-5666.666666666667</v>
      </c>
      <c r="N407">
        <v>-5666.666666666667</v>
      </c>
      <c r="O407">
        <v>-5666.666666666667</v>
      </c>
      <c r="P407">
        <v>-5666.666666666667</v>
      </c>
      <c r="Q407">
        <v>-5666.666666666667</v>
      </c>
      <c r="R407">
        <f t="shared" si="78"/>
        <v>385333333.33333331</v>
      </c>
    </row>
    <row r="408" spans="2:18" x14ac:dyDescent="0.25">
      <c r="B408" t="s">
        <v>293</v>
      </c>
      <c r="C408" t="s">
        <v>42</v>
      </c>
      <c r="D408" t="s">
        <v>217</v>
      </c>
      <c r="E408" t="s">
        <v>128</v>
      </c>
      <c r="F408">
        <v>-10416.666666666666</v>
      </c>
      <c r="G408">
        <v>-10416.666666666666</v>
      </c>
      <c r="H408">
        <v>-10416.666666666666</v>
      </c>
      <c r="I408">
        <v>-10416.666666666666</v>
      </c>
      <c r="J408">
        <v>-10416.666666666666</v>
      </c>
      <c r="K408">
        <v>-10416.666666666666</v>
      </c>
      <c r="L408">
        <v>-10416.666666666666</v>
      </c>
      <c r="M408">
        <v>-10416.666666666666</v>
      </c>
      <c r="N408">
        <v>-10416.666666666666</v>
      </c>
      <c r="O408">
        <v>-10416.666666666666</v>
      </c>
      <c r="P408">
        <v>-10416.666666666666</v>
      </c>
      <c r="Q408">
        <v>-10416.666666666666</v>
      </c>
      <c r="R408">
        <f t="shared" ref="R408:R416" si="79">SUMSQ(F408,G408,H408,I408,J408,K408,L408,M408,N408,O408,P408,Q408)</f>
        <v>1302083333.3333333</v>
      </c>
    </row>
    <row r="409" spans="2:18" x14ac:dyDescent="0.25">
      <c r="B409" t="s">
        <v>293</v>
      </c>
      <c r="C409" t="s">
        <v>42</v>
      </c>
      <c r="D409" t="s">
        <v>218</v>
      </c>
      <c r="E409" t="s">
        <v>17</v>
      </c>
      <c r="F409">
        <v>-3975.5499999999997</v>
      </c>
      <c r="G409">
        <v>-3975.5499999999997</v>
      </c>
      <c r="H409">
        <v>-3975.5499999999997</v>
      </c>
      <c r="I409">
        <v>-3975.5499999999997</v>
      </c>
      <c r="J409">
        <v>-3975.5499999999997</v>
      </c>
      <c r="K409">
        <v>-3975.5499999999997</v>
      </c>
      <c r="L409">
        <v>-3975.5499999999997</v>
      </c>
      <c r="M409">
        <v>-3975.5499999999997</v>
      </c>
      <c r="N409">
        <v>-3975.5499999999997</v>
      </c>
      <c r="O409">
        <v>-3975.5499999999997</v>
      </c>
      <c r="P409">
        <v>-3975.5499999999997</v>
      </c>
      <c r="Q409">
        <v>-3975.5499999999997</v>
      </c>
      <c r="R409">
        <f t="shared" si="79"/>
        <v>189659973.63</v>
      </c>
    </row>
    <row r="410" spans="2:18" x14ac:dyDescent="0.25">
      <c r="B410" t="s">
        <v>293</v>
      </c>
      <c r="C410" t="s">
        <v>43</v>
      </c>
      <c r="D410" t="s">
        <v>199</v>
      </c>
      <c r="E410" t="s">
        <v>128</v>
      </c>
      <c r="F410">
        <v>-250</v>
      </c>
      <c r="G410">
        <v>-250</v>
      </c>
      <c r="H410">
        <v>-250</v>
      </c>
      <c r="I410">
        <v>-250</v>
      </c>
      <c r="J410">
        <v>-250</v>
      </c>
      <c r="K410">
        <v>-250</v>
      </c>
      <c r="L410">
        <v>-250</v>
      </c>
      <c r="M410">
        <v>-250</v>
      </c>
      <c r="N410">
        <v>-250</v>
      </c>
      <c r="O410">
        <v>-250</v>
      </c>
      <c r="P410">
        <v>-250</v>
      </c>
      <c r="Q410">
        <v>-250</v>
      </c>
      <c r="R410">
        <f t="shared" si="79"/>
        <v>750000</v>
      </c>
    </row>
    <row r="411" spans="2:18" x14ac:dyDescent="0.25">
      <c r="B411" t="s">
        <v>293</v>
      </c>
      <c r="C411" t="s">
        <v>219</v>
      </c>
      <c r="D411" t="s">
        <v>220</v>
      </c>
      <c r="E411" t="s">
        <v>128</v>
      </c>
      <c r="F411">
        <v>-5000</v>
      </c>
      <c r="G411">
        <v>-5000</v>
      </c>
      <c r="H411">
        <v>-5000</v>
      </c>
      <c r="I411">
        <v>-5000</v>
      </c>
      <c r="J411">
        <v>-5000</v>
      </c>
      <c r="K411">
        <v>-5000</v>
      </c>
      <c r="L411">
        <v>-5000</v>
      </c>
      <c r="M411">
        <v>-5000</v>
      </c>
      <c r="N411">
        <v>-5000</v>
      </c>
      <c r="O411">
        <v>-5000</v>
      </c>
      <c r="P411">
        <v>-5000</v>
      </c>
      <c r="Q411">
        <v>-5000</v>
      </c>
      <c r="R411">
        <f t="shared" si="79"/>
        <v>300000000</v>
      </c>
    </row>
    <row r="412" spans="2:18" x14ac:dyDescent="0.25">
      <c r="B412" t="s">
        <v>293</v>
      </c>
      <c r="C412" t="s">
        <v>219</v>
      </c>
      <c r="D412" t="s">
        <v>217</v>
      </c>
      <c r="E412" t="s">
        <v>128</v>
      </c>
      <c r="F412">
        <v>-23333.333333333332</v>
      </c>
      <c r="G412">
        <v>-23333.333333333332</v>
      </c>
      <c r="H412">
        <v>-23333.333333333332</v>
      </c>
      <c r="I412">
        <v>-23333.333333333332</v>
      </c>
      <c r="J412">
        <v>-23333.333333333332</v>
      </c>
      <c r="K412">
        <v>-23333.333333333332</v>
      </c>
      <c r="L412">
        <v>-23333.333333333332</v>
      </c>
      <c r="M412">
        <v>-23333.333333333332</v>
      </c>
      <c r="N412">
        <v>-23333.333333333332</v>
      </c>
      <c r="O412">
        <v>-23333.333333333332</v>
      </c>
      <c r="P412">
        <v>-23333.333333333332</v>
      </c>
      <c r="Q412">
        <v>-23333.333333333332</v>
      </c>
      <c r="R412">
        <f t="shared" si="79"/>
        <v>6533333333.3333349</v>
      </c>
    </row>
    <row r="413" spans="2:18" x14ac:dyDescent="0.25">
      <c r="B413" t="s">
        <v>293</v>
      </c>
      <c r="C413" t="s">
        <v>219</v>
      </c>
      <c r="D413" t="s">
        <v>221</v>
      </c>
      <c r="E413" t="s">
        <v>222</v>
      </c>
      <c r="F413">
        <v>-11666.666666666666</v>
      </c>
      <c r="G413">
        <v>-11666.666666666666</v>
      </c>
      <c r="H413">
        <v>-11666.666666666666</v>
      </c>
      <c r="I413">
        <v>-11666.666666666666</v>
      </c>
      <c r="J413">
        <v>-11666.666666666666</v>
      </c>
      <c r="K413">
        <v>-11666.666666666666</v>
      </c>
      <c r="L413">
        <v>-11666.666666666666</v>
      </c>
      <c r="M413">
        <v>-11666.666666666666</v>
      </c>
      <c r="N413">
        <v>-11666.666666666666</v>
      </c>
      <c r="O413">
        <v>-11666.666666666666</v>
      </c>
      <c r="P413">
        <v>-11666.666666666666</v>
      </c>
      <c r="Q413">
        <v>-11666.666666666666</v>
      </c>
      <c r="R413">
        <f t="shared" si="79"/>
        <v>1633333333.3333337</v>
      </c>
    </row>
    <row r="414" spans="2:18" x14ac:dyDescent="0.25">
      <c r="B414" t="s">
        <v>293</v>
      </c>
      <c r="C414" t="s">
        <v>107</v>
      </c>
      <c r="D414" t="s">
        <v>199</v>
      </c>
      <c r="E414" t="s">
        <v>128</v>
      </c>
      <c r="F414">
        <v>-666.66666666666663</v>
      </c>
      <c r="G414">
        <v>-666.66666666666663</v>
      </c>
      <c r="H414">
        <v>-666.66666666666663</v>
      </c>
      <c r="I414">
        <v>-666.66666666666663</v>
      </c>
      <c r="J414">
        <v>-666.66666666666663</v>
      </c>
      <c r="K414">
        <v>-666.66666666666663</v>
      </c>
      <c r="L414">
        <v>-666.66666666666663</v>
      </c>
      <c r="M414">
        <v>-666.66666666666663</v>
      </c>
      <c r="N414">
        <v>-666.66666666666663</v>
      </c>
      <c r="O414">
        <v>-666.66666666666663</v>
      </c>
      <c r="P414">
        <v>-666.66666666666663</v>
      </c>
      <c r="Q414">
        <v>-666.66666666666663</v>
      </c>
      <c r="R414">
        <f t="shared" si="79"/>
        <v>5333333.3333333321</v>
      </c>
    </row>
    <row r="415" spans="2:18" x14ac:dyDescent="0.25">
      <c r="B415" t="s">
        <v>293</v>
      </c>
      <c r="C415" t="s">
        <v>64</v>
      </c>
      <c r="D415" t="s">
        <v>218</v>
      </c>
      <c r="E415" t="s">
        <v>128</v>
      </c>
      <c r="F415">
        <v>-1406.6333333333332</v>
      </c>
      <c r="G415">
        <v>-1406.6333333333332</v>
      </c>
      <c r="H415">
        <v>-1406.6333333333332</v>
      </c>
      <c r="I415">
        <v>-1406.6333333333332</v>
      </c>
      <c r="J415">
        <v>-1406.6333333333332</v>
      </c>
      <c r="K415">
        <v>-1406.6333333333332</v>
      </c>
      <c r="L415">
        <v>-1406.6333333333332</v>
      </c>
      <c r="M415">
        <v>-1406.6333333333332</v>
      </c>
      <c r="N415">
        <v>-1406.6333333333332</v>
      </c>
      <c r="O415">
        <v>-1406.6333333333332</v>
      </c>
      <c r="P415">
        <v>-1406.6333333333332</v>
      </c>
      <c r="Q415">
        <v>-1406.6333333333332</v>
      </c>
      <c r="R415">
        <f t="shared" si="79"/>
        <v>23743408.013333332</v>
      </c>
    </row>
    <row r="416" spans="2:18" x14ac:dyDescent="0.25">
      <c r="B416" t="s">
        <v>293</v>
      </c>
      <c r="C416" t="s">
        <v>115</v>
      </c>
      <c r="D416" t="s">
        <v>199</v>
      </c>
      <c r="E416" t="s">
        <v>14</v>
      </c>
      <c r="F416">
        <v>5000</v>
      </c>
      <c r="G416">
        <v>5000</v>
      </c>
      <c r="H416">
        <v>5000</v>
      </c>
      <c r="I416">
        <v>5000</v>
      </c>
      <c r="J416">
        <v>5000</v>
      </c>
      <c r="K416">
        <v>5000</v>
      </c>
      <c r="L416">
        <v>5000</v>
      </c>
      <c r="M416">
        <v>5000</v>
      </c>
      <c r="N416">
        <v>5000</v>
      </c>
      <c r="O416">
        <v>5000</v>
      </c>
      <c r="P416">
        <v>5000</v>
      </c>
      <c r="Q416">
        <v>5000</v>
      </c>
      <c r="R416">
        <f t="shared" si="79"/>
        <v>300000000</v>
      </c>
    </row>
    <row r="417" spans="2:18" x14ac:dyDescent="0.25">
      <c r="B417" t="s">
        <v>293</v>
      </c>
      <c r="C417" t="s">
        <v>116</v>
      </c>
      <c r="D417" t="s">
        <v>199</v>
      </c>
      <c r="E417" t="s">
        <v>14</v>
      </c>
      <c r="F417">
        <v>19498.028333333332</v>
      </c>
      <c r="G417">
        <v>19498.028333333332</v>
      </c>
      <c r="H417">
        <v>19498.028333333332</v>
      </c>
      <c r="I417">
        <v>19498.028333333332</v>
      </c>
      <c r="J417">
        <v>19498.028333333332</v>
      </c>
      <c r="K417">
        <v>19498.028333333332</v>
      </c>
      <c r="L417">
        <v>19498.028333333332</v>
      </c>
      <c r="M417">
        <v>19498.028333333332</v>
      </c>
      <c r="N417">
        <v>19498.028333333332</v>
      </c>
      <c r="O417">
        <v>19498.028333333332</v>
      </c>
      <c r="P417">
        <v>19498.028333333332</v>
      </c>
      <c r="Q417">
        <v>19498.028333333332</v>
      </c>
      <c r="R417">
        <f t="shared" ref="R417:R421" si="80">SUMSQ(F417,G417,H417,I417,J417,K417,L417,M417,N417,O417,P417,Q417)</f>
        <v>4562077306.6496325</v>
      </c>
    </row>
    <row r="418" spans="2:18" x14ac:dyDescent="0.25">
      <c r="B418" t="s">
        <v>294</v>
      </c>
      <c r="C418" t="s">
        <v>18</v>
      </c>
      <c r="D418" t="s">
        <v>199</v>
      </c>
      <c r="E418" t="s">
        <v>128</v>
      </c>
      <c r="F418">
        <v>-25896.33</v>
      </c>
      <c r="G418">
        <v>-25896.33</v>
      </c>
      <c r="H418">
        <v>-25896.33</v>
      </c>
      <c r="I418">
        <v>-25896.33</v>
      </c>
      <c r="J418">
        <v>-25896.33</v>
      </c>
      <c r="K418">
        <v>-25896.33</v>
      </c>
      <c r="L418">
        <v>-25896.33</v>
      </c>
      <c r="M418">
        <v>-25896.33</v>
      </c>
      <c r="N418">
        <v>-25896.33</v>
      </c>
      <c r="O418">
        <v>-25896.33</v>
      </c>
      <c r="P418">
        <v>-25896.33</v>
      </c>
      <c r="Q418">
        <v>-25896.33</v>
      </c>
      <c r="R418">
        <f t="shared" si="80"/>
        <v>8047438889.6267996</v>
      </c>
    </row>
    <row r="419" spans="2:18" x14ac:dyDescent="0.25">
      <c r="B419" t="s">
        <v>294</v>
      </c>
      <c r="C419" t="s">
        <v>19</v>
      </c>
      <c r="D419" t="s">
        <v>199</v>
      </c>
      <c r="E419" t="s">
        <v>128</v>
      </c>
      <c r="F419">
        <v>-416.66666666666669</v>
      </c>
      <c r="G419">
        <v>-416.66666666666669</v>
      </c>
      <c r="H419">
        <v>-416.66666666666669</v>
      </c>
      <c r="I419">
        <v>-416.66666666666669</v>
      </c>
      <c r="J419">
        <v>-416.66666666666669</v>
      </c>
      <c r="K419">
        <v>-416.66666666666669</v>
      </c>
      <c r="L419">
        <v>-416.66666666666669</v>
      </c>
      <c r="M419">
        <v>-416.66666666666669</v>
      </c>
      <c r="N419">
        <v>-416.66666666666669</v>
      </c>
      <c r="O419">
        <v>-416.66666666666669</v>
      </c>
      <c r="P419">
        <v>-416.66666666666669</v>
      </c>
      <c r="Q419">
        <v>-416.66666666666669</v>
      </c>
      <c r="R419">
        <f t="shared" si="80"/>
        <v>2083333.333333333</v>
      </c>
    </row>
    <row r="420" spans="2:18" x14ac:dyDescent="0.25">
      <c r="B420" t="s">
        <v>294</v>
      </c>
      <c r="C420" t="s">
        <v>20</v>
      </c>
      <c r="D420" t="s">
        <v>199</v>
      </c>
      <c r="E420" t="s">
        <v>128</v>
      </c>
      <c r="F420">
        <v>-12500</v>
      </c>
      <c r="G420">
        <v>-12500</v>
      </c>
      <c r="H420">
        <v>-12500</v>
      </c>
      <c r="I420">
        <v>-12500</v>
      </c>
      <c r="J420">
        <v>-12500</v>
      </c>
      <c r="K420">
        <v>-12500</v>
      </c>
      <c r="L420">
        <v>-12500</v>
      </c>
      <c r="M420">
        <v>-12500</v>
      </c>
      <c r="N420">
        <v>-12500</v>
      </c>
      <c r="O420">
        <v>-12500</v>
      </c>
      <c r="P420">
        <v>-12500</v>
      </c>
      <c r="Q420">
        <v>-12500</v>
      </c>
      <c r="R420">
        <f t="shared" si="80"/>
        <v>1875000000</v>
      </c>
    </row>
    <row r="421" spans="2:18" x14ac:dyDescent="0.25">
      <c r="B421" t="s">
        <v>294</v>
      </c>
      <c r="C421" t="s">
        <v>21</v>
      </c>
      <c r="D421" t="s">
        <v>199</v>
      </c>
      <c r="E421" t="s">
        <v>128</v>
      </c>
      <c r="F421">
        <v>-166.66666666666666</v>
      </c>
      <c r="G421">
        <v>-166.66666666666666</v>
      </c>
      <c r="H421">
        <v>-166.66666666666666</v>
      </c>
      <c r="I421">
        <v>-166.66666666666666</v>
      </c>
      <c r="J421">
        <v>-166.66666666666666</v>
      </c>
      <c r="K421">
        <v>-166.66666666666666</v>
      </c>
      <c r="L421">
        <v>-166.66666666666666</v>
      </c>
      <c r="M421">
        <v>-166.66666666666666</v>
      </c>
      <c r="N421">
        <v>-166.66666666666666</v>
      </c>
      <c r="O421">
        <v>-166.66666666666666</v>
      </c>
      <c r="P421">
        <v>-166.66666666666666</v>
      </c>
      <c r="Q421">
        <v>-166.66666666666666</v>
      </c>
      <c r="R421">
        <f t="shared" si="80"/>
        <v>333333.33333333326</v>
      </c>
    </row>
    <row r="422" spans="2:18" x14ac:dyDescent="0.25">
      <c r="B422" t="s">
        <v>294</v>
      </c>
      <c r="C422" t="s">
        <v>95</v>
      </c>
      <c r="D422" t="s">
        <v>199</v>
      </c>
      <c r="E422" t="s">
        <v>128</v>
      </c>
      <c r="F422">
        <v>-666.66666666666663</v>
      </c>
      <c r="G422">
        <v>-666.66666666666663</v>
      </c>
      <c r="H422">
        <v>-666.66666666666663</v>
      </c>
      <c r="I422">
        <v>-666.66666666666663</v>
      </c>
      <c r="J422">
        <v>-666.66666666666663</v>
      </c>
      <c r="K422">
        <v>-666.66666666666663</v>
      </c>
      <c r="L422">
        <v>-666.66666666666663</v>
      </c>
      <c r="M422">
        <v>-666.66666666666663</v>
      </c>
      <c r="N422">
        <v>-666.66666666666663</v>
      </c>
      <c r="O422">
        <v>-666.66666666666663</v>
      </c>
      <c r="P422">
        <v>-666.66666666666663</v>
      </c>
      <c r="Q422">
        <v>-666.66666666666663</v>
      </c>
      <c r="R422">
        <f t="shared" ref="R422:R429" si="81">SUMSQ(F422,G422,H422,I422,J422,K422,L422,M422,N422,O422,P422,Q422)</f>
        <v>5333333.3333333321</v>
      </c>
    </row>
    <row r="423" spans="2:18" x14ac:dyDescent="0.25">
      <c r="B423" t="s">
        <v>294</v>
      </c>
      <c r="C423" t="s">
        <v>64</v>
      </c>
      <c r="D423" t="s">
        <v>94</v>
      </c>
      <c r="E423" t="s">
        <v>128</v>
      </c>
      <c r="F423">
        <v>-34.040833333333332</v>
      </c>
      <c r="G423">
        <v>-34.040833333333332</v>
      </c>
      <c r="H423">
        <v>-34.040833333333332</v>
      </c>
      <c r="I423">
        <v>-34.040833333333332</v>
      </c>
      <c r="J423">
        <v>-34.040833333333332</v>
      </c>
      <c r="K423">
        <v>-34.040833333333332</v>
      </c>
      <c r="L423">
        <v>-34.040833333333332</v>
      </c>
      <c r="M423">
        <v>-34.040833333333332</v>
      </c>
      <c r="N423">
        <v>-34.040833333333332</v>
      </c>
      <c r="O423">
        <v>-34.040833333333332</v>
      </c>
      <c r="P423">
        <v>-34.040833333333332</v>
      </c>
      <c r="Q423">
        <v>-34.040833333333332</v>
      </c>
      <c r="R423">
        <f t="shared" si="81"/>
        <v>13905.340008333334</v>
      </c>
    </row>
    <row r="424" spans="2:18" x14ac:dyDescent="0.25">
      <c r="B424" t="s">
        <v>294</v>
      </c>
      <c r="C424" t="s">
        <v>99</v>
      </c>
      <c r="D424" t="s">
        <v>199</v>
      </c>
      <c r="E424" t="s">
        <v>14</v>
      </c>
      <c r="F424">
        <v>12500</v>
      </c>
      <c r="G424">
        <v>12500</v>
      </c>
      <c r="H424">
        <v>12500</v>
      </c>
      <c r="I424">
        <v>12500</v>
      </c>
      <c r="J424">
        <v>12500</v>
      </c>
      <c r="K424">
        <v>12500</v>
      </c>
      <c r="L424">
        <v>12500</v>
      </c>
      <c r="M424">
        <v>12500</v>
      </c>
      <c r="N424">
        <v>12500</v>
      </c>
      <c r="O424">
        <v>12500</v>
      </c>
      <c r="P424">
        <v>12500</v>
      </c>
      <c r="Q424">
        <v>12500</v>
      </c>
      <c r="R424">
        <f t="shared" si="81"/>
        <v>1875000000</v>
      </c>
    </row>
    <row r="425" spans="2:18" x14ac:dyDescent="0.25">
      <c r="B425" t="s">
        <v>295</v>
      </c>
      <c r="C425" t="s">
        <v>36</v>
      </c>
      <c r="D425" t="s">
        <v>199</v>
      </c>
      <c r="E425" t="s">
        <v>128</v>
      </c>
      <c r="F425">
        <v>-183292.5925</v>
      </c>
      <c r="G425">
        <v>-183292.5925</v>
      </c>
      <c r="H425">
        <v>-183292.5925</v>
      </c>
      <c r="I425">
        <v>-183292.5925</v>
      </c>
      <c r="J425">
        <v>-183292.5925</v>
      </c>
      <c r="K425">
        <v>-183292.5925</v>
      </c>
      <c r="L425">
        <v>-183292.5925</v>
      </c>
      <c r="M425">
        <v>-183292.5925</v>
      </c>
      <c r="N425">
        <v>-183292.5925</v>
      </c>
      <c r="O425">
        <v>-183292.5925</v>
      </c>
      <c r="P425">
        <v>-183292.5925</v>
      </c>
      <c r="Q425">
        <v>-183292.5925</v>
      </c>
      <c r="R425">
        <f t="shared" si="81"/>
        <v>403154093584.45264</v>
      </c>
    </row>
    <row r="426" spans="2:18" x14ac:dyDescent="0.25">
      <c r="B426" t="s">
        <v>295</v>
      </c>
      <c r="C426" t="s">
        <v>37</v>
      </c>
      <c r="D426" t="s">
        <v>199</v>
      </c>
      <c r="E426" t="s">
        <v>128</v>
      </c>
      <c r="F426">
        <v>-6666.666666666667</v>
      </c>
      <c r="G426">
        <v>-6666.666666666667</v>
      </c>
      <c r="H426">
        <v>-6666.666666666667</v>
      </c>
      <c r="I426">
        <v>-6666.666666666667</v>
      </c>
      <c r="J426">
        <v>-6666.666666666667</v>
      </c>
      <c r="K426">
        <v>-6666.666666666667</v>
      </c>
      <c r="L426">
        <v>-6666.666666666667</v>
      </c>
      <c r="M426">
        <v>-6666.666666666667</v>
      </c>
      <c r="N426">
        <v>-6666.666666666667</v>
      </c>
      <c r="O426">
        <v>-6666.666666666667</v>
      </c>
      <c r="P426">
        <v>-6666.666666666667</v>
      </c>
      <c r="Q426">
        <v>-6666.666666666667</v>
      </c>
      <c r="R426">
        <f t="shared" si="81"/>
        <v>533333333.33333325</v>
      </c>
    </row>
    <row r="427" spans="2:18" x14ac:dyDescent="0.25">
      <c r="B427" t="s">
        <v>295</v>
      </c>
      <c r="C427" t="s">
        <v>38</v>
      </c>
      <c r="D427" t="s">
        <v>211</v>
      </c>
      <c r="E427" t="s">
        <v>128</v>
      </c>
      <c r="F427">
        <v>-45000</v>
      </c>
      <c r="G427">
        <v>-45000</v>
      </c>
      <c r="H427">
        <v>-45000</v>
      </c>
      <c r="I427">
        <v>-45000</v>
      </c>
      <c r="J427">
        <v>-45000</v>
      </c>
      <c r="K427">
        <v>-45000</v>
      </c>
      <c r="L427">
        <v>-45000</v>
      </c>
      <c r="M427">
        <v>-45000</v>
      </c>
      <c r="N427">
        <v>-45000</v>
      </c>
      <c r="O427">
        <v>-45000</v>
      </c>
      <c r="P427">
        <v>-45000</v>
      </c>
      <c r="Q427">
        <v>-45000</v>
      </c>
      <c r="R427">
        <f t="shared" si="81"/>
        <v>24300000000</v>
      </c>
    </row>
    <row r="428" spans="2:18" x14ac:dyDescent="0.25">
      <c r="B428" t="s">
        <v>295</v>
      </c>
      <c r="C428" t="s">
        <v>38</v>
      </c>
      <c r="D428" t="s">
        <v>207</v>
      </c>
      <c r="E428" t="s">
        <v>128</v>
      </c>
      <c r="F428">
        <v>0</v>
      </c>
      <c r="G428">
        <v>0</v>
      </c>
      <c r="H428">
        <v>0</v>
      </c>
      <c r="I428">
        <v>-100000</v>
      </c>
      <c r="J428">
        <v>-100000</v>
      </c>
      <c r="K428">
        <v>-100000</v>
      </c>
      <c r="L428">
        <v>0</v>
      </c>
      <c r="M428">
        <v>0</v>
      </c>
      <c r="N428">
        <v>0</v>
      </c>
      <c r="O428">
        <v>-50000</v>
      </c>
      <c r="P428">
        <v>-50000</v>
      </c>
      <c r="Q428">
        <v>-50000</v>
      </c>
      <c r="R428">
        <f t="shared" si="81"/>
        <v>37500000000</v>
      </c>
    </row>
    <row r="429" spans="2:18" x14ac:dyDescent="0.25">
      <c r="B429" t="s">
        <v>295</v>
      </c>
      <c r="C429" t="s">
        <v>38</v>
      </c>
      <c r="D429" t="s">
        <v>173</v>
      </c>
      <c r="E429" t="s">
        <v>128</v>
      </c>
      <c r="F429">
        <v>-47083.333333333336</v>
      </c>
      <c r="G429">
        <v>-47083.333333333336</v>
      </c>
      <c r="H429">
        <v>-47083.333333333336</v>
      </c>
      <c r="I429">
        <v>-47083.333333333336</v>
      </c>
      <c r="J429">
        <v>-47083.333333333336</v>
      </c>
      <c r="K429">
        <v>-47083.333333333336</v>
      </c>
      <c r="L429">
        <v>-47083.333333333336</v>
      </c>
      <c r="M429">
        <v>-47083.333333333336</v>
      </c>
      <c r="N429">
        <v>-47083.333333333336</v>
      </c>
      <c r="O429">
        <v>-47083.333333333336</v>
      </c>
      <c r="P429">
        <v>-47083.333333333336</v>
      </c>
      <c r="Q429">
        <v>-47083.333333333336</v>
      </c>
      <c r="R429">
        <f t="shared" si="81"/>
        <v>26602083333.33334</v>
      </c>
    </row>
    <row r="430" spans="2:18" x14ac:dyDescent="0.25">
      <c r="B430" t="s">
        <v>295</v>
      </c>
      <c r="C430" t="s">
        <v>38</v>
      </c>
      <c r="D430" t="s">
        <v>212</v>
      </c>
      <c r="E430" t="s">
        <v>128</v>
      </c>
      <c r="F430">
        <v>-272500</v>
      </c>
      <c r="G430">
        <v>-272500</v>
      </c>
      <c r="H430">
        <v>-272500</v>
      </c>
      <c r="I430">
        <v>-72500</v>
      </c>
      <c r="J430">
        <v>-72500</v>
      </c>
      <c r="K430">
        <v>-72500</v>
      </c>
      <c r="L430">
        <v>-72500</v>
      </c>
      <c r="M430">
        <v>-72500</v>
      </c>
      <c r="N430">
        <v>-72500</v>
      </c>
      <c r="O430">
        <v>-22500</v>
      </c>
      <c r="P430">
        <v>-22500</v>
      </c>
      <c r="Q430">
        <v>-22500</v>
      </c>
      <c r="R430">
        <f t="shared" ref="R430:R431" si="82">SUMSQ(F430,G430,H430,I430,J430,K430,L430,M430,N430,O430,P430,Q430)</f>
        <v>255825000000</v>
      </c>
    </row>
    <row r="431" spans="2:18" x14ac:dyDescent="0.25">
      <c r="B431" t="s">
        <v>295</v>
      </c>
      <c r="C431" t="s">
        <v>38</v>
      </c>
      <c r="D431" t="s">
        <v>199</v>
      </c>
      <c r="E431" t="s">
        <v>17</v>
      </c>
      <c r="F431">
        <v>-3410.4166666666665</v>
      </c>
      <c r="G431">
        <v>-3410.4166666666665</v>
      </c>
      <c r="H431">
        <v>-3410.4166666666665</v>
      </c>
      <c r="I431">
        <v>-3410.4166666666665</v>
      </c>
      <c r="J431">
        <v>-3410.4166666666665</v>
      </c>
      <c r="K431">
        <v>-3410.4166666666665</v>
      </c>
      <c r="L431">
        <v>-3410.4166666666665</v>
      </c>
      <c r="M431">
        <v>-3410.4166666666665</v>
      </c>
      <c r="N431">
        <v>-3410.4166666666665</v>
      </c>
      <c r="O431">
        <v>-3410.4166666666665</v>
      </c>
      <c r="P431">
        <v>-3410.4166666666665</v>
      </c>
      <c r="Q431">
        <v>-3410.4166666666665</v>
      </c>
      <c r="R431">
        <f t="shared" si="82"/>
        <v>139571302.08333331</v>
      </c>
    </row>
    <row r="432" spans="2:18" x14ac:dyDescent="0.25">
      <c r="B432" t="s">
        <v>295</v>
      </c>
      <c r="C432" t="s">
        <v>38</v>
      </c>
      <c r="D432" t="s">
        <v>199</v>
      </c>
      <c r="E432" t="s">
        <v>128</v>
      </c>
      <c r="F432">
        <v>-8256.25</v>
      </c>
      <c r="G432">
        <v>-8256.25</v>
      </c>
      <c r="H432">
        <v>-8256.25</v>
      </c>
      <c r="I432">
        <v>-8256.25</v>
      </c>
      <c r="J432">
        <v>-8256.25</v>
      </c>
      <c r="K432">
        <v>-8256.25</v>
      </c>
      <c r="L432">
        <v>-8256.25</v>
      </c>
      <c r="M432">
        <v>-8256.25</v>
      </c>
      <c r="N432">
        <v>-8256.25</v>
      </c>
      <c r="O432">
        <v>-8256.25</v>
      </c>
      <c r="P432">
        <v>-8256.25</v>
      </c>
      <c r="Q432">
        <v>-8256.25</v>
      </c>
      <c r="R432">
        <f t="shared" ref="R432:R435" si="83">SUMSQ(F432,G432,H432,I432,J432,K432,L432,M432,N432,O432,P432,Q432)</f>
        <v>817987968.75</v>
      </c>
    </row>
    <row r="433" spans="2:18" x14ac:dyDescent="0.25">
      <c r="B433" t="s">
        <v>295</v>
      </c>
      <c r="C433" t="s">
        <v>38</v>
      </c>
      <c r="D433" t="s">
        <v>213</v>
      </c>
      <c r="E433" t="s">
        <v>128</v>
      </c>
      <c r="F433">
        <v>-5416.666666666667</v>
      </c>
      <c r="G433">
        <v>-5416.666666666667</v>
      </c>
      <c r="H433">
        <v>-5416.666666666667</v>
      </c>
      <c r="I433">
        <v>-5416.666666666667</v>
      </c>
      <c r="J433">
        <v>-5416.666666666667</v>
      </c>
      <c r="K433">
        <v>-5416.666666666667</v>
      </c>
      <c r="L433">
        <v>-5416.666666666667</v>
      </c>
      <c r="M433">
        <v>-5416.666666666667</v>
      </c>
      <c r="N433">
        <v>-5416.666666666667</v>
      </c>
      <c r="O433">
        <v>-5416.666666666667</v>
      </c>
      <c r="P433">
        <v>-5416.666666666667</v>
      </c>
      <c r="Q433">
        <v>-5416.666666666667</v>
      </c>
      <c r="R433">
        <f t="shared" si="83"/>
        <v>352083333.33333343</v>
      </c>
    </row>
    <row r="434" spans="2:18" x14ac:dyDescent="0.25">
      <c r="B434" t="s">
        <v>295</v>
      </c>
      <c r="C434" t="s">
        <v>38</v>
      </c>
      <c r="D434" t="s">
        <v>203</v>
      </c>
      <c r="E434" t="s">
        <v>128</v>
      </c>
      <c r="F434">
        <v>-13333.333333333334</v>
      </c>
      <c r="G434">
        <v>-13333.333333333334</v>
      </c>
      <c r="H434">
        <v>-13333.333333333334</v>
      </c>
      <c r="I434">
        <v>-13333.333333333334</v>
      </c>
      <c r="J434">
        <v>-13333.333333333334</v>
      </c>
      <c r="K434">
        <v>-13333.333333333334</v>
      </c>
      <c r="L434">
        <v>-13333.333333333334</v>
      </c>
      <c r="M434">
        <v>-13333.333333333334</v>
      </c>
      <c r="N434">
        <v>-13333.333333333334</v>
      </c>
      <c r="O434">
        <v>-13333.333333333334</v>
      </c>
      <c r="P434">
        <v>-13333.333333333334</v>
      </c>
      <c r="Q434">
        <v>-13333.333333333334</v>
      </c>
      <c r="R434">
        <f t="shared" si="83"/>
        <v>2133333333.333333</v>
      </c>
    </row>
    <row r="435" spans="2:18" x14ac:dyDescent="0.25">
      <c r="B435" t="s">
        <v>295</v>
      </c>
      <c r="C435" t="s">
        <v>38</v>
      </c>
      <c r="D435" t="s">
        <v>214</v>
      </c>
      <c r="E435" t="s">
        <v>128</v>
      </c>
      <c r="F435">
        <v>-47500</v>
      </c>
      <c r="G435">
        <v>-47500</v>
      </c>
      <c r="H435">
        <v>-47500</v>
      </c>
      <c r="I435">
        <v>-47500</v>
      </c>
      <c r="J435">
        <v>-47500</v>
      </c>
      <c r="K435">
        <v>-47500</v>
      </c>
      <c r="L435">
        <v>-47500</v>
      </c>
      <c r="M435">
        <v>-47500</v>
      </c>
      <c r="N435">
        <v>-47500</v>
      </c>
      <c r="O435">
        <v>-47500</v>
      </c>
      <c r="P435">
        <v>-47500</v>
      </c>
      <c r="Q435">
        <v>-47500</v>
      </c>
      <c r="R435">
        <f t="shared" si="83"/>
        <v>27075000000</v>
      </c>
    </row>
    <row r="436" spans="2:18" x14ac:dyDescent="0.25">
      <c r="B436" t="s">
        <v>295</v>
      </c>
      <c r="C436" t="s">
        <v>39</v>
      </c>
      <c r="D436" t="s">
        <v>199</v>
      </c>
      <c r="E436" t="s">
        <v>128</v>
      </c>
      <c r="F436">
        <v>-833.33333333333337</v>
      </c>
      <c r="G436">
        <v>-833.33333333333337</v>
      </c>
      <c r="H436">
        <v>-833.33333333333337</v>
      </c>
      <c r="I436">
        <v>-833.33333333333337</v>
      </c>
      <c r="J436">
        <v>-833.33333333333337</v>
      </c>
      <c r="K436">
        <v>-833.33333333333337</v>
      </c>
      <c r="L436">
        <v>-833.33333333333337</v>
      </c>
      <c r="M436">
        <v>-833.33333333333337</v>
      </c>
      <c r="N436">
        <v>-833.33333333333337</v>
      </c>
      <c r="O436">
        <v>-833.33333333333337</v>
      </c>
      <c r="P436">
        <v>-833.33333333333337</v>
      </c>
      <c r="Q436">
        <v>-833.33333333333337</v>
      </c>
      <c r="R436">
        <f t="shared" ref="R436" si="84">SUMSQ(F436,G436,H436,I436,J436,K436,L436,M436,N436,O436,P436,Q436)</f>
        <v>8333333.3333333321</v>
      </c>
    </row>
    <row r="437" spans="2:18" x14ac:dyDescent="0.25">
      <c r="B437" t="s">
        <v>295</v>
      </c>
      <c r="C437" t="s">
        <v>113</v>
      </c>
      <c r="D437" t="s">
        <v>199</v>
      </c>
      <c r="E437" t="s">
        <v>128</v>
      </c>
      <c r="F437">
        <v>-1333.3333333333333</v>
      </c>
      <c r="G437">
        <v>-1333.3333333333333</v>
      </c>
      <c r="H437">
        <v>-1333.3333333333333</v>
      </c>
      <c r="I437">
        <v>-1333.3333333333333</v>
      </c>
      <c r="J437">
        <v>-1333.3333333333333</v>
      </c>
      <c r="K437">
        <v>-1333.3333333333333</v>
      </c>
      <c r="L437">
        <v>-1333.3333333333333</v>
      </c>
      <c r="M437">
        <v>-1333.3333333333333</v>
      </c>
      <c r="N437">
        <v>-1333.3333333333333</v>
      </c>
      <c r="O437">
        <v>-1333.3333333333333</v>
      </c>
      <c r="P437">
        <v>-1333.3333333333333</v>
      </c>
      <c r="Q437">
        <v>-1333.3333333333333</v>
      </c>
      <c r="R437">
        <f t="shared" ref="R437:R444" si="85">SUMSQ(F437,G437,H437,I437,J437,K437,L437,M437,N437,O437,P437,Q437)</f>
        <v>21333333.333333328</v>
      </c>
    </row>
    <row r="438" spans="2:18" x14ac:dyDescent="0.25">
      <c r="B438" t="s">
        <v>295</v>
      </c>
      <c r="C438" t="s">
        <v>64</v>
      </c>
      <c r="D438" t="s">
        <v>199</v>
      </c>
      <c r="E438" t="s">
        <v>128</v>
      </c>
      <c r="F438">
        <v>-70.388912037037045</v>
      </c>
      <c r="G438">
        <v>-70.388912037037045</v>
      </c>
      <c r="H438">
        <v>-70.388912037037045</v>
      </c>
      <c r="I438">
        <v>-70.388912037037045</v>
      </c>
      <c r="J438">
        <v>-70.388912037037045</v>
      </c>
      <c r="K438">
        <v>-70.388912037037045</v>
      </c>
      <c r="L438">
        <v>-70.388912037037045</v>
      </c>
      <c r="M438">
        <v>-70.388912037037045</v>
      </c>
      <c r="N438">
        <v>-70.388912037037045</v>
      </c>
      <c r="O438">
        <v>-70.388912037037045</v>
      </c>
      <c r="P438">
        <v>-70.388912037037045</v>
      </c>
      <c r="Q438">
        <v>-70.388912037037045</v>
      </c>
      <c r="R438">
        <f t="shared" si="85"/>
        <v>59455.187253092852</v>
      </c>
    </row>
    <row r="439" spans="2:18" x14ac:dyDescent="0.25">
      <c r="B439" t="s">
        <v>295</v>
      </c>
      <c r="C439" t="s">
        <v>114</v>
      </c>
      <c r="D439" t="s">
        <v>199</v>
      </c>
      <c r="E439" t="s">
        <v>14</v>
      </c>
      <c r="F439">
        <v>45000</v>
      </c>
      <c r="G439">
        <v>45000</v>
      </c>
      <c r="H439">
        <v>45000</v>
      </c>
      <c r="I439">
        <v>145000</v>
      </c>
      <c r="J439">
        <v>145000</v>
      </c>
      <c r="K439">
        <v>145000</v>
      </c>
      <c r="L439">
        <v>95000</v>
      </c>
      <c r="M439">
        <v>95000</v>
      </c>
      <c r="N439">
        <v>95000</v>
      </c>
      <c r="O439">
        <v>78333.333333333343</v>
      </c>
      <c r="P439">
        <v>78333.333333333343</v>
      </c>
      <c r="Q439">
        <v>78333.333333333343</v>
      </c>
      <c r="R439">
        <f t="shared" si="85"/>
        <v>114633333333.33334</v>
      </c>
    </row>
    <row r="440" spans="2:18" x14ac:dyDescent="0.25">
      <c r="B440" t="s">
        <v>295</v>
      </c>
      <c r="C440" t="s">
        <v>183</v>
      </c>
      <c r="D440" t="s">
        <v>199</v>
      </c>
      <c r="E440" t="s">
        <v>14</v>
      </c>
      <c r="F440">
        <v>19403.645</v>
      </c>
      <c r="G440">
        <v>19403.645</v>
      </c>
      <c r="H440">
        <v>19403.645</v>
      </c>
      <c r="I440">
        <v>19403.645</v>
      </c>
      <c r="J440">
        <v>19403.645</v>
      </c>
      <c r="K440">
        <v>19403.645</v>
      </c>
      <c r="L440">
        <v>19403.645</v>
      </c>
      <c r="M440">
        <v>19403.645</v>
      </c>
      <c r="N440">
        <v>19403.645</v>
      </c>
      <c r="O440">
        <v>19403.645</v>
      </c>
      <c r="P440">
        <v>19403.645</v>
      </c>
      <c r="Q440">
        <v>19403.645</v>
      </c>
      <c r="R440">
        <f t="shared" si="85"/>
        <v>4518017271.4322996</v>
      </c>
    </row>
    <row r="441" spans="2:18" x14ac:dyDescent="0.25">
      <c r="B441" t="s">
        <v>296</v>
      </c>
      <c r="C441" t="s">
        <v>40</v>
      </c>
      <c r="D441" t="s">
        <v>199</v>
      </c>
      <c r="E441" t="s">
        <v>128</v>
      </c>
      <c r="F441">
        <v>-78030.402499999997</v>
      </c>
      <c r="G441">
        <v>-78030.402499999997</v>
      </c>
      <c r="H441">
        <v>-78030.402499999997</v>
      </c>
      <c r="I441">
        <v>-78030.402499999997</v>
      </c>
      <c r="J441">
        <v>-78030.402499999997</v>
      </c>
      <c r="K441">
        <v>-78030.402499999997</v>
      </c>
      <c r="L441">
        <v>-78030.402499999997</v>
      </c>
      <c r="M441">
        <v>-78030.402499999997</v>
      </c>
      <c r="N441">
        <v>-78030.402499999997</v>
      </c>
      <c r="O441">
        <v>-78030.402499999997</v>
      </c>
      <c r="P441">
        <v>-78030.402499999997</v>
      </c>
      <c r="Q441">
        <v>-78030.402499999997</v>
      </c>
      <c r="R441">
        <f t="shared" si="85"/>
        <v>73064924571.744064</v>
      </c>
    </row>
    <row r="442" spans="2:18" x14ac:dyDescent="0.25">
      <c r="B442" t="s">
        <v>296</v>
      </c>
      <c r="C442" t="s">
        <v>41</v>
      </c>
      <c r="D442" t="s">
        <v>199</v>
      </c>
      <c r="E442" t="s">
        <v>128</v>
      </c>
      <c r="F442">
        <v>-2083.3333333333335</v>
      </c>
      <c r="G442">
        <v>-2083.3333333333335</v>
      </c>
      <c r="H442">
        <v>-2083.3333333333335</v>
      </c>
      <c r="I442">
        <v>-2083.3333333333335</v>
      </c>
      <c r="J442">
        <v>-2083.3333333333335</v>
      </c>
      <c r="K442">
        <v>-2083.3333333333335</v>
      </c>
      <c r="L442">
        <v>-2083.3333333333335</v>
      </c>
      <c r="M442">
        <v>-2083.3333333333335</v>
      </c>
      <c r="N442">
        <v>-2083.3333333333335</v>
      </c>
      <c r="O442">
        <v>-2083.3333333333335</v>
      </c>
      <c r="P442">
        <v>-2083.3333333333335</v>
      </c>
      <c r="Q442">
        <v>-2083.3333333333335</v>
      </c>
      <c r="R442">
        <f t="shared" si="85"/>
        <v>52083333.333333321</v>
      </c>
    </row>
    <row r="443" spans="2:18" x14ac:dyDescent="0.25">
      <c r="B443" t="s">
        <v>296</v>
      </c>
      <c r="C443" t="s">
        <v>42</v>
      </c>
      <c r="D443" t="s">
        <v>199</v>
      </c>
      <c r="E443" t="s">
        <v>128</v>
      </c>
      <c r="F443">
        <v>-33333.333333333336</v>
      </c>
      <c r="G443">
        <v>-33333.333333333336</v>
      </c>
      <c r="H443">
        <v>-33333.333333333336</v>
      </c>
      <c r="I443">
        <v>-33333.333333333336</v>
      </c>
      <c r="J443">
        <v>-33333.333333333336</v>
      </c>
      <c r="K443">
        <v>-33333.333333333336</v>
      </c>
      <c r="L443">
        <v>-33333.333333333336</v>
      </c>
      <c r="M443">
        <v>-33333.333333333336</v>
      </c>
      <c r="N443">
        <v>-33333.333333333336</v>
      </c>
      <c r="O443">
        <v>-33333.333333333336</v>
      </c>
      <c r="P443">
        <v>-33333.333333333336</v>
      </c>
      <c r="Q443">
        <v>-33333.333333333336</v>
      </c>
      <c r="R443">
        <f t="shared" si="85"/>
        <v>13333333333.33333</v>
      </c>
    </row>
    <row r="444" spans="2:18" x14ac:dyDescent="0.25">
      <c r="B444" t="s">
        <v>296</v>
      </c>
      <c r="C444" t="s">
        <v>43</v>
      </c>
      <c r="D444" t="s">
        <v>199</v>
      </c>
      <c r="E444" t="s">
        <v>128</v>
      </c>
      <c r="F444">
        <v>-416.66666666666669</v>
      </c>
      <c r="G444">
        <v>-416.66666666666669</v>
      </c>
      <c r="H444">
        <v>-416.66666666666669</v>
      </c>
      <c r="I444">
        <v>-416.66666666666669</v>
      </c>
      <c r="J444">
        <v>-416.66666666666669</v>
      </c>
      <c r="K444">
        <v>-416.66666666666669</v>
      </c>
      <c r="L444">
        <v>-416.66666666666669</v>
      </c>
      <c r="M444">
        <v>-416.66666666666669</v>
      </c>
      <c r="N444">
        <v>-416.66666666666669</v>
      </c>
      <c r="O444">
        <v>-416.66666666666669</v>
      </c>
      <c r="P444">
        <v>-416.66666666666669</v>
      </c>
      <c r="Q444">
        <v>-416.66666666666669</v>
      </c>
      <c r="R444">
        <f t="shared" si="85"/>
        <v>2083333.333333333</v>
      </c>
    </row>
    <row r="445" spans="2:18" x14ac:dyDescent="0.25">
      <c r="B445" t="s">
        <v>296</v>
      </c>
      <c r="C445" t="s">
        <v>107</v>
      </c>
      <c r="D445" t="s">
        <v>199</v>
      </c>
      <c r="E445" t="s">
        <v>128</v>
      </c>
      <c r="F445">
        <v>-833.33333333333337</v>
      </c>
      <c r="G445">
        <v>-833.33333333333337</v>
      </c>
      <c r="H445">
        <v>-833.33333333333337</v>
      </c>
      <c r="I445">
        <v>-833.33333333333337</v>
      </c>
      <c r="J445">
        <v>-833.33333333333337</v>
      </c>
      <c r="K445">
        <v>-833.33333333333337</v>
      </c>
      <c r="L445">
        <v>-833.33333333333337</v>
      </c>
      <c r="M445">
        <v>-833.33333333333337</v>
      </c>
      <c r="N445">
        <v>-833.33333333333337</v>
      </c>
      <c r="O445">
        <v>-833.33333333333337</v>
      </c>
      <c r="P445">
        <v>-833.33333333333337</v>
      </c>
      <c r="Q445">
        <v>-833.33333333333337</v>
      </c>
      <c r="R445">
        <f t="shared" ref="R445:R449" si="86">SUMSQ(F445,G445,H445,I445,J445,K445,L445,M445,N445,O445,P445,Q445)</f>
        <v>8333333.3333333321</v>
      </c>
    </row>
    <row r="446" spans="2:18" x14ac:dyDescent="0.25">
      <c r="B446" t="s">
        <v>296</v>
      </c>
      <c r="C446" t="s">
        <v>64</v>
      </c>
      <c r="D446" t="s">
        <v>223</v>
      </c>
      <c r="E446" t="s">
        <v>128</v>
      </c>
      <c r="F446">
        <v>-400</v>
      </c>
      <c r="G446">
        <v>-400</v>
      </c>
      <c r="H446">
        <v>-400</v>
      </c>
      <c r="I446">
        <v>-400</v>
      </c>
      <c r="J446">
        <v>-400</v>
      </c>
      <c r="K446">
        <v>-400</v>
      </c>
      <c r="L446">
        <v>-400</v>
      </c>
      <c r="M446">
        <v>-400</v>
      </c>
      <c r="N446">
        <v>-400</v>
      </c>
      <c r="O446">
        <v>-400</v>
      </c>
      <c r="P446">
        <v>-400</v>
      </c>
      <c r="Q446">
        <v>-400</v>
      </c>
      <c r="R446">
        <f t="shared" si="86"/>
        <v>1920000</v>
      </c>
    </row>
    <row r="447" spans="2:18" x14ac:dyDescent="0.25">
      <c r="B447" t="s">
        <v>296</v>
      </c>
      <c r="C447" t="s">
        <v>116</v>
      </c>
      <c r="D447" t="s">
        <v>199</v>
      </c>
      <c r="E447" t="s">
        <v>14</v>
      </c>
      <c r="F447">
        <v>16810.875</v>
      </c>
      <c r="G447">
        <v>16810.875</v>
      </c>
      <c r="H447">
        <v>16810.875</v>
      </c>
      <c r="I447">
        <v>16810.875</v>
      </c>
      <c r="J447">
        <v>16810.875</v>
      </c>
      <c r="K447">
        <v>16810.875</v>
      </c>
      <c r="L447">
        <v>16810.875</v>
      </c>
      <c r="M447">
        <v>16810.875</v>
      </c>
      <c r="N447">
        <v>16810.875</v>
      </c>
      <c r="O447">
        <v>16810.875</v>
      </c>
      <c r="P447">
        <v>16810.875</v>
      </c>
      <c r="Q447">
        <v>16810.875</v>
      </c>
      <c r="R447">
        <f t="shared" si="86"/>
        <v>3391266219.1875</v>
      </c>
    </row>
    <row r="448" spans="2:18" x14ac:dyDescent="0.25">
      <c r="B448" t="s">
        <v>297</v>
      </c>
      <c r="C448" t="s">
        <v>11</v>
      </c>
      <c r="D448" t="s">
        <v>199</v>
      </c>
      <c r="E448" t="s">
        <v>128</v>
      </c>
      <c r="F448">
        <v>-52337.158333333333</v>
      </c>
      <c r="G448">
        <v>-52337.158333333333</v>
      </c>
      <c r="H448">
        <v>-52337.158333333333</v>
      </c>
      <c r="I448">
        <v>-52337.158333333333</v>
      </c>
      <c r="J448">
        <v>-52337.158333333333</v>
      </c>
      <c r="K448">
        <v>-52337.158333333333</v>
      </c>
      <c r="L448">
        <v>-52337.158333333333</v>
      </c>
      <c r="M448">
        <v>-52337.158333333333</v>
      </c>
      <c r="N448">
        <v>-52337.158333333333</v>
      </c>
      <c r="O448">
        <v>-52337.158333333333</v>
      </c>
      <c r="P448">
        <v>-52337.158333333333</v>
      </c>
      <c r="Q448">
        <v>-52337.158333333333</v>
      </c>
      <c r="R448">
        <f t="shared" si="86"/>
        <v>32870137708.900829</v>
      </c>
    </row>
    <row r="449" spans="2:18" x14ac:dyDescent="0.25">
      <c r="B449" t="s">
        <v>297</v>
      </c>
      <c r="C449" t="s">
        <v>12</v>
      </c>
      <c r="D449" t="s">
        <v>199</v>
      </c>
      <c r="E449" t="s">
        <v>128</v>
      </c>
      <c r="F449">
        <v>-3333.3333333333335</v>
      </c>
      <c r="G449">
        <v>-3333.3333333333335</v>
      </c>
      <c r="H449">
        <v>-3333.3333333333335</v>
      </c>
      <c r="I449">
        <v>-3333.3333333333335</v>
      </c>
      <c r="J449">
        <v>-3333.3333333333335</v>
      </c>
      <c r="K449">
        <v>-3333.3333333333335</v>
      </c>
      <c r="L449">
        <v>-3333.3333333333335</v>
      </c>
      <c r="M449">
        <v>-3333.3333333333335</v>
      </c>
      <c r="N449">
        <v>-3333.3333333333335</v>
      </c>
      <c r="O449">
        <v>-3333.3333333333335</v>
      </c>
      <c r="P449">
        <v>-3333.3333333333335</v>
      </c>
      <c r="Q449">
        <v>-3333.3333333333335</v>
      </c>
      <c r="R449">
        <f t="shared" si="86"/>
        <v>133333333.33333331</v>
      </c>
    </row>
    <row r="450" spans="2:18" x14ac:dyDescent="0.25">
      <c r="B450" t="s">
        <v>297</v>
      </c>
      <c r="C450" t="s">
        <v>16</v>
      </c>
      <c r="D450" t="s">
        <v>199</v>
      </c>
      <c r="E450" t="s">
        <v>128</v>
      </c>
      <c r="F450">
        <v>-51000</v>
      </c>
      <c r="G450">
        <v>-51000</v>
      </c>
      <c r="H450">
        <v>-51000</v>
      </c>
      <c r="I450">
        <v>-59333.333333333336</v>
      </c>
      <c r="J450">
        <v>-59333.333333333336</v>
      </c>
      <c r="K450">
        <v>-59333.333333333336</v>
      </c>
      <c r="L450">
        <v>-67666.666666666672</v>
      </c>
      <c r="M450">
        <v>-67666.666666666672</v>
      </c>
      <c r="N450">
        <v>-67666.666666666672</v>
      </c>
      <c r="O450">
        <v>-59333.333333333336</v>
      </c>
      <c r="P450">
        <v>-59333.333333333336</v>
      </c>
      <c r="Q450">
        <v>-59333.333333333336</v>
      </c>
      <c r="R450">
        <f t="shared" ref="R450:R452" si="87">SUMSQ(F450,G450,H450,I450,J450,K450,L450,M450,N450,O450,P450,Q450)</f>
        <v>42662000000</v>
      </c>
    </row>
    <row r="451" spans="2:18" x14ac:dyDescent="0.25">
      <c r="B451" t="s">
        <v>297</v>
      </c>
      <c r="C451" t="s">
        <v>13</v>
      </c>
      <c r="D451" t="s">
        <v>199</v>
      </c>
      <c r="E451" t="s">
        <v>128</v>
      </c>
      <c r="F451">
        <v>-416.66666666666669</v>
      </c>
      <c r="G451">
        <v>-416.66666666666669</v>
      </c>
      <c r="H451">
        <v>-416.66666666666669</v>
      </c>
      <c r="I451">
        <v>-416.66666666666669</v>
      </c>
      <c r="J451">
        <v>-416.66666666666669</v>
      </c>
      <c r="K451">
        <v>-416.66666666666669</v>
      </c>
      <c r="L451">
        <v>-416.66666666666669</v>
      </c>
      <c r="M451">
        <v>-416.66666666666669</v>
      </c>
      <c r="N451">
        <v>-416.66666666666669</v>
      </c>
      <c r="O451">
        <v>-416.66666666666669</v>
      </c>
      <c r="P451">
        <v>-416.66666666666669</v>
      </c>
      <c r="Q451">
        <v>-416.66666666666669</v>
      </c>
      <c r="R451">
        <f t="shared" si="87"/>
        <v>2083333.333333333</v>
      </c>
    </row>
    <row r="452" spans="2:18" x14ac:dyDescent="0.25">
      <c r="B452" t="s">
        <v>297</v>
      </c>
      <c r="C452" t="s">
        <v>109</v>
      </c>
      <c r="D452" t="s">
        <v>199</v>
      </c>
      <c r="E452" t="s">
        <v>128</v>
      </c>
      <c r="F452">
        <v>-333.33333333333331</v>
      </c>
      <c r="G452">
        <v>-333.33333333333331</v>
      </c>
      <c r="H452">
        <v>-333.33333333333331</v>
      </c>
      <c r="I452">
        <v>-333.33333333333331</v>
      </c>
      <c r="J452">
        <v>-333.33333333333331</v>
      </c>
      <c r="K452">
        <v>-333.33333333333331</v>
      </c>
      <c r="L452">
        <v>-333.33333333333331</v>
      </c>
      <c r="M452">
        <v>-333.33333333333331</v>
      </c>
      <c r="N452">
        <v>-333.33333333333331</v>
      </c>
      <c r="O452">
        <v>-333.33333333333331</v>
      </c>
      <c r="P452">
        <v>-333.33333333333331</v>
      </c>
      <c r="Q452">
        <v>-333.33333333333331</v>
      </c>
      <c r="R452">
        <f t="shared" si="87"/>
        <v>1333333.333333333</v>
      </c>
    </row>
    <row r="453" spans="2:18" x14ac:dyDescent="0.25">
      <c r="B453" t="s">
        <v>298</v>
      </c>
      <c r="C453" t="s">
        <v>18</v>
      </c>
      <c r="D453" t="s">
        <v>199</v>
      </c>
      <c r="E453" t="s">
        <v>128</v>
      </c>
      <c r="F453">
        <v>-46475.894999999997</v>
      </c>
      <c r="G453">
        <v>-46475.894999999997</v>
      </c>
      <c r="H453">
        <v>-46475.894999999997</v>
      </c>
      <c r="I453">
        <v>-46475.894999999997</v>
      </c>
      <c r="J453">
        <v>-46475.894999999997</v>
      </c>
      <c r="K453">
        <v>-46475.894999999997</v>
      </c>
      <c r="L453">
        <v>-46475.894999999997</v>
      </c>
      <c r="M453">
        <v>-46475.894999999997</v>
      </c>
      <c r="N453">
        <v>-46475.894999999997</v>
      </c>
      <c r="O453">
        <v>-46475.894999999997</v>
      </c>
      <c r="P453">
        <v>-46475.894999999997</v>
      </c>
      <c r="Q453">
        <v>-46475.894999999997</v>
      </c>
      <c r="R453">
        <f t="shared" ref="R453:R462" si="88">SUMSQ(F453,G453,H453,I453,J453,K453,L453,M453,N453,O453,P453,Q453)</f>
        <v>25920105792.612301</v>
      </c>
    </row>
    <row r="454" spans="2:18" x14ac:dyDescent="0.25">
      <c r="B454" t="s">
        <v>298</v>
      </c>
      <c r="C454" t="s">
        <v>19</v>
      </c>
      <c r="D454" t="s">
        <v>199</v>
      </c>
      <c r="E454" t="s">
        <v>128</v>
      </c>
      <c r="F454">
        <v>-3333.3333333333335</v>
      </c>
      <c r="G454">
        <v>-3333.3333333333335</v>
      </c>
      <c r="H454">
        <v>-3333.3333333333335</v>
      </c>
      <c r="I454">
        <v>-3333.3333333333335</v>
      </c>
      <c r="J454">
        <v>-3333.3333333333335</v>
      </c>
      <c r="K454">
        <v>-3333.3333333333335</v>
      </c>
      <c r="L454">
        <v>-3333.3333333333335</v>
      </c>
      <c r="M454">
        <v>-3333.3333333333335</v>
      </c>
      <c r="N454">
        <v>-3333.3333333333335</v>
      </c>
      <c r="O454">
        <v>-3333.3333333333335</v>
      </c>
      <c r="P454">
        <v>-3333.3333333333335</v>
      </c>
      <c r="Q454">
        <v>-3333.3333333333335</v>
      </c>
      <c r="R454">
        <f t="shared" si="88"/>
        <v>133333333.33333331</v>
      </c>
    </row>
    <row r="455" spans="2:18" x14ac:dyDescent="0.25">
      <c r="B455" t="s">
        <v>298</v>
      </c>
      <c r="C455" t="s">
        <v>20</v>
      </c>
      <c r="D455" t="s">
        <v>199</v>
      </c>
      <c r="E455" t="s">
        <v>128</v>
      </c>
      <c r="F455">
        <v>-6666.666666666667</v>
      </c>
      <c r="G455">
        <v>-6666.666666666667</v>
      </c>
      <c r="H455">
        <v>-6666.666666666667</v>
      </c>
      <c r="I455">
        <v>-6666.666666666667</v>
      </c>
      <c r="J455">
        <v>-6666.666666666667</v>
      </c>
      <c r="K455">
        <v>-6666.666666666667</v>
      </c>
      <c r="L455">
        <v>-6666.666666666667</v>
      </c>
      <c r="M455">
        <v>-6666.666666666667</v>
      </c>
      <c r="N455">
        <v>-6666.666666666667</v>
      </c>
      <c r="O455">
        <v>-6666.666666666667</v>
      </c>
      <c r="P455">
        <v>-6666.666666666667</v>
      </c>
      <c r="Q455">
        <v>-6666.666666666667</v>
      </c>
      <c r="R455">
        <f t="shared" si="88"/>
        <v>533333333.33333325</v>
      </c>
    </row>
    <row r="456" spans="2:18" x14ac:dyDescent="0.25">
      <c r="B456" t="s">
        <v>298</v>
      </c>
      <c r="C456" t="s">
        <v>21</v>
      </c>
      <c r="D456" t="s">
        <v>199</v>
      </c>
      <c r="E456" t="s">
        <v>128</v>
      </c>
      <c r="F456">
        <v>-250</v>
      </c>
      <c r="G456">
        <v>-250</v>
      </c>
      <c r="H456">
        <v>-250</v>
      </c>
      <c r="I456">
        <v>-250</v>
      </c>
      <c r="J456">
        <v>-250</v>
      </c>
      <c r="K456">
        <v>-250</v>
      </c>
      <c r="L456">
        <v>-250</v>
      </c>
      <c r="M456">
        <v>-250</v>
      </c>
      <c r="N456">
        <v>-250</v>
      </c>
      <c r="O456">
        <v>-250</v>
      </c>
      <c r="P456">
        <v>-250</v>
      </c>
      <c r="Q456">
        <v>-250</v>
      </c>
      <c r="R456">
        <f t="shared" si="88"/>
        <v>750000</v>
      </c>
    </row>
    <row r="457" spans="2:18" x14ac:dyDescent="0.25">
      <c r="B457" t="s">
        <v>298</v>
      </c>
      <c r="C457" t="s">
        <v>95</v>
      </c>
      <c r="D457" t="s">
        <v>199</v>
      </c>
      <c r="E457" t="s">
        <v>128</v>
      </c>
      <c r="F457">
        <v>-833.33333333333337</v>
      </c>
      <c r="G457">
        <v>-833.33333333333337</v>
      </c>
      <c r="H457">
        <v>-833.33333333333337</v>
      </c>
      <c r="I457">
        <v>-833.33333333333337</v>
      </c>
      <c r="J457">
        <v>-833.33333333333337</v>
      </c>
      <c r="K457">
        <v>-833.33333333333337</v>
      </c>
      <c r="L457">
        <v>-833.33333333333337</v>
      </c>
      <c r="M457">
        <v>-833.33333333333337</v>
      </c>
      <c r="N457">
        <v>-833.33333333333337</v>
      </c>
      <c r="O457">
        <v>-833.33333333333337</v>
      </c>
      <c r="P457">
        <v>-833.33333333333337</v>
      </c>
      <c r="Q457">
        <v>-833.33333333333337</v>
      </c>
      <c r="R457">
        <f t="shared" si="88"/>
        <v>8333333.3333333321</v>
      </c>
    </row>
    <row r="458" spans="2:18" x14ac:dyDescent="0.25">
      <c r="B458" t="s">
        <v>298</v>
      </c>
      <c r="C458" t="s">
        <v>64</v>
      </c>
      <c r="D458" t="s">
        <v>199</v>
      </c>
      <c r="E458" t="s">
        <v>128</v>
      </c>
      <c r="F458">
        <v>-37.201000000000001</v>
      </c>
      <c r="G458">
        <v>-37.201000000000001</v>
      </c>
      <c r="H458">
        <v>-37.201000000000001</v>
      </c>
      <c r="I458">
        <v>-37.201000000000001</v>
      </c>
      <c r="J458">
        <v>-37.201000000000001</v>
      </c>
      <c r="K458">
        <v>-37.201000000000001</v>
      </c>
      <c r="L458">
        <v>-37.201000000000001</v>
      </c>
      <c r="M458">
        <v>-37.201000000000001</v>
      </c>
      <c r="N458">
        <v>-37.201000000000001</v>
      </c>
      <c r="O458">
        <v>-37.201000000000001</v>
      </c>
      <c r="P458">
        <v>-37.201000000000001</v>
      </c>
      <c r="Q458">
        <v>-37.201000000000001</v>
      </c>
      <c r="R458">
        <f t="shared" si="88"/>
        <v>16606.972812</v>
      </c>
    </row>
    <row r="459" spans="2:18" x14ac:dyDescent="0.25">
      <c r="B459" t="s">
        <v>299</v>
      </c>
      <c r="C459" t="s">
        <v>18</v>
      </c>
      <c r="D459" t="s">
        <v>199</v>
      </c>
      <c r="E459" t="s">
        <v>128</v>
      </c>
      <c r="F459">
        <v>-47128.90083333334</v>
      </c>
      <c r="G459">
        <v>-47128.90083333334</v>
      </c>
      <c r="H459">
        <v>-47128.90083333334</v>
      </c>
      <c r="I459">
        <v>-47128.90083333334</v>
      </c>
      <c r="J459">
        <v>-47128.90083333334</v>
      </c>
      <c r="K459">
        <v>-47128.90083333334</v>
      </c>
      <c r="L459">
        <v>-47128.90083333334</v>
      </c>
      <c r="M459">
        <v>-47128.90083333334</v>
      </c>
      <c r="N459">
        <v>-47128.90083333334</v>
      </c>
      <c r="O459">
        <v>-47128.90083333334</v>
      </c>
      <c r="P459">
        <v>-47128.90083333334</v>
      </c>
      <c r="Q459">
        <v>-47128.90083333334</v>
      </c>
      <c r="R459">
        <f t="shared" si="88"/>
        <v>26653599525.098011</v>
      </c>
    </row>
    <row r="460" spans="2:18" x14ac:dyDescent="0.25">
      <c r="B460" t="s">
        <v>299</v>
      </c>
      <c r="C460" t="s">
        <v>19</v>
      </c>
      <c r="D460" t="s">
        <v>199</v>
      </c>
      <c r="E460" t="s">
        <v>128</v>
      </c>
      <c r="F460">
        <v>-666.66666666666663</v>
      </c>
      <c r="G460">
        <v>-666.66666666666663</v>
      </c>
      <c r="H460">
        <v>-666.66666666666663</v>
      </c>
      <c r="I460">
        <v>-666.66666666666663</v>
      </c>
      <c r="J460">
        <v>-666.66666666666663</v>
      </c>
      <c r="K460">
        <v>-666.66666666666663</v>
      </c>
      <c r="L460">
        <v>-666.66666666666663</v>
      </c>
      <c r="M460">
        <v>-666.66666666666663</v>
      </c>
      <c r="N460">
        <v>-666.66666666666663</v>
      </c>
      <c r="O460">
        <v>-666.66666666666663</v>
      </c>
      <c r="P460">
        <v>-666.66666666666663</v>
      </c>
      <c r="Q460">
        <v>-666.66666666666663</v>
      </c>
      <c r="R460">
        <f t="shared" si="88"/>
        <v>5333333.3333333321</v>
      </c>
    </row>
    <row r="461" spans="2:18" x14ac:dyDescent="0.25">
      <c r="B461" t="s">
        <v>299</v>
      </c>
      <c r="C461" t="s">
        <v>21</v>
      </c>
      <c r="D461" t="s">
        <v>199</v>
      </c>
      <c r="E461" t="s">
        <v>128</v>
      </c>
      <c r="F461">
        <v>-83.333333333333329</v>
      </c>
      <c r="G461">
        <v>-83.333333333333329</v>
      </c>
      <c r="H461">
        <v>-83.333333333333329</v>
      </c>
      <c r="I461">
        <v>-83.333333333333329</v>
      </c>
      <c r="J461">
        <v>-83.333333333333329</v>
      </c>
      <c r="K461">
        <v>-83.333333333333329</v>
      </c>
      <c r="L461">
        <v>-83.333333333333329</v>
      </c>
      <c r="M461">
        <v>-83.333333333333329</v>
      </c>
      <c r="N461">
        <v>-83.333333333333329</v>
      </c>
      <c r="O461">
        <v>-83.333333333333329</v>
      </c>
      <c r="P461">
        <v>-83.333333333333329</v>
      </c>
      <c r="Q461">
        <v>-83.333333333333329</v>
      </c>
      <c r="R461">
        <f t="shared" si="88"/>
        <v>83333.333333333314</v>
      </c>
    </row>
    <row r="462" spans="2:18" x14ac:dyDescent="0.25">
      <c r="B462" t="s">
        <v>299</v>
      </c>
      <c r="C462" t="s">
        <v>95</v>
      </c>
      <c r="D462" t="s">
        <v>199</v>
      </c>
      <c r="E462" t="s">
        <v>128</v>
      </c>
      <c r="F462">
        <v>-833.33333333333337</v>
      </c>
      <c r="G462">
        <v>-833.33333333333337</v>
      </c>
      <c r="H462">
        <v>-833.33333333333337</v>
      </c>
      <c r="I462">
        <v>-833.33333333333337</v>
      </c>
      <c r="J462">
        <v>-833.33333333333337</v>
      </c>
      <c r="K462">
        <v>-833.33333333333337</v>
      </c>
      <c r="L462">
        <v>-833.33333333333337</v>
      </c>
      <c r="M462">
        <v>-833.33333333333337</v>
      </c>
      <c r="N462">
        <v>-833.33333333333337</v>
      </c>
      <c r="O462">
        <v>-833.33333333333337</v>
      </c>
      <c r="P462">
        <v>-833.33333333333337</v>
      </c>
      <c r="Q462">
        <v>-833.33333333333337</v>
      </c>
      <c r="R462">
        <f t="shared" si="88"/>
        <v>8333333.3333333321</v>
      </c>
    </row>
    <row r="463" spans="2:18" x14ac:dyDescent="0.25">
      <c r="B463" t="s">
        <v>299</v>
      </c>
      <c r="C463" t="s">
        <v>100</v>
      </c>
      <c r="D463" t="s">
        <v>199</v>
      </c>
      <c r="E463" t="s">
        <v>14</v>
      </c>
      <c r="F463">
        <v>23564.450833333332</v>
      </c>
      <c r="G463">
        <v>23564.450833333332</v>
      </c>
      <c r="H463">
        <v>23564.450833333332</v>
      </c>
      <c r="I463">
        <v>23564.450833333332</v>
      </c>
      <c r="J463">
        <v>23564.450833333332</v>
      </c>
      <c r="K463">
        <v>23564.450833333332</v>
      </c>
      <c r="L463">
        <v>23564.450833333332</v>
      </c>
      <c r="M463">
        <v>23564.450833333332</v>
      </c>
      <c r="N463">
        <v>23564.450833333332</v>
      </c>
      <c r="O463">
        <v>23564.450833333332</v>
      </c>
      <c r="P463">
        <v>23564.450833333332</v>
      </c>
      <c r="Q463">
        <v>23564.450833333332</v>
      </c>
      <c r="R463">
        <f t="shared" ref="R463" si="89">SUMSQ(F463,G463,H463,I463,J463,K463,L463,M463,N463,O463,P463,Q463)</f>
        <v>6663400116.9190073</v>
      </c>
    </row>
  </sheetData>
  <autoFilter ref="B10:R463"/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Q463"/>
  <sheetViews>
    <sheetView workbookViewId="0">
      <selection activeCell="D10" sqref="D10"/>
    </sheetView>
  </sheetViews>
  <sheetFormatPr baseColWidth="10" defaultRowHeight="15" x14ac:dyDescent="0.25"/>
  <cols>
    <col min="2" max="2" width="23.28515625" bestFit="1" customWidth="1"/>
    <col min="3" max="3" width="22" customWidth="1"/>
    <col min="4" max="4" width="10.42578125" customWidth="1"/>
    <col min="5" max="5" width="13.28515625" customWidth="1"/>
    <col min="6" max="6" width="11.42578125" customWidth="1"/>
  </cols>
  <sheetData>
    <row r="1" spans="1:17" x14ac:dyDescent="0.25">
      <c r="A1">
        <v>0</v>
      </c>
      <c r="B1" t="s">
        <v>0</v>
      </c>
      <c r="C1" t="str">
        <f ca="1">_xll.VIEW("tango_core_model:RP_PL_Corp",$C$2,$C$3,$C$4,"!",$C$5,$C$6,"!","!","!",$C$7,"!")</f>
        <v>tango_core_model:RP_PL_Corp</v>
      </c>
    </row>
    <row r="2" spans="1:17" x14ac:dyDescent="0.25">
      <c r="B2" s="1" t="s">
        <v>1</v>
      </c>
      <c r="C2" t="str">
        <f ca="1">_xll.SUBNM("tango_core_model:Currency","","LCL")</f>
        <v>LCL</v>
      </c>
    </row>
    <row r="3" spans="1:17" x14ac:dyDescent="0.25">
      <c r="B3" s="1" t="s">
        <v>2</v>
      </c>
      <c r="C3" t="str">
        <f ca="1">_xll.SUBNM("tango_core_model:Gaap","","Local_Gaap_Mgmt_tool")</f>
        <v>Local_Gaap_Mgmt_tool</v>
      </c>
    </row>
    <row r="4" spans="1:17" x14ac:dyDescent="0.25">
      <c r="B4" s="1" t="s">
        <v>3</v>
      </c>
      <c r="C4" t="str">
        <f ca="1">_xll.SUBNM("tango_core_model:Integration_Rate","","NO_APP")</f>
        <v>NO_APP</v>
      </c>
    </row>
    <row r="5" spans="1:17" x14ac:dyDescent="0.25">
      <c r="B5" s="1" t="s">
        <v>4</v>
      </c>
      <c r="C5" t="str">
        <f ca="1">_xll.SUBNM("tango_core_model:Matricules","","NA")</f>
        <v>NA</v>
      </c>
    </row>
    <row r="6" spans="1:17" x14ac:dyDescent="0.25">
      <c r="B6" s="1" t="s">
        <v>5</v>
      </c>
      <c r="C6" t="str">
        <f ca="1">_xll.SUBNM("tango_core_model:Legal_Organization_Corp","","SH001")</f>
        <v>SH001</v>
      </c>
    </row>
    <row r="7" spans="1:17" x14ac:dyDescent="0.25">
      <c r="B7" s="1" t="s">
        <v>6</v>
      </c>
      <c r="C7" t="str">
        <f ca="1">_xll.SUBNM("tango_core_model:Phase","","MAN_BUDG","French")</f>
        <v>Budget Ajustement manuel</v>
      </c>
    </row>
    <row r="10" spans="1:17" x14ac:dyDescent="0.25">
      <c r="B10" s="1" t="s">
        <v>83</v>
      </c>
      <c r="C10" t="s">
        <v>84</v>
      </c>
      <c r="D10" t="s">
        <v>85</v>
      </c>
      <c r="E10" t="s">
        <v>86</v>
      </c>
      <c r="F10" t="s">
        <v>187</v>
      </c>
      <c r="G10" t="s">
        <v>188</v>
      </c>
      <c r="H10" t="s">
        <v>189</v>
      </c>
      <c r="I10" t="s">
        <v>190</v>
      </c>
      <c r="J10" t="s">
        <v>191</v>
      </c>
      <c r="K10" t="s">
        <v>192</v>
      </c>
      <c r="L10" t="s">
        <v>193</v>
      </c>
      <c r="M10" t="s">
        <v>194</v>
      </c>
      <c r="N10" t="s">
        <v>195</v>
      </c>
      <c r="O10" t="s">
        <v>196</v>
      </c>
      <c r="P10" t="s">
        <v>197</v>
      </c>
      <c r="Q10" t="s">
        <v>198</v>
      </c>
    </row>
    <row r="11" spans="1:17" x14ac:dyDescent="0.25">
      <c r="B11" s="3" t="s">
        <v>230</v>
      </c>
      <c r="C11" t="s">
        <v>11</v>
      </c>
      <c r="D11" t="s">
        <v>199</v>
      </c>
      <c r="E11" t="s">
        <v>128</v>
      </c>
      <c r="F11" s="2">
        <f ca="1">IF(Flag_Send_Data=1,_xll.DBSW(Val!F11,Val!$C$1,Val!$C$2,Val!$C$3,Val!$C$4,Val!$D11,Val!$C$5,Val!$C$6,Val!$B11,Val!$E11,Val!F$10,Val!$C$7,Val!$C11),"")</f>
        <v>-71907.534166666665</v>
      </c>
      <c r="G11" s="2">
        <f ca="1">IF(Flag_Send_Data=1,_xll.DBSW(Val!G11,Val!$C$1,Val!$C$2,Val!$C$3,Val!$C$4,Val!$D11,Val!$C$5,Val!$C$6,Val!$B11,Val!$E11,Val!G$10,Val!$C$7,Val!$C11),"")</f>
        <v>-71907.534166666665</v>
      </c>
      <c r="H11" s="2">
        <f ca="1">IF(Flag_Send_Data=1,_xll.DBSW(Val!H11,Val!$C$1,Val!$C$2,Val!$C$3,Val!$C$4,Val!$D11,Val!$C$5,Val!$C$6,Val!$B11,Val!$E11,Val!H$10,Val!$C$7,Val!$C11),"")</f>
        <v>-71907.534166666665</v>
      </c>
      <c r="I11" s="2">
        <f ca="1">IF(Flag_Send_Data=1,_xll.DBSW(Val!I11,Val!$C$1,Val!$C$2,Val!$C$3,Val!$C$4,Val!$D11,Val!$C$5,Val!$C$6,Val!$B11,Val!$E11,Val!I$10,Val!$C$7,Val!$C11),"")</f>
        <v>-71907.534166666665</v>
      </c>
      <c r="J11" s="2">
        <f ca="1">IF(Flag_Send_Data=1,_xll.DBSW(Val!J11,Val!$C$1,Val!$C$2,Val!$C$3,Val!$C$4,Val!$D11,Val!$C$5,Val!$C$6,Val!$B11,Val!$E11,Val!J$10,Val!$C$7,Val!$C11),"")</f>
        <v>-71907.534166666665</v>
      </c>
      <c r="K11" s="2">
        <f ca="1">IF(Flag_Send_Data=1,_xll.DBSW(Val!K11,Val!$C$1,Val!$C$2,Val!$C$3,Val!$C$4,Val!$D11,Val!$C$5,Val!$C$6,Val!$B11,Val!$E11,Val!K$10,Val!$C$7,Val!$C11),"")</f>
        <v>-71907.534166666665</v>
      </c>
      <c r="L11" s="2">
        <f ca="1">IF(Flag_Send_Data=1,_xll.DBSW(Val!L11,Val!$C$1,Val!$C$2,Val!$C$3,Val!$C$4,Val!$D11,Val!$C$5,Val!$C$6,Val!$B11,Val!$E11,Val!L$10,Val!$C$7,Val!$C11),"")</f>
        <v>-71907.534166666665</v>
      </c>
      <c r="M11" s="2">
        <f ca="1">IF(Flag_Send_Data=1,_xll.DBSW(Val!M11,Val!$C$1,Val!$C$2,Val!$C$3,Val!$C$4,Val!$D11,Val!$C$5,Val!$C$6,Val!$B11,Val!$E11,Val!M$10,Val!$C$7,Val!$C11),"")</f>
        <v>-71907.534166666665</v>
      </c>
      <c r="N11" s="2">
        <f ca="1">IF(Flag_Send_Data=1,_xll.DBSW(Val!N11,Val!$C$1,Val!$C$2,Val!$C$3,Val!$C$4,Val!$D11,Val!$C$5,Val!$C$6,Val!$B11,Val!$E11,Val!N$10,Val!$C$7,Val!$C11),"")</f>
        <v>-71907.534166666665</v>
      </c>
      <c r="O11" s="2">
        <f ca="1">IF(Flag_Send_Data=1,_xll.DBSW(Val!O11,Val!$C$1,Val!$C$2,Val!$C$3,Val!$C$4,Val!$D11,Val!$C$5,Val!$C$6,Val!$B11,Val!$E11,Val!O$10,Val!$C$7,Val!$C11),"")</f>
        <v>-71907.534166666665</v>
      </c>
      <c r="P11" s="2">
        <f ca="1">IF(Flag_Send_Data=1,_xll.DBSW(Val!P11,Val!$C$1,Val!$C$2,Val!$C$3,Val!$C$4,Val!$D11,Val!$C$5,Val!$C$6,Val!$B11,Val!$E11,Val!P$10,Val!$C$7,Val!$C11),"")</f>
        <v>-71907.534166666665</v>
      </c>
      <c r="Q11" s="2">
        <f ca="1">IF(Flag_Send_Data=1,_xll.DBSW(Val!Q11,Val!$C$1,Val!$C$2,Val!$C$3,Val!$C$4,Val!$D11,Val!$C$5,Val!$C$6,Val!$B11,Val!$E11,Val!Q$10,Val!$C$7,Val!$C11),"")</f>
        <v>-71907.534166666665</v>
      </c>
    </row>
    <row r="12" spans="1:17" x14ac:dyDescent="0.25">
      <c r="B12" s="3" t="s">
        <v>230</v>
      </c>
      <c r="C12" t="s">
        <v>12</v>
      </c>
      <c r="D12" t="s">
        <v>199</v>
      </c>
      <c r="E12" t="s">
        <v>128</v>
      </c>
      <c r="F12" s="2">
        <f ca="1">IF(Flag_Send_Data=1,_xll.DBSW(Val!F12,Val!$C$1,Val!$C$2,Val!$C$3,Val!$C$4,Val!$D12,Val!$C$5,Val!$C$6,Val!$B12,Val!$E12,Val!F$10,Val!$C$7,Val!$C12),"")</f>
        <v>-7500</v>
      </c>
      <c r="G12" s="2">
        <f ca="1">IF(Flag_Send_Data=1,_xll.DBSW(Val!G12,Val!$C$1,Val!$C$2,Val!$C$3,Val!$C$4,Val!$D12,Val!$C$5,Val!$C$6,Val!$B12,Val!$E12,Val!G$10,Val!$C$7,Val!$C12),"")</f>
        <v>-7500</v>
      </c>
      <c r="H12" s="2">
        <f ca="1">IF(Flag_Send_Data=1,_xll.DBSW(Val!H12,Val!$C$1,Val!$C$2,Val!$C$3,Val!$C$4,Val!$D12,Val!$C$5,Val!$C$6,Val!$B12,Val!$E12,Val!H$10,Val!$C$7,Val!$C12),"")</f>
        <v>-7500</v>
      </c>
      <c r="I12" s="2">
        <f ca="1">IF(Flag_Send_Data=1,_xll.DBSW(Val!I12,Val!$C$1,Val!$C$2,Val!$C$3,Val!$C$4,Val!$D12,Val!$C$5,Val!$C$6,Val!$B12,Val!$E12,Val!I$10,Val!$C$7,Val!$C12),"")</f>
        <v>-7500</v>
      </c>
      <c r="J12" s="2">
        <f ca="1">IF(Flag_Send_Data=1,_xll.DBSW(Val!J12,Val!$C$1,Val!$C$2,Val!$C$3,Val!$C$4,Val!$D12,Val!$C$5,Val!$C$6,Val!$B12,Val!$E12,Val!J$10,Val!$C$7,Val!$C12),"")</f>
        <v>-7500</v>
      </c>
      <c r="K12" s="2">
        <f ca="1">IF(Flag_Send_Data=1,_xll.DBSW(Val!K12,Val!$C$1,Val!$C$2,Val!$C$3,Val!$C$4,Val!$D12,Val!$C$5,Val!$C$6,Val!$B12,Val!$E12,Val!K$10,Val!$C$7,Val!$C12),"")</f>
        <v>-7500</v>
      </c>
      <c r="L12" s="2">
        <f ca="1">IF(Flag_Send_Data=1,_xll.DBSW(Val!L12,Val!$C$1,Val!$C$2,Val!$C$3,Val!$C$4,Val!$D12,Val!$C$5,Val!$C$6,Val!$B12,Val!$E12,Val!L$10,Val!$C$7,Val!$C12),"")</f>
        <v>-7500</v>
      </c>
      <c r="M12" s="2">
        <f ca="1">IF(Flag_Send_Data=1,_xll.DBSW(Val!M12,Val!$C$1,Val!$C$2,Val!$C$3,Val!$C$4,Val!$D12,Val!$C$5,Val!$C$6,Val!$B12,Val!$E12,Val!M$10,Val!$C$7,Val!$C12),"")</f>
        <v>-7500</v>
      </c>
      <c r="N12" s="2">
        <f ca="1">IF(Flag_Send_Data=1,_xll.DBSW(Val!N12,Val!$C$1,Val!$C$2,Val!$C$3,Val!$C$4,Val!$D12,Val!$C$5,Val!$C$6,Val!$B12,Val!$E12,Val!N$10,Val!$C$7,Val!$C12),"")</f>
        <v>-7500</v>
      </c>
      <c r="O12" s="2">
        <f ca="1">IF(Flag_Send_Data=1,_xll.DBSW(Val!O12,Val!$C$1,Val!$C$2,Val!$C$3,Val!$C$4,Val!$D12,Val!$C$5,Val!$C$6,Val!$B12,Val!$E12,Val!O$10,Val!$C$7,Val!$C12),"")</f>
        <v>-7500</v>
      </c>
      <c r="P12" s="2">
        <f ca="1">IF(Flag_Send_Data=1,_xll.DBSW(Val!P12,Val!$C$1,Val!$C$2,Val!$C$3,Val!$C$4,Val!$D12,Val!$C$5,Val!$C$6,Val!$B12,Val!$E12,Val!P$10,Val!$C$7,Val!$C12),"")</f>
        <v>-7500</v>
      </c>
      <c r="Q12" s="2">
        <f ca="1">IF(Flag_Send_Data=1,_xll.DBSW(Val!Q12,Val!$C$1,Val!$C$2,Val!$C$3,Val!$C$4,Val!$D12,Val!$C$5,Val!$C$6,Val!$B12,Val!$E12,Val!Q$10,Val!$C$7,Val!$C12),"")</f>
        <v>-7500</v>
      </c>
    </row>
    <row r="13" spans="1:17" x14ac:dyDescent="0.25">
      <c r="B13" s="3" t="s">
        <v>230</v>
      </c>
      <c r="C13" t="s">
        <v>16</v>
      </c>
      <c r="D13" t="s">
        <v>186</v>
      </c>
      <c r="E13" t="s">
        <v>17</v>
      </c>
      <c r="F13" s="2">
        <f ca="1">IF(Flag_Send_Data=1,_xll.DBSW(Val!F13,Val!$C$1,Val!$C$2,Val!$C$3,Val!$C$4,Val!$D13,Val!$C$5,Val!$C$6,Val!$B13,Val!$E13,Val!F$10,Val!$C$7,Val!$C13),"")</f>
        <v>-12140.46</v>
      </c>
      <c r="G13" s="2">
        <f ca="1">IF(Flag_Send_Data=1,_xll.DBSW(Val!G13,Val!$C$1,Val!$C$2,Val!$C$3,Val!$C$4,Val!$D13,Val!$C$5,Val!$C$6,Val!$B13,Val!$E13,Val!G$10,Val!$C$7,Val!$C13),"")</f>
        <v>-12140.46</v>
      </c>
      <c r="H13" s="2">
        <f ca="1">IF(Flag_Send_Data=1,_xll.DBSW(Val!H13,Val!$C$1,Val!$C$2,Val!$C$3,Val!$C$4,Val!$D13,Val!$C$5,Val!$C$6,Val!$B13,Val!$E13,Val!H$10,Val!$C$7,Val!$C13),"")</f>
        <v>-12140.46</v>
      </c>
      <c r="I13" s="2">
        <f ca="1">IF(Flag_Send_Data=1,_xll.DBSW(Val!I13,Val!$C$1,Val!$C$2,Val!$C$3,Val!$C$4,Val!$D13,Val!$C$5,Val!$C$6,Val!$B13,Val!$E13,Val!I$10,Val!$C$7,Val!$C13),"")</f>
        <v>-12140.46</v>
      </c>
      <c r="J13" s="2">
        <f ca="1">IF(Flag_Send_Data=1,_xll.DBSW(Val!J13,Val!$C$1,Val!$C$2,Val!$C$3,Val!$C$4,Val!$D13,Val!$C$5,Val!$C$6,Val!$B13,Val!$E13,Val!J$10,Val!$C$7,Val!$C13),"")</f>
        <v>-12140.46</v>
      </c>
      <c r="K13" s="2">
        <f ca="1">IF(Flag_Send_Data=1,_xll.DBSW(Val!K13,Val!$C$1,Val!$C$2,Val!$C$3,Val!$C$4,Val!$D13,Val!$C$5,Val!$C$6,Val!$B13,Val!$E13,Val!K$10,Val!$C$7,Val!$C13),"")</f>
        <v>-12140.46</v>
      </c>
      <c r="L13" s="2">
        <f ca="1">IF(Flag_Send_Data=1,_xll.DBSW(Val!L13,Val!$C$1,Val!$C$2,Val!$C$3,Val!$C$4,Val!$D13,Val!$C$5,Val!$C$6,Val!$B13,Val!$E13,Val!L$10,Val!$C$7,Val!$C13),"")</f>
        <v>-12140.46</v>
      </c>
      <c r="M13" s="2">
        <f ca="1">IF(Flag_Send_Data=1,_xll.DBSW(Val!M13,Val!$C$1,Val!$C$2,Val!$C$3,Val!$C$4,Val!$D13,Val!$C$5,Val!$C$6,Val!$B13,Val!$E13,Val!M$10,Val!$C$7,Val!$C13),"")</f>
        <v>-12140.46</v>
      </c>
      <c r="N13" s="2">
        <f ca="1">IF(Flag_Send_Data=1,_xll.DBSW(Val!N13,Val!$C$1,Val!$C$2,Val!$C$3,Val!$C$4,Val!$D13,Val!$C$5,Val!$C$6,Val!$B13,Val!$E13,Val!N$10,Val!$C$7,Val!$C13),"")</f>
        <v>-12140.46</v>
      </c>
      <c r="O13" s="2">
        <f ca="1">IF(Flag_Send_Data=1,_xll.DBSW(Val!O13,Val!$C$1,Val!$C$2,Val!$C$3,Val!$C$4,Val!$D13,Val!$C$5,Val!$C$6,Val!$B13,Val!$E13,Val!O$10,Val!$C$7,Val!$C13),"")</f>
        <v>-12140.46</v>
      </c>
      <c r="P13" s="2">
        <f ca="1">IF(Flag_Send_Data=1,_xll.DBSW(Val!P13,Val!$C$1,Val!$C$2,Val!$C$3,Val!$C$4,Val!$D13,Val!$C$5,Val!$C$6,Val!$B13,Val!$E13,Val!P$10,Val!$C$7,Val!$C13),"")</f>
        <v>-12140.46</v>
      </c>
      <c r="Q13" s="2">
        <f ca="1">IF(Flag_Send_Data=1,_xll.DBSW(Val!Q13,Val!$C$1,Val!$C$2,Val!$C$3,Val!$C$4,Val!$D13,Val!$C$5,Val!$C$6,Val!$B13,Val!$E13,Val!Q$10,Val!$C$7,Val!$C13),"")</f>
        <v>-12140.46</v>
      </c>
    </row>
    <row r="14" spans="1:17" x14ac:dyDescent="0.25">
      <c r="B14" s="3" t="s">
        <v>230</v>
      </c>
      <c r="C14" t="s">
        <v>16</v>
      </c>
      <c r="D14" t="s">
        <v>199</v>
      </c>
      <c r="E14" t="s">
        <v>128</v>
      </c>
      <c r="F14" s="2">
        <f ca="1">IF(Flag_Send_Data=1,_xll.DBSW(Val!F14,Val!$C$1,Val!$C$2,Val!$C$3,Val!$C$4,Val!$D14,Val!$C$5,Val!$C$6,Val!$B14,Val!$E14,Val!F$10,Val!$C$7,Val!$C14),"")</f>
        <v>-15583.333333333334</v>
      </c>
      <c r="G14" s="2">
        <f ca="1">IF(Flag_Send_Data=1,_xll.DBSW(Val!G14,Val!$C$1,Val!$C$2,Val!$C$3,Val!$C$4,Val!$D14,Val!$C$5,Val!$C$6,Val!$B14,Val!$E14,Val!G$10,Val!$C$7,Val!$C14),"")</f>
        <v>-15583.333333333334</v>
      </c>
      <c r="H14" s="2">
        <f ca="1">IF(Flag_Send_Data=1,_xll.DBSW(Val!H14,Val!$C$1,Val!$C$2,Val!$C$3,Val!$C$4,Val!$D14,Val!$C$5,Val!$C$6,Val!$B14,Val!$E14,Val!H$10,Val!$C$7,Val!$C14),"")</f>
        <v>-15583.333333333334</v>
      </c>
      <c r="I14" s="2">
        <f ca="1">IF(Flag_Send_Data=1,_xll.DBSW(Val!I14,Val!$C$1,Val!$C$2,Val!$C$3,Val!$C$4,Val!$D14,Val!$C$5,Val!$C$6,Val!$B14,Val!$E14,Val!I$10,Val!$C$7,Val!$C14),"")</f>
        <v>-15583.333333333334</v>
      </c>
      <c r="J14" s="2">
        <f ca="1">IF(Flag_Send_Data=1,_xll.DBSW(Val!J14,Val!$C$1,Val!$C$2,Val!$C$3,Val!$C$4,Val!$D14,Val!$C$5,Val!$C$6,Val!$B14,Val!$E14,Val!J$10,Val!$C$7,Val!$C14),"")</f>
        <v>-15583.333333333334</v>
      </c>
      <c r="K14" s="2">
        <f ca="1">IF(Flag_Send_Data=1,_xll.DBSW(Val!K14,Val!$C$1,Val!$C$2,Val!$C$3,Val!$C$4,Val!$D14,Val!$C$5,Val!$C$6,Val!$B14,Val!$E14,Val!K$10,Val!$C$7,Val!$C14),"")</f>
        <v>-15583.333333333334</v>
      </c>
      <c r="L14" s="2">
        <f ca="1">IF(Flag_Send_Data=1,_xll.DBSW(Val!L14,Val!$C$1,Val!$C$2,Val!$C$3,Val!$C$4,Val!$D14,Val!$C$5,Val!$C$6,Val!$B14,Val!$E14,Val!L$10,Val!$C$7,Val!$C14),"")</f>
        <v>-15583.333333333334</v>
      </c>
      <c r="M14" s="2">
        <f ca="1">IF(Flag_Send_Data=1,_xll.DBSW(Val!M14,Val!$C$1,Val!$C$2,Val!$C$3,Val!$C$4,Val!$D14,Val!$C$5,Val!$C$6,Val!$B14,Val!$E14,Val!M$10,Val!$C$7,Val!$C14),"")</f>
        <v>-15583.333333333334</v>
      </c>
      <c r="N14" s="2">
        <f ca="1">IF(Flag_Send_Data=1,_xll.DBSW(Val!N14,Val!$C$1,Val!$C$2,Val!$C$3,Val!$C$4,Val!$D14,Val!$C$5,Val!$C$6,Val!$B14,Val!$E14,Val!N$10,Val!$C$7,Val!$C14),"")</f>
        <v>-15583.333333333334</v>
      </c>
      <c r="O14" s="2">
        <f ca="1">IF(Flag_Send_Data=1,_xll.DBSW(Val!O14,Val!$C$1,Val!$C$2,Val!$C$3,Val!$C$4,Val!$D14,Val!$C$5,Val!$C$6,Val!$B14,Val!$E14,Val!O$10,Val!$C$7,Val!$C14),"")</f>
        <v>-28916.666666666668</v>
      </c>
      <c r="P14" s="2">
        <f ca="1">IF(Flag_Send_Data=1,_xll.DBSW(Val!P14,Val!$C$1,Val!$C$2,Val!$C$3,Val!$C$4,Val!$D14,Val!$C$5,Val!$C$6,Val!$B14,Val!$E14,Val!P$10,Val!$C$7,Val!$C14),"")</f>
        <v>-28916.666666666668</v>
      </c>
      <c r="Q14" s="2">
        <f ca="1">IF(Flag_Send_Data=1,_xll.DBSW(Val!Q14,Val!$C$1,Val!$C$2,Val!$C$3,Val!$C$4,Val!$D14,Val!$C$5,Val!$C$6,Val!$B14,Val!$E14,Val!Q$10,Val!$C$7,Val!$C14),"")</f>
        <v>-28916.666666666668</v>
      </c>
    </row>
    <row r="15" spans="1:17" x14ac:dyDescent="0.25">
      <c r="B15" s="3" t="s">
        <v>230</v>
      </c>
      <c r="C15" t="s">
        <v>13</v>
      </c>
      <c r="D15" t="s">
        <v>199</v>
      </c>
      <c r="E15" t="s">
        <v>128</v>
      </c>
      <c r="F15" s="2">
        <f ca="1">IF(Flag_Send_Data=1,_xll.DBSW(Val!F15,Val!$C$1,Val!$C$2,Val!$C$3,Val!$C$4,Val!$D15,Val!$C$5,Val!$C$6,Val!$B15,Val!$E15,Val!F$10,Val!$C$7,Val!$C15),"")</f>
        <v>-416.66666666666669</v>
      </c>
      <c r="G15" s="2">
        <f ca="1">IF(Flag_Send_Data=1,_xll.DBSW(Val!G15,Val!$C$1,Val!$C$2,Val!$C$3,Val!$C$4,Val!$D15,Val!$C$5,Val!$C$6,Val!$B15,Val!$E15,Val!G$10,Val!$C$7,Val!$C15),"")</f>
        <v>-416.66666666666669</v>
      </c>
      <c r="H15" s="2">
        <f ca="1">IF(Flag_Send_Data=1,_xll.DBSW(Val!H15,Val!$C$1,Val!$C$2,Val!$C$3,Val!$C$4,Val!$D15,Val!$C$5,Val!$C$6,Val!$B15,Val!$E15,Val!H$10,Val!$C$7,Val!$C15),"")</f>
        <v>-416.66666666666669</v>
      </c>
      <c r="I15" s="2">
        <f ca="1">IF(Flag_Send_Data=1,_xll.DBSW(Val!I15,Val!$C$1,Val!$C$2,Val!$C$3,Val!$C$4,Val!$D15,Val!$C$5,Val!$C$6,Val!$B15,Val!$E15,Val!I$10,Val!$C$7,Val!$C15),"")</f>
        <v>-416.66666666666669</v>
      </c>
      <c r="J15" s="2">
        <f ca="1">IF(Flag_Send_Data=1,_xll.DBSW(Val!J15,Val!$C$1,Val!$C$2,Val!$C$3,Val!$C$4,Val!$D15,Val!$C$5,Val!$C$6,Val!$B15,Val!$E15,Val!J$10,Val!$C$7,Val!$C15),"")</f>
        <v>-416.66666666666669</v>
      </c>
      <c r="K15" s="2">
        <f ca="1">IF(Flag_Send_Data=1,_xll.DBSW(Val!K15,Val!$C$1,Val!$C$2,Val!$C$3,Val!$C$4,Val!$D15,Val!$C$5,Val!$C$6,Val!$B15,Val!$E15,Val!K$10,Val!$C$7,Val!$C15),"")</f>
        <v>-416.66666666666669</v>
      </c>
      <c r="L15" s="2">
        <f ca="1">IF(Flag_Send_Data=1,_xll.DBSW(Val!L15,Val!$C$1,Val!$C$2,Val!$C$3,Val!$C$4,Val!$D15,Val!$C$5,Val!$C$6,Val!$B15,Val!$E15,Val!L$10,Val!$C$7,Val!$C15),"")</f>
        <v>-416.66666666666669</v>
      </c>
      <c r="M15" s="2">
        <f ca="1">IF(Flag_Send_Data=1,_xll.DBSW(Val!M15,Val!$C$1,Val!$C$2,Val!$C$3,Val!$C$4,Val!$D15,Val!$C$5,Val!$C$6,Val!$B15,Val!$E15,Val!M$10,Val!$C$7,Val!$C15),"")</f>
        <v>-416.66666666666669</v>
      </c>
      <c r="N15" s="2">
        <f ca="1">IF(Flag_Send_Data=1,_xll.DBSW(Val!N15,Val!$C$1,Val!$C$2,Val!$C$3,Val!$C$4,Val!$D15,Val!$C$5,Val!$C$6,Val!$B15,Val!$E15,Val!N$10,Val!$C$7,Val!$C15),"")</f>
        <v>-416.66666666666669</v>
      </c>
      <c r="O15" s="2">
        <f ca="1">IF(Flag_Send_Data=1,_xll.DBSW(Val!O15,Val!$C$1,Val!$C$2,Val!$C$3,Val!$C$4,Val!$D15,Val!$C$5,Val!$C$6,Val!$B15,Val!$E15,Val!O$10,Val!$C$7,Val!$C15),"")</f>
        <v>-416.66666666666669</v>
      </c>
      <c r="P15" s="2">
        <f ca="1">IF(Flag_Send_Data=1,_xll.DBSW(Val!P15,Val!$C$1,Val!$C$2,Val!$C$3,Val!$C$4,Val!$D15,Val!$C$5,Val!$C$6,Val!$B15,Val!$E15,Val!P$10,Val!$C$7,Val!$C15),"")</f>
        <v>-416.66666666666669</v>
      </c>
      <c r="Q15" s="2">
        <f ca="1">IF(Flag_Send_Data=1,_xll.DBSW(Val!Q15,Val!$C$1,Val!$C$2,Val!$C$3,Val!$C$4,Val!$D15,Val!$C$5,Val!$C$6,Val!$B15,Val!$E15,Val!Q$10,Val!$C$7,Val!$C15),"")</f>
        <v>-416.66666666666669</v>
      </c>
    </row>
    <row r="16" spans="1:17" x14ac:dyDescent="0.25">
      <c r="B16" s="3" t="s">
        <v>230</v>
      </c>
      <c r="C16" t="s">
        <v>109</v>
      </c>
      <c r="D16" t="s">
        <v>199</v>
      </c>
      <c r="E16" t="s">
        <v>128</v>
      </c>
      <c r="F16" s="2">
        <f ca="1">IF(Flag_Send_Data=1,_xll.DBSW(Val!F16,Val!$C$1,Val!$C$2,Val!$C$3,Val!$C$4,Val!$D16,Val!$C$5,Val!$C$6,Val!$B16,Val!$E16,Val!F$10,Val!$C$7,Val!$C16),"")</f>
        <v>-833.33333333333337</v>
      </c>
      <c r="G16" s="2">
        <f ca="1">IF(Flag_Send_Data=1,_xll.DBSW(Val!G16,Val!$C$1,Val!$C$2,Val!$C$3,Val!$C$4,Val!$D16,Val!$C$5,Val!$C$6,Val!$B16,Val!$E16,Val!G$10,Val!$C$7,Val!$C16),"")</f>
        <v>-833.33333333333337</v>
      </c>
      <c r="H16" s="2">
        <f ca="1">IF(Flag_Send_Data=1,_xll.DBSW(Val!H16,Val!$C$1,Val!$C$2,Val!$C$3,Val!$C$4,Val!$D16,Val!$C$5,Val!$C$6,Val!$B16,Val!$E16,Val!H$10,Val!$C$7,Val!$C16),"")</f>
        <v>-833.33333333333337</v>
      </c>
      <c r="I16" s="2">
        <f ca="1">IF(Flag_Send_Data=1,_xll.DBSW(Val!I16,Val!$C$1,Val!$C$2,Val!$C$3,Val!$C$4,Val!$D16,Val!$C$5,Val!$C$6,Val!$B16,Val!$E16,Val!I$10,Val!$C$7,Val!$C16),"")</f>
        <v>-833.33333333333337</v>
      </c>
      <c r="J16" s="2">
        <f ca="1">IF(Flag_Send_Data=1,_xll.DBSW(Val!J16,Val!$C$1,Val!$C$2,Val!$C$3,Val!$C$4,Val!$D16,Val!$C$5,Val!$C$6,Val!$B16,Val!$E16,Val!J$10,Val!$C$7,Val!$C16),"")</f>
        <v>-833.33333333333337</v>
      </c>
      <c r="K16" s="2">
        <f ca="1">IF(Flag_Send_Data=1,_xll.DBSW(Val!K16,Val!$C$1,Val!$C$2,Val!$C$3,Val!$C$4,Val!$D16,Val!$C$5,Val!$C$6,Val!$B16,Val!$E16,Val!K$10,Val!$C$7,Val!$C16),"")</f>
        <v>-833.33333333333337</v>
      </c>
      <c r="L16" s="2">
        <f ca="1">IF(Flag_Send_Data=1,_xll.DBSW(Val!L16,Val!$C$1,Val!$C$2,Val!$C$3,Val!$C$4,Val!$D16,Val!$C$5,Val!$C$6,Val!$B16,Val!$E16,Val!L$10,Val!$C$7,Val!$C16),"")</f>
        <v>-833.33333333333337</v>
      </c>
      <c r="M16" s="2">
        <f ca="1">IF(Flag_Send_Data=1,_xll.DBSW(Val!M16,Val!$C$1,Val!$C$2,Val!$C$3,Val!$C$4,Val!$D16,Val!$C$5,Val!$C$6,Val!$B16,Val!$E16,Val!M$10,Val!$C$7,Val!$C16),"")</f>
        <v>-833.33333333333337</v>
      </c>
      <c r="N16" s="2">
        <f ca="1">IF(Flag_Send_Data=1,_xll.DBSW(Val!N16,Val!$C$1,Val!$C$2,Val!$C$3,Val!$C$4,Val!$D16,Val!$C$5,Val!$C$6,Val!$B16,Val!$E16,Val!N$10,Val!$C$7,Val!$C16),"")</f>
        <v>-833.33333333333337</v>
      </c>
      <c r="O16" s="2">
        <f ca="1">IF(Flag_Send_Data=1,_xll.DBSW(Val!O16,Val!$C$1,Val!$C$2,Val!$C$3,Val!$C$4,Val!$D16,Val!$C$5,Val!$C$6,Val!$B16,Val!$E16,Val!O$10,Val!$C$7,Val!$C16),"")</f>
        <v>-833.33333333333337</v>
      </c>
      <c r="P16" s="2">
        <f ca="1">IF(Flag_Send_Data=1,_xll.DBSW(Val!P16,Val!$C$1,Val!$C$2,Val!$C$3,Val!$C$4,Val!$D16,Val!$C$5,Val!$C$6,Val!$B16,Val!$E16,Val!P$10,Val!$C$7,Val!$C16),"")</f>
        <v>-833.33333333333337</v>
      </c>
      <c r="Q16" s="2">
        <f ca="1">IF(Flag_Send_Data=1,_xll.DBSW(Val!Q16,Val!$C$1,Val!$C$2,Val!$C$3,Val!$C$4,Val!$D16,Val!$C$5,Val!$C$6,Val!$B16,Val!$E16,Val!Q$10,Val!$C$7,Val!$C16),"")</f>
        <v>-833.33333333333337</v>
      </c>
    </row>
    <row r="17" spans="2:17" x14ac:dyDescent="0.25">
      <c r="B17" s="3" t="s">
        <v>230</v>
      </c>
      <c r="C17" t="s">
        <v>81</v>
      </c>
      <c r="D17" t="s">
        <v>199</v>
      </c>
      <c r="E17" t="s">
        <v>128</v>
      </c>
      <c r="F17" s="2">
        <f ca="1">IF(Flag_Send_Data=1,_xll.DBSW(Val!F17,Val!$C$1,Val!$C$2,Val!$C$3,Val!$C$4,Val!$D17,Val!$C$5,Val!$C$6,Val!$B17,Val!$E17,Val!F$10,Val!$C$7,Val!$C17),"")</f>
        <v>-5187.5</v>
      </c>
      <c r="G17" s="2">
        <f ca="1">IF(Flag_Send_Data=1,_xll.DBSW(Val!G17,Val!$C$1,Val!$C$2,Val!$C$3,Val!$C$4,Val!$D17,Val!$C$5,Val!$C$6,Val!$B17,Val!$E17,Val!G$10,Val!$C$7,Val!$C17),"")</f>
        <v>-5187.5</v>
      </c>
      <c r="H17" s="2">
        <f ca="1">IF(Flag_Send_Data=1,_xll.DBSW(Val!H17,Val!$C$1,Val!$C$2,Val!$C$3,Val!$C$4,Val!$D17,Val!$C$5,Val!$C$6,Val!$B17,Val!$E17,Val!H$10,Val!$C$7,Val!$C17),"")</f>
        <v>-5187.5</v>
      </c>
      <c r="I17" s="2">
        <f ca="1">IF(Flag_Send_Data=1,_xll.DBSW(Val!I17,Val!$C$1,Val!$C$2,Val!$C$3,Val!$C$4,Val!$D17,Val!$C$5,Val!$C$6,Val!$B17,Val!$E17,Val!I$10,Val!$C$7,Val!$C17),"")</f>
        <v>-5187.5</v>
      </c>
      <c r="J17" s="2">
        <f ca="1">IF(Flag_Send_Data=1,_xll.DBSW(Val!J17,Val!$C$1,Val!$C$2,Val!$C$3,Val!$C$4,Val!$D17,Val!$C$5,Val!$C$6,Val!$B17,Val!$E17,Val!J$10,Val!$C$7,Val!$C17),"")</f>
        <v>-5187.5</v>
      </c>
      <c r="K17" s="2">
        <f ca="1">IF(Flag_Send_Data=1,_xll.DBSW(Val!K17,Val!$C$1,Val!$C$2,Val!$C$3,Val!$C$4,Val!$D17,Val!$C$5,Val!$C$6,Val!$B17,Val!$E17,Val!K$10,Val!$C$7,Val!$C17),"")</f>
        <v>-5187.5</v>
      </c>
      <c r="L17" s="2">
        <f ca="1">IF(Flag_Send_Data=1,_xll.DBSW(Val!L17,Val!$C$1,Val!$C$2,Val!$C$3,Val!$C$4,Val!$D17,Val!$C$5,Val!$C$6,Val!$B17,Val!$E17,Val!L$10,Val!$C$7,Val!$C17),"")</f>
        <v>-5187.5</v>
      </c>
      <c r="M17" s="2">
        <f ca="1">IF(Flag_Send_Data=1,_xll.DBSW(Val!M17,Val!$C$1,Val!$C$2,Val!$C$3,Val!$C$4,Val!$D17,Val!$C$5,Val!$C$6,Val!$B17,Val!$E17,Val!M$10,Val!$C$7,Val!$C17),"")</f>
        <v>-5187.5</v>
      </c>
      <c r="N17" s="2">
        <f ca="1">IF(Flag_Send_Data=1,_xll.DBSW(Val!N17,Val!$C$1,Val!$C$2,Val!$C$3,Val!$C$4,Val!$D17,Val!$C$5,Val!$C$6,Val!$B17,Val!$E17,Val!N$10,Val!$C$7,Val!$C17),"")</f>
        <v>-5187.5</v>
      </c>
      <c r="O17" s="2">
        <f ca="1">IF(Flag_Send_Data=1,_xll.DBSW(Val!O17,Val!$C$1,Val!$C$2,Val!$C$3,Val!$C$4,Val!$D17,Val!$C$5,Val!$C$6,Val!$B17,Val!$E17,Val!O$10,Val!$C$7,Val!$C17),"")</f>
        <v>-5187.5</v>
      </c>
      <c r="P17" s="2">
        <f ca="1">IF(Flag_Send_Data=1,_xll.DBSW(Val!P17,Val!$C$1,Val!$C$2,Val!$C$3,Val!$C$4,Val!$D17,Val!$C$5,Val!$C$6,Val!$B17,Val!$E17,Val!P$10,Val!$C$7,Val!$C17),"")</f>
        <v>-5187.5</v>
      </c>
      <c r="Q17" s="2">
        <f ca="1">IF(Flag_Send_Data=1,_xll.DBSW(Val!Q17,Val!$C$1,Val!$C$2,Val!$C$3,Val!$C$4,Val!$D17,Val!$C$5,Val!$C$6,Val!$B17,Val!$E17,Val!Q$10,Val!$C$7,Val!$C17),"")</f>
        <v>-5187.5</v>
      </c>
    </row>
    <row r="18" spans="2:17" x14ac:dyDescent="0.25">
      <c r="B18" s="3" t="s">
        <v>231</v>
      </c>
      <c r="C18" t="s">
        <v>64</v>
      </c>
      <c r="D18" t="s">
        <v>199</v>
      </c>
      <c r="E18" t="s">
        <v>128</v>
      </c>
      <c r="F18" s="2">
        <f ca="1">IF(Flag_Send_Data=1,_xll.DBSW(Val!F18,Val!$C$1,Val!$C$2,Val!$C$3,Val!$C$4,Val!$D18,Val!$C$5,Val!$C$6,Val!$B18,Val!$E18,Val!F$10,Val!$C$7,Val!$C18),"")</f>
        <v>-233.33333333333334</v>
      </c>
      <c r="G18" s="2">
        <f ca="1">IF(Flag_Send_Data=1,_xll.DBSW(Val!G18,Val!$C$1,Val!$C$2,Val!$C$3,Val!$C$4,Val!$D18,Val!$C$5,Val!$C$6,Val!$B18,Val!$E18,Val!G$10,Val!$C$7,Val!$C18),"")</f>
        <v>-233.33333333333334</v>
      </c>
      <c r="H18" s="2">
        <f ca="1">IF(Flag_Send_Data=1,_xll.DBSW(Val!H18,Val!$C$1,Val!$C$2,Val!$C$3,Val!$C$4,Val!$D18,Val!$C$5,Val!$C$6,Val!$B18,Val!$E18,Val!H$10,Val!$C$7,Val!$C18),"")</f>
        <v>-233.33333333333334</v>
      </c>
      <c r="I18" s="2">
        <f ca="1">IF(Flag_Send_Data=1,_xll.DBSW(Val!I18,Val!$C$1,Val!$C$2,Val!$C$3,Val!$C$4,Val!$D18,Val!$C$5,Val!$C$6,Val!$B18,Val!$E18,Val!I$10,Val!$C$7,Val!$C18),"")</f>
        <v>-233.33333333333334</v>
      </c>
      <c r="J18" s="2">
        <f ca="1">IF(Flag_Send_Data=1,_xll.DBSW(Val!J18,Val!$C$1,Val!$C$2,Val!$C$3,Val!$C$4,Val!$D18,Val!$C$5,Val!$C$6,Val!$B18,Val!$E18,Val!J$10,Val!$C$7,Val!$C18),"")</f>
        <v>-233.33333333333334</v>
      </c>
      <c r="K18" s="2">
        <f ca="1">IF(Flag_Send_Data=1,_xll.DBSW(Val!K18,Val!$C$1,Val!$C$2,Val!$C$3,Val!$C$4,Val!$D18,Val!$C$5,Val!$C$6,Val!$B18,Val!$E18,Val!K$10,Val!$C$7,Val!$C18),"")</f>
        <v>-233.33333333333334</v>
      </c>
      <c r="L18" s="2">
        <f ca="1">IF(Flag_Send_Data=1,_xll.DBSW(Val!L18,Val!$C$1,Val!$C$2,Val!$C$3,Val!$C$4,Val!$D18,Val!$C$5,Val!$C$6,Val!$B18,Val!$E18,Val!L$10,Val!$C$7,Val!$C18),"")</f>
        <v>-233.33333333333334</v>
      </c>
      <c r="M18" s="2">
        <f ca="1">IF(Flag_Send_Data=1,_xll.DBSW(Val!M18,Val!$C$1,Val!$C$2,Val!$C$3,Val!$C$4,Val!$D18,Val!$C$5,Val!$C$6,Val!$B18,Val!$E18,Val!M$10,Val!$C$7,Val!$C18),"")</f>
        <v>-233.33333333333334</v>
      </c>
      <c r="N18" s="2">
        <f ca="1">IF(Flag_Send_Data=1,_xll.DBSW(Val!N18,Val!$C$1,Val!$C$2,Val!$C$3,Val!$C$4,Val!$D18,Val!$C$5,Val!$C$6,Val!$B18,Val!$E18,Val!N$10,Val!$C$7,Val!$C18),"")</f>
        <v>-233.33333333333334</v>
      </c>
      <c r="O18" s="2">
        <f ca="1">IF(Flag_Send_Data=1,_xll.DBSW(Val!O18,Val!$C$1,Val!$C$2,Val!$C$3,Val!$C$4,Val!$D18,Val!$C$5,Val!$C$6,Val!$B18,Val!$E18,Val!O$10,Val!$C$7,Val!$C18),"")</f>
        <v>-233.33333333333334</v>
      </c>
      <c r="P18" s="2">
        <f ca="1">IF(Flag_Send_Data=1,_xll.DBSW(Val!P18,Val!$C$1,Val!$C$2,Val!$C$3,Val!$C$4,Val!$D18,Val!$C$5,Val!$C$6,Val!$B18,Val!$E18,Val!P$10,Val!$C$7,Val!$C18),"")</f>
        <v>-233.33333333333334</v>
      </c>
      <c r="Q18" s="2">
        <f ca="1">IF(Flag_Send_Data=1,_xll.DBSW(Val!Q18,Val!$C$1,Val!$C$2,Val!$C$3,Val!$C$4,Val!$D18,Val!$C$5,Val!$C$6,Val!$B18,Val!$E18,Val!Q$10,Val!$C$7,Val!$C18),"")</f>
        <v>-233.33333333333334</v>
      </c>
    </row>
    <row r="19" spans="2:17" x14ac:dyDescent="0.25">
      <c r="B19" s="3" t="s">
        <v>232</v>
      </c>
      <c r="C19" t="s">
        <v>81</v>
      </c>
      <c r="D19" t="s">
        <v>199</v>
      </c>
      <c r="E19" t="s">
        <v>128</v>
      </c>
      <c r="F19" s="2">
        <f ca="1">IF(Flag_Send_Data=1,_xll.DBSW(Val!F19,Val!$C$1,Val!$C$2,Val!$C$3,Val!$C$4,Val!$D19,Val!$C$5,Val!$C$6,Val!$B19,Val!$E19,Val!F$10,Val!$C$7,Val!$C19),"")</f>
        <v>-11.97</v>
      </c>
      <c r="G19" s="2">
        <f ca="1">IF(Flag_Send_Data=1,_xll.DBSW(Val!G19,Val!$C$1,Val!$C$2,Val!$C$3,Val!$C$4,Val!$D19,Val!$C$5,Val!$C$6,Val!$B19,Val!$E19,Val!G$10,Val!$C$7,Val!$C19),"")</f>
        <v>-11.97</v>
      </c>
      <c r="H19" s="2">
        <f ca="1">IF(Flag_Send_Data=1,_xll.DBSW(Val!H19,Val!$C$1,Val!$C$2,Val!$C$3,Val!$C$4,Val!$D19,Val!$C$5,Val!$C$6,Val!$B19,Val!$E19,Val!H$10,Val!$C$7,Val!$C19),"")</f>
        <v>-11.97</v>
      </c>
      <c r="I19" s="2">
        <f ca="1">IF(Flag_Send_Data=1,_xll.DBSW(Val!I19,Val!$C$1,Val!$C$2,Val!$C$3,Val!$C$4,Val!$D19,Val!$C$5,Val!$C$6,Val!$B19,Val!$E19,Val!I$10,Val!$C$7,Val!$C19),"")</f>
        <v>-11.97</v>
      </c>
      <c r="J19" s="2">
        <f ca="1">IF(Flag_Send_Data=1,_xll.DBSW(Val!J19,Val!$C$1,Val!$C$2,Val!$C$3,Val!$C$4,Val!$D19,Val!$C$5,Val!$C$6,Val!$B19,Val!$E19,Val!J$10,Val!$C$7,Val!$C19),"")</f>
        <v>-11.97</v>
      </c>
      <c r="K19" s="2">
        <f ca="1">IF(Flag_Send_Data=1,_xll.DBSW(Val!K19,Val!$C$1,Val!$C$2,Val!$C$3,Val!$C$4,Val!$D19,Val!$C$5,Val!$C$6,Val!$B19,Val!$E19,Val!K$10,Val!$C$7,Val!$C19),"")</f>
        <v>-11.97</v>
      </c>
      <c r="L19" s="2">
        <f ca="1">IF(Flag_Send_Data=1,_xll.DBSW(Val!L19,Val!$C$1,Val!$C$2,Val!$C$3,Val!$C$4,Val!$D19,Val!$C$5,Val!$C$6,Val!$B19,Val!$E19,Val!L$10,Val!$C$7,Val!$C19),"")</f>
        <v>-11.97</v>
      </c>
      <c r="M19" s="2">
        <f ca="1">IF(Flag_Send_Data=1,_xll.DBSW(Val!M19,Val!$C$1,Val!$C$2,Val!$C$3,Val!$C$4,Val!$D19,Val!$C$5,Val!$C$6,Val!$B19,Val!$E19,Val!M$10,Val!$C$7,Val!$C19),"")</f>
        <v>-11.97</v>
      </c>
      <c r="N19" s="2">
        <f ca="1">IF(Flag_Send_Data=1,_xll.DBSW(Val!N19,Val!$C$1,Val!$C$2,Val!$C$3,Val!$C$4,Val!$D19,Val!$C$5,Val!$C$6,Val!$B19,Val!$E19,Val!N$10,Val!$C$7,Val!$C19),"")</f>
        <v>-11.97</v>
      </c>
      <c r="O19" s="2">
        <f ca="1">IF(Flag_Send_Data=1,_xll.DBSW(Val!O19,Val!$C$1,Val!$C$2,Val!$C$3,Val!$C$4,Val!$D19,Val!$C$5,Val!$C$6,Val!$B19,Val!$E19,Val!O$10,Val!$C$7,Val!$C19),"")</f>
        <v>-11.97</v>
      </c>
      <c r="P19" s="2">
        <f ca="1">IF(Flag_Send_Data=1,_xll.DBSW(Val!P19,Val!$C$1,Val!$C$2,Val!$C$3,Val!$C$4,Val!$D19,Val!$C$5,Val!$C$6,Val!$B19,Val!$E19,Val!P$10,Val!$C$7,Val!$C19),"")</f>
        <v>-11.97</v>
      </c>
      <c r="Q19" s="2">
        <f ca="1">IF(Flag_Send_Data=1,_xll.DBSW(Val!Q19,Val!$C$1,Val!$C$2,Val!$C$3,Val!$C$4,Val!$D19,Val!$C$5,Val!$C$6,Val!$B19,Val!$E19,Val!Q$10,Val!$C$7,Val!$C19),"")</f>
        <v>-11.97</v>
      </c>
    </row>
    <row r="20" spans="2:17" x14ac:dyDescent="0.25">
      <c r="B20" s="3" t="s">
        <v>233</v>
      </c>
      <c r="C20" t="s">
        <v>11</v>
      </c>
      <c r="D20" t="s">
        <v>199</v>
      </c>
      <c r="E20" t="s">
        <v>128</v>
      </c>
      <c r="F20" s="2">
        <f ca="1">IF(Flag_Send_Data=1,_xll.DBSW(Val!F20,Val!$C$1,Val!$C$2,Val!$C$3,Val!$C$4,Val!$D20,Val!$C$5,Val!$C$6,Val!$B20,Val!$E20,Val!F$10,Val!$C$7,Val!$C20),"")</f>
        <v>-103084.02952380953</v>
      </c>
      <c r="G20" s="2">
        <f ca="1">IF(Flag_Send_Data=1,_xll.DBSW(Val!G20,Val!$C$1,Val!$C$2,Val!$C$3,Val!$C$4,Val!$D20,Val!$C$5,Val!$C$6,Val!$B20,Val!$E20,Val!G$10,Val!$C$7,Val!$C20),"")</f>
        <v>-103084.02952380953</v>
      </c>
      <c r="H20" s="2">
        <f ca="1">IF(Flag_Send_Data=1,_xll.DBSW(Val!H20,Val!$C$1,Val!$C$2,Val!$C$3,Val!$C$4,Val!$D20,Val!$C$5,Val!$C$6,Val!$B20,Val!$E20,Val!H$10,Val!$C$7,Val!$C20),"")</f>
        <v>-112009.02952380953</v>
      </c>
      <c r="I20" s="2">
        <f ca="1">IF(Flag_Send_Data=1,_xll.DBSW(Val!I20,Val!$C$1,Val!$C$2,Val!$C$3,Val!$C$4,Val!$D20,Val!$C$5,Val!$C$6,Val!$B20,Val!$E20,Val!I$10,Val!$C$7,Val!$C20),"")</f>
        <v>-112994.53142857143</v>
      </c>
      <c r="J20" s="2">
        <f ca="1">IF(Flag_Send_Data=1,_xll.DBSW(Val!J20,Val!$C$1,Val!$C$2,Val!$C$3,Val!$C$4,Val!$D20,Val!$C$5,Val!$C$6,Val!$B20,Val!$E20,Val!J$10,Val!$C$7,Val!$C20),"")</f>
        <v>-112009.03</v>
      </c>
      <c r="K20" s="2">
        <f ca="1">IF(Flag_Send_Data=1,_xll.DBSW(Val!K20,Val!$C$1,Val!$C$2,Val!$C$3,Val!$C$4,Val!$D20,Val!$C$5,Val!$C$6,Val!$B20,Val!$E20,Val!K$10,Val!$C$7,Val!$C20),"")</f>
        <v>-112009.03</v>
      </c>
      <c r="L20" s="2">
        <f ca="1">IF(Flag_Send_Data=1,_xll.DBSW(Val!L20,Val!$C$1,Val!$C$2,Val!$C$3,Val!$C$4,Val!$D20,Val!$C$5,Val!$C$6,Val!$B20,Val!$E20,Val!L$10,Val!$C$7,Val!$C20),"")</f>
        <v>-112009.03</v>
      </c>
      <c r="M20" s="2">
        <f ca="1">IF(Flag_Send_Data=1,_xll.DBSW(Val!M20,Val!$C$1,Val!$C$2,Val!$C$3,Val!$C$4,Val!$D20,Val!$C$5,Val!$C$6,Val!$B20,Val!$E20,Val!M$10,Val!$C$7,Val!$C20),"")</f>
        <v>-112009.03</v>
      </c>
      <c r="N20" s="2">
        <f ca="1">IF(Flag_Send_Data=1,_xll.DBSW(Val!N20,Val!$C$1,Val!$C$2,Val!$C$3,Val!$C$4,Val!$D20,Val!$C$5,Val!$C$6,Val!$B20,Val!$E20,Val!N$10,Val!$C$7,Val!$C20),"")</f>
        <v>-112009.03</v>
      </c>
      <c r="O20" s="2">
        <f ca="1">IF(Flag_Send_Data=1,_xll.DBSW(Val!O20,Val!$C$1,Val!$C$2,Val!$C$3,Val!$C$4,Val!$D20,Val!$C$5,Val!$C$6,Val!$B20,Val!$E20,Val!O$10,Val!$C$7,Val!$C20),"")</f>
        <v>-110038.02666666667</v>
      </c>
      <c r="P20" s="2">
        <f ca="1">IF(Flag_Send_Data=1,_xll.DBSW(Val!P20,Val!$C$1,Val!$C$2,Val!$C$3,Val!$C$4,Val!$D20,Val!$C$5,Val!$C$6,Val!$B20,Val!$E20,Val!P$10,Val!$C$7,Val!$C20),"")</f>
        <v>-110038.02666666667</v>
      </c>
      <c r="Q20" s="2">
        <f ca="1">IF(Flag_Send_Data=1,_xll.DBSW(Val!Q20,Val!$C$1,Val!$C$2,Val!$C$3,Val!$C$4,Val!$D20,Val!$C$5,Val!$C$6,Val!$B20,Val!$E20,Val!Q$10,Val!$C$7,Val!$C20),"")</f>
        <v>-110038.02666666667</v>
      </c>
    </row>
    <row r="21" spans="2:17" x14ac:dyDescent="0.25">
      <c r="B21" s="3" t="s">
        <v>233</v>
      </c>
      <c r="C21" t="s">
        <v>12</v>
      </c>
      <c r="D21" t="s">
        <v>199</v>
      </c>
      <c r="E21" t="s">
        <v>128</v>
      </c>
      <c r="F21" s="2">
        <f ca="1">IF(Flag_Send_Data=1,_xll.DBSW(Val!F21,Val!$C$1,Val!$C$2,Val!$C$3,Val!$C$4,Val!$D21,Val!$C$5,Val!$C$6,Val!$B21,Val!$E21,Val!F$10,Val!$C$7,Val!$C21),"")</f>
        <v>-10000</v>
      </c>
      <c r="G21" s="2">
        <f ca="1">IF(Flag_Send_Data=1,_xll.DBSW(Val!G21,Val!$C$1,Val!$C$2,Val!$C$3,Val!$C$4,Val!$D21,Val!$C$5,Val!$C$6,Val!$B21,Val!$E21,Val!G$10,Val!$C$7,Val!$C21),"")</f>
        <v>-10000</v>
      </c>
      <c r="H21" s="2">
        <f ca="1">IF(Flag_Send_Data=1,_xll.DBSW(Val!H21,Val!$C$1,Val!$C$2,Val!$C$3,Val!$C$4,Val!$D21,Val!$C$5,Val!$C$6,Val!$B21,Val!$E21,Val!H$10,Val!$C$7,Val!$C21),"")</f>
        <v>-10000</v>
      </c>
      <c r="I21" s="2">
        <f ca="1">IF(Flag_Send_Data=1,_xll.DBSW(Val!I21,Val!$C$1,Val!$C$2,Val!$C$3,Val!$C$4,Val!$D21,Val!$C$5,Val!$C$6,Val!$B21,Val!$E21,Val!I$10,Val!$C$7,Val!$C21),"")</f>
        <v>-10000</v>
      </c>
      <c r="J21" s="2">
        <f ca="1">IF(Flag_Send_Data=1,_xll.DBSW(Val!J21,Val!$C$1,Val!$C$2,Val!$C$3,Val!$C$4,Val!$D21,Val!$C$5,Val!$C$6,Val!$B21,Val!$E21,Val!J$10,Val!$C$7,Val!$C21),"")</f>
        <v>-10000</v>
      </c>
      <c r="K21" s="2">
        <f ca="1">IF(Flag_Send_Data=1,_xll.DBSW(Val!K21,Val!$C$1,Val!$C$2,Val!$C$3,Val!$C$4,Val!$D21,Val!$C$5,Val!$C$6,Val!$B21,Val!$E21,Val!K$10,Val!$C$7,Val!$C21),"")</f>
        <v>-10000</v>
      </c>
      <c r="L21" s="2">
        <f ca="1">IF(Flag_Send_Data=1,_xll.DBSW(Val!L21,Val!$C$1,Val!$C$2,Val!$C$3,Val!$C$4,Val!$D21,Val!$C$5,Val!$C$6,Val!$B21,Val!$E21,Val!L$10,Val!$C$7,Val!$C21),"")</f>
        <v>-10000</v>
      </c>
      <c r="M21" s="2">
        <f ca="1">IF(Flag_Send_Data=1,_xll.DBSW(Val!M21,Val!$C$1,Val!$C$2,Val!$C$3,Val!$C$4,Val!$D21,Val!$C$5,Val!$C$6,Val!$B21,Val!$E21,Val!M$10,Val!$C$7,Val!$C21),"")</f>
        <v>-10000</v>
      </c>
      <c r="N21" s="2">
        <f ca="1">IF(Flag_Send_Data=1,_xll.DBSW(Val!N21,Val!$C$1,Val!$C$2,Val!$C$3,Val!$C$4,Val!$D21,Val!$C$5,Val!$C$6,Val!$B21,Val!$E21,Val!N$10,Val!$C$7,Val!$C21),"")</f>
        <v>-10000</v>
      </c>
      <c r="O21" s="2">
        <f ca="1">IF(Flag_Send_Data=1,_xll.DBSW(Val!O21,Val!$C$1,Val!$C$2,Val!$C$3,Val!$C$4,Val!$D21,Val!$C$5,Val!$C$6,Val!$B21,Val!$E21,Val!O$10,Val!$C$7,Val!$C21),"")</f>
        <v>-10000</v>
      </c>
      <c r="P21" s="2">
        <f ca="1">IF(Flag_Send_Data=1,_xll.DBSW(Val!P21,Val!$C$1,Val!$C$2,Val!$C$3,Val!$C$4,Val!$D21,Val!$C$5,Val!$C$6,Val!$B21,Val!$E21,Val!P$10,Val!$C$7,Val!$C21),"")</f>
        <v>-10000</v>
      </c>
      <c r="Q21" s="2">
        <f ca="1">IF(Flag_Send_Data=1,_xll.DBSW(Val!Q21,Val!$C$1,Val!$C$2,Val!$C$3,Val!$C$4,Val!$D21,Val!$C$5,Val!$C$6,Val!$B21,Val!$E21,Val!Q$10,Val!$C$7,Val!$C21),"")</f>
        <v>-10000</v>
      </c>
    </row>
    <row r="22" spans="2:17" x14ac:dyDescent="0.25">
      <c r="B22" s="3" t="s">
        <v>233</v>
      </c>
      <c r="C22" t="s">
        <v>16</v>
      </c>
      <c r="D22" t="s">
        <v>199</v>
      </c>
      <c r="E22" t="s">
        <v>17</v>
      </c>
      <c r="F22" s="2">
        <f ca="1">IF(Flag_Send_Data=1,_xll.DBSW(Val!F22,Val!$C$1,Val!$C$2,Val!$C$3,Val!$C$4,Val!$D22,Val!$C$5,Val!$C$6,Val!$B22,Val!$E22,Val!F$10,Val!$C$7,Val!$C22),"")</f>
        <v>-1421.1666666666667</v>
      </c>
      <c r="G22" s="2">
        <f ca="1">IF(Flag_Send_Data=1,_xll.DBSW(Val!G22,Val!$C$1,Val!$C$2,Val!$C$3,Val!$C$4,Val!$D22,Val!$C$5,Val!$C$6,Val!$B22,Val!$E22,Val!G$10,Val!$C$7,Val!$C22),"")</f>
        <v>-1421.1666666666667</v>
      </c>
      <c r="H22" s="2">
        <f ca="1">IF(Flag_Send_Data=1,_xll.DBSW(Val!H22,Val!$C$1,Val!$C$2,Val!$C$3,Val!$C$4,Val!$D22,Val!$C$5,Val!$C$6,Val!$B22,Val!$E22,Val!H$10,Val!$C$7,Val!$C22),"")</f>
        <v>-1421.1666666666667</v>
      </c>
      <c r="I22" s="2">
        <f ca="1">IF(Flag_Send_Data=1,_xll.DBSW(Val!I22,Val!$C$1,Val!$C$2,Val!$C$3,Val!$C$4,Val!$D22,Val!$C$5,Val!$C$6,Val!$B22,Val!$E22,Val!I$10,Val!$C$7,Val!$C22),"")</f>
        <v>-1421.1666666666667</v>
      </c>
      <c r="J22" s="2">
        <f ca="1">IF(Flag_Send_Data=1,_xll.DBSW(Val!J22,Val!$C$1,Val!$C$2,Val!$C$3,Val!$C$4,Val!$D22,Val!$C$5,Val!$C$6,Val!$B22,Val!$E22,Val!J$10,Val!$C$7,Val!$C22),"")</f>
        <v>-1421.1666666666667</v>
      </c>
      <c r="K22" s="2">
        <f ca="1">IF(Flag_Send_Data=1,_xll.DBSW(Val!K22,Val!$C$1,Val!$C$2,Val!$C$3,Val!$C$4,Val!$D22,Val!$C$5,Val!$C$6,Val!$B22,Val!$E22,Val!K$10,Val!$C$7,Val!$C22),"")</f>
        <v>-1421.1666666666667</v>
      </c>
      <c r="L22" s="2">
        <f ca="1">IF(Flag_Send_Data=1,_xll.DBSW(Val!L22,Val!$C$1,Val!$C$2,Val!$C$3,Val!$C$4,Val!$D22,Val!$C$5,Val!$C$6,Val!$B22,Val!$E22,Val!L$10,Val!$C$7,Val!$C22),"")</f>
        <v>-1421.1666666666667</v>
      </c>
      <c r="M22" s="2">
        <f ca="1">IF(Flag_Send_Data=1,_xll.DBSW(Val!M22,Val!$C$1,Val!$C$2,Val!$C$3,Val!$C$4,Val!$D22,Val!$C$5,Val!$C$6,Val!$B22,Val!$E22,Val!M$10,Val!$C$7,Val!$C22),"")</f>
        <v>-1421.1666666666667</v>
      </c>
      <c r="N22" s="2">
        <f ca="1">IF(Flag_Send_Data=1,_xll.DBSW(Val!N22,Val!$C$1,Val!$C$2,Val!$C$3,Val!$C$4,Val!$D22,Val!$C$5,Val!$C$6,Val!$B22,Val!$E22,Val!N$10,Val!$C$7,Val!$C22),"")</f>
        <v>-1421.1666666666667</v>
      </c>
      <c r="O22" s="2">
        <f ca="1">IF(Flag_Send_Data=1,_xll.DBSW(Val!O22,Val!$C$1,Val!$C$2,Val!$C$3,Val!$C$4,Val!$D22,Val!$C$5,Val!$C$6,Val!$B22,Val!$E22,Val!O$10,Val!$C$7,Val!$C22),"")</f>
        <v>-1421.1666666666667</v>
      </c>
      <c r="P22" s="2">
        <f ca="1">IF(Flag_Send_Data=1,_xll.DBSW(Val!P22,Val!$C$1,Val!$C$2,Val!$C$3,Val!$C$4,Val!$D22,Val!$C$5,Val!$C$6,Val!$B22,Val!$E22,Val!P$10,Val!$C$7,Val!$C22),"")</f>
        <v>-1421.1666666666667</v>
      </c>
      <c r="Q22" s="2">
        <f ca="1">IF(Flag_Send_Data=1,_xll.DBSW(Val!Q22,Val!$C$1,Val!$C$2,Val!$C$3,Val!$C$4,Val!$D22,Val!$C$5,Val!$C$6,Val!$B22,Val!$E22,Val!Q$10,Val!$C$7,Val!$C22),"")</f>
        <v>-1421.1666666666667</v>
      </c>
    </row>
    <row r="23" spans="2:17" x14ac:dyDescent="0.25">
      <c r="B23" s="3" t="s">
        <v>233</v>
      </c>
      <c r="C23" t="s">
        <v>16</v>
      </c>
      <c r="D23" t="s">
        <v>199</v>
      </c>
      <c r="E23" t="s">
        <v>128</v>
      </c>
      <c r="F23" s="2">
        <f ca="1">IF(Flag_Send_Data=1,_xll.DBSW(Val!F23,Val!$C$1,Val!$C$2,Val!$C$3,Val!$C$4,Val!$D23,Val!$C$5,Val!$C$6,Val!$B23,Val!$E23,Val!F$10,Val!$C$7,Val!$C23),"")</f>
        <v>-86250</v>
      </c>
      <c r="G23" s="2">
        <f ca="1">IF(Flag_Send_Data=1,_xll.DBSW(Val!G23,Val!$C$1,Val!$C$2,Val!$C$3,Val!$C$4,Val!$D23,Val!$C$5,Val!$C$6,Val!$B23,Val!$E23,Val!G$10,Val!$C$7,Val!$C23),"")</f>
        <v>-86250</v>
      </c>
      <c r="H23" s="2">
        <f ca="1">IF(Flag_Send_Data=1,_xll.DBSW(Val!H23,Val!$C$1,Val!$C$2,Val!$C$3,Val!$C$4,Val!$D23,Val!$C$5,Val!$C$6,Val!$B23,Val!$E23,Val!H$10,Val!$C$7,Val!$C23),"")</f>
        <v>-86250</v>
      </c>
      <c r="I23" s="2">
        <f ca="1">IF(Flag_Send_Data=1,_xll.DBSW(Val!I23,Val!$C$1,Val!$C$2,Val!$C$3,Val!$C$4,Val!$D23,Val!$C$5,Val!$C$6,Val!$B23,Val!$E23,Val!I$10,Val!$C$7,Val!$C23),"")</f>
        <v>-86250</v>
      </c>
      <c r="J23" s="2">
        <f ca="1">IF(Flag_Send_Data=1,_xll.DBSW(Val!J23,Val!$C$1,Val!$C$2,Val!$C$3,Val!$C$4,Val!$D23,Val!$C$5,Val!$C$6,Val!$B23,Val!$E23,Val!J$10,Val!$C$7,Val!$C23),"")</f>
        <v>-86250</v>
      </c>
      <c r="K23" s="2">
        <f ca="1">IF(Flag_Send_Data=1,_xll.DBSW(Val!K23,Val!$C$1,Val!$C$2,Val!$C$3,Val!$C$4,Val!$D23,Val!$C$5,Val!$C$6,Val!$B23,Val!$E23,Val!K$10,Val!$C$7,Val!$C23),"")</f>
        <v>-86250</v>
      </c>
      <c r="L23" s="2">
        <f ca="1">IF(Flag_Send_Data=1,_xll.DBSW(Val!L23,Val!$C$1,Val!$C$2,Val!$C$3,Val!$C$4,Val!$D23,Val!$C$5,Val!$C$6,Val!$B23,Val!$E23,Val!L$10,Val!$C$7,Val!$C23),"")</f>
        <v>-86250</v>
      </c>
      <c r="M23" s="2">
        <f ca="1">IF(Flag_Send_Data=1,_xll.DBSW(Val!M23,Val!$C$1,Val!$C$2,Val!$C$3,Val!$C$4,Val!$D23,Val!$C$5,Val!$C$6,Val!$B23,Val!$E23,Val!M$10,Val!$C$7,Val!$C23),"")</f>
        <v>-86250</v>
      </c>
      <c r="N23" s="2">
        <f ca="1">IF(Flag_Send_Data=1,_xll.DBSW(Val!N23,Val!$C$1,Val!$C$2,Val!$C$3,Val!$C$4,Val!$D23,Val!$C$5,Val!$C$6,Val!$B23,Val!$E23,Val!N$10,Val!$C$7,Val!$C23),"")</f>
        <v>-86250</v>
      </c>
      <c r="O23" s="2">
        <f ca="1">IF(Flag_Send_Data=1,_xll.DBSW(Val!O23,Val!$C$1,Val!$C$2,Val!$C$3,Val!$C$4,Val!$D23,Val!$C$5,Val!$C$6,Val!$B23,Val!$E23,Val!O$10,Val!$C$7,Val!$C23),"")</f>
        <v>-86250</v>
      </c>
      <c r="P23" s="2">
        <f ca="1">IF(Flag_Send_Data=1,_xll.DBSW(Val!P23,Val!$C$1,Val!$C$2,Val!$C$3,Val!$C$4,Val!$D23,Val!$C$5,Val!$C$6,Val!$B23,Val!$E23,Val!P$10,Val!$C$7,Val!$C23),"")</f>
        <v>-86250</v>
      </c>
      <c r="Q23" s="2">
        <f ca="1">IF(Flag_Send_Data=1,_xll.DBSW(Val!Q23,Val!$C$1,Val!$C$2,Val!$C$3,Val!$C$4,Val!$D23,Val!$C$5,Val!$C$6,Val!$B23,Val!$E23,Val!Q$10,Val!$C$7,Val!$C23),"")</f>
        <v>-86250</v>
      </c>
    </row>
    <row r="24" spans="2:17" x14ac:dyDescent="0.25">
      <c r="B24" s="3" t="s">
        <v>233</v>
      </c>
      <c r="C24" t="s">
        <v>16</v>
      </c>
      <c r="D24" t="s">
        <v>178</v>
      </c>
      <c r="E24" t="s">
        <v>128</v>
      </c>
      <c r="F24" s="2">
        <f ca="1">IF(Flag_Send_Data=1,_xll.DBSW(Val!F24,Val!$C$1,Val!$C$2,Val!$C$3,Val!$C$4,Val!$D24,Val!$C$5,Val!$C$6,Val!$B24,Val!$E24,Val!F$10,Val!$C$7,Val!$C24),"")</f>
        <v>-25000</v>
      </c>
      <c r="G24" s="2">
        <f ca="1">IF(Flag_Send_Data=1,_xll.DBSW(Val!G24,Val!$C$1,Val!$C$2,Val!$C$3,Val!$C$4,Val!$D24,Val!$C$5,Val!$C$6,Val!$B24,Val!$E24,Val!G$10,Val!$C$7,Val!$C24),"")</f>
        <v>-25000</v>
      </c>
      <c r="H24" s="2">
        <f ca="1">IF(Flag_Send_Data=1,_xll.DBSW(Val!H24,Val!$C$1,Val!$C$2,Val!$C$3,Val!$C$4,Val!$D24,Val!$C$5,Val!$C$6,Val!$B24,Val!$E24,Val!H$10,Val!$C$7,Val!$C24),"")</f>
        <v>-25000</v>
      </c>
      <c r="I24" s="2">
        <f ca="1">IF(Flag_Send_Data=1,_xll.DBSW(Val!I24,Val!$C$1,Val!$C$2,Val!$C$3,Val!$C$4,Val!$D24,Val!$C$5,Val!$C$6,Val!$B24,Val!$E24,Val!I$10,Val!$C$7,Val!$C24),"")</f>
        <v>-25000</v>
      </c>
      <c r="J24" s="2">
        <f ca="1">IF(Flag_Send_Data=1,_xll.DBSW(Val!J24,Val!$C$1,Val!$C$2,Val!$C$3,Val!$C$4,Val!$D24,Val!$C$5,Val!$C$6,Val!$B24,Val!$E24,Val!J$10,Val!$C$7,Val!$C24),"")</f>
        <v>-25000</v>
      </c>
      <c r="K24" s="2">
        <f ca="1">IF(Flag_Send_Data=1,_xll.DBSW(Val!K24,Val!$C$1,Val!$C$2,Val!$C$3,Val!$C$4,Val!$D24,Val!$C$5,Val!$C$6,Val!$B24,Val!$E24,Val!K$10,Val!$C$7,Val!$C24),"")</f>
        <v>-25000</v>
      </c>
      <c r="L24" s="2">
        <f ca="1">IF(Flag_Send_Data=1,_xll.DBSW(Val!L24,Val!$C$1,Val!$C$2,Val!$C$3,Val!$C$4,Val!$D24,Val!$C$5,Val!$C$6,Val!$B24,Val!$E24,Val!L$10,Val!$C$7,Val!$C24),"")</f>
        <v>-25000</v>
      </c>
      <c r="M24" s="2">
        <f ca="1">IF(Flag_Send_Data=1,_xll.DBSW(Val!M24,Val!$C$1,Val!$C$2,Val!$C$3,Val!$C$4,Val!$D24,Val!$C$5,Val!$C$6,Val!$B24,Val!$E24,Val!M$10,Val!$C$7,Val!$C24),"")</f>
        <v>-25000</v>
      </c>
      <c r="N24" s="2">
        <f ca="1">IF(Flag_Send_Data=1,_xll.DBSW(Val!N24,Val!$C$1,Val!$C$2,Val!$C$3,Val!$C$4,Val!$D24,Val!$C$5,Val!$C$6,Val!$B24,Val!$E24,Val!N$10,Val!$C$7,Val!$C24),"")</f>
        <v>-25000</v>
      </c>
      <c r="O24" s="2">
        <f ca="1">IF(Flag_Send_Data=1,_xll.DBSW(Val!O24,Val!$C$1,Val!$C$2,Val!$C$3,Val!$C$4,Val!$D24,Val!$C$5,Val!$C$6,Val!$B24,Val!$E24,Val!O$10,Val!$C$7,Val!$C24),"")</f>
        <v>-25000</v>
      </c>
      <c r="P24" s="2">
        <f ca="1">IF(Flag_Send_Data=1,_xll.DBSW(Val!P24,Val!$C$1,Val!$C$2,Val!$C$3,Val!$C$4,Val!$D24,Val!$C$5,Val!$C$6,Val!$B24,Val!$E24,Val!P$10,Val!$C$7,Val!$C24),"")</f>
        <v>-25000</v>
      </c>
      <c r="Q24" s="2">
        <f ca="1">IF(Flag_Send_Data=1,_xll.DBSW(Val!Q24,Val!$C$1,Val!$C$2,Val!$C$3,Val!$C$4,Val!$D24,Val!$C$5,Val!$C$6,Val!$B24,Val!$E24,Val!Q$10,Val!$C$7,Val!$C24),"")</f>
        <v>-25000</v>
      </c>
    </row>
    <row r="25" spans="2:17" x14ac:dyDescent="0.25">
      <c r="B25" s="3" t="s">
        <v>233</v>
      </c>
      <c r="C25" t="s">
        <v>13</v>
      </c>
      <c r="D25" t="s">
        <v>199</v>
      </c>
      <c r="E25" t="s">
        <v>128</v>
      </c>
      <c r="F25" s="2">
        <f ca="1">IF(Flag_Send_Data=1,_xll.DBSW(Val!F25,Val!$C$1,Val!$C$2,Val!$C$3,Val!$C$4,Val!$D25,Val!$C$5,Val!$C$6,Val!$B25,Val!$E25,Val!F$10,Val!$C$7,Val!$C25),"")</f>
        <v>-833.33333333333337</v>
      </c>
      <c r="G25" s="2">
        <f ca="1">IF(Flag_Send_Data=1,_xll.DBSW(Val!G25,Val!$C$1,Val!$C$2,Val!$C$3,Val!$C$4,Val!$D25,Val!$C$5,Val!$C$6,Val!$B25,Val!$E25,Val!G$10,Val!$C$7,Val!$C25),"")</f>
        <v>-833.33333333333337</v>
      </c>
      <c r="H25" s="2">
        <f ca="1">IF(Flag_Send_Data=1,_xll.DBSW(Val!H25,Val!$C$1,Val!$C$2,Val!$C$3,Val!$C$4,Val!$D25,Val!$C$5,Val!$C$6,Val!$B25,Val!$E25,Val!H$10,Val!$C$7,Val!$C25),"")</f>
        <v>-833.33333333333337</v>
      </c>
      <c r="I25" s="2">
        <f ca="1">IF(Flag_Send_Data=1,_xll.DBSW(Val!I25,Val!$C$1,Val!$C$2,Val!$C$3,Val!$C$4,Val!$D25,Val!$C$5,Val!$C$6,Val!$B25,Val!$E25,Val!I$10,Val!$C$7,Val!$C25),"")</f>
        <v>-833.33333333333337</v>
      </c>
      <c r="J25" s="2">
        <f ca="1">IF(Flag_Send_Data=1,_xll.DBSW(Val!J25,Val!$C$1,Val!$C$2,Val!$C$3,Val!$C$4,Val!$D25,Val!$C$5,Val!$C$6,Val!$B25,Val!$E25,Val!J$10,Val!$C$7,Val!$C25),"")</f>
        <v>-833.33333333333337</v>
      </c>
      <c r="K25" s="2">
        <f ca="1">IF(Flag_Send_Data=1,_xll.DBSW(Val!K25,Val!$C$1,Val!$C$2,Val!$C$3,Val!$C$4,Val!$D25,Val!$C$5,Val!$C$6,Val!$B25,Val!$E25,Val!K$10,Val!$C$7,Val!$C25),"")</f>
        <v>-833.33333333333337</v>
      </c>
      <c r="L25" s="2">
        <f ca="1">IF(Flag_Send_Data=1,_xll.DBSW(Val!L25,Val!$C$1,Val!$C$2,Val!$C$3,Val!$C$4,Val!$D25,Val!$C$5,Val!$C$6,Val!$B25,Val!$E25,Val!L$10,Val!$C$7,Val!$C25),"")</f>
        <v>-833.33333333333337</v>
      </c>
      <c r="M25" s="2">
        <f ca="1">IF(Flag_Send_Data=1,_xll.DBSW(Val!M25,Val!$C$1,Val!$C$2,Val!$C$3,Val!$C$4,Val!$D25,Val!$C$5,Val!$C$6,Val!$B25,Val!$E25,Val!M$10,Val!$C$7,Val!$C25),"")</f>
        <v>-833.33333333333337</v>
      </c>
      <c r="N25" s="2">
        <f ca="1">IF(Flag_Send_Data=1,_xll.DBSW(Val!N25,Val!$C$1,Val!$C$2,Val!$C$3,Val!$C$4,Val!$D25,Val!$C$5,Val!$C$6,Val!$B25,Val!$E25,Val!N$10,Val!$C$7,Val!$C25),"")</f>
        <v>-833.33333333333337</v>
      </c>
      <c r="O25" s="2">
        <f ca="1">IF(Flag_Send_Data=1,_xll.DBSW(Val!O25,Val!$C$1,Val!$C$2,Val!$C$3,Val!$C$4,Val!$D25,Val!$C$5,Val!$C$6,Val!$B25,Val!$E25,Val!O$10,Val!$C$7,Val!$C25),"")</f>
        <v>-833.33333333333337</v>
      </c>
      <c r="P25" s="2">
        <f ca="1">IF(Flag_Send_Data=1,_xll.DBSW(Val!P25,Val!$C$1,Val!$C$2,Val!$C$3,Val!$C$4,Val!$D25,Val!$C$5,Val!$C$6,Val!$B25,Val!$E25,Val!P$10,Val!$C$7,Val!$C25),"")</f>
        <v>-833.33333333333337</v>
      </c>
      <c r="Q25" s="2">
        <f ca="1">IF(Flag_Send_Data=1,_xll.DBSW(Val!Q25,Val!$C$1,Val!$C$2,Val!$C$3,Val!$C$4,Val!$D25,Val!$C$5,Val!$C$6,Val!$B25,Val!$E25,Val!Q$10,Val!$C$7,Val!$C25),"")</f>
        <v>-833.33333333333337</v>
      </c>
    </row>
    <row r="26" spans="2:17" x14ac:dyDescent="0.25">
      <c r="B26" s="3" t="s">
        <v>233</v>
      </c>
      <c r="C26" t="s">
        <v>109</v>
      </c>
      <c r="D26" t="s">
        <v>199</v>
      </c>
      <c r="E26" t="s">
        <v>128</v>
      </c>
      <c r="F26" s="2">
        <f ca="1">IF(Flag_Send_Data=1,_xll.DBSW(Val!F26,Val!$C$1,Val!$C$2,Val!$C$3,Val!$C$4,Val!$D26,Val!$C$5,Val!$C$6,Val!$B26,Val!$E26,Val!F$10,Val!$C$7,Val!$C26),"")</f>
        <v>-1250</v>
      </c>
      <c r="G26" s="2">
        <f ca="1">IF(Flag_Send_Data=1,_xll.DBSW(Val!G26,Val!$C$1,Val!$C$2,Val!$C$3,Val!$C$4,Val!$D26,Val!$C$5,Val!$C$6,Val!$B26,Val!$E26,Val!G$10,Val!$C$7,Val!$C26),"")</f>
        <v>-1250</v>
      </c>
      <c r="H26" s="2">
        <f ca="1">IF(Flag_Send_Data=1,_xll.DBSW(Val!H26,Val!$C$1,Val!$C$2,Val!$C$3,Val!$C$4,Val!$D26,Val!$C$5,Val!$C$6,Val!$B26,Val!$E26,Val!H$10,Val!$C$7,Val!$C26),"")</f>
        <v>-1250</v>
      </c>
      <c r="I26" s="2">
        <f ca="1">IF(Flag_Send_Data=1,_xll.DBSW(Val!I26,Val!$C$1,Val!$C$2,Val!$C$3,Val!$C$4,Val!$D26,Val!$C$5,Val!$C$6,Val!$B26,Val!$E26,Val!I$10,Val!$C$7,Val!$C26),"")</f>
        <v>-1250</v>
      </c>
      <c r="J26" s="2">
        <f ca="1">IF(Flag_Send_Data=1,_xll.DBSW(Val!J26,Val!$C$1,Val!$C$2,Val!$C$3,Val!$C$4,Val!$D26,Val!$C$5,Val!$C$6,Val!$B26,Val!$E26,Val!J$10,Val!$C$7,Val!$C26),"")</f>
        <v>-1250</v>
      </c>
      <c r="K26" s="2">
        <f ca="1">IF(Flag_Send_Data=1,_xll.DBSW(Val!K26,Val!$C$1,Val!$C$2,Val!$C$3,Val!$C$4,Val!$D26,Val!$C$5,Val!$C$6,Val!$B26,Val!$E26,Val!K$10,Val!$C$7,Val!$C26),"")</f>
        <v>-1250</v>
      </c>
      <c r="L26" s="2">
        <f ca="1">IF(Flag_Send_Data=1,_xll.DBSW(Val!L26,Val!$C$1,Val!$C$2,Val!$C$3,Val!$C$4,Val!$D26,Val!$C$5,Val!$C$6,Val!$B26,Val!$E26,Val!L$10,Val!$C$7,Val!$C26),"")</f>
        <v>-1250</v>
      </c>
      <c r="M26" s="2">
        <f ca="1">IF(Flag_Send_Data=1,_xll.DBSW(Val!M26,Val!$C$1,Val!$C$2,Val!$C$3,Val!$C$4,Val!$D26,Val!$C$5,Val!$C$6,Val!$B26,Val!$E26,Val!M$10,Val!$C$7,Val!$C26),"")</f>
        <v>-1250</v>
      </c>
      <c r="N26" s="2">
        <f ca="1">IF(Flag_Send_Data=1,_xll.DBSW(Val!N26,Val!$C$1,Val!$C$2,Val!$C$3,Val!$C$4,Val!$D26,Val!$C$5,Val!$C$6,Val!$B26,Val!$E26,Val!N$10,Val!$C$7,Val!$C26),"")</f>
        <v>-1250</v>
      </c>
      <c r="O26" s="2">
        <f ca="1">IF(Flag_Send_Data=1,_xll.DBSW(Val!O26,Val!$C$1,Val!$C$2,Val!$C$3,Val!$C$4,Val!$D26,Val!$C$5,Val!$C$6,Val!$B26,Val!$E26,Val!O$10,Val!$C$7,Val!$C26),"")</f>
        <v>-1250</v>
      </c>
      <c r="P26" s="2">
        <f ca="1">IF(Flag_Send_Data=1,_xll.DBSW(Val!P26,Val!$C$1,Val!$C$2,Val!$C$3,Val!$C$4,Val!$D26,Val!$C$5,Val!$C$6,Val!$B26,Val!$E26,Val!P$10,Val!$C$7,Val!$C26),"")</f>
        <v>-1250</v>
      </c>
      <c r="Q26" s="2">
        <f ca="1">IF(Flag_Send_Data=1,_xll.DBSW(Val!Q26,Val!$C$1,Val!$C$2,Val!$C$3,Val!$C$4,Val!$D26,Val!$C$5,Val!$C$6,Val!$B26,Val!$E26,Val!Q$10,Val!$C$7,Val!$C26),"")</f>
        <v>-1250</v>
      </c>
    </row>
    <row r="27" spans="2:17" x14ac:dyDescent="0.25">
      <c r="B27" s="3" t="s">
        <v>233</v>
      </c>
      <c r="C27" t="s">
        <v>81</v>
      </c>
      <c r="D27" t="s">
        <v>199</v>
      </c>
      <c r="E27" t="s">
        <v>128</v>
      </c>
      <c r="F27" s="2">
        <f ca="1">IF(Flag_Send_Data=1,_xll.DBSW(Val!F27,Val!$C$1,Val!$C$2,Val!$C$3,Val!$C$4,Val!$D27,Val!$C$5,Val!$C$6,Val!$B27,Val!$E27,Val!F$10,Val!$C$7,Val!$C27),"")</f>
        <v>-2481.4814814814813</v>
      </c>
      <c r="G27" s="2">
        <f ca="1">IF(Flag_Send_Data=1,_xll.DBSW(Val!G27,Val!$C$1,Val!$C$2,Val!$C$3,Val!$C$4,Val!$D27,Val!$C$5,Val!$C$6,Val!$B27,Val!$E27,Val!G$10,Val!$C$7,Val!$C27),"")</f>
        <v>-2481.4814814814813</v>
      </c>
      <c r="H27" s="2">
        <f ca="1">IF(Flag_Send_Data=1,_xll.DBSW(Val!H27,Val!$C$1,Val!$C$2,Val!$C$3,Val!$C$4,Val!$D27,Val!$C$5,Val!$C$6,Val!$B27,Val!$E27,Val!H$10,Val!$C$7,Val!$C27),"")</f>
        <v>-2481.4814814814813</v>
      </c>
      <c r="I27" s="2">
        <f ca="1">IF(Flag_Send_Data=1,_xll.DBSW(Val!I27,Val!$C$1,Val!$C$2,Val!$C$3,Val!$C$4,Val!$D27,Val!$C$5,Val!$C$6,Val!$B27,Val!$E27,Val!I$10,Val!$C$7,Val!$C27),"")</f>
        <v>-2481.4814814814813</v>
      </c>
      <c r="J27" s="2">
        <f ca="1">IF(Flag_Send_Data=1,_xll.DBSW(Val!J27,Val!$C$1,Val!$C$2,Val!$C$3,Val!$C$4,Val!$D27,Val!$C$5,Val!$C$6,Val!$B27,Val!$E27,Val!J$10,Val!$C$7,Val!$C27),"")</f>
        <v>-2481.4814814814813</v>
      </c>
      <c r="K27" s="2">
        <f ca="1">IF(Flag_Send_Data=1,_xll.DBSW(Val!K27,Val!$C$1,Val!$C$2,Val!$C$3,Val!$C$4,Val!$D27,Val!$C$5,Val!$C$6,Val!$B27,Val!$E27,Val!K$10,Val!$C$7,Val!$C27),"")</f>
        <v>-2481.4814814814813</v>
      </c>
      <c r="L27" s="2">
        <f ca="1">IF(Flag_Send_Data=1,_xll.DBSW(Val!L27,Val!$C$1,Val!$C$2,Val!$C$3,Val!$C$4,Val!$D27,Val!$C$5,Val!$C$6,Val!$B27,Val!$E27,Val!L$10,Val!$C$7,Val!$C27),"")</f>
        <v>-2481.4814814814813</v>
      </c>
      <c r="M27" s="2">
        <f ca="1">IF(Flag_Send_Data=1,_xll.DBSW(Val!M27,Val!$C$1,Val!$C$2,Val!$C$3,Val!$C$4,Val!$D27,Val!$C$5,Val!$C$6,Val!$B27,Val!$E27,Val!M$10,Val!$C$7,Val!$C27),"")</f>
        <v>-2481.4814814814813</v>
      </c>
      <c r="N27" s="2">
        <f ca="1">IF(Flag_Send_Data=1,_xll.DBSW(Val!N27,Val!$C$1,Val!$C$2,Val!$C$3,Val!$C$4,Val!$D27,Val!$C$5,Val!$C$6,Val!$B27,Val!$E27,Val!N$10,Val!$C$7,Val!$C27),"")</f>
        <v>-2481.4814814814813</v>
      </c>
      <c r="O27" s="2">
        <f ca="1">IF(Flag_Send_Data=1,_xll.DBSW(Val!O27,Val!$C$1,Val!$C$2,Val!$C$3,Val!$C$4,Val!$D27,Val!$C$5,Val!$C$6,Val!$B27,Val!$E27,Val!O$10,Val!$C$7,Val!$C27),"")</f>
        <v>-2481.4814814814813</v>
      </c>
      <c r="P27" s="2">
        <f ca="1">IF(Flag_Send_Data=1,_xll.DBSW(Val!P27,Val!$C$1,Val!$C$2,Val!$C$3,Val!$C$4,Val!$D27,Val!$C$5,Val!$C$6,Val!$B27,Val!$E27,Val!P$10,Val!$C$7,Val!$C27),"")</f>
        <v>-2481.4814814814813</v>
      </c>
      <c r="Q27" s="2">
        <f ca="1">IF(Flag_Send_Data=1,_xll.DBSW(Val!Q27,Val!$C$1,Val!$C$2,Val!$C$3,Val!$C$4,Val!$D27,Val!$C$5,Val!$C$6,Val!$B27,Val!$E27,Val!Q$10,Val!$C$7,Val!$C27),"")</f>
        <v>-2481.4814814814813</v>
      </c>
    </row>
    <row r="28" spans="2:17" x14ac:dyDescent="0.25">
      <c r="B28" s="3" t="s">
        <v>234</v>
      </c>
      <c r="C28" t="s">
        <v>11</v>
      </c>
      <c r="D28" t="s">
        <v>199</v>
      </c>
      <c r="E28" t="s">
        <v>128</v>
      </c>
      <c r="F28" s="2">
        <f ca="1">IF(Flag_Send_Data=1,_xll.DBSW(Val!F28,Val!$C$1,Val!$C$2,Val!$C$3,Val!$C$4,Val!$D28,Val!$C$5,Val!$C$6,Val!$B28,Val!$E28,Val!F$10,Val!$C$7,Val!$C28),"")</f>
        <v>-72833.890833333324</v>
      </c>
      <c r="G28" s="2">
        <f ca="1">IF(Flag_Send_Data=1,_xll.DBSW(Val!G28,Val!$C$1,Val!$C$2,Val!$C$3,Val!$C$4,Val!$D28,Val!$C$5,Val!$C$6,Val!$B28,Val!$E28,Val!G$10,Val!$C$7,Val!$C28),"")</f>
        <v>-72833.890833333324</v>
      </c>
      <c r="H28" s="2">
        <f ca="1">IF(Flag_Send_Data=1,_xll.DBSW(Val!H28,Val!$C$1,Val!$C$2,Val!$C$3,Val!$C$4,Val!$D28,Val!$C$5,Val!$C$6,Val!$B28,Val!$E28,Val!H$10,Val!$C$7,Val!$C28),"")</f>
        <v>-72833.890833333324</v>
      </c>
      <c r="I28" s="2">
        <f ca="1">IF(Flag_Send_Data=1,_xll.DBSW(Val!I28,Val!$C$1,Val!$C$2,Val!$C$3,Val!$C$4,Val!$D28,Val!$C$5,Val!$C$6,Val!$B28,Val!$E28,Val!I$10,Val!$C$7,Val!$C28),"")</f>
        <v>-98461.390833333324</v>
      </c>
      <c r="J28" s="2">
        <f ca="1">IF(Flag_Send_Data=1,_xll.DBSW(Val!J28,Val!$C$1,Val!$C$2,Val!$C$3,Val!$C$4,Val!$D28,Val!$C$5,Val!$C$6,Val!$B28,Val!$E28,Val!J$10,Val!$C$7,Val!$C28),"")</f>
        <v>-98461.390833333324</v>
      </c>
      <c r="K28" s="2">
        <f ca="1">IF(Flag_Send_Data=1,_xll.DBSW(Val!K28,Val!$C$1,Val!$C$2,Val!$C$3,Val!$C$4,Val!$D28,Val!$C$5,Val!$C$6,Val!$B28,Val!$E28,Val!K$10,Val!$C$7,Val!$C28),"")</f>
        <v>-98461.390833333324</v>
      </c>
      <c r="L28" s="2">
        <f ca="1">IF(Flag_Send_Data=1,_xll.DBSW(Val!L28,Val!$C$1,Val!$C$2,Val!$C$3,Val!$C$4,Val!$D28,Val!$C$5,Val!$C$6,Val!$B28,Val!$E28,Val!L$10,Val!$C$7,Val!$C28),"")</f>
        <v>-98461.390833333324</v>
      </c>
      <c r="M28" s="2">
        <f ca="1">IF(Flag_Send_Data=1,_xll.DBSW(Val!M28,Val!$C$1,Val!$C$2,Val!$C$3,Val!$C$4,Val!$D28,Val!$C$5,Val!$C$6,Val!$B28,Val!$E28,Val!M$10,Val!$C$7,Val!$C28),"")</f>
        <v>-98461.390833333324</v>
      </c>
      <c r="N28" s="2">
        <f ca="1">IF(Flag_Send_Data=1,_xll.DBSW(Val!N28,Val!$C$1,Val!$C$2,Val!$C$3,Val!$C$4,Val!$D28,Val!$C$5,Val!$C$6,Val!$B28,Val!$E28,Val!N$10,Val!$C$7,Val!$C28),"")</f>
        <v>-98461.390833333324</v>
      </c>
      <c r="O28" s="2">
        <f ca="1">IF(Flag_Send_Data=1,_xll.DBSW(Val!O28,Val!$C$1,Val!$C$2,Val!$C$3,Val!$C$4,Val!$D28,Val!$C$5,Val!$C$6,Val!$B28,Val!$E28,Val!O$10,Val!$C$7,Val!$C28),"")</f>
        <v>-98461.390833333324</v>
      </c>
      <c r="P28" s="2">
        <f ca="1">IF(Flag_Send_Data=1,_xll.DBSW(Val!P28,Val!$C$1,Val!$C$2,Val!$C$3,Val!$C$4,Val!$D28,Val!$C$5,Val!$C$6,Val!$B28,Val!$E28,Val!P$10,Val!$C$7,Val!$C28),"")</f>
        <v>-98461.390833333324</v>
      </c>
      <c r="Q28" s="2">
        <f ca="1">IF(Flag_Send_Data=1,_xll.DBSW(Val!Q28,Val!$C$1,Val!$C$2,Val!$C$3,Val!$C$4,Val!$D28,Val!$C$5,Val!$C$6,Val!$B28,Val!$E28,Val!Q$10,Val!$C$7,Val!$C28),"")</f>
        <v>-98461.390833333324</v>
      </c>
    </row>
    <row r="29" spans="2:17" x14ac:dyDescent="0.25">
      <c r="B29" s="3" t="s">
        <v>234</v>
      </c>
      <c r="C29" t="s">
        <v>12</v>
      </c>
      <c r="D29" t="s">
        <v>199</v>
      </c>
      <c r="E29" t="s">
        <v>165</v>
      </c>
      <c r="F29" s="2">
        <f ca="1">IF(Flag_Send_Data=1,_xll.DBSW(Val!F29,Val!$C$1,Val!$C$2,Val!$C$3,Val!$C$4,Val!$D29,Val!$C$5,Val!$C$6,Val!$B29,Val!$E29,Val!F$10,Val!$C$7,Val!$C29),"")</f>
        <v>-4166.666666666667</v>
      </c>
      <c r="G29" s="2">
        <f ca="1">IF(Flag_Send_Data=1,_xll.DBSW(Val!G29,Val!$C$1,Val!$C$2,Val!$C$3,Val!$C$4,Val!$D29,Val!$C$5,Val!$C$6,Val!$B29,Val!$E29,Val!G$10,Val!$C$7,Val!$C29),"")</f>
        <v>-4166.666666666667</v>
      </c>
      <c r="H29" s="2">
        <f ca="1">IF(Flag_Send_Data=1,_xll.DBSW(Val!H29,Val!$C$1,Val!$C$2,Val!$C$3,Val!$C$4,Val!$D29,Val!$C$5,Val!$C$6,Val!$B29,Val!$E29,Val!H$10,Val!$C$7,Val!$C29),"")</f>
        <v>-4166.666666666667</v>
      </c>
      <c r="I29" s="2">
        <f ca="1">IF(Flag_Send_Data=1,_xll.DBSW(Val!I29,Val!$C$1,Val!$C$2,Val!$C$3,Val!$C$4,Val!$D29,Val!$C$5,Val!$C$6,Val!$B29,Val!$E29,Val!I$10,Val!$C$7,Val!$C29),"")</f>
        <v>-4166.666666666667</v>
      </c>
      <c r="J29" s="2">
        <f ca="1">IF(Flag_Send_Data=1,_xll.DBSW(Val!J29,Val!$C$1,Val!$C$2,Val!$C$3,Val!$C$4,Val!$D29,Val!$C$5,Val!$C$6,Val!$B29,Val!$E29,Val!J$10,Val!$C$7,Val!$C29),"")</f>
        <v>-4166.666666666667</v>
      </c>
      <c r="K29" s="2">
        <f ca="1">IF(Flag_Send_Data=1,_xll.DBSW(Val!K29,Val!$C$1,Val!$C$2,Val!$C$3,Val!$C$4,Val!$D29,Val!$C$5,Val!$C$6,Val!$B29,Val!$E29,Val!K$10,Val!$C$7,Val!$C29),"")</f>
        <v>-4166.666666666667</v>
      </c>
      <c r="L29" s="2">
        <f ca="1">IF(Flag_Send_Data=1,_xll.DBSW(Val!L29,Val!$C$1,Val!$C$2,Val!$C$3,Val!$C$4,Val!$D29,Val!$C$5,Val!$C$6,Val!$B29,Val!$E29,Val!L$10,Val!$C$7,Val!$C29),"")</f>
        <v>-4166.666666666667</v>
      </c>
      <c r="M29" s="2">
        <f ca="1">IF(Flag_Send_Data=1,_xll.DBSW(Val!M29,Val!$C$1,Val!$C$2,Val!$C$3,Val!$C$4,Val!$D29,Val!$C$5,Val!$C$6,Val!$B29,Val!$E29,Val!M$10,Val!$C$7,Val!$C29),"")</f>
        <v>-4166.666666666667</v>
      </c>
      <c r="N29" s="2">
        <f ca="1">IF(Flag_Send_Data=1,_xll.DBSW(Val!N29,Val!$C$1,Val!$C$2,Val!$C$3,Val!$C$4,Val!$D29,Val!$C$5,Val!$C$6,Val!$B29,Val!$E29,Val!N$10,Val!$C$7,Val!$C29),"")</f>
        <v>-4166.666666666667</v>
      </c>
      <c r="O29" s="2">
        <f ca="1">IF(Flag_Send_Data=1,_xll.DBSW(Val!O29,Val!$C$1,Val!$C$2,Val!$C$3,Val!$C$4,Val!$D29,Val!$C$5,Val!$C$6,Val!$B29,Val!$E29,Val!O$10,Val!$C$7,Val!$C29),"")</f>
        <v>-4166.666666666667</v>
      </c>
      <c r="P29" s="2">
        <f ca="1">IF(Flag_Send_Data=1,_xll.DBSW(Val!P29,Val!$C$1,Val!$C$2,Val!$C$3,Val!$C$4,Val!$D29,Val!$C$5,Val!$C$6,Val!$B29,Val!$E29,Val!P$10,Val!$C$7,Val!$C29),"")</f>
        <v>-4166.666666666667</v>
      </c>
      <c r="Q29" s="2">
        <f ca="1">IF(Flag_Send_Data=1,_xll.DBSW(Val!Q29,Val!$C$1,Val!$C$2,Val!$C$3,Val!$C$4,Val!$D29,Val!$C$5,Val!$C$6,Val!$B29,Val!$E29,Val!Q$10,Val!$C$7,Val!$C29),"")</f>
        <v>-4166.666666666667</v>
      </c>
    </row>
    <row r="30" spans="2:17" x14ac:dyDescent="0.25">
      <c r="B30" s="3" t="s">
        <v>234</v>
      </c>
      <c r="C30" t="s">
        <v>16</v>
      </c>
      <c r="D30" t="s">
        <v>199</v>
      </c>
      <c r="E30" t="s">
        <v>128</v>
      </c>
      <c r="F30" s="2">
        <f ca="1">IF(Flag_Send_Data=1,_xll.DBSW(Val!F30,Val!$C$1,Val!$C$2,Val!$C$3,Val!$C$4,Val!$D30,Val!$C$5,Val!$C$6,Val!$B30,Val!$E30,Val!F$10,Val!$C$7,Val!$C30),"")</f>
        <v>-76666.666666666672</v>
      </c>
      <c r="G30" s="2">
        <f ca="1">IF(Flag_Send_Data=1,_xll.DBSW(Val!G30,Val!$C$1,Val!$C$2,Val!$C$3,Val!$C$4,Val!$D30,Val!$C$5,Val!$C$6,Val!$B30,Val!$E30,Val!G$10,Val!$C$7,Val!$C30),"")</f>
        <v>-76666.666666666672</v>
      </c>
      <c r="H30" s="2">
        <f ca="1">IF(Flag_Send_Data=1,_xll.DBSW(Val!H30,Val!$C$1,Val!$C$2,Val!$C$3,Val!$C$4,Val!$D30,Val!$C$5,Val!$C$6,Val!$B30,Val!$E30,Val!H$10,Val!$C$7,Val!$C30),"")</f>
        <v>-76666.666666666672</v>
      </c>
      <c r="I30" s="2">
        <f ca="1">IF(Flag_Send_Data=1,_xll.DBSW(Val!I30,Val!$C$1,Val!$C$2,Val!$C$3,Val!$C$4,Val!$D30,Val!$C$5,Val!$C$6,Val!$B30,Val!$E30,Val!I$10,Val!$C$7,Val!$C30),"")</f>
        <v>-76666.666666666672</v>
      </c>
      <c r="J30" s="2">
        <f ca="1">IF(Flag_Send_Data=1,_xll.DBSW(Val!J30,Val!$C$1,Val!$C$2,Val!$C$3,Val!$C$4,Val!$D30,Val!$C$5,Val!$C$6,Val!$B30,Val!$E30,Val!J$10,Val!$C$7,Val!$C30),"")</f>
        <v>-76666.666666666672</v>
      </c>
      <c r="K30" s="2">
        <f ca="1">IF(Flag_Send_Data=1,_xll.DBSW(Val!K30,Val!$C$1,Val!$C$2,Val!$C$3,Val!$C$4,Val!$D30,Val!$C$5,Val!$C$6,Val!$B30,Val!$E30,Val!K$10,Val!$C$7,Val!$C30),"")</f>
        <v>-76666.666666666672</v>
      </c>
      <c r="L30" s="2">
        <f ca="1">IF(Flag_Send_Data=1,_xll.DBSW(Val!L30,Val!$C$1,Val!$C$2,Val!$C$3,Val!$C$4,Val!$D30,Val!$C$5,Val!$C$6,Val!$B30,Val!$E30,Val!L$10,Val!$C$7,Val!$C30),"")</f>
        <v>-76666.666666666672</v>
      </c>
      <c r="M30" s="2">
        <f ca="1">IF(Flag_Send_Data=1,_xll.DBSW(Val!M30,Val!$C$1,Val!$C$2,Val!$C$3,Val!$C$4,Val!$D30,Val!$C$5,Val!$C$6,Val!$B30,Val!$E30,Val!M$10,Val!$C$7,Val!$C30),"")</f>
        <v>-76666.666666666672</v>
      </c>
      <c r="N30" s="2">
        <f ca="1">IF(Flag_Send_Data=1,_xll.DBSW(Val!N30,Val!$C$1,Val!$C$2,Val!$C$3,Val!$C$4,Val!$D30,Val!$C$5,Val!$C$6,Val!$B30,Val!$E30,Val!N$10,Val!$C$7,Val!$C30),"")</f>
        <v>-76666.666666666672</v>
      </c>
      <c r="O30" s="2">
        <f ca="1">IF(Flag_Send_Data=1,_xll.DBSW(Val!O30,Val!$C$1,Val!$C$2,Val!$C$3,Val!$C$4,Val!$D30,Val!$C$5,Val!$C$6,Val!$B30,Val!$E30,Val!O$10,Val!$C$7,Val!$C30),"")</f>
        <v>-76666.666666666672</v>
      </c>
      <c r="P30" s="2">
        <f ca="1">IF(Flag_Send_Data=1,_xll.DBSW(Val!P30,Val!$C$1,Val!$C$2,Val!$C$3,Val!$C$4,Val!$D30,Val!$C$5,Val!$C$6,Val!$B30,Val!$E30,Val!P$10,Val!$C$7,Val!$C30),"")</f>
        <v>-76666.666666666672</v>
      </c>
      <c r="Q30" s="2">
        <f ca="1">IF(Flag_Send_Data=1,_xll.DBSW(Val!Q30,Val!$C$1,Val!$C$2,Val!$C$3,Val!$C$4,Val!$D30,Val!$C$5,Val!$C$6,Val!$B30,Val!$E30,Val!Q$10,Val!$C$7,Val!$C30),"")</f>
        <v>-76666.666666666672</v>
      </c>
    </row>
    <row r="31" spans="2:17" x14ac:dyDescent="0.25">
      <c r="B31" s="3" t="s">
        <v>234</v>
      </c>
      <c r="C31" t="s">
        <v>13</v>
      </c>
      <c r="D31" t="s">
        <v>199</v>
      </c>
      <c r="E31" t="s">
        <v>168</v>
      </c>
      <c r="F31" s="2">
        <f ca="1">IF(Flag_Send_Data=1,_xll.DBSW(Val!F31,Val!$C$1,Val!$C$2,Val!$C$3,Val!$C$4,Val!$D31,Val!$C$5,Val!$C$6,Val!$B31,Val!$E31,Val!F$10,Val!$C$7,Val!$C31),"")</f>
        <v>-83.333333333333329</v>
      </c>
      <c r="G31" s="2">
        <f ca="1">IF(Flag_Send_Data=1,_xll.DBSW(Val!G31,Val!$C$1,Val!$C$2,Val!$C$3,Val!$C$4,Val!$D31,Val!$C$5,Val!$C$6,Val!$B31,Val!$E31,Val!G$10,Val!$C$7,Val!$C31),"")</f>
        <v>-83.333333333333329</v>
      </c>
      <c r="H31" s="2">
        <f ca="1">IF(Flag_Send_Data=1,_xll.DBSW(Val!H31,Val!$C$1,Val!$C$2,Val!$C$3,Val!$C$4,Val!$D31,Val!$C$5,Val!$C$6,Val!$B31,Val!$E31,Val!H$10,Val!$C$7,Val!$C31),"")</f>
        <v>-83.333333333333329</v>
      </c>
      <c r="I31" s="2">
        <f ca="1">IF(Flag_Send_Data=1,_xll.DBSW(Val!I31,Val!$C$1,Val!$C$2,Val!$C$3,Val!$C$4,Val!$D31,Val!$C$5,Val!$C$6,Val!$B31,Val!$E31,Val!I$10,Val!$C$7,Val!$C31),"")</f>
        <v>-83.333333333333329</v>
      </c>
      <c r="J31" s="2">
        <f ca="1">IF(Flag_Send_Data=1,_xll.DBSW(Val!J31,Val!$C$1,Val!$C$2,Val!$C$3,Val!$C$4,Val!$D31,Val!$C$5,Val!$C$6,Val!$B31,Val!$E31,Val!J$10,Val!$C$7,Val!$C31),"")</f>
        <v>-83.333333333333329</v>
      </c>
      <c r="K31" s="2">
        <f ca="1">IF(Flag_Send_Data=1,_xll.DBSW(Val!K31,Val!$C$1,Val!$C$2,Val!$C$3,Val!$C$4,Val!$D31,Val!$C$5,Val!$C$6,Val!$B31,Val!$E31,Val!K$10,Val!$C$7,Val!$C31),"")</f>
        <v>-83.333333333333329</v>
      </c>
      <c r="L31" s="2">
        <f ca="1">IF(Flag_Send_Data=1,_xll.DBSW(Val!L31,Val!$C$1,Val!$C$2,Val!$C$3,Val!$C$4,Val!$D31,Val!$C$5,Val!$C$6,Val!$B31,Val!$E31,Val!L$10,Val!$C$7,Val!$C31),"")</f>
        <v>-83.333333333333329</v>
      </c>
      <c r="M31" s="2">
        <f ca="1">IF(Flag_Send_Data=1,_xll.DBSW(Val!M31,Val!$C$1,Val!$C$2,Val!$C$3,Val!$C$4,Val!$D31,Val!$C$5,Val!$C$6,Val!$B31,Val!$E31,Val!M$10,Val!$C$7,Val!$C31),"")</f>
        <v>-83.333333333333329</v>
      </c>
      <c r="N31" s="2">
        <f ca="1">IF(Flag_Send_Data=1,_xll.DBSW(Val!N31,Val!$C$1,Val!$C$2,Val!$C$3,Val!$C$4,Val!$D31,Val!$C$5,Val!$C$6,Val!$B31,Val!$E31,Val!N$10,Val!$C$7,Val!$C31),"")</f>
        <v>-83.333333333333329</v>
      </c>
      <c r="O31" s="2">
        <f ca="1">IF(Flag_Send_Data=1,_xll.DBSW(Val!O31,Val!$C$1,Val!$C$2,Val!$C$3,Val!$C$4,Val!$D31,Val!$C$5,Val!$C$6,Val!$B31,Val!$E31,Val!O$10,Val!$C$7,Val!$C31),"")</f>
        <v>-83.333333333333329</v>
      </c>
      <c r="P31" s="2">
        <f ca="1">IF(Flag_Send_Data=1,_xll.DBSW(Val!P31,Val!$C$1,Val!$C$2,Val!$C$3,Val!$C$4,Val!$D31,Val!$C$5,Val!$C$6,Val!$B31,Val!$E31,Val!P$10,Val!$C$7,Val!$C31),"")</f>
        <v>-83.333333333333329</v>
      </c>
      <c r="Q31" s="2">
        <f ca="1">IF(Flag_Send_Data=1,_xll.DBSW(Val!Q31,Val!$C$1,Val!$C$2,Val!$C$3,Val!$C$4,Val!$D31,Val!$C$5,Val!$C$6,Val!$B31,Val!$E31,Val!Q$10,Val!$C$7,Val!$C31),"")</f>
        <v>-83.333333333333329</v>
      </c>
    </row>
    <row r="32" spans="2:17" x14ac:dyDescent="0.25">
      <c r="B32" s="3" t="s">
        <v>235</v>
      </c>
      <c r="C32" t="s">
        <v>11</v>
      </c>
      <c r="D32" t="s">
        <v>199</v>
      </c>
      <c r="E32" t="s">
        <v>128</v>
      </c>
      <c r="F32" s="2">
        <f ca="1">IF(Flag_Send_Data=1,_xll.DBSW(Val!F32,Val!$C$1,Val!$C$2,Val!$C$3,Val!$C$4,Val!$D32,Val!$C$5,Val!$C$6,Val!$B32,Val!$E32,Val!F$10,Val!$C$7,Val!$C32),"")</f>
        <v>-38644.824166666665</v>
      </c>
      <c r="G32" s="2">
        <f ca="1">IF(Flag_Send_Data=1,_xll.DBSW(Val!G32,Val!$C$1,Val!$C$2,Val!$C$3,Val!$C$4,Val!$D32,Val!$C$5,Val!$C$6,Val!$B32,Val!$E32,Val!G$10,Val!$C$7,Val!$C32),"")</f>
        <v>-38644.824166666665</v>
      </c>
      <c r="H32" s="2">
        <f ca="1">IF(Flag_Send_Data=1,_xll.DBSW(Val!H32,Val!$C$1,Val!$C$2,Val!$C$3,Val!$C$4,Val!$D32,Val!$C$5,Val!$C$6,Val!$B32,Val!$E32,Val!H$10,Val!$C$7,Val!$C32),"")</f>
        <v>-38644.824166666665</v>
      </c>
      <c r="I32" s="2">
        <f ca="1">IF(Flag_Send_Data=1,_xll.DBSW(Val!I32,Val!$C$1,Val!$C$2,Val!$C$3,Val!$C$4,Val!$D32,Val!$C$5,Val!$C$6,Val!$B32,Val!$E32,Val!I$10,Val!$C$7,Val!$C32),"")</f>
        <v>-54582.324166666665</v>
      </c>
      <c r="J32" s="2">
        <f ca="1">IF(Flag_Send_Data=1,_xll.DBSW(Val!J32,Val!$C$1,Val!$C$2,Val!$C$3,Val!$C$4,Val!$D32,Val!$C$5,Val!$C$6,Val!$B32,Val!$E32,Val!J$10,Val!$C$7,Val!$C32),"")</f>
        <v>-54582.324166666665</v>
      </c>
      <c r="K32" s="2">
        <f ca="1">IF(Flag_Send_Data=1,_xll.DBSW(Val!K32,Val!$C$1,Val!$C$2,Val!$C$3,Val!$C$4,Val!$D32,Val!$C$5,Val!$C$6,Val!$B32,Val!$E32,Val!K$10,Val!$C$7,Val!$C32),"")</f>
        <v>-54582.324166666665</v>
      </c>
      <c r="L32" s="2">
        <f ca="1">IF(Flag_Send_Data=1,_xll.DBSW(Val!L32,Val!$C$1,Val!$C$2,Val!$C$3,Val!$C$4,Val!$D32,Val!$C$5,Val!$C$6,Val!$B32,Val!$E32,Val!L$10,Val!$C$7,Val!$C32),"")</f>
        <v>-54582.324166666665</v>
      </c>
      <c r="M32" s="2">
        <f ca="1">IF(Flag_Send_Data=1,_xll.DBSW(Val!M32,Val!$C$1,Val!$C$2,Val!$C$3,Val!$C$4,Val!$D32,Val!$C$5,Val!$C$6,Val!$B32,Val!$E32,Val!M$10,Val!$C$7,Val!$C32),"")</f>
        <v>-54582.324166666665</v>
      </c>
      <c r="N32" s="2">
        <f ca="1">IF(Flag_Send_Data=1,_xll.DBSW(Val!N32,Val!$C$1,Val!$C$2,Val!$C$3,Val!$C$4,Val!$D32,Val!$C$5,Val!$C$6,Val!$B32,Val!$E32,Val!N$10,Val!$C$7,Val!$C32),"")</f>
        <v>-60319.824166666665</v>
      </c>
      <c r="O32" s="2">
        <f ca="1">IF(Flag_Send_Data=1,_xll.DBSW(Val!O32,Val!$C$1,Val!$C$2,Val!$C$3,Val!$C$4,Val!$D32,Val!$C$5,Val!$C$6,Val!$B32,Val!$E32,Val!O$10,Val!$C$7,Val!$C32),"")</f>
        <v>-60319.824166666665</v>
      </c>
      <c r="P32" s="2">
        <f ca="1">IF(Flag_Send_Data=1,_xll.DBSW(Val!P32,Val!$C$1,Val!$C$2,Val!$C$3,Val!$C$4,Val!$D32,Val!$C$5,Val!$C$6,Val!$B32,Val!$E32,Val!P$10,Val!$C$7,Val!$C32),"")</f>
        <v>-60319.824166666665</v>
      </c>
      <c r="Q32" s="2">
        <f ca="1">IF(Flag_Send_Data=1,_xll.DBSW(Val!Q32,Val!$C$1,Val!$C$2,Val!$C$3,Val!$C$4,Val!$D32,Val!$C$5,Val!$C$6,Val!$B32,Val!$E32,Val!Q$10,Val!$C$7,Val!$C32),"")</f>
        <v>-60319.824166666665</v>
      </c>
    </row>
    <row r="33" spans="2:17" x14ac:dyDescent="0.25">
      <c r="B33" s="3" t="s">
        <v>235</v>
      </c>
      <c r="C33" t="s">
        <v>12</v>
      </c>
      <c r="D33" t="s">
        <v>199</v>
      </c>
      <c r="E33" t="s">
        <v>128</v>
      </c>
      <c r="F33" s="2">
        <f ca="1">IF(Flag_Send_Data=1,_xll.DBSW(Val!F33,Val!$C$1,Val!$C$2,Val!$C$3,Val!$C$4,Val!$D33,Val!$C$5,Val!$C$6,Val!$B33,Val!$E33,Val!F$10,Val!$C$7,Val!$C33),"")</f>
        <v>-2500</v>
      </c>
      <c r="G33" s="2">
        <f ca="1">IF(Flag_Send_Data=1,_xll.DBSW(Val!G33,Val!$C$1,Val!$C$2,Val!$C$3,Val!$C$4,Val!$D33,Val!$C$5,Val!$C$6,Val!$B33,Val!$E33,Val!G$10,Val!$C$7,Val!$C33),"")</f>
        <v>-2500</v>
      </c>
      <c r="H33" s="2">
        <f ca="1">IF(Flag_Send_Data=1,_xll.DBSW(Val!H33,Val!$C$1,Val!$C$2,Val!$C$3,Val!$C$4,Val!$D33,Val!$C$5,Val!$C$6,Val!$B33,Val!$E33,Val!H$10,Val!$C$7,Val!$C33),"")</f>
        <v>-2500</v>
      </c>
      <c r="I33" s="2">
        <f ca="1">IF(Flag_Send_Data=1,_xll.DBSW(Val!I33,Val!$C$1,Val!$C$2,Val!$C$3,Val!$C$4,Val!$D33,Val!$C$5,Val!$C$6,Val!$B33,Val!$E33,Val!I$10,Val!$C$7,Val!$C33),"")</f>
        <v>-2500</v>
      </c>
      <c r="J33" s="2">
        <f ca="1">IF(Flag_Send_Data=1,_xll.DBSW(Val!J33,Val!$C$1,Val!$C$2,Val!$C$3,Val!$C$4,Val!$D33,Val!$C$5,Val!$C$6,Val!$B33,Val!$E33,Val!J$10,Val!$C$7,Val!$C33),"")</f>
        <v>-2500</v>
      </c>
      <c r="K33" s="2">
        <f ca="1">IF(Flag_Send_Data=1,_xll.DBSW(Val!K33,Val!$C$1,Val!$C$2,Val!$C$3,Val!$C$4,Val!$D33,Val!$C$5,Val!$C$6,Val!$B33,Val!$E33,Val!K$10,Val!$C$7,Val!$C33),"")</f>
        <v>-2500</v>
      </c>
      <c r="L33" s="2">
        <f ca="1">IF(Flag_Send_Data=1,_xll.DBSW(Val!L33,Val!$C$1,Val!$C$2,Val!$C$3,Val!$C$4,Val!$D33,Val!$C$5,Val!$C$6,Val!$B33,Val!$E33,Val!L$10,Val!$C$7,Val!$C33),"")</f>
        <v>-2500</v>
      </c>
      <c r="M33" s="2">
        <f ca="1">IF(Flag_Send_Data=1,_xll.DBSW(Val!M33,Val!$C$1,Val!$C$2,Val!$C$3,Val!$C$4,Val!$D33,Val!$C$5,Val!$C$6,Val!$B33,Val!$E33,Val!M$10,Val!$C$7,Val!$C33),"")</f>
        <v>-2500</v>
      </c>
      <c r="N33" s="2">
        <f ca="1">IF(Flag_Send_Data=1,_xll.DBSW(Val!N33,Val!$C$1,Val!$C$2,Val!$C$3,Val!$C$4,Val!$D33,Val!$C$5,Val!$C$6,Val!$B33,Val!$E33,Val!N$10,Val!$C$7,Val!$C33),"")</f>
        <v>-2500</v>
      </c>
      <c r="O33" s="2">
        <f ca="1">IF(Flag_Send_Data=1,_xll.DBSW(Val!O33,Val!$C$1,Val!$C$2,Val!$C$3,Val!$C$4,Val!$D33,Val!$C$5,Val!$C$6,Val!$B33,Val!$E33,Val!O$10,Val!$C$7,Val!$C33),"")</f>
        <v>-2500</v>
      </c>
      <c r="P33" s="2">
        <f ca="1">IF(Flag_Send_Data=1,_xll.DBSW(Val!P33,Val!$C$1,Val!$C$2,Val!$C$3,Val!$C$4,Val!$D33,Val!$C$5,Val!$C$6,Val!$B33,Val!$E33,Val!P$10,Val!$C$7,Val!$C33),"")</f>
        <v>-2500</v>
      </c>
      <c r="Q33" s="2">
        <f ca="1">IF(Flag_Send_Data=1,_xll.DBSW(Val!Q33,Val!$C$1,Val!$C$2,Val!$C$3,Val!$C$4,Val!$D33,Val!$C$5,Val!$C$6,Val!$B33,Val!$E33,Val!Q$10,Val!$C$7,Val!$C33),"")</f>
        <v>-2500</v>
      </c>
    </row>
    <row r="34" spans="2:17" x14ac:dyDescent="0.25">
      <c r="B34" s="3" t="s">
        <v>235</v>
      </c>
      <c r="C34" t="s">
        <v>16</v>
      </c>
      <c r="D34" t="s">
        <v>199</v>
      </c>
      <c r="E34" t="s">
        <v>128</v>
      </c>
      <c r="F34" s="2">
        <f ca="1">IF(Flag_Send_Data=1,_xll.DBSW(Val!F34,Val!$C$1,Val!$C$2,Val!$C$3,Val!$C$4,Val!$D34,Val!$C$5,Val!$C$6,Val!$B34,Val!$E34,Val!F$10,Val!$C$7,Val!$C34),"")</f>
        <v>-43333.333333333336</v>
      </c>
      <c r="G34" s="2">
        <f ca="1">IF(Flag_Send_Data=1,_xll.DBSW(Val!G34,Val!$C$1,Val!$C$2,Val!$C$3,Val!$C$4,Val!$D34,Val!$C$5,Val!$C$6,Val!$B34,Val!$E34,Val!G$10,Val!$C$7,Val!$C34),"")</f>
        <v>-43333.333333333336</v>
      </c>
      <c r="H34" s="2">
        <f ca="1">IF(Flag_Send_Data=1,_xll.DBSW(Val!H34,Val!$C$1,Val!$C$2,Val!$C$3,Val!$C$4,Val!$D34,Val!$C$5,Val!$C$6,Val!$B34,Val!$E34,Val!H$10,Val!$C$7,Val!$C34),"")</f>
        <v>-43333.333333333336</v>
      </c>
      <c r="I34" s="2">
        <f ca="1">IF(Flag_Send_Data=1,_xll.DBSW(Val!I34,Val!$C$1,Val!$C$2,Val!$C$3,Val!$C$4,Val!$D34,Val!$C$5,Val!$C$6,Val!$B34,Val!$E34,Val!I$10,Val!$C$7,Val!$C34),"")</f>
        <v>-43333.333333333336</v>
      </c>
      <c r="J34" s="2">
        <f ca="1">IF(Flag_Send_Data=1,_xll.DBSW(Val!J34,Val!$C$1,Val!$C$2,Val!$C$3,Val!$C$4,Val!$D34,Val!$C$5,Val!$C$6,Val!$B34,Val!$E34,Val!J$10,Val!$C$7,Val!$C34),"")</f>
        <v>-43333.333333333336</v>
      </c>
      <c r="K34" s="2">
        <f ca="1">IF(Flag_Send_Data=1,_xll.DBSW(Val!K34,Val!$C$1,Val!$C$2,Val!$C$3,Val!$C$4,Val!$D34,Val!$C$5,Val!$C$6,Val!$B34,Val!$E34,Val!K$10,Val!$C$7,Val!$C34),"")</f>
        <v>-43333.333333333336</v>
      </c>
      <c r="L34" s="2">
        <f ca="1">IF(Flag_Send_Data=1,_xll.DBSW(Val!L34,Val!$C$1,Val!$C$2,Val!$C$3,Val!$C$4,Val!$D34,Val!$C$5,Val!$C$6,Val!$B34,Val!$E34,Val!L$10,Val!$C$7,Val!$C34),"")</f>
        <v>-43333.333333333336</v>
      </c>
      <c r="M34" s="2">
        <f ca="1">IF(Flag_Send_Data=1,_xll.DBSW(Val!M34,Val!$C$1,Val!$C$2,Val!$C$3,Val!$C$4,Val!$D34,Val!$C$5,Val!$C$6,Val!$B34,Val!$E34,Val!M$10,Val!$C$7,Val!$C34),"")</f>
        <v>-43333.333333333336</v>
      </c>
      <c r="N34" s="2">
        <f ca="1">IF(Flag_Send_Data=1,_xll.DBSW(Val!N34,Val!$C$1,Val!$C$2,Val!$C$3,Val!$C$4,Val!$D34,Val!$C$5,Val!$C$6,Val!$B34,Val!$E34,Val!N$10,Val!$C$7,Val!$C34),"")</f>
        <v>-43333.333333333336</v>
      </c>
      <c r="O34" s="2">
        <f ca="1">IF(Flag_Send_Data=1,_xll.DBSW(Val!O34,Val!$C$1,Val!$C$2,Val!$C$3,Val!$C$4,Val!$D34,Val!$C$5,Val!$C$6,Val!$B34,Val!$E34,Val!O$10,Val!$C$7,Val!$C34),"")</f>
        <v>-43333.333333333336</v>
      </c>
      <c r="P34" s="2">
        <f ca="1">IF(Flag_Send_Data=1,_xll.DBSW(Val!P34,Val!$C$1,Val!$C$2,Val!$C$3,Val!$C$4,Val!$D34,Val!$C$5,Val!$C$6,Val!$B34,Val!$E34,Val!P$10,Val!$C$7,Val!$C34),"")</f>
        <v>-43333.333333333336</v>
      </c>
      <c r="Q34" s="2">
        <f ca="1">IF(Flag_Send_Data=1,_xll.DBSW(Val!Q34,Val!$C$1,Val!$C$2,Val!$C$3,Val!$C$4,Val!$D34,Val!$C$5,Val!$C$6,Val!$B34,Val!$E34,Val!Q$10,Val!$C$7,Val!$C34),"")</f>
        <v>-43333.333333333336</v>
      </c>
    </row>
    <row r="35" spans="2:17" x14ac:dyDescent="0.25">
      <c r="B35" s="3" t="s">
        <v>235</v>
      </c>
      <c r="C35" t="s">
        <v>16</v>
      </c>
      <c r="D35" t="s">
        <v>121</v>
      </c>
      <c r="E35" t="s">
        <v>130</v>
      </c>
      <c r="F35" s="2">
        <f ca="1">IF(Flag_Send_Data=1,_xll.DBSW(Val!F35,Val!$C$1,Val!$C$2,Val!$C$3,Val!$C$4,Val!$D35,Val!$C$5,Val!$C$6,Val!$B35,Val!$E35,Val!F$10,Val!$C$7,Val!$C35),"")</f>
        <v>-8333.3333333333339</v>
      </c>
      <c r="G35" s="2">
        <f ca="1">IF(Flag_Send_Data=1,_xll.DBSW(Val!G35,Val!$C$1,Val!$C$2,Val!$C$3,Val!$C$4,Val!$D35,Val!$C$5,Val!$C$6,Val!$B35,Val!$E35,Val!G$10,Val!$C$7,Val!$C35),"")</f>
        <v>-8333.3333333333339</v>
      </c>
      <c r="H35" s="2">
        <f ca="1">IF(Flag_Send_Data=1,_xll.DBSW(Val!H35,Val!$C$1,Val!$C$2,Val!$C$3,Val!$C$4,Val!$D35,Val!$C$5,Val!$C$6,Val!$B35,Val!$E35,Val!H$10,Val!$C$7,Val!$C35),"")</f>
        <v>-8333.3333333333339</v>
      </c>
      <c r="I35" s="2">
        <f ca="1">IF(Flag_Send_Data=1,_xll.DBSW(Val!I35,Val!$C$1,Val!$C$2,Val!$C$3,Val!$C$4,Val!$D35,Val!$C$5,Val!$C$6,Val!$B35,Val!$E35,Val!I$10,Val!$C$7,Val!$C35),"")</f>
        <v>-8333.3333333333339</v>
      </c>
      <c r="J35" s="2">
        <f ca="1">IF(Flag_Send_Data=1,_xll.DBSW(Val!J35,Val!$C$1,Val!$C$2,Val!$C$3,Val!$C$4,Val!$D35,Val!$C$5,Val!$C$6,Val!$B35,Val!$E35,Val!J$10,Val!$C$7,Val!$C35),"")</f>
        <v>-8333.3333333333339</v>
      </c>
      <c r="K35" s="2">
        <f ca="1">IF(Flag_Send_Data=1,_xll.DBSW(Val!K35,Val!$C$1,Val!$C$2,Val!$C$3,Val!$C$4,Val!$D35,Val!$C$5,Val!$C$6,Val!$B35,Val!$E35,Val!K$10,Val!$C$7,Val!$C35),"")</f>
        <v>-8333.3333333333339</v>
      </c>
      <c r="L35" s="2">
        <f ca="1">IF(Flag_Send_Data=1,_xll.DBSW(Val!L35,Val!$C$1,Val!$C$2,Val!$C$3,Val!$C$4,Val!$D35,Val!$C$5,Val!$C$6,Val!$B35,Val!$E35,Val!L$10,Val!$C$7,Val!$C35),"")</f>
        <v>-8333.3333333333339</v>
      </c>
      <c r="M35" s="2">
        <f ca="1">IF(Flag_Send_Data=1,_xll.DBSW(Val!M35,Val!$C$1,Val!$C$2,Val!$C$3,Val!$C$4,Val!$D35,Val!$C$5,Val!$C$6,Val!$B35,Val!$E35,Val!M$10,Val!$C$7,Val!$C35),"")</f>
        <v>-8333.3333333333339</v>
      </c>
      <c r="N35" s="2">
        <f ca="1">IF(Flag_Send_Data=1,_xll.DBSW(Val!N35,Val!$C$1,Val!$C$2,Val!$C$3,Val!$C$4,Val!$D35,Val!$C$5,Val!$C$6,Val!$B35,Val!$E35,Val!N$10,Val!$C$7,Val!$C35),"")</f>
        <v>-8333.3333333333339</v>
      </c>
      <c r="O35" s="2">
        <f ca="1">IF(Flag_Send_Data=1,_xll.DBSW(Val!O35,Val!$C$1,Val!$C$2,Val!$C$3,Val!$C$4,Val!$D35,Val!$C$5,Val!$C$6,Val!$B35,Val!$E35,Val!O$10,Val!$C$7,Val!$C35),"")</f>
        <v>-8333.3333333333339</v>
      </c>
      <c r="P35" s="2">
        <f ca="1">IF(Flag_Send_Data=1,_xll.DBSW(Val!P35,Val!$C$1,Val!$C$2,Val!$C$3,Val!$C$4,Val!$D35,Val!$C$5,Val!$C$6,Val!$B35,Val!$E35,Val!P$10,Val!$C$7,Val!$C35),"")</f>
        <v>-8333.3333333333339</v>
      </c>
      <c r="Q35" s="2">
        <f ca="1">IF(Flag_Send_Data=1,_xll.DBSW(Val!Q35,Val!$C$1,Val!$C$2,Val!$C$3,Val!$C$4,Val!$D35,Val!$C$5,Val!$C$6,Val!$B35,Val!$E35,Val!Q$10,Val!$C$7,Val!$C35),"")</f>
        <v>-8333.3333333333339</v>
      </c>
    </row>
    <row r="36" spans="2:17" x14ac:dyDescent="0.25">
      <c r="B36" s="3" t="s">
        <v>235</v>
      </c>
      <c r="C36" t="s">
        <v>13</v>
      </c>
      <c r="D36" t="s">
        <v>199</v>
      </c>
      <c r="E36" t="s">
        <v>128</v>
      </c>
      <c r="F36" s="2">
        <f ca="1">IF(Flag_Send_Data=1,_xll.DBSW(Val!F36,Val!$C$1,Val!$C$2,Val!$C$3,Val!$C$4,Val!$D36,Val!$C$5,Val!$C$6,Val!$B36,Val!$E36,Val!F$10,Val!$C$7,Val!$C36),"")</f>
        <v>-166.66666666666666</v>
      </c>
      <c r="G36" s="2">
        <f ca="1">IF(Flag_Send_Data=1,_xll.DBSW(Val!G36,Val!$C$1,Val!$C$2,Val!$C$3,Val!$C$4,Val!$D36,Val!$C$5,Val!$C$6,Val!$B36,Val!$E36,Val!G$10,Val!$C$7,Val!$C36),"")</f>
        <v>-166.66666666666666</v>
      </c>
      <c r="H36" s="2">
        <f ca="1">IF(Flag_Send_Data=1,_xll.DBSW(Val!H36,Val!$C$1,Val!$C$2,Val!$C$3,Val!$C$4,Val!$D36,Val!$C$5,Val!$C$6,Val!$B36,Val!$E36,Val!H$10,Val!$C$7,Val!$C36),"")</f>
        <v>-166.66666666666666</v>
      </c>
      <c r="I36" s="2">
        <f ca="1">IF(Flag_Send_Data=1,_xll.DBSW(Val!I36,Val!$C$1,Val!$C$2,Val!$C$3,Val!$C$4,Val!$D36,Val!$C$5,Val!$C$6,Val!$B36,Val!$E36,Val!I$10,Val!$C$7,Val!$C36),"")</f>
        <v>-166.66666666666666</v>
      </c>
      <c r="J36" s="2">
        <f ca="1">IF(Flag_Send_Data=1,_xll.DBSW(Val!J36,Val!$C$1,Val!$C$2,Val!$C$3,Val!$C$4,Val!$D36,Val!$C$5,Val!$C$6,Val!$B36,Val!$E36,Val!J$10,Val!$C$7,Val!$C36),"")</f>
        <v>-166.66666666666666</v>
      </c>
      <c r="K36" s="2">
        <f ca="1">IF(Flag_Send_Data=1,_xll.DBSW(Val!K36,Val!$C$1,Val!$C$2,Val!$C$3,Val!$C$4,Val!$D36,Val!$C$5,Val!$C$6,Val!$B36,Val!$E36,Val!K$10,Val!$C$7,Val!$C36),"")</f>
        <v>-166.66666666666666</v>
      </c>
      <c r="L36" s="2">
        <f ca="1">IF(Flag_Send_Data=1,_xll.DBSW(Val!L36,Val!$C$1,Val!$C$2,Val!$C$3,Val!$C$4,Val!$D36,Val!$C$5,Val!$C$6,Val!$B36,Val!$E36,Val!L$10,Val!$C$7,Val!$C36),"")</f>
        <v>-166.66666666666666</v>
      </c>
      <c r="M36" s="2">
        <f ca="1">IF(Flag_Send_Data=1,_xll.DBSW(Val!M36,Val!$C$1,Val!$C$2,Val!$C$3,Val!$C$4,Val!$D36,Val!$C$5,Val!$C$6,Val!$B36,Val!$E36,Val!M$10,Val!$C$7,Val!$C36),"")</f>
        <v>-166.66666666666666</v>
      </c>
      <c r="N36" s="2">
        <f ca="1">IF(Flag_Send_Data=1,_xll.DBSW(Val!N36,Val!$C$1,Val!$C$2,Val!$C$3,Val!$C$4,Val!$D36,Val!$C$5,Val!$C$6,Val!$B36,Val!$E36,Val!N$10,Val!$C$7,Val!$C36),"")</f>
        <v>-166.66666666666666</v>
      </c>
      <c r="O36" s="2">
        <f ca="1">IF(Flag_Send_Data=1,_xll.DBSW(Val!O36,Val!$C$1,Val!$C$2,Val!$C$3,Val!$C$4,Val!$D36,Val!$C$5,Val!$C$6,Val!$B36,Val!$E36,Val!O$10,Val!$C$7,Val!$C36),"")</f>
        <v>-166.66666666666666</v>
      </c>
      <c r="P36" s="2">
        <f ca="1">IF(Flag_Send_Data=1,_xll.DBSW(Val!P36,Val!$C$1,Val!$C$2,Val!$C$3,Val!$C$4,Val!$D36,Val!$C$5,Val!$C$6,Val!$B36,Val!$E36,Val!P$10,Val!$C$7,Val!$C36),"")</f>
        <v>-166.66666666666666</v>
      </c>
      <c r="Q36" s="2">
        <f ca="1">IF(Flag_Send_Data=1,_xll.DBSW(Val!Q36,Val!$C$1,Val!$C$2,Val!$C$3,Val!$C$4,Val!$D36,Val!$C$5,Val!$C$6,Val!$B36,Val!$E36,Val!Q$10,Val!$C$7,Val!$C36),"")</f>
        <v>-166.66666666666666</v>
      </c>
    </row>
    <row r="37" spans="2:17" x14ac:dyDescent="0.25">
      <c r="B37" s="3" t="s">
        <v>235</v>
      </c>
      <c r="C37" t="s">
        <v>177</v>
      </c>
      <c r="D37" t="s">
        <v>121</v>
      </c>
      <c r="E37" t="s">
        <v>17</v>
      </c>
      <c r="F37" s="2">
        <f ca="1">IF(Flag_Send_Data=1,_xll.DBSW(Val!F37,Val!$C$1,Val!$C$2,Val!$C$3,Val!$C$4,Val!$D37,Val!$C$5,Val!$C$6,Val!$B37,Val!$E37,Val!F$10,Val!$C$7,Val!$C37),"")</f>
        <v>-2564.4608333333335</v>
      </c>
      <c r="G37" s="2">
        <f ca="1">IF(Flag_Send_Data=1,_xll.DBSW(Val!G37,Val!$C$1,Val!$C$2,Val!$C$3,Val!$C$4,Val!$D37,Val!$C$5,Val!$C$6,Val!$B37,Val!$E37,Val!G$10,Val!$C$7,Val!$C37),"")</f>
        <v>-2564.4608333333335</v>
      </c>
      <c r="H37" s="2">
        <f ca="1">IF(Flag_Send_Data=1,_xll.DBSW(Val!H37,Val!$C$1,Val!$C$2,Val!$C$3,Val!$C$4,Val!$D37,Val!$C$5,Val!$C$6,Val!$B37,Val!$E37,Val!H$10,Val!$C$7,Val!$C37),"")</f>
        <v>-2564.4608333333335</v>
      </c>
      <c r="I37" s="2">
        <f ca="1">IF(Flag_Send_Data=1,_xll.DBSW(Val!I37,Val!$C$1,Val!$C$2,Val!$C$3,Val!$C$4,Val!$D37,Val!$C$5,Val!$C$6,Val!$B37,Val!$E37,Val!I$10,Val!$C$7,Val!$C37),"")</f>
        <v>-2564.4608333333335</v>
      </c>
      <c r="J37" s="2">
        <f ca="1">IF(Flag_Send_Data=1,_xll.DBSW(Val!J37,Val!$C$1,Val!$C$2,Val!$C$3,Val!$C$4,Val!$D37,Val!$C$5,Val!$C$6,Val!$B37,Val!$E37,Val!J$10,Val!$C$7,Val!$C37),"")</f>
        <v>-2564.4608333333335</v>
      </c>
      <c r="K37" s="2">
        <f ca="1">IF(Flag_Send_Data=1,_xll.DBSW(Val!K37,Val!$C$1,Val!$C$2,Val!$C$3,Val!$C$4,Val!$D37,Val!$C$5,Val!$C$6,Val!$B37,Val!$E37,Val!K$10,Val!$C$7,Val!$C37),"")</f>
        <v>-2564.4608333333335</v>
      </c>
      <c r="L37" s="2">
        <f ca="1">IF(Flag_Send_Data=1,_xll.DBSW(Val!L37,Val!$C$1,Val!$C$2,Val!$C$3,Val!$C$4,Val!$D37,Val!$C$5,Val!$C$6,Val!$B37,Val!$E37,Val!L$10,Val!$C$7,Val!$C37),"")</f>
        <v>-2564.4608333333335</v>
      </c>
      <c r="M37" s="2">
        <f ca="1">IF(Flag_Send_Data=1,_xll.DBSW(Val!M37,Val!$C$1,Val!$C$2,Val!$C$3,Val!$C$4,Val!$D37,Val!$C$5,Val!$C$6,Val!$B37,Val!$E37,Val!M$10,Val!$C$7,Val!$C37),"")</f>
        <v>-2564.4608333333335</v>
      </c>
      <c r="N37" s="2">
        <f ca="1">IF(Flag_Send_Data=1,_xll.DBSW(Val!N37,Val!$C$1,Val!$C$2,Val!$C$3,Val!$C$4,Val!$D37,Val!$C$5,Val!$C$6,Val!$B37,Val!$E37,Val!N$10,Val!$C$7,Val!$C37),"")</f>
        <v>-2564.4608333333335</v>
      </c>
      <c r="O37" s="2">
        <f ca="1">IF(Flag_Send_Data=1,_xll.DBSW(Val!O37,Val!$C$1,Val!$C$2,Val!$C$3,Val!$C$4,Val!$D37,Val!$C$5,Val!$C$6,Val!$B37,Val!$E37,Val!O$10,Val!$C$7,Val!$C37),"")</f>
        <v>-2564.4608333333335</v>
      </c>
      <c r="P37" s="2">
        <f ca="1">IF(Flag_Send_Data=1,_xll.DBSW(Val!P37,Val!$C$1,Val!$C$2,Val!$C$3,Val!$C$4,Val!$D37,Val!$C$5,Val!$C$6,Val!$B37,Val!$E37,Val!P$10,Val!$C$7,Val!$C37),"")</f>
        <v>-2564.4608333333335</v>
      </c>
      <c r="Q37" s="2">
        <f ca="1">IF(Flag_Send_Data=1,_xll.DBSW(Val!Q37,Val!$C$1,Val!$C$2,Val!$C$3,Val!$C$4,Val!$D37,Val!$C$5,Val!$C$6,Val!$B37,Val!$E37,Val!Q$10,Val!$C$7,Val!$C37),"")</f>
        <v>-2564.4608333333335</v>
      </c>
    </row>
    <row r="38" spans="2:17" x14ac:dyDescent="0.25">
      <c r="B38" s="3" t="s">
        <v>235</v>
      </c>
      <c r="C38" t="s">
        <v>81</v>
      </c>
      <c r="D38" t="s">
        <v>199</v>
      </c>
      <c r="E38" t="s">
        <v>128</v>
      </c>
      <c r="F38" s="2">
        <f ca="1">IF(Flag_Send_Data=1,_xll.DBSW(Val!F38,Val!$C$1,Val!$C$2,Val!$C$3,Val!$C$4,Val!$D38,Val!$C$5,Val!$C$6,Val!$B38,Val!$E38,Val!F$10,Val!$C$7,Val!$C38),"")</f>
        <v>-55.558333333333337</v>
      </c>
      <c r="G38" s="2">
        <f ca="1">IF(Flag_Send_Data=1,_xll.DBSW(Val!G38,Val!$C$1,Val!$C$2,Val!$C$3,Val!$C$4,Val!$D38,Val!$C$5,Val!$C$6,Val!$B38,Val!$E38,Val!G$10,Val!$C$7,Val!$C38),"")</f>
        <v>-55.558333333333337</v>
      </c>
      <c r="H38" s="2">
        <f ca="1">IF(Flag_Send_Data=1,_xll.DBSW(Val!H38,Val!$C$1,Val!$C$2,Val!$C$3,Val!$C$4,Val!$D38,Val!$C$5,Val!$C$6,Val!$B38,Val!$E38,Val!H$10,Val!$C$7,Val!$C38),"")</f>
        <v>-55.558333333333337</v>
      </c>
      <c r="I38" s="2">
        <f ca="1">IF(Flag_Send_Data=1,_xll.DBSW(Val!I38,Val!$C$1,Val!$C$2,Val!$C$3,Val!$C$4,Val!$D38,Val!$C$5,Val!$C$6,Val!$B38,Val!$E38,Val!I$10,Val!$C$7,Val!$C38),"")</f>
        <v>-55.558333333333337</v>
      </c>
      <c r="J38" s="2">
        <f ca="1">IF(Flag_Send_Data=1,_xll.DBSW(Val!J38,Val!$C$1,Val!$C$2,Val!$C$3,Val!$C$4,Val!$D38,Val!$C$5,Val!$C$6,Val!$B38,Val!$E38,Val!J$10,Val!$C$7,Val!$C38),"")</f>
        <v>-55.558333333333337</v>
      </c>
      <c r="K38" s="2">
        <f ca="1">IF(Flag_Send_Data=1,_xll.DBSW(Val!K38,Val!$C$1,Val!$C$2,Val!$C$3,Val!$C$4,Val!$D38,Val!$C$5,Val!$C$6,Val!$B38,Val!$E38,Val!K$10,Val!$C$7,Val!$C38),"")</f>
        <v>-55.558333333333337</v>
      </c>
      <c r="L38" s="2">
        <f ca="1">IF(Flag_Send_Data=1,_xll.DBSW(Val!L38,Val!$C$1,Val!$C$2,Val!$C$3,Val!$C$4,Val!$D38,Val!$C$5,Val!$C$6,Val!$B38,Val!$E38,Val!L$10,Val!$C$7,Val!$C38),"")</f>
        <v>-55.558333333333337</v>
      </c>
      <c r="M38" s="2">
        <f ca="1">IF(Flag_Send_Data=1,_xll.DBSW(Val!M38,Val!$C$1,Val!$C$2,Val!$C$3,Val!$C$4,Val!$D38,Val!$C$5,Val!$C$6,Val!$B38,Val!$E38,Val!M$10,Val!$C$7,Val!$C38),"")</f>
        <v>-55.558333333333337</v>
      </c>
      <c r="N38" s="2">
        <f ca="1">IF(Flag_Send_Data=1,_xll.DBSW(Val!N38,Val!$C$1,Val!$C$2,Val!$C$3,Val!$C$4,Val!$D38,Val!$C$5,Val!$C$6,Val!$B38,Val!$E38,Val!N$10,Val!$C$7,Val!$C38),"")</f>
        <v>-55.558333333333337</v>
      </c>
      <c r="O38" s="2">
        <f ca="1">IF(Flag_Send_Data=1,_xll.DBSW(Val!O38,Val!$C$1,Val!$C$2,Val!$C$3,Val!$C$4,Val!$D38,Val!$C$5,Val!$C$6,Val!$B38,Val!$E38,Val!O$10,Val!$C$7,Val!$C38),"")</f>
        <v>-55.558333333333337</v>
      </c>
      <c r="P38" s="2">
        <f ca="1">IF(Flag_Send_Data=1,_xll.DBSW(Val!P38,Val!$C$1,Val!$C$2,Val!$C$3,Val!$C$4,Val!$D38,Val!$C$5,Val!$C$6,Val!$B38,Val!$E38,Val!P$10,Val!$C$7,Val!$C38),"")</f>
        <v>-55.558333333333337</v>
      </c>
      <c r="Q38" s="2">
        <f ca="1">IF(Flag_Send_Data=1,_xll.DBSW(Val!Q38,Val!$C$1,Val!$C$2,Val!$C$3,Val!$C$4,Val!$D38,Val!$C$5,Val!$C$6,Val!$B38,Val!$E38,Val!Q$10,Val!$C$7,Val!$C38),"")</f>
        <v>-55.558333333333337</v>
      </c>
    </row>
    <row r="39" spans="2:17" x14ac:dyDescent="0.25">
      <c r="B39" s="3" t="s">
        <v>236</v>
      </c>
      <c r="C39" t="s">
        <v>11</v>
      </c>
      <c r="D39" t="s">
        <v>199</v>
      </c>
      <c r="E39" t="s">
        <v>128</v>
      </c>
      <c r="F39" s="2">
        <f ca="1">IF(Flag_Send_Data=1,_xll.DBSW(Val!F39,Val!$C$1,Val!$C$2,Val!$C$3,Val!$C$4,Val!$D39,Val!$C$5,Val!$C$6,Val!$B39,Val!$E39,Val!F$10,Val!$C$7,Val!$C39),"")</f>
        <v>-83780.99083333333</v>
      </c>
      <c r="G39" s="2">
        <f ca="1">IF(Flag_Send_Data=1,_xll.DBSW(Val!G39,Val!$C$1,Val!$C$2,Val!$C$3,Val!$C$4,Val!$D39,Val!$C$5,Val!$C$6,Val!$B39,Val!$E39,Val!G$10,Val!$C$7,Val!$C39),"")</f>
        <v>-83780.99083333333</v>
      </c>
      <c r="H39" s="2">
        <f ca="1">IF(Flag_Send_Data=1,_xll.DBSW(Val!H39,Val!$C$1,Val!$C$2,Val!$C$3,Val!$C$4,Val!$D39,Val!$C$5,Val!$C$6,Val!$B39,Val!$E39,Val!H$10,Val!$C$7,Val!$C39),"")</f>
        <v>-83780.99083333333</v>
      </c>
      <c r="I39" s="2">
        <f ca="1">IF(Flag_Send_Data=1,_xll.DBSW(Val!I39,Val!$C$1,Val!$C$2,Val!$C$3,Val!$C$4,Val!$D39,Val!$C$5,Val!$C$6,Val!$B39,Val!$E39,Val!I$10,Val!$C$7,Val!$C39),"")</f>
        <v>-83780.99083333333</v>
      </c>
      <c r="J39" s="2">
        <f ca="1">IF(Flag_Send_Data=1,_xll.DBSW(Val!J39,Val!$C$1,Val!$C$2,Val!$C$3,Val!$C$4,Val!$D39,Val!$C$5,Val!$C$6,Val!$B39,Val!$E39,Val!J$10,Val!$C$7,Val!$C39),"")</f>
        <v>-83780.99083333333</v>
      </c>
      <c r="K39" s="2">
        <f ca="1">IF(Flag_Send_Data=1,_xll.DBSW(Val!K39,Val!$C$1,Val!$C$2,Val!$C$3,Val!$C$4,Val!$D39,Val!$C$5,Val!$C$6,Val!$B39,Val!$E39,Val!K$10,Val!$C$7,Val!$C39),"")</f>
        <v>-83780.99083333333</v>
      </c>
      <c r="L39" s="2">
        <f ca="1">IF(Flag_Send_Data=1,_xll.DBSW(Val!L39,Val!$C$1,Val!$C$2,Val!$C$3,Val!$C$4,Val!$D39,Val!$C$5,Val!$C$6,Val!$B39,Val!$E39,Val!L$10,Val!$C$7,Val!$C39),"")</f>
        <v>-83780.99083333333</v>
      </c>
      <c r="M39" s="2">
        <f ca="1">IF(Flag_Send_Data=1,_xll.DBSW(Val!M39,Val!$C$1,Val!$C$2,Val!$C$3,Val!$C$4,Val!$D39,Val!$C$5,Val!$C$6,Val!$B39,Val!$E39,Val!M$10,Val!$C$7,Val!$C39),"")</f>
        <v>-83780.99083333333</v>
      </c>
      <c r="N39" s="2">
        <f ca="1">IF(Flag_Send_Data=1,_xll.DBSW(Val!N39,Val!$C$1,Val!$C$2,Val!$C$3,Val!$C$4,Val!$D39,Val!$C$5,Val!$C$6,Val!$B39,Val!$E39,Val!N$10,Val!$C$7,Val!$C39),"")</f>
        <v>-83780.99083333333</v>
      </c>
      <c r="O39" s="2">
        <f ca="1">IF(Flag_Send_Data=1,_xll.DBSW(Val!O39,Val!$C$1,Val!$C$2,Val!$C$3,Val!$C$4,Val!$D39,Val!$C$5,Val!$C$6,Val!$B39,Val!$E39,Val!O$10,Val!$C$7,Val!$C39),"")</f>
        <v>-83780.99083333333</v>
      </c>
      <c r="P39" s="2">
        <f ca="1">IF(Flag_Send_Data=1,_xll.DBSW(Val!P39,Val!$C$1,Val!$C$2,Val!$C$3,Val!$C$4,Val!$D39,Val!$C$5,Val!$C$6,Val!$B39,Val!$E39,Val!P$10,Val!$C$7,Val!$C39),"")</f>
        <v>-83780.99083333333</v>
      </c>
      <c r="Q39" s="2">
        <f ca="1">IF(Flag_Send_Data=1,_xll.DBSW(Val!Q39,Val!$C$1,Val!$C$2,Val!$C$3,Val!$C$4,Val!$D39,Val!$C$5,Val!$C$6,Val!$B39,Val!$E39,Val!Q$10,Val!$C$7,Val!$C39),"")</f>
        <v>-83780.99083333333</v>
      </c>
    </row>
    <row r="40" spans="2:17" x14ac:dyDescent="0.25">
      <c r="B40" s="3" t="s">
        <v>236</v>
      </c>
      <c r="C40" t="s">
        <v>12</v>
      </c>
      <c r="D40" t="s">
        <v>199</v>
      </c>
      <c r="E40" t="s">
        <v>128</v>
      </c>
      <c r="F40" s="2">
        <f ca="1">IF(Flag_Send_Data=1,_xll.DBSW(Val!F40,Val!$C$1,Val!$C$2,Val!$C$3,Val!$C$4,Val!$D40,Val!$C$5,Val!$C$6,Val!$B40,Val!$E40,Val!F$10,Val!$C$7,Val!$C40),"")</f>
        <v>-5833.333333333333</v>
      </c>
      <c r="G40" s="2">
        <f ca="1">IF(Flag_Send_Data=1,_xll.DBSW(Val!G40,Val!$C$1,Val!$C$2,Val!$C$3,Val!$C$4,Val!$D40,Val!$C$5,Val!$C$6,Val!$B40,Val!$E40,Val!G$10,Val!$C$7,Val!$C40),"")</f>
        <v>-5833.333333333333</v>
      </c>
      <c r="H40" s="2">
        <f ca="1">IF(Flag_Send_Data=1,_xll.DBSW(Val!H40,Val!$C$1,Val!$C$2,Val!$C$3,Val!$C$4,Val!$D40,Val!$C$5,Val!$C$6,Val!$B40,Val!$E40,Val!H$10,Val!$C$7,Val!$C40),"")</f>
        <v>-5833.333333333333</v>
      </c>
      <c r="I40" s="2">
        <f ca="1">IF(Flag_Send_Data=1,_xll.DBSW(Val!I40,Val!$C$1,Val!$C$2,Val!$C$3,Val!$C$4,Val!$D40,Val!$C$5,Val!$C$6,Val!$B40,Val!$E40,Val!I$10,Val!$C$7,Val!$C40),"")</f>
        <v>-5833.333333333333</v>
      </c>
      <c r="J40" s="2">
        <f ca="1">IF(Flag_Send_Data=1,_xll.DBSW(Val!J40,Val!$C$1,Val!$C$2,Val!$C$3,Val!$C$4,Val!$D40,Val!$C$5,Val!$C$6,Val!$B40,Val!$E40,Val!J$10,Val!$C$7,Val!$C40),"")</f>
        <v>-5833.333333333333</v>
      </c>
      <c r="K40" s="2">
        <f ca="1">IF(Flag_Send_Data=1,_xll.DBSW(Val!K40,Val!$C$1,Val!$C$2,Val!$C$3,Val!$C$4,Val!$D40,Val!$C$5,Val!$C$6,Val!$B40,Val!$E40,Val!K$10,Val!$C$7,Val!$C40),"")</f>
        <v>-5833.333333333333</v>
      </c>
      <c r="L40" s="2">
        <f ca="1">IF(Flag_Send_Data=1,_xll.DBSW(Val!L40,Val!$C$1,Val!$C$2,Val!$C$3,Val!$C$4,Val!$D40,Val!$C$5,Val!$C$6,Val!$B40,Val!$E40,Val!L$10,Val!$C$7,Val!$C40),"")</f>
        <v>-5833.333333333333</v>
      </c>
      <c r="M40" s="2">
        <f ca="1">IF(Flag_Send_Data=1,_xll.DBSW(Val!M40,Val!$C$1,Val!$C$2,Val!$C$3,Val!$C$4,Val!$D40,Val!$C$5,Val!$C$6,Val!$B40,Val!$E40,Val!M$10,Val!$C$7,Val!$C40),"")</f>
        <v>-5833.333333333333</v>
      </c>
      <c r="N40" s="2">
        <f ca="1">IF(Flag_Send_Data=1,_xll.DBSW(Val!N40,Val!$C$1,Val!$C$2,Val!$C$3,Val!$C$4,Val!$D40,Val!$C$5,Val!$C$6,Val!$B40,Val!$E40,Val!N$10,Val!$C$7,Val!$C40),"")</f>
        <v>-5833.333333333333</v>
      </c>
      <c r="O40" s="2">
        <f ca="1">IF(Flag_Send_Data=1,_xll.DBSW(Val!O40,Val!$C$1,Val!$C$2,Val!$C$3,Val!$C$4,Val!$D40,Val!$C$5,Val!$C$6,Val!$B40,Val!$E40,Val!O$10,Val!$C$7,Val!$C40),"")</f>
        <v>-5833.333333333333</v>
      </c>
      <c r="P40" s="2">
        <f ca="1">IF(Flag_Send_Data=1,_xll.DBSW(Val!P40,Val!$C$1,Val!$C$2,Val!$C$3,Val!$C$4,Val!$D40,Val!$C$5,Val!$C$6,Val!$B40,Val!$E40,Val!P$10,Val!$C$7,Val!$C40),"")</f>
        <v>-5833.333333333333</v>
      </c>
      <c r="Q40" s="2">
        <f ca="1">IF(Flag_Send_Data=1,_xll.DBSW(Val!Q40,Val!$C$1,Val!$C$2,Val!$C$3,Val!$C$4,Val!$D40,Val!$C$5,Val!$C$6,Val!$B40,Val!$E40,Val!Q$10,Val!$C$7,Val!$C40),"")</f>
        <v>-5833.333333333333</v>
      </c>
    </row>
    <row r="41" spans="2:17" x14ac:dyDescent="0.25">
      <c r="B41" s="3" t="s">
        <v>236</v>
      </c>
      <c r="C41" t="s">
        <v>16</v>
      </c>
      <c r="D41" t="s">
        <v>199</v>
      </c>
      <c r="E41" t="s">
        <v>128</v>
      </c>
      <c r="F41" s="2">
        <f ca="1">IF(Flag_Send_Data=1,_xll.DBSW(Val!F41,Val!$C$1,Val!$C$2,Val!$C$3,Val!$C$4,Val!$D41,Val!$C$5,Val!$C$6,Val!$B41,Val!$E41,Val!F$10,Val!$C$7,Val!$C41),"")</f>
        <v>-50000</v>
      </c>
      <c r="G41" s="2">
        <f ca="1">IF(Flag_Send_Data=1,_xll.DBSW(Val!G41,Val!$C$1,Val!$C$2,Val!$C$3,Val!$C$4,Val!$D41,Val!$C$5,Val!$C$6,Val!$B41,Val!$E41,Val!G$10,Val!$C$7,Val!$C41),"")</f>
        <v>-50000</v>
      </c>
      <c r="H41" s="2">
        <f ca="1">IF(Flag_Send_Data=1,_xll.DBSW(Val!H41,Val!$C$1,Val!$C$2,Val!$C$3,Val!$C$4,Val!$D41,Val!$C$5,Val!$C$6,Val!$B41,Val!$E41,Val!H$10,Val!$C$7,Val!$C41),"")</f>
        <v>-50000</v>
      </c>
      <c r="I41" s="2">
        <f ca="1">IF(Flag_Send_Data=1,_xll.DBSW(Val!I41,Val!$C$1,Val!$C$2,Val!$C$3,Val!$C$4,Val!$D41,Val!$C$5,Val!$C$6,Val!$B41,Val!$E41,Val!I$10,Val!$C$7,Val!$C41),"")</f>
        <v>-50000</v>
      </c>
      <c r="J41" s="2">
        <f ca="1">IF(Flag_Send_Data=1,_xll.DBSW(Val!J41,Val!$C$1,Val!$C$2,Val!$C$3,Val!$C$4,Val!$D41,Val!$C$5,Val!$C$6,Val!$B41,Val!$E41,Val!J$10,Val!$C$7,Val!$C41),"")</f>
        <v>-50000</v>
      </c>
      <c r="K41" s="2">
        <f ca="1">IF(Flag_Send_Data=1,_xll.DBSW(Val!K41,Val!$C$1,Val!$C$2,Val!$C$3,Val!$C$4,Val!$D41,Val!$C$5,Val!$C$6,Val!$B41,Val!$E41,Val!K$10,Val!$C$7,Val!$C41),"")</f>
        <v>-50000</v>
      </c>
      <c r="L41" s="2">
        <f ca="1">IF(Flag_Send_Data=1,_xll.DBSW(Val!L41,Val!$C$1,Val!$C$2,Val!$C$3,Val!$C$4,Val!$D41,Val!$C$5,Val!$C$6,Val!$B41,Val!$E41,Val!L$10,Val!$C$7,Val!$C41),"")</f>
        <v>-50000</v>
      </c>
      <c r="M41" s="2">
        <f ca="1">IF(Flag_Send_Data=1,_xll.DBSW(Val!M41,Val!$C$1,Val!$C$2,Val!$C$3,Val!$C$4,Val!$D41,Val!$C$5,Val!$C$6,Val!$B41,Val!$E41,Val!M$10,Val!$C$7,Val!$C41),"")</f>
        <v>-50000</v>
      </c>
      <c r="N41" s="2">
        <f ca="1">IF(Flag_Send_Data=1,_xll.DBSW(Val!N41,Val!$C$1,Val!$C$2,Val!$C$3,Val!$C$4,Val!$D41,Val!$C$5,Val!$C$6,Val!$B41,Val!$E41,Val!N$10,Val!$C$7,Val!$C41),"")</f>
        <v>-50000</v>
      </c>
      <c r="O41" s="2">
        <f ca="1">IF(Flag_Send_Data=1,_xll.DBSW(Val!O41,Val!$C$1,Val!$C$2,Val!$C$3,Val!$C$4,Val!$D41,Val!$C$5,Val!$C$6,Val!$B41,Val!$E41,Val!O$10,Val!$C$7,Val!$C41),"")</f>
        <v>-50000</v>
      </c>
      <c r="P41" s="2">
        <f ca="1">IF(Flag_Send_Data=1,_xll.DBSW(Val!P41,Val!$C$1,Val!$C$2,Val!$C$3,Val!$C$4,Val!$D41,Val!$C$5,Val!$C$6,Val!$B41,Val!$E41,Val!P$10,Val!$C$7,Val!$C41),"")</f>
        <v>-50000</v>
      </c>
      <c r="Q41" s="2">
        <f ca="1">IF(Flag_Send_Data=1,_xll.DBSW(Val!Q41,Val!$C$1,Val!$C$2,Val!$C$3,Val!$C$4,Val!$D41,Val!$C$5,Val!$C$6,Val!$B41,Val!$E41,Val!Q$10,Val!$C$7,Val!$C41),"")</f>
        <v>-50000</v>
      </c>
    </row>
    <row r="42" spans="2:17" x14ac:dyDescent="0.25">
      <c r="B42" s="3" t="s">
        <v>236</v>
      </c>
      <c r="C42" t="s">
        <v>13</v>
      </c>
      <c r="D42" t="s">
        <v>199</v>
      </c>
      <c r="E42" t="s">
        <v>128</v>
      </c>
      <c r="F42" s="2">
        <f ca="1">IF(Flag_Send_Data=1,_xll.DBSW(Val!F42,Val!$C$1,Val!$C$2,Val!$C$3,Val!$C$4,Val!$D42,Val!$C$5,Val!$C$6,Val!$B42,Val!$E42,Val!F$10,Val!$C$7,Val!$C42),"")</f>
        <v>-250</v>
      </c>
      <c r="G42" s="2">
        <f ca="1">IF(Flag_Send_Data=1,_xll.DBSW(Val!G42,Val!$C$1,Val!$C$2,Val!$C$3,Val!$C$4,Val!$D42,Val!$C$5,Val!$C$6,Val!$B42,Val!$E42,Val!G$10,Val!$C$7,Val!$C42),"")</f>
        <v>-250</v>
      </c>
      <c r="H42" s="2">
        <f ca="1">IF(Flag_Send_Data=1,_xll.DBSW(Val!H42,Val!$C$1,Val!$C$2,Val!$C$3,Val!$C$4,Val!$D42,Val!$C$5,Val!$C$6,Val!$B42,Val!$E42,Val!H$10,Val!$C$7,Val!$C42),"")</f>
        <v>-250</v>
      </c>
      <c r="I42" s="2">
        <f ca="1">IF(Flag_Send_Data=1,_xll.DBSW(Val!I42,Val!$C$1,Val!$C$2,Val!$C$3,Val!$C$4,Val!$D42,Val!$C$5,Val!$C$6,Val!$B42,Val!$E42,Val!I$10,Val!$C$7,Val!$C42),"")</f>
        <v>-250</v>
      </c>
      <c r="J42" s="2">
        <f ca="1">IF(Flag_Send_Data=1,_xll.DBSW(Val!J42,Val!$C$1,Val!$C$2,Val!$C$3,Val!$C$4,Val!$D42,Val!$C$5,Val!$C$6,Val!$B42,Val!$E42,Val!J$10,Val!$C$7,Val!$C42),"")</f>
        <v>-250</v>
      </c>
      <c r="K42" s="2">
        <f ca="1">IF(Flag_Send_Data=1,_xll.DBSW(Val!K42,Val!$C$1,Val!$C$2,Val!$C$3,Val!$C$4,Val!$D42,Val!$C$5,Val!$C$6,Val!$B42,Val!$E42,Val!K$10,Val!$C$7,Val!$C42),"")</f>
        <v>-250</v>
      </c>
      <c r="L42" s="2">
        <f ca="1">IF(Flag_Send_Data=1,_xll.DBSW(Val!L42,Val!$C$1,Val!$C$2,Val!$C$3,Val!$C$4,Val!$D42,Val!$C$5,Val!$C$6,Val!$B42,Val!$E42,Val!L$10,Val!$C$7,Val!$C42),"")</f>
        <v>-250</v>
      </c>
      <c r="M42" s="2">
        <f ca="1">IF(Flag_Send_Data=1,_xll.DBSW(Val!M42,Val!$C$1,Val!$C$2,Val!$C$3,Val!$C$4,Val!$D42,Val!$C$5,Val!$C$6,Val!$B42,Val!$E42,Val!M$10,Val!$C$7,Val!$C42),"")</f>
        <v>-250</v>
      </c>
      <c r="N42" s="2">
        <f ca="1">IF(Flag_Send_Data=1,_xll.DBSW(Val!N42,Val!$C$1,Val!$C$2,Val!$C$3,Val!$C$4,Val!$D42,Val!$C$5,Val!$C$6,Val!$B42,Val!$E42,Val!N$10,Val!$C$7,Val!$C42),"")</f>
        <v>-250</v>
      </c>
      <c r="O42" s="2">
        <f ca="1">IF(Flag_Send_Data=1,_xll.DBSW(Val!O42,Val!$C$1,Val!$C$2,Val!$C$3,Val!$C$4,Val!$D42,Val!$C$5,Val!$C$6,Val!$B42,Val!$E42,Val!O$10,Val!$C$7,Val!$C42),"")</f>
        <v>-250</v>
      </c>
      <c r="P42" s="2">
        <f ca="1">IF(Flag_Send_Data=1,_xll.DBSW(Val!P42,Val!$C$1,Val!$C$2,Val!$C$3,Val!$C$4,Val!$D42,Val!$C$5,Val!$C$6,Val!$B42,Val!$E42,Val!P$10,Val!$C$7,Val!$C42),"")</f>
        <v>-250</v>
      </c>
      <c r="Q42" s="2">
        <f ca="1">IF(Flag_Send_Data=1,_xll.DBSW(Val!Q42,Val!$C$1,Val!$C$2,Val!$C$3,Val!$C$4,Val!$D42,Val!$C$5,Val!$C$6,Val!$B42,Val!$E42,Val!Q$10,Val!$C$7,Val!$C42),"")</f>
        <v>-250</v>
      </c>
    </row>
    <row r="43" spans="2:17" x14ac:dyDescent="0.25">
      <c r="B43" s="3" t="s">
        <v>236</v>
      </c>
      <c r="C43" t="s">
        <v>109</v>
      </c>
      <c r="D43" t="s">
        <v>199</v>
      </c>
      <c r="E43" t="s">
        <v>128</v>
      </c>
      <c r="F43" s="2">
        <f ca="1">IF(Flag_Send_Data=1,_xll.DBSW(Val!F43,Val!$C$1,Val!$C$2,Val!$C$3,Val!$C$4,Val!$D43,Val!$C$5,Val!$C$6,Val!$B43,Val!$E43,Val!F$10,Val!$C$7,Val!$C43),"")</f>
        <v>-583.33333333333337</v>
      </c>
      <c r="G43" s="2">
        <f ca="1">IF(Flag_Send_Data=1,_xll.DBSW(Val!G43,Val!$C$1,Val!$C$2,Val!$C$3,Val!$C$4,Val!$D43,Val!$C$5,Val!$C$6,Val!$B43,Val!$E43,Val!G$10,Val!$C$7,Val!$C43),"")</f>
        <v>-583.33333333333337</v>
      </c>
      <c r="H43" s="2">
        <f ca="1">IF(Flag_Send_Data=1,_xll.DBSW(Val!H43,Val!$C$1,Val!$C$2,Val!$C$3,Val!$C$4,Val!$D43,Val!$C$5,Val!$C$6,Val!$B43,Val!$E43,Val!H$10,Val!$C$7,Val!$C43),"")</f>
        <v>-583.33333333333337</v>
      </c>
      <c r="I43" s="2">
        <f ca="1">IF(Flag_Send_Data=1,_xll.DBSW(Val!I43,Val!$C$1,Val!$C$2,Val!$C$3,Val!$C$4,Val!$D43,Val!$C$5,Val!$C$6,Val!$B43,Val!$E43,Val!I$10,Val!$C$7,Val!$C43),"")</f>
        <v>-583.33333333333337</v>
      </c>
      <c r="J43" s="2">
        <f ca="1">IF(Flag_Send_Data=1,_xll.DBSW(Val!J43,Val!$C$1,Val!$C$2,Val!$C$3,Val!$C$4,Val!$D43,Val!$C$5,Val!$C$6,Val!$B43,Val!$E43,Val!J$10,Val!$C$7,Val!$C43),"")</f>
        <v>-583.33333333333337</v>
      </c>
      <c r="K43" s="2">
        <f ca="1">IF(Flag_Send_Data=1,_xll.DBSW(Val!K43,Val!$C$1,Val!$C$2,Val!$C$3,Val!$C$4,Val!$D43,Val!$C$5,Val!$C$6,Val!$B43,Val!$E43,Val!K$10,Val!$C$7,Val!$C43),"")</f>
        <v>-583.33333333333337</v>
      </c>
      <c r="L43" s="2">
        <f ca="1">IF(Flag_Send_Data=1,_xll.DBSW(Val!L43,Val!$C$1,Val!$C$2,Val!$C$3,Val!$C$4,Val!$D43,Val!$C$5,Val!$C$6,Val!$B43,Val!$E43,Val!L$10,Val!$C$7,Val!$C43),"")</f>
        <v>-583.33333333333337</v>
      </c>
      <c r="M43" s="2">
        <f ca="1">IF(Flag_Send_Data=1,_xll.DBSW(Val!M43,Val!$C$1,Val!$C$2,Val!$C$3,Val!$C$4,Val!$D43,Val!$C$5,Val!$C$6,Val!$B43,Val!$E43,Val!M$10,Val!$C$7,Val!$C43),"")</f>
        <v>-583.33333333333337</v>
      </c>
      <c r="N43" s="2">
        <f ca="1">IF(Flag_Send_Data=1,_xll.DBSW(Val!N43,Val!$C$1,Val!$C$2,Val!$C$3,Val!$C$4,Val!$D43,Val!$C$5,Val!$C$6,Val!$B43,Val!$E43,Val!N$10,Val!$C$7,Val!$C43),"")</f>
        <v>-583.33333333333337</v>
      </c>
      <c r="O43" s="2">
        <f ca="1">IF(Flag_Send_Data=1,_xll.DBSW(Val!O43,Val!$C$1,Val!$C$2,Val!$C$3,Val!$C$4,Val!$D43,Val!$C$5,Val!$C$6,Val!$B43,Val!$E43,Val!O$10,Val!$C$7,Val!$C43),"")</f>
        <v>-583.33333333333337</v>
      </c>
      <c r="P43" s="2">
        <f ca="1">IF(Flag_Send_Data=1,_xll.DBSW(Val!P43,Val!$C$1,Val!$C$2,Val!$C$3,Val!$C$4,Val!$D43,Val!$C$5,Val!$C$6,Val!$B43,Val!$E43,Val!P$10,Val!$C$7,Val!$C43),"")</f>
        <v>-583.33333333333337</v>
      </c>
      <c r="Q43" s="2">
        <f ca="1">IF(Flag_Send_Data=1,_xll.DBSW(Val!Q43,Val!$C$1,Val!$C$2,Val!$C$3,Val!$C$4,Val!$D43,Val!$C$5,Val!$C$6,Val!$B43,Val!$E43,Val!Q$10,Val!$C$7,Val!$C43),"")</f>
        <v>-583.33333333333337</v>
      </c>
    </row>
    <row r="44" spans="2:17" x14ac:dyDescent="0.25">
      <c r="B44" s="3" t="s">
        <v>236</v>
      </c>
      <c r="C44" t="s">
        <v>81</v>
      </c>
      <c r="D44" t="s">
        <v>199</v>
      </c>
      <c r="E44" t="s">
        <v>128</v>
      </c>
      <c r="F44" s="2">
        <f ca="1">IF(Flag_Send_Data=1,_xll.DBSW(Val!F44,Val!$C$1,Val!$C$2,Val!$C$3,Val!$C$4,Val!$D44,Val!$C$5,Val!$C$6,Val!$B44,Val!$E44,Val!F$10,Val!$C$7,Val!$C44),"")</f>
        <v>-318.28416666666669</v>
      </c>
      <c r="G44" s="2">
        <f ca="1">IF(Flag_Send_Data=1,_xll.DBSW(Val!G44,Val!$C$1,Val!$C$2,Val!$C$3,Val!$C$4,Val!$D44,Val!$C$5,Val!$C$6,Val!$B44,Val!$E44,Val!G$10,Val!$C$7,Val!$C44),"")</f>
        <v>-318.28416666666669</v>
      </c>
      <c r="H44" s="2">
        <f ca="1">IF(Flag_Send_Data=1,_xll.DBSW(Val!H44,Val!$C$1,Val!$C$2,Val!$C$3,Val!$C$4,Val!$D44,Val!$C$5,Val!$C$6,Val!$B44,Val!$E44,Val!H$10,Val!$C$7,Val!$C44),"")</f>
        <v>-318.28416666666669</v>
      </c>
      <c r="I44" s="2">
        <f ca="1">IF(Flag_Send_Data=1,_xll.DBSW(Val!I44,Val!$C$1,Val!$C$2,Val!$C$3,Val!$C$4,Val!$D44,Val!$C$5,Val!$C$6,Val!$B44,Val!$E44,Val!I$10,Val!$C$7,Val!$C44),"")</f>
        <v>-318.28416666666669</v>
      </c>
      <c r="J44" s="2">
        <f ca="1">IF(Flag_Send_Data=1,_xll.DBSW(Val!J44,Val!$C$1,Val!$C$2,Val!$C$3,Val!$C$4,Val!$D44,Val!$C$5,Val!$C$6,Val!$B44,Val!$E44,Val!J$10,Val!$C$7,Val!$C44),"")</f>
        <v>-318.28416666666669</v>
      </c>
      <c r="K44" s="2">
        <f ca="1">IF(Flag_Send_Data=1,_xll.DBSW(Val!K44,Val!$C$1,Val!$C$2,Val!$C$3,Val!$C$4,Val!$D44,Val!$C$5,Val!$C$6,Val!$B44,Val!$E44,Val!K$10,Val!$C$7,Val!$C44),"")</f>
        <v>-318.28416666666669</v>
      </c>
      <c r="L44" s="2">
        <f ca="1">IF(Flag_Send_Data=1,_xll.DBSW(Val!L44,Val!$C$1,Val!$C$2,Val!$C$3,Val!$C$4,Val!$D44,Val!$C$5,Val!$C$6,Val!$B44,Val!$E44,Val!L$10,Val!$C$7,Val!$C44),"")</f>
        <v>-318.28416666666669</v>
      </c>
      <c r="M44" s="2">
        <f ca="1">IF(Flag_Send_Data=1,_xll.DBSW(Val!M44,Val!$C$1,Val!$C$2,Val!$C$3,Val!$C$4,Val!$D44,Val!$C$5,Val!$C$6,Val!$B44,Val!$E44,Val!M$10,Val!$C$7,Val!$C44),"")</f>
        <v>-318.28416666666669</v>
      </c>
      <c r="N44" s="2">
        <f ca="1">IF(Flag_Send_Data=1,_xll.DBSW(Val!N44,Val!$C$1,Val!$C$2,Val!$C$3,Val!$C$4,Val!$D44,Val!$C$5,Val!$C$6,Val!$B44,Val!$E44,Val!N$10,Val!$C$7,Val!$C44),"")</f>
        <v>-318.28416666666669</v>
      </c>
      <c r="O44" s="2">
        <f ca="1">IF(Flag_Send_Data=1,_xll.DBSW(Val!O44,Val!$C$1,Val!$C$2,Val!$C$3,Val!$C$4,Val!$D44,Val!$C$5,Val!$C$6,Val!$B44,Val!$E44,Val!O$10,Val!$C$7,Val!$C44),"")</f>
        <v>-318.28416666666669</v>
      </c>
      <c r="P44" s="2">
        <f ca="1">IF(Flag_Send_Data=1,_xll.DBSW(Val!P44,Val!$C$1,Val!$C$2,Val!$C$3,Val!$C$4,Val!$D44,Val!$C$5,Val!$C$6,Val!$B44,Val!$E44,Val!P$10,Val!$C$7,Val!$C44),"")</f>
        <v>-318.28416666666669</v>
      </c>
      <c r="Q44" s="2">
        <f ca="1">IF(Flag_Send_Data=1,_xll.DBSW(Val!Q44,Val!$C$1,Val!$C$2,Val!$C$3,Val!$C$4,Val!$D44,Val!$C$5,Val!$C$6,Val!$B44,Val!$E44,Val!Q$10,Val!$C$7,Val!$C44),"")</f>
        <v>-318.28416666666669</v>
      </c>
    </row>
    <row r="45" spans="2:17" x14ac:dyDescent="0.25">
      <c r="B45" s="3" t="s">
        <v>237</v>
      </c>
      <c r="C45" t="s">
        <v>60</v>
      </c>
      <c r="D45" t="s">
        <v>199</v>
      </c>
      <c r="E45" t="s">
        <v>128</v>
      </c>
      <c r="F45" s="2">
        <f ca="1">IF(Flag_Send_Data=1,_xll.DBSW(Val!F45,Val!$C$1,Val!$C$2,Val!$C$3,Val!$C$4,Val!$D45,Val!$C$5,Val!$C$6,Val!$B45,Val!$E45,Val!F$10,Val!$C$7,Val!$C45),"")</f>
        <v>-81261.550833333327</v>
      </c>
      <c r="G45" s="2">
        <f ca="1">IF(Flag_Send_Data=1,_xll.DBSW(Val!G45,Val!$C$1,Val!$C$2,Val!$C$3,Val!$C$4,Val!$D45,Val!$C$5,Val!$C$6,Val!$B45,Val!$E45,Val!G$10,Val!$C$7,Val!$C45),"")</f>
        <v>-81261.550833333327</v>
      </c>
      <c r="H45" s="2">
        <f ca="1">IF(Flag_Send_Data=1,_xll.DBSW(Val!H45,Val!$C$1,Val!$C$2,Val!$C$3,Val!$C$4,Val!$D45,Val!$C$5,Val!$C$6,Val!$B45,Val!$E45,Val!H$10,Val!$C$7,Val!$C45),"")</f>
        <v>-81261.550833333327</v>
      </c>
      <c r="I45" s="2">
        <f ca="1">IF(Flag_Send_Data=1,_xll.DBSW(Val!I45,Val!$C$1,Val!$C$2,Val!$C$3,Val!$C$4,Val!$D45,Val!$C$5,Val!$C$6,Val!$B45,Val!$E45,Val!I$10,Val!$C$7,Val!$C45),"")</f>
        <v>-81261.550833333327</v>
      </c>
      <c r="J45" s="2">
        <f ca="1">IF(Flag_Send_Data=1,_xll.DBSW(Val!J45,Val!$C$1,Val!$C$2,Val!$C$3,Val!$C$4,Val!$D45,Val!$C$5,Val!$C$6,Val!$B45,Val!$E45,Val!J$10,Val!$C$7,Val!$C45),"")</f>
        <v>-81261.550833333327</v>
      </c>
      <c r="K45" s="2">
        <f ca="1">IF(Flag_Send_Data=1,_xll.DBSW(Val!K45,Val!$C$1,Val!$C$2,Val!$C$3,Val!$C$4,Val!$D45,Val!$C$5,Val!$C$6,Val!$B45,Val!$E45,Val!K$10,Val!$C$7,Val!$C45),"")</f>
        <v>-81261.550833333327</v>
      </c>
      <c r="L45" s="2">
        <f ca="1">IF(Flag_Send_Data=1,_xll.DBSW(Val!L45,Val!$C$1,Val!$C$2,Val!$C$3,Val!$C$4,Val!$D45,Val!$C$5,Val!$C$6,Val!$B45,Val!$E45,Val!L$10,Val!$C$7,Val!$C45),"")</f>
        <v>-81261.550833333327</v>
      </c>
      <c r="M45" s="2">
        <f ca="1">IF(Flag_Send_Data=1,_xll.DBSW(Val!M45,Val!$C$1,Val!$C$2,Val!$C$3,Val!$C$4,Val!$D45,Val!$C$5,Val!$C$6,Val!$B45,Val!$E45,Val!M$10,Val!$C$7,Val!$C45),"")</f>
        <v>-81261.550833333327</v>
      </c>
      <c r="N45" s="2">
        <f ca="1">IF(Flag_Send_Data=1,_xll.DBSW(Val!N45,Val!$C$1,Val!$C$2,Val!$C$3,Val!$C$4,Val!$D45,Val!$C$5,Val!$C$6,Val!$B45,Val!$E45,Val!N$10,Val!$C$7,Val!$C45),"")</f>
        <v>-81261.550833333327</v>
      </c>
      <c r="O45" s="2">
        <f ca="1">IF(Flag_Send_Data=1,_xll.DBSW(Val!O45,Val!$C$1,Val!$C$2,Val!$C$3,Val!$C$4,Val!$D45,Val!$C$5,Val!$C$6,Val!$B45,Val!$E45,Val!O$10,Val!$C$7,Val!$C45),"")</f>
        <v>-73803.077499999999</v>
      </c>
      <c r="P45" s="2">
        <f ca="1">IF(Flag_Send_Data=1,_xll.DBSW(Val!P45,Val!$C$1,Val!$C$2,Val!$C$3,Val!$C$4,Val!$D45,Val!$C$5,Val!$C$6,Val!$B45,Val!$E45,Val!P$10,Val!$C$7,Val!$C45),"")</f>
        <v>-73803.077499999999</v>
      </c>
      <c r="Q45" s="2">
        <f ca="1">IF(Flag_Send_Data=1,_xll.DBSW(Val!Q45,Val!$C$1,Val!$C$2,Val!$C$3,Val!$C$4,Val!$D45,Val!$C$5,Val!$C$6,Val!$B45,Val!$E45,Val!Q$10,Val!$C$7,Val!$C45),"")</f>
        <v>-73803.077499999999</v>
      </c>
    </row>
    <row r="46" spans="2:17" x14ac:dyDescent="0.25">
      <c r="B46" s="3" t="s">
        <v>237</v>
      </c>
      <c r="C46" t="s">
        <v>61</v>
      </c>
      <c r="D46" t="s">
        <v>199</v>
      </c>
      <c r="E46" t="s">
        <v>128</v>
      </c>
      <c r="F46" s="2">
        <f ca="1">IF(Flag_Send_Data=1,_xll.DBSW(Val!F46,Val!$C$1,Val!$C$2,Val!$C$3,Val!$C$4,Val!$D46,Val!$C$5,Val!$C$6,Val!$B46,Val!$E46,Val!F$10,Val!$C$7,Val!$C46),"")</f>
        <v>-5000</v>
      </c>
      <c r="G46" s="2">
        <f ca="1">IF(Flag_Send_Data=1,_xll.DBSW(Val!G46,Val!$C$1,Val!$C$2,Val!$C$3,Val!$C$4,Val!$D46,Val!$C$5,Val!$C$6,Val!$B46,Val!$E46,Val!G$10,Val!$C$7,Val!$C46),"")</f>
        <v>-5000</v>
      </c>
      <c r="H46" s="2">
        <f ca="1">IF(Flag_Send_Data=1,_xll.DBSW(Val!H46,Val!$C$1,Val!$C$2,Val!$C$3,Val!$C$4,Val!$D46,Val!$C$5,Val!$C$6,Val!$B46,Val!$E46,Val!H$10,Val!$C$7,Val!$C46),"")</f>
        <v>-5000</v>
      </c>
      <c r="I46" s="2">
        <f ca="1">IF(Flag_Send_Data=1,_xll.DBSW(Val!I46,Val!$C$1,Val!$C$2,Val!$C$3,Val!$C$4,Val!$D46,Val!$C$5,Val!$C$6,Val!$B46,Val!$E46,Val!I$10,Val!$C$7,Val!$C46),"")</f>
        <v>-5000</v>
      </c>
      <c r="J46" s="2">
        <f ca="1">IF(Flag_Send_Data=1,_xll.DBSW(Val!J46,Val!$C$1,Val!$C$2,Val!$C$3,Val!$C$4,Val!$D46,Val!$C$5,Val!$C$6,Val!$B46,Val!$E46,Val!J$10,Val!$C$7,Val!$C46),"")</f>
        <v>-5000</v>
      </c>
      <c r="K46" s="2">
        <f ca="1">IF(Flag_Send_Data=1,_xll.DBSW(Val!K46,Val!$C$1,Val!$C$2,Val!$C$3,Val!$C$4,Val!$D46,Val!$C$5,Val!$C$6,Val!$B46,Val!$E46,Val!K$10,Val!$C$7,Val!$C46),"")</f>
        <v>-5000</v>
      </c>
      <c r="L46" s="2">
        <f ca="1">IF(Flag_Send_Data=1,_xll.DBSW(Val!L46,Val!$C$1,Val!$C$2,Val!$C$3,Val!$C$4,Val!$D46,Val!$C$5,Val!$C$6,Val!$B46,Val!$E46,Val!L$10,Val!$C$7,Val!$C46),"")</f>
        <v>-5000</v>
      </c>
      <c r="M46" s="2">
        <f ca="1">IF(Flag_Send_Data=1,_xll.DBSW(Val!M46,Val!$C$1,Val!$C$2,Val!$C$3,Val!$C$4,Val!$D46,Val!$C$5,Val!$C$6,Val!$B46,Val!$E46,Val!M$10,Val!$C$7,Val!$C46),"")</f>
        <v>-5000</v>
      </c>
      <c r="N46" s="2">
        <f ca="1">IF(Flag_Send_Data=1,_xll.DBSW(Val!N46,Val!$C$1,Val!$C$2,Val!$C$3,Val!$C$4,Val!$D46,Val!$C$5,Val!$C$6,Val!$B46,Val!$E46,Val!N$10,Val!$C$7,Val!$C46),"")</f>
        <v>-5000</v>
      </c>
      <c r="O46" s="2">
        <f ca="1">IF(Flag_Send_Data=1,_xll.DBSW(Val!O46,Val!$C$1,Val!$C$2,Val!$C$3,Val!$C$4,Val!$D46,Val!$C$5,Val!$C$6,Val!$B46,Val!$E46,Val!O$10,Val!$C$7,Val!$C46),"")</f>
        <v>-5000</v>
      </c>
      <c r="P46" s="2">
        <f ca="1">IF(Flag_Send_Data=1,_xll.DBSW(Val!P46,Val!$C$1,Val!$C$2,Val!$C$3,Val!$C$4,Val!$D46,Val!$C$5,Val!$C$6,Val!$B46,Val!$E46,Val!P$10,Val!$C$7,Val!$C46),"")</f>
        <v>-5000</v>
      </c>
      <c r="Q46" s="2">
        <f ca="1">IF(Flag_Send_Data=1,_xll.DBSW(Val!Q46,Val!$C$1,Val!$C$2,Val!$C$3,Val!$C$4,Val!$D46,Val!$C$5,Val!$C$6,Val!$B46,Val!$E46,Val!Q$10,Val!$C$7,Val!$C46),"")</f>
        <v>-5000</v>
      </c>
    </row>
    <row r="47" spans="2:17" x14ac:dyDescent="0.25">
      <c r="B47" s="3" t="s">
        <v>237</v>
      </c>
      <c r="C47" t="s">
        <v>62</v>
      </c>
      <c r="D47" t="s">
        <v>199</v>
      </c>
      <c r="E47" t="s">
        <v>17</v>
      </c>
      <c r="F47" s="2">
        <f ca="1">IF(Flag_Send_Data=1,_xll.DBSW(Val!F47,Val!$C$1,Val!$C$2,Val!$C$3,Val!$C$4,Val!$D47,Val!$C$5,Val!$C$6,Val!$B47,Val!$E47,Val!F$10,Val!$C$7,Val!$C47),"")</f>
        <v>-1172.0833333333333</v>
      </c>
      <c r="G47" s="2">
        <f ca="1">IF(Flag_Send_Data=1,_xll.DBSW(Val!G47,Val!$C$1,Val!$C$2,Val!$C$3,Val!$C$4,Val!$D47,Val!$C$5,Val!$C$6,Val!$B47,Val!$E47,Val!G$10,Val!$C$7,Val!$C47),"")</f>
        <v>-1172.0833333333333</v>
      </c>
      <c r="H47" s="2">
        <f ca="1">IF(Flag_Send_Data=1,_xll.DBSW(Val!H47,Val!$C$1,Val!$C$2,Val!$C$3,Val!$C$4,Val!$D47,Val!$C$5,Val!$C$6,Val!$B47,Val!$E47,Val!H$10,Val!$C$7,Val!$C47),"")</f>
        <v>-1172.0833333333333</v>
      </c>
      <c r="I47" s="2">
        <f ca="1">IF(Flag_Send_Data=1,_xll.DBSW(Val!I47,Val!$C$1,Val!$C$2,Val!$C$3,Val!$C$4,Val!$D47,Val!$C$5,Val!$C$6,Val!$B47,Val!$E47,Val!I$10,Val!$C$7,Val!$C47),"")</f>
        <v>-1172.0833333333333</v>
      </c>
      <c r="J47" s="2">
        <f ca="1">IF(Flag_Send_Data=1,_xll.DBSW(Val!J47,Val!$C$1,Val!$C$2,Val!$C$3,Val!$C$4,Val!$D47,Val!$C$5,Val!$C$6,Val!$B47,Val!$E47,Val!J$10,Val!$C$7,Val!$C47),"")</f>
        <v>-1172.0833333333333</v>
      </c>
      <c r="K47" s="2">
        <f ca="1">IF(Flag_Send_Data=1,_xll.DBSW(Val!K47,Val!$C$1,Val!$C$2,Val!$C$3,Val!$C$4,Val!$D47,Val!$C$5,Val!$C$6,Val!$B47,Val!$E47,Val!K$10,Val!$C$7,Val!$C47),"")</f>
        <v>-1172.0833333333333</v>
      </c>
      <c r="L47" s="2">
        <f ca="1">IF(Flag_Send_Data=1,_xll.DBSW(Val!L47,Val!$C$1,Val!$C$2,Val!$C$3,Val!$C$4,Val!$D47,Val!$C$5,Val!$C$6,Val!$B47,Val!$E47,Val!L$10,Val!$C$7,Val!$C47),"")</f>
        <v>-1172.0833333333333</v>
      </c>
      <c r="M47" s="2">
        <f ca="1">IF(Flag_Send_Data=1,_xll.DBSW(Val!M47,Val!$C$1,Val!$C$2,Val!$C$3,Val!$C$4,Val!$D47,Val!$C$5,Val!$C$6,Val!$B47,Val!$E47,Val!M$10,Val!$C$7,Val!$C47),"")</f>
        <v>-1172.0833333333333</v>
      </c>
      <c r="N47" s="2">
        <f ca="1">IF(Flag_Send_Data=1,_xll.DBSW(Val!N47,Val!$C$1,Val!$C$2,Val!$C$3,Val!$C$4,Val!$D47,Val!$C$5,Val!$C$6,Val!$B47,Val!$E47,Val!N$10,Val!$C$7,Val!$C47),"")</f>
        <v>-1172.0833333333333</v>
      </c>
      <c r="O47" s="2">
        <f ca="1">IF(Flag_Send_Data=1,_xll.DBSW(Val!O47,Val!$C$1,Val!$C$2,Val!$C$3,Val!$C$4,Val!$D47,Val!$C$5,Val!$C$6,Val!$B47,Val!$E47,Val!O$10,Val!$C$7,Val!$C47),"")</f>
        <v>-1172.0833333333333</v>
      </c>
      <c r="P47" s="2">
        <f ca="1">IF(Flag_Send_Data=1,_xll.DBSW(Val!P47,Val!$C$1,Val!$C$2,Val!$C$3,Val!$C$4,Val!$D47,Val!$C$5,Val!$C$6,Val!$B47,Val!$E47,Val!P$10,Val!$C$7,Val!$C47),"")</f>
        <v>-1172.0833333333333</v>
      </c>
      <c r="Q47" s="2">
        <f ca="1">IF(Flag_Send_Data=1,_xll.DBSW(Val!Q47,Val!$C$1,Val!$C$2,Val!$C$3,Val!$C$4,Val!$D47,Val!$C$5,Val!$C$6,Val!$B47,Val!$E47,Val!Q$10,Val!$C$7,Val!$C47),"")</f>
        <v>-1172.0833333333333</v>
      </c>
    </row>
    <row r="48" spans="2:17" x14ac:dyDescent="0.25">
      <c r="B48" s="3" t="s">
        <v>237</v>
      </c>
      <c r="C48" t="s">
        <v>62</v>
      </c>
      <c r="D48" t="s">
        <v>199</v>
      </c>
      <c r="E48" t="s">
        <v>128</v>
      </c>
      <c r="F48" s="2">
        <f ca="1">IF(Flag_Send_Data=1,_xll.DBSW(Val!F48,Val!$C$1,Val!$C$2,Val!$C$3,Val!$C$4,Val!$D48,Val!$C$5,Val!$C$6,Val!$B48,Val!$E48,Val!F$10,Val!$C$7,Val!$C48),"")</f>
        <v>-43333.333333333328</v>
      </c>
      <c r="G48" s="2">
        <f ca="1">IF(Flag_Send_Data=1,_xll.DBSW(Val!G48,Val!$C$1,Val!$C$2,Val!$C$3,Val!$C$4,Val!$D48,Val!$C$5,Val!$C$6,Val!$B48,Val!$E48,Val!G$10,Val!$C$7,Val!$C48),"")</f>
        <v>-43333.333333333328</v>
      </c>
      <c r="H48" s="2">
        <f ca="1">IF(Flag_Send_Data=1,_xll.DBSW(Val!H48,Val!$C$1,Val!$C$2,Val!$C$3,Val!$C$4,Val!$D48,Val!$C$5,Val!$C$6,Val!$B48,Val!$E48,Val!H$10,Val!$C$7,Val!$C48),"")</f>
        <v>-43333.333333333328</v>
      </c>
      <c r="I48" s="2">
        <f ca="1">IF(Flag_Send_Data=1,_xll.DBSW(Val!I48,Val!$C$1,Val!$C$2,Val!$C$3,Val!$C$4,Val!$D48,Val!$C$5,Val!$C$6,Val!$B48,Val!$E48,Val!I$10,Val!$C$7,Val!$C48),"")</f>
        <v>-90000</v>
      </c>
      <c r="J48" s="2">
        <f ca="1">IF(Flag_Send_Data=1,_xll.DBSW(Val!J48,Val!$C$1,Val!$C$2,Val!$C$3,Val!$C$4,Val!$D48,Val!$C$5,Val!$C$6,Val!$B48,Val!$E48,Val!J$10,Val!$C$7,Val!$C48),"")</f>
        <v>-90000</v>
      </c>
      <c r="K48" s="2">
        <f ca="1">IF(Flag_Send_Data=1,_xll.DBSW(Val!K48,Val!$C$1,Val!$C$2,Val!$C$3,Val!$C$4,Val!$D48,Val!$C$5,Val!$C$6,Val!$B48,Val!$E48,Val!K$10,Val!$C$7,Val!$C48),"")</f>
        <v>-90000</v>
      </c>
      <c r="L48" s="2">
        <f ca="1">IF(Flag_Send_Data=1,_xll.DBSW(Val!L48,Val!$C$1,Val!$C$2,Val!$C$3,Val!$C$4,Val!$D48,Val!$C$5,Val!$C$6,Val!$B48,Val!$E48,Val!L$10,Val!$C$7,Val!$C48),"")</f>
        <v>-51666.666666666664</v>
      </c>
      <c r="M48" s="2">
        <f ca="1">IF(Flag_Send_Data=1,_xll.DBSW(Val!M48,Val!$C$1,Val!$C$2,Val!$C$3,Val!$C$4,Val!$D48,Val!$C$5,Val!$C$6,Val!$B48,Val!$E48,Val!M$10,Val!$C$7,Val!$C48),"")</f>
        <v>-51666.666666666664</v>
      </c>
      <c r="N48" s="2">
        <f ca="1">IF(Flag_Send_Data=1,_xll.DBSW(Val!N48,Val!$C$1,Val!$C$2,Val!$C$3,Val!$C$4,Val!$D48,Val!$C$5,Val!$C$6,Val!$B48,Val!$E48,Val!N$10,Val!$C$7,Val!$C48),"")</f>
        <v>-51666.666666666664</v>
      </c>
      <c r="O48" s="2">
        <f ca="1">IF(Flag_Send_Data=1,_xll.DBSW(Val!O48,Val!$C$1,Val!$C$2,Val!$C$3,Val!$C$4,Val!$D48,Val!$C$5,Val!$C$6,Val!$B48,Val!$E48,Val!O$10,Val!$C$7,Val!$C48),"")</f>
        <v>-28333.333333333332</v>
      </c>
      <c r="P48" s="2">
        <f ca="1">IF(Flag_Send_Data=1,_xll.DBSW(Val!P48,Val!$C$1,Val!$C$2,Val!$C$3,Val!$C$4,Val!$D48,Val!$C$5,Val!$C$6,Val!$B48,Val!$E48,Val!P$10,Val!$C$7,Val!$C48),"")</f>
        <v>-28333.333333333332</v>
      </c>
      <c r="Q48" s="2">
        <f ca="1">IF(Flag_Send_Data=1,_xll.DBSW(Val!Q48,Val!$C$1,Val!$C$2,Val!$C$3,Val!$C$4,Val!$D48,Val!$C$5,Val!$C$6,Val!$B48,Val!$E48,Val!Q$10,Val!$C$7,Val!$C48),"")</f>
        <v>-28333.333333333332</v>
      </c>
    </row>
    <row r="49" spans="2:17" x14ac:dyDescent="0.25">
      <c r="B49" s="3" t="s">
        <v>237</v>
      </c>
      <c r="C49" t="s">
        <v>63</v>
      </c>
      <c r="D49" t="s">
        <v>199</v>
      </c>
      <c r="E49" t="s">
        <v>128</v>
      </c>
      <c r="F49" s="2">
        <f ca="1">IF(Flag_Send_Data=1,_xll.DBSW(Val!F49,Val!$C$1,Val!$C$2,Val!$C$3,Val!$C$4,Val!$D49,Val!$C$5,Val!$C$6,Val!$B49,Val!$E49,Val!F$10,Val!$C$7,Val!$C49),"")</f>
        <v>-416.66666666666669</v>
      </c>
      <c r="G49" s="2">
        <f ca="1">IF(Flag_Send_Data=1,_xll.DBSW(Val!G49,Val!$C$1,Val!$C$2,Val!$C$3,Val!$C$4,Val!$D49,Val!$C$5,Val!$C$6,Val!$B49,Val!$E49,Val!G$10,Val!$C$7,Val!$C49),"")</f>
        <v>-416.66666666666669</v>
      </c>
      <c r="H49" s="2">
        <f ca="1">IF(Flag_Send_Data=1,_xll.DBSW(Val!H49,Val!$C$1,Val!$C$2,Val!$C$3,Val!$C$4,Val!$D49,Val!$C$5,Val!$C$6,Val!$B49,Val!$E49,Val!H$10,Val!$C$7,Val!$C49),"")</f>
        <v>-416.66666666666669</v>
      </c>
      <c r="I49" s="2">
        <f ca="1">IF(Flag_Send_Data=1,_xll.DBSW(Val!I49,Val!$C$1,Val!$C$2,Val!$C$3,Val!$C$4,Val!$D49,Val!$C$5,Val!$C$6,Val!$B49,Val!$E49,Val!I$10,Val!$C$7,Val!$C49),"")</f>
        <v>-416.66666666666669</v>
      </c>
      <c r="J49" s="2">
        <f ca="1">IF(Flag_Send_Data=1,_xll.DBSW(Val!J49,Val!$C$1,Val!$C$2,Val!$C$3,Val!$C$4,Val!$D49,Val!$C$5,Val!$C$6,Val!$B49,Val!$E49,Val!J$10,Val!$C$7,Val!$C49),"")</f>
        <v>-416.66666666666669</v>
      </c>
      <c r="K49" s="2">
        <f ca="1">IF(Flag_Send_Data=1,_xll.DBSW(Val!K49,Val!$C$1,Val!$C$2,Val!$C$3,Val!$C$4,Val!$D49,Val!$C$5,Val!$C$6,Val!$B49,Val!$E49,Val!K$10,Val!$C$7,Val!$C49),"")</f>
        <v>-416.66666666666669</v>
      </c>
      <c r="L49" s="2">
        <f ca="1">IF(Flag_Send_Data=1,_xll.DBSW(Val!L49,Val!$C$1,Val!$C$2,Val!$C$3,Val!$C$4,Val!$D49,Val!$C$5,Val!$C$6,Val!$B49,Val!$E49,Val!L$10,Val!$C$7,Val!$C49),"")</f>
        <v>-416.66666666666669</v>
      </c>
      <c r="M49" s="2">
        <f ca="1">IF(Flag_Send_Data=1,_xll.DBSW(Val!M49,Val!$C$1,Val!$C$2,Val!$C$3,Val!$C$4,Val!$D49,Val!$C$5,Val!$C$6,Val!$B49,Val!$E49,Val!M$10,Val!$C$7,Val!$C49),"")</f>
        <v>-416.66666666666669</v>
      </c>
      <c r="N49" s="2">
        <f ca="1">IF(Flag_Send_Data=1,_xll.DBSW(Val!N49,Val!$C$1,Val!$C$2,Val!$C$3,Val!$C$4,Val!$D49,Val!$C$5,Val!$C$6,Val!$B49,Val!$E49,Val!N$10,Val!$C$7,Val!$C49),"")</f>
        <v>-416.66666666666669</v>
      </c>
      <c r="O49" s="2">
        <f ca="1">IF(Flag_Send_Data=1,_xll.DBSW(Val!O49,Val!$C$1,Val!$C$2,Val!$C$3,Val!$C$4,Val!$D49,Val!$C$5,Val!$C$6,Val!$B49,Val!$E49,Val!O$10,Val!$C$7,Val!$C49),"")</f>
        <v>-416.66666666666669</v>
      </c>
      <c r="P49" s="2">
        <f ca="1">IF(Flag_Send_Data=1,_xll.DBSW(Val!P49,Val!$C$1,Val!$C$2,Val!$C$3,Val!$C$4,Val!$D49,Val!$C$5,Val!$C$6,Val!$B49,Val!$E49,Val!P$10,Val!$C$7,Val!$C49),"")</f>
        <v>-416.66666666666669</v>
      </c>
      <c r="Q49" s="2">
        <f ca="1">IF(Flag_Send_Data=1,_xll.DBSW(Val!Q49,Val!$C$1,Val!$C$2,Val!$C$3,Val!$C$4,Val!$D49,Val!$C$5,Val!$C$6,Val!$B49,Val!$E49,Val!Q$10,Val!$C$7,Val!$C49),"")</f>
        <v>-416.66666666666669</v>
      </c>
    </row>
    <row r="50" spans="2:17" x14ac:dyDescent="0.25">
      <c r="B50" s="3" t="s">
        <v>237</v>
      </c>
      <c r="C50" t="s">
        <v>124</v>
      </c>
      <c r="D50" t="s">
        <v>199</v>
      </c>
      <c r="E50" t="s">
        <v>128</v>
      </c>
      <c r="F50" s="2">
        <f ca="1">IF(Flag_Send_Data=1,_xll.DBSW(Val!F50,Val!$C$1,Val!$C$2,Val!$C$3,Val!$C$4,Val!$D50,Val!$C$5,Val!$C$6,Val!$B50,Val!$E50,Val!F$10,Val!$C$7,Val!$C50),"")</f>
        <v>-1250</v>
      </c>
      <c r="G50" s="2">
        <f ca="1">IF(Flag_Send_Data=1,_xll.DBSW(Val!G50,Val!$C$1,Val!$C$2,Val!$C$3,Val!$C$4,Val!$D50,Val!$C$5,Val!$C$6,Val!$B50,Val!$E50,Val!G$10,Val!$C$7,Val!$C50),"")</f>
        <v>-1250</v>
      </c>
      <c r="H50" s="2">
        <f ca="1">IF(Flag_Send_Data=1,_xll.DBSW(Val!H50,Val!$C$1,Val!$C$2,Val!$C$3,Val!$C$4,Val!$D50,Val!$C$5,Val!$C$6,Val!$B50,Val!$E50,Val!H$10,Val!$C$7,Val!$C50),"")</f>
        <v>-1250</v>
      </c>
      <c r="I50" s="2">
        <f ca="1">IF(Flag_Send_Data=1,_xll.DBSW(Val!I50,Val!$C$1,Val!$C$2,Val!$C$3,Val!$C$4,Val!$D50,Val!$C$5,Val!$C$6,Val!$B50,Val!$E50,Val!I$10,Val!$C$7,Val!$C50),"")</f>
        <v>-1250</v>
      </c>
      <c r="J50" s="2">
        <f ca="1">IF(Flag_Send_Data=1,_xll.DBSW(Val!J50,Val!$C$1,Val!$C$2,Val!$C$3,Val!$C$4,Val!$D50,Val!$C$5,Val!$C$6,Val!$B50,Val!$E50,Val!J$10,Val!$C$7,Val!$C50),"")</f>
        <v>-1250</v>
      </c>
      <c r="K50" s="2">
        <f ca="1">IF(Flag_Send_Data=1,_xll.DBSW(Val!K50,Val!$C$1,Val!$C$2,Val!$C$3,Val!$C$4,Val!$D50,Val!$C$5,Val!$C$6,Val!$B50,Val!$E50,Val!K$10,Val!$C$7,Val!$C50),"")</f>
        <v>-1250</v>
      </c>
      <c r="L50" s="2">
        <f ca="1">IF(Flag_Send_Data=1,_xll.DBSW(Val!L50,Val!$C$1,Val!$C$2,Val!$C$3,Val!$C$4,Val!$D50,Val!$C$5,Val!$C$6,Val!$B50,Val!$E50,Val!L$10,Val!$C$7,Val!$C50),"")</f>
        <v>-1250</v>
      </c>
      <c r="M50" s="2">
        <f ca="1">IF(Flag_Send_Data=1,_xll.DBSW(Val!M50,Val!$C$1,Val!$C$2,Val!$C$3,Val!$C$4,Val!$D50,Val!$C$5,Val!$C$6,Val!$B50,Val!$E50,Val!M$10,Val!$C$7,Val!$C50),"")</f>
        <v>-1250</v>
      </c>
      <c r="N50" s="2">
        <f ca="1">IF(Flag_Send_Data=1,_xll.DBSW(Val!N50,Val!$C$1,Val!$C$2,Val!$C$3,Val!$C$4,Val!$D50,Val!$C$5,Val!$C$6,Val!$B50,Val!$E50,Val!N$10,Val!$C$7,Val!$C50),"")</f>
        <v>-1250</v>
      </c>
      <c r="O50" s="2">
        <f ca="1">IF(Flag_Send_Data=1,_xll.DBSW(Val!O50,Val!$C$1,Val!$C$2,Val!$C$3,Val!$C$4,Val!$D50,Val!$C$5,Val!$C$6,Val!$B50,Val!$E50,Val!O$10,Val!$C$7,Val!$C50),"")</f>
        <v>-1250</v>
      </c>
      <c r="P50" s="2">
        <f ca="1">IF(Flag_Send_Data=1,_xll.DBSW(Val!P50,Val!$C$1,Val!$C$2,Val!$C$3,Val!$C$4,Val!$D50,Val!$C$5,Val!$C$6,Val!$B50,Val!$E50,Val!P$10,Val!$C$7,Val!$C50),"")</f>
        <v>-1250</v>
      </c>
      <c r="Q50" s="2">
        <f ca="1">IF(Flag_Send_Data=1,_xll.DBSW(Val!Q50,Val!$C$1,Val!$C$2,Val!$C$3,Val!$C$4,Val!$D50,Val!$C$5,Val!$C$6,Val!$B50,Val!$E50,Val!Q$10,Val!$C$7,Val!$C50),"")</f>
        <v>-1250</v>
      </c>
    </row>
    <row r="51" spans="2:17" x14ac:dyDescent="0.25">
      <c r="B51" s="3" t="s">
        <v>237</v>
      </c>
      <c r="C51" t="s">
        <v>64</v>
      </c>
      <c r="D51" t="s">
        <v>199</v>
      </c>
      <c r="E51" t="s">
        <v>128</v>
      </c>
      <c r="F51" s="2">
        <f ca="1">IF(Flag_Send_Data=1,_xll.DBSW(Val!F51,Val!$C$1,Val!$C$2,Val!$C$3,Val!$C$4,Val!$D51,Val!$C$5,Val!$C$6,Val!$B51,Val!$E51,Val!F$10,Val!$C$7,Val!$C51),"")</f>
        <v>-2797.1608333333334</v>
      </c>
      <c r="G51" s="2">
        <f ca="1">IF(Flag_Send_Data=1,_xll.DBSW(Val!G51,Val!$C$1,Val!$C$2,Val!$C$3,Val!$C$4,Val!$D51,Val!$C$5,Val!$C$6,Val!$B51,Val!$E51,Val!G$10,Val!$C$7,Val!$C51),"")</f>
        <v>-2797.1608333333334</v>
      </c>
      <c r="H51" s="2">
        <f ca="1">IF(Flag_Send_Data=1,_xll.DBSW(Val!H51,Val!$C$1,Val!$C$2,Val!$C$3,Val!$C$4,Val!$D51,Val!$C$5,Val!$C$6,Val!$B51,Val!$E51,Val!H$10,Val!$C$7,Val!$C51),"")</f>
        <v>-2797.1608333333334</v>
      </c>
      <c r="I51" s="2">
        <f ca="1">IF(Flag_Send_Data=1,_xll.DBSW(Val!I51,Val!$C$1,Val!$C$2,Val!$C$3,Val!$C$4,Val!$D51,Val!$C$5,Val!$C$6,Val!$B51,Val!$E51,Val!I$10,Val!$C$7,Val!$C51),"")</f>
        <v>-2797.1608333333334</v>
      </c>
      <c r="J51" s="2">
        <f ca="1">IF(Flag_Send_Data=1,_xll.DBSW(Val!J51,Val!$C$1,Val!$C$2,Val!$C$3,Val!$C$4,Val!$D51,Val!$C$5,Val!$C$6,Val!$B51,Val!$E51,Val!J$10,Val!$C$7,Val!$C51),"")</f>
        <v>-2797.1608333333334</v>
      </c>
      <c r="K51" s="2">
        <f ca="1">IF(Flag_Send_Data=1,_xll.DBSW(Val!K51,Val!$C$1,Val!$C$2,Val!$C$3,Val!$C$4,Val!$D51,Val!$C$5,Val!$C$6,Val!$B51,Val!$E51,Val!K$10,Val!$C$7,Val!$C51),"")</f>
        <v>-2797.1608333333334</v>
      </c>
      <c r="L51" s="2">
        <f ca="1">IF(Flag_Send_Data=1,_xll.DBSW(Val!L51,Val!$C$1,Val!$C$2,Val!$C$3,Val!$C$4,Val!$D51,Val!$C$5,Val!$C$6,Val!$B51,Val!$E51,Val!L$10,Val!$C$7,Val!$C51),"")</f>
        <v>-2797.1608333333334</v>
      </c>
      <c r="M51" s="2">
        <f ca="1">IF(Flag_Send_Data=1,_xll.DBSW(Val!M51,Val!$C$1,Val!$C$2,Val!$C$3,Val!$C$4,Val!$D51,Val!$C$5,Val!$C$6,Val!$B51,Val!$E51,Val!M$10,Val!$C$7,Val!$C51),"")</f>
        <v>-2797.1608333333334</v>
      </c>
      <c r="N51" s="2">
        <f ca="1">IF(Flag_Send_Data=1,_xll.DBSW(Val!N51,Val!$C$1,Val!$C$2,Val!$C$3,Val!$C$4,Val!$D51,Val!$C$5,Val!$C$6,Val!$B51,Val!$E51,Val!N$10,Val!$C$7,Val!$C51),"")</f>
        <v>-2797.1608333333334</v>
      </c>
      <c r="O51" s="2">
        <f ca="1">IF(Flag_Send_Data=1,_xll.DBSW(Val!O51,Val!$C$1,Val!$C$2,Val!$C$3,Val!$C$4,Val!$D51,Val!$C$5,Val!$C$6,Val!$B51,Val!$E51,Val!O$10,Val!$C$7,Val!$C51),"")</f>
        <v>-2797.1608333333334</v>
      </c>
      <c r="P51" s="2">
        <f ca="1">IF(Flag_Send_Data=1,_xll.DBSW(Val!P51,Val!$C$1,Val!$C$2,Val!$C$3,Val!$C$4,Val!$D51,Val!$C$5,Val!$C$6,Val!$B51,Val!$E51,Val!P$10,Val!$C$7,Val!$C51),"")</f>
        <v>-2797.1608333333334</v>
      </c>
      <c r="Q51" s="2">
        <f ca="1">IF(Flag_Send_Data=1,_xll.DBSW(Val!Q51,Val!$C$1,Val!$C$2,Val!$C$3,Val!$C$4,Val!$D51,Val!$C$5,Val!$C$6,Val!$B51,Val!$E51,Val!Q$10,Val!$C$7,Val!$C51),"")</f>
        <v>-2797.1608333333334</v>
      </c>
    </row>
    <row r="52" spans="2:17" x14ac:dyDescent="0.25">
      <c r="B52" s="3" t="s">
        <v>238</v>
      </c>
      <c r="C52" t="s">
        <v>11</v>
      </c>
      <c r="D52" t="s">
        <v>199</v>
      </c>
      <c r="E52" t="s">
        <v>155</v>
      </c>
      <c r="F52" s="2">
        <f ca="1">IF(Flag_Send_Data=1,_xll.DBSW(Val!F52,Val!$C$1,Val!$C$2,Val!$C$3,Val!$C$4,Val!$D52,Val!$C$5,Val!$C$6,Val!$B52,Val!$E52,Val!F$10,Val!$C$7,Val!$C52),"")</f>
        <v>0</v>
      </c>
      <c r="G52" s="2">
        <f ca="1">IF(Flag_Send_Data=1,_xll.DBSW(Val!G52,Val!$C$1,Val!$C$2,Val!$C$3,Val!$C$4,Val!$D52,Val!$C$5,Val!$C$6,Val!$B52,Val!$E52,Val!G$10,Val!$C$7,Val!$C52),"")</f>
        <v>0</v>
      </c>
      <c r="H52" s="2">
        <f ca="1">IF(Flag_Send_Data=1,_xll.DBSW(Val!H52,Val!$C$1,Val!$C$2,Val!$C$3,Val!$C$4,Val!$D52,Val!$C$5,Val!$C$6,Val!$B52,Val!$E52,Val!H$10,Val!$C$7,Val!$C52),"")</f>
        <v>0</v>
      </c>
      <c r="I52" s="2">
        <f ca="1">IF(Flag_Send_Data=1,_xll.DBSW(Val!I52,Val!$C$1,Val!$C$2,Val!$C$3,Val!$C$4,Val!$D52,Val!$C$5,Val!$C$6,Val!$B52,Val!$E52,Val!I$10,Val!$C$7,Val!$C52),"")</f>
        <v>-3666.6666666666665</v>
      </c>
      <c r="J52" s="2">
        <f ca="1">IF(Flag_Send_Data=1,_xll.DBSW(Val!J52,Val!$C$1,Val!$C$2,Val!$C$3,Val!$C$4,Val!$D52,Val!$C$5,Val!$C$6,Val!$B52,Val!$E52,Val!J$10,Val!$C$7,Val!$C52),"")</f>
        <v>-3666.6666666666665</v>
      </c>
      <c r="K52" s="2">
        <f ca="1">IF(Flag_Send_Data=1,_xll.DBSW(Val!K52,Val!$C$1,Val!$C$2,Val!$C$3,Val!$C$4,Val!$D52,Val!$C$5,Val!$C$6,Val!$B52,Val!$E52,Val!K$10,Val!$C$7,Val!$C52),"")</f>
        <v>-3666.6666666666665</v>
      </c>
      <c r="L52" s="2">
        <f ca="1">IF(Flag_Send_Data=1,_xll.DBSW(Val!L52,Val!$C$1,Val!$C$2,Val!$C$3,Val!$C$4,Val!$D52,Val!$C$5,Val!$C$6,Val!$B52,Val!$E52,Val!L$10,Val!$C$7,Val!$C52),"")</f>
        <v>-3666.6666666666665</v>
      </c>
      <c r="M52" s="2">
        <f ca="1">IF(Flag_Send_Data=1,_xll.DBSW(Val!M52,Val!$C$1,Val!$C$2,Val!$C$3,Val!$C$4,Val!$D52,Val!$C$5,Val!$C$6,Val!$B52,Val!$E52,Val!M$10,Val!$C$7,Val!$C52),"")</f>
        <v>-3666.6666666666665</v>
      </c>
      <c r="N52" s="2">
        <f ca="1">IF(Flag_Send_Data=1,_xll.DBSW(Val!N52,Val!$C$1,Val!$C$2,Val!$C$3,Val!$C$4,Val!$D52,Val!$C$5,Val!$C$6,Val!$B52,Val!$E52,Val!N$10,Val!$C$7,Val!$C52),"")</f>
        <v>-3666.6666666666665</v>
      </c>
      <c r="O52" s="2">
        <f ca="1">IF(Flag_Send_Data=1,_xll.DBSW(Val!O52,Val!$C$1,Val!$C$2,Val!$C$3,Val!$C$4,Val!$D52,Val!$C$5,Val!$C$6,Val!$B52,Val!$E52,Val!O$10,Val!$C$7,Val!$C52),"")</f>
        <v>-3666.6666666666665</v>
      </c>
      <c r="P52" s="2">
        <f ca="1">IF(Flag_Send_Data=1,_xll.DBSW(Val!P52,Val!$C$1,Val!$C$2,Val!$C$3,Val!$C$4,Val!$D52,Val!$C$5,Val!$C$6,Val!$B52,Val!$E52,Val!P$10,Val!$C$7,Val!$C52),"")</f>
        <v>-3666.6666666666665</v>
      </c>
      <c r="Q52" s="2">
        <f ca="1">IF(Flag_Send_Data=1,_xll.DBSW(Val!Q52,Val!$C$1,Val!$C$2,Val!$C$3,Val!$C$4,Val!$D52,Val!$C$5,Val!$C$6,Val!$B52,Val!$E52,Val!Q$10,Val!$C$7,Val!$C52),"")</f>
        <v>-3666.6666666666665</v>
      </c>
    </row>
    <row r="53" spans="2:17" x14ac:dyDescent="0.25">
      <c r="B53" s="3" t="s">
        <v>238</v>
      </c>
      <c r="C53" t="s">
        <v>11</v>
      </c>
      <c r="D53" t="s">
        <v>199</v>
      </c>
      <c r="E53" t="s">
        <v>128</v>
      </c>
      <c r="F53" s="2">
        <f ca="1">IF(Flag_Send_Data=1,_xll.DBSW(Val!F53,Val!$C$1,Val!$C$2,Val!$C$3,Val!$C$4,Val!$D53,Val!$C$5,Val!$C$6,Val!$B53,Val!$E53,Val!F$10,Val!$C$7,Val!$C53),"")</f>
        <v>-83229.537500000006</v>
      </c>
      <c r="G53" s="2">
        <f ca="1">IF(Flag_Send_Data=1,_xll.DBSW(Val!G53,Val!$C$1,Val!$C$2,Val!$C$3,Val!$C$4,Val!$D53,Val!$C$5,Val!$C$6,Val!$B53,Val!$E53,Val!G$10,Val!$C$7,Val!$C53),"")</f>
        <v>-83229.537500000006</v>
      </c>
      <c r="H53" s="2">
        <f ca="1">IF(Flag_Send_Data=1,_xll.DBSW(Val!H53,Val!$C$1,Val!$C$2,Val!$C$3,Val!$C$4,Val!$D53,Val!$C$5,Val!$C$6,Val!$B53,Val!$E53,Val!H$10,Val!$C$7,Val!$C53),"")</f>
        <v>-83229.537500000006</v>
      </c>
      <c r="I53" s="2">
        <f ca="1">IF(Flag_Send_Data=1,_xll.DBSW(Val!I53,Val!$C$1,Val!$C$2,Val!$C$3,Val!$C$4,Val!$D53,Val!$C$5,Val!$C$6,Val!$B53,Val!$E53,Val!I$10,Val!$C$7,Val!$C53),"")</f>
        <v>-81246.290833333333</v>
      </c>
      <c r="J53" s="2">
        <f ca="1">IF(Flag_Send_Data=1,_xll.DBSW(Val!J53,Val!$C$1,Val!$C$2,Val!$C$3,Val!$C$4,Val!$D53,Val!$C$5,Val!$C$6,Val!$B53,Val!$E53,Val!J$10,Val!$C$7,Val!$C53),"")</f>
        <v>-81246.290833333333</v>
      </c>
      <c r="K53" s="2">
        <f ca="1">IF(Flag_Send_Data=1,_xll.DBSW(Val!K53,Val!$C$1,Val!$C$2,Val!$C$3,Val!$C$4,Val!$D53,Val!$C$5,Val!$C$6,Val!$B53,Val!$E53,Val!K$10,Val!$C$7,Val!$C53),"")</f>
        <v>-81246.290833333333</v>
      </c>
      <c r="L53" s="2">
        <f ca="1">IF(Flag_Send_Data=1,_xll.DBSW(Val!L53,Val!$C$1,Val!$C$2,Val!$C$3,Val!$C$4,Val!$D53,Val!$C$5,Val!$C$6,Val!$B53,Val!$E53,Val!L$10,Val!$C$7,Val!$C53),"")</f>
        <v>-81246.290833333333</v>
      </c>
      <c r="M53" s="2">
        <f ca="1">IF(Flag_Send_Data=1,_xll.DBSW(Val!M53,Val!$C$1,Val!$C$2,Val!$C$3,Val!$C$4,Val!$D53,Val!$C$5,Val!$C$6,Val!$B53,Val!$E53,Val!M$10,Val!$C$7,Val!$C53),"")</f>
        <v>-81246.290833333333</v>
      </c>
      <c r="N53" s="2">
        <f ca="1">IF(Flag_Send_Data=1,_xll.DBSW(Val!N53,Val!$C$1,Val!$C$2,Val!$C$3,Val!$C$4,Val!$D53,Val!$C$5,Val!$C$6,Val!$B53,Val!$E53,Val!N$10,Val!$C$7,Val!$C53),"")</f>
        <v>-81246.290833333333</v>
      </c>
      <c r="O53" s="2">
        <f ca="1">IF(Flag_Send_Data=1,_xll.DBSW(Val!O53,Val!$C$1,Val!$C$2,Val!$C$3,Val!$C$4,Val!$D53,Val!$C$5,Val!$C$6,Val!$B53,Val!$E53,Val!O$10,Val!$C$7,Val!$C53),"")</f>
        <v>-81246.290833333333</v>
      </c>
      <c r="P53" s="2">
        <f ca="1">IF(Flag_Send_Data=1,_xll.DBSW(Val!P53,Val!$C$1,Val!$C$2,Val!$C$3,Val!$C$4,Val!$D53,Val!$C$5,Val!$C$6,Val!$B53,Val!$E53,Val!P$10,Val!$C$7,Val!$C53),"")</f>
        <v>-81246.290833333333</v>
      </c>
      <c r="Q53" s="2">
        <f ca="1">IF(Flag_Send_Data=1,_xll.DBSW(Val!Q53,Val!$C$1,Val!$C$2,Val!$C$3,Val!$C$4,Val!$D53,Val!$C$5,Val!$C$6,Val!$B53,Val!$E53,Val!Q$10,Val!$C$7,Val!$C53),"")</f>
        <v>-81246.290833333333</v>
      </c>
    </row>
    <row r="54" spans="2:17" x14ac:dyDescent="0.25">
      <c r="B54" s="3" t="s">
        <v>238</v>
      </c>
      <c r="C54" t="s">
        <v>12</v>
      </c>
      <c r="D54" t="s">
        <v>199</v>
      </c>
      <c r="E54" t="s">
        <v>128</v>
      </c>
      <c r="F54" s="2">
        <f ca="1">IF(Flag_Send_Data=1,_xll.DBSW(Val!F54,Val!$C$1,Val!$C$2,Val!$C$3,Val!$C$4,Val!$D54,Val!$C$5,Val!$C$6,Val!$B54,Val!$E54,Val!F$10,Val!$C$7,Val!$C54),"")</f>
        <v>-10416.666666666666</v>
      </c>
      <c r="G54" s="2">
        <f ca="1">IF(Flag_Send_Data=1,_xll.DBSW(Val!G54,Val!$C$1,Val!$C$2,Val!$C$3,Val!$C$4,Val!$D54,Val!$C$5,Val!$C$6,Val!$B54,Val!$E54,Val!G$10,Val!$C$7,Val!$C54),"")</f>
        <v>-10416.666666666666</v>
      </c>
      <c r="H54" s="2">
        <f ca="1">IF(Flag_Send_Data=1,_xll.DBSW(Val!H54,Val!$C$1,Val!$C$2,Val!$C$3,Val!$C$4,Val!$D54,Val!$C$5,Val!$C$6,Val!$B54,Val!$E54,Val!H$10,Val!$C$7,Val!$C54),"")</f>
        <v>-10416.666666666666</v>
      </c>
      <c r="I54" s="2">
        <f ca="1">IF(Flag_Send_Data=1,_xll.DBSW(Val!I54,Val!$C$1,Val!$C$2,Val!$C$3,Val!$C$4,Val!$D54,Val!$C$5,Val!$C$6,Val!$B54,Val!$E54,Val!I$10,Val!$C$7,Val!$C54),"")</f>
        <v>-10416.666666666666</v>
      </c>
      <c r="J54" s="2">
        <f ca="1">IF(Flag_Send_Data=1,_xll.DBSW(Val!J54,Val!$C$1,Val!$C$2,Val!$C$3,Val!$C$4,Val!$D54,Val!$C$5,Val!$C$6,Val!$B54,Val!$E54,Val!J$10,Val!$C$7,Val!$C54),"")</f>
        <v>-10416.666666666666</v>
      </c>
      <c r="K54" s="2">
        <f ca="1">IF(Flag_Send_Data=1,_xll.DBSW(Val!K54,Val!$C$1,Val!$C$2,Val!$C$3,Val!$C$4,Val!$D54,Val!$C$5,Val!$C$6,Val!$B54,Val!$E54,Val!K$10,Val!$C$7,Val!$C54),"")</f>
        <v>-10416.666666666666</v>
      </c>
      <c r="L54" s="2">
        <f ca="1">IF(Flag_Send_Data=1,_xll.DBSW(Val!L54,Val!$C$1,Val!$C$2,Val!$C$3,Val!$C$4,Val!$D54,Val!$C$5,Val!$C$6,Val!$B54,Val!$E54,Val!L$10,Val!$C$7,Val!$C54),"")</f>
        <v>-10416.666666666666</v>
      </c>
      <c r="M54" s="2">
        <f ca="1">IF(Flag_Send_Data=1,_xll.DBSW(Val!M54,Val!$C$1,Val!$C$2,Val!$C$3,Val!$C$4,Val!$D54,Val!$C$5,Val!$C$6,Val!$B54,Val!$E54,Val!M$10,Val!$C$7,Val!$C54),"")</f>
        <v>-10416.666666666666</v>
      </c>
      <c r="N54" s="2">
        <f ca="1">IF(Flag_Send_Data=1,_xll.DBSW(Val!N54,Val!$C$1,Val!$C$2,Val!$C$3,Val!$C$4,Val!$D54,Val!$C$5,Val!$C$6,Val!$B54,Val!$E54,Val!N$10,Val!$C$7,Val!$C54),"")</f>
        <v>-10416.666666666666</v>
      </c>
      <c r="O54" s="2">
        <f ca="1">IF(Flag_Send_Data=1,_xll.DBSW(Val!O54,Val!$C$1,Val!$C$2,Val!$C$3,Val!$C$4,Val!$D54,Val!$C$5,Val!$C$6,Val!$B54,Val!$E54,Val!O$10,Val!$C$7,Val!$C54),"")</f>
        <v>-10416.666666666666</v>
      </c>
      <c r="P54" s="2">
        <f ca="1">IF(Flag_Send_Data=1,_xll.DBSW(Val!P54,Val!$C$1,Val!$C$2,Val!$C$3,Val!$C$4,Val!$D54,Val!$C$5,Val!$C$6,Val!$B54,Val!$E54,Val!P$10,Val!$C$7,Val!$C54),"")</f>
        <v>-10416.666666666666</v>
      </c>
      <c r="Q54" s="2">
        <f ca="1">IF(Flag_Send_Data=1,_xll.DBSW(Val!Q54,Val!$C$1,Val!$C$2,Val!$C$3,Val!$C$4,Val!$D54,Val!$C$5,Val!$C$6,Val!$B54,Val!$E54,Val!Q$10,Val!$C$7,Val!$C54),"")</f>
        <v>-10416.666666666666</v>
      </c>
    </row>
    <row r="55" spans="2:17" x14ac:dyDescent="0.25">
      <c r="B55" s="3" t="s">
        <v>238</v>
      </c>
      <c r="C55" t="s">
        <v>13</v>
      </c>
      <c r="D55" t="s">
        <v>199</v>
      </c>
      <c r="E55" t="s">
        <v>128</v>
      </c>
      <c r="F55" s="2">
        <f ca="1">IF(Flag_Send_Data=1,_xll.DBSW(Val!F55,Val!$C$1,Val!$C$2,Val!$C$3,Val!$C$4,Val!$D55,Val!$C$5,Val!$C$6,Val!$B55,Val!$E55,Val!F$10,Val!$C$7,Val!$C55),"")</f>
        <v>-666.66666666666663</v>
      </c>
      <c r="G55" s="2">
        <f ca="1">IF(Flag_Send_Data=1,_xll.DBSW(Val!G55,Val!$C$1,Val!$C$2,Val!$C$3,Val!$C$4,Val!$D55,Val!$C$5,Val!$C$6,Val!$B55,Val!$E55,Val!G$10,Val!$C$7,Val!$C55),"")</f>
        <v>-666.66666666666663</v>
      </c>
      <c r="H55" s="2">
        <f ca="1">IF(Flag_Send_Data=1,_xll.DBSW(Val!H55,Val!$C$1,Val!$C$2,Val!$C$3,Val!$C$4,Val!$D55,Val!$C$5,Val!$C$6,Val!$B55,Val!$E55,Val!H$10,Val!$C$7,Val!$C55),"")</f>
        <v>-666.66666666666663</v>
      </c>
      <c r="I55" s="2">
        <f ca="1">IF(Flag_Send_Data=1,_xll.DBSW(Val!I55,Val!$C$1,Val!$C$2,Val!$C$3,Val!$C$4,Val!$D55,Val!$C$5,Val!$C$6,Val!$B55,Val!$E55,Val!I$10,Val!$C$7,Val!$C55),"")</f>
        <v>-666.66666666666663</v>
      </c>
      <c r="J55" s="2">
        <f ca="1">IF(Flag_Send_Data=1,_xll.DBSW(Val!J55,Val!$C$1,Val!$C$2,Val!$C$3,Val!$C$4,Val!$D55,Val!$C$5,Val!$C$6,Val!$B55,Val!$E55,Val!J$10,Val!$C$7,Val!$C55),"")</f>
        <v>-666.66666666666663</v>
      </c>
      <c r="K55" s="2">
        <f ca="1">IF(Flag_Send_Data=1,_xll.DBSW(Val!K55,Val!$C$1,Val!$C$2,Val!$C$3,Val!$C$4,Val!$D55,Val!$C$5,Val!$C$6,Val!$B55,Val!$E55,Val!K$10,Val!$C$7,Val!$C55),"")</f>
        <v>-666.66666666666663</v>
      </c>
      <c r="L55" s="2">
        <f ca="1">IF(Flag_Send_Data=1,_xll.DBSW(Val!L55,Val!$C$1,Val!$C$2,Val!$C$3,Val!$C$4,Val!$D55,Val!$C$5,Val!$C$6,Val!$B55,Val!$E55,Val!L$10,Val!$C$7,Val!$C55),"")</f>
        <v>-666.66666666666663</v>
      </c>
      <c r="M55" s="2">
        <f ca="1">IF(Flag_Send_Data=1,_xll.DBSW(Val!M55,Val!$C$1,Val!$C$2,Val!$C$3,Val!$C$4,Val!$D55,Val!$C$5,Val!$C$6,Val!$B55,Val!$E55,Val!M$10,Val!$C$7,Val!$C55),"")</f>
        <v>-666.66666666666663</v>
      </c>
      <c r="N55" s="2">
        <f ca="1">IF(Flag_Send_Data=1,_xll.DBSW(Val!N55,Val!$C$1,Val!$C$2,Val!$C$3,Val!$C$4,Val!$D55,Val!$C$5,Val!$C$6,Val!$B55,Val!$E55,Val!N$10,Val!$C$7,Val!$C55),"")</f>
        <v>-666.66666666666663</v>
      </c>
      <c r="O55" s="2">
        <f ca="1">IF(Flag_Send_Data=1,_xll.DBSW(Val!O55,Val!$C$1,Val!$C$2,Val!$C$3,Val!$C$4,Val!$D55,Val!$C$5,Val!$C$6,Val!$B55,Val!$E55,Val!O$10,Val!$C$7,Val!$C55),"")</f>
        <v>-666.66666666666663</v>
      </c>
      <c r="P55" s="2">
        <f ca="1">IF(Flag_Send_Data=1,_xll.DBSW(Val!P55,Val!$C$1,Val!$C$2,Val!$C$3,Val!$C$4,Val!$D55,Val!$C$5,Val!$C$6,Val!$B55,Val!$E55,Val!P$10,Val!$C$7,Val!$C55),"")</f>
        <v>-666.66666666666663</v>
      </c>
      <c r="Q55" s="2">
        <f ca="1">IF(Flag_Send_Data=1,_xll.DBSW(Val!Q55,Val!$C$1,Val!$C$2,Val!$C$3,Val!$C$4,Val!$D55,Val!$C$5,Val!$C$6,Val!$B55,Val!$E55,Val!Q$10,Val!$C$7,Val!$C55),"")</f>
        <v>-666.66666666666663</v>
      </c>
    </row>
    <row r="56" spans="2:17" x14ac:dyDescent="0.25">
      <c r="B56" s="3" t="s">
        <v>238</v>
      </c>
      <c r="C56" t="s">
        <v>62</v>
      </c>
      <c r="D56" t="s">
        <v>179</v>
      </c>
      <c r="E56" t="s">
        <v>128</v>
      </c>
      <c r="F56" s="2">
        <f ca="1">IF(Flag_Send_Data=1,_xll.DBSW(Val!F56,Val!$C$1,Val!$C$2,Val!$C$3,Val!$C$4,Val!$D56,Val!$C$5,Val!$C$6,Val!$B56,Val!$E56,Val!F$10,Val!$C$7,Val!$C56),"")</f>
        <v>-70833.333333333328</v>
      </c>
      <c r="G56" s="2">
        <f ca="1">IF(Flag_Send_Data=1,_xll.DBSW(Val!G56,Val!$C$1,Val!$C$2,Val!$C$3,Val!$C$4,Val!$D56,Val!$C$5,Val!$C$6,Val!$B56,Val!$E56,Val!G$10,Val!$C$7,Val!$C56),"")</f>
        <v>-70833.333333333328</v>
      </c>
      <c r="H56" s="2">
        <f ca="1">IF(Flag_Send_Data=1,_xll.DBSW(Val!H56,Val!$C$1,Val!$C$2,Val!$C$3,Val!$C$4,Val!$D56,Val!$C$5,Val!$C$6,Val!$B56,Val!$E56,Val!H$10,Val!$C$7,Val!$C56),"")</f>
        <v>-70833.333333333328</v>
      </c>
      <c r="I56" s="2">
        <f ca="1">IF(Flag_Send_Data=1,_xll.DBSW(Val!I56,Val!$C$1,Val!$C$2,Val!$C$3,Val!$C$4,Val!$D56,Val!$C$5,Val!$C$6,Val!$B56,Val!$E56,Val!I$10,Val!$C$7,Val!$C56),"")</f>
        <v>-70833.333333333328</v>
      </c>
      <c r="J56" s="2">
        <f ca="1">IF(Flag_Send_Data=1,_xll.DBSW(Val!J56,Val!$C$1,Val!$C$2,Val!$C$3,Val!$C$4,Val!$D56,Val!$C$5,Val!$C$6,Val!$B56,Val!$E56,Val!J$10,Val!$C$7,Val!$C56),"")</f>
        <v>-70833.333333333328</v>
      </c>
      <c r="K56" s="2">
        <f ca="1">IF(Flag_Send_Data=1,_xll.DBSW(Val!K56,Val!$C$1,Val!$C$2,Val!$C$3,Val!$C$4,Val!$D56,Val!$C$5,Val!$C$6,Val!$B56,Val!$E56,Val!K$10,Val!$C$7,Val!$C56),"")</f>
        <v>-70833.333333333328</v>
      </c>
      <c r="L56" s="2">
        <f ca="1">IF(Flag_Send_Data=1,_xll.DBSW(Val!L56,Val!$C$1,Val!$C$2,Val!$C$3,Val!$C$4,Val!$D56,Val!$C$5,Val!$C$6,Val!$B56,Val!$E56,Val!L$10,Val!$C$7,Val!$C56),"")</f>
        <v>-70833.333333333328</v>
      </c>
      <c r="M56" s="2">
        <f ca="1">IF(Flag_Send_Data=1,_xll.DBSW(Val!M56,Val!$C$1,Val!$C$2,Val!$C$3,Val!$C$4,Val!$D56,Val!$C$5,Val!$C$6,Val!$B56,Val!$E56,Val!M$10,Val!$C$7,Val!$C56),"")</f>
        <v>-70833.333333333328</v>
      </c>
      <c r="N56" s="2">
        <f ca="1">IF(Flag_Send_Data=1,_xll.DBSW(Val!N56,Val!$C$1,Val!$C$2,Val!$C$3,Val!$C$4,Val!$D56,Val!$C$5,Val!$C$6,Val!$B56,Val!$E56,Val!N$10,Val!$C$7,Val!$C56),"")</f>
        <v>-70833.333333333328</v>
      </c>
      <c r="O56" s="2">
        <f ca="1">IF(Flag_Send_Data=1,_xll.DBSW(Val!O56,Val!$C$1,Val!$C$2,Val!$C$3,Val!$C$4,Val!$D56,Val!$C$5,Val!$C$6,Val!$B56,Val!$E56,Val!O$10,Val!$C$7,Val!$C56),"")</f>
        <v>-70833.333333333328</v>
      </c>
      <c r="P56" s="2">
        <f ca="1">IF(Flag_Send_Data=1,_xll.DBSW(Val!P56,Val!$C$1,Val!$C$2,Val!$C$3,Val!$C$4,Val!$D56,Val!$C$5,Val!$C$6,Val!$B56,Val!$E56,Val!P$10,Val!$C$7,Val!$C56),"")</f>
        <v>-70833.333333333328</v>
      </c>
      <c r="Q56" s="2">
        <f ca="1">IF(Flag_Send_Data=1,_xll.DBSW(Val!Q56,Val!$C$1,Val!$C$2,Val!$C$3,Val!$C$4,Val!$D56,Val!$C$5,Val!$C$6,Val!$B56,Val!$E56,Val!Q$10,Val!$C$7,Val!$C56),"")</f>
        <v>-70833.333333333328</v>
      </c>
    </row>
    <row r="57" spans="2:17" x14ac:dyDescent="0.25">
      <c r="B57" s="3" t="s">
        <v>239</v>
      </c>
      <c r="C57" t="s">
        <v>11</v>
      </c>
      <c r="D57" t="s">
        <v>199</v>
      </c>
      <c r="E57" t="s">
        <v>128</v>
      </c>
      <c r="F57" s="2">
        <f ca="1">IF(Flag_Send_Data=1,_xll.DBSW(Val!F57,Val!$C$1,Val!$C$2,Val!$C$3,Val!$C$4,Val!$D57,Val!$C$5,Val!$C$6,Val!$B57,Val!$E57,Val!F$10,Val!$C$7,Val!$C57),"")</f>
        <v>-86249.426666666666</v>
      </c>
      <c r="G57" s="2">
        <f ca="1">IF(Flag_Send_Data=1,_xll.DBSW(Val!G57,Val!$C$1,Val!$C$2,Val!$C$3,Val!$C$4,Val!$D57,Val!$C$5,Val!$C$6,Val!$B57,Val!$E57,Val!G$10,Val!$C$7,Val!$C57),"")</f>
        <v>-86249.426666666666</v>
      </c>
      <c r="H57" s="2">
        <f ca="1">IF(Flag_Send_Data=1,_xll.DBSW(Val!H57,Val!$C$1,Val!$C$2,Val!$C$3,Val!$C$4,Val!$D57,Val!$C$5,Val!$C$6,Val!$B57,Val!$E57,Val!H$10,Val!$C$7,Val!$C57),"")</f>
        <v>-86249.426666666666</v>
      </c>
      <c r="I57" s="2">
        <f ca="1">IF(Flag_Send_Data=1,_xll.DBSW(Val!I57,Val!$C$1,Val!$C$2,Val!$C$3,Val!$C$4,Val!$D57,Val!$C$5,Val!$C$6,Val!$B57,Val!$E57,Val!I$10,Val!$C$7,Val!$C57),"")</f>
        <v>-86249.426666666666</v>
      </c>
      <c r="J57" s="2">
        <f ca="1">IF(Flag_Send_Data=1,_xll.DBSW(Val!J57,Val!$C$1,Val!$C$2,Val!$C$3,Val!$C$4,Val!$D57,Val!$C$5,Val!$C$6,Val!$B57,Val!$E57,Val!J$10,Val!$C$7,Val!$C57),"")</f>
        <v>-86249.426666666666</v>
      </c>
      <c r="K57" s="2">
        <f ca="1">IF(Flag_Send_Data=1,_xll.DBSW(Val!K57,Val!$C$1,Val!$C$2,Val!$C$3,Val!$C$4,Val!$D57,Val!$C$5,Val!$C$6,Val!$B57,Val!$E57,Val!K$10,Val!$C$7,Val!$C57),"")</f>
        <v>-86249.426666666666</v>
      </c>
      <c r="L57" s="2">
        <f ca="1">IF(Flag_Send_Data=1,_xll.DBSW(Val!L57,Val!$C$1,Val!$C$2,Val!$C$3,Val!$C$4,Val!$D57,Val!$C$5,Val!$C$6,Val!$B57,Val!$E57,Val!L$10,Val!$C$7,Val!$C57),"")</f>
        <v>-86249.426666666666</v>
      </c>
      <c r="M57" s="2">
        <f ca="1">IF(Flag_Send_Data=1,_xll.DBSW(Val!M57,Val!$C$1,Val!$C$2,Val!$C$3,Val!$C$4,Val!$D57,Val!$C$5,Val!$C$6,Val!$B57,Val!$E57,Val!M$10,Val!$C$7,Val!$C57),"")</f>
        <v>-86249.426666666666</v>
      </c>
      <c r="N57" s="2">
        <f ca="1">IF(Flag_Send_Data=1,_xll.DBSW(Val!N57,Val!$C$1,Val!$C$2,Val!$C$3,Val!$C$4,Val!$D57,Val!$C$5,Val!$C$6,Val!$B57,Val!$E57,Val!N$10,Val!$C$7,Val!$C57),"")</f>
        <v>-86249.426666666666</v>
      </c>
      <c r="O57" s="2">
        <f ca="1">IF(Flag_Send_Data=1,_xll.DBSW(Val!O57,Val!$C$1,Val!$C$2,Val!$C$3,Val!$C$4,Val!$D57,Val!$C$5,Val!$C$6,Val!$B57,Val!$E57,Val!O$10,Val!$C$7,Val!$C57),"")</f>
        <v>-86249.426666666666</v>
      </c>
      <c r="P57" s="2">
        <f ca="1">IF(Flag_Send_Data=1,_xll.DBSW(Val!P57,Val!$C$1,Val!$C$2,Val!$C$3,Val!$C$4,Val!$D57,Val!$C$5,Val!$C$6,Val!$B57,Val!$E57,Val!P$10,Val!$C$7,Val!$C57),"")</f>
        <v>-86249.426666666666</v>
      </c>
      <c r="Q57" s="2">
        <f ca="1">IF(Flag_Send_Data=1,_xll.DBSW(Val!Q57,Val!$C$1,Val!$C$2,Val!$C$3,Val!$C$4,Val!$D57,Val!$C$5,Val!$C$6,Val!$B57,Val!$E57,Val!Q$10,Val!$C$7,Val!$C57),"")</f>
        <v>-86249.426666666666</v>
      </c>
    </row>
    <row r="58" spans="2:17" x14ac:dyDescent="0.25">
      <c r="B58" s="3" t="s">
        <v>239</v>
      </c>
      <c r="C58" t="s">
        <v>12</v>
      </c>
      <c r="D58" t="s">
        <v>199</v>
      </c>
      <c r="E58" t="s">
        <v>128</v>
      </c>
      <c r="F58" s="2">
        <f ca="1">IF(Flag_Send_Data=1,_xll.DBSW(Val!F58,Val!$C$1,Val!$C$2,Val!$C$3,Val!$C$4,Val!$D58,Val!$C$5,Val!$C$6,Val!$B58,Val!$E58,Val!F$10,Val!$C$7,Val!$C58),"")</f>
        <v>-5000</v>
      </c>
      <c r="G58" s="2">
        <f ca="1">IF(Flag_Send_Data=1,_xll.DBSW(Val!G58,Val!$C$1,Val!$C$2,Val!$C$3,Val!$C$4,Val!$D58,Val!$C$5,Val!$C$6,Val!$B58,Val!$E58,Val!G$10,Val!$C$7,Val!$C58),"")</f>
        <v>-5000</v>
      </c>
      <c r="H58" s="2">
        <f ca="1">IF(Flag_Send_Data=1,_xll.DBSW(Val!H58,Val!$C$1,Val!$C$2,Val!$C$3,Val!$C$4,Val!$D58,Val!$C$5,Val!$C$6,Val!$B58,Val!$E58,Val!H$10,Val!$C$7,Val!$C58),"")</f>
        <v>-5000</v>
      </c>
      <c r="I58" s="2">
        <f ca="1">IF(Flag_Send_Data=1,_xll.DBSW(Val!I58,Val!$C$1,Val!$C$2,Val!$C$3,Val!$C$4,Val!$D58,Val!$C$5,Val!$C$6,Val!$B58,Val!$E58,Val!I$10,Val!$C$7,Val!$C58),"")</f>
        <v>-5000</v>
      </c>
      <c r="J58" s="2">
        <f ca="1">IF(Flag_Send_Data=1,_xll.DBSW(Val!J58,Val!$C$1,Val!$C$2,Val!$C$3,Val!$C$4,Val!$D58,Val!$C$5,Val!$C$6,Val!$B58,Val!$E58,Val!J$10,Val!$C$7,Val!$C58),"")</f>
        <v>-5000</v>
      </c>
      <c r="K58" s="2">
        <f ca="1">IF(Flag_Send_Data=1,_xll.DBSW(Val!K58,Val!$C$1,Val!$C$2,Val!$C$3,Val!$C$4,Val!$D58,Val!$C$5,Val!$C$6,Val!$B58,Val!$E58,Val!K$10,Val!$C$7,Val!$C58),"")</f>
        <v>-5000</v>
      </c>
      <c r="L58" s="2">
        <f ca="1">IF(Flag_Send_Data=1,_xll.DBSW(Val!L58,Val!$C$1,Val!$C$2,Val!$C$3,Val!$C$4,Val!$D58,Val!$C$5,Val!$C$6,Val!$B58,Val!$E58,Val!L$10,Val!$C$7,Val!$C58),"")</f>
        <v>-5000</v>
      </c>
      <c r="M58" s="2">
        <f ca="1">IF(Flag_Send_Data=1,_xll.DBSW(Val!M58,Val!$C$1,Val!$C$2,Val!$C$3,Val!$C$4,Val!$D58,Val!$C$5,Val!$C$6,Val!$B58,Val!$E58,Val!M$10,Val!$C$7,Val!$C58),"")</f>
        <v>-5000</v>
      </c>
      <c r="N58" s="2">
        <f ca="1">IF(Flag_Send_Data=1,_xll.DBSW(Val!N58,Val!$C$1,Val!$C$2,Val!$C$3,Val!$C$4,Val!$D58,Val!$C$5,Val!$C$6,Val!$B58,Val!$E58,Val!N$10,Val!$C$7,Val!$C58),"")</f>
        <v>-5000</v>
      </c>
      <c r="O58" s="2">
        <f ca="1">IF(Flag_Send_Data=1,_xll.DBSW(Val!O58,Val!$C$1,Val!$C$2,Val!$C$3,Val!$C$4,Val!$D58,Val!$C$5,Val!$C$6,Val!$B58,Val!$E58,Val!O$10,Val!$C$7,Val!$C58),"")</f>
        <v>-5000</v>
      </c>
      <c r="P58" s="2">
        <f ca="1">IF(Flag_Send_Data=1,_xll.DBSW(Val!P58,Val!$C$1,Val!$C$2,Val!$C$3,Val!$C$4,Val!$D58,Val!$C$5,Val!$C$6,Val!$B58,Val!$E58,Val!P$10,Val!$C$7,Val!$C58),"")</f>
        <v>-5000</v>
      </c>
      <c r="Q58" s="2">
        <f ca="1">IF(Flag_Send_Data=1,_xll.DBSW(Val!Q58,Val!$C$1,Val!$C$2,Val!$C$3,Val!$C$4,Val!$D58,Val!$C$5,Val!$C$6,Val!$B58,Val!$E58,Val!Q$10,Val!$C$7,Val!$C58),"")</f>
        <v>-5000</v>
      </c>
    </row>
    <row r="59" spans="2:17" x14ac:dyDescent="0.25">
      <c r="B59" s="3" t="s">
        <v>239</v>
      </c>
      <c r="C59" t="s">
        <v>16</v>
      </c>
      <c r="D59" t="s">
        <v>199</v>
      </c>
      <c r="E59" t="s">
        <v>128</v>
      </c>
      <c r="F59" s="2">
        <f ca="1">IF(Flag_Send_Data=1,_xll.DBSW(Val!F59,Val!$C$1,Val!$C$2,Val!$C$3,Val!$C$4,Val!$D59,Val!$C$5,Val!$C$6,Val!$B59,Val!$E59,Val!F$10,Val!$C$7,Val!$C59),"")</f>
        <v>-20833.333333333332</v>
      </c>
      <c r="G59" s="2">
        <f ca="1">IF(Flag_Send_Data=1,_xll.DBSW(Val!G59,Val!$C$1,Val!$C$2,Val!$C$3,Val!$C$4,Val!$D59,Val!$C$5,Val!$C$6,Val!$B59,Val!$E59,Val!G$10,Val!$C$7,Val!$C59),"")</f>
        <v>-20833.333333333332</v>
      </c>
      <c r="H59" s="2">
        <f ca="1">IF(Flag_Send_Data=1,_xll.DBSW(Val!H59,Val!$C$1,Val!$C$2,Val!$C$3,Val!$C$4,Val!$D59,Val!$C$5,Val!$C$6,Val!$B59,Val!$E59,Val!H$10,Val!$C$7,Val!$C59),"")</f>
        <v>-20833.333333333332</v>
      </c>
      <c r="I59" s="2">
        <f ca="1">IF(Flag_Send_Data=1,_xll.DBSW(Val!I59,Val!$C$1,Val!$C$2,Val!$C$3,Val!$C$4,Val!$D59,Val!$C$5,Val!$C$6,Val!$B59,Val!$E59,Val!I$10,Val!$C$7,Val!$C59),"")</f>
        <v>-20833.333333333332</v>
      </c>
      <c r="J59" s="2">
        <f ca="1">IF(Flag_Send_Data=1,_xll.DBSW(Val!J59,Val!$C$1,Val!$C$2,Val!$C$3,Val!$C$4,Val!$D59,Val!$C$5,Val!$C$6,Val!$B59,Val!$E59,Val!J$10,Val!$C$7,Val!$C59),"")</f>
        <v>-20833.333333333332</v>
      </c>
      <c r="K59" s="2">
        <f ca="1">IF(Flag_Send_Data=1,_xll.DBSW(Val!K59,Val!$C$1,Val!$C$2,Val!$C$3,Val!$C$4,Val!$D59,Val!$C$5,Val!$C$6,Val!$B59,Val!$E59,Val!K$10,Val!$C$7,Val!$C59),"")</f>
        <v>-20833.333333333332</v>
      </c>
      <c r="L59" s="2">
        <f ca="1">IF(Flag_Send_Data=1,_xll.DBSW(Val!L59,Val!$C$1,Val!$C$2,Val!$C$3,Val!$C$4,Val!$D59,Val!$C$5,Val!$C$6,Val!$B59,Val!$E59,Val!L$10,Val!$C$7,Val!$C59),"")</f>
        <v>-20833.333333333332</v>
      </c>
      <c r="M59" s="2">
        <f ca="1">IF(Flag_Send_Data=1,_xll.DBSW(Val!M59,Val!$C$1,Val!$C$2,Val!$C$3,Val!$C$4,Val!$D59,Val!$C$5,Val!$C$6,Val!$B59,Val!$E59,Val!M$10,Val!$C$7,Val!$C59),"")</f>
        <v>-20833.333333333332</v>
      </c>
      <c r="N59" s="2">
        <f ca="1">IF(Flag_Send_Data=1,_xll.DBSW(Val!N59,Val!$C$1,Val!$C$2,Val!$C$3,Val!$C$4,Val!$D59,Val!$C$5,Val!$C$6,Val!$B59,Val!$E59,Val!N$10,Val!$C$7,Val!$C59),"")</f>
        <v>-20833.333333333332</v>
      </c>
      <c r="O59" s="2">
        <f ca="1">IF(Flag_Send_Data=1,_xll.DBSW(Val!O59,Val!$C$1,Val!$C$2,Val!$C$3,Val!$C$4,Val!$D59,Val!$C$5,Val!$C$6,Val!$B59,Val!$E59,Val!O$10,Val!$C$7,Val!$C59),"")</f>
        <v>-20833.333333333332</v>
      </c>
      <c r="P59" s="2">
        <f ca="1">IF(Flag_Send_Data=1,_xll.DBSW(Val!P59,Val!$C$1,Val!$C$2,Val!$C$3,Val!$C$4,Val!$D59,Val!$C$5,Val!$C$6,Val!$B59,Val!$E59,Val!P$10,Val!$C$7,Val!$C59),"")</f>
        <v>-20833.333333333332</v>
      </c>
      <c r="Q59" s="2">
        <f ca="1">IF(Flag_Send_Data=1,_xll.DBSW(Val!Q59,Val!$C$1,Val!$C$2,Val!$C$3,Val!$C$4,Val!$D59,Val!$C$5,Val!$C$6,Val!$B59,Val!$E59,Val!Q$10,Val!$C$7,Val!$C59),"")</f>
        <v>-20833.333333333332</v>
      </c>
    </row>
    <row r="60" spans="2:17" x14ac:dyDescent="0.25">
      <c r="B60" s="3" t="s">
        <v>239</v>
      </c>
      <c r="C60" t="s">
        <v>13</v>
      </c>
      <c r="D60" t="s">
        <v>199</v>
      </c>
      <c r="E60" t="s">
        <v>128</v>
      </c>
      <c r="F60" s="2">
        <f ca="1">IF(Flag_Send_Data=1,_xll.DBSW(Val!F60,Val!$C$1,Val!$C$2,Val!$C$3,Val!$C$4,Val!$D60,Val!$C$5,Val!$C$6,Val!$B60,Val!$E60,Val!F$10,Val!$C$7,Val!$C60),"")</f>
        <v>-83.333333333333329</v>
      </c>
      <c r="G60" s="2">
        <f ca="1">IF(Flag_Send_Data=1,_xll.DBSW(Val!G60,Val!$C$1,Val!$C$2,Val!$C$3,Val!$C$4,Val!$D60,Val!$C$5,Val!$C$6,Val!$B60,Val!$E60,Val!G$10,Val!$C$7,Val!$C60),"")</f>
        <v>-83.333333333333329</v>
      </c>
      <c r="H60" s="2">
        <f ca="1">IF(Flag_Send_Data=1,_xll.DBSW(Val!H60,Val!$C$1,Val!$C$2,Val!$C$3,Val!$C$4,Val!$D60,Val!$C$5,Val!$C$6,Val!$B60,Val!$E60,Val!H$10,Val!$C$7,Val!$C60),"")</f>
        <v>-83.333333333333329</v>
      </c>
      <c r="I60" s="2">
        <f ca="1">IF(Flag_Send_Data=1,_xll.DBSW(Val!I60,Val!$C$1,Val!$C$2,Val!$C$3,Val!$C$4,Val!$D60,Val!$C$5,Val!$C$6,Val!$B60,Val!$E60,Val!I$10,Val!$C$7,Val!$C60),"")</f>
        <v>-83.333333333333329</v>
      </c>
      <c r="J60" s="2">
        <f ca="1">IF(Flag_Send_Data=1,_xll.DBSW(Val!J60,Val!$C$1,Val!$C$2,Val!$C$3,Val!$C$4,Val!$D60,Val!$C$5,Val!$C$6,Val!$B60,Val!$E60,Val!J$10,Val!$C$7,Val!$C60),"")</f>
        <v>-83.333333333333329</v>
      </c>
      <c r="K60" s="2">
        <f ca="1">IF(Flag_Send_Data=1,_xll.DBSW(Val!K60,Val!$C$1,Val!$C$2,Val!$C$3,Val!$C$4,Val!$D60,Val!$C$5,Val!$C$6,Val!$B60,Val!$E60,Val!K$10,Val!$C$7,Val!$C60),"")</f>
        <v>-83.333333333333329</v>
      </c>
      <c r="L60" s="2">
        <f ca="1">IF(Flag_Send_Data=1,_xll.DBSW(Val!L60,Val!$C$1,Val!$C$2,Val!$C$3,Val!$C$4,Val!$D60,Val!$C$5,Val!$C$6,Val!$B60,Val!$E60,Val!L$10,Val!$C$7,Val!$C60),"")</f>
        <v>-83.333333333333329</v>
      </c>
      <c r="M60" s="2">
        <f ca="1">IF(Flag_Send_Data=1,_xll.DBSW(Val!M60,Val!$C$1,Val!$C$2,Val!$C$3,Val!$C$4,Val!$D60,Val!$C$5,Val!$C$6,Val!$B60,Val!$E60,Val!M$10,Val!$C$7,Val!$C60),"")</f>
        <v>-83.333333333333329</v>
      </c>
      <c r="N60" s="2">
        <f ca="1">IF(Flag_Send_Data=1,_xll.DBSW(Val!N60,Val!$C$1,Val!$C$2,Val!$C$3,Val!$C$4,Val!$D60,Val!$C$5,Val!$C$6,Val!$B60,Val!$E60,Val!N$10,Val!$C$7,Val!$C60),"")</f>
        <v>-83.333333333333329</v>
      </c>
      <c r="O60" s="2">
        <f ca="1">IF(Flag_Send_Data=1,_xll.DBSW(Val!O60,Val!$C$1,Val!$C$2,Val!$C$3,Val!$C$4,Val!$D60,Val!$C$5,Val!$C$6,Val!$B60,Val!$E60,Val!O$10,Val!$C$7,Val!$C60),"")</f>
        <v>-83.333333333333329</v>
      </c>
      <c r="P60" s="2">
        <f ca="1">IF(Flag_Send_Data=1,_xll.DBSW(Val!P60,Val!$C$1,Val!$C$2,Val!$C$3,Val!$C$4,Val!$D60,Val!$C$5,Val!$C$6,Val!$B60,Val!$E60,Val!P$10,Val!$C$7,Val!$C60),"")</f>
        <v>-83.333333333333329</v>
      </c>
      <c r="Q60" s="2">
        <f ca="1">IF(Flag_Send_Data=1,_xll.DBSW(Val!Q60,Val!$C$1,Val!$C$2,Val!$C$3,Val!$C$4,Val!$D60,Val!$C$5,Val!$C$6,Val!$B60,Val!$E60,Val!Q$10,Val!$C$7,Val!$C60),"")</f>
        <v>-83.333333333333329</v>
      </c>
    </row>
    <row r="61" spans="2:17" x14ac:dyDescent="0.25">
      <c r="B61" s="3" t="s">
        <v>240</v>
      </c>
      <c r="C61" t="s">
        <v>81</v>
      </c>
      <c r="D61" t="s">
        <v>199</v>
      </c>
      <c r="E61" t="s">
        <v>128</v>
      </c>
      <c r="F61" s="2">
        <f ca="1">IF(Flag_Send_Data=1,_xll.DBSW(Val!F61,Val!$C$1,Val!$C$2,Val!$C$3,Val!$C$4,Val!$D61,Val!$C$5,Val!$C$6,Val!$B61,Val!$E61,Val!F$10,Val!$C$7,Val!$C61),"")</f>
        <v>-666.66666666666663</v>
      </c>
      <c r="G61" s="2">
        <f ca="1">IF(Flag_Send_Data=1,_xll.DBSW(Val!G61,Val!$C$1,Val!$C$2,Val!$C$3,Val!$C$4,Val!$D61,Val!$C$5,Val!$C$6,Val!$B61,Val!$E61,Val!G$10,Val!$C$7,Val!$C61),"")</f>
        <v>-666.66666666666663</v>
      </c>
      <c r="H61" s="2">
        <f ca="1">IF(Flag_Send_Data=1,_xll.DBSW(Val!H61,Val!$C$1,Val!$C$2,Val!$C$3,Val!$C$4,Val!$D61,Val!$C$5,Val!$C$6,Val!$B61,Val!$E61,Val!H$10,Val!$C$7,Val!$C61),"")</f>
        <v>-666.66666666666663</v>
      </c>
      <c r="I61" s="2">
        <f ca="1">IF(Flag_Send_Data=1,_xll.DBSW(Val!I61,Val!$C$1,Val!$C$2,Val!$C$3,Val!$C$4,Val!$D61,Val!$C$5,Val!$C$6,Val!$B61,Val!$E61,Val!I$10,Val!$C$7,Val!$C61),"")</f>
        <v>-666.66666666666663</v>
      </c>
      <c r="J61" s="2">
        <f ca="1">IF(Flag_Send_Data=1,_xll.DBSW(Val!J61,Val!$C$1,Val!$C$2,Val!$C$3,Val!$C$4,Val!$D61,Val!$C$5,Val!$C$6,Val!$B61,Val!$E61,Val!J$10,Val!$C$7,Val!$C61),"")</f>
        <v>-666.66666666666663</v>
      </c>
      <c r="K61" s="2">
        <f ca="1">IF(Flag_Send_Data=1,_xll.DBSW(Val!K61,Val!$C$1,Val!$C$2,Val!$C$3,Val!$C$4,Val!$D61,Val!$C$5,Val!$C$6,Val!$B61,Val!$E61,Val!K$10,Val!$C$7,Val!$C61),"")</f>
        <v>-666.66666666666663</v>
      </c>
      <c r="L61" s="2">
        <f ca="1">IF(Flag_Send_Data=1,_xll.DBSW(Val!L61,Val!$C$1,Val!$C$2,Val!$C$3,Val!$C$4,Val!$D61,Val!$C$5,Val!$C$6,Val!$B61,Val!$E61,Val!L$10,Val!$C$7,Val!$C61),"")</f>
        <v>-666.66666666666663</v>
      </c>
      <c r="M61" s="2">
        <f ca="1">IF(Flag_Send_Data=1,_xll.DBSW(Val!M61,Val!$C$1,Val!$C$2,Val!$C$3,Val!$C$4,Val!$D61,Val!$C$5,Val!$C$6,Val!$B61,Val!$E61,Val!M$10,Val!$C$7,Val!$C61),"")</f>
        <v>-666.66666666666663</v>
      </c>
      <c r="N61" s="2">
        <f ca="1">IF(Flag_Send_Data=1,_xll.DBSW(Val!N61,Val!$C$1,Val!$C$2,Val!$C$3,Val!$C$4,Val!$D61,Val!$C$5,Val!$C$6,Val!$B61,Val!$E61,Val!N$10,Val!$C$7,Val!$C61),"")</f>
        <v>-666.66666666666663</v>
      </c>
      <c r="O61" s="2">
        <f ca="1">IF(Flag_Send_Data=1,_xll.DBSW(Val!O61,Val!$C$1,Val!$C$2,Val!$C$3,Val!$C$4,Val!$D61,Val!$C$5,Val!$C$6,Val!$B61,Val!$E61,Val!O$10,Val!$C$7,Val!$C61),"")</f>
        <v>-666.66666666666663</v>
      </c>
      <c r="P61" s="2">
        <f ca="1">IF(Flag_Send_Data=1,_xll.DBSW(Val!P61,Val!$C$1,Val!$C$2,Val!$C$3,Val!$C$4,Val!$D61,Val!$C$5,Val!$C$6,Val!$B61,Val!$E61,Val!P$10,Val!$C$7,Val!$C61),"")</f>
        <v>-666.66666666666663</v>
      </c>
      <c r="Q61" s="2">
        <f ca="1">IF(Flag_Send_Data=1,_xll.DBSW(Val!Q61,Val!$C$1,Val!$C$2,Val!$C$3,Val!$C$4,Val!$D61,Val!$C$5,Val!$C$6,Val!$B61,Val!$E61,Val!Q$10,Val!$C$7,Val!$C61),"")</f>
        <v>-666.66666666666663</v>
      </c>
    </row>
    <row r="62" spans="2:17" x14ac:dyDescent="0.25">
      <c r="B62" s="3" t="s">
        <v>240</v>
      </c>
      <c r="C62" t="s">
        <v>18</v>
      </c>
      <c r="D62" t="s">
        <v>199</v>
      </c>
      <c r="E62" t="s">
        <v>128</v>
      </c>
      <c r="F62" s="2">
        <f ca="1">IF(Flag_Send_Data=1,_xll.DBSW(Val!F62,Val!$C$1,Val!$C$2,Val!$C$3,Val!$C$4,Val!$D62,Val!$C$5,Val!$C$6,Val!$B62,Val!$E62,Val!F$10,Val!$C$7,Val!$C62),"")</f>
        <v>-36568.165000000001</v>
      </c>
      <c r="G62" s="2">
        <f ca="1">IF(Flag_Send_Data=1,_xll.DBSW(Val!G62,Val!$C$1,Val!$C$2,Val!$C$3,Val!$C$4,Val!$D62,Val!$C$5,Val!$C$6,Val!$B62,Val!$E62,Val!G$10,Val!$C$7,Val!$C62),"")</f>
        <v>-36568.165000000001</v>
      </c>
      <c r="H62" s="2">
        <f ca="1">IF(Flag_Send_Data=1,_xll.DBSW(Val!H62,Val!$C$1,Val!$C$2,Val!$C$3,Val!$C$4,Val!$D62,Val!$C$5,Val!$C$6,Val!$B62,Val!$E62,Val!H$10,Val!$C$7,Val!$C62),"")</f>
        <v>-36568.165000000001</v>
      </c>
      <c r="I62" s="2">
        <f ca="1">IF(Flag_Send_Data=1,_xll.DBSW(Val!I62,Val!$C$1,Val!$C$2,Val!$C$3,Val!$C$4,Val!$D62,Val!$C$5,Val!$C$6,Val!$B62,Val!$E62,Val!I$10,Val!$C$7,Val!$C62),"")</f>
        <v>-36568.165000000001</v>
      </c>
      <c r="J62" s="2">
        <f ca="1">IF(Flag_Send_Data=1,_xll.DBSW(Val!J62,Val!$C$1,Val!$C$2,Val!$C$3,Val!$C$4,Val!$D62,Val!$C$5,Val!$C$6,Val!$B62,Val!$E62,Val!J$10,Val!$C$7,Val!$C62),"")</f>
        <v>-36568.165000000001</v>
      </c>
      <c r="K62" s="2">
        <f ca="1">IF(Flag_Send_Data=1,_xll.DBSW(Val!K62,Val!$C$1,Val!$C$2,Val!$C$3,Val!$C$4,Val!$D62,Val!$C$5,Val!$C$6,Val!$B62,Val!$E62,Val!K$10,Val!$C$7,Val!$C62),"")</f>
        <v>-36568.165000000001</v>
      </c>
      <c r="L62" s="2">
        <f ca="1">IF(Flag_Send_Data=1,_xll.DBSW(Val!L62,Val!$C$1,Val!$C$2,Val!$C$3,Val!$C$4,Val!$D62,Val!$C$5,Val!$C$6,Val!$B62,Val!$E62,Val!L$10,Val!$C$7,Val!$C62),"")</f>
        <v>-36568.165000000001</v>
      </c>
      <c r="M62" s="2">
        <f ca="1">IF(Flag_Send_Data=1,_xll.DBSW(Val!M62,Val!$C$1,Val!$C$2,Val!$C$3,Val!$C$4,Val!$D62,Val!$C$5,Val!$C$6,Val!$B62,Val!$E62,Val!M$10,Val!$C$7,Val!$C62),"")</f>
        <v>-36568.165000000001</v>
      </c>
      <c r="N62" s="2">
        <f ca="1">IF(Flag_Send_Data=1,_xll.DBSW(Val!N62,Val!$C$1,Val!$C$2,Val!$C$3,Val!$C$4,Val!$D62,Val!$C$5,Val!$C$6,Val!$B62,Val!$E62,Val!N$10,Val!$C$7,Val!$C62),"")</f>
        <v>-36568.165000000001</v>
      </c>
      <c r="O62" s="2">
        <f ca="1">IF(Flag_Send_Data=1,_xll.DBSW(Val!O62,Val!$C$1,Val!$C$2,Val!$C$3,Val!$C$4,Val!$D62,Val!$C$5,Val!$C$6,Val!$B62,Val!$E62,Val!O$10,Val!$C$7,Val!$C62),"")</f>
        <v>-36568.165000000001</v>
      </c>
      <c r="P62" s="2">
        <f ca="1">IF(Flag_Send_Data=1,_xll.DBSW(Val!P62,Val!$C$1,Val!$C$2,Val!$C$3,Val!$C$4,Val!$D62,Val!$C$5,Val!$C$6,Val!$B62,Val!$E62,Val!P$10,Val!$C$7,Val!$C62),"")</f>
        <v>-36568.165000000001</v>
      </c>
      <c r="Q62" s="2">
        <f ca="1">IF(Flag_Send_Data=1,_xll.DBSW(Val!Q62,Val!$C$1,Val!$C$2,Val!$C$3,Val!$C$4,Val!$D62,Val!$C$5,Val!$C$6,Val!$B62,Val!$E62,Val!Q$10,Val!$C$7,Val!$C62),"")</f>
        <v>-36568.165000000001</v>
      </c>
    </row>
    <row r="63" spans="2:17" x14ac:dyDescent="0.25">
      <c r="B63" s="3" t="s">
        <v>240</v>
      </c>
      <c r="C63" t="s">
        <v>19</v>
      </c>
      <c r="D63" t="s">
        <v>199</v>
      </c>
      <c r="E63" t="s">
        <v>128</v>
      </c>
      <c r="F63" s="2">
        <f ca="1">IF(Flag_Send_Data=1,_xll.DBSW(Val!F63,Val!$C$1,Val!$C$2,Val!$C$3,Val!$C$4,Val!$D63,Val!$C$5,Val!$C$6,Val!$B63,Val!$E63,Val!F$10,Val!$C$7,Val!$C63),"")</f>
        <v>-583.33333333333337</v>
      </c>
      <c r="G63" s="2">
        <f ca="1">IF(Flag_Send_Data=1,_xll.DBSW(Val!G63,Val!$C$1,Val!$C$2,Val!$C$3,Val!$C$4,Val!$D63,Val!$C$5,Val!$C$6,Val!$B63,Val!$E63,Val!G$10,Val!$C$7,Val!$C63),"")</f>
        <v>-583.33333333333337</v>
      </c>
      <c r="H63" s="2">
        <f ca="1">IF(Flag_Send_Data=1,_xll.DBSW(Val!H63,Val!$C$1,Val!$C$2,Val!$C$3,Val!$C$4,Val!$D63,Val!$C$5,Val!$C$6,Val!$B63,Val!$E63,Val!H$10,Val!$C$7,Val!$C63),"")</f>
        <v>-583.33333333333337</v>
      </c>
      <c r="I63" s="2">
        <f ca="1">IF(Flag_Send_Data=1,_xll.DBSW(Val!I63,Val!$C$1,Val!$C$2,Val!$C$3,Val!$C$4,Val!$D63,Val!$C$5,Val!$C$6,Val!$B63,Val!$E63,Val!I$10,Val!$C$7,Val!$C63),"")</f>
        <v>-583.33333333333337</v>
      </c>
      <c r="J63" s="2">
        <f ca="1">IF(Flag_Send_Data=1,_xll.DBSW(Val!J63,Val!$C$1,Val!$C$2,Val!$C$3,Val!$C$4,Val!$D63,Val!$C$5,Val!$C$6,Val!$B63,Val!$E63,Val!J$10,Val!$C$7,Val!$C63),"")</f>
        <v>-583.33333333333337</v>
      </c>
      <c r="K63" s="2">
        <f ca="1">IF(Flag_Send_Data=1,_xll.DBSW(Val!K63,Val!$C$1,Val!$C$2,Val!$C$3,Val!$C$4,Val!$D63,Val!$C$5,Val!$C$6,Val!$B63,Val!$E63,Val!K$10,Val!$C$7,Val!$C63),"")</f>
        <v>-583.33333333333337</v>
      </c>
      <c r="L63" s="2">
        <f ca="1">IF(Flag_Send_Data=1,_xll.DBSW(Val!L63,Val!$C$1,Val!$C$2,Val!$C$3,Val!$C$4,Val!$D63,Val!$C$5,Val!$C$6,Val!$B63,Val!$E63,Val!L$10,Val!$C$7,Val!$C63),"")</f>
        <v>-583.33333333333337</v>
      </c>
      <c r="M63" s="2">
        <f ca="1">IF(Flag_Send_Data=1,_xll.DBSW(Val!M63,Val!$C$1,Val!$C$2,Val!$C$3,Val!$C$4,Val!$D63,Val!$C$5,Val!$C$6,Val!$B63,Val!$E63,Val!M$10,Val!$C$7,Val!$C63),"")</f>
        <v>-583.33333333333337</v>
      </c>
      <c r="N63" s="2">
        <f ca="1">IF(Flag_Send_Data=1,_xll.DBSW(Val!N63,Val!$C$1,Val!$C$2,Val!$C$3,Val!$C$4,Val!$D63,Val!$C$5,Val!$C$6,Val!$B63,Val!$E63,Val!N$10,Val!$C$7,Val!$C63),"")</f>
        <v>-583.33333333333337</v>
      </c>
      <c r="O63" s="2">
        <f ca="1">IF(Flag_Send_Data=1,_xll.DBSW(Val!O63,Val!$C$1,Val!$C$2,Val!$C$3,Val!$C$4,Val!$D63,Val!$C$5,Val!$C$6,Val!$B63,Val!$E63,Val!O$10,Val!$C$7,Val!$C63),"")</f>
        <v>-583.33333333333337</v>
      </c>
      <c r="P63" s="2">
        <f ca="1">IF(Flag_Send_Data=1,_xll.DBSW(Val!P63,Val!$C$1,Val!$C$2,Val!$C$3,Val!$C$4,Val!$D63,Val!$C$5,Val!$C$6,Val!$B63,Val!$E63,Val!P$10,Val!$C$7,Val!$C63),"")</f>
        <v>-583.33333333333337</v>
      </c>
      <c r="Q63" s="2">
        <f ca="1">IF(Flag_Send_Data=1,_xll.DBSW(Val!Q63,Val!$C$1,Val!$C$2,Val!$C$3,Val!$C$4,Val!$D63,Val!$C$5,Val!$C$6,Val!$B63,Val!$E63,Val!Q$10,Val!$C$7,Val!$C63),"")</f>
        <v>-583.33333333333337</v>
      </c>
    </row>
    <row r="64" spans="2:17" x14ac:dyDescent="0.25">
      <c r="B64" s="3" t="s">
        <v>240</v>
      </c>
      <c r="C64" t="s">
        <v>21</v>
      </c>
      <c r="D64" t="s">
        <v>199</v>
      </c>
      <c r="E64" t="s">
        <v>128</v>
      </c>
      <c r="F64" s="2">
        <f ca="1">IF(Flag_Send_Data=1,_xll.DBSW(Val!F64,Val!$C$1,Val!$C$2,Val!$C$3,Val!$C$4,Val!$D64,Val!$C$5,Val!$C$6,Val!$B64,Val!$E64,Val!F$10,Val!$C$7,Val!$C64),"")</f>
        <v>-250</v>
      </c>
      <c r="G64" s="2">
        <f ca="1">IF(Flag_Send_Data=1,_xll.DBSW(Val!G64,Val!$C$1,Val!$C$2,Val!$C$3,Val!$C$4,Val!$D64,Val!$C$5,Val!$C$6,Val!$B64,Val!$E64,Val!G$10,Val!$C$7,Val!$C64),"")</f>
        <v>-250</v>
      </c>
      <c r="H64" s="2">
        <f ca="1">IF(Flag_Send_Data=1,_xll.DBSW(Val!H64,Val!$C$1,Val!$C$2,Val!$C$3,Val!$C$4,Val!$D64,Val!$C$5,Val!$C$6,Val!$B64,Val!$E64,Val!H$10,Val!$C$7,Val!$C64),"")</f>
        <v>-250</v>
      </c>
      <c r="I64" s="2">
        <f ca="1">IF(Flag_Send_Data=1,_xll.DBSW(Val!I64,Val!$C$1,Val!$C$2,Val!$C$3,Val!$C$4,Val!$D64,Val!$C$5,Val!$C$6,Val!$B64,Val!$E64,Val!I$10,Val!$C$7,Val!$C64),"")</f>
        <v>-250</v>
      </c>
      <c r="J64" s="2">
        <f ca="1">IF(Flag_Send_Data=1,_xll.DBSW(Val!J64,Val!$C$1,Val!$C$2,Val!$C$3,Val!$C$4,Val!$D64,Val!$C$5,Val!$C$6,Val!$B64,Val!$E64,Val!J$10,Val!$C$7,Val!$C64),"")</f>
        <v>-250</v>
      </c>
      <c r="K64" s="2">
        <f ca="1">IF(Flag_Send_Data=1,_xll.DBSW(Val!K64,Val!$C$1,Val!$C$2,Val!$C$3,Val!$C$4,Val!$D64,Val!$C$5,Val!$C$6,Val!$B64,Val!$E64,Val!K$10,Val!$C$7,Val!$C64),"")</f>
        <v>-250</v>
      </c>
      <c r="L64" s="2">
        <f ca="1">IF(Flag_Send_Data=1,_xll.DBSW(Val!L64,Val!$C$1,Val!$C$2,Val!$C$3,Val!$C$4,Val!$D64,Val!$C$5,Val!$C$6,Val!$B64,Val!$E64,Val!L$10,Val!$C$7,Val!$C64),"")</f>
        <v>-250</v>
      </c>
      <c r="M64" s="2">
        <f ca="1">IF(Flag_Send_Data=1,_xll.DBSW(Val!M64,Val!$C$1,Val!$C$2,Val!$C$3,Val!$C$4,Val!$D64,Val!$C$5,Val!$C$6,Val!$B64,Val!$E64,Val!M$10,Val!$C$7,Val!$C64),"")</f>
        <v>-250</v>
      </c>
      <c r="N64" s="2">
        <f ca="1">IF(Flag_Send_Data=1,_xll.DBSW(Val!N64,Val!$C$1,Val!$C$2,Val!$C$3,Val!$C$4,Val!$D64,Val!$C$5,Val!$C$6,Val!$B64,Val!$E64,Val!N$10,Val!$C$7,Val!$C64),"")</f>
        <v>-250</v>
      </c>
      <c r="O64" s="2">
        <f ca="1">IF(Flag_Send_Data=1,_xll.DBSW(Val!O64,Val!$C$1,Val!$C$2,Val!$C$3,Val!$C$4,Val!$D64,Val!$C$5,Val!$C$6,Val!$B64,Val!$E64,Val!O$10,Val!$C$7,Val!$C64),"")</f>
        <v>-250</v>
      </c>
      <c r="P64" s="2">
        <f ca="1">IF(Flag_Send_Data=1,_xll.DBSW(Val!P64,Val!$C$1,Val!$C$2,Val!$C$3,Val!$C$4,Val!$D64,Val!$C$5,Val!$C$6,Val!$B64,Val!$E64,Val!P$10,Val!$C$7,Val!$C64),"")</f>
        <v>-250</v>
      </c>
      <c r="Q64" s="2">
        <f ca="1">IF(Flag_Send_Data=1,_xll.DBSW(Val!Q64,Val!$C$1,Val!$C$2,Val!$C$3,Val!$C$4,Val!$D64,Val!$C$5,Val!$C$6,Val!$B64,Val!$E64,Val!Q$10,Val!$C$7,Val!$C64),"")</f>
        <v>-250</v>
      </c>
    </row>
    <row r="65" spans="2:17" x14ac:dyDescent="0.25">
      <c r="B65" s="3" t="s">
        <v>240</v>
      </c>
      <c r="C65" t="s">
        <v>62</v>
      </c>
      <c r="D65" t="s">
        <v>206</v>
      </c>
      <c r="E65" t="s">
        <v>128</v>
      </c>
      <c r="F65" s="2">
        <f ca="1">IF(Flag_Send_Data=1,_xll.DBSW(Val!F65,Val!$C$1,Val!$C$2,Val!$C$3,Val!$C$4,Val!$D65,Val!$C$5,Val!$C$6,Val!$B65,Val!$E65,Val!F$10,Val!$C$7,Val!$C65),"")</f>
        <v>-20000</v>
      </c>
      <c r="G65" s="2">
        <f ca="1">IF(Flag_Send_Data=1,_xll.DBSW(Val!G65,Val!$C$1,Val!$C$2,Val!$C$3,Val!$C$4,Val!$D65,Val!$C$5,Val!$C$6,Val!$B65,Val!$E65,Val!G$10,Val!$C$7,Val!$C65),"")</f>
        <v>-20000</v>
      </c>
      <c r="H65" s="2">
        <f ca="1">IF(Flag_Send_Data=1,_xll.DBSW(Val!H65,Val!$C$1,Val!$C$2,Val!$C$3,Val!$C$4,Val!$D65,Val!$C$5,Val!$C$6,Val!$B65,Val!$E65,Val!H$10,Val!$C$7,Val!$C65),"")</f>
        <v>-20000</v>
      </c>
      <c r="I65" s="2">
        <f ca="1">IF(Flag_Send_Data=1,_xll.DBSW(Val!I65,Val!$C$1,Val!$C$2,Val!$C$3,Val!$C$4,Val!$D65,Val!$C$5,Val!$C$6,Val!$B65,Val!$E65,Val!I$10,Val!$C$7,Val!$C65),"")</f>
        <v>-13333.333333333334</v>
      </c>
      <c r="J65" s="2">
        <f ca="1">IF(Flag_Send_Data=1,_xll.DBSW(Val!J65,Val!$C$1,Val!$C$2,Val!$C$3,Val!$C$4,Val!$D65,Val!$C$5,Val!$C$6,Val!$B65,Val!$E65,Val!J$10,Val!$C$7,Val!$C65),"")</f>
        <v>-13333.333333333334</v>
      </c>
      <c r="K65" s="2">
        <f ca="1">IF(Flag_Send_Data=1,_xll.DBSW(Val!K65,Val!$C$1,Val!$C$2,Val!$C$3,Val!$C$4,Val!$D65,Val!$C$5,Val!$C$6,Val!$B65,Val!$E65,Val!K$10,Val!$C$7,Val!$C65),"")</f>
        <v>-13333.333333333334</v>
      </c>
      <c r="L65" s="2">
        <f ca="1">IF(Flag_Send_Data=1,_xll.DBSW(Val!L65,Val!$C$1,Val!$C$2,Val!$C$3,Val!$C$4,Val!$D65,Val!$C$5,Val!$C$6,Val!$B65,Val!$E65,Val!L$10,Val!$C$7,Val!$C65),"")</f>
        <v>-18333.333333333336</v>
      </c>
      <c r="M65" s="2">
        <f ca="1">IF(Flag_Send_Data=1,_xll.DBSW(Val!M65,Val!$C$1,Val!$C$2,Val!$C$3,Val!$C$4,Val!$D65,Val!$C$5,Val!$C$6,Val!$B65,Val!$E65,Val!M$10,Val!$C$7,Val!$C65),"")</f>
        <v>-18333.333333333336</v>
      </c>
      <c r="N65" s="2">
        <f ca="1">IF(Flag_Send_Data=1,_xll.DBSW(Val!N65,Val!$C$1,Val!$C$2,Val!$C$3,Val!$C$4,Val!$D65,Val!$C$5,Val!$C$6,Val!$B65,Val!$E65,Val!N$10,Val!$C$7,Val!$C65),"")</f>
        <v>-18333.333333333336</v>
      </c>
      <c r="O65" s="2">
        <f ca="1">IF(Flag_Send_Data=1,_xll.DBSW(Val!O65,Val!$C$1,Val!$C$2,Val!$C$3,Val!$C$4,Val!$D65,Val!$C$5,Val!$C$6,Val!$B65,Val!$E65,Val!O$10,Val!$C$7,Val!$C65),"")</f>
        <v>-18333.333333333336</v>
      </c>
      <c r="P65" s="2">
        <f ca="1">IF(Flag_Send_Data=1,_xll.DBSW(Val!P65,Val!$C$1,Val!$C$2,Val!$C$3,Val!$C$4,Val!$D65,Val!$C$5,Val!$C$6,Val!$B65,Val!$E65,Val!P$10,Val!$C$7,Val!$C65),"")</f>
        <v>-18333.333333333336</v>
      </c>
      <c r="Q65" s="2">
        <f ca="1">IF(Flag_Send_Data=1,_xll.DBSW(Val!Q65,Val!$C$1,Val!$C$2,Val!$C$3,Val!$C$4,Val!$D65,Val!$C$5,Val!$C$6,Val!$B65,Val!$E65,Val!Q$10,Val!$C$7,Val!$C65),"")</f>
        <v>-18333.333333333336</v>
      </c>
    </row>
    <row r="66" spans="2:17" x14ac:dyDescent="0.25">
      <c r="B66" s="3" t="s">
        <v>241</v>
      </c>
      <c r="C66" t="s">
        <v>11</v>
      </c>
      <c r="D66" t="s">
        <v>199</v>
      </c>
      <c r="E66" t="s">
        <v>128</v>
      </c>
      <c r="F66" s="2">
        <f ca="1">IF(Flag_Send_Data=1,_xll.DBSW(Val!F66,Val!$C$1,Val!$C$2,Val!$C$3,Val!$C$4,Val!$D66,Val!$C$5,Val!$C$6,Val!$B66,Val!$E66,Val!F$10,Val!$C$7,Val!$C66),"")</f>
        <v>-79212.999833333335</v>
      </c>
      <c r="G66" s="2">
        <f ca="1">IF(Flag_Send_Data=1,_xll.DBSW(Val!G66,Val!$C$1,Val!$C$2,Val!$C$3,Val!$C$4,Val!$D66,Val!$C$5,Val!$C$6,Val!$B66,Val!$E66,Val!G$10,Val!$C$7,Val!$C66),"")</f>
        <v>-79212.999833333335</v>
      </c>
      <c r="H66" s="2">
        <f ca="1">IF(Flag_Send_Data=1,_xll.DBSW(Val!H66,Val!$C$1,Val!$C$2,Val!$C$3,Val!$C$4,Val!$D66,Val!$C$5,Val!$C$6,Val!$B66,Val!$E66,Val!H$10,Val!$C$7,Val!$C66),"")</f>
        <v>-79212.999833333335</v>
      </c>
      <c r="I66" s="2">
        <f ca="1">IF(Flag_Send_Data=1,_xll.DBSW(Val!I66,Val!$C$1,Val!$C$2,Val!$C$3,Val!$C$4,Val!$D66,Val!$C$5,Val!$C$6,Val!$B66,Val!$E66,Val!I$10,Val!$C$7,Val!$C66),"")</f>
        <v>-78053.747166666668</v>
      </c>
      <c r="J66" s="2">
        <f ca="1">IF(Flag_Send_Data=1,_xll.DBSW(Val!J66,Val!$C$1,Val!$C$2,Val!$C$3,Val!$C$4,Val!$D66,Val!$C$5,Val!$C$6,Val!$B66,Val!$E66,Val!J$10,Val!$C$7,Val!$C66),"")</f>
        <v>-74575.989166666666</v>
      </c>
      <c r="K66" s="2">
        <f ca="1">IF(Flag_Send_Data=1,_xll.DBSW(Val!K66,Val!$C$1,Val!$C$2,Val!$C$3,Val!$C$4,Val!$D66,Val!$C$5,Val!$C$6,Val!$B66,Val!$E66,Val!K$10,Val!$C$7,Val!$C66),"")</f>
        <v>-74575.989166666666</v>
      </c>
      <c r="L66" s="2">
        <f ca="1">IF(Flag_Send_Data=1,_xll.DBSW(Val!L66,Val!$C$1,Val!$C$2,Val!$C$3,Val!$C$4,Val!$D66,Val!$C$5,Val!$C$6,Val!$B66,Val!$E66,Val!L$10,Val!$C$7,Val!$C66),"")</f>
        <v>-74575.989166666666</v>
      </c>
      <c r="M66" s="2">
        <f ca="1">IF(Flag_Send_Data=1,_xll.DBSW(Val!M66,Val!$C$1,Val!$C$2,Val!$C$3,Val!$C$4,Val!$D66,Val!$C$5,Val!$C$6,Val!$B66,Val!$E66,Val!M$10,Val!$C$7,Val!$C66),"")</f>
        <v>-74575.989166666666</v>
      </c>
      <c r="N66" s="2">
        <f ca="1">IF(Flag_Send_Data=1,_xll.DBSW(Val!N66,Val!$C$1,Val!$C$2,Val!$C$3,Val!$C$4,Val!$D66,Val!$C$5,Val!$C$6,Val!$B66,Val!$E66,Val!N$10,Val!$C$7,Val!$C66),"")</f>
        <v>-74575.989166666666</v>
      </c>
      <c r="O66" s="2">
        <f ca="1">IF(Flag_Send_Data=1,_xll.DBSW(Val!O66,Val!$C$1,Val!$C$2,Val!$C$3,Val!$C$4,Val!$D66,Val!$C$5,Val!$C$6,Val!$B66,Val!$E66,Val!O$10,Val!$C$7,Val!$C66),"")</f>
        <v>-74575.989166666666</v>
      </c>
      <c r="P66" s="2">
        <f ca="1">IF(Flag_Send_Data=1,_xll.DBSW(Val!P66,Val!$C$1,Val!$C$2,Val!$C$3,Val!$C$4,Val!$D66,Val!$C$5,Val!$C$6,Val!$B66,Val!$E66,Val!P$10,Val!$C$7,Val!$C66),"")</f>
        <v>-74575.989166666666</v>
      </c>
      <c r="Q66" s="2">
        <f ca="1">IF(Flag_Send_Data=1,_xll.DBSW(Val!Q66,Val!$C$1,Val!$C$2,Val!$C$3,Val!$C$4,Val!$D66,Val!$C$5,Val!$C$6,Val!$B66,Val!$E66,Val!Q$10,Val!$C$7,Val!$C66),"")</f>
        <v>-74575.989166666666</v>
      </c>
    </row>
    <row r="67" spans="2:17" x14ac:dyDescent="0.25">
      <c r="B67" s="3" t="s">
        <v>241</v>
      </c>
      <c r="C67" t="s">
        <v>12</v>
      </c>
      <c r="D67" t="s">
        <v>199</v>
      </c>
      <c r="E67" t="s">
        <v>128</v>
      </c>
      <c r="F67" s="2">
        <f ca="1">IF(Flag_Send_Data=1,_xll.DBSW(Val!F67,Val!$C$1,Val!$C$2,Val!$C$3,Val!$C$4,Val!$D67,Val!$C$5,Val!$C$6,Val!$B67,Val!$E67,Val!F$10,Val!$C$7,Val!$C67),"")</f>
        <v>-5000</v>
      </c>
      <c r="G67" s="2">
        <f ca="1">IF(Flag_Send_Data=1,_xll.DBSW(Val!G67,Val!$C$1,Val!$C$2,Val!$C$3,Val!$C$4,Val!$D67,Val!$C$5,Val!$C$6,Val!$B67,Val!$E67,Val!G$10,Val!$C$7,Val!$C67),"")</f>
        <v>-5000</v>
      </c>
      <c r="H67" s="2">
        <f ca="1">IF(Flag_Send_Data=1,_xll.DBSW(Val!H67,Val!$C$1,Val!$C$2,Val!$C$3,Val!$C$4,Val!$D67,Val!$C$5,Val!$C$6,Val!$B67,Val!$E67,Val!H$10,Val!$C$7,Val!$C67),"")</f>
        <v>-5000</v>
      </c>
      <c r="I67" s="2">
        <f ca="1">IF(Flag_Send_Data=1,_xll.DBSW(Val!I67,Val!$C$1,Val!$C$2,Val!$C$3,Val!$C$4,Val!$D67,Val!$C$5,Val!$C$6,Val!$B67,Val!$E67,Val!I$10,Val!$C$7,Val!$C67),"")</f>
        <v>-5000</v>
      </c>
      <c r="J67" s="2">
        <f ca="1">IF(Flag_Send_Data=1,_xll.DBSW(Val!J67,Val!$C$1,Val!$C$2,Val!$C$3,Val!$C$4,Val!$D67,Val!$C$5,Val!$C$6,Val!$B67,Val!$E67,Val!J$10,Val!$C$7,Val!$C67),"")</f>
        <v>-5000</v>
      </c>
      <c r="K67" s="2">
        <f ca="1">IF(Flag_Send_Data=1,_xll.DBSW(Val!K67,Val!$C$1,Val!$C$2,Val!$C$3,Val!$C$4,Val!$D67,Val!$C$5,Val!$C$6,Val!$B67,Val!$E67,Val!K$10,Val!$C$7,Val!$C67),"")</f>
        <v>-5000</v>
      </c>
      <c r="L67" s="2">
        <f ca="1">IF(Flag_Send_Data=1,_xll.DBSW(Val!L67,Val!$C$1,Val!$C$2,Val!$C$3,Val!$C$4,Val!$D67,Val!$C$5,Val!$C$6,Val!$B67,Val!$E67,Val!L$10,Val!$C$7,Val!$C67),"")</f>
        <v>-5000</v>
      </c>
      <c r="M67" s="2">
        <f ca="1">IF(Flag_Send_Data=1,_xll.DBSW(Val!M67,Val!$C$1,Val!$C$2,Val!$C$3,Val!$C$4,Val!$D67,Val!$C$5,Val!$C$6,Val!$B67,Val!$E67,Val!M$10,Val!$C$7,Val!$C67),"")</f>
        <v>-5000</v>
      </c>
      <c r="N67" s="2">
        <f ca="1">IF(Flag_Send_Data=1,_xll.DBSW(Val!N67,Val!$C$1,Val!$C$2,Val!$C$3,Val!$C$4,Val!$D67,Val!$C$5,Val!$C$6,Val!$B67,Val!$E67,Val!N$10,Val!$C$7,Val!$C67),"")</f>
        <v>-5000</v>
      </c>
      <c r="O67" s="2">
        <f ca="1">IF(Flag_Send_Data=1,_xll.DBSW(Val!O67,Val!$C$1,Val!$C$2,Val!$C$3,Val!$C$4,Val!$D67,Val!$C$5,Val!$C$6,Val!$B67,Val!$E67,Val!O$10,Val!$C$7,Val!$C67),"")</f>
        <v>-5000</v>
      </c>
      <c r="P67" s="2">
        <f ca="1">IF(Flag_Send_Data=1,_xll.DBSW(Val!P67,Val!$C$1,Val!$C$2,Val!$C$3,Val!$C$4,Val!$D67,Val!$C$5,Val!$C$6,Val!$B67,Val!$E67,Val!P$10,Val!$C$7,Val!$C67),"")</f>
        <v>-5000</v>
      </c>
      <c r="Q67" s="2">
        <f ca="1">IF(Flag_Send_Data=1,_xll.DBSW(Val!Q67,Val!$C$1,Val!$C$2,Val!$C$3,Val!$C$4,Val!$D67,Val!$C$5,Val!$C$6,Val!$B67,Val!$E67,Val!Q$10,Val!$C$7,Val!$C67),"")</f>
        <v>-5000</v>
      </c>
    </row>
    <row r="68" spans="2:17" x14ac:dyDescent="0.25">
      <c r="B68" s="3" t="s">
        <v>241</v>
      </c>
      <c r="C68" t="s">
        <v>167</v>
      </c>
      <c r="D68" t="s">
        <v>199</v>
      </c>
      <c r="E68" t="s">
        <v>128</v>
      </c>
      <c r="F68" s="2">
        <f ca="1">IF(Flag_Send_Data=1,_xll.DBSW(Val!F68,Val!$C$1,Val!$C$2,Val!$C$3,Val!$C$4,Val!$D68,Val!$C$5,Val!$C$6,Val!$B68,Val!$E68,Val!F$10,Val!$C$7,Val!$C68),"")</f>
        <v>-583.33333333333337</v>
      </c>
      <c r="G68" s="2">
        <f ca="1">IF(Flag_Send_Data=1,_xll.DBSW(Val!G68,Val!$C$1,Val!$C$2,Val!$C$3,Val!$C$4,Val!$D68,Val!$C$5,Val!$C$6,Val!$B68,Val!$E68,Val!G$10,Val!$C$7,Val!$C68),"")</f>
        <v>-583.33333333333337</v>
      </c>
      <c r="H68" s="2">
        <f ca="1">IF(Flag_Send_Data=1,_xll.DBSW(Val!H68,Val!$C$1,Val!$C$2,Val!$C$3,Val!$C$4,Val!$D68,Val!$C$5,Val!$C$6,Val!$B68,Val!$E68,Val!H$10,Val!$C$7,Val!$C68),"")</f>
        <v>-583.33333333333337</v>
      </c>
      <c r="I68" s="2">
        <f ca="1">IF(Flag_Send_Data=1,_xll.DBSW(Val!I68,Val!$C$1,Val!$C$2,Val!$C$3,Val!$C$4,Val!$D68,Val!$C$5,Val!$C$6,Val!$B68,Val!$E68,Val!I$10,Val!$C$7,Val!$C68),"")</f>
        <v>-583.33333333333337</v>
      </c>
      <c r="J68" s="2">
        <f ca="1">IF(Flag_Send_Data=1,_xll.DBSW(Val!J68,Val!$C$1,Val!$C$2,Val!$C$3,Val!$C$4,Val!$D68,Val!$C$5,Val!$C$6,Val!$B68,Val!$E68,Val!J$10,Val!$C$7,Val!$C68),"")</f>
        <v>-583.33333333333337</v>
      </c>
      <c r="K68" s="2">
        <f ca="1">IF(Flag_Send_Data=1,_xll.DBSW(Val!K68,Val!$C$1,Val!$C$2,Val!$C$3,Val!$C$4,Val!$D68,Val!$C$5,Val!$C$6,Val!$B68,Val!$E68,Val!K$10,Val!$C$7,Val!$C68),"")</f>
        <v>-583.33333333333337</v>
      </c>
      <c r="L68" s="2">
        <f ca="1">IF(Flag_Send_Data=1,_xll.DBSW(Val!L68,Val!$C$1,Val!$C$2,Val!$C$3,Val!$C$4,Val!$D68,Val!$C$5,Val!$C$6,Val!$B68,Val!$E68,Val!L$10,Val!$C$7,Val!$C68),"")</f>
        <v>-583.33333333333337</v>
      </c>
      <c r="M68" s="2">
        <f ca="1">IF(Flag_Send_Data=1,_xll.DBSW(Val!M68,Val!$C$1,Val!$C$2,Val!$C$3,Val!$C$4,Val!$D68,Val!$C$5,Val!$C$6,Val!$B68,Val!$E68,Val!M$10,Val!$C$7,Val!$C68),"")</f>
        <v>-583.33333333333337</v>
      </c>
      <c r="N68" s="2">
        <f ca="1">IF(Flag_Send_Data=1,_xll.DBSW(Val!N68,Val!$C$1,Val!$C$2,Val!$C$3,Val!$C$4,Val!$D68,Val!$C$5,Val!$C$6,Val!$B68,Val!$E68,Val!N$10,Val!$C$7,Val!$C68),"")</f>
        <v>-583.33333333333337</v>
      </c>
      <c r="O68" s="2">
        <f ca="1">IF(Flag_Send_Data=1,_xll.DBSW(Val!O68,Val!$C$1,Val!$C$2,Val!$C$3,Val!$C$4,Val!$D68,Val!$C$5,Val!$C$6,Val!$B68,Val!$E68,Val!O$10,Val!$C$7,Val!$C68),"")</f>
        <v>-583.33333333333337</v>
      </c>
      <c r="P68" s="2">
        <f ca="1">IF(Flag_Send_Data=1,_xll.DBSW(Val!P68,Val!$C$1,Val!$C$2,Val!$C$3,Val!$C$4,Val!$D68,Val!$C$5,Val!$C$6,Val!$B68,Val!$E68,Val!P$10,Val!$C$7,Val!$C68),"")</f>
        <v>-583.33333333333337</v>
      </c>
      <c r="Q68" s="2">
        <f ca="1">IF(Flag_Send_Data=1,_xll.DBSW(Val!Q68,Val!$C$1,Val!$C$2,Val!$C$3,Val!$C$4,Val!$D68,Val!$C$5,Val!$C$6,Val!$B68,Val!$E68,Val!Q$10,Val!$C$7,Val!$C68),"")</f>
        <v>-583.33333333333337</v>
      </c>
    </row>
    <row r="69" spans="2:17" x14ac:dyDescent="0.25">
      <c r="B69" s="3" t="s">
        <v>241</v>
      </c>
      <c r="C69" t="s">
        <v>13</v>
      </c>
      <c r="D69" t="s">
        <v>199</v>
      </c>
      <c r="E69" t="s">
        <v>128</v>
      </c>
      <c r="F69" s="2">
        <f ca="1">IF(Flag_Send_Data=1,_xll.DBSW(Val!F69,Val!$C$1,Val!$C$2,Val!$C$3,Val!$C$4,Val!$D69,Val!$C$5,Val!$C$6,Val!$B69,Val!$E69,Val!F$10,Val!$C$7,Val!$C69),"")</f>
        <v>-250</v>
      </c>
      <c r="G69" s="2">
        <f ca="1">IF(Flag_Send_Data=1,_xll.DBSW(Val!G69,Val!$C$1,Val!$C$2,Val!$C$3,Val!$C$4,Val!$D69,Val!$C$5,Val!$C$6,Val!$B69,Val!$E69,Val!G$10,Val!$C$7,Val!$C69),"")</f>
        <v>-250</v>
      </c>
      <c r="H69" s="2">
        <f ca="1">IF(Flag_Send_Data=1,_xll.DBSW(Val!H69,Val!$C$1,Val!$C$2,Val!$C$3,Val!$C$4,Val!$D69,Val!$C$5,Val!$C$6,Val!$B69,Val!$E69,Val!H$10,Val!$C$7,Val!$C69),"")</f>
        <v>-250</v>
      </c>
      <c r="I69" s="2">
        <f ca="1">IF(Flag_Send_Data=1,_xll.DBSW(Val!I69,Val!$C$1,Val!$C$2,Val!$C$3,Val!$C$4,Val!$D69,Val!$C$5,Val!$C$6,Val!$B69,Val!$E69,Val!I$10,Val!$C$7,Val!$C69),"")</f>
        <v>-250</v>
      </c>
      <c r="J69" s="2">
        <f ca="1">IF(Flag_Send_Data=1,_xll.DBSW(Val!J69,Val!$C$1,Val!$C$2,Val!$C$3,Val!$C$4,Val!$D69,Val!$C$5,Val!$C$6,Val!$B69,Val!$E69,Val!J$10,Val!$C$7,Val!$C69),"")</f>
        <v>-250</v>
      </c>
      <c r="K69" s="2">
        <f ca="1">IF(Flag_Send_Data=1,_xll.DBSW(Val!K69,Val!$C$1,Val!$C$2,Val!$C$3,Val!$C$4,Val!$D69,Val!$C$5,Val!$C$6,Val!$B69,Val!$E69,Val!K$10,Val!$C$7,Val!$C69),"")</f>
        <v>-250</v>
      </c>
      <c r="L69" s="2">
        <f ca="1">IF(Flag_Send_Data=1,_xll.DBSW(Val!L69,Val!$C$1,Val!$C$2,Val!$C$3,Val!$C$4,Val!$D69,Val!$C$5,Val!$C$6,Val!$B69,Val!$E69,Val!L$10,Val!$C$7,Val!$C69),"")</f>
        <v>-250</v>
      </c>
      <c r="M69" s="2">
        <f ca="1">IF(Flag_Send_Data=1,_xll.DBSW(Val!M69,Val!$C$1,Val!$C$2,Val!$C$3,Val!$C$4,Val!$D69,Val!$C$5,Val!$C$6,Val!$B69,Val!$E69,Val!M$10,Val!$C$7,Val!$C69),"")</f>
        <v>-250</v>
      </c>
      <c r="N69" s="2">
        <f ca="1">IF(Flag_Send_Data=1,_xll.DBSW(Val!N69,Val!$C$1,Val!$C$2,Val!$C$3,Val!$C$4,Val!$D69,Val!$C$5,Val!$C$6,Val!$B69,Val!$E69,Val!N$10,Val!$C$7,Val!$C69),"")</f>
        <v>-250</v>
      </c>
      <c r="O69" s="2">
        <f ca="1">IF(Flag_Send_Data=1,_xll.DBSW(Val!O69,Val!$C$1,Val!$C$2,Val!$C$3,Val!$C$4,Val!$D69,Val!$C$5,Val!$C$6,Val!$B69,Val!$E69,Val!O$10,Val!$C$7,Val!$C69),"")</f>
        <v>-250</v>
      </c>
      <c r="P69" s="2">
        <f ca="1">IF(Flag_Send_Data=1,_xll.DBSW(Val!P69,Val!$C$1,Val!$C$2,Val!$C$3,Val!$C$4,Val!$D69,Val!$C$5,Val!$C$6,Val!$B69,Val!$E69,Val!P$10,Val!$C$7,Val!$C69),"")</f>
        <v>-250</v>
      </c>
      <c r="Q69" s="2">
        <f ca="1">IF(Flag_Send_Data=1,_xll.DBSW(Val!Q69,Val!$C$1,Val!$C$2,Val!$C$3,Val!$C$4,Val!$D69,Val!$C$5,Val!$C$6,Val!$B69,Val!$E69,Val!Q$10,Val!$C$7,Val!$C69),"")</f>
        <v>-250</v>
      </c>
    </row>
    <row r="70" spans="2:17" x14ac:dyDescent="0.25">
      <c r="B70" s="3" t="s">
        <v>241</v>
      </c>
      <c r="C70" t="s">
        <v>62</v>
      </c>
      <c r="D70" t="s">
        <v>199</v>
      </c>
      <c r="E70" t="s">
        <v>128</v>
      </c>
      <c r="F70" s="2">
        <f ca="1">IF(Flag_Send_Data=1,_xll.DBSW(Val!F70,Val!$C$1,Val!$C$2,Val!$C$3,Val!$C$4,Val!$D70,Val!$C$5,Val!$C$6,Val!$B70,Val!$E70,Val!F$10,Val!$C$7,Val!$C70),"")</f>
        <v>-51750</v>
      </c>
      <c r="G70" s="2">
        <f ca="1">IF(Flag_Send_Data=1,_xll.DBSW(Val!G70,Val!$C$1,Val!$C$2,Val!$C$3,Val!$C$4,Val!$D70,Val!$C$5,Val!$C$6,Val!$B70,Val!$E70,Val!G$10,Val!$C$7,Val!$C70),"")</f>
        <v>-51750</v>
      </c>
      <c r="H70" s="2">
        <f ca="1">IF(Flag_Send_Data=1,_xll.DBSW(Val!H70,Val!$C$1,Val!$C$2,Val!$C$3,Val!$C$4,Val!$D70,Val!$C$5,Val!$C$6,Val!$B70,Val!$E70,Val!H$10,Val!$C$7,Val!$C70),"")</f>
        <v>-51750</v>
      </c>
      <c r="I70" s="2">
        <f ca="1">IF(Flag_Send_Data=1,_xll.DBSW(Val!I70,Val!$C$1,Val!$C$2,Val!$C$3,Val!$C$4,Val!$D70,Val!$C$5,Val!$C$6,Val!$B70,Val!$E70,Val!I$10,Val!$C$7,Val!$C70),"")</f>
        <v>-51750</v>
      </c>
      <c r="J70" s="2">
        <f ca="1">IF(Flag_Send_Data=1,_xll.DBSW(Val!J70,Val!$C$1,Val!$C$2,Val!$C$3,Val!$C$4,Val!$D70,Val!$C$5,Val!$C$6,Val!$B70,Val!$E70,Val!J$10,Val!$C$7,Val!$C70),"")</f>
        <v>-51750</v>
      </c>
      <c r="K70" s="2">
        <f ca="1">IF(Flag_Send_Data=1,_xll.DBSW(Val!K70,Val!$C$1,Val!$C$2,Val!$C$3,Val!$C$4,Val!$D70,Val!$C$5,Val!$C$6,Val!$B70,Val!$E70,Val!K$10,Val!$C$7,Val!$C70),"")</f>
        <v>-51750</v>
      </c>
      <c r="L70" s="2">
        <f ca="1">IF(Flag_Send_Data=1,_xll.DBSW(Val!L70,Val!$C$1,Val!$C$2,Val!$C$3,Val!$C$4,Val!$D70,Val!$C$5,Val!$C$6,Val!$B70,Val!$E70,Val!L$10,Val!$C$7,Val!$C70),"")</f>
        <v>-26750</v>
      </c>
      <c r="M70" s="2">
        <f ca="1">IF(Flag_Send_Data=1,_xll.DBSW(Val!M70,Val!$C$1,Val!$C$2,Val!$C$3,Val!$C$4,Val!$D70,Val!$C$5,Val!$C$6,Val!$B70,Val!$E70,Val!M$10,Val!$C$7,Val!$C70),"")</f>
        <v>-26750</v>
      </c>
      <c r="N70" s="2">
        <f ca="1">IF(Flag_Send_Data=1,_xll.DBSW(Val!N70,Val!$C$1,Val!$C$2,Val!$C$3,Val!$C$4,Val!$D70,Val!$C$5,Val!$C$6,Val!$B70,Val!$E70,Val!N$10,Val!$C$7,Val!$C70),"")</f>
        <v>-26750</v>
      </c>
      <c r="O70" s="2">
        <f ca="1">IF(Flag_Send_Data=1,_xll.DBSW(Val!O70,Val!$C$1,Val!$C$2,Val!$C$3,Val!$C$4,Val!$D70,Val!$C$5,Val!$C$6,Val!$B70,Val!$E70,Val!O$10,Val!$C$7,Val!$C70),"")</f>
        <v>-26750</v>
      </c>
      <c r="P70" s="2">
        <f ca="1">IF(Flag_Send_Data=1,_xll.DBSW(Val!P70,Val!$C$1,Val!$C$2,Val!$C$3,Val!$C$4,Val!$D70,Val!$C$5,Val!$C$6,Val!$B70,Val!$E70,Val!P$10,Val!$C$7,Val!$C70),"")</f>
        <v>-26750</v>
      </c>
      <c r="Q70" s="2">
        <f ca="1">IF(Flag_Send_Data=1,_xll.DBSW(Val!Q70,Val!$C$1,Val!$C$2,Val!$C$3,Val!$C$4,Val!$D70,Val!$C$5,Val!$C$6,Val!$B70,Val!$E70,Val!Q$10,Val!$C$7,Val!$C70),"")</f>
        <v>-26750</v>
      </c>
    </row>
    <row r="71" spans="2:17" x14ac:dyDescent="0.25">
      <c r="B71" s="3" t="s">
        <v>242</v>
      </c>
      <c r="C71" t="s">
        <v>11</v>
      </c>
      <c r="D71" t="s">
        <v>199</v>
      </c>
      <c r="E71" t="s">
        <v>128</v>
      </c>
      <c r="F71" s="2">
        <f ca="1">IF(Flag_Send_Data=1,_xll.DBSW(Val!F71,Val!$C$1,Val!$C$2,Val!$C$3,Val!$C$4,Val!$D71,Val!$C$5,Val!$C$6,Val!$B71,Val!$E71,Val!F$10,Val!$C$7,Val!$C71),"")</f>
        <v>-174083.82166666668</v>
      </c>
      <c r="G71" s="2">
        <f ca="1">IF(Flag_Send_Data=1,_xll.DBSW(Val!G71,Val!$C$1,Val!$C$2,Val!$C$3,Val!$C$4,Val!$D71,Val!$C$5,Val!$C$6,Val!$B71,Val!$E71,Val!G$10,Val!$C$7,Val!$C71),"")</f>
        <v>-186897.57166666668</v>
      </c>
      <c r="H71" s="2">
        <f ca="1">IF(Flag_Send_Data=1,_xll.DBSW(Val!H71,Val!$C$1,Val!$C$2,Val!$C$3,Val!$C$4,Val!$D71,Val!$C$5,Val!$C$6,Val!$B71,Val!$E71,Val!H$10,Val!$C$7,Val!$C71),"")</f>
        <v>-186897.57166666668</v>
      </c>
      <c r="I71" s="2">
        <f ca="1">IF(Flag_Send_Data=1,_xll.DBSW(Val!I71,Val!$C$1,Val!$C$2,Val!$C$3,Val!$C$4,Val!$D71,Val!$C$5,Val!$C$6,Val!$B71,Val!$E71,Val!I$10,Val!$C$7,Val!$C71),"")</f>
        <v>-195945.74937908497</v>
      </c>
      <c r="J71" s="2">
        <f ca="1">IF(Flag_Send_Data=1,_xll.DBSW(Val!J71,Val!$C$1,Val!$C$2,Val!$C$3,Val!$C$4,Val!$D71,Val!$C$5,Val!$C$6,Val!$B71,Val!$E71,Val!J$10,Val!$C$7,Val!$C71),"")</f>
        <v>-200105.03820261438</v>
      </c>
      <c r="K71" s="2">
        <f ca="1">IF(Flag_Send_Data=1,_xll.DBSW(Val!K71,Val!$C$1,Val!$C$2,Val!$C$3,Val!$C$4,Val!$D71,Val!$C$5,Val!$C$6,Val!$B71,Val!$E71,Val!K$10,Val!$C$7,Val!$C71),"")</f>
        <v>-200105.03820261438</v>
      </c>
      <c r="L71" s="2">
        <f ca="1">IF(Flag_Send_Data=1,_xll.DBSW(Val!L71,Val!$C$1,Val!$C$2,Val!$C$3,Val!$C$4,Val!$D71,Val!$C$5,Val!$C$6,Val!$B71,Val!$E71,Val!L$10,Val!$C$7,Val!$C71),"")</f>
        <v>-209666.74153594772</v>
      </c>
      <c r="M71" s="2">
        <f ca="1">IF(Flag_Send_Data=1,_xll.DBSW(Val!M71,Val!$C$1,Val!$C$2,Val!$C$3,Val!$C$4,Val!$D71,Val!$C$5,Val!$C$6,Val!$B71,Val!$E71,Val!M$10,Val!$C$7,Val!$C71),"")</f>
        <v>-209666.74153594772</v>
      </c>
      <c r="N71" s="2">
        <f ca="1">IF(Flag_Send_Data=1,_xll.DBSW(Val!N71,Val!$C$1,Val!$C$2,Val!$C$3,Val!$C$4,Val!$D71,Val!$C$5,Val!$C$6,Val!$B71,Val!$E71,Val!N$10,Val!$C$7,Val!$C71),"")</f>
        <v>-209666.74153594772</v>
      </c>
      <c r="O71" s="2">
        <f ca="1">IF(Flag_Send_Data=1,_xll.DBSW(Val!O71,Val!$C$1,Val!$C$2,Val!$C$3,Val!$C$4,Val!$D71,Val!$C$5,Val!$C$6,Val!$B71,Val!$E71,Val!O$10,Val!$C$7,Val!$C71),"")</f>
        <v>-209666.74153594772</v>
      </c>
      <c r="P71" s="2">
        <f ca="1">IF(Flag_Send_Data=1,_xll.DBSW(Val!P71,Val!$C$1,Val!$C$2,Val!$C$3,Val!$C$4,Val!$D71,Val!$C$5,Val!$C$6,Val!$B71,Val!$E71,Val!P$10,Val!$C$7,Val!$C71),"")</f>
        <v>-209666.74153594772</v>
      </c>
      <c r="Q71" s="2">
        <f ca="1">IF(Flag_Send_Data=1,_xll.DBSW(Val!Q71,Val!$C$1,Val!$C$2,Val!$C$3,Val!$C$4,Val!$D71,Val!$C$5,Val!$C$6,Val!$B71,Val!$E71,Val!Q$10,Val!$C$7,Val!$C71),"")</f>
        <v>-209666.74153594772</v>
      </c>
    </row>
    <row r="72" spans="2:17" x14ac:dyDescent="0.25">
      <c r="B72" s="3" t="s">
        <v>242</v>
      </c>
      <c r="C72" t="s">
        <v>12</v>
      </c>
      <c r="D72" t="s">
        <v>199</v>
      </c>
      <c r="E72" t="s">
        <v>128</v>
      </c>
      <c r="F72" s="2">
        <f ca="1">IF(Flag_Send_Data=1,_xll.DBSW(Val!F72,Val!$C$1,Val!$C$2,Val!$C$3,Val!$C$4,Val!$D72,Val!$C$5,Val!$C$6,Val!$B72,Val!$E72,Val!F$10,Val!$C$7,Val!$C72),"")</f>
        <v>-20833.333333333332</v>
      </c>
      <c r="G72" s="2">
        <f ca="1">IF(Flag_Send_Data=1,_xll.DBSW(Val!G72,Val!$C$1,Val!$C$2,Val!$C$3,Val!$C$4,Val!$D72,Val!$C$5,Val!$C$6,Val!$B72,Val!$E72,Val!G$10,Val!$C$7,Val!$C72),"")</f>
        <v>-20833.333333333332</v>
      </c>
      <c r="H72" s="2">
        <f ca="1">IF(Flag_Send_Data=1,_xll.DBSW(Val!H72,Val!$C$1,Val!$C$2,Val!$C$3,Val!$C$4,Val!$D72,Val!$C$5,Val!$C$6,Val!$B72,Val!$E72,Val!H$10,Val!$C$7,Val!$C72),"")</f>
        <v>-20833.333333333332</v>
      </c>
      <c r="I72" s="2">
        <f ca="1">IF(Flag_Send_Data=1,_xll.DBSW(Val!I72,Val!$C$1,Val!$C$2,Val!$C$3,Val!$C$4,Val!$D72,Val!$C$5,Val!$C$6,Val!$B72,Val!$E72,Val!I$10,Val!$C$7,Val!$C72),"")</f>
        <v>-20833.333333333332</v>
      </c>
      <c r="J72" s="2">
        <f ca="1">IF(Flag_Send_Data=1,_xll.DBSW(Val!J72,Val!$C$1,Val!$C$2,Val!$C$3,Val!$C$4,Val!$D72,Val!$C$5,Val!$C$6,Val!$B72,Val!$E72,Val!J$10,Val!$C$7,Val!$C72),"")</f>
        <v>-20833.333333333332</v>
      </c>
      <c r="K72" s="2">
        <f ca="1">IF(Flag_Send_Data=1,_xll.DBSW(Val!K72,Val!$C$1,Val!$C$2,Val!$C$3,Val!$C$4,Val!$D72,Val!$C$5,Val!$C$6,Val!$B72,Val!$E72,Val!K$10,Val!$C$7,Val!$C72),"")</f>
        <v>-20833.333333333332</v>
      </c>
      <c r="L72" s="2">
        <f ca="1">IF(Flag_Send_Data=1,_xll.DBSW(Val!L72,Val!$C$1,Val!$C$2,Val!$C$3,Val!$C$4,Val!$D72,Val!$C$5,Val!$C$6,Val!$B72,Val!$E72,Val!L$10,Val!$C$7,Val!$C72),"")</f>
        <v>-20833.333333333332</v>
      </c>
      <c r="M72" s="2">
        <f ca="1">IF(Flag_Send_Data=1,_xll.DBSW(Val!M72,Val!$C$1,Val!$C$2,Val!$C$3,Val!$C$4,Val!$D72,Val!$C$5,Val!$C$6,Val!$B72,Val!$E72,Val!M$10,Val!$C$7,Val!$C72),"")</f>
        <v>-20833.333333333332</v>
      </c>
      <c r="N72" s="2">
        <f ca="1">IF(Flag_Send_Data=1,_xll.DBSW(Val!N72,Val!$C$1,Val!$C$2,Val!$C$3,Val!$C$4,Val!$D72,Val!$C$5,Val!$C$6,Val!$B72,Val!$E72,Val!N$10,Val!$C$7,Val!$C72),"")</f>
        <v>-20833.333333333332</v>
      </c>
      <c r="O72" s="2">
        <f ca="1">IF(Flag_Send_Data=1,_xll.DBSW(Val!O72,Val!$C$1,Val!$C$2,Val!$C$3,Val!$C$4,Val!$D72,Val!$C$5,Val!$C$6,Val!$B72,Val!$E72,Val!O$10,Val!$C$7,Val!$C72),"")</f>
        <v>-20833.333333333332</v>
      </c>
      <c r="P72" s="2">
        <f ca="1">IF(Flag_Send_Data=1,_xll.DBSW(Val!P72,Val!$C$1,Val!$C$2,Val!$C$3,Val!$C$4,Val!$D72,Val!$C$5,Val!$C$6,Val!$B72,Val!$E72,Val!P$10,Val!$C$7,Val!$C72),"")</f>
        <v>-20833.333333333332</v>
      </c>
      <c r="Q72" s="2">
        <f ca="1">IF(Flag_Send_Data=1,_xll.DBSW(Val!Q72,Val!$C$1,Val!$C$2,Val!$C$3,Val!$C$4,Val!$D72,Val!$C$5,Val!$C$6,Val!$B72,Val!$E72,Val!Q$10,Val!$C$7,Val!$C72),"")</f>
        <v>-20833.333333333332</v>
      </c>
    </row>
    <row r="73" spans="2:17" x14ac:dyDescent="0.25">
      <c r="B73" s="3" t="s">
        <v>242</v>
      </c>
      <c r="C73" t="s">
        <v>16</v>
      </c>
      <c r="D73" t="s">
        <v>199</v>
      </c>
      <c r="E73" t="s">
        <v>128</v>
      </c>
      <c r="F73" s="2">
        <f ca="1">IF(Flag_Send_Data=1,_xll.DBSW(Val!F73,Val!$C$1,Val!$C$2,Val!$C$3,Val!$C$4,Val!$D73,Val!$C$5,Val!$C$6,Val!$B73,Val!$E73,Val!F$10,Val!$C$7,Val!$C73),"")</f>
        <v>-138750.00000000035</v>
      </c>
      <c r="G73" s="2">
        <f ca="1">IF(Flag_Send_Data=1,_xll.DBSW(Val!G73,Val!$C$1,Val!$C$2,Val!$C$3,Val!$C$4,Val!$D73,Val!$C$5,Val!$C$6,Val!$B73,Val!$E73,Val!G$10,Val!$C$7,Val!$C73),"")</f>
        <v>-138750.00000000035</v>
      </c>
      <c r="H73" s="2">
        <f ca="1">IF(Flag_Send_Data=1,_xll.DBSW(Val!H73,Val!$C$1,Val!$C$2,Val!$C$3,Val!$C$4,Val!$D73,Val!$C$5,Val!$C$6,Val!$B73,Val!$E73,Val!H$10,Val!$C$7,Val!$C73),"")</f>
        <v>-138750.00000000035</v>
      </c>
      <c r="I73" s="2">
        <f ca="1">IF(Flag_Send_Data=1,_xll.DBSW(Val!I73,Val!$C$1,Val!$C$2,Val!$C$3,Val!$C$4,Val!$D73,Val!$C$5,Val!$C$6,Val!$B73,Val!$E73,Val!I$10,Val!$C$7,Val!$C73),"")</f>
        <v>-155416.66666666634</v>
      </c>
      <c r="J73" s="2">
        <f ca="1">IF(Flag_Send_Data=1,_xll.DBSW(Val!J73,Val!$C$1,Val!$C$2,Val!$C$3,Val!$C$4,Val!$D73,Val!$C$5,Val!$C$6,Val!$B73,Val!$E73,Val!J$10,Val!$C$7,Val!$C73),"")</f>
        <v>-155416.66666666634</v>
      </c>
      <c r="K73" s="2">
        <f ca="1">IF(Flag_Send_Data=1,_xll.DBSW(Val!K73,Val!$C$1,Val!$C$2,Val!$C$3,Val!$C$4,Val!$D73,Val!$C$5,Val!$C$6,Val!$B73,Val!$E73,Val!K$10,Val!$C$7,Val!$C73),"")</f>
        <v>-155416.66666666634</v>
      </c>
      <c r="L73" s="2">
        <f ca="1">IF(Flag_Send_Data=1,_xll.DBSW(Val!L73,Val!$C$1,Val!$C$2,Val!$C$3,Val!$C$4,Val!$D73,Val!$C$5,Val!$C$6,Val!$B73,Val!$E73,Val!L$10,Val!$C$7,Val!$C73),"")</f>
        <v>-122083.33333333333</v>
      </c>
      <c r="M73" s="2">
        <f ca="1">IF(Flag_Send_Data=1,_xll.DBSW(Val!M73,Val!$C$1,Val!$C$2,Val!$C$3,Val!$C$4,Val!$D73,Val!$C$5,Val!$C$6,Val!$B73,Val!$E73,Val!M$10,Val!$C$7,Val!$C73),"")</f>
        <v>-122083.33333333333</v>
      </c>
      <c r="N73" s="2">
        <f ca="1">IF(Flag_Send_Data=1,_xll.DBSW(Val!N73,Val!$C$1,Val!$C$2,Val!$C$3,Val!$C$4,Val!$D73,Val!$C$5,Val!$C$6,Val!$B73,Val!$E73,Val!N$10,Val!$C$7,Val!$C73),"")</f>
        <v>-122083.33333333333</v>
      </c>
      <c r="O73" s="2">
        <f ca="1">IF(Flag_Send_Data=1,_xll.DBSW(Val!O73,Val!$C$1,Val!$C$2,Val!$C$3,Val!$C$4,Val!$D73,Val!$C$5,Val!$C$6,Val!$B73,Val!$E73,Val!O$10,Val!$C$7,Val!$C73),"")</f>
        <v>-122083.33333333333</v>
      </c>
      <c r="P73" s="2">
        <f ca="1">IF(Flag_Send_Data=1,_xll.DBSW(Val!P73,Val!$C$1,Val!$C$2,Val!$C$3,Val!$C$4,Val!$D73,Val!$C$5,Val!$C$6,Val!$B73,Val!$E73,Val!P$10,Val!$C$7,Val!$C73),"")</f>
        <v>-122083.33333333333</v>
      </c>
      <c r="Q73" s="2">
        <f ca="1">IF(Flag_Send_Data=1,_xll.DBSW(Val!Q73,Val!$C$1,Val!$C$2,Val!$C$3,Val!$C$4,Val!$D73,Val!$C$5,Val!$C$6,Val!$B73,Val!$E73,Val!Q$10,Val!$C$7,Val!$C73),"")</f>
        <v>-122083.33333333333</v>
      </c>
    </row>
    <row r="74" spans="2:17" x14ac:dyDescent="0.25">
      <c r="B74" s="3" t="s">
        <v>242</v>
      </c>
      <c r="C74" t="s">
        <v>16</v>
      </c>
      <c r="D74" t="s">
        <v>206</v>
      </c>
      <c r="E74" t="s">
        <v>17</v>
      </c>
      <c r="F74" s="2">
        <f ca="1">IF(Flag_Send_Data=1,_xll.DBSW(Val!F74,Val!$C$1,Val!$C$2,Val!$C$3,Val!$C$4,Val!$D74,Val!$C$5,Val!$C$6,Val!$B74,Val!$E74,Val!F$10,Val!$C$7,Val!$C74),"")</f>
        <v>-2858.3333333333335</v>
      </c>
      <c r="G74" s="2">
        <f ca="1">IF(Flag_Send_Data=1,_xll.DBSW(Val!G74,Val!$C$1,Val!$C$2,Val!$C$3,Val!$C$4,Val!$D74,Val!$C$5,Val!$C$6,Val!$B74,Val!$E74,Val!G$10,Val!$C$7,Val!$C74),"")</f>
        <v>-2858.3333333333335</v>
      </c>
      <c r="H74" s="2">
        <f ca="1">IF(Flag_Send_Data=1,_xll.DBSW(Val!H74,Val!$C$1,Val!$C$2,Val!$C$3,Val!$C$4,Val!$D74,Val!$C$5,Val!$C$6,Val!$B74,Val!$E74,Val!H$10,Val!$C$7,Val!$C74),"")</f>
        <v>-2858.3333333333335</v>
      </c>
      <c r="I74" s="2">
        <f ca="1">IF(Flag_Send_Data=1,_xll.DBSW(Val!I74,Val!$C$1,Val!$C$2,Val!$C$3,Val!$C$4,Val!$D74,Val!$C$5,Val!$C$6,Val!$B74,Val!$E74,Val!I$10,Val!$C$7,Val!$C74),"")</f>
        <v>-2858.3333333333335</v>
      </c>
      <c r="J74" s="2">
        <f ca="1">IF(Flag_Send_Data=1,_xll.DBSW(Val!J74,Val!$C$1,Val!$C$2,Val!$C$3,Val!$C$4,Val!$D74,Val!$C$5,Val!$C$6,Val!$B74,Val!$E74,Val!J$10,Val!$C$7,Val!$C74),"")</f>
        <v>-2858.3333333333335</v>
      </c>
      <c r="K74" s="2">
        <f ca="1">IF(Flag_Send_Data=1,_xll.DBSW(Val!K74,Val!$C$1,Val!$C$2,Val!$C$3,Val!$C$4,Val!$D74,Val!$C$5,Val!$C$6,Val!$B74,Val!$E74,Val!K$10,Val!$C$7,Val!$C74),"")</f>
        <v>-2858.3333333333335</v>
      </c>
      <c r="L74" s="2">
        <f ca="1">IF(Flag_Send_Data=1,_xll.DBSW(Val!L74,Val!$C$1,Val!$C$2,Val!$C$3,Val!$C$4,Val!$D74,Val!$C$5,Val!$C$6,Val!$B74,Val!$E74,Val!L$10,Val!$C$7,Val!$C74),"")</f>
        <v>-2858.3333333333335</v>
      </c>
      <c r="M74" s="2">
        <f ca="1">IF(Flag_Send_Data=1,_xll.DBSW(Val!M74,Val!$C$1,Val!$C$2,Val!$C$3,Val!$C$4,Val!$D74,Val!$C$5,Val!$C$6,Val!$B74,Val!$E74,Val!M$10,Val!$C$7,Val!$C74),"")</f>
        <v>-2858.3333333333335</v>
      </c>
      <c r="N74" s="2">
        <f ca="1">IF(Flag_Send_Data=1,_xll.DBSW(Val!N74,Val!$C$1,Val!$C$2,Val!$C$3,Val!$C$4,Val!$D74,Val!$C$5,Val!$C$6,Val!$B74,Val!$E74,Val!N$10,Val!$C$7,Val!$C74),"")</f>
        <v>-2858.3333333333335</v>
      </c>
      <c r="O74" s="2">
        <f ca="1">IF(Flag_Send_Data=1,_xll.DBSW(Val!O74,Val!$C$1,Val!$C$2,Val!$C$3,Val!$C$4,Val!$D74,Val!$C$5,Val!$C$6,Val!$B74,Val!$E74,Val!O$10,Val!$C$7,Val!$C74),"")</f>
        <v>-2858.3333333333335</v>
      </c>
      <c r="P74" s="2">
        <f ca="1">IF(Flag_Send_Data=1,_xll.DBSW(Val!P74,Val!$C$1,Val!$C$2,Val!$C$3,Val!$C$4,Val!$D74,Val!$C$5,Val!$C$6,Val!$B74,Val!$E74,Val!P$10,Val!$C$7,Val!$C74),"")</f>
        <v>-2858.3333333333335</v>
      </c>
      <c r="Q74" s="2">
        <f ca="1">IF(Flag_Send_Data=1,_xll.DBSW(Val!Q74,Val!$C$1,Val!$C$2,Val!$C$3,Val!$C$4,Val!$D74,Val!$C$5,Val!$C$6,Val!$B74,Val!$E74,Val!Q$10,Val!$C$7,Val!$C74),"")</f>
        <v>-2858.3333333333335</v>
      </c>
    </row>
    <row r="75" spans="2:17" x14ac:dyDescent="0.25">
      <c r="B75" s="3" t="s">
        <v>242</v>
      </c>
      <c r="C75" t="s">
        <v>13</v>
      </c>
      <c r="D75" t="s">
        <v>199</v>
      </c>
      <c r="E75" t="s">
        <v>128</v>
      </c>
      <c r="F75" s="2">
        <f ca="1">IF(Flag_Send_Data=1,_xll.DBSW(Val!F75,Val!$C$1,Val!$C$2,Val!$C$3,Val!$C$4,Val!$D75,Val!$C$5,Val!$C$6,Val!$B75,Val!$E75,Val!F$10,Val!$C$7,Val!$C75),"")</f>
        <v>-750</v>
      </c>
      <c r="G75" s="2">
        <f ca="1">IF(Flag_Send_Data=1,_xll.DBSW(Val!G75,Val!$C$1,Val!$C$2,Val!$C$3,Val!$C$4,Val!$D75,Val!$C$5,Val!$C$6,Val!$B75,Val!$E75,Val!G$10,Val!$C$7,Val!$C75),"")</f>
        <v>-750</v>
      </c>
      <c r="H75" s="2">
        <f ca="1">IF(Flag_Send_Data=1,_xll.DBSW(Val!H75,Val!$C$1,Val!$C$2,Val!$C$3,Val!$C$4,Val!$D75,Val!$C$5,Val!$C$6,Val!$B75,Val!$E75,Val!H$10,Val!$C$7,Val!$C75),"")</f>
        <v>-750</v>
      </c>
      <c r="I75" s="2">
        <f ca="1">IF(Flag_Send_Data=1,_xll.DBSW(Val!I75,Val!$C$1,Val!$C$2,Val!$C$3,Val!$C$4,Val!$D75,Val!$C$5,Val!$C$6,Val!$B75,Val!$E75,Val!I$10,Val!$C$7,Val!$C75),"")</f>
        <v>-750</v>
      </c>
      <c r="J75" s="2">
        <f ca="1">IF(Flag_Send_Data=1,_xll.DBSW(Val!J75,Val!$C$1,Val!$C$2,Val!$C$3,Val!$C$4,Val!$D75,Val!$C$5,Val!$C$6,Val!$B75,Val!$E75,Val!J$10,Val!$C$7,Val!$C75),"")</f>
        <v>-750</v>
      </c>
      <c r="K75" s="2">
        <f ca="1">IF(Flag_Send_Data=1,_xll.DBSW(Val!K75,Val!$C$1,Val!$C$2,Val!$C$3,Val!$C$4,Val!$D75,Val!$C$5,Val!$C$6,Val!$B75,Val!$E75,Val!K$10,Val!$C$7,Val!$C75),"")</f>
        <v>-750</v>
      </c>
      <c r="L75" s="2">
        <f ca="1">IF(Flag_Send_Data=1,_xll.DBSW(Val!L75,Val!$C$1,Val!$C$2,Val!$C$3,Val!$C$4,Val!$D75,Val!$C$5,Val!$C$6,Val!$B75,Val!$E75,Val!L$10,Val!$C$7,Val!$C75),"")</f>
        <v>-750</v>
      </c>
      <c r="M75" s="2">
        <f ca="1">IF(Flag_Send_Data=1,_xll.DBSW(Val!M75,Val!$C$1,Val!$C$2,Val!$C$3,Val!$C$4,Val!$D75,Val!$C$5,Val!$C$6,Val!$B75,Val!$E75,Val!M$10,Val!$C$7,Val!$C75),"")</f>
        <v>-750</v>
      </c>
      <c r="N75" s="2">
        <f ca="1">IF(Flag_Send_Data=1,_xll.DBSW(Val!N75,Val!$C$1,Val!$C$2,Val!$C$3,Val!$C$4,Val!$D75,Val!$C$5,Val!$C$6,Val!$B75,Val!$E75,Val!N$10,Val!$C$7,Val!$C75),"")</f>
        <v>-750</v>
      </c>
      <c r="O75" s="2">
        <f ca="1">IF(Flag_Send_Data=1,_xll.DBSW(Val!O75,Val!$C$1,Val!$C$2,Val!$C$3,Val!$C$4,Val!$D75,Val!$C$5,Val!$C$6,Val!$B75,Val!$E75,Val!O$10,Val!$C$7,Val!$C75),"")</f>
        <v>-750</v>
      </c>
      <c r="P75" s="2">
        <f ca="1">IF(Flag_Send_Data=1,_xll.DBSW(Val!P75,Val!$C$1,Val!$C$2,Val!$C$3,Val!$C$4,Val!$D75,Val!$C$5,Val!$C$6,Val!$B75,Val!$E75,Val!P$10,Val!$C$7,Val!$C75),"")</f>
        <v>-750</v>
      </c>
      <c r="Q75" s="2">
        <f ca="1">IF(Flag_Send_Data=1,_xll.DBSW(Val!Q75,Val!$C$1,Val!$C$2,Val!$C$3,Val!$C$4,Val!$D75,Val!$C$5,Val!$C$6,Val!$B75,Val!$E75,Val!Q$10,Val!$C$7,Val!$C75),"")</f>
        <v>-750</v>
      </c>
    </row>
    <row r="76" spans="2:17" x14ac:dyDescent="0.25">
      <c r="B76" s="3" t="s">
        <v>242</v>
      </c>
      <c r="C76" t="s">
        <v>109</v>
      </c>
      <c r="D76" t="s">
        <v>199</v>
      </c>
      <c r="E76" t="s">
        <v>128</v>
      </c>
      <c r="F76" s="2">
        <f ca="1">IF(Flag_Send_Data=1,_xll.DBSW(Val!F76,Val!$C$1,Val!$C$2,Val!$C$3,Val!$C$4,Val!$D76,Val!$C$5,Val!$C$6,Val!$B76,Val!$E76,Val!F$10,Val!$C$7,Val!$C76),"")</f>
        <v>-583.33333333333337</v>
      </c>
      <c r="G76" s="2">
        <f ca="1">IF(Flag_Send_Data=1,_xll.DBSW(Val!G76,Val!$C$1,Val!$C$2,Val!$C$3,Val!$C$4,Val!$D76,Val!$C$5,Val!$C$6,Val!$B76,Val!$E76,Val!G$10,Val!$C$7,Val!$C76),"")</f>
        <v>-583.33333333333337</v>
      </c>
      <c r="H76" s="2">
        <f ca="1">IF(Flag_Send_Data=1,_xll.DBSW(Val!H76,Val!$C$1,Val!$C$2,Val!$C$3,Val!$C$4,Val!$D76,Val!$C$5,Val!$C$6,Val!$B76,Val!$E76,Val!H$10,Val!$C$7,Val!$C76),"")</f>
        <v>-583.33333333333337</v>
      </c>
      <c r="I76" s="2">
        <f ca="1">IF(Flag_Send_Data=1,_xll.DBSW(Val!I76,Val!$C$1,Val!$C$2,Val!$C$3,Val!$C$4,Val!$D76,Val!$C$5,Val!$C$6,Val!$B76,Val!$E76,Val!I$10,Val!$C$7,Val!$C76),"")</f>
        <v>-583.33333333333337</v>
      </c>
      <c r="J76" s="2">
        <f ca="1">IF(Flag_Send_Data=1,_xll.DBSW(Val!J76,Val!$C$1,Val!$C$2,Val!$C$3,Val!$C$4,Val!$D76,Val!$C$5,Val!$C$6,Val!$B76,Val!$E76,Val!J$10,Val!$C$7,Val!$C76),"")</f>
        <v>-583.33333333333337</v>
      </c>
      <c r="K76" s="2">
        <f ca="1">IF(Flag_Send_Data=1,_xll.DBSW(Val!K76,Val!$C$1,Val!$C$2,Val!$C$3,Val!$C$4,Val!$D76,Val!$C$5,Val!$C$6,Val!$B76,Val!$E76,Val!K$10,Val!$C$7,Val!$C76),"")</f>
        <v>-583.33333333333337</v>
      </c>
      <c r="L76" s="2">
        <f ca="1">IF(Flag_Send_Data=1,_xll.DBSW(Val!L76,Val!$C$1,Val!$C$2,Val!$C$3,Val!$C$4,Val!$D76,Val!$C$5,Val!$C$6,Val!$B76,Val!$E76,Val!L$10,Val!$C$7,Val!$C76),"")</f>
        <v>-583.33333333333337</v>
      </c>
      <c r="M76" s="2">
        <f ca="1">IF(Flag_Send_Data=1,_xll.DBSW(Val!M76,Val!$C$1,Val!$C$2,Val!$C$3,Val!$C$4,Val!$D76,Val!$C$5,Val!$C$6,Val!$B76,Val!$E76,Val!M$10,Val!$C$7,Val!$C76),"")</f>
        <v>-583.33333333333337</v>
      </c>
      <c r="N76" s="2">
        <f ca="1">IF(Flag_Send_Data=1,_xll.DBSW(Val!N76,Val!$C$1,Val!$C$2,Val!$C$3,Val!$C$4,Val!$D76,Val!$C$5,Val!$C$6,Val!$B76,Val!$E76,Val!N$10,Val!$C$7,Val!$C76),"")</f>
        <v>-583.33333333333337</v>
      </c>
      <c r="O76" s="2">
        <f ca="1">IF(Flag_Send_Data=1,_xll.DBSW(Val!O76,Val!$C$1,Val!$C$2,Val!$C$3,Val!$C$4,Val!$D76,Val!$C$5,Val!$C$6,Val!$B76,Val!$E76,Val!O$10,Val!$C$7,Val!$C76),"")</f>
        <v>-583.33333333333337</v>
      </c>
      <c r="P76" s="2">
        <f ca="1">IF(Flag_Send_Data=1,_xll.DBSW(Val!P76,Val!$C$1,Val!$C$2,Val!$C$3,Val!$C$4,Val!$D76,Val!$C$5,Val!$C$6,Val!$B76,Val!$E76,Val!P$10,Val!$C$7,Val!$C76),"")</f>
        <v>-583.33333333333337</v>
      </c>
      <c r="Q76" s="2">
        <f ca="1">IF(Flag_Send_Data=1,_xll.DBSW(Val!Q76,Val!$C$1,Val!$C$2,Val!$C$3,Val!$C$4,Val!$D76,Val!$C$5,Val!$C$6,Val!$B76,Val!$E76,Val!Q$10,Val!$C$7,Val!$C76),"")</f>
        <v>-583.33333333333337</v>
      </c>
    </row>
    <row r="77" spans="2:17" x14ac:dyDescent="0.25">
      <c r="B77" s="3" t="s">
        <v>242</v>
      </c>
      <c r="C77" t="s">
        <v>81</v>
      </c>
      <c r="D77" t="s">
        <v>199</v>
      </c>
      <c r="E77" t="s">
        <v>128</v>
      </c>
      <c r="F77" s="2">
        <f ca="1">IF(Flag_Send_Data=1,_xll.DBSW(Val!F77,Val!$C$1,Val!$C$2,Val!$C$3,Val!$C$4,Val!$D77,Val!$C$5,Val!$C$6,Val!$B77,Val!$E77,Val!F$10,Val!$C$7,Val!$C77),"")</f>
        <v>-3466.0185185185182</v>
      </c>
      <c r="G77" s="2">
        <f ca="1">IF(Flag_Send_Data=1,_xll.DBSW(Val!G77,Val!$C$1,Val!$C$2,Val!$C$3,Val!$C$4,Val!$D77,Val!$C$5,Val!$C$6,Val!$B77,Val!$E77,Val!G$10,Val!$C$7,Val!$C77),"")</f>
        <v>-3466.0185185185182</v>
      </c>
      <c r="H77" s="2">
        <f ca="1">IF(Flag_Send_Data=1,_xll.DBSW(Val!H77,Val!$C$1,Val!$C$2,Val!$C$3,Val!$C$4,Val!$D77,Val!$C$5,Val!$C$6,Val!$B77,Val!$E77,Val!H$10,Val!$C$7,Val!$C77),"")</f>
        <v>-3466.0185185185182</v>
      </c>
      <c r="I77" s="2">
        <f ca="1">IF(Flag_Send_Data=1,_xll.DBSW(Val!I77,Val!$C$1,Val!$C$2,Val!$C$3,Val!$C$4,Val!$D77,Val!$C$5,Val!$C$6,Val!$B77,Val!$E77,Val!I$10,Val!$C$7,Val!$C77),"")</f>
        <v>-3466.0185185185182</v>
      </c>
      <c r="J77" s="2">
        <f ca="1">IF(Flag_Send_Data=1,_xll.DBSW(Val!J77,Val!$C$1,Val!$C$2,Val!$C$3,Val!$C$4,Val!$D77,Val!$C$5,Val!$C$6,Val!$B77,Val!$E77,Val!J$10,Val!$C$7,Val!$C77),"")</f>
        <v>-3466.0185185185182</v>
      </c>
      <c r="K77" s="2">
        <f ca="1">IF(Flag_Send_Data=1,_xll.DBSW(Val!K77,Val!$C$1,Val!$C$2,Val!$C$3,Val!$C$4,Val!$D77,Val!$C$5,Val!$C$6,Val!$B77,Val!$E77,Val!K$10,Val!$C$7,Val!$C77),"")</f>
        <v>-3466.0185185185182</v>
      </c>
      <c r="L77" s="2">
        <f ca="1">IF(Flag_Send_Data=1,_xll.DBSW(Val!L77,Val!$C$1,Val!$C$2,Val!$C$3,Val!$C$4,Val!$D77,Val!$C$5,Val!$C$6,Val!$B77,Val!$E77,Val!L$10,Val!$C$7,Val!$C77),"")</f>
        <v>-3466.0185185185182</v>
      </c>
      <c r="M77" s="2">
        <f ca="1">IF(Flag_Send_Data=1,_xll.DBSW(Val!M77,Val!$C$1,Val!$C$2,Val!$C$3,Val!$C$4,Val!$D77,Val!$C$5,Val!$C$6,Val!$B77,Val!$E77,Val!M$10,Val!$C$7,Val!$C77),"")</f>
        <v>-3466.0185185185182</v>
      </c>
      <c r="N77" s="2">
        <f ca="1">IF(Flag_Send_Data=1,_xll.DBSW(Val!N77,Val!$C$1,Val!$C$2,Val!$C$3,Val!$C$4,Val!$D77,Val!$C$5,Val!$C$6,Val!$B77,Val!$E77,Val!N$10,Val!$C$7,Val!$C77),"")</f>
        <v>-3466.0185185185182</v>
      </c>
      <c r="O77" s="2">
        <f ca="1">IF(Flag_Send_Data=1,_xll.DBSW(Val!O77,Val!$C$1,Val!$C$2,Val!$C$3,Val!$C$4,Val!$D77,Val!$C$5,Val!$C$6,Val!$B77,Val!$E77,Val!O$10,Val!$C$7,Val!$C77),"")</f>
        <v>-3466.0185185185182</v>
      </c>
      <c r="P77" s="2">
        <f ca="1">IF(Flag_Send_Data=1,_xll.DBSW(Val!P77,Val!$C$1,Val!$C$2,Val!$C$3,Val!$C$4,Val!$D77,Val!$C$5,Val!$C$6,Val!$B77,Val!$E77,Val!P$10,Val!$C$7,Val!$C77),"")</f>
        <v>-3466.0185185185182</v>
      </c>
      <c r="Q77" s="2">
        <f ca="1">IF(Flag_Send_Data=1,_xll.DBSW(Val!Q77,Val!$C$1,Val!$C$2,Val!$C$3,Val!$C$4,Val!$D77,Val!$C$5,Val!$C$6,Val!$B77,Val!$E77,Val!Q$10,Val!$C$7,Val!$C77),"")</f>
        <v>-3466.0185185185182</v>
      </c>
    </row>
    <row r="78" spans="2:17" x14ac:dyDescent="0.25">
      <c r="B78" s="3" t="s">
        <v>243</v>
      </c>
      <c r="C78" t="s">
        <v>26</v>
      </c>
      <c r="D78" t="s">
        <v>199</v>
      </c>
      <c r="E78" t="s">
        <v>128</v>
      </c>
      <c r="F78" s="2">
        <f ca="1">IF(Flag_Send_Data=1,_xll.DBSW(Val!F78,Val!$C$1,Val!$C$2,Val!$C$3,Val!$C$4,Val!$D78,Val!$C$5,Val!$C$6,Val!$B78,Val!$E78,Val!F$10,Val!$C$7,Val!$C78),"")</f>
        <v>-49409.978333333333</v>
      </c>
      <c r="G78" s="2">
        <f ca="1">IF(Flag_Send_Data=1,_xll.DBSW(Val!G78,Val!$C$1,Val!$C$2,Val!$C$3,Val!$C$4,Val!$D78,Val!$C$5,Val!$C$6,Val!$B78,Val!$E78,Val!G$10,Val!$C$7,Val!$C78),"")</f>
        <v>-49409.978333333333</v>
      </c>
      <c r="H78" s="2">
        <f ca="1">IF(Flag_Send_Data=1,_xll.DBSW(Val!H78,Val!$C$1,Val!$C$2,Val!$C$3,Val!$C$4,Val!$D78,Val!$C$5,Val!$C$6,Val!$B78,Val!$E78,Val!H$10,Val!$C$7,Val!$C78),"")</f>
        <v>-49409.978333333333</v>
      </c>
      <c r="I78" s="2">
        <f ca="1">IF(Flag_Send_Data=1,_xll.DBSW(Val!I78,Val!$C$1,Val!$C$2,Val!$C$3,Val!$C$4,Val!$D78,Val!$C$5,Val!$C$6,Val!$B78,Val!$E78,Val!I$10,Val!$C$7,Val!$C78),"")</f>
        <v>-49409.978333333333</v>
      </c>
      <c r="J78" s="2">
        <f ca="1">IF(Flag_Send_Data=1,_xll.DBSW(Val!J78,Val!$C$1,Val!$C$2,Val!$C$3,Val!$C$4,Val!$D78,Val!$C$5,Val!$C$6,Val!$B78,Val!$E78,Val!J$10,Val!$C$7,Val!$C78),"")</f>
        <v>-49409.978333333333</v>
      </c>
      <c r="K78" s="2">
        <f ca="1">IF(Flag_Send_Data=1,_xll.DBSW(Val!K78,Val!$C$1,Val!$C$2,Val!$C$3,Val!$C$4,Val!$D78,Val!$C$5,Val!$C$6,Val!$B78,Val!$E78,Val!K$10,Val!$C$7,Val!$C78),"")</f>
        <v>-49409.978333333333</v>
      </c>
      <c r="L78" s="2">
        <f ca="1">IF(Flag_Send_Data=1,_xll.DBSW(Val!L78,Val!$C$1,Val!$C$2,Val!$C$3,Val!$C$4,Val!$D78,Val!$C$5,Val!$C$6,Val!$B78,Val!$E78,Val!L$10,Val!$C$7,Val!$C78),"")</f>
        <v>-49409.978333333333</v>
      </c>
      <c r="M78" s="2">
        <f ca="1">IF(Flag_Send_Data=1,_xll.DBSW(Val!M78,Val!$C$1,Val!$C$2,Val!$C$3,Val!$C$4,Val!$D78,Val!$C$5,Val!$C$6,Val!$B78,Val!$E78,Val!M$10,Val!$C$7,Val!$C78),"")</f>
        <v>-49409.978333333333</v>
      </c>
      <c r="N78" s="2">
        <f ca="1">IF(Flag_Send_Data=1,_xll.DBSW(Val!N78,Val!$C$1,Val!$C$2,Val!$C$3,Val!$C$4,Val!$D78,Val!$C$5,Val!$C$6,Val!$B78,Val!$E78,Val!N$10,Val!$C$7,Val!$C78),"")</f>
        <v>-49409.978333333333</v>
      </c>
      <c r="O78" s="2">
        <f ca="1">IF(Flag_Send_Data=1,_xll.DBSW(Val!O78,Val!$C$1,Val!$C$2,Val!$C$3,Val!$C$4,Val!$D78,Val!$C$5,Val!$C$6,Val!$B78,Val!$E78,Val!O$10,Val!$C$7,Val!$C78),"")</f>
        <v>-49409.978333333333</v>
      </c>
      <c r="P78" s="2">
        <f ca="1">IF(Flag_Send_Data=1,_xll.DBSW(Val!P78,Val!$C$1,Val!$C$2,Val!$C$3,Val!$C$4,Val!$D78,Val!$C$5,Val!$C$6,Val!$B78,Val!$E78,Val!P$10,Val!$C$7,Val!$C78),"")</f>
        <v>-49409.978333333333</v>
      </c>
      <c r="Q78" s="2">
        <f ca="1">IF(Flag_Send_Data=1,_xll.DBSW(Val!Q78,Val!$C$1,Val!$C$2,Val!$C$3,Val!$C$4,Val!$D78,Val!$C$5,Val!$C$6,Val!$B78,Val!$E78,Val!Q$10,Val!$C$7,Val!$C78),"")</f>
        <v>-49409.978333333333</v>
      </c>
    </row>
    <row r="79" spans="2:17" x14ac:dyDescent="0.25">
      <c r="B79" s="3" t="s">
        <v>243</v>
      </c>
      <c r="C79" t="s">
        <v>27</v>
      </c>
      <c r="D79" t="s">
        <v>199</v>
      </c>
      <c r="E79" t="s">
        <v>128</v>
      </c>
      <c r="F79" s="2">
        <f ca="1">IF(Flag_Send_Data=1,_xll.DBSW(Val!F79,Val!$C$1,Val!$C$2,Val!$C$3,Val!$C$4,Val!$D79,Val!$C$5,Val!$C$6,Val!$B79,Val!$E79,Val!F$10,Val!$C$7,Val!$C79),"")</f>
        <v>-83.333333333333329</v>
      </c>
      <c r="G79" s="2">
        <f ca="1">IF(Flag_Send_Data=1,_xll.DBSW(Val!G79,Val!$C$1,Val!$C$2,Val!$C$3,Val!$C$4,Val!$D79,Val!$C$5,Val!$C$6,Val!$B79,Val!$E79,Val!G$10,Val!$C$7,Val!$C79),"")</f>
        <v>-83.333333333333329</v>
      </c>
      <c r="H79" s="2">
        <f ca="1">IF(Flag_Send_Data=1,_xll.DBSW(Val!H79,Val!$C$1,Val!$C$2,Val!$C$3,Val!$C$4,Val!$D79,Val!$C$5,Val!$C$6,Val!$B79,Val!$E79,Val!H$10,Val!$C$7,Val!$C79),"")</f>
        <v>-83.333333333333329</v>
      </c>
      <c r="I79" s="2">
        <f ca="1">IF(Flag_Send_Data=1,_xll.DBSW(Val!I79,Val!$C$1,Val!$C$2,Val!$C$3,Val!$C$4,Val!$D79,Val!$C$5,Val!$C$6,Val!$B79,Val!$E79,Val!I$10,Val!$C$7,Val!$C79),"")</f>
        <v>-83.333333333333329</v>
      </c>
      <c r="J79" s="2">
        <f ca="1">IF(Flag_Send_Data=1,_xll.DBSW(Val!J79,Val!$C$1,Val!$C$2,Val!$C$3,Val!$C$4,Val!$D79,Val!$C$5,Val!$C$6,Val!$B79,Val!$E79,Val!J$10,Val!$C$7,Val!$C79),"")</f>
        <v>-83.333333333333329</v>
      </c>
      <c r="K79" s="2">
        <f ca="1">IF(Flag_Send_Data=1,_xll.DBSW(Val!K79,Val!$C$1,Val!$C$2,Val!$C$3,Val!$C$4,Val!$D79,Val!$C$5,Val!$C$6,Val!$B79,Val!$E79,Val!K$10,Val!$C$7,Val!$C79),"")</f>
        <v>-83.333333333333329</v>
      </c>
      <c r="L79" s="2">
        <f ca="1">IF(Flag_Send_Data=1,_xll.DBSW(Val!L79,Val!$C$1,Val!$C$2,Val!$C$3,Val!$C$4,Val!$D79,Val!$C$5,Val!$C$6,Val!$B79,Val!$E79,Val!L$10,Val!$C$7,Val!$C79),"")</f>
        <v>-83.333333333333329</v>
      </c>
      <c r="M79" s="2">
        <f ca="1">IF(Flag_Send_Data=1,_xll.DBSW(Val!M79,Val!$C$1,Val!$C$2,Val!$C$3,Val!$C$4,Val!$D79,Val!$C$5,Val!$C$6,Val!$B79,Val!$E79,Val!M$10,Val!$C$7,Val!$C79),"")</f>
        <v>-83.333333333333329</v>
      </c>
      <c r="N79" s="2">
        <f ca="1">IF(Flag_Send_Data=1,_xll.DBSW(Val!N79,Val!$C$1,Val!$C$2,Val!$C$3,Val!$C$4,Val!$D79,Val!$C$5,Val!$C$6,Val!$B79,Val!$E79,Val!N$10,Val!$C$7,Val!$C79),"")</f>
        <v>-83.333333333333329</v>
      </c>
      <c r="O79" s="2">
        <f ca="1">IF(Flag_Send_Data=1,_xll.DBSW(Val!O79,Val!$C$1,Val!$C$2,Val!$C$3,Val!$C$4,Val!$D79,Val!$C$5,Val!$C$6,Val!$B79,Val!$E79,Val!O$10,Val!$C$7,Val!$C79),"")</f>
        <v>-83.333333333333329</v>
      </c>
      <c r="P79" s="2">
        <f ca="1">IF(Flag_Send_Data=1,_xll.DBSW(Val!P79,Val!$C$1,Val!$C$2,Val!$C$3,Val!$C$4,Val!$D79,Val!$C$5,Val!$C$6,Val!$B79,Val!$E79,Val!P$10,Val!$C$7,Val!$C79),"")</f>
        <v>-83.333333333333329</v>
      </c>
      <c r="Q79" s="2">
        <f ca="1">IF(Flag_Send_Data=1,_xll.DBSW(Val!Q79,Val!$C$1,Val!$C$2,Val!$C$3,Val!$C$4,Val!$D79,Val!$C$5,Val!$C$6,Val!$B79,Val!$E79,Val!Q$10,Val!$C$7,Val!$C79),"")</f>
        <v>-83.333333333333329</v>
      </c>
    </row>
    <row r="80" spans="2:17" x14ac:dyDescent="0.25">
      <c r="B80" s="3" t="s">
        <v>243</v>
      </c>
      <c r="C80" t="s">
        <v>80</v>
      </c>
      <c r="D80" t="s">
        <v>106</v>
      </c>
      <c r="E80" t="s">
        <v>128</v>
      </c>
      <c r="F80" s="2">
        <f ca="1">IF(Flag_Send_Data=1,_xll.DBSW(Val!F80,Val!$C$1,Val!$C$2,Val!$C$3,Val!$C$4,Val!$D80,Val!$C$5,Val!$C$6,Val!$B80,Val!$E80,Val!F$10,Val!$C$7,Val!$C80),"")</f>
        <v>-16225</v>
      </c>
      <c r="G80" s="2">
        <f ca="1">IF(Flag_Send_Data=1,_xll.DBSW(Val!G80,Val!$C$1,Val!$C$2,Val!$C$3,Val!$C$4,Val!$D80,Val!$C$5,Val!$C$6,Val!$B80,Val!$E80,Val!G$10,Val!$C$7,Val!$C80),"")</f>
        <v>-16225</v>
      </c>
      <c r="H80" s="2">
        <f ca="1">IF(Flag_Send_Data=1,_xll.DBSW(Val!H80,Val!$C$1,Val!$C$2,Val!$C$3,Val!$C$4,Val!$D80,Val!$C$5,Val!$C$6,Val!$B80,Val!$E80,Val!H$10,Val!$C$7,Val!$C80),"")</f>
        <v>-16225</v>
      </c>
      <c r="I80" s="2">
        <f ca="1">IF(Flag_Send_Data=1,_xll.DBSW(Val!I80,Val!$C$1,Val!$C$2,Val!$C$3,Val!$C$4,Val!$D80,Val!$C$5,Val!$C$6,Val!$B80,Val!$E80,Val!I$10,Val!$C$7,Val!$C80),"")</f>
        <v>-16225</v>
      </c>
      <c r="J80" s="2">
        <f ca="1">IF(Flag_Send_Data=1,_xll.DBSW(Val!J80,Val!$C$1,Val!$C$2,Val!$C$3,Val!$C$4,Val!$D80,Val!$C$5,Val!$C$6,Val!$B80,Val!$E80,Val!J$10,Val!$C$7,Val!$C80),"")</f>
        <v>-16225</v>
      </c>
      <c r="K80" s="2">
        <f ca="1">IF(Flag_Send_Data=1,_xll.DBSW(Val!K80,Val!$C$1,Val!$C$2,Val!$C$3,Val!$C$4,Val!$D80,Val!$C$5,Val!$C$6,Val!$B80,Val!$E80,Val!K$10,Val!$C$7,Val!$C80),"")</f>
        <v>-16225</v>
      </c>
      <c r="L80" s="2">
        <f ca="1">IF(Flag_Send_Data=1,_xll.DBSW(Val!L80,Val!$C$1,Val!$C$2,Val!$C$3,Val!$C$4,Val!$D80,Val!$C$5,Val!$C$6,Val!$B80,Val!$E80,Val!L$10,Val!$C$7,Val!$C80),"")</f>
        <v>-16225</v>
      </c>
      <c r="M80" s="2">
        <f ca="1">IF(Flag_Send_Data=1,_xll.DBSW(Val!M80,Val!$C$1,Val!$C$2,Val!$C$3,Val!$C$4,Val!$D80,Val!$C$5,Val!$C$6,Val!$B80,Val!$E80,Val!M$10,Val!$C$7,Val!$C80),"")</f>
        <v>-16225</v>
      </c>
      <c r="N80" s="2">
        <f ca="1">IF(Flag_Send_Data=1,_xll.DBSW(Val!N80,Val!$C$1,Val!$C$2,Val!$C$3,Val!$C$4,Val!$D80,Val!$C$5,Val!$C$6,Val!$B80,Val!$E80,Val!N$10,Val!$C$7,Val!$C80),"")</f>
        <v>-16225</v>
      </c>
      <c r="O80" s="2">
        <f ca="1">IF(Flag_Send_Data=1,_xll.DBSW(Val!O80,Val!$C$1,Val!$C$2,Val!$C$3,Val!$C$4,Val!$D80,Val!$C$5,Val!$C$6,Val!$B80,Val!$E80,Val!O$10,Val!$C$7,Val!$C80),"")</f>
        <v>-16225</v>
      </c>
      <c r="P80" s="2">
        <f ca="1">IF(Flag_Send_Data=1,_xll.DBSW(Val!P80,Val!$C$1,Val!$C$2,Val!$C$3,Val!$C$4,Val!$D80,Val!$C$5,Val!$C$6,Val!$B80,Val!$E80,Val!P$10,Val!$C$7,Val!$C80),"")</f>
        <v>-16225</v>
      </c>
      <c r="Q80" s="2">
        <f ca="1">IF(Flag_Send_Data=1,_xll.DBSW(Val!Q80,Val!$C$1,Val!$C$2,Val!$C$3,Val!$C$4,Val!$D80,Val!$C$5,Val!$C$6,Val!$B80,Val!$E80,Val!Q$10,Val!$C$7,Val!$C80),"")</f>
        <v>-16225</v>
      </c>
    </row>
    <row r="81" spans="2:17" x14ac:dyDescent="0.25">
      <c r="B81" s="3" t="s">
        <v>243</v>
      </c>
      <c r="C81" t="s">
        <v>80</v>
      </c>
      <c r="D81" t="s">
        <v>199</v>
      </c>
      <c r="E81" t="s">
        <v>128</v>
      </c>
      <c r="F81" s="2">
        <f ca="1">IF(Flag_Send_Data=1,_xll.DBSW(Val!F81,Val!$C$1,Val!$C$2,Val!$C$3,Val!$C$4,Val!$D81,Val!$C$5,Val!$C$6,Val!$B81,Val!$E81,Val!F$10,Val!$C$7,Val!$C81),"")</f>
        <v>-1250</v>
      </c>
      <c r="G81" s="2">
        <f ca="1">IF(Flag_Send_Data=1,_xll.DBSW(Val!G81,Val!$C$1,Val!$C$2,Val!$C$3,Val!$C$4,Val!$D81,Val!$C$5,Val!$C$6,Val!$B81,Val!$E81,Val!G$10,Val!$C$7,Val!$C81),"")</f>
        <v>-1250</v>
      </c>
      <c r="H81" s="2">
        <f ca="1">IF(Flag_Send_Data=1,_xll.DBSW(Val!H81,Val!$C$1,Val!$C$2,Val!$C$3,Val!$C$4,Val!$D81,Val!$C$5,Val!$C$6,Val!$B81,Val!$E81,Val!H$10,Val!$C$7,Val!$C81),"")</f>
        <v>-1250</v>
      </c>
      <c r="I81" s="2">
        <f ca="1">IF(Flag_Send_Data=1,_xll.DBSW(Val!I81,Val!$C$1,Val!$C$2,Val!$C$3,Val!$C$4,Val!$D81,Val!$C$5,Val!$C$6,Val!$B81,Val!$E81,Val!I$10,Val!$C$7,Val!$C81),"")</f>
        <v>-1250</v>
      </c>
      <c r="J81" s="2">
        <f ca="1">IF(Flag_Send_Data=1,_xll.DBSW(Val!J81,Val!$C$1,Val!$C$2,Val!$C$3,Val!$C$4,Val!$D81,Val!$C$5,Val!$C$6,Val!$B81,Val!$E81,Val!J$10,Val!$C$7,Val!$C81),"")</f>
        <v>-1250</v>
      </c>
      <c r="K81" s="2">
        <f ca="1">IF(Flag_Send_Data=1,_xll.DBSW(Val!K81,Val!$C$1,Val!$C$2,Val!$C$3,Val!$C$4,Val!$D81,Val!$C$5,Val!$C$6,Val!$B81,Val!$E81,Val!K$10,Val!$C$7,Val!$C81),"")</f>
        <v>-1250</v>
      </c>
      <c r="L81" s="2">
        <f ca="1">IF(Flag_Send_Data=1,_xll.DBSW(Val!L81,Val!$C$1,Val!$C$2,Val!$C$3,Val!$C$4,Val!$D81,Val!$C$5,Val!$C$6,Val!$B81,Val!$E81,Val!L$10,Val!$C$7,Val!$C81),"")</f>
        <v>-1250</v>
      </c>
      <c r="M81" s="2">
        <f ca="1">IF(Flag_Send_Data=1,_xll.DBSW(Val!M81,Val!$C$1,Val!$C$2,Val!$C$3,Val!$C$4,Val!$D81,Val!$C$5,Val!$C$6,Val!$B81,Val!$E81,Val!M$10,Val!$C$7,Val!$C81),"")</f>
        <v>-1250</v>
      </c>
      <c r="N81" s="2">
        <f ca="1">IF(Flag_Send_Data=1,_xll.DBSW(Val!N81,Val!$C$1,Val!$C$2,Val!$C$3,Val!$C$4,Val!$D81,Val!$C$5,Val!$C$6,Val!$B81,Val!$E81,Val!N$10,Val!$C$7,Val!$C81),"")</f>
        <v>-1250</v>
      </c>
      <c r="O81" s="2">
        <f ca="1">IF(Flag_Send_Data=1,_xll.DBSW(Val!O81,Val!$C$1,Val!$C$2,Val!$C$3,Val!$C$4,Val!$D81,Val!$C$5,Val!$C$6,Val!$B81,Val!$E81,Val!O$10,Val!$C$7,Val!$C81),"")</f>
        <v>-1250</v>
      </c>
      <c r="P81" s="2">
        <f ca="1">IF(Flag_Send_Data=1,_xll.DBSW(Val!P81,Val!$C$1,Val!$C$2,Val!$C$3,Val!$C$4,Val!$D81,Val!$C$5,Val!$C$6,Val!$B81,Val!$E81,Val!P$10,Val!$C$7,Val!$C81),"")</f>
        <v>-1250</v>
      </c>
      <c r="Q81" s="2">
        <f ca="1">IF(Flag_Send_Data=1,_xll.DBSW(Val!Q81,Val!$C$1,Val!$C$2,Val!$C$3,Val!$C$4,Val!$D81,Val!$C$5,Val!$C$6,Val!$B81,Val!$E81,Val!Q$10,Val!$C$7,Val!$C81),"")</f>
        <v>-1250</v>
      </c>
    </row>
    <row r="82" spans="2:17" x14ac:dyDescent="0.25">
      <c r="B82" s="3" t="s">
        <v>243</v>
      </c>
      <c r="C82" t="s">
        <v>29</v>
      </c>
      <c r="D82" t="s">
        <v>199</v>
      </c>
      <c r="E82" t="s">
        <v>158</v>
      </c>
      <c r="F82" s="2">
        <f ca="1">IF(Flag_Send_Data=1,_xll.DBSW(Val!F82,Val!$C$1,Val!$C$2,Val!$C$3,Val!$C$4,Val!$D82,Val!$C$5,Val!$C$6,Val!$B82,Val!$E82,Val!F$10,Val!$C$7,Val!$C82),"")</f>
        <v>-8333.3333333333339</v>
      </c>
      <c r="G82" s="2">
        <f ca="1">IF(Flag_Send_Data=1,_xll.DBSW(Val!G82,Val!$C$1,Val!$C$2,Val!$C$3,Val!$C$4,Val!$D82,Val!$C$5,Val!$C$6,Val!$B82,Val!$E82,Val!G$10,Val!$C$7,Val!$C82),"")</f>
        <v>-8333.3333333333339</v>
      </c>
      <c r="H82" s="2">
        <f ca="1">IF(Flag_Send_Data=1,_xll.DBSW(Val!H82,Val!$C$1,Val!$C$2,Val!$C$3,Val!$C$4,Val!$D82,Val!$C$5,Val!$C$6,Val!$B82,Val!$E82,Val!H$10,Val!$C$7,Val!$C82),"")</f>
        <v>-8333.3333333333339</v>
      </c>
      <c r="I82" s="2">
        <f ca="1">IF(Flag_Send_Data=1,_xll.DBSW(Val!I82,Val!$C$1,Val!$C$2,Val!$C$3,Val!$C$4,Val!$D82,Val!$C$5,Val!$C$6,Val!$B82,Val!$E82,Val!I$10,Val!$C$7,Val!$C82),"")</f>
        <v>-8333.3333333333339</v>
      </c>
      <c r="J82" s="2">
        <f ca="1">IF(Flag_Send_Data=1,_xll.DBSW(Val!J82,Val!$C$1,Val!$C$2,Val!$C$3,Val!$C$4,Val!$D82,Val!$C$5,Val!$C$6,Val!$B82,Val!$E82,Val!J$10,Val!$C$7,Val!$C82),"")</f>
        <v>-8333.3333333333339</v>
      </c>
      <c r="K82" s="2">
        <f ca="1">IF(Flag_Send_Data=1,_xll.DBSW(Val!K82,Val!$C$1,Val!$C$2,Val!$C$3,Val!$C$4,Val!$D82,Val!$C$5,Val!$C$6,Val!$B82,Val!$E82,Val!K$10,Val!$C$7,Val!$C82),"")</f>
        <v>-8333.3333333333339</v>
      </c>
      <c r="L82" s="2">
        <f ca="1">IF(Flag_Send_Data=1,_xll.DBSW(Val!L82,Val!$C$1,Val!$C$2,Val!$C$3,Val!$C$4,Val!$D82,Val!$C$5,Val!$C$6,Val!$B82,Val!$E82,Val!L$10,Val!$C$7,Val!$C82),"")</f>
        <v>-8333.3333333333339</v>
      </c>
      <c r="M82" s="2">
        <f ca="1">IF(Flag_Send_Data=1,_xll.DBSW(Val!M82,Val!$C$1,Val!$C$2,Val!$C$3,Val!$C$4,Val!$D82,Val!$C$5,Val!$C$6,Val!$B82,Val!$E82,Val!M$10,Val!$C$7,Val!$C82),"")</f>
        <v>-8333.3333333333339</v>
      </c>
      <c r="N82" s="2">
        <f ca="1">IF(Flag_Send_Data=1,_xll.DBSW(Val!N82,Val!$C$1,Val!$C$2,Val!$C$3,Val!$C$4,Val!$D82,Val!$C$5,Val!$C$6,Val!$B82,Val!$E82,Val!N$10,Val!$C$7,Val!$C82),"")</f>
        <v>-8333.3333333333339</v>
      </c>
      <c r="O82" s="2">
        <f ca="1">IF(Flag_Send_Data=1,_xll.DBSW(Val!O82,Val!$C$1,Val!$C$2,Val!$C$3,Val!$C$4,Val!$D82,Val!$C$5,Val!$C$6,Val!$B82,Val!$E82,Val!O$10,Val!$C$7,Val!$C82),"")</f>
        <v>-8333.3333333333339</v>
      </c>
      <c r="P82" s="2">
        <f ca="1">IF(Flag_Send_Data=1,_xll.DBSW(Val!P82,Val!$C$1,Val!$C$2,Val!$C$3,Val!$C$4,Val!$D82,Val!$C$5,Val!$C$6,Val!$B82,Val!$E82,Val!P$10,Val!$C$7,Val!$C82),"")</f>
        <v>-8333.3333333333339</v>
      </c>
      <c r="Q82" s="2">
        <f ca="1">IF(Flag_Send_Data=1,_xll.DBSW(Val!Q82,Val!$C$1,Val!$C$2,Val!$C$3,Val!$C$4,Val!$D82,Val!$C$5,Val!$C$6,Val!$B82,Val!$E82,Val!Q$10,Val!$C$7,Val!$C82),"")</f>
        <v>-8333.3333333333339</v>
      </c>
    </row>
    <row r="83" spans="2:17" x14ac:dyDescent="0.25">
      <c r="B83" s="3" t="s">
        <v>243</v>
      </c>
      <c r="C83" t="s">
        <v>30</v>
      </c>
      <c r="D83" t="s">
        <v>199</v>
      </c>
      <c r="E83" t="s">
        <v>128</v>
      </c>
      <c r="F83" s="2">
        <f ca="1">IF(Flag_Send_Data=1,_xll.DBSW(Val!F83,Val!$C$1,Val!$C$2,Val!$C$3,Val!$C$4,Val!$D83,Val!$C$5,Val!$C$6,Val!$B83,Val!$E83,Val!F$10,Val!$C$7,Val!$C83),"")</f>
        <v>-83.333333333333329</v>
      </c>
      <c r="G83" s="2">
        <f ca="1">IF(Flag_Send_Data=1,_xll.DBSW(Val!G83,Val!$C$1,Val!$C$2,Val!$C$3,Val!$C$4,Val!$D83,Val!$C$5,Val!$C$6,Val!$B83,Val!$E83,Val!G$10,Val!$C$7,Val!$C83),"")</f>
        <v>-83.333333333333329</v>
      </c>
      <c r="H83" s="2">
        <f ca="1">IF(Flag_Send_Data=1,_xll.DBSW(Val!H83,Val!$C$1,Val!$C$2,Val!$C$3,Val!$C$4,Val!$D83,Val!$C$5,Val!$C$6,Val!$B83,Val!$E83,Val!H$10,Val!$C$7,Val!$C83),"")</f>
        <v>-83.333333333333329</v>
      </c>
      <c r="I83" s="2">
        <f ca="1">IF(Flag_Send_Data=1,_xll.DBSW(Val!I83,Val!$C$1,Val!$C$2,Val!$C$3,Val!$C$4,Val!$D83,Val!$C$5,Val!$C$6,Val!$B83,Val!$E83,Val!I$10,Val!$C$7,Val!$C83),"")</f>
        <v>-83.333333333333329</v>
      </c>
      <c r="J83" s="2">
        <f ca="1">IF(Flag_Send_Data=1,_xll.DBSW(Val!J83,Val!$C$1,Val!$C$2,Val!$C$3,Val!$C$4,Val!$D83,Val!$C$5,Val!$C$6,Val!$B83,Val!$E83,Val!J$10,Val!$C$7,Val!$C83),"")</f>
        <v>-83.333333333333329</v>
      </c>
      <c r="K83" s="2">
        <f ca="1">IF(Flag_Send_Data=1,_xll.DBSW(Val!K83,Val!$C$1,Val!$C$2,Val!$C$3,Val!$C$4,Val!$D83,Val!$C$5,Val!$C$6,Val!$B83,Val!$E83,Val!K$10,Val!$C$7,Val!$C83),"")</f>
        <v>-83.333333333333329</v>
      </c>
      <c r="L83" s="2">
        <f ca="1">IF(Flag_Send_Data=1,_xll.DBSW(Val!L83,Val!$C$1,Val!$C$2,Val!$C$3,Val!$C$4,Val!$D83,Val!$C$5,Val!$C$6,Val!$B83,Val!$E83,Val!L$10,Val!$C$7,Val!$C83),"")</f>
        <v>-83.333333333333329</v>
      </c>
      <c r="M83" s="2">
        <f ca="1">IF(Flag_Send_Data=1,_xll.DBSW(Val!M83,Val!$C$1,Val!$C$2,Val!$C$3,Val!$C$4,Val!$D83,Val!$C$5,Val!$C$6,Val!$B83,Val!$E83,Val!M$10,Val!$C$7,Val!$C83),"")</f>
        <v>-83.333333333333329</v>
      </c>
      <c r="N83" s="2">
        <f ca="1">IF(Flag_Send_Data=1,_xll.DBSW(Val!N83,Val!$C$1,Val!$C$2,Val!$C$3,Val!$C$4,Val!$D83,Val!$C$5,Val!$C$6,Val!$B83,Val!$E83,Val!N$10,Val!$C$7,Val!$C83),"")</f>
        <v>-83.333333333333329</v>
      </c>
      <c r="O83" s="2">
        <f ca="1">IF(Flag_Send_Data=1,_xll.DBSW(Val!O83,Val!$C$1,Val!$C$2,Val!$C$3,Val!$C$4,Val!$D83,Val!$C$5,Val!$C$6,Val!$B83,Val!$E83,Val!O$10,Val!$C$7,Val!$C83),"")</f>
        <v>-83.333333333333329</v>
      </c>
      <c r="P83" s="2">
        <f ca="1">IF(Flag_Send_Data=1,_xll.DBSW(Val!P83,Val!$C$1,Val!$C$2,Val!$C$3,Val!$C$4,Val!$D83,Val!$C$5,Val!$C$6,Val!$B83,Val!$E83,Val!P$10,Val!$C$7,Val!$C83),"")</f>
        <v>-83.333333333333329</v>
      </c>
      <c r="Q83" s="2">
        <f ca="1">IF(Flag_Send_Data=1,_xll.DBSW(Val!Q83,Val!$C$1,Val!$C$2,Val!$C$3,Val!$C$4,Val!$D83,Val!$C$5,Val!$C$6,Val!$B83,Val!$E83,Val!Q$10,Val!$C$7,Val!$C83),"")</f>
        <v>-83.333333333333329</v>
      </c>
    </row>
    <row r="84" spans="2:17" x14ac:dyDescent="0.25">
      <c r="B84" s="3" t="s">
        <v>243</v>
      </c>
      <c r="C84" t="s">
        <v>131</v>
      </c>
      <c r="D84" t="s">
        <v>199</v>
      </c>
      <c r="E84" t="s">
        <v>17</v>
      </c>
      <c r="F84" s="2">
        <f ca="1">IF(Flag_Send_Data=1,_xll.DBSW(Val!F84,Val!$C$1,Val!$C$2,Val!$C$3,Val!$C$4,Val!$D84,Val!$C$5,Val!$C$6,Val!$B84,Val!$E84,Val!F$10,Val!$C$7,Val!$C84),"")</f>
        <v>-2296.0833333333335</v>
      </c>
      <c r="G84" s="2">
        <f ca="1">IF(Flag_Send_Data=1,_xll.DBSW(Val!G84,Val!$C$1,Val!$C$2,Val!$C$3,Val!$C$4,Val!$D84,Val!$C$5,Val!$C$6,Val!$B84,Val!$E84,Val!G$10,Val!$C$7,Val!$C84),"")</f>
        <v>-2296.0833333333335</v>
      </c>
      <c r="H84" s="2">
        <f ca="1">IF(Flag_Send_Data=1,_xll.DBSW(Val!H84,Val!$C$1,Val!$C$2,Val!$C$3,Val!$C$4,Val!$D84,Val!$C$5,Val!$C$6,Val!$B84,Val!$E84,Val!H$10,Val!$C$7,Val!$C84),"")</f>
        <v>-2296.0833333333335</v>
      </c>
      <c r="I84" s="2">
        <f ca="1">IF(Flag_Send_Data=1,_xll.DBSW(Val!I84,Val!$C$1,Val!$C$2,Val!$C$3,Val!$C$4,Val!$D84,Val!$C$5,Val!$C$6,Val!$B84,Val!$E84,Val!I$10,Val!$C$7,Val!$C84),"")</f>
        <v>-2296.0833333333335</v>
      </c>
      <c r="J84" s="2">
        <f ca="1">IF(Flag_Send_Data=1,_xll.DBSW(Val!J84,Val!$C$1,Val!$C$2,Val!$C$3,Val!$C$4,Val!$D84,Val!$C$5,Val!$C$6,Val!$B84,Val!$E84,Val!J$10,Val!$C$7,Val!$C84),"")</f>
        <v>-2296.0833333333335</v>
      </c>
      <c r="K84" s="2">
        <f ca="1">IF(Flag_Send_Data=1,_xll.DBSW(Val!K84,Val!$C$1,Val!$C$2,Val!$C$3,Val!$C$4,Val!$D84,Val!$C$5,Val!$C$6,Val!$B84,Val!$E84,Val!K$10,Val!$C$7,Val!$C84),"")</f>
        <v>-2296.0833333333335</v>
      </c>
      <c r="L84" s="2">
        <f ca="1">IF(Flag_Send_Data=1,_xll.DBSW(Val!L84,Val!$C$1,Val!$C$2,Val!$C$3,Val!$C$4,Val!$D84,Val!$C$5,Val!$C$6,Val!$B84,Val!$E84,Val!L$10,Val!$C$7,Val!$C84),"")</f>
        <v>-2296.0833333333335</v>
      </c>
      <c r="M84" s="2">
        <f ca="1">IF(Flag_Send_Data=1,_xll.DBSW(Val!M84,Val!$C$1,Val!$C$2,Val!$C$3,Val!$C$4,Val!$D84,Val!$C$5,Val!$C$6,Val!$B84,Val!$E84,Val!M$10,Val!$C$7,Val!$C84),"")</f>
        <v>-2296.0833333333335</v>
      </c>
      <c r="N84" s="2">
        <f ca="1">IF(Flag_Send_Data=1,_xll.DBSW(Val!N84,Val!$C$1,Val!$C$2,Val!$C$3,Val!$C$4,Val!$D84,Val!$C$5,Val!$C$6,Val!$B84,Val!$E84,Val!N$10,Val!$C$7,Val!$C84),"")</f>
        <v>-2296.0833333333335</v>
      </c>
      <c r="O84" s="2">
        <f ca="1">IF(Flag_Send_Data=1,_xll.DBSW(Val!O84,Val!$C$1,Val!$C$2,Val!$C$3,Val!$C$4,Val!$D84,Val!$C$5,Val!$C$6,Val!$B84,Val!$E84,Val!O$10,Val!$C$7,Val!$C84),"")</f>
        <v>-2296.0833333333335</v>
      </c>
      <c r="P84" s="2">
        <f ca="1">IF(Flag_Send_Data=1,_xll.DBSW(Val!P84,Val!$C$1,Val!$C$2,Val!$C$3,Val!$C$4,Val!$D84,Val!$C$5,Val!$C$6,Val!$B84,Val!$E84,Val!P$10,Val!$C$7,Val!$C84),"")</f>
        <v>-2296.0833333333335</v>
      </c>
      <c r="Q84" s="2">
        <f ca="1">IF(Flag_Send_Data=1,_xll.DBSW(Val!Q84,Val!$C$1,Val!$C$2,Val!$C$3,Val!$C$4,Val!$D84,Val!$C$5,Val!$C$6,Val!$B84,Val!$E84,Val!Q$10,Val!$C$7,Val!$C84),"")</f>
        <v>-2296.0833333333335</v>
      </c>
    </row>
    <row r="85" spans="2:17" x14ac:dyDescent="0.25">
      <c r="B85" s="3" t="s">
        <v>244</v>
      </c>
      <c r="C85" t="s">
        <v>26</v>
      </c>
      <c r="D85" t="s">
        <v>199</v>
      </c>
      <c r="E85" t="s">
        <v>128</v>
      </c>
      <c r="F85" s="2">
        <f ca="1">IF(Flag_Send_Data=1,_xll.DBSW(Val!F85,Val!$C$1,Val!$C$2,Val!$C$3,Val!$C$4,Val!$D85,Val!$C$5,Val!$C$6,Val!$B85,Val!$E85,Val!F$10,Val!$C$7,Val!$C85),"")</f>
        <v>-88749.255833333344</v>
      </c>
      <c r="G85" s="2">
        <f ca="1">IF(Flag_Send_Data=1,_xll.DBSW(Val!G85,Val!$C$1,Val!$C$2,Val!$C$3,Val!$C$4,Val!$D85,Val!$C$5,Val!$C$6,Val!$B85,Val!$E85,Val!G$10,Val!$C$7,Val!$C85),"")</f>
        <v>-88749.255833333344</v>
      </c>
      <c r="H85" s="2">
        <f ca="1">IF(Flag_Send_Data=1,_xll.DBSW(Val!H85,Val!$C$1,Val!$C$2,Val!$C$3,Val!$C$4,Val!$D85,Val!$C$5,Val!$C$6,Val!$B85,Val!$E85,Val!H$10,Val!$C$7,Val!$C85),"")</f>
        <v>-88749.255833333344</v>
      </c>
      <c r="I85" s="2">
        <f ca="1">IF(Flag_Send_Data=1,_xll.DBSW(Val!I85,Val!$C$1,Val!$C$2,Val!$C$3,Val!$C$4,Val!$D85,Val!$C$5,Val!$C$6,Val!$B85,Val!$E85,Val!I$10,Val!$C$7,Val!$C85),"")</f>
        <v>-88749.255833333344</v>
      </c>
      <c r="J85" s="2">
        <f ca="1">IF(Flag_Send_Data=1,_xll.DBSW(Val!J85,Val!$C$1,Val!$C$2,Val!$C$3,Val!$C$4,Val!$D85,Val!$C$5,Val!$C$6,Val!$B85,Val!$E85,Val!J$10,Val!$C$7,Val!$C85),"")</f>
        <v>-88749.255833333344</v>
      </c>
      <c r="K85" s="2">
        <f ca="1">IF(Flag_Send_Data=1,_xll.DBSW(Val!K85,Val!$C$1,Val!$C$2,Val!$C$3,Val!$C$4,Val!$D85,Val!$C$5,Val!$C$6,Val!$B85,Val!$E85,Val!K$10,Val!$C$7,Val!$C85),"")</f>
        <v>-88749.255833333344</v>
      </c>
      <c r="L85" s="2">
        <f ca="1">IF(Flag_Send_Data=1,_xll.DBSW(Val!L85,Val!$C$1,Val!$C$2,Val!$C$3,Val!$C$4,Val!$D85,Val!$C$5,Val!$C$6,Val!$B85,Val!$E85,Val!L$10,Val!$C$7,Val!$C85),"")</f>
        <v>-88749.255833333344</v>
      </c>
      <c r="M85" s="2">
        <f ca="1">IF(Flag_Send_Data=1,_xll.DBSW(Val!M85,Val!$C$1,Val!$C$2,Val!$C$3,Val!$C$4,Val!$D85,Val!$C$5,Val!$C$6,Val!$B85,Val!$E85,Val!M$10,Val!$C$7,Val!$C85),"")</f>
        <v>-88749.255833333344</v>
      </c>
      <c r="N85" s="2">
        <f ca="1">IF(Flag_Send_Data=1,_xll.DBSW(Val!N85,Val!$C$1,Val!$C$2,Val!$C$3,Val!$C$4,Val!$D85,Val!$C$5,Val!$C$6,Val!$B85,Val!$E85,Val!N$10,Val!$C$7,Val!$C85),"")</f>
        <v>-88749.255833333344</v>
      </c>
      <c r="O85" s="2">
        <f ca="1">IF(Flag_Send_Data=1,_xll.DBSW(Val!O85,Val!$C$1,Val!$C$2,Val!$C$3,Val!$C$4,Val!$D85,Val!$C$5,Val!$C$6,Val!$B85,Val!$E85,Val!O$10,Val!$C$7,Val!$C85),"")</f>
        <v>-88749.255833333344</v>
      </c>
      <c r="P85" s="2">
        <f ca="1">IF(Flag_Send_Data=1,_xll.DBSW(Val!P85,Val!$C$1,Val!$C$2,Val!$C$3,Val!$C$4,Val!$D85,Val!$C$5,Val!$C$6,Val!$B85,Val!$E85,Val!P$10,Val!$C$7,Val!$C85),"")</f>
        <v>-88749.255833333344</v>
      </c>
      <c r="Q85" s="2">
        <f ca="1">IF(Flag_Send_Data=1,_xll.DBSW(Val!Q85,Val!$C$1,Val!$C$2,Val!$C$3,Val!$C$4,Val!$D85,Val!$C$5,Val!$C$6,Val!$B85,Val!$E85,Val!Q$10,Val!$C$7,Val!$C85),"")</f>
        <v>-88749.255833333344</v>
      </c>
    </row>
    <row r="86" spans="2:17" x14ac:dyDescent="0.25">
      <c r="B86" s="3" t="s">
        <v>244</v>
      </c>
      <c r="C86" t="s">
        <v>181</v>
      </c>
      <c r="D86" t="s">
        <v>199</v>
      </c>
      <c r="E86" t="s">
        <v>182</v>
      </c>
      <c r="F86" s="2">
        <f ca="1">IF(Flag_Send_Data=1,_xll.DBSW(Val!F86,Val!$C$1,Val!$C$2,Val!$C$3,Val!$C$4,Val!$D86,Val!$C$5,Val!$C$6,Val!$B86,Val!$E86,Val!F$10,Val!$C$7,Val!$C86),"")</f>
        <v>0</v>
      </c>
      <c r="G86" s="2">
        <f ca="1">IF(Flag_Send_Data=1,_xll.DBSW(Val!G86,Val!$C$1,Val!$C$2,Val!$C$3,Val!$C$4,Val!$D86,Val!$C$5,Val!$C$6,Val!$B86,Val!$E86,Val!G$10,Val!$C$7,Val!$C86),"")</f>
        <v>0</v>
      </c>
      <c r="H86" s="2">
        <f ca="1">IF(Flag_Send_Data=1,_xll.DBSW(Val!H86,Val!$C$1,Val!$C$2,Val!$C$3,Val!$C$4,Val!$D86,Val!$C$5,Val!$C$6,Val!$B86,Val!$E86,Val!H$10,Val!$C$7,Val!$C86),"")</f>
        <v>-7500</v>
      </c>
      <c r="I86" s="2">
        <f ca="1">IF(Flag_Send_Data=1,_xll.DBSW(Val!I86,Val!$C$1,Val!$C$2,Val!$C$3,Val!$C$4,Val!$D86,Val!$C$5,Val!$C$6,Val!$B86,Val!$E86,Val!I$10,Val!$C$7,Val!$C86),"")</f>
        <v>0</v>
      </c>
      <c r="J86" s="2">
        <f ca="1">IF(Flag_Send_Data=1,_xll.DBSW(Val!J86,Val!$C$1,Val!$C$2,Val!$C$3,Val!$C$4,Val!$D86,Val!$C$5,Val!$C$6,Val!$B86,Val!$E86,Val!J$10,Val!$C$7,Val!$C86),"")</f>
        <v>0</v>
      </c>
      <c r="K86" s="2">
        <f ca="1">IF(Flag_Send_Data=1,_xll.DBSW(Val!K86,Val!$C$1,Val!$C$2,Val!$C$3,Val!$C$4,Val!$D86,Val!$C$5,Val!$C$6,Val!$B86,Val!$E86,Val!K$10,Val!$C$7,Val!$C86),"")</f>
        <v>-7500</v>
      </c>
      <c r="L86" s="2">
        <f ca="1">IF(Flag_Send_Data=1,_xll.DBSW(Val!L86,Val!$C$1,Val!$C$2,Val!$C$3,Val!$C$4,Val!$D86,Val!$C$5,Val!$C$6,Val!$B86,Val!$E86,Val!L$10,Val!$C$7,Val!$C86),"")</f>
        <v>0</v>
      </c>
      <c r="M86" s="2">
        <f ca="1">IF(Flag_Send_Data=1,_xll.DBSW(Val!M86,Val!$C$1,Val!$C$2,Val!$C$3,Val!$C$4,Val!$D86,Val!$C$5,Val!$C$6,Val!$B86,Val!$E86,Val!M$10,Val!$C$7,Val!$C86),"")</f>
        <v>0</v>
      </c>
      <c r="N86" s="2">
        <f ca="1">IF(Flag_Send_Data=1,_xll.DBSW(Val!N86,Val!$C$1,Val!$C$2,Val!$C$3,Val!$C$4,Val!$D86,Val!$C$5,Val!$C$6,Val!$B86,Val!$E86,Val!N$10,Val!$C$7,Val!$C86),"")</f>
        <v>-7500</v>
      </c>
      <c r="O86" s="2">
        <f ca="1">IF(Flag_Send_Data=1,_xll.DBSW(Val!O86,Val!$C$1,Val!$C$2,Val!$C$3,Val!$C$4,Val!$D86,Val!$C$5,Val!$C$6,Val!$B86,Val!$E86,Val!O$10,Val!$C$7,Val!$C86),"")</f>
        <v>0</v>
      </c>
      <c r="P86" s="2">
        <f ca="1">IF(Flag_Send_Data=1,_xll.DBSW(Val!P86,Val!$C$1,Val!$C$2,Val!$C$3,Val!$C$4,Val!$D86,Val!$C$5,Val!$C$6,Val!$B86,Val!$E86,Val!P$10,Val!$C$7,Val!$C86),"")</f>
        <v>0</v>
      </c>
      <c r="Q86" s="2">
        <f ca="1">IF(Flag_Send_Data=1,_xll.DBSW(Val!Q86,Val!$C$1,Val!$C$2,Val!$C$3,Val!$C$4,Val!$D86,Val!$C$5,Val!$C$6,Val!$B86,Val!$E86,Val!Q$10,Val!$C$7,Val!$C86),"")</f>
        <v>-7500</v>
      </c>
    </row>
    <row r="87" spans="2:17" x14ac:dyDescent="0.25">
      <c r="B87" s="3" t="s">
        <v>244</v>
      </c>
      <c r="C87" t="s">
        <v>28</v>
      </c>
      <c r="D87" t="s">
        <v>199</v>
      </c>
      <c r="E87" t="s">
        <v>128</v>
      </c>
      <c r="F87" s="2">
        <f ca="1">IF(Flag_Send_Data=1,_xll.DBSW(Val!F87,Val!$C$1,Val!$C$2,Val!$C$3,Val!$C$4,Val!$D87,Val!$C$5,Val!$C$6,Val!$B87,Val!$E87,Val!F$10,Val!$C$7,Val!$C87),"")</f>
        <v>-166.66666666666666</v>
      </c>
      <c r="G87" s="2">
        <f ca="1">IF(Flag_Send_Data=1,_xll.DBSW(Val!G87,Val!$C$1,Val!$C$2,Val!$C$3,Val!$C$4,Val!$D87,Val!$C$5,Val!$C$6,Val!$B87,Val!$E87,Val!G$10,Val!$C$7,Val!$C87),"")</f>
        <v>-166.66666666666666</v>
      </c>
      <c r="H87" s="2">
        <f ca="1">IF(Flag_Send_Data=1,_xll.DBSW(Val!H87,Val!$C$1,Val!$C$2,Val!$C$3,Val!$C$4,Val!$D87,Val!$C$5,Val!$C$6,Val!$B87,Val!$E87,Val!H$10,Val!$C$7,Val!$C87),"")</f>
        <v>-166.66666666666666</v>
      </c>
      <c r="I87" s="2">
        <f ca="1">IF(Flag_Send_Data=1,_xll.DBSW(Val!I87,Val!$C$1,Val!$C$2,Val!$C$3,Val!$C$4,Val!$D87,Val!$C$5,Val!$C$6,Val!$B87,Val!$E87,Val!I$10,Val!$C$7,Val!$C87),"")</f>
        <v>-166.66666666666666</v>
      </c>
      <c r="J87" s="2">
        <f ca="1">IF(Flag_Send_Data=1,_xll.DBSW(Val!J87,Val!$C$1,Val!$C$2,Val!$C$3,Val!$C$4,Val!$D87,Val!$C$5,Val!$C$6,Val!$B87,Val!$E87,Val!J$10,Val!$C$7,Val!$C87),"")</f>
        <v>-166.66666666666666</v>
      </c>
      <c r="K87" s="2">
        <f ca="1">IF(Flag_Send_Data=1,_xll.DBSW(Val!K87,Val!$C$1,Val!$C$2,Val!$C$3,Val!$C$4,Val!$D87,Val!$C$5,Val!$C$6,Val!$B87,Val!$E87,Val!K$10,Val!$C$7,Val!$C87),"")</f>
        <v>-166.66666666666666</v>
      </c>
      <c r="L87" s="2">
        <f ca="1">IF(Flag_Send_Data=1,_xll.DBSW(Val!L87,Val!$C$1,Val!$C$2,Val!$C$3,Val!$C$4,Val!$D87,Val!$C$5,Val!$C$6,Val!$B87,Val!$E87,Val!L$10,Val!$C$7,Val!$C87),"")</f>
        <v>-166.66666666666666</v>
      </c>
      <c r="M87" s="2">
        <f ca="1">IF(Flag_Send_Data=1,_xll.DBSW(Val!M87,Val!$C$1,Val!$C$2,Val!$C$3,Val!$C$4,Val!$D87,Val!$C$5,Val!$C$6,Val!$B87,Val!$E87,Val!M$10,Val!$C$7,Val!$C87),"")</f>
        <v>-166.66666666666666</v>
      </c>
      <c r="N87" s="2">
        <f ca="1">IF(Flag_Send_Data=1,_xll.DBSW(Val!N87,Val!$C$1,Val!$C$2,Val!$C$3,Val!$C$4,Val!$D87,Val!$C$5,Val!$C$6,Val!$B87,Val!$E87,Val!N$10,Val!$C$7,Val!$C87),"")</f>
        <v>-166.66666666666666</v>
      </c>
      <c r="O87" s="2">
        <f ca="1">IF(Flag_Send_Data=1,_xll.DBSW(Val!O87,Val!$C$1,Val!$C$2,Val!$C$3,Val!$C$4,Val!$D87,Val!$C$5,Val!$C$6,Val!$B87,Val!$E87,Val!O$10,Val!$C$7,Val!$C87),"")</f>
        <v>-166.66666666666666</v>
      </c>
      <c r="P87" s="2">
        <f ca="1">IF(Flag_Send_Data=1,_xll.DBSW(Val!P87,Val!$C$1,Val!$C$2,Val!$C$3,Val!$C$4,Val!$D87,Val!$C$5,Val!$C$6,Val!$B87,Val!$E87,Val!P$10,Val!$C$7,Val!$C87),"")</f>
        <v>-166.66666666666666</v>
      </c>
      <c r="Q87" s="2">
        <f ca="1">IF(Flag_Send_Data=1,_xll.DBSW(Val!Q87,Val!$C$1,Val!$C$2,Val!$C$3,Val!$C$4,Val!$D87,Val!$C$5,Val!$C$6,Val!$B87,Val!$E87,Val!Q$10,Val!$C$7,Val!$C87),"")</f>
        <v>-166.66666666666666</v>
      </c>
    </row>
    <row r="88" spans="2:17" x14ac:dyDescent="0.25">
      <c r="B88" s="3" t="s">
        <v>244</v>
      </c>
      <c r="C88" t="s">
        <v>80</v>
      </c>
      <c r="D88" t="s">
        <v>106</v>
      </c>
      <c r="E88" t="s">
        <v>128</v>
      </c>
      <c r="F88" s="2">
        <f ca="1">IF(Flag_Send_Data=1,_xll.DBSW(Val!F88,Val!$C$1,Val!$C$2,Val!$C$3,Val!$C$4,Val!$D88,Val!$C$5,Val!$C$6,Val!$B88,Val!$E88,Val!F$10,Val!$C$7,Val!$C88),"")</f>
        <v>-32941.666666666664</v>
      </c>
      <c r="G88" s="2">
        <f ca="1">IF(Flag_Send_Data=1,_xll.DBSW(Val!G88,Val!$C$1,Val!$C$2,Val!$C$3,Val!$C$4,Val!$D88,Val!$C$5,Val!$C$6,Val!$B88,Val!$E88,Val!G$10,Val!$C$7,Val!$C88),"")</f>
        <v>-32941.666666666664</v>
      </c>
      <c r="H88" s="2">
        <f ca="1">IF(Flag_Send_Data=1,_xll.DBSW(Val!H88,Val!$C$1,Val!$C$2,Val!$C$3,Val!$C$4,Val!$D88,Val!$C$5,Val!$C$6,Val!$B88,Val!$E88,Val!H$10,Val!$C$7,Val!$C88),"")</f>
        <v>-32941.666666666664</v>
      </c>
      <c r="I88" s="2">
        <f ca="1">IF(Flag_Send_Data=1,_xll.DBSW(Val!I88,Val!$C$1,Val!$C$2,Val!$C$3,Val!$C$4,Val!$D88,Val!$C$5,Val!$C$6,Val!$B88,Val!$E88,Val!I$10,Val!$C$7,Val!$C88),"")</f>
        <v>-32941.666666666664</v>
      </c>
      <c r="J88" s="2">
        <f ca="1">IF(Flag_Send_Data=1,_xll.DBSW(Val!J88,Val!$C$1,Val!$C$2,Val!$C$3,Val!$C$4,Val!$D88,Val!$C$5,Val!$C$6,Val!$B88,Val!$E88,Val!J$10,Val!$C$7,Val!$C88),"")</f>
        <v>-32941.666666666664</v>
      </c>
      <c r="K88" s="2">
        <f ca="1">IF(Flag_Send_Data=1,_xll.DBSW(Val!K88,Val!$C$1,Val!$C$2,Val!$C$3,Val!$C$4,Val!$D88,Val!$C$5,Val!$C$6,Val!$B88,Val!$E88,Val!K$10,Val!$C$7,Val!$C88),"")</f>
        <v>-32941.666666666664</v>
      </c>
      <c r="L88" s="2">
        <f ca="1">IF(Flag_Send_Data=1,_xll.DBSW(Val!L88,Val!$C$1,Val!$C$2,Val!$C$3,Val!$C$4,Val!$D88,Val!$C$5,Val!$C$6,Val!$B88,Val!$E88,Val!L$10,Val!$C$7,Val!$C88),"")</f>
        <v>-32941.666666666664</v>
      </c>
      <c r="M88" s="2">
        <f ca="1">IF(Flag_Send_Data=1,_xll.DBSW(Val!M88,Val!$C$1,Val!$C$2,Val!$C$3,Val!$C$4,Val!$D88,Val!$C$5,Val!$C$6,Val!$B88,Val!$E88,Val!M$10,Val!$C$7,Val!$C88),"")</f>
        <v>-32941.666666666664</v>
      </c>
      <c r="N88" s="2">
        <f ca="1">IF(Flag_Send_Data=1,_xll.DBSW(Val!N88,Val!$C$1,Val!$C$2,Val!$C$3,Val!$C$4,Val!$D88,Val!$C$5,Val!$C$6,Val!$B88,Val!$E88,Val!N$10,Val!$C$7,Val!$C88),"")</f>
        <v>-32941.666666666664</v>
      </c>
      <c r="O88" s="2">
        <f ca="1">IF(Flag_Send_Data=1,_xll.DBSW(Val!O88,Val!$C$1,Val!$C$2,Val!$C$3,Val!$C$4,Val!$D88,Val!$C$5,Val!$C$6,Val!$B88,Val!$E88,Val!O$10,Val!$C$7,Val!$C88),"")</f>
        <v>-32941.666666666664</v>
      </c>
      <c r="P88" s="2">
        <f ca="1">IF(Flag_Send_Data=1,_xll.DBSW(Val!P88,Val!$C$1,Val!$C$2,Val!$C$3,Val!$C$4,Val!$D88,Val!$C$5,Val!$C$6,Val!$B88,Val!$E88,Val!P$10,Val!$C$7,Val!$C88),"")</f>
        <v>-32941.666666666664</v>
      </c>
      <c r="Q88" s="2">
        <f ca="1">IF(Flag_Send_Data=1,_xll.DBSW(Val!Q88,Val!$C$1,Val!$C$2,Val!$C$3,Val!$C$4,Val!$D88,Val!$C$5,Val!$C$6,Val!$B88,Val!$E88,Val!Q$10,Val!$C$7,Val!$C88),"")</f>
        <v>-32941.666666666664</v>
      </c>
    </row>
    <row r="89" spans="2:17" x14ac:dyDescent="0.25">
      <c r="B89" s="3" t="s">
        <v>244</v>
      </c>
      <c r="C89" t="s">
        <v>80</v>
      </c>
      <c r="D89" t="s">
        <v>199</v>
      </c>
      <c r="E89" t="s">
        <v>128</v>
      </c>
      <c r="F89" s="2">
        <f ca="1">IF(Flag_Send_Data=1,_xll.DBSW(Val!F89,Val!$C$1,Val!$C$2,Val!$C$3,Val!$C$4,Val!$D89,Val!$C$5,Val!$C$6,Val!$B89,Val!$E89,Val!F$10,Val!$C$7,Val!$C89),"")</f>
        <v>-1416.6666666666667</v>
      </c>
      <c r="G89" s="2">
        <f ca="1">IF(Flag_Send_Data=1,_xll.DBSW(Val!G89,Val!$C$1,Val!$C$2,Val!$C$3,Val!$C$4,Val!$D89,Val!$C$5,Val!$C$6,Val!$B89,Val!$E89,Val!G$10,Val!$C$7,Val!$C89),"")</f>
        <v>-1416.6666666666667</v>
      </c>
      <c r="H89" s="2">
        <f ca="1">IF(Flag_Send_Data=1,_xll.DBSW(Val!H89,Val!$C$1,Val!$C$2,Val!$C$3,Val!$C$4,Val!$D89,Val!$C$5,Val!$C$6,Val!$B89,Val!$E89,Val!H$10,Val!$C$7,Val!$C89),"")</f>
        <v>-1416.6666666666667</v>
      </c>
      <c r="I89" s="2">
        <f ca="1">IF(Flag_Send_Data=1,_xll.DBSW(Val!I89,Val!$C$1,Val!$C$2,Val!$C$3,Val!$C$4,Val!$D89,Val!$C$5,Val!$C$6,Val!$B89,Val!$E89,Val!I$10,Val!$C$7,Val!$C89),"")</f>
        <v>-1416.6666666666667</v>
      </c>
      <c r="J89" s="2">
        <f ca="1">IF(Flag_Send_Data=1,_xll.DBSW(Val!J89,Val!$C$1,Val!$C$2,Val!$C$3,Val!$C$4,Val!$D89,Val!$C$5,Val!$C$6,Val!$B89,Val!$E89,Val!J$10,Val!$C$7,Val!$C89),"")</f>
        <v>-1416.6666666666667</v>
      </c>
      <c r="K89" s="2">
        <f ca="1">IF(Flag_Send_Data=1,_xll.DBSW(Val!K89,Val!$C$1,Val!$C$2,Val!$C$3,Val!$C$4,Val!$D89,Val!$C$5,Val!$C$6,Val!$B89,Val!$E89,Val!K$10,Val!$C$7,Val!$C89),"")</f>
        <v>-1416.6666666666667</v>
      </c>
      <c r="L89" s="2">
        <f ca="1">IF(Flag_Send_Data=1,_xll.DBSW(Val!L89,Val!$C$1,Val!$C$2,Val!$C$3,Val!$C$4,Val!$D89,Val!$C$5,Val!$C$6,Val!$B89,Val!$E89,Val!L$10,Val!$C$7,Val!$C89),"")</f>
        <v>-1416.6666666666667</v>
      </c>
      <c r="M89" s="2">
        <f ca="1">IF(Flag_Send_Data=1,_xll.DBSW(Val!M89,Val!$C$1,Val!$C$2,Val!$C$3,Val!$C$4,Val!$D89,Val!$C$5,Val!$C$6,Val!$B89,Val!$E89,Val!M$10,Val!$C$7,Val!$C89),"")</f>
        <v>-1416.6666666666667</v>
      </c>
      <c r="N89" s="2">
        <f ca="1">IF(Flag_Send_Data=1,_xll.DBSW(Val!N89,Val!$C$1,Val!$C$2,Val!$C$3,Val!$C$4,Val!$D89,Val!$C$5,Val!$C$6,Val!$B89,Val!$E89,Val!N$10,Val!$C$7,Val!$C89),"")</f>
        <v>-1416.6666666666667</v>
      </c>
      <c r="O89" s="2">
        <f ca="1">IF(Flag_Send_Data=1,_xll.DBSW(Val!O89,Val!$C$1,Val!$C$2,Val!$C$3,Val!$C$4,Val!$D89,Val!$C$5,Val!$C$6,Val!$B89,Val!$E89,Val!O$10,Val!$C$7,Val!$C89),"")</f>
        <v>-1416.6666666666667</v>
      </c>
      <c r="P89" s="2">
        <f ca="1">IF(Flag_Send_Data=1,_xll.DBSW(Val!P89,Val!$C$1,Val!$C$2,Val!$C$3,Val!$C$4,Val!$D89,Val!$C$5,Val!$C$6,Val!$B89,Val!$E89,Val!P$10,Val!$C$7,Val!$C89),"")</f>
        <v>-1416.6666666666667</v>
      </c>
      <c r="Q89" s="2">
        <f ca="1">IF(Flag_Send_Data=1,_xll.DBSW(Val!Q89,Val!$C$1,Val!$C$2,Val!$C$3,Val!$C$4,Val!$D89,Val!$C$5,Val!$C$6,Val!$B89,Val!$E89,Val!Q$10,Val!$C$7,Val!$C89),"")</f>
        <v>-1416.6666666666667</v>
      </c>
    </row>
    <row r="90" spans="2:17" x14ac:dyDescent="0.25">
      <c r="B90" s="3" t="s">
        <v>244</v>
      </c>
      <c r="C90" t="s">
        <v>29</v>
      </c>
      <c r="D90" t="s">
        <v>102</v>
      </c>
      <c r="E90" t="s">
        <v>17</v>
      </c>
      <c r="F90" s="2">
        <f ca="1">IF(Flag_Send_Data=1,_xll.DBSW(Val!F90,Val!$C$1,Val!$C$2,Val!$C$3,Val!$C$4,Val!$D90,Val!$C$5,Val!$C$6,Val!$B90,Val!$E90,Val!F$10,Val!$C$7,Val!$C90),"")</f>
        <v>-29187.75</v>
      </c>
      <c r="G90" s="2">
        <f ca="1">IF(Flag_Send_Data=1,_xll.DBSW(Val!G90,Val!$C$1,Val!$C$2,Val!$C$3,Val!$C$4,Val!$D90,Val!$C$5,Val!$C$6,Val!$B90,Val!$E90,Val!G$10,Val!$C$7,Val!$C90),"")</f>
        <v>-29187.75</v>
      </c>
      <c r="H90" s="2">
        <f ca="1">IF(Flag_Send_Data=1,_xll.DBSW(Val!H90,Val!$C$1,Val!$C$2,Val!$C$3,Val!$C$4,Val!$D90,Val!$C$5,Val!$C$6,Val!$B90,Val!$E90,Val!H$10,Val!$C$7,Val!$C90),"")</f>
        <v>-29187.75</v>
      </c>
      <c r="I90" s="2">
        <f ca="1">IF(Flag_Send_Data=1,_xll.DBSW(Val!I90,Val!$C$1,Val!$C$2,Val!$C$3,Val!$C$4,Val!$D90,Val!$C$5,Val!$C$6,Val!$B90,Val!$E90,Val!I$10,Val!$C$7,Val!$C90),"")</f>
        <v>-29187.75</v>
      </c>
      <c r="J90" s="2">
        <f ca="1">IF(Flag_Send_Data=1,_xll.DBSW(Val!J90,Val!$C$1,Val!$C$2,Val!$C$3,Val!$C$4,Val!$D90,Val!$C$5,Val!$C$6,Val!$B90,Val!$E90,Val!J$10,Val!$C$7,Val!$C90),"")</f>
        <v>-29187.75</v>
      </c>
      <c r="K90" s="2">
        <f ca="1">IF(Flag_Send_Data=1,_xll.DBSW(Val!K90,Val!$C$1,Val!$C$2,Val!$C$3,Val!$C$4,Val!$D90,Val!$C$5,Val!$C$6,Val!$B90,Val!$E90,Val!K$10,Val!$C$7,Val!$C90),"")</f>
        <v>-29187.75</v>
      </c>
      <c r="L90" s="2">
        <f ca="1">IF(Flag_Send_Data=1,_xll.DBSW(Val!L90,Val!$C$1,Val!$C$2,Val!$C$3,Val!$C$4,Val!$D90,Val!$C$5,Val!$C$6,Val!$B90,Val!$E90,Val!L$10,Val!$C$7,Val!$C90),"")</f>
        <v>-29187.75</v>
      </c>
      <c r="M90" s="2">
        <f ca="1">IF(Flag_Send_Data=1,_xll.DBSW(Val!M90,Val!$C$1,Val!$C$2,Val!$C$3,Val!$C$4,Val!$D90,Val!$C$5,Val!$C$6,Val!$B90,Val!$E90,Val!M$10,Val!$C$7,Val!$C90),"")</f>
        <v>-29187.75</v>
      </c>
      <c r="N90" s="2">
        <f ca="1">IF(Flag_Send_Data=1,_xll.DBSW(Val!N90,Val!$C$1,Val!$C$2,Val!$C$3,Val!$C$4,Val!$D90,Val!$C$5,Val!$C$6,Val!$B90,Val!$E90,Val!N$10,Val!$C$7,Val!$C90),"")</f>
        <v>-29187.75</v>
      </c>
      <c r="O90" s="2">
        <f ca="1">IF(Flag_Send_Data=1,_xll.DBSW(Val!O90,Val!$C$1,Val!$C$2,Val!$C$3,Val!$C$4,Val!$D90,Val!$C$5,Val!$C$6,Val!$B90,Val!$E90,Val!O$10,Val!$C$7,Val!$C90),"")</f>
        <v>-29187.75</v>
      </c>
      <c r="P90" s="2">
        <f ca="1">IF(Flag_Send_Data=1,_xll.DBSW(Val!P90,Val!$C$1,Val!$C$2,Val!$C$3,Val!$C$4,Val!$D90,Val!$C$5,Val!$C$6,Val!$B90,Val!$E90,Val!P$10,Val!$C$7,Val!$C90),"")</f>
        <v>-29187.75</v>
      </c>
      <c r="Q90" s="2">
        <f ca="1">IF(Flag_Send_Data=1,_xll.DBSW(Val!Q90,Val!$C$1,Val!$C$2,Val!$C$3,Val!$C$4,Val!$D90,Val!$C$5,Val!$C$6,Val!$B90,Val!$E90,Val!Q$10,Val!$C$7,Val!$C90),"")</f>
        <v>-29187.75</v>
      </c>
    </row>
    <row r="91" spans="2:17" x14ac:dyDescent="0.25">
      <c r="B91" s="3" t="s">
        <v>244</v>
      </c>
      <c r="C91" t="s">
        <v>29</v>
      </c>
      <c r="D91" t="s">
        <v>102</v>
      </c>
      <c r="E91" t="s">
        <v>128</v>
      </c>
      <c r="F91" s="2">
        <f ca="1">IF(Flag_Send_Data=1,_xll.DBSW(Val!F91,Val!$C$1,Val!$C$2,Val!$C$3,Val!$C$4,Val!$D91,Val!$C$5,Val!$C$6,Val!$B91,Val!$E91,Val!F$10,Val!$C$7,Val!$C91),"")</f>
        <v>-13750</v>
      </c>
      <c r="G91" s="2">
        <f ca="1">IF(Flag_Send_Data=1,_xll.DBSW(Val!G91,Val!$C$1,Val!$C$2,Val!$C$3,Val!$C$4,Val!$D91,Val!$C$5,Val!$C$6,Val!$B91,Val!$E91,Val!G$10,Val!$C$7,Val!$C91),"")</f>
        <v>-13750</v>
      </c>
      <c r="H91" s="2">
        <f ca="1">IF(Flag_Send_Data=1,_xll.DBSW(Val!H91,Val!$C$1,Val!$C$2,Val!$C$3,Val!$C$4,Val!$D91,Val!$C$5,Val!$C$6,Val!$B91,Val!$E91,Val!H$10,Val!$C$7,Val!$C91),"")</f>
        <v>-13750</v>
      </c>
      <c r="I91" s="2">
        <f ca="1">IF(Flag_Send_Data=1,_xll.DBSW(Val!I91,Val!$C$1,Val!$C$2,Val!$C$3,Val!$C$4,Val!$D91,Val!$C$5,Val!$C$6,Val!$B91,Val!$E91,Val!I$10,Val!$C$7,Val!$C91),"")</f>
        <v>-13750</v>
      </c>
      <c r="J91" s="2">
        <f ca="1">IF(Flag_Send_Data=1,_xll.DBSW(Val!J91,Val!$C$1,Val!$C$2,Val!$C$3,Val!$C$4,Val!$D91,Val!$C$5,Val!$C$6,Val!$B91,Val!$E91,Val!J$10,Val!$C$7,Val!$C91),"")</f>
        <v>-13750</v>
      </c>
      <c r="K91" s="2">
        <f ca="1">IF(Flag_Send_Data=1,_xll.DBSW(Val!K91,Val!$C$1,Val!$C$2,Val!$C$3,Val!$C$4,Val!$D91,Val!$C$5,Val!$C$6,Val!$B91,Val!$E91,Val!K$10,Val!$C$7,Val!$C91),"")</f>
        <v>-13750</v>
      </c>
      <c r="L91" s="2">
        <f ca="1">IF(Flag_Send_Data=1,_xll.DBSW(Val!L91,Val!$C$1,Val!$C$2,Val!$C$3,Val!$C$4,Val!$D91,Val!$C$5,Val!$C$6,Val!$B91,Val!$E91,Val!L$10,Val!$C$7,Val!$C91),"")</f>
        <v>-13750</v>
      </c>
      <c r="M91" s="2">
        <f ca="1">IF(Flag_Send_Data=1,_xll.DBSW(Val!M91,Val!$C$1,Val!$C$2,Val!$C$3,Val!$C$4,Val!$D91,Val!$C$5,Val!$C$6,Val!$B91,Val!$E91,Val!M$10,Val!$C$7,Val!$C91),"")</f>
        <v>-13750</v>
      </c>
      <c r="N91" s="2">
        <f ca="1">IF(Flag_Send_Data=1,_xll.DBSW(Val!N91,Val!$C$1,Val!$C$2,Val!$C$3,Val!$C$4,Val!$D91,Val!$C$5,Val!$C$6,Val!$B91,Val!$E91,Val!N$10,Val!$C$7,Val!$C91),"")</f>
        <v>-13750</v>
      </c>
      <c r="O91" s="2">
        <f ca="1">IF(Flag_Send_Data=1,_xll.DBSW(Val!O91,Val!$C$1,Val!$C$2,Val!$C$3,Val!$C$4,Val!$D91,Val!$C$5,Val!$C$6,Val!$B91,Val!$E91,Val!O$10,Val!$C$7,Val!$C91),"")</f>
        <v>-13750</v>
      </c>
      <c r="P91" s="2">
        <f ca="1">IF(Flag_Send_Data=1,_xll.DBSW(Val!P91,Val!$C$1,Val!$C$2,Val!$C$3,Val!$C$4,Val!$D91,Val!$C$5,Val!$C$6,Val!$B91,Val!$E91,Val!P$10,Val!$C$7,Val!$C91),"")</f>
        <v>-13750</v>
      </c>
      <c r="Q91" s="2">
        <f ca="1">IF(Flag_Send_Data=1,_xll.DBSW(Val!Q91,Val!$C$1,Val!$C$2,Val!$C$3,Val!$C$4,Val!$D91,Val!$C$5,Val!$C$6,Val!$B91,Val!$E91,Val!Q$10,Val!$C$7,Val!$C91),"")</f>
        <v>-13750</v>
      </c>
    </row>
    <row r="92" spans="2:17" x14ac:dyDescent="0.25">
      <c r="B92" s="3" t="s">
        <v>244</v>
      </c>
      <c r="C92" t="s">
        <v>30</v>
      </c>
      <c r="D92" t="s">
        <v>199</v>
      </c>
      <c r="E92" t="s">
        <v>128</v>
      </c>
      <c r="F92" s="2">
        <f ca="1">IF(Flag_Send_Data=1,_xll.DBSW(Val!F92,Val!$C$1,Val!$C$2,Val!$C$3,Val!$C$4,Val!$D92,Val!$C$5,Val!$C$6,Val!$B92,Val!$E92,Val!F$10,Val!$C$7,Val!$C92),"")</f>
        <v>-166.66666666666666</v>
      </c>
      <c r="G92" s="2">
        <f ca="1">IF(Flag_Send_Data=1,_xll.DBSW(Val!G92,Val!$C$1,Val!$C$2,Val!$C$3,Val!$C$4,Val!$D92,Val!$C$5,Val!$C$6,Val!$B92,Val!$E92,Val!G$10,Val!$C$7,Val!$C92),"")</f>
        <v>-166.66666666666666</v>
      </c>
      <c r="H92" s="2">
        <f ca="1">IF(Flag_Send_Data=1,_xll.DBSW(Val!H92,Val!$C$1,Val!$C$2,Val!$C$3,Val!$C$4,Val!$D92,Val!$C$5,Val!$C$6,Val!$B92,Val!$E92,Val!H$10,Val!$C$7,Val!$C92),"")</f>
        <v>-166.66666666666666</v>
      </c>
      <c r="I92" s="2">
        <f ca="1">IF(Flag_Send_Data=1,_xll.DBSW(Val!I92,Val!$C$1,Val!$C$2,Val!$C$3,Val!$C$4,Val!$D92,Val!$C$5,Val!$C$6,Val!$B92,Val!$E92,Val!I$10,Val!$C$7,Val!$C92),"")</f>
        <v>-166.66666666666666</v>
      </c>
      <c r="J92" s="2">
        <f ca="1">IF(Flag_Send_Data=1,_xll.DBSW(Val!J92,Val!$C$1,Val!$C$2,Val!$C$3,Val!$C$4,Val!$D92,Val!$C$5,Val!$C$6,Val!$B92,Val!$E92,Val!J$10,Val!$C$7,Val!$C92),"")</f>
        <v>-166.66666666666666</v>
      </c>
      <c r="K92" s="2">
        <f ca="1">IF(Flag_Send_Data=1,_xll.DBSW(Val!K92,Val!$C$1,Val!$C$2,Val!$C$3,Val!$C$4,Val!$D92,Val!$C$5,Val!$C$6,Val!$B92,Val!$E92,Val!K$10,Val!$C$7,Val!$C92),"")</f>
        <v>-166.66666666666666</v>
      </c>
      <c r="L92" s="2">
        <f ca="1">IF(Flag_Send_Data=1,_xll.DBSW(Val!L92,Val!$C$1,Val!$C$2,Val!$C$3,Val!$C$4,Val!$D92,Val!$C$5,Val!$C$6,Val!$B92,Val!$E92,Val!L$10,Val!$C$7,Val!$C92),"")</f>
        <v>-166.66666666666666</v>
      </c>
      <c r="M92" s="2">
        <f ca="1">IF(Flag_Send_Data=1,_xll.DBSW(Val!M92,Val!$C$1,Val!$C$2,Val!$C$3,Val!$C$4,Val!$D92,Val!$C$5,Val!$C$6,Val!$B92,Val!$E92,Val!M$10,Val!$C$7,Val!$C92),"")</f>
        <v>-166.66666666666666</v>
      </c>
      <c r="N92" s="2">
        <f ca="1">IF(Flag_Send_Data=1,_xll.DBSW(Val!N92,Val!$C$1,Val!$C$2,Val!$C$3,Val!$C$4,Val!$D92,Val!$C$5,Val!$C$6,Val!$B92,Val!$E92,Val!N$10,Val!$C$7,Val!$C92),"")</f>
        <v>-166.66666666666666</v>
      </c>
      <c r="O92" s="2">
        <f ca="1">IF(Flag_Send_Data=1,_xll.DBSW(Val!O92,Val!$C$1,Val!$C$2,Val!$C$3,Val!$C$4,Val!$D92,Val!$C$5,Val!$C$6,Val!$B92,Val!$E92,Val!O$10,Val!$C$7,Val!$C92),"")</f>
        <v>-166.66666666666666</v>
      </c>
      <c r="P92" s="2">
        <f ca="1">IF(Flag_Send_Data=1,_xll.DBSW(Val!P92,Val!$C$1,Val!$C$2,Val!$C$3,Val!$C$4,Val!$D92,Val!$C$5,Val!$C$6,Val!$B92,Val!$E92,Val!P$10,Val!$C$7,Val!$C92),"")</f>
        <v>-166.66666666666666</v>
      </c>
      <c r="Q92" s="2">
        <f ca="1">IF(Flag_Send_Data=1,_xll.DBSW(Val!Q92,Val!$C$1,Val!$C$2,Val!$C$3,Val!$C$4,Val!$D92,Val!$C$5,Val!$C$6,Val!$B92,Val!$E92,Val!Q$10,Val!$C$7,Val!$C92),"")</f>
        <v>-166.66666666666666</v>
      </c>
    </row>
    <row r="93" spans="2:17" x14ac:dyDescent="0.25">
      <c r="B93" s="3" t="s">
        <v>244</v>
      </c>
      <c r="C93" t="s">
        <v>104</v>
      </c>
      <c r="D93" t="s">
        <v>199</v>
      </c>
      <c r="E93" t="s">
        <v>128</v>
      </c>
      <c r="F93" s="2">
        <f ca="1">IF(Flag_Send_Data=1,_xll.DBSW(Val!F93,Val!$C$1,Val!$C$2,Val!$C$3,Val!$C$4,Val!$D93,Val!$C$5,Val!$C$6,Val!$B93,Val!$E93,Val!F$10,Val!$C$7,Val!$C93),"")</f>
        <v>-416.66666666666669</v>
      </c>
      <c r="G93" s="2">
        <f ca="1">IF(Flag_Send_Data=1,_xll.DBSW(Val!G93,Val!$C$1,Val!$C$2,Val!$C$3,Val!$C$4,Val!$D93,Val!$C$5,Val!$C$6,Val!$B93,Val!$E93,Val!G$10,Val!$C$7,Val!$C93),"")</f>
        <v>-416.66666666666669</v>
      </c>
      <c r="H93" s="2">
        <f ca="1">IF(Flag_Send_Data=1,_xll.DBSW(Val!H93,Val!$C$1,Val!$C$2,Val!$C$3,Val!$C$4,Val!$D93,Val!$C$5,Val!$C$6,Val!$B93,Val!$E93,Val!H$10,Val!$C$7,Val!$C93),"")</f>
        <v>-416.66666666666669</v>
      </c>
      <c r="I93" s="2">
        <f ca="1">IF(Flag_Send_Data=1,_xll.DBSW(Val!I93,Val!$C$1,Val!$C$2,Val!$C$3,Val!$C$4,Val!$D93,Val!$C$5,Val!$C$6,Val!$B93,Val!$E93,Val!I$10,Val!$C$7,Val!$C93),"")</f>
        <v>-416.66666666666669</v>
      </c>
      <c r="J93" s="2">
        <f ca="1">IF(Flag_Send_Data=1,_xll.DBSW(Val!J93,Val!$C$1,Val!$C$2,Val!$C$3,Val!$C$4,Val!$D93,Val!$C$5,Val!$C$6,Val!$B93,Val!$E93,Val!J$10,Val!$C$7,Val!$C93),"")</f>
        <v>-416.66666666666669</v>
      </c>
      <c r="K93" s="2">
        <f ca="1">IF(Flag_Send_Data=1,_xll.DBSW(Val!K93,Val!$C$1,Val!$C$2,Val!$C$3,Val!$C$4,Val!$D93,Val!$C$5,Val!$C$6,Val!$B93,Val!$E93,Val!K$10,Val!$C$7,Val!$C93),"")</f>
        <v>-416.66666666666669</v>
      </c>
      <c r="L93" s="2">
        <f ca="1">IF(Flag_Send_Data=1,_xll.DBSW(Val!L93,Val!$C$1,Val!$C$2,Val!$C$3,Val!$C$4,Val!$D93,Val!$C$5,Val!$C$6,Val!$B93,Val!$E93,Val!L$10,Val!$C$7,Val!$C93),"")</f>
        <v>-416.66666666666669</v>
      </c>
      <c r="M93" s="2">
        <f ca="1">IF(Flag_Send_Data=1,_xll.DBSW(Val!M93,Val!$C$1,Val!$C$2,Val!$C$3,Val!$C$4,Val!$D93,Val!$C$5,Val!$C$6,Val!$B93,Val!$E93,Val!M$10,Val!$C$7,Val!$C93),"")</f>
        <v>-416.66666666666669</v>
      </c>
      <c r="N93" s="2">
        <f ca="1">IF(Flag_Send_Data=1,_xll.DBSW(Val!N93,Val!$C$1,Val!$C$2,Val!$C$3,Val!$C$4,Val!$D93,Val!$C$5,Val!$C$6,Val!$B93,Val!$E93,Val!N$10,Val!$C$7,Val!$C93),"")</f>
        <v>-416.66666666666669</v>
      </c>
      <c r="O93" s="2">
        <f ca="1">IF(Flag_Send_Data=1,_xll.DBSW(Val!O93,Val!$C$1,Val!$C$2,Val!$C$3,Val!$C$4,Val!$D93,Val!$C$5,Val!$C$6,Val!$B93,Val!$E93,Val!O$10,Val!$C$7,Val!$C93),"")</f>
        <v>-416.66666666666669</v>
      </c>
      <c r="P93" s="2">
        <f ca="1">IF(Flag_Send_Data=1,_xll.DBSW(Val!P93,Val!$C$1,Val!$C$2,Val!$C$3,Val!$C$4,Val!$D93,Val!$C$5,Val!$C$6,Val!$B93,Val!$E93,Val!P$10,Val!$C$7,Val!$C93),"")</f>
        <v>-416.66666666666669</v>
      </c>
      <c r="Q93" s="2">
        <f ca="1">IF(Flag_Send_Data=1,_xll.DBSW(Val!Q93,Val!$C$1,Val!$C$2,Val!$C$3,Val!$C$4,Val!$D93,Val!$C$5,Val!$C$6,Val!$B93,Val!$E93,Val!Q$10,Val!$C$7,Val!$C93),"")</f>
        <v>-416.66666666666669</v>
      </c>
    </row>
    <row r="94" spans="2:17" x14ac:dyDescent="0.25">
      <c r="B94" s="3" t="s">
        <v>245</v>
      </c>
      <c r="C94" t="s">
        <v>26</v>
      </c>
      <c r="D94" t="s">
        <v>199</v>
      </c>
      <c r="E94" t="s">
        <v>128</v>
      </c>
      <c r="F94" s="2">
        <f ca="1">IF(Flag_Send_Data=1,_xll.DBSW(Val!F94,Val!$C$1,Val!$C$2,Val!$C$3,Val!$C$4,Val!$D94,Val!$C$5,Val!$C$6,Val!$B94,Val!$E94,Val!F$10,Val!$C$7,Val!$C94),"")</f>
        <v>-68127.66</v>
      </c>
      <c r="G94" s="2">
        <f ca="1">IF(Flag_Send_Data=1,_xll.DBSW(Val!G94,Val!$C$1,Val!$C$2,Val!$C$3,Val!$C$4,Val!$D94,Val!$C$5,Val!$C$6,Val!$B94,Val!$E94,Val!G$10,Val!$C$7,Val!$C94),"")</f>
        <v>-68127.66</v>
      </c>
      <c r="H94" s="2">
        <f ca="1">IF(Flag_Send_Data=1,_xll.DBSW(Val!H94,Val!$C$1,Val!$C$2,Val!$C$3,Val!$C$4,Val!$D94,Val!$C$5,Val!$C$6,Val!$B94,Val!$E94,Val!H$10,Val!$C$7,Val!$C94),"")</f>
        <v>-68127.66</v>
      </c>
      <c r="I94" s="2">
        <f ca="1">IF(Flag_Send_Data=1,_xll.DBSW(Val!I94,Val!$C$1,Val!$C$2,Val!$C$3,Val!$C$4,Val!$D94,Val!$C$5,Val!$C$6,Val!$B94,Val!$E94,Val!I$10,Val!$C$7,Val!$C94),"")</f>
        <v>-68127.66</v>
      </c>
      <c r="J94" s="2">
        <f ca="1">IF(Flag_Send_Data=1,_xll.DBSW(Val!J94,Val!$C$1,Val!$C$2,Val!$C$3,Val!$C$4,Val!$D94,Val!$C$5,Val!$C$6,Val!$B94,Val!$E94,Val!J$10,Val!$C$7,Val!$C94),"")</f>
        <v>-68127.66</v>
      </c>
      <c r="K94" s="2">
        <f ca="1">IF(Flag_Send_Data=1,_xll.DBSW(Val!K94,Val!$C$1,Val!$C$2,Val!$C$3,Val!$C$4,Val!$D94,Val!$C$5,Val!$C$6,Val!$B94,Val!$E94,Val!K$10,Val!$C$7,Val!$C94),"")</f>
        <v>-68127.66</v>
      </c>
      <c r="L94" s="2">
        <f ca="1">IF(Flag_Send_Data=1,_xll.DBSW(Val!L94,Val!$C$1,Val!$C$2,Val!$C$3,Val!$C$4,Val!$D94,Val!$C$5,Val!$C$6,Val!$B94,Val!$E94,Val!L$10,Val!$C$7,Val!$C94),"")</f>
        <v>-68127.66</v>
      </c>
      <c r="M94" s="2">
        <f ca="1">IF(Flag_Send_Data=1,_xll.DBSW(Val!M94,Val!$C$1,Val!$C$2,Val!$C$3,Val!$C$4,Val!$D94,Val!$C$5,Val!$C$6,Val!$B94,Val!$E94,Val!M$10,Val!$C$7,Val!$C94),"")</f>
        <v>-68127.66</v>
      </c>
      <c r="N94" s="2">
        <f ca="1">IF(Flag_Send_Data=1,_xll.DBSW(Val!N94,Val!$C$1,Val!$C$2,Val!$C$3,Val!$C$4,Val!$D94,Val!$C$5,Val!$C$6,Val!$B94,Val!$E94,Val!N$10,Val!$C$7,Val!$C94),"")</f>
        <v>-68127.66</v>
      </c>
      <c r="O94" s="2">
        <f ca="1">IF(Flag_Send_Data=1,_xll.DBSW(Val!O94,Val!$C$1,Val!$C$2,Val!$C$3,Val!$C$4,Val!$D94,Val!$C$5,Val!$C$6,Val!$B94,Val!$E94,Val!O$10,Val!$C$7,Val!$C94),"")</f>
        <v>-68127.66</v>
      </c>
      <c r="P94" s="2">
        <f ca="1">IF(Flag_Send_Data=1,_xll.DBSW(Val!P94,Val!$C$1,Val!$C$2,Val!$C$3,Val!$C$4,Val!$D94,Val!$C$5,Val!$C$6,Val!$B94,Val!$E94,Val!P$10,Val!$C$7,Val!$C94),"")</f>
        <v>-68127.66</v>
      </c>
      <c r="Q94" s="2">
        <f ca="1">IF(Flag_Send_Data=1,_xll.DBSW(Val!Q94,Val!$C$1,Val!$C$2,Val!$C$3,Val!$C$4,Val!$D94,Val!$C$5,Val!$C$6,Val!$B94,Val!$E94,Val!Q$10,Val!$C$7,Val!$C94),"")</f>
        <v>-68127.66</v>
      </c>
    </row>
    <row r="95" spans="2:17" x14ac:dyDescent="0.25">
      <c r="B95" s="3" t="s">
        <v>245</v>
      </c>
      <c r="C95" t="s">
        <v>28</v>
      </c>
      <c r="D95" t="s">
        <v>199</v>
      </c>
      <c r="E95" t="s">
        <v>128</v>
      </c>
      <c r="F95" s="2">
        <f ca="1">IF(Flag_Send_Data=1,_xll.DBSW(Val!F95,Val!$C$1,Val!$C$2,Val!$C$3,Val!$C$4,Val!$D95,Val!$C$5,Val!$C$6,Val!$B95,Val!$E95,Val!F$10,Val!$C$7,Val!$C95),"")</f>
        <v>-2500</v>
      </c>
      <c r="G95" s="2">
        <f ca="1">IF(Flag_Send_Data=1,_xll.DBSW(Val!G95,Val!$C$1,Val!$C$2,Val!$C$3,Val!$C$4,Val!$D95,Val!$C$5,Val!$C$6,Val!$B95,Val!$E95,Val!G$10,Val!$C$7,Val!$C95),"")</f>
        <v>-2500</v>
      </c>
      <c r="H95" s="2">
        <f ca="1">IF(Flag_Send_Data=1,_xll.DBSW(Val!H95,Val!$C$1,Val!$C$2,Val!$C$3,Val!$C$4,Val!$D95,Val!$C$5,Val!$C$6,Val!$B95,Val!$E95,Val!H$10,Val!$C$7,Val!$C95),"")</f>
        <v>-2500</v>
      </c>
      <c r="I95" s="2">
        <f ca="1">IF(Flag_Send_Data=1,_xll.DBSW(Val!I95,Val!$C$1,Val!$C$2,Val!$C$3,Val!$C$4,Val!$D95,Val!$C$5,Val!$C$6,Val!$B95,Val!$E95,Val!I$10,Val!$C$7,Val!$C95),"")</f>
        <v>-2500</v>
      </c>
      <c r="J95" s="2">
        <f ca="1">IF(Flag_Send_Data=1,_xll.DBSW(Val!J95,Val!$C$1,Val!$C$2,Val!$C$3,Val!$C$4,Val!$D95,Val!$C$5,Val!$C$6,Val!$B95,Val!$E95,Val!J$10,Val!$C$7,Val!$C95),"")</f>
        <v>-2500</v>
      </c>
      <c r="K95" s="2">
        <f ca="1">IF(Flag_Send_Data=1,_xll.DBSW(Val!K95,Val!$C$1,Val!$C$2,Val!$C$3,Val!$C$4,Val!$D95,Val!$C$5,Val!$C$6,Val!$B95,Val!$E95,Val!K$10,Val!$C$7,Val!$C95),"")</f>
        <v>-2500</v>
      </c>
      <c r="L95" s="2">
        <f ca="1">IF(Flag_Send_Data=1,_xll.DBSW(Val!L95,Val!$C$1,Val!$C$2,Val!$C$3,Val!$C$4,Val!$D95,Val!$C$5,Val!$C$6,Val!$B95,Val!$E95,Val!L$10,Val!$C$7,Val!$C95),"")</f>
        <v>-2500</v>
      </c>
      <c r="M95" s="2">
        <f ca="1">IF(Flag_Send_Data=1,_xll.DBSW(Val!M95,Val!$C$1,Val!$C$2,Val!$C$3,Val!$C$4,Val!$D95,Val!$C$5,Val!$C$6,Val!$B95,Val!$E95,Val!M$10,Val!$C$7,Val!$C95),"")</f>
        <v>-2500</v>
      </c>
      <c r="N95" s="2">
        <f ca="1">IF(Flag_Send_Data=1,_xll.DBSW(Val!N95,Val!$C$1,Val!$C$2,Val!$C$3,Val!$C$4,Val!$D95,Val!$C$5,Val!$C$6,Val!$B95,Val!$E95,Val!N$10,Val!$C$7,Val!$C95),"")</f>
        <v>-2500</v>
      </c>
      <c r="O95" s="2">
        <f ca="1">IF(Flag_Send_Data=1,_xll.DBSW(Val!O95,Val!$C$1,Val!$C$2,Val!$C$3,Val!$C$4,Val!$D95,Val!$C$5,Val!$C$6,Val!$B95,Val!$E95,Val!O$10,Val!$C$7,Val!$C95),"")</f>
        <v>-2500</v>
      </c>
      <c r="P95" s="2">
        <f ca="1">IF(Flag_Send_Data=1,_xll.DBSW(Val!P95,Val!$C$1,Val!$C$2,Val!$C$3,Val!$C$4,Val!$D95,Val!$C$5,Val!$C$6,Val!$B95,Val!$E95,Val!P$10,Val!$C$7,Val!$C95),"")</f>
        <v>-2500</v>
      </c>
      <c r="Q95" s="2">
        <f ca="1">IF(Flag_Send_Data=1,_xll.DBSW(Val!Q95,Val!$C$1,Val!$C$2,Val!$C$3,Val!$C$4,Val!$D95,Val!$C$5,Val!$C$6,Val!$B95,Val!$E95,Val!Q$10,Val!$C$7,Val!$C95),"")</f>
        <v>-2500</v>
      </c>
    </row>
    <row r="96" spans="2:17" x14ac:dyDescent="0.25">
      <c r="B96" s="3" t="s">
        <v>245</v>
      </c>
      <c r="C96" t="s">
        <v>162</v>
      </c>
      <c r="D96" t="s">
        <v>199</v>
      </c>
      <c r="E96" t="s">
        <v>17</v>
      </c>
      <c r="F96" s="2">
        <f ca="1">IF(Flag_Send_Data=1,_xll.DBSW(Val!F96,Val!$C$1,Val!$C$2,Val!$C$3,Val!$C$4,Val!$D96,Val!$C$5,Val!$C$6,Val!$B96,Val!$E96,Val!F$10,Val!$C$7,Val!$C96),"")</f>
        <v>-9709.4325000000008</v>
      </c>
      <c r="G96" s="2">
        <f ca="1">IF(Flag_Send_Data=1,_xll.DBSW(Val!G96,Val!$C$1,Val!$C$2,Val!$C$3,Val!$C$4,Val!$D96,Val!$C$5,Val!$C$6,Val!$B96,Val!$E96,Val!G$10,Val!$C$7,Val!$C96),"")</f>
        <v>-9709.4325000000008</v>
      </c>
      <c r="H96" s="2">
        <f ca="1">IF(Flag_Send_Data=1,_xll.DBSW(Val!H96,Val!$C$1,Val!$C$2,Val!$C$3,Val!$C$4,Val!$D96,Val!$C$5,Val!$C$6,Val!$B96,Val!$E96,Val!H$10,Val!$C$7,Val!$C96),"")</f>
        <v>-9709.4325000000008</v>
      </c>
      <c r="I96" s="2">
        <f ca="1">IF(Flag_Send_Data=1,_xll.DBSW(Val!I96,Val!$C$1,Val!$C$2,Val!$C$3,Val!$C$4,Val!$D96,Val!$C$5,Val!$C$6,Val!$B96,Val!$E96,Val!I$10,Val!$C$7,Val!$C96),"")</f>
        <v>-9709.4325000000008</v>
      </c>
      <c r="J96" s="2">
        <f ca="1">IF(Flag_Send_Data=1,_xll.DBSW(Val!J96,Val!$C$1,Val!$C$2,Val!$C$3,Val!$C$4,Val!$D96,Val!$C$5,Val!$C$6,Val!$B96,Val!$E96,Val!J$10,Val!$C$7,Val!$C96),"")</f>
        <v>-9709.4325000000008</v>
      </c>
      <c r="K96" s="2">
        <f ca="1">IF(Flag_Send_Data=1,_xll.DBSW(Val!K96,Val!$C$1,Val!$C$2,Val!$C$3,Val!$C$4,Val!$D96,Val!$C$5,Val!$C$6,Val!$B96,Val!$E96,Val!K$10,Val!$C$7,Val!$C96),"")</f>
        <v>-9709.4325000000008</v>
      </c>
      <c r="L96" s="2">
        <f ca="1">IF(Flag_Send_Data=1,_xll.DBSW(Val!L96,Val!$C$1,Val!$C$2,Val!$C$3,Val!$C$4,Val!$D96,Val!$C$5,Val!$C$6,Val!$B96,Val!$E96,Val!L$10,Val!$C$7,Val!$C96),"")</f>
        <v>-9709.4325000000008</v>
      </c>
      <c r="M96" s="2">
        <f ca="1">IF(Flag_Send_Data=1,_xll.DBSW(Val!M96,Val!$C$1,Val!$C$2,Val!$C$3,Val!$C$4,Val!$D96,Val!$C$5,Val!$C$6,Val!$B96,Val!$E96,Val!M$10,Val!$C$7,Val!$C96),"")</f>
        <v>-9709.4325000000008</v>
      </c>
      <c r="N96" s="2">
        <f ca="1">IF(Flag_Send_Data=1,_xll.DBSW(Val!N96,Val!$C$1,Val!$C$2,Val!$C$3,Val!$C$4,Val!$D96,Val!$C$5,Val!$C$6,Val!$B96,Val!$E96,Val!N$10,Val!$C$7,Val!$C96),"")</f>
        <v>-9709.4325000000008</v>
      </c>
      <c r="O96" s="2">
        <f ca="1">IF(Flag_Send_Data=1,_xll.DBSW(Val!O96,Val!$C$1,Val!$C$2,Val!$C$3,Val!$C$4,Val!$D96,Val!$C$5,Val!$C$6,Val!$B96,Val!$E96,Val!O$10,Val!$C$7,Val!$C96),"")</f>
        <v>-9709.4325000000008</v>
      </c>
      <c r="P96" s="2">
        <f ca="1">IF(Flag_Send_Data=1,_xll.DBSW(Val!P96,Val!$C$1,Val!$C$2,Val!$C$3,Val!$C$4,Val!$D96,Val!$C$5,Val!$C$6,Val!$B96,Val!$E96,Val!P$10,Val!$C$7,Val!$C96),"")</f>
        <v>-9709.4325000000008</v>
      </c>
      <c r="Q96" s="2">
        <f ca="1">IF(Flag_Send_Data=1,_xll.DBSW(Val!Q96,Val!$C$1,Val!$C$2,Val!$C$3,Val!$C$4,Val!$D96,Val!$C$5,Val!$C$6,Val!$B96,Val!$E96,Val!Q$10,Val!$C$7,Val!$C96),"")</f>
        <v>-9709.4325000000008</v>
      </c>
    </row>
    <row r="97" spans="2:17" x14ac:dyDescent="0.25">
      <c r="B97" s="3" t="s">
        <v>245</v>
      </c>
      <c r="C97" t="s">
        <v>30</v>
      </c>
      <c r="D97" t="s">
        <v>199</v>
      </c>
      <c r="E97" t="s">
        <v>128</v>
      </c>
      <c r="F97" s="2">
        <f ca="1">IF(Flag_Send_Data=1,_xll.DBSW(Val!F97,Val!$C$1,Val!$C$2,Val!$C$3,Val!$C$4,Val!$D97,Val!$C$5,Val!$C$6,Val!$B97,Val!$E97,Val!F$10,Val!$C$7,Val!$C97),"")</f>
        <v>-166.66666666666666</v>
      </c>
      <c r="G97" s="2">
        <f ca="1">IF(Flag_Send_Data=1,_xll.DBSW(Val!G97,Val!$C$1,Val!$C$2,Val!$C$3,Val!$C$4,Val!$D97,Val!$C$5,Val!$C$6,Val!$B97,Val!$E97,Val!G$10,Val!$C$7,Val!$C97),"")</f>
        <v>-166.66666666666666</v>
      </c>
      <c r="H97" s="2">
        <f ca="1">IF(Flag_Send_Data=1,_xll.DBSW(Val!H97,Val!$C$1,Val!$C$2,Val!$C$3,Val!$C$4,Val!$D97,Val!$C$5,Val!$C$6,Val!$B97,Val!$E97,Val!H$10,Val!$C$7,Val!$C97),"")</f>
        <v>-166.66666666666666</v>
      </c>
      <c r="I97" s="2">
        <f ca="1">IF(Flag_Send_Data=1,_xll.DBSW(Val!I97,Val!$C$1,Val!$C$2,Val!$C$3,Val!$C$4,Val!$D97,Val!$C$5,Val!$C$6,Val!$B97,Val!$E97,Val!I$10,Val!$C$7,Val!$C97),"")</f>
        <v>-166.66666666666666</v>
      </c>
      <c r="J97" s="2">
        <f ca="1">IF(Flag_Send_Data=1,_xll.DBSW(Val!J97,Val!$C$1,Val!$C$2,Val!$C$3,Val!$C$4,Val!$D97,Val!$C$5,Val!$C$6,Val!$B97,Val!$E97,Val!J$10,Val!$C$7,Val!$C97),"")</f>
        <v>-166.66666666666666</v>
      </c>
      <c r="K97" s="2">
        <f ca="1">IF(Flag_Send_Data=1,_xll.DBSW(Val!K97,Val!$C$1,Val!$C$2,Val!$C$3,Val!$C$4,Val!$D97,Val!$C$5,Val!$C$6,Val!$B97,Val!$E97,Val!K$10,Val!$C$7,Val!$C97),"")</f>
        <v>-166.66666666666666</v>
      </c>
      <c r="L97" s="2">
        <f ca="1">IF(Flag_Send_Data=1,_xll.DBSW(Val!L97,Val!$C$1,Val!$C$2,Val!$C$3,Val!$C$4,Val!$D97,Val!$C$5,Val!$C$6,Val!$B97,Val!$E97,Val!L$10,Val!$C$7,Val!$C97),"")</f>
        <v>-166.66666666666666</v>
      </c>
      <c r="M97" s="2">
        <f ca="1">IF(Flag_Send_Data=1,_xll.DBSW(Val!M97,Val!$C$1,Val!$C$2,Val!$C$3,Val!$C$4,Val!$D97,Val!$C$5,Val!$C$6,Val!$B97,Val!$E97,Val!M$10,Val!$C$7,Val!$C97),"")</f>
        <v>-166.66666666666666</v>
      </c>
      <c r="N97" s="2">
        <f ca="1">IF(Flag_Send_Data=1,_xll.DBSW(Val!N97,Val!$C$1,Val!$C$2,Val!$C$3,Val!$C$4,Val!$D97,Val!$C$5,Val!$C$6,Val!$B97,Val!$E97,Val!N$10,Val!$C$7,Val!$C97),"")</f>
        <v>-166.66666666666666</v>
      </c>
      <c r="O97" s="2">
        <f ca="1">IF(Flag_Send_Data=1,_xll.DBSW(Val!O97,Val!$C$1,Val!$C$2,Val!$C$3,Val!$C$4,Val!$D97,Val!$C$5,Val!$C$6,Val!$B97,Val!$E97,Val!O$10,Val!$C$7,Val!$C97),"")</f>
        <v>-166.66666666666666</v>
      </c>
      <c r="P97" s="2">
        <f ca="1">IF(Flag_Send_Data=1,_xll.DBSW(Val!P97,Val!$C$1,Val!$C$2,Val!$C$3,Val!$C$4,Val!$D97,Val!$C$5,Val!$C$6,Val!$B97,Val!$E97,Val!P$10,Val!$C$7,Val!$C97),"")</f>
        <v>-166.66666666666666</v>
      </c>
      <c r="Q97" s="2">
        <f ca="1">IF(Flag_Send_Data=1,_xll.DBSW(Val!Q97,Val!$C$1,Val!$C$2,Val!$C$3,Val!$C$4,Val!$D97,Val!$C$5,Val!$C$6,Val!$B97,Val!$E97,Val!Q$10,Val!$C$7,Val!$C97),"")</f>
        <v>-166.66666666666666</v>
      </c>
    </row>
    <row r="98" spans="2:17" x14ac:dyDescent="0.25">
      <c r="B98" s="3" t="s">
        <v>245</v>
      </c>
      <c r="C98" t="s">
        <v>146</v>
      </c>
      <c r="D98" t="s">
        <v>199</v>
      </c>
      <c r="E98" t="s">
        <v>128</v>
      </c>
      <c r="F98" s="2">
        <f ca="1">IF(Flag_Send_Data=1,_xll.DBSW(Val!F98,Val!$C$1,Val!$C$2,Val!$C$3,Val!$C$4,Val!$D98,Val!$C$5,Val!$C$6,Val!$B98,Val!$E98,Val!F$10,Val!$C$7,Val!$C98),"")</f>
        <v>-29166.666666666668</v>
      </c>
      <c r="G98" s="2">
        <f ca="1">IF(Flag_Send_Data=1,_xll.DBSW(Val!G98,Val!$C$1,Val!$C$2,Val!$C$3,Val!$C$4,Val!$D98,Val!$C$5,Val!$C$6,Val!$B98,Val!$E98,Val!G$10,Val!$C$7,Val!$C98),"")</f>
        <v>-29166.666666666668</v>
      </c>
      <c r="H98" s="2">
        <f ca="1">IF(Flag_Send_Data=1,_xll.DBSW(Val!H98,Val!$C$1,Val!$C$2,Val!$C$3,Val!$C$4,Val!$D98,Val!$C$5,Val!$C$6,Val!$B98,Val!$E98,Val!H$10,Val!$C$7,Val!$C98),"")</f>
        <v>-29166.666666666668</v>
      </c>
      <c r="I98" s="2">
        <f ca="1">IF(Flag_Send_Data=1,_xll.DBSW(Val!I98,Val!$C$1,Val!$C$2,Val!$C$3,Val!$C$4,Val!$D98,Val!$C$5,Val!$C$6,Val!$B98,Val!$E98,Val!I$10,Val!$C$7,Val!$C98),"")</f>
        <v>-29166.666666666668</v>
      </c>
      <c r="J98" s="2">
        <f ca="1">IF(Flag_Send_Data=1,_xll.DBSW(Val!J98,Val!$C$1,Val!$C$2,Val!$C$3,Val!$C$4,Val!$D98,Val!$C$5,Val!$C$6,Val!$B98,Val!$E98,Val!J$10,Val!$C$7,Val!$C98),"")</f>
        <v>-29166.666666666668</v>
      </c>
      <c r="K98" s="2">
        <f ca="1">IF(Flag_Send_Data=1,_xll.DBSW(Val!K98,Val!$C$1,Val!$C$2,Val!$C$3,Val!$C$4,Val!$D98,Val!$C$5,Val!$C$6,Val!$B98,Val!$E98,Val!K$10,Val!$C$7,Val!$C98),"")</f>
        <v>-29166.666666666668</v>
      </c>
      <c r="L98" s="2">
        <f ca="1">IF(Flag_Send_Data=1,_xll.DBSW(Val!L98,Val!$C$1,Val!$C$2,Val!$C$3,Val!$C$4,Val!$D98,Val!$C$5,Val!$C$6,Val!$B98,Val!$E98,Val!L$10,Val!$C$7,Val!$C98),"")</f>
        <v>-29166.666666666668</v>
      </c>
      <c r="M98" s="2">
        <f ca="1">IF(Flag_Send_Data=1,_xll.DBSW(Val!M98,Val!$C$1,Val!$C$2,Val!$C$3,Val!$C$4,Val!$D98,Val!$C$5,Val!$C$6,Val!$B98,Val!$E98,Val!M$10,Val!$C$7,Val!$C98),"")</f>
        <v>-29166.666666666668</v>
      </c>
      <c r="N98" s="2">
        <f ca="1">IF(Flag_Send_Data=1,_xll.DBSW(Val!N98,Val!$C$1,Val!$C$2,Val!$C$3,Val!$C$4,Val!$D98,Val!$C$5,Val!$C$6,Val!$B98,Val!$E98,Val!N$10,Val!$C$7,Val!$C98),"")</f>
        <v>-29166.666666666668</v>
      </c>
      <c r="O98" s="2">
        <f ca="1">IF(Flag_Send_Data=1,_xll.DBSW(Val!O98,Val!$C$1,Val!$C$2,Val!$C$3,Val!$C$4,Val!$D98,Val!$C$5,Val!$C$6,Val!$B98,Val!$E98,Val!O$10,Val!$C$7,Val!$C98),"")</f>
        <v>-29166.666666666668</v>
      </c>
      <c r="P98" s="2">
        <f ca="1">IF(Flag_Send_Data=1,_xll.DBSW(Val!P98,Val!$C$1,Val!$C$2,Val!$C$3,Val!$C$4,Val!$D98,Val!$C$5,Val!$C$6,Val!$B98,Val!$E98,Val!P$10,Val!$C$7,Val!$C98),"")</f>
        <v>-29166.666666666668</v>
      </c>
      <c r="Q98" s="2">
        <f ca="1">IF(Flag_Send_Data=1,_xll.DBSW(Val!Q98,Val!$C$1,Val!$C$2,Val!$C$3,Val!$C$4,Val!$D98,Val!$C$5,Val!$C$6,Val!$B98,Val!$E98,Val!Q$10,Val!$C$7,Val!$C98),"")</f>
        <v>-29166.666666666668</v>
      </c>
    </row>
    <row r="99" spans="2:17" x14ac:dyDescent="0.25">
      <c r="B99" s="3" t="s">
        <v>245</v>
      </c>
      <c r="C99" t="s">
        <v>104</v>
      </c>
      <c r="D99" t="s">
        <v>199</v>
      </c>
      <c r="E99" t="s">
        <v>128</v>
      </c>
      <c r="F99" s="2">
        <f ca="1">IF(Flag_Send_Data=1,_xll.DBSW(Val!F99,Val!$C$1,Val!$C$2,Val!$C$3,Val!$C$4,Val!$D99,Val!$C$5,Val!$C$6,Val!$B99,Val!$E99,Val!F$10,Val!$C$7,Val!$C99),"")</f>
        <v>-1250</v>
      </c>
      <c r="G99" s="2">
        <f ca="1">IF(Flag_Send_Data=1,_xll.DBSW(Val!G99,Val!$C$1,Val!$C$2,Val!$C$3,Val!$C$4,Val!$D99,Val!$C$5,Val!$C$6,Val!$B99,Val!$E99,Val!G$10,Val!$C$7,Val!$C99),"")</f>
        <v>-1250</v>
      </c>
      <c r="H99" s="2">
        <f ca="1">IF(Flag_Send_Data=1,_xll.DBSW(Val!H99,Val!$C$1,Val!$C$2,Val!$C$3,Val!$C$4,Val!$D99,Val!$C$5,Val!$C$6,Val!$B99,Val!$E99,Val!H$10,Val!$C$7,Val!$C99),"")</f>
        <v>-1250</v>
      </c>
      <c r="I99" s="2">
        <f ca="1">IF(Flag_Send_Data=1,_xll.DBSW(Val!I99,Val!$C$1,Val!$C$2,Val!$C$3,Val!$C$4,Val!$D99,Val!$C$5,Val!$C$6,Val!$B99,Val!$E99,Val!I$10,Val!$C$7,Val!$C99),"")</f>
        <v>-1250</v>
      </c>
      <c r="J99" s="2">
        <f ca="1">IF(Flag_Send_Data=1,_xll.DBSW(Val!J99,Val!$C$1,Val!$C$2,Val!$C$3,Val!$C$4,Val!$D99,Val!$C$5,Val!$C$6,Val!$B99,Val!$E99,Val!J$10,Val!$C$7,Val!$C99),"")</f>
        <v>-1250</v>
      </c>
      <c r="K99" s="2">
        <f ca="1">IF(Flag_Send_Data=1,_xll.DBSW(Val!K99,Val!$C$1,Val!$C$2,Val!$C$3,Val!$C$4,Val!$D99,Val!$C$5,Val!$C$6,Val!$B99,Val!$E99,Val!K$10,Val!$C$7,Val!$C99),"")</f>
        <v>-1250</v>
      </c>
      <c r="L99" s="2">
        <f ca="1">IF(Flag_Send_Data=1,_xll.DBSW(Val!L99,Val!$C$1,Val!$C$2,Val!$C$3,Val!$C$4,Val!$D99,Val!$C$5,Val!$C$6,Val!$B99,Val!$E99,Val!L$10,Val!$C$7,Val!$C99),"")</f>
        <v>-1250</v>
      </c>
      <c r="M99" s="2">
        <f ca="1">IF(Flag_Send_Data=1,_xll.DBSW(Val!M99,Val!$C$1,Val!$C$2,Val!$C$3,Val!$C$4,Val!$D99,Val!$C$5,Val!$C$6,Val!$B99,Val!$E99,Val!M$10,Val!$C$7,Val!$C99),"")</f>
        <v>-1250</v>
      </c>
      <c r="N99" s="2">
        <f ca="1">IF(Flag_Send_Data=1,_xll.DBSW(Val!N99,Val!$C$1,Val!$C$2,Val!$C$3,Val!$C$4,Val!$D99,Val!$C$5,Val!$C$6,Val!$B99,Val!$E99,Val!N$10,Val!$C$7,Val!$C99),"")</f>
        <v>-1250</v>
      </c>
      <c r="O99" s="2">
        <f ca="1">IF(Flag_Send_Data=1,_xll.DBSW(Val!O99,Val!$C$1,Val!$C$2,Val!$C$3,Val!$C$4,Val!$D99,Val!$C$5,Val!$C$6,Val!$B99,Val!$E99,Val!O$10,Val!$C$7,Val!$C99),"")</f>
        <v>-1250</v>
      </c>
      <c r="P99" s="2">
        <f ca="1">IF(Flag_Send_Data=1,_xll.DBSW(Val!P99,Val!$C$1,Val!$C$2,Val!$C$3,Val!$C$4,Val!$D99,Val!$C$5,Val!$C$6,Val!$B99,Val!$E99,Val!P$10,Val!$C$7,Val!$C99),"")</f>
        <v>-1250</v>
      </c>
      <c r="Q99" s="2">
        <f ca="1">IF(Flag_Send_Data=1,_xll.DBSW(Val!Q99,Val!$C$1,Val!$C$2,Val!$C$3,Val!$C$4,Val!$D99,Val!$C$5,Val!$C$6,Val!$B99,Val!$E99,Val!Q$10,Val!$C$7,Val!$C99),"")</f>
        <v>-1250</v>
      </c>
    </row>
    <row r="100" spans="2:17" x14ac:dyDescent="0.25">
      <c r="B100" s="3" t="s">
        <v>245</v>
      </c>
      <c r="C100" t="s">
        <v>64</v>
      </c>
      <c r="D100" t="s">
        <v>170</v>
      </c>
      <c r="E100" t="s">
        <v>128</v>
      </c>
      <c r="F100" s="2">
        <f ca="1">IF(Flag_Send_Data=1,_xll.DBSW(Val!F100,Val!$C$1,Val!$C$2,Val!$C$3,Val!$C$4,Val!$D100,Val!$C$5,Val!$C$6,Val!$B100,Val!$E100,Val!F$10,Val!$C$7,Val!$C100),"")</f>
        <v>-51404.324537037028</v>
      </c>
      <c r="G100" s="2">
        <f ca="1">IF(Flag_Send_Data=1,_xll.DBSW(Val!G100,Val!$C$1,Val!$C$2,Val!$C$3,Val!$C$4,Val!$D100,Val!$C$5,Val!$C$6,Val!$B100,Val!$E100,Val!G$10,Val!$C$7,Val!$C100),"")</f>
        <v>-51404.324537037028</v>
      </c>
      <c r="H100" s="2">
        <f ca="1">IF(Flag_Send_Data=1,_xll.DBSW(Val!H100,Val!$C$1,Val!$C$2,Val!$C$3,Val!$C$4,Val!$D100,Val!$C$5,Val!$C$6,Val!$B100,Val!$E100,Val!H$10,Val!$C$7,Val!$C100),"")</f>
        <v>-51404.324537037028</v>
      </c>
      <c r="I100" s="2">
        <f ca="1">IF(Flag_Send_Data=1,_xll.DBSW(Val!I100,Val!$C$1,Val!$C$2,Val!$C$3,Val!$C$4,Val!$D100,Val!$C$5,Val!$C$6,Val!$B100,Val!$E100,Val!I$10,Val!$C$7,Val!$C100),"")</f>
        <v>-51404.324537037028</v>
      </c>
      <c r="J100" s="2">
        <f ca="1">IF(Flag_Send_Data=1,_xll.DBSW(Val!J100,Val!$C$1,Val!$C$2,Val!$C$3,Val!$C$4,Val!$D100,Val!$C$5,Val!$C$6,Val!$B100,Val!$E100,Val!J$10,Val!$C$7,Val!$C100),"")</f>
        <v>-51404.324537037028</v>
      </c>
      <c r="K100" s="2">
        <f ca="1">IF(Flag_Send_Data=1,_xll.DBSW(Val!K100,Val!$C$1,Val!$C$2,Val!$C$3,Val!$C$4,Val!$D100,Val!$C$5,Val!$C$6,Val!$B100,Val!$E100,Val!K$10,Val!$C$7,Val!$C100),"")</f>
        <v>-51404.324537037028</v>
      </c>
      <c r="L100" s="2">
        <f ca="1">IF(Flag_Send_Data=1,_xll.DBSW(Val!L100,Val!$C$1,Val!$C$2,Val!$C$3,Val!$C$4,Val!$D100,Val!$C$5,Val!$C$6,Val!$B100,Val!$E100,Val!L$10,Val!$C$7,Val!$C100),"")</f>
        <v>-51404.324537037028</v>
      </c>
      <c r="M100" s="2">
        <f ca="1">IF(Flag_Send_Data=1,_xll.DBSW(Val!M100,Val!$C$1,Val!$C$2,Val!$C$3,Val!$C$4,Val!$D100,Val!$C$5,Val!$C$6,Val!$B100,Val!$E100,Val!M$10,Val!$C$7,Val!$C100),"")</f>
        <v>-51404.324537037028</v>
      </c>
      <c r="N100" s="2">
        <f ca="1">IF(Flag_Send_Data=1,_xll.DBSW(Val!N100,Val!$C$1,Val!$C$2,Val!$C$3,Val!$C$4,Val!$D100,Val!$C$5,Val!$C$6,Val!$B100,Val!$E100,Val!N$10,Val!$C$7,Val!$C100),"")</f>
        <v>-51404.324537037028</v>
      </c>
      <c r="O100" s="2">
        <f ca="1">IF(Flag_Send_Data=1,_xll.DBSW(Val!O100,Val!$C$1,Val!$C$2,Val!$C$3,Val!$C$4,Val!$D100,Val!$C$5,Val!$C$6,Val!$B100,Val!$E100,Val!O$10,Val!$C$7,Val!$C100),"")</f>
        <v>-51404.324537037028</v>
      </c>
      <c r="P100" s="2">
        <f ca="1">IF(Flag_Send_Data=1,_xll.DBSW(Val!P100,Val!$C$1,Val!$C$2,Val!$C$3,Val!$C$4,Val!$D100,Val!$C$5,Val!$C$6,Val!$B100,Val!$E100,Val!P$10,Val!$C$7,Val!$C100),"")</f>
        <v>-51404.324537037028</v>
      </c>
      <c r="Q100" s="2">
        <f ca="1">IF(Flag_Send_Data=1,_xll.DBSW(Val!Q100,Val!$C$1,Val!$C$2,Val!$C$3,Val!$C$4,Val!$D100,Val!$C$5,Val!$C$6,Val!$B100,Val!$E100,Val!Q$10,Val!$C$7,Val!$C100),"")</f>
        <v>-51404.324537037028</v>
      </c>
    </row>
    <row r="101" spans="2:17" x14ac:dyDescent="0.25">
      <c r="B101" s="3" t="s">
        <v>246</v>
      </c>
      <c r="C101" t="s">
        <v>26</v>
      </c>
      <c r="D101" t="s">
        <v>199</v>
      </c>
      <c r="E101" t="s">
        <v>128</v>
      </c>
      <c r="F101" s="2">
        <f ca="1">IF(Flag_Send_Data=1,_xll.DBSW(Val!F101,Val!$C$1,Val!$C$2,Val!$C$3,Val!$C$4,Val!$D101,Val!$C$5,Val!$C$6,Val!$B101,Val!$E101,Val!F$10,Val!$C$7,Val!$C101),"")</f>
        <v>-305674.34833333339</v>
      </c>
      <c r="G101" s="2">
        <f ca="1">IF(Flag_Send_Data=1,_xll.DBSW(Val!G101,Val!$C$1,Val!$C$2,Val!$C$3,Val!$C$4,Val!$D101,Val!$C$5,Val!$C$6,Val!$B101,Val!$E101,Val!G$10,Val!$C$7,Val!$C101),"")</f>
        <v>-305674.34833333339</v>
      </c>
      <c r="H101" s="2">
        <f ca="1">IF(Flag_Send_Data=1,_xll.DBSW(Val!H101,Val!$C$1,Val!$C$2,Val!$C$3,Val!$C$4,Val!$D101,Val!$C$5,Val!$C$6,Val!$B101,Val!$E101,Val!H$10,Val!$C$7,Val!$C101),"")</f>
        <v>-305674.34833333339</v>
      </c>
      <c r="I101" s="2">
        <f ca="1">IF(Flag_Send_Data=1,_xll.DBSW(Val!I101,Val!$C$1,Val!$C$2,Val!$C$3,Val!$C$4,Val!$D101,Val!$C$5,Val!$C$6,Val!$B101,Val!$E101,Val!I$10,Val!$C$7,Val!$C101),"")</f>
        <v>-305674.34833333339</v>
      </c>
      <c r="J101" s="2">
        <f ca="1">IF(Flag_Send_Data=1,_xll.DBSW(Val!J101,Val!$C$1,Val!$C$2,Val!$C$3,Val!$C$4,Val!$D101,Val!$C$5,Val!$C$6,Val!$B101,Val!$E101,Val!J$10,Val!$C$7,Val!$C101),"")</f>
        <v>-305674.34833333339</v>
      </c>
      <c r="K101" s="2">
        <f ca="1">IF(Flag_Send_Data=1,_xll.DBSW(Val!K101,Val!$C$1,Val!$C$2,Val!$C$3,Val!$C$4,Val!$D101,Val!$C$5,Val!$C$6,Val!$B101,Val!$E101,Val!K$10,Val!$C$7,Val!$C101),"")</f>
        <v>-305674.34833333339</v>
      </c>
      <c r="L101" s="2">
        <f ca="1">IF(Flag_Send_Data=1,_xll.DBSW(Val!L101,Val!$C$1,Val!$C$2,Val!$C$3,Val!$C$4,Val!$D101,Val!$C$5,Val!$C$6,Val!$B101,Val!$E101,Val!L$10,Val!$C$7,Val!$C101),"")</f>
        <v>-312022.6816666667</v>
      </c>
      <c r="M101" s="2">
        <f ca="1">IF(Flag_Send_Data=1,_xll.DBSW(Val!M101,Val!$C$1,Val!$C$2,Val!$C$3,Val!$C$4,Val!$D101,Val!$C$5,Val!$C$6,Val!$B101,Val!$E101,Val!M$10,Val!$C$7,Val!$C101),"")</f>
        <v>-312022.6816666667</v>
      </c>
      <c r="N101" s="2">
        <f ca="1">IF(Flag_Send_Data=1,_xll.DBSW(Val!N101,Val!$C$1,Val!$C$2,Val!$C$3,Val!$C$4,Val!$D101,Val!$C$5,Val!$C$6,Val!$B101,Val!$E101,Val!N$10,Val!$C$7,Val!$C101),"")</f>
        <v>-312022.6816666667</v>
      </c>
      <c r="O101" s="2">
        <f ca="1">IF(Flag_Send_Data=1,_xll.DBSW(Val!O101,Val!$C$1,Val!$C$2,Val!$C$3,Val!$C$4,Val!$D101,Val!$C$5,Val!$C$6,Val!$B101,Val!$E101,Val!O$10,Val!$C$7,Val!$C101),"")</f>
        <v>-312022.6816666667</v>
      </c>
      <c r="P101" s="2">
        <f ca="1">IF(Flag_Send_Data=1,_xll.DBSW(Val!P101,Val!$C$1,Val!$C$2,Val!$C$3,Val!$C$4,Val!$D101,Val!$C$5,Val!$C$6,Val!$B101,Val!$E101,Val!P$10,Val!$C$7,Val!$C101),"")</f>
        <v>-312022.6816666667</v>
      </c>
      <c r="Q101" s="2">
        <f ca="1">IF(Flag_Send_Data=1,_xll.DBSW(Val!Q101,Val!$C$1,Val!$C$2,Val!$C$3,Val!$C$4,Val!$D101,Val!$C$5,Val!$C$6,Val!$B101,Val!$E101,Val!Q$10,Val!$C$7,Val!$C101),"")</f>
        <v>-312022.6816666667</v>
      </c>
    </row>
    <row r="102" spans="2:17" x14ac:dyDescent="0.25">
      <c r="B102" s="3" t="s">
        <v>246</v>
      </c>
      <c r="C102" t="s">
        <v>28</v>
      </c>
      <c r="D102" t="s">
        <v>199</v>
      </c>
      <c r="E102" t="s">
        <v>128</v>
      </c>
      <c r="F102" s="2">
        <f ca="1">IF(Flag_Send_Data=1,_xll.DBSW(Val!F102,Val!$C$1,Val!$C$2,Val!$C$3,Val!$C$4,Val!$D102,Val!$C$5,Val!$C$6,Val!$B102,Val!$E102,Val!F$10,Val!$C$7,Val!$C102),"")</f>
        <v>-7833.333333333333</v>
      </c>
      <c r="G102" s="2">
        <f ca="1">IF(Flag_Send_Data=1,_xll.DBSW(Val!G102,Val!$C$1,Val!$C$2,Val!$C$3,Val!$C$4,Val!$D102,Val!$C$5,Val!$C$6,Val!$B102,Val!$E102,Val!G$10,Val!$C$7,Val!$C102),"")</f>
        <v>-7833.333333333333</v>
      </c>
      <c r="H102" s="2">
        <f ca="1">IF(Flag_Send_Data=1,_xll.DBSW(Val!H102,Val!$C$1,Val!$C$2,Val!$C$3,Val!$C$4,Val!$D102,Val!$C$5,Val!$C$6,Val!$B102,Val!$E102,Val!H$10,Val!$C$7,Val!$C102),"")</f>
        <v>-7833.333333333333</v>
      </c>
      <c r="I102" s="2">
        <f ca="1">IF(Flag_Send_Data=1,_xll.DBSW(Val!I102,Val!$C$1,Val!$C$2,Val!$C$3,Val!$C$4,Val!$D102,Val!$C$5,Val!$C$6,Val!$B102,Val!$E102,Val!I$10,Val!$C$7,Val!$C102),"")</f>
        <v>-7833.333333333333</v>
      </c>
      <c r="J102" s="2">
        <f ca="1">IF(Flag_Send_Data=1,_xll.DBSW(Val!J102,Val!$C$1,Val!$C$2,Val!$C$3,Val!$C$4,Val!$D102,Val!$C$5,Val!$C$6,Val!$B102,Val!$E102,Val!J$10,Val!$C$7,Val!$C102),"")</f>
        <v>-7833.333333333333</v>
      </c>
      <c r="K102" s="2">
        <f ca="1">IF(Flag_Send_Data=1,_xll.DBSW(Val!K102,Val!$C$1,Val!$C$2,Val!$C$3,Val!$C$4,Val!$D102,Val!$C$5,Val!$C$6,Val!$B102,Val!$E102,Val!K$10,Val!$C$7,Val!$C102),"")</f>
        <v>-7833.333333333333</v>
      </c>
      <c r="L102" s="2">
        <f ca="1">IF(Flag_Send_Data=1,_xll.DBSW(Val!L102,Val!$C$1,Val!$C$2,Val!$C$3,Val!$C$4,Val!$D102,Val!$C$5,Val!$C$6,Val!$B102,Val!$E102,Val!L$10,Val!$C$7,Val!$C102),"")</f>
        <v>-7833.333333333333</v>
      </c>
      <c r="M102" s="2">
        <f ca="1">IF(Flag_Send_Data=1,_xll.DBSW(Val!M102,Val!$C$1,Val!$C$2,Val!$C$3,Val!$C$4,Val!$D102,Val!$C$5,Val!$C$6,Val!$B102,Val!$E102,Val!M$10,Val!$C$7,Val!$C102),"")</f>
        <v>-7833.333333333333</v>
      </c>
      <c r="N102" s="2">
        <f ca="1">IF(Flag_Send_Data=1,_xll.DBSW(Val!N102,Val!$C$1,Val!$C$2,Val!$C$3,Val!$C$4,Val!$D102,Val!$C$5,Val!$C$6,Val!$B102,Val!$E102,Val!N$10,Val!$C$7,Val!$C102),"")</f>
        <v>-7833.333333333333</v>
      </c>
      <c r="O102" s="2">
        <f ca="1">IF(Flag_Send_Data=1,_xll.DBSW(Val!O102,Val!$C$1,Val!$C$2,Val!$C$3,Val!$C$4,Val!$D102,Val!$C$5,Val!$C$6,Val!$B102,Val!$E102,Val!O$10,Val!$C$7,Val!$C102),"")</f>
        <v>-7833.333333333333</v>
      </c>
      <c r="P102" s="2">
        <f ca="1">IF(Flag_Send_Data=1,_xll.DBSW(Val!P102,Val!$C$1,Val!$C$2,Val!$C$3,Val!$C$4,Val!$D102,Val!$C$5,Val!$C$6,Val!$B102,Val!$E102,Val!P$10,Val!$C$7,Val!$C102),"")</f>
        <v>-7833.333333333333</v>
      </c>
      <c r="Q102" s="2">
        <f ca="1">IF(Flag_Send_Data=1,_xll.DBSW(Val!Q102,Val!$C$1,Val!$C$2,Val!$C$3,Val!$C$4,Val!$D102,Val!$C$5,Val!$C$6,Val!$B102,Val!$E102,Val!Q$10,Val!$C$7,Val!$C102),"")</f>
        <v>-7833.333333333333</v>
      </c>
    </row>
    <row r="103" spans="2:17" x14ac:dyDescent="0.25">
      <c r="B103" s="3" t="s">
        <v>246</v>
      </c>
      <c r="C103" t="s">
        <v>29</v>
      </c>
      <c r="D103" t="s">
        <v>145</v>
      </c>
      <c r="E103" t="s">
        <v>17</v>
      </c>
      <c r="F103" s="2">
        <f ca="1">IF(Flag_Send_Data=1,_xll.DBSW(Val!F103,Val!$C$1,Val!$C$2,Val!$C$3,Val!$C$4,Val!$D103,Val!$C$5,Val!$C$6,Val!$B103,Val!$E103,Val!F$10,Val!$C$7,Val!$C103),"")</f>
        <v>-9566.6666666666661</v>
      </c>
      <c r="G103" s="2">
        <f ca="1">IF(Flag_Send_Data=1,_xll.DBSW(Val!G103,Val!$C$1,Val!$C$2,Val!$C$3,Val!$C$4,Val!$D103,Val!$C$5,Val!$C$6,Val!$B103,Val!$E103,Val!G$10,Val!$C$7,Val!$C103),"")</f>
        <v>-9566.6666666666661</v>
      </c>
      <c r="H103" s="2">
        <f ca="1">IF(Flag_Send_Data=1,_xll.DBSW(Val!H103,Val!$C$1,Val!$C$2,Val!$C$3,Val!$C$4,Val!$D103,Val!$C$5,Val!$C$6,Val!$B103,Val!$E103,Val!H$10,Val!$C$7,Val!$C103),"")</f>
        <v>-9566.6666666666661</v>
      </c>
      <c r="I103" s="2">
        <f ca="1">IF(Flag_Send_Data=1,_xll.DBSW(Val!I103,Val!$C$1,Val!$C$2,Val!$C$3,Val!$C$4,Val!$D103,Val!$C$5,Val!$C$6,Val!$B103,Val!$E103,Val!I$10,Val!$C$7,Val!$C103),"")</f>
        <v>-9566.6666666666661</v>
      </c>
      <c r="J103" s="2">
        <f ca="1">IF(Flag_Send_Data=1,_xll.DBSW(Val!J103,Val!$C$1,Val!$C$2,Val!$C$3,Val!$C$4,Val!$D103,Val!$C$5,Val!$C$6,Val!$B103,Val!$E103,Val!J$10,Val!$C$7,Val!$C103),"")</f>
        <v>-9566.6666666666661</v>
      </c>
      <c r="K103" s="2">
        <f ca="1">IF(Flag_Send_Data=1,_xll.DBSW(Val!K103,Val!$C$1,Val!$C$2,Val!$C$3,Val!$C$4,Val!$D103,Val!$C$5,Val!$C$6,Val!$B103,Val!$E103,Val!K$10,Val!$C$7,Val!$C103),"")</f>
        <v>-9566.6666666666661</v>
      </c>
      <c r="L103" s="2">
        <f ca="1">IF(Flag_Send_Data=1,_xll.DBSW(Val!L103,Val!$C$1,Val!$C$2,Val!$C$3,Val!$C$4,Val!$D103,Val!$C$5,Val!$C$6,Val!$B103,Val!$E103,Val!L$10,Val!$C$7,Val!$C103),"")</f>
        <v>-9566.6666666666661</v>
      </c>
      <c r="M103" s="2">
        <f ca="1">IF(Flag_Send_Data=1,_xll.DBSW(Val!M103,Val!$C$1,Val!$C$2,Val!$C$3,Val!$C$4,Val!$D103,Val!$C$5,Val!$C$6,Val!$B103,Val!$E103,Val!M$10,Val!$C$7,Val!$C103),"")</f>
        <v>-9566.6666666666661</v>
      </c>
      <c r="N103" s="2">
        <f ca="1">IF(Flag_Send_Data=1,_xll.DBSW(Val!N103,Val!$C$1,Val!$C$2,Val!$C$3,Val!$C$4,Val!$D103,Val!$C$5,Val!$C$6,Val!$B103,Val!$E103,Val!N$10,Val!$C$7,Val!$C103),"")</f>
        <v>-9566.6666666666661</v>
      </c>
      <c r="O103" s="2">
        <f ca="1">IF(Flag_Send_Data=1,_xll.DBSW(Val!O103,Val!$C$1,Val!$C$2,Val!$C$3,Val!$C$4,Val!$D103,Val!$C$5,Val!$C$6,Val!$B103,Val!$E103,Val!O$10,Val!$C$7,Val!$C103),"")</f>
        <v>-9566.6666666666661</v>
      </c>
      <c r="P103" s="2">
        <f ca="1">IF(Flag_Send_Data=1,_xll.DBSW(Val!P103,Val!$C$1,Val!$C$2,Val!$C$3,Val!$C$4,Val!$D103,Val!$C$5,Val!$C$6,Val!$B103,Val!$E103,Val!P$10,Val!$C$7,Val!$C103),"")</f>
        <v>-9566.6666666666661</v>
      </c>
      <c r="Q103" s="2">
        <f ca="1">IF(Flag_Send_Data=1,_xll.DBSW(Val!Q103,Val!$C$1,Val!$C$2,Val!$C$3,Val!$C$4,Val!$D103,Val!$C$5,Val!$C$6,Val!$B103,Val!$E103,Val!Q$10,Val!$C$7,Val!$C103),"")</f>
        <v>-9566.6666666666661</v>
      </c>
    </row>
    <row r="104" spans="2:17" x14ac:dyDescent="0.25">
      <c r="B104" s="3" t="s">
        <v>246</v>
      </c>
      <c r="C104" t="s">
        <v>29</v>
      </c>
      <c r="D104" t="s">
        <v>208</v>
      </c>
      <c r="E104" t="s">
        <v>128</v>
      </c>
      <c r="F104" s="2">
        <f ca="1">IF(Flag_Send_Data=1,_xll.DBSW(Val!F104,Val!$C$1,Val!$C$2,Val!$C$3,Val!$C$4,Val!$D104,Val!$C$5,Val!$C$6,Val!$B104,Val!$E104,Val!F$10,Val!$C$7,Val!$C104),"")</f>
        <v>-18166.666666666668</v>
      </c>
      <c r="G104" s="2">
        <f ca="1">IF(Flag_Send_Data=1,_xll.DBSW(Val!G104,Val!$C$1,Val!$C$2,Val!$C$3,Val!$C$4,Val!$D104,Val!$C$5,Val!$C$6,Val!$B104,Val!$E104,Val!G$10,Val!$C$7,Val!$C104),"")</f>
        <v>-18166.666666666668</v>
      </c>
      <c r="H104" s="2">
        <f ca="1">IF(Flag_Send_Data=1,_xll.DBSW(Val!H104,Val!$C$1,Val!$C$2,Val!$C$3,Val!$C$4,Val!$D104,Val!$C$5,Val!$C$6,Val!$B104,Val!$E104,Val!H$10,Val!$C$7,Val!$C104),"")</f>
        <v>-18166.666666666668</v>
      </c>
      <c r="I104" s="2">
        <f ca="1">IF(Flag_Send_Data=1,_xll.DBSW(Val!I104,Val!$C$1,Val!$C$2,Val!$C$3,Val!$C$4,Val!$D104,Val!$C$5,Val!$C$6,Val!$B104,Val!$E104,Val!I$10,Val!$C$7,Val!$C104),"")</f>
        <v>-18166.666666666668</v>
      </c>
      <c r="J104" s="2">
        <f ca="1">IF(Flag_Send_Data=1,_xll.DBSW(Val!J104,Val!$C$1,Val!$C$2,Val!$C$3,Val!$C$4,Val!$D104,Val!$C$5,Val!$C$6,Val!$B104,Val!$E104,Val!J$10,Val!$C$7,Val!$C104),"")</f>
        <v>-18166.666666666668</v>
      </c>
      <c r="K104" s="2">
        <f ca="1">IF(Flag_Send_Data=1,_xll.DBSW(Val!K104,Val!$C$1,Val!$C$2,Val!$C$3,Val!$C$4,Val!$D104,Val!$C$5,Val!$C$6,Val!$B104,Val!$E104,Val!K$10,Val!$C$7,Val!$C104),"")</f>
        <v>-18166.666666666668</v>
      </c>
      <c r="L104" s="2">
        <f ca="1">IF(Flag_Send_Data=1,_xll.DBSW(Val!L104,Val!$C$1,Val!$C$2,Val!$C$3,Val!$C$4,Val!$D104,Val!$C$5,Val!$C$6,Val!$B104,Val!$E104,Val!L$10,Val!$C$7,Val!$C104),"")</f>
        <v>-18166.666666666668</v>
      </c>
      <c r="M104" s="2">
        <f ca="1">IF(Flag_Send_Data=1,_xll.DBSW(Val!M104,Val!$C$1,Val!$C$2,Val!$C$3,Val!$C$4,Val!$D104,Val!$C$5,Val!$C$6,Val!$B104,Val!$E104,Val!M$10,Val!$C$7,Val!$C104),"")</f>
        <v>-18166.666666666668</v>
      </c>
      <c r="N104" s="2">
        <f ca="1">IF(Flag_Send_Data=1,_xll.DBSW(Val!N104,Val!$C$1,Val!$C$2,Val!$C$3,Val!$C$4,Val!$D104,Val!$C$5,Val!$C$6,Val!$B104,Val!$E104,Val!N$10,Val!$C$7,Val!$C104),"")</f>
        <v>-18166.666666666668</v>
      </c>
      <c r="O104" s="2">
        <f ca="1">IF(Flag_Send_Data=1,_xll.DBSW(Val!O104,Val!$C$1,Val!$C$2,Val!$C$3,Val!$C$4,Val!$D104,Val!$C$5,Val!$C$6,Val!$B104,Val!$E104,Val!O$10,Val!$C$7,Val!$C104),"")</f>
        <v>-18166.666666666668</v>
      </c>
      <c r="P104" s="2">
        <f ca="1">IF(Flag_Send_Data=1,_xll.DBSW(Val!P104,Val!$C$1,Val!$C$2,Val!$C$3,Val!$C$4,Val!$D104,Val!$C$5,Val!$C$6,Val!$B104,Val!$E104,Val!P$10,Val!$C$7,Val!$C104),"")</f>
        <v>-18166.666666666668</v>
      </c>
      <c r="Q104" s="2">
        <f ca="1">IF(Flag_Send_Data=1,_xll.DBSW(Val!Q104,Val!$C$1,Val!$C$2,Val!$C$3,Val!$C$4,Val!$D104,Val!$C$5,Val!$C$6,Val!$B104,Val!$E104,Val!Q$10,Val!$C$7,Val!$C104),"")</f>
        <v>-18166.666666666668</v>
      </c>
    </row>
    <row r="105" spans="2:17" x14ac:dyDescent="0.25">
      <c r="B105" s="3" t="s">
        <v>246</v>
      </c>
      <c r="C105" t="s">
        <v>29</v>
      </c>
      <c r="D105" t="s">
        <v>209</v>
      </c>
      <c r="E105" t="s">
        <v>17</v>
      </c>
      <c r="F105" s="2">
        <f ca="1">IF(Flag_Send_Data=1,_xll.DBSW(Val!F105,Val!$C$1,Val!$C$2,Val!$C$3,Val!$C$4,Val!$D105,Val!$C$5,Val!$C$6,Val!$B105,Val!$E105,Val!F$10,Val!$C$7,Val!$C105),"")</f>
        <v>-159.25</v>
      </c>
      <c r="G105" s="2">
        <f ca="1">IF(Flag_Send_Data=1,_xll.DBSW(Val!G105,Val!$C$1,Val!$C$2,Val!$C$3,Val!$C$4,Val!$D105,Val!$C$5,Val!$C$6,Val!$B105,Val!$E105,Val!G$10,Val!$C$7,Val!$C105),"")</f>
        <v>-159.25</v>
      </c>
      <c r="H105" s="2">
        <f ca="1">IF(Flag_Send_Data=1,_xll.DBSW(Val!H105,Val!$C$1,Val!$C$2,Val!$C$3,Val!$C$4,Val!$D105,Val!$C$5,Val!$C$6,Val!$B105,Val!$E105,Val!H$10,Val!$C$7,Val!$C105),"")</f>
        <v>-159.25</v>
      </c>
      <c r="I105" s="2">
        <f ca="1">IF(Flag_Send_Data=1,_xll.DBSW(Val!I105,Val!$C$1,Val!$C$2,Val!$C$3,Val!$C$4,Val!$D105,Val!$C$5,Val!$C$6,Val!$B105,Val!$E105,Val!I$10,Val!$C$7,Val!$C105),"")</f>
        <v>-159.25</v>
      </c>
      <c r="J105" s="2">
        <f ca="1">IF(Flag_Send_Data=1,_xll.DBSW(Val!J105,Val!$C$1,Val!$C$2,Val!$C$3,Val!$C$4,Val!$D105,Val!$C$5,Val!$C$6,Val!$B105,Val!$E105,Val!J$10,Val!$C$7,Val!$C105),"")</f>
        <v>-159.25</v>
      </c>
      <c r="K105" s="2">
        <f ca="1">IF(Flag_Send_Data=1,_xll.DBSW(Val!K105,Val!$C$1,Val!$C$2,Val!$C$3,Val!$C$4,Val!$D105,Val!$C$5,Val!$C$6,Val!$B105,Val!$E105,Val!K$10,Val!$C$7,Val!$C105),"")</f>
        <v>-159.25</v>
      </c>
      <c r="L105" s="2">
        <f ca="1">IF(Flag_Send_Data=1,_xll.DBSW(Val!L105,Val!$C$1,Val!$C$2,Val!$C$3,Val!$C$4,Val!$D105,Val!$C$5,Val!$C$6,Val!$B105,Val!$E105,Val!L$10,Val!$C$7,Val!$C105),"")</f>
        <v>-159.25</v>
      </c>
      <c r="M105" s="2">
        <f ca="1">IF(Flag_Send_Data=1,_xll.DBSW(Val!M105,Val!$C$1,Val!$C$2,Val!$C$3,Val!$C$4,Val!$D105,Val!$C$5,Val!$C$6,Val!$B105,Val!$E105,Val!M$10,Val!$C$7,Val!$C105),"")</f>
        <v>-159.25</v>
      </c>
      <c r="N105" s="2">
        <f ca="1">IF(Flag_Send_Data=1,_xll.DBSW(Val!N105,Val!$C$1,Val!$C$2,Val!$C$3,Val!$C$4,Val!$D105,Val!$C$5,Val!$C$6,Val!$B105,Val!$E105,Val!N$10,Val!$C$7,Val!$C105),"")</f>
        <v>-159.25</v>
      </c>
      <c r="O105" s="2">
        <f ca="1">IF(Flag_Send_Data=1,_xll.DBSW(Val!O105,Val!$C$1,Val!$C$2,Val!$C$3,Val!$C$4,Val!$D105,Val!$C$5,Val!$C$6,Val!$B105,Val!$E105,Val!O$10,Val!$C$7,Val!$C105),"")</f>
        <v>-159.25</v>
      </c>
      <c r="P105" s="2">
        <f ca="1">IF(Flag_Send_Data=1,_xll.DBSW(Val!P105,Val!$C$1,Val!$C$2,Val!$C$3,Val!$C$4,Val!$D105,Val!$C$5,Val!$C$6,Val!$B105,Val!$E105,Val!P$10,Val!$C$7,Val!$C105),"")</f>
        <v>-159.25</v>
      </c>
      <c r="Q105" s="2">
        <f ca="1">IF(Flag_Send_Data=1,_xll.DBSW(Val!Q105,Val!$C$1,Val!$C$2,Val!$C$3,Val!$C$4,Val!$D105,Val!$C$5,Val!$C$6,Val!$B105,Val!$E105,Val!Q$10,Val!$C$7,Val!$C105),"")</f>
        <v>-159.25</v>
      </c>
    </row>
    <row r="106" spans="2:17" x14ac:dyDescent="0.25">
      <c r="B106" s="3" t="s">
        <v>246</v>
      </c>
      <c r="C106" t="s">
        <v>29</v>
      </c>
      <c r="D106" t="s">
        <v>209</v>
      </c>
      <c r="E106" t="s">
        <v>128</v>
      </c>
      <c r="F106" s="2">
        <f ca="1">IF(Flag_Send_Data=1,_xll.DBSW(Val!F106,Val!$C$1,Val!$C$2,Val!$C$3,Val!$C$4,Val!$D106,Val!$C$5,Val!$C$6,Val!$B106,Val!$E106,Val!F$10,Val!$C$7,Val!$C106),"")</f>
        <v>-14583.333333333334</v>
      </c>
      <c r="G106" s="2">
        <f ca="1">IF(Flag_Send_Data=1,_xll.DBSW(Val!G106,Val!$C$1,Val!$C$2,Val!$C$3,Val!$C$4,Val!$D106,Val!$C$5,Val!$C$6,Val!$B106,Val!$E106,Val!G$10,Val!$C$7,Val!$C106),"")</f>
        <v>-14583.333333333334</v>
      </c>
      <c r="H106" s="2">
        <f ca="1">IF(Flag_Send_Data=1,_xll.DBSW(Val!H106,Val!$C$1,Val!$C$2,Val!$C$3,Val!$C$4,Val!$D106,Val!$C$5,Val!$C$6,Val!$B106,Val!$E106,Val!H$10,Val!$C$7,Val!$C106),"")</f>
        <v>-14583.333333333334</v>
      </c>
      <c r="I106" s="2">
        <f ca="1">IF(Flag_Send_Data=1,_xll.DBSW(Val!I106,Val!$C$1,Val!$C$2,Val!$C$3,Val!$C$4,Val!$D106,Val!$C$5,Val!$C$6,Val!$B106,Val!$E106,Val!I$10,Val!$C$7,Val!$C106),"")</f>
        <v>-14583.333333333334</v>
      </c>
      <c r="J106" s="2">
        <f ca="1">IF(Flag_Send_Data=1,_xll.DBSW(Val!J106,Val!$C$1,Val!$C$2,Val!$C$3,Val!$C$4,Val!$D106,Val!$C$5,Val!$C$6,Val!$B106,Val!$E106,Val!J$10,Val!$C$7,Val!$C106),"")</f>
        <v>-14583.333333333334</v>
      </c>
      <c r="K106" s="2">
        <f ca="1">IF(Flag_Send_Data=1,_xll.DBSW(Val!K106,Val!$C$1,Val!$C$2,Val!$C$3,Val!$C$4,Val!$D106,Val!$C$5,Val!$C$6,Val!$B106,Val!$E106,Val!K$10,Val!$C$7,Val!$C106),"")</f>
        <v>-14583.333333333334</v>
      </c>
      <c r="L106" s="2">
        <f ca="1">IF(Flag_Send_Data=1,_xll.DBSW(Val!L106,Val!$C$1,Val!$C$2,Val!$C$3,Val!$C$4,Val!$D106,Val!$C$5,Val!$C$6,Val!$B106,Val!$E106,Val!L$10,Val!$C$7,Val!$C106),"")</f>
        <v>-14583.333333333334</v>
      </c>
      <c r="M106" s="2">
        <f ca="1">IF(Flag_Send_Data=1,_xll.DBSW(Val!M106,Val!$C$1,Val!$C$2,Val!$C$3,Val!$C$4,Val!$D106,Val!$C$5,Val!$C$6,Val!$B106,Val!$E106,Val!M$10,Val!$C$7,Val!$C106),"")</f>
        <v>-14583.333333333334</v>
      </c>
      <c r="N106" s="2">
        <f ca="1">IF(Flag_Send_Data=1,_xll.DBSW(Val!N106,Val!$C$1,Val!$C$2,Val!$C$3,Val!$C$4,Val!$D106,Val!$C$5,Val!$C$6,Val!$B106,Val!$E106,Val!N$10,Val!$C$7,Val!$C106),"")</f>
        <v>-14583.333333333334</v>
      </c>
      <c r="O106" s="2">
        <f ca="1">IF(Flag_Send_Data=1,_xll.DBSW(Val!O106,Val!$C$1,Val!$C$2,Val!$C$3,Val!$C$4,Val!$D106,Val!$C$5,Val!$C$6,Val!$B106,Val!$E106,Val!O$10,Val!$C$7,Val!$C106),"")</f>
        <v>-14583.333333333334</v>
      </c>
      <c r="P106" s="2">
        <f ca="1">IF(Flag_Send_Data=1,_xll.DBSW(Val!P106,Val!$C$1,Val!$C$2,Val!$C$3,Val!$C$4,Val!$D106,Val!$C$5,Val!$C$6,Val!$B106,Val!$E106,Val!P$10,Val!$C$7,Val!$C106),"")</f>
        <v>-14583.333333333334</v>
      </c>
      <c r="Q106" s="2">
        <f ca="1">IF(Flag_Send_Data=1,_xll.DBSW(Val!Q106,Val!$C$1,Val!$C$2,Val!$C$3,Val!$C$4,Val!$D106,Val!$C$5,Val!$C$6,Val!$B106,Val!$E106,Val!Q$10,Val!$C$7,Val!$C106),"")</f>
        <v>-14583.333333333334</v>
      </c>
    </row>
    <row r="107" spans="2:17" x14ac:dyDescent="0.25">
      <c r="B107" s="3" t="s">
        <v>246</v>
      </c>
      <c r="C107" t="s">
        <v>29</v>
      </c>
      <c r="D107" t="s">
        <v>199</v>
      </c>
      <c r="E107" t="s">
        <v>17</v>
      </c>
      <c r="F107" s="2">
        <f ca="1">IF(Flag_Send_Data=1,_xll.DBSW(Val!F107,Val!$C$1,Val!$C$2,Val!$C$3,Val!$C$4,Val!$D107,Val!$C$5,Val!$C$6,Val!$B107,Val!$E107,Val!F$10,Val!$C$7,Val!$C107),"")</f>
        <v>-6009.416666666667</v>
      </c>
      <c r="G107" s="2">
        <f ca="1">IF(Flag_Send_Data=1,_xll.DBSW(Val!G107,Val!$C$1,Val!$C$2,Val!$C$3,Val!$C$4,Val!$D107,Val!$C$5,Val!$C$6,Val!$B107,Val!$E107,Val!G$10,Val!$C$7,Val!$C107),"")</f>
        <v>-6009.416666666667</v>
      </c>
      <c r="H107" s="2">
        <f ca="1">IF(Flag_Send_Data=1,_xll.DBSW(Val!H107,Val!$C$1,Val!$C$2,Val!$C$3,Val!$C$4,Val!$D107,Val!$C$5,Val!$C$6,Val!$B107,Val!$E107,Val!H$10,Val!$C$7,Val!$C107),"")</f>
        <v>-6009.416666666667</v>
      </c>
      <c r="I107" s="2">
        <f ca="1">IF(Flag_Send_Data=1,_xll.DBSW(Val!I107,Val!$C$1,Val!$C$2,Val!$C$3,Val!$C$4,Val!$D107,Val!$C$5,Val!$C$6,Val!$B107,Val!$E107,Val!I$10,Val!$C$7,Val!$C107),"")</f>
        <v>-6009.416666666667</v>
      </c>
      <c r="J107" s="2">
        <f ca="1">IF(Flag_Send_Data=1,_xll.DBSW(Val!J107,Val!$C$1,Val!$C$2,Val!$C$3,Val!$C$4,Val!$D107,Val!$C$5,Val!$C$6,Val!$B107,Val!$E107,Val!J$10,Val!$C$7,Val!$C107),"")</f>
        <v>-6009.416666666667</v>
      </c>
      <c r="K107" s="2">
        <f ca="1">IF(Flag_Send_Data=1,_xll.DBSW(Val!K107,Val!$C$1,Val!$C$2,Val!$C$3,Val!$C$4,Val!$D107,Val!$C$5,Val!$C$6,Val!$B107,Val!$E107,Val!K$10,Val!$C$7,Val!$C107),"")</f>
        <v>-6009.416666666667</v>
      </c>
      <c r="L107" s="2">
        <f ca="1">IF(Flag_Send_Data=1,_xll.DBSW(Val!L107,Val!$C$1,Val!$C$2,Val!$C$3,Val!$C$4,Val!$D107,Val!$C$5,Val!$C$6,Val!$B107,Val!$E107,Val!L$10,Val!$C$7,Val!$C107),"")</f>
        <v>-6009.416666666667</v>
      </c>
      <c r="M107" s="2">
        <f ca="1">IF(Flag_Send_Data=1,_xll.DBSW(Val!M107,Val!$C$1,Val!$C$2,Val!$C$3,Val!$C$4,Val!$D107,Val!$C$5,Val!$C$6,Val!$B107,Val!$E107,Val!M$10,Val!$C$7,Val!$C107),"")</f>
        <v>-6009.416666666667</v>
      </c>
      <c r="N107" s="2">
        <f ca="1">IF(Flag_Send_Data=1,_xll.DBSW(Val!N107,Val!$C$1,Val!$C$2,Val!$C$3,Val!$C$4,Val!$D107,Val!$C$5,Val!$C$6,Val!$B107,Val!$E107,Val!N$10,Val!$C$7,Val!$C107),"")</f>
        <v>-6009.416666666667</v>
      </c>
      <c r="O107" s="2">
        <f ca="1">IF(Flag_Send_Data=1,_xll.DBSW(Val!O107,Val!$C$1,Val!$C$2,Val!$C$3,Val!$C$4,Val!$D107,Val!$C$5,Val!$C$6,Val!$B107,Val!$E107,Val!O$10,Val!$C$7,Val!$C107),"")</f>
        <v>-6009.416666666667</v>
      </c>
      <c r="P107" s="2">
        <f ca="1">IF(Flag_Send_Data=1,_xll.DBSW(Val!P107,Val!$C$1,Val!$C$2,Val!$C$3,Val!$C$4,Val!$D107,Val!$C$5,Val!$C$6,Val!$B107,Val!$E107,Val!P$10,Val!$C$7,Val!$C107),"")</f>
        <v>-6009.416666666667</v>
      </c>
      <c r="Q107" s="2">
        <f ca="1">IF(Flag_Send_Data=1,_xll.DBSW(Val!Q107,Val!$C$1,Val!$C$2,Val!$C$3,Val!$C$4,Val!$D107,Val!$C$5,Val!$C$6,Val!$B107,Val!$E107,Val!Q$10,Val!$C$7,Val!$C107),"")</f>
        <v>-6009.416666666667</v>
      </c>
    </row>
    <row r="108" spans="2:17" x14ac:dyDescent="0.25">
      <c r="B108" s="3" t="s">
        <v>246</v>
      </c>
      <c r="C108" t="s">
        <v>29</v>
      </c>
      <c r="D108" t="s">
        <v>199</v>
      </c>
      <c r="E108" t="s">
        <v>128</v>
      </c>
      <c r="F108" s="2">
        <f ca="1">IF(Flag_Send_Data=1,_xll.DBSW(Val!F108,Val!$C$1,Val!$C$2,Val!$C$3,Val!$C$4,Val!$D108,Val!$C$5,Val!$C$6,Val!$B108,Val!$E108,Val!F$10,Val!$C$7,Val!$C108),"")</f>
        <v>-8500</v>
      </c>
      <c r="G108" s="2">
        <f ca="1">IF(Flag_Send_Data=1,_xll.DBSW(Val!G108,Val!$C$1,Val!$C$2,Val!$C$3,Val!$C$4,Val!$D108,Val!$C$5,Val!$C$6,Val!$B108,Val!$E108,Val!G$10,Val!$C$7,Val!$C108),"")</f>
        <v>-8500</v>
      </c>
      <c r="H108" s="2">
        <f ca="1">IF(Flag_Send_Data=1,_xll.DBSW(Val!H108,Val!$C$1,Val!$C$2,Val!$C$3,Val!$C$4,Val!$D108,Val!$C$5,Val!$C$6,Val!$B108,Val!$E108,Val!H$10,Val!$C$7,Val!$C108),"")</f>
        <v>-8500</v>
      </c>
      <c r="I108" s="2">
        <f ca="1">IF(Flag_Send_Data=1,_xll.DBSW(Val!I108,Val!$C$1,Val!$C$2,Val!$C$3,Val!$C$4,Val!$D108,Val!$C$5,Val!$C$6,Val!$B108,Val!$E108,Val!I$10,Val!$C$7,Val!$C108),"")</f>
        <v>-8500</v>
      </c>
      <c r="J108" s="2">
        <f ca="1">IF(Flag_Send_Data=1,_xll.DBSW(Val!J108,Val!$C$1,Val!$C$2,Val!$C$3,Val!$C$4,Val!$D108,Val!$C$5,Val!$C$6,Val!$B108,Val!$E108,Val!J$10,Val!$C$7,Val!$C108),"")</f>
        <v>-8500</v>
      </c>
      <c r="K108" s="2">
        <f ca="1">IF(Flag_Send_Data=1,_xll.DBSW(Val!K108,Val!$C$1,Val!$C$2,Val!$C$3,Val!$C$4,Val!$D108,Val!$C$5,Val!$C$6,Val!$B108,Val!$E108,Val!K$10,Val!$C$7,Val!$C108),"")</f>
        <v>-8500</v>
      </c>
      <c r="L108" s="2">
        <f ca="1">IF(Flag_Send_Data=1,_xll.DBSW(Val!L108,Val!$C$1,Val!$C$2,Val!$C$3,Val!$C$4,Val!$D108,Val!$C$5,Val!$C$6,Val!$B108,Val!$E108,Val!L$10,Val!$C$7,Val!$C108),"")</f>
        <v>-8500</v>
      </c>
      <c r="M108" s="2">
        <f ca="1">IF(Flag_Send_Data=1,_xll.DBSW(Val!M108,Val!$C$1,Val!$C$2,Val!$C$3,Val!$C$4,Val!$D108,Val!$C$5,Val!$C$6,Val!$B108,Val!$E108,Val!M$10,Val!$C$7,Val!$C108),"")</f>
        <v>-8500</v>
      </c>
      <c r="N108" s="2">
        <f ca="1">IF(Flag_Send_Data=1,_xll.DBSW(Val!N108,Val!$C$1,Val!$C$2,Val!$C$3,Val!$C$4,Val!$D108,Val!$C$5,Val!$C$6,Val!$B108,Val!$E108,Val!N$10,Val!$C$7,Val!$C108),"")</f>
        <v>-8500</v>
      </c>
      <c r="O108" s="2">
        <f ca="1">IF(Flag_Send_Data=1,_xll.DBSW(Val!O108,Val!$C$1,Val!$C$2,Val!$C$3,Val!$C$4,Val!$D108,Val!$C$5,Val!$C$6,Val!$B108,Val!$E108,Val!O$10,Val!$C$7,Val!$C108),"")</f>
        <v>-8500</v>
      </c>
      <c r="P108" s="2">
        <f ca="1">IF(Flag_Send_Data=1,_xll.DBSW(Val!P108,Val!$C$1,Val!$C$2,Val!$C$3,Val!$C$4,Val!$D108,Val!$C$5,Val!$C$6,Val!$B108,Val!$E108,Val!P$10,Val!$C$7,Val!$C108),"")</f>
        <v>-8500</v>
      </c>
      <c r="Q108" s="2">
        <f ca="1">IF(Flag_Send_Data=1,_xll.DBSW(Val!Q108,Val!$C$1,Val!$C$2,Val!$C$3,Val!$C$4,Val!$D108,Val!$C$5,Val!$C$6,Val!$B108,Val!$E108,Val!Q$10,Val!$C$7,Val!$C108),"")</f>
        <v>-8500</v>
      </c>
    </row>
    <row r="109" spans="2:17" x14ac:dyDescent="0.25">
      <c r="B109" s="3" t="s">
        <v>246</v>
      </c>
      <c r="C109" t="s">
        <v>29</v>
      </c>
      <c r="D109" t="s">
        <v>103</v>
      </c>
      <c r="E109" t="s">
        <v>128</v>
      </c>
      <c r="F109" s="2">
        <f ca="1">IF(Flag_Send_Data=1,_xll.DBSW(Val!F109,Val!$C$1,Val!$C$2,Val!$C$3,Val!$C$4,Val!$D109,Val!$C$5,Val!$C$6,Val!$B109,Val!$E109,Val!F$10,Val!$C$7,Val!$C109),"")</f>
        <v>-5775</v>
      </c>
      <c r="G109" s="2">
        <f ca="1">IF(Flag_Send_Data=1,_xll.DBSW(Val!G109,Val!$C$1,Val!$C$2,Val!$C$3,Val!$C$4,Val!$D109,Val!$C$5,Val!$C$6,Val!$B109,Val!$E109,Val!G$10,Val!$C$7,Val!$C109),"")</f>
        <v>-5775</v>
      </c>
      <c r="H109" s="2">
        <f ca="1">IF(Flag_Send_Data=1,_xll.DBSW(Val!H109,Val!$C$1,Val!$C$2,Val!$C$3,Val!$C$4,Val!$D109,Val!$C$5,Val!$C$6,Val!$B109,Val!$E109,Val!H$10,Val!$C$7,Val!$C109),"")</f>
        <v>-5775</v>
      </c>
      <c r="I109" s="2">
        <f ca="1">IF(Flag_Send_Data=1,_xll.DBSW(Val!I109,Val!$C$1,Val!$C$2,Val!$C$3,Val!$C$4,Val!$D109,Val!$C$5,Val!$C$6,Val!$B109,Val!$E109,Val!I$10,Val!$C$7,Val!$C109),"")</f>
        <v>-5775</v>
      </c>
      <c r="J109" s="2">
        <f ca="1">IF(Flag_Send_Data=1,_xll.DBSW(Val!J109,Val!$C$1,Val!$C$2,Val!$C$3,Val!$C$4,Val!$D109,Val!$C$5,Val!$C$6,Val!$B109,Val!$E109,Val!J$10,Val!$C$7,Val!$C109),"")</f>
        <v>-5775</v>
      </c>
      <c r="K109" s="2">
        <f ca="1">IF(Flag_Send_Data=1,_xll.DBSW(Val!K109,Val!$C$1,Val!$C$2,Val!$C$3,Val!$C$4,Val!$D109,Val!$C$5,Val!$C$6,Val!$B109,Val!$E109,Val!K$10,Val!$C$7,Val!$C109),"")</f>
        <v>-5775</v>
      </c>
      <c r="L109" s="2">
        <f ca="1">IF(Flag_Send_Data=1,_xll.DBSW(Val!L109,Val!$C$1,Val!$C$2,Val!$C$3,Val!$C$4,Val!$D109,Val!$C$5,Val!$C$6,Val!$B109,Val!$E109,Val!L$10,Val!$C$7,Val!$C109),"")</f>
        <v>-5775</v>
      </c>
      <c r="M109" s="2">
        <f ca="1">IF(Flag_Send_Data=1,_xll.DBSW(Val!M109,Val!$C$1,Val!$C$2,Val!$C$3,Val!$C$4,Val!$D109,Val!$C$5,Val!$C$6,Val!$B109,Val!$E109,Val!M$10,Val!$C$7,Val!$C109),"")</f>
        <v>-5775</v>
      </c>
      <c r="N109" s="2">
        <f ca="1">IF(Flag_Send_Data=1,_xll.DBSW(Val!N109,Val!$C$1,Val!$C$2,Val!$C$3,Val!$C$4,Val!$D109,Val!$C$5,Val!$C$6,Val!$B109,Val!$E109,Val!N$10,Val!$C$7,Val!$C109),"")</f>
        <v>-5775</v>
      </c>
      <c r="O109" s="2">
        <f ca="1">IF(Flag_Send_Data=1,_xll.DBSW(Val!O109,Val!$C$1,Val!$C$2,Val!$C$3,Val!$C$4,Val!$D109,Val!$C$5,Val!$C$6,Val!$B109,Val!$E109,Val!O$10,Val!$C$7,Val!$C109),"")</f>
        <v>-5775</v>
      </c>
      <c r="P109" s="2">
        <f ca="1">IF(Flag_Send_Data=1,_xll.DBSW(Val!P109,Val!$C$1,Val!$C$2,Val!$C$3,Val!$C$4,Val!$D109,Val!$C$5,Val!$C$6,Val!$B109,Val!$E109,Val!P$10,Val!$C$7,Val!$C109),"")</f>
        <v>-5775</v>
      </c>
      <c r="Q109" s="2">
        <f ca="1">IF(Flag_Send_Data=1,_xll.DBSW(Val!Q109,Val!$C$1,Val!$C$2,Val!$C$3,Val!$C$4,Val!$D109,Val!$C$5,Val!$C$6,Val!$B109,Val!$E109,Val!Q$10,Val!$C$7,Val!$C109),"")</f>
        <v>-5775</v>
      </c>
    </row>
    <row r="110" spans="2:17" x14ac:dyDescent="0.25">
      <c r="B110" s="3" t="s">
        <v>246</v>
      </c>
      <c r="C110" t="s">
        <v>29</v>
      </c>
      <c r="D110" t="s">
        <v>78</v>
      </c>
      <c r="E110" t="s">
        <v>17</v>
      </c>
      <c r="F110" s="2">
        <f ca="1">IF(Flag_Send_Data=1,_xll.DBSW(Val!F110,Val!$C$1,Val!$C$2,Val!$C$3,Val!$C$4,Val!$D110,Val!$C$5,Val!$C$6,Val!$B110,Val!$E110,Val!F$10,Val!$C$7,Val!$C110),"")</f>
        <v>-7499.2374999999993</v>
      </c>
      <c r="G110" s="2">
        <f ca="1">IF(Flag_Send_Data=1,_xll.DBSW(Val!G110,Val!$C$1,Val!$C$2,Val!$C$3,Val!$C$4,Val!$D110,Val!$C$5,Val!$C$6,Val!$B110,Val!$E110,Val!G$10,Val!$C$7,Val!$C110),"")</f>
        <v>-7499.2374999999993</v>
      </c>
      <c r="H110" s="2">
        <f ca="1">IF(Flag_Send_Data=1,_xll.DBSW(Val!H110,Val!$C$1,Val!$C$2,Val!$C$3,Val!$C$4,Val!$D110,Val!$C$5,Val!$C$6,Val!$B110,Val!$E110,Val!H$10,Val!$C$7,Val!$C110),"")</f>
        <v>-7499.2374999999993</v>
      </c>
      <c r="I110" s="2">
        <f ca="1">IF(Flag_Send_Data=1,_xll.DBSW(Val!I110,Val!$C$1,Val!$C$2,Val!$C$3,Val!$C$4,Val!$D110,Val!$C$5,Val!$C$6,Val!$B110,Val!$E110,Val!I$10,Val!$C$7,Val!$C110),"")</f>
        <v>-7499.2374999999993</v>
      </c>
      <c r="J110" s="2">
        <f ca="1">IF(Flag_Send_Data=1,_xll.DBSW(Val!J110,Val!$C$1,Val!$C$2,Val!$C$3,Val!$C$4,Val!$D110,Val!$C$5,Val!$C$6,Val!$B110,Val!$E110,Val!J$10,Val!$C$7,Val!$C110),"")</f>
        <v>-7499.2374999999993</v>
      </c>
      <c r="K110" s="2">
        <f ca="1">IF(Flag_Send_Data=1,_xll.DBSW(Val!K110,Val!$C$1,Val!$C$2,Val!$C$3,Val!$C$4,Val!$D110,Val!$C$5,Val!$C$6,Val!$B110,Val!$E110,Val!K$10,Val!$C$7,Val!$C110),"")</f>
        <v>-7499.2374999999993</v>
      </c>
      <c r="L110" s="2">
        <f ca="1">IF(Flag_Send_Data=1,_xll.DBSW(Val!L110,Val!$C$1,Val!$C$2,Val!$C$3,Val!$C$4,Val!$D110,Val!$C$5,Val!$C$6,Val!$B110,Val!$E110,Val!L$10,Val!$C$7,Val!$C110),"")</f>
        <v>-7499.2374999999993</v>
      </c>
      <c r="M110" s="2">
        <f ca="1">IF(Flag_Send_Data=1,_xll.DBSW(Val!M110,Val!$C$1,Val!$C$2,Val!$C$3,Val!$C$4,Val!$D110,Val!$C$5,Val!$C$6,Val!$B110,Val!$E110,Val!M$10,Val!$C$7,Val!$C110),"")</f>
        <v>-7499.2374999999993</v>
      </c>
      <c r="N110" s="2">
        <f ca="1">IF(Flag_Send_Data=1,_xll.DBSW(Val!N110,Val!$C$1,Val!$C$2,Val!$C$3,Val!$C$4,Val!$D110,Val!$C$5,Val!$C$6,Val!$B110,Val!$E110,Val!N$10,Val!$C$7,Val!$C110),"")</f>
        <v>-7499.2374999999993</v>
      </c>
      <c r="O110" s="2">
        <f ca="1">IF(Flag_Send_Data=1,_xll.DBSW(Val!O110,Val!$C$1,Val!$C$2,Val!$C$3,Val!$C$4,Val!$D110,Val!$C$5,Val!$C$6,Val!$B110,Val!$E110,Val!O$10,Val!$C$7,Val!$C110),"")</f>
        <v>-7499.2374999999993</v>
      </c>
      <c r="P110" s="2">
        <f ca="1">IF(Flag_Send_Data=1,_xll.DBSW(Val!P110,Val!$C$1,Val!$C$2,Val!$C$3,Val!$C$4,Val!$D110,Val!$C$5,Val!$C$6,Val!$B110,Val!$E110,Val!P$10,Val!$C$7,Val!$C110),"")</f>
        <v>-7499.2374999999993</v>
      </c>
      <c r="Q110" s="2">
        <f ca="1">IF(Flag_Send_Data=1,_xll.DBSW(Val!Q110,Val!$C$1,Val!$C$2,Val!$C$3,Val!$C$4,Val!$D110,Val!$C$5,Val!$C$6,Val!$B110,Val!$E110,Val!Q$10,Val!$C$7,Val!$C110),"")</f>
        <v>-7499.2374999999993</v>
      </c>
    </row>
    <row r="111" spans="2:17" x14ac:dyDescent="0.25">
      <c r="B111" s="3" t="s">
        <v>246</v>
      </c>
      <c r="C111" t="s">
        <v>30</v>
      </c>
      <c r="D111" t="s">
        <v>199</v>
      </c>
      <c r="E111" t="s">
        <v>128</v>
      </c>
      <c r="F111" s="2">
        <f ca="1">IF(Flag_Send_Data=1,_xll.DBSW(Val!F111,Val!$C$1,Val!$C$2,Val!$C$3,Val!$C$4,Val!$D111,Val!$C$5,Val!$C$6,Val!$B111,Val!$E111,Val!F$10,Val!$C$7,Val!$C111),"")</f>
        <v>-1250</v>
      </c>
      <c r="G111" s="2">
        <f ca="1">IF(Flag_Send_Data=1,_xll.DBSW(Val!G111,Val!$C$1,Val!$C$2,Val!$C$3,Val!$C$4,Val!$D111,Val!$C$5,Val!$C$6,Val!$B111,Val!$E111,Val!G$10,Val!$C$7,Val!$C111),"")</f>
        <v>-1250</v>
      </c>
      <c r="H111" s="2">
        <f ca="1">IF(Flag_Send_Data=1,_xll.DBSW(Val!H111,Val!$C$1,Val!$C$2,Val!$C$3,Val!$C$4,Val!$D111,Val!$C$5,Val!$C$6,Val!$B111,Val!$E111,Val!H$10,Val!$C$7,Val!$C111),"")</f>
        <v>-1250</v>
      </c>
      <c r="I111" s="2">
        <f ca="1">IF(Flag_Send_Data=1,_xll.DBSW(Val!I111,Val!$C$1,Val!$C$2,Val!$C$3,Val!$C$4,Val!$D111,Val!$C$5,Val!$C$6,Val!$B111,Val!$E111,Val!I$10,Val!$C$7,Val!$C111),"")</f>
        <v>-1250</v>
      </c>
      <c r="J111" s="2">
        <f ca="1">IF(Flag_Send_Data=1,_xll.DBSW(Val!J111,Val!$C$1,Val!$C$2,Val!$C$3,Val!$C$4,Val!$D111,Val!$C$5,Val!$C$6,Val!$B111,Val!$E111,Val!J$10,Val!$C$7,Val!$C111),"")</f>
        <v>-1250</v>
      </c>
      <c r="K111" s="2">
        <f ca="1">IF(Flag_Send_Data=1,_xll.DBSW(Val!K111,Val!$C$1,Val!$C$2,Val!$C$3,Val!$C$4,Val!$D111,Val!$C$5,Val!$C$6,Val!$B111,Val!$E111,Val!K$10,Val!$C$7,Val!$C111),"")</f>
        <v>-1250</v>
      </c>
      <c r="L111" s="2">
        <f ca="1">IF(Flag_Send_Data=1,_xll.DBSW(Val!L111,Val!$C$1,Val!$C$2,Val!$C$3,Val!$C$4,Val!$D111,Val!$C$5,Val!$C$6,Val!$B111,Val!$E111,Val!L$10,Val!$C$7,Val!$C111),"")</f>
        <v>-1250</v>
      </c>
      <c r="M111" s="2">
        <f ca="1">IF(Flag_Send_Data=1,_xll.DBSW(Val!M111,Val!$C$1,Val!$C$2,Val!$C$3,Val!$C$4,Val!$D111,Val!$C$5,Val!$C$6,Val!$B111,Val!$E111,Val!M$10,Val!$C$7,Val!$C111),"")</f>
        <v>-1250</v>
      </c>
      <c r="N111" s="2">
        <f ca="1">IF(Flag_Send_Data=1,_xll.DBSW(Val!N111,Val!$C$1,Val!$C$2,Val!$C$3,Val!$C$4,Val!$D111,Val!$C$5,Val!$C$6,Val!$B111,Val!$E111,Val!N$10,Val!$C$7,Val!$C111),"")</f>
        <v>-1250</v>
      </c>
      <c r="O111" s="2">
        <f ca="1">IF(Flag_Send_Data=1,_xll.DBSW(Val!O111,Val!$C$1,Val!$C$2,Val!$C$3,Val!$C$4,Val!$D111,Val!$C$5,Val!$C$6,Val!$B111,Val!$E111,Val!O$10,Val!$C$7,Val!$C111),"")</f>
        <v>-1250</v>
      </c>
      <c r="P111" s="2">
        <f ca="1">IF(Flag_Send_Data=1,_xll.DBSW(Val!P111,Val!$C$1,Val!$C$2,Val!$C$3,Val!$C$4,Val!$D111,Val!$C$5,Val!$C$6,Val!$B111,Val!$E111,Val!P$10,Val!$C$7,Val!$C111),"")</f>
        <v>-1250</v>
      </c>
      <c r="Q111" s="2">
        <f ca="1">IF(Flag_Send_Data=1,_xll.DBSW(Val!Q111,Val!$C$1,Val!$C$2,Val!$C$3,Val!$C$4,Val!$D111,Val!$C$5,Val!$C$6,Val!$B111,Val!$E111,Val!Q$10,Val!$C$7,Val!$C111),"")</f>
        <v>-1250</v>
      </c>
    </row>
    <row r="112" spans="2:17" x14ac:dyDescent="0.25">
      <c r="B112" s="3" t="s">
        <v>246</v>
      </c>
      <c r="C112" t="s">
        <v>104</v>
      </c>
      <c r="D112" t="s">
        <v>199</v>
      </c>
      <c r="E112" t="s">
        <v>128</v>
      </c>
      <c r="F112" s="2">
        <f ca="1">IF(Flag_Send_Data=1,_xll.DBSW(Val!F112,Val!$C$1,Val!$C$2,Val!$C$3,Val!$C$4,Val!$D112,Val!$C$5,Val!$C$6,Val!$B112,Val!$E112,Val!F$10,Val!$C$7,Val!$C112),"")</f>
        <v>-3750</v>
      </c>
      <c r="G112" s="2">
        <f ca="1">IF(Flag_Send_Data=1,_xll.DBSW(Val!G112,Val!$C$1,Val!$C$2,Val!$C$3,Val!$C$4,Val!$D112,Val!$C$5,Val!$C$6,Val!$B112,Val!$E112,Val!G$10,Val!$C$7,Val!$C112),"")</f>
        <v>-3750</v>
      </c>
      <c r="H112" s="2">
        <f ca="1">IF(Flag_Send_Data=1,_xll.DBSW(Val!H112,Val!$C$1,Val!$C$2,Val!$C$3,Val!$C$4,Val!$D112,Val!$C$5,Val!$C$6,Val!$B112,Val!$E112,Val!H$10,Val!$C$7,Val!$C112),"")</f>
        <v>-3750</v>
      </c>
      <c r="I112" s="2">
        <f ca="1">IF(Flag_Send_Data=1,_xll.DBSW(Val!I112,Val!$C$1,Val!$C$2,Val!$C$3,Val!$C$4,Val!$D112,Val!$C$5,Val!$C$6,Val!$B112,Val!$E112,Val!I$10,Val!$C$7,Val!$C112),"")</f>
        <v>-3750</v>
      </c>
      <c r="J112" s="2">
        <f ca="1">IF(Flag_Send_Data=1,_xll.DBSW(Val!J112,Val!$C$1,Val!$C$2,Val!$C$3,Val!$C$4,Val!$D112,Val!$C$5,Val!$C$6,Val!$B112,Val!$E112,Val!J$10,Val!$C$7,Val!$C112),"")</f>
        <v>-3750</v>
      </c>
      <c r="K112" s="2">
        <f ca="1">IF(Flag_Send_Data=1,_xll.DBSW(Val!K112,Val!$C$1,Val!$C$2,Val!$C$3,Val!$C$4,Val!$D112,Val!$C$5,Val!$C$6,Val!$B112,Val!$E112,Val!K$10,Val!$C$7,Val!$C112),"")</f>
        <v>-3750</v>
      </c>
      <c r="L112" s="2">
        <f ca="1">IF(Flag_Send_Data=1,_xll.DBSW(Val!L112,Val!$C$1,Val!$C$2,Val!$C$3,Val!$C$4,Val!$D112,Val!$C$5,Val!$C$6,Val!$B112,Val!$E112,Val!L$10,Val!$C$7,Val!$C112),"")</f>
        <v>-3750</v>
      </c>
      <c r="M112" s="2">
        <f ca="1">IF(Flag_Send_Data=1,_xll.DBSW(Val!M112,Val!$C$1,Val!$C$2,Val!$C$3,Val!$C$4,Val!$D112,Val!$C$5,Val!$C$6,Val!$B112,Val!$E112,Val!M$10,Val!$C$7,Val!$C112),"")</f>
        <v>-3750</v>
      </c>
      <c r="N112" s="2">
        <f ca="1">IF(Flag_Send_Data=1,_xll.DBSW(Val!N112,Val!$C$1,Val!$C$2,Val!$C$3,Val!$C$4,Val!$D112,Val!$C$5,Val!$C$6,Val!$B112,Val!$E112,Val!N$10,Val!$C$7,Val!$C112),"")</f>
        <v>-3750</v>
      </c>
      <c r="O112" s="2">
        <f ca="1">IF(Flag_Send_Data=1,_xll.DBSW(Val!O112,Val!$C$1,Val!$C$2,Val!$C$3,Val!$C$4,Val!$D112,Val!$C$5,Val!$C$6,Val!$B112,Val!$E112,Val!O$10,Val!$C$7,Val!$C112),"")</f>
        <v>-3750</v>
      </c>
      <c r="P112" s="2">
        <f ca="1">IF(Flag_Send_Data=1,_xll.DBSW(Val!P112,Val!$C$1,Val!$C$2,Val!$C$3,Val!$C$4,Val!$D112,Val!$C$5,Val!$C$6,Val!$B112,Val!$E112,Val!P$10,Val!$C$7,Val!$C112),"")</f>
        <v>-3750</v>
      </c>
      <c r="Q112" s="2">
        <f ca="1">IF(Flag_Send_Data=1,_xll.DBSW(Val!Q112,Val!$C$1,Val!$C$2,Val!$C$3,Val!$C$4,Val!$D112,Val!$C$5,Val!$C$6,Val!$B112,Val!$E112,Val!Q$10,Val!$C$7,Val!$C112),"")</f>
        <v>-3750</v>
      </c>
    </row>
    <row r="113" spans="2:17" x14ac:dyDescent="0.25">
      <c r="B113" s="3" t="s">
        <v>246</v>
      </c>
      <c r="C113" t="s">
        <v>64</v>
      </c>
      <c r="D113" t="s">
        <v>199</v>
      </c>
      <c r="E113" t="s">
        <v>128</v>
      </c>
      <c r="F113" s="2">
        <f ca="1">IF(Flag_Send_Data=1,_xll.DBSW(Val!F113,Val!$C$1,Val!$C$2,Val!$C$3,Val!$C$4,Val!$D113,Val!$C$5,Val!$C$6,Val!$B113,Val!$E113,Val!F$10,Val!$C$7,Val!$C113),"")</f>
        <v>-207.31487962962964</v>
      </c>
      <c r="G113" s="2">
        <f ca="1">IF(Flag_Send_Data=1,_xll.DBSW(Val!G113,Val!$C$1,Val!$C$2,Val!$C$3,Val!$C$4,Val!$D113,Val!$C$5,Val!$C$6,Val!$B113,Val!$E113,Val!G$10,Val!$C$7,Val!$C113),"")</f>
        <v>-207.31487962962964</v>
      </c>
      <c r="H113" s="2">
        <f ca="1">IF(Flag_Send_Data=1,_xll.DBSW(Val!H113,Val!$C$1,Val!$C$2,Val!$C$3,Val!$C$4,Val!$D113,Val!$C$5,Val!$C$6,Val!$B113,Val!$E113,Val!H$10,Val!$C$7,Val!$C113),"")</f>
        <v>-207.31487962962964</v>
      </c>
      <c r="I113" s="2">
        <f ca="1">IF(Flag_Send_Data=1,_xll.DBSW(Val!I113,Val!$C$1,Val!$C$2,Val!$C$3,Val!$C$4,Val!$D113,Val!$C$5,Val!$C$6,Val!$B113,Val!$E113,Val!I$10,Val!$C$7,Val!$C113),"")</f>
        <v>-207.31487962962964</v>
      </c>
      <c r="J113" s="2">
        <f ca="1">IF(Flag_Send_Data=1,_xll.DBSW(Val!J113,Val!$C$1,Val!$C$2,Val!$C$3,Val!$C$4,Val!$D113,Val!$C$5,Val!$C$6,Val!$B113,Val!$E113,Val!J$10,Val!$C$7,Val!$C113),"")</f>
        <v>-207.31487962962964</v>
      </c>
      <c r="K113" s="2">
        <f ca="1">IF(Flag_Send_Data=1,_xll.DBSW(Val!K113,Val!$C$1,Val!$C$2,Val!$C$3,Val!$C$4,Val!$D113,Val!$C$5,Val!$C$6,Val!$B113,Val!$E113,Val!K$10,Val!$C$7,Val!$C113),"")</f>
        <v>-207.31487962962964</v>
      </c>
      <c r="L113" s="2">
        <f ca="1">IF(Flag_Send_Data=1,_xll.DBSW(Val!L113,Val!$C$1,Val!$C$2,Val!$C$3,Val!$C$4,Val!$D113,Val!$C$5,Val!$C$6,Val!$B113,Val!$E113,Val!L$10,Val!$C$7,Val!$C113),"")</f>
        <v>-207.31487962962964</v>
      </c>
      <c r="M113" s="2">
        <f ca="1">IF(Flag_Send_Data=1,_xll.DBSW(Val!M113,Val!$C$1,Val!$C$2,Val!$C$3,Val!$C$4,Val!$D113,Val!$C$5,Val!$C$6,Val!$B113,Val!$E113,Val!M$10,Val!$C$7,Val!$C113),"")</f>
        <v>-207.31487962962964</v>
      </c>
      <c r="N113" s="2">
        <f ca="1">IF(Flag_Send_Data=1,_xll.DBSW(Val!N113,Val!$C$1,Val!$C$2,Val!$C$3,Val!$C$4,Val!$D113,Val!$C$5,Val!$C$6,Val!$B113,Val!$E113,Val!N$10,Val!$C$7,Val!$C113),"")</f>
        <v>-207.31487962962964</v>
      </c>
      <c r="O113" s="2">
        <f ca="1">IF(Flag_Send_Data=1,_xll.DBSW(Val!O113,Val!$C$1,Val!$C$2,Val!$C$3,Val!$C$4,Val!$D113,Val!$C$5,Val!$C$6,Val!$B113,Val!$E113,Val!O$10,Val!$C$7,Val!$C113),"")</f>
        <v>-207.31487962962964</v>
      </c>
      <c r="P113" s="2">
        <f ca="1">IF(Flag_Send_Data=1,_xll.DBSW(Val!P113,Val!$C$1,Val!$C$2,Val!$C$3,Val!$C$4,Val!$D113,Val!$C$5,Val!$C$6,Val!$B113,Val!$E113,Val!P$10,Val!$C$7,Val!$C113),"")</f>
        <v>-207.31487962962964</v>
      </c>
      <c r="Q113" s="2">
        <f ca="1">IF(Flag_Send_Data=1,_xll.DBSW(Val!Q113,Val!$C$1,Val!$C$2,Val!$C$3,Val!$C$4,Val!$D113,Val!$C$5,Val!$C$6,Val!$B113,Val!$E113,Val!Q$10,Val!$C$7,Val!$C113),"")</f>
        <v>-207.31487962962964</v>
      </c>
    </row>
    <row r="114" spans="2:17" x14ac:dyDescent="0.25">
      <c r="B114" s="3" t="s">
        <v>247</v>
      </c>
      <c r="C114" t="s">
        <v>26</v>
      </c>
      <c r="D114" t="s">
        <v>199</v>
      </c>
      <c r="E114" t="s">
        <v>128</v>
      </c>
      <c r="F114" s="2">
        <f ca="1">IF(Flag_Send_Data=1,_xll.DBSW(Val!F114,Val!$C$1,Val!$C$2,Val!$C$3,Val!$C$4,Val!$D114,Val!$C$5,Val!$C$6,Val!$B114,Val!$E114,Val!F$10,Val!$C$7,Val!$C114),"")</f>
        <v>-86066.266666666663</v>
      </c>
      <c r="G114" s="2">
        <f ca="1">IF(Flag_Send_Data=1,_xll.DBSW(Val!G114,Val!$C$1,Val!$C$2,Val!$C$3,Val!$C$4,Val!$D114,Val!$C$5,Val!$C$6,Val!$B114,Val!$E114,Val!G$10,Val!$C$7,Val!$C114),"")</f>
        <v>-86066.266666666663</v>
      </c>
      <c r="H114" s="2">
        <f ca="1">IF(Flag_Send_Data=1,_xll.DBSW(Val!H114,Val!$C$1,Val!$C$2,Val!$C$3,Val!$C$4,Val!$D114,Val!$C$5,Val!$C$6,Val!$B114,Val!$E114,Val!H$10,Val!$C$7,Val!$C114),"")</f>
        <v>-86066.266666666663</v>
      </c>
      <c r="I114" s="2">
        <f ca="1">IF(Flag_Send_Data=1,_xll.DBSW(Val!I114,Val!$C$1,Val!$C$2,Val!$C$3,Val!$C$4,Val!$D114,Val!$C$5,Val!$C$6,Val!$B114,Val!$E114,Val!I$10,Val!$C$7,Val!$C114),"")</f>
        <v>-86066.266666666663</v>
      </c>
      <c r="J114" s="2">
        <f ca="1">IF(Flag_Send_Data=1,_xll.DBSW(Val!J114,Val!$C$1,Val!$C$2,Val!$C$3,Val!$C$4,Val!$D114,Val!$C$5,Val!$C$6,Val!$B114,Val!$E114,Val!J$10,Val!$C$7,Val!$C114),"")</f>
        <v>-86066.266666666663</v>
      </c>
      <c r="K114" s="2">
        <f ca="1">IF(Flag_Send_Data=1,_xll.DBSW(Val!K114,Val!$C$1,Val!$C$2,Val!$C$3,Val!$C$4,Val!$D114,Val!$C$5,Val!$C$6,Val!$B114,Val!$E114,Val!K$10,Val!$C$7,Val!$C114),"")</f>
        <v>-86066.266666666663</v>
      </c>
      <c r="L114" s="2">
        <f ca="1">IF(Flag_Send_Data=1,_xll.DBSW(Val!L114,Val!$C$1,Val!$C$2,Val!$C$3,Val!$C$4,Val!$D114,Val!$C$5,Val!$C$6,Val!$B114,Val!$E114,Val!L$10,Val!$C$7,Val!$C114),"")</f>
        <v>-86066.266666666663</v>
      </c>
      <c r="M114" s="2">
        <f ca="1">IF(Flag_Send_Data=1,_xll.DBSW(Val!M114,Val!$C$1,Val!$C$2,Val!$C$3,Val!$C$4,Val!$D114,Val!$C$5,Val!$C$6,Val!$B114,Val!$E114,Val!M$10,Val!$C$7,Val!$C114),"")</f>
        <v>-86066.266666666663</v>
      </c>
      <c r="N114" s="2">
        <f ca="1">IF(Flag_Send_Data=1,_xll.DBSW(Val!N114,Val!$C$1,Val!$C$2,Val!$C$3,Val!$C$4,Val!$D114,Val!$C$5,Val!$C$6,Val!$B114,Val!$E114,Val!N$10,Val!$C$7,Val!$C114),"")</f>
        <v>-86066.266666666663</v>
      </c>
      <c r="O114" s="2">
        <f ca="1">IF(Flag_Send_Data=1,_xll.DBSW(Val!O114,Val!$C$1,Val!$C$2,Val!$C$3,Val!$C$4,Val!$D114,Val!$C$5,Val!$C$6,Val!$B114,Val!$E114,Val!O$10,Val!$C$7,Val!$C114),"")</f>
        <v>-86066.266666666663</v>
      </c>
      <c r="P114" s="2">
        <f ca="1">IF(Flag_Send_Data=1,_xll.DBSW(Val!P114,Val!$C$1,Val!$C$2,Val!$C$3,Val!$C$4,Val!$D114,Val!$C$5,Val!$C$6,Val!$B114,Val!$E114,Val!P$10,Val!$C$7,Val!$C114),"")</f>
        <v>-86066.266666666663</v>
      </c>
      <c r="Q114" s="2">
        <f ca="1">IF(Flag_Send_Data=1,_xll.DBSW(Val!Q114,Val!$C$1,Val!$C$2,Val!$C$3,Val!$C$4,Val!$D114,Val!$C$5,Val!$C$6,Val!$B114,Val!$E114,Val!Q$10,Val!$C$7,Val!$C114),"")</f>
        <v>-86066.266666666663</v>
      </c>
    </row>
    <row r="115" spans="2:17" x14ac:dyDescent="0.25">
      <c r="B115" s="3" t="s">
        <v>247</v>
      </c>
      <c r="C115" t="s">
        <v>28</v>
      </c>
      <c r="D115" t="s">
        <v>199</v>
      </c>
      <c r="E115" t="s">
        <v>128</v>
      </c>
      <c r="F115" s="2">
        <f ca="1">IF(Flag_Send_Data=1,_xll.DBSW(Val!F115,Val!$C$1,Val!$C$2,Val!$C$3,Val!$C$4,Val!$D115,Val!$C$5,Val!$C$6,Val!$B115,Val!$E115,Val!F$10,Val!$C$7,Val!$C115),"")</f>
        <v>-7083.333333333333</v>
      </c>
      <c r="G115" s="2">
        <f ca="1">IF(Flag_Send_Data=1,_xll.DBSW(Val!G115,Val!$C$1,Val!$C$2,Val!$C$3,Val!$C$4,Val!$D115,Val!$C$5,Val!$C$6,Val!$B115,Val!$E115,Val!G$10,Val!$C$7,Val!$C115),"")</f>
        <v>-7083.333333333333</v>
      </c>
      <c r="H115" s="2">
        <f ca="1">IF(Flag_Send_Data=1,_xll.DBSW(Val!H115,Val!$C$1,Val!$C$2,Val!$C$3,Val!$C$4,Val!$D115,Val!$C$5,Val!$C$6,Val!$B115,Val!$E115,Val!H$10,Val!$C$7,Val!$C115),"")</f>
        <v>-7083.333333333333</v>
      </c>
      <c r="I115" s="2">
        <f ca="1">IF(Flag_Send_Data=1,_xll.DBSW(Val!I115,Val!$C$1,Val!$C$2,Val!$C$3,Val!$C$4,Val!$D115,Val!$C$5,Val!$C$6,Val!$B115,Val!$E115,Val!I$10,Val!$C$7,Val!$C115),"")</f>
        <v>-7083.333333333333</v>
      </c>
      <c r="J115" s="2">
        <f ca="1">IF(Flag_Send_Data=1,_xll.DBSW(Val!J115,Val!$C$1,Val!$C$2,Val!$C$3,Val!$C$4,Val!$D115,Val!$C$5,Val!$C$6,Val!$B115,Val!$E115,Val!J$10,Val!$C$7,Val!$C115),"")</f>
        <v>-7083.333333333333</v>
      </c>
      <c r="K115" s="2">
        <f ca="1">IF(Flag_Send_Data=1,_xll.DBSW(Val!K115,Val!$C$1,Val!$C$2,Val!$C$3,Val!$C$4,Val!$D115,Val!$C$5,Val!$C$6,Val!$B115,Val!$E115,Val!K$10,Val!$C$7,Val!$C115),"")</f>
        <v>-7083.333333333333</v>
      </c>
      <c r="L115" s="2">
        <f ca="1">IF(Flag_Send_Data=1,_xll.DBSW(Val!L115,Val!$C$1,Val!$C$2,Val!$C$3,Val!$C$4,Val!$D115,Val!$C$5,Val!$C$6,Val!$B115,Val!$E115,Val!L$10,Val!$C$7,Val!$C115),"")</f>
        <v>-7083.333333333333</v>
      </c>
      <c r="M115" s="2">
        <f ca="1">IF(Flag_Send_Data=1,_xll.DBSW(Val!M115,Val!$C$1,Val!$C$2,Val!$C$3,Val!$C$4,Val!$D115,Val!$C$5,Val!$C$6,Val!$B115,Val!$E115,Val!M$10,Val!$C$7,Val!$C115),"")</f>
        <v>-7083.333333333333</v>
      </c>
      <c r="N115" s="2">
        <f ca="1">IF(Flag_Send_Data=1,_xll.DBSW(Val!N115,Val!$C$1,Val!$C$2,Val!$C$3,Val!$C$4,Val!$D115,Val!$C$5,Val!$C$6,Val!$B115,Val!$E115,Val!N$10,Val!$C$7,Val!$C115),"")</f>
        <v>-7083.333333333333</v>
      </c>
      <c r="O115" s="2">
        <f ca="1">IF(Flag_Send_Data=1,_xll.DBSW(Val!O115,Val!$C$1,Val!$C$2,Val!$C$3,Val!$C$4,Val!$D115,Val!$C$5,Val!$C$6,Val!$B115,Val!$E115,Val!O$10,Val!$C$7,Val!$C115),"")</f>
        <v>-7083.333333333333</v>
      </c>
      <c r="P115" s="2">
        <f ca="1">IF(Flag_Send_Data=1,_xll.DBSW(Val!P115,Val!$C$1,Val!$C$2,Val!$C$3,Val!$C$4,Val!$D115,Val!$C$5,Val!$C$6,Val!$B115,Val!$E115,Val!P$10,Val!$C$7,Val!$C115),"")</f>
        <v>-7083.333333333333</v>
      </c>
      <c r="Q115" s="2">
        <f ca="1">IF(Flag_Send_Data=1,_xll.DBSW(Val!Q115,Val!$C$1,Val!$C$2,Val!$C$3,Val!$C$4,Val!$D115,Val!$C$5,Val!$C$6,Val!$B115,Val!$E115,Val!Q$10,Val!$C$7,Val!$C115),"")</f>
        <v>-7083.333333333333</v>
      </c>
    </row>
    <row r="116" spans="2:17" x14ac:dyDescent="0.25">
      <c r="B116" s="3" t="s">
        <v>247</v>
      </c>
      <c r="C116" t="s">
        <v>29</v>
      </c>
      <c r="D116" t="s">
        <v>199</v>
      </c>
      <c r="E116" t="s">
        <v>128</v>
      </c>
      <c r="F116" s="2">
        <f ca="1">IF(Flag_Send_Data=1,_xll.DBSW(Val!F116,Val!$C$1,Val!$C$2,Val!$C$3,Val!$C$4,Val!$D116,Val!$C$5,Val!$C$6,Val!$B116,Val!$E116,Val!F$10,Val!$C$7,Val!$C116),"")</f>
        <v>-2083.3333333333335</v>
      </c>
      <c r="G116" s="2">
        <f ca="1">IF(Flag_Send_Data=1,_xll.DBSW(Val!G116,Val!$C$1,Val!$C$2,Val!$C$3,Val!$C$4,Val!$D116,Val!$C$5,Val!$C$6,Val!$B116,Val!$E116,Val!G$10,Val!$C$7,Val!$C116),"")</f>
        <v>-2083.3333333333335</v>
      </c>
      <c r="H116" s="2">
        <f ca="1">IF(Flag_Send_Data=1,_xll.DBSW(Val!H116,Val!$C$1,Val!$C$2,Val!$C$3,Val!$C$4,Val!$D116,Val!$C$5,Val!$C$6,Val!$B116,Val!$E116,Val!H$10,Val!$C$7,Val!$C116),"")</f>
        <v>-2083.3333333333335</v>
      </c>
      <c r="I116" s="2">
        <f ca="1">IF(Flag_Send_Data=1,_xll.DBSW(Val!I116,Val!$C$1,Val!$C$2,Val!$C$3,Val!$C$4,Val!$D116,Val!$C$5,Val!$C$6,Val!$B116,Val!$E116,Val!I$10,Val!$C$7,Val!$C116),"")</f>
        <v>-2083.3333333333335</v>
      </c>
      <c r="J116" s="2">
        <f ca="1">IF(Flag_Send_Data=1,_xll.DBSW(Val!J116,Val!$C$1,Val!$C$2,Val!$C$3,Val!$C$4,Val!$D116,Val!$C$5,Val!$C$6,Val!$B116,Val!$E116,Val!J$10,Val!$C$7,Val!$C116),"")</f>
        <v>-2083.3333333333335</v>
      </c>
      <c r="K116" s="2">
        <f ca="1">IF(Flag_Send_Data=1,_xll.DBSW(Val!K116,Val!$C$1,Val!$C$2,Val!$C$3,Val!$C$4,Val!$D116,Val!$C$5,Val!$C$6,Val!$B116,Val!$E116,Val!K$10,Val!$C$7,Val!$C116),"")</f>
        <v>-2083.3333333333335</v>
      </c>
      <c r="L116" s="2">
        <f ca="1">IF(Flag_Send_Data=1,_xll.DBSW(Val!L116,Val!$C$1,Val!$C$2,Val!$C$3,Val!$C$4,Val!$D116,Val!$C$5,Val!$C$6,Val!$B116,Val!$E116,Val!L$10,Val!$C$7,Val!$C116),"")</f>
        <v>-2083.3333333333335</v>
      </c>
      <c r="M116" s="2">
        <f ca="1">IF(Flag_Send_Data=1,_xll.DBSW(Val!M116,Val!$C$1,Val!$C$2,Val!$C$3,Val!$C$4,Val!$D116,Val!$C$5,Val!$C$6,Val!$B116,Val!$E116,Val!M$10,Val!$C$7,Val!$C116),"")</f>
        <v>-2083.3333333333335</v>
      </c>
      <c r="N116" s="2">
        <f ca="1">IF(Flag_Send_Data=1,_xll.DBSW(Val!N116,Val!$C$1,Val!$C$2,Val!$C$3,Val!$C$4,Val!$D116,Val!$C$5,Val!$C$6,Val!$B116,Val!$E116,Val!N$10,Val!$C$7,Val!$C116),"")</f>
        <v>-2083.3333333333335</v>
      </c>
      <c r="O116" s="2">
        <f ca="1">IF(Flag_Send_Data=1,_xll.DBSW(Val!O116,Val!$C$1,Val!$C$2,Val!$C$3,Val!$C$4,Val!$D116,Val!$C$5,Val!$C$6,Val!$B116,Val!$E116,Val!O$10,Val!$C$7,Val!$C116),"")</f>
        <v>-2083.3333333333335</v>
      </c>
      <c r="P116" s="2">
        <f ca="1">IF(Flag_Send_Data=1,_xll.DBSW(Val!P116,Val!$C$1,Val!$C$2,Val!$C$3,Val!$C$4,Val!$D116,Val!$C$5,Val!$C$6,Val!$B116,Val!$E116,Val!P$10,Val!$C$7,Val!$C116),"")</f>
        <v>-2083.3333333333335</v>
      </c>
      <c r="Q116" s="2">
        <f ca="1">IF(Flag_Send_Data=1,_xll.DBSW(Val!Q116,Val!$C$1,Val!$C$2,Val!$C$3,Val!$C$4,Val!$D116,Val!$C$5,Val!$C$6,Val!$B116,Val!$E116,Val!Q$10,Val!$C$7,Val!$C116),"")</f>
        <v>-2083.3333333333335</v>
      </c>
    </row>
    <row r="117" spans="2:17" x14ac:dyDescent="0.25">
      <c r="B117" s="3" t="s">
        <v>247</v>
      </c>
      <c r="C117" t="s">
        <v>30</v>
      </c>
      <c r="D117" t="s">
        <v>199</v>
      </c>
      <c r="E117" t="s">
        <v>128</v>
      </c>
      <c r="F117" s="2">
        <f ca="1">IF(Flag_Send_Data=1,_xll.DBSW(Val!F117,Val!$C$1,Val!$C$2,Val!$C$3,Val!$C$4,Val!$D117,Val!$C$5,Val!$C$6,Val!$B117,Val!$E117,Val!F$10,Val!$C$7,Val!$C117),"")</f>
        <v>-416.66666666666669</v>
      </c>
      <c r="G117" s="2">
        <f ca="1">IF(Flag_Send_Data=1,_xll.DBSW(Val!G117,Val!$C$1,Val!$C$2,Val!$C$3,Val!$C$4,Val!$D117,Val!$C$5,Val!$C$6,Val!$B117,Val!$E117,Val!G$10,Val!$C$7,Val!$C117),"")</f>
        <v>-416.66666666666669</v>
      </c>
      <c r="H117" s="2">
        <f ca="1">IF(Flag_Send_Data=1,_xll.DBSW(Val!H117,Val!$C$1,Val!$C$2,Val!$C$3,Val!$C$4,Val!$D117,Val!$C$5,Val!$C$6,Val!$B117,Val!$E117,Val!H$10,Val!$C$7,Val!$C117),"")</f>
        <v>-416.66666666666669</v>
      </c>
      <c r="I117" s="2">
        <f ca="1">IF(Flag_Send_Data=1,_xll.DBSW(Val!I117,Val!$C$1,Val!$C$2,Val!$C$3,Val!$C$4,Val!$D117,Val!$C$5,Val!$C$6,Val!$B117,Val!$E117,Val!I$10,Val!$C$7,Val!$C117),"")</f>
        <v>-416.66666666666669</v>
      </c>
      <c r="J117" s="2">
        <f ca="1">IF(Flag_Send_Data=1,_xll.DBSW(Val!J117,Val!$C$1,Val!$C$2,Val!$C$3,Val!$C$4,Val!$D117,Val!$C$5,Val!$C$6,Val!$B117,Val!$E117,Val!J$10,Val!$C$7,Val!$C117),"")</f>
        <v>-416.66666666666669</v>
      </c>
      <c r="K117" s="2">
        <f ca="1">IF(Flag_Send_Data=1,_xll.DBSW(Val!K117,Val!$C$1,Val!$C$2,Val!$C$3,Val!$C$4,Val!$D117,Val!$C$5,Val!$C$6,Val!$B117,Val!$E117,Val!K$10,Val!$C$7,Val!$C117),"")</f>
        <v>-416.66666666666669</v>
      </c>
      <c r="L117" s="2">
        <f ca="1">IF(Flag_Send_Data=1,_xll.DBSW(Val!L117,Val!$C$1,Val!$C$2,Val!$C$3,Val!$C$4,Val!$D117,Val!$C$5,Val!$C$6,Val!$B117,Val!$E117,Val!L$10,Val!$C$7,Val!$C117),"")</f>
        <v>-416.66666666666669</v>
      </c>
      <c r="M117" s="2">
        <f ca="1">IF(Flag_Send_Data=1,_xll.DBSW(Val!M117,Val!$C$1,Val!$C$2,Val!$C$3,Val!$C$4,Val!$D117,Val!$C$5,Val!$C$6,Val!$B117,Val!$E117,Val!M$10,Val!$C$7,Val!$C117),"")</f>
        <v>-416.66666666666669</v>
      </c>
      <c r="N117" s="2">
        <f ca="1">IF(Flag_Send_Data=1,_xll.DBSW(Val!N117,Val!$C$1,Val!$C$2,Val!$C$3,Val!$C$4,Val!$D117,Val!$C$5,Val!$C$6,Val!$B117,Val!$E117,Val!N$10,Val!$C$7,Val!$C117),"")</f>
        <v>-416.66666666666669</v>
      </c>
      <c r="O117" s="2">
        <f ca="1">IF(Flag_Send_Data=1,_xll.DBSW(Val!O117,Val!$C$1,Val!$C$2,Val!$C$3,Val!$C$4,Val!$D117,Val!$C$5,Val!$C$6,Val!$B117,Val!$E117,Val!O$10,Val!$C$7,Val!$C117),"")</f>
        <v>-416.66666666666669</v>
      </c>
      <c r="P117" s="2">
        <f ca="1">IF(Flag_Send_Data=1,_xll.DBSW(Val!P117,Val!$C$1,Val!$C$2,Val!$C$3,Val!$C$4,Val!$D117,Val!$C$5,Val!$C$6,Val!$B117,Val!$E117,Val!P$10,Val!$C$7,Val!$C117),"")</f>
        <v>-416.66666666666669</v>
      </c>
      <c r="Q117" s="2">
        <f ca="1">IF(Flag_Send_Data=1,_xll.DBSW(Val!Q117,Val!$C$1,Val!$C$2,Val!$C$3,Val!$C$4,Val!$D117,Val!$C$5,Val!$C$6,Val!$B117,Val!$E117,Val!Q$10,Val!$C$7,Val!$C117),"")</f>
        <v>-416.66666666666669</v>
      </c>
    </row>
    <row r="118" spans="2:17" x14ac:dyDescent="0.25">
      <c r="B118" s="3" t="s">
        <v>247</v>
      </c>
      <c r="C118" t="s">
        <v>104</v>
      </c>
      <c r="D118" t="s">
        <v>199</v>
      </c>
      <c r="E118" t="s">
        <v>128</v>
      </c>
      <c r="F118" s="2">
        <f ca="1">IF(Flag_Send_Data=1,_xll.DBSW(Val!F118,Val!$C$1,Val!$C$2,Val!$C$3,Val!$C$4,Val!$D118,Val!$C$5,Val!$C$6,Val!$B118,Val!$E118,Val!F$10,Val!$C$7,Val!$C118),"")</f>
        <v>-1250</v>
      </c>
      <c r="G118" s="2">
        <f ca="1">IF(Flag_Send_Data=1,_xll.DBSW(Val!G118,Val!$C$1,Val!$C$2,Val!$C$3,Val!$C$4,Val!$D118,Val!$C$5,Val!$C$6,Val!$B118,Val!$E118,Val!G$10,Val!$C$7,Val!$C118),"")</f>
        <v>-1250</v>
      </c>
      <c r="H118" s="2">
        <f ca="1">IF(Flag_Send_Data=1,_xll.DBSW(Val!H118,Val!$C$1,Val!$C$2,Val!$C$3,Val!$C$4,Val!$D118,Val!$C$5,Val!$C$6,Val!$B118,Val!$E118,Val!H$10,Val!$C$7,Val!$C118),"")</f>
        <v>-1250</v>
      </c>
      <c r="I118" s="2">
        <f ca="1">IF(Flag_Send_Data=1,_xll.DBSW(Val!I118,Val!$C$1,Val!$C$2,Val!$C$3,Val!$C$4,Val!$D118,Val!$C$5,Val!$C$6,Val!$B118,Val!$E118,Val!I$10,Val!$C$7,Val!$C118),"")</f>
        <v>-1250</v>
      </c>
      <c r="J118" s="2">
        <f ca="1">IF(Flag_Send_Data=1,_xll.DBSW(Val!J118,Val!$C$1,Val!$C$2,Val!$C$3,Val!$C$4,Val!$D118,Val!$C$5,Val!$C$6,Val!$B118,Val!$E118,Val!J$10,Val!$C$7,Val!$C118),"")</f>
        <v>-1250</v>
      </c>
      <c r="K118" s="2">
        <f ca="1">IF(Flag_Send_Data=1,_xll.DBSW(Val!K118,Val!$C$1,Val!$C$2,Val!$C$3,Val!$C$4,Val!$D118,Val!$C$5,Val!$C$6,Val!$B118,Val!$E118,Val!K$10,Val!$C$7,Val!$C118),"")</f>
        <v>-1250</v>
      </c>
      <c r="L118" s="2">
        <f ca="1">IF(Flag_Send_Data=1,_xll.DBSW(Val!L118,Val!$C$1,Val!$C$2,Val!$C$3,Val!$C$4,Val!$D118,Val!$C$5,Val!$C$6,Val!$B118,Val!$E118,Val!L$10,Val!$C$7,Val!$C118),"")</f>
        <v>-1250</v>
      </c>
      <c r="M118" s="2">
        <f ca="1">IF(Flag_Send_Data=1,_xll.DBSW(Val!M118,Val!$C$1,Val!$C$2,Val!$C$3,Val!$C$4,Val!$D118,Val!$C$5,Val!$C$6,Val!$B118,Val!$E118,Val!M$10,Val!$C$7,Val!$C118),"")</f>
        <v>-1250</v>
      </c>
      <c r="N118" s="2">
        <f ca="1">IF(Flag_Send_Data=1,_xll.DBSW(Val!N118,Val!$C$1,Val!$C$2,Val!$C$3,Val!$C$4,Val!$D118,Val!$C$5,Val!$C$6,Val!$B118,Val!$E118,Val!N$10,Val!$C$7,Val!$C118),"")</f>
        <v>-1250</v>
      </c>
      <c r="O118" s="2">
        <f ca="1">IF(Flag_Send_Data=1,_xll.DBSW(Val!O118,Val!$C$1,Val!$C$2,Val!$C$3,Val!$C$4,Val!$D118,Val!$C$5,Val!$C$6,Val!$B118,Val!$E118,Val!O$10,Val!$C$7,Val!$C118),"")</f>
        <v>-1250</v>
      </c>
      <c r="P118" s="2">
        <f ca="1">IF(Flag_Send_Data=1,_xll.DBSW(Val!P118,Val!$C$1,Val!$C$2,Val!$C$3,Val!$C$4,Val!$D118,Val!$C$5,Val!$C$6,Val!$B118,Val!$E118,Val!P$10,Val!$C$7,Val!$C118),"")</f>
        <v>-1250</v>
      </c>
      <c r="Q118" s="2">
        <f ca="1">IF(Flag_Send_Data=1,_xll.DBSW(Val!Q118,Val!$C$1,Val!$C$2,Val!$C$3,Val!$C$4,Val!$D118,Val!$C$5,Val!$C$6,Val!$B118,Val!$E118,Val!Q$10,Val!$C$7,Val!$C118),"")</f>
        <v>-1250</v>
      </c>
    </row>
    <row r="119" spans="2:17" x14ac:dyDescent="0.25">
      <c r="B119" s="3" t="s">
        <v>248</v>
      </c>
      <c r="C119" t="s">
        <v>26</v>
      </c>
      <c r="D119" t="s">
        <v>199</v>
      </c>
      <c r="E119" t="s">
        <v>128</v>
      </c>
      <c r="F119" s="2">
        <f ca="1">IF(Flag_Send_Data=1,_xll.DBSW(Val!F119,Val!$C$1,Val!$C$2,Val!$C$3,Val!$C$4,Val!$D119,Val!$C$5,Val!$C$6,Val!$B119,Val!$E119,Val!F$10,Val!$C$7,Val!$C119),"")</f>
        <v>-51075.151666666665</v>
      </c>
      <c r="G119" s="2">
        <f ca="1">IF(Flag_Send_Data=1,_xll.DBSW(Val!G119,Val!$C$1,Val!$C$2,Val!$C$3,Val!$C$4,Val!$D119,Val!$C$5,Val!$C$6,Val!$B119,Val!$E119,Val!G$10,Val!$C$7,Val!$C119),"")</f>
        <v>-51075.151666666665</v>
      </c>
      <c r="H119" s="2">
        <f ca="1">IF(Flag_Send_Data=1,_xll.DBSW(Val!H119,Val!$C$1,Val!$C$2,Val!$C$3,Val!$C$4,Val!$D119,Val!$C$5,Val!$C$6,Val!$B119,Val!$E119,Val!H$10,Val!$C$7,Val!$C119),"")</f>
        <v>-51075.151666666665</v>
      </c>
      <c r="I119" s="2">
        <f ca="1">IF(Flag_Send_Data=1,_xll.DBSW(Val!I119,Val!$C$1,Val!$C$2,Val!$C$3,Val!$C$4,Val!$D119,Val!$C$5,Val!$C$6,Val!$B119,Val!$E119,Val!I$10,Val!$C$7,Val!$C119),"")</f>
        <v>-51075.151666666665</v>
      </c>
      <c r="J119" s="2">
        <f ca="1">IF(Flag_Send_Data=1,_xll.DBSW(Val!J119,Val!$C$1,Val!$C$2,Val!$C$3,Val!$C$4,Val!$D119,Val!$C$5,Val!$C$6,Val!$B119,Val!$E119,Val!J$10,Val!$C$7,Val!$C119),"")</f>
        <v>-51075.151666666665</v>
      </c>
      <c r="K119" s="2">
        <f ca="1">IF(Flag_Send_Data=1,_xll.DBSW(Val!K119,Val!$C$1,Val!$C$2,Val!$C$3,Val!$C$4,Val!$D119,Val!$C$5,Val!$C$6,Val!$B119,Val!$E119,Val!K$10,Val!$C$7,Val!$C119),"")</f>
        <v>-51075.151666666665</v>
      </c>
      <c r="L119" s="2">
        <f ca="1">IF(Flag_Send_Data=1,_xll.DBSW(Val!L119,Val!$C$1,Val!$C$2,Val!$C$3,Val!$C$4,Val!$D119,Val!$C$5,Val!$C$6,Val!$B119,Val!$E119,Val!L$10,Val!$C$7,Val!$C119),"")</f>
        <v>-51075.151666666665</v>
      </c>
      <c r="M119" s="2">
        <f ca="1">IF(Flag_Send_Data=1,_xll.DBSW(Val!M119,Val!$C$1,Val!$C$2,Val!$C$3,Val!$C$4,Val!$D119,Val!$C$5,Val!$C$6,Val!$B119,Val!$E119,Val!M$10,Val!$C$7,Val!$C119),"")</f>
        <v>-51075.151666666665</v>
      </c>
      <c r="N119" s="2">
        <f ca="1">IF(Flag_Send_Data=1,_xll.DBSW(Val!N119,Val!$C$1,Val!$C$2,Val!$C$3,Val!$C$4,Val!$D119,Val!$C$5,Val!$C$6,Val!$B119,Val!$E119,Val!N$10,Val!$C$7,Val!$C119),"")</f>
        <v>-51075.151666666665</v>
      </c>
      <c r="O119" s="2">
        <f ca="1">IF(Flag_Send_Data=1,_xll.DBSW(Val!O119,Val!$C$1,Val!$C$2,Val!$C$3,Val!$C$4,Val!$D119,Val!$C$5,Val!$C$6,Val!$B119,Val!$E119,Val!O$10,Val!$C$7,Val!$C119),"")</f>
        <v>-51075.151666666665</v>
      </c>
      <c r="P119" s="2">
        <f ca="1">IF(Flag_Send_Data=1,_xll.DBSW(Val!P119,Val!$C$1,Val!$C$2,Val!$C$3,Val!$C$4,Val!$D119,Val!$C$5,Val!$C$6,Val!$B119,Val!$E119,Val!P$10,Val!$C$7,Val!$C119),"")</f>
        <v>-51075.151666666665</v>
      </c>
      <c r="Q119" s="2">
        <f ca="1">IF(Flag_Send_Data=1,_xll.DBSW(Val!Q119,Val!$C$1,Val!$C$2,Val!$C$3,Val!$C$4,Val!$D119,Val!$C$5,Val!$C$6,Val!$B119,Val!$E119,Val!Q$10,Val!$C$7,Val!$C119),"")</f>
        <v>-51075.151666666665</v>
      </c>
    </row>
    <row r="120" spans="2:17" x14ac:dyDescent="0.25">
      <c r="B120" s="3" t="s">
        <v>248</v>
      </c>
      <c r="C120" t="s">
        <v>28</v>
      </c>
      <c r="D120" t="s">
        <v>199</v>
      </c>
      <c r="E120" t="s">
        <v>128</v>
      </c>
      <c r="F120" s="2">
        <f ca="1">IF(Flag_Send_Data=1,_xll.DBSW(Val!F120,Val!$C$1,Val!$C$2,Val!$C$3,Val!$C$4,Val!$D120,Val!$C$5,Val!$C$6,Val!$B120,Val!$E120,Val!F$10,Val!$C$7,Val!$C120),"")</f>
        <v>-583.33333333333337</v>
      </c>
      <c r="G120" s="2">
        <f ca="1">IF(Flag_Send_Data=1,_xll.DBSW(Val!G120,Val!$C$1,Val!$C$2,Val!$C$3,Val!$C$4,Val!$D120,Val!$C$5,Val!$C$6,Val!$B120,Val!$E120,Val!G$10,Val!$C$7,Val!$C120),"")</f>
        <v>-583.33333333333337</v>
      </c>
      <c r="H120" s="2">
        <f ca="1">IF(Flag_Send_Data=1,_xll.DBSW(Val!H120,Val!$C$1,Val!$C$2,Val!$C$3,Val!$C$4,Val!$D120,Val!$C$5,Val!$C$6,Val!$B120,Val!$E120,Val!H$10,Val!$C$7,Val!$C120),"")</f>
        <v>-583.33333333333337</v>
      </c>
      <c r="I120" s="2">
        <f ca="1">IF(Flag_Send_Data=1,_xll.DBSW(Val!I120,Val!$C$1,Val!$C$2,Val!$C$3,Val!$C$4,Val!$D120,Val!$C$5,Val!$C$6,Val!$B120,Val!$E120,Val!I$10,Val!$C$7,Val!$C120),"")</f>
        <v>-583.33333333333337</v>
      </c>
      <c r="J120" s="2">
        <f ca="1">IF(Flag_Send_Data=1,_xll.DBSW(Val!J120,Val!$C$1,Val!$C$2,Val!$C$3,Val!$C$4,Val!$D120,Val!$C$5,Val!$C$6,Val!$B120,Val!$E120,Val!J$10,Val!$C$7,Val!$C120),"")</f>
        <v>-583.33333333333337</v>
      </c>
      <c r="K120" s="2">
        <f ca="1">IF(Flag_Send_Data=1,_xll.DBSW(Val!K120,Val!$C$1,Val!$C$2,Val!$C$3,Val!$C$4,Val!$D120,Val!$C$5,Val!$C$6,Val!$B120,Val!$E120,Val!K$10,Val!$C$7,Val!$C120),"")</f>
        <v>-583.33333333333337</v>
      </c>
      <c r="L120" s="2">
        <f ca="1">IF(Flag_Send_Data=1,_xll.DBSW(Val!L120,Val!$C$1,Val!$C$2,Val!$C$3,Val!$C$4,Val!$D120,Val!$C$5,Val!$C$6,Val!$B120,Val!$E120,Val!L$10,Val!$C$7,Val!$C120),"")</f>
        <v>-583.33333333333337</v>
      </c>
      <c r="M120" s="2">
        <f ca="1">IF(Flag_Send_Data=1,_xll.DBSW(Val!M120,Val!$C$1,Val!$C$2,Val!$C$3,Val!$C$4,Val!$D120,Val!$C$5,Val!$C$6,Val!$B120,Val!$E120,Val!M$10,Val!$C$7,Val!$C120),"")</f>
        <v>-583.33333333333337</v>
      </c>
      <c r="N120" s="2">
        <f ca="1">IF(Flag_Send_Data=1,_xll.DBSW(Val!N120,Val!$C$1,Val!$C$2,Val!$C$3,Val!$C$4,Val!$D120,Val!$C$5,Val!$C$6,Val!$B120,Val!$E120,Val!N$10,Val!$C$7,Val!$C120),"")</f>
        <v>-583.33333333333337</v>
      </c>
      <c r="O120" s="2">
        <f ca="1">IF(Flag_Send_Data=1,_xll.DBSW(Val!O120,Val!$C$1,Val!$C$2,Val!$C$3,Val!$C$4,Val!$D120,Val!$C$5,Val!$C$6,Val!$B120,Val!$E120,Val!O$10,Val!$C$7,Val!$C120),"")</f>
        <v>-583.33333333333337</v>
      </c>
      <c r="P120" s="2">
        <f ca="1">IF(Flag_Send_Data=1,_xll.DBSW(Val!P120,Val!$C$1,Val!$C$2,Val!$C$3,Val!$C$4,Val!$D120,Val!$C$5,Val!$C$6,Val!$B120,Val!$E120,Val!P$10,Val!$C$7,Val!$C120),"")</f>
        <v>-583.33333333333337</v>
      </c>
      <c r="Q120" s="2">
        <f ca="1">IF(Flag_Send_Data=1,_xll.DBSW(Val!Q120,Val!$C$1,Val!$C$2,Val!$C$3,Val!$C$4,Val!$D120,Val!$C$5,Val!$C$6,Val!$B120,Val!$E120,Val!Q$10,Val!$C$7,Val!$C120),"")</f>
        <v>-583.33333333333337</v>
      </c>
    </row>
    <row r="121" spans="2:17" x14ac:dyDescent="0.25">
      <c r="B121" s="3" t="s">
        <v>248</v>
      </c>
      <c r="C121" t="s">
        <v>29</v>
      </c>
      <c r="D121" t="s">
        <v>199</v>
      </c>
      <c r="E121" t="s">
        <v>157</v>
      </c>
      <c r="F121" s="2">
        <f ca="1">IF(Flag_Send_Data=1,_xll.DBSW(Val!F121,Val!$C$1,Val!$C$2,Val!$C$3,Val!$C$4,Val!$D121,Val!$C$5,Val!$C$6,Val!$B121,Val!$E121,Val!F$10,Val!$C$7,Val!$C121),"")</f>
        <v>-14416.666666666666</v>
      </c>
      <c r="G121" s="2">
        <f ca="1">IF(Flag_Send_Data=1,_xll.DBSW(Val!G121,Val!$C$1,Val!$C$2,Val!$C$3,Val!$C$4,Val!$D121,Val!$C$5,Val!$C$6,Val!$B121,Val!$E121,Val!G$10,Val!$C$7,Val!$C121),"")</f>
        <v>-14416.666666666666</v>
      </c>
      <c r="H121" s="2">
        <f ca="1">IF(Flag_Send_Data=1,_xll.DBSW(Val!H121,Val!$C$1,Val!$C$2,Val!$C$3,Val!$C$4,Val!$D121,Val!$C$5,Val!$C$6,Val!$B121,Val!$E121,Val!H$10,Val!$C$7,Val!$C121),"")</f>
        <v>-14416.666666666666</v>
      </c>
      <c r="I121" s="2">
        <f ca="1">IF(Flag_Send_Data=1,_xll.DBSW(Val!I121,Val!$C$1,Val!$C$2,Val!$C$3,Val!$C$4,Val!$D121,Val!$C$5,Val!$C$6,Val!$B121,Val!$E121,Val!I$10,Val!$C$7,Val!$C121),"")</f>
        <v>-14416.666666666666</v>
      </c>
      <c r="J121" s="2">
        <f ca="1">IF(Flag_Send_Data=1,_xll.DBSW(Val!J121,Val!$C$1,Val!$C$2,Val!$C$3,Val!$C$4,Val!$D121,Val!$C$5,Val!$C$6,Val!$B121,Val!$E121,Val!J$10,Val!$C$7,Val!$C121),"")</f>
        <v>-14416.666666666666</v>
      </c>
      <c r="K121" s="2">
        <f ca="1">IF(Flag_Send_Data=1,_xll.DBSW(Val!K121,Val!$C$1,Val!$C$2,Val!$C$3,Val!$C$4,Val!$D121,Val!$C$5,Val!$C$6,Val!$B121,Val!$E121,Val!K$10,Val!$C$7,Val!$C121),"")</f>
        <v>-14416.666666666666</v>
      </c>
      <c r="L121" s="2">
        <f ca="1">IF(Flag_Send_Data=1,_xll.DBSW(Val!L121,Val!$C$1,Val!$C$2,Val!$C$3,Val!$C$4,Val!$D121,Val!$C$5,Val!$C$6,Val!$B121,Val!$E121,Val!L$10,Val!$C$7,Val!$C121),"")</f>
        <v>-14416.666666666666</v>
      </c>
      <c r="M121" s="2">
        <f ca="1">IF(Flag_Send_Data=1,_xll.DBSW(Val!M121,Val!$C$1,Val!$C$2,Val!$C$3,Val!$C$4,Val!$D121,Val!$C$5,Val!$C$6,Val!$B121,Val!$E121,Val!M$10,Val!$C$7,Val!$C121),"")</f>
        <v>-14416.666666666666</v>
      </c>
      <c r="N121" s="2">
        <f ca="1">IF(Flag_Send_Data=1,_xll.DBSW(Val!N121,Val!$C$1,Val!$C$2,Val!$C$3,Val!$C$4,Val!$D121,Val!$C$5,Val!$C$6,Val!$B121,Val!$E121,Val!N$10,Val!$C$7,Val!$C121),"")</f>
        <v>-14416.666666666666</v>
      </c>
      <c r="O121" s="2">
        <f ca="1">IF(Flag_Send_Data=1,_xll.DBSW(Val!O121,Val!$C$1,Val!$C$2,Val!$C$3,Val!$C$4,Val!$D121,Val!$C$5,Val!$C$6,Val!$B121,Val!$E121,Val!O$10,Val!$C$7,Val!$C121),"")</f>
        <v>-14416.666666666666</v>
      </c>
      <c r="P121" s="2">
        <f ca="1">IF(Flag_Send_Data=1,_xll.DBSW(Val!P121,Val!$C$1,Val!$C$2,Val!$C$3,Val!$C$4,Val!$D121,Val!$C$5,Val!$C$6,Val!$B121,Val!$E121,Val!P$10,Val!$C$7,Val!$C121),"")</f>
        <v>-14416.666666666666</v>
      </c>
      <c r="Q121" s="2">
        <f ca="1">IF(Flag_Send_Data=1,_xll.DBSW(Val!Q121,Val!$C$1,Val!$C$2,Val!$C$3,Val!$C$4,Val!$D121,Val!$C$5,Val!$C$6,Val!$B121,Val!$E121,Val!Q$10,Val!$C$7,Val!$C121),"")</f>
        <v>-14416.666666666666</v>
      </c>
    </row>
    <row r="122" spans="2:17" x14ac:dyDescent="0.25">
      <c r="B122" s="3" t="s">
        <v>248</v>
      </c>
      <c r="C122" t="s">
        <v>29</v>
      </c>
      <c r="D122" t="s">
        <v>199</v>
      </c>
      <c r="E122" t="s">
        <v>128</v>
      </c>
      <c r="F122" s="2">
        <f ca="1">IF(Flag_Send_Data=1,_xll.DBSW(Val!F122,Val!$C$1,Val!$C$2,Val!$C$3,Val!$C$4,Val!$D122,Val!$C$5,Val!$C$6,Val!$B122,Val!$E122,Val!F$10,Val!$C$7,Val!$C122),"")</f>
        <v>-5833.333333333333</v>
      </c>
      <c r="G122" s="2">
        <f ca="1">IF(Flag_Send_Data=1,_xll.DBSW(Val!G122,Val!$C$1,Val!$C$2,Val!$C$3,Val!$C$4,Val!$D122,Val!$C$5,Val!$C$6,Val!$B122,Val!$E122,Val!G$10,Val!$C$7,Val!$C122),"")</f>
        <v>-5833.333333333333</v>
      </c>
      <c r="H122" s="2">
        <f ca="1">IF(Flag_Send_Data=1,_xll.DBSW(Val!H122,Val!$C$1,Val!$C$2,Val!$C$3,Val!$C$4,Val!$D122,Val!$C$5,Val!$C$6,Val!$B122,Val!$E122,Val!H$10,Val!$C$7,Val!$C122),"")</f>
        <v>-5833.333333333333</v>
      </c>
      <c r="I122" s="2">
        <f ca="1">IF(Flag_Send_Data=1,_xll.DBSW(Val!I122,Val!$C$1,Val!$C$2,Val!$C$3,Val!$C$4,Val!$D122,Val!$C$5,Val!$C$6,Val!$B122,Val!$E122,Val!I$10,Val!$C$7,Val!$C122),"")</f>
        <v>-5833.333333333333</v>
      </c>
      <c r="J122" s="2">
        <f ca="1">IF(Flag_Send_Data=1,_xll.DBSW(Val!J122,Val!$C$1,Val!$C$2,Val!$C$3,Val!$C$4,Val!$D122,Val!$C$5,Val!$C$6,Val!$B122,Val!$E122,Val!J$10,Val!$C$7,Val!$C122),"")</f>
        <v>-5833.333333333333</v>
      </c>
      <c r="K122" s="2">
        <f ca="1">IF(Flag_Send_Data=1,_xll.DBSW(Val!K122,Val!$C$1,Val!$C$2,Val!$C$3,Val!$C$4,Val!$D122,Val!$C$5,Val!$C$6,Val!$B122,Val!$E122,Val!K$10,Val!$C$7,Val!$C122),"")</f>
        <v>-5833.333333333333</v>
      </c>
      <c r="L122" s="2">
        <f ca="1">IF(Flag_Send_Data=1,_xll.DBSW(Val!L122,Val!$C$1,Val!$C$2,Val!$C$3,Val!$C$4,Val!$D122,Val!$C$5,Val!$C$6,Val!$B122,Val!$E122,Val!L$10,Val!$C$7,Val!$C122),"")</f>
        <v>-5833.333333333333</v>
      </c>
      <c r="M122" s="2">
        <f ca="1">IF(Flag_Send_Data=1,_xll.DBSW(Val!M122,Val!$C$1,Val!$C$2,Val!$C$3,Val!$C$4,Val!$D122,Val!$C$5,Val!$C$6,Val!$B122,Val!$E122,Val!M$10,Val!$C$7,Val!$C122),"")</f>
        <v>-5833.333333333333</v>
      </c>
      <c r="N122" s="2">
        <f ca="1">IF(Flag_Send_Data=1,_xll.DBSW(Val!N122,Val!$C$1,Val!$C$2,Val!$C$3,Val!$C$4,Val!$D122,Val!$C$5,Val!$C$6,Val!$B122,Val!$E122,Val!N$10,Val!$C$7,Val!$C122),"")</f>
        <v>-5833.333333333333</v>
      </c>
      <c r="O122" s="2">
        <f ca="1">IF(Flag_Send_Data=1,_xll.DBSW(Val!O122,Val!$C$1,Val!$C$2,Val!$C$3,Val!$C$4,Val!$D122,Val!$C$5,Val!$C$6,Val!$B122,Val!$E122,Val!O$10,Val!$C$7,Val!$C122),"")</f>
        <v>-5833.333333333333</v>
      </c>
      <c r="P122" s="2">
        <f ca="1">IF(Flag_Send_Data=1,_xll.DBSW(Val!P122,Val!$C$1,Val!$C$2,Val!$C$3,Val!$C$4,Val!$D122,Val!$C$5,Val!$C$6,Val!$B122,Val!$E122,Val!P$10,Val!$C$7,Val!$C122),"")</f>
        <v>-5833.333333333333</v>
      </c>
      <c r="Q122" s="2">
        <f ca="1">IF(Flag_Send_Data=1,_xll.DBSW(Val!Q122,Val!$C$1,Val!$C$2,Val!$C$3,Val!$C$4,Val!$D122,Val!$C$5,Val!$C$6,Val!$B122,Val!$E122,Val!Q$10,Val!$C$7,Val!$C122),"")</f>
        <v>-5833.333333333333</v>
      </c>
    </row>
    <row r="123" spans="2:17" x14ac:dyDescent="0.25">
      <c r="B123" s="3" t="s">
        <v>248</v>
      </c>
      <c r="C123" t="s">
        <v>30</v>
      </c>
      <c r="D123" t="s">
        <v>199</v>
      </c>
      <c r="E123" t="s">
        <v>128</v>
      </c>
      <c r="F123" s="2">
        <f ca="1">IF(Flag_Send_Data=1,_xll.DBSW(Val!F123,Val!$C$1,Val!$C$2,Val!$C$3,Val!$C$4,Val!$D123,Val!$C$5,Val!$C$6,Val!$B123,Val!$E123,Val!F$10,Val!$C$7,Val!$C123),"")</f>
        <v>-83.333333333333329</v>
      </c>
      <c r="G123" s="2">
        <f ca="1">IF(Flag_Send_Data=1,_xll.DBSW(Val!G123,Val!$C$1,Val!$C$2,Val!$C$3,Val!$C$4,Val!$D123,Val!$C$5,Val!$C$6,Val!$B123,Val!$E123,Val!G$10,Val!$C$7,Val!$C123),"")</f>
        <v>-83.333333333333329</v>
      </c>
      <c r="H123" s="2">
        <f ca="1">IF(Flag_Send_Data=1,_xll.DBSW(Val!H123,Val!$C$1,Val!$C$2,Val!$C$3,Val!$C$4,Val!$D123,Val!$C$5,Val!$C$6,Val!$B123,Val!$E123,Val!H$10,Val!$C$7,Val!$C123),"")</f>
        <v>-83.333333333333329</v>
      </c>
      <c r="I123" s="2">
        <f ca="1">IF(Flag_Send_Data=1,_xll.DBSW(Val!I123,Val!$C$1,Val!$C$2,Val!$C$3,Val!$C$4,Val!$D123,Val!$C$5,Val!$C$6,Val!$B123,Val!$E123,Val!I$10,Val!$C$7,Val!$C123),"")</f>
        <v>-83.333333333333329</v>
      </c>
      <c r="J123" s="2">
        <f ca="1">IF(Flag_Send_Data=1,_xll.DBSW(Val!J123,Val!$C$1,Val!$C$2,Val!$C$3,Val!$C$4,Val!$D123,Val!$C$5,Val!$C$6,Val!$B123,Val!$E123,Val!J$10,Val!$C$7,Val!$C123),"")</f>
        <v>-83.333333333333329</v>
      </c>
      <c r="K123" s="2">
        <f ca="1">IF(Flag_Send_Data=1,_xll.DBSW(Val!K123,Val!$C$1,Val!$C$2,Val!$C$3,Val!$C$4,Val!$D123,Val!$C$5,Val!$C$6,Val!$B123,Val!$E123,Val!K$10,Val!$C$7,Val!$C123),"")</f>
        <v>-83.333333333333329</v>
      </c>
      <c r="L123" s="2">
        <f ca="1">IF(Flag_Send_Data=1,_xll.DBSW(Val!L123,Val!$C$1,Val!$C$2,Val!$C$3,Val!$C$4,Val!$D123,Val!$C$5,Val!$C$6,Val!$B123,Val!$E123,Val!L$10,Val!$C$7,Val!$C123),"")</f>
        <v>-83.333333333333329</v>
      </c>
      <c r="M123" s="2">
        <f ca="1">IF(Flag_Send_Data=1,_xll.DBSW(Val!M123,Val!$C$1,Val!$C$2,Val!$C$3,Val!$C$4,Val!$D123,Val!$C$5,Val!$C$6,Val!$B123,Val!$E123,Val!M$10,Val!$C$7,Val!$C123),"")</f>
        <v>-83.333333333333329</v>
      </c>
      <c r="N123" s="2">
        <f ca="1">IF(Flag_Send_Data=1,_xll.DBSW(Val!N123,Val!$C$1,Val!$C$2,Val!$C$3,Val!$C$4,Val!$D123,Val!$C$5,Val!$C$6,Val!$B123,Val!$E123,Val!N$10,Val!$C$7,Val!$C123),"")</f>
        <v>-83.333333333333329</v>
      </c>
      <c r="O123" s="2">
        <f ca="1">IF(Flag_Send_Data=1,_xll.DBSW(Val!O123,Val!$C$1,Val!$C$2,Val!$C$3,Val!$C$4,Val!$D123,Val!$C$5,Val!$C$6,Val!$B123,Val!$E123,Val!O$10,Val!$C$7,Val!$C123),"")</f>
        <v>-83.333333333333329</v>
      </c>
      <c r="P123" s="2">
        <f ca="1">IF(Flag_Send_Data=1,_xll.DBSW(Val!P123,Val!$C$1,Val!$C$2,Val!$C$3,Val!$C$4,Val!$D123,Val!$C$5,Val!$C$6,Val!$B123,Val!$E123,Val!P$10,Val!$C$7,Val!$C123),"")</f>
        <v>-83.333333333333329</v>
      </c>
      <c r="Q123" s="2">
        <f ca="1">IF(Flag_Send_Data=1,_xll.DBSW(Val!Q123,Val!$C$1,Val!$C$2,Val!$C$3,Val!$C$4,Val!$D123,Val!$C$5,Val!$C$6,Val!$B123,Val!$E123,Val!Q$10,Val!$C$7,Val!$C123),"")</f>
        <v>-83.333333333333329</v>
      </c>
    </row>
    <row r="124" spans="2:17" x14ac:dyDescent="0.25">
      <c r="B124" s="3" t="s">
        <v>248</v>
      </c>
      <c r="C124" t="s">
        <v>104</v>
      </c>
      <c r="D124" t="s">
        <v>199</v>
      </c>
      <c r="E124" t="s">
        <v>128</v>
      </c>
      <c r="F124" s="2">
        <f ca="1">IF(Flag_Send_Data=1,_xll.DBSW(Val!F124,Val!$C$1,Val!$C$2,Val!$C$3,Val!$C$4,Val!$D124,Val!$C$5,Val!$C$6,Val!$B124,Val!$E124,Val!F$10,Val!$C$7,Val!$C124),"")</f>
        <v>-666.66666666666663</v>
      </c>
      <c r="G124" s="2">
        <f ca="1">IF(Flag_Send_Data=1,_xll.DBSW(Val!G124,Val!$C$1,Val!$C$2,Val!$C$3,Val!$C$4,Val!$D124,Val!$C$5,Val!$C$6,Val!$B124,Val!$E124,Val!G$10,Val!$C$7,Val!$C124),"")</f>
        <v>-666.66666666666663</v>
      </c>
      <c r="H124" s="2">
        <f ca="1">IF(Flag_Send_Data=1,_xll.DBSW(Val!H124,Val!$C$1,Val!$C$2,Val!$C$3,Val!$C$4,Val!$D124,Val!$C$5,Val!$C$6,Val!$B124,Val!$E124,Val!H$10,Val!$C$7,Val!$C124),"")</f>
        <v>-666.66666666666663</v>
      </c>
      <c r="I124" s="2">
        <f ca="1">IF(Flag_Send_Data=1,_xll.DBSW(Val!I124,Val!$C$1,Val!$C$2,Val!$C$3,Val!$C$4,Val!$D124,Val!$C$5,Val!$C$6,Val!$B124,Val!$E124,Val!I$10,Val!$C$7,Val!$C124),"")</f>
        <v>-666.66666666666663</v>
      </c>
      <c r="J124" s="2">
        <f ca="1">IF(Flag_Send_Data=1,_xll.DBSW(Val!J124,Val!$C$1,Val!$C$2,Val!$C$3,Val!$C$4,Val!$D124,Val!$C$5,Val!$C$6,Val!$B124,Val!$E124,Val!J$10,Val!$C$7,Val!$C124),"")</f>
        <v>-666.66666666666663</v>
      </c>
      <c r="K124" s="2">
        <f ca="1">IF(Flag_Send_Data=1,_xll.DBSW(Val!K124,Val!$C$1,Val!$C$2,Val!$C$3,Val!$C$4,Val!$D124,Val!$C$5,Val!$C$6,Val!$B124,Val!$E124,Val!K$10,Val!$C$7,Val!$C124),"")</f>
        <v>-666.66666666666663</v>
      </c>
      <c r="L124" s="2">
        <f ca="1">IF(Flag_Send_Data=1,_xll.DBSW(Val!L124,Val!$C$1,Val!$C$2,Val!$C$3,Val!$C$4,Val!$D124,Val!$C$5,Val!$C$6,Val!$B124,Val!$E124,Val!L$10,Val!$C$7,Val!$C124),"")</f>
        <v>-666.66666666666663</v>
      </c>
      <c r="M124" s="2">
        <f ca="1">IF(Flag_Send_Data=1,_xll.DBSW(Val!M124,Val!$C$1,Val!$C$2,Val!$C$3,Val!$C$4,Val!$D124,Val!$C$5,Val!$C$6,Val!$B124,Val!$E124,Val!M$10,Val!$C$7,Val!$C124),"")</f>
        <v>-666.66666666666663</v>
      </c>
      <c r="N124" s="2">
        <f ca="1">IF(Flag_Send_Data=1,_xll.DBSW(Val!N124,Val!$C$1,Val!$C$2,Val!$C$3,Val!$C$4,Val!$D124,Val!$C$5,Val!$C$6,Val!$B124,Val!$E124,Val!N$10,Val!$C$7,Val!$C124),"")</f>
        <v>-666.66666666666663</v>
      </c>
      <c r="O124" s="2">
        <f ca="1">IF(Flag_Send_Data=1,_xll.DBSW(Val!O124,Val!$C$1,Val!$C$2,Val!$C$3,Val!$C$4,Val!$D124,Val!$C$5,Val!$C$6,Val!$B124,Val!$E124,Val!O$10,Val!$C$7,Val!$C124),"")</f>
        <v>-666.66666666666663</v>
      </c>
      <c r="P124" s="2">
        <f ca="1">IF(Flag_Send_Data=1,_xll.DBSW(Val!P124,Val!$C$1,Val!$C$2,Val!$C$3,Val!$C$4,Val!$D124,Val!$C$5,Val!$C$6,Val!$B124,Val!$E124,Val!P$10,Val!$C$7,Val!$C124),"")</f>
        <v>-666.66666666666663</v>
      </c>
      <c r="Q124" s="2">
        <f ca="1">IF(Flag_Send_Data=1,_xll.DBSW(Val!Q124,Val!$C$1,Val!$C$2,Val!$C$3,Val!$C$4,Val!$D124,Val!$C$5,Val!$C$6,Val!$B124,Val!$E124,Val!Q$10,Val!$C$7,Val!$C124),"")</f>
        <v>-666.66666666666663</v>
      </c>
    </row>
    <row r="125" spans="2:17" x14ac:dyDescent="0.25">
      <c r="B125" s="3" t="s">
        <v>248</v>
      </c>
      <c r="C125" t="s">
        <v>105</v>
      </c>
      <c r="D125" t="s">
        <v>199</v>
      </c>
      <c r="E125" t="s">
        <v>44</v>
      </c>
      <c r="F125" s="2">
        <f ca="1">IF(Flag_Send_Data=1,_xll.DBSW(Val!F125,Val!$C$1,Val!$C$2,Val!$C$3,Val!$C$4,Val!$D125,Val!$C$5,Val!$C$6,Val!$B125,Val!$E125,Val!F$10,Val!$C$7,Val!$C125),"")</f>
        <v>15666.666666666666</v>
      </c>
      <c r="G125" s="2">
        <f ca="1">IF(Flag_Send_Data=1,_xll.DBSW(Val!G125,Val!$C$1,Val!$C$2,Val!$C$3,Val!$C$4,Val!$D125,Val!$C$5,Val!$C$6,Val!$B125,Val!$E125,Val!G$10,Val!$C$7,Val!$C125),"")</f>
        <v>15666.666666666666</v>
      </c>
      <c r="H125" s="2">
        <f ca="1">IF(Flag_Send_Data=1,_xll.DBSW(Val!H125,Val!$C$1,Val!$C$2,Val!$C$3,Val!$C$4,Val!$D125,Val!$C$5,Val!$C$6,Val!$B125,Val!$E125,Val!H$10,Val!$C$7,Val!$C125),"")</f>
        <v>15666.666666666666</v>
      </c>
      <c r="I125" s="2">
        <f ca="1">IF(Flag_Send_Data=1,_xll.DBSW(Val!I125,Val!$C$1,Val!$C$2,Val!$C$3,Val!$C$4,Val!$D125,Val!$C$5,Val!$C$6,Val!$B125,Val!$E125,Val!I$10,Val!$C$7,Val!$C125),"")</f>
        <v>15666.666666666666</v>
      </c>
      <c r="J125" s="2">
        <f ca="1">IF(Flag_Send_Data=1,_xll.DBSW(Val!J125,Val!$C$1,Val!$C$2,Val!$C$3,Val!$C$4,Val!$D125,Val!$C$5,Val!$C$6,Val!$B125,Val!$E125,Val!J$10,Val!$C$7,Val!$C125),"")</f>
        <v>15666.666666666666</v>
      </c>
      <c r="K125" s="2">
        <f ca="1">IF(Flag_Send_Data=1,_xll.DBSW(Val!K125,Val!$C$1,Val!$C$2,Val!$C$3,Val!$C$4,Val!$D125,Val!$C$5,Val!$C$6,Val!$B125,Val!$E125,Val!K$10,Val!$C$7,Val!$C125),"")</f>
        <v>15666.666666666666</v>
      </c>
      <c r="L125" s="2">
        <f ca="1">IF(Flag_Send_Data=1,_xll.DBSW(Val!L125,Val!$C$1,Val!$C$2,Val!$C$3,Val!$C$4,Val!$D125,Val!$C$5,Val!$C$6,Val!$B125,Val!$E125,Val!L$10,Val!$C$7,Val!$C125),"")</f>
        <v>15666.666666666666</v>
      </c>
      <c r="M125" s="2">
        <f ca="1">IF(Flag_Send_Data=1,_xll.DBSW(Val!M125,Val!$C$1,Val!$C$2,Val!$C$3,Val!$C$4,Val!$D125,Val!$C$5,Val!$C$6,Val!$B125,Val!$E125,Val!M$10,Val!$C$7,Val!$C125),"")</f>
        <v>15666.666666666666</v>
      </c>
      <c r="N125" s="2">
        <f ca="1">IF(Flag_Send_Data=1,_xll.DBSW(Val!N125,Val!$C$1,Val!$C$2,Val!$C$3,Val!$C$4,Val!$D125,Val!$C$5,Val!$C$6,Val!$B125,Val!$E125,Val!N$10,Val!$C$7,Val!$C125),"")</f>
        <v>15666.666666666666</v>
      </c>
      <c r="O125" s="2">
        <f ca="1">IF(Flag_Send_Data=1,_xll.DBSW(Val!O125,Val!$C$1,Val!$C$2,Val!$C$3,Val!$C$4,Val!$D125,Val!$C$5,Val!$C$6,Val!$B125,Val!$E125,Val!O$10,Val!$C$7,Val!$C125),"")</f>
        <v>15666.666666666666</v>
      </c>
      <c r="P125" s="2">
        <f ca="1">IF(Flag_Send_Data=1,_xll.DBSW(Val!P125,Val!$C$1,Val!$C$2,Val!$C$3,Val!$C$4,Val!$D125,Val!$C$5,Val!$C$6,Val!$B125,Val!$E125,Val!P$10,Val!$C$7,Val!$C125),"")</f>
        <v>15666.666666666666</v>
      </c>
      <c r="Q125" s="2">
        <f ca="1">IF(Flag_Send_Data=1,_xll.DBSW(Val!Q125,Val!$C$1,Val!$C$2,Val!$C$3,Val!$C$4,Val!$D125,Val!$C$5,Val!$C$6,Val!$B125,Val!$E125,Val!Q$10,Val!$C$7,Val!$C125),"")</f>
        <v>15666.666666666666</v>
      </c>
    </row>
    <row r="126" spans="2:17" x14ac:dyDescent="0.25">
      <c r="B126" s="3" t="s">
        <v>249</v>
      </c>
      <c r="C126" t="s">
        <v>23</v>
      </c>
      <c r="D126" t="s">
        <v>199</v>
      </c>
      <c r="E126" t="s">
        <v>128</v>
      </c>
      <c r="F126" s="2">
        <f ca="1">IF(Flag_Send_Data=1,_xll.DBSW(Val!F126,Val!$C$1,Val!$C$2,Val!$C$3,Val!$C$4,Val!$D126,Val!$C$5,Val!$C$6,Val!$B126,Val!$E126,Val!F$10,Val!$C$7,Val!$C126),"")</f>
        <v>-54685.332499999997</v>
      </c>
      <c r="G126" s="2">
        <f ca="1">IF(Flag_Send_Data=1,_xll.DBSW(Val!G126,Val!$C$1,Val!$C$2,Val!$C$3,Val!$C$4,Val!$D126,Val!$C$5,Val!$C$6,Val!$B126,Val!$E126,Val!G$10,Val!$C$7,Val!$C126),"")</f>
        <v>-54685.332499999997</v>
      </c>
      <c r="H126" s="2">
        <f ca="1">IF(Flag_Send_Data=1,_xll.DBSW(Val!H126,Val!$C$1,Val!$C$2,Val!$C$3,Val!$C$4,Val!$D126,Val!$C$5,Val!$C$6,Val!$B126,Val!$E126,Val!H$10,Val!$C$7,Val!$C126),"")</f>
        <v>-54685.332499999997</v>
      </c>
      <c r="I126" s="2">
        <f ca="1">IF(Flag_Send_Data=1,_xll.DBSW(Val!I126,Val!$C$1,Val!$C$2,Val!$C$3,Val!$C$4,Val!$D126,Val!$C$5,Val!$C$6,Val!$B126,Val!$E126,Val!I$10,Val!$C$7,Val!$C126),"")</f>
        <v>-54685.332499999997</v>
      </c>
      <c r="J126" s="2">
        <f ca="1">IF(Flag_Send_Data=1,_xll.DBSW(Val!J126,Val!$C$1,Val!$C$2,Val!$C$3,Val!$C$4,Val!$D126,Val!$C$5,Val!$C$6,Val!$B126,Val!$E126,Val!J$10,Val!$C$7,Val!$C126),"")</f>
        <v>-54685.332499999997</v>
      </c>
      <c r="K126" s="2">
        <f ca="1">IF(Flag_Send_Data=1,_xll.DBSW(Val!K126,Val!$C$1,Val!$C$2,Val!$C$3,Val!$C$4,Val!$D126,Val!$C$5,Val!$C$6,Val!$B126,Val!$E126,Val!K$10,Val!$C$7,Val!$C126),"")</f>
        <v>-54685.332499999997</v>
      </c>
      <c r="L126" s="2">
        <f ca="1">IF(Flag_Send_Data=1,_xll.DBSW(Val!L126,Val!$C$1,Val!$C$2,Val!$C$3,Val!$C$4,Val!$D126,Val!$C$5,Val!$C$6,Val!$B126,Val!$E126,Val!L$10,Val!$C$7,Val!$C126),"")</f>
        <v>-54685.332499999997</v>
      </c>
      <c r="M126" s="2">
        <f ca="1">IF(Flag_Send_Data=1,_xll.DBSW(Val!M126,Val!$C$1,Val!$C$2,Val!$C$3,Val!$C$4,Val!$D126,Val!$C$5,Val!$C$6,Val!$B126,Val!$E126,Val!M$10,Val!$C$7,Val!$C126),"")</f>
        <v>-54685.332499999997</v>
      </c>
      <c r="N126" s="2">
        <f ca="1">IF(Flag_Send_Data=1,_xll.DBSW(Val!N126,Val!$C$1,Val!$C$2,Val!$C$3,Val!$C$4,Val!$D126,Val!$C$5,Val!$C$6,Val!$B126,Val!$E126,Val!N$10,Val!$C$7,Val!$C126),"")</f>
        <v>-54685.332499999997</v>
      </c>
      <c r="O126" s="2">
        <f ca="1">IF(Flag_Send_Data=1,_xll.DBSW(Val!O126,Val!$C$1,Val!$C$2,Val!$C$3,Val!$C$4,Val!$D126,Val!$C$5,Val!$C$6,Val!$B126,Val!$E126,Val!O$10,Val!$C$7,Val!$C126),"")</f>
        <v>-54685.332499999997</v>
      </c>
      <c r="P126" s="2">
        <f ca="1">IF(Flag_Send_Data=1,_xll.DBSW(Val!P126,Val!$C$1,Val!$C$2,Val!$C$3,Val!$C$4,Val!$D126,Val!$C$5,Val!$C$6,Val!$B126,Val!$E126,Val!P$10,Val!$C$7,Val!$C126),"")</f>
        <v>-54685.332499999997</v>
      </c>
      <c r="Q126" s="2">
        <f ca="1">IF(Flag_Send_Data=1,_xll.DBSW(Val!Q126,Val!$C$1,Val!$C$2,Val!$C$3,Val!$C$4,Val!$D126,Val!$C$5,Val!$C$6,Val!$B126,Val!$E126,Val!Q$10,Val!$C$7,Val!$C126),"")</f>
        <v>-54685.332499999997</v>
      </c>
    </row>
    <row r="127" spans="2:17" x14ac:dyDescent="0.25">
      <c r="B127" s="3" t="s">
        <v>249</v>
      </c>
      <c r="C127" t="s">
        <v>24</v>
      </c>
      <c r="D127" t="s">
        <v>199</v>
      </c>
      <c r="E127" t="s">
        <v>128</v>
      </c>
      <c r="F127" s="2">
        <f ca="1">IF(Flag_Send_Data=1,_xll.DBSW(Val!F127,Val!$C$1,Val!$C$2,Val!$C$3,Val!$C$4,Val!$D127,Val!$C$5,Val!$C$6,Val!$B127,Val!$E127,Val!F$10,Val!$C$7,Val!$C127),"")</f>
        <v>-5583.333333333333</v>
      </c>
      <c r="G127" s="2">
        <f ca="1">IF(Flag_Send_Data=1,_xll.DBSW(Val!G127,Val!$C$1,Val!$C$2,Val!$C$3,Val!$C$4,Val!$D127,Val!$C$5,Val!$C$6,Val!$B127,Val!$E127,Val!G$10,Val!$C$7,Val!$C127),"")</f>
        <v>-5583.333333333333</v>
      </c>
      <c r="H127" s="2">
        <f ca="1">IF(Flag_Send_Data=1,_xll.DBSW(Val!H127,Val!$C$1,Val!$C$2,Val!$C$3,Val!$C$4,Val!$D127,Val!$C$5,Val!$C$6,Val!$B127,Val!$E127,Val!H$10,Val!$C$7,Val!$C127),"")</f>
        <v>-5583.333333333333</v>
      </c>
      <c r="I127" s="2">
        <f ca="1">IF(Flag_Send_Data=1,_xll.DBSW(Val!I127,Val!$C$1,Val!$C$2,Val!$C$3,Val!$C$4,Val!$D127,Val!$C$5,Val!$C$6,Val!$B127,Val!$E127,Val!I$10,Val!$C$7,Val!$C127),"")</f>
        <v>-5583.333333333333</v>
      </c>
      <c r="J127" s="2">
        <f ca="1">IF(Flag_Send_Data=1,_xll.DBSW(Val!J127,Val!$C$1,Val!$C$2,Val!$C$3,Val!$C$4,Val!$D127,Val!$C$5,Val!$C$6,Val!$B127,Val!$E127,Val!J$10,Val!$C$7,Val!$C127),"")</f>
        <v>-5583.333333333333</v>
      </c>
      <c r="K127" s="2">
        <f ca="1">IF(Flag_Send_Data=1,_xll.DBSW(Val!K127,Val!$C$1,Val!$C$2,Val!$C$3,Val!$C$4,Val!$D127,Val!$C$5,Val!$C$6,Val!$B127,Val!$E127,Val!K$10,Val!$C$7,Val!$C127),"")</f>
        <v>-5583.333333333333</v>
      </c>
      <c r="L127" s="2">
        <f ca="1">IF(Flag_Send_Data=1,_xll.DBSW(Val!L127,Val!$C$1,Val!$C$2,Val!$C$3,Val!$C$4,Val!$D127,Val!$C$5,Val!$C$6,Val!$B127,Val!$E127,Val!L$10,Val!$C$7,Val!$C127),"")</f>
        <v>-5583.333333333333</v>
      </c>
      <c r="M127" s="2">
        <f ca="1">IF(Flag_Send_Data=1,_xll.DBSW(Val!M127,Val!$C$1,Val!$C$2,Val!$C$3,Val!$C$4,Val!$D127,Val!$C$5,Val!$C$6,Val!$B127,Val!$E127,Val!M$10,Val!$C$7,Val!$C127),"")</f>
        <v>-5583.333333333333</v>
      </c>
      <c r="N127" s="2">
        <f ca="1">IF(Flag_Send_Data=1,_xll.DBSW(Val!N127,Val!$C$1,Val!$C$2,Val!$C$3,Val!$C$4,Val!$D127,Val!$C$5,Val!$C$6,Val!$B127,Val!$E127,Val!N$10,Val!$C$7,Val!$C127),"")</f>
        <v>-5583.333333333333</v>
      </c>
      <c r="O127" s="2">
        <f ca="1">IF(Flag_Send_Data=1,_xll.DBSW(Val!O127,Val!$C$1,Val!$C$2,Val!$C$3,Val!$C$4,Val!$D127,Val!$C$5,Val!$C$6,Val!$B127,Val!$E127,Val!O$10,Val!$C$7,Val!$C127),"")</f>
        <v>-5583.333333333333</v>
      </c>
      <c r="P127" s="2">
        <f ca="1">IF(Flag_Send_Data=1,_xll.DBSW(Val!P127,Val!$C$1,Val!$C$2,Val!$C$3,Val!$C$4,Val!$D127,Val!$C$5,Val!$C$6,Val!$B127,Val!$E127,Val!P$10,Val!$C$7,Val!$C127),"")</f>
        <v>-5583.333333333333</v>
      </c>
      <c r="Q127" s="2">
        <f ca="1">IF(Flag_Send_Data=1,_xll.DBSW(Val!Q127,Val!$C$1,Val!$C$2,Val!$C$3,Val!$C$4,Val!$D127,Val!$C$5,Val!$C$6,Val!$B127,Val!$E127,Val!Q$10,Val!$C$7,Val!$C127),"")</f>
        <v>-5583.333333333333</v>
      </c>
    </row>
    <row r="128" spans="2:17" x14ac:dyDescent="0.25">
      <c r="B128" s="3" t="s">
        <v>249</v>
      </c>
      <c r="C128" t="s">
        <v>79</v>
      </c>
      <c r="D128" t="s">
        <v>199</v>
      </c>
      <c r="E128" t="s">
        <v>128</v>
      </c>
      <c r="F128" s="2">
        <f ca="1">IF(Flag_Send_Data=1,_xll.DBSW(Val!F128,Val!$C$1,Val!$C$2,Val!$C$3,Val!$C$4,Val!$D128,Val!$C$5,Val!$C$6,Val!$B128,Val!$E128,Val!F$10,Val!$C$7,Val!$C128),"")</f>
        <v>-1000</v>
      </c>
      <c r="G128" s="2">
        <f ca="1">IF(Flag_Send_Data=1,_xll.DBSW(Val!G128,Val!$C$1,Val!$C$2,Val!$C$3,Val!$C$4,Val!$D128,Val!$C$5,Val!$C$6,Val!$B128,Val!$E128,Val!G$10,Val!$C$7,Val!$C128),"")</f>
        <v>-1000</v>
      </c>
      <c r="H128" s="2">
        <f ca="1">IF(Flag_Send_Data=1,_xll.DBSW(Val!H128,Val!$C$1,Val!$C$2,Val!$C$3,Val!$C$4,Val!$D128,Val!$C$5,Val!$C$6,Val!$B128,Val!$E128,Val!H$10,Val!$C$7,Val!$C128),"")</f>
        <v>-1000</v>
      </c>
      <c r="I128" s="2">
        <f ca="1">IF(Flag_Send_Data=1,_xll.DBSW(Val!I128,Val!$C$1,Val!$C$2,Val!$C$3,Val!$C$4,Val!$D128,Val!$C$5,Val!$C$6,Val!$B128,Val!$E128,Val!I$10,Val!$C$7,Val!$C128),"")</f>
        <v>-250</v>
      </c>
      <c r="J128" s="2">
        <f ca="1">IF(Flag_Send_Data=1,_xll.DBSW(Val!J128,Val!$C$1,Val!$C$2,Val!$C$3,Val!$C$4,Val!$D128,Val!$C$5,Val!$C$6,Val!$B128,Val!$E128,Val!J$10,Val!$C$7,Val!$C128),"")</f>
        <v>-250</v>
      </c>
      <c r="K128" s="2">
        <f ca="1">IF(Flag_Send_Data=1,_xll.DBSW(Val!K128,Val!$C$1,Val!$C$2,Val!$C$3,Val!$C$4,Val!$D128,Val!$C$5,Val!$C$6,Val!$B128,Val!$E128,Val!K$10,Val!$C$7,Val!$C128),"")</f>
        <v>-250</v>
      </c>
      <c r="L128" s="2">
        <f ca="1">IF(Flag_Send_Data=1,_xll.DBSW(Val!L128,Val!$C$1,Val!$C$2,Val!$C$3,Val!$C$4,Val!$D128,Val!$C$5,Val!$C$6,Val!$B128,Val!$E128,Val!L$10,Val!$C$7,Val!$C128),"")</f>
        <v>-7000</v>
      </c>
      <c r="M128" s="2">
        <f ca="1">IF(Flag_Send_Data=1,_xll.DBSW(Val!M128,Val!$C$1,Val!$C$2,Val!$C$3,Val!$C$4,Val!$D128,Val!$C$5,Val!$C$6,Val!$B128,Val!$E128,Val!M$10,Val!$C$7,Val!$C128),"")</f>
        <v>-7000</v>
      </c>
      <c r="N128" s="2">
        <f ca="1">IF(Flag_Send_Data=1,_xll.DBSW(Val!N128,Val!$C$1,Val!$C$2,Val!$C$3,Val!$C$4,Val!$D128,Val!$C$5,Val!$C$6,Val!$B128,Val!$E128,Val!N$10,Val!$C$7,Val!$C128),"")</f>
        <v>-7000</v>
      </c>
      <c r="O128" s="2">
        <f ca="1">IF(Flag_Send_Data=1,_xll.DBSW(Val!O128,Val!$C$1,Val!$C$2,Val!$C$3,Val!$C$4,Val!$D128,Val!$C$5,Val!$C$6,Val!$B128,Val!$E128,Val!O$10,Val!$C$7,Val!$C128),"")</f>
        <v>-250</v>
      </c>
      <c r="P128" s="2">
        <f ca="1">IF(Flag_Send_Data=1,_xll.DBSW(Val!P128,Val!$C$1,Val!$C$2,Val!$C$3,Val!$C$4,Val!$D128,Val!$C$5,Val!$C$6,Val!$B128,Val!$E128,Val!P$10,Val!$C$7,Val!$C128),"")</f>
        <v>-250</v>
      </c>
      <c r="Q128" s="2">
        <f ca="1">IF(Flag_Send_Data=1,_xll.DBSW(Val!Q128,Val!$C$1,Val!$C$2,Val!$C$3,Val!$C$4,Val!$D128,Val!$C$5,Val!$C$6,Val!$B128,Val!$E128,Val!Q$10,Val!$C$7,Val!$C128),"")</f>
        <v>-250</v>
      </c>
    </row>
    <row r="129" spans="2:17" x14ac:dyDescent="0.25">
      <c r="B129" s="3" t="s">
        <v>249</v>
      </c>
      <c r="C129" t="s">
        <v>25</v>
      </c>
      <c r="D129" t="s">
        <v>199</v>
      </c>
      <c r="E129" t="s">
        <v>128</v>
      </c>
      <c r="F129" s="2">
        <f ca="1">IF(Flag_Send_Data=1,_xll.DBSW(Val!F129,Val!$C$1,Val!$C$2,Val!$C$3,Val!$C$4,Val!$D129,Val!$C$5,Val!$C$6,Val!$B129,Val!$E129,Val!F$10,Val!$C$7,Val!$C129),"")</f>
        <v>-483.33333333333331</v>
      </c>
      <c r="G129" s="2">
        <f ca="1">IF(Flag_Send_Data=1,_xll.DBSW(Val!G129,Val!$C$1,Val!$C$2,Val!$C$3,Val!$C$4,Val!$D129,Val!$C$5,Val!$C$6,Val!$B129,Val!$E129,Val!G$10,Val!$C$7,Val!$C129),"")</f>
        <v>-483.33333333333331</v>
      </c>
      <c r="H129" s="2">
        <f ca="1">IF(Flag_Send_Data=1,_xll.DBSW(Val!H129,Val!$C$1,Val!$C$2,Val!$C$3,Val!$C$4,Val!$D129,Val!$C$5,Val!$C$6,Val!$B129,Val!$E129,Val!H$10,Val!$C$7,Val!$C129),"")</f>
        <v>-483.33333333333331</v>
      </c>
      <c r="I129" s="2">
        <f ca="1">IF(Flag_Send_Data=1,_xll.DBSW(Val!I129,Val!$C$1,Val!$C$2,Val!$C$3,Val!$C$4,Val!$D129,Val!$C$5,Val!$C$6,Val!$B129,Val!$E129,Val!I$10,Val!$C$7,Val!$C129),"")</f>
        <v>-483.33333333333331</v>
      </c>
      <c r="J129" s="2">
        <f ca="1">IF(Flag_Send_Data=1,_xll.DBSW(Val!J129,Val!$C$1,Val!$C$2,Val!$C$3,Val!$C$4,Val!$D129,Val!$C$5,Val!$C$6,Val!$B129,Val!$E129,Val!J$10,Val!$C$7,Val!$C129),"")</f>
        <v>-483.33333333333331</v>
      </c>
      <c r="K129" s="2">
        <f ca="1">IF(Flag_Send_Data=1,_xll.DBSW(Val!K129,Val!$C$1,Val!$C$2,Val!$C$3,Val!$C$4,Val!$D129,Val!$C$5,Val!$C$6,Val!$B129,Val!$E129,Val!K$10,Val!$C$7,Val!$C129),"")</f>
        <v>-483.33333333333331</v>
      </c>
      <c r="L129" s="2">
        <f ca="1">IF(Flag_Send_Data=1,_xll.DBSW(Val!L129,Val!$C$1,Val!$C$2,Val!$C$3,Val!$C$4,Val!$D129,Val!$C$5,Val!$C$6,Val!$B129,Val!$E129,Val!L$10,Val!$C$7,Val!$C129),"")</f>
        <v>-483.33333333333331</v>
      </c>
      <c r="M129" s="2">
        <f ca="1">IF(Flag_Send_Data=1,_xll.DBSW(Val!M129,Val!$C$1,Val!$C$2,Val!$C$3,Val!$C$4,Val!$D129,Val!$C$5,Val!$C$6,Val!$B129,Val!$E129,Val!M$10,Val!$C$7,Val!$C129),"")</f>
        <v>-483.33333333333331</v>
      </c>
      <c r="N129" s="2">
        <f ca="1">IF(Flag_Send_Data=1,_xll.DBSW(Val!N129,Val!$C$1,Val!$C$2,Val!$C$3,Val!$C$4,Val!$D129,Val!$C$5,Val!$C$6,Val!$B129,Val!$E129,Val!N$10,Val!$C$7,Val!$C129),"")</f>
        <v>-483.33333333333331</v>
      </c>
      <c r="O129" s="2">
        <f ca="1">IF(Flag_Send_Data=1,_xll.DBSW(Val!O129,Val!$C$1,Val!$C$2,Val!$C$3,Val!$C$4,Val!$D129,Val!$C$5,Val!$C$6,Val!$B129,Val!$E129,Val!O$10,Val!$C$7,Val!$C129),"")</f>
        <v>-483.33333333333331</v>
      </c>
      <c r="P129" s="2">
        <f ca="1">IF(Flag_Send_Data=1,_xll.DBSW(Val!P129,Val!$C$1,Val!$C$2,Val!$C$3,Val!$C$4,Val!$D129,Val!$C$5,Val!$C$6,Val!$B129,Val!$E129,Val!P$10,Val!$C$7,Val!$C129),"")</f>
        <v>-483.33333333333331</v>
      </c>
      <c r="Q129" s="2">
        <f ca="1">IF(Flag_Send_Data=1,_xll.DBSW(Val!Q129,Val!$C$1,Val!$C$2,Val!$C$3,Val!$C$4,Val!$D129,Val!$C$5,Val!$C$6,Val!$B129,Val!$E129,Val!Q$10,Val!$C$7,Val!$C129),"")</f>
        <v>-483.33333333333331</v>
      </c>
    </row>
    <row r="130" spans="2:17" x14ac:dyDescent="0.25">
      <c r="B130" s="3" t="s">
        <v>249</v>
      </c>
      <c r="C130" t="s">
        <v>101</v>
      </c>
      <c r="D130" t="s">
        <v>199</v>
      </c>
      <c r="E130" t="s">
        <v>128</v>
      </c>
      <c r="F130" s="2">
        <f ca="1">IF(Flag_Send_Data=1,_xll.DBSW(Val!F130,Val!$C$1,Val!$C$2,Val!$C$3,Val!$C$4,Val!$D130,Val!$C$5,Val!$C$6,Val!$B130,Val!$E130,Val!F$10,Val!$C$7,Val!$C130),"")</f>
        <v>-500</v>
      </c>
      <c r="G130" s="2">
        <f ca="1">IF(Flag_Send_Data=1,_xll.DBSW(Val!G130,Val!$C$1,Val!$C$2,Val!$C$3,Val!$C$4,Val!$D130,Val!$C$5,Val!$C$6,Val!$B130,Val!$E130,Val!G$10,Val!$C$7,Val!$C130),"")</f>
        <v>-500</v>
      </c>
      <c r="H130" s="2">
        <f ca="1">IF(Flag_Send_Data=1,_xll.DBSW(Val!H130,Val!$C$1,Val!$C$2,Val!$C$3,Val!$C$4,Val!$D130,Val!$C$5,Val!$C$6,Val!$B130,Val!$E130,Val!H$10,Val!$C$7,Val!$C130),"")</f>
        <v>-500</v>
      </c>
      <c r="I130" s="2">
        <f ca="1">IF(Flag_Send_Data=1,_xll.DBSW(Val!I130,Val!$C$1,Val!$C$2,Val!$C$3,Val!$C$4,Val!$D130,Val!$C$5,Val!$C$6,Val!$B130,Val!$E130,Val!I$10,Val!$C$7,Val!$C130),"")</f>
        <v>-500</v>
      </c>
      <c r="J130" s="2">
        <f ca="1">IF(Flag_Send_Data=1,_xll.DBSW(Val!J130,Val!$C$1,Val!$C$2,Val!$C$3,Val!$C$4,Val!$D130,Val!$C$5,Val!$C$6,Val!$B130,Val!$E130,Val!J$10,Val!$C$7,Val!$C130),"")</f>
        <v>-500</v>
      </c>
      <c r="K130" s="2">
        <f ca="1">IF(Flag_Send_Data=1,_xll.DBSW(Val!K130,Val!$C$1,Val!$C$2,Val!$C$3,Val!$C$4,Val!$D130,Val!$C$5,Val!$C$6,Val!$B130,Val!$E130,Val!K$10,Val!$C$7,Val!$C130),"")</f>
        <v>-500</v>
      </c>
      <c r="L130" s="2">
        <f ca="1">IF(Flag_Send_Data=1,_xll.DBSW(Val!L130,Val!$C$1,Val!$C$2,Val!$C$3,Val!$C$4,Val!$D130,Val!$C$5,Val!$C$6,Val!$B130,Val!$E130,Val!L$10,Val!$C$7,Val!$C130),"")</f>
        <v>-500</v>
      </c>
      <c r="M130" s="2">
        <f ca="1">IF(Flag_Send_Data=1,_xll.DBSW(Val!M130,Val!$C$1,Val!$C$2,Val!$C$3,Val!$C$4,Val!$D130,Val!$C$5,Val!$C$6,Val!$B130,Val!$E130,Val!M$10,Val!$C$7,Val!$C130),"")</f>
        <v>-500</v>
      </c>
      <c r="N130" s="2">
        <f ca="1">IF(Flag_Send_Data=1,_xll.DBSW(Val!N130,Val!$C$1,Val!$C$2,Val!$C$3,Val!$C$4,Val!$D130,Val!$C$5,Val!$C$6,Val!$B130,Val!$E130,Val!N$10,Val!$C$7,Val!$C130),"")</f>
        <v>-500</v>
      </c>
      <c r="O130" s="2">
        <f ca="1">IF(Flag_Send_Data=1,_xll.DBSW(Val!O130,Val!$C$1,Val!$C$2,Val!$C$3,Val!$C$4,Val!$D130,Val!$C$5,Val!$C$6,Val!$B130,Val!$E130,Val!O$10,Val!$C$7,Val!$C130),"")</f>
        <v>-500</v>
      </c>
      <c r="P130" s="2">
        <f ca="1">IF(Flag_Send_Data=1,_xll.DBSW(Val!P130,Val!$C$1,Val!$C$2,Val!$C$3,Val!$C$4,Val!$D130,Val!$C$5,Val!$C$6,Val!$B130,Val!$E130,Val!P$10,Val!$C$7,Val!$C130),"")</f>
        <v>-500</v>
      </c>
      <c r="Q130" s="2">
        <f ca="1">IF(Flag_Send_Data=1,_xll.DBSW(Val!Q130,Val!$C$1,Val!$C$2,Val!$C$3,Val!$C$4,Val!$D130,Val!$C$5,Val!$C$6,Val!$B130,Val!$E130,Val!Q$10,Val!$C$7,Val!$C130),"")</f>
        <v>-500</v>
      </c>
    </row>
    <row r="131" spans="2:17" x14ac:dyDescent="0.25">
      <c r="B131" s="3" t="s">
        <v>250</v>
      </c>
      <c r="C131" t="s">
        <v>18</v>
      </c>
      <c r="D131" t="s">
        <v>199</v>
      </c>
      <c r="E131" t="s">
        <v>128</v>
      </c>
      <c r="F131" s="2">
        <f ca="1">IF(Flag_Send_Data=1,_xll.DBSW(Val!F131,Val!$C$1,Val!$C$2,Val!$C$3,Val!$C$4,Val!$D131,Val!$C$5,Val!$C$6,Val!$B131,Val!$E131,Val!F$10,Val!$C$7,Val!$C131),"")</f>
        <v>-76005.697499999995</v>
      </c>
      <c r="G131" s="2">
        <f ca="1">IF(Flag_Send_Data=1,_xll.DBSW(Val!G131,Val!$C$1,Val!$C$2,Val!$C$3,Val!$C$4,Val!$D131,Val!$C$5,Val!$C$6,Val!$B131,Val!$E131,Val!G$10,Val!$C$7,Val!$C131),"")</f>
        <v>-76005.697499999995</v>
      </c>
      <c r="H131" s="2">
        <f ca="1">IF(Flag_Send_Data=1,_xll.DBSW(Val!H131,Val!$C$1,Val!$C$2,Val!$C$3,Val!$C$4,Val!$D131,Val!$C$5,Val!$C$6,Val!$B131,Val!$E131,Val!H$10,Val!$C$7,Val!$C131),"")</f>
        <v>-76005.697499999995</v>
      </c>
      <c r="I131" s="2">
        <f ca="1">IF(Flag_Send_Data=1,_xll.DBSW(Val!I131,Val!$C$1,Val!$C$2,Val!$C$3,Val!$C$4,Val!$D131,Val!$C$5,Val!$C$6,Val!$B131,Val!$E131,Val!I$10,Val!$C$7,Val!$C131),"")</f>
        <v>-76005.697499999995</v>
      </c>
      <c r="J131" s="2">
        <f ca="1">IF(Flag_Send_Data=1,_xll.DBSW(Val!J131,Val!$C$1,Val!$C$2,Val!$C$3,Val!$C$4,Val!$D131,Val!$C$5,Val!$C$6,Val!$B131,Val!$E131,Val!J$10,Val!$C$7,Val!$C131),"")</f>
        <v>-76005.697499999995</v>
      </c>
      <c r="K131" s="2">
        <f ca="1">IF(Flag_Send_Data=1,_xll.DBSW(Val!K131,Val!$C$1,Val!$C$2,Val!$C$3,Val!$C$4,Val!$D131,Val!$C$5,Val!$C$6,Val!$B131,Val!$E131,Val!K$10,Val!$C$7,Val!$C131),"")</f>
        <v>-76005.697499999995</v>
      </c>
      <c r="L131" s="2">
        <f ca="1">IF(Flag_Send_Data=1,_xll.DBSW(Val!L131,Val!$C$1,Val!$C$2,Val!$C$3,Val!$C$4,Val!$D131,Val!$C$5,Val!$C$6,Val!$B131,Val!$E131,Val!L$10,Val!$C$7,Val!$C131),"")</f>
        <v>-76005.697499999995</v>
      </c>
      <c r="M131" s="2">
        <f ca="1">IF(Flag_Send_Data=1,_xll.DBSW(Val!M131,Val!$C$1,Val!$C$2,Val!$C$3,Val!$C$4,Val!$D131,Val!$C$5,Val!$C$6,Val!$B131,Val!$E131,Val!M$10,Val!$C$7,Val!$C131),"")</f>
        <v>-76005.697499999995</v>
      </c>
      <c r="N131" s="2">
        <f ca="1">IF(Flag_Send_Data=1,_xll.DBSW(Val!N131,Val!$C$1,Val!$C$2,Val!$C$3,Val!$C$4,Val!$D131,Val!$C$5,Val!$C$6,Val!$B131,Val!$E131,Val!N$10,Val!$C$7,Val!$C131),"")</f>
        <v>-76005.697499999995</v>
      </c>
      <c r="O131" s="2">
        <f ca="1">IF(Flag_Send_Data=1,_xll.DBSW(Val!O131,Val!$C$1,Val!$C$2,Val!$C$3,Val!$C$4,Val!$D131,Val!$C$5,Val!$C$6,Val!$B131,Val!$E131,Val!O$10,Val!$C$7,Val!$C131),"")</f>
        <v>-76005.697499999995</v>
      </c>
      <c r="P131" s="2">
        <f ca="1">IF(Flag_Send_Data=1,_xll.DBSW(Val!P131,Val!$C$1,Val!$C$2,Val!$C$3,Val!$C$4,Val!$D131,Val!$C$5,Val!$C$6,Val!$B131,Val!$E131,Val!P$10,Val!$C$7,Val!$C131),"")</f>
        <v>-76005.697499999995</v>
      </c>
      <c r="Q131" s="2">
        <f ca="1">IF(Flag_Send_Data=1,_xll.DBSW(Val!Q131,Val!$C$1,Val!$C$2,Val!$C$3,Val!$C$4,Val!$D131,Val!$C$5,Val!$C$6,Val!$B131,Val!$E131,Val!Q$10,Val!$C$7,Val!$C131),"")</f>
        <v>-76005.697499999995</v>
      </c>
    </row>
    <row r="132" spans="2:17" x14ac:dyDescent="0.25">
      <c r="B132" s="3" t="s">
        <v>250</v>
      </c>
      <c r="C132" t="s">
        <v>19</v>
      </c>
      <c r="D132" t="s">
        <v>199</v>
      </c>
      <c r="E132" t="s">
        <v>128</v>
      </c>
      <c r="F132" s="2">
        <f ca="1">IF(Flag_Send_Data=1,_xll.DBSW(Val!F132,Val!$C$1,Val!$C$2,Val!$C$3,Val!$C$4,Val!$D132,Val!$C$5,Val!$C$6,Val!$B132,Val!$E132,Val!F$10,Val!$C$7,Val!$C132),"")</f>
        <v>-10000</v>
      </c>
      <c r="G132" s="2">
        <f ca="1">IF(Flag_Send_Data=1,_xll.DBSW(Val!G132,Val!$C$1,Val!$C$2,Val!$C$3,Val!$C$4,Val!$D132,Val!$C$5,Val!$C$6,Val!$B132,Val!$E132,Val!G$10,Val!$C$7,Val!$C132),"")</f>
        <v>-10000</v>
      </c>
      <c r="H132" s="2">
        <f ca="1">IF(Flag_Send_Data=1,_xll.DBSW(Val!H132,Val!$C$1,Val!$C$2,Val!$C$3,Val!$C$4,Val!$D132,Val!$C$5,Val!$C$6,Val!$B132,Val!$E132,Val!H$10,Val!$C$7,Val!$C132),"")</f>
        <v>-10000</v>
      </c>
      <c r="I132" s="2">
        <f ca="1">IF(Flag_Send_Data=1,_xll.DBSW(Val!I132,Val!$C$1,Val!$C$2,Val!$C$3,Val!$C$4,Val!$D132,Val!$C$5,Val!$C$6,Val!$B132,Val!$E132,Val!I$10,Val!$C$7,Val!$C132),"")</f>
        <v>-10000</v>
      </c>
      <c r="J132" s="2">
        <f ca="1">IF(Flag_Send_Data=1,_xll.DBSW(Val!J132,Val!$C$1,Val!$C$2,Val!$C$3,Val!$C$4,Val!$D132,Val!$C$5,Val!$C$6,Val!$B132,Val!$E132,Val!J$10,Val!$C$7,Val!$C132),"")</f>
        <v>-10000</v>
      </c>
      <c r="K132" s="2">
        <f ca="1">IF(Flag_Send_Data=1,_xll.DBSW(Val!K132,Val!$C$1,Val!$C$2,Val!$C$3,Val!$C$4,Val!$D132,Val!$C$5,Val!$C$6,Val!$B132,Val!$E132,Val!K$10,Val!$C$7,Val!$C132),"")</f>
        <v>-10000</v>
      </c>
      <c r="L132" s="2">
        <f ca="1">IF(Flag_Send_Data=1,_xll.DBSW(Val!L132,Val!$C$1,Val!$C$2,Val!$C$3,Val!$C$4,Val!$D132,Val!$C$5,Val!$C$6,Val!$B132,Val!$E132,Val!L$10,Val!$C$7,Val!$C132),"")</f>
        <v>-10000</v>
      </c>
      <c r="M132" s="2">
        <f ca="1">IF(Flag_Send_Data=1,_xll.DBSW(Val!M132,Val!$C$1,Val!$C$2,Val!$C$3,Val!$C$4,Val!$D132,Val!$C$5,Val!$C$6,Val!$B132,Val!$E132,Val!M$10,Val!$C$7,Val!$C132),"")</f>
        <v>-10000</v>
      </c>
      <c r="N132" s="2">
        <f ca="1">IF(Flag_Send_Data=1,_xll.DBSW(Val!N132,Val!$C$1,Val!$C$2,Val!$C$3,Val!$C$4,Val!$D132,Val!$C$5,Val!$C$6,Val!$B132,Val!$E132,Val!N$10,Val!$C$7,Val!$C132),"")</f>
        <v>-10000</v>
      </c>
      <c r="O132" s="2">
        <f ca="1">IF(Flag_Send_Data=1,_xll.DBSW(Val!O132,Val!$C$1,Val!$C$2,Val!$C$3,Val!$C$4,Val!$D132,Val!$C$5,Val!$C$6,Val!$B132,Val!$E132,Val!O$10,Val!$C$7,Val!$C132),"")</f>
        <v>-10000</v>
      </c>
      <c r="P132" s="2">
        <f ca="1">IF(Flag_Send_Data=1,_xll.DBSW(Val!P132,Val!$C$1,Val!$C$2,Val!$C$3,Val!$C$4,Val!$D132,Val!$C$5,Val!$C$6,Val!$B132,Val!$E132,Val!P$10,Val!$C$7,Val!$C132),"")</f>
        <v>-10000</v>
      </c>
      <c r="Q132" s="2">
        <f ca="1">IF(Flag_Send_Data=1,_xll.DBSW(Val!Q132,Val!$C$1,Val!$C$2,Val!$C$3,Val!$C$4,Val!$D132,Val!$C$5,Val!$C$6,Val!$B132,Val!$E132,Val!Q$10,Val!$C$7,Val!$C132),"")</f>
        <v>-10000</v>
      </c>
    </row>
    <row r="133" spans="2:17" x14ac:dyDescent="0.25">
      <c r="B133" s="3" t="s">
        <v>250</v>
      </c>
      <c r="C133" t="s">
        <v>20</v>
      </c>
      <c r="D133" t="s">
        <v>199</v>
      </c>
      <c r="E133" t="s">
        <v>153</v>
      </c>
      <c r="F133" s="2">
        <f ca="1">IF(Flag_Send_Data=1,_xll.DBSW(Val!F133,Val!$C$1,Val!$C$2,Val!$C$3,Val!$C$4,Val!$D133,Val!$C$5,Val!$C$6,Val!$B133,Val!$E133,Val!F$10,Val!$C$7,Val!$C133),"")</f>
        <v>-7500</v>
      </c>
      <c r="G133" s="2">
        <f ca="1">IF(Flag_Send_Data=1,_xll.DBSW(Val!G133,Val!$C$1,Val!$C$2,Val!$C$3,Val!$C$4,Val!$D133,Val!$C$5,Val!$C$6,Val!$B133,Val!$E133,Val!G$10,Val!$C$7,Val!$C133),"")</f>
        <v>-7500</v>
      </c>
      <c r="H133" s="2">
        <f ca="1">IF(Flag_Send_Data=1,_xll.DBSW(Val!H133,Val!$C$1,Val!$C$2,Val!$C$3,Val!$C$4,Val!$D133,Val!$C$5,Val!$C$6,Val!$B133,Val!$E133,Val!H$10,Val!$C$7,Val!$C133),"")</f>
        <v>-7500</v>
      </c>
      <c r="I133" s="2">
        <f ca="1">IF(Flag_Send_Data=1,_xll.DBSW(Val!I133,Val!$C$1,Val!$C$2,Val!$C$3,Val!$C$4,Val!$D133,Val!$C$5,Val!$C$6,Val!$B133,Val!$E133,Val!I$10,Val!$C$7,Val!$C133),"")</f>
        <v>-7500</v>
      </c>
      <c r="J133" s="2">
        <f ca="1">IF(Flag_Send_Data=1,_xll.DBSW(Val!J133,Val!$C$1,Val!$C$2,Val!$C$3,Val!$C$4,Val!$D133,Val!$C$5,Val!$C$6,Val!$B133,Val!$E133,Val!J$10,Val!$C$7,Val!$C133),"")</f>
        <v>-7500</v>
      </c>
      <c r="K133" s="2">
        <f ca="1">IF(Flag_Send_Data=1,_xll.DBSW(Val!K133,Val!$C$1,Val!$C$2,Val!$C$3,Val!$C$4,Val!$D133,Val!$C$5,Val!$C$6,Val!$B133,Val!$E133,Val!K$10,Val!$C$7,Val!$C133),"")</f>
        <v>-7500</v>
      </c>
      <c r="L133" s="2">
        <f ca="1">IF(Flag_Send_Data=1,_xll.DBSW(Val!L133,Val!$C$1,Val!$C$2,Val!$C$3,Val!$C$4,Val!$D133,Val!$C$5,Val!$C$6,Val!$B133,Val!$E133,Val!L$10,Val!$C$7,Val!$C133),"")</f>
        <v>-7500</v>
      </c>
      <c r="M133" s="2">
        <f ca="1">IF(Flag_Send_Data=1,_xll.DBSW(Val!M133,Val!$C$1,Val!$C$2,Val!$C$3,Val!$C$4,Val!$D133,Val!$C$5,Val!$C$6,Val!$B133,Val!$E133,Val!M$10,Val!$C$7,Val!$C133),"")</f>
        <v>-7500</v>
      </c>
      <c r="N133" s="2">
        <f ca="1">IF(Flag_Send_Data=1,_xll.DBSW(Val!N133,Val!$C$1,Val!$C$2,Val!$C$3,Val!$C$4,Val!$D133,Val!$C$5,Val!$C$6,Val!$B133,Val!$E133,Val!N$10,Val!$C$7,Val!$C133),"")</f>
        <v>-7500</v>
      </c>
      <c r="O133" s="2">
        <f ca="1">IF(Flag_Send_Data=1,_xll.DBSW(Val!O133,Val!$C$1,Val!$C$2,Val!$C$3,Val!$C$4,Val!$D133,Val!$C$5,Val!$C$6,Val!$B133,Val!$E133,Val!O$10,Val!$C$7,Val!$C133),"")</f>
        <v>-7500</v>
      </c>
      <c r="P133" s="2">
        <f ca="1">IF(Flag_Send_Data=1,_xll.DBSW(Val!P133,Val!$C$1,Val!$C$2,Val!$C$3,Val!$C$4,Val!$D133,Val!$C$5,Val!$C$6,Val!$B133,Val!$E133,Val!P$10,Val!$C$7,Val!$C133),"")</f>
        <v>-7500</v>
      </c>
      <c r="Q133" s="2">
        <f ca="1">IF(Flag_Send_Data=1,_xll.DBSW(Val!Q133,Val!$C$1,Val!$C$2,Val!$C$3,Val!$C$4,Val!$D133,Val!$C$5,Val!$C$6,Val!$B133,Val!$E133,Val!Q$10,Val!$C$7,Val!$C133),"")</f>
        <v>-7500</v>
      </c>
    </row>
    <row r="134" spans="2:17" x14ac:dyDescent="0.25">
      <c r="B134" s="3" t="s">
        <v>250</v>
      </c>
      <c r="C134" t="s">
        <v>20</v>
      </c>
      <c r="D134" t="s">
        <v>199</v>
      </c>
      <c r="E134" t="s">
        <v>128</v>
      </c>
      <c r="F134" s="2">
        <f ca="1">IF(Flag_Send_Data=1,_xll.DBSW(Val!F134,Val!$C$1,Val!$C$2,Val!$C$3,Val!$C$4,Val!$D134,Val!$C$5,Val!$C$6,Val!$B134,Val!$E134,Val!F$10,Val!$C$7,Val!$C134),"")</f>
        <v>-34166.666666666664</v>
      </c>
      <c r="G134" s="2">
        <f ca="1">IF(Flag_Send_Data=1,_xll.DBSW(Val!G134,Val!$C$1,Val!$C$2,Val!$C$3,Val!$C$4,Val!$D134,Val!$C$5,Val!$C$6,Val!$B134,Val!$E134,Val!G$10,Val!$C$7,Val!$C134),"")</f>
        <v>-34166.666666666664</v>
      </c>
      <c r="H134" s="2">
        <f ca="1">IF(Flag_Send_Data=1,_xll.DBSW(Val!H134,Val!$C$1,Val!$C$2,Val!$C$3,Val!$C$4,Val!$D134,Val!$C$5,Val!$C$6,Val!$B134,Val!$E134,Val!H$10,Val!$C$7,Val!$C134),"")</f>
        <v>-34166.666666666664</v>
      </c>
      <c r="I134" s="2">
        <f ca="1">IF(Flag_Send_Data=1,_xll.DBSW(Val!I134,Val!$C$1,Val!$C$2,Val!$C$3,Val!$C$4,Val!$D134,Val!$C$5,Val!$C$6,Val!$B134,Val!$E134,Val!I$10,Val!$C$7,Val!$C134),"")</f>
        <v>-34166.666666666664</v>
      </c>
      <c r="J134" s="2">
        <f ca="1">IF(Flag_Send_Data=1,_xll.DBSW(Val!J134,Val!$C$1,Val!$C$2,Val!$C$3,Val!$C$4,Val!$D134,Val!$C$5,Val!$C$6,Val!$B134,Val!$E134,Val!J$10,Val!$C$7,Val!$C134),"")</f>
        <v>-34166.666666666664</v>
      </c>
      <c r="K134" s="2">
        <f ca="1">IF(Flag_Send_Data=1,_xll.DBSW(Val!K134,Val!$C$1,Val!$C$2,Val!$C$3,Val!$C$4,Val!$D134,Val!$C$5,Val!$C$6,Val!$B134,Val!$E134,Val!K$10,Val!$C$7,Val!$C134),"")</f>
        <v>-34166.666666666664</v>
      </c>
      <c r="L134" s="2">
        <f ca="1">IF(Flag_Send_Data=1,_xll.DBSW(Val!L134,Val!$C$1,Val!$C$2,Val!$C$3,Val!$C$4,Val!$D134,Val!$C$5,Val!$C$6,Val!$B134,Val!$E134,Val!L$10,Val!$C$7,Val!$C134),"")</f>
        <v>-34166.666666666664</v>
      </c>
      <c r="M134" s="2">
        <f ca="1">IF(Flag_Send_Data=1,_xll.DBSW(Val!M134,Val!$C$1,Val!$C$2,Val!$C$3,Val!$C$4,Val!$D134,Val!$C$5,Val!$C$6,Val!$B134,Val!$E134,Val!M$10,Val!$C$7,Val!$C134),"")</f>
        <v>-34166.666666666664</v>
      </c>
      <c r="N134" s="2">
        <f ca="1">IF(Flag_Send_Data=1,_xll.DBSW(Val!N134,Val!$C$1,Val!$C$2,Val!$C$3,Val!$C$4,Val!$D134,Val!$C$5,Val!$C$6,Val!$B134,Val!$E134,Val!N$10,Val!$C$7,Val!$C134),"")</f>
        <v>-34166.666666666664</v>
      </c>
      <c r="O134" s="2">
        <f ca="1">IF(Flag_Send_Data=1,_xll.DBSW(Val!O134,Val!$C$1,Val!$C$2,Val!$C$3,Val!$C$4,Val!$D134,Val!$C$5,Val!$C$6,Val!$B134,Val!$E134,Val!O$10,Val!$C$7,Val!$C134),"")</f>
        <v>-34166.666666666664</v>
      </c>
      <c r="P134" s="2">
        <f ca="1">IF(Flag_Send_Data=1,_xll.DBSW(Val!P134,Val!$C$1,Val!$C$2,Val!$C$3,Val!$C$4,Val!$D134,Val!$C$5,Val!$C$6,Val!$B134,Val!$E134,Val!P$10,Val!$C$7,Val!$C134),"")</f>
        <v>-34166.666666666664</v>
      </c>
      <c r="Q134" s="2">
        <f ca="1">IF(Flag_Send_Data=1,_xll.DBSW(Val!Q134,Val!$C$1,Val!$C$2,Val!$C$3,Val!$C$4,Val!$D134,Val!$C$5,Val!$C$6,Val!$B134,Val!$E134,Val!Q$10,Val!$C$7,Val!$C134),"")</f>
        <v>-34166.666666666664</v>
      </c>
    </row>
    <row r="135" spans="2:17" x14ac:dyDescent="0.25">
      <c r="B135" s="3" t="s">
        <v>250</v>
      </c>
      <c r="C135" t="s">
        <v>21</v>
      </c>
      <c r="D135" t="s">
        <v>199</v>
      </c>
      <c r="E135" t="s">
        <v>128</v>
      </c>
      <c r="F135" s="2">
        <f ca="1">IF(Flag_Send_Data=1,_xll.DBSW(Val!F135,Val!$C$1,Val!$C$2,Val!$C$3,Val!$C$4,Val!$D135,Val!$C$5,Val!$C$6,Val!$B135,Val!$E135,Val!F$10,Val!$C$7,Val!$C135),"")</f>
        <v>-833.33333333333337</v>
      </c>
      <c r="G135" s="2">
        <f ca="1">IF(Flag_Send_Data=1,_xll.DBSW(Val!G135,Val!$C$1,Val!$C$2,Val!$C$3,Val!$C$4,Val!$D135,Val!$C$5,Val!$C$6,Val!$B135,Val!$E135,Val!G$10,Val!$C$7,Val!$C135),"")</f>
        <v>-833.33333333333337</v>
      </c>
      <c r="H135" s="2">
        <f ca="1">IF(Flag_Send_Data=1,_xll.DBSW(Val!H135,Val!$C$1,Val!$C$2,Val!$C$3,Val!$C$4,Val!$D135,Val!$C$5,Val!$C$6,Val!$B135,Val!$E135,Val!H$10,Val!$C$7,Val!$C135),"")</f>
        <v>-833.33333333333337</v>
      </c>
      <c r="I135" s="2">
        <f ca="1">IF(Flag_Send_Data=1,_xll.DBSW(Val!I135,Val!$C$1,Val!$C$2,Val!$C$3,Val!$C$4,Val!$D135,Val!$C$5,Val!$C$6,Val!$B135,Val!$E135,Val!I$10,Val!$C$7,Val!$C135),"")</f>
        <v>-833.33333333333337</v>
      </c>
      <c r="J135" s="2">
        <f ca="1">IF(Flag_Send_Data=1,_xll.DBSW(Val!J135,Val!$C$1,Val!$C$2,Val!$C$3,Val!$C$4,Val!$D135,Val!$C$5,Val!$C$6,Val!$B135,Val!$E135,Val!J$10,Val!$C$7,Val!$C135),"")</f>
        <v>-833.33333333333337</v>
      </c>
      <c r="K135" s="2">
        <f ca="1">IF(Flag_Send_Data=1,_xll.DBSW(Val!K135,Val!$C$1,Val!$C$2,Val!$C$3,Val!$C$4,Val!$D135,Val!$C$5,Val!$C$6,Val!$B135,Val!$E135,Val!K$10,Val!$C$7,Val!$C135),"")</f>
        <v>-833.33333333333337</v>
      </c>
      <c r="L135" s="2">
        <f ca="1">IF(Flag_Send_Data=1,_xll.DBSW(Val!L135,Val!$C$1,Val!$C$2,Val!$C$3,Val!$C$4,Val!$D135,Val!$C$5,Val!$C$6,Val!$B135,Val!$E135,Val!L$10,Val!$C$7,Val!$C135),"")</f>
        <v>-833.33333333333337</v>
      </c>
      <c r="M135" s="2">
        <f ca="1">IF(Flag_Send_Data=1,_xll.DBSW(Val!M135,Val!$C$1,Val!$C$2,Val!$C$3,Val!$C$4,Val!$D135,Val!$C$5,Val!$C$6,Val!$B135,Val!$E135,Val!M$10,Val!$C$7,Val!$C135),"")</f>
        <v>-833.33333333333337</v>
      </c>
      <c r="N135" s="2">
        <f ca="1">IF(Flag_Send_Data=1,_xll.DBSW(Val!N135,Val!$C$1,Val!$C$2,Val!$C$3,Val!$C$4,Val!$D135,Val!$C$5,Val!$C$6,Val!$B135,Val!$E135,Val!N$10,Val!$C$7,Val!$C135),"")</f>
        <v>-833.33333333333337</v>
      </c>
      <c r="O135" s="2">
        <f ca="1">IF(Flag_Send_Data=1,_xll.DBSW(Val!O135,Val!$C$1,Val!$C$2,Val!$C$3,Val!$C$4,Val!$D135,Val!$C$5,Val!$C$6,Val!$B135,Val!$E135,Val!O$10,Val!$C$7,Val!$C135),"")</f>
        <v>-833.33333333333337</v>
      </c>
      <c r="P135" s="2">
        <f ca="1">IF(Flag_Send_Data=1,_xll.DBSW(Val!P135,Val!$C$1,Val!$C$2,Val!$C$3,Val!$C$4,Val!$D135,Val!$C$5,Val!$C$6,Val!$B135,Val!$E135,Val!P$10,Val!$C$7,Val!$C135),"")</f>
        <v>-833.33333333333337</v>
      </c>
      <c r="Q135" s="2">
        <f ca="1">IF(Flag_Send_Data=1,_xll.DBSW(Val!Q135,Val!$C$1,Val!$C$2,Val!$C$3,Val!$C$4,Val!$D135,Val!$C$5,Val!$C$6,Val!$B135,Val!$E135,Val!Q$10,Val!$C$7,Val!$C135),"")</f>
        <v>-833.33333333333337</v>
      </c>
    </row>
    <row r="136" spans="2:17" x14ac:dyDescent="0.25">
      <c r="B136" s="3" t="s">
        <v>250</v>
      </c>
      <c r="C136" t="s">
        <v>95</v>
      </c>
      <c r="D136" t="s">
        <v>199</v>
      </c>
      <c r="E136" t="s">
        <v>128</v>
      </c>
      <c r="F136" s="2">
        <f ca="1">IF(Flag_Send_Data=1,_xll.DBSW(Val!F136,Val!$C$1,Val!$C$2,Val!$C$3,Val!$C$4,Val!$D136,Val!$C$5,Val!$C$6,Val!$B136,Val!$E136,Val!F$10,Val!$C$7,Val!$C136),"")</f>
        <v>-1250</v>
      </c>
      <c r="G136" s="2">
        <f ca="1">IF(Flag_Send_Data=1,_xll.DBSW(Val!G136,Val!$C$1,Val!$C$2,Val!$C$3,Val!$C$4,Val!$D136,Val!$C$5,Val!$C$6,Val!$B136,Val!$E136,Val!G$10,Val!$C$7,Val!$C136),"")</f>
        <v>-1250</v>
      </c>
      <c r="H136" s="2">
        <f ca="1">IF(Flag_Send_Data=1,_xll.DBSW(Val!H136,Val!$C$1,Val!$C$2,Val!$C$3,Val!$C$4,Val!$D136,Val!$C$5,Val!$C$6,Val!$B136,Val!$E136,Val!H$10,Val!$C$7,Val!$C136),"")</f>
        <v>-1250</v>
      </c>
      <c r="I136" s="2">
        <f ca="1">IF(Flag_Send_Data=1,_xll.DBSW(Val!I136,Val!$C$1,Val!$C$2,Val!$C$3,Val!$C$4,Val!$D136,Val!$C$5,Val!$C$6,Val!$B136,Val!$E136,Val!I$10,Val!$C$7,Val!$C136),"")</f>
        <v>-1250</v>
      </c>
      <c r="J136" s="2">
        <f ca="1">IF(Flag_Send_Data=1,_xll.DBSW(Val!J136,Val!$C$1,Val!$C$2,Val!$C$3,Val!$C$4,Val!$D136,Val!$C$5,Val!$C$6,Val!$B136,Val!$E136,Val!J$10,Val!$C$7,Val!$C136),"")</f>
        <v>-1250</v>
      </c>
      <c r="K136" s="2">
        <f ca="1">IF(Flag_Send_Data=1,_xll.DBSW(Val!K136,Val!$C$1,Val!$C$2,Val!$C$3,Val!$C$4,Val!$D136,Val!$C$5,Val!$C$6,Val!$B136,Val!$E136,Val!K$10,Val!$C$7,Val!$C136),"")</f>
        <v>-1250</v>
      </c>
      <c r="L136" s="2">
        <f ca="1">IF(Flag_Send_Data=1,_xll.DBSW(Val!L136,Val!$C$1,Val!$C$2,Val!$C$3,Val!$C$4,Val!$D136,Val!$C$5,Val!$C$6,Val!$B136,Val!$E136,Val!L$10,Val!$C$7,Val!$C136),"")</f>
        <v>-1250</v>
      </c>
      <c r="M136" s="2">
        <f ca="1">IF(Flag_Send_Data=1,_xll.DBSW(Val!M136,Val!$C$1,Val!$C$2,Val!$C$3,Val!$C$4,Val!$D136,Val!$C$5,Val!$C$6,Val!$B136,Val!$E136,Val!M$10,Val!$C$7,Val!$C136),"")</f>
        <v>-1250</v>
      </c>
      <c r="N136" s="2">
        <f ca="1">IF(Flag_Send_Data=1,_xll.DBSW(Val!N136,Val!$C$1,Val!$C$2,Val!$C$3,Val!$C$4,Val!$D136,Val!$C$5,Val!$C$6,Val!$B136,Val!$E136,Val!N$10,Val!$C$7,Val!$C136),"")</f>
        <v>-1250</v>
      </c>
      <c r="O136" s="2">
        <f ca="1">IF(Flag_Send_Data=1,_xll.DBSW(Val!O136,Val!$C$1,Val!$C$2,Val!$C$3,Val!$C$4,Val!$D136,Val!$C$5,Val!$C$6,Val!$B136,Val!$E136,Val!O$10,Val!$C$7,Val!$C136),"")</f>
        <v>-1250</v>
      </c>
      <c r="P136" s="2">
        <f ca="1">IF(Flag_Send_Data=1,_xll.DBSW(Val!P136,Val!$C$1,Val!$C$2,Val!$C$3,Val!$C$4,Val!$D136,Val!$C$5,Val!$C$6,Val!$B136,Val!$E136,Val!P$10,Val!$C$7,Val!$C136),"")</f>
        <v>-1250</v>
      </c>
      <c r="Q136" s="2">
        <f ca="1">IF(Flag_Send_Data=1,_xll.DBSW(Val!Q136,Val!$C$1,Val!$C$2,Val!$C$3,Val!$C$4,Val!$D136,Val!$C$5,Val!$C$6,Val!$B136,Val!$E136,Val!Q$10,Val!$C$7,Val!$C136),"")</f>
        <v>-1250</v>
      </c>
    </row>
    <row r="137" spans="2:17" x14ac:dyDescent="0.25">
      <c r="B137" s="3" t="s">
        <v>250</v>
      </c>
      <c r="C137" t="s">
        <v>64</v>
      </c>
      <c r="D137" t="s">
        <v>199</v>
      </c>
      <c r="E137" t="s">
        <v>128</v>
      </c>
      <c r="F137" s="2">
        <f ca="1">IF(Flag_Send_Data=1,_xll.DBSW(Val!F137,Val!$C$1,Val!$C$2,Val!$C$3,Val!$C$4,Val!$D137,Val!$C$5,Val!$C$6,Val!$B137,Val!$E137,Val!F$10,Val!$C$7,Val!$C137),"")</f>
        <v>-21.150000000000002</v>
      </c>
      <c r="G137" s="2">
        <f ca="1">IF(Flag_Send_Data=1,_xll.DBSW(Val!G137,Val!$C$1,Val!$C$2,Val!$C$3,Val!$C$4,Val!$D137,Val!$C$5,Val!$C$6,Val!$B137,Val!$E137,Val!G$10,Val!$C$7,Val!$C137),"")</f>
        <v>-21.150000000000002</v>
      </c>
      <c r="H137" s="2">
        <f ca="1">IF(Flag_Send_Data=1,_xll.DBSW(Val!H137,Val!$C$1,Val!$C$2,Val!$C$3,Val!$C$4,Val!$D137,Val!$C$5,Val!$C$6,Val!$B137,Val!$E137,Val!H$10,Val!$C$7,Val!$C137),"")</f>
        <v>-21.150000000000002</v>
      </c>
      <c r="I137" s="2">
        <f ca="1">IF(Flag_Send_Data=1,_xll.DBSW(Val!I137,Val!$C$1,Val!$C$2,Val!$C$3,Val!$C$4,Val!$D137,Val!$C$5,Val!$C$6,Val!$B137,Val!$E137,Val!I$10,Val!$C$7,Val!$C137),"")</f>
        <v>-21.150000000000002</v>
      </c>
      <c r="J137" s="2">
        <f ca="1">IF(Flag_Send_Data=1,_xll.DBSW(Val!J137,Val!$C$1,Val!$C$2,Val!$C$3,Val!$C$4,Val!$D137,Val!$C$5,Val!$C$6,Val!$B137,Val!$E137,Val!J$10,Val!$C$7,Val!$C137),"")</f>
        <v>-21.150000000000002</v>
      </c>
      <c r="K137" s="2">
        <f ca="1">IF(Flag_Send_Data=1,_xll.DBSW(Val!K137,Val!$C$1,Val!$C$2,Val!$C$3,Val!$C$4,Val!$D137,Val!$C$5,Val!$C$6,Val!$B137,Val!$E137,Val!K$10,Val!$C$7,Val!$C137),"")</f>
        <v>-21.150000000000002</v>
      </c>
      <c r="L137" s="2">
        <f ca="1">IF(Flag_Send_Data=1,_xll.DBSW(Val!L137,Val!$C$1,Val!$C$2,Val!$C$3,Val!$C$4,Val!$D137,Val!$C$5,Val!$C$6,Val!$B137,Val!$E137,Val!L$10,Val!$C$7,Val!$C137),"")</f>
        <v>-21.150000000000002</v>
      </c>
      <c r="M137" s="2">
        <f ca="1">IF(Flag_Send_Data=1,_xll.DBSW(Val!M137,Val!$C$1,Val!$C$2,Val!$C$3,Val!$C$4,Val!$D137,Val!$C$5,Val!$C$6,Val!$B137,Val!$E137,Val!M$10,Val!$C$7,Val!$C137),"")</f>
        <v>-21.150000000000002</v>
      </c>
      <c r="N137" s="2">
        <f ca="1">IF(Flag_Send_Data=1,_xll.DBSW(Val!N137,Val!$C$1,Val!$C$2,Val!$C$3,Val!$C$4,Val!$D137,Val!$C$5,Val!$C$6,Val!$B137,Val!$E137,Val!N$10,Val!$C$7,Val!$C137),"")</f>
        <v>-21.150000000000002</v>
      </c>
      <c r="O137" s="2">
        <f ca="1">IF(Flag_Send_Data=1,_xll.DBSW(Val!O137,Val!$C$1,Val!$C$2,Val!$C$3,Val!$C$4,Val!$D137,Val!$C$5,Val!$C$6,Val!$B137,Val!$E137,Val!O$10,Val!$C$7,Val!$C137),"")</f>
        <v>-21.150000000000002</v>
      </c>
      <c r="P137" s="2">
        <f ca="1">IF(Flag_Send_Data=1,_xll.DBSW(Val!P137,Val!$C$1,Val!$C$2,Val!$C$3,Val!$C$4,Val!$D137,Val!$C$5,Val!$C$6,Val!$B137,Val!$E137,Val!P$10,Val!$C$7,Val!$C137),"")</f>
        <v>-21.150000000000002</v>
      </c>
      <c r="Q137" s="2">
        <f ca="1">IF(Flag_Send_Data=1,_xll.DBSW(Val!Q137,Val!$C$1,Val!$C$2,Val!$C$3,Val!$C$4,Val!$D137,Val!$C$5,Val!$C$6,Val!$B137,Val!$E137,Val!Q$10,Val!$C$7,Val!$C137),"")</f>
        <v>-21.150000000000002</v>
      </c>
    </row>
    <row r="138" spans="2:17" x14ac:dyDescent="0.25">
      <c r="B138" s="3" t="s">
        <v>251</v>
      </c>
      <c r="C138" t="s">
        <v>18</v>
      </c>
      <c r="D138" t="s">
        <v>199</v>
      </c>
      <c r="E138" t="s">
        <v>128</v>
      </c>
      <c r="F138" s="2">
        <f ca="1">IF(Flag_Send_Data=1,_xll.DBSW(Val!F138,Val!$C$1,Val!$C$2,Val!$C$3,Val!$C$4,Val!$D138,Val!$C$5,Val!$C$6,Val!$B138,Val!$E138,Val!F$10,Val!$C$7,Val!$C138),"")</f>
        <v>-72307.767500000002</v>
      </c>
      <c r="G138" s="2">
        <f ca="1">IF(Flag_Send_Data=1,_xll.DBSW(Val!G138,Val!$C$1,Val!$C$2,Val!$C$3,Val!$C$4,Val!$D138,Val!$C$5,Val!$C$6,Val!$B138,Val!$E138,Val!G$10,Val!$C$7,Val!$C138),"")</f>
        <v>-72307.767500000002</v>
      </c>
      <c r="H138" s="2">
        <f ca="1">IF(Flag_Send_Data=1,_xll.DBSW(Val!H138,Val!$C$1,Val!$C$2,Val!$C$3,Val!$C$4,Val!$D138,Val!$C$5,Val!$C$6,Val!$B138,Val!$E138,Val!H$10,Val!$C$7,Val!$C138),"")</f>
        <v>-72307.767500000002</v>
      </c>
      <c r="I138" s="2">
        <f ca="1">IF(Flag_Send_Data=1,_xll.DBSW(Val!I138,Val!$C$1,Val!$C$2,Val!$C$3,Val!$C$4,Val!$D138,Val!$C$5,Val!$C$6,Val!$B138,Val!$E138,Val!I$10,Val!$C$7,Val!$C138),"")</f>
        <v>-72307.767500000002</v>
      </c>
      <c r="J138" s="2">
        <f ca="1">IF(Flag_Send_Data=1,_xll.DBSW(Val!J138,Val!$C$1,Val!$C$2,Val!$C$3,Val!$C$4,Val!$D138,Val!$C$5,Val!$C$6,Val!$B138,Val!$E138,Val!J$10,Val!$C$7,Val!$C138),"")</f>
        <v>-72307.767500000002</v>
      </c>
      <c r="K138" s="2">
        <f ca="1">IF(Flag_Send_Data=1,_xll.DBSW(Val!K138,Val!$C$1,Val!$C$2,Val!$C$3,Val!$C$4,Val!$D138,Val!$C$5,Val!$C$6,Val!$B138,Val!$E138,Val!K$10,Val!$C$7,Val!$C138),"")</f>
        <v>-72307.767500000002</v>
      </c>
      <c r="L138" s="2">
        <f ca="1">IF(Flag_Send_Data=1,_xll.DBSW(Val!L138,Val!$C$1,Val!$C$2,Val!$C$3,Val!$C$4,Val!$D138,Val!$C$5,Val!$C$6,Val!$B138,Val!$E138,Val!L$10,Val!$C$7,Val!$C138),"")</f>
        <v>-72307.767500000002</v>
      </c>
      <c r="M138" s="2">
        <f ca="1">IF(Flag_Send_Data=1,_xll.DBSW(Val!M138,Val!$C$1,Val!$C$2,Val!$C$3,Val!$C$4,Val!$D138,Val!$C$5,Val!$C$6,Val!$B138,Val!$E138,Val!M$10,Val!$C$7,Val!$C138),"")</f>
        <v>-72307.767500000002</v>
      </c>
      <c r="N138" s="2">
        <f ca="1">IF(Flag_Send_Data=1,_xll.DBSW(Val!N138,Val!$C$1,Val!$C$2,Val!$C$3,Val!$C$4,Val!$D138,Val!$C$5,Val!$C$6,Val!$B138,Val!$E138,Val!N$10,Val!$C$7,Val!$C138),"")</f>
        <v>-72307.767500000002</v>
      </c>
      <c r="O138" s="2">
        <f ca="1">IF(Flag_Send_Data=1,_xll.DBSW(Val!O138,Val!$C$1,Val!$C$2,Val!$C$3,Val!$C$4,Val!$D138,Val!$C$5,Val!$C$6,Val!$B138,Val!$E138,Val!O$10,Val!$C$7,Val!$C138),"")</f>
        <v>-72307.767500000002</v>
      </c>
      <c r="P138" s="2">
        <f ca="1">IF(Flag_Send_Data=1,_xll.DBSW(Val!P138,Val!$C$1,Val!$C$2,Val!$C$3,Val!$C$4,Val!$D138,Val!$C$5,Val!$C$6,Val!$B138,Val!$E138,Val!P$10,Val!$C$7,Val!$C138),"")</f>
        <v>-72307.767500000002</v>
      </c>
      <c r="Q138" s="2">
        <f ca="1">IF(Flag_Send_Data=1,_xll.DBSW(Val!Q138,Val!$C$1,Val!$C$2,Val!$C$3,Val!$C$4,Val!$D138,Val!$C$5,Val!$C$6,Val!$B138,Val!$E138,Val!Q$10,Val!$C$7,Val!$C138),"")</f>
        <v>-72307.767500000002</v>
      </c>
    </row>
    <row r="139" spans="2:17" x14ac:dyDescent="0.25">
      <c r="B139" s="3" t="s">
        <v>251</v>
      </c>
      <c r="C139" t="s">
        <v>23</v>
      </c>
      <c r="D139" t="s">
        <v>199</v>
      </c>
      <c r="E139" t="s">
        <v>155</v>
      </c>
      <c r="F139" s="2">
        <f ca="1">IF(Flag_Send_Data=1,_xll.DBSW(Val!F139,Val!$C$1,Val!$C$2,Val!$C$3,Val!$C$4,Val!$D139,Val!$C$5,Val!$C$6,Val!$B139,Val!$E139,Val!F$10,Val!$C$7,Val!$C139),"")</f>
        <v>-7333.333333333333</v>
      </c>
      <c r="G139" s="2">
        <f ca="1">IF(Flag_Send_Data=1,_xll.DBSW(Val!G139,Val!$C$1,Val!$C$2,Val!$C$3,Val!$C$4,Val!$D139,Val!$C$5,Val!$C$6,Val!$B139,Val!$E139,Val!G$10,Val!$C$7,Val!$C139),"")</f>
        <v>-7333.333333333333</v>
      </c>
      <c r="H139" s="2">
        <f ca="1">IF(Flag_Send_Data=1,_xll.DBSW(Val!H139,Val!$C$1,Val!$C$2,Val!$C$3,Val!$C$4,Val!$D139,Val!$C$5,Val!$C$6,Val!$B139,Val!$E139,Val!H$10,Val!$C$7,Val!$C139),"")</f>
        <v>-7333.333333333333</v>
      </c>
      <c r="I139" s="2">
        <f ca="1">IF(Flag_Send_Data=1,_xll.DBSW(Val!I139,Val!$C$1,Val!$C$2,Val!$C$3,Val!$C$4,Val!$D139,Val!$C$5,Val!$C$6,Val!$B139,Val!$E139,Val!I$10,Val!$C$7,Val!$C139),"")</f>
        <v>-7333.333333333333</v>
      </c>
      <c r="J139" s="2">
        <f ca="1">IF(Flag_Send_Data=1,_xll.DBSW(Val!J139,Val!$C$1,Val!$C$2,Val!$C$3,Val!$C$4,Val!$D139,Val!$C$5,Val!$C$6,Val!$B139,Val!$E139,Val!J$10,Val!$C$7,Val!$C139),"")</f>
        <v>-7333.333333333333</v>
      </c>
      <c r="K139" s="2">
        <f ca="1">IF(Flag_Send_Data=1,_xll.DBSW(Val!K139,Val!$C$1,Val!$C$2,Val!$C$3,Val!$C$4,Val!$D139,Val!$C$5,Val!$C$6,Val!$B139,Val!$E139,Val!K$10,Val!$C$7,Val!$C139),"")</f>
        <v>-7333.333333333333</v>
      </c>
      <c r="L139" s="2">
        <f ca="1">IF(Flag_Send_Data=1,_xll.DBSW(Val!L139,Val!$C$1,Val!$C$2,Val!$C$3,Val!$C$4,Val!$D139,Val!$C$5,Val!$C$6,Val!$B139,Val!$E139,Val!L$10,Val!$C$7,Val!$C139),"")</f>
        <v>-7333.333333333333</v>
      </c>
      <c r="M139" s="2">
        <f ca="1">IF(Flag_Send_Data=1,_xll.DBSW(Val!M139,Val!$C$1,Val!$C$2,Val!$C$3,Val!$C$4,Val!$D139,Val!$C$5,Val!$C$6,Val!$B139,Val!$E139,Val!M$10,Val!$C$7,Val!$C139),"")</f>
        <v>-7333.333333333333</v>
      </c>
      <c r="N139" s="2">
        <f ca="1">IF(Flag_Send_Data=1,_xll.DBSW(Val!N139,Val!$C$1,Val!$C$2,Val!$C$3,Val!$C$4,Val!$D139,Val!$C$5,Val!$C$6,Val!$B139,Val!$E139,Val!N$10,Val!$C$7,Val!$C139),"")</f>
        <v>-7333.333333333333</v>
      </c>
      <c r="O139" s="2">
        <f ca="1">IF(Flag_Send_Data=1,_xll.DBSW(Val!O139,Val!$C$1,Val!$C$2,Val!$C$3,Val!$C$4,Val!$D139,Val!$C$5,Val!$C$6,Val!$B139,Val!$E139,Val!O$10,Val!$C$7,Val!$C139),"")</f>
        <v>-7333.333333333333</v>
      </c>
      <c r="P139" s="2">
        <f ca="1">IF(Flag_Send_Data=1,_xll.DBSW(Val!P139,Val!$C$1,Val!$C$2,Val!$C$3,Val!$C$4,Val!$D139,Val!$C$5,Val!$C$6,Val!$B139,Val!$E139,Val!P$10,Val!$C$7,Val!$C139),"")</f>
        <v>-7333.333333333333</v>
      </c>
      <c r="Q139" s="2">
        <f ca="1">IF(Flag_Send_Data=1,_xll.DBSW(Val!Q139,Val!$C$1,Val!$C$2,Val!$C$3,Val!$C$4,Val!$D139,Val!$C$5,Val!$C$6,Val!$B139,Val!$E139,Val!Q$10,Val!$C$7,Val!$C139),"")</f>
        <v>-7333.333333333333</v>
      </c>
    </row>
    <row r="140" spans="2:17" x14ac:dyDescent="0.25">
      <c r="B140" s="3" t="s">
        <v>251</v>
      </c>
      <c r="C140" t="s">
        <v>19</v>
      </c>
      <c r="D140" t="s">
        <v>156</v>
      </c>
      <c r="E140" t="s">
        <v>128</v>
      </c>
      <c r="F140" s="2">
        <f ca="1">IF(Flag_Send_Data=1,_xll.DBSW(Val!F140,Val!$C$1,Val!$C$2,Val!$C$3,Val!$C$4,Val!$D140,Val!$C$5,Val!$C$6,Val!$B140,Val!$E140,Val!F$10,Val!$C$7,Val!$C140),"")</f>
        <v>-18333.333333333332</v>
      </c>
      <c r="G140" s="2">
        <f ca="1">IF(Flag_Send_Data=1,_xll.DBSW(Val!G140,Val!$C$1,Val!$C$2,Val!$C$3,Val!$C$4,Val!$D140,Val!$C$5,Val!$C$6,Val!$B140,Val!$E140,Val!G$10,Val!$C$7,Val!$C140),"")</f>
        <v>-18333.333333333332</v>
      </c>
      <c r="H140" s="2">
        <f ca="1">IF(Flag_Send_Data=1,_xll.DBSW(Val!H140,Val!$C$1,Val!$C$2,Val!$C$3,Val!$C$4,Val!$D140,Val!$C$5,Val!$C$6,Val!$B140,Val!$E140,Val!H$10,Val!$C$7,Val!$C140),"")</f>
        <v>-18333.333333333332</v>
      </c>
      <c r="I140" s="2">
        <f ca="1">IF(Flag_Send_Data=1,_xll.DBSW(Val!I140,Val!$C$1,Val!$C$2,Val!$C$3,Val!$C$4,Val!$D140,Val!$C$5,Val!$C$6,Val!$B140,Val!$E140,Val!I$10,Val!$C$7,Val!$C140),"")</f>
        <v>-18333.333333333332</v>
      </c>
      <c r="J140" s="2">
        <f ca="1">IF(Flag_Send_Data=1,_xll.DBSW(Val!J140,Val!$C$1,Val!$C$2,Val!$C$3,Val!$C$4,Val!$D140,Val!$C$5,Val!$C$6,Val!$B140,Val!$E140,Val!J$10,Val!$C$7,Val!$C140),"")</f>
        <v>-18333.333333333332</v>
      </c>
      <c r="K140" s="2">
        <f ca="1">IF(Flag_Send_Data=1,_xll.DBSW(Val!K140,Val!$C$1,Val!$C$2,Val!$C$3,Val!$C$4,Val!$D140,Val!$C$5,Val!$C$6,Val!$B140,Val!$E140,Val!K$10,Val!$C$7,Val!$C140),"")</f>
        <v>-18333.333333333332</v>
      </c>
      <c r="L140" s="2">
        <f ca="1">IF(Flag_Send_Data=1,_xll.DBSW(Val!L140,Val!$C$1,Val!$C$2,Val!$C$3,Val!$C$4,Val!$D140,Val!$C$5,Val!$C$6,Val!$B140,Val!$E140,Val!L$10,Val!$C$7,Val!$C140),"")</f>
        <v>-18333.333333333332</v>
      </c>
      <c r="M140" s="2">
        <f ca="1">IF(Flag_Send_Data=1,_xll.DBSW(Val!M140,Val!$C$1,Val!$C$2,Val!$C$3,Val!$C$4,Val!$D140,Val!$C$5,Val!$C$6,Val!$B140,Val!$E140,Val!M$10,Val!$C$7,Val!$C140),"")</f>
        <v>-18333.333333333332</v>
      </c>
      <c r="N140" s="2">
        <f ca="1">IF(Flag_Send_Data=1,_xll.DBSW(Val!N140,Val!$C$1,Val!$C$2,Val!$C$3,Val!$C$4,Val!$D140,Val!$C$5,Val!$C$6,Val!$B140,Val!$E140,Val!N$10,Val!$C$7,Val!$C140),"")</f>
        <v>-18333.333333333332</v>
      </c>
      <c r="O140" s="2">
        <f ca="1">IF(Flag_Send_Data=1,_xll.DBSW(Val!O140,Val!$C$1,Val!$C$2,Val!$C$3,Val!$C$4,Val!$D140,Val!$C$5,Val!$C$6,Val!$B140,Val!$E140,Val!O$10,Val!$C$7,Val!$C140),"")</f>
        <v>-18333.333333333332</v>
      </c>
      <c r="P140" s="2">
        <f ca="1">IF(Flag_Send_Data=1,_xll.DBSW(Val!P140,Val!$C$1,Val!$C$2,Val!$C$3,Val!$C$4,Val!$D140,Val!$C$5,Val!$C$6,Val!$B140,Val!$E140,Val!P$10,Val!$C$7,Val!$C140),"")</f>
        <v>-18333.333333333332</v>
      </c>
      <c r="Q140" s="2">
        <f ca="1">IF(Flag_Send_Data=1,_xll.DBSW(Val!Q140,Val!$C$1,Val!$C$2,Val!$C$3,Val!$C$4,Val!$D140,Val!$C$5,Val!$C$6,Val!$B140,Val!$E140,Val!Q$10,Val!$C$7,Val!$C140),"")</f>
        <v>-18333.333333333332</v>
      </c>
    </row>
    <row r="141" spans="2:17" x14ac:dyDescent="0.25">
      <c r="B141" s="3" t="s">
        <v>251</v>
      </c>
      <c r="C141" t="s">
        <v>20</v>
      </c>
      <c r="D141" t="s">
        <v>199</v>
      </c>
      <c r="E141" t="s">
        <v>128</v>
      </c>
      <c r="F141" s="2">
        <f ca="1">IF(Flag_Send_Data=1,_xll.DBSW(Val!F141,Val!$C$1,Val!$C$2,Val!$C$3,Val!$C$4,Val!$D141,Val!$C$5,Val!$C$6,Val!$B141,Val!$E141,Val!F$10,Val!$C$7,Val!$C141),"")</f>
        <v>-333333.33333333331</v>
      </c>
      <c r="G141" s="2">
        <f ca="1">IF(Flag_Send_Data=1,_xll.DBSW(Val!G141,Val!$C$1,Val!$C$2,Val!$C$3,Val!$C$4,Val!$D141,Val!$C$5,Val!$C$6,Val!$B141,Val!$E141,Val!G$10,Val!$C$7,Val!$C141),"")</f>
        <v>-333333.33333333331</v>
      </c>
      <c r="H141" s="2">
        <f ca="1">IF(Flag_Send_Data=1,_xll.DBSW(Val!H141,Val!$C$1,Val!$C$2,Val!$C$3,Val!$C$4,Val!$D141,Val!$C$5,Val!$C$6,Val!$B141,Val!$E141,Val!H$10,Val!$C$7,Val!$C141),"")</f>
        <v>-333333.33333333331</v>
      </c>
      <c r="I141" s="2">
        <f ca="1">IF(Flag_Send_Data=1,_xll.DBSW(Val!I141,Val!$C$1,Val!$C$2,Val!$C$3,Val!$C$4,Val!$D141,Val!$C$5,Val!$C$6,Val!$B141,Val!$E141,Val!I$10,Val!$C$7,Val!$C141),"")</f>
        <v>-333333.33333333331</v>
      </c>
      <c r="J141" s="2">
        <f ca="1">IF(Flag_Send_Data=1,_xll.DBSW(Val!J141,Val!$C$1,Val!$C$2,Val!$C$3,Val!$C$4,Val!$D141,Val!$C$5,Val!$C$6,Val!$B141,Val!$E141,Val!J$10,Val!$C$7,Val!$C141),"")</f>
        <v>-333333.33333333331</v>
      </c>
      <c r="K141" s="2">
        <f ca="1">IF(Flag_Send_Data=1,_xll.DBSW(Val!K141,Val!$C$1,Val!$C$2,Val!$C$3,Val!$C$4,Val!$D141,Val!$C$5,Val!$C$6,Val!$B141,Val!$E141,Val!K$10,Val!$C$7,Val!$C141),"")</f>
        <v>-333333.33333333331</v>
      </c>
      <c r="L141" s="2">
        <f ca="1">IF(Flag_Send_Data=1,_xll.DBSW(Val!L141,Val!$C$1,Val!$C$2,Val!$C$3,Val!$C$4,Val!$D141,Val!$C$5,Val!$C$6,Val!$B141,Val!$E141,Val!L$10,Val!$C$7,Val!$C141),"")</f>
        <v>-333333.33333333331</v>
      </c>
      <c r="M141" s="2">
        <f ca="1">IF(Flag_Send_Data=1,_xll.DBSW(Val!M141,Val!$C$1,Val!$C$2,Val!$C$3,Val!$C$4,Val!$D141,Val!$C$5,Val!$C$6,Val!$B141,Val!$E141,Val!M$10,Val!$C$7,Val!$C141),"")</f>
        <v>-333333.33333333331</v>
      </c>
      <c r="N141" s="2">
        <f ca="1">IF(Flag_Send_Data=1,_xll.DBSW(Val!N141,Val!$C$1,Val!$C$2,Val!$C$3,Val!$C$4,Val!$D141,Val!$C$5,Val!$C$6,Val!$B141,Val!$E141,Val!N$10,Val!$C$7,Val!$C141),"")</f>
        <v>-333333.33333333331</v>
      </c>
      <c r="O141" s="2">
        <f ca="1">IF(Flag_Send_Data=1,_xll.DBSW(Val!O141,Val!$C$1,Val!$C$2,Val!$C$3,Val!$C$4,Val!$D141,Val!$C$5,Val!$C$6,Val!$B141,Val!$E141,Val!O$10,Val!$C$7,Val!$C141),"")</f>
        <v>-333333.33333333331</v>
      </c>
      <c r="P141" s="2">
        <f ca="1">IF(Flag_Send_Data=1,_xll.DBSW(Val!P141,Val!$C$1,Val!$C$2,Val!$C$3,Val!$C$4,Val!$D141,Val!$C$5,Val!$C$6,Val!$B141,Val!$E141,Val!P$10,Val!$C$7,Val!$C141),"")</f>
        <v>-333333.33333333331</v>
      </c>
      <c r="Q141" s="2">
        <f ca="1">IF(Flag_Send_Data=1,_xll.DBSW(Val!Q141,Val!$C$1,Val!$C$2,Val!$C$3,Val!$C$4,Val!$D141,Val!$C$5,Val!$C$6,Val!$B141,Val!$E141,Val!Q$10,Val!$C$7,Val!$C141),"")</f>
        <v>-333333.33333333331</v>
      </c>
    </row>
    <row r="142" spans="2:17" x14ac:dyDescent="0.25">
      <c r="B142" s="3" t="s">
        <v>251</v>
      </c>
      <c r="C142" t="s">
        <v>166</v>
      </c>
      <c r="D142" t="s">
        <v>199</v>
      </c>
      <c r="E142" t="s">
        <v>128</v>
      </c>
      <c r="F142" s="2">
        <f ca="1">IF(Flag_Send_Data=1,_xll.DBSW(Val!F142,Val!$C$1,Val!$C$2,Val!$C$3,Val!$C$4,Val!$D142,Val!$C$5,Val!$C$6,Val!$B142,Val!$E142,Val!F$10,Val!$C$7,Val!$C142),"")</f>
        <v>-833.33333333333337</v>
      </c>
      <c r="G142" s="2">
        <f ca="1">IF(Flag_Send_Data=1,_xll.DBSW(Val!G142,Val!$C$1,Val!$C$2,Val!$C$3,Val!$C$4,Val!$D142,Val!$C$5,Val!$C$6,Val!$B142,Val!$E142,Val!G$10,Val!$C$7,Val!$C142),"")</f>
        <v>-833.33333333333337</v>
      </c>
      <c r="H142" s="2">
        <f ca="1">IF(Flag_Send_Data=1,_xll.DBSW(Val!H142,Val!$C$1,Val!$C$2,Val!$C$3,Val!$C$4,Val!$D142,Val!$C$5,Val!$C$6,Val!$B142,Val!$E142,Val!H$10,Val!$C$7,Val!$C142),"")</f>
        <v>-833.33333333333337</v>
      </c>
      <c r="I142" s="2">
        <f ca="1">IF(Flag_Send_Data=1,_xll.DBSW(Val!I142,Val!$C$1,Val!$C$2,Val!$C$3,Val!$C$4,Val!$D142,Val!$C$5,Val!$C$6,Val!$B142,Val!$E142,Val!I$10,Val!$C$7,Val!$C142),"")</f>
        <v>-833.33333333333337</v>
      </c>
      <c r="J142" s="2">
        <f ca="1">IF(Flag_Send_Data=1,_xll.DBSW(Val!J142,Val!$C$1,Val!$C$2,Val!$C$3,Val!$C$4,Val!$D142,Val!$C$5,Val!$C$6,Val!$B142,Val!$E142,Val!J$10,Val!$C$7,Val!$C142),"")</f>
        <v>-833.33333333333337</v>
      </c>
      <c r="K142" s="2">
        <f ca="1">IF(Flag_Send_Data=1,_xll.DBSW(Val!K142,Val!$C$1,Val!$C$2,Val!$C$3,Val!$C$4,Val!$D142,Val!$C$5,Val!$C$6,Val!$B142,Val!$E142,Val!K$10,Val!$C$7,Val!$C142),"")</f>
        <v>-833.33333333333337</v>
      </c>
      <c r="L142" s="2">
        <f ca="1">IF(Flag_Send_Data=1,_xll.DBSW(Val!L142,Val!$C$1,Val!$C$2,Val!$C$3,Val!$C$4,Val!$D142,Val!$C$5,Val!$C$6,Val!$B142,Val!$E142,Val!L$10,Val!$C$7,Val!$C142),"")</f>
        <v>-833.33333333333337</v>
      </c>
      <c r="M142" s="2">
        <f ca="1">IF(Flag_Send_Data=1,_xll.DBSW(Val!M142,Val!$C$1,Val!$C$2,Val!$C$3,Val!$C$4,Val!$D142,Val!$C$5,Val!$C$6,Val!$B142,Val!$E142,Val!M$10,Val!$C$7,Val!$C142),"")</f>
        <v>-833.33333333333337</v>
      </c>
      <c r="N142" s="2">
        <f ca="1">IF(Flag_Send_Data=1,_xll.DBSW(Val!N142,Val!$C$1,Val!$C$2,Val!$C$3,Val!$C$4,Val!$D142,Val!$C$5,Val!$C$6,Val!$B142,Val!$E142,Val!N$10,Val!$C$7,Val!$C142),"")</f>
        <v>-833.33333333333337</v>
      </c>
      <c r="O142" s="2">
        <f ca="1">IF(Flag_Send_Data=1,_xll.DBSW(Val!O142,Val!$C$1,Val!$C$2,Val!$C$3,Val!$C$4,Val!$D142,Val!$C$5,Val!$C$6,Val!$B142,Val!$E142,Val!O$10,Val!$C$7,Val!$C142),"")</f>
        <v>-833.33333333333337</v>
      </c>
      <c r="P142" s="2">
        <f ca="1">IF(Flag_Send_Data=1,_xll.DBSW(Val!P142,Val!$C$1,Val!$C$2,Val!$C$3,Val!$C$4,Val!$D142,Val!$C$5,Val!$C$6,Val!$B142,Val!$E142,Val!P$10,Val!$C$7,Val!$C142),"")</f>
        <v>-833.33333333333337</v>
      </c>
      <c r="Q142" s="2">
        <f ca="1">IF(Flag_Send_Data=1,_xll.DBSW(Val!Q142,Val!$C$1,Val!$C$2,Val!$C$3,Val!$C$4,Val!$D142,Val!$C$5,Val!$C$6,Val!$B142,Val!$E142,Val!Q$10,Val!$C$7,Val!$C142),"")</f>
        <v>-833.33333333333337</v>
      </c>
    </row>
    <row r="143" spans="2:17" x14ac:dyDescent="0.25">
      <c r="B143" s="3" t="s">
        <v>251</v>
      </c>
      <c r="C143" t="s">
        <v>21</v>
      </c>
      <c r="D143" t="s">
        <v>199</v>
      </c>
      <c r="E143" t="s">
        <v>128</v>
      </c>
      <c r="F143" s="2">
        <f ca="1">IF(Flag_Send_Data=1,_xll.DBSW(Val!F143,Val!$C$1,Val!$C$2,Val!$C$3,Val!$C$4,Val!$D143,Val!$C$5,Val!$C$6,Val!$B143,Val!$E143,Val!F$10,Val!$C$7,Val!$C143),"")</f>
        <v>-2500</v>
      </c>
      <c r="G143" s="2">
        <f ca="1">IF(Flag_Send_Data=1,_xll.DBSW(Val!G143,Val!$C$1,Val!$C$2,Val!$C$3,Val!$C$4,Val!$D143,Val!$C$5,Val!$C$6,Val!$B143,Val!$E143,Val!G$10,Val!$C$7,Val!$C143),"")</f>
        <v>-2500</v>
      </c>
      <c r="H143" s="2">
        <f ca="1">IF(Flag_Send_Data=1,_xll.DBSW(Val!H143,Val!$C$1,Val!$C$2,Val!$C$3,Val!$C$4,Val!$D143,Val!$C$5,Val!$C$6,Val!$B143,Val!$E143,Val!H$10,Val!$C$7,Val!$C143),"")</f>
        <v>-2500</v>
      </c>
      <c r="I143" s="2">
        <f ca="1">IF(Flag_Send_Data=1,_xll.DBSW(Val!I143,Val!$C$1,Val!$C$2,Val!$C$3,Val!$C$4,Val!$D143,Val!$C$5,Val!$C$6,Val!$B143,Val!$E143,Val!I$10,Val!$C$7,Val!$C143),"")</f>
        <v>-2500</v>
      </c>
      <c r="J143" s="2">
        <f ca="1">IF(Flag_Send_Data=1,_xll.DBSW(Val!J143,Val!$C$1,Val!$C$2,Val!$C$3,Val!$C$4,Val!$D143,Val!$C$5,Val!$C$6,Val!$B143,Val!$E143,Val!J$10,Val!$C$7,Val!$C143),"")</f>
        <v>-2500</v>
      </c>
      <c r="K143" s="2">
        <f ca="1">IF(Flag_Send_Data=1,_xll.DBSW(Val!K143,Val!$C$1,Val!$C$2,Val!$C$3,Val!$C$4,Val!$D143,Val!$C$5,Val!$C$6,Val!$B143,Val!$E143,Val!K$10,Val!$C$7,Val!$C143),"")</f>
        <v>-2500</v>
      </c>
      <c r="L143" s="2">
        <f ca="1">IF(Flag_Send_Data=1,_xll.DBSW(Val!L143,Val!$C$1,Val!$C$2,Val!$C$3,Val!$C$4,Val!$D143,Val!$C$5,Val!$C$6,Val!$B143,Val!$E143,Val!L$10,Val!$C$7,Val!$C143),"")</f>
        <v>-2500</v>
      </c>
      <c r="M143" s="2">
        <f ca="1">IF(Flag_Send_Data=1,_xll.DBSW(Val!M143,Val!$C$1,Val!$C$2,Val!$C$3,Val!$C$4,Val!$D143,Val!$C$5,Val!$C$6,Val!$B143,Val!$E143,Val!M$10,Val!$C$7,Val!$C143),"")</f>
        <v>-2500</v>
      </c>
      <c r="N143" s="2">
        <f ca="1">IF(Flag_Send_Data=1,_xll.DBSW(Val!N143,Val!$C$1,Val!$C$2,Val!$C$3,Val!$C$4,Val!$D143,Val!$C$5,Val!$C$6,Val!$B143,Val!$E143,Val!N$10,Val!$C$7,Val!$C143),"")</f>
        <v>-2500</v>
      </c>
      <c r="O143" s="2">
        <f ca="1">IF(Flag_Send_Data=1,_xll.DBSW(Val!O143,Val!$C$1,Val!$C$2,Val!$C$3,Val!$C$4,Val!$D143,Val!$C$5,Val!$C$6,Val!$B143,Val!$E143,Val!O$10,Val!$C$7,Val!$C143),"")</f>
        <v>-2500</v>
      </c>
      <c r="P143" s="2">
        <f ca="1">IF(Flag_Send_Data=1,_xll.DBSW(Val!P143,Val!$C$1,Val!$C$2,Val!$C$3,Val!$C$4,Val!$D143,Val!$C$5,Val!$C$6,Val!$B143,Val!$E143,Val!P$10,Val!$C$7,Val!$C143),"")</f>
        <v>-2500</v>
      </c>
      <c r="Q143" s="2">
        <f ca="1">IF(Flag_Send_Data=1,_xll.DBSW(Val!Q143,Val!$C$1,Val!$C$2,Val!$C$3,Val!$C$4,Val!$D143,Val!$C$5,Val!$C$6,Val!$B143,Val!$E143,Val!Q$10,Val!$C$7,Val!$C143),"")</f>
        <v>-2500</v>
      </c>
    </row>
    <row r="144" spans="2:17" x14ac:dyDescent="0.25">
      <c r="B144" s="3" t="s">
        <v>252</v>
      </c>
      <c r="C144" t="s">
        <v>11</v>
      </c>
      <c r="D144" t="s">
        <v>199</v>
      </c>
      <c r="E144" t="s">
        <v>128</v>
      </c>
      <c r="F144" s="2">
        <f ca="1">IF(Flag_Send_Data=1,_xll.DBSW(Val!F144,Val!$C$1,Val!$C$2,Val!$C$3,Val!$C$4,Val!$D144,Val!$C$5,Val!$C$6,Val!$B144,Val!$E144,Val!F$10,Val!$C$7,Val!$C144),"")</f>
        <v>-143612.25666666668</v>
      </c>
      <c r="G144" s="2">
        <f ca="1">IF(Flag_Send_Data=1,_xll.DBSW(Val!G144,Val!$C$1,Val!$C$2,Val!$C$3,Val!$C$4,Val!$D144,Val!$C$5,Val!$C$6,Val!$B144,Val!$E144,Val!G$10,Val!$C$7,Val!$C144),"")</f>
        <v>-143612.25666666668</v>
      </c>
      <c r="H144" s="2">
        <f ca="1">IF(Flag_Send_Data=1,_xll.DBSW(Val!H144,Val!$C$1,Val!$C$2,Val!$C$3,Val!$C$4,Val!$D144,Val!$C$5,Val!$C$6,Val!$B144,Val!$E144,Val!H$10,Val!$C$7,Val!$C144),"")</f>
        <v>-143612.25666666668</v>
      </c>
      <c r="I144" s="2">
        <f ca="1">IF(Flag_Send_Data=1,_xll.DBSW(Val!I144,Val!$C$1,Val!$C$2,Val!$C$3,Val!$C$4,Val!$D144,Val!$C$5,Val!$C$6,Val!$B144,Val!$E144,Val!I$10,Val!$C$7,Val!$C144),"")</f>
        <v>-143612.25666666668</v>
      </c>
      <c r="J144" s="2">
        <f ca="1">IF(Flag_Send_Data=1,_xll.DBSW(Val!J144,Val!$C$1,Val!$C$2,Val!$C$3,Val!$C$4,Val!$D144,Val!$C$5,Val!$C$6,Val!$B144,Val!$E144,Val!J$10,Val!$C$7,Val!$C144),"")</f>
        <v>-143612.25666666668</v>
      </c>
      <c r="K144" s="2">
        <f ca="1">IF(Flag_Send_Data=1,_xll.DBSW(Val!K144,Val!$C$1,Val!$C$2,Val!$C$3,Val!$C$4,Val!$D144,Val!$C$5,Val!$C$6,Val!$B144,Val!$E144,Val!K$10,Val!$C$7,Val!$C144),"")</f>
        <v>-143612.25666666668</v>
      </c>
      <c r="L144" s="2">
        <f ca="1">IF(Flag_Send_Data=1,_xll.DBSW(Val!L144,Val!$C$1,Val!$C$2,Val!$C$3,Val!$C$4,Val!$D144,Val!$C$5,Val!$C$6,Val!$B144,Val!$E144,Val!L$10,Val!$C$7,Val!$C144),"")</f>
        <v>-143612.25666666668</v>
      </c>
      <c r="M144" s="2">
        <f ca="1">IF(Flag_Send_Data=1,_xll.DBSW(Val!M144,Val!$C$1,Val!$C$2,Val!$C$3,Val!$C$4,Val!$D144,Val!$C$5,Val!$C$6,Val!$B144,Val!$E144,Val!M$10,Val!$C$7,Val!$C144),"")</f>
        <v>-143612.25666666668</v>
      </c>
      <c r="N144" s="2">
        <f ca="1">IF(Flag_Send_Data=1,_xll.DBSW(Val!N144,Val!$C$1,Val!$C$2,Val!$C$3,Val!$C$4,Val!$D144,Val!$C$5,Val!$C$6,Val!$B144,Val!$E144,Val!N$10,Val!$C$7,Val!$C144),"")</f>
        <v>-143612.25666666668</v>
      </c>
      <c r="O144" s="2">
        <f ca="1">IF(Flag_Send_Data=1,_xll.DBSW(Val!O144,Val!$C$1,Val!$C$2,Val!$C$3,Val!$C$4,Val!$D144,Val!$C$5,Val!$C$6,Val!$B144,Val!$E144,Val!O$10,Val!$C$7,Val!$C144),"")</f>
        <v>-143612.25666666668</v>
      </c>
      <c r="P144" s="2">
        <f ca="1">IF(Flag_Send_Data=1,_xll.DBSW(Val!P144,Val!$C$1,Val!$C$2,Val!$C$3,Val!$C$4,Val!$D144,Val!$C$5,Val!$C$6,Val!$B144,Val!$E144,Val!P$10,Val!$C$7,Val!$C144),"")</f>
        <v>-143612.25666666668</v>
      </c>
      <c r="Q144" s="2">
        <f ca="1">IF(Flag_Send_Data=1,_xll.DBSW(Val!Q144,Val!$C$1,Val!$C$2,Val!$C$3,Val!$C$4,Val!$D144,Val!$C$5,Val!$C$6,Val!$B144,Val!$E144,Val!Q$10,Val!$C$7,Val!$C144),"")</f>
        <v>-143612.25666666668</v>
      </c>
    </row>
    <row r="145" spans="2:17" x14ac:dyDescent="0.25">
      <c r="B145" s="3" t="s">
        <v>252</v>
      </c>
      <c r="C145" t="s">
        <v>12</v>
      </c>
      <c r="D145" t="s">
        <v>199</v>
      </c>
      <c r="E145" t="s">
        <v>128</v>
      </c>
      <c r="F145" s="2">
        <f ca="1">IF(Flag_Send_Data=1,_xll.DBSW(Val!F145,Val!$C$1,Val!$C$2,Val!$C$3,Val!$C$4,Val!$D145,Val!$C$5,Val!$C$6,Val!$B145,Val!$E145,Val!F$10,Val!$C$7,Val!$C145),"")</f>
        <v>-20833.333333333332</v>
      </c>
      <c r="G145" s="2">
        <f ca="1">IF(Flag_Send_Data=1,_xll.DBSW(Val!G145,Val!$C$1,Val!$C$2,Val!$C$3,Val!$C$4,Val!$D145,Val!$C$5,Val!$C$6,Val!$B145,Val!$E145,Val!G$10,Val!$C$7,Val!$C145),"")</f>
        <v>-20833.333333333332</v>
      </c>
      <c r="H145" s="2">
        <f ca="1">IF(Flag_Send_Data=1,_xll.DBSW(Val!H145,Val!$C$1,Val!$C$2,Val!$C$3,Val!$C$4,Val!$D145,Val!$C$5,Val!$C$6,Val!$B145,Val!$E145,Val!H$10,Val!$C$7,Val!$C145),"")</f>
        <v>-20833.333333333332</v>
      </c>
      <c r="I145" s="2">
        <f ca="1">IF(Flag_Send_Data=1,_xll.DBSW(Val!I145,Val!$C$1,Val!$C$2,Val!$C$3,Val!$C$4,Val!$D145,Val!$C$5,Val!$C$6,Val!$B145,Val!$E145,Val!I$10,Val!$C$7,Val!$C145),"")</f>
        <v>-20833.333333333332</v>
      </c>
      <c r="J145" s="2">
        <f ca="1">IF(Flag_Send_Data=1,_xll.DBSW(Val!J145,Val!$C$1,Val!$C$2,Val!$C$3,Val!$C$4,Val!$D145,Val!$C$5,Val!$C$6,Val!$B145,Val!$E145,Val!J$10,Val!$C$7,Val!$C145),"")</f>
        <v>-20833.333333333332</v>
      </c>
      <c r="K145" s="2">
        <f ca="1">IF(Flag_Send_Data=1,_xll.DBSW(Val!K145,Val!$C$1,Val!$C$2,Val!$C$3,Val!$C$4,Val!$D145,Val!$C$5,Val!$C$6,Val!$B145,Val!$E145,Val!K$10,Val!$C$7,Val!$C145),"")</f>
        <v>-20833.333333333332</v>
      </c>
      <c r="L145" s="2">
        <f ca="1">IF(Flag_Send_Data=1,_xll.DBSW(Val!L145,Val!$C$1,Val!$C$2,Val!$C$3,Val!$C$4,Val!$D145,Val!$C$5,Val!$C$6,Val!$B145,Val!$E145,Val!L$10,Val!$C$7,Val!$C145),"")</f>
        <v>-20833.333333333332</v>
      </c>
      <c r="M145" s="2">
        <f ca="1">IF(Flag_Send_Data=1,_xll.DBSW(Val!M145,Val!$C$1,Val!$C$2,Val!$C$3,Val!$C$4,Val!$D145,Val!$C$5,Val!$C$6,Val!$B145,Val!$E145,Val!M$10,Val!$C$7,Val!$C145),"")</f>
        <v>-20833.333333333332</v>
      </c>
      <c r="N145" s="2">
        <f ca="1">IF(Flag_Send_Data=1,_xll.DBSW(Val!N145,Val!$C$1,Val!$C$2,Val!$C$3,Val!$C$4,Val!$D145,Val!$C$5,Val!$C$6,Val!$B145,Val!$E145,Val!N$10,Val!$C$7,Val!$C145),"")</f>
        <v>-20833.333333333332</v>
      </c>
      <c r="O145" s="2">
        <f ca="1">IF(Flag_Send_Data=1,_xll.DBSW(Val!O145,Val!$C$1,Val!$C$2,Val!$C$3,Val!$C$4,Val!$D145,Val!$C$5,Val!$C$6,Val!$B145,Val!$E145,Val!O$10,Val!$C$7,Val!$C145),"")</f>
        <v>-20833.333333333332</v>
      </c>
      <c r="P145" s="2">
        <f ca="1">IF(Flag_Send_Data=1,_xll.DBSW(Val!P145,Val!$C$1,Val!$C$2,Val!$C$3,Val!$C$4,Val!$D145,Val!$C$5,Val!$C$6,Val!$B145,Val!$E145,Val!P$10,Val!$C$7,Val!$C145),"")</f>
        <v>-20833.333333333332</v>
      </c>
      <c r="Q145" s="2">
        <f ca="1">IF(Flag_Send_Data=1,_xll.DBSW(Val!Q145,Val!$C$1,Val!$C$2,Val!$C$3,Val!$C$4,Val!$D145,Val!$C$5,Val!$C$6,Val!$B145,Val!$E145,Val!Q$10,Val!$C$7,Val!$C145),"")</f>
        <v>-20833.333333333332</v>
      </c>
    </row>
    <row r="146" spans="2:17" x14ac:dyDescent="0.25">
      <c r="B146" s="3" t="s">
        <v>252</v>
      </c>
      <c r="C146" t="s">
        <v>16</v>
      </c>
      <c r="D146" t="s">
        <v>199</v>
      </c>
      <c r="E146" t="s">
        <v>128</v>
      </c>
      <c r="F146" s="2">
        <f ca="1">IF(Flag_Send_Data=1,_xll.DBSW(Val!F146,Val!$C$1,Val!$C$2,Val!$C$3,Val!$C$4,Val!$D146,Val!$C$5,Val!$C$6,Val!$B146,Val!$E146,Val!F$10,Val!$C$7,Val!$C146),"")</f>
        <v>-20833.333333333332</v>
      </c>
      <c r="G146" s="2">
        <f ca="1">IF(Flag_Send_Data=1,_xll.DBSW(Val!G146,Val!$C$1,Val!$C$2,Val!$C$3,Val!$C$4,Val!$D146,Val!$C$5,Val!$C$6,Val!$B146,Val!$E146,Val!G$10,Val!$C$7,Val!$C146),"")</f>
        <v>-20833.333333333332</v>
      </c>
      <c r="H146" s="2">
        <f ca="1">IF(Flag_Send_Data=1,_xll.DBSW(Val!H146,Val!$C$1,Val!$C$2,Val!$C$3,Val!$C$4,Val!$D146,Val!$C$5,Val!$C$6,Val!$B146,Val!$E146,Val!H$10,Val!$C$7,Val!$C146),"")</f>
        <v>-20833.333333333332</v>
      </c>
      <c r="I146" s="2">
        <f ca="1">IF(Flag_Send_Data=1,_xll.DBSW(Val!I146,Val!$C$1,Val!$C$2,Val!$C$3,Val!$C$4,Val!$D146,Val!$C$5,Val!$C$6,Val!$B146,Val!$E146,Val!I$10,Val!$C$7,Val!$C146),"")</f>
        <v>-20833.333333333332</v>
      </c>
      <c r="J146" s="2">
        <f ca="1">IF(Flag_Send_Data=1,_xll.DBSW(Val!J146,Val!$C$1,Val!$C$2,Val!$C$3,Val!$C$4,Val!$D146,Val!$C$5,Val!$C$6,Val!$B146,Val!$E146,Val!J$10,Val!$C$7,Val!$C146),"")</f>
        <v>-20833.333333333332</v>
      </c>
      <c r="K146" s="2">
        <f ca="1">IF(Flag_Send_Data=1,_xll.DBSW(Val!K146,Val!$C$1,Val!$C$2,Val!$C$3,Val!$C$4,Val!$D146,Val!$C$5,Val!$C$6,Val!$B146,Val!$E146,Val!K$10,Val!$C$7,Val!$C146),"")</f>
        <v>-20833.333333333332</v>
      </c>
      <c r="L146" s="2">
        <f ca="1">IF(Flag_Send_Data=1,_xll.DBSW(Val!L146,Val!$C$1,Val!$C$2,Val!$C$3,Val!$C$4,Val!$D146,Val!$C$5,Val!$C$6,Val!$B146,Val!$E146,Val!L$10,Val!$C$7,Val!$C146),"")</f>
        <v>-20833.333333333332</v>
      </c>
      <c r="M146" s="2">
        <f ca="1">IF(Flag_Send_Data=1,_xll.DBSW(Val!M146,Val!$C$1,Val!$C$2,Val!$C$3,Val!$C$4,Val!$D146,Val!$C$5,Val!$C$6,Val!$B146,Val!$E146,Val!M$10,Val!$C$7,Val!$C146),"")</f>
        <v>-20833.333333333332</v>
      </c>
      <c r="N146" s="2">
        <f ca="1">IF(Flag_Send_Data=1,_xll.DBSW(Val!N146,Val!$C$1,Val!$C$2,Val!$C$3,Val!$C$4,Val!$D146,Val!$C$5,Val!$C$6,Val!$B146,Val!$E146,Val!N$10,Val!$C$7,Val!$C146),"")</f>
        <v>-20833.333333333332</v>
      </c>
      <c r="O146" s="2">
        <f ca="1">IF(Flag_Send_Data=1,_xll.DBSW(Val!O146,Val!$C$1,Val!$C$2,Val!$C$3,Val!$C$4,Val!$D146,Val!$C$5,Val!$C$6,Val!$B146,Val!$E146,Val!O$10,Val!$C$7,Val!$C146),"")</f>
        <v>-20833.333333333332</v>
      </c>
      <c r="P146" s="2">
        <f ca="1">IF(Flag_Send_Data=1,_xll.DBSW(Val!P146,Val!$C$1,Val!$C$2,Val!$C$3,Val!$C$4,Val!$D146,Val!$C$5,Val!$C$6,Val!$B146,Val!$E146,Val!P$10,Val!$C$7,Val!$C146),"")</f>
        <v>-20833.333333333332</v>
      </c>
      <c r="Q146" s="2">
        <f ca="1">IF(Flag_Send_Data=1,_xll.DBSW(Val!Q146,Val!$C$1,Val!$C$2,Val!$C$3,Val!$C$4,Val!$D146,Val!$C$5,Val!$C$6,Val!$B146,Val!$E146,Val!Q$10,Val!$C$7,Val!$C146),"")</f>
        <v>-20833.333333333332</v>
      </c>
    </row>
    <row r="147" spans="2:17" x14ac:dyDescent="0.25">
      <c r="B147" s="3" t="s">
        <v>252</v>
      </c>
      <c r="C147" t="s">
        <v>13</v>
      </c>
      <c r="D147" t="s">
        <v>199</v>
      </c>
      <c r="E147" t="s">
        <v>128</v>
      </c>
      <c r="F147" s="2">
        <f ca="1">IF(Flag_Send_Data=1,_xll.DBSW(Val!F147,Val!$C$1,Val!$C$2,Val!$C$3,Val!$C$4,Val!$D147,Val!$C$5,Val!$C$6,Val!$B147,Val!$E147,Val!F$10,Val!$C$7,Val!$C147),"")</f>
        <v>-4166.666666666667</v>
      </c>
      <c r="G147" s="2">
        <f ca="1">IF(Flag_Send_Data=1,_xll.DBSW(Val!G147,Val!$C$1,Val!$C$2,Val!$C$3,Val!$C$4,Val!$D147,Val!$C$5,Val!$C$6,Val!$B147,Val!$E147,Val!G$10,Val!$C$7,Val!$C147),"")</f>
        <v>-4166.666666666667</v>
      </c>
      <c r="H147" s="2">
        <f ca="1">IF(Flag_Send_Data=1,_xll.DBSW(Val!H147,Val!$C$1,Val!$C$2,Val!$C$3,Val!$C$4,Val!$D147,Val!$C$5,Val!$C$6,Val!$B147,Val!$E147,Val!H$10,Val!$C$7,Val!$C147),"")</f>
        <v>-4166.666666666667</v>
      </c>
      <c r="I147" s="2">
        <f ca="1">IF(Flag_Send_Data=1,_xll.DBSW(Val!I147,Val!$C$1,Val!$C$2,Val!$C$3,Val!$C$4,Val!$D147,Val!$C$5,Val!$C$6,Val!$B147,Val!$E147,Val!I$10,Val!$C$7,Val!$C147),"")</f>
        <v>-4166.666666666667</v>
      </c>
      <c r="J147" s="2">
        <f ca="1">IF(Flag_Send_Data=1,_xll.DBSW(Val!J147,Val!$C$1,Val!$C$2,Val!$C$3,Val!$C$4,Val!$D147,Val!$C$5,Val!$C$6,Val!$B147,Val!$E147,Val!J$10,Val!$C$7,Val!$C147),"")</f>
        <v>-4166.666666666667</v>
      </c>
      <c r="K147" s="2">
        <f ca="1">IF(Flag_Send_Data=1,_xll.DBSW(Val!K147,Val!$C$1,Val!$C$2,Val!$C$3,Val!$C$4,Val!$D147,Val!$C$5,Val!$C$6,Val!$B147,Val!$E147,Val!K$10,Val!$C$7,Val!$C147),"")</f>
        <v>-4166.666666666667</v>
      </c>
      <c r="L147" s="2">
        <f ca="1">IF(Flag_Send_Data=1,_xll.DBSW(Val!L147,Val!$C$1,Val!$C$2,Val!$C$3,Val!$C$4,Val!$D147,Val!$C$5,Val!$C$6,Val!$B147,Val!$E147,Val!L$10,Val!$C$7,Val!$C147),"")</f>
        <v>-4166.666666666667</v>
      </c>
      <c r="M147" s="2">
        <f ca="1">IF(Flag_Send_Data=1,_xll.DBSW(Val!M147,Val!$C$1,Val!$C$2,Val!$C$3,Val!$C$4,Val!$D147,Val!$C$5,Val!$C$6,Val!$B147,Val!$E147,Val!M$10,Val!$C$7,Val!$C147),"")</f>
        <v>-4166.666666666667</v>
      </c>
      <c r="N147" s="2">
        <f ca="1">IF(Flag_Send_Data=1,_xll.DBSW(Val!N147,Val!$C$1,Val!$C$2,Val!$C$3,Val!$C$4,Val!$D147,Val!$C$5,Val!$C$6,Val!$B147,Val!$E147,Val!N$10,Val!$C$7,Val!$C147),"")</f>
        <v>-4166.666666666667</v>
      </c>
      <c r="O147" s="2">
        <f ca="1">IF(Flag_Send_Data=1,_xll.DBSW(Val!O147,Val!$C$1,Val!$C$2,Val!$C$3,Val!$C$4,Val!$D147,Val!$C$5,Val!$C$6,Val!$B147,Val!$E147,Val!O$10,Val!$C$7,Val!$C147),"")</f>
        <v>-4166.666666666667</v>
      </c>
      <c r="P147" s="2">
        <f ca="1">IF(Flag_Send_Data=1,_xll.DBSW(Val!P147,Val!$C$1,Val!$C$2,Val!$C$3,Val!$C$4,Val!$D147,Val!$C$5,Val!$C$6,Val!$B147,Val!$E147,Val!P$10,Val!$C$7,Val!$C147),"")</f>
        <v>-4166.666666666667</v>
      </c>
      <c r="Q147" s="2">
        <f ca="1">IF(Flag_Send_Data=1,_xll.DBSW(Val!Q147,Val!$C$1,Val!$C$2,Val!$C$3,Val!$C$4,Val!$D147,Val!$C$5,Val!$C$6,Val!$B147,Val!$E147,Val!Q$10,Val!$C$7,Val!$C147),"")</f>
        <v>-4166.666666666667</v>
      </c>
    </row>
    <row r="148" spans="2:17" x14ac:dyDescent="0.25">
      <c r="B148" s="3" t="s">
        <v>252</v>
      </c>
      <c r="C148" t="s">
        <v>109</v>
      </c>
      <c r="D148" t="s">
        <v>199</v>
      </c>
      <c r="E148" t="s">
        <v>128</v>
      </c>
      <c r="F148" s="2">
        <f ca="1">IF(Flag_Send_Data=1,_xll.DBSW(Val!F148,Val!$C$1,Val!$C$2,Val!$C$3,Val!$C$4,Val!$D148,Val!$C$5,Val!$C$6,Val!$B148,Val!$E148,Val!F$10,Val!$C$7,Val!$C148),"")</f>
        <v>-2500</v>
      </c>
      <c r="G148" s="2">
        <f ca="1">IF(Flag_Send_Data=1,_xll.DBSW(Val!G148,Val!$C$1,Val!$C$2,Val!$C$3,Val!$C$4,Val!$D148,Val!$C$5,Val!$C$6,Val!$B148,Val!$E148,Val!G$10,Val!$C$7,Val!$C148),"")</f>
        <v>-2500</v>
      </c>
      <c r="H148" s="2">
        <f ca="1">IF(Flag_Send_Data=1,_xll.DBSW(Val!H148,Val!$C$1,Val!$C$2,Val!$C$3,Val!$C$4,Val!$D148,Val!$C$5,Val!$C$6,Val!$B148,Val!$E148,Val!H$10,Val!$C$7,Val!$C148),"")</f>
        <v>-2500</v>
      </c>
      <c r="I148" s="2">
        <f ca="1">IF(Flag_Send_Data=1,_xll.DBSW(Val!I148,Val!$C$1,Val!$C$2,Val!$C$3,Val!$C$4,Val!$D148,Val!$C$5,Val!$C$6,Val!$B148,Val!$E148,Val!I$10,Val!$C$7,Val!$C148),"")</f>
        <v>-2500</v>
      </c>
      <c r="J148" s="2">
        <f ca="1">IF(Flag_Send_Data=1,_xll.DBSW(Val!J148,Val!$C$1,Val!$C$2,Val!$C$3,Val!$C$4,Val!$D148,Val!$C$5,Val!$C$6,Val!$B148,Val!$E148,Val!J$10,Val!$C$7,Val!$C148),"")</f>
        <v>-2500</v>
      </c>
      <c r="K148" s="2">
        <f ca="1">IF(Flag_Send_Data=1,_xll.DBSW(Val!K148,Val!$C$1,Val!$C$2,Val!$C$3,Val!$C$4,Val!$D148,Val!$C$5,Val!$C$6,Val!$B148,Val!$E148,Val!K$10,Val!$C$7,Val!$C148),"")</f>
        <v>-2500</v>
      </c>
      <c r="L148" s="2">
        <f ca="1">IF(Flag_Send_Data=1,_xll.DBSW(Val!L148,Val!$C$1,Val!$C$2,Val!$C$3,Val!$C$4,Val!$D148,Val!$C$5,Val!$C$6,Val!$B148,Val!$E148,Val!L$10,Val!$C$7,Val!$C148),"")</f>
        <v>-2500</v>
      </c>
      <c r="M148" s="2">
        <f ca="1">IF(Flag_Send_Data=1,_xll.DBSW(Val!M148,Val!$C$1,Val!$C$2,Val!$C$3,Val!$C$4,Val!$D148,Val!$C$5,Val!$C$6,Val!$B148,Val!$E148,Val!M$10,Val!$C$7,Val!$C148),"")</f>
        <v>-2500</v>
      </c>
      <c r="N148" s="2">
        <f ca="1">IF(Flag_Send_Data=1,_xll.DBSW(Val!N148,Val!$C$1,Val!$C$2,Val!$C$3,Val!$C$4,Val!$D148,Val!$C$5,Val!$C$6,Val!$B148,Val!$E148,Val!N$10,Val!$C$7,Val!$C148),"")</f>
        <v>-2500</v>
      </c>
      <c r="O148" s="2">
        <f ca="1">IF(Flag_Send_Data=1,_xll.DBSW(Val!O148,Val!$C$1,Val!$C$2,Val!$C$3,Val!$C$4,Val!$D148,Val!$C$5,Val!$C$6,Val!$B148,Val!$E148,Val!O$10,Val!$C$7,Val!$C148),"")</f>
        <v>-2500</v>
      </c>
      <c r="P148" s="2">
        <f ca="1">IF(Flag_Send_Data=1,_xll.DBSW(Val!P148,Val!$C$1,Val!$C$2,Val!$C$3,Val!$C$4,Val!$D148,Val!$C$5,Val!$C$6,Val!$B148,Val!$E148,Val!P$10,Val!$C$7,Val!$C148),"")</f>
        <v>-2500</v>
      </c>
      <c r="Q148" s="2">
        <f ca="1">IF(Flag_Send_Data=1,_xll.DBSW(Val!Q148,Val!$C$1,Val!$C$2,Val!$C$3,Val!$C$4,Val!$D148,Val!$C$5,Val!$C$6,Val!$B148,Val!$E148,Val!Q$10,Val!$C$7,Val!$C148),"")</f>
        <v>-2500</v>
      </c>
    </row>
    <row r="149" spans="2:17" x14ac:dyDescent="0.25">
      <c r="B149" s="3" t="s">
        <v>252</v>
      </c>
      <c r="C149" t="s">
        <v>81</v>
      </c>
      <c r="D149" t="s">
        <v>199</v>
      </c>
      <c r="E149" t="s">
        <v>128</v>
      </c>
      <c r="F149" s="2">
        <f ca="1">IF(Flag_Send_Data=1,_xll.DBSW(Val!F149,Val!$C$1,Val!$C$2,Val!$C$3,Val!$C$4,Val!$D149,Val!$C$5,Val!$C$6,Val!$B149,Val!$E149,Val!F$10,Val!$C$7,Val!$C149),"")</f>
        <v>-13.733333333333334</v>
      </c>
      <c r="G149" s="2">
        <f ca="1">IF(Flag_Send_Data=1,_xll.DBSW(Val!G149,Val!$C$1,Val!$C$2,Val!$C$3,Val!$C$4,Val!$D149,Val!$C$5,Val!$C$6,Val!$B149,Val!$E149,Val!G$10,Val!$C$7,Val!$C149),"")</f>
        <v>-13.733333333333334</v>
      </c>
      <c r="H149" s="2">
        <f ca="1">IF(Flag_Send_Data=1,_xll.DBSW(Val!H149,Val!$C$1,Val!$C$2,Val!$C$3,Val!$C$4,Val!$D149,Val!$C$5,Val!$C$6,Val!$B149,Val!$E149,Val!H$10,Val!$C$7,Val!$C149),"")</f>
        <v>-13.733333333333334</v>
      </c>
      <c r="I149" s="2">
        <f ca="1">IF(Flag_Send_Data=1,_xll.DBSW(Val!I149,Val!$C$1,Val!$C$2,Val!$C$3,Val!$C$4,Val!$D149,Val!$C$5,Val!$C$6,Val!$B149,Val!$E149,Val!I$10,Val!$C$7,Val!$C149),"")</f>
        <v>-13.733333333333334</v>
      </c>
      <c r="J149" s="2">
        <f ca="1">IF(Flag_Send_Data=1,_xll.DBSW(Val!J149,Val!$C$1,Val!$C$2,Val!$C$3,Val!$C$4,Val!$D149,Val!$C$5,Val!$C$6,Val!$B149,Val!$E149,Val!J$10,Val!$C$7,Val!$C149),"")</f>
        <v>-13.733333333333334</v>
      </c>
      <c r="K149" s="2">
        <f ca="1">IF(Flag_Send_Data=1,_xll.DBSW(Val!K149,Val!$C$1,Val!$C$2,Val!$C$3,Val!$C$4,Val!$D149,Val!$C$5,Val!$C$6,Val!$B149,Val!$E149,Val!K$10,Val!$C$7,Val!$C149),"")</f>
        <v>-13.733333333333334</v>
      </c>
      <c r="L149" s="2">
        <f ca="1">IF(Flag_Send_Data=1,_xll.DBSW(Val!L149,Val!$C$1,Val!$C$2,Val!$C$3,Val!$C$4,Val!$D149,Val!$C$5,Val!$C$6,Val!$B149,Val!$E149,Val!L$10,Val!$C$7,Val!$C149),"")</f>
        <v>-13.733333333333334</v>
      </c>
      <c r="M149" s="2">
        <f ca="1">IF(Flag_Send_Data=1,_xll.DBSW(Val!M149,Val!$C$1,Val!$C$2,Val!$C$3,Val!$C$4,Val!$D149,Val!$C$5,Val!$C$6,Val!$B149,Val!$E149,Val!M$10,Val!$C$7,Val!$C149),"")</f>
        <v>-13.733333333333334</v>
      </c>
      <c r="N149" s="2">
        <f ca="1">IF(Flag_Send_Data=1,_xll.DBSW(Val!N149,Val!$C$1,Val!$C$2,Val!$C$3,Val!$C$4,Val!$D149,Val!$C$5,Val!$C$6,Val!$B149,Val!$E149,Val!N$10,Val!$C$7,Val!$C149),"")</f>
        <v>-13.733333333333334</v>
      </c>
      <c r="O149" s="2">
        <f ca="1">IF(Flag_Send_Data=1,_xll.DBSW(Val!O149,Val!$C$1,Val!$C$2,Val!$C$3,Val!$C$4,Val!$D149,Val!$C$5,Val!$C$6,Val!$B149,Val!$E149,Val!O$10,Val!$C$7,Val!$C149),"")</f>
        <v>-13.733333333333334</v>
      </c>
      <c r="P149" s="2">
        <f ca="1">IF(Flag_Send_Data=1,_xll.DBSW(Val!P149,Val!$C$1,Val!$C$2,Val!$C$3,Val!$C$4,Val!$D149,Val!$C$5,Val!$C$6,Val!$B149,Val!$E149,Val!P$10,Val!$C$7,Val!$C149),"")</f>
        <v>-13.733333333333334</v>
      </c>
      <c r="Q149" s="2">
        <f ca="1">IF(Flag_Send_Data=1,_xll.DBSW(Val!Q149,Val!$C$1,Val!$C$2,Val!$C$3,Val!$C$4,Val!$D149,Val!$C$5,Val!$C$6,Val!$B149,Val!$E149,Val!Q$10,Val!$C$7,Val!$C149),"")</f>
        <v>-13.733333333333334</v>
      </c>
    </row>
    <row r="150" spans="2:17" x14ac:dyDescent="0.25">
      <c r="B150" s="3" t="s">
        <v>253</v>
      </c>
      <c r="C150" t="s">
        <v>56</v>
      </c>
      <c r="D150" t="s">
        <v>199</v>
      </c>
      <c r="E150" t="s">
        <v>128</v>
      </c>
      <c r="F150" s="2">
        <f ca="1">IF(Flag_Send_Data=1,_xll.DBSW(Val!F150,Val!$C$1,Val!$C$2,Val!$C$3,Val!$C$4,Val!$D150,Val!$C$5,Val!$C$6,Val!$B150,Val!$E150,Val!F$10,Val!$C$7,Val!$C150),"")</f>
        <v>-70671.366666666669</v>
      </c>
      <c r="G150" s="2">
        <f ca="1">IF(Flag_Send_Data=1,_xll.DBSW(Val!G150,Val!$C$1,Val!$C$2,Val!$C$3,Val!$C$4,Val!$D150,Val!$C$5,Val!$C$6,Val!$B150,Val!$E150,Val!G$10,Val!$C$7,Val!$C150),"")</f>
        <v>-70671.366666666669</v>
      </c>
      <c r="H150" s="2">
        <f ca="1">IF(Flag_Send_Data=1,_xll.DBSW(Val!H150,Val!$C$1,Val!$C$2,Val!$C$3,Val!$C$4,Val!$D150,Val!$C$5,Val!$C$6,Val!$B150,Val!$E150,Val!H$10,Val!$C$7,Val!$C150),"")</f>
        <v>-70671.366666666669</v>
      </c>
      <c r="I150" s="2">
        <f ca="1">IF(Flag_Send_Data=1,_xll.DBSW(Val!I150,Val!$C$1,Val!$C$2,Val!$C$3,Val!$C$4,Val!$D150,Val!$C$5,Val!$C$6,Val!$B150,Val!$E150,Val!I$10,Val!$C$7,Val!$C150),"")</f>
        <v>-70671.366666666669</v>
      </c>
      <c r="J150" s="2">
        <f ca="1">IF(Flag_Send_Data=1,_xll.DBSW(Val!J150,Val!$C$1,Val!$C$2,Val!$C$3,Val!$C$4,Val!$D150,Val!$C$5,Val!$C$6,Val!$B150,Val!$E150,Val!J$10,Val!$C$7,Val!$C150),"")</f>
        <v>-70671.366666666669</v>
      </c>
      <c r="K150" s="2">
        <f ca="1">IF(Flag_Send_Data=1,_xll.DBSW(Val!K150,Val!$C$1,Val!$C$2,Val!$C$3,Val!$C$4,Val!$D150,Val!$C$5,Val!$C$6,Val!$B150,Val!$E150,Val!K$10,Val!$C$7,Val!$C150),"")</f>
        <v>-70671.366666666669</v>
      </c>
      <c r="L150" s="2">
        <f ca="1">IF(Flag_Send_Data=1,_xll.DBSW(Val!L150,Val!$C$1,Val!$C$2,Val!$C$3,Val!$C$4,Val!$D150,Val!$C$5,Val!$C$6,Val!$B150,Val!$E150,Val!L$10,Val!$C$7,Val!$C150),"")</f>
        <v>-70671.366666666669</v>
      </c>
      <c r="M150" s="2">
        <f ca="1">IF(Flag_Send_Data=1,_xll.DBSW(Val!M150,Val!$C$1,Val!$C$2,Val!$C$3,Val!$C$4,Val!$D150,Val!$C$5,Val!$C$6,Val!$B150,Val!$E150,Val!M$10,Val!$C$7,Val!$C150),"")</f>
        <v>-70671.366666666669</v>
      </c>
      <c r="N150" s="2">
        <f ca="1">IF(Flag_Send_Data=1,_xll.DBSW(Val!N150,Val!$C$1,Val!$C$2,Val!$C$3,Val!$C$4,Val!$D150,Val!$C$5,Val!$C$6,Val!$B150,Val!$E150,Val!N$10,Val!$C$7,Val!$C150),"")</f>
        <v>-70671.366666666669</v>
      </c>
      <c r="O150" s="2">
        <f ca="1">IF(Flag_Send_Data=1,_xll.DBSW(Val!O150,Val!$C$1,Val!$C$2,Val!$C$3,Val!$C$4,Val!$D150,Val!$C$5,Val!$C$6,Val!$B150,Val!$E150,Val!O$10,Val!$C$7,Val!$C150),"")</f>
        <v>-70671.366666666669</v>
      </c>
      <c r="P150" s="2">
        <f ca="1">IF(Flag_Send_Data=1,_xll.DBSW(Val!P150,Val!$C$1,Val!$C$2,Val!$C$3,Val!$C$4,Val!$D150,Val!$C$5,Val!$C$6,Val!$B150,Val!$E150,Val!P$10,Val!$C$7,Val!$C150),"")</f>
        <v>-70671.366666666669</v>
      </c>
      <c r="Q150" s="2">
        <f ca="1">IF(Flag_Send_Data=1,_xll.DBSW(Val!Q150,Val!$C$1,Val!$C$2,Val!$C$3,Val!$C$4,Val!$D150,Val!$C$5,Val!$C$6,Val!$B150,Val!$E150,Val!Q$10,Val!$C$7,Val!$C150),"")</f>
        <v>-70671.366666666669</v>
      </c>
    </row>
    <row r="151" spans="2:17" x14ac:dyDescent="0.25">
      <c r="B151" s="3" t="s">
        <v>253</v>
      </c>
      <c r="C151" t="s">
        <v>57</v>
      </c>
      <c r="D151" t="s">
        <v>199</v>
      </c>
      <c r="E151" t="s">
        <v>128</v>
      </c>
      <c r="F151" s="2">
        <f ca="1">IF(Flag_Send_Data=1,_xll.DBSW(Val!F151,Val!$C$1,Val!$C$2,Val!$C$3,Val!$C$4,Val!$D151,Val!$C$5,Val!$C$6,Val!$B151,Val!$E151,Val!F$10,Val!$C$7,Val!$C151),"")</f>
        <v>-1666.6666666666667</v>
      </c>
      <c r="G151" s="2">
        <f ca="1">IF(Flag_Send_Data=1,_xll.DBSW(Val!G151,Val!$C$1,Val!$C$2,Val!$C$3,Val!$C$4,Val!$D151,Val!$C$5,Val!$C$6,Val!$B151,Val!$E151,Val!G$10,Val!$C$7,Val!$C151),"")</f>
        <v>-1666.6666666666667</v>
      </c>
      <c r="H151" s="2">
        <f ca="1">IF(Flag_Send_Data=1,_xll.DBSW(Val!H151,Val!$C$1,Val!$C$2,Val!$C$3,Val!$C$4,Val!$D151,Val!$C$5,Val!$C$6,Val!$B151,Val!$E151,Val!H$10,Val!$C$7,Val!$C151),"")</f>
        <v>-1666.6666666666667</v>
      </c>
      <c r="I151" s="2">
        <f ca="1">IF(Flag_Send_Data=1,_xll.DBSW(Val!I151,Val!$C$1,Val!$C$2,Val!$C$3,Val!$C$4,Val!$D151,Val!$C$5,Val!$C$6,Val!$B151,Val!$E151,Val!I$10,Val!$C$7,Val!$C151),"")</f>
        <v>-1666.6666666666667</v>
      </c>
      <c r="J151" s="2">
        <f ca="1">IF(Flag_Send_Data=1,_xll.DBSW(Val!J151,Val!$C$1,Val!$C$2,Val!$C$3,Val!$C$4,Val!$D151,Val!$C$5,Val!$C$6,Val!$B151,Val!$E151,Val!J$10,Val!$C$7,Val!$C151),"")</f>
        <v>-1666.6666666666667</v>
      </c>
      <c r="K151" s="2">
        <f ca="1">IF(Flag_Send_Data=1,_xll.DBSW(Val!K151,Val!$C$1,Val!$C$2,Val!$C$3,Val!$C$4,Val!$D151,Val!$C$5,Val!$C$6,Val!$B151,Val!$E151,Val!K$10,Val!$C$7,Val!$C151),"")</f>
        <v>-1666.6666666666667</v>
      </c>
      <c r="L151" s="2">
        <f ca="1">IF(Flag_Send_Data=1,_xll.DBSW(Val!L151,Val!$C$1,Val!$C$2,Val!$C$3,Val!$C$4,Val!$D151,Val!$C$5,Val!$C$6,Val!$B151,Val!$E151,Val!L$10,Val!$C$7,Val!$C151),"")</f>
        <v>-1666.6666666666667</v>
      </c>
      <c r="M151" s="2">
        <f ca="1">IF(Flag_Send_Data=1,_xll.DBSW(Val!M151,Val!$C$1,Val!$C$2,Val!$C$3,Val!$C$4,Val!$D151,Val!$C$5,Val!$C$6,Val!$B151,Val!$E151,Val!M$10,Val!$C$7,Val!$C151),"")</f>
        <v>-1666.6666666666667</v>
      </c>
      <c r="N151" s="2">
        <f ca="1">IF(Flag_Send_Data=1,_xll.DBSW(Val!N151,Val!$C$1,Val!$C$2,Val!$C$3,Val!$C$4,Val!$D151,Val!$C$5,Val!$C$6,Val!$B151,Val!$E151,Val!N$10,Val!$C$7,Val!$C151),"")</f>
        <v>-1666.6666666666667</v>
      </c>
      <c r="O151" s="2">
        <f ca="1">IF(Flag_Send_Data=1,_xll.DBSW(Val!O151,Val!$C$1,Val!$C$2,Val!$C$3,Val!$C$4,Val!$D151,Val!$C$5,Val!$C$6,Val!$B151,Val!$E151,Val!O$10,Val!$C$7,Val!$C151),"")</f>
        <v>-1666.6666666666667</v>
      </c>
      <c r="P151" s="2">
        <f ca="1">IF(Flag_Send_Data=1,_xll.DBSW(Val!P151,Val!$C$1,Val!$C$2,Val!$C$3,Val!$C$4,Val!$D151,Val!$C$5,Val!$C$6,Val!$B151,Val!$E151,Val!P$10,Val!$C$7,Val!$C151),"")</f>
        <v>-1666.6666666666667</v>
      </c>
      <c r="Q151" s="2">
        <f ca="1">IF(Flag_Send_Data=1,_xll.DBSW(Val!Q151,Val!$C$1,Val!$C$2,Val!$C$3,Val!$C$4,Val!$D151,Val!$C$5,Val!$C$6,Val!$B151,Val!$E151,Val!Q$10,Val!$C$7,Val!$C151),"")</f>
        <v>-1666.6666666666667</v>
      </c>
    </row>
    <row r="152" spans="2:17" x14ac:dyDescent="0.25">
      <c r="B152" s="3" t="s">
        <v>253</v>
      </c>
      <c r="C152" t="s">
        <v>58</v>
      </c>
      <c r="D152" t="s">
        <v>199</v>
      </c>
      <c r="E152" t="s">
        <v>128</v>
      </c>
      <c r="F152" s="2">
        <f ca="1">IF(Flag_Send_Data=1,_xll.DBSW(Val!F152,Val!$C$1,Val!$C$2,Val!$C$3,Val!$C$4,Val!$D152,Val!$C$5,Val!$C$6,Val!$B152,Val!$E152,Val!F$10,Val!$C$7,Val!$C152),"")</f>
        <v>-10833.333333333334</v>
      </c>
      <c r="G152" s="2">
        <f ca="1">IF(Flag_Send_Data=1,_xll.DBSW(Val!G152,Val!$C$1,Val!$C$2,Val!$C$3,Val!$C$4,Val!$D152,Val!$C$5,Val!$C$6,Val!$B152,Val!$E152,Val!G$10,Val!$C$7,Val!$C152),"")</f>
        <v>-10833.333333333334</v>
      </c>
      <c r="H152" s="2">
        <f ca="1">IF(Flag_Send_Data=1,_xll.DBSW(Val!H152,Val!$C$1,Val!$C$2,Val!$C$3,Val!$C$4,Val!$D152,Val!$C$5,Val!$C$6,Val!$B152,Val!$E152,Val!H$10,Val!$C$7,Val!$C152),"")</f>
        <v>-10833.333333333334</v>
      </c>
      <c r="I152" s="2">
        <f ca="1">IF(Flag_Send_Data=1,_xll.DBSW(Val!I152,Val!$C$1,Val!$C$2,Val!$C$3,Val!$C$4,Val!$D152,Val!$C$5,Val!$C$6,Val!$B152,Val!$E152,Val!I$10,Val!$C$7,Val!$C152),"")</f>
        <v>-10833.333333333334</v>
      </c>
      <c r="J152" s="2">
        <f ca="1">IF(Flag_Send_Data=1,_xll.DBSW(Val!J152,Val!$C$1,Val!$C$2,Val!$C$3,Val!$C$4,Val!$D152,Val!$C$5,Val!$C$6,Val!$B152,Val!$E152,Val!J$10,Val!$C$7,Val!$C152),"")</f>
        <v>-10833.333333333334</v>
      </c>
      <c r="K152" s="2">
        <f ca="1">IF(Flag_Send_Data=1,_xll.DBSW(Val!K152,Val!$C$1,Val!$C$2,Val!$C$3,Val!$C$4,Val!$D152,Val!$C$5,Val!$C$6,Val!$B152,Val!$E152,Val!K$10,Val!$C$7,Val!$C152),"")</f>
        <v>-10833.333333333334</v>
      </c>
      <c r="L152" s="2">
        <f ca="1">IF(Flag_Send_Data=1,_xll.DBSW(Val!L152,Val!$C$1,Val!$C$2,Val!$C$3,Val!$C$4,Val!$D152,Val!$C$5,Val!$C$6,Val!$B152,Val!$E152,Val!L$10,Val!$C$7,Val!$C152),"")</f>
        <v>-10833.333333333334</v>
      </c>
      <c r="M152" s="2">
        <f ca="1">IF(Flag_Send_Data=1,_xll.DBSW(Val!M152,Val!$C$1,Val!$C$2,Val!$C$3,Val!$C$4,Val!$D152,Val!$C$5,Val!$C$6,Val!$B152,Val!$E152,Val!M$10,Val!$C$7,Val!$C152),"")</f>
        <v>-10833.333333333334</v>
      </c>
      <c r="N152" s="2">
        <f ca="1">IF(Flag_Send_Data=1,_xll.DBSW(Val!N152,Val!$C$1,Val!$C$2,Val!$C$3,Val!$C$4,Val!$D152,Val!$C$5,Val!$C$6,Val!$B152,Val!$E152,Val!N$10,Val!$C$7,Val!$C152),"")</f>
        <v>-10833.333333333334</v>
      </c>
      <c r="O152" s="2">
        <f ca="1">IF(Flag_Send_Data=1,_xll.DBSW(Val!O152,Val!$C$1,Val!$C$2,Val!$C$3,Val!$C$4,Val!$D152,Val!$C$5,Val!$C$6,Val!$B152,Val!$E152,Val!O$10,Val!$C$7,Val!$C152),"")</f>
        <v>-10833.333333333334</v>
      </c>
      <c r="P152" s="2">
        <f ca="1">IF(Flag_Send_Data=1,_xll.DBSW(Val!P152,Val!$C$1,Val!$C$2,Val!$C$3,Val!$C$4,Val!$D152,Val!$C$5,Val!$C$6,Val!$B152,Val!$E152,Val!P$10,Val!$C$7,Val!$C152),"")</f>
        <v>-10833.333333333334</v>
      </c>
      <c r="Q152" s="2">
        <f ca="1">IF(Flag_Send_Data=1,_xll.DBSW(Val!Q152,Val!$C$1,Val!$C$2,Val!$C$3,Val!$C$4,Val!$D152,Val!$C$5,Val!$C$6,Val!$B152,Val!$E152,Val!Q$10,Val!$C$7,Val!$C152),"")</f>
        <v>-10833.333333333334</v>
      </c>
    </row>
    <row r="153" spans="2:17" x14ac:dyDescent="0.25">
      <c r="B153" s="3" t="s">
        <v>253</v>
      </c>
      <c r="C153" t="s">
        <v>59</v>
      </c>
      <c r="D153" t="s">
        <v>199</v>
      </c>
      <c r="E153" t="s">
        <v>128</v>
      </c>
      <c r="F153" s="2">
        <f ca="1">IF(Flag_Send_Data=1,_xll.DBSW(Val!F153,Val!$C$1,Val!$C$2,Val!$C$3,Val!$C$4,Val!$D153,Val!$C$5,Val!$C$6,Val!$B153,Val!$E153,Val!F$10,Val!$C$7,Val!$C153),"")</f>
        <v>-83.333333333333329</v>
      </c>
      <c r="G153" s="2">
        <f ca="1">IF(Flag_Send_Data=1,_xll.DBSW(Val!G153,Val!$C$1,Val!$C$2,Val!$C$3,Val!$C$4,Val!$D153,Val!$C$5,Val!$C$6,Val!$B153,Val!$E153,Val!G$10,Val!$C$7,Val!$C153),"")</f>
        <v>-83.333333333333329</v>
      </c>
      <c r="H153" s="2">
        <f ca="1">IF(Flag_Send_Data=1,_xll.DBSW(Val!H153,Val!$C$1,Val!$C$2,Val!$C$3,Val!$C$4,Val!$D153,Val!$C$5,Val!$C$6,Val!$B153,Val!$E153,Val!H$10,Val!$C$7,Val!$C153),"")</f>
        <v>-83.333333333333329</v>
      </c>
      <c r="I153" s="2">
        <f ca="1">IF(Flag_Send_Data=1,_xll.DBSW(Val!I153,Val!$C$1,Val!$C$2,Val!$C$3,Val!$C$4,Val!$D153,Val!$C$5,Val!$C$6,Val!$B153,Val!$E153,Val!I$10,Val!$C$7,Val!$C153),"")</f>
        <v>-83.333333333333329</v>
      </c>
      <c r="J153" s="2">
        <f ca="1">IF(Flag_Send_Data=1,_xll.DBSW(Val!J153,Val!$C$1,Val!$C$2,Val!$C$3,Val!$C$4,Val!$D153,Val!$C$5,Val!$C$6,Val!$B153,Val!$E153,Val!J$10,Val!$C$7,Val!$C153),"")</f>
        <v>-83.333333333333329</v>
      </c>
      <c r="K153" s="2">
        <f ca="1">IF(Flag_Send_Data=1,_xll.DBSW(Val!K153,Val!$C$1,Val!$C$2,Val!$C$3,Val!$C$4,Val!$D153,Val!$C$5,Val!$C$6,Val!$B153,Val!$E153,Val!K$10,Val!$C$7,Val!$C153),"")</f>
        <v>-83.333333333333329</v>
      </c>
      <c r="L153" s="2">
        <f ca="1">IF(Flag_Send_Data=1,_xll.DBSW(Val!L153,Val!$C$1,Val!$C$2,Val!$C$3,Val!$C$4,Val!$D153,Val!$C$5,Val!$C$6,Val!$B153,Val!$E153,Val!L$10,Val!$C$7,Val!$C153),"")</f>
        <v>-83.333333333333329</v>
      </c>
      <c r="M153" s="2">
        <f ca="1">IF(Flag_Send_Data=1,_xll.DBSW(Val!M153,Val!$C$1,Val!$C$2,Val!$C$3,Val!$C$4,Val!$D153,Val!$C$5,Val!$C$6,Val!$B153,Val!$E153,Val!M$10,Val!$C$7,Val!$C153),"")</f>
        <v>-83.333333333333329</v>
      </c>
      <c r="N153" s="2">
        <f ca="1">IF(Flag_Send_Data=1,_xll.DBSW(Val!N153,Val!$C$1,Val!$C$2,Val!$C$3,Val!$C$4,Val!$D153,Val!$C$5,Val!$C$6,Val!$B153,Val!$E153,Val!N$10,Val!$C$7,Val!$C153),"")</f>
        <v>-83.333333333333329</v>
      </c>
      <c r="O153" s="2">
        <f ca="1">IF(Flag_Send_Data=1,_xll.DBSW(Val!O153,Val!$C$1,Val!$C$2,Val!$C$3,Val!$C$4,Val!$D153,Val!$C$5,Val!$C$6,Val!$B153,Val!$E153,Val!O$10,Val!$C$7,Val!$C153),"")</f>
        <v>-83.333333333333329</v>
      </c>
      <c r="P153" s="2">
        <f ca="1">IF(Flag_Send_Data=1,_xll.DBSW(Val!P153,Val!$C$1,Val!$C$2,Val!$C$3,Val!$C$4,Val!$D153,Val!$C$5,Val!$C$6,Val!$B153,Val!$E153,Val!P$10,Val!$C$7,Val!$C153),"")</f>
        <v>-83.333333333333329</v>
      </c>
      <c r="Q153" s="2">
        <f ca="1">IF(Flag_Send_Data=1,_xll.DBSW(Val!Q153,Val!$C$1,Val!$C$2,Val!$C$3,Val!$C$4,Val!$D153,Val!$C$5,Val!$C$6,Val!$B153,Val!$E153,Val!Q$10,Val!$C$7,Val!$C153),"")</f>
        <v>-83.333333333333329</v>
      </c>
    </row>
    <row r="154" spans="2:17" x14ac:dyDescent="0.25">
      <c r="B154" s="3" t="s">
        <v>253</v>
      </c>
      <c r="C154" t="s">
        <v>117</v>
      </c>
      <c r="D154" t="s">
        <v>199</v>
      </c>
      <c r="E154" t="s">
        <v>128</v>
      </c>
      <c r="F154" s="2">
        <f ca="1">IF(Flag_Send_Data=1,_xll.DBSW(Val!F154,Val!$C$1,Val!$C$2,Val!$C$3,Val!$C$4,Val!$D154,Val!$C$5,Val!$C$6,Val!$B154,Val!$E154,Val!F$10,Val!$C$7,Val!$C154),"")</f>
        <v>-2083.3333333333335</v>
      </c>
      <c r="G154" s="2">
        <f ca="1">IF(Flag_Send_Data=1,_xll.DBSW(Val!G154,Val!$C$1,Val!$C$2,Val!$C$3,Val!$C$4,Val!$D154,Val!$C$5,Val!$C$6,Val!$B154,Val!$E154,Val!G$10,Val!$C$7,Val!$C154),"")</f>
        <v>-2083.3333333333335</v>
      </c>
      <c r="H154" s="2">
        <f ca="1">IF(Flag_Send_Data=1,_xll.DBSW(Val!H154,Val!$C$1,Val!$C$2,Val!$C$3,Val!$C$4,Val!$D154,Val!$C$5,Val!$C$6,Val!$B154,Val!$E154,Val!H$10,Val!$C$7,Val!$C154),"")</f>
        <v>-2083.3333333333335</v>
      </c>
      <c r="I154" s="2">
        <f ca="1">IF(Flag_Send_Data=1,_xll.DBSW(Val!I154,Val!$C$1,Val!$C$2,Val!$C$3,Val!$C$4,Val!$D154,Val!$C$5,Val!$C$6,Val!$B154,Val!$E154,Val!I$10,Val!$C$7,Val!$C154),"")</f>
        <v>-2083.3333333333335</v>
      </c>
      <c r="J154" s="2">
        <f ca="1">IF(Flag_Send_Data=1,_xll.DBSW(Val!J154,Val!$C$1,Val!$C$2,Val!$C$3,Val!$C$4,Val!$D154,Val!$C$5,Val!$C$6,Val!$B154,Val!$E154,Val!J$10,Val!$C$7,Val!$C154),"")</f>
        <v>-2083.3333333333335</v>
      </c>
      <c r="K154" s="2">
        <f ca="1">IF(Flag_Send_Data=1,_xll.DBSW(Val!K154,Val!$C$1,Val!$C$2,Val!$C$3,Val!$C$4,Val!$D154,Val!$C$5,Val!$C$6,Val!$B154,Val!$E154,Val!K$10,Val!$C$7,Val!$C154),"")</f>
        <v>-2083.3333333333335</v>
      </c>
      <c r="L154" s="2">
        <f ca="1">IF(Flag_Send_Data=1,_xll.DBSW(Val!L154,Val!$C$1,Val!$C$2,Val!$C$3,Val!$C$4,Val!$D154,Val!$C$5,Val!$C$6,Val!$B154,Val!$E154,Val!L$10,Val!$C$7,Val!$C154),"")</f>
        <v>-2083.3333333333335</v>
      </c>
      <c r="M154" s="2">
        <f ca="1">IF(Flag_Send_Data=1,_xll.DBSW(Val!M154,Val!$C$1,Val!$C$2,Val!$C$3,Val!$C$4,Val!$D154,Val!$C$5,Val!$C$6,Val!$B154,Val!$E154,Val!M$10,Val!$C$7,Val!$C154),"")</f>
        <v>-2083.3333333333335</v>
      </c>
      <c r="N154" s="2">
        <f ca="1">IF(Flag_Send_Data=1,_xll.DBSW(Val!N154,Val!$C$1,Val!$C$2,Val!$C$3,Val!$C$4,Val!$D154,Val!$C$5,Val!$C$6,Val!$B154,Val!$E154,Val!N$10,Val!$C$7,Val!$C154),"")</f>
        <v>-2083.3333333333335</v>
      </c>
      <c r="O154" s="2">
        <f ca="1">IF(Flag_Send_Data=1,_xll.DBSW(Val!O154,Val!$C$1,Val!$C$2,Val!$C$3,Val!$C$4,Val!$D154,Val!$C$5,Val!$C$6,Val!$B154,Val!$E154,Val!O$10,Val!$C$7,Val!$C154),"")</f>
        <v>-2083.3333333333335</v>
      </c>
      <c r="P154" s="2">
        <f ca="1">IF(Flag_Send_Data=1,_xll.DBSW(Val!P154,Val!$C$1,Val!$C$2,Val!$C$3,Val!$C$4,Val!$D154,Val!$C$5,Val!$C$6,Val!$B154,Val!$E154,Val!P$10,Val!$C$7,Val!$C154),"")</f>
        <v>-2083.3333333333335</v>
      </c>
      <c r="Q154" s="2">
        <f ca="1">IF(Flag_Send_Data=1,_xll.DBSW(Val!Q154,Val!$C$1,Val!$C$2,Val!$C$3,Val!$C$4,Val!$D154,Val!$C$5,Val!$C$6,Val!$B154,Val!$E154,Val!Q$10,Val!$C$7,Val!$C154),"")</f>
        <v>-2083.3333333333335</v>
      </c>
    </row>
    <row r="155" spans="2:17" x14ac:dyDescent="0.25">
      <c r="B155" s="3" t="s">
        <v>253</v>
      </c>
      <c r="C155" t="s">
        <v>118</v>
      </c>
      <c r="D155" t="s">
        <v>199</v>
      </c>
      <c r="E155" t="s">
        <v>14</v>
      </c>
      <c r="F155" s="2">
        <f ca="1">IF(Flag_Send_Data=1,_xll.DBSW(Val!F155,Val!$C$1,Val!$C$2,Val!$C$3,Val!$C$4,Val!$D155,Val!$C$5,Val!$C$6,Val!$B155,Val!$E155,Val!F$10,Val!$C$7,Val!$C155),"")</f>
        <v>65877.767500000002</v>
      </c>
      <c r="G155" s="2">
        <f ca="1">IF(Flag_Send_Data=1,_xll.DBSW(Val!G155,Val!$C$1,Val!$C$2,Val!$C$3,Val!$C$4,Val!$D155,Val!$C$5,Val!$C$6,Val!$B155,Val!$E155,Val!G$10,Val!$C$7,Val!$C155),"")</f>
        <v>65877.767500000002</v>
      </c>
      <c r="H155" s="2">
        <f ca="1">IF(Flag_Send_Data=1,_xll.DBSW(Val!H155,Val!$C$1,Val!$C$2,Val!$C$3,Val!$C$4,Val!$D155,Val!$C$5,Val!$C$6,Val!$B155,Val!$E155,Val!H$10,Val!$C$7,Val!$C155),"")</f>
        <v>65877.767500000002</v>
      </c>
      <c r="I155" s="2">
        <f ca="1">IF(Flag_Send_Data=1,_xll.DBSW(Val!I155,Val!$C$1,Val!$C$2,Val!$C$3,Val!$C$4,Val!$D155,Val!$C$5,Val!$C$6,Val!$B155,Val!$E155,Val!I$10,Val!$C$7,Val!$C155),"")</f>
        <v>65877.767500000002</v>
      </c>
      <c r="J155" s="2">
        <f ca="1">IF(Flag_Send_Data=1,_xll.DBSW(Val!J155,Val!$C$1,Val!$C$2,Val!$C$3,Val!$C$4,Val!$D155,Val!$C$5,Val!$C$6,Val!$B155,Val!$E155,Val!J$10,Val!$C$7,Val!$C155),"")</f>
        <v>65877.767500000002</v>
      </c>
      <c r="K155" s="2">
        <f ca="1">IF(Flag_Send_Data=1,_xll.DBSW(Val!K155,Val!$C$1,Val!$C$2,Val!$C$3,Val!$C$4,Val!$D155,Val!$C$5,Val!$C$6,Val!$B155,Val!$E155,Val!K$10,Val!$C$7,Val!$C155),"")</f>
        <v>65877.767500000002</v>
      </c>
      <c r="L155" s="2">
        <f ca="1">IF(Flag_Send_Data=1,_xll.DBSW(Val!L155,Val!$C$1,Val!$C$2,Val!$C$3,Val!$C$4,Val!$D155,Val!$C$5,Val!$C$6,Val!$B155,Val!$E155,Val!L$10,Val!$C$7,Val!$C155),"")</f>
        <v>65877.767500000002</v>
      </c>
      <c r="M155" s="2">
        <f ca="1">IF(Flag_Send_Data=1,_xll.DBSW(Val!M155,Val!$C$1,Val!$C$2,Val!$C$3,Val!$C$4,Val!$D155,Val!$C$5,Val!$C$6,Val!$B155,Val!$E155,Val!M$10,Val!$C$7,Val!$C155),"")</f>
        <v>65877.767500000002</v>
      </c>
      <c r="N155" s="2">
        <f ca="1">IF(Flag_Send_Data=1,_xll.DBSW(Val!N155,Val!$C$1,Val!$C$2,Val!$C$3,Val!$C$4,Val!$D155,Val!$C$5,Val!$C$6,Val!$B155,Val!$E155,Val!N$10,Val!$C$7,Val!$C155),"")</f>
        <v>65877.767500000002</v>
      </c>
      <c r="O155" s="2">
        <f ca="1">IF(Flag_Send_Data=1,_xll.DBSW(Val!O155,Val!$C$1,Val!$C$2,Val!$C$3,Val!$C$4,Val!$D155,Val!$C$5,Val!$C$6,Val!$B155,Val!$E155,Val!O$10,Val!$C$7,Val!$C155),"")</f>
        <v>65877.767500000002</v>
      </c>
      <c r="P155" s="2">
        <f ca="1">IF(Flag_Send_Data=1,_xll.DBSW(Val!P155,Val!$C$1,Val!$C$2,Val!$C$3,Val!$C$4,Val!$D155,Val!$C$5,Val!$C$6,Val!$B155,Val!$E155,Val!P$10,Val!$C$7,Val!$C155),"")</f>
        <v>65877.767500000002</v>
      </c>
      <c r="Q155" s="2">
        <f ca="1">IF(Flag_Send_Data=1,_xll.DBSW(Val!Q155,Val!$C$1,Val!$C$2,Val!$C$3,Val!$C$4,Val!$D155,Val!$C$5,Val!$C$6,Val!$B155,Val!$E155,Val!Q$10,Val!$C$7,Val!$C155),"")</f>
        <v>65877.767500000002</v>
      </c>
    </row>
    <row r="156" spans="2:17" x14ac:dyDescent="0.25">
      <c r="B156" s="3" t="s">
        <v>254</v>
      </c>
      <c r="C156" t="s">
        <v>56</v>
      </c>
      <c r="D156" t="s">
        <v>199</v>
      </c>
      <c r="E156" t="s">
        <v>128</v>
      </c>
      <c r="F156" s="2">
        <f ca="1">IF(Flag_Send_Data=1,_xll.DBSW(Val!F156,Val!$C$1,Val!$C$2,Val!$C$3,Val!$C$4,Val!$D156,Val!$C$5,Val!$C$6,Val!$B156,Val!$E156,Val!F$10,Val!$C$7,Val!$C156),"")</f>
        <v>-73046.369166666671</v>
      </c>
      <c r="G156" s="2">
        <f ca="1">IF(Flag_Send_Data=1,_xll.DBSW(Val!G156,Val!$C$1,Val!$C$2,Val!$C$3,Val!$C$4,Val!$D156,Val!$C$5,Val!$C$6,Val!$B156,Val!$E156,Val!G$10,Val!$C$7,Val!$C156),"")</f>
        <v>-73046.369166666671</v>
      </c>
      <c r="H156" s="2">
        <f ca="1">IF(Flag_Send_Data=1,_xll.DBSW(Val!H156,Val!$C$1,Val!$C$2,Val!$C$3,Val!$C$4,Val!$D156,Val!$C$5,Val!$C$6,Val!$B156,Val!$E156,Val!H$10,Val!$C$7,Val!$C156),"")</f>
        <v>-73046.369166666671</v>
      </c>
      <c r="I156" s="2">
        <f ca="1">IF(Flag_Send_Data=1,_xll.DBSW(Val!I156,Val!$C$1,Val!$C$2,Val!$C$3,Val!$C$4,Val!$D156,Val!$C$5,Val!$C$6,Val!$B156,Val!$E156,Val!I$10,Val!$C$7,Val!$C156),"")</f>
        <v>-73046.369166666671</v>
      </c>
      <c r="J156" s="2">
        <f ca="1">IF(Flag_Send_Data=1,_xll.DBSW(Val!J156,Val!$C$1,Val!$C$2,Val!$C$3,Val!$C$4,Val!$D156,Val!$C$5,Val!$C$6,Val!$B156,Val!$E156,Val!J$10,Val!$C$7,Val!$C156),"")</f>
        <v>-73046.369166666671</v>
      </c>
      <c r="K156" s="2">
        <f ca="1">IF(Flag_Send_Data=1,_xll.DBSW(Val!K156,Val!$C$1,Val!$C$2,Val!$C$3,Val!$C$4,Val!$D156,Val!$C$5,Val!$C$6,Val!$B156,Val!$E156,Val!K$10,Val!$C$7,Val!$C156),"")</f>
        <v>-73046.369166666671</v>
      </c>
      <c r="L156" s="2">
        <f ca="1">IF(Flag_Send_Data=1,_xll.DBSW(Val!L156,Val!$C$1,Val!$C$2,Val!$C$3,Val!$C$4,Val!$D156,Val!$C$5,Val!$C$6,Val!$B156,Val!$E156,Val!L$10,Val!$C$7,Val!$C156),"")</f>
        <v>-73046.369166666671</v>
      </c>
      <c r="M156" s="2">
        <f ca="1">IF(Flag_Send_Data=1,_xll.DBSW(Val!M156,Val!$C$1,Val!$C$2,Val!$C$3,Val!$C$4,Val!$D156,Val!$C$5,Val!$C$6,Val!$B156,Val!$E156,Val!M$10,Val!$C$7,Val!$C156),"")</f>
        <v>-73046.369166666671</v>
      </c>
      <c r="N156" s="2">
        <f ca="1">IF(Flag_Send_Data=1,_xll.DBSW(Val!N156,Val!$C$1,Val!$C$2,Val!$C$3,Val!$C$4,Val!$D156,Val!$C$5,Val!$C$6,Val!$B156,Val!$E156,Val!N$10,Val!$C$7,Val!$C156),"")</f>
        <v>-73046.369166666671</v>
      </c>
      <c r="O156" s="2">
        <f ca="1">IF(Flag_Send_Data=1,_xll.DBSW(Val!O156,Val!$C$1,Val!$C$2,Val!$C$3,Val!$C$4,Val!$D156,Val!$C$5,Val!$C$6,Val!$B156,Val!$E156,Val!O$10,Val!$C$7,Val!$C156),"")</f>
        <v>-73046.369166666671</v>
      </c>
      <c r="P156" s="2">
        <f ca="1">IF(Flag_Send_Data=1,_xll.DBSW(Val!P156,Val!$C$1,Val!$C$2,Val!$C$3,Val!$C$4,Val!$D156,Val!$C$5,Val!$C$6,Val!$B156,Val!$E156,Val!P$10,Val!$C$7,Val!$C156),"")</f>
        <v>-73046.369166666671</v>
      </c>
      <c r="Q156" s="2">
        <f ca="1">IF(Flag_Send_Data=1,_xll.DBSW(Val!Q156,Val!$C$1,Val!$C$2,Val!$C$3,Val!$C$4,Val!$D156,Val!$C$5,Val!$C$6,Val!$B156,Val!$E156,Val!Q$10,Val!$C$7,Val!$C156),"")</f>
        <v>-73046.369166666671</v>
      </c>
    </row>
    <row r="157" spans="2:17" x14ac:dyDescent="0.25">
      <c r="B157" s="3" t="s">
        <v>254</v>
      </c>
      <c r="C157" t="s">
        <v>57</v>
      </c>
      <c r="D157" t="s">
        <v>199</v>
      </c>
      <c r="E157" t="s">
        <v>128</v>
      </c>
      <c r="F157" s="2">
        <f ca="1">IF(Flag_Send_Data=1,_xll.DBSW(Val!F157,Val!$C$1,Val!$C$2,Val!$C$3,Val!$C$4,Val!$D157,Val!$C$5,Val!$C$6,Val!$B157,Val!$E157,Val!F$10,Val!$C$7,Val!$C157),"")</f>
        <v>-666.66666666666663</v>
      </c>
      <c r="G157" s="2">
        <f ca="1">IF(Flag_Send_Data=1,_xll.DBSW(Val!G157,Val!$C$1,Val!$C$2,Val!$C$3,Val!$C$4,Val!$D157,Val!$C$5,Val!$C$6,Val!$B157,Val!$E157,Val!G$10,Val!$C$7,Val!$C157),"")</f>
        <v>-666.66666666666663</v>
      </c>
      <c r="H157" s="2">
        <f ca="1">IF(Flag_Send_Data=1,_xll.DBSW(Val!H157,Val!$C$1,Val!$C$2,Val!$C$3,Val!$C$4,Val!$D157,Val!$C$5,Val!$C$6,Val!$B157,Val!$E157,Val!H$10,Val!$C$7,Val!$C157),"")</f>
        <v>-666.66666666666663</v>
      </c>
      <c r="I157" s="2">
        <f ca="1">IF(Flag_Send_Data=1,_xll.DBSW(Val!I157,Val!$C$1,Val!$C$2,Val!$C$3,Val!$C$4,Val!$D157,Val!$C$5,Val!$C$6,Val!$B157,Val!$E157,Val!I$10,Val!$C$7,Val!$C157),"")</f>
        <v>-666.66666666666663</v>
      </c>
      <c r="J157" s="2">
        <f ca="1">IF(Flag_Send_Data=1,_xll.DBSW(Val!J157,Val!$C$1,Val!$C$2,Val!$C$3,Val!$C$4,Val!$D157,Val!$C$5,Val!$C$6,Val!$B157,Val!$E157,Val!J$10,Val!$C$7,Val!$C157),"")</f>
        <v>-666.66666666666663</v>
      </c>
      <c r="K157" s="2">
        <f ca="1">IF(Flag_Send_Data=1,_xll.DBSW(Val!K157,Val!$C$1,Val!$C$2,Val!$C$3,Val!$C$4,Val!$D157,Val!$C$5,Val!$C$6,Val!$B157,Val!$E157,Val!K$10,Val!$C$7,Val!$C157),"")</f>
        <v>-666.66666666666663</v>
      </c>
      <c r="L157" s="2">
        <f ca="1">IF(Flag_Send_Data=1,_xll.DBSW(Val!L157,Val!$C$1,Val!$C$2,Val!$C$3,Val!$C$4,Val!$D157,Val!$C$5,Val!$C$6,Val!$B157,Val!$E157,Val!L$10,Val!$C$7,Val!$C157),"")</f>
        <v>-666.66666666666663</v>
      </c>
      <c r="M157" s="2">
        <f ca="1">IF(Flag_Send_Data=1,_xll.DBSW(Val!M157,Val!$C$1,Val!$C$2,Val!$C$3,Val!$C$4,Val!$D157,Val!$C$5,Val!$C$6,Val!$B157,Val!$E157,Val!M$10,Val!$C$7,Val!$C157),"")</f>
        <v>-666.66666666666663</v>
      </c>
      <c r="N157" s="2">
        <f ca="1">IF(Flag_Send_Data=1,_xll.DBSW(Val!N157,Val!$C$1,Val!$C$2,Val!$C$3,Val!$C$4,Val!$D157,Val!$C$5,Val!$C$6,Val!$B157,Val!$E157,Val!N$10,Val!$C$7,Val!$C157),"")</f>
        <v>-666.66666666666663</v>
      </c>
      <c r="O157" s="2">
        <f ca="1">IF(Flag_Send_Data=1,_xll.DBSW(Val!O157,Val!$C$1,Val!$C$2,Val!$C$3,Val!$C$4,Val!$D157,Val!$C$5,Val!$C$6,Val!$B157,Val!$E157,Val!O$10,Val!$C$7,Val!$C157),"")</f>
        <v>-666.66666666666663</v>
      </c>
      <c r="P157" s="2">
        <f ca="1">IF(Flag_Send_Data=1,_xll.DBSW(Val!P157,Val!$C$1,Val!$C$2,Val!$C$3,Val!$C$4,Val!$D157,Val!$C$5,Val!$C$6,Val!$B157,Val!$E157,Val!P$10,Val!$C$7,Val!$C157),"")</f>
        <v>-666.66666666666663</v>
      </c>
      <c r="Q157" s="2">
        <f ca="1">IF(Flag_Send_Data=1,_xll.DBSW(Val!Q157,Val!$C$1,Val!$C$2,Val!$C$3,Val!$C$4,Val!$D157,Val!$C$5,Val!$C$6,Val!$B157,Val!$E157,Val!Q$10,Val!$C$7,Val!$C157),"")</f>
        <v>-666.66666666666663</v>
      </c>
    </row>
    <row r="158" spans="2:17" x14ac:dyDescent="0.25">
      <c r="B158" s="3" t="s">
        <v>254</v>
      </c>
      <c r="C158" t="s">
        <v>58</v>
      </c>
      <c r="D158" t="s">
        <v>199</v>
      </c>
      <c r="E158" t="s">
        <v>128</v>
      </c>
      <c r="F158" s="2">
        <f ca="1">IF(Flag_Send_Data=1,_xll.DBSW(Val!F158,Val!$C$1,Val!$C$2,Val!$C$3,Val!$C$4,Val!$D158,Val!$C$5,Val!$C$6,Val!$B158,Val!$E158,Val!F$10,Val!$C$7,Val!$C158),"")</f>
        <v>-18333.333333333332</v>
      </c>
      <c r="G158" s="2">
        <f ca="1">IF(Flag_Send_Data=1,_xll.DBSW(Val!G158,Val!$C$1,Val!$C$2,Val!$C$3,Val!$C$4,Val!$D158,Val!$C$5,Val!$C$6,Val!$B158,Val!$E158,Val!G$10,Val!$C$7,Val!$C158),"")</f>
        <v>-18333.333333333332</v>
      </c>
      <c r="H158" s="2">
        <f ca="1">IF(Flag_Send_Data=1,_xll.DBSW(Val!H158,Val!$C$1,Val!$C$2,Val!$C$3,Val!$C$4,Val!$D158,Val!$C$5,Val!$C$6,Val!$B158,Val!$E158,Val!H$10,Val!$C$7,Val!$C158),"")</f>
        <v>-18333.333333333332</v>
      </c>
      <c r="I158" s="2">
        <f ca="1">IF(Flag_Send_Data=1,_xll.DBSW(Val!I158,Val!$C$1,Val!$C$2,Val!$C$3,Val!$C$4,Val!$D158,Val!$C$5,Val!$C$6,Val!$B158,Val!$E158,Val!I$10,Val!$C$7,Val!$C158),"")</f>
        <v>-18333.333333333332</v>
      </c>
      <c r="J158" s="2">
        <f ca="1">IF(Flag_Send_Data=1,_xll.DBSW(Val!J158,Val!$C$1,Val!$C$2,Val!$C$3,Val!$C$4,Val!$D158,Val!$C$5,Val!$C$6,Val!$B158,Val!$E158,Val!J$10,Val!$C$7,Val!$C158),"")</f>
        <v>-18333.333333333332</v>
      </c>
      <c r="K158" s="2">
        <f ca="1">IF(Flag_Send_Data=1,_xll.DBSW(Val!K158,Val!$C$1,Val!$C$2,Val!$C$3,Val!$C$4,Val!$D158,Val!$C$5,Val!$C$6,Val!$B158,Val!$E158,Val!K$10,Val!$C$7,Val!$C158),"")</f>
        <v>-18333.333333333332</v>
      </c>
      <c r="L158" s="2">
        <f ca="1">IF(Flag_Send_Data=1,_xll.DBSW(Val!L158,Val!$C$1,Val!$C$2,Val!$C$3,Val!$C$4,Val!$D158,Val!$C$5,Val!$C$6,Val!$B158,Val!$E158,Val!L$10,Val!$C$7,Val!$C158),"")</f>
        <v>-18333.333333333332</v>
      </c>
      <c r="M158" s="2">
        <f ca="1">IF(Flag_Send_Data=1,_xll.DBSW(Val!M158,Val!$C$1,Val!$C$2,Val!$C$3,Val!$C$4,Val!$D158,Val!$C$5,Val!$C$6,Val!$B158,Val!$E158,Val!M$10,Val!$C$7,Val!$C158),"")</f>
        <v>-18333.333333333332</v>
      </c>
      <c r="N158" s="2">
        <f ca="1">IF(Flag_Send_Data=1,_xll.DBSW(Val!N158,Val!$C$1,Val!$C$2,Val!$C$3,Val!$C$4,Val!$D158,Val!$C$5,Val!$C$6,Val!$B158,Val!$E158,Val!N$10,Val!$C$7,Val!$C158),"")</f>
        <v>-18333.333333333332</v>
      </c>
      <c r="O158" s="2">
        <f ca="1">IF(Flag_Send_Data=1,_xll.DBSW(Val!O158,Val!$C$1,Val!$C$2,Val!$C$3,Val!$C$4,Val!$D158,Val!$C$5,Val!$C$6,Val!$B158,Val!$E158,Val!O$10,Val!$C$7,Val!$C158),"")</f>
        <v>-18333.333333333332</v>
      </c>
      <c r="P158" s="2">
        <f ca="1">IF(Flag_Send_Data=1,_xll.DBSW(Val!P158,Val!$C$1,Val!$C$2,Val!$C$3,Val!$C$4,Val!$D158,Val!$C$5,Val!$C$6,Val!$B158,Val!$E158,Val!P$10,Val!$C$7,Val!$C158),"")</f>
        <v>-18333.333333333332</v>
      </c>
      <c r="Q158" s="2">
        <f ca="1">IF(Flag_Send_Data=1,_xll.DBSW(Val!Q158,Val!$C$1,Val!$C$2,Val!$C$3,Val!$C$4,Val!$D158,Val!$C$5,Val!$C$6,Val!$B158,Val!$E158,Val!Q$10,Val!$C$7,Val!$C158),"")</f>
        <v>-18333.333333333332</v>
      </c>
    </row>
    <row r="159" spans="2:17" x14ac:dyDescent="0.25">
      <c r="B159" s="3" t="s">
        <v>254</v>
      </c>
      <c r="C159" t="s">
        <v>59</v>
      </c>
      <c r="D159" t="s">
        <v>199</v>
      </c>
      <c r="E159" t="s">
        <v>128</v>
      </c>
      <c r="F159" s="2">
        <f ca="1">IF(Flag_Send_Data=1,_xll.DBSW(Val!F159,Val!$C$1,Val!$C$2,Val!$C$3,Val!$C$4,Val!$D159,Val!$C$5,Val!$C$6,Val!$B159,Val!$E159,Val!F$10,Val!$C$7,Val!$C159),"")</f>
        <v>-83.333333333333329</v>
      </c>
      <c r="G159" s="2">
        <f ca="1">IF(Flag_Send_Data=1,_xll.DBSW(Val!G159,Val!$C$1,Val!$C$2,Val!$C$3,Val!$C$4,Val!$D159,Val!$C$5,Val!$C$6,Val!$B159,Val!$E159,Val!G$10,Val!$C$7,Val!$C159),"")</f>
        <v>-83.333333333333329</v>
      </c>
      <c r="H159" s="2">
        <f ca="1">IF(Flag_Send_Data=1,_xll.DBSW(Val!H159,Val!$C$1,Val!$C$2,Val!$C$3,Val!$C$4,Val!$D159,Val!$C$5,Val!$C$6,Val!$B159,Val!$E159,Val!H$10,Val!$C$7,Val!$C159),"")</f>
        <v>-83.333333333333329</v>
      </c>
      <c r="I159" s="2">
        <f ca="1">IF(Flag_Send_Data=1,_xll.DBSW(Val!I159,Val!$C$1,Val!$C$2,Val!$C$3,Val!$C$4,Val!$D159,Val!$C$5,Val!$C$6,Val!$B159,Val!$E159,Val!I$10,Val!$C$7,Val!$C159),"")</f>
        <v>-83.333333333333329</v>
      </c>
      <c r="J159" s="2">
        <f ca="1">IF(Flag_Send_Data=1,_xll.DBSW(Val!J159,Val!$C$1,Val!$C$2,Val!$C$3,Val!$C$4,Val!$D159,Val!$C$5,Val!$C$6,Val!$B159,Val!$E159,Val!J$10,Val!$C$7,Val!$C159),"")</f>
        <v>-83.333333333333329</v>
      </c>
      <c r="K159" s="2">
        <f ca="1">IF(Flag_Send_Data=1,_xll.DBSW(Val!K159,Val!$C$1,Val!$C$2,Val!$C$3,Val!$C$4,Val!$D159,Val!$C$5,Val!$C$6,Val!$B159,Val!$E159,Val!K$10,Val!$C$7,Val!$C159),"")</f>
        <v>-83.333333333333329</v>
      </c>
      <c r="L159" s="2">
        <f ca="1">IF(Flag_Send_Data=1,_xll.DBSW(Val!L159,Val!$C$1,Val!$C$2,Val!$C$3,Val!$C$4,Val!$D159,Val!$C$5,Val!$C$6,Val!$B159,Val!$E159,Val!L$10,Val!$C$7,Val!$C159),"")</f>
        <v>-83.333333333333329</v>
      </c>
      <c r="M159" s="2">
        <f ca="1">IF(Flag_Send_Data=1,_xll.DBSW(Val!M159,Val!$C$1,Val!$C$2,Val!$C$3,Val!$C$4,Val!$D159,Val!$C$5,Val!$C$6,Val!$B159,Val!$E159,Val!M$10,Val!$C$7,Val!$C159),"")</f>
        <v>-83.333333333333329</v>
      </c>
      <c r="N159" s="2">
        <f ca="1">IF(Flag_Send_Data=1,_xll.DBSW(Val!N159,Val!$C$1,Val!$C$2,Val!$C$3,Val!$C$4,Val!$D159,Val!$C$5,Val!$C$6,Val!$B159,Val!$E159,Val!N$10,Val!$C$7,Val!$C159),"")</f>
        <v>-83.333333333333329</v>
      </c>
      <c r="O159" s="2">
        <f ca="1">IF(Flag_Send_Data=1,_xll.DBSW(Val!O159,Val!$C$1,Val!$C$2,Val!$C$3,Val!$C$4,Val!$D159,Val!$C$5,Val!$C$6,Val!$B159,Val!$E159,Val!O$10,Val!$C$7,Val!$C159),"")</f>
        <v>-83.333333333333329</v>
      </c>
      <c r="P159" s="2">
        <f ca="1">IF(Flag_Send_Data=1,_xll.DBSW(Val!P159,Val!$C$1,Val!$C$2,Val!$C$3,Val!$C$4,Val!$D159,Val!$C$5,Val!$C$6,Val!$B159,Val!$E159,Val!P$10,Val!$C$7,Val!$C159),"")</f>
        <v>-83.333333333333329</v>
      </c>
      <c r="Q159" s="2">
        <f ca="1">IF(Flag_Send_Data=1,_xll.DBSW(Val!Q159,Val!$C$1,Val!$C$2,Val!$C$3,Val!$C$4,Val!$D159,Val!$C$5,Val!$C$6,Val!$B159,Val!$E159,Val!Q$10,Val!$C$7,Val!$C159),"")</f>
        <v>-83.333333333333329</v>
      </c>
    </row>
    <row r="160" spans="2:17" x14ac:dyDescent="0.25">
      <c r="B160" s="3" t="s">
        <v>254</v>
      </c>
      <c r="C160" t="s">
        <v>118</v>
      </c>
      <c r="D160" t="s">
        <v>199</v>
      </c>
      <c r="E160" t="s">
        <v>14</v>
      </c>
      <c r="F160" s="2">
        <f ca="1">IF(Flag_Send_Data=1,_xll.DBSW(Val!F160,Val!$C$1,Val!$C$2,Val!$C$3,Val!$C$4,Val!$D160,Val!$C$5,Val!$C$6,Val!$B160,Val!$E160,Val!F$10,Val!$C$7,Val!$C160),"")</f>
        <v>28164.63</v>
      </c>
      <c r="G160" s="2">
        <f ca="1">IF(Flag_Send_Data=1,_xll.DBSW(Val!G160,Val!$C$1,Val!$C$2,Val!$C$3,Val!$C$4,Val!$D160,Val!$C$5,Val!$C$6,Val!$B160,Val!$E160,Val!G$10,Val!$C$7,Val!$C160),"")</f>
        <v>28164.63</v>
      </c>
      <c r="H160" s="2">
        <f ca="1">IF(Flag_Send_Data=1,_xll.DBSW(Val!H160,Val!$C$1,Val!$C$2,Val!$C$3,Val!$C$4,Val!$D160,Val!$C$5,Val!$C$6,Val!$B160,Val!$E160,Val!H$10,Val!$C$7,Val!$C160),"")</f>
        <v>28164.63</v>
      </c>
      <c r="I160" s="2">
        <f ca="1">IF(Flag_Send_Data=1,_xll.DBSW(Val!I160,Val!$C$1,Val!$C$2,Val!$C$3,Val!$C$4,Val!$D160,Val!$C$5,Val!$C$6,Val!$B160,Val!$E160,Val!I$10,Val!$C$7,Val!$C160),"")</f>
        <v>28164.63</v>
      </c>
      <c r="J160" s="2">
        <f ca="1">IF(Flag_Send_Data=1,_xll.DBSW(Val!J160,Val!$C$1,Val!$C$2,Val!$C$3,Val!$C$4,Val!$D160,Val!$C$5,Val!$C$6,Val!$B160,Val!$E160,Val!J$10,Val!$C$7,Val!$C160),"")</f>
        <v>28164.63</v>
      </c>
      <c r="K160" s="2">
        <f ca="1">IF(Flag_Send_Data=1,_xll.DBSW(Val!K160,Val!$C$1,Val!$C$2,Val!$C$3,Val!$C$4,Val!$D160,Val!$C$5,Val!$C$6,Val!$B160,Val!$E160,Val!K$10,Val!$C$7,Val!$C160),"")</f>
        <v>28164.63</v>
      </c>
      <c r="L160" s="2">
        <f ca="1">IF(Flag_Send_Data=1,_xll.DBSW(Val!L160,Val!$C$1,Val!$C$2,Val!$C$3,Val!$C$4,Val!$D160,Val!$C$5,Val!$C$6,Val!$B160,Val!$E160,Val!L$10,Val!$C$7,Val!$C160),"")</f>
        <v>28164.63</v>
      </c>
      <c r="M160" s="2">
        <f ca="1">IF(Flag_Send_Data=1,_xll.DBSW(Val!M160,Val!$C$1,Val!$C$2,Val!$C$3,Val!$C$4,Val!$D160,Val!$C$5,Val!$C$6,Val!$B160,Val!$E160,Val!M$10,Val!$C$7,Val!$C160),"")</f>
        <v>28164.63</v>
      </c>
      <c r="N160" s="2">
        <f ca="1">IF(Flag_Send_Data=1,_xll.DBSW(Val!N160,Val!$C$1,Val!$C$2,Val!$C$3,Val!$C$4,Val!$D160,Val!$C$5,Val!$C$6,Val!$B160,Val!$E160,Val!N$10,Val!$C$7,Val!$C160),"")</f>
        <v>28164.63</v>
      </c>
      <c r="O160" s="2">
        <f ca="1">IF(Flag_Send_Data=1,_xll.DBSW(Val!O160,Val!$C$1,Val!$C$2,Val!$C$3,Val!$C$4,Val!$D160,Val!$C$5,Val!$C$6,Val!$B160,Val!$E160,Val!O$10,Val!$C$7,Val!$C160),"")</f>
        <v>28164.63</v>
      </c>
      <c r="P160" s="2">
        <f ca="1">IF(Flag_Send_Data=1,_xll.DBSW(Val!P160,Val!$C$1,Val!$C$2,Val!$C$3,Val!$C$4,Val!$D160,Val!$C$5,Val!$C$6,Val!$B160,Val!$E160,Val!P$10,Val!$C$7,Val!$C160),"")</f>
        <v>28164.63</v>
      </c>
      <c r="Q160" s="2">
        <f ca="1">IF(Flag_Send_Data=1,_xll.DBSW(Val!Q160,Val!$C$1,Val!$C$2,Val!$C$3,Val!$C$4,Val!$D160,Val!$C$5,Val!$C$6,Val!$B160,Val!$E160,Val!Q$10,Val!$C$7,Val!$C160),"")</f>
        <v>28164.63</v>
      </c>
    </row>
    <row r="161" spans="2:17" x14ac:dyDescent="0.25">
      <c r="B161" s="3" t="s">
        <v>255</v>
      </c>
      <c r="C161" t="s">
        <v>56</v>
      </c>
      <c r="D161" t="s">
        <v>199</v>
      </c>
      <c r="E161" t="s">
        <v>128</v>
      </c>
      <c r="F161" s="2">
        <f ca="1">IF(Flag_Send_Data=1,_xll.DBSW(Val!F161,Val!$C$1,Val!$C$2,Val!$C$3,Val!$C$4,Val!$D161,Val!$C$5,Val!$C$6,Val!$B161,Val!$E161,Val!F$10,Val!$C$7,Val!$C161),"")</f>
        <v>-51992.4375</v>
      </c>
      <c r="G161" s="2">
        <f ca="1">IF(Flag_Send_Data=1,_xll.DBSW(Val!G161,Val!$C$1,Val!$C$2,Val!$C$3,Val!$C$4,Val!$D161,Val!$C$5,Val!$C$6,Val!$B161,Val!$E161,Val!G$10,Val!$C$7,Val!$C161),"")</f>
        <v>-51992.4375</v>
      </c>
      <c r="H161" s="2">
        <f ca="1">IF(Flag_Send_Data=1,_xll.DBSW(Val!H161,Val!$C$1,Val!$C$2,Val!$C$3,Val!$C$4,Val!$D161,Val!$C$5,Val!$C$6,Val!$B161,Val!$E161,Val!H$10,Val!$C$7,Val!$C161),"")</f>
        <v>-51992.4375</v>
      </c>
      <c r="I161" s="2">
        <f ca="1">IF(Flag_Send_Data=1,_xll.DBSW(Val!I161,Val!$C$1,Val!$C$2,Val!$C$3,Val!$C$4,Val!$D161,Val!$C$5,Val!$C$6,Val!$B161,Val!$E161,Val!I$10,Val!$C$7,Val!$C161),"")</f>
        <v>-51992.4375</v>
      </c>
      <c r="J161" s="2">
        <f ca="1">IF(Flag_Send_Data=1,_xll.DBSW(Val!J161,Val!$C$1,Val!$C$2,Val!$C$3,Val!$C$4,Val!$D161,Val!$C$5,Val!$C$6,Val!$B161,Val!$E161,Val!J$10,Val!$C$7,Val!$C161),"")</f>
        <v>-51992.4375</v>
      </c>
      <c r="K161" s="2">
        <f ca="1">IF(Flag_Send_Data=1,_xll.DBSW(Val!K161,Val!$C$1,Val!$C$2,Val!$C$3,Val!$C$4,Val!$D161,Val!$C$5,Val!$C$6,Val!$B161,Val!$E161,Val!K$10,Val!$C$7,Val!$C161),"")</f>
        <v>-51992.4375</v>
      </c>
      <c r="L161" s="2">
        <f ca="1">IF(Flag_Send_Data=1,_xll.DBSW(Val!L161,Val!$C$1,Val!$C$2,Val!$C$3,Val!$C$4,Val!$D161,Val!$C$5,Val!$C$6,Val!$B161,Val!$E161,Val!L$10,Val!$C$7,Val!$C161),"")</f>
        <v>-51992.4375</v>
      </c>
      <c r="M161" s="2">
        <f ca="1">IF(Flag_Send_Data=1,_xll.DBSW(Val!M161,Val!$C$1,Val!$C$2,Val!$C$3,Val!$C$4,Val!$D161,Val!$C$5,Val!$C$6,Val!$B161,Val!$E161,Val!M$10,Val!$C$7,Val!$C161),"")</f>
        <v>-51992.4375</v>
      </c>
      <c r="N161" s="2">
        <f ca="1">IF(Flag_Send_Data=1,_xll.DBSW(Val!N161,Val!$C$1,Val!$C$2,Val!$C$3,Val!$C$4,Val!$D161,Val!$C$5,Val!$C$6,Val!$B161,Val!$E161,Val!N$10,Val!$C$7,Val!$C161),"")</f>
        <v>-51992.4375</v>
      </c>
      <c r="O161" s="2">
        <f ca="1">IF(Flag_Send_Data=1,_xll.DBSW(Val!O161,Val!$C$1,Val!$C$2,Val!$C$3,Val!$C$4,Val!$D161,Val!$C$5,Val!$C$6,Val!$B161,Val!$E161,Val!O$10,Val!$C$7,Val!$C161),"")</f>
        <v>-51992.4375</v>
      </c>
      <c r="P161" s="2">
        <f ca="1">IF(Flag_Send_Data=1,_xll.DBSW(Val!P161,Val!$C$1,Val!$C$2,Val!$C$3,Val!$C$4,Val!$D161,Val!$C$5,Val!$C$6,Val!$B161,Val!$E161,Val!P$10,Val!$C$7,Val!$C161),"")</f>
        <v>-51992.4375</v>
      </c>
      <c r="Q161" s="2">
        <f ca="1">IF(Flag_Send_Data=1,_xll.DBSW(Val!Q161,Val!$C$1,Val!$C$2,Val!$C$3,Val!$C$4,Val!$D161,Val!$C$5,Val!$C$6,Val!$B161,Val!$E161,Val!Q$10,Val!$C$7,Val!$C161),"")</f>
        <v>-51992.4375</v>
      </c>
    </row>
    <row r="162" spans="2:17" x14ac:dyDescent="0.25">
      <c r="B162" s="3" t="s">
        <v>255</v>
      </c>
      <c r="C162" t="s">
        <v>57</v>
      </c>
      <c r="D162" t="s">
        <v>199</v>
      </c>
      <c r="E162" t="s">
        <v>128</v>
      </c>
      <c r="F162" s="2">
        <f ca="1">IF(Flag_Send_Data=1,_xll.DBSW(Val!F162,Val!$C$1,Val!$C$2,Val!$C$3,Val!$C$4,Val!$D162,Val!$C$5,Val!$C$6,Val!$B162,Val!$E162,Val!F$10,Val!$C$7,Val!$C162),"")</f>
        <v>-1833.3333333333333</v>
      </c>
      <c r="G162" s="2">
        <f ca="1">IF(Flag_Send_Data=1,_xll.DBSW(Val!G162,Val!$C$1,Val!$C$2,Val!$C$3,Val!$C$4,Val!$D162,Val!$C$5,Val!$C$6,Val!$B162,Val!$E162,Val!G$10,Val!$C$7,Val!$C162),"")</f>
        <v>-1833.3333333333333</v>
      </c>
      <c r="H162" s="2">
        <f ca="1">IF(Flag_Send_Data=1,_xll.DBSW(Val!H162,Val!$C$1,Val!$C$2,Val!$C$3,Val!$C$4,Val!$D162,Val!$C$5,Val!$C$6,Val!$B162,Val!$E162,Val!H$10,Val!$C$7,Val!$C162),"")</f>
        <v>-1833.3333333333333</v>
      </c>
      <c r="I162" s="2">
        <f ca="1">IF(Flag_Send_Data=1,_xll.DBSW(Val!I162,Val!$C$1,Val!$C$2,Val!$C$3,Val!$C$4,Val!$D162,Val!$C$5,Val!$C$6,Val!$B162,Val!$E162,Val!I$10,Val!$C$7,Val!$C162),"")</f>
        <v>-1833.3333333333333</v>
      </c>
      <c r="J162" s="2">
        <f ca="1">IF(Flag_Send_Data=1,_xll.DBSW(Val!J162,Val!$C$1,Val!$C$2,Val!$C$3,Val!$C$4,Val!$D162,Val!$C$5,Val!$C$6,Val!$B162,Val!$E162,Val!J$10,Val!$C$7,Val!$C162),"")</f>
        <v>-1833.3333333333333</v>
      </c>
      <c r="K162" s="2">
        <f ca="1">IF(Flag_Send_Data=1,_xll.DBSW(Val!K162,Val!$C$1,Val!$C$2,Val!$C$3,Val!$C$4,Val!$D162,Val!$C$5,Val!$C$6,Val!$B162,Val!$E162,Val!K$10,Val!$C$7,Val!$C162),"")</f>
        <v>-1833.3333333333333</v>
      </c>
      <c r="L162" s="2">
        <f ca="1">IF(Flag_Send_Data=1,_xll.DBSW(Val!L162,Val!$C$1,Val!$C$2,Val!$C$3,Val!$C$4,Val!$D162,Val!$C$5,Val!$C$6,Val!$B162,Val!$E162,Val!L$10,Val!$C$7,Val!$C162),"")</f>
        <v>-1833.3333333333333</v>
      </c>
      <c r="M162" s="2">
        <f ca="1">IF(Flag_Send_Data=1,_xll.DBSW(Val!M162,Val!$C$1,Val!$C$2,Val!$C$3,Val!$C$4,Val!$D162,Val!$C$5,Val!$C$6,Val!$B162,Val!$E162,Val!M$10,Val!$C$7,Val!$C162),"")</f>
        <v>-1833.3333333333333</v>
      </c>
      <c r="N162" s="2">
        <f ca="1">IF(Flag_Send_Data=1,_xll.DBSW(Val!N162,Val!$C$1,Val!$C$2,Val!$C$3,Val!$C$4,Val!$D162,Val!$C$5,Val!$C$6,Val!$B162,Val!$E162,Val!N$10,Val!$C$7,Val!$C162),"")</f>
        <v>-1833.3333333333333</v>
      </c>
      <c r="O162" s="2">
        <f ca="1">IF(Flag_Send_Data=1,_xll.DBSW(Val!O162,Val!$C$1,Val!$C$2,Val!$C$3,Val!$C$4,Val!$D162,Val!$C$5,Val!$C$6,Val!$B162,Val!$E162,Val!O$10,Val!$C$7,Val!$C162),"")</f>
        <v>-1833.3333333333333</v>
      </c>
      <c r="P162" s="2">
        <f ca="1">IF(Flag_Send_Data=1,_xll.DBSW(Val!P162,Val!$C$1,Val!$C$2,Val!$C$3,Val!$C$4,Val!$D162,Val!$C$5,Val!$C$6,Val!$B162,Val!$E162,Val!P$10,Val!$C$7,Val!$C162),"")</f>
        <v>-1833.3333333333333</v>
      </c>
      <c r="Q162" s="2">
        <f ca="1">IF(Flag_Send_Data=1,_xll.DBSW(Val!Q162,Val!$C$1,Val!$C$2,Val!$C$3,Val!$C$4,Val!$D162,Val!$C$5,Val!$C$6,Val!$B162,Val!$E162,Val!Q$10,Val!$C$7,Val!$C162),"")</f>
        <v>-1833.3333333333333</v>
      </c>
    </row>
    <row r="163" spans="2:17" x14ac:dyDescent="0.25">
      <c r="B163" s="3" t="s">
        <v>255</v>
      </c>
      <c r="C163" t="s">
        <v>58</v>
      </c>
      <c r="D163" t="s">
        <v>199</v>
      </c>
      <c r="E163" t="s">
        <v>128</v>
      </c>
      <c r="F163" s="2">
        <f ca="1">IF(Flag_Send_Data=1,_xll.DBSW(Val!F163,Val!$C$1,Val!$C$2,Val!$C$3,Val!$C$4,Val!$D163,Val!$C$5,Val!$C$6,Val!$B163,Val!$E163,Val!F$10,Val!$C$7,Val!$C163),"")</f>
        <v>-14833.333333333334</v>
      </c>
      <c r="G163" s="2">
        <f ca="1">IF(Flag_Send_Data=1,_xll.DBSW(Val!G163,Val!$C$1,Val!$C$2,Val!$C$3,Val!$C$4,Val!$D163,Val!$C$5,Val!$C$6,Val!$B163,Val!$E163,Val!G$10,Val!$C$7,Val!$C163),"")</f>
        <v>-14833.333333333334</v>
      </c>
      <c r="H163" s="2">
        <f ca="1">IF(Flag_Send_Data=1,_xll.DBSW(Val!H163,Val!$C$1,Val!$C$2,Val!$C$3,Val!$C$4,Val!$D163,Val!$C$5,Val!$C$6,Val!$B163,Val!$E163,Val!H$10,Val!$C$7,Val!$C163),"")</f>
        <v>-14833.333333333334</v>
      </c>
      <c r="I163" s="2">
        <f ca="1">IF(Flag_Send_Data=1,_xll.DBSW(Val!I163,Val!$C$1,Val!$C$2,Val!$C$3,Val!$C$4,Val!$D163,Val!$C$5,Val!$C$6,Val!$B163,Val!$E163,Val!I$10,Val!$C$7,Val!$C163),"")</f>
        <v>-14833.333333333334</v>
      </c>
      <c r="J163" s="2">
        <f ca="1">IF(Flag_Send_Data=1,_xll.DBSW(Val!J163,Val!$C$1,Val!$C$2,Val!$C$3,Val!$C$4,Val!$D163,Val!$C$5,Val!$C$6,Val!$B163,Val!$E163,Val!J$10,Val!$C$7,Val!$C163),"")</f>
        <v>-14833.333333333334</v>
      </c>
      <c r="K163" s="2">
        <f ca="1">IF(Flag_Send_Data=1,_xll.DBSW(Val!K163,Val!$C$1,Val!$C$2,Val!$C$3,Val!$C$4,Val!$D163,Val!$C$5,Val!$C$6,Val!$B163,Val!$E163,Val!K$10,Val!$C$7,Val!$C163),"")</f>
        <v>-14833.333333333334</v>
      </c>
      <c r="L163" s="2">
        <f ca="1">IF(Flag_Send_Data=1,_xll.DBSW(Val!L163,Val!$C$1,Val!$C$2,Val!$C$3,Val!$C$4,Val!$D163,Val!$C$5,Val!$C$6,Val!$B163,Val!$E163,Val!L$10,Val!$C$7,Val!$C163),"")</f>
        <v>-14833.333333333334</v>
      </c>
      <c r="M163" s="2">
        <f ca="1">IF(Flag_Send_Data=1,_xll.DBSW(Val!M163,Val!$C$1,Val!$C$2,Val!$C$3,Val!$C$4,Val!$D163,Val!$C$5,Val!$C$6,Val!$B163,Val!$E163,Val!M$10,Val!$C$7,Val!$C163),"")</f>
        <v>-14833.333333333334</v>
      </c>
      <c r="N163" s="2">
        <f ca="1">IF(Flag_Send_Data=1,_xll.DBSW(Val!N163,Val!$C$1,Val!$C$2,Val!$C$3,Val!$C$4,Val!$D163,Val!$C$5,Val!$C$6,Val!$B163,Val!$E163,Val!N$10,Val!$C$7,Val!$C163),"")</f>
        <v>-14833.333333333334</v>
      </c>
      <c r="O163" s="2">
        <f ca="1">IF(Flag_Send_Data=1,_xll.DBSW(Val!O163,Val!$C$1,Val!$C$2,Val!$C$3,Val!$C$4,Val!$D163,Val!$C$5,Val!$C$6,Val!$B163,Val!$E163,Val!O$10,Val!$C$7,Val!$C163),"")</f>
        <v>-14833.333333333334</v>
      </c>
      <c r="P163" s="2">
        <f ca="1">IF(Flag_Send_Data=1,_xll.DBSW(Val!P163,Val!$C$1,Val!$C$2,Val!$C$3,Val!$C$4,Val!$D163,Val!$C$5,Val!$C$6,Val!$B163,Val!$E163,Val!P$10,Val!$C$7,Val!$C163),"")</f>
        <v>-14833.333333333334</v>
      </c>
      <c r="Q163" s="2">
        <f ca="1">IF(Flag_Send_Data=1,_xll.DBSW(Val!Q163,Val!$C$1,Val!$C$2,Val!$C$3,Val!$C$4,Val!$D163,Val!$C$5,Val!$C$6,Val!$B163,Val!$E163,Val!Q$10,Val!$C$7,Val!$C163),"")</f>
        <v>-14833.333333333334</v>
      </c>
    </row>
    <row r="164" spans="2:17" x14ac:dyDescent="0.25">
      <c r="B164" s="3" t="s">
        <v>255</v>
      </c>
      <c r="C164" t="s">
        <v>58</v>
      </c>
      <c r="D164" t="s">
        <v>148</v>
      </c>
      <c r="E164" t="s">
        <v>17</v>
      </c>
      <c r="F164" s="2">
        <f ca="1">IF(Flag_Send_Data=1,_xll.DBSW(Val!F164,Val!$C$1,Val!$C$2,Val!$C$3,Val!$C$4,Val!$D164,Val!$C$5,Val!$C$6,Val!$B164,Val!$E164,Val!F$10,Val!$C$7,Val!$C164),"")</f>
        <v>-1388.25</v>
      </c>
      <c r="G164" s="2">
        <f ca="1">IF(Flag_Send_Data=1,_xll.DBSW(Val!G164,Val!$C$1,Val!$C$2,Val!$C$3,Val!$C$4,Val!$D164,Val!$C$5,Val!$C$6,Val!$B164,Val!$E164,Val!G$10,Val!$C$7,Val!$C164),"")</f>
        <v>-1388.25</v>
      </c>
      <c r="H164" s="2">
        <f ca="1">IF(Flag_Send_Data=1,_xll.DBSW(Val!H164,Val!$C$1,Val!$C$2,Val!$C$3,Val!$C$4,Val!$D164,Val!$C$5,Val!$C$6,Val!$B164,Val!$E164,Val!H$10,Val!$C$7,Val!$C164),"")</f>
        <v>-1388.25</v>
      </c>
      <c r="I164" s="2">
        <f ca="1">IF(Flag_Send_Data=1,_xll.DBSW(Val!I164,Val!$C$1,Val!$C$2,Val!$C$3,Val!$C$4,Val!$D164,Val!$C$5,Val!$C$6,Val!$B164,Val!$E164,Val!I$10,Val!$C$7,Val!$C164),"")</f>
        <v>-1388.25</v>
      </c>
      <c r="J164" s="2">
        <f ca="1">IF(Flag_Send_Data=1,_xll.DBSW(Val!J164,Val!$C$1,Val!$C$2,Val!$C$3,Val!$C$4,Val!$D164,Val!$C$5,Val!$C$6,Val!$B164,Val!$E164,Val!J$10,Val!$C$7,Val!$C164),"")</f>
        <v>-1388.25</v>
      </c>
      <c r="K164" s="2">
        <f ca="1">IF(Flag_Send_Data=1,_xll.DBSW(Val!K164,Val!$C$1,Val!$C$2,Val!$C$3,Val!$C$4,Val!$D164,Val!$C$5,Val!$C$6,Val!$B164,Val!$E164,Val!K$10,Val!$C$7,Val!$C164),"")</f>
        <v>-1388.25</v>
      </c>
      <c r="L164" s="2">
        <f ca="1">IF(Flag_Send_Data=1,_xll.DBSW(Val!L164,Val!$C$1,Val!$C$2,Val!$C$3,Val!$C$4,Val!$D164,Val!$C$5,Val!$C$6,Val!$B164,Val!$E164,Val!L$10,Val!$C$7,Val!$C164),"")</f>
        <v>-1388.25</v>
      </c>
      <c r="M164" s="2">
        <f ca="1">IF(Flag_Send_Data=1,_xll.DBSW(Val!M164,Val!$C$1,Val!$C$2,Val!$C$3,Val!$C$4,Val!$D164,Val!$C$5,Val!$C$6,Val!$B164,Val!$E164,Val!M$10,Val!$C$7,Val!$C164),"")</f>
        <v>-1388.25</v>
      </c>
      <c r="N164" s="2">
        <f ca="1">IF(Flag_Send_Data=1,_xll.DBSW(Val!N164,Val!$C$1,Val!$C$2,Val!$C$3,Val!$C$4,Val!$D164,Val!$C$5,Val!$C$6,Val!$B164,Val!$E164,Val!N$10,Val!$C$7,Val!$C164),"")</f>
        <v>-1388.25</v>
      </c>
      <c r="O164" s="2">
        <f ca="1">IF(Flag_Send_Data=1,_xll.DBSW(Val!O164,Val!$C$1,Val!$C$2,Val!$C$3,Val!$C$4,Val!$D164,Val!$C$5,Val!$C$6,Val!$B164,Val!$E164,Val!O$10,Val!$C$7,Val!$C164),"")</f>
        <v>-1388.25</v>
      </c>
      <c r="P164" s="2">
        <f ca="1">IF(Flag_Send_Data=1,_xll.DBSW(Val!P164,Val!$C$1,Val!$C$2,Val!$C$3,Val!$C$4,Val!$D164,Val!$C$5,Val!$C$6,Val!$B164,Val!$E164,Val!P$10,Val!$C$7,Val!$C164),"")</f>
        <v>-1388.25</v>
      </c>
      <c r="Q164" s="2">
        <f ca="1">IF(Flag_Send_Data=1,_xll.DBSW(Val!Q164,Val!$C$1,Val!$C$2,Val!$C$3,Val!$C$4,Val!$D164,Val!$C$5,Val!$C$6,Val!$B164,Val!$E164,Val!Q$10,Val!$C$7,Val!$C164),"")</f>
        <v>-1388.25</v>
      </c>
    </row>
    <row r="165" spans="2:17" x14ac:dyDescent="0.25">
      <c r="B165" s="3" t="s">
        <v>255</v>
      </c>
      <c r="C165" t="s">
        <v>58</v>
      </c>
      <c r="D165" t="s">
        <v>151</v>
      </c>
      <c r="E165" t="s">
        <v>17</v>
      </c>
      <c r="F165" s="2">
        <f ca="1">IF(Flag_Send_Data=1,_xll.DBSW(Val!F165,Val!$C$1,Val!$C$2,Val!$C$3,Val!$C$4,Val!$D165,Val!$C$5,Val!$C$6,Val!$B165,Val!$E165,Val!F$10,Val!$C$7,Val!$C165),"")</f>
        <v>-1589.0783333333336</v>
      </c>
      <c r="G165" s="2">
        <f ca="1">IF(Flag_Send_Data=1,_xll.DBSW(Val!G165,Val!$C$1,Val!$C$2,Val!$C$3,Val!$C$4,Val!$D165,Val!$C$5,Val!$C$6,Val!$B165,Val!$E165,Val!G$10,Val!$C$7,Val!$C165),"")</f>
        <v>-1589.0783333333336</v>
      </c>
      <c r="H165" s="2">
        <f ca="1">IF(Flag_Send_Data=1,_xll.DBSW(Val!H165,Val!$C$1,Val!$C$2,Val!$C$3,Val!$C$4,Val!$D165,Val!$C$5,Val!$C$6,Val!$B165,Val!$E165,Val!H$10,Val!$C$7,Val!$C165),"")</f>
        <v>-1589.0783333333336</v>
      </c>
      <c r="I165" s="2">
        <f ca="1">IF(Flag_Send_Data=1,_xll.DBSW(Val!I165,Val!$C$1,Val!$C$2,Val!$C$3,Val!$C$4,Val!$D165,Val!$C$5,Val!$C$6,Val!$B165,Val!$E165,Val!I$10,Val!$C$7,Val!$C165),"")</f>
        <v>-1589.0783333333336</v>
      </c>
      <c r="J165" s="2">
        <f ca="1">IF(Flag_Send_Data=1,_xll.DBSW(Val!J165,Val!$C$1,Val!$C$2,Val!$C$3,Val!$C$4,Val!$D165,Val!$C$5,Val!$C$6,Val!$B165,Val!$E165,Val!J$10,Val!$C$7,Val!$C165),"")</f>
        <v>-1589.0783333333336</v>
      </c>
      <c r="K165" s="2">
        <f ca="1">IF(Flag_Send_Data=1,_xll.DBSW(Val!K165,Val!$C$1,Val!$C$2,Val!$C$3,Val!$C$4,Val!$D165,Val!$C$5,Val!$C$6,Val!$B165,Val!$E165,Val!K$10,Val!$C$7,Val!$C165),"")</f>
        <v>-1589.0783333333336</v>
      </c>
      <c r="L165" s="2">
        <f ca="1">IF(Flag_Send_Data=1,_xll.DBSW(Val!L165,Val!$C$1,Val!$C$2,Val!$C$3,Val!$C$4,Val!$D165,Val!$C$5,Val!$C$6,Val!$B165,Val!$E165,Val!L$10,Val!$C$7,Val!$C165),"")</f>
        <v>-1589.0783333333336</v>
      </c>
      <c r="M165" s="2">
        <f ca="1">IF(Flag_Send_Data=1,_xll.DBSW(Val!M165,Val!$C$1,Val!$C$2,Val!$C$3,Val!$C$4,Val!$D165,Val!$C$5,Val!$C$6,Val!$B165,Val!$E165,Val!M$10,Val!$C$7,Val!$C165),"")</f>
        <v>-1589.0783333333336</v>
      </c>
      <c r="N165" s="2">
        <f ca="1">IF(Flag_Send_Data=1,_xll.DBSW(Val!N165,Val!$C$1,Val!$C$2,Val!$C$3,Val!$C$4,Val!$D165,Val!$C$5,Val!$C$6,Val!$B165,Val!$E165,Val!N$10,Val!$C$7,Val!$C165),"")</f>
        <v>-1589.0783333333336</v>
      </c>
      <c r="O165" s="2">
        <f ca="1">IF(Flag_Send_Data=1,_xll.DBSW(Val!O165,Val!$C$1,Val!$C$2,Val!$C$3,Val!$C$4,Val!$D165,Val!$C$5,Val!$C$6,Val!$B165,Val!$E165,Val!O$10,Val!$C$7,Val!$C165),"")</f>
        <v>-1589.0783333333336</v>
      </c>
      <c r="P165" s="2">
        <f ca="1">IF(Flag_Send_Data=1,_xll.DBSW(Val!P165,Val!$C$1,Val!$C$2,Val!$C$3,Val!$C$4,Val!$D165,Val!$C$5,Val!$C$6,Val!$B165,Val!$E165,Val!P$10,Val!$C$7,Val!$C165),"")</f>
        <v>-1589.0783333333336</v>
      </c>
      <c r="Q165" s="2">
        <f ca="1">IF(Flag_Send_Data=1,_xll.DBSW(Val!Q165,Val!$C$1,Val!$C$2,Val!$C$3,Val!$C$4,Val!$D165,Val!$C$5,Val!$C$6,Val!$B165,Val!$E165,Val!Q$10,Val!$C$7,Val!$C165),"")</f>
        <v>-1589.0783333333336</v>
      </c>
    </row>
    <row r="166" spans="2:17" x14ac:dyDescent="0.25">
      <c r="B166" s="3" t="s">
        <v>255</v>
      </c>
      <c r="C166" t="s">
        <v>59</v>
      </c>
      <c r="D166" t="s">
        <v>199</v>
      </c>
      <c r="E166" t="s">
        <v>128</v>
      </c>
      <c r="F166" s="2">
        <f ca="1">IF(Flag_Send_Data=1,_xll.DBSW(Val!F166,Val!$C$1,Val!$C$2,Val!$C$3,Val!$C$4,Val!$D166,Val!$C$5,Val!$C$6,Val!$B166,Val!$E166,Val!F$10,Val!$C$7,Val!$C166),"")</f>
        <v>-333.33333333333331</v>
      </c>
      <c r="G166" s="2">
        <f ca="1">IF(Flag_Send_Data=1,_xll.DBSW(Val!G166,Val!$C$1,Val!$C$2,Val!$C$3,Val!$C$4,Val!$D166,Val!$C$5,Val!$C$6,Val!$B166,Val!$E166,Val!G$10,Val!$C$7,Val!$C166),"")</f>
        <v>-333.33333333333331</v>
      </c>
      <c r="H166" s="2">
        <f ca="1">IF(Flag_Send_Data=1,_xll.DBSW(Val!H166,Val!$C$1,Val!$C$2,Val!$C$3,Val!$C$4,Val!$D166,Val!$C$5,Val!$C$6,Val!$B166,Val!$E166,Val!H$10,Val!$C$7,Val!$C166),"")</f>
        <v>-333.33333333333331</v>
      </c>
      <c r="I166" s="2">
        <f ca="1">IF(Flag_Send_Data=1,_xll.DBSW(Val!I166,Val!$C$1,Val!$C$2,Val!$C$3,Val!$C$4,Val!$D166,Val!$C$5,Val!$C$6,Val!$B166,Val!$E166,Val!I$10,Val!$C$7,Val!$C166),"")</f>
        <v>-333.33333333333331</v>
      </c>
      <c r="J166" s="2">
        <f ca="1">IF(Flag_Send_Data=1,_xll.DBSW(Val!J166,Val!$C$1,Val!$C$2,Val!$C$3,Val!$C$4,Val!$D166,Val!$C$5,Val!$C$6,Val!$B166,Val!$E166,Val!J$10,Val!$C$7,Val!$C166),"")</f>
        <v>-333.33333333333331</v>
      </c>
      <c r="K166" s="2">
        <f ca="1">IF(Flag_Send_Data=1,_xll.DBSW(Val!K166,Val!$C$1,Val!$C$2,Val!$C$3,Val!$C$4,Val!$D166,Val!$C$5,Val!$C$6,Val!$B166,Val!$E166,Val!K$10,Val!$C$7,Val!$C166),"")</f>
        <v>-333.33333333333331</v>
      </c>
      <c r="L166" s="2">
        <f ca="1">IF(Flag_Send_Data=1,_xll.DBSW(Val!L166,Val!$C$1,Val!$C$2,Val!$C$3,Val!$C$4,Val!$D166,Val!$C$5,Val!$C$6,Val!$B166,Val!$E166,Val!L$10,Val!$C$7,Val!$C166),"")</f>
        <v>-333.33333333333331</v>
      </c>
      <c r="M166" s="2">
        <f ca="1">IF(Flag_Send_Data=1,_xll.DBSW(Val!M166,Val!$C$1,Val!$C$2,Val!$C$3,Val!$C$4,Val!$D166,Val!$C$5,Val!$C$6,Val!$B166,Val!$E166,Val!M$10,Val!$C$7,Val!$C166),"")</f>
        <v>-333.33333333333331</v>
      </c>
      <c r="N166" s="2">
        <f ca="1">IF(Flag_Send_Data=1,_xll.DBSW(Val!N166,Val!$C$1,Val!$C$2,Val!$C$3,Val!$C$4,Val!$D166,Val!$C$5,Val!$C$6,Val!$B166,Val!$E166,Val!N$10,Val!$C$7,Val!$C166),"")</f>
        <v>-333.33333333333331</v>
      </c>
      <c r="O166" s="2">
        <f ca="1">IF(Flag_Send_Data=1,_xll.DBSW(Val!O166,Val!$C$1,Val!$C$2,Val!$C$3,Val!$C$4,Val!$D166,Val!$C$5,Val!$C$6,Val!$B166,Val!$E166,Val!O$10,Val!$C$7,Val!$C166),"")</f>
        <v>-333.33333333333331</v>
      </c>
      <c r="P166" s="2">
        <f ca="1">IF(Flag_Send_Data=1,_xll.DBSW(Val!P166,Val!$C$1,Val!$C$2,Val!$C$3,Val!$C$4,Val!$D166,Val!$C$5,Val!$C$6,Val!$B166,Val!$E166,Val!P$10,Val!$C$7,Val!$C166),"")</f>
        <v>-333.33333333333331</v>
      </c>
      <c r="Q166" s="2">
        <f ca="1">IF(Flag_Send_Data=1,_xll.DBSW(Val!Q166,Val!$C$1,Val!$C$2,Val!$C$3,Val!$C$4,Val!$D166,Val!$C$5,Val!$C$6,Val!$B166,Val!$E166,Val!Q$10,Val!$C$7,Val!$C166),"")</f>
        <v>-333.33333333333331</v>
      </c>
    </row>
    <row r="167" spans="2:17" x14ac:dyDescent="0.25">
      <c r="B167" s="3" t="s">
        <v>255</v>
      </c>
      <c r="C167" t="s">
        <v>117</v>
      </c>
      <c r="D167" t="s">
        <v>199</v>
      </c>
      <c r="E167" t="s">
        <v>128</v>
      </c>
      <c r="F167" s="2">
        <f ca="1">IF(Flag_Send_Data=1,_xll.DBSW(Val!F167,Val!$C$1,Val!$C$2,Val!$C$3,Val!$C$4,Val!$D167,Val!$C$5,Val!$C$6,Val!$B167,Val!$E167,Val!F$10,Val!$C$7,Val!$C167),"")</f>
        <v>-1250</v>
      </c>
      <c r="G167" s="2">
        <f ca="1">IF(Flag_Send_Data=1,_xll.DBSW(Val!G167,Val!$C$1,Val!$C$2,Val!$C$3,Val!$C$4,Val!$D167,Val!$C$5,Val!$C$6,Val!$B167,Val!$E167,Val!G$10,Val!$C$7,Val!$C167),"")</f>
        <v>-1250</v>
      </c>
      <c r="H167" s="2">
        <f ca="1">IF(Flag_Send_Data=1,_xll.DBSW(Val!H167,Val!$C$1,Val!$C$2,Val!$C$3,Val!$C$4,Val!$D167,Val!$C$5,Val!$C$6,Val!$B167,Val!$E167,Val!H$10,Val!$C$7,Val!$C167),"")</f>
        <v>-1250</v>
      </c>
      <c r="I167" s="2">
        <f ca="1">IF(Flag_Send_Data=1,_xll.DBSW(Val!I167,Val!$C$1,Val!$C$2,Val!$C$3,Val!$C$4,Val!$D167,Val!$C$5,Val!$C$6,Val!$B167,Val!$E167,Val!I$10,Val!$C$7,Val!$C167),"")</f>
        <v>-1250</v>
      </c>
      <c r="J167" s="2">
        <f ca="1">IF(Flag_Send_Data=1,_xll.DBSW(Val!J167,Val!$C$1,Val!$C$2,Val!$C$3,Val!$C$4,Val!$D167,Val!$C$5,Val!$C$6,Val!$B167,Val!$E167,Val!J$10,Val!$C$7,Val!$C167),"")</f>
        <v>-1250</v>
      </c>
      <c r="K167" s="2">
        <f ca="1">IF(Flag_Send_Data=1,_xll.DBSW(Val!K167,Val!$C$1,Val!$C$2,Val!$C$3,Val!$C$4,Val!$D167,Val!$C$5,Val!$C$6,Val!$B167,Val!$E167,Val!K$10,Val!$C$7,Val!$C167),"")</f>
        <v>-1250</v>
      </c>
      <c r="L167" s="2">
        <f ca="1">IF(Flag_Send_Data=1,_xll.DBSW(Val!L167,Val!$C$1,Val!$C$2,Val!$C$3,Val!$C$4,Val!$D167,Val!$C$5,Val!$C$6,Val!$B167,Val!$E167,Val!L$10,Val!$C$7,Val!$C167),"")</f>
        <v>-1250</v>
      </c>
      <c r="M167" s="2">
        <f ca="1">IF(Flag_Send_Data=1,_xll.DBSW(Val!M167,Val!$C$1,Val!$C$2,Val!$C$3,Val!$C$4,Val!$D167,Val!$C$5,Val!$C$6,Val!$B167,Val!$E167,Val!M$10,Val!$C$7,Val!$C167),"")</f>
        <v>-1250</v>
      </c>
      <c r="N167" s="2">
        <f ca="1">IF(Flag_Send_Data=1,_xll.DBSW(Val!N167,Val!$C$1,Val!$C$2,Val!$C$3,Val!$C$4,Val!$D167,Val!$C$5,Val!$C$6,Val!$B167,Val!$E167,Val!N$10,Val!$C$7,Val!$C167),"")</f>
        <v>-1250</v>
      </c>
      <c r="O167" s="2">
        <f ca="1">IF(Flag_Send_Data=1,_xll.DBSW(Val!O167,Val!$C$1,Val!$C$2,Val!$C$3,Val!$C$4,Val!$D167,Val!$C$5,Val!$C$6,Val!$B167,Val!$E167,Val!O$10,Val!$C$7,Val!$C167),"")</f>
        <v>-1250</v>
      </c>
      <c r="P167" s="2">
        <f ca="1">IF(Flag_Send_Data=1,_xll.DBSW(Val!P167,Val!$C$1,Val!$C$2,Val!$C$3,Val!$C$4,Val!$D167,Val!$C$5,Val!$C$6,Val!$B167,Val!$E167,Val!P$10,Val!$C$7,Val!$C167),"")</f>
        <v>-1250</v>
      </c>
      <c r="Q167" s="2">
        <f ca="1">IF(Flag_Send_Data=1,_xll.DBSW(Val!Q167,Val!$C$1,Val!$C$2,Val!$C$3,Val!$C$4,Val!$D167,Val!$C$5,Val!$C$6,Val!$B167,Val!$E167,Val!Q$10,Val!$C$7,Val!$C167),"")</f>
        <v>-1250</v>
      </c>
    </row>
    <row r="168" spans="2:17" x14ac:dyDescent="0.25">
      <c r="B168" s="3" t="s">
        <v>255</v>
      </c>
      <c r="C168" t="s">
        <v>64</v>
      </c>
      <c r="D168" t="s">
        <v>151</v>
      </c>
      <c r="E168" t="s">
        <v>128</v>
      </c>
      <c r="F168" s="2">
        <f ca="1">IF(Flag_Send_Data=1,_xll.DBSW(Val!F168,Val!$C$1,Val!$C$2,Val!$C$3,Val!$C$4,Val!$D168,Val!$C$5,Val!$C$6,Val!$B168,Val!$E168,Val!F$10,Val!$C$7,Val!$C168),"")</f>
        <v>-1020.8333333333334</v>
      </c>
      <c r="G168" s="2">
        <f ca="1">IF(Flag_Send_Data=1,_xll.DBSW(Val!G168,Val!$C$1,Val!$C$2,Val!$C$3,Val!$C$4,Val!$D168,Val!$C$5,Val!$C$6,Val!$B168,Val!$E168,Val!G$10,Val!$C$7,Val!$C168),"")</f>
        <v>-1020.8333333333334</v>
      </c>
      <c r="H168" s="2">
        <f ca="1">IF(Flag_Send_Data=1,_xll.DBSW(Val!H168,Val!$C$1,Val!$C$2,Val!$C$3,Val!$C$4,Val!$D168,Val!$C$5,Val!$C$6,Val!$B168,Val!$E168,Val!H$10,Val!$C$7,Val!$C168),"")</f>
        <v>-1020.8333333333334</v>
      </c>
      <c r="I168" s="2">
        <f ca="1">IF(Flag_Send_Data=1,_xll.DBSW(Val!I168,Val!$C$1,Val!$C$2,Val!$C$3,Val!$C$4,Val!$D168,Val!$C$5,Val!$C$6,Val!$B168,Val!$E168,Val!I$10,Val!$C$7,Val!$C168),"")</f>
        <v>-1020.8333333333334</v>
      </c>
      <c r="J168" s="2">
        <f ca="1">IF(Flag_Send_Data=1,_xll.DBSW(Val!J168,Val!$C$1,Val!$C$2,Val!$C$3,Val!$C$4,Val!$D168,Val!$C$5,Val!$C$6,Val!$B168,Val!$E168,Val!J$10,Val!$C$7,Val!$C168),"")</f>
        <v>-1020.8333333333334</v>
      </c>
      <c r="K168" s="2">
        <f ca="1">IF(Flag_Send_Data=1,_xll.DBSW(Val!K168,Val!$C$1,Val!$C$2,Val!$C$3,Val!$C$4,Val!$D168,Val!$C$5,Val!$C$6,Val!$B168,Val!$E168,Val!K$10,Val!$C$7,Val!$C168),"")</f>
        <v>-1020.8333333333334</v>
      </c>
      <c r="L168" s="2">
        <f ca="1">IF(Flag_Send_Data=1,_xll.DBSW(Val!L168,Val!$C$1,Val!$C$2,Val!$C$3,Val!$C$4,Val!$D168,Val!$C$5,Val!$C$6,Val!$B168,Val!$E168,Val!L$10,Val!$C$7,Val!$C168),"")</f>
        <v>-1020.8333333333334</v>
      </c>
      <c r="M168" s="2">
        <f ca="1">IF(Flag_Send_Data=1,_xll.DBSW(Val!M168,Val!$C$1,Val!$C$2,Val!$C$3,Val!$C$4,Val!$D168,Val!$C$5,Val!$C$6,Val!$B168,Val!$E168,Val!M$10,Val!$C$7,Val!$C168),"")</f>
        <v>-1020.8333333333334</v>
      </c>
      <c r="N168" s="2">
        <f ca="1">IF(Flag_Send_Data=1,_xll.DBSW(Val!N168,Val!$C$1,Val!$C$2,Val!$C$3,Val!$C$4,Val!$D168,Val!$C$5,Val!$C$6,Val!$B168,Val!$E168,Val!N$10,Val!$C$7,Val!$C168),"")</f>
        <v>-1020.8333333333334</v>
      </c>
      <c r="O168" s="2">
        <f ca="1">IF(Flag_Send_Data=1,_xll.DBSW(Val!O168,Val!$C$1,Val!$C$2,Val!$C$3,Val!$C$4,Val!$D168,Val!$C$5,Val!$C$6,Val!$B168,Val!$E168,Val!O$10,Val!$C$7,Val!$C168),"")</f>
        <v>-1020.8333333333334</v>
      </c>
      <c r="P168" s="2">
        <f ca="1">IF(Flag_Send_Data=1,_xll.DBSW(Val!P168,Val!$C$1,Val!$C$2,Val!$C$3,Val!$C$4,Val!$D168,Val!$C$5,Val!$C$6,Val!$B168,Val!$E168,Val!P$10,Val!$C$7,Val!$C168),"")</f>
        <v>-1020.8333333333334</v>
      </c>
      <c r="Q168" s="2">
        <f ca="1">IF(Flag_Send_Data=1,_xll.DBSW(Val!Q168,Val!$C$1,Val!$C$2,Val!$C$3,Val!$C$4,Val!$D168,Val!$C$5,Val!$C$6,Val!$B168,Val!$E168,Val!Q$10,Val!$C$7,Val!$C168),"")</f>
        <v>-1020.8333333333334</v>
      </c>
    </row>
    <row r="169" spans="2:17" x14ac:dyDescent="0.25">
      <c r="B169" s="3" t="s">
        <v>255</v>
      </c>
      <c r="C169" t="s">
        <v>118</v>
      </c>
      <c r="D169" t="s">
        <v>199</v>
      </c>
      <c r="E169" t="s">
        <v>14</v>
      </c>
      <c r="F169" s="2">
        <f ca="1">IF(Flag_Send_Data=1,_xll.DBSW(Val!F169,Val!$C$1,Val!$C$2,Val!$C$3,Val!$C$4,Val!$D169,Val!$C$5,Val!$C$6,Val!$B169,Val!$E169,Val!F$10,Val!$C$7,Val!$C169),"")</f>
        <v>20867.947499999998</v>
      </c>
      <c r="G169" s="2">
        <f ca="1">IF(Flag_Send_Data=1,_xll.DBSW(Val!G169,Val!$C$1,Val!$C$2,Val!$C$3,Val!$C$4,Val!$D169,Val!$C$5,Val!$C$6,Val!$B169,Val!$E169,Val!G$10,Val!$C$7,Val!$C169),"")</f>
        <v>20867.947499999998</v>
      </c>
      <c r="H169" s="2">
        <f ca="1">IF(Flag_Send_Data=1,_xll.DBSW(Val!H169,Val!$C$1,Val!$C$2,Val!$C$3,Val!$C$4,Val!$D169,Val!$C$5,Val!$C$6,Val!$B169,Val!$E169,Val!H$10,Val!$C$7,Val!$C169),"")</f>
        <v>20867.947499999998</v>
      </c>
      <c r="I169" s="2">
        <f ca="1">IF(Flag_Send_Data=1,_xll.DBSW(Val!I169,Val!$C$1,Val!$C$2,Val!$C$3,Val!$C$4,Val!$D169,Val!$C$5,Val!$C$6,Val!$B169,Val!$E169,Val!I$10,Val!$C$7,Val!$C169),"")</f>
        <v>20867.947499999998</v>
      </c>
      <c r="J169" s="2">
        <f ca="1">IF(Flag_Send_Data=1,_xll.DBSW(Val!J169,Val!$C$1,Val!$C$2,Val!$C$3,Val!$C$4,Val!$D169,Val!$C$5,Val!$C$6,Val!$B169,Val!$E169,Val!J$10,Val!$C$7,Val!$C169),"")</f>
        <v>20867.947499999998</v>
      </c>
      <c r="K169" s="2">
        <f ca="1">IF(Flag_Send_Data=1,_xll.DBSW(Val!K169,Val!$C$1,Val!$C$2,Val!$C$3,Val!$C$4,Val!$D169,Val!$C$5,Val!$C$6,Val!$B169,Val!$E169,Val!K$10,Val!$C$7,Val!$C169),"")</f>
        <v>20867.947499999998</v>
      </c>
      <c r="L169" s="2">
        <f ca="1">IF(Flag_Send_Data=1,_xll.DBSW(Val!L169,Val!$C$1,Val!$C$2,Val!$C$3,Val!$C$4,Val!$D169,Val!$C$5,Val!$C$6,Val!$B169,Val!$E169,Val!L$10,Val!$C$7,Val!$C169),"")</f>
        <v>20867.947499999998</v>
      </c>
      <c r="M169" s="2">
        <f ca="1">IF(Flag_Send_Data=1,_xll.DBSW(Val!M169,Val!$C$1,Val!$C$2,Val!$C$3,Val!$C$4,Val!$D169,Val!$C$5,Val!$C$6,Val!$B169,Val!$E169,Val!M$10,Val!$C$7,Val!$C169),"")</f>
        <v>20867.947499999998</v>
      </c>
      <c r="N169" s="2">
        <f ca="1">IF(Flag_Send_Data=1,_xll.DBSW(Val!N169,Val!$C$1,Val!$C$2,Val!$C$3,Val!$C$4,Val!$D169,Val!$C$5,Val!$C$6,Val!$B169,Val!$E169,Val!N$10,Val!$C$7,Val!$C169),"")</f>
        <v>20867.947499999998</v>
      </c>
      <c r="O169" s="2">
        <f ca="1">IF(Flag_Send_Data=1,_xll.DBSW(Val!O169,Val!$C$1,Val!$C$2,Val!$C$3,Val!$C$4,Val!$D169,Val!$C$5,Val!$C$6,Val!$B169,Val!$E169,Val!O$10,Val!$C$7,Val!$C169),"")</f>
        <v>20867.947499999998</v>
      </c>
      <c r="P169" s="2">
        <f ca="1">IF(Flag_Send_Data=1,_xll.DBSW(Val!P169,Val!$C$1,Val!$C$2,Val!$C$3,Val!$C$4,Val!$D169,Val!$C$5,Val!$C$6,Val!$B169,Val!$E169,Val!P$10,Val!$C$7,Val!$C169),"")</f>
        <v>20867.947499999998</v>
      </c>
      <c r="Q169" s="2">
        <f ca="1">IF(Flag_Send_Data=1,_xll.DBSW(Val!Q169,Val!$C$1,Val!$C$2,Val!$C$3,Val!$C$4,Val!$D169,Val!$C$5,Val!$C$6,Val!$B169,Val!$E169,Val!Q$10,Val!$C$7,Val!$C169),"")</f>
        <v>20867.947499999998</v>
      </c>
    </row>
    <row r="170" spans="2:17" x14ac:dyDescent="0.25">
      <c r="B170" s="3" t="s">
        <v>256</v>
      </c>
      <c r="C170" t="s">
        <v>56</v>
      </c>
      <c r="D170" t="s">
        <v>199</v>
      </c>
      <c r="E170" t="s">
        <v>128</v>
      </c>
      <c r="F170" s="2">
        <f ca="1">IF(Flag_Send_Data=1,_xll.DBSW(Val!F170,Val!$C$1,Val!$C$2,Val!$C$3,Val!$C$4,Val!$D170,Val!$C$5,Val!$C$6,Val!$B170,Val!$E170,Val!F$10,Val!$C$7,Val!$C170),"")</f>
        <v>-50163.8825</v>
      </c>
      <c r="G170" s="2">
        <f ca="1">IF(Flag_Send_Data=1,_xll.DBSW(Val!G170,Val!$C$1,Val!$C$2,Val!$C$3,Val!$C$4,Val!$D170,Val!$C$5,Val!$C$6,Val!$B170,Val!$E170,Val!G$10,Val!$C$7,Val!$C170),"")</f>
        <v>-50163.8825</v>
      </c>
      <c r="H170" s="2">
        <f ca="1">IF(Flag_Send_Data=1,_xll.DBSW(Val!H170,Val!$C$1,Val!$C$2,Val!$C$3,Val!$C$4,Val!$D170,Val!$C$5,Val!$C$6,Val!$B170,Val!$E170,Val!H$10,Val!$C$7,Val!$C170),"")</f>
        <v>-50163.8825</v>
      </c>
      <c r="I170" s="2">
        <f ca="1">IF(Flag_Send_Data=1,_xll.DBSW(Val!I170,Val!$C$1,Val!$C$2,Val!$C$3,Val!$C$4,Val!$D170,Val!$C$5,Val!$C$6,Val!$B170,Val!$E170,Val!I$10,Val!$C$7,Val!$C170),"")</f>
        <v>-50163.8825</v>
      </c>
      <c r="J170" s="2">
        <f ca="1">IF(Flag_Send_Data=1,_xll.DBSW(Val!J170,Val!$C$1,Val!$C$2,Val!$C$3,Val!$C$4,Val!$D170,Val!$C$5,Val!$C$6,Val!$B170,Val!$E170,Val!J$10,Val!$C$7,Val!$C170),"")</f>
        <v>-50163.8825</v>
      </c>
      <c r="K170" s="2">
        <f ca="1">IF(Flag_Send_Data=1,_xll.DBSW(Val!K170,Val!$C$1,Val!$C$2,Val!$C$3,Val!$C$4,Val!$D170,Val!$C$5,Val!$C$6,Val!$B170,Val!$E170,Val!K$10,Val!$C$7,Val!$C170),"")</f>
        <v>-50163.8825</v>
      </c>
      <c r="L170" s="2">
        <f ca="1">IF(Flag_Send_Data=1,_xll.DBSW(Val!L170,Val!$C$1,Val!$C$2,Val!$C$3,Val!$C$4,Val!$D170,Val!$C$5,Val!$C$6,Val!$B170,Val!$E170,Val!L$10,Val!$C$7,Val!$C170),"")</f>
        <v>-50163.8825</v>
      </c>
      <c r="M170" s="2">
        <f ca="1">IF(Flag_Send_Data=1,_xll.DBSW(Val!M170,Val!$C$1,Val!$C$2,Val!$C$3,Val!$C$4,Val!$D170,Val!$C$5,Val!$C$6,Val!$B170,Val!$E170,Val!M$10,Val!$C$7,Val!$C170),"")</f>
        <v>-50163.8825</v>
      </c>
      <c r="N170" s="2">
        <f ca="1">IF(Flag_Send_Data=1,_xll.DBSW(Val!N170,Val!$C$1,Val!$C$2,Val!$C$3,Val!$C$4,Val!$D170,Val!$C$5,Val!$C$6,Val!$B170,Val!$E170,Val!N$10,Val!$C$7,Val!$C170),"")</f>
        <v>-50163.8825</v>
      </c>
      <c r="O170" s="2">
        <f ca="1">IF(Flag_Send_Data=1,_xll.DBSW(Val!O170,Val!$C$1,Val!$C$2,Val!$C$3,Val!$C$4,Val!$D170,Val!$C$5,Val!$C$6,Val!$B170,Val!$E170,Val!O$10,Val!$C$7,Val!$C170),"")</f>
        <v>-50163.8825</v>
      </c>
      <c r="P170" s="2">
        <f ca="1">IF(Flag_Send_Data=1,_xll.DBSW(Val!P170,Val!$C$1,Val!$C$2,Val!$C$3,Val!$C$4,Val!$D170,Val!$C$5,Val!$C$6,Val!$B170,Val!$E170,Val!P$10,Val!$C$7,Val!$C170),"")</f>
        <v>-50163.8825</v>
      </c>
      <c r="Q170" s="2">
        <f ca="1">IF(Flag_Send_Data=1,_xll.DBSW(Val!Q170,Val!$C$1,Val!$C$2,Val!$C$3,Val!$C$4,Val!$D170,Val!$C$5,Val!$C$6,Val!$B170,Val!$E170,Val!Q$10,Val!$C$7,Val!$C170),"")</f>
        <v>-50163.8825</v>
      </c>
    </row>
    <row r="171" spans="2:17" x14ac:dyDescent="0.25">
      <c r="B171" s="3" t="s">
        <v>256</v>
      </c>
      <c r="C171" t="s">
        <v>57</v>
      </c>
      <c r="D171" t="s">
        <v>199</v>
      </c>
      <c r="E171" t="s">
        <v>128</v>
      </c>
      <c r="F171" s="2">
        <f ca="1">IF(Flag_Send_Data=1,_xll.DBSW(Val!F171,Val!$C$1,Val!$C$2,Val!$C$3,Val!$C$4,Val!$D171,Val!$C$5,Val!$C$6,Val!$B171,Val!$E171,Val!F$10,Val!$C$7,Val!$C171),"")</f>
        <v>-4166.666666666667</v>
      </c>
      <c r="G171" s="2">
        <f ca="1">IF(Flag_Send_Data=1,_xll.DBSW(Val!G171,Val!$C$1,Val!$C$2,Val!$C$3,Val!$C$4,Val!$D171,Val!$C$5,Val!$C$6,Val!$B171,Val!$E171,Val!G$10,Val!$C$7,Val!$C171),"")</f>
        <v>-4166.666666666667</v>
      </c>
      <c r="H171" s="2">
        <f ca="1">IF(Flag_Send_Data=1,_xll.DBSW(Val!H171,Val!$C$1,Val!$C$2,Val!$C$3,Val!$C$4,Val!$D171,Val!$C$5,Val!$C$6,Val!$B171,Val!$E171,Val!H$10,Val!$C$7,Val!$C171),"")</f>
        <v>-4166.666666666667</v>
      </c>
      <c r="I171" s="2">
        <f ca="1">IF(Flag_Send_Data=1,_xll.DBSW(Val!I171,Val!$C$1,Val!$C$2,Val!$C$3,Val!$C$4,Val!$D171,Val!$C$5,Val!$C$6,Val!$B171,Val!$E171,Val!I$10,Val!$C$7,Val!$C171),"")</f>
        <v>-4166.666666666667</v>
      </c>
      <c r="J171" s="2">
        <f ca="1">IF(Flag_Send_Data=1,_xll.DBSW(Val!J171,Val!$C$1,Val!$C$2,Val!$C$3,Val!$C$4,Val!$D171,Val!$C$5,Val!$C$6,Val!$B171,Val!$E171,Val!J$10,Val!$C$7,Val!$C171),"")</f>
        <v>-4166.666666666667</v>
      </c>
      <c r="K171" s="2">
        <f ca="1">IF(Flag_Send_Data=1,_xll.DBSW(Val!K171,Val!$C$1,Val!$C$2,Val!$C$3,Val!$C$4,Val!$D171,Val!$C$5,Val!$C$6,Val!$B171,Val!$E171,Val!K$10,Val!$C$7,Val!$C171),"")</f>
        <v>-4166.666666666667</v>
      </c>
      <c r="L171" s="2">
        <f ca="1">IF(Flag_Send_Data=1,_xll.DBSW(Val!L171,Val!$C$1,Val!$C$2,Val!$C$3,Val!$C$4,Val!$D171,Val!$C$5,Val!$C$6,Val!$B171,Val!$E171,Val!L$10,Val!$C$7,Val!$C171),"")</f>
        <v>-4166.666666666667</v>
      </c>
      <c r="M171" s="2">
        <f ca="1">IF(Flag_Send_Data=1,_xll.DBSW(Val!M171,Val!$C$1,Val!$C$2,Val!$C$3,Val!$C$4,Val!$D171,Val!$C$5,Val!$C$6,Val!$B171,Val!$E171,Val!M$10,Val!$C$7,Val!$C171),"")</f>
        <v>-4166.666666666667</v>
      </c>
      <c r="N171" s="2">
        <f ca="1">IF(Flag_Send_Data=1,_xll.DBSW(Val!N171,Val!$C$1,Val!$C$2,Val!$C$3,Val!$C$4,Val!$D171,Val!$C$5,Val!$C$6,Val!$B171,Val!$E171,Val!N$10,Val!$C$7,Val!$C171),"")</f>
        <v>-4166.666666666667</v>
      </c>
      <c r="O171" s="2">
        <f ca="1">IF(Flag_Send_Data=1,_xll.DBSW(Val!O171,Val!$C$1,Val!$C$2,Val!$C$3,Val!$C$4,Val!$D171,Val!$C$5,Val!$C$6,Val!$B171,Val!$E171,Val!O$10,Val!$C$7,Val!$C171),"")</f>
        <v>-4166.666666666667</v>
      </c>
      <c r="P171" s="2">
        <f ca="1">IF(Flag_Send_Data=1,_xll.DBSW(Val!P171,Val!$C$1,Val!$C$2,Val!$C$3,Val!$C$4,Val!$D171,Val!$C$5,Val!$C$6,Val!$B171,Val!$E171,Val!P$10,Val!$C$7,Val!$C171),"")</f>
        <v>-4166.666666666667</v>
      </c>
      <c r="Q171" s="2">
        <f ca="1">IF(Flag_Send_Data=1,_xll.DBSW(Val!Q171,Val!$C$1,Val!$C$2,Val!$C$3,Val!$C$4,Val!$D171,Val!$C$5,Val!$C$6,Val!$B171,Val!$E171,Val!Q$10,Val!$C$7,Val!$C171),"")</f>
        <v>-4166.666666666667</v>
      </c>
    </row>
    <row r="172" spans="2:17" x14ac:dyDescent="0.25">
      <c r="B172" s="3" t="s">
        <v>256</v>
      </c>
      <c r="C172" t="s">
        <v>58</v>
      </c>
      <c r="D172" t="s">
        <v>199</v>
      </c>
      <c r="E172" t="s">
        <v>128</v>
      </c>
      <c r="F172" s="2">
        <f ca="1">IF(Flag_Send_Data=1,_xll.DBSW(Val!F172,Val!$C$1,Val!$C$2,Val!$C$3,Val!$C$4,Val!$D172,Val!$C$5,Val!$C$6,Val!$B172,Val!$E172,Val!F$10,Val!$C$7,Val!$C172),"")</f>
        <v>-4166.666666666667</v>
      </c>
      <c r="G172" s="2">
        <f ca="1">IF(Flag_Send_Data=1,_xll.DBSW(Val!G172,Val!$C$1,Val!$C$2,Val!$C$3,Val!$C$4,Val!$D172,Val!$C$5,Val!$C$6,Val!$B172,Val!$E172,Val!G$10,Val!$C$7,Val!$C172),"")</f>
        <v>-4166.666666666667</v>
      </c>
      <c r="H172" s="2">
        <f ca="1">IF(Flag_Send_Data=1,_xll.DBSW(Val!H172,Val!$C$1,Val!$C$2,Val!$C$3,Val!$C$4,Val!$D172,Val!$C$5,Val!$C$6,Val!$B172,Val!$E172,Val!H$10,Val!$C$7,Val!$C172),"")</f>
        <v>-4166.666666666667</v>
      </c>
      <c r="I172" s="2">
        <f ca="1">IF(Flag_Send_Data=1,_xll.DBSW(Val!I172,Val!$C$1,Val!$C$2,Val!$C$3,Val!$C$4,Val!$D172,Val!$C$5,Val!$C$6,Val!$B172,Val!$E172,Val!I$10,Val!$C$7,Val!$C172),"")</f>
        <v>-20833.333333333336</v>
      </c>
      <c r="J172" s="2">
        <f ca="1">IF(Flag_Send_Data=1,_xll.DBSW(Val!J172,Val!$C$1,Val!$C$2,Val!$C$3,Val!$C$4,Val!$D172,Val!$C$5,Val!$C$6,Val!$B172,Val!$E172,Val!J$10,Val!$C$7,Val!$C172),"")</f>
        <v>-20833.333333333336</v>
      </c>
      <c r="K172" s="2">
        <f ca="1">IF(Flag_Send_Data=1,_xll.DBSW(Val!K172,Val!$C$1,Val!$C$2,Val!$C$3,Val!$C$4,Val!$D172,Val!$C$5,Val!$C$6,Val!$B172,Val!$E172,Val!K$10,Val!$C$7,Val!$C172),"")</f>
        <v>-20833.333333333336</v>
      </c>
      <c r="L172" s="2">
        <f ca="1">IF(Flag_Send_Data=1,_xll.DBSW(Val!L172,Val!$C$1,Val!$C$2,Val!$C$3,Val!$C$4,Val!$D172,Val!$C$5,Val!$C$6,Val!$B172,Val!$E172,Val!L$10,Val!$C$7,Val!$C172),"")</f>
        <v>-37500</v>
      </c>
      <c r="M172" s="2">
        <f ca="1">IF(Flag_Send_Data=1,_xll.DBSW(Val!M172,Val!$C$1,Val!$C$2,Val!$C$3,Val!$C$4,Val!$D172,Val!$C$5,Val!$C$6,Val!$B172,Val!$E172,Val!M$10,Val!$C$7,Val!$C172),"")</f>
        <v>-37500</v>
      </c>
      <c r="N172" s="2">
        <f ca="1">IF(Flag_Send_Data=1,_xll.DBSW(Val!N172,Val!$C$1,Val!$C$2,Val!$C$3,Val!$C$4,Val!$D172,Val!$C$5,Val!$C$6,Val!$B172,Val!$E172,Val!N$10,Val!$C$7,Val!$C172),"")</f>
        <v>-37500</v>
      </c>
      <c r="O172" s="2">
        <f ca="1">IF(Flag_Send_Data=1,_xll.DBSW(Val!O172,Val!$C$1,Val!$C$2,Val!$C$3,Val!$C$4,Val!$D172,Val!$C$5,Val!$C$6,Val!$B172,Val!$E172,Val!O$10,Val!$C$7,Val!$C172),"")</f>
        <v>-37500</v>
      </c>
      <c r="P172" s="2">
        <f ca="1">IF(Flag_Send_Data=1,_xll.DBSW(Val!P172,Val!$C$1,Val!$C$2,Val!$C$3,Val!$C$4,Val!$D172,Val!$C$5,Val!$C$6,Val!$B172,Val!$E172,Val!P$10,Val!$C$7,Val!$C172),"")</f>
        <v>-37500</v>
      </c>
      <c r="Q172" s="2">
        <f ca="1">IF(Flag_Send_Data=1,_xll.DBSW(Val!Q172,Val!$C$1,Val!$C$2,Val!$C$3,Val!$C$4,Val!$D172,Val!$C$5,Val!$C$6,Val!$B172,Val!$E172,Val!Q$10,Val!$C$7,Val!$C172),"")</f>
        <v>-37500</v>
      </c>
    </row>
    <row r="173" spans="2:17" x14ac:dyDescent="0.25">
      <c r="B173" s="3" t="s">
        <v>256</v>
      </c>
      <c r="C173" t="s">
        <v>59</v>
      </c>
      <c r="D173" t="s">
        <v>199</v>
      </c>
      <c r="E173" t="s">
        <v>128</v>
      </c>
      <c r="F173" s="2">
        <f ca="1">IF(Flag_Send_Data=1,_xll.DBSW(Val!F173,Val!$C$1,Val!$C$2,Val!$C$3,Val!$C$4,Val!$D173,Val!$C$5,Val!$C$6,Val!$B173,Val!$E173,Val!F$10,Val!$C$7,Val!$C173),"")</f>
        <v>-583.33333333333337</v>
      </c>
      <c r="G173" s="2">
        <f ca="1">IF(Flag_Send_Data=1,_xll.DBSW(Val!G173,Val!$C$1,Val!$C$2,Val!$C$3,Val!$C$4,Val!$D173,Val!$C$5,Val!$C$6,Val!$B173,Val!$E173,Val!G$10,Val!$C$7,Val!$C173),"")</f>
        <v>-583.33333333333337</v>
      </c>
      <c r="H173" s="2">
        <f ca="1">IF(Flag_Send_Data=1,_xll.DBSW(Val!H173,Val!$C$1,Val!$C$2,Val!$C$3,Val!$C$4,Val!$D173,Val!$C$5,Val!$C$6,Val!$B173,Val!$E173,Val!H$10,Val!$C$7,Val!$C173),"")</f>
        <v>-583.33333333333337</v>
      </c>
      <c r="I173" s="2">
        <f ca="1">IF(Flag_Send_Data=1,_xll.DBSW(Val!I173,Val!$C$1,Val!$C$2,Val!$C$3,Val!$C$4,Val!$D173,Val!$C$5,Val!$C$6,Val!$B173,Val!$E173,Val!I$10,Val!$C$7,Val!$C173),"")</f>
        <v>-583.33333333333337</v>
      </c>
      <c r="J173" s="2">
        <f ca="1">IF(Flag_Send_Data=1,_xll.DBSW(Val!J173,Val!$C$1,Val!$C$2,Val!$C$3,Val!$C$4,Val!$D173,Val!$C$5,Val!$C$6,Val!$B173,Val!$E173,Val!J$10,Val!$C$7,Val!$C173),"")</f>
        <v>-583.33333333333337</v>
      </c>
      <c r="K173" s="2">
        <f ca="1">IF(Flag_Send_Data=1,_xll.DBSW(Val!K173,Val!$C$1,Val!$C$2,Val!$C$3,Val!$C$4,Val!$D173,Val!$C$5,Val!$C$6,Val!$B173,Val!$E173,Val!K$10,Val!$C$7,Val!$C173),"")</f>
        <v>-583.33333333333337</v>
      </c>
      <c r="L173" s="2">
        <f ca="1">IF(Flag_Send_Data=1,_xll.DBSW(Val!L173,Val!$C$1,Val!$C$2,Val!$C$3,Val!$C$4,Val!$D173,Val!$C$5,Val!$C$6,Val!$B173,Val!$E173,Val!L$10,Val!$C$7,Val!$C173),"")</f>
        <v>-583.33333333333337</v>
      </c>
      <c r="M173" s="2">
        <f ca="1">IF(Flag_Send_Data=1,_xll.DBSW(Val!M173,Val!$C$1,Val!$C$2,Val!$C$3,Val!$C$4,Val!$D173,Val!$C$5,Val!$C$6,Val!$B173,Val!$E173,Val!M$10,Val!$C$7,Val!$C173),"")</f>
        <v>-583.33333333333337</v>
      </c>
      <c r="N173" s="2">
        <f ca="1">IF(Flag_Send_Data=1,_xll.DBSW(Val!N173,Val!$C$1,Val!$C$2,Val!$C$3,Val!$C$4,Val!$D173,Val!$C$5,Val!$C$6,Val!$B173,Val!$E173,Val!N$10,Val!$C$7,Val!$C173),"")</f>
        <v>-583.33333333333337</v>
      </c>
      <c r="O173" s="2">
        <f ca="1">IF(Flag_Send_Data=1,_xll.DBSW(Val!O173,Val!$C$1,Val!$C$2,Val!$C$3,Val!$C$4,Val!$D173,Val!$C$5,Val!$C$6,Val!$B173,Val!$E173,Val!O$10,Val!$C$7,Val!$C173),"")</f>
        <v>-583.33333333333337</v>
      </c>
      <c r="P173" s="2">
        <f ca="1">IF(Flag_Send_Data=1,_xll.DBSW(Val!P173,Val!$C$1,Val!$C$2,Val!$C$3,Val!$C$4,Val!$D173,Val!$C$5,Val!$C$6,Val!$B173,Val!$E173,Val!P$10,Val!$C$7,Val!$C173),"")</f>
        <v>-583.33333333333337</v>
      </c>
      <c r="Q173" s="2">
        <f ca="1">IF(Flag_Send_Data=1,_xll.DBSW(Val!Q173,Val!$C$1,Val!$C$2,Val!$C$3,Val!$C$4,Val!$D173,Val!$C$5,Val!$C$6,Val!$B173,Val!$E173,Val!Q$10,Val!$C$7,Val!$C173),"")</f>
        <v>-583.33333333333337</v>
      </c>
    </row>
    <row r="174" spans="2:17" x14ac:dyDescent="0.25">
      <c r="B174" s="3" t="s">
        <v>256</v>
      </c>
      <c r="C174" t="s">
        <v>117</v>
      </c>
      <c r="D174" t="s">
        <v>199</v>
      </c>
      <c r="E174" t="s">
        <v>128</v>
      </c>
      <c r="F174" s="2">
        <f ca="1">IF(Flag_Send_Data=1,_xll.DBSW(Val!F174,Val!$C$1,Val!$C$2,Val!$C$3,Val!$C$4,Val!$D174,Val!$C$5,Val!$C$6,Val!$B174,Val!$E174,Val!F$10,Val!$C$7,Val!$C174),"")</f>
        <v>-416.66666666666669</v>
      </c>
      <c r="G174" s="2">
        <f ca="1">IF(Flag_Send_Data=1,_xll.DBSW(Val!G174,Val!$C$1,Val!$C$2,Val!$C$3,Val!$C$4,Val!$D174,Val!$C$5,Val!$C$6,Val!$B174,Val!$E174,Val!G$10,Val!$C$7,Val!$C174),"")</f>
        <v>-416.66666666666669</v>
      </c>
      <c r="H174" s="2">
        <f ca="1">IF(Flag_Send_Data=1,_xll.DBSW(Val!H174,Val!$C$1,Val!$C$2,Val!$C$3,Val!$C$4,Val!$D174,Val!$C$5,Val!$C$6,Val!$B174,Val!$E174,Val!H$10,Val!$C$7,Val!$C174),"")</f>
        <v>-416.66666666666669</v>
      </c>
      <c r="I174" s="2">
        <f ca="1">IF(Flag_Send_Data=1,_xll.DBSW(Val!I174,Val!$C$1,Val!$C$2,Val!$C$3,Val!$C$4,Val!$D174,Val!$C$5,Val!$C$6,Val!$B174,Val!$E174,Val!I$10,Val!$C$7,Val!$C174),"")</f>
        <v>-416.66666666666669</v>
      </c>
      <c r="J174" s="2">
        <f ca="1">IF(Flag_Send_Data=1,_xll.DBSW(Val!J174,Val!$C$1,Val!$C$2,Val!$C$3,Val!$C$4,Val!$D174,Val!$C$5,Val!$C$6,Val!$B174,Val!$E174,Val!J$10,Val!$C$7,Val!$C174),"")</f>
        <v>-416.66666666666669</v>
      </c>
      <c r="K174" s="2">
        <f ca="1">IF(Flag_Send_Data=1,_xll.DBSW(Val!K174,Val!$C$1,Val!$C$2,Val!$C$3,Val!$C$4,Val!$D174,Val!$C$5,Val!$C$6,Val!$B174,Val!$E174,Val!K$10,Val!$C$7,Val!$C174),"")</f>
        <v>-416.66666666666669</v>
      </c>
      <c r="L174" s="2">
        <f ca="1">IF(Flag_Send_Data=1,_xll.DBSW(Val!L174,Val!$C$1,Val!$C$2,Val!$C$3,Val!$C$4,Val!$D174,Val!$C$5,Val!$C$6,Val!$B174,Val!$E174,Val!L$10,Val!$C$7,Val!$C174),"")</f>
        <v>-416.66666666666669</v>
      </c>
      <c r="M174" s="2">
        <f ca="1">IF(Flag_Send_Data=1,_xll.DBSW(Val!M174,Val!$C$1,Val!$C$2,Val!$C$3,Val!$C$4,Val!$D174,Val!$C$5,Val!$C$6,Val!$B174,Val!$E174,Val!M$10,Val!$C$7,Val!$C174),"")</f>
        <v>-416.66666666666669</v>
      </c>
      <c r="N174" s="2">
        <f ca="1">IF(Flag_Send_Data=1,_xll.DBSW(Val!N174,Val!$C$1,Val!$C$2,Val!$C$3,Val!$C$4,Val!$D174,Val!$C$5,Val!$C$6,Val!$B174,Val!$E174,Val!N$10,Val!$C$7,Val!$C174),"")</f>
        <v>-416.66666666666669</v>
      </c>
      <c r="O174" s="2">
        <f ca="1">IF(Flag_Send_Data=1,_xll.DBSW(Val!O174,Val!$C$1,Val!$C$2,Val!$C$3,Val!$C$4,Val!$D174,Val!$C$5,Val!$C$6,Val!$B174,Val!$E174,Val!O$10,Val!$C$7,Val!$C174),"")</f>
        <v>-416.66666666666669</v>
      </c>
      <c r="P174" s="2">
        <f ca="1">IF(Flag_Send_Data=1,_xll.DBSW(Val!P174,Val!$C$1,Val!$C$2,Val!$C$3,Val!$C$4,Val!$D174,Val!$C$5,Val!$C$6,Val!$B174,Val!$E174,Val!P$10,Val!$C$7,Val!$C174),"")</f>
        <v>-416.66666666666669</v>
      </c>
      <c r="Q174" s="2">
        <f ca="1">IF(Flag_Send_Data=1,_xll.DBSW(Val!Q174,Val!$C$1,Val!$C$2,Val!$C$3,Val!$C$4,Val!$D174,Val!$C$5,Val!$C$6,Val!$B174,Val!$E174,Val!Q$10,Val!$C$7,Val!$C174),"")</f>
        <v>-416.66666666666669</v>
      </c>
    </row>
    <row r="175" spans="2:17" x14ac:dyDescent="0.25">
      <c r="B175" s="3" t="s">
        <v>257</v>
      </c>
      <c r="C175" t="s">
        <v>56</v>
      </c>
      <c r="D175" t="s">
        <v>199</v>
      </c>
      <c r="E175" t="s">
        <v>128</v>
      </c>
      <c r="F175" s="2">
        <f ca="1">IF(Flag_Send_Data=1,_xll.DBSW(Val!F175,Val!$C$1,Val!$C$2,Val!$C$3,Val!$C$4,Val!$D175,Val!$C$5,Val!$C$6,Val!$B175,Val!$E175,Val!F$10,Val!$C$7,Val!$C175),"")</f>
        <v>-38169.74</v>
      </c>
      <c r="G175" s="2">
        <f ca="1">IF(Flag_Send_Data=1,_xll.DBSW(Val!G175,Val!$C$1,Val!$C$2,Val!$C$3,Val!$C$4,Val!$D175,Val!$C$5,Val!$C$6,Val!$B175,Val!$E175,Val!G$10,Val!$C$7,Val!$C175),"")</f>
        <v>-38169.74</v>
      </c>
      <c r="H175" s="2">
        <f ca="1">IF(Flag_Send_Data=1,_xll.DBSW(Val!H175,Val!$C$1,Val!$C$2,Val!$C$3,Val!$C$4,Val!$D175,Val!$C$5,Val!$C$6,Val!$B175,Val!$E175,Val!H$10,Val!$C$7,Val!$C175),"")</f>
        <v>-38169.74</v>
      </c>
      <c r="I175" s="2">
        <f ca="1">IF(Flag_Send_Data=1,_xll.DBSW(Val!I175,Val!$C$1,Val!$C$2,Val!$C$3,Val!$C$4,Val!$D175,Val!$C$5,Val!$C$6,Val!$B175,Val!$E175,Val!I$10,Val!$C$7,Val!$C175),"")</f>
        <v>-38169.74</v>
      </c>
      <c r="J175" s="2">
        <f ca="1">IF(Flag_Send_Data=1,_xll.DBSW(Val!J175,Val!$C$1,Val!$C$2,Val!$C$3,Val!$C$4,Val!$D175,Val!$C$5,Val!$C$6,Val!$B175,Val!$E175,Val!J$10,Val!$C$7,Val!$C175),"")</f>
        <v>-38169.74</v>
      </c>
      <c r="K175" s="2">
        <f ca="1">IF(Flag_Send_Data=1,_xll.DBSW(Val!K175,Val!$C$1,Val!$C$2,Val!$C$3,Val!$C$4,Val!$D175,Val!$C$5,Val!$C$6,Val!$B175,Val!$E175,Val!K$10,Val!$C$7,Val!$C175),"")</f>
        <v>-38169.74</v>
      </c>
      <c r="L175" s="2">
        <f ca="1">IF(Flag_Send_Data=1,_xll.DBSW(Val!L175,Val!$C$1,Val!$C$2,Val!$C$3,Val!$C$4,Val!$D175,Val!$C$5,Val!$C$6,Val!$B175,Val!$E175,Val!L$10,Val!$C$7,Val!$C175),"")</f>
        <v>-38169.74</v>
      </c>
      <c r="M175" s="2">
        <f ca="1">IF(Flag_Send_Data=1,_xll.DBSW(Val!M175,Val!$C$1,Val!$C$2,Val!$C$3,Val!$C$4,Val!$D175,Val!$C$5,Val!$C$6,Val!$B175,Val!$E175,Val!M$10,Val!$C$7,Val!$C175),"")</f>
        <v>-38169.74</v>
      </c>
      <c r="N175" s="2">
        <f ca="1">IF(Flag_Send_Data=1,_xll.DBSW(Val!N175,Val!$C$1,Val!$C$2,Val!$C$3,Val!$C$4,Val!$D175,Val!$C$5,Val!$C$6,Val!$B175,Val!$E175,Val!N$10,Val!$C$7,Val!$C175),"")</f>
        <v>-38169.74</v>
      </c>
      <c r="O175" s="2">
        <f ca="1">IF(Flag_Send_Data=1,_xll.DBSW(Val!O175,Val!$C$1,Val!$C$2,Val!$C$3,Val!$C$4,Val!$D175,Val!$C$5,Val!$C$6,Val!$B175,Val!$E175,Val!O$10,Val!$C$7,Val!$C175),"")</f>
        <v>-38169.74</v>
      </c>
      <c r="P175" s="2">
        <f ca="1">IF(Flag_Send_Data=1,_xll.DBSW(Val!P175,Val!$C$1,Val!$C$2,Val!$C$3,Val!$C$4,Val!$D175,Val!$C$5,Val!$C$6,Val!$B175,Val!$E175,Val!P$10,Val!$C$7,Val!$C175),"")</f>
        <v>-38169.74</v>
      </c>
      <c r="Q175" s="2">
        <f ca="1">IF(Flag_Send_Data=1,_xll.DBSW(Val!Q175,Val!$C$1,Val!$C$2,Val!$C$3,Val!$C$4,Val!$D175,Val!$C$5,Val!$C$6,Val!$B175,Val!$E175,Val!Q$10,Val!$C$7,Val!$C175),"")</f>
        <v>-38169.74</v>
      </c>
    </row>
    <row r="176" spans="2:17" x14ac:dyDescent="0.25">
      <c r="B176" s="3" t="s">
        <v>257</v>
      </c>
      <c r="C176" t="s">
        <v>58</v>
      </c>
      <c r="D176" t="s">
        <v>199</v>
      </c>
      <c r="E176" t="s">
        <v>128</v>
      </c>
      <c r="F176" s="2">
        <f ca="1">IF(Flag_Send_Data=1,_xll.DBSW(Val!F176,Val!$C$1,Val!$C$2,Val!$C$3,Val!$C$4,Val!$D176,Val!$C$5,Val!$C$6,Val!$B176,Val!$E176,Val!F$10,Val!$C$7,Val!$C176),"")</f>
        <v>-2583.3333333333335</v>
      </c>
      <c r="G176" s="2">
        <f ca="1">IF(Flag_Send_Data=1,_xll.DBSW(Val!G176,Val!$C$1,Val!$C$2,Val!$C$3,Val!$C$4,Val!$D176,Val!$C$5,Val!$C$6,Val!$B176,Val!$E176,Val!G$10,Val!$C$7,Val!$C176),"")</f>
        <v>-2583.3333333333335</v>
      </c>
      <c r="H176" s="2">
        <f ca="1">IF(Flag_Send_Data=1,_xll.DBSW(Val!H176,Val!$C$1,Val!$C$2,Val!$C$3,Val!$C$4,Val!$D176,Val!$C$5,Val!$C$6,Val!$B176,Val!$E176,Val!H$10,Val!$C$7,Val!$C176),"")</f>
        <v>-2583.3333333333335</v>
      </c>
      <c r="I176" s="2">
        <f ca="1">IF(Flag_Send_Data=1,_xll.DBSW(Val!I176,Val!$C$1,Val!$C$2,Val!$C$3,Val!$C$4,Val!$D176,Val!$C$5,Val!$C$6,Val!$B176,Val!$E176,Val!I$10,Val!$C$7,Val!$C176),"")</f>
        <v>-2583.3333333333335</v>
      </c>
      <c r="J176" s="2">
        <f ca="1">IF(Flag_Send_Data=1,_xll.DBSW(Val!J176,Val!$C$1,Val!$C$2,Val!$C$3,Val!$C$4,Val!$D176,Val!$C$5,Val!$C$6,Val!$B176,Val!$E176,Val!J$10,Val!$C$7,Val!$C176),"")</f>
        <v>-2583.3333333333335</v>
      </c>
      <c r="K176" s="2">
        <f ca="1">IF(Flag_Send_Data=1,_xll.DBSW(Val!K176,Val!$C$1,Val!$C$2,Val!$C$3,Val!$C$4,Val!$D176,Val!$C$5,Val!$C$6,Val!$B176,Val!$E176,Val!K$10,Val!$C$7,Val!$C176),"")</f>
        <v>-2583.3333333333335</v>
      </c>
      <c r="L176" s="2">
        <f ca="1">IF(Flag_Send_Data=1,_xll.DBSW(Val!L176,Val!$C$1,Val!$C$2,Val!$C$3,Val!$C$4,Val!$D176,Val!$C$5,Val!$C$6,Val!$B176,Val!$E176,Val!L$10,Val!$C$7,Val!$C176),"")</f>
        <v>-2583.3333333333335</v>
      </c>
      <c r="M176" s="2">
        <f ca="1">IF(Flag_Send_Data=1,_xll.DBSW(Val!M176,Val!$C$1,Val!$C$2,Val!$C$3,Val!$C$4,Val!$D176,Val!$C$5,Val!$C$6,Val!$B176,Val!$E176,Val!M$10,Val!$C$7,Val!$C176),"")</f>
        <v>-2583.3333333333335</v>
      </c>
      <c r="N176" s="2">
        <f ca="1">IF(Flag_Send_Data=1,_xll.DBSW(Val!N176,Val!$C$1,Val!$C$2,Val!$C$3,Val!$C$4,Val!$D176,Val!$C$5,Val!$C$6,Val!$B176,Val!$E176,Val!N$10,Val!$C$7,Val!$C176),"")</f>
        <v>-2583.3333333333335</v>
      </c>
      <c r="O176" s="2">
        <f ca="1">IF(Flag_Send_Data=1,_xll.DBSW(Val!O176,Val!$C$1,Val!$C$2,Val!$C$3,Val!$C$4,Val!$D176,Val!$C$5,Val!$C$6,Val!$B176,Val!$E176,Val!O$10,Val!$C$7,Val!$C176),"")</f>
        <v>-2583.3333333333335</v>
      </c>
      <c r="P176" s="2">
        <f ca="1">IF(Flag_Send_Data=1,_xll.DBSW(Val!P176,Val!$C$1,Val!$C$2,Val!$C$3,Val!$C$4,Val!$D176,Val!$C$5,Val!$C$6,Val!$B176,Val!$E176,Val!P$10,Val!$C$7,Val!$C176),"")</f>
        <v>-2583.3333333333335</v>
      </c>
      <c r="Q176" s="2">
        <f ca="1">IF(Flag_Send_Data=1,_xll.DBSW(Val!Q176,Val!$C$1,Val!$C$2,Val!$C$3,Val!$C$4,Val!$D176,Val!$C$5,Val!$C$6,Val!$B176,Val!$E176,Val!Q$10,Val!$C$7,Val!$C176),"")</f>
        <v>-2583.3333333333335</v>
      </c>
    </row>
    <row r="177" spans="2:17" x14ac:dyDescent="0.25">
      <c r="B177" s="3" t="s">
        <v>257</v>
      </c>
      <c r="C177" t="s">
        <v>59</v>
      </c>
      <c r="D177" t="s">
        <v>199</v>
      </c>
      <c r="E177" t="s">
        <v>128</v>
      </c>
      <c r="F177" s="2">
        <f ca="1">IF(Flag_Send_Data=1,_xll.DBSW(Val!F177,Val!$C$1,Val!$C$2,Val!$C$3,Val!$C$4,Val!$D177,Val!$C$5,Val!$C$6,Val!$B177,Val!$E177,Val!F$10,Val!$C$7,Val!$C177),"")</f>
        <v>-83.333333333333329</v>
      </c>
      <c r="G177" s="2">
        <f ca="1">IF(Flag_Send_Data=1,_xll.DBSW(Val!G177,Val!$C$1,Val!$C$2,Val!$C$3,Val!$C$4,Val!$D177,Val!$C$5,Val!$C$6,Val!$B177,Val!$E177,Val!G$10,Val!$C$7,Val!$C177),"")</f>
        <v>-83.333333333333329</v>
      </c>
      <c r="H177" s="2">
        <f ca="1">IF(Flag_Send_Data=1,_xll.DBSW(Val!H177,Val!$C$1,Val!$C$2,Val!$C$3,Val!$C$4,Val!$D177,Val!$C$5,Val!$C$6,Val!$B177,Val!$E177,Val!H$10,Val!$C$7,Val!$C177),"")</f>
        <v>-83.333333333333329</v>
      </c>
      <c r="I177" s="2">
        <f ca="1">IF(Flag_Send_Data=1,_xll.DBSW(Val!I177,Val!$C$1,Val!$C$2,Val!$C$3,Val!$C$4,Val!$D177,Val!$C$5,Val!$C$6,Val!$B177,Val!$E177,Val!I$10,Val!$C$7,Val!$C177),"")</f>
        <v>-83.333333333333329</v>
      </c>
      <c r="J177" s="2">
        <f ca="1">IF(Flag_Send_Data=1,_xll.DBSW(Val!J177,Val!$C$1,Val!$C$2,Val!$C$3,Val!$C$4,Val!$D177,Val!$C$5,Val!$C$6,Val!$B177,Val!$E177,Val!J$10,Val!$C$7,Val!$C177),"")</f>
        <v>-83.333333333333329</v>
      </c>
      <c r="K177" s="2">
        <f ca="1">IF(Flag_Send_Data=1,_xll.DBSW(Val!K177,Val!$C$1,Val!$C$2,Val!$C$3,Val!$C$4,Val!$D177,Val!$C$5,Val!$C$6,Val!$B177,Val!$E177,Val!K$10,Val!$C$7,Val!$C177),"")</f>
        <v>-83.333333333333329</v>
      </c>
      <c r="L177" s="2">
        <f ca="1">IF(Flag_Send_Data=1,_xll.DBSW(Val!L177,Val!$C$1,Val!$C$2,Val!$C$3,Val!$C$4,Val!$D177,Val!$C$5,Val!$C$6,Val!$B177,Val!$E177,Val!L$10,Val!$C$7,Val!$C177),"")</f>
        <v>-83.333333333333329</v>
      </c>
      <c r="M177" s="2">
        <f ca="1">IF(Flag_Send_Data=1,_xll.DBSW(Val!M177,Val!$C$1,Val!$C$2,Val!$C$3,Val!$C$4,Val!$D177,Val!$C$5,Val!$C$6,Val!$B177,Val!$E177,Val!M$10,Val!$C$7,Val!$C177),"")</f>
        <v>-83.333333333333329</v>
      </c>
      <c r="N177" s="2">
        <f ca="1">IF(Flag_Send_Data=1,_xll.DBSW(Val!N177,Val!$C$1,Val!$C$2,Val!$C$3,Val!$C$4,Val!$D177,Val!$C$5,Val!$C$6,Val!$B177,Val!$E177,Val!N$10,Val!$C$7,Val!$C177),"")</f>
        <v>-83.333333333333329</v>
      </c>
      <c r="O177" s="2">
        <f ca="1">IF(Flag_Send_Data=1,_xll.DBSW(Val!O177,Val!$C$1,Val!$C$2,Val!$C$3,Val!$C$4,Val!$D177,Val!$C$5,Val!$C$6,Val!$B177,Val!$E177,Val!O$10,Val!$C$7,Val!$C177),"")</f>
        <v>-83.333333333333329</v>
      </c>
      <c r="P177" s="2">
        <f ca="1">IF(Flag_Send_Data=1,_xll.DBSW(Val!P177,Val!$C$1,Val!$C$2,Val!$C$3,Val!$C$4,Val!$D177,Val!$C$5,Val!$C$6,Val!$B177,Val!$E177,Val!P$10,Val!$C$7,Val!$C177),"")</f>
        <v>-83.333333333333329</v>
      </c>
      <c r="Q177" s="2">
        <f ca="1">IF(Flag_Send_Data=1,_xll.DBSW(Val!Q177,Val!$C$1,Val!$C$2,Val!$C$3,Val!$C$4,Val!$D177,Val!$C$5,Val!$C$6,Val!$B177,Val!$E177,Val!Q$10,Val!$C$7,Val!$C177),"")</f>
        <v>-83.333333333333329</v>
      </c>
    </row>
    <row r="178" spans="2:17" x14ac:dyDescent="0.25">
      <c r="B178" s="3" t="s">
        <v>257</v>
      </c>
      <c r="C178" t="s">
        <v>117</v>
      </c>
      <c r="D178" t="s">
        <v>199</v>
      </c>
      <c r="E178" t="s">
        <v>128</v>
      </c>
      <c r="F178" s="2">
        <f ca="1">IF(Flag_Send_Data=1,_xll.DBSW(Val!F178,Val!$C$1,Val!$C$2,Val!$C$3,Val!$C$4,Val!$D178,Val!$C$5,Val!$C$6,Val!$B178,Val!$E178,Val!F$10,Val!$C$7,Val!$C178),"")</f>
        <v>-666.66666666666663</v>
      </c>
      <c r="G178" s="2">
        <f ca="1">IF(Flag_Send_Data=1,_xll.DBSW(Val!G178,Val!$C$1,Val!$C$2,Val!$C$3,Val!$C$4,Val!$D178,Val!$C$5,Val!$C$6,Val!$B178,Val!$E178,Val!G$10,Val!$C$7,Val!$C178),"")</f>
        <v>-666.66666666666663</v>
      </c>
      <c r="H178" s="2">
        <f ca="1">IF(Flag_Send_Data=1,_xll.DBSW(Val!H178,Val!$C$1,Val!$C$2,Val!$C$3,Val!$C$4,Val!$D178,Val!$C$5,Val!$C$6,Val!$B178,Val!$E178,Val!H$10,Val!$C$7,Val!$C178),"")</f>
        <v>-666.66666666666663</v>
      </c>
      <c r="I178" s="2">
        <f ca="1">IF(Flag_Send_Data=1,_xll.DBSW(Val!I178,Val!$C$1,Val!$C$2,Val!$C$3,Val!$C$4,Val!$D178,Val!$C$5,Val!$C$6,Val!$B178,Val!$E178,Val!I$10,Val!$C$7,Val!$C178),"")</f>
        <v>-666.66666666666663</v>
      </c>
      <c r="J178" s="2">
        <f ca="1">IF(Flag_Send_Data=1,_xll.DBSW(Val!J178,Val!$C$1,Val!$C$2,Val!$C$3,Val!$C$4,Val!$D178,Val!$C$5,Val!$C$6,Val!$B178,Val!$E178,Val!J$10,Val!$C$7,Val!$C178),"")</f>
        <v>-666.66666666666663</v>
      </c>
      <c r="K178" s="2">
        <f ca="1">IF(Flag_Send_Data=1,_xll.DBSW(Val!K178,Val!$C$1,Val!$C$2,Val!$C$3,Val!$C$4,Val!$D178,Val!$C$5,Val!$C$6,Val!$B178,Val!$E178,Val!K$10,Val!$C$7,Val!$C178),"")</f>
        <v>-666.66666666666663</v>
      </c>
      <c r="L178" s="2">
        <f ca="1">IF(Flag_Send_Data=1,_xll.DBSW(Val!L178,Val!$C$1,Val!$C$2,Val!$C$3,Val!$C$4,Val!$D178,Val!$C$5,Val!$C$6,Val!$B178,Val!$E178,Val!L$10,Val!$C$7,Val!$C178),"")</f>
        <v>-666.66666666666663</v>
      </c>
      <c r="M178" s="2">
        <f ca="1">IF(Flag_Send_Data=1,_xll.DBSW(Val!M178,Val!$C$1,Val!$C$2,Val!$C$3,Val!$C$4,Val!$D178,Val!$C$5,Val!$C$6,Val!$B178,Val!$E178,Val!M$10,Val!$C$7,Val!$C178),"")</f>
        <v>-666.66666666666663</v>
      </c>
      <c r="N178" s="2">
        <f ca="1">IF(Flag_Send_Data=1,_xll.DBSW(Val!N178,Val!$C$1,Val!$C$2,Val!$C$3,Val!$C$4,Val!$D178,Val!$C$5,Val!$C$6,Val!$B178,Val!$E178,Val!N$10,Val!$C$7,Val!$C178),"")</f>
        <v>-666.66666666666663</v>
      </c>
      <c r="O178" s="2">
        <f ca="1">IF(Flag_Send_Data=1,_xll.DBSW(Val!O178,Val!$C$1,Val!$C$2,Val!$C$3,Val!$C$4,Val!$D178,Val!$C$5,Val!$C$6,Val!$B178,Val!$E178,Val!O$10,Val!$C$7,Val!$C178),"")</f>
        <v>-666.66666666666663</v>
      </c>
      <c r="P178" s="2">
        <f ca="1">IF(Flag_Send_Data=1,_xll.DBSW(Val!P178,Val!$C$1,Val!$C$2,Val!$C$3,Val!$C$4,Val!$D178,Val!$C$5,Val!$C$6,Val!$B178,Val!$E178,Val!P$10,Val!$C$7,Val!$C178),"")</f>
        <v>-666.66666666666663</v>
      </c>
      <c r="Q178" s="2">
        <f ca="1">IF(Flag_Send_Data=1,_xll.DBSW(Val!Q178,Val!$C$1,Val!$C$2,Val!$C$3,Val!$C$4,Val!$D178,Val!$C$5,Val!$C$6,Val!$B178,Val!$E178,Val!Q$10,Val!$C$7,Val!$C178),"")</f>
        <v>-666.66666666666663</v>
      </c>
    </row>
    <row r="179" spans="2:17" x14ac:dyDescent="0.25">
      <c r="B179" s="3" t="s">
        <v>257</v>
      </c>
      <c r="C179" t="s">
        <v>118</v>
      </c>
      <c r="D179" t="s">
        <v>199</v>
      </c>
      <c r="E179" t="s">
        <v>14</v>
      </c>
      <c r="F179" s="2">
        <f ca="1">IF(Flag_Send_Data=1,_xll.DBSW(Val!F179,Val!$C$1,Val!$C$2,Val!$C$3,Val!$C$4,Val!$D179,Val!$C$5,Val!$C$6,Val!$B179,Val!$E179,Val!F$10,Val!$C$7,Val!$C179),"")</f>
        <v>38169.74</v>
      </c>
      <c r="G179" s="2">
        <f ca="1">IF(Flag_Send_Data=1,_xll.DBSW(Val!G179,Val!$C$1,Val!$C$2,Val!$C$3,Val!$C$4,Val!$D179,Val!$C$5,Val!$C$6,Val!$B179,Val!$E179,Val!G$10,Val!$C$7,Val!$C179),"")</f>
        <v>38169.74</v>
      </c>
      <c r="H179" s="2">
        <f ca="1">IF(Flag_Send_Data=1,_xll.DBSW(Val!H179,Val!$C$1,Val!$C$2,Val!$C$3,Val!$C$4,Val!$D179,Val!$C$5,Val!$C$6,Val!$B179,Val!$E179,Val!H$10,Val!$C$7,Val!$C179),"")</f>
        <v>38169.74</v>
      </c>
      <c r="I179" s="2">
        <f ca="1">IF(Flag_Send_Data=1,_xll.DBSW(Val!I179,Val!$C$1,Val!$C$2,Val!$C$3,Val!$C$4,Val!$D179,Val!$C$5,Val!$C$6,Val!$B179,Val!$E179,Val!I$10,Val!$C$7,Val!$C179),"")</f>
        <v>38169.74</v>
      </c>
      <c r="J179" s="2">
        <f ca="1">IF(Flag_Send_Data=1,_xll.DBSW(Val!J179,Val!$C$1,Val!$C$2,Val!$C$3,Val!$C$4,Val!$D179,Val!$C$5,Val!$C$6,Val!$B179,Val!$E179,Val!J$10,Val!$C$7,Val!$C179),"")</f>
        <v>38169.74</v>
      </c>
      <c r="K179" s="2">
        <f ca="1">IF(Flag_Send_Data=1,_xll.DBSW(Val!K179,Val!$C$1,Val!$C$2,Val!$C$3,Val!$C$4,Val!$D179,Val!$C$5,Val!$C$6,Val!$B179,Val!$E179,Val!K$10,Val!$C$7,Val!$C179),"")</f>
        <v>38169.74</v>
      </c>
      <c r="L179" s="2">
        <f ca="1">IF(Flag_Send_Data=1,_xll.DBSW(Val!L179,Val!$C$1,Val!$C$2,Val!$C$3,Val!$C$4,Val!$D179,Val!$C$5,Val!$C$6,Val!$B179,Val!$E179,Val!L$10,Val!$C$7,Val!$C179),"")</f>
        <v>38169.74</v>
      </c>
      <c r="M179" s="2">
        <f ca="1">IF(Flag_Send_Data=1,_xll.DBSW(Val!M179,Val!$C$1,Val!$C$2,Val!$C$3,Val!$C$4,Val!$D179,Val!$C$5,Val!$C$6,Val!$B179,Val!$E179,Val!M$10,Val!$C$7,Val!$C179),"")</f>
        <v>38169.74</v>
      </c>
      <c r="N179" s="2">
        <f ca="1">IF(Flag_Send_Data=1,_xll.DBSW(Val!N179,Val!$C$1,Val!$C$2,Val!$C$3,Val!$C$4,Val!$D179,Val!$C$5,Val!$C$6,Val!$B179,Val!$E179,Val!N$10,Val!$C$7,Val!$C179),"")</f>
        <v>38169.74</v>
      </c>
      <c r="O179" s="2">
        <f ca="1">IF(Flag_Send_Data=1,_xll.DBSW(Val!O179,Val!$C$1,Val!$C$2,Val!$C$3,Val!$C$4,Val!$D179,Val!$C$5,Val!$C$6,Val!$B179,Val!$E179,Val!O$10,Val!$C$7,Val!$C179),"")</f>
        <v>38169.74</v>
      </c>
      <c r="P179" s="2">
        <f ca="1">IF(Flag_Send_Data=1,_xll.DBSW(Val!P179,Val!$C$1,Val!$C$2,Val!$C$3,Val!$C$4,Val!$D179,Val!$C$5,Val!$C$6,Val!$B179,Val!$E179,Val!P$10,Val!$C$7,Val!$C179),"")</f>
        <v>38169.74</v>
      </c>
      <c r="Q179" s="2">
        <f ca="1">IF(Flag_Send_Data=1,_xll.DBSW(Val!Q179,Val!$C$1,Val!$C$2,Val!$C$3,Val!$C$4,Val!$D179,Val!$C$5,Val!$C$6,Val!$B179,Val!$E179,Val!Q$10,Val!$C$7,Val!$C179),"")</f>
        <v>38169.74</v>
      </c>
    </row>
    <row r="180" spans="2:17" x14ac:dyDescent="0.25">
      <c r="B180" s="3" t="s">
        <v>258</v>
      </c>
      <c r="C180" t="s">
        <v>19</v>
      </c>
      <c r="D180" t="s">
        <v>199</v>
      </c>
      <c r="E180" t="s">
        <v>128</v>
      </c>
      <c r="F180" s="2">
        <f ca="1">IF(Flag_Send_Data=1,_xll.DBSW(Val!F180,Val!$C$1,Val!$C$2,Val!$C$3,Val!$C$4,Val!$D180,Val!$C$5,Val!$C$6,Val!$B180,Val!$E180,Val!F$10,Val!$C$7,Val!$C180),"")</f>
        <v>-5000</v>
      </c>
      <c r="G180" s="2">
        <f ca="1">IF(Flag_Send_Data=1,_xll.DBSW(Val!G180,Val!$C$1,Val!$C$2,Val!$C$3,Val!$C$4,Val!$D180,Val!$C$5,Val!$C$6,Val!$B180,Val!$E180,Val!G$10,Val!$C$7,Val!$C180),"")</f>
        <v>-5000</v>
      </c>
      <c r="H180" s="2">
        <f ca="1">IF(Flag_Send_Data=1,_xll.DBSW(Val!H180,Val!$C$1,Val!$C$2,Val!$C$3,Val!$C$4,Val!$D180,Val!$C$5,Val!$C$6,Val!$B180,Val!$E180,Val!H$10,Val!$C$7,Val!$C180),"")</f>
        <v>-5000</v>
      </c>
      <c r="I180" s="2">
        <f ca="1">IF(Flag_Send_Data=1,_xll.DBSW(Val!I180,Val!$C$1,Val!$C$2,Val!$C$3,Val!$C$4,Val!$D180,Val!$C$5,Val!$C$6,Val!$B180,Val!$E180,Val!I$10,Val!$C$7,Val!$C180),"")</f>
        <v>-5000</v>
      </c>
      <c r="J180" s="2">
        <f ca="1">IF(Flag_Send_Data=1,_xll.DBSW(Val!J180,Val!$C$1,Val!$C$2,Val!$C$3,Val!$C$4,Val!$D180,Val!$C$5,Val!$C$6,Val!$B180,Val!$E180,Val!J$10,Val!$C$7,Val!$C180),"")</f>
        <v>-5000</v>
      </c>
      <c r="K180" s="2">
        <f ca="1">IF(Flag_Send_Data=1,_xll.DBSW(Val!K180,Val!$C$1,Val!$C$2,Val!$C$3,Val!$C$4,Val!$D180,Val!$C$5,Val!$C$6,Val!$B180,Val!$E180,Val!K$10,Val!$C$7,Val!$C180),"")</f>
        <v>-5000</v>
      </c>
      <c r="L180" s="2">
        <f ca="1">IF(Flag_Send_Data=1,_xll.DBSW(Val!L180,Val!$C$1,Val!$C$2,Val!$C$3,Val!$C$4,Val!$D180,Val!$C$5,Val!$C$6,Val!$B180,Val!$E180,Val!L$10,Val!$C$7,Val!$C180),"")</f>
        <v>-5000</v>
      </c>
      <c r="M180" s="2">
        <f ca="1">IF(Flag_Send_Data=1,_xll.DBSW(Val!M180,Val!$C$1,Val!$C$2,Val!$C$3,Val!$C$4,Val!$D180,Val!$C$5,Val!$C$6,Val!$B180,Val!$E180,Val!M$10,Val!$C$7,Val!$C180),"")</f>
        <v>-5000</v>
      </c>
      <c r="N180" s="2">
        <f ca="1">IF(Flag_Send_Data=1,_xll.DBSW(Val!N180,Val!$C$1,Val!$C$2,Val!$C$3,Val!$C$4,Val!$D180,Val!$C$5,Val!$C$6,Val!$B180,Val!$E180,Val!N$10,Val!$C$7,Val!$C180),"")</f>
        <v>-5000</v>
      </c>
      <c r="O180" s="2">
        <f ca="1">IF(Flag_Send_Data=1,_xll.DBSW(Val!O180,Val!$C$1,Val!$C$2,Val!$C$3,Val!$C$4,Val!$D180,Val!$C$5,Val!$C$6,Val!$B180,Val!$E180,Val!O$10,Val!$C$7,Val!$C180),"")</f>
        <v>-5000</v>
      </c>
      <c r="P180" s="2">
        <f ca="1">IF(Flag_Send_Data=1,_xll.DBSW(Val!P180,Val!$C$1,Val!$C$2,Val!$C$3,Val!$C$4,Val!$D180,Val!$C$5,Val!$C$6,Val!$B180,Val!$E180,Val!P$10,Val!$C$7,Val!$C180),"")</f>
        <v>-5000</v>
      </c>
      <c r="Q180" s="2">
        <f ca="1">IF(Flag_Send_Data=1,_xll.DBSW(Val!Q180,Val!$C$1,Val!$C$2,Val!$C$3,Val!$C$4,Val!$D180,Val!$C$5,Val!$C$6,Val!$B180,Val!$E180,Val!Q$10,Val!$C$7,Val!$C180),"")</f>
        <v>-5000</v>
      </c>
    </row>
    <row r="181" spans="2:17" x14ac:dyDescent="0.25">
      <c r="B181" s="3" t="s">
        <v>258</v>
      </c>
      <c r="C181" t="s">
        <v>20</v>
      </c>
      <c r="D181" t="s">
        <v>199</v>
      </c>
      <c r="E181" t="s">
        <v>128</v>
      </c>
      <c r="F181" s="2">
        <f ca="1">IF(Flag_Send_Data=1,_xll.DBSW(Val!F181,Val!$C$1,Val!$C$2,Val!$C$3,Val!$C$4,Val!$D181,Val!$C$5,Val!$C$6,Val!$B181,Val!$E181,Val!F$10,Val!$C$7,Val!$C181),"")</f>
        <v>-4416.666666666667</v>
      </c>
      <c r="G181" s="2">
        <f ca="1">IF(Flag_Send_Data=1,_xll.DBSW(Val!G181,Val!$C$1,Val!$C$2,Val!$C$3,Val!$C$4,Val!$D181,Val!$C$5,Val!$C$6,Val!$B181,Val!$E181,Val!G$10,Val!$C$7,Val!$C181),"")</f>
        <v>-4416.666666666667</v>
      </c>
      <c r="H181" s="2">
        <f ca="1">IF(Flag_Send_Data=1,_xll.DBSW(Val!H181,Val!$C$1,Val!$C$2,Val!$C$3,Val!$C$4,Val!$D181,Val!$C$5,Val!$C$6,Val!$B181,Val!$E181,Val!H$10,Val!$C$7,Val!$C181),"")</f>
        <v>-4416.666666666667</v>
      </c>
      <c r="I181" s="2">
        <f ca="1">IF(Flag_Send_Data=1,_xll.DBSW(Val!I181,Val!$C$1,Val!$C$2,Val!$C$3,Val!$C$4,Val!$D181,Val!$C$5,Val!$C$6,Val!$B181,Val!$E181,Val!I$10,Val!$C$7,Val!$C181),"")</f>
        <v>-4416.666666666667</v>
      </c>
      <c r="J181" s="2">
        <f ca="1">IF(Flag_Send_Data=1,_xll.DBSW(Val!J181,Val!$C$1,Val!$C$2,Val!$C$3,Val!$C$4,Val!$D181,Val!$C$5,Val!$C$6,Val!$B181,Val!$E181,Val!J$10,Val!$C$7,Val!$C181),"")</f>
        <v>-4416.666666666667</v>
      </c>
      <c r="K181" s="2">
        <f ca="1">IF(Flag_Send_Data=1,_xll.DBSW(Val!K181,Val!$C$1,Val!$C$2,Val!$C$3,Val!$C$4,Val!$D181,Val!$C$5,Val!$C$6,Val!$B181,Val!$E181,Val!K$10,Val!$C$7,Val!$C181),"")</f>
        <v>-4416.666666666667</v>
      </c>
      <c r="L181" s="2">
        <f ca="1">IF(Flag_Send_Data=1,_xll.DBSW(Val!L181,Val!$C$1,Val!$C$2,Val!$C$3,Val!$C$4,Val!$D181,Val!$C$5,Val!$C$6,Val!$B181,Val!$E181,Val!L$10,Val!$C$7,Val!$C181),"")</f>
        <v>-4416.666666666667</v>
      </c>
      <c r="M181" s="2">
        <f ca="1">IF(Flag_Send_Data=1,_xll.DBSW(Val!M181,Val!$C$1,Val!$C$2,Val!$C$3,Val!$C$4,Val!$D181,Val!$C$5,Val!$C$6,Val!$B181,Val!$E181,Val!M$10,Val!$C$7,Val!$C181),"")</f>
        <v>-4416.666666666667</v>
      </c>
      <c r="N181" s="2">
        <f ca="1">IF(Flag_Send_Data=1,_xll.DBSW(Val!N181,Val!$C$1,Val!$C$2,Val!$C$3,Val!$C$4,Val!$D181,Val!$C$5,Val!$C$6,Val!$B181,Val!$E181,Val!N$10,Val!$C$7,Val!$C181),"")</f>
        <v>-4416.666666666667</v>
      </c>
      <c r="O181" s="2">
        <f ca="1">IF(Flag_Send_Data=1,_xll.DBSW(Val!O181,Val!$C$1,Val!$C$2,Val!$C$3,Val!$C$4,Val!$D181,Val!$C$5,Val!$C$6,Val!$B181,Val!$E181,Val!O$10,Val!$C$7,Val!$C181),"")</f>
        <v>-4416.666666666667</v>
      </c>
      <c r="P181" s="2">
        <f ca="1">IF(Flag_Send_Data=1,_xll.DBSW(Val!P181,Val!$C$1,Val!$C$2,Val!$C$3,Val!$C$4,Val!$D181,Val!$C$5,Val!$C$6,Val!$B181,Val!$E181,Val!P$10,Val!$C$7,Val!$C181),"")</f>
        <v>-4416.666666666667</v>
      </c>
      <c r="Q181" s="2">
        <f ca="1">IF(Flag_Send_Data=1,_xll.DBSW(Val!Q181,Val!$C$1,Val!$C$2,Val!$C$3,Val!$C$4,Val!$D181,Val!$C$5,Val!$C$6,Val!$B181,Val!$E181,Val!Q$10,Val!$C$7,Val!$C181),"")</f>
        <v>-4416.666666666667</v>
      </c>
    </row>
    <row r="182" spans="2:17" x14ac:dyDescent="0.25">
      <c r="B182" s="3" t="s">
        <v>258</v>
      </c>
      <c r="C182" t="s">
        <v>169</v>
      </c>
      <c r="D182" t="s">
        <v>199</v>
      </c>
      <c r="E182" t="s">
        <v>119</v>
      </c>
      <c r="F182" s="2">
        <f ca="1">IF(Flag_Send_Data=1,_xll.DBSW(Val!F182,Val!$C$1,Val!$C$2,Val!$C$3,Val!$C$4,Val!$D182,Val!$C$5,Val!$C$6,Val!$B182,Val!$E182,Val!F$10,Val!$C$7,Val!$C182),"")</f>
        <v>-5551.7966666666662</v>
      </c>
      <c r="G182" s="2">
        <f ca="1">IF(Flag_Send_Data=1,_xll.DBSW(Val!G182,Val!$C$1,Val!$C$2,Val!$C$3,Val!$C$4,Val!$D182,Val!$C$5,Val!$C$6,Val!$B182,Val!$E182,Val!G$10,Val!$C$7,Val!$C182),"")</f>
        <v>-5551.7966666666662</v>
      </c>
      <c r="H182" s="2">
        <f ca="1">IF(Flag_Send_Data=1,_xll.DBSW(Val!H182,Val!$C$1,Val!$C$2,Val!$C$3,Val!$C$4,Val!$D182,Val!$C$5,Val!$C$6,Val!$B182,Val!$E182,Val!H$10,Val!$C$7,Val!$C182),"")</f>
        <v>-5551.7966666666662</v>
      </c>
      <c r="I182" s="2">
        <f ca="1">IF(Flag_Send_Data=1,_xll.DBSW(Val!I182,Val!$C$1,Val!$C$2,Val!$C$3,Val!$C$4,Val!$D182,Val!$C$5,Val!$C$6,Val!$B182,Val!$E182,Val!I$10,Val!$C$7,Val!$C182),"")</f>
        <v>-5551.7966666666662</v>
      </c>
      <c r="J182" s="2">
        <f ca="1">IF(Flag_Send_Data=1,_xll.DBSW(Val!J182,Val!$C$1,Val!$C$2,Val!$C$3,Val!$C$4,Val!$D182,Val!$C$5,Val!$C$6,Val!$B182,Val!$E182,Val!J$10,Val!$C$7,Val!$C182),"")</f>
        <v>-5551.7966666666662</v>
      </c>
      <c r="K182" s="2">
        <f ca="1">IF(Flag_Send_Data=1,_xll.DBSW(Val!K182,Val!$C$1,Val!$C$2,Val!$C$3,Val!$C$4,Val!$D182,Val!$C$5,Val!$C$6,Val!$B182,Val!$E182,Val!K$10,Val!$C$7,Val!$C182),"")</f>
        <v>-5551.7966666666662</v>
      </c>
      <c r="L182" s="2">
        <f ca="1">IF(Flag_Send_Data=1,_xll.DBSW(Val!L182,Val!$C$1,Val!$C$2,Val!$C$3,Val!$C$4,Val!$D182,Val!$C$5,Val!$C$6,Val!$B182,Val!$E182,Val!L$10,Val!$C$7,Val!$C182),"")</f>
        <v>-5551.7966666666662</v>
      </c>
      <c r="M182" s="2">
        <f ca="1">IF(Flag_Send_Data=1,_xll.DBSW(Val!M182,Val!$C$1,Val!$C$2,Val!$C$3,Val!$C$4,Val!$D182,Val!$C$5,Val!$C$6,Val!$B182,Val!$E182,Val!M$10,Val!$C$7,Val!$C182),"")</f>
        <v>-5551.7966666666662</v>
      </c>
      <c r="N182" s="2">
        <f ca="1">IF(Flag_Send_Data=1,_xll.DBSW(Val!N182,Val!$C$1,Val!$C$2,Val!$C$3,Val!$C$4,Val!$D182,Val!$C$5,Val!$C$6,Val!$B182,Val!$E182,Val!N$10,Val!$C$7,Val!$C182),"")</f>
        <v>-5551.7966666666662</v>
      </c>
      <c r="O182" s="2">
        <f ca="1">IF(Flag_Send_Data=1,_xll.DBSW(Val!O182,Val!$C$1,Val!$C$2,Val!$C$3,Val!$C$4,Val!$D182,Val!$C$5,Val!$C$6,Val!$B182,Val!$E182,Val!O$10,Val!$C$7,Val!$C182),"")</f>
        <v>-5551.7966666666662</v>
      </c>
      <c r="P182" s="2">
        <f ca="1">IF(Flag_Send_Data=1,_xll.DBSW(Val!P182,Val!$C$1,Val!$C$2,Val!$C$3,Val!$C$4,Val!$D182,Val!$C$5,Val!$C$6,Val!$B182,Val!$E182,Val!P$10,Val!$C$7,Val!$C182),"")</f>
        <v>-5551.7966666666662</v>
      </c>
      <c r="Q182" s="2">
        <f ca="1">IF(Flag_Send_Data=1,_xll.DBSW(Val!Q182,Val!$C$1,Val!$C$2,Val!$C$3,Val!$C$4,Val!$D182,Val!$C$5,Val!$C$6,Val!$B182,Val!$E182,Val!Q$10,Val!$C$7,Val!$C182),"")</f>
        <v>-5551.7966666666662</v>
      </c>
    </row>
    <row r="183" spans="2:17" x14ac:dyDescent="0.25">
      <c r="B183" s="3" t="s">
        <v>258</v>
      </c>
      <c r="C183" t="s">
        <v>169</v>
      </c>
      <c r="D183" t="s">
        <v>199</v>
      </c>
      <c r="E183" t="s">
        <v>142</v>
      </c>
      <c r="F183" s="2">
        <f ca="1">IF(Flag_Send_Data=1,_xll.DBSW(Val!F183,Val!$C$1,Val!$C$2,Val!$C$3,Val!$C$4,Val!$D183,Val!$C$5,Val!$C$6,Val!$B183,Val!$E183,Val!F$10,Val!$C$7,Val!$C183),"")</f>
        <v>-53372.083333333336</v>
      </c>
      <c r="G183" s="2">
        <f ca="1">IF(Flag_Send_Data=1,_xll.DBSW(Val!G183,Val!$C$1,Val!$C$2,Val!$C$3,Val!$C$4,Val!$D183,Val!$C$5,Val!$C$6,Val!$B183,Val!$E183,Val!G$10,Val!$C$7,Val!$C183),"")</f>
        <v>-53372.083333333336</v>
      </c>
      <c r="H183" s="2">
        <f ca="1">IF(Flag_Send_Data=1,_xll.DBSW(Val!H183,Val!$C$1,Val!$C$2,Val!$C$3,Val!$C$4,Val!$D183,Val!$C$5,Val!$C$6,Val!$B183,Val!$E183,Val!H$10,Val!$C$7,Val!$C183),"")</f>
        <v>-53372.083333333336</v>
      </c>
      <c r="I183" s="2">
        <f ca="1">IF(Flag_Send_Data=1,_xll.DBSW(Val!I183,Val!$C$1,Val!$C$2,Val!$C$3,Val!$C$4,Val!$D183,Val!$C$5,Val!$C$6,Val!$B183,Val!$E183,Val!I$10,Val!$C$7,Val!$C183),"")</f>
        <v>-53372.083333333336</v>
      </c>
      <c r="J183" s="2">
        <f ca="1">IF(Flag_Send_Data=1,_xll.DBSW(Val!J183,Val!$C$1,Val!$C$2,Val!$C$3,Val!$C$4,Val!$D183,Val!$C$5,Val!$C$6,Val!$B183,Val!$E183,Val!J$10,Val!$C$7,Val!$C183),"")</f>
        <v>-53372.083333333336</v>
      </c>
      <c r="K183" s="2">
        <f ca="1">IF(Flag_Send_Data=1,_xll.DBSW(Val!K183,Val!$C$1,Val!$C$2,Val!$C$3,Val!$C$4,Val!$D183,Val!$C$5,Val!$C$6,Val!$B183,Val!$E183,Val!K$10,Val!$C$7,Val!$C183),"")</f>
        <v>-53372.083333333336</v>
      </c>
      <c r="L183" s="2">
        <f ca="1">IF(Flag_Send_Data=1,_xll.DBSW(Val!L183,Val!$C$1,Val!$C$2,Val!$C$3,Val!$C$4,Val!$D183,Val!$C$5,Val!$C$6,Val!$B183,Val!$E183,Val!L$10,Val!$C$7,Val!$C183),"")</f>
        <v>-53372.083333333336</v>
      </c>
      <c r="M183" s="2">
        <f ca="1">IF(Flag_Send_Data=1,_xll.DBSW(Val!M183,Val!$C$1,Val!$C$2,Val!$C$3,Val!$C$4,Val!$D183,Val!$C$5,Val!$C$6,Val!$B183,Val!$E183,Val!M$10,Val!$C$7,Val!$C183),"")</f>
        <v>-53372.083333333336</v>
      </c>
      <c r="N183" s="2">
        <f ca="1">IF(Flag_Send_Data=1,_xll.DBSW(Val!N183,Val!$C$1,Val!$C$2,Val!$C$3,Val!$C$4,Val!$D183,Val!$C$5,Val!$C$6,Val!$B183,Val!$E183,Val!N$10,Val!$C$7,Val!$C183),"")</f>
        <v>-53372.083333333336</v>
      </c>
      <c r="O183" s="2">
        <f ca="1">IF(Flag_Send_Data=1,_xll.DBSW(Val!O183,Val!$C$1,Val!$C$2,Val!$C$3,Val!$C$4,Val!$D183,Val!$C$5,Val!$C$6,Val!$B183,Val!$E183,Val!O$10,Val!$C$7,Val!$C183),"")</f>
        <v>-53372.083333333336</v>
      </c>
      <c r="P183" s="2">
        <f ca="1">IF(Flag_Send_Data=1,_xll.DBSW(Val!P183,Val!$C$1,Val!$C$2,Val!$C$3,Val!$C$4,Val!$D183,Val!$C$5,Val!$C$6,Val!$B183,Val!$E183,Val!P$10,Val!$C$7,Val!$C183),"")</f>
        <v>-53372.083333333336</v>
      </c>
      <c r="Q183" s="2">
        <f ca="1">IF(Flag_Send_Data=1,_xll.DBSW(Val!Q183,Val!$C$1,Val!$C$2,Val!$C$3,Val!$C$4,Val!$D183,Val!$C$5,Val!$C$6,Val!$B183,Val!$E183,Val!Q$10,Val!$C$7,Val!$C183),"")</f>
        <v>-53372.083333333336</v>
      </c>
    </row>
    <row r="184" spans="2:17" x14ac:dyDescent="0.25">
      <c r="B184" s="3" t="s">
        <v>258</v>
      </c>
      <c r="C184" t="s">
        <v>21</v>
      </c>
      <c r="D184" t="s">
        <v>199</v>
      </c>
      <c r="E184" t="s">
        <v>128</v>
      </c>
      <c r="F184" s="2">
        <f ca="1">IF(Flag_Send_Data=1,_xll.DBSW(Val!F184,Val!$C$1,Val!$C$2,Val!$C$3,Val!$C$4,Val!$D184,Val!$C$5,Val!$C$6,Val!$B184,Val!$E184,Val!F$10,Val!$C$7,Val!$C184),"")</f>
        <v>-83.333333333333329</v>
      </c>
      <c r="G184" s="2">
        <f ca="1">IF(Flag_Send_Data=1,_xll.DBSW(Val!G184,Val!$C$1,Val!$C$2,Val!$C$3,Val!$C$4,Val!$D184,Val!$C$5,Val!$C$6,Val!$B184,Val!$E184,Val!G$10,Val!$C$7,Val!$C184),"")</f>
        <v>-83.333333333333329</v>
      </c>
      <c r="H184" s="2">
        <f ca="1">IF(Flag_Send_Data=1,_xll.DBSW(Val!H184,Val!$C$1,Val!$C$2,Val!$C$3,Val!$C$4,Val!$D184,Val!$C$5,Val!$C$6,Val!$B184,Val!$E184,Val!H$10,Val!$C$7,Val!$C184),"")</f>
        <v>-83.333333333333329</v>
      </c>
      <c r="I184" s="2">
        <f ca="1">IF(Flag_Send_Data=1,_xll.DBSW(Val!I184,Val!$C$1,Val!$C$2,Val!$C$3,Val!$C$4,Val!$D184,Val!$C$5,Val!$C$6,Val!$B184,Val!$E184,Val!I$10,Val!$C$7,Val!$C184),"")</f>
        <v>-83.333333333333329</v>
      </c>
      <c r="J184" s="2">
        <f ca="1">IF(Flag_Send_Data=1,_xll.DBSW(Val!J184,Val!$C$1,Val!$C$2,Val!$C$3,Val!$C$4,Val!$D184,Val!$C$5,Val!$C$6,Val!$B184,Val!$E184,Val!J$10,Val!$C$7,Val!$C184),"")</f>
        <v>-83.333333333333329</v>
      </c>
      <c r="K184" s="2">
        <f ca="1">IF(Flag_Send_Data=1,_xll.DBSW(Val!K184,Val!$C$1,Val!$C$2,Val!$C$3,Val!$C$4,Val!$D184,Val!$C$5,Val!$C$6,Val!$B184,Val!$E184,Val!K$10,Val!$C$7,Val!$C184),"")</f>
        <v>-83.333333333333329</v>
      </c>
      <c r="L184" s="2">
        <f ca="1">IF(Flag_Send_Data=1,_xll.DBSW(Val!L184,Val!$C$1,Val!$C$2,Val!$C$3,Val!$C$4,Val!$D184,Val!$C$5,Val!$C$6,Val!$B184,Val!$E184,Val!L$10,Val!$C$7,Val!$C184),"")</f>
        <v>-83.333333333333329</v>
      </c>
      <c r="M184" s="2">
        <f ca="1">IF(Flag_Send_Data=1,_xll.DBSW(Val!M184,Val!$C$1,Val!$C$2,Val!$C$3,Val!$C$4,Val!$D184,Val!$C$5,Val!$C$6,Val!$B184,Val!$E184,Val!M$10,Val!$C$7,Val!$C184),"")</f>
        <v>-83.333333333333329</v>
      </c>
      <c r="N184" s="2">
        <f ca="1">IF(Flag_Send_Data=1,_xll.DBSW(Val!N184,Val!$C$1,Val!$C$2,Val!$C$3,Val!$C$4,Val!$D184,Val!$C$5,Val!$C$6,Val!$B184,Val!$E184,Val!N$10,Val!$C$7,Val!$C184),"")</f>
        <v>-83.333333333333329</v>
      </c>
      <c r="O184" s="2">
        <f ca="1">IF(Flag_Send_Data=1,_xll.DBSW(Val!O184,Val!$C$1,Val!$C$2,Val!$C$3,Val!$C$4,Val!$D184,Val!$C$5,Val!$C$6,Val!$B184,Val!$E184,Val!O$10,Val!$C$7,Val!$C184),"")</f>
        <v>-83.333333333333329</v>
      </c>
      <c r="P184" s="2">
        <f ca="1">IF(Flag_Send_Data=1,_xll.DBSW(Val!P184,Val!$C$1,Val!$C$2,Val!$C$3,Val!$C$4,Val!$D184,Val!$C$5,Val!$C$6,Val!$B184,Val!$E184,Val!P$10,Val!$C$7,Val!$C184),"")</f>
        <v>-83.333333333333329</v>
      </c>
      <c r="Q184" s="2">
        <f ca="1">IF(Flag_Send_Data=1,_xll.DBSW(Val!Q184,Val!$C$1,Val!$C$2,Val!$C$3,Val!$C$4,Val!$D184,Val!$C$5,Val!$C$6,Val!$B184,Val!$E184,Val!Q$10,Val!$C$7,Val!$C184),"")</f>
        <v>-83.333333333333329</v>
      </c>
    </row>
    <row r="185" spans="2:17" x14ac:dyDescent="0.25">
      <c r="B185" s="3" t="s">
        <v>258</v>
      </c>
      <c r="C185" t="s">
        <v>95</v>
      </c>
      <c r="D185" t="s">
        <v>199</v>
      </c>
      <c r="E185" t="s">
        <v>128</v>
      </c>
      <c r="F185" s="2">
        <f ca="1">IF(Flag_Send_Data=1,_xll.DBSW(Val!F185,Val!$C$1,Val!$C$2,Val!$C$3,Val!$C$4,Val!$D185,Val!$C$5,Val!$C$6,Val!$B185,Val!$E185,Val!F$10,Val!$C$7,Val!$C185),"")</f>
        <v>-583.33333333333337</v>
      </c>
      <c r="G185" s="2">
        <f ca="1">IF(Flag_Send_Data=1,_xll.DBSW(Val!G185,Val!$C$1,Val!$C$2,Val!$C$3,Val!$C$4,Val!$D185,Val!$C$5,Val!$C$6,Val!$B185,Val!$E185,Val!G$10,Val!$C$7,Val!$C185),"")</f>
        <v>-583.33333333333337</v>
      </c>
      <c r="H185" s="2">
        <f ca="1">IF(Flag_Send_Data=1,_xll.DBSW(Val!H185,Val!$C$1,Val!$C$2,Val!$C$3,Val!$C$4,Val!$D185,Val!$C$5,Val!$C$6,Val!$B185,Val!$E185,Val!H$10,Val!$C$7,Val!$C185),"")</f>
        <v>-583.33333333333337</v>
      </c>
      <c r="I185" s="2">
        <f ca="1">IF(Flag_Send_Data=1,_xll.DBSW(Val!I185,Val!$C$1,Val!$C$2,Val!$C$3,Val!$C$4,Val!$D185,Val!$C$5,Val!$C$6,Val!$B185,Val!$E185,Val!I$10,Val!$C$7,Val!$C185),"")</f>
        <v>-583.33333333333337</v>
      </c>
      <c r="J185" s="2">
        <f ca="1">IF(Flag_Send_Data=1,_xll.DBSW(Val!J185,Val!$C$1,Val!$C$2,Val!$C$3,Val!$C$4,Val!$D185,Val!$C$5,Val!$C$6,Val!$B185,Val!$E185,Val!J$10,Val!$C$7,Val!$C185),"")</f>
        <v>-583.33333333333337</v>
      </c>
      <c r="K185" s="2">
        <f ca="1">IF(Flag_Send_Data=1,_xll.DBSW(Val!K185,Val!$C$1,Val!$C$2,Val!$C$3,Val!$C$4,Val!$D185,Val!$C$5,Val!$C$6,Val!$B185,Val!$E185,Val!K$10,Val!$C$7,Val!$C185),"")</f>
        <v>-583.33333333333337</v>
      </c>
      <c r="L185" s="2">
        <f ca="1">IF(Flag_Send_Data=1,_xll.DBSW(Val!L185,Val!$C$1,Val!$C$2,Val!$C$3,Val!$C$4,Val!$D185,Val!$C$5,Val!$C$6,Val!$B185,Val!$E185,Val!L$10,Val!$C$7,Val!$C185),"")</f>
        <v>-583.33333333333337</v>
      </c>
      <c r="M185" s="2">
        <f ca="1">IF(Flag_Send_Data=1,_xll.DBSW(Val!M185,Val!$C$1,Val!$C$2,Val!$C$3,Val!$C$4,Val!$D185,Val!$C$5,Val!$C$6,Val!$B185,Val!$E185,Val!M$10,Val!$C$7,Val!$C185),"")</f>
        <v>-583.33333333333337</v>
      </c>
      <c r="N185" s="2">
        <f ca="1">IF(Flag_Send_Data=1,_xll.DBSW(Val!N185,Val!$C$1,Val!$C$2,Val!$C$3,Val!$C$4,Val!$D185,Val!$C$5,Val!$C$6,Val!$B185,Val!$E185,Val!N$10,Val!$C$7,Val!$C185),"")</f>
        <v>-583.33333333333337</v>
      </c>
      <c r="O185" s="2">
        <f ca="1">IF(Flag_Send_Data=1,_xll.DBSW(Val!O185,Val!$C$1,Val!$C$2,Val!$C$3,Val!$C$4,Val!$D185,Val!$C$5,Val!$C$6,Val!$B185,Val!$E185,Val!O$10,Val!$C$7,Val!$C185),"")</f>
        <v>-583.33333333333337</v>
      </c>
      <c r="P185" s="2">
        <f ca="1">IF(Flag_Send_Data=1,_xll.DBSW(Val!P185,Val!$C$1,Val!$C$2,Val!$C$3,Val!$C$4,Val!$D185,Val!$C$5,Val!$C$6,Val!$B185,Val!$E185,Val!P$10,Val!$C$7,Val!$C185),"")</f>
        <v>-583.33333333333337</v>
      </c>
      <c r="Q185" s="2">
        <f ca="1">IF(Flag_Send_Data=1,_xll.DBSW(Val!Q185,Val!$C$1,Val!$C$2,Val!$C$3,Val!$C$4,Val!$D185,Val!$C$5,Val!$C$6,Val!$B185,Val!$E185,Val!Q$10,Val!$C$7,Val!$C185),"")</f>
        <v>-583.33333333333337</v>
      </c>
    </row>
    <row r="186" spans="2:17" x14ac:dyDescent="0.25">
      <c r="B186" s="3" t="s">
        <v>258</v>
      </c>
      <c r="C186" t="s">
        <v>164</v>
      </c>
      <c r="D186" t="s">
        <v>199</v>
      </c>
      <c r="E186" t="s">
        <v>161</v>
      </c>
      <c r="F186" s="2">
        <f ca="1">IF(Flag_Send_Data=1,_xll.DBSW(Val!F186,Val!$C$1,Val!$C$2,Val!$C$3,Val!$C$4,Val!$D186,Val!$C$5,Val!$C$6,Val!$B186,Val!$E186,Val!F$10,Val!$C$7,Val!$C186),"")</f>
        <v>-5100</v>
      </c>
      <c r="G186" s="2">
        <f ca="1">IF(Flag_Send_Data=1,_xll.DBSW(Val!G186,Val!$C$1,Val!$C$2,Val!$C$3,Val!$C$4,Val!$D186,Val!$C$5,Val!$C$6,Val!$B186,Val!$E186,Val!G$10,Val!$C$7,Val!$C186),"")</f>
        <v>-5100</v>
      </c>
      <c r="H186" s="2">
        <f ca="1">IF(Flag_Send_Data=1,_xll.DBSW(Val!H186,Val!$C$1,Val!$C$2,Val!$C$3,Val!$C$4,Val!$D186,Val!$C$5,Val!$C$6,Val!$B186,Val!$E186,Val!H$10,Val!$C$7,Val!$C186),"")</f>
        <v>-5100</v>
      </c>
      <c r="I186" s="2">
        <f ca="1">IF(Flag_Send_Data=1,_xll.DBSW(Val!I186,Val!$C$1,Val!$C$2,Val!$C$3,Val!$C$4,Val!$D186,Val!$C$5,Val!$C$6,Val!$B186,Val!$E186,Val!I$10,Val!$C$7,Val!$C186),"")</f>
        <v>-5100</v>
      </c>
      <c r="J186" s="2">
        <f ca="1">IF(Flag_Send_Data=1,_xll.DBSW(Val!J186,Val!$C$1,Val!$C$2,Val!$C$3,Val!$C$4,Val!$D186,Val!$C$5,Val!$C$6,Val!$B186,Val!$E186,Val!J$10,Val!$C$7,Val!$C186),"")</f>
        <v>-5100</v>
      </c>
      <c r="K186" s="2">
        <f ca="1">IF(Flag_Send_Data=1,_xll.DBSW(Val!K186,Val!$C$1,Val!$C$2,Val!$C$3,Val!$C$4,Val!$D186,Val!$C$5,Val!$C$6,Val!$B186,Val!$E186,Val!K$10,Val!$C$7,Val!$C186),"")</f>
        <v>-5100</v>
      </c>
      <c r="L186" s="2">
        <f ca="1">IF(Flag_Send_Data=1,_xll.DBSW(Val!L186,Val!$C$1,Val!$C$2,Val!$C$3,Val!$C$4,Val!$D186,Val!$C$5,Val!$C$6,Val!$B186,Val!$E186,Val!L$10,Val!$C$7,Val!$C186),"")</f>
        <v>-5100</v>
      </c>
      <c r="M186" s="2">
        <f ca="1">IF(Flag_Send_Data=1,_xll.DBSW(Val!M186,Val!$C$1,Val!$C$2,Val!$C$3,Val!$C$4,Val!$D186,Val!$C$5,Val!$C$6,Val!$B186,Val!$E186,Val!M$10,Val!$C$7,Val!$C186),"")</f>
        <v>-5100</v>
      </c>
      <c r="N186" s="2">
        <f ca="1">IF(Flag_Send_Data=1,_xll.DBSW(Val!N186,Val!$C$1,Val!$C$2,Val!$C$3,Val!$C$4,Val!$D186,Val!$C$5,Val!$C$6,Val!$B186,Val!$E186,Val!N$10,Val!$C$7,Val!$C186),"")</f>
        <v>-5100</v>
      </c>
      <c r="O186" s="2">
        <f ca="1">IF(Flag_Send_Data=1,_xll.DBSW(Val!O186,Val!$C$1,Val!$C$2,Val!$C$3,Val!$C$4,Val!$D186,Val!$C$5,Val!$C$6,Val!$B186,Val!$E186,Val!O$10,Val!$C$7,Val!$C186),"")</f>
        <v>-5100</v>
      </c>
      <c r="P186" s="2">
        <f ca="1">IF(Flag_Send_Data=1,_xll.DBSW(Val!P186,Val!$C$1,Val!$C$2,Val!$C$3,Val!$C$4,Val!$D186,Val!$C$5,Val!$C$6,Val!$B186,Val!$E186,Val!P$10,Val!$C$7,Val!$C186),"")</f>
        <v>-5100</v>
      </c>
      <c r="Q186" s="2">
        <f ca="1">IF(Flag_Send_Data=1,_xll.DBSW(Val!Q186,Val!$C$1,Val!$C$2,Val!$C$3,Val!$C$4,Val!$D186,Val!$C$5,Val!$C$6,Val!$B186,Val!$E186,Val!Q$10,Val!$C$7,Val!$C186),"")</f>
        <v>-5100</v>
      </c>
    </row>
    <row r="187" spans="2:17" x14ac:dyDescent="0.25">
      <c r="B187" s="3" t="s">
        <v>259</v>
      </c>
      <c r="C187" t="s">
        <v>18</v>
      </c>
      <c r="D187" t="s">
        <v>199</v>
      </c>
      <c r="E187" t="s">
        <v>128</v>
      </c>
      <c r="F187" s="2">
        <f ca="1">IF(Flag_Send_Data=1,_xll.DBSW(Val!F187,Val!$C$1,Val!$C$2,Val!$C$3,Val!$C$4,Val!$D187,Val!$C$5,Val!$C$6,Val!$B187,Val!$E187,Val!F$10,Val!$C$7,Val!$C187),"")</f>
        <v>-40614.360833333332</v>
      </c>
      <c r="G187" s="2">
        <f ca="1">IF(Flag_Send_Data=1,_xll.DBSW(Val!G187,Val!$C$1,Val!$C$2,Val!$C$3,Val!$C$4,Val!$D187,Val!$C$5,Val!$C$6,Val!$B187,Val!$E187,Val!G$10,Val!$C$7,Val!$C187),"")</f>
        <v>-40614.360833333332</v>
      </c>
      <c r="H187" s="2">
        <f ca="1">IF(Flag_Send_Data=1,_xll.DBSW(Val!H187,Val!$C$1,Val!$C$2,Val!$C$3,Val!$C$4,Val!$D187,Val!$C$5,Val!$C$6,Val!$B187,Val!$E187,Val!H$10,Val!$C$7,Val!$C187),"")</f>
        <v>-40614.360833333332</v>
      </c>
      <c r="I187" s="2">
        <f ca="1">IF(Flag_Send_Data=1,_xll.DBSW(Val!I187,Val!$C$1,Val!$C$2,Val!$C$3,Val!$C$4,Val!$D187,Val!$C$5,Val!$C$6,Val!$B187,Val!$E187,Val!I$10,Val!$C$7,Val!$C187),"")</f>
        <v>-40614.360833333332</v>
      </c>
      <c r="J187" s="2">
        <f ca="1">IF(Flag_Send_Data=1,_xll.DBSW(Val!J187,Val!$C$1,Val!$C$2,Val!$C$3,Val!$C$4,Val!$D187,Val!$C$5,Val!$C$6,Val!$B187,Val!$E187,Val!J$10,Val!$C$7,Val!$C187),"")</f>
        <v>-40614.360833333332</v>
      </c>
      <c r="K187" s="2">
        <f ca="1">IF(Flag_Send_Data=1,_xll.DBSW(Val!K187,Val!$C$1,Val!$C$2,Val!$C$3,Val!$C$4,Val!$D187,Val!$C$5,Val!$C$6,Val!$B187,Val!$E187,Val!K$10,Val!$C$7,Val!$C187),"")</f>
        <v>-40614.360833333332</v>
      </c>
      <c r="L187" s="2">
        <f ca="1">IF(Flag_Send_Data=1,_xll.DBSW(Val!L187,Val!$C$1,Val!$C$2,Val!$C$3,Val!$C$4,Val!$D187,Val!$C$5,Val!$C$6,Val!$B187,Val!$E187,Val!L$10,Val!$C$7,Val!$C187),"")</f>
        <v>-40614.360833333332</v>
      </c>
      <c r="M187" s="2">
        <f ca="1">IF(Flag_Send_Data=1,_xll.DBSW(Val!M187,Val!$C$1,Val!$C$2,Val!$C$3,Val!$C$4,Val!$D187,Val!$C$5,Val!$C$6,Val!$B187,Val!$E187,Val!M$10,Val!$C$7,Val!$C187),"")</f>
        <v>-40614.360833333332</v>
      </c>
      <c r="N187" s="2">
        <f ca="1">IF(Flag_Send_Data=1,_xll.DBSW(Val!N187,Val!$C$1,Val!$C$2,Val!$C$3,Val!$C$4,Val!$D187,Val!$C$5,Val!$C$6,Val!$B187,Val!$E187,Val!N$10,Val!$C$7,Val!$C187),"")</f>
        <v>-40614.360833333332</v>
      </c>
      <c r="O187" s="2">
        <f ca="1">IF(Flag_Send_Data=1,_xll.DBSW(Val!O187,Val!$C$1,Val!$C$2,Val!$C$3,Val!$C$4,Val!$D187,Val!$C$5,Val!$C$6,Val!$B187,Val!$E187,Val!O$10,Val!$C$7,Val!$C187),"")</f>
        <v>-40614.360833333332</v>
      </c>
      <c r="P187" s="2">
        <f ca="1">IF(Flag_Send_Data=1,_xll.DBSW(Val!P187,Val!$C$1,Val!$C$2,Val!$C$3,Val!$C$4,Val!$D187,Val!$C$5,Val!$C$6,Val!$B187,Val!$E187,Val!P$10,Val!$C$7,Val!$C187),"")</f>
        <v>-40614.360833333332</v>
      </c>
      <c r="Q187" s="2">
        <f ca="1">IF(Flag_Send_Data=1,_xll.DBSW(Val!Q187,Val!$C$1,Val!$C$2,Val!$C$3,Val!$C$4,Val!$D187,Val!$C$5,Val!$C$6,Val!$B187,Val!$E187,Val!Q$10,Val!$C$7,Val!$C187),"")</f>
        <v>-40614.360833333332</v>
      </c>
    </row>
    <row r="188" spans="2:17" x14ac:dyDescent="0.25">
      <c r="B188" s="3" t="s">
        <v>259</v>
      </c>
      <c r="C188" t="s">
        <v>19</v>
      </c>
      <c r="D188" t="s">
        <v>199</v>
      </c>
      <c r="E188" t="s">
        <v>128</v>
      </c>
      <c r="F188" s="2">
        <f ca="1">IF(Flag_Send_Data=1,_xll.DBSW(Val!F188,Val!$C$1,Val!$C$2,Val!$C$3,Val!$C$4,Val!$D188,Val!$C$5,Val!$C$6,Val!$B188,Val!$E188,Val!F$10,Val!$C$7,Val!$C188),"")</f>
        <v>-3333.3333333333335</v>
      </c>
      <c r="G188" s="2">
        <f ca="1">IF(Flag_Send_Data=1,_xll.DBSW(Val!G188,Val!$C$1,Val!$C$2,Val!$C$3,Val!$C$4,Val!$D188,Val!$C$5,Val!$C$6,Val!$B188,Val!$E188,Val!G$10,Val!$C$7,Val!$C188),"")</f>
        <v>-3333.3333333333335</v>
      </c>
      <c r="H188" s="2">
        <f ca="1">IF(Flag_Send_Data=1,_xll.DBSW(Val!H188,Val!$C$1,Val!$C$2,Val!$C$3,Val!$C$4,Val!$D188,Val!$C$5,Val!$C$6,Val!$B188,Val!$E188,Val!H$10,Val!$C$7,Val!$C188),"")</f>
        <v>-3333.3333333333335</v>
      </c>
      <c r="I188" s="2">
        <f ca="1">IF(Flag_Send_Data=1,_xll.DBSW(Val!I188,Val!$C$1,Val!$C$2,Val!$C$3,Val!$C$4,Val!$D188,Val!$C$5,Val!$C$6,Val!$B188,Val!$E188,Val!I$10,Val!$C$7,Val!$C188),"")</f>
        <v>-3333.3333333333335</v>
      </c>
      <c r="J188" s="2">
        <f ca="1">IF(Flag_Send_Data=1,_xll.DBSW(Val!J188,Val!$C$1,Val!$C$2,Val!$C$3,Val!$C$4,Val!$D188,Val!$C$5,Val!$C$6,Val!$B188,Val!$E188,Val!J$10,Val!$C$7,Val!$C188),"")</f>
        <v>-3333.3333333333335</v>
      </c>
      <c r="K188" s="2">
        <f ca="1">IF(Flag_Send_Data=1,_xll.DBSW(Val!K188,Val!$C$1,Val!$C$2,Val!$C$3,Val!$C$4,Val!$D188,Val!$C$5,Val!$C$6,Val!$B188,Val!$E188,Val!K$10,Val!$C$7,Val!$C188),"")</f>
        <v>-3333.3333333333335</v>
      </c>
      <c r="L188" s="2">
        <f ca="1">IF(Flag_Send_Data=1,_xll.DBSW(Val!L188,Val!$C$1,Val!$C$2,Val!$C$3,Val!$C$4,Val!$D188,Val!$C$5,Val!$C$6,Val!$B188,Val!$E188,Val!L$10,Val!$C$7,Val!$C188),"")</f>
        <v>-3333.3333333333335</v>
      </c>
      <c r="M188" s="2">
        <f ca="1">IF(Flag_Send_Data=1,_xll.DBSW(Val!M188,Val!$C$1,Val!$C$2,Val!$C$3,Val!$C$4,Val!$D188,Val!$C$5,Val!$C$6,Val!$B188,Val!$E188,Val!M$10,Val!$C$7,Val!$C188),"")</f>
        <v>-3333.3333333333335</v>
      </c>
      <c r="N188" s="2">
        <f ca="1">IF(Flag_Send_Data=1,_xll.DBSW(Val!N188,Val!$C$1,Val!$C$2,Val!$C$3,Val!$C$4,Val!$D188,Val!$C$5,Val!$C$6,Val!$B188,Val!$E188,Val!N$10,Val!$C$7,Val!$C188),"")</f>
        <v>-3333.3333333333335</v>
      </c>
      <c r="O188" s="2">
        <f ca="1">IF(Flag_Send_Data=1,_xll.DBSW(Val!O188,Val!$C$1,Val!$C$2,Val!$C$3,Val!$C$4,Val!$D188,Val!$C$5,Val!$C$6,Val!$B188,Val!$E188,Val!O$10,Val!$C$7,Val!$C188),"")</f>
        <v>-3333.3333333333335</v>
      </c>
      <c r="P188" s="2">
        <f ca="1">IF(Flag_Send_Data=1,_xll.DBSW(Val!P188,Val!$C$1,Val!$C$2,Val!$C$3,Val!$C$4,Val!$D188,Val!$C$5,Val!$C$6,Val!$B188,Val!$E188,Val!P$10,Val!$C$7,Val!$C188),"")</f>
        <v>-3333.3333333333335</v>
      </c>
      <c r="Q188" s="2">
        <f ca="1">IF(Flag_Send_Data=1,_xll.DBSW(Val!Q188,Val!$C$1,Val!$C$2,Val!$C$3,Val!$C$4,Val!$D188,Val!$C$5,Val!$C$6,Val!$B188,Val!$E188,Val!Q$10,Val!$C$7,Val!$C188),"")</f>
        <v>-3333.3333333333335</v>
      </c>
    </row>
    <row r="189" spans="2:17" x14ac:dyDescent="0.25">
      <c r="B189" s="3" t="s">
        <v>259</v>
      </c>
      <c r="C189" t="s">
        <v>20</v>
      </c>
      <c r="D189" t="s">
        <v>199</v>
      </c>
      <c r="E189" t="s">
        <v>128</v>
      </c>
      <c r="F189" s="2">
        <f ca="1">IF(Flag_Send_Data=1,_xll.DBSW(Val!F189,Val!$C$1,Val!$C$2,Val!$C$3,Val!$C$4,Val!$D189,Val!$C$5,Val!$C$6,Val!$B189,Val!$E189,Val!F$10,Val!$C$7,Val!$C189),"")</f>
        <v>-9166.6666666666661</v>
      </c>
      <c r="G189" s="2">
        <f ca="1">IF(Flag_Send_Data=1,_xll.DBSW(Val!G189,Val!$C$1,Val!$C$2,Val!$C$3,Val!$C$4,Val!$D189,Val!$C$5,Val!$C$6,Val!$B189,Val!$E189,Val!G$10,Val!$C$7,Val!$C189),"")</f>
        <v>-9166.6666666666661</v>
      </c>
      <c r="H189" s="2">
        <f ca="1">IF(Flag_Send_Data=1,_xll.DBSW(Val!H189,Val!$C$1,Val!$C$2,Val!$C$3,Val!$C$4,Val!$D189,Val!$C$5,Val!$C$6,Val!$B189,Val!$E189,Val!H$10,Val!$C$7,Val!$C189),"")</f>
        <v>-9166.6666666666661</v>
      </c>
      <c r="I189" s="2">
        <f ca="1">IF(Flag_Send_Data=1,_xll.DBSW(Val!I189,Val!$C$1,Val!$C$2,Val!$C$3,Val!$C$4,Val!$D189,Val!$C$5,Val!$C$6,Val!$B189,Val!$E189,Val!I$10,Val!$C$7,Val!$C189),"")</f>
        <v>-9166.6666666666661</v>
      </c>
      <c r="J189" s="2">
        <f ca="1">IF(Flag_Send_Data=1,_xll.DBSW(Val!J189,Val!$C$1,Val!$C$2,Val!$C$3,Val!$C$4,Val!$D189,Val!$C$5,Val!$C$6,Val!$B189,Val!$E189,Val!J$10,Val!$C$7,Val!$C189),"")</f>
        <v>-9166.6666666666661</v>
      </c>
      <c r="K189" s="2">
        <f ca="1">IF(Flag_Send_Data=1,_xll.DBSW(Val!K189,Val!$C$1,Val!$C$2,Val!$C$3,Val!$C$4,Val!$D189,Val!$C$5,Val!$C$6,Val!$B189,Val!$E189,Val!K$10,Val!$C$7,Val!$C189),"")</f>
        <v>-9166.6666666666661</v>
      </c>
      <c r="L189" s="2">
        <f ca="1">IF(Flag_Send_Data=1,_xll.DBSW(Val!L189,Val!$C$1,Val!$C$2,Val!$C$3,Val!$C$4,Val!$D189,Val!$C$5,Val!$C$6,Val!$B189,Val!$E189,Val!L$10,Val!$C$7,Val!$C189),"")</f>
        <v>-9166.6666666666661</v>
      </c>
      <c r="M189" s="2">
        <f ca="1">IF(Flag_Send_Data=1,_xll.DBSW(Val!M189,Val!$C$1,Val!$C$2,Val!$C$3,Val!$C$4,Val!$D189,Val!$C$5,Val!$C$6,Val!$B189,Val!$E189,Val!M$10,Val!$C$7,Val!$C189),"")</f>
        <v>-9166.6666666666661</v>
      </c>
      <c r="N189" s="2">
        <f ca="1">IF(Flag_Send_Data=1,_xll.DBSW(Val!N189,Val!$C$1,Val!$C$2,Val!$C$3,Val!$C$4,Val!$D189,Val!$C$5,Val!$C$6,Val!$B189,Val!$E189,Val!N$10,Val!$C$7,Val!$C189),"")</f>
        <v>-9166.6666666666661</v>
      </c>
      <c r="O189" s="2">
        <f ca="1">IF(Flag_Send_Data=1,_xll.DBSW(Val!O189,Val!$C$1,Val!$C$2,Val!$C$3,Val!$C$4,Val!$D189,Val!$C$5,Val!$C$6,Val!$B189,Val!$E189,Val!O$10,Val!$C$7,Val!$C189),"")</f>
        <v>-9166.6666666666661</v>
      </c>
      <c r="P189" s="2">
        <f ca="1">IF(Flag_Send_Data=1,_xll.DBSW(Val!P189,Val!$C$1,Val!$C$2,Val!$C$3,Val!$C$4,Val!$D189,Val!$C$5,Val!$C$6,Val!$B189,Val!$E189,Val!P$10,Val!$C$7,Val!$C189),"")</f>
        <v>-9166.6666666666661</v>
      </c>
      <c r="Q189" s="2">
        <f ca="1">IF(Flag_Send_Data=1,_xll.DBSW(Val!Q189,Val!$C$1,Val!$C$2,Val!$C$3,Val!$C$4,Val!$D189,Val!$C$5,Val!$C$6,Val!$B189,Val!$E189,Val!Q$10,Val!$C$7,Val!$C189),"")</f>
        <v>-9166.6666666666661</v>
      </c>
    </row>
    <row r="190" spans="2:17" x14ac:dyDescent="0.25">
      <c r="B190" s="3" t="s">
        <v>259</v>
      </c>
      <c r="C190" t="s">
        <v>21</v>
      </c>
      <c r="D190" t="s">
        <v>199</v>
      </c>
      <c r="E190" t="s">
        <v>128</v>
      </c>
      <c r="F190" s="2">
        <f ca="1">IF(Flag_Send_Data=1,_xll.DBSW(Val!F190,Val!$C$1,Val!$C$2,Val!$C$3,Val!$C$4,Val!$D190,Val!$C$5,Val!$C$6,Val!$B190,Val!$E190,Val!F$10,Val!$C$7,Val!$C190),"")</f>
        <v>-250</v>
      </c>
      <c r="G190" s="2">
        <f ca="1">IF(Flag_Send_Data=1,_xll.DBSW(Val!G190,Val!$C$1,Val!$C$2,Val!$C$3,Val!$C$4,Val!$D190,Val!$C$5,Val!$C$6,Val!$B190,Val!$E190,Val!G$10,Val!$C$7,Val!$C190),"")</f>
        <v>-250</v>
      </c>
      <c r="H190" s="2">
        <f ca="1">IF(Flag_Send_Data=1,_xll.DBSW(Val!H190,Val!$C$1,Val!$C$2,Val!$C$3,Val!$C$4,Val!$D190,Val!$C$5,Val!$C$6,Val!$B190,Val!$E190,Val!H$10,Val!$C$7,Val!$C190),"")</f>
        <v>-250</v>
      </c>
      <c r="I190" s="2">
        <f ca="1">IF(Flag_Send_Data=1,_xll.DBSW(Val!I190,Val!$C$1,Val!$C$2,Val!$C$3,Val!$C$4,Val!$D190,Val!$C$5,Val!$C$6,Val!$B190,Val!$E190,Val!I$10,Val!$C$7,Val!$C190),"")</f>
        <v>-250</v>
      </c>
      <c r="J190" s="2">
        <f ca="1">IF(Flag_Send_Data=1,_xll.DBSW(Val!J190,Val!$C$1,Val!$C$2,Val!$C$3,Val!$C$4,Val!$D190,Val!$C$5,Val!$C$6,Val!$B190,Val!$E190,Val!J$10,Val!$C$7,Val!$C190),"")</f>
        <v>-250</v>
      </c>
      <c r="K190" s="2">
        <f ca="1">IF(Flag_Send_Data=1,_xll.DBSW(Val!K190,Val!$C$1,Val!$C$2,Val!$C$3,Val!$C$4,Val!$D190,Val!$C$5,Val!$C$6,Val!$B190,Val!$E190,Val!K$10,Val!$C$7,Val!$C190),"")</f>
        <v>-250</v>
      </c>
      <c r="L190" s="2">
        <f ca="1">IF(Flag_Send_Data=1,_xll.DBSW(Val!L190,Val!$C$1,Val!$C$2,Val!$C$3,Val!$C$4,Val!$D190,Val!$C$5,Val!$C$6,Val!$B190,Val!$E190,Val!L$10,Val!$C$7,Val!$C190),"")</f>
        <v>-250</v>
      </c>
      <c r="M190" s="2">
        <f ca="1">IF(Flag_Send_Data=1,_xll.DBSW(Val!M190,Val!$C$1,Val!$C$2,Val!$C$3,Val!$C$4,Val!$D190,Val!$C$5,Val!$C$6,Val!$B190,Val!$E190,Val!M$10,Val!$C$7,Val!$C190),"")</f>
        <v>-250</v>
      </c>
      <c r="N190" s="2">
        <f ca="1">IF(Flag_Send_Data=1,_xll.DBSW(Val!N190,Val!$C$1,Val!$C$2,Val!$C$3,Val!$C$4,Val!$D190,Val!$C$5,Val!$C$6,Val!$B190,Val!$E190,Val!N$10,Val!$C$7,Val!$C190),"")</f>
        <v>-250</v>
      </c>
      <c r="O190" s="2">
        <f ca="1">IF(Flag_Send_Data=1,_xll.DBSW(Val!O190,Val!$C$1,Val!$C$2,Val!$C$3,Val!$C$4,Val!$D190,Val!$C$5,Val!$C$6,Val!$B190,Val!$E190,Val!O$10,Val!$C$7,Val!$C190),"")</f>
        <v>-250</v>
      </c>
      <c r="P190" s="2">
        <f ca="1">IF(Flag_Send_Data=1,_xll.DBSW(Val!P190,Val!$C$1,Val!$C$2,Val!$C$3,Val!$C$4,Val!$D190,Val!$C$5,Val!$C$6,Val!$B190,Val!$E190,Val!P$10,Val!$C$7,Val!$C190),"")</f>
        <v>-250</v>
      </c>
      <c r="Q190" s="2">
        <f ca="1">IF(Flag_Send_Data=1,_xll.DBSW(Val!Q190,Val!$C$1,Val!$C$2,Val!$C$3,Val!$C$4,Val!$D190,Val!$C$5,Val!$C$6,Val!$B190,Val!$E190,Val!Q$10,Val!$C$7,Val!$C190),"")</f>
        <v>-250</v>
      </c>
    </row>
    <row r="191" spans="2:17" x14ac:dyDescent="0.25">
      <c r="B191" s="3" t="s">
        <v>259</v>
      </c>
      <c r="C191" t="s">
        <v>95</v>
      </c>
      <c r="D191" t="s">
        <v>199</v>
      </c>
      <c r="E191" t="s">
        <v>128</v>
      </c>
      <c r="F191" s="2">
        <f ca="1">IF(Flag_Send_Data=1,_xll.DBSW(Val!F191,Val!$C$1,Val!$C$2,Val!$C$3,Val!$C$4,Val!$D191,Val!$C$5,Val!$C$6,Val!$B191,Val!$E191,Val!F$10,Val!$C$7,Val!$C191),"")</f>
        <v>-666.66666666666663</v>
      </c>
      <c r="G191" s="2">
        <f ca="1">IF(Flag_Send_Data=1,_xll.DBSW(Val!G191,Val!$C$1,Val!$C$2,Val!$C$3,Val!$C$4,Val!$D191,Val!$C$5,Val!$C$6,Val!$B191,Val!$E191,Val!G$10,Val!$C$7,Val!$C191),"")</f>
        <v>-666.66666666666663</v>
      </c>
      <c r="H191" s="2">
        <f ca="1">IF(Flag_Send_Data=1,_xll.DBSW(Val!H191,Val!$C$1,Val!$C$2,Val!$C$3,Val!$C$4,Val!$D191,Val!$C$5,Val!$C$6,Val!$B191,Val!$E191,Val!H$10,Val!$C$7,Val!$C191),"")</f>
        <v>-666.66666666666663</v>
      </c>
      <c r="I191" s="2">
        <f ca="1">IF(Flag_Send_Data=1,_xll.DBSW(Val!I191,Val!$C$1,Val!$C$2,Val!$C$3,Val!$C$4,Val!$D191,Val!$C$5,Val!$C$6,Val!$B191,Val!$E191,Val!I$10,Val!$C$7,Val!$C191),"")</f>
        <v>-666.66666666666663</v>
      </c>
      <c r="J191" s="2">
        <f ca="1">IF(Flag_Send_Data=1,_xll.DBSW(Val!J191,Val!$C$1,Val!$C$2,Val!$C$3,Val!$C$4,Val!$D191,Val!$C$5,Val!$C$6,Val!$B191,Val!$E191,Val!J$10,Val!$C$7,Val!$C191),"")</f>
        <v>-666.66666666666663</v>
      </c>
      <c r="K191" s="2">
        <f ca="1">IF(Flag_Send_Data=1,_xll.DBSW(Val!K191,Val!$C$1,Val!$C$2,Val!$C$3,Val!$C$4,Val!$D191,Val!$C$5,Val!$C$6,Val!$B191,Val!$E191,Val!K$10,Val!$C$7,Val!$C191),"")</f>
        <v>-666.66666666666663</v>
      </c>
      <c r="L191" s="2">
        <f ca="1">IF(Flag_Send_Data=1,_xll.DBSW(Val!L191,Val!$C$1,Val!$C$2,Val!$C$3,Val!$C$4,Val!$D191,Val!$C$5,Val!$C$6,Val!$B191,Val!$E191,Val!L$10,Val!$C$7,Val!$C191),"")</f>
        <v>-666.66666666666663</v>
      </c>
      <c r="M191" s="2">
        <f ca="1">IF(Flag_Send_Data=1,_xll.DBSW(Val!M191,Val!$C$1,Val!$C$2,Val!$C$3,Val!$C$4,Val!$D191,Val!$C$5,Val!$C$6,Val!$B191,Val!$E191,Val!M$10,Val!$C$7,Val!$C191),"")</f>
        <v>-666.66666666666663</v>
      </c>
      <c r="N191" s="2">
        <f ca="1">IF(Flag_Send_Data=1,_xll.DBSW(Val!N191,Val!$C$1,Val!$C$2,Val!$C$3,Val!$C$4,Val!$D191,Val!$C$5,Val!$C$6,Val!$B191,Val!$E191,Val!N$10,Val!$C$7,Val!$C191),"")</f>
        <v>-666.66666666666663</v>
      </c>
      <c r="O191" s="2">
        <f ca="1">IF(Flag_Send_Data=1,_xll.DBSW(Val!O191,Val!$C$1,Val!$C$2,Val!$C$3,Val!$C$4,Val!$D191,Val!$C$5,Val!$C$6,Val!$B191,Val!$E191,Val!O$10,Val!$C$7,Val!$C191),"")</f>
        <v>-666.66666666666663</v>
      </c>
      <c r="P191" s="2">
        <f ca="1">IF(Flag_Send_Data=1,_xll.DBSW(Val!P191,Val!$C$1,Val!$C$2,Val!$C$3,Val!$C$4,Val!$D191,Val!$C$5,Val!$C$6,Val!$B191,Val!$E191,Val!P$10,Val!$C$7,Val!$C191),"")</f>
        <v>-666.66666666666663</v>
      </c>
      <c r="Q191" s="2">
        <f ca="1">IF(Flag_Send_Data=1,_xll.DBSW(Val!Q191,Val!$C$1,Val!$C$2,Val!$C$3,Val!$C$4,Val!$D191,Val!$C$5,Val!$C$6,Val!$B191,Val!$E191,Val!Q$10,Val!$C$7,Val!$C191),"")</f>
        <v>-666.66666666666663</v>
      </c>
    </row>
    <row r="192" spans="2:17" x14ac:dyDescent="0.25">
      <c r="B192" s="3" t="s">
        <v>260</v>
      </c>
      <c r="C192" t="s">
        <v>18</v>
      </c>
      <c r="D192" t="s">
        <v>199</v>
      </c>
      <c r="E192" t="s">
        <v>128</v>
      </c>
      <c r="F192" s="2">
        <f ca="1">IF(Flag_Send_Data=1,_xll.DBSW(Val!F192,Val!$C$1,Val!$C$2,Val!$C$3,Val!$C$4,Val!$D192,Val!$C$5,Val!$C$6,Val!$B192,Val!$E192,Val!F$10,Val!$C$7,Val!$C192),"")</f>
        <v>-35060.040833333333</v>
      </c>
      <c r="G192" s="2">
        <f ca="1">IF(Flag_Send_Data=1,_xll.DBSW(Val!G192,Val!$C$1,Val!$C$2,Val!$C$3,Val!$C$4,Val!$D192,Val!$C$5,Val!$C$6,Val!$B192,Val!$E192,Val!G$10,Val!$C$7,Val!$C192),"")</f>
        <v>-35060.040833333333</v>
      </c>
      <c r="H192" s="2">
        <f ca="1">IF(Flag_Send_Data=1,_xll.DBSW(Val!H192,Val!$C$1,Val!$C$2,Val!$C$3,Val!$C$4,Val!$D192,Val!$C$5,Val!$C$6,Val!$B192,Val!$E192,Val!H$10,Val!$C$7,Val!$C192),"")</f>
        <v>-35060.040833333333</v>
      </c>
      <c r="I192" s="2">
        <f ca="1">IF(Flag_Send_Data=1,_xll.DBSW(Val!I192,Val!$C$1,Val!$C$2,Val!$C$3,Val!$C$4,Val!$D192,Val!$C$5,Val!$C$6,Val!$B192,Val!$E192,Val!I$10,Val!$C$7,Val!$C192),"")</f>
        <v>-35060.040833333333</v>
      </c>
      <c r="J192" s="2">
        <f ca="1">IF(Flag_Send_Data=1,_xll.DBSW(Val!J192,Val!$C$1,Val!$C$2,Val!$C$3,Val!$C$4,Val!$D192,Val!$C$5,Val!$C$6,Val!$B192,Val!$E192,Val!J$10,Val!$C$7,Val!$C192),"")</f>
        <v>-35060.040833333333</v>
      </c>
      <c r="K192" s="2">
        <f ca="1">IF(Flag_Send_Data=1,_xll.DBSW(Val!K192,Val!$C$1,Val!$C$2,Val!$C$3,Val!$C$4,Val!$D192,Val!$C$5,Val!$C$6,Val!$B192,Val!$E192,Val!K$10,Val!$C$7,Val!$C192),"")</f>
        <v>-35060.040833333333</v>
      </c>
      <c r="L192" s="2">
        <f ca="1">IF(Flag_Send_Data=1,_xll.DBSW(Val!L192,Val!$C$1,Val!$C$2,Val!$C$3,Val!$C$4,Val!$D192,Val!$C$5,Val!$C$6,Val!$B192,Val!$E192,Val!L$10,Val!$C$7,Val!$C192),"")</f>
        <v>-35060.040833333333</v>
      </c>
      <c r="M192" s="2">
        <f ca="1">IF(Flag_Send_Data=1,_xll.DBSW(Val!M192,Val!$C$1,Val!$C$2,Val!$C$3,Val!$C$4,Val!$D192,Val!$C$5,Val!$C$6,Val!$B192,Val!$E192,Val!M$10,Val!$C$7,Val!$C192),"")</f>
        <v>-35060.040833333333</v>
      </c>
      <c r="N192" s="2">
        <f ca="1">IF(Flag_Send_Data=1,_xll.DBSW(Val!N192,Val!$C$1,Val!$C$2,Val!$C$3,Val!$C$4,Val!$D192,Val!$C$5,Val!$C$6,Val!$B192,Val!$E192,Val!N$10,Val!$C$7,Val!$C192),"")</f>
        <v>-35060.040833333333</v>
      </c>
      <c r="O192" s="2">
        <f ca="1">IF(Flag_Send_Data=1,_xll.DBSW(Val!O192,Val!$C$1,Val!$C$2,Val!$C$3,Val!$C$4,Val!$D192,Val!$C$5,Val!$C$6,Val!$B192,Val!$E192,Val!O$10,Val!$C$7,Val!$C192),"")</f>
        <v>-35060.040833333333</v>
      </c>
      <c r="P192" s="2">
        <f ca="1">IF(Flag_Send_Data=1,_xll.DBSW(Val!P192,Val!$C$1,Val!$C$2,Val!$C$3,Val!$C$4,Val!$D192,Val!$C$5,Val!$C$6,Val!$B192,Val!$E192,Val!P$10,Val!$C$7,Val!$C192),"")</f>
        <v>-35060.040833333333</v>
      </c>
      <c r="Q192" s="2">
        <f ca="1">IF(Flag_Send_Data=1,_xll.DBSW(Val!Q192,Val!$C$1,Val!$C$2,Val!$C$3,Val!$C$4,Val!$D192,Val!$C$5,Val!$C$6,Val!$B192,Val!$E192,Val!Q$10,Val!$C$7,Val!$C192),"")</f>
        <v>-35060.040833333333</v>
      </c>
    </row>
    <row r="193" spans="2:17" x14ac:dyDescent="0.25">
      <c r="B193" s="3" t="s">
        <v>260</v>
      </c>
      <c r="C193" t="s">
        <v>19</v>
      </c>
      <c r="D193" t="s">
        <v>199</v>
      </c>
      <c r="E193" t="s">
        <v>128</v>
      </c>
      <c r="F193" s="2">
        <f ca="1">IF(Flag_Send_Data=1,_xll.DBSW(Val!F193,Val!$C$1,Val!$C$2,Val!$C$3,Val!$C$4,Val!$D193,Val!$C$5,Val!$C$6,Val!$B193,Val!$E193,Val!F$10,Val!$C$7,Val!$C193),"")</f>
        <v>-10500</v>
      </c>
      <c r="G193" s="2">
        <f ca="1">IF(Flag_Send_Data=1,_xll.DBSW(Val!G193,Val!$C$1,Val!$C$2,Val!$C$3,Val!$C$4,Val!$D193,Val!$C$5,Val!$C$6,Val!$B193,Val!$E193,Val!G$10,Val!$C$7,Val!$C193),"")</f>
        <v>-10500</v>
      </c>
      <c r="H193" s="2">
        <f ca="1">IF(Flag_Send_Data=1,_xll.DBSW(Val!H193,Val!$C$1,Val!$C$2,Val!$C$3,Val!$C$4,Val!$D193,Val!$C$5,Val!$C$6,Val!$B193,Val!$E193,Val!H$10,Val!$C$7,Val!$C193),"")</f>
        <v>-10500</v>
      </c>
      <c r="I193" s="2">
        <f ca="1">IF(Flag_Send_Data=1,_xll.DBSW(Val!I193,Val!$C$1,Val!$C$2,Val!$C$3,Val!$C$4,Val!$D193,Val!$C$5,Val!$C$6,Val!$B193,Val!$E193,Val!I$10,Val!$C$7,Val!$C193),"")</f>
        <v>-10500</v>
      </c>
      <c r="J193" s="2">
        <f ca="1">IF(Flag_Send_Data=1,_xll.DBSW(Val!J193,Val!$C$1,Val!$C$2,Val!$C$3,Val!$C$4,Val!$D193,Val!$C$5,Val!$C$6,Val!$B193,Val!$E193,Val!J$10,Val!$C$7,Val!$C193),"")</f>
        <v>-10500</v>
      </c>
      <c r="K193" s="2">
        <f ca="1">IF(Flag_Send_Data=1,_xll.DBSW(Val!K193,Val!$C$1,Val!$C$2,Val!$C$3,Val!$C$4,Val!$D193,Val!$C$5,Val!$C$6,Val!$B193,Val!$E193,Val!K$10,Val!$C$7,Val!$C193),"")</f>
        <v>-10500</v>
      </c>
      <c r="L193" s="2">
        <f ca="1">IF(Flag_Send_Data=1,_xll.DBSW(Val!L193,Val!$C$1,Val!$C$2,Val!$C$3,Val!$C$4,Val!$D193,Val!$C$5,Val!$C$6,Val!$B193,Val!$E193,Val!L$10,Val!$C$7,Val!$C193),"")</f>
        <v>-10500</v>
      </c>
      <c r="M193" s="2">
        <f ca="1">IF(Flag_Send_Data=1,_xll.DBSW(Val!M193,Val!$C$1,Val!$C$2,Val!$C$3,Val!$C$4,Val!$D193,Val!$C$5,Val!$C$6,Val!$B193,Val!$E193,Val!M$10,Val!$C$7,Val!$C193),"")</f>
        <v>-10500</v>
      </c>
      <c r="N193" s="2">
        <f ca="1">IF(Flag_Send_Data=1,_xll.DBSW(Val!N193,Val!$C$1,Val!$C$2,Val!$C$3,Val!$C$4,Val!$D193,Val!$C$5,Val!$C$6,Val!$B193,Val!$E193,Val!N$10,Val!$C$7,Val!$C193),"")</f>
        <v>-10500</v>
      </c>
      <c r="O193" s="2">
        <f ca="1">IF(Flag_Send_Data=1,_xll.DBSW(Val!O193,Val!$C$1,Val!$C$2,Val!$C$3,Val!$C$4,Val!$D193,Val!$C$5,Val!$C$6,Val!$B193,Val!$E193,Val!O$10,Val!$C$7,Val!$C193),"")</f>
        <v>-10500</v>
      </c>
      <c r="P193" s="2">
        <f ca="1">IF(Flag_Send_Data=1,_xll.DBSW(Val!P193,Val!$C$1,Val!$C$2,Val!$C$3,Val!$C$4,Val!$D193,Val!$C$5,Val!$C$6,Val!$B193,Val!$E193,Val!P$10,Val!$C$7,Val!$C193),"")</f>
        <v>-10500</v>
      </c>
      <c r="Q193" s="2">
        <f ca="1">IF(Flag_Send_Data=1,_xll.DBSW(Val!Q193,Val!$C$1,Val!$C$2,Val!$C$3,Val!$C$4,Val!$D193,Val!$C$5,Val!$C$6,Val!$B193,Val!$E193,Val!Q$10,Val!$C$7,Val!$C193),"")</f>
        <v>-10500</v>
      </c>
    </row>
    <row r="194" spans="2:17" x14ac:dyDescent="0.25">
      <c r="B194" s="3" t="s">
        <v>260</v>
      </c>
      <c r="C194" t="s">
        <v>169</v>
      </c>
      <c r="D194" t="s">
        <v>199</v>
      </c>
      <c r="E194" t="s">
        <v>142</v>
      </c>
      <c r="F194" s="2">
        <f ca="1">IF(Flag_Send_Data=1,_xll.DBSW(Val!F194,Val!$C$1,Val!$C$2,Val!$C$3,Val!$C$4,Val!$D194,Val!$C$5,Val!$C$6,Val!$B194,Val!$E194,Val!F$10,Val!$C$7,Val!$C194),"")</f>
        <v>-5366.666666666667</v>
      </c>
      <c r="G194" s="2">
        <f ca="1">IF(Flag_Send_Data=1,_xll.DBSW(Val!G194,Val!$C$1,Val!$C$2,Val!$C$3,Val!$C$4,Val!$D194,Val!$C$5,Val!$C$6,Val!$B194,Val!$E194,Val!G$10,Val!$C$7,Val!$C194),"")</f>
        <v>-5366.666666666667</v>
      </c>
      <c r="H194" s="2">
        <f ca="1">IF(Flag_Send_Data=1,_xll.DBSW(Val!H194,Val!$C$1,Val!$C$2,Val!$C$3,Val!$C$4,Val!$D194,Val!$C$5,Val!$C$6,Val!$B194,Val!$E194,Val!H$10,Val!$C$7,Val!$C194),"")</f>
        <v>-5366.666666666667</v>
      </c>
      <c r="I194" s="2">
        <f ca="1">IF(Flag_Send_Data=1,_xll.DBSW(Val!I194,Val!$C$1,Val!$C$2,Val!$C$3,Val!$C$4,Val!$D194,Val!$C$5,Val!$C$6,Val!$B194,Val!$E194,Val!I$10,Val!$C$7,Val!$C194),"")</f>
        <v>-5366.666666666667</v>
      </c>
      <c r="J194" s="2">
        <f ca="1">IF(Flag_Send_Data=1,_xll.DBSW(Val!J194,Val!$C$1,Val!$C$2,Val!$C$3,Val!$C$4,Val!$D194,Val!$C$5,Val!$C$6,Val!$B194,Val!$E194,Val!J$10,Val!$C$7,Val!$C194),"")</f>
        <v>-5366.666666666667</v>
      </c>
      <c r="K194" s="2">
        <f ca="1">IF(Flag_Send_Data=1,_xll.DBSW(Val!K194,Val!$C$1,Val!$C$2,Val!$C$3,Val!$C$4,Val!$D194,Val!$C$5,Val!$C$6,Val!$B194,Val!$E194,Val!K$10,Val!$C$7,Val!$C194),"")</f>
        <v>-5366.666666666667</v>
      </c>
      <c r="L194" s="2">
        <f ca="1">IF(Flag_Send_Data=1,_xll.DBSW(Val!L194,Val!$C$1,Val!$C$2,Val!$C$3,Val!$C$4,Val!$D194,Val!$C$5,Val!$C$6,Val!$B194,Val!$E194,Val!L$10,Val!$C$7,Val!$C194),"")</f>
        <v>-5366.666666666667</v>
      </c>
      <c r="M194" s="2">
        <f ca="1">IF(Flag_Send_Data=1,_xll.DBSW(Val!M194,Val!$C$1,Val!$C$2,Val!$C$3,Val!$C$4,Val!$D194,Val!$C$5,Val!$C$6,Val!$B194,Val!$E194,Val!M$10,Val!$C$7,Val!$C194),"")</f>
        <v>-5366.666666666667</v>
      </c>
      <c r="N194" s="2">
        <f ca="1">IF(Flag_Send_Data=1,_xll.DBSW(Val!N194,Val!$C$1,Val!$C$2,Val!$C$3,Val!$C$4,Val!$D194,Val!$C$5,Val!$C$6,Val!$B194,Val!$E194,Val!N$10,Val!$C$7,Val!$C194),"")</f>
        <v>-5366.666666666667</v>
      </c>
      <c r="O194" s="2">
        <f ca="1">IF(Flag_Send_Data=1,_xll.DBSW(Val!O194,Val!$C$1,Val!$C$2,Val!$C$3,Val!$C$4,Val!$D194,Val!$C$5,Val!$C$6,Val!$B194,Val!$E194,Val!O$10,Val!$C$7,Val!$C194),"")</f>
        <v>-5366.666666666667</v>
      </c>
      <c r="P194" s="2">
        <f ca="1">IF(Flag_Send_Data=1,_xll.DBSW(Val!P194,Val!$C$1,Val!$C$2,Val!$C$3,Val!$C$4,Val!$D194,Val!$C$5,Val!$C$6,Val!$B194,Val!$E194,Val!P$10,Val!$C$7,Val!$C194),"")</f>
        <v>-5366.666666666667</v>
      </c>
      <c r="Q194" s="2">
        <f ca="1">IF(Flag_Send_Data=1,_xll.DBSW(Val!Q194,Val!$C$1,Val!$C$2,Val!$C$3,Val!$C$4,Val!$D194,Val!$C$5,Val!$C$6,Val!$B194,Val!$E194,Val!Q$10,Val!$C$7,Val!$C194),"")</f>
        <v>-5366.666666666667</v>
      </c>
    </row>
    <row r="195" spans="2:17" x14ac:dyDescent="0.25">
      <c r="B195" s="3" t="s">
        <v>260</v>
      </c>
      <c r="C195" t="s">
        <v>21</v>
      </c>
      <c r="D195" t="s">
        <v>199</v>
      </c>
      <c r="E195" t="s">
        <v>128</v>
      </c>
      <c r="F195" s="2">
        <f ca="1">IF(Flag_Send_Data=1,_xll.DBSW(Val!F195,Val!$C$1,Val!$C$2,Val!$C$3,Val!$C$4,Val!$D195,Val!$C$5,Val!$C$6,Val!$B195,Val!$E195,Val!F$10,Val!$C$7,Val!$C195),"")</f>
        <v>-250</v>
      </c>
      <c r="G195" s="2">
        <f ca="1">IF(Flag_Send_Data=1,_xll.DBSW(Val!G195,Val!$C$1,Val!$C$2,Val!$C$3,Val!$C$4,Val!$D195,Val!$C$5,Val!$C$6,Val!$B195,Val!$E195,Val!G$10,Val!$C$7,Val!$C195),"")</f>
        <v>-250</v>
      </c>
      <c r="H195" s="2">
        <f ca="1">IF(Flag_Send_Data=1,_xll.DBSW(Val!H195,Val!$C$1,Val!$C$2,Val!$C$3,Val!$C$4,Val!$D195,Val!$C$5,Val!$C$6,Val!$B195,Val!$E195,Val!H$10,Val!$C$7,Val!$C195),"")</f>
        <v>-250</v>
      </c>
      <c r="I195" s="2">
        <f ca="1">IF(Flag_Send_Data=1,_xll.DBSW(Val!I195,Val!$C$1,Val!$C$2,Val!$C$3,Val!$C$4,Val!$D195,Val!$C$5,Val!$C$6,Val!$B195,Val!$E195,Val!I$10,Val!$C$7,Val!$C195),"")</f>
        <v>-250</v>
      </c>
      <c r="J195" s="2">
        <f ca="1">IF(Flag_Send_Data=1,_xll.DBSW(Val!J195,Val!$C$1,Val!$C$2,Val!$C$3,Val!$C$4,Val!$D195,Val!$C$5,Val!$C$6,Val!$B195,Val!$E195,Val!J$10,Val!$C$7,Val!$C195),"")</f>
        <v>-250</v>
      </c>
      <c r="K195" s="2">
        <f ca="1">IF(Flag_Send_Data=1,_xll.DBSW(Val!K195,Val!$C$1,Val!$C$2,Val!$C$3,Val!$C$4,Val!$D195,Val!$C$5,Val!$C$6,Val!$B195,Val!$E195,Val!K$10,Val!$C$7,Val!$C195),"")</f>
        <v>-250</v>
      </c>
      <c r="L195" s="2">
        <f ca="1">IF(Flag_Send_Data=1,_xll.DBSW(Val!L195,Val!$C$1,Val!$C$2,Val!$C$3,Val!$C$4,Val!$D195,Val!$C$5,Val!$C$6,Val!$B195,Val!$E195,Val!L$10,Val!$C$7,Val!$C195),"")</f>
        <v>-250</v>
      </c>
      <c r="M195" s="2">
        <f ca="1">IF(Flag_Send_Data=1,_xll.DBSW(Val!M195,Val!$C$1,Val!$C$2,Val!$C$3,Val!$C$4,Val!$D195,Val!$C$5,Val!$C$6,Val!$B195,Val!$E195,Val!M$10,Val!$C$7,Val!$C195),"")</f>
        <v>-250</v>
      </c>
      <c r="N195" s="2">
        <f ca="1">IF(Flag_Send_Data=1,_xll.DBSW(Val!N195,Val!$C$1,Val!$C$2,Val!$C$3,Val!$C$4,Val!$D195,Val!$C$5,Val!$C$6,Val!$B195,Val!$E195,Val!N$10,Val!$C$7,Val!$C195),"")</f>
        <v>-250</v>
      </c>
      <c r="O195" s="2">
        <f ca="1">IF(Flag_Send_Data=1,_xll.DBSW(Val!O195,Val!$C$1,Val!$C$2,Val!$C$3,Val!$C$4,Val!$D195,Val!$C$5,Val!$C$6,Val!$B195,Val!$E195,Val!O$10,Val!$C$7,Val!$C195),"")</f>
        <v>-250</v>
      </c>
      <c r="P195" s="2">
        <f ca="1">IF(Flag_Send_Data=1,_xll.DBSW(Val!P195,Val!$C$1,Val!$C$2,Val!$C$3,Val!$C$4,Val!$D195,Val!$C$5,Val!$C$6,Val!$B195,Val!$E195,Val!P$10,Val!$C$7,Val!$C195),"")</f>
        <v>-250</v>
      </c>
      <c r="Q195" s="2">
        <f ca="1">IF(Flag_Send_Data=1,_xll.DBSW(Val!Q195,Val!$C$1,Val!$C$2,Val!$C$3,Val!$C$4,Val!$D195,Val!$C$5,Val!$C$6,Val!$B195,Val!$E195,Val!Q$10,Val!$C$7,Val!$C195),"")</f>
        <v>-250</v>
      </c>
    </row>
    <row r="196" spans="2:17" x14ac:dyDescent="0.25">
      <c r="B196" s="3" t="s">
        <v>261</v>
      </c>
      <c r="C196" t="s">
        <v>167</v>
      </c>
      <c r="D196" t="s">
        <v>199</v>
      </c>
      <c r="E196" t="s">
        <v>128</v>
      </c>
      <c r="F196" s="2">
        <f ca="1">IF(Flag_Send_Data=1,_xll.DBSW(Val!F196,Val!$C$1,Val!$C$2,Val!$C$3,Val!$C$4,Val!$D196,Val!$C$5,Val!$C$6,Val!$B196,Val!$E196,Val!F$10,Val!$C$7,Val!$C196),"")</f>
        <v>-416.66666666666669</v>
      </c>
      <c r="G196" s="2">
        <f ca="1">IF(Flag_Send_Data=1,_xll.DBSW(Val!G196,Val!$C$1,Val!$C$2,Val!$C$3,Val!$C$4,Val!$D196,Val!$C$5,Val!$C$6,Val!$B196,Val!$E196,Val!G$10,Val!$C$7,Val!$C196),"")</f>
        <v>-416.66666666666669</v>
      </c>
      <c r="H196" s="2">
        <f ca="1">IF(Flag_Send_Data=1,_xll.DBSW(Val!H196,Val!$C$1,Val!$C$2,Val!$C$3,Val!$C$4,Val!$D196,Val!$C$5,Val!$C$6,Val!$B196,Val!$E196,Val!H$10,Val!$C$7,Val!$C196),"")</f>
        <v>-416.66666666666669</v>
      </c>
      <c r="I196" s="2">
        <f ca="1">IF(Flag_Send_Data=1,_xll.DBSW(Val!I196,Val!$C$1,Val!$C$2,Val!$C$3,Val!$C$4,Val!$D196,Val!$C$5,Val!$C$6,Val!$B196,Val!$E196,Val!I$10,Val!$C$7,Val!$C196),"")</f>
        <v>-416.66666666666669</v>
      </c>
      <c r="J196" s="2">
        <f ca="1">IF(Flag_Send_Data=1,_xll.DBSW(Val!J196,Val!$C$1,Val!$C$2,Val!$C$3,Val!$C$4,Val!$D196,Val!$C$5,Val!$C$6,Val!$B196,Val!$E196,Val!J$10,Val!$C$7,Val!$C196),"")</f>
        <v>-416.66666666666669</v>
      </c>
      <c r="K196" s="2">
        <f ca="1">IF(Flag_Send_Data=1,_xll.DBSW(Val!K196,Val!$C$1,Val!$C$2,Val!$C$3,Val!$C$4,Val!$D196,Val!$C$5,Val!$C$6,Val!$B196,Val!$E196,Val!K$10,Val!$C$7,Val!$C196),"")</f>
        <v>-416.66666666666669</v>
      </c>
      <c r="L196" s="2">
        <f ca="1">IF(Flag_Send_Data=1,_xll.DBSW(Val!L196,Val!$C$1,Val!$C$2,Val!$C$3,Val!$C$4,Val!$D196,Val!$C$5,Val!$C$6,Val!$B196,Val!$E196,Val!L$10,Val!$C$7,Val!$C196),"")</f>
        <v>-416.66666666666669</v>
      </c>
      <c r="M196" s="2">
        <f ca="1">IF(Flag_Send_Data=1,_xll.DBSW(Val!M196,Val!$C$1,Val!$C$2,Val!$C$3,Val!$C$4,Val!$D196,Val!$C$5,Val!$C$6,Val!$B196,Val!$E196,Val!M$10,Val!$C$7,Val!$C196),"")</f>
        <v>-416.66666666666669</v>
      </c>
      <c r="N196" s="2">
        <f ca="1">IF(Flag_Send_Data=1,_xll.DBSW(Val!N196,Val!$C$1,Val!$C$2,Val!$C$3,Val!$C$4,Val!$D196,Val!$C$5,Val!$C$6,Val!$B196,Val!$E196,Val!N$10,Val!$C$7,Val!$C196),"")</f>
        <v>-416.66666666666669</v>
      </c>
      <c r="O196" s="2">
        <f ca="1">IF(Flag_Send_Data=1,_xll.DBSW(Val!O196,Val!$C$1,Val!$C$2,Val!$C$3,Val!$C$4,Val!$D196,Val!$C$5,Val!$C$6,Val!$B196,Val!$E196,Val!O$10,Val!$C$7,Val!$C196),"")</f>
        <v>-416.66666666666669</v>
      </c>
      <c r="P196" s="2">
        <f ca="1">IF(Flag_Send_Data=1,_xll.DBSW(Val!P196,Val!$C$1,Val!$C$2,Val!$C$3,Val!$C$4,Val!$D196,Val!$C$5,Val!$C$6,Val!$B196,Val!$E196,Val!P$10,Val!$C$7,Val!$C196),"")</f>
        <v>-416.66666666666669</v>
      </c>
      <c r="Q196" s="2">
        <f ca="1">IF(Flag_Send_Data=1,_xll.DBSW(Val!Q196,Val!$C$1,Val!$C$2,Val!$C$3,Val!$C$4,Val!$D196,Val!$C$5,Val!$C$6,Val!$B196,Val!$E196,Val!Q$10,Val!$C$7,Val!$C196),"")</f>
        <v>-416.66666666666669</v>
      </c>
    </row>
    <row r="197" spans="2:17" x14ac:dyDescent="0.25">
      <c r="B197" s="3" t="s">
        <v>261</v>
      </c>
      <c r="C197" t="s">
        <v>13</v>
      </c>
      <c r="D197" t="s">
        <v>199</v>
      </c>
      <c r="E197" t="s">
        <v>128</v>
      </c>
      <c r="F197" s="2">
        <f ca="1">IF(Flag_Send_Data=1,_xll.DBSW(Val!F197,Val!$C$1,Val!$C$2,Val!$C$3,Val!$C$4,Val!$D197,Val!$C$5,Val!$C$6,Val!$B197,Val!$E197,Val!F$10,Val!$C$7,Val!$C197),"")</f>
        <v>-166.66666666666666</v>
      </c>
      <c r="G197" s="2">
        <f ca="1">IF(Flag_Send_Data=1,_xll.DBSW(Val!G197,Val!$C$1,Val!$C$2,Val!$C$3,Val!$C$4,Val!$D197,Val!$C$5,Val!$C$6,Val!$B197,Val!$E197,Val!G$10,Val!$C$7,Val!$C197),"")</f>
        <v>-166.66666666666666</v>
      </c>
      <c r="H197" s="2">
        <f ca="1">IF(Flag_Send_Data=1,_xll.DBSW(Val!H197,Val!$C$1,Val!$C$2,Val!$C$3,Val!$C$4,Val!$D197,Val!$C$5,Val!$C$6,Val!$B197,Val!$E197,Val!H$10,Val!$C$7,Val!$C197),"")</f>
        <v>-166.66666666666666</v>
      </c>
      <c r="I197" s="2">
        <f ca="1">IF(Flag_Send_Data=1,_xll.DBSW(Val!I197,Val!$C$1,Val!$C$2,Val!$C$3,Val!$C$4,Val!$D197,Val!$C$5,Val!$C$6,Val!$B197,Val!$E197,Val!I$10,Val!$C$7,Val!$C197),"")</f>
        <v>-166.66666666666666</v>
      </c>
      <c r="J197" s="2">
        <f ca="1">IF(Flag_Send_Data=1,_xll.DBSW(Val!J197,Val!$C$1,Val!$C$2,Val!$C$3,Val!$C$4,Val!$D197,Val!$C$5,Val!$C$6,Val!$B197,Val!$E197,Val!J$10,Val!$C$7,Val!$C197),"")</f>
        <v>-166.66666666666666</v>
      </c>
      <c r="K197" s="2">
        <f ca="1">IF(Flag_Send_Data=1,_xll.DBSW(Val!K197,Val!$C$1,Val!$C$2,Val!$C$3,Val!$C$4,Val!$D197,Val!$C$5,Val!$C$6,Val!$B197,Val!$E197,Val!K$10,Val!$C$7,Val!$C197),"")</f>
        <v>-166.66666666666666</v>
      </c>
      <c r="L197" s="2">
        <f ca="1">IF(Flag_Send_Data=1,_xll.DBSW(Val!L197,Val!$C$1,Val!$C$2,Val!$C$3,Val!$C$4,Val!$D197,Val!$C$5,Val!$C$6,Val!$B197,Val!$E197,Val!L$10,Val!$C$7,Val!$C197),"")</f>
        <v>-166.66666666666666</v>
      </c>
      <c r="M197" s="2">
        <f ca="1">IF(Flag_Send_Data=1,_xll.DBSW(Val!M197,Val!$C$1,Val!$C$2,Val!$C$3,Val!$C$4,Val!$D197,Val!$C$5,Val!$C$6,Val!$B197,Val!$E197,Val!M$10,Val!$C$7,Val!$C197),"")</f>
        <v>-166.66666666666666</v>
      </c>
      <c r="N197" s="2">
        <f ca="1">IF(Flag_Send_Data=1,_xll.DBSW(Val!N197,Val!$C$1,Val!$C$2,Val!$C$3,Val!$C$4,Val!$D197,Val!$C$5,Val!$C$6,Val!$B197,Val!$E197,Val!N$10,Val!$C$7,Val!$C197),"")</f>
        <v>-166.66666666666666</v>
      </c>
      <c r="O197" s="2">
        <f ca="1">IF(Flag_Send_Data=1,_xll.DBSW(Val!O197,Val!$C$1,Val!$C$2,Val!$C$3,Val!$C$4,Val!$D197,Val!$C$5,Val!$C$6,Val!$B197,Val!$E197,Val!O$10,Val!$C$7,Val!$C197),"")</f>
        <v>-166.66666666666666</v>
      </c>
      <c r="P197" s="2">
        <f ca="1">IF(Flag_Send_Data=1,_xll.DBSW(Val!P197,Val!$C$1,Val!$C$2,Val!$C$3,Val!$C$4,Val!$D197,Val!$C$5,Val!$C$6,Val!$B197,Val!$E197,Val!P$10,Val!$C$7,Val!$C197),"")</f>
        <v>-166.66666666666666</v>
      </c>
      <c r="Q197" s="2">
        <f ca="1">IF(Flag_Send_Data=1,_xll.DBSW(Val!Q197,Val!$C$1,Val!$C$2,Val!$C$3,Val!$C$4,Val!$D197,Val!$C$5,Val!$C$6,Val!$B197,Val!$E197,Val!Q$10,Val!$C$7,Val!$C197),"")</f>
        <v>-166.66666666666666</v>
      </c>
    </row>
    <row r="198" spans="2:17" x14ac:dyDescent="0.25">
      <c r="B198" s="3" t="s">
        <v>261</v>
      </c>
      <c r="C198" t="s">
        <v>51</v>
      </c>
      <c r="D198" t="s">
        <v>199</v>
      </c>
      <c r="E198" t="s">
        <v>128</v>
      </c>
      <c r="F198" s="2">
        <f ca="1">IF(Flag_Send_Data=1,_xll.DBSW(Val!F198,Val!$C$1,Val!$C$2,Val!$C$3,Val!$C$4,Val!$D198,Val!$C$5,Val!$C$6,Val!$B198,Val!$E198,Val!F$10,Val!$C$7,Val!$C198),"")</f>
        <v>-43473.025000000001</v>
      </c>
      <c r="G198" s="2">
        <f ca="1">IF(Flag_Send_Data=1,_xll.DBSW(Val!G198,Val!$C$1,Val!$C$2,Val!$C$3,Val!$C$4,Val!$D198,Val!$C$5,Val!$C$6,Val!$B198,Val!$E198,Val!G$10,Val!$C$7,Val!$C198),"")</f>
        <v>-43473.025000000001</v>
      </c>
      <c r="H198" s="2">
        <f ca="1">IF(Flag_Send_Data=1,_xll.DBSW(Val!H198,Val!$C$1,Val!$C$2,Val!$C$3,Val!$C$4,Val!$D198,Val!$C$5,Val!$C$6,Val!$B198,Val!$E198,Val!H$10,Val!$C$7,Val!$C198),"")</f>
        <v>-43473.025000000001</v>
      </c>
      <c r="I198" s="2">
        <f ca="1">IF(Flag_Send_Data=1,_xll.DBSW(Val!I198,Val!$C$1,Val!$C$2,Val!$C$3,Val!$C$4,Val!$D198,Val!$C$5,Val!$C$6,Val!$B198,Val!$E198,Val!I$10,Val!$C$7,Val!$C198),"")</f>
        <v>-43473.025000000001</v>
      </c>
      <c r="J198" s="2">
        <f ca="1">IF(Flag_Send_Data=1,_xll.DBSW(Val!J198,Val!$C$1,Val!$C$2,Val!$C$3,Val!$C$4,Val!$D198,Val!$C$5,Val!$C$6,Val!$B198,Val!$E198,Val!J$10,Val!$C$7,Val!$C198),"")</f>
        <v>-43473.025000000001</v>
      </c>
      <c r="K198" s="2">
        <f ca="1">IF(Flag_Send_Data=1,_xll.DBSW(Val!K198,Val!$C$1,Val!$C$2,Val!$C$3,Val!$C$4,Val!$D198,Val!$C$5,Val!$C$6,Val!$B198,Val!$E198,Val!K$10,Val!$C$7,Val!$C198),"")</f>
        <v>-43473.025000000001</v>
      </c>
      <c r="L198" s="2">
        <f ca="1">IF(Flag_Send_Data=1,_xll.DBSW(Val!L198,Val!$C$1,Val!$C$2,Val!$C$3,Val!$C$4,Val!$D198,Val!$C$5,Val!$C$6,Val!$B198,Val!$E198,Val!L$10,Val!$C$7,Val!$C198),"")</f>
        <v>-43473.025000000001</v>
      </c>
      <c r="M198" s="2">
        <f ca="1">IF(Flag_Send_Data=1,_xll.DBSW(Val!M198,Val!$C$1,Val!$C$2,Val!$C$3,Val!$C$4,Val!$D198,Val!$C$5,Val!$C$6,Val!$B198,Val!$E198,Val!M$10,Val!$C$7,Val!$C198),"")</f>
        <v>-43473.025000000001</v>
      </c>
      <c r="N198" s="2">
        <f ca="1">IF(Flag_Send_Data=1,_xll.DBSW(Val!N198,Val!$C$1,Val!$C$2,Val!$C$3,Val!$C$4,Val!$D198,Val!$C$5,Val!$C$6,Val!$B198,Val!$E198,Val!N$10,Val!$C$7,Val!$C198),"")</f>
        <v>-43473.025000000001</v>
      </c>
      <c r="O198" s="2">
        <f ca="1">IF(Flag_Send_Data=1,_xll.DBSW(Val!O198,Val!$C$1,Val!$C$2,Val!$C$3,Val!$C$4,Val!$D198,Val!$C$5,Val!$C$6,Val!$B198,Val!$E198,Val!O$10,Val!$C$7,Val!$C198),"")</f>
        <v>-43473.025000000001</v>
      </c>
      <c r="P198" s="2">
        <f ca="1">IF(Flag_Send_Data=1,_xll.DBSW(Val!P198,Val!$C$1,Val!$C$2,Val!$C$3,Val!$C$4,Val!$D198,Val!$C$5,Val!$C$6,Val!$B198,Val!$E198,Val!P$10,Val!$C$7,Val!$C198),"")</f>
        <v>-43473.025000000001</v>
      </c>
      <c r="Q198" s="2">
        <f ca="1">IF(Flag_Send_Data=1,_xll.DBSW(Val!Q198,Val!$C$1,Val!$C$2,Val!$C$3,Val!$C$4,Val!$D198,Val!$C$5,Val!$C$6,Val!$B198,Val!$E198,Val!Q$10,Val!$C$7,Val!$C198),"")</f>
        <v>-43473.025000000001</v>
      </c>
    </row>
    <row r="199" spans="2:17" x14ac:dyDescent="0.25">
      <c r="B199" s="3" t="s">
        <v>261</v>
      </c>
      <c r="C199" t="s">
        <v>174</v>
      </c>
      <c r="D199" t="s">
        <v>199</v>
      </c>
      <c r="E199" t="s">
        <v>128</v>
      </c>
      <c r="F199" s="2">
        <f ca="1">IF(Flag_Send_Data=1,_xll.DBSW(Val!F199,Val!$C$1,Val!$C$2,Val!$C$3,Val!$C$4,Val!$D199,Val!$C$5,Val!$C$6,Val!$B199,Val!$E199,Val!F$10,Val!$C$7,Val!$C199),"")</f>
        <v>-1666.6666666666667</v>
      </c>
      <c r="G199" s="2">
        <f ca="1">IF(Flag_Send_Data=1,_xll.DBSW(Val!G199,Val!$C$1,Val!$C$2,Val!$C$3,Val!$C$4,Val!$D199,Val!$C$5,Val!$C$6,Val!$B199,Val!$E199,Val!G$10,Val!$C$7,Val!$C199),"")</f>
        <v>-1666.6666666666667</v>
      </c>
      <c r="H199" s="2">
        <f ca="1">IF(Flag_Send_Data=1,_xll.DBSW(Val!H199,Val!$C$1,Val!$C$2,Val!$C$3,Val!$C$4,Val!$D199,Val!$C$5,Val!$C$6,Val!$B199,Val!$E199,Val!H$10,Val!$C$7,Val!$C199),"")</f>
        <v>-1666.6666666666667</v>
      </c>
      <c r="I199" s="2">
        <f ca="1">IF(Flag_Send_Data=1,_xll.DBSW(Val!I199,Val!$C$1,Val!$C$2,Val!$C$3,Val!$C$4,Val!$D199,Val!$C$5,Val!$C$6,Val!$B199,Val!$E199,Val!I$10,Val!$C$7,Val!$C199),"")</f>
        <v>-1666.6666666666667</v>
      </c>
      <c r="J199" s="2">
        <f ca="1">IF(Flag_Send_Data=1,_xll.DBSW(Val!J199,Val!$C$1,Val!$C$2,Val!$C$3,Val!$C$4,Val!$D199,Val!$C$5,Val!$C$6,Val!$B199,Val!$E199,Val!J$10,Val!$C$7,Val!$C199),"")</f>
        <v>-1666.6666666666667</v>
      </c>
      <c r="K199" s="2">
        <f ca="1">IF(Flag_Send_Data=1,_xll.DBSW(Val!K199,Val!$C$1,Val!$C$2,Val!$C$3,Val!$C$4,Val!$D199,Val!$C$5,Val!$C$6,Val!$B199,Val!$E199,Val!K$10,Val!$C$7,Val!$C199),"")</f>
        <v>-1666.6666666666667</v>
      </c>
      <c r="L199" s="2">
        <f ca="1">IF(Flag_Send_Data=1,_xll.DBSW(Val!L199,Val!$C$1,Val!$C$2,Val!$C$3,Val!$C$4,Val!$D199,Val!$C$5,Val!$C$6,Val!$B199,Val!$E199,Val!L$10,Val!$C$7,Val!$C199),"")</f>
        <v>-1666.6666666666667</v>
      </c>
      <c r="M199" s="2">
        <f ca="1">IF(Flag_Send_Data=1,_xll.DBSW(Val!M199,Val!$C$1,Val!$C$2,Val!$C$3,Val!$C$4,Val!$D199,Val!$C$5,Val!$C$6,Val!$B199,Val!$E199,Val!M$10,Val!$C$7,Val!$C199),"")</f>
        <v>-1666.6666666666667</v>
      </c>
      <c r="N199" s="2">
        <f ca="1">IF(Flag_Send_Data=1,_xll.DBSW(Val!N199,Val!$C$1,Val!$C$2,Val!$C$3,Val!$C$4,Val!$D199,Val!$C$5,Val!$C$6,Val!$B199,Val!$E199,Val!N$10,Val!$C$7,Val!$C199),"")</f>
        <v>-1666.6666666666667</v>
      </c>
      <c r="O199" s="2">
        <f ca="1">IF(Flag_Send_Data=1,_xll.DBSW(Val!O199,Val!$C$1,Val!$C$2,Val!$C$3,Val!$C$4,Val!$D199,Val!$C$5,Val!$C$6,Val!$B199,Val!$E199,Val!O$10,Val!$C$7,Val!$C199),"")</f>
        <v>-1666.6666666666667</v>
      </c>
      <c r="P199" s="2">
        <f ca="1">IF(Flag_Send_Data=1,_xll.DBSW(Val!P199,Val!$C$1,Val!$C$2,Val!$C$3,Val!$C$4,Val!$D199,Val!$C$5,Val!$C$6,Val!$B199,Val!$E199,Val!P$10,Val!$C$7,Val!$C199),"")</f>
        <v>-1666.6666666666667</v>
      </c>
      <c r="Q199" s="2">
        <f ca="1">IF(Flag_Send_Data=1,_xll.DBSW(Val!Q199,Val!$C$1,Val!$C$2,Val!$C$3,Val!$C$4,Val!$D199,Val!$C$5,Val!$C$6,Val!$B199,Val!$E199,Val!Q$10,Val!$C$7,Val!$C199),"")</f>
        <v>-1666.6666666666667</v>
      </c>
    </row>
    <row r="200" spans="2:17" x14ac:dyDescent="0.25">
      <c r="B200" s="3" t="s">
        <v>261</v>
      </c>
      <c r="C200" t="s">
        <v>53</v>
      </c>
      <c r="D200" t="s">
        <v>227</v>
      </c>
      <c r="E200" t="s">
        <v>128</v>
      </c>
      <c r="F200" s="2">
        <f ca="1">IF(Flag_Send_Data=1,_xll.DBSW(Val!F200,Val!$C$1,Val!$C$2,Val!$C$3,Val!$C$4,Val!$D200,Val!$C$5,Val!$C$6,Val!$B200,Val!$E200,Val!F$10,Val!$C$7,Val!$C200),"")</f>
        <v>-29083.333333333332</v>
      </c>
      <c r="G200" s="2">
        <f ca="1">IF(Flag_Send_Data=1,_xll.DBSW(Val!G200,Val!$C$1,Val!$C$2,Val!$C$3,Val!$C$4,Val!$D200,Val!$C$5,Val!$C$6,Val!$B200,Val!$E200,Val!G$10,Val!$C$7,Val!$C200),"")</f>
        <v>-29083.333333333332</v>
      </c>
      <c r="H200" s="2">
        <f ca="1">IF(Flag_Send_Data=1,_xll.DBSW(Val!H200,Val!$C$1,Val!$C$2,Val!$C$3,Val!$C$4,Val!$D200,Val!$C$5,Val!$C$6,Val!$B200,Val!$E200,Val!H$10,Val!$C$7,Val!$C200),"")</f>
        <v>-29083.333333333332</v>
      </c>
      <c r="I200" s="2">
        <f ca="1">IF(Flag_Send_Data=1,_xll.DBSW(Val!I200,Val!$C$1,Val!$C$2,Val!$C$3,Val!$C$4,Val!$D200,Val!$C$5,Val!$C$6,Val!$B200,Val!$E200,Val!I$10,Val!$C$7,Val!$C200),"")</f>
        <v>-29083.333333333332</v>
      </c>
      <c r="J200" s="2">
        <f ca="1">IF(Flag_Send_Data=1,_xll.DBSW(Val!J200,Val!$C$1,Val!$C$2,Val!$C$3,Val!$C$4,Val!$D200,Val!$C$5,Val!$C$6,Val!$B200,Val!$E200,Val!J$10,Val!$C$7,Val!$C200),"")</f>
        <v>-29083.333333333332</v>
      </c>
      <c r="K200" s="2">
        <f ca="1">IF(Flag_Send_Data=1,_xll.DBSW(Val!K200,Val!$C$1,Val!$C$2,Val!$C$3,Val!$C$4,Val!$D200,Val!$C$5,Val!$C$6,Val!$B200,Val!$E200,Val!K$10,Val!$C$7,Val!$C200),"")</f>
        <v>-29083.333333333332</v>
      </c>
      <c r="L200" s="2">
        <f ca="1">IF(Flag_Send_Data=1,_xll.DBSW(Val!L200,Val!$C$1,Val!$C$2,Val!$C$3,Val!$C$4,Val!$D200,Val!$C$5,Val!$C$6,Val!$B200,Val!$E200,Val!L$10,Val!$C$7,Val!$C200),"")</f>
        <v>-29083.333333333332</v>
      </c>
      <c r="M200" s="2">
        <f ca="1">IF(Flag_Send_Data=1,_xll.DBSW(Val!M200,Val!$C$1,Val!$C$2,Val!$C$3,Val!$C$4,Val!$D200,Val!$C$5,Val!$C$6,Val!$B200,Val!$E200,Val!M$10,Val!$C$7,Val!$C200),"")</f>
        <v>-29083.333333333332</v>
      </c>
      <c r="N200" s="2">
        <f ca="1">IF(Flag_Send_Data=1,_xll.DBSW(Val!N200,Val!$C$1,Val!$C$2,Val!$C$3,Val!$C$4,Val!$D200,Val!$C$5,Val!$C$6,Val!$B200,Val!$E200,Val!N$10,Val!$C$7,Val!$C200),"")</f>
        <v>-29083.333333333332</v>
      </c>
      <c r="O200" s="2">
        <f ca="1">IF(Flag_Send_Data=1,_xll.DBSW(Val!O200,Val!$C$1,Val!$C$2,Val!$C$3,Val!$C$4,Val!$D200,Val!$C$5,Val!$C$6,Val!$B200,Val!$E200,Val!O$10,Val!$C$7,Val!$C200),"")</f>
        <v>-29083.333333333332</v>
      </c>
      <c r="P200" s="2">
        <f ca="1">IF(Flag_Send_Data=1,_xll.DBSW(Val!P200,Val!$C$1,Val!$C$2,Val!$C$3,Val!$C$4,Val!$D200,Val!$C$5,Val!$C$6,Val!$B200,Val!$E200,Val!P$10,Val!$C$7,Val!$C200),"")</f>
        <v>-29083.333333333332</v>
      </c>
      <c r="Q200" s="2">
        <f ca="1">IF(Flag_Send_Data=1,_xll.DBSW(Val!Q200,Val!$C$1,Val!$C$2,Val!$C$3,Val!$C$4,Val!$D200,Val!$C$5,Val!$C$6,Val!$B200,Val!$E200,Val!Q$10,Val!$C$7,Val!$C200),"")</f>
        <v>-29083.333333333332</v>
      </c>
    </row>
    <row r="201" spans="2:17" x14ac:dyDescent="0.25">
      <c r="B201" s="3" t="s">
        <v>261</v>
      </c>
      <c r="C201" t="s">
        <v>53</v>
      </c>
      <c r="D201" t="s">
        <v>199</v>
      </c>
      <c r="E201" t="s">
        <v>128</v>
      </c>
      <c r="F201" s="2">
        <f ca="1">IF(Flag_Send_Data=1,_xll.DBSW(Val!F201,Val!$C$1,Val!$C$2,Val!$C$3,Val!$C$4,Val!$D201,Val!$C$5,Val!$C$6,Val!$B201,Val!$E201,Val!F$10,Val!$C$7,Val!$C201),"")</f>
        <v>-2750</v>
      </c>
      <c r="G201" s="2">
        <f ca="1">IF(Flag_Send_Data=1,_xll.DBSW(Val!G201,Val!$C$1,Val!$C$2,Val!$C$3,Val!$C$4,Val!$D201,Val!$C$5,Val!$C$6,Val!$B201,Val!$E201,Val!G$10,Val!$C$7,Val!$C201),"")</f>
        <v>-2750</v>
      </c>
      <c r="H201" s="2">
        <f ca="1">IF(Flag_Send_Data=1,_xll.DBSW(Val!H201,Val!$C$1,Val!$C$2,Val!$C$3,Val!$C$4,Val!$D201,Val!$C$5,Val!$C$6,Val!$B201,Val!$E201,Val!H$10,Val!$C$7,Val!$C201),"")</f>
        <v>-2750</v>
      </c>
      <c r="I201" s="2">
        <f ca="1">IF(Flag_Send_Data=1,_xll.DBSW(Val!I201,Val!$C$1,Val!$C$2,Val!$C$3,Val!$C$4,Val!$D201,Val!$C$5,Val!$C$6,Val!$B201,Val!$E201,Val!I$10,Val!$C$7,Val!$C201),"")</f>
        <v>-19416.666666666701</v>
      </c>
      <c r="J201" s="2">
        <f ca="1">IF(Flag_Send_Data=1,_xll.DBSW(Val!J201,Val!$C$1,Val!$C$2,Val!$C$3,Val!$C$4,Val!$D201,Val!$C$5,Val!$C$6,Val!$B201,Val!$E201,Val!J$10,Val!$C$7,Val!$C201),"")</f>
        <v>-19416.666666666701</v>
      </c>
      <c r="K201" s="2">
        <f ca="1">IF(Flag_Send_Data=1,_xll.DBSW(Val!K201,Val!$C$1,Val!$C$2,Val!$C$3,Val!$C$4,Val!$D201,Val!$C$5,Val!$C$6,Val!$B201,Val!$E201,Val!K$10,Val!$C$7,Val!$C201),"")</f>
        <v>-19416.666666666701</v>
      </c>
      <c r="L201" s="2">
        <f ca="1">IF(Flag_Send_Data=1,_xll.DBSW(Val!L201,Val!$C$1,Val!$C$2,Val!$C$3,Val!$C$4,Val!$D201,Val!$C$5,Val!$C$6,Val!$B201,Val!$E201,Val!L$10,Val!$C$7,Val!$C201),"")</f>
        <v>-2750</v>
      </c>
      <c r="M201" s="2">
        <f ca="1">IF(Flag_Send_Data=1,_xll.DBSW(Val!M201,Val!$C$1,Val!$C$2,Val!$C$3,Val!$C$4,Val!$D201,Val!$C$5,Val!$C$6,Val!$B201,Val!$E201,Val!M$10,Val!$C$7,Val!$C201),"")</f>
        <v>-2750</v>
      </c>
      <c r="N201" s="2">
        <f ca="1">IF(Flag_Send_Data=1,_xll.DBSW(Val!N201,Val!$C$1,Val!$C$2,Val!$C$3,Val!$C$4,Val!$D201,Val!$C$5,Val!$C$6,Val!$B201,Val!$E201,Val!N$10,Val!$C$7,Val!$C201),"")</f>
        <v>-2750</v>
      </c>
      <c r="O201" s="2">
        <f ca="1">IF(Flag_Send_Data=1,_xll.DBSW(Val!O201,Val!$C$1,Val!$C$2,Val!$C$3,Val!$C$4,Val!$D201,Val!$C$5,Val!$C$6,Val!$B201,Val!$E201,Val!O$10,Val!$C$7,Val!$C201),"")</f>
        <v>-2750</v>
      </c>
      <c r="P201" s="2">
        <f ca="1">IF(Flag_Send_Data=1,_xll.DBSW(Val!P201,Val!$C$1,Val!$C$2,Val!$C$3,Val!$C$4,Val!$D201,Val!$C$5,Val!$C$6,Val!$B201,Val!$E201,Val!P$10,Val!$C$7,Val!$C201),"")</f>
        <v>-2750</v>
      </c>
      <c r="Q201" s="2">
        <f ca="1">IF(Flag_Send_Data=1,_xll.DBSW(Val!Q201,Val!$C$1,Val!$C$2,Val!$C$3,Val!$C$4,Val!$D201,Val!$C$5,Val!$C$6,Val!$B201,Val!$E201,Val!Q$10,Val!$C$7,Val!$C201),"")</f>
        <v>-2750</v>
      </c>
    </row>
    <row r="202" spans="2:17" x14ac:dyDescent="0.25">
      <c r="B202" s="3" t="s">
        <v>261</v>
      </c>
      <c r="C202" t="s">
        <v>53</v>
      </c>
      <c r="D202" t="s">
        <v>205</v>
      </c>
      <c r="E202" t="s">
        <v>128</v>
      </c>
      <c r="F202" s="2">
        <f ca="1">IF(Flag_Send_Data=1,_xll.DBSW(Val!F202,Val!$C$1,Val!$C$2,Val!$C$3,Val!$C$4,Val!$D202,Val!$C$5,Val!$C$6,Val!$B202,Val!$E202,Val!F$10,Val!$C$7,Val!$C202),"")</f>
        <v>-18916.666666666668</v>
      </c>
      <c r="G202" s="2">
        <f ca="1">IF(Flag_Send_Data=1,_xll.DBSW(Val!G202,Val!$C$1,Val!$C$2,Val!$C$3,Val!$C$4,Val!$D202,Val!$C$5,Val!$C$6,Val!$B202,Val!$E202,Val!G$10,Val!$C$7,Val!$C202),"")</f>
        <v>-18916.666666666668</v>
      </c>
      <c r="H202" s="2">
        <f ca="1">IF(Flag_Send_Data=1,_xll.DBSW(Val!H202,Val!$C$1,Val!$C$2,Val!$C$3,Val!$C$4,Val!$D202,Val!$C$5,Val!$C$6,Val!$B202,Val!$E202,Val!H$10,Val!$C$7,Val!$C202),"")</f>
        <v>-18916.666666666668</v>
      </c>
      <c r="I202" s="2">
        <f ca="1">IF(Flag_Send_Data=1,_xll.DBSW(Val!I202,Val!$C$1,Val!$C$2,Val!$C$3,Val!$C$4,Val!$D202,Val!$C$5,Val!$C$6,Val!$B202,Val!$E202,Val!I$10,Val!$C$7,Val!$C202),"")</f>
        <v>-18916.666666666668</v>
      </c>
      <c r="J202" s="2">
        <f ca="1">IF(Flag_Send_Data=1,_xll.DBSW(Val!J202,Val!$C$1,Val!$C$2,Val!$C$3,Val!$C$4,Val!$D202,Val!$C$5,Val!$C$6,Val!$B202,Val!$E202,Val!J$10,Val!$C$7,Val!$C202),"")</f>
        <v>-18916.666666666668</v>
      </c>
      <c r="K202" s="2">
        <f ca="1">IF(Flag_Send_Data=1,_xll.DBSW(Val!K202,Val!$C$1,Val!$C$2,Val!$C$3,Val!$C$4,Val!$D202,Val!$C$5,Val!$C$6,Val!$B202,Val!$E202,Val!K$10,Val!$C$7,Val!$C202),"")</f>
        <v>-18916.666666666668</v>
      </c>
      <c r="L202" s="2">
        <f ca="1">IF(Flag_Send_Data=1,_xll.DBSW(Val!L202,Val!$C$1,Val!$C$2,Val!$C$3,Val!$C$4,Val!$D202,Val!$C$5,Val!$C$6,Val!$B202,Val!$E202,Val!L$10,Val!$C$7,Val!$C202),"")</f>
        <v>-18916.666666666668</v>
      </c>
      <c r="M202" s="2">
        <f ca="1">IF(Flag_Send_Data=1,_xll.DBSW(Val!M202,Val!$C$1,Val!$C$2,Val!$C$3,Val!$C$4,Val!$D202,Val!$C$5,Val!$C$6,Val!$B202,Val!$E202,Val!M$10,Val!$C$7,Val!$C202),"")</f>
        <v>-18916.666666666668</v>
      </c>
      <c r="N202" s="2">
        <f ca="1">IF(Flag_Send_Data=1,_xll.DBSW(Val!N202,Val!$C$1,Val!$C$2,Val!$C$3,Val!$C$4,Val!$D202,Val!$C$5,Val!$C$6,Val!$B202,Val!$E202,Val!N$10,Val!$C$7,Val!$C202),"")</f>
        <v>-18916.666666666668</v>
      </c>
      <c r="O202" s="2">
        <f ca="1">IF(Flag_Send_Data=1,_xll.DBSW(Val!O202,Val!$C$1,Val!$C$2,Val!$C$3,Val!$C$4,Val!$D202,Val!$C$5,Val!$C$6,Val!$B202,Val!$E202,Val!O$10,Val!$C$7,Val!$C202),"")</f>
        <v>-18916.666666666668</v>
      </c>
      <c r="P202" s="2">
        <f ca="1">IF(Flag_Send_Data=1,_xll.DBSW(Val!P202,Val!$C$1,Val!$C$2,Val!$C$3,Val!$C$4,Val!$D202,Val!$C$5,Val!$C$6,Val!$B202,Val!$E202,Val!P$10,Val!$C$7,Val!$C202),"")</f>
        <v>-18916.666666666668</v>
      </c>
      <c r="Q202" s="2">
        <f ca="1">IF(Flag_Send_Data=1,_xll.DBSW(Val!Q202,Val!$C$1,Val!$C$2,Val!$C$3,Val!$C$4,Val!$D202,Val!$C$5,Val!$C$6,Val!$B202,Val!$E202,Val!Q$10,Val!$C$7,Val!$C202),"")</f>
        <v>-18916.666666666668</v>
      </c>
    </row>
    <row r="203" spans="2:17" x14ac:dyDescent="0.25">
      <c r="B203" s="3" t="s">
        <v>261</v>
      </c>
      <c r="C203" t="s">
        <v>64</v>
      </c>
      <c r="D203" t="s">
        <v>147</v>
      </c>
      <c r="E203" t="s">
        <v>128</v>
      </c>
      <c r="F203" s="2">
        <f ca="1">IF(Flag_Send_Data=1,_xll.DBSW(Val!F203,Val!$C$1,Val!$C$2,Val!$C$3,Val!$C$4,Val!$D203,Val!$C$5,Val!$C$6,Val!$B203,Val!$E203,Val!F$10,Val!$C$7,Val!$C203),"")</f>
        <v>-726.64600000000007</v>
      </c>
      <c r="G203" s="2">
        <f ca="1">IF(Flag_Send_Data=1,_xll.DBSW(Val!G203,Val!$C$1,Val!$C$2,Val!$C$3,Val!$C$4,Val!$D203,Val!$C$5,Val!$C$6,Val!$B203,Val!$E203,Val!G$10,Val!$C$7,Val!$C203),"")</f>
        <v>-726.64600000000007</v>
      </c>
      <c r="H203" s="2">
        <f ca="1">IF(Flag_Send_Data=1,_xll.DBSW(Val!H203,Val!$C$1,Val!$C$2,Val!$C$3,Val!$C$4,Val!$D203,Val!$C$5,Val!$C$6,Val!$B203,Val!$E203,Val!H$10,Val!$C$7,Val!$C203),"")</f>
        <v>-726.64600000000007</v>
      </c>
      <c r="I203" s="2">
        <f ca="1">IF(Flag_Send_Data=1,_xll.DBSW(Val!I203,Val!$C$1,Val!$C$2,Val!$C$3,Val!$C$4,Val!$D203,Val!$C$5,Val!$C$6,Val!$B203,Val!$E203,Val!I$10,Val!$C$7,Val!$C203),"")</f>
        <v>-726.64600000000007</v>
      </c>
      <c r="J203" s="2">
        <f ca="1">IF(Flag_Send_Data=1,_xll.DBSW(Val!J203,Val!$C$1,Val!$C$2,Val!$C$3,Val!$C$4,Val!$D203,Val!$C$5,Val!$C$6,Val!$B203,Val!$E203,Val!J$10,Val!$C$7,Val!$C203),"")</f>
        <v>-726.64600000000007</v>
      </c>
      <c r="K203" s="2">
        <f ca="1">IF(Flag_Send_Data=1,_xll.DBSW(Val!K203,Val!$C$1,Val!$C$2,Val!$C$3,Val!$C$4,Val!$D203,Val!$C$5,Val!$C$6,Val!$B203,Val!$E203,Val!K$10,Val!$C$7,Val!$C203),"")</f>
        <v>-726.64600000000007</v>
      </c>
      <c r="L203" s="2">
        <f ca="1">IF(Flag_Send_Data=1,_xll.DBSW(Val!L203,Val!$C$1,Val!$C$2,Val!$C$3,Val!$C$4,Val!$D203,Val!$C$5,Val!$C$6,Val!$B203,Val!$E203,Val!L$10,Val!$C$7,Val!$C203),"")</f>
        <v>-726.64600000000007</v>
      </c>
      <c r="M203" s="2">
        <f ca="1">IF(Flag_Send_Data=1,_xll.DBSW(Val!M203,Val!$C$1,Val!$C$2,Val!$C$3,Val!$C$4,Val!$D203,Val!$C$5,Val!$C$6,Val!$B203,Val!$E203,Val!M$10,Val!$C$7,Val!$C203),"")</f>
        <v>-726.64600000000007</v>
      </c>
      <c r="N203" s="2">
        <f ca="1">IF(Flag_Send_Data=1,_xll.DBSW(Val!N203,Val!$C$1,Val!$C$2,Val!$C$3,Val!$C$4,Val!$D203,Val!$C$5,Val!$C$6,Val!$B203,Val!$E203,Val!N$10,Val!$C$7,Val!$C203),"")</f>
        <v>-726.64600000000007</v>
      </c>
      <c r="O203" s="2">
        <f ca="1">IF(Flag_Send_Data=1,_xll.DBSW(Val!O203,Val!$C$1,Val!$C$2,Val!$C$3,Val!$C$4,Val!$D203,Val!$C$5,Val!$C$6,Val!$B203,Val!$E203,Val!O$10,Val!$C$7,Val!$C203),"")</f>
        <v>-726.64600000000007</v>
      </c>
      <c r="P203" s="2">
        <f ca="1">IF(Flag_Send_Data=1,_xll.DBSW(Val!P203,Val!$C$1,Val!$C$2,Val!$C$3,Val!$C$4,Val!$D203,Val!$C$5,Val!$C$6,Val!$B203,Val!$E203,Val!P$10,Val!$C$7,Val!$C203),"")</f>
        <v>-726.64600000000007</v>
      </c>
      <c r="Q203" s="2">
        <f ca="1">IF(Flag_Send_Data=1,_xll.DBSW(Val!Q203,Val!$C$1,Val!$C$2,Val!$C$3,Val!$C$4,Val!$D203,Val!$C$5,Val!$C$6,Val!$B203,Val!$E203,Val!Q$10,Val!$C$7,Val!$C203),"")</f>
        <v>-726.64600000000007</v>
      </c>
    </row>
    <row r="204" spans="2:17" x14ac:dyDescent="0.25">
      <c r="B204" s="3" t="s">
        <v>261</v>
      </c>
      <c r="C204" t="s">
        <v>99</v>
      </c>
      <c r="D204" t="s">
        <v>199</v>
      </c>
      <c r="E204" t="s">
        <v>14</v>
      </c>
      <c r="F204" s="2">
        <f ca="1">IF(Flag_Send_Data=1,_xll.DBSW(Val!F204,Val!$C$1,Val!$C$2,Val!$C$3,Val!$C$4,Val!$D204,Val!$C$5,Val!$C$6,Val!$B204,Val!$E204,Val!F$10,Val!$C$7,Val!$C204),"")</f>
        <v>23000</v>
      </c>
      <c r="G204" s="2">
        <f ca="1">IF(Flag_Send_Data=1,_xll.DBSW(Val!G204,Val!$C$1,Val!$C$2,Val!$C$3,Val!$C$4,Val!$D204,Val!$C$5,Val!$C$6,Val!$B204,Val!$E204,Val!G$10,Val!$C$7,Val!$C204),"")</f>
        <v>23000</v>
      </c>
      <c r="H204" s="2">
        <f ca="1">IF(Flag_Send_Data=1,_xll.DBSW(Val!H204,Val!$C$1,Val!$C$2,Val!$C$3,Val!$C$4,Val!$D204,Val!$C$5,Val!$C$6,Val!$B204,Val!$E204,Val!H$10,Val!$C$7,Val!$C204),"")</f>
        <v>23000</v>
      </c>
      <c r="I204" s="2">
        <f ca="1">IF(Flag_Send_Data=1,_xll.DBSW(Val!I204,Val!$C$1,Val!$C$2,Val!$C$3,Val!$C$4,Val!$D204,Val!$C$5,Val!$C$6,Val!$B204,Val!$E204,Val!I$10,Val!$C$7,Val!$C204),"")</f>
        <v>23000</v>
      </c>
      <c r="J204" s="2">
        <f ca="1">IF(Flag_Send_Data=1,_xll.DBSW(Val!J204,Val!$C$1,Val!$C$2,Val!$C$3,Val!$C$4,Val!$D204,Val!$C$5,Val!$C$6,Val!$B204,Val!$E204,Val!J$10,Val!$C$7,Val!$C204),"")</f>
        <v>23000</v>
      </c>
      <c r="K204" s="2">
        <f ca="1">IF(Flag_Send_Data=1,_xll.DBSW(Val!K204,Val!$C$1,Val!$C$2,Val!$C$3,Val!$C$4,Val!$D204,Val!$C$5,Val!$C$6,Val!$B204,Val!$E204,Val!K$10,Val!$C$7,Val!$C204),"")</f>
        <v>23000</v>
      </c>
      <c r="L204" s="2">
        <f ca="1">IF(Flag_Send_Data=1,_xll.DBSW(Val!L204,Val!$C$1,Val!$C$2,Val!$C$3,Val!$C$4,Val!$D204,Val!$C$5,Val!$C$6,Val!$B204,Val!$E204,Val!L$10,Val!$C$7,Val!$C204),"")</f>
        <v>23000</v>
      </c>
      <c r="M204" s="2">
        <f ca="1">IF(Flag_Send_Data=1,_xll.DBSW(Val!M204,Val!$C$1,Val!$C$2,Val!$C$3,Val!$C$4,Val!$D204,Val!$C$5,Val!$C$6,Val!$B204,Val!$E204,Val!M$10,Val!$C$7,Val!$C204),"")</f>
        <v>23000</v>
      </c>
      <c r="N204" s="2">
        <f ca="1">IF(Flag_Send_Data=1,_xll.DBSW(Val!N204,Val!$C$1,Val!$C$2,Val!$C$3,Val!$C$4,Val!$D204,Val!$C$5,Val!$C$6,Val!$B204,Val!$E204,Val!N$10,Val!$C$7,Val!$C204),"")</f>
        <v>23000</v>
      </c>
      <c r="O204" s="2">
        <f ca="1">IF(Flag_Send_Data=1,_xll.DBSW(Val!O204,Val!$C$1,Val!$C$2,Val!$C$3,Val!$C$4,Val!$D204,Val!$C$5,Val!$C$6,Val!$B204,Val!$E204,Val!O$10,Val!$C$7,Val!$C204),"")</f>
        <v>23000</v>
      </c>
      <c r="P204" s="2">
        <f ca="1">IF(Flag_Send_Data=1,_xll.DBSW(Val!P204,Val!$C$1,Val!$C$2,Val!$C$3,Val!$C$4,Val!$D204,Val!$C$5,Val!$C$6,Val!$B204,Val!$E204,Val!P$10,Val!$C$7,Val!$C204),"")</f>
        <v>23000</v>
      </c>
      <c r="Q204" s="2">
        <f ca="1">IF(Flag_Send_Data=1,_xll.DBSW(Val!Q204,Val!$C$1,Val!$C$2,Val!$C$3,Val!$C$4,Val!$D204,Val!$C$5,Val!$C$6,Val!$B204,Val!$E204,Val!Q$10,Val!$C$7,Val!$C204),"")</f>
        <v>23000</v>
      </c>
    </row>
    <row r="205" spans="2:17" x14ac:dyDescent="0.25">
      <c r="B205" s="3" t="s">
        <v>261</v>
      </c>
      <c r="C205" t="s">
        <v>100</v>
      </c>
      <c r="D205" t="s">
        <v>199</v>
      </c>
      <c r="E205" t="s">
        <v>14</v>
      </c>
      <c r="F205" s="2">
        <f ca="1">IF(Flag_Send_Data=1,_xll.DBSW(Val!F205,Val!$C$1,Val!$C$2,Val!$C$3,Val!$C$4,Val!$D205,Val!$C$5,Val!$C$6,Val!$B205,Val!$E205,Val!F$10,Val!$C$7,Val!$C205),"")</f>
        <v>8312.9025000000001</v>
      </c>
      <c r="G205" s="2">
        <f ca="1">IF(Flag_Send_Data=1,_xll.DBSW(Val!G205,Val!$C$1,Val!$C$2,Val!$C$3,Val!$C$4,Val!$D205,Val!$C$5,Val!$C$6,Val!$B205,Val!$E205,Val!G$10,Val!$C$7,Val!$C205),"")</f>
        <v>8312.9025000000001</v>
      </c>
      <c r="H205" s="2">
        <f ca="1">IF(Flag_Send_Data=1,_xll.DBSW(Val!H205,Val!$C$1,Val!$C$2,Val!$C$3,Val!$C$4,Val!$D205,Val!$C$5,Val!$C$6,Val!$B205,Val!$E205,Val!H$10,Val!$C$7,Val!$C205),"")</f>
        <v>8312.9025000000001</v>
      </c>
      <c r="I205" s="2">
        <f ca="1">IF(Flag_Send_Data=1,_xll.DBSW(Val!I205,Val!$C$1,Val!$C$2,Val!$C$3,Val!$C$4,Val!$D205,Val!$C$5,Val!$C$6,Val!$B205,Val!$E205,Val!I$10,Val!$C$7,Val!$C205),"")</f>
        <v>8312.9025000000001</v>
      </c>
      <c r="J205" s="2">
        <f ca="1">IF(Flag_Send_Data=1,_xll.DBSW(Val!J205,Val!$C$1,Val!$C$2,Val!$C$3,Val!$C$4,Val!$D205,Val!$C$5,Val!$C$6,Val!$B205,Val!$E205,Val!J$10,Val!$C$7,Val!$C205),"")</f>
        <v>8312.9025000000001</v>
      </c>
      <c r="K205" s="2">
        <f ca="1">IF(Flag_Send_Data=1,_xll.DBSW(Val!K205,Val!$C$1,Val!$C$2,Val!$C$3,Val!$C$4,Val!$D205,Val!$C$5,Val!$C$6,Val!$B205,Val!$E205,Val!K$10,Val!$C$7,Val!$C205),"")</f>
        <v>8312.9025000000001</v>
      </c>
      <c r="L205" s="2">
        <f ca="1">IF(Flag_Send_Data=1,_xll.DBSW(Val!L205,Val!$C$1,Val!$C$2,Val!$C$3,Val!$C$4,Val!$D205,Val!$C$5,Val!$C$6,Val!$B205,Val!$E205,Val!L$10,Val!$C$7,Val!$C205),"")</f>
        <v>8312.9025000000001</v>
      </c>
      <c r="M205" s="2">
        <f ca="1">IF(Flag_Send_Data=1,_xll.DBSW(Val!M205,Val!$C$1,Val!$C$2,Val!$C$3,Val!$C$4,Val!$D205,Val!$C$5,Val!$C$6,Val!$B205,Val!$E205,Val!M$10,Val!$C$7,Val!$C205),"")</f>
        <v>8312.9025000000001</v>
      </c>
      <c r="N205" s="2">
        <f ca="1">IF(Flag_Send_Data=1,_xll.DBSW(Val!N205,Val!$C$1,Val!$C$2,Val!$C$3,Val!$C$4,Val!$D205,Val!$C$5,Val!$C$6,Val!$B205,Val!$E205,Val!N$10,Val!$C$7,Val!$C205),"")</f>
        <v>8312.9025000000001</v>
      </c>
      <c r="O205" s="2">
        <f ca="1">IF(Flag_Send_Data=1,_xll.DBSW(Val!O205,Val!$C$1,Val!$C$2,Val!$C$3,Val!$C$4,Val!$D205,Val!$C$5,Val!$C$6,Val!$B205,Val!$E205,Val!O$10,Val!$C$7,Val!$C205),"")</f>
        <v>8312.9025000000001</v>
      </c>
      <c r="P205" s="2">
        <f ca="1">IF(Flag_Send_Data=1,_xll.DBSW(Val!P205,Val!$C$1,Val!$C$2,Val!$C$3,Val!$C$4,Val!$D205,Val!$C$5,Val!$C$6,Val!$B205,Val!$E205,Val!P$10,Val!$C$7,Val!$C205),"")</f>
        <v>8312.9025000000001</v>
      </c>
      <c r="Q205" s="2">
        <f ca="1">IF(Flag_Send_Data=1,_xll.DBSW(Val!Q205,Val!$C$1,Val!$C$2,Val!$C$3,Val!$C$4,Val!$D205,Val!$C$5,Val!$C$6,Val!$B205,Val!$E205,Val!Q$10,Val!$C$7,Val!$C205),"")</f>
        <v>8312.9025000000001</v>
      </c>
    </row>
    <row r="206" spans="2:17" x14ac:dyDescent="0.25">
      <c r="B206" s="3" t="s">
        <v>262</v>
      </c>
      <c r="C206" t="s">
        <v>51</v>
      </c>
      <c r="D206" t="s">
        <v>199</v>
      </c>
      <c r="E206" t="s">
        <v>128</v>
      </c>
      <c r="F206" s="2">
        <f ca="1">IF(Flag_Send_Data=1,_xll.DBSW(Val!F206,Val!$C$1,Val!$C$2,Val!$C$3,Val!$C$4,Val!$D206,Val!$C$5,Val!$C$6,Val!$B206,Val!$E206,Val!F$10,Val!$C$7,Val!$C206),"")</f>
        <v>-21948.662500000002</v>
      </c>
      <c r="G206" s="2">
        <f ca="1">IF(Flag_Send_Data=1,_xll.DBSW(Val!G206,Val!$C$1,Val!$C$2,Val!$C$3,Val!$C$4,Val!$D206,Val!$C$5,Val!$C$6,Val!$B206,Val!$E206,Val!G$10,Val!$C$7,Val!$C206),"")</f>
        <v>-21948.662500000002</v>
      </c>
      <c r="H206" s="2">
        <f ca="1">IF(Flag_Send_Data=1,_xll.DBSW(Val!H206,Val!$C$1,Val!$C$2,Val!$C$3,Val!$C$4,Val!$D206,Val!$C$5,Val!$C$6,Val!$B206,Val!$E206,Val!H$10,Val!$C$7,Val!$C206),"")</f>
        <v>-21948.662500000002</v>
      </c>
      <c r="I206" s="2">
        <f ca="1">IF(Flag_Send_Data=1,_xll.DBSW(Val!I206,Val!$C$1,Val!$C$2,Val!$C$3,Val!$C$4,Val!$D206,Val!$C$5,Val!$C$6,Val!$B206,Val!$E206,Val!I$10,Val!$C$7,Val!$C206),"")</f>
        <v>-21948.662500000002</v>
      </c>
      <c r="J206" s="2">
        <f ca="1">IF(Flag_Send_Data=1,_xll.DBSW(Val!J206,Val!$C$1,Val!$C$2,Val!$C$3,Val!$C$4,Val!$D206,Val!$C$5,Val!$C$6,Val!$B206,Val!$E206,Val!J$10,Val!$C$7,Val!$C206),"")</f>
        <v>-21948.662500000002</v>
      </c>
      <c r="K206" s="2">
        <f ca="1">IF(Flag_Send_Data=1,_xll.DBSW(Val!K206,Val!$C$1,Val!$C$2,Val!$C$3,Val!$C$4,Val!$D206,Val!$C$5,Val!$C$6,Val!$B206,Val!$E206,Val!K$10,Val!$C$7,Val!$C206),"")</f>
        <v>-21948.662500000002</v>
      </c>
      <c r="L206" s="2">
        <f ca="1">IF(Flag_Send_Data=1,_xll.DBSW(Val!L206,Val!$C$1,Val!$C$2,Val!$C$3,Val!$C$4,Val!$D206,Val!$C$5,Val!$C$6,Val!$B206,Val!$E206,Val!L$10,Val!$C$7,Val!$C206),"")</f>
        <v>-21948.662500000002</v>
      </c>
      <c r="M206" s="2">
        <f ca="1">IF(Flag_Send_Data=1,_xll.DBSW(Val!M206,Val!$C$1,Val!$C$2,Val!$C$3,Val!$C$4,Val!$D206,Val!$C$5,Val!$C$6,Val!$B206,Val!$E206,Val!M$10,Val!$C$7,Val!$C206),"")</f>
        <v>-21948.662500000002</v>
      </c>
      <c r="N206" s="2">
        <f ca="1">IF(Flag_Send_Data=1,_xll.DBSW(Val!N206,Val!$C$1,Val!$C$2,Val!$C$3,Val!$C$4,Val!$D206,Val!$C$5,Val!$C$6,Val!$B206,Val!$E206,Val!N$10,Val!$C$7,Val!$C206),"")</f>
        <v>-21948.662500000002</v>
      </c>
      <c r="O206" s="2">
        <f ca="1">IF(Flag_Send_Data=1,_xll.DBSW(Val!O206,Val!$C$1,Val!$C$2,Val!$C$3,Val!$C$4,Val!$D206,Val!$C$5,Val!$C$6,Val!$B206,Val!$E206,Val!O$10,Val!$C$7,Val!$C206),"")</f>
        <v>-21948.662500000002</v>
      </c>
      <c r="P206" s="2">
        <f ca="1">IF(Flag_Send_Data=1,_xll.DBSW(Val!P206,Val!$C$1,Val!$C$2,Val!$C$3,Val!$C$4,Val!$D206,Val!$C$5,Val!$C$6,Val!$B206,Val!$E206,Val!P$10,Val!$C$7,Val!$C206),"")</f>
        <v>-21948.662500000002</v>
      </c>
      <c r="Q206" s="2">
        <f ca="1">IF(Flag_Send_Data=1,_xll.DBSW(Val!Q206,Val!$C$1,Val!$C$2,Val!$C$3,Val!$C$4,Val!$D206,Val!$C$5,Val!$C$6,Val!$B206,Val!$E206,Val!Q$10,Val!$C$7,Val!$C206),"")</f>
        <v>-21948.662500000002</v>
      </c>
    </row>
    <row r="207" spans="2:17" x14ac:dyDescent="0.25">
      <c r="B207" s="3" t="s">
        <v>262</v>
      </c>
      <c r="C207" t="s">
        <v>52</v>
      </c>
      <c r="D207" t="s">
        <v>199</v>
      </c>
      <c r="E207" t="s">
        <v>128</v>
      </c>
      <c r="F207" s="2">
        <f ca="1">IF(Flag_Send_Data=1,_xll.DBSW(Val!F207,Val!$C$1,Val!$C$2,Val!$C$3,Val!$C$4,Val!$D207,Val!$C$5,Val!$C$6,Val!$B207,Val!$E207,Val!F$10,Val!$C$7,Val!$C207),"")</f>
        <v>-1000</v>
      </c>
      <c r="G207" s="2">
        <f ca="1">IF(Flag_Send_Data=1,_xll.DBSW(Val!G207,Val!$C$1,Val!$C$2,Val!$C$3,Val!$C$4,Val!$D207,Val!$C$5,Val!$C$6,Val!$B207,Val!$E207,Val!G$10,Val!$C$7,Val!$C207),"")</f>
        <v>-1000</v>
      </c>
      <c r="H207" s="2">
        <f ca="1">IF(Flag_Send_Data=1,_xll.DBSW(Val!H207,Val!$C$1,Val!$C$2,Val!$C$3,Val!$C$4,Val!$D207,Val!$C$5,Val!$C$6,Val!$B207,Val!$E207,Val!H$10,Val!$C$7,Val!$C207),"")</f>
        <v>-1000</v>
      </c>
      <c r="I207" s="2">
        <f ca="1">IF(Flag_Send_Data=1,_xll.DBSW(Val!I207,Val!$C$1,Val!$C$2,Val!$C$3,Val!$C$4,Val!$D207,Val!$C$5,Val!$C$6,Val!$B207,Val!$E207,Val!I$10,Val!$C$7,Val!$C207),"")</f>
        <v>-1000</v>
      </c>
      <c r="J207" s="2">
        <f ca="1">IF(Flag_Send_Data=1,_xll.DBSW(Val!J207,Val!$C$1,Val!$C$2,Val!$C$3,Val!$C$4,Val!$D207,Val!$C$5,Val!$C$6,Val!$B207,Val!$E207,Val!J$10,Val!$C$7,Val!$C207),"")</f>
        <v>-1000</v>
      </c>
      <c r="K207" s="2">
        <f ca="1">IF(Flag_Send_Data=1,_xll.DBSW(Val!K207,Val!$C$1,Val!$C$2,Val!$C$3,Val!$C$4,Val!$D207,Val!$C$5,Val!$C$6,Val!$B207,Val!$E207,Val!K$10,Val!$C$7,Val!$C207),"")</f>
        <v>-1000</v>
      </c>
      <c r="L207" s="2">
        <f ca="1">IF(Flag_Send_Data=1,_xll.DBSW(Val!L207,Val!$C$1,Val!$C$2,Val!$C$3,Val!$C$4,Val!$D207,Val!$C$5,Val!$C$6,Val!$B207,Val!$E207,Val!L$10,Val!$C$7,Val!$C207),"")</f>
        <v>-1000</v>
      </c>
      <c r="M207" s="2">
        <f ca="1">IF(Flag_Send_Data=1,_xll.DBSW(Val!M207,Val!$C$1,Val!$C$2,Val!$C$3,Val!$C$4,Val!$D207,Val!$C$5,Val!$C$6,Val!$B207,Val!$E207,Val!M$10,Val!$C$7,Val!$C207),"")</f>
        <v>-1000</v>
      </c>
      <c r="N207" s="2">
        <f ca="1">IF(Flag_Send_Data=1,_xll.DBSW(Val!N207,Val!$C$1,Val!$C$2,Val!$C$3,Val!$C$4,Val!$D207,Val!$C$5,Val!$C$6,Val!$B207,Val!$E207,Val!N$10,Val!$C$7,Val!$C207),"")</f>
        <v>-1000</v>
      </c>
      <c r="O207" s="2">
        <f ca="1">IF(Flag_Send_Data=1,_xll.DBSW(Val!O207,Val!$C$1,Val!$C$2,Val!$C$3,Val!$C$4,Val!$D207,Val!$C$5,Val!$C$6,Val!$B207,Val!$E207,Val!O$10,Val!$C$7,Val!$C207),"")</f>
        <v>-1000</v>
      </c>
      <c r="P207" s="2">
        <f ca="1">IF(Flag_Send_Data=1,_xll.DBSW(Val!P207,Val!$C$1,Val!$C$2,Val!$C$3,Val!$C$4,Val!$D207,Val!$C$5,Val!$C$6,Val!$B207,Val!$E207,Val!P$10,Val!$C$7,Val!$C207),"")</f>
        <v>-1000</v>
      </c>
      <c r="Q207" s="2">
        <f ca="1">IF(Flag_Send_Data=1,_xll.DBSW(Val!Q207,Val!$C$1,Val!$C$2,Val!$C$3,Val!$C$4,Val!$D207,Val!$C$5,Val!$C$6,Val!$B207,Val!$E207,Val!Q$10,Val!$C$7,Val!$C207),"")</f>
        <v>-1000</v>
      </c>
    </row>
    <row r="208" spans="2:17" x14ac:dyDescent="0.25">
      <c r="B208" s="3" t="s">
        <v>262</v>
      </c>
      <c r="C208" t="s">
        <v>53</v>
      </c>
      <c r="D208" t="s">
        <v>199</v>
      </c>
      <c r="E208" t="s">
        <v>128</v>
      </c>
      <c r="F208" s="2">
        <f ca="1">IF(Flag_Send_Data=1,_xll.DBSW(Val!F208,Val!$C$1,Val!$C$2,Val!$C$3,Val!$C$4,Val!$D208,Val!$C$5,Val!$C$6,Val!$B208,Val!$E208,Val!F$10,Val!$C$7,Val!$C208),"")</f>
        <v>-15666.666666666633</v>
      </c>
      <c r="G208" s="2">
        <f ca="1">IF(Flag_Send_Data=1,_xll.DBSW(Val!G208,Val!$C$1,Val!$C$2,Val!$C$3,Val!$C$4,Val!$D208,Val!$C$5,Val!$C$6,Val!$B208,Val!$E208,Val!G$10,Val!$C$7,Val!$C208),"")</f>
        <v>-15666.666666666633</v>
      </c>
      <c r="H208" s="2">
        <f ca="1">IF(Flag_Send_Data=1,_xll.DBSW(Val!H208,Val!$C$1,Val!$C$2,Val!$C$3,Val!$C$4,Val!$D208,Val!$C$5,Val!$C$6,Val!$B208,Val!$E208,Val!H$10,Val!$C$7,Val!$C208),"")</f>
        <v>-15666.666666666633</v>
      </c>
      <c r="I208" s="2">
        <f ca="1">IF(Flag_Send_Data=1,_xll.DBSW(Val!I208,Val!$C$1,Val!$C$2,Val!$C$3,Val!$C$4,Val!$D208,Val!$C$5,Val!$C$6,Val!$B208,Val!$E208,Val!I$10,Val!$C$7,Val!$C208),"")</f>
        <v>-15666.666666666633</v>
      </c>
      <c r="J208" s="2">
        <f ca="1">IF(Flag_Send_Data=1,_xll.DBSW(Val!J208,Val!$C$1,Val!$C$2,Val!$C$3,Val!$C$4,Val!$D208,Val!$C$5,Val!$C$6,Val!$B208,Val!$E208,Val!J$10,Val!$C$7,Val!$C208),"")</f>
        <v>-15666.666666666633</v>
      </c>
      <c r="K208" s="2">
        <f ca="1">IF(Flag_Send_Data=1,_xll.DBSW(Val!K208,Val!$C$1,Val!$C$2,Val!$C$3,Val!$C$4,Val!$D208,Val!$C$5,Val!$C$6,Val!$B208,Val!$E208,Val!K$10,Val!$C$7,Val!$C208),"")</f>
        <v>-15666.666666666633</v>
      </c>
      <c r="L208" s="2">
        <f ca="1">IF(Flag_Send_Data=1,_xll.DBSW(Val!L208,Val!$C$1,Val!$C$2,Val!$C$3,Val!$C$4,Val!$D208,Val!$C$5,Val!$C$6,Val!$B208,Val!$E208,Val!L$10,Val!$C$7,Val!$C208),"")</f>
        <v>-15666.666666666633</v>
      </c>
      <c r="M208" s="2">
        <f ca="1">IF(Flag_Send_Data=1,_xll.DBSW(Val!M208,Val!$C$1,Val!$C$2,Val!$C$3,Val!$C$4,Val!$D208,Val!$C$5,Val!$C$6,Val!$B208,Val!$E208,Val!M$10,Val!$C$7,Val!$C208),"")</f>
        <v>-15666.666666666633</v>
      </c>
      <c r="N208" s="2">
        <f ca="1">IF(Flag_Send_Data=1,_xll.DBSW(Val!N208,Val!$C$1,Val!$C$2,Val!$C$3,Val!$C$4,Val!$D208,Val!$C$5,Val!$C$6,Val!$B208,Val!$E208,Val!N$10,Val!$C$7,Val!$C208),"")</f>
        <v>-15666.666666666633</v>
      </c>
      <c r="O208" s="2">
        <f ca="1">IF(Flag_Send_Data=1,_xll.DBSW(Val!O208,Val!$C$1,Val!$C$2,Val!$C$3,Val!$C$4,Val!$D208,Val!$C$5,Val!$C$6,Val!$B208,Val!$E208,Val!O$10,Val!$C$7,Val!$C208),"")</f>
        <v>-15666.666666666633</v>
      </c>
      <c r="P208" s="2">
        <f ca="1">IF(Flag_Send_Data=1,_xll.DBSW(Val!P208,Val!$C$1,Val!$C$2,Val!$C$3,Val!$C$4,Val!$D208,Val!$C$5,Val!$C$6,Val!$B208,Val!$E208,Val!P$10,Val!$C$7,Val!$C208),"")</f>
        <v>-15666.666666666633</v>
      </c>
      <c r="Q208" s="2">
        <f ca="1">IF(Flag_Send_Data=1,_xll.DBSW(Val!Q208,Val!$C$1,Val!$C$2,Val!$C$3,Val!$C$4,Val!$D208,Val!$C$5,Val!$C$6,Val!$B208,Val!$E208,Val!Q$10,Val!$C$7,Val!$C208),"")</f>
        <v>-15666.666666666633</v>
      </c>
    </row>
    <row r="209" spans="2:17" x14ac:dyDescent="0.25">
      <c r="B209" s="3" t="s">
        <v>262</v>
      </c>
      <c r="C209" t="s">
        <v>54</v>
      </c>
      <c r="D209" t="s">
        <v>199</v>
      </c>
      <c r="E209" t="s">
        <v>128</v>
      </c>
      <c r="F209" s="2">
        <f ca="1">IF(Flag_Send_Data=1,_xll.DBSW(Val!F209,Val!$C$1,Val!$C$2,Val!$C$3,Val!$C$4,Val!$D209,Val!$C$5,Val!$C$6,Val!$B209,Val!$E209,Val!F$10,Val!$C$7,Val!$C209),"")</f>
        <v>-83.333333333333329</v>
      </c>
      <c r="G209" s="2">
        <f ca="1">IF(Flag_Send_Data=1,_xll.DBSW(Val!G209,Val!$C$1,Val!$C$2,Val!$C$3,Val!$C$4,Val!$D209,Val!$C$5,Val!$C$6,Val!$B209,Val!$E209,Val!G$10,Val!$C$7,Val!$C209),"")</f>
        <v>-83.333333333333329</v>
      </c>
      <c r="H209" s="2">
        <f ca="1">IF(Flag_Send_Data=1,_xll.DBSW(Val!H209,Val!$C$1,Val!$C$2,Val!$C$3,Val!$C$4,Val!$D209,Val!$C$5,Val!$C$6,Val!$B209,Val!$E209,Val!H$10,Val!$C$7,Val!$C209),"")</f>
        <v>-83.333333333333329</v>
      </c>
      <c r="I209" s="2">
        <f ca="1">IF(Flag_Send_Data=1,_xll.DBSW(Val!I209,Val!$C$1,Val!$C$2,Val!$C$3,Val!$C$4,Val!$D209,Val!$C$5,Val!$C$6,Val!$B209,Val!$E209,Val!I$10,Val!$C$7,Val!$C209),"")</f>
        <v>-83.333333333333329</v>
      </c>
      <c r="J209" s="2">
        <f ca="1">IF(Flag_Send_Data=1,_xll.DBSW(Val!J209,Val!$C$1,Val!$C$2,Val!$C$3,Val!$C$4,Val!$D209,Val!$C$5,Val!$C$6,Val!$B209,Val!$E209,Val!J$10,Val!$C$7,Val!$C209),"")</f>
        <v>-83.333333333333329</v>
      </c>
      <c r="K209" s="2">
        <f ca="1">IF(Flag_Send_Data=1,_xll.DBSW(Val!K209,Val!$C$1,Val!$C$2,Val!$C$3,Val!$C$4,Val!$D209,Val!$C$5,Val!$C$6,Val!$B209,Val!$E209,Val!K$10,Val!$C$7,Val!$C209),"")</f>
        <v>-83.333333333333329</v>
      </c>
      <c r="L209" s="2">
        <f ca="1">IF(Flag_Send_Data=1,_xll.DBSW(Val!L209,Val!$C$1,Val!$C$2,Val!$C$3,Val!$C$4,Val!$D209,Val!$C$5,Val!$C$6,Val!$B209,Val!$E209,Val!L$10,Val!$C$7,Val!$C209),"")</f>
        <v>-83.333333333333329</v>
      </c>
      <c r="M209" s="2">
        <f ca="1">IF(Flag_Send_Data=1,_xll.DBSW(Val!M209,Val!$C$1,Val!$C$2,Val!$C$3,Val!$C$4,Val!$D209,Val!$C$5,Val!$C$6,Val!$B209,Val!$E209,Val!M$10,Val!$C$7,Val!$C209),"")</f>
        <v>-83.333333333333329</v>
      </c>
      <c r="N209" s="2">
        <f ca="1">IF(Flag_Send_Data=1,_xll.DBSW(Val!N209,Val!$C$1,Val!$C$2,Val!$C$3,Val!$C$4,Val!$D209,Val!$C$5,Val!$C$6,Val!$B209,Val!$E209,Val!N$10,Val!$C$7,Val!$C209),"")</f>
        <v>-83.333333333333329</v>
      </c>
      <c r="O209" s="2">
        <f ca="1">IF(Flag_Send_Data=1,_xll.DBSW(Val!O209,Val!$C$1,Val!$C$2,Val!$C$3,Val!$C$4,Val!$D209,Val!$C$5,Val!$C$6,Val!$B209,Val!$E209,Val!O$10,Val!$C$7,Val!$C209),"")</f>
        <v>-83.333333333333329</v>
      </c>
      <c r="P209" s="2">
        <f ca="1">IF(Flag_Send_Data=1,_xll.DBSW(Val!P209,Val!$C$1,Val!$C$2,Val!$C$3,Val!$C$4,Val!$D209,Val!$C$5,Val!$C$6,Val!$B209,Val!$E209,Val!P$10,Val!$C$7,Val!$C209),"")</f>
        <v>-83.333333333333329</v>
      </c>
      <c r="Q209" s="2">
        <f ca="1">IF(Flag_Send_Data=1,_xll.DBSW(Val!Q209,Val!$C$1,Val!$C$2,Val!$C$3,Val!$C$4,Val!$D209,Val!$C$5,Val!$C$6,Val!$B209,Val!$E209,Val!Q$10,Val!$C$7,Val!$C209),"")</f>
        <v>-83.333333333333329</v>
      </c>
    </row>
    <row r="210" spans="2:17" x14ac:dyDescent="0.25">
      <c r="B210" s="3" t="s">
        <v>262</v>
      </c>
      <c r="C210" t="s">
        <v>110</v>
      </c>
      <c r="D210" t="s">
        <v>199</v>
      </c>
      <c r="E210" t="s">
        <v>128</v>
      </c>
      <c r="F210" s="2">
        <f ca="1">IF(Flag_Send_Data=1,_xll.DBSW(Val!F210,Val!$C$1,Val!$C$2,Val!$C$3,Val!$C$4,Val!$D210,Val!$C$5,Val!$C$6,Val!$B210,Val!$E210,Val!F$10,Val!$C$7,Val!$C210),"")</f>
        <v>-416.66666666666669</v>
      </c>
      <c r="G210" s="2">
        <f ca="1">IF(Flag_Send_Data=1,_xll.DBSW(Val!G210,Val!$C$1,Val!$C$2,Val!$C$3,Val!$C$4,Val!$D210,Val!$C$5,Val!$C$6,Val!$B210,Val!$E210,Val!G$10,Val!$C$7,Val!$C210),"")</f>
        <v>-416.66666666666669</v>
      </c>
      <c r="H210" s="2">
        <f ca="1">IF(Flag_Send_Data=1,_xll.DBSW(Val!H210,Val!$C$1,Val!$C$2,Val!$C$3,Val!$C$4,Val!$D210,Val!$C$5,Val!$C$6,Val!$B210,Val!$E210,Val!H$10,Val!$C$7,Val!$C210),"")</f>
        <v>-416.66666666666669</v>
      </c>
      <c r="I210" s="2">
        <f ca="1">IF(Flag_Send_Data=1,_xll.DBSW(Val!I210,Val!$C$1,Val!$C$2,Val!$C$3,Val!$C$4,Val!$D210,Val!$C$5,Val!$C$6,Val!$B210,Val!$E210,Val!I$10,Val!$C$7,Val!$C210),"")</f>
        <v>-416.66666666666669</v>
      </c>
      <c r="J210" s="2">
        <f ca="1">IF(Flag_Send_Data=1,_xll.DBSW(Val!J210,Val!$C$1,Val!$C$2,Val!$C$3,Val!$C$4,Val!$D210,Val!$C$5,Val!$C$6,Val!$B210,Val!$E210,Val!J$10,Val!$C$7,Val!$C210),"")</f>
        <v>-416.66666666666669</v>
      </c>
      <c r="K210" s="2">
        <f ca="1">IF(Flag_Send_Data=1,_xll.DBSW(Val!K210,Val!$C$1,Val!$C$2,Val!$C$3,Val!$C$4,Val!$D210,Val!$C$5,Val!$C$6,Val!$B210,Val!$E210,Val!K$10,Val!$C$7,Val!$C210),"")</f>
        <v>-416.66666666666669</v>
      </c>
      <c r="L210" s="2">
        <f ca="1">IF(Flag_Send_Data=1,_xll.DBSW(Val!L210,Val!$C$1,Val!$C$2,Val!$C$3,Val!$C$4,Val!$D210,Val!$C$5,Val!$C$6,Val!$B210,Val!$E210,Val!L$10,Val!$C$7,Val!$C210),"")</f>
        <v>-416.66666666666669</v>
      </c>
      <c r="M210" s="2">
        <f ca="1">IF(Flag_Send_Data=1,_xll.DBSW(Val!M210,Val!$C$1,Val!$C$2,Val!$C$3,Val!$C$4,Val!$D210,Val!$C$5,Val!$C$6,Val!$B210,Val!$E210,Val!M$10,Val!$C$7,Val!$C210),"")</f>
        <v>-416.66666666666669</v>
      </c>
      <c r="N210" s="2">
        <f ca="1">IF(Flag_Send_Data=1,_xll.DBSW(Val!N210,Val!$C$1,Val!$C$2,Val!$C$3,Val!$C$4,Val!$D210,Val!$C$5,Val!$C$6,Val!$B210,Val!$E210,Val!N$10,Val!$C$7,Val!$C210),"")</f>
        <v>-416.66666666666669</v>
      </c>
      <c r="O210" s="2">
        <f ca="1">IF(Flag_Send_Data=1,_xll.DBSW(Val!O210,Val!$C$1,Val!$C$2,Val!$C$3,Val!$C$4,Val!$D210,Val!$C$5,Val!$C$6,Val!$B210,Val!$E210,Val!O$10,Val!$C$7,Val!$C210),"")</f>
        <v>-416.66666666666669</v>
      </c>
      <c r="P210" s="2">
        <f ca="1">IF(Flag_Send_Data=1,_xll.DBSW(Val!P210,Val!$C$1,Val!$C$2,Val!$C$3,Val!$C$4,Val!$D210,Val!$C$5,Val!$C$6,Val!$B210,Val!$E210,Val!P$10,Val!$C$7,Val!$C210),"")</f>
        <v>-416.66666666666669</v>
      </c>
      <c r="Q210" s="2">
        <f ca="1">IF(Flag_Send_Data=1,_xll.DBSW(Val!Q210,Val!$C$1,Val!$C$2,Val!$C$3,Val!$C$4,Val!$D210,Val!$C$5,Val!$C$6,Val!$B210,Val!$E210,Val!Q$10,Val!$C$7,Val!$C210),"")</f>
        <v>-416.66666666666669</v>
      </c>
    </row>
    <row r="211" spans="2:17" x14ac:dyDescent="0.25">
      <c r="B211" s="3" t="s">
        <v>263</v>
      </c>
      <c r="C211" t="s">
        <v>51</v>
      </c>
      <c r="D211" t="s">
        <v>199</v>
      </c>
      <c r="E211" t="s">
        <v>128</v>
      </c>
      <c r="F211" s="2">
        <f ca="1">IF(Flag_Send_Data=1,_xll.DBSW(Val!F211,Val!$C$1,Val!$C$2,Val!$C$3,Val!$C$4,Val!$D211,Val!$C$5,Val!$C$6,Val!$B211,Val!$E211,Val!F$10,Val!$C$7,Val!$C211),"")</f>
        <v>-10670.691666666668</v>
      </c>
      <c r="G211" s="2">
        <f ca="1">IF(Flag_Send_Data=1,_xll.DBSW(Val!G211,Val!$C$1,Val!$C$2,Val!$C$3,Val!$C$4,Val!$D211,Val!$C$5,Val!$C$6,Val!$B211,Val!$E211,Val!G$10,Val!$C$7,Val!$C211),"")</f>
        <v>-10670.691666666668</v>
      </c>
      <c r="H211" s="2">
        <f ca="1">IF(Flag_Send_Data=1,_xll.DBSW(Val!H211,Val!$C$1,Val!$C$2,Val!$C$3,Val!$C$4,Val!$D211,Val!$C$5,Val!$C$6,Val!$B211,Val!$E211,Val!H$10,Val!$C$7,Val!$C211),"")</f>
        <v>-10670.691666666668</v>
      </c>
      <c r="I211" s="2">
        <f ca="1">IF(Flag_Send_Data=1,_xll.DBSW(Val!I211,Val!$C$1,Val!$C$2,Val!$C$3,Val!$C$4,Val!$D211,Val!$C$5,Val!$C$6,Val!$B211,Val!$E211,Val!I$10,Val!$C$7,Val!$C211),"")</f>
        <v>-10670.691666666668</v>
      </c>
      <c r="J211" s="2">
        <f ca="1">IF(Flag_Send_Data=1,_xll.DBSW(Val!J211,Val!$C$1,Val!$C$2,Val!$C$3,Val!$C$4,Val!$D211,Val!$C$5,Val!$C$6,Val!$B211,Val!$E211,Val!J$10,Val!$C$7,Val!$C211),"")</f>
        <v>-10670.691666666668</v>
      </c>
      <c r="K211" s="2">
        <f ca="1">IF(Flag_Send_Data=1,_xll.DBSW(Val!K211,Val!$C$1,Val!$C$2,Val!$C$3,Val!$C$4,Val!$D211,Val!$C$5,Val!$C$6,Val!$B211,Val!$E211,Val!K$10,Val!$C$7,Val!$C211),"")</f>
        <v>-10670.691666666668</v>
      </c>
      <c r="L211" s="2">
        <f ca="1">IF(Flag_Send_Data=1,_xll.DBSW(Val!L211,Val!$C$1,Val!$C$2,Val!$C$3,Val!$C$4,Val!$D211,Val!$C$5,Val!$C$6,Val!$B211,Val!$E211,Val!L$10,Val!$C$7,Val!$C211),"")</f>
        <v>-10670.691666666668</v>
      </c>
      <c r="M211" s="2">
        <f ca="1">IF(Flag_Send_Data=1,_xll.DBSW(Val!M211,Val!$C$1,Val!$C$2,Val!$C$3,Val!$C$4,Val!$D211,Val!$C$5,Val!$C$6,Val!$B211,Val!$E211,Val!M$10,Val!$C$7,Val!$C211),"")</f>
        <v>-10670.691666666668</v>
      </c>
      <c r="N211" s="2">
        <f ca="1">IF(Flag_Send_Data=1,_xll.DBSW(Val!N211,Val!$C$1,Val!$C$2,Val!$C$3,Val!$C$4,Val!$D211,Val!$C$5,Val!$C$6,Val!$B211,Val!$E211,Val!N$10,Val!$C$7,Val!$C211),"")</f>
        <v>-10670.691666666668</v>
      </c>
      <c r="O211" s="2">
        <f ca="1">IF(Flag_Send_Data=1,_xll.DBSW(Val!O211,Val!$C$1,Val!$C$2,Val!$C$3,Val!$C$4,Val!$D211,Val!$C$5,Val!$C$6,Val!$B211,Val!$E211,Val!O$10,Val!$C$7,Val!$C211),"")</f>
        <v>-10670.691666666668</v>
      </c>
      <c r="P211" s="2">
        <f ca="1">IF(Flag_Send_Data=1,_xll.DBSW(Val!P211,Val!$C$1,Val!$C$2,Val!$C$3,Val!$C$4,Val!$D211,Val!$C$5,Val!$C$6,Val!$B211,Val!$E211,Val!P$10,Val!$C$7,Val!$C211),"")</f>
        <v>-10670.691666666668</v>
      </c>
      <c r="Q211" s="2">
        <f ca="1">IF(Flag_Send_Data=1,_xll.DBSW(Val!Q211,Val!$C$1,Val!$C$2,Val!$C$3,Val!$C$4,Val!$D211,Val!$C$5,Val!$C$6,Val!$B211,Val!$E211,Val!Q$10,Val!$C$7,Val!$C211),"")</f>
        <v>-10670.691666666668</v>
      </c>
    </row>
    <row r="212" spans="2:17" x14ac:dyDescent="0.25">
      <c r="B212" s="3" t="s">
        <v>263</v>
      </c>
      <c r="C212" t="s">
        <v>52</v>
      </c>
      <c r="D212" t="s">
        <v>199</v>
      </c>
      <c r="E212" t="s">
        <v>128</v>
      </c>
      <c r="F212" s="2">
        <f ca="1">IF(Flag_Send_Data=1,_xll.DBSW(Val!F212,Val!$C$1,Val!$C$2,Val!$C$3,Val!$C$4,Val!$D212,Val!$C$5,Val!$C$6,Val!$B212,Val!$E212,Val!F$10,Val!$C$7,Val!$C212),"")</f>
        <v>-416.66666666666669</v>
      </c>
      <c r="G212" s="2">
        <f ca="1">IF(Flag_Send_Data=1,_xll.DBSW(Val!G212,Val!$C$1,Val!$C$2,Val!$C$3,Val!$C$4,Val!$D212,Val!$C$5,Val!$C$6,Val!$B212,Val!$E212,Val!G$10,Val!$C$7,Val!$C212),"")</f>
        <v>-416.66666666666669</v>
      </c>
      <c r="H212" s="2">
        <f ca="1">IF(Flag_Send_Data=1,_xll.DBSW(Val!H212,Val!$C$1,Val!$C$2,Val!$C$3,Val!$C$4,Val!$D212,Val!$C$5,Val!$C$6,Val!$B212,Val!$E212,Val!H$10,Val!$C$7,Val!$C212),"")</f>
        <v>-416.66666666666669</v>
      </c>
      <c r="I212" s="2">
        <f ca="1">IF(Flag_Send_Data=1,_xll.DBSW(Val!I212,Val!$C$1,Val!$C$2,Val!$C$3,Val!$C$4,Val!$D212,Val!$C$5,Val!$C$6,Val!$B212,Val!$E212,Val!I$10,Val!$C$7,Val!$C212),"")</f>
        <v>-416.66666666666669</v>
      </c>
      <c r="J212" s="2">
        <f ca="1">IF(Flag_Send_Data=1,_xll.DBSW(Val!J212,Val!$C$1,Val!$C$2,Val!$C$3,Val!$C$4,Val!$D212,Val!$C$5,Val!$C$6,Val!$B212,Val!$E212,Val!J$10,Val!$C$7,Val!$C212),"")</f>
        <v>-416.66666666666669</v>
      </c>
      <c r="K212" s="2">
        <f ca="1">IF(Flag_Send_Data=1,_xll.DBSW(Val!K212,Val!$C$1,Val!$C$2,Val!$C$3,Val!$C$4,Val!$D212,Val!$C$5,Val!$C$6,Val!$B212,Val!$E212,Val!K$10,Val!$C$7,Val!$C212),"")</f>
        <v>-416.66666666666669</v>
      </c>
      <c r="L212" s="2">
        <f ca="1">IF(Flag_Send_Data=1,_xll.DBSW(Val!L212,Val!$C$1,Val!$C$2,Val!$C$3,Val!$C$4,Val!$D212,Val!$C$5,Val!$C$6,Val!$B212,Val!$E212,Val!L$10,Val!$C$7,Val!$C212),"")</f>
        <v>-416.66666666666669</v>
      </c>
      <c r="M212" s="2">
        <f ca="1">IF(Flag_Send_Data=1,_xll.DBSW(Val!M212,Val!$C$1,Val!$C$2,Val!$C$3,Val!$C$4,Val!$D212,Val!$C$5,Val!$C$6,Val!$B212,Val!$E212,Val!M$10,Val!$C$7,Val!$C212),"")</f>
        <v>-416.66666666666669</v>
      </c>
      <c r="N212" s="2">
        <f ca="1">IF(Flag_Send_Data=1,_xll.DBSW(Val!N212,Val!$C$1,Val!$C$2,Val!$C$3,Val!$C$4,Val!$D212,Val!$C$5,Val!$C$6,Val!$B212,Val!$E212,Val!N$10,Val!$C$7,Val!$C212),"")</f>
        <v>-416.66666666666669</v>
      </c>
      <c r="O212" s="2">
        <f ca="1">IF(Flag_Send_Data=1,_xll.DBSW(Val!O212,Val!$C$1,Val!$C$2,Val!$C$3,Val!$C$4,Val!$D212,Val!$C$5,Val!$C$6,Val!$B212,Val!$E212,Val!O$10,Val!$C$7,Val!$C212),"")</f>
        <v>-416.66666666666669</v>
      </c>
      <c r="P212" s="2">
        <f ca="1">IF(Flag_Send_Data=1,_xll.DBSW(Val!P212,Val!$C$1,Val!$C$2,Val!$C$3,Val!$C$4,Val!$D212,Val!$C$5,Val!$C$6,Val!$B212,Val!$E212,Val!P$10,Val!$C$7,Val!$C212),"")</f>
        <v>-416.66666666666669</v>
      </c>
      <c r="Q212" s="2">
        <f ca="1">IF(Flag_Send_Data=1,_xll.DBSW(Val!Q212,Val!$C$1,Val!$C$2,Val!$C$3,Val!$C$4,Val!$D212,Val!$C$5,Val!$C$6,Val!$B212,Val!$E212,Val!Q$10,Val!$C$7,Val!$C212),"")</f>
        <v>-416.66666666666669</v>
      </c>
    </row>
    <row r="213" spans="2:17" x14ac:dyDescent="0.25">
      <c r="B213" s="3" t="s">
        <v>263</v>
      </c>
      <c r="C213" t="s">
        <v>53</v>
      </c>
      <c r="D213" t="s">
        <v>226</v>
      </c>
      <c r="E213" t="s">
        <v>128</v>
      </c>
      <c r="F213" s="2">
        <f ca="1">IF(Flag_Send_Data=1,_xll.DBSW(Val!F213,Val!$C$1,Val!$C$2,Val!$C$3,Val!$C$4,Val!$D213,Val!$C$5,Val!$C$6,Val!$B213,Val!$E213,Val!F$10,Val!$C$7,Val!$C213),"")</f>
        <v>-16666.666666666668</v>
      </c>
      <c r="G213" s="2">
        <f ca="1">IF(Flag_Send_Data=1,_xll.DBSW(Val!G213,Val!$C$1,Val!$C$2,Val!$C$3,Val!$C$4,Val!$D213,Val!$C$5,Val!$C$6,Val!$B213,Val!$E213,Val!G$10,Val!$C$7,Val!$C213),"")</f>
        <v>-16666.666666666668</v>
      </c>
      <c r="H213" s="2">
        <f ca="1">IF(Flag_Send_Data=1,_xll.DBSW(Val!H213,Val!$C$1,Val!$C$2,Val!$C$3,Val!$C$4,Val!$D213,Val!$C$5,Val!$C$6,Val!$B213,Val!$E213,Val!H$10,Val!$C$7,Val!$C213),"")</f>
        <v>-16666.666666666668</v>
      </c>
      <c r="I213" s="2">
        <f ca="1">IF(Flag_Send_Data=1,_xll.DBSW(Val!I213,Val!$C$1,Val!$C$2,Val!$C$3,Val!$C$4,Val!$D213,Val!$C$5,Val!$C$6,Val!$B213,Val!$E213,Val!I$10,Val!$C$7,Val!$C213),"")</f>
        <v>-16666.666666666668</v>
      </c>
      <c r="J213" s="2">
        <f ca="1">IF(Flag_Send_Data=1,_xll.DBSW(Val!J213,Val!$C$1,Val!$C$2,Val!$C$3,Val!$C$4,Val!$D213,Val!$C$5,Val!$C$6,Val!$B213,Val!$E213,Val!J$10,Val!$C$7,Val!$C213),"")</f>
        <v>-16666.666666666668</v>
      </c>
      <c r="K213" s="2">
        <f ca="1">IF(Flag_Send_Data=1,_xll.DBSW(Val!K213,Val!$C$1,Val!$C$2,Val!$C$3,Val!$C$4,Val!$D213,Val!$C$5,Val!$C$6,Val!$B213,Val!$E213,Val!K$10,Val!$C$7,Val!$C213),"")</f>
        <v>-16666.666666666668</v>
      </c>
      <c r="L213" s="2">
        <f ca="1">IF(Flag_Send_Data=1,_xll.DBSW(Val!L213,Val!$C$1,Val!$C$2,Val!$C$3,Val!$C$4,Val!$D213,Val!$C$5,Val!$C$6,Val!$B213,Val!$E213,Val!L$10,Val!$C$7,Val!$C213),"")</f>
        <v>-16666.666666666668</v>
      </c>
      <c r="M213" s="2">
        <f ca="1">IF(Flag_Send_Data=1,_xll.DBSW(Val!M213,Val!$C$1,Val!$C$2,Val!$C$3,Val!$C$4,Val!$D213,Val!$C$5,Val!$C$6,Val!$B213,Val!$E213,Val!M$10,Val!$C$7,Val!$C213),"")</f>
        <v>-16666.666666666668</v>
      </c>
      <c r="N213" s="2">
        <f ca="1">IF(Flag_Send_Data=1,_xll.DBSW(Val!N213,Val!$C$1,Val!$C$2,Val!$C$3,Val!$C$4,Val!$D213,Val!$C$5,Val!$C$6,Val!$B213,Val!$E213,Val!N$10,Val!$C$7,Val!$C213),"")</f>
        <v>-16666.666666666668</v>
      </c>
      <c r="O213" s="2">
        <f ca="1">IF(Flag_Send_Data=1,_xll.DBSW(Val!O213,Val!$C$1,Val!$C$2,Val!$C$3,Val!$C$4,Val!$D213,Val!$C$5,Val!$C$6,Val!$B213,Val!$E213,Val!O$10,Val!$C$7,Val!$C213),"")</f>
        <v>-16666.666666666668</v>
      </c>
      <c r="P213" s="2">
        <f ca="1">IF(Flag_Send_Data=1,_xll.DBSW(Val!P213,Val!$C$1,Val!$C$2,Val!$C$3,Val!$C$4,Val!$D213,Val!$C$5,Val!$C$6,Val!$B213,Val!$E213,Val!P$10,Val!$C$7,Val!$C213),"")</f>
        <v>-16666.666666666668</v>
      </c>
      <c r="Q213" s="2">
        <f ca="1">IF(Flag_Send_Data=1,_xll.DBSW(Val!Q213,Val!$C$1,Val!$C$2,Val!$C$3,Val!$C$4,Val!$D213,Val!$C$5,Val!$C$6,Val!$B213,Val!$E213,Val!Q$10,Val!$C$7,Val!$C213),"")</f>
        <v>-16666.666666666668</v>
      </c>
    </row>
    <row r="214" spans="2:17" x14ac:dyDescent="0.25">
      <c r="B214" s="3" t="s">
        <v>263</v>
      </c>
      <c r="C214" t="s">
        <v>54</v>
      </c>
      <c r="D214" t="s">
        <v>199</v>
      </c>
      <c r="E214" t="s">
        <v>128</v>
      </c>
      <c r="F214" s="2">
        <f ca="1">IF(Flag_Send_Data=1,_xll.DBSW(Val!F214,Val!$C$1,Val!$C$2,Val!$C$3,Val!$C$4,Val!$D214,Val!$C$5,Val!$C$6,Val!$B214,Val!$E214,Val!F$10,Val!$C$7,Val!$C214),"")</f>
        <v>-83.333333333333329</v>
      </c>
      <c r="G214" s="2">
        <f ca="1">IF(Flag_Send_Data=1,_xll.DBSW(Val!G214,Val!$C$1,Val!$C$2,Val!$C$3,Val!$C$4,Val!$D214,Val!$C$5,Val!$C$6,Val!$B214,Val!$E214,Val!G$10,Val!$C$7,Val!$C214),"")</f>
        <v>-83.333333333333329</v>
      </c>
      <c r="H214" s="2">
        <f ca="1">IF(Flag_Send_Data=1,_xll.DBSW(Val!H214,Val!$C$1,Val!$C$2,Val!$C$3,Val!$C$4,Val!$D214,Val!$C$5,Val!$C$6,Val!$B214,Val!$E214,Val!H$10,Val!$C$7,Val!$C214),"")</f>
        <v>-83.333333333333329</v>
      </c>
      <c r="I214" s="2">
        <f ca="1">IF(Flag_Send_Data=1,_xll.DBSW(Val!I214,Val!$C$1,Val!$C$2,Val!$C$3,Val!$C$4,Val!$D214,Val!$C$5,Val!$C$6,Val!$B214,Val!$E214,Val!I$10,Val!$C$7,Val!$C214),"")</f>
        <v>-83.333333333333329</v>
      </c>
      <c r="J214" s="2">
        <f ca="1">IF(Flag_Send_Data=1,_xll.DBSW(Val!J214,Val!$C$1,Val!$C$2,Val!$C$3,Val!$C$4,Val!$D214,Val!$C$5,Val!$C$6,Val!$B214,Val!$E214,Val!J$10,Val!$C$7,Val!$C214),"")</f>
        <v>-83.333333333333329</v>
      </c>
      <c r="K214" s="2">
        <f ca="1">IF(Flag_Send_Data=1,_xll.DBSW(Val!K214,Val!$C$1,Val!$C$2,Val!$C$3,Val!$C$4,Val!$D214,Val!$C$5,Val!$C$6,Val!$B214,Val!$E214,Val!K$10,Val!$C$7,Val!$C214),"")</f>
        <v>-83.333333333333329</v>
      </c>
      <c r="L214" s="2">
        <f ca="1">IF(Flag_Send_Data=1,_xll.DBSW(Val!L214,Val!$C$1,Val!$C$2,Val!$C$3,Val!$C$4,Val!$D214,Val!$C$5,Val!$C$6,Val!$B214,Val!$E214,Val!L$10,Val!$C$7,Val!$C214),"")</f>
        <v>-83.333333333333329</v>
      </c>
      <c r="M214" s="2">
        <f ca="1">IF(Flag_Send_Data=1,_xll.DBSW(Val!M214,Val!$C$1,Val!$C$2,Val!$C$3,Val!$C$4,Val!$D214,Val!$C$5,Val!$C$6,Val!$B214,Val!$E214,Val!M$10,Val!$C$7,Val!$C214),"")</f>
        <v>-83.333333333333329</v>
      </c>
      <c r="N214" s="2">
        <f ca="1">IF(Flag_Send_Data=1,_xll.DBSW(Val!N214,Val!$C$1,Val!$C$2,Val!$C$3,Val!$C$4,Val!$D214,Val!$C$5,Val!$C$6,Val!$B214,Val!$E214,Val!N$10,Val!$C$7,Val!$C214),"")</f>
        <v>-83.333333333333329</v>
      </c>
      <c r="O214" s="2">
        <f ca="1">IF(Flag_Send_Data=1,_xll.DBSW(Val!O214,Val!$C$1,Val!$C$2,Val!$C$3,Val!$C$4,Val!$D214,Val!$C$5,Val!$C$6,Val!$B214,Val!$E214,Val!O$10,Val!$C$7,Val!$C214),"")</f>
        <v>-83.333333333333329</v>
      </c>
      <c r="P214" s="2">
        <f ca="1">IF(Flag_Send_Data=1,_xll.DBSW(Val!P214,Val!$C$1,Val!$C$2,Val!$C$3,Val!$C$4,Val!$D214,Val!$C$5,Val!$C$6,Val!$B214,Val!$E214,Val!P$10,Val!$C$7,Val!$C214),"")</f>
        <v>-83.333333333333329</v>
      </c>
      <c r="Q214" s="2">
        <f ca="1">IF(Flag_Send_Data=1,_xll.DBSW(Val!Q214,Val!$C$1,Val!$C$2,Val!$C$3,Val!$C$4,Val!$D214,Val!$C$5,Val!$C$6,Val!$B214,Val!$E214,Val!Q$10,Val!$C$7,Val!$C214),"")</f>
        <v>-83.333333333333329</v>
      </c>
    </row>
    <row r="215" spans="2:17" x14ac:dyDescent="0.25">
      <c r="B215" s="3" t="s">
        <v>263</v>
      </c>
      <c r="C215" t="s">
        <v>112</v>
      </c>
      <c r="D215" t="s">
        <v>199</v>
      </c>
      <c r="E215" t="s">
        <v>14</v>
      </c>
      <c r="F215" s="2">
        <f ca="1">IF(Flag_Send_Data=1,_xll.DBSW(Val!F215,Val!$C$1,Val!$C$2,Val!$C$3,Val!$C$4,Val!$D215,Val!$C$5,Val!$C$6,Val!$B215,Val!$E215,Val!F$10,Val!$C$7,Val!$C215),"")</f>
        <v>7469.4841666666662</v>
      </c>
      <c r="G215" s="2">
        <f ca="1">IF(Flag_Send_Data=1,_xll.DBSW(Val!G215,Val!$C$1,Val!$C$2,Val!$C$3,Val!$C$4,Val!$D215,Val!$C$5,Val!$C$6,Val!$B215,Val!$E215,Val!G$10,Val!$C$7,Val!$C215),"")</f>
        <v>7469.4841666666662</v>
      </c>
      <c r="H215" s="2">
        <f ca="1">IF(Flag_Send_Data=1,_xll.DBSW(Val!H215,Val!$C$1,Val!$C$2,Val!$C$3,Val!$C$4,Val!$D215,Val!$C$5,Val!$C$6,Val!$B215,Val!$E215,Val!H$10,Val!$C$7,Val!$C215),"")</f>
        <v>7469.4841666666662</v>
      </c>
      <c r="I215" s="2">
        <f ca="1">IF(Flag_Send_Data=1,_xll.DBSW(Val!I215,Val!$C$1,Val!$C$2,Val!$C$3,Val!$C$4,Val!$D215,Val!$C$5,Val!$C$6,Val!$B215,Val!$E215,Val!I$10,Val!$C$7,Val!$C215),"")</f>
        <v>7469.4841666666662</v>
      </c>
      <c r="J215" s="2">
        <f ca="1">IF(Flag_Send_Data=1,_xll.DBSW(Val!J215,Val!$C$1,Val!$C$2,Val!$C$3,Val!$C$4,Val!$D215,Val!$C$5,Val!$C$6,Val!$B215,Val!$E215,Val!J$10,Val!$C$7,Val!$C215),"")</f>
        <v>7469.4841666666662</v>
      </c>
      <c r="K215" s="2">
        <f ca="1">IF(Flag_Send_Data=1,_xll.DBSW(Val!K215,Val!$C$1,Val!$C$2,Val!$C$3,Val!$C$4,Val!$D215,Val!$C$5,Val!$C$6,Val!$B215,Val!$E215,Val!K$10,Val!$C$7,Val!$C215),"")</f>
        <v>7469.4841666666662</v>
      </c>
      <c r="L215" s="2">
        <f ca="1">IF(Flag_Send_Data=1,_xll.DBSW(Val!L215,Val!$C$1,Val!$C$2,Val!$C$3,Val!$C$4,Val!$D215,Val!$C$5,Val!$C$6,Val!$B215,Val!$E215,Val!L$10,Val!$C$7,Val!$C215),"")</f>
        <v>7469.4841666666662</v>
      </c>
      <c r="M215" s="2">
        <f ca="1">IF(Flag_Send_Data=1,_xll.DBSW(Val!M215,Val!$C$1,Val!$C$2,Val!$C$3,Val!$C$4,Val!$D215,Val!$C$5,Val!$C$6,Val!$B215,Val!$E215,Val!M$10,Val!$C$7,Val!$C215),"")</f>
        <v>7469.4841666666662</v>
      </c>
      <c r="N215" s="2">
        <f ca="1">IF(Flag_Send_Data=1,_xll.DBSW(Val!N215,Val!$C$1,Val!$C$2,Val!$C$3,Val!$C$4,Val!$D215,Val!$C$5,Val!$C$6,Val!$B215,Val!$E215,Val!N$10,Val!$C$7,Val!$C215),"")</f>
        <v>7469.4841666666662</v>
      </c>
      <c r="O215" s="2">
        <f ca="1">IF(Flag_Send_Data=1,_xll.DBSW(Val!O215,Val!$C$1,Val!$C$2,Val!$C$3,Val!$C$4,Val!$D215,Val!$C$5,Val!$C$6,Val!$B215,Val!$E215,Val!O$10,Val!$C$7,Val!$C215),"")</f>
        <v>7469.4841666666662</v>
      </c>
      <c r="P215" s="2">
        <f ca="1">IF(Flag_Send_Data=1,_xll.DBSW(Val!P215,Val!$C$1,Val!$C$2,Val!$C$3,Val!$C$4,Val!$D215,Val!$C$5,Val!$C$6,Val!$B215,Val!$E215,Val!P$10,Val!$C$7,Val!$C215),"")</f>
        <v>7469.4841666666662</v>
      </c>
      <c r="Q215" s="2">
        <f ca="1">IF(Flag_Send_Data=1,_xll.DBSW(Val!Q215,Val!$C$1,Val!$C$2,Val!$C$3,Val!$C$4,Val!$D215,Val!$C$5,Val!$C$6,Val!$B215,Val!$E215,Val!Q$10,Val!$C$7,Val!$C215),"")</f>
        <v>7469.4841666666662</v>
      </c>
    </row>
    <row r="216" spans="2:17" x14ac:dyDescent="0.25">
      <c r="B216" s="3" t="s">
        <v>264</v>
      </c>
      <c r="C216" t="s">
        <v>51</v>
      </c>
      <c r="D216" t="s">
        <v>199</v>
      </c>
      <c r="E216" t="s">
        <v>128</v>
      </c>
      <c r="F216" s="2">
        <f ca="1">IF(Flag_Send_Data=1,_xll.DBSW(Val!F216,Val!$C$1,Val!$C$2,Val!$C$3,Val!$C$4,Val!$D216,Val!$C$5,Val!$C$6,Val!$B216,Val!$E216,Val!F$10,Val!$C$7,Val!$C216),"")</f>
        <v>-30934.68416666667</v>
      </c>
      <c r="G216" s="2">
        <f ca="1">IF(Flag_Send_Data=1,_xll.DBSW(Val!G216,Val!$C$1,Val!$C$2,Val!$C$3,Val!$C$4,Val!$D216,Val!$C$5,Val!$C$6,Val!$B216,Val!$E216,Val!G$10,Val!$C$7,Val!$C216),"")</f>
        <v>-30934.68416666667</v>
      </c>
      <c r="H216" s="2">
        <f ca="1">IF(Flag_Send_Data=1,_xll.DBSW(Val!H216,Val!$C$1,Val!$C$2,Val!$C$3,Val!$C$4,Val!$D216,Val!$C$5,Val!$C$6,Val!$B216,Val!$E216,Val!H$10,Val!$C$7,Val!$C216),"")</f>
        <v>-30934.68416666667</v>
      </c>
      <c r="I216" s="2">
        <f ca="1">IF(Flag_Send_Data=1,_xll.DBSW(Val!I216,Val!$C$1,Val!$C$2,Val!$C$3,Val!$C$4,Val!$D216,Val!$C$5,Val!$C$6,Val!$B216,Val!$E216,Val!I$10,Val!$C$7,Val!$C216),"")</f>
        <v>-30934.68416666667</v>
      </c>
      <c r="J216" s="2">
        <f ca="1">IF(Flag_Send_Data=1,_xll.DBSW(Val!J216,Val!$C$1,Val!$C$2,Val!$C$3,Val!$C$4,Val!$D216,Val!$C$5,Val!$C$6,Val!$B216,Val!$E216,Val!J$10,Val!$C$7,Val!$C216),"")</f>
        <v>-30934.68416666667</v>
      </c>
      <c r="K216" s="2">
        <f ca="1">IF(Flag_Send_Data=1,_xll.DBSW(Val!K216,Val!$C$1,Val!$C$2,Val!$C$3,Val!$C$4,Val!$D216,Val!$C$5,Val!$C$6,Val!$B216,Val!$E216,Val!K$10,Val!$C$7,Val!$C216),"")</f>
        <v>-30934.68416666667</v>
      </c>
      <c r="L216" s="2">
        <f ca="1">IF(Flag_Send_Data=1,_xll.DBSW(Val!L216,Val!$C$1,Val!$C$2,Val!$C$3,Val!$C$4,Val!$D216,Val!$C$5,Val!$C$6,Val!$B216,Val!$E216,Val!L$10,Val!$C$7,Val!$C216),"")</f>
        <v>-30934.68416666667</v>
      </c>
      <c r="M216" s="2">
        <f ca="1">IF(Flag_Send_Data=1,_xll.DBSW(Val!M216,Val!$C$1,Val!$C$2,Val!$C$3,Val!$C$4,Val!$D216,Val!$C$5,Val!$C$6,Val!$B216,Val!$E216,Val!M$10,Val!$C$7,Val!$C216),"")</f>
        <v>-30934.68416666667</v>
      </c>
      <c r="N216" s="2">
        <f ca="1">IF(Flag_Send_Data=1,_xll.DBSW(Val!N216,Val!$C$1,Val!$C$2,Val!$C$3,Val!$C$4,Val!$D216,Val!$C$5,Val!$C$6,Val!$B216,Val!$E216,Val!N$10,Val!$C$7,Val!$C216),"")</f>
        <v>-30934.68416666667</v>
      </c>
      <c r="O216" s="2">
        <f ca="1">IF(Flag_Send_Data=1,_xll.DBSW(Val!O216,Val!$C$1,Val!$C$2,Val!$C$3,Val!$C$4,Val!$D216,Val!$C$5,Val!$C$6,Val!$B216,Val!$E216,Val!O$10,Val!$C$7,Val!$C216),"")</f>
        <v>-30934.68416666667</v>
      </c>
      <c r="P216" s="2">
        <f ca="1">IF(Flag_Send_Data=1,_xll.DBSW(Val!P216,Val!$C$1,Val!$C$2,Val!$C$3,Val!$C$4,Val!$D216,Val!$C$5,Val!$C$6,Val!$B216,Val!$E216,Val!P$10,Val!$C$7,Val!$C216),"")</f>
        <v>-30934.68416666667</v>
      </c>
      <c r="Q216" s="2">
        <f ca="1">IF(Flag_Send_Data=1,_xll.DBSW(Val!Q216,Val!$C$1,Val!$C$2,Val!$C$3,Val!$C$4,Val!$D216,Val!$C$5,Val!$C$6,Val!$B216,Val!$E216,Val!Q$10,Val!$C$7,Val!$C216),"")</f>
        <v>-30934.68416666667</v>
      </c>
    </row>
    <row r="217" spans="2:17" x14ac:dyDescent="0.25">
      <c r="B217" s="3" t="s">
        <v>264</v>
      </c>
      <c r="C217" t="s">
        <v>52</v>
      </c>
      <c r="D217" t="s">
        <v>199</v>
      </c>
      <c r="E217" t="s">
        <v>128</v>
      </c>
      <c r="F217" s="2">
        <f ca="1">IF(Flag_Send_Data=1,_xll.DBSW(Val!F217,Val!$C$1,Val!$C$2,Val!$C$3,Val!$C$4,Val!$D217,Val!$C$5,Val!$C$6,Val!$B217,Val!$E217,Val!F$10,Val!$C$7,Val!$C217),"")</f>
        <v>-2916.6666666666665</v>
      </c>
      <c r="G217" s="2">
        <f ca="1">IF(Flag_Send_Data=1,_xll.DBSW(Val!G217,Val!$C$1,Val!$C$2,Val!$C$3,Val!$C$4,Val!$D217,Val!$C$5,Val!$C$6,Val!$B217,Val!$E217,Val!G$10,Val!$C$7,Val!$C217),"")</f>
        <v>-2916.6666666666665</v>
      </c>
      <c r="H217" s="2">
        <f ca="1">IF(Flag_Send_Data=1,_xll.DBSW(Val!H217,Val!$C$1,Val!$C$2,Val!$C$3,Val!$C$4,Val!$D217,Val!$C$5,Val!$C$6,Val!$B217,Val!$E217,Val!H$10,Val!$C$7,Val!$C217),"")</f>
        <v>-2916.6666666666665</v>
      </c>
      <c r="I217" s="2">
        <f ca="1">IF(Flag_Send_Data=1,_xll.DBSW(Val!I217,Val!$C$1,Val!$C$2,Val!$C$3,Val!$C$4,Val!$D217,Val!$C$5,Val!$C$6,Val!$B217,Val!$E217,Val!I$10,Val!$C$7,Val!$C217),"")</f>
        <v>-2916.6666666666665</v>
      </c>
      <c r="J217" s="2">
        <f ca="1">IF(Flag_Send_Data=1,_xll.DBSW(Val!J217,Val!$C$1,Val!$C$2,Val!$C$3,Val!$C$4,Val!$D217,Val!$C$5,Val!$C$6,Val!$B217,Val!$E217,Val!J$10,Val!$C$7,Val!$C217),"")</f>
        <v>-2916.6666666666665</v>
      </c>
      <c r="K217" s="2">
        <f ca="1">IF(Flag_Send_Data=1,_xll.DBSW(Val!K217,Val!$C$1,Val!$C$2,Val!$C$3,Val!$C$4,Val!$D217,Val!$C$5,Val!$C$6,Val!$B217,Val!$E217,Val!K$10,Val!$C$7,Val!$C217),"")</f>
        <v>-2916.6666666666665</v>
      </c>
      <c r="L217" s="2">
        <f ca="1">IF(Flag_Send_Data=1,_xll.DBSW(Val!L217,Val!$C$1,Val!$C$2,Val!$C$3,Val!$C$4,Val!$D217,Val!$C$5,Val!$C$6,Val!$B217,Val!$E217,Val!L$10,Val!$C$7,Val!$C217),"")</f>
        <v>-2916.6666666666665</v>
      </c>
      <c r="M217" s="2">
        <f ca="1">IF(Flag_Send_Data=1,_xll.DBSW(Val!M217,Val!$C$1,Val!$C$2,Val!$C$3,Val!$C$4,Val!$D217,Val!$C$5,Val!$C$6,Val!$B217,Val!$E217,Val!M$10,Val!$C$7,Val!$C217),"")</f>
        <v>-2916.6666666666665</v>
      </c>
      <c r="N217" s="2">
        <f ca="1">IF(Flag_Send_Data=1,_xll.DBSW(Val!N217,Val!$C$1,Val!$C$2,Val!$C$3,Val!$C$4,Val!$D217,Val!$C$5,Val!$C$6,Val!$B217,Val!$E217,Val!N$10,Val!$C$7,Val!$C217),"")</f>
        <v>-2916.6666666666665</v>
      </c>
      <c r="O217" s="2">
        <f ca="1">IF(Flag_Send_Data=1,_xll.DBSW(Val!O217,Val!$C$1,Val!$C$2,Val!$C$3,Val!$C$4,Val!$D217,Val!$C$5,Val!$C$6,Val!$B217,Val!$E217,Val!O$10,Val!$C$7,Val!$C217),"")</f>
        <v>-2916.6666666666665</v>
      </c>
      <c r="P217" s="2">
        <f ca="1">IF(Flag_Send_Data=1,_xll.DBSW(Val!P217,Val!$C$1,Val!$C$2,Val!$C$3,Val!$C$4,Val!$D217,Val!$C$5,Val!$C$6,Val!$B217,Val!$E217,Val!P$10,Val!$C$7,Val!$C217),"")</f>
        <v>-2916.6666666666665</v>
      </c>
      <c r="Q217" s="2">
        <f ca="1">IF(Flag_Send_Data=1,_xll.DBSW(Val!Q217,Val!$C$1,Val!$C$2,Val!$C$3,Val!$C$4,Val!$D217,Val!$C$5,Val!$C$6,Val!$B217,Val!$E217,Val!Q$10,Val!$C$7,Val!$C217),"")</f>
        <v>-2916.6666666666665</v>
      </c>
    </row>
    <row r="218" spans="2:17" x14ac:dyDescent="0.25">
      <c r="B218" s="3" t="s">
        <v>264</v>
      </c>
      <c r="C218" t="s">
        <v>53</v>
      </c>
      <c r="D218" t="s">
        <v>199</v>
      </c>
      <c r="E218" t="s">
        <v>77</v>
      </c>
      <c r="F218" s="2">
        <f ca="1">IF(Flag_Send_Data=1,_xll.DBSW(Val!F218,Val!$C$1,Val!$C$2,Val!$C$3,Val!$C$4,Val!$D218,Val!$C$5,Val!$C$6,Val!$B218,Val!$E218,Val!F$10,Val!$C$7,Val!$C218),"")</f>
        <v>-2500</v>
      </c>
      <c r="G218" s="2">
        <f ca="1">IF(Flag_Send_Data=1,_xll.DBSW(Val!G218,Val!$C$1,Val!$C$2,Val!$C$3,Val!$C$4,Val!$D218,Val!$C$5,Val!$C$6,Val!$B218,Val!$E218,Val!G$10,Val!$C$7,Val!$C218),"")</f>
        <v>-2500</v>
      </c>
      <c r="H218" s="2">
        <f ca="1">IF(Flag_Send_Data=1,_xll.DBSW(Val!H218,Val!$C$1,Val!$C$2,Val!$C$3,Val!$C$4,Val!$D218,Val!$C$5,Val!$C$6,Val!$B218,Val!$E218,Val!H$10,Val!$C$7,Val!$C218),"")</f>
        <v>-2500</v>
      </c>
      <c r="I218" s="2">
        <f ca="1">IF(Flag_Send_Data=1,_xll.DBSW(Val!I218,Val!$C$1,Val!$C$2,Val!$C$3,Val!$C$4,Val!$D218,Val!$C$5,Val!$C$6,Val!$B218,Val!$E218,Val!I$10,Val!$C$7,Val!$C218),"")</f>
        <v>-2500</v>
      </c>
      <c r="J218" s="2">
        <f ca="1">IF(Flag_Send_Data=1,_xll.DBSW(Val!J218,Val!$C$1,Val!$C$2,Val!$C$3,Val!$C$4,Val!$D218,Val!$C$5,Val!$C$6,Val!$B218,Val!$E218,Val!J$10,Val!$C$7,Val!$C218),"")</f>
        <v>-2500</v>
      </c>
      <c r="K218" s="2">
        <f ca="1">IF(Flag_Send_Data=1,_xll.DBSW(Val!K218,Val!$C$1,Val!$C$2,Val!$C$3,Val!$C$4,Val!$D218,Val!$C$5,Val!$C$6,Val!$B218,Val!$E218,Val!K$10,Val!$C$7,Val!$C218),"")</f>
        <v>-2500</v>
      </c>
      <c r="L218" s="2">
        <f ca="1">IF(Flag_Send_Data=1,_xll.DBSW(Val!L218,Val!$C$1,Val!$C$2,Val!$C$3,Val!$C$4,Val!$D218,Val!$C$5,Val!$C$6,Val!$B218,Val!$E218,Val!L$10,Val!$C$7,Val!$C218),"")</f>
        <v>-2500</v>
      </c>
      <c r="M218" s="2">
        <f ca="1">IF(Flag_Send_Data=1,_xll.DBSW(Val!M218,Val!$C$1,Val!$C$2,Val!$C$3,Val!$C$4,Val!$D218,Val!$C$5,Val!$C$6,Val!$B218,Val!$E218,Val!M$10,Val!$C$7,Val!$C218),"")</f>
        <v>-2500</v>
      </c>
      <c r="N218" s="2">
        <f ca="1">IF(Flag_Send_Data=1,_xll.DBSW(Val!N218,Val!$C$1,Val!$C$2,Val!$C$3,Val!$C$4,Val!$D218,Val!$C$5,Val!$C$6,Val!$B218,Val!$E218,Val!N$10,Val!$C$7,Val!$C218),"")</f>
        <v>-2500</v>
      </c>
      <c r="O218" s="2">
        <f ca="1">IF(Flag_Send_Data=1,_xll.DBSW(Val!O218,Val!$C$1,Val!$C$2,Val!$C$3,Val!$C$4,Val!$D218,Val!$C$5,Val!$C$6,Val!$B218,Val!$E218,Val!O$10,Val!$C$7,Val!$C218),"")</f>
        <v>-2500</v>
      </c>
      <c r="P218" s="2">
        <f ca="1">IF(Flag_Send_Data=1,_xll.DBSW(Val!P218,Val!$C$1,Val!$C$2,Val!$C$3,Val!$C$4,Val!$D218,Val!$C$5,Val!$C$6,Val!$B218,Val!$E218,Val!P$10,Val!$C$7,Val!$C218),"")</f>
        <v>-2500</v>
      </c>
      <c r="Q218" s="2">
        <f ca="1">IF(Flag_Send_Data=1,_xll.DBSW(Val!Q218,Val!$C$1,Val!$C$2,Val!$C$3,Val!$C$4,Val!$D218,Val!$C$5,Val!$C$6,Val!$B218,Val!$E218,Val!Q$10,Val!$C$7,Val!$C218),"")</f>
        <v>-2500</v>
      </c>
    </row>
    <row r="219" spans="2:17" x14ac:dyDescent="0.25">
      <c r="B219" s="3" t="s">
        <v>264</v>
      </c>
      <c r="C219" t="s">
        <v>54</v>
      </c>
      <c r="D219" t="s">
        <v>199</v>
      </c>
      <c r="E219" t="s">
        <v>128</v>
      </c>
      <c r="F219" s="2">
        <f ca="1">IF(Flag_Send_Data=1,_xll.DBSW(Val!F219,Val!$C$1,Val!$C$2,Val!$C$3,Val!$C$4,Val!$D219,Val!$C$5,Val!$C$6,Val!$B219,Val!$E219,Val!F$10,Val!$C$7,Val!$C219),"")</f>
        <v>-166.66666666666666</v>
      </c>
      <c r="G219" s="2">
        <f ca="1">IF(Flag_Send_Data=1,_xll.DBSW(Val!G219,Val!$C$1,Val!$C$2,Val!$C$3,Val!$C$4,Val!$D219,Val!$C$5,Val!$C$6,Val!$B219,Val!$E219,Val!G$10,Val!$C$7,Val!$C219),"")</f>
        <v>-166.66666666666666</v>
      </c>
      <c r="H219" s="2">
        <f ca="1">IF(Flag_Send_Data=1,_xll.DBSW(Val!H219,Val!$C$1,Val!$C$2,Val!$C$3,Val!$C$4,Val!$D219,Val!$C$5,Val!$C$6,Val!$B219,Val!$E219,Val!H$10,Val!$C$7,Val!$C219),"")</f>
        <v>-166.66666666666666</v>
      </c>
      <c r="I219" s="2">
        <f ca="1">IF(Flag_Send_Data=1,_xll.DBSW(Val!I219,Val!$C$1,Val!$C$2,Val!$C$3,Val!$C$4,Val!$D219,Val!$C$5,Val!$C$6,Val!$B219,Val!$E219,Val!I$10,Val!$C$7,Val!$C219),"")</f>
        <v>-166.66666666666666</v>
      </c>
      <c r="J219" s="2">
        <f ca="1">IF(Flag_Send_Data=1,_xll.DBSW(Val!J219,Val!$C$1,Val!$C$2,Val!$C$3,Val!$C$4,Val!$D219,Val!$C$5,Val!$C$6,Val!$B219,Val!$E219,Val!J$10,Val!$C$7,Val!$C219),"")</f>
        <v>-166.66666666666666</v>
      </c>
      <c r="K219" s="2">
        <f ca="1">IF(Flag_Send_Data=1,_xll.DBSW(Val!K219,Val!$C$1,Val!$C$2,Val!$C$3,Val!$C$4,Val!$D219,Val!$C$5,Val!$C$6,Val!$B219,Val!$E219,Val!K$10,Val!$C$7,Val!$C219),"")</f>
        <v>-166.66666666666666</v>
      </c>
      <c r="L219" s="2">
        <f ca="1">IF(Flag_Send_Data=1,_xll.DBSW(Val!L219,Val!$C$1,Val!$C$2,Val!$C$3,Val!$C$4,Val!$D219,Val!$C$5,Val!$C$6,Val!$B219,Val!$E219,Val!L$10,Val!$C$7,Val!$C219),"")</f>
        <v>-166.66666666666666</v>
      </c>
      <c r="M219" s="2">
        <f ca="1">IF(Flag_Send_Data=1,_xll.DBSW(Val!M219,Val!$C$1,Val!$C$2,Val!$C$3,Val!$C$4,Val!$D219,Val!$C$5,Val!$C$6,Val!$B219,Val!$E219,Val!M$10,Val!$C$7,Val!$C219),"")</f>
        <v>-166.66666666666666</v>
      </c>
      <c r="N219" s="2">
        <f ca="1">IF(Flag_Send_Data=1,_xll.DBSW(Val!N219,Val!$C$1,Val!$C$2,Val!$C$3,Val!$C$4,Val!$D219,Val!$C$5,Val!$C$6,Val!$B219,Val!$E219,Val!N$10,Val!$C$7,Val!$C219),"")</f>
        <v>-166.66666666666666</v>
      </c>
      <c r="O219" s="2">
        <f ca="1">IF(Flag_Send_Data=1,_xll.DBSW(Val!O219,Val!$C$1,Val!$C$2,Val!$C$3,Val!$C$4,Val!$D219,Val!$C$5,Val!$C$6,Val!$B219,Val!$E219,Val!O$10,Val!$C$7,Val!$C219),"")</f>
        <v>-166.66666666666666</v>
      </c>
      <c r="P219" s="2">
        <f ca="1">IF(Flag_Send_Data=1,_xll.DBSW(Val!P219,Val!$C$1,Val!$C$2,Val!$C$3,Val!$C$4,Val!$D219,Val!$C$5,Val!$C$6,Val!$B219,Val!$E219,Val!P$10,Val!$C$7,Val!$C219),"")</f>
        <v>-166.66666666666666</v>
      </c>
      <c r="Q219" s="2">
        <f ca="1">IF(Flag_Send_Data=1,_xll.DBSW(Val!Q219,Val!$C$1,Val!$C$2,Val!$C$3,Val!$C$4,Val!$D219,Val!$C$5,Val!$C$6,Val!$B219,Val!$E219,Val!Q$10,Val!$C$7,Val!$C219),"")</f>
        <v>-166.66666666666666</v>
      </c>
    </row>
    <row r="220" spans="2:17" x14ac:dyDescent="0.25">
      <c r="B220" s="3" t="s">
        <v>264</v>
      </c>
      <c r="C220" t="s">
        <v>55</v>
      </c>
      <c r="D220" t="s">
        <v>199</v>
      </c>
      <c r="E220" t="s">
        <v>128</v>
      </c>
      <c r="F220" s="2">
        <f ca="1">IF(Flag_Send_Data=1,_xll.DBSW(Val!F220,Val!$C$1,Val!$C$2,Val!$C$3,Val!$C$4,Val!$D220,Val!$C$5,Val!$C$6,Val!$B220,Val!$E220,Val!F$10,Val!$C$7,Val!$C220),"")</f>
        <v>-59166.666666666664</v>
      </c>
      <c r="G220" s="2">
        <f ca="1">IF(Flag_Send_Data=1,_xll.DBSW(Val!G220,Val!$C$1,Val!$C$2,Val!$C$3,Val!$C$4,Val!$D220,Val!$C$5,Val!$C$6,Val!$B220,Val!$E220,Val!G$10,Val!$C$7,Val!$C220),"")</f>
        <v>-59166.666666666664</v>
      </c>
      <c r="H220" s="2">
        <f ca="1">IF(Flag_Send_Data=1,_xll.DBSW(Val!H220,Val!$C$1,Val!$C$2,Val!$C$3,Val!$C$4,Val!$D220,Val!$C$5,Val!$C$6,Val!$B220,Val!$E220,Val!H$10,Val!$C$7,Val!$C220),"")</f>
        <v>-59166.666666666664</v>
      </c>
      <c r="I220" s="2">
        <f ca="1">IF(Flag_Send_Data=1,_xll.DBSW(Val!I220,Val!$C$1,Val!$C$2,Val!$C$3,Val!$C$4,Val!$D220,Val!$C$5,Val!$C$6,Val!$B220,Val!$E220,Val!I$10,Val!$C$7,Val!$C220),"")</f>
        <v>-25833.333333333365</v>
      </c>
      <c r="J220" s="2">
        <f ca="1">IF(Flag_Send_Data=1,_xll.DBSW(Val!J220,Val!$C$1,Val!$C$2,Val!$C$3,Val!$C$4,Val!$D220,Val!$C$5,Val!$C$6,Val!$B220,Val!$E220,Val!J$10,Val!$C$7,Val!$C220),"")</f>
        <v>-25833.333333333365</v>
      </c>
      <c r="K220" s="2">
        <f ca="1">IF(Flag_Send_Data=1,_xll.DBSW(Val!K220,Val!$C$1,Val!$C$2,Val!$C$3,Val!$C$4,Val!$D220,Val!$C$5,Val!$C$6,Val!$B220,Val!$E220,Val!K$10,Val!$C$7,Val!$C220),"")</f>
        <v>-25833.333333333365</v>
      </c>
      <c r="L220" s="2">
        <f ca="1">IF(Flag_Send_Data=1,_xll.DBSW(Val!L220,Val!$C$1,Val!$C$2,Val!$C$3,Val!$C$4,Val!$D220,Val!$C$5,Val!$C$6,Val!$B220,Val!$E220,Val!L$10,Val!$C$7,Val!$C220),"")</f>
        <v>-25833.333333333365</v>
      </c>
      <c r="M220" s="2">
        <f ca="1">IF(Flag_Send_Data=1,_xll.DBSW(Val!M220,Val!$C$1,Val!$C$2,Val!$C$3,Val!$C$4,Val!$D220,Val!$C$5,Val!$C$6,Val!$B220,Val!$E220,Val!M$10,Val!$C$7,Val!$C220),"")</f>
        <v>-25833.333333333365</v>
      </c>
      <c r="N220" s="2">
        <f ca="1">IF(Flag_Send_Data=1,_xll.DBSW(Val!N220,Val!$C$1,Val!$C$2,Val!$C$3,Val!$C$4,Val!$D220,Val!$C$5,Val!$C$6,Val!$B220,Val!$E220,Val!N$10,Val!$C$7,Val!$C220),"")</f>
        <v>-25833.333333333365</v>
      </c>
      <c r="O220" s="2">
        <f ca="1">IF(Flag_Send_Data=1,_xll.DBSW(Val!O220,Val!$C$1,Val!$C$2,Val!$C$3,Val!$C$4,Val!$D220,Val!$C$5,Val!$C$6,Val!$B220,Val!$E220,Val!O$10,Val!$C$7,Val!$C220),"")</f>
        <v>-119166.66666666667</v>
      </c>
      <c r="P220" s="2">
        <f ca="1">IF(Flag_Send_Data=1,_xll.DBSW(Val!P220,Val!$C$1,Val!$C$2,Val!$C$3,Val!$C$4,Val!$D220,Val!$C$5,Val!$C$6,Val!$B220,Val!$E220,Val!P$10,Val!$C$7,Val!$C220),"")</f>
        <v>-119166.66666666667</v>
      </c>
      <c r="Q220" s="2">
        <f ca="1">IF(Flag_Send_Data=1,_xll.DBSW(Val!Q220,Val!$C$1,Val!$C$2,Val!$C$3,Val!$C$4,Val!$D220,Val!$C$5,Val!$C$6,Val!$B220,Val!$E220,Val!Q$10,Val!$C$7,Val!$C220),"")</f>
        <v>-119166.66666666667</v>
      </c>
    </row>
    <row r="221" spans="2:17" x14ac:dyDescent="0.25">
      <c r="B221" s="3" t="s">
        <v>264</v>
      </c>
      <c r="C221" t="s">
        <v>55</v>
      </c>
      <c r="D221" t="s">
        <v>225</v>
      </c>
      <c r="E221" t="s">
        <v>128</v>
      </c>
      <c r="F221" s="2">
        <f ca="1">IF(Flag_Send_Data=1,_xll.DBSW(Val!F221,Val!$C$1,Val!$C$2,Val!$C$3,Val!$C$4,Val!$D221,Val!$C$5,Val!$C$6,Val!$B221,Val!$E221,Val!F$10,Val!$C$7,Val!$C221),"")</f>
        <v>-23333.333333333332</v>
      </c>
      <c r="G221" s="2">
        <f ca="1">IF(Flag_Send_Data=1,_xll.DBSW(Val!G221,Val!$C$1,Val!$C$2,Val!$C$3,Val!$C$4,Val!$D221,Val!$C$5,Val!$C$6,Val!$B221,Val!$E221,Val!G$10,Val!$C$7,Val!$C221),"")</f>
        <v>-23333.333333333332</v>
      </c>
      <c r="H221" s="2">
        <f ca="1">IF(Flag_Send_Data=1,_xll.DBSW(Val!H221,Val!$C$1,Val!$C$2,Val!$C$3,Val!$C$4,Val!$D221,Val!$C$5,Val!$C$6,Val!$B221,Val!$E221,Val!H$10,Val!$C$7,Val!$C221),"")</f>
        <v>-23333.333333333332</v>
      </c>
      <c r="I221" s="2">
        <f ca="1">IF(Flag_Send_Data=1,_xll.DBSW(Val!I221,Val!$C$1,Val!$C$2,Val!$C$3,Val!$C$4,Val!$D221,Val!$C$5,Val!$C$6,Val!$B221,Val!$E221,Val!I$10,Val!$C$7,Val!$C221),"")</f>
        <v>-23333.333333333332</v>
      </c>
      <c r="J221" s="2">
        <f ca="1">IF(Flag_Send_Data=1,_xll.DBSW(Val!J221,Val!$C$1,Val!$C$2,Val!$C$3,Val!$C$4,Val!$D221,Val!$C$5,Val!$C$6,Val!$B221,Val!$E221,Val!J$10,Val!$C$7,Val!$C221),"")</f>
        <v>-23333.333333333332</v>
      </c>
      <c r="K221" s="2">
        <f ca="1">IF(Flag_Send_Data=1,_xll.DBSW(Val!K221,Val!$C$1,Val!$C$2,Val!$C$3,Val!$C$4,Val!$D221,Val!$C$5,Val!$C$6,Val!$B221,Val!$E221,Val!K$10,Val!$C$7,Val!$C221),"")</f>
        <v>-23333.333333333332</v>
      </c>
      <c r="L221" s="2">
        <f ca="1">IF(Flag_Send_Data=1,_xll.DBSW(Val!L221,Val!$C$1,Val!$C$2,Val!$C$3,Val!$C$4,Val!$D221,Val!$C$5,Val!$C$6,Val!$B221,Val!$E221,Val!L$10,Val!$C$7,Val!$C221),"")</f>
        <v>-23333.333333333332</v>
      </c>
      <c r="M221" s="2">
        <f ca="1">IF(Flag_Send_Data=1,_xll.DBSW(Val!M221,Val!$C$1,Val!$C$2,Val!$C$3,Val!$C$4,Val!$D221,Val!$C$5,Val!$C$6,Val!$B221,Val!$E221,Val!M$10,Val!$C$7,Val!$C221),"")</f>
        <v>-23333.333333333332</v>
      </c>
      <c r="N221" s="2">
        <f ca="1">IF(Flag_Send_Data=1,_xll.DBSW(Val!N221,Val!$C$1,Val!$C$2,Val!$C$3,Val!$C$4,Val!$D221,Val!$C$5,Val!$C$6,Val!$B221,Val!$E221,Val!N$10,Val!$C$7,Val!$C221),"")</f>
        <v>-23333.333333333332</v>
      </c>
      <c r="O221" s="2">
        <f ca="1">IF(Flag_Send_Data=1,_xll.DBSW(Val!O221,Val!$C$1,Val!$C$2,Val!$C$3,Val!$C$4,Val!$D221,Val!$C$5,Val!$C$6,Val!$B221,Val!$E221,Val!O$10,Val!$C$7,Val!$C221),"")</f>
        <v>-23333.333333333332</v>
      </c>
      <c r="P221" s="2">
        <f ca="1">IF(Flag_Send_Data=1,_xll.DBSW(Val!P221,Val!$C$1,Val!$C$2,Val!$C$3,Val!$C$4,Val!$D221,Val!$C$5,Val!$C$6,Val!$B221,Val!$E221,Val!P$10,Val!$C$7,Val!$C221),"")</f>
        <v>-23333.333333333332</v>
      </c>
      <c r="Q221" s="2">
        <f ca="1">IF(Flag_Send_Data=1,_xll.DBSW(Val!Q221,Val!$C$1,Val!$C$2,Val!$C$3,Val!$C$4,Val!$D221,Val!$C$5,Val!$C$6,Val!$B221,Val!$E221,Val!Q$10,Val!$C$7,Val!$C221),"")</f>
        <v>-23333.333333333332</v>
      </c>
    </row>
    <row r="222" spans="2:17" x14ac:dyDescent="0.25">
      <c r="B222" s="3" t="s">
        <v>264</v>
      </c>
      <c r="C222" t="s">
        <v>112</v>
      </c>
      <c r="D222" t="s">
        <v>199</v>
      </c>
      <c r="E222" t="s">
        <v>14</v>
      </c>
      <c r="F222" s="2">
        <f ca="1">IF(Flag_Send_Data=1,_xll.DBSW(Val!F222,Val!$C$1,Val!$C$2,Val!$C$3,Val!$C$4,Val!$D222,Val!$C$5,Val!$C$6,Val!$B222,Val!$E222,Val!F$10,Val!$C$7,Val!$C222),"")</f>
        <v>5851.7841666666673</v>
      </c>
      <c r="G222" s="2">
        <f ca="1">IF(Flag_Send_Data=1,_xll.DBSW(Val!G222,Val!$C$1,Val!$C$2,Val!$C$3,Val!$C$4,Val!$D222,Val!$C$5,Val!$C$6,Val!$B222,Val!$E222,Val!G$10,Val!$C$7,Val!$C222),"")</f>
        <v>5851.7841666666673</v>
      </c>
      <c r="H222" s="2">
        <f ca="1">IF(Flag_Send_Data=1,_xll.DBSW(Val!H222,Val!$C$1,Val!$C$2,Val!$C$3,Val!$C$4,Val!$D222,Val!$C$5,Val!$C$6,Val!$B222,Val!$E222,Val!H$10,Val!$C$7,Val!$C222),"")</f>
        <v>5851.7841666666673</v>
      </c>
      <c r="I222" s="2">
        <f ca="1">IF(Flag_Send_Data=1,_xll.DBSW(Val!I222,Val!$C$1,Val!$C$2,Val!$C$3,Val!$C$4,Val!$D222,Val!$C$5,Val!$C$6,Val!$B222,Val!$E222,Val!I$10,Val!$C$7,Val!$C222),"")</f>
        <v>5851.7841666666673</v>
      </c>
      <c r="J222" s="2">
        <f ca="1">IF(Flag_Send_Data=1,_xll.DBSW(Val!J222,Val!$C$1,Val!$C$2,Val!$C$3,Val!$C$4,Val!$D222,Val!$C$5,Val!$C$6,Val!$B222,Val!$E222,Val!J$10,Val!$C$7,Val!$C222),"")</f>
        <v>5851.7841666666673</v>
      </c>
      <c r="K222" s="2">
        <f ca="1">IF(Flag_Send_Data=1,_xll.DBSW(Val!K222,Val!$C$1,Val!$C$2,Val!$C$3,Val!$C$4,Val!$D222,Val!$C$5,Val!$C$6,Val!$B222,Val!$E222,Val!K$10,Val!$C$7,Val!$C222),"")</f>
        <v>5851.7841666666673</v>
      </c>
      <c r="L222" s="2">
        <f ca="1">IF(Flag_Send_Data=1,_xll.DBSW(Val!L222,Val!$C$1,Val!$C$2,Val!$C$3,Val!$C$4,Val!$D222,Val!$C$5,Val!$C$6,Val!$B222,Val!$E222,Val!L$10,Val!$C$7,Val!$C222),"")</f>
        <v>5851.7841666666673</v>
      </c>
      <c r="M222" s="2">
        <f ca="1">IF(Flag_Send_Data=1,_xll.DBSW(Val!M222,Val!$C$1,Val!$C$2,Val!$C$3,Val!$C$4,Val!$D222,Val!$C$5,Val!$C$6,Val!$B222,Val!$E222,Val!M$10,Val!$C$7,Val!$C222),"")</f>
        <v>5851.7841666666673</v>
      </c>
      <c r="N222" s="2">
        <f ca="1">IF(Flag_Send_Data=1,_xll.DBSW(Val!N222,Val!$C$1,Val!$C$2,Val!$C$3,Val!$C$4,Val!$D222,Val!$C$5,Val!$C$6,Val!$B222,Val!$E222,Val!N$10,Val!$C$7,Val!$C222),"")</f>
        <v>5851.7841666666673</v>
      </c>
      <c r="O222" s="2">
        <f ca="1">IF(Flag_Send_Data=1,_xll.DBSW(Val!O222,Val!$C$1,Val!$C$2,Val!$C$3,Val!$C$4,Val!$D222,Val!$C$5,Val!$C$6,Val!$B222,Val!$E222,Val!O$10,Val!$C$7,Val!$C222),"")</f>
        <v>5851.7841666666673</v>
      </c>
      <c r="P222" s="2">
        <f ca="1">IF(Flag_Send_Data=1,_xll.DBSW(Val!P222,Val!$C$1,Val!$C$2,Val!$C$3,Val!$C$4,Val!$D222,Val!$C$5,Val!$C$6,Val!$B222,Val!$E222,Val!P$10,Val!$C$7,Val!$C222),"")</f>
        <v>5851.7841666666673</v>
      </c>
      <c r="Q222" s="2">
        <f ca="1">IF(Flag_Send_Data=1,_xll.DBSW(Val!Q222,Val!$C$1,Val!$C$2,Val!$C$3,Val!$C$4,Val!$D222,Val!$C$5,Val!$C$6,Val!$B222,Val!$E222,Val!Q$10,Val!$C$7,Val!$C222),"")</f>
        <v>5851.7841666666673</v>
      </c>
    </row>
    <row r="223" spans="2:17" x14ac:dyDescent="0.25">
      <c r="B223" s="3" t="s">
        <v>265</v>
      </c>
      <c r="C223" t="s">
        <v>51</v>
      </c>
      <c r="D223" t="s">
        <v>199</v>
      </c>
      <c r="E223" t="s">
        <v>128</v>
      </c>
      <c r="F223" s="2">
        <f ca="1">IF(Flag_Send_Data=1,_xll.DBSW(Val!F223,Val!$C$1,Val!$C$2,Val!$C$3,Val!$C$4,Val!$D223,Val!$C$5,Val!$C$6,Val!$B223,Val!$E223,Val!F$10,Val!$C$7,Val!$C223),"")</f>
        <v>-29785.325000000001</v>
      </c>
      <c r="G223" s="2">
        <f ca="1">IF(Flag_Send_Data=1,_xll.DBSW(Val!G223,Val!$C$1,Val!$C$2,Val!$C$3,Val!$C$4,Val!$D223,Val!$C$5,Val!$C$6,Val!$B223,Val!$E223,Val!G$10,Val!$C$7,Val!$C223),"")</f>
        <v>-29785.325000000001</v>
      </c>
      <c r="H223" s="2">
        <f ca="1">IF(Flag_Send_Data=1,_xll.DBSW(Val!H223,Val!$C$1,Val!$C$2,Val!$C$3,Val!$C$4,Val!$D223,Val!$C$5,Val!$C$6,Val!$B223,Val!$E223,Val!H$10,Val!$C$7,Val!$C223),"")</f>
        <v>-29785.325000000001</v>
      </c>
      <c r="I223" s="2">
        <f ca="1">IF(Flag_Send_Data=1,_xll.DBSW(Val!I223,Val!$C$1,Val!$C$2,Val!$C$3,Val!$C$4,Val!$D223,Val!$C$5,Val!$C$6,Val!$B223,Val!$E223,Val!I$10,Val!$C$7,Val!$C223),"")</f>
        <v>-29785.325000000001</v>
      </c>
      <c r="J223" s="2">
        <f ca="1">IF(Flag_Send_Data=1,_xll.DBSW(Val!J223,Val!$C$1,Val!$C$2,Val!$C$3,Val!$C$4,Val!$D223,Val!$C$5,Val!$C$6,Val!$B223,Val!$E223,Val!J$10,Val!$C$7,Val!$C223),"")</f>
        <v>-29785.325000000001</v>
      </c>
      <c r="K223" s="2">
        <f ca="1">IF(Flag_Send_Data=1,_xll.DBSW(Val!K223,Val!$C$1,Val!$C$2,Val!$C$3,Val!$C$4,Val!$D223,Val!$C$5,Val!$C$6,Val!$B223,Val!$E223,Val!K$10,Val!$C$7,Val!$C223),"")</f>
        <v>-29785.325000000001</v>
      </c>
      <c r="L223" s="2">
        <f ca="1">IF(Flag_Send_Data=1,_xll.DBSW(Val!L223,Val!$C$1,Val!$C$2,Val!$C$3,Val!$C$4,Val!$D223,Val!$C$5,Val!$C$6,Val!$B223,Val!$E223,Val!L$10,Val!$C$7,Val!$C223),"")</f>
        <v>-29785.325000000001</v>
      </c>
      <c r="M223" s="2">
        <f ca="1">IF(Flag_Send_Data=1,_xll.DBSW(Val!M223,Val!$C$1,Val!$C$2,Val!$C$3,Val!$C$4,Val!$D223,Val!$C$5,Val!$C$6,Val!$B223,Val!$E223,Val!M$10,Val!$C$7,Val!$C223),"")</f>
        <v>-29785.325000000001</v>
      </c>
      <c r="N223" s="2">
        <f ca="1">IF(Flag_Send_Data=1,_xll.DBSW(Val!N223,Val!$C$1,Val!$C$2,Val!$C$3,Val!$C$4,Val!$D223,Val!$C$5,Val!$C$6,Val!$B223,Val!$E223,Val!N$10,Val!$C$7,Val!$C223),"")</f>
        <v>-29785.325000000001</v>
      </c>
      <c r="O223" s="2">
        <f ca="1">IF(Flag_Send_Data=1,_xll.DBSW(Val!O223,Val!$C$1,Val!$C$2,Val!$C$3,Val!$C$4,Val!$D223,Val!$C$5,Val!$C$6,Val!$B223,Val!$E223,Val!O$10,Val!$C$7,Val!$C223),"")</f>
        <v>-29785.325000000001</v>
      </c>
      <c r="P223" s="2">
        <f ca="1">IF(Flag_Send_Data=1,_xll.DBSW(Val!P223,Val!$C$1,Val!$C$2,Val!$C$3,Val!$C$4,Val!$D223,Val!$C$5,Val!$C$6,Val!$B223,Val!$E223,Val!P$10,Val!$C$7,Val!$C223),"")</f>
        <v>-29785.325000000001</v>
      </c>
      <c r="Q223" s="2">
        <f ca="1">IF(Flag_Send_Data=1,_xll.DBSW(Val!Q223,Val!$C$1,Val!$C$2,Val!$C$3,Val!$C$4,Val!$D223,Val!$C$5,Val!$C$6,Val!$B223,Val!$E223,Val!Q$10,Val!$C$7,Val!$C223),"")</f>
        <v>-29785.325000000001</v>
      </c>
    </row>
    <row r="224" spans="2:17" x14ac:dyDescent="0.25">
      <c r="B224" s="3" t="s">
        <v>265</v>
      </c>
      <c r="C224" t="s">
        <v>52</v>
      </c>
      <c r="D224" t="s">
        <v>199</v>
      </c>
      <c r="E224" t="s">
        <v>128</v>
      </c>
      <c r="F224" s="2">
        <f ca="1">IF(Flag_Send_Data=1,_xll.DBSW(Val!F224,Val!$C$1,Val!$C$2,Val!$C$3,Val!$C$4,Val!$D224,Val!$C$5,Val!$C$6,Val!$B224,Val!$E224,Val!F$10,Val!$C$7,Val!$C224),"")</f>
        <v>-416.66666666666669</v>
      </c>
      <c r="G224" s="2">
        <f ca="1">IF(Flag_Send_Data=1,_xll.DBSW(Val!G224,Val!$C$1,Val!$C$2,Val!$C$3,Val!$C$4,Val!$D224,Val!$C$5,Val!$C$6,Val!$B224,Val!$E224,Val!G$10,Val!$C$7,Val!$C224),"")</f>
        <v>-416.66666666666669</v>
      </c>
      <c r="H224" s="2">
        <f ca="1">IF(Flag_Send_Data=1,_xll.DBSW(Val!H224,Val!$C$1,Val!$C$2,Val!$C$3,Val!$C$4,Val!$D224,Val!$C$5,Val!$C$6,Val!$B224,Val!$E224,Val!H$10,Val!$C$7,Val!$C224),"")</f>
        <v>-416.66666666666669</v>
      </c>
      <c r="I224" s="2">
        <f ca="1">IF(Flag_Send_Data=1,_xll.DBSW(Val!I224,Val!$C$1,Val!$C$2,Val!$C$3,Val!$C$4,Val!$D224,Val!$C$5,Val!$C$6,Val!$B224,Val!$E224,Val!I$10,Val!$C$7,Val!$C224),"")</f>
        <v>-416.66666666666669</v>
      </c>
      <c r="J224" s="2">
        <f ca="1">IF(Flag_Send_Data=1,_xll.DBSW(Val!J224,Val!$C$1,Val!$C$2,Val!$C$3,Val!$C$4,Val!$D224,Val!$C$5,Val!$C$6,Val!$B224,Val!$E224,Val!J$10,Val!$C$7,Val!$C224),"")</f>
        <v>-416.66666666666669</v>
      </c>
      <c r="K224" s="2">
        <f ca="1">IF(Flag_Send_Data=1,_xll.DBSW(Val!K224,Val!$C$1,Val!$C$2,Val!$C$3,Val!$C$4,Val!$D224,Val!$C$5,Val!$C$6,Val!$B224,Val!$E224,Val!K$10,Val!$C$7,Val!$C224),"")</f>
        <v>-416.66666666666669</v>
      </c>
      <c r="L224" s="2">
        <f ca="1">IF(Flag_Send_Data=1,_xll.DBSW(Val!L224,Val!$C$1,Val!$C$2,Val!$C$3,Val!$C$4,Val!$D224,Val!$C$5,Val!$C$6,Val!$B224,Val!$E224,Val!L$10,Val!$C$7,Val!$C224),"")</f>
        <v>-416.66666666666669</v>
      </c>
      <c r="M224" s="2">
        <f ca="1">IF(Flag_Send_Data=1,_xll.DBSW(Val!M224,Val!$C$1,Val!$C$2,Val!$C$3,Val!$C$4,Val!$D224,Val!$C$5,Val!$C$6,Val!$B224,Val!$E224,Val!M$10,Val!$C$7,Val!$C224),"")</f>
        <v>-416.66666666666669</v>
      </c>
      <c r="N224" s="2">
        <f ca="1">IF(Flag_Send_Data=1,_xll.DBSW(Val!N224,Val!$C$1,Val!$C$2,Val!$C$3,Val!$C$4,Val!$D224,Val!$C$5,Val!$C$6,Val!$B224,Val!$E224,Val!N$10,Val!$C$7,Val!$C224),"")</f>
        <v>-416.66666666666669</v>
      </c>
      <c r="O224" s="2">
        <f ca="1">IF(Flag_Send_Data=1,_xll.DBSW(Val!O224,Val!$C$1,Val!$C$2,Val!$C$3,Val!$C$4,Val!$D224,Val!$C$5,Val!$C$6,Val!$B224,Val!$E224,Val!O$10,Val!$C$7,Val!$C224),"")</f>
        <v>-416.66666666666669</v>
      </c>
      <c r="P224" s="2">
        <f ca="1">IF(Flag_Send_Data=1,_xll.DBSW(Val!P224,Val!$C$1,Val!$C$2,Val!$C$3,Val!$C$4,Val!$D224,Val!$C$5,Val!$C$6,Val!$B224,Val!$E224,Val!P$10,Val!$C$7,Val!$C224),"")</f>
        <v>-416.66666666666669</v>
      </c>
      <c r="Q224" s="2">
        <f ca="1">IF(Flag_Send_Data=1,_xll.DBSW(Val!Q224,Val!$C$1,Val!$C$2,Val!$C$3,Val!$C$4,Val!$D224,Val!$C$5,Val!$C$6,Val!$B224,Val!$E224,Val!Q$10,Val!$C$7,Val!$C224),"")</f>
        <v>-416.66666666666669</v>
      </c>
    </row>
    <row r="225" spans="2:17" x14ac:dyDescent="0.25">
      <c r="B225" s="3" t="s">
        <v>265</v>
      </c>
      <c r="C225" t="s">
        <v>53</v>
      </c>
      <c r="D225" t="s">
        <v>199</v>
      </c>
      <c r="E225" t="s">
        <v>17</v>
      </c>
      <c r="F225" s="2">
        <f ca="1">IF(Flag_Send_Data=1,_xll.DBSW(Val!F225,Val!$C$1,Val!$C$2,Val!$C$3,Val!$C$4,Val!$D225,Val!$C$5,Val!$C$6,Val!$B225,Val!$E225,Val!F$10,Val!$C$7,Val!$C225),"")</f>
        <v>-3775.1666666666665</v>
      </c>
      <c r="G225" s="2">
        <f ca="1">IF(Flag_Send_Data=1,_xll.DBSW(Val!G225,Val!$C$1,Val!$C$2,Val!$C$3,Val!$C$4,Val!$D225,Val!$C$5,Val!$C$6,Val!$B225,Val!$E225,Val!G$10,Val!$C$7,Val!$C225),"")</f>
        <v>-3775.1666666666665</v>
      </c>
      <c r="H225" s="2">
        <f ca="1">IF(Flag_Send_Data=1,_xll.DBSW(Val!H225,Val!$C$1,Val!$C$2,Val!$C$3,Val!$C$4,Val!$D225,Val!$C$5,Val!$C$6,Val!$B225,Val!$E225,Val!H$10,Val!$C$7,Val!$C225),"")</f>
        <v>-3775.1666666666665</v>
      </c>
      <c r="I225" s="2">
        <f ca="1">IF(Flag_Send_Data=1,_xll.DBSW(Val!I225,Val!$C$1,Val!$C$2,Val!$C$3,Val!$C$4,Val!$D225,Val!$C$5,Val!$C$6,Val!$B225,Val!$E225,Val!I$10,Val!$C$7,Val!$C225),"")</f>
        <v>-3775.1666666666665</v>
      </c>
      <c r="J225" s="2">
        <f ca="1">IF(Flag_Send_Data=1,_xll.DBSW(Val!J225,Val!$C$1,Val!$C$2,Val!$C$3,Val!$C$4,Val!$D225,Val!$C$5,Val!$C$6,Val!$B225,Val!$E225,Val!J$10,Val!$C$7,Val!$C225),"")</f>
        <v>-3775.1666666666665</v>
      </c>
      <c r="K225" s="2">
        <f ca="1">IF(Flag_Send_Data=1,_xll.DBSW(Val!K225,Val!$C$1,Val!$C$2,Val!$C$3,Val!$C$4,Val!$D225,Val!$C$5,Val!$C$6,Val!$B225,Val!$E225,Val!K$10,Val!$C$7,Val!$C225),"")</f>
        <v>-3775.1666666666665</v>
      </c>
      <c r="L225" s="2">
        <f ca="1">IF(Flag_Send_Data=1,_xll.DBSW(Val!L225,Val!$C$1,Val!$C$2,Val!$C$3,Val!$C$4,Val!$D225,Val!$C$5,Val!$C$6,Val!$B225,Val!$E225,Val!L$10,Val!$C$7,Val!$C225),"")</f>
        <v>-3775.1666666666665</v>
      </c>
      <c r="M225" s="2">
        <f ca="1">IF(Flag_Send_Data=1,_xll.DBSW(Val!M225,Val!$C$1,Val!$C$2,Val!$C$3,Val!$C$4,Val!$D225,Val!$C$5,Val!$C$6,Val!$B225,Val!$E225,Val!M$10,Val!$C$7,Val!$C225),"")</f>
        <v>-3775.1666666666665</v>
      </c>
      <c r="N225" s="2">
        <f ca="1">IF(Flag_Send_Data=1,_xll.DBSW(Val!N225,Val!$C$1,Val!$C$2,Val!$C$3,Val!$C$4,Val!$D225,Val!$C$5,Val!$C$6,Val!$B225,Val!$E225,Val!N$10,Val!$C$7,Val!$C225),"")</f>
        <v>-3775.1666666666665</v>
      </c>
      <c r="O225" s="2">
        <f ca="1">IF(Flag_Send_Data=1,_xll.DBSW(Val!O225,Val!$C$1,Val!$C$2,Val!$C$3,Val!$C$4,Val!$D225,Val!$C$5,Val!$C$6,Val!$B225,Val!$E225,Val!O$10,Val!$C$7,Val!$C225),"")</f>
        <v>-3775.1666666666665</v>
      </c>
      <c r="P225" s="2">
        <f ca="1">IF(Flag_Send_Data=1,_xll.DBSW(Val!P225,Val!$C$1,Val!$C$2,Val!$C$3,Val!$C$4,Val!$D225,Val!$C$5,Val!$C$6,Val!$B225,Val!$E225,Val!P$10,Val!$C$7,Val!$C225),"")</f>
        <v>-3775.1666666666665</v>
      </c>
      <c r="Q225" s="2">
        <f ca="1">IF(Flag_Send_Data=1,_xll.DBSW(Val!Q225,Val!$C$1,Val!$C$2,Val!$C$3,Val!$C$4,Val!$D225,Val!$C$5,Val!$C$6,Val!$B225,Val!$E225,Val!Q$10,Val!$C$7,Val!$C225),"")</f>
        <v>-3775.1666666666665</v>
      </c>
    </row>
    <row r="226" spans="2:17" x14ac:dyDescent="0.25">
      <c r="B226" s="3" t="s">
        <v>265</v>
      </c>
      <c r="C226" t="s">
        <v>53</v>
      </c>
      <c r="D226" t="s">
        <v>199</v>
      </c>
      <c r="E226" t="s">
        <v>128</v>
      </c>
      <c r="F226" s="2">
        <f ca="1">IF(Flag_Send_Data=1,_xll.DBSW(Val!F226,Val!$C$1,Val!$C$2,Val!$C$3,Val!$C$4,Val!$D226,Val!$C$5,Val!$C$6,Val!$B226,Val!$E226,Val!F$10,Val!$C$7,Val!$C226),"")</f>
        <v>-26833.333333333332</v>
      </c>
      <c r="G226" s="2">
        <f ca="1">IF(Flag_Send_Data=1,_xll.DBSW(Val!G226,Val!$C$1,Val!$C$2,Val!$C$3,Val!$C$4,Val!$D226,Val!$C$5,Val!$C$6,Val!$B226,Val!$E226,Val!G$10,Val!$C$7,Val!$C226),"")</f>
        <v>-26833.333333333332</v>
      </c>
      <c r="H226" s="2">
        <f ca="1">IF(Flag_Send_Data=1,_xll.DBSW(Val!H226,Val!$C$1,Val!$C$2,Val!$C$3,Val!$C$4,Val!$D226,Val!$C$5,Val!$C$6,Val!$B226,Val!$E226,Val!H$10,Val!$C$7,Val!$C226),"")</f>
        <v>-26833.333333333332</v>
      </c>
      <c r="I226" s="2">
        <f ca="1">IF(Flag_Send_Data=1,_xll.DBSW(Val!I226,Val!$C$1,Val!$C$2,Val!$C$3,Val!$C$4,Val!$D226,Val!$C$5,Val!$C$6,Val!$B226,Val!$E226,Val!I$10,Val!$C$7,Val!$C226),"")</f>
        <v>-26833.333333333332</v>
      </c>
      <c r="J226" s="2">
        <f ca="1">IF(Flag_Send_Data=1,_xll.DBSW(Val!J226,Val!$C$1,Val!$C$2,Val!$C$3,Val!$C$4,Val!$D226,Val!$C$5,Val!$C$6,Val!$B226,Val!$E226,Val!J$10,Val!$C$7,Val!$C226),"")</f>
        <v>-26833.333333333332</v>
      </c>
      <c r="K226" s="2">
        <f ca="1">IF(Flag_Send_Data=1,_xll.DBSW(Val!K226,Val!$C$1,Val!$C$2,Val!$C$3,Val!$C$4,Val!$D226,Val!$C$5,Val!$C$6,Val!$B226,Val!$E226,Val!K$10,Val!$C$7,Val!$C226),"")</f>
        <v>-26833.333333333332</v>
      </c>
      <c r="L226" s="2">
        <f ca="1">IF(Flag_Send_Data=1,_xll.DBSW(Val!L226,Val!$C$1,Val!$C$2,Val!$C$3,Val!$C$4,Val!$D226,Val!$C$5,Val!$C$6,Val!$B226,Val!$E226,Val!L$10,Val!$C$7,Val!$C226),"")</f>
        <v>-26833.333333333332</v>
      </c>
      <c r="M226" s="2">
        <f ca="1">IF(Flag_Send_Data=1,_xll.DBSW(Val!M226,Val!$C$1,Val!$C$2,Val!$C$3,Val!$C$4,Val!$D226,Val!$C$5,Val!$C$6,Val!$B226,Val!$E226,Val!M$10,Val!$C$7,Val!$C226),"")</f>
        <v>-26833.333333333332</v>
      </c>
      <c r="N226" s="2">
        <f ca="1">IF(Flag_Send_Data=1,_xll.DBSW(Val!N226,Val!$C$1,Val!$C$2,Val!$C$3,Val!$C$4,Val!$D226,Val!$C$5,Val!$C$6,Val!$B226,Val!$E226,Val!N$10,Val!$C$7,Val!$C226),"")</f>
        <v>-26833.333333333332</v>
      </c>
      <c r="O226" s="2">
        <f ca="1">IF(Flag_Send_Data=1,_xll.DBSW(Val!O226,Val!$C$1,Val!$C$2,Val!$C$3,Val!$C$4,Val!$D226,Val!$C$5,Val!$C$6,Val!$B226,Val!$E226,Val!O$10,Val!$C$7,Val!$C226),"")</f>
        <v>-26833.333333333332</v>
      </c>
      <c r="P226" s="2">
        <f ca="1">IF(Flag_Send_Data=1,_xll.DBSW(Val!P226,Val!$C$1,Val!$C$2,Val!$C$3,Val!$C$4,Val!$D226,Val!$C$5,Val!$C$6,Val!$B226,Val!$E226,Val!P$10,Val!$C$7,Val!$C226),"")</f>
        <v>-26833.333333333332</v>
      </c>
      <c r="Q226" s="2">
        <f ca="1">IF(Flag_Send_Data=1,_xll.DBSW(Val!Q226,Val!$C$1,Val!$C$2,Val!$C$3,Val!$C$4,Val!$D226,Val!$C$5,Val!$C$6,Val!$B226,Val!$E226,Val!Q$10,Val!$C$7,Val!$C226),"")</f>
        <v>-26833.333333333332</v>
      </c>
    </row>
    <row r="227" spans="2:17" x14ac:dyDescent="0.25">
      <c r="B227" s="3" t="s">
        <v>265</v>
      </c>
      <c r="C227" t="s">
        <v>53</v>
      </c>
      <c r="D227" t="s">
        <v>149</v>
      </c>
      <c r="E227" t="s">
        <v>17</v>
      </c>
      <c r="F227" s="2">
        <f ca="1">IF(Flag_Send_Data=1,_xll.DBSW(Val!F227,Val!$C$1,Val!$C$2,Val!$C$3,Val!$C$4,Val!$D227,Val!$C$5,Val!$C$6,Val!$B227,Val!$E227,Val!F$10,Val!$C$7,Val!$C227),"")</f>
        <v>-7917.75</v>
      </c>
      <c r="G227" s="2">
        <f ca="1">IF(Flag_Send_Data=1,_xll.DBSW(Val!G227,Val!$C$1,Val!$C$2,Val!$C$3,Val!$C$4,Val!$D227,Val!$C$5,Val!$C$6,Val!$B227,Val!$E227,Val!G$10,Val!$C$7,Val!$C227),"")</f>
        <v>-7917.75</v>
      </c>
      <c r="H227" s="2">
        <f ca="1">IF(Flag_Send_Data=1,_xll.DBSW(Val!H227,Val!$C$1,Val!$C$2,Val!$C$3,Val!$C$4,Val!$D227,Val!$C$5,Val!$C$6,Val!$B227,Val!$E227,Val!H$10,Val!$C$7,Val!$C227),"")</f>
        <v>-7917.75</v>
      </c>
      <c r="I227" s="2">
        <f ca="1">IF(Flag_Send_Data=1,_xll.DBSW(Val!I227,Val!$C$1,Val!$C$2,Val!$C$3,Val!$C$4,Val!$D227,Val!$C$5,Val!$C$6,Val!$B227,Val!$E227,Val!I$10,Val!$C$7,Val!$C227),"")</f>
        <v>-7917.75</v>
      </c>
      <c r="J227" s="2">
        <f ca="1">IF(Flag_Send_Data=1,_xll.DBSW(Val!J227,Val!$C$1,Val!$C$2,Val!$C$3,Val!$C$4,Val!$D227,Val!$C$5,Val!$C$6,Val!$B227,Val!$E227,Val!J$10,Val!$C$7,Val!$C227),"")</f>
        <v>-7917.75</v>
      </c>
      <c r="K227" s="2">
        <f ca="1">IF(Flag_Send_Data=1,_xll.DBSW(Val!K227,Val!$C$1,Val!$C$2,Val!$C$3,Val!$C$4,Val!$D227,Val!$C$5,Val!$C$6,Val!$B227,Val!$E227,Val!K$10,Val!$C$7,Val!$C227),"")</f>
        <v>-7917.75</v>
      </c>
      <c r="L227" s="2">
        <f ca="1">IF(Flag_Send_Data=1,_xll.DBSW(Val!L227,Val!$C$1,Val!$C$2,Val!$C$3,Val!$C$4,Val!$D227,Val!$C$5,Val!$C$6,Val!$B227,Val!$E227,Val!L$10,Val!$C$7,Val!$C227),"")</f>
        <v>-7917.75</v>
      </c>
      <c r="M227" s="2">
        <f ca="1">IF(Flag_Send_Data=1,_xll.DBSW(Val!M227,Val!$C$1,Val!$C$2,Val!$C$3,Val!$C$4,Val!$D227,Val!$C$5,Val!$C$6,Val!$B227,Val!$E227,Val!M$10,Val!$C$7,Val!$C227),"")</f>
        <v>-7917.75</v>
      </c>
      <c r="N227" s="2">
        <f ca="1">IF(Flag_Send_Data=1,_xll.DBSW(Val!N227,Val!$C$1,Val!$C$2,Val!$C$3,Val!$C$4,Val!$D227,Val!$C$5,Val!$C$6,Val!$B227,Val!$E227,Val!N$10,Val!$C$7,Val!$C227),"")</f>
        <v>-7917.75</v>
      </c>
      <c r="O227" s="2">
        <f ca="1">IF(Flag_Send_Data=1,_xll.DBSW(Val!O227,Val!$C$1,Val!$C$2,Val!$C$3,Val!$C$4,Val!$D227,Val!$C$5,Val!$C$6,Val!$B227,Val!$E227,Val!O$10,Val!$C$7,Val!$C227),"")</f>
        <v>-7917.75</v>
      </c>
      <c r="P227" s="2">
        <f ca="1">IF(Flag_Send_Data=1,_xll.DBSW(Val!P227,Val!$C$1,Val!$C$2,Val!$C$3,Val!$C$4,Val!$D227,Val!$C$5,Val!$C$6,Val!$B227,Val!$E227,Val!P$10,Val!$C$7,Val!$C227),"")</f>
        <v>-7917.75</v>
      </c>
      <c r="Q227" s="2">
        <f ca="1">IF(Flag_Send_Data=1,_xll.DBSW(Val!Q227,Val!$C$1,Val!$C$2,Val!$C$3,Val!$C$4,Val!$D227,Val!$C$5,Val!$C$6,Val!$B227,Val!$E227,Val!Q$10,Val!$C$7,Val!$C227),"")</f>
        <v>-7917.75</v>
      </c>
    </row>
    <row r="228" spans="2:17" x14ac:dyDescent="0.25">
      <c r="B228" s="3" t="s">
        <v>265</v>
      </c>
      <c r="C228" t="s">
        <v>53</v>
      </c>
      <c r="D228" t="s">
        <v>185</v>
      </c>
      <c r="E228" t="s">
        <v>17</v>
      </c>
      <c r="F228" s="2">
        <f ca="1">IF(Flag_Send_Data=1,_xll.DBSW(Val!F228,Val!$C$1,Val!$C$2,Val!$C$3,Val!$C$4,Val!$D228,Val!$C$5,Val!$C$6,Val!$B228,Val!$E228,Val!F$10,Val!$C$7,Val!$C228),"")</f>
        <v>-31250</v>
      </c>
      <c r="G228" s="2">
        <f ca="1">IF(Flag_Send_Data=1,_xll.DBSW(Val!G228,Val!$C$1,Val!$C$2,Val!$C$3,Val!$C$4,Val!$D228,Val!$C$5,Val!$C$6,Val!$B228,Val!$E228,Val!G$10,Val!$C$7,Val!$C228),"")</f>
        <v>-31250</v>
      </c>
      <c r="H228" s="2">
        <f ca="1">IF(Flag_Send_Data=1,_xll.DBSW(Val!H228,Val!$C$1,Val!$C$2,Val!$C$3,Val!$C$4,Val!$D228,Val!$C$5,Val!$C$6,Val!$B228,Val!$E228,Val!H$10,Val!$C$7,Val!$C228),"")</f>
        <v>-31250</v>
      </c>
      <c r="I228" s="2">
        <f ca="1">IF(Flag_Send_Data=1,_xll.DBSW(Val!I228,Val!$C$1,Val!$C$2,Val!$C$3,Val!$C$4,Val!$D228,Val!$C$5,Val!$C$6,Val!$B228,Val!$E228,Val!I$10,Val!$C$7,Val!$C228),"")</f>
        <v>-31250</v>
      </c>
      <c r="J228" s="2">
        <f ca="1">IF(Flag_Send_Data=1,_xll.DBSW(Val!J228,Val!$C$1,Val!$C$2,Val!$C$3,Val!$C$4,Val!$D228,Val!$C$5,Val!$C$6,Val!$B228,Val!$E228,Val!J$10,Val!$C$7,Val!$C228),"")</f>
        <v>-31250</v>
      </c>
      <c r="K228" s="2">
        <f ca="1">IF(Flag_Send_Data=1,_xll.DBSW(Val!K228,Val!$C$1,Val!$C$2,Val!$C$3,Val!$C$4,Val!$D228,Val!$C$5,Val!$C$6,Val!$B228,Val!$E228,Val!K$10,Val!$C$7,Val!$C228),"")</f>
        <v>-31250</v>
      </c>
      <c r="L228" s="2">
        <f ca="1">IF(Flag_Send_Data=1,_xll.DBSW(Val!L228,Val!$C$1,Val!$C$2,Val!$C$3,Val!$C$4,Val!$D228,Val!$C$5,Val!$C$6,Val!$B228,Val!$E228,Val!L$10,Val!$C$7,Val!$C228),"")</f>
        <v>-31250</v>
      </c>
      <c r="M228" s="2">
        <f ca="1">IF(Flag_Send_Data=1,_xll.DBSW(Val!M228,Val!$C$1,Val!$C$2,Val!$C$3,Val!$C$4,Val!$D228,Val!$C$5,Val!$C$6,Val!$B228,Val!$E228,Val!M$10,Val!$C$7,Val!$C228),"")</f>
        <v>-31250</v>
      </c>
      <c r="N228" s="2">
        <f ca="1">IF(Flag_Send_Data=1,_xll.DBSW(Val!N228,Val!$C$1,Val!$C$2,Val!$C$3,Val!$C$4,Val!$D228,Val!$C$5,Val!$C$6,Val!$B228,Val!$E228,Val!N$10,Val!$C$7,Val!$C228),"")</f>
        <v>-31250</v>
      </c>
      <c r="O228" s="2">
        <f ca="1">IF(Flag_Send_Data=1,_xll.DBSW(Val!O228,Val!$C$1,Val!$C$2,Val!$C$3,Val!$C$4,Val!$D228,Val!$C$5,Val!$C$6,Val!$B228,Val!$E228,Val!O$10,Val!$C$7,Val!$C228),"")</f>
        <v>-31250</v>
      </c>
      <c r="P228" s="2">
        <f ca="1">IF(Flag_Send_Data=1,_xll.DBSW(Val!P228,Val!$C$1,Val!$C$2,Val!$C$3,Val!$C$4,Val!$D228,Val!$C$5,Val!$C$6,Val!$B228,Val!$E228,Val!P$10,Val!$C$7,Val!$C228),"")</f>
        <v>-31250</v>
      </c>
      <c r="Q228" s="2">
        <f ca="1">IF(Flag_Send_Data=1,_xll.DBSW(Val!Q228,Val!$C$1,Val!$C$2,Val!$C$3,Val!$C$4,Val!$D228,Val!$C$5,Val!$C$6,Val!$B228,Val!$E228,Val!Q$10,Val!$C$7,Val!$C228),"")</f>
        <v>-43050</v>
      </c>
    </row>
    <row r="229" spans="2:17" x14ac:dyDescent="0.25">
      <c r="B229" s="3" t="s">
        <v>265</v>
      </c>
      <c r="C229" t="s">
        <v>53</v>
      </c>
      <c r="D229" t="s">
        <v>185</v>
      </c>
      <c r="E229" t="s">
        <v>128</v>
      </c>
      <c r="F229" s="2">
        <f ca="1">IF(Flag_Send_Data=1,_xll.DBSW(Val!F229,Val!$C$1,Val!$C$2,Val!$C$3,Val!$C$4,Val!$D229,Val!$C$5,Val!$C$6,Val!$B229,Val!$E229,Val!F$10,Val!$C$7,Val!$C229),"")</f>
        <v>-24666.666666666668</v>
      </c>
      <c r="G229" s="2">
        <f ca="1">IF(Flag_Send_Data=1,_xll.DBSW(Val!G229,Val!$C$1,Val!$C$2,Val!$C$3,Val!$C$4,Val!$D229,Val!$C$5,Val!$C$6,Val!$B229,Val!$E229,Val!G$10,Val!$C$7,Val!$C229),"")</f>
        <v>-24666.666666666668</v>
      </c>
      <c r="H229" s="2">
        <f ca="1">IF(Flag_Send_Data=1,_xll.DBSW(Val!H229,Val!$C$1,Val!$C$2,Val!$C$3,Val!$C$4,Val!$D229,Val!$C$5,Val!$C$6,Val!$B229,Val!$E229,Val!H$10,Val!$C$7,Val!$C229),"")</f>
        <v>-24666.666666666668</v>
      </c>
      <c r="I229" s="2">
        <f ca="1">IF(Flag_Send_Data=1,_xll.DBSW(Val!I229,Val!$C$1,Val!$C$2,Val!$C$3,Val!$C$4,Val!$D229,Val!$C$5,Val!$C$6,Val!$B229,Val!$E229,Val!I$10,Val!$C$7,Val!$C229),"")</f>
        <v>-24666.666666666668</v>
      </c>
      <c r="J229" s="2">
        <f ca="1">IF(Flag_Send_Data=1,_xll.DBSW(Val!J229,Val!$C$1,Val!$C$2,Val!$C$3,Val!$C$4,Val!$D229,Val!$C$5,Val!$C$6,Val!$B229,Val!$E229,Val!J$10,Val!$C$7,Val!$C229),"")</f>
        <v>-24666.666666666668</v>
      </c>
      <c r="K229" s="2">
        <f ca="1">IF(Flag_Send_Data=1,_xll.DBSW(Val!K229,Val!$C$1,Val!$C$2,Val!$C$3,Val!$C$4,Val!$D229,Val!$C$5,Val!$C$6,Val!$B229,Val!$E229,Val!K$10,Val!$C$7,Val!$C229),"")</f>
        <v>-24666.666666666668</v>
      </c>
      <c r="L229" s="2">
        <f ca="1">IF(Flag_Send_Data=1,_xll.DBSW(Val!L229,Val!$C$1,Val!$C$2,Val!$C$3,Val!$C$4,Val!$D229,Val!$C$5,Val!$C$6,Val!$B229,Val!$E229,Val!L$10,Val!$C$7,Val!$C229),"")</f>
        <v>-24666.666666666668</v>
      </c>
      <c r="M229" s="2">
        <f ca="1">IF(Flag_Send_Data=1,_xll.DBSW(Val!M229,Val!$C$1,Val!$C$2,Val!$C$3,Val!$C$4,Val!$D229,Val!$C$5,Val!$C$6,Val!$B229,Val!$E229,Val!M$10,Val!$C$7,Val!$C229),"")</f>
        <v>-24666.666666666668</v>
      </c>
      <c r="N229" s="2">
        <f ca="1">IF(Flag_Send_Data=1,_xll.DBSW(Val!N229,Val!$C$1,Val!$C$2,Val!$C$3,Val!$C$4,Val!$D229,Val!$C$5,Val!$C$6,Val!$B229,Val!$E229,Val!N$10,Val!$C$7,Val!$C229),"")</f>
        <v>-24666.666666666668</v>
      </c>
      <c r="O229" s="2">
        <f ca="1">IF(Flag_Send_Data=1,_xll.DBSW(Val!O229,Val!$C$1,Val!$C$2,Val!$C$3,Val!$C$4,Val!$D229,Val!$C$5,Val!$C$6,Val!$B229,Val!$E229,Val!O$10,Val!$C$7,Val!$C229),"")</f>
        <v>-24666.666666666668</v>
      </c>
      <c r="P229" s="2">
        <f ca="1">IF(Flag_Send_Data=1,_xll.DBSW(Val!P229,Val!$C$1,Val!$C$2,Val!$C$3,Val!$C$4,Val!$D229,Val!$C$5,Val!$C$6,Val!$B229,Val!$E229,Val!P$10,Val!$C$7,Val!$C229),"")</f>
        <v>-24666.666666666668</v>
      </c>
      <c r="Q229" s="2">
        <f ca="1">IF(Flag_Send_Data=1,_xll.DBSW(Val!Q229,Val!$C$1,Val!$C$2,Val!$C$3,Val!$C$4,Val!$D229,Val!$C$5,Val!$C$6,Val!$B229,Val!$E229,Val!Q$10,Val!$C$7,Val!$C229),"")</f>
        <v>-24666.666666666668</v>
      </c>
    </row>
    <row r="230" spans="2:17" x14ac:dyDescent="0.25">
      <c r="B230" s="3" t="s">
        <v>265</v>
      </c>
      <c r="C230" t="s">
        <v>54</v>
      </c>
      <c r="D230" t="s">
        <v>199</v>
      </c>
      <c r="E230" t="s">
        <v>128</v>
      </c>
      <c r="F230" s="2">
        <f ca="1">IF(Flag_Send_Data=1,_xll.DBSW(Val!F230,Val!$C$1,Val!$C$2,Val!$C$3,Val!$C$4,Val!$D230,Val!$C$5,Val!$C$6,Val!$B230,Val!$E230,Val!F$10,Val!$C$7,Val!$C230),"")</f>
        <v>-166.66666666666666</v>
      </c>
      <c r="G230" s="2">
        <f ca="1">IF(Flag_Send_Data=1,_xll.DBSW(Val!G230,Val!$C$1,Val!$C$2,Val!$C$3,Val!$C$4,Val!$D230,Val!$C$5,Val!$C$6,Val!$B230,Val!$E230,Val!G$10,Val!$C$7,Val!$C230),"")</f>
        <v>-166.66666666666666</v>
      </c>
      <c r="H230" s="2">
        <f ca="1">IF(Flag_Send_Data=1,_xll.DBSW(Val!H230,Val!$C$1,Val!$C$2,Val!$C$3,Val!$C$4,Val!$D230,Val!$C$5,Val!$C$6,Val!$B230,Val!$E230,Val!H$10,Val!$C$7,Val!$C230),"")</f>
        <v>-166.66666666666666</v>
      </c>
      <c r="I230" s="2">
        <f ca="1">IF(Flag_Send_Data=1,_xll.DBSW(Val!I230,Val!$C$1,Val!$C$2,Val!$C$3,Val!$C$4,Val!$D230,Val!$C$5,Val!$C$6,Val!$B230,Val!$E230,Val!I$10,Val!$C$7,Val!$C230),"")</f>
        <v>-166.66666666666666</v>
      </c>
      <c r="J230" s="2">
        <f ca="1">IF(Flag_Send_Data=1,_xll.DBSW(Val!J230,Val!$C$1,Val!$C$2,Val!$C$3,Val!$C$4,Val!$D230,Val!$C$5,Val!$C$6,Val!$B230,Val!$E230,Val!J$10,Val!$C$7,Val!$C230),"")</f>
        <v>-166.66666666666666</v>
      </c>
      <c r="K230" s="2">
        <f ca="1">IF(Flag_Send_Data=1,_xll.DBSW(Val!K230,Val!$C$1,Val!$C$2,Val!$C$3,Val!$C$4,Val!$D230,Val!$C$5,Val!$C$6,Val!$B230,Val!$E230,Val!K$10,Val!$C$7,Val!$C230),"")</f>
        <v>-166.66666666666666</v>
      </c>
      <c r="L230" s="2">
        <f ca="1">IF(Flag_Send_Data=1,_xll.DBSW(Val!L230,Val!$C$1,Val!$C$2,Val!$C$3,Val!$C$4,Val!$D230,Val!$C$5,Val!$C$6,Val!$B230,Val!$E230,Val!L$10,Val!$C$7,Val!$C230),"")</f>
        <v>-166.66666666666666</v>
      </c>
      <c r="M230" s="2">
        <f ca="1">IF(Flag_Send_Data=1,_xll.DBSW(Val!M230,Val!$C$1,Val!$C$2,Val!$C$3,Val!$C$4,Val!$D230,Val!$C$5,Val!$C$6,Val!$B230,Val!$E230,Val!M$10,Val!$C$7,Val!$C230),"")</f>
        <v>-166.66666666666666</v>
      </c>
      <c r="N230" s="2">
        <f ca="1">IF(Flag_Send_Data=1,_xll.DBSW(Val!N230,Val!$C$1,Val!$C$2,Val!$C$3,Val!$C$4,Val!$D230,Val!$C$5,Val!$C$6,Val!$B230,Val!$E230,Val!N$10,Val!$C$7,Val!$C230),"")</f>
        <v>-166.66666666666666</v>
      </c>
      <c r="O230" s="2">
        <f ca="1">IF(Flag_Send_Data=1,_xll.DBSW(Val!O230,Val!$C$1,Val!$C$2,Val!$C$3,Val!$C$4,Val!$D230,Val!$C$5,Val!$C$6,Val!$B230,Val!$E230,Val!O$10,Val!$C$7,Val!$C230),"")</f>
        <v>-166.66666666666666</v>
      </c>
      <c r="P230" s="2">
        <f ca="1">IF(Flag_Send_Data=1,_xll.DBSW(Val!P230,Val!$C$1,Val!$C$2,Val!$C$3,Val!$C$4,Val!$D230,Val!$C$5,Val!$C$6,Val!$B230,Val!$E230,Val!P$10,Val!$C$7,Val!$C230),"")</f>
        <v>-166.66666666666666</v>
      </c>
      <c r="Q230" s="2">
        <f ca="1">IF(Flag_Send_Data=1,_xll.DBSW(Val!Q230,Val!$C$1,Val!$C$2,Val!$C$3,Val!$C$4,Val!$D230,Val!$C$5,Val!$C$6,Val!$B230,Val!$E230,Val!Q$10,Val!$C$7,Val!$C230),"")</f>
        <v>-166.66666666666666</v>
      </c>
    </row>
    <row r="231" spans="2:17" x14ac:dyDescent="0.25">
      <c r="B231" s="3" t="s">
        <v>265</v>
      </c>
      <c r="C231" t="s">
        <v>110</v>
      </c>
      <c r="D231" t="s">
        <v>199</v>
      </c>
      <c r="E231" t="s">
        <v>128</v>
      </c>
      <c r="F231" s="2">
        <f ca="1">IF(Flag_Send_Data=1,_xll.DBSW(Val!F231,Val!$C$1,Val!$C$2,Val!$C$3,Val!$C$4,Val!$D231,Val!$C$5,Val!$C$6,Val!$B231,Val!$E231,Val!F$10,Val!$C$7,Val!$C231),"")</f>
        <v>-416.66666666666669</v>
      </c>
      <c r="G231" s="2">
        <f ca="1">IF(Flag_Send_Data=1,_xll.DBSW(Val!G231,Val!$C$1,Val!$C$2,Val!$C$3,Val!$C$4,Val!$D231,Val!$C$5,Val!$C$6,Val!$B231,Val!$E231,Val!G$10,Val!$C$7,Val!$C231),"")</f>
        <v>-416.66666666666669</v>
      </c>
      <c r="H231" s="2">
        <f ca="1">IF(Flag_Send_Data=1,_xll.DBSW(Val!H231,Val!$C$1,Val!$C$2,Val!$C$3,Val!$C$4,Val!$D231,Val!$C$5,Val!$C$6,Val!$B231,Val!$E231,Val!H$10,Val!$C$7,Val!$C231),"")</f>
        <v>-416.66666666666669</v>
      </c>
      <c r="I231" s="2">
        <f ca="1">IF(Flag_Send_Data=1,_xll.DBSW(Val!I231,Val!$C$1,Val!$C$2,Val!$C$3,Val!$C$4,Val!$D231,Val!$C$5,Val!$C$6,Val!$B231,Val!$E231,Val!I$10,Val!$C$7,Val!$C231),"")</f>
        <v>-416.66666666666669</v>
      </c>
      <c r="J231" s="2">
        <f ca="1">IF(Flag_Send_Data=1,_xll.DBSW(Val!J231,Val!$C$1,Val!$C$2,Val!$C$3,Val!$C$4,Val!$D231,Val!$C$5,Val!$C$6,Val!$B231,Val!$E231,Val!J$10,Val!$C$7,Val!$C231),"")</f>
        <v>-416.66666666666669</v>
      </c>
      <c r="K231" s="2">
        <f ca="1">IF(Flag_Send_Data=1,_xll.DBSW(Val!K231,Val!$C$1,Val!$C$2,Val!$C$3,Val!$C$4,Val!$D231,Val!$C$5,Val!$C$6,Val!$B231,Val!$E231,Val!K$10,Val!$C$7,Val!$C231),"")</f>
        <v>-416.66666666666669</v>
      </c>
      <c r="L231" s="2">
        <f ca="1">IF(Flag_Send_Data=1,_xll.DBSW(Val!L231,Val!$C$1,Val!$C$2,Val!$C$3,Val!$C$4,Val!$D231,Val!$C$5,Val!$C$6,Val!$B231,Val!$E231,Val!L$10,Val!$C$7,Val!$C231),"")</f>
        <v>-416.66666666666669</v>
      </c>
      <c r="M231" s="2">
        <f ca="1">IF(Flag_Send_Data=1,_xll.DBSW(Val!M231,Val!$C$1,Val!$C$2,Val!$C$3,Val!$C$4,Val!$D231,Val!$C$5,Val!$C$6,Val!$B231,Val!$E231,Val!M$10,Val!$C$7,Val!$C231),"")</f>
        <v>-416.66666666666669</v>
      </c>
      <c r="N231" s="2">
        <f ca="1">IF(Flag_Send_Data=1,_xll.DBSW(Val!N231,Val!$C$1,Val!$C$2,Val!$C$3,Val!$C$4,Val!$D231,Val!$C$5,Val!$C$6,Val!$B231,Val!$E231,Val!N$10,Val!$C$7,Val!$C231),"")</f>
        <v>-416.66666666666669</v>
      </c>
      <c r="O231" s="2">
        <f ca="1">IF(Flag_Send_Data=1,_xll.DBSW(Val!O231,Val!$C$1,Val!$C$2,Val!$C$3,Val!$C$4,Val!$D231,Val!$C$5,Val!$C$6,Val!$B231,Val!$E231,Val!O$10,Val!$C$7,Val!$C231),"")</f>
        <v>-416.66666666666669</v>
      </c>
      <c r="P231" s="2">
        <f ca="1">IF(Flag_Send_Data=1,_xll.DBSW(Val!P231,Val!$C$1,Val!$C$2,Val!$C$3,Val!$C$4,Val!$D231,Val!$C$5,Val!$C$6,Val!$B231,Val!$E231,Val!P$10,Val!$C$7,Val!$C231),"")</f>
        <v>-416.66666666666669</v>
      </c>
      <c r="Q231" s="2">
        <f ca="1">IF(Flag_Send_Data=1,_xll.DBSW(Val!Q231,Val!$C$1,Val!$C$2,Val!$C$3,Val!$C$4,Val!$D231,Val!$C$5,Val!$C$6,Val!$B231,Val!$E231,Val!Q$10,Val!$C$7,Val!$C231),"")</f>
        <v>-416.66666666666669</v>
      </c>
    </row>
    <row r="232" spans="2:17" x14ac:dyDescent="0.25">
      <c r="B232" s="3" t="s">
        <v>265</v>
      </c>
      <c r="C232" t="s">
        <v>64</v>
      </c>
      <c r="D232" t="s">
        <v>199</v>
      </c>
      <c r="E232" t="s">
        <v>128</v>
      </c>
      <c r="F232" s="2">
        <f ca="1">IF(Flag_Send_Data=1,_xll.DBSW(Val!F232,Val!$C$1,Val!$C$2,Val!$C$3,Val!$C$4,Val!$D232,Val!$C$5,Val!$C$6,Val!$B232,Val!$E232,Val!F$10,Val!$C$7,Val!$C232),"")</f>
        <v>-5026.166666666667</v>
      </c>
      <c r="G232" s="2">
        <f ca="1">IF(Flag_Send_Data=1,_xll.DBSW(Val!G232,Val!$C$1,Val!$C$2,Val!$C$3,Val!$C$4,Val!$D232,Val!$C$5,Val!$C$6,Val!$B232,Val!$E232,Val!G$10,Val!$C$7,Val!$C232),"")</f>
        <v>-5026.166666666667</v>
      </c>
      <c r="H232" s="2">
        <f ca="1">IF(Flag_Send_Data=1,_xll.DBSW(Val!H232,Val!$C$1,Val!$C$2,Val!$C$3,Val!$C$4,Val!$D232,Val!$C$5,Val!$C$6,Val!$B232,Val!$E232,Val!H$10,Val!$C$7,Val!$C232),"")</f>
        <v>-5026.166666666667</v>
      </c>
      <c r="I232" s="2">
        <f ca="1">IF(Flag_Send_Data=1,_xll.DBSW(Val!I232,Val!$C$1,Val!$C$2,Val!$C$3,Val!$C$4,Val!$D232,Val!$C$5,Val!$C$6,Val!$B232,Val!$E232,Val!I$10,Val!$C$7,Val!$C232),"")</f>
        <v>-5026.166666666667</v>
      </c>
      <c r="J232" s="2">
        <f ca="1">IF(Flag_Send_Data=1,_xll.DBSW(Val!J232,Val!$C$1,Val!$C$2,Val!$C$3,Val!$C$4,Val!$D232,Val!$C$5,Val!$C$6,Val!$B232,Val!$E232,Val!J$10,Val!$C$7,Val!$C232),"")</f>
        <v>-5026.166666666667</v>
      </c>
      <c r="K232" s="2">
        <f ca="1">IF(Flag_Send_Data=1,_xll.DBSW(Val!K232,Val!$C$1,Val!$C$2,Val!$C$3,Val!$C$4,Val!$D232,Val!$C$5,Val!$C$6,Val!$B232,Val!$E232,Val!K$10,Val!$C$7,Val!$C232),"")</f>
        <v>-5026.166666666667</v>
      </c>
      <c r="L232" s="2">
        <f ca="1">IF(Flag_Send_Data=1,_xll.DBSW(Val!L232,Val!$C$1,Val!$C$2,Val!$C$3,Val!$C$4,Val!$D232,Val!$C$5,Val!$C$6,Val!$B232,Val!$E232,Val!L$10,Val!$C$7,Val!$C232),"")</f>
        <v>-5026.166666666667</v>
      </c>
      <c r="M232" s="2">
        <f ca="1">IF(Flag_Send_Data=1,_xll.DBSW(Val!M232,Val!$C$1,Val!$C$2,Val!$C$3,Val!$C$4,Val!$D232,Val!$C$5,Val!$C$6,Val!$B232,Val!$E232,Val!M$10,Val!$C$7,Val!$C232),"")</f>
        <v>-5026.166666666667</v>
      </c>
      <c r="N232" s="2">
        <f ca="1">IF(Flag_Send_Data=1,_xll.DBSW(Val!N232,Val!$C$1,Val!$C$2,Val!$C$3,Val!$C$4,Val!$D232,Val!$C$5,Val!$C$6,Val!$B232,Val!$E232,Val!N$10,Val!$C$7,Val!$C232),"")</f>
        <v>-5026.166666666667</v>
      </c>
      <c r="O232" s="2">
        <f ca="1">IF(Flag_Send_Data=1,_xll.DBSW(Val!O232,Val!$C$1,Val!$C$2,Val!$C$3,Val!$C$4,Val!$D232,Val!$C$5,Val!$C$6,Val!$B232,Val!$E232,Val!O$10,Val!$C$7,Val!$C232),"")</f>
        <v>-5026.166666666667</v>
      </c>
      <c r="P232" s="2">
        <f ca="1">IF(Flag_Send_Data=1,_xll.DBSW(Val!P232,Val!$C$1,Val!$C$2,Val!$C$3,Val!$C$4,Val!$D232,Val!$C$5,Val!$C$6,Val!$B232,Val!$E232,Val!P$10,Val!$C$7,Val!$C232),"")</f>
        <v>-5026.166666666667</v>
      </c>
      <c r="Q232" s="2">
        <f ca="1">IF(Flag_Send_Data=1,_xll.DBSW(Val!Q232,Val!$C$1,Val!$C$2,Val!$C$3,Val!$C$4,Val!$D232,Val!$C$5,Val!$C$6,Val!$B232,Val!$E232,Val!Q$10,Val!$C$7,Val!$C232),"")</f>
        <v>-5026.166666666667</v>
      </c>
    </row>
    <row r="233" spans="2:17" x14ac:dyDescent="0.25">
      <c r="B233" s="3" t="s">
        <v>265</v>
      </c>
      <c r="C233" t="s">
        <v>99</v>
      </c>
      <c r="D233" t="s">
        <v>199</v>
      </c>
      <c r="E233" t="s">
        <v>44</v>
      </c>
      <c r="F233" s="2">
        <f ca="1">IF(Flag_Send_Data=1,_xll.DBSW(Val!F233,Val!$C$1,Val!$C$2,Val!$C$3,Val!$C$4,Val!$D233,Val!$C$5,Val!$C$6,Val!$B233,Val!$E233,Val!F$10,Val!$C$7,Val!$C233),"")</f>
        <v>21000</v>
      </c>
      <c r="G233" s="2">
        <f ca="1">IF(Flag_Send_Data=1,_xll.DBSW(Val!G233,Val!$C$1,Val!$C$2,Val!$C$3,Val!$C$4,Val!$D233,Val!$C$5,Val!$C$6,Val!$B233,Val!$E233,Val!G$10,Val!$C$7,Val!$C233),"")</f>
        <v>21000</v>
      </c>
      <c r="H233" s="2">
        <f ca="1">IF(Flag_Send_Data=1,_xll.DBSW(Val!H233,Val!$C$1,Val!$C$2,Val!$C$3,Val!$C$4,Val!$D233,Val!$C$5,Val!$C$6,Val!$B233,Val!$E233,Val!H$10,Val!$C$7,Val!$C233),"")</f>
        <v>21000</v>
      </c>
      <c r="I233" s="2">
        <f ca="1">IF(Flag_Send_Data=1,_xll.DBSW(Val!I233,Val!$C$1,Val!$C$2,Val!$C$3,Val!$C$4,Val!$D233,Val!$C$5,Val!$C$6,Val!$B233,Val!$E233,Val!I$10,Val!$C$7,Val!$C233),"")</f>
        <v>21000</v>
      </c>
      <c r="J233" s="2">
        <f ca="1">IF(Flag_Send_Data=1,_xll.DBSW(Val!J233,Val!$C$1,Val!$C$2,Val!$C$3,Val!$C$4,Val!$D233,Val!$C$5,Val!$C$6,Val!$B233,Val!$E233,Val!J$10,Val!$C$7,Val!$C233),"")</f>
        <v>21000</v>
      </c>
      <c r="K233" s="2">
        <f ca="1">IF(Flag_Send_Data=1,_xll.DBSW(Val!K233,Val!$C$1,Val!$C$2,Val!$C$3,Val!$C$4,Val!$D233,Val!$C$5,Val!$C$6,Val!$B233,Val!$E233,Val!K$10,Val!$C$7,Val!$C233),"")</f>
        <v>21000</v>
      </c>
      <c r="L233" s="2">
        <f ca="1">IF(Flag_Send_Data=1,_xll.DBSW(Val!L233,Val!$C$1,Val!$C$2,Val!$C$3,Val!$C$4,Val!$D233,Val!$C$5,Val!$C$6,Val!$B233,Val!$E233,Val!L$10,Val!$C$7,Val!$C233),"")</f>
        <v>21000</v>
      </c>
      <c r="M233" s="2">
        <f ca="1">IF(Flag_Send_Data=1,_xll.DBSW(Val!M233,Val!$C$1,Val!$C$2,Val!$C$3,Val!$C$4,Val!$D233,Val!$C$5,Val!$C$6,Val!$B233,Val!$E233,Val!M$10,Val!$C$7,Val!$C233),"")</f>
        <v>21000</v>
      </c>
      <c r="N233" s="2">
        <f ca="1">IF(Flag_Send_Data=1,_xll.DBSW(Val!N233,Val!$C$1,Val!$C$2,Val!$C$3,Val!$C$4,Val!$D233,Val!$C$5,Val!$C$6,Val!$B233,Val!$E233,Val!N$10,Val!$C$7,Val!$C233),"")</f>
        <v>21000</v>
      </c>
      <c r="O233" s="2">
        <f ca="1">IF(Flag_Send_Data=1,_xll.DBSW(Val!O233,Val!$C$1,Val!$C$2,Val!$C$3,Val!$C$4,Val!$D233,Val!$C$5,Val!$C$6,Val!$B233,Val!$E233,Val!O$10,Val!$C$7,Val!$C233),"")</f>
        <v>21000</v>
      </c>
      <c r="P233" s="2">
        <f ca="1">IF(Flag_Send_Data=1,_xll.DBSW(Val!P233,Val!$C$1,Val!$C$2,Val!$C$3,Val!$C$4,Val!$D233,Val!$C$5,Val!$C$6,Val!$B233,Val!$E233,Val!P$10,Val!$C$7,Val!$C233),"")</f>
        <v>21000</v>
      </c>
      <c r="Q233" s="2">
        <f ca="1">IF(Flag_Send_Data=1,_xll.DBSW(Val!Q233,Val!$C$1,Val!$C$2,Val!$C$3,Val!$C$4,Val!$D233,Val!$C$5,Val!$C$6,Val!$B233,Val!$E233,Val!Q$10,Val!$C$7,Val!$C233),"")</f>
        <v>21000</v>
      </c>
    </row>
    <row r="234" spans="2:17" x14ac:dyDescent="0.25">
      <c r="B234" s="3" t="s">
        <v>265</v>
      </c>
      <c r="C234" t="s">
        <v>100</v>
      </c>
      <c r="D234" t="s">
        <v>199</v>
      </c>
      <c r="E234" t="s">
        <v>14</v>
      </c>
      <c r="F234" s="2">
        <f ca="1">IF(Flag_Send_Data=1,_xll.DBSW(Val!F234,Val!$C$1,Val!$C$2,Val!$C$3,Val!$C$4,Val!$D234,Val!$C$5,Val!$C$6,Val!$B234,Val!$E234,Val!F$10,Val!$C$7,Val!$C234),"")</f>
        <v>6114.3508333333339</v>
      </c>
      <c r="G234" s="2">
        <f ca="1">IF(Flag_Send_Data=1,_xll.DBSW(Val!G234,Val!$C$1,Val!$C$2,Val!$C$3,Val!$C$4,Val!$D234,Val!$C$5,Val!$C$6,Val!$B234,Val!$E234,Val!G$10,Val!$C$7,Val!$C234),"")</f>
        <v>6114.3508333333339</v>
      </c>
      <c r="H234" s="2">
        <f ca="1">IF(Flag_Send_Data=1,_xll.DBSW(Val!H234,Val!$C$1,Val!$C$2,Val!$C$3,Val!$C$4,Val!$D234,Val!$C$5,Val!$C$6,Val!$B234,Val!$E234,Val!H$10,Val!$C$7,Val!$C234),"")</f>
        <v>6114.3508333333339</v>
      </c>
      <c r="I234" s="2">
        <f ca="1">IF(Flag_Send_Data=1,_xll.DBSW(Val!I234,Val!$C$1,Val!$C$2,Val!$C$3,Val!$C$4,Val!$D234,Val!$C$5,Val!$C$6,Val!$B234,Val!$E234,Val!I$10,Val!$C$7,Val!$C234),"")</f>
        <v>6114.3508333333339</v>
      </c>
      <c r="J234" s="2">
        <f ca="1">IF(Flag_Send_Data=1,_xll.DBSW(Val!J234,Val!$C$1,Val!$C$2,Val!$C$3,Val!$C$4,Val!$D234,Val!$C$5,Val!$C$6,Val!$B234,Val!$E234,Val!J$10,Val!$C$7,Val!$C234),"")</f>
        <v>6114.3508333333339</v>
      </c>
      <c r="K234" s="2">
        <f ca="1">IF(Flag_Send_Data=1,_xll.DBSW(Val!K234,Val!$C$1,Val!$C$2,Val!$C$3,Val!$C$4,Val!$D234,Val!$C$5,Val!$C$6,Val!$B234,Val!$E234,Val!K$10,Val!$C$7,Val!$C234),"")</f>
        <v>6114.3508333333339</v>
      </c>
      <c r="L234" s="2">
        <f ca="1">IF(Flag_Send_Data=1,_xll.DBSW(Val!L234,Val!$C$1,Val!$C$2,Val!$C$3,Val!$C$4,Val!$D234,Val!$C$5,Val!$C$6,Val!$B234,Val!$E234,Val!L$10,Val!$C$7,Val!$C234),"")</f>
        <v>6114.3508333333339</v>
      </c>
      <c r="M234" s="2">
        <f ca="1">IF(Flag_Send_Data=1,_xll.DBSW(Val!M234,Val!$C$1,Val!$C$2,Val!$C$3,Val!$C$4,Val!$D234,Val!$C$5,Val!$C$6,Val!$B234,Val!$E234,Val!M$10,Val!$C$7,Val!$C234),"")</f>
        <v>6114.3508333333339</v>
      </c>
      <c r="N234" s="2">
        <f ca="1">IF(Flag_Send_Data=1,_xll.DBSW(Val!N234,Val!$C$1,Val!$C$2,Val!$C$3,Val!$C$4,Val!$D234,Val!$C$5,Val!$C$6,Val!$B234,Val!$E234,Val!N$10,Val!$C$7,Val!$C234),"")</f>
        <v>6114.3508333333339</v>
      </c>
      <c r="O234" s="2">
        <f ca="1">IF(Flag_Send_Data=1,_xll.DBSW(Val!O234,Val!$C$1,Val!$C$2,Val!$C$3,Val!$C$4,Val!$D234,Val!$C$5,Val!$C$6,Val!$B234,Val!$E234,Val!O$10,Val!$C$7,Val!$C234),"")</f>
        <v>6114.3508333333339</v>
      </c>
      <c r="P234" s="2">
        <f ca="1">IF(Flag_Send_Data=1,_xll.DBSW(Val!P234,Val!$C$1,Val!$C$2,Val!$C$3,Val!$C$4,Val!$D234,Val!$C$5,Val!$C$6,Val!$B234,Val!$E234,Val!P$10,Val!$C$7,Val!$C234),"")</f>
        <v>6114.3508333333339</v>
      </c>
      <c r="Q234" s="2">
        <f ca="1">IF(Flag_Send_Data=1,_xll.DBSW(Val!Q234,Val!$C$1,Val!$C$2,Val!$C$3,Val!$C$4,Val!$D234,Val!$C$5,Val!$C$6,Val!$B234,Val!$E234,Val!Q$10,Val!$C$7,Val!$C234),"")</f>
        <v>6114.3508333333339</v>
      </c>
    </row>
    <row r="235" spans="2:17" x14ac:dyDescent="0.25">
      <c r="B235" s="3" t="s">
        <v>266</v>
      </c>
      <c r="C235" t="s">
        <v>51</v>
      </c>
      <c r="D235" t="s">
        <v>199</v>
      </c>
      <c r="E235" t="s">
        <v>128</v>
      </c>
      <c r="F235" s="2">
        <f ca="1">IF(Flag_Send_Data=1,_xll.DBSW(Val!F235,Val!$C$1,Val!$C$2,Val!$C$3,Val!$C$4,Val!$D235,Val!$C$5,Val!$C$6,Val!$B235,Val!$E235,Val!F$10,Val!$C$7,Val!$C235),"")</f>
        <v>-28414.011666666669</v>
      </c>
      <c r="G235" s="2">
        <f ca="1">IF(Flag_Send_Data=1,_xll.DBSW(Val!G235,Val!$C$1,Val!$C$2,Val!$C$3,Val!$C$4,Val!$D235,Val!$C$5,Val!$C$6,Val!$B235,Val!$E235,Val!G$10,Val!$C$7,Val!$C235),"")</f>
        <v>-28414.011666666669</v>
      </c>
      <c r="H235" s="2">
        <f ca="1">IF(Flag_Send_Data=1,_xll.DBSW(Val!H235,Val!$C$1,Val!$C$2,Val!$C$3,Val!$C$4,Val!$D235,Val!$C$5,Val!$C$6,Val!$B235,Val!$E235,Val!H$10,Val!$C$7,Val!$C235),"")</f>
        <v>-28414.011666666669</v>
      </c>
      <c r="I235" s="2">
        <f ca="1">IF(Flag_Send_Data=1,_xll.DBSW(Val!I235,Val!$C$1,Val!$C$2,Val!$C$3,Val!$C$4,Val!$D235,Val!$C$5,Val!$C$6,Val!$B235,Val!$E235,Val!I$10,Val!$C$7,Val!$C235),"")</f>
        <v>-28414.011666666669</v>
      </c>
      <c r="J235" s="2">
        <f ca="1">IF(Flag_Send_Data=1,_xll.DBSW(Val!J235,Val!$C$1,Val!$C$2,Val!$C$3,Val!$C$4,Val!$D235,Val!$C$5,Val!$C$6,Val!$B235,Val!$E235,Val!J$10,Val!$C$7,Val!$C235),"")</f>
        <v>-28414.011666666669</v>
      </c>
      <c r="K235" s="2">
        <f ca="1">IF(Flag_Send_Data=1,_xll.DBSW(Val!K235,Val!$C$1,Val!$C$2,Val!$C$3,Val!$C$4,Val!$D235,Val!$C$5,Val!$C$6,Val!$B235,Val!$E235,Val!K$10,Val!$C$7,Val!$C235),"")</f>
        <v>-28414.011666666669</v>
      </c>
      <c r="L235" s="2">
        <f ca="1">IF(Flag_Send_Data=1,_xll.DBSW(Val!L235,Val!$C$1,Val!$C$2,Val!$C$3,Val!$C$4,Val!$D235,Val!$C$5,Val!$C$6,Val!$B235,Val!$E235,Val!L$10,Val!$C$7,Val!$C235),"")</f>
        <v>-28414.011666666669</v>
      </c>
      <c r="M235" s="2">
        <f ca="1">IF(Flag_Send_Data=1,_xll.DBSW(Val!M235,Val!$C$1,Val!$C$2,Val!$C$3,Val!$C$4,Val!$D235,Val!$C$5,Val!$C$6,Val!$B235,Val!$E235,Val!M$10,Val!$C$7,Val!$C235),"")</f>
        <v>-28414.011666666669</v>
      </c>
      <c r="N235" s="2">
        <f ca="1">IF(Flag_Send_Data=1,_xll.DBSW(Val!N235,Val!$C$1,Val!$C$2,Val!$C$3,Val!$C$4,Val!$D235,Val!$C$5,Val!$C$6,Val!$B235,Val!$E235,Val!N$10,Val!$C$7,Val!$C235),"")</f>
        <v>-28414.011666666669</v>
      </c>
      <c r="O235" s="2">
        <f ca="1">IF(Flag_Send_Data=1,_xll.DBSW(Val!O235,Val!$C$1,Val!$C$2,Val!$C$3,Val!$C$4,Val!$D235,Val!$C$5,Val!$C$6,Val!$B235,Val!$E235,Val!O$10,Val!$C$7,Val!$C235),"")</f>
        <v>-28414.011666666669</v>
      </c>
      <c r="P235" s="2">
        <f ca="1">IF(Flag_Send_Data=1,_xll.DBSW(Val!P235,Val!$C$1,Val!$C$2,Val!$C$3,Val!$C$4,Val!$D235,Val!$C$5,Val!$C$6,Val!$B235,Val!$E235,Val!P$10,Val!$C$7,Val!$C235),"")</f>
        <v>-28414.011666666669</v>
      </c>
      <c r="Q235" s="2">
        <f ca="1">IF(Flag_Send_Data=1,_xll.DBSW(Val!Q235,Val!$C$1,Val!$C$2,Val!$C$3,Val!$C$4,Val!$D235,Val!$C$5,Val!$C$6,Val!$B235,Val!$E235,Val!Q$10,Val!$C$7,Val!$C235),"")</f>
        <v>-28414.011666666669</v>
      </c>
    </row>
    <row r="236" spans="2:17" x14ac:dyDescent="0.25">
      <c r="B236" s="3" t="s">
        <v>266</v>
      </c>
      <c r="C236" t="s">
        <v>52</v>
      </c>
      <c r="D236" t="s">
        <v>199</v>
      </c>
      <c r="E236" t="s">
        <v>128</v>
      </c>
      <c r="F236" s="2">
        <f ca="1">IF(Flag_Send_Data=1,_xll.DBSW(Val!F236,Val!$C$1,Val!$C$2,Val!$C$3,Val!$C$4,Val!$D236,Val!$C$5,Val!$C$6,Val!$B236,Val!$E236,Val!F$10,Val!$C$7,Val!$C236),"")</f>
        <v>-833.33333333333337</v>
      </c>
      <c r="G236" s="2">
        <f ca="1">IF(Flag_Send_Data=1,_xll.DBSW(Val!G236,Val!$C$1,Val!$C$2,Val!$C$3,Val!$C$4,Val!$D236,Val!$C$5,Val!$C$6,Val!$B236,Val!$E236,Val!G$10,Val!$C$7,Val!$C236),"")</f>
        <v>-833.33333333333337</v>
      </c>
      <c r="H236" s="2">
        <f ca="1">IF(Flag_Send_Data=1,_xll.DBSW(Val!H236,Val!$C$1,Val!$C$2,Val!$C$3,Val!$C$4,Val!$D236,Val!$C$5,Val!$C$6,Val!$B236,Val!$E236,Val!H$10,Val!$C$7,Val!$C236),"")</f>
        <v>-833.33333333333337</v>
      </c>
      <c r="I236" s="2">
        <f ca="1">IF(Flag_Send_Data=1,_xll.DBSW(Val!I236,Val!$C$1,Val!$C$2,Val!$C$3,Val!$C$4,Val!$D236,Val!$C$5,Val!$C$6,Val!$B236,Val!$E236,Val!I$10,Val!$C$7,Val!$C236),"")</f>
        <v>-833.33333333333337</v>
      </c>
      <c r="J236" s="2">
        <f ca="1">IF(Flag_Send_Data=1,_xll.DBSW(Val!J236,Val!$C$1,Val!$C$2,Val!$C$3,Val!$C$4,Val!$D236,Val!$C$5,Val!$C$6,Val!$B236,Val!$E236,Val!J$10,Val!$C$7,Val!$C236),"")</f>
        <v>-833.33333333333337</v>
      </c>
      <c r="K236" s="2">
        <f ca="1">IF(Flag_Send_Data=1,_xll.DBSW(Val!K236,Val!$C$1,Val!$C$2,Val!$C$3,Val!$C$4,Val!$D236,Val!$C$5,Val!$C$6,Val!$B236,Val!$E236,Val!K$10,Val!$C$7,Val!$C236),"")</f>
        <v>-833.33333333333337</v>
      </c>
      <c r="L236" s="2">
        <f ca="1">IF(Flag_Send_Data=1,_xll.DBSW(Val!L236,Val!$C$1,Val!$C$2,Val!$C$3,Val!$C$4,Val!$D236,Val!$C$5,Val!$C$6,Val!$B236,Val!$E236,Val!L$10,Val!$C$7,Val!$C236),"")</f>
        <v>-833.33333333333337</v>
      </c>
      <c r="M236" s="2">
        <f ca="1">IF(Flag_Send_Data=1,_xll.DBSW(Val!M236,Val!$C$1,Val!$C$2,Val!$C$3,Val!$C$4,Val!$D236,Val!$C$5,Val!$C$6,Val!$B236,Val!$E236,Val!M$10,Val!$C$7,Val!$C236),"")</f>
        <v>-833.33333333333337</v>
      </c>
      <c r="N236" s="2">
        <f ca="1">IF(Flag_Send_Data=1,_xll.DBSW(Val!N236,Val!$C$1,Val!$C$2,Val!$C$3,Val!$C$4,Val!$D236,Val!$C$5,Val!$C$6,Val!$B236,Val!$E236,Val!N$10,Val!$C$7,Val!$C236),"")</f>
        <v>-833.33333333333337</v>
      </c>
      <c r="O236" s="2">
        <f ca="1">IF(Flag_Send_Data=1,_xll.DBSW(Val!O236,Val!$C$1,Val!$C$2,Val!$C$3,Val!$C$4,Val!$D236,Val!$C$5,Val!$C$6,Val!$B236,Val!$E236,Val!O$10,Val!$C$7,Val!$C236),"")</f>
        <v>-833.33333333333337</v>
      </c>
      <c r="P236" s="2">
        <f ca="1">IF(Flag_Send_Data=1,_xll.DBSW(Val!P236,Val!$C$1,Val!$C$2,Val!$C$3,Val!$C$4,Val!$D236,Val!$C$5,Val!$C$6,Val!$B236,Val!$E236,Val!P$10,Val!$C$7,Val!$C236),"")</f>
        <v>-833.33333333333337</v>
      </c>
      <c r="Q236" s="2">
        <f ca="1">IF(Flag_Send_Data=1,_xll.DBSW(Val!Q236,Val!$C$1,Val!$C$2,Val!$C$3,Val!$C$4,Val!$D236,Val!$C$5,Val!$C$6,Val!$B236,Val!$E236,Val!Q$10,Val!$C$7,Val!$C236),"")</f>
        <v>-833.33333333333337</v>
      </c>
    </row>
    <row r="237" spans="2:17" x14ac:dyDescent="0.25">
      <c r="B237" s="3" t="s">
        <v>266</v>
      </c>
      <c r="C237" t="s">
        <v>53</v>
      </c>
      <c r="D237" t="s">
        <v>224</v>
      </c>
      <c r="E237" t="s">
        <v>128</v>
      </c>
      <c r="F237" s="2">
        <f ca="1">IF(Flag_Send_Data=1,_xll.DBSW(Val!F237,Val!$C$1,Val!$C$2,Val!$C$3,Val!$C$4,Val!$D237,Val!$C$5,Val!$C$6,Val!$B237,Val!$E237,Val!F$10,Val!$C$7,Val!$C237),"")</f>
        <v>-15583.333333333334</v>
      </c>
      <c r="G237" s="2">
        <f ca="1">IF(Flag_Send_Data=1,_xll.DBSW(Val!G237,Val!$C$1,Val!$C$2,Val!$C$3,Val!$C$4,Val!$D237,Val!$C$5,Val!$C$6,Val!$B237,Val!$E237,Val!G$10,Val!$C$7,Val!$C237),"")</f>
        <v>-15583.333333333334</v>
      </c>
      <c r="H237" s="2">
        <f ca="1">IF(Flag_Send_Data=1,_xll.DBSW(Val!H237,Val!$C$1,Val!$C$2,Val!$C$3,Val!$C$4,Val!$D237,Val!$C$5,Val!$C$6,Val!$B237,Val!$E237,Val!H$10,Val!$C$7,Val!$C237),"")</f>
        <v>-15583.333333333334</v>
      </c>
      <c r="I237" s="2">
        <f ca="1">IF(Flag_Send_Data=1,_xll.DBSW(Val!I237,Val!$C$1,Val!$C$2,Val!$C$3,Val!$C$4,Val!$D237,Val!$C$5,Val!$C$6,Val!$B237,Val!$E237,Val!I$10,Val!$C$7,Val!$C237),"")</f>
        <v>-15583.333333333334</v>
      </c>
      <c r="J237" s="2">
        <f ca="1">IF(Flag_Send_Data=1,_xll.DBSW(Val!J237,Val!$C$1,Val!$C$2,Val!$C$3,Val!$C$4,Val!$D237,Val!$C$5,Val!$C$6,Val!$B237,Val!$E237,Val!J$10,Val!$C$7,Val!$C237),"")</f>
        <v>-15583.333333333334</v>
      </c>
      <c r="K237" s="2">
        <f ca="1">IF(Flag_Send_Data=1,_xll.DBSW(Val!K237,Val!$C$1,Val!$C$2,Val!$C$3,Val!$C$4,Val!$D237,Val!$C$5,Val!$C$6,Val!$B237,Val!$E237,Val!K$10,Val!$C$7,Val!$C237),"")</f>
        <v>-15583.333333333334</v>
      </c>
      <c r="L237" s="2">
        <f ca="1">IF(Flag_Send_Data=1,_xll.DBSW(Val!L237,Val!$C$1,Val!$C$2,Val!$C$3,Val!$C$4,Val!$D237,Val!$C$5,Val!$C$6,Val!$B237,Val!$E237,Val!L$10,Val!$C$7,Val!$C237),"")</f>
        <v>-15583.333333333334</v>
      </c>
      <c r="M237" s="2">
        <f ca="1">IF(Flag_Send_Data=1,_xll.DBSW(Val!M237,Val!$C$1,Val!$C$2,Val!$C$3,Val!$C$4,Val!$D237,Val!$C$5,Val!$C$6,Val!$B237,Val!$E237,Val!M$10,Val!$C$7,Val!$C237),"")</f>
        <v>-15583.333333333334</v>
      </c>
      <c r="N237" s="2">
        <f ca="1">IF(Flag_Send_Data=1,_xll.DBSW(Val!N237,Val!$C$1,Val!$C$2,Val!$C$3,Val!$C$4,Val!$D237,Val!$C$5,Val!$C$6,Val!$B237,Val!$E237,Val!N$10,Val!$C$7,Val!$C237),"")</f>
        <v>-15583.333333333334</v>
      </c>
      <c r="O237" s="2">
        <f ca="1">IF(Flag_Send_Data=1,_xll.DBSW(Val!O237,Val!$C$1,Val!$C$2,Val!$C$3,Val!$C$4,Val!$D237,Val!$C$5,Val!$C$6,Val!$B237,Val!$E237,Val!O$10,Val!$C$7,Val!$C237),"")</f>
        <v>-15583.333333333334</v>
      </c>
      <c r="P237" s="2">
        <f ca="1">IF(Flag_Send_Data=1,_xll.DBSW(Val!P237,Val!$C$1,Val!$C$2,Val!$C$3,Val!$C$4,Val!$D237,Val!$C$5,Val!$C$6,Val!$B237,Val!$E237,Val!P$10,Val!$C$7,Val!$C237),"")</f>
        <v>-15583.333333333334</v>
      </c>
      <c r="Q237" s="2">
        <f ca="1">IF(Flag_Send_Data=1,_xll.DBSW(Val!Q237,Val!$C$1,Val!$C$2,Val!$C$3,Val!$C$4,Val!$D237,Val!$C$5,Val!$C$6,Val!$B237,Val!$E237,Val!Q$10,Val!$C$7,Val!$C237),"")</f>
        <v>-15583.333333333334</v>
      </c>
    </row>
    <row r="238" spans="2:17" x14ac:dyDescent="0.25">
      <c r="B238" s="3" t="s">
        <v>266</v>
      </c>
      <c r="C238" t="s">
        <v>54</v>
      </c>
      <c r="D238" t="s">
        <v>199</v>
      </c>
      <c r="E238" t="s">
        <v>128</v>
      </c>
      <c r="F238" s="2">
        <f ca="1">IF(Flag_Send_Data=1,_xll.DBSW(Val!F238,Val!$C$1,Val!$C$2,Val!$C$3,Val!$C$4,Val!$D238,Val!$C$5,Val!$C$6,Val!$B238,Val!$E238,Val!F$10,Val!$C$7,Val!$C238),"")</f>
        <v>-166.66666666666666</v>
      </c>
      <c r="G238" s="2">
        <f ca="1">IF(Flag_Send_Data=1,_xll.DBSW(Val!G238,Val!$C$1,Val!$C$2,Val!$C$3,Val!$C$4,Val!$D238,Val!$C$5,Val!$C$6,Val!$B238,Val!$E238,Val!G$10,Val!$C$7,Val!$C238),"")</f>
        <v>-166.66666666666666</v>
      </c>
      <c r="H238" s="2">
        <f ca="1">IF(Flag_Send_Data=1,_xll.DBSW(Val!H238,Val!$C$1,Val!$C$2,Val!$C$3,Val!$C$4,Val!$D238,Val!$C$5,Val!$C$6,Val!$B238,Val!$E238,Val!H$10,Val!$C$7,Val!$C238),"")</f>
        <v>-166.66666666666666</v>
      </c>
      <c r="I238" s="2">
        <f ca="1">IF(Flag_Send_Data=1,_xll.DBSW(Val!I238,Val!$C$1,Val!$C$2,Val!$C$3,Val!$C$4,Val!$D238,Val!$C$5,Val!$C$6,Val!$B238,Val!$E238,Val!I$10,Val!$C$7,Val!$C238),"")</f>
        <v>-166.66666666666666</v>
      </c>
      <c r="J238" s="2">
        <f ca="1">IF(Flag_Send_Data=1,_xll.DBSW(Val!J238,Val!$C$1,Val!$C$2,Val!$C$3,Val!$C$4,Val!$D238,Val!$C$5,Val!$C$6,Val!$B238,Val!$E238,Val!J$10,Val!$C$7,Val!$C238),"")</f>
        <v>-166.66666666666666</v>
      </c>
      <c r="K238" s="2">
        <f ca="1">IF(Flag_Send_Data=1,_xll.DBSW(Val!K238,Val!$C$1,Val!$C$2,Val!$C$3,Val!$C$4,Val!$D238,Val!$C$5,Val!$C$6,Val!$B238,Val!$E238,Val!K$10,Val!$C$7,Val!$C238),"")</f>
        <v>-166.66666666666666</v>
      </c>
      <c r="L238" s="2">
        <f ca="1">IF(Flag_Send_Data=1,_xll.DBSW(Val!L238,Val!$C$1,Val!$C$2,Val!$C$3,Val!$C$4,Val!$D238,Val!$C$5,Val!$C$6,Val!$B238,Val!$E238,Val!L$10,Val!$C$7,Val!$C238),"")</f>
        <v>-166.66666666666666</v>
      </c>
      <c r="M238" s="2">
        <f ca="1">IF(Flag_Send_Data=1,_xll.DBSW(Val!M238,Val!$C$1,Val!$C$2,Val!$C$3,Val!$C$4,Val!$D238,Val!$C$5,Val!$C$6,Val!$B238,Val!$E238,Val!M$10,Val!$C$7,Val!$C238),"")</f>
        <v>-166.66666666666666</v>
      </c>
      <c r="N238" s="2">
        <f ca="1">IF(Flag_Send_Data=1,_xll.DBSW(Val!N238,Val!$C$1,Val!$C$2,Val!$C$3,Val!$C$4,Val!$D238,Val!$C$5,Val!$C$6,Val!$B238,Val!$E238,Val!N$10,Val!$C$7,Val!$C238),"")</f>
        <v>-166.66666666666666</v>
      </c>
      <c r="O238" s="2">
        <f ca="1">IF(Flag_Send_Data=1,_xll.DBSW(Val!O238,Val!$C$1,Val!$C$2,Val!$C$3,Val!$C$4,Val!$D238,Val!$C$5,Val!$C$6,Val!$B238,Val!$E238,Val!O$10,Val!$C$7,Val!$C238),"")</f>
        <v>-166.66666666666666</v>
      </c>
      <c r="P238" s="2">
        <f ca="1">IF(Flag_Send_Data=1,_xll.DBSW(Val!P238,Val!$C$1,Val!$C$2,Val!$C$3,Val!$C$4,Val!$D238,Val!$C$5,Val!$C$6,Val!$B238,Val!$E238,Val!P$10,Val!$C$7,Val!$C238),"")</f>
        <v>-166.66666666666666</v>
      </c>
      <c r="Q238" s="2">
        <f ca="1">IF(Flag_Send_Data=1,_xll.DBSW(Val!Q238,Val!$C$1,Val!$C$2,Val!$C$3,Val!$C$4,Val!$D238,Val!$C$5,Val!$C$6,Val!$B238,Val!$E238,Val!Q$10,Val!$C$7,Val!$C238),"")</f>
        <v>-166.66666666666666</v>
      </c>
    </row>
    <row r="239" spans="2:17" x14ac:dyDescent="0.25">
      <c r="B239" s="3" t="s">
        <v>266</v>
      </c>
      <c r="C239" t="s">
        <v>100</v>
      </c>
      <c r="D239" t="s">
        <v>199</v>
      </c>
      <c r="E239" t="s">
        <v>14</v>
      </c>
      <c r="F239" s="2">
        <f ca="1">IF(Flag_Send_Data=1,_xll.DBSW(Val!F239,Val!$C$1,Val!$C$2,Val!$C$3,Val!$C$4,Val!$D239,Val!$C$5,Val!$C$6,Val!$B239,Val!$E239,Val!F$10,Val!$C$7,Val!$C239),"")</f>
        <v>19889.808333333334</v>
      </c>
      <c r="G239" s="2">
        <f ca="1">IF(Flag_Send_Data=1,_xll.DBSW(Val!G239,Val!$C$1,Val!$C$2,Val!$C$3,Val!$C$4,Val!$D239,Val!$C$5,Val!$C$6,Val!$B239,Val!$E239,Val!G$10,Val!$C$7,Val!$C239),"")</f>
        <v>19889.808333333334</v>
      </c>
      <c r="H239" s="2">
        <f ca="1">IF(Flag_Send_Data=1,_xll.DBSW(Val!H239,Val!$C$1,Val!$C$2,Val!$C$3,Val!$C$4,Val!$D239,Val!$C$5,Val!$C$6,Val!$B239,Val!$E239,Val!H$10,Val!$C$7,Val!$C239),"")</f>
        <v>19889.808333333334</v>
      </c>
      <c r="I239" s="2">
        <f ca="1">IF(Flag_Send_Data=1,_xll.DBSW(Val!I239,Val!$C$1,Val!$C$2,Val!$C$3,Val!$C$4,Val!$D239,Val!$C$5,Val!$C$6,Val!$B239,Val!$E239,Val!I$10,Val!$C$7,Val!$C239),"")</f>
        <v>19889.808333333334</v>
      </c>
      <c r="J239" s="2">
        <f ca="1">IF(Flag_Send_Data=1,_xll.DBSW(Val!J239,Val!$C$1,Val!$C$2,Val!$C$3,Val!$C$4,Val!$D239,Val!$C$5,Val!$C$6,Val!$B239,Val!$E239,Val!J$10,Val!$C$7,Val!$C239),"")</f>
        <v>19889.808333333334</v>
      </c>
      <c r="K239" s="2">
        <f ca="1">IF(Flag_Send_Data=1,_xll.DBSW(Val!K239,Val!$C$1,Val!$C$2,Val!$C$3,Val!$C$4,Val!$D239,Val!$C$5,Val!$C$6,Val!$B239,Val!$E239,Val!K$10,Val!$C$7,Val!$C239),"")</f>
        <v>19889.808333333334</v>
      </c>
      <c r="L239" s="2">
        <f ca="1">IF(Flag_Send_Data=1,_xll.DBSW(Val!L239,Val!$C$1,Val!$C$2,Val!$C$3,Val!$C$4,Val!$D239,Val!$C$5,Val!$C$6,Val!$B239,Val!$E239,Val!L$10,Val!$C$7,Val!$C239),"")</f>
        <v>19889.808333333334</v>
      </c>
      <c r="M239" s="2">
        <f ca="1">IF(Flag_Send_Data=1,_xll.DBSW(Val!M239,Val!$C$1,Val!$C$2,Val!$C$3,Val!$C$4,Val!$D239,Val!$C$5,Val!$C$6,Val!$B239,Val!$E239,Val!M$10,Val!$C$7,Val!$C239),"")</f>
        <v>19889.808333333334</v>
      </c>
      <c r="N239" s="2">
        <f ca="1">IF(Flag_Send_Data=1,_xll.DBSW(Val!N239,Val!$C$1,Val!$C$2,Val!$C$3,Val!$C$4,Val!$D239,Val!$C$5,Val!$C$6,Val!$B239,Val!$E239,Val!N$10,Val!$C$7,Val!$C239),"")</f>
        <v>19889.808333333334</v>
      </c>
      <c r="O239" s="2">
        <f ca="1">IF(Flag_Send_Data=1,_xll.DBSW(Val!O239,Val!$C$1,Val!$C$2,Val!$C$3,Val!$C$4,Val!$D239,Val!$C$5,Val!$C$6,Val!$B239,Val!$E239,Val!O$10,Val!$C$7,Val!$C239),"")</f>
        <v>19889.808333333334</v>
      </c>
      <c r="P239" s="2">
        <f ca="1">IF(Flag_Send_Data=1,_xll.DBSW(Val!P239,Val!$C$1,Val!$C$2,Val!$C$3,Val!$C$4,Val!$D239,Val!$C$5,Val!$C$6,Val!$B239,Val!$E239,Val!P$10,Val!$C$7,Val!$C239),"")</f>
        <v>19889.808333333334</v>
      </c>
      <c r="Q239" s="2">
        <f ca="1">IF(Flag_Send_Data=1,_xll.DBSW(Val!Q239,Val!$C$1,Val!$C$2,Val!$C$3,Val!$C$4,Val!$D239,Val!$C$5,Val!$C$6,Val!$B239,Val!$E239,Val!Q$10,Val!$C$7,Val!$C239),"")</f>
        <v>19889.808333333334</v>
      </c>
    </row>
    <row r="240" spans="2:17" x14ac:dyDescent="0.25">
      <c r="B240" s="3" t="s">
        <v>267</v>
      </c>
      <c r="C240" t="s">
        <v>51</v>
      </c>
      <c r="D240" t="s">
        <v>199</v>
      </c>
      <c r="E240" t="s">
        <v>128</v>
      </c>
      <c r="F240" s="2">
        <f ca="1">IF(Flag_Send_Data=1,_xll.DBSW(Val!F240,Val!$C$1,Val!$C$2,Val!$C$3,Val!$C$4,Val!$D240,Val!$C$5,Val!$C$6,Val!$B240,Val!$E240,Val!F$10,Val!$C$7,Val!$C240),"")</f>
        <v>-41820.084999999999</v>
      </c>
      <c r="G240" s="2">
        <f ca="1">IF(Flag_Send_Data=1,_xll.DBSW(Val!G240,Val!$C$1,Val!$C$2,Val!$C$3,Val!$C$4,Val!$D240,Val!$C$5,Val!$C$6,Val!$B240,Val!$E240,Val!G$10,Val!$C$7,Val!$C240),"")</f>
        <v>-41820.084999999999</v>
      </c>
      <c r="H240" s="2">
        <f ca="1">IF(Flag_Send_Data=1,_xll.DBSW(Val!H240,Val!$C$1,Val!$C$2,Val!$C$3,Val!$C$4,Val!$D240,Val!$C$5,Val!$C$6,Val!$B240,Val!$E240,Val!H$10,Val!$C$7,Val!$C240),"")</f>
        <v>-41820.084999999999</v>
      </c>
      <c r="I240" s="2">
        <f ca="1">IF(Flag_Send_Data=1,_xll.DBSW(Val!I240,Val!$C$1,Val!$C$2,Val!$C$3,Val!$C$4,Val!$D240,Val!$C$5,Val!$C$6,Val!$B240,Val!$E240,Val!I$10,Val!$C$7,Val!$C240),"")</f>
        <v>-41820.084999999999</v>
      </c>
      <c r="J240" s="2">
        <f ca="1">IF(Flag_Send_Data=1,_xll.DBSW(Val!J240,Val!$C$1,Val!$C$2,Val!$C$3,Val!$C$4,Val!$D240,Val!$C$5,Val!$C$6,Val!$B240,Val!$E240,Val!J$10,Val!$C$7,Val!$C240),"")</f>
        <v>-41820.084999999999</v>
      </c>
      <c r="K240" s="2">
        <f ca="1">IF(Flag_Send_Data=1,_xll.DBSW(Val!K240,Val!$C$1,Val!$C$2,Val!$C$3,Val!$C$4,Val!$D240,Val!$C$5,Val!$C$6,Val!$B240,Val!$E240,Val!K$10,Val!$C$7,Val!$C240),"")</f>
        <v>-41820.084999999999</v>
      </c>
      <c r="L240" s="2">
        <f ca="1">IF(Flag_Send_Data=1,_xll.DBSW(Val!L240,Val!$C$1,Val!$C$2,Val!$C$3,Val!$C$4,Val!$D240,Val!$C$5,Val!$C$6,Val!$B240,Val!$E240,Val!L$10,Val!$C$7,Val!$C240),"")</f>
        <v>-41820.084999999999</v>
      </c>
      <c r="M240" s="2">
        <f ca="1">IF(Flag_Send_Data=1,_xll.DBSW(Val!M240,Val!$C$1,Val!$C$2,Val!$C$3,Val!$C$4,Val!$D240,Val!$C$5,Val!$C$6,Val!$B240,Val!$E240,Val!M$10,Val!$C$7,Val!$C240),"")</f>
        <v>-41820.084999999999</v>
      </c>
      <c r="N240" s="2">
        <f ca="1">IF(Flag_Send_Data=1,_xll.DBSW(Val!N240,Val!$C$1,Val!$C$2,Val!$C$3,Val!$C$4,Val!$D240,Val!$C$5,Val!$C$6,Val!$B240,Val!$E240,Val!N$10,Val!$C$7,Val!$C240),"")</f>
        <v>-41820.084999999999</v>
      </c>
      <c r="O240" s="2">
        <f ca="1">IF(Flag_Send_Data=1,_xll.DBSW(Val!O240,Val!$C$1,Val!$C$2,Val!$C$3,Val!$C$4,Val!$D240,Val!$C$5,Val!$C$6,Val!$B240,Val!$E240,Val!O$10,Val!$C$7,Val!$C240),"")</f>
        <v>-41820.084999999999</v>
      </c>
      <c r="P240" s="2">
        <f ca="1">IF(Flag_Send_Data=1,_xll.DBSW(Val!P240,Val!$C$1,Val!$C$2,Val!$C$3,Val!$C$4,Val!$D240,Val!$C$5,Val!$C$6,Val!$B240,Val!$E240,Val!P$10,Val!$C$7,Val!$C240),"")</f>
        <v>-41820.084999999999</v>
      </c>
      <c r="Q240" s="2">
        <f ca="1">IF(Flag_Send_Data=1,_xll.DBSW(Val!Q240,Val!$C$1,Val!$C$2,Val!$C$3,Val!$C$4,Val!$D240,Val!$C$5,Val!$C$6,Val!$B240,Val!$E240,Val!Q$10,Val!$C$7,Val!$C240),"")</f>
        <v>-41820.084999999999</v>
      </c>
    </row>
    <row r="241" spans="2:17" x14ac:dyDescent="0.25">
      <c r="B241" s="3" t="s">
        <v>267</v>
      </c>
      <c r="C241" t="s">
        <v>52</v>
      </c>
      <c r="D241" t="s">
        <v>199</v>
      </c>
      <c r="E241" t="s">
        <v>128</v>
      </c>
      <c r="F241" s="2">
        <f ca="1">IF(Flag_Send_Data=1,_xll.DBSW(Val!F241,Val!$C$1,Val!$C$2,Val!$C$3,Val!$C$4,Val!$D241,Val!$C$5,Val!$C$6,Val!$B241,Val!$E241,Val!F$10,Val!$C$7,Val!$C241),"")</f>
        <v>-833.33333333333337</v>
      </c>
      <c r="G241" s="2">
        <f ca="1">IF(Flag_Send_Data=1,_xll.DBSW(Val!G241,Val!$C$1,Val!$C$2,Val!$C$3,Val!$C$4,Val!$D241,Val!$C$5,Val!$C$6,Val!$B241,Val!$E241,Val!G$10,Val!$C$7,Val!$C241),"")</f>
        <v>-833.33333333333337</v>
      </c>
      <c r="H241" s="2">
        <f ca="1">IF(Flag_Send_Data=1,_xll.DBSW(Val!H241,Val!$C$1,Val!$C$2,Val!$C$3,Val!$C$4,Val!$D241,Val!$C$5,Val!$C$6,Val!$B241,Val!$E241,Val!H$10,Val!$C$7,Val!$C241),"")</f>
        <v>-833.33333333333337</v>
      </c>
      <c r="I241" s="2">
        <f ca="1">IF(Flag_Send_Data=1,_xll.DBSW(Val!I241,Val!$C$1,Val!$C$2,Val!$C$3,Val!$C$4,Val!$D241,Val!$C$5,Val!$C$6,Val!$B241,Val!$E241,Val!I$10,Val!$C$7,Val!$C241),"")</f>
        <v>-833.33333333333337</v>
      </c>
      <c r="J241" s="2">
        <f ca="1">IF(Flag_Send_Data=1,_xll.DBSW(Val!J241,Val!$C$1,Val!$C$2,Val!$C$3,Val!$C$4,Val!$D241,Val!$C$5,Val!$C$6,Val!$B241,Val!$E241,Val!J$10,Val!$C$7,Val!$C241),"")</f>
        <v>-833.33333333333337</v>
      </c>
      <c r="K241" s="2">
        <f ca="1">IF(Flag_Send_Data=1,_xll.DBSW(Val!K241,Val!$C$1,Val!$C$2,Val!$C$3,Val!$C$4,Val!$D241,Val!$C$5,Val!$C$6,Val!$B241,Val!$E241,Val!K$10,Val!$C$7,Val!$C241),"")</f>
        <v>-833.33333333333337</v>
      </c>
      <c r="L241" s="2">
        <f ca="1">IF(Flag_Send_Data=1,_xll.DBSW(Val!L241,Val!$C$1,Val!$C$2,Val!$C$3,Val!$C$4,Val!$D241,Val!$C$5,Val!$C$6,Val!$B241,Val!$E241,Val!L$10,Val!$C$7,Val!$C241),"")</f>
        <v>-833.33333333333337</v>
      </c>
      <c r="M241" s="2">
        <f ca="1">IF(Flag_Send_Data=1,_xll.DBSW(Val!M241,Val!$C$1,Val!$C$2,Val!$C$3,Val!$C$4,Val!$D241,Val!$C$5,Val!$C$6,Val!$B241,Val!$E241,Val!M$10,Val!$C$7,Val!$C241),"")</f>
        <v>-833.33333333333337</v>
      </c>
      <c r="N241" s="2">
        <f ca="1">IF(Flag_Send_Data=1,_xll.DBSW(Val!N241,Val!$C$1,Val!$C$2,Val!$C$3,Val!$C$4,Val!$D241,Val!$C$5,Val!$C$6,Val!$B241,Val!$E241,Val!N$10,Val!$C$7,Val!$C241),"")</f>
        <v>-833.33333333333337</v>
      </c>
      <c r="O241" s="2">
        <f ca="1">IF(Flag_Send_Data=1,_xll.DBSW(Val!O241,Val!$C$1,Val!$C$2,Val!$C$3,Val!$C$4,Val!$D241,Val!$C$5,Val!$C$6,Val!$B241,Val!$E241,Val!O$10,Val!$C$7,Val!$C241),"")</f>
        <v>-833.33333333333337</v>
      </c>
      <c r="P241" s="2">
        <f ca="1">IF(Flag_Send_Data=1,_xll.DBSW(Val!P241,Val!$C$1,Val!$C$2,Val!$C$3,Val!$C$4,Val!$D241,Val!$C$5,Val!$C$6,Val!$B241,Val!$E241,Val!P$10,Val!$C$7,Val!$C241),"")</f>
        <v>-833.33333333333337</v>
      </c>
      <c r="Q241" s="2">
        <f ca="1">IF(Flag_Send_Data=1,_xll.DBSW(Val!Q241,Val!$C$1,Val!$C$2,Val!$C$3,Val!$C$4,Val!$D241,Val!$C$5,Val!$C$6,Val!$B241,Val!$E241,Val!Q$10,Val!$C$7,Val!$C241),"")</f>
        <v>-833.33333333333337</v>
      </c>
    </row>
    <row r="242" spans="2:17" x14ac:dyDescent="0.25">
      <c r="B242" s="3" t="s">
        <v>267</v>
      </c>
      <c r="C242" t="s">
        <v>53</v>
      </c>
      <c r="D242" t="s">
        <v>89</v>
      </c>
      <c r="E242" t="s">
        <v>128</v>
      </c>
      <c r="F242" s="2">
        <f ca="1">IF(Flag_Send_Data=1,_xll.DBSW(Val!F242,Val!$C$1,Val!$C$2,Val!$C$3,Val!$C$4,Val!$D242,Val!$C$5,Val!$C$6,Val!$B242,Val!$E242,Val!F$10,Val!$C$7,Val!$C242),"")</f>
        <v>0</v>
      </c>
      <c r="G242" s="2">
        <f ca="1">IF(Flag_Send_Data=1,_xll.DBSW(Val!G242,Val!$C$1,Val!$C$2,Val!$C$3,Val!$C$4,Val!$D242,Val!$C$5,Val!$C$6,Val!$B242,Val!$E242,Val!G$10,Val!$C$7,Val!$C242),"")</f>
        <v>0</v>
      </c>
      <c r="H242" s="2">
        <f ca="1">IF(Flag_Send_Data=1,_xll.DBSW(Val!H242,Val!$C$1,Val!$C$2,Val!$C$3,Val!$C$4,Val!$D242,Val!$C$5,Val!$C$6,Val!$B242,Val!$E242,Val!H$10,Val!$C$7,Val!$C242),"")</f>
        <v>0</v>
      </c>
      <c r="I242" s="2">
        <f ca="1">IF(Flag_Send_Data=1,_xll.DBSW(Val!I242,Val!$C$1,Val!$C$2,Val!$C$3,Val!$C$4,Val!$D242,Val!$C$5,Val!$C$6,Val!$B242,Val!$E242,Val!I$10,Val!$C$7,Val!$C242),"")</f>
        <v>-61166.666666666664</v>
      </c>
      <c r="J242" s="2">
        <f ca="1">IF(Flag_Send_Data=1,_xll.DBSW(Val!J242,Val!$C$1,Val!$C$2,Val!$C$3,Val!$C$4,Val!$D242,Val!$C$5,Val!$C$6,Val!$B242,Val!$E242,Val!J$10,Val!$C$7,Val!$C242),"")</f>
        <v>-61166.666666666664</v>
      </c>
      <c r="K242" s="2">
        <f ca="1">IF(Flag_Send_Data=1,_xll.DBSW(Val!K242,Val!$C$1,Val!$C$2,Val!$C$3,Val!$C$4,Val!$D242,Val!$C$5,Val!$C$6,Val!$B242,Val!$E242,Val!K$10,Val!$C$7,Val!$C242),"")</f>
        <v>-61166.666666666664</v>
      </c>
      <c r="L242" s="2">
        <f ca="1">IF(Flag_Send_Data=1,_xll.DBSW(Val!L242,Val!$C$1,Val!$C$2,Val!$C$3,Val!$C$4,Val!$D242,Val!$C$5,Val!$C$6,Val!$B242,Val!$E242,Val!L$10,Val!$C$7,Val!$C242),"")</f>
        <v>0</v>
      </c>
      <c r="M242" s="2">
        <f ca="1">IF(Flag_Send_Data=1,_xll.DBSW(Val!M242,Val!$C$1,Val!$C$2,Val!$C$3,Val!$C$4,Val!$D242,Val!$C$5,Val!$C$6,Val!$B242,Val!$E242,Val!M$10,Val!$C$7,Val!$C242),"")</f>
        <v>0</v>
      </c>
      <c r="N242" s="2">
        <f ca="1">IF(Flag_Send_Data=1,_xll.DBSW(Val!N242,Val!$C$1,Val!$C$2,Val!$C$3,Val!$C$4,Val!$D242,Val!$C$5,Val!$C$6,Val!$B242,Val!$E242,Val!N$10,Val!$C$7,Val!$C242),"")</f>
        <v>0</v>
      </c>
      <c r="O242" s="2">
        <f ca="1">IF(Flag_Send_Data=1,_xll.DBSW(Val!O242,Val!$C$1,Val!$C$2,Val!$C$3,Val!$C$4,Val!$D242,Val!$C$5,Val!$C$6,Val!$B242,Val!$E242,Val!O$10,Val!$C$7,Val!$C242),"")</f>
        <v>-61166.666666666664</v>
      </c>
      <c r="P242" s="2">
        <f ca="1">IF(Flag_Send_Data=1,_xll.DBSW(Val!P242,Val!$C$1,Val!$C$2,Val!$C$3,Val!$C$4,Val!$D242,Val!$C$5,Val!$C$6,Val!$B242,Val!$E242,Val!P$10,Val!$C$7,Val!$C242),"")</f>
        <v>-61166.666666666664</v>
      </c>
      <c r="Q242" s="2">
        <f ca="1">IF(Flag_Send_Data=1,_xll.DBSW(Val!Q242,Val!$C$1,Val!$C$2,Val!$C$3,Val!$C$4,Val!$D242,Val!$C$5,Val!$C$6,Val!$B242,Val!$E242,Val!Q$10,Val!$C$7,Val!$C242),"")</f>
        <v>-61166.666666666664</v>
      </c>
    </row>
    <row r="243" spans="2:17" x14ac:dyDescent="0.25">
      <c r="B243" s="3" t="s">
        <v>267</v>
      </c>
      <c r="C243" t="s">
        <v>53</v>
      </c>
      <c r="D243" t="s">
        <v>90</v>
      </c>
      <c r="E243" t="s">
        <v>128</v>
      </c>
      <c r="F243" s="2">
        <f ca="1">IF(Flag_Send_Data=1,_xll.DBSW(Val!F243,Val!$C$1,Val!$C$2,Val!$C$3,Val!$C$4,Val!$D243,Val!$C$5,Val!$C$6,Val!$B243,Val!$E243,Val!F$10,Val!$C$7,Val!$C243),"")</f>
        <v>-32583.333333333332</v>
      </c>
      <c r="G243" s="2">
        <f ca="1">IF(Flag_Send_Data=1,_xll.DBSW(Val!G243,Val!$C$1,Val!$C$2,Val!$C$3,Val!$C$4,Val!$D243,Val!$C$5,Val!$C$6,Val!$B243,Val!$E243,Val!G$10,Val!$C$7,Val!$C243),"")</f>
        <v>-32583.333333333332</v>
      </c>
      <c r="H243" s="2">
        <f ca="1">IF(Flag_Send_Data=1,_xll.DBSW(Val!H243,Val!$C$1,Val!$C$2,Val!$C$3,Val!$C$4,Val!$D243,Val!$C$5,Val!$C$6,Val!$B243,Val!$E243,Val!H$10,Val!$C$7,Val!$C243),"")</f>
        <v>-32583.333333333332</v>
      </c>
      <c r="I243" s="2">
        <f ca="1">IF(Flag_Send_Data=1,_xll.DBSW(Val!I243,Val!$C$1,Val!$C$2,Val!$C$3,Val!$C$4,Val!$D243,Val!$C$5,Val!$C$6,Val!$B243,Val!$E243,Val!I$10,Val!$C$7,Val!$C243),"")</f>
        <v>-105083.33333333333</v>
      </c>
      <c r="J243" s="2">
        <f ca="1">IF(Flag_Send_Data=1,_xll.DBSW(Val!J243,Val!$C$1,Val!$C$2,Val!$C$3,Val!$C$4,Val!$D243,Val!$C$5,Val!$C$6,Val!$B243,Val!$E243,Val!J$10,Val!$C$7,Val!$C243),"")</f>
        <v>-105083.33333333333</v>
      </c>
      <c r="K243" s="2">
        <f ca="1">IF(Flag_Send_Data=1,_xll.DBSW(Val!K243,Val!$C$1,Val!$C$2,Val!$C$3,Val!$C$4,Val!$D243,Val!$C$5,Val!$C$6,Val!$B243,Val!$E243,Val!K$10,Val!$C$7,Val!$C243),"")</f>
        <v>-105083.33333333333</v>
      </c>
      <c r="L243" s="2">
        <f ca="1">IF(Flag_Send_Data=1,_xll.DBSW(Val!L243,Val!$C$1,Val!$C$2,Val!$C$3,Val!$C$4,Val!$D243,Val!$C$5,Val!$C$6,Val!$B243,Val!$E243,Val!L$10,Val!$C$7,Val!$C243),"")</f>
        <v>-32583.333333333332</v>
      </c>
      <c r="M243" s="2">
        <f ca="1">IF(Flag_Send_Data=1,_xll.DBSW(Val!M243,Val!$C$1,Val!$C$2,Val!$C$3,Val!$C$4,Val!$D243,Val!$C$5,Val!$C$6,Val!$B243,Val!$E243,Val!M$10,Val!$C$7,Val!$C243),"")</f>
        <v>-32583.333333333332</v>
      </c>
      <c r="N243" s="2">
        <f ca="1">IF(Flag_Send_Data=1,_xll.DBSW(Val!N243,Val!$C$1,Val!$C$2,Val!$C$3,Val!$C$4,Val!$D243,Val!$C$5,Val!$C$6,Val!$B243,Val!$E243,Val!N$10,Val!$C$7,Val!$C243),"")</f>
        <v>-32583.333333333332</v>
      </c>
      <c r="O243" s="2">
        <f ca="1">IF(Flag_Send_Data=1,_xll.DBSW(Val!O243,Val!$C$1,Val!$C$2,Val!$C$3,Val!$C$4,Val!$D243,Val!$C$5,Val!$C$6,Val!$B243,Val!$E243,Val!O$10,Val!$C$7,Val!$C243),"")</f>
        <v>-97083.333333333328</v>
      </c>
      <c r="P243" s="2">
        <f ca="1">IF(Flag_Send_Data=1,_xll.DBSW(Val!P243,Val!$C$1,Val!$C$2,Val!$C$3,Val!$C$4,Val!$D243,Val!$C$5,Val!$C$6,Val!$B243,Val!$E243,Val!P$10,Val!$C$7,Val!$C243),"")</f>
        <v>-97083.333333333328</v>
      </c>
      <c r="Q243" s="2">
        <f ca="1">IF(Flag_Send_Data=1,_xll.DBSW(Val!Q243,Val!$C$1,Val!$C$2,Val!$C$3,Val!$C$4,Val!$D243,Val!$C$5,Val!$C$6,Val!$B243,Val!$E243,Val!Q$10,Val!$C$7,Val!$C243),"")</f>
        <v>-97083.333333333328</v>
      </c>
    </row>
    <row r="244" spans="2:17" x14ac:dyDescent="0.25">
      <c r="B244" t="s">
        <v>267</v>
      </c>
      <c r="C244" t="s">
        <v>54</v>
      </c>
      <c r="D244" t="s">
        <v>199</v>
      </c>
      <c r="E244" t="s">
        <v>128</v>
      </c>
      <c r="F244" s="2">
        <f ca="1">IF(Flag_Send_Data=1,_xll.DBSW(Val!F244,Val!$C$1,Val!$C$2,Val!$C$3,Val!$C$4,Val!$D244,Val!$C$5,Val!$C$6,Val!$B244,Val!$E244,Val!F$10,Val!$C$7,Val!$C244),"")</f>
        <v>-250</v>
      </c>
      <c r="G244" s="2">
        <f ca="1">IF(Flag_Send_Data=1,_xll.DBSW(Val!G244,Val!$C$1,Val!$C$2,Val!$C$3,Val!$C$4,Val!$D244,Val!$C$5,Val!$C$6,Val!$B244,Val!$E244,Val!G$10,Val!$C$7,Val!$C244),"")</f>
        <v>-250</v>
      </c>
      <c r="H244" s="2">
        <f ca="1">IF(Flag_Send_Data=1,_xll.DBSW(Val!H244,Val!$C$1,Val!$C$2,Val!$C$3,Val!$C$4,Val!$D244,Val!$C$5,Val!$C$6,Val!$B244,Val!$E244,Val!H$10,Val!$C$7,Val!$C244),"")</f>
        <v>-250</v>
      </c>
      <c r="I244" s="2">
        <f ca="1">IF(Flag_Send_Data=1,_xll.DBSW(Val!I244,Val!$C$1,Val!$C$2,Val!$C$3,Val!$C$4,Val!$D244,Val!$C$5,Val!$C$6,Val!$B244,Val!$E244,Val!I$10,Val!$C$7,Val!$C244),"")</f>
        <v>-250</v>
      </c>
      <c r="J244" s="2">
        <f ca="1">IF(Flag_Send_Data=1,_xll.DBSW(Val!J244,Val!$C$1,Val!$C$2,Val!$C$3,Val!$C$4,Val!$D244,Val!$C$5,Val!$C$6,Val!$B244,Val!$E244,Val!J$10,Val!$C$7,Val!$C244),"")</f>
        <v>-250</v>
      </c>
      <c r="K244" s="2">
        <f ca="1">IF(Flag_Send_Data=1,_xll.DBSW(Val!K244,Val!$C$1,Val!$C$2,Val!$C$3,Val!$C$4,Val!$D244,Val!$C$5,Val!$C$6,Val!$B244,Val!$E244,Val!K$10,Val!$C$7,Val!$C244),"")</f>
        <v>-250</v>
      </c>
      <c r="L244" s="2">
        <f ca="1">IF(Flag_Send_Data=1,_xll.DBSW(Val!L244,Val!$C$1,Val!$C$2,Val!$C$3,Val!$C$4,Val!$D244,Val!$C$5,Val!$C$6,Val!$B244,Val!$E244,Val!L$10,Val!$C$7,Val!$C244),"")</f>
        <v>-250</v>
      </c>
      <c r="M244" s="2">
        <f ca="1">IF(Flag_Send_Data=1,_xll.DBSW(Val!M244,Val!$C$1,Val!$C$2,Val!$C$3,Val!$C$4,Val!$D244,Val!$C$5,Val!$C$6,Val!$B244,Val!$E244,Val!M$10,Val!$C$7,Val!$C244),"")</f>
        <v>-250</v>
      </c>
      <c r="N244" s="2">
        <f ca="1">IF(Flag_Send_Data=1,_xll.DBSW(Val!N244,Val!$C$1,Val!$C$2,Val!$C$3,Val!$C$4,Val!$D244,Val!$C$5,Val!$C$6,Val!$B244,Val!$E244,Val!N$10,Val!$C$7,Val!$C244),"")</f>
        <v>-250</v>
      </c>
      <c r="O244" s="2">
        <f ca="1">IF(Flag_Send_Data=1,_xll.DBSW(Val!O244,Val!$C$1,Val!$C$2,Val!$C$3,Val!$C$4,Val!$D244,Val!$C$5,Val!$C$6,Val!$B244,Val!$E244,Val!O$10,Val!$C$7,Val!$C244),"")</f>
        <v>-250</v>
      </c>
      <c r="P244" s="2">
        <f ca="1">IF(Flag_Send_Data=1,_xll.DBSW(Val!P244,Val!$C$1,Val!$C$2,Val!$C$3,Val!$C$4,Val!$D244,Val!$C$5,Val!$C$6,Val!$B244,Val!$E244,Val!P$10,Val!$C$7,Val!$C244),"")</f>
        <v>-250</v>
      </c>
      <c r="Q244" s="2">
        <f ca="1">IF(Flag_Send_Data=1,_xll.DBSW(Val!Q244,Val!$C$1,Val!$C$2,Val!$C$3,Val!$C$4,Val!$D244,Val!$C$5,Val!$C$6,Val!$B244,Val!$E244,Val!Q$10,Val!$C$7,Val!$C244),"")</f>
        <v>-250</v>
      </c>
    </row>
    <row r="245" spans="2:17" x14ac:dyDescent="0.25">
      <c r="B245" s="3" t="s">
        <v>267</v>
      </c>
      <c r="C245" t="s">
        <v>111</v>
      </c>
      <c r="D245" t="s">
        <v>199</v>
      </c>
      <c r="E245" t="s">
        <v>44</v>
      </c>
      <c r="F245" s="2">
        <f ca="1">IF(Flag_Send_Data=1,_xll.DBSW(Val!F245,Val!$C$1,Val!$C$2,Val!$C$3,Val!$C$4,Val!$D245,Val!$C$5,Val!$C$6,Val!$B245,Val!$E245,Val!F$10,Val!$C$7,Val!$C245),"")</f>
        <v>2166.6666666666665</v>
      </c>
      <c r="G245" s="2">
        <f ca="1">IF(Flag_Send_Data=1,_xll.DBSW(Val!G245,Val!$C$1,Val!$C$2,Val!$C$3,Val!$C$4,Val!$D245,Val!$C$5,Val!$C$6,Val!$B245,Val!$E245,Val!G$10,Val!$C$7,Val!$C245),"")</f>
        <v>2166.6666666666665</v>
      </c>
      <c r="H245" s="2">
        <f ca="1">IF(Flag_Send_Data=1,_xll.DBSW(Val!H245,Val!$C$1,Val!$C$2,Val!$C$3,Val!$C$4,Val!$D245,Val!$C$5,Val!$C$6,Val!$B245,Val!$E245,Val!H$10,Val!$C$7,Val!$C245),"")</f>
        <v>2166.6666666666665</v>
      </c>
      <c r="I245" s="2">
        <f ca="1">IF(Flag_Send_Data=1,_xll.DBSW(Val!I245,Val!$C$1,Val!$C$2,Val!$C$3,Val!$C$4,Val!$D245,Val!$C$5,Val!$C$6,Val!$B245,Val!$E245,Val!I$10,Val!$C$7,Val!$C245),"")</f>
        <v>2166.6666666666665</v>
      </c>
      <c r="J245" s="2">
        <f ca="1">IF(Flag_Send_Data=1,_xll.DBSW(Val!J245,Val!$C$1,Val!$C$2,Val!$C$3,Val!$C$4,Val!$D245,Val!$C$5,Val!$C$6,Val!$B245,Val!$E245,Val!J$10,Val!$C$7,Val!$C245),"")</f>
        <v>2166.6666666666665</v>
      </c>
      <c r="K245" s="2">
        <f ca="1">IF(Flag_Send_Data=1,_xll.DBSW(Val!K245,Val!$C$1,Val!$C$2,Val!$C$3,Val!$C$4,Val!$D245,Val!$C$5,Val!$C$6,Val!$B245,Val!$E245,Val!K$10,Val!$C$7,Val!$C245),"")</f>
        <v>2166.6666666666665</v>
      </c>
      <c r="L245" s="2">
        <f ca="1">IF(Flag_Send_Data=1,_xll.DBSW(Val!L245,Val!$C$1,Val!$C$2,Val!$C$3,Val!$C$4,Val!$D245,Val!$C$5,Val!$C$6,Val!$B245,Val!$E245,Val!L$10,Val!$C$7,Val!$C245),"")</f>
        <v>2166.6666666666665</v>
      </c>
      <c r="M245" s="2">
        <f ca="1">IF(Flag_Send_Data=1,_xll.DBSW(Val!M245,Val!$C$1,Val!$C$2,Val!$C$3,Val!$C$4,Val!$D245,Val!$C$5,Val!$C$6,Val!$B245,Val!$E245,Val!M$10,Val!$C$7,Val!$C245),"")</f>
        <v>2166.6666666666665</v>
      </c>
      <c r="N245" s="2">
        <f ca="1">IF(Flag_Send_Data=1,_xll.DBSW(Val!N245,Val!$C$1,Val!$C$2,Val!$C$3,Val!$C$4,Val!$D245,Val!$C$5,Val!$C$6,Val!$B245,Val!$E245,Val!N$10,Val!$C$7,Val!$C245),"")</f>
        <v>2166.6666666666665</v>
      </c>
      <c r="O245" s="2">
        <f ca="1">IF(Flag_Send_Data=1,_xll.DBSW(Val!O245,Val!$C$1,Val!$C$2,Val!$C$3,Val!$C$4,Val!$D245,Val!$C$5,Val!$C$6,Val!$B245,Val!$E245,Val!O$10,Val!$C$7,Val!$C245),"")</f>
        <v>2166.6666666666665</v>
      </c>
      <c r="P245" s="2">
        <f ca="1">IF(Flag_Send_Data=1,_xll.DBSW(Val!P245,Val!$C$1,Val!$C$2,Val!$C$3,Val!$C$4,Val!$D245,Val!$C$5,Val!$C$6,Val!$B245,Val!$E245,Val!P$10,Val!$C$7,Val!$C245),"")</f>
        <v>2166.6666666666665</v>
      </c>
      <c r="Q245" s="2">
        <f ca="1">IF(Flag_Send_Data=1,_xll.DBSW(Val!Q245,Val!$C$1,Val!$C$2,Val!$C$3,Val!$C$4,Val!$D245,Val!$C$5,Val!$C$6,Val!$B245,Val!$E245,Val!Q$10,Val!$C$7,Val!$C245),"")</f>
        <v>2166.6666666666665</v>
      </c>
    </row>
    <row r="246" spans="2:17" x14ac:dyDescent="0.25">
      <c r="B246" s="3" t="s">
        <v>267</v>
      </c>
      <c r="C246" t="s">
        <v>111</v>
      </c>
      <c r="D246" t="s">
        <v>88</v>
      </c>
      <c r="E246" t="s">
        <v>14</v>
      </c>
      <c r="F246" s="2">
        <f ca="1">IF(Flag_Send_Data=1,_xll.DBSW(Val!F246,Val!$C$1,Val!$C$2,Val!$C$3,Val!$C$4,Val!$D246,Val!$C$5,Val!$C$6,Val!$B246,Val!$E246,Val!F$10,Val!$C$7,Val!$C246),"")</f>
        <v>10833.333333333334</v>
      </c>
      <c r="G246" s="2">
        <f ca="1">IF(Flag_Send_Data=1,_xll.DBSW(Val!G246,Val!$C$1,Val!$C$2,Val!$C$3,Val!$C$4,Val!$D246,Val!$C$5,Val!$C$6,Val!$B246,Val!$E246,Val!G$10,Val!$C$7,Val!$C246),"")</f>
        <v>10833.333333333334</v>
      </c>
      <c r="H246" s="2">
        <f ca="1">IF(Flag_Send_Data=1,_xll.DBSW(Val!H246,Val!$C$1,Val!$C$2,Val!$C$3,Val!$C$4,Val!$D246,Val!$C$5,Val!$C$6,Val!$B246,Val!$E246,Val!H$10,Val!$C$7,Val!$C246),"")</f>
        <v>10833.333333333334</v>
      </c>
      <c r="I246" s="2">
        <f ca="1">IF(Flag_Send_Data=1,_xll.DBSW(Val!I246,Val!$C$1,Val!$C$2,Val!$C$3,Val!$C$4,Val!$D246,Val!$C$5,Val!$C$6,Val!$B246,Val!$E246,Val!I$10,Val!$C$7,Val!$C246),"")</f>
        <v>47666.666666666672</v>
      </c>
      <c r="J246" s="2">
        <f ca="1">IF(Flag_Send_Data=1,_xll.DBSW(Val!J246,Val!$C$1,Val!$C$2,Val!$C$3,Val!$C$4,Val!$D246,Val!$C$5,Val!$C$6,Val!$B246,Val!$E246,Val!J$10,Val!$C$7,Val!$C246),"")</f>
        <v>47666.666666666672</v>
      </c>
      <c r="K246" s="2">
        <f ca="1">IF(Flag_Send_Data=1,_xll.DBSW(Val!K246,Val!$C$1,Val!$C$2,Val!$C$3,Val!$C$4,Val!$D246,Val!$C$5,Val!$C$6,Val!$B246,Val!$E246,Val!K$10,Val!$C$7,Val!$C246),"")</f>
        <v>47666.666666666672</v>
      </c>
      <c r="L246" s="2">
        <f ca="1">IF(Flag_Send_Data=1,_xll.DBSW(Val!L246,Val!$C$1,Val!$C$2,Val!$C$3,Val!$C$4,Val!$D246,Val!$C$5,Val!$C$6,Val!$B246,Val!$E246,Val!L$10,Val!$C$7,Val!$C246),"")</f>
        <v>10833.333333333334</v>
      </c>
      <c r="M246" s="2">
        <f ca="1">IF(Flag_Send_Data=1,_xll.DBSW(Val!M246,Val!$C$1,Val!$C$2,Val!$C$3,Val!$C$4,Val!$D246,Val!$C$5,Val!$C$6,Val!$B246,Val!$E246,Val!M$10,Val!$C$7,Val!$C246),"")</f>
        <v>10833.333333333334</v>
      </c>
      <c r="N246" s="2">
        <f ca="1">IF(Flag_Send_Data=1,_xll.DBSW(Val!N246,Val!$C$1,Val!$C$2,Val!$C$3,Val!$C$4,Val!$D246,Val!$C$5,Val!$C$6,Val!$B246,Val!$E246,Val!N$10,Val!$C$7,Val!$C246),"")</f>
        <v>10833.333333333334</v>
      </c>
      <c r="O246" s="2">
        <f ca="1">IF(Flag_Send_Data=1,_xll.DBSW(Val!O246,Val!$C$1,Val!$C$2,Val!$C$3,Val!$C$4,Val!$D246,Val!$C$5,Val!$C$6,Val!$B246,Val!$E246,Val!O$10,Val!$C$7,Val!$C246),"")</f>
        <v>47666.666666666672</v>
      </c>
      <c r="P246" s="2">
        <f ca="1">IF(Flag_Send_Data=1,_xll.DBSW(Val!P246,Val!$C$1,Val!$C$2,Val!$C$3,Val!$C$4,Val!$D246,Val!$C$5,Val!$C$6,Val!$B246,Val!$E246,Val!P$10,Val!$C$7,Val!$C246),"")</f>
        <v>47666.666666666672</v>
      </c>
      <c r="Q246" s="2">
        <f ca="1">IF(Flag_Send_Data=1,_xll.DBSW(Val!Q246,Val!$C$1,Val!$C$2,Val!$C$3,Val!$C$4,Val!$D246,Val!$C$5,Val!$C$6,Val!$B246,Val!$E246,Val!Q$10,Val!$C$7,Val!$C246),"")</f>
        <v>47666.666666666672</v>
      </c>
    </row>
    <row r="247" spans="2:17" x14ac:dyDescent="0.25">
      <c r="B247" s="3" t="s">
        <v>267</v>
      </c>
      <c r="C247" t="s">
        <v>112</v>
      </c>
      <c r="D247" t="s">
        <v>88</v>
      </c>
      <c r="E247" t="s">
        <v>14</v>
      </c>
      <c r="F247" s="2">
        <f ca="1">IF(Flag_Send_Data=1,_xll.DBSW(Val!F247,Val!$C$1,Val!$C$2,Val!$C$3,Val!$C$4,Val!$D247,Val!$C$5,Val!$C$6,Val!$B247,Val!$E247,Val!F$10,Val!$C$7,Val!$C247),"")</f>
        <v>29493.594166666666</v>
      </c>
      <c r="G247" s="2">
        <f ca="1">IF(Flag_Send_Data=1,_xll.DBSW(Val!G247,Val!$C$1,Val!$C$2,Val!$C$3,Val!$C$4,Val!$D247,Val!$C$5,Val!$C$6,Val!$B247,Val!$E247,Val!G$10,Val!$C$7,Val!$C247),"")</f>
        <v>29493.594166666666</v>
      </c>
      <c r="H247" s="2">
        <f ca="1">IF(Flag_Send_Data=1,_xll.DBSW(Val!H247,Val!$C$1,Val!$C$2,Val!$C$3,Val!$C$4,Val!$D247,Val!$C$5,Val!$C$6,Val!$B247,Val!$E247,Val!H$10,Val!$C$7,Val!$C247),"")</f>
        <v>29493.594166666666</v>
      </c>
      <c r="I247" s="2">
        <f ca="1">IF(Flag_Send_Data=1,_xll.DBSW(Val!I247,Val!$C$1,Val!$C$2,Val!$C$3,Val!$C$4,Val!$D247,Val!$C$5,Val!$C$6,Val!$B247,Val!$E247,Val!I$10,Val!$C$7,Val!$C247),"")</f>
        <v>29493.594166666666</v>
      </c>
      <c r="J247" s="2">
        <f ca="1">IF(Flag_Send_Data=1,_xll.DBSW(Val!J247,Val!$C$1,Val!$C$2,Val!$C$3,Val!$C$4,Val!$D247,Val!$C$5,Val!$C$6,Val!$B247,Val!$E247,Val!J$10,Val!$C$7,Val!$C247),"")</f>
        <v>29493.594166666666</v>
      </c>
      <c r="K247" s="2">
        <f ca="1">IF(Flag_Send_Data=1,_xll.DBSW(Val!K247,Val!$C$1,Val!$C$2,Val!$C$3,Val!$C$4,Val!$D247,Val!$C$5,Val!$C$6,Val!$B247,Val!$E247,Val!K$10,Val!$C$7,Val!$C247),"")</f>
        <v>29493.594166666666</v>
      </c>
      <c r="L247" s="2">
        <f ca="1">IF(Flag_Send_Data=1,_xll.DBSW(Val!L247,Val!$C$1,Val!$C$2,Val!$C$3,Val!$C$4,Val!$D247,Val!$C$5,Val!$C$6,Val!$B247,Val!$E247,Val!L$10,Val!$C$7,Val!$C247),"")</f>
        <v>29493.594166666666</v>
      </c>
      <c r="M247" s="2">
        <f ca="1">IF(Flag_Send_Data=1,_xll.DBSW(Val!M247,Val!$C$1,Val!$C$2,Val!$C$3,Val!$C$4,Val!$D247,Val!$C$5,Val!$C$6,Val!$B247,Val!$E247,Val!M$10,Val!$C$7,Val!$C247),"")</f>
        <v>29493.594166666666</v>
      </c>
      <c r="N247" s="2">
        <f ca="1">IF(Flag_Send_Data=1,_xll.DBSW(Val!N247,Val!$C$1,Val!$C$2,Val!$C$3,Val!$C$4,Val!$D247,Val!$C$5,Val!$C$6,Val!$B247,Val!$E247,Val!N$10,Val!$C$7,Val!$C247),"")</f>
        <v>29493.594166666666</v>
      </c>
      <c r="O247" s="2">
        <f ca="1">IF(Flag_Send_Data=1,_xll.DBSW(Val!O247,Val!$C$1,Val!$C$2,Val!$C$3,Val!$C$4,Val!$D247,Val!$C$5,Val!$C$6,Val!$B247,Val!$E247,Val!O$10,Val!$C$7,Val!$C247),"")</f>
        <v>29493.594166666666</v>
      </c>
      <c r="P247" s="2">
        <f ca="1">IF(Flag_Send_Data=1,_xll.DBSW(Val!P247,Val!$C$1,Val!$C$2,Val!$C$3,Val!$C$4,Val!$D247,Val!$C$5,Val!$C$6,Val!$B247,Val!$E247,Val!P$10,Val!$C$7,Val!$C247),"")</f>
        <v>29493.594166666666</v>
      </c>
      <c r="Q247" s="2">
        <f ca="1">IF(Flag_Send_Data=1,_xll.DBSW(Val!Q247,Val!$C$1,Val!$C$2,Val!$C$3,Val!$C$4,Val!$D247,Val!$C$5,Val!$C$6,Val!$B247,Val!$E247,Val!Q$10,Val!$C$7,Val!$C247),"")</f>
        <v>29493.594166666666</v>
      </c>
    </row>
    <row r="248" spans="2:17" x14ac:dyDescent="0.25">
      <c r="B248" s="3" t="s">
        <v>268</v>
      </c>
      <c r="C248" t="s">
        <v>51</v>
      </c>
      <c r="D248" t="s">
        <v>199</v>
      </c>
      <c r="E248" t="s">
        <v>128</v>
      </c>
      <c r="F248" s="2">
        <f ca="1">IF(Flag_Send_Data=1,_xll.DBSW(Val!F248,Val!$C$1,Val!$C$2,Val!$C$3,Val!$C$4,Val!$D248,Val!$C$5,Val!$C$6,Val!$B248,Val!$E248,Val!F$10,Val!$C$7,Val!$C248),"")</f>
        <v>-24353.34</v>
      </c>
      <c r="G248" s="2">
        <f ca="1">IF(Flag_Send_Data=1,_xll.DBSW(Val!G248,Val!$C$1,Val!$C$2,Val!$C$3,Val!$C$4,Val!$D248,Val!$C$5,Val!$C$6,Val!$B248,Val!$E248,Val!G$10,Val!$C$7,Val!$C248),"")</f>
        <v>-24353.34</v>
      </c>
      <c r="H248" s="2">
        <f ca="1">IF(Flag_Send_Data=1,_xll.DBSW(Val!H248,Val!$C$1,Val!$C$2,Val!$C$3,Val!$C$4,Val!$D248,Val!$C$5,Val!$C$6,Val!$B248,Val!$E248,Val!H$10,Val!$C$7,Val!$C248),"")</f>
        <v>-24353.34</v>
      </c>
      <c r="I248" s="2">
        <f ca="1">IF(Flag_Send_Data=1,_xll.DBSW(Val!I248,Val!$C$1,Val!$C$2,Val!$C$3,Val!$C$4,Val!$D248,Val!$C$5,Val!$C$6,Val!$B248,Val!$E248,Val!I$10,Val!$C$7,Val!$C248),"")</f>
        <v>-24353.34</v>
      </c>
      <c r="J248" s="2">
        <f ca="1">IF(Flag_Send_Data=1,_xll.DBSW(Val!J248,Val!$C$1,Val!$C$2,Val!$C$3,Val!$C$4,Val!$D248,Val!$C$5,Val!$C$6,Val!$B248,Val!$E248,Val!J$10,Val!$C$7,Val!$C248),"")</f>
        <v>-24353.34</v>
      </c>
      <c r="K248" s="2">
        <f ca="1">IF(Flag_Send_Data=1,_xll.DBSW(Val!K248,Val!$C$1,Val!$C$2,Val!$C$3,Val!$C$4,Val!$D248,Val!$C$5,Val!$C$6,Val!$B248,Val!$E248,Val!K$10,Val!$C$7,Val!$C248),"")</f>
        <v>-24353.34</v>
      </c>
      <c r="L248" s="2">
        <f ca="1">IF(Flag_Send_Data=1,_xll.DBSW(Val!L248,Val!$C$1,Val!$C$2,Val!$C$3,Val!$C$4,Val!$D248,Val!$C$5,Val!$C$6,Val!$B248,Val!$E248,Val!L$10,Val!$C$7,Val!$C248),"")</f>
        <v>-24353.34</v>
      </c>
      <c r="M248" s="2">
        <f ca="1">IF(Flag_Send_Data=1,_xll.DBSW(Val!M248,Val!$C$1,Val!$C$2,Val!$C$3,Val!$C$4,Val!$D248,Val!$C$5,Val!$C$6,Val!$B248,Val!$E248,Val!M$10,Val!$C$7,Val!$C248),"")</f>
        <v>-24353.34</v>
      </c>
      <c r="N248" s="2">
        <f ca="1">IF(Flag_Send_Data=1,_xll.DBSW(Val!N248,Val!$C$1,Val!$C$2,Val!$C$3,Val!$C$4,Val!$D248,Val!$C$5,Val!$C$6,Val!$B248,Val!$E248,Val!N$10,Val!$C$7,Val!$C248),"")</f>
        <v>-24353.34</v>
      </c>
      <c r="O248" s="2">
        <f ca="1">IF(Flag_Send_Data=1,_xll.DBSW(Val!O248,Val!$C$1,Val!$C$2,Val!$C$3,Val!$C$4,Val!$D248,Val!$C$5,Val!$C$6,Val!$B248,Val!$E248,Val!O$10,Val!$C$7,Val!$C248),"")</f>
        <v>-24353.34</v>
      </c>
      <c r="P248" s="2">
        <f ca="1">IF(Flag_Send_Data=1,_xll.DBSW(Val!P248,Val!$C$1,Val!$C$2,Val!$C$3,Val!$C$4,Val!$D248,Val!$C$5,Val!$C$6,Val!$B248,Val!$E248,Val!P$10,Val!$C$7,Val!$C248),"")</f>
        <v>-24353.34</v>
      </c>
      <c r="Q248" s="2">
        <f ca="1">IF(Flag_Send_Data=1,_xll.DBSW(Val!Q248,Val!$C$1,Val!$C$2,Val!$C$3,Val!$C$4,Val!$D248,Val!$C$5,Val!$C$6,Val!$B248,Val!$E248,Val!Q$10,Val!$C$7,Val!$C248),"")</f>
        <v>-24353.34</v>
      </c>
    </row>
    <row r="249" spans="2:17" x14ac:dyDescent="0.25">
      <c r="B249" s="3" t="s">
        <v>268</v>
      </c>
      <c r="C249" t="s">
        <v>52</v>
      </c>
      <c r="D249" t="s">
        <v>199</v>
      </c>
      <c r="E249" t="s">
        <v>128</v>
      </c>
      <c r="F249" s="2">
        <f ca="1">IF(Flag_Send_Data=1,_xll.DBSW(Val!F249,Val!$C$1,Val!$C$2,Val!$C$3,Val!$C$4,Val!$D249,Val!$C$5,Val!$C$6,Val!$B249,Val!$E249,Val!F$10,Val!$C$7,Val!$C249),"")</f>
        <v>-416.66666666666669</v>
      </c>
      <c r="G249" s="2">
        <f ca="1">IF(Flag_Send_Data=1,_xll.DBSW(Val!G249,Val!$C$1,Val!$C$2,Val!$C$3,Val!$C$4,Val!$D249,Val!$C$5,Val!$C$6,Val!$B249,Val!$E249,Val!G$10,Val!$C$7,Val!$C249),"")</f>
        <v>-416.66666666666669</v>
      </c>
      <c r="H249" s="2">
        <f ca="1">IF(Flag_Send_Data=1,_xll.DBSW(Val!H249,Val!$C$1,Val!$C$2,Val!$C$3,Val!$C$4,Val!$D249,Val!$C$5,Val!$C$6,Val!$B249,Val!$E249,Val!H$10,Val!$C$7,Val!$C249),"")</f>
        <v>-416.66666666666669</v>
      </c>
      <c r="I249" s="2">
        <f ca="1">IF(Flag_Send_Data=1,_xll.DBSW(Val!I249,Val!$C$1,Val!$C$2,Val!$C$3,Val!$C$4,Val!$D249,Val!$C$5,Val!$C$6,Val!$B249,Val!$E249,Val!I$10,Val!$C$7,Val!$C249),"")</f>
        <v>-416.66666666666669</v>
      </c>
      <c r="J249" s="2">
        <f ca="1">IF(Flag_Send_Data=1,_xll.DBSW(Val!J249,Val!$C$1,Val!$C$2,Val!$C$3,Val!$C$4,Val!$D249,Val!$C$5,Val!$C$6,Val!$B249,Val!$E249,Val!J$10,Val!$C$7,Val!$C249),"")</f>
        <v>-416.66666666666669</v>
      </c>
      <c r="K249" s="2">
        <f ca="1">IF(Flag_Send_Data=1,_xll.DBSW(Val!K249,Val!$C$1,Val!$C$2,Val!$C$3,Val!$C$4,Val!$D249,Val!$C$5,Val!$C$6,Val!$B249,Val!$E249,Val!K$10,Val!$C$7,Val!$C249),"")</f>
        <v>-416.66666666666669</v>
      </c>
      <c r="L249" s="2">
        <f ca="1">IF(Flag_Send_Data=1,_xll.DBSW(Val!L249,Val!$C$1,Val!$C$2,Val!$C$3,Val!$C$4,Val!$D249,Val!$C$5,Val!$C$6,Val!$B249,Val!$E249,Val!L$10,Val!$C$7,Val!$C249),"")</f>
        <v>-416.66666666666669</v>
      </c>
      <c r="M249" s="2">
        <f ca="1">IF(Flag_Send_Data=1,_xll.DBSW(Val!M249,Val!$C$1,Val!$C$2,Val!$C$3,Val!$C$4,Val!$D249,Val!$C$5,Val!$C$6,Val!$B249,Val!$E249,Val!M$10,Val!$C$7,Val!$C249),"")</f>
        <v>-416.66666666666669</v>
      </c>
      <c r="N249" s="2">
        <f ca="1">IF(Flag_Send_Data=1,_xll.DBSW(Val!N249,Val!$C$1,Val!$C$2,Val!$C$3,Val!$C$4,Val!$D249,Val!$C$5,Val!$C$6,Val!$B249,Val!$E249,Val!N$10,Val!$C$7,Val!$C249),"")</f>
        <v>-416.66666666666669</v>
      </c>
      <c r="O249" s="2">
        <f ca="1">IF(Flag_Send_Data=1,_xll.DBSW(Val!O249,Val!$C$1,Val!$C$2,Val!$C$3,Val!$C$4,Val!$D249,Val!$C$5,Val!$C$6,Val!$B249,Val!$E249,Val!O$10,Val!$C$7,Val!$C249),"")</f>
        <v>-416.66666666666669</v>
      </c>
      <c r="P249" s="2">
        <f ca="1">IF(Flag_Send_Data=1,_xll.DBSW(Val!P249,Val!$C$1,Val!$C$2,Val!$C$3,Val!$C$4,Val!$D249,Val!$C$5,Val!$C$6,Val!$B249,Val!$E249,Val!P$10,Val!$C$7,Val!$C249),"")</f>
        <v>-416.66666666666669</v>
      </c>
      <c r="Q249" s="2">
        <f ca="1">IF(Flag_Send_Data=1,_xll.DBSW(Val!Q249,Val!$C$1,Val!$C$2,Val!$C$3,Val!$C$4,Val!$D249,Val!$C$5,Val!$C$6,Val!$B249,Val!$E249,Val!Q$10,Val!$C$7,Val!$C249),"")</f>
        <v>-416.66666666666669</v>
      </c>
    </row>
    <row r="250" spans="2:17" x14ac:dyDescent="0.25">
      <c r="B250" s="3" t="s">
        <v>268</v>
      </c>
      <c r="C250" t="s">
        <v>54</v>
      </c>
      <c r="D250" t="s">
        <v>199</v>
      </c>
      <c r="E250" t="s">
        <v>128</v>
      </c>
      <c r="F250" s="2">
        <f ca="1">IF(Flag_Send_Data=1,_xll.DBSW(Val!F250,Val!$C$1,Val!$C$2,Val!$C$3,Val!$C$4,Val!$D250,Val!$C$5,Val!$C$6,Val!$B250,Val!$E250,Val!F$10,Val!$C$7,Val!$C250),"")</f>
        <v>-166.66666666666666</v>
      </c>
      <c r="G250" s="2">
        <f ca="1">IF(Flag_Send_Data=1,_xll.DBSW(Val!G250,Val!$C$1,Val!$C$2,Val!$C$3,Val!$C$4,Val!$D250,Val!$C$5,Val!$C$6,Val!$B250,Val!$E250,Val!G$10,Val!$C$7,Val!$C250),"")</f>
        <v>-166.66666666666666</v>
      </c>
      <c r="H250" s="2">
        <f ca="1">IF(Flag_Send_Data=1,_xll.DBSW(Val!H250,Val!$C$1,Val!$C$2,Val!$C$3,Val!$C$4,Val!$D250,Val!$C$5,Val!$C$6,Val!$B250,Val!$E250,Val!H$10,Val!$C$7,Val!$C250),"")</f>
        <v>-166.66666666666666</v>
      </c>
      <c r="I250" s="2">
        <f ca="1">IF(Flag_Send_Data=1,_xll.DBSW(Val!I250,Val!$C$1,Val!$C$2,Val!$C$3,Val!$C$4,Val!$D250,Val!$C$5,Val!$C$6,Val!$B250,Val!$E250,Val!I$10,Val!$C$7,Val!$C250),"")</f>
        <v>-166.66666666666666</v>
      </c>
      <c r="J250" s="2">
        <f ca="1">IF(Flag_Send_Data=1,_xll.DBSW(Val!J250,Val!$C$1,Val!$C$2,Val!$C$3,Val!$C$4,Val!$D250,Val!$C$5,Val!$C$6,Val!$B250,Val!$E250,Val!J$10,Val!$C$7,Val!$C250),"")</f>
        <v>-166.66666666666666</v>
      </c>
      <c r="K250" s="2">
        <f ca="1">IF(Flag_Send_Data=1,_xll.DBSW(Val!K250,Val!$C$1,Val!$C$2,Val!$C$3,Val!$C$4,Val!$D250,Val!$C$5,Val!$C$6,Val!$B250,Val!$E250,Val!K$10,Val!$C$7,Val!$C250),"")</f>
        <v>-166.66666666666666</v>
      </c>
      <c r="L250" s="2">
        <f ca="1">IF(Flag_Send_Data=1,_xll.DBSW(Val!L250,Val!$C$1,Val!$C$2,Val!$C$3,Val!$C$4,Val!$D250,Val!$C$5,Val!$C$6,Val!$B250,Val!$E250,Val!L$10,Val!$C$7,Val!$C250),"")</f>
        <v>-166.66666666666666</v>
      </c>
      <c r="M250" s="2">
        <f ca="1">IF(Flag_Send_Data=1,_xll.DBSW(Val!M250,Val!$C$1,Val!$C$2,Val!$C$3,Val!$C$4,Val!$D250,Val!$C$5,Val!$C$6,Val!$B250,Val!$E250,Val!M$10,Val!$C$7,Val!$C250),"")</f>
        <v>-166.66666666666666</v>
      </c>
      <c r="N250" s="2">
        <f ca="1">IF(Flag_Send_Data=1,_xll.DBSW(Val!N250,Val!$C$1,Val!$C$2,Val!$C$3,Val!$C$4,Val!$D250,Val!$C$5,Val!$C$6,Val!$B250,Val!$E250,Val!N$10,Val!$C$7,Val!$C250),"")</f>
        <v>-166.66666666666666</v>
      </c>
      <c r="O250" s="2">
        <f ca="1">IF(Flag_Send_Data=1,_xll.DBSW(Val!O250,Val!$C$1,Val!$C$2,Val!$C$3,Val!$C$4,Val!$D250,Val!$C$5,Val!$C$6,Val!$B250,Val!$E250,Val!O$10,Val!$C$7,Val!$C250),"")</f>
        <v>-166.66666666666666</v>
      </c>
      <c r="P250" s="2">
        <f ca="1">IF(Flag_Send_Data=1,_xll.DBSW(Val!P250,Val!$C$1,Val!$C$2,Val!$C$3,Val!$C$4,Val!$D250,Val!$C$5,Val!$C$6,Val!$B250,Val!$E250,Val!P$10,Val!$C$7,Val!$C250),"")</f>
        <v>-166.66666666666666</v>
      </c>
      <c r="Q250" s="2">
        <f ca="1">IF(Flag_Send_Data=1,_xll.DBSW(Val!Q250,Val!$C$1,Val!$C$2,Val!$C$3,Val!$C$4,Val!$D250,Val!$C$5,Val!$C$6,Val!$B250,Val!$E250,Val!Q$10,Val!$C$7,Val!$C250),"")</f>
        <v>-166.66666666666666</v>
      </c>
    </row>
    <row r="251" spans="2:17" x14ac:dyDescent="0.25">
      <c r="B251" s="3" t="s">
        <v>268</v>
      </c>
      <c r="C251" t="s">
        <v>110</v>
      </c>
      <c r="D251" t="s">
        <v>199</v>
      </c>
      <c r="E251" t="s">
        <v>128</v>
      </c>
      <c r="F251" s="2">
        <f ca="1">IF(Flag_Send_Data=1,_xll.DBSW(Val!F251,Val!$C$1,Val!$C$2,Val!$C$3,Val!$C$4,Val!$D251,Val!$C$5,Val!$C$6,Val!$B251,Val!$E251,Val!F$10,Val!$C$7,Val!$C251),"")</f>
        <v>-1250</v>
      </c>
      <c r="G251" s="2">
        <f ca="1">IF(Flag_Send_Data=1,_xll.DBSW(Val!G251,Val!$C$1,Val!$C$2,Val!$C$3,Val!$C$4,Val!$D251,Val!$C$5,Val!$C$6,Val!$B251,Val!$E251,Val!G$10,Val!$C$7,Val!$C251),"")</f>
        <v>-1250</v>
      </c>
      <c r="H251" s="2">
        <f ca="1">IF(Flag_Send_Data=1,_xll.DBSW(Val!H251,Val!$C$1,Val!$C$2,Val!$C$3,Val!$C$4,Val!$D251,Val!$C$5,Val!$C$6,Val!$B251,Val!$E251,Val!H$10,Val!$C$7,Val!$C251),"")</f>
        <v>-1250</v>
      </c>
      <c r="I251" s="2">
        <f ca="1">IF(Flag_Send_Data=1,_xll.DBSW(Val!I251,Val!$C$1,Val!$C$2,Val!$C$3,Val!$C$4,Val!$D251,Val!$C$5,Val!$C$6,Val!$B251,Val!$E251,Val!I$10,Val!$C$7,Val!$C251),"")</f>
        <v>-1250</v>
      </c>
      <c r="J251" s="2">
        <f ca="1">IF(Flag_Send_Data=1,_xll.DBSW(Val!J251,Val!$C$1,Val!$C$2,Val!$C$3,Val!$C$4,Val!$D251,Val!$C$5,Val!$C$6,Val!$B251,Val!$E251,Val!J$10,Val!$C$7,Val!$C251),"")</f>
        <v>-1250</v>
      </c>
      <c r="K251" s="2">
        <f ca="1">IF(Flag_Send_Data=1,_xll.DBSW(Val!K251,Val!$C$1,Val!$C$2,Val!$C$3,Val!$C$4,Val!$D251,Val!$C$5,Val!$C$6,Val!$B251,Val!$E251,Val!K$10,Val!$C$7,Val!$C251),"")</f>
        <v>-1250</v>
      </c>
      <c r="L251" s="2">
        <f ca="1">IF(Flag_Send_Data=1,_xll.DBSW(Val!L251,Val!$C$1,Val!$C$2,Val!$C$3,Val!$C$4,Val!$D251,Val!$C$5,Val!$C$6,Val!$B251,Val!$E251,Val!L$10,Val!$C$7,Val!$C251),"")</f>
        <v>-1250</v>
      </c>
      <c r="M251" s="2">
        <f ca="1">IF(Flag_Send_Data=1,_xll.DBSW(Val!M251,Val!$C$1,Val!$C$2,Val!$C$3,Val!$C$4,Val!$D251,Val!$C$5,Val!$C$6,Val!$B251,Val!$E251,Val!M$10,Val!$C$7,Val!$C251),"")</f>
        <v>-1250</v>
      </c>
      <c r="N251" s="2">
        <f ca="1">IF(Flag_Send_Data=1,_xll.DBSW(Val!N251,Val!$C$1,Val!$C$2,Val!$C$3,Val!$C$4,Val!$D251,Val!$C$5,Val!$C$6,Val!$B251,Val!$E251,Val!N$10,Val!$C$7,Val!$C251),"")</f>
        <v>-1250</v>
      </c>
      <c r="O251" s="2">
        <f ca="1">IF(Flag_Send_Data=1,_xll.DBSW(Val!O251,Val!$C$1,Val!$C$2,Val!$C$3,Val!$C$4,Val!$D251,Val!$C$5,Val!$C$6,Val!$B251,Val!$E251,Val!O$10,Val!$C$7,Val!$C251),"")</f>
        <v>-1250</v>
      </c>
      <c r="P251" s="2">
        <f ca="1">IF(Flag_Send_Data=1,_xll.DBSW(Val!P251,Val!$C$1,Val!$C$2,Val!$C$3,Val!$C$4,Val!$D251,Val!$C$5,Val!$C$6,Val!$B251,Val!$E251,Val!P$10,Val!$C$7,Val!$C251),"")</f>
        <v>-1250</v>
      </c>
      <c r="Q251" s="2">
        <f ca="1">IF(Flag_Send_Data=1,_xll.DBSW(Val!Q251,Val!$C$1,Val!$C$2,Val!$C$3,Val!$C$4,Val!$D251,Val!$C$5,Val!$C$6,Val!$B251,Val!$E251,Val!Q$10,Val!$C$7,Val!$C251),"")</f>
        <v>-1250</v>
      </c>
    </row>
    <row r="252" spans="2:17" x14ac:dyDescent="0.25">
      <c r="B252" s="3" t="s">
        <v>269</v>
      </c>
      <c r="C252" t="s">
        <v>45</v>
      </c>
      <c r="D252" t="s">
        <v>199</v>
      </c>
      <c r="E252" t="s">
        <v>128</v>
      </c>
      <c r="F252" s="2">
        <f ca="1">IF(Flag_Send_Data=1,_xll.DBSW(Val!F252,Val!$C$1,Val!$C$2,Val!$C$3,Val!$C$4,Val!$D252,Val!$C$5,Val!$C$6,Val!$B252,Val!$E252,Val!F$10,Val!$C$7,Val!$C252),"")</f>
        <v>-11640.825833333334</v>
      </c>
      <c r="G252" s="2">
        <f ca="1">IF(Flag_Send_Data=1,_xll.DBSW(Val!G252,Val!$C$1,Val!$C$2,Val!$C$3,Val!$C$4,Val!$D252,Val!$C$5,Val!$C$6,Val!$B252,Val!$E252,Val!G$10,Val!$C$7,Val!$C252),"")</f>
        <v>-11640.825833333334</v>
      </c>
      <c r="H252" s="2">
        <f ca="1">IF(Flag_Send_Data=1,_xll.DBSW(Val!H252,Val!$C$1,Val!$C$2,Val!$C$3,Val!$C$4,Val!$D252,Val!$C$5,Val!$C$6,Val!$B252,Val!$E252,Val!H$10,Val!$C$7,Val!$C252),"")</f>
        <v>-11640.825833333334</v>
      </c>
      <c r="I252" s="2">
        <f ca="1">IF(Flag_Send_Data=1,_xll.DBSW(Val!I252,Val!$C$1,Val!$C$2,Val!$C$3,Val!$C$4,Val!$D252,Val!$C$5,Val!$C$6,Val!$B252,Val!$E252,Val!I$10,Val!$C$7,Val!$C252),"")</f>
        <v>-11640.825833333334</v>
      </c>
      <c r="J252" s="2">
        <f ca="1">IF(Flag_Send_Data=1,_xll.DBSW(Val!J252,Val!$C$1,Val!$C$2,Val!$C$3,Val!$C$4,Val!$D252,Val!$C$5,Val!$C$6,Val!$B252,Val!$E252,Val!J$10,Val!$C$7,Val!$C252),"")</f>
        <v>-11640.825833333334</v>
      </c>
      <c r="K252" s="2">
        <f ca="1">IF(Flag_Send_Data=1,_xll.DBSW(Val!K252,Val!$C$1,Val!$C$2,Val!$C$3,Val!$C$4,Val!$D252,Val!$C$5,Val!$C$6,Val!$B252,Val!$E252,Val!K$10,Val!$C$7,Val!$C252),"")</f>
        <v>-11640.825833333334</v>
      </c>
      <c r="L252" s="2">
        <f ca="1">IF(Flag_Send_Data=1,_xll.DBSW(Val!L252,Val!$C$1,Val!$C$2,Val!$C$3,Val!$C$4,Val!$D252,Val!$C$5,Val!$C$6,Val!$B252,Val!$E252,Val!L$10,Val!$C$7,Val!$C252),"")</f>
        <v>-11640.825833333334</v>
      </c>
      <c r="M252" s="2">
        <f ca="1">IF(Flag_Send_Data=1,_xll.DBSW(Val!M252,Val!$C$1,Val!$C$2,Val!$C$3,Val!$C$4,Val!$D252,Val!$C$5,Val!$C$6,Val!$B252,Val!$E252,Val!M$10,Val!$C$7,Val!$C252),"")</f>
        <v>-11640.825833333334</v>
      </c>
      <c r="N252" s="2">
        <f ca="1">IF(Flag_Send_Data=1,_xll.DBSW(Val!N252,Val!$C$1,Val!$C$2,Val!$C$3,Val!$C$4,Val!$D252,Val!$C$5,Val!$C$6,Val!$B252,Val!$E252,Val!N$10,Val!$C$7,Val!$C252),"")</f>
        <v>-11640.825833333334</v>
      </c>
      <c r="O252" s="2">
        <f ca="1">IF(Flag_Send_Data=1,_xll.DBSW(Val!O252,Val!$C$1,Val!$C$2,Val!$C$3,Val!$C$4,Val!$D252,Val!$C$5,Val!$C$6,Val!$B252,Val!$E252,Val!O$10,Val!$C$7,Val!$C252),"")</f>
        <v>-11640.825833333334</v>
      </c>
      <c r="P252" s="2">
        <f ca="1">IF(Flag_Send_Data=1,_xll.DBSW(Val!P252,Val!$C$1,Val!$C$2,Val!$C$3,Val!$C$4,Val!$D252,Val!$C$5,Val!$C$6,Val!$B252,Val!$E252,Val!P$10,Val!$C$7,Val!$C252),"")</f>
        <v>-11640.825833333334</v>
      </c>
      <c r="Q252" s="2">
        <f ca="1">IF(Flag_Send_Data=1,_xll.DBSW(Val!Q252,Val!$C$1,Val!$C$2,Val!$C$3,Val!$C$4,Val!$D252,Val!$C$5,Val!$C$6,Val!$B252,Val!$E252,Val!Q$10,Val!$C$7,Val!$C252),"")</f>
        <v>-11640.825833333334</v>
      </c>
    </row>
    <row r="253" spans="2:17" x14ac:dyDescent="0.25">
      <c r="B253" s="3" t="s">
        <v>269</v>
      </c>
      <c r="C253" t="s">
        <v>87</v>
      </c>
      <c r="D253" t="s">
        <v>199</v>
      </c>
      <c r="E253" t="s">
        <v>128</v>
      </c>
      <c r="F253" s="2">
        <f ca="1">IF(Flag_Send_Data=1,_xll.DBSW(Val!F253,Val!$C$1,Val!$C$2,Val!$C$3,Val!$C$4,Val!$D253,Val!$C$5,Val!$C$6,Val!$B253,Val!$E253,Val!F$10,Val!$C$7,Val!$C253),"")</f>
        <v>-166.66666666666666</v>
      </c>
      <c r="G253" s="2">
        <f ca="1">IF(Flag_Send_Data=1,_xll.DBSW(Val!G253,Val!$C$1,Val!$C$2,Val!$C$3,Val!$C$4,Val!$D253,Val!$C$5,Val!$C$6,Val!$B253,Val!$E253,Val!G$10,Val!$C$7,Val!$C253),"")</f>
        <v>-166.66666666666666</v>
      </c>
      <c r="H253" s="2">
        <f ca="1">IF(Flag_Send_Data=1,_xll.DBSW(Val!H253,Val!$C$1,Val!$C$2,Val!$C$3,Val!$C$4,Val!$D253,Val!$C$5,Val!$C$6,Val!$B253,Val!$E253,Val!H$10,Val!$C$7,Val!$C253),"")</f>
        <v>-166.66666666666666</v>
      </c>
      <c r="I253" s="2">
        <f ca="1">IF(Flag_Send_Data=1,_xll.DBSW(Val!I253,Val!$C$1,Val!$C$2,Val!$C$3,Val!$C$4,Val!$D253,Val!$C$5,Val!$C$6,Val!$B253,Val!$E253,Val!I$10,Val!$C$7,Val!$C253),"")</f>
        <v>-166.66666666666666</v>
      </c>
      <c r="J253" s="2">
        <f ca="1">IF(Flag_Send_Data=1,_xll.DBSW(Val!J253,Val!$C$1,Val!$C$2,Val!$C$3,Val!$C$4,Val!$D253,Val!$C$5,Val!$C$6,Val!$B253,Val!$E253,Val!J$10,Val!$C$7,Val!$C253),"")</f>
        <v>-166.66666666666666</v>
      </c>
      <c r="K253" s="2">
        <f ca="1">IF(Flag_Send_Data=1,_xll.DBSW(Val!K253,Val!$C$1,Val!$C$2,Val!$C$3,Val!$C$4,Val!$D253,Val!$C$5,Val!$C$6,Val!$B253,Val!$E253,Val!K$10,Val!$C$7,Val!$C253),"")</f>
        <v>-166.66666666666666</v>
      </c>
      <c r="L253" s="2">
        <f ca="1">IF(Flag_Send_Data=1,_xll.DBSW(Val!L253,Val!$C$1,Val!$C$2,Val!$C$3,Val!$C$4,Val!$D253,Val!$C$5,Val!$C$6,Val!$B253,Val!$E253,Val!L$10,Val!$C$7,Val!$C253),"")</f>
        <v>-166.66666666666666</v>
      </c>
      <c r="M253" s="2">
        <f ca="1">IF(Flag_Send_Data=1,_xll.DBSW(Val!M253,Val!$C$1,Val!$C$2,Val!$C$3,Val!$C$4,Val!$D253,Val!$C$5,Val!$C$6,Val!$B253,Val!$E253,Val!M$10,Val!$C$7,Val!$C253),"")</f>
        <v>-166.66666666666666</v>
      </c>
      <c r="N253" s="2">
        <f ca="1">IF(Flag_Send_Data=1,_xll.DBSW(Val!N253,Val!$C$1,Val!$C$2,Val!$C$3,Val!$C$4,Val!$D253,Val!$C$5,Val!$C$6,Val!$B253,Val!$E253,Val!N$10,Val!$C$7,Val!$C253),"")</f>
        <v>-166.66666666666666</v>
      </c>
      <c r="O253" s="2">
        <f ca="1">IF(Flag_Send_Data=1,_xll.DBSW(Val!O253,Val!$C$1,Val!$C$2,Val!$C$3,Val!$C$4,Val!$D253,Val!$C$5,Val!$C$6,Val!$B253,Val!$E253,Val!O$10,Val!$C$7,Val!$C253),"")</f>
        <v>-166.66666666666666</v>
      </c>
      <c r="P253" s="2">
        <f ca="1">IF(Flag_Send_Data=1,_xll.DBSW(Val!P253,Val!$C$1,Val!$C$2,Val!$C$3,Val!$C$4,Val!$D253,Val!$C$5,Val!$C$6,Val!$B253,Val!$E253,Val!P$10,Val!$C$7,Val!$C253),"")</f>
        <v>-166.66666666666666</v>
      </c>
      <c r="Q253" s="2">
        <f ca="1">IF(Flag_Send_Data=1,_xll.DBSW(Val!Q253,Val!$C$1,Val!$C$2,Val!$C$3,Val!$C$4,Val!$D253,Val!$C$5,Val!$C$6,Val!$B253,Val!$E253,Val!Q$10,Val!$C$7,Val!$C253),"")</f>
        <v>-166.66666666666666</v>
      </c>
    </row>
    <row r="254" spans="2:17" x14ac:dyDescent="0.25">
      <c r="B254" s="3" t="s">
        <v>269</v>
      </c>
      <c r="C254" t="s">
        <v>46</v>
      </c>
      <c r="D254" t="s">
        <v>199</v>
      </c>
      <c r="E254" t="s">
        <v>17</v>
      </c>
      <c r="F254" s="2">
        <f ca="1">IF(Flag_Send_Data=1,_xll.DBSW(Val!F254,Val!$C$1,Val!$C$2,Val!$C$3,Val!$C$4,Val!$D254,Val!$C$5,Val!$C$6,Val!$B254,Val!$E254,Val!F$10,Val!$C$7,Val!$C254),"")</f>
        <v>-338.25</v>
      </c>
      <c r="G254" s="2">
        <f ca="1">IF(Flag_Send_Data=1,_xll.DBSW(Val!G254,Val!$C$1,Val!$C$2,Val!$C$3,Val!$C$4,Val!$D254,Val!$C$5,Val!$C$6,Val!$B254,Val!$E254,Val!G$10,Val!$C$7,Val!$C254),"")</f>
        <v>-338.25</v>
      </c>
      <c r="H254" s="2">
        <f ca="1">IF(Flag_Send_Data=1,_xll.DBSW(Val!H254,Val!$C$1,Val!$C$2,Val!$C$3,Val!$C$4,Val!$D254,Val!$C$5,Val!$C$6,Val!$B254,Val!$E254,Val!H$10,Val!$C$7,Val!$C254),"")</f>
        <v>-338.25</v>
      </c>
      <c r="I254" s="2">
        <f ca="1">IF(Flag_Send_Data=1,_xll.DBSW(Val!I254,Val!$C$1,Val!$C$2,Val!$C$3,Val!$C$4,Val!$D254,Val!$C$5,Val!$C$6,Val!$B254,Val!$E254,Val!I$10,Val!$C$7,Val!$C254),"")</f>
        <v>-338.25</v>
      </c>
      <c r="J254" s="2">
        <f ca="1">IF(Flag_Send_Data=1,_xll.DBSW(Val!J254,Val!$C$1,Val!$C$2,Val!$C$3,Val!$C$4,Val!$D254,Val!$C$5,Val!$C$6,Val!$B254,Val!$E254,Val!J$10,Val!$C$7,Val!$C254),"")</f>
        <v>-338.25</v>
      </c>
      <c r="K254" s="2">
        <f ca="1">IF(Flag_Send_Data=1,_xll.DBSW(Val!K254,Val!$C$1,Val!$C$2,Val!$C$3,Val!$C$4,Val!$D254,Val!$C$5,Val!$C$6,Val!$B254,Val!$E254,Val!K$10,Val!$C$7,Val!$C254),"")</f>
        <v>-338.25</v>
      </c>
      <c r="L254" s="2">
        <f ca="1">IF(Flag_Send_Data=1,_xll.DBSW(Val!L254,Val!$C$1,Val!$C$2,Val!$C$3,Val!$C$4,Val!$D254,Val!$C$5,Val!$C$6,Val!$B254,Val!$E254,Val!L$10,Val!$C$7,Val!$C254),"")</f>
        <v>-338.25</v>
      </c>
      <c r="M254" s="2">
        <f ca="1">IF(Flag_Send_Data=1,_xll.DBSW(Val!M254,Val!$C$1,Val!$C$2,Val!$C$3,Val!$C$4,Val!$D254,Val!$C$5,Val!$C$6,Val!$B254,Val!$E254,Val!M$10,Val!$C$7,Val!$C254),"")</f>
        <v>-338.25</v>
      </c>
      <c r="N254" s="2">
        <f ca="1">IF(Flag_Send_Data=1,_xll.DBSW(Val!N254,Val!$C$1,Val!$C$2,Val!$C$3,Val!$C$4,Val!$D254,Val!$C$5,Val!$C$6,Val!$B254,Val!$E254,Val!N$10,Val!$C$7,Val!$C254),"")</f>
        <v>-338.25</v>
      </c>
      <c r="O254" s="2">
        <f ca="1">IF(Flag_Send_Data=1,_xll.DBSW(Val!O254,Val!$C$1,Val!$C$2,Val!$C$3,Val!$C$4,Val!$D254,Val!$C$5,Val!$C$6,Val!$B254,Val!$E254,Val!O$10,Val!$C$7,Val!$C254),"")</f>
        <v>-338.25</v>
      </c>
      <c r="P254" s="2">
        <f ca="1">IF(Flag_Send_Data=1,_xll.DBSW(Val!P254,Val!$C$1,Val!$C$2,Val!$C$3,Val!$C$4,Val!$D254,Val!$C$5,Val!$C$6,Val!$B254,Val!$E254,Val!P$10,Val!$C$7,Val!$C254),"")</f>
        <v>-338.25</v>
      </c>
      <c r="Q254" s="2">
        <f ca="1">IF(Flag_Send_Data=1,_xll.DBSW(Val!Q254,Val!$C$1,Val!$C$2,Val!$C$3,Val!$C$4,Val!$D254,Val!$C$5,Val!$C$6,Val!$B254,Val!$E254,Val!Q$10,Val!$C$7,Val!$C254),"")</f>
        <v>-338.25</v>
      </c>
    </row>
    <row r="255" spans="2:17" x14ac:dyDescent="0.25">
      <c r="B255" s="3" t="s">
        <v>269</v>
      </c>
      <c r="C255" t="s">
        <v>47</v>
      </c>
      <c r="D255" t="s">
        <v>199</v>
      </c>
      <c r="E255" t="s">
        <v>128</v>
      </c>
      <c r="F255" s="2">
        <f ca="1">IF(Flag_Send_Data=1,_xll.DBSW(Val!F255,Val!$C$1,Val!$C$2,Val!$C$3,Val!$C$4,Val!$D255,Val!$C$5,Val!$C$6,Val!$B255,Val!$E255,Val!F$10,Val!$C$7,Val!$C255),"")</f>
        <v>-125</v>
      </c>
      <c r="G255" s="2">
        <f ca="1">IF(Flag_Send_Data=1,_xll.DBSW(Val!G255,Val!$C$1,Val!$C$2,Val!$C$3,Val!$C$4,Val!$D255,Val!$C$5,Val!$C$6,Val!$B255,Val!$E255,Val!G$10,Val!$C$7,Val!$C255),"")</f>
        <v>-125</v>
      </c>
      <c r="H255" s="2">
        <f ca="1">IF(Flag_Send_Data=1,_xll.DBSW(Val!H255,Val!$C$1,Val!$C$2,Val!$C$3,Val!$C$4,Val!$D255,Val!$C$5,Val!$C$6,Val!$B255,Val!$E255,Val!H$10,Val!$C$7,Val!$C255),"")</f>
        <v>-125</v>
      </c>
      <c r="I255" s="2">
        <f ca="1">IF(Flag_Send_Data=1,_xll.DBSW(Val!I255,Val!$C$1,Val!$C$2,Val!$C$3,Val!$C$4,Val!$D255,Val!$C$5,Val!$C$6,Val!$B255,Val!$E255,Val!I$10,Val!$C$7,Val!$C255),"")</f>
        <v>-125</v>
      </c>
      <c r="J255" s="2">
        <f ca="1">IF(Flag_Send_Data=1,_xll.DBSW(Val!J255,Val!$C$1,Val!$C$2,Val!$C$3,Val!$C$4,Val!$D255,Val!$C$5,Val!$C$6,Val!$B255,Val!$E255,Val!J$10,Val!$C$7,Val!$C255),"")</f>
        <v>-125</v>
      </c>
      <c r="K255" s="2">
        <f ca="1">IF(Flag_Send_Data=1,_xll.DBSW(Val!K255,Val!$C$1,Val!$C$2,Val!$C$3,Val!$C$4,Val!$D255,Val!$C$5,Val!$C$6,Val!$B255,Val!$E255,Val!K$10,Val!$C$7,Val!$C255),"")</f>
        <v>-125</v>
      </c>
      <c r="L255" s="2">
        <f ca="1">IF(Flag_Send_Data=1,_xll.DBSW(Val!L255,Val!$C$1,Val!$C$2,Val!$C$3,Val!$C$4,Val!$D255,Val!$C$5,Val!$C$6,Val!$B255,Val!$E255,Val!L$10,Val!$C$7,Val!$C255),"")</f>
        <v>-125</v>
      </c>
      <c r="M255" s="2">
        <f ca="1">IF(Flag_Send_Data=1,_xll.DBSW(Val!M255,Val!$C$1,Val!$C$2,Val!$C$3,Val!$C$4,Val!$D255,Val!$C$5,Val!$C$6,Val!$B255,Val!$E255,Val!M$10,Val!$C$7,Val!$C255),"")</f>
        <v>-125</v>
      </c>
      <c r="N255" s="2">
        <f ca="1">IF(Flag_Send_Data=1,_xll.DBSW(Val!N255,Val!$C$1,Val!$C$2,Val!$C$3,Val!$C$4,Val!$D255,Val!$C$5,Val!$C$6,Val!$B255,Val!$E255,Val!N$10,Val!$C$7,Val!$C255),"")</f>
        <v>-125</v>
      </c>
      <c r="O255" s="2">
        <f ca="1">IF(Flag_Send_Data=1,_xll.DBSW(Val!O255,Val!$C$1,Val!$C$2,Val!$C$3,Val!$C$4,Val!$D255,Val!$C$5,Val!$C$6,Val!$B255,Val!$E255,Val!O$10,Val!$C$7,Val!$C255),"")</f>
        <v>-125</v>
      </c>
      <c r="P255" s="2">
        <f ca="1">IF(Flag_Send_Data=1,_xll.DBSW(Val!P255,Val!$C$1,Val!$C$2,Val!$C$3,Val!$C$4,Val!$D255,Val!$C$5,Val!$C$6,Val!$B255,Val!$E255,Val!P$10,Val!$C$7,Val!$C255),"")</f>
        <v>-125</v>
      </c>
      <c r="Q255" s="2">
        <f ca="1">IF(Flag_Send_Data=1,_xll.DBSW(Val!Q255,Val!$C$1,Val!$C$2,Val!$C$3,Val!$C$4,Val!$D255,Val!$C$5,Val!$C$6,Val!$B255,Val!$E255,Val!Q$10,Val!$C$7,Val!$C255),"")</f>
        <v>-125</v>
      </c>
    </row>
    <row r="256" spans="2:17" x14ac:dyDescent="0.25">
      <c r="B256" s="3" t="s">
        <v>269</v>
      </c>
      <c r="C256" t="s">
        <v>48</v>
      </c>
      <c r="D256" t="s">
        <v>199</v>
      </c>
      <c r="E256" t="s">
        <v>128</v>
      </c>
      <c r="F256" s="2">
        <f ca="1">IF(Flag_Send_Data=1,_xll.DBSW(Val!F256,Val!$C$1,Val!$C$2,Val!$C$3,Val!$C$4,Val!$D256,Val!$C$5,Val!$C$6,Val!$B256,Val!$E256,Val!F$10,Val!$C$7,Val!$C256),"")</f>
        <v>-83.333333333333329</v>
      </c>
      <c r="G256" s="2">
        <f ca="1">IF(Flag_Send_Data=1,_xll.DBSW(Val!G256,Val!$C$1,Val!$C$2,Val!$C$3,Val!$C$4,Val!$D256,Val!$C$5,Val!$C$6,Val!$B256,Val!$E256,Val!G$10,Val!$C$7,Val!$C256),"")</f>
        <v>-83.333333333333329</v>
      </c>
      <c r="H256" s="2">
        <f ca="1">IF(Flag_Send_Data=1,_xll.DBSW(Val!H256,Val!$C$1,Val!$C$2,Val!$C$3,Val!$C$4,Val!$D256,Val!$C$5,Val!$C$6,Val!$B256,Val!$E256,Val!H$10,Val!$C$7,Val!$C256),"")</f>
        <v>-83.333333333333329</v>
      </c>
      <c r="I256" s="2">
        <f ca="1">IF(Flag_Send_Data=1,_xll.DBSW(Val!I256,Val!$C$1,Val!$C$2,Val!$C$3,Val!$C$4,Val!$D256,Val!$C$5,Val!$C$6,Val!$B256,Val!$E256,Val!I$10,Val!$C$7,Val!$C256),"")</f>
        <v>-83.333333333333329</v>
      </c>
      <c r="J256" s="2">
        <f ca="1">IF(Flag_Send_Data=1,_xll.DBSW(Val!J256,Val!$C$1,Val!$C$2,Val!$C$3,Val!$C$4,Val!$D256,Val!$C$5,Val!$C$6,Val!$B256,Val!$E256,Val!J$10,Val!$C$7,Val!$C256),"")</f>
        <v>-83.333333333333329</v>
      </c>
      <c r="K256" s="2">
        <f ca="1">IF(Flag_Send_Data=1,_xll.DBSW(Val!K256,Val!$C$1,Val!$C$2,Val!$C$3,Val!$C$4,Val!$D256,Val!$C$5,Val!$C$6,Val!$B256,Val!$E256,Val!K$10,Val!$C$7,Val!$C256),"")</f>
        <v>-83.333333333333329</v>
      </c>
      <c r="L256" s="2">
        <f ca="1">IF(Flag_Send_Data=1,_xll.DBSW(Val!L256,Val!$C$1,Val!$C$2,Val!$C$3,Val!$C$4,Val!$D256,Val!$C$5,Val!$C$6,Val!$B256,Val!$E256,Val!L$10,Val!$C$7,Val!$C256),"")</f>
        <v>-83.333333333333329</v>
      </c>
      <c r="M256" s="2">
        <f ca="1">IF(Flag_Send_Data=1,_xll.DBSW(Val!M256,Val!$C$1,Val!$C$2,Val!$C$3,Val!$C$4,Val!$D256,Val!$C$5,Val!$C$6,Val!$B256,Val!$E256,Val!M$10,Val!$C$7,Val!$C256),"")</f>
        <v>-83.333333333333329</v>
      </c>
      <c r="N256" s="2">
        <f ca="1">IF(Flag_Send_Data=1,_xll.DBSW(Val!N256,Val!$C$1,Val!$C$2,Val!$C$3,Val!$C$4,Val!$D256,Val!$C$5,Val!$C$6,Val!$B256,Val!$E256,Val!N$10,Val!$C$7,Val!$C256),"")</f>
        <v>-83.333333333333329</v>
      </c>
      <c r="O256" s="2">
        <f ca="1">IF(Flag_Send_Data=1,_xll.DBSW(Val!O256,Val!$C$1,Val!$C$2,Val!$C$3,Val!$C$4,Val!$D256,Val!$C$5,Val!$C$6,Val!$B256,Val!$E256,Val!O$10,Val!$C$7,Val!$C256),"")</f>
        <v>-83.333333333333329</v>
      </c>
      <c r="P256" s="2">
        <f ca="1">IF(Flag_Send_Data=1,_xll.DBSW(Val!P256,Val!$C$1,Val!$C$2,Val!$C$3,Val!$C$4,Val!$D256,Val!$C$5,Val!$C$6,Val!$B256,Val!$E256,Val!P$10,Val!$C$7,Val!$C256),"")</f>
        <v>-83.333333333333329</v>
      </c>
      <c r="Q256" s="2">
        <f ca="1">IF(Flag_Send_Data=1,_xll.DBSW(Val!Q256,Val!$C$1,Val!$C$2,Val!$C$3,Val!$C$4,Val!$D256,Val!$C$5,Val!$C$6,Val!$B256,Val!$E256,Val!Q$10,Val!$C$7,Val!$C256),"")</f>
        <v>-83.333333333333329</v>
      </c>
    </row>
    <row r="257" spans="2:17" x14ac:dyDescent="0.25">
      <c r="B257" s="3" t="s">
        <v>269</v>
      </c>
      <c r="C257" t="s">
        <v>108</v>
      </c>
      <c r="D257" t="s">
        <v>199</v>
      </c>
      <c r="E257" t="s">
        <v>128</v>
      </c>
      <c r="F257" s="2">
        <f ca="1">IF(Flag_Send_Data=1,_xll.DBSW(Val!F257,Val!$C$1,Val!$C$2,Val!$C$3,Val!$C$4,Val!$D257,Val!$C$5,Val!$C$6,Val!$B257,Val!$E257,Val!F$10,Val!$C$7,Val!$C257),"")</f>
        <v>-416.66666666666669</v>
      </c>
      <c r="G257" s="2">
        <f ca="1">IF(Flag_Send_Data=1,_xll.DBSW(Val!G257,Val!$C$1,Val!$C$2,Val!$C$3,Val!$C$4,Val!$D257,Val!$C$5,Val!$C$6,Val!$B257,Val!$E257,Val!G$10,Val!$C$7,Val!$C257),"")</f>
        <v>-416.66666666666669</v>
      </c>
      <c r="H257" s="2">
        <f ca="1">IF(Flag_Send_Data=1,_xll.DBSW(Val!H257,Val!$C$1,Val!$C$2,Val!$C$3,Val!$C$4,Val!$D257,Val!$C$5,Val!$C$6,Val!$B257,Val!$E257,Val!H$10,Val!$C$7,Val!$C257),"")</f>
        <v>-416.66666666666669</v>
      </c>
      <c r="I257" s="2">
        <f ca="1">IF(Flag_Send_Data=1,_xll.DBSW(Val!I257,Val!$C$1,Val!$C$2,Val!$C$3,Val!$C$4,Val!$D257,Val!$C$5,Val!$C$6,Val!$B257,Val!$E257,Val!I$10,Val!$C$7,Val!$C257),"")</f>
        <v>-416.66666666666669</v>
      </c>
      <c r="J257" s="2">
        <f ca="1">IF(Flag_Send_Data=1,_xll.DBSW(Val!J257,Val!$C$1,Val!$C$2,Val!$C$3,Val!$C$4,Val!$D257,Val!$C$5,Val!$C$6,Val!$B257,Val!$E257,Val!J$10,Val!$C$7,Val!$C257),"")</f>
        <v>-416.66666666666669</v>
      </c>
      <c r="K257" s="2">
        <f ca="1">IF(Flag_Send_Data=1,_xll.DBSW(Val!K257,Val!$C$1,Val!$C$2,Val!$C$3,Val!$C$4,Val!$D257,Val!$C$5,Val!$C$6,Val!$B257,Val!$E257,Val!K$10,Val!$C$7,Val!$C257),"")</f>
        <v>-416.66666666666669</v>
      </c>
      <c r="L257" s="2">
        <f ca="1">IF(Flag_Send_Data=1,_xll.DBSW(Val!L257,Val!$C$1,Val!$C$2,Val!$C$3,Val!$C$4,Val!$D257,Val!$C$5,Val!$C$6,Val!$B257,Val!$E257,Val!L$10,Val!$C$7,Val!$C257),"")</f>
        <v>-416.66666666666669</v>
      </c>
      <c r="M257" s="2">
        <f ca="1">IF(Flag_Send_Data=1,_xll.DBSW(Val!M257,Val!$C$1,Val!$C$2,Val!$C$3,Val!$C$4,Val!$D257,Val!$C$5,Val!$C$6,Val!$B257,Val!$E257,Val!M$10,Val!$C$7,Val!$C257),"")</f>
        <v>-416.66666666666669</v>
      </c>
      <c r="N257" s="2">
        <f ca="1">IF(Flag_Send_Data=1,_xll.DBSW(Val!N257,Val!$C$1,Val!$C$2,Val!$C$3,Val!$C$4,Val!$D257,Val!$C$5,Val!$C$6,Val!$B257,Val!$E257,Val!N$10,Val!$C$7,Val!$C257),"")</f>
        <v>-416.66666666666669</v>
      </c>
      <c r="O257" s="2">
        <f ca="1">IF(Flag_Send_Data=1,_xll.DBSW(Val!O257,Val!$C$1,Val!$C$2,Val!$C$3,Val!$C$4,Val!$D257,Val!$C$5,Val!$C$6,Val!$B257,Val!$E257,Val!O$10,Val!$C$7,Val!$C257),"")</f>
        <v>-416.66666666666669</v>
      </c>
      <c r="P257" s="2">
        <f ca="1">IF(Flag_Send_Data=1,_xll.DBSW(Val!P257,Val!$C$1,Val!$C$2,Val!$C$3,Val!$C$4,Val!$D257,Val!$C$5,Val!$C$6,Val!$B257,Val!$E257,Val!P$10,Val!$C$7,Val!$C257),"")</f>
        <v>-416.66666666666669</v>
      </c>
      <c r="Q257" s="2">
        <f ca="1">IF(Flag_Send_Data=1,_xll.DBSW(Val!Q257,Val!$C$1,Val!$C$2,Val!$C$3,Val!$C$4,Val!$D257,Val!$C$5,Val!$C$6,Val!$B257,Val!$E257,Val!Q$10,Val!$C$7,Val!$C257),"")</f>
        <v>-416.66666666666669</v>
      </c>
    </row>
    <row r="258" spans="2:17" x14ac:dyDescent="0.25">
      <c r="B258" s="3" t="s">
        <v>270</v>
      </c>
      <c r="C258" t="s">
        <v>51</v>
      </c>
      <c r="D258" t="s">
        <v>199</v>
      </c>
      <c r="E258" t="s">
        <v>128</v>
      </c>
      <c r="F258" s="2">
        <f ca="1">IF(Flag_Send_Data=1,_xll.DBSW(Val!F258,Val!$C$1,Val!$C$2,Val!$C$3,Val!$C$4,Val!$D258,Val!$C$5,Val!$C$6,Val!$B258,Val!$E258,Val!F$10,Val!$C$7,Val!$C258),"")</f>
        <v>-59898.496666666666</v>
      </c>
      <c r="G258" s="2">
        <f ca="1">IF(Flag_Send_Data=1,_xll.DBSW(Val!G258,Val!$C$1,Val!$C$2,Val!$C$3,Val!$C$4,Val!$D258,Val!$C$5,Val!$C$6,Val!$B258,Val!$E258,Val!G$10,Val!$C$7,Val!$C258),"")</f>
        <v>-59898.496666666666</v>
      </c>
      <c r="H258" s="2">
        <f ca="1">IF(Flag_Send_Data=1,_xll.DBSW(Val!H258,Val!$C$1,Val!$C$2,Val!$C$3,Val!$C$4,Val!$D258,Val!$C$5,Val!$C$6,Val!$B258,Val!$E258,Val!H$10,Val!$C$7,Val!$C258),"")</f>
        <v>-59898.496666666666</v>
      </c>
      <c r="I258" s="2">
        <f ca="1">IF(Flag_Send_Data=1,_xll.DBSW(Val!I258,Val!$C$1,Val!$C$2,Val!$C$3,Val!$C$4,Val!$D258,Val!$C$5,Val!$C$6,Val!$B258,Val!$E258,Val!I$10,Val!$C$7,Val!$C258),"")</f>
        <v>-59898.496666666666</v>
      </c>
      <c r="J258" s="2">
        <f ca="1">IF(Flag_Send_Data=1,_xll.DBSW(Val!J258,Val!$C$1,Val!$C$2,Val!$C$3,Val!$C$4,Val!$D258,Val!$C$5,Val!$C$6,Val!$B258,Val!$E258,Val!J$10,Val!$C$7,Val!$C258),"")</f>
        <v>-59898.496666666666</v>
      </c>
      <c r="K258" s="2">
        <f ca="1">IF(Flag_Send_Data=1,_xll.DBSW(Val!K258,Val!$C$1,Val!$C$2,Val!$C$3,Val!$C$4,Val!$D258,Val!$C$5,Val!$C$6,Val!$B258,Val!$E258,Val!K$10,Val!$C$7,Val!$C258),"")</f>
        <v>-59898.496666666666</v>
      </c>
      <c r="L258" s="2">
        <f ca="1">IF(Flag_Send_Data=1,_xll.DBSW(Val!L258,Val!$C$1,Val!$C$2,Val!$C$3,Val!$C$4,Val!$D258,Val!$C$5,Val!$C$6,Val!$B258,Val!$E258,Val!L$10,Val!$C$7,Val!$C258),"")</f>
        <v>-59898.496666666666</v>
      </c>
      <c r="M258" s="2">
        <f ca="1">IF(Flag_Send_Data=1,_xll.DBSW(Val!M258,Val!$C$1,Val!$C$2,Val!$C$3,Val!$C$4,Val!$D258,Val!$C$5,Val!$C$6,Val!$B258,Val!$E258,Val!M$10,Val!$C$7,Val!$C258),"")</f>
        <v>-59898.496666666666</v>
      </c>
      <c r="N258" s="2">
        <f ca="1">IF(Flag_Send_Data=1,_xll.DBSW(Val!N258,Val!$C$1,Val!$C$2,Val!$C$3,Val!$C$4,Val!$D258,Val!$C$5,Val!$C$6,Val!$B258,Val!$E258,Val!N$10,Val!$C$7,Val!$C258),"")</f>
        <v>-59898.496666666666</v>
      </c>
      <c r="O258" s="2">
        <f ca="1">IF(Flag_Send_Data=1,_xll.DBSW(Val!O258,Val!$C$1,Val!$C$2,Val!$C$3,Val!$C$4,Val!$D258,Val!$C$5,Val!$C$6,Val!$B258,Val!$E258,Val!O$10,Val!$C$7,Val!$C258),"")</f>
        <v>-59898.496666666666</v>
      </c>
      <c r="P258" s="2">
        <f ca="1">IF(Flag_Send_Data=1,_xll.DBSW(Val!P258,Val!$C$1,Val!$C$2,Val!$C$3,Val!$C$4,Val!$D258,Val!$C$5,Val!$C$6,Val!$B258,Val!$E258,Val!P$10,Val!$C$7,Val!$C258),"")</f>
        <v>-59898.496666666666</v>
      </c>
      <c r="Q258" s="2">
        <f ca="1">IF(Flag_Send_Data=1,_xll.DBSW(Val!Q258,Val!$C$1,Val!$C$2,Val!$C$3,Val!$C$4,Val!$D258,Val!$C$5,Val!$C$6,Val!$B258,Val!$E258,Val!Q$10,Val!$C$7,Val!$C258),"")</f>
        <v>-59898.496666666666</v>
      </c>
    </row>
    <row r="259" spans="2:17" x14ac:dyDescent="0.25">
      <c r="B259" s="3" t="s">
        <v>270</v>
      </c>
      <c r="C259" t="s">
        <v>52</v>
      </c>
      <c r="D259" t="s">
        <v>199</v>
      </c>
      <c r="E259" t="s">
        <v>128</v>
      </c>
      <c r="F259" s="2">
        <f ca="1">IF(Flag_Send_Data=1,_xll.DBSW(Val!F259,Val!$C$1,Val!$C$2,Val!$C$3,Val!$C$4,Val!$D259,Val!$C$5,Val!$C$6,Val!$B259,Val!$E259,Val!F$10,Val!$C$7,Val!$C259),"")</f>
        <v>-2916.6666666666665</v>
      </c>
      <c r="G259" s="2">
        <f ca="1">IF(Flag_Send_Data=1,_xll.DBSW(Val!G259,Val!$C$1,Val!$C$2,Val!$C$3,Val!$C$4,Val!$D259,Val!$C$5,Val!$C$6,Val!$B259,Val!$E259,Val!G$10,Val!$C$7,Val!$C259),"")</f>
        <v>-2916.6666666666665</v>
      </c>
      <c r="H259" s="2">
        <f ca="1">IF(Flag_Send_Data=1,_xll.DBSW(Val!H259,Val!$C$1,Val!$C$2,Val!$C$3,Val!$C$4,Val!$D259,Val!$C$5,Val!$C$6,Val!$B259,Val!$E259,Val!H$10,Val!$C$7,Val!$C259),"")</f>
        <v>-2916.6666666666665</v>
      </c>
      <c r="I259" s="2">
        <f ca="1">IF(Flag_Send_Data=1,_xll.DBSW(Val!I259,Val!$C$1,Val!$C$2,Val!$C$3,Val!$C$4,Val!$D259,Val!$C$5,Val!$C$6,Val!$B259,Val!$E259,Val!I$10,Val!$C$7,Val!$C259),"")</f>
        <v>-2916.6666666666665</v>
      </c>
      <c r="J259" s="2">
        <f ca="1">IF(Flag_Send_Data=1,_xll.DBSW(Val!J259,Val!$C$1,Val!$C$2,Val!$C$3,Val!$C$4,Val!$D259,Val!$C$5,Val!$C$6,Val!$B259,Val!$E259,Val!J$10,Val!$C$7,Val!$C259),"")</f>
        <v>-2916.6666666666665</v>
      </c>
      <c r="K259" s="2">
        <f ca="1">IF(Flag_Send_Data=1,_xll.DBSW(Val!K259,Val!$C$1,Val!$C$2,Val!$C$3,Val!$C$4,Val!$D259,Val!$C$5,Val!$C$6,Val!$B259,Val!$E259,Val!K$10,Val!$C$7,Val!$C259),"")</f>
        <v>-2916.6666666666665</v>
      </c>
      <c r="L259" s="2">
        <f ca="1">IF(Flag_Send_Data=1,_xll.DBSW(Val!L259,Val!$C$1,Val!$C$2,Val!$C$3,Val!$C$4,Val!$D259,Val!$C$5,Val!$C$6,Val!$B259,Val!$E259,Val!L$10,Val!$C$7,Val!$C259),"")</f>
        <v>-2916.6666666666665</v>
      </c>
      <c r="M259" s="2">
        <f ca="1">IF(Flag_Send_Data=1,_xll.DBSW(Val!M259,Val!$C$1,Val!$C$2,Val!$C$3,Val!$C$4,Val!$D259,Val!$C$5,Val!$C$6,Val!$B259,Val!$E259,Val!M$10,Val!$C$7,Val!$C259),"")</f>
        <v>-2916.6666666666665</v>
      </c>
      <c r="N259" s="2">
        <f ca="1">IF(Flag_Send_Data=1,_xll.DBSW(Val!N259,Val!$C$1,Val!$C$2,Val!$C$3,Val!$C$4,Val!$D259,Val!$C$5,Val!$C$6,Val!$B259,Val!$E259,Val!N$10,Val!$C$7,Val!$C259),"")</f>
        <v>-2916.6666666666665</v>
      </c>
      <c r="O259" s="2">
        <f ca="1">IF(Flag_Send_Data=1,_xll.DBSW(Val!O259,Val!$C$1,Val!$C$2,Val!$C$3,Val!$C$4,Val!$D259,Val!$C$5,Val!$C$6,Val!$B259,Val!$E259,Val!O$10,Val!$C$7,Val!$C259),"")</f>
        <v>-2916.6666666666665</v>
      </c>
      <c r="P259" s="2">
        <f ca="1">IF(Flag_Send_Data=1,_xll.DBSW(Val!P259,Val!$C$1,Val!$C$2,Val!$C$3,Val!$C$4,Val!$D259,Val!$C$5,Val!$C$6,Val!$B259,Val!$E259,Val!P$10,Val!$C$7,Val!$C259),"")</f>
        <v>-2916.6666666666665</v>
      </c>
      <c r="Q259" s="2">
        <f ca="1">IF(Flag_Send_Data=1,_xll.DBSW(Val!Q259,Val!$C$1,Val!$C$2,Val!$C$3,Val!$C$4,Val!$D259,Val!$C$5,Val!$C$6,Val!$B259,Val!$E259,Val!Q$10,Val!$C$7,Val!$C259),"")</f>
        <v>-2916.6666666666665</v>
      </c>
    </row>
    <row r="260" spans="2:17" x14ac:dyDescent="0.25">
      <c r="B260" s="3" t="s">
        <v>270</v>
      </c>
      <c r="C260" t="s">
        <v>53</v>
      </c>
      <c r="D260" t="s">
        <v>199</v>
      </c>
      <c r="E260" t="s">
        <v>128</v>
      </c>
      <c r="F260" s="2">
        <f ca="1">IF(Flag_Send_Data=1,_xll.DBSW(Val!F260,Val!$C$1,Val!$C$2,Val!$C$3,Val!$C$4,Val!$D260,Val!$C$5,Val!$C$6,Val!$B260,Val!$E260,Val!F$10,Val!$C$7,Val!$C260),"")</f>
        <v>-51000.000000000036</v>
      </c>
      <c r="G260" s="2">
        <f ca="1">IF(Flag_Send_Data=1,_xll.DBSW(Val!G260,Val!$C$1,Val!$C$2,Val!$C$3,Val!$C$4,Val!$D260,Val!$C$5,Val!$C$6,Val!$B260,Val!$E260,Val!G$10,Val!$C$7,Val!$C260),"")</f>
        <v>-51000.000000000036</v>
      </c>
      <c r="H260" s="2">
        <f ca="1">IF(Flag_Send_Data=1,_xll.DBSW(Val!H260,Val!$C$1,Val!$C$2,Val!$C$3,Val!$C$4,Val!$D260,Val!$C$5,Val!$C$6,Val!$B260,Val!$E260,Val!H$10,Val!$C$7,Val!$C260),"")</f>
        <v>-51000.000000000036</v>
      </c>
      <c r="I260" s="2">
        <f ca="1">IF(Flag_Send_Data=1,_xll.DBSW(Val!I260,Val!$C$1,Val!$C$2,Val!$C$3,Val!$C$4,Val!$D260,Val!$C$5,Val!$C$6,Val!$B260,Val!$E260,Val!I$10,Val!$C$7,Val!$C260),"")</f>
        <v>-51000.000000000036</v>
      </c>
      <c r="J260" s="2">
        <f ca="1">IF(Flag_Send_Data=1,_xll.DBSW(Val!J260,Val!$C$1,Val!$C$2,Val!$C$3,Val!$C$4,Val!$D260,Val!$C$5,Val!$C$6,Val!$B260,Val!$E260,Val!J$10,Val!$C$7,Val!$C260),"")</f>
        <v>-51000.000000000036</v>
      </c>
      <c r="K260" s="2">
        <f ca="1">IF(Flag_Send_Data=1,_xll.DBSW(Val!K260,Val!$C$1,Val!$C$2,Val!$C$3,Val!$C$4,Val!$D260,Val!$C$5,Val!$C$6,Val!$B260,Val!$E260,Val!K$10,Val!$C$7,Val!$C260),"")</f>
        <v>-51000.000000000036</v>
      </c>
      <c r="L260" s="2">
        <f ca="1">IF(Flag_Send_Data=1,_xll.DBSW(Val!L260,Val!$C$1,Val!$C$2,Val!$C$3,Val!$C$4,Val!$D260,Val!$C$5,Val!$C$6,Val!$B260,Val!$E260,Val!L$10,Val!$C$7,Val!$C260),"")</f>
        <v>-51000.000000000036</v>
      </c>
      <c r="M260" s="2">
        <f ca="1">IF(Flag_Send_Data=1,_xll.DBSW(Val!M260,Val!$C$1,Val!$C$2,Val!$C$3,Val!$C$4,Val!$D260,Val!$C$5,Val!$C$6,Val!$B260,Val!$E260,Val!M$10,Val!$C$7,Val!$C260),"")</f>
        <v>-51000.000000000036</v>
      </c>
      <c r="N260" s="2">
        <f ca="1">IF(Flag_Send_Data=1,_xll.DBSW(Val!N260,Val!$C$1,Val!$C$2,Val!$C$3,Val!$C$4,Val!$D260,Val!$C$5,Val!$C$6,Val!$B260,Val!$E260,Val!N$10,Val!$C$7,Val!$C260),"")</f>
        <v>-51000.000000000036</v>
      </c>
      <c r="O260" s="2">
        <f ca="1">IF(Flag_Send_Data=1,_xll.DBSW(Val!O260,Val!$C$1,Val!$C$2,Val!$C$3,Val!$C$4,Val!$D260,Val!$C$5,Val!$C$6,Val!$B260,Val!$E260,Val!O$10,Val!$C$7,Val!$C260),"")</f>
        <v>-51000.000000000036</v>
      </c>
      <c r="P260" s="2">
        <f ca="1">IF(Flag_Send_Data=1,_xll.DBSW(Val!P260,Val!$C$1,Val!$C$2,Val!$C$3,Val!$C$4,Val!$D260,Val!$C$5,Val!$C$6,Val!$B260,Val!$E260,Val!P$10,Val!$C$7,Val!$C260),"")</f>
        <v>-51000.000000000036</v>
      </c>
      <c r="Q260" s="2">
        <f ca="1">IF(Flag_Send_Data=1,_xll.DBSW(Val!Q260,Val!$C$1,Val!$C$2,Val!$C$3,Val!$C$4,Val!$D260,Val!$C$5,Val!$C$6,Val!$B260,Val!$E260,Val!Q$10,Val!$C$7,Val!$C260),"")</f>
        <v>-51000.000000000036</v>
      </c>
    </row>
    <row r="261" spans="2:17" x14ac:dyDescent="0.25">
      <c r="B261" s="3" t="s">
        <v>270</v>
      </c>
      <c r="C261" t="s">
        <v>54</v>
      </c>
      <c r="D261" t="s">
        <v>199</v>
      </c>
      <c r="E261" t="s">
        <v>128</v>
      </c>
      <c r="F261" s="2">
        <f ca="1">IF(Flag_Send_Data=1,_xll.DBSW(Val!F261,Val!$C$1,Val!$C$2,Val!$C$3,Val!$C$4,Val!$D261,Val!$C$5,Val!$C$6,Val!$B261,Val!$E261,Val!F$10,Val!$C$7,Val!$C261),"")</f>
        <v>-416.66666666666669</v>
      </c>
      <c r="G261" s="2">
        <f ca="1">IF(Flag_Send_Data=1,_xll.DBSW(Val!G261,Val!$C$1,Val!$C$2,Val!$C$3,Val!$C$4,Val!$D261,Val!$C$5,Val!$C$6,Val!$B261,Val!$E261,Val!G$10,Val!$C$7,Val!$C261),"")</f>
        <v>-416.66666666666669</v>
      </c>
      <c r="H261" s="2">
        <f ca="1">IF(Flag_Send_Data=1,_xll.DBSW(Val!H261,Val!$C$1,Val!$C$2,Val!$C$3,Val!$C$4,Val!$D261,Val!$C$5,Val!$C$6,Val!$B261,Val!$E261,Val!H$10,Val!$C$7,Val!$C261),"")</f>
        <v>-416.66666666666669</v>
      </c>
      <c r="I261" s="2">
        <f ca="1">IF(Flag_Send_Data=1,_xll.DBSW(Val!I261,Val!$C$1,Val!$C$2,Val!$C$3,Val!$C$4,Val!$D261,Val!$C$5,Val!$C$6,Val!$B261,Val!$E261,Val!I$10,Val!$C$7,Val!$C261),"")</f>
        <v>-416.66666666666669</v>
      </c>
      <c r="J261" s="2">
        <f ca="1">IF(Flag_Send_Data=1,_xll.DBSW(Val!J261,Val!$C$1,Val!$C$2,Val!$C$3,Val!$C$4,Val!$D261,Val!$C$5,Val!$C$6,Val!$B261,Val!$E261,Val!J$10,Val!$C$7,Val!$C261),"")</f>
        <v>-416.66666666666669</v>
      </c>
      <c r="K261" s="2">
        <f ca="1">IF(Flag_Send_Data=1,_xll.DBSW(Val!K261,Val!$C$1,Val!$C$2,Val!$C$3,Val!$C$4,Val!$D261,Val!$C$5,Val!$C$6,Val!$B261,Val!$E261,Val!K$10,Val!$C$7,Val!$C261),"")</f>
        <v>-416.66666666666669</v>
      </c>
      <c r="L261" s="2">
        <f ca="1">IF(Flag_Send_Data=1,_xll.DBSW(Val!L261,Val!$C$1,Val!$C$2,Val!$C$3,Val!$C$4,Val!$D261,Val!$C$5,Val!$C$6,Val!$B261,Val!$E261,Val!L$10,Val!$C$7,Val!$C261),"")</f>
        <v>-416.66666666666669</v>
      </c>
      <c r="M261" s="2">
        <f ca="1">IF(Flag_Send_Data=1,_xll.DBSW(Val!M261,Val!$C$1,Val!$C$2,Val!$C$3,Val!$C$4,Val!$D261,Val!$C$5,Val!$C$6,Val!$B261,Val!$E261,Val!M$10,Val!$C$7,Val!$C261),"")</f>
        <v>-416.66666666666669</v>
      </c>
      <c r="N261" s="2">
        <f ca="1">IF(Flag_Send_Data=1,_xll.DBSW(Val!N261,Val!$C$1,Val!$C$2,Val!$C$3,Val!$C$4,Val!$D261,Val!$C$5,Val!$C$6,Val!$B261,Val!$E261,Val!N$10,Val!$C$7,Val!$C261),"")</f>
        <v>-416.66666666666669</v>
      </c>
      <c r="O261" s="2">
        <f ca="1">IF(Flag_Send_Data=1,_xll.DBSW(Val!O261,Val!$C$1,Val!$C$2,Val!$C$3,Val!$C$4,Val!$D261,Val!$C$5,Val!$C$6,Val!$B261,Val!$E261,Val!O$10,Val!$C$7,Val!$C261),"")</f>
        <v>-416.66666666666669</v>
      </c>
      <c r="P261" s="2">
        <f ca="1">IF(Flag_Send_Data=1,_xll.DBSW(Val!P261,Val!$C$1,Val!$C$2,Val!$C$3,Val!$C$4,Val!$D261,Val!$C$5,Val!$C$6,Val!$B261,Val!$E261,Val!P$10,Val!$C$7,Val!$C261),"")</f>
        <v>-416.66666666666669</v>
      </c>
      <c r="Q261" s="2">
        <f ca="1">IF(Flag_Send_Data=1,_xll.DBSW(Val!Q261,Val!$C$1,Val!$C$2,Val!$C$3,Val!$C$4,Val!$D261,Val!$C$5,Val!$C$6,Val!$B261,Val!$E261,Val!Q$10,Val!$C$7,Val!$C261),"")</f>
        <v>-416.66666666666669</v>
      </c>
    </row>
    <row r="262" spans="2:17" x14ac:dyDescent="0.25">
      <c r="B262" s="3" t="s">
        <v>270</v>
      </c>
      <c r="C262" t="s">
        <v>110</v>
      </c>
      <c r="D262" t="s">
        <v>199</v>
      </c>
      <c r="E262" t="s">
        <v>128</v>
      </c>
      <c r="F262" s="2">
        <f ca="1">IF(Flag_Send_Data=1,_xll.DBSW(Val!F262,Val!$C$1,Val!$C$2,Val!$C$3,Val!$C$4,Val!$D262,Val!$C$5,Val!$C$6,Val!$B262,Val!$E262,Val!F$10,Val!$C$7,Val!$C262),"")</f>
        <v>-1000</v>
      </c>
      <c r="G262" s="2">
        <f ca="1">IF(Flag_Send_Data=1,_xll.DBSW(Val!G262,Val!$C$1,Val!$C$2,Val!$C$3,Val!$C$4,Val!$D262,Val!$C$5,Val!$C$6,Val!$B262,Val!$E262,Val!G$10,Val!$C$7,Val!$C262),"")</f>
        <v>-1000</v>
      </c>
      <c r="H262" s="2">
        <f ca="1">IF(Flag_Send_Data=1,_xll.DBSW(Val!H262,Val!$C$1,Val!$C$2,Val!$C$3,Val!$C$4,Val!$D262,Val!$C$5,Val!$C$6,Val!$B262,Val!$E262,Val!H$10,Val!$C$7,Val!$C262),"")</f>
        <v>-1000</v>
      </c>
      <c r="I262" s="2">
        <f ca="1">IF(Flag_Send_Data=1,_xll.DBSW(Val!I262,Val!$C$1,Val!$C$2,Val!$C$3,Val!$C$4,Val!$D262,Val!$C$5,Val!$C$6,Val!$B262,Val!$E262,Val!I$10,Val!$C$7,Val!$C262),"")</f>
        <v>-1000</v>
      </c>
      <c r="J262" s="2">
        <f ca="1">IF(Flag_Send_Data=1,_xll.DBSW(Val!J262,Val!$C$1,Val!$C$2,Val!$C$3,Val!$C$4,Val!$D262,Val!$C$5,Val!$C$6,Val!$B262,Val!$E262,Val!J$10,Val!$C$7,Val!$C262),"")</f>
        <v>-1000</v>
      </c>
      <c r="K262" s="2">
        <f ca="1">IF(Flag_Send_Data=1,_xll.DBSW(Val!K262,Val!$C$1,Val!$C$2,Val!$C$3,Val!$C$4,Val!$D262,Val!$C$5,Val!$C$6,Val!$B262,Val!$E262,Val!K$10,Val!$C$7,Val!$C262),"")</f>
        <v>-1000</v>
      </c>
      <c r="L262" s="2">
        <f ca="1">IF(Flag_Send_Data=1,_xll.DBSW(Val!L262,Val!$C$1,Val!$C$2,Val!$C$3,Val!$C$4,Val!$D262,Val!$C$5,Val!$C$6,Val!$B262,Val!$E262,Val!L$10,Val!$C$7,Val!$C262),"")</f>
        <v>-1000</v>
      </c>
      <c r="M262" s="2">
        <f ca="1">IF(Flag_Send_Data=1,_xll.DBSW(Val!M262,Val!$C$1,Val!$C$2,Val!$C$3,Val!$C$4,Val!$D262,Val!$C$5,Val!$C$6,Val!$B262,Val!$E262,Val!M$10,Val!$C$7,Val!$C262),"")</f>
        <v>-1000</v>
      </c>
      <c r="N262" s="2">
        <f ca="1">IF(Flag_Send_Data=1,_xll.DBSW(Val!N262,Val!$C$1,Val!$C$2,Val!$C$3,Val!$C$4,Val!$D262,Val!$C$5,Val!$C$6,Val!$B262,Val!$E262,Val!N$10,Val!$C$7,Val!$C262),"")</f>
        <v>-1000</v>
      </c>
      <c r="O262" s="2">
        <f ca="1">IF(Flag_Send_Data=1,_xll.DBSW(Val!O262,Val!$C$1,Val!$C$2,Val!$C$3,Val!$C$4,Val!$D262,Val!$C$5,Val!$C$6,Val!$B262,Val!$E262,Val!O$10,Val!$C$7,Val!$C262),"")</f>
        <v>-1000</v>
      </c>
      <c r="P262" s="2">
        <f ca="1">IF(Flag_Send_Data=1,_xll.DBSW(Val!P262,Val!$C$1,Val!$C$2,Val!$C$3,Val!$C$4,Val!$D262,Val!$C$5,Val!$C$6,Val!$B262,Val!$E262,Val!P$10,Val!$C$7,Val!$C262),"")</f>
        <v>-1000</v>
      </c>
      <c r="Q262" s="2">
        <f ca="1">IF(Flag_Send_Data=1,_xll.DBSW(Val!Q262,Val!$C$1,Val!$C$2,Val!$C$3,Val!$C$4,Val!$D262,Val!$C$5,Val!$C$6,Val!$B262,Val!$E262,Val!Q$10,Val!$C$7,Val!$C262),"")</f>
        <v>-1000</v>
      </c>
    </row>
    <row r="263" spans="2:17" x14ac:dyDescent="0.25">
      <c r="B263" s="3" t="s">
        <v>271</v>
      </c>
      <c r="C263" t="s">
        <v>51</v>
      </c>
      <c r="D263" t="s">
        <v>199</v>
      </c>
      <c r="E263" t="s">
        <v>128</v>
      </c>
      <c r="F263" s="2">
        <f ca="1">IF(Flag_Send_Data=1,_xll.DBSW(Val!F263,Val!$C$1,Val!$C$2,Val!$C$3,Val!$C$4,Val!$D263,Val!$C$5,Val!$C$6,Val!$B263,Val!$E263,Val!F$10,Val!$C$7,Val!$C263),"")</f>
        <v>-98602.841666666674</v>
      </c>
      <c r="G263" s="2">
        <f ca="1">IF(Flag_Send_Data=1,_xll.DBSW(Val!G263,Val!$C$1,Val!$C$2,Val!$C$3,Val!$C$4,Val!$D263,Val!$C$5,Val!$C$6,Val!$B263,Val!$E263,Val!G$10,Val!$C$7,Val!$C263),"")</f>
        <v>-98602.841666666674</v>
      </c>
      <c r="H263" s="2">
        <f ca="1">IF(Flag_Send_Data=1,_xll.DBSW(Val!H263,Val!$C$1,Val!$C$2,Val!$C$3,Val!$C$4,Val!$D263,Val!$C$5,Val!$C$6,Val!$B263,Val!$E263,Val!H$10,Val!$C$7,Val!$C263),"")</f>
        <v>-98602.841666666674</v>
      </c>
      <c r="I263" s="2">
        <f ca="1">IF(Flag_Send_Data=1,_xll.DBSW(Val!I263,Val!$C$1,Val!$C$2,Val!$C$3,Val!$C$4,Val!$D263,Val!$C$5,Val!$C$6,Val!$B263,Val!$E263,Val!I$10,Val!$C$7,Val!$C263),"")</f>
        <v>-98602.841666666674</v>
      </c>
      <c r="J263" s="2">
        <f ca="1">IF(Flag_Send_Data=1,_xll.DBSW(Val!J263,Val!$C$1,Val!$C$2,Val!$C$3,Val!$C$4,Val!$D263,Val!$C$5,Val!$C$6,Val!$B263,Val!$E263,Val!J$10,Val!$C$7,Val!$C263),"")</f>
        <v>-98602.841666666674</v>
      </c>
      <c r="K263" s="2">
        <f ca="1">IF(Flag_Send_Data=1,_xll.DBSW(Val!K263,Val!$C$1,Val!$C$2,Val!$C$3,Val!$C$4,Val!$D263,Val!$C$5,Val!$C$6,Val!$B263,Val!$E263,Val!K$10,Val!$C$7,Val!$C263),"")</f>
        <v>-98602.841666666674</v>
      </c>
      <c r="L263" s="2">
        <f ca="1">IF(Flag_Send_Data=1,_xll.DBSW(Val!L263,Val!$C$1,Val!$C$2,Val!$C$3,Val!$C$4,Val!$D263,Val!$C$5,Val!$C$6,Val!$B263,Val!$E263,Val!L$10,Val!$C$7,Val!$C263),"")</f>
        <v>-98602.841666666674</v>
      </c>
      <c r="M263" s="2">
        <f ca="1">IF(Flag_Send_Data=1,_xll.DBSW(Val!M263,Val!$C$1,Val!$C$2,Val!$C$3,Val!$C$4,Val!$D263,Val!$C$5,Val!$C$6,Val!$B263,Val!$E263,Val!M$10,Val!$C$7,Val!$C263),"")</f>
        <v>-98602.841666666674</v>
      </c>
      <c r="N263" s="2">
        <f ca="1">IF(Flag_Send_Data=1,_xll.DBSW(Val!N263,Val!$C$1,Val!$C$2,Val!$C$3,Val!$C$4,Val!$D263,Val!$C$5,Val!$C$6,Val!$B263,Val!$E263,Val!N$10,Val!$C$7,Val!$C263),"")</f>
        <v>-98602.841666666674</v>
      </c>
      <c r="O263" s="2">
        <f ca="1">IF(Flag_Send_Data=1,_xll.DBSW(Val!O263,Val!$C$1,Val!$C$2,Val!$C$3,Val!$C$4,Val!$D263,Val!$C$5,Val!$C$6,Val!$B263,Val!$E263,Val!O$10,Val!$C$7,Val!$C263),"")</f>
        <v>-98602.841666666674</v>
      </c>
      <c r="P263" s="2">
        <f ca="1">IF(Flag_Send_Data=1,_xll.DBSW(Val!P263,Val!$C$1,Val!$C$2,Val!$C$3,Val!$C$4,Val!$D263,Val!$C$5,Val!$C$6,Val!$B263,Val!$E263,Val!P$10,Val!$C$7,Val!$C263),"")</f>
        <v>-98602.841666666674</v>
      </c>
      <c r="Q263" s="2">
        <f ca="1">IF(Flag_Send_Data=1,_xll.DBSW(Val!Q263,Val!$C$1,Val!$C$2,Val!$C$3,Val!$C$4,Val!$D263,Val!$C$5,Val!$C$6,Val!$B263,Val!$E263,Val!Q$10,Val!$C$7,Val!$C263),"")</f>
        <v>-98602.841666666674</v>
      </c>
    </row>
    <row r="264" spans="2:17" x14ac:dyDescent="0.25">
      <c r="B264" s="3" t="s">
        <v>271</v>
      </c>
      <c r="C264" t="s">
        <v>52</v>
      </c>
      <c r="D264" t="s">
        <v>199</v>
      </c>
      <c r="E264" t="s">
        <v>128</v>
      </c>
      <c r="F264" s="2">
        <f ca="1">IF(Flag_Send_Data=1,_xll.DBSW(Val!F264,Val!$C$1,Val!$C$2,Val!$C$3,Val!$C$4,Val!$D264,Val!$C$5,Val!$C$6,Val!$B264,Val!$E264,Val!F$10,Val!$C$7,Val!$C264),"")</f>
        <v>-3333.3333333333335</v>
      </c>
      <c r="G264" s="2">
        <f ca="1">IF(Flag_Send_Data=1,_xll.DBSW(Val!G264,Val!$C$1,Val!$C$2,Val!$C$3,Val!$C$4,Val!$D264,Val!$C$5,Val!$C$6,Val!$B264,Val!$E264,Val!G$10,Val!$C$7,Val!$C264),"")</f>
        <v>-3333.3333333333335</v>
      </c>
      <c r="H264" s="2">
        <f ca="1">IF(Flag_Send_Data=1,_xll.DBSW(Val!H264,Val!$C$1,Val!$C$2,Val!$C$3,Val!$C$4,Val!$D264,Val!$C$5,Val!$C$6,Val!$B264,Val!$E264,Val!H$10,Val!$C$7,Val!$C264),"")</f>
        <v>-3333.3333333333335</v>
      </c>
      <c r="I264" s="2">
        <f ca="1">IF(Flag_Send_Data=1,_xll.DBSW(Val!I264,Val!$C$1,Val!$C$2,Val!$C$3,Val!$C$4,Val!$D264,Val!$C$5,Val!$C$6,Val!$B264,Val!$E264,Val!I$10,Val!$C$7,Val!$C264),"")</f>
        <v>-3333.3333333333335</v>
      </c>
      <c r="J264" s="2">
        <f ca="1">IF(Flag_Send_Data=1,_xll.DBSW(Val!J264,Val!$C$1,Val!$C$2,Val!$C$3,Val!$C$4,Val!$D264,Val!$C$5,Val!$C$6,Val!$B264,Val!$E264,Val!J$10,Val!$C$7,Val!$C264),"")</f>
        <v>-3333.3333333333335</v>
      </c>
      <c r="K264" s="2">
        <f ca="1">IF(Flag_Send_Data=1,_xll.DBSW(Val!K264,Val!$C$1,Val!$C$2,Val!$C$3,Val!$C$4,Val!$D264,Val!$C$5,Val!$C$6,Val!$B264,Val!$E264,Val!K$10,Val!$C$7,Val!$C264),"")</f>
        <v>-3333.3333333333335</v>
      </c>
      <c r="L264" s="2">
        <f ca="1">IF(Flag_Send_Data=1,_xll.DBSW(Val!L264,Val!$C$1,Val!$C$2,Val!$C$3,Val!$C$4,Val!$D264,Val!$C$5,Val!$C$6,Val!$B264,Val!$E264,Val!L$10,Val!$C$7,Val!$C264),"")</f>
        <v>-3333.3333333333335</v>
      </c>
      <c r="M264" s="2">
        <f ca="1">IF(Flag_Send_Data=1,_xll.DBSW(Val!M264,Val!$C$1,Val!$C$2,Val!$C$3,Val!$C$4,Val!$D264,Val!$C$5,Val!$C$6,Val!$B264,Val!$E264,Val!M$10,Val!$C$7,Val!$C264),"")</f>
        <v>-3333.3333333333335</v>
      </c>
      <c r="N264" s="2">
        <f ca="1">IF(Flag_Send_Data=1,_xll.DBSW(Val!N264,Val!$C$1,Val!$C$2,Val!$C$3,Val!$C$4,Val!$D264,Val!$C$5,Val!$C$6,Val!$B264,Val!$E264,Val!N$10,Val!$C$7,Val!$C264),"")</f>
        <v>-3333.3333333333335</v>
      </c>
      <c r="O264" s="2">
        <f ca="1">IF(Flag_Send_Data=1,_xll.DBSW(Val!O264,Val!$C$1,Val!$C$2,Val!$C$3,Val!$C$4,Val!$D264,Val!$C$5,Val!$C$6,Val!$B264,Val!$E264,Val!O$10,Val!$C$7,Val!$C264),"")</f>
        <v>-3333.3333333333335</v>
      </c>
      <c r="P264" s="2">
        <f ca="1">IF(Flag_Send_Data=1,_xll.DBSW(Val!P264,Val!$C$1,Val!$C$2,Val!$C$3,Val!$C$4,Val!$D264,Val!$C$5,Val!$C$6,Val!$B264,Val!$E264,Val!P$10,Val!$C$7,Val!$C264),"")</f>
        <v>-3333.3333333333335</v>
      </c>
      <c r="Q264" s="2">
        <f ca="1">IF(Flag_Send_Data=1,_xll.DBSW(Val!Q264,Val!$C$1,Val!$C$2,Val!$C$3,Val!$C$4,Val!$D264,Val!$C$5,Val!$C$6,Val!$B264,Val!$E264,Val!Q$10,Val!$C$7,Val!$C264),"")</f>
        <v>-3333.3333333333335</v>
      </c>
    </row>
    <row r="265" spans="2:17" x14ac:dyDescent="0.25">
      <c r="B265" s="3" t="s">
        <v>271</v>
      </c>
      <c r="C265" t="s">
        <v>53</v>
      </c>
      <c r="D265" t="s">
        <v>199</v>
      </c>
      <c r="E265" t="s">
        <v>128</v>
      </c>
      <c r="F265" s="2">
        <f ca="1">IF(Flag_Send_Data=1,_xll.DBSW(Val!F265,Val!$C$1,Val!$C$2,Val!$C$3,Val!$C$4,Val!$D265,Val!$C$5,Val!$C$6,Val!$B265,Val!$E265,Val!F$10,Val!$C$7,Val!$C265),"")</f>
        <v>-20833.333333333332</v>
      </c>
      <c r="G265" s="2">
        <f ca="1">IF(Flag_Send_Data=1,_xll.DBSW(Val!G265,Val!$C$1,Val!$C$2,Val!$C$3,Val!$C$4,Val!$D265,Val!$C$5,Val!$C$6,Val!$B265,Val!$E265,Val!G$10,Val!$C$7,Val!$C265),"")</f>
        <v>-20833.333333333332</v>
      </c>
      <c r="H265" s="2">
        <f ca="1">IF(Flag_Send_Data=1,_xll.DBSW(Val!H265,Val!$C$1,Val!$C$2,Val!$C$3,Val!$C$4,Val!$D265,Val!$C$5,Val!$C$6,Val!$B265,Val!$E265,Val!H$10,Val!$C$7,Val!$C265),"")</f>
        <v>-20833.333333333332</v>
      </c>
      <c r="I265" s="2">
        <f ca="1">IF(Flag_Send_Data=1,_xll.DBSW(Val!I265,Val!$C$1,Val!$C$2,Val!$C$3,Val!$C$4,Val!$D265,Val!$C$5,Val!$C$6,Val!$B265,Val!$E265,Val!I$10,Val!$C$7,Val!$C265),"")</f>
        <v>-20833.333333333332</v>
      </c>
      <c r="J265" s="2">
        <f ca="1">IF(Flag_Send_Data=1,_xll.DBSW(Val!J265,Val!$C$1,Val!$C$2,Val!$C$3,Val!$C$4,Val!$D265,Val!$C$5,Val!$C$6,Val!$B265,Val!$E265,Val!J$10,Val!$C$7,Val!$C265),"")</f>
        <v>-20833.333333333332</v>
      </c>
      <c r="K265" s="2">
        <f ca="1">IF(Flag_Send_Data=1,_xll.DBSW(Val!K265,Val!$C$1,Val!$C$2,Val!$C$3,Val!$C$4,Val!$D265,Val!$C$5,Val!$C$6,Val!$B265,Val!$E265,Val!K$10,Val!$C$7,Val!$C265),"")</f>
        <v>-20833.333333333332</v>
      </c>
      <c r="L265" s="2">
        <f ca="1">IF(Flag_Send_Data=1,_xll.DBSW(Val!L265,Val!$C$1,Val!$C$2,Val!$C$3,Val!$C$4,Val!$D265,Val!$C$5,Val!$C$6,Val!$B265,Val!$E265,Val!L$10,Val!$C$7,Val!$C265),"")</f>
        <v>-20833.333333333332</v>
      </c>
      <c r="M265" s="2">
        <f ca="1">IF(Flag_Send_Data=1,_xll.DBSW(Val!M265,Val!$C$1,Val!$C$2,Val!$C$3,Val!$C$4,Val!$D265,Val!$C$5,Val!$C$6,Val!$B265,Val!$E265,Val!M$10,Val!$C$7,Val!$C265),"")</f>
        <v>-20833.333333333332</v>
      </c>
      <c r="N265" s="2">
        <f ca="1">IF(Flag_Send_Data=1,_xll.DBSW(Val!N265,Val!$C$1,Val!$C$2,Val!$C$3,Val!$C$4,Val!$D265,Val!$C$5,Val!$C$6,Val!$B265,Val!$E265,Val!N$10,Val!$C$7,Val!$C265),"")</f>
        <v>-20833.333333333332</v>
      </c>
      <c r="O265" s="2">
        <f ca="1">IF(Flag_Send_Data=1,_xll.DBSW(Val!O265,Val!$C$1,Val!$C$2,Val!$C$3,Val!$C$4,Val!$D265,Val!$C$5,Val!$C$6,Val!$B265,Val!$E265,Val!O$10,Val!$C$7,Val!$C265),"")</f>
        <v>-20833.333333333332</v>
      </c>
      <c r="P265" s="2">
        <f ca="1">IF(Flag_Send_Data=1,_xll.DBSW(Val!P265,Val!$C$1,Val!$C$2,Val!$C$3,Val!$C$4,Val!$D265,Val!$C$5,Val!$C$6,Val!$B265,Val!$E265,Val!P$10,Val!$C$7,Val!$C265),"")</f>
        <v>-20833.333333333332</v>
      </c>
      <c r="Q265" s="2">
        <f ca="1">IF(Flag_Send_Data=1,_xll.DBSW(Val!Q265,Val!$C$1,Val!$C$2,Val!$C$3,Val!$C$4,Val!$D265,Val!$C$5,Val!$C$6,Val!$B265,Val!$E265,Val!Q$10,Val!$C$7,Val!$C265),"")</f>
        <v>-20833.333333333332</v>
      </c>
    </row>
    <row r="266" spans="2:17" x14ac:dyDescent="0.25">
      <c r="B266" s="3" t="s">
        <v>271</v>
      </c>
      <c r="C266" t="s">
        <v>54</v>
      </c>
      <c r="D266" t="s">
        <v>199</v>
      </c>
      <c r="E266" t="s">
        <v>128</v>
      </c>
      <c r="F266" s="2">
        <f ca="1">IF(Flag_Send_Data=1,_xll.DBSW(Val!F266,Val!$C$1,Val!$C$2,Val!$C$3,Val!$C$4,Val!$D266,Val!$C$5,Val!$C$6,Val!$B266,Val!$E266,Val!F$10,Val!$C$7,Val!$C266),"")</f>
        <v>-333.33333333333331</v>
      </c>
      <c r="G266" s="2">
        <f ca="1">IF(Flag_Send_Data=1,_xll.DBSW(Val!G266,Val!$C$1,Val!$C$2,Val!$C$3,Val!$C$4,Val!$D266,Val!$C$5,Val!$C$6,Val!$B266,Val!$E266,Val!G$10,Val!$C$7,Val!$C266),"")</f>
        <v>-333.33333333333331</v>
      </c>
      <c r="H266" s="2">
        <f ca="1">IF(Flag_Send_Data=1,_xll.DBSW(Val!H266,Val!$C$1,Val!$C$2,Val!$C$3,Val!$C$4,Val!$D266,Val!$C$5,Val!$C$6,Val!$B266,Val!$E266,Val!H$10,Val!$C$7,Val!$C266),"")</f>
        <v>-333.33333333333331</v>
      </c>
      <c r="I266" s="2">
        <f ca="1">IF(Flag_Send_Data=1,_xll.DBSW(Val!I266,Val!$C$1,Val!$C$2,Val!$C$3,Val!$C$4,Val!$D266,Val!$C$5,Val!$C$6,Val!$B266,Val!$E266,Val!I$10,Val!$C$7,Val!$C266),"")</f>
        <v>-333.33333333333331</v>
      </c>
      <c r="J266" s="2">
        <f ca="1">IF(Flag_Send_Data=1,_xll.DBSW(Val!J266,Val!$C$1,Val!$C$2,Val!$C$3,Val!$C$4,Val!$D266,Val!$C$5,Val!$C$6,Val!$B266,Val!$E266,Val!J$10,Val!$C$7,Val!$C266),"")</f>
        <v>-333.33333333333331</v>
      </c>
      <c r="K266" s="2">
        <f ca="1">IF(Flag_Send_Data=1,_xll.DBSW(Val!K266,Val!$C$1,Val!$C$2,Val!$C$3,Val!$C$4,Val!$D266,Val!$C$5,Val!$C$6,Val!$B266,Val!$E266,Val!K$10,Val!$C$7,Val!$C266),"")</f>
        <v>-333.33333333333331</v>
      </c>
      <c r="L266" s="2">
        <f ca="1">IF(Flag_Send_Data=1,_xll.DBSW(Val!L266,Val!$C$1,Val!$C$2,Val!$C$3,Val!$C$4,Val!$D266,Val!$C$5,Val!$C$6,Val!$B266,Val!$E266,Val!L$10,Val!$C$7,Val!$C266),"")</f>
        <v>-333.33333333333331</v>
      </c>
      <c r="M266" s="2">
        <f ca="1">IF(Flag_Send_Data=1,_xll.DBSW(Val!M266,Val!$C$1,Val!$C$2,Val!$C$3,Val!$C$4,Val!$D266,Val!$C$5,Val!$C$6,Val!$B266,Val!$E266,Val!M$10,Val!$C$7,Val!$C266),"")</f>
        <v>-333.33333333333331</v>
      </c>
      <c r="N266" s="2">
        <f ca="1">IF(Flag_Send_Data=1,_xll.DBSW(Val!N266,Val!$C$1,Val!$C$2,Val!$C$3,Val!$C$4,Val!$D266,Val!$C$5,Val!$C$6,Val!$B266,Val!$E266,Val!N$10,Val!$C$7,Val!$C266),"")</f>
        <v>-333.33333333333331</v>
      </c>
      <c r="O266" s="2">
        <f ca="1">IF(Flag_Send_Data=1,_xll.DBSW(Val!O266,Val!$C$1,Val!$C$2,Val!$C$3,Val!$C$4,Val!$D266,Val!$C$5,Val!$C$6,Val!$B266,Val!$E266,Val!O$10,Val!$C$7,Val!$C266),"")</f>
        <v>-333.33333333333331</v>
      </c>
      <c r="P266" s="2">
        <f ca="1">IF(Flag_Send_Data=1,_xll.DBSW(Val!P266,Val!$C$1,Val!$C$2,Val!$C$3,Val!$C$4,Val!$D266,Val!$C$5,Val!$C$6,Val!$B266,Val!$E266,Val!P$10,Val!$C$7,Val!$C266),"")</f>
        <v>-333.33333333333331</v>
      </c>
      <c r="Q266" s="2">
        <f ca="1">IF(Flag_Send_Data=1,_xll.DBSW(Val!Q266,Val!$C$1,Val!$C$2,Val!$C$3,Val!$C$4,Val!$D266,Val!$C$5,Val!$C$6,Val!$B266,Val!$E266,Val!Q$10,Val!$C$7,Val!$C266),"")</f>
        <v>-333.33333333333331</v>
      </c>
    </row>
    <row r="267" spans="2:17" x14ac:dyDescent="0.25">
      <c r="B267" s="3" t="s">
        <v>271</v>
      </c>
      <c r="C267" t="s">
        <v>110</v>
      </c>
      <c r="D267" t="s">
        <v>199</v>
      </c>
      <c r="E267" t="s">
        <v>128</v>
      </c>
      <c r="F267" s="2">
        <f ca="1">IF(Flag_Send_Data=1,_xll.DBSW(Val!F267,Val!$C$1,Val!$C$2,Val!$C$3,Val!$C$4,Val!$D267,Val!$C$5,Val!$C$6,Val!$B267,Val!$E267,Val!F$10,Val!$C$7,Val!$C267),"")</f>
        <v>-1666.6666666666667</v>
      </c>
      <c r="G267" s="2">
        <f ca="1">IF(Flag_Send_Data=1,_xll.DBSW(Val!G267,Val!$C$1,Val!$C$2,Val!$C$3,Val!$C$4,Val!$D267,Val!$C$5,Val!$C$6,Val!$B267,Val!$E267,Val!G$10,Val!$C$7,Val!$C267),"")</f>
        <v>-1666.6666666666667</v>
      </c>
      <c r="H267" s="2">
        <f ca="1">IF(Flag_Send_Data=1,_xll.DBSW(Val!H267,Val!$C$1,Val!$C$2,Val!$C$3,Val!$C$4,Val!$D267,Val!$C$5,Val!$C$6,Val!$B267,Val!$E267,Val!H$10,Val!$C$7,Val!$C267),"")</f>
        <v>-1666.6666666666667</v>
      </c>
      <c r="I267" s="2">
        <f ca="1">IF(Flag_Send_Data=1,_xll.DBSW(Val!I267,Val!$C$1,Val!$C$2,Val!$C$3,Val!$C$4,Val!$D267,Val!$C$5,Val!$C$6,Val!$B267,Val!$E267,Val!I$10,Val!$C$7,Val!$C267),"")</f>
        <v>-1666.6666666666667</v>
      </c>
      <c r="J267" s="2">
        <f ca="1">IF(Flag_Send_Data=1,_xll.DBSW(Val!J267,Val!$C$1,Val!$C$2,Val!$C$3,Val!$C$4,Val!$D267,Val!$C$5,Val!$C$6,Val!$B267,Val!$E267,Val!J$10,Val!$C$7,Val!$C267),"")</f>
        <v>-1666.6666666666667</v>
      </c>
      <c r="K267" s="2">
        <f ca="1">IF(Flag_Send_Data=1,_xll.DBSW(Val!K267,Val!$C$1,Val!$C$2,Val!$C$3,Val!$C$4,Val!$D267,Val!$C$5,Val!$C$6,Val!$B267,Val!$E267,Val!K$10,Val!$C$7,Val!$C267),"")</f>
        <v>-1666.6666666666667</v>
      </c>
      <c r="L267" s="2">
        <f ca="1">IF(Flag_Send_Data=1,_xll.DBSW(Val!L267,Val!$C$1,Val!$C$2,Val!$C$3,Val!$C$4,Val!$D267,Val!$C$5,Val!$C$6,Val!$B267,Val!$E267,Val!L$10,Val!$C$7,Val!$C267),"")</f>
        <v>-1666.6666666666667</v>
      </c>
      <c r="M267" s="2">
        <f ca="1">IF(Flag_Send_Data=1,_xll.DBSW(Val!M267,Val!$C$1,Val!$C$2,Val!$C$3,Val!$C$4,Val!$D267,Val!$C$5,Val!$C$6,Val!$B267,Val!$E267,Val!M$10,Val!$C$7,Val!$C267),"")</f>
        <v>-1666.6666666666667</v>
      </c>
      <c r="N267" s="2">
        <f ca="1">IF(Flag_Send_Data=1,_xll.DBSW(Val!N267,Val!$C$1,Val!$C$2,Val!$C$3,Val!$C$4,Val!$D267,Val!$C$5,Val!$C$6,Val!$B267,Val!$E267,Val!N$10,Val!$C$7,Val!$C267),"")</f>
        <v>-1666.6666666666667</v>
      </c>
      <c r="O267" s="2">
        <f ca="1">IF(Flag_Send_Data=1,_xll.DBSW(Val!O267,Val!$C$1,Val!$C$2,Val!$C$3,Val!$C$4,Val!$D267,Val!$C$5,Val!$C$6,Val!$B267,Val!$E267,Val!O$10,Val!$C$7,Val!$C267),"")</f>
        <v>-1666.6666666666667</v>
      </c>
      <c r="P267" s="2">
        <f ca="1">IF(Flag_Send_Data=1,_xll.DBSW(Val!P267,Val!$C$1,Val!$C$2,Val!$C$3,Val!$C$4,Val!$D267,Val!$C$5,Val!$C$6,Val!$B267,Val!$E267,Val!P$10,Val!$C$7,Val!$C267),"")</f>
        <v>-1666.6666666666667</v>
      </c>
      <c r="Q267" s="2">
        <f ca="1">IF(Flag_Send_Data=1,_xll.DBSW(Val!Q267,Val!$C$1,Val!$C$2,Val!$C$3,Val!$C$4,Val!$D267,Val!$C$5,Val!$C$6,Val!$B267,Val!$E267,Val!Q$10,Val!$C$7,Val!$C267),"")</f>
        <v>-1666.6666666666667</v>
      </c>
    </row>
    <row r="268" spans="2:17" x14ac:dyDescent="0.25">
      <c r="B268" s="3" t="s">
        <v>272</v>
      </c>
      <c r="C268" t="s">
        <v>51</v>
      </c>
      <c r="D268" t="s">
        <v>199</v>
      </c>
      <c r="E268" t="s">
        <v>128</v>
      </c>
      <c r="F268" s="2">
        <f ca="1">IF(Flag_Send_Data=1,_xll.DBSW(Val!F268,Val!$C$1,Val!$C$2,Val!$C$3,Val!$C$4,Val!$D268,Val!$C$5,Val!$C$6,Val!$B268,Val!$E268,Val!F$10,Val!$C$7,Val!$C268),"")</f>
        <v>-35674.202499999999</v>
      </c>
      <c r="G268" s="2">
        <f ca="1">IF(Flag_Send_Data=1,_xll.DBSW(Val!G268,Val!$C$1,Val!$C$2,Val!$C$3,Val!$C$4,Val!$D268,Val!$C$5,Val!$C$6,Val!$B268,Val!$E268,Val!G$10,Val!$C$7,Val!$C268),"")</f>
        <v>-35674.202499999999</v>
      </c>
      <c r="H268" s="2">
        <f ca="1">IF(Flag_Send_Data=1,_xll.DBSW(Val!H268,Val!$C$1,Val!$C$2,Val!$C$3,Val!$C$4,Val!$D268,Val!$C$5,Val!$C$6,Val!$B268,Val!$E268,Val!H$10,Val!$C$7,Val!$C268),"")</f>
        <v>-35674.202499999999</v>
      </c>
      <c r="I268" s="2">
        <f ca="1">IF(Flag_Send_Data=1,_xll.DBSW(Val!I268,Val!$C$1,Val!$C$2,Val!$C$3,Val!$C$4,Val!$D268,Val!$C$5,Val!$C$6,Val!$B268,Val!$E268,Val!I$10,Val!$C$7,Val!$C268),"")</f>
        <v>-35674.202499999999</v>
      </c>
      <c r="J268" s="2">
        <f ca="1">IF(Flag_Send_Data=1,_xll.DBSW(Val!J268,Val!$C$1,Val!$C$2,Val!$C$3,Val!$C$4,Val!$D268,Val!$C$5,Val!$C$6,Val!$B268,Val!$E268,Val!J$10,Val!$C$7,Val!$C268),"")</f>
        <v>-35674.202499999999</v>
      </c>
      <c r="K268" s="2">
        <f ca="1">IF(Flag_Send_Data=1,_xll.DBSW(Val!K268,Val!$C$1,Val!$C$2,Val!$C$3,Val!$C$4,Val!$D268,Val!$C$5,Val!$C$6,Val!$B268,Val!$E268,Val!K$10,Val!$C$7,Val!$C268),"")</f>
        <v>-35674.202499999999</v>
      </c>
      <c r="L268" s="2">
        <f ca="1">IF(Flag_Send_Data=1,_xll.DBSW(Val!L268,Val!$C$1,Val!$C$2,Val!$C$3,Val!$C$4,Val!$D268,Val!$C$5,Val!$C$6,Val!$B268,Val!$E268,Val!L$10,Val!$C$7,Val!$C268),"")</f>
        <v>-35674.202499999999</v>
      </c>
      <c r="M268" s="2">
        <f ca="1">IF(Flag_Send_Data=1,_xll.DBSW(Val!M268,Val!$C$1,Val!$C$2,Val!$C$3,Val!$C$4,Val!$D268,Val!$C$5,Val!$C$6,Val!$B268,Val!$E268,Val!M$10,Val!$C$7,Val!$C268),"")</f>
        <v>-35674.202499999999</v>
      </c>
      <c r="N268" s="2">
        <f ca="1">IF(Flag_Send_Data=1,_xll.DBSW(Val!N268,Val!$C$1,Val!$C$2,Val!$C$3,Val!$C$4,Val!$D268,Val!$C$5,Val!$C$6,Val!$B268,Val!$E268,Val!N$10,Val!$C$7,Val!$C268),"")</f>
        <v>-35674.202499999999</v>
      </c>
      <c r="O268" s="2">
        <f ca="1">IF(Flag_Send_Data=1,_xll.DBSW(Val!O268,Val!$C$1,Val!$C$2,Val!$C$3,Val!$C$4,Val!$D268,Val!$C$5,Val!$C$6,Val!$B268,Val!$E268,Val!O$10,Val!$C$7,Val!$C268),"")</f>
        <v>-35674.202499999999</v>
      </c>
      <c r="P268" s="2">
        <f ca="1">IF(Flag_Send_Data=1,_xll.DBSW(Val!P268,Val!$C$1,Val!$C$2,Val!$C$3,Val!$C$4,Val!$D268,Val!$C$5,Val!$C$6,Val!$B268,Val!$E268,Val!P$10,Val!$C$7,Val!$C268),"")</f>
        <v>-35674.202499999999</v>
      </c>
      <c r="Q268" s="2">
        <f ca="1">IF(Flag_Send_Data=1,_xll.DBSW(Val!Q268,Val!$C$1,Val!$C$2,Val!$C$3,Val!$C$4,Val!$D268,Val!$C$5,Val!$C$6,Val!$B268,Val!$E268,Val!Q$10,Val!$C$7,Val!$C268),"")</f>
        <v>-35674.202499999999</v>
      </c>
    </row>
    <row r="269" spans="2:17" x14ac:dyDescent="0.25">
      <c r="B269" s="3" t="s">
        <v>272</v>
      </c>
      <c r="C269" t="s">
        <v>52</v>
      </c>
      <c r="D269" t="s">
        <v>199</v>
      </c>
      <c r="E269" t="s">
        <v>128</v>
      </c>
      <c r="F269" s="2">
        <f ca="1">IF(Flag_Send_Data=1,_xll.DBSW(Val!F269,Val!$C$1,Val!$C$2,Val!$C$3,Val!$C$4,Val!$D269,Val!$C$5,Val!$C$6,Val!$B269,Val!$E269,Val!F$10,Val!$C$7,Val!$C269),"")</f>
        <v>0</v>
      </c>
      <c r="G269" s="2">
        <f ca="1">IF(Flag_Send_Data=1,_xll.DBSW(Val!G269,Val!$C$1,Val!$C$2,Val!$C$3,Val!$C$4,Val!$D269,Val!$C$5,Val!$C$6,Val!$B269,Val!$E269,Val!G$10,Val!$C$7,Val!$C269),"")</f>
        <v>-333.33333333333331</v>
      </c>
      <c r="H269" s="2">
        <f ca="1">IF(Flag_Send_Data=1,_xll.DBSW(Val!H269,Val!$C$1,Val!$C$2,Val!$C$3,Val!$C$4,Val!$D269,Val!$C$5,Val!$C$6,Val!$B269,Val!$E269,Val!H$10,Val!$C$7,Val!$C269),"")</f>
        <v>-333.33333333333331</v>
      </c>
      <c r="I269" s="2">
        <f ca="1">IF(Flag_Send_Data=1,_xll.DBSW(Val!I269,Val!$C$1,Val!$C$2,Val!$C$3,Val!$C$4,Val!$D269,Val!$C$5,Val!$C$6,Val!$B269,Val!$E269,Val!I$10,Val!$C$7,Val!$C269),"")</f>
        <v>-333.33333333333331</v>
      </c>
      <c r="J269" s="2">
        <f ca="1">IF(Flag_Send_Data=1,_xll.DBSW(Val!J269,Val!$C$1,Val!$C$2,Val!$C$3,Val!$C$4,Val!$D269,Val!$C$5,Val!$C$6,Val!$B269,Val!$E269,Val!J$10,Val!$C$7,Val!$C269),"")</f>
        <v>-333.33333333333331</v>
      </c>
      <c r="K269" s="2">
        <f ca="1">IF(Flag_Send_Data=1,_xll.DBSW(Val!K269,Val!$C$1,Val!$C$2,Val!$C$3,Val!$C$4,Val!$D269,Val!$C$5,Val!$C$6,Val!$B269,Val!$E269,Val!K$10,Val!$C$7,Val!$C269),"")</f>
        <v>-333.33333333333331</v>
      </c>
      <c r="L269" s="2">
        <f ca="1">IF(Flag_Send_Data=1,_xll.DBSW(Val!L269,Val!$C$1,Val!$C$2,Val!$C$3,Val!$C$4,Val!$D269,Val!$C$5,Val!$C$6,Val!$B269,Val!$E269,Val!L$10,Val!$C$7,Val!$C269),"")</f>
        <v>-333.33333333333331</v>
      </c>
      <c r="M269" s="2">
        <f ca="1">IF(Flag_Send_Data=1,_xll.DBSW(Val!M269,Val!$C$1,Val!$C$2,Val!$C$3,Val!$C$4,Val!$D269,Val!$C$5,Val!$C$6,Val!$B269,Val!$E269,Val!M$10,Val!$C$7,Val!$C269),"")</f>
        <v>-333.33333333333331</v>
      </c>
      <c r="N269" s="2">
        <f ca="1">IF(Flag_Send_Data=1,_xll.DBSW(Val!N269,Val!$C$1,Val!$C$2,Val!$C$3,Val!$C$4,Val!$D269,Val!$C$5,Val!$C$6,Val!$B269,Val!$E269,Val!N$10,Val!$C$7,Val!$C269),"")</f>
        <v>-333.33333333333331</v>
      </c>
      <c r="O269" s="2">
        <f ca="1">IF(Flag_Send_Data=1,_xll.DBSW(Val!O269,Val!$C$1,Val!$C$2,Val!$C$3,Val!$C$4,Val!$D269,Val!$C$5,Val!$C$6,Val!$B269,Val!$E269,Val!O$10,Val!$C$7,Val!$C269),"")</f>
        <v>-333.33333333333331</v>
      </c>
      <c r="P269" s="2">
        <f ca="1">IF(Flag_Send_Data=1,_xll.DBSW(Val!P269,Val!$C$1,Val!$C$2,Val!$C$3,Val!$C$4,Val!$D269,Val!$C$5,Val!$C$6,Val!$B269,Val!$E269,Val!P$10,Val!$C$7,Val!$C269),"")</f>
        <v>-333.33333333333331</v>
      </c>
      <c r="Q269" s="2">
        <f ca="1">IF(Flag_Send_Data=1,_xll.DBSW(Val!Q269,Val!$C$1,Val!$C$2,Val!$C$3,Val!$C$4,Val!$D269,Val!$C$5,Val!$C$6,Val!$B269,Val!$E269,Val!Q$10,Val!$C$7,Val!$C269),"")</f>
        <v>-333.33333333333331</v>
      </c>
    </row>
    <row r="270" spans="2:17" x14ac:dyDescent="0.25">
      <c r="B270" s="3" t="s">
        <v>272</v>
      </c>
      <c r="C270" t="s">
        <v>53</v>
      </c>
      <c r="D270" t="s">
        <v>199</v>
      </c>
      <c r="E270" t="s">
        <v>128</v>
      </c>
      <c r="F270" s="2">
        <f ca="1">IF(Flag_Send_Data=1,_xll.DBSW(Val!F270,Val!$C$1,Val!$C$2,Val!$C$3,Val!$C$4,Val!$D270,Val!$C$5,Val!$C$6,Val!$B270,Val!$E270,Val!F$10,Val!$C$7,Val!$C270),"")</f>
        <v>-6333.333333333333</v>
      </c>
      <c r="G270" s="2">
        <f ca="1">IF(Flag_Send_Data=1,_xll.DBSW(Val!G270,Val!$C$1,Val!$C$2,Val!$C$3,Val!$C$4,Val!$D270,Val!$C$5,Val!$C$6,Val!$B270,Val!$E270,Val!G$10,Val!$C$7,Val!$C270),"")</f>
        <v>-6333.333333333333</v>
      </c>
      <c r="H270" s="2">
        <f ca="1">IF(Flag_Send_Data=1,_xll.DBSW(Val!H270,Val!$C$1,Val!$C$2,Val!$C$3,Val!$C$4,Val!$D270,Val!$C$5,Val!$C$6,Val!$B270,Val!$E270,Val!H$10,Val!$C$7,Val!$C270),"")</f>
        <v>-6333.333333333333</v>
      </c>
      <c r="I270" s="2">
        <f ca="1">IF(Flag_Send_Data=1,_xll.DBSW(Val!I270,Val!$C$1,Val!$C$2,Val!$C$3,Val!$C$4,Val!$D270,Val!$C$5,Val!$C$6,Val!$B270,Val!$E270,Val!I$10,Val!$C$7,Val!$C270),"")</f>
        <v>-9666.6666666666333</v>
      </c>
      <c r="J270" s="2">
        <f ca="1">IF(Flag_Send_Data=1,_xll.DBSW(Val!J270,Val!$C$1,Val!$C$2,Val!$C$3,Val!$C$4,Val!$D270,Val!$C$5,Val!$C$6,Val!$B270,Val!$E270,Val!J$10,Val!$C$7,Val!$C270),"")</f>
        <v>-9666.6666666666333</v>
      </c>
      <c r="K270" s="2">
        <f ca="1">IF(Flag_Send_Data=1,_xll.DBSW(Val!K270,Val!$C$1,Val!$C$2,Val!$C$3,Val!$C$4,Val!$D270,Val!$C$5,Val!$C$6,Val!$B270,Val!$E270,Val!K$10,Val!$C$7,Val!$C270),"")</f>
        <v>-9666.6666666666333</v>
      </c>
      <c r="L270" s="2">
        <f ca="1">IF(Flag_Send_Data=1,_xll.DBSW(Val!L270,Val!$C$1,Val!$C$2,Val!$C$3,Val!$C$4,Val!$D270,Val!$C$5,Val!$C$6,Val!$B270,Val!$E270,Val!L$10,Val!$C$7,Val!$C270),"")</f>
        <v>-13000.000000000035</v>
      </c>
      <c r="M270" s="2">
        <f ca="1">IF(Flag_Send_Data=1,_xll.DBSW(Val!M270,Val!$C$1,Val!$C$2,Val!$C$3,Val!$C$4,Val!$D270,Val!$C$5,Val!$C$6,Val!$B270,Val!$E270,Val!M$10,Val!$C$7,Val!$C270),"")</f>
        <v>-13000.000000000035</v>
      </c>
      <c r="N270" s="2">
        <f ca="1">IF(Flag_Send_Data=1,_xll.DBSW(Val!N270,Val!$C$1,Val!$C$2,Val!$C$3,Val!$C$4,Val!$D270,Val!$C$5,Val!$C$6,Val!$B270,Val!$E270,Val!N$10,Val!$C$7,Val!$C270),"")</f>
        <v>-13000.000000000035</v>
      </c>
      <c r="O270" s="2">
        <f ca="1">IF(Flag_Send_Data=1,_xll.DBSW(Val!O270,Val!$C$1,Val!$C$2,Val!$C$3,Val!$C$4,Val!$D270,Val!$C$5,Val!$C$6,Val!$B270,Val!$E270,Val!O$10,Val!$C$7,Val!$C270),"")</f>
        <v>-6333.333333333333</v>
      </c>
      <c r="P270" s="2">
        <f ca="1">IF(Flag_Send_Data=1,_xll.DBSW(Val!P270,Val!$C$1,Val!$C$2,Val!$C$3,Val!$C$4,Val!$D270,Val!$C$5,Val!$C$6,Val!$B270,Val!$E270,Val!P$10,Val!$C$7,Val!$C270),"")</f>
        <v>-6333.333333333333</v>
      </c>
      <c r="Q270" s="2">
        <f ca="1">IF(Flag_Send_Data=1,_xll.DBSW(Val!Q270,Val!$C$1,Val!$C$2,Val!$C$3,Val!$C$4,Val!$D270,Val!$C$5,Val!$C$6,Val!$B270,Val!$E270,Val!Q$10,Val!$C$7,Val!$C270),"")</f>
        <v>-6333.333333333333</v>
      </c>
    </row>
    <row r="271" spans="2:17" x14ac:dyDescent="0.25">
      <c r="B271" s="3" t="s">
        <v>272</v>
      </c>
      <c r="C271" t="s">
        <v>54</v>
      </c>
      <c r="D271" t="s">
        <v>199</v>
      </c>
      <c r="E271" t="s">
        <v>128</v>
      </c>
      <c r="F271" s="2">
        <f ca="1">IF(Flag_Send_Data=1,_xll.DBSW(Val!F271,Val!$C$1,Val!$C$2,Val!$C$3,Val!$C$4,Val!$D271,Val!$C$5,Val!$C$6,Val!$B271,Val!$E271,Val!F$10,Val!$C$7,Val!$C271),"")</f>
        <v>-375</v>
      </c>
      <c r="G271" s="2">
        <f ca="1">IF(Flag_Send_Data=1,_xll.DBSW(Val!G271,Val!$C$1,Val!$C$2,Val!$C$3,Val!$C$4,Val!$D271,Val!$C$5,Val!$C$6,Val!$B271,Val!$E271,Val!G$10,Val!$C$7,Val!$C271),"")</f>
        <v>-375</v>
      </c>
      <c r="H271" s="2">
        <f ca="1">IF(Flag_Send_Data=1,_xll.DBSW(Val!H271,Val!$C$1,Val!$C$2,Val!$C$3,Val!$C$4,Val!$D271,Val!$C$5,Val!$C$6,Val!$B271,Val!$E271,Val!H$10,Val!$C$7,Val!$C271),"")</f>
        <v>-375</v>
      </c>
      <c r="I271" s="2">
        <f ca="1">IF(Flag_Send_Data=1,_xll.DBSW(Val!I271,Val!$C$1,Val!$C$2,Val!$C$3,Val!$C$4,Val!$D271,Val!$C$5,Val!$C$6,Val!$B271,Val!$E271,Val!I$10,Val!$C$7,Val!$C271),"")</f>
        <v>-375</v>
      </c>
      <c r="J271" s="2">
        <f ca="1">IF(Flag_Send_Data=1,_xll.DBSW(Val!J271,Val!$C$1,Val!$C$2,Val!$C$3,Val!$C$4,Val!$D271,Val!$C$5,Val!$C$6,Val!$B271,Val!$E271,Val!J$10,Val!$C$7,Val!$C271),"")</f>
        <v>-375</v>
      </c>
      <c r="K271" s="2">
        <f ca="1">IF(Flag_Send_Data=1,_xll.DBSW(Val!K271,Val!$C$1,Val!$C$2,Val!$C$3,Val!$C$4,Val!$D271,Val!$C$5,Val!$C$6,Val!$B271,Val!$E271,Val!K$10,Val!$C$7,Val!$C271),"")</f>
        <v>-375</v>
      </c>
      <c r="L271" s="2">
        <f ca="1">IF(Flag_Send_Data=1,_xll.DBSW(Val!L271,Val!$C$1,Val!$C$2,Val!$C$3,Val!$C$4,Val!$D271,Val!$C$5,Val!$C$6,Val!$B271,Val!$E271,Val!L$10,Val!$C$7,Val!$C271),"")</f>
        <v>-375</v>
      </c>
      <c r="M271" s="2">
        <f ca="1">IF(Flag_Send_Data=1,_xll.DBSW(Val!M271,Val!$C$1,Val!$C$2,Val!$C$3,Val!$C$4,Val!$D271,Val!$C$5,Val!$C$6,Val!$B271,Val!$E271,Val!M$10,Val!$C$7,Val!$C271),"")</f>
        <v>-375</v>
      </c>
      <c r="N271" s="2">
        <f ca="1">IF(Flag_Send_Data=1,_xll.DBSW(Val!N271,Val!$C$1,Val!$C$2,Val!$C$3,Val!$C$4,Val!$D271,Val!$C$5,Val!$C$6,Val!$B271,Val!$E271,Val!N$10,Val!$C$7,Val!$C271),"")</f>
        <v>-375</v>
      </c>
      <c r="O271" s="2">
        <f ca="1">IF(Flag_Send_Data=1,_xll.DBSW(Val!O271,Val!$C$1,Val!$C$2,Val!$C$3,Val!$C$4,Val!$D271,Val!$C$5,Val!$C$6,Val!$B271,Val!$E271,Val!O$10,Val!$C$7,Val!$C271),"")</f>
        <v>-375</v>
      </c>
      <c r="P271" s="2">
        <f ca="1">IF(Flag_Send_Data=1,_xll.DBSW(Val!P271,Val!$C$1,Val!$C$2,Val!$C$3,Val!$C$4,Val!$D271,Val!$C$5,Val!$C$6,Val!$B271,Val!$E271,Val!P$10,Val!$C$7,Val!$C271),"")</f>
        <v>-375</v>
      </c>
      <c r="Q271" s="2">
        <f ca="1">IF(Flag_Send_Data=1,_xll.DBSW(Val!Q271,Val!$C$1,Val!$C$2,Val!$C$3,Val!$C$4,Val!$D271,Val!$C$5,Val!$C$6,Val!$B271,Val!$E271,Val!Q$10,Val!$C$7,Val!$C271),"")</f>
        <v>-375</v>
      </c>
    </row>
    <row r="272" spans="2:17" x14ac:dyDescent="0.25">
      <c r="B272" s="3" t="s">
        <v>272</v>
      </c>
      <c r="C272" t="s">
        <v>110</v>
      </c>
      <c r="D272" t="s">
        <v>199</v>
      </c>
      <c r="E272" t="s">
        <v>128</v>
      </c>
      <c r="F272" s="2">
        <f ca="1">IF(Flag_Send_Data=1,_xll.DBSW(Val!F272,Val!$C$1,Val!$C$2,Val!$C$3,Val!$C$4,Val!$D272,Val!$C$5,Val!$C$6,Val!$B272,Val!$E272,Val!F$10,Val!$C$7,Val!$C272),"")</f>
        <v>-750</v>
      </c>
      <c r="G272" s="2">
        <f ca="1">IF(Flag_Send_Data=1,_xll.DBSW(Val!G272,Val!$C$1,Val!$C$2,Val!$C$3,Val!$C$4,Val!$D272,Val!$C$5,Val!$C$6,Val!$B272,Val!$E272,Val!G$10,Val!$C$7,Val!$C272),"")</f>
        <v>-750</v>
      </c>
      <c r="H272" s="2">
        <f ca="1">IF(Flag_Send_Data=1,_xll.DBSW(Val!H272,Val!$C$1,Val!$C$2,Val!$C$3,Val!$C$4,Val!$D272,Val!$C$5,Val!$C$6,Val!$B272,Val!$E272,Val!H$10,Val!$C$7,Val!$C272),"")</f>
        <v>-750</v>
      </c>
      <c r="I272" s="2">
        <f ca="1">IF(Flag_Send_Data=1,_xll.DBSW(Val!I272,Val!$C$1,Val!$C$2,Val!$C$3,Val!$C$4,Val!$D272,Val!$C$5,Val!$C$6,Val!$B272,Val!$E272,Val!I$10,Val!$C$7,Val!$C272),"")</f>
        <v>-750</v>
      </c>
      <c r="J272" s="2">
        <f ca="1">IF(Flag_Send_Data=1,_xll.DBSW(Val!J272,Val!$C$1,Val!$C$2,Val!$C$3,Val!$C$4,Val!$D272,Val!$C$5,Val!$C$6,Val!$B272,Val!$E272,Val!J$10,Val!$C$7,Val!$C272),"")</f>
        <v>-750</v>
      </c>
      <c r="K272" s="2">
        <f ca="1">IF(Flag_Send_Data=1,_xll.DBSW(Val!K272,Val!$C$1,Val!$C$2,Val!$C$3,Val!$C$4,Val!$D272,Val!$C$5,Val!$C$6,Val!$B272,Val!$E272,Val!K$10,Val!$C$7,Val!$C272),"")</f>
        <v>-750</v>
      </c>
      <c r="L272" s="2">
        <f ca="1">IF(Flag_Send_Data=1,_xll.DBSW(Val!L272,Val!$C$1,Val!$C$2,Val!$C$3,Val!$C$4,Val!$D272,Val!$C$5,Val!$C$6,Val!$B272,Val!$E272,Val!L$10,Val!$C$7,Val!$C272),"")</f>
        <v>-750</v>
      </c>
      <c r="M272" s="2">
        <f ca="1">IF(Flag_Send_Data=1,_xll.DBSW(Val!M272,Val!$C$1,Val!$C$2,Val!$C$3,Val!$C$4,Val!$D272,Val!$C$5,Val!$C$6,Val!$B272,Val!$E272,Val!M$10,Val!$C$7,Val!$C272),"")</f>
        <v>-750</v>
      </c>
      <c r="N272" s="2">
        <f ca="1">IF(Flag_Send_Data=1,_xll.DBSW(Val!N272,Val!$C$1,Val!$C$2,Val!$C$3,Val!$C$4,Val!$D272,Val!$C$5,Val!$C$6,Val!$B272,Val!$E272,Val!N$10,Val!$C$7,Val!$C272),"")</f>
        <v>-750</v>
      </c>
      <c r="O272" s="2">
        <f ca="1">IF(Flag_Send_Data=1,_xll.DBSW(Val!O272,Val!$C$1,Val!$C$2,Val!$C$3,Val!$C$4,Val!$D272,Val!$C$5,Val!$C$6,Val!$B272,Val!$E272,Val!O$10,Val!$C$7,Val!$C272),"")</f>
        <v>-750</v>
      </c>
      <c r="P272" s="2">
        <f ca="1">IF(Flag_Send_Data=1,_xll.DBSW(Val!P272,Val!$C$1,Val!$C$2,Val!$C$3,Val!$C$4,Val!$D272,Val!$C$5,Val!$C$6,Val!$B272,Val!$E272,Val!P$10,Val!$C$7,Val!$C272),"")</f>
        <v>-750</v>
      </c>
      <c r="Q272" s="2">
        <f ca="1">IF(Flag_Send_Data=1,_xll.DBSW(Val!Q272,Val!$C$1,Val!$C$2,Val!$C$3,Val!$C$4,Val!$D272,Val!$C$5,Val!$C$6,Val!$B272,Val!$E272,Val!Q$10,Val!$C$7,Val!$C272),"")</f>
        <v>-750</v>
      </c>
    </row>
    <row r="273" spans="2:17" x14ac:dyDescent="0.25">
      <c r="B273" s="3" t="s">
        <v>272</v>
      </c>
      <c r="C273" t="s">
        <v>111</v>
      </c>
      <c r="D273" t="s">
        <v>199</v>
      </c>
      <c r="E273" t="s">
        <v>14</v>
      </c>
      <c r="F273" s="2">
        <f ca="1">IF(Flag_Send_Data=1,_xll.DBSW(Val!F273,Val!$C$1,Val!$C$2,Val!$C$3,Val!$C$4,Val!$D273,Val!$C$5,Val!$C$6,Val!$B273,Val!$E273,Val!F$10,Val!$C$7,Val!$C273),"")</f>
        <v>500</v>
      </c>
      <c r="G273" s="2">
        <f ca="1">IF(Flag_Send_Data=1,_xll.DBSW(Val!G273,Val!$C$1,Val!$C$2,Val!$C$3,Val!$C$4,Val!$D273,Val!$C$5,Val!$C$6,Val!$B273,Val!$E273,Val!G$10,Val!$C$7,Val!$C273),"")</f>
        <v>500</v>
      </c>
      <c r="H273" s="2">
        <f ca="1">IF(Flag_Send_Data=1,_xll.DBSW(Val!H273,Val!$C$1,Val!$C$2,Val!$C$3,Val!$C$4,Val!$D273,Val!$C$5,Val!$C$6,Val!$B273,Val!$E273,Val!H$10,Val!$C$7,Val!$C273),"")</f>
        <v>500</v>
      </c>
      <c r="I273" s="2">
        <f ca="1">IF(Flag_Send_Data=1,_xll.DBSW(Val!I273,Val!$C$1,Val!$C$2,Val!$C$3,Val!$C$4,Val!$D273,Val!$C$5,Val!$C$6,Val!$B273,Val!$E273,Val!I$10,Val!$C$7,Val!$C273),"")</f>
        <v>500</v>
      </c>
      <c r="J273" s="2">
        <f ca="1">IF(Flag_Send_Data=1,_xll.DBSW(Val!J273,Val!$C$1,Val!$C$2,Val!$C$3,Val!$C$4,Val!$D273,Val!$C$5,Val!$C$6,Val!$B273,Val!$E273,Val!J$10,Val!$C$7,Val!$C273),"")</f>
        <v>500</v>
      </c>
      <c r="K273" s="2">
        <f ca="1">IF(Flag_Send_Data=1,_xll.DBSW(Val!K273,Val!$C$1,Val!$C$2,Val!$C$3,Val!$C$4,Val!$D273,Val!$C$5,Val!$C$6,Val!$B273,Val!$E273,Val!K$10,Val!$C$7,Val!$C273),"")</f>
        <v>500</v>
      </c>
      <c r="L273" s="2">
        <f ca="1">IF(Flag_Send_Data=1,_xll.DBSW(Val!L273,Val!$C$1,Val!$C$2,Val!$C$3,Val!$C$4,Val!$D273,Val!$C$5,Val!$C$6,Val!$B273,Val!$E273,Val!L$10,Val!$C$7,Val!$C273),"")</f>
        <v>500</v>
      </c>
      <c r="M273" s="2">
        <f ca="1">IF(Flag_Send_Data=1,_xll.DBSW(Val!M273,Val!$C$1,Val!$C$2,Val!$C$3,Val!$C$4,Val!$D273,Val!$C$5,Val!$C$6,Val!$B273,Val!$E273,Val!M$10,Val!$C$7,Val!$C273),"")</f>
        <v>500</v>
      </c>
      <c r="N273" s="2">
        <f ca="1">IF(Flag_Send_Data=1,_xll.DBSW(Val!N273,Val!$C$1,Val!$C$2,Val!$C$3,Val!$C$4,Val!$D273,Val!$C$5,Val!$C$6,Val!$B273,Val!$E273,Val!N$10,Val!$C$7,Val!$C273),"")</f>
        <v>500</v>
      </c>
      <c r="O273" s="2">
        <f ca="1">IF(Flag_Send_Data=1,_xll.DBSW(Val!O273,Val!$C$1,Val!$C$2,Val!$C$3,Val!$C$4,Val!$D273,Val!$C$5,Val!$C$6,Val!$B273,Val!$E273,Val!O$10,Val!$C$7,Val!$C273),"")</f>
        <v>500</v>
      </c>
      <c r="P273" s="2">
        <f ca="1">IF(Flag_Send_Data=1,_xll.DBSW(Val!P273,Val!$C$1,Val!$C$2,Val!$C$3,Val!$C$4,Val!$D273,Val!$C$5,Val!$C$6,Val!$B273,Val!$E273,Val!P$10,Val!$C$7,Val!$C273),"")</f>
        <v>500</v>
      </c>
      <c r="Q273" s="2">
        <f ca="1">IF(Flag_Send_Data=1,_xll.DBSW(Val!Q273,Val!$C$1,Val!$C$2,Val!$C$3,Val!$C$4,Val!$D273,Val!$C$5,Val!$C$6,Val!$B273,Val!$E273,Val!Q$10,Val!$C$7,Val!$C273),"")</f>
        <v>500</v>
      </c>
    </row>
    <row r="274" spans="2:17" x14ac:dyDescent="0.25">
      <c r="B274" s="3" t="s">
        <v>272</v>
      </c>
      <c r="C274" t="s">
        <v>112</v>
      </c>
      <c r="D274" t="s">
        <v>199</v>
      </c>
      <c r="E274" t="s">
        <v>14</v>
      </c>
      <c r="F274" s="2">
        <f ca="1">IF(Flag_Send_Data=1,_xll.DBSW(Val!F274,Val!$C$1,Val!$C$2,Val!$C$3,Val!$C$4,Val!$D274,Val!$C$5,Val!$C$6,Val!$B274,Val!$E274,Val!F$10,Val!$C$7,Val!$C274),"")</f>
        <v>3515.7625000000003</v>
      </c>
      <c r="G274" s="2">
        <f ca="1">IF(Flag_Send_Data=1,_xll.DBSW(Val!G274,Val!$C$1,Val!$C$2,Val!$C$3,Val!$C$4,Val!$D274,Val!$C$5,Val!$C$6,Val!$B274,Val!$E274,Val!G$10,Val!$C$7,Val!$C274),"")</f>
        <v>3515.7625000000003</v>
      </c>
      <c r="H274" s="2">
        <f ca="1">IF(Flag_Send_Data=1,_xll.DBSW(Val!H274,Val!$C$1,Val!$C$2,Val!$C$3,Val!$C$4,Val!$D274,Val!$C$5,Val!$C$6,Val!$B274,Val!$E274,Val!H$10,Val!$C$7,Val!$C274),"")</f>
        <v>3515.7625000000003</v>
      </c>
      <c r="I274" s="2">
        <f ca="1">IF(Flag_Send_Data=1,_xll.DBSW(Val!I274,Val!$C$1,Val!$C$2,Val!$C$3,Val!$C$4,Val!$D274,Val!$C$5,Val!$C$6,Val!$B274,Val!$E274,Val!I$10,Val!$C$7,Val!$C274),"")</f>
        <v>3515.7625000000003</v>
      </c>
      <c r="J274" s="2">
        <f ca="1">IF(Flag_Send_Data=1,_xll.DBSW(Val!J274,Val!$C$1,Val!$C$2,Val!$C$3,Val!$C$4,Val!$D274,Val!$C$5,Val!$C$6,Val!$B274,Val!$E274,Val!J$10,Val!$C$7,Val!$C274),"")</f>
        <v>3515.7625000000003</v>
      </c>
      <c r="K274" s="2">
        <f ca="1">IF(Flag_Send_Data=1,_xll.DBSW(Val!K274,Val!$C$1,Val!$C$2,Val!$C$3,Val!$C$4,Val!$D274,Val!$C$5,Val!$C$6,Val!$B274,Val!$E274,Val!K$10,Val!$C$7,Val!$C274),"")</f>
        <v>3515.7625000000003</v>
      </c>
      <c r="L274" s="2">
        <f ca="1">IF(Flag_Send_Data=1,_xll.DBSW(Val!L274,Val!$C$1,Val!$C$2,Val!$C$3,Val!$C$4,Val!$D274,Val!$C$5,Val!$C$6,Val!$B274,Val!$E274,Val!L$10,Val!$C$7,Val!$C274),"")</f>
        <v>3515.7625000000003</v>
      </c>
      <c r="M274" s="2">
        <f ca="1">IF(Flag_Send_Data=1,_xll.DBSW(Val!M274,Val!$C$1,Val!$C$2,Val!$C$3,Val!$C$4,Val!$D274,Val!$C$5,Val!$C$6,Val!$B274,Val!$E274,Val!M$10,Val!$C$7,Val!$C274),"")</f>
        <v>3515.7625000000003</v>
      </c>
      <c r="N274" s="2">
        <f ca="1">IF(Flag_Send_Data=1,_xll.DBSW(Val!N274,Val!$C$1,Val!$C$2,Val!$C$3,Val!$C$4,Val!$D274,Val!$C$5,Val!$C$6,Val!$B274,Val!$E274,Val!N$10,Val!$C$7,Val!$C274),"")</f>
        <v>3515.7625000000003</v>
      </c>
      <c r="O274" s="2">
        <f ca="1">IF(Flag_Send_Data=1,_xll.DBSW(Val!O274,Val!$C$1,Val!$C$2,Val!$C$3,Val!$C$4,Val!$D274,Val!$C$5,Val!$C$6,Val!$B274,Val!$E274,Val!O$10,Val!$C$7,Val!$C274),"")</f>
        <v>3515.7625000000003</v>
      </c>
      <c r="P274" s="2">
        <f ca="1">IF(Flag_Send_Data=1,_xll.DBSW(Val!P274,Val!$C$1,Val!$C$2,Val!$C$3,Val!$C$4,Val!$D274,Val!$C$5,Val!$C$6,Val!$B274,Val!$E274,Val!P$10,Val!$C$7,Val!$C274),"")</f>
        <v>3515.7625000000003</v>
      </c>
      <c r="Q274" s="2">
        <f ca="1">IF(Flag_Send_Data=1,_xll.DBSW(Val!Q274,Val!$C$1,Val!$C$2,Val!$C$3,Val!$C$4,Val!$D274,Val!$C$5,Val!$C$6,Val!$B274,Val!$E274,Val!Q$10,Val!$C$7,Val!$C274),"")</f>
        <v>3515.7625000000003</v>
      </c>
    </row>
    <row r="275" spans="2:17" x14ac:dyDescent="0.25">
      <c r="B275" s="3" t="s">
        <v>273</v>
      </c>
      <c r="C275" t="s">
        <v>52</v>
      </c>
      <c r="D275" t="s">
        <v>199</v>
      </c>
      <c r="E275" t="s">
        <v>128</v>
      </c>
      <c r="F275" s="2">
        <f ca="1">IF(Flag_Send_Data=1,_xll.DBSW(Val!F275,Val!$C$1,Val!$C$2,Val!$C$3,Val!$C$4,Val!$D275,Val!$C$5,Val!$C$6,Val!$B275,Val!$E275,Val!F$10,Val!$C$7,Val!$C275),"")</f>
        <v>-83.333333333333329</v>
      </c>
      <c r="G275" s="2">
        <f ca="1">IF(Flag_Send_Data=1,_xll.DBSW(Val!G275,Val!$C$1,Val!$C$2,Val!$C$3,Val!$C$4,Val!$D275,Val!$C$5,Val!$C$6,Val!$B275,Val!$E275,Val!G$10,Val!$C$7,Val!$C275),"")</f>
        <v>-83.333333333333329</v>
      </c>
      <c r="H275" s="2">
        <f ca="1">IF(Flag_Send_Data=1,_xll.DBSW(Val!H275,Val!$C$1,Val!$C$2,Val!$C$3,Val!$C$4,Val!$D275,Val!$C$5,Val!$C$6,Val!$B275,Val!$E275,Val!H$10,Val!$C$7,Val!$C275),"")</f>
        <v>-83.333333333333329</v>
      </c>
      <c r="I275" s="2">
        <f ca="1">IF(Flag_Send_Data=1,_xll.DBSW(Val!I275,Val!$C$1,Val!$C$2,Val!$C$3,Val!$C$4,Val!$D275,Val!$C$5,Val!$C$6,Val!$B275,Val!$E275,Val!I$10,Val!$C$7,Val!$C275),"")</f>
        <v>-83.333333333333329</v>
      </c>
      <c r="J275" s="2">
        <f ca="1">IF(Flag_Send_Data=1,_xll.DBSW(Val!J275,Val!$C$1,Val!$C$2,Val!$C$3,Val!$C$4,Val!$D275,Val!$C$5,Val!$C$6,Val!$B275,Val!$E275,Val!J$10,Val!$C$7,Val!$C275),"")</f>
        <v>-83.333333333333329</v>
      </c>
      <c r="K275" s="2">
        <f ca="1">IF(Flag_Send_Data=1,_xll.DBSW(Val!K275,Val!$C$1,Val!$C$2,Val!$C$3,Val!$C$4,Val!$D275,Val!$C$5,Val!$C$6,Val!$B275,Val!$E275,Val!K$10,Val!$C$7,Val!$C275),"")</f>
        <v>-83.333333333333329</v>
      </c>
      <c r="L275" s="2">
        <f ca="1">IF(Flag_Send_Data=1,_xll.DBSW(Val!L275,Val!$C$1,Val!$C$2,Val!$C$3,Val!$C$4,Val!$D275,Val!$C$5,Val!$C$6,Val!$B275,Val!$E275,Val!L$10,Val!$C$7,Val!$C275),"")</f>
        <v>-83.333333333333329</v>
      </c>
      <c r="M275" s="2">
        <f ca="1">IF(Flag_Send_Data=1,_xll.DBSW(Val!M275,Val!$C$1,Val!$C$2,Val!$C$3,Val!$C$4,Val!$D275,Val!$C$5,Val!$C$6,Val!$B275,Val!$E275,Val!M$10,Val!$C$7,Val!$C275),"")</f>
        <v>-83.333333333333329</v>
      </c>
      <c r="N275" s="2">
        <f ca="1">IF(Flag_Send_Data=1,_xll.DBSW(Val!N275,Val!$C$1,Val!$C$2,Val!$C$3,Val!$C$4,Val!$D275,Val!$C$5,Val!$C$6,Val!$B275,Val!$E275,Val!N$10,Val!$C$7,Val!$C275),"")</f>
        <v>-83.333333333333329</v>
      </c>
      <c r="O275" s="2">
        <f ca="1">IF(Flag_Send_Data=1,_xll.DBSW(Val!O275,Val!$C$1,Val!$C$2,Val!$C$3,Val!$C$4,Val!$D275,Val!$C$5,Val!$C$6,Val!$B275,Val!$E275,Val!O$10,Val!$C$7,Val!$C275),"")</f>
        <v>-83.333333333333329</v>
      </c>
      <c r="P275" s="2">
        <f ca="1">IF(Flag_Send_Data=1,_xll.DBSW(Val!P275,Val!$C$1,Val!$C$2,Val!$C$3,Val!$C$4,Val!$D275,Val!$C$5,Val!$C$6,Val!$B275,Val!$E275,Val!P$10,Val!$C$7,Val!$C275),"")</f>
        <v>-83.333333333333329</v>
      </c>
      <c r="Q275" s="2">
        <f ca="1">IF(Flag_Send_Data=1,_xll.DBSW(Val!Q275,Val!$C$1,Val!$C$2,Val!$C$3,Val!$C$4,Val!$D275,Val!$C$5,Val!$C$6,Val!$B275,Val!$E275,Val!Q$10,Val!$C$7,Val!$C275),"")</f>
        <v>-83.333333333333329</v>
      </c>
    </row>
    <row r="276" spans="2:17" x14ac:dyDescent="0.25">
      <c r="B276" s="3" t="s">
        <v>273</v>
      </c>
      <c r="C276" t="s">
        <v>53</v>
      </c>
      <c r="D276" t="s">
        <v>199</v>
      </c>
      <c r="E276" t="s">
        <v>17</v>
      </c>
      <c r="F276" s="2">
        <f ca="1">IF(Flag_Send_Data=1,_xll.DBSW(Val!F276,Val!$C$1,Val!$C$2,Val!$C$3,Val!$C$4,Val!$D276,Val!$C$5,Val!$C$6,Val!$B276,Val!$E276,Val!F$10,Val!$C$7,Val!$C276),"")</f>
        <v>-2388.8316666666665</v>
      </c>
      <c r="G276" s="2">
        <f ca="1">IF(Flag_Send_Data=1,_xll.DBSW(Val!G276,Val!$C$1,Val!$C$2,Val!$C$3,Val!$C$4,Val!$D276,Val!$C$5,Val!$C$6,Val!$B276,Val!$E276,Val!G$10,Val!$C$7,Val!$C276),"")</f>
        <v>-2388.8316666666665</v>
      </c>
      <c r="H276" s="2">
        <f ca="1">IF(Flag_Send_Data=1,_xll.DBSW(Val!H276,Val!$C$1,Val!$C$2,Val!$C$3,Val!$C$4,Val!$D276,Val!$C$5,Val!$C$6,Val!$B276,Val!$E276,Val!H$10,Val!$C$7,Val!$C276),"")</f>
        <v>-2388.8316666666665</v>
      </c>
      <c r="I276" s="2">
        <f ca="1">IF(Flag_Send_Data=1,_xll.DBSW(Val!I276,Val!$C$1,Val!$C$2,Val!$C$3,Val!$C$4,Val!$D276,Val!$C$5,Val!$C$6,Val!$B276,Val!$E276,Val!I$10,Val!$C$7,Val!$C276),"")</f>
        <v>-2388.8316666666665</v>
      </c>
      <c r="J276" s="2">
        <f ca="1">IF(Flag_Send_Data=1,_xll.DBSW(Val!J276,Val!$C$1,Val!$C$2,Val!$C$3,Val!$C$4,Val!$D276,Val!$C$5,Val!$C$6,Val!$B276,Val!$E276,Val!J$10,Val!$C$7,Val!$C276),"")</f>
        <v>-2388.8316666666665</v>
      </c>
      <c r="K276" s="2">
        <f ca="1">IF(Flag_Send_Data=1,_xll.DBSW(Val!K276,Val!$C$1,Val!$C$2,Val!$C$3,Val!$C$4,Val!$D276,Val!$C$5,Val!$C$6,Val!$B276,Val!$E276,Val!K$10,Val!$C$7,Val!$C276),"")</f>
        <v>-2388.8316666666665</v>
      </c>
      <c r="L276" s="2">
        <f ca="1">IF(Flag_Send_Data=1,_xll.DBSW(Val!L276,Val!$C$1,Val!$C$2,Val!$C$3,Val!$C$4,Val!$D276,Val!$C$5,Val!$C$6,Val!$B276,Val!$E276,Val!L$10,Val!$C$7,Val!$C276),"")</f>
        <v>-2388.8316666666665</v>
      </c>
      <c r="M276" s="2">
        <f ca="1">IF(Flag_Send_Data=1,_xll.DBSW(Val!M276,Val!$C$1,Val!$C$2,Val!$C$3,Val!$C$4,Val!$D276,Val!$C$5,Val!$C$6,Val!$B276,Val!$E276,Val!M$10,Val!$C$7,Val!$C276),"")</f>
        <v>-2388.8316666666665</v>
      </c>
      <c r="N276" s="2">
        <f ca="1">IF(Flag_Send_Data=1,_xll.DBSW(Val!N276,Val!$C$1,Val!$C$2,Val!$C$3,Val!$C$4,Val!$D276,Val!$C$5,Val!$C$6,Val!$B276,Val!$E276,Val!N$10,Val!$C$7,Val!$C276),"")</f>
        <v>-2388.8316666666665</v>
      </c>
      <c r="O276" s="2">
        <f ca="1">IF(Flag_Send_Data=1,_xll.DBSW(Val!O276,Val!$C$1,Val!$C$2,Val!$C$3,Val!$C$4,Val!$D276,Val!$C$5,Val!$C$6,Val!$B276,Val!$E276,Val!O$10,Val!$C$7,Val!$C276),"")</f>
        <v>-2388.8316666666665</v>
      </c>
      <c r="P276" s="2">
        <f ca="1">IF(Flag_Send_Data=1,_xll.DBSW(Val!P276,Val!$C$1,Val!$C$2,Val!$C$3,Val!$C$4,Val!$D276,Val!$C$5,Val!$C$6,Val!$B276,Val!$E276,Val!P$10,Val!$C$7,Val!$C276),"")</f>
        <v>-2388.8316666666665</v>
      </c>
      <c r="Q276" s="2">
        <f ca="1">IF(Flag_Send_Data=1,_xll.DBSW(Val!Q276,Val!$C$1,Val!$C$2,Val!$C$3,Val!$C$4,Val!$D276,Val!$C$5,Val!$C$6,Val!$B276,Val!$E276,Val!Q$10,Val!$C$7,Val!$C276),"")</f>
        <v>-2388.8316666666665</v>
      </c>
    </row>
    <row r="277" spans="2:17" x14ac:dyDescent="0.25">
      <c r="B277" s="3" t="s">
        <v>273</v>
      </c>
      <c r="C277" t="s">
        <v>53</v>
      </c>
      <c r="D277" t="s">
        <v>199</v>
      </c>
      <c r="E277" t="s">
        <v>163</v>
      </c>
      <c r="F277" s="2">
        <f ca="1">IF(Flag_Send_Data=1,_xll.DBSW(Val!F277,Val!$C$1,Val!$C$2,Val!$C$3,Val!$C$4,Val!$D277,Val!$C$5,Val!$C$6,Val!$B277,Val!$E277,Val!F$10,Val!$C$7,Val!$C277),"")</f>
        <v>-8333.3333333333339</v>
      </c>
      <c r="G277" s="2">
        <f ca="1">IF(Flag_Send_Data=1,_xll.DBSW(Val!G277,Val!$C$1,Val!$C$2,Val!$C$3,Val!$C$4,Val!$D277,Val!$C$5,Val!$C$6,Val!$B277,Val!$E277,Val!G$10,Val!$C$7,Val!$C277),"")</f>
        <v>-8333.3333333333339</v>
      </c>
      <c r="H277" s="2">
        <f ca="1">IF(Flag_Send_Data=1,_xll.DBSW(Val!H277,Val!$C$1,Val!$C$2,Val!$C$3,Val!$C$4,Val!$D277,Val!$C$5,Val!$C$6,Val!$B277,Val!$E277,Val!H$10,Val!$C$7,Val!$C277),"")</f>
        <v>-8333.3333333333339</v>
      </c>
      <c r="I277" s="2">
        <f ca="1">IF(Flag_Send_Data=1,_xll.DBSW(Val!I277,Val!$C$1,Val!$C$2,Val!$C$3,Val!$C$4,Val!$D277,Val!$C$5,Val!$C$6,Val!$B277,Val!$E277,Val!I$10,Val!$C$7,Val!$C277),"")</f>
        <v>-8333.3333333333339</v>
      </c>
      <c r="J277" s="2">
        <f ca="1">IF(Flag_Send_Data=1,_xll.DBSW(Val!J277,Val!$C$1,Val!$C$2,Val!$C$3,Val!$C$4,Val!$D277,Val!$C$5,Val!$C$6,Val!$B277,Val!$E277,Val!J$10,Val!$C$7,Val!$C277),"")</f>
        <v>-8333.3333333333339</v>
      </c>
      <c r="K277" s="2">
        <f ca="1">IF(Flag_Send_Data=1,_xll.DBSW(Val!K277,Val!$C$1,Val!$C$2,Val!$C$3,Val!$C$4,Val!$D277,Val!$C$5,Val!$C$6,Val!$B277,Val!$E277,Val!K$10,Val!$C$7,Val!$C277),"")</f>
        <v>-8333.3333333333339</v>
      </c>
      <c r="L277" s="2">
        <f ca="1">IF(Flag_Send_Data=1,_xll.DBSW(Val!L277,Val!$C$1,Val!$C$2,Val!$C$3,Val!$C$4,Val!$D277,Val!$C$5,Val!$C$6,Val!$B277,Val!$E277,Val!L$10,Val!$C$7,Val!$C277),"")</f>
        <v>-8333.3333333333339</v>
      </c>
      <c r="M277" s="2">
        <f ca="1">IF(Flag_Send_Data=1,_xll.DBSW(Val!M277,Val!$C$1,Val!$C$2,Val!$C$3,Val!$C$4,Val!$D277,Val!$C$5,Val!$C$6,Val!$B277,Val!$E277,Val!M$10,Val!$C$7,Val!$C277),"")</f>
        <v>-8333.3333333333339</v>
      </c>
      <c r="N277" s="2">
        <f ca="1">IF(Flag_Send_Data=1,_xll.DBSW(Val!N277,Val!$C$1,Val!$C$2,Val!$C$3,Val!$C$4,Val!$D277,Val!$C$5,Val!$C$6,Val!$B277,Val!$E277,Val!N$10,Val!$C$7,Val!$C277),"")</f>
        <v>-8333.3333333333339</v>
      </c>
      <c r="O277" s="2">
        <f ca="1">IF(Flag_Send_Data=1,_xll.DBSW(Val!O277,Val!$C$1,Val!$C$2,Val!$C$3,Val!$C$4,Val!$D277,Val!$C$5,Val!$C$6,Val!$B277,Val!$E277,Val!O$10,Val!$C$7,Val!$C277),"")</f>
        <v>-8333.3333333333339</v>
      </c>
      <c r="P277" s="2">
        <f ca="1">IF(Flag_Send_Data=1,_xll.DBSW(Val!P277,Val!$C$1,Val!$C$2,Val!$C$3,Val!$C$4,Val!$D277,Val!$C$5,Val!$C$6,Val!$B277,Val!$E277,Val!P$10,Val!$C$7,Val!$C277),"")</f>
        <v>-8333.3333333333339</v>
      </c>
      <c r="Q277" s="2">
        <f ca="1">IF(Flag_Send_Data=1,_xll.DBSW(Val!Q277,Val!$C$1,Val!$C$2,Val!$C$3,Val!$C$4,Val!$D277,Val!$C$5,Val!$C$6,Val!$B277,Val!$E277,Val!Q$10,Val!$C$7,Val!$C277),"")</f>
        <v>-8333.3333333333339</v>
      </c>
    </row>
    <row r="278" spans="2:17" x14ac:dyDescent="0.25">
      <c r="B278" s="3" t="s">
        <v>273</v>
      </c>
      <c r="C278" t="s">
        <v>53</v>
      </c>
      <c r="D278" t="s">
        <v>199</v>
      </c>
      <c r="E278" t="s">
        <v>128</v>
      </c>
      <c r="F278" s="2">
        <f ca="1">IF(Flag_Send_Data=1,_xll.DBSW(Val!F278,Val!$C$1,Val!$C$2,Val!$C$3,Val!$C$4,Val!$D278,Val!$C$5,Val!$C$6,Val!$B278,Val!$E278,Val!F$10,Val!$C$7,Val!$C278),"")</f>
        <v>-10750</v>
      </c>
      <c r="G278" s="2">
        <f ca="1">IF(Flag_Send_Data=1,_xll.DBSW(Val!G278,Val!$C$1,Val!$C$2,Val!$C$3,Val!$C$4,Val!$D278,Val!$C$5,Val!$C$6,Val!$B278,Val!$E278,Val!G$10,Val!$C$7,Val!$C278),"")</f>
        <v>-10750</v>
      </c>
      <c r="H278" s="2">
        <f ca="1">IF(Flag_Send_Data=1,_xll.DBSW(Val!H278,Val!$C$1,Val!$C$2,Val!$C$3,Val!$C$4,Val!$D278,Val!$C$5,Val!$C$6,Val!$B278,Val!$E278,Val!H$10,Val!$C$7,Val!$C278),"")</f>
        <v>-10750</v>
      </c>
      <c r="I278" s="2">
        <f ca="1">IF(Flag_Send_Data=1,_xll.DBSW(Val!I278,Val!$C$1,Val!$C$2,Val!$C$3,Val!$C$4,Val!$D278,Val!$C$5,Val!$C$6,Val!$B278,Val!$E278,Val!I$10,Val!$C$7,Val!$C278),"")</f>
        <v>-10750</v>
      </c>
      <c r="J278" s="2">
        <f ca="1">IF(Flag_Send_Data=1,_xll.DBSW(Val!J278,Val!$C$1,Val!$C$2,Val!$C$3,Val!$C$4,Val!$D278,Val!$C$5,Val!$C$6,Val!$B278,Val!$E278,Val!J$10,Val!$C$7,Val!$C278),"")</f>
        <v>-10750</v>
      </c>
      <c r="K278" s="2">
        <f ca="1">IF(Flag_Send_Data=1,_xll.DBSW(Val!K278,Val!$C$1,Val!$C$2,Val!$C$3,Val!$C$4,Val!$D278,Val!$C$5,Val!$C$6,Val!$B278,Val!$E278,Val!K$10,Val!$C$7,Val!$C278),"")</f>
        <v>-10750</v>
      </c>
      <c r="L278" s="2">
        <f ca="1">IF(Flag_Send_Data=1,_xll.DBSW(Val!L278,Val!$C$1,Val!$C$2,Val!$C$3,Val!$C$4,Val!$D278,Val!$C$5,Val!$C$6,Val!$B278,Val!$E278,Val!L$10,Val!$C$7,Val!$C278),"")</f>
        <v>-10750</v>
      </c>
      <c r="M278" s="2">
        <f ca="1">IF(Flag_Send_Data=1,_xll.DBSW(Val!M278,Val!$C$1,Val!$C$2,Val!$C$3,Val!$C$4,Val!$D278,Val!$C$5,Val!$C$6,Val!$B278,Val!$E278,Val!M$10,Val!$C$7,Val!$C278),"")</f>
        <v>-10750</v>
      </c>
      <c r="N278" s="2">
        <f ca="1">IF(Flag_Send_Data=1,_xll.DBSW(Val!N278,Val!$C$1,Val!$C$2,Val!$C$3,Val!$C$4,Val!$D278,Val!$C$5,Val!$C$6,Val!$B278,Val!$E278,Val!N$10,Val!$C$7,Val!$C278),"")</f>
        <v>-10750</v>
      </c>
      <c r="O278" s="2">
        <f ca="1">IF(Flag_Send_Data=1,_xll.DBSW(Val!O278,Val!$C$1,Val!$C$2,Val!$C$3,Val!$C$4,Val!$D278,Val!$C$5,Val!$C$6,Val!$B278,Val!$E278,Val!O$10,Val!$C$7,Val!$C278),"")</f>
        <v>-10750</v>
      </c>
      <c r="P278" s="2">
        <f ca="1">IF(Flag_Send_Data=1,_xll.DBSW(Val!P278,Val!$C$1,Val!$C$2,Val!$C$3,Val!$C$4,Val!$D278,Val!$C$5,Val!$C$6,Val!$B278,Val!$E278,Val!P$10,Val!$C$7,Val!$C278),"")</f>
        <v>-10750</v>
      </c>
      <c r="Q278" s="2">
        <f ca="1">IF(Flag_Send_Data=1,_xll.DBSW(Val!Q278,Val!$C$1,Val!$C$2,Val!$C$3,Val!$C$4,Val!$D278,Val!$C$5,Val!$C$6,Val!$B278,Val!$E278,Val!Q$10,Val!$C$7,Val!$C278),"")</f>
        <v>-10750</v>
      </c>
    </row>
    <row r="279" spans="2:17" x14ac:dyDescent="0.25">
      <c r="B279" s="3" t="s">
        <v>273</v>
      </c>
      <c r="C279" t="s">
        <v>184</v>
      </c>
      <c r="D279" t="s">
        <v>199</v>
      </c>
      <c r="E279" t="s">
        <v>163</v>
      </c>
      <c r="F279" s="2">
        <f ca="1">IF(Flag_Send_Data=1,_xll.DBSW(Val!F279,Val!$C$1,Val!$C$2,Val!$C$3,Val!$C$4,Val!$D279,Val!$C$5,Val!$C$6,Val!$B279,Val!$E279,Val!F$10,Val!$C$7,Val!$C279),"")</f>
        <v>-9419.3966666666656</v>
      </c>
      <c r="G279" s="2">
        <f ca="1">IF(Flag_Send_Data=1,_xll.DBSW(Val!G279,Val!$C$1,Val!$C$2,Val!$C$3,Val!$C$4,Val!$D279,Val!$C$5,Val!$C$6,Val!$B279,Val!$E279,Val!G$10,Val!$C$7,Val!$C279),"")</f>
        <v>-9419.3966666666656</v>
      </c>
      <c r="H279" s="2">
        <f ca="1">IF(Flag_Send_Data=1,_xll.DBSW(Val!H279,Val!$C$1,Val!$C$2,Val!$C$3,Val!$C$4,Val!$D279,Val!$C$5,Val!$C$6,Val!$B279,Val!$E279,Val!H$10,Val!$C$7,Val!$C279),"")</f>
        <v>-9419.3966666666656</v>
      </c>
      <c r="I279" s="2">
        <f ca="1">IF(Flag_Send_Data=1,_xll.DBSW(Val!I279,Val!$C$1,Val!$C$2,Val!$C$3,Val!$C$4,Val!$D279,Val!$C$5,Val!$C$6,Val!$B279,Val!$E279,Val!I$10,Val!$C$7,Val!$C279),"")</f>
        <v>-9419.3966666666656</v>
      </c>
      <c r="J279" s="2">
        <f ca="1">IF(Flag_Send_Data=1,_xll.DBSW(Val!J279,Val!$C$1,Val!$C$2,Val!$C$3,Val!$C$4,Val!$D279,Val!$C$5,Val!$C$6,Val!$B279,Val!$E279,Val!J$10,Val!$C$7,Val!$C279),"")</f>
        <v>-9419.3966666666656</v>
      </c>
      <c r="K279" s="2">
        <f ca="1">IF(Flag_Send_Data=1,_xll.DBSW(Val!K279,Val!$C$1,Val!$C$2,Val!$C$3,Val!$C$4,Val!$D279,Val!$C$5,Val!$C$6,Val!$B279,Val!$E279,Val!K$10,Val!$C$7,Val!$C279),"")</f>
        <v>-9419.3966666666656</v>
      </c>
      <c r="L279" s="2">
        <f ca="1">IF(Flag_Send_Data=1,_xll.DBSW(Val!L279,Val!$C$1,Val!$C$2,Val!$C$3,Val!$C$4,Val!$D279,Val!$C$5,Val!$C$6,Val!$B279,Val!$E279,Val!L$10,Val!$C$7,Val!$C279),"")</f>
        <v>-9419.3966666666656</v>
      </c>
      <c r="M279" s="2">
        <f ca="1">IF(Flag_Send_Data=1,_xll.DBSW(Val!M279,Val!$C$1,Val!$C$2,Val!$C$3,Val!$C$4,Val!$D279,Val!$C$5,Val!$C$6,Val!$B279,Val!$E279,Val!M$10,Val!$C$7,Val!$C279),"")</f>
        <v>-9419.3966666666656</v>
      </c>
      <c r="N279" s="2">
        <f ca="1">IF(Flag_Send_Data=1,_xll.DBSW(Val!N279,Val!$C$1,Val!$C$2,Val!$C$3,Val!$C$4,Val!$D279,Val!$C$5,Val!$C$6,Val!$B279,Val!$E279,Val!N$10,Val!$C$7,Val!$C279),"")</f>
        <v>-9419.3966666666656</v>
      </c>
      <c r="O279" s="2">
        <f ca="1">IF(Flag_Send_Data=1,_xll.DBSW(Val!O279,Val!$C$1,Val!$C$2,Val!$C$3,Val!$C$4,Val!$D279,Val!$C$5,Val!$C$6,Val!$B279,Val!$E279,Val!O$10,Val!$C$7,Val!$C279),"")</f>
        <v>-9419.3966666666656</v>
      </c>
      <c r="P279" s="2">
        <f ca="1">IF(Flag_Send_Data=1,_xll.DBSW(Val!P279,Val!$C$1,Val!$C$2,Val!$C$3,Val!$C$4,Val!$D279,Val!$C$5,Val!$C$6,Val!$B279,Val!$E279,Val!P$10,Val!$C$7,Val!$C279),"")</f>
        <v>-9419.3966666666656</v>
      </c>
      <c r="Q279" s="2">
        <f ca="1">IF(Flag_Send_Data=1,_xll.DBSW(Val!Q279,Val!$C$1,Val!$C$2,Val!$C$3,Val!$C$4,Val!$D279,Val!$C$5,Val!$C$6,Val!$B279,Val!$E279,Val!Q$10,Val!$C$7,Val!$C279),"")</f>
        <v>-9419.3966666666656</v>
      </c>
    </row>
    <row r="280" spans="2:17" x14ac:dyDescent="0.25">
      <c r="B280" s="3" t="s">
        <v>273</v>
      </c>
      <c r="C280" t="s">
        <v>54</v>
      </c>
      <c r="D280" t="s">
        <v>199</v>
      </c>
      <c r="E280" t="s">
        <v>128</v>
      </c>
      <c r="F280" s="2">
        <f ca="1">IF(Flag_Send_Data=1,_xll.DBSW(Val!F280,Val!$C$1,Val!$C$2,Val!$C$3,Val!$C$4,Val!$D280,Val!$C$5,Val!$C$6,Val!$B280,Val!$E280,Val!F$10,Val!$C$7,Val!$C280),"")</f>
        <v>-41.666666666666664</v>
      </c>
      <c r="G280" s="2">
        <f ca="1">IF(Flag_Send_Data=1,_xll.DBSW(Val!G280,Val!$C$1,Val!$C$2,Val!$C$3,Val!$C$4,Val!$D280,Val!$C$5,Val!$C$6,Val!$B280,Val!$E280,Val!G$10,Val!$C$7,Val!$C280),"")</f>
        <v>-41.666666666666664</v>
      </c>
      <c r="H280" s="2">
        <f ca="1">IF(Flag_Send_Data=1,_xll.DBSW(Val!H280,Val!$C$1,Val!$C$2,Val!$C$3,Val!$C$4,Val!$D280,Val!$C$5,Val!$C$6,Val!$B280,Val!$E280,Val!H$10,Val!$C$7,Val!$C280),"")</f>
        <v>-41.666666666666664</v>
      </c>
      <c r="I280" s="2">
        <f ca="1">IF(Flag_Send_Data=1,_xll.DBSW(Val!I280,Val!$C$1,Val!$C$2,Val!$C$3,Val!$C$4,Val!$D280,Val!$C$5,Val!$C$6,Val!$B280,Val!$E280,Val!I$10,Val!$C$7,Val!$C280),"")</f>
        <v>-41.666666666666664</v>
      </c>
      <c r="J280" s="2">
        <f ca="1">IF(Flag_Send_Data=1,_xll.DBSW(Val!J280,Val!$C$1,Val!$C$2,Val!$C$3,Val!$C$4,Val!$D280,Val!$C$5,Val!$C$6,Val!$B280,Val!$E280,Val!J$10,Val!$C$7,Val!$C280),"")</f>
        <v>-41.666666666666664</v>
      </c>
      <c r="K280" s="2">
        <f ca="1">IF(Flag_Send_Data=1,_xll.DBSW(Val!K280,Val!$C$1,Val!$C$2,Val!$C$3,Val!$C$4,Val!$D280,Val!$C$5,Val!$C$6,Val!$B280,Val!$E280,Val!K$10,Val!$C$7,Val!$C280),"")</f>
        <v>-41.666666666666664</v>
      </c>
      <c r="L280" s="2">
        <f ca="1">IF(Flag_Send_Data=1,_xll.DBSW(Val!L280,Val!$C$1,Val!$C$2,Val!$C$3,Val!$C$4,Val!$D280,Val!$C$5,Val!$C$6,Val!$B280,Val!$E280,Val!L$10,Val!$C$7,Val!$C280),"")</f>
        <v>-41.666666666666664</v>
      </c>
      <c r="M280" s="2">
        <f ca="1">IF(Flag_Send_Data=1,_xll.DBSW(Val!M280,Val!$C$1,Val!$C$2,Val!$C$3,Val!$C$4,Val!$D280,Val!$C$5,Val!$C$6,Val!$B280,Val!$E280,Val!M$10,Val!$C$7,Val!$C280),"")</f>
        <v>-41.666666666666664</v>
      </c>
      <c r="N280" s="2">
        <f ca="1">IF(Flag_Send_Data=1,_xll.DBSW(Val!N280,Val!$C$1,Val!$C$2,Val!$C$3,Val!$C$4,Val!$D280,Val!$C$5,Val!$C$6,Val!$B280,Val!$E280,Val!N$10,Val!$C$7,Val!$C280),"")</f>
        <v>-41.666666666666664</v>
      </c>
      <c r="O280" s="2">
        <f ca="1">IF(Flag_Send_Data=1,_xll.DBSW(Val!O280,Val!$C$1,Val!$C$2,Val!$C$3,Val!$C$4,Val!$D280,Val!$C$5,Val!$C$6,Val!$B280,Val!$E280,Val!O$10,Val!$C$7,Val!$C280),"")</f>
        <v>-41.666666666666664</v>
      </c>
      <c r="P280" s="2">
        <f ca="1">IF(Flag_Send_Data=1,_xll.DBSW(Val!P280,Val!$C$1,Val!$C$2,Val!$C$3,Val!$C$4,Val!$D280,Val!$C$5,Val!$C$6,Val!$B280,Val!$E280,Val!P$10,Val!$C$7,Val!$C280),"")</f>
        <v>-41.666666666666664</v>
      </c>
      <c r="Q280" s="2">
        <f ca="1">IF(Flag_Send_Data=1,_xll.DBSW(Val!Q280,Val!$C$1,Val!$C$2,Val!$C$3,Val!$C$4,Val!$D280,Val!$C$5,Val!$C$6,Val!$B280,Val!$E280,Val!Q$10,Val!$C$7,Val!$C280),"")</f>
        <v>-41.666666666666664</v>
      </c>
    </row>
    <row r="281" spans="2:17" x14ac:dyDescent="0.25">
      <c r="B281" s="3" t="s">
        <v>273</v>
      </c>
      <c r="C281" t="s">
        <v>64</v>
      </c>
      <c r="D281" t="s">
        <v>199</v>
      </c>
      <c r="E281" t="s">
        <v>128</v>
      </c>
      <c r="F281" s="2">
        <f ca="1">IF(Flag_Send_Data=1,_xll.DBSW(Val!F281,Val!$C$1,Val!$C$2,Val!$C$3,Val!$C$4,Val!$D281,Val!$C$5,Val!$C$6,Val!$B281,Val!$E281,Val!F$10,Val!$C$7,Val!$C281),"")</f>
        <v>-104.70666666666666</v>
      </c>
      <c r="G281" s="2">
        <f ca="1">IF(Flag_Send_Data=1,_xll.DBSW(Val!G281,Val!$C$1,Val!$C$2,Val!$C$3,Val!$C$4,Val!$D281,Val!$C$5,Val!$C$6,Val!$B281,Val!$E281,Val!G$10,Val!$C$7,Val!$C281),"")</f>
        <v>-104.70666666666666</v>
      </c>
      <c r="H281" s="2">
        <f ca="1">IF(Flag_Send_Data=1,_xll.DBSW(Val!H281,Val!$C$1,Val!$C$2,Val!$C$3,Val!$C$4,Val!$D281,Val!$C$5,Val!$C$6,Val!$B281,Val!$E281,Val!H$10,Val!$C$7,Val!$C281),"")</f>
        <v>-104.70666666666666</v>
      </c>
      <c r="I281" s="2">
        <f ca="1">IF(Flag_Send_Data=1,_xll.DBSW(Val!I281,Val!$C$1,Val!$C$2,Val!$C$3,Val!$C$4,Val!$D281,Val!$C$5,Val!$C$6,Val!$B281,Val!$E281,Val!I$10,Val!$C$7,Val!$C281),"")</f>
        <v>-104.70666666666666</v>
      </c>
      <c r="J281" s="2">
        <f ca="1">IF(Flag_Send_Data=1,_xll.DBSW(Val!J281,Val!$C$1,Val!$C$2,Val!$C$3,Val!$C$4,Val!$D281,Val!$C$5,Val!$C$6,Val!$B281,Val!$E281,Val!J$10,Val!$C$7,Val!$C281),"")</f>
        <v>-104.70666666666666</v>
      </c>
      <c r="K281" s="2">
        <f ca="1">IF(Flag_Send_Data=1,_xll.DBSW(Val!K281,Val!$C$1,Val!$C$2,Val!$C$3,Val!$C$4,Val!$D281,Val!$C$5,Val!$C$6,Val!$B281,Val!$E281,Val!K$10,Val!$C$7,Val!$C281),"")</f>
        <v>-104.70666666666666</v>
      </c>
      <c r="L281" s="2">
        <f ca="1">IF(Flag_Send_Data=1,_xll.DBSW(Val!L281,Val!$C$1,Val!$C$2,Val!$C$3,Val!$C$4,Val!$D281,Val!$C$5,Val!$C$6,Val!$B281,Val!$E281,Val!L$10,Val!$C$7,Val!$C281),"")</f>
        <v>-104.70666666666666</v>
      </c>
      <c r="M281" s="2">
        <f ca="1">IF(Flag_Send_Data=1,_xll.DBSW(Val!M281,Val!$C$1,Val!$C$2,Val!$C$3,Val!$C$4,Val!$D281,Val!$C$5,Val!$C$6,Val!$B281,Val!$E281,Val!M$10,Val!$C$7,Val!$C281),"")</f>
        <v>-104.70666666666666</v>
      </c>
      <c r="N281" s="2">
        <f ca="1">IF(Flag_Send_Data=1,_xll.DBSW(Val!N281,Val!$C$1,Val!$C$2,Val!$C$3,Val!$C$4,Val!$D281,Val!$C$5,Val!$C$6,Val!$B281,Val!$E281,Val!N$10,Val!$C$7,Val!$C281),"")</f>
        <v>-104.70666666666666</v>
      </c>
      <c r="O281" s="2">
        <f ca="1">IF(Flag_Send_Data=1,_xll.DBSW(Val!O281,Val!$C$1,Val!$C$2,Val!$C$3,Val!$C$4,Val!$D281,Val!$C$5,Val!$C$6,Val!$B281,Val!$E281,Val!O$10,Val!$C$7,Val!$C281),"")</f>
        <v>-104.70666666666666</v>
      </c>
      <c r="P281" s="2">
        <f ca="1">IF(Flag_Send_Data=1,_xll.DBSW(Val!P281,Val!$C$1,Val!$C$2,Val!$C$3,Val!$C$4,Val!$D281,Val!$C$5,Val!$C$6,Val!$B281,Val!$E281,Val!P$10,Val!$C$7,Val!$C281),"")</f>
        <v>-104.70666666666666</v>
      </c>
      <c r="Q281" s="2">
        <f ca="1">IF(Flag_Send_Data=1,_xll.DBSW(Val!Q281,Val!$C$1,Val!$C$2,Val!$C$3,Val!$C$4,Val!$D281,Val!$C$5,Val!$C$6,Val!$B281,Val!$E281,Val!Q$10,Val!$C$7,Val!$C281),"")</f>
        <v>-104.70666666666666</v>
      </c>
    </row>
    <row r="282" spans="2:17" x14ac:dyDescent="0.25">
      <c r="B282" s="3" t="s">
        <v>273</v>
      </c>
      <c r="C282" t="s">
        <v>112</v>
      </c>
      <c r="D282" t="s">
        <v>199</v>
      </c>
      <c r="E282" t="s">
        <v>14</v>
      </c>
      <c r="F282" s="2">
        <f ca="1">IF(Flag_Send_Data=1,_xll.DBSW(Val!F282,Val!$C$1,Val!$C$2,Val!$C$3,Val!$C$4,Val!$D282,Val!$C$5,Val!$C$6,Val!$B282,Val!$E282,Val!F$10,Val!$C$7,Val!$C282),"")</f>
        <v>2653.8233333333333</v>
      </c>
      <c r="G282" s="2">
        <f ca="1">IF(Flag_Send_Data=1,_xll.DBSW(Val!G282,Val!$C$1,Val!$C$2,Val!$C$3,Val!$C$4,Val!$D282,Val!$C$5,Val!$C$6,Val!$B282,Val!$E282,Val!G$10,Val!$C$7,Val!$C282),"")</f>
        <v>2653.8233333333333</v>
      </c>
      <c r="H282" s="2">
        <f ca="1">IF(Flag_Send_Data=1,_xll.DBSW(Val!H282,Val!$C$1,Val!$C$2,Val!$C$3,Val!$C$4,Val!$D282,Val!$C$5,Val!$C$6,Val!$B282,Val!$E282,Val!H$10,Val!$C$7,Val!$C282),"")</f>
        <v>2653.8233333333333</v>
      </c>
      <c r="I282" s="2">
        <f ca="1">IF(Flag_Send_Data=1,_xll.DBSW(Val!I282,Val!$C$1,Val!$C$2,Val!$C$3,Val!$C$4,Val!$D282,Val!$C$5,Val!$C$6,Val!$B282,Val!$E282,Val!I$10,Val!$C$7,Val!$C282),"")</f>
        <v>2653.8233333333333</v>
      </c>
      <c r="J282" s="2">
        <f ca="1">IF(Flag_Send_Data=1,_xll.DBSW(Val!J282,Val!$C$1,Val!$C$2,Val!$C$3,Val!$C$4,Val!$D282,Val!$C$5,Val!$C$6,Val!$B282,Val!$E282,Val!J$10,Val!$C$7,Val!$C282),"")</f>
        <v>2653.8233333333333</v>
      </c>
      <c r="K282" s="2">
        <f ca="1">IF(Flag_Send_Data=1,_xll.DBSW(Val!K282,Val!$C$1,Val!$C$2,Val!$C$3,Val!$C$4,Val!$D282,Val!$C$5,Val!$C$6,Val!$B282,Val!$E282,Val!K$10,Val!$C$7,Val!$C282),"")</f>
        <v>2653.8233333333333</v>
      </c>
      <c r="L282" s="2">
        <f ca="1">IF(Flag_Send_Data=1,_xll.DBSW(Val!L282,Val!$C$1,Val!$C$2,Val!$C$3,Val!$C$4,Val!$D282,Val!$C$5,Val!$C$6,Val!$B282,Val!$E282,Val!L$10,Val!$C$7,Val!$C282),"")</f>
        <v>2653.8233333333333</v>
      </c>
      <c r="M282" s="2">
        <f ca="1">IF(Flag_Send_Data=1,_xll.DBSW(Val!M282,Val!$C$1,Val!$C$2,Val!$C$3,Val!$C$4,Val!$D282,Val!$C$5,Val!$C$6,Val!$B282,Val!$E282,Val!M$10,Val!$C$7,Val!$C282),"")</f>
        <v>2653.8233333333333</v>
      </c>
      <c r="N282" s="2">
        <f ca="1">IF(Flag_Send_Data=1,_xll.DBSW(Val!N282,Val!$C$1,Val!$C$2,Val!$C$3,Val!$C$4,Val!$D282,Val!$C$5,Val!$C$6,Val!$B282,Val!$E282,Val!N$10,Val!$C$7,Val!$C282),"")</f>
        <v>2653.8233333333333</v>
      </c>
      <c r="O282" s="2">
        <f ca="1">IF(Flag_Send_Data=1,_xll.DBSW(Val!O282,Val!$C$1,Val!$C$2,Val!$C$3,Val!$C$4,Val!$D282,Val!$C$5,Val!$C$6,Val!$B282,Val!$E282,Val!O$10,Val!$C$7,Val!$C282),"")</f>
        <v>2653.8233333333333</v>
      </c>
      <c r="P282" s="2">
        <f ca="1">IF(Flag_Send_Data=1,_xll.DBSW(Val!P282,Val!$C$1,Val!$C$2,Val!$C$3,Val!$C$4,Val!$D282,Val!$C$5,Val!$C$6,Val!$B282,Val!$E282,Val!P$10,Val!$C$7,Val!$C282),"")</f>
        <v>2653.8233333333333</v>
      </c>
      <c r="Q282" s="2">
        <f ca="1">IF(Flag_Send_Data=1,_xll.DBSW(Val!Q282,Val!$C$1,Val!$C$2,Val!$C$3,Val!$C$4,Val!$D282,Val!$C$5,Val!$C$6,Val!$B282,Val!$E282,Val!Q$10,Val!$C$7,Val!$C282),"")</f>
        <v>2653.8233333333333</v>
      </c>
    </row>
    <row r="283" spans="2:17" x14ac:dyDescent="0.25">
      <c r="B283" s="3" t="s">
        <v>274</v>
      </c>
      <c r="C283" t="s">
        <v>146</v>
      </c>
      <c r="D283" t="s">
        <v>199</v>
      </c>
      <c r="E283" t="s">
        <v>128</v>
      </c>
      <c r="F283" s="2">
        <f ca="1">IF(Flag_Send_Data=1,_xll.DBSW(Val!F283,Val!$C$1,Val!$C$2,Val!$C$3,Val!$C$4,Val!$D283,Val!$C$5,Val!$C$6,Val!$B283,Val!$E283,Val!F$10,Val!$C$7,Val!$C283),"")</f>
        <v>-4333.333333333333</v>
      </c>
      <c r="G283" s="2">
        <f ca="1">IF(Flag_Send_Data=1,_xll.DBSW(Val!G283,Val!$C$1,Val!$C$2,Val!$C$3,Val!$C$4,Val!$D283,Val!$C$5,Val!$C$6,Val!$B283,Val!$E283,Val!G$10,Val!$C$7,Val!$C283),"")</f>
        <v>-4333.333333333333</v>
      </c>
      <c r="H283" s="2">
        <f ca="1">IF(Flag_Send_Data=1,_xll.DBSW(Val!H283,Val!$C$1,Val!$C$2,Val!$C$3,Val!$C$4,Val!$D283,Val!$C$5,Val!$C$6,Val!$B283,Val!$E283,Val!H$10,Val!$C$7,Val!$C283),"")</f>
        <v>-4333.333333333333</v>
      </c>
      <c r="I283" s="2">
        <f ca="1">IF(Flag_Send_Data=1,_xll.DBSW(Val!I283,Val!$C$1,Val!$C$2,Val!$C$3,Val!$C$4,Val!$D283,Val!$C$5,Val!$C$6,Val!$B283,Val!$E283,Val!I$10,Val!$C$7,Val!$C283),"")</f>
        <v>-4333.333333333333</v>
      </c>
      <c r="J283" s="2">
        <f ca="1">IF(Flag_Send_Data=1,_xll.DBSW(Val!J283,Val!$C$1,Val!$C$2,Val!$C$3,Val!$C$4,Val!$D283,Val!$C$5,Val!$C$6,Val!$B283,Val!$E283,Val!J$10,Val!$C$7,Val!$C283),"")</f>
        <v>-4333.333333333333</v>
      </c>
      <c r="K283" s="2">
        <f ca="1">IF(Flag_Send_Data=1,_xll.DBSW(Val!K283,Val!$C$1,Val!$C$2,Val!$C$3,Val!$C$4,Val!$D283,Val!$C$5,Val!$C$6,Val!$B283,Val!$E283,Val!K$10,Val!$C$7,Val!$C283),"")</f>
        <v>-4333.333333333333</v>
      </c>
      <c r="L283" s="2">
        <f ca="1">IF(Flag_Send_Data=1,_xll.DBSW(Val!L283,Val!$C$1,Val!$C$2,Val!$C$3,Val!$C$4,Val!$D283,Val!$C$5,Val!$C$6,Val!$B283,Val!$E283,Val!L$10,Val!$C$7,Val!$C283),"")</f>
        <v>-4333.333333333333</v>
      </c>
      <c r="M283" s="2">
        <f ca="1">IF(Flag_Send_Data=1,_xll.DBSW(Val!M283,Val!$C$1,Val!$C$2,Val!$C$3,Val!$C$4,Val!$D283,Val!$C$5,Val!$C$6,Val!$B283,Val!$E283,Val!M$10,Val!$C$7,Val!$C283),"")</f>
        <v>-4333.333333333333</v>
      </c>
      <c r="N283" s="2">
        <f ca="1">IF(Flag_Send_Data=1,_xll.DBSW(Val!N283,Val!$C$1,Val!$C$2,Val!$C$3,Val!$C$4,Val!$D283,Val!$C$5,Val!$C$6,Val!$B283,Val!$E283,Val!N$10,Val!$C$7,Val!$C283),"")</f>
        <v>-4333.333333333333</v>
      </c>
      <c r="O283" s="2">
        <f ca="1">IF(Flag_Send_Data=1,_xll.DBSW(Val!O283,Val!$C$1,Val!$C$2,Val!$C$3,Val!$C$4,Val!$D283,Val!$C$5,Val!$C$6,Val!$B283,Val!$E283,Val!O$10,Val!$C$7,Val!$C283),"")</f>
        <v>-4333.333333333333</v>
      </c>
      <c r="P283" s="2">
        <f ca="1">IF(Flag_Send_Data=1,_xll.DBSW(Val!P283,Val!$C$1,Val!$C$2,Val!$C$3,Val!$C$4,Val!$D283,Val!$C$5,Val!$C$6,Val!$B283,Val!$E283,Val!P$10,Val!$C$7,Val!$C283),"")</f>
        <v>-4333.333333333333</v>
      </c>
      <c r="Q283" s="2">
        <f ca="1">IF(Flag_Send_Data=1,_xll.DBSW(Val!Q283,Val!$C$1,Val!$C$2,Val!$C$3,Val!$C$4,Val!$D283,Val!$C$5,Val!$C$6,Val!$B283,Val!$E283,Val!Q$10,Val!$C$7,Val!$C283),"")</f>
        <v>-4333.333333333333</v>
      </c>
    </row>
    <row r="284" spans="2:17" x14ac:dyDescent="0.25">
      <c r="B284" s="3" t="s">
        <v>274</v>
      </c>
      <c r="C284" t="s">
        <v>34</v>
      </c>
      <c r="D284" t="s">
        <v>170</v>
      </c>
      <c r="E284" t="s">
        <v>17</v>
      </c>
      <c r="F284" s="2">
        <f ca="1">IF(Flag_Send_Data=1,_xll.DBSW(Val!F284,Val!$C$1,Val!$C$2,Val!$C$3,Val!$C$4,Val!$D284,Val!$C$5,Val!$C$6,Val!$B284,Val!$E284,Val!F$10,Val!$C$7,Val!$C284),"")</f>
        <v>-12180.5</v>
      </c>
      <c r="G284" s="2">
        <f ca="1">IF(Flag_Send_Data=1,_xll.DBSW(Val!G284,Val!$C$1,Val!$C$2,Val!$C$3,Val!$C$4,Val!$D284,Val!$C$5,Val!$C$6,Val!$B284,Val!$E284,Val!G$10,Val!$C$7,Val!$C284),"")</f>
        <v>-12180.5</v>
      </c>
      <c r="H284" s="2">
        <f ca="1">IF(Flag_Send_Data=1,_xll.DBSW(Val!H284,Val!$C$1,Val!$C$2,Val!$C$3,Val!$C$4,Val!$D284,Val!$C$5,Val!$C$6,Val!$B284,Val!$E284,Val!H$10,Val!$C$7,Val!$C284),"")</f>
        <v>-12180.5</v>
      </c>
      <c r="I284" s="2">
        <f ca="1">IF(Flag_Send_Data=1,_xll.DBSW(Val!I284,Val!$C$1,Val!$C$2,Val!$C$3,Val!$C$4,Val!$D284,Val!$C$5,Val!$C$6,Val!$B284,Val!$E284,Val!I$10,Val!$C$7,Val!$C284),"")</f>
        <v>-12180.5</v>
      </c>
      <c r="J284" s="2">
        <f ca="1">IF(Flag_Send_Data=1,_xll.DBSW(Val!J284,Val!$C$1,Val!$C$2,Val!$C$3,Val!$C$4,Val!$D284,Val!$C$5,Val!$C$6,Val!$B284,Val!$E284,Val!J$10,Val!$C$7,Val!$C284),"")</f>
        <v>-12180.5</v>
      </c>
      <c r="K284" s="2">
        <f ca="1">IF(Flag_Send_Data=1,_xll.DBSW(Val!K284,Val!$C$1,Val!$C$2,Val!$C$3,Val!$C$4,Val!$D284,Val!$C$5,Val!$C$6,Val!$B284,Val!$E284,Val!K$10,Val!$C$7,Val!$C284),"")</f>
        <v>-12180.5</v>
      </c>
      <c r="L284" s="2">
        <f ca="1">IF(Flag_Send_Data=1,_xll.DBSW(Val!L284,Val!$C$1,Val!$C$2,Val!$C$3,Val!$C$4,Val!$D284,Val!$C$5,Val!$C$6,Val!$B284,Val!$E284,Val!L$10,Val!$C$7,Val!$C284),"")</f>
        <v>-12180.5</v>
      </c>
      <c r="M284" s="2">
        <f ca="1">IF(Flag_Send_Data=1,_xll.DBSW(Val!M284,Val!$C$1,Val!$C$2,Val!$C$3,Val!$C$4,Val!$D284,Val!$C$5,Val!$C$6,Val!$B284,Val!$E284,Val!M$10,Val!$C$7,Val!$C284),"")</f>
        <v>-12180.5</v>
      </c>
      <c r="N284" s="2">
        <f ca="1">IF(Flag_Send_Data=1,_xll.DBSW(Val!N284,Val!$C$1,Val!$C$2,Val!$C$3,Val!$C$4,Val!$D284,Val!$C$5,Val!$C$6,Val!$B284,Val!$E284,Val!N$10,Val!$C$7,Val!$C284),"")</f>
        <v>-12180.5</v>
      </c>
      <c r="O284" s="2">
        <f ca="1">IF(Flag_Send_Data=1,_xll.DBSW(Val!O284,Val!$C$1,Val!$C$2,Val!$C$3,Val!$C$4,Val!$D284,Val!$C$5,Val!$C$6,Val!$B284,Val!$E284,Val!O$10,Val!$C$7,Val!$C284),"")</f>
        <v>-12180.5</v>
      </c>
      <c r="P284" s="2">
        <f ca="1">IF(Flag_Send_Data=1,_xll.DBSW(Val!P284,Val!$C$1,Val!$C$2,Val!$C$3,Val!$C$4,Val!$D284,Val!$C$5,Val!$C$6,Val!$B284,Val!$E284,Val!P$10,Val!$C$7,Val!$C284),"")</f>
        <v>-12180.5</v>
      </c>
      <c r="Q284" s="2">
        <f ca="1">IF(Flag_Send_Data=1,_xll.DBSW(Val!Q284,Val!$C$1,Val!$C$2,Val!$C$3,Val!$C$4,Val!$D284,Val!$C$5,Val!$C$6,Val!$B284,Val!$E284,Val!Q$10,Val!$C$7,Val!$C284),"")</f>
        <v>-12180.5</v>
      </c>
    </row>
    <row r="285" spans="2:17" x14ac:dyDescent="0.25">
      <c r="B285" s="3" t="s">
        <v>274</v>
      </c>
      <c r="C285" t="s">
        <v>171</v>
      </c>
      <c r="D285" t="s">
        <v>170</v>
      </c>
      <c r="E285" t="s">
        <v>142</v>
      </c>
      <c r="F285" s="2">
        <f ca="1">IF(Flag_Send_Data=1,_xll.DBSW(Val!F285,Val!$C$1,Val!$C$2,Val!$C$3,Val!$C$4,Val!$D285,Val!$C$5,Val!$C$6,Val!$B285,Val!$E285,Val!F$10,Val!$C$7,Val!$C285),"")</f>
        <v>-7812.5</v>
      </c>
      <c r="G285" s="2">
        <f ca="1">IF(Flag_Send_Data=1,_xll.DBSW(Val!G285,Val!$C$1,Val!$C$2,Val!$C$3,Val!$C$4,Val!$D285,Val!$C$5,Val!$C$6,Val!$B285,Val!$E285,Val!G$10,Val!$C$7,Val!$C285),"")</f>
        <v>-7812.5</v>
      </c>
      <c r="H285" s="2">
        <f ca="1">IF(Flag_Send_Data=1,_xll.DBSW(Val!H285,Val!$C$1,Val!$C$2,Val!$C$3,Val!$C$4,Val!$D285,Val!$C$5,Val!$C$6,Val!$B285,Val!$E285,Val!H$10,Val!$C$7,Val!$C285),"")</f>
        <v>-7812.5</v>
      </c>
      <c r="I285" s="2">
        <f ca="1">IF(Flag_Send_Data=1,_xll.DBSW(Val!I285,Val!$C$1,Val!$C$2,Val!$C$3,Val!$C$4,Val!$D285,Val!$C$5,Val!$C$6,Val!$B285,Val!$E285,Val!I$10,Val!$C$7,Val!$C285),"")</f>
        <v>-7812.5</v>
      </c>
      <c r="J285" s="2">
        <f ca="1">IF(Flag_Send_Data=1,_xll.DBSW(Val!J285,Val!$C$1,Val!$C$2,Val!$C$3,Val!$C$4,Val!$D285,Val!$C$5,Val!$C$6,Val!$B285,Val!$E285,Val!J$10,Val!$C$7,Val!$C285),"")</f>
        <v>-7812.5</v>
      </c>
      <c r="K285" s="2">
        <f ca="1">IF(Flag_Send_Data=1,_xll.DBSW(Val!K285,Val!$C$1,Val!$C$2,Val!$C$3,Val!$C$4,Val!$D285,Val!$C$5,Val!$C$6,Val!$B285,Val!$E285,Val!K$10,Val!$C$7,Val!$C285),"")</f>
        <v>-7812.5</v>
      </c>
      <c r="L285" s="2">
        <f ca="1">IF(Flag_Send_Data=1,_xll.DBSW(Val!L285,Val!$C$1,Val!$C$2,Val!$C$3,Val!$C$4,Val!$D285,Val!$C$5,Val!$C$6,Val!$B285,Val!$E285,Val!L$10,Val!$C$7,Val!$C285),"")</f>
        <v>-7812.5</v>
      </c>
      <c r="M285" s="2">
        <f ca="1">IF(Flag_Send_Data=1,_xll.DBSW(Val!M285,Val!$C$1,Val!$C$2,Val!$C$3,Val!$C$4,Val!$D285,Val!$C$5,Val!$C$6,Val!$B285,Val!$E285,Val!M$10,Val!$C$7,Val!$C285),"")</f>
        <v>-7812.5</v>
      </c>
      <c r="N285" s="2">
        <f ca="1">IF(Flag_Send_Data=1,_xll.DBSW(Val!N285,Val!$C$1,Val!$C$2,Val!$C$3,Val!$C$4,Val!$D285,Val!$C$5,Val!$C$6,Val!$B285,Val!$E285,Val!N$10,Val!$C$7,Val!$C285),"")</f>
        <v>-7812.5</v>
      </c>
      <c r="O285" s="2">
        <f ca="1">IF(Flag_Send_Data=1,_xll.DBSW(Val!O285,Val!$C$1,Val!$C$2,Val!$C$3,Val!$C$4,Val!$D285,Val!$C$5,Val!$C$6,Val!$B285,Val!$E285,Val!O$10,Val!$C$7,Val!$C285),"")</f>
        <v>-7812.5</v>
      </c>
      <c r="P285" s="2">
        <f ca="1">IF(Flag_Send_Data=1,_xll.DBSW(Val!P285,Val!$C$1,Val!$C$2,Val!$C$3,Val!$C$4,Val!$D285,Val!$C$5,Val!$C$6,Val!$B285,Val!$E285,Val!P$10,Val!$C$7,Val!$C285),"")</f>
        <v>-7812.5</v>
      </c>
      <c r="Q285" s="2">
        <f ca="1">IF(Flag_Send_Data=1,_xll.DBSW(Val!Q285,Val!$C$1,Val!$C$2,Val!$C$3,Val!$C$4,Val!$D285,Val!$C$5,Val!$C$6,Val!$B285,Val!$E285,Val!Q$10,Val!$C$7,Val!$C285),"")</f>
        <v>-7812.5</v>
      </c>
    </row>
    <row r="286" spans="2:17" x14ac:dyDescent="0.25">
      <c r="B286" s="3" t="s">
        <v>274</v>
      </c>
      <c r="C286" t="s">
        <v>64</v>
      </c>
      <c r="D286" t="s">
        <v>199</v>
      </c>
      <c r="E286" t="s">
        <v>128</v>
      </c>
      <c r="F286" s="2">
        <f ca="1">IF(Flag_Send_Data=1,_xll.DBSW(Val!F286,Val!$C$1,Val!$C$2,Val!$C$3,Val!$C$4,Val!$D286,Val!$C$5,Val!$C$6,Val!$B286,Val!$E286,Val!F$10,Val!$C$7,Val!$C286),"")</f>
        <v>-6505.184166666666</v>
      </c>
      <c r="G286" s="2">
        <f ca="1">IF(Flag_Send_Data=1,_xll.DBSW(Val!G286,Val!$C$1,Val!$C$2,Val!$C$3,Val!$C$4,Val!$D286,Val!$C$5,Val!$C$6,Val!$B286,Val!$E286,Val!G$10,Val!$C$7,Val!$C286),"")</f>
        <v>-6505.184166666666</v>
      </c>
      <c r="H286" s="2">
        <f ca="1">IF(Flag_Send_Data=1,_xll.DBSW(Val!H286,Val!$C$1,Val!$C$2,Val!$C$3,Val!$C$4,Val!$D286,Val!$C$5,Val!$C$6,Val!$B286,Val!$E286,Val!H$10,Val!$C$7,Val!$C286),"")</f>
        <v>-6505.184166666666</v>
      </c>
      <c r="I286" s="2">
        <f ca="1">IF(Flag_Send_Data=1,_xll.DBSW(Val!I286,Val!$C$1,Val!$C$2,Val!$C$3,Val!$C$4,Val!$D286,Val!$C$5,Val!$C$6,Val!$B286,Val!$E286,Val!I$10,Val!$C$7,Val!$C286),"")</f>
        <v>-6505.184166666666</v>
      </c>
      <c r="J286" s="2">
        <f ca="1">IF(Flag_Send_Data=1,_xll.DBSW(Val!J286,Val!$C$1,Val!$C$2,Val!$C$3,Val!$C$4,Val!$D286,Val!$C$5,Val!$C$6,Val!$B286,Val!$E286,Val!J$10,Val!$C$7,Val!$C286),"")</f>
        <v>-6505.184166666666</v>
      </c>
      <c r="K286" s="2">
        <f ca="1">IF(Flag_Send_Data=1,_xll.DBSW(Val!K286,Val!$C$1,Val!$C$2,Val!$C$3,Val!$C$4,Val!$D286,Val!$C$5,Val!$C$6,Val!$B286,Val!$E286,Val!K$10,Val!$C$7,Val!$C286),"")</f>
        <v>-6505.184166666666</v>
      </c>
      <c r="L286" s="2">
        <f ca="1">IF(Flag_Send_Data=1,_xll.DBSW(Val!L286,Val!$C$1,Val!$C$2,Val!$C$3,Val!$C$4,Val!$D286,Val!$C$5,Val!$C$6,Val!$B286,Val!$E286,Val!L$10,Val!$C$7,Val!$C286),"")</f>
        <v>-6505.184166666666</v>
      </c>
      <c r="M286" s="2">
        <f ca="1">IF(Flag_Send_Data=1,_xll.DBSW(Val!M286,Val!$C$1,Val!$C$2,Val!$C$3,Val!$C$4,Val!$D286,Val!$C$5,Val!$C$6,Val!$B286,Val!$E286,Val!M$10,Val!$C$7,Val!$C286),"")</f>
        <v>-6505.184166666666</v>
      </c>
      <c r="N286" s="2">
        <f ca="1">IF(Flag_Send_Data=1,_xll.DBSW(Val!N286,Val!$C$1,Val!$C$2,Val!$C$3,Val!$C$4,Val!$D286,Val!$C$5,Val!$C$6,Val!$B286,Val!$E286,Val!N$10,Val!$C$7,Val!$C286),"")</f>
        <v>-6505.184166666666</v>
      </c>
      <c r="O286" s="2">
        <f ca="1">IF(Flag_Send_Data=1,_xll.DBSW(Val!O286,Val!$C$1,Val!$C$2,Val!$C$3,Val!$C$4,Val!$D286,Val!$C$5,Val!$C$6,Val!$B286,Val!$E286,Val!O$10,Val!$C$7,Val!$C286),"")</f>
        <v>-6505.184166666666</v>
      </c>
      <c r="P286" s="2">
        <f ca="1">IF(Flag_Send_Data=1,_xll.DBSW(Val!P286,Val!$C$1,Val!$C$2,Val!$C$3,Val!$C$4,Val!$D286,Val!$C$5,Val!$C$6,Val!$B286,Val!$E286,Val!P$10,Val!$C$7,Val!$C286),"")</f>
        <v>-6505.184166666666</v>
      </c>
      <c r="Q286" s="2">
        <f ca="1">IF(Flag_Send_Data=1,_xll.DBSW(Val!Q286,Val!$C$1,Val!$C$2,Val!$C$3,Val!$C$4,Val!$D286,Val!$C$5,Val!$C$6,Val!$B286,Val!$E286,Val!Q$10,Val!$C$7,Val!$C286),"")</f>
        <v>-6505.184166666666</v>
      </c>
    </row>
    <row r="287" spans="2:17" x14ac:dyDescent="0.25">
      <c r="B287" s="3" t="s">
        <v>275</v>
      </c>
      <c r="C287" t="s">
        <v>34</v>
      </c>
      <c r="D287" t="s">
        <v>199</v>
      </c>
      <c r="E287" t="s">
        <v>17</v>
      </c>
      <c r="F287" s="2">
        <f ca="1">IF(Flag_Send_Data=1,_xll.DBSW(Val!F287,Val!$C$1,Val!$C$2,Val!$C$3,Val!$C$4,Val!$D287,Val!$C$5,Val!$C$6,Val!$B287,Val!$E287,Val!F$10,Val!$C$7,Val!$C287),"")</f>
        <v>-79916.666666666672</v>
      </c>
      <c r="G287" s="2">
        <f ca="1">IF(Flag_Send_Data=1,_xll.DBSW(Val!G287,Val!$C$1,Val!$C$2,Val!$C$3,Val!$C$4,Val!$D287,Val!$C$5,Val!$C$6,Val!$B287,Val!$E287,Val!G$10,Val!$C$7,Val!$C287),"")</f>
        <v>-79916.666666666672</v>
      </c>
      <c r="H287" s="2">
        <f ca="1">IF(Flag_Send_Data=1,_xll.DBSW(Val!H287,Val!$C$1,Val!$C$2,Val!$C$3,Val!$C$4,Val!$D287,Val!$C$5,Val!$C$6,Val!$B287,Val!$E287,Val!H$10,Val!$C$7,Val!$C287),"")</f>
        <v>-79916.666666666672</v>
      </c>
      <c r="I287" s="2">
        <f ca="1">IF(Flag_Send_Data=1,_xll.DBSW(Val!I287,Val!$C$1,Val!$C$2,Val!$C$3,Val!$C$4,Val!$D287,Val!$C$5,Val!$C$6,Val!$B287,Val!$E287,Val!I$10,Val!$C$7,Val!$C287),"")</f>
        <v>-79916.666666666672</v>
      </c>
      <c r="J287" s="2">
        <f ca="1">IF(Flag_Send_Data=1,_xll.DBSW(Val!J287,Val!$C$1,Val!$C$2,Val!$C$3,Val!$C$4,Val!$D287,Val!$C$5,Val!$C$6,Val!$B287,Val!$E287,Val!J$10,Val!$C$7,Val!$C287),"")</f>
        <v>-79916.666666666672</v>
      </c>
      <c r="K287" s="2">
        <f ca="1">IF(Flag_Send_Data=1,_xll.DBSW(Val!K287,Val!$C$1,Val!$C$2,Val!$C$3,Val!$C$4,Val!$D287,Val!$C$5,Val!$C$6,Val!$B287,Val!$E287,Val!K$10,Val!$C$7,Val!$C287),"")</f>
        <v>-79916.666666666672</v>
      </c>
      <c r="L287" s="2">
        <f ca="1">IF(Flag_Send_Data=1,_xll.DBSW(Val!L287,Val!$C$1,Val!$C$2,Val!$C$3,Val!$C$4,Val!$D287,Val!$C$5,Val!$C$6,Val!$B287,Val!$E287,Val!L$10,Val!$C$7,Val!$C287),"")</f>
        <v>-79916.666666666672</v>
      </c>
      <c r="M287" s="2">
        <f ca="1">IF(Flag_Send_Data=1,_xll.DBSW(Val!M287,Val!$C$1,Val!$C$2,Val!$C$3,Val!$C$4,Val!$D287,Val!$C$5,Val!$C$6,Val!$B287,Val!$E287,Val!M$10,Val!$C$7,Val!$C287),"")</f>
        <v>-79916.666666666672</v>
      </c>
      <c r="N287" s="2">
        <f ca="1">IF(Flag_Send_Data=1,_xll.DBSW(Val!N287,Val!$C$1,Val!$C$2,Val!$C$3,Val!$C$4,Val!$D287,Val!$C$5,Val!$C$6,Val!$B287,Val!$E287,Val!N$10,Val!$C$7,Val!$C287),"")</f>
        <v>-79916.666666666672</v>
      </c>
      <c r="O287" s="2">
        <f ca="1">IF(Flag_Send_Data=1,_xll.DBSW(Val!O287,Val!$C$1,Val!$C$2,Val!$C$3,Val!$C$4,Val!$D287,Val!$C$5,Val!$C$6,Val!$B287,Val!$E287,Val!O$10,Val!$C$7,Val!$C287),"")</f>
        <v>-79916.666666666672</v>
      </c>
      <c r="P287" s="2">
        <f ca="1">IF(Flag_Send_Data=1,_xll.DBSW(Val!P287,Val!$C$1,Val!$C$2,Val!$C$3,Val!$C$4,Val!$D287,Val!$C$5,Val!$C$6,Val!$B287,Val!$E287,Val!P$10,Val!$C$7,Val!$C287),"")</f>
        <v>-79916.666666666672</v>
      </c>
      <c r="Q287" s="2">
        <f ca="1">IF(Flag_Send_Data=1,_xll.DBSW(Val!Q287,Val!$C$1,Val!$C$2,Val!$C$3,Val!$C$4,Val!$D287,Val!$C$5,Val!$C$6,Val!$B287,Val!$E287,Val!Q$10,Val!$C$7,Val!$C287),"")</f>
        <v>-79916.666666666672</v>
      </c>
    </row>
    <row r="288" spans="2:17" x14ac:dyDescent="0.25">
      <c r="B288" s="3" t="s">
        <v>275</v>
      </c>
      <c r="C288" t="s">
        <v>93</v>
      </c>
      <c r="D288" t="s">
        <v>199</v>
      </c>
      <c r="E288" t="s">
        <v>17</v>
      </c>
      <c r="F288" s="2">
        <f ca="1">IF(Flag_Send_Data=1,_xll.DBSW(Val!F288,Val!$C$1,Val!$C$2,Val!$C$3,Val!$C$4,Val!$D288,Val!$C$5,Val!$C$6,Val!$B288,Val!$E288,Val!F$10,Val!$C$7,Val!$C288),"")</f>
        <v>-87587.460833333331</v>
      </c>
      <c r="G288" s="2">
        <f ca="1">IF(Flag_Send_Data=1,_xll.DBSW(Val!G288,Val!$C$1,Val!$C$2,Val!$C$3,Val!$C$4,Val!$D288,Val!$C$5,Val!$C$6,Val!$B288,Val!$E288,Val!G$10,Val!$C$7,Val!$C288),"")</f>
        <v>-87587.460833333331</v>
      </c>
      <c r="H288" s="2">
        <f ca="1">IF(Flag_Send_Data=1,_xll.DBSW(Val!H288,Val!$C$1,Val!$C$2,Val!$C$3,Val!$C$4,Val!$D288,Val!$C$5,Val!$C$6,Val!$B288,Val!$E288,Val!H$10,Val!$C$7,Val!$C288),"")</f>
        <v>-87587.460833333331</v>
      </c>
      <c r="I288" s="2">
        <f ca="1">IF(Flag_Send_Data=1,_xll.DBSW(Val!I288,Val!$C$1,Val!$C$2,Val!$C$3,Val!$C$4,Val!$D288,Val!$C$5,Val!$C$6,Val!$B288,Val!$E288,Val!I$10,Val!$C$7,Val!$C288),"")</f>
        <v>-87587.460833333331</v>
      </c>
      <c r="J288" s="2">
        <f ca="1">IF(Flag_Send_Data=1,_xll.DBSW(Val!J288,Val!$C$1,Val!$C$2,Val!$C$3,Val!$C$4,Val!$D288,Val!$C$5,Val!$C$6,Val!$B288,Val!$E288,Val!J$10,Val!$C$7,Val!$C288),"")</f>
        <v>-87587.460833333331</v>
      </c>
      <c r="K288" s="2">
        <f ca="1">IF(Flag_Send_Data=1,_xll.DBSW(Val!K288,Val!$C$1,Val!$C$2,Val!$C$3,Val!$C$4,Val!$D288,Val!$C$5,Val!$C$6,Val!$B288,Val!$E288,Val!K$10,Val!$C$7,Val!$C288),"")</f>
        <v>-87587.460833333331</v>
      </c>
      <c r="L288" s="2">
        <f ca="1">IF(Flag_Send_Data=1,_xll.DBSW(Val!L288,Val!$C$1,Val!$C$2,Val!$C$3,Val!$C$4,Val!$D288,Val!$C$5,Val!$C$6,Val!$B288,Val!$E288,Val!L$10,Val!$C$7,Val!$C288),"")</f>
        <v>-87587.460833333331</v>
      </c>
      <c r="M288" s="2">
        <f ca="1">IF(Flag_Send_Data=1,_xll.DBSW(Val!M288,Val!$C$1,Val!$C$2,Val!$C$3,Val!$C$4,Val!$D288,Val!$C$5,Val!$C$6,Val!$B288,Val!$E288,Val!M$10,Val!$C$7,Val!$C288),"")</f>
        <v>-87587.460833333331</v>
      </c>
      <c r="N288" s="2">
        <f ca="1">IF(Flag_Send_Data=1,_xll.DBSW(Val!N288,Val!$C$1,Val!$C$2,Val!$C$3,Val!$C$4,Val!$D288,Val!$C$5,Val!$C$6,Val!$B288,Val!$E288,Val!N$10,Val!$C$7,Val!$C288),"")</f>
        <v>-87587.460833333331</v>
      </c>
      <c r="O288" s="2">
        <f ca="1">IF(Flag_Send_Data=1,_xll.DBSW(Val!O288,Val!$C$1,Val!$C$2,Val!$C$3,Val!$C$4,Val!$D288,Val!$C$5,Val!$C$6,Val!$B288,Val!$E288,Val!O$10,Val!$C$7,Val!$C288),"")</f>
        <v>-87587.460833333331</v>
      </c>
      <c r="P288" s="2">
        <f ca="1">IF(Flag_Send_Data=1,_xll.DBSW(Val!P288,Val!$C$1,Val!$C$2,Val!$C$3,Val!$C$4,Val!$D288,Val!$C$5,Val!$C$6,Val!$B288,Val!$E288,Val!P$10,Val!$C$7,Val!$C288),"")</f>
        <v>-87587.460833333331</v>
      </c>
      <c r="Q288" s="2">
        <f ca="1">IF(Flag_Send_Data=1,_xll.DBSW(Val!Q288,Val!$C$1,Val!$C$2,Val!$C$3,Val!$C$4,Val!$D288,Val!$C$5,Val!$C$6,Val!$B288,Val!$E288,Val!Q$10,Val!$C$7,Val!$C288),"")</f>
        <v>-87587.460833333331</v>
      </c>
    </row>
    <row r="289" spans="2:17" x14ac:dyDescent="0.25">
      <c r="B289" s="3" t="s">
        <v>275</v>
      </c>
      <c r="C289" t="s">
        <v>64</v>
      </c>
      <c r="D289" t="s">
        <v>199</v>
      </c>
      <c r="E289" t="s">
        <v>128</v>
      </c>
      <c r="F289" s="2">
        <f ca="1">IF(Flag_Send_Data=1,_xll.DBSW(Val!F289,Val!$C$1,Val!$C$2,Val!$C$3,Val!$C$4,Val!$D289,Val!$C$5,Val!$C$6,Val!$B289,Val!$E289,Val!F$10,Val!$C$7,Val!$C289),"")</f>
        <v>-54620.673429629642</v>
      </c>
      <c r="G289" s="2">
        <f ca="1">IF(Flag_Send_Data=1,_xll.DBSW(Val!G289,Val!$C$1,Val!$C$2,Val!$C$3,Val!$C$4,Val!$D289,Val!$C$5,Val!$C$6,Val!$B289,Val!$E289,Val!G$10,Val!$C$7,Val!$C289),"")</f>
        <v>-54620.673429629642</v>
      </c>
      <c r="H289" s="2">
        <f ca="1">IF(Flag_Send_Data=1,_xll.DBSW(Val!H289,Val!$C$1,Val!$C$2,Val!$C$3,Val!$C$4,Val!$D289,Val!$C$5,Val!$C$6,Val!$B289,Val!$E289,Val!H$10,Val!$C$7,Val!$C289),"")</f>
        <v>-54620.673429629642</v>
      </c>
      <c r="I289" s="2">
        <f ca="1">IF(Flag_Send_Data=1,_xll.DBSW(Val!I289,Val!$C$1,Val!$C$2,Val!$C$3,Val!$C$4,Val!$D289,Val!$C$5,Val!$C$6,Val!$B289,Val!$E289,Val!I$10,Val!$C$7,Val!$C289),"")</f>
        <v>-54620.673429629642</v>
      </c>
      <c r="J289" s="2">
        <f ca="1">IF(Flag_Send_Data=1,_xll.DBSW(Val!J289,Val!$C$1,Val!$C$2,Val!$C$3,Val!$C$4,Val!$D289,Val!$C$5,Val!$C$6,Val!$B289,Val!$E289,Val!J$10,Val!$C$7,Val!$C289),"")</f>
        <v>-54620.673429629642</v>
      </c>
      <c r="K289" s="2">
        <f ca="1">IF(Flag_Send_Data=1,_xll.DBSW(Val!K289,Val!$C$1,Val!$C$2,Val!$C$3,Val!$C$4,Val!$D289,Val!$C$5,Val!$C$6,Val!$B289,Val!$E289,Val!K$10,Val!$C$7,Val!$C289),"")</f>
        <v>-54620.673429629642</v>
      </c>
      <c r="L289" s="2">
        <f ca="1">IF(Flag_Send_Data=1,_xll.DBSW(Val!L289,Val!$C$1,Val!$C$2,Val!$C$3,Val!$C$4,Val!$D289,Val!$C$5,Val!$C$6,Val!$B289,Val!$E289,Val!L$10,Val!$C$7,Val!$C289),"")</f>
        <v>-54620.673429629642</v>
      </c>
      <c r="M289" s="2">
        <f ca="1">IF(Flag_Send_Data=1,_xll.DBSW(Val!M289,Val!$C$1,Val!$C$2,Val!$C$3,Val!$C$4,Val!$D289,Val!$C$5,Val!$C$6,Val!$B289,Val!$E289,Val!M$10,Val!$C$7,Val!$C289),"")</f>
        <v>-54620.673429629642</v>
      </c>
      <c r="N289" s="2">
        <f ca="1">IF(Flag_Send_Data=1,_xll.DBSW(Val!N289,Val!$C$1,Val!$C$2,Val!$C$3,Val!$C$4,Val!$D289,Val!$C$5,Val!$C$6,Val!$B289,Val!$E289,Val!N$10,Val!$C$7,Val!$C289),"")</f>
        <v>-54620.673429629642</v>
      </c>
      <c r="O289" s="2">
        <f ca="1">IF(Flag_Send_Data=1,_xll.DBSW(Val!O289,Val!$C$1,Val!$C$2,Val!$C$3,Val!$C$4,Val!$D289,Val!$C$5,Val!$C$6,Val!$B289,Val!$E289,Val!O$10,Val!$C$7,Val!$C289),"")</f>
        <v>-54620.673429629642</v>
      </c>
      <c r="P289" s="2">
        <f ca="1">IF(Flag_Send_Data=1,_xll.DBSW(Val!P289,Val!$C$1,Val!$C$2,Val!$C$3,Val!$C$4,Val!$D289,Val!$C$5,Val!$C$6,Val!$B289,Val!$E289,Val!P$10,Val!$C$7,Val!$C289),"")</f>
        <v>-54620.673429629642</v>
      </c>
      <c r="Q289" s="2">
        <f ca="1">IF(Flag_Send_Data=1,_xll.DBSW(Val!Q289,Val!$C$1,Val!$C$2,Val!$C$3,Val!$C$4,Val!$D289,Val!$C$5,Val!$C$6,Val!$B289,Val!$E289,Val!Q$10,Val!$C$7,Val!$C289),"")</f>
        <v>-54620.673429629642</v>
      </c>
    </row>
    <row r="290" spans="2:17" x14ac:dyDescent="0.25">
      <c r="B290" t="s">
        <v>275</v>
      </c>
      <c r="C290" t="s">
        <v>144</v>
      </c>
      <c r="D290" t="s">
        <v>172</v>
      </c>
      <c r="E290" t="s">
        <v>128</v>
      </c>
      <c r="F290" s="2">
        <f ca="1">IF(Flag_Send_Data=1,_xll.DBSW(Val!F290,Val!$C$1,Val!$C$2,Val!$C$3,Val!$C$4,Val!$D290,Val!$C$5,Val!$C$6,Val!$B290,Val!$E290,Val!F$10,Val!$C$7,Val!$C290),"")</f>
        <v>9158.3333333333339</v>
      </c>
      <c r="G290" s="2">
        <f ca="1">IF(Flag_Send_Data=1,_xll.DBSW(Val!G290,Val!$C$1,Val!$C$2,Val!$C$3,Val!$C$4,Val!$D290,Val!$C$5,Val!$C$6,Val!$B290,Val!$E290,Val!G$10,Val!$C$7,Val!$C290),"")</f>
        <v>9158.3333333333339</v>
      </c>
      <c r="H290" s="2">
        <f ca="1">IF(Flag_Send_Data=1,_xll.DBSW(Val!H290,Val!$C$1,Val!$C$2,Val!$C$3,Val!$C$4,Val!$D290,Val!$C$5,Val!$C$6,Val!$B290,Val!$E290,Val!H$10,Val!$C$7,Val!$C290),"")</f>
        <v>9158.3333333333339</v>
      </c>
      <c r="I290" s="2">
        <f ca="1">IF(Flag_Send_Data=1,_xll.DBSW(Val!I290,Val!$C$1,Val!$C$2,Val!$C$3,Val!$C$4,Val!$D290,Val!$C$5,Val!$C$6,Val!$B290,Val!$E290,Val!I$10,Val!$C$7,Val!$C290),"")</f>
        <v>9158.3333333333339</v>
      </c>
      <c r="J290" s="2">
        <f ca="1">IF(Flag_Send_Data=1,_xll.DBSW(Val!J290,Val!$C$1,Val!$C$2,Val!$C$3,Val!$C$4,Val!$D290,Val!$C$5,Val!$C$6,Val!$B290,Val!$E290,Val!J$10,Val!$C$7,Val!$C290),"")</f>
        <v>9158.3333333333339</v>
      </c>
      <c r="K290" s="2">
        <f ca="1">IF(Flag_Send_Data=1,_xll.DBSW(Val!K290,Val!$C$1,Val!$C$2,Val!$C$3,Val!$C$4,Val!$D290,Val!$C$5,Val!$C$6,Val!$B290,Val!$E290,Val!K$10,Val!$C$7,Val!$C290),"")</f>
        <v>9158.3333333333339</v>
      </c>
      <c r="L290" s="2">
        <f ca="1">IF(Flag_Send_Data=1,_xll.DBSW(Val!L290,Val!$C$1,Val!$C$2,Val!$C$3,Val!$C$4,Val!$D290,Val!$C$5,Val!$C$6,Val!$B290,Val!$E290,Val!L$10,Val!$C$7,Val!$C290),"")</f>
        <v>9158.3333333333339</v>
      </c>
      <c r="M290" s="2">
        <f ca="1">IF(Flag_Send_Data=1,_xll.DBSW(Val!M290,Val!$C$1,Val!$C$2,Val!$C$3,Val!$C$4,Val!$D290,Val!$C$5,Val!$C$6,Val!$B290,Val!$E290,Val!M$10,Val!$C$7,Val!$C290),"")</f>
        <v>9158.3333333333339</v>
      </c>
      <c r="N290" s="2">
        <f ca="1">IF(Flag_Send_Data=1,_xll.DBSW(Val!N290,Val!$C$1,Val!$C$2,Val!$C$3,Val!$C$4,Val!$D290,Val!$C$5,Val!$C$6,Val!$B290,Val!$E290,Val!N$10,Val!$C$7,Val!$C290),"")</f>
        <v>9158.3333333333339</v>
      </c>
      <c r="O290" s="2">
        <f ca="1">IF(Flag_Send_Data=1,_xll.DBSW(Val!O290,Val!$C$1,Val!$C$2,Val!$C$3,Val!$C$4,Val!$D290,Val!$C$5,Val!$C$6,Val!$B290,Val!$E290,Val!O$10,Val!$C$7,Val!$C290),"")</f>
        <v>9158.3333333333339</v>
      </c>
      <c r="P290" s="2">
        <f ca="1">IF(Flag_Send_Data=1,_xll.DBSW(Val!P290,Val!$C$1,Val!$C$2,Val!$C$3,Val!$C$4,Val!$D290,Val!$C$5,Val!$C$6,Val!$B290,Val!$E290,Val!P$10,Val!$C$7,Val!$C290),"")</f>
        <v>9158.3333333333339</v>
      </c>
      <c r="Q290" s="2">
        <f ca="1">IF(Flag_Send_Data=1,_xll.DBSW(Val!Q290,Val!$C$1,Val!$C$2,Val!$C$3,Val!$C$4,Val!$D290,Val!$C$5,Val!$C$6,Val!$B290,Val!$E290,Val!Q$10,Val!$C$7,Val!$C290),"")</f>
        <v>9158.3333333333339</v>
      </c>
    </row>
    <row r="291" spans="2:17" x14ac:dyDescent="0.25">
      <c r="B291" s="3" t="s">
        <v>275</v>
      </c>
      <c r="C291" t="s">
        <v>92</v>
      </c>
      <c r="D291" t="s">
        <v>120</v>
      </c>
      <c r="E291" t="s">
        <v>44</v>
      </c>
      <c r="F291" s="2">
        <f ca="1">IF(Flag_Send_Data=1,_xll.DBSW(Val!F291,Val!$C$1,Val!$C$2,Val!$C$3,Val!$C$4,Val!$D291,Val!$C$5,Val!$C$6,Val!$B291,Val!$E291,Val!F$10,Val!$C$7,Val!$C291),"")</f>
        <v>9672.1666666666661</v>
      </c>
      <c r="G291" s="2">
        <f ca="1">IF(Flag_Send_Data=1,_xll.DBSW(Val!G291,Val!$C$1,Val!$C$2,Val!$C$3,Val!$C$4,Val!$D291,Val!$C$5,Val!$C$6,Val!$B291,Val!$E291,Val!G$10,Val!$C$7,Val!$C291),"")</f>
        <v>9672.1666666666661</v>
      </c>
      <c r="H291" s="2">
        <f ca="1">IF(Flag_Send_Data=1,_xll.DBSW(Val!H291,Val!$C$1,Val!$C$2,Val!$C$3,Val!$C$4,Val!$D291,Val!$C$5,Val!$C$6,Val!$B291,Val!$E291,Val!H$10,Val!$C$7,Val!$C291),"")</f>
        <v>9672.1666666666661</v>
      </c>
      <c r="I291" s="2">
        <f ca="1">IF(Flag_Send_Data=1,_xll.DBSW(Val!I291,Val!$C$1,Val!$C$2,Val!$C$3,Val!$C$4,Val!$D291,Val!$C$5,Val!$C$6,Val!$B291,Val!$E291,Val!I$10,Val!$C$7,Val!$C291),"")</f>
        <v>9672.1666666666661</v>
      </c>
      <c r="J291" s="2">
        <f ca="1">IF(Flag_Send_Data=1,_xll.DBSW(Val!J291,Val!$C$1,Val!$C$2,Val!$C$3,Val!$C$4,Val!$D291,Val!$C$5,Val!$C$6,Val!$B291,Val!$E291,Val!J$10,Val!$C$7,Val!$C291),"")</f>
        <v>9672.1666666666661</v>
      </c>
      <c r="K291" s="2">
        <f ca="1">IF(Flag_Send_Data=1,_xll.DBSW(Val!K291,Val!$C$1,Val!$C$2,Val!$C$3,Val!$C$4,Val!$D291,Val!$C$5,Val!$C$6,Val!$B291,Val!$E291,Val!K$10,Val!$C$7,Val!$C291),"")</f>
        <v>9672.1666666666661</v>
      </c>
      <c r="L291" s="2">
        <f ca="1">IF(Flag_Send_Data=1,_xll.DBSW(Val!L291,Val!$C$1,Val!$C$2,Val!$C$3,Val!$C$4,Val!$D291,Val!$C$5,Val!$C$6,Val!$B291,Val!$E291,Val!L$10,Val!$C$7,Val!$C291),"")</f>
        <v>9672.1666666666661</v>
      </c>
      <c r="M291" s="2">
        <f ca="1">IF(Flag_Send_Data=1,_xll.DBSW(Val!M291,Val!$C$1,Val!$C$2,Val!$C$3,Val!$C$4,Val!$D291,Val!$C$5,Val!$C$6,Val!$B291,Val!$E291,Val!M$10,Val!$C$7,Val!$C291),"")</f>
        <v>9672.1666666666661</v>
      </c>
      <c r="N291" s="2">
        <f ca="1">IF(Flag_Send_Data=1,_xll.DBSW(Val!N291,Val!$C$1,Val!$C$2,Val!$C$3,Val!$C$4,Val!$D291,Val!$C$5,Val!$C$6,Val!$B291,Val!$E291,Val!N$10,Val!$C$7,Val!$C291),"")</f>
        <v>9672.1666666666661</v>
      </c>
      <c r="O291" s="2">
        <f ca="1">IF(Flag_Send_Data=1,_xll.DBSW(Val!O291,Val!$C$1,Val!$C$2,Val!$C$3,Val!$C$4,Val!$D291,Val!$C$5,Val!$C$6,Val!$B291,Val!$E291,Val!O$10,Val!$C$7,Val!$C291),"")</f>
        <v>9672.1666666666661</v>
      </c>
      <c r="P291" s="2">
        <f ca="1">IF(Flag_Send_Data=1,_xll.DBSW(Val!P291,Val!$C$1,Val!$C$2,Val!$C$3,Val!$C$4,Val!$D291,Val!$C$5,Val!$C$6,Val!$B291,Val!$E291,Val!P$10,Val!$C$7,Val!$C291),"")</f>
        <v>9672.1666666666661</v>
      </c>
      <c r="Q291" s="2">
        <f ca="1">IF(Flag_Send_Data=1,_xll.DBSW(Val!Q291,Val!$C$1,Val!$C$2,Val!$C$3,Val!$C$4,Val!$D291,Val!$C$5,Val!$C$6,Val!$B291,Val!$E291,Val!Q$10,Val!$C$7,Val!$C291),"")</f>
        <v>9672.1666666666661</v>
      </c>
    </row>
    <row r="292" spans="2:17" x14ac:dyDescent="0.25">
      <c r="B292" s="3" t="s">
        <v>275</v>
      </c>
      <c r="C292" t="s">
        <v>92</v>
      </c>
      <c r="D292" t="s">
        <v>133</v>
      </c>
      <c r="E292" t="s">
        <v>44</v>
      </c>
      <c r="F292" s="2">
        <f ca="1">IF(Flag_Send_Data=1,_xll.DBSW(Val!F292,Val!$C$1,Val!$C$2,Val!$C$3,Val!$C$4,Val!$D292,Val!$C$5,Val!$C$6,Val!$B292,Val!$E292,Val!F$10,Val!$C$7,Val!$C292),"")</f>
        <v>73.333333333333329</v>
      </c>
      <c r="G292" s="2">
        <f ca="1">IF(Flag_Send_Data=1,_xll.DBSW(Val!G292,Val!$C$1,Val!$C$2,Val!$C$3,Val!$C$4,Val!$D292,Val!$C$5,Val!$C$6,Val!$B292,Val!$E292,Val!G$10,Val!$C$7,Val!$C292),"")</f>
        <v>73.333333333333329</v>
      </c>
      <c r="H292" s="2">
        <f ca="1">IF(Flag_Send_Data=1,_xll.DBSW(Val!H292,Val!$C$1,Val!$C$2,Val!$C$3,Val!$C$4,Val!$D292,Val!$C$5,Val!$C$6,Val!$B292,Val!$E292,Val!H$10,Val!$C$7,Val!$C292),"")</f>
        <v>73.333333333333329</v>
      </c>
      <c r="I292" s="2">
        <f ca="1">IF(Flag_Send_Data=1,_xll.DBSW(Val!I292,Val!$C$1,Val!$C$2,Val!$C$3,Val!$C$4,Val!$D292,Val!$C$5,Val!$C$6,Val!$B292,Val!$E292,Val!I$10,Val!$C$7,Val!$C292),"")</f>
        <v>73.333333333333329</v>
      </c>
      <c r="J292" s="2">
        <f ca="1">IF(Flag_Send_Data=1,_xll.DBSW(Val!J292,Val!$C$1,Val!$C$2,Val!$C$3,Val!$C$4,Val!$D292,Val!$C$5,Val!$C$6,Val!$B292,Val!$E292,Val!J$10,Val!$C$7,Val!$C292),"")</f>
        <v>73.333333333333329</v>
      </c>
      <c r="K292" s="2">
        <f ca="1">IF(Flag_Send_Data=1,_xll.DBSW(Val!K292,Val!$C$1,Val!$C$2,Val!$C$3,Val!$C$4,Val!$D292,Val!$C$5,Val!$C$6,Val!$B292,Val!$E292,Val!K$10,Val!$C$7,Val!$C292),"")</f>
        <v>73.333333333333329</v>
      </c>
      <c r="L292" s="2">
        <f ca="1">IF(Flag_Send_Data=1,_xll.DBSW(Val!L292,Val!$C$1,Val!$C$2,Val!$C$3,Val!$C$4,Val!$D292,Val!$C$5,Val!$C$6,Val!$B292,Val!$E292,Val!L$10,Val!$C$7,Val!$C292),"")</f>
        <v>73.333333333333329</v>
      </c>
      <c r="M292" s="2">
        <f ca="1">IF(Flag_Send_Data=1,_xll.DBSW(Val!M292,Val!$C$1,Val!$C$2,Val!$C$3,Val!$C$4,Val!$D292,Val!$C$5,Val!$C$6,Val!$B292,Val!$E292,Val!M$10,Val!$C$7,Val!$C292),"")</f>
        <v>73.333333333333329</v>
      </c>
      <c r="N292" s="2">
        <f ca="1">IF(Flag_Send_Data=1,_xll.DBSW(Val!N292,Val!$C$1,Val!$C$2,Val!$C$3,Val!$C$4,Val!$D292,Val!$C$5,Val!$C$6,Val!$B292,Val!$E292,Val!N$10,Val!$C$7,Val!$C292),"")</f>
        <v>73.333333333333329</v>
      </c>
      <c r="O292" s="2">
        <f ca="1">IF(Flag_Send_Data=1,_xll.DBSW(Val!O292,Val!$C$1,Val!$C$2,Val!$C$3,Val!$C$4,Val!$D292,Val!$C$5,Val!$C$6,Val!$B292,Val!$E292,Val!O$10,Val!$C$7,Val!$C292),"")</f>
        <v>73.333333333333329</v>
      </c>
      <c r="P292" s="2">
        <f ca="1">IF(Flag_Send_Data=1,_xll.DBSW(Val!P292,Val!$C$1,Val!$C$2,Val!$C$3,Val!$C$4,Val!$D292,Val!$C$5,Val!$C$6,Val!$B292,Val!$E292,Val!P$10,Val!$C$7,Val!$C292),"")</f>
        <v>73.333333333333329</v>
      </c>
      <c r="Q292" s="2">
        <f ca="1">IF(Flag_Send_Data=1,_xll.DBSW(Val!Q292,Val!$C$1,Val!$C$2,Val!$C$3,Val!$C$4,Val!$D292,Val!$C$5,Val!$C$6,Val!$B292,Val!$E292,Val!Q$10,Val!$C$7,Val!$C292),"")</f>
        <v>73.333333333333329</v>
      </c>
    </row>
    <row r="293" spans="2:17" x14ac:dyDescent="0.25">
      <c r="B293" s="3" t="s">
        <v>275</v>
      </c>
      <c r="C293" t="s">
        <v>92</v>
      </c>
      <c r="D293" t="s">
        <v>123</v>
      </c>
      <c r="E293" t="s">
        <v>44</v>
      </c>
      <c r="F293" s="2">
        <f ca="1">IF(Flag_Send_Data=1,_xll.DBSW(Val!F293,Val!$C$1,Val!$C$2,Val!$C$3,Val!$C$4,Val!$D293,Val!$C$5,Val!$C$6,Val!$B293,Val!$E293,Val!F$10,Val!$C$7,Val!$C293),"")</f>
        <v>355.16666666666669</v>
      </c>
      <c r="G293" s="2">
        <f ca="1">IF(Flag_Send_Data=1,_xll.DBSW(Val!G293,Val!$C$1,Val!$C$2,Val!$C$3,Val!$C$4,Val!$D293,Val!$C$5,Val!$C$6,Val!$B293,Val!$E293,Val!G$10,Val!$C$7,Val!$C293),"")</f>
        <v>355.16666666666669</v>
      </c>
      <c r="H293" s="2">
        <f ca="1">IF(Flag_Send_Data=1,_xll.DBSW(Val!H293,Val!$C$1,Val!$C$2,Val!$C$3,Val!$C$4,Val!$D293,Val!$C$5,Val!$C$6,Val!$B293,Val!$E293,Val!H$10,Val!$C$7,Val!$C293),"")</f>
        <v>355.16666666666669</v>
      </c>
      <c r="I293" s="2">
        <f ca="1">IF(Flag_Send_Data=1,_xll.DBSW(Val!I293,Val!$C$1,Val!$C$2,Val!$C$3,Val!$C$4,Val!$D293,Val!$C$5,Val!$C$6,Val!$B293,Val!$E293,Val!I$10,Val!$C$7,Val!$C293),"")</f>
        <v>355.16666666666669</v>
      </c>
      <c r="J293" s="2">
        <f ca="1">IF(Flag_Send_Data=1,_xll.DBSW(Val!J293,Val!$C$1,Val!$C$2,Val!$C$3,Val!$C$4,Val!$D293,Val!$C$5,Val!$C$6,Val!$B293,Val!$E293,Val!J$10,Val!$C$7,Val!$C293),"")</f>
        <v>355.16666666666669</v>
      </c>
      <c r="K293" s="2">
        <f ca="1">IF(Flag_Send_Data=1,_xll.DBSW(Val!K293,Val!$C$1,Val!$C$2,Val!$C$3,Val!$C$4,Val!$D293,Val!$C$5,Val!$C$6,Val!$B293,Val!$E293,Val!K$10,Val!$C$7,Val!$C293),"")</f>
        <v>355.16666666666669</v>
      </c>
      <c r="L293" s="2">
        <f ca="1">IF(Flag_Send_Data=1,_xll.DBSW(Val!L293,Val!$C$1,Val!$C$2,Val!$C$3,Val!$C$4,Val!$D293,Val!$C$5,Val!$C$6,Val!$B293,Val!$E293,Val!L$10,Val!$C$7,Val!$C293),"")</f>
        <v>355.16666666666669</v>
      </c>
      <c r="M293" s="2">
        <f ca="1">IF(Flag_Send_Data=1,_xll.DBSW(Val!M293,Val!$C$1,Val!$C$2,Val!$C$3,Val!$C$4,Val!$D293,Val!$C$5,Val!$C$6,Val!$B293,Val!$E293,Val!M$10,Val!$C$7,Val!$C293),"")</f>
        <v>355.16666666666669</v>
      </c>
      <c r="N293" s="2">
        <f ca="1">IF(Flag_Send_Data=1,_xll.DBSW(Val!N293,Val!$C$1,Val!$C$2,Val!$C$3,Val!$C$4,Val!$D293,Val!$C$5,Val!$C$6,Val!$B293,Val!$E293,Val!N$10,Val!$C$7,Val!$C293),"")</f>
        <v>355.16666666666669</v>
      </c>
      <c r="O293" s="2">
        <f ca="1">IF(Flag_Send_Data=1,_xll.DBSW(Val!O293,Val!$C$1,Val!$C$2,Val!$C$3,Val!$C$4,Val!$D293,Val!$C$5,Val!$C$6,Val!$B293,Val!$E293,Val!O$10,Val!$C$7,Val!$C293),"")</f>
        <v>355.16666666666669</v>
      </c>
      <c r="P293" s="2">
        <f ca="1">IF(Flag_Send_Data=1,_xll.DBSW(Val!P293,Val!$C$1,Val!$C$2,Val!$C$3,Val!$C$4,Val!$D293,Val!$C$5,Val!$C$6,Val!$B293,Val!$E293,Val!P$10,Val!$C$7,Val!$C293),"")</f>
        <v>355.16666666666669</v>
      </c>
      <c r="Q293" s="2">
        <f ca="1">IF(Flag_Send_Data=1,_xll.DBSW(Val!Q293,Val!$C$1,Val!$C$2,Val!$C$3,Val!$C$4,Val!$D293,Val!$C$5,Val!$C$6,Val!$B293,Val!$E293,Val!Q$10,Val!$C$7,Val!$C293),"")</f>
        <v>355.16666666666669</v>
      </c>
    </row>
    <row r="294" spans="2:17" x14ac:dyDescent="0.25">
      <c r="B294" s="3" t="s">
        <v>275</v>
      </c>
      <c r="C294" t="s">
        <v>92</v>
      </c>
      <c r="D294" t="s">
        <v>122</v>
      </c>
      <c r="E294" t="s">
        <v>44</v>
      </c>
      <c r="F294" s="2">
        <f ca="1">IF(Flag_Send_Data=1,_xll.DBSW(Val!F294,Val!$C$1,Val!$C$2,Val!$C$3,Val!$C$4,Val!$D294,Val!$C$5,Val!$C$6,Val!$B294,Val!$E294,Val!F$10,Val!$C$7,Val!$C294),"")</f>
        <v>282.41666666666669</v>
      </c>
      <c r="G294" s="2">
        <f ca="1">IF(Flag_Send_Data=1,_xll.DBSW(Val!G294,Val!$C$1,Val!$C$2,Val!$C$3,Val!$C$4,Val!$D294,Val!$C$5,Val!$C$6,Val!$B294,Val!$E294,Val!G$10,Val!$C$7,Val!$C294),"")</f>
        <v>282.41666666666669</v>
      </c>
      <c r="H294" s="2">
        <f ca="1">IF(Flag_Send_Data=1,_xll.DBSW(Val!H294,Val!$C$1,Val!$C$2,Val!$C$3,Val!$C$4,Val!$D294,Val!$C$5,Val!$C$6,Val!$B294,Val!$E294,Val!H$10,Val!$C$7,Val!$C294),"")</f>
        <v>282.41666666666669</v>
      </c>
      <c r="I294" s="2">
        <f ca="1">IF(Flag_Send_Data=1,_xll.DBSW(Val!I294,Val!$C$1,Val!$C$2,Val!$C$3,Val!$C$4,Val!$D294,Val!$C$5,Val!$C$6,Val!$B294,Val!$E294,Val!I$10,Val!$C$7,Val!$C294),"")</f>
        <v>282.41666666666669</v>
      </c>
      <c r="J294" s="2">
        <f ca="1">IF(Flag_Send_Data=1,_xll.DBSW(Val!J294,Val!$C$1,Val!$C$2,Val!$C$3,Val!$C$4,Val!$D294,Val!$C$5,Val!$C$6,Val!$B294,Val!$E294,Val!J$10,Val!$C$7,Val!$C294),"")</f>
        <v>282.41666666666669</v>
      </c>
      <c r="K294" s="2">
        <f ca="1">IF(Flag_Send_Data=1,_xll.DBSW(Val!K294,Val!$C$1,Val!$C$2,Val!$C$3,Val!$C$4,Val!$D294,Val!$C$5,Val!$C$6,Val!$B294,Val!$E294,Val!K$10,Val!$C$7,Val!$C294),"")</f>
        <v>282.41666666666669</v>
      </c>
      <c r="L294" s="2">
        <f ca="1">IF(Flag_Send_Data=1,_xll.DBSW(Val!L294,Val!$C$1,Val!$C$2,Val!$C$3,Val!$C$4,Val!$D294,Val!$C$5,Val!$C$6,Val!$B294,Val!$E294,Val!L$10,Val!$C$7,Val!$C294),"")</f>
        <v>282.41666666666669</v>
      </c>
      <c r="M294" s="2">
        <f ca="1">IF(Flag_Send_Data=1,_xll.DBSW(Val!M294,Val!$C$1,Val!$C$2,Val!$C$3,Val!$C$4,Val!$D294,Val!$C$5,Val!$C$6,Val!$B294,Val!$E294,Val!M$10,Val!$C$7,Val!$C294),"")</f>
        <v>282.41666666666669</v>
      </c>
      <c r="N294" s="2">
        <f ca="1">IF(Flag_Send_Data=1,_xll.DBSW(Val!N294,Val!$C$1,Val!$C$2,Val!$C$3,Val!$C$4,Val!$D294,Val!$C$5,Val!$C$6,Val!$B294,Val!$E294,Val!N$10,Val!$C$7,Val!$C294),"")</f>
        <v>282.41666666666669</v>
      </c>
      <c r="O294" s="2">
        <f ca="1">IF(Flag_Send_Data=1,_xll.DBSW(Val!O294,Val!$C$1,Val!$C$2,Val!$C$3,Val!$C$4,Val!$D294,Val!$C$5,Val!$C$6,Val!$B294,Val!$E294,Val!O$10,Val!$C$7,Val!$C294),"")</f>
        <v>282.41666666666669</v>
      </c>
      <c r="P294" s="2">
        <f ca="1">IF(Flag_Send_Data=1,_xll.DBSW(Val!P294,Val!$C$1,Val!$C$2,Val!$C$3,Val!$C$4,Val!$D294,Val!$C$5,Val!$C$6,Val!$B294,Val!$E294,Val!P$10,Val!$C$7,Val!$C294),"")</f>
        <v>282.41666666666669</v>
      </c>
      <c r="Q294" s="2">
        <f ca="1">IF(Flag_Send_Data=1,_xll.DBSW(Val!Q294,Val!$C$1,Val!$C$2,Val!$C$3,Val!$C$4,Val!$D294,Val!$C$5,Val!$C$6,Val!$B294,Val!$E294,Val!Q$10,Val!$C$7,Val!$C294),"")</f>
        <v>282.41666666666669</v>
      </c>
    </row>
    <row r="295" spans="2:17" x14ac:dyDescent="0.25">
      <c r="B295" s="3" t="s">
        <v>275</v>
      </c>
      <c r="C295" t="s">
        <v>92</v>
      </c>
      <c r="D295" t="s">
        <v>210</v>
      </c>
      <c r="E295" t="s">
        <v>44</v>
      </c>
      <c r="F295" s="2">
        <f ca="1">IF(Flag_Send_Data=1,_xll.DBSW(Val!F295,Val!$C$1,Val!$C$2,Val!$C$3,Val!$C$4,Val!$D295,Val!$C$5,Val!$C$6,Val!$B295,Val!$E295,Val!F$10,Val!$C$7,Val!$C295),"")</f>
        <v>1377.4166666666667</v>
      </c>
      <c r="G295" s="2">
        <f ca="1">IF(Flag_Send_Data=1,_xll.DBSW(Val!G295,Val!$C$1,Val!$C$2,Val!$C$3,Val!$C$4,Val!$D295,Val!$C$5,Val!$C$6,Val!$B295,Val!$E295,Val!G$10,Val!$C$7,Val!$C295),"")</f>
        <v>1377.4166666666667</v>
      </c>
      <c r="H295" s="2">
        <f ca="1">IF(Flag_Send_Data=1,_xll.DBSW(Val!H295,Val!$C$1,Val!$C$2,Val!$C$3,Val!$C$4,Val!$D295,Val!$C$5,Val!$C$6,Val!$B295,Val!$E295,Val!H$10,Val!$C$7,Val!$C295),"")</f>
        <v>1377.4166666666667</v>
      </c>
      <c r="I295" s="2">
        <f ca="1">IF(Flag_Send_Data=1,_xll.DBSW(Val!I295,Val!$C$1,Val!$C$2,Val!$C$3,Val!$C$4,Val!$D295,Val!$C$5,Val!$C$6,Val!$B295,Val!$E295,Val!I$10,Val!$C$7,Val!$C295),"")</f>
        <v>1377.4166666666667</v>
      </c>
      <c r="J295" s="2">
        <f ca="1">IF(Flag_Send_Data=1,_xll.DBSW(Val!J295,Val!$C$1,Val!$C$2,Val!$C$3,Val!$C$4,Val!$D295,Val!$C$5,Val!$C$6,Val!$B295,Val!$E295,Val!J$10,Val!$C$7,Val!$C295),"")</f>
        <v>1377.4166666666667</v>
      </c>
      <c r="K295" s="2">
        <f ca="1">IF(Flag_Send_Data=1,_xll.DBSW(Val!K295,Val!$C$1,Val!$C$2,Val!$C$3,Val!$C$4,Val!$D295,Val!$C$5,Val!$C$6,Val!$B295,Val!$E295,Val!K$10,Val!$C$7,Val!$C295),"")</f>
        <v>1377.4166666666667</v>
      </c>
      <c r="L295" s="2">
        <f ca="1">IF(Flag_Send_Data=1,_xll.DBSW(Val!L295,Val!$C$1,Val!$C$2,Val!$C$3,Val!$C$4,Val!$D295,Val!$C$5,Val!$C$6,Val!$B295,Val!$E295,Val!L$10,Val!$C$7,Val!$C295),"")</f>
        <v>1377.4166666666667</v>
      </c>
      <c r="M295" s="2">
        <f ca="1">IF(Flag_Send_Data=1,_xll.DBSW(Val!M295,Val!$C$1,Val!$C$2,Val!$C$3,Val!$C$4,Val!$D295,Val!$C$5,Val!$C$6,Val!$B295,Val!$E295,Val!M$10,Val!$C$7,Val!$C295),"")</f>
        <v>1377.4166666666667</v>
      </c>
      <c r="N295" s="2">
        <f ca="1">IF(Flag_Send_Data=1,_xll.DBSW(Val!N295,Val!$C$1,Val!$C$2,Val!$C$3,Val!$C$4,Val!$D295,Val!$C$5,Val!$C$6,Val!$B295,Val!$E295,Val!N$10,Val!$C$7,Val!$C295),"")</f>
        <v>1377.4166666666667</v>
      </c>
      <c r="O295" s="2">
        <f ca="1">IF(Flag_Send_Data=1,_xll.DBSW(Val!O295,Val!$C$1,Val!$C$2,Val!$C$3,Val!$C$4,Val!$D295,Val!$C$5,Val!$C$6,Val!$B295,Val!$E295,Val!O$10,Val!$C$7,Val!$C295),"")</f>
        <v>1377.4166666666667</v>
      </c>
      <c r="P295" s="2">
        <f ca="1">IF(Flag_Send_Data=1,_xll.DBSW(Val!P295,Val!$C$1,Val!$C$2,Val!$C$3,Val!$C$4,Val!$D295,Val!$C$5,Val!$C$6,Val!$B295,Val!$E295,Val!P$10,Val!$C$7,Val!$C295),"")</f>
        <v>1377.4166666666667</v>
      </c>
      <c r="Q295" s="2">
        <f ca="1">IF(Flag_Send_Data=1,_xll.DBSW(Val!Q295,Val!$C$1,Val!$C$2,Val!$C$3,Val!$C$4,Val!$D295,Val!$C$5,Val!$C$6,Val!$B295,Val!$E295,Val!Q$10,Val!$C$7,Val!$C295),"")</f>
        <v>1377.4166666666667</v>
      </c>
    </row>
    <row r="296" spans="2:17" x14ac:dyDescent="0.25">
      <c r="B296" s="3" t="s">
        <v>276</v>
      </c>
      <c r="C296" t="s">
        <v>32</v>
      </c>
      <c r="D296" t="s">
        <v>199</v>
      </c>
      <c r="E296" t="s">
        <v>128</v>
      </c>
      <c r="F296" s="2">
        <f ca="1">IF(Flag_Send_Data=1,_xll.DBSW(Val!F296,Val!$C$1,Val!$C$2,Val!$C$3,Val!$C$4,Val!$D296,Val!$C$5,Val!$C$6,Val!$B296,Val!$E296,Val!F$10,Val!$C$7,Val!$C296),"")</f>
        <v>-37564.592499999999</v>
      </c>
      <c r="G296" s="2">
        <f ca="1">IF(Flag_Send_Data=1,_xll.DBSW(Val!G296,Val!$C$1,Val!$C$2,Val!$C$3,Val!$C$4,Val!$D296,Val!$C$5,Val!$C$6,Val!$B296,Val!$E296,Val!G$10,Val!$C$7,Val!$C296),"")</f>
        <v>-37564.592499999999</v>
      </c>
      <c r="H296" s="2">
        <f ca="1">IF(Flag_Send_Data=1,_xll.DBSW(Val!H296,Val!$C$1,Val!$C$2,Val!$C$3,Val!$C$4,Val!$D296,Val!$C$5,Val!$C$6,Val!$B296,Val!$E296,Val!H$10,Val!$C$7,Val!$C296),"")</f>
        <v>-37564.592499999999</v>
      </c>
      <c r="I296" s="2">
        <f ca="1">IF(Flag_Send_Data=1,_xll.DBSW(Val!I296,Val!$C$1,Val!$C$2,Val!$C$3,Val!$C$4,Val!$D296,Val!$C$5,Val!$C$6,Val!$B296,Val!$E296,Val!I$10,Val!$C$7,Val!$C296),"")</f>
        <v>-37564.592499999999</v>
      </c>
      <c r="J296" s="2">
        <f ca="1">IF(Flag_Send_Data=1,_xll.DBSW(Val!J296,Val!$C$1,Val!$C$2,Val!$C$3,Val!$C$4,Val!$D296,Val!$C$5,Val!$C$6,Val!$B296,Val!$E296,Val!J$10,Val!$C$7,Val!$C296),"")</f>
        <v>-37564.592499999999</v>
      </c>
      <c r="K296" s="2">
        <f ca="1">IF(Flag_Send_Data=1,_xll.DBSW(Val!K296,Val!$C$1,Val!$C$2,Val!$C$3,Val!$C$4,Val!$D296,Val!$C$5,Val!$C$6,Val!$B296,Val!$E296,Val!K$10,Val!$C$7,Val!$C296),"")</f>
        <v>-37564.592499999999</v>
      </c>
      <c r="L296" s="2">
        <f ca="1">IF(Flag_Send_Data=1,_xll.DBSW(Val!L296,Val!$C$1,Val!$C$2,Val!$C$3,Val!$C$4,Val!$D296,Val!$C$5,Val!$C$6,Val!$B296,Val!$E296,Val!L$10,Val!$C$7,Val!$C296),"")</f>
        <v>-37564.592499999999</v>
      </c>
      <c r="M296" s="2">
        <f ca="1">IF(Flag_Send_Data=1,_xll.DBSW(Val!M296,Val!$C$1,Val!$C$2,Val!$C$3,Val!$C$4,Val!$D296,Val!$C$5,Val!$C$6,Val!$B296,Val!$E296,Val!M$10,Val!$C$7,Val!$C296),"")</f>
        <v>-37564.592499999999</v>
      </c>
      <c r="N296" s="2">
        <f ca="1">IF(Flag_Send_Data=1,_xll.DBSW(Val!N296,Val!$C$1,Val!$C$2,Val!$C$3,Val!$C$4,Val!$D296,Val!$C$5,Val!$C$6,Val!$B296,Val!$E296,Val!N$10,Val!$C$7,Val!$C296),"")</f>
        <v>-37564.592499999999</v>
      </c>
      <c r="O296" s="2">
        <f ca="1">IF(Flag_Send_Data=1,_xll.DBSW(Val!O296,Val!$C$1,Val!$C$2,Val!$C$3,Val!$C$4,Val!$D296,Val!$C$5,Val!$C$6,Val!$B296,Val!$E296,Val!O$10,Val!$C$7,Val!$C296),"")</f>
        <v>-37564.592499999999</v>
      </c>
      <c r="P296" s="2">
        <f ca="1">IF(Flag_Send_Data=1,_xll.DBSW(Val!P296,Val!$C$1,Val!$C$2,Val!$C$3,Val!$C$4,Val!$D296,Val!$C$5,Val!$C$6,Val!$B296,Val!$E296,Val!P$10,Val!$C$7,Val!$C296),"")</f>
        <v>-37564.592499999999</v>
      </c>
      <c r="Q296" s="2">
        <f ca="1">IF(Flag_Send_Data=1,_xll.DBSW(Val!Q296,Val!$C$1,Val!$C$2,Val!$C$3,Val!$C$4,Val!$D296,Val!$C$5,Val!$C$6,Val!$B296,Val!$E296,Val!Q$10,Val!$C$7,Val!$C296),"")</f>
        <v>-37564.592499999999</v>
      </c>
    </row>
    <row r="297" spans="2:17" x14ac:dyDescent="0.25">
      <c r="B297" s="3" t="s">
        <v>276</v>
      </c>
      <c r="C297" t="s">
        <v>33</v>
      </c>
      <c r="D297" t="s">
        <v>199</v>
      </c>
      <c r="E297" t="s">
        <v>128</v>
      </c>
      <c r="F297" s="2">
        <f ca="1">IF(Flag_Send_Data=1,_xll.DBSW(Val!F297,Val!$C$1,Val!$C$2,Val!$C$3,Val!$C$4,Val!$D297,Val!$C$5,Val!$C$6,Val!$B297,Val!$E297,Val!F$10,Val!$C$7,Val!$C297),"")</f>
        <v>-1250</v>
      </c>
      <c r="G297" s="2">
        <f ca="1">IF(Flag_Send_Data=1,_xll.DBSW(Val!G297,Val!$C$1,Val!$C$2,Val!$C$3,Val!$C$4,Val!$D297,Val!$C$5,Val!$C$6,Val!$B297,Val!$E297,Val!G$10,Val!$C$7,Val!$C297),"")</f>
        <v>-1250</v>
      </c>
      <c r="H297" s="2">
        <f ca="1">IF(Flag_Send_Data=1,_xll.DBSW(Val!H297,Val!$C$1,Val!$C$2,Val!$C$3,Val!$C$4,Val!$D297,Val!$C$5,Val!$C$6,Val!$B297,Val!$E297,Val!H$10,Val!$C$7,Val!$C297),"")</f>
        <v>-1250</v>
      </c>
      <c r="I297" s="2">
        <f ca="1">IF(Flag_Send_Data=1,_xll.DBSW(Val!I297,Val!$C$1,Val!$C$2,Val!$C$3,Val!$C$4,Val!$D297,Val!$C$5,Val!$C$6,Val!$B297,Val!$E297,Val!I$10,Val!$C$7,Val!$C297),"")</f>
        <v>-1250</v>
      </c>
      <c r="J297" s="2">
        <f ca="1">IF(Flag_Send_Data=1,_xll.DBSW(Val!J297,Val!$C$1,Val!$C$2,Val!$C$3,Val!$C$4,Val!$D297,Val!$C$5,Val!$C$6,Val!$B297,Val!$E297,Val!J$10,Val!$C$7,Val!$C297),"")</f>
        <v>-1250</v>
      </c>
      <c r="K297" s="2">
        <f ca="1">IF(Flag_Send_Data=1,_xll.DBSW(Val!K297,Val!$C$1,Val!$C$2,Val!$C$3,Val!$C$4,Val!$D297,Val!$C$5,Val!$C$6,Val!$B297,Val!$E297,Val!K$10,Val!$C$7,Val!$C297),"")</f>
        <v>-1250</v>
      </c>
      <c r="L297" s="2">
        <f ca="1">IF(Flag_Send_Data=1,_xll.DBSW(Val!L297,Val!$C$1,Val!$C$2,Val!$C$3,Val!$C$4,Val!$D297,Val!$C$5,Val!$C$6,Val!$B297,Val!$E297,Val!L$10,Val!$C$7,Val!$C297),"")</f>
        <v>-1250</v>
      </c>
      <c r="M297" s="2">
        <f ca="1">IF(Flag_Send_Data=1,_xll.DBSW(Val!M297,Val!$C$1,Val!$C$2,Val!$C$3,Val!$C$4,Val!$D297,Val!$C$5,Val!$C$6,Val!$B297,Val!$E297,Val!M$10,Val!$C$7,Val!$C297),"")</f>
        <v>-1250</v>
      </c>
      <c r="N297" s="2">
        <f ca="1">IF(Flag_Send_Data=1,_xll.DBSW(Val!N297,Val!$C$1,Val!$C$2,Val!$C$3,Val!$C$4,Val!$D297,Val!$C$5,Val!$C$6,Val!$B297,Val!$E297,Val!N$10,Val!$C$7,Val!$C297),"")</f>
        <v>-1250</v>
      </c>
      <c r="O297" s="2">
        <f ca="1">IF(Flag_Send_Data=1,_xll.DBSW(Val!O297,Val!$C$1,Val!$C$2,Val!$C$3,Val!$C$4,Val!$D297,Val!$C$5,Val!$C$6,Val!$B297,Val!$E297,Val!O$10,Val!$C$7,Val!$C297),"")</f>
        <v>-1250</v>
      </c>
      <c r="P297" s="2">
        <f ca="1">IF(Flag_Send_Data=1,_xll.DBSW(Val!P297,Val!$C$1,Val!$C$2,Val!$C$3,Val!$C$4,Val!$D297,Val!$C$5,Val!$C$6,Val!$B297,Val!$E297,Val!P$10,Val!$C$7,Val!$C297),"")</f>
        <v>-1250</v>
      </c>
      <c r="Q297" s="2">
        <f ca="1">IF(Flag_Send_Data=1,_xll.DBSW(Val!Q297,Val!$C$1,Val!$C$2,Val!$C$3,Val!$C$4,Val!$D297,Val!$C$5,Val!$C$6,Val!$B297,Val!$E297,Val!Q$10,Val!$C$7,Val!$C297),"")</f>
        <v>-1250</v>
      </c>
    </row>
    <row r="298" spans="2:17" x14ac:dyDescent="0.25">
      <c r="B298" s="3" t="s">
        <v>276</v>
      </c>
      <c r="C298" t="s">
        <v>34</v>
      </c>
      <c r="D298" t="s">
        <v>199</v>
      </c>
      <c r="E298" t="s">
        <v>17</v>
      </c>
      <c r="F298" s="2">
        <f ca="1">IF(Flag_Send_Data=1,_xll.DBSW(Val!F298,Val!$C$1,Val!$C$2,Val!$C$3,Val!$C$4,Val!$D298,Val!$C$5,Val!$C$6,Val!$B298,Val!$E298,Val!F$10,Val!$C$7,Val!$C298),"")</f>
        <v>-25250</v>
      </c>
      <c r="G298" s="2">
        <f ca="1">IF(Flag_Send_Data=1,_xll.DBSW(Val!G298,Val!$C$1,Val!$C$2,Val!$C$3,Val!$C$4,Val!$D298,Val!$C$5,Val!$C$6,Val!$B298,Val!$E298,Val!G$10,Val!$C$7,Val!$C298),"")</f>
        <v>-25250</v>
      </c>
      <c r="H298" s="2">
        <f ca="1">IF(Flag_Send_Data=1,_xll.DBSW(Val!H298,Val!$C$1,Val!$C$2,Val!$C$3,Val!$C$4,Val!$D298,Val!$C$5,Val!$C$6,Val!$B298,Val!$E298,Val!H$10,Val!$C$7,Val!$C298),"")</f>
        <v>-25250</v>
      </c>
      <c r="I298" s="2">
        <f ca="1">IF(Flag_Send_Data=1,_xll.DBSW(Val!I298,Val!$C$1,Val!$C$2,Val!$C$3,Val!$C$4,Val!$D298,Val!$C$5,Val!$C$6,Val!$B298,Val!$E298,Val!I$10,Val!$C$7,Val!$C298),"")</f>
        <v>-25250</v>
      </c>
      <c r="J298" s="2">
        <f ca="1">IF(Flag_Send_Data=1,_xll.DBSW(Val!J298,Val!$C$1,Val!$C$2,Val!$C$3,Val!$C$4,Val!$D298,Val!$C$5,Val!$C$6,Val!$B298,Val!$E298,Val!J$10,Val!$C$7,Val!$C298),"")</f>
        <v>-25250</v>
      </c>
      <c r="K298" s="2">
        <f ca="1">IF(Flag_Send_Data=1,_xll.DBSW(Val!K298,Val!$C$1,Val!$C$2,Val!$C$3,Val!$C$4,Val!$D298,Val!$C$5,Val!$C$6,Val!$B298,Val!$E298,Val!K$10,Val!$C$7,Val!$C298),"")</f>
        <v>-25250</v>
      </c>
      <c r="L298" s="2">
        <f ca="1">IF(Flag_Send_Data=1,_xll.DBSW(Val!L298,Val!$C$1,Val!$C$2,Val!$C$3,Val!$C$4,Val!$D298,Val!$C$5,Val!$C$6,Val!$B298,Val!$E298,Val!L$10,Val!$C$7,Val!$C298),"")</f>
        <v>-25250</v>
      </c>
      <c r="M298" s="2">
        <f ca="1">IF(Flag_Send_Data=1,_xll.DBSW(Val!M298,Val!$C$1,Val!$C$2,Val!$C$3,Val!$C$4,Val!$D298,Val!$C$5,Val!$C$6,Val!$B298,Val!$E298,Val!M$10,Val!$C$7,Val!$C298),"")</f>
        <v>-25250</v>
      </c>
      <c r="N298" s="2">
        <f ca="1">IF(Flag_Send_Data=1,_xll.DBSW(Val!N298,Val!$C$1,Val!$C$2,Val!$C$3,Val!$C$4,Val!$D298,Val!$C$5,Val!$C$6,Val!$B298,Val!$E298,Val!N$10,Val!$C$7,Val!$C298),"")</f>
        <v>-25250</v>
      </c>
      <c r="O298" s="2">
        <f ca="1">IF(Flag_Send_Data=1,_xll.DBSW(Val!O298,Val!$C$1,Val!$C$2,Val!$C$3,Val!$C$4,Val!$D298,Val!$C$5,Val!$C$6,Val!$B298,Val!$E298,Val!O$10,Val!$C$7,Val!$C298),"")</f>
        <v>-25250</v>
      </c>
      <c r="P298" s="2">
        <f ca="1">IF(Flag_Send_Data=1,_xll.DBSW(Val!P298,Val!$C$1,Val!$C$2,Val!$C$3,Val!$C$4,Val!$D298,Val!$C$5,Val!$C$6,Val!$B298,Val!$E298,Val!P$10,Val!$C$7,Val!$C298),"")</f>
        <v>-25250</v>
      </c>
      <c r="Q298" s="2">
        <f ca="1">IF(Flag_Send_Data=1,_xll.DBSW(Val!Q298,Val!$C$1,Val!$C$2,Val!$C$3,Val!$C$4,Val!$D298,Val!$C$5,Val!$C$6,Val!$B298,Val!$E298,Val!Q$10,Val!$C$7,Val!$C298),"")</f>
        <v>-25250</v>
      </c>
    </row>
    <row r="299" spans="2:17" x14ac:dyDescent="0.25">
      <c r="B299" s="3" t="s">
        <v>276</v>
      </c>
      <c r="C299" t="s">
        <v>93</v>
      </c>
      <c r="D299" t="s">
        <v>199</v>
      </c>
      <c r="E299" t="s">
        <v>17</v>
      </c>
      <c r="F299" s="2">
        <f ca="1">IF(Flag_Send_Data=1,_xll.DBSW(Val!F299,Val!$C$1,Val!$C$2,Val!$C$3,Val!$C$4,Val!$D299,Val!$C$5,Val!$C$6,Val!$B299,Val!$E299,Val!F$10,Val!$C$7,Val!$C299),"")</f>
        <v>-72174.150000000009</v>
      </c>
      <c r="G299" s="2">
        <f ca="1">IF(Flag_Send_Data=1,_xll.DBSW(Val!G299,Val!$C$1,Val!$C$2,Val!$C$3,Val!$C$4,Val!$D299,Val!$C$5,Val!$C$6,Val!$B299,Val!$E299,Val!G$10,Val!$C$7,Val!$C299),"")</f>
        <v>-72174.150000000009</v>
      </c>
      <c r="H299" s="2">
        <f ca="1">IF(Flag_Send_Data=1,_xll.DBSW(Val!H299,Val!$C$1,Val!$C$2,Val!$C$3,Val!$C$4,Val!$D299,Val!$C$5,Val!$C$6,Val!$B299,Val!$E299,Val!H$10,Val!$C$7,Val!$C299),"")</f>
        <v>-72174.150000000009</v>
      </c>
      <c r="I299" s="2">
        <f ca="1">IF(Flag_Send_Data=1,_xll.DBSW(Val!I299,Val!$C$1,Val!$C$2,Val!$C$3,Val!$C$4,Val!$D299,Val!$C$5,Val!$C$6,Val!$B299,Val!$E299,Val!I$10,Val!$C$7,Val!$C299),"")</f>
        <v>-72174.150000000009</v>
      </c>
      <c r="J299" s="2">
        <f ca="1">IF(Flag_Send_Data=1,_xll.DBSW(Val!J299,Val!$C$1,Val!$C$2,Val!$C$3,Val!$C$4,Val!$D299,Val!$C$5,Val!$C$6,Val!$B299,Val!$E299,Val!J$10,Val!$C$7,Val!$C299),"")</f>
        <v>-72174.150000000009</v>
      </c>
      <c r="K299" s="2">
        <f ca="1">IF(Flag_Send_Data=1,_xll.DBSW(Val!K299,Val!$C$1,Val!$C$2,Val!$C$3,Val!$C$4,Val!$D299,Val!$C$5,Val!$C$6,Val!$B299,Val!$E299,Val!K$10,Val!$C$7,Val!$C299),"")</f>
        <v>-72174.150000000009</v>
      </c>
      <c r="L299" s="2">
        <f ca="1">IF(Flag_Send_Data=1,_xll.DBSW(Val!L299,Val!$C$1,Val!$C$2,Val!$C$3,Val!$C$4,Val!$D299,Val!$C$5,Val!$C$6,Val!$B299,Val!$E299,Val!L$10,Val!$C$7,Val!$C299),"")</f>
        <v>-72174.150000000009</v>
      </c>
      <c r="M299" s="2">
        <f ca="1">IF(Flag_Send_Data=1,_xll.DBSW(Val!M299,Val!$C$1,Val!$C$2,Val!$C$3,Val!$C$4,Val!$D299,Val!$C$5,Val!$C$6,Val!$B299,Val!$E299,Val!M$10,Val!$C$7,Val!$C299),"")</f>
        <v>-72174.150000000009</v>
      </c>
      <c r="N299" s="2">
        <f ca="1">IF(Flag_Send_Data=1,_xll.DBSW(Val!N299,Val!$C$1,Val!$C$2,Val!$C$3,Val!$C$4,Val!$D299,Val!$C$5,Val!$C$6,Val!$B299,Val!$E299,Val!N$10,Val!$C$7,Val!$C299),"")</f>
        <v>-72174.150000000009</v>
      </c>
      <c r="O299" s="2">
        <f ca="1">IF(Flag_Send_Data=1,_xll.DBSW(Val!O299,Val!$C$1,Val!$C$2,Val!$C$3,Val!$C$4,Val!$D299,Val!$C$5,Val!$C$6,Val!$B299,Val!$E299,Val!O$10,Val!$C$7,Val!$C299),"")</f>
        <v>-72174.150000000009</v>
      </c>
      <c r="P299" s="2">
        <f ca="1">IF(Flag_Send_Data=1,_xll.DBSW(Val!P299,Val!$C$1,Val!$C$2,Val!$C$3,Val!$C$4,Val!$D299,Val!$C$5,Val!$C$6,Val!$B299,Val!$E299,Val!P$10,Val!$C$7,Val!$C299),"")</f>
        <v>-72174.150000000009</v>
      </c>
      <c r="Q299" s="2">
        <f ca="1">IF(Flag_Send_Data=1,_xll.DBSW(Val!Q299,Val!$C$1,Val!$C$2,Val!$C$3,Val!$C$4,Val!$D299,Val!$C$5,Val!$C$6,Val!$B299,Val!$E299,Val!Q$10,Val!$C$7,Val!$C299),"")</f>
        <v>-72174.150000000009</v>
      </c>
    </row>
    <row r="300" spans="2:17" x14ac:dyDescent="0.25">
      <c r="B300" s="3" t="s">
        <v>276</v>
      </c>
      <c r="C300" t="s">
        <v>35</v>
      </c>
      <c r="D300" t="s">
        <v>199</v>
      </c>
      <c r="E300" t="s">
        <v>128</v>
      </c>
      <c r="F300" s="2">
        <f ca="1">IF(Flag_Send_Data=1,_xll.DBSW(Val!F300,Val!$C$1,Val!$C$2,Val!$C$3,Val!$C$4,Val!$D300,Val!$C$5,Val!$C$6,Val!$B300,Val!$E300,Val!F$10,Val!$C$7,Val!$C300),"")</f>
        <v>-41.666666666666664</v>
      </c>
      <c r="G300" s="2">
        <f ca="1">IF(Flag_Send_Data=1,_xll.DBSW(Val!G300,Val!$C$1,Val!$C$2,Val!$C$3,Val!$C$4,Val!$D300,Val!$C$5,Val!$C$6,Val!$B300,Val!$E300,Val!G$10,Val!$C$7,Val!$C300),"")</f>
        <v>-41.666666666666664</v>
      </c>
      <c r="H300" s="2">
        <f ca="1">IF(Flag_Send_Data=1,_xll.DBSW(Val!H300,Val!$C$1,Val!$C$2,Val!$C$3,Val!$C$4,Val!$D300,Val!$C$5,Val!$C$6,Val!$B300,Val!$E300,Val!H$10,Val!$C$7,Val!$C300),"")</f>
        <v>-41.666666666666664</v>
      </c>
      <c r="I300" s="2">
        <f ca="1">IF(Flag_Send_Data=1,_xll.DBSW(Val!I300,Val!$C$1,Val!$C$2,Val!$C$3,Val!$C$4,Val!$D300,Val!$C$5,Val!$C$6,Val!$B300,Val!$E300,Val!I$10,Val!$C$7,Val!$C300),"")</f>
        <v>-41.666666666666664</v>
      </c>
      <c r="J300" s="2">
        <f ca="1">IF(Flag_Send_Data=1,_xll.DBSW(Val!J300,Val!$C$1,Val!$C$2,Val!$C$3,Val!$C$4,Val!$D300,Val!$C$5,Val!$C$6,Val!$B300,Val!$E300,Val!J$10,Val!$C$7,Val!$C300),"")</f>
        <v>-41.666666666666664</v>
      </c>
      <c r="K300" s="2">
        <f ca="1">IF(Flag_Send_Data=1,_xll.DBSW(Val!K300,Val!$C$1,Val!$C$2,Val!$C$3,Val!$C$4,Val!$D300,Val!$C$5,Val!$C$6,Val!$B300,Val!$E300,Val!K$10,Val!$C$7,Val!$C300),"")</f>
        <v>-41.666666666666664</v>
      </c>
      <c r="L300" s="2">
        <f ca="1">IF(Flag_Send_Data=1,_xll.DBSW(Val!L300,Val!$C$1,Val!$C$2,Val!$C$3,Val!$C$4,Val!$D300,Val!$C$5,Val!$C$6,Val!$B300,Val!$E300,Val!L$10,Val!$C$7,Val!$C300),"")</f>
        <v>-41.666666666666664</v>
      </c>
      <c r="M300" s="2">
        <f ca="1">IF(Flag_Send_Data=1,_xll.DBSW(Val!M300,Val!$C$1,Val!$C$2,Val!$C$3,Val!$C$4,Val!$D300,Val!$C$5,Val!$C$6,Val!$B300,Val!$E300,Val!M$10,Val!$C$7,Val!$C300),"")</f>
        <v>-41.666666666666664</v>
      </c>
      <c r="N300" s="2">
        <f ca="1">IF(Flag_Send_Data=1,_xll.DBSW(Val!N300,Val!$C$1,Val!$C$2,Val!$C$3,Val!$C$4,Val!$D300,Val!$C$5,Val!$C$6,Val!$B300,Val!$E300,Val!N$10,Val!$C$7,Val!$C300),"")</f>
        <v>-41.666666666666664</v>
      </c>
      <c r="O300" s="2">
        <f ca="1">IF(Flag_Send_Data=1,_xll.DBSW(Val!O300,Val!$C$1,Val!$C$2,Val!$C$3,Val!$C$4,Val!$D300,Val!$C$5,Val!$C$6,Val!$B300,Val!$E300,Val!O$10,Val!$C$7,Val!$C300),"")</f>
        <v>-41.666666666666664</v>
      </c>
      <c r="P300" s="2">
        <f ca="1">IF(Flag_Send_Data=1,_xll.DBSW(Val!P300,Val!$C$1,Val!$C$2,Val!$C$3,Val!$C$4,Val!$D300,Val!$C$5,Val!$C$6,Val!$B300,Val!$E300,Val!P$10,Val!$C$7,Val!$C300),"")</f>
        <v>-41.666666666666664</v>
      </c>
      <c r="Q300" s="2">
        <f ca="1">IF(Flag_Send_Data=1,_xll.DBSW(Val!Q300,Val!$C$1,Val!$C$2,Val!$C$3,Val!$C$4,Val!$D300,Val!$C$5,Val!$C$6,Val!$B300,Val!$E300,Val!Q$10,Val!$C$7,Val!$C300),"")</f>
        <v>-41.666666666666664</v>
      </c>
    </row>
    <row r="301" spans="2:17" x14ac:dyDescent="0.25">
      <c r="B301" t="s">
        <v>276</v>
      </c>
      <c r="C301" t="s">
        <v>91</v>
      </c>
      <c r="D301" t="s">
        <v>199</v>
      </c>
      <c r="E301" t="s">
        <v>128</v>
      </c>
      <c r="F301" s="2">
        <f ca="1">IF(Flag_Send_Data=1,_xll.DBSW(Val!F301,Val!$C$1,Val!$C$2,Val!$C$3,Val!$C$4,Val!$D301,Val!$C$5,Val!$C$6,Val!$B301,Val!$E301,Val!F$10,Val!$C$7,Val!$C301),"")</f>
        <v>-583.33333333333337</v>
      </c>
      <c r="G301" s="2">
        <f ca="1">IF(Flag_Send_Data=1,_xll.DBSW(Val!G301,Val!$C$1,Val!$C$2,Val!$C$3,Val!$C$4,Val!$D301,Val!$C$5,Val!$C$6,Val!$B301,Val!$E301,Val!G$10,Val!$C$7,Val!$C301),"")</f>
        <v>-583.33333333333337</v>
      </c>
      <c r="H301" s="2">
        <f ca="1">IF(Flag_Send_Data=1,_xll.DBSW(Val!H301,Val!$C$1,Val!$C$2,Val!$C$3,Val!$C$4,Val!$D301,Val!$C$5,Val!$C$6,Val!$B301,Val!$E301,Val!H$10,Val!$C$7,Val!$C301),"")</f>
        <v>-583.33333333333337</v>
      </c>
      <c r="I301" s="2">
        <f ca="1">IF(Flag_Send_Data=1,_xll.DBSW(Val!I301,Val!$C$1,Val!$C$2,Val!$C$3,Val!$C$4,Val!$D301,Val!$C$5,Val!$C$6,Val!$B301,Val!$E301,Val!I$10,Val!$C$7,Val!$C301),"")</f>
        <v>-583.33333333333337</v>
      </c>
      <c r="J301" s="2">
        <f ca="1">IF(Flag_Send_Data=1,_xll.DBSW(Val!J301,Val!$C$1,Val!$C$2,Val!$C$3,Val!$C$4,Val!$D301,Val!$C$5,Val!$C$6,Val!$B301,Val!$E301,Val!J$10,Val!$C$7,Val!$C301),"")</f>
        <v>-583.33333333333337</v>
      </c>
      <c r="K301" s="2">
        <f ca="1">IF(Flag_Send_Data=1,_xll.DBSW(Val!K301,Val!$C$1,Val!$C$2,Val!$C$3,Val!$C$4,Val!$D301,Val!$C$5,Val!$C$6,Val!$B301,Val!$E301,Val!K$10,Val!$C$7,Val!$C301),"")</f>
        <v>-583.33333333333337</v>
      </c>
      <c r="L301" s="2">
        <f ca="1">IF(Flag_Send_Data=1,_xll.DBSW(Val!L301,Val!$C$1,Val!$C$2,Val!$C$3,Val!$C$4,Val!$D301,Val!$C$5,Val!$C$6,Val!$B301,Val!$E301,Val!L$10,Val!$C$7,Val!$C301),"")</f>
        <v>-583.33333333333337</v>
      </c>
      <c r="M301" s="2">
        <f ca="1">IF(Flag_Send_Data=1,_xll.DBSW(Val!M301,Val!$C$1,Val!$C$2,Val!$C$3,Val!$C$4,Val!$D301,Val!$C$5,Val!$C$6,Val!$B301,Val!$E301,Val!M$10,Val!$C$7,Val!$C301),"")</f>
        <v>-583.33333333333337</v>
      </c>
      <c r="N301" s="2">
        <f ca="1">IF(Flag_Send_Data=1,_xll.DBSW(Val!N301,Val!$C$1,Val!$C$2,Val!$C$3,Val!$C$4,Val!$D301,Val!$C$5,Val!$C$6,Val!$B301,Val!$E301,Val!N$10,Val!$C$7,Val!$C301),"")</f>
        <v>-583.33333333333337</v>
      </c>
      <c r="O301" s="2">
        <f ca="1">IF(Flag_Send_Data=1,_xll.DBSW(Val!O301,Val!$C$1,Val!$C$2,Val!$C$3,Val!$C$4,Val!$D301,Val!$C$5,Val!$C$6,Val!$B301,Val!$E301,Val!O$10,Val!$C$7,Val!$C301),"")</f>
        <v>-583.33333333333337</v>
      </c>
      <c r="P301" s="2">
        <f ca="1">IF(Flag_Send_Data=1,_xll.DBSW(Val!P301,Val!$C$1,Val!$C$2,Val!$C$3,Val!$C$4,Val!$D301,Val!$C$5,Val!$C$6,Val!$B301,Val!$E301,Val!P$10,Val!$C$7,Val!$C301),"")</f>
        <v>-583.33333333333337</v>
      </c>
      <c r="Q301" s="2">
        <f ca="1">IF(Flag_Send_Data=1,_xll.DBSW(Val!Q301,Val!$C$1,Val!$C$2,Val!$C$3,Val!$C$4,Val!$D301,Val!$C$5,Val!$C$6,Val!$B301,Val!$E301,Val!Q$10,Val!$C$7,Val!$C301),"")</f>
        <v>-583.33333333333337</v>
      </c>
    </row>
    <row r="302" spans="2:17" x14ac:dyDescent="0.25">
      <c r="B302" s="3" t="s">
        <v>276</v>
      </c>
      <c r="C302" t="s">
        <v>64</v>
      </c>
      <c r="D302" t="s">
        <v>132</v>
      </c>
      <c r="E302" t="s">
        <v>128</v>
      </c>
      <c r="F302" s="2">
        <f ca="1">IF(Flag_Send_Data=1,_xll.DBSW(Val!F302,Val!$C$1,Val!$C$2,Val!$C$3,Val!$C$4,Val!$D302,Val!$C$5,Val!$C$6,Val!$B302,Val!$E302,Val!F$10,Val!$C$7,Val!$C302),"")</f>
        <v>-124.15916666666665</v>
      </c>
      <c r="G302" s="2">
        <f ca="1">IF(Flag_Send_Data=1,_xll.DBSW(Val!G302,Val!$C$1,Val!$C$2,Val!$C$3,Val!$C$4,Val!$D302,Val!$C$5,Val!$C$6,Val!$B302,Val!$E302,Val!G$10,Val!$C$7,Val!$C302),"")</f>
        <v>-124.15916666666665</v>
      </c>
      <c r="H302" s="2">
        <f ca="1">IF(Flag_Send_Data=1,_xll.DBSW(Val!H302,Val!$C$1,Val!$C$2,Val!$C$3,Val!$C$4,Val!$D302,Val!$C$5,Val!$C$6,Val!$B302,Val!$E302,Val!H$10,Val!$C$7,Val!$C302),"")</f>
        <v>-124.15916666666665</v>
      </c>
      <c r="I302" s="2">
        <f ca="1">IF(Flag_Send_Data=1,_xll.DBSW(Val!I302,Val!$C$1,Val!$C$2,Val!$C$3,Val!$C$4,Val!$D302,Val!$C$5,Val!$C$6,Val!$B302,Val!$E302,Val!I$10,Val!$C$7,Val!$C302),"")</f>
        <v>-124.15916666666665</v>
      </c>
      <c r="J302" s="2">
        <f ca="1">IF(Flag_Send_Data=1,_xll.DBSW(Val!J302,Val!$C$1,Val!$C$2,Val!$C$3,Val!$C$4,Val!$D302,Val!$C$5,Val!$C$6,Val!$B302,Val!$E302,Val!J$10,Val!$C$7,Val!$C302),"")</f>
        <v>-124.15916666666665</v>
      </c>
      <c r="K302" s="2">
        <f ca="1">IF(Flag_Send_Data=1,_xll.DBSW(Val!K302,Val!$C$1,Val!$C$2,Val!$C$3,Val!$C$4,Val!$D302,Val!$C$5,Val!$C$6,Val!$B302,Val!$E302,Val!K$10,Val!$C$7,Val!$C302),"")</f>
        <v>-124.15916666666665</v>
      </c>
      <c r="L302" s="2">
        <f ca="1">IF(Flag_Send_Data=1,_xll.DBSW(Val!L302,Val!$C$1,Val!$C$2,Val!$C$3,Val!$C$4,Val!$D302,Val!$C$5,Val!$C$6,Val!$B302,Val!$E302,Val!L$10,Val!$C$7,Val!$C302),"")</f>
        <v>-124.15916666666665</v>
      </c>
      <c r="M302" s="2">
        <f ca="1">IF(Flag_Send_Data=1,_xll.DBSW(Val!M302,Val!$C$1,Val!$C$2,Val!$C$3,Val!$C$4,Val!$D302,Val!$C$5,Val!$C$6,Val!$B302,Val!$E302,Val!M$10,Val!$C$7,Val!$C302),"")</f>
        <v>-124.15916666666665</v>
      </c>
      <c r="N302" s="2">
        <f ca="1">IF(Flag_Send_Data=1,_xll.DBSW(Val!N302,Val!$C$1,Val!$C$2,Val!$C$3,Val!$C$4,Val!$D302,Val!$C$5,Val!$C$6,Val!$B302,Val!$E302,Val!N$10,Val!$C$7,Val!$C302),"")</f>
        <v>-124.15916666666665</v>
      </c>
      <c r="O302" s="2">
        <f ca="1">IF(Flag_Send_Data=1,_xll.DBSW(Val!O302,Val!$C$1,Val!$C$2,Val!$C$3,Val!$C$4,Val!$D302,Val!$C$5,Val!$C$6,Val!$B302,Val!$E302,Val!O$10,Val!$C$7,Val!$C302),"")</f>
        <v>-124.15916666666665</v>
      </c>
      <c r="P302" s="2">
        <f ca="1">IF(Flag_Send_Data=1,_xll.DBSW(Val!P302,Val!$C$1,Val!$C$2,Val!$C$3,Val!$C$4,Val!$D302,Val!$C$5,Val!$C$6,Val!$B302,Val!$E302,Val!P$10,Val!$C$7,Val!$C302),"")</f>
        <v>-124.15916666666665</v>
      </c>
      <c r="Q302" s="2">
        <f ca="1">IF(Flag_Send_Data=1,_xll.DBSW(Val!Q302,Val!$C$1,Val!$C$2,Val!$C$3,Val!$C$4,Val!$D302,Val!$C$5,Val!$C$6,Val!$B302,Val!$E302,Val!Q$10,Val!$C$7,Val!$C302),"")</f>
        <v>-124.15916666666665</v>
      </c>
    </row>
    <row r="303" spans="2:17" x14ac:dyDescent="0.25">
      <c r="B303" s="3" t="s">
        <v>277</v>
      </c>
      <c r="C303" t="s">
        <v>34</v>
      </c>
      <c r="D303" t="s">
        <v>199</v>
      </c>
      <c r="E303" t="s">
        <v>17</v>
      </c>
      <c r="F303" s="2">
        <f ca="1">IF(Flag_Send_Data=1,_xll.DBSW(Val!F303,Val!$C$1,Val!$C$2,Val!$C$3,Val!$C$4,Val!$D303,Val!$C$5,Val!$C$6,Val!$B303,Val!$E303,Val!F$10,Val!$C$7,Val!$C303),"")</f>
        <v>-96000</v>
      </c>
      <c r="G303" s="2">
        <f ca="1">IF(Flag_Send_Data=1,_xll.DBSW(Val!G303,Val!$C$1,Val!$C$2,Val!$C$3,Val!$C$4,Val!$D303,Val!$C$5,Val!$C$6,Val!$B303,Val!$E303,Val!G$10,Val!$C$7,Val!$C303),"")</f>
        <v>-96000</v>
      </c>
      <c r="H303" s="2">
        <f ca="1">IF(Flag_Send_Data=1,_xll.DBSW(Val!H303,Val!$C$1,Val!$C$2,Val!$C$3,Val!$C$4,Val!$D303,Val!$C$5,Val!$C$6,Val!$B303,Val!$E303,Val!H$10,Val!$C$7,Val!$C303),"")</f>
        <v>-96000</v>
      </c>
      <c r="I303" s="2">
        <f ca="1">IF(Flag_Send_Data=1,_xll.DBSW(Val!I303,Val!$C$1,Val!$C$2,Val!$C$3,Val!$C$4,Val!$D303,Val!$C$5,Val!$C$6,Val!$B303,Val!$E303,Val!I$10,Val!$C$7,Val!$C303),"")</f>
        <v>-96000</v>
      </c>
      <c r="J303" s="2">
        <f ca="1">IF(Flag_Send_Data=1,_xll.DBSW(Val!J303,Val!$C$1,Val!$C$2,Val!$C$3,Val!$C$4,Val!$D303,Val!$C$5,Val!$C$6,Val!$B303,Val!$E303,Val!J$10,Val!$C$7,Val!$C303),"")</f>
        <v>-96000</v>
      </c>
      <c r="K303" s="2">
        <f ca="1">IF(Flag_Send_Data=1,_xll.DBSW(Val!K303,Val!$C$1,Val!$C$2,Val!$C$3,Val!$C$4,Val!$D303,Val!$C$5,Val!$C$6,Val!$B303,Val!$E303,Val!K$10,Val!$C$7,Val!$C303),"")</f>
        <v>-96000</v>
      </c>
      <c r="L303" s="2">
        <f ca="1">IF(Flag_Send_Data=1,_xll.DBSW(Val!L303,Val!$C$1,Val!$C$2,Val!$C$3,Val!$C$4,Val!$D303,Val!$C$5,Val!$C$6,Val!$B303,Val!$E303,Val!L$10,Val!$C$7,Val!$C303),"")</f>
        <v>-96000</v>
      </c>
      <c r="M303" s="2">
        <f ca="1">IF(Flag_Send_Data=1,_xll.DBSW(Val!M303,Val!$C$1,Val!$C$2,Val!$C$3,Val!$C$4,Val!$D303,Val!$C$5,Val!$C$6,Val!$B303,Val!$E303,Val!M$10,Val!$C$7,Val!$C303),"")</f>
        <v>-96000</v>
      </c>
      <c r="N303" s="2">
        <f ca="1">IF(Flag_Send_Data=1,_xll.DBSW(Val!N303,Val!$C$1,Val!$C$2,Val!$C$3,Val!$C$4,Val!$D303,Val!$C$5,Val!$C$6,Val!$B303,Val!$E303,Val!N$10,Val!$C$7,Val!$C303),"")</f>
        <v>-96000</v>
      </c>
      <c r="O303" s="2">
        <f ca="1">IF(Flag_Send_Data=1,_xll.DBSW(Val!O303,Val!$C$1,Val!$C$2,Val!$C$3,Val!$C$4,Val!$D303,Val!$C$5,Val!$C$6,Val!$B303,Val!$E303,Val!O$10,Val!$C$7,Val!$C303),"")</f>
        <v>-96000</v>
      </c>
      <c r="P303" s="2">
        <f ca="1">IF(Flag_Send_Data=1,_xll.DBSW(Val!P303,Val!$C$1,Val!$C$2,Val!$C$3,Val!$C$4,Val!$D303,Val!$C$5,Val!$C$6,Val!$B303,Val!$E303,Val!P$10,Val!$C$7,Val!$C303),"")</f>
        <v>-96000</v>
      </c>
      <c r="Q303" s="2">
        <f ca="1">IF(Flag_Send_Data=1,_xll.DBSW(Val!Q303,Val!$C$1,Val!$C$2,Val!$C$3,Val!$C$4,Val!$D303,Val!$C$5,Val!$C$6,Val!$B303,Val!$E303,Val!Q$10,Val!$C$7,Val!$C303),"")</f>
        <v>-96000</v>
      </c>
    </row>
    <row r="304" spans="2:17" x14ac:dyDescent="0.25">
      <c r="B304" s="3" t="s">
        <v>277</v>
      </c>
      <c r="C304" t="s">
        <v>93</v>
      </c>
      <c r="D304" t="s">
        <v>199</v>
      </c>
      <c r="E304" t="s">
        <v>17</v>
      </c>
      <c r="F304" s="2">
        <f ca="1">IF(Flag_Send_Data=1,_xll.DBSW(Val!F304,Val!$C$1,Val!$C$2,Val!$C$3,Val!$C$4,Val!$D304,Val!$C$5,Val!$C$6,Val!$B304,Val!$E304,Val!F$10,Val!$C$7,Val!$C304),"")</f>
        <v>-90971.922500000001</v>
      </c>
      <c r="G304" s="2">
        <f ca="1">IF(Flag_Send_Data=1,_xll.DBSW(Val!G304,Val!$C$1,Val!$C$2,Val!$C$3,Val!$C$4,Val!$D304,Val!$C$5,Val!$C$6,Val!$B304,Val!$E304,Val!G$10,Val!$C$7,Val!$C304),"")</f>
        <v>-90971.922500000001</v>
      </c>
      <c r="H304" s="2">
        <f ca="1">IF(Flag_Send_Data=1,_xll.DBSW(Val!H304,Val!$C$1,Val!$C$2,Val!$C$3,Val!$C$4,Val!$D304,Val!$C$5,Val!$C$6,Val!$B304,Val!$E304,Val!H$10,Val!$C$7,Val!$C304),"")</f>
        <v>-90971.922500000001</v>
      </c>
      <c r="I304" s="2">
        <f ca="1">IF(Flag_Send_Data=1,_xll.DBSW(Val!I304,Val!$C$1,Val!$C$2,Val!$C$3,Val!$C$4,Val!$D304,Val!$C$5,Val!$C$6,Val!$B304,Val!$E304,Val!I$10,Val!$C$7,Val!$C304),"")</f>
        <v>-90971.922500000001</v>
      </c>
      <c r="J304" s="2">
        <f ca="1">IF(Flag_Send_Data=1,_xll.DBSW(Val!J304,Val!$C$1,Val!$C$2,Val!$C$3,Val!$C$4,Val!$D304,Val!$C$5,Val!$C$6,Val!$B304,Val!$E304,Val!J$10,Val!$C$7,Val!$C304),"")</f>
        <v>-90971.922500000001</v>
      </c>
      <c r="K304" s="2">
        <f ca="1">IF(Flag_Send_Data=1,_xll.DBSW(Val!K304,Val!$C$1,Val!$C$2,Val!$C$3,Val!$C$4,Val!$D304,Val!$C$5,Val!$C$6,Val!$B304,Val!$E304,Val!K$10,Val!$C$7,Val!$C304),"")</f>
        <v>-90971.922500000001</v>
      </c>
      <c r="L304" s="2">
        <f ca="1">IF(Flag_Send_Data=1,_xll.DBSW(Val!L304,Val!$C$1,Val!$C$2,Val!$C$3,Val!$C$4,Val!$D304,Val!$C$5,Val!$C$6,Val!$B304,Val!$E304,Val!L$10,Val!$C$7,Val!$C304),"")</f>
        <v>-90971.922500000001</v>
      </c>
      <c r="M304" s="2">
        <f ca="1">IF(Flag_Send_Data=1,_xll.DBSW(Val!M304,Val!$C$1,Val!$C$2,Val!$C$3,Val!$C$4,Val!$D304,Val!$C$5,Val!$C$6,Val!$B304,Val!$E304,Val!M$10,Val!$C$7,Val!$C304),"")</f>
        <v>-90971.922500000001</v>
      </c>
      <c r="N304" s="2">
        <f ca="1">IF(Flag_Send_Data=1,_xll.DBSW(Val!N304,Val!$C$1,Val!$C$2,Val!$C$3,Val!$C$4,Val!$D304,Val!$C$5,Val!$C$6,Val!$B304,Val!$E304,Val!N$10,Val!$C$7,Val!$C304),"")</f>
        <v>-90971.922500000001</v>
      </c>
      <c r="O304" s="2">
        <f ca="1">IF(Flag_Send_Data=1,_xll.DBSW(Val!O304,Val!$C$1,Val!$C$2,Val!$C$3,Val!$C$4,Val!$D304,Val!$C$5,Val!$C$6,Val!$B304,Val!$E304,Val!O$10,Val!$C$7,Val!$C304),"")</f>
        <v>-90971.922500000001</v>
      </c>
      <c r="P304" s="2">
        <f ca="1">IF(Flag_Send_Data=1,_xll.DBSW(Val!P304,Val!$C$1,Val!$C$2,Val!$C$3,Val!$C$4,Val!$D304,Val!$C$5,Val!$C$6,Val!$B304,Val!$E304,Val!P$10,Val!$C$7,Val!$C304),"")</f>
        <v>-90971.922500000001</v>
      </c>
      <c r="Q304" s="2">
        <f ca="1">IF(Flag_Send_Data=1,_xll.DBSW(Val!Q304,Val!$C$1,Val!$C$2,Val!$C$3,Val!$C$4,Val!$D304,Val!$C$5,Val!$C$6,Val!$B304,Val!$E304,Val!Q$10,Val!$C$7,Val!$C304),"")</f>
        <v>-90971.922500000001</v>
      </c>
    </row>
    <row r="305" spans="2:17" x14ac:dyDescent="0.25">
      <c r="B305" s="3" t="s">
        <v>277</v>
      </c>
      <c r="C305" t="s">
        <v>64</v>
      </c>
      <c r="D305" t="s">
        <v>199</v>
      </c>
      <c r="E305" t="s">
        <v>128</v>
      </c>
      <c r="F305" s="2">
        <f ca="1">IF(Flag_Send_Data=1,_xll.DBSW(Val!F305,Val!$C$1,Val!$C$2,Val!$C$3,Val!$C$4,Val!$D305,Val!$C$5,Val!$C$6,Val!$B305,Val!$E305,Val!F$10,Val!$C$7,Val!$C305),"")</f>
        <v>-45619.708318106306</v>
      </c>
      <c r="G305" s="2">
        <f ca="1">IF(Flag_Send_Data=1,_xll.DBSW(Val!G305,Val!$C$1,Val!$C$2,Val!$C$3,Val!$C$4,Val!$D305,Val!$C$5,Val!$C$6,Val!$B305,Val!$E305,Val!G$10,Val!$C$7,Val!$C305),"")</f>
        <v>-45619.708318106306</v>
      </c>
      <c r="H305" s="2">
        <f ca="1">IF(Flag_Send_Data=1,_xll.DBSW(Val!H305,Val!$C$1,Val!$C$2,Val!$C$3,Val!$C$4,Val!$D305,Val!$C$5,Val!$C$6,Val!$B305,Val!$E305,Val!H$10,Val!$C$7,Val!$C305),"")</f>
        <v>-45619.708318106306</v>
      </c>
      <c r="I305" s="2">
        <f ca="1">IF(Flag_Send_Data=1,_xll.DBSW(Val!I305,Val!$C$1,Val!$C$2,Val!$C$3,Val!$C$4,Val!$D305,Val!$C$5,Val!$C$6,Val!$B305,Val!$E305,Val!I$10,Val!$C$7,Val!$C305),"")</f>
        <v>-45619.708318106306</v>
      </c>
      <c r="J305" s="2">
        <f ca="1">IF(Flag_Send_Data=1,_xll.DBSW(Val!J305,Val!$C$1,Val!$C$2,Val!$C$3,Val!$C$4,Val!$D305,Val!$C$5,Val!$C$6,Val!$B305,Val!$E305,Val!J$10,Val!$C$7,Val!$C305),"")</f>
        <v>-45619.708318106306</v>
      </c>
      <c r="K305" s="2">
        <f ca="1">IF(Flag_Send_Data=1,_xll.DBSW(Val!K305,Val!$C$1,Val!$C$2,Val!$C$3,Val!$C$4,Val!$D305,Val!$C$5,Val!$C$6,Val!$B305,Val!$E305,Val!K$10,Val!$C$7,Val!$C305),"")</f>
        <v>-45619.708318106306</v>
      </c>
      <c r="L305" s="2">
        <f ca="1">IF(Flag_Send_Data=1,_xll.DBSW(Val!L305,Val!$C$1,Val!$C$2,Val!$C$3,Val!$C$4,Val!$D305,Val!$C$5,Val!$C$6,Val!$B305,Val!$E305,Val!L$10,Val!$C$7,Val!$C305),"")</f>
        <v>-45619.708318106306</v>
      </c>
      <c r="M305" s="2">
        <f ca="1">IF(Flag_Send_Data=1,_xll.DBSW(Val!M305,Val!$C$1,Val!$C$2,Val!$C$3,Val!$C$4,Val!$D305,Val!$C$5,Val!$C$6,Val!$B305,Val!$E305,Val!M$10,Val!$C$7,Val!$C305),"")</f>
        <v>-45619.708318106306</v>
      </c>
      <c r="N305" s="2">
        <f ca="1">IF(Flag_Send_Data=1,_xll.DBSW(Val!N305,Val!$C$1,Val!$C$2,Val!$C$3,Val!$C$4,Val!$D305,Val!$C$5,Val!$C$6,Val!$B305,Val!$E305,Val!N$10,Val!$C$7,Val!$C305),"")</f>
        <v>-45619.708318106306</v>
      </c>
      <c r="O305" s="2">
        <f ca="1">IF(Flag_Send_Data=1,_xll.DBSW(Val!O305,Val!$C$1,Val!$C$2,Val!$C$3,Val!$C$4,Val!$D305,Val!$C$5,Val!$C$6,Val!$B305,Val!$E305,Val!O$10,Val!$C$7,Val!$C305),"")</f>
        <v>-45619.708318106306</v>
      </c>
      <c r="P305" s="2">
        <f ca="1">IF(Flag_Send_Data=1,_xll.DBSW(Val!P305,Val!$C$1,Val!$C$2,Val!$C$3,Val!$C$4,Val!$D305,Val!$C$5,Val!$C$6,Val!$B305,Val!$E305,Val!P$10,Val!$C$7,Val!$C305),"")</f>
        <v>-45619.708318106306</v>
      </c>
      <c r="Q305" s="2">
        <f ca="1">IF(Flag_Send_Data=1,_xll.DBSW(Val!Q305,Val!$C$1,Val!$C$2,Val!$C$3,Val!$C$4,Val!$D305,Val!$C$5,Val!$C$6,Val!$B305,Val!$E305,Val!Q$10,Val!$C$7,Val!$C305),"")</f>
        <v>-45619.708318106306</v>
      </c>
    </row>
    <row r="306" spans="2:17" x14ac:dyDescent="0.25">
      <c r="B306" s="3" t="s">
        <v>278</v>
      </c>
      <c r="C306" t="s">
        <v>64</v>
      </c>
      <c r="D306" t="s">
        <v>199</v>
      </c>
      <c r="E306" t="s">
        <v>128</v>
      </c>
      <c r="F306" s="2">
        <f ca="1">IF(Flag_Send_Data=1,_xll.DBSW(Val!F306,Val!$C$1,Val!$C$2,Val!$C$3,Val!$C$4,Val!$D306,Val!$C$5,Val!$C$6,Val!$B306,Val!$E306,Val!F$10,Val!$C$7,Val!$C306),"")</f>
        <v>-409.15199999999987</v>
      </c>
      <c r="G306" s="2">
        <f ca="1">IF(Flag_Send_Data=1,_xll.DBSW(Val!G306,Val!$C$1,Val!$C$2,Val!$C$3,Val!$C$4,Val!$D306,Val!$C$5,Val!$C$6,Val!$B306,Val!$E306,Val!G$10,Val!$C$7,Val!$C306),"")</f>
        <v>-409.15199999999987</v>
      </c>
      <c r="H306" s="2">
        <f ca="1">IF(Flag_Send_Data=1,_xll.DBSW(Val!H306,Val!$C$1,Val!$C$2,Val!$C$3,Val!$C$4,Val!$D306,Val!$C$5,Val!$C$6,Val!$B306,Val!$E306,Val!H$10,Val!$C$7,Val!$C306),"")</f>
        <v>-409.15199999999987</v>
      </c>
      <c r="I306" s="2">
        <f ca="1">IF(Flag_Send_Data=1,_xll.DBSW(Val!I306,Val!$C$1,Val!$C$2,Val!$C$3,Val!$C$4,Val!$D306,Val!$C$5,Val!$C$6,Val!$B306,Val!$E306,Val!I$10,Val!$C$7,Val!$C306),"")</f>
        <v>-409.15199999999987</v>
      </c>
      <c r="J306" s="2">
        <f ca="1">IF(Flag_Send_Data=1,_xll.DBSW(Val!J306,Val!$C$1,Val!$C$2,Val!$C$3,Val!$C$4,Val!$D306,Val!$C$5,Val!$C$6,Val!$B306,Val!$E306,Val!J$10,Val!$C$7,Val!$C306),"")</f>
        <v>-409.15199999999987</v>
      </c>
      <c r="K306" s="2">
        <f ca="1">IF(Flag_Send_Data=1,_xll.DBSW(Val!K306,Val!$C$1,Val!$C$2,Val!$C$3,Val!$C$4,Val!$D306,Val!$C$5,Val!$C$6,Val!$B306,Val!$E306,Val!K$10,Val!$C$7,Val!$C306),"")</f>
        <v>-409.15199999999987</v>
      </c>
      <c r="L306" s="2">
        <f ca="1">IF(Flag_Send_Data=1,_xll.DBSW(Val!L306,Val!$C$1,Val!$C$2,Val!$C$3,Val!$C$4,Val!$D306,Val!$C$5,Val!$C$6,Val!$B306,Val!$E306,Val!L$10,Val!$C$7,Val!$C306),"")</f>
        <v>-409.15199999999987</v>
      </c>
      <c r="M306" s="2">
        <f ca="1">IF(Flag_Send_Data=1,_xll.DBSW(Val!M306,Val!$C$1,Val!$C$2,Val!$C$3,Val!$C$4,Val!$D306,Val!$C$5,Val!$C$6,Val!$B306,Val!$E306,Val!M$10,Val!$C$7,Val!$C306),"")</f>
        <v>-409.15199999999987</v>
      </c>
      <c r="N306" s="2">
        <f ca="1">IF(Flag_Send_Data=1,_xll.DBSW(Val!N306,Val!$C$1,Val!$C$2,Val!$C$3,Val!$C$4,Val!$D306,Val!$C$5,Val!$C$6,Val!$B306,Val!$E306,Val!N$10,Val!$C$7,Val!$C306),"")</f>
        <v>-409.15199999999987</v>
      </c>
      <c r="O306" s="2">
        <f ca="1">IF(Flag_Send_Data=1,_xll.DBSW(Val!O306,Val!$C$1,Val!$C$2,Val!$C$3,Val!$C$4,Val!$D306,Val!$C$5,Val!$C$6,Val!$B306,Val!$E306,Val!O$10,Val!$C$7,Val!$C306),"")</f>
        <v>-409.15199999999987</v>
      </c>
      <c r="P306" s="2">
        <f ca="1">IF(Flag_Send_Data=1,_xll.DBSW(Val!P306,Val!$C$1,Val!$C$2,Val!$C$3,Val!$C$4,Val!$D306,Val!$C$5,Val!$C$6,Val!$B306,Val!$E306,Val!P$10,Val!$C$7,Val!$C306),"")</f>
        <v>-409.15199999999987</v>
      </c>
      <c r="Q306" s="2">
        <f ca="1">IF(Flag_Send_Data=1,_xll.DBSW(Val!Q306,Val!$C$1,Val!$C$2,Val!$C$3,Val!$C$4,Val!$D306,Val!$C$5,Val!$C$6,Val!$B306,Val!$E306,Val!Q$10,Val!$C$7,Val!$C306),"")</f>
        <v>-409.15199999999987</v>
      </c>
    </row>
    <row r="307" spans="2:17" x14ac:dyDescent="0.25">
      <c r="B307" s="3" t="s">
        <v>279</v>
      </c>
      <c r="C307" t="s">
        <v>64</v>
      </c>
      <c r="D307" t="s">
        <v>199</v>
      </c>
      <c r="E307" t="s">
        <v>128</v>
      </c>
      <c r="F307" s="2">
        <f ca="1">IF(Flag_Send_Data=1,_xll.DBSW(Val!F307,Val!$C$1,Val!$C$2,Val!$C$3,Val!$C$4,Val!$D307,Val!$C$5,Val!$C$6,Val!$B307,Val!$E307,Val!F$10,Val!$C$7,Val!$C307),"")</f>
        <v>-60.205000000000005</v>
      </c>
      <c r="G307" s="2">
        <f ca="1">IF(Flag_Send_Data=1,_xll.DBSW(Val!G307,Val!$C$1,Val!$C$2,Val!$C$3,Val!$C$4,Val!$D307,Val!$C$5,Val!$C$6,Val!$B307,Val!$E307,Val!G$10,Val!$C$7,Val!$C307),"")</f>
        <v>-60.205000000000005</v>
      </c>
      <c r="H307" s="2">
        <f ca="1">IF(Flag_Send_Data=1,_xll.DBSW(Val!H307,Val!$C$1,Val!$C$2,Val!$C$3,Val!$C$4,Val!$D307,Val!$C$5,Val!$C$6,Val!$B307,Val!$E307,Val!H$10,Val!$C$7,Val!$C307),"")</f>
        <v>-60.205000000000005</v>
      </c>
      <c r="I307" s="2">
        <f ca="1">IF(Flag_Send_Data=1,_xll.DBSW(Val!I307,Val!$C$1,Val!$C$2,Val!$C$3,Val!$C$4,Val!$D307,Val!$C$5,Val!$C$6,Val!$B307,Val!$E307,Val!I$10,Val!$C$7,Val!$C307),"")</f>
        <v>-60.205000000000005</v>
      </c>
      <c r="J307" s="2">
        <f ca="1">IF(Flag_Send_Data=1,_xll.DBSW(Val!J307,Val!$C$1,Val!$C$2,Val!$C$3,Val!$C$4,Val!$D307,Val!$C$5,Val!$C$6,Val!$B307,Val!$E307,Val!J$10,Val!$C$7,Val!$C307),"")</f>
        <v>-60.205000000000005</v>
      </c>
      <c r="K307" s="2">
        <f ca="1">IF(Flag_Send_Data=1,_xll.DBSW(Val!K307,Val!$C$1,Val!$C$2,Val!$C$3,Val!$C$4,Val!$D307,Val!$C$5,Val!$C$6,Val!$B307,Val!$E307,Val!K$10,Val!$C$7,Val!$C307),"")</f>
        <v>-60.205000000000005</v>
      </c>
      <c r="L307" s="2">
        <f ca="1">IF(Flag_Send_Data=1,_xll.DBSW(Val!L307,Val!$C$1,Val!$C$2,Val!$C$3,Val!$C$4,Val!$D307,Val!$C$5,Val!$C$6,Val!$B307,Val!$E307,Val!L$10,Val!$C$7,Val!$C307),"")</f>
        <v>-60.205000000000005</v>
      </c>
      <c r="M307" s="2">
        <f ca="1">IF(Flag_Send_Data=1,_xll.DBSW(Val!M307,Val!$C$1,Val!$C$2,Val!$C$3,Val!$C$4,Val!$D307,Val!$C$5,Val!$C$6,Val!$B307,Val!$E307,Val!M$10,Val!$C$7,Val!$C307),"")</f>
        <v>-60.205000000000005</v>
      </c>
      <c r="N307" s="2">
        <f ca="1">IF(Flag_Send_Data=1,_xll.DBSW(Val!N307,Val!$C$1,Val!$C$2,Val!$C$3,Val!$C$4,Val!$D307,Val!$C$5,Val!$C$6,Val!$B307,Val!$E307,Val!N$10,Val!$C$7,Val!$C307),"")</f>
        <v>-60.205000000000005</v>
      </c>
      <c r="O307" s="2">
        <f ca="1">IF(Flag_Send_Data=1,_xll.DBSW(Val!O307,Val!$C$1,Val!$C$2,Val!$C$3,Val!$C$4,Val!$D307,Val!$C$5,Val!$C$6,Val!$B307,Val!$E307,Val!O$10,Val!$C$7,Val!$C307),"")</f>
        <v>-60.205000000000005</v>
      </c>
      <c r="P307" s="2">
        <f ca="1">IF(Flag_Send_Data=1,_xll.DBSW(Val!P307,Val!$C$1,Val!$C$2,Val!$C$3,Val!$C$4,Val!$D307,Val!$C$5,Val!$C$6,Val!$B307,Val!$E307,Val!P$10,Val!$C$7,Val!$C307),"")</f>
        <v>-60.205000000000005</v>
      </c>
      <c r="Q307" s="2">
        <f ca="1">IF(Flag_Send_Data=1,_xll.DBSW(Val!Q307,Val!$C$1,Val!$C$2,Val!$C$3,Val!$C$4,Val!$D307,Val!$C$5,Val!$C$6,Val!$B307,Val!$E307,Val!Q$10,Val!$C$7,Val!$C307),"")</f>
        <v>-60.205000000000005</v>
      </c>
    </row>
    <row r="308" spans="2:17" x14ac:dyDescent="0.25">
      <c r="B308" s="3" t="s">
        <v>280</v>
      </c>
      <c r="C308" t="s">
        <v>46</v>
      </c>
      <c r="D308" t="s">
        <v>199</v>
      </c>
      <c r="E308" t="s">
        <v>17</v>
      </c>
      <c r="F308" s="2">
        <f ca="1">IF(Flag_Send_Data=1,_xll.DBSW(Val!F308,Val!$C$1,Val!$C$2,Val!$C$3,Val!$C$4,Val!$D308,Val!$C$5,Val!$C$6,Val!$B308,Val!$E308,Val!F$10,Val!$C$7,Val!$C308),"")</f>
        <v>-54644.256666666675</v>
      </c>
      <c r="G308" s="2">
        <f ca="1">IF(Flag_Send_Data=1,_xll.DBSW(Val!G308,Val!$C$1,Val!$C$2,Val!$C$3,Val!$C$4,Val!$D308,Val!$C$5,Val!$C$6,Val!$B308,Val!$E308,Val!G$10,Val!$C$7,Val!$C308),"")</f>
        <v>-54644.256666666675</v>
      </c>
      <c r="H308" s="2">
        <f ca="1">IF(Flag_Send_Data=1,_xll.DBSW(Val!H308,Val!$C$1,Val!$C$2,Val!$C$3,Val!$C$4,Val!$D308,Val!$C$5,Val!$C$6,Val!$B308,Val!$E308,Val!H$10,Val!$C$7,Val!$C308),"")</f>
        <v>-54644.256666666675</v>
      </c>
      <c r="I308" s="2">
        <f ca="1">IF(Flag_Send_Data=1,_xll.DBSW(Val!I308,Val!$C$1,Val!$C$2,Val!$C$3,Val!$C$4,Val!$D308,Val!$C$5,Val!$C$6,Val!$B308,Val!$E308,Val!I$10,Val!$C$7,Val!$C308),"")</f>
        <v>-54644.256666666675</v>
      </c>
      <c r="J308" s="2">
        <f ca="1">IF(Flag_Send_Data=1,_xll.DBSW(Val!J308,Val!$C$1,Val!$C$2,Val!$C$3,Val!$C$4,Val!$D308,Val!$C$5,Val!$C$6,Val!$B308,Val!$E308,Val!J$10,Val!$C$7,Val!$C308),"")</f>
        <v>-54644.256666666675</v>
      </c>
      <c r="K308" s="2">
        <f ca="1">IF(Flag_Send_Data=1,_xll.DBSW(Val!K308,Val!$C$1,Val!$C$2,Val!$C$3,Val!$C$4,Val!$D308,Val!$C$5,Val!$C$6,Val!$B308,Val!$E308,Val!K$10,Val!$C$7,Val!$C308),"")</f>
        <v>-54644.256666666675</v>
      </c>
      <c r="L308" s="2">
        <f ca="1">IF(Flag_Send_Data=1,_xll.DBSW(Val!L308,Val!$C$1,Val!$C$2,Val!$C$3,Val!$C$4,Val!$D308,Val!$C$5,Val!$C$6,Val!$B308,Val!$E308,Val!L$10,Val!$C$7,Val!$C308),"")</f>
        <v>-54644.256666666675</v>
      </c>
      <c r="M308" s="2">
        <f ca="1">IF(Flag_Send_Data=1,_xll.DBSW(Val!M308,Val!$C$1,Val!$C$2,Val!$C$3,Val!$C$4,Val!$D308,Val!$C$5,Val!$C$6,Val!$B308,Val!$E308,Val!M$10,Val!$C$7,Val!$C308),"")</f>
        <v>-54644.256666666675</v>
      </c>
      <c r="N308" s="2">
        <f ca="1">IF(Flag_Send_Data=1,_xll.DBSW(Val!N308,Val!$C$1,Val!$C$2,Val!$C$3,Val!$C$4,Val!$D308,Val!$C$5,Val!$C$6,Val!$B308,Val!$E308,Val!N$10,Val!$C$7,Val!$C308),"")</f>
        <v>-54644.256666666675</v>
      </c>
      <c r="O308" s="2">
        <f ca="1">IF(Flag_Send_Data=1,_xll.DBSW(Val!O308,Val!$C$1,Val!$C$2,Val!$C$3,Val!$C$4,Val!$D308,Val!$C$5,Val!$C$6,Val!$B308,Val!$E308,Val!O$10,Val!$C$7,Val!$C308),"")</f>
        <v>-54644.256666666675</v>
      </c>
      <c r="P308" s="2">
        <f ca="1">IF(Flag_Send_Data=1,_xll.DBSW(Val!P308,Val!$C$1,Val!$C$2,Val!$C$3,Val!$C$4,Val!$D308,Val!$C$5,Val!$C$6,Val!$B308,Val!$E308,Val!P$10,Val!$C$7,Val!$C308),"")</f>
        <v>-54644.256666666675</v>
      </c>
      <c r="Q308" s="2">
        <f ca="1">IF(Flag_Send_Data=1,_xll.DBSW(Val!Q308,Val!$C$1,Val!$C$2,Val!$C$3,Val!$C$4,Val!$D308,Val!$C$5,Val!$C$6,Val!$B308,Val!$E308,Val!Q$10,Val!$C$7,Val!$C308),"")</f>
        <v>-54644.256666666675</v>
      </c>
    </row>
    <row r="309" spans="2:17" x14ac:dyDescent="0.25">
      <c r="B309" s="3" t="s">
        <v>280</v>
      </c>
      <c r="C309" t="s">
        <v>64</v>
      </c>
      <c r="D309" t="s">
        <v>199</v>
      </c>
      <c r="E309" t="s">
        <v>128</v>
      </c>
      <c r="F309" s="2">
        <f ca="1">IF(Flag_Send_Data=1,_xll.DBSW(Val!F309,Val!$C$1,Val!$C$2,Val!$C$3,Val!$C$4,Val!$D309,Val!$C$5,Val!$C$6,Val!$B309,Val!$E309,Val!F$10,Val!$C$7,Val!$C309),"")</f>
        <v>-10857.523932870376</v>
      </c>
      <c r="G309" s="2">
        <f ca="1">IF(Flag_Send_Data=1,_xll.DBSW(Val!G309,Val!$C$1,Val!$C$2,Val!$C$3,Val!$C$4,Val!$D309,Val!$C$5,Val!$C$6,Val!$B309,Val!$E309,Val!G$10,Val!$C$7,Val!$C309),"")</f>
        <v>-10857.523932870376</v>
      </c>
      <c r="H309" s="2">
        <f ca="1">IF(Flag_Send_Data=1,_xll.DBSW(Val!H309,Val!$C$1,Val!$C$2,Val!$C$3,Val!$C$4,Val!$D309,Val!$C$5,Val!$C$6,Val!$B309,Val!$E309,Val!H$10,Val!$C$7,Val!$C309),"")</f>
        <v>-10857.523932870376</v>
      </c>
      <c r="I309" s="2">
        <f ca="1">IF(Flag_Send_Data=1,_xll.DBSW(Val!I309,Val!$C$1,Val!$C$2,Val!$C$3,Val!$C$4,Val!$D309,Val!$C$5,Val!$C$6,Val!$B309,Val!$E309,Val!I$10,Val!$C$7,Val!$C309),"")</f>
        <v>-10857.523932870376</v>
      </c>
      <c r="J309" s="2">
        <f ca="1">IF(Flag_Send_Data=1,_xll.DBSW(Val!J309,Val!$C$1,Val!$C$2,Val!$C$3,Val!$C$4,Val!$D309,Val!$C$5,Val!$C$6,Val!$B309,Val!$E309,Val!J$10,Val!$C$7,Val!$C309),"")</f>
        <v>-10857.523932870376</v>
      </c>
      <c r="K309" s="2">
        <f ca="1">IF(Flag_Send_Data=1,_xll.DBSW(Val!K309,Val!$C$1,Val!$C$2,Val!$C$3,Val!$C$4,Val!$D309,Val!$C$5,Val!$C$6,Val!$B309,Val!$E309,Val!K$10,Val!$C$7,Val!$C309),"")</f>
        <v>-10857.523932870376</v>
      </c>
      <c r="L309" s="2">
        <f ca="1">IF(Flag_Send_Data=1,_xll.DBSW(Val!L309,Val!$C$1,Val!$C$2,Val!$C$3,Val!$C$4,Val!$D309,Val!$C$5,Val!$C$6,Val!$B309,Val!$E309,Val!L$10,Val!$C$7,Val!$C309),"")</f>
        <v>-10857.523932870376</v>
      </c>
      <c r="M309" s="2">
        <f ca="1">IF(Flag_Send_Data=1,_xll.DBSW(Val!M309,Val!$C$1,Val!$C$2,Val!$C$3,Val!$C$4,Val!$D309,Val!$C$5,Val!$C$6,Val!$B309,Val!$E309,Val!M$10,Val!$C$7,Val!$C309),"")</f>
        <v>-10857.523932870376</v>
      </c>
      <c r="N309" s="2">
        <f ca="1">IF(Flag_Send_Data=1,_xll.DBSW(Val!N309,Val!$C$1,Val!$C$2,Val!$C$3,Val!$C$4,Val!$D309,Val!$C$5,Val!$C$6,Val!$B309,Val!$E309,Val!N$10,Val!$C$7,Val!$C309),"")</f>
        <v>-10857.523932870376</v>
      </c>
      <c r="O309" s="2">
        <f ca="1">IF(Flag_Send_Data=1,_xll.DBSW(Val!O309,Val!$C$1,Val!$C$2,Val!$C$3,Val!$C$4,Val!$D309,Val!$C$5,Val!$C$6,Val!$B309,Val!$E309,Val!O$10,Val!$C$7,Val!$C309),"")</f>
        <v>-10857.523932870376</v>
      </c>
      <c r="P309" s="2">
        <f ca="1">IF(Flag_Send_Data=1,_xll.DBSW(Val!P309,Val!$C$1,Val!$C$2,Val!$C$3,Val!$C$4,Val!$D309,Val!$C$5,Val!$C$6,Val!$B309,Val!$E309,Val!P$10,Val!$C$7,Val!$C309),"")</f>
        <v>-10857.523932870376</v>
      </c>
      <c r="Q309" s="2">
        <f ca="1">IF(Flag_Send_Data=1,_xll.DBSW(Val!Q309,Val!$C$1,Val!$C$2,Val!$C$3,Val!$C$4,Val!$D309,Val!$C$5,Val!$C$6,Val!$B309,Val!$E309,Val!Q$10,Val!$C$7,Val!$C309),"")</f>
        <v>-10857.523932870376</v>
      </c>
    </row>
    <row r="310" spans="2:17" x14ac:dyDescent="0.25">
      <c r="B310" s="3" t="s">
        <v>281</v>
      </c>
      <c r="C310" t="s">
        <v>20</v>
      </c>
      <c r="D310" t="s">
        <v>180</v>
      </c>
      <c r="E310" t="s">
        <v>17</v>
      </c>
      <c r="F310" s="2">
        <f ca="1">IF(Flag_Send_Data=1,_xll.DBSW(Val!F310,Val!$C$1,Val!$C$2,Val!$C$3,Val!$C$4,Val!$D310,Val!$C$5,Val!$C$6,Val!$B310,Val!$E310,Val!F$10,Val!$C$7,Val!$C310),"")</f>
        <v>-7318.333333333333</v>
      </c>
      <c r="G310" s="2">
        <f ca="1">IF(Flag_Send_Data=1,_xll.DBSW(Val!G310,Val!$C$1,Val!$C$2,Val!$C$3,Val!$C$4,Val!$D310,Val!$C$5,Val!$C$6,Val!$B310,Val!$E310,Val!G$10,Val!$C$7,Val!$C310),"")</f>
        <v>-7318.333333333333</v>
      </c>
      <c r="H310" s="2">
        <f ca="1">IF(Flag_Send_Data=1,_xll.DBSW(Val!H310,Val!$C$1,Val!$C$2,Val!$C$3,Val!$C$4,Val!$D310,Val!$C$5,Val!$C$6,Val!$B310,Val!$E310,Val!H$10,Val!$C$7,Val!$C310),"")</f>
        <v>-7318.333333333333</v>
      </c>
      <c r="I310" s="2">
        <f ca="1">IF(Flag_Send_Data=1,_xll.DBSW(Val!I310,Val!$C$1,Val!$C$2,Val!$C$3,Val!$C$4,Val!$D310,Val!$C$5,Val!$C$6,Val!$B310,Val!$E310,Val!I$10,Val!$C$7,Val!$C310),"")</f>
        <v>-7318.333333333333</v>
      </c>
      <c r="J310" s="2">
        <f ca="1">IF(Flag_Send_Data=1,_xll.DBSW(Val!J310,Val!$C$1,Val!$C$2,Val!$C$3,Val!$C$4,Val!$D310,Val!$C$5,Val!$C$6,Val!$B310,Val!$E310,Val!J$10,Val!$C$7,Val!$C310),"")</f>
        <v>-7318.333333333333</v>
      </c>
      <c r="K310" s="2">
        <f ca="1">IF(Flag_Send_Data=1,_xll.DBSW(Val!K310,Val!$C$1,Val!$C$2,Val!$C$3,Val!$C$4,Val!$D310,Val!$C$5,Val!$C$6,Val!$B310,Val!$E310,Val!K$10,Val!$C$7,Val!$C310),"")</f>
        <v>-7318.333333333333</v>
      </c>
      <c r="L310" s="2">
        <f ca="1">IF(Flag_Send_Data=1,_xll.DBSW(Val!L310,Val!$C$1,Val!$C$2,Val!$C$3,Val!$C$4,Val!$D310,Val!$C$5,Val!$C$6,Val!$B310,Val!$E310,Val!L$10,Val!$C$7,Val!$C310),"")</f>
        <v>-7318.333333333333</v>
      </c>
      <c r="M310" s="2">
        <f ca="1">IF(Flag_Send_Data=1,_xll.DBSW(Val!M310,Val!$C$1,Val!$C$2,Val!$C$3,Val!$C$4,Val!$D310,Val!$C$5,Val!$C$6,Val!$B310,Val!$E310,Val!M$10,Val!$C$7,Val!$C310),"")</f>
        <v>-7318.333333333333</v>
      </c>
      <c r="N310" s="2">
        <f ca="1">IF(Flag_Send_Data=1,_xll.DBSW(Val!N310,Val!$C$1,Val!$C$2,Val!$C$3,Val!$C$4,Val!$D310,Val!$C$5,Val!$C$6,Val!$B310,Val!$E310,Val!N$10,Val!$C$7,Val!$C310),"")</f>
        <v>-7318.333333333333</v>
      </c>
      <c r="O310" s="2">
        <f ca="1">IF(Flag_Send_Data=1,_xll.DBSW(Val!O310,Val!$C$1,Val!$C$2,Val!$C$3,Val!$C$4,Val!$D310,Val!$C$5,Val!$C$6,Val!$B310,Val!$E310,Val!O$10,Val!$C$7,Val!$C310),"")</f>
        <v>-7318.333333333333</v>
      </c>
      <c r="P310" s="2">
        <f ca="1">IF(Flag_Send_Data=1,_xll.DBSW(Val!P310,Val!$C$1,Val!$C$2,Val!$C$3,Val!$C$4,Val!$D310,Val!$C$5,Val!$C$6,Val!$B310,Val!$E310,Val!P$10,Val!$C$7,Val!$C310),"")</f>
        <v>-7318.333333333333</v>
      </c>
      <c r="Q310" s="2">
        <f ca="1">IF(Flag_Send_Data=1,_xll.DBSW(Val!Q310,Val!$C$1,Val!$C$2,Val!$C$3,Val!$C$4,Val!$D310,Val!$C$5,Val!$C$6,Val!$B310,Val!$E310,Val!Q$10,Val!$C$7,Val!$C310),"")</f>
        <v>-7318.333333333333</v>
      </c>
    </row>
    <row r="311" spans="2:17" x14ac:dyDescent="0.25">
      <c r="B311" s="3" t="s">
        <v>282</v>
      </c>
      <c r="C311" t="s">
        <v>125</v>
      </c>
      <c r="D311" t="s">
        <v>199</v>
      </c>
      <c r="E311" t="s">
        <v>14</v>
      </c>
      <c r="F311" s="2">
        <f ca="1">IF(Flag_Send_Data=1,_xll.DBSW(Val!F311,Val!$C$1,Val!$C$2,Val!$C$3,Val!$C$4,Val!$D311,Val!$C$5,Val!$C$6,Val!$B311,Val!$E311,Val!F$10,Val!$C$7,Val!$C311),"")</f>
        <v>280566.08333333331</v>
      </c>
      <c r="G311" s="2">
        <f ca="1">IF(Flag_Send_Data=1,_xll.DBSW(Val!G311,Val!$C$1,Val!$C$2,Val!$C$3,Val!$C$4,Val!$D311,Val!$C$5,Val!$C$6,Val!$B311,Val!$E311,Val!G$10,Val!$C$7,Val!$C311),"")</f>
        <v>280566.08333333331</v>
      </c>
      <c r="H311" s="2">
        <f ca="1">IF(Flag_Send_Data=1,_xll.DBSW(Val!H311,Val!$C$1,Val!$C$2,Val!$C$3,Val!$C$4,Val!$D311,Val!$C$5,Val!$C$6,Val!$B311,Val!$E311,Val!H$10,Val!$C$7,Val!$C311),"")</f>
        <v>280566.08333333331</v>
      </c>
      <c r="I311" s="2">
        <f ca="1">IF(Flag_Send_Data=1,_xll.DBSW(Val!I311,Val!$C$1,Val!$C$2,Val!$C$3,Val!$C$4,Val!$D311,Val!$C$5,Val!$C$6,Val!$B311,Val!$E311,Val!I$10,Val!$C$7,Val!$C311),"")</f>
        <v>280566.08333333331</v>
      </c>
      <c r="J311" s="2">
        <f ca="1">IF(Flag_Send_Data=1,_xll.DBSW(Val!J311,Val!$C$1,Val!$C$2,Val!$C$3,Val!$C$4,Val!$D311,Val!$C$5,Val!$C$6,Val!$B311,Val!$E311,Val!J$10,Val!$C$7,Val!$C311),"")</f>
        <v>280566.08333333331</v>
      </c>
      <c r="K311" s="2">
        <f ca="1">IF(Flag_Send_Data=1,_xll.DBSW(Val!K311,Val!$C$1,Val!$C$2,Val!$C$3,Val!$C$4,Val!$D311,Val!$C$5,Val!$C$6,Val!$B311,Val!$E311,Val!K$10,Val!$C$7,Val!$C311),"")</f>
        <v>280566.08333333331</v>
      </c>
      <c r="L311" s="2">
        <f ca="1">IF(Flag_Send_Data=1,_xll.DBSW(Val!L311,Val!$C$1,Val!$C$2,Val!$C$3,Val!$C$4,Val!$D311,Val!$C$5,Val!$C$6,Val!$B311,Val!$E311,Val!L$10,Val!$C$7,Val!$C311),"")</f>
        <v>280566.08333333331</v>
      </c>
      <c r="M311" s="2">
        <f ca="1">IF(Flag_Send_Data=1,_xll.DBSW(Val!M311,Val!$C$1,Val!$C$2,Val!$C$3,Val!$C$4,Val!$D311,Val!$C$5,Val!$C$6,Val!$B311,Val!$E311,Val!M$10,Val!$C$7,Val!$C311),"")</f>
        <v>280566.08333333331</v>
      </c>
      <c r="N311" s="2">
        <f ca="1">IF(Flag_Send_Data=1,_xll.DBSW(Val!N311,Val!$C$1,Val!$C$2,Val!$C$3,Val!$C$4,Val!$D311,Val!$C$5,Val!$C$6,Val!$B311,Val!$E311,Val!N$10,Val!$C$7,Val!$C311),"")</f>
        <v>280566.08333333331</v>
      </c>
      <c r="O311" s="2">
        <f ca="1">IF(Flag_Send_Data=1,_xll.DBSW(Val!O311,Val!$C$1,Val!$C$2,Val!$C$3,Val!$C$4,Val!$D311,Val!$C$5,Val!$C$6,Val!$B311,Val!$E311,Val!O$10,Val!$C$7,Val!$C311),"")</f>
        <v>280566.08333333331</v>
      </c>
      <c r="P311" s="2">
        <f ca="1">IF(Flag_Send_Data=1,_xll.DBSW(Val!P311,Val!$C$1,Val!$C$2,Val!$C$3,Val!$C$4,Val!$D311,Val!$C$5,Val!$C$6,Val!$B311,Val!$E311,Val!P$10,Val!$C$7,Val!$C311),"")</f>
        <v>280566.08333333331</v>
      </c>
      <c r="Q311" s="2">
        <f ca="1">IF(Flag_Send_Data=1,_xll.DBSW(Val!Q311,Val!$C$1,Val!$C$2,Val!$C$3,Val!$C$4,Val!$D311,Val!$C$5,Val!$C$6,Val!$B311,Val!$E311,Val!Q$10,Val!$C$7,Val!$C311),"")</f>
        <v>280566.08333333331</v>
      </c>
    </row>
    <row r="312" spans="2:17" x14ac:dyDescent="0.25">
      <c r="B312" s="3" t="s">
        <v>282</v>
      </c>
      <c r="C312" t="s">
        <v>125</v>
      </c>
      <c r="D312" t="s">
        <v>199</v>
      </c>
      <c r="E312" t="s">
        <v>44</v>
      </c>
      <c r="F312" s="2">
        <f ca="1">IF(Flag_Send_Data=1,_xll.DBSW(Val!F312,Val!$C$1,Val!$C$2,Val!$C$3,Val!$C$4,Val!$D312,Val!$C$5,Val!$C$6,Val!$B312,Val!$E312,Val!F$10,Val!$C$7,Val!$C312),"")</f>
        <v>50833.333333333336</v>
      </c>
      <c r="G312" s="2">
        <f ca="1">IF(Flag_Send_Data=1,_xll.DBSW(Val!G312,Val!$C$1,Val!$C$2,Val!$C$3,Val!$C$4,Val!$D312,Val!$C$5,Val!$C$6,Val!$B312,Val!$E312,Val!G$10,Val!$C$7,Val!$C312),"")</f>
        <v>50833.333333333336</v>
      </c>
      <c r="H312" s="2">
        <f ca="1">IF(Flag_Send_Data=1,_xll.DBSW(Val!H312,Val!$C$1,Val!$C$2,Val!$C$3,Val!$C$4,Val!$D312,Val!$C$5,Val!$C$6,Val!$B312,Val!$E312,Val!H$10,Val!$C$7,Val!$C312),"")</f>
        <v>50833.333333333336</v>
      </c>
      <c r="I312" s="2">
        <f ca="1">IF(Flag_Send_Data=1,_xll.DBSW(Val!I312,Val!$C$1,Val!$C$2,Val!$C$3,Val!$C$4,Val!$D312,Val!$C$5,Val!$C$6,Val!$B312,Val!$E312,Val!I$10,Val!$C$7,Val!$C312),"")</f>
        <v>50833.333333333336</v>
      </c>
      <c r="J312" s="2">
        <f ca="1">IF(Flag_Send_Data=1,_xll.DBSW(Val!J312,Val!$C$1,Val!$C$2,Val!$C$3,Val!$C$4,Val!$D312,Val!$C$5,Val!$C$6,Val!$B312,Val!$E312,Val!J$10,Val!$C$7,Val!$C312),"")</f>
        <v>50833.333333333336</v>
      </c>
      <c r="K312" s="2">
        <f ca="1">IF(Flag_Send_Data=1,_xll.DBSW(Val!K312,Val!$C$1,Val!$C$2,Val!$C$3,Val!$C$4,Val!$D312,Val!$C$5,Val!$C$6,Val!$B312,Val!$E312,Val!K$10,Val!$C$7,Val!$C312),"")</f>
        <v>50833.333333333336</v>
      </c>
      <c r="L312" s="2">
        <f ca="1">IF(Flag_Send_Data=1,_xll.DBSW(Val!L312,Val!$C$1,Val!$C$2,Val!$C$3,Val!$C$4,Val!$D312,Val!$C$5,Val!$C$6,Val!$B312,Val!$E312,Val!L$10,Val!$C$7,Val!$C312),"")</f>
        <v>50833.333333333336</v>
      </c>
      <c r="M312" s="2">
        <f ca="1">IF(Flag_Send_Data=1,_xll.DBSW(Val!M312,Val!$C$1,Val!$C$2,Val!$C$3,Val!$C$4,Val!$D312,Val!$C$5,Val!$C$6,Val!$B312,Val!$E312,Val!M$10,Val!$C$7,Val!$C312),"")</f>
        <v>50833.333333333336</v>
      </c>
      <c r="N312" s="2">
        <f ca="1">IF(Flag_Send_Data=1,_xll.DBSW(Val!N312,Val!$C$1,Val!$C$2,Val!$C$3,Val!$C$4,Val!$D312,Val!$C$5,Val!$C$6,Val!$B312,Val!$E312,Val!N$10,Val!$C$7,Val!$C312),"")</f>
        <v>50833.333333333336</v>
      </c>
      <c r="O312" s="2">
        <f ca="1">IF(Flag_Send_Data=1,_xll.DBSW(Val!O312,Val!$C$1,Val!$C$2,Val!$C$3,Val!$C$4,Val!$D312,Val!$C$5,Val!$C$6,Val!$B312,Val!$E312,Val!O$10,Val!$C$7,Val!$C312),"")</f>
        <v>50833.333333333336</v>
      </c>
      <c r="P312" s="2">
        <f ca="1">IF(Flag_Send_Data=1,_xll.DBSW(Val!P312,Val!$C$1,Val!$C$2,Val!$C$3,Val!$C$4,Val!$D312,Val!$C$5,Val!$C$6,Val!$B312,Val!$E312,Val!P$10,Val!$C$7,Val!$C312),"")</f>
        <v>50833.333333333336</v>
      </c>
      <c r="Q312" s="2">
        <f ca="1">IF(Flag_Send_Data=1,_xll.DBSW(Val!Q312,Val!$C$1,Val!$C$2,Val!$C$3,Val!$C$4,Val!$D312,Val!$C$5,Val!$C$6,Val!$B312,Val!$E312,Val!Q$10,Val!$C$7,Val!$C312),"")</f>
        <v>50833.333333333336</v>
      </c>
    </row>
    <row r="313" spans="2:17" x14ac:dyDescent="0.25">
      <c r="B313" s="3" t="s">
        <v>282</v>
      </c>
      <c r="C313" t="s">
        <v>125</v>
      </c>
      <c r="D313" t="s">
        <v>199</v>
      </c>
      <c r="E313" t="s">
        <v>65</v>
      </c>
      <c r="F313" s="2">
        <f ca="1">IF(Flag_Send_Data=1,_xll.DBSW(Val!F313,Val!$C$1,Val!$C$2,Val!$C$3,Val!$C$4,Val!$D313,Val!$C$5,Val!$C$6,Val!$B313,Val!$E313,Val!F$10,Val!$C$7,Val!$C313),"")</f>
        <v>13009.203964010749</v>
      </c>
      <c r="G313" s="2">
        <f ca="1">IF(Flag_Send_Data=1,_xll.DBSW(Val!G313,Val!$C$1,Val!$C$2,Val!$C$3,Val!$C$4,Val!$D313,Val!$C$5,Val!$C$6,Val!$B313,Val!$E313,Val!G$10,Val!$C$7,Val!$C313),"")</f>
        <v>13009.203964010749</v>
      </c>
      <c r="H313" s="2">
        <f ca="1">IF(Flag_Send_Data=1,_xll.DBSW(Val!H313,Val!$C$1,Val!$C$2,Val!$C$3,Val!$C$4,Val!$D313,Val!$C$5,Val!$C$6,Val!$B313,Val!$E313,Val!H$10,Val!$C$7,Val!$C313),"")</f>
        <v>13009.203964010749</v>
      </c>
      <c r="I313" s="2">
        <f ca="1">IF(Flag_Send_Data=1,_xll.DBSW(Val!I313,Val!$C$1,Val!$C$2,Val!$C$3,Val!$C$4,Val!$D313,Val!$C$5,Val!$C$6,Val!$B313,Val!$E313,Val!I$10,Val!$C$7,Val!$C313),"")</f>
        <v>13009.203964010749</v>
      </c>
      <c r="J313" s="2">
        <f ca="1">IF(Flag_Send_Data=1,_xll.DBSW(Val!J313,Val!$C$1,Val!$C$2,Val!$C$3,Val!$C$4,Val!$D313,Val!$C$5,Val!$C$6,Val!$B313,Val!$E313,Val!J$10,Val!$C$7,Val!$C313),"")</f>
        <v>13009.203964010749</v>
      </c>
      <c r="K313" s="2">
        <f ca="1">IF(Flag_Send_Data=1,_xll.DBSW(Val!K313,Val!$C$1,Val!$C$2,Val!$C$3,Val!$C$4,Val!$D313,Val!$C$5,Val!$C$6,Val!$B313,Val!$E313,Val!K$10,Val!$C$7,Val!$C313),"")</f>
        <v>13009.203964010749</v>
      </c>
      <c r="L313" s="2">
        <f ca="1">IF(Flag_Send_Data=1,_xll.DBSW(Val!L313,Val!$C$1,Val!$C$2,Val!$C$3,Val!$C$4,Val!$D313,Val!$C$5,Val!$C$6,Val!$B313,Val!$E313,Val!L$10,Val!$C$7,Val!$C313),"")</f>
        <v>13009.203964010749</v>
      </c>
      <c r="M313" s="2">
        <f ca="1">IF(Flag_Send_Data=1,_xll.DBSW(Val!M313,Val!$C$1,Val!$C$2,Val!$C$3,Val!$C$4,Val!$D313,Val!$C$5,Val!$C$6,Val!$B313,Val!$E313,Val!M$10,Val!$C$7,Val!$C313),"")</f>
        <v>13009.203964010749</v>
      </c>
      <c r="N313" s="2">
        <f ca="1">IF(Flag_Send_Data=1,_xll.DBSW(Val!N313,Val!$C$1,Val!$C$2,Val!$C$3,Val!$C$4,Val!$D313,Val!$C$5,Val!$C$6,Val!$B313,Val!$E313,Val!N$10,Val!$C$7,Val!$C313),"")</f>
        <v>13009.203964010749</v>
      </c>
      <c r="O313" s="2">
        <f ca="1">IF(Flag_Send_Data=1,_xll.DBSW(Val!O313,Val!$C$1,Val!$C$2,Val!$C$3,Val!$C$4,Val!$D313,Val!$C$5,Val!$C$6,Val!$B313,Val!$E313,Val!O$10,Val!$C$7,Val!$C313),"")</f>
        <v>13009.203964010749</v>
      </c>
      <c r="P313" s="2">
        <f ca="1">IF(Flag_Send_Data=1,_xll.DBSW(Val!P313,Val!$C$1,Val!$C$2,Val!$C$3,Val!$C$4,Val!$D313,Val!$C$5,Val!$C$6,Val!$B313,Val!$E313,Val!P$10,Val!$C$7,Val!$C313),"")</f>
        <v>13009.203964010749</v>
      </c>
      <c r="Q313" s="2">
        <f ca="1">IF(Flag_Send_Data=1,_xll.DBSW(Val!Q313,Val!$C$1,Val!$C$2,Val!$C$3,Val!$C$4,Val!$D313,Val!$C$5,Val!$C$6,Val!$B313,Val!$E313,Val!Q$10,Val!$C$7,Val!$C313),"")</f>
        <v>13009.203964010749</v>
      </c>
    </row>
    <row r="314" spans="2:17" x14ac:dyDescent="0.25">
      <c r="B314" s="3" t="s">
        <v>282</v>
      </c>
      <c r="C314" t="s">
        <v>150</v>
      </c>
      <c r="D314" t="s">
        <v>199</v>
      </c>
      <c r="E314" t="s">
        <v>128</v>
      </c>
      <c r="F314" s="2">
        <f ca="1">IF(Flag_Send_Data=1,_xll.DBSW(Val!F314,Val!$C$1,Val!$C$2,Val!$C$3,Val!$C$4,Val!$D314,Val!$C$5,Val!$C$6,Val!$B314,Val!$E314,Val!F$10,Val!$C$7,Val!$C314),"")</f>
        <v>-416.66666666666669</v>
      </c>
      <c r="G314" s="2">
        <f ca="1">IF(Flag_Send_Data=1,_xll.DBSW(Val!G314,Val!$C$1,Val!$C$2,Val!$C$3,Val!$C$4,Val!$D314,Val!$C$5,Val!$C$6,Val!$B314,Val!$E314,Val!G$10,Val!$C$7,Val!$C314),"")</f>
        <v>-416.66666666666669</v>
      </c>
      <c r="H314" s="2">
        <f ca="1">IF(Flag_Send_Data=1,_xll.DBSW(Val!H314,Val!$C$1,Val!$C$2,Val!$C$3,Val!$C$4,Val!$D314,Val!$C$5,Val!$C$6,Val!$B314,Val!$E314,Val!H$10,Val!$C$7,Val!$C314),"")</f>
        <v>-416.66666666666669</v>
      </c>
      <c r="I314" s="2">
        <f ca="1">IF(Flag_Send_Data=1,_xll.DBSW(Val!I314,Val!$C$1,Val!$C$2,Val!$C$3,Val!$C$4,Val!$D314,Val!$C$5,Val!$C$6,Val!$B314,Val!$E314,Val!I$10,Val!$C$7,Val!$C314),"")</f>
        <v>-416.66666666666669</v>
      </c>
      <c r="J314" s="2">
        <f ca="1">IF(Flag_Send_Data=1,_xll.DBSW(Val!J314,Val!$C$1,Val!$C$2,Val!$C$3,Val!$C$4,Val!$D314,Val!$C$5,Val!$C$6,Val!$B314,Val!$E314,Val!J$10,Val!$C$7,Val!$C314),"")</f>
        <v>-416.66666666666669</v>
      </c>
      <c r="K314" s="2">
        <f ca="1">IF(Flag_Send_Data=1,_xll.DBSW(Val!K314,Val!$C$1,Val!$C$2,Val!$C$3,Val!$C$4,Val!$D314,Val!$C$5,Val!$C$6,Val!$B314,Val!$E314,Val!K$10,Val!$C$7,Val!$C314),"")</f>
        <v>-416.66666666666669</v>
      </c>
      <c r="L314" s="2">
        <f ca="1">IF(Flag_Send_Data=1,_xll.DBSW(Val!L314,Val!$C$1,Val!$C$2,Val!$C$3,Val!$C$4,Val!$D314,Val!$C$5,Val!$C$6,Val!$B314,Val!$E314,Val!L$10,Val!$C$7,Val!$C314),"")</f>
        <v>-416.66666666666669</v>
      </c>
      <c r="M314" s="2">
        <f ca="1">IF(Flag_Send_Data=1,_xll.DBSW(Val!M314,Val!$C$1,Val!$C$2,Val!$C$3,Val!$C$4,Val!$D314,Val!$C$5,Val!$C$6,Val!$B314,Val!$E314,Val!M$10,Val!$C$7,Val!$C314),"")</f>
        <v>-416.66666666666669</v>
      </c>
      <c r="N314" s="2">
        <f ca="1">IF(Flag_Send_Data=1,_xll.DBSW(Val!N314,Val!$C$1,Val!$C$2,Val!$C$3,Val!$C$4,Val!$D314,Val!$C$5,Val!$C$6,Val!$B314,Val!$E314,Val!N$10,Val!$C$7,Val!$C314),"")</f>
        <v>-416.66666666666669</v>
      </c>
      <c r="O314" s="2">
        <f ca="1">IF(Flag_Send_Data=1,_xll.DBSW(Val!O314,Val!$C$1,Val!$C$2,Val!$C$3,Val!$C$4,Val!$D314,Val!$C$5,Val!$C$6,Val!$B314,Val!$E314,Val!O$10,Val!$C$7,Val!$C314),"")</f>
        <v>-416.66666666666669</v>
      </c>
      <c r="P314" s="2">
        <f ca="1">IF(Flag_Send_Data=1,_xll.DBSW(Val!P314,Val!$C$1,Val!$C$2,Val!$C$3,Val!$C$4,Val!$D314,Val!$C$5,Val!$C$6,Val!$B314,Val!$E314,Val!P$10,Val!$C$7,Val!$C314),"")</f>
        <v>-416.66666666666669</v>
      </c>
      <c r="Q314" s="2">
        <f ca="1">IF(Flag_Send_Data=1,_xll.DBSW(Val!Q314,Val!$C$1,Val!$C$2,Val!$C$3,Val!$C$4,Val!$D314,Val!$C$5,Val!$C$6,Val!$B314,Val!$E314,Val!Q$10,Val!$C$7,Val!$C314),"")</f>
        <v>-416.66666666666669</v>
      </c>
    </row>
    <row r="315" spans="2:17" x14ac:dyDescent="0.25">
      <c r="B315" s="3" t="s">
        <v>282</v>
      </c>
      <c r="C315" t="s">
        <v>46</v>
      </c>
      <c r="D315" t="s">
        <v>138</v>
      </c>
      <c r="E315" t="s">
        <v>176</v>
      </c>
      <c r="F315" s="2">
        <f ca="1">IF(Flag_Send_Data=1,_xll.DBSW(Val!F315,Val!$C$1,Val!$C$2,Val!$C$3,Val!$C$4,Val!$D315,Val!$C$5,Val!$C$6,Val!$B315,Val!$E315,Val!F$10,Val!$C$7,Val!$C315),"")</f>
        <v>-8562.75</v>
      </c>
      <c r="G315" s="2">
        <f ca="1">IF(Flag_Send_Data=1,_xll.DBSW(Val!G315,Val!$C$1,Val!$C$2,Val!$C$3,Val!$C$4,Val!$D315,Val!$C$5,Val!$C$6,Val!$B315,Val!$E315,Val!G$10,Val!$C$7,Val!$C315),"")</f>
        <v>-8562.75</v>
      </c>
      <c r="H315" s="2">
        <f ca="1">IF(Flag_Send_Data=1,_xll.DBSW(Val!H315,Val!$C$1,Val!$C$2,Val!$C$3,Val!$C$4,Val!$D315,Val!$C$5,Val!$C$6,Val!$B315,Val!$E315,Val!H$10,Val!$C$7,Val!$C315),"")</f>
        <v>-8562.75</v>
      </c>
      <c r="I315" s="2">
        <f ca="1">IF(Flag_Send_Data=1,_xll.DBSW(Val!I315,Val!$C$1,Val!$C$2,Val!$C$3,Val!$C$4,Val!$D315,Val!$C$5,Val!$C$6,Val!$B315,Val!$E315,Val!I$10,Val!$C$7,Val!$C315),"")</f>
        <v>-8562.75</v>
      </c>
      <c r="J315" s="2">
        <f ca="1">IF(Flag_Send_Data=1,_xll.DBSW(Val!J315,Val!$C$1,Val!$C$2,Val!$C$3,Val!$C$4,Val!$D315,Val!$C$5,Val!$C$6,Val!$B315,Val!$E315,Val!J$10,Val!$C$7,Val!$C315),"")</f>
        <v>-8562.75</v>
      </c>
      <c r="K315" s="2">
        <f ca="1">IF(Flag_Send_Data=1,_xll.DBSW(Val!K315,Val!$C$1,Val!$C$2,Val!$C$3,Val!$C$4,Val!$D315,Val!$C$5,Val!$C$6,Val!$B315,Val!$E315,Val!K$10,Val!$C$7,Val!$C315),"")</f>
        <v>-8562.75</v>
      </c>
      <c r="L315" s="2">
        <f ca="1">IF(Flag_Send_Data=1,_xll.DBSW(Val!L315,Val!$C$1,Val!$C$2,Val!$C$3,Val!$C$4,Val!$D315,Val!$C$5,Val!$C$6,Val!$B315,Val!$E315,Val!L$10,Val!$C$7,Val!$C315),"")</f>
        <v>-8562.75</v>
      </c>
      <c r="M315" s="2">
        <f ca="1">IF(Flag_Send_Data=1,_xll.DBSW(Val!M315,Val!$C$1,Val!$C$2,Val!$C$3,Val!$C$4,Val!$D315,Val!$C$5,Val!$C$6,Val!$B315,Val!$E315,Val!M$10,Val!$C$7,Val!$C315),"")</f>
        <v>-8562.75</v>
      </c>
      <c r="N315" s="2">
        <f ca="1">IF(Flag_Send_Data=1,_xll.DBSW(Val!N315,Val!$C$1,Val!$C$2,Val!$C$3,Val!$C$4,Val!$D315,Val!$C$5,Val!$C$6,Val!$B315,Val!$E315,Val!N$10,Val!$C$7,Val!$C315),"")</f>
        <v>-8562.75</v>
      </c>
      <c r="O315" s="2">
        <f ca="1">IF(Flag_Send_Data=1,_xll.DBSW(Val!O315,Val!$C$1,Val!$C$2,Val!$C$3,Val!$C$4,Val!$D315,Val!$C$5,Val!$C$6,Val!$B315,Val!$E315,Val!O$10,Val!$C$7,Val!$C315),"")</f>
        <v>-8562.75</v>
      </c>
      <c r="P315" s="2">
        <f ca="1">IF(Flag_Send_Data=1,_xll.DBSW(Val!P315,Val!$C$1,Val!$C$2,Val!$C$3,Val!$C$4,Val!$D315,Val!$C$5,Val!$C$6,Val!$B315,Val!$E315,Val!P$10,Val!$C$7,Val!$C315),"")</f>
        <v>-8562.75</v>
      </c>
      <c r="Q315" s="2">
        <f ca="1">IF(Flag_Send_Data=1,_xll.DBSW(Val!Q315,Val!$C$1,Val!$C$2,Val!$C$3,Val!$C$4,Val!$D315,Val!$C$5,Val!$C$6,Val!$B315,Val!$E315,Val!Q$10,Val!$C$7,Val!$C315),"")</f>
        <v>-8562.75</v>
      </c>
    </row>
    <row r="316" spans="2:17" x14ac:dyDescent="0.25">
      <c r="B316" s="3" t="s">
        <v>282</v>
      </c>
      <c r="C316" t="s">
        <v>46</v>
      </c>
      <c r="D316" t="s">
        <v>199</v>
      </c>
      <c r="E316" t="s">
        <v>17</v>
      </c>
      <c r="F316" s="2">
        <f ca="1">IF(Flag_Send_Data=1,_xll.DBSW(Val!F316,Val!$C$1,Val!$C$2,Val!$C$3,Val!$C$4,Val!$D316,Val!$C$5,Val!$C$6,Val!$B316,Val!$E316,Val!F$10,Val!$C$7,Val!$C316),"")</f>
        <v>-20916.666666666668</v>
      </c>
      <c r="G316" s="2">
        <f ca="1">IF(Flag_Send_Data=1,_xll.DBSW(Val!G316,Val!$C$1,Val!$C$2,Val!$C$3,Val!$C$4,Val!$D316,Val!$C$5,Val!$C$6,Val!$B316,Val!$E316,Val!G$10,Val!$C$7,Val!$C316),"")</f>
        <v>-20916.666666666668</v>
      </c>
      <c r="H316" s="2">
        <f ca="1">IF(Flag_Send_Data=1,_xll.DBSW(Val!H316,Val!$C$1,Val!$C$2,Val!$C$3,Val!$C$4,Val!$D316,Val!$C$5,Val!$C$6,Val!$B316,Val!$E316,Val!H$10,Val!$C$7,Val!$C316),"")</f>
        <v>-20916.666666666668</v>
      </c>
      <c r="I316" s="2">
        <f ca="1">IF(Flag_Send_Data=1,_xll.DBSW(Val!I316,Val!$C$1,Val!$C$2,Val!$C$3,Val!$C$4,Val!$D316,Val!$C$5,Val!$C$6,Val!$B316,Val!$E316,Val!I$10,Val!$C$7,Val!$C316),"")</f>
        <v>-20916.666666666668</v>
      </c>
      <c r="J316" s="2">
        <f ca="1">IF(Flag_Send_Data=1,_xll.DBSW(Val!J316,Val!$C$1,Val!$C$2,Val!$C$3,Val!$C$4,Val!$D316,Val!$C$5,Val!$C$6,Val!$B316,Val!$E316,Val!J$10,Val!$C$7,Val!$C316),"")</f>
        <v>-20916.666666666668</v>
      </c>
      <c r="K316" s="2">
        <f ca="1">IF(Flag_Send_Data=1,_xll.DBSW(Val!K316,Val!$C$1,Val!$C$2,Val!$C$3,Val!$C$4,Val!$D316,Val!$C$5,Val!$C$6,Val!$B316,Val!$E316,Val!K$10,Val!$C$7,Val!$C316),"")</f>
        <v>-20916.666666666668</v>
      </c>
      <c r="L316" s="2">
        <f ca="1">IF(Flag_Send_Data=1,_xll.DBSW(Val!L316,Val!$C$1,Val!$C$2,Val!$C$3,Val!$C$4,Val!$D316,Val!$C$5,Val!$C$6,Val!$B316,Val!$E316,Val!L$10,Val!$C$7,Val!$C316),"")</f>
        <v>-20916.666666666668</v>
      </c>
      <c r="M316" s="2">
        <f ca="1">IF(Flag_Send_Data=1,_xll.DBSW(Val!M316,Val!$C$1,Val!$C$2,Val!$C$3,Val!$C$4,Val!$D316,Val!$C$5,Val!$C$6,Val!$B316,Val!$E316,Val!M$10,Val!$C$7,Val!$C316),"")</f>
        <v>-20916.666666666668</v>
      </c>
      <c r="N316" s="2">
        <f ca="1">IF(Flag_Send_Data=1,_xll.DBSW(Val!N316,Val!$C$1,Val!$C$2,Val!$C$3,Val!$C$4,Val!$D316,Val!$C$5,Val!$C$6,Val!$B316,Val!$E316,Val!N$10,Val!$C$7,Val!$C316),"")</f>
        <v>-20916.666666666668</v>
      </c>
      <c r="O316" s="2">
        <f ca="1">IF(Flag_Send_Data=1,_xll.DBSW(Val!O316,Val!$C$1,Val!$C$2,Val!$C$3,Val!$C$4,Val!$D316,Val!$C$5,Val!$C$6,Val!$B316,Val!$E316,Val!O$10,Val!$C$7,Val!$C316),"")</f>
        <v>-20916.666666666668</v>
      </c>
      <c r="P316" s="2">
        <f ca="1">IF(Flag_Send_Data=1,_xll.DBSW(Val!P316,Val!$C$1,Val!$C$2,Val!$C$3,Val!$C$4,Val!$D316,Val!$C$5,Val!$C$6,Val!$B316,Val!$E316,Val!P$10,Val!$C$7,Val!$C316),"")</f>
        <v>-20916.666666666668</v>
      </c>
      <c r="Q316" s="2">
        <f ca="1">IF(Flag_Send_Data=1,_xll.DBSW(Val!Q316,Val!$C$1,Val!$C$2,Val!$C$3,Val!$C$4,Val!$D316,Val!$C$5,Val!$C$6,Val!$B316,Val!$E316,Val!Q$10,Val!$C$7,Val!$C316),"")</f>
        <v>-20916.666666666668</v>
      </c>
    </row>
    <row r="317" spans="2:17" x14ac:dyDescent="0.25">
      <c r="B317" s="3" t="s">
        <v>282</v>
      </c>
      <c r="C317" t="s">
        <v>47</v>
      </c>
      <c r="D317" t="s">
        <v>138</v>
      </c>
      <c r="E317" t="s">
        <v>128</v>
      </c>
      <c r="F317" s="2">
        <f ca="1">IF(Flag_Send_Data=1,_xll.DBSW(Val!F317,Val!$C$1,Val!$C$2,Val!$C$3,Val!$C$4,Val!$D317,Val!$C$5,Val!$C$6,Val!$B317,Val!$E317,Val!F$10,Val!$C$7,Val!$C317),"")</f>
        <v>-17083.333333333332</v>
      </c>
      <c r="G317" s="2">
        <f ca="1">IF(Flag_Send_Data=1,_xll.DBSW(Val!G317,Val!$C$1,Val!$C$2,Val!$C$3,Val!$C$4,Val!$D317,Val!$C$5,Val!$C$6,Val!$B317,Val!$E317,Val!G$10,Val!$C$7,Val!$C317),"")</f>
        <v>-17083.333333333332</v>
      </c>
      <c r="H317" s="2">
        <f ca="1">IF(Flag_Send_Data=1,_xll.DBSW(Val!H317,Val!$C$1,Val!$C$2,Val!$C$3,Val!$C$4,Val!$D317,Val!$C$5,Val!$C$6,Val!$B317,Val!$E317,Val!H$10,Val!$C$7,Val!$C317),"")</f>
        <v>-17083.333333333332</v>
      </c>
      <c r="I317" s="2">
        <f ca="1">IF(Flag_Send_Data=1,_xll.DBSW(Val!I317,Val!$C$1,Val!$C$2,Val!$C$3,Val!$C$4,Val!$D317,Val!$C$5,Val!$C$6,Val!$B317,Val!$E317,Val!I$10,Val!$C$7,Val!$C317),"")</f>
        <v>-17083.333333333332</v>
      </c>
      <c r="J317" s="2">
        <f ca="1">IF(Flag_Send_Data=1,_xll.DBSW(Val!J317,Val!$C$1,Val!$C$2,Val!$C$3,Val!$C$4,Val!$D317,Val!$C$5,Val!$C$6,Val!$B317,Val!$E317,Val!J$10,Val!$C$7,Val!$C317),"")</f>
        <v>-17083.333333333332</v>
      </c>
      <c r="K317" s="2">
        <f ca="1">IF(Flag_Send_Data=1,_xll.DBSW(Val!K317,Val!$C$1,Val!$C$2,Val!$C$3,Val!$C$4,Val!$D317,Val!$C$5,Val!$C$6,Val!$B317,Val!$E317,Val!K$10,Val!$C$7,Val!$C317),"")</f>
        <v>-17083.333333333332</v>
      </c>
      <c r="L317" s="2">
        <f ca="1">IF(Flag_Send_Data=1,_xll.DBSW(Val!L317,Val!$C$1,Val!$C$2,Val!$C$3,Val!$C$4,Val!$D317,Val!$C$5,Val!$C$6,Val!$B317,Val!$E317,Val!L$10,Val!$C$7,Val!$C317),"")</f>
        <v>-17083.333333333332</v>
      </c>
      <c r="M317" s="2">
        <f ca="1">IF(Flag_Send_Data=1,_xll.DBSW(Val!M317,Val!$C$1,Val!$C$2,Val!$C$3,Val!$C$4,Val!$D317,Val!$C$5,Val!$C$6,Val!$B317,Val!$E317,Val!M$10,Val!$C$7,Val!$C317),"")</f>
        <v>-17083.333333333332</v>
      </c>
      <c r="N317" s="2">
        <f ca="1">IF(Flag_Send_Data=1,_xll.DBSW(Val!N317,Val!$C$1,Val!$C$2,Val!$C$3,Val!$C$4,Val!$D317,Val!$C$5,Val!$C$6,Val!$B317,Val!$E317,Val!N$10,Val!$C$7,Val!$C317),"")</f>
        <v>-17083.333333333332</v>
      </c>
      <c r="O317" s="2">
        <f ca="1">IF(Flag_Send_Data=1,_xll.DBSW(Val!O317,Val!$C$1,Val!$C$2,Val!$C$3,Val!$C$4,Val!$D317,Val!$C$5,Val!$C$6,Val!$B317,Val!$E317,Val!O$10,Val!$C$7,Val!$C317),"")</f>
        <v>-17083.333333333332</v>
      </c>
      <c r="P317" s="2">
        <f ca="1">IF(Flag_Send_Data=1,_xll.DBSW(Val!P317,Val!$C$1,Val!$C$2,Val!$C$3,Val!$C$4,Val!$D317,Val!$C$5,Val!$C$6,Val!$B317,Val!$E317,Val!P$10,Val!$C$7,Val!$C317),"")</f>
        <v>-17083.333333333332</v>
      </c>
      <c r="Q317" s="2">
        <f ca="1">IF(Flag_Send_Data=1,_xll.DBSW(Val!Q317,Val!$C$1,Val!$C$2,Val!$C$3,Val!$C$4,Val!$D317,Val!$C$5,Val!$C$6,Val!$B317,Val!$E317,Val!Q$10,Val!$C$7,Val!$C317),"")</f>
        <v>-17083.333333333332</v>
      </c>
    </row>
    <row r="318" spans="2:17" x14ac:dyDescent="0.25">
      <c r="B318" s="3" t="s">
        <v>282</v>
      </c>
      <c r="C318" t="s">
        <v>72</v>
      </c>
      <c r="D318" t="s">
        <v>138</v>
      </c>
      <c r="E318" t="s">
        <v>128</v>
      </c>
      <c r="F318" s="2">
        <f ca="1">IF(Flag_Send_Data=1,_xll.DBSW(Val!F318,Val!$C$1,Val!$C$2,Val!$C$3,Val!$C$4,Val!$D318,Val!$C$5,Val!$C$6,Val!$B318,Val!$E318,Val!F$10,Val!$C$7,Val!$C318),"")</f>
        <v>-22583.333333333332</v>
      </c>
      <c r="G318" s="2">
        <f ca="1">IF(Flag_Send_Data=1,_xll.DBSW(Val!G318,Val!$C$1,Val!$C$2,Val!$C$3,Val!$C$4,Val!$D318,Val!$C$5,Val!$C$6,Val!$B318,Val!$E318,Val!G$10,Val!$C$7,Val!$C318),"")</f>
        <v>-22583.333333333332</v>
      </c>
      <c r="H318" s="2">
        <f ca="1">IF(Flag_Send_Data=1,_xll.DBSW(Val!H318,Val!$C$1,Val!$C$2,Val!$C$3,Val!$C$4,Val!$D318,Val!$C$5,Val!$C$6,Val!$B318,Val!$E318,Val!H$10,Val!$C$7,Val!$C318),"")</f>
        <v>-22583.333333333332</v>
      </c>
      <c r="I318" s="2">
        <f ca="1">IF(Flag_Send_Data=1,_xll.DBSW(Val!I318,Val!$C$1,Val!$C$2,Val!$C$3,Val!$C$4,Val!$D318,Val!$C$5,Val!$C$6,Val!$B318,Val!$E318,Val!I$10,Val!$C$7,Val!$C318),"")</f>
        <v>-22583.333333333332</v>
      </c>
      <c r="J318" s="2">
        <f ca="1">IF(Flag_Send_Data=1,_xll.DBSW(Val!J318,Val!$C$1,Val!$C$2,Val!$C$3,Val!$C$4,Val!$D318,Val!$C$5,Val!$C$6,Val!$B318,Val!$E318,Val!J$10,Val!$C$7,Val!$C318),"")</f>
        <v>-22583.333333333332</v>
      </c>
      <c r="K318" s="2">
        <f ca="1">IF(Flag_Send_Data=1,_xll.DBSW(Val!K318,Val!$C$1,Val!$C$2,Val!$C$3,Val!$C$4,Val!$D318,Val!$C$5,Val!$C$6,Val!$B318,Val!$E318,Val!K$10,Val!$C$7,Val!$C318),"")</f>
        <v>-22583.333333333332</v>
      </c>
      <c r="L318" s="2">
        <f ca="1">IF(Flag_Send_Data=1,_xll.DBSW(Val!L318,Val!$C$1,Val!$C$2,Val!$C$3,Val!$C$4,Val!$D318,Val!$C$5,Val!$C$6,Val!$B318,Val!$E318,Val!L$10,Val!$C$7,Val!$C318),"")</f>
        <v>-22583.333333333332</v>
      </c>
      <c r="M318" s="2">
        <f ca="1">IF(Flag_Send_Data=1,_xll.DBSW(Val!M318,Val!$C$1,Val!$C$2,Val!$C$3,Val!$C$4,Val!$D318,Val!$C$5,Val!$C$6,Val!$B318,Val!$E318,Val!M$10,Val!$C$7,Val!$C318),"")</f>
        <v>-22583.333333333332</v>
      </c>
      <c r="N318" s="2">
        <f ca="1">IF(Flag_Send_Data=1,_xll.DBSW(Val!N318,Val!$C$1,Val!$C$2,Val!$C$3,Val!$C$4,Val!$D318,Val!$C$5,Val!$C$6,Val!$B318,Val!$E318,Val!N$10,Val!$C$7,Val!$C318),"")</f>
        <v>-22583.333333333332</v>
      </c>
      <c r="O318" s="2">
        <f ca="1">IF(Flag_Send_Data=1,_xll.DBSW(Val!O318,Val!$C$1,Val!$C$2,Val!$C$3,Val!$C$4,Val!$D318,Val!$C$5,Val!$C$6,Val!$B318,Val!$E318,Val!O$10,Val!$C$7,Val!$C318),"")</f>
        <v>-22583.333333333332</v>
      </c>
      <c r="P318" s="2">
        <f ca="1">IF(Flag_Send_Data=1,_xll.DBSW(Val!P318,Val!$C$1,Val!$C$2,Val!$C$3,Val!$C$4,Val!$D318,Val!$C$5,Val!$C$6,Val!$B318,Val!$E318,Val!P$10,Val!$C$7,Val!$C318),"")</f>
        <v>-22583.333333333332</v>
      </c>
      <c r="Q318" s="2">
        <f ca="1">IF(Flag_Send_Data=1,_xll.DBSW(Val!Q318,Val!$C$1,Val!$C$2,Val!$C$3,Val!$C$4,Val!$D318,Val!$C$5,Val!$C$6,Val!$B318,Val!$E318,Val!Q$10,Val!$C$7,Val!$C318),"")</f>
        <v>-22583.333333333332</v>
      </c>
    </row>
    <row r="319" spans="2:17" x14ac:dyDescent="0.25">
      <c r="B319" s="3" t="s">
        <v>282</v>
      </c>
      <c r="C319" t="s">
        <v>48</v>
      </c>
      <c r="D319" t="s">
        <v>199</v>
      </c>
      <c r="E319" t="s">
        <v>128</v>
      </c>
      <c r="F319" s="2">
        <f ca="1">IF(Flag_Send_Data=1,_xll.DBSW(Val!F319,Val!$C$1,Val!$C$2,Val!$C$3,Val!$C$4,Val!$D319,Val!$C$5,Val!$C$6,Val!$B319,Val!$E319,Val!F$10,Val!$C$7,Val!$C319),"")</f>
        <v>-41.666666666666664</v>
      </c>
      <c r="G319" s="2">
        <f ca="1">IF(Flag_Send_Data=1,_xll.DBSW(Val!G319,Val!$C$1,Val!$C$2,Val!$C$3,Val!$C$4,Val!$D319,Val!$C$5,Val!$C$6,Val!$B319,Val!$E319,Val!G$10,Val!$C$7,Val!$C319),"")</f>
        <v>-41.666666666666664</v>
      </c>
      <c r="H319" s="2">
        <f ca="1">IF(Flag_Send_Data=1,_xll.DBSW(Val!H319,Val!$C$1,Val!$C$2,Val!$C$3,Val!$C$4,Val!$D319,Val!$C$5,Val!$C$6,Val!$B319,Val!$E319,Val!H$10,Val!$C$7,Val!$C319),"")</f>
        <v>-41.666666666666664</v>
      </c>
      <c r="I319" s="2">
        <f ca="1">IF(Flag_Send_Data=1,_xll.DBSW(Val!I319,Val!$C$1,Val!$C$2,Val!$C$3,Val!$C$4,Val!$D319,Val!$C$5,Val!$C$6,Val!$B319,Val!$E319,Val!I$10,Val!$C$7,Val!$C319),"")</f>
        <v>-41.666666666666664</v>
      </c>
      <c r="J319" s="2">
        <f ca="1">IF(Flag_Send_Data=1,_xll.DBSW(Val!J319,Val!$C$1,Val!$C$2,Val!$C$3,Val!$C$4,Val!$D319,Val!$C$5,Val!$C$6,Val!$B319,Val!$E319,Val!J$10,Val!$C$7,Val!$C319),"")</f>
        <v>-41.666666666666664</v>
      </c>
      <c r="K319" s="2">
        <f ca="1">IF(Flag_Send_Data=1,_xll.DBSW(Val!K319,Val!$C$1,Val!$C$2,Val!$C$3,Val!$C$4,Val!$D319,Val!$C$5,Val!$C$6,Val!$B319,Val!$E319,Val!K$10,Val!$C$7,Val!$C319),"")</f>
        <v>-41.666666666666664</v>
      </c>
      <c r="L319" s="2">
        <f ca="1">IF(Flag_Send_Data=1,_xll.DBSW(Val!L319,Val!$C$1,Val!$C$2,Val!$C$3,Val!$C$4,Val!$D319,Val!$C$5,Val!$C$6,Val!$B319,Val!$E319,Val!L$10,Val!$C$7,Val!$C319),"")</f>
        <v>-41.666666666666664</v>
      </c>
      <c r="M319" s="2">
        <f ca="1">IF(Flag_Send_Data=1,_xll.DBSW(Val!M319,Val!$C$1,Val!$C$2,Val!$C$3,Val!$C$4,Val!$D319,Val!$C$5,Val!$C$6,Val!$B319,Val!$E319,Val!M$10,Val!$C$7,Val!$C319),"")</f>
        <v>-41.666666666666664</v>
      </c>
      <c r="N319" s="2">
        <f ca="1">IF(Flag_Send_Data=1,_xll.DBSW(Val!N319,Val!$C$1,Val!$C$2,Val!$C$3,Val!$C$4,Val!$D319,Val!$C$5,Val!$C$6,Val!$B319,Val!$E319,Val!N$10,Val!$C$7,Val!$C319),"")</f>
        <v>-41.666666666666664</v>
      </c>
      <c r="O319" s="2">
        <f ca="1">IF(Flag_Send_Data=1,_xll.DBSW(Val!O319,Val!$C$1,Val!$C$2,Val!$C$3,Val!$C$4,Val!$D319,Val!$C$5,Val!$C$6,Val!$B319,Val!$E319,Val!O$10,Val!$C$7,Val!$C319),"")</f>
        <v>-41.666666666666664</v>
      </c>
      <c r="P319" s="2">
        <f ca="1">IF(Flag_Send_Data=1,_xll.DBSW(Val!P319,Val!$C$1,Val!$C$2,Val!$C$3,Val!$C$4,Val!$D319,Val!$C$5,Val!$C$6,Val!$B319,Val!$E319,Val!P$10,Val!$C$7,Val!$C319),"")</f>
        <v>-41.666666666666664</v>
      </c>
      <c r="Q319" s="2">
        <f ca="1">IF(Flag_Send_Data=1,_xll.DBSW(Val!Q319,Val!$C$1,Val!$C$2,Val!$C$3,Val!$C$4,Val!$D319,Val!$C$5,Val!$C$6,Val!$B319,Val!$E319,Val!Q$10,Val!$C$7,Val!$C319),"")</f>
        <v>-41.666666666666664</v>
      </c>
    </row>
    <row r="320" spans="2:17" x14ac:dyDescent="0.25">
      <c r="B320" s="3" t="s">
        <v>282</v>
      </c>
      <c r="C320" t="s">
        <v>66</v>
      </c>
      <c r="D320" t="s">
        <v>138</v>
      </c>
      <c r="E320" t="s">
        <v>176</v>
      </c>
      <c r="F320" s="2">
        <f ca="1">IF(Flag_Send_Data=1,_xll.DBSW(Val!F320,Val!$C$1,Val!$C$2,Val!$C$3,Val!$C$4,Val!$D320,Val!$C$5,Val!$C$6,Val!$B320,Val!$E320,Val!F$10,Val!$C$7,Val!$C320),"")</f>
        <v>-52998.327083333315</v>
      </c>
      <c r="G320" s="2">
        <f ca="1">IF(Flag_Send_Data=1,_xll.DBSW(Val!G320,Val!$C$1,Val!$C$2,Val!$C$3,Val!$C$4,Val!$D320,Val!$C$5,Val!$C$6,Val!$B320,Val!$E320,Val!G$10,Val!$C$7,Val!$C320),"")</f>
        <v>-52998.327083333315</v>
      </c>
      <c r="H320" s="2">
        <f ca="1">IF(Flag_Send_Data=1,_xll.DBSW(Val!H320,Val!$C$1,Val!$C$2,Val!$C$3,Val!$C$4,Val!$D320,Val!$C$5,Val!$C$6,Val!$B320,Val!$E320,Val!H$10,Val!$C$7,Val!$C320),"")</f>
        <v>-52998.327083333315</v>
      </c>
      <c r="I320" s="2">
        <f ca="1">IF(Flag_Send_Data=1,_xll.DBSW(Val!I320,Val!$C$1,Val!$C$2,Val!$C$3,Val!$C$4,Val!$D320,Val!$C$5,Val!$C$6,Val!$B320,Val!$E320,Val!I$10,Val!$C$7,Val!$C320),"")</f>
        <v>-52998.327083333315</v>
      </c>
      <c r="J320" s="2">
        <f ca="1">IF(Flag_Send_Data=1,_xll.DBSW(Val!J320,Val!$C$1,Val!$C$2,Val!$C$3,Val!$C$4,Val!$D320,Val!$C$5,Val!$C$6,Val!$B320,Val!$E320,Val!J$10,Val!$C$7,Val!$C320),"")</f>
        <v>-52998.327083333315</v>
      </c>
      <c r="K320" s="2">
        <f ca="1">IF(Flag_Send_Data=1,_xll.DBSW(Val!K320,Val!$C$1,Val!$C$2,Val!$C$3,Val!$C$4,Val!$D320,Val!$C$5,Val!$C$6,Val!$B320,Val!$E320,Val!K$10,Val!$C$7,Val!$C320),"")</f>
        <v>-52998.327083333315</v>
      </c>
      <c r="L320" s="2">
        <f ca="1">IF(Flag_Send_Data=1,_xll.DBSW(Val!L320,Val!$C$1,Val!$C$2,Val!$C$3,Val!$C$4,Val!$D320,Val!$C$5,Val!$C$6,Val!$B320,Val!$E320,Val!L$10,Val!$C$7,Val!$C320),"")</f>
        <v>-52998.327083333315</v>
      </c>
      <c r="M320" s="2">
        <f ca="1">IF(Flag_Send_Data=1,_xll.DBSW(Val!M320,Val!$C$1,Val!$C$2,Val!$C$3,Val!$C$4,Val!$D320,Val!$C$5,Val!$C$6,Val!$B320,Val!$E320,Val!M$10,Val!$C$7,Val!$C320),"")</f>
        <v>-52998.327083333315</v>
      </c>
      <c r="N320" s="2">
        <f ca="1">IF(Flag_Send_Data=1,_xll.DBSW(Val!N320,Val!$C$1,Val!$C$2,Val!$C$3,Val!$C$4,Val!$D320,Val!$C$5,Val!$C$6,Val!$B320,Val!$E320,Val!N$10,Val!$C$7,Val!$C320),"")</f>
        <v>-52998.327083333315</v>
      </c>
      <c r="O320" s="2">
        <f ca="1">IF(Flag_Send_Data=1,_xll.DBSW(Val!O320,Val!$C$1,Val!$C$2,Val!$C$3,Val!$C$4,Val!$D320,Val!$C$5,Val!$C$6,Val!$B320,Val!$E320,Val!O$10,Val!$C$7,Val!$C320),"")</f>
        <v>-52998.327083333315</v>
      </c>
      <c r="P320" s="2">
        <f ca="1">IF(Flag_Send_Data=1,_xll.DBSW(Val!P320,Val!$C$1,Val!$C$2,Val!$C$3,Val!$C$4,Val!$D320,Val!$C$5,Val!$C$6,Val!$B320,Val!$E320,Val!P$10,Val!$C$7,Val!$C320),"")</f>
        <v>-52998.327083333315</v>
      </c>
      <c r="Q320" s="2">
        <f ca="1">IF(Flag_Send_Data=1,_xll.DBSW(Val!Q320,Val!$C$1,Val!$C$2,Val!$C$3,Val!$C$4,Val!$D320,Val!$C$5,Val!$C$6,Val!$B320,Val!$E320,Val!Q$10,Val!$C$7,Val!$C320),"")</f>
        <v>-52998.327083333315</v>
      </c>
    </row>
    <row r="321" spans="2:17" x14ac:dyDescent="0.25">
      <c r="B321" s="3" t="s">
        <v>282</v>
      </c>
      <c r="C321" t="s">
        <v>82</v>
      </c>
      <c r="D321" t="s">
        <v>138</v>
      </c>
      <c r="E321" t="s">
        <v>128</v>
      </c>
      <c r="F321" s="2">
        <f ca="1">IF(Flag_Send_Data=1,_xll.DBSW(Val!F321,Val!$C$1,Val!$C$2,Val!$C$3,Val!$C$4,Val!$D321,Val!$C$5,Val!$C$6,Val!$B321,Val!$E321,Val!F$10,Val!$C$7,Val!$C321),"")</f>
        <v>-25000</v>
      </c>
      <c r="G321" s="2">
        <f ca="1">IF(Flag_Send_Data=1,_xll.DBSW(Val!G321,Val!$C$1,Val!$C$2,Val!$C$3,Val!$C$4,Val!$D321,Val!$C$5,Val!$C$6,Val!$B321,Val!$E321,Val!G$10,Val!$C$7,Val!$C321),"")</f>
        <v>-25000</v>
      </c>
      <c r="H321" s="2">
        <f ca="1">IF(Flag_Send_Data=1,_xll.DBSW(Val!H321,Val!$C$1,Val!$C$2,Val!$C$3,Val!$C$4,Val!$D321,Val!$C$5,Val!$C$6,Val!$B321,Val!$E321,Val!H$10,Val!$C$7,Val!$C321),"")</f>
        <v>-25000</v>
      </c>
      <c r="I321" s="2">
        <f ca="1">IF(Flag_Send_Data=1,_xll.DBSW(Val!I321,Val!$C$1,Val!$C$2,Val!$C$3,Val!$C$4,Val!$D321,Val!$C$5,Val!$C$6,Val!$B321,Val!$E321,Val!I$10,Val!$C$7,Val!$C321),"")</f>
        <v>-25000</v>
      </c>
      <c r="J321" s="2">
        <f ca="1">IF(Flag_Send_Data=1,_xll.DBSW(Val!J321,Val!$C$1,Val!$C$2,Val!$C$3,Val!$C$4,Val!$D321,Val!$C$5,Val!$C$6,Val!$B321,Val!$E321,Val!J$10,Val!$C$7,Val!$C321),"")</f>
        <v>-25000</v>
      </c>
      <c r="K321" s="2">
        <f ca="1">IF(Flag_Send_Data=1,_xll.DBSW(Val!K321,Val!$C$1,Val!$C$2,Val!$C$3,Val!$C$4,Val!$D321,Val!$C$5,Val!$C$6,Val!$B321,Val!$E321,Val!K$10,Val!$C$7,Val!$C321),"")</f>
        <v>-25000</v>
      </c>
      <c r="L321" s="2">
        <f ca="1">IF(Flag_Send_Data=1,_xll.DBSW(Val!L321,Val!$C$1,Val!$C$2,Val!$C$3,Val!$C$4,Val!$D321,Val!$C$5,Val!$C$6,Val!$B321,Val!$E321,Val!L$10,Val!$C$7,Val!$C321),"")</f>
        <v>-25000</v>
      </c>
      <c r="M321" s="2">
        <f ca="1">IF(Flag_Send_Data=1,_xll.DBSW(Val!M321,Val!$C$1,Val!$C$2,Val!$C$3,Val!$C$4,Val!$D321,Val!$C$5,Val!$C$6,Val!$B321,Val!$E321,Val!M$10,Val!$C$7,Val!$C321),"")</f>
        <v>-25000</v>
      </c>
      <c r="N321" s="2">
        <f ca="1">IF(Flag_Send_Data=1,_xll.DBSW(Val!N321,Val!$C$1,Val!$C$2,Val!$C$3,Val!$C$4,Val!$D321,Val!$C$5,Val!$C$6,Val!$B321,Val!$E321,Val!N$10,Val!$C$7,Val!$C321),"")</f>
        <v>-25000</v>
      </c>
      <c r="O321" s="2">
        <f ca="1">IF(Flag_Send_Data=1,_xll.DBSW(Val!O321,Val!$C$1,Val!$C$2,Val!$C$3,Val!$C$4,Val!$D321,Val!$C$5,Val!$C$6,Val!$B321,Val!$E321,Val!O$10,Val!$C$7,Val!$C321),"")</f>
        <v>-25000</v>
      </c>
      <c r="P321" s="2">
        <f ca="1">IF(Flag_Send_Data=1,_xll.DBSW(Val!P321,Val!$C$1,Val!$C$2,Val!$C$3,Val!$C$4,Val!$D321,Val!$C$5,Val!$C$6,Val!$B321,Val!$E321,Val!P$10,Val!$C$7,Val!$C321),"")</f>
        <v>-25000</v>
      </c>
      <c r="Q321" s="2">
        <f ca="1">IF(Flag_Send_Data=1,_xll.DBSW(Val!Q321,Val!$C$1,Val!$C$2,Val!$C$3,Val!$C$4,Val!$D321,Val!$C$5,Val!$C$6,Val!$B321,Val!$E321,Val!Q$10,Val!$C$7,Val!$C321),"")</f>
        <v>-25000</v>
      </c>
    </row>
    <row r="322" spans="2:17" x14ac:dyDescent="0.25">
      <c r="B322" s="3" t="s">
        <v>282</v>
      </c>
      <c r="C322" t="s">
        <v>73</v>
      </c>
      <c r="D322" t="s">
        <v>138</v>
      </c>
      <c r="E322" t="s">
        <v>128</v>
      </c>
      <c r="F322" s="2">
        <f ca="1">IF(Flag_Send_Data=1,_xll.DBSW(Val!F322,Val!$C$1,Val!$C$2,Val!$C$3,Val!$C$4,Val!$D322,Val!$C$5,Val!$C$6,Val!$B322,Val!$E322,Val!F$10,Val!$C$7,Val!$C322),"")</f>
        <v>-113772.33333333333</v>
      </c>
      <c r="G322" s="2">
        <f ca="1">IF(Flag_Send_Data=1,_xll.DBSW(Val!G322,Val!$C$1,Val!$C$2,Val!$C$3,Val!$C$4,Val!$D322,Val!$C$5,Val!$C$6,Val!$B322,Val!$E322,Val!G$10,Val!$C$7,Val!$C322),"")</f>
        <v>-113772.33333333333</v>
      </c>
      <c r="H322" s="2">
        <f ca="1">IF(Flag_Send_Data=1,_xll.DBSW(Val!H322,Val!$C$1,Val!$C$2,Val!$C$3,Val!$C$4,Val!$D322,Val!$C$5,Val!$C$6,Val!$B322,Val!$E322,Val!H$10,Val!$C$7,Val!$C322),"")</f>
        <v>-113772.33333333333</v>
      </c>
      <c r="I322" s="2">
        <f ca="1">IF(Flag_Send_Data=1,_xll.DBSW(Val!I322,Val!$C$1,Val!$C$2,Val!$C$3,Val!$C$4,Val!$D322,Val!$C$5,Val!$C$6,Val!$B322,Val!$E322,Val!I$10,Val!$C$7,Val!$C322),"")</f>
        <v>-113772.33333333333</v>
      </c>
      <c r="J322" s="2">
        <f ca="1">IF(Flag_Send_Data=1,_xll.DBSW(Val!J322,Val!$C$1,Val!$C$2,Val!$C$3,Val!$C$4,Val!$D322,Val!$C$5,Val!$C$6,Val!$B322,Val!$E322,Val!J$10,Val!$C$7,Val!$C322),"")</f>
        <v>-113772.33333333333</v>
      </c>
      <c r="K322" s="2">
        <f ca="1">IF(Flag_Send_Data=1,_xll.DBSW(Val!K322,Val!$C$1,Val!$C$2,Val!$C$3,Val!$C$4,Val!$D322,Val!$C$5,Val!$C$6,Val!$B322,Val!$E322,Val!K$10,Val!$C$7,Val!$C322),"")</f>
        <v>-113772.33333333333</v>
      </c>
      <c r="L322" s="2">
        <f ca="1">IF(Flag_Send_Data=1,_xll.DBSW(Val!L322,Val!$C$1,Val!$C$2,Val!$C$3,Val!$C$4,Val!$D322,Val!$C$5,Val!$C$6,Val!$B322,Val!$E322,Val!L$10,Val!$C$7,Val!$C322),"")</f>
        <v>-113772.33333333333</v>
      </c>
      <c r="M322" s="2">
        <f ca="1">IF(Flag_Send_Data=1,_xll.DBSW(Val!M322,Val!$C$1,Val!$C$2,Val!$C$3,Val!$C$4,Val!$D322,Val!$C$5,Val!$C$6,Val!$B322,Val!$E322,Val!M$10,Val!$C$7,Val!$C322),"")</f>
        <v>-113772.33333333333</v>
      </c>
      <c r="N322" s="2">
        <f ca="1">IF(Flag_Send_Data=1,_xll.DBSW(Val!N322,Val!$C$1,Val!$C$2,Val!$C$3,Val!$C$4,Val!$D322,Val!$C$5,Val!$C$6,Val!$B322,Val!$E322,Val!N$10,Val!$C$7,Val!$C322),"")</f>
        <v>-113772.33333333333</v>
      </c>
      <c r="O322" s="2">
        <f ca="1">IF(Flag_Send_Data=1,_xll.DBSW(Val!O322,Val!$C$1,Val!$C$2,Val!$C$3,Val!$C$4,Val!$D322,Val!$C$5,Val!$C$6,Val!$B322,Val!$E322,Val!O$10,Val!$C$7,Val!$C322),"")</f>
        <v>-113772.33333333333</v>
      </c>
      <c r="P322" s="2">
        <f ca="1">IF(Flag_Send_Data=1,_xll.DBSW(Val!P322,Val!$C$1,Val!$C$2,Val!$C$3,Val!$C$4,Val!$D322,Val!$C$5,Val!$C$6,Val!$B322,Val!$E322,Val!P$10,Val!$C$7,Val!$C322),"")</f>
        <v>-113772.33333333333</v>
      </c>
      <c r="Q322" s="2">
        <f ca="1">IF(Flag_Send_Data=1,_xll.DBSW(Val!Q322,Val!$C$1,Val!$C$2,Val!$C$3,Val!$C$4,Val!$D322,Val!$C$5,Val!$C$6,Val!$B322,Val!$E322,Val!Q$10,Val!$C$7,Val!$C322),"")</f>
        <v>-113772.33333333333</v>
      </c>
    </row>
    <row r="323" spans="2:17" x14ac:dyDescent="0.25">
      <c r="B323" s="3" t="s">
        <v>282</v>
      </c>
      <c r="C323" t="s">
        <v>49</v>
      </c>
      <c r="D323" t="s">
        <v>138</v>
      </c>
      <c r="E323" t="s">
        <v>128</v>
      </c>
      <c r="F323" s="2">
        <f ca="1">IF(Flag_Send_Data=1,_xll.DBSW(Val!F323,Val!$C$1,Val!$C$2,Val!$C$3,Val!$C$4,Val!$D323,Val!$C$5,Val!$C$6,Val!$B323,Val!$E323,Val!F$10,Val!$C$7,Val!$C323),"")</f>
        <v>-6475</v>
      </c>
      <c r="G323" s="2">
        <f ca="1">IF(Flag_Send_Data=1,_xll.DBSW(Val!G323,Val!$C$1,Val!$C$2,Val!$C$3,Val!$C$4,Val!$D323,Val!$C$5,Val!$C$6,Val!$B323,Val!$E323,Val!G$10,Val!$C$7,Val!$C323),"")</f>
        <v>-6475</v>
      </c>
      <c r="H323" s="2">
        <f ca="1">IF(Flag_Send_Data=1,_xll.DBSW(Val!H323,Val!$C$1,Val!$C$2,Val!$C$3,Val!$C$4,Val!$D323,Val!$C$5,Val!$C$6,Val!$B323,Val!$E323,Val!H$10,Val!$C$7,Val!$C323),"")</f>
        <v>-6475</v>
      </c>
      <c r="I323" s="2">
        <f ca="1">IF(Flag_Send_Data=1,_xll.DBSW(Val!I323,Val!$C$1,Val!$C$2,Val!$C$3,Val!$C$4,Val!$D323,Val!$C$5,Val!$C$6,Val!$B323,Val!$E323,Val!I$10,Val!$C$7,Val!$C323),"")</f>
        <v>-6475</v>
      </c>
      <c r="J323" s="2">
        <f ca="1">IF(Flag_Send_Data=1,_xll.DBSW(Val!J323,Val!$C$1,Val!$C$2,Val!$C$3,Val!$C$4,Val!$D323,Val!$C$5,Val!$C$6,Val!$B323,Val!$E323,Val!J$10,Val!$C$7,Val!$C323),"")</f>
        <v>-6475</v>
      </c>
      <c r="K323" s="2">
        <f ca="1">IF(Flag_Send_Data=1,_xll.DBSW(Val!K323,Val!$C$1,Val!$C$2,Val!$C$3,Val!$C$4,Val!$D323,Val!$C$5,Val!$C$6,Val!$B323,Val!$E323,Val!K$10,Val!$C$7,Val!$C323),"")</f>
        <v>-6475</v>
      </c>
      <c r="L323" s="2">
        <f ca="1">IF(Flag_Send_Data=1,_xll.DBSW(Val!L323,Val!$C$1,Val!$C$2,Val!$C$3,Val!$C$4,Val!$D323,Val!$C$5,Val!$C$6,Val!$B323,Val!$E323,Val!L$10,Val!$C$7,Val!$C323),"")</f>
        <v>-6475</v>
      </c>
      <c r="M323" s="2">
        <f ca="1">IF(Flag_Send_Data=1,_xll.DBSW(Val!M323,Val!$C$1,Val!$C$2,Val!$C$3,Val!$C$4,Val!$D323,Val!$C$5,Val!$C$6,Val!$B323,Val!$E323,Val!M$10,Val!$C$7,Val!$C323),"")</f>
        <v>-6475</v>
      </c>
      <c r="N323" s="2">
        <f ca="1">IF(Flag_Send_Data=1,_xll.DBSW(Val!N323,Val!$C$1,Val!$C$2,Val!$C$3,Val!$C$4,Val!$D323,Val!$C$5,Val!$C$6,Val!$B323,Val!$E323,Val!N$10,Val!$C$7,Val!$C323),"")</f>
        <v>-6475</v>
      </c>
      <c r="O323" s="2">
        <f ca="1">IF(Flag_Send_Data=1,_xll.DBSW(Val!O323,Val!$C$1,Val!$C$2,Val!$C$3,Val!$C$4,Val!$D323,Val!$C$5,Val!$C$6,Val!$B323,Val!$E323,Val!O$10,Val!$C$7,Val!$C323),"")</f>
        <v>-6475</v>
      </c>
      <c r="P323" s="2">
        <f ca="1">IF(Flag_Send_Data=1,_xll.DBSW(Val!P323,Val!$C$1,Val!$C$2,Val!$C$3,Val!$C$4,Val!$D323,Val!$C$5,Val!$C$6,Val!$B323,Val!$E323,Val!P$10,Val!$C$7,Val!$C323),"")</f>
        <v>-6475</v>
      </c>
      <c r="Q323" s="2">
        <f ca="1">IF(Flag_Send_Data=1,_xll.DBSW(Val!Q323,Val!$C$1,Val!$C$2,Val!$C$3,Val!$C$4,Val!$D323,Val!$C$5,Val!$C$6,Val!$B323,Val!$E323,Val!Q$10,Val!$C$7,Val!$C323),"")</f>
        <v>-6475</v>
      </c>
    </row>
    <row r="324" spans="2:17" x14ac:dyDescent="0.25">
      <c r="B324" s="3" t="s">
        <v>282</v>
      </c>
      <c r="C324" t="s">
        <v>50</v>
      </c>
      <c r="D324" t="s">
        <v>138</v>
      </c>
      <c r="E324" t="s">
        <v>128</v>
      </c>
      <c r="F324" s="2">
        <f ca="1">IF(Flag_Send_Data=1,_xll.DBSW(Val!F324,Val!$C$1,Val!$C$2,Val!$C$3,Val!$C$4,Val!$D324,Val!$C$5,Val!$C$6,Val!$B324,Val!$E324,Val!F$10,Val!$C$7,Val!$C324),"")</f>
        <v>-9016.6666666666661</v>
      </c>
      <c r="G324" s="2">
        <f ca="1">IF(Flag_Send_Data=1,_xll.DBSW(Val!G324,Val!$C$1,Val!$C$2,Val!$C$3,Val!$C$4,Val!$D324,Val!$C$5,Val!$C$6,Val!$B324,Val!$E324,Val!G$10,Val!$C$7,Val!$C324),"")</f>
        <v>-9016.6666666666661</v>
      </c>
      <c r="H324" s="2">
        <f ca="1">IF(Flag_Send_Data=1,_xll.DBSW(Val!H324,Val!$C$1,Val!$C$2,Val!$C$3,Val!$C$4,Val!$D324,Val!$C$5,Val!$C$6,Val!$B324,Val!$E324,Val!H$10,Val!$C$7,Val!$C324),"")</f>
        <v>-9016.6666666666661</v>
      </c>
      <c r="I324" s="2">
        <f ca="1">IF(Flag_Send_Data=1,_xll.DBSW(Val!I324,Val!$C$1,Val!$C$2,Val!$C$3,Val!$C$4,Val!$D324,Val!$C$5,Val!$C$6,Val!$B324,Val!$E324,Val!I$10,Val!$C$7,Val!$C324),"")</f>
        <v>-9016.6666666666661</v>
      </c>
      <c r="J324" s="2">
        <f ca="1">IF(Flag_Send_Data=1,_xll.DBSW(Val!J324,Val!$C$1,Val!$C$2,Val!$C$3,Val!$C$4,Val!$D324,Val!$C$5,Val!$C$6,Val!$B324,Val!$E324,Val!J$10,Val!$C$7,Val!$C324),"")</f>
        <v>-9016.6666666666661</v>
      </c>
      <c r="K324" s="2">
        <f ca="1">IF(Flag_Send_Data=1,_xll.DBSW(Val!K324,Val!$C$1,Val!$C$2,Val!$C$3,Val!$C$4,Val!$D324,Val!$C$5,Val!$C$6,Val!$B324,Val!$E324,Val!K$10,Val!$C$7,Val!$C324),"")</f>
        <v>-9016.6666666666661</v>
      </c>
      <c r="L324" s="2">
        <f ca="1">IF(Flag_Send_Data=1,_xll.DBSW(Val!L324,Val!$C$1,Val!$C$2,Val!$C$3,Val!$C$4,Val!$D324,Val!$C$5,Val!$C$6,Val!$B324,Val!$E324,Val!L$10,Val!$C$7,Val!$C324),"")</f>
        <v>-9016.6666666666661</v>
      </c>
      <c r="M324" s="2">
        <f ca="1">IF(Flag_Send_Data=1,_xll.DBSW(Val!M324,Val!$C$1,Val!$C$2,Val!$C$3,Val!$C$4,Val!$D324,Val!$C$5,Val!$C$6,Val!$B324,Val!$E324,Val!M$10,Val!$C$7,Val!$C324),"")</f>
        <v>-9016.6666666666661</v>
      </c>
      <c r="N324" s="2">
        <f ca="1">IF(Flag_Send_Data=1,_xll.DBSW(Val!N324,Val!$C$1,Val!$C$2,Val!$C$3,Val!$C$4,Val!$D324,Val!$C$5,Val!$C$6,Val!$B324,Val!$E324,Val!N$10,Val!$C$7,Val!$C324),"")</f>
        <v>-9016.6666666666661</v>
      </c>
      <c r="O324" s="2">
        <f ca="1">IF(Flag_Send_Data=1,_xll.DBSW(Val!O324,Val!$C$1,Val!$C$2,Val!$C$3,Val!$C$4,Val!$D324,Val!$C$5,Val!$C$6,Val!$B324,Val!$E324,Val!O$10,Val!$C$7,Val!$C324),"")</f>
        <v>-9016.6666666666661</v>
      </c>
      <c r="P324" s="2">
        <f ca="1">IF(Flag_Send_Data=1,_xll.DBSW(Val!P324,Val!$C$1,Val!$C$2,Val!$C$3,Val!$C$4,Val!$D324,Val!$C$5,Val!$C$6,Val!$B324,Val!$E324,Val!P$10,Val!$C$7,Val!$C324),"")</f>
        <v>-9016.6666666666661</v>
      </c>
      <c r="Q324" s="2">
        <f ca="1">IF(Flag_Send_Data=1,_xll.DBSW(Val!Q324,Val!$C$1,Val!$C$2,Val!$C$3,Val!$C$4,Val!$D324,Val!$C$5,Val!$C$6,Val!$B324,Val!$E324,Val!Q$10,Val!$C$7,Val!$C324),"")</f>
        <v>-9016.6666666666661</v>
      </c>
    </row>
    <row r="325" spans="2:17" x14ac:dyDescent="0.25">
      <c r="B325" s="3" t="s">
        <v>282</v>
      </c>
      <c r="C325" t="s">
        <v>126</v>
      </c>
      <c r="D325" t="s">
        <v>138</v>
      </c>
      <c r="E325" t="s">
        <v>160</v>
      </c>
      <c r="F325" s="2">
        <f ca="1">IF(Flag_Send_Data=1,_xll.DBSW(Val!F325,Val!$C$1,Val!$C$2,Val!$C$3,Val!$C$4,Val!$D325,Val!$C$5,Val!$C$6,Val!$B325,Val!$E325,Val!F$10,Val!$C$7,Val!$C325),"")</f>
        <v>68091.67</v>
      </c>
      <c r="G325" s="2">
        <f ca="1">IF(Flag_Send_Data=1,_xll.DBSW(Val!G325,Val!$C$1,Val!$C$2,Val!$C$3,Val!$C$4,Val!$D325,Val!$C$5,Val!$C$6,Val!$B325,Val!$E325,Val!G$10,Val!$C$7,Val!$C325),"")</f>
        <v>68091.67</v>
      </c>
      <c r="H325" s="2">
        <f ca="1">IF(Flag_Send_Data=1,_xll.DBSW(Val!H325,Val!$C$1,Val!$C$2,Val!$C$3,Val!$C$4,Val!$D325,Val!$C$5,Val!$C$6,Val!$B325,Val!$E325,Val!H$10,Val!$C$7,Val!$C325),"")</f>
        <v>68091.67</v>
      </c>
      <c r="I325" s="2">
        <f ca="1">IF(Flag_Send_Data=1,_xll.DBSW(Val!I325,Val!$C$1,Val!$C$2,Val!$C$3,Val!$C$4,Val!$D325,Val!$C$5,Val!$C$6,Val!$B325,Val!$E325,Val!I$10,Val!$C$7,Val!$C325),"")</f>
        <v>68091.67</v>
      </c>
      <c r="J325" s="2">
        <f ca="1">IF(Flag_Send_Data=1,_xll.DBSW(Val!J325,Val!$C$1,Val!$C$2,Val!$C$3,Val!$C$4,Val!$D325,Val!$C$5,Val!$C$6,Val!$B325,Val!$E325,Val!J$10,Val!$C$7,Val!$C325),"")</f>
        <v>68091.67</v>
      </c>
      <c r="K325" s="2">
        <f ca="1">IF(Flag_Send_Data=1,_xll.DBSW(Val!K325,Val!$C$1,Val!$C$2,Val!$C$3,Val!$C$4,Val!$D325,Val!$C$5,Val!$C$6,Val!$B325,Val!$E325,Val!K$10,Val!$C$7,Val!$C325),"")</f>
        <v>68091.67</v>
      </c>
      <c r="L325" s="2">
        <f ca="1">IF(Flag_Send_Data=1,_xll.DBSW(Val!L325,Val!$C$1,Val!$C$2,Val!$C$3,Val!$C$4,Val!$D325,Val!$C$5,Val!$C$6,Val!$B325,Val!$E325,Val!L$10,Val!$C$7,Val!$C325),"")</f>
        <v>68091.67</v>
      </c>
      <c r="M325" s="2">
        <f ca="1">IF(Flag_Send_Data=1,_xll.DBSW(Val!M325,Val!$C$1,Val!$C$2,Val!$C$3,Val!$C$4,Val!$D325,Val!$C$5,Val!$C$6,Val!$B325,Val!$E325,Val!M$10,Val!$C$7,Val!$C325),"")</f>
        <v>68091.67</v>
      </c>
      <c r="N325" s="2">
        <f ca="1">IF(Flag_Send_Data=1,_xll.DBSW(Val!N325,Val!$C$1,Val!$C$2,Val!$C$3,Val!$C$4,Val!$D325,Val!$C$5,Val!$C$6,Val!$B325,Val!$E325,Val!N$10,Val!$C$7,Val!$C325),"")</f>
        <v>68091.67</v>
      </c>
      <c r="O325" s="2">
        <f ca="1">IF(Flag_Send_Data=1,_xll.DBSW(Val!O325,Val!$C$1,Val!$C$2,Val!$C$3,Val!$C$4,Val!$D325,Val!$C$5,Val!$C$6,Val!$B325,Val!$E325,Val!O$10,Val!$C$7,Val!$C325),"")</f>
        <v>68091.67</v>
      </c>
      <c r="P325" s="2">
        <f ca="1">IF(Flag_Send_Data=1,_xll.DBSW(Val!P325,Val!$C$1,Val!$C$2,Val!$C$3,Val!$C$4,Val!$D325,Val!$C$5,Val!$C$6,Val!$B325,Val!$E325,Val!P$10,Val!$C$7,Val!$C325),"")</f>
        <v>68091.67</v>
      </c>
      <c r="Q325" s="2">
        <f ca="1">IF(Flag_Send_Data=1,_xll.DBSW(Val!Q325,Val!$C$1,Val!$C$2,Val!$C$3,Val!$C$4,Val!$D325,Val!$C$5,Val!$C$6,Val!$B325,Val!$E325,Val!Q$10,Val!$C$7,Val!$C325),"")</f>
        <v>68091.67</v>
      </c>
    </row>
    <row r="326" spans="2:17" x14ac:dyDescent="0.25">
      <c r="B326" s="3" t="s">
        <v>282</v>
      </c>
      <c r="C326" t="s">
        <v>126</v>
      </c>
      <c r="D326" t="s">
        <v>138</v>
      </c>
      <c r="E326" t="s">
        <v>176</v>
      </c>
      <c r="F326" s="2">
        <f ca="1">IF(Flag_Send_Data=1,_xll.DBSW(Val!F326,Val!$C$1,Val!$C$2,Val!$C$3,Val!$C$4,Val!$D326,Val!$C$5,Val!$C$6,Val!$B326,Val!$E326,Val!F$10,Val!$C$7,Val!$C326),"")</f>
        <v>-424949.87333333335</v>
      </c>
      <c r="G326" s="2">
        <f ca="1">IF(Flag_Send_Data=1,_xll.DBSW(Val!G326,Val!$C$1,Val!$C$2,Val!$C$3,Val!$C$4,Val!$D326,Val!$C$5,Val!$C$6,Val!$B326,Val!$E326,Val!G$10,Val!$C$7,Val!$C326),"")</f>
        <v>-424949.87333333335</v>
      </c>
      <c r="H326" s="2">
        <f ca="1">IF(Flag_Send_Data=1,_xll.DBSW(Val!H326,Val!$C$1,Val!$C$2,Val!$C$3,Val!$C$4,Val!$D326,Val!$C$5,Val!$C$6,Val!$B326,Val!$E326,Val!H$10,Val!$C$7,Val!$C326),"")</f>
        <v>-424949.87333333335</v>
      </c>
      <c r="I326" s="2">
        <f ca="1">IF(Flag_Send_Data=1,_xll.DBSW(Val!I326,Val!$C$1,Val!$C$2,Val!$C$3,Val!$C$4,Val!$D326,Val!$C$5,Val!$C$6,Val!$B326,Val!$E326,Val!I$10,Val!$C$7,Val!$C326),"")</f>
        <v>-424949.87333333335</v>
      </c>
      <c r="J326" s="2">
        <f ca="1">IF(Flag_Send_Data=1,_xll.DBSW(Val!J326,Val!$C$1,Val!$C$2,Val!$C$3,Val!$C$4,Val!$D326,Val!$C$5,Val!$C$6,Val!$B326,Val!$E326,Val!J$10,Val!$C$7,Val!$C326),"")</f>
        <v>-424949.87333333335</v>
      </c>
      <c r="K326" s="2">
        <f ca="1">IF(Flag_Send_Data=1,_xll.DBSW(Val!K326,Val!$C$1,Val!$C$2,Val!$C$3,Val!$C$4,Val!$D326,Val!$C$5,Val!$C$6,Val!$B326,Val!$E326,Val!K$10,Val!$C$7,Val!$C326),"")</f>
        <v>-424949.87333333335</v>
      </c>
      <c r="L326" s="2">
        <f ca="1">IF(Flag_Send_Data=1,_xll.DBSW(Val!L326,Val!$C$1,Val!$C$2,Val!$C$3,Val!$C$4,Val!$D326,Val!$C$5,Val!$C$6,Val!$B326,Val!$E326,Val!L$10,Val!$C$7,Val!$C326),"")</f>
        <v>-431324.12143333332</v>
      </c>
      <c r="M326" s="2">
        <f ca="1">IF(Flag_Send_Data=1,_xll.DBSW(Val!M326,Val!$C$1,Val!$C$2,Val!$C$3,Val!$C$4,Val!$D326,Val!$C$5,Val!$C$6,Val!$B326,Val!$E326,Val!M$10,Val!$C$7,Val!$C326),"")</f>
        <v>-431324.12143333332</v>
      </c>
      <c r="N326" s="2">
        <f ca="1">IF(Flag_Send_Data=1,_xll.DBSW(Val!N326,Val!$C$1,Val!$C$2,Val!$C$3,Val!$C$4,Val!$D326,Val!$C$5,Val!$C$6,Val!$B326,Val!$E326,Val!N$10,Val!$C$7,Val!$C326),"")</f>
        <v>-431324.12143333332</v>
      </c>
      <c r="O326" s="2">
        <f ca="1">IF(Flag_Send_Data=1,_xll.DBSW(Val!O326,Val!$C$1,Val!$C$2,Val!$C$3,Val!$C$4,Val!$D326,Val!$C$5,Val!$C$6,Val!$B326,Val!$E326,Val!O$10,Val!$C$7,Val!$C326),"")</f>
        <v>-431324.12143333332</v>
      </c>
      <c r="P326" s="2">
        <f ca="1">IF(Flag_Send_Data=1,_xll.DBSW(Val!P326,Val!$C$1,Val!$C$2,Val!$C$3,Val!$C$4,Val!$D326,Val!$C$5,Val!$C$6,Val!$B326,Val!$E326,Val!P$10,Val!$C$7,Val!$C326),"")</f>
        <v>-431324.12143333332</v>
      </c>
      <c r="Q326" s="2">
        <f ca="1">IF(Flag_Send_Data=1,_xll.DBSW(Val!Q326,Val!$C$1,Val!$C$2,Val!$C$3,Val!$C$4,Val!$D326,Val!$C$5,Val!$C$6,Val!$B326,Val!$E326,Val!Q$10,Val!$C$7,Val!$C326),"")</f>
        <v>-431324.12143333332</v>
      </c>
    </row>
    <row r="327" spans="2:17" x14ac:dyDescent="0.25">
      <c r="B327" s="3" t="s">
        <v>282</v>
      </c>
      <c r="C327" t="s">
        <v>64</v>
      </c>
      <c r="D327" t="s">
        <v>138</v>
      </c>
      <c r="E327" t="s">
        <v>128</v>
      </c>
      <c r="F327" s="2">
        <f ca="1">IF(Flag_Send_Data=1,_xll.DBSW(Val!F327,Val!$C$1,Val!$C$2,Val!$C$3,Val!$C$4,Val!$D327,Val!$C$5,Val!$C$6,Val!$B327,Val!$E327,Val!F$10,Val!$C$7,Val!$C327),"")</f>
        <v>-38777.833333333336</v>
      </c>
      <c r="G327" s="2">
        <f ca="1">IF(Flag_Send_Data=1,_xll.DBSW(Val!G327,Val!$C$1,Val!$C$2,Val!$C$3,Val!$C$4,Val!$D327,Val!$C$5,Val!$C$6,Val!$B327,Val!$E327,Val!G$10,Val!$C$7,Val!$C327),"")</f>
        <v>-38777.833333333336</v>
      </c>
      <c r="H327" s="2">
        <f ca="1">IF(Flag_Send_Data=1,_xll.DBSW(Val!H327,Val!$C$1,Val!$C$2,Val!$C$3,Val!$C$4,Val!$D327,Val!$C$5,Val!$C$6,Val!$B327,Val!$E327,Val!H$10,Val!$C$7,Val!$C327),"")</f>
        <v>-38777.833333333336</v>
      </c>
      <c r="I327" s="2">
        <f ca="1">IF(Flag_Send_Data=1,_xll.DBSW(Val!I327,Val!$C$1,Val!$C$2,Val!$C$3,Val!$C$4,Val!$D327,Val!$C$5,Val!$C$6,Val!$B327,Val!$E327,Val!I$10,Val!$C$7,Val!$C327),"")</f>
        <v>-38777.833333333336</v>
      </c>
      <c r="J327" s="2">
        <f ca="1">IF(Flag_Send_Data=1,_xll.DBSW(Val!J327,Val!$C$1,Val!$C$2,Val!$C$3,Val!$C$4,Val!$D327,Val!$C$5,Val!$C$6,Val!$B327,Val!$E327,Val!J$10,Val!$C$7,Val!$C327),"")</f>
        <v>-38777.833333333336</v>
      </c>
      <c r="K327" s="2">
        <f ca="1">IF(Flag_Send_Data=1,_xll.DBSW(Val!K327,Val!$C$1,Val!$C$2,Val!$C$3,Val!$C$4,Val!$D327,Val!$C$5,Val!$C$6,Val!$B327,Val!$E327,Val!K$10,Val!$C$7,Val!$C327),"")</f>
        <v>-38777.833333333336</v>
      </c>
      <c r="L327" s="2">
        <f ca="1">IF(Flag_Send_Data=1,_xll.DBSW(Val!L327,Val!$C$1,Val!$C$2,Val!$C$3,Val!$C$4,Val!$D327,Val!$C$5,Val!$C$6,Val!$B327,Val!$E327,Val!L$10,Val!$C$7,Val!$C327),"")</f>
        <v>-38777.833333333336</v>
      </c>
      <c r="M327" s="2">
        <f ca="1">IF(Flag_Send_Data=1,_xll.DBSW(Val!M327,Val!$C$1,Val!$C$2,Val!$C$3,Val!$C$4,Val!$D327,Val!$C$5,Val!$C$6,Val!$B327,Val!$E327,Val!M$10,Val!$C$7,Val!$C327),"")</f>
        <v>-38777.833333333336</v>
      </c>
      <c r="N327" s="2">
        <f ca="1">IF(Flag_Send_Data=1,_xll.DBSW(Val!N327,Val!$C$1,Val!$C$2,Val!$C$3,Val!$C$4,Val!$D327,Val!$C$5,Val!$C$6,Val!$B327,Val!$E327,Val!N$10,Val!$C$7,Val!$C327),"")</f>
        <v>-38777.833333333336</v>
      </c>
      <c r="O327" s="2">
        <f ca="1">IF(Flag_Send_Data=1,_xll.DBSW(Val!O327,Val!$C$1,Val!$C$2,Val!$C$3,Val!$C$4,Val!$D327,Val!$C$5,Val!$C$6,Val!$B327,Val!$E327,Val!O$10,Val!$C$7,Val!$C327),"")</f>
        <v>-38777.833333333336</v>
      </c>
      <c r="P327" s="2">
        <f ca="1">IF(Flag_Send_Data=1,_xll.DBSW(Val!P327,Val!$C$1,Val!$C$2,Val!$C$3,Val!$C$4,Val!$D327,Val!$C$5,Val!$C$6,Val!$B327,Val!$E327,Val!P$10,Val!$C$7,Val!$C327),"")</f>
        <v>-38777.833333333336</v>
      </c>
      <c r="Q327" s="2">
        <f ca="1">IF(Flag_Send_Data=1,_xll.DBSW(Val!Q327,Val!$C$1,Val!$C$2,Val!$C$3,Val!$C$4,Val!$D327,Val!$C$5,Val!$C$6,Val!$B327,Val!$E327,Val!Q$10,Val!$C$7,Val!$C327),"")</f>
        <v>-38777.833333333336</v>
      </c>
    </row>
    <row r="328" spans="2:17" x14ac:dyDescent="0.25">
      <c r="B328" s="3" t="s">
        <v>283</v>
      </c>
      <c r="C328" t="s">
        <v>125</v>
      </c>
      <c r="D328" t="s">
        <v>199</v>
      </c>
      <c r="E328" t="s">
        <v>14</v>
      </c>
      <c r="F328" s="2">
        <f ca="1">IF(Flag_Send_Data=1,_xll.DBSW(Val!F328,Val!$C$1,Val!$C$2,Val!$C$3,Val!$C$4,Val!$D328,Val!$C$5,Val!$C$6,Val!$B328,Val!$E328,Val!F$10,Val!$C$7,Val!$C328),"")</f>
        <v>13026.583333333334</v>
      </c>
      <c r="G328" s="2">
        <f ca="1">IF(Flag_Send_Data=1,_xll.DBSW(Val!G328,Val!$C$1,Val!$C$2,Val!$C$3,Val!$C$4,Val!$D328,Val!$C$5,Val!$C$6,Val!$B328,Val!$E328,Val!G$10,Val!$C$7,Val!$C328),"")</f>
        <v>13026.583333333334</v>
      </c>
      <c r="H328" s="2">
        <f ca="1">IF(Flag_Send_Data=1,_xll.DBSW(Val!H328,Val!$C$1,Val!$C$2,Val!$C$3,Val!$C$4,Val!$D328,Val!$C$5,Val!$C$6,Val!$B328,Val!$E328,Val!H$10,Val!$C$7,Val!$C328),"")</f>
        <v>13026.583333333334</v>
      </c>
      <c r="I328" s="2">
        <f ca="1">IF(Flag_Send_Data=1,_xll.DBSW(Val!I328,Val!$C$1,Val!$C$2,Val!$C$3,Val!$C$4,Val!$D328,Val!$C$5,Val!$C$6,Val!$B328,Val!$E328,Val!I$10,Val!$C$7,Val!$C328),"")</f>
        <v>13026.583333333334</v>
      </c>
      <c r="J328" s="2">
        <f ca="1">IF(Flag_Send_Data=1,_xll.DBSW(Val!J328,Val!$C$1,Val!$C$2,Val!$C$3,Val!$C$4,Val!$D328,Val!$C$5,Val!$C$6,Val!$B328,Val!$E328,Val!J$10,Val!$C$7,Val!$C328),"")</f>
        <v>13026.583333333334</v>
      </c>
      <c r="K328" s="2">
        <f ca="1">IF(Flag_Send_Data=1,_xll.DBSW(Val!K328,Val!$C$1,Val!$C$2,Val!$C$3,Val!$C$4,Val!$D328,Val!$C$5,Val!$C$6,Val!$B328,Val!$E328,Val!K$10,Val!$C$7,Val!$C328),"")</f>
        <v>13026.583333333334</v>
      </c>
      <c r="L328" s="2">
        <f ca="1">IF(Flag_Send_Data=1,_xll.DBSW(Val!L328,Val!$C$1,Val!$C$2,Val!$C$3,Val!$C$4,Val!$D328,Val!$C$5,Val!$C$6,Val!$B328,Val!$E328,Val!L$10,Val!$C$7,Val!$C328),"")</f>
        <v>13026.583333333334</v>
      </c>
      <c r="M328" s="2">
        <f ca="1">IF(Flag_Send_Data=1,_xll.DBSW(Val!M328,Val!$C$1,Val!$C$2,Val!$C$3,Val!$C$4,Val!$D328,Val!$C$5,Val!$C$6,Val!$B328,Val!$E328,Val!M$10,Val!$C$7,Val!$C328),"")</f>
        <v>13026.583333333334</v>
      </c>
      <c r="N328" s="2">
        <f ca="1">IF(Flag_Send_Data=1,_xll.DBSW(Val!N328,Val!$C$1,Val!$C$2,Val!$C$3,Val!$C$4,Val!$D328,Val!$C$5,Val!$C$6,Val!$B328,Val!$E328,Val!N$10,Val!$C$7,Val!$C328),"")</f>
        <v>13026.583333333334</v>
      </c>
      <c r="O328" s="2">
        <f ca="1">IF(Flag_Send_Data=1,_xll.DBSW(Val!O328,Val!$C$1,Val!$C$2,Val!$C$3,Val!$C$4,Val!$D328,Val!$C$5,Val!$C$6,Val!$B328,Val!$E328,Val!O$10,Val!$C$7,Val!$C328),"")</f>
        <v>13026.583333333334</v>
      </c>
      <c r="P328" s="2">
        <f ca="1">IF(Flag_Send_Data=1,_xll.DBSW(Val!P328,Val!$C$1,Val!$C$2,Val!$C$3,Val!$C$4,Val!$D328,Val!$C$5,Val!$C$6,Val!$B328,Val!$E328,Val!P$10,Val!$C$7,Val!$C328),"")</f>
        <v>13026.583333333334</v>
      </c>
      <c r="Q328" s="2">
        <f ca="1">IF(Flag_Send_Data=1,_xll.DBSW(Val!Q328,Val!$C$1,Val!$C$2,Val!$C$3,Val!$C$4,Val!$D328,Val!$C$5,Val!$C$6,Val!$B328,Val!$E328,Val!Q$10,Val!$C$7,Val!$C328),"")</f>
        <v>13026.583333333334</v>
      </c>
    </row>
    <row r="329" spans="2:17" x14ac:dyDescent="0.25">
      <c r="B329" s="3" t="s">
        <v>283</v>
      </c>
      <c r="C329" t="s">
        <v>125</v>
      </c>
      <c r="D329" t="s">
        <v>199</v>
      </c>
      <c r="E329" t="s">
        <v>7</v>
      </c>
      <c r="F329" s="2">
        <f ca="1">IF(Flag_Send_Data=1,_xll.DBSW(Val!F329,Val!$C$1,Val!$C$2,Val!$C$3,Val!$C$4,Val!$D329,Val!$C$5,Val!$C$6,Val!$B329,Val!$E329,Val!F$10,Val!$C$7,Val!$C329),"")</f>
        <v>2419.4533333333302</v>
      </c>
      <c r="G329" s="2">
        <f ca="1">IF(Flag_Send_Data=1,_xll.DBSW(Val!G329,Val!$C$1,Val!$C$2,Val!$C$3,Val!$C$4,Val!$D329,Val!$C$5,Val!$C$6,Val!$B329,Val!$E329,Val!G$10,Val!$C$7,Val!$C329),"")</f>
        <v>2419.4133333333298</v>
      </c>
      <c r="H329" s="2">
        <f ca="1">IF(Flag_Send_Data=1,_xll.DBSW(Val!H329,Val!$C$1,Val!$C$2,Val!$C$3,Val!$C$4,Val!$D329,Val!$C$5,Val!$C$6,Val!$B329,Val!$E329,Val!H$10,Val!$C$7,Val!$C329),"")</f>
        <v>2419.4133333333298</v>
      </c>
      <c r="I329" s="2">
        <f ca="1">IF(Flag_Send_Data=1,_xll.DBSW(Val!I329,Val!$C$1,Val!$C$2,Val!$C$3,Val!$C$4,Val!$D329,Val!$C$5,Val!$C$6,Val!$B329,Val!$E329,Val!I$10,Val!$C$7,Val!$C329),"")</f>
        <v>2419.4133333333298</v>
      </c>
      <c r="J329" s="2">
        <f ca="1">IF(Flag_Send_Data=1,_xll.DBSW(Val!J329,Val!$C$1,Val!$C$2,Val!$C$3,Val!$C$4,Val!$D329,Val!$C$5,Val!$C$6,Val!$B329,Val!$E329,Val!J$10,Val!$C$7,Val!$C329),"")</f>
        <v>2419.4133333333298</v>
      </c>
      <c r="K329" s="2">
        <f ca="1">IF(Flag_Send_Data=1,_xll.DBSW(Val!K329,Val!$C$1,Val!$C$2,Val!$C$3,Val!$C$4,Val!$D329,Val!$C$5,Val!$C$6,Val!$B329,Val!$E329,Val!K$10,Val!$C$7,Val!$C329),"")</f>
        <v>2419.4133333333298</v>
      </c>
      <c r="L329" s="2">
        <f ca="1">IF(Flag_Send_Data=1,_xll.DBSW(Val!L329,Val!$C$1,Val!$C$2,Val!$C$3,Val!$C$4,Val!$D329,Val!$C$5,Val!$C$6,Val!$B329,Val!$E329,Val!L$10,Val!$C$7,Val!$C329),"")</f>
        <v>2419.4133333333298</v>
      </c>
      <c r="M329" s="2">
        <f ca="1">IF(Flag_Send_Data=1,_xll.DBSW(Val!M329,Val!$C$1,Val!$C$2,Val!$C$3,Val!$C$4,Val!$D329,Val!$C$5,Val!$C$6,Val!$B329,Val!$E329,Val!M$10,Val!$C$7,Val!$C329),"")</f>
        <v>2419.4133333333298</v>
      </c>
      <c r="N329" s="2">
        <f ca="1">IF(Flag_Send_Data=1,_xll.DBSW(Val!N329,Val!$C$1,Val!$C$2,Val!$C$3,Val!$C$4,Val!$D329,Val!$C$5,Val!$C$6,Val!$B329,Val!$E329,Val!N$10,Val!$C$7,Val!$C329),"")</f>
        <v>2419.4133333333298</v>
      </c>
      <c r="O329" s="2">
        <f ca="1">IF(Flag_Send_Data=1,_xll.DBSW(Val!O329,Val!$C$1,Val!$C$2,Val!$C$3,Val!$C$4,Val!$D329,Val!$C$5,Val!$C$6,Val!$B329,Val!$E329,Val!O$10,Val!$C$7,Val!$C329),"")</f>
        <v>2419.4133333333298</v>
      </c>
      <c r="P329" s="2">
        <f ca="1">IF(Flag_Send_Data=1,_xll.DBSW(Val!P329,Val!$C$1,Val!$C$2,Val!$C$3,Val!$C$4,Val!$D329,Val!$C$5,Val!$C$6,Val!$B329,Val!$E329,Val!P$10,Val!$C$7,Val!$C329),"")</f>
        <v>2419.4133333333298</v>
      </c>
      <c r="Q329" s="2">
        <f ca="1">IF(Flag_Send_Data=1,_xll.DBSW(Val!Q329,Val!$C$1,Val!$C$2,Val!$C$3,Val!$C$4,Val!$D329,Val!$C$5,Val!$C$6,Val!$B329,Val!$E329,Val!Q$10,Val!$C$7,Val!$C329),"")</f>
        <v>2419.4133333333298</v>
      </c>
    </row>
    <row r="330" spans="2:17" x14ac:dyDescent="0.25">
      <c r="B330" s="3" t="s">
        <v>283</v>
      </c>
      <c r="C330" t="s">
        <v>125</v>
      </c>
      <c r="D330" t="s">
        <v>199</v>
      </c>
      <c r="E330" t="s">
        <v>44</v>
      </c>
      <c r="F330" s="2">
        <f ca="1">IF(Flag_Send_Data=1,_xll.DBSW(Val!F330,Val!$C$1,Val!$C$2,Val!$C$3,Val!$C$4,Val!$D330,Val!$C$5,Val!$C$6,Val!$B330,Val!$E330,Val!F$10,Val!$C$7,Val!$C330),"")</f>
        <v>9166.6666666666661</v>
      </c>
      <c r="G330" s="2">
        <f ca="1">IF(Flag_Send_Data=1,_xll.DBSW(Val!G330,Val!$C$1,Val!$C$2,Val!$C$3,Val!$C$4,Val!$D330,Val!$C$5,Val!$C$6,Val!$B330,Val!$E330,Val!G$10,Val!$C$7,Val!$C330),"")</f>
        <v>9166.6666666666661</v>
      </c>
      <c r="H330" s="2">
        <f ca="1">IF(Flag_Send_Data=1,_xll.DBSW(Val!H330,Val!$C$1,Val!$C$2,Val!$C$3,Val!$C$4,Val!$D330,Val!$C$5,Val!$C$6,Val!$B330,Val!$E330,Val!H$10,Val!$C$7,Val!$C330),"")</f>
        <v>9166.6666666666661</v>
      </c>
      <c r="I330" s="2">
        <f ca="1">IF(Flag_Send_Data=1,_xll.DBSW(Val!I330,Val!$C$1,Val!$C$2,Val!$C$3,Val!$C$4,Val!$D330,Val!$C$5,Val!$C$6,Val!$B330,Val!$E330,Val!I$10,Val!$C$7,Val!$C330),"")</f>
        <v>9166.6666666666661</v>
      </c>
      <c r="J330" s="2">
        <f ca="1">IF(Flag_Send_Data=1,_xll.DBSW(Val!J330,Val!$C$1,Val!$C$2,Val!$C$3,Val!$C$4,Val!$D330,Val!$C$5,Val!$C$6,Val!$B330,Val!$E330,Val!J$10,Val!$C$7,Val!$C330),"")</f>
        <v>9166.6666666666661</v>
      </c>
      <c r="K330" s="2">
        <f ca="1">IF(Flag_Send_Data=1,_xll.DBSW(Val!K330,Val!$C$1,Val!$C$2,Val!$C$3,Val!$C$4,Val!$D330,Val!$C$5,Val!$C$6,Val!$B330,Val!$E330,Val!K$10,Val!$C$7,Val!$C330),"")</f>
        <v>9166.6666666666661</v>
      </c>
      <c r="L330" s="2">
        <f ca="1">IF(Flag_Send_Data=1,_xll.DBSW(Val!L330,Val!$C$1,Val!$C$2,Val!$C$3,Val!$C$4,Val!$D330,Val!$C$5,Val!$C$6,Val!$B330,Val!$E330,Val!L$10,Val!$C$7,Val!$C330),"")</f>
        <v>9166.6666666666661</v>
      </c>
      <c r="M330" s="2">
        <f ca="1">IF(Flag_Send_Data=1,_xll.DBSW(Val!M330,Val!$C$1,Val!$C$2,Val!$C$3,Val!$C$4,Val!$D330,Val!$C$5,Val!$C$6,Val!$B330,Val!$E330,Val!M$10,Val!$C$7,Val!$C330),"")</f>
        <v>9166.6666666666661</v>
      </c>
      <c r="N330" s="2">
        <f ca="1">IF(Flag_Send_Data=1,_xll.DBSW(Val!N330,Val!$C$1,Val!$C$2,Val!$C$3,Val!$C$4,Val!$D330,Val!$C$5,Val!$C$6,Val!$B330,Val!$E330,Val!N$10,Val!$C$7,Val!$C330),"")</f>
        <v>9166.6666666666661</v>
      </c>
      <c r="O330" s="2">
        <f ca="1">IF(Flag_Send_Data=1,_xll.DBSW(Val!O330,Val!$C$1,Val!$C$2,Val!$C$3,Val!$C$4,Val!$D330,Val!$C$5,Val!$C$6,Val!$B330,Val!$E330,Val!O$10,Val!$C$7,Val!$C330),"")</f>
        <v>9166.6666666666661</v>
      </c>
      <c r="P330" s="2">
        <f ca="1">IF(Flag_Send_Data=1,_xll.DBSW(Val!P330,Val!$C$1,Val!$C$2,Val!$C$3,Val!$C$4,Val!$D330,Val!$C$5,Val!$C$6,Val!$B330,Val!$E330,Val!P$10,Val!$C$7,Val!$C330),"")</f>
        <v>9166.6666666666661</v>
      </c>
      <c r="Q330" s="2">
        <f ca="1">IF(Flag_Send_Data=1,_xll.DBSW(Val!Q330,Val!$C$1,Val!$C$2,Val!$C$3,Val!$C$4,Val!$D330,Val!$C$5,Val!$C$6,Val!$B330,Val!$E330,Val!Q$10,Val!$C$7,Val!$C330),"")</f>
        <v>9166.6666666666661</v>
      </c>
    </row>
    <row r="331" spans="2:17" x14ac:dyDescent="0.25">
      <c r="B331" s="3" t="s">
        <v>283</v>
      </c>
      <c r="C331" t="s">
        <v>46</v>
      </c>
      <c r="D331" t="s">
        <v>199</v>
      </c>
      <c r="E331" t="s">
        <v>17</v>
      </c>
      <c r="F331" s="2">
        <f ca="1">IF(Flag_Send_Data=1,_xll.DBSW(Val!F331,Val!$C$1,Val!$C$2,Val!$C$3,Val!$C$4,Val!$D331,Val!$C$5,Val!$C$6,Val!$B331,Val!$E331,Val!F$10,Val!$C$7,Val!$C331),"")</f>
        <v>-1351.1666666666665</v>
      </c>
      <c r="G331" s="2">
        <f ca="1">IF(Flag_Send_Data=1,_xll.DBSW(Val!G331,Val!$C$1,Val!$C$2,Val!$C$3,Val!$C$4,Val!$D331,Val!$C$5,Val!$C$6,Val!$B331,Val!$E331,Val!G$10,Val!$C$7,Val!$C331),"")</f>
        <v>-1351.1666666666665</v>
      </c>
      <c r="H331" s="2">
        <f ca="1">IF(Flag_Send_Data=1,_xll.DBSW(Val!H331,Val!$C$1,Val!$C$2,Val!$C$3,Val!$C$4,Val!$D331,Val!$C$5,Val!$C$6,Val!$B331,Val!$E331,Val!H$10,Val!$C$7,Val!$C331),"")</f>
        <v>-1351.1666666666665</v>
      </c>
      <c r="I331" s="2">
        <f ca="1">IF(Flag_Send_Data=1,_xll.DBSW(Val!I331,Val!$C$1,Val!$C$2,Val!$C$3,Val!$C$4,Val!$D331,Val!$C$5,Val!$C$6,Val!$B331,Val!$E331,Val!I$10,Val!$C$7,Val!$C331),"")</f>
        <v>-1351.1666666666665</v>
      </c>
      <c r="J331" s="2">
        <f ca="1">IF(Flag_Send_Data=1,_xll.DBSW(Val!J331,Val!$C$1,Val!$C$2,Val!$C$3,Val!$C$4,Val!$D331,Val!$C$5,Val!$C$6,Val!$B331,Val!$E331,Val!J$10,Val!$C$7,Val!$C331),"")</f>
        <v>-1351.1666666666665</v>
      </c>
      <c r="K331" s="2">
        <f ca="1">IF(Flag_Send_Data=1,_xll.DBSW(Val!K331,Val!$C$1,Val!$C$2,Val!$C$3,Val!$C$4,Val!$D331,Val!$C$5,Val!$C$6,Val!$B331,Val!$E331,Val!K$10,Val!$C$7,Val!$C331),"")</f>
        <v>-1351.1666666666665</v>
      </c>
      <c r="L331" s="2">
        <f ca="1">IF(Flag_Send_Data=1,_xll.DBSW(Val!L331,Val!$C$1,Val!$C$2,Val!$C$3,Val!$C$4,Val!$D331,Val!$C$5,Val!$C$6,Val!$B331,Val!$E331,Val!L$10,Val!$C$7,Val!$C331),"")</f>
        <v>-1351.1666666666665</v>
      </c>
      <c r="M331" s="2">
        <f ca="1">IF(Flag_Send_Data=1,_xll.DBSW(Val!M331,Val!$C$1,Val!$C$2,Val!$C$3,Val!$C$4,Val!$D331,Val!$C$5,Val!$C$6,Val!$B331,Val!$E331,Val!M$10,Val!$C$7,Val!$C331),"")</f>
        <v>-1351.1666666666665</v>
      </c>
      <c r="N331" s="2">
        <f ca="1">IF(Flag_Send_Data=1,_xll.DBSW(Val!N331,Val!$C$1,Val!$C$2,Val!$C$3,Val!$C$4,Val!$D331,Val!$C$5,Val!$C$6,Val!$B331,Val!$E331,Val!N$10,Val!$C$7,Val!$C331),"")</f>
        <v>-1351.1666666666665</v>
      </c>
      <c r="O331" s="2">
        <f ca="1">IF(Flag_Send_Data=1,_xll.DBSW(Val!O331,Val!$C$1,Val!$C$2,Val!$C$3,Val!$C$4,Val!$D331,Val!$C$5,Val!$C$6,Val!$B331,Val!$E331,Val!O$10,Val!$C$7,Val!$C331),"")</f>
        <v>-1351.1666666666665</v>
      </c>
      <c r="P331" s="2">
        <f ca="1">IF(Flag_Send_Data=1,_xll.DBSW(Val!P331,Val!$C$1,Val!$C$2,Val!$C$3,Val!$C$4,Val!$D331,Val!$C$5,Val!$C$6,Val!$B331,Val!$E331,Val!P$10,Val!$C$7,Val!$C331),"")</f>
        <v>-1351.1666666666665</v>
      </c>
      <c r="Q331" s="2">
        <f ca="1">IF(Flag_Send_Data=1,_xll.DBSW(Val!Q331,Val!$C$1,Val!$C$2,Val!$C$3,Val!$C$4,Val!$D331,Val!$C$5,Val!$C$6,Val!$B331,Val!$E331,Val!Q$10,Val!$C$7,Val!$C331),"")</f>
        <v>-1351.1666666666665</v>
      </c>
    </row>
    <row r="332" spans="2:17" x14ac:dyDescent="0.25">
      <c r="B332" s="3" t="s">
        <v>283</v>
      </c>
      <c r="C332" t="s">
        <v>47</v>
      </c>
      <c r="D332" t="s">
        <v>229</v>
      </c>
      <c r="E332" t="s">
        <v>128</v>
      </c>
      <c r="F332" s="2">
        <f ca="1">IF(Flag_Send_Data=1,_xll.DBSW(Val!F332,Val!$C$1,Val!$C$2,Val!$C$3,Val!$C$4,Val!$D332,Val!$C$5,Val!$C$6,Val!$B332,Val!$E332,Val!F$10,Val!$C$7,Val!$C332),"")</f>
        <v>-2750</v>
      </c>
      <c r="G332" s="2">
        <f ca="1">IF(Flag_Send_Data=1,_xll.DBSW(Val!G332,Val!$C$1,Val!$C$2,Val!$C$3,Val!$C$4,Val!$D332,Val!$C$5,Val!$C$6,Val!$B332,Val!$E332,Val!G$10,Val!$C$7,Val!$C332),"")</f>
        <v>-2750</v>
      </c>
      <c r="H332" s="2">
        <f ca="1">IF(Flag_Send_Data=1,_xll.DBSW(Val!H332,Val!$C$1,Val!$C$2,Val!$C$3,Val!$C$4,Val!$D332,Val!$C$5,Val!$C$6,Val!$B332,Val!$E332,Val!H$10,Val!$C$7,Val!$C332),"")</f>
        <v>-2750</v>
      </c>
      <c r="I332" s="2">
        <f ca="1">IF(Flag_Send_Data=1,_xll.DBSW(Val!I332,Val!$C$1,Val!$C$2,Val!$C$3,Val!$C$4,Val!$D332,Val!$C$5,Val!$C$6,Val!$B332,Val!$E332,Val!I$10,Val!$C$7,Val!$C332),"")</f>
        <v>-2750</v>
      </c>
      <c r="J332" s="2">
        <f ca="1">IF(Flag_Send_Data=1,_xll.DBSW(Val!J332,Val!$C$1,Val!$C$2,Val!$C$3,Val!$C$4,Val!$D332,Val!$C$5,Val!$C$6,Val!$B332,Val!$E332,Val!J$10,Val!$C$7,Val!$C332),"")</f>
        <v>-2750</v>
      </c>
      <c r="K332" s="2">
        <f ca="1">IF(Flag_Send_Data=1,_xll.DBSW(Val!K332,Val!$C$1,Val!$C$2,Val!$C$3,Val!$C$4,Val!$D332,Val!$C$5,Val!$C$6,Val!$B332,Val!$E332,Val!K$10,Val!$C$7,Val!$C332),"")</f>
        <v>-2750</v>
      </c>
      <c r="L332" s="2">
        <f ca="1">IF(Flag_Send_Data=1,_xll.DBSW(Val!L332,Val!$C$1,Val!$C$2,Val!$C$3,Val!$C$4,Val!$D332,Val!$C$5,Val!$C$6,Val!$B332,Val!$E332,Val!L$10,Val!$C$7,Val!$C332),"")</f>
        <v>-2750</v>
      </c>
      <c r="M332" s="2">
        <f ca="1">IF(Flag_Send_Data=1,_xll.DBSW(Val!M332,Val!$C$1,Val!$C$2,Val!$C$3,Val!$C$4,Val!$D332,Val!$C$5,Val!$C$6,Val!$B332,Val!$E332,Val!M$10,Val!$C$7,Val!$C332),"")</f>
        <v>-2750</v>
      </c>
      <c r="N332" s="2">
        <f ca="1">IF(Flag_Send_Data=1,_xll.DBSW(Val!N332,Val!$C$1,Val!$C$2,Val!$C$3,Val!$C$4,Val!$D332,Val!$C$5,Val!$C$6,Val!$B332,Val!$E332,Val!N$10,Val!$C$7,Val!$C332),"")</f>
        <v>-2750</v>
      </c>
      <c r="O332" s="2">
        <f ca="1">IF(Flag_Send_Data=1,_xll.DBSW(Val!O332,Val!$C$1,Val!$C$2,Val!$C$3,Val!$C$4,Val!$D332,Val!$C$5,Val!$C$6,Val!$B332,Val!$E332,Val!O$10,Val!$C$7,Val!$C332),"")</f>
        <v>-2750</v>
      </c>
      <c r="P332" s="2">
        <f ca="1">IF(Flag_Send_Data=1,_xll.DBSW(Val!P332,Val!$C$1,Val!$C$2,Val!$C$3,Val!$C$4,Val!$D332,Val!$C$5,Val!$C$6,Val!$B332,Val!$E332,Val!P$10,Val!$C$7,Val!$C332),"")</f>
        <v>-2750</v>
      </c>
      <c r="Q332" s="2">
        <f ca="1">IF(Flag_Send_Data=1,_xll.DBSW(Val!Q332,Val!$C$1,Val!$C$2,Val!$C$3,Val!$C$4,Val!$D332,Val!$C$5,Val!$C$6,Val!$B332,Val!$E332,Val!Q$10,Val!$C$7,Val!$C332),"")</f>
        <v>-2750</v>
      </c>
    </row>
    <row r="333" spans="2:17" x14ac:dyDescent="0.25">
      <c r="B333" s="3" t="s">
        <v>283</v>
      </c>
      <c r="C333" t="s">
        <v>72</v>
      </c>
      <c r="D333" t="s">
        <v>229</v>
      </c>
      <c r="E333" t="s">
        <v>128</v>
      </c>
      <c r="F333" s="2">
        <f ca="1">IF(Flag_Send_Data=1,_xll.DBSW(Val!F333,Val!$C$1,Val!$C$2,Val!$C$3,Val!$C$4,Val!$D333,Val!$C$5,Val!$C$6,Val!$B333,Val!$E333,Val!F$10,Val!$C$7,Val!$C333),"")</f>
        <v>-2666.6666666666665</v>
      </c>
      <c r="G333" s="2">
        <f ca="1">IF(Flag_Send_Data=1,_xll.DBSW(Val!G333,Val!$C$1,Val!$C$2,Val!$C$3,Val!$C$4,Val!$D333,Val!$C$5,Val!$C$6,Val!$B333,Val!$E333,Val!G$10,Val!$C$7,Val!$C333),"")</f>
        <v>-2666.6666666666665</v>
      </c>
      <c r="H333" s="2">
        <f ca="1">IF(Flag_Send_Data=1,_xll.DBSW(Val!H333,Val!$C$1,Val!$C$2,Val!$C$3,Val!$C$4,Val!$D333,Val!$C$5,Val!$C$6,Val!$B333,Val!$E333,Val!H$10,Val!$C$7,Val!$C333),"")</f>
        <v>-2666.6666666666665</v>
      </c>
      <c r="I333" s="2">
        <f ca="1">IF(Flag_Send_Data=1,_xll.DBSW(Val!I333,Val!$C$1,Val!$C$2,Val!$C$3,Val!$C$4,Val!$D333,Val!$C$5,Val!$C$6,Val!$B333,Val!$E333,Val!I$10,Val!$C$7,Val!$C333),"")</f>
        <v>-2666.6666666666665</v>
      </c>
      <c r="J333" s="2">
        <f ca="1">IF(Flag_Send_Data=1,_xll.DBSW(Val!J333,Val!$C$1,Val!$C$2,Val!$C$3,Val!$C$4,Val!$D333,Val!$C$5,Val!$C$6,Val!$B333,Val!$E333,Val!J$10,Val!$C$7,Val!$C333),"")</f>
        <v>-2666.6666666666665</v>
      </c>
      <c r="K333" s="2">
        <f ca="1">IF(Flag_Send_Data=1,_xll.DBSW(Val!K333,Val!$C$1,Val!$C$2,Val!$C$3,Val!$C$4,Val!$D333,Val!$C$5,Val!$C$6,Val!$B333,Val!$E333,Val!K$10,Val!$C$7,Val!$C333),"")</f>
        <v>-2666.6666666666665</v>
      </c>
      <c r="L333" s="2">
        <f ca="1">IF(Flag_Send_Data=1,_xll.DBSW(Val!L333,Val!$C$1,Val!$C$2,Val!$C$3,Val!$C$4,Val!$D333,Val!$C$5,Val!$C$6,Val!$B333,Val!$E333,Val!L$10,Val!$C$7,Val!$C333),"")</f>
        <v>-2666.6666666666665</v>
      </c>
      <c r="M333" s="2">
        <f ca="1">IF(Flag_Send_Data=1,_xll.DBSW(Val!M333,Val!$C$1,Val!$C$2,Val!$C$3,Val!$C$4,Val!$D333,Val!$C$5,Val!$C$6,Val!$B333,Val!$E333,Val!M$10,Val!$C$7,Val!$C333),"")</f>
        <v>-2666.6666666666665</v>
      </c>
      <c r="N333" s="2">
        <f ca="1">IF(Flag_Send_Data=1,_xll.DBSW(Val!N333,Val!$C$1,Val!$C$2,Val!$C$3,Val!$C$4,Val!$D333,Val!$C$5,Val!$C$6,Val!$B333,Val!$E333,Val!N$10,Val!$C$7,Val!$C333),"")</f>
        <v>-2666.6666666666665</v>
      </c>
      <c r="O333" s="2">
        <f ca="1">IF(Flag_Send_Data=1,_xll.DBSW(Val!O333,Val!$C$1,Val!$C$2,Val!$C$3,Val!$C$4,Val!$D333,Val!$C$5,Val!$C$6,Val!$B333,Val!$E333,Val!O$10,Val!$C$7,Val!$C333),"")</f>
        <v>-2666.6666666666665</v>
      </c>
      <c r="P333" s="2">
        <f ca="1">IF(Flag_Send_Data=1,_xll.DBSW(Val!P333,Val!$C$1,Val!$C$2,Val!$C$3,Val!$C$4,Val!$D333,Val!$C$5,Val!$C$6,Val!$B333,Val!$E333,Val!P$10,Val!$C$7,Val!$C333),"")</f>
        <v>-2666.6666666666665</v>
      </c>
      <c r="Q333" s="2">
        <f ca="1">IF(Flag_Send_Data=1,_xll.DBSW(Val!Q333,Val!$C$1,Val!$C$2,Val!$C$3,Val!$C$4,Val!$D333,Val!$C$5,Val!$C$6,Val!$B333,Val!$E333,Val!Q$10,Val!$C$7,Val!$C333),"")</f>
        <v>-2666.6666666666665</v>
      </c>
    </row>
    <row r="334" spans="2:17" x14ac:dyDescent="0.25">
      <c r="B334" s="3" t="s">
        <v>283</v>
      </c>
      <c r="C334" t="s">
        <v>66</v>
      </c>
      <c r="D334" t="s">
        <v>229</v>
      </c>
      <c r="E334" t="s">
        <v>128</v>
      </c>
      <c r="F334" s="2">
        <f ca="1">IF(Flag_Send_Data=1,_xll.DBSW(Val!F334,Val!$C$1,Val!$C$2,Val!$C$3,Val!$C$4,Val!$D334,Val!$C$5,Val!$C$6,Val!$B334,Val!$E334,Val!F$10,Val!$C$7,Val!$C334),"")</f>
        <v>-2237.9004</v>
      </c>
      <c r="G334" s="2">
        <f ca="1">IF(Flag_Send_Data=1,_xll.DBSW(Val!G334,Val!$C$1,Val!$C$2,Val!$C$3,Val!$C$4,Val!$D334,Val!$C$5,Val!$C$6,Val!$B334,Val!$E334,Val!G$10,Val!$C$7,Val!$C334),"")</f>
        <v>-2237.9004</v>
      </c>
      <c r="H334" s="2">
        <f ca="1">IF(Flag_Send_Data=1,_xll.DBSW(Val!H334,Val!$C$1,Val!$C$2,Val!$C$3,Val!$C$4,Val!$D334,Val!$C$5,Val!$C$6,Val!$B334,Val!$E334,Val!H$10,Val!$C$7,Val!$C334),"")</f>
        <v>-2237.9004</v>
      </c>
      <c r="I334" s="2">
        <f ca="1">IF(Flag_Send_Data=1,_xll.DBSW(Val!I334,Val!$C$1,Val!$C$2,Val!$C$3,Val!$C$4,Val!$D334,Val!$C$5,Val!$C$6,Val!$B334,Val!$E334,Val!I$10,Val!$C$7,Val!$C334),"")</f>
        <v>-2237.9004</v>
      </c>
      <c r="J334" s="2">
        <f ca="1">IF(Flag_Send_Data=1,_xll.DBSW(Val!J334,Val!$C$1,Val!$C$2,Val!$C$3,Val!$C$4,Val!$D334,Val!$C$5,Val!$C$6,Val!$B334,Val!$E334,Val!J$10,Val!$C$7,Val!$C334),"")</f>
        <v>-2237.9004</v>
      </c>
      <c r="K334" s="2">
        <f ca="1">IF(Flag_Send_Data=1,_xll.DBSW(Val!K334,Val!$C$1,Val!$C$2,Val!$C$3,Val!$C$4,Val!$D334,Val!$C$5,Val!$C$6,Val!$B334,Val!$E334,Val!K$10,Val!$C$7,Val!$C334),"")</f>
        <v>-2237.9004</v>
      </c>
      <c r="L334" s="2">
        <f ca="1">IF(Flag_Send_Data=1,_xll.DBSW(Val!L334,Val!$C$1,Val!$C$2,Val!$C$3,Val!$C$4,Val!$D334,Val!$C$5,Val!$C$6,Val!$B334,Val!$E334,Val!L$10,Val!$C$7,Val!$C334),"")</f>
        <v>-2237.9004</v>
      </c>
      <c r="M334" s="2">
        <f ca="1">IF(Flag_Send_Data=1,_xll.DBSW(Val!M334,Val!$C$1,Val!$C$2,Val!$C$3,Val!$C$4,Val!$D334,Val!$C$5,Val!$C$6,Val!$B334,Val!$E334,Val!M$10,Val!$C$7,Val!$C334),"")</f>
        <v>-2237.9004</v>
      </c>
      <c r="N334" s="2">
        <f ca="1">IF(Flag_Send_Data=1,_xll.DBSW(Val!N334,Val!$C$1,Val!$C$2,Val!$C$3,Val!$C$4,Val!$D334,Val!$C$5,Val!$C$6,Val!$B334,Val!$E334,Val!N$10,Val!$C$7,Val!$C334),"")</f>
        <v>-2237.9004</v>
      </c>
      <c r="O334" s="2">
        <f ca="1">IF(Flag_Send_Data=1,_xll.DBSW(Val!O334,Val!$C$1,Val!$C$2,Val!$C$3,Val!$C$4,Val!$D334,Val!$C$5,Val!$C$6,Val!$B334,Val!$E334,Val!O$10,Val!$C$7,Val!$C334),"")</f>
        <v>-2237.9004</v>
      </c>
      <c r="P334" s="2">
        <f ca="1">IF(Flag_Send_Data=1,_xll.DBSW(Val!P334,Val!$C$1,Val!$C$2,Val!$C$3,Val!$C$4,Val!$D334,Val!$C$5,Val!$C$6,Val!$B334,Val!$E334,Val!P$10,Val!$C$7,Val!$C334),"")</f>
        <v>-2237.9004</v>
      </c>
      <c r="Q334" s="2">
        <f ca="1">IF(Flag_Send_Data=1,_xll.DBSW(Val!Q334,Val!$C$1,Val!$C$2,Val!$C$3,Val!$C$4,Val!$D334,Val!$C$5,Val!$C$6,Val!$B334,Val!$E334,Val!Q$10,Val!$C$7,Val!$C334),"")</f>
        <v>-2237.9004</v>
      </c>
    </row>
    <row r="335" spans="2:17" x14ac:dyDescent="0.25">
      <c r="B335" s="3" t="s">
        <v>283</v>
      </c>
      <c r="C335" t="s">
        <v>73</v>
      </c>
      <c r="D335" t="s">
        <v>229</v>
      </c>
      <c r="E335" t="s">
        <v>128</v>
      </c>
      <c r="F335" s="2">
        <f ca="1">IF(Flag_Send_Data=1,_xll.DBSW(Val!F335,Val!$C$1,Val!$C$2,Val!$C$3,Val!$C$4,Val!$D335,Val!$C$5,Val!$C$6,Val!$B335,Val!$E335,Val!F$10,Val!$C$7,Val!$C335),"")</f>
        <v>-6970.833333333333</v>
      </c>
      <c r="G335" s="2">
        <f ca="1">IF(Flag_Send_Data=1,_xll.DBSW(Val!G335,Val!$C$1,Val!$C$2,Val!$C$3,Val!$C$4,Val!$D335,Val!$C$5,Val!$C$6,Val!$B335,Val!$E335,Val!G$10,Val!$C$7,Val!$C335),"")</f>
        <v>-6970.833333333333</v>
      </c>
      <c r="H335" s="2">
        <f ca="1">IF(Flag_Send_Data=1,_xll.DBSW(Val!H335,Val!$C$1,Val!$C$2,Val!$C$3,Val!$C$4,Val!$D335,Val!$C$5,Val!$C$6,Val!$B335,Val!$E335,Val!H$10,Val!$C$7,Val!$C335),"")</f>
        <v>-6970.833333333333</v>
      </c>
      <c r="I335" s="2">
        <f ca="1">IF(Flag_Send_Data=1,_xll.DBSW(Val!I335,Val!$C$1,Val!$C$2,Val!$C$3,Val!$C$4,Val!$D335,Val!$C$5,Val!$C$6,Val!$B335,Val!$E335,Val!I$10,Val!$C$7,Val!$C335),"")</f>
        <v>-6970.833333333333</v>
      </c>
      <c r="J335" s="2">
        <f ca="1">IF(Flag_Send_Data=1,_xll.DBSW(Val!J335,Val!$C$1,Val!$C$2,Val!$C$3,Val!$C$4,Val!$D335,Val!$C$5,Val!$C$6,Val!$B335,Val!$E335,Val!J$10,Val!$C$7,Val!$C335),"")</f>
        <v>-6970.833333333333</v>
      </c>
      <c r="K335" s="2">
        <f ca="1">IF(Flag_Send_Data=1,_xll.DBSW(Val!K335,Val!$C$1,Val!$C$2,Val!$C$3,Val!$C$4,Val!$D335,Val!$C$5,Val!$C$6,Val!$B335,Val!$E335,Val!K$10,Val!$C$7,Val!$C335),"")</f>
        <v>-6970.833333333333</v>
      </c>
      <c r="L335" s="2">
        <f ca="1">IF(Flag_Send_Data=1,_xll.DBSW(Val!L335,Val!$C$1,Val!$C$2,Val!$C$3,Val!$C$4,Val!$D335,Val!$C$5,Val!$C$6,Val!$B335,Val!$E335,Val!L$10,Val!$C$7,Val!$C335),"")</f>
        <v>-6970.833333333333</v>
      </c>
      <c r="M335" s="2">
        <f ca="1">IF(Flag_Send_Data=1,_xll.DBSW(Val!M335,Val!$C$1,Val!$C$2,Val!$C$3,Val!$C$4,Val!$D335,Val!$C$5,Val!$C$6,Val!$B335,Val!$E335,Val!M$10,Val!$C$7,Val!$C335),"")</f>
        <v>-6970.833333333333</v>
      </c>
      <c r="N335" s="2">
        <f ca="1">IF(Flag_Send_Data=1,_xll.DBSW(Val!N335,Val!$C$1,Val!$C$2,Val!$C$3,Val!$C$4,Val!$D335,Val!$C$5,Val!$C$6,Val!$B335,Val!$E335,Val!N$10,Val!$C$7,Val!$C335),"")</f>
        <v>-6970.833333333333</v>
      </c>
      <c r="O335" s="2">
        <f ca="1">IF(Flag_Send_Data=1,_xll.DBSW(Val!O335,Val!$C$1,Val!$C$2,Val!$C$3,Val!$C$4,Val!$D335,Val!$C$5,Val!$C$6,Val!$B335,Val!$E335,Val!O$10,Val!$C$7,Val!$C335),"")</f>
        <v>-6970.833333333333</v>
      </c>
      <c r="P335" s="2">
        <f ca="1">IF(Flag_Send_Data=1,_xll.DBSW(Val!P335,Val!$C$1,Val!$C$2,Val!$C$3,Val!$C$4,Val!$D335,Val!$C$5,Val!$C$6,Val!$B335,Val!$E335,Val!P$10,Val!$C$7,Val!$C335),"")</f>
        <v>-6970.833333333333</v>
      </c>
      <c r="Q335" s="2">
        <f ca="1">IF(Flag_Send_Data=1,_xll.DBSW(Val!Q335,Val!$C$1,Val!$C$2,Val!$C$3,Val!$C$4,Val!$D335,Val!$C$5,Val!$C$6,Val!$B335,Val!$E335,Val!Q$10,Val!$C$7,Val!$C335),"")</f>
        <v>-6970.833333333333</v>
      </c>
    </row>
    <row r="336" spans="2:17" x14ac:dyDescent="0.25">
      <c r="B336" s="3" t="s">
        <v>283</v>
      </c>
      <c r="C336" t="s">
        <v>49</v>
      </c>
      <c r="D336" t="s">
        <v>229</v>
      </c>
      <c r="E336" t="s">
        <v>128</v>
      </c>
      <c r="F336" s="2">
        <f ca="1">IF(Flag_Send_Data=1,_xll.DBSW(Val!F336,Val!$C$1,Val!$C$2,Val!$C$3,Val!$C$4,Val!$D336,Val!$C$5,Val!$C$6,Val!$B336,Val!$E336,Val!F$10,Val!$C$7,Val!$C336),"")</f>
        <v>-333.33333333333331</v>
      </c>
      <c r="G336" s="2">
        <f ca="1">IF(Flag_Send_Data=1,_xll.DBSW(Val!G336,Val!$C$1,Val!$C$2,Val!$C$3,Val!$C$4,Val!$D336,Val!$C$5,Val!$C$6,Val!$B336,Val!$E336,Val!G$10,Val!$C$7,Val!$C336),"")</f>
        <v>-333.33333333333331</v>
      </c>
      <c r="H336" s="2">
        <f ca="1">IF(Flag_Send_Data=1,_xll.DBSW(Val!H336,Val!$C$1,Val!$C$2,Val!$C$3,Val!$C$4,Val!$D336,Val!$C$5,Val!$C$6,Val!$B336,Val!$E336,Val!H$10,Val!$C$7,Val!$C336),"")</f>
        <v>-333.33333333333331</v>
      </c>
      <c r="I336" s="2">
        <f ca="1">IF(Flag_Send_Data=1,_xll.DBSW(Val!I336,Val!$C$1,Val!$C$2,Val!$C$3,Val!$C$4,Val!$D336,Val!$C$5,Val!$C$6,Val!$B336,Val!$E336,Val!I$10,Val!$C$7,Val!$C336),"")</f>
        <v>-333.33333333333331</v>
      </c>
      <c r="J336" s="2">
        <f ca="1">IF(Flag_Send_Data=1,_xll.DBSW(Val!J336,Val!$C$1,Val!$C$2,Val!$C$3,Val!$C$4,Val!$D336,Val!$C$5,Val!$C$6,Val!$B336,Val!$E336,Val!J$10,Val!$C$7,Val!$C336),"")</f>
        <v>-333.33333333333331</v>
      </c>
      <c r="K336" s="2">
        <f ca="1">IF(Flag_Send_Data=1,_xll.DBSW(Val!K336,Val!$C$1,Val!$C$2,Val!$C$3,Val!$C$4,Val!$D336,Val!$C$5,Val!$C$6,Val!$B336,Val!$E336,Val!K$10,Val!$C$7,Val!$C336),"")</f>
        <v>-333.33333333333331</v>
      </c>
      <c r="L336" s="2">
        <f ca="1">IF(Flag_Send_Data=1,_xll.DBSW(Val!L336,Val!$C$1,Val!$C$2,Val!$C$3,Val!$C$4,Val!$D336,Val!$C$5,Val!$C$6,Val!$B336,Val!$E336,Val!L$10,Val!$C$7,Val!$C336),"")</f>
        <v>-333.33333333333331</v>
      </c>
      <c r="M336" s="2">
        <f ca="1">IF(Flag_Send_Data=1,_xll.DBSW(Val!M336,Val!$C$1,Val!$C$2,Val!$C$3,Val!$C$4,Val!$D336,Val!$C$5,Val!$C$6,Val!$B336,Val!$E336,Val!M$10,Val!$C$7,Val!$C336),"")</f>
        <v>-333.33333333333331</v>
      </c>
      <c r="N336" s="2">
        <f ca="1">IF(Flag_Send_Data=1,_xll.DBSW(Val!N336,Val!$C$1,Val!$C$2,Val!$C$3,Val!$C$4,Val!$D336,Val!$C$5,Val!$C$6,Val!$B336,Val!$E336,Val!N$10,Val!$C$7,Val!$C336),"")</f>
        <v>-333.33333333333331</v>
      </c>
      <c r="O336" s="2">
        <f ca="1">IF(Flag_Send_Data=1,_xll.DBSW(Val!O336,Val!$C$1,Val!$C$2,Val!$C$3,Val!$C$4,Val!$D336,Val!$C$5,Val!$C$6,Val!$B336,Val!$E336,Val!O$10,Val!$C$7,Val!$C336),"")</f>
        <v>-333.33333333333331</v>
      </c>
      <c r="P336" s="2">
        <f ca="1">IF(Flag_Send_Data=1,_xll.DBSW(Val!P336,Val!$C$1,Val!$C$2,Val!$C$3,Val!$C$4,Val!$D336,Val!$C$5,Val!$C$6,Val!$B336,Val!$E336,Val!P$10,Val!$C$7,Val!$C336),"")</f>
        <v>-333.33333333333331</v>
      </c>
      <c r="Q336" s="2">
        <f ca="1">IF(Flag_Send_Data=1,_xll.DBSW(Val!Q336,Val!$C$1,Val!$C$2,Val!$C$3,Val!$C$4,Val!$D336,Val!$C$5,Val!$C$6,Val!$B336,Val!$E336,Val!Q$10,Val!$C$7,Val!$C336),"")</f>
        <v>-333.33333333333331</v>
      </c>
    </row>
    <row r="337" spans="2:17" x14ac:dyDescent="0.25">
      <c r="B337" s="3" t="s">
        <v>283</v>
      </c>
      <c r="C337" t="s">
        <v>50</v>
      </c>
      <c r="D337" t="s">
        <v>229</v>
      </c>
      <c r="E337" t="s">
        <v>128</v>
      </c>
      <c r="F337" s="2">
        <f ca="1">IF(Flag_Send_Data=1,_xll.DBSW(Val!F337,Val!$C$1,Val!$C$2,Val!$C$3,Val!$C$4,Val!$D337,Val!$C$5,Val!$C$6,Val!$B337,Val!$E337,Val!F$10,Val!$C$7,Val!$C337),"")</f>
        <v>-566.66666666666663</v>
      </c>
      <c r="G337" s="2">
        <f ca="1">IF(Flag_Send_Data=1,_xll.DBSW(Val!G337,Val!$C$1,Val!$C$2,Val!$C$3,Val!$C$4,Val!$D337,Val!$C$5,Val!$C$6,Val!$B337,Val!$E337,Val!G$10,Val!$C$7,Val!$C337),"")</f>
        <v>-566.66666666666663</v>
      </c>
      <c r="H337" s="2">
        <f ca="1">IF(Flag_Send_Data=1,_xll.DBSW(Val!H337,Val!$C$1,Val!$C$2,Val!$C$3,Val!$C$4,Val!$D337,Val!$C$5,Val!$C$6,Val!$B337,Val!$E337,Val!H$10,Val!$C$7,Val!$C337),"")</f>
        <v>-566.66666666666663</v>
      </c>
      <c r="I337" s="2">
        <f ca="1">IF(Flag_Send_Data=1,_xll.DBSW(Val!I337,Val!$C$1,Val!$C$2,Val!$C$3,Val!$C$4,Val!$D337,Val!$C$5,Val!$C$6,Val!$B337,Val!$E337,Val!I$10,Val!$C$7,Val!$C337),"")</f>
        <v>-566.66666666666663</v>
      </c>
      <c r="J337" s="2">
        <f ca="1">IF(Flag_Send_Data=1,_xll.DBSW(Val!J337,Val!$C$1,Val!$C$2,Val!$C$3,Val!$C$4,Val!$D337,Val!$C$5,Val!$C$6,Val!$B337,Val!$E337,Val!J$10,Val!$C$7,Val!$C337),"")</f>
        <v>-566.66666666666663</v>
      </c>
      <c r="K337" s="2">
        <f ca="1">IF(Flag_Send_Data=1,_xll.DBSW(Val!K337,Val!$C$1,Val!$C$2,Val!$C$3,Val!$C$4,Val!$D337,Val!$C$5,Val!$C$6,Val!$B337,Val!$E337,Val!K$10,Val!$C$7,Val!$C337),"")</f>
        <v>-566.66666666666663</v>
      </c>
      <c r="L337" s="2">
        <f ca="1">IF(Flag_Send_Data=1,_xll.DBSW(Val!L337,Val!$C$1,Val!$C$2,Val!$C$3,Val!$C$4,Val!$D337,Val!$C$5,Val!$C$6,Val!$B337,Val!$E337,Val!L$10,Val!$C$7,Val!$C337),"")</f>
        <v>-566.66666666666663</v>
      </c>
      <c r="M337" s="2">
        <f ca="1">IF(Flag_Send_Data=1,_xll.DBSW(Val!M337,Val!$C$1,Val!$C$2,Val!$C$3,Val!$C$4,Val!$D337,Val!$C$5,Val!$C$6,Val!$B337,Val!$E337,Val!M$10,Val!$C$7,Val!$C337),"")</f>
        <v>-566.66666666666663</v>
      </c>
      <c r="N337" s="2">
        <f ca="1">IF(Flag_Send_Data=1,_xll.DBSW(Val!N337,Val!$C$1,Val!$C$2,Val!$C$3,Val!$C$4,Val!$D337,Val!$C$5,Val!$C$6,Val!$B337,Val!$E337,Val!N$10,Val!$C$7,Val!$C337),"")</f>
        <v>-566.66666666666663</v>
      </c>
      <c r="O337" s="2">
        <f ca="1">IF(Flag_Send_Data=1,_xll.DBSW(Val!O337,Val!$C$1,Val!$C$2,Val!$C$3,Val!$C$4,Val!$D337,Val!$C$5,Val!$C$6,Val!$B337,Val!$E337,Val!O$10,Val!$C$7,Val!$C337),"")</f>
        <v>-566.66666666666663</v>
      </c>
      <c r="P337" s="2">
        <f ca="1">IF(Flag_Send_Data=1,_xll.DBSW(Val!P337,Val!$C$1,Val!$C$2,Val!$C$3,Val!$C$4,Val!$D337,Val!$C$5,Val!$C$6,Val!$B337,Val!$E337,Val!P$10,Val!$C$7,Val!$C337),"")</f>
        <v>-566.66666666666663</v>
      </c>
      <c r="Q337" s="2">
        <f ca="1">IF(Flag_Send_Data=1,_xll.DBSW(Val!Q337,Val!$C$1,Val!$C$2,Val!$C$3,Val!$C$4,Val!$D337,Val!$C$5,Val!$C$6,Val!$B337,Val!$E337,Val!Q$10,Val!$C$7,Val!$C337),"")</f>
        <v>-566.66666666666663</v>
      </c>
    </row>
    <row r="338" spans="2:17" x14ac:dyDescent="0.25">
      <c r="B338" s="3" t="s">
        <v>283</v>
      </c>
      <c r="C338" t="s">
        <v>126</v>
      </c>
      <c r="D338" t="s">
        <v>229</v>
      </c>
      <c r="E338" t="s">
        <v>175</v>
      </c>
      <c r="F338" s="2">
        <f ca="1">IF(Flag_Send_Data=1,_xll.DBSW(Val!F338,Val!$C$1,Val!$C$2,Val!$C$3,Val!$C$4,Val!$D338,Val!$C$5,Val!$C$6,Val!$B338,Val!$E338,Val!F$10,Val!$C$7,Val!$C338),"")</f>
        <v>-541.66666666666663</v>
      </c>
      <c r="G338" s="2">
        <f ca="1">IF(Flag_Send_Data=1,_xll.DBSW(Val!G338,Val!$C$1,Val!$C$2,Val!$C$3,Val!$C$4,Val!$D338,Val!$C$5,Val!$C$6,Val!$B338,Val!$E338,Val!G$10,Val!$C$7,Val!$C338),"")</f>
        <v>-541.66666666666663</v>
      </c>
      <c r="H338" s="2">
        <f ca="1">IF(Flag_Send_Data=1,_xll.DBSW(Val!H338,Val!$C$1,Val!$C$2,Val!$C$3,Val!$C$4,Val!$D338,Val!$C$5,Val!$C$6,Val!$B338,Val!$E338,Val!H$10,Val!$C$7,Val!$C338),"")</f>
        <v>-541.66666666666663</v>
      </c>
      <c r="I338" s="2">
        <f ca="1">IF(Flag_Send_Data=1,_xll.DBSW(Val!I338,Val!$C$1,Val!$C$2,Val!$C$3,Val!$C$4,Val!$D338,Val!$C$5,Val!$C$6,Val!$B338,Val!$E338,Val!I$10,Val!$C$7,Val!$C338),"")</f>
        <v>-541.66666666666663</v>
      </c>
      <c r="J338" s="2">
        <f ca="1">IF(Flag_Send_Data=1,_xll.DBSW(Val!J338,Val!$C$1,Val!$C$2,Val!$C$3,Val!$C$4,Val!$D338,Val!$C$5,Val!$C$6,Val!$B338,Val!$E338,Val!J$10,Val!$C$7,Val!$C338),"")</f>
        <v>-541.66666666666663</v>
      </c>
      <c r="K338" s="2">
        <f ca="1">IF(Flag_Send_Data=1,_xll.DBSW(Val!K338,Val!$C$1,Val!$C$2,Val!$C$3,Val!$C$4,Val!$D338,Val!$C$5,Val!$C$6,Val!$B338,Val!$E338,Val!K$10,Val!$C$7,Val!$C338),"")</f>
        <v>-541.66666666666663</v>
      </c>
      <c r="L338" s="2">
        <f ca="1">IF(Flag_Send_Data=1,_xll.DBSW(Val!L338,Val!$C$1,Val!$C$2,Val!$C$3,Val!$C$4,Val!$D338,Val!$C$5,Val!$C$6,Val!$B338,Val!$E338,Val!L$10,Val!$C$7,Val!$C338),"")</f>
        <v>-541.66666666666663</v>
      </c>
      <c r="M338" s="2">
        <f ca="1">IF(Flag_Send_Data=1,_xll.DBSW(Val!M338,Val!$C$1,Val!$C$2,Val!$C$3,Val!$C$4,Val!$D338,Val!$C$5,Val!$C$6,Val!$B338,Val!$E338,Val!M$10,Val!$C$7,Val!$C338),"")</f>
        <v>-541.66666666666663</v>
      </c>
      <c r="N338" s="2">
        <f ca="1">IF(Flag_Send_Data=1,_xll.DBSW(Val!N338,Val!$C$1,Val!$C$2,Val!$C$3,Val!$C$4,Val!$D338,Val!$C$5,Val!$C$6,Val!$B338,Val!$E338,Val!N$10,Val!$C$7,Val!$C338),"")</f>
        <v>-541.66666666666663</v>
      </c>
      <c r="O338" s="2">
        <f ca="1">IF(Flag_Send_Data=1,_xll.DBSW(Val!O338,Val!$C$1,Val!$C$2,Val!$C$3,Val!$C$4,Val!$D338,Val!$C$5,Val!$C$6,Val!$B338,Val!$E338,Val!O$10,Val!$C$7,Val!$C338),"")</f>
        <v>-541.66666666666663</v>
      </c>
      <c r="P338" s="2">
        <f ca="1">IF(Flag_Send_Data=1,_xll.DBSW(Val!P338,Val!$C$1,Val!$C$2,Val!$C$3,Val!$C$4,Val!$D338,Val!$C$5,Val!$C$6,Val!$B338,Val!$E338,Val!P$10,Val!$C$7,Val!$C338),"")</f>
        <v>-541.66666666666663</v>
      </c>
      <c r="Q338" s="2">
        <f ca="1">IF(Flag_Send_Data=1,_xll.DBSW(Val!Q338,Val!$C$1,Val!$C$2,Val!$C$3,Val!$C$4,Val!$D338,Val!$C$5,Val!$C$6,Val!$B338,Val!$E338,Val!Q$10,Val!$C$7,Val!$C338),"")</f>
        <v>-541.66666666666663</v>
      </c>
    </row>
    <row r="339" spans="2:17" x14ac:dyDescent="0.25">
      <c r="B339" t="s">
        <v>283</v>
      </c>
      <c r="C339" t="s">
        <v>126</v>
      </c>
      <c r="D339" t="s">
        <v>229</v>
      </c>
      <c r="E339" t="s">
        <v>159</v>
      </c>
      <c r="F339" s="2">
        <f ca="1">IF(Flag_Send_Data=1,_xll.DBSW(Val!F339,Val!$C$1,Val!$C$2,Val!$C$3,Val!$C$4,Val!$D339,Val!$C$5,Val!$C$6,Val!$B339,Val!$E339,Val!F$10,Val!$C$7,Val!$C339),"")</f>
        <v>-13482.25</v>
      </c>
      <c r="G339" s="2">
        <f ca="1">IF(Flag_Send_Data=1,_xll.DBSW(Val!G339,Val!$C$1,Val!$C$2,Val!$C$3,Val!$C$4,Val!$D339,Val!$C$5,Val!$C$6,Val!$B339,Val!$E339,Val!G$10,Val!$C$7,Val!$C339),"")</f>
        <v>-13482.25</v>
      </c>
      <c r="H339" s="2">
        <f ca="1">IF(Flag_Send_Data=1,_xll.DBSW(Val!H339,Val!$C$1,Val!$C$2,Val!$C$3,Val!$C$4,Val!$D339,Val!$C$5,Val!$C$6,Val!$B339,Val!$E339,Val!H$10,Val!$C$7,Val!$C339),"")</f>
        <v>-13482.25</v>
      </c>
      <c r="I339" s="2">
        <f ca="1">IF(Flag_Send_Data=1,_xll.DBSW(Val!I339,Val!$C$1,Val!$C$2,Val!$C$3,Val!$C$4,Val!$D339,Val!$C$5,Val!$C$6,Val!$B339,Val!$E339,Val!I$10,Val!$C$7,Val!$C339),"")</f>
        <v>-13482.25</v>
      </c>
      <c r="J339" s="2">
        <f ca="1">IF(Flag_Send_Data=1,_xll.DBSW(Val!J339,Val!$C$1,Val!$C$2,Val!$C$3,Val!$C$4,Val!$D339,Val!$C$5,Val!$C$6,Val!$B339,Val!$E339,Val!J$10,Val!$C$7,Val!$C339),"")</f>
        <v>-13482.25</v>
      </c>
      <c r="K339" s="2">
        <f ca="1">IF(Flag_Send_Data=1,_xll.DBSW(Val!K339,Val!$C$1,Val!$C$2,Val!$C$3,Val!$C$4,Val!$D339,Val!$C$5,Val!$C$6,Val!$B339,Val!$E339,Val!K$10,Val!$C$7,Val!$C339),"")</f>
        <v>-13482.25</v>
      </c>
      <c r="L339" s="2">
        <f ca="1">IF(Flag_Send_Data=1,_xll.DBSW(Val!L339,Val!$C$1,Val!$C$2,Val!$C$3,Val!$C$4,Val!$D339,Val!$C$5,Val!$C$6,Val!$B339,Val!$E339,Val!L$10,Val!$C$7,Val!$C339),"")</f>
        <v>-13482.25</v>
      </c>
      <c r="M339" s="2">
        <f ca="1">IF(Flag_Send_Data=1,_xll.DBSW(Val!M339,Val!$C$1,Val!$C$2,Val!$C$3,Val!$C$4,Val!$D339,Val!$C$5,Val!$C$6,Val!$B339,Val!$E339,Val!M$10,Val!$C$7,Val!$C339),"")</f>
        <v>-13482.25</v>
      </c>
      <c r="N339" s="2">
        <f ca="1">IF(Flag_Send_Data=1,_xll.DBSW(Val!N339,Val!$C$1,Val!$C$2,Val!$C$3,Val!$C$4,Val!$D339,Val!$C$5,Val!$C$6,Val!$B339,Val!$E339,Val!N$10,Val!$C$7,Val!$C339),"")</f>
        <v>-13482.25</v>
      </c>
      <c r="O339" s="2">
        <f ca="1">IF(Flag_Send_Data=1,_xll.DBSW(Val!O339,Val!$C$1,Val!$C$2,Val!$C$3,Val!$C$4,Val!$D339,Val!$C$5,Val!$C$6,Val!$B339,Val!$E339,Val!O$10,Val!$C$7,Val!$C339),"")</f>
        <v>-13482.25</v>
      </c>
      <c r="P339" s="2">
        <f ca="1">IF(Flag_Send_Data=1,_xll.DBSW(Val!P339,Val!$C$1,Val!$C$2,Val!$C$3,Val!$C$4,Val!$D339,Val!$C$5,Val!$C$6,Val!$B339,Val!$E339,Val!P$10,Val!$C$7,Val!$C339),"")</f>
        <v>-13482.25</v>
      </c>
      <c r="Q339" s="2">
        <f ca="1">IF(Flag_Send_Data=1,_xll.DBSW(Val!Q339,Val!$C$1,Val!$C$2,Val!$C$3,Val!$C$4,Val!$D339,Val!$C$5,Val!$C$6,Val!$B339,Val!$E339,Val!Q$10,Val!$C$7,Val!$C339),"")</f>
        <v>-13482.25</v>
      </c>
    </row>
    <row r="340" spans="2:17" x14ac:dyDescent="0.25">
      <c r="B340" s="3" t="s">
        <v>283</v>
      </c>
      <c r="C340" t="s">
        <v>64</v>
      </c>
      <c r="D340" t="s">
        <v>229</v>
      </c>
      <c r="E340" t="s">
        <v>128</v>
      </c>
      <c r="F340" s="2">
        <f ca="1">IF(Flag_Send_Data=1,_xll.DBSW(Val!F340,Val!$C$1,Val!$C$2,Val!$C$3,Val!$C$4,Val!$D340,Val!$C$5,Val!$C$6,Val!$B340,Val!$E340,Val!F$10,Val!$C$7,Val!$C340),"")</f>
        <v>-1148.2467592592593</v>
      </c>
      <c r="G340" s="2">
        <f ca="1">IF(Flag_Send_Data=1,_xll.DBSW(Val!G340,Val!$C$1,Val!$C$2,Val!$C$3,Val!$C$4,Val!$D340,Val!$C$5,Val!$C$6,Val!$B340,Val!$E340,Val!G$10,Val!$C$7,Val!$C340),"")</f>
        <v>-1148.2467592592593</v>
      </c>
      <c r="H340" s="2">
        <f ca="1">IF(Flag_Send_Data=1,_xll.DBSW(Val!H340,Val!$C$1,Val!$C$2,Val!$C$3,Val!$C$4,Val!$D340,Val!$C$5,Val!$C$6,Val!$B340,Val!$E340,Val!H$10,Val!$C$7,Val!$C340),"")</f>
        <v>-1148.2467592592593</v>
      </c>
      <c r="I340" s="2">
        <f ca="1">IF(Flag_Send_Data=1,_xll.DBSW(Val!I340,Val!$C$1,Val!$C$2,Val!$C$3,Val!$C$4,Val!$D340,Val!$C$5,Val!$C$6,Val!$B340,Val!$E340,Val!I$10,Val!$C$7,Val!$C340),"")</f>
        <v>-1148.2467592592593</v>
      </c>
      <c r="J340" s="2">
        <f ca="1">IF(Flag_Send_Data=1,_xll.DBSW(Val!J340,Val!$C$1,Val!$C$2,Val!$C$3,Val!$C$4,Val!$D340,Val!$C$5,Val!$C$6,Val!$B340,Val!$E340,Val!J$10,Val!$C$7,Val!$C340),"")</f>
        <v>-1148.2467592592593</v>
      </c>
      <c r="K340" s="2">
        <f ca="1">IF(Flag_Send_Data=1,_xll.DBSW(Val!K340,Val!$C$1,Val!$C$2,Val!$C$3,Val!$C$4,Val!$D340,Val!$C$5,Val!$C$6,Val!$B340,Val!$E340,Val!K$10,Val!$C$7,Val!$C340),"")</f>
        <v>-1148.2467592592593</v>
      </c>
      <c r="L340" s="2">
        <f ca="1">IF(Flag_Send_Data=1,_xll.DBSW(Val!L340,Val!$C$1,Val!$C$2,Val!$C$3,Val!$C$4,Val!$D340,Val!$C$5,Val!$C$6,Val!$B340,Val!$E340,Val!L$10,Val!$C$7,Val!$C340),"")</f>
        <v>-1148.2467592592593</v>
      </c>
      <c r="M340" s="2">
        <f ca="1">IF(Flag_Send_Data=1,_xll.DBSW(Val!M340,Val!$C$1,Val!$C$2,Val!$C$3,Val!$C$4,Val!$D340,Val!$C$5,Val!$C$6,Val!$B340,Val!$E340,Val!M$10,Val!$C$7,Val!$C340),"")</f>
        <v>-1148.2467592592593</v>
      </c>
      <c r="N340" s="2">
        <f ca="1">IF(Flag_Send_Data=1,_xll.DBSW(Val!N340,Val!$C$1,Val!$C$2,Val!$C$3,Val!$C$4,Val!$D340,Val!$C$5,Val!$C$6,Val!$B340,Val!$E340,Val!N$10,Val!$C$7,Val!$C340),"")</f>
        <v>-1148.2467592592593</v>
      </c>
      <c r="O340" s="2">
        <f ca="1">IF(Flag_Send_Data=1,_xll.DBSW(Val!O340,Val!$C$1,Val!$C$2,Val!$C$3,Val!$C$4,Val!$D340,Val!$C$5,Val!$C$6,Val!$B340,Val!$E340,Val!O$10,Val!$C$7,Val!$C340),"")</f>
        <v>-1148.2467592592593</v>
      </c>
      <c r="P340" s="2">
        <f ca="1">IF(Flag_Send_Data=1,_xll.DBSW(Val!P340,Val!$C$1,Val!$C$2,Val!$C$3,Val!$C$4,Val!$D340,Val!$C$5,Val!$C$6,Val!$B340,Val!$E340,Val!P$10,Val!$C$7,Val!$C340),"")</f>
        <v>-1148.2467592592593</v>
      </c>
      <c r="Q340" s="2">
        <f ca="1">IF(Flag_Send_Data=1,_xll.DBSW(Val!Q340,Val!$C$1,Val!$C$2,Val!$C$3,Val!$C$4,Val!$D340,Val!$C$5,Val!$C$6,Val!$B340,Val!$E340,Val!Q$10,Val!$C$7,Val!$C340),"")</f>
        <v>-1148.2467592592593</v>
      </c>
    </row>
    <row r="341" spans="2:17" x14ac:dyDescent="0.25">
      <c r="B341" s="3" t="s">
        <v>284</v>
      </c>
      <c r="C341" t="s">
        <v>64</v>
      </c>
      <c r="D341" t="s">
        <v>228</v>
      </c>
      <c r="E341" t="s">
        <v>128</v>
      </c>
      <c r="F341" s="2">
        <f ca="1">IF(Flag_Send_Data=1,_xll.DBSW(Val!F341,Val!$C$1,Val!$C$2,Val!$C$3,Val!$C$4,Val!$D341,Val!$C$5,Val!$C$6,Val!$B341,Val!$E341,Val!F$10,Val!$C$7,Val!$C341),"")</f>
        <v>-56.246833333333335</v>
      </c>
      <c r="G341" s="2">
        <f ca="1">IF(Flag_Send_Data=1,_xll.DBSW(Val!G341,Val!$C$1,Val!$C$2,Val!$C$3,Val!$C$4,Val!$D341,Val!$C$5,Val!$C$6,Val!$B341,Val!$E341,Val!G$10,Val!$C$7,Val!$C341),"")</f>
        <v>-56.246833333333335</v>
      </c>
      <c r="H341" s="2">
        <f ca="1">IF(Flag_Send_Data=1,_xll.DBSW(Val!H341,Val!$C$1,Val!$C$2,Val!$C$3,Val!$C$4,Val!$D341,Val!$C$5,Val!$C$6,Val!$B341,Val!$E341,Val!H$10,Val!$C$7,Val!$C341),"")</f>
        <v>-56.246833333333335</v>
      </c>
      <c r="I341" s="2">
        <f ca="1">IF(Flag_Send_Data=1,_xll.DBSW(Val!I341,Val!$C$1,Val!$C$2,Val!$C$3,Val!$C$4,Val!$D341,Val!$C$5,Val!$C$6,Val!$B341,Val!$E341,Val!I$10,Val!$C$7,Val!$C341),"")</f>
        <v>-56.246833333333335</v>
      </c>
      <c r="J341" s="2">
        <f ca="1">IF(Flag_Send_Data=1,_xll.DBSW(Val!J341,Val!$C$1,Val!$C$2,Val!$C$3,Val!$C$4,Val!$D341,Val!$C$5,Val!$C$6,Val!$B341,Val!$E341,Val!J$10,Val!$C$7,Val!$C341),"")</f>
        <v>-56.246833333333335</v>
      </c>
      <c r="K341" s="2">
        <f ca="1">IF(Flag_Send_Data=1,_xll.DBSW(Val!K341,Val!$C$1,Val!$C$2,Val!$C$3,Val!$C$4,Val!$D341,Val!$C$5,Val!$C$6,Val!$B341,Val!$E341,Val!K$10,Val!$C$7,Val!$C341),"")</f>
        <v>-56.246833333333335</v>
      </c>
      <c r="L341" s="2">
        <f ca="1">IF(Flag_Send_Data=1,_xll.DBSW(Val!L341,Val!$C$1,Val!$C$2,Val!$C$3,Val!$C$4,Val!$D341,Val!$C$5,Val!$C$6,Val!$B341,Val!$E341,Val!L$10,Val!$C$7,Val!$C341),"")</f>
        <v>-56.246833333333335</v>
      </c>
      <c r="M341" s="2">
        <f ca="1">IF(Flag_Send_Data=1,_xll.DBSW(Val!M341,Val!$C$1,Val!$C$2,Val!$C$3,Val!$C$4,Val!$D341,Val!$C$5,Val!$C$6,Val!$B341,Val!$E341,Val!M$10,Val!$C$7,Val!$C341),"")</f>
        <v>-56.246833333333335</v>
      </c>
      <c r="N341" s="2">
        <f ca="1">IF(Flag_Send_Data=1,_xll.DBSW(Val!N341,Val!$C$1,Val!$C$2,Val!$C$3,Val!$C$4,Val!$D341,Val!$C$5,Val!$C$6,Val!$B341,Val!$E341,Val!N$10,Val!$C$7,Val!$C341),"")</f>
        <v>-56.246833333333335</v>
      </c>
      <c r="O341" s="2">
        <f ca="1">IF(Flag_Send_Data=1,_xll.DBSW(Val!O341,Val!$C$1,Val!$C$2,Val!$C$3,Val!$C$4,Val!$D341,Val!$C$5,Val!$C$6,Val!$B341,Val!$E341,Val!O$10,Val!$C$7,Val!$C341),"")</f>
        <v>-56.246833333333335</v>
      </c>
      <c r="P341" s="2">
        <f ca="1">IF(Flag_Send_Data=1,_xll.DBSW(Val!P341,Val!$C$1,Val!$C$2,Val!$C$3,Val!$C$4,Val!$D341,Val!$C$5,Val!$C$6,Val!$B341,Val!$E341,Val!P$10,Val!$C$7,Val!$C341),"")</f>
        <v>-56.246833333333335</v>
      </c>
      <c r="Q341" s="2">
        <f ca="1">IF(Flag_Send_Data=1,_xll.DBSW(Val!Q341,Val!$C$1,Val!$C$2,Val!$C$3,Val!$C$4,Val!$D341,Val!$C$5,Val!$C$6,Val!$B341,Val!$E341,Val!Q$10,Val!$C$7,Val!$C341),"")</f>
        <v>-56.246833333333335</v>
      </c>
    </row>
    <row r="342" spans="2:17" x14ac:dyDescent="0.25">
      <c r="B342" s="3" t="s">
        <v>285</v>
      </c>
      <c r="C342" t="s">
        <v>18</v>
      </c>
      <c r="D342" t="s">
        <v>199</v>
      </c>
      <c r="E342" t="s">
        <v>128</v>
      </c>
      <c r="F342" s="2">
        <f ca="1">IF(Flag_Send_Data=1,_xll.DBSW(Val!F342,Val!$C$1,Val!$C$2,Val!$C$3,Val!$C$4,Val!$D342,Val!$C$5,Val!$C$6,Val!$B342,Val!$E342,Val!F$10,Val!$C$7,Val!$C342),"")</f>
        <v>-55583.333333333336</v>
      </c>
      <c r="G342" s="2">
        <f ca="1">IF(Flag_Send_Data=1,_xll.DBSW(Val!G342,Val!$C$1,Val!$C$2,Val!$C$3,Val!$C$4,Val!$D342,Val!$C$5,Val!$C$6,Val!$B342,Val!$E342,Val!G$10,Val!$C$7,Val!$C342),"")</f>
        <v>-55583.333333333336</v>
      </c>
      <c r="H342" s="2">
        <f ca="1">IF(Flag_Send_Data=1,_xll.DBSW(Val!H342,Val!$C$1,Val!$C$2,Val!$C$3,Val!$C$4,Val!$D342,Val!$C$5,Val!$C$6,Val!$B342,Val!$E342,Val!H$10,Val!$C$7,Val!$C342),"")</f>
        <v>-55583.333333333336</v>
      </c>
      <c r="I342" s="2">
        <f ca="1">IF(Flag_Send_Data=1,_xll.DBSW(Val!I342,Val!$C$1,Val!$C$2,Val!$C$3,Val!$C$4,Val!$D342,Val!$C$5,Val!$C$6,Val!$B342,Val!$E342,Val!I$10,Val!$C$7,Val!$C342),"")</f>
        <v>-55583.333333333336</v>
      </c>
      <c r="J342" s="2">
        <f ca="1">IF(Flag_Send_Data=1,_xll.DBSW(Val!J342,Val!$C$1,Val!$C$2,Val!$C$3,Val!$C$4,Val!$D342,Val!$C$5,Val!$C$6,Val!$B342,Val!$E342,Val!J$10,Val!$C$7,Val!$C342),"")</f>
        <v>-55583.333333333336</v>
      </c>
      <c r="K342" s="2">
        <f ca="1">IF(Flag_Send_Data=1,_xll.DBSW(Val!K342,Val!$C$1,Val!$C$2,Val!$C$3,Val!$C$4,Val!$D342,Val!$C$5,Val!$C$6,Val!$B342,Val!$E342,Val!K$10,Val!$C$7,Val!$C342),"")</f>
        <v>-55583.333333333336</v>
      </c>
      <c r="L342" s="2">
        <f ca="1">IF(Flag_Send_Data=1,_xll.DBSW(Val!L342,Val!$C$1,Val!$C$2,Val!$C$3,Val!$C$4,Val!$D342,Val!$C$5,Val!$C$6,Val!$B342,Val!$E342,Val!L$10,Val!$C$7,Val!$C342),"")</f>
        <v>-55583.333333333336</v>
      </c>
      <c r="M342" s="2">
        <f ca="1">IF(Flag_Send_Data=1,_xll.DBSW(Val!M342,Val!$C$1,Val!$C$2,Val!$C$3,Val!$C$4,Val!$D342,Val!$C$5,Val!$C$6,Val!$B342,Val!$E342,Val!M$10,Val!$C$7,Val!$C342),"")</f>
        <v>-55583.333333333336</v>
      </c>
      <c r="N342" s="2">
        <f ca="1">IF(Flag_Send_Data=1,_xll.DBSW(Val!N342,Val!$C$1,Val!$C$2,Val!$C$3,Val!$C$4,Val!$D342,Val!$C$5,Val!$C$6,Val!$B342,Val!$E342,Val!N$10,Val!$C$7,Val!$C342),"")</f>
        <v>-55583.333333333336</v>
      </c>
      <c r="O342" s="2">
        <f ca="1">IF(Flag_Send_Data=1,_xll.DBSW(Val!O342,Val!$C$1,Val!$C$2,Val!$C$3,Val!$C$4,Val!$D342,Val!$C$5,Val!$C$6,Val!$B342,Val!$E342,Val!O$10,Val!$C$7,Val!$C342),"")</f>
        <v>-55583.333333333336</v>
      </c>
      <c r="P342" s="2">
        <f ca="1">IF(Flag_Send_Data=1,_xll.DBSW(Val!P342,Val!$C$1,Val!$C$2,Val!$C$3,Val!$C$4,Val!$D342,Val!$C$5,Val!$C$6,Val!$B342,Val!$E342,Val!P$10,Val!$C$7,Val!$C342),"")</f>
        <v>-55583.333333333336</v>
      </c>
      <c r="Q342" s="2">
        <f ca="1">IF(Flag_Send_Data=1,_xll.DBSW(Val!Q342,Val!$C$1,Val!$C$2,Val!$C$3,Val!$C$4,Val!$D342,Val!$C$5,Val!$C$6,Val!$B342,Val!$E342,Val!Q$10,Val!$C$7,Val!$C342),"")</f>
        <v>-55583.333333333336</v>
      </c>
    </row>
    <row r="343" spans="2:17" x14ac:dyDescent="0.25">
      <c r="B343" s="3" t="s">
        <v>285</v>
      </c>
      <c r="C343" t="s">
        <v>20</v>
      </c>
      <c r="D343" t="s">
        <v>199</v>
      </c>
      <c r="E343" t="s">
        <v>128</v>
      </c>
      <c r="F343" s="2">
        <f ca="1">IF(Flag_Send_Data=1,_xll.DBSW(Val!F343,Val!$C$1,Val!$C$2,Val!$C$3,Val!$C$4,Val!$D343,Val!$C$5,Val!$C$6,Val!$B343,Val!$E343,Val!F$10,Val!$C$7,Val!$C343),"")</f>
        <v>-8333.3333333333339</v>
      </c>
      <c r="G343" s="2">
        <f ca="1">IF(Flag_Send_Data=1,_xll.DBSW(Val!G343,Val!$C$1,Val!$C$2,Val!$C$3,Val!$C$4,Val!$D343,Val!$C$5,Val!$C$6,Val!$B343,Val!$E343,Val!G$10,Val!$C$7,Val!$C343),"")</f>
        <v>-8333.3333333333339</v>
      </c>
      <c r="H343" s="2">
        <f ca="1">IF(Flag_Send_Data=1,_xll.DBSW(Val!H343,Val!$C$1,Val!$C$2,Val!$C$3,Val!$C$4,Val!$D343,Val!$C$5,Val!$C$6,Val!$B343,Val!$E343,Val!H$10,Val!$C$7,Val!$C343),"")</f>
        <v>-8333.3333333333339</v>
      </c>
      <c r="I343" s="2">
        <f ca="1">IF(Flag_Send_Data=1,_xll.DBSW(Val!I343,Val!$C$1,Val!$C$2,Val!$C$3,Val!$C$4,Val!$D343,Val!$C$5,Val!$C$6,Val!$B343,Val!$E343,Val!I$10,Val!$C$7,Val!$C343),"")</f>
        <v>-8333.3333333333339</v>
      </c>
      <c r="J343" s="2">
        <f ca="1">IF(Flag_Send_Data=1,_xll.DBSW(Val!J343,Val!$C$1,Val!$C$2,Val!$C$3,Val!$C$4,Val!$D343,Val!$C$5,Val!$C$6,Val!$B343,Val!$E343,Val!J$10,Val!$C$7,Val!$C343),"")</f>
        <v>-8333.3333333333339</v>
      </c>
      <c r="K343" s="2">
        <f ca="1">IF(Flag_Send_Data=1,_xll.DBSW(Val!K343,Val!$C$1,Val!$C$2,Val!$C$3,Val!$C$4,Val!$D343,Val!$C$5,Val!$C$6,Val!$B343,Val!$E343,Val!K$10,Val!$C$7,Val!$C343),"")</f>
        <v>-8333.3333333333339</v>
      </c>
      <c r="L343" s="2">
        <f ca="1">IF(Flag_Send_Data=1,_xll.DBSW(Val!L343,Val!$C$1,Val!$C$2,Val!$C$3,Val!$C$4,Val!$D343,Val!$C$5,Val!$C$6,Val!$B343,Val!$E343,Val!L$10,Val!$C$7,Val!$C343),"")</f>
        <v>-8333.3333333333339</v>
      </c>
      <c r="M343" s="2">
        <f ca="1">IF(Flag_Send_Data=1,_xll.DBSW(Val!M343,Val!$C$1,Val!$C$2,Val!$C$3,Val!$C$4,Val!$D343,Val!$C$5,Val!$C$6,Val!$B343,Val!$E343,Val!M$10,Val!$C$7,Val!$C343),"")</f>
        <v>-8333.3333333333339</v>
      </c>
      <c r="N343" s="2">
        <f ca="1">IF(Flag_Send_Data=1,_xll.DBSW(Val!N343,Val!$C$1,Val!$C$2,Val!$C$3,Val!$C$4,Val!$D343,Val!$C$5,Val!$C$6,Val!$B343,Val!$E343,Val!N$10,Val!$C$7,Val!$C343),"")</f>
        <v>-8333.3333333333339</v>
      </c>
      <c r="O343" s="2">
        <f ca="1">IF(Flag_Send_Data=1,_xll.DBSW(Val!O343,Val!$C$1,Val!$C$2,Val!$C$3,Val!$C$4,Val!$D343,Val!$C$5,Val!$C$6,Val!$B343,Val!$E343,Val!O$10,Val!$C$7,Val!$C343),"")</f>
        <v>-8333.3333333333339</v>
      </c>
      <c r="P343" s="2">
        <f ca="1">IF(Flag_Send_Data=1,_xll.DBSW(Val!P343,Val!$C$1,Val!$C$2,Val!$C$3,Val!$C$4,Val!$D343,Val!$C$5,Val!$C$6,Val!$B343,Val!$E343,Val!P$10,Val!$C$7,Val!$C343),"")</f>
        <v>-8333.3333333333339</v>
      </c>
      <c r="Q343" s="2">
        <f ca="1">IF(Flag_Send_Data=1,_xll.DBSW(Val!Q343,Val!$C$1,Val!$C$2,Val!$C$3,Val!$C$4,Val!$D343,Val!$C$5,Val!$C$6,Val!$B343,Val!$E343,Val!Q$10,Val!$C$7,Val!$C343),"")</f>
        <v>-8333.3333333333339</v>
      </c>
    </row>
    <row r="344" spans="2:17" x14ac:dyDescent="0.25">
      <c r="B344" s="3" t="s">
        <v>285</v>
      </c>
      <c r="C344" t="s">
        <v>68</v>
      </c>
      <c r="D344" t="s">
        <v>199</v>
      </c>
      <c r="E344" t="s">
        <v>128</v>
      </c>
      <c r="F344" s="2">
        <f ca="1">IF(Flag_Send_Data=1,_xll.DBSW(Val!F344,Val!$C$1,Val!$C$2,Val!$C$3,Val!$C$4,Val!$D344,Val!$C$5,Val!$C$6,Val!$B344,Val!$E344,Val!F$10,Val!$C$7,Val!$C344),"")</f>
        <v>-75000</v>
      </c>
      <c r="G344" s="2">
        <f ca="1">IF(Flag_Send_Data=1,_xll.DBSW(Val!G344,Val!$C$1,Val!$C$2,Val!$C$3,Val!$C$4,Val!$D344,Val!$C$5,Val!$C$6,Val!$B344,Val!$E344,Val!G$10,Val!$C$7,Val!$C344),"")</f>
        <v>-75000</v>
      </c>
      <c r="H344" s="2">
        <f ca="1">IF(Flag_Send_Data=1,_xll.DBSW(Val!H344,Val!$C$1,Val!$C$2,Val!$C$3,Val!$C$4,Val!$D344,Val!$C$5,Val!$C$6,Val!$B344,Val!$E344,Val!H$10,Val!$C$7,Val!$C344),"")</f>
        <v>-75000</v>
      </c>
      <c r="I344" s="2">
        <f ca="1">IF(Flag_Send_Data=1,_xll.DBSW(Val!I344,Val!$C$1,Val!$C$2,Val!$C$3,Val!$C$4,Val!$D344,Val!$C$5,Val!$C$6,Val!$B344,Val!$E344,Val!I$10,Val!$C$7,Val!$C344),"")</f>
        <v>-75000</v>
      </c>
      <c r="J344" s="2">
        <f ca="1">IF(Flag_Send_Data=1,_xll.DBSW(Val!J344,Val!$C$1,Val!$C$2,Val!$C$3,Val!$C$4,Val!$D344,Val!$C$5,Val!$C$6,Val!$B344,Val!$E344,Val!J$10,Val!$C$7,Val!$C344),"")</f>
        <v>-75000</v>
      </c>
      <c r="K344" s="2">
        <f ca="1">IF(Flag_Send_Data=1,_xll.DBSW(Val!K344,Val!$C$1,Val!$C$2,Val!$C$3,Val!$C$4,Val!$D344,Val!$C$5,Val!$C$6,Val!$B344,Val!$E344,Val!K$10,Val!$C$7,Val!$C344),"")</f>
        <v>-75000</v>
      </c>
      <c r="L344" s="2">
        <f ca="1">IF(Flag_Send_Data=1,_xll.DBSW(Val!L344,Val!$C$1,Val!$C$2,Val!$C$3,Val!$C$4,Val!$D344,Val!$C$5,Val!$C$6,Val!$B344,Val!$E344,Val!L$10,Val!$C$7,Val!$C344),"")</f>
        <v>-75000</v>
      </c>
      <c r="M344" s="2">
        <f ca="1">IF(Flag_Send_Data=1,_xll.DBSW(Val!M344,Val!$C$1,Val!$C$2,Val!$C$3,Val!$C$4,Val!$D344,Val!$C$5,Val!$C$6,Val!$B344,Val!$E344,Val!M$10,Val!$C$7,Val!$C344),"")</f>
        <v>-75000</v>
      </c>
      <c r="N344" s="2">
        <f ca="1">IF(Flag_Send_Data=1,_xll.DBSW(Val!N344,Val!$C$1,Val!$C$2,Val!$C$3,Val!$C$4,Val!$D344,Val!$C$5,Val!$C$6,Val!$B344,Val!$E344,Val!N$10,Val!$C$7,Val!$C344),"")</f>
        <v>-75000</v>
      </c>
      <c r="O344" s="2">
        <f ca="1">IF(Flag_Send_Data=1,_xll.DBSW(Val!O344,Val!$C$1,Val!$C$2,Val!$C$3,Val!$C$4,Val!$D344,Val!$C$5,Val!$C$6,Val!$B344,Val!$E344,Val!O$10,Val!$C$7,Val!$C344),"")</f>
        <v>-75000</v>
      </c>
      <c r="P344" s="2">
        <f ca="1">IF(Flag_Send_Data=1,_xll.DBSW(Val!P344,Val!$C$1,Val!$C$2,Val!$C$3,Val!$C$4,Val!$D344,Val!$C$5,Val!$C$6,Val!$B344,Val!$E344,Val!P$10,Val!$C$7,Val!$C344),"")</f>
        <v>-75000</v>
      </c>
      <c r="Q344" s="2">
        <f ca="1">IF(Flag_Send_Data=1,_xll.DBSW(Val!Q344,Val!$C$1,Val!$C$2,Val!$C$3,Val!$C$4,Val!$D344,Val!$C$5,Val!$C$6,Val!$B344,Val!$E344,Val!Q$10,Val!$C$7,Val!$C344),"")</f>
        <v>-75000</v>
      </c>
    </row>
    <row r="345" spans="2:17" x14ac:dyDescent="0.25">
      <c r="B345" s="3" t="s">
        <v>285</v>
      </c>
      <c r="C345" t="s">
        <v>67</v>
      </c>
      <c r="D345" t="s">
        <v>199</v>
      </c>
      <c r="E345" t="s">
        <v>128</v>
      </c>
      <c r="F345" s="2">
        <f ca="1">IF(Flag_Send_Data=1,_xll.DBSW(Val!F345,Val!$C$1,Val!$C$2,Val!$C$3,Val!$C$4,Val!$D345,Val!$C$5,Val!$C$6,Val!$B345,Val!$E345,Val!F$10,Val!$C$7,Val!$C345),"")</f>
        <v>-25833.333333333332</v>
      </c>
      <c r="G345" s="2">
        <f ca="1">IF(Flag_Send_Data=1,_xll.DBSW(Val!G345,Val!$C$1,Val!$C$2,Val!$C$3,Val!$C$4,Val!$D345,Val!$C$5,Val!$C$6,Val!$B345,Val!$E345,Val!G$10,Val!$C$7,Val!$C345),"")</f>
        <v>-25833.333333333332</v>
      </c>
      <c r="H345" s="2">
        <f ca="1">IF(Flag_Send_Data=1,_xll.DBSW(Val!H345,Val!$C$1,Val!$C$2,Val!$C$3,Val!$C$4,Val!$D345,Val!$C$5,Val!$C$6,Val!$B345,Val!$E345,Val!H$10,Val!$C$7,Val!$C345),"")</f>
        <v>-25833.333333333332</v>
      </c>
      <c r="I345" s="2">
        <f ca="1">IF(Flag_Send_Data=1,_xll.DBSW(Val!I345,Val!$C$1,Val!$C$2,Val!$C$3,Val!$C$4,Val!$D345,Val!$C$5,Val!$C$6,Val!$B345,Val!$E345,Val!I$10,Val!$C$7,Val!$C345),"")</f>
        <v>-25833.333333333332</v>
      </c>
      <c r="J345" s="2">
        <f ca="1">IF(Flag_Send_Data=1,_xll.DBSW(Val!J345,Val!$C$1,Val!$C$2,Val!$C$3,Val!$C$4,Val!$D345,Val!$C$5,Val!$C$6,Val!$B345,Val!$E345,Val!J$10,Val!$C$7,Val!$C345),"")</f>
        <v>-25833.333333333332</v>
      </c>
      <c r="K345" s="2">
        <f ca="1">IF(Flag_Send_Data=1,_xll.DBSW(Val!K345,Val!$C$1,Val!$C$2,Val!$C$3,Val!$C$4,Val!$D345,Val!$C$5,Val!$C$6,Val!$B345,Val!$E345,Val!K$10,Val!$C$7,Val!$C345),"")</f>
        <v>-25833.333333333332</v>
      </c>
      <c r="L345" s="2">
        <f ca="1">IF(Flag_Send_Data=1,_xll.DBSW(Val!L345,Val!$C$1,Val!$C$2,Val!$C$3,Val!$C$4,Val!$D345,Val!$C$5,Val!$C$6,Val!$B345,Val!$E345,Val!L$10,Val!$C$7,Val!$C345),"")</f>
        <v>-25833.333333333332</v>
      </c>
      <c r="M345" s="2">
        <f ca="1">IF(Flag_Send_Data=1,_xll.DBSW(Val!M345,Val!$C$1,Val!$C$2,Val!$C$3,Val!$C$4,Val!$D345,Val!$C$5,Val!$C$6,Val!$B345,Val!$E345,Val!M$10,Val!$C$7,Val!$C345),"")</f>
        <v>-25833.333333333332</v>
      </c>
      <c r="N345" s="2">
        <f ca="1">IF(Flag_Send_Data=1,_xll.DBSW(Val!N345,Val!$C$1,Val!$C$2,Val!$C$3,Val!$C$4,Val!$D345,Val!$C$5,Val!$C$6,Val!$B345,Val!$E345,Val!N$10,Val!$C$7,Val!$C345),"")</f>
        <v>-25833.333333333332</v>
      </c>
      <c r="O345" s="2">
        <f ca="1">IF(Flag_Send_Data=1,_xll.DBSW(Val!O345,Val!$C$1,Val!$C$2,Val!$C$3,Val!$C$4,Val!$D345,Val!$C$5,Val!$C$6,Val!$B345,Val!$E345,Val!O$10,Val!$C$7,Val!$C345),"")</f>
        <v>-25833.333333333332</v>
      </c>
      <c r="P345" s="2">
        <f ca="1">IF(Flag_Send_Data=1,_xll.DBSW(Val!P345,Val!$C$1,Val!$C$2,Val!$C$3,Val!$C$4,Val!$D345,Val!$C$5,Val!$C$6,Val!$B345,Val!$E345,Val!P$10,Val!$C$7,Val!$C345),"")</f>
        <v>-25833.333333333332</v>
      </c>
      <c r="Q345" s="2">
        <f ca="1">IF(Flag_Send_Data=1,_xll.DBSW(Val!Q345,Val!$C$1,Val!$C$2,Val!$C$3,Val!$C$4,Val!$D345,Val!$C$5,Val!$C$6,Val!$B345,Val!$E345,Val!Q$10,Val!$C$7,Val!$C345),"")</f>
        <v>-25833.333333333332</v>
      </c>
    </row>
    <row r="346" spans="2:17" x14ac:dyDescent="0.25">
      <c r="B346" s="3" t="s">
        <v>285</v>
      </c>
      <c r="C346" t="s">
        <v>143</v>
      </c>
      <c r="D346" t="s">
        <v>199</v>
      </c>
      <c r="E346" t="s">
        <v>286</v>
      </c>
      <c r="F346" s="2">
        <f ca="1">IF(Flag_Send_Data=1,_xll.DBSW(Val!F346,Val!$C$1,Val!$C$2,Val!$C$3,Val!$C$4,Val!$D346,Val!$C$5,Val!$C$6,Val!$B346,Val!$E346,Val!F$10,Val!$C$7,Val!$C346),"")</f>
        <v>-6750000</v>
      </c>
      <c r="G346" s="2">
        <f ca="1">IF(Flag_Send_Data=1,_xll.DBSW(Val!G346,Val!$C$1,Val!$C$2,Val!$C$3,Val!$C$4,Val!$D346,Val!$C$5,Val!$C$6,Val!$B346,Val!$E346,Val!G$10,Val!$C$7,Val!$C346),"")</f>
        <v>0</v>
      </c>
      <c r="H346" s="2">
        <f ca="1">IF(Flag_Send_Data=1,_xll.DBSW(Val!H346,Val!$C$1,Val!$C$2,Val!$C$3,Val!$C$4,Val!$D346,Val!$C$5,Val!$C$6,Val!$B346,Val!$E346,Val!H$10,Val!$C$7,Val!$C346),"")</f>
        <v>0</v>
      </c>
      <c r="I346" s="2">
        <f ca="1">IF(Flag_Send_Data=1,_xll.DBSW(Val!I346,Val!$C$1,Val!$C$2,Val!$C$3,Val!$C$4,Val!$D346,Val!$C$5,Val!$C$6,Val!$B346,Val!$E346,Val!I$10,Val!$C$7,Val!$C346),"")</f>
        <v>0</v>
      </c>
      <c r="J346" s="2">
        <f ca="1">IF(Flag_Send_Data=1,_xll.DBSW(Val!J346,Val!$C$1,Val!$C$2,Val!$C$3,Val!$C$4,Val!$D346,Val!$C$5,Val!$C$6,Val!$B346,Val!$E346,Val!J$10,Val!$C$7,Val!$C346),"")</f>
        <v>0</v>
      </c>
      <c r="K346" s="2">
        <f ca="1">IF(Flag_Send_Data=1,_xll.DBSW(Val!K346,Val!$C$1,Val!$C$2,Val!$C$3,Val!$C$4,Val!$D346,Val!$C$5,Val!$C$6,Val!$B346,Val!$E346,Val!K$10,Val!$C$7,Val!$C346),"")</f>
        <v>0</v>
      </c>
      <c r="L346" s="2">
        <f ca="1">IF(Flag_Send_Data=1,_xll.DBSW(Val!L346,Val!$C$1,Val!$C$2,Val!$C$3,Val!$C$4,Val!$D346,Val!$C$5,Val!$C$6,Val!$B346,Val!$E346,Val!L$10,Val!$C$7,Val!$C346),"")</f>
        <v>0</v>
      </c>
      <c r="M346" s="2">
        <f ca="1">IF(Flag_Send_Data=1,_xll.DBSW(Val!M346,Val!$C$1,Val!$C$2,Val!$C$3,Val!$C$4,Val!$D346,Val!$C$5,Val!$C$6,Val!$B346,Val!$E346,Val!M$10,Val!$C$7,Val!$C346),"")</f>
        <v>0</v>
      </c>
      <c r="N346" s="2">
        <f ca="1">IF(Flag_Send_Data=1,_xll.DBSW(Val!N346,Val!$C$1,Val!$C$2,Val!$C$3,Val!$C$4,Val!$D346,Val!$C$5,Val!$C$6,Val!$B346,Val!$E346,Val!N$10,Val!$C$7,Val!$C346),"")</f>
        <v>0</v>
      </c>
      <c r="O346" s="2">
        <f ca="1">IF(Flag_Send_Data=1,_xll.DBSW(Val!O346,Val!$C$1,Val!$C$2,Val!$C$3,Val!$C$4,Val!$D346,Val!$C$5,Val!$C$6,Val!$B346,Val!$E346,Val!O$10,Val!$C$7,Val!$C346),"")</f>
        <v>0</v>
      </c>
      <c r="P346" s="2">
        <f ca="1">IF(Flag_Send_Data=1,_xll.DBSW(Val!P346,Val!$C$1,Val!$C$2,Val!$C$3,Val!$C$4,Val!$D346,Val!$C$5,Val!$C$6,Val!$B346,Val!$E346,Val!P$10,Val!$C$7,Val!$C346),"")</f>
        <v>0</v>
      </c>
      <c r="Q346" s="2">
        <f ca="1">IF(Flag_Send_Data=1,_xll.DBSW(Val!Q346,Val!$C$1,Val!$C$2,Val!$C$3,Val!$C$4,Val!$D346,Val!$C$5,Val!$C$6,Val!$B346,Val!$E346,Val!Q$10,Val!$C$7,Val!$C346),"")</f>
        <v>0</v>
      </c>
    </row>
    <row r="347" spans="2:17" x14ac:dyDescent="0.25">
      <c r="B347" s="3" t="s">
        <v>285</v>
      </c>
      <c r="C347" t="s">
        <v>143</v>
      </c>
      <c r="D347" t="s">
        <v>199</v>
      </c>
      <c r="E347" t="s">
        <v>128</v>
      </c>
      <c r="F347" s="2">
        <f ca="1">IF(Flag_Send_Data=1,_xll.DBSW(Val!F347,Val!$C$1,Val!$C$2,Val!$C$3,Val!$C$4,Val!$D347,Val!$C$5,Val!$C$6,Val!$B347,Val!$E347,Val!F$10,Val!$C$7,Val!$C347),"")</f>
        <v>-25000</v>
      </c>
      <c r="G347" s="2">
        <f ca="1">IF(Flag_Send_Data=1,_xll.DBSW(Val!G347,Val!$C$1,Val!$C$2,Val!$C$3,Val!$C$4,Val!$D347,Val!$C$5,Val!$C$6,Val!$B347,Val!$E347,Val!G$10,Val!$C$7,Val!$C347),"")</f>
        <v>-25000</v>
      </c>
      <c r="H347" s="2">
        <f ca="1">IF(Flag_Send_Data=1,_xll.DBSW(Val!H347,Val!$C$1,Val!$C$2,Val!$C$3,Val!$C$4,Val!$D347,Val!$C$5,Val!$C$6,Val!$B347,Val!$E347,Val!H$10,Val!$C$7,Val!$C347),"")</f>
        <v>-25000</v>
      </c>
      <c r="I347" s="2">
        <f ca="1">IF(Flag_Send_Data=1,_xll.DBSW(Val!I347,Val!$C$1,Val!$C$2,Val!$C$3,Val!$C$4,Val!$D347,Val!$C$5,Val!$C$6,Val!$B347,Val!$E347,Val!I$10,Val!$C$7,Val!$C347),"")</f>
        <v>-25000</v>
      </c>
      <c r="J347" s="2">
        <f ca="1">IF(Flag_Send_Data=1,_xll.DBSW(Val!J347,Val!$C$1,Val!$C$2,Val!$C$3,Val!$C$4,Val!$D347,Val!$C$5,Val!$C$6,Val!$B347,Val!$E347,Val!J$10,Val!$C$7,Val!$C347),"")</f>
        <v>-25000</v>
      </c>
      <c r="K347" s="2">
        <f ca="1">IF(Flag_Send_Data=1,_xll.DBSW(Val!K347,Val!$C$1,Val!$C$2,Val!$C$3,Val!$C$4,Val!$D347,Val!$C$5,Val!$C$6,Val!$B347,Val!$E347,Val!K$10,Val!$C$7,Val!$C347),"")</f>
        <v>-25000</v>
      </c>
      <c r="L347" s="2">
        <f ca="1">IF(Flag_Send_Data=1,_xll.DBSW(Val!L347,Val!$C$1,Val!$C$2,Val!$C$3,Val!$C$4,Val!$D347,Val!$C$5,Val!$C$6,Val!$B347,Val!$E347,Val!L$10,Val!$C$7,Val!$C347),"")</f>
        <v>-25000</v>
      </c>
      <c r="M347" s="2">
        <f ca="1">IF(Flag_Send_Data=1,_xll.DBSW(Val!M347,Val!$C$1,Val!$C$2,Val!$C$3,Val!$C$4,Val!$D347,Val!$C$5,Val!$C$6,Val!$B347,Val!$E347,Val!M$10,Val!$C$7,Val!$C347),"")</f>
        <v>-25000</v>
      </c>
      <c r="N347" s="2">
        <f ca="1">IF(Flag_Send_Data=1,_xll.DBSW(Val!N347,Val!$C$1,Val!$C$2,Val!$C$3,Val!$C$4,Val!$D347,Val!$C$5,Val!$C$6,Val!$B347,Val!$E347,Val!N$10,Val!$C$7,Val!$C347),"")</f>
        <v>-25000</v>
      </c>
      <c r="O347" s="2">
        <f ca="1">IF(Flag_Send_Data=1,_xll.DBSW(Val!O347,Val!$C$1,Val!$C$2,Val!$C$3,Val!$C$4,Val!$D347,Val!$C$5,Val!$C$6,Val!$B347,Val!$E347,Val!O$10,Val!$C$7,Val!$C347),"")</f>
        <v>-25000</v>
      </c>
      <c r="P347" s="2">
        <f ca="1">IF(Flag_Send_Data=1,_xll.DBSW(Val!P347,Val!$C$1,Val!$C$2,Val!$C$3,Val!$C$4,Val!$D347,Val!$C$5,Val!$C$6,Val!$B347,Val!$E347,Val!P$10,Val!$C$7,Val!$C347),"")</f>
        <v>-25000</v>
      </c>
      <c r="Q347" s="2">
        <f ca="1">IF(Flag_Send_Data=1,_xll.DBSW(Val!Q347,Val!$C$1,Val!$C$2,Val!$C$3,Val!$C$4,Val!$D347,Val!$C$5,Val!$C$6,Val!$B347,Val!$E347,Val!Q$10,Val!$C$7,Val!$C347),"")</f>
        <v>-25000</v>
      </c>
    </row>
    <row r="348" spans="2:17" x14ac:dyDescent="0.25">
      <c r="B348" s="3" t="s">
        <v>285</v>
      </c>
      <c r="C348" t="s">
        <v>22</v>
      </c>
      <c r="D348" t="s">
        <v>199</v>
      </c>
      <c r="E348" t="s">
        <v>77</v>
      </c>
      <c r="F348" s="2">
        <f ca="1">IF(Flag_Send_Data=1,_xll.DBSW(Val!F348,Val!$C$1,Val!$C$2,Val!$C$3,Val!$C$4,Val!$D348,Val!$C$5,Val!$C$6,Val!$B348,Val!$E348,Val!F$10,Val!$C$7,Val!$C348),"")</f>
        <v>-58333.333333333336</v>
      </c>
      <c r="G348" s="2">
        <f ca="1">IF(Flag_Send_Data=1,_xll.DBSW(Val!G348,Val!$C$1,Val!$C$2,Val!$C$3,Val!$C$4,Val!$D348,Val!$C$5,Val!$C$6,Val!$B348,Val!$E348,Val!G$10,Val!$C$7,Val!$C348),"")</f>
        <v>-58333.333333333336</v>
      </c>
      <c r="H348" s="2">
        <f ca="1">IF(Flag_Send_Data=1,_xll.DBSW(Val!H348,Val!$C$1,Val!$C$2,Val!$C$3,Val!$C$4,Val!$D348,Val!$C$5,Val!$C$6,Val!$B348,Val!$E348,Val!H$10,Val!$C$7,Val!$C348),"")</f>
        <v>-58333.333333333336</v>
      </c>
      <c r="I348" s="2">
        <f ca="1">IF(Flag_Send_Data=1,_xll.DBSW(Val!I348,Val!$C$1,Val!$C$2,Val!$C$3,Val!$C$4,Val!$D348,Val!$C$5,Val!$C$6,Val!$B348,Val!$E348,Val!I$10,Val!$C$7,Val!$C348),"")</f>
        <v>-58333.333333333336</v>
      </c>
      <c r="J348" s="2">
        <f ca="1">IF(Flag_Send_Data=1,_xll.DBSW(Val!J348,Val!$C$1,Val!$C$2,Val!$C$3,Val!$C$4,Val!$D348,Val!$C$5,Val!$C$6,Val!$B348,Val!$E348,Val!J$10,Val!$C$7,Val!$C348),"")</f>
        <v>-58333.333333333336</v>
      </c>
      <c r="K348" s="2">
        <f ca="1">IF(Flag_Send_Data=1,_xll.DBSW(Val!K348,Val!$C$1,Val!$C$2,Val!$C$3,Val!$C$4,Val!$D348,Val!$C$5,Val!$C$6,Val!$B348,Val!$E348,Val!K$10,Val!$C$7,Val!$C348),"")</f>
        <v>-58333.333333333336</v>
      </c>
      <c r="L348" s="2">
        <f ca="1">IF(Flag_Send_Data=1,_xll.DBSW(Val!L348,Val!$C$1,Val!$C$2,Val!$C$3,Val!$C$4,Val!$D348,Val!$C$5,Val!$C$6,Val!$B348,Val!$E348,Val!L$10,Val!$C$7,Val!$C348),"")</f>
        <v>-58333.333333333336</v>
      </c>
      <c r="M348" s="2">
        <f ca="1">IF(Flag_Send_Data=1,_xll.DBSW(Val!M348,Val!$C$1,Val!$C$2,Val!$C$3,Val!$C$4,Val!$D348,Val!$C$5,Val!$C$6,Val!$B348,Val!$E348,Val!M$10,Val!$C$7,Val!$C348),"")</f>
        <v>-58333.333333333336</v>
      </c>
      <c r="N348" s="2">
        <f ca="1">IF(Flag_Send_Data=1,_xll.DBSW(Val!N348,Val!$C$1,Val!$C$2,Val!$C$3,Val!$C$4,Val!$D348,Val!$C$5,Val!$C$6,Val!$B348,Val!$E348,Val!N$10,Val!$C$7,Val!$C348),"")</f>
        <v>-58333.333333333336</v>
      </c>
      <c r="O348" s="2">
        <f ca="1">IF(Flag_Send_Data=1,_xll.DBSW(Val!O348,Val!$C$1,Val!$C$2,Val!$C$3,Val!$C$4,Val!$D348,Val!$C$5,Val!$C$6,Val!$B348,Val!$E348,Val!O$10,Val!$C$7,Val!$C348),"")</f>
        <v>-58333.333333333336</v>
      </c>
      <c r="P348" s="2">
        <f ca="1">IF(Flag_Send_Data=1,_xll.DBSW(Val!P348,Val!$C$1,Val!$C$2,Val!$C$3,Val!$C$4,Val!$D348,Val!$C$5,Val!$C$6,Val!$B348,Val!$E348,Val!P$10,Val!$C$7,Val!$C348),"")</f>
        <v>-58333.333333333336</v>
      </c>
      <c r="Q348" s="2">
        <f ca="1">IF(Flag_Send_Data=1,_xll.DBSW(Val!Q348,Val!$C$1,Val!$C$2,Val!$C$3,Val!$C$4,Val!$D348,Val!$C$5,Val!$C$6,Val!$B348,Val!$E348,Val!Q$10,Val!$C$7,Val!$C348),"")</f>
        <v>-58333.333333333336</v>
      </c>
    </row>
    <row r="349" spans="2:17" x14ac:dyDescent="0.25">
      <c r="B349" s="3" t="s">
        <v>285</v>
      </c>
      <c r="C349" t="s">
        <v>22</v>
      </c>
      <c r="D349" t="s">
        <v>199</v>
      </c>
      <c r="E349" t="s">
        <v>128</v>
      </c>
      <c r="F349" s="2">
        <f ca="1">IF(Flag_Send_Data=1,_xll.DBSW(Val!F349,Val!$C$1,Val!$C$2,Val!$C$3,Val!$C$4,Val!$D349,Val!$C$5,Val!$C$6,Val!$B349,Val!$E349,Val!F$10,Val!$C$7,Val!$C349),"")</f>
        <v>-5000</v>
      </c>
      <c r="G349" s="2">
        <f ca="1">IF(Flag_Send_Data=1,_xll.DBSW(Val!G349,Val!$C$1,Val!$C$2,Val!$C$3,Val!$C$4,Val!$D349,Val!$C$5,Val!$C$6,Val!$B349,Val!$E349,Val!G$10,Val!$C$7,Val!$C349),"")</f>
        <v>-5000</v>
      </c>
      <c r="H349" s="2">
        <f ca="1">IF(Flag_Send_Data=1,_xll.DBSW(Val!H349,Val!$C$1,Val!$C$2,Val!$C$3,Val!$C$4,Val!$D349,Val!$C$5,Val!$C$6,Val!$B349,Val!$E349,Val!H$10,Val!$C$7,Val!$C349),"")</f>
        <v>-5000</v>
      </c>
      <c r="I349" s="2">
        <f ca="1">IF(Flag_Send_Data=1,_xll.DBSW(Val!I349,Val!$C$1,Val!$C$2,Val!$C$3,Val!$C$4,Val!$D349,Val!$C$5,Val!$C$6,Val!$B349,Val!$E349,Val!I$10,Val!$C$7,Val!$C349),"")</f>
        <v>-5000</v>
      </c>
      <c r="J349" s="2">
        <f ca="1">IF(Flag_Send_Data=1,_xll.DBSW(Val!J349,Val!$C$1,Val!$C$2,Val!$C$3,Val!$C$4,Val!$D349,Val!$C$5,Val!$C$6,Val!$B349,Val!$E349,Val!J$10,Val!$C$7,Val!$C349),"")</f>
        <v>-5000</v>
      </c>
      <c r="K349" s="2">
        <f ca="1">IF(Flag_Send_Data=1,_xll.DBSW(Val!K349,Val!$C$1,Val!$C$2,Val!$C$3,Val!$C$4,Val!$D349,Val!$C$5,Val!$C$6,Val!$B349,Val!$E349,Val!K$10,Val!$C$7,Val!$C349),"")</f>
        <v>-5000</v>
      </c>
      <c r="L349" s="2">
        <f ca="1">IF(Flag_Send_Data=1,_xll.DBSW(Val!L349,Val!$C$1,Val!$C$2,Val!$C$3,Val!$C$4,Val!$D349,Val!$C$5,Val!$C$6,Val!$B349,Val!$E349,Val!L$10,Val!$C$7,Val!$C349),"")</f>
        <v>-5000</v>
      </c>
      <c r="M349" s="2">
        <f ca="1">IF(Flag_Send_Data=1,_xll.DBSW(Val!M349,Val!$C$1,Val!$C$2,Val!$C$3,Val!$C$4,Val!$D349,Val!$C$5,Val!$C$6,Val!$B349,Val!$E349,Val!M$10,Val!$C$7,Val!$C349),"")</f>
        <v>-5000</v>
      </c>
      <c r="N349" s="2">
        <f ca="1">IF(Flag_Send_Data=1,_xll.DBSW(Val!N349,Val!$C$1,Val!$C$2,Val!$C$3,Val!$C$4,Val!$D349,Val!$C$5,Val!$C$6,Val!$B349,Val!$E349,Val!N$10,Val!$C$7,Val!$C349),"")</f>
        <v>-5000</v>
      </c>
      <c r="O349" s="2">
        <f ca="1">IF(Flag_Send_Data=1,_xll.DBSW(Val!O349,Val!$C$1,Val!$C$2,Val!$C$3,Val!$C$4,Val!$D349,Val!$C$5,Val!$C$6,Val!$B349,Val!$E349,Val!O$10,Val!$C$7,Val!$C349),"")</f>
        <v>-5000</v>
      </c>
      <c r="P349" s="2">
        <f ca="1">IF(Flag_Send_Data=1,_xll.DBSW(Val!P349,Val!$C$1,Val!$C$2,Val!$C$3,Val!$C$4,Val!$D349,Val!$C$5,Val!$C$6,Val!$B349,Val!$E349,Val!P$10,Val!$C$7,Val!$C349),"")</f>
        <v>-5000</v>
      </c>
      <c r="Q349" s="2">
        <f ca="1">IF(Flag_Send_Data=1,_xll.DBSW(Val!Q349,Val!$C$1,Val!$C$2,Val!$C$3,Val!$C$4,Val!$D349,Val!$C$5,Val!$C$6,Val!$B349,Val!$E349,Val!Q$10,Val!$C$7,Val!$C349),"")</f>
        <v>-5000</v>
      </c>
    </row>
    <row r="350" spans="2:17" x14ac:dyDescent="0.25">
      <c r="B350" t="s">
        <v>285</v>
      </c>
      <c r="C350" t="s">
        <v>135</v>
      </c>
      <c r="D350" t="s">
        <v>129</v>
      </c>
      <c r="E350" t="s">
        <v>154</v>
      </c>
      <c r="F350" s="2">
        <f ca="1">IF(Flag_Send_Data=1,_xll.DBSW(Val!F350,Val!$C$1,Val!$C$2,Val!$C$3,Val!$C$4,Val!$D350,Val!$C$5,Val!$C$6,Val!$B350,Val!$E350,Val!F$10,Val!$C$7,Val!$C350),"")</f>
        <v>-14416.666666666666</v>
      </c>
      <c r="G350" s="2">
        <f ca="1">IF(Flag_Send_Data=1,_xll.DBSW(Val!G350,Val!$C$1,Val!$C$2,Val!$C$3,Val!$C$4,Val!$D350,Val!$C$5,Val!$C$6,Val!$B350,Val!$E350,Val!G$10,Val!$C$7,Val!$C350),"")</f>
        <v>-14416.666666666666</v>
      </c>
      <c r="H350" s="2">
        <f ca="1">IF(Flag_Send_Data=1,_xll.DBSW(Val!H350,Val!$C$1,Val!$C$2,Val!$C$3,Val!$C$4,Val!$D350,Val!$C$5,Val!$C$6,Val!$B350,Val!$E350,Val!H$10,Val!$C$7,Val!$C350),"")</f>
        <v>-14416.666666666666</v>
      </c>
      <c r="I350" s="2">
        <f ca="1">IF(Flag_Send_Data=1,_xll.DBSW(Val!I350,Val!$C$1,Val!$C$2,Val!$C$3,Val!$C$4,Val!$D350,Val!$C$5,Val!$C$6,Val!$B350,Val!$E350,Val!I$10,Val!$C$7,Val!$C350),"")</f>
        <v>-14416.666666666666</v>
      </c>
      <c r="J350" s="2">
        <f ca="1">IF(Flag_Send_Data=1,_xll.DBSW(Val!J350,Val!$C$1,Val!$C$2,Val!$C$3,Val!$C$4,Val!$D350,Val!$C$5,Val!$C$6,Val!$B350,Val!$E350,Val!J$10,Val!$C$7,Val!$C350),"")</f>
        <v>-14416.666666666666</v>
      </c>
      <c r="K350" s="2">
        <f ca="1">IF(Flag_Send_Data=1,_xll.DBSW(Val!K350,Val!$C$1,Val!$C$2,Val!$C$3,Val!$C$4,Val!$D350,Val!$C$5,Val!$C$6,Val!$B350,Val!$E350,Val!K$10,Val!$C$7,Val!$C350),"")</f>
        <v>-14416.666666666666</v>
      </c>
      <c r="L350" s="2">
        <f ca="1">IF(Flag_Send_Data=1,_xll.DBSW(Val!L350,Val!$C$1,Val!$C$2,Val!$C$3,Val!$C$4,Val!$D350,Val!$C$5,Val!$C$6,Val!$B350,Val!$E350,Val!L$10,Val!$C$7,Val!$C350),"")</f>
        <v>-14416.666666666666</v>
      </c>
      <c r="M350" s="2">
        <f ca="1">IF(Flag_Send_Data=1,_xll.DBSW(Val!M350,Val!$C$1,Val!$C$2,Val!$C$3,Val!$C$4,Val!$D350,Val!$C$5,Val!$C$6,Val!$B350,Val!$E350,Val!M$10,Val!$C$7,Val!$C350),"")</f>
        <v>-14416.666666666666</v>
      </c>
      <c r="N350" s="2">
        <f ca="1">IF(Flag_Send_Data=1,_xll.DBSW(Val!N350,Val!$C$1,Val!$C$2,Val!$C$3,Val!$C$4,Val!$D350,Val!$C$5,Val!$C$6,Val!$B350,Val!$E350,Val!N$10,Val!$C$7,Val!$C350),"")</f>
        <v>-14416.666666666666</v>
      </c>
      <c r="O350" s="2">
        <f ca="1">IF(Flag_Send_Data=1,_xll.DBSW(Val!O350,Val!$C$1,Val!$C$2,Val!$C$3,Val!$C$4,Val!$D350,Val!$C$5,Val!$C$6,Val!$B350,Val!$E350,Val!O$10,Val!$C$7,Val!$C350),"")</f>
        <v>-14416.666666666666</v>
      </c>
      <c r="P350" s="2">
        <f ca="1">IF(Flag_Send_Data=1,_xll.DBSW(Val!P350,Val!$C$1,Val!$C$2,Val!$C$3,Val!$C$4,Val!$D350,Val!$C$5,Val!$C$6,Val!$B350,Val!$E350,Val!P$10,Val!$C$7,Val!$C350),"")</f>
        <v>-14416.666666666666</v>
      </c>
      <c r="Q350" s="2">
        <f ca="1">IF(Flag_Send_Data=1,_xll.DBSW(Val!Q350,Val!$C$1,Val!$C$2,Val!$C$3,Val!$C$4,Val!$D350,Val!$C$5,Val!$C$6,Val!$B350,Val!$E350,Val!Q$10,Val!$C$7,Val!$C350),"")</f>
        <v>-14416.666666666666</v>
      </c>
    </row>
    <row r="351" spans="2:17" x14ac:dyDescent="0.25">
      <c r="B351" t="s">
        <v>285</v>
      </c>
      <c r="C351" t="s">
        <v>144</v>
      </c>
      <c r="D351" t="s">
        <v>199</v>
      </c>
      <c r="E351" t="s">
        <v>128</v>
      </c>
      <c r="F351" s="2">
        <f ca="1">IF(Flag_Send_Data=1,_xll.DBSW(Val!F351,Val!$C$1,Val!$C$2,Val!$C$3,Val!$C$4,Val!$D351,Val!$C$5,Val!$C$6,Val!$B351,Val!$E351,Val!F$10,Val!$C$7,Val!$C351),"")</f>
        <v>-60833.333333333336</v>
      </c>
      <c r="G351" s="2">
        <f ca="1">IF(Flag_Send_Data=1,_xll.DBSW(Val!G351,Val!$C$1,Val!$C$2,Val!$C$3,Val!$C$4,Val!$D351,Val!$C$5,Val!$C$6,Val!$B351,Val!$E351,Val!G$10,Val!$C$7,Val!$C351),"")</f>
        <v>-60833.333333333336</v>
      </c>
      <c r="H351" s="2">
        <f ca="1">IF(Flag_Send_Data=1,_xll.DBSW(Val!H351,Val!$C$1,Val!$C$2,Val!$C$3,Val!$C$4,Val!$D351,Val!$C$5,Val!$C$6,Val!$B351,Val!$E351,Val!H$10,Val!$C$7,Val!$C351),"")</f>
        <v>-60833.333333333336</v>
      </c>
      <c r="I351" s="2">
        <f ca="1">IF(Flag_Send_Data=1,_xll.DBSW(Val!I351,Val!$C$1,Val!$C$2,Val!$C$3,Val!$C$4,Val!$D351,Val!$C$5,Val!$C$6,Val!$B351,Val!$E351,Val!I$10,Val!$C$7,Val!$C351),"")</f>
        <v>-60833.333333333336</v>
      </c>
      <c r="J351" s="2">
        <f ca="1">IF(Flag_Send_Data=1,_xll.DBSW(Val!J351,Val!$C$1,Val!$C$2,Val!$C$3,Val!$C$4,Val!$D351,Val!$C$5,Val!$C$6,Val!$B351,Val!$E351,Val!J$10,Val!$C$7,Val!$C351),"")</f>
        <v>-60833.333333333336</v>
      </c>
      <c r="K351" s="2">
        <f ca="1">IF(Flag_Send_Data=1,_xll.DBSW(Val!K351,Val!$C$1,Val!$C$2,Val!$C$3,Val!$C$4,Val!$D351,Val!$C$5,Val!$C$6,Val!$B351,Val!$E351,Val!K$10,Val!$C$7,Val!$C351),"")</f>
        <v>-60833.333333333336</v>
      </c>
      <c r="L351" s="2">
        <f ca="1">IF(Flag_Send_Data=1,_xll.DBSW(Val!L351,Val!$C$1,Val!$C$2,Val!$C$3,Val!$C$4,Val!$D351,Val!$C$5,Val!$C$6,Val!$B351,Val!$E351,Val!L$10,Val!$C$7,Val!$C351),"")</f>
        <v>-60833.333333333336</v>
      </c>
      <c r="M351" s="2">
        <f ca="1">IF(Flag_Send_Data=1,_xll.DBSW(Val!M351,Val!$C$1,Val!$C$2,Val!$C$3,Val!$C$4,Val!$D351,Val!$C$5,Val!$C$6,Val!$B351,Val!$E351,Val!M$10,Val!$C$7,Val!$C351),"")</f>
        <v>-60833.333333333336</v>
      </c>
      <c r="N351" s="2">
        <f ca="1">IF(Flag_Send_Data=1,_xll.DBSW(Val!N351,Val!$C$1,Val!$C$2,Val!$C$3,Val!$C$4,Val!$D351,Val!$C$5,Val!$C$6,Val!$B351,Val!$E351,Val!N$10,Val!$C$7,Val!$C351),"")</f>
        <v>-60833.333333333336</v>
      </c>
      <c r="O351" s="2">
        <f ca="1">IF(Flag_Send_Data=1,_xll.DBSW(Val!O351,Val!$C$1,Val!$C$2,Val!$C$3,Val!$C$4,Val!$D351,Val!$C$5,Val!$C$6,Val!$B351,Val!$E351,Val!O$10,Val!$C$7,Val!$C351),"")</f>
        <v>-60833.333333333336</v>
      </c>
      <c r="P351" s="2">
        <f ca="1">IF(Flag_Send_Data=1,_xll.DBSW(Val!P351,Val!$C$1,Val!$C$2,Val!$C$3,Val!$C$4,Val!$D351,Val!$C$5,Val!$C$6,Val!$B351,Val!$E351,Val!P$10,Val!$C$7,Val!$C351),"")</f>
        <v>-60833.333333333336</v>
      </c>
      <c r="Q351" s="2">
        <f ca="1">IF(Flag_Send_Data=1,_xll.DBSW(Val!Q351,Val!$C$1,Val!$C$2,Val!$C$3,Val!$C$4,Val!$D351,Val!$C$5,Val!$C$6,Val!$B351,Val!$E351,Val!Q$10,Val!$C$7,Val!$C351),"")</f>
        <v>-60833.333333333336</v>
      </c>
    </row>
    <row r="352" spans="2:17" x14ac:dyDescent="0.25">
      <c r="B352" t="s">
        <v>285</v>
      </c>
      <c r="C352" t="s">
        <v>99</v>
      </c>
      <c r="D352" t="s">
        <v>199</v>
      </c>
      <c r="E352" t="s">
        <v>137</v>
      </c>
      <c r="F352" s="2">
        <f ca="1">IF(Flag_Send_Data=1,_xll.DBSW(Val!F352,Val!$C$1,Val!$C$2,Val!$C$3,Val!$C$4,Val!$D352,Val!$C$5,Val!$C$6,Val!$B352,Val!$E352,Val!F$10,Val!$C$7,Val!$C352),"")</f>
        <v>63333.333333333336</v>
      </c>
      <c r="G352" s="2">
        <f ca="1">IF(Flag_Send_Data=1,_xll.DBSW(Val!G352,Val!$C$1,Val!$C$2,Val!$C$3,Val!$C$4,Val!$D352,Val!$C$5,Val!$C$6,Val!$B352,Val!$E352,Val!G$10,Val!$C$7,Val!$C352),"")</f>
        <v>63333.333333333336</v>
      </c>
      <c r="H352" s="2">
        <f ca="1">IF(Flag_Send_Data=1,_xll.DBSW(Val!H352,Val!$C$1,Val!$C$2,Val!$C$3,Val!$C$4,Val!$D352,Val!$C$5,Val!$C$6,Val!$B352,Val!$E352,Val!H$10,Val!$C$7,Val!$C352),"")</f>
        <v>63333.333333333336</v>
      </c>
      <c r="I352" s="2">
        <f ca="1">IF(Flag_Send_Data=1,_xll.DBSW(Val!I352,Val!$C$1,Val!$C$2,Val!$C$3,Val!$C$4,Val!$D352,Val!$C$5,Val!$C$6,Val!$B352,Val!$E352,Val!I$10,Val!$C$7,Val!$C352),"")</f>
        <v>63333.333333333336</v>
      </c>
      <c r="J352" s="2">
        <f ca="1">IF(Flag_Send_Data=1,_xll.DBSW(Val!J352,Val!$C$1,Val!$C$2,Val!$C$3,Val!$C$4,Val!$D352,Val!$C$5,Val!$C$6,Val!$B352,Val!$E352,Val!J$10,Val!$C$7,Val!$C352),"")</f>
        <v>63333.333333333336</v>
      </c>
      <c r="K352" s="2">
        <f ca="1">IF(Flag_Send_Data=1,_xll.DBSW(Val!K352,Val!$C$1,Val!$C$2,Val!$C$3,Val!$C$4,Val!$D352,Val!$C$5,Val!$C$6,Val!$B352,Val!$E352,Val!K$10,Val!$C$7,Val!$C352),"")</f>
        <v>63333.333333333336</v>
      </c>
      <c r="L352" s="2">
        <f ca="1">IF(Flag_Send_Data=1,_xll.DBSW(Val!L352,Val!$C$1,Val!$C$2,Val!$C$3,Val!$C$4,Val!$D352,Val!$C$5,Val!$C$6,Val!$B352,Val!$E352,Val!L$10,Val!$C$7,Val!$C352),"")</f>
        <v>63333.333333333336</v>
      </c>
      <c r="M352" s="2">
        <f ca="1">IF(Flag_Send_Data=1,_xll.DBSW(Val!M352,Val!$C$1,Val!$C$2,Val!$C$3,Val!$C$4,Val!$D352,Val!$C$5,Val!$C$6,Val!$B352,Val!$E352,Val!M$10,Val!$C$7,Val!$C352),"")</f>
        <v>63333.333333333336</v>
      </c>
      <c r="N352" s="2">
        <f ca="1">IF(Flag_Send_Data=1,_xll.DBSW(Val!N352,Val!$C$1,Val!$C$2,Val!$C$3,Val!$C$4,Val!$D352,Val!$C$5,Val!$C$6,Val!$B352,Val!$E352,Val!N$10,Val!$C$7,Val!$C352),"")</f>
        <v>63333.333333333336</v>
      </c>
      <c r="O352" s="2">
        <f ca="1">IF(Flag_Send_Data=1,_xll.DBSW(Val!O352,Val!$C$1,Val!$C$2,Val!$C$3,Val!$C$4,Val!$D352,Val!$C$5,Val!$C$6,Val!$B352,Val!$E352,Val!O$10,Val!$C$7,Val!$C352),"")</f>
        <v>63333.333333333336</v>
      </c>
      <c r="P352" s="2">
        <f ca="1">IF(Flag_Send_Data=1,_xll.DBSW(Val!P352,Val!$C$1,Val!$C$2,Val!$C$3,Val!$C$4,Val!$D352,Val!$C$5,Val!$C$6,Val!$B352,Val!$E352,Val!P$10,Val!$C$7,Val!$C352),"")</f>
        <v>63333.333333333336</v>
      </c>
      <c r="Q352" s="2">
        <f ca="1">IF(Flag_Send_Data=1,_xll.DBSW(Val!Q352,Val!$C$1,Val!$C$2,Val!$C$3,Val!$C$4,Val!$D352,Val!$C$5,Val!$C$6,Val!$B352,Val!$E352,Val!Q$10,Val!$C$7,Val!$C352),"")</f>
        <v>63333.333333333336</v>
      </c>
    </row>
    <row r="353" spans="2:17" x14ac:dyDescent="0.25">
      <c r="B353" t="s">
        <v>285</v>
      </c>
      <c r="C353" t="s">
        <v>99</v>
      </c>
      <c r="D353" t="s">
        <v>199</v>
      </c>
      <c r="E353" t="s">
        <v>69</v>
      </c>
      <c r="F353" s="2">
        <f ca="1">IF(Flag_Send_Data=1,_xll.DBSW(Val!F353,Val!$C$1,Val!$C$2,Val!$C$3,Val!$C$4,Val!$D353,Val!$C$5,Val!$C$6,Val!$B353,Val!$E353,Val!F$10,Val!$C$7,Val!$C353),"")</f>
        <v>666.66666666666663</v>
      </c>
      <c r="G353" s="2">
        <f ca="1">IF(Flag_Send_Data=1,_xll.DBSW(Val!G353,Val!$C$1,Val!$C$2,Val!$C$3,Val!$C$4,Val!$D353,Val!$C$5,Val!$C$6,Val!$B353,Val!$E353,Val!G$10,Val!$C$7,Val!$C353),"")</f>
        <v>666.66666666666663</v>
      </c>
      <c r="H353" s="2">
        <f ca="1">IF(Flag_Send_Data=1,_xll.DBSW(Val!H353,Val!$C$1,Val!$C$2,Val!$C$3,Val!$C$4,Val!$D353,Val!$C$5,Val!$C$6,Val!$B353,Val!$E353,Val!H$10,Val!$C$7,Val!$C353),"")</f>
        <v>666.66666666666663</v>
      </c>
      <c r="I353" s="2">
        <f ca="1">IF(Flag_Send_Data=1,_xll.DBSW(Val!I353,Val!$C$1,Val!$C$2,Val!$C$3,Val!$C$4,Val!$D353,Val!$C$5,Val!$C$6,Val!$B353,Val!$E353,Val!I$10,Val!$C$7,Val!$C353),"")</f>
        <v>666.66666666666663</v>
      </c>
      <c r="J353" s="2">
        <f ca="1">IF(Flag_Send_Data=1,_xll.DBSW(Val!J353,Val!$C$1,Val!$C$2,Val!$C$3,Val!$C$4,Val!$D353,Val!$C$5,Val!$C$6,Val!$B353,Val!$E353,Val!J$10,Val!$C$7,Val!$C353),"")</f>
        <v>666.66666666666663</v>
      </c>
      <c r="K353" s="2">
        <f ca="1">IF(Flag_Send_Data=1,_xll.DBSW(Val!K353,Val!$C$1,Val!$C$2,Val!$C$3,Val!$C$4,Val!$D353,Val!$C$5,Val!$C$6,Val!$B353,Val!$E353,Val!K$10,Val!$C$7,Val!$C353),"")</f>
        <v>666.66666666666663</v>
      </c>
      <c r="L353" s="2">
        <f ca="1">IF(Flag_Send_Data=1,_xll.DBSW(Val!L353,Val!$C$1,Val!$C$2,Val!$C$3,Val!$C$4,Val!$D353,Val!$C$5,Val!$C$6,Val!$B353,Val!$E353,Val!L$10,Val!$C$7,Val!$C353),"")</f>
        <v>666.66666666666663</v>
      </c>
      <c r="M353" s="2">
        <f ca="1">IF(Flag_Send_Data=1,_xll.DBSW(Val!M353,Val!$C$1,Val!$C$2,Val!$C$3,Val!$C$4,Val!$D353,Val!$C$5,Val!$C$6,Val!$B353,Val!$E353,Val!M$10,Val!$C$7,Val!$C353),"")</f>
        <v>666.66666666666663</v>
      </c>
      <c r="N353" s="2">
        <f ca="1">IF(Flag_Send_Data=1,_xll.DBSW(Val!N353,Val!$C$1,Val!$C$2,Val!$C$3,Val!$C$4,Val!$D353,Val!$C$5,Val!$C$6,Val!$B353,Val!$E353,Val!N$10,Val!$C$7,Val!$C353),"")</f>
        <v>666.66666666666663</v>
      </c>
      <c r="O353" s="2">
        <f ca="1">IF(Flag_Send_Data=1,_xll.DBSW(Val!O353,Val!$C$1,Val!$C$2,Val!$C$3,Val!$C$4,Val!$D353,Val!$C$5,Val!$C$6,Val!$B353,Val!$E353,Val!O$10,Val!$C$7,Val!$C353),"")</f>
        <v>666.66666666666663</v>
      </c>
      <c r="P353" s="2">
        <f ca="1">IF(Flag_Send_Data=1,_xll.DBSW(Val!P353,Val!$C$1,Val!$C$2,Val!$C$3,Val!$C$4,Val!$D353,Val!$C$5,Val!$C$6,Val!$B353,Val!$E353,Val!P$10,Val!$C$7,Val!$C353),"")</f>
        <v>666.66666666666663</v>
      </c>
      <c r="Q353" s="2">
        <f ca="1">IF(Flag_Send_Data=1,_xll.DBSW(Val!Q353,Val!$C$1,Val!$C$2,Val!$C$3,Val!$C$4,Val!$D353,Val!$C$5,Val!$C$6,Val!$B353,Val!$E353,Val!Q$10,Val!$C$7,Val!$C353),"")</f>
        <v>666.66666666666663</v>
      </c>
    </row>
    <row r="354" spans="2:17" x14ac:dyDescent="0.25">
      <c r="B354" t="s">
        <v>285</v>
      </c>
      <c r="C354" t="s">
        <v>99</v>
      </c>
      <c r="D354" t="s">
        <v>199</v>
      </c>
      <c r="E354" t="s">
        <v>44</v>
      </c>
      <c r="F354" s="2">
        <f ca="1">IF(Flag_Send_Data=1,_xll.DBSW(Val!F354,Val!$C$1,Val!$C$2,Val!$C$3,Val!$C$4,Val!$D354,Val!$C$5,Val!$C$6,Val!$B354,Val!$E354,Val!F$10,Val!$C$7,Val!$C354),"")</f>
        <v>9000</v>
      </c>
      <c r="G354" s="2">
        <f ca="1">IF(Flag_Send_Data=1,_xll.DBSW(Val!G354,Val!$C$1,Val!$C$2,Val!$C$3,Val!$C$4,Val!$D354,Val!$C$5,Val!$C$6,Val!$B354,Val!$E354,Val!G$10,Val!$C$7,Val!$C354),"")</f>
        <v>9000</v>
      </c>
      <c r="H354" s="2">
        <f ca="1">IF(Flag_Send_Data=1,_xll.DBSW(Val!H354,Val!$C$1,Val!$C$2,Val!$C$3,Val!$C$4,Val!$D354,Val!$C$5,Val!$C$6,Val!$B354,Val!$E354,Val!H$10,Val!$C$7,Val!$C354),"")</f>
        <v>9000</v>
      </c>
      <c r="I354" s="2">
        <f ca="1">IF(Flag_Send_Data=1,_xll.DBSW(Val!I354,Val!$C$1,Val!$C$2,Val!$C$3,Val!$C$4,Val!$D354,Val!$C$5,Val!$C$6,Val!$B354,Val!$E354,Val!I$10,Val!$C$7,Val!$C354),"")</f>
        <v>9000</v>
      </c>
      <c r="J354" s="2">
        <f ca="1">IF(Flag_Send_Data=1,_xll.DBSW(Val!J354,Val!$C$1,Val!$C$2,Val!$C$3,Val!$C$4,Val!$D354,Val!$C$5,Val!$C$6,Val!$B354,Val!$E354,Val!J$10,Val!$C$7,Val!$C354),"")</f>
        <v>9000</v>
      </c>
      <c r="K354" s="2">
        <f ca="1">IF(Flag_Send_Data=1,_xll.DBSW(Val!K354,Val!$C$1,Val!$C$2,Val!$C$3,Val!$C$4,Val!$D354,Val!$C$5,Val!$C$6,Val!$B354,Val!$E354,Val!K$10,Val!$C$7,Val!$C354),"")</f>
        <v>9000</v>
      </c>
      <c r="L354" s="2">
        <f ca="1">IF(Flag_Send_Data=1,_xll.DBSW(Val!L354,Val!$C$1,Val!$C$2,Val!$C$3,Val!$C$4,Val!$D354,Val!$C$5,Val!$C$6,Val!$B354,Val!$E354,Val!L$10,Val!$C$7,Val!$C354),"")</f>
        <v>9000</v>
      </c>
      <c r="M354" s="2">
        <f ca="1">IF(Flag_Send_Data=1,_xll.DBSW(Val!M354,Val!$C$1,Val!$C$2,Val!$C$3,Val!$C$4,Val!$D354,Val!$C$5,Val!$C$6,Val!$B354,Val!$E354,Val!M$10,Val!$C$7,Val!$C354),"")</f>
        <v>9000</v>
      </c>
      <c r="N354" s="2">
        <f ca="1">IF(Flag_Send_Data=1,_xll.DBSW(Val!N354,Val!$C$1,Val!$C$2,Val!$C$3,Val!$C$4,Val!$D354,Val!$C$5,Val!$C$6,Val!$B354,Val!$E354,Val!N$10,Val!$C$7,Val!$C354),"")</f>
        <v>9000</v>
      </c>
      <c r="O354" s="2">
        <f ca="1">IF(Flag_Send_Data=1,_xll.DBSW(Val!O354,Val!$C$1,Val!$C$2,Val!$C$3,Val!$C$4,Val!$D354,Val!$C$5,Val!$C$6,Val!$B354,Val!$E354,Val!O$10,Val!$C$7,Val!$C354),"")</f>
        <v>9000</v>
      </c>
      <c r="P354" s="2">
        <f ca="1">IF(Flag_Send_Data=1,_xll.DBSW(Val!P354,Val!$C$1,Val!$C$2,Val!$C$3,Val!$C$4,Val!$D354,Val!$C$5,Val!$C$6,Val!$B354,Val!$E354,Val!P$10,Val!$C$7,Val!$C354),"")</f>
        <v>9000</v>
      </c>
      <c r="Q354" s="2">
        <f ca="1">IF(Flag_Send_Data=1,_xll.DBSW(Val!Q354,Val!$C$1,Val!$C$2,Val!$C$3,Val!$C$4,Val!$D354,Val!$C$5,Val!$C$6,Val!$B354,Val!$E354,Val!Q$10,Val!$C$7,Val!$C354),"")</f>
        <v>9000</v>
      </c>
    </row>
    <row r="355" spans="2:17" x14ac:dyDescent="0.25">
      <c r="B355" t="s">
        <v>285</v>
      </c>
      <c r="C355" t="s">
        <v>99</v>
      </c>
      <c r="D355" t="s">
        <v>199</v>
      </c>
      <c r="E355" t="s">
        <v>9</v>
      </c>
      <c r="F355" s="2">
        <f ca="1">IF(Flag_Send_Data=1,_xll.DBSW(Val!F355,Val!$C$1,Val!$C$2,Val!$C$3,Val!$C$4,Val!$D355,Val!$C$5,Val!$C$6,Val!$B355,Val!$E355,Val!F$10,Val!$C$7,Val!$C355),"")</f>
        <v>250</v>
      </c>
      <c r="G355" s="2">
        <f ca="1">IF(Flag_Send_Data=1,_xll.DBSW(Val!G355,Val!$C$1,Val!$C$2,Val!$C$3,Val!$C$4,Val!$D355,Val!$C$5,Val!$C$6,Val!$B355,Val!$E355,Val!G$10,Val!$C$7,Val!$C355),"")</f>
        <v>250</v>
      </c>
      <c r="H355" s="2">
        <f ca="1">IF(Flag_Send_Data=1,_xll.DBSW(Val!H355,Val!$C$1,Val!$C$2,Val!$C$3,Val!$C$4,Val!$D355,Val!$C$5,Val!$C$6,Val!$B355,Val!$E355,Val!H$10,Val!$C$7,Val!$C355),"")</f>
        <v>250</v>
      </c>
      <c r="I355" s="2">
        <f ca="1">IF(Flag_Send_Data=1,_xll.DBSW(Val!I355,Val!$C$1,Val!$C$2,Val!$C$3,Val!$C$4,Val!$D355,Val!$C$5,Val!$C$6,Val!$B355,Val!$E355,Val!I$10,Val!$C$7,Val!$C355),"")</f>
        <v>250</v>
      </c>
      <c r="J355" s="2">
        <f ca="1">IF(Flag_Send_Data=1,_xll.DBSW(Val!J355,Val!$C$1,Val!$C$2,Val!$C$3,Val!$C$4,Val!$D355,Val!$C$5,Val!$C$6,Val!$B355,Val!$E355,Val!J$10,Val!$C$7,Val!$C355),"")</f>
        <v>250</v>
      </c>
      <c r="K355" s="2">
        <f ca="1">IF(Flag_Send_Data=1,_xll.DBSW(Val!K355,Val!$C$1,Val!$C$2,Val!$C$3,Val!$C$4,Val!$D355,Val!$C$5,Val!$C$6,Val!$B355,Val!$E355,Val!K$10,Val!$C$7,Val!$C355),"")</f>
        <v>250</v>
      </c>
      <c r="L355" s="2">
        <f ca="1">IF(Flag_Send_Data=1,_xll.DBSW(Val!L355,Val!$C$1,Val!$C$2,Val!$C$3,Val!$C$4,Val!$D355,Val!$C$5,Val!$C$6,Val!$B355,Val!$E355,Val!L$10,Val!$C$7,Val!$C355),"")</f>
        <v>250</v>
      </c>
      <c r="M355" s="2">
        <f ca="1">IF(Flag_Send_Data=1,_xll.DBSW(Val!M355,Val!$C$1,Val!$C$2,Val!$C$3,Val!$C$4,Val!$D355,Val!$C$5,Val!$C$6,Val!$B355,Val!$E355,Val!M$10,Val!$C$7,Val!$C355),"")</f>
        <v>250</v>
      </c>
      <c r="N355" s="2">
        <f ca="1">IF(Flag_Send_Data=1,_xll.DBSW(Val!N355,Val!$C$1,Val!$C$2,Val!$C$3,Val!$C$4,Val!$D355,Val!$C$5,Val!$C$6,Val!$B355,Val!$E355,Val!N$10,Val!$C$7,Val!$C355),"")</f>
        <v>250</v>
      </c>
      <c r="O355" s="2">
        <f ca="1">IF(Flag_Send_Data=1,_xll.DBSW(Val!O355,Val!$C$1,Val!$C$2,Val!$C$3,Val!$C$4,Val!$D355,Val!$C$5,Val!$C$6,Val!$B355,Val!$E355,Val!O$10,Val!$C$7,Val!$C355),"")</f>
        <v>250</v>
      </c>
      <c r="P355" s="2">
        <f ca="1">IF(Flag_Send_Data=1,_xll.DBSW(Val!P355,Val!$C$1,Val!$C$2,Val!$C$3,Val!$C$4,Val!$D355,Val!$C$5,Val!$C$6,Val!$B355,Val!$E355,Val!P$10,Val!$C$7,Val!$C355),"")</f>
        <v>250</v>
      </c>
      <c r="Q355" s="2">
        <f ca="1">IF(Flag_Send_Data=1,_xll.DBSW(Val!Q355,Val!$C$1,Val!$C$2,Val!$C$3,Val!$C$4,Val!$D355,Val!$C$5,Val!$C$6,Val!$B355,Val!$E355,Val!Q$10,Val!$C$7,Val!$C355),"")</f>
        <v>250</v>
      </c>
    </row>
    <row r="356" spans="2:17" x14ac:dyDescent="0.25">
      <c r="B356" t="s">
        <v>285</v>
      </c>
      <c r="C356" t="s">
        <v>99</v>
      </c>
      <c r="D356" t="s">
        <v>199</v>
      </c>
      <c r="E356" t="s">
        <v>134</v>
      </c>
      <c r="F356" s="2">
        <f ca="1">IF(Flag_Send_Data=1,_xll.DBSW(Val!F356,Val!$C$1,Val!$C$2,Val!$C$3,Val!$C$4,Val!$D356,Val!$C$5,Val!$C$6,Val!$B356,Val!$E356,Val!F$10,Val!$C$7,Val!$C356),"")</f>
        <v>1000</v>
      </c>
      <c r="G356" s="2">
        <f ca="1">IF(Flag_Send_Data=1,_xll.DBSW(Val!G356,Val!$C$1,Val!$C$2,Val!$C$3,Val!$C$4,Val!$D356,Val!$C$5,Val!$C$6,Val!$B356,Val!$E356,Val!G$10,Val!$C$7,Val!$C356),"")</f>
        <v>1000</v>
      </c>
      <c r="H356" s="2">
        <f ca="1">IF(Flag_Send_Data=1,_xll.DBSW(Val!H356,Val!$C$1,Val!$C$2,Val!$C$3,Val!$C$4,Val!$D356,Val!$C$5,Val!$C$6,Val!$B356,Val!$E356,Val!H$10,Val!$C$7,Val!$C356),"")</f>
        <v>1000</v>
      </c>
      <c r="I356" s="2">
        <f ca="1">IF(Flag_Send_Data=1,_xll.DBSW(Val!I356,Val!$C$1,Val!$C$2,Val!$C$3,Val!$C$4,Val!$D356,Val!$C$5,Val!$C$6,Val!$B356,Val!$E356,Val!I$10,Val!$C$7,Val!$C356),"")</f>
        <v>1000</v>
      </c>
      <c r="J356" s="2">
        <f ca="1">IF(Flag_Send_Data=1,_xll.DBSW(Val!J356,Val!$C$1,Val!$C$2,Val!$C$3,Val!$C$4,Val!$D356,Val!$C$5,Val!$C$6,Val!$B356,Val!$E356,Val!J$10,Val!$C$7,Val!$C356),"")</f>
        <v>1000</v>
      </c>
      <c r="K356" s="2">
        <f ca="1">IF(Flag_Send_Data=1,_xll.DBSW(Val!K356,Val!$C$1,Val!$C$2,Val!$C$3,Val!$C$4,Val!$D356,Val!$C$5,Val!$C$6,Val!$B356,Val!$E356,Val!K$10,Val!$C$7,Val!$C356),"")</f>
        <v>1000</v>
      </c>
      <c r="L356" s="2">
        <f ca="1">IF(Flag_Send_Data=1,_xll.DBSW(Val!L356,Val!$C$1,Val!$C$2,Val!$C$3,Val!$C$4,Val!$D356,Val!$C$5,Val!$C$6,Val!$B356,Val!$E356,Val!L$10,Val!$C$7,Val!$C356),"")</f>
        <v>1000</v>
      </c>
      <c r="M356" s="2">
        <f ca="1">IF(Flag_Send_Data=1,_xll.DBSW(Val!M356,Val!$C$1,Val!$C$2,Val!$C$3,Val!$C$4,Val!$D356,Val!$C$5,Val!$C$6,Val!$B356,Val!$E356,Val!M$10,Val!$C$7,Val!$C356),"")</f>
        <v>1000</v>
      </c>
      <c r="N356" s="2">
        <f ca="1">IF(Flag_Send_Data=1,_xll.DBSW(Val!N356,Val!$C$1,Val!$C$2,Val!$C$3,Val!$C$4,Val!$D356,Val!$C$5,Val!$C$6,Val!$B356,Val!$E356,Val!N$10,Val!$C$7,Val!$C356),"")</f>
        <v>1000</v>
      </c>
      <c r="O356" s="2">
        <f ca="1">IF(Flag_Send_Data=1,_xll.DBSW(Val!O356,Val!$C$1,Val!$C$2,Val!$C$3,Val!$C$4,Val!$D356,Val!$C$5,Val!$C$6,Val!$B356,Val!$E356,Val!O$10,Val!$C$7,Val!$C356),"")</f>
        <v>1000</v>
      </c>
      <c r="P356" s="2">
        <f ca="1">IF(Flag_Send_Data=1,_xll.DBSW(Val!P356,Val!$C$1,Val!$C$2,Val!$C$3,Val!$C$4,Val!$D356,Val!$C$5,Val!$C$6,Val!$B356,Val!$E356,Val!P$10,Val!$C$7,Val!$C356),"")</f>
        <v>1000</v>
      </c>
      <c r="Q356" s="2">
        <f ca="1">IF(Flag_Send_Data=1,_xll.DBSW(Val!Q356,Val!$C$1,Val!$C$2,Val!$C$3,Val!$C$4,Val!$D356,Val!$C$5,Val!$C$6,Val!$B356,Val!$E356,Val!Q$10,Val!$C$7,Val!$C356),"")</f>
        <v>1000</v>
      </c>
    </row>
    <row r="357" spans="2:17" x14ac:dyDescent="0.25">
      <c r="B357" t="s">
        <v>285</v>
      </c>
      <c r="C357" t="s">
        <v>99</v>
      </c>
      <c r="D357" t="s">
        <v>199</v>
      </c>
      <c r="E357" t="s">
        <v>74</v>
      </c>
      <c r="F357" s="2">
        <f ca="1">IF(Flag_Send_Data=1,_xll.DBSW(Val!F357,Val!$C$1,Val!$C$2,Val!$C$3,Val!$C$4,Val!$D357,Val!$C$5,Val!$C$6,Val!$B357,Val!$E357,Val!F$10,Val!$C$7,Val!$C357),"")</f>
        <v>250</v>
      </c>
      <c r="G357" s="2">
        <f ca="1">IF(Flag_Send_Data=1,_xll.DBSW(Val!G357,Val!$C$1,Val!$C$2,Val!$C$3,Val!$C$4,Val!$D357,Val!$C$5,Val!$C$6,Val!$B357,Val!$E357,Val!G$10,Val!$C$7,Val!$C357),"")</f>
        <v>250</v>
      </c>
      <c r="H357" s="2">
        <f ca="1">IF(Flag_Send_Data=1,_xll.DBSW(Val!H357,Val!$C$1,Val!$C$2,Val!$C$3,Val!$C$4,Val!$D357,Val!$C$5,Val!$C$6,Val!$B357,Val!$E357,Val!H$10,Val!$C$7,Val!$C357),"")</f>
        <v>250</v>
      </c>
      <c r="I357" s="2">
        <f ca="1">IF(Flag_Send_Data=1,_xll.DBSW(Val!I357,Val!$C$1,Val!$C$2,Val!$C$3,Val!$C$4,Val!$D357,Val!$C$5,Val!$C$6,Val!$B357,Val!$E357,Val!I$10,Val!$C$7,Val!$C357),"")</f>
        <v>250</v>
      </c>
      <c r="J357" s="2">
        <f ca="1">IF(Flag_Send_Data=1,_xll.DBSW(Val!J357,Val!$C$1,Val!$C$2,Val!$C$3,Val!$C$4,Val!$D357,Val!$C$5,Val!$C$6,Val!$B357,Val!$E357,Val!J$10,Val!$C$7,Val!$C357),"")</f>
        <v>250</v>
      </c>
      <c r="K357" s="2">
        <f ca="1">IF(Flag_Send_Data=1,_xll.DBSW(Val!K357,Val!$C$1,Val!$C$2,Val!$C$3,Val!$C$4,Val!$D357,Val!$C$5,Val!$C$6,Val!$B357,Val!$E357,Val!K$10,Val!$C$7,Val!$C357),"")</f>
        <v>250</v>
      </c>
      <c r="L357" s="2">
        <f ca="1">IF(Flag_Send_Data=1,_xll.DBSW(Val!L357,Val!$C$1,Val!$C$2,Val!$C$3,Val!$C$4,Val!$D357,Val!$C$5,Val!$C$6,Val!$B357,Val!$E357,Val!L$10,Val!$C$7,Val!$C357),"")</f>
        <v>250</v>
      </c>
      <c r="M357" s="2">
        <f ca="1">IF(Flag_Send_Data=1,_xll.DBSW(Val!M357,Val!$C$1,Val!$C$2,Val!$C$3,Val!$C$4,Val!$D357,Val!$C$5,Val!$C$6,Val!$B357,Val!$E357,Val!M$10,Val!$C$7,Val!$C357),"")</f>
        <v>250</v>
      </c>
      <c r="N357" s="2">
        <f ca="1">IF(Flag_Send_Data=1,_xll.DBSW(Val!N357,Val!$C$1,Val!$C$2,Val!$C$3,Val!$C$4,Val!$D357,Val!$C$5,Val!$C$6,Val!$B357,Val!$E357,Val!N$10,Val!$C$7,Val!$C357),"")</f>
        <v>250</v>
      </c>
      <c r="O357" s="2">
        <f ca="1">IF(Flag_Send_Data=1,_xll.DBSW(Val!O357,Val!$C$1,Val!$C$2,Val!$C$3,Val!$C$4,Val!$D357,Val!$C$5,Val!$C$6,Val!$B357,Val!$E357,Val!O$10,Val!$C$7,Val!$C357),"")</f>
        <v>250</v>
      </c>
      <c r="P357" s="2">
        <f ca="1">IF(Flag_Send_Data=1,_xll.DBSW(Val!P357,Val!$C$1,Val!$C$2,Val!$C$3,Val!$C$4,Val!$D357,Val!$C$5,Val!$C$6,Val!$B357,Val!$E357,Val!P$10,Val!$C$7,Val!$C357),"")</f>
        <v>250</v>
      </c>
      <c r="Q357" s="2">
        <f ca="1">IF(Flag_Send_Data=1,_xll.DBSW(Val!Q357,Val!$C$1,Val!$C$2,Val!$C$3,Val!$C$4,Val!$D357,Val!$C$5,Val!$C$6,Val!$B357,Val!$E357,Val!Q$10,Val!$C$7,Val!$C357),"")</f>
        <v>250</v>
      </c>
    </row>
    <row r="358" spans="2:17" x14ac:dyDescent="0.25">
      <c r="B358" t="s">
        <v>285</v>
      </c>
      <c r="C358" t="s">
        <v>99</v>
      </c>
      <c r="D358" t="s">
        <v>199</v>
      </c>
      <c r="E358" t="s">
        <v>10</v>
      </c>
      <c r="F358" s="2">
        <f ca="1">IF(Flag_Send_Data=1,_xll.DBSW(Val!F358,Val!$C$1,Val!$C$2,Val!$C$3,Val!$C$4,Val!$D358,Val!$C$5,Val!$C$6,Val!$B358,Val!$E358,Val!F$10,Val!$C$7,Val!$C358),"")</f>
        <v>333.33333333333331</v>
      </c>
      <c r="G358" s="2">
        <f ca="1">IF(Flag_Send_Data=1,_xll.DBSW(Val!G358,Val!$C$1,Val!$C$2,Val!$C$3,Val!$C$4,Val!$D358,Val!$C$5,Val!$C$6,Val!$B358,Val!$E358,Val!G$10,Val!$C$7,Val!$C358),"")</f>
        <v>333.33333333333331</v>
      </c>
      <c r="H358" s="2">
        <f ca="1">IF(Flag_Send_Data=1,_xll.DBSW(Val!H358,Val!$C$1,Val!$C$2,Val!$C$3,Val!$C$4,Val!$D358,Val!$C$5,Val!$C$6,Val!$B358,Val!$E358,Val!H$10,Val!$C$7,Val!$C358),"")</f>
        <v>333.33333333333331</v>
      </c>
      <c r="I358" s="2">
        <f ca="1">IF(Flag_Send_Data=1,_xll.DBSW(Val!I358,Val!$C$1,Val!$C$2,Val!$C$3,Val!$C$4,Val!$D358,Val!$C$5,Val!$C$6,Val!$B358,Val!$E358,Val!I$10,Val!$C$7,Val!$C358),"")</f>
        <v>333.33333333333331</v>
      </c>
      <c r="J358" s="2">
        <f ca="1">IF(Flag_Send_Data=1,_xll.DBSW(Val!J358,Val!$C$1,Val!$C$2,Val!$C$3,Val!$C$4,Val!$D358,Val!$C$5,Val!$C$6,Val!$B358,Val!$E358,Val!J$10,Val!$C$7,Val!$C358),"")</f>
        <v>333.33333333333331</v>
      </c>
      <c r="K358" s="2">
        <f ca="1">IF(Flag_Send_Data=1,_xll.DBSW(Val!K358,Val!$C$1,Val!$C$2,Val!$C$3,Val!$C$4,Val!$D358,Val!$C$5,Val!$C$6,Val!$B358,Val!$E358,Val!K$10,Val!$C$7,Val!$C358),"")</f>
        <v>333.33333333333331</v>
      </c>
      <c r="L358" s="2">
        <f ca="1">IF(Flag_Send_Data=1,_xll.DBSW(Val!L358,Val!$C$1,Val!$C$2,Val!$C$3,Val!$C$4,Val!$D358,Val!$C$5,Val!$C$6,Val!$B358,Val!$E358,Val!L$10,Val!$C$7,Val!$C358),"")</f>
        <v>333.33333333333331</v>
      </c>
      <c r="M358" s="2">
        <f ca="1">IF(Flag_Send_Data=1,_xll.DBSW(Val!M358,Val!$C$1,Val!$C$2,Val!$C$3,Val!$C$4,Val!$D358,Val!$C$5,Val!$C$6,Val!$B358,Val!$E358,Val!M$10,Val!$C$7,Val!$C358),"")</f>
        <v>333.33333333333331</v>
      </c>
      <c r="N358" s="2">
        <f ca="1">IF(Flag_Send_Data=1,_xll.DBSW(Val!N358,Val!$C$1,Val!$C$2,Val!$C$3,Val!$C$4,Val!$D358,Val!$C$5,Val!$C$6,Val!$B358,Val!$E358,Val!N$10,Val!$C$7,Val!$C358),"")</f>
        <v>333.33333333333331</v>
      </c>
      <c r="O358" s="2">
        <f ca="1">IF(Flag_Send_Data=1,_xll.DBSW(Val!O358,Val!$C$1,Val!$C$2,Val!$C$3,Val!$C$4,Val!$D358,Val!$C$5,Val!$C$6,Val!$B358,Val!$E358,Val!O$10,Val!$C$7,Val!$C358),"")</f>
        <v>333.33333333333331</v>
      </c>
      <c r="P358" s="2">
        <f ca="1">IF(Flag_Send_Data=1,_xll.DBSW(Val!P358,Val!$C$1,Val!$C$2,Val!$C$3,Val!$C$4,Val!$D358,Val!$C$5,Val!$C$6,Val!$B358,Val!$E358,Val!P$10,Val!$C$7,Val!$C358),"")</f>
        <v>333.33333333333331</v>
      </c>
      <c r="Q358" s="2">
        <f ca="1">IF(Flag_Send_Data=1,_xll.DBSW(Val!Q358,Val!$C$1,Val!$C$2,Val!$C$3,Val!$C$4,Val!$D358,Val!$C$5,Val!$C$6,Val!$B358,Val!$E358,Val!Q$10,Val!$C$7,Val!$C358),"")</f>
        <v>333.33333333333331</v>
      </c>
    </row>
    <row r="359" spans="2:17" x14ac:dyDescent="0.25">
      <c r="B359" t="s">
        <v>285</v>
      </c>
      <c r="C359" t="s">
        <v>99</v>
      </c>
      <c r="D359" t="s">
        <v>199</v>
      </c>
      <c r="E359" t="s">
        <v>141</v>
      </c>
      <c r="F359" s="2">
        <f ca="1">IF(Flag_Send_Data=1,_xll.DBSW(Val!F359,Val!$C$1,Val!$C$2,Val!$C$3,Val!$C$4,Val!$D359,Val!$C$5,Val!$C$6,Val!$B359,Val!$E359,Val!F$10,Val!$C$7,Val!$C359),"")</f>
        <v>166.66666666666666</v>
      </c>
      <c r="G359" s="2">
        <f ca="1">IF(Flag_Send_Data=1,_xll.DBSW(Val!G359,Val!$C$1,Val!$C$2,Val!$C$3,Val!$C$4,Val!$D359,Val!$C$5,Val!$C$6,Val!$B359,Val!$E359,Val!G$10,Val!$C$7,Val!$C359),"")</f>
        <v>166.66666666666666</v>
      </c>
      <c r="H359" s="2">
        <f ca="1">IF(Flag_Send_Data=1,_xll.DBSW(Val!H359,Val!$C$1,Val!$C$2,Val!$C$3,Val!$C$4,Val!$D359,Val!$C$5,Val!$C$6,Val!$B359,Val!$E359,Val!H$10,Val!$C$7,Val!$C359),"")</f>
        <v>166.66666666666666</v>
      </c>
      <c r="I359" s="2">
        <f ca="1">IF(Flag_Send_Data=1,_xll.DBSW(Val!I359,Val!$C$1,Val!$C$2,Val!$C$3,Val!$C$4,Val!$D359,Val!$C$5,Val!$C$6,Val!$B359,Val!$E359,Val!I$10,Val!$C$7,Val!$C359),"")</f>
        <v>166.66666666666666</v>
      </c>
      <c r="J359" s="2">
        <f ca="1">IF(Flag_Send_Data=1,_xll.DBSW(Val!J359,Val!$C$1,Val!$C$2,Val!$C$3,Val!$C$4,Val!$D359,Val!$C$5,Val!$C$6,Val!$B359,Val!$E359,Val!J$10,Val!$C$7,Val!$C359),"")</f>
        <v>166.66666666666666</v>
      </c>
      <c r="K359" s="2">
        <f ca="1">IF(Flag_Send_Data=1,_xll.DBSW(Val!K359,Val!$C$1,Val!$C$2,Val!$C$3,Val!$C$4,Val!$D359,Val!$C$5,Val!$C$6,Val!$B359,Val!$E359,Val!K$10,Val!$C$7,Val!$C359),"")</f>
        <v>166.66666666666666</v>
      </c>
      <c r="L359" s="2">
        <f ca="1">IF(Flag_Send_Data=1,_xll.DBSW(Val!L359,Val!$C$1,Val!$C$2,Val!$C$3,Val!$C$4,Val!$D359,Val!$C$5,Val!$C$6,Val!$B359,Val!$E359,Val!L$10,Val!$C$7,Val!$C359),"")</f>
        <v>166.66666666666666</v>
      </c>
      <c r="M359" s="2">
        <f ca="1">IF(Flag_Send_Data=1,_xll.DBSW(Val!M359,Val!$C$1,Val!$C$2,Val!$C$3,Val!$C$4,Val!$D359,Val!$C$5,Val!$C$6,Val!$B359,Val!$E359,Val!M$10,Val!$C$7,Val!$C359),"")</f>
        <v>166.66666666666666</v>
      </c>
      <c r="N359" s="2">
        <f ca="1">IF(Flag_Send_Data=1,_xll.DBSW(Val!N359,Val!$C$1,Val!$C$2,Val!$C$3,Val!$C$4,Val!$D359,Val!$C$5,Val!$C$6,Val!$B359,Val!$E359,Val!N$10,Val!$C$7,Val!$C359),"")</f>
        <v>166.66666666666666</v>
      </c>
      <c r="O359" s="2">
        <f ca="1">IF(Flag_Send_Data=1,_xll.DBSW(Val!O359,Val!$C$1,Val!$C$2,Val!$C$3,Val!$C$4,Val!$D359,Val!$C$5,Val!$C$6,Val!$B359,Val!$E359,Val!O$10,Val!$C$7,Val!$C359),"")</f>
        <v>166.66666666666666</v>
      </c>
      <c r="P359" s="2">
        <f ca="1">IF(Flag_Send_Data=1,_xll.DBSW(Val!P359,Val!$C$1,Val!$C$2,Val!$C$3,Val!$C$4,Val!$D359,Val!$C$5,Val!$C$6,Val!$B359,Val!$E359,Val!P$10,Val!$C$7,Val!$C359),"")</f>
        <v>166.66666666666666</v>
      </c>
      <c r="Q359" s="2">
        <f ca="1">IF(Flag_Send_Data=1,_xll.DBSW(Val!Q359,Val!$C$1,Val!$C$2,Val!$C$3,Val!$C$4,Val!$D359,Val!$C$5,Val!$C$6,Val!$B359,Val!$E359,Val!Q$10,Val!$C$7,Val!$C359),"")</f>
        <v>166.66666666666666</v>
      </c>
    </row>
    <row r="360" spans="2:17" x14ac:dyDescent="0.25">
      <c r="B360" t="s">
        <v>285</v>
      </c>
      <c r="C360" t="s">
        <v>99</v>
      </c>
      <c r="D360" t="s">
        <v>199</v>
      </c>
      <c r="E360" t="s">
        <v>75</v>
      </c>
      <c r="F360" s="2">
        <f ca="1">IF(Flag_Send_Data=1,_xll.DBSW(Val!F360,Val!$C$1,Val!$C$2,Val!$C$3,Val!$C$4,Val!$D360,Val!$C$5,Val!$C$6,Val!$B360,Val!$E360,Val!F$10,Val!$C$7,Val!$C360),"")</f>
        <v>1166.6666666666667</v>
      </c>
      <c r="G360" s="2">
        <f ca="1">IF(Flag_Send_Data=1,_xll.DBSW(Val!G360,Val!$C$1,Val!$C$2,Val!$C$3,Val!$C$4,Val!$D360,Val!$C$5,Val!$C$6,Val!$B360,Val!$E360,Val!G$10,Val!$C$7,Val!$C360),"")</f>
        <v>1166.6666666666667</v>
      </c>
      <c r="H360" s="2">
        <f ca="1">IF(Flag_Send_Data=1,_xll.DBSW(Val!H360,Val!$C$1,Val!$C$2,Val!$C$3,Val!$C$4,Val!$D360,Val!$C$5,Val!$C$6,Val!$B360,Val!$E360,Val!H$10,Val!$C$7,Val!$C360),"")</f>
        <v>1166.6666666666667</v>
      </c>
      <c r="I360" s="2">
        <f ca="1">IF(Flag_Send_Data=1,_xll.DBSW(Val!I360,Val!$C$1,Val!$C$2,Val!$C$3,Val!$C$4,Val!$D360,Val!$C$5,Val!$C$6,Val!$B360,Val!$E360,Val!I$10,Val!$C$7,Val!$C360),"")</f>
        <v>1166.6666666666667</v>
      </c>
      <c r="J360" s="2">
        <f ca="1">IF(Flag_Send_Data=1,_xll.DBSW(Val!J360,Val!$C$1,Val!$C$2,Val!$C$3,Val!$C$4,Val!$D360,Val!$C$5,Val!$C$6,Val!$B360,Val!$E360,Val!J$10,Val!$C$7,Val!$C360),"")</f>
        <v>1166.6666666666667</v>
      </c>
      <c r="K360" s="2">
        <f ca="1">IF(Flag_Send_Data=1,_xll.DBSW(Val!K360,Val!$C$1,Val!$C$2,Val!$C$3,Val!$C$4,Val!$D360,Val!$C$5,Val!$C$6,Val!$B360,Val!$E360,Val!K$10,Val!$C$7,Val!$C360),"")</f>
        <v>1166.6666666666667</v>
      </c>
      <c r="L360" s="2">
        <f ca="1">IF(Flag_Send_Data=1,_xll.DBSW(Val!L360,Val!$C$1,Val!$C$2,Val!$C$3,Val!$C$4,Val!$D360,Val!$C$5,Val!$C$6,Val!$B360,Val!$E360,Val!L$10,Val!$C$7,Val!$C360),"")</f>
        <v>1166.6666666666667</v>
      </c>
      <c r="M360" s="2">
        <f ca="1">IF(Flag_Send_Data=1,_xll.DBSW(Val!M360,Val!$C$1,Val!$C$2,Val!$C$3,Val!$C$4,Val!$D360,Val!$C$5,Val!$C$6,Val!$B360,Val!$E360,Val!M$10,Val!$C$7,Val!$C360),"")</f>
        <v>1166.6666666666667</v>
      </c>
      <c r="N360" s="2">
        <f ca="1">IF(Flag_Send_Data=1,_xll.DBSW(Val!N360,Val!$C$1,Val!$C$2,Val!$C$3,Val!$C$4,Val!$D360,Val!$C$5,Val!$C$6,Val!$B360,Val!$E360,Val!N$10,Val!$C$7,Val!$C360),"")</f>
        <v>1166.6666666666667</v>
      </c>
      <c r="O360" s="2">
        <f ca="1">IF(Flag_Send_Data=1,_xll.DBSW(Val!O360,Val!$C$1,Val!$C$2,Val!$C$3,Val!$C$4,Val!$D360,Val!$C$5,Val!$C$6,Val!$B360,Val!$E360,Val!O$10,Val!$C$7,Val!$C360),"")</f>
        <v>1166.6666666666667</v>
      </c>
      <c r="P360" s="2">
        <f ca="1">IF(Flag_Send_Data=1,_xll.DBSW(Val!P360,Val!$C$1,Val!$C$2,Val!$C$3,Val!$C$4,Val!$D360,Val!$C$5,Val!$C$6,Val!$B360,Val!$E360,Val!P$10,Val!$C$7,Val!$C360),"")</f>
        <v>1166.6666666666667</v>
      </c>
      <c r="Q360" s="2">
        <f ca="1">IF(Flag_Send_Data=1,_xll.DBSW(Val!Q360,Val!$C$1,Val!$C$2,Val!$C$3,Val!$C$4,Val!$D360,Val!$C$5,Val!$C$6,Val!$B360,Val!$E360,Val!Q$10,Val!$C$7,Val!$C360),"")</f>
        <v>1166.6666666666667</v>
      </c>
    </row>
    <row r="361" spans="2:17" x14ac:dyDescent="0.25">
      <c r="B361" t="s">
        <v>285</v>
      </c>
      <c r="C361" t="s">
        <v>99</v>
      </c>
      <c r="D361" t="s">
        <v>199</v>
      </c>
      <c r="E361" t="s">
        <v>136</v>
      </c>
      <c r="F361" s="2">
        <f ca="1">IF(Flag_Send_Data=1,_xll.DBSW(Val!F361,Val!$C$1,Val!$C$2,Val!$C$3,Val!$C$4,Val!$D361,Val!$C$5,Val!$C$6,Val!$B361,Val!$E361,Val!F$10,Val!$C$7,Val!$C361),"")</f>
        <v>166.66666666666666</v>
      </c>
      <c r="G361" s="2">
        <f ca="1">IF(Flag_Send_Data=1,_xll.DBSW(Val!G361,Val!$C$1,Val!$C$2,Val!$C$3,Val!$C$4,Val!$D361,Val!$C$5,Val!$C$6,Val!$B361,Val!$E361,Val!G$10,Val!$C$7,Val!$C361),"")</f>
        <v>166.66666666666666</v>
      </c>
      <c r="H361" s="2">
        <f ca="1">IF(Flag_Send_Data=1,_xll.DBSW(Val!H361,Val!$C$1,Val!$C$2,Val!$C$3,Val!$C$4,Val!$D361,Val!$C$5,Val!$C$6,Val!$B361,Val!$E361,Val!H$10,Val!$C$7,Val!$C361),"")</f>
        <v>166.66666666666666</v>
      </c>
      <c r="I361" s="2">
        <f ca="1">IF(Flag_Send_Data=1,_xll.DBSW(Val!I361,Val!$C$1,Val!$C$2,Val!$C$3,Val!$C$4,Val!$D361,Val!$C$5,Val!$C$6,Val!$B361,Val!$E361,Val!I$10,Val!$C$7,Val!$C361),"")</f>
        <v>166.66666666666666</v>
      </c>
      <c r="J361" s="2">
        <f ca="1">IF(Flag_Send_Data=1,_xll.DBSW(Val!J361,Val!$C$1,Val!$C$2,Val!$C$3,Val!$C$4,Val!$D361,Val!$C$5,Val!$C$6,Val!$B361,Val!$E361,Val!J$10,Val!$C$7,Val!$C361),"")</f>
        <v>166.66666666666666</v>
      </c>
      <c r="K361" s="2">
        <f ca="1">IF(Flag_Send_Data=1,_xll.DBSW(Val!K361,Val!$C$1,Val!$C$2,Val!$C$3,Val!$C$4,Val!$D361,Val!$C$5,Val!$C$6,Val!$B361,Val!$E361,Val!K$10,Val!$C$7,Val!$C361),"")</f>
        <v>166.66666666666666</v>
      </c>
      <c r="L361" s="2">
        <f ca="1">IF(Flag_Send_Data=1,_xll.DBSW(Val!L361,Val!$C$1,Val!$C$2,Val!$C$3,Val!$C$4,Val!$D361,Val!$C$5,Val!$C$6,Val!$B361,Val!$E361,Val!L$10,Val!$C$7,Val!$C361),"")</f>
        <v>166.66666666666666</v>
      </c>
      <c r="M361" s="2">
        <f ca="1">IF(Flag_Send_Data=1,_xll.DBSW(Val!M361,Val!$C$1,Val!$C$2,Val!$C$3,Val!$C$4,Val!$D361,Val!$C$5,Val!$C$6,Val!$B361,Val!$E361,Val!M$10,Val!$C$7,Val!$C361),"")</f>
        <v>166.66666666666666</v>
      </c>
      <c r="N361" s="2">
        <f ca="1">IF(Flag_Send_Data=1,_xll.DBSW(Val!N361,Val!$C$1,Val!$C$2,Val!$C$3,Val!$C$4,Val!$D361,Val!$C$5,Val!$C$6,Val!$B361,Val!$E361,Val!N$10,Val!$C$7,Val!$C361),"")</f>
        <v>166.66666666666666</v>
      </c>
      <c r="O361" s="2">
        <f ca="1">IF(Flag_Send_Data=1,_xll.DBSW(Val!O361,Val!$C$1,Val!$C$2,Val!$C$3,Val!$C$4,Val!$D361,Val!$C$5,Val!$C$6,Val!$B361,Val!$E361,Val!O$10,Val!$C$7,Val!$C361),"")</f>
        <v>166.66666666666666</v>
      </c>
      <c r="P361" s="2">
        <f ca="1">IF(Flag_Send_Data=1,_xll.DBSW(Val!P361,Val!$C$1,Val!$C$2,Val!$C$3,Val!$C$4,Val!$D361,Val!$C$5,Val!$C$6,Val!$B361,Val!$E361,Val!P$10,Val!$C$7,Val!$C361),"")</f>
        <v>166.66666666666666</v>
      </c>
      <c r="Q361" s="2">
        <f ca="1">IF(Flag_Send_Data=1,_xll.DBSW(Val!Q361,Val!$C$1,Val!$C$2,Val!$C$3,Val!$C$4,Val!$D361,Val!$C$5,Val!$C$6,Val!$B361,Val!$E361,Val!Q$10,Val!$C$7,Val!$C361),"")</f>
        <v>166.66666666666666</v>
      </c>
    </row>
    <row r="362" spans="2:17" x14ac:dyDescent="0.25">
      <c r="B362" t="s">
        <v>285</v>
      </c>
      <c r="C362" t="s">
        <v>99</v>
      </c>
      <c r="D362" t="s">
        <v>199</v>
      </c>
      <c r="E362" t="s">
        <v>31</v>
      </c>
      <c r="F362" s="2">
        <f ca="1">IF(Flag_Send_Data=1,_xll.DBSW(Val!F362,Val!$C$1,Val!$C$2,Val!$C$3,Val!$C$4,Val!$D362,Val!$C$5,Val!$C$6,Val!$B362,Val!$E362,Val!F$10,Val!$C$7,Val!$C362),"")</f>
        <v>250</v>
      </c>
      <c r="G362" s="2">
        <f ca="1">IF(Flag_Send_Data=1,_xll.DBSW(Val!G362,Val!$C$1,Val!$C$2,Val!$C$3,Val!$C$4,Val!$D362,Val!$C$5,Val!$C$6,Val!$B362,Val!$E362,Val!G$10,Val!$C$7,Val!$C362),"")</f>
        <v>250</v>
      </c>
      <c r="H362" s="2">
        <f ca="1">IF(Flag_Send_Data=1,_xll.DBSW(Val!H362,Val!$C$1,Val!$C$2,Val!$C$3,Val!$C$4,Val!$D362,Val!$C$5,Val!$C$6,Val!$B362,Val!$E362,Val!H$10,Val!$C$7,Val!$C362),"")</f>
        <v>250</v>
      </c>
      <c r="I362" s="2">
        <f ca="1">IF(Flag_Send_Data=1,_xll.DBSW(Val!I362,Val!$C$1,Val!$C$2,Val!$C$3,Val!$C$4,Val!$D362,Val!$C$5,Val!$C$6,Val!$B362,Val!$E362,Val!I$10,Val!$C$7,Val!$C362),"")</f>
        <v>250</v>
      </c>
      <c r="J362" s="2">
        <f ca="1">IF(Flag_Send_Data=1,_xll.DBSW(Val!J362,Val!$C$1,Val!$C$2,Val!$C$3,Val!$C$4,Val!$D362,Val!$C$5,Val!$C$6,Val!$B362,Val!$E362,Val!J$10,Val!$C$7,Val!$C362),"")</f>
        <v>250</v>
      </c>
      <c r="K362" s="2">
        <f ca="1">IF(Flag_Send_Data=1,_xll.DBSW(Val!K362,Val!$C$1,Val!$C$2,Val!$C$3,Val!$C$4,Val!$D362,Val!$C$5,Val!$C$6,Val!$B362,Val!$E362,Val!K$10,Val!$C$7,Val!$C362),"")</f>
        <v>250</v>
      </c>
      <c r="L362" s="2">
        <f ca="1">IF(Flag_Send_Data=1,_xll.DBSW(Val!L362,Val!$C$1,Val!$C$2,Val!$C$3,Val!$C$4,Val!$D362,Val!$C$5,Val!$C$6,Val!$B362,Val!$E362,Val!L$10,Val!$C$7,Val!$C362),"")</f>
        <v>250</v>
      </c>
      <c r="M362" s="2">
        <f ca="1">IF(Flag_Send_Data=1,_xll.DBSW(Val!M362,Val!$C$1,Val!$C$2,Val!$C$3,Val!$C$4,Val!$D362,Val!$C$5,Val!$C$6,Val!$B362,Val!$E362,Val!M$10,Val!$C$7,Val!$C362),"")</f>
        <v>250</v>
      </c>
      <c r="N362" s="2">
        <f ca="1">IF(Flag_Send_Data=1,_xll.DBSW(Val!N362,Val!$C$1,Val!$C$2,Val!$C$3,Val!$C$4,Val!$D362,Val!$C$5,Val!$C$6,Val!$B362,Val!$E362,Val!N$10,Val!$C$7,Val!$C362),"")</f>
        <v>250</v>
      </c>
      <c r="O362" s="2">
        <f ca="1">IF(Flag_Send_Data=1,_xll.DBSW(Val!O362,Val!$C$1,Val!$C$2,Val!$C$3,Val!$C$4,Val!$D362,Val!$C$5,Val!$C$6,Val!$B362,Val!$E362,Val!O$10,Val!$C$7,Val!$C362),"")</f>
        <v>250</v>
      </c>
      <c r="P362" s="2">
        <f ca="1">IF(Flag_Send_Data=1,_xll.DBSW(Val!P362,Val!$C$1,Val!$C$2,Val!$C$3,Val!$C$4,Val!$D362,Val!$C$5,Val!$C$6,Val!$B362,Val!$E362,Val!P$10,Val!$C$7,Val!$C362),"")</f>
        <v>250</v>
      </c>
      <c r="Q362" s="2">
        <f ca="1">IF(Flag_Send_Data=1,_xll.DBSW(Val!Q362,Val!$C$1,Val!$C$2,Val!$C$3,Val!$C$4,Val!$D362,Val!$C$5,Val!$C$6,Val!$B362,Val!$E362,Val!Q$10,Val!$C$7,Val!$C362),"")</f>
        <v>250</v>
      </c>
    </row>
    <row r="363" spans="2:17" x14ac:dyDescent="0.25">
      <c r="B363" t="s">
        <v>285</v>
      </c>
      <c r="C363" t="s">
        <v>99</v>
      </c>
      <c r="D363" t="s">
        <v>199</v>
      </c>
      <c r="E363" t="s">
        <v>15</v>
      </c>
      <c r="F363" s="2">
        <f ca="1">IF(Flag_Send_Data=1,_xll.DBSW(Val!F363,Val!$C$1,Val!$C$2,Val!$C$3,Val!$C$4,Val!$D363,Val!$C$5,Val!$C$6,Val!$B363,Val!$E363,Val!F$10,Val!$C$7,Val!$C363),"")</f>
        <v>166.66666666666666</v>
      </c>
      <c r="G363" s="2">
        <f ca="1">IF(Flag_Send_Data=1,_xll.DBSW(Val!G363,Val!$C$1,Val!$C$2,Val!$C$3,Val!$C$4,Val!$D363,Val!$C$5,Val!$C$6,Val!$B363,Val!$E363,Val!G$10,Val!$C$7,Val!$C363),"")</f>
        <v>166.66666666666666</v>
      </c>
      <c r="H363" s="2">
        <f ca="1">IF(Flag_Send_Data=1,_xll.DBSW(Val!H363,Val!$C$1,Val!$C$2,Val!$C$3,Val!$C$4,Val!$D363,Val!$C$5,Val!$C$6,Val!$B363,Val!$E363,Val!H$10,Val!$C$7,Val!$C363),"")</f>
        <v>166.66666666666666</v>
      </c>
      <c r="I363" s="2">
        <f ca="1">IF(Flag_Send_Data=1,_xll.DBSW(Val!I363,Val!$C$1,Val!$C$2,Val!$C$3,Val!$C$4,Val!$D363,Val!$C$5,Val!$C$6,Val!$B363,Val!$E363,Val!I$10,Val!$C$7,Val!$C363),"")</f>
        <v>166.66666666666666</v>
      </c>
      <c r="J363" s="2">
        <f ca="1">IF(Flag_Send_Data=1,_xll.DBSW(Val!J363,Val!$C$1,Val!$C$2,Val!$C$3,Val!$C$4,Val!$D363,Val!$C$5,Val!$C$6,Val!$B363,Val!$E363,Val!J$10,Val!$C$7,Val!$C363),"")</f>
        <v>166.66666666666666</v>
      </c>
      <c r="K363" s="2">
        <f ca="1">IF(Flag_Send_Data=1,_xll.DBSW(Val!K363,Val!$C$1,Val!$C$2,Val!$C$3,Val!$C$4,Val!$D363,Val!$C$5,Val!$C$6,Val!$B363,Val!$E363,Val!K$10,Val!$C$7,Val!$C363),"")</f>
        <v>166.66666666666666</v>
      </c>
      <c r="L363" s="2">
        <f ca="1">IF(Flag_Send_Data=1,_xll.DBSW(Val!L363,Val!$C$1,Val!$C$2,Val!$C$3,Val!$C$4,Val!$D363,Val!$C$5,Val!$C$6,Val!$B363,Val!$E363,Val!L$10,Val!$C$7,Val!$C363),"")</f>
        <v>166.66666666666666</v>
      </c>
      <c r="M363" s="2">
        <f ca="1">IF(Flag_Send_Data=1,_xll.DBSW(Val!M363,Val!$C$1,Val!$C$2,Val!$C$3,Val!$C$4,Val!$D363,Val!$C$5,Val!$C$6,Val!$B363,Val!$E363,Val!M$10,Val!$C$7,Val!$C363),"")</f>
        <v>166.66666666666666</v>
      </c>
      <c r="N363" s="2">
        <f ca="1">IF(Flag_Send_Data=1,_xll.DBSW(Val!N363,Val!$C$1,Val!$C$2,Val!$C$3,Val!$C$4,Val!$D363,Val!$C$5,Val!$C$6,Val!$B363,Val!$E363,Val!N$10,Val!$C$7,Val!$C363),"")</f>
        <v>166.66666666666666</v>
      </c>
      <c r="O363" s="2">
        <f ca="1">IF(Flag_Send_Data=1,_xll.DBSW(Val!O363,Val!$C$1,Val!$C$2,Val!$C$3,Val!$C$4,Val!$D363,Val!$C$5,Val!$C$6,Val!$B363,Val!$E363,Val!O$10,Val!$C$7,Val!$C363),"")</f>
        <v>166.66666666666666</v>
      </c>
      <c r="P363" s="2">
        <f ca="1">IF(Flag_Send_Data=1,_xll.DBSW(Val!P363,Val!$C$1,Val!$C$2,Val!$C$3,Val!$C$4,Val!$D363,Val!$C$5,Val!$C$6,Val!$B363,Val!$E363,Val!P$10,Val!$C$7,Val!$C363),"")</f>
        <v>166.66666666666666</v>
      </c>
      <c r="Q363" s="2">
        <f ca="1">IF(Flag_Send_Data=1,_xll.DBSW(Val!Q363,Val!$C$1,Val!$C$2,Val!$C$3,Val!$C$4,Val!$D363,Val!$C$5,Val!$C$6,Val!$B363,Val!$E363,Val!Q$10,Val!$C$7,Val!$C363),"")</f>
        <v>166.66666666666666</v>
      </c>
    </row>
    <row r="364" spans="2:17" x14ac:dyDescent="0.25">
      <c r="B364" t="s">
        <v>287</v>
      </c>
      <c r="C364" t="s">
        <v>18</v>
      </c>
      <c r="D364" t="s">
        <v>199</v>
      </c>
      <c r="E364" t="s">
        <v>128</v>
      </c>
      <c r="F364" s="2">
        <f ca="1">IF(Flag_Send_Data=1,_xll.DBSW(Val!F364,Val!$C$1,Val!$C$2,Val!$C$3,Val!$C$4,Val!$D364,Val!$C$5,Val!$C$6,Val!$B364,Val!$E364,Val!F$10,Val!$C$7,Val!$C364),"")</f>
        <v>-86906.536666666667</v>
      </c>
      <c r="G364" s="2">
        <f ca="1">IF(Flag_Send_Data=1,_xll.DBSW(Val!G364,Val!$C$1,Val!$C$2,Val!$C$3,Val!$C$4,Val!$D364,Val!$C$5,Val!$C$6,Val!$B364,Val!$E364,Val!G$10,Val!$C$7,Val!$C364),"")</f>
        <v>-86906.536666666667</v>
      </c>
      <c r="H364" s="2">
        <f ca="1">IF(Flag_Send_Data=1,_xll.DBSW(Val!H364,Val!$C$1,Val!$C$2,Val!$C$3,Val!$C$4,Val!$D364,Val!$C$5,Val!$C$6,Val!$B364,Val!$E364,Val!H$10,Val!$C$7,Val!$C364),"")</f>
        <v>-336906.53666666668</v>
      </c>
      <c r="I364" s="2">
        <f ca="1">IF(Flag_Send_Data=1,_xll.DBSW(Val!I364,Val!$C$1,Val!$C$2,Val!$C$3,Val!$C$4,Val!$D364,Val!$C$5,Val!$C$6,Val!$B364,Val!$E364,Val!I$10,Val!$C$7,Val!$C364),"")</f>
        <v>0</v>
      </c>
      <c r="J364" s="2">
        <f ca="1">IF(Flag_Send_Data=1,_xll.DBSW(Val!J364,Val!$C$1,Val!$C$2,Val!$C$3,Val!$C$4,Val!$D364,Val!$C$5,Val!$C$6,Val!$B364,Val!$E364,Val!J$10,Val!$C$7,Val!$C364),"")</f>
        <v>0</v>
      </c>
      <c r="K364" s="2">
        <f ca="1">IF(Flag_Send_Data=1,_xll.DBSW(Val!K364,Val!$C$1,Val!$C$2,Val!$C$3,Val!$C$4,Val!$D364,Val!$C$5,Val!$C$6,Val!$B364,Val!$E364,Val!K$10,Val!$C$7,Val!$C364),"")</f>
        <v>-250000</v>
      </c>
      <c r="L364" s="2">
        <f ca="1">IF(Flag_Send_Data=1,_xll.DBSW(Val!L364,Val!$C$1,Val!$C$2,Val!$C$3,Val!$C$4,Val!$D364,Val!$C$5,Val!$C$6,Val!$B364,Val!$E364,Val!L$10,Val!$C$7,Val!$C364),"")</f>
        <v>0</v>
      </c>
      <c r="M364" s="2">
        <f ca="1">IF(Flag_Send_Data=1,_xll.DBSW(Val!M364,Val!$C$1,Val!$C$2,Val!$C$3,Val!$C$4,Val!$D364,Val!$C$5,Val!$C$6,Val!$B364,Val!$E364,Val!M$10,Val!$C$7,Val!$C364),"")</f>
        <v>0</v>
      </c>
      <c r="N364" s="2">
        <f ca="1">IF(Flag_Send_Data=1,_xll.DBSW(Val!N364,Val!$C$1,Val!$C$2,Val!$C$3,Val!$C$4,Val!$D364,Val!$C$5,Val!$C$6,Val!$B364,Val!$E364,Val!N$10,Val!$C$7,Val!$C364),"")</f>
        <v>-250000</v>
      </c>
      <c r="O364" s="2">
        <f ca="1">IF(Flag_Send_Data=1,_xll.DBSW(Val!O364,Val!$C$1,Val!$C$2,Val!$C$3,Val!$C$4,Val!$D364,Val!$C$5,Val!$C$6,Val!$B364,Val!$E364,Val!O$10,Val!$C$7,Val!$C364),"")</f>
        <v>0</v>
      </c>
      <c r="P364" s="2">
        <f ca="1">IF(Flag_Send_Data=1,_xll.DBSW(Val!P364,Val!$C$1,Val!$C$2,Val!$C$3,Val!$C$4,Val!$D364,Val!$C$5,Val!$C$6,Val!$B364,Val!$E364,Val!P$10,Val!$C$7,Val!$C364),"")</f>
        <v>0</v>
      </c>
      <c r="Q364" s="2">
        <f ca="1">IF(Flag_Send_Data=1,_xll.DBSW(Val!Q364,Val!$C$1,Val!$C$2,Val!$C$3,Val!$C$4,Val!$D364,Val!$C$5,Val!$C$6,Val!$B364,Val!$E364,Val!Q$10,Val!$C$7,Val!$C364),"")</f>
        <v>-250000</v>
      </c>
    </row>
    <row r="365" spans="2:17" x14ac:dyDescent="0.25">
      <c r="B365" t="s">
        <v>287</v>
      </c>
      <c r="C365" t="s">
        <v>22</v>
      </c>
      <c r="D365" t="s">
        <v>199</v>
      </c>
      <c r="E365" t="s">
        <v>128</v>
      </c>
      <c r="F365" s="2">
        <f ca="1">IF(Flag_Send_Data=1,_xll.DBSW(Val!F365,Val!$C$1,Val!$C$2,Val!$C$3,Val!$C$4,Val!$D365,Val!$C$5,Val!$C$6,Val!$B365,Val!$E365,Val!F$10,Val!$C$7,Val!$C365),"")</f>
        <v>-5000</v>
      </c>
      <c r="G365" s="2">
        <f ca="1">IF(Flag_Send_Data=1,_xll.DBSW(Val!G365,Val!$C$1,Val!$C$2,Val!$C$3,Val!$C$4,Val!$D365,Val!$C$5,Val!$C$6,Val!$B365,Val!$E365,Val!G$10,Val!$C$7,Val!$C365),"")</f>
        <v>-5000</v>
      </c>
      <c r="H365" s="2">
        <f ca="1">IF(Flag_Send_Data=1,_xll.DBSW(Val!H365,Val!$C$1,Val!$C$2,Val!$C$3,Val!$C$4,Val!$D365,Val!$C$5,Val!$C$6,Val!$B365,Val!$E365,Val!H$10,Val!$C$7,Val!$C365),"")</f>
        <v>-5000</v>
      </c>
      <c r="I365" s="2">
        <f ca="1">IF(Flag_Send_Data=1,_xll.DBSW(Val!I365,Val!$C$1,Val!$C$2,Val!$C$3,Val!$C$4,Val!$D365,Val!$C$5,Val!$C$6,Val!$B365,Val!$E365,Val!I$10,Val!$C$7,Val!$C365),"")</f>
        <v>-5000</v>
      </c>
      <c r="J365" s="2">
        <f ca="1">IF(Flag_Send_Data=1,_xll.DBSW(Val!J365,Val!$C$1,Val!$C$2,Val!$C$3,Val!$C$4,Val!$D365,Val!$C$5,Val!$C$6,Val!$B365,Val!$E365,Val!J$10,Val!$C$7,Val!$C365),"")</f>
        <v>-5000</v>
      </c>
      <c r="K365" s="2">
        <f ca="1">IF(Flag_Send_Data=1,_xll.DBSW(Val!K365,Val!$C$1,Val!$C$2,Val!$C$3,Val!$C$4,Val!$D365,Val!$C$5,Val!$C$6,Val!$B365,Val!$E365,Val!K$10,Val!$C$7,Val!$C365),"")</f>
        <v>-5000</v>
      </c>
      <c r="L365" s="2">
        <f ca="1">IF(Flag_Send_Data=1,_xll.DBSW(Val!L365,Val!$C$1,Val!$C$2,Val!$C$3,Val!$C$4,Val!$D365,Val!$C$5,Val!$C$6,Val!$B365,Val!$E365,Val!L$10,Val!$C$7,Val!$C365),"")</f>
        <v>-5000</v>
      </c>
      <c r="M365" s="2">
        <f ca="1">IF(Flag_Send_Data=1,_xll.DBSW(Val!M365,Val!$C$1,Val!$C$2,Val!$C$3,Val!$C$4,Val!$D365,Val!$C$5,Val!$C$6,Val!$B365,Val!$E365,Val!M$10,Val!$C$7,Val!$C365),"")</f>
        <v>-5000</v>
      </c>
      <c r="N365" s="2">
        <f ca="1">IF(Flag_Send_Data=1,_xll.DBSW(Val!N365,Val!$C$1,Val!$C$2,Val!$C$3,Val!$C$4,Val!$D365,Val!$C$5,Val!$C$6,Val!$B365,Val!$E365,Val!N$10,Val!$C$7,Val!$C365),"")</f>
        <v>-5000</v>
      </c>
      <c r="O365" s="2">
        <f ca="1">IF(Flag_Send_Data=1,_xll.DBSW(Val!O365,Val!$C$1,Val!$C$2,Val!$C$3,Val!$C$4,Val!$D365,Val!$C$5,Val!$C$6,Val!$B365,Val!$E365,Val!O$10,Val!$C$7,Val!$C365),"")</f>
        <v>-5000</v>
      </c>
      <c r="P365" s="2">
        <f ca="1">IF(Flag_Send_Data=1,_xll.DBSW(Val!P365,Val!$C$1,Val!$C$2,Val!$C$3,Val!$C$4,Val!$D365,Val!$C$5,Val!$C$6,Val!$B365,Val!$E365,Val!P$10,Val!$C$7,Val!$C365),"")</f>
        <v>-5000</v>
      </c>
      <c r="Q365" s="2">
        <f ca="1">IF(Flag_Send_Data=1,_xll.DBSW(Val!Q365,Val!$C$1,Val!$C$2,Val!$C$3,Val!$C$4,Val!$D365,Val!$C$5,Val!$C$6,Val!$B365,Val!$E365,Val!Q$10,Val!$C$7,Val!$C365),"")</f>
        <v>-5000</v>
      </c>
    </row>
    <row r="366" spans="2:17" x14ac:dyDescent="0.25">
      <c r="B366" t="s">
        <v>288</v>
      </c>
      <c r="C366" t="s">
        <v>8</v>
      </c>
      <c r="D366" t="s">
        <v>199</v>
      </c>
      <c r="E366" t="s">
        <v>128</v>
      </c>
      <c r="F366" s="2">
        <f ca="1">IF(Flag_Send_Data=1,_xll.DBSW(Val!F366,Val!$C$1,Val!$C$2,Val!$C$3,Val!$C$4,Val!$D366,Val!$C$5,Val!$C$6,Val!$B366,Val!$E366,Val!F$10,Val!$C$7,Val!$C366),"")</f>
        <v>-81806.310833333337</v>
      </c>
      <c r="G366" s="2">
        <f ca="1">IF(Flag_Send_Data=1,_xll.DBSW(Val!G366,Val!$C$1,Val!$C$2,Val!$C$3,Val!$C$4,Val!$D366,Val!$C$5,Val!$C$6,Val!$B366,Val!$E366,Val!G$10,Val!$C$7,Val!$C366),"")</f>
        <v>-81806.310833333337</v>
      </c>
      <c r="H366" s="2">
        <f ca="1">IF(Flag_Send_Data=1,_xll.DBSW(Val!H366,Val!$C$1,Val!$C$2,Val!$C$3,Val!$C$4,Val!$D366,Val!$C$5,Val!$C$6,Val!$B366,Val!$E366,Val!H$10,Val!$C$7,Val!$C366),"")</f>
        <v>-81806.310833333337</v>
      </c>
      <c r="I366" s="2">
        <f ca="1">IF(Flag_Send_Data=1,_xll.DBSW(Val!I366,Val!$C$1,Val!$C$2,Val!$C$3,Val!$C$4,Val!$D366,Val!$C$5,Val!$C$6,Val!$B366,Val!$E366,Val!I$10,Val!$C$7,Val!$C366),"")</f>
        <v>-81806.310833333337</v>
      </c>
      <c r="J366" s="2">
        <f ca="1">IF(Flag_Send_Data=1,_xll.DBSW(Val!J366,Val!$C$1,Val!$C$2,Val!$C$3,Val!$C$4,Val!$D366,Val!$C$5,Val!$C$6,Val!$B366,Val!$E366,Val!J$10,Val!$C$7,Val!$C366),"")</f>
        <v>-81806.310833333337</v>
      </c>
      <c r="K366" s="2">
        <f ca="1">IF(Flag_Send_Data=1,_xll.DBSW(Val!K366,Val!$C$1,Val!$C$2,Val!$C$3,Val!$C$4,Val!$D366,Val!$C$5,Val!$C$6,Val!$B366,Val!$E366,Val!K$10,Val!$C$7,Val!$C366),"")</f>
        <v>-81806.310833333337</v>
      </c>
      <c r="L366" s="2">
        <f ca="1">IF(Flag_Send_Data=1,_xll.DBSW(Val!L366,Val!$C$1,Val!$C$2,Val!$C$3,Val!$C$4,Val!$D366,Val!$C$5,Val!$C$6,Val!$B366,Val!$E366,Val!L$10,Val!$C$7,Val!$C366),"")</f>
        <v>-81806.310833333337</v>
      </c>
      <c r="M366" s="2">
        <f ca="1">IF(Flag_Send_Data=1,_xll.DBSW(Val!M366,Val!$C$1,Val!$C$2,Val!$C$3,Val!$C$4,Val!$D366,Val!$C$5,Val!$C$6,Val!$B366,Val!$E366,Val!M$10,Val!$C$7,Val!$C366),"")</f>
        <v>-81806.310833333337</v>
      </c>
      <c r="N366" s="2">
        <f ca="1">IF(Flag_Send_Data=1,_xll.DBSW(Val!N366,Val!$C$1,Val!$C$2,Val!$C$3,Val!$C$4,Val!$D366,Val!$C$5,Val!$C$6,Val!$B366,Val!$E366,Val!N$10,Val!$C$7,Val!$C366),"")</f>
        <v>-81806.310833333337</v>
      </c>
      <c r="O366" s="2">
        <f ca="1">IF(Flag_Send_Data=1,_xll.DBSW(Val!O366,Val!$C$1,Val!$C$2,Val!$C$3,Val!$C$4,Val!$D366,Val!$C$5,Val!$C$6,Val!$B366,Val!$E366,Val!O$10,Val!$C$7,Val!$C366),"")</f>
        <v>-81806.310833333337</v>
      </c>
      <c r="P366" s="2">
        <f ca="1">IF(Flag_Send_Data=1,_xll.DBSW(Val!P366,Val!$C$1,Val!$C$2,Val!$C$3,Val!$C$4,Val!$D366,Val!$C$5,Val!$C$6,Val!$B366,Val!$E366,Val!P$10,Val!$C$7,Val!$C366),"")</f>
        <v>-81806.310833333337</v>
      </c>
      <c r="Q366" s="2">
        <f ca="1">IF(Flag_Send_Data=1,_xll.DBSW(Val!Q366,Val!$C$1,Val!$C$2,Val!$C$3,Val!$C$4,Val!$D366,Val!$C$5,Val!$C$6,Val!$B366,Val!$E366,Val!Q$10,Val!$C$7,Val!$C366),"")</f>
        <v>-81806.310833333337</v>
      </c>
    </row>
    <row r="367" spans="2:17" x14ac:dyDescent="0.25">
      <c r="B367" t="s">
        <v>288</v>
      </c>
      <c r="C367" t="s">
        <v>127</v>
      </c>
      <c r="D367" t="s">
        <v>199</v>
      </c>
      <c r="E367" t="s">
        <v>14</v>
      </c>
      <c r="F367" s="2">
        <f ca="1">IF(Flag_Send_Data=1,_xll.DBSW(Val!F367,Val!$C$1,Val!$C$2,Val!$C$3,Val!$C$4,Val!$D367,Val!$C$5,Val!$C$6,Val!$B367,Val!$E367,Val!F$10,Val!$C$7,Val!$C367),"")</f>
        <v>58222.503333333334</v>
      </c>
      <c r="G367" s="2">
        <f ca="1">IF(Flag_Send_Data=1,_xll.DBSW(Val!G367,Val!$C$1,Val!$C$2,Val!$C$3,Val!$C$4,Val!$D367,Val!$C$5,Val!$C$6,Val!$B367,Val!$E367,Val!G$10,Val!$C$7,Val!$C367),"")</f>
        <v>58222.503333333334</v>
      </c>
      <c r="H367" s="2">
        <f ca="1">IF(Flag_Send_Data=1,_xll.DBSW(Val!H367,Val!$C$1,Val!$C$2,Val!$C$3,Val!$C$4,Val!$D367,Val!$C$5,Val!$C$6,Val!$B367,Val!$E367,Val!H$10,Val!$C$7,Val!$C367),"")</f>
        <v>58222.503333333334</v>
      </c>
      <c r="I367" s="2">
        <f ca="1">IF(Flag_Send_Data=1,_xll.DBSW(Val!I367,Val!$C$1,Val!$C$2,Val!$C$3,Val!$C$4,Val!$D367,Val!$C$5,Val!$C$6,Val!$B367,Val!$E367,Val!I$10,Val!$C$7,Val!$C367),"")</f>
        <v>58222.503333333334</v>
      </c>
      <c r="J367" s="2">
        <f ca="1">IF(Flag_Send_Data=1,_xll.DBSW(Val!J367,Val!$C$1,Val!$C$2,Val!$C$3,Val!$C$4,Val!$D367,Val!$C$5,Val!$C$6,Val!$B367,Val!$E367,Val!J$10,Val!$C$7,Val!$C367),"")</f>
        <v>58222.503333333334</v>
      </c>
      <c r="K367" s="2">
        <f ca="1">IF(Flag_Send_Data=1,_xll.DBSW(Val!K367,Val!$C$1,Val!$C$2,Val!$C$3,Val!$C$4,Val!$D367,Val!$C$5,Val!$C$6,Val!$B367,Val!$E367,Val!K$10,Val!$C$7,Val!$C367),"")</f>
        <v>58222.503333333334</v>
      </c>
      <c r="L367" s="2">
        <f ca="1">IF(Flag_Send_Data=1,_xll.DBSW(Val!L367,Val!$C$1,Val!$C$2,Val!$C$3,Val!$C$4,Val!$D367,Val!$C$5,Val!$C$6,Val!$B367,Val!$E367,Val!L$10,Val!$C$7,Val!$C367),"")</f>
        <v>58222.503333333334</v>
      </c>
      <c r="M367" s="2">
        <f ca="1">IF(Flag_Send_Data=1,_xll.DBSW(Val!M367,Val!$C$1,Val!$C$2,Val!$C$3,Val!$C$4,Val!$D367,Val!$C$5,Val!$C$6,Val!$B367,Val!$E367,Val!M$10,Val!$C$7,Val!$C367),"")</f>
        <v>58222.503333333334</v>
      </c>
      <c r="N367" s="2">
        <f ca="1">IF(Flag_Send_Data=1,_xll.DBSW(Val!N367,Val!$C$1,Val!$C$2,Val!$C$3,Val!$C$4,Val!$D367,Val!$C$5,Val!$C$6,Val!$B367,Val!$E367,Val!N$10,Val!$C$7,Val!$C367),"")</f>
        <v>58222.503333333334</v>
      </c>
      <c r="O367" s="2">
        <f ca="1">IF(Flag_Send_Data=1,_xll.DBSW(Val!O367,Val!$C$1,Val!$C$2,Val!$C$3,Val!$C$4,Val!$D367,Val!$C$5,Val!$C$6,Val!$B367,Val!$E367,Val!O$10,Val!$C$7,Val!$C367),"")</f>
        <v>58222.503333333334</v>
      </c>
      <c r="P367" s="2">
        <f ca="1">IF(Flag_Send_Data=1,_xll.DBSW(Val!P367,Val!$C$1,Val!$C$2,Val!$C$3,Val!$C$4,Val!$D367,Val!$C$5,Val!$C$6,Val!$B367,Val!$E367,Val!P$10,Val!$C$7,Val!$C367),"")</f>
        <v>58222.503333333334</v>
      </c>
      <c r="Q367" s="2">
        <f ca="1">IF(Flag_Send_Data=1,_xll.DBSW(Val!Q367,Val!$C$1,Val!$C$2,Val!$C$3,Val!$C$4,Val!$D367,Val!$C$5,Val!$C$6,Val!$B367,Val!$E367,Val!Q$10,Val!$C$7,Val!$C367),"")</f>
        <v>58222.503333333334</v>
      </c>
    </row>
    <row r="368" spans="2:17" x14ac:dyDescent="0.25">
      <c r="B368" t="s">
        <v>288</v>
      </c>
      <c r="C368" t="s">
        <v>127</v>
      </c>
      <c r="D368" t="s">
        <v>199</v>
      </c>
      <c r="E368" t="s">
        <v>140</v>
      </c>
      <c r="F368" s="2">
        <f ca="1">IF(Flag_Send_Data=1,_xll.DBSW(Val!F368,Val!$C$1,Val!$C$2,Val!$C$3,Val!$C$4,Val!$D368,Val!$C$5,Val!$C$6,Val!$B368,Val!$E368,Val!F$10,Val!$C$7,Val!$C368),"")</f>
        <v>6003.1866666666674</v>
      </c>
      <c r="G368" s="2">
        <f ca="1">IF(Flag_Send_Data=1,_xll.DBSW(Val!G368,Val!$C$1,Val!$C$2,Val!$C$3,Val!$C$4,Val!$D368,Val!$C$5,Val!$C$6,Val!$B368,Val!$E368,Val!G$10,Val!$C$7,Val!$C368),"")</f>
        <v>6003.1866666666674</v>
      </c>
      <c r="H368" s="2">
        <f ca="1">IF(Flag_Send_Data=1,_xll.DBSW(Val!H368,Val!$C$1,Val!$C$2,Val!$C$3,Val!$C$4,Val!$D368,Val!$C$5,Val!$C$6,Val!$B368,Val!$E368,Val!H$10,Val!$C$7,Val!$C368),"")</f>
        <v>6003.1866666666674</v>
      </c>
      <c r="I368" s="2">
        <f ca="1">IF(Flag_Send_Data=1,_xll.DBSW(Val!I368,Val!$C$1,Val!$C$2,Val!$C$3,Val!$C$4,Val!$D368,Val!$C$5,Val!$C$6,Val!$B368,Val!$E368,Val!I$10,Val!$C$7,Val!$C368),"")</f>
        <v>6003.1866666666674</v>
      </c>
      <c r="J368" s="2">
        <f ca="1">IF(Flag_Send_Data=1,_xll.DBSW(Val!J368,Val!$C$1,Val!$C$2,Val!$C$3,Val!$C$4,Val!$D368,Val!$C$5,Val!$C$6,Val!$B368,Val!$E368,Val!J$10,Val!$C$7,Val!$C368),"")</f>
        <v>6003.1866666666674</v>
      </c>
      <c r="K368" s="2">
        <f ca="1">IF(Flag_Send_Data=1,_xll.DBSW(Val!K368,Val!$C$1,Val!$C$2,Val!$C$3,Val!$C$4,Val!$D368,Val!$C$5,Val!$C$6,Val!$B368,Val!$E368,Val!K$10,Val!$C$7,Val!$C368),"")</f>
        <v>6003.1866666666674</v>
      </c>
      <c r="L368" s="2">
        <f ca="1">IF(Flag_Send_Data=1,_xll.DBSW(Val!L368,Val!$C$1,Val!$C$2,Val!$C$3,Val!$C$4,Val!$D368,Val!$C$5,Val!$C$6,Val!$B368,Val!$E368,Val!L$10,Val!$C$7,Val!$C368),"")</f>
        <v>6003.1866666666674</v>
      </c>
      <c r="M368" s="2">
        <f ca="1">IF(Flag_Send_Data=1,_xll.DBSW(Val!M368,Val!$C$1,Val!$C$2,Val!$C$3,Val!$C$4,Val!$D368,Val!$C$5,Val!$C$6,Val!$B368,Val!$E368,Val!M$10,Val!$C$7,Val!$C368),"")</f>
        <v>6003.1866666666674</v>
      </c>
      <c r="N368" s="2">
        <f ca="1">IF(Flag_Send_Data=1,_xll.DBSW(Val!N368,Val!$C$1,Val!$C$2,Val!$C$3,Val!$C$4,Val!$D368,Val!$C$5,Val!$C$6,Val!$B368,Val!$E368,Val!N$10,Val!$C$7,Val!$C368),"")</f>
        <v>6003.1866666666674</v>
      </c>
      <c r="O368" s="2">
        <f ca="1">IF(Flag_Send_Data=1,_xll.DBSW(Val!O368,Val!$C$1,Val!$C$2,Val!$C$3,Val!$C$4,Val!$D368,Val!$C$5,Val!$C$6,Val!$B368,Val!$E368,Val!O$10,Val!$C$7,Val!$C368),"")</f>
        <v>6003.1866666666674</v>
      </c>
      <c r="P368" s="2">
        <f ca="1">IF(Flag_Send_Data=1,_xll.DBSW(Val!P368,Val!$C$1,Val!$C$2,Val!$C$3,Val!$C$4,Val!$D368,Val!$C$5,Val!$C$6,Val!$B368,Val!$E368,Val!P$10,Val!$C$7,Val!$C368),"")</f>
        <v>6003.1866666666674</v>
      </c>
      <c r="Q368" s="2">
        <f ca="1">IF(Flag_Send_Data=1,_xll.DBSW(Val!Q368,Val!$C$1,Val!$C$2,Val!$C$3,Val!$C$4,Val!$D368,Val!$C$5,Val!$C$6,Val!$B368,Val!$E368,Val!Q$10,Val!$C$7,Val!$C368),"")</f>
        <v>6003.1866666666674</v>
      </c>
    </row>
    <row r="369" spans="2:17" x14ac:dyDescent="0.25">
      <c r="B369" t="s">
        <v>288</v>
      </c>
      <c r="C369" t="s">
        <v>127</v>
      </c>
      <c r="D369" t="s">
        <v>199</v>
      </c>
      <c r="E369" t="s">
        <v>204</v>
      </c>
      <c r="F369" s="2">
        <f ca="1">IF(Flag_Send_Data=1,_xll.DBSW(Val!F369,Val!$C$1,Val!$C$2,Val!$C$3,Val!$C$4,Val!$D369,Val!$C$5,Val!$C$6,Val!$B369,Val!$E369,Val!F$10,Val!$C$7,Val!$C369),"")</f>
        <v>17580.62</v>
      </c>
      <c r="G369" s="2">
        <f ca="1">IF(Flag_Send_Data=1,_xll.DBSW(Val!G369,Val!$C$1,Val!$C$2,Val!$C$3,Val!$C$4,Val!$D369,Val!$C$5,Val!$C$6,Val!$B369,Val!$E369,Val!G$10,Val!$C$7,Val!$C369),"")</f>
        <v>17580.62</v>
      </c>
      <c r="H369" s="2">
        <f ca="1">IF(Flag_Send_Data=1,_xll.DBSW(Val!H369,Val!$C$1,Val!$C$2,Val!$C$3,Val!$C$4,Val!$D369,Val!$C$5,Val!$C$6,Val!$B369,Val!$E369,Val!H$10,Val!$C$7,Val!$C369),"")</f>
        <v>17580.62</v>
      </c>
      <c r="I369" s="2">
        <f ca="1">IF(Flag_Send_Data=1,_xll.DBSW(Val!I369,Val!$C$1,Val!$C$2,Val!$C$3,Val!$C$4,Val!$D369,Val!$C$5,Val!$C$6,Val!$B369,Val!$E369,Val!I$10,Val!$C$7,Val!$C369),"")</f>
        <v>17580.62</v>
      </c>
      <c r="J369" s="2">
        <f ca="1">IF(Flag_Send_Data=1,_xll.DBSW(Val!J369,Val!$C$1,Val!$C$2,Val!$C$3,Val!$C$4,Val!$D369,Val!$C$5,Val!$C$6,Val!$B369,Val!$E369,Val!J$10,Val!$C$7,Val!$C369),"")</f>
        <v>17580.62</v>
      </c>
      <c r="K369" s="2">
        <f ca="1">IF(Flag_Send_Data=1,_xll.DBSW(Val!K369,Val!$C$1,Val!$C$2,Val!$C$3,Val!$C$4,Val!$D369,Val!$C$5,Val!$C$6,Val!$B369,Val!$E369,Val!K$10,Val!$C$7,Val!$C369),"")</f>
        <v>17580.62</v>
      </c>
      <c r="L369" s="2">
        <f ca="1">IF(Flag_Send_Data=1,_xll.DBSW(Val!L369,Val!$C$1,Val!$C$2,Val!$C$3,Val!$C$4,Val!$D369,Val!$C$5,Val!$C$6,Val!$B369,Val!$E369,Val!L$10,Val!$C$7,Val!$C369),"")</f>
        <v>17580.62</v>
      </c>
      <c r="M369" s="2">
        <f ca="1">IF(Flag_Send_Data=1,_xll.DBSW(Val!M369,Val!$C$1,Val!$C$2,Val!$C$3,Val!$C$4,Val!$D369,Val!$C$5,Val!$C$6,Val!$B369,Val!$E369,Val!M$10,Val!$C$7,Val!$C369),"")</f>
        <v>17580.62</v>
      </c>
      <c r="N369" s="2">
        <f ca="1">IF(Flag_Send_Data=1,_xll.DBSW(Val!N369,Val!$C$1,Val!$C$2,Val!$C$3,Val!$C$4,Val!$D369,Val!$C$5,Val!$C$6,Val!$B369,Val!$E369,Val!N$10,Val!$C$7,Val!$C369),"")</f>
        <v>17580.62</v>
      </c>
      <c r="O369" s="2">
        <f ca="1">IF(Flag_Send_Data=1,_xll.DBSW(Val!O369,Val!$C$1,Val!$C$2,Val!$C$3,Val!$C$4,Val!$D369,Val!$C$5,Val!$C$6,Val!$B369,Val!$E369,Val!O$10,Val!$C$7,Val!$C369),"")</f>
        <v>17580.62</v>
      </c>
      <c r="P369" s="2">
        <f ca="1">IF(Flag_Send_Data=1,_xll.DBSW(Val!P369,Val!$C$1,Val!$C$2,Val!$C$3,Val!$C$4,Val!$D369,Val!$C$5,Val!$C$6,Val!$B369,Val!$E369,Val!P$10,Val!$C$7,Val!$C369),"")</f>
        <v>17580.62</v>
      </c>
      <c r="Q369" s="2">
        <f ca="1">IF(Flag_Send_Data=1,_xll.DBSW(Val!Q369,Val!$C$1,Val!$C$2,Val!$C$3,Val!$C$4,Val!$D369,Val!$C$5,Val!$C$6,Val!$B369,Val!$E369,Val!Q$10,Val!$C$7,Val!$C369),"")</f>
        <v>17580.62</v>
      </c>
    </row>
    <row r="370" spans="2:17" x14ac:dyDescent="0.25">
      <c r="B370" t="s">
        <v>289</v>
      </c>
      <c r="C370" t="s">
        <v>8</v>
      </c>
      <c r="D370" t="s">
        <v>199</v>
      </c>
      <c r="E370" t="s">
        <v>128</v>
      </c>
      <c r="F370" s="2">
        <f ca="1">IF(Flag_Send_Data=1,_xll.DBSW(Val!F370,Val!$C$1,Val!$C$2,Val!$C$3,Val!$C$4,Val!$D370,Val!$C$5,Val!$C$6,Val!$B370,Val!$E370,Val!F$10,Val!$C$7,Val!$C370),"")</f>
        <v>-37737.004166666666</v>
      </c>
      <c r="G370" s="2">
        <f ca="1">IF(Flag_Send_Data=1,_xll.DBSW(Val!G370,Val!$C$1,Val!$C$2,Val!$C$3,Val!$C$4,Val!$D370,Val!$C$5,Val!$C$6,Val!$B370,Val!$E370,Val!G$10,Val!$C$7,Val!$C370),"")</f>
        <v>-37737.004166666666</v>
      </c>
      <c r="H370" s="2">
        <f ca="1">IF(Flag_Send_Data=1,_xll.DBSW(Val!H370,Val!$C$1,Val!$C$2,Val!$C$3,Val!$C$4,Val!$D370,Val!$C$5,Val!$C$6,Val!$B370,Val!$E370,Val!H$10,Val!$C$7,Val!$C370),"")</f>
        <v>-37737.004166666666</v>
      </c>
      <c r="I370" s="2">
        <f ca="1">IF(Flag_Send_Data=1,_xll.DBSW(Val!I370,Val!$C$1,Val!$C$2,Val!$C$3,Val!$C$4,Val!$D370,Val!$C$5,Val!$C$6,Val!$B370,Val!$E370,Val!I$10,Val!$C$7,Val!$C370),"")</f>
        <v>-37737.004166666666</v>
      </c>
      <c r="J370" s="2">
        <f ca="1">IF(Flag_Send_Data=1,_xll.DBSW(Val!J370,Val!$C$1,Val!$C$2,Val!$C$3,Val!$C$4,Val!$D370,Val!$C$5,Val!$C$6,Val!$B370,Val!$E370,Val!J$10,Val!$C$7,Val!$C370),"")</f>
        <v>-37737.004166666666</v>
      </c>
      <c r="K370" s="2">
        <f ca="1">IF(Flag_Send_Data=1,_xll.DBSW(Val!K370,Val!$C$1,Val!$C$2,Val!$C$3,Val!$C$4,Val!$D370,Val!$C$5,Val!$C$6,Val!$B370,Val!$E370,Val!K$10,Val!$C$7,Val!$C370),"")</f>
        <v>-37737.004166666666</v>
      </c>
      <c r="L370" s="2">
        <f ca="1">IF(Flag_Send_Data=1,_xll.DBSW(Val!L370,Val!$C$1,Val!$C$2,Val!$C$3,Val!$C$4,Val!$D370,Val!$C$5,Val!$C$6,Val!$B370,Val!$E370,Val!L$10,Val!$C$7,Val!$C370),"")</f>
        <v>-37737.004166666666</v>
      </c>
      <c r="M370" s="2">
        <f ca="1">IF(Flag_Send_Data=1,_xll.DBSW(Val!M370,Val!$C$1,Val!$C$2,Val!$C$3,Val!$C$4,Val!$D370,Val!$C$5,Val!$C$6,Val!$B370,Val!$E370,Val!M$10,Val!$C$7,Val!$C370),"")</f>
        <v>-37737.004166666666</v>
      </c>
      <c r="N370" s="2">
        <f ca="1">IF(Flag_Send_Data=1,_xll.DBSW(Val!N370,Val!$C$1,Val!$C$2,Val!$C$3,Val!$C$4,Val!$D370,Val!$C$5,Val!$C$6,Val!$B370,Val!$E370,Val!N$10,Val!$C$7,Val!$C370),"")</f>
        <v>-37737.004166666666</v>
      </c>
      <c r="O370" s="2">
        <f ca="1">IF(Flag_Send_Data=1,_xll.DBSW(Val!O370,Val!$C$1,Val!$C$2,Val!$C$3,Val!$C$4,Val!$D370,Val!$C$5,Val!$C$6,Val!$B370,Val!$E370,Val!O$10,Val!$C$7,Val!$C370),"")</f>
        <v>-37737.004166666666</v>
      </c>
      <c r="P370" s="2">
        <f ca="1">IF(Flag_Send_Data=1,_xll.DBSW(Val!P370,Val!$C$1,Val!$C$2,Val!$C$3,Val!$C$4,Val!$D370,Val!$C$5,Val!$C$6,Val!$B370,Val!$E370,Val!P$10,Val!$C$7,Val!$C370),"")</f>
        <v>-37737.004166666666</v>
      </c>
      <c r="Q370" s="2">
        <f ca="1">IF(Flag_Send_Data=1,_xll.DBSW(Val!Q370,Val!$C$1,Val!$C$2,Val!$C$3,Val!$C$4,Val!$D370,Val!$C$5,Val!$C$6,Val!$B370,Val!$E370,Val!Q$10,Val!$C$7,Val!$C370),"")</f>
        <v>-37737.004166666666</v>
      </c>
    </row>
    <row r="371" spans="2:17" x14ac:dyDescent="0.25">
      <c r="B371" t="s">
        <v>289</v>
      </c>
      <c r="C371" t="s">
        <v>127</v>
      </c>
      <c r="D371" t="s">
        <v>199</v>
      </c>
      <c r="E371" t="s">
        <v>65</v>
      </c>
      <c r="F371" s="2">
        <f ca="1">IF(Flag_Send_Data=1,_xll.DBSW(Val!F371,Val!$C$1,Val!$C$2,Val!$C$3,Val!$C$4,Val!$D371,Val!$C$5,Val!$C$6,Val!$B371,Val!$E371,Val!F$10,Val!$C$7,Val!$C371),"")</f>
        <v>37737.004166666666</v>
      </c>
      <c r="G371" s="2">
        <f ca="1">IF(Flag_Send_Data=1,_xll.DBSW(Val!G371,Val!$C$1,Val!$C$2,Val!$C$3,Val!$C$4,Val!$D371,Val!$C$5,Val!$C$6,Val!$B371,Val!$E371,Val!G$10,Val!$C$7,Val!$C371),"")</f>
        <v>37737.004166666666</v>
      </c>
      <c r="H371" s="2">
        <f ca="1">IF(Flag_Send_Data=1,_xll.DBSW(Val!H371,Val!$C$1,Val!$C$2,Val!$C$3,Val!$C$4,Val!$D371,Val!$C$5,Val!$C$6,Val!$B371,Val!$E371,Val!H$10,Val!$C$7,Val!$C371),"")</f>
        <v>37737.004166666666</v>
      </c>
      <c r="I371" s="2">
        <f ca="1">IF(Flag_Send_Data=1,_xll.DBSW(Val!I371,Val!$C$1,Val!$C$2,Val!$C$3,Val!$C$4,Val!$D371,Val!$C$5,Val!$C$6,Val!$B371,Val!$E371,Val!I$10,Val!$C$7,Val!$C371),"")</f>
        <v>37737.004166666666</v>
      </c>
      <c r="J371" s="2">
        <f ca="1">IF(Flag_Send_Data=1,_xll.DBSW(Val!J371,Val!$C$1,Val!$C$2,Val!$C$3,Val!$C$4,Val!$D371,Val!$C$5,Val!$C$6,Val!$B371,Val!$E371,Val!J$10,Val!$C$7,Val!$C371),"")</f>
        <v>37737.004166666666</v>
      </c>
      <c r="K371" s="2">
        <f ca="1">IF(Flag_Send_Data=1,_xll.DBSW(Val!K371,Val!$C$1,Val!$C$2,Val!$C$3,Val!$C$4,Val!$D371,Val!$C$5,Val!$C$6,Val!$B371,Val!$E371,Val!K$10,Val!$C$7,Val!$C371),"")</f>
        <v>37737.004166666666</v>
      </c>
      <c r="L371" s="2">
        <f ca="1">IF(Flag_Send_Data=1,_xll.DBSW(Val!L371,Val!$C$1,Val!$C$2,Val!$C$3,Val!$C$4,Val!$D371,Val!$C$5,Val!$C$6,Val!$B371,Val!$E371,Val!L$10,Val!$C$7,Val!$C371),"")</f>
        <v>37737.004166666666</v>
      </c>
      <c r="M371" s="2">
        <f ca="1">IF(Flag_Send_Data=1,_xll.DBSW(Val!M371,Val!$C$1,Val!$C$2,Val!$C$3,Val!$C$4,Val!$D371,Val!$C$5,Val!$C$6,Val!$B371,Val!$E371,Val!M$10,Val!$C$7,Val!$C371),"")</f>
        <v>37737.004166666666</v>
      </c>
      <c r="N371" s="2">
        <f ca="1">IF(Flag_Send_Data=1,_xll.DBSW(Val!N371,Val!$C$1,Val!$C$2,Val!$C$3,Val!$C$4,Val!$D371,Val!$C$5,Val!$C$6,Val!$B371,Val!$E371,Val!N$10,Val!$C$7,Val!$C371),"")</f>
        <v>37737.004166666666</v>
      </c>
      <c r="O371" s="2">
        <f ca="1">IF(Flag_Send_Data=1,_xll.DBSW(Val!O371,Val!$C$1,Val!$C$2,Val!$C$3,Val!$C$4,Val!$D371,Val!$C$5,Val!$C$6,Val!$B371,Val!$E371,Val!O$10,Val!$C$7,Val!$C371),"")</f>
        <v>37737.004166666666</v>
      </c>
      <c r="P371" s="2">
        <f ca="1">IF(Flag_Send_Data=1,_xll.DBSW(Val!P371,Val!$C$1,Val!$C$2,Val!$C$3,Val!$C$4,Val!$D371,Val!$C$5,Val!$C$6,Val!$B371,Val!$E371,Val!P$10,Val!$C$7,Val!$C371),"")</f>
        <v>37737.004166666666</v>
      </c>
      <c r="Q371" s="2">
        <f ca="1">IF(Flag_Send_Data=1,_xll.DBSW(Val!Q371,Val!$C$1,Val!$C$2,Val!$C$3,Val!$C$4,Val!$D371,Val!$C$5,Val!$C$6,Val!$B371,Val!$E371,Val!Q$10,Val!$C$7,Val!$C371),"")</f>
        <v>37737.004166666666</v>
      </c>
    </row>
    <row r="372" spans="2:17" x14ac:dyDescent="0.25">
      <c r="B372" t="s">
        <v>290</v>
      </c>
      <c r="C372" t="s">
        <v>8</v>
      </c>
      <c r="D372" t="s">
        <v>199</v>
      </c>
      <c r="E372" t="s">
        <v>128</v>
      </c>
      <c r="F372" s="2">
        <f ca="1">IF(Flag_Send_Data=1,_xll.DBSW(Val!F372,Val!$C$1,Val!$C$2,Val!$C$3,Val!$C$4,Val!$D372,Val!$C$5,Val!$C$6,Val!$B372,Val!$E372,Val!F$10,Val!$C$7,Val!$C372),"")</f>
        <v>-63335.109999999993</v>
      </c>
      <c r="G372" s="2">
        <f ca="1">IF(Flag_Send_Data=1,_xll.DBSW(Val!G372,Val!$C$1,Val!$C$2,Val!$C$3,Val!$C$4,Val!$D372,Val!$C$5,Val!$C$6,Val!$B372,Val!$E372,Val!G$10,Val!$C$7,Val!$C372),"")</f>
        <v>-63335.109999999993</v>
      </c>
      <c r="H372" s="2">
        <f ca="1">IF(Flag_Send_Data=1,_xll.DBSW(Val!H372,Val!$C$1,Val!$C$2,Val!$C$3,Val!$C$4,Val!$D372,Val!$C$5,Val!$C$6,Val!$B372,Val!$E372,Val!H$10,Val!$C$7,Val!$C372),"")</f>
        <v>-63335.109999999993</v>
      </c>
      <c r="I372" s="2">
        <f ca="1">IF(Flag_Send_Data=1,_xll.DBSW(Val!I372,Val!$C$1,Val!$C$2,Val!$C$3,Val!$C$4,Val!$D372,Val!$C$5,Val!$C$6,Val!$B372,Val!$E372,Val!I$10,Val!$C$7,Val!$C372),"")</f>
        <v>-63335.109999999993</v>
      </c>
      <c r="J372" s="2">
        <f ca="1">IF(Flag_Send_Data=1,_xll.DBSW(Val!J372,Val!$C$1,Val!$C$2,Val!$C$3,Val!$C$4,Val!$D372,Val!$C$5,Val!$C$6,Val!$B372,Val!$E372,Val!J$10,Val!$C$7,Val!$C372),"")</f>
        <v>-63335.109999999993</v>
      </c>
      <c r="K372" s="2">
        <f ca="1">IF(Flag_Send_Data=1,_xll.DBSW(Val!K372,Val!$C$1,Val!$C$2,Val!$C$3,Val!$C$4,Val!$D372,Val!$C$5,Val!$C$6,Val!$B372,Val!$E372,Val!K$10,Val!$C$7,Val!$C372),"")</f>
        <v>-63335.109999999993</v>
      </c>
      <c r="L372" s="2">
        <f ca="1">IF(Flag_Send_Data=1,_xll.DBSW(Val!L372,Val!$C$1,Val!$C$2,Val!$C$3,Val!$C$4,Val!$D372,Val!$C$5,Val!$C$6,Val!$B372,Val!$E372,Val!L$10,Val!$C$7,Val!$C372),"")</f>
        <v>-63335.109999999993</v>
      </c>
      <c r="M372" s="2">
        <f ca="1">IF(Flag_Send_Data=1,_xll.DBSW(Val!M372,Val!$C$1,Val!$C$2,Val!$C$3,Val!$C$4,Val!$D372,Val!$C$5,Val!$C$6,Val!$B372,Val!$E372,Val!M$10,Val!$C$7,Val!$C372),"")</f>
        <v>-63335.109999999993</v>
      </c>
      <c r="N372" s="2">
        <f ca="1">IF(Flag_Send_Data=1,_xll.DBSW(Val!N372,Val!$C$1,Val!$C$2,Val!$C$3,Val!$C$4,Val!$D372,Val!$C$5,Val!$C$6,Val!$B372,Val!$E372,Val!N$10,Val!$C$7,Val!$C372),"")</f>
        <v>-63335.109999999993</v>
      </c>
      <c r="O372" s="2">
        <f ca="1">IF(Flag_Send_Data=1,_xll.DBSW(Val!O372,Val!$C$1,Val!$C$2,Val!$C$3,Val!$C$4,Val!$D372,Val!$C$5,Val!$C$6,Val!$B372,Val!$E372,Val!O$10,Val!$C$7,Val!$C372),"")</f>
        <v>-63335.109999999993</v>
      </c>
      <c r="P372" s="2">
        <f ca="1">IF(Flag_Send_Data=1,_xll.DBSW(Val!P372,Val!$C$1,Val!$C$2,Val!$C$3,Val!$C$4,Val!$D372,Val!$C$5,Val!$C$6,Val!$B372,Val!$E372,Val!P$10,Val!$C$7,Val!$C372),"")</f>
        <v>-63335.109999999993</v>
      </c>
      <c r="Q372" s="2">
        <f ca="1">IF(Flag_Send_Data=1,_xll.DBSW(Val!Q372,Val!$C$1,Val!$C$2,Val!$C$3,Val!$C$4,Val!$D372,Val!$C$5,Val!$C$6,Val!$B372,Val!$E372,Val!Q$10,Val!$C$7,Val!$C372),"")</f>
        <v>-63335.109999999993</v>
      </c>
    </row>
    <row r="373" spans="2:17" x14ac:dyDescent="0.25">
      <c r="B373" t="s">
        <v>290</v>
      </c>
      <c r="C373" t="s">
        <v>127</v>
      </c>
      <c r="D373" t="s">
        <v>199</v>
      </c>
      <c r="E373" t="s">
        <v>76</v>
      </c>
      <c r="F373" s="2">
        <f ca="1">IF(Flag_Send_Data=1,_xll.DBSW(Val!F373,Val!$C$1,Val!$C$2,Val!$C$3,Val!$C$4,Val!$D373,Val!$C$5,Val!$C$6,Val!$B373,Val!$E373,Val!F$10,Val!$C$7,Val!$C373),"")</f>
        <v>6193.9458333333341</v>
      </c>
      <c r="G373" s="2">
        <f ca="1">IF(Flag_Send_Data=1,_xll.DBSW(Val!G373,Val!$C$1,Val!$C$2,Val!$C$3,Val!$C$4,Val!$D373,Val!$C$5,Val!$C$6,Val!$B373,Val!$E373,Val!G$10,Val!$C$7,Val!$C373),"")</f>
        <v>6193.9458333333341</v>
      </c>
      <c r="H373" s="2">
        <f ca="1">IF(Flag_Send_Data=1,_xll.DBSW(Val!H373,Val!$C$1,Val!$C$2,Val!$C$3,Val!$C$4,Val!$D373,Val!$C$5,Val!$C$6,Val!$B373,Val!$E373,Val!H$10,Val!$C$7,Val!$C373),"")</f>
        <v>6193.9458333333341</v>
      </c>
      <c r="I373" s="2">
        <f ca="1">IF(Flag_Send_Data=1,_xll.DBSW(Val!I373,Val!$C$1,Val!$C$2,Val!$C$3,Val!$C$4,Val!$D373,Val!$C$5,Val!$C$6,Val!$B373,Val!$E373,Val!I$10,Val!$C$7,Val!$C373),"")</f>
        <v>6193.9458333333341</v>
      </c>
      <c r="J373" s="2">
        <f ca="1">IF(Flag_Send_Data=1,_xll.DBSW(Val!J373,Val!$C$1,Val!$C$2,Val!$C$3,Val!$C$4,Val!$D373,Val!$C$5,Val!$C$6,Val!$B373,Val!$E373,Val!J$10,Val!$C$7,Val!$C373),"")</f>
        <v>6193.9458333333341</v>
      </c>
      <c r="K373" s="2">
        <f ca="1">IF(Flag_Send_Data=1,_xll.DBSW(Val!K373,Val!$C$1,Val!$C$2,Val!$C$3,Val!$C$4,Val!$D373,Val!$C$5,Val!$C$6,Val!$B373,Val!$E373,Val!K$10,Val!$C$7,Val!$C373),"")</f>
        <v>6193.9458333333341</v>
      </c>
      <c r="L373" s="2">
        <f ca="1">IF(Flag_Send_Data=1,_xll.DBSW(Val!L373,Val!$C$1,Val!$C$2,Val!$C$3,Val!$C$4,Val!$D373,Val!$C$5,Val!$C$6,Val!$B373,Val!$E373,Val!L$10,Val!$C$7,Val!$C373),"")</f>
        <v>6193.9458333333341</v>
      </c>
      <c r="M373" s="2">
        <f ca="1">IF(Flag_Send_Data=1,_xll.DBSW(Val!M373,Val!$C$1,Val!$C$2,Val!$C$3,Val!$C$4,Val!$D373,Val!$C$5,Val!$C$6,Val!$B373,Val!$E373,Val!M$10,Val!$C$7,Val!$C373),"")</f>
        <v>6193.9458333333341</v>
      </c>
      <c r="N373" s="2">
        <f ca="1">IF(Flag_Send_Data=1,_xll.DBSW(Val!N373,Val!$C$1,Val!$C$2,Val!$C$3,Val!$C$4,Val!$D373,Val!$C$5,Val!$C$6,Val!$B373,Val!$E373,Val!N$10,Val!$C$7,Val!$C373),"")</f>
        <v>6193.9458333333341</v>
      </c>
      <c r="O373" s="2">
        <f ca="1">IF(Flag_Send_Data=1,_xll.DBSW(Val!O373,Val!$C$1,Val!$C$2,Val!$C$3,Val!$C$4,Val!$D373,Val!$C$5,Val!$C$6,Val!$B373,Val!$E373,Val!O$10,Val!$C$7,Val!$C373),"")</f>
        <v>6193.9458333333341</v>
      </c>
      <c r="P373" s="2">
        <f ca="1">IF(Flag_Send_Data=1,_xll.DBSW(Val!P373,Val!$C$1,Val!$C$2,Val!$C$3,Val!$C$4,Val!$D373,Val!$C$5,Val!$C$6,Val!$B373,Val!$E373,Val!P$10,Val!$C$7,Val!$C373),"")</f>
        <v>6193.9458333333341</v>
      </c>
      <c r="Q373" s="2">
        <f ca="1">IF(Flag_Send_Data=1,_xll.DBSW(Val!Q373,Val!$C$1,Val!$C$2,Val!$C$3,Val!$C$4,Val!$D373,Val!$C$5,Val!$C$6,Val!$B373,Val!$E373,Val!Q$10,Val!$C$7,Val!$C373),"")</f>
        <v>6193.9458333333341</v>
      </c>
    </row>
    <row r="374" spans="2:17" x14ac:dyDescent="0.25">
      <c r="B374" t="s">
        <v>290</v>
      </c>
      <c r="C374" t="s">
        <v>127</v>
      </c>
      <c r="D374" t="s">
        <v>199</v>
      </c>
      <c r="E374" t="s">
        <v>9</v>
      </c>
      <c r="F374" s="2">
        <f ca="1">IF(Flag_Send_Data=1,_xll.DBSW(Val!F374,Val!$C$1,Val!$C$2,Val!$C$3,Val!$C$4,Val!$D374,Val!$C$5,Val!$C$6,Val!$B374,Val!$E374,Val!F$10,Val!$C$7,Val!$C374),"")</f>
        <v>4502.4483333333328</v>
      </c>
      <c r="G374" s="2">
        <f ca="1">IF(Flag_Send_Data=1,_xll.DBSW(Val!G374,Val!$C$1,Val!$C$2,Val!$C$3,Val!$C$4,Val!$D374,Val!$C$5,Val!$C$6,Val!$B374,Val!$E374,Val!G$10,Val!$C$7,Val!$C374),"")</f>
        <v>4502.4483333333328</v>
      </c>
      <c r="H374" s="2">
        <f ca="1">IF(Flag_Send_Data=1,_xll.DBSW(Val!H374,Val!$C$1,Val!$C$2,Val!$C$3,Val!$C$4,Val!$D374,Val!$C$5,Val!$C$6,Val!$B374,Val!$E374,Val!H$10,Val!$C$7,Val!$C374),"")</f>
        <v>4502.4483333333328</v>
      </c>
      <c r="I374" s="2">
        <f ca="1">IF(Flag_Send_Data=1,_xll.DBSW(Val!I374,Val!$C$1,Val!$C$2,Val!$C$3,Val!$C$4,Val!$D374,Val!$C$5,Val!$C$6,Val!$B374,Val!$E374,Val!I$10,Val!$C$7,Val!$C374),"")</f>
        <v>4502.4483333333328</v>
      </c>
      <c r="J374" s="2">
        <f ca="1">IF(Flag_Send_Data=1,_xll.DBSW(Val!J374,Val!$C$1,Val!$C$2,Val!$C$3,Val!$C$4,Val!$D374,Val!$C$5,Val!$C$6,Val!$B374,Val!$E374,Val!J$10,Val!$C$7,Val!$C374),"")</f>
        <v>4502.4483333333328</v>
      </c>
      <c r="K374" s="2">
        <f ca="1">IF(Flag_Send_Data=1,_xll.DBSW(Val!K374,Val!$C$1,Val!$C$2,Val!$C$3,Val!$C$4,Val!$D374,Val!$C$5,Val!$C$6,Val!$B374,Val!$E374,Val!K$10,Val!$C$7,Val!$C374),"")</f>
        <v>4502.4483333333328</v>
      </c>
      <c r="L374" s="2">
        <f ca="1">IF(Flag_Send_Data=1,_xll.DBSW(Val!L374,Val!$C$1,Val!$C$2,Val!$C$3,Val!$C$4,Val!$D374,Val!$C$5,Val!$C$6,Val!$B374,Val!$E374,Val!L$10,Val!$C$7,Val!$C374),"")</f>
        <v>4502.4483333333328</v>
      </c>
      <c r="M374" s="2">
        <f ca="1">IF(Flag_Send_Data=1,_xll.DBSW(Val!M374,Val!$C$1,Val!$C$2,Val!$C$3,Val!$C$4,Val!$D374,Val!$C$5,Val!$C$6,Val!$B374,Val!$E374,Val!M$10,Val!$C$7,Val!$C374),"")</f>
        <v>4502.4483333333328</v>
      </c>
      <c r="N374" s="2">
        <f ca="1">IF(Flag_Send_Data=1,_xll.DBSW(Val!N374,Val!$C$1,Val!$C$2,Val!$C$3,Val!$C$4,Val!$D374,Val!$C$5,Val!$C$6,Val!$B374,Val!$E374,Val!N$10,Val!$C$7,Val!$C374),"")</f>
        <v>4502.4483333333328</v>
      </c>
      <c r="O374" s="2">
        <f ca="1">IF(Flag_Send_Data=1,_xll.DBSW(Val!O374,Val!$C$1,Val!$C$2,Val!$C$3,Val!$C$4,Val!$D374,Val!$C$5,Val!$C$6,Val!$B374,Val!$E374,Val!O$10,Val!$C$7,Val!$C374),"")</f>
        <v>4502.4483333333328</v>
      </c>
      <c r="P374" s="2">
        <f ca="1">IF(Flag_Send_Data=1,_xll.DBSW(Val!P374,Val!$C$1,Val!$C$2,Val!$C$3,Val!$C$4,Val!$D374,Val!$C$5,Val!$C$6,Val!$B374,Val!$E374,Val!P$10,Val!$C$7,Val!$C374),"")</f>
        <v>4502.4483333333328</v>
      </c>
      <c r="Q374" s="2">
        <f ca="1">IF(Flag_Send_Data=1,_xll.DBSW(Val!Q374,Val!$C$1,Val!$C$2,Val!$C$3,Val!$C$4,Val!$D374,Val!$C$5,Val!$C$6,Val!$B374,Val!$E374,Val!Q$10,Val!$C$7,Val!$C374),"")</f>
        <v>4502.4483333333328</v>
      </c>
    </row>
    <row r="375" spans="2:17" x14ac:dyDescent="0.25">
      <c r="B375" t="s">
        <v>290</v>
      </c>
      <c r="C375" t="s">
        <v>127</v>
      </c>
      <c r="D375" t="s">
        <v>199</v>
      </c>
      <c r="E375" t="s">
        <v>134</v>
      </c>
      <c r="F375" s="2">
        <f ca="1">IF(Flag_Send_Data=1,_xll.DBSW(Val!F375,Val!$C$1,Val!$C$2,Val!$C$3,Val!$C$4,Val!$D375,Val!$C$5,Val!$C$6,Val!$B375,Val!$E375,Val!F$10,Val!$C$7,Val!$C375),"")</f>
        <v>8268.9549999999999</v>
      </c>
      <c r="G375" s="2">
        <f ca="1">IF(Flag_Send_Data=1,_xll.DBSW(Val!G375,Val!$C$1,Val!$C$2,Val!$C$3,Val!$C$4,Val!$D375,Val!$C$5,Val!$C$6,Val!$B375,Val!$E375,Val!G$10,Val!$C$7,Val!$C375),"")</f>
        <v>8268.9549999999999</v>
      </c>
      <c r="H375" s="2">
        <f ca="1">IF(Flag_Send_Data=1,_xll.DBSW(Val!H375,Val!$C$1,Val!$C$2,Val!$C$3,Val!$C$4,Val!$D375,Val!$C$5,Val!$C$6,Val!$B375,Val!$E375,Val!H$10,Val!$C$7,Val!$C375),"")</f>
        <v>8268.9549999999999</v>
      </c>
      <c r="I375" s="2">
        <f ca="1">IF(Flag_Send_Data=1,_xll.DBSW(Val!I375,Val!$C$1,Val!$C$2,Val!$C$3,Val!$C$4,Val!$D375,Val!$C$5,Val!$C$6,Val!$B375,Val!$E375,Val!I$10,Val!$C$7,Val!$C375),"")</f>
        <v>8268.9549999999999</v>
      </c>
      <c r="J375" s="2">
        <f ca="1">IF(Flag_Send_Data=1,_xll.DBSW(Val!J375,Val!$C$1,Val!$C$2,Val!$C$3,Val!$C$4,Val!$D375,Val!$C$5,Val!$C$6,Val!$B375,Val!$E375,Val!J$10,Val!$C$7,Val!$C375),"")</f>
        <v>8268.9549999999999</v>
      </c>
      <c r="K375" s="2">
        <f ca="1">IF(Flag_Send_Data=1,_xll.DBSW(Val!K375,Val!$C$1,Val!$C$2,Val!$C$3,Val!$C$4,Val!$D375,Val!$C$5,Val!$C$6,Val!$B375,Val!$E375,Val!K$10,Val!$C$7,Val!$C375),"")</f>
        <v>8268.9549999999999</v>
      </c>
      <c r="L375" s="2">
        <f ca="1">IF(Flag_Send_Data=1,_xll.DBSW(Val!L375,Val!$C$1,Val!$C$2,Val!$C$3,Val!$C$4,Val!$D375,Val!$C$5,Val!$C$6,Val!$B375,Val!$E375,Val!L$10,Val!$C$7,Val!$C375),"")</f>
        <v>8268.9549999999999</v>
      </c>
      <c r="M375" s="2">
        <f ca="1">IF(Flag_Send_Data=1,_xll.DBSW(Val!M375,Val!$C$1,Val!$C$2,Val!$C$3,Val!$C$4,Val!$D375,Val!$C$5,Val!$C$6,Val!$B375,Val!$E375,Val!M$10,Val!$C$7,Val!$C375),"")</f>
        <v>8268.9549999999999</v>
      </c>
      <c r="N375" s="2">
        <f ca="1">IF(Flag_Send_Data=1,_xll.DBSW(Val!N375,Val!$C$1,Val!$C$2,Val!$C$3,Val!$C$4,Val!$D375,Val!$C$5,Val!$C$6,Val!$B375,Val!$E375,Val!N$10,Val!$C$7,Val!$C375),"")</f>
        <v>8268.9549999999999</v>
      </c>
      <c r="O375" s="2">
        <f ca="1">IF(Flag_Send_Data=1,_xll.DBSW(Val!O375,Val!$C$1,Val!$C$2,Val!$C$3,Val!$C$4,Val!$D375,Val!$C$5,Val!$C$6,Val!$B375,Val!$E375,Val!O$10,Val!$C$7,Val!$C375),"")</f>
        <v>8268.9549999999999</v>
      </c>
      <c r="P375" s="2">
        <f ca="1">IF(Flag_Send_Data=1,_xll.DBSW(Val!P375,Val!$C$1,Val!$C$2,Val!$C$3,Val!$C$4,Val!$D375,Val!$C$5,Val!$C$6,Val!$B375,Val!$E375,Val!P$10,Val!$C$7,Val!$C375),"")</f>
        <v>8268.9549999999999</v>
      </c>
      <c r="Q375" s="2">
        <f ca="1">IF(Flag_Send_Data=1,_xll.DBSW(Val!Q375,Val!$C$1,Val!$C$2,Val!$C$3,Val!$C$4,Val!$D375,Val!$C$5,Val!$C$6,Val!$B375,Val!$E375,Val!Q$10,Val!$C$7,Val!$C375),"")</f>
        <v>8268.9549999999999</v>
      </c>
    </row>
    <row r="376" spans="2:17" x14ac:dyDescent="0.25">
      <c r="B376" t="s">
        <v>290</v>
      </c>
      <c r="C376" t="s">
        <v>127</v>
      </c>
      <c r="D376" t="s">
        <v>199</v>
      </c>
      <c r="E376" t="s">
        <v>74</v>
      </c>
      <c r="F376" s="2">
        <f ca="1">IF(Flag_Send_Data=1,_xll.DBSW(Val!F376,Val!$C$1,Val!$C$2,Val!$C$3,Val!$C$4,Val!$D376,Val!$C$5,Val!$C$6,Val!$B376,Val!$E376,Val!F$10,Val!$C$7,Val!$C376),"")</f>
        <v>13810.282500000001</v>
      </c>
      <c r="G376" s="2">
        <f ca="1">IF(Flag_Send_Data=1,_xll.DBSW(Val!G376,Val!$C$1,Val!$C$2,Val!$C$3,Val!$C$4,Val!$D376,Val!$C$5,Val!$C$6,Val!$B376,Val!$E376,Val!G$10,Val!$C$7,Val!$C376),"")</f>
        <v>13810.282500000001</v>
      </c>
      <c r="H376" s="2">
        <f ca="1">IF(Flag_Send_Data=1,_xll.DBSW(Val!H376,Val!$C$1,Val!$C$2,Val!$C$3,Val!$C$4,Val!$D376,Val!$C$5,Val!$C$6,Val!$B376,Val!$E376,Val!H$10,Val!$C$7,Val!$C376),"")</f>
        <v>13810.282500000001</v>
      </c>
      <c r="I376" s="2">
        <f ca="1">IF(Flag_Send_Data=1,_xll.DBSW(Val!I376,Val!$C$1,Val!$C$2,Val!$C$3,Val!$C$4,Val!$D376,Val!$C$5,Val!$C$6,Val!$B376,Val!$E376,Val!I$10,Val!$C$7,Val!$C376),"")</f>
        <v>13810.282500000001</v>
      </c>
      <c r="J376" s="2">
        <f ca="1">IF(Flag_Send_Data=1,_xll.DBSW(Val!J376,Val!$C$1,Val!$C$2,Val!$C$3,Val!$C$4,Val!$D376,Val!$C$5,Val!$C$6,Val!$B376,Val!$E376,Val!J$10,Val!$C$7,Val!$C376),"")</f>
        <v>13810.282500000001</v>
      </c>
      <c r="K376" s="2">
        <f ca="1">IF(Flag_Send_Data=1,_xll.DBSW(Val!K376,Val!$C$1,Val!$C$2,Val!$C$3,Val!$C$4,Val!$D376,Val!$C$5,Val!$C$6,Val!$B376,Val!$E376,Val!K$10,Val!$C$7,Val!$C376),"")</f>
        <v>13810.282500000001</v>
      </c>
      <c r="L376" s="2">
        <f ca="1">IF(Flag_Send_Data=1,_xll.DBSW(Val!L376,Val!$C$1,Val!$C$2,Val!$C$3,Val!$C$4,Val!$D376,Val!$C$5,Val!$C$6,Val!$B376,Val!$E376,Val!L$10,Val!$C$7,Val!$C376),"")</f>
        <v>13810.282500000001</v>
      </c>
      <c r="M376" s="2">
        <f ca="1">IF(Flag_Send_Data=1,_xll.DBSW(Val!M376,Val!$C$1,Val!$C$2,Val!$C$3,Val!$C$4,Val!$D376,Val!$C$5,Val!$C$6,Val!$B376,Val!$E376,Val!M$10,Val!$C$7,Val!$C376),"")</f>
        <v>13810.282500000001</v>
      </c>
      <c r="N376" s="2">
        <f ca="1">IF(Flag_Send_Data=1,_xll.DBSW(Val!N376,Val!$C$1,Val!$C$2,Val!$C$3,Val!$C$4,Val!$D376,Val!$C$5,Val!$C$6,Val!$B376,Val!$E376,Val!N$10,Val!$C$7,Val!$C376),"")</f>
        <v>13810.282500000001</v>
      </c>
      <c r="O376" s="2">
        <f ca="1">IF(Flag_Send_Data=1,_xll.DBSW(Val!O376,Val!$C$1,Val!$C$2,Val!$C$3,Val!$C$4,Val!$D376,Val!$C$5,Val!$C$6,Val!$B376,Val!$E376,Val!O$10,Val!$C$7,Val!$C376),"")</f>
        <v>13810.282500000001</v>
      </c>
      <c r="P376" s="2">
        <f ca="1">IF(Flag_Send_Data=1,_xll.DBSW(Val!P376,Val!$C$1,Val!$C$2,Val!$C$3,Val!$C$4,Val!$D376,Val!$C$5,Val!$C$6,Val!$B376,Val!$E376,Val!P$10,Val!$C$7,Val!$C376),"")</f>
        <v>13810.282500000001</v>
      </c>
      <c r="Q376" s="2">
        <f ca="1">IF(Flag_Send_Data=1,_xll.DBSW(Val!Q376,Val!$C$1,Val!$C$2,Val!$C$3,Val!$C$4,Val!$D376,Val!$C$5,Val!$C$6,Val!$B376,Val!$E376,Val!Q$10,Val!$C$7,Val!$C376),"")</f>
        <v>13810.282500000001</v>
      </c>
    </row>
    <row r="377" spans="2:17" x14ac:dyDescent="0.25">
      <c r="B377" t="s">
        <v>290</v>
      </c>
      <c r="C377" t="s">
        <v>127</v>
      </c>
      <c r="D377" t="s">
        <v>199</v>
      </c>
      <c r="E377" t="s">
        <v>10</v>
      </c>
      <c r="F377" s="2">
        <f ca="1">IF(Flag_Send_Data=1,_xll.DBSW(Val!F377,Val!$C$1,Val!$C$2,Val!$C$3,Val!$C$4,Val!$D377,Val!$C$5,Val!$C$6,Val!$B377,Val!$E377,Val!F$10,Val!$C$7,Val!$C377),"")</f>
        <v>15469.219166666668</v>
      </c>
      <c r="G377" s="2">
        <f ca="1">IF(Flag_Send_Data=1,_xll.DBSW(Val!G377,Val!$C$1,Val!$C$2,Val!$C$3,Val!$C$4,Val!$D377,Val!$C$5,Val!$C$6,Val!$B377,Val!$E377,Val!G$10,Val!$C$7,Val!$C377),"")</f>
        <v>15469.219166666668</v>
      </c>
      <c r="H377" s="2">
        <f ca="1">IF(Flag_Send_Data=1,_xll.DBSW(Val!H377,Val!$C$1,Val!$C$2,Val!$C$3,Val!$C$4,Val!$D377,Val!$C$5,Val!$C$6,Val!$B377,Val!$E377,Val!H$10,Val!$C$7,Val!$C377),"")</f>
        <v>15469.219166666668</v>
      </c>
      <c r="I377" s="2">
        <f ca="1">IF(Flag_Send_Data=1,_xll.DBSW(Val!I377,Val!$C$1,Val!$C$2,Val!$C$3,Val!$C$4,Val!$D377,Val!$C$5,Val!$C$6,Val!$B377,Val!$E377,Val!I$10,Val!$C$7,Val!$C377),"")</f>
        <v>15469.219166666668</v>
      </c>
      <c r="J377" s="2">
        <f ca="1">IF(Flag_Send_Data=1,_xll.DBSW(Val!J377,Val!$C$1,Val!$C$2,Val!$C$3,Val!$C$4,Val!$D377,Val!$C$5,Val!$C$6,Val!$B377,Val!$E377,Val!J$10,Val!$C$7,Val!$C377),"")</f>
        <v>15469.219166666668</v>
      </c>
      <c r="K377" s="2">
        <f ca="1">IF(Flag_Send_Data=1,_xll.DBSW(Val!K377,Val!$C$1,Val!$C$2,Val!$C$3,Val!$C$4,Val!$D377,Val!$C$5,Val!$C$6,Val!$B377,Val!$E377,Val!K$10,Val!$C$7,Val!$C377),"")</f>
        <v>15469.219166666668</v>
      </c>
      <c r="L377" s="2">
        <f ca="1">IF(Flag_Send_Data=1,_xll.DBSW(Val!L377,Val!$C$1,Val!$C$2,Val!$C$3,Val!$C$4,Val!$D377,Val!$C$5,Val!$C$6,Val!$B377,Val!$E377,Val!L$10,Val!$C$7,Val!$C377),"")</f>
        <v>15469.219166666668</v>
      </c>
      <c r="M377" s="2">
        <f ca="1">IF(Flag_Send_Data=1,_xll.DBSW(Val!M377,Val!$C$1,Val!$C$2,Val!$C$3,Val!$C$4,Val!$D377,Val!$C$5,Val!$C$6,Val!$B377,Val!$E377,Val!M$10,Val!$C$7,Val!$C377),"")</f>
        <v>15469.219166666668</v>
      </c>
      <c r="N377" s="2">
        <f ca="1">IF(Flag_Send_Data=1,_xll.DBSW(Val!N377,Val!$C$1,Val!$C$2,Val!$C$3,Val!$C$4,Val!$D377,Val!$C$5,Val!$C$6,Val!$B377,Val!$E377,Val!N$10,Val!$C$7,Val!$C377),"")</f>
        <v>15469.219166666668</v>
      </c>
      <c r="O377" s="2">
        <f ca="1">IF(Flag_Send_Data=1,_xll.DBSW(Val!O377,Val!$C$1,Val!$C$2,Val!$C$3,Val!$C$4,Val!$D377,Val!$C$5,Val!$C$6,Val!$B377,Val!$E377,Val!O$10,Val!$C$7,Val!$C377),"")</f>
        <v>15469.219166666668</v>
      </c>
      <c r="P377" s="2">
        <f ca="1">IF(Flag_Send_Data=1,_xll.DBSW(Val!P377,Val!$C$1,Val!$C$2,Val!$C$3,Val!$C$4,Val!$D377,Val!$C$5,Val!$C$6,Val!$B377,Val!$E377,Val!P$10,Val!$C$7,Val!$C377),"")</f>
        <v>15469.219166666668</v>
      </c>
      <c r="Q377" s="2">
        <f ca="1">IF(Flag_Send_Data=1,_xll.DBSW(Val!Q377,Val!$C$1,Val!$C$2,Val!$C$3,Val!$C$4,Val!$D377,Val!$C$5,Val!$C$6,Val!$B377,Val!$E377,Val!Q$10,Val!$C$7,Val!$C377),"")</f>
        <v>15469.219166666668</v>
      </c>
    </row>
    <row r="378" spans="2:17" x14ac:dyDescent="0.25">
      <c r="B378" t="s">
        <v>290</v>
      </c>
      <c r="C378" t="s">
        <v>127</v>
      </c>
      <c r="D378" t="s">
        <v>199</v>
      </c>
      <c r="E378" t="s">
        <v>141</v>
      </c>
      <c r="F378" s="2">
        <f ca="1">IF(Flag_Send_Data=1,_xll.DBSW(Val!F378,Val!$C$1,Val!$C$2,Val!$C$3,Val!$C$4,Val!$D378,Val!$C$5,Val!$C$6,Val!$B378,Val!$E378,Val!F$10,Val!$C$7,Val!$C378),"")</f>
        <v>6877.1125000000002</v>
      </c>
      <c r="G378" s="2">
        <f ca="1">IF(Flag_Send_Data=1,_xll.DBSW(Val!G378,Val!$C$1,Val!$C$2,Val!$C$3,Val!$C$4,Val!$D378,Val!$C$5,Val!$C$6,Val!$B378,Val!$E378,Val!G$10,Val!$C$7,Val!$C378),"")</f>
        <v>6877.1125000000002</v>
      </c>
      <c r="H378" s="2">
        <f ca="1">IF(Flag_Send_Data=1,_xll.DBSW(Val!H378,Val!$C$1,Val!$C$2,Val!$C$3,Val!$C$4,Val!$D378,Val!$C$5,Val!$C$6,Val!$B378,Val!$E378,Val!H$10,Val!$C$7,Val!$C378),"")</f>
        <v>6877.1125000000002</v>
      </c>
      <c r="I378" s="2">
        <f ca="1">IF(Flag_Send_Data=1,_xll.DBSW(Val!I378,Val!$C$1,Val!$C$2,Val!$C$3,Val!$C$4,Val!$D378,Val!$C$5,Val!$C$6,Val!$B378,Val!$E378,Val!I$10,Val!$C$7,Val!$C378),"")</f>
        <v>6877.1125000000002</v>
      </c>
      <c r="J378" s="2">
        <f ca="1">IF(Flag_Send_Data=1,_xll.DBSW(Val!J378,Val!$C$1,Val!$C$2,Val!$C$3,Val!$C$4,Val!$D378,Val!$C$5,Val!$C$6,Val!$B378,Val!$E378,Val!J$10,Val!$C$7,Val!$C378),"")</f>
        <v>6877.1125000000002</v>
      </c>
      <c r="K378" s="2">
        <f ca="1">IF(Flag_Send_Data=1,_xll.DBSW(Val!K378,Val!$C$1,Val!$C$2,Val!$C$3,Val!$C$4,Val!$D378,Val!$C$5,Val!$C$6,Val!$B378,Val!$E378,Val!K$10,Val!$C$7,Val!$C378),"")</f>
        <v>6877.1125000000002</v>
      </c>
      <c r="L378" s="2">
        <f ca="1">IF(Flag_Send_Data=1,_xll.DBSW(Val!L378,Val!$C$1,Val!$C$2,Val!$C$3,Val!$C$4,Val!$D378,Val!$C$5,Val!$C$6,Val!$B378,Val!$E378,Val!L$10,Val!$C$7,Val!$C378),"")</f>
        <v>6877.1125000000002</v>
      </c>
      <c r="M378" s="2">
        <f ca="1">IF(Flag_Send_Data=1,_xll.DBSW(Val!M378,Val!$C$1,Val!$C$2,Val!$C$3,Val!$C$4,Val!$D378,Val!$C$5,Val!$C$6,Val!$B378,Val!$E378,Val!M$10,Val!$C$7,Val!$C378),"")</f>
        <v>6877.1125000000002</v>
      </c>
      <c r="N378" s="2">
        <f ca="1">IF(Flag_Send_Data=1,_xll.DBSW(Val!N378,Val!$C$1,Val!$C$2,Val!$C$3,Val!$C$4,Val!$D378,Val!$C$5,Val!$C$6,Val!$B378,Val!$E378,Val!N$10,Val!$C$7,Val!$C378),"")</f>
        <v>6877.1125000000002</v>
      </c>
      <c r="O378" s="2">
        <f ca="1">IF(Flag_Send_Data=1,_xll.DBSW(Val!O378,Val!$C$1,Val!$C$2,Val!$C$3,Val!$C$4,Val!$D378,Val!$C$5,Val!$C$6,Val!$B378,Val!$E378,Val!O$10,Val!$C$7,Val!$C378),"")</f>
        <v>6877.1125000000002</v>
      </c>
      <c r="P378" s="2">
        <f ca="1">IF(Flag_Send_Data=1,_xll.DBSW(Val!P378,Val!$C$1,Val!$C$2,Val!$C$3,Val!$C$4,Val!$D378,Val!$C$5,Val!$C$6,Val!$B378,Val!$E378,Val!P$10,Val!$C$7,Val!$C378),"")</f>
        <v>6877.1125000000002</v>
      </c>
      <c r="Q378" s="2">
        <f ca="1">IF(Flag_Send_Data=1,_xll.DBSW(Val!Q378,Val!$C$1,Val!$C$2,Val!$C$3,Val!$C$4,Val!$D378,Val!$C$5,Val!$C$6,Val!$B378,Val!$E378,Val!Q$10,Val!$C$7,Val!$C378),"")</f>
        <v>6877.1125000000002</v>
      </c>
    </row>
    <row r="379" spans="2:17" x14ac:dyDescent="0.25">
      <c r="B379" t="s">
        <v>290</v>
      </c>
      <c r="C379" t="s">
        <v>127</v>
      </c>
      <c r="D379" t="s">
        <v>199</v>
      </c>
      <c r="E379" t="s">
        <v>75</v>
      </c>
      <c r="F379" s="2">
        <f ca="1">IF(Flag_Send_Data=1,_xll.DBSW(Val!F379,Val!$C$1,Val!$C$2,Val!$C$3,Val!$C$4,Val!$D379,Val!$C$5,Val!$C$6,Val!$B379,Val!$E379,Val!F$10,Val!$C$7,Val!$C379),"")</f>
        <v>5975.0516666666663</v>
      </c>
      <c r="G379" s="2">
        <f ca="1">IF(Flag_Send_Data=1,_xll.DBSW(Val!G379,Val!$C$1,Val!$C$2,Val!$C$3,Val!$C$4,Val!$D379,Val!$C$5,Val!$C$6,Val!$B379,Val!$E379,Val!G$10,Val!$C$7,Val!$C379),"")</f>
        <v>5975.0516666666663</v>
      </c>
      <c r="H379" s="2">
        <f ca="1">IF(Flag_Send_Data=1,_xll.DBSW(Val!H379,Val!$C$1,Val!$C$2,Val!$C$3,Val!$C$4,Val!$D379,Val!$C$5,Val!$C$6,Val!$B379,Val!$E379,Val!H$10,Val!$C$7,Val!$C379),"")</f>
        <v>5975.0516666666663</v>
      </c>
      <c r="I379" s="2">
        <f ca="1">IF(Flag_Send_Data=1,_xll.DBSW(Val!I379,Val!$C$1,Val!$C$2,Val!$C$3,Val!$C$4,Val!$D379,Val!$C$5,Val!$C$6,Val!$B379,Val!$E379,Val!I$10,Val!$C$7,Val!$C379),"")</f>
        <v>5975.0516666666663</v>
      </c>
      <c r="J379" s="2">
        <f ca="1">IF(Flag_Send_Data=1,_xll.DBSW(Val!J379,Val!$C$1,Val!$C$2,Val!$C$3,Val!$C$4,Val!$D379,Val!$C$5,Val!$C$6,Val!$B379,Val!$E379,Val!J$10,Val!$C$7,Val!$C379),"")</f>
        <v>5975.0516666666663</v>
      </c>
      <c r="K379" s="2">
        <f ca="1">IF(Flag_Send_Data=1,_xll.DBSW(Val!K379,Val!$C$1,Val!$C$2,Val!$C$3,Val!$C$4,Val!$D379,Val!$C$5,Val!$C$6,Val!$B379,Val!$E379,Val!K$10,Val!$C$7,Val!$C379),"")</f>
        <v>5975.0516666666663</v>
      </c>
      <c r="L379" s="2">
        <f ca="1">IF(Flag_Send_Data=1,_xll.DBSW(Val!L379,Val!$C$1,Val!$C$2,Val!$C$3,Val!$C$4,Val!$D379,Val!$C$5,Val!$C$6,Val!$B379,Val!$E379,Val!L$10,Val!$C$7,Val!$C379),"")</f>
        <v>5975.0516666666663</v>
      </c>
      <c r="M379" s="2">
        <f ca="1">IF(Flag_Send_Data=1,_xll.DBSW(Val!M379,Val!$C$1,Val!$C$2,Val!$C$3,Val!$C$4,Val!$D379,Val!$C$5,Val!$C$6,Val!$B379,Val!$E379,Val!M$10,Val!$C$7,Val!$C379),"")</f>
        <v>5975.0516666666663</v>
      </c>
      <c r="N379" s="2">
        <f ca="1">IF(Flag_Send_Data=1,_xll.DBSW(Val!N379,Val!$C$1,Val!$C$2,Val!$C$3,Val!$C$4,Val!$D379,Val!$C$5,Val!$C$6,Val!$B379,Val!$E379,Val!N$10,Val!$C$7,Val!$C379),"")</f>
        <v>5975.0516666666663</v>
      </c>
      <c r="O379" s="2">
        <f ca="1">IF(Flag_Send_Data=1,_xll.DBSW(Val!O379,Val!$C$1,Val!$C$2,Val!$C$3,Val!$C$4,Val!$D379,Val!$C$5,Val!$C$6,Val!$B379,Val!$E379,Val!O$10,Val!$C$7,Val!$C379),"")</f>
        <v>5975.0516666666663</v>
      </c>
      <c r="P379" s="2">
        <f ca="1">IF(Flag_Send_Data=1,_xll.DBSW(Val!P379,Val!$C$1,Val!$C$2,Val!$C$3,Val!$C$4,Val!$D379,Val!$C$5,Val!$C$6,Val!$B379,Val!$E379,Val!P$10,Val!$C$7,Val!$C379),"")</f>
        <v>5975.0516666666663</v>
      </c>
      <c r="Q379" s="2">
        <f ca="1">IF(Flag_Send_Data=1,_xll.DBSW(Val!Q379,Val!$C$1,Val!$C$2,Val!$C$3,Val!$C$4,Val!$D379,Val!$C$5,Val!$C$6,Val!$B379,Val!$E379,Val!Q$10,Val!$C$7,Val!$C379),"")</f>
        <v>5975.0516666666663</v>
      </c>
    </row>
    <row r="380" spans="2:17" x14ac:dyDescent="0.25">
      <c r="B380" t="s">
        <v>291</v>
      </c>
      <c r="C380" t="s">
        <v>8</v>
      </c>
      <c r="D380" t="s">
        <v>199</v>
      </c>
      <c r="E380" t="s">
        <v>128</v>
      </c>
      <c r="F380" s="2">
        <f ca="1">IF(Flag_Send_Data=1,_xll.DBSW(Val!F380,Val!$C$1,Val!$C$2,Val!$C$3,Val!$C$4,Val!$D380,Val!$C$5,Val!$C$6,Val!$B380,Val!$E380,Val!F$10,Val!$C$7,Val!$C380),"")</f>
        <v>-18820.935833333333</v>
      </c>
      <c r="G380" s="2">
        <f ca="1">IF(Flag_Send_Data=1,_xll.DBSW(Val!G380,Val!$C$1,Val!$C$2,Val!$C$3,Val!$C$4,Val!$D380,Val!$C$5,Val!$C$6,Val!$B380,Val!$E380,Val!G$10,Val!$C$7,Val!$C380),"")</f>
        <v>-18820.935833333333</v>
      </c>
      <c r="H380" s="2">
        <f ca="1">IF(Flag_Send_Data=1,_xll.DBSW(Val!H380,Val!$C$1,Val!$C$2,Val!$C$3,Val!$C$4,Val!$D380,Val!$C$5,Val!$C$6,Val!$B380,Val!$E380,Val!H$10,Val!$C$7,Val!$C380),"")</f>
        <v>-18820.935833333333</v>
      </c>
      <c r="I380" s="2">
        <f ca="1">IF(Flag_Send_Data=1,_xll.DBSW(Val!I380,Val!$C$1,Val!$C$2,Val!$C$3,Val!$C$4,Val!$D380,Val!$C$5,Val!$C$6,Val!$B380,Val!$E380,Val!I$10,Val!$C$7,Val!$C380),"")</f>
        <v>-18820.935833333333</v>
      </c>
      <c r="J380" s="2">
        <f ca="1">IF(Flag_Send_Data=1,_xll.DBSW(Val!J380,Val!$C$1,Val!$C$2,Val!$C$3,Val!$C$4,Val!$D380,Val!$C$5,Val!$C$6,Val!$B380,Val!$E380,Val!J$10,Val!$C$7,Val!$C380),"")</f>
        <v>-18820.935833333333</v>
      </c>
      <c r="K380" s="2">
        <f ca="1">IF(Flag_Send_Data=1,_xll.DBSW(Val!K380,Val!$C$1,Val!$C$2,Val!$C$3,Val!$C$4,Val!$D380,Val!$C$5,Val!$C$6,Val!$B380,Val!$E380,Val!K$10,Val!$C$7,Val!$C380),"")</f>
        <v>-18820.935833333333</v>
      </c>
      <c r="L380" s="2">
        <f ca="1">IF(Flag_Send_Data=1,_xll.DBSW(Val!L380,Val!$C$1,Val!$C$2,Val!$C$3,Val!$C$4,Val!$D380,Val!$C$5,Val!$C$6,Val!$B380,Val!$E380,Val!L$10,Val!$C$7,Val!$C380),"")</f>
        <v>-18820.935833333333</v>
      </c>
      <c r="M380" s="2">
        <f ca="1">IF(Flag_Send_Data=1,_xll.DBSW(Val!M380,Val!$C$1,Val!$C$2,Val!$C$3,Val!$C$4,Val!$D380,Val!$C$5,Val!$C$6,Val!$B380,Val!$E380,Val!M$10,Val!$C$7,Val!$C380),"")</f>
        <v>-18820.935833333333</v>
      </c>
      <c r="N380" s="2">
        <f ca="1">IF(Flag_Send_Data=1,_xll.DBSW(Val!N380,Val!$C$1,Val!$C$2,Val!$C$3,Val!$C$4,Val!$D380,Val!$C$5,Val!$C$6,Val!$B380,Val!$E380,Val!N$10,Val!$C$7,Val!$C380),"")</f>
        <v>-18820.935833333333</v>
      </c>
      <c r="O380" s="2">
        <f ca="1">IF(Flag_Send_Data=1,_xll.DBSW(Val!O380,Val!$C$1,Val!$C$2,Val!$C$3,Val!$C$4,Val!$D380,Val!$C$5,Val!$C$6,Val!$B380,Val!$E380,Val!O$10,Val!$C$7,Val!$C380),"")</f>
        <v>-18820.935833333333</v>
      </c>
      <c r="P380" s="2">
        <f ca="1">IF(Flag_Send_Data=1,_xll.DBSW(Val!P380,Val!$C$1,Val!$C$2,Val!$C$3,Val!$C$4,Val!$D380,Val!$C$5,Val!$C$6,Val!$B380,Val!$E380,Val!P$10,Val!$C$7,Val!$C380),"")</f>
        <v>-18820.935833333333</v>
      </c>
      <c r="Q380" s="2">
        <f ca="1">IF(Flag_Send_Data=1,_xll.DBSW(Val!Q380,Val!$C$1,Val!$C$2,Val!$C$3,Val!$C$4,Val!$D380,Val!$C$5,Val!$C$6,Val!$B380,Val!$E380,Val!Q$10,Val!$C$7,Val!$C380),"")</f>
        <v>-18820.935833333333</v>
      </c>
    </row>
    <row r="381" spans="2:17" x14ac:dyDescent="0.25">
      <c r="B381" t="s">
        <v>291</v>
      </c>
      <c r="C381" t="s">
        <v>127</v>
      </c>
      <c r="D381" t="s">
        <v>199</v>
      </c>
      <c r="E381" t="s">
        <v>44</v>
      </c>
      <c r="F381" s="2">
        <f ca="1">IF(Flag_Send_Data=1,_xll.DBSW(Val!F381,Val!$C$1,Val!$C$2,Val!$C$3,Val!$C$4,Val!$D381,Val!$C$5,Val!$C$6,Val!$B381,Val!$E381,Val!F$10,Val!$C$7,Val!$C381),"")</f>
        <v>18820.935833333333</v>
      </c>
      <c r="G381" s="2">
        <f ca="1">IF(Flag_Send_Data=1,_xll.DBSW(Val!G381,Val!$C$1,Val!$C$2,Val!$C$3,Val!$C$4,Val!$D381,Val!$C$5,Val!$C$6,Val!$B381,Val!$E381,Val!G$10,Val!$C$7,Val!$C381),"")</f>
        <v>18820.935833333333</v>
      </c>
      <c r="H381" s="2">
        <f ca="1">IF(Flag_Send_Data=1,_xll.DBSW(Val!H381,Val!$C$1,Val!$C$2,Val!$C$3,Val!$C$4,Val!$D381,Val!$C$5,Val!$C$6,Val!$B381,Val!$E381,Val!H$10,Val!$C$7,Val!$C381),"")</f>
        <v>18820.935833333333</v>
      </c>
      <c r="I381" s="2">
        <f ca="1">IF(Flag_Send_Data=1,_xll.DBSW(Val!I381,Val!$C$1,Val!$C$2,Val!$C$3,Val!$C$4,Val!$D381,Val!$C$5,Val!$C$6,Val!$B381,Val!$E381,Val!I$10,Val!$C$7,Val!$C381),"")</f>
        <v>18820.935833333333</v>
      </c>
      <c r="J381" s="2">
        <f ca="1">IF(Flag_Send_Data=1,_xll.DBSW(Val!J381,Val!$C$1,Val!$C$2,Val!$C$3,Val!$C$4,Val!$D381,Val!$C$5,Val!$C$6,Val!$B381,Val!$E381,Val!J$10,Val!$C$7,Val!$C381),"")</f>
        <v>18820.935833333333</v>
      </c>
      <c r="K381" s="2">
        <f ca="1">IF(Flag_Send_Data=1,_xll.DBSW(Val!K381,Val!$C$1,Val!$C$2,Val!$C$3,Val!$C$4,Val!$D381,Val!$C$5,Val!$C$6,Val!$B381,Val!$E381,Val!K$10,Val!$C$7,Val!$C381),"")</f>
        <v>18820.935833333333</v>
      </c>
      <c r="L381" s="2">
        <f ca="1">IF(Flag_Send_Data=1,_xll.DBSW(Val!L381,Val!$C$1,Val!$C$2,Val!$C$3,Val!$C$4,Val!$D381,Val!$C$5,Val!$C$6,Val!$B381,Val!$E381,Val!L$10,Val!$C$7,Val!$C381),"")</f>
        <v>18820.935833333333</v>
      </c>
      <c r="M381" s="2">
        <f ca="1">IF(Flag_Send_Data=1,_xll.DBSW(Val!M381,Val!$C$1,Val!$C$2,Val!$C$3,Val!$C$4,Val!$D381,Val!$C$5,Val!$C$6,Val!$B381,Val!$E381,Val!M$10,Val!$C$7,Val!$C381),"")</f>
        <v>18820.935833333333</v>
      </c>
      <c r="N381" s="2">
        <f ca="1">IF(Flag_Send_Data=1,_xll.DBSW(Val!N381,Val!$C$1,Val!$C$2,Val!$C$3,Val!$C$4,Val!$D381,Val!$C$5,Val!$C$6,Val!$B381,Val!$E381,Val!N$10,Val!$C$7,Val!$C381),"")</f>
        <v>18820.935833333333</v>
      </c>
      <c r="O381" s="2">
        <f ca="1">IF(Flag_Send_Data=1,_xll.DBSW(Val!O381,Val!$C$1,Val!$C$2,Val!$C$3,Val!$C$4,Val!$D381,Val!$C$5,Val!$C$6,Val!$B381,Val!$E381,Val!O$10,Val!$C$7,Val!$C381),"")</f>
        <v>18820.935833333333</v>
      </c>
      <c r="P381" s="2">
        <f ca="1">IF(Flag_Send_Data=1,_xll.DBSW(Val!P381,Val!$C$1,Val!$C$2,Val!$C$3,Val!$C$4,Val!$D381,Val!$C$5,Val!$C$6,Val!$B381,Val!$E381,Val!P$10,Val!$C$7,Val!$C381),"")</f>
        <v>18820.935833333333</v>
      </c>
      <c r="Q381" s="2">
        <f ca="1">IF(Flag_Send_Data=1,_xll.DBSW(Val!Q381,Val!$C$1,Val!$C$2,Val!$C$3,Val!$C$4,Val!$D381,Val!$C$5,Val!$C$6,Val!$B381,Val!$E381,Val!Q$10,Val!$C$7,Val!$C381),"")</f>
        <v>18820.935833333333</v>
      </c>
    </row>
    <row r="382" spans="2:17" x14ac:dyDescent="0.25">
      <c r="B382" t="s">
        <v>292</v>
      </c>
      <c r="C382" t="s">
        <v>96</v>
      </c>
      <c r="D382" t="s">
        <v>199</v>
      </c>
      <c r="E382" t="s">
        <v>14</v>
      </c>
      <c r="F382" s="2">
        <f ca="1">IF(Flag_Send_Data=1,_xll.DBSW(Val!F382,Val!$C$1,Val!$C$2,Val!$C$3,Val!$C$4,Val!$D382,Val!$C$5,Val!$C$6,Val!$B382,Val!$E382,Val!F$10,Val!$C$7,Val!$C382),"")</f>
        <v>2119666.6666666665</v>
      </c>
      <c r="G382" s="2">
        <f ca="1">IF(Flag_Send_Data=1,_xll.DBSW(Val!G382,Val!$C$1,Val!$C$2,Val!$C$3,Val!$C$4,Val!$D382,Val!$C$5,Val!$C$6,Val!$B382,Val!$E382,Val!G$10,Val!$C$7,Val!$C382),"")</f>
        <v>2119666.6666666665</v>
      </c>
      <c r="H382" s="2">
        <f ca="1">IF(Flag_Send_Data=1,_xll.DBSW(Val!H382,Val!$C$1,Val!$C$2,Val!$C$3,Val!$C$4,Val!$D382,Val!$C$5,Val!$C$6,Val!$B382,Val!$E382,Val!H$10,Val!$C$7,Val!$C382),"")</f>
        <v>2119666.6666666665</v>
      </c>
      <c r="I382" s="2">
        <f ca="1">IF(Flag_Send_Data=1,_xll.DBSW(Val!I382,Val!$C$1,Val!$C$2,Val!$C$3,Val!$C$4,Val!$D382,Val!$C$5,Val!$C$6,Val!$B382,Val!$E382,Val!I$10,Val!$C$7,Val!$C382),"")</f>
        <v>2119666.6666666665</v>
      </c>
      <c r="J382" s="2">
        <f ca="1">IF(Flag_Send_Data=1,_xll.DBSW(Val!J382,Val!$C$1,Val!$C$2,Val!$C$3,Val!$C$4,Val!$D382,Val!$C$5,Val!$C$6,Val!$B382,Val!$E382,Val!J$10,Val!$C$7,Val!$C382),"")</f>
        <v>2119666.6666666665</v>
      </c>
      <c r="K382" s="2">
        <f ca="1">IF(Flag_Send_Data=1,_xll.DBSW(Val!K382,Val!$C$1,Val!$C$2,Val!$C$3,Val!$C$4,Val!$D382,Val!$C$5,Val!$C$6,Val!$B382,Val!$E382,Val!K$10,Val!$C$7,Val!$C382),"")</f>
        <v>2119666.6666666665</v>
      </c>
      <c r="L382" s="2">
        <f ca="1">IF(Flag_Send_Data=1,_xll.DBSW(Val!L382,Val!$C$1,Val!$C$2,Val!$C$3,Val!$C$4,Val!$D382,Val!$C$5,Val!$C$6,Val!$B382,Val!$E382,Val!L$10,Val!$C$7,Val!$C382),"")</f>
        <v>2119666.6666666665</v>
      </c>
      <c r="M382" s="2">
        <f ca="1">IF(Flag_Send_Data=1,_xll.DBSW(Val!M382,Val!$C$1,Val!$C$2,Val!$C$3,Val!$C$4,Val!$D382,Val!$C$5,Val!$C$6,Val!$B382,Val!$E382,Val!M$10,Val!$C$7,Val!$C382),"")</f>
        <v>2119666.6666666665</v>
      </c>
      <c r="N382" s="2">
        <f ca="1">IF(Flag_Send_Data=1,_xll.DBSW(Val!N382,Val!$C$1,Val!$C$2,Val!$C$3,Val!$C$4,Val!$D382,Val!$C$5,Val!$C$6,Val!$B382,Val!$E382,Val!N$10,Val!$C$7,Val!$C382),"")</f>
        <v>2119666.6666666665</v>
      </c>
      <c r="O382" s="2">
        <f ca="1">IF(Flag_Send_Data=1,_xll.DBSW(Val!O382,Val!$C$1,Val!$C$2,Val!$C$3,Val!$C$4,Val!$D382,Val!$C$5,Val!$C$6,Val!$B382,Val!$E382,Val!O$10,Val!$C$7,Val!$C382),"")</f>
        <v>2119666.6666666665</v>
      </c>
      <c r="P382" s="2">
        <f ca="1">IF(Flag_Send_Data=1,_xll.DBSW(Val!P382,Val!$C$1,Val!$C$2,Val!$C$3,Val!$C$4,Val!$D382,Val!$C$5,Val!$C$6,Val!$B382,Val!$E382,Val!P$10,Val!$C$7,Val!$C382),"")</f>
        <v>2119666.6666666665</v>
      </c>
      <c r="Q382" s="2">
        <f ca="1">IF(Flag_Send_Data=1,_xll.DBSW(Val!Q382,Val!$C$1,Val!$C$2,Val!$C$3,Val!$C$4,Val!$D382,Val!$C$5,Val!$C$6,Val!$B382,Val!$E382,Val!Q$10,Val!$C$7,Val!$C382),"")</f>
        <v>2119666.6666666665</v>
      </c>
    </row>
    <row r="383" spans="2:17" x14ac:dyDescent="0.25">
      <c r="B383" t="s">
        <v>292</v>
      </c>
      <c r="C383" t="s">
        <v>96</v>
      </c>
      <c r="D383" t="s">
        <v>199</v>
      </c>
      <c r="E383" t="s">
        <v>69</v>
      </c>
      <c r="F383" s="2">
        <f ca="1">IF(Flag_Send_Data=1,_xll.DBSW(Val!F383,Val!$C$1,Val!$C$2,Val!$C$3,Val!$C$4,Val!$D383,Val!$C$5,Val!$C$6,Val!$B383,Val!$E383,Val!F$10,Val!$C$7,Val!$C383),"")</f>
        <v>69916.666666666672</v>
      </c>
      <c r="G383" s="2">
        <f ca="1">IF(Flag_Send_Data=1,_xll.DBSW(Val!G383,Val!$C$1,Val!$C$2,Val!$C$3,Val!$C$4,Val!$D383,Val!$C$5,Val!$C$6,Val!$B383,Val!$E383,Val!G$10,Val!$C$7,Val!$C383),"")</f>
        <v>69916.666666666672</v>
      </c>
      <c r="H383" s="2">
        <f ca="1">IF(Flag_Send_Data=1,_xll.DBSW(Val!H383,Val!$C$1,Val!$C$2,Val!$C$3,Val!$C$4,Val!$D383,Val!$C$5,Val!$C$6,Val!$B383,Val!$E383,Val!H$10,Val!$C$7,Val!$C383),"")</f>
        <v>69916.666666666672</v>
      </c>
      <c r="I383" s="2">
        <f ca="1">IF(Flag_Send_Data=1,_xll.DBSW(Val!I383,Val!$C$1,Val!$C$2,Val!$C$3,Val!$C$4,Val!$D383,Val!$C$5,Val!$C$6,Val!$B383,Val!$E383,Val!I$10,Val!$C$7,Val!$C383),"")</f>
        <v>69916.666666666672</v>
      </c>
      <c r="J383" s="2">
        <f ca="1">IF(Flag_Send_Data=1,_xll.DBSW(Val!J383,Val!$C$1,Val!$C$2,Val!$C$3,Val!$C$4,Val!$D383,Val!$C$5,Val!$C$6,Val!$B383,Val!$E383,Val!J$10,Val!$C$7,Val!$C383),"")</f>
        <v>69916.666666666672</v>
      </c>
      <c r="K383" s="2">
        <f ca="1">IF(Flag_Send_Data=1,_xll.DBSW(Val!K383,Val!$C$1,Val!$C$2,Val!$C$3,Val!$C$4,Val!$D383,Val!$C$5,Val!$C$6,Val!$B383,Val!$E383,Val!K$10,Val!$C$7,Val!$C383),"")</f>
        <v>69916.666666666672</v>
      </c>
      <c r="L383" s="2">
        <f ca="1">IF(Flag_Send_Data=1,_xll.DBSW(Val!L383,Val!$C$1,Val!$C$2,Val!$C$3,Val!$C$4,Val!$D383,Val!$C$5,Val!$C$6,Val!$B383,Val!$E383,Val!L$10,Val!$C$7,Val!$C383),"")</f>
        <v>69916.666666666672</v>
      </c>
      <c r="M383" s="2">
        <f ca="1">IF(Flag_Send_Data=1,_xll.DBSW(Val!M383,Val!$C$1,Val!$C$2,Val!$C$3,Val!$C$4,Val!$D383,Val!$C$5,Val!$C$6,Val!$B383,Val!$E383,Val!M$10,Val!$C$7,Val!$C383),"")</f>
        <v>69916.666666666672</v>
      </c>
      <c r="N383" s="2">
        <f ca="1">IF(Flag_Send_Data=1,_xll.DBSW(Val!N383,Val!$C$1,Val!$C$2,Val!$C$3,Val!$C$4,Val!$D383,Val!$C$5,Val!$C$6,Val!$B383,Val!$E383,Val!N$10,Val!$C$7,Val!$C383),"")</f>
        <v>69916.666666666672</v>
      </c>
      <c r="O383" s="2">
        <f ca="1">IF(Flag_Send_Data=1,_xll.DBSW(Val!O383,Val!$C$1,Val!$C$2,Val!$C$3,Val!$C$4,Val!$D383,Val!$C$5,Val!$C$6,Val!$B383,Val!$E383,Val!O$10,Val!$C$7,Val!$C383),"")</f>
        <v>69916.666666666672</v>
      </c>
      <c r="P383" s="2">
        <f ca="1">IF(Flag_Send_Data=1,_xll.DBSW(Val!P383,Val!$C$1,Val!$C$2,Val!$C$3,Val!$C$4,Val!$D383,Val!$C$5,Val!$C$6,Val!$B383,Val!$E383,Val!P$10,Val!$C$7,Val!$C383),"")</f>
        <v>69916.666666666672</v>
      </c>
      <c r="Q383" s="2">
        <f ca="1">IF(Flag_Send_Data=1,_xll.DBSW(Val!Q383,Val!$C$1,Val!$C$2,Val!$C$3,Val!$C$4,Val!$D383,Val!$C$5,Val!$C$6,Val!$B383,Val!$E383,Val!Q$10,Val!$C$7,Val!$C383),"")</f>
        <v>69916.666666666672</v>
      </c>
    </row>
    <row r="384" spans="2:17" x14ac:dyDescent="0.25">
      <c r="B384" t="s">
        <v>292</v>
      </c>
      <c r="C384" t="s">
        <v>96</v>
      </c>
      <c r="D384" t="s">
        <v>199</v>
      </c>
      <c r="E384" t="s">
        <v>76</v>
      </c>
      <c r="F384" s="2">
        <f ca="1">IF(Flag_Send_Data=1,_xll.DBSW(Val!F384,Val!$C$1,Val!$C$2,Val!$C$3,Val!$C$4,Val!$D384,Val!$C$5,Val!$C$6,Val!$B384,Val!$E384,Val!F$10,Val!$C$7,Val!$C384),"")</f>
        <v>9583.3333333333339</v>
      </c>
      <c r="G384" s="2">
        <f ca="1">IF(Flag_Send_Data=1,_xll.DBSW(Val!G384,Val!$C$1,Val!$C$2,Val!$C$3,Val!$C$4,Val!$D384,Val!$C$5,Val!$C$6,Val!$B384,Val!$E384,Val!G$10,Val!$C$7,Val!$C384),"")</f>
        <v>9583.3333333333339</v>
      </c>
      <c r="H384" s="2">
        <f ca="1">IF(Flag_Send_Data=1,_xll.DBSW(Val!H384,Val!$C$1,Val!$C$2,Val!$C$3,Val!$C$4,Val!$D384,Val!$C$5,Val!$C$6,Val!$B384,Val!$E384,Val!H$10,Val!$C$7,Val!$C384),"")</f>
        <v>9583.3333333333339</v>
      </c>
      <c r="I384" s="2">
        <f ca="1">IF(Flag_Send_Data=1,_xll.DBSW(Val!I384,Val!$C$1,Val!$C$2,Val!$C$3,Val!$C$4,Val!$D384,Val!$C$5,Val!$C$6,Val!$B384,Val!$E384,Val!I$10,Val!$C$7,Val!$C384),"")</f>
        <v>9583.3333333333339</v>
      </c>
      <c r="J384" s="2">
        <f ca="1">IF(Flag_Send_Data=1,_xll.DBSW(Val!J384,Val!$C$1,Val!$C$2,Val!$C$3,Val!$C$4,Val!$D384,Val!$C$5,Val!$C$6,Val!$B384,Val!$E384,Val!J$10,Val!$C$7,Val!$C384),"")</f>
        <v>9583.3333333333339</v>
      </c>
      <c r="K384" s="2">
        <f ca="1">IF(Flag_Send_Data=1,_xll.DBSW(Val!K384,Val!$C$1,Val!$C$2,Val!$C$3,Val!$C$4,Val!$D384,Val!$C$5,Val!$C$6,Val!$B384,Val!$E384,Val!K$10,Val!$C$7,Val!$C384),"")</f>
        <v>9583.3333333333339</v>
      </c>
      <c r="L384" s="2">
        <f ca="1">IF(Flag_Send_Data=1,_xll.DBSW(Val!L384,Val!$C$1,Val!$C$2,Val!$C$3,Val!$C$4,Val!$D384,Val!$C$5,Val!$C$6,Val!$B384,Val!$E384,Val!L$10,Val!$C$7,Val!$C384),"")</f>
        <v>9583.3333333333339</v>
      </c>
      <c r="M384" s="2">
        <f ca="1">IF(Flag_Send_Data=1,_xll.DBSW(Val!M384,Val!$C$1,Val!$C$2,Val!$C$3,Val!$C$4,Val!$D384,Val!$C$5,Val!$C$6,Val!$B384,Val!$E384,Val!M$10,Val!$C$7,Val!$C384),"")</f>
        <v>9583.3333333333339</v>
      </c>
      <c r="N384" s="2">
        <f ca="1">IF(Flag_Send_Data=1,_xll.DBSW(Val!N384,Val!$C$1,Val!$C$2,Val!$C$3,Val!$C$4,Val!$D384,Val!$C$5,Val!$C$6,Val!$B384,Val!$E384,Val!N$10,Val!$C$7,Val!$C384),"")</f>
        <v>9583.3333333333339</v>
      </c>
      <c r="O384" s="2">
        <f ca="1">IF(Flag_Send_Data=1,_xll.DBSW(Val!O384,Val!$C$1,Val!$C$2,Val!$C$3,Val!$C$4,Val!$D384,Val!$C$5,Val!$C$6,Val!$B384,Val!$E384,Val!O$10,Val!$C$7,Val!$C384),"")</f>
        <v>9583.3333333333339</v>
      </c>
      <c r="P384" s="2">
        <f ca="1">IF(Flag_Send_Data=1,_xll.DBSW(Val!P384,Val!$C$1,Val!$C$2,Val!$C$3,Val!$C$4,Val!$D384,Val!$C$5,Val!$C$6,Val!$B384,Val!$E384,Val!P$10,Val!$C$7,Val!$C384),"")</f>
        <v>9583.3333333333339</v>
      </c>
      <c r="Q384" s="2">
        <f ca="1">IF(Flag_Send_Data=1,_xll.DBSW(Val!Q384,Val!$C$1,Val!$C$2,Val!$C$3,Val!$C$4,Val!$D384,Val!$C$5,Val!$C$6,Val!$B384,Val!$E384,Val!Q$10,Val!$C$7,Val!$C384),"")</f>
        <v>9583.3333333333339</v>
      </c>
    </row>
    <row r="385" spans="2:17" x14ac:dyDescent="0.25">
      <c r="B385" t="s">
        <v>292</v>
      </c>
      <c r="C385" t="s">
        <v>96</v>
      </c>
      <c r="D385" t="s">
        <v>199</v>
      </c>
      <c r="E385" t="s">
        <v>9</v>
      </c>
      <c r="F385" s="2">
        <f ca="1">IF(Flag_Send_Data=1,_xll.DBSW(Val!F385,Val!$C$1,Val!$C$2,Val!$C$3,Val!$C$4,Val!$D385,Val!$C$5,Val!$C$6,Val!$B385,Val!$E385,Val!F$10,Val!$C$7,Val!$C385),"")</f>
        <v>106833.33333333333</v>
      </c>
      <c r="G385" s="2">
        <f ca="1">IF(Flag_Send_Data=1,_xll.DBSW(Val!G385,Val!$C$1,Val!$C$2,Val!$C$3,Val!$C$4,Val!$D385,Val!$C$5,Val!$C$6,Val!$B385,Val!$E385,Val!G$10,Val!$C$7,Val!$C385),"")</f>
        <v>106833.33333333333</v>
      </c>
      <c r="H385" s="2">
        <f ca="1">IF(Flag_Send_Data=1,_xll.DBSW(Val!H385,Val!$C$1,Val!$C$2,Val!$C$3,Val!$C$4,Val!$D385,Val!$C$5,Val!$C$6,Val!$B385,Val!$E385,Val!H$10,Val!$C$7,Val!$C385),"")</f>
        <v>106833.33333333333</v>
      </c>
      <c r="I385" s="2">
        <f ca="1">IF(Flag_Send_Data=1,_xll.DBSW(Val!I385,Val!$C$1,Val!$C$2,Val!$C$3,Val!$C$4,Val!$D385,Val!$C$5,Val!$C$6,Val!$B385,Val!$E385,Val!I$10,Val!$C$7,Val!$C385),"")</f>
        <v>106833.33333333333</v>
      </c>
      <c r="J385" s="2">
        <f ca="1">IF(Flag_Send_Data=1,_xll.DBSW(Val!J385,Val!$C$1,Val!$C$2,Val!$C$3,Val!$C$4,Val!$D385,Val!$C$5,Val!$C$6,Val!$B385,Val!$E385,Val!J$10,Val!$C$7,Val!$C385),"")</f>
        <v>106833.33333333333</v>
      </c>
      <c r="K385" s="2">
        <f ca="1">IF(Flag_Send_Data=1,_xll.DBSW(Val!K385,Val!$C$1,Val!$C$2,Val!$C$3,Val!$C$4,Val!$D385,Val!$C$5,Val!$C$6,Val!$B385,Val!$E385,Val!K$10,Val!$C$7,Val!$C385),"")</f>
        <v>106833.33333333333</v>
      </c>
      <c r="L385" s="2">
        <f ca="1">IF(Flag_Send_Data=1,_xll.DBSW(Val!L385,Val!$C$1,Val!$C$2,Val!$C$3,Val!$C$4,Val!$D385,Val!$C$5,Val!$C$6,Val!$B385,Val!$E385,Val!L$10,Val!$C$7,Val!$C385),"")</f>
        <v>106833.33333333333</v>
      </c>
      <c r="M385" s="2">
        <f ca="1">IF(Flag_Send_Data=1,_xll.DBSW(Val!M385,Val!$C$1,Val!$C$2,Val!$C$3,Val!$C$4,Val!$D385,Val!$C$5,Val!$C$6,Val!$B385,Val!$E385,Val!M$10,Val!$C$7,Val!$C385),"")</f>
        <v>106833.33333333333</v>
      </c>
      <c r="N385" s="2">
        <f ca="1">IF(Flag_Send_Data=1,_xll.DBSW(Val!N385,Val!$C$1,Val!$C$2,Val!$C$3,Val!$C$4,Val!$D385,Val!$C$5,Val!$C$6,Val!$B385,Val!$E385,Val!N$10,Val!$C$7,Val!$C385),"")</f>
        <v>106833.33333333333</v>
      </c>
      <c r="O385" s="2">
        <f ca="1">IF(Flag_Send_Data=1,_xll.DBSW(Val!O385,Val!$C$1,Val!$C$2,Val!$C$3,Val!$C$4,Val!$D385,Val!$C$5,Val!$C$6,Val!$B385,Val!$E385,Val!O$10,Val!$C$7,Val!$C385),"")</f>
        <v>106833.33333333333</v>
      </c>
      <c r="P385" s="2">
        <f ca="1">IF(Flag_Send_Data=1,_xll.DBSW(Val!P385,Val!$C$1,Val!$C$2,Val!$C$3,Val!$C$4,Val!$D385,Val!$C$5,Val!$C$6,Val!$B385,Val!$E385,Val!P$10,Val!$C$7,Val!$C385),"")</f>
        <v>106833.33333333333</v>
      </c>
      <c r="Q385" s="2">
        <f ca="1">IF(Flag_Send_Data=1,_xll.DBSW(Val!Q385,Val!$C$1,Val!$C$2,Val!$C$3,Val!$C$4,Val!$D385,Val!$C$5,Val!$C$6,Val!$B385,Val!$E385,Val!Q$10,Val!$C$7,Val!$C385),"")</f>
        <v>106833.33333333333</v>
      </c>
    </row>
    <row r="386" spans="2:17" x14ac:dyDescent="0.25">
      <c r="B386" t="s">
        <v>292</v>
      </c>
      <c r="C386" t="s">
        <v>96</v>
      </c>
      <c r="D386" t="s">
        <v>199</v>
      </c>
      <c r="E386" t="s">
        <v>134</v>
      </c>
      <c r="F386" s="2">
        <f ca="1">IF(Flag_Send_Data=1,_xll.DBSW(Val!F386,Val!$C$1,Val!$C$2,Val!$C$3,Val!$C$4,Val!$D386,Val!$C$5,Val!$C$6,Val!$B386,Val!$E386,Val!F$10,Val!$C$7,Val!$C386),"")</f>
        <v>468083.33333333331</v>
      </c>
      <c r="G386" s="2">
        <f ca="1">IF(Flag_Send_Data=1,_xll.DBSW(Val!G386,Val!$C$1,Val!$C$2,Val!$C$3,Val!$C$4,Val!$D386,Val!$C$5,Val!$C$6,Val!$B386,Val!$E386,Val!G$10,Val!$C$7,Val!$C386),"")</f>
        <v>468083.33333333331</v>
      </c>
      <c r="H386" s="2">
        <f ca="1">IF(Flag_Send_Data=1,_xll.DBSW(Val!H386,Val!$C$1,Val!$C$2,Val!$C$3,Val!$C$4,Val!$D386,Val!$C$5,Val!$C$6,Val!$B386,Val!$E386,Val!H$10,Val!$C$7,Val!$C386),"")</f>
        <v>468083.33333333331</v>
      </c>
      <c r="I386" s="2">
        <f ca="1">IF(Flag_Send_Data=1,_xll.DBSW(Val!I386,Val!$C$1,Val!$C$2,Val!$C$3,Val!$C$4,Val!$D386,Val!$C$5,Val!$C$6,Val!$B386,Val!$E386,Val!I$10,Val!$C$7,Val!$C386),"")</f>
        <v>468083.33333333331</v>
      </c>
      <c r="J386" s="2">
        <f ca="1">IF(Flag_Send_Data=1,_xll.DBSW(Val!J386,Val!$C$1,Val!$C$2,Val!$C$3,Val!$C$4,Val!$D386,Val!$C$5,Val!$C$6,Val!$B386,Val!$E386,Val!J$10,Val!$C$7,Val!$C386),"")</f>
        <v>468083.33333333331</v>
      </c>
      <c r="K386" s="2">
        <f ca="1">IF(Flag_Send_Data=1,_xll.DBSW(Val!K386,Val!$C$1,Val!$C$2,Val!$C$3,Val!$C$4,Val!$D386,Val!$C$5,Val!$C$6,Val!$B386,Val!$E386,Val!K$10,Val!$C$7,Val!$C386),"")</f>
        <v>468083.33333333331</v>
      </c>
      <c r="L386" s="2">
        <f ca="1">IF(Flag_Send_Data=1,_xll.DBSW(Val!L386,Val!$C$1,Val!$C$2,Val!$C$3,Val!$C$4,Val!$D386,Val!$C$5,Val!$C$6,Val!$B386,Val!$E386,Val!L$10,Val!$C$7,Val!$C386),"")</f>
        <v>468083.33333333331</v>
      </c>
      <c r="M386" s="2">
        <f ca="1">IF(Flag_Send_Data=1,_xll.DBSW(Val!M386,Val!$C$1,Val!$C$2,Val!$C$3,Val!$C$4,Val!$D386,Val!$C$5,Val!$C$6,Val!$B386,Val!$E386,Val!M$10,Val!$C$7,Val!$C386),"")</f>
        <v>468083.33333333331</v>
      </c>
      <c r="N386" s="2">
        <f ca="1">IF(Flag_Send_Data=1,_xll.DBSW(Val!N386,Val!$C$1,Val!$C$2,Val!$C$3,Val!$C$4,Val!$D386,Val!$C$5,Val!$C$6,Val!$B386,Val!$E386,Val!N$10,Val!$C$7,Val!$C386),"")</f>
        <v>468083.33333333331</v>
      </c>
      <c r="O386" s="2">
        <f ca="1">IF(Flag_Send_Data=1,_xll.DBSW(Val!O386,Val!$C$1,Val!$C$2,Val!$C$3,Val!$C$4,Val!$D386,Val!$C$5,Val!$C$6,Val!$B386,Val!$E386,Val!O$10,Val!$C$7,Val!$C386),"")</f>
        <v>468083.33333333331</v>
      </c>
      <c r="P386" s="2">
        <f ca="1">IF(Flag_Send_Data=1,_xll.DBSW(Val!P386,Val!$C$1,Val!$C$2,Val!$C$3,Val!$C$4,Val!$D386,Val!$C$5,Val!$C$6,Val!$B386,Val!$E386,Val!P$10,Val!$C$7,Val!$C386),"")</f>
        <v>468083.33333333331</v>
      </c>
      <c r="Q386" s="2">
        <f ca="1">IF(Flag_Send_Data=1,_xll.DBSW(Val!Q386,Val!$C$1,Val!$C$2,Val!$C$3,Val!$C$4,Val!$D386,Val!$C$5,Val!$C$6,Val!$B386,Val!$E386,Val!Q$10,Val!$C$7,Val!$C386),"")</f>
        <v>468083.33333333331</v>
      </c>
    </row>
    <row r="387" spans="2:17" x14ac:dyDescent="0.25">
      <c r="B387" t="s">
        <v>292</v>
      </c>
      <c r="C387" t="s">
        <v>96</v>
      </c>
      <c r="D387" t="s">
        <v>199</v>
      </c>
      <c r="E387" t="s">
        <v>152</v>
      </c>
      <c r="F387" s="2">
        <f ca="1">IF(Flag_Send_Data=1,_xll.DBSW(Val!F387,Val!$C$1,Val!$C$2,Val!$C$3,Val!$C$4,Val!$D387,Val!$C$5,Val!$C$6,Val!$B387,Val!$E387,Val!F$10,Val!$C$7,Val!$C387),"")</f>
        <v>9083.3333333333339</v>
      </c>
      <c r="G387" s="2">
        <f ca="1">IF(Flag_Send_Data=1,_xll.DBSW(Val!G387,Val!$C$1,Val!$C$2,Val!$C$3,Val!$C$4,Val!$D387,Val!$C$5,Val!$C$6,Val!$B387,Val!$E387,Val!G$10,Val!$C$7,Val!$C387),"")</f>
        <v>9083.3333333333339</v>
      </c>
      <c r="H387" s="2">
        <f ca="1">IF(Flag_Send_Data=1,_xll.DBSW(Val!H387,Val!$C$1,Val!$C$2,Val!$C$3,Val!$C$4,Val!$D387,Val!$C$5,Val!$C$6,Val!$B387,Val!$E387,Val!H$10,Val!$C$7,Val!$C387),"")</f>
        <v>9083.3333333333339</v>
      </c>
      <c r="I387" s="2">
        <f ca="1">IF(Flag_Send_Data=1,_xll.DBSW(Val!I387,Val!$C$1,Val!$C$2,Val!$C$3,Val!$C$4,Val!$D387,Val!$C$5,Val!$C$6,Val!$B387,Val!$E387,Val!I$10,Val!$C$7,Val!$C387),"")</f>
        <v>9083.3333333333339</v>
      </c>
      <c r="J387" s="2">
        <f ca="1">IF(Flag_Send_Data=1,_xll.DBSW(Val!J387,Val!$C$1,Val!$C$2,Val!$C$3,Val!$C$4,Val!$D387,Val!$C$5,Val!$C$6,Val!$B387,Val!$E387,Val!J$10,Val!$C$7,Val!$C387),"")</f>
        <v>9083.3333333333339</v>
      </c>
      <c r="K387" s="2">
        <f ca="1">IF(Flag_Send_Data=1,_xll.DBSW(Val!K387,Val!$C$1,Val!$C$2,Val!$C$3,Val!$C$4,Val!$D387,Val!$C$5,Val!$C$6,Val!$B387,Val!$E387,Val!K$10,Val!$C$7,Val!$C387),"")</f>
        <v>9083.3333333333339</v>
      </c>
      <c r="L387" s="2">
        <f ca="1">IF(Flag_Send_Data=1,_xll.DBSW(Val!L387,Val!$C$1,Val!$C$2,Val!$C$3,Val!$C$4,Val!$D387,Val!$C$5,Val!$C$6,Val!$B387,Val!$E387,Val!L$10,Val!$C$7,Val!$C387),"")</f>
        <v>9083.3333333333339</v>
      </c>
      <c r="M387" s="2">
        <f ca="1">IF(Flag_Send_Data=1,_xll.DBSW(Val!M387,Val!$C$1,Val!$C$2,Val!$C$3,Val!$C$4,Val!$D387,Val!$C$5,Val!$C$6,Val!$B387,Val!$E387,Val!M$10,Val!$C$7,Val!$C387),"")</f>
        <v>9083.3333333333339</v>
      </c>
      <c r="N387" s="2">
        <f ca="1">IF(Flag_Send_Data=1,_xll.DBSW(Val!N387,Val!$C$1,Val!$C$2,Val!$C$3,Val!$C$4,Val!$D387,Val!$C$5,Val!$C$6,Val!$B387,Val!$E387,Val!N$10,Val!$C$7,Val!$C387),"")</f>
        <v>9083.3333333333339</v>
      </c>
      <c r="O387" s="2">
        <f ca="1">IF(Flag_Send_Data=1,_xll.DBSW(Val!O387,Val!$C$1,Val!$C$2,Val!$C$3,Val!$C$4,Val!$D387,Val!$C$5,Val!$C$6,Val!$B387,Val!$E387,Val!O$10,Val!$C$7,Val!$C387),"")</f>
        <v>9083.3333333333339</v>
      </c>
      <c r="P387" s="2">
        <f ca="1">IF(Flag_Send_Data=1,_xll.DBSW(Val!P387,Val!$C$1,Val!$C$2,Val!$C$3,Val!$C$4,Val!$D387,Val!$C$5,Val!$C$6,Val!$B387,Val!$E387,Val!P$10,Val!$C$7,Val!$C387),"")</f>
        <v>9083.3333333333339</v>
      </c>
      <c r="Q387" s="2">
        <f ca="1">IF(Flag_Send_Data=1,_xll.DBSW(Val!Q387,Val!$C$1,Val!$C$2,Val!$C$3,Val!$C$4,Val!$D387,Val!$C$5,Val!$C$6,Val!$B387,Val!$E387,Val!Q$10,Val!$C$7,Val!$C387),"")</f>
        <v>9083.3333333333339</v>
      </c>
    </row>
    <row r="388" spans="2:17" x14ac:dyDescent="0.25">
      <c r="B388" t="s">
        <v>292</v>
      </c>
      <c r="C388" t="s">
        <v>96</v>
      </c>
      <c r="D388" t="s">
        <v>199</v>
      </c>
      <c r="E388" t="s">
        <v>200</v>
      </c>
      <c r="F388" s="2">
        <f ca="1">IF(Flag_Send_Data=1,_xll.DBSW(Val!F388,Val!$C$1,Val!$C$2,Val!$C$3,Val!$C$4,Val!$D388,Val!$C$5,Val!$C$6,Val!$B388,Val!$E388,Val!F$10,Val!$C$7,Val!$C388),"")</f>
        <v>29166.666666666668</v>
      </c>
      <c r="G388" s="2">
        <f ca="1">IF(Flag_Send_Data=1,_xll.DBSW(Val!G388,Val!$C$1,Val!$C$2,Val!$C$3,Val!$C$4,Val!$D388,Val!$C$5,Val!$C$6,Val!$B388,Val!$E388,Val!G$10,Val!$C$7,Val!$C388),"")</f>
        <v>29166.666666666668</v>
      </c>
      <c r="H388" s="2">
        <f ca="1">IF(Flag_Send_Data=1,_xll.DBSW(Val!H388,Val!$C$1,Val!$C$2,Val!$C$3,Val!$C$4,Val!$D388,Val!$C$5,Val!$C$6,Val!$B388,Val!$E388,Val!H$10,Val!$C$7,Val!$C388),"")</f>
        <v>29166.666666666668</v>
      </c>
      <c r="I388" s="2">
        <f ca="1">IF(Flag_Send_Data=1,_xll.DBSW(Val!I388,Val!$C$1,Val!$C$2,Val!$C$3,Val!$C$4,Val!$D388,Val!$C$5,Val!$C$6,Val!$B388,Val!$E388,Val!I$10,Val!$C$7,Val!$C388),"")</f>
        <v>29166.666666666668</v>
      </c>
      <c r="J388" s="2">
        <f ca="1">IF(Flag_Send_Data=1,_xll.DBSW(Val!J388,Val!$C$1,Val!$C$2,Val!$C$3,Val!$C$4,Val!$D388,Val!$C$5,Val!$C$6,Val!$B388,Val!$E388,Val!J$10,Val!$C$7,Val!$C388),"")</f>
        <v>29166.666666666668</v>
      </c>
      <c r="K388" s="2">
        <f ca="1">IF(Flag_Send_Data=1,_xll.DBSW(Val!K388,Val!$C$1,Val!$C$2,Val!$C$3,Val!$C$4,Val!$D388,Val!$C$5,Val!$C$6,Val!$B388,Val!$E388,Val!K$10,Val!$C$7,Val!$C388),"")</f>
        <v>29166.666666666668</v>
      </c>
      <c r="L388" s="2">
        <f ca="1">IF(Flag_Send_Data=1,_xll.DBSW(Val!L388,Val!$C$1,Val!$C$2,Val!$C$3,Val!$C$4,Val!$D388,Val!$C$5,Val!$C$6,Val!$B388,Val!$E388,Val!L$10,Val!$C$7,Val!$C388),"")</f>
        <v>29166.666666666668</v>
      </c>
      <c r="M388" s="2">
        <f ca="1">IF(Flag_Send_Data=1,_xll.DBSW(Val!M388,Val!$C$1,Val!$C$2,Val!$C$3,Val!$C$4,Val!$D388,Val!$C$5,Val!$C$6,Val!$B388,Val!$E388,Val!M$10,Val!$C$7,Val!$C388),"")</f>
        <v>29166.666666666668</v>
      </c>
      <c r="N388" s="2">
        <f ca="1">IF(Flag_Send_Data=1,_xll.DBSW(Val!N388,Val!$C$1,Val!$C$2,Val!$C$3,Val!$C$4,Val!$D388,Val!$C$5,Val!$C$6,Val!$B388,Val!$E388,Val!N$10,Val!$C$7,Val!$C388),"")</f>
        <v>29166.666666666668</v>
      </c>
      <c r="O388" s="2">
        <f ca="1">IF(Flag_Send_Data=1,_xll.DBSW(Val!O388,Val!$C$1,Val!$C$2,Val!$C$3,Val!$C$4,Val!$D388,Val!$C$5,Val!$C$6,Val!$B388,Val!$E388,Val!O$10,Val!$C$7,Val!$C388),"")</f>
        <v>29166.666666666668</v>
      </c>
      <c r="P388" s="2">
        <f ca="1">IF(Flag_Send_Data=1,_xll.DBSW(Val!P388,Val!$C$1,Val!$C$2,Val!$C$3,Val!$C$4,Val!$D388,Val!$C$5,Val!$C$6,Val!$B388,Val!$E388,Val!P$10,Val!$C$7,Val!$C388),"")</f>
        <v>29166.666666666668</v>
      </c>
      <c r="Q388" s="2">
        <f ca="1">IF(Flag_Send_Data=1,_xll.DBSW(Val!Q388,Val!$C$1,Val!$C$2,Val!$C$3,Val!$C$4,Val!$D388,Val!$C$5,Val!$C$6,Val!$B388,Val!$E388,Val!Q$10,Val!$C$7,Val!$C388),"")</f>
        <v>29166.666666666668</v>
      </c>
    </row>
    <row r="389" spans="2:17" x14ac:dyDescent="0.25">
      <c r="B389" t="s">
        <v>292</v>
      </c>
      <c r="C389" t="s">
        <v>96</v>
      </c>
      <c r="D389" t="s">
        <v>199</v>
      </c>
      <c r="E389" t="s">
        <v>70</v>
      </c>
      <c r="F389" s="2">
        <f ca="1">IF(Flag_Send_Data=1,_xll.DBSW(Val!F389,Val!$C$1,Val!$C$2,Val!$C$3,Val!$C$4,Val!$D389,Val!$C$5,Val!$C$6,Val!$B389,Val!$E389,Val!F$10,Val!$C$7,Val!$C389),"")</f>
        <v>31333.333333333332</v>
      </c>
      <c r="G389" s="2">
        <f ca="1">IF(Flag_Send_Data=1,_xll.DBSW(Val!G389,Val!$C$1,Val!$C$2,Val!$C$3,Val!$C$4,Val!$D389,Val!$C$5,Val!$C$6,Val!$B389,Val!$E389,Val!G$10,Val!$C$7,Val!$C389),"")</f>
        <v>31333.333333333332</v>
      </c>
      <c r="H389" s="2">
        <f ca="1">IF(Flag_Send_Data=1,_xll.DBSW(Val!H389,Val!$C$1,Val!$C$2,Val!$C$3,Val!$C$4,Val!$D389,Val!$C$5,Val!$C$6,Val!$B389,Val!$E389,Val!H$10,Val!$C$7,Val!$C389),"")</f>
        <v>31333.333333333332</v>
      </c>
      <c r="I389" s="2">
        <f ca="1">IF(Flag_Send_Data=1,_xll.DBSW(Val!I389,Val!$C$1,Val!$C$2,Val!$C$3,Val!$C$4,Val!$D389,Val!$C$5,Val!$C$6,Val!$B389,Val!$E389,Val!I$10,Val!$C$7,Val!$C389),"")</f>
        <v>31333.333333333332</v>
      </c>
      <c r="J389" s="2">
        <f ca="1">IF(Flag_Send_Data=1,_xll.DBSW(Val!J389,Val!$C$1,Val!$C$2,Val!$C$3,Val!$C$4,Val!$D389,Val!$C$5,Val!$C$6,Val!$B389,Val!$E389,Val!J$10,Val!$C$7,Val!$C389),"")</f>
        <v>31333.333333333332</v>
      </c>
      <c r="K389" s="2">
        <f ca="1">IF(Flag_Send_Data=1,_xll.DBSW(Val!K389,Val!$C$1,Val!$C$2,Val!$C$3,Val!$C$4,Val!$D389,Val!$C$5,Val!$C$6,Val!$B389,Val!$E389,Val!K$10,Val!$C$7,Val!$C389),"")</f>
        <v>31333.333333333332</v>
      </c>
      <c r="L389" s="2">
        <f ca="1">IF(Flag_Send_Data=1,_xll.DBSW(Val!L389,Val!$C$1,Val!$C$2,Val!$C$3,Val!$C$4,Val!$D389,Val!$C$5,Val!$C$6,Val!$B389,Val!$E389,Val!L$10,Val!$C$7,Val!$C389),"")</f>
        <v>31333.333333333332</v>
      </c>
      <c r="M389" s="2">
        <f ca="1">IF(Flag_Send_Data=1,_xll.DBSW(Val!M389,Val!$C$1,Val!$C$2,Val!$C$3,Val!$C$4,Val!$D389,Val!$C$5,Val!$C$6,Val!$B389,Val!$E389,Val!M$10,Val!$C$7,Val!$C389),"")</f>
        <v>31333.333333333332</v>
      </c>
      <c r="N389" s="2">
        <f ca="1">IF(Flag_Send_Data=1,_xll.DBSW(Val!N389,Val!$C$1,Val!$C$2,Val!$C$3,Val!$C$4,Val!$D389,Val!$C$5,Val!$C$6,Val!$B389,Val!$E389,Val!N$10,Val!$C$7,Val!$C389),"")</f>
        <v>31333.333333333332</v>
      </c>
      <c r="O389" s="2">
        <f ca="1">IF(Flag_Send_Data=1,_xll.DBSW(Val!O389,Val!$C$1,Val!$C$2,Val!$C$3,Val!$C$4,Val!$D389,Val!$C$5,Val!$C$6,Val!$B389,Val!$E389,Val!O$10,Val!$C$7,Val!$C389),"")</f>
        <v>31333.333333333332</v>
      </c>
      <c r="P389" s="2">
        <f ca="1">IF(Flag_Send_Data=1,_xll.DBSW(Val!P389,Val!$C$1,Val!$C$2,Val!$C$3,Val!$C$4,Val!$D389,Val!$C$5,Val!$C$6,Val!$B389,Val!$E389,Val!P$10,Val!$C$7,Val!$C389),"")</f>
        <v>31333.333333333332</v>
      </c>
      <c r="Q389" s="2">
        <f ca="1">IF(Flag_Send_Data=1,_xll.DBSW(Val!Q389,Val!$C$1,Val!$C$2,Val!$C$3,Val!$C$4,Val!$D389,Val!$C$5,Val!$C$6,Val!$B389,Val!$E389,Val!Q$10,Val!$C$7,Val!$C389),"")</f>
        <v>31333.333333333332</v>
      </c>
    </row>
    <row r="390" spans="2:17" x14ac:dyDescent="0.25">
      <c r="B390" t="s">
        <v>292</v>
      </c>
      <c r="C390" t="s">
        <v>96</v>
      </c>
      <c r="D390" t="s">
        <v>199</v>
      </c>
      <c r="E390" t="s">
        <v>201</v>
      </c>
      <c r="F390" s="2">
        <f ca="1">IF(Flag_Send_Data=1,_xll.DBSW(Val!F390,Val!$C$1,Val!$C$2,Val!$C$3,Val!$C$4,Val!$D390,Val!$C$5,Val!$C$6,Val!$B390,Val!$E390,Val!F$10,Val!$C$7,Val!$C390),"")</f>
        <v>24166.666666666668</v>
      </c>
      <c r="G390" s="2">
        <f ca="1">IF(Flag_Send_Data=1,_xll.DBSW(Val!G390,Val!$C$1,Val!$C$2,Val!$C$3,Val!$C$4,Val!$D390,Val!$C$5,Val!$C$6,Val!$B390,Val!$E390,Val!G$10,Val!$C$7,Val!$C390),"")</f>
        <v>24166.666666666668</v>
      </c>
      <c r="H390" s="2">
        <f ca="1">IF(Flag_Send_Data=1,_xll.DBSW(Val!H390,Val!$C$1,Val!$C$2,Val!$C$3,Val!$C$4,Val!$D390,Val!$C$5,Val!$C$6,Val!$B390,Val!$E390,Val!H$10,Val!$C$7,Val!$C390),"")</f>
        <v>24166.666666666668</v>
      </c>
      <c r="I390" s="2">
        <f ca="1">IF(Flag_Send_Data=1,_xll.DBSW(Val!I390,Val!$C$1,Val!$C$2,Val!$C$3,Val!$C$4,Val!$D390,Val!$C$5,Val!$C$6,Val!$B390,Val!$E390,Val!I$10,Val!$C$7,Val!$C390),"")</f>
        <v>24166.666666666668</v>
      </c>
      <c r="J390" s="2">
        <f ca="1">IF(Flag_Send_Data=1,_xll.DBSW(Val!J390,Val!$C$1,Val!$C$2,Val!$C$3,Val!$C$4,Val!$D390,Val!$C$5,Val!$C$6,Val!$B390,Val!$E390,Val!J$10,Val!$C$7,Val!$C390),"")</f>
        <v>24166.666666666668</v>
      </c>
      <c r="K390" s="2">
        <f ca="1">IF(Flag_Send_Data=1,_xll.DBSW(Val!K390,Val!$C$1,Val!$C$2,Val!$C$3,Val!$C$4,Val!$D390,Val!$C$5,Val!$C$6,Val!$B390,Val!$E390,Val!K$10,Val!$C$7,Val!$C390),"")</f>
        <v>24166.666666666668</v>
      </c>
      <c r="L390" s="2">
        <f ca="1">IF(Flag_Send_Data=1,_xll.DBSW(Val!L390,Val!$C$1,Val!$C$2,Val!$C$3,Val!$C$4,Val!$D390,Val!$C$5,Val!$C$6,Val!$B390,Val!$E390,Val!L$10,Val!$C$7,Val!$C390),"")</f>
        <v>24166.666666666668</v>
      </c>
      <c r="M390" s="2">
        <f ca="1">IF(Flag_Send_Data=1,_xll.DBSW(Val!M390,Val!$C$1,Val!$C$2,Val!$C$3,Val!$C$4,Val!$D390,Val!$C$5,Val!$C$6,Val!$B390,Val!$E390,Val!M$10,Val!$C$7,Val!$C390),"")</f>
        <v>24166.666666666668</v>
      </c>
      <c r="N390" s="2">
        <f ca="1">IF(Flag_Send_Data=1,_xll.DBSW(Val!N390,Val!$C$1,Val!$C$2,Val!$C$3,Val!$C$4,Val!$D390,Val!$C$5,Val!$C$6,Val!$B390,Val!$E390,Val!N$10,Val!$C$7,Val!$C390),"")</f>
        <v>24166.666666666668</v>
      </c>
      <c r="O390" s="2">
        <f ca="1">IF(Flag_Send_Data=1,_xll.DBSW(Val!O390,Val!$C$1,Val!$C$2,Val!$C$3,Val!$C$4,Val!$D390,Val!$C$5,Val!$C$6,Val!$B390,Val!$E390,Val!O$10,Val!$C$7,Val!$C390),"")</f>
        <v>24166.666666666668</v>
      </c>
      <c r="P390" s="2">
        <f ca="1">IF(Flag_Send_Data=1,_xll.DBSW(Val!P390,Val!$C$1,Val!$C$2,Val!$C$3,Val!$C$4,Val!$D390,Val!$C$5,Val!$C$6,Val!$B390,Val!$E390,Val!P$10,Val!$C$7,Val!$C390),"")</f>
        <v>24166.666666666668</v>
      </c>
      <c r="Q390" s="2">
        <f ca="1">IF(Flag_Send_Data=1,_xll.DBSW(Val!Q390,Val!$C$1,Val!$C$2,Val!$C$3,Val!$C$4,Val!$D390,Val!$C$5,Val!$C$6,Val!$B390,Val!$E390,Val!Q$10,Val!$C$7,Val!$C390),"")</f>
        <v>24166.666666666668</v>
      </c>
    </row>
    <row r="391" spans="2:17" x14ac:dyDescent="0.25">
      <c r="B391" t="s">
        <v>292</v>
      </c>
      <c r="C391" t="s">
        <v>96</v>
      </c>
      <c r="D391" t="s">
        <v>199</v>
      </c>
      <c r="E391" t="s">
        <v>139</v>
      </c>
      <c r="F391" s="2">
        <f ca="1">IF(Flag_Send_Data=1,_xll.DBSW(Val!F391,Val!$C$1,Val!$C$2,Val!$C$3,Val!$C$4,Val!$D391,Val!$C$5,Val!$C$6,Val!$B391,Val!$E391,Val!F$10,Val!$C$7,Val!$C391),"")</f>
        <v>5750</v>
      </c>
      <c r="G391" s="2">
        <f ca="1">IF(Flag_Send_Data=1,_xll.DBSW(Val!G391,Val!$C$1,Val!$C$2,Val!$C$3,Val!$C$4,Val!$D391,Val!$C$5,Val!$C$6,Val!$B391,Val!$E391,Val!G$10,Val!$C$7,Val!$C391),"")</f>
        <v>5750</v>
      </c>
      <c r="H391" s="2">
        <f ca="1">IF(Flag_Send_Data=1,_xll.DBSW(Val!H391,Val!$C$1,Val!$C$2,Val!$C$3,Val!$C$4,Val!$D391,Val!$C$5,Val!$C$6,Val!$B391,Val!$E391,Val!H$10,Val!$C$7,Val!$C391),"")</f>
        <v>5750</v>
      </c>
      <c r="I391" s="2">
        <f ca="1">IF(Flag_Send_Data=1,_xll.DBSW(Val!I391,Val!$C$1,Val!$C$2,Val!$C$3,Val!$C$4,Val!$D391,Val!$C$5,Val!$C$6,Val!$B391,Val!$E391,Val!I$10,Val!$C$7,Val!$C391),"")</f>
        <v>5750</v>
      </c>
      <c r="J391" s="2">
        <f ca="1">IF(Flag_Send_Data=1,_xll.DBSW(Val!J391,Val!$C$1,Val!$C$2,Val!$C$3,Val!$C$4,Val!$D391,Val!$C$5,Val!$C$6,Val!$B391,Val!$E391,Val!J$10,Val!$C$7,Val!$C391),"")</f>
        <v>5750</v>
      </c>
      <c r="K391" s="2">
        <f ca="1">IF(Flag_Send_Data=1,_xll.DBSW(Val!K391,Val!$C$1,Val!$C$2,Val!$C$3,Val!$C$4,Val!$D391,Val!$C$5,Val!$C$6,Val!$B391,Val!$E391,Val!K$10,Val!$C$7,Val!$C391),"")</f>
        <v>5750</v>
      </c>
      <c r="L391" s="2">
        <f ca="1">IF(Flag_Send_Data=1,_xll.DBSW(Val!L391,Val!$C$1,Val!$C$2,Val!$C$3,Val!$C$4,Val!$D391,Val!$C$5,Val!$C$6,Val!$B391,Val!$E391,Val!L$10,Val!$C$7,Val!$C391),"")</f>
        <v>5750</v>
      </c>
      <c r="M391" s="2">
        <f ca="1">IF(Flag_Send_Data=1,_xll.DBSW(Val!M391,Val!$C$1,Val!$C$2,Val!$C$3,Val!$C$4,Val!$D391,Val!$C$5,Val!$C$6,Val!$B391,Val!$E391,Val!M$10,Val!$C$7,Val!$C391),"")</f>
        <v>5750</v>
      </c>
      <c r="N391" s="2">
        <f ca="1">IF(Flag_Send_Data=1,_xll.DBSW(Val!N391,Val!$C$1,Val!$C$2,Val!$C$3,Val!$C$4,Val!$D391,Val!$C$5,Val!$C$6,Val!$B391,Val!$E391,Val!N$10,Val!$C$7,Val!$C391),"")</f>
        <v>5750</v>
      </c>
      <c r="O391" s="2">
        <f ca="1">IF(Flag_Send_Data=1,_xll.DBSW(Val!O391,Val!$C$1,Val!$C$2,Val!$C$3,Val!$C$4,Val!$D391,Val!$C$5,Val!$C$6,Val!$B391,Val!$E391,Val!O$10,Val!$C$7,Val!$C391),"")</f>
        <v>5750</v>
      </c>
      <c r="P391" s="2">
        <f ca="1">IF(Flag_Send_Data=1,_xll.DBSW(Val!P391,Val!$C$1,Val!$C$2,Val!$C$3,Val!$C$4,Val!$D391,Val!$C$5,Val!$C$6,Val!$B391,Val!$E391,Val!P$10,Val!$C$7,Val!$C391),"")</f>
        <v>5750</v>
      </c>
      <c r="Q391" s="2">
        <f ca="1">IF(Flag_Send_Data=1,_xll.DBSW(Val!Q391,Val!$C$1,Val!$C$2,Val!$C$3,Val!$C$4,Val!$D391,Val!$C$5,Val!$C$6,Val!$B391,Val!$E391,Val!Q$10,Val!$C$7,Val!$C391),"")</f>
        <v>5750</v>
      </c>
    </row>
    <row r="392" spans="2:17" x14ac:dyDescent="0.25">
      <c r="B392" t="s">
        <v>292</v>
      </c>
      <c r="C392" t="s">
        <v>96</v>
      </c>
      <c r="D392" t="s">
        <v>199</v>
      </c>
      <c r="E392" t="s">
        <v>74</v>
      </c>
      <c r="F392" s="2">
        <f ca="1">IF(Flag_Send_Data=1,_xll.DBSW(Val!F392,Val!$C$1,Val!$C$2,Val!$C$3,Val!$C$4,Val!$D392,Val!$C$5,Val!$C$6,Val!$B392,Val!$E392,Val!F$10,Val!$C$7,Val!$C392),"")</f>
        <v>51416.666666666664</v>
      </c>
      <c r="G392" s="2">
        <f ca="1">IF(Flag_Send_Data=1,_xll.DBSW(Val!G392,Val!$C$1,Val!$C$2,Val!$C$3,Val!$C$4,Val!$D392,Val!$C$5,Val!$C$6,Val!$B392,Val!$E392,Val!G$10,Val!$C$7,Val!$C392),"")</f>
        <v>51416.666666666664</v>
      </c>
      <c r="H392" s="2">
        <f ca="1">IF(Flag_Send_Data=1,_xll.DBSW(Val!H392,Val!$C$1,Val!$C$2,Val!$C$3,Val!$C$4,Val!$D392,Val!$C$5,Val!$C$6,Val!$B392,Val!$E392,Val!H$10,Val!$C$7,Val!$C392),"")</f>
        <v>51416.666666666664</v>
      </c>
      <c r="I392" s="2">
        <f ca="1">IF(Flag_Send_Data=1,_xll.DBSW(Val!I392,Val!$C$1,Val!$C$2,Val!$C$3,Val!$C$4,Val!$D392,Val!$C$5,Val!$C$6,Val!$B392,Val!$E392,Val!I$10,Val!$C$7,Val!$C392),"")</f>
        <v>51416.666666666664</v>
      </c>
      <c r="J392" s="2">
        <f ca="1">IF(Flag_Send_Data=1,_xll.DBSW(Val!J392,Val!$C$1,Val!$C$2,Val!$C$3,Val!$C$4,Val!$D392,Val!$C$5,Val!$C$6,Val!$B392,Val!$E392,Val!J$10,Val!$C$7,Val!$C392),"")</f>
        <v>51416.666666666664</v>
      </c>
      <c r="K392" s="2">
        <f ca="1">IF(Flag_Send_Data=1,_xll.DBSW(Val!K392,Val!$C$1,Val!$C$2,Val!$C$3,Val!$C$4,Val!$D392,Val!$C$5,Val!$C$6,Val!$B392,Val!$E392,Val!K$10,Val!$C$7,Val!$C392),"")</f>
        <v>51416.666666666664</v>
      </c>
      <c r="L392" s="2">
        <f ca="1">IF(Flag_Send_Data=1,_xll.DBSW(Val!L392,Val!$C$1,Val!$C$2,Val!$C$3,Val!$C$4,Val!$D392,Val!$C$5,Val!$C$6,Val!$B392,Val!$E392,Val!L$10,Val!$C$7,Val!$C392),"")</f>
        <v>51416.666666666664</v>
      </c>
      <c r="M392" s="2">
        <f ca="1">IF(Flag_Send_Data=1,_xll.DBSW(Val!M392,Val!$C$1,Val!$C$2,Val!$C$3,Val!$C$4,Val!$D392,Val!$C$5,Val!$C$6,Val!$B392,Val!$E392,Val!M$10,Val!$C$7,Val!$C392),"")</f>
        <v>51416.666666666664</v>
      </c>
      <c r="N392" s="2">
        <f ca="1">IF(Flag_Send_Data=1,_xll.DBSW(Val!N392,Val!$C$1,Val!$C$2,Val!$C$3,Val!$C$4,Val!$D392,Val!$C$5,Val!$C$6,Val!$B392,Val!$E392,Val!N$10,Val!$C$7,Val!$C392),"")</f>
        <v>51416.666666666664</v>
      </c>
      <c r="O392" s="2">
        <f ca="1">IF(Flag_Send_Data=1,_xll.DBSW(Val!O392,Val!$C$1,Val!$C$2,Val!$C$3,Val!$C$4,Val!$D392,Val!$C$5,Val!$C$6,Val!$B392,Val!$E392,Val!O$10,Val!$C$7,Val!$C392),"")</f>
        <v>51416.666666666664</v>
      </c>
      <c r="P392" s="2">
        <f ca="1">IF(Flag_Send_Data=1,_xll.DBSW(Val!P392,Val!$C$1,Val!$C$2,Val!$C$3,Val!$C$4,Val!$D392,Val!$C$5,Val!$C$6,Val!$B392,Val!$E392,Val!P$10,Val!$C$7,Val!$C392),"")</f>
        <v>51416.666666666664</v>
      </c>
      <c r="Q392" s="2">
        <f ca="1">IF(Flag_Send_Data=1,_xll.DBSW(Val!Q392,Val!$C$1,Val!$C$2,Val!$C$3,Val!$C$4,Val!$D392,Val!$C$5,Val!$C$6,Val!$B392,Val!$E392,Val!Q$10,Val!$C$7,Val!$C392),"")</f>
        <v>51416.666666666664</v>
      </c>
    </row>
    <row r="393" spans="2:17" x14ac:dyDescent="0.25">
      <c r="B393" t="s">
        <v>292</v>
      </c>
      <c r="C393" t="s">
        <v>96</v>
      </c>
      <c r="D393" t="s">
        <v>199</v>
      </c>
      <c r="E393" t="s">
        <v>202</v>
      </c>
      <c r="F393" s="2">
        <f ca="1">IF(Flag_Send_Data=1,_xll.DBSW(Val!F393,Val!$C$1,Val!$C$2,Val!$C$3,Val!$C$4,Val!$D393,Val!$C$5,Val!$C$6,Val!$B393,Val!$E393,Val!F$10,Val!$C$7,Val!$C393),"")</f>
        <v>9416.6666666666661</v>
      </c>
      <c r="G393" s="2">
        <f ca="1">IF(Flag_Send_Data=1,_xll.DBSW(Val!G393,Val!$C$1,Val!$C$2,Val!$C$3,Val!$C$4,Val!$D393,Val!$C$5,Val!$C$6,Val!$B393,Val!$E393,Val!G$10,Val!$C$7,Val!$C393),"")</f>
        <v>9416.6666666666661</v>
      </c>
      <c r="H393" s="2">
        <f ca="1">IF(Flag_Send_Data=1,_xll.DBSW(Val!H393,Val!$C$1,Val!$C$2,Val!$C$3,Val!$C$4,Val!$D393,Val!$C$5,Val!$C$6,Val!$B393,Val!$E393,Val!H$10,Val!$C$7,Val!$C393),"")</f>
        <v>9416.6666666666661</v>
      </c>
      <c r="I393" s="2">
        <f ca="1">IF(Flag_Send_Data=1,_xll.DBSW(Val!I393,Val!$C$1,Val!$C$2,Val!$C$3,Val!$C$4,Val!$D393,Val!$C$5,Val!$C$6,Val!$B393,Val!$E393,Val!I$10,Val!$C$7,Val!$C393),"")</f>
        <v>9416.6666666666661</v>
      </c>
      <c r="J393" s="2">
        <f ca="1">IF(Flag_Send_Data=1,_xll.DBSW(Val!J393,Val!$C$1,Val!$C$2,Val!$C$3,Val!$C$4,Val!$D393,Val!$C$5,Val!$C$6,Val!$B393,Val!$E393,Val!J$10,Val!$C$7,Val!$C393),"")</f>
        <v>9416.6666666666661</v>
      </c>
      <c r="K393" s="2">
        <f ca="1">IF(Flag_Send_Data=1,_xll.DBSW(Val!K393,Val!$C$1,Val!$C$2,Val!$C$3,Val!$C$4,Val!$D393,Val!$C$5,Val!$C$6,Val!$B393,Val!$E393,Val!K$10,Val!$C$7,Val!$C393),"")</f>
        <v>9416.6666666666661</v>
      </c>
      <c r="L393" s="2">
        <f ca="1">IF(Flag_Send_Data=1,_xll.DBSW(Val!L393,Val!$C$1,Val!$C$2,Val!$C$3,Val!$C$4,Val!$D393,Val!$C$5,Val!$C$6,Val!$B393,Val!$E393,Val!L$10,Val!$C$7,Val!$C393),"")</f>
        <v>9416.6666666666661</v>
      </c>
      <c r="M393" s="2">
        <f ca="1">IF(Flag_Send_Data=1,_xll.DBSW(Val!M393,Val!$C$1,Val!$C$2,Val!$C$3,Val!$C$4,Val!$D393,Val!$C$5,Val!$C$6,Val!$B393,Val!$E393,Val!M$10,Val!$C$7,Val!$C393),"")</f>
        <v>9416.6666666666661</v>
      </c>
      <c r="N393" s="2">
        <f ca="1">IF(Flag_Send_Data=1,_xll.DBSW(Val!N393,Val!$C$1,Val!$C$2,Val!$C$3,Val!$C$4,Val!$D393,Val!$C$5,Val!$C$6,Val!$B393,Val!$E393,Val!N$10,Val!$C$7,Val!$C393),"")</f>
        <v>9416.6666666666661</v>
      </c>
      <c r="O393" s="2">
        <f ca="1">IF(Flag_Send_Data=1,_xll.DBSW(Val!O393,Val!$C$1,Val!$C$2,Val!$C$3,Val!$C$4,Val!$D393,Val!$C$5,Val!$C$6,Val!$B393,Val!$E393,Val!O$10,Val!$C$7,Val!$C393),"")</f>
        <v>9416.6666666666661</v>
      </c>
      <c r="P393" s="2">
        <f ca="1">IF(Flag_Send_Data=1,_xll.DBSW(Val!P393,Val!$C$1,Val!$C$2,Val!$C$3,Val!$C$4,Val!$D393,Val!$C$5,Val!$C$6,Val!$B393,Val!$E393,Val!P$10,Val!$C$7,Val!$C393),"")</f>
        <v>9416.6666666666661</v>
      </c>
      <c r="Q393" s="2">
        <f ca="1">IF(Flag_Send_Data=1,_xll.DBSW(Val!Q393,Val!$C$1,Val!$C$2,Val!$C$3,Val!$C$4,Val!$D393,Val!$C$5,Val!$C$6,Val!$B393,Val!$E393,Val!Q$10,Val!$C$7,Val!$C393),"")</f>
        <v>9416.6666666666661</v>
      </c>
    </row>
    <row r="394" spans="2:17" x14ac:dyDescent="0.25">
      <c r="B394" t="s">
        <v>292</v>
      </c>
      <c r="C394" t="s">
        <v>96</v>
      </c>
      <c r="D394" t="s">
        <v>199</v>
      </c>
      <c r="E394" t="s">
        <v>10</v>
      </c>
      <c r="F394" s="2">
        <f ca="1">IF(Flag_Send_Data=1,_xll.DBSW(Val!F394,Val!$C$1,Val!$C$2,Val!$C$3,Val!$C$4,Val!$D394,Val!$C$5,Val!$C$6,Val!$B394,Val!$E394,Val!F$10,Val!$C$7,Val!$C394),"")</f>
        <v>911250</v>
      </c>
      <c r="G394" s="2">
        <f ca="1">IF(Flag_Send_Data=1,_xll.DBSW(Val!G394,Val!$C$1,Val!$C$2,Val!$C$3,Val!$C$4,Val!$D394,Val!$C$5,Val!$C$6,Val!$B394,Val!$E394,Val!G$10,Val!$C$7,Val!$C394),"")</f>
        <v>911250</v>
      </c>
      <c r="H394" s="2">
        <f ca="1">IF(Flag_Send_Data=1,_xll.DBSW(Val!H394,Val!$C$1,Val!$C$2,Val!$C$3,Val!$C$4,Val!$D394,Val!$C$5,Val!$C$6,Val!$B394,Val!$E394,Val!H$10,Val!$C$7,Val!$C394),"")</f>
        <v>911250</v>
      </c>
      <c r="I394" s="2">
        <f ca="1">IF(Flag_Send_Data=1,_xll.DBSW(Val!I394,Val!$C$1,Val!$C$2,Val!$C$3,Val!$C$4,Val!$D394,Val!$C$5,Val!$C$6,Val!$B394,Val!$E394,Val!I$10,Val!$C$7,Val!$C394),"")</f>
        <v>911250</v>
      </c>
      <c r="J394" s="2">
        <f ca="1">IF(Flag_Send_Data=1,_xll.DBSW(Val!J394,Val!$C$1,Val!$C$2,Val!$C$3,Val!$C$4,Val!$D394,Val!$C$5,Val!$C$6,Val!$B394,Val!$E394,Val!J$10,Val!$C$7,Val!$C394),"")</f>
        <v>911250</v>
      </c>
      <c r="K394" s="2">
        <f ca="1">IF(Flag_Send_Data=1,_xll.DBSW(Val!K394,Val!$C$1,Val!$C$2,Val!$C$3,Val!$C$4,Val!$D394,Val!$C$5,Val!$C$6,Val!$B394,Val!$E394,Val!K$10,Val!$C$7,Val!$C394),"")</f>
        <v>911250</v>
      </c>
      <c r="L394" s="2">
        <f ca="1">IF(Flag_Send_Data=1,_xll.DBSW(Val!L394,Val!$C$1,Val!$C$2,Val!$C$3,Val!$C$4,Val!$D394,Val!$C$5,Val!$C$6,Val!$B394,Val!$E394,Val!L$10,Val!$C$7,Val!$C394),"")</f>
        <v>911250</v>
      </c>
      <c r="M394" s="2">
        <f ca="1">IF(Flag_Send_Data=1,_xll.DBSW(Val!M394,Val!$C$1,Val!$C$2,Val!$C$3,Val!$C$4,Val!$D394,Val!$C$5,Val!$C$6,Val!$B394,Val!$E394,Val!M$10,Val!$C$7,Val!$C394),"")</f>
        <v>911250</v>
      </c>
      <c r="N394" s="2">
        <f ca="1">IF(Flag_Send_Data=1,_xll.DBSW(Val!N394,Val!$C$1,Val!$C$2,Val!$C$3,Val!$C$4,Val!$D394,Val!$C$5,Val!$C$6,Val!$B394,Val!$E394,Val!N$10,Val!$C$7,Val!$C394),"")</f>
        <v>911250</v>
      </c>
      <c r="O394" s="2">
        <f ca="1">IF(Flag_Send_Data=1,_xll.DBSW(Val!O394,Val!$C$1,Val!$C$2,Val!$C$3,Val!$C$4,Val!$D394,Val!$C$5,Val!$C$6,Val!$B394,Val!$E394,Val!O$10,Val!$C$7,Val!$C394),"")</f>
        <v>911250</v>
      </c>
      <c r="P394" s="2">
        <f ca="1">IF(Flag_Send_Data=1,_xll.DBSW(Val!P394,Val!$C$1,Val!$C$2,Val!$C$3,Val!$C$4,Val!$D394,Val!$C$5,Val!$C$6,Val!$B394,Val!$E394,Val!P$10,Val!$C$7,Val!$C394),"")</f>
        <v>911250</v>
      </c>
      <c r="Q394" s="2">
        <f ca="1">IF(Flag_Send_Data=1,_xll.DBSW(Val!Q394,Val!$C$1,Val!$C$2,Val!$C$3,Val!$C$4,Val!$D394,Val!$C$5,Val!$C$6,Val!$B394,Val!$E394,Val!Q$10,Val!$C$7,Val!$C394),"")</f>
        <v>911250</v>
      </c>
    </row>
    <row r="395" spans="2:17" x14ac:dyDescent="0.25">
      <c r="B395" t="s">
        <v>292</v>
      </c>
      <c r="C395" t="s">
        <v>96</v>
      </c>
      <c r="D395" t="s">
        <v>199</v>
      </c>
      <c r="E395" t="s">
        <v>141</v>
      </c>
      <c r="F395" s="2">
        <f ca="1">IF(Flag_Send_Data=1,_xll.DBSW(Val!F395,Val!$C$1,Val!$C$2,Val!$C$3,Val!$C$4,Val!$D395,Val!$C$5,Val!$C$6,Val!$B395,Val!$E395,Val!F$10,Val!$C$7,Val!$C395),"")</f>
        <v>88000</v>
      </c>
      <c r="G395" s="2">
        <f ca="1">IF(Flag_Send_Data=1,_xll.DBSW(Val!G395,Val!$C$1,Val!$C$2,Val!$C$3,Val!$C$4,Val!$D395,Val!$C$5,Val!$C$6,Val!$B395,Val!$E395,Val!G$10,Val!$C$7,Val!$C395),"")</f>
        <v>88000</v>
      </c>
      <c r="H395" s="2">
        <f ca="1">IF(Flag_Send_Data=1,_xll.DBSW(Val!H395,Val!$C$1,Val!$C$2,Val!$C$3,Val!$C$4,Val!$D395,Val!$C$5,Val!$C$6,Val!$B395,Val!$E395,Val!H$10,Val!$C$7,Val!$C395),"")</f>
        <v>88000</v>
      </c>
      <c r="I395" s="2">
        <f ca="1">IF(Flag_Send_Data=1,_xll.DBSW(Val!I395,Val!$C$1,Val!$C$2,Val!$C$3,Val!$C$4,Val!$D395,Val!$C$5,Val!$C$6,Val!$B395,Val!$E395,Val!I$10,Val!$C$7,Val!$C395),"")</f>
        <v>88000</v>
      </c>
      <c r="J395" s="2">
        <f ca="1">IF(Flag_Send_Data=1,_xll.DBSW(Val!J395,Val!$C$1,Val!$C$2,Val!$C$3,Val!$C$4,Val!$D395,Val!$C$5,Val!$C$6,Val!$B395,Val!$E395,Val!J$10,Val!$C$7,Val!$C395),"")</f>
        <v>88000</v>
      </c>
      <c r="K395" s="2">
        <f ca="1">IF(Flag_Send_Data=1,_xll.DBSW(Val!K395,Val!$C$1,Val!$C$2,Val!$C$3,Val!$C$4,Val!$D395,Val!$C$5,Val!$C$6,Val!$B395,Val!$E395,Val!K$10,Val!$C$7,Val!$C395),"")</f>
        <v>88000</v>
      </c>
      <c r="L395" s="2">
        <f ca="1">IF(Flag_Send_Data=1,_xll.DBSW(Val!L395,Val!$C$1,Val!$C$2,Val!$C$3,Val!$C$4,Val!$D395,Val!$C$5,Val!$C$6,Val!$B395,Val!$E395,Val!L$10,Val!$C$7,Val!$C395),"")</f>
        <v>88000</v>
      </c>
      <c r="M395" s="2">
        <f ca="1">IF(Flag_Send_Data=1,_xll.DBSW(Val!M395,Val!$C$1,Val!$C$2,Val!$C$3,Val!$C$4,Val!$D395,Val!$C$5,Val!$C$6,Val!$B395,Val!$E395,Val!M$10,Val!$C$7,Val!$C395),"")</f>
        <v>88000</v>
      </c>
      <c r="N395" s="2">
        <f ca="1">IF(Flag_Send_Data=1,_xll.DBSW(Val!N395,Val!$C$1,Val!$C$2,Val!$C$3,Val!$C$4,Val!$D395,Val!$C$5,Val!$C$6,Val!$B395,Val!$E395,Val!N$10,Val!$C$7,Val!$C395),"")</f>
        <v>88000</v>
      </c>
      <c r="O395" s="2">
        <f ca="1">IF(Flag_Send_Data=1,_xll.DBSW(Val!O395,Val!$C$1,Val!$C$2,Val!$C$3,Val!$C$4,Val!$D395,Val!$C$5,Val!$C$6,Val!$B395,Val!$E395,Val!O$10,Val!$C$7,Val!$C395),"")</f>
        <v>88000</v>
      </c>
      <c r="P395" s="2">
        <f ca="1">IF(Flag_Send_Data=1,_xll.DBSW(Val!P395,Val!$C$1,Val!$C$2,Val!$C$3,Val!$C$4,Val!$D395,Val!$C$5,Val!$C$6,Val!$B395,Val!$E395,Val!P$10,Val!$C$7,Val!$C395),"")</f>
        <v>88000</v>
      </c>
      <c r="Q395" s="2">
        <f ca="1">IF(Flag_Send_Data=1,_xll.DBSW(Val!Q395,Val!$C$1,Val!$C$2,Val!$C$3,Val!$C$4,Val!$D395,Val!$C$5,Val!$C$6,Val!$B395,Val!$E395,Val!Q$10,Val!$C$7,Val!$C395),"")</f>
        <v>88000</v>
      </c>
    </row>
    <row r="396" spans="2:17" x14ac:dyDescent="0.25">
      <c r="B396" t="s">
        <v>292</v>
      </c>
      <c r="C396" t="s">
        <v>96</v>
      </c>
      <c r="D396" t="s">
        <v>199</v>
      </c>
      <c r="E396" t="s">
        <v>75</v>
      </c>
      <c r="F396" s="2">
        <f ca="1">IF(Flag_Send_Data=1,_xll.DBSW(Val!F396,Val!$C$1,Val!$C$2,Val!$C$3,Val!$C$4,Val!$D396,Val!$C$5,Val!$C$6,Val!$B396,Val!$E396,Val!F$10,Val!$C$7,Val!$C396),"")</f>
        <v>686416.66666666663</v>
      </c>
      <c r="G396" s="2">
        <f ca="1">IF(Flag_Send_Data=1,_xll.DBSW(Val!G396,Val!$C$1,Val!$C$2,Val!$C$3,Val!$C$4,Val!$D396,Val!$C$5,Val!$C$6,Val!$B396,Val!$E396,Val!G$10,Val!$C$7,Val!$C396),"")</f>
        <v>686416.66666666663</v>
      </c>
      <c r="H396" s="2">
        <f ca="1">IF(Flag_Send_Data=1,_xll.DBSW(Val!H396,Val!$C$1,Val!$C$2,Val!$C$3,Val!$C$4,Val!$D396,Val!$C$5,Val!$C$6,Val!$B396,Val!$E396,Val!H$10,Val!$C$7,Val!$C396),"")</f>
        <v>686416.66666666663</v>
      </c>
      <c r="I396" s="2">
        <f ca="1">IF(Flag_Send_Data=1,_xll.DBSW(Val!I396,Val!$C$1,Val!$C$2,Val!$C$3,Val!$C$4,Val!$D396,Val!$C$5,Val!$C$6,Val!$B396,Val!$E396,Val!I$10,Val!$C$7,Val!$C396),"")</f>
        <v>686416.66666666663</v>
      </c>
      <c r="J396" s="2">
        <f ca="1">IF(Flag_Send_Data=1,_xll.DBSW(Val!J396,Val!$C$1,Val!$C$2,Val!$C$3,Val!$C$4,Val!$D396,Val!$C$5,Val!$C$6,Val!$B396,Val!$E396,Val!J$10,Val!$C$7,Val!$C396),"")</f>
        <v>686416.66666666663</v>
      </c>
      <c r="K396" s="2">
        <f ca="1">IF(Flag_Send_Data=1,_xll.DBSW(Val!K396,Val!$C$1,Val!$C$2,Val!$C$3,Val!$C$4,Val!$D396,Val!$C$5,Val!$C$6,Val!$B396,Val!$E396,Val!K$10,Val!$C$7,Val!$C396),"")</f>
        <v>686416.66666666663</v>
      </c>
      <c r="L396" s="2">
        <f ca="1">IF(Flag_Send_Data=1,_xll.DBSW(Val!L396,Val!$C$1,Val!$C$2,Val!$C$3,Val!$C$4,Val!$D396,Val!$C$5,Val!$C$6,Val!$B396,Val!$E396,Val!L$10,Val!$C$7,Val!$C396),"")</f>
        <v>686416.66666666663</v>
      </c>
      <c r="M396" s="2">
        <f ca="1">IF(Flag_Send_Data=1,_xll.DBSW(Val!M396,Val!$C$1,Val!$C$2,Val!$C$3,Val!$C$4,Val!$D396,Val!$C$5,Val!$C$6,Val!$B396,Val!$E396,Val!M$10,Val!$C$7,Val!$C396),"")</f>
        <v>686416.66666666663</v>
      </c>
      <c r="N396" s="2">
        <f ca="1">IF(Flag_Send_Data=1,_xll.DBSW(Val!N396,Val!$C$1,Val!$C$2,Val!$C$3,Val!$C$4,Val!$D396,Val!$C$5,Val!$C$6,Val!$B396,Val!$E396,Val!N$10,Val!$C$7,Val!$C396),"")</f>
        <v>686416.66666666663</v>
      </c>
      <c r="O396" s="2">
        <f ca="1">IF(Flag_Send_Data=1,_xll.DBSW(Val!O396,Val!$C$1,Val!$C$2,Val!$C$3,Val!$C$4,Val!$D396,Val!$C$5,Val!$C$6,Val!$B396,Val!$E396,Val!O$10,Val!$C$7,Val!$C396),"")</f>
        <v>686416.66666666663</v>
      </c>
      <c r="P396" s="2">
        <f ca="1">IF(Flag_Send_Data=1,_xll.DBSW(Val!P396,Val!$C$1,Val!$C$2,Val!$C$3,Val!$C$4,Val!$D396,Val!$C$5,Val!$C$6,Val!$B396,Val!$E396,Val!P$10,Val!$C$7,Val!$C396),"")</f>
        <v>686416.66666666663</v>
      </c>
      <c r="Q396" s="2">
        <f ca="1">IF(Flag_Send_Data=1,_xll.DBSW(Val!Q396,Val!$C$1,Val!$C$2,Val!$C$3,Val!$C$4,Val!$D396,Val!$C$5,Val!$C$6,Val!$B396,Val!$E396,Val!Q$10,Val!$C$7,Val!$C396),"")</f>
        <v>686416.66666666663</v>
      </c>
    </row>
    <row r="397" spans="2:17" x14ac:dyDescent="0.25">
      <c r="B397" t="s">
        <v>292</v>
      </c>
      <c r="C397" t="s">
        <v>96</v>
      </c>
      <c r="D397" t="s">
        <v>199</v>
      </c>
      <c r="E397" t="s">
        <v>136</v>
      </c>
      <c r="F397" s="2">
        <f ca="1">IF(Flag_Send_Data=1,_xll.DBSW(Val!F397,Val!$C$1,Val!$C$2,Val!$C$3,Val!$C$4,Val!$D397,Val!$C$5,Val!$C$6,Val!$B397,Val!$E397,Val!F$10,Val!$C$7,Val!$C397),"")</f>
        <v>15750</v>
      </c>
      <c r="G397" s="2">
        <f ca="1">IF(Flag_Send_Data=1,_xll.DBSW(Val!G397,Val!$C$1,Val!$C$2,Val!$C$3,Val!$C$4,Val!$D397,Val!$C$5,Val!$C$6,Val!$B397,Val!$E397,Val!G$10,Val!$C$7,Val!$C397),"")</f>
        <v>15750</v>
      </c>
      <c r="H397" s="2">
        <f ca="1">IF(Flag_Send_Data=1,_xll.DBSW(Val!H397,Val!$C$1,Val!$C$2,Val!$C$3,Val!$C$4,Val!$D397,Val!$C$5,Val!$C$6,Val!$B397,Val!$E397,Val!H$10,Val!$C$7,Val!$C397),"")</f>
        <v>15750</v>
      </c>
      <c r="I397" s="2">
        <f ca="1">IF(Flag_Send_Data=1,_xll.DBSW(Val!I397,Val!$C$1,Val!$C$2,Val!$C$3,Val!$C$4,Val!$D397,Val!$C$5,Val!$C$6,Val!$B397,Val!$E397,Val!I$10,Val!$C$7,Val!$C397),"")</f>
        <v>15750</v>
      </c>
      <c r="J397" s="2">
        <f ca="1">IF(Flag_Send_Data=1,_xll.DBSW(Val!J397,Val!$C$1,Val!$C$2,Val!$C$3,Val!$C$4,Val!$D397,Val!$C$5,Val!$C$6,Val!$B397,Val!$E397,Val!J$10,Val!$C$7,Val!$C397),"")</f>
        <v>15750</v>
      </c>
      <c r="K397" s="2">
        <f ca="1">IF(Flag_Send_Data=1,_xll.DBSW(Val!K397,Val!$C$1,Val!$C$2,Val!$C$3,Val!$C$4,Val!$D397,Val!$C$5,Val!$C$6,Val!$B397,Val!$E397,Val!K$10,Val!$C$7,Val!$C397),"")</f>
        <v>15750</v>
      </c>
      <c r="L397" s="2">
        <f ca="1">IF(Flag_Send_Data=1,_xll.DBSW(Val!L397,Val!$C$1,Val!$C$2,Val!$C$3,Val!$C$4,Val!$D397,Val!$C$5,Val!$C$6,Val!$B397,Val!$E397,Val!L$10,Val!$C$7,Val!$C397),"")</f>
        <v>15750</v>
      </c>
      <c r="M397" s="2">
        <f ca="1">IF(Flag_Send_Data=1,_xll.DBSW(Val!M397,Val!$C$1,Val!$C$2,Val!$C$3,Val!$C$4,Val!$D397,Val!$C$5,Val!$C$6,Val!$B397,Val!$E397,Val!M$10,Val!$C$7,Val!$C397),"")</f>
        <v>15750</v>
      </c>
      <c r="N397" s="2">
        <f ca="1">IF(Flag_Send_Data=1,_xll.DBSW(Val!N397,Val!$C$1,Val!$C$2,Val!$C$3,Val!$C$4,Val!$D397,Val!$C$5,Val!$C$6,Val!$B397,Val!$E397,Val!N$10,Val!$C$7,Val!$C397),"")</f>
        <v>15750</v>
      </c>
      <c r="O397" s="2">
        <f ca="1">IF(Flag_Send_Data=1,_xll.DBSW(Val!O397,Val!$C$1,Val!$C$2,Val!$C$3,Val!$C$4,Val!$D397,Val!$C$5,Val!$C$6,Val!$B397,Val!$E397,Val!O$10,Val!$C$7,Val!$C397),"")</f>
        <v>15750</v>
      </c>
      <c r="P397" s="2">
        <f ca="1">IF(Flag_Send_Data=1,_xll.DBSW(Val!P397,Val!$C$1,Val!$C$2,Val!$C$3,Val!$C$4,Val!$D397,Val!$C$5,Val!$C$6,Val!$B397,Val!$E397,Val!P$10,Val!$C$7,Val!$C397),"")</f>
        <v>15750</v>
      </c>
      <c r="Q397" s="2">
        <f ca="1">IF(Flag_Send_Data=1,_xll.DBSW(Val!Q397,Val!$C$1,Val!$C$2,Val!$C$3,Val!$C$4,Val!$D397,Val!$C$5,Val!$C$6,Val!$B397,Val!$E397,Val!Q$10,Val!$C$7,Val!$C397),"")</f>
        <v>15750</v>
      </c>
    </row>
    <row r="398" spans="2:17" x14ac:dyDescent="0.25">
      <c r="B398" t="s">
        <v>292</v>
      </c>
      <c r="C398" t="s">
        <v>96</v>
      </c>
      <c r="D398" t="s">
        <v>199</v>
      </c>
      <c r="E398" t="s">
        <v>98</v>
      </c>
      <c r="F398" s="2">
        <f ca="1">IF(Flag_Send_Data=1,_xll.DBSW(Val!F398,Val!$C$1,Val!$C$2,Val!$C$3,Val!$C$4,Val!$D398,Val!$C$5,Val!$C$6,Val!$B398,Val!$E398,Val!F$10,Val!$C$7,Val!$C398),"")</f>
        <v>56083.333333333336</v>
      </c>
      <c r="G398" s="2">
        <f ca="1">IF(Flag_Send_Data=1,_xll.DBSW(Val!G398,Val!$C$1,Val!$C$2,Val!$C$3,Val!$C$4,Val!$D398,Val!$C$5,Val!$C$6,Val!$B398,Val!$E398,Val!G$10,Val!$C$7,Val!$C398),"")</f>
        <v>56083.333333333336</v>
      </c>
      <c r="H398" s="2">
        <f ca="1">IF(Flag_Send_Data=1,_xll.DBSW(Val!H398,Val!$C$1,Val!$C$2,Val!$C$3,Val!$C$4,Val!$D398,Val!$C$5,Val!$C$6,Val!$B398,Val!$E398,Val!H$10,Val!$C$7,Val!$C398),"")</f>
        <v>56083.333333333336</v>
      </c>
      <c r="I398" s="2">
        <f ca="1">IF(Flag_Send_Data=1,_xll.DBSW(Val!I398,Val!$C$1,Val!$C$2,Val!$C$3,Val!$C$4,Val!$D398,Val!$C$5,Val!$C$6,Val!$B398,Val!$E398,Val!I$10,Val!$C$7,Val!$C398),"")</f>
        <v>56083.333333333336</v>
      </c>
      <c r="J398" s="2">
        <f ca="1">IF(Flag_Send_Data=1,_xll.DBSW(Val!J398,Val!$C$1,Val!$C$2,Val!$C$3,Val!$C$4,Val!$D398,Val!$C$5,Val!$C$6,Val!$B398,Val!$E398,Val!J$10,Val!$C$7,Val!$C398),"")</f>
        <v>56083.333333333336</v>
      </c>
      <c r="K398" s="2">
        <f ca="1">IF(Flag_Send_Data=1,_xll.DBSW(Val!K398,Val!$C$1,Val!$C$2,Val!$C$3,Val!$C$4,Val!$D398,Val!$C$5,Val!$C$6,Val!$B398,Val!$E398,Val!K$10,Val!$C$7,Val!$C398),"")</f>
        <v>56083.333333333336</v>
      </c>
      <c r="L398" s="2">
        <f ca="1">IF(Flag_Send_Data=1,_xll.DBSW(Val!L398,Val!$C$1,Val!$C$2,Val!$C$3,Val!$C$4,Val!$D398,Val!$C$5,Val!$C$6,Val!$B398,Val!$E398,Val!L$10,Val!$C$7,Val!$C398),"")</f>
        <v>56083.333333333336</v>
      </c>
      <c r="M398" s="2">
        <f ca="1">IF(Flag_Send_Data=1,_xll.DBSW(Val!M398,Val!$C$1,Val!$C$2,Val!$C$3,Val!$C$4,Val!$D398,Val!$C$5,Val!$C$6,Val!$B398,Val!$E398,Val!M$10,Val!$C$7,Val!$C398),"")</f>
        <v>56083.333333333336</v>
      </c>
      <c r="N398" s="2">
        <f ca="1">IF(Flag_Send_Data=1,_xll.DBSW(Val!N398,Val!$C$1,Val!$C$2,Val!$C$3,Val!$C$4,Val!$D398,Val!$C$5,Val!$C$6,Val!$B398,Val!$E398,Val!N$10,Val!$C$7,Val!$C398),"")</f>
        <v>56083.333333333336</v>
      </c>
      <c r="O398" s="2">
        <f ca="1">IF(Flag_Send_Data=1,_xll.DBSW(Val!O398,Val!$C$1,Val!$C$2,Val!$C$3,Val!$C$4,Val!$D398,Val!$C$5,Val!$C$6,Val!$B398,Val!$E398,Val!O$10,Val!$C$7,Val!$C398),"")</f>
        <v>56083.333333333336</v>
      </c>
      <c r="P398" s="2">
        <f ca="1">IF(Flag_Send_Data=1,_xll.DBSW(Val!P398,Val!$C$1,Val!$C$2,Val!$C$3,Val!$C$4,Val!$D398,Val!$C$5,Val!$C$6,Val!$B398,Val!$E398,Val!P$10,Val!$C$7,Val!$C398),"")</f>
        <v>56083.333333333336</v>
      </c>
      <c r="Q398" s="2">
        <f ca="1">IF(Flag_Send_Data=1,_xll.DBSW(Val!Q398,Val!$C$1,Val!$C$2,Val!$C$3,Val!$C$4,Val!$D398,Val!$C$5,Val!$C$6,Val!$B398,Val!$E398,Val!Q$10,Val!$C$7,Val!$C398),"")</f>
        <v>56083.333333333336</v>
      </c>
    </row>
    <row r="399" spans="2:17" x14ac:dyDescent="0.25">
      <c r="B399" t="s">
        <v>292</v>
      </c>
      <c r="C399" t="s">
        <v>96</v>
      </c>
      <c r="D399" t="s">
        <v>199</v>
      </c>
      <c r="E399" t="s">
        <v>31</v>
      </c>
      <c r="F399" s="2">
        <f ca="1">IF(Flag_Send_Data=1,_xll.DBSW(Val!F399,Val!$C$1,Val!$C$2,Val!$C$3,Val!$C$4,Val!$D399,Val!$C$5,Val!$C$6,Val!$B399,Val!$E399,Val!F$10,Val!$C$7,Val!$C399),"")</f>
        <v>487833.33333333331</v>
      </c>
      <c r="G399" s="2">
        <f ca="1">IF(Flag_Send_Data=1,_xll.DBSW(Val!G399,Val!$C$1,Val!$C$2,Val!$C$3,Val!$C$4,Val!$D399,Val!$C$5,Val!$C$6,Val!$B399,Val!$E399,Val!G$10,Val!$C$7,Val!$C399),"")</f>
        <v>487833.33333333331</v>
      </c>
      <c r="H399" s="2">
        <f ca="1">IF(Flag_Send_Data=1,_xll.DBSW(Val!H399,Val!$C$1,Val!$C$2,Val!$C$3,Val!$C$4,Val!$D399,Val!$C$5,Val!$C$6,Val!$B399,Val!$E399,Val!H$10,Val!$C$7,Val!$C399),"")</f>
        <v>487833.33333333331</v>
      </c>
      <c r="I399" s="2">
        <f ca="1">IF(Flag_Send_Data=1,_xll.DBSW(Val!I399,Val!$C$1,Val!$C$2,Val!$C$3,Val!$C$4,Val!$D399,Val!$C$5,Val!$C$6,Val!$B399,Val!$E399,Val!I$10,Val!$C$7,Val!$C399),"")</f>
        <v>487833.33333333331</v>
      </c>
      <c r="J399" s="2">
        <f ca="1">IF(Flag_Send_Data=1,_xll.DBSW(Val!J399,Val!$C$1,Val!$C$2,Val!$C$3,Val!$C$4,Val!$D399,Val!$C$5,Val!$C$6,Val!$B399,Val!$E399,Val!J$10,Val!$C$7,Val!$C399),"")</f>
        <v>487833.33333333331</v>
      </c>
      <c r="K399" s="2">
        <f ca="1">IF(Flag_Send_Data=1,_xll.DBSW(Val!K399,Val!$C$1,Val!$C$2,Val!$C$3,Val!$C$4,Val!$D399,Val!$C$5,Val!$C$6,Val!$B399,Val!$E399,Val!K$10,Val!$C$7,Val!$C399),"")</f>
        <v>487833.33333333331</v>
      </c>
      <c r="L399" s="2">
        <f ca="1">IF(Flag_Send_Data=1,_xll.DBSW(Val!L399,Val!$C$1,Val!$C$2,Val!$C$3,Val!$C$4,Val!$D399,Val!$C$5,Val!$C$6,Val!$B399,Val!$E399,Val!L$10,Val!$C$7,Val!$C399),"")</f>
        <v>487833.33333333331</v>
      </c>
      <c r="M399" s="2">
        <f ca="1">IF(Flag_Send_Data=1,_xll.DBSW(Val!M399,Val!$C$1,Val!$C$2,Val!$C$3,Val!$C$4,Val!$D399,Val!$C$5,Val!$C$6,Val!$B399,Val!$E399,Val!M$10,Val!$C$7,Val!$C399),"")</f>
        <v>487833.33333333331</v>
      </c>
      <c r="N399" s="2">
        <f ca="1">IF(Flag_Send_Data=1,_xll.DBSW(Val!N399,Val!$C$1,Val!$C$2,Val!$C$3,Val!$C$4,Val!$D399,Val!$C$5,Val!$C$6,Val!$B399,Val!$E399,Val!N$10,Val!$C$7,Val!$C399),"")</f>
        <v>487833.33333333331</v>
      </c>
      <c r="O399" s="2">
        <f ca="1">IF(Flag_Send_Data=1,_xll.DBSW(Val!O399,Val!$C$1,Val!$C$2,Val!$C$3,Val!$C$4,Val!$D399,Val!$C$5,Val!$C$6,Val!$B399,Val!$E399,Val!O$10,Val!$C$7,Val!$C399),"")</f>
        <v>487833.33333333331</v>
      </c>
      <c r="P399" s="2">
        <f ca="1">IF(Flag_Send_Data=1,_xll.DBSW(Val!P399,Val!$C$1,Val!$C$2,Val!$C$3,Val!$C$4,Val!$D399,Val!$C$5,Val!$C$6,Val!$B399,Val!$E399,Val!P$10,Val!$C$7,Val!$C399),"")</f>
        <v>487833.33333333331</v>
      </c>
      <c r="Q399" s="2">
        <f ca="1">IF(Flag_Send_Data=1,_xll.DBSW(Val!Q399,Val!$C$1,Val!$C$2,Val!$C$3,Val!$C$4,Val!$D399,Val!$C$5,Val!$C$6,Val!$B399,Val!$E399,Val!Q$10,Val!$C$7,Val!$C399),"")</f>
        <v>487833.33333333331</v>
      </c>
    </row>
    <row r="400" spans="2:17" x14ac:dyDescent="0.25">
      <c r="B400" t="s">
        <v>292</v>
      </c>
      <c r="C400" t="s">
        <v>96</v>
      </c>
      <c r="D400" t="s">
        <v>199</v>
      </c>
      <c r="E400" t="s">
        <v>97</v>
      </c>
      <c r="F400" s="2">
        <f ca="1">IF(Flag_Send_Data=1,_xll.DBSW(Val!F400,Val!$C$1,Val!$C$2,Val!$C$3,Val!$C$4,Val!$D400,Val!$C$5,Val!$C$6,Val!$B400,Val!$E400,Val!F$10,Val!$C$7,Val!$C400),"")</f>
        <v>11083.333333333334</v>
      </c>
      <c r="G400" s="2">
        <f ca="1">IF(Flag_Send_Data=1,_xll.DBSW(Val!G400,Val!$C$1,Val!$C$2,Val!$C$3,Val!$C$4,Val!$D400,Val!$C$5,Val!$C$6,Val!$B400,Val!$E400,Val!G$10,Val!$C$7,Val!$C400),"")</f>
        <v>11083.333333333334</v>
      </c>
      <c r="H400" s="2">
        <f ca="1">IF(Flag_Send_Data=1,_xll.DBSW(Val!H400,Val!$C$1,Val!$C$2,Val!$C$3,Val!$C$4,Val!$D400,Val!$C$5,Val!$C$6,Val!$B400,Val!$E400,Val!H$10,Val!$C$7,Val!$C400),"")</f>
        <v>11083.333333333334</v>
      </c>
      <c r="I400" s="2">
        <f ca="1">IF(Flag_Send_Data=1,_xll.DBSW(Val!I400,Val!$C$1,Val!$C$2,Val!$C$3,Val!$C$4,Val!$D400,Val!$C$5,Val!$C$6,Val!$B400,Val!$E400,Val!I$10,Val!$C$7,Val!$C400),"")</f>
        <v>11083.333333333334</v>
      </c>
      <c r="J400" s="2">
        <f ca="1">IF(Flag_Send_Data=1,_xll.DBSW(Val!J400,Val!$C$1,Val!$C$2,Val!$C$3,Val!$C$4,Val!$D400,Val!$C$5,Val!$C$6,Val!$B400,Val!$E400,Val!J$10,Val!$C$7,Val!$C400),"")</f>
        <v>11083.333333333334</v>
      </c>
      <c r="K400" s="2">
        <f ca="1">IF(Flag_Send_Data=1,_xll.DBSW(Val!K400,Val!$C$1,Val!$C$2,Val!$C$3,Val!$C$4,Val!$D400,Val!$C$5,Val!$C$6,Val!$B400,Val!$E400,Val!K$10,Val!$C$7,Val!$C400),"")</f>
        <v>11083.333333333334</v>
      </c>
      <c r="L400" s="2">
        <f ca="1">IF(Flag_Send_Data=1,_xll.DBSW(Val!L400,Val!$C$1,Val!$C$2,Val!$C$3,Val!$C$4,Val!$D400,Val!$C$5,Val!$C$6,Val!$B400,Val!$E400,Val!L$10,Val!$C$7,Val!$C400),"")</f>
        <v>11083.333333333334</v>
      </c>
      <c r="M400" s="2">
        <f ca="1">IF(Flag_Send_Data=1,_xll.DBSW(Val!M400,Val!$C$1,Val!$C$2,Val!$C$3,Val!$C$4,Val!$D400,Val!$C$5,Val!$C$6,Val!$B400,Val!$E400,Val!M$10,Val!$C$7,Val!$C400),"")</f>
        <v>11083.333333333334</v>
      </c>
      <c r="N400" s="2">
        <f ca="1">IF(Flag_Send_Data=1,_xll.DBSW(Val!N400,Val!$C$1,Val!$C$2,Val!$C$3,Val!$C$4,Val!$D400,Val!$C$5,Val!$C$6,Val!$B400,Val!$E400,Val!N$10,Val!$C$7,Val!$C400),"")</f>
        <v>11083.333333333334</v>
      </c>
      <c r="O400" s="2">
        <f ca="1">IF(Flag_Send_Data=1,_xll.DBSW(Val!O400,Val!$C$1,Val!$C$2,Val!$C$3,Val!$C$4,Val!$D400,Val!$C$5,Val!$C$6,Val!$B400,Val!$E400,Val!O$10,Val!$C$7,Val!$C400),"")</f>
        <v>11083.333333333334</v>
      </c>
      <c r="P400" s="2">
        <f ca="1">IF(Flag_Send_Data=1,_xll.DBSW(Val!P400,Val!$C$1,Val!$C$2,Val!$C$3,Val!$C$4,Val!$D400,Val!$C$5,Val!$C$6,Val!$B400,Val!$E400,Val!P$10,Val!$C$7,Val!$C400),"")</f>
        <v>11083.333333333334</v>
      </c>
      <c r="Q400" s="2">
        <f ca="1">IF(Flag_Send_Data=1,_xll.DBSW(Val!Q400,Val!$C$1,Val!$C$2,Val!$C$3,Val!$C$4,Val!$D400,Val!$C$5,Val!$C$6,Val!$B400,Val!$E400,Val!Q$10,Val!$C$7,Val!$C400),"")</f>
        <v>11083.333333333334</v>
      </c>
    </row>
    <row r="401" spans="2:17" x14ac:dyDescent="0.25">
      <c r="B401" t="s">
        <v>292</v>
      </c>
      <c r="C401" t="s">
        <v>96</v>
      </c>
      <c r="D401" t="s">
        <v>199</v>
      </c>
      <c r="E401" t="s">
        <v>15</v>
      </c>
      <c r="F401" s="2">
        <f ca="1">IF(Flag_Send_Data=1,_xll.DBSW(Val!F401,Val!$C$1,Val!$C$2,Val!$C$3,Val!$C$4,Val!$D401,Val!$C$5,Val!$C$6,Val!$B401,Val!$E401,Val!F$10,Val!$C$7,Val!$C401),"")</f>
        <v>406916.66666666669</v>
      </c>
      <c r="G401" s="2">
        <f ca="1">IF(Flag_Send_Data=1,_xll.DBSW(Val!G401,Val!$C$1,Val!$C$2,Val!$C$3,Val!$C$4,Val!$D401,Val!$C$5,Val!$C$6,Val!$B401,Val!$E401,Val!G$10,Val!$C$7,Val!$C401),"")</f>
        <v>406916.66666666669</v>
      </c>
      <c r="H401" s="2">
        <f ca="1">IF(Flag_Send_Data=1,_xll.DBSW(Val!H401,Val!$C$1,Val!$C$2,Val!$C$3,Val!$C$4,Val!$D401,Val!$C$5,Val!$C$6,Val!$B401,Val!$E401,Val!H$10,Val!$C$7,Val!$C401),"")</f>
        <v>406916.66666666669</v>
      </c>
      <c r="I401" s="2">
        <f ca="1">IF(Flag_Send_Data=1,_xll.DBSW(Val!I401,Val!$C$1,Val!$C$2,Val!$C$3,Val!$C$4,Val!$D401,Val!$C$5,Val!$C$6,Val!$B401,Val!$E401,Val!I$10,Val!$C$7,Val!$C401),"")</f>
        <v>406916.66666666669</v>
      </c>
      <c r="J401" s="2">
        <f ca="1">IF(Flag_Send_Data=1,_xll.DBSW(Val!J401,Val!$C$1,Val!$C$2,Val!$C$3,Val!$C$4,Val!$D401,Val!$C$5,Val!$C$6,Val!$B401,Val!$E401,Val!J$10,Val!$C$7,Val!$C401),"")</f>
        <v>406916.66666666669</v>
      </c>
      <c r="K401" s="2">
        <f ca="1">IF(Flag_Send_Data=1,_xll.DBSW(Val!K401,Val!$C$1,Val!$C$2,Val!$C$3,Val!$C$4,Val!$D401,Val!$C$5,Val!$C$6,Val!$B401,Val!$E401,Val!K$10,Val!$C$7,Val!$C401),"")</f>
        <v>406916.66666666669</v>
      </c>
      <c r="L401" s="2">
        <f ca="1">IF(Flag_Send_Data=1,_xll.DBSW(Val!L401,Val!$C$1,Val!$C$2,Val!$C$3,Val!$C$4,Val!$D401,Val!$C$5,Val!$C$6,Val!$B401,Val!$E401,Val!L$10,Val!$C$7,Val!$C401),"")</f>
        <v>406916.66666666669</v>
      </c>
      <c r="M401" s="2">
        <f ca="1">IF(Flag_Send_Data=1,_xll.DBSW(Val!M401,Val!$C$1,Val!$C$2,Val!$C$3,Val!$C$4,Val!$D401,Val!$C$5,Val!$C$6,Val!$B401,Val!$E401,Val!M$10,Val!$C$7,Val!$C401),"")</f>
        <v>406916.66666666669</v>
      </c>
      <c r="N401" s="2">
        <f ca="1">IF(Flag_Send_Data=1,_xll.DBSW(Val!N401,Val!$C$1,Val!$C$2,Val!$C$3,Val!$C$4,Val!$D401,Val!$C$5,Val!$C$6,Val!$B401,Val!$E401,Val!N$10,Val!$C$7,Val!$C401),"")</f>
        <v>406916.66666666669</v>
      </c>
      <c r="O401" s="2">
        <f ca="1">IF(Flag_Send_Data=1,_xll.DBSW(Val!O401,Val!$C$1,Val!$C$2,Val!$C$3,Val!$C$4,Val!$D401,Val!$C$5,Val!$C$6,Val!$B401,Val!$E401,Val!O$10,Val!$C$7,Val!$C401),"")</f>
        <v>406916.66666666669</v>
      </c>
      <c r="P401" s="2">
        <f ca="1">IF(Flag_Send_Data=1,_xll.DBSW(Val!P401,Val!$C$1,Val!$C$2,Val!$C$3,Val!$C$4,Val!$D401,Val!$C$5,Val!$C$6,Val!$B401,Val!$E401,Val!P$10,Val!$C$7,Val!$C401),"")</f>
        <v>406916.66666666669</v>
      </c>
      <c r="Q401" s="2">
        <f ca="1">IF(Flag_Send_Data=1,_xll.DBSW(Val!Q401,Val!$C$1,Val!$C$2,Val!$C$3,Val!$C$4,Val!$D401,Val!$C$5,Val!$C$6,Val!$B401,Val!$E401,Val!Q$10,Val!$C$7,Val!$C401),"")</f>
        <v>406916.66666666669</v>
      </c>
    </row>
    <row r="402" spans="2:17" x14ac:dyDescent="0.25">
      <c r="B402" t="s">
        <v>292</v>
      </c>
      <c r="C402" t="s">
        <v>96</v>
      </c>
      <c r="D402" t="s">
        <v>199</v>
      </c>
      <c r="E402" t="s">
        <v>71</v>
      </c>
      <c r="F402" s="2">
        <f ca="1">IF(Flag_Send_Data=1,_xll.DBSW(Val!F402,Val!$C$1,Val!$C$2,Val!$C$3,Val!$C$4,Val!$D402,Val!$C$5,Val!$C$6,Val!$B402,Val!$E402,Val!F$10,Val!$C$7,Val!$C402),"")</f>
        <v>5666.666666666667</v>
      </c>
      <c r="G402" s="2">
        <f ca="1">IF(Flag_Send_Data=1,_xll.DBSW(Val!G402,Val!$C$1,Val!$C$2,Val!$C$3,Val!$C$4,Val!$D402,Val!$C$5,Val!$C$6,Val!$B402,Val!$E402,Val!G$10,Val!$C$7,Val!$C402),"")</f>
        <v>5666.666666666667</v>
      </c>
      <c r="H402" s="2">
        <f ca="1">IF(Flag_Send_Data=1,_xll.DBSW(Val!H402,Val!$C$1,Val!$C$2,Val!$C$3,Val!$C$4,Val!$D402,Val!$C$5,Val!$C$6,Val!$B402,Val!$E402,Val!H$10,Val!$C$7,Val!$C402),"")</f>
        <v>5666.666666666667</v>
      </c>
      <c r="I402" s="2">
        <f ca="1">IF(Flag_Send_Data=1,_xll.DBSW(Val!I402,Val!$C$1,Val!$C$2,Val!$C$3,Val!$C$4,Val!$D402,Val!$C$5,Val!$C$6,Val!$B402,Val!$E402,Val!I$10,Val!$C$7,Val!$C402),"")</f>
        <v>5666.666666666667</v>
      </c>
      <c r="J402" s="2">
        <f ca="1">IF(Flag_Send_Data=1,_xll.DBSW(Val!J402,Val!$C$1,Val!$C$2,Val!$C$3,Val!$C$4,Val!$D402,Val!$C$5,Val!$C$6,Val!$B402,Val!$E402,Val!J$10,Val!$C$7,Val!$C402),"")</f>
        <v>5666.666666666667</v>
      </c>
      <c r="K402" s="2">
        <f ca="1">IF(Flag_Send_Data=1,_xll.DBSW(Val!K402,Val!$C$1,Val!$C$2,Val!$C$3,Val!$C$4,Val!$D402,Val!$C$5,Val!$C$6,Val!$B402,Val!$E402,Val!K$10,Val!$C$7,Val!$C402),"")</f>
        <v>5666.666666666667</v>
      </c>
      <c r="L402" s="2">
        <f ca="1">IF(Flag_Send_Data=1,_xll.DBSW(Val!L402,Val!$C$1,Val!$C$2,Val!$C$3,Val!$C$4,Val!$D402,Val!$C$5,Val!$C$6,Val!$B402,Val!$E402,Val!L$10,Val!$C$7,Val!$C402),"")</f>
        <v>5666.666666666667</v>
      </c>
      <c r="M402" s="2">
        <f ca="1">IF(Flag_Send_Data=1,_xll.DBSW(Val!M402,Val!$C$1,Val!$C$2,Val!$C$3,Val!$C$4,Val!$D402,Val!$C$5,Val!$C$6,Val!$B402,Val!$E402,Val!M$10,Val!$C$7,Val!$C402),"")</f>
        <v>5666.666666666667</v>
      </c>
      <c r="N402" s="2">
        <f ca="1">IF(Flag_Send_Data=1,_xll.DBSW(Val!N402,Val!$C$1,Val!$C$2,Val!$C$3,Val!$C$4,Val!$D402,Val!$C$5,Val!$C$6,Val!$B402,Val!$E402,Val!N$10,Val!$C$7,Val!$C402),"")</f>
        <v>5666.666666666667</v>
      </c>
      <c r="O402" s="2">
        <f ca="1">IF(Flag_Send_Data=1,_xll.DBSW(Val!O402,Val!$C$1,Val!$C$2,Val!$C$3,Val!$C$4,Val!$D402,Val!$C$5,Val!$C$6,Val!$B402,Val!$E402,Val!O$10,Val!$C$7,Val!$C402),"")</f>
        <v>5666.666666666667</v>
      </c>
      <c r="P402" s="2">
        <f ca="1">IF(Flag_Send_Data=1,_xll.DBSW(Val!P402,Val!$C$1,Val!$C$2,Val!$C$3,Val!$C$4,Val!$D402,Val!$C$5,Val!$C$6,Val!$B402,Val!$E402,Val!P$10,Val!$C$7,Val!$C402),"")</f>
        <v>5666.666666666667</v>
      </c>
      <c r="Q402" s="2">
        <f ca="1">IF(Flag_Send_Data=1,_xll.DBSW(Val!Q402,Val!$C$1,Val!$C$2,Val!$C$3,Val!$C$4,Val!$D402,Val!$C$5,Val!$C$6,Val!$B402,Val!$E402,Val!Q$10,Val!$C$7,Val!$C402),"")</f>
        <v>5666.666666666667</v>
      </c>
    </row>
    <row r="403" spans="2:17" x14ac:dyDescent="0.25">
      <c r="B403" t="s">
        <v>293</v>
      </c>
      <c r="C403" t="s">
        <v>40</v>
      </c>
      <c r="D403" t="s">
        <v>199</v>
      </c>
      <c r="E403" t="s">
        <v>128</v>
      </c>
      <c r="F403" s="2">
        <f ca="1">IF(Flag_Send_Data=1,_xll.DBSW(Val!F403,Val!$C$1,Val!$C$2,Val!$C$3,Val!$C$4,Val!$D403,Val!$C$5,Val!$C$6,Val!$B403,Val!$E403,Val!F$10,Val!$C$7,Val!$C403),"")</f>
        <v>-49759.439166666671</v>
      </c>
      <c r="G403" s="2">
        <f ca="1">IF(Flag_Send_Data=1,_xll.DBSW(Val!G403,Val!$C$1,Val!$C$2,Val!$C$3,Val!$C$4,Val!$D403,Val!$C$5,Val!$C$6,Val!$B403,Val!$E403,Val!G$10,Val!$C$7,Val!$C403),"")</f>
        <v>-49759.439166666671</v>
      </c>
      <c r="H403" s="2">
        <f ca="1">IF(Flag_Send_Data=1,_xll.DBSW(Val!H403,Val!$C$1,Val!$C$2,Val!$C$3,Val!$C$4,Val!$D403,Val!$C$5,Val!$C$6,Val!$B403,Val!$E403,Val!H$10,Val!$C$7,Val!$C403),"")</f>
        <v>-49759.439166666671</v>
      </c>
      <c r="I403" s="2">
        <f ca="1">IF(Flag_Send_Data=1,_xll.DBSW(Val!I403,Val!$C$1,Val!$C$2,Val!$C$3,Val!$C$4,Val!$D403,Val!$C$5,Val!$C$6,Val!$B403,Val!$E403,Val!I$10,Val!$C$7,Val!$C403),"")</f>
        <v>-49759.439166666671</v>
      </c>
      <c r="J403" s="2">
        <f ca="1">IF(Flag_Send_Data=1,_xll.DBSW(Val!J403,Val!$C$1,Val!$C$2,Val!$C$3,Val!$C$4,Val!$D403,Val!$C$5,Val!$C$6,Val!$B403,Val!$E403,Val!J$10,Val!$C$7,Val!$C403),"")</f>
        <v>-49759.439166666671</v>
      </c>
      <c r="K403" s="2">
        <f ca="1">IF(Flag_Send_Data=1,_xll.DBSW(Val!K403,Val!$C$1,Val!$C$2,Val!$C$3,Val!$C$4,Val!$D403,Val!$C$5,Val!$C$6,Val!$B403,Val!$E403,Val!K$10,Val!$C$7,Val!$C403),"")</f>
        <v>-49759.439166666671</v>
      </c>
      <c r="L403" s="2">
        <f ca="1">IF(Flag_Send_Data=1,_xll.DBSW(Val!L403,Val!$C$1,Val!$C$2,Val!$C$3,Val!$C$4,Val!$D403,Val!$C$5,Val!$C$6,Val!$B403,Val!$E403,Val!L$10,Val!$C$7,Val!$C403),"")</f>
        <v>-49759.439166666671</v>
      </c>
      <c r="M403" s="2">
        <f ca="1">IF(Flag_Send_Data=1,_xll.DBSW(Val!M403,Val!$C$1,Val!$C$2,Val!$C$3,Val!$C$4,Val!$D403,Val!$C$5,Val!$C$6,Val!$B403,Val!$E403,Val!M$10,Val!$C$7,Val!$C403),"")</f>
        <v>-49759.439166666671</v>
      </c>
      <c r="N403" s="2">
        <f ca="1">IF(Flag_Send_Data=1,_xll.DBSW(Val!N403,Val!$C$1,Val!$C$2,Val!$C$3,Val!$C$4,Val!$D403,Val!$C$5,Val!$C$6,Val!$B403,Val!$E403,Val!N$10,Val!$C$7,Val!$C403),"")</f>
        <v>-49759.439166666671</v>
      </c>
      <c r="O403" s="2">
        <f ca="1">IF(Flag_Send_Data=1,_xll.DBSW(Val!O403,Val!$C$1,Val!$C$2,Val!$C$3,Val!$C$4,Val!$D403,Val!$C$5,Val!$C$6,Val!$B403,Val!$E403,Val!O$10,Val!$C$7,Val!$C403),"")</f>
        <v>-49759.439166666671</v>
      </c>
      <c r="P403" s="2">
        <f ca="1">IF(Flag_Send_Data=1,_xll.DBSW(Val!P403,Val!$C$1,Val!$C$2,Val!$C$3,Val!$C$4,Val!$D403,Val!$C$5,Val!$C$6,Val!$B403,Val!$E403,Val!P$10,Val!$C$7,Val!$C403),"")</f>
        <v>-49759.439166666671</v>
      </c>
      <c r="Q403" s="2">
        <f ca="1">IF(Flag_Send_Data=1,_xll.DBSW(Val!Q403,Val!$C$1,Val!$C$2,Val!$C$3,Val!$C$4,Val!$D403,Val!$C$5,Val!$C$6,Val!$B403,Val!$E403,Val!Q$10,Val!$C$7,Val!$C403),"")</f>
        <v>-49759.439166666671</v>
      </c>
    </row>
    <row r="404" spans="2:17" x14ac:dyDescent="0.25">
      <c r="B404" t="s">
        <v>293</v>
      </c>
      <c r="C404" t="s">
        <v>41</v>
      </c>
      <c r="D404" t="s">
        <v>199</v>
      </c>
      <c r="E404" t="s">
        <v>128</v>
      </c>
      <c r="F404" s="2">
        <f ca="1">IF(Flag_Send_Data=1,_xll.DBSW(Val!F404,Val!$C$1,Val!$C$2,Val!$C$3,Val!$C$4,Val!$D404,Val!$C$5,Val!$C$6,Val!$B404,Val!$E404,Val!F$10,Val!$C$7,Val!$C404),"")</f>
        <v>-2083.3333333333335</v>
      </c>
      <c r="G404" s="2">
        <f ca="1">IF(Flag_Send_Data=1,_xll.DBSW(Val!G404,Val!$C$1,Val!$C$2,Val!$C$3,Val!$C$4,Val!$D404,Val!$C$5,Val!$C$6,Val!$B404,Val!$E404,Val!G$10,Val!$C$7,Val!$C404),"")</f>
        <v>-2083.3333333333335</v>
      </c>
      <c r="H404" s="2">
        <f ca="1">IF(Flag_Send_Data=1,_xll.DBSW(Val!H404,Val!$C$1,Val!$C$2,Val!$C$3,Val!$C$4,Val!$D404,Val!$C$5,Val!$C$6,Val!$B404,Val!$E404,Val!H$10,Val!$C$7,Val!$C404),"")</f>
        <v>-2083.3333333333335</v>
      </c>
      <c r="I404" s="2">
        <f ca="1">IF(Flag_Send_Data=1,_xll.DBSW(Val!I404,Val!$C$1,Val!$C$2,Val!$C$3,Val!$C$4,Val!$D404,Val!$C$5,Val!$C$6,Val!$B404,Val!$E404,Val!I$10,Val!$C$7,Val!$C404),"")</f>
        <v>-2083.3333333333335</v>
      </c>
      <c r="J404" s="2">
        <f ca="1">IF(Flag_Send_Data=1,_xll.DBSW(Val!J404,Val!$C$1,Val!$C$2,Val!$C$3,Val!$C$4,Val!$D404,Val!$C$5,Val!$C$6,Val!$B404,Val!$E404,Val!J$10,Val!$C$7,Val!$C404),"")</f>
        <v>-2083.3333333333335</v>
      </c>
      <c r="K404" s="2">
        <f ca="1">IF(Flag_Send_Data=1,_xll.DBSW(Val!K404,Val!$C$1,Val!$C$2,Val!$C$3,Val!$C$4,Val!$D404,Val!$C$5,Val!$C$6,Val!$B404,Val!$E404,Val!K$10,Val!$C$7,Val!$C404),"")</f>
        <v>-2083.3333333333335</v>
      </c>
      <c r="L404" s="2">
        <f ca="1">IF(Flag_Send_Data=1,_xll.DBSW(Val!L404,Val!$C$1,Val!$C$2,Val!$C$3,Val!$C$4,Val!$D404,Val!$C$5,Val!$C$6,Val!$B404,Val!$E404,Val!L$10,Val!$C$7,Val!$C404),"")</f>
        <v>-2083.3333333333335</v>
      </c>
      <c r="M404" s="2">
        <f ca="1">IF(Flag_Send_Data=1,_xll.DBSW(Val!M404,Val!$C$1,Val!$C$2,Val!$C$3,Val!$C$4,Val!$D404,Val!$C$5,Val!$C$6,Val!$B404,Val!$E404,Val!M$10,Val!$C$7,Val!$C404),"")</f>
        <v>-2083.3333333333335</v>
      </c>
      <c r="N404" s="2">
        <f ca="1">IF(Flag_Send_Data=1,_xll.DBSW(Val!N404,Val!$C$1,Val!$C$2,Val!$C$3,Val!$C$4,Val!$D404,Val!$C$5,Val!$C$6,Val!$B404,Val!$E404,Val!N$10,Val!$C$7,Val!$C404),"")</f>
        <v>-2083.3333333333335</v>
      </c>
      <c r="O404" s="2">
        <f ca="1">IF(Flag_Send_Data=1,_xll.DBSW(Val!O404,Val!$C$1,Val!$C$2,Val!$C$3,Val!$C$4,Val!$D404,Val!$C$5,Val!$C$6,Val!$B404,Val!$E404,Val!O$10,Val!$C$7,Val!$C404),"")</f>
        <v>-2083.3333333333335</v>
      </c>
      <c r="P404" s="2">
        <f ca="1">IF(Flag_Send_Data=1,_xll.DBSW(Val!P404,Val!$C$1,Val!$C$2,Val!$C$3,Val!$C$4,Val!$D404,Val!$C$5,Val!$C$6,Val!$B404,Val!$E404,Val!P$10,Val!$C$7,Val!$C404),"")</f>
        <v>-2083.3333333333335</v>
      </c>
      <c r="Q404" s="2">
        <f ca="1">IF(Flag_Send_Data=1,_xll.DBSW(Val!Q404,Val!$C$1,Val!$C$2,Val!$C$3,Val!$C$4,Val!$D404,Val!$C$5,Val!$C$6,Val!$B404,Val!$E404,Val!Q$10,Val!$C$7,Val!$C404),"")</f>
        <v>-2083.3333333333335</v>
      </c>
    </row>
    <row r="405" spans="2:17" x14ac:dyDescent="0.25">
      <c r="B405" t="s">
        <v>293</v>
      </c>
      <c r="C405" t="s">
        <v>42</v>
      </c>
      <c r="D405" t="s">
        <v>215</v>
      </c>
      <c r="E405" t="s">
        <v>128</v>
      </c>
      <c r="F405" s="2">
        <f ca="1">IF(Flag_Send_Data=1,_xll.DBSW(Val!F405,Val!$C$1,Val!$C$2,Val!$C$3,Val!$C$4,Val!$D405,Val!$C$5,Val!$C$6,Val!$B405,Val!$E405,Val!F$10,Val!$C$7,Val!$C405),"")</f>
        <v>-3750</v>
      </c>
      <c r="G405" s="2">
        <f ca="1">IF(Flag_Send_Data=1,_xll.DBSW(Val!G405,Val!$C$1,Val!$C$2,Val!$C$3,Val!$C$4,Val!$D405,Val!$C$5,Val!$C$6,Val!$B405,Val!$E405,Val!G$10,Val!$C$7,Val!$C405),"")</f>
        <v>-3750</v>
      </c>
      <c r="H405" s="2">
        <f ca="1">IF(Flag_Send_Data=1,_xll.DBSW(Val!H405,Val!$C$1,Val!$C$2,Val!$C$3,Val!$C$4,Val!$D405,Val!$C$5,Val!$C$6,Val!$B405,Val!$E405,Val!H$10,Val!$C$7,Val!$C405),"")</f>
        <v>-3750</v>
      </c>
      <c r="I405" s="2">
        <f ca="1">IF(Flag_Send_Data=1,_xll.DBSW(Val!I405,Val!$C$1,Val!$C$2,Val!$C$3,Val!$C$4,Val!$D405,Val!$C$5,Val!$C$6,Val!$B405,Val!$E405,Val!I$10,Val!$C$7,Val!$C405),"")</f>
        <v>-3750</v>
      </c>
      <c r="J405" s="2">
        <f ca="1">IF(Flag_Send_Data=1,_xll.DBSW(Val!J405,Val!$C$1,Val!$C$2,Val!$C$3,Val!$C$4,Val!$D405,Val!$C$5,Val!$C$6,Val!$B405,Val!$E405,Val!J$10,Val!$C$7,Val!$C405),"")</f>
        <v>-3750</v>
      </c>
      <c r="K405" s="2">
        <f ca="1">IF(Flag_Send_Data=1,_xll.DBSW(Val!K405,Val!$C$1,Val!$C$2,Val!$C$3,Val!$C$4,Val!$D405,Val!$C$5,Val!$C$6,Val!$B405,Val!$E405,Val!K$10,Val!$C$7,Val!$C405),"")</f>
        <v>-3750</v>
      </c>
      <c r="L405" s="2">
        <f ca="1">IF(Flag_Send_Data=1,_xll.DBSW(Val!L405,Val!$C$1,Val!$C$2,Val!$C$3,Val!$C$4,Val!$D405,Val!$C$5,Val!$C$6,Val!$B405,Val!$E405,Val!L$10,Val!$C$7,Val!$C405),"")</f>
        <v>-3750</v>
      </c>
      <c r="M405" s="2">
        <f ca="1">IF(Flag_Send_Data=1,_xll.DBSW(Val!M405,Val!$C$1,Val!$C$2,Val!$C$3,Val!$C$4,Val!$D405,Val!$C$5,Val!$C$6,Val!$B405,Val!$E405,Val!M$10,Val!$C$7,Val!$C405),"")</f>
        <v>-3750</v>
      </c>
      <c r="N405" s="2">
        <f ca="1">IF(Flag_Send_Data=1,_xll.DBSW(Val!N405,Val!$C$1,Val!$C$2,Val!$C$3,Val!$C$4,Val!$D405,Val!$C$5,Val!$C$6,Val!$B405,Val!$E405,Val!N$10,Val!$C$7,Val!$C405),"")</f>
        <v>-3750</v>
      </c>
      <c r="O405" s="2">
        <f ca="1">IF(Flag_Send_Data=1,_xll.DBSW(Val!O405,Val!$C$1,Val!$C$2,Val!$C$3,Val!$C$4,Val!$D405,Val!$C$5,Val!$C$6,Val!$B405,Val!$E405,Val!O$10,Val!$C$7,Val!$C405),"")</f>
        <v>-3750</v>
      </c>
      <c r="P405" s="2">
        <f ca="1">IF(Flag_Send_Data=1,_xll.DBSW(Val!P405,Val!$C$1,Val!$C$2,Val!$C$3,Val!$C$4,Val!$D405,Val!$C$5,Val!$C$6,Val!$B405,Val!$E405,Val!P$10,Val!$C$7,Val!$C405),"")</f>
        <v>-3750</v>
      </c>
      <c r="Q405" s="2">
        <f ca="1">IF(Flag_Send_Data=1,_xll.DBSW(Val!Q405,Val!$C$1,Val!$C$2,Val!$C$3,Val!$C$4,Val!$D405,Val!$C$5,Val!$C$6,Val!$B405,Val!$E405,Val!Q$10,Val!$C$7,Val!$C405),"")</f>
        <v>-3750</v>
      </c>
    </row>
    <row r="406" spans="2:17" x14ac:dyDescent="0.25">
      <c r="B406" t="s">
        <v>293</v>
      </c>
      <c r="C406" t="s">
        <v>42</v>
      </c>
      <c r="D406" t="s">
        <v>216</v>
      </c>
      <c r="E406" t="s">
        <v>128</v>
      </c>
      <c r="F406" s="2">
        <f ca="1">IF(Flag_Send_Data=1,_xll.DBSW(Val!F406,Val!$C$1,Val!$C$2,Val!$C$3,Val!$C$4,Val!$D406,Val!$C$5,Val!$C$6,Val!$B406,Val!$E406,Val!F$10,Val!$C$7,Val!$C406),"")</f>
        <v>-16666.666666666668</v>
      </c>
      <c r="G406" s="2">
        <f ca="1">IF(Flag_Send_Data=1,_xll.DBSW(Val!G406,Val!$C$1,Val!$C$2,Val!$C$3,Val!$C$4,Val!$D406,Val!$C$5,Val!$C$6,Val!$B406,Val!$E406,Val!G$10,Val!$C$7,Val!$C406),"")</f>
        <v>-16666.666666666668</v>
      </c>
      <c r="H406" s="2">
        <f ca="1">IF(Flag_Send_Data=1,_xll.DBSW(Val!H406,Val!$C$1,Val!$C$2,Val!$C$3,Val!$C$4,Val!$D406,Val!$C$5,Val!$C$6,Val!$B406,Val!$E406,Val!H$10,Val!$C$7,Val!$C406),"")</f>
        <v>-16666.666666666668</v>
      </c>
      <c r="I406" s="2">
        <f ca="1">IF(Flag_Send_Data=1,_xll.DBSW(Val!I406,Val!$C$1,Val!$C$2,Val!$C$3,Val!$C$4,Val!$D406,Val!$C$5,Val!$C$6,Val!$B406,Val!$E406,Val!I$10,Val!$C$7,Val!$C406),"")</f>
        <v>-16666.666666666668</v>
      </c>
      <c r="J406" s="2">
        <f ca="1">IF(Flag_Send_Data=1,_xll.DBSW(Val!J406,Val!$C$1,Val!$C$2,Val!$C$3,Val!$C$4,Val!$D406,Val!$C$5,Val!$C$6,Val!$B406,Val!$E406,Val!J$10,Val!$C$7,Val!$C406),"")</f>
        <v>-16666.666666666668</v>
      </c>
      <c r="K406" s="2">
        <f ca="1">IF(Flag_Send_Data=1,_xll.DBSW(Val!K406,Val!$C$1,Val!$C$2,Val!$C$3,Val!$C$4,Val!$D406,Val!$C$5,Val!$C$6,Val!$B406,Val!$E406,Val!K$10,Val!$C$7,Val!$C406),"")</f>
        <v>-16666.666666666668</v>
      </c>
      <c r="L406" s="2">
        <f ca="1">IF(Flag_Send_Data=1,_xll.DBSW(Val!L406,Val!$C$1,Val!$C$2,Val!$C$3,Val!$C$4,Val!$D406,Val!$C$5,Val!$C$6,Val!$B406,Val!$E406,Val!L$10,Val!$C$7,Val!$C406),"")</f>
        <v>-16666.666666666668</v>
      </c>
      <c r="M406" s="2">
        <f ca="1">IF(Flag_Send_Data=1,_xll.DBSW(Val!M406,Val!$C$1,Val!$C$2,Val!$C$3,Val!$C$4,Val!$D406,Val!$C$5,Val!$C$6,Val!$B406,Val!$E406,Val!M$10,Val!$C$7,Val!$C406),"")</f>
        <v>-16666.666666666668</v>
      </c>
      <c r="N406" s="2">
        <f ca="1">IF(Flag_Send_Data=1,_xll.DBSW(Val!N406,Val!$C$1,Val!$C$2,Val!$C$3,Val!$C$4,Val!$D406,Val!$C$5,Val!$C$6,Val!$B406,Val!$E406,Val!N$10,Val!$C$7,Val!$C406),"")</f>
        <v>-16666.666666666668</v>
      </c>
      <c r="O406" s="2">
        <f ca="1">IF(Flag_Send_Data=1,_xll.DBSW(Val!O406,Val!$C$1,Val!$C$2,Val!$C$3,Val!$C$4,Val!$D406,Val!$C$5,Val!$C$6,Val!$B406,Val!$E406,Val!O$10,Val!$C$7,Val!$C406),"")</f>
        <v>-16666.666666666668</v>
      </c>
      <c r="P406" s="2">
        <f ca="1">IF(Flag_Send_Data=1,_xll.DBSW(Val!P406,Val!$C$1,Val!$C$2,Val!$C$3,Val!$C$4,Val!$D406,Val!$C$5,Val!$C$6,Val!$B406,Val!$E406,Val!P$10,Val!$C$7,Val!$C406),"")</f>
        <v>-16666.666666666668</v>
      </c>
      <c r="Q406" s="2">
        <f ca="1">IF(Flag_Send_Data=1,_xll.DBSW(Val!Q406,Val!$C$1,Val!$C$2,Val!$C$3,Val!$C$4,Val!$D406,Val!$C$5,Val!$C$6,Val!$B406,Val!$E406,Val!Q$10,Val!$C$7,Val!$C406),"")</f>
        <v>-16666.666666666668</v>
      </c>
    </row>
    <row r="407" spans="2:17" x14ac:dyDescent="0.25">
      <c r="B407" t="s">
        <v>293</v>
      </c>
      <c r="C407" t="s">
        <v>42</v>
      </c>
      <c r="D407" t="s">
        <v>199</v>
      </c>
      <c r="E407" t="s">
        <v>128</v>
      </c>
      <c r="F407" s="2">
        <f ca="1">IF(Flag_Send_Data=1,_xll.DBSW(Val!F407,Val!$C$1,Val!$C$2,Val!$C$3,Val!$C$4,Val!$D407,Val!$C$5,Val!$C$6,Val!$B407,Val!$E407,Val!F$10,Val!$C$7,Val!$C407),"")</f>
        <v>-5666.666666666667</v>
      </c>
      <c r="G407" s="2">
        <f ca="1">IF(Flag_Send_Data=1,_xll.DBSW(Val!G407,Val!$C$1,Val!$C$2,Val!$C$3,Val!$C$4,Val!$D407,Val!$C$5,Val!$C$6,Val!$B407,Val!$E407,Val!G$10,Val!$C$7,Val!$C407),"")</f>
        <v>-5666.666666666667</v>
      </c>
      <c r="H407" s="2">
        <f ca="1">IF(Flag_Send_Data=1,_xll.DBSW(Val!H407,Val!$C$1,Val!$C$2,Val!$C$3,Val!$C$4,Val!$D407,Val!$C$5,Val!$C$6,Val!$B407,Val!$E407,Val!H$10,Val!$C$7,Val!$C407),"")</f>
        <v>-5666.666666666667</v>
      </c>
      <c r="I407" s="2">
        <f ca="1">IF(Flag_Send_Data=1,_xll.DBSW(Val!I407,Val!$C$1,Val!$C$2,Val!$C$3,Val!$C$4,Val!$D407,Val!$C$5,Val!$C$6,Val!$B407,Val!$E407,Val!I$10,Val!$C$7,Val!$C407),"")</f>
        <v>-5666.666666666667</v>
      </c>
      <c r="J407" s="2">
        <f ca="1">IF(Flag_Send_Data=1,_xll.DBSW(Val!J407,Val!$C$1,Val!$C$2,Val!$C$3,Val!$C$4,Val!$D407,Val!$C$5,Val!$C$6,Val!$B407,Val!$E407,Val!J$10,Val!$C$7,Val!$C407),"")</f>
        <v>-5666.666666666667</v>
      </c>
      <c r="K407" s="2">
        <f ca="1">IF(Flag_Send_Data=1,_xll.DBSW(Val!K407,Val!$C$1,Val!$C$2,Val!$C$3,Val!$C$4,Val!$D407,Val!$C$5,Val!$C$6,Val!$B407,Val!$E407,Val!K$10,Val!$C$7,Val!$C407),"")</f>
        <v>-5666.666666666667</v>
      </c>
      <c r="L407" s="2">
        <f ca="1">IF(Flag_Send_Data=1,_xll.DBSW(Val!L407,Val!$C$1,Val!$C$2,Val!$C$3,Val!$C$4,Val!$D407,Val!$C$5,Val!$C$6,Val!$B407,Val!$E407,Val!L$10,Val!$C$7,Val!$C407),"")</f>
        <v>-5666.666666666667</v>
      </c>
      <c r="M407" s="2">
        <f ca="1">IF(Flag_Send_Data=1,_xll.DBSW(Val!M407,Val!$C$1,Val!$C$2,Val!$C$3,Val!$C$4,Val!$D407,Val!$C$5,Val!$C$6,Val!$B407,Val!$E407,Val!M$10,Val!$C$7,Val!$C407),"")</f>
        <v>-5666.666666666667</v>
      </c>
      <c r="N407" s="2">
        <f ca="1">IF(Flag_Send_Data=1,_xll.DBSW(Val!N407,Val!$C$1,Val!$C$2,Val!$C$3,Val!$C$4,Val!$D407,Val!$C$5,Val!$C$6,Val!$B407,Val!$E407,Val!N$10,Val!$C$7,Val!$C407),"")</f>
        <v>-5666.666666666667</v>
      </c>
      <c r="O407" s="2">
        <f ca="1">IF(Flag_Send_Data=1,_xll.DBSW(Val!O407,Val!$C$1,Val!$C$2,Val!$C$3,Val!$C$4,Val!$D407,Val!$C$5,Val!$C$6,Val!$B407,Val!$E407,Val!O$10,Val!$C$7,Val!$C407),"")</f>
        <v>-5666.666666666667</v>
      </c>
      <c r="P407" s="2">
        <f ca="1">IF(Flag_Send_Data=1,_xll.DBSW(Val!P407,Val!$C$1,Val!$C$2,Val!$C$3,Val!$C$4,Val!$D407,Val!$C$5,Val!$C$6,Val!$B407,Val!$E407,Val!P$10,Val!$C$7,Val!$C407),"")</f>
        <v>-5666.666666666667</v>
      </c>
      <c r="Q407" s="2">
        <f ca="1">IF(Flag_Send_Data=1,_xll.DBSW(Val!Q407,Val!$C$1,Val!$C$2,Val!$C$3,Val!$C$4,Val!$D407,Val!$C$5,Val!$C$6,Val!$B407,Val!$E407,Val!Q$10,Val!$C$7,Val!$C407),"")</f>
        <v>-5666.666666666667</v>
      </c>
    </row>
    <row r="408" spans="2:17" x14ac:dyDescent="0.25">
      <c r="B408" t="s">
        <v>293</v>
      </c>
      <c r="C408" t="s">
        <v>42</v>
      </c>
      <c r="D408" t="s">
        <v>217</v>
      </c>
      <c r="E408" t="s">
        <v>128</v>
      </c>
      <c r="F408" s="2">
        <f ca="1">IF(Flag_Send_Data=1,_xll.DBSW(Val!F408,Val!$C$1,Val!$C$2,Val!$C$3,Val!$C$4,Val!$D408,Val!$C$5,Val!$C$6,Val!$B408,Val!$E408,Val!F$10,Val!$C$7,Val!$C408),"")</f>
        <v>-10416.666666666666</v>
      </c>
      <c r="G408" s="2">
        <f ca="1">IF(Flag_Send_Data=1,_xll.DBSW(Val!G408,Val!$C$1,Val!$C$2,Val!$C$3,Val!$C$4,Val!$D408,Val!$C$5,Val!$C$6,Val!$B408,Val!$E408,Val!G$10,Val!$C$7,Val!$C408),"")</f>
        <v>-10416.666666666666</v>
      </c>
      <c r="H408" s="2">
        <f ca="1">IF(Flag_Send_Data=1,_xll.DBSW(Val!H408,Val!$C$1,Val!$C$2,Val!$C$3,Val!$C$4,Val!$D408,Val!$C$5,Val!$C$6,Val!$B408,Val!$E408,Val!H$10,Val!$C$7,Val!$C408),"")</f>
        <v>-10416.666666666666</v>
      </c>
      <c r="I408" s="2">
        <f ca="1">IF(Flag_Send_Data=1,_xll.DBSW(Val!I408,Val!$C$1,Val!$C$2,Val!$C$3,Val!$C$4,Val!$D408,Val!$C$5,Val!$C$6,Val!$B408,Val!$E408,Val!I$10,Val!$C$7,Val!$C408),"")</f>
        <v>-10416.666666666666</v>
      </c>
      <c r="J408" s="2">
        <f ca="1">IF(Flag_Send_Data=1,_xll.DBSW(Val!J408,Val!$C$1,Val!$C$2,Val!$C$3,Val!$C$4,Val!$D408,Val!$C$5,Val!$C$6,Val!$B408,Val!$E408,Val!J$10,Val!$C$7,Val!$C408),"")</f>
        <v>-10416.666666666666</v>
      </c>
      <c r="K408" s="2">
        <f ca="1">IF(Flag_Send_Data=1,_xll.DBSW(Val!K408,Val!$C$1,Val!$C$2,Val!$C$3,Val!$C$4,Val!$D408,Val!$C$5,Val!$C$6,Val!$B408,Val!$E408,Val!K$10,Val!$C$7,Val!$C408),"")</f>
        <v>-10416.666666666666</v>
      </c>
      <c r="L408" s="2">
        <f ca="1">IF(Flag_Send_Data=1,_xll.DBSW(Val!L408,Val!$C$1,Val!$C$2,Val!$C$3,Val!$C$4,Val!$D408,Val!$C$5,Val!$C$6,Val!$B408,Val!$E408,Val!L$10,Val!$C$7,Val!$C408),"")</f>
        <v>-10416.666666666666</v>
      </c>
      <c r="M408" s="2">
        <f ca="1">IF(Flag_Send_Data=1,_xll.DBSW(Val!M408,Val!$C$1,Val!$C$2,Val!$C$3,Val!$C$4,Val!$D408,Val!$C$5,Val!$C$6,Val!$B408,Val!$E408,Val!M$10,Val!$C$7,Val!$C408),"")</f>
        <v>-10416.666666666666</v>
      </c>
      <c r="N408" s="2">
        <f ca="1">IF(Flag_Send_Data=1,_xll.DBSW(Val!N408,Val!$C$1,Val!$C$2,Val!$C$3,Val!$C$4,Val!$D408,Val!$C$5,Val!$C$6,Val!$B408,Val!$E408,Val!N$10,Val!$C$7,Val!$C408),"")</f>
        <v>-10416.666666666666</v>
      </c>
      <c r="O408" s="2">
        <f ca="1">IF(Flag_Send_Data=1,_xll.DBSW(Val!O408,Val!$C$1,Val!$C$2,Val!$C$3,Val!$C$4,Val!$D408,Val!$C$5,Val!$C$6,Val!$B408,Val!$E408,Val!O$10,Val!$C$7,Val!$C408),"")</f>
        <v>-10416.666666666666</v>
      </c>
      <c r="P408" s="2">
        <f ca="1">IF(Flag_Send_Data=1,_xll.DBSW(Val!P408,Val!$C$1,Val!$C$2,Val!$C$3,Val!$C$4,Val!$D408,Val!$C$5,Val!$C$6,Val!$B408,Val!$E408,Val!P$10,Val!$C$7,Val!$C408),"")</f>
        <v>-10416.666666666666</v>
      </c>
      <c r="Q408" s="2">
        <f ca="1">IF(Flag_Send_Data=1,_xll.DBSW(Val!Q408,Val!$C$1,Val!$C$2,Val!$C$3,Val!$C$4,Val!$D408,Val!$C$5,Val!$C$6,Val!$B408,Val!$E408,Val!Q$10,Val!$C$7,Val!$C408),"")</f>
        <v>-10416.666666666666</v>
      </c>
    </row>
    <row r="409" spans="2:17" x14ac:dyDescent="0.25">
      <c r="B409" t="s">
        <v>293</v>
      </c>
      <c r="C409" t="s">
        <v>42</v>
      </c>
      <c r="D409" t="s">
        <v>218</v>
      </c>
      <c r="E409" t="s">
        <v>17</v>
      </c>
      <c r="F409" s="2">
        <f ca="1">IF(Flag_Send_Data=1,_xll.DBSW(Val!F409,Val!$C$1,Val!$C$2,Val!$C$3,Val!$C$4,Val!$D409,Val!$C$5,Val!$C$6,Val!$B409,Val!$E409,Val!F$10,Val!$C$7,Val!$C409),"")</f>
        <v>-3975.5499999999997</v>
      </c>
      <c r="G409" s="2">
        <f ca="1">IF(Flag_Send_Data=1,_xll.DBSW(Val!G409,Val!$C$1,Val!$C$2,Val!$C$3,Val!$C$4,Val!$D409,Val!$C$5,Val!$C$6,Val!$B409,Val!$E409,Val!G$10,Val!$C$7,Val!$C409),"")</f>
        <v>-3975.5499999999997</v>
      </c>
      <c r="H409" s="2">
        <f ca="1">IF(Flag_Send_Data=1,_xll.DBSW(Val!H409,Val!$C$1,Val!$C$2,Val!$C$3,Val!$C$4,Val!$D409,Val!$C$5,Val!$C$6,Val!$B409,Val!$E409,Val!H$10,Val!$C$7,Val!$C409),"")</f>
        <v>-3975.5499999999997</v>
      </c>
      <c r="I409" s="2">
        <f ca="1">IF(Flag_Send_Data=1,_xll.DBSW(Val!I409,Val!$C$1,Val!$C$2,Val!$C$3,Val!$C$4,Val!$D409,Val!$C$5,Val!$C$6,Val!$B409,Val!$E409,Val!I$10,Val!$C$7,Val!$C409),"")</f>
        <v>-3975.5499999999997</v>
      </c>
      <c r="J409" s="2">
        <f ca="1">IF(Flag_Send_Data=1,_xll.DBSW(Val!J409,Val!$C$1,Val!$C$2,Val!$C$3,Val!$C$4,Val!$D409,Val!$C$5,Val!$C$6,Val!$B409,Val!$E409,Val!J$10,Val!$C$7,Val!$C409),"")</f>
        <v>-3975.5499999999997</v>
      </c>
      <c r="K409" s="2">
        <f ca="1">IF(Flag_Send_Data=1,_xll.DBSW(Val!K409,Val!$C$1,Val!$C$2,Val!$C$3,Val!$C$4,Val!$D409,Val!$C$5,Val!$C$6,Val!$B409,Val!$E409,Val!K$10,Val!$C$7,Val!$C409),"")</f>
        <v>-3975.5499999999997</v>
      </c>
      <c r="L409" s="2">
        <f ca="1">IF(Flag_Send_Data=1,_xll.DBSW(Val!L409,Val!$C$1,Val!$C$2,Val!$C$3,Val!$C$4,Val!$D409,Val!$C$5,Val!$C$6,Val!$B409,Val!$E409,Val!L$10,Val!$C$7,Val!$C409),"")</f>
        <v>-3975.5499999999997</v>
      </c>
      <c r="M409" s="2">
        <f ca="1">IF(Flag_Send_Data=1,_xll.DBSW(Val!M409,Val!$C$1,Val!$C$2,Val!$C$3,Val!$C$4,Val!$D409,Val!$C$5,Val!$C$6,Val!$B409,Val!$E409,Val!M$10,Val!$C$7,Val!$C409),"")</f>
        <v>-3975.5499999999997</v>
      </c>
      <c r="N409" s="2">
        <f ca="1">IF(Flag_Send_Data=1,_xll.DBSW(Val!N409,Val!$C$1,Val!$C$2,Val!$C$3,Val!$C$4,Val!$D409,Val!$C$5,Val!$C$6,Val!$B409,Val!$E409,Val!N$10,Val!$C$7,Val!$C409),"")</f>
        <v>-3975.5499999999997</v>
      </c>
      <c r="O409" s="2">
        <f ca="1">IF(Flag_Send_Data=1,_xll.DBSW(Val!O409,Val!$C$1,Val!$C$2,Val!$C$3,Val!$C$4,Val!$D409,Val!$C$5,Val!$C$6,Val!$B409,Val!$E409,Val!O$10,Val!$C$7,Val!$C409),"")</f>
        <v>-3975.5499999999997</v>
      </c>
      <c r="P409" s="2">
        <f ca="1">IF(Flag_Send_Data=1,_xll.DBSW(Val!P409,Val!$C$1,Val!$C$2,Val!$C$3,Val!$C$4,Val!$D409,Val!$C$5,Val!$C$6,Val!$B409,Val!$E409,Val!P$10,Val!$C$7,Val!$C409),"")</f>
        <v>-3975.5499999999997</v>
      </c>
      <c r="Q409" s="2">
        <f ca="1">IF(Flag_Send_Data=1,_xll.DBSW(Val!Q409,Val!$C$1,Val!$C$2,Val!$C$3,Val!$C$4,Val!$D409,Val!$C$5,Val!$C$6,Val!$B409,Val!$E409,Val!Q$10,Val!$C$7,Val!$C409),"")</f>
        <v>-3975.5499999999997</v>
      </c>
    </row>
    <row r="410" spans="2:17" x14ac:dyDescent="0.25">
      <c r="B410" t="s">
        <v>293</v>
      </c>
      <c r="C410" t="s">
        <v>43</v>
      </c>
      <c r="D410" t="s">
        <v>199</v>
      </c>
      <c r="E410" t="s">
        <v>128</v>
      </c>
      <c r="F410" s="2">
        <f ca="1">IF(Flag_Send_Data=1,_xll.DBSW(Val!F410,Val!$C$1,Val!$C$2,Val!$C$3,Val!$C$4,Val!$D410,Val!$C$5,Val!$C$6,Val!$B410,Val!$E410,Val!F$10,Val!$C$7,Val!$C410),"")</f>
        <v>-250</v>
      </c>
      <c r="G410" s="2">
        <f ca="1">IF(Flag_Send_Data=1,_xll.DBSW(Val!G410,Val!$C$1,Val!$C$2,Val!$C$3,Val!$C$4,Val!$D410,Val!$C$5,Val!$C$6,Val!$B410,Val!$E410,Val!G$10,Val!$C$7,Val!$C410),"")</f>
        <v>-250</v>
      </c>
      <c r="H410" s="2">
        <f ca="1">IF(Flag_Send_Data=1,_xll.DBSW(Val!H410,Val!$C$1,Val!$C$2,Val!$C$3,Val!$C$4,Val!$D410,Val!$C$5,Val!$C$6,Val!$B410,Val!$E410,Val!H$10,Val!$C$7,Val!$C410),"")</f>
        <v>-250</v>
      </c>
      <c r="I410" s="2">
        <f ca="1">IF(Flag_Send_Data=1,_xll.DBSW(Val!I410,Val!$C$1,Val!$C$2,Val!$C$3,Val!$C$4,Val!$D410,Val!$C$5,Val!$C$6,Val!$B410,Val!$E410,Val!I$10,Val!$C$7,Val!$C410),"")</f>
        <v>-250</v>
      </c>
      <c r="J410" s="2">
        <f ca="1">IF(Flag_Send_Data=1,_xll.DBSW(Val!J410,Val!$C$1,Val!$C$2,Val!$C$3,Val!$C$4,Val!$D410,Val!$C$5,Val!$C$6,Val!$B410,Val!$E410,Val!J$10,Val!$C$7,Val!$C410),"")</f>
        <v>-250</v>
      </c>
      <c r="K410" s="2">
        <f ca="1">IF(Flag_Send_Data=1,_xll.DBSW(Val!K410,Val!$C$1,Val!$C$2,Val!$C$3,Val!$C$4,Val!$D410,Val!$C$5,Val!$C$6,Val!$B410,Val!$E410,Val!K$10,Val!$C$7,Val!$C410),"")</f>
        <v>-250</v>
      </c>
      <c r="L410" s="2">
        <f ca="1">IF(Flag_Send_Data=1,_xll.DBSW(Val!L410,Val!$C$1,Val!$C$2,Val!$C$3,Val!$C$4,Val!$D410,Val!$C$5,Val!$C$6,Val!$B410,Val!$E410,Val!L$10,Val!$C$7,Val!$C410),"")</f>
        <v>-250</v>
      </c>
      <c r="M410" s="2">
        <f ca="1">IF(Flag_Send_Data=1,_xll.DBSW(Val!M410,Val!$C$1,Val!$C$2,Val!$C$3,Val!$C$4,Val!$D410,Val!$C$5,Val!$C$6,Val!$B410,Val!$E410,Val!M$10,Val!$C$7,Val!$C410),"")</f>
        <v>-250</v>
      </c>
      <c r="N410" s="2">
        <f ca="1">IF(Flag_Send_Data=1,_xll.DBSW(Val!N410,Val!$C$1,Val!$C$2,Val!$C$3,Val!$C$4,Val!$D410,Val!$C$5,Val!$C$6,Val!$B410,Val!$E410,Val!N$10,Val!$C$7,Val!$C410),"")</f>
        <v>-250</v>
      </c>
      <c r="O410" s="2">
        <f ca="1">IF(Flag_Send_Data=1,_xll.DBSW(Val!O410,Val!$C$1,Val!$C$2,Val!$C$3,Val!$C$4,Val!$D410,Val!$C$5,Val!$C$6,Val!$B410,Val!$E410,Val!O$10,Val!$C$7,Val!$C410),"")</f>
        <v>-250</v>
      </c>
      <c r="P410" s="2">
        <f ca="1">IF(Flag_Send_Data=1,_xll.DBSW(Val!P410,Val!$C$1,Val!$C$2,Val!$C$3,Val!$C$4,Val!$D410,Val!$C$5,Val!$C$6,Val!$B410,Val!$E410,Val!P$10,Val!$C$7,Val!$C410),"")</f>
        <v>-250</v>
      </c>
      <c r="Q410" s="2">
        <f ca="1">IF(Flag_Send_Data=1,_xll.DBSW(Val!Q410,Val!$C$1,Val!$C$2,Val!$C$3,Val!$C$4,Val!$D410,Val!$C$5,Val!$C$6,Val!$B410,Val!$E410,Val!Q$10,Val!$C$7,Val!$C410),"")</f>
        <v>-250</v>
      </c>
    </row>
    <row r="411" spans="2:17" x14ac:dyDescent="0.25">
      <c r="B411" t="s">
        <v>293</v>
      </c>
      <c r="C411" t="s">
        <v>219</v>
      </c>
      <c r="D411" t="s">
        <v>220</v>
      </c>
      <c r="E411" t="s">
        <v>128</v>
      </c>
      <c r="F411" s="2">
        <f ca="1">IF(Flag_Send_Data=1,_xll.DBSW(Val!F411,Val!$C$1,Val!$C$2,Val!$C$3,Val!$C$4,Val!$D411,Val!$C$5,Val!$C$6,Val!$B411,Val!$E411,Val!F$10,Val!$C$7,Val!$C411),"")</f>
        <v>-5000</v>
      </c>
      <c r="G411" s="2">
        <f ca="1">IF(Flag_Send_Data=1,_xll.DBSW(Val!G411,Val!$C$1,Val!$C$2,Val!$C$3,Val!$C$4,Val!$D411,Val!$C$5,Val!$C$6,Val!$B411,Val!$E411,Val!G$10,Val!$C$7,Val!$C411),"")</f>
        <v>-5000</v>
      </c>
      <c r="H411" s="2">
        <f ca="1">IF(Flag_Send_Data=1,_xll.DBSW(Val!H411,Val!$C$1,Val!$C$2,Val!$C$3,Val!$C$4,Val!$D411,Val!$C$5,Val!$C$6,Val!$B411,Val!$E411,Val!H$10,Val!$C$7,Val!$C411),"")</f>
        <v>-5000</v>
      </c>
      <c r="I411" s="2">
        <f ca="1">IF(Flag_Send_Data=1,_xll.DBSW(Val!I411,Val!$C$1,Val!$C$2,Val!$C$3,Val!$C$4,Val!$D411,Val!$C$5,Val!$C$6,Val!$B411,Val!$E411,Val!I$10,Val!$C$7,Val!$C411),"")</f>
        <v>-5000</v>
      </c>
      <c r="J411" s="2">
        <f ca="1">IF(Flag_Send_Data=1,_xll.DBSW(Val!J411,Val!$C$1,Val!$C$2,Val!$C$3,Val!$C$4,Val!$D411,Val!$C$5,Val!$C$6,Val!$B411,Val!$E411,Val!J$10,Val!$C$7,Val!$C411),"")</f>
        <v>-5000</v>
      </c>
      <c r="K411" s="2">
        <f ca="1">IF(Flag_Send_Data=1,_xll.DBSW(Val!K411,Val!$C$1,Val!$C$2,Val!$C$3,Val!$C$4,Val!$D411,Val!$C$5,Val!$C$6,Val!$B411,Val!$E411,Val!K$10,Val!$C$7,Val!$C411),"")</f>
        <v>-5000</v>
      </c>
      <c r="L411" s="2">
        <f ca="1">IF(Flag_Send_Data=1,_xll.DBSW(Val!L411,Val!$C$1,Val!$C$2,Val!$C$3,Val!$C$4,Val!$D411,Val!$C$5,Val!$C$6,Val!$B411,Val!$E411,Val!L$10,Val!$C$7,Val!$C411),"")</f>
        <v>-5000</v>
      </c>
      <c r="M411" s="2">
        <f ca="1">IF(Flag_Send_Data=1,_xll.DBSW(Val!M411,Val!$C$1,Val!$C$2,Val!$C$3,Val!$C$4,Val!$D411,Val!$C$5,Val!$C$6,Val!$B411,Val!$E411,Val!M$10,Val!$C$7,Val!$C411),"")</f>
        <v>-5000</v>
      </c>
      <c r="N411" s="2">
        <f ca="1">IF(Flag_Send_Data=1,_xll.DBSW(Val!N411,Val!$C$1,Val!$C$2,Val!$C$3,Val!$C$4,Val!$D411,Val!$C$5,Val!$C$6,Val!$B411,Val!$E411,Val!N$10,Val!$C$7,Val!$C411),"")</f>
        <v>-5000</v>
      </c>
      <c r="O411" s="2">
        <f ca="1">IF(Flag_Send_Data=1,_xll.DBSW(Val!O411,Val!$C$1,Val!$C$2,Val!$C$3,Val!$C$4,Val!$D411,Val!$C$5,Val!$C$6,Val!$B411,Val!$E411,Val!O$10,Val!$C$7,Val!$C411),"")</f>
        <v>-5000</v>
      </c>
      <c r="P411" s="2">
        <f ca="1">IF(Flag_Send_Data=1,_xll.DBSW(Val!P411,Val!$C$1,Val!$C$2,Val!$C$3,Val!$C$4,Val!$D411,Val!$C$5,Val!$C$6,Val!$B411,Val!$E411,Val!P$10,Val!$C$7,Val!$C411),"")</f>
        <v>-5000</v>
      </c>
      <c r="Q411" s="2">
        <f ca="1">IF(Flag_Send_Data=1,_xll.DBSW(Val!Q411,Val!$C$1,Val!$C$2,Val!$C$3,Val!$C$4,Val!$D411,Val!$C$5,Val!$C$6,Val!$B411,Val!$E411,Val!Q$10,Val!$C$7,Val!$C411),"")</f>
        <v>-5000</v>
      </c>
    </row>
    <row r="412" spans="2:17" x14ac:dyDescent="0.25">
      <c r="B412" t="s">
        <v>293</v>
      </c>
      <c r="C412" t="s">
        <v>219</v>
      </c>
      <c r="D412" t="s">
        <v>217</v>
      </c>
      <c r="E412" t="s">
        <v>128</v>
      </c>
      <c r="F412" s="2">
        <f ca="1">IF(Flag_Send_Data=1,_xll.DBSW(Val!F412,Val!$C$1,Val!$C$2,Val!$C$3,Val!$C$4,Val!$D412,Val!$C$5,Val!$C$6,Val!$B412,Val!$E412,Val!F$10,Val!$C$7,Val!$C412),"")</f>
        <v>-23333.333333333332</v>
      </c>
      <c r="G412" s="2">
        <f ca="1">IF(Flag_Send_Data=1,_xll.DBSW(Val!G412,Val!$C$1,Val!$C$2,Val!$C$3,Val!$C$4,Val!$D412,Val!$C$5,Val!$C$6,Val!$B412,Val!$E412,Val!G$10,Val!$C$7,Val!$C412),"")</f>
        <v>-23333.333333333332</v>
      </c>
      <c r="H412" s="2">
        <f ca="1">IF(Flag_Send_Data=1,_xll.DBSW(Val!H412,Val!$C$1,Val!$C$2,Val!$C$3,Val!$C$4,Val!$D412,Val!$C$5,Val!$C$6,Val!$B412,Val!$E412,Val!H$10,Val!$C$7,Val!$C412),"")</f>
        <v>-23333.333333333332</v>
      </c>
      <c r="I412" s="2">
        <f ca="1">IF(Flag_Send_Data=1,_xll.DBSW(Val!I412,Val!$C$1,Val!$C$2,Val!$C$3,Val!$C$4,Val!$D412,Val!$C$5,Val!$C$6,Val!$B412,Val!$E412,Val!I$10,Val!$C$7,Val!$C412),"")</f>
        <v>-23333.333333333332</v>
      </c>
      <c r="J412" s="2">
        <f ca="1">IF(Flag_Send_Data=1,_xll.DBSW(Val!J412,Val!$C$1,Val!$C$2,Val!$C$3,Val!$C$4,Val!$D412,Val!$C$5,Val!$C$6,Val!$B412,Val!$E412,Val!J$10,Val!$C$7,Val!$C412),"")</f>
        <v>-23333.333333333332</v>
      </c>
      <c r="K412" s="2">
        <f ca="1">IF(Flag_Send_Data=1,_xll.DBSW(Val!K412,Val!$C$1,Val!$C$2,Val!$C$3,Val!$C$4,Val!$D412,Val!$C$5,Val!$C$6,Val!$B412,Val!$E412,Val!K$10,Val!$C$7,Val!$C412),"")</f>
        <v>-23333.333333333332</v>
      </c>
      <c r="L412" s="2">
        <f ca="1">IF(Flag_Send_Data=1,_xll.DBSW(Val!L412,Val!$C$1,Val!$C$2,Val!$C$3,Val!$C$4,Val!$D412,Val!$C$5,Val!$C$6,Val!$B412,Val!$E412,Val!L$10,Val!$C$7,Val!$C412),"")</f>
        <v>-23333.333333333332</v>
      </c>
      <c r="M412" s="2">
        <f ca="1">IF(Flag_Send_Data=1,_xll.DBSW(Val!M412,Val!$C$1,Val!$C$2,Val!$C$3,Val!$C$4,Val!$D412,Val!$C$5,Val!$C$6,Val!$B412,Val!$E412,Val!M$10,Val!$C$7,Val!$C412),"")</f>
        <v>-23333.333333333332</v>
      </c>
      <c r="N412" s="2">
        <f ca="1">IF(Flag_Send_Data=1,_xll.DBSW(Val!N412,Val!$C$1,Val!$C$2,Val!$C$3,Val!$C$4,Val!$D412,Val!$C$5,Val!$C$6,Val!$B412,Val!$E412,Val!N$10,Val!$C$7,Val!$C412),"")</f>
        <v>-23333.333333333332</v>
      </c>
      <c r="O412" s="2">
        <f ca="1">IF(Flag_Send_Data=1,_xll.DBSW(Val!O412,Val!$C$1,Val!$C$2,Val!$C$3,Val!$C$4,Val!$D412,Val!$C$5,Val!$C$6,Val!$B412,Val!$E412,Val!O$10,Val!$C$7,Val!$C412),"")</f>
        <v>-23333.333333333332</v>
      </c>
      <c r="P412" s="2">
        <f ca="1">IF(Flag_Send_Data=1,_xll.DBSW(Val!P412,Val!$C$1,Val!$C$2,Val!$C$3,Val!$C$4,Val!$D412,Val!$C$5,Val!$C$6,Val!$B412,Val!$E412,Val!P$10,Val!$C$7,Val!$C412),"")</f>
        <v>-23333.333333333332</v>
      </c>
      <c r="Q412" s="2">
        <f ca="1">IF(Flag_Send_Data=1,_xll.DBSW(Val!Q412,Val!$C$1,Val!$C$2,Val!$C$3,Val!$C$4,Val!$D412,Val!$C$5,Val!$C$6,Val!$B412,Val!$E412,Val!Q$10,Val!$C$7,Val!$C412),"")</f>
        <v>-23333.333333333332</v>
      </c>
    </row>
    <row r="413" spans="2:17" x14ac:dyDescent="0.25">
      <c r="B413" t="s">
        <v>293</v>
      </c>
      <c r="C413" t="s">
        <v>219</v>
      </c>
      <c r="D413" t="s">
        <v>221</v>
      </c>
      <c r="E413" t="s">
        <v>222</v>
      </c>
      <c r="F413" s="2">
        <f ca="1">IF(Flag_Send_Data=1,_xll.DBSW(Val!F413,Val!$C$1,Val!$C$2,Val!$C$3,Val!$C$4,Val!$D413,Val!$C$5,Val!$C$6,Val!$B413,Val!$E413,Val!F$10,Val!$C$7,Val!$C413),"")</f>
        <v>-11666.666666666666</v>
      </c>
      <c r="G413" s="2">
        <f ca="1">IF(Flag_Send_Data=1,_xll.DBSW(Val!G413,Val!$C$1,Val!$C$2,Val!$C$3,Val!$C$4,Val!$D413,Val!$C$5,Val!$C$6,Val!$B413,Val!$E413,Val!G$10,Val!$C$7,Val!$C413),"")</f>
        <v>-11666.666666666666</v>
      </c>
      <c r="H413" s="2">
        <f ca="1">IF(Flag_Send_Data=1,_xll.DBSW(Val!H413,Val!$C$1,Val!$C$2,Val!$C$3,Val!$C$4,Val!$D413,Val!$C$5,Val!$C$6,Val!$B413,Val!$E413,Val!H$10,Val!$C$7,Val!$C413),"")</f>
        <v>-11666.666666666666</v>
      </c>
      <c r="I413" s="2">
        <f ca="1">IF(Flag_Send_Data=1,_xll.DBSW(Val!I413,Val!$C$1,Val!$C$2,Val!$C$3,Val!$C$4,Val!$D413,Val!$C$5,Val!$C$6,Val!$B413,Val!$E413,Val!I$10,Val!$C$7,Val!$C413),"")</f>
        <v>-11666.666666666666</v>
      </c>
      <c r="J413" s="2">
        <f ca="1">IF(Flag_Send_Data=1,_xll.DBSW(Val!J413,Val!$C$1,Val!$C$2,Val!$C$3,Val!$C$4,Val!$D413,Val!$C$5,Val!$C$6,Val!$B413,Val!$E413,Val!J$10,Val!$C$7,Val!$C413),"")</f>
        <v>-11666.666666666666</v>
      </c>
      <c r="K413" s="2">
        <f ca="1">IF(Flag_Send_Data=1,_xll.DBSW(Val!K413,Val!$C$1,Val!$C$2,Val!$C$3,Val!$C$4,Val!$D413,Val!$C$5,Val!$C$6,Val!$B413,Val!$E413,Val!K$10,Val!$C$7,Val!$C413),"")</f>
        <v>-11666.666666666666</v>
      </c>
      <c r="L413" s="2">
        <f ca="1">IF(Flag_Send_Data=1,_xll.DBSW(Val!L413,Val!$C$1,Val!$C$2,Val!$C$3,Val!$C$4,Val!$D413,Val!$C$5,Val!$C$6,Val!$B413,Val!$E413,Val!L$10,Val!$C$7,Val!$C413),"")</f>
        <v>-11666.666666666666</v>
      </c>
      <c r="M413" s="2">
        <f ca="1">IF(Flag_Send_Data=1,_xll.DBSW(Val!M413,Val!$C$1,Val!$C$2,Val!$C$3,Val!$C$4,Val!$D413,Val!$C$5,Val!$C$6,Val!$B413,Val!$E413,Val!M$10,Val!$C$7,Val!$C413),"")</f>
        <v>-11666.666666666666</v>
      </c>
      <c r="N413" s="2">
        <f ca="1">IF(Flag_Send_Data=1,_xll.DBSW(Val!N413,Val!$C$1,Val!$C$2,Val!$C$3,Val!$C$4,Val!$D413,Val!$C$5,Val!$C$6,Val!$B413,Val!$E413,Val!N$10,Val!$C$7,Val!$C413),"")</f>
        <v>-11666.666666666666</v>
      </c>
      <c r="O413" s="2">
        <f ca="1">IF(Flag_Send_Data=1,_xll.DBSW(Val!O413,Val!$C$1,Val!$C$2,Val!$C$3,Val!$C$4,Val!$D413,Val!$C$5,Val!$C$6,Val!$B413,Val!$E413,Val!O$10,Val!$C$7,Val!$C413),"")</f>
        <v>-11666.666666666666</v>
      </c>
      <c r="P413" s="2">
        <f ca="1">IF(Flag_Send_Data=1,_xll.DBSW(Val!P413,Val!$C$1,Val!$C$2,Val!$C$3,Val!$C$4,Val!$D413,Val!$C$5,Val!$C$6,Val!$B413,Val!$E413,Val!P$10,Val!$C$7,Val!$C413),"")</f>
        <v>-11666.666666666666</v>
      </c>
      <c r="Q413" s="2">
        <f ca="1">IF(Flag_Send_Data=1,_xll.DBSW(Val!Q413,Val!$C$1,Val!$C$2,Val!$C$3,Val!$C$4,Val!$D413,Val!$C$5,Val!$C$6,Val!$B413,Val!$E413,Val!Q$10,Val!$C$7,Val!$C413),"")</f>
        <v>-11666.666666666666</v>
      </c>
    </row>
    <row r="414" spans="2:17" x14ac:dyDescent="0.25">
      <c r="B414" t="s">
        <v>293</v>
      </c>
      <c r="C414" t="s">
        <v>107</v>
      </c>
      <c r="D414" t="s">
        <v>199</v>
      </c>
      <c r="E414" t="s">
        <v>128</v>
      </c>
      <c r="F414" s="2">
        <f ca="1">IF(Flag_Send_Data=1,_xll.DBSW(Val!F414,Val!$C$1,Val!$C$2,Val!$C$3,Val!$C$4,Val!$D414,Val!$C$5,Val!$C$6,Val!$B414,Val!$E414,Val!F$10,Val!$C$7,Val!$C414),"")</f>
        <v>-666.66666666666663</v>
      </c>
      <c r="G414" s="2">
        <f ca="1">IF(Flag_Send_Data=1,_xll.DBSW(Val!G414,Val!$C$1,Val!$C$2,Val!$C$3,Val!$C$4,Val!$D414,Val!$C$5,Val!$C$6,Val!$B414,Val!$E414,Val!G$10,Val!$C$7,Val!$C414),"")</f>
        <v>-666.66666666666663</v>
      </c>
      <c r="H414" s="2">
        <f ca="1">IF(Flag_Send_Data=1,_xll.DBSW(Val!H414,Val!$C$1,Val!$C$2,Val!$C$3,Val!$C$4,Val!$D414,Val!$C$5,Val!$C$6,Val!$B414,Val!$E414,Val!H$10,Val!$C$7,Val!$C414),"")</f>
        <v>-666.66666666666663</v>
      </c>
      <c r="I414" s="2">
        <f ca="1">IF(Flag_Send_Data=1,_xll.DBSW(Val!I414,Val!$C$1,Val!$C$2,Val!$C$3,Val!$C$4,Val!$D414,Val!$C$5,Val!$C$6,Val!$B414,Val!$E414,Val!I$10,Val!$C$7,Val!$C414),"")</f>
        <v>-666.66666666666663</v>
      </c>
      <c r="J414" s="2">
        <f ca="1">IF(Flag_Send_Data=1,_xll.DBSW(Val!J414,Val!$C$1,Val!$C$2,Val!$C$3,Val!$C$4,Val!$D414,Val!$C$5,Val!$C$6,Val!$B414,Val!$E414,Val!J$10,Val!$C$7,Val!$C414),"")</f>
        <v>-666.66666666666663</v>
      </c>
      <c r="K414" s="2">
        <f ca="1">IF(Flag_Send_Data=1,_xll.DBSW(Val!K414,Val!$C$1,Val!$C$2,Val!$C$3,Val!$C$4,Val!$D414,Val!$C$5,Val!$C$6,Val!$B414,Val!$E414,Val!K$10,Val!$C$7,Val!$C414),"")</f>
        <v>-666.66666666666663</v>
      </c>
      <c r="L414" s="2">
        <f ca="1">IF(Flag_Send_Data=1,_xll.DBSW(Val!L414,Val!$C$1,Val!$C$2,Val!$C$3,Val!$C$4,Val!$D414,Val!$C$5,Val!$C$6,Val!$B414,Val!$E414,Val!L$10,Val!$C$7,Val!$C414),"")</f>
        <v>-666.66666666666663</v>
      </c>
      <c r="M414" s="2">
        <f ca="1">IF(Flag_Send_Data=1,_xll.DBSW(Val!M414,Val!$C$1,Val!$C$2,Val!$C$3,Val!$C$4,Val!$D414,Val!$C$5,Val!$C$6,Val!$B414,Val!$E414,Val!M$10,Val!$C$7,Val!$C414),"")</f>
        <v>-666.66666666666663</v>
      </c>
      <c r="N414" s="2">
        <f ca="1">IF(Flag_Send_Data=1,_xll.DBSW(Val!N414,Val!$C$1,Val!$C$2,Val!$C$3,Val!$C$4,Val!$D414,Val!$C$5,Val!$C$6,Val!$B414,Val!$E414,Val!N$10,Val!$C$7,Val!$C414),"")</f>
        <v>-666.66666666666663</v>
      </c>
      <c r="O414" s="2">
        <f ca="1">IF(Flag_Send_Data=1,_xll.DBSW(Val!O414,Val!$C$1,Val!$C$2,Val!$C$3,Val!$C$4,Val!$D414,Val!$C$5,Val!$C$6,Val!$B414,Val!$E414,Val!O$10,Val!$C$7,Val!$C414),"")</f>
        <v>-666.66666666666663</v>
      </c>
      <c r="P414" s="2">
        <f ca="1">IF(Flag_Send_Data=1,_xll.DBSW(Val!P414,Val!$C$1,Val!$C$2,Val!$C$3,Val!$C$4,Val!$D414,Val!$C$5,Val!$C$6,Val!$B414,Val!$E414,Val!P$10,Val!$C$7,Val!$C414),"")</f>
        <v>-666.66666666666663</v>
      </c>
      <c r="Q414" s="2">
        <f ca="1">IF(Flag_Send_Data=1,_xll.DBSW(Val!Q414,Val!$C$1,Val!$C$2,Val!$C$3,Val!$C$4,Val!$D414,Val!$C$5,Val!$C$6,Val!$B414,Val!$E414,Val!Q$10,Val!$C$7,Val!$C414),"")</f>
        <v>-666.66666666666663</v>
      </c>
    </row>
    <row r="415" spans="2:17" x14ac:dyDescent="0.25">
      <c r="B415" t="s">
        <v>293</v>
      </c>
      <c r="C415" t="s">
        <v>64</v>
      </c>
      <c r="D415" t="s">
        <v>218</v>
      </c>
      <c r="E415" t="s">
        <v>128</v>
      </c>
      <c r="F415" s="2">
        <f ca="1">IF(Flag_Send_Data=1,_xll.DBSW(Val!F415,Val!$C$1,Val!$C$2,Val!$C$3,Val!$C$4,Val!$D415,Val!$C$5,Val!$C$6,Val!$B415,Val!$E415,Val!F$10,Val!$C$7,Val!$C415),"")</f>
        <v>-1406.6333333333332</v>
      </c>
      <c r="G415" s="2">
        <f ca="1">IF(Flag_Send_Data=1,_xll.DBSW(Val!G415,Val!$C$1,Val!$C$2,Val!$C$3,Val!$C$4,Val!$D415,Val!$C$5,Val!$C$6,Val!$B415,Val!$E415,Val!G$10,Val!$C$7,Val!$C415),"")</f>
        <v>-1406.6333333333332</v>
      </c>
      <c r="H415" s="2">
        <f ca="1">IF(Flag_Send_Data=1,_xll.DBSW(Val!H415,Val!$C$1,Val!$C$2,Val!$C$3,Val!$C$4,Val!$D415,Val!$C$5,Val!$C$6,Val!$B415,Val!$E415,Val!H$10,Val!$C$7,Val!$C415),"")</f>
        <v>-1406.6333333333332</v>
      </c>
      <c r="I415" s="2">
        <f ca="1">IF(Flag_Send_Data=1,_xll.DBSW(Val!I415,Val!$C$1,Val!$C$2,Val!$C$3,Val!$C$4,Val!$D415,Val!$C$5,Val!$C$6,Val!$B415,Val!$E415,Val!I$10,Val!$C$7,Val!$C415),"")</f>
        <v>-1406.6333333333332</v>
      </c>
      <c r="J415" s="2">
        <f ca="1">IF(Flag_Send_Data=1,_xll.DBSW(Val!J415,Val!$C$1,Val!$C$2,Val!$C$3,Val!$C$4,Val!$D415,Val!$C$5,Val!$C$6,Val!$B415,Val!$E415,Val!J$10,Val!$C$7,Val!$C415),"")</f>
        <v>-1406.6333333333332</v>
      </c>
      <c r="K415" s="2">
        <f ca="1">IF(Flag_Send_Data=1,_xll.DBSW(Val!K415,Val!$C$1,Val!$C$2,Val!$C$3,Val!$C$4,Val!$D415,Val!$C$5,Val!$C$6,Val!$B415,Val!$E415,Val!K$10,Val!$C$7,Val!$C415),"")</f>
        <v>-1406.6333333333332</v>
      </c>
      <c r="L415" s="2">
        <f ca="1">IF(Flag_Send_Data=1,_xll.DBSW(Val!L415,Val!$C$1,Val!$C$2,Val!$C$3,Val!$C$4,Val!$D415,Val!$C$5,Val!$C$6,Val!$B415,Val!$E415,Val!L$10,Val!$C$7,Val!$C415),"")</f>
        <v>-1406.6333333333332</v>
      </c>
      <c r="M415" s="2">
        <f ca="1">IF(Flag_Send_Data=1,_xll.DBSW(Val!M415,Val!$C$1,Val!$C$2,Val!$C$3,Val!$C$4,Val!$D415,Val!$C$5,Val!$C$6,Val!$B415,Val!$E415,Val!M$10,Val!$C$7,Val!$C415),"")</f>
        <v>-1406.6333333333332</v>
      </c>
      <c r="N415" s="2">
        <f ca="1">IF(Flag_Send_Data=1,_xll.DBSW(Val!N415,Val!$C$1,Val!$C$2,Val!$C$3,Val!$C$4,Val!$D415,Val!$C$5,Val!$C$6,Val!$B415,Val!$E415,Val!N$10,Val!$C$7,Val!$C415),"")</f>
        <v>-1406.6333333333332</v>
      </c>
      <c r="O415" s="2">
        <f ca="1">IF(Flag_Send_Data=1,_xll.DBSW(Val!O415,Val!$C$1,Val!$C$2,Val!$C$3,Val!$C$4,Val!$D415,Val!$C$5,Val!$C$6,Val!$B415,Val!$E415,Val!O$10,Val!$C$7,Val!$C415),"")</f>
        <v>-1406.6333333333332</v>
      </c>
      <c r="P415" s="2">
        <f ca="1">IF(Flag_Send_Data=1,_xll.DBSW(Val!P415,Val!$C$1,Val!$C$2,Val!$C$3,Val!$C$4,Val!$D415,Val!$C$5,Val!$C$6,Val!$B415,Val!$E415,Val!P$10,Val!$C$7,Val!$C415),"")</f>
        <v>-1406.6333333333332</v>
      </c>
      <c r="Q415" s="2">
        <f ca="1">IF(Flag_Send_Data=1,_xll.DBSW(Val!Q415,Val!$C$1,Val!$C$2,Val!$C$3,Val!$C$4,Val!$D415,Val!$C$5,Val!$C$6,Val!$B415,Val!$E415,Val!Q$10,Val!$C$7,Val!$C415),"")</f>
        <v>-1406.6333333333332</v>
      </c>
    </row>
    <row r="416" spans="2:17" x14ac:dyDescent="0.25">
      <c r="B416" t="s">
        <v>293</v>
      </c>
      <c r="C416" t="s">
        <v>115</v>
      </c>
      <c r="D416" t="s">
        <v>199</v>
      </c>
      <c r="E416" t="s">
        <v>14</v>
      </c>
      <c r="F416" s="2">
        <f ca="1">IF(Flag_Send_Data=1,_xll.DBSW(Val!F416,Val!$C$1,Val!$C$2,Val!$C$3,Val!$C$4,Val!$D416,Val!$C$5,Val!$C$6,Val!$B416,Val!$E416,Val!F$10,Val!$C$7,Val!$C416),"")</f>
        <v>5000</v>
      </c>
      <c r="G416" s="2">
        <f ca="1">IF(Flag_Send_Data=1,_xll.DBSW(Val!G416,Val!$C$1,Val!$C$2,Val!$C$3,Val!$C$4,Val!$D416,Val!$C$5,Val!$C$6,Val!$B416,Val!$E416,Val!G$10,Val!$C$7,Val!$C416),"")</f>
        <v>5000</v>
      </c>
      <c r="H416" s="2">
        <f ca="1">IF(Flag_Send_Data=1,_xll.DBSW(Val!H416,Val!$C$1,Val!$C$2,Val!$C$3,Val!$C$4,Val!$D416,Val!$C$5,Val!$C$6,Val!$B416,Val!$E416,Val!H$10,Val!$C$7,Val!$C416),"")</f>
        <v>5000</v>
      </c>
      <c r="I416" s="2">
        <f ca="1">IF(Flag_Send_Data=1,_xll.DBSW(Val!I416,Val!$C$1,Val!$C$2,Val!$C$3,Val!$C$4,Val!$D416,Val!$C$5,Val!$C$6,Val!$B416,Val!$E416,Val!I$10,Val!$C$7,Val!$C416),"")</f>
        <v>5000</v>
      </c>
      <c r="J416" s="2">
        <f ca="1">IF(Flag_Send_Data=1,_xll.DBSW(Val!J416,Val!$C$1,Val!$C$2,Val!$C$3,Val!$C$4,Val!$D416,Val!$C$5,Val!$C$6,Val!$B416,Val!$E416,Val!J$10,Val!$C$7,Val!$C416),"")</f>
        <v>5000</v>
      </c>
      <c r="K416" s="2">
        <f ca="1">IF(Flag_Send_Data=1,_xll.DBSW(Val!K416,Val!$C$1,Val!$C$2,Val!$C$3,Val!$C$4,Val!$D416,Val!$C$5,Val!$C$6,Val!$B416,Val!$E416,Val!K$10,Val!$C$7,Val!$C416),"")</f>
        <v>5000</v>
      </c>
      <c r="L416" s="2">
        <f ca="1">IF(Flag_Send_Data=1,_xll.DBSW(Val!L416,Val!$C$1,Val!$C$2,Val!$C$3,Val!$C$4,Val!$D416,Val!$C$5,Val!$C$6,Val!$B416,Val!$E416,Val!L$10,Val!$C$7,Val!$C416),"")</f>
        <v>5000</v>
      </c>
      <c r="M416" s="2">
        <f ca="1">IF(Flag_Send_Data=1,_xll.DBSW(Val!M416,Val!$C$1,Val!$C$2,Val!$C$3,Val!$C$4,Val!$D416,Val!$C$5,Val!$C$6,Val!$B416,Val!$E416,Val!M$10,Val!$C$7,Val!$C416),"")</f>
        <v>5000</v>
      </c>
      <c r="N416" s="2">
        <f ca="1">IF(Flag_Send_Data=1,_xll.DBSW(Val!N416,Val!$C$1,Val!$C$2,Val!$C$3,Val!$C$4,Val!$D416,Val!$C$5,Val!$C$6,Val!$B416,Val!$E416,Val!N$10,Val!$C$7,Val!$C416),"")</f>
        <v>5000</v>
      </c>
      <c r="O416" s="2">
        <f ca="1">IF(Flag_Send_Data=1,_xll.DBSW(Val!O416,Val!$C$1,Val!$C$2,Val!$C$3,Val!$C$4,Val!$D416,Val!$C$5,Val!$C$6,Val!$B416,Val!$E416,Val!O$10,Val!$C$7,Val!$C416),"")</f>
        <v>5000</v>
      </c>
      <c r="P416" s="2">
        <f ca="1">IF(Flag_Send_Data=1,_xll.DBSW(Val!P416,Val!$C$1,Val!$C$2,Val!$C$3,Val!$C$4,Val!$D416,Val!$C$5,Val!$C$6,Val!$B416,Val!$E416,Val!P$10,Val!$C$7,Val!$C416),"")</f>
        <v>5000</v>
      </c>
      <c r="Q416" s="2">
        <f ca="1">IF(Flag_Send_Data=1,_xll.DBSW(Val!Q416,Val!$C$1,Val!$C$2,Val!$C$3,Val!$C$4,Val!$D416,Val!$C$5,Val!$C$6,Val!$B416,Val!$E416,Val!Q$10,Val!$C$7,Val!$C416),"")</f>
        <v>5000</v>
      </c>
    </row>
    <row r="417" spans="2:17" x14ac:dyDescent="0.25">
      <c r="B417" t="s">
        <v>293</v>
      </c>
      <c r="C417" t="s">
        <v>116</v>
      </c>
      <c r="D417" t="s">
        <v>199</v>
      </c>
      <c r="E417" t="s">
        <v>14</v>
      </c>
      <c r="F417" s="2">
        <f ca="1">IF(Flag_Send_Data=1,_xll.DBSW(Val!F417,Val!$C$1,Val!$C$2,Val!$C$3,Val!$C$4,Val!$D417,Val!$C$5,Val!$C$6,Val!$B417,Val!$E417,Val!F$10,Val!$C$7,Val!$C417),"")</f>
        <v>19498.028333333332</v>
      </c>
      <c r="G417" s="2">
        <f ca="1">IF(Flag_Send_Data=1,_xll.DBSW(Val!G417,Val!$C$1,Val!$C$2,Val!$C$3,Val!$C$4,Val!$D417,Val!$C$5,Val!$C$6,Val!$B417,Val!$E417,Val!G$10,Val!$C$7,Val!$C417),"")</f>
        <v>19498.028333333332</v>
      </c>
      <c r="H417" s="2">
        <f ca="1">IF(Flag_Send_Data=1,_xll.DBSW(Val!H417,Val!$C$1,Val!$C$2,Val!$C$3,Val!$C$4,Val!$D417,Val!$C$5,Val!$C$6,Val!$B417,Val!$E417,Val!H$10,Val!$C$7,Val!$C417),"")</f>
        <v>19498.028333333332</v>
      </c>
      <c r="I417" s="2">
        <f ca="1">IF(Flag_Send_Data=1,_xll.DBSW(Val!I417,Val!$C$1,Val!$C$2,Val!$C$3,Val!$C$4,Val!$D417,Val!$C$5,Val!$C$6,Val!$B417,Val!$E417,Val!I$10,Val!$C$7,Val!$C417),"")</f>
        <v>19498.028333333332</v>
      </c>
      <c r="J417" s="2">
        <f ca="1">IF(Flag_Send_Data=1,_xll.DBSW(Val!J417,Val!$C$1,Val!$C$2,Val!$C$3,Val!$C$4,Val!$D417,Val!$C$5,Val!$C$6,Val!$B417,Val!$E417,Val!J$10,Val!$C$7,Val!$C417),"")</f>
        <v>19498.028333333332</v>
      </c>
      <c r="K417" s="2">
        <f ca="1">IF(Flag_Send_Data=1,_xll.DBSW(Val!K417,Val!$C$1,Val!$C$2,Val!$C$3,Val!$C$4,Val!$D417,Val!$C$5,Val!$C$6,Val!$B417,Val!$E417,Val!K$10,Val!$C$7,Val!$C417),"")</f>
        <v>19498.028333333332</v>
      </c>
      <c r="L417" s="2">
        <f ca="1">IF(Flag_Send_Data=1,_xll.DBSW(Val!L417,Val!$C$1,Val!$C$2,Val!$C$3,Val!$C$4,Val!$D417,Val!$C$5,Val!$C$6,Val!$B417,Val!$E417,Val!L$10,Val!$C$7,Val!$C417),"")</f>
        <v>19498.028333333332</v>
      </c>
      <c r="M417" s="2">
        <f ca="1">IF(Flag_Send_Data=1,_xll.DBSW(Val!M417,Val!$C$1,Val!$C$2,Val!$C$3,Val!$C$4,Val!$D417,Val!$C$5,Val!$C$6,Val!$B417,Val!$E417,Val!M$10,Val!$C$7,Val!$C417),"")</f>
        <v>19498.028333333332</v>
      </c>
      <c r="N417" s="2">
        <f ca="1">IF(Flag_Send_Data=1,_xll.DBSW(Val!N417,Val!$C$1,Val!$C$2,Val!$C$3,Val!$C$4,Val!$D417,Val!$C$5,Val!$C$6,Val!$B417,Val!$E417,Val!N$10,Val!$C$7,Val!$C417),"")</f>
        <v>19498.028333333332</v>
      </c>
      <c r="O417" s="2">
        <f ca="1">IF(Flag_Send_Data=1,_xll.DBSW(Val!O417,Val!$C$1,Val!$C$2,Val!$C$3,Val!$C$4,Val!$D417,Val!$C$5,Val!$C$6,Val!$B417,Val!$E417,Val!O$10,Val!$C$7,Val!$C417),"")</f>
        <v>19498.028333333332</v>
      </c>
      <c r="P417" s="2">
        <f ca="1">IF(Flag_Send_Data=1,_xll.DBSW(Val!P417,Val!$C$1,Val!$C$2,Val!$C$3,Val!$C$4,Val!$D417,Val!$C$5,Val!$C$6,Val!$B417,Val!$E417,Val!P$10,Val!$C$7,Val!$C417),"")</f>
        <v>19498.028333333332</v>
      </c>
      <c r="Q417" s="2">
        <f ca="1">IF(Flag_Send_Data=1,_xll.DBSW(Val!Q417,Val!$C$1,Val!$C$2,Val!$C$3,Val!$C$4,Val!$D417,Val!$C$5,Val!$C$6,Val!$B417,Val!$E417,Val!Q$10,Val!$C$7,Val!$C417),"")</f>
        <v>19498.028333333332</v>
      </c>
    </row>
    <row r="418" spans="2:17" x14ac:dyDescent="0.25">
      <c r="B418" t="s">
        <v>294</v>
      </c>
      <c r="C418" t="s">
        <v>18</v>
      </c>
      <c r="D418" t="s">
        <v>199</v>
      </c>
      <c r="E418" t="s">
        <v>128</v>
      </c>
      <c r="F418" s="2">
        <f ca="1">IF(Flag_Send_Data=1,_xll.DBSW(Val!F418,Val!$C$1,Val!$C$2,Val!$C$3,Val!$C$4,Val!$D418,Val!$C$5,Val!$C$6,Val!$B418,Val!$E418,Val!F$10,Val!$C$7,Val!$C418),"")</f>
        <v>-25896.33</v>
      </c>
      <c r="G418" s="2">
        <f ca="1">IF(Flag_Send_Data=1,_xll.DBSW(Val!G418,Val!$C$1,Val!$C$2,Val!$C$3,Val!$C$4,Val!$D418,Val!$C$5,Val!$C$6,Val!$B418,Val!$E418,Val!G$10,Val!$C$7,Val!$C418),"")</f>
        <v>-25896.33</v>
      </c>
      <c r="H418" s="2">
        <f ca="1">IF(Flag_Send_Data=1,_xll.DBSW(Val!H418,Val!$C$1,Val!$C$2,Val!$C$3,Val!$C$4,Val!$D418,Val!$C$5,Val!$C$6,Val!$B418,Val!$E418,Val!H$10,Val!$C$7,Val!$C418),"")</f>
        <v>-25896.33</v>
      </c>
      <c r="I418" s="2">
        <f ca="1">IF(Flag_Send_Data=1,_xll.DBSW(Val!I418,Val!$C$1,Val!$C$2,Val!$C$3,Val!$C$4,Val!$D418,Val!$C$5,Val!$C$6,Val!$B418,Val!$E418,Val!I$10,Val!$C$7,Val!$C418),"")</f>
        <v>-25896.33</v>
      </c>
      <c r="J418" s="2">
        <f ca="1">IF(Flag_Send_Data=1,_xll.DBSW(Val!J418,Val!$C$1,Val!$C$2,Val!$C$3,Val!$C$4,Val!$D418,Val!$C$5,Val!$C$6,Val!$B418,Val!$E418,Val!J$10,Val!$C$7,Val!$C418),"")</f>
        <v>-25896.33</v>
      </c>
      <c r="K418" s="2">
        <f ca="1">IF(Flag_Send_Data=1,_xll.DBSW(Val!K418,Val!$C$1,Val!$C$2,Val!$C$3,Val!$C$4,Val!$D418,Val!$C$5,Val!$C$6,Val!$B418,Val!$E418,Val!K$10,Val!$C$7,Val!$C418),"")</f>
        <v>-25896.33</v>
      </c>
      <c r="L418" s="2">
        <f ca="1">IF(Flag_Send_Data=1,_xll.DBSW(Val!L418,Val!$C$1,Val!$C$2,Val!$C$3,Val!$C$4,Val!$D418,Val!$C$5,Val!$C$6,Val!$B418,Val!$E418,Val!L$10,Val!$C$7,Val!$C418),"")</f>
        <v>-25896.33</v>
      </c>
      <c r="M418" s="2">
        <f ca="1">IF(Flag_Send_Data=1,_xll.DBSW(Val!M418,Val!$C$1,Val!$C$2,Val!$C$3,Val!$C$4,Val!$D418,Val!$C$5,Val!$C$6,Val!$B418,Val!$E418,Val!M$10,Val!$C$7,Val!$C418),"")</f>
        <v>-25896.33</v>
      </c>
      <c r="N418" s="2">
        <f ca="1">IF(Flag_Send_Data=1,_xll.DBSW(Val!N418,Val!$C$1,Val!$C$2,Val!$C$3,Val!$C$4,Val!$D418,Val!$C$5,Val!$C$6,Val!$B418,Val!$E418,Val!N$10,Val!$C$7,Val!$C418),"")</f>
        <v>-25896.33</v>
      </c>
      <c r="O418" s="2">
        <f ca="1">IF(Flag_Send_Data=1,_xll.DBSW(Val!O418,Val!$C$1,Val!$C$2,Val!$C$3,Val!$C$4,Val!$D418,Val!$C$5,Val!$C$6,Val!$B418,Val!$E418,Val!O$10,Val!$C$7,Val!$C418),"")</f>
        <v>-25896.33</v>
      </c>
      <c r="P418" s="2">
        <f ca="1">IF(Flag_Send_Data=1,_xll.DBSW(Val!P418,Val!$C$1,Val!$C$2,Val!$C$3,Val!$C$4,Val!$D418,Val!$C$5,Val!$C$6,Val!$B418,Val!$E418,Val!P$10,Val!$C$7,Val!$C418),"")</f>
        <v>-25896.33</v>
      </c>
      <c r="Q418" s="2">
        <f ca="1">IF(Flag_Send_Data=1,_xll.DBSW(Val!Q418,Val!$C$1,Val!$C$2,Val!$C$3,Val!$C$4,Val!$D418,Val!$C$5,Val!$C$6,Val!$B418,Val!$E418,Val!Q$10,Val!$C$7,Val!$C418),"")</f>
        <v>-25896.33</v>
      </c>
    </row>
    <row r="419" spans="2:17" x14ac:dyDescent="0.25">
      <c r="B419" t="s">
        <v>294</v>
      </c>
      <c r="C419" t="s">
        <v>19</v>
      </c>
      <c r="D419" t="s">
        <v>199</v>
      </c>
      <c r="E419" t="s">
        <v>128</v>
      </c>
      <c r="F419" s="2">
        <f ca="1">IF(Flag_Send_Data=1,_xll.DBSW(Val!F419,Val!$C$1,Val!$C$2,Val!$C$3,Val!$C$4,Val!$D419,Val!$C$5,Val!$C$6,Val!$B419,Val!$E419,Val!F$10,Val!$C$7,Val!$C419),"")</f>
        <v>-416.66666666666669</v>
      </c>
      <c r="G419" s="2">
        <f ca="1">IF(Flag_Send_Data=1,_xll.DBSW(Val!G419,Val!$C$1,Val!$C$2,Val!$C$3,Val!$C$4,Val!$D419,Val!$C$5,Val!$C$6,Val!$B419,Val!$E419,Val!G$10,Val!$C$7,Val!$C419),"")</f>
        <v>-416.66666666666669</v>
      </c>
      <c r="H419" s="2">
        <f ca="1">IF(Flag_Send_Data=1,_xll.DBSW(Val!H419,Val!$C$1,Val!$C$2,Val!$C$3,Val!$C$4,Val!$D419,Val!$C$5,Val!$C$6,Val!$B419,Val!$E419,Val!H$10,Val!$C$7,Val!$C419),"")</f>
        <v>-416.66666666666669</v>
      </c>
      <c r="I419" s="2">
        <f ca="1">IF(Flag_Send_Data=1,_xll.DBSW(Val!I419,Val!$C$1,Val!$C$2,Val!$C$3,Val!$C$4,Val!$D419,Val!$C$5,Val!$C$6,Val!$B419,Val!$E419,Val!I$10,Val!$C$7,Val!$C419),"")</f>
        <v>-416.66666666666669</v>
      </c>
      <c r="J419" s="2">
        <f ca="1">IF(Flag_Send_Data=1,_xll.DBSW(Val!J419,Val!$C$1,Val!$C$2,Val!$C$3,Val!$C$4,Val!$D419,Val!$C$5,Val!$C$6,Val!$B419,Val!$E419,Val!J$10,Val!$C$7,Val!$C419),"")</f>
        <v>-416.66666666666669</v>
      </c>
      <c r="K419" s="2">
        <f ca="1">IF(Flag_Send_Data=1,_xll.DBSW(Val!K419,Val!$C$1,Val!$C$2,Val!$C$3,Val!$C$4,Val!$D419,Val!$C$5,Val!$C$6,Val!$B419,Val!$E419,Val!K$10,Val!$C$7,Val!$C419),"")</f>
        <v>-416.66666666666669</v>
      </c>
      <c r="L419" s="2">
        <f ca="1">IF(Flag_Send_Data=1,_xll.DBSW(Val!L419,Val!$C$1,Val!$C$2,Val!$C$3,Val!$C$4,Val!$D419,Val!$C$5,Val!$C$6,Val!$B419,Val!$E419,Val!L$10,Val!$C$7,Val!$C419),"")</f>
        <v>-416.66666666666669</v>
      </c>
      <c r="M419" s="2">
        <f ca="1">IF(Flag_Send_Data=1,_xll.DBSW(Val!M419,Val!$C$1,Val!$C$2,Val!$C$3,Val!$C$4,Val!$D419,Val!$C$5,Val!$C$6,Val!$B419,Val!$E419,Val!M$10,Val!$C$7,Val!$C419),"")</f>
        <v>-416.66666666666669</v>
      </c>
      <c r="N419" s="2">
        <f ca="1">IF(Flag_Send_Data=1,_xll.DBSW(Val!N419,Val!$C$1,Val!$C$2,Val!$C$3,Val!$C$4,Val!$D419,Val!$C$5,Val!$C$6,Val!$B419,Val!$E419,Val!N$10,Val!$C$7,Val!$C419),"")</f>
        <v>-416.66666666666669</v>
      </c>
      <c r="O419" s="2">
        <f ca="1">IF(Flag_Send_Data=1,_xll.DBSW(Val!O419,Val!$C$1,Val!$C$2,Val!$C$3,Val!$C$4,Val!$D419,Val!$C$5,Val!$C$6,Val!$B419,Val!$E419,Val!O$10,Val!$C$7,Val!$C419),"")</f>
        <v>-416.66666666666669</v>
      </c>
      <c r="P419" s="2">
        <f ca="1">IF(Flag_Send_Data=1,_xll.DBSW(Val!P419,Val!$C$1,Val!$C$2,Val!$C$3,Val!$C$4,Val!$D419,Val!$C$5,Val!$C$6,Val!$B419,Val!$E419,Val!P$10,Val!$C$7,Val!$C419),"")</f>
        <v>-416.66666666666669</v>
      </c>
      <c r="Q419" s="2">
        <f ca="1">IF(Flag_Send_Data=1,_xll.DBSW(Val!Q419,Val!$C$1,Val!$C$2,Val!$C$3,Val!$C$4,Val!$D419,Val!$C$5,Val!$C$6,Val!$B419,Val!$E419,Val!Q$10,Val!$C$7,Val!$C419),"")</f>
        <v>-416.66666666666669</v>
      </c>
    </row>
    <row r="420" spans="2:17" x14ac:dyDescent="0.25">
      <c r="B420" t="s">
        <v>294</v>
      </c>
      <c r="C420" t="s">
        <v>20</v>
      </c>
      <c r="D420" t="s">
        <v>199</v>
      </c>
      <c r="E420" t="s">
        <v>128</v>
      </c>
      <c r="F420" s="2">
        <f ca="1">IF(Flag_Send_Data=1,_xll.DBSW(Val!F420,Val!$C$1,Val!$C$2,Val!$C$3,Val!$C$4,Val!$D420,Val!$C$5,Val!$C$6,Val!$B420,Val!$E420,Val!F$10,Val!$C$7,Val!$C420),"")</f>
        <v>-12500</v>
      </c>
      <c r="G420" s="2">
        <f ca="1">IF(Flag_Send_Data=1,_xll.DBSW(Val!G420,Val!$C$1,Val!$C$2,Val!$C$3,Val!$C$4,Val!$D420,Val!$C$5,Val!$C$6,Val!$B420,Val!$E420,Val!G$10,Val!$C$7,Val!$C420),"")</f>
        <v>-12500</v>
      </c>
      <c r="H420" s="2">
        <f ca="1">IF(Flag_Send_Data=1,_xll.DBSW(Val!H420,Val!$C$1,Val!$C$2,Val!$C$3,Val!$C$4,Val!$D420,Val!$C$5,Val!$C$6,Val!$B420,Val!$E420,Val!H$10,Val!$C$7,Val!$C420),"")</f>
        <v>-12500</v>
      </c>
      <c r="I420" s="2">
        <f ca="1">IF(Flag_Send_Data=1,_xll.DBSW(Val!I420,Val!$C$1,Val!$C$2,Val!$C$3,Val!$C$4,Val!$D420,Val!$C$5,Val!$C$6,Val!$B420,Val!$E420,Val!I$10,Val!$C$7,Val!$C420),"")</f>
        <v>-12500</v>
      </c>
      <c r="J420" s="2">
        <f ca="1">IF(Flag_Send_Data=1,_xll.DBSW(Val!J420,Val!$C$1,Val!$C$2,Val!$C$3,Val!$C$4,Val!$D420,Val!$C$5,Val!$C$6,Val!$B420,Val!$E420,Val!J$10,Val!$C$7,Val!$C420),"")</f>
        <v>-12500</v>
      </c>
      <c r="K420" s="2">
        <f ca="1">IF(Flag_Send_Data=1,_xll.DBSW(Val!K420,Val!$C$1,Val!$C$2,Val!$C$3,Val!$C$4,Val!$D420,Val!$C$5,Val!$C$6,Val!$B420,Val!$E420,Val!K$10,Val!$C$7,Val!$C420),"")</f>
        <v>-12500</v>
      </c>
      <c r="L420" s="2">
        <f ca="1">IF(Flag_Send_Data=1,_xll.DBSW(Val!L420,Val!$C$1,Val!$C$2,Val!$C$3,Val!$C$4,Val!$D420,Val!$C$5,Val!$C$6,Val!$B420,Val!$E420,Val!L$10,Val!$C$7,Val!$C420),"")</f>
        <v>-12500</v>
      </c>
      <c r="M420" s="2">
        <f ca="1">IF(Flag_Send_Data=1,_xll.DBSW(Val!M420,Val!$C$1,Val!$C$2,Val!$C$3,Val!$C$4,Val!$D420,Val!$C$5,Val!$C$6,Val!$B420,Val!$E420,Val!M$10,Val!$C$7,Val!$C420),"")</f>
        <v>-12500</v>
      </c>
      <c r="N420" s="2">
        <f ca="1">IF(Flag_Send_Data=1,_xll.DBSW(Val!N420,Val!$C$1,Val!$C$2,Val!$C$3,Val!$C$4,Val!$D420,Val!$C$5,Val!$C$6,Val!$B420,Val!$E420,Val!N$10,Val!$C$7,Val!$C420),"")</f>
        <v>-12500</v>
      </c>
      <c r="O420" s="2">
        <f ca="1">IF(Flag_Send_Data=1,_xll.DBSW(Val!O420,Val!$C$1,Val!$C$2,Val!$C$3,Val!$C$4,Val!$D420,Val!$C$5,Val!$C$6,Val!$B420,Val!$E420,Val!O$10,Val!$C$7,Val!$C420),"")</f>
        <v>-12500</v>
      </c>
      <c r="P420" s="2">
        <f ca="1">IF(Flag_Send_Data=1,_xll.DBSW(Val!P420,Val!$C$1,Val!$C$2,Val!$C$3,Val!$C$4,Val!$D420,Val!$C$5,Val!$C$6,Val!$B420,Val!$E420,Val!P$10,Val!$C$7,Val!$C420),"")</f>
        <v>-12500</v>
      </c>
      <c r="Q420" s="2">
        <f ca="1">IF(Flag_Send_Data=1,_xll.DBSW(Val!Q420,Val!$C$1,Val!$C$2,Val!$C$3,Val!$C$4,Val!$D420,Val!$C$5,Val!$C$6,Val!$B420,Val!$E420,Val!Q$10,Val!$C$7,Val!$C420),"")</f>
        <v>-12500</v>
      </c>
    </row>
    <row r="421" spans="2:17" x14ac:dyDescent="0.25">
      <c r="B421" t="s">
        <v>294</v>
      </c>
      <c r="C421" t="s">
        <v>21</v>
      </c>
      <c r="D421" t="s">
        <v>199</v>
      </c>
      <c r="E421" t="s">
        <v>128</v>
      </c>
      <c r="F421" s="2">
        <f ca="1">IF(Flag_Send_Data=1,_xll.DBSW(Val!F421,Val!$C$1,Val!$C$2,Val!$C$3,Val!$C$4,Val!$D421,Val!$C$5,Val!$C$6,Val!$B421,Val!$E421,Val!F$10,Val!$C$7,Val!$C421),"")</f>
        <v>-166.66666666666666</v>
      </c>
      <c r="G421" s="2">
        <f ca="1">IF(Flag_Send_Data=1,_xll.DBSW(Val!G421,Val!$C$1,Val!$C$2,Val!$C$3,Val!$C$4,Val!$D421,Val!$C$5,Val!$C$6,Val!$B421,Val!$E421,Val!G$10,Val!$C$7,Val!$C421),"")</f>
        <v>-166.66666666666666</v>
      </c>
      <c r="H421" s="2">
        <f ca="1">IF(Flag_Send_Data=1,_xll.DBSW(Val!H421,Val!$C$1,Val!$C$2,Val!$C$3,Val!$C$4,Val!$D421,Val!$C$5,Val!$C$6,Val!$B421,Val!$E421,Val!H$10,Val!$C$7,Val!$C421),"")</f>
        <v>-166.66666666666666</v>
      </c>
      <c r="I421" s="2">
        <f ca="1">IF(Flag_Send_Data=1,_xll.DBSW(Val!I421,Val!$C$1,Val!$C$2,Val!$C$3,Val!$C$4,Val!$D421,Val!$C$5,Val!$C$6,Val!$B421,Val!$E421,Val!I$10,Val!$C$7,Val!$C421),"")</f>
        <v>-166.66666666666666</v>
      </c>
      <c r="J421" s="2">
        <f ca="1">IF(Flag_Send_Data=1,_xll.DBSW(Val!J421,Val!$C$1,Val!$C$2,Val!$C$3,Val!$C$4,Val!$D421,Val!$C$5,Val!$C$6,Val!$B421,Val!$E421,Val!J$10,Val!$C$7,Val!$C421),"")</f>
        <v>-166.66666666666666</v>
      </c>
      <c r="K421" s="2">
        <f ca="1">IF(Flag_Send_Data=1,_xll.DBSW(Val!K421,Val!$C$1,Val!$C$2,Val!$C$3,Val!$C$4,Val!$D421,Val!$C$5,Val!$C$6,Val!$B421,Val!$E421,Val!K$10,Val!$C$7,Val!$C421),"")</f>
        <v>-166.66666666666666</v>
      </c>
      <c r="L421" s="2">
        <f ca="1">IF(Flag_Send_Data=1,_xll.DBSW(Val!L421,Val!$C$1,Val!$C$2,Val!$C$3,Val!$C$4,Val!$D421,Val!$C$5,Val!$C$6,Val!$B421,Val!$E421,Val!L$10,Val!$C$7,Val!$C421),"")</f>
        <v>-166.66666666666666</v>
      </c>
      <c r="M421" s="2">
        <f ca="1">IF(Flag_Send_Data=1,_xll.DBSW(Val!M421,Val!$C$1,Val!$C$2,Val!$C$3,Val!$C$4,Val!$D421,Val!$C$5,Val!$C$6,Val!$B421,Val!$E421,Val!M$10,Val!$C$7,Val!$C421),"")</f>
        <v>-166.66666666666666</v>
      </c>
      <c r="N421" s="2">
        <f ca="1">IF(Flag_Send_Data=1,_xll.DBSW(Val!N421,Val!$C$1,Val!$C$2,Val!$C$3,Val!$C$4,Val!$D421,Val!$C$5,Val!$C$6,Val!$B421,Val!$E421,Val!N$10,Val!$C$7,Val!$C421),"")</f>
        <v>-166.66666666666666</v>
      </c>
      <c r="O421" s="2">
        <f ca="1">IF(Flag_Send_Data=1,_xll.DBSW(Val!O421,Val!$C$1,Val!$C$2,Val!$C$3,Val!$C$4,Val!$D421,Val!$C$5,Val!$C$6,Val!$B421,Val!$E421,Val!O$10,Val!$C$7,Val!$C421),"")</f>
        <v>-166.66666666666666</v>
      </c>
      <c r="P421" s="2">
        <f ca="1">IF(Flag_Send_Data=1,_xll.DBSW(Val!P421,Val!$C$1,Val!$C$2,Val!$C$3,Val!$C$4,Val!$D421,Val!$C$5,Val!$C$6,Val!$B421,Val!$E421,Val!P$10,Val!$C$7,Val!$C421),"")</f>
        <v>-166.66666666666666</v>
      </c>
      <c r="Q421" s="2">
        <f ca="1">IF(Flag_Send_Data=1,_xll.DBSW(Val!Q421,Val!$C$1,Val!$C$2,Val!$C$3,Val!$C$4,Val!$D421,Val!$C$5,Val!$C$6,Val!$B421,Val!$E421,Val!Q$10,Val!$C$7,Val!$C421),"")</f>
        <v>-166.66666666666666</v>
      </c>
    </row>
    <row r="422" spans="2:17" x14ac:dyDescent="0.25">
      <c r="B422" t="s">
        <v>294</v>
      </c>
      <c r="C422" t="s">
        <v>95</v>
      </c>
      <c r="D422" t="s">
        <v>199</v>
      </c>
      <c r="E422" t="s">
        <v>128</v>
      </c>
      <c r="F422" s="2">
        <f ca="1">IF(Flag_Send_Data=1,_xll.DBSW(Val!F422,Val!$C$1,Val!$C$2,Val!$C$3,Val!$C$4,Val!$D422,Val!$C$5,Val!$C$6,Val!$B422,Val!$E422,Val!F$10,Val!$C$7,Val!$C422),"")</f>
        <v>-666.66666666666663</v>
      </c>
      <c r="G422" s="2">
        <f ca="1">IF(Flag_Send_Data=1,_xll.DBSW(Val!G422,Val!$C$1,Val!$C$2,Val!$C$3,Val!$C$4,Val!$D422,Val!$C$5,Val!$C$6,Val!$B422,Val!$E422,Val!G$10,Val!$C$7,Val!$C422),"")</f>
        <v>-666.66666666666663</v>
      </c>
      <c r="H422" s="2">
        <f ca="1">IF(Flag_Send_Data=1,_xll.DBSW(Val!H422,Val!$C$1,Val!$C$2,Val!$C$3,Val!$C$4,Val!$D422,Val!$C$5,Val!$C$6,Val!$B422,Val!$E422,Val!H$10,Val!$C$7,Val!$C422),"")</f>
        <v>-666.66666666666663</v>
      </c>
      <c r="I422" s="2">
        <f ca="1">IF(Flag_Send_Data=1,_xll.DBSW(Val!I422,Val!$C$1,Val!$C$2,Val!$C$3,Val!$C$4,Val!$D422,Val!$C$5,Val!$C$6,Val!$B422,Val!$E422,Val!I$10,Val!$C$7,Val!$C422),"")</f>
        <v>-666.66666666666663</v>
      </c>
      <c r="J422" s="2">
        <f ca="1">IF(Flag_Send_Data=1,_xll.DBSW(Val!J422,Val!$C$1,Val!$C$2,Val!$C$3,Val!$C$4,Val!$D422,Val!$C$5,Val!$C$6,Val!$B422,Val!$E422,Val!J$10,Val!$C$7,Val!$C422),"")</f>
        <v>-666.66666666666663</v>
      </c>
      <c r="K422" s="2">
        <f ca="1">IF(Flag_Send_Data=1,_xll.DBSW(Val!K422,Val!$C$1,Val!$C$2,Val!$C$3,Val!$C$4,Val!$D422,Val!$C$5,Val!$C$6,Val!$B422,Val!$E422,Val!K$10,Val!$C$7,Val!$C422),"")</f>
        <v>-666.66666666666663</v>
      </c>
      <c r="L422" s="2">
        <f ca="1">IF(Flag_Send_Data=1,_xll.DBSW(Val!L422,Val!$C$1,Val!$C$2,Val!$C$3,Val!$C$4,Val!$D422,Val!$C$5,Val!$C$6,Val!$B422,Val!$E422,Val!L$10,Val!$C$7,Val!$C422),"")</f>
        <v>-666.66666666666663</v>
      </c>
      <c r="M422" s="2">
        <f ca="1">IF(Flag_Send_Data=1,_xll.DBSW(Val!M422,Val!$C$1,Val!$C$2,Val!$C$3,Val!$C$4,Val!$D422,Val!$C$5,Val!$C$6,Val!$B422,Val!$E422,Val!M$10,Val!$C$7,Val!$C422),"")</f>
        <v>-666.66666666666663</v>
      </c>
      <c r="N422" s="2">
        <f ca="1">IF(Flag_Send_Data=1,_xll.DBSW(Val!N422,Val!$C$1,Val!$C$2,Val!$C$3,Val!$C$4,Val!$D422,Val!$C$5,Val!$C$6,Val!$B422,Val!$E422,Val!N$10,Val!$C$7,Val!$C422),"")</f>
        <v>-666.66666666666663</v>
      </c>
      <c r="O422" s="2">
        <f ca="1">IF(Flag_Send_Data=1,_xll.DBSW(Val!O422,Val!$C$1,Val!$C$2,Val!$C$3,Val!$C$4,Val!$D422,Val!$C$5,Val!$C$6,Val!$B422,Val!$E422,Val!O$10,Val!$C$7,Val!$C422),"")</f>
        <v>-666.66666666666663</v>
      </c>
      <c r="P422" s="2">
        <f ca="1">IF(Flag_Send_Data=1,_xll.DBSW(Val!P422,Val!$C$1,Val!$C$2,Val!$C$3,Val!$C$4,Val!$D422,Val!$C$5,Val!$C$6,Val!$B422,Val!$E422,Val!P$10,Val!$C$7,Val!$C422),"")</f>
        <v>-666.66666666666663</v>
      </c>
      <c r="Q422" s="2">
        <f ca="1">IF(Flag_Send_Data=1,_xll.DBSW(Val!Q422,Val!$C$1,Val!$C$2,Val!$C$3,Val!$C$4,Val!$D422,Val!$C$5,Val!$C$6,Val!$B422,Val!$E422,Val!Q$10,Val!$C$7,Val!$C422),"")</f>
        <v>-666.66666666666663</v>
      </c>
    </row>
    <row r="423" spans="2:17" x14ac:dyDescent="0.25">
      <c r="B423" t="s">
        <v>294</v>
      </c>
      <c r="C423" t="s">
        <v>64</v>
      </c>
      <c r="D423" t="s">
        <v>94</v>
      </c>
      <c r="E423" t="s">
        <v>128</v>
      </c>
      <c r="F423" s="2">
        <f ca="1">IF(Flag_Send_Data=1,_xll.DBSW(Val!F423,Val!$C$1,Val!$C$2,Val!$C$3,Val!$C$4,Val!$D423,Val!$C$5,Val!$C$6,Val!$B423,Val!$E423,Val!F$10,Val!$C$7,Val!$C423),"")</f>
        <v>-34.040833333333332</v>
      </c>
      <c r="G423" s="2">
        <f ca="1">IF(Flag_Send_Data=1,_xll.DBSW(Val!G423,Val!$C$1,Val!$C$2,Val!$C$3,Val!$C$4,Val!$D423,Val!$C$5,Val!$C$6,Val!$B423,Val!$E423,Val!G$10,Val!$C$7,Val!$C423),"")</f>
        <v>-34.040833333333332</v>
      </c>
      <c r="H423" s="2">
        <f ca="1">IF(Flag_Send_Data=1,_xll.DBSW(Val!H423,Val!$C$1,Val!$C$2,Val!$C$3,Val!$C$4,Val!$D423,Val!$C$5,Val!$C$6,Val!$B423,Val!$E423,Val!H$10,Val!$C$7,Val!$C423),"")</f>
        <v>-34.040833333333332</v>
      </c>
      <c r="I423" s="2">
        <f ca="1">IF(Flag_Send_Data=1,_xll.DBSW(Val!I423,Val!$C$1,Val!$C$2,Val!$C$3,Val!$C$4,Val!$D423,Val!$C$5,Val!$C$6,Val!$B423,Val!$E423,Val!I$10,Val!$C$7,Val!$C423),"")</f>
        <v>-34.040833333333332</v>
      </c>
      <c r="J423" s="2">
        <f ca="1">IF(Flag_Send_Data=1,_xll.DBSW(Val!J423,Val!$C$1,Val!$C$2,Val!$C$3,Val!$C$4,Val!$D423,Val!$C$5,Val!$C$6,Val!$B423,Val!$E423,Val!J$10,Val!$C$7,Val!$C423),"")</f>
        <v>-34.040833333333332</v>
      </c>
      <c r="K423" s="2">
        <f ca="1">IF(Flag_Send_Data=1,_xll.DBSW(Val!K423,Val!$C$1,Val!$C$2,Val!$C$3,Val!$C$4,Val!$D423,Val!$C$5,Val!$C$6,Val!$B423,Val!$E423,Val!K$10,Val!$C$7,Val!$C423),"")</f>
        <v>-34.040833333333332</v>
      </c>
      <c r="L423" s="2">
        <f ca="1">IF(Flag_Send_Data=1,_xll.DBSW(Val!L423,Val!$C$1,Val!$C$2,Val!$C$3,Val!$C$4,Val!$D423,Val!$C$5,Val!$C$6,Val!$B423,Val!$E423,Val!L$10,Val!$C$7,Val!$C423),"")</f>
        <v>-34.040833333333332</v>
      </c>
      <c r="M423" s="2">
        <f ca="1">IF(Flag_Send_Data=1,_xll.DBSW(Val!M423,Val!$C$1,Val!$C$2,Val!$C$3,Val!$C$4,Val!$D423,Val!$C$5,Val!$C$6,Val!$B423,Val!$E423,Val!M$10,Val!$C$7,Val!$C423),"")</f>
        <v>-34.040833333333332</v>
      </c>
      <c r="N423" s="2">
        <f ca="1">IF(Flag_Send_Data=1,_xll.DBSW(Val!N423,Val!$C$1,Val!$C$2,Val!$C$3,Val!$C$4,Val!$D423,Val!$C$5,Val!$C$6,Val!$B423,Val!$E423,Val!N$10,Val!$C$7,Val!$C423),"")</f>
        <v>-34.040833333333332</v>
      </c>
      <c r="O423" s="2">
        <f ca="1">IF(Flag_Send_Data=1,_xll.DBSW(Val!O423,Val!$C$1,Val!$C$2,Val!$C$3,Val!$C$4,Val!$D423,Val!$C$5,Val!$C$6,Val!$B423,Val!$E423,Val!O$10,Val!$C$7,Val!$C423),"")</f>
        <v>-34.040833333333332</v>
      </c>
      <c r="P423" s="2">
        <f ca="1">IF(Flag_Send_Data=1,_xll.DBSW(Val!P423,Val!$C$1,Val!$C$2,Val!$C$3,Val!$C$4,Val!$D423,Val!$C$5,Val!$C$6,Val!$B423,Val!$E423,Val!P$10,Val!$C$7,Val!$C423),"")</f>
        <v>-34.040833333333332</v>
      </c>
      <c r="Q423" s="2">
        <f ca="1">IF(Flag_Send_Data=1,_xll.DBSW(Val!Q423,Val!$C$1,Val!$C$2,Val!$C$3,Val!$C$4,Val!$D423,Val!$C$5,Val!$C$6,Val!$B423,Val!$E423,Val!Q$10,Val!$C$7,Val!$C423),"")</f>
        <v>-34.040833333333332</v>
      </c>
    </row>
    <row r="424" spans="2:17" x14ac:dyDescent="0.25">
      <c r="B424" t="s">
        <v>294</v>
      </c>
      <c r="C424" t="s">
        <v>99</v>
      </c>
      <c r="D424" t="s">
        <v>199</v>
      </c>
      <c r="E424" t="s">
        <v>14</v>
      </c>
      <c r="F424" s="2">
        <f ca="1">IF(Flag_Send_Data=1,_xll.DBSW(Val!F424,Val!$C$1,Val!$C$2,Val!$C$3,Val!$C$4,Val!$D424,Val!$C$5,Val!$C$6,Val!$B424,Val!$E424,Val!F$10,Val!$C$7,Val!$C424),"")</f>
        <v>12500</v>
      </c>
      <c r="G424" s="2">
        <f ca="1">IF(Flag_Send_Data=1,_xll.DBSW(Val!G424,Val!$C$1,Val!$C$2,Val!$C$3,Val!$C$4,Val!$D424,Val!$C$5,Val!$C$6,Val!$B424,Val!$E424,Val!G$10,Val!$C$7,Val!$C424),"")</f>
        <v>12500</v>
      </c>
      <c r="H424" s="2">
        <f ca="1">IF(Flag_Send_Data=1,_xll.DBSW(Val!H424,Val!$C$1,Val!$C$2,Val!$C$3,Val!$C$4,Val!$D424,Val!$C$5,Val!$C$6,Val!$B424,Val!$E424,Val!H$10,Val!$C$7,Val!$C424),"")</f>
        <v>12500</v>
      </c>
      <c r="I424" s="2">
        <f ca="1">IF(Flag_Send_Data=1,_xll.DBSW(Val!I424,Val!$C$1,Val!$C$2,Val!$C$3,Val!$C$4,Val!$D424,Val!$C$5,Val!$C$6,Val!$B424,Val!$E424,Val!I$10,Val!$C$7,Val!$C424),"")</f>
        <v>12500</v>
      </c>
      <c r="J424" s="2">
        <f ca="1">IF(Flag_Send_Data=1,_xll.DBSW(Val!J424,Val!$C$1,Val!$C$2,Val!$C$3,Val!$C$4,Val!$D424,Val!$C$5,Val!$C$6,Val!$B424,Val!$E424,Val!J$10,Val!$C$7,Val!$C424),"")</f>
        <v>12500</v>
      </c>
      <c r="K424" s="2">
        <f ca="1">IF(Flag_Send_Data=1,_xll.DBSW(Val!K424,Val!$C$1,Val!$C$2,Val!$C$3,Val!$C$4,Val!$D424,Val!$C$5,Val!$C$6,Val!$B424,Val!$E424,Val!K$10,Val!$C$7,Val!$C424),"")</f>
        <v>12500</v>
      </c>
      <c r="L424" s="2">
        <f ca="1">IF(Flag_Send_Data=1,_xll.DBSW(Val!L424,Val!$C$1,Val!$C$2,Val!$C$3,Val!$C$4,Val!$D424,Val!$C$5,Val!$C$6,Val!$B424,Val!$E424,Val!L$10,Val!$C$7,Val!$C424),"")</f>
        <v>12500</v>
      </c>
      <c r="M424" s="2">
        <f ca="1">IF(Flag_Send_Data=1,_xll.DBSW(Val!M424,Val!$C$1,Val!$C$2,Val!$C$3,Val!$C$4,Val!$D424,Val!$C$5,Val!$C$6,Val!$B424,Val!$E424,Val!M$10,Val!$C$7,Val!$C424),"")</f>
        <v>12500</v>
      </c>
      <c r="N424" s="2">
        <f ca="1">IF(Flag_Send_Data=1,_xll.DBSW(Val!N424,Val!$C$1,Val!$C$2,Val!$C$3,Val!$C$4,Val!$D424,Val!$C$5,Val!$C$6,Val!$B424,Val!$E424,Val!N$10,Val!$C$7,Val!$C424),"")</f>
        <v>12500</v>
      </c>
      <c r="O424" s="2">
        <f ca="1">IF(Flag_Send_Data=1,_xll.DBSW(Val!O424,Val!$C$1,Val!$C$2,Val!$C$3,Val!$C$4,Val!$D424,Val!$C$5,Val!$C$6,Val!$B424,Val!$E424,Val!O$10,Val!$C$7,Val!$C424),"")</f>
        <v>12500</v>
      </c>
      <c r="P424" s="2">
        <f ca="1">IF(Flag_Send_Data=1,_xll.DBSW(Val!P424,Val!$C$1,Val!$C$2,Val!$C$3,Val!$C$4,Val!$D424,Val!$C$5,Val!$C$6,Val!$B424,Val!$E424,Val!P$10,Val!$C$7,Val!$C424),"")</f>
        <v>12500</v>
      </c>
      <c r="Q424" s="2">
        <f ca="1">IF(Flag_Send_Data=1,_xll.DBSW(Val!Q424,Val!$C$1,Val!$C$2,Val!$C$3,Val!$C$4,Val!$D424,Val!$C$5,Val!$C$6,Val!$B424,Val!$E424,Val!Q$10,Val!$C$7,Val!$C424),"")</f>
        <v>12500</v>
      </c>
    </row>
    <row r="425" spans="2:17" x14ac:dyDescent="0.25">
      <c r="B425" t="s">
        <v>295</v>
      </c>
      <c r="C425" t="s">
        <v>36</v>
      </c>
      <c r="D425" t="s">
        <v>199</v>
      </c>
      <c r="E425" t="s">
        <v>128</v>
      </c>
      <c r="F425" s="2">
        <f ca="1">IF(Flag_Send_Data=1,_xll.DBSW(Val!F425,Val!$C$1,Val!$C$2,Val!$C$3,Val!$C$4,Val!$D425,Val!$C$5,Val!$C$6,Val!$B425,Val!$E425,Val!F$10,Val!$C$7,Val!$C425),"")</f>
        <v>-183292.5925</v>
      </c>
      <c r="G425" s="2">
        <f ca="1">IF(Flag_Send_Data=1,_xll.DBSW(Val!G425,Val!$C$1,Val!$C$2,Val!$C$3,Val!$C$4,Val!$D425,Val!$C$5,Val!$C$6,Val!$B425,Val!$E425,Val!G$10,Val!$C$7,Val!$C425),"")</f>
        <v>-183292.5925</v>
      </c>
      <c r="H425" s="2">
        <f ca="1">IF(Flag_Send_Data=1,_xll.DBSW(Val!H425,Val!$C$1,Val!$C$2,Val!$C$3,Val!$C$4,Val!$D425,Val!$C$5,Val!$C$6,Val!$B425,Val!$E425,Val!H$10,Val!$C$7,Val!$C425),"")</f>
        <v>-183292.5925</v>
      </c>
      <c r="I425" s="2">
        <f ca="1">IF(Flag_Send_Data=1,_xll.DBSW(Val!I425,Val!$C$1,Val!$C$2,Val!$C$3,Val!$C$4,Val!$D425,Val!$C$5,Val!$C$6,Val!$B425,Val!$E425,Val!I$10,Val!$C$7,Val!$C425),"")</f>
        <v>-183292.5925</v>
      </c>
      <c r="J425" s="2">
        <f ca="1">IF(Flag_Send_Data=1,_xll.DBSW(Val!J425,Val!$C$1,Val!$C$2,Val!$C$3,Val!$C$4,Val!$D425,Val!$C$5,Val!$C$6,Val!$B425,Val!$E425,Val!J$10,Val!$C$7,Val!$C425),"")</f>
        <v>-183292.5925</v>
      </c>
      <c r="K425" s="2">
        <f ca="1">IF(Flag_Send_Data=1,_xll.DBSW(Val!K425,Val!$C$1,Val!$C$2,Val!$C$3,Val!$C$4,Val!$D425,Val!$C$5,Val!$C$6,Val!$B425,Val!$E425,Val!K$10,Val!$C$7,Val!$C425),"")</f>
        <v>-183292.5925</v>
      </c>
      <c r="L425" s="2">
        <f ca="1">IF(Flag_Send_Data=1,_xll.DBSW(Val!L425,Val!$C$1,Val!$C$2,Val!$C$3,Val!$C$4,Val!$D425,Val!$C$5,Val!$C$6,Val!$B425,Val!$E425,Val!L$10,Val!$C$7,Val!$C425),"")</f>
        <v>-183292.5925</v>
      </c>
      <c r="M425" s="2">
        <f ca="1">IF(Flag_Send_Data=1,_xll.DBSW(Val!M425,Val!$C$1,Val!$C$2,Val!$C$3,Val!$C$4,Val!$D425,Val!$C$5,Val!$C$6,Val!$B425,Val!$E425,Val!M$10,Val!$C$7,Val!$C425),"")</f>
        <v>-183292.5925</v>
      </c>
      <c r="N425" s="2">
        <f ca="1">IF(Flag_Send_Data=1,_xll.DBSW(Val!N425,Val!$C$1,Val!$C$2,Val!$C$3,Val!$C$4,Val!$D425,Val!$C$5,Val!$C$6,Val!$B425,Val!$E425,Val!N$10,Val!$C$7,Val!$C425),"")</f>
        <v>-183292.5925</v>
      </c>
      <c r="O425" s="2">
        <f ca="1">IF(Flag_Send_Data=1,_xll.DBSW(Val!O425,Val!$C$1,Val!$C$2,Val!$C$3,Val!$C$4,Val!$D425,Val!$C$5,Val!$C$6,Val!$B425,Val!$E425,Val!O$10,Val!$C$7,Val!$C425),"")</f>
        <v>-183292.5925</v>
      </c>
      <c r="P425" s="2">
        <f ca="1">IF(Flag_Send_Data=1,_xll.DBSW(Val!P425,Val!$C$1,Val!$C$2,Val!$C$3,Val!$C$4,Val!$D425,Val!$C$5,Val!$C$6,Val!$B425,Val!$E425,Val!P$10,Val!$C$7,Val!$C425),"")</f>
        <v>-183292.5925</v>
      </c>
      <c r="Q425" s="2">
        <f ca="1">IF(Flag_Send_Data=1,_xll.DBSW(Val!Q425,Val!$C$1,Val!$C$2,Val!$C$3,Val!$C$4,Val!$D425,Val!$C$5,Val!$C$6,Val!$B425,Val!$E425,Val!Q$10,Val!$C$7,Val!$C425),"")</f>
        <v>-183292.5925</v>
      </c>
    </row>
    <row r="426" spans="2:17" x14ac:dyDescent="0.25">
      <c r="B426" t="s">
        <v>295</v>
      </c>
      <c r="C426" t="s">
        <v>37</v>
      </c>
      <c r="D426" t="s">
        <v>199</v>
      </c>
      <c r="E426" t="s">
        <v>128</v>
      </c>
      <c r="F426" s="2">
        <f ca="1">IF(Flag_Send_Data=1,_xll.DBSW(Val!F426,Val!$C$1,Val!$C$2,Val!$C$3,Val!$C$4,Val!$D426,Val!$C$5,Val!$C$6,Val!$B426,Val!$E426,Val!F$10,Val!$C$7,Val!$C426),"")</f>
        <v>-6666.666666666667</v>
      </c>
      <c r="G426" s="2">
        <f ca="1">IF(Flag_Send_Data=1,_xll.DBSW(Val!G426,Val!$C$1,Val!$C$2,Val!$C$3,Val!$C$4,Val!$D426,Val!$C$5,Val!$C$6,Val!$B426,Val!$E426,Val!G$10,Val!$C$7,Val!$C426),"")</f>
        <v>-6666.666666666667</v>
      </c>
      <c r="H426" s="2">
        <f ca="1">IF(Flag_Send_Data=1,_xll.DBSW(Val!H426,Val!$C$1,Val!$C$2,Val!$C$3,Val!$C$4,Val!$D426,Val!$C$5,Val!$C$6,Val!$B426,Val!$E426,Val!H$10,Val!$C$7,Val!$C426),"")</f>
        <v>-6666.666666666667</v>
      </c>
      <c r="I426" s="2">
        <f ca="1">IF(Flag_Send_Data=1,_xll.DBSW(Val!I426,Val!$C$1,Val!$C$2,Val!$C$3,Val!$C$4,Val!$D426,Val!$C$5,Val!$C$6,Val!$B426,Val!$E426,Val!I$10,Val!$C$7,Val!$C426),"")</f>
        <v>-6666.666666666667</v>
      </c>
      <c r="J426" s="2">
        <f ca="1">IF(Flag_Send_Data=1,_xll.DBSW(Val!J426,Val!$C$1,Val!$C$2,Val!$C$3,Val!$C$4,Val!$D426,Val!$C$5,Val!$C$6,Val!$B426,Val!$E426,Val!J$10,Val!$C$7,Val!$C426),"")</f>
        <v>-6666.666666666667</v>
      </c>
      <c r="K426" s="2">
        <f ca="1">IF(Flag_Send_Data=1,_xll.DBSW(Val!K426,Val!$C$1,Val!$C$2,Val!$C$3,Val!$C$4,Val!$D426,Val!$C$5,Val!$C$6,Val!$B426,Val!$E426,Val!K$10,Val!$C$7,Val!$C426),"")</f>
        <v>-6666.666666666667</v>
      </c>
      <c r="L426" s="2">
        <f ca="1">IF(Flag_Send_Data=1,_xll.DBSW(Val!L426,Val!$C$1,Val!$C$2,Val!$C$3,Val!$C$4,Val!$D426,Val!$C$5,Val!$C$6,Val!$B426,Val!$E426,Val!L$10,Val!$C$7,Val!$C426),"")</f>
        <v>-6666.666666666667</v>
      </c>
      <c r="M426" s="2">
        <f ca="1">IF(Flag_Send_Data=1,_xll.DBSW(Val!M426,Val!$C$1,Val!$C$2,Val!$C$3,Val!$C$4,Val!$D426,Val!$C$5,Val!$C$6,Val!$B426,Val!$E426,Val!M$10,Val!$C$7,Val!$C426),"")</f>
        <v>-6666.666666666667</v>
      </c>
      <c r="N426" s="2">
        <f ca="1">IF(Flag_Send_Data=1,_xll.DBSW(Val!N426,Val!$C$1,Val!$C$2,Val!$C$3,Val!$C$4,Val!$D426,Val!$C$5,Val!$C$6,Val!$B426,Val!$E426,Val!N$10,Val!$C$7,Val!$C426),"")</f>
        <v>-6666.666666666667</v>
      </c>
      <c r="O426" s="2">
        <f ca="1">IF(Flag_Send_Data=1,_xll.DBSW(Val!O426,Val!$C$1,Val!$C$2,Val!$C$3,Val!$C$4,Val!$D426,Val!$C$5,Val!$C$6,Val!$B426,Val!$E426,Val!O$10,Val!$C$7,Val!$C426),"")</f>
        <v>-6666.666666666667</v>
      </c>
      <c r="P426" s="2">
        <f ca="1">IF(Flag_Send_Data=1,_xll.DBSW(Val!P426,Val!$C$1,Val!$C$2,Val!$C$3,Val!$C$4,Val!$D426,Val!$C$5,Val!$C$6,Val!$B426,Val!$E426,Val!P$10,Val!$C$7,Val!$C426),"")</f>
        <v>-6666.666666666667</v>
      </c>
      <c r="Q426" s="2">
        <f ca="1">IF(Flag_Send_Data=1,_xll.DBSW(Val!Q426,Val!$C$1,Val!$C$2,Val!$C$3,Val!$C$4,Val!$D426,Val!$C$5,Val!$C$6,Val!$B426,Val!$E426,Val!Q$10,Val!$C$7,Val!$C426),"")</f>
        <v>-6666.666666666667</v>
      </c>
    </row>
    <row r="427" spans="2:17" x14ac:dyDescent="0.25">
      <c r="B427" t="s">
        <v>295</v>
      </c>
      <c r="C427" t="s">
        <v>38</v>
      </c>
      <c r="D427" t="s">
        <v>211</v>
      </c>
      <c r="E427" t="s">
        <v>128</v>
      </c>
      <c r="F427" s="2">
        <f ca="1">IF(Flag_Send_Data=1,_xll.DBSW(Val!F427,Val!$C$1,Val!$C$2,Val!$C$3,Val!$C$4,Val!$D427,Val!$C$5,Val!$C$6,Val!$B427,Val!$E427,Val!F$10,Val!$C$7,Val!$C427),"")</f>
        <v>-45000</v>
      </c>
      <c r="G427" s="2">
        <f ca="1">IF(Flag_Send_Data=1,_xll.DBSW(Val!G427,Val!$C$1,Val!$C$2,Val!$C$3,Val!$C$4,Val!$D427,Val!$C$5,Val!$C$6,Val!$B427,Val!$E427,Val!G$10,Val!$C$7,Val!$C427),"")</f>
        <v>-45000</v>
      </c>
      <c r="H427" s="2">
        <f ca="1">IF(Flag_Send_Data=1,_xll.DBSW(Val!H427,Val!$C$1,Val!$C$2,Val!$C$3,Val!$C$4,Val!$D427,Val!$C$5,Val!$C$6,Val!$B427,Val!$E427,Val!H$10,Val!$C$7,Val!$C427),"")</f>
        <v>-45000</v>
      </c>
      <c r="I427" s="2">
        <f ca="1">IF(Flag_Send_Data=1,_xll.DBSW(Val!I427,Val!$C$1,Val!$C$2,Val!$C$3,Val!$C$4,Val!$D427,Val!$C$5,Val!$C$6,Val!$B427,Val!$E427,Val!I$10,Val!$C$7,Val!$C427),"")</f>
        <v>-45000</v>
      </c>
      <c r="J427" s="2">
        <f ca="1">IF(Flag_Send_Data=1,_xll.DBSW(Val!J427,Val!$C$1,Val!$C$2,Val!$C$3,Val!$C$4,Val!$D427,Val!$C$5,Val!$C$6,Val!$B427,Val!$E427,Val!J$10,Val!$C$7,Val!$C427),"")</f>
        <v>-45000</v>
      </c>
      <c r="K427" s="2">
        <f ca="1">IF(Flag_Send_Data=1,_xll.DBSW(Val!K427,Val!$C$1,Val!$C$2,Val!$C$3,Val!$C$4,Val!$D427,Val!$C$5,Val!$C$6,Val!$B427,Val!$E427,Val!K$10,Val!$C$7,Val!$C427),"")</f>
        <v>-45000</v>
      </c>
      <c r="L427" s="2">
        <f ca="1">IF(Flag_Send_Data=1,_xll.DBSW(Val!L427,Val!$C$1,Val!$C$2,Val!$C$3,Val!$C$4,Val!$D427,Val!$C$5,Val!$C$6,Val!$B427,Val!$E427,Val!L$10,Val!$C$7,Val!$C427),"")</f>
        <v>-45000</v>
      </c>
      <c r="M427" s="2">
        <f ca="1">IF(Flag_Send_Data=1,_xll.DBSW(Val!M427,Val!$C$1,Val!$C$2,Val!$C$3,Val!$C$4,Val!$D427,Val!$C$5,Val!$C$6,Val!$B427,Val!$E427,Val!M$10,Val!$C$7,Val!$C427),"")</f>
        <v>-45000</v>
      </c>
      <c r="N427" s="2">
        <f ca="1">IF(Flag_Send_Data=1,_xll.DBSW(Val!N427,Val!$C$1,Val!$C$2,Val!$C$3,Val!$C$4,Val!$D427,Val!$C$5,Val!$C$6,Val!$B427,Val!$E427,Val!N$10,Val!$C$7,Val!$C427),"")</f>
        <v>-45000</v>
      </c>
      <c r="O427" s="2">
        <f ca="1">IF(Flag_Send_Data=1,_xll.DBSW(Val!O427,Val!$C$1,Val!$C$2,Val!$C$3,Val!$C$4,Val!$D427,Val!$C$5,Val!$C$6,Val!$B427,Val!$E427,Val!O$10,Val!$C$7,Val!$C427),"")</f>
        <v>-45000</v>
      </c>
      <c r="P427" s="2">
        <f ca="1">IF(Flag_Send_Data=1,_xll.DBSW(Val!P427,Val!$C$1,Val!$C$2,Val!$C$3,Val!$C$4,Val!$D427,Val!$C$5,Val!$C$6,Val!$B427,Val!$E427,Val!P$10,Val!$C$7,Val!$C427),"")</f>
        <v>-45000</v>
      </c>
      <c r="Q427" s="2">
        <f ca="1">IF(Flag_Send_Data=1,_xll.DBSW(Val!Q427,Val!$C$1,Val!$C$2,Val!$C$3,Val!$C$4,Val!$D427,Val!$C$5,Val!$C$6,Val!$B427,Val!$E427,Val!Q$10,Val!$C$7,Val!$C427),"")</f>
        <v>-45000</v>
      </c>
    </row>
    <row r="428" spans="2:17" x14ac:dyDescent="0.25">
      <c r="B428" t="s">
        <v>295</v>
      </c>
      <c r="C428" t="s">
        <v>38</v>
      </c>
      <c r="D428" t="s">
        <v>207</v>
      </c>
      <c r="E428" t="s">
        <v>128</v>
      </c>
      <c r="F428" s="2">
        <f ca="1">IF(Flag_Send_Data=1,_xll.DBSW(Val!F428,Val!$C$1,Val!$C$2,Val!$C$3,Val!$C$4,Val!$D428,Val!$C$5,Val!$C$6,Val!$B428,Val!$E428,Val!F$10,Val!$C$7,Val!$C428),"")</f>
        <v>0</v>
      </c>
      <c r="G428" s="2">
        <f ca="1">IF(Flag_Send_Data=1,_xll.DBSW(Val!G428,Val!$C$1,Val!$C$2,Val!$C$3,Val!$C$4,Val!$D428,Val!$C$5,Val!$C$6,Val!$B428,Val!$E428,Val!G$10,Val!$C$7,Val!$C428),"")</f>
        <v>0</v>
      </c>
      <c r="H428" s="2">
        <f ca="1">IF(Flag_Send_Data=1,_xll.DBSW(Val!H428,Val!$C$1,Val!$C$2,Val!$C$3,Val!$C$4,Val!$D428,Val!$C$5,Val!$C$6,Val!$B428,Val!$E428,Val!H$10,Val!$C$7,Val!$C428),"")</f>
        <v>0</v>
      </c>
      <c r="I428" s="2">
        <f ca="1">IF(Flag_Send_Data=1,_xll.DBSW(Val!I428,Val!$C$1,Val!$C$2,Val!$C$3,Val!$C$4,Val!$D428,Val!$C$5,Val!$C$6,Val!$B428,Val!$E428,Val!I$10,Val!$C$7,Val!$C428),"")</f>
        <v>-100000</v>
      </c>
      <c r="J428" s="2">
        <f ca="1">IF(Flag_Send_Data=1,_xll.DBSW(Val!J428,Val!$C$1,Val!$C$2,Val!$C$3,Val!$C$4,Val!$D428,Val!$C$5,Val!$C$6,Val!$B428,Val!$E428,Val!J$10,Val!$C$7,Val!$C428),"")</f>
        <v>-100000</v>
      </c>
      <c r="K428" s="2">
        <f ca="1">IF(Flag_Send_Data=1,_xll.DBSW(Val!K428,Val!$C$1,Val!$C$2,Val!$C$3,Val!$C$4,Val!$D428,Val!$C$5,Val!$C$6,Val!$B428,Val!$E428,Val!K$10,Val!$C$7,Val!$C428),"")</f>
        <v>-100000</v>
      </c>
      <c r="L428" s="2">
        <f ca="1">IF(Flag_Send_Data=1,_xll.DBSW(Val!L428,Val!$C$1,Val!$C$2,Val!$C$3,Val!$C$4,Val!$D428,Val!$C$5,Val!$C$6,Val!$B428,Val!$E428,Val!L$10,Val!$C$7,Val!$C428),"")</f>
        <v>0</v>
      </c>
      <c r="M428" s="2">
        <f ca="1">IF(Flag_Send_Data=1,_xll.DBSW(Val!M428,Val!$C$1,Val!$C$2,Val!$C$3,Val!$C$4,Val!$D428,Val!$C$5,Val!$C$6,Val!$B428,Val!$E428,Val!M$10,Val!$C$7,Val!$C428),"")</f>
        <v>0</v>
      </c>
      <c r="N428" s="2">
        <f ca="1">IF(Flag_Send_Data=1,_xll.DBSW(Val!N428,Val!$C$1,Val!$C$2,Val!$C$3,Val!$C$4,Val!$D428,Val!$C$5,Val!$C$6,Val!$B428,Val!$E428,Val!N$10,Val!$C$7,Val!$C428),"")</f>
        <v>0</v>
      </c>
      <c r="O428" s="2">
        <f ca="1">IF(Flag_Send_Data=1,_xll.DBSW(Val!O428,Val!$C$1,Val!$C$2,Val!$C$3,Val!$C$4,Val!$D428,Val!$C$5,Val!$C$6,Val!$B428,Val!$E428,Val!O$10,Val!$C$7,Val!$C428),"")</f>
        <v>-50000</v>
      </c>
      <c r="P428" s="2">
        <f ca="1">IF(Flag_Send_Data=1,_xll.DBSW(Val!P428,Val!$C$1,Val!$C$2,Val!$C$3,Val!$C$4,Val!$D428,Val!$C$5,Val!$C$6,Val!$B428,Val!$E428,Val!P$10,Val!$C$7,Val!$C428),"")</f>
        <v>-50000</v>
      </c>
      <c r="Q428" s="2">
        <f ca="1">IF(Flag_Send_Data=1,_xll.DBSW(Val!Q428,Val!$C$1,Val!$C$2,Val!$C$3,Val!$C$4,Val!$D428,Val!$C$5,Val!$C$6,Val!$B428,Val!$E428,Val!Q$10,Val!$C$7,Val!$C428),"")</f>
        <v>-50000</v>
      </c>
    </row>
    <row r="429" spans="2:17" x14ac:dyDescent="0.25">
      <c r="B429" t="s">
        <v>295</v>
      </c>
      <c r="C429" t="s">
        <v>38</v>
      </c>
      <c r="D429" t="s">
        <v>173</v>
      </c>
      <c r="E429" t="s">
        <v>128</v>
      </c>
      <c r="F429" s="2">
        <f ca="1">IF(Flag_Send_Data=1,_xll.DBSW(Val!F429,Val!$C$1,Val!$C$2,Val!$C$3,Val!$C$4,Val!$D429,Val!$C$5,Val!$C$6,Val!$B429,Val!$E429,Val!F$10,Val!$C$7,Val!$C429),"")</f>
        <v>-47083.333333333336</v>
      </c>
      <c r="G429" s="2">
        <f ca="1">IF(Flag_Send_Data=1,_xll.DBSW(Val!G429,Val!$C$1,Val!$C$2,Val!$C$3,Val!$C$4,Val!$D429,Val!$C$5,Val!$C$6,Val!$B429,Val!$E429,Val!G$10,Val!$C$7,Val!$C429),"")</f>
        <v>-47083.333333333336</v>
      </c>
      <c r="H429" s="2">
        <f ca="1">IF(Flag_Send_Data=1,_xll.DBSW(Val!H429,Val!$C$1,Val!$C$2,Val!$C$3,Val!$C$4,Val!$D429,Val!$C$5,Val!$C$6,Val!$B429,Val!$E429,Val!H$10,Val!$C$7,Val!$C429),"")</f>
        <v>-47083.333333333336</v>
      </c>
      <c r="I429" s="2">
        <f ca="1">IF(Flag_Send_Data=1,_xll.DBSW(Val!I429,Val!$C$1,Val!$C$2,Val!$C$3,Val!$C$4,Val!$D429,Val!$C$5,Val!$C$6,Val!$B429,Val!$E429,Val!I$10,Val!$C$7,Val!$C429),"")</f>
        <v>-47083.333333333336</v>
      </c>
      <c r="J429" s="2">
        <f ca="1">IF(Flag_Send_Data=1,_xll.DBSW(Val!J429,Val!$C$1,Val!$C$2,Val!$C$3,Val!$C$4,Val!$D429,Val!$C$5,Val!$C$6,Val!$B429,Val!$E429,Val!J$10,Val!$C$7,Val!$C429),"")</f>
        <v>-47083.333333333336</v>
      </c>
      <c r="K429" s="2">
        <f ca="1">IF(Flag_Send_Data=1,_xll.DBSW(Val!K429,Val!$C$1,Val!$C$2,Val!$C$3,Val!$C$4,Val!$D429,Val!$C$5,Val!$C$6,Val!$B429,Val!$E429,Val!K$10,Val!$C$7,Val!$C429),"")</f>
        <v>-47083.333333333336</v>
      </c>
      <c r="L429" s="2">
        <f ca="1">IF(Flag_Send_Data=1,_xll.DBSW(Val!L429,Val!$C$1,Val!$C$2,Val!$C$3,Val!$C$4,Val!$D429,Val!$C$5,Val!$C$6,Val!$B429,Val!$E429,Val!L$10,Val!$C$7,Val!$C429),"")</f>
        <v>-47083.333333333336</v>
      </c>
      <c r="M429" s="2">
        <f ca="1">IF(Flag_Send_Data=1,_xll.DBSW(Val!M429,Val!$C$1,Val!$C$2,Val!$C$3,Val!$C$4,Val!$D429,Val!$C$5,Val!$C$6,Val!$B429,Val!$E429,Val!M$10,Val!$C$7,Val!$C429),"")</f>
        <v>-47083.333333333336</v>
      </c>
      <c r="N429" s="2">
        <f ca="1">IF(Flag_Send_Data=1,_xll.DBSW(Val!N429,Val!$C$1,Val!$C$2,Val!$C$3,Val!$C$4,Val!$D429,Val!$C$5,Val!$C$6,Val!$B429,Val!$E429,Val!N$10,Val!$C$7,Val!$C429),"")</f>
        <v>-47083.333333333336</v>
      </c>
      <c r="O429" s="2">
        <f ca="1">IF(Flag_Send_Data=1,_xll.DBSW(Val!O429,Val!$C$1,Val!$C$2,Val!$C$3,Val!$C$4,Val!$D429,Val!$C$5,Val!$C$6,Val!$B429,Val!$E429,Val!O$10,Val!$C$7,Val!$C429),"")</f>
        <v>-47083.333333333336</v>
      </c>
      <c r="P429" s="2">
        <f ca="1">IF(Flag_Send_Data=1,_xll.DBSW(Val!P429,Val!$C$1,Val!$C$2,Val!$C$3,Val!$C$4,Val!$D429,Val!$C$5,Val!$C$6,Val!$B429,Val!$E429,Val!P$10,Val!$C$7,Val!$C429),"")</f>
        <v>-47083.333333333336</v>
      </c>
      <c r="Q429" s="2">
        <f ca="1">IF(Flag_Send_Data=1,_xll.DBSW(Val!Q429,Val!$C$1,Val!$C$2,Val!$C$3,Val!$C$4,Val!$D429,Val!$C$5,Val!$C$6,Val!$B429,Val!$E429,Val!Q$10,Val!$C$7,Val!$C429),"")</f>
        <v>-47083.333333333336</v>
      </c>
    </row>
    <row r="430" spans="2:17" x14ac:dyDescent="0.25">
      <c r="B430" t="s">
        <v>295</v>
      </c>
      <c r="C430" t="s">
        <v>38</v>
      </c>
      <c r="D430" t="s">
        <v>212</v>
      </c>
      <c r="E430" t="s">
        <v>128</v>
      </c>
      <c r="F430" s="2">
        <f ca="1">IF(Flag_Send_Data=1,_xll.DBSW(Val!F430,Val!$C$1,Val!$C$2,Val!$C$3,Val!$C$4,Val!$D430,Val!$C$5,Val!$C$6,Val!$B430,Val!$E430,Val!F$10,Val!$C$7,Val!$C430),"")</f>
        <v>-272500</v>
      </c>
      <c r="G430" s="2">
        <f ca="1">IF(Flag_Send_Data=1,_xll.DBSW(Val!G430,Val!$C$1,Val!$C$2,Val!$C$3,Val!$C$4,Val!$D430,Val!$C$5,Val!$C$6,Val!$B430,Val!$E430,Val!G$10,Val!$C$7,Val!$C430),"")</f>
        <v>-272500</v>
      </c>
      <c r="H430" s="2">
        <f ca="1">IF(Flag_Send_Data=1,_xll.DBSW(Val!H430,Val!$C$1,Val!$C$2,Val!$C$3,Val!$C$4,Val!$D430,Val!$C$5,Val!$C$6,Val!$B430,Val!$E430,Val!H$10,Val!$C$7,Val!$C430),"")</f>
        <v>-272500</v>
      </c>
      <c r="I430" s="2">
        <f ca="1">IF(Flag_Send_Data=1,_xll.DBSW(Val!I430,Val!$C$1,Val!$C$2,Val!$C$3,Val!$C$4,Val!$D430,Val!$C$5,Val!$C$6,Val!$B430,Val!$E430,Val!I$10,Val!$C$7,Val!$C430),"")</f>
        <v>-72500</v>
      </c>
      <c r="J430" s="2">
        <f ca="1">IF(Flag_Send_Data=1,_xll.DBSW(Val!J430,Val!$C$1,Val!$C$2,Val!$C$3,Val!$C$4,Val!$D430,Val!$C$5,Val!$C$6,Val!$B430,Val!$E430,Val!J$10,Val!$C$7,Val!$C430),"")</f>
        <v>-72500</v>
      </c>
      <c r="K430" s="2">
        <f ca="1">IF(Flag_Send_Data=1,_xll.DBSW(Val!K430,Val!$C$1,Val!$C$2,Val!$C$3,Val!$C$4,Val!$D430,Val!$C$5,Val!$C$6,Val!$B430,Val!$E430,Val!K$10,Val!$C$7,Val!$C430),"")</f>
        <v>-72500</v>
      </c>
      <c r="L430" s="2">
        <f ca="1">IF(Flag_Send_Data=1,_xll.DBSW(Val!L430,Val!$C$1,Val!$C$2,Val!$C$3,Val!$C$4,Val!$D430,Val!$C$5,Val!$C$6,Val!$B430,Val!$E430,Val!L$10,Val!$C$7,Val!$C430),"")</f>
        <v>-72500</v>
      </c>
      <c r="M430" s="2">
        <f ca="1">IF(Flag_Send_Data=1,_xll.DBSW(Val!M430,Val!$C$1,Val!$C$2,Val!$C$3,Val!$C$4,Val!$D430,Val!$C$5,Val!$C$6,Val!$B430,Val!$E430,Val!M$10,Val!$C$7,Val!$C430),"")</f>
        <v>-72500</v>
      </c>
      <c r="N430" s="2">
        <f ca="1">IF(Flag_Send_Data=1,_xll.DBSW(Val!N430,Val!$C$1,Val!$C$2,Val!$C$3,Val!$C$4,Val!$D430,Val!$C$5,Val!$C$6,Val!$B430,Val!$E430,Val!N$10,Val!$C$7,Val!$C430),"")</f>
        <v>-72500</v>
      </c>
      <c r="O430" s="2">
        <f ca="1">IF(Flag_Send_Data=1,_xll.DBSW(Val!O430,Val!$C$1,Val!$C$2,Val!$C$3,Val!$C$4,Val!$D430,Val!$C$5,Val!$C$6,Val!$B430,Val!$E430,Val!O$10,Val!$C$7,Val!$C430),"")</f>
        <v>-22500</v>
      </c>
      <c r="P430" s="2">
        <f ca="1">IF(Flag_Send_Data=1,_xll.DBSW(Val!P430,Val!$C$1,Val!$C$2,Val!$C$3,Val!$C$4,Val!$D430,Val!$C$5,Val!$C$6,Val!$B430,Val!$E430,Val!P$10,Val!$C$7,Val!$C430),"")</f>
        <v>-22500</v>
      </c>
      <c r="Q430" s="2">
        <f ca="1">IF(Flag_Send_Data=1,_xll.DBSW(Val!Q430,Val!$C$1,Val!$C$2,Val!$C$3,Val!$C$4,Val!$D430,Val!$C$5,Val!$C$6,Val!$B430,Val!$E430,Val!Q$10,Val!$C$7,Val!$C430),"")</f>
        <v>-22500</v>
      </c>
    </row>
    <row r="431" spans="2:17" x14ac:dyDescent="0.25">
      <c r="B431" t="s">
        <v>295</v>
      </c>
      <c r="C431" t="s">
        <v>38</v>
      </c>
      <c r="D431" t="s">
        <v>199</v>
      </c>
      <c r="E431" t="s">
        <v>17</v>
      </c>
      <c r="F431" s="2">
        <f ca="1">IF(Flag_Send_Data=1,_xll.DBSW(Val!F431,Val!$C$1,Val!$C$2,Val!$C$3,Val!$C$4,Val!$D431,Val!$C$5,Val!$C$6,Val!$B431,Val!$E431,Val!F$10,Val!$C$7,Val!$C431),"")</f>
        <v>-3410.4166666666665</v>
      </c>
      <c r="G431" s="2">
        <f ca="1">IF(Flag_Send_Data=1,_xll.DBSW(Val!G431,Val!$C$1,Val!$C$2,Val!$C$3,Val!$C$4,Val!$D431,Val!$C$5,Val!$C$6,Val!$B431,Val!$E431,Val!G$10,Val!$C$7,Val!$C431),"")</f>
        <v>-3410.4166666666665</v>
      </c>
      <c r="H431" s="2">
        <f ca="1">IF(Flag_Send_Data=1,_xll.DBSW(Val!H431,Val!$C$1,Val!$C$2,Val!$C$3,Val!$C$4,Val!$D431,Val!$C$5,Val!$C$6,Val!$B431,Val!$E431,Val!H$10,Val!$C$7,Val!$C431),"")</f>
        <v>-3410.4166666666665</v>
      </c>
      <c r="I431" s="2">
        <f ca="1">IF(Flag_Send_Data=1,_xll.DBSW(Val!I431,Val!$C$1,Val!$C$2,Val!$C$3,Val!$C$4,Val!$D431,Val!$C$5,Val!$C$6,Val!$B431,Val!$E431,Val!I$10,Val!$C$7,Val!$C431),"")</f>
        <v>-3410.4166666666665</v>
      </c>
      <c r="J431" s="2">
        <f ca="1">IF(Flag_Send_Data=1,_xll.DBSW(Val!J431,Val!$C$1,Val!$C$2,Val!$C$3,Val!$C$4,Val!$D431,Val!$C$5,Val!$C$6,Val!$B431,Val!$E431,Val!J$10,Val!$C$7,Val!$C431),"")</f>
        <v>-3410.4166666666665</v>
      </c>
      <c r="K431" s="2">
        <f ca="1">IF(Flag_Send_Data=1,_xll.DBSW(Val!K431,Val!$C$1,Val!$C$2,Val!$C$3,Val!$C$4,Val!$D431,Val!$C$5,Val!$C$6,Val!$B431,Val!$E431,Val!K$10,Val!$C$7,Val!$C431),"")</f>
        <v>-3410.4166666666665</v>
      </c>
      <c r="L431" s="2">
        <f ca="1">IF(Flag_Send_Data=1,_xll.DBSW(Val!L431,Val!$C$1,Val!$C$2,Val!$C$3,Val!$C$4,Val!$D431,Val!$C$5,Val!$C$6,Val!$B431,Val!$E431,Val!L$10,Val!$C$7,Val!$C431),"")</f>
        <v>-3410.4166666666665</v>
      </c>
      <c r="M431" s="2">
        <f ca="1">IF(Flag_Send_Data=1,_xll.DBSW(Val!M431,Val!$C$1,Val!$C$2,Val!$C$3,Val!$C$4,Val!$D431,Val!$C$5,Val!$C$6,Val!$B431,Val!$E431,Val!M$10,Val!$C$7,Val!$C431),"")</f>
        <v>-3410.4166666666665</v>
      </c>
      <c r="N431" s="2">
        <f ca="1">IF(Flag_Send_Data=1,_xll.DBSW(Val!N431,Val!$C$1,Val!$C$2,Val!$C$3,Val!$C$4,Val!$D431,Val!$C$5,Val!$C$6,Val!$B431,Val!$E431,Val!N$10,Val!$C$7,Val!$C431),"")</f>
        <v>-3410.4166666666665</v>
      </c>
      <c r="O431" s="2">
        <f ca="1">IF(Flag_Send_Data=1,_xll.DBSW(Val!O431,Val!$C$1,Val!$C$2,Val!$C$3,Val!$C$4,Val!$D431,Val!$C$5,Val!$C$6,Val!$B431,Val!$E431,Val!O$10,Val!$C$7,Val!$C431),"")</f>
        <v>-3410.4166666666665</v>
      </c>
      <c r="P431" s="2">
        <f ca="1">IF(Flag_Send_Data=1,_xll.DBSW(Val!P431,Val!$C$1,Val!$C$2,Val!$C$3,Val!$C$4,Val!$D431,Val!$C$5,Val!$C$6,Val!$B431,Val!$E431,Val!P$10,Val!$C$7,Val!$C431),"")</f>
        <v>-3410.4166666666665</v>
      </c>
      <c r="Q431" s="2">
        <f ca="1">IF(Flag_Send_Data=1,_xll.DBSW(Val!Q431,Val!$C$1,Val!$C$2,Val!$C$3,Val!$C$4,Val!$D431,Val!$C$5,Val!$C$6,Val!$B431,Val!$E431,Val!Q$10,Val!$C$7,Val!$C431),"")</f>
        <v>-3410.4166666666665</v>
      </c>
    </row>
    <row r="432" spans="2:17" x14ac:dyDescent="0.25">
      <c r="B432" t="s">
        <v>295</v>
      </c>
      <c r="C432" t="s">
        <v>38</v>
      </c>
      <c r="D432" t="s">
        <v>199</v>
      </c>
      <c r="E432" t="s">
        <v>128</v>
      </c>
      <c r="F432" s="2">
        <f ca="1">IF(Flag_Send_Data=1,_xll.DBSW(Val!F432,Val!$C$1,Val!$C$2,Val!$C$3,Val!$C$4,Val!$D432,Val!$C$5,Val!$C$6,Val!$B432,Val!$E432,Val!F$10,Val!$C$7,Val!$C432),"")</f>
        <v>-8256.25</v>
      </c>
      <c r="G432" s="2">
        <f ca="1">IF(Flag_Send_Data=1,_xll.DBSW(Val!G432,Val!$C$1,Val!$C$2,Val!$C$3,Val!$C$4,Val!$D432,Val!$C$5,Val!$C$6,Val!$B432,Val!$E432,Val!G$10,Val!$C$7,Val!$C432),"")</f>
        <v>-8256.25</v>
      </c>
      <c r="H432" s="2">
        <f ca="1">IF(Flag_Send_Data=1,_xll.DBSW(Val!H432,Val!$C$1,Val!$C$2,Val!$C$3,Val!$C$4,Val!$D432,Val!$C$5,Val!$C$6,Val!$B432,Val!$E432,Val!H$10,Val!$C$7,Val!$C432),"")</f>
        <v>-8256.25</v>
      </c>
      <c r="I432" s="2">
        <f ca="1">IF(Flag_Send_Data=1,_xll.DBSW(Val!I432,Val!$C$1,Val!$C$2,Val!$C$3,Val!$C$4,Val!$D432,Val!$C$5,Val!$C$6,Val!$B432,Val!$E432,Val!I$10,Val!$C$7,Val!$C432),"")</f>
        <v>-8256.25</v>
      </c>
      <c r="J432" s="2">
        <f ca="1">IF(Flag_Send_Data=1,_xll.DBSW(Val!J432,Val!$C$1,Val!$C$2,Val!$C$3,Val!$C$4,Val!$D432,Val!$C$5,Val!$C$6,Val!$B432,Val!$E432,Val!J$10,Val!$C$7,Val!$C432),"")</f>
        <v>-8256.25</v>
      </c>
      <c r="K432" s="2">
        <f ca="1">IF(Flag_Send_Data=1,_xll.DBSW(Val!K432,Val!$C$1,Val!$C$2,Val!$C$3,Val!$C$4,Val!$D432,Val!$C$5,Val!$C$6,Val!$B432,Val!$E432,Val!K$10,Val!$C$7,Val!$C432),"")</f>
        <v>-8256.25</v>
      </c>
      <c r="L432" s="2">
        <f ca="1">IF(Flag_Send_Data=1,_xll.DBSW(Val!L432,Val!$C$1,Val!$C$2,Val!$C$3,Val!$C$4,Val!$D432,Val!$C$5,Val!$C$6,Val!$B432,Val!$E432,Val!L$10,Val!$C$7,Val!$C432),"")</f>
        <v>-8256.25</v>
      </c>
      <c r="M432" s="2">
        <f ca="1">IF(Flag_Send_Data=1,_xll.DBSW(Val!M432,Val!$C$1,Val!$C$2,Val!$C$3,Val!$C$4,Val!$D432,Val!$C$5,Val!$C$6,Val!$B432,Val!$E432,Val!M$10,Val!$C$7,Val!$C432),"")</f>
        <v>-8256.25</v>
      </c>
      <c r="N432" s="2">
        <f ca="1">IF(Flag_Send_Data=1,_xll.DBSW(Val!N432,Val!$C$1,Val!$C$2,Val!$C$3,Val!$C$4,Val!$D432,Val!$C$5,Val!$C$6,Val!$B432,Val!$E432,Val!N$10,Val!$C$7,Val!$C432),"")</f>
        <v>-8256.25</v>
      </c>
      <c r="O432" s="2">
        <f ca="1">IF(Flag_Send_Data=1,_xll.DBSW(Val!O432,Val!$C$1,Val!$C$2,Val!$C$3,Val!$C$4,Val!$D432,Val!$C$5,Val!$C$6,Val!$B432,Val!$E432,Val!O$10,Val!$C$7,Val!$C432),"")</f>
        <v>-8256.25</v>
      </c>
      <c r="P432" s="2">
        <f ca="1">IF(Flag_Send_Data=1,_xll.DBSW(Val!P432,Val!$C$1,Val!$C$2,Val!$C$3,Val!$C$4,Val!$D432,Val!$C$5,Val!$C$6,Val!$B432,Val!$E432,Val!P$10,Val!$C$7,Val!$C432),"")</f>
        <v>-8256.25</v>
      </c>
      <c r="Q432" s="2">
        <f ca="1">IF(Flag_Send_Data=1,_xll.DBSW(Val!Q432,Val!$C$1,Val!$C$2,Val!$C$3,Val!$C$4,Val!$D432,Val!$C$5,Val!$C$6,Val!$B432,Val!$E432,Val!Q$10,Val!$C$7,Val!$C432),"")</f>
        <v>-8256.25</v>
      </c>
    </row>
    <row r="433" spans="2:17" x14ac:dyDescent="0.25">
      <c r="B433" t="s">
        <v>295</v>
      </c>
      <c r="C433" t="s">
        <v>38</v>
      </c>
      <c r="D433" t="s">
        <v>213</v>
      </c>
      <c r="E433" t="s">
        <v>128</v>
      </c>
      <c r="F433" s="2">
        <f ca="1">IF(Flag_Send_Data=1,_xll.DBSW(Val!F433,Val!$C$1,Val!$C$2,Val!$C$3,Val!$C$4,Val!$D433,Val!$C$5,Val!$C$6,Val!$B433,Val!$E433,Val!F$10,Val!$C$7,Val!$C433),"")</f>
        <v>-5416.666666666667</v>
      </c>
      <c r="G433" s="2">
        <f ca="1">IF(Flag_Send_Data=1,_xll.DBSW(Val!G433,Val!$C$1,Val!$C$2,Val!$C$3,Val!$C$4,Val!$D433,Val!$C$5,Val!$C$6,Val!$B433,Val!$E433,Val!G$10,Val!$C$7,Val!$C433),"")</f>
        <v>-5416.666666666667</v>
      </c>
      <c r="H433" s="2">
        <f ca="1">IF(Flag_Send_Data=1,_xll.DBSW(Val!H433,Val!$C$1,Val!$C$2,Val!$C$3,Val!$C$4,Val!$D433,Val!$C$5,Val!$C$6,Val!$B433,Val!$E433,Val!H$10,Val!$C$7,Val!$C433),"")</f>
        <v>-5416.666666666667</v>
      </c>
      <c r="I433" s="2">
        <f ca="1">IF(Flag_Send_Data=1,_xll.DBSW(Val!I433,Val!$C$1,Val!$C$2,Val!$C$3,Val!$C$4,Val!$D433,Val!$C$5,Val!$C$6,Val!$B433,Val!$E433,Val!I$10,Val!$C$7,Val!$C433),"")</f>
        <v>-5416.666666666667</v>
      </c>
      <c r="J433" s="2">
        <f ca="1">IF(Flag_Send_Data=1,_xll.DBSW(Val!J433,Val!$C$1,Val!$C$2,Val!$C$3,Val!$C$4,Val!$D433,Val!$C$5,Val!$C$6,Val!$B433,Val!$E433,Val!J$10,Val!$C$7,Val!$C433),"")</f>
        <v>-5416.666666666667</v>
      </c>
      <c r="K433" s="2">
        <f ca="1">IF(Flag_Send_Data=1,_xll.DBSW(Val!K433,Val!$C$1,Val!$C$2,Val!$C$3,Val!$C$4,Val!$D433,Val!$C$5,Val!$C$6,Val!$B433,Val!$E433,Val!K$10,Val!$C$7,Val!$C433),"")</f>
        <v>-5416.666666666667</v>
      </c>
      <c r="L433" s="2">
        <f ca="1">IF(Flag_Send_Data=1,_xll.DBSW(Val!L433,Val!$C$1,Val!$C$2,Val!$C$3,Val!$C$4,Val!$D433,Val!$C$5,Val!$C$6,Val!$B433,Val!$E433,Val!L$10,Val!$C$7,Val!$C433),"")</f>
        <v>-5416.666666666667</v>
      </c>
      <c r="M433" s="2">
        <f ca="1">IF(Flag_Send_Data=1,_xll.DBSW(Val!M433,Val!$C$1,Val!$C$2,Val!$C$3,Val!$C$4,Val!$D433,Val!$C$5,Val!$C$6,Val!$B433,Val!$E433,Val!M$10,Val!$C$7,Val!$C433),"")</f>
        <v>-5416.666666666667</v>
      </c>
      <c r="N433" s="2">
        <f ca="1">IF(Flag_Send_Data=1,_xll.DBSW(Val!N433,Val!$C$1,Val!$C$2,Val!$C$3,Val!$C$4,Val!$D433,Val!$C$5,Val!$C$6,Val!$B433,Val!$E433,Val!N$10,Val!$C$7,Val!$C433),"")</f>
        <v>-5416.666666666667</v>
      </c>
      <c r="O433" s="2">
        <f ca="1">IF(Flag_Send_Data=1,_xll.DBSW(Val!O433,Val!$C$1,Val!$C$2,Val!$C$3,Val!$C$4,Val!$D433,Val!$C$5,Val!$C$6,Val!$B433,Val!$E433,Val!O$10,Val!$C$7,Val!$C433),"")</f>
        <v>-5416.666666666667</v>
      </c>
      <c r="P433" s="2">
        <f ca="1">IF(Flag_Send_Data=1,_xll.DBSW(Val!P433,Val!$C$1,Val!$C$2,Val!$C$3,Val!$C$4,Val!$D433,Val!$C$5,Val!$C$6,Val!$B433,Val!$E433,Val!P$10,Val!$C$7,Val!$C433),"")</f>
        <v>-5416.666666666667</v>
      </c>
      <c r="Q433" s="2">
        <f ca="1">IF(Flag_Send_Data=1,_xll.DBSW(Val!Q433,Val!$C$1,Val!$C$2,Val!$C$3,Val!$C$4,Val!$D433,Val!$C$5,Val!$C$6,Val!$B433,Val!$E433,Val!Q$10,Val!$C$7,Val!$C433),"")</f>
        <v>-5416.666666666667</v>
      </c>
    </row>
    <row r="434" spans="2:17" x14ac:dyDescent="0.25">
      <c r="B434" t="s">
        <v>295</v>
      </c>
      <c r="C434" t="s">
        <v>38</v>
      </c>
      <c r="D434" t="s">
        <v>203</v>
      </c>
      <c r="E434" t="s">
        <v>128</v>
      </c>
      <c r="F434" s="2">
        <f ca="1">IF(Flag_Send_Data=1,_xll.DBSW(Val!F434,Val!$C$1,Val!$C$2,Val!$C$3,Val!$C$4,Val!$D434,Val!$C$5,Val!$C$6,Val!$B434,Val!$E434,Val!F$10,Val!$C$7,Val!$C434),"")</f>
        <v>-13333.333333333334</v>
      </c>
      <c r="G434" s="2">
        <f ca="1">IF(Flag_Send_Data=1,_xll.DBSW(Val!G434,Val!$C$1,Val!$C$2,Val!$C$3,Val!$C$4,Val!$D434,Val!$C$5,Val!$C$6,Val!$B434,Val!$E434,Val!G$10,Val!$C$7,Val!$C434),"")</f>
        <v>-13333.333333333334</v>
      </c>
      <c r="H434" s="2">
        <f ca="1">IF(Flag_Send_Data=1,_xll.DBSW(Val!H434,Val!$C$1,Val!$C$2,Val!$C$3,Val!$C$4,Val!$D434,Val!$C$5,Val!$C$6,Val!$B434,Val!$E434,Val!H$10,Val!$C$7,Val!$C434),"")</f>
        <v>-13333.333333333334</v>
      </c>
      <c r="I434" s="2">
        <f ca="1">IF(Flag_Send_Data=1,_xll.DBSW(Val!I434,Val!$C$1,Val!$C$2,Val!$C$3,Val!$C$4,Val!$D434,Val!$C$5,Val!$C$6,Val!$B434,Val!$E434,Val!I$10,Val!$C$7,Val!$C434),"")</f>
        <v>-13333.333333333334</v>
      </c>
      <c r="J434" s="2">
        <f ca="1">IF(Flag_Send_Data=1,_xll.DBSW(Val!J434,Val!$C$1,Val!$C$2,Val!$C$3,Val!$C$4,Val!$D434,Val!$C$5,Val!$C$6,Val!$B434,Val!$E434,Val!J$10,Val!$C$7,Val!$C434),"")</f>
        <v>-13333.333333333334</v>
      </c>
      <c r="K434" s="2">
        <f ca="1">IF(Flag_Send_Data=1,_xll.DBSW(Val!K434,Val!$C$1,Val!$C$2,Val!$C$3,Val!$C$4,Val!$D434,Val!$C$5,Val!$C$6,Val!$B434,Val!$E434,Val!K$10,Val!$C$7,Val!$C434),"")</f>
        <v>-13333.333333333334</v>
      </c>
      <c r="L434" s="2">
        <f ca="1">IF(Flag_Send_Data=1,_xll.DBSW(Val!L434,Val!$C$1,Val!$C$2,Val!$C$3,Val!$C$4,Val!$D434,Val!$C$5,Val!$C$6,Val!$B434,Val!$E434,Val!L$10,Val!$C$7,Val!$C434),"")</f>
        <v>-13333.333333333334</v>
      </c>
      <c r="M434" s="2">
        <f ca="1">IF(Flag_Send_Data=1,_xll.DBSW(Val!M434,Val!$C$1,Val!$C$2,Val!$C$3,Val!$C$4,Val!$D434,Val!$C$5,Val!$C$6,Val!$B434,Val!$E434,Val!M$10,Val!$C$7,Val!$C434),"")</f>
        <v>-13333.333333333334</v>
      </c>
      <c r="N434" s="2">
        <f ca="1">IF(Flag_Send_Data=1,_xll.DBSW(Val!N434,Val!$C$1,Val!$C$2,Val!$C$3,Val!$C$4,Val!$D434,Val!$C$5,Val!$C$6,Val!$B434,Val!$E434,Val!N$10,Val!$C$7,Val!$C434),"")</f>
        <v>-13333.333333333334</v>
      </c>
      <c r="O434" s="2">
        <f ca="1">IF(Flag_Send_Data=1,_xll.DBSW(Val!O434,Val!$C$1,Val!$C$2,Val!$C$3,Val!$C$4,Val!$D434,Val!$C$5,Val!$C$6,Val!$B434,Val!$E434,Val!O$10,Val!$C$7,Val!$C434),"")</f>
        <v>-13333.333333333334</v>
      </c>
      <c r="P434" s="2">
        <f ca="1">IF(Flag_Send_Data=1,_xll.DBSW(Val!P434,Val!$C$1,Val!$C$2,Val!$C$3,Val!$C$4,Val!$D434,Val!$C$5,Val!$C$6,Val!$B434,Val!$E434,Val!P$10,Val!$C$7,Val!$C434),"")</f>
        <v>-13333.333333333334</v>
      </c>
      <c r="Q434" s="2">
        <f ca="1">IF(Flag_Send_Data=1,_xll.DBSW(Val!Q434,Val!$C$1,Val!$C$2,Val!$C$3,Val!$C$4,Val!$D434,Val!$C$5,Val!$C$6,Val!$B434,Val!$E434,Val!Q$10,Val!$C$7,Val!$C434),"")</f>
        <v>-13333.333333333334</v>
      </c>
    </row>
    <row r="435" spans="2:17" x14ac:dyDescent="0.25">
      <c r="B435" t="s">
        <v>295</v>
      </c>
      <c r="C435" t="s">
        <v>38</v>
      </c>
      <c r="D435" t="s">
        <v>214</v>
      </c>
      <c r="E435" t="s">
        <v>128</v>
      </c>
      <c r="F435" s="2">
        <f ca="1">IF(Flag_Send_Data=1,_xll.DBSW(Val!F435,Val!$C$1,Val!$C$2,Val!$C$3,Val!$C$4,Val!$D435,Val!$C$5,Val!$C$6,Val!$B435,Val!$E435,Val!F$10,Val!$C$7,Val!$C435),"")</f>
        <v>-47500</v>
      </c>
      <c r="G435" s="2">
        <f ca="1">IF(Flag_Send_Data=1,_xll.DBSW(Val!G435,Val!$C$1,Val!$C$2,Val!$C$3,Val!$C$4,Val!$D435,Val!$C$5,Val!$C$6,Val!$B435,Val!$E435,Val!G$10,Val!$C$7,Val!$C435),"")</f>
        <v>-47500</v>
      </c>
      <c r="H435" s="2">
        <f ca="1">IF(Flag_Send_Data=1,_xll.DBSW(Val!H435,Val!$C$1,Val!$C$2,Val!$C$3,Val!$C$4,Val!$D435,Val!$C$5,Val!$C$6,Val!$B435,Val!$E435,Val!H$10,Val!$C$7,Val!$C435),"")</f>
        <v>-47500</v>
      </c>
      <c r="I435" s="2">
        <f ca="1">IF(Flag_Send_Data=1,_xll.DBSW(Val!I435,Val!$C$1,Val!$C$2,Val!$C$3,Val!$C$4,Val!$D435,Val!$C$5,Val!$C$6,Val!$B435,Val!$E435,Val!I$10,Val!$C$7,Val!$C435),"")</f>
        <v>-47500</v>
      </c>
      <c r="J435" s="2">
        <f ca="1">IF(Flag_Send_Data=1,_xll.DBSW(Val!J435,Val!$C$1,Val!$C$2,Val!$C$3,Val!$C$4,Val!$D435,Val!$C$5,Val!$C$6,Val!$B435,Val!$E435,Val!J$10,Val!$C$7,Val!$C435),"")</f>
        <v>-47500</v>
      </c>
      <c r="K435" s="2">
        <f ca="1">IF(Flag_Send_Data=1,_xll.DBSW(Val!K435,Val!$C$1,Val!$C$2,Val!$C$3,Val!$C$4,Val!$D435,Val!$C$5,Val!$C$6,Val!$B435,Val!$E435,Val!K$10,Val!$C$7,Val!$C435),"")</f>
        <v>-47500</v>
      </c>
      <c r="L435" s="2">
        <f ca="1">IF(Flag_Send_Data=1,_xll.DBSW(Val!L435,Val!$C$1,Val!$C$2,Val!$C$3,Val!$C$4,Val!$D435,Val!$C$5,Val!$C$6,Val!$B435,Val!$E435,Val!L$10,Val!$C$7,Val!$C435),"")</f>
        <v>-47500</v>
      </c>
      <c r="M435" s="2">
        <f ca="1">IF(Flag_Send_Data=1,_xll.DBSW(Val!M435,Val!$C$1,Val!$C$2,Val!$C$3,Val!$C$4,Val!$D435,Val!$C$5,Val!$C$6,Val!$B435,Val!$E435,Val!M$10,Val!$C$7,Val!$C435),"")</f>
        <v>-47500</v>
      </c>
      <c r="N435" s="2">
        <f ca="1">IF(Flag_Send_Data=1,_xll.DBSW(Val!N435,Val!$C$1,Val!$C$2,Val!$C$3,Val!$C$4,Val!$D435,Val!$C$5,Val!$C$6,Val!$B435,Val!$E435,Val!N$10,Val!$C$7,Val!$C435),"")</f>
        <v>-47500</v>
      </c>
      <c r="O435" s="2">
        <f ca="1">IF(Flag_Send_Data=1,_xll.DBSW(Val!O435,Val!$C$1,Val!$C$2,Val!$C$3,Val!$C$4,Val!$D435,Val!$C$5,Val!$C$6,Val!$B435,Val!$E435,Val!O$10,Val!$C$7,Val!$C435),"")</f>
        <v>-47500</v>
      </c>
      <c r="P435" s="2">
        <f ca="1">IF(Flag_Send_Data=1,_xll.DBSW(Val!P435,Val!$C$1,Val!$C$2,Val!$C$3,Val!$C$4,Val!$D435,Val!$C$5,Val!$C$6,Val!$B435,Val!$E435,Val!P$10,Val!$C$7,Val!$C435),"")</f>
        <v>-47500</v>
      </c>
      <c r="Q435" s="2">
        <f ca="1">IF(Flag_Send_Data=1,_xll.DBSW(Val!Q435,Val!$C$1,Val!$C$2,Val!$C$3,Val!$C$4,Val!$D435,Val!$C$5,Val!$C$6,Val!$B435,Val!$E435,Val!Q$10,Val!$C$7,Val!$C435),"")</f>
        <v>-47500</v>
      </c>
    </row>
    <row r="436" spans="2:17" x14ac:dyDescent="0.25">
      <c r="B436" t="s">
        <v>295</v>
      </c>
      <c r="C436" t="s">
        <v>39</v>
      </c>
      <c r="D436" t="s">
        <v>199</v>
      </c>
      <c r="E436" t="s">
        <v>128</v>
      </c>
      <c r="F436" s="2">
        <f ca="1">IF(Flag_Send_Data=1,_xll.DBSW(Val!F436,Val!$C$1,Val!$C$2,Val!$C$3,Val!$C$4,Val!$D436,Val!$C$5,Val!$C$6,Val!$B436,Val!$E436,Val!F$10,Val!$C$7,Val!$C436),"")</f>
        <v>-833.33333333333337</v>
      </c>
      <c r="G436" s="2">
        <f ca="1">IF(Flag_Send_Data=1,_xll.DBSW(Val!G436,Val!$C$1,Val!$C$2,Val!$C$3,Val!$C$4,Val!$D436,Val!$C$5,Val!$C$6,Val!$B436,Val!$E436,Val!G$10,Val!$C$7,Val!$C436),"")</f>
        <v>-833.33333333333337</v>
      </c>
      <c r="H436" s="2">
        <f ca="1">IF(Flag_Send_Data=1,_xll.DBSW(Val!H436,Val!$C$1,Val!$C$2,Val!$C$3,Val!$C$4,Val!$D436,Val!$C$5,Val!$C$6,Val!$B436,Val!$E436,Val!H$10,Val!$C$7,Val!$C436),"")</f>
        <v>-833.33333333333337</v>
      </c>
      <c r="I436" s="2">
        <f ca="1">IF(Flag_Send_Data=1,_xll.DBSW(Val!I436,Val!$C$1,Val!$C$2,Val!$C$3,Val!$C$4,Val!$D436,Val!$C$5,Val!$C$6,Val!$B436,Val!$E436,Val!I$10,Val!$C$7,Val!$C436),"")</f>
        <v>-833.33333333333337</v>
      </c>
      <c r="J436" s="2">
        <f ca="1">IF(Flag_Send_Data=1,_xll.DBSW(Val!J436,Val!$C$1,Val!$C$2,Val!$C$3,Val!$C$4,Val!$D436,Val!$C$5,Val!$C$6,Val!$B436,Val!$E436,Val!J$10,Val!$C$7,Val!$C436),"")</f>
        <v>-833.33333333333337</v>
      </c>
      <c r="K436" s="2">
        <f ca="1">IF(Flag_Send_Data=1,_xll.DBSW(Val!K436,Val!$C$1,Val!$C$2,Val!$C$3,Val!$C$4,Val!$D436,Val!$C$5,Val!$C$6,Val!$B436,Val!$E436,Val!K$10,Val!$C$7,Val!$C436),"")</f>
        <v>-833.33333333333337</v>
      </c>
      <c r="L436" s="2">
        <f ca="1">IF(Flag_Send_Data=1,_xll.DBSW(Val!L436,Val!$C$1,Val!$C$2,Val!$C$3,Val!$C$4,Val!$D436,Val!$C$5,Val!$C$6,Val!$B436,Val!$E436,Val!L$10,Val!$C$7,Val!$C436),"")</f>
        <v>-833.33333333333337</v>
      </c>
      <c r="M436" s="2">
        <f ca="1">IF(Flag_Send_Data=1,_xll.DBSW(Val!M436,Val!$C$1,Val!$C$2,Val!$C$3,Val!$C$4,Val!$D436,Val!$C$5,Val!$C$6,Val!$B436,Val!$E436,Val!M$10,Val!$C$7,Val!$C436),"")</f>
        <v>-833.33333333333337</v>
      </c>
      <c r="N436" s="2">
        <f ca="1">IF(Flag_Send_Data=1,_xll.DBSW(Val!N436,Val!$C$1,Val!$C$2,Val!$C$3,Val!$C$4,Val!$D436,Val!$C$5,Val!$C$6,Val!$B436,Val!$E436,Val!N$10,Val!$C$7,Val!$C436),"")</f>
        <v>-833.33333333333337</v>
      </c>
      <c r="O436" s="2">
        <f ca="1">IF(Flag_Send_Data=1,_xll.DBSW(Val!O436,Val!$C$1,Val!$C$2,Val!$C$3,Val!$C$4,Val!$D436,Val!$C$5,Val!$C$6,Val!$B436,Val!$E436,Val!O$10,Val!$C$7,Val!$C436),"")</f>
        <v>-833.33333333333337</v>
      </c>
      <c r="P436" s="2">
        <f ca="1">IF(Flag_Send_Data=1,_xll.DBSW(Val!P436,Val!$C$1,Val!$C$2,Val!$C$3,Val!$C$4,Val!$D436,Val!$C$5,Val!$C$6,Val!$B436,Val!$E436,Val!P$10,Val!$C$7,Val!$C436),"")</f>
        <v>-833.33333333333337</v>
      </c>
      <c r="Q436" s="2">
        <f ca="1">IF(Flag_Send_Data=1,_xll.DBSW(Val!Q436,Val!$C$1,Val!$C$2,Val!$C$3,Val!$C$4,Val!$D436,Val!$C$5,Val!$C$6,Val!$B436,Val!$E436,Val!Q$10,Val!$C$7,Val!$C436),"")</f>
        <v>-833.33333333333337</v>
      </c>
    </row>
    <row r="437" spans="2:17" x14ac:dyDescent="0.25">
      <c r="B437" t="s">
        <v>295</v>
      </c>
      <c r="C437" t="s">
        <v>113</v>
      </c>
      <c r="D437" t="s">
        <v>199</v>
      </c>
      <c r="E437" t="s">
        <v>128</v>
      </c>
      <c r="F437" s="2">
        <f ca="1">IF(Flag_Send_Data=1,_xll.DBSW(Val!F437,Val!$C$1,Val!$C$2,Val!$C$3,Val!$C$4,Val!$D437,Val!$C$5,Val!$C$6,Val!$B437,Val!$E437,Val!F$10,Val!$C$7,Val!$C437),"")</f>
        <v>-1333.3333333333333</v>
      </c>
      <c r="G437" s="2">
        <f ca="1">IF(Flag_Send_Data=1,_xll.DBSW(Val!G437,Val!$C$1,Val!$C$2,Val!$C$3,Val!$C$4,Val!$D437,Val!$C$5,Val!$C$6,Val!$B437,Val!$E437,Val!G$10,Val!$C$7,Val!$C437),"")</f>
        <v>-1333.3333333333333</v>
      </c>
      <c r="H437" s="2">
        <f ca="1">IF(Flag_Send_Data=1,_xll.DBSW(Val!H437,Val!$C$1,Val!$C$2,Val!$C$3,Val!$C$4,Val!$D437,Val!$C$5,Val!$C$6,Val!$B437,Val!$E437,Val!H$10,Val!$C$7,Val!$C437),"")</f>
        <v>-1333.3333333333333</v>
      </c>
      <c r="I437" s="2">
        <f ca="1">IF(Flag_Send_Data=1,_xll.DBSW(Val!I437,Val!$C$1,Val!$C$2,Val!$C$3,Val!$C$4,Val!$D437,Val!$C$5,Val!$C$6,Val!$B437,Val!$E437,Val!I$10,Val!$C$7,Val!$C437),"")</f>
        <v>-1333.3333333333333</v>
      </c>
      <c r="J437" s="2">
        <f ca="1">IF(Flag_Send_Data=1,_xll.DBSW(Val!J437,Val!$C$1,Val!$C$2,Val!$C$3,Val!$C$4,Val!$D437,Val!$C$5,Val!$C$6,Val!$B437,Val!$E437,Val!J$10,Val!$C$7,Val!$C437),"")</f>
        <v>-1333.3333333333333</v>
      </c>
      <c r="K437" s="2">
        <f ca="1">IF(Flag_Send_Data=1,_xll.DBSW(Val!K437,Val!$C$1,Val!$C$2,Val!$C$3,Val!$C$4,Val!$D437,Val!$C$5,Val!$C$6,Val!$B437,Val!$E437,Val!K$10,Val!$C$7,Val!$C437),"")</f>
        <v>-1333.3333333333333</v>
      </c>
      <c r="L437" s="2">
        <f ca="1">IF(Flag_Send_Data=1,_xll.DBSW(Val!L437,Val!$C$1,Val!$C$2,Val!$C$3,Val!$C$4,Val!$D437,Val!$C$5,Val!$C$6,Val!$B437,Val!$E437,Val!L$10,Val!$C$7,Val!$C437),"")</f>
        <v>-1333.3333333333333</v>
      </c>
      <c r="M437" s="2">
        <f ca="1">IF(Flag_Send_Data=1,_xll.DBSW(Val!M437,Val!$C$1,Val!$C$2,Val!$C$3,Val!$C$4,Val!$D437,Val!$C$5,Val!$C$6,Val!$B437,Val!$E437,Val!M$10,Val!$C$7,Val!$C437),"")</f>
        <v>-1333.3333333333333</v>
      </c>
      <c r="N437" s="2">
        <f ca="1">IF(Flag_Send_Data=1,_xll.DBSW(Val!N437,Val!$C$1,Val!$C$2,Val!$C$3,Val!$C$4,Val!$D437,Val!$C$5,Val!$C$6,Val!$B437,Val!$E437,Val!N$10,Val!$C$7,Val!$C437),"")</f>
        <v>-1333.3333333333333</v>
      </c>
      <c r="O437" s="2">
        <f ca="1">IF(Flag_Send_Data=1,_xll.DBSW(Val!O437,Val!$C$1,Val!$C$2,Val!$C$3,Val!$C$4,Val!$D437,Val!$C$5,Val!$C$6,Val!$B437,Val!$E437,Val!O$10,Val!$C$7,Val!$C437),"")</f>
        <v>-1333.3333333333333</v>
      </c>
      <c r="P437" s="2">
        <f ca="1">IF(Flag_Send_Data=1,_xll.DBSW(Val!P437,Val!$C$1,Val!$C$2,Val!$C$3,Val!$C$4,Val!$D437,Val!$C$5,Val!$C$6,Val!$B437,Val!$E437,Val!P$10,Val!$C$7,Val!$C437),"")</f>
        <v>-1333.3333333333333</v>
      </c>
      <c r="Q437" s="2">
        <f ca="1">IF(Flag_Send_Data=1,_xll.DBSW(Val!Q437,Val!$C$1,Val!$C$2,Val!$C$3,Val!$C$4,Val!$D437,Val!$C$5,Val!$C$6,Val!$B437,Val!$E437,Val!Q$10,Val!$C$7,Val!$C437),"")</f>
        <v>-1333.3333333333333</v>
      </c>
    </row>
    <row r="438" spans="2:17" x14ac:dyDescent="0.25">
      <c r="B438" t="s">
        <v>295</v>
      </c>
      <c r="C438" t="s">
        <v>64</v>
      </c>
      <c r="D438" t="s">
        <v>199</v>
      </c>
      <c r="E438" t="s">
        <v>128</v>
      </c>
      <c r="F438" s="2">
        <f ca="1">IF(Flag_Send_Data=1,_xll.DBSW(Val!F438,Val!$C$1,Val!$C$2,Val!$C$3,Val!$C$4,Val!$D438,Val!$C$5,Val!$C$6,Val!$B438,Val!$E438,Val!F$10,Val!$C$7,Val!$C438),"")</f>
        <v>-70.388912037037045</v>
      </c>
      <c r="G438" s="2">
        <f ca="1">IF(Flag_Send_Data=1,_xll.DBSW(Val!G438,Val!$C$1,Val!$C$2,Val!$C$3,Val!$C$4,Val!$D438,Val!$C$5,Val!$C$6,Val!$B438,Val!$E438,Val!G$10,Val!$C$7,Val!$C438),"")</f>
        <v>-70.388912037037045</v>
      </c>
      <c r="H438" s="2">
        <f ca="1">IF(Flag_Send_Data=1,_xll.DBSW(Val!H438,Val!$C$1,Val!$C$2,Val!$C$3,Val!$C$4,Val!$D438,Val!$C$5,Val!$C$6,Val!$B438,Val!$E438,Val!H$10,Val!$C$7,Val!$C438),"")</f>
        <v>-70.388912037037045</v>
      </c>
      <c r="I438" s="2">
        <f ca="1">IF(Flag_Send_Data=1,_xll.DBSW(Val!I438,Val!$C$1,Val!$C$2,Val!$C$3,Val!$C$4,Val!$D438,Val!$C$5,Val!$C$6,Val!$B438,Val!$E438,Val!I$10,Val!$C$7,Val!$C438),"")</f>
        <v>-70.388912037037045</v>
      </c>
      <c r="J438" s="2">
        <f ca="1">IF(Flag_Send_Data=1,_xll.DBSW(Val!J438,Val!$C$1,Val!$C$2,Val!$C$3,Val!$C$4,Val!$D438,Val!$C$5,Val!$C$6,Val!$B438,Val!$E438,Val!J$10,Val!$C$7,Val!$C438),"")</f>
        <v>-70.388912037037045</v>
      </c>
      <c r="K438" s="2">
        <f ca="1">IF(Flag_Send_Data=1,_xll.DBSW(Val!K438,Val!$C$1,Val!$C$2,Val!$C$3,Val!$C$4,Val!$D438,Val!$C$5,Val!$C$6,Val!$B438,Val!$E438,Val!K$10,Val!$C$7,Val!$C438),"")</f>
        <v>-70.388912037037045</v>
      </c>
      <c r="L438" s="2">
        <f ca="1">IF(Flag_Send_Data=1,_xll.DBSW(Val!L438,Val!$C$1,Val!$C$2,Val!$C$3,Val!$C$4,Val!$D438,Val!$C$5,Val!$C$6,Val!$B438,Val!$E438,Val!L$10,Val!$C$7,Val!$C438),"")</f>
        <v>-70.388912037037045</v>
      </c>
      <c r="M438" s="2">
        <f ca="1">IF(Flag_Send_Data=1,_xll.DBSW(Val!M438,Val!$C$1,Val!$C$2,Val!$C$3,Val!$C$4,Val!$D438,Val!$C$5,Val!$C$6,Val!$B438,Val!$E438,Val!M$10,Val!$C$7,Val!$C438),"")</f>
        <v>-70.388912037037045</v>
      </c>
      <c r="N438" s="2">
        <f ca="1">IF(Flag_Send_Data=1,_xll.DBSW(Val!N438,Val!$C$1,Val!$C$2,Val!$C$3,Val!$C$4,Val!$D438,Val!$C$5,Val!$C$6,Val!$B438,Val!$E438,Val!N$10,Val!$C$7,Val!$C438),"")</f>
        <v>-70.388912037037045</v>
      </c>
      <c r="O438" s="2">
        <f ca="1">IF(Flag_Send_Data=1,_xll.DBSW(Val!O438,Val!$C$1,Val!$C$2,Val!$C$3,Val!$C$4,Val!$D438,Val!$C$5,Val!$C$6,Val!$B438,Val!$E438,Val!O$10,Val!$C$7,Val!$C438),"")</f>
        <v>-70.388912037037045</v>
      </c>
      <c r="P438" s="2">
        <f ca="1">IF(Flag_Send_Data=1,_xll.DBSW(Val!P438,Val!$C$1,Val!$C$2,Val!$C$3,Val!$C$4,Val!$D438,Val!$C$5,Val!$C$6,Val!$B438,Val!$E438,Val!P$10,Val!$C$7,Val!$C438),"")</f>
        <v>-70.388912037037045</v>
      </c>
      <c r="Q438" s="2">
        <f ca="1">IF(Flag_Send_Data=1,_xll.DBSW(Val!Q438,Val!$C$1,Val!$C$2,Val!$C$3,Val!$C$4,Val!$D438,Val!$C$5,Val!$C$6,Val!$B438,Val!$E438,Val!Q$10,Val!$C$7,Val!$C438),"")</f>
        <v>-70.388912037037045</v>
      </c>
    </row>
    <row r="439" spans="2:17" x14ac:dyDescent="0.25">
      <c r="B439" t="s">
        <v>295</v>
      </c>
      <c r="C439" t="s">
        <v>114</v>
      </c>
      <c r="D439" t="s">
        <v>199</v>
      </c>
      <c r="E439" t="s">
        <v>14</v>
      </c>
      <c r="F439" s="2">
        <f ca="1">IF(Flag_Send_Data=1,_xll.DBSW(Val!F439,Val!$C$1,Val!$C$2,Val!$C$3,Val!$C$4,Val!$D439,Val!$C$5,Val!$C$6,Val!$B439,Val!$E439,Val!F$10,Val!$C$7,Val!$C439),"")</f>
        <v>45000</v>
      </c>
      <c r="G439" s="2">
        <f ca="1">IF(Flag_Send_Data=1,_xll.DBSW(Val!G439,Val!$C$1,Val!$C$2,Val!$C$3,Val!$C$4,Val!$D439,Val!$C$5,Val!$C$6,Val!$B439,Val!$E439,Val!G$10,Val!$C$7,Val!$C439),"")</f>
        <v>45000</v>
      </c>
      <c r="H439" s="2">
        <f ca="1">IF(Flag_Send_Data=1,_xll.DBSW(Val!H439,Val!$C$1,Val!$C$2,Val!$C$3,Val!$C$4,Val!$D439,Val!$C$5,Val!$C$6,Val!$B439,Val!$E439,Val!H$10,Val!$C$7,Val!$C439),"")</f>
        <v>45000</v>
      </c>
      <c r="I439" s="2">
        <f ca="1">IF(Flag_Send_Data=1,_xll.DBSW(Val!I439,Val!$C$1,Val!$C$2,Val!$C$3,Val!$C$4,Val!$D439,Val!$C$5,Val!$C$6,Val!$B439,Val!$E439,Val!I$10,Val!$C$7,Val!$C439),"")</f>
        <v>145000</v>
      </c>
      <c r="J439" s="2">
        <f ca="1">IF(Flag_Send_Data=1,_xll.DBSW(Val!J439,Val!$C$1,Val!$C$2,Val!$C$3,Val!$C$4,Val!$D439,Val!$C$5,Val!$C$6,Val!$B439,Val!$E439,Val!J$10,Val!$C$7,Val!$C439),"")</f>
        <v>145000</v>
      </c>
      <c r="K439" s="2">
        <f ca="1">IF(Flag_Send_Data=1,_xll.DBSW(Val!K439,Val!$C$1,Val!$C$2,Val!$C$3,Val!$C$4,Val!$D439,Val!$C$5,Val!$C$6,Val!$B439,Val!$E439,Val!K$10,Val!$C$7,Val!$C439),"")</f>
        <v>145000</v>
      </c>
      <c r="L439" s="2">
        <f ca="1">IF(Flag_Send_Data=1,_xll.DBSW(Val!L439,Val!$C$1,Val!$C$2,Val!$C$3,Val!$C$4,Val!$D439,Val!$C$5,Val!$C$6,Val!$B439,Val!$E439,Val!L$10,Val!$C$7,Val!$C439),"")</f>
        <v>95000</v>
      </c>
      <c r="M439" s="2">
        <f ca="1">IF(Flag_Send_Data=1,_xll.DBSW(Val!M439,Val!$C$1,Val!$C$2,Val!$C$3,Val!$C$4,Val!$D439,Val!$C$5,Val!$C$6,Val!$B439,Val!$E439,Val!M$10,Val!$C$7,Val!$C439),"")</f>
        <v>95000</v>
      </c>
      <c r="N439" s="2">
        <f ca="1">IF(Flag_Send_Data=1,_xll.DBSW(Val!N439,Val!$C$1,Val!$C$2,Val!$C$3,Val!$C$4,Val!$D439,Val!$C$5,Val!$C$6,Val!$B439,Val!$E439,Val!N$10,Val!$C$7,Val!$C439),"")</f>
        <v>95000</v>
      </c>
      <c r="O439" s="2">
        <f ca="1">IF(Flag_Send_Data=1,_xll.DBSW(Val!O439,Val!$C$1,Val!$C$2,Val!$C$3,Val!$C$4,Val!$D439,Val!$C$5,Val!$C$6,Val!$B439,Val!$E439,Val!O$10,Val!$C$7,Val!$C439),"")</f>
        <v>78333.333333333343</v>
      </c>
      <c r="P439" s="2">
        <f ca="1">IF(Flag_Send_Data=1,_xll.DBSW(Val!P439,Val!$C$1,Val!$C$2,Val!$C$3,Val!$C$4,Val!$D439,Val!$C$5,Val!$C$6,Val!$B439,Val!$E439,Val!P$10,Val!$C$7,Val!$C439),"")</f>
        <v>78333.333333333343</v>
      </c>
      <c r="Q439" s="2">
        <f ca="1">IF(Flag_Send_Data=1,_xll.DBSW(Val!Q439,Val!$C$1,Val!$C$2,Val!$C$3,Val!$C$4,Val!$D439,Val!$C$5,Val!$C$6,Val!$B439,Val!$E439,Val!Q$10,Val!$C$7,Val!$C439),"")</f>
        <v>78333.333333333343</v>
      </c>
    </row>
    <row r="440" spans="2:17" x14ac:dyDescent="0.25">
      <c r="B440" t="s">
        <v>295</v>
      </c>
      <c r="C440" t="s">
        <v>183</v>
      </c>
      <c r="D440" t="s">
        <v>199</v>
      </c>
      <c r="E440" t="s">
        <v>14</v>
      </c>
      <c r="F440" s="2">
        <f ca="1">IF(Flag_Send_Data=1,_xll.DBSW(Val!F440,Val!$C$1,Val!$C$2,Val!$C$3,Val!$C$4,Val!$D440,Val!$C$5,Val!$C$6,Val!$B440,Val!$E440,Val!F$10,Val!$C$7,Val!$C440),"")</f>
        <v>19403.645</v>
      </c>
      <c r="G440" s="2">
        <f ca="1">IF(Flag_Send_Data=1,_xll.DBSW(Val!G440,Val!$C$1,Val!$C$2,Val!$C$3,Val!$C$4,Val!$D440,Val!$C$5,Val!$C$6,Val!$B440,Val!$E440,Val!G$10,Val!$C$7,Val!$C440),"")</f>
        <v>19403.645</v>
      </c>
      <c r="H440" s="2">
        <f ca="1">IF(Flag_Send_Data=1,_xll.DBSW(Val!H440,Val!$C$1,Val!$C$2,Val!$C$3,Val!$C$4,Val!$D440,Val!$C$5,Val!$C$6,Val!$B440,Val!$E440,Val!H$10,Val!$C$7,Val!$C440),"")</f>
        <v>19403.645</v>
      </c>
      <c r="I440" s="2">
        <f ca="1">IF(Flag_Send_Data=1,_xll.DBSW(Val!I440,Val!$C$1,Val!$C$2,Val!$C$3,Val!$C$4,Val!$D440,Val!$C$5,Val!$C$6,Val!$B440,Val!$E440,Val!I$10,Val!$C$7,Val!$C440),"")</f>
        <v>19403.645</v>
      </c>
      <c r="J440" s="2">
        <f ca="1">IF(Flag_Send_Data=1,_xll.DBSW(Val!J440,Val!$C$1,Val!$C$2,Val!$C$3,Val!$C$4,Val!$D440,Val!$C$5,Val!$C$6,Val!$B440,Val!$E440,Val!J$10,Val!$C$7,Val!$C440),"")</f>
        <v>19403.645</v>
      </c>
      <c r="K440" s="2">
        <f ca="1">IF(Flag_Send_Data=1,_xll.DBSW(Val!K440,Val!$C$1,Val!$C$2,Val!$C$3,Val!$C$4,Val!$D440,Val!$C$5,Val!$C$6,Val!$B440,Val!$E440,Val!K$10,Val!$C$7,Val!$C440),"")</f>
        <v>19403.645</v>
      </c>
      <c r="L440" s="2">
        <f ca="1">IF(Flag_Send_Data=1,_xll.DBSW(Val!L440,Val!$C$1,Val!$C$2,Val!$C$3,Val!$C$4,Val!$D440,Val!$C$5,Val!$C$6,Val!$B440,Val!$E440,Val!L$10,Val!$C$7,Val!$C440),"")</f>
        <v>19403.645</v>
      </c>
      <c r="M440" s="2">
        <f ca="1">IF(Flag_Send_Data=1,_xll.DBSW(Val!M440,Val!$C$1,Val!$C$2,Val!$C$3,Val!$C$4,Val!$D440,Val!$C$5,Val!$C$6,Val!$B440,Val!$E440,Val!M$10,Val!$C$7,Val!$C440),"")</f>
        <v>19403.645</v>
      </c>
      <c r="N440" s="2">
        <f ca="1">IF(Flag_Send_Data=1,_xll.DBSW(Val!N440,Val!$C$1,Val!$C$2,Val!$C$3,Val!$C$4,Val!$D440,Val!$C$5,Val!$C$6,Val!$B440,Val!$E440,Val!N$10,Val!$C$7,Val!$C440),"")</f>
        <v>19403.645</v>
      </c>
      <c r="O440" s="2">
        <f ca="1">IF(Flag_Send_Data=1,_xll.DBSW(Val!O440,Val!$C$1,Val!$C$2,Val!$C$3,Val!$C$4,Val!$D440,Val!$C$5,Val!$C$6,Val!$B440,Val!$E440,Val!O$10,Val!$C$7,Val!$C440),"")</f>
        <v>19403.645</v>
      </c>
      <c r="P440" s="2">
        <f ca="1">IF(Flag_Send_Data=1,_xll.DBSW(Val!P440,Val!$C$1,Val!$C$2,Val!$C$3,Val!$C$4,Val!$D440,Val!$C$5,Val!$C$6,Val!$B440,Val!$E440,Val!P$10,Val!$C$7,Val!$C440),"")</f>
        <v>19403.645</v>
      </c>
      <c r="Q440" s="2">
        <f ca="1">IF(Flag_Send_Data=1,_xll.DBSW(Val!Q440,Val!$C$1,Val!$C$2,Val!$C$3,Val!$C$4,Val!$D440,Val!$C$5,Val!$C$6,Val!$B440,Val!$E440,Val!Q$10,Val!$C$7,Val!$C440),"")</f>
        <v>19403.645</v>
      </c>
    </row>
    <row r="441" spans="2:17" x14ac:dyDescent="0.25">
      <c r="B441" t="s">
        <v>296</v>
      </c>
      <c r="C441" t="s">
        <v>40</v>
      </c>
      <c r="D441" t="s">
        <v>199</v>
      </c>
      <c r="E441" t="s">
        <v>128</v>
      </c>
      <c r="F441" s="2">
        <f ca="1">IF(Flag_Send_Data=1,_xll.DBSW(Val!F441,Val!$C$1,Val!$C$2,Val!$C$3,Val!$C$4,Val!$D441,Val!$C$5,Val!$C$6,Val!$B441,Val!$E441,Val!F$10,Val!$C$7,Val!$C441),"")</f>
        <v>-78030.402499999997</v>
      </c>
      <c r="G441" s="2">
        <f ca="1">IF(Flag_Send_Data=1,_xll.DBSW(Val!G441,Val!$C$1,Val!$C$2,Val!$C$3,Val!$C$4,Val!$D441,Val!$C$5,Val!$C$6,Val!$B441,Val!$E441,Val!G$10,Val!$C$7,Val!$C441),"")</f>
        <v>-78030.402499999997</v>
      </c>
      <c r="H441" s="2">
        <f ca="1">IF(Flag_Send_Data=1,_xll.DBSW(Val!H441,Val!$C$1,Val!$C$2,Val!$C$3,Val!$C$4,Val!$D441,Val!$C$5,Val!$C$6,Val!$B441,Val!$E441,Val!H$10,Val!$C$7,Val!$C441),"")</f>
        <v>-78030.402499999997</v>
      </c>
      <c r="I441" s="2">
        <f ca="1">IF(Flag_Send_Data=1,_xll.DBSW(Val!I441,Val!$C$1,Val!$C$2,Val!$C$3,Val!$C$4,Val!$D441,Val!$C$5,Val!$C$6,Val!$B441,Val!$E441,Val!I$10,Val!$C$7,Val!$C441),"")</f>
        <v>-78030.402499999997</v>
      </c>
      <c r="J441" s="2">
        <f ca="1">IF(Flag_Send_Data=1,_xll.DBSW(Val!J441,Val!$C$1,Val!$C$2,Val!$C$3,Val!$C$4,Val!$D441,Val!$C$5,Val!$C$6,Val!$B441,Val!$E441,Val!J$10,Val!$C$7,Val!$C441),"")</f>
        <v>-78030.402499999997</v>
      </c>
      <c r="K441" s="2">
        <f ca="1">IF(Flag_Send_Data=1,_xll.DBSW(Val!K441,Val!$C$1,Val!$C$2,Val!$C$3,Val!$C$4,Val!$D441,Val!$C$5,Val!$C$6,Val!$B441,Val!$E441,Val!K$10,Val!$C$7,Val!$C441),"")</f>
        <v>-78030.402499999997</v>
      </c>
      <c r="L441" s="2">
        <f ca="1">IF(Flag_Send_Data=1,_xll.DBSW(Val!L441,Val!$C$1,Val!$C$2,Val!$C$3,Val!$C$4,Val!$D441,Val!$C$5,Val!$C$6,Val!$B441,Val!$E441,Val!L$10,Val!$C$7,Val!$C441),"")</f>
        <v>-78030.402499999997</v>
      </c>
      <c r="M441" s="2">
        <f ca="1">IF(Flag_Send_Data=1,_xll.DBSW(Val!M441,Val!$C$1,Val!$C$2,Val!$C$3,Val!$C$4,Val!$D441,Val!$C$5,Val!$C$6,Val!$B441,Val!$E441,Val!M$10,Val!$C$7,Val!$C441),"")</f>
        <v>-78030.402499999997</v>
      </c>
      <c r="N441" s="2">
        <f ca="1">IF(Flag_Send_Data=1,_xll.DBSW(Val!N441,Val!$C$1,Val!$C$2,Val!$C$3,Val!$C$4,Val!$D441,Val!$C$5,Val!$C$6,Val!$B441,Val!$E441,Val!N$10,Val!$C$7,Val!$C441),"")</f>
        <v>-78030.402499999997</v>
      </c>
      <c r="O441" s="2">
        <f ca="1">IF(Flag_Send_Data=1,_xll.DBSW(Val!O441,Val!$C$1,Val!$C$2,Val!$C$3,Val!$C$4,Val!$D441,Val!$C$5,Val!$C$6,Val!$B441,Val!$E441,Val!O$10,Val!$C$7,Val!$C441),"")</f>
        <v>-78030.402499999997</v>
      </c>
      <c r="P441" s="2">
        <f ca="1">IF(Flag_Send_Data=1,_xll.DBSW(Val!P441,Val!$C$1,Val!$C$2,Val!$C$3,Val!$C$4,Val!$D441,Val!$C$5,Val!$C$6,Val!$B441,Val!$E441,Val!P$10,Val!$C$7,Val!$C441),"")</f>
        <v>-78030.402499999997</v>
      </c>
      <c r="Q441" s="2">
        <f ca="1">IF(Flag_Send_Data=1,_xll.DBSW(Val!Q441,Val!$C$1,Val!$C$2,Val!$C$3,Val!$C$4,Val!$D441,Val!$C$5,Val!$C$6,Val!$B441,Val!$E441,Val!Q$10,Val!$C$7,Val!$C441),"")</f>
        <v>-78030.402499999997</v>
      </c>
    </row>
    <row r="442" spans="2:17" x14ac:dyDescent="0.25">
      <c r="B442" t="s">
        <v>296</v>
      </c>
      <c r="C442" t="s">
        <v>41</v>
      </c>
      <c r="D442" t="s">
        <v>199</v>
      </c>
      <c r="E442" t="s">
        <v>128</v>
      </c>
      <c r="F442" s="2">
        <f ca="1">IF(Flag_Send_Data=1,_xll.DBSW(Val!F442,Val!$C$1,Val!$C$2,Val!$C$3,Val!$C$4,Val!$D442,Val!$C$5,Val!$C$6,Val!$B442,Val!$E442,Val!F$10,Val!$C$7,Val!$C442),"")</f>
        <v>-2083.3333333333335</v>
      </c>
      <c r="G442" s="2">
        <f ca="1">IF(Flag_Send_Data=1,_xll.DBSW(Val!G442,Val!$C$1,Val!$C$2,Val!$C$3,Val!$C$4,Val!$D442,Val!$C$5,Val!$C$6,Val!$B442,Val!$E442,Val!G$10,Val!$C$7,Val!$C442),"")</f>
        <v>-2083.3333333333335</v>
      </c>
      <c r="H442" s="2">
        <f ca="1">IF(Flag_Send_Data=1,_xll.DBSW(Val!H442,Val!$C$1,Val!$C$2,Val!$C$3,Val!$C$4,Val!$D442,Val!$C$5,Val!$C$6,Val!$B442,Val!$E442,Val!H$10,Val!$C$7,Val!$C442),"")</f>
        <v>-2083.3333333333335</v>
      </c>
      <c r="I442" s="2">
        <f ca="1">IF(Flag_Send_Data=1,_xll.DBSW(Val!I442,Val!$C$1,Val!$C$2,Val!$C$3,Val!$C$4,Val!$D442,Val!$C$5,Val!$C$6,Val!$B442,Val!$E442,Val!I$10,Val!$C$7,Val!$C442),"")</f>
        <v>-2083.3333333333335</v>
      </c>
      <c r="J442" s="2">
        <f ca="1">IF(Flag_Send_Data=1,_xll.DBSW(Val!J442,Val!$C$1,Val!$C$2,Val!$C$3,Val!$C$4,Val!$D442,Val!$C$5,Val!$C$6,Val!$B442,Val!$E442,Val!J$10,Val!$C$7,Val!$C442),"")</f>
        <v>-2083.3333333333335</v>
      </c>
      <c r="K442" s="2">
        <f ca="1">IF(Flag_Send_Data=1,_xll.DBSW(Val!K442,Val!$C$1,Val!$C$2,Val!$C$3,Val!$C$4,Val!$D442,Val!$C$5,Val!$C$6,Val!$B442,Val!$E442,Val!K$10,Val!$C$7,Val!$C442),"")</f>
        <v>-2083.3333333333335</v>
      </c>
      <c r="L442" s="2">
        <f ca="1">IF(Flag_Send_Data=1,_xll.DBSW(Val!L442,Val!$C$1,Val!$C$2,Val!$C$3,Val!$C$4,Val!$D442,Val!$C$5,Val!$C$6,Val!$B442,Val!$E442,Val!L$10,Val!$C$7,Val!$C442),"")</f>
        <v>-2083.3333333333335</v>
      </c>
      <c r="M442" s="2">
        <f ca="1">IF(Flag_Send_Data=1,_xll.DBSW(Val!M442,Val!$C$1,Val!$C$2,Val!$C$3,Val!$C$4,Val!$D442,Val!$C$5,Val!$C$6,Val!$B442,Val!$E442,Val!M$10,Val!$C$7,Val!$C442),"")</f>
        <v>-2083.3333333333335</v>
      </c>
      <c r="N442" s="2">
        <f ca="1">IF(Flag_Send_Data=1,_xll.DBSW(Val!N442,Val!$C$1,Val!$C$2,Val!$C$3,Val!$C$4,Val!$D442,Val!$C$5,Val!$C$6,Val!$B442,Val!$E442,Val!N$10,Val!$C$7,Val!$C442),"")</f>
        <v>-2083.3333333333335</v>
      </c>
      <c r="O442" s="2">
        <f ca="1">IF(Flag_Send_Data=1,_xll.DBSW(Val!O442,Val!$C$1,Val!$C$2,Val!$C$3,Val!$C$4,Val!$D442,Val!$C$5,Val!$C$6,Val!$B442,Val!$E442,Val!O$10,Val!$C$7,Val!$C442),"")</f>
        <v>-2083.3333333333335</v>
      </c>
      <c r="P442" s="2">
        <f ca="1">IF(Flag_Send_Data=1,_xll.DBSW(Val!P442,Val!$C$1,Val!$C$2,Val!$C$3,Val!$C$4,Val!$D442,Val!$C$5,Val!$C$6,Val!$B442,Val!$E442,Val!P$10,Val!$C$7,Val!$C442),"")</f>
        <v>-2083.3333333333335</v>
      </c>
      <c r="Q442" s="2">
        <f ca="1">IF(Flag_Send_Data=1,_xll.DBSW(Val!Q442,Val!$C$1,Val!$C$2,Val!$C$3,Val!$C$4,Val!$D442,Val!$C$5,Val!$C$6,Val!$B442,Val!$E442,Val!Q$10,Val!$C$7,Val!$C442),"")</f>
        <v>-2083.3333333333335</v>
      </c>
    </row>
    <row r="443" spans="2:17" x14ac:dyDescent="0.25">
      <c r="B443" t="s">
        <v>296</v>
      </c>
      <c r="C443" t="s">
        <v>42</v>
      </c>
      <c r="D443" t="s">
        <v>199</v>
      </c>
      <c r="E443" t="s">
        <v>128</v>
      </c>
      <c r="F443" s="2">
        <f ca="1">IF(Flag_Send_Data=1,_xll.DBSW(Val!F443,Val!$C$1,Val!$C$2,Val!$C$3,Val!$C$4,Val!$D443,Val!$C$5,Val!$C$6,Val!$B443,Val!$E443,Val!F$10,Val!$C$7,Val!$C443),"")</f>
        <v>-33333.333333333336</v>
      </c>
      <c r="G443" s="2">
        <f ca="1">IF(Flag_Send_Data=1,_xll.DBSW(Val!G443,Val!$C$1,Val!$C$2,Val!$C$3,Val!$C$4,Val!$D443,Val!$C$5,Val!$C$6,Val!$B443,Val!$E443,Val!G$10,Val!$C$7,Val!$C443),"")</f>
        <v>-33333.333333333336</v>
      </c>
      <c r="H443" s="2">
        <f ca="1">IF(Flag_Send_Data=1,_xll.DBSW(Val!H443,Val!$C$1,Val!$C$2,Val!$C$3,Val!$C$4,Val!$D443,Val!$C$5,Val!$C$6,Val!$B443,Val!$E443,Val!H$10,Val!$C$7,Val!$C443),"")</f>
        <v>-33333.333333333336</v>
      </c>
      <c r="I443" s="2">
        <f ca="1">IF(Flag_Send_Data=1,_xll.DBSW(Val!I443,Val!$C$1,Val!$C$2,Val!$C$3,Val!$C$4,Val!$D443,Val!$C$5,Val!$C$6,Val!$B443,Val!$E443,Val!I$10,Val!$C$7,Val!$C443),"")</f>
        <v>-33333.333333333336</v>
      </c>
      <c r="J443" s="2">
        <f ca="1">IF(Flag_Send_Data=1,_xll.DBSW(Val!J443,Val!$C$1,Val!$C$2,Val!$C$3,Val!$C$4,Val!$D443,Val!$C$5,Val!$C$6,Val!$B443,Val!$E443,Val!J$10,Val!$C$7,Val!$C443),"")</f>
        <v>-33333.333333333336</v>
      </c>
      <c r="K443" s="2">
        <f ca="1">IF(Flag_Send_Data=1,_xll.DBSW(Val!K443,Val!$C$1,Val!$C$2,Val!$C$3,Val!$C$4,Val!$D443,Val!$C$5,Val!$C$6,Val!$B443,Val!$E443,Val!K$10,Val!$C$7,Val!$C443),"")</f>
        <v>-33333.333333333336</v>
      </c>
      <c r="L443" s="2">
        <f ca="1">IF(Flag_Send_Data=1,_xll.DBSW(Val!L443,Val!$C$1,Val!$C$2,Val!$C$3,Val!$C$4,Val!$D443,Val!$C$5,Val!$C$6,Val!$B443,Val!$E443,Val!L$10,Val!$C$7,Val!$C443),"")</f>
        <v>-33333.333333333336</v>
      </c>
      <c r="M443" s="2">
        <f ca="1">IF(Flag_Send_Data=1,_xll.DBSW(Val!M443,Val!$C$1,Val!$C$2,Val!$C$3,Val!$C$4,Val!$D443,Val!$C$5,Val!$C$6,Val!$B443,Val!$E443,Val!M$10,Val!$C$7,Val!$C443),"")</f>
        <v>-33333.333333333336</v>
      </c>
      <c r="N443" s="2">
        <f ca="1">IF(Flag_Send_Data=1,_xll.DBSW(Val!N443,Val!$C$1,Val!$C$2,Val!$C$3,Val!$C$4,Val!$D443,Val!$C$5,Val!$C$6,Val!$B443,Val!$E443,Val!N$10,Val!$C$7,Val!$C443),"")</f>
        <v>-33333.333333333336</v>
      </c>
      <c r="O443" s="2">
        <f ca="1">IF(Flag_Send_Data=1,_xll.DBSW(Val!O443,Val!$C$1,Val!$C$2,Val!$C$3,Val!$C$4,Val!$D443,Val!$C$5,Val!$C$6,Val!$B443,Val!$E443,Val!O$10,Val!$C$7,Val!$C443),"")</f>
        <v>-33333.333333333336</v>
      </c>
      <c r="P443" s="2">
        <f ca="1">IF(Flag_Send_Data=1,_xll.DBSW(Val!P443,Val!$C$1,Val!$C$2,Val!$C$3,Val!$C$4,Val!$D443,Val!$C$5,Val!$C$6,Val!$B443,Val!$E443,Val!P$10,Val!$C$7,Val!$C443),"")</f>
        <v>-33333.333333333336</v>
      </c>
      <c r="Q443" s="2">
        <f ca="1">IF(Flag_Send_Data=1,_xll.DBSW(Val!Q443,Val!$C$1,Val!$C$2,Val!$C$3,Val!$C$4,Val!$D443,Val!$C$5,Val!$C$6,Val!$B443,Val!$E443,Val!Q$10,Val!$C$7,Val!$C443),"")</f>
        <v>-33333.333333333336</v>
      </c>
    </row>
    <row r="444" spans="2:17" x14ac:dyDescent="0.25">
      <c r="B444" t="s">
        <v>296</v>
      </c>
      <c r="C444" t="s">
        <v>43</v>
      </c>
      <c r="D444" t="s">
        <v>199</v>
      </c>
      <c r="E444" t="s">
        <v>128</v>
      </c>
      <c r="F444" s="2">
        <f ca="1">IF(Flag_Send_Data=1,_xll.DBSW(Val!F444,Val!$C$1,Val!$C$2,Val!$C$3,Val!$C$4,Val!$D444,Val!$C$5,Val!$C$6,Val!$B444,Val!$E444,Val!F$10,Val!$C$7,Val!$C444),"")</f>
        <v>-416.66666666666669</v>
      </c>
      <c r="G444" s="2">
        <f ca="1">IF(Flag_Send_Data=1,_xll.DBSW(Val!G444,Val!$C$1,Val!$C$2,Val!$C$3,Val!$C$4,Val!$D444,Val!$C$5,Val!$C$6,Val!$B444,Val!$E444,Val!G$10,Val!$C$7,Val!$C444),"")</f>
        <v>-416.66666666666669</v>
      </c>
      <c r="H444" s="2">
        <f ca="1">IF(Flag_Send_Data=1,_xll.DBSW(Val!H444,Val!$C$1,Val!$C$2,Val!$C$3,Val!$C$4,Val!$D444,Val!$C$5,Val!$C$6,Val!$B444,Val!$E444,Val!H$10,Val!$C$7,Val!$C444),"")</f>
        <v>-416.66666666666669</v>
      </c>
      <c r="I444" s="2">
        <f ca="1">IF(Flag_Send_Data=1,_xll.DBSW(Val!I444,Val!$C$1,Val!$C$2,Val!$C$3,Val!$C$4,Val!$D444,Val!$C$5,Val!$C$6,Val!$B444,Val!$E444,Val!I$10,Val!$C$7,Val!$C444),"")</f>
        <v>-416.66666666666669</v>
      </c>
      <c r="J444" s="2">
        <f ca="1">IF(Flag_Send_Data=1,_xll.DBSW(Val!J444,Val!$C$1,Val!$C$2,Val!$C$3,Val!$C$4,Val!$D444,Val!$C$5,Val!$C$6,Val!$B444,Val!$E444,Val!J$10,Val!$C$7,Val!$C444),"")</f>
        <v>-416.66666666666669</v>
      </c>
      <c r="K444" s="2">
        <f ca="1">IF(Flag_Send_Data=1,_xll.DBSW(Val!K444,Val!$C$1,Val!$C$2,Val!$C$3,Val!$C$4,Val!$D444,Val!$C$5,Val!$C$6,Val!$B444,Val!$E444,Val!K$10,Val!$C$7,Val!$C444),"")</f>
        <v>-416.66666666666669</v>
      </c>
      <c r="L444" s="2">
        <f ca="1">IF(Flag_Send_Data=1,_xll.DBSW(Val!L444,Val!$C$1,Val!$C$2,Val!$C$3,Val!$C$4,Val!$D444,Val!$C$5,Val!$C$6,Val!$B444,Val!$E444,Val!L$10,Val!$C$7,Val!$C444),"")</f>
        <v>-416.66666666666669</v>
      </c>
      <c r="M444" s="2">
        <f ca="1">IF(Flag_Send_Data=1,_xll.DBSW(Val!M444,Val!$C$1,Val!$C$2,Val!$C$3,Val!$C$4,Val!$D444,Val!$C$5,Val!$C$6,Val!$B444,Val!$E444,Val!M$10,Val!$C$7,Val!$C444),"")</f>
        <v>-416.66666666666669</v>
      </c>
      <c r="N444" s="2">
        <f ca="1">IF(Flag_Send_Data=1,_xll.DBSW(Val!N444,Val!$C$1,Val!$C$2,Val!$C$3,Val!$C$4,Val!$D444,Val!$C$5,Val!$C$6,Val!$B444,Val!$E444,Val!N$10,Val!$C$7,Val!$C444),"")</f>
        <v>-416.66666666666669</v>
      </c>
      <c r="O444" s="2">
        <f ca="1">IF(Flag_Send_Data=1,_xll.DBSW(Val!O444,Val!$C$1,Val!$C$2,Val!$C$3,Val!$C$4,Val!$D444,Val!$C$5,Val!$C$6,Val!$B444,Val!$E444,Val!O$10,Val!$C$7,Val!$C444),"")</f>
        <v>-416.66666666666669</v>
      </c>
      <c r="P444" s="2">
        <f ca="1">IF(Flag_Send_Data=1,_xll.DBSW(Val!P444,Val!$C$1,Val!$C$2,Val!$C$3,Val!$C$4,Val!$D444,Val!$C$5,Val!$C$6,Val!$B444,Val!$E444,Val!P$10,Val!$C$7,Val!$C444),"")</f>
        <v>-416.66666666666669</v>
      </c>
      <c r="Q444" s="2">
        <f ca="1">IF(Flag_Send_Data=1,_xll.DBSW(Val!Q444,Val!$C$1,Val!$C$2,Val!$C$3,Val!$C$4,Val!$D444,Val!$C$5,Val!$C$6,Val!$B444,Val!$E444,Val!Q$10,Val!$C$7,Val!$C444),"")</f>
        <v>-416.66666666666669</v>
      </c>
    </row>
    <row r="445" spans="2:17" x14ac:dyDescent="0.25">
      <c r="B445" t="s">
        <v>296</v>
      </c>
      <c r="C445" t="s">
        <v>107</v>
      </c>
      <c r="D445" t="s">
        <v>199</v>
      </c>
      <c r="E445" t="s">
        <v>128</v>
      </c>
      <c r="F445" s="2">
        <f ca="1">IF(Flag_Send_Data=1,_xll.DBSW(Val!F445,Val!$C$1,Val!$C$2,Val!$C$3,Val!$C$4,Val!$D445,Val!$C$5,Val!$C$6,Val!$B445,Val!$E445,Val!F$10,Val!$C$7,Val!$C445),"")</f>
        <v>-833.33333333333337</v>
      </c>
      <c r="G445" s="2">
        <f ca="1">IF(Flag_Send_Data=1,_xll.DBSW(Val!G445,Val!$C$1,Val!$C$2,Val!$C$3,Val!$C$4,Val!$D445,Val!$C$5,Val!$C$6,Val!$B445,Val!$E445,Val!G$10,Val!$C$7,Val!$C445),"")</f>
        <v>-833.33333333333337</v>
      </c>
      <c r="H445" s="2">
        <f ca="1">IF(Flag_Send_Data=1,_xll.DBSW(Val!H445,Val!$C$1,Val!$C$2,Val!$C$3,Val!$C$4,Val!$D445,Val!$C$5,Val!$C$6,Val!$B445,Val!$E445,Val!H$10,Val!$C$7,Val!$C445),"")</f>
        <v>-833.33333333333337</v>
      </c>
      <c r="I445" s="2">
        <f ca="1">IF(Flag_Send_Data=1,_xll.DBSW(Val!I445,Val!$C$1,Val!$C$2,Val!$C$3,Val!$C$4,Val!$D445,Val!$C$5,Val!$C$6,Val!$B445,Val!$E445,Val!I$10,Val!$C$7,Val!$C445),"")</f>
        <v>-833.33333333333337</v>
      </c>
      <c r="J445" s="2">
        <f ca="1">IF(Flag_Send_Data=1,_xll.DBSW(Val!J445,Val!$C$1,Val!$C$2,Val!$C$3,Val!$C$4,Val!$D445,Val!$C$5,Val!$C$6,Val!$B445,Val!$E445,Val!J$10,Val!$C$7,Val!$C445),"")</f>
        <v>-833.33333333333337</v>
      </c>
      <c r="K445" s="2">
        <f ca="1">IF(Flag_Send_Data=1,_xll.DBSW(Val!K445,Val!$C$1,Val!$C$2,Val!$C$3,Val!$C$4,Val!$D445,Val!$C$5,Val!$C$6,Val!$B445,Val!$E445,Val!K$10,Val!$C$7,Val!$C445),"")</f>
        <v>-833.33333333333337</v>
      </c>
      <c r="L445" s="2">
        <f ca="1">IF(Flag_Send_Data=1,_xll.DBSW(Val!L445,Val!$C$1,Val!$C$2,Val!$C$3,Val!$C$4,Val!$D445,Val!$C$5,Val!$C$6,Val!$B445,Val!$E445,Val!L$10,Val!$C$7,Val!$C445),"")</f>
        <v>-833.33333333333337</v>
      </c>
      <c r="M445" s="2">
        <f ca="1">IF(Flag_Send_Data=1,_xll.DBSW(Val!M445,Val!$C$1,Val!$C$2,Val!$C$3,Val!$C$4,Val!$D445,Val!$C$5,Val!$C$6,Val!$B445,Val!$E445,Val!M$10,Val!$C$7,Val!$C445),"")</f>
        <v>-833.33333333333337</v>
      </c>
      <c r="N445" s="2">
        <f ca="1">IF(Flag_Send_Data=1,_xll.DBSW(Val!N445,Val!$C$1,Val!$C$2,Val!$C$3,Val!$C$4,Val!$D445,Val!$C$5,Val!$C$6,Val!$B445,Val!$E445,Val!N$10,Val!$C$7,Val!$C445),"")</f>
        <v>-833.33333333333337</v>
      </c>
      <c r="O445" s="2">
        <f ca="1">IF(Flag_Send_Data=1,_xll.DBSW(Val!O445,Val!$C$1,Val!$C$2,Val!$C$3,Val!$C$4,Val!$D445,Val!$C$5,Val!$C$6,Val!$B445,Val!$E445,Val!O$10,Val!$C$7,Val!$C445),"")</f>
        <v>-833.33333333333337</v>
      </c>
      <c r="P445" s="2">
        <f ca="1">IF(Flag_Send_Data=1,_xll.DBSW(Val!P445,Val!$C$1,Val!$C$2,Val!$C$3,Val!$C$4,Val!$D445,Val!$C$5,Val!$C$6,Val!$B445,Val!$E445,Val!P$10,Val!$C$7,Val!$C445),"")</f>
        <v>-833.33333333333337</v>
      </c>
      <c r="Q445" s="2">
        <f ca="1">IF(Flag_Send_Data=1,_xll.DBSW(Val!Q445,Val!$C$1,Val!$C$2,Val!$C$3,Val!$C$4,Val!$D445,Val!$C$5,Val!$C$6,Val!$B445,Val!$E445,Val!Q$10,Val!$C$7,Val!$C445),"")</f>
        <v>-833.33333333333337</v>
      </c>
    </row>
    <row r="446" spans="2:17" x14ac:dyDescent="0.25">
      <c r="B446" t="s">
        <v>296</v>
      </c>
      <c r="C446" t="s">
        <v>64</v>
      </c>
      <c r="D446" t="s">
        <v>223</v>
      </c>
      <c r="E446" t="s">
        <v>128</v>
      </c>
      <c r="F446" s="2">
        <f ca="1">IF(Flag_Send_Data=1,_xll.DBSW(Val!F446,Val!$C$1,Val!$C$2,Val!$C$3,Val!$C$4,Val!$D446,Val!$C$5,Val!$C$6,Val!$B446,Val!$E446,Val!F$10,Val!$C$7,Val!$C446),"")</f>
        <v>-400</v>
      </c>
      <c r="G446" s="2">
        <f ca="1">IF(Flag_Send_Data=1,_xll.DBSW(Val!G446,Val!$C$1,Val!$C$2,Val!$C$3,Val!$C$4,Val!$D446,Val!$C$5,Val!$C$6,Val!$B446,Val!$E446,Val!G$10,Val!$C$7,Val!$C446),"")</f>
        <v>-400</v>
      </c>
      <c r="H446" s="2">
        <f ca="1">IF(Flag_Send_Data=1,_xll.DBSW(Val!H446,Val!$C$1,Val!$C$2,Val!$C$3,Val!$C$4,Val!$D446,Val!$C$5,Val!$C$6,Val!$B446,Val!$E446,Val!H$10,Val!$C$7,Val!$C446),"")</f>
        <v>-400</v>
      </c>
      <c r="I446" s="2">
        <f ca="1">IF(Flag_Send_Data=1,_xll.DBSW(Val!I446,Val!$C$1,Val!$C$2,Val!$C$3,Val!$C$4,Val!$D446,Val!$C$5,Val!$C$6,Val!$B446,Val!$E446,Val!I$10,Val!$C$7,Val!$C446),"")</f>
        <v>-400</v>
      </c>
      <c r="J446" s="2">
        <f ca="1">IF(Flag_Send_Data=1,_xll.DBSW(Val!J446,Val!$C$1,Val!$C$2,Val!$C$3,Val!$C$4,Val!$D446,Val!$C$5,Val!$C$6,Val!$B446,Val!$E446,Val!J$10,Val!$C$7,Val!$C446),"")</f>
        <v>-400</v>
      </c>
      <c r="K446" s="2">
        <f ca="1">IF(Flag_Send_Data=1,_xll.DBSW(Val!K446,Val!$C$1,Val!$C$2,Val!$C$3,Val!$C$4,Val!$D446,Val!$C$5,Val!$C$6,Val!$B446,Val!$E446,Val!K$10,Val!$C$7,Val!$C446),"")</f>
        <v>-400</v>
      </c>
      <c r="L446" s="2">
        <f ca="1">IF(Flag_Send_Data=1,_xll.DBSW(Val!L446,Val!$C$1,Val!$C$2,Val!$C$3,Val!$C$4,Val!$D446,Val!$C$5,Val!$C$6,Val!$B446,Val!$E446,Val!L$10,Val!$C$7,Val!$C446),"")</f>
        <v>-400</v>
      </c>
      <c r="M446" s="2">
        <f ca="1">IF(Flag_Send_Data=1,_xll.DBSW(Val!M446,Val!$C$1,Val!$C$2,Val!$C$3,Val!$C$4,Val!$D446,Val!$C$5,Val!$C$6,Val!$B446,Val!$E446,Val!M$10,Val!$C$7,Val!$C446),"")</f>
        <v>-400</v>
      </c>
      <c r="N446" s="2">
        <f ca="1">IF(Flag_Send_Data=1,_xll.DBSW(Val!N446,Val!$C$1,Val!$C$2,Val!$C$3,Val!$C$4,Val!$D446,Val!$C$5,Val!$C$6,Val!$B446,Val!$E446,Val!N$10,Val!$C$7,Val!$C446),"")</f>
        <v>-400</v>
      </c>
      <c r="O446" s="2">
        <f ca="1">IF(Flag_Send_Data=1,_xll.DBSW(Val!O446,Val!$C$1,Val!$C$2,Val!$C$3,Val!$C$4,Val!$D446,Val!$C$5,Val!$C$6,Val!$B446,Val!$E446,Val!O$10,Val!$C$7,Val!$C446),"")</f>
        <v>-400</v>
      </c>
      <c r="P446" s="2">
        <f ca="1">IF(Flag_Send_Data=1,_xll.DBSW(Val!P446,Val!$C$1,Val!$C$2,Val!$C$3,Val!$C$4,Val!$D446,Val!$C$5,Val!$C$6,Val!$B446,Val!$E446,Val!P$10,Val!$C$7,Val!$C446),"")</f>
        <v>-400</v>
      </c>
      <c r="Q446" s="2">
        <f ca="1">IF(Flag_Send_Data=1,_xll.DBSW(Val!Q446,Val!$C$1,Val!$C$2,Val!$C$3,Val!$C$4,Val!$D446,Val!$C$5,Val!$C$6,Val!$B446,Val!$E446,Val!Q$10,Val!$C$7,Val!$C446),"")</f>
        <v>-400</v>
      </c>
    </row>
    <row r="447" spans="2:17" x14ac:dyDescent="0.25">
      <c r="B447" t="s">
        <v>296</v>
      </c>
      <c r="C447" t="s">
        <v>116</v>
      </c>
      <c r="D447" t="s">
        <v>199</v>
      </c>
      <c r="E447" t="s">
        <v>14</v>
      </c>
      <c r="F447" s="2">
        <f ca="1">IF(Flag_Send_Data=1,_xll.DBSW(Val!F447,Val!$C$1,Val!$C$2,Val!$C$3,Val!$C$4,Val!$D447,Val!$C$5,Val!$C$6,Val!$B447,Val!$E447,Val!F$10,Val!$C$7,Val!$C447),"")</f>
        <v>16810.875</v>
      </c>
      <c r="G447" s="2">
        <f ca="1">IF(Flag_Send_Data=1,_xll.DBSW(Val!G447,Val!$C$1,Val!$C$2,Val!$C$3,Val!$C$4,Val!$D447,Val!$C$5,Val!$C$6,Val!$B447,Val!$E447,Val!G$10,Val!$C$7,Val!$C447),"")</f>
        <v>16810.875</v>
      </c>
      <c r="H447" s="2">
        <f ca="1">IF(Flag_Send_Data=1,_xll.DBSW(Val!H447,Val!$C$1,Val!$C$2,Val!$C$3,Val!$C$4,Val!$D447,Val!$C$5,Val!$C$6,Val!$B447,Val!$E447,Val!H$10,Val!$C$7,Val!$C447),"")</f>
        <v>16810.875</v>
      </c>
      <c r="I447" s="2">
        <f ca="1">IF(Flag_Send_Data=1,_xll.DBSW(Val!I447,Val!$C$1,Val!$C$2,Val!$C$3,Val!$C$4,Val!$D447,Val!$C$5,Val!$C$6,Val!$B447,Val!$E447,Val!I$10,Val!$C$7,Val!$C447),"")</f>
        <v>16810.875</v>
      </c>
      <c r="J447" s="2">
        <f ca="1">IF(Flag_Send_Data=1,_xll.DBSW(Val!J447,Val!$C$1,Val!$C$2,Val!$C$3,Val!$C$4,Val!$D447,Val!$C$5,Val!$C$6,Val!$B447,Val!$E447,Val!J$10,Val!$C$7,Val!$C447),"")</f>
        <v>16810.875</v>
      </c>
      <c r="K447" s="2">
        <f ca="1">IF(Flag_Send_Data=1,_xll.DBSW(Val!K447,Val!$C$1,Val!$C$2,Val!$C$3,Val!$C$4,Val!$D447,Val!$C$5,Val!$C$6,Val!$B447,Val!$E447,Val!K$10,Val!$C$7,Val!$C447),"")</f>
        <v>16810.875</v>
      </c>
      <c r="L447" s="2">
        <f ca="1">IF(Flag_Send_Data=1,_xll.DBSW(Val!L447,Val!$C$1,Val!$C$2,Val!$C$3,Val!$C$4,Val!$D447,Val!$C$5,Val!$C$6,Val!$B447,Val!$E447,Val!L$10,Val!$C$7,Val!$C447),"")</f>
        <v>16810.875</v>
      </c>
      <c r="M447" s="2">
        <f ca="1">IF(Flag_Send_Data=1,_xll.DBSW(Val!M447,Val!$C$1,Val!$C$2,Val!$C$3,Val!$C$4,Val!$D447,Val!$C$5,Val!$C$6,Val!$B447,Val!$E447,Val!M$10,Val!$C$7,Val!$C447),"")</f>
        <v>16810.875</v>
      </c>
      <c r="N447" s="2">
        <f ca="1">IF(Flag_Send_Data=1,_xll.DBSW(Val!N447,Val!$C$1,Val!$C$2,Val!$C$3,Val!$C$4,Val!$D447,Val!$C$5,Val!$C$6,Val!$B447,Val!$E447,Val!N$10,Val!$C$7,Val!$C447),"")</f>
        <v>16810.875</v>
      </c>
      <c r="O447" s="2">
        <f ca="1">IF(Flag_Send_Data=1,_xll.DBSW(Val!O447,Val!$C$1,Val!$C$2,Val!$C$3,Val!$C$4,Val!$D447,Val!$C$5,Val!$C$6,Val!$B447,Val!$E447,Val!O$10,Val!$C$7,Val!$C447),"")</f>
        <v>16810.875</v>
      </c>
      <c r="P447" s="2">
        <f ca="1">IF(Flag_Send_Data=1,_xll.DBSW(Val!P447,Val!$C$1,Val!$C$2,Val!$C$3,Val!$C$4,Val!$D447,Val!$C$5,Val!$C$6,Val!$B447,Val!$E447,Val!P$10,Val!$C$7,Val!$C447),"")</f>
        <v>16810.875</v>
      </c>
      <c r="Q447" s="2">
        <f ca="1">IF(Flag_Send_Data=1,_xll.DBSW(Val!Q447,Val!$C$1,Val!$C$2,Val!$C$3,Val!$C$4,Val!$D447,Val!$C$5,Val!$C$6,Val!$B447,Val!$E447,Val!Q$10,Val!$C$7,Val!$C447),"")</f>
        <v>16810.875</v>
      </c>
    </row>
    <row r="448" spans="2:17" x14ac:dyDescent="0.25">
      <c r="B448" t="s">
        <v>297</v>
      </c>
      <c r="C448" t="s">
        <v>11</v>
      </c>
      <c r="D448" t="s">
        <v>199</v>
      </c>
      <c r="E448" t="s">
        <v>128</v>
      </c>
      <c r="F448" s="2">
        <f ca="1">IF(Flag_Send_Data=1,_xll.DBSW(Val!F448,Val!$C$1,Val!$C$2,Val!$C$3,Val!$C$4,Val!$D448,Val!$C$5,Val!$C$6,Val!$B448,Val!$E448,Val!F$10,Val!$C$7,Val!$C448),"")</f>
        <v>-52337.158333333333</v>
      </c>
      <c r="G448" s="2">
        <f ca="1">IF(Flag_Send_Data=1,_xll.DBSW(Val!G448,Val!$C$1,Val!$C$2,Val!$C$3,Val!$C$4,Val!$D448,Val!$C$5,Val!$C$6,Val!$B448,Val!$E448,Val!G$10,Val!$C$7,Val!$C448),"")</f>
        <v>-52337.158333333333</v>
      </c>
      <c r="H448" s="2">
        <f ca="1">IF(Flag_Send_Data=1,_xll.DBSW(Val!H448,Val!$C$1,Val!$C$2,Val!$C$3,Val!$C$4,Val!$D448,Val!$C$5,Val!$C$6,Val!$B448,Val!$E448,Val!H$10,Val!$C$7,Val!$C448),"")</f>
        <v>-52337.158333333333</v>
      </c>
      <c r="I448" s="2">
        <f ca="1">IF(Flag_Send_Data=1,_xll.DBSW(Val!I448,Val!$C$1,Val!$C$2,Val!$C$3,Val!$C$4,Val!$D448,Val!$C$5,Val!$C$6,Val!$B448,Val!$E448,Val!I$10,Val!$C$7,Val!$C448),"")</f>
        <v>-52337.158333333333</v>
      </c>
      <c r="J448" s="2">
        <f ca="1">IF(Flag_Send_Data=1,_xll.DBSW(Val!J448,Val!$C$1,Val!$C$2,Val!$C$3,Val!$C$4,Val!$D448,Val!$C$5,Val!$C$6,Val!$B448,Val!$E448,Val!J$10,Val!$C$7,Val!$C448),"")</f>
        <v>-52337.158333333333</v>
      </c>
      <c r="K448" s="2">
        <f ca="1">IF(Flag_Send_Data=1,_xll.DBSW(Val!K448,Val!$C$1,Val!$C$2,Val!$C$3,Val!$C$4,Val!$D448,Val!$C$5,Val!$C$6,Val!$B448,Val!$E448,Val!K$10,Val!$C$7,Val!$C448),"")</f>
        <v>-52337.158333333333</v>
      </c>
      <c r="L448" s="2">
        <f ca="1">IF(Flag_Send_Data=1,_xll.DBSW(Val!L448,Val!$C$1,Val!$C$2,Val!$C$3,Val!$C$4,Val!$D448,Val!$C$5,Val!$C$6,Val!$B448,Val!$E448,Val!L$10,Val!$C$7,Val!$C448),"")</f>
        <v>-52337.158333333333</v>
      </c>
      <c r="M448" s="2">
        <f ca="1">IF(Flag_Send_Data=1,_xll.DBSW(Val!M448,Val!$C$1,Val!$C$2,Val!$C$3,Val!$C$4,Val!$D448,Val!$C$5,Val!$C$6,Val!$B448,Val!$E448,Val!M$10,Val!$C$7,Val!$C448),"")</f>
        <v>-52337.158333333333</v>
      </c>
      <c r="N448" s="2">
        <f ca="1">IF(Flag_Send_Data=1,_xll.DBSW(Val!N448,Val!$C$1,Val!$C$2,Val!$C$3,Val!$C$4,Val!$D448,Val!$C$5,Val!$C$6,Val!$B448,Val!$E448,Val!N$10,Val!$C$7,Val!$C448),"")</f>
        <v>-52337.158333333333</v>
      </c>
      <c r="O448" s="2">
        <f ca="1">IF(Flag_Send_Data=1,_xll.DBSW(Val!O448,Val!$C$1,Val!$C$2,Val!$C$3,Val!$C$4,Val!$D448,Val!$C$5,Val!$C$6,Val!$B448,Val!$E448,Val!O$10,Val!$C$7,Val!$C448),"")</f>
        <v>-52337.158333333333</v>
      </c>
      <c r="P448" s="2">
        <f ca="1">IF(Flag_Send_Data=1,_xll.DBSW(Val!P448,Val!$C$1,Val!$C$2,Val!$C$3,Val!$C$4,Val!$D448,Val!$C$5,Val!$C$6,Val!$B448,Val!$E448,Val!P$10,Val!$C$7,Val!$C448),"")</f>
        <v>-52337.158333333333</v>
      </c>
      <c r="Q448" s="2">
        <f ca="1">IF(Flag_Send_Data=1,_xll.DBSW(Val!Q448,Val!$C$1,Val!$C$2,Val!$C$3,Val!$C$4,Val!$D448,Val!$C$5,Val!$C$6,Val!$B448,Val!$E448,Val!Q$10,Val!$C$7,Val!$C448),"")</f>
        <v>-52337.158333333333</v>
      </c>
    </row>
    <row r="449" spans="2:17" x14ac:dyDescent="0.25">
      <c r="B449" t="s">
        <v>297</v>
      </c>
      <c r="C449" t="s">
        <v>12</v>
      </c>
      <c r="D449" t="s">
        <v>199</v>
      </c>
      <c r="E449" t="s">
        <v>128</v>
      </c>
      <c r="F449" s="2">
        <f ca="1">IF(Flag_Send_Data=1,_xll.DBSW(Val!F449,Val!$C$1,Val!$C$2,Val!$C$3,Val!$C$4,Val!$D449,Val!$C$5,Val!$C$6,Val!$B449,Val!$E449,Val!F$10,Val!$C$7,Val!$C449),"")</f>
        <v>-3333.3333333333335</v>
      </c>
      <c r="G449" s="2">
        <f ca="1">IF(Flag_Send_Data=1,_xll.DBSW(Val!G449,Val!$C$1,Val!$C$2,Val!$C$3,Val!$C$4,Val!$D449,Val!$C$5,Val!$C$6,Val!$B449,Val!$E449,Val!G$10,Val!$C$7,Val!$C449),"")</f>
        <v>-3333.3333333333335</v>
      </c>
      <c r="H449" s="2">
        <f ca="1">IF(Flag_Send_Data=1,_xll.DBSW(Val!H449,Val!$C$1,Val!$C$2,Val!$C$3,Val!$C$4,Val!$D449,Val!$C$5,Val!$C$6,Val!$B449,Val!$E449,Val!H$10,Val!$C$7,Val!$C449),"")</f>
        <v>-3333.3333333333335</v>
      </c>
      <c r="I449" s="2">
        <f ca="1">IF(Flag_Send_Data=1,_xll.DBSW(Val!I449,Val!$C$1,Val!$C$2,Val!$C$3,Val!$C$4,Val!$D449,Val!$C$5,Val!$C$6,Val!$B449,Val!$E449,Val!I$10,Val!$C$7,Val!$C449),"")</f>
        <v>-3333.3333333333335</v>
      </c>
      <c r="J449" s="2">
        <f ca="1">IF(Flag_Send_Data=1,_xll.DBSW(Val!J449,Val!$C$1,Val!$C$2,Val!$C$3,Val!$C$4,Val!$D449,Val!$C$5,Val!$C$6,Val!$B449,Val!$E449,Val!J$10,Val!$C$7,Val!$C449),"")</f>
        <v>-3333.3333333333335</v>
      </c>
      <c r="K449" s="2">
        <f ca="1">IF(Flag_Send_Data=1,_xll.DBSW(Val!K449,Val!$C$1,Val!$C$2,Val!$C$3,Val!$C$4,Val!$D449,Val!$C$5,Val!$C$6,Val!$B449,Val!$E449,Val!K$10,Val!$C$7,Val!$C449),"")</f>
        <v>-3333.3333333333335</v>
      </c>
      <c r="L449" s="2">
        <f ca="1">IF(Flag_Send_Data=1,_xll.DBSW(Val!L449,Val!$C$1,Val!$C$2,Val!$C$3,Val!$C$4,Val!$D449,Val!$C$5,Val!$C$6,Val!$B449,Val!$E449,Val!L$10,Val!$C$7,Val!$C449),"")</f>
        <v>-3333.3333333333335</v>
      </c>
      <c r="M449" s="2">
        <f ca="1">IF(Flag_Send_Data=1,_xll.DBSW(Val!M449,Val!$C$1,Val!$C$2,Val!$C$3,Val!$C$4,Val!$D449,Val!$C$5,Val!$C$6,Val!$B449,Val!$E449,Val!M$10,Val!$C$7,Val!$C449),"")</f>
        <v>-3333.3333333333335</v>
      </c>
      <c r="N449" s="2">
        <f ca="1">IF(Flag_Send_Data=1,_xll.DBSW(Val!N449,Val!$C$1,Val!$C$2,Val!$C$3,Val!$C$4,Val!$D449,Val!$C$5,Val!$C$6,Val!$B449,Val!$E449,Val!N$10,Val!$C$7,Val!$C449),"")</f>
        <v>-3333.3333333333335</v>
      </c>
      <c r="O449" s="2">
        <f ca="1">IF(Flag_Send_Data=1,_xll.DBSW(Val!O449,Val!$C$1,Val!$C$2,Val!$C$3,Val!$C$4,Val!$D449,Val!$C$5,Val!$C$6,Val!$B449,Val!$E449,Val!O$10,Val!$C$7,Val!$C449),"")</f>
        <v>-3333.3333333333335</v>
      </c>
      <c r="P449" s="2">
        <f ca="1">IF(Flag_Send_Data=1,_xll.DBSW(Val!P449,Val!$C$1,Val!$C$2,Val!$C$3,Val!$C$4,Val!$D449,Val!$C$5,Val!$C$6,Val!$B449,Val!$E449,Val!P$10,Val!$C$7,Val!$C449),"")</f>
        <v>-3333.3333333333335</v>
      </c>
      <c r="Q449" s="2">
        <f ca="1">IF(Flag_Send_Data=1,_xll.DBSW(Val!Q449,Val!$C$1,Val!$C$2,Val!$C$3,Val!$C$4,Val!$D449,Val!$C$5,Val!$C$6,Val!$B449,Val!$E449,Val!Q$10,Val!$C$7,Val!$C449),"")</f>
        <v>-3333.3333333333335</v>
      </c>
    </row>
    <row r="450" spans="2:17" x14ac:dyDescent="0.25">
      <c r="B450" t="s">
        <v>297</v>
      </c>
      <c r="C450" t="s">
        <v>16</v>
      </c>
      <c r="D450" t="s">
        <v>199</v>
      </c>
      <c r="E450" t="s">
        <v>128</v>
      </c>
      <c r="F450" s="2">
        <f ca="1">IF(Flag_Send_Data=1,_xll.DBSW(Val!F450,Val!$C$1,Val!$C$2,Val!$C$3,Val!$C$4,Val!$D450,Val!$C$5,Val!$C$6,Val!$B450,Val!$E450,Val!F$10,Val!$C$7,Val!$C450),"")</f>
        <v>-51000</v>
      </c>
      <c r="G450" s="2">
        <f ca="1">IF(Flag_Send_Data=1,_xll.DBSW(Val!G450,Val!$C$1,Val!$C$2,Val!$C$3,Val!$C$4,Val!$D450,Val!$C$5,Val!$C$6,Val!$B450,Val!$E450,Val!G$10,Val!$C$7,Val!$C450),"")</f>
        <v>-51000</v>
      </c>
      <c r="H450" s="2">
        <f ca="1">IF(Flag_Send_Data=1,_xll.DBSW(Val!H450,Val!$C$1,Val!$C$2,Val!$C$3,Val!$C$4,Val!$D450,Val!$C$5,Val!$C$6,Val!$B450,Val!$E450,Val!H$10,Val!$C$7,Val!$C450),"")</f>
        <v>-51000</v>
      </c>
      <c r="I450" s="2">
        <f ca="1">IF(Flag_Send_Data=1,_xll.DBSW(Val!I450,Val!$C$1,Val!$C$2,Val!$C$3,Val!$C$4,Val!$D450,Val!$C$5,Val!$C$6,Val!$B450,Val!$E450,Val!I$10,Val!$C$7,Val!$C450),"")</f>
        <v>-59333.333333333336</v>
      </c>
      <c r="J450" s="2">
        <f ca="1">IF(Flag_Send_Data=1,_xll.DBSW(Val!J450,Val!$C$1,Val!$C$2,Val!$C$3,Val!$C$4,Val!$D450,Val!$C$5,Val!$C$6,Val!$B450,Val!$E450,Val!J$10,Val!$C$7,Val!$C450),"")</f>
        <v>-59333.333333333336</v>
      </c>
      <c r="K450" s="2">
        <f ca="1">IF(Flag_Send_Data=1,_xll.DBSW(Val!K450,Val!$C$1,Val!$C$2,Val!$C$3,Val!$C$4,Val!$D450,Val!$C$5,Val!$C$6,Val!$B450,Val!$E450,Val!K$10,Val!$C$7,Val!$C450),"")</f>
        <v>-59333.333333333336</v>
      </c>
      <c r="L450" s="2">
        <f ca="1">IF(Flag_Send_Data=1,_xll.DBSW(Val!L450,Val!$C$1,Val!$C$2,Val!$C$3,Val!$C$4,Val!$D450,Val!$C$5,Val!$C$6,Val!$B450,Val!$E450,Val!L$10,Val!$C$7,Val!$C450),"")</f>
        <v>-67666.666666666672</v>
      </c>
      <c r="M450" s="2">
        <f ca="1">IF(Flag_Send_Data=1,_xll.DBSW(Val!M450,Val!$C$1,Val!$C$2,Val!$C$3,Val!$C$4,Val!$D450,Val!$C$5,Val!$C$6,Val!$B450,Val!$E450,Val!M$10,Val!$C$7,Val!$C450),"")</f>
        <v>-67666.666666666672</v>
      </c>
      <c r="N450" s="2">
        <f ca="1">IF(Flag_Send_Data=1,_xll.DBSW(Val!N450,Val!$C$1,Val!$C$2,Val!$C$3,Val!$C$4,Val!$D450,Val!$C$5,Val!$C$6,Val!$B450,Val!$E450,Val!N$10,Val!$C$7,Val!$C450),"")</f>
        <v>-67666.666666666672</v>
      </c>
      <c r="O450" s="2">
        <f ca="1">IF(Flag_Send_Data=1,_xll.DBSW(Val!O450,Val!$C$1,Val!$C$2,Val!$C$3,Val!$C$4,Val!$D450,Val!$C$5,Val!$C$6,Val!$B450,Val!$E450,Val!O$10,Val!$C$7,Val!$C450),"")</f>
        <v>-59333.333333333336</v>
      </c>
      <c r="P450" s="2">
        <f ca="1">IF(Flag_Send_Data=1,_xll.DBSW(Val!P450,Val!$C$1,Val!$C$2,Val!$C$3,Val!$C$4,Val!$D450,Val!$C$5,Val!$C$6,Val!$B450,Val!$E450,Val!P$10,Val!$C$7,Val!$C450),"")</f>
        <v>-59333.333333333336</v>
      </c>
      <c r="Q450" s="2">
        <f ca="1">IF(Flag_Send_Data=1,_xll.DBSW(Val!Q450,Val!$C$1,Val!$C$2,Val!$C$3,Val!$C$4,Val!$D450,Val!$C$5,Val!$C$6,Val!$B450,Val!$E450,Val!Q$10,Val!$C$7,Val!$C450),"")</f>
        <v>-59333.333333333336</v>
      </c>
    </row>
    <row r="451" spans="2:17" x14ac:dyDescent="0.25">
      <c r="B451" t="s">
        <v>297</v>
      </c>
      <c r="C451" t="s">
        <v>13</v>
      </c>
      <c r="D451" t="s">
        <v>199</v>
      </c>
      <c r="E451" t="s">
        <v>128</v>
      </c>
      <c r="F451" s="2">
        <f ca="1">IF(Flag_Send_Data=1,_xll.DBSW(Val!F451,Val!$C$1,Val!$C$2,Val!$C$3,Val!$C$4,Val!$D451,Val!$C$5,Val!$C$6,Val!$B451,Val!$E451,Val!F$10,Val!$C$7,Val!$C451),"")</f>
        <v>-416.66666666666669</v>
      </c>
      <c r="G451" s="2">
        <f ca="1">IF(Flag_Send_Data=1,_xll.DBSW(Val!G451,Val!$C$1,Val!$C$2,Val!$C$3,Val!$C$4,Val!$D451,Val!$C$5,Val!$C$6,Val!$B451,Val!$E451,Val!G$10,Val!$C$7,Val!$C451),"")</f>
        <v>-416.66666666666669</v>
      </c>
      <c r="H451" s="2">
        <f ca="1">IF(Flag_Send_Data=1,_xll.DBSW(Val!H451,Val!$C$1,Val!$C$2,Val!$C$3,Val!$C$4,Val!$D451,Val!$C$5,Val!$C$6,Val!$B451,Val!$E451,Val!H$10,Val!$C$7,Val!$C451),"")</f>
        <v>-416.66666666666669</v>
      </c>
      <c r="I451" s="2">
        <f ca="1">IF(Flag_Send_Data=1,_xll.DBSW(Val!I451,Val!$C$1,Val!$C$2,Val!$C$3,Val!$C$4,Val!$D451,Val!$C$5,Val!$C$6,Val!$B451,Val!$E451,Val!I$10,Val!$C$7,Val!$C451),"")</f>
        <v>-416.66666666666669</v>
      </c>
      <c r="J451" s="2">
        <f ca="1">IF(Flag_Send_Data=1,_xll.DBSW(Val!J451,Val!$C$1,Val!$C$2,Val!$C$3,Val!$C$4,Val!$D451,Val!$C$5,Val!$C$6,Val!$B451,Val!$E451,Val!J$10,Val!$C$7,Val!$C451),"")</f>
        <v>-416.66666666666669</v>
      </c>
      <c r="K451" s="2">
        <f ca="1">IF(Flag_Send_Data=1,_xll.DBSW(Val!K451,Val!$C$1,Val!$C$2,Val!$C$3,Val!$C$4,Val!$D451,Val!$C$5,Val!$C$6,Val!$B451,Val!$E451,Val!K$10,Val!$C$7,Val!$C451),"")</f>
        <v>-416.66666666666669</v>
      </c>
      <c r="L451" s="2">
        <f ca="1">IF(Flag_Send_Data=1,_xll.DBSW(Val!L451,Val!$C$1,Val!$C$2,Val!$C$3,Val!$C$4,Val!$D451,Val!$C$5,Val!$C$6,Val!$B451,Val!$E451,Val!L$10,Val!$C$7,Val!$C451),"")</f>
        <v>-416.66666666666669</v>
      </c>
      <c r="M451" s="2">
        <f ca="1">IF(Flag_Send_Data=1,_xll.DBSW(Val!M451,Val!$C$1,Val!$C$2,Val!$C$3,Val!$C$4,Val!$D451,Val!$C$5,Val!$C$6,Val!$B451,Val!$E451,Val!M$10,Val!$C$7,Val!$C451),"")</f>
        <v>-416.66666666666669</v>
      </c>
      <c r="N451" s="2">
        <f ca="1">IF(Flag_Send_Data=1,_xll.DBSW(Val!N451,Val!$C$1,Val!$C$2,Val!$C$3,Val!$C$4,Val!$D451,Val!$C$5,Val!$C$6,Val!$B451,Val!$E451,Val!N$10,Val!$C$7,Val!$C451),"")</f>
        <v>-416.66666666666669</v>
      </c>
      <c r="O451" s="2">
        <f ca="1">IF(Flag_Send_Data=1,_xll.DBSW(Val!O451,Val!$C$1,Val!$C$2,Val!$C$3,Val!$C$4,Val!$D451,Val!$C$5,Val!$C$6,Val!$B451,Val!$E451,Val!O$10,Val!$C$7,Val!$C451),"")</f>
        <v>-416.66666666666669</v>
      </c>
      <c r="P451" s="2">
        <f ca="1">IF(Flag_Send_Data=1,_xll.DBSW(Val!P451,Val!$C$1,Val!$C$2,Val!$C$3,Val!$C$4,Val!$D451,Val!$C$5,Val!$C$6,Val!$B451,Val!$E451,Val!P$10,Val!$C$7,Val!$C451),"")</f>
        <v>-416.66666666666669</v>
      </c>
      <c r="Q451" s="2">
        <f ca="1">IF(Flag_Send_Data=1,_xll.DBSW(Val!Q451,Val!$C$1,Val!$C$2,Val!$C$3,Val!$C$4,Val!$D451,Val!$C$5,Val!$C$6,Val!$B451,Val!$E451,Val!Q$10,Val!$C$7,Val!$C451),"")</f>
        <v>-416.66666666666669</v>
      </c>
    </row>
    <row r="452" spans="2:17" x14ac:dyDescent="0.25">
      <c r="B452" t="s">
        <v>297</v>
      </c>
      <c r="C452" t="s">
        <v>109</v>
      </c>
      <c r="D452" t="s">
        <v>199</v>
      </c>
      <c r="E452" t="s">
        <v>128</v>
      </c>
      <c r="F452" s="2">
        <f ca="1">IF(Flag_Send_Data=1,_xll.DBSW(Val!F452,Val!$C$1,Val!$C$2,Val!$C$3,Val!$C$4,Val!$D452,Val!$C$5,Val!$C$6,Val!$B452,Val!$E452,Val!F$10,Val!$C$7,Val!$C452),"")</f>
        <v>-333.33333333333331</v>
      </c>
      <c r="G452" s="2">
        <f ca="1">IF(Flag_Send_Data=1,_xll.DBSW(Val!G452,Val!$C$1,Val!$C$2,Val!$C$3,Val!$C$4,Val!$D452,Val!$C$5,Val!$C$6,Val!$B452,Val!$E452,Val!G$10,Val!$C$7,Val!$C452),"")</f>
        <v>-333.33333333333331</v>
      </c>
      <c r="H452" s="2">
        <f ca="1">IF(Flag_Send_Data=1,_xll.DBSW(Val!H452,Val!$C$1,Val!$C$2,Val!$C$3,Val!$C$4,Val!$D452,Val!$C$5,Val!$C$6,Val!$B452,Val!$E452,Val!H$10,Val!$C$7,Val!$C452),"")</f>
        <v>-333.33333333333331</v>
      </c>
      <c r="I452" s="2">
        <f ca="1">IF(Flag_Send_Data=1,_xll.DBSW(Val!I452,Val!$C$1,Val!$C$2,Val!$C$3,Val!$C$4,Val!$D452,Val!$C$5,Val!$C$6,Val!$B452,Val!$E452,Val!I$10,Val!$C$7,Val!$C452),"")</f>
        <v>-333.33333333333331</v>
      </c>
      <c r="J452" s="2">
        <f ca="1">IF(Flag_Send_Data=1,_xll.DBSW(Val!J452,Val!$C$1,Val!$C$2,Val!$C$3,Val!$C$4,Val!$D452,Val!$C$5,Val!$C$6,Val!$B452,Val!$E452,Val!J$10,Val!$C$7,Val!$C452),"")</f>
        <v>-333.33333333333331</v>
      </c>
      <c r="K452" s="2">
        <f ca="1">IF(Flag_Send_Data=1,_xll.DBSW(Val!K452,Val!$C$1,Val!$C$2,Val!$C$3,Val!$C$4,Val!$D452,Val!$C$5,Val!$C$6,Val!$B452,Val!$E452,Val!K$10,Val!$C$7,Val!$C452),"")</f>
        <v>-333.33333333333331</v>
      </c>
      <c r="L452" s="2">
        <f ca="1">IF(Flag_Send_Data=1,_xll.DBSW(Val!L452,Val!$C$1,Val!$C$2,Val!$C$3,Val!$C$4,Val!$D452,Val!$C$5,Val!$C$6,Val!$B452,Val!$E452,Val!L$10,Val!$C$7,Val!$C452),"")</f>
        <v>-333.33333333333331</v>
      </c>
      <c r="M452" s="2">
        <f ca="1">IF(Flag_Send_Data=1,_xll.DBSW(Val!M452,Val!$C$1,Val!$C$2,Val!$C$3,Val!$C$4,Val!$D452,Val!$C$5,Val!$C$6,Val!$B452,Val!$E452,Val!M$10,Val!$C$7,Val!$C452),"")</f>
        <v>-333.33333333333331</v>
      </c>
      <c r="N452" s="2">
        <f ca="1">IF(Flag_Send_Data=1,_xll.DBSW(Val!N452,Val!$C$1,Val!$C$2,Val!$C$3,Val!$C$4,Val!$D452,Val!$C$5,Val!$C$6,Val!$B452,Val!$E452,Val!N$10,Val!$C$7,Val!$C452),"")</f>
        <v>-333.33333333333331</v>
      </c>
      <c r="O452" s="2">
        <f ca="1">IF(Flag_Send_Data=1,_xll.DBSW(Val!O452,Val!$C$1,Val!$C$2,Val!$C$3,Val!$C$4,Val!$D452,Val!$C$5,Val!$C$6,Val!$B452,Val!$E452,Val!O$10,Val!$C$7,Val!$C452),"")</f>
        <v>-333.33333333333331</v>
      </c>
      <c r="P452" s="2">
        <f ca="1">IF(Flag_Send_Data=1,_xll.DBSW(Val!P452,Val!$C$1,Val!$C$2,Val!$C$3,Val!$C$4,Val!$D452,Val!$C$5,Val!$C$6,Val!$B452,Val!$E452,Val!P$10,Val!$C$7,Val!$C452),"")</f>
        <v>-333.33333333333331</v>
      </c>
      <c r="Q452" s="2">
        <f ca="1">IF(Flag_Send_Data=1,_xll.DBSW(Val!Q452,Val!$C$1,Val!$C$2,Val!$C$3,Val!$C$4,Val!$D452,Val!$C$5,Val!$C$6,Val!$B452,Val!$E452,Val!Q$10,Val!$C$7,Val!$C452),"")</f>
        <v>-333.33333333333331</v>
      </c>
    </row>
    <row r="453" spans="2:17" x14ac:dyDescent="0.25">
      <c r="B453" t="s">
        <v>298</v>
      </c>
      <c r="C453" t="s">
        <v>18</v>
      </c>
      <c r="D453" t="s">
        <v>199</v>
      </c>
      <c r="E453" t="s">
        <v>128</v>
      </c>
      <c r="F453" s="2">
        <f ca="1">IF(Flag_Send_Data=1,_xll.DBSW(Val!F453,Val!$C$1,Val!$C$2,Val!$C$3,Val!$C$4,Val!$D453,Val!$C$5,Val!$C$6,Val!$B453,Val!$E453,Val!F$10,Val!$C$7,Val!$C453),"")</f>
        <v>-46475.894999999997</v>
      </c>
      <c r="G453" s="2">
        <f ca="1">IF(Flag_Send_Data=1,_xll.DBSW(Val!G453,Val!$C$1,Val!$C$2,Val!$C$3,Val!$C$4,Val!$D453,Val!$C$5,Val!$C$6,Val!$B453,Val!$E453,Val!G$10,Val!$C$7,Val!$C453),"")</f>
        <v>-46475.894999999997</v>
      </c>
      <c r="H453" s="2">
        <f ca="1">IF(Flag_Send_Data=1,_xll.DBSW(Val!H453,Val!$C$1,Val!$C$2,Val!$C$3,Val!$C$4,Val!$D453,Val!$C$5,Val!$C$6,Val!$B453,Val!$E453,Val!H$10,Val!$C$7,Val!$C453),"")</f>
        <v>-46475.894999999997</v>
      </c>
      <c r="I453" s="2">
        <f ca="1">IF(Flag_Send_Data=1,_xll.DBSW(Val!I453,Val!$C$1,Val!$C$2,Val!$C$3,Val!$C$4,Val!$D453,Val!$C$5,Val!$C$6,Val!$B453,Val!$E453,Val!I$10,Val!$C$7,Val!$C453),"")</f>
        <v>-46475.894999999997</v>
      </c>
      <c r="J453" s="2">
        <f ca="1">IF(Flag_Send_Data=1,_xll.DBSW(Val!J453,Val!$C$1,Val!$C$2,Val!$C$3,Val!$C$4,Val!$D453,Val!$C$5,Val!$C$6,Val!$B453,Val!$E453,Val!J$10,Val!$C$7,Val!$C453),"")</f>
        <v>-46475.894999999997</v>
      </c>
      <c r="K453" s="2">
        <f ca="1">IF(Flag_Send_Data=1,_xll.DBSW(Val!K453,Val!$C$1,Val!$C$2,Val!$C$3,Val!$C$4,Val!$D453,Val!$C$5,Val!$C$6,Val!$B453,Val!$E453,Val!K$10,Val!$C$7,Val!$C453),"")</f>
        <v>-46475.894999999997</v>
      </c>
      <c r="L453" s="2">
        <f ca="1">IF(Flag_Send_Data=1,_xll.DBSW(Val!L453,Val!$C$1,Val!$C$2,Val!$C$3,Val!$C$4,Val!$D453,Val!$C$5,Val!$C$6,Val!$B453,Val!$E453,Val!L$10,Val!$C$7,Val!$C453),"")</f>
        <v>-46475.894999999997</v>
      </c>
      <c r="M453" s="2">
        <f ca="1">IF(Flag_Send_Data=1,_xll.DBSW(Val!M453,Val!$C$1,Val!$C$2,Val!$C$3,Val!$C$4,Val!$D453,Val!$C$5,Val!$C$6,Val!$B453,Val!$E453,Val!M$10,Val!$C$7,Val!$C453),"")</f>
        <v>-46475.894999999997</v>
      </c>
      <c r="N453" s="2">
        <f ca="1">IF(Flag_Send_Data=1,_xll.DBSW(Val!N453,Val!$C$1,Val!$C$2,Val!$C$3,Val!$C$4,Val!$D453,Val!$C$5,Val!$C$6,Val!$B453,Val!$E453,Val!N$10,Val!$C$7,Val!$C453),"")</f>
        <v>-46475.894999999997</v>
      </c>
      <c r="O453" s="2">
        <f ca="1">IF(Flag_Send_Data=1,_xll.DBSW(Val!O453,Val!$C$1,Val!$C$2,Val!$C$3,Val!$C$4,Val!$D453,Val!$C$5,Val!$C$6,Val!$B453,Val!$E453,Val!O$10,Val!$C$7,Val!$C453),"")</f>
        <v>-46475.894999999997</v>
      </c>
      <c r="P453" s="2">
        <f ca="1">IF(Flag_Send_Data=1,_xll.DBSW(Val!P453,Val!$C$1,Val!$C$2,Val!$C$3,Val!$C$4,Val!$D453,Val!$C$5,Val!$C$6,Val!$B453,Val!$E453,Val!P$10,Val!$C$7,Val!$C453),"")</f>
        <v>-46475.894999999997</v>
      </c>
      <c r="Q453" s="2">
        <f ca="1">IF(Flag_Send_Data=1,_xll.DBSW(Val!Q453,Val!$C$1,Val!$C$2,Val!$C$3,Val!$C$4,Val!$D453,Val!$C$5,Val!$C$6,Val!$B453,Val!$E453,Val!Q$10,Val!$C$7,Val!$C453),"")</f>
        <v>-46475.894999999997</v>
      </c>
    </row>
    <row r="454" spans="2:17" x14ac:dyDescent="0.25">
      <c r="B454" t="s">
        <v>298</v>
      </c>
      <c r="C454" t="s">
        <v>19</v>
      </c>
      <c r="D454" t="s">
        <v>199</v>
      </c>
      <c r="E454" t="s">
        <v>128</v>
      </c>
      <c r="F454" s="2">
        <f ca="1">IF(Flag_Send_Data=1,_xll.DBSW(Val!F454,Val!$C$1,Val!$C$2,Val!$C$3,Val!$C$4,Val!$D454,Val!$C$5,Val!$C$6,Val!$B454,Val!$E454,Val!F$10,Val!$C$7,Val!$C454),"")</f>
        <v>-3333.3333333333335</v>
      </c>
      <c r="G454" s="2">
        <f ca="1">IF(Flag_Send_Data=1,_xll.DBSW(Val!G454,Val!$C$1,Val!$C$2,Val!$C$3,Val!$C$4,Val!$D454,Val!$C$5,Val!$C$6,Val!$B454,Val!$E454,Val!G$10,Val!$C$7,Val!$C454),"")</f>
        <v>-3333.3333333333335</v>
      </c>
      <c r="H454" s="2">
        <f ca="1">IF(Flag_Send_Data=1,_xll.DBSW(Val!H454,Val!$C$1,Val!$C$2,Val!$C$3,Val!$C$4,Val!$D454,Val!$C$5,Val!$C$6,Val!$B454,Val!$E454,Val!H$10,Val!$C$7,Val!$C454),"")</f>
        <v>-3333.3333333333335</v>
      </c>
      <c r="I454" s="2">
        <f ca="1">IF(Flag_Send_Data=1,_xll.DBSW(Val!I454,Val!$C$1,Val!$C$2,Val!$C$3,Val!$C$4,Val!$D454,Val!$C$5,Val!$C$6,Val!$B454,Val!$E454,Val!I$10,Val!$C$7,Val!$C454),"")</f>
        <v>-3333.3333333333335</v>
      </c>
      <c r="J454" s="2">
        <f ca="1">IF(Flag_Send_Data=1,_xll.DBSW(Val!J454,Val!$C$1,Val!$C$2,Val!$C$3,Val!$C$4,Val!$D454,Val!$C$5,Val!$C$6,Val!$B454,Val!$E454,Val!J$10,Val!$C$7,Val!$C454),"")</f>
        <v>-3333.3333333333335</v>
      </c>
      <c r="K454" s="2">
        <f ca="1">IF(Flag_Send_Data=1,_xll.DBSW(Val!K454,Val!$C$1,Val!$C$2,Val!$C$3,Val!$C$4,Val!$D454,Val!$C$5,Val!$C$6,Val!$B454,Val!$E454,Val!K$10,Val!$C$7,Val!$C454),"")</f>
        <v>-3333.3333333333335</v>
      </c>
      <c r="L454" s="2">
        <f ca="1">IF(Flag_Send_Data=1,_xll.DBSW(Val!L454,Val!$C$1,Val!$C$2,Val!$C$3,Val!$C$4,Val!$D454,Val!$C$5,Val!$C$6,Val!$B454,Val!$E454,Val!L$10,Val!$C$7,Val!$C454),"")</f>
        <v>-3333.3333333333335</v>
      </c>
      <c r="M454" s="2">
        <f ca="1">IF(Flag_Send_Data=1,_xll.DBSW(Val!M454,Val!$C$1,Val!$C$2,Val!$C$3,Val!$C$4,Val!$D454,Val!$C$5,Val!$C$6,Val!$B454,Val!$E454,Val!M$10,Val!$C$7,Val!$C454),"")</f>
        <v>-3333.3333333333335</v>
      </c>
      <c r="N454" s="2">
        <f ca="1">IF(Flag_Send_Data=1,_xll.DBSW(Val!N454,Val!$C$1,Val!$C$2,Val!$C$3,Val!$C$4,Val!$D454,Val!$C$5,Val!$C$6,Val!$B454,Val!$E454,Val!N$10,Val!$C$7,Val!$C454),"")</f>
        <v>-3333.3333333333335</v>
      </c>
      <c r="O454" s="2">
        <f ca="1">IF(Flag_Send_Data=1,_xll.DBSW(Val!O454,Val!$C$1,Val!$C$2,Val!$C$3,Val!$C$4,Val!$D454,Val!$C$5,Val!$C$6,Val!$B454,Val!$E454,Val!O$10,Val!$C$7,Val!$C454),"")</f>
        <v>-3333.3333333333335</v>
      </c>
      <c r="P454" s="2">
        <f ca="1">IF(Flag_Send_Data=1,_xll.DBSW(Val!P454,Val!$C$1,Val!$C$2,Val!$C$3,Val!$C$4,Val!$D454,Val!$C$5,Val!$C$6,Val!$B454,Val!$E454,Val!P$10,Val!$C$7,Val!$C454),"")</f>
        <v>-3333.3333333333335</v>
      </c>
      <c r="Q454" s="2">
        <f ca="1">IF(Flag_Send_Data=1,_xll.DBSW(Val!Q454,Val!$C$1,Val!$C$2,Val!$C$3,Val!$C$4,Val!$D454,Val!$C$5,Val!$C$6,Val!$B454,Val!$E454,Val!Q$10,Val!$C$7,Val!$C454),"")</f>
        <v>-3333.3333333333335</v>
      </c>
    </row>
    <row r="455" spans="2:17" x14ac:dyDescent="0.25">
      <c r="B455" t="s">
        <v>298</v>
      </c>
      <c r="C455" t="s">
        <v>20</v>
      </c>
      <c r="D455" t="s">
        <v>199</v>
      </c>
      <c r="E455" t="s">
        <v>128</v>
      </c>
      <c r="F455" s="2">
        <f ca="1">IF(Flag_Send_Data=1,_xll.DBSW(Val!F455,Val!$C$1,Val!$C$2,Val!$C$3,Val!$C$4,Val!$D455,Val!$C$5,Val!$C$6,Val!$B455,Val!$E455,Val!F$10,Val!$C$7,Val!$C455),"")</f>
        <v>-6666.666666666667</v>
      </c>
      <c r="G455" s="2">
        <f ca="1">IF(Flag_Send_Data=1,_xll.DBSW(Val!G455,Val!$C$1,Val!$C$2,Val!$C$3,Val!$C$4,Val!$D455,Val!$C$5,Val!$C$6,Val!$B455,Val!$E455,Val!G$10,Val!$C$7,Val!$C455),"")</f>
        <v>-6666.666666666667</v>
      </c>
      <c r="H455" s="2">
        <f ca="1">IF(Flag_Send_Data=1,_xll.DBSW(Val!H455,Val!$C$1,Val!$C$2,Val!$C$3,Val!$C$4,Val!$D455,Val!$C$5,Val!$C$6,Val!$B455,Val!$E455,Val!H$10,Val!$C$7,Val!$C455),"")</f>
        <v>-6666.666666666667</v>
      </c>
      <c r="I455" s="2">
        <f ca="1">IF(Flag_Send_Data=1,_xll.DBSW(Val!I455,Val!$C$1,Val!$C$2,Val!$C$3,Val!$C$4,Val!$D455,Val!$C$5,Val!$C$6,Val!$B455,Val!$E455,Val!I$10,Val!$C$7,Val!$C455),"")</f>
        <v>-6666.666666666667</v>
      </c>
      <c r="J455" s="2">
        <f ca="1">IF(Flag_Send_Data=1,_xll.DBSW(Val!J455,Val!$C$1,Val!$C$2,Val!$C$3,Val!$C$4,Val!$D455,Val!$C$5,Val!$C$6,Val!$B455,Val!$E455,Val!J$10,Val!$C$7,Val!$C455),"")</f>
        <v>-6666.666666666667</v>
      </c>
      <c r="K455" s="2">
        <f ca="1">IF(Flag_Send_Data=1,_xll.DBSW(Val!K455,Val!$C$1,Val!$C$2,Val!$C$3,Val!$C$4,Val!$D455,Val!$C$5,Val!$C$6,Val!$B455,Val!$E455,Val!K$10,Val!$C$7,Val!$C455),"")</f>
        <v>-6666.666666666667</v>
      </c>
      <c r="L455" s="2">
        <f ca="1">IF(Flag_Send_Data=1,_xll.DBSW(Val!L455,Val!$C$1,Val!$C$2,Val!$C$3,Val!$C$4,Val!$D455,Val!$C$5,Val!$C$6,Val!$B455,Val!$E455,Val!L$10,Val!$C$7,Val!$C455),"")</f>
        <v>-6666.666666666667</v>
      </c>
      <c r="M455" s="2">
        <f ca="1">IF(Flag_Send_Data=1,_xll.DBSW(Val!M455,Val!$C$1,Val!$C$2,Val!$C$3,Val!$C$4,Val!$D455,Val!$C$5,Val!$C$6,Val!$B455,Val!$E455,Val!M$10,Val!$C$7,Val!$C455),"")</f>
        <v>-6666.666666666667</v>
      </c>
      <c r="N455" s="2">
        <f ca="1">IF(Flag_Send_Data=1,_xll.DBSW(Val!N455,Val!$C$1,Val!$C$2,Val!$C$3,Val!$C$4,Val!$D455,Val!$C$5,Val!$C$6,Val!$B455,Val!$E455,Val!N$10,Val!$C$7,Val!$C455),"")</f>
        <v>-6666.666666666667</v>
      </c>
      <c r="O455" s="2">
        <f ca="1">IF(Flag_Send_Data=1,_xll.DBSW(Val!O455,Val!$C$1,Val!$C$2,Val!$C$3,Val!$C$4,Val!$D455,Val!$C$5,Val!$C$6,Val!$B455,Val!$E455,Val!O$10,Val!$C$7,Val!$C455),"")</f>
        <v>-6666.666666666667</v>
      </c>
      <c r="P455" s="2">
        <f ca="1">IF(Flag_Send_Data=1,_xll.DBSW(Val!P455,Val!$C$1,Val!$C$2,Val!$C$3,Val!$C$4,Val!$D455,Val!$C$5,Val!$C$6,Val!$B455,Val!$E455,Val!P$10,Val!$C$7,Val!$C455),"")</f>
        <v>-6666.666666666667</v>
      </c>
      <c r="Q455" s="2">
        <f ca="1">IF(Flag_Send_Data=1,_xll.DBSW(Val!Q455,Val!$C$1,Val!$C$2,Val!$C$3,Val!$C$4,Val!$D455,Val!$C$5,Val!$C$6,Val!$B455,Val!$E455,Val!Q$10,Val!$C$7,Val!$C455),"")</f>
        <v>-6666.666666666667</v>
      </c>
    </row>
    <row r="456" spans="2:17" x14ac:dyDescent="0.25">
      <c r="B456" t="s">
        <v>298</v>
      </c>
      <c r="C456" t="s">
        <v>21</v>
      </c>
      <c r="D456" t="s">
        <v>199</v>
      </c>
      <c r="E456" t="s">
        <v>128</v>
      </c>
      <c r="F456" s="2">
        <f ca="1">IF(Flag_Send_Data=1,_xll.DBSW(Val!F456,Val!$C$1,Val!$C$2,Val!$C$3,Val!$C$4,Val!$D456,Val!$C$5,Val!$C$6,Val!$B456,Val!$E456,Val!F$10,Val!$C$7,Val!$C456),"")</f>
        <v>-250</v>
      </c>
      <c r="G456" s="2">
        <f ca="1">IF(Flag_Send_Data=1,_xll.DBSW(Val!G456,Val!$C$1,Val!$C$2,Val!$C$3,Val!$C$4,Val!$D456,Val!$C$5,Val!$C$6,Val!$B456,Val!$E456,Val!G$10,Val!$C$7,Val!$C456),"")</f>
        <v>-250</v>
      </c>
      <c r="H456" s="2">
        <f ca="1">IF(Flag_Send_Data=1,_xll.DBSW(Val!H456,Val!$C$1,Val!$C$2,Val!$C$3,Val!$C$4,Val!$D456,Val!$C$5,Val!$C$6,Val!$B456,Val!$E456,Val!H$10,Val!$C$7,Val!$C456),"")</f>
        <v>-250</v>
      </c>
      <c r="I456" s="2">
        <f ca="1">IF(Flag_Send_Data=1,_xll.DBSW(Val!I456,Val!$C$1,Val!$C$2,Val!$C$3,Val!$C$4,Val!$D456,Val!$C$5,Val!$C$6,Val!$B456,Val!$E456,Val!I$10,Val!$C$7,Val!$C456),"")</f>
        <v>-250</v>
      </c>
      <c r="J456" s="2">
        <f ca="1">IF(Flag_Send_Data=1,_xll.DBSW(Val!J456,Val!$C$1,Val!$C$2,Val!$C$3,Val!$C$4,Val!$D456,Val!$C$5,Val!$C$6,Val!$B456,Val!$E456,Val!J$10,Val!$C$7,Val!$C456),"")</f>
        <v>-250</v>
      </c>
      <c r="K456" s="2">
        <f ca="1">IF(Flag_Send_Data=1,_xll.DBSW(Val!K456,Val!$C$1,Val!$C$2,Val!$C$3,Val!$C$4,Val!$D456,Val!$C$5,Val!$C$6,Val!$B456,Val!$E456,Val!K$10,Val!$C$7,Val!$C456),"")</f>
        <v>-250</v>
      </c>
      <c r="L456" s="2">
        <f ca="1">IF(Flag_Send_Data=1,_xll.DBSW(Val!L456,Val!$C$1,Val!$C$2,Val!$C$3,Val!$C$4,Val!$D456,Val!$C$5,Val!$C$6,Val!$B456,Val!$E456,Val!L$10,Val!$C$7,Val!$C456),"")</f>
        <v>-250</v>
      </c>
      <c r="M456" s="2">
        <f ca="1">IF(Flag_Send_Data=1,_xll.DBSW(Val!M456,Val!$C$1,Val!$C$2,Val!$C$3,Val!$C$4,Val!$D456,Val!$C$5,Val!$C$6,Val!$B456,Val!$E456,Val!M$10,Val!$C$7,Val!$C456),"")</f>
        <v>-250</v>
      </c>
      <c r="N456" s="2">
        <f ca="1">IF(Flag_Send_Data=1,_xll.DBSW(Val!N456,Val!$C$1,Val!$C$2,Val!$C$3,Val!$C$4,Val!$D456,Val!$C$5,Val!$C$6,Val!$B456,Val!$E456,Val!N$10,Val!$C$7,Val!$C456),"")</f>
        <v>-250</v>
      </c>
      <c r="O456" s="2">
        <f ca="1">IF(Flag_Send_Data=1,_xll.DBSW(Val!O456,Val!$C$1,Val!$C$2,Val!$C$3,Val!$C$4,Val!$D456,Val!$C$5,Val!$C$6,Val!$B456,Val!$E456,Val!O$10,Val!$C$7,Val!$C456),"")</f>
        <v>-250</v>
      </c>
      <c r="P456" s="2">
        <f ca="1">IF(Flag_Send_Data=1,_xll.DBSW(Val!P456,Val!$C$1,Val!$C$2,Val!$C$3,Val!$C$4,Val!$D456,Val!$C$5,Val!$C$6,Val!$B456,Val!$E456,Val!P$10,Val!$C$7,Val!$C456),"")</f>
        <v>-250</v>
      </c>
      <c r="Q456" s="2">
        <f ca="1">IF(Flag_Send_Data=1,_xll.DBSW(Val!Q456,Val!$C$1,Val!$C$2,Val!$C$3,Val!$C$4,Val!$D456,Val!$C$5,Val!$C$6,Val!$B456,Val!$E456,Val!Q$10,Val!$C$7,Val!$C456),"")</f>
        <v>-250</v>
      </c>
    </row>
    <row r="457" spans="2:17" x14ac:dyDescent="0.25">
      <c r="B457" t="s">
        <v>298</v>
      </c>
      <c r="C457" t="s">
        <v>95</v>
      </c>
      <c r="D457" t="s">
        <v>199</v>
      </c>
      <c r="E457" t="s">
        <v>128</v>
      </c>
      <c r="F457" s="2">
        <f ca="1">IF(Flag_Send_Data=1,_xll.DBSW(Val!F457,Val!$C$1,Val!$C$2,Val!$C$3,Val!$C$4,Val!$D457,Val!$C$5,Val!$C$6,Val!$B457,Val!$E457,Val!F$10,Val!$C$7,Val!$C457),"")</f>
        <v>-833.33333333333337</v>
      </c>
      <c r="G457" s="2">
        <f ca="1">IF(Flag_Send_Data=1,_xll.DBSW(Val!G457,Val!$C$1,Val!$C$2,Val!$C$3,Val!$C$4,Val!$D457,Val!$C$5,Val!$C$6,Val!$B457,Val!$E457,Val!G$10,Val!$C$7,Val!$C457),"")</f>
        <v>-833.33333333333337</v>
      </c>
      <c r="H457" s="2">
        <f ca="1">IF(Flag_Send_Data=1,_xll.DBSW(Val!H457,Val!$C$1,Val!$C$2,Val!$C$3,Val!$C$4,Val!$D457,Val!$C$5,Val!$C$6,Val!$B457,Val!$E457,Val!H$10,Val!$C$7,Val!$C457),"")</f>
        <v>-833.33333333333337</v>
      </c>
      <c r="I457" s="2">
        <f ca="1">IF(Flag_Send_Data=1,_xll.DBSW(Val!I457,Val!$C$1,Val!$C$2,Val!$C$3,Val!$C$4,Val!$D457,Val!$C$5,Val!$C$6,Val!$B457,Val!$E457,Val!I$10,Val!$C$7,Val!$C457),"")</f>
        <v>-833.33333333333337</v>
      </c>
      <c r="J457" s="2">
        <f ca="1">IF(Flag_Send_Data=1,_xll.DBSW(Val!J457,Val!$C$1,Val!$C$2,Val!$C$3,Val!$C$4,Val!$D457,Val!$C$5,Val!$C$6,Val!$B457,Val!$E457,Val!J$10,Val!$C$7,Val!$C457),"")</f>
        <v>-833.33333333333337</v>
      </c>
      <c r="K457" s="2">
        <f ca="1">IF(Flag_Send_Data=1,_xll.DBSW(Val!K457,Val!$C$1,Val!$C$2,Val!$C$3,Val!$C$4,Val!$D457,Val!$C$5,Val!$C$6,Val!$B457,Val!$E457,Val!K$10,Val!$C$7,Val!$C457),"")</f>
        <v>-833.33333333333337</v>
      </c>
      <c r="L457" s="2">
        <f ca="1">IF(Flag_Send_Data=1,_xll.DBSW(Val!L457,Val!$C$1,Val!$C$2,Val!$C$3,Val!$C$4,Val!$D457,Val!$C$5,Val!$C$6,Val!$B457,Val!$E457,Val!L$10,Val!$C$7,Val!$C457),"")</f>
        <v>-833.33333333333337</v>
      </c>
      <c r="M457" s="2">
        <f ca="1">IF(Flag_Send_Data=1,_xll.DBSW(Val!M457,Val!$C$1,Val!$C$2,Val!$C$3,Val!$C$4,Val!$D457,Val!$C$5,Val!$C$6,Val!$B457,Val!$E457,Val!M$10,Val!$C$7,Val!$C457),"")</f>
        <v>-833.33333333333337</v>
      </c>
      <c r="N457" s="2">
        <f ca="1">IF(Flag_Send_Data=1,_xll.DBSW(Val!N457,Val!$C$1,Val!$C$2,Val!$C$3,Val!$C$4,Val!$D457,Val!$C$5,Val!$C$6,Val!$B457,Val!$E457,Val!N$10,Val!$C$7,Val!$C457),"")</f>
        <v>-833.33333333333337</v>
      </c>
      <c r="O457" s="2">
        <f ca="1">IF(Flag_Send_Data=1,_xll.DBSW(Val!O457,Val!$C$1,Val!$C$2,Val!$C$3,Val!$C$4,Val!$D457,Val!$C$5,Val!$C$6,Val!$B457,Val!$E457,Val!O$10,Val!$C$7,Val!$C457),"")</f>
        <v>-833.33333333333337</v>
      </c>
      <c r="P457" s="2">
        <f ca="1">IF(Flag_Send_Data=1,_xll.DBSW(Val!P457,Val!$C$1,Val!$C$2,Val!$C$3,Val!$C$4,Val!$D457,Val!$C$5,Val!$C$6,Val!$B457,Val!$E457,Val!P$10,Val!$C$7,Val!$C457),"")</f>
        <v>-833.33333333333337</v>
      </c>
      <c r="Q457" s="2">
        <f ca="1">IF(Flag_Send_Data=1,_xll.DBSW(Val!Q457,Val!$C$1,Val!$C$2,Val!$C$3,Val!$C$4,Val!$D457,Val!$C$5,Val!$C$6,Val!$B457,Val!$E457,Val!Q$10,Val!$C$7,Val!$C457),"")</f>
        <v>-833.33333333333337</v>
      </c>
    </row>
    <row r="458" spans="2:17" x14ac:dyDescent="0.25">
      <c r="B458" t="s">
        <v>298</v>
      </c>
      <c r="C458" t="s">
        <v>64</v>
      </c>
      <c r="D458" t="s">
        <v>199</v>
      </c>
      <c r="E458" t="s">
        <v>128</v>
      </c>
      <c r="F458" s="2">
        <f ca="1">IF(Flag_Send_Data=1,_xll.DBSW(Val!F458,Val!$C$1,Val!$C$2,Val!$C$3,Val!$C$4,Val!$D458,Val!$C$5,Val!$C$6,Val!$B458,Val!$E458,Val!F$10,Val!$C$7,Val!$C458),"")</f>
        <v>-37.201000000000001</v>
      </c>
      <c r="G458" s="2">
        <f ca="1">IF(Flag_Send_Data=1,_xll.DBSW(Val!G458,Val!$C$1,Val!$C$2,Val!$C$3,Val!$C$4,Val!$D458,Val!$C$5,Val!$C$6,Val!$B458,Val!$E458,Val!G$10,Val!$C$7,Val!$C458),"")</f>
        <v>-37.201000000000001</v>
      </c>
      <c r="H458" s="2">
        <f ca="1">IF(Flag_Send_Data=1,_xll.DBSW(Val!H458,Val!$C$1,Val!$C$2,Val!$C$3,Val!$C$4,Val!$D458,Val!$C$5,Val!$C$6,Val!$B458,Val!$E458,Val!H$10,Val!$C$7,Val!$C458),"")</f>
        <v>-37.201000000000001</v>
      </c>
      <c r="I458" s="2">
        <f ca="1">IF(Flag_Send_Data=1,_xll.DBSW(Val!I458,Val!$C$1,Val!$C$2,Val!$C$3,Val!$C$4,Val!$D458,Val!$C$5,Val!$C$6,Val!$B458,Val!$E458,Val!I$10,Val!$C$7,Val!$C458),"")</f>
        <v>-37.201000000000001</v>
      </c>
      <c r="J458" s="2">
        <f ca="1">IF(Flag_Send_Data=1,_xll.DBSW(Val!J458,Val!$C$1,Val!$C$2,Val!$C$3,Val!$C$4,Val!$D458,Val!$C$5,Val!$C$6,Val!$B458,Val!$E458,Val!J$10,Val!$C$7,Val!$C458),"")</f>
        <v>-37.201000000000001</v>
      </c>
      <c r="K458" s="2">
        <f ca="1">IF(Flag_Send_Data=1,_xll.DBSW(Val!K458,Val!$C$1,Val!$C$2,Val!$C$3,Val!$C$4,Val!$D458,Val!$C$5,Val!$C$6,Val!$B458,Val!$E458,Val!K$10,Val!$C$7,Val!$C458),"")</f>
        <v>-37.201000000000001</v>
      </c>
      <c r="L458" s="2">
        <f ca="1">IF(Flag_Send_Data=1,_xll.DBSW(Val!L458,Val!$C$1,Val!$C$2,Val!$C$3,Val!$C$4,Val!$D458,Val!$C$5,Val!$C$6,Val!$B458,Val!$E458,Val!L$10,Val!$C$7,Val!$C458),"")</f>
        <v>-37.201000000000001</v>
      </c>
      <c r="M458" s="2">
        <f ca="1">IF(Flag_Send_Data=1,_xll.DBSW(Val!M458,Val!$C$1,Val!$C$2,Val!$C$3,Val!$C$4,Val!$D458,Val!$C$5,Val!$C$6,Val!$B458,Val!$E458,Val!M$10,Val!$C$7,Val!$C458),"")</f>
        <v>-37.201000000000001</v>
      </c>
      <c r="N458" s="2">
        <f ca="1">IF(Flag_Send_Data=1,_xll.DBSW(Val!N458,Val!$C$1,Val!$C$2,Val!$C$3,Val!$C$4,Val!$D458,Val!$C$5,Val!$C$6,Val!$B458,Val!$E458,Val!N$10,Val!$C$7,Val!$C458),"")</f>
        <v>-37.201000000000001</v>
      </c>
      <c r="O458" s="2">
        <f ca="1">IF(Flag_Send_Data=1,_xll.DBSW(Val!O458,Val!$C$1,Val!$C$2,Val!$C$3,Val!$C$4,Val!$D458,Val!$C$5,Val!$C$6,Val!$B458,Val!$E458,Val!O$10,Val!$C$7,Val!$C458),"")</f>
        <v>-37.201000000000001</v>
      </c>
      <c r="P458" s="2">
        <f ca="1">IF(Flag_Send_Data=1,_xll.DBSW(Val!P458,Val!$C$1,Val!$C$2,Val!$C$3,Val!$C$4,Val!$D458,Val!$C$5,Val!$C$6,Val!$B458,Val!$E458,Val!P$10,Val!$C$7,Val!$C458),"")</f>
        <v>-37.201000000000001</v>
      </c>
      <c r="Q458" s="2">
        <f ca="1">IF(Flag_Send_Data=1,_xll.DBSW(Val!Q458,Val!$C$1,Val!$C$2,Val!$C$3,Val!$C$4,Val!$D458,Val!$C$5,Val!$C$6,Val!$B458,Val!$E458,Val!Q$10,Val!$C$7,Val!$C458),"")</f>
        <v>-37.201000000000001</v>
      </c>
    </row>
    <row r="459" spans="2:17" x14ac:dyDescent="0.25">
      <c r="B459" t="s">
        <v>299</v>
      </c>
      <c r="C459" t="s">
        <v>18</v>
      </c>
      <c r="D459" t="s">
        <v>199</v>
      </c>
      <c r="E459" t="s">
        <v>128</v>
      </c>
      <c r="F459" s="2">
        <f ca="1">IF(Flag_Send_Data=1,_xll.DBSW(Val!F459,Val!$C$1,Val!$C$2,Val!$C$3,Val!$C$4,Val!$D459,Val!$C$5,Val!$C$6,Val!$B459,Val!$E459,Val!F$10,Val!$C$7,Val!$C459),"")</f>
        <v>-47128.90083333334</v>
      </c>
      <c r="G459" s="2">
        <f ca="1">IF(Flag_Send_Data=1,_xll.DBSW(Val!G459,Val!$C$1,Val!$C$2,Val!$C$3,Val!$C$4,Val!$D459,Val!$C$5,Val!$C$6,Val!$B459,Val!$E459,Val!G$10,Val!$C$7,Val!$C459),"")</f>
        <v>-47128.90083333334</v>
      </c>
      <c r="H459" s="2">
        <f ca="1">IF(Flag_Send_Data=1,_xll.DBSW(Val!H459,Val!$C$1,Val!$C$2,Val!$C$3,Val!$C$4,Val!$D459,Val!$C$5,Val!$C$6,Val!$B459,Val!$E459,Val!H$10,Val!$C$7,Val!$C459),"")</f>
        <v>-47128.90083333334</v>
      </c>
      <c r="I459" s="2">
        <f ca="1">IF(Flag_Send_Data=1,_xll.DBSW(Val!I459,Val!$C$1,Val!$C$2,Val!$C$3,Val!$C$4,Val!$D459,Val!$C$5,Val!$C$6,Val!$B459,Val!$E459,Val!I$10,Val!$C$7,Val!$C459),"")</f>
        <v>-47128.90083333334</v>
      </c>
      <c r="J459" s="2">
        <f ca="1">IF(Flag_Send_Data=1,_xll.DBSW(Val!J459,Val!$C$1,Val!$C$2,Val!$C$3,Val!$C$4,Val!$D459,Val!$C$5,Val!$C$6,Val!$B459,Val!$E459,Val!J$10,Val!$C$7,Val!$C459),"")</f>
        <v>-47128.90083333334</v>
      </c>
      <c r="K459" s="2">
        <f ca="1">IF(Flag_Send_Data=1,_xll.DBSW(Val!K459,Val!$C$1,Val!$C$2,Val!$C$3,Val!$C$4,Val!$D459,Val!$C$5,Val!$C$6,Val!$B459,Val!$E459,Val!K$10,Val!$C$7,Val!$C459),"")</f>
        <v>-47128.90083333334</v>
      </c>
      <c r="L459" s="2">
        <f ca="1">IF(Flag_Send_Data=1,_xll.DBSW(Val!L459,Val!$C$1,Val!$C$2,Val!$C$3,Val!$C$4,Val!$D459,Val!$C$5,Val!$C$6,Val!$B459,Val!$E459,Val!L$10,Val!$C$7,Val!$C459),"")</f>
        <v>-47128.90083333334</v>
      </c>
      <c r="M459" s="2">
        <f ca="1">IF(Flag_Send_Data=1,_xll.DBSW(Val!M459,Val!$C$1,Val!$C$2,Val!$C$3,Val!$C$4,Val!$D459,Val!$C$5,Val!$C$6,Val!$B459,Val!$E459,Val!M$10,Val!$C$7,Val!$C459),"")</f>
        <v>-47128.90083333334</v>
      </c>
      <c r="N459" s="2">
        <f ca="1">IF(Flag_Send_Data=1,_xll.DBSW(Val!N459,Val!$C$1,Val!$C$2,Val!$C$3,Val!$C$4,Val!$D459,Val!$C$5,Val!$C$6,Val!$B459,Val!$E459,Val!N$10,Val!$C$7,Val!$C459),"")</f>
        <v>-47128.90083333334</v>
      </c>
      <c r="O459" s="2">
        <f ca="1">IF(Flag_Send_Data=1,_xll.DBSW(Val!O459,Val!$C$1,Val!$C$2,Val!$C$3,Val!$C$4,Val!$D459,Val!$C$5,Val!$C$6,Val!$B459,Val!$E459,Val!O$10,Val!$C$7,Val!$C459),"")</f>
        <v>-47128.90083333334</v>
      </c>
      <c r="P459" s="2">
        <f ca="1">IF(Flag_Send_Data=1,_xll.DBSW(Val!P459,Val!$C$1,Val!$C$2,Val!$C$3,Val!$C$4,Val!$D459,Val!$C$5,Val!$C$6,Val!$B459,Val!$E459,Val!P$10,Val!$C$7,Val!$C459),"")</f>
        <v>-47128.90083333334</v>
      </c>
      <c r="Q459" s="2">
        <f ca="1">IF(Flag_Send_Data=1,_xll.DBSW(Val!Q459,Val!$C$1,Val!$C$2,Val!$C$3,Val!$C$4,Val!$D459,Val!$C$5,Val!$C$6,Val!$B459,Val!$E459,Val!Q$10,Val!$C$7,Val!$C459),"")</f>
        <v>-47128.90083333334</v>
      </c>
    </row>
    <row r="460" spans="2:17" x14ac:dyDescent="0.25">
      <c r="B460" t="s">
        <v>299</v>
      </c>
      <c r="C460" t="s">
        <v>19</v>
      </c>
      <c r="D460" t="s">
        <v>199</v>
      </c>
      <c r="E460" t="s">
        <v>128</v>
      </c>
      <c r="F460" s="2">
        <f ca="1">IF(Flag_Send_Data=1,_xll.DBSW(Val!F460,Val!$C$1,Val!$C$2,Val!$C$3,Val!$C$4,Val!$D460,Val!$C$5,Val!$C$6,Val!$B460,Val!$E460,Val!F$10,Val!$C$7,Val!$C460),"")</f>
        <v>-666.66666666666663</v>
      </c>
      <c r="G460" s="2">
        <f ca="1">IF(Flag_Send_Data=1,_xll.DBSW(Val!G460,Val!$C$1,Val!$C$2,Val!$C$3,Val!$C$4,Val!$D460,Val!$C$5,Val!$C$6,Val!$B460,Val!$E460,Val!G$10,Val!$C$7,Val!$C460),"")</f>
        <v>-666.66666666666663</v>
      </c>
      <c r="H460" s="2">
        <f ca="1">IF(Flag_Send_Data=1,_xll.DBSW(Val!H460,Val!$C$1,Val!$C$2,Val!$C$3,Val!$C$4,Val!$D460,Val!$C$5,Val!$C$6,Val!$B460,Val!$E460,Val!H$10,Val!$C$7,Val!$C460),"")</f>
        <v>-666.66666666666663</v>
      </c>
      <c r="I460" s="2">
        <f ca="1">IF(Flag_Send_Data=1,_xll.DBSW(Val!I460,Val!$C$1,Val!$C$2,Val!$C$3,Val!$C$4,Val!$D460,Val!$C$5,Val!$C$6,Val!$B460,Val!$E460,Val!I$10,Val!$C$7,Val!$C460),"")</f>
        <v>-666.66666666666663</v>
      </c>
      <c r="J460" s="2">
        <f ca="1">IF(Flag_Send_Data=1,_xll.DBSW(Val!J460,Val!$C$1,Val!$C$2,Val!$C$3,Val!$C$4,Val!$D460,Val!$C$5,Val!$C$6,Val!$B460,Val!$E460,Val!J$10,Val!$C$7,Val!$C460),"")</f>
        <v>-666.66666666666663</v>
      </c>
      <c r="K460" s="2">
        <f ca="1">IF(Flag_Send_Data=1,_xll.DBSW(Val!K460,Val!$C$1,Val!$C$2,Val!$C$3,Val!$C$4,Val!$D460,Val!$C$5,Val!$C$6,Val!$B460,Val!$E460,Val!K$10,Val!$C$7,Val!$C460),"")</f>
        <v>-666.66666666666663</v>
      </c>
      <c r="L460" s="2">
        <f ca="1">IF(Flag_Send_Data=1,_xll.DBSW(Val!L460,Val!$C$1,Val!$C$2,Val!$C$3,Val!$C$4,Val!$D460,Val!$C$5,Val!$C$6,Val!$B460,Val!$E460,Val!L$10,Val!$C$7,Val!$C460),"")</f>
        <v>-666.66666666666663</v>
      </c>
      <c r="M460" s="2">
        <f ca="1">IF(Flag_Send_Data=1,_xll.DBSW(Val!M460,Val!$C$1,Val!$C$2,Val!$C$3,Val!$C$4,Val!$D460,Val!$C$5,Val!$C$6,Val!$B460,Val!$E460,Val!M$10,Val!$C$7,Val!$C460),"")</f>
        <v>-666.66666666666663</v>
      </c>
      <c r="N460" s="2">
        <f ca="1">IF(Flag_Send_Data=1,_xll.DBSW(Val!N460,Val!$C$1,Val!$C$2,Val!$C$3,Val!$C$4,Val!$D460,Val!$C$5,Val!$C$6,Val!$B460,Val!$E460,Val!N$10,Val!$C$7,Val!$C460),"")</f>
        <v>-666.66666666666663</v>
      </c>
      <c r="O460" s="2">
        <f ca="1">IF(Flag_Send_Data=1,_xll.DBSW(Val!O460,Val!$C$1,Val!$C$2,Val!$C$3,Val!$C$4,Val!$D460,Val!$C$5,Val!$C$6,Val!$B460,Val!$E460,Val!O$10,Val!$C$7,Val!$C460),"")</f>
        <v>-666.66666666666663</v>
      </c>
      <c r="P460" s="2">
        <f ca="1">IF(Flag_Send_Data=1,_xll.DBSW(Val!P460,Val!$C$1,Val!$C$2,Val!$C$3,Val!$C$4,Val!$D460,Val!$C$5,Val!$C$6,Val!$B460,Val!$E460,Val!P$10,Val!$C$7,Val!$C460),"")</f>
        <v>-666.66666666666663</v>
      </c>
      <c r="Q460" s="2">
        <f ca="1">IF(Flag_Send_Data=1,_xll.DBSW(Val!Q460,Val!$C$1,Val!$C$2,Val!$C$3,Val!$C$4,Val!$D460,Val!$C$5,Val!$C$6,Val!$B460,Val!$E460,Val!Q$10,Val!$C$7,Val!$C460),"")</f>
        <v>-666.66666666666663</v>
      </c>
    </row>
    <row r="461" spans="2:17" x14ac:dyDescent="0.25">
      <c r="B461" t="s">
        <v>299</v>
      </c>
      <c r="C461" t="s">
        <v>21</v>
      </c>
      <c r="D461" t="s">
        <v>199</v>
      </c>
      <c r="E461" t="s">
        <v>128</v>
      </c>
      <c r="F461" s="2">
        <f ca="1">IF(Flag_Send_Data=1,_xll.DBSW(Val!F461,Val!$C$1,Val!$C$2,Val!$C$3,Val!$C$4,Val!$D461,Val!$C$5,Val!$C$6,Val!$B461,Val!$E461,Val!F$10,Val!$C$7,Val!$C461),"")</f>
        <v>-83.333333333333329</v>
      </c>
      <c r="G461" s="2">
        <f ca="1">IF(Flag_Send_Data=1,_xll.DBSW(Val!G461,Val!$C$1,Val!$C$2,Val!$C$3,Val!$C$4,Val!$D461,Val!$C$5,Val!$C$6,Val!$B461,Val!$E461,Val!G$10,Val!$C$7,Val!$C461),"")</f>
        <v>-83.333333333333329</v>
      </c>
      <c r="H461" s="2">
        <f ca="1">IF(Flag_Send_Data=1,_xll.DBSW(Val!H461,Val!$C$1,Val!$C$2,Val!$C$3,Val!$C$4,Val!$D461,Val!$C$5,Val!$C$6,Val!$B461,Val!$E461,Val!H$10,Val!$C$7,Val!$C461),"")</f>
        <v>-83.333333333333329</v>
      </c>
      <c r="I461" s="2">
        <f ca="1">IF(Flag_Send_Data=1,_xll.DBSW(Val!I461,Val!$C$1,Val!$C$2,Val!$C$3,Val!$C$4,Val!$D461,Val!$C$5,Val!$C$6,Val!$B461,Val!$E461,Val!I$10,Val!$C$7,Val!$C461),"")</f>
        <v>-83.333333333333329</v>
      </c>
      <c r="J461" s="2">
        <f ca="1">IF(Flag_Send_Data=1,_xll.DBSW(Val!J461,Val!$C$1,Val!$C$2,Val!$C$3,Val!$C$4,Val!$D461,Val!$C$5,Val!$C$6,Val!$B461,Val!$E461,Val!J$10,Val!$C$7,Val!$C461),"")</f>
        <v>-83.333333333333329</v>
      </c>
      <c r="K461" s="2">
        <f ca="1">IF(Flag_Send_Data=1,_xll.DBSW(Val!K461,Val!$C$1,Val!$C$2,Val!$C$3,Val!$C$4,Val!$D461,Val!$C$5,Val!$C$6,Val!$B461,Val!$E461,Val!K$10,Val!$C$7,Val!$C461),"")</f>
        <v>-83.333333333333329</v>
      </c>
      <c r="L461" s="2">
        <f ca="1">IF(Flag_Send_Data=1,_xll.DBSW(Val!L461,Val!$C$1,Val!$C$2,Val!$C$3,Val!$C$4,Val!$D461,Val!$C$5,Val!$C$6,Val!$B461,Val!$E461,Val!L$10,Val!$C$7,Val!$C461),"")</f>
        <v>-83.333333333333329</v>
      </c>
      <c r="M461" s="2">
        <f ca="1">IF(Flag_Send_Data=1,_xll.DBSW(Val!M461,Val!$C$1,Val!$C$2,Val!$C$3,Val!$C$4,Val!$D461,Val!$C$5,Val!$C$6,Val!$B461,Val!$E461,Val!M$10,Val!$C$7,Val!$C461),"")</f>
        <v>-83.333333333333329</v>
      </c>
      <c r="N461" s="2">
        <f ca="1">IF(Flag_Send_Data=1,_xll.DBSW(Val!N461,Val!$C$1,Val!$C$2,Val!$C$3,Val!$C$4,Val!$D461,Val!$C$5,Val!$C$6,Val!$B461,Val!$E461,Val!N$10,Val!$C$7,Val!$C461),"")</f>
        <v>-83.333333333333329</v>
      </c>
      <c r="O461" s="2">
        <f ca="1">IF(Flag_Send_Data=1,_xll.DBSW(Val!O461,Val!$C$1,Val!$C$2,Val!$C$3,Val!$C$4,Val!$D461,Val!$C$5,Val!$C$6,Val!$B461,Val!$E461,Val!O$10,Val!$C$7,Val!$C461),"")</f>
        <v>-83.333333333333329</v>
      </c>
      <c r="P461" s="2">
        <f ca="1">IF(Flag_Send_Data=1,_xll.DBSW(Val!P461,Val!$C$1,Val!$C$2,Val!$C$3,Val!$C$4,Val!$D461,Val!$C$5,Val!$C$6,Val!$B461,Val!$E461,Val!P$10,Val!$C$7,Val!$C461),"")</f>
        <v>-83.333333333333329</v>
      </c>
      <c r="Q461" s="2">
        <f ca="1">IF(Flag_Send_Data=1,_xll.DBSW(Val!Q461,Val!$C$1,Val!$C$2,Val!$C$3,Val!$C$4,Val!$D461,Val!$C$5,Val!$C$6,Val!$B461,Val!$E461,Val!Q$10,Val!$C$7,Val!$C461),"")</f>
        <v>-83.333333333333329</v>
      </c>
    </row>
    <row r="462" spans="2:17" x14ac:dyDescent="0.25">
      <c r="B462" t="s">
        <v>299</v>
      </c>
      <c r="C462" t="s">
        <v>95</v>
      </c>
      <c r="D462" t="s">
        <v>199</v>
      </c>
      <c r="E462" t="s">
        <v>128</v>
      </c>
      <c r="F462" s="2">
        <f ca="1">IF(Flag_Send_Data=1,_xll.DBSW(Val!F462,Val!$C$1,Val!$C$2,Val!$C$3,Val!$C$4,Val!$D462,Val!$C$5,Val!$C$6,Val!$B462,Val!$E462,Val!F$10,Val!$C$7,Val!$C462),"")</f>
        <v>-833.33333333333337</v>
      </c>
      <c r="G462" s="2">
        <f ca="1">IF(Flag_Send_Data=1,_xll.DBSW(Val!G462,Val!$C$1,Val!$C$2,Val!$C$3,Val!$C$4,Val!$D462,Val!$C$5,Val!$C$6,Val!$B462,Val!$E462,Val!G$10,Val!$C$7,Val!$C462),"")</f>
        <v>-833.33333333333337</v>
      </c>
      <c r="H462" s="2">
        <f ca="1">IF(Flag_Send_Data=1,_xll.DBSW(Val!H462,Val!$C$1,Val!$C$2,Val!$C$3,Val!$C$4,Val!$D462,Val!$C$5,Val!$C$6,Val!$B462,Val!$E462,Val!H$10,Val!$C$7,Val!$C462),"")</f>
        <v>-833.33333333333337</v>
      </c>
      <c r="I462" s="2">
        <f ca="1">IF(Flag_Send_Data=1,_xll.DBSW(Val!I462,Val!$C$1,Val!$C$2,Val!$C$3,Val!$C$4,Val!$D462,Val!$C$5,Val!$C$6,Val!$B462,Val!$E462,Val!I$10,Val!$C$7,Val!$C462),"")</f>
        <v>-833.33333333333337</v>
      </c>
      <c r="J462" s="2">
        <f ca="1">IF(Flag_Send_Data=1,_xll.DBSW(Val!J462,Val!$C$1,Val!$C$2,Val!$C$3,Val!$C$4,Val!$D462,Val!$C$5,Val!$C$6,Val!$B462,Val!$E462,Val!J$10,Val!$C$7,Val!$C462),"")</f>
        <v>-833.33333333333337</v>
      </c>
      <c r="K462" s="2">
        <f ca="1">IF(Flag_Send_Data=1,_xll.DBSW(Val!K462,Val!$C$1,Val!$C$2,Val!$C$3,Val!$C$4,Val!$D462,Val!$C$5,Val!$C$6,Val!$B462,Val!$E462,Val!K$10,Val!$C$7,Val!$C462),"")</f>
        <v>-833.33333333333337</v>
      </c>
      <c r="L462" s="2">
        <f ca="1">IF(Flag_Send_Data=1,_xll.DBSW(Val!L462,Val!$C$1,Val!$C$2,Val!$C$3,Val!$C$4,Val!$D462,Val!$C$5,Val!$C$6,Val!$B462,Val!$E462,Val!L$10,Val!$C$7,Val!$C462),"")</f>
        <v>-833.33333333333337</v>
      </c>
      <c r="M462" s="2">
        <f ca="1">IF(Flag_Send_Data=1,_xll.DBSW(Val!M462,Val!$C$1,Val!$C$2,Val!$C$3,Val!$C$4,Val!$D462,Val!$C$5,Val!$C$6,Val!$B462,Val!$E462,Val!M$10,Val!$C$7,Val!$C462),"")</f>
        <v>-833.33333333333337</v>
      </c>
      <c r="N462" s="2">
        <f ca="1">IF(Flag_Send_Data=1,_xll.DBSW(Val!N462,Val!$C$1,Val!$C$2,Val!$C$3,Val!$C$4,Val!$D462,Val!$C$5,Val!$C$6,Val!$B462,Val!$E462,Val!N$10,Val!$C$7,Val!$C462),"")</f>
        <v>-833.33333333333337</v>
      </c>
      <c r="O462" s="2">
        <f ca="1">IF(Flag_Send_Data=1,_xll.DBSW(Val!O462,Val!$C$1,Val!$C$2,Val!$C$3,Val!$C$4,Val!$D462,Val!$C$5,Val!$C$6,Val!$B462,Val!$E462,Val!O$10,Val!$C$7,Val!$C462),"")</f>
        <v>-833.33333333333337</v>
      </c>
      <c r="P462" s="2">
        <f ca="1">IF(Flag_Send_Data=1,_xll.DBSW(Val!P462,Val!$C$1,Val!$C$2,Val!$C$3,Val!$C$4,Val!$D462,Val!$C$5,Val!$C$6,Val!$B462,Val!$E462,Val!P$10,Val!$C$7,Val!$C462),"")</f>
        <v>-833.33333333333337</v>
      </c>
      <c r="Q462" s="2">
        <f ca="1">IF(Flag_Send_Data=1,_xll.DBSW(Val!Q462,Val!$C$1,Val!$C$2,Val!$C$3,Val!$C$4,Val!$D462,Val!$C$5,Val!$C$6,Val!$B462,Val!$E462,Val!Q$10,Val!$C$7,Val!$C462),"")</f>
        <v>-833.33333333333337</v>
      </c>
    </row>
    <row r="463" spans="2:17" x14ac:dyDescent="0.25">
      <c r="B463" t="s">
        <v>299</v>
      </c>
      <c r="C463" t="s">
        <v>100</v>
      </c>
      <c r="D463" t="s">
        <v>199</v>
      </c>
      <c r="E463" t="s">
        <v>14</v>
      </c>
      <c r="F463" s="2">
        <f ca="1">IF(Flag_Send_Data=1,_xll.DBSW(Val!F463,Val!$C$1,Val!$C$2,Val!$C$3,Val!$C$4,Val!$D463,Val!$C$5,Val!$C$6,Val!$B463,Val!$E463,Val!F$10,Val!$C$7,Val!$C463),"")</f>
        <v>23564.450833333332</v>
      </c>
      <c r="G463" s="2">
        <f ca="1">IF(Flag_Send_Data=1,_xll.DBSW(Val!G463,Val!$C$1,Val!$C$2,Val!$C$3,Val!$C$4,Val!$D463,Val!$C$5,Val!$C$6,Val!$B463,Val!$E463,Val!G$10,Val!$C$7,Val!$C463),"")</f>
        <v>23564.450833333332</v>
      </c>
      <c r="H463" s="2">
        <f ca="1">IF(Flag_Send_Data=1,_xll.DBSW(Val!H463,Val!$C$1,Val!$C$2,Val!$C$3,Val!$C$4,Val!$D463,Val!$C$5,Val!$C$6,Val!$B463,Val!$E463,Val!H$10,Val!$C$7,Val!$C463),"")</f>
        <v>23564.450833333332</v>
      </c>
      <c r="I463" s="2">
        <f ca="1">IF(Flag_Send_Data=1,_xll.DBSW(Val!I463,Val!$C$1,Val!$C$2,Val!$C$3,Val!$C$4,Val!$D463,Val!$C$5,Val!$C$6,Val!$B463,Val!$E463,Val!I$10,Val!$C$7,Val!$C463),"")</f>
        <v>23564.450833333332</v>
      </c>
      <c r="J463" s="2">
        <f ca="1">IF(Flag_Send_Data=1,_xll.DBSW(Val!J463,Val!$C$1,Val!$C$2,Val!$C$3,Val!$C$4,Val!$D463,Val!$C$5,Val!$C$6,Val!$B463,Val!$E463,Val!J$10,Val!$C$7,Val!$C463),"")</f>
        <v>23564.450833333332</v>
      </c>
      <c r="K463" s="2">
        <f ca="1">IF(Flag_Send_Data=1,_xll.DBSW(Val!K463,Val!$C$1,Val!$C$2,Val!$C$3,Val!$C$4,Val!$D463,Val!$C$5,Val!$C$6,Val!$B463,Val!$E463,Val!K$10,Val!$C$7,Val!$C463),"")</f>
        <v>23564.450833333332</v>
      </c>
      <c r="L463" s="2">
        <f ca="1">IF(Flag_Send_Data=1,_xll.DBSW(Val!L463,Val!$C$1,Val!$C$2,Val!$C$3,Val!$C$4,Val!$D463,Val!$C$5,Val!$C$6,Val!$B463,Val!$E463,Val!L$10,Val!$C$7,Val!$C463),"")</f>
        <v>23564.450833333332</v>
      </c>
      <c r="M463" s="2">
        <f ca="1">IF(Flag_Send_Data=1,_xll.DBSW(Val!M463,Val!$C$1,Val!$C$2,Val!$C$3,Val!$C$4,Val!$D463,Val!$C$5,Val!$C$6,Val!$B463,Val!$E463,Val!M$10,Val!$C$7,Val!$C463),"")</f>
        <v>23564.450833333332</v>
      </c>
      <c r="N463" s="2">
        <f ca="1">IF(Flag_Send_Data=1,_xll.DBSW(Val!N463,Val!$C$1,Val!$C$2,Val!$C$3,Val!$C$4,Val!$D463,Val!$C$5,Val!$C$6,Val!$B463,Val!$E463,Val!N$10,Val!$C$7,Val!$C463),"")</f>
        <v>23564.450833333332</v>
      </c>
      <c r="O463" s="2">
        <f ca="1">IF(Flag_Send_Data=1,_xll.DBSW(Val!O463,Val!$C$1,Val!$C$2,Val!$C$3,Val!$C$4,Val!$D463,Val!$C$5,Val!$C$6,Val!$B463,Val!$E463,Val!O$10,Val!$C$7,Val!$C463),"")</f>
        <v>23564.450833333332</v>
      </c>
      <c r="P463" s="2">
        <f ca="1">IF(Flag_Send_Data=1,_xll.DBSW(Val!P463,Val!$C$1,Val!$C$2,Val!$C$3,Val!$C$4,Val!$D463,Val!$C$5,Val!$C$6,Val!$B463,Val!$E463,Val!P$10,Val!$C$7,Val!$C463),"")</f>
        <v>23564.450833333332</v>
      </c>
      <c r="Q463" s="2">
        <f ca="1">IF(Flag_Send_Data=1,_xll.DBSW(Val!Q463,Val!$C$1,Val!$C$2,Val!$C$3,Val!$C$4,Val!$D463,Val!$C$5,Val!$C$6,Val!$B463,Val!$E463,Val!Q$10,Val!$C$7,Val!$C463),"")</f>
        <v>23564.450833333332</v>
      </c>
    </row>
  </sheetData>
  <autoFilter ref="B10:Q463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Val</vt:lpstr>
      <vt:lpstr>DBS</vt:lpstr>
      <vt:lpstr>Flag_Send_Data</vt:lpstr>
    </vt:vector>
  </TitlesOfParts>
  <Company>Veolia Transport - 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olivier.hassoun</dc:creator>
  <cp:lastModifiedBy>SAINT JOHN de CREVECOEUR, Rozenn</cp:lastModifiedBy>
  <dcterms:created xsi:type="dcterms:W3CDTF">2012-03-14T14:55:55Z</dcterms:created>
  <dcterms:modified xsi:type="dcterms:W3CDTF">2021-06-15T14:39:05Z</dcterms:modified>
</cp:coreProperties>
</file>