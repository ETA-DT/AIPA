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7605" windowHeight="3930" tabRatio="852" firstSheet="1" activeTab="1"/>
  </bookViews>
  <sheets>
    <sheet name="Context" sheetId="66" state="hidden" r:id="rId1"/>
    <sheet name="Couts_bruts_Couts_net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Couts_bruts_Couts_net!$I$33:$AC$56</definedName>
    <definedName name="Autofit1">Couts_bruts_Couts_net!$I$33:$K$56</definedName>
    <definedName name="Autofit2">Couts_bruts_Couts_net!$M$33:$M$56</definedName>
    <definedName name="Autofit3">Couts_bruts_Couts_net!$P$33:$P$56</definedName>
    <definedName name="Autofit4">Couts_bruts_Couts_net!$T$33:$V$56</definedName>
    <definedName name="Autofit5">Couts_bruts_Couts_net!$X$33:$X$56</definedName>
    <definedName name="Autofit6">Couts_bruts_Couts_net!$AA$33:$AA$56</definedName>
    <definedName name="AutoRefresh_Couts_bruts_Couts_net">Couts_bruts_Couts_net!$G$11</definedName>
    <definedName name="AutoRefresh_Input_PL">Couts_bruts_Couts_net!$AF$11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Couts_bruts_Couts_net!$E:$AB,Couts_bruts_Couts_net!$16:$33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3" localSheetId="1">Couts_bruts_Couts_net!$52:$54</definedName>
    <definedName name="TM1RPTFMTIDCOL" localSheetId="1">Couts_bruts_Couts_net!$A$1:$A$8</definedName>
    <definedName name="TM1RPTFMTRNG" localSheetId="1">Couts_bruts_Couts_net!$F$1:$AC$8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Couts_bruts_Couts_net!$F$19:$AB$91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54" i="58" l="1"/>
  <c r="A53" i="58"/>
  <c r="F38" i="58"/>
  <c r="AS18" i="58"/>
  <c r="G30" i="58"/>
  <c r="G40" i="58"/>
  <c r="G23" i="58"/>
  <c r="G41" i="58"/>
  <c r="G24" i="58"/>
  <c r="G42" i="58"/>
  <c r="G29" i="58"/>
  <c r="G43" i="58"/>
  <c r="G44" i="58"/>
  <c r="G26" i="58"/>
  <c r="G45" i="58"/>
  <c r="G46" i="58"/>
  <c r="G27" i="58"/>
  <c r="H13" i="58"/>
  <c r="U12" i="58"/>
  <c r="F14" i="58"/>
  <c r="U11" i="58"/>
  <c r="AH54" i="58"/>
  <c r="V12" i="58"/>
  <c r="AG54" i="58"/>
  <c r="J12" i="58"/>
  <c r="J11" i="58"/>
  <c r="AF54" i="58"/>
  <c r="K12" i="58"/>
  <c r="AE54" i="58"/>
  <c r="U54" i="58"/>
  <c r="V54" i="58"/>
  <c r="AA54" i="58"/>
  <c r="AB54" i="58"/>
  <c r="AC54" i="58"/>
  <c r="T12" i="58"/>
  <c r="T54" i="58"/>
  <c r="X54" i="58"/>
  <c r="Y54" i="58"/>
  <c r="Z54" i="58"/>
  <c r="J54" i="58"/>
  <c r="K54" i="58"/>
  <c r="P54" i="58"/>
  <c r="Q54" i="58"/>
  <c r="R54" i="58"/>
  <c r="I12" i="58"/>
  <c r="I54" i="58"/>
  <c r="M54" i="58"/>
  <c r="N54" i="58"/>
  <c r="O54" i="58"/>
  <c r="AH53" i="58"/>
  <c r="AG53" i="58"/>
  <c r="AF53" i="58"/>
  <c r="AE53" i="58"/>
  <c r="U53" i="58"/>
  <c r="V53" i="58"/>
  <c r="AA53" i="58"/>
  <c r="AB53" i="58"/>
  <c r="AC53" i="58"/>
  <c r="T53" i="58"/>
  <c r="X53" i="58"/>
  <c r="Y53" i="58"/>
  <c r="Z53" i="58"/>
  <c r="J53" i="58"/>
  <c r="K53" i="58"/>
  <c r="P53" i="58"/>
  <c r="Q53" i="58"/>
  <c r="R53" i="58"/>
  <c r="I53" i="58"/>
  <c r="M53" i="58"/>
  <c r="N53" i="58"/>
  <c r="O53" i="58"/>
  <c r="B5" i="66"/>
  <c r="B13" i="66"/>
  <c r="G28" i="58"/>
  <c r="C13" i="66"/>
  <c r="D13" i="66"/>
  <c r="E13" i="66"/>
  <c r="F13" i="66"/>
  <c r="F26" i="58"/>
  <c r="X31" i="58"/>
  <c r="T31" i="58"/>
  <c r="M31" i="58"/>
  <c r="I31" i="58"/>
  <c r="O11" i="58"/>
  <c r="B17" i="66"/>
  <c r="C17" i="66"/>
  <c r="AQ22" i="58"/>
  <c r="F62" i="58"/>
  <c r="F61" i="58"/>
  <c r="F60" i="58"/>
  <c r="F59" i="58"/>
  <c r="V33" i="58"/>
  <c r="J35" i="58"/>
  <c r="K35" i="58"/>
  <c r="P35" i="58"/>
  <c r="Q35" i="58"/>
  <c r="T35" i="58"/>
  <c r="V35" i="58"/>
  <c r="X35" i="58"/>
  <c r="Y35" i="58"/>
  <c r="U35" i="58"/>
  <c r="AA35" i="58"/>
  <c r="AB35" i="58"/>
  <c r="F36" i="58"/>
  <c r="F52" i="58"/>
  <c r="U52" i="58"/>
  <c r="V52" i="58"/>
  <c r="AA52" i="58"/>
  <c r="AB52" i="58"/>
  <c r="T52" i="58"/>
  <c r="X52" i="58"/>
  <c r="Y52" i="58"/>
  <c r="J52" i="58"/>
  <c r="K52" i="58"/>
  <c r="P52" i="58"/>
  <c r="Q52" i="58"/>
  <c r="I52" i="58"/>
  <c r="M52" i="58"/>
  <c r="N52" i="58"/>
  <c r="I35" i="58"/>
  <c r="M35" i="58"/>
  <c r="N35" i="58"/>
  <c r="AT63" i="58"/>
  <c r="AQ66" i="58"/>
  <c r="AQ67" i="58"/>
  <c r="AQ69" i="58"/>
  <c r="AT76" i="58"/>
  <c r="AU76" i="58"/>
  <c r="AV76" i="58"/>
  <c r="AW76" i="58"/>
  <c r="AX76" i="58"/>
  <c r="AY67" i="58"/>
  <c r="AY76" i="58"/>
  <c r="AZ76" i="58"/>
  <c r="BA76" i="58"/>
  <c r="AT77" i="58"/>
  <c r="AU77" i="58"/>
  <c r="AV77" i="58"/>
  <c r="AW77" i="58"/>
  <c r="AX77" i="58"/>
  <c r="AY77" i="58"/>
  <c r="AZ77" i="58"/>
  <c r="BA77" i="58"/>
  <c r="AR78" i="58"/>
  <c r="AT78" i="58"/>
  <c r="AU78" i="58"/>
  <c r="AV78" i="58"/>
  <c r="AW78" i="58"/>
  <c r="AX78" i="58"/>
  <c r="AY78" i="58"/>
  <c r="AZ78" i="58"/>
  <c r="BA78" i="58"/>
  <c r="AS78" i="58"/>
  <c r="AS77" i="58"/>
  <c r="AS76" i="58"/>
  <c r="AT72" i="58"/>
  <c r="AU72" i="58"/>
  <c r="AV72" i="58"/>
  <c r="AW72" i="58"/>
  <c r="AX72" i="58"/>
  <c r="AY72" i="58"/>
  <c r="AZ72" i="58"/>
  <c r="BA72" i="58"/>
  <c r="AT73" i="58"/>
  <c r="AU73" i="58"/>
  <c r="AV73" i="58"/>
  <c r="AW73" i="58"/>
  <c r="AX73" i="58"/>
  <c r="AY73" i="58"/>
  <c r="AZ73" i="58"/>
  <c r="BA73" i="58"/>
  <c r="AR74" i="58"/>
  <c r="AT74" i="58"/>
  <c r="AU74" i="58"/>
  <c r="AV74" i="58"/>
  <c r="AW74" i="58"/>
  <c r="AX74" i="58"/>
  <c r="AY74" i="58"/>
  <c r="AZ74" i="58"/>
  <c r="BA74" i="58"/>
  <c r="AS73" i="58"/>
  <c r="AS74" i="58"/>
  <c r="AS72" i="58"/>
  <c r="AR70" i="58"/>
  <c r="AW70" i="58"/>
  <c r="AS70" i="58"/>
  <c r="AT69" i="58"/>
  <c r="AU69" i="58"/>
  <c r="AV69" i="58"/>
  <c r="AW69" i="58"/>
  <c r="AX69" i="58"/>
  <c r="AY69" i="58"/>
  <c r="AZ69" i="58"/>
  <c r="BA69" i="58"/>
  <c r="AS69" i="58"/>
  <c r="BA70" i="58"/>
  <c r="AZ70" i="58"/>
  <c r="AY70" i="58"/>
  <c r="AX70" i="58"/>
  <c r="AV70" i="58"/>
  <c r="AU70" i="58"/>
  <c r="AT70" i="58"/>
  <c r="AT68" i="58"/>
  <c r="AU68" i="58"/>
  <c r="AV68" i="58"/>
  <c r="AW68" i="58"/>
  <c r="AX68" i="58"/>
  <c r="AY68" i="58"/>
  <c r="AZ68" i="58"/>
  <c r="BA68" i="58"/>
  <c r="AS68" i="58"/>
  <c r="AY66" i="58"/>
  <c r="AT66" i="58"/>
  <c r="AU66" i="58"/>
  <c r="AV66" i="58"/>
  <c r="AW66" i="58"/>
  <c r="AX66" i="58"/>
  <c r="AZ66" i="58"/>
  <c r="BA66" i="58"/>
  <c r="AS66" i="58"/>
  <c r="AQ68" i="58"/>
  <c r="AQ75" i="58"/>
  <c r="AQ71" i="58"/>
  <c r="AQ78" i="58"/>
  <c r="AQ77" i="58"/>
  <c r="AQ76" i="58"/>
  <c r="AQ74" i="58"/>
  <c r="AQ73" i="58"/>
  <c r="AQ72" i="58"/>
  <c r="AQ70" i="58"/>
  <c r="AQ23" i="58"/>
  <c r="AE52" i="58"/>
  <c r="AG52" i="58"/>
  <c r="AH52" i="58"/>
  <c r="AF52" i="58"/>
  <c r="AC52" i="58"/>
  <c r="Z52" i="58"/>
  <c r="R52" i="58"/>
  <c r="O52" i="58"/>
  <c r="AC35" i="58"/>
  <c r="Z35" i="58"/>
  <c r="R35" i="58"/>
  <c r="O35" i="58"/>
  <c r="V19" i="58"/>
  <c r="AC33" i="58"/>
  <c r="Z33" i="58"/>
  <c r="U33" i="58"/>
  <c r="AA33" i="58"/>
  <c r="K33" i="58"/>
  <c r="J33" i="58"/>
  <c r="P33" i="58"/>
  <c r="R33" i="58"/>
  <c r="T33" i="58"/>
  <c r="X33" i="58"/>
  <c r="I33" i="58"/>
  <c r="M33" i="58"/>
  <c r="O33" i="58"/>
  <c r="F35" i="58"/>
  <c r="F24" i="58"/>
  <c r="F23" i="58"/>
  <c r="F30" i="58"/>
  <c r="F29" i="58"/>
  <c r="F58" i="58"/>
  <c r="G19" i="58"/>
  <c r="S33" i="58"/>
  <c r="F28" i="58"/>
  <c r="F22" i="58"/>
  <c r="F27" i="58"/>
  <c r="F33" i="58"/>
  <c r="F25" i="58"/>
  <c r="A5" i="58"/>
  <c r="A4" i="58"/>
  <c r="A3" i="58"/>
  <c r="A2" i="58"/>
  <c r="A52" i="58"/>
  <c r="AQ24" i="58"/>
  <c r="B14" i="66"/>
  <c r="B16" i="66"/>
  <c r="B15" i="66"/>
</calcChain>
</file>

<file path=xl/sharedStrings.xml><?xml version="1.0" encoding="utf-8"?>
<sst xmlns="http://schemas.openxmlformats.org/spreadsheetml/2006/main" count="128" uniqueCount="105">
  <si>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</si>
  <si>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</si>
  <si>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</si>
  <si>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</si>
  <si>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</si>
  <si>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</si>
  <si>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</si>
  <si>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</si>
  <si>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</si>
  <si>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</si>
  <si>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</si>
  <si>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</si>
  <si>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</si>
  <si>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</si>
  <si>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</si>
  <si>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</si>
  <si>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</si>
  <si>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</si>
  <si>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</si>
  <si>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</si>
  <si>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</si>
  <si>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</si>
  <si>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</si>
  <si>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</si>
  <si>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</si>
  <si>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</si>
  <si>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</si>
  <si>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</si>
  <si>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</si>
  <si>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</si>
  <si>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</si>
  <si>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</si>
  <si>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</si>
  <si>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</si>
  <si>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</si>
  <si>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</si>
  <si>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</si>
  <si>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</si>
  <si>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</si>
  <si>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</si>
  <si>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TFR-AP019298</t>
  </si>
  <si>
    <t>Forecast Version 2</t>
  </si>
  <si>
    <t>List 1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</si>
  <si>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</si>
  <si>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</si>
  <si>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</si>
  <si>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</si>
  <si>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</si>
  <si>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</si>
  <si>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</si>
  <si>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</si>
  <si>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</si>
  <si>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</si>
  <si>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</si>
  <si>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</si>
  <si>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</si>
  <si>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</si>
  <si>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</si>
  <si>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Budget</t>
  </si>
  <si>
    <t>Forecast_1</t>
  </si>
  <si>
    <t>Forecast_2</t>
  </si>
  <si>
    <t>Total</t>
  </si>
  <si>
    <t>ACT_TOT</t>
  </si>
  <si>
    <t>Eléments fixes</t>
  </si>
  <si>
    <t>RP_Comments_PL_Corp</t>
  </si>
  <si>
    <t>Integration_rate</t>
  </si>
  <si>
    <t>Month</t>
  </si>
  <si>
    <t>Previous Month</t>
  </si>
  <si>
    <t>YTD</t>
  </si>
  <si>
    <t>Actual_N_1</t>
  </si>
  <si>
    <t>Chges_ope</t>
  </si>
  <si>
    <t>TPL1_dest_aprs_mgmt_fees</t>
  </si>
  <si>
    <t>RESOP</t>
  </si>
  <si>
    <t>Couts_bruts_Couts_nets_Actual</t>
  </si>
  <si>
    <t>Variances</t>
  </si>
  <si>
    <t>Variance</t>
  </si>
  <si>
    <t>Couts_Bruts</t>
  </si>
  <si>
    <t>Output</t>
  </si>
  <si>
    <t>Tot_tiers</t>
  </si>
  <si>
    <t>VTD</t>
  </si>
  <si>
    <t>Trend arrows</t>
  </si>
  <si>
    <t>ì</t>
  </si>
  <si>
    <t>î</t>
  </si>
  <si>
    <t>è</t>
  </si>
  <si>
    <t>Couts_bruts_Couts_net_Realise</t>
  </si>
  <si>
    <t>Phase for comments</t>
  </si>
  <si>
    <t>YearToDate</t>
  </si>
  <si>
    <t>Ytd</t>
  </si>
  <si>
    <t>Pdts_ope</t>
  </si>
  <si>
    <t>Dir_gen</t>
  </si>
  <si>
    <t>Dir_com</t>
  </si>
  <si>
    <t>Dir_fi</t>
  </si>
  <si>
    <t>Dir_si</t>
  </si>
  <si>
    <t>Dir_rh</t>
  </si>
  <si>
    <t>Dir_jur</t>
  </si>
  <si>
    <t>Dir_inno_dev_dur</t>
  </si>
  <si>
    <t>Dir_del_rail</t>
  </si>
  <si>
    <t>Management_Organization_Corp</t>
  </si>
  <si>
    <t>AutoRefresh_Couts_bruts_Couts_net</t>
  </si>
  <si>
    <t>Coûts Bruts - Coûts Nets Réalisé :</t>
  </si>
  <si>
    <t>Indicator_Corp for comments</t>
  </si>
  <si>
    <t>Traduction Phase</t>
  </si>
  <si>
    <t>tango_core_model:</t>
  </si>
  <si>
    <t>Directions Métiers</t>
  </si>
  <si>
    <t>Holding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</si>
</sst>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#,##0.0"/>
    <numFmt numFmtId="173" formatCode="00"/>
    <numFmt numFmtId="174" formatCode="#,##0;&quot;(&quot;#,##0&quot;)&quot;"/>
  </numFmts>
  <fonts count="8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20"/>
      <name val="Wingdings"/>
      <charset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1"/>
      <color rgb="FF0070C0"/>
      <name val="Calibri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8"/>
      <name val="Wingdings"/>
      <charset val="2"/>
    </font>
    <font>
      <b/>
      <sz val="18"/>
      <color indexed="57"/>
      <name val="Wingdings"/>
      <charset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1"/>
      <color rgb="FFFF0000"/>
      <name val="Arial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sz val="10"/>
      <color rgb="FFFF0000"/>
      <name val="Calibri"/>
      <family val="2"/>
    </font>
    <font>
      <sz val="10"/>
      <color rgb="FF0070C0"/>
      <name val="Arial"/>
      <family val="2"/>
    </font>
    <font>
      <b/>
      <sz val="10"/>
      <color rgb="FFFF0000"/>
      <name val="Arial"/>
      <family val="2"/>
    </font>
    <font>
      <sz val="13"/>
      <name val="Calibri"/>
      <family val="2"/>
    </font>
    <font>
      <sz val="13"/>
      <name val="Arial"/>
      <family val="2"/>
    </font>
    <font>
      <b/>
      <sz val="16"/>
      <color indexed="9"/>
      <name val="Calibri"/>
      <family val="2"/>
    </font>
    <font>
      <b/>
      <sz val="16"/>
      <color indexed="57"/>
      <name val="Wingdings"/>
      <charset val="2"/>
    </font>
    <font>
      <sz val="18"/>
      <name val="Calibri"/>
      <family val="2"/>
    </font>
    <font>
      <b/>
      <sz val="18"/>
      <name val="Calibri"/>
      <family val="2"/>
    </font>
    <font>
      <sz val="16"/>
      <name val="Calibri"/>
      <family val="2"/>
    </font>
    <font>
      <b/>
      <sz val="16"/>
      <name val="Calibri"/>
      <family val="2"/>
    </font>
    <font>
      <b/>
      <sz val="15"/>
      <name val="Calibri"/>
      <family val="2"/>
    </font>
    <font>
      <b/>
      <sz val="15"/>
      <color indexed="57"/>
      <name val="Wingdings"/>
      <charset val="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indexed="44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88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2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5" fillId="3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6" fontId="26" fillId="22" borderId="0" applyNumberFormat="0" applyBorder="0">
      <alignment horizontal="right"/>
      <protection locked="0"/>
    </xf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167" fontId="27" fillId="23" borderId="0" applyNumberFormat="0" applyBorder="0">
      <alignment horizontal="right" vertical="center"/>
      <protection locked="0"/>
    </xf>
    <xf numFmtId="168" fontId="27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8" fillId="25" borderId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8" fillId="25" borderId="0"/>
    <xf numFmtId="0" fontId="28" fillId="25" borderId="0"/>
    <xf numFmtId="169" fontId="30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28" fillId="25" borderId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12" borderId="0" applyNumberFormat="0" applyBorder="0" applyAlignment="0" applyProtection="0"/>
    <xf numFmtId="0" fontId="31" fillId="27" borderId="10" applyNumberFormat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170" fontId="34" fillId="28" borderId="0" applyNumberFormat="0" applyBorder="0">
      <alignment horizontal="left" vertical="center"/>
      <protection locked="0"/>
    </xf>
    <xf numFmtId="170" fontId="35" fillId="22" borderId="0" applyNumberFormat="0" applyBorder="0">
      <alignment horizontal="left"/>
      <protection locked="0"/>
    </xf>
    <xf numFmtId="0" fontId="36" fillId="0" borderId="6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10" fillId="20" borderId="3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46">
    <xf numFmtId="0" fontId="0" fillId="0" borderId="0" xfId="0"/>
    <xf numFmtId="0" fontId="58" fillId="47" borderId="0" xfId="0" applyFont="1" applyFill="1" applyAlignment="1" applyProtection="1">
      <alignment vertical="center"/>
    </xf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8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7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8" fillId="30" borderId="14" xfId="0" applyFont="1" applyFill="1" applyBorder="1" applyAlignment="1" applyProtection="1">
      <alignment horizontal="left"/>
      <protection locked="0"/>
    </xf>
    <xf numFmtId="0" fontId="46" fillId="30" borderId="15" xfId="0" applyFont="1" applyFill="1" applyBorder="1" applyProtection="1">
      <protection locked="0"/>
    </xf>
    <xf numFmtId="0" fontId="45" fillId="31" borderId="16" xfId="0" applyFont="1" applyFill="1" applyBorder="1" applyProtection="1">
      <protection locked="0"/>
    </xf>
    <xf numFmtId="0" fontId="45" fillId="0" borderId="16" xfId="0" applyFont="1" applyBorder="1" applyProtection="1">
      <protection locked="0"/>
    </xf>
    <xf numFmtId="0" fontId="45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4" fillId="3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6" fillId="32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horizontal="left" vertical="center"/>
    </xf>
    <xf numFmtId="0" fontId="40" fillId="0" borderId="0" xfId="0" applyFont="1" applyFill="1" applyAlignment="1" applyProtection="1"/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Protection="1"/>
    <xf numFmtId="0" fontId="4" fillId="0" borderId="0" xfId="0" applyFont="1" applyProtection="1"/>
    <xf numFmtId="0" fontId="49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5" fillId="0" borderId="20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0" fillId="0" borderId="23" xfId="0" applyBorder="1" applyProtection="1"/>
    <xf numFmtId="0" fontId="2" fillId="0" borderId="24" xfId="0" applyFont="1" applyBorder="1" applyProtection="1"/>
    <xf numFmtId="0" fontId="3" fillId="36" borderId="24" xfId="205" applyFont="1" applyFill="1" applyBorder="1" applyAlignment="1" applyProtection="1">
      <alignment horizontal="center" vertical="center"/>
    </xf>
    <xf numFmtId="0" fontId="0" fillId="0" borderId="27" xfId="0" applyBorder="1" applyProtection="1"/>
    <xf numFmtId="0" fontId="0" fillId="0" borderId="26" xfId="0" applyBorder="1" applyProtection="1"/>
    <xf numFmtId="0" fontId="49" fillId="0" borderId="27" xfId="0" applyFont="1" applyBorder="1" applyAlignment="1" applyProtection="1">
      <alignment horizontal="center"/>
    </xf>
    <xf numFmtId="0" fontId="0" fillId="35" borderId="0" xfId="0" applyFill="1" applyProtection="1"/>
    <xf numFmtId="0" fontId="0" fillId="35" borderId="18" xfId="0" applyFill="1" applyBorder="1" applyProtection="1"/>
    <xf numFmtId="0" fontId="0" fillId="35" borderId="28" xfId="0" applyFill="1" applyBorder="1" applyProtection="1"/>
    <xf numFmtId="0" fontId="4" fillId="35" borderId="0" xfId="205" applyFont="1" applyFill="1" applyBorder="1" applyAlignment="1" applyProtection="1">
      <alignment vertical="center"/>
    </xf>
    <xf numFmtId="0" fontId="4" fillId="35" borderId="28" xfId="205" applyFont="1" applyFill="1" applyBorder="1" applyAlignment="1" applyProtection="1">
      <alignment vertical="center"/>
    </xf>
    <xf numFmtId="0" fontId="2" fillId="35" borderId="28" xfId="0" applyFont="1" applyFill="1" applyBorder="1" applyProtection="1"/>
    <xf numFmtId="0" fontId="44" fillId="35" borderId="28" xfId="0" applyFont="1" applyFill="1" applyBorder="1" applyProtection="1"/>
    <xf numFmtId="0" fontId="51" fillId="35" borderId="0" xfId="0" applyFont="1" applyFill="1" applyAlignment="1" applyProtection="1">
      <alignment horizontal="right"/>
    </xf>
    <xf numFmtId="0" fontId="0" fillId="35" borderId="0" xfId="0" applyFill="1" applyBorder="1" applyProtection="1"/>
    <xf numFmtId="0" fontId="2" fillId="35" borderId="0" xfId="0" applyFont="1" applyFill="1" applyProtection="1"/>
    <xf numFmtId="0" fontId="44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0" fillId="35" borderId="17" xfId="0" applyFill="1" applyBorder="1" applyProtection="1"/>
    <xf numFmtId="0" fontId="44" fillId="35" borderId="0" xfId="0" applyFont="1" applyFill="1" applyBorder="1" applyAlignment="1" applyProtection="1">
      <alignment horizontal="right"/>
    </xf>
    <xf numFmtId="0" fontId="50" fillId="35" borderId="0" xfId="0" applyFont="1" applyFill="1" applyBorder="1" applyProtection="1"/>
    <xf numFmtId="0" fontId="2" fillId="35" borderId="0" xfId="0" applyFont="1" applyFill="1" applyBorder="1" applyProtection="1"/>
    <xf numFmtId="0" fontId="0" fillId="36" borderId="4" xfId="0" applyFill="1" applyBorder="1" applyProtection="1">
      <protection locked="0"/>
    </xf>
    <xf numFmtId="0" fontId="12" fillId="0" borderId="0" xfId="0" applyFont="1"/>
    <xf numFmtId="0" fontId="52" fillId="0" borderId="0" xfId="0" applyFont="1" applyAlignment="1" applyProtection="1">
      <alignment horizontal="right"/>
    </xf>
    <xf numFmtId="0" fontId="52" fillId="0" borderId="27" xfId="0" applyFont="1" applyBorder="1" applyAlignment="1" applyProtection="1">
      <alignment horizontal="center"/>
    </xf>
    <xf numFmtId="0" fontId="2" fillId="0" borderId="27" xfId="0" applyFont="1" applyBorder="1" applyProtection="1"/>
    <xf numFmtId="0" fontId="2" fillId="0" borderId="26" xfId="0" applyFont="1" applyFill="1" applyBorder="1" applyProtection="1"/>
    <xf numFmtId="0" fontId="2" fillId="0" borderId="25" xfId="0" applyFont="1" applyFill="1" applyBorder="1" applyProtection="1"/>
    <xf numFmtId="0" fontId="4" fillId="0" borderId="26" xfId="205" applyFont="1" applyFill="1" applyBorder="1" applyAlignment="1" applyProtection="1">
      <alignment vertical="center"/>
    </xf>
    <xf numFmtId="0" fontId="0" fillId="0" borderId="25" xfId="0" applyBorder="1" applyProtection="1"/>
    <xf numFmtId="0" fontId="4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54" fillId="39" borderId="0" xfId="0" applyFont="1" applyFill="1" applyBorder="1" applyProtection="1"/>
    <xf numFmtId="0" fontId="54" fillId="30" borderId="29" xfId="0" applyFont="1" applyFill="1" applyBorder="1" applyProtection="1"/>
    <xf numFmtId="0" fontId="12" fillId="35" borderId="0" xfId="0" applyFont="1" applyFill="1" applyAlignment="1" applyProtection="1">
      <alignment horizontal="right" vertical="center"/>
    </xf>
    <xf numFmtId="0" fontId="52" fillId="35" borderId="0" xfId="0" applyFont="1" applyFill="1" applyProtection="1"/>
    <xf numFmtId="0" fontId="49" fillId="35" borderId="0" xfId="0" applyFont="1" applyFill="1" applyProtection="1"/>
    <xf numFmtId="0" fontId="12" fillId="35" borderId="28" xfId="0" applyFont="1" applyFill="1" applyBorder="1" applyProtection="1"/>
    <xf numFmtId="0" fontId="44" fillId="35" borderId="0" xfId="0" applyFont="1" applyFill="1" applyBorder="1" applyProtection="1"/>
    <xf numFmtId="0" fontId="55" fillId="0" borderId="0" xfId="205" applyFont="1" applyFill="1" applyBorder="1" applyAlignment="1" applyProtection="1">
      <alignment vertical="center"/>
    </xf>
    <xf numFmtId="0" fontId="56" fillId="0" borderId="0" xfId="0" applyFont="1"/>
    <xf numFmtId="0" fontId="0" fillId="0" borderId="0" xfId="0" applyFill="1" applyBorder="1" applyProtection="1"/>
    <xf numFmtId="0" fontId="12" fillId="0" borderId="0" xfId="0" applyFont="1" applyFill="1" applyBorder="1" applyProtection="1"/>
    <xf numFmtId="0" fontId="2" fillId="0" borderId="0" xfId="0" applyFont="1" applyFill="1" applyBorder="1" applyProtection="1"/>
    <xf numFmtId="0" fontId="12" fillId="0" borderId="0" xfId="0" applyFont="1" applyFill="1" applyProtection="1"/>
    <xf numFmtId="0" fontId="44" fillId="0" borderId="0" xfId="0" applyFont="1" applyFill="1" applyBorder="1" applyProtection="1"/>
    <xf numFmtId="0" fontId="0" fillId="0" borderId="0" xfId="0" applyFill="1"/>
    <xf numFmtId="0" fontId="0" fillId="35" borderId="35" xfId="0" applyFill="1" applyBorder="1" applyProtection="1"/>
    <xf numFmtId="0" fontId="57" fillId="0" borderId="0" xfId="0" applyFont="1"/>
    <xf numFmtId="0" fontId="42" fillId="0" borderId="0" xfId="205" applyFont="1" applyFill="1" applyBorder="1" applyAlignment="1" applyProtection="1">
      <alignment vertical="center"/>
    </xf>
    <xf numFmtId="0" fontId="42" fillId="0" borderId="0" xfId="222" applyFont="1" applyFill="1" applyBorder="1" applyAlignment="1">
      <alignment vertical="center" wrapText="1"/>
    </xf>
    <xf numFmtId="0" fontId="49" fillId="0" borderId="0" xfId="0" applyFont="1" applyFill="1" applyBorder="1" applyAlignment="1" applyProtection="1">
      <alignment horizontal="center"/>
    </xf>
    <xf numFmtId="0" fontId="0" fillId="0" borderId="0" xfId="0" applyFill="1" applyBorder="1"/>
    <xf numFmtId="0" fontId="53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left" inden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172" fontId="42" fillId="0" borderId="34" xfId="205" applyNumberFormat="1" applyFont="1" applyFill="1" applyBorder="1" applyAlignment="1" applyProtection="1">
      <alignment horizontal="right" vertical="center" indent="1"/>
    </xf>
    <xf numFmtId="0" fontId="50" fillId="39" borderId="0" xfId="0" applyFont="1" applyFill="1" applyBorder="1" applyProtection="1"/>
    <xf numFmtId="0" fontId="59" fillId="35" borderId="0" xfId="0" applyFont="1" applyFill="1" applyProtection="1"/>
    <xf numFmtId="0" fontId="3" fillId="0" borderId="0" xfId="222" applyFont="1" applyProtection="1"/>
    <xf numFmtId="0" fontId="60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0" fillId="0" borderId="0" xfId="205" applyFont="1" applyFill="1" applyBorder="1" applyAlignment="1" applyProtection="1">
      <alignment horizontal="right" vertical="center" indent="1"/>
    </xf>
    <xf numFmtId="0" fontId="61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7" fillId="0" borderId="0" xfId="0" applyFont="1" applyFill="1" applyBorder="1" applyAlignment="1" applyProtection="1">
      <alignment horizontal="center" vertical="center" wrapText="1"/>
    </xf>
    <xf numFmtId="0" fontId="0" fillId="0" borderId="43" xfId="0" applyBorder="1" applyProtection="1"/>
    <xf numFmtId="0" fontId="12" fillId="35" borderId="43" xfId="0" applyFont="1" applyFill="1" applyBorder="1" applyProtection="1"/>
    <xf numFmtId="0" fontId="0" fillId="0" borderId="26" xfId="0" applyFill="1" applyBorder="1" applyProtection="1"/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59" fillId="35" borderId="0" xfId="0" applyFont="1" applyFill="1" applyBorder="1" applyAlignment="1" applyProtection="1">
      <alignment vertical="center"/>
    </xf>
    <xf numFmtId="0" fontId="5" fillId="29" borderId="19" xfId="0" applyFont="1" applyFill="1" applyBorder="1" applyAlignment="1" applyProtection="1">
      <alignment vertical="center"/>
    </xf>
    <xf numFmtId="0" fontId="7" fillId="32" borderId="45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/>
    <xf numFmtId="0" fontId="41" fillId="0" borderId="30" xfId="0" applyFont="1" applyFill="1" applyBorder="1" applyAlignment="1" applyProtection="1">
      <alignment vertical="center" wrapText="1"/>
    </xf>
    <xf numFmtId="172" fontId="6" fillId="0" borderId="44" xfId="0" applyNumberFormat="1" applyFont="1" applyFill="1" applyBorder="1" applyAlignment="1">
      <alignment horizontal="right" vertical="center" indent="1"/>
    </xf>
    <xf numFmtId="0" fontId="7" fillId="32" borderId="47" xfId="0" applyFont="1" applyFill="1" applyBorder="1" applyAlignment="1" applyProtection="1">
      <alignment horizontal="center" vertical="center" wrapText="1"/>
    </xf>
    <xf numFmtId="0" fontId="64" fillId="0" borderId="27" xfId="0" applyFont="1" applyBorder="1" applyAlignment="1" applyProtection="1">
      <alignment horizontal="center"/>
    </xf>
    <xf numFmtId="0" fontId="9" fillId="0" borderId="0" xfId="196" applyFont="1" applyFill="1" applyBorder="1" applyAlignment="1" applyProtection="1">
      <alignment horizontal="center" vertical="center" wrapText="1"/>
    </xf>
    <xf numFmtId="0" fontId="65" fillId="35" borderId="0" xfId="196" applyFont="1" applyFill="1" applyBorder="1" applyAlignment="1">
      <alignment horizontal="center" vertical="center"/>
    </xf>
    <xf numFmtId="0" fontId="2" fillId="35" borderId="18" xfId="0" applyFont="1" applyFill="1" applyBorder="1" applyProtection="1"/>
    <xf numFmtId="0" fontId="44" fillId="35" borderId="0" xfId="0" applyFont="1" applyFill="1" applyBorder="1" applyAlignment="1" applyProtection="1">
      <alignment horizontal="left"/>
    </xf>
    <xf numFmtId="0" fontId="4" fillId="29" borderId="0" xfId="205" applyFont="1" applyFill="1" applyBorder="1" applyAlignment="1" applyProtection="1">
      <alignment horizontal="left" vertical="center"/>
    </xf>
    <xf numFmtId="0" fontId="4" fillId="29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vertical="center"/>
    </xf>
    <xf numFmtId="0" fontId="4" fillId="40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52" fillId="0" borderId="0" xfId="0" applyFont="1" applyAlignment="1" applyProtection="1">
      <alignment horizontal="left" vertical="center"/>
    </xf>
    <xf numFmtId="0" fontId="66" fillId="0" borderId="0" xfId="205" applyFont="1" applyFill="1" applyBorder="1" applyAlignment="1" applyProtection="1">
      <alignment horizontal="center" vertical="center"/>
    </xf>
    <xf numFmtId="0" fontId="67" fillId="0" borderId="0" xfId="205" applyFont="1" applyFill="1" applyBorder="1" applyAlignment="1" applyProtection="1">
      <alignment horizontal="right" vertical="center"/>
    </xf>
    <xf numFmtId="0" fontId="68" fillId="0" borderId="0" xfId="0" applyFont="1" applyProtection="1"/>
    <xf numFmtId="0" fontId="67" fillId="0" borderId="0" xfId="205" applyFont="1" applyFill="1" applyBorder="1" applyAlignment="1" applyProtection="1">
      <alignment vertical="center"/>
    </xf>
    <xf numFmtId="0" fontId="69" fillId="0" borderId="0" xfId="205" applyFont="1" applyFill="1" applyBorder="1" applyAlignment="1" applyProtection="1">
      <alignment vertical="center"/>
    </xf>
    <xf numFmtId="0" fontId="51" fillId="0" borderId="0" xfId="0" applyFont="1" applyProtection="1"/>
    <xf numFmtId="0" fontId="72" fillId="0" borderId="0" xfId="205" applyFont="1" applyFill="1" applyAlignment="1" applyProtection="1">
      <alignment vertical="center"/>
    </xf>
    <xf numFmtId="0" fontId="73" fillId="0" borderId="0" xfId="0" applyFont="1" applyProtection="1"/>
    <xf numFmtId="3" fontId="70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4" fillId="0" borderId="0" xfId="0" applyNumberFormat="1" applyFont="1" applyProtection="1"/>
    <xf numFmtId="3" fontId="71" fillId="0" borderId="0" xfId="205" applyNumberFormat="1" applyFont="1" applyFill="1" applyBorder="1" applyAlignment="1" applyProtection="1">
      <alignment vertical="center"/>
    </xf>
    <xf numFmtId="0" fontId="65" fillId="35" borderId="0" xfId="196" applyFont="1" applyFill="1" applyBorder="1" applyAlignment="1" applyProtection="1">
      <alignment horizontal="center" vertical="center"/>
    </xf>
    <xf numFmtId="0" fontId="7" fillId="0" borderId="32" xfId="0" applyFont="1" applyFill="1" applyBorder="1" applyAlignment="1" applyProtection="1">
      <alignment vertical="center" wrapText="1"/>
    </xf>
    <xf numFmtId="0" fontId="2" fillId="35" borderId="17" xfId="0" applyFont="1" applyFill="1" applyBorder="1" applyProtection="1"/>
    <xf numFmtId="0" fontId="74" fillId="35" borderId="17" xfId="0" applyFont="1" applyFill="1" applyBorder="1" applyAlignment="1" applyProtection="1">
      <alignment horizontal="right"/>
    </xf>
    <xf numFmtId="0" fontId="12" fillId="35" borderId="17" xfId="0" applyFont="1" applyFill="1" applyBorder="1" applyProtection="1"/>
    <xf numFmtId="0" fontId="12" fillId="35" borderId="0" xfId="0" applyFont="1" applyFill="1" applyBorder="1" applyProtection="1"/>
    <xf numFmtId="0" fontId="74" fillId="35" borderId="0" xfId="0" applyFont="1" applyFill="1" applyBorder="1" applyAlignment="1" applyProtection="1">
      <alignment horizontal="left"/>
    </xf>
    <xf numFmtId="0" fontId="12" fillId="35" borderId="0" xfId="0" applyFont="1" applyFill="1" applyBorder="1" applyAlignment="1" applyProtection="1">
      <alignment horizontal="left"/>
    </xf>
    <xf numFmtId="0" fontId="74" fillId="35" borderId="0" xfId="0" applyFont="1" applyFill="1" applyAlignment="1" applyProtection="1">
      <alignment horizontal="left"/>
    </xf>
    <xf numFmtId="0" fontId="76" fillId="0" borderId="0" xfId="0" applyFont="1"/>
    <xf numFmtId="174" fontId="4" fillId="0" borderId="0" xfId="205" applyNumberFormat="1" applyFont="1" applyFill="1" applyBorder="1" applyAlignment="1" applyProtection="1">
      <alignment vertical="center"/>
    </xf>
    <xf numFmtId="174" fontId="0" fillId="0" borderId="0" xfId="0" applyNumberFormat="1"/>
    <xf numFmtId="174" fontId="12" fillId="0" borderId="0" xfId="0" applyNumberFormat="1" applyFont="1"/>
    <xf numFmtId="174" fontId="6" fillId="0" borderId="44" xfId="0" applyNumberFormat="1" applyFont="1" applyFill="1" applyBorder="1" applyAlignment="1">
      <alignment horizontal="right" vertical="center" indent="1"/>
    </xf>
    <xf numFmtId="9" fontId="6" fillId="32" borderId="0" xfId="0" applyNumberFormat="1" applyFont="1" applyFill="1" applyBorder="1" applyAlignment="1">
      <alignment horizontal="right" vertical="center" indent="1"/>
    </xf>
    <xf numFmtId="9" fontId="4" fillId="0" borderId="0" xfId="205" applyNumberFormat="1" applyFont="1" applyFill="1" applyBorder="1" applyAlignment="1" applyProtection="1">
      <alignment vertical="center"/>
    </xf>
    <xf numFmtId="9" fontId="0" fillId="0" borderId="0" xfId="0" applyNumberFormat="1"/>
    <xf numFmtId="9" fontId="12" fillId="0" borderId="0" xfId="0" applyNumberFormat="1" applyFont="1"/>
    <xf numFmtId="174" fontId="42" fillId="0" borderId="34" xfId="205" applyNumberFormat="1" applyFont="1" applyFill="1" applyBorder="1" applyAlignment="1" applyProtection="1">
      <alignment horizontal="right" vertical="center" indent="1"/>
    </xf>
    <xf numFmtId="174" fontId="0" fillId="0" borderId="0" xfId="0" applyNumberFormat="1" applyProtection="1"/>
    <xf numFmtId="9" fontId="75" fillId="0" borderId="34" xfId="205" applyNumberFormat="1" applyFont="1" applyFill="1" applyBorder="1" applyAlignment="1" applyProtection="1">
      <alignment horizontal="right" vertical="center" indent="1"/>
    </xf>
    <xf numFmtId="174" fontId="42" fillId="29" borderId="0" xfId="222" applyNumberFormat="1" applyFont="1" applyFill="1" applyBorder="1" applyAlignment="1">
      <alignment vertical="center" wrapText="1"/>
    </xf>
    <xf numFmtId="174" fontId="42" fillId="0" borderId="34" xfId="205" applyNumberFormat="1" applyFont="1" applyFill="1" applyBorder="1" applyAlignment="1" applyProtection="1">
      <alignment vertical="center"/>
    </xf>
    <xf numFmtId="174" fontId="42" fillId="0" borderId="0" xfId="222" applyNumberFormat="1" applyFont="1" applyFill="1" applyBorder="1" applyAlignment="1" applyProtection="1">
      <alignment vertical="center" wrapText="1"/>
    </xf>
    <xf numFmtId="174" fontId="76" fillId="0" borderId="0" xfId="0" applyNumberFormat="1" applyFont="1"/>
    <xf numFmtId="0" fontId="59" fillId="0" borderId="48" xfId="0" applyFont="1" applyBorder="1" applyAlignment="1" applyProtection="1">
      <alignment horizontal="center"/>
    </xf>
    <xf numFmtId="0" fontId="59" fillId="0" borderId="49" xfId="0" applyFont="1" applyBorder="1" applyAlignment="1" applyProtection="1">
      <alignment horizontal="center"/>
    </xf>
    <xf numFmtId="0" fontId="59" fillId="0" borderId="50" xfId="0" applyFont="1" applyBorder="1" applyAlignment="1" applyProtection="1">
      <alignment horizontal="center"/>
    </xf>
    <xf numFmtId="0" fontId="0" fillId="35" borderId="43" xfId="0" applyFill="1" applyBorder="1" applyProtection="1"/>
    <xf numFmtId="0" fontId="41" fillId="38" borderId="0" xfId="0" applyFont="1" applyFill="1" applyBorder="1" applyAlignment="1" applyProtection="1">
      <alignment vertical="center" wrapText="1"/>
    </xf>
    <xf numFmtId="0" fontId="41" fillId="38" borderId="30" xfId="0" applyFont="1" applyFill="1" applyBorder="1" applyAlignment="1" applyProtection="1">
      <alignment vertical="center" wrapText="1"/>
    </xf>
    <xf numFmtId="9" fontId="77" fillId="32" borderId="0" xfId="0" applyNumberFormat="1" applyFont="1" applyFill="1" applyBorder="1" applyAlignment="1">
      <alignment horizontal="right" vertical="center" indent="1"/>
    </xf>
    <xf numFmtId="0" fontId="78" fillId="35" borderId="0" xfId="196" applyFont="1" applyFill="1" applyBorder="1" applyAlignment="1">
      <alignment horizontal="center" vertical="center"/>
    </xf>
    <xf numFmtId="0" fontId="62" fillId="31" borderId="37" xfId="205" applyFont="1" applyFill="1" applyBorder="1" applyAlignment="1" applyProtection="1">
      <alignment vertical="center"/>
      <protection locked="0"/>
    </xf>
    <xf numFmtId="0" fontId="62" fillId="31" borderId="38" xfId="205" applyFont="1" applyFill="1" applyBorder="1" applyAlignment="1" applyProtection="1">
      <alignment vertical="center"/>
      <protection locked="0"/>
    </xf>
    <xf numFmtId="0" fontId="62" fillId="31" borderId="0" xfId="205" applyFont="1" applyFill="1" applyBorder="1" applyAlignment="1" applyProtection="1">
      <alignment vertical="center"/>
      <protection locked="0"/>
    </xf>
    <xf numFmtId="0" fontId="62" fillId="31" borderId="39" xfId="205" applyFont="1" applyFill="1" applyBorder="1" applyAlignment="1" applyProtection="1">
      <alignment vertical="center"/>
      <protection locked="0"/>
    </xf>
    <xf numFmtId="0" fontId="62" fillId="31" borderId="35" xfId="205" applyFont="1" applyFill="1" applyBorder="1" applyAlignment="1" applyProtection="1">
      <alignment vertical="center"/>
      <protection locked="0"/>
    </xf>
    <xf numFmtId="0" fontId="62" fillId="31" borderId="41" xfId="205" applyFont="1" applyFill="1" applyBorder="1" applyAlignment="1" applyProtection="1">
      <alignment vertical="center"/>
      <protection locked="0"/>
    </xf>
    <xf numFmtId="174" fontId="80" fillId="42" borderId="0" xfId="205" applyNumberFormat="1" applyFont="1" applyFill="1" applyBorder="1" applyAlignment="1" applyProtection="1">
      <alignment horizontal="right" vertical="center" indent="1"/>
    </xf>
    <xf numFmtId="9" fontId="75" fillId="0" borderId="0" xfId="205" applyNumberFormat="1" applyFont="1" applyFill="1" applyBorder="1" applyAlignment="1" applyProtection="1">
      <alignment horizontal="right" vertical="center" indent="1"/>
    </xf>
    <xf numFmtId="172" fontId="42" fillId="0" borderId="0" xfId="205" applyNumberFormat="1" applyFont="1" applyFill="1" applyBorder="1" applyAlignment="1" applyProtection="1">
      <alignment horizontal="right" vertical="center" indent="1"/>
    </xf>
    <xf numFmtId="174" fontId="42" fillId="0" borderId="0" xfId="205" applyNumberFormat="1" applyFont="1" applyFill="1" applyBorder="1" applyAlignment="1" applyProtection="1">
      <alignment horizontal="right" vertical="center" indent="1"/>
    </xf>
    <xf numFmtId="174" fontId="42" fillId="0" borderId="44" xfId="205" applyNumberFormat="1" applyFont="1" applyFill="1" applyBorder="1" applyAlignment="1" applyProtection="1">
      <alignment horizontal="right" vertical="center" indent="1"/>
    </xf>
    <xf numFmtId="9" fontId="75" fillId="0" borderId="44" xfId="205" applyNumberFormat="1" applyFont="1" applyFill="1" applyBorder="1" applyAlignment="1" applyProtection="1">
      <alignment horizontal="right" vertical="center" indent="1"/>
    </xf>
    <xf numFmtId="172" fontId="42" fillId="0" borderId="44" xfId="205" applyNumberFormat="1" applyFont="1" applyFill="1" applyBorder="1" applyAlignment="1" applyProtection="1">
      <alignment horizontal="right" vertical="center" indent="1"/>
    </xf>
    <xf numFmtId="174" fontId="0" fillId="0" borderId="0" xfId="0" applyNumberFormat="1" applyBorder="1" applyProtection="1"/>
    <xf numFmtId="174" fontId="79" fillId="43" borderId="0" xfId="205" applyNumberFormat="1" applyFont="1" applyFill="1" applyBorder="1" applyAlignment="1" applyProtection="1">
      <alignment horizontal="right" vertical="center" indent="1"/>
    </xf>
    <xf numFmtId="174" fontId="82" fillId="44" borderId="0" xfId="205" applyNumberFormat="1" applyFont="1" applyFill="1" applyBorder="1" applyAlignment="1" applyProtection="1">
      <alignment horizontal="right" vertical="center" indent="1"/>
    </xf>
    <xf numFmtId="174" fontId="81" fillId="45" borderId="0" xfId="205" applyNumberFormat="1" applyFont="1" applyFill="1" applyBorder="1" applyAlignment="1" applyProtection="1">
      <alignment horizontal="right" vertical="center" indent="1"/>
    </xf>
    <xf numFmtId="0" fontId="80" fillId="42" borderId="0" xfId="222" applyFont="1" applyFill="1" applyBorder="1" applyAlignment="1" applyProtection="1">
      <alignment horizontal="left" vertical="center"/>
    </xf>
    <xf numFmtId="0" fontId="80" fillId="42" borderId="0" xfId="222" applyFont="1" applyFill="1" applyBorder="1" applyAlignment="1" applyProtection="1">
      <alignment vertical="center"/>
    </xf>
    <xf numFmtId="0" fontId="79" fillId="43" borderId="0" xfId="222" applyFont="1" applyFill="1" applyBorder="1" applyAlignment="1" applyProtection="1">
      <alignment horizontal="left" vertical="center"/>
    </xf>
    <xf numFmtId="0" fontId="79" fillId="43" borderId="0" xfId="222" applyFont="1" applyFill="1" applyBorder="1" applyAlignment="1" applyProtection="1">
      <alignment vertical="center"/>
    </xf>
    <xf numFmtId="0" fontId="82" fillId="44" borderId="0" xfId="222" applyFont="1" applyFill="1" applyBorder="1" applyAlignment="1" applyProtection="1">
      <alignment horizontal="left" vertical="center"/>
    </xf>
    <xf numFmtId="0" fontId="82" fillId="44" borderId="0" xfId="222" applyFont="1" applyFill="1" applyBorder="1" applyAlignment="1" applyProtection="1">
      <alignment vertical="center"/>
    </xf>
    <xf numFmtId="0" fontId="81" fillId="45" borderId="0" xfId="222" applyFont="1" applyFill="1" applyBorder="1" applyAlignment="1" applyProtection="1">
      <alignment horizontal="left" vertical="center"/>
    </xf>
    <xf numFmtId="0" fontId="81" fillId="45" borderId="0" xfId="222" applyFont="1" applyFill="1" applyBorder="1" applyAlignment="1" applyProtection="1">
      <alignment vertical="center"/>
    </xf>
    <xf numFmtId="0" fontId="42" fillId="46" borderId="0" xfId="222" applyFont="1" applyFill="1" applyBorder="1" applyAlignment="1" applyProtection="1">
      <alignment horizontal="left" vertical="center"/>
    </xf>
    <xf numFmtId="0" fontId="42" fillId="46" borderId="0" xfId="222" applyFont="1" applyFill="1" applyBorder="1" applyAlignment="1" applyProtection="1">
      <alignment vertical="center"/>
    </xf>
    <xf numFmtId="0" fontId="6" fillId="0" borderId="0" xfId="0" applyFont="1" applyFill="1" applyBorder="1" applyAlignment="1">
      <alignment horizontal="left" vertical="center"/>
    </xf>
    <xf numFmtId="174" fontId="6" fillId="32" borderId="0" xfId="0" applyNumberFormat="1" applyFont="1" applyFill="1" applyBorder="1" applyAlignment="1">
      <alignment horizontal="right" vertical="center" indent="1"/>
    </xf>
    <xf numFmtId="174" fontId="79" fillId="0" borderId="0" xfId="205" applyNumberFormat="1" applyFont="1" applyFill="1" applyBorder="1" applyAlignment="1" applyProtection="1">
      <alignment horizontal="right" vertical="center" indent="1"/>
    </xf>
    <xf numFmtId="174" fontId="77" fillId="32" borderId="0" xfId="0" applyNumberFormat="1" applyFont="1" applyFill="1" applyBorder="1" applyAlignment="1">
      <alignment horizontal="right" vertical="center" indent="1"/>
    </xf>
    <xf numFmtId="174" fontId="82" fillId="42" borderId="0" xfId="205" applyNumberFormat="1" applyFont="1" applyFill="1" applyBorder="1" applyAlignment="1" applyProtection="1">
      <alignment horizontal="right" vertical="center" indent="1"/>
    </xf>
    <xf numFmtId="9" fontId="81" fillId="42" borderId="0" xfId="205" applyNumberFormat="1" applyFont="1" applyFill="1" applyBorder="1" applyAlignment="1" applyProtection="1">
      <alignment horizontal="right" vertical="center" indent="1"/>
    </xf>
    <xf numFmtId="0" fontId="78" fillId="42" borderId="0" xfId="196" applyFont="1" applyFill="1" applyBorder="1" applyAlignment="1" applyProtection="1">
      <alignment horizontal="center" vertical="center"/>
    </xf>
    <xf numFmtId="174" fontId="81" fillId="43" borderId="0" xfId="205" applyNumberFormat="1" applyFont="1" applyFill="1" applyBorder="1" applyAlignment="1" applyProtection="1">
      <alignment horizontal="right" vertical="center" indent="1"/>
    </xf>
    <xf numFmtId="9" fontId="81" fillId="43" borderId="0" xfId="205" applyNumberFormat="1" applyFont="1" applyFill="1" applyBorder="1" applyAlignment="1" applyProtection="1">
      <alignment horizontal="right" vertical="center" indent="1"/>
    </xf>
    <xf numFmtId="0" fontId="78" fillId="43" borderId="0" xfId="196" applyFont="1" applyFill="1" applyBorder="1" applyAlignment="1" applyProtection="1">
      <alignment horizontal="center" vertical="center"/>
    </xf>
    <xf numFmtId="174" fontId="83" fillId="44" borderId="0" xfId="205" applyNumberFormat="1" applyFont="1" applyFill="1" applyBorder="1" applyAlignment="1" applyProtection="1">
      <alignment horizontal="right" vertical="center" indent="1"/>
    </xf>
    <xf numFmtId="9" fontId="42" fillId="44" borderId="0" xfId="205" applyNumberFormat="1" applyFont="1" applyFill="1" applyBorder="1" applyAlignment="1" applyProtection="1">
      <alignment horizontal="right" vertical="center" indent="1"/>
    </xf>
    <xf numFmtId="0" fontId="84" fillId="44" borderId="0" xfId="196" applyFont="1" applyFill="1" applyBorder="1" applyAlignment="1" applyProtection="1">
      <alignment horizontal="center" vertical="center"/>
    </xf>
    <xf numFmtId="174" fontId="42" fillId="45" borderId="0" xfId="205" applyNumberFormat="1" applyFont="1" applyFill="1" applyBorder="1" applyAlignment="1" applyProtection="1">
      <alignment horizontal="right" vertical="center" indent="1"/>
    </xf>
    <xf numFmtId="9" fontId="42" fillId="45" borderId="0" xfId="205" applyNumberFormat="1" applyFont="1" applyFill="1" applyBorder="1" applyAlignment="1" applyProtection="1">
      <alignment horizontal="right" vertical="center" indent="1"/>
    </xf>
    <xf numFmtId="0" fontId="84" fillId="45" borderId="0" xfId="196" applyFont="1" applyFill="1" applyBorder="1" applyAlignment="1" applyProtection="1">
      <alignment horizontal="center" vertical="center"/>
    </xf>
    <xf numFmtId="9" fontId="42" fillId="0" borderId="44" xfId="205" applyNumberFormat="1" applyFont="1" applyFill="1" applyBorder="1" applyAlignment="1" applyProtection="1">
      <alignment horizontal="right" vertical="center" indent="1"/>
    </xf>
    <xf numFmtId="0" fontId="84" fillId="35" borderId="0" xfId="196" applyFont="1" applyFill="1" applyBorder="1" applyAlignment="1" applyProtection="1">
      <alignment horizontal="center" vertical="center"/>
    </xf>
    <xf numFmtId="9" fontId="42" fillId="0" borderId="34" xfId="205" applyNumberFormat="1" applyFont="1" applyFill="1" applyBorder="1" applyAlignment="1" applyProtection="1">
      <alignment horizontal="right" vertical="center" indent="1"/>
    </xf>
    <xf numFmtId="0" fontId="7" fillId="49" borderId="31" xfId="0" applyFont="1" applyFill="1" applyBorder="1" applyAlignment="1" applyProtection="1">
      <alignment horizontal="center" vertical="center" wrapText="1"/>
    </xf>
    <xf numFmtId="0" fontId="7" fillId="49" borderId="33" xfId="0" applyFont="1" applyFill="1" applyBorder="1" applyAlignment="1" applyProtection="1">
      <alignment horizontal="center" vertical="center" wrapText="1"/>
    </xf>
    <xf numFmtId="0" fontId="7" fillId="49" borderId="42" xfId="0" applyFont="1" applyFill="1" applyBorder="1" applyAlignment="1" applyProtection="1">
      <alignment horizontal="center" vertical="center" wrapText="1"/>
    </xf>
    <xf numFmtId="0" fontId="7" fillId="49" borderId="46" xfId="0" applyFont="1" applyFill="1" applyBorder="1" applyAlignment="1" applyProtection="1">
      <alignment horizontal="center" vertical="center" wrapText="1"/>
    </xf>
    <xf numFmtId="0" fontId="7" fillId="49" borderId="47" xfId="0" applyFont="1" applyFill="1" applyBorder="1" applyAlignment="1" applyProtection="1">
      <alignment horizontal="center" vertical="center" wrapText="1"/>
    </xf>
    <xf numFmtId="0" fontId="7" fillId="49" borderId="45" xfId="0" applyFont="1" applyFill="1" applyBorder="1" applyAlignment="1" applyProtection="1">
      <alignment horizontal="center" vertical="center" wrapText="1"/>
    </xf>
    <xf numFmtId="0" fontId="46" fillId="30" borderId="14" xfId="0" applyFont="1" applyFill="1" applyBorder="1" applyAlignment="1" applyProtection="1">
      <alignment horizontal="left" vertical="center"/>
      <protection locked="0"/>
    </xf>
    <xf numFmtId="0" fontId="62" fillId="31" borderId="21" xfId="205" applyFont="1" applyFill="1" applyBorder="1" applyAlignment="1" applyProtection="1">
      <alignment horizontal="center" vertical="center"/>
      <protection locked="0"/>
    </xf>
    <xf numFmtId="0" fontId="62" fillId="31" borderId="0" xfId="205" applyFont="1" applyFill="1" applyBorder="1" applyAlignment="1" applyProtection="1">
      <alignment horizontal="center" vertical="center"/>
      <protection locked="0"/>
    </xf>
    <xf numFmtId="0" fontId="62" fillId="31" borderId="40" xfId="205" applyFont="1" applyFill="1" applyBorder="1" applyAlignment="1" applyProtection="1">
      <alignment horizontal="center" vertical="center"/>
      <protection locked="0"/>
    </xf>
    <xf numFmtId="0" fontId="62" fillId="31" borderId="35" xfId="205" applyFont="1" applyFill="1" applyBorder="1" applyAlignment="1" applyProtection="1">
      <alignment horizontal="center" vertical="center"/>
      <protection locked="0"/>
    </xf>
    <xf numFmtId="0" fontId="62" fillId="31" borderId="36" xfId="205" applyFont="1" applyFill="1" applyBorder="1" applyAlignment="1" applyProtection="1">
      <alignment horizontal="center" vertical="center"/>
      <protection locked="0"/>
    </xf>
    <xf numFmtId="0" fontId="62" fillId="31" borderId="37" xfId="205" applyFont="1" applyFill="1" applyBorder="1" applyAlignment="1" applyProtection="1">
      <alignment horizontal="center" vertical="center"/>
      <protection locked="0"/>
    </xf>
    <xf numFmtId="0" fontId="7" fillId="49" borderId="32" xfId="0" applyFont="1" applyFill="1" applyBorder="1" applyAlignment="1" applyProtection="1">
      <alignment horizontal="center" vertical="center" wrapText="1"/>
    </xf>
    <xf numFmtId="0" fontId="7" fillId="49" borderId="31" xfId="0" applyFont="1" applyFill="1" applyBorder="1" applyAlignment="1" applyProtection="1">
      <alignment horizontal="center" vertical="center" wrapText="1"/>
    </xf>
    <xf numFmtId="0" fontId="7" fillId="49" borderId="47" xfId="0" applyFont="1" applyFill="1" applyBorder="1" applyAlignment="1" applyProtection="1">
      <alignment horizontal="center" vertical="center" wrapText="1"/>
    </xf>
    <xf numFmtId="0" fontId="6" fillId="41" borderId="0" xfId="0" applyFont="1" applyFill="1" applyBorder="1" applyAlignment="1">
      <alignment horizontal="left" vertical="center"/>
    </xf>
    <xf numFmtId="0" fontId="63" fillId="47" borderId="0" xfId="0" applyFont="1" applyFill="1" applyAlignment="1" applyProtection="1">
      <alignment horizontal="right" vertical="center"/>
    </xf>
    <xf numFmtId="0" fontId="59" fillId="0" borderId="48" xfId="0" applyFont="1" applyBorder="1" applyAlignment="1" applyProtection="1">
      <alignment horizontal="center"/>
    </xf>
    <xf numFmtId="0" fontId="59" fillId="0" borderId="49" xfId="0" applyFont="1" applyBorder="1" applyAlignment="1" applyProtection="1">
      <alignment horizontal="center"/>
    </xf>
    <xf numFmtId="0" fontId="59" fillId="0" borderId="50" xfId="0" applyFont="1" applyBorder="1" applyAlignment="1" applyProtection="1">
      <alignment horizontal="center"/>
    </xf>
    <xf numFmtId="0" fontId="41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>
      <alignment horizontal="left" vertical="center"/>
    </xf>
    <xf numFmtId="0" fontId="41" fillId="48" borderId="0" xfId="0" applyFont="1" applyFill="1" applyBorder="1" applyAlignment="1" applyProtection="1">
      <alignment horizontal="center" vertical="center" wrapText="1"/>
    </xf>
    <xf numFmtId="0" fontId="41" fillId="48" borderId="30" xfId="0" applyFont="1" applyFill="1" applyBorder="1" applyAlignment="1" applyProtection="1">
      <alignment horizontal="center" vertical="center" wrapText="1"/>
    </xf>
    <xf numFmtId="171" fontId="80" fillId="42" borderId="0" xfId="222" applyNumberFormat="1" applyFont="1" applyFill="1" applyBorder="1" applyAlignment="1" applyProtection="1">
      <alignment horizontal="left" vertical="center"/>
    </xf>
    <xf numFmtId="0" fontId="4" fillId="47" borderId="0" xfId="0" applyFont="1" applyFill="1" applyAlignment="1" applyProtection="1">
      <alignment horizontal="left" indent="1"/>
    </xf>
    <xf numFmtId="0" fontId="58" fillId="50" borderId="0" xfId="0" applyFont="1" applyFill="1" applyAlignment="1" applyProtection="1">
      <alignment horizontal="center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84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DDDDDD"/>
      <color rgb="FF7F8399"/>
      <color rgb="FF7E408F"/>
      <color rgb="FFFF5353"/>
      <color rgb="FF3F1260"/>
      <color rgb="FFFFFF99"/>
      <color rgb="FF6F7072"/>
      <color rgb="FFEAEAEA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Couts_bruts_Couts_net!$AQ$66</c:f>
          <c:strCache>
            <c:ptCount val="1"/>
            <c:pt idx="0">
              <c:v>RESOP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267264224051506E-2"/>
          <c:y val="0.106109536657023"/>
          <c:w val="0.92256501688081549"/>
          <c:h val="0.551349861889914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Couts_bruts_Couts_net!$AQ$68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Couts_bruts_Couts_net!$AS$68:$BA$68</c:f>
              <c:numCache>
                <c:formatCode>#,##0</c:formatCode>
                <c:ptCount val="9"/>
                <c:pt idx="0">
                  <c:v>-241.52604910878381</c:v>
                </c:pt>
                <c:pt idx="1">
                  <c:v>-1240.8081652852932</c:v>
                </c:pt>
                <c:pt idx="2">
                  <c:v>-1813.3822600544597</c:v>
                </c:pt>
                <c:pt idx="3">
                  <c:v>-75.914268886813687</c:v>
                </c:pt>
                <c:pt idx="4">
                  <c:v>-957.0932868382306</c:v>
                </c:pt>
                <c:pt idx="5">
                  <c:v>-733.0464127028954</c:v>
                </c:pt>
                <c:pt idx="6">
                  <c:v>-557.66695418498477</c:v>
                </c:pt>
                <c:pt idx="7">
                  <c:v>-407.32865584804409</c:v>
                </c:pt>
                <c:pt idx="8">
                  <c:v>-362.83087721432861</c:v>
                </c:pt>
              </c:numCache>
            </c:numRef>
          </c:val>
        </c:ser>
        <c:ser>
          <c:idx val="3"/>
          <c:order val="2"/>
          <c:tx>
            <c:strRef>
              <c:f>Couts_bruts_Couts_net!$AQ$70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0C2A4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Couts_bruts_Couts_net!$AS$70:$BA$70</c:f>
              <c:numCache>
                <c:formatCode>#,##0</c:formatCode>
                <c:ptCount val="9"/>
                <c:pt idx="0">
                  <c:v>-910.92988410878377</c:v>
                </c:pt>
                <c:pt idx="1">
                  <c:v>-2106.2755612852934</c:v>
                </c:pt>
                <c:pt idx="2">
                  <c:v>-2745.0257090544601</c:v>
                </c:pt>
                <c:pt idx="3">
                  <c:v>-791.43149088681378</c:v>
                </c:pt>
                <c:pt idx="4">
                  <c:v>-1746.6429058382305</c:v>
                </c:pt>
                <c:pt idx="5">
                  <c:v>-986.49109520289562</c:v>
                </c:pt>
                <c:pt idx="6">
                  <c:v>-941.62236218498469</c:v>
                </c:pt>
                <c:pt idx="7">
                  <c:v>-646.44690484804403</c:v>
                </c:pt>
                <c:pt idx="8">
                  <c:v>-502.75196321432861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450496"/>
        <c:axId val="302110208"/>
      </c:barChart>
      <c:scatterChart>
        <c:scatterStyle val="lineMarker"/>
        <c:varyColors val="0"/>
        <c:ser>
          <c:idx val="2"/>
          <c:order val="1"/>
          <c:tx>
            <c:strRef>
              <c:f>Couts_bruts_Couts_net!$AQ$69</c:f>
              <c:strCache>
                <c:ptCount val="1"/>
                <c:pt idx="0">
                  <c:v>Réalisé N-1</c:v>
                </c:pt>
              </c:strCache>
            </c:strRef>
          </c:tx>
          <c:spPr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diamond"/>
            <c:size val="9"/>
            <c:spPr>
              <a:solidFill>
                <a:srgbClr val="FF0000"/>
              </a:solidFill>
            </c:spPr>
          </c:marker>
          <c:xVal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xVal>
          <c:yVal>
            <c:numRef>
              <c:f>Couts_bruts_Couts_net!$AS$69:$BA$69</c:f>
              <c:numCache>
                <c:formatCode>#,##0</c:formatCode>
                <c:ptCount val="9"/>
                <c:pt idx="0">
                  <c:v>-911.38848352293962</c:v>
                </c:pt>
                <c:pt idx="1">
                  <c:v>-1810.3155868020665</c:v>
                </c:pt>
                <c:pt idx="2">
                  <c:v>-2478.3354593528788</c:v>
                </c:pt>
                <c:pt idx="3">
                  <c:v>-324.39689033552594</c:v>
                </c:pt>
                <c:pt idx="4">
                  <c:v>-1065.298234280109</c:v>
                </c:pt>
                <c:pt idx="5">
                  <c:v>-706.20003505483703</c:v>
                </c:pt>
                <c:pt idx="6">
                  <c:v>-415.24946840876589</c:v>
                </c:pt>
                <c:pt idx="7">
                  <c:v>-614.59722084439375</c:v>
                </c:pt>
                <c:pt idx="8">
                  <c:v>-509.96367957441322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0496"/>
        <c:axId val="302110208"/>
      </c:scatterChart>
      <c:catAx>
        <c:axId val="29745049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-1920000" vert="horz"/>
          <a:lstStyle/>
          <a:p>
            <a:pPr>
              <a:defRPr sz="1500"/>
            </a:pPr>
            <a:endParaRPr lang="fr-FR"/>
          </a:p>
        </c:txPr>
        <c:crossAx val="302110208"/>
        <c:crosses val="autoZero"/>
        <c:auto val="1"/>
        <c:lblAlgn val="ctr"/>
        <c:lblOffset val="100"/>
        <c:noMultiLvlLbl val="0"/>
      </c:catAx>
      <c:valAx>
        <c:axId val="30211020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500"/>
            </a:pPr>
            <a:endParaRPr lang="fr-FR"/>
          </a:p>
        </c:txPr>
        <c:crossAx val="2974504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2.5472086433898145E-2"/>
          <c:y val="0.95443080850848705"/>
          <c:w val="0.94023394043339392"/>
          <c:h val="4.4036697247706424E-2"/>
        </c:manualLayout>
      </c:layout>
      <c:overlay val="0"/>
      <c:txPr>
        <a:bodyPr/>
        <a:lstStyle/>
        <a:p>
          <a:pPr>
            <a:defRPr sz="1500"/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1" l="0.75" r="0.75" t="1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Couts_bruts_Couts_net!$AQ$71</c:f>
          <c:strCache>
            <c:ptCount val="1"/>
            <c:pt idx="0">
              <c:v>CHARGES OPERATIONNELLES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267264224051506E-2"/>
          <c:y val="0.106109536657023"/>
          <c:w val="0.92256501688081549"/>
          <c:h val="0.551349861889914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Couts_bruts_Couts_net!$AQ$72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Couts_bruts_Couts_net!$AS$72:$BA$72</c:f>
              <c:numCache>
                <c:formatCode>#,##0</c:formatCode>
                <c:ptCount val="9"/>
                <c:pt idx="0">
                  <c:v>-241.52604910878381</c:v>
                </c:pt>
                <c:pt idx="1">
                  <c:v>-1240.8081652852932</c:v>
                </c:pt>
                <c:pt idx="2">
                  <c:v>-1845.9962600544598</c:v>
                </c:pt>
                <c:pt idx="3">
                  <c:v>-147.31926888681369</c:v>
                </c:pt>
                <c:pt idx="4">
                  <c:v>-957.0932868382306</c:v>
                </c:pt>
                <c:pt idx="5">
                  <c:v>-891.4270827028954</c:v>
                </c:pt>
                <c:pt idx="6">
                  <c:v>-557.66695418498477</c:v>
                </c:pt>
                <c:pt idx="7">
                  <c:v>-407.32865584804409</c:v>
                </c:pt>
                <c:pt idx="8">
                  <c:v>-391.06087721432863</c:v>
                </c:pt>
              </c:numCache>
            </c:numRef>
          </c:val>
        </c:ser>
        <c:ser>
          <c:idx val="3"/>
          <c:order val="2"/>
          <c:tx>
            <c:strRef>
              <c:f>Couts_bruts_Couts_net!$AQ$74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0C2A4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Couts_bruts_Couts_net!$AS$74:$BA$74</c:f>
              <c:numCache>
                <c:formatCode>#,##0</c:formatCode>
                <c:ptCount val="9"/>
                <c:pt idx="0">
                  <c:v>-910.92988410878377</c:v>
                </c:pt>
                <c:pt idx="1">
                  <c:v>-2131.2755612852934</c:v>
                </c:pt>
                <c:pt idx="2">
                  <c:v>-2745.0257090544601</c:v>
                </c:pt>
                <c:pt idx="3">
                  <c:v>-1514.4179908868139</c:v>
                </c:pt>
                <c:pt idx="4">
                  <c:v>-1756.3929058382305</c:v>
                </c:pt>
                <c:pt idx="5">
                  <c:v>-1224.0620952028955</c:v>
                </c:pt>
                <c:pt idx="6">
                  <c:v>-941.62236218498469</c:v>
                </c:pt>
                <c:pt idx="7">
                  <c:v>-646.44690484804403</c:v>
                </c:pt>
                <c:pt idx="8">
                  <c:v>-670.98121321432859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3379200"/>
        <c:axId val="303381888"/>
      </c:barChart>
      <c:scatterChart>
        <c:scatterStyle val="lineMarker"/>
        <c:varyColors val="0"/>
        <c:ser>
          <c:idx val="2"/>
          <c:order val="1"/>
          <c:tx>
            <c:strRef>
              <c:f>Couts_bruts_Couts_net!$AQ$73</c:f>
              <c:strCache>
                <c:ptCount val="1"/>
                <c:pt idx="0">
                  <c:v>Réalisé N-1</c:v>
                </c:pt>
              </c:strCache>
            </c:strRef>
          </c:tx>
          <c:spPr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diamond"/>
            <c:size val="9"/>
            <c:spPr>
              <a:solidFill>
                <a:srgbClr val="FF0000"/>
              </a:solidFill>
            </c:spPr>
          </c:marker>
          <c:xVal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xVal>
          <c:yVal>
            <c:numRef>
              <c:f>Couts_bruts_Couts_net!$AS$73:$BA$73</c:f>
              <c:numCache>
                <c:formatCode>#,##0</c:formatCode>
                <c:ptCount val="9"/>
                <c:pt idx="0">
                  <c:v>-911.38848352293962</c:v>
                </c:pt>
                <c:pt idx="1">
                  <c:v>-1897.0905968020666</c:v>
                </c:pt>
                <c:pt idx="2">
                  <c:v>-2478.3354593528788</c:v>
                </c:pt>
                <c:pt idx="3">
                  <c:v>-1676.8968903355262</c:v>
                </c:pt>
                <c:pt idx="4">
                  <c:v>-1065.298234280109</c:v>
                </c:pt>
                <c:pt idx="5">
                  <c:v>-943.70003505483703</c:v>
                </c:pt>
                <c:pt idx="6">
                  <c:v>-415.24946840876589</c:v>
                </c:pt>
                <c:pt idx="7">
                  <c:v>-614.59722084439375</c:v>
                </c:pt>
                <c:pt idx="8">
                  <c:v>-509.96367957441322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379200"/>
        <c:axId val="303381888"/>
      </c:scatterChart>
      <c:catAx>
        <c:axId val="30337920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 rot="-1920000" vert="horz"/>
          <a:lstStyle/>
          <a:p>
            <a:pPr>
              <a:defRPr sz="1500"/>
            </a:pPr>
            <a:endParaRPr lang="fr-FR"/>
          </a:p>
        </c:txPr>
        <c:crossAx val="303381888"/>
        <c:crosses val="autoZero"/>
        <c:auto val="1"/>
        <c:lblAlgn val="ctr"/>
        <c:lblOffset val="100"/>
        <c:noMultiLvlLbl val="0"/>
      </c:catAx>
      <c:valAx>
        <c:axId val="303381888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 anchor="t" anchorCtr="0"/>
          <a:lstStyle/>
          <a:p>
            <a:pPr>
              <a:defRPr sz="1500"/>
            </a:pPr>
            <a:endParaRPr lang="fr-FR"/>
          </a:p>
        </c:txPr>
        <c:crossAx val="3033792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7384529753346551E-2"/>
          <c:y val="0.95443080850848705"/>
          <c:w val="0.94023394043339392"/>
          <c:h val="4.4036697247706424E-2"/>
        </c:manualLayout>
      </c:layout>
      <c:overlay val="0"/>
      <c:txPr>
        <a:bodyPr/>
        <a:lstStyle/>
        <a:p>
          <a:pPr>
            <a:defRPr sz="1500"/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1" l="0.75" r="0.75" t="1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Couts_bruts_Couts_net!$AQ$75</c:f>
          <c:strCache>
            <c:ptCount val="1"/>
            <c:pt idx="0">
              <c:v>PRODUITS OPERATIONNELS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/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8267264224051506E-2"/>
          <c:y val="0.106109536657023"/>
          <c:w val="0.92256501688081549"/>
          <c:h val="0.551349861889914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Couts_bruts_Couts_net!$AQ$76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Couts_bruts_Couts_net!$AS$76:$BA$76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32.613999999999997</c:v>
                </c:pt>
                <c:pt idx="3">
                  <c:v>71.405000000000001</c:v>
                </c:pt>
                <c:pt idx="4">
                  <c:v>0</c:v>
                </c:pt>
                <c:pt idx="5">
                  <c:v>158.38066999999998</c:v>
                </c:pt>
                <c:pt idx="6">
                  <c:v>0</c:v>
                </c:pt>
                <c:pt idx="7">
                  <c:v>0</c:v>
                </c:pt>
                <c:pt idx="8">
                  <c:v>28.23</c:v>
                </c:pt>
              </c:numCache>
            </c:numRef>
          </c:val>
        </c:ser>
        <c:ser>
          <c:idx val="3"/>
          <c:order val="2"/>
          <c:tx>
            <c:strRef>
              <c:f>Couts_bruts_Couts_net!$AQ$78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0C2A4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cat>
          <c:val>
            <c:numRef>
              <c:f>Couts_bruts_Couts_net!$AS$78:$BA$78</c:f>
              <c:numCache>
                <c:formatCode>#,##0</c:formatCode>
                <c:ptCount val="9"/>
                <c:pt idx="0">
                  <c:v>0</c:v>
                </c:pt>
                <c:pt idx="1">
                  <c:v>25</c:v>
                </c:pt>
                <c:pt idx="2">
                  <c:v>0</c:v>
                </c:pt>
                <c:pt idx="3">
                  <c:v>722.98649999999998</c:v>
                </c:pt>
                <c:pt idx="4">
                  <c:v>9.75</c:v>
                </c:pt>
                <c:pt idx="5">
                  <c:v>237.571</c:v>
                </c:pt>
                <c:pt idx="6">
                  <c:v>0</c:v>
                </c:pt>
                <c:pt idx="7">
                  <c:v>0</c:v>
                </c:pt>
                <c:pt idx="8">
                  <c:v>168.22925000000001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207360"/>
        <c:axId val="284217728"/>
      </c:barChart>
      <c:scatterChart>
        <c:scatterStyle val="lineMarker"/>
        <c:varyColors val="0"/>
        <c:ser>
          <c:idx val="2"/>
          <c:order val="1"/>
          <c:tx>
            <c:strRef>
              <c:f>Couts_bruts_Couts_net!$AQ$77</c:f>
              <c:strCache>
                <c:ptCount val="1"/>
                <c:pt idx="0">
                  <c:v>Réalisé N-1</c:v>
                </c:pt>
              </c:strCache>
            </c:strRef>
          </c:tx>
          <c:spPr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diamond"/>
            <c:size val="9"/>
            <c:spPr>
              <a:solidFill>
                <a:srgbClr val="FF0000"/>
              </a:solidFill>
            </c:spPr>
          </c:marker>
          <c:xVal>
            <c:strRef>
              <c:f>Couts_bruts_Couts_net!$AS$66:$BA$66</c:f>
              <c:strCache>
                <c:ptCount val="9"/>
                <c:pt idx="0">
                  <c:v>Direction Générale</c:v>
                </c:pt>
                <c:pt idx="1">
                  <c:v>Direction Performance et Commerciale</c:v>
                </c:pt>
                <c:pt idx="2">
                  <c:v>Direction Financière</c:v>
                </c:pt>
                <c:pt idx="3">
                  <c:v>Direction Système d'information</c:v>
                </c:pt>
                <c:pt idx="4">
                  <c:v>Direction Ressources Humaines</c:v>
                </c:pt>
                <c:pt idx="5">
                  <c:v>Direction Juridique</c:v>
                </c:pt>
                <c:pt idx="6">
                  <c:v>SG - Communication</c:v>
                </c:pt>
                <c:pt idx="7">
                  <c:v>Direction Innovation et Stratégie</c:v>
                </c:pt>
                <c:pt idx="8">
                  <c:v>Direction Déléguée Rail - Grand Paris</c:v>
                </c:pt>
              </c:strCache>
            </c:strRef>
          </c:xVal>
          <c:yVal>
            <c:numRef>
              <c:f>Couts_bruts_Couts_net!$AS$77:$BA$77</c:f>
              <c:numCache>
                <c:formatCode>#,##0</c:formatCode>
                <c:ptCount val="9"/>
                <c:pt idx="0">
                  <c:v>0</c:v>
                </c:pt>
                <c:pt idx="1">
                  <c:v>86.775010000000009</c:v>
                </c:pt>
                <c:pt idx="2">
                  <c:v>0</c:v>
                </c:pt>
                <c:pt idx="3">
                  <c:v>1352.5</c:v>
                </c:pt>
                <c:pt idx="4">
                  <c:v>0</c:v>
                </c:pt>
                <c:pt idx="5">
                  <c:v>237.5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220800"/>
        <c:axId val="284219264"/>
      </c:scatterChart>
      <c:catAx>
        <c:axId val="28420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1920000" vert="horz"/>
          <a:lstStyle/>
          <a:p>
            <a:pPr>
              <a:defRPr sz="1500"/>
            </a:pPr>
            <a:endParaRPr lang="fr-FR"/>
          </a:p>
        </c:txPr>
        <c:crossAx val="284217728"/>
        <c:crosses val="autoZero"/>
        <c:auto val="1"/>
        <c:lblAlgn val="ctr"/>
        <c:lblOffset val="100"/>
        <c:noMultiLvlLbl val="0"/>
      </c:catAx>
      <c:valAx>
        <c:axId val="28421772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500"/>
            </a:pPr>
            <a:endParaRPr lang="fr-FR"/>
          </a:p>
        </c:txPr>
        <c:crossAx val="284207360"/>
        <c:crosses val="autoZero"/>
        <c:crossBetween val="between"/>
      </c:valAx>
      <c:valAx>
        <c:axId val="284219264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84220800"/>
        <c:crosses val="max"/>
        <c:crossBetween val="midCat"/>
      </c:valAx>
      <c:valAx>
        <c:axId val="284220800"/>
        <c:scaling>
          <c:orientation val="minMax"/>
        </c:scaling>
        <c:delete val="1"/>
        <c:axPos val="t"/>
        <c:majorTickMark val="out"/>
        <c:minorTickMark val="none"/>
        <c:tickLblPos val="nextTo"/>
        <c:crossAx val="284219264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0701535045167185E-2"/>
          <c:y val="0.93676975771287019"/>
          <c:w val="0.95910848809932281"/>
          <c:h val="6.0550405112404428E-2"/>
        </c:manualLayout>
      </c:layout>
      <c:overlay val="0"/>
      <c:txPr>
        <a:bodyPr/>
        <a:lstStyle/>
        <a:p>
          <a:pPr>
            <a:defRPr sz="1500"/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1" l="0.75" r="0.75" t="1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15</xdr:row>
      <xdr:rowOff>142875</xdr:rowOff>
    </xdr:from>
    <xdr:to>
      <xdr:col>6</xdr:col>
      <xdr:colOff>85725</xdr:colOff>
      <xdr:row>17</xdr:row>
      <xdr:rowOff>152400</xdr:rowOff>
    </xdr:to>
    <xdr:sp macro="" textlink="">
      <xdr:nvSpPr>
        <xdr:cNvPr id="10" name="SaveData_Input_PL" hidden="1">
          <a:extLst>
            <a:ext uri="{63B3BB69-23CF-44E3-9099-C40C66FF867C}">
              <a14:compatExt xmlns:a14="http://schemas.microsoft.com/office/drawing/2010/main" spid="_x0000_s1607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15</xdr:row>
          <xdr:rowOff>85725</xdr:rowOff>
        </xdr:from>
        <xdr:to>
          <xdr:col>5</xdr:col>
          <xdr:colOff>2286000</xdr:colOff>
          <xdr:row>17</xdr:row>
          <xdr:rowOff>142875</xdr:rowOff>
        </xdr:to>
        <xdr:sp macro="" textlink="">
          <xdr:nvSpPr>
            <xdr:cNvPr id="160787" name="Refresh_Report" hidden="1">
              <a:extLst>
                <a:ext uri="{63B3BB69-23CF-44E3-9099-C40C66FF867C}">
                  <a14:compatExt spid="_x0000_s160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23</xdr:col>
      <xdr:colOff>552450</xdr:colOff>
      <xdr:row>18</xdr:row>
      <xdr:rowOff>48491</xdr:rowOff>
    </xdr:from>
    <xdr:to>
      <xdr:col>26</xdr:col>
      <xdr:colOff>89988</xdr:colOff>
      <xdr:row>20</xdr:row>
      <xdr:rowOff>75536</xdr:rowOff>
    </xdr:to>
    <xdr:pic>
      <xdr:nvPicPr>
        <xdr:cNvPr id="14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16650" y="753341"/>
          <a:ext cx="794838" cy="7890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103043</xdr:colOff>
      <xdr:row>65</xdr:row>
      <xdr:rowOff>190500</xdr:rowOff>
    </xdr:from>
    <xdr:to>
      <xdr:col>8</xdr:col>
      <xdr:colOff>292493</xdr:colOff>
      <xdr:row>91</xdr:row>
      <xdr:rowOff>19050</xdr:rowOff>
    </xdr:to>
    <xdr:graphicFrame macro="">
      <xdr:nvGraphicFramePr>
        <xdr:cNvPr id="6" name="Graphique 1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529936</xdr:colOff>
      <xdr:row>65</xdr:row>
      <xdr:rowOff>209550</xdr:rowOff>
    </xdr:from>
    <xdr:to>
      <xdr:col>19</xdr:col>
      <xdr:colOff>169036</xdr:colOff>
      <xdr:row>91</xdr:row>
      <xdr:rowOff>38100</xdr:rowOff>
    </xdr:to>
    <xdr:graphicFrame macro="">
      <xdr:nvGraphicFramePr>
        <xdr:cNvPr id="13" name="Graphique 1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95250</xdr:colOff>
      <xdr:row>66</xdr:row>
      <xdr:rowOff>19050</xdr:rowOff>
    </xdr:from>
    <xdr:to>
      <xdr:col>29</xdr:col>
      <xdr:colOff>20100</xdr:colOff>
      <xdr:row>91</xdr:row>
      <xdr:rowOff>76200</xdr:rowOff>
    </xdr:to>
    <xdr:graphicFrame macro="">
      <xdr:nvGraphicFramePr>
        <xdr:cNvPr id="15" name="Graphique 1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2266950</xdr:colOff>
      <xdr:row>20</xdr:row>
      <xdr:rowOff>9642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762000"/>
          <a:ext cx="2266950" cy="7716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9" bestFit="1" customWidth="1"/>
    <col min="2" max="2" width="17.85546875" style="9" bestFit="1" customWidth="1"/>
    <col min="3" max="3" width="9.140625" style="9"/>
    <col min="4" max="4" width="27.7109375" style="9" customWidth="1"/>
    <col min="5" max="16384" width="9.140625" style="9"/>
  </cols>
  <sheetData>
    <row r="1" spans="1:7" ht="18" x14ac:dyDescent="0.25">
      <c r="A1" s="7" t="s">
        <v>99</v>
      </c>
      <c r="B1" s="8"/>
    </row>
    <row r="2" spans="1:7" x14ac:dyDescent="0.2">
      <c r="A2" s="8"/>
      <c r="B2" s="8"/>
    </row>
    <row r="3" spans="1:7" ht="15.75" x14ac:dyDescent="0.25">
      <c r="A3" s="10" t="s">
        <v>5</v>
      </c>
      <c r="B3" s="8"/>
    </row>
    <row r="4" spans="1:7" x14ac:dyDescent="0.2">
      <c r="A4" s="11" t="s">
        <v>4</v>
      </c>
      <c r="B4" s="12" t="s">
        <v>102</v>
      </c>
    </row>
    <row r="5" spans="1:7" x14ac:dyDescent="0.2">
      <c r="A5" s="11" t="s">
        <v>7</v>
      </c>
      <c r="B5" s="13" t="str">
        <f>LEFT(Server,LEN(Server)-1)</f>
        <v>tango_core_model</v>
      </c>
    </row>
    <row r="6" spans="1:7" x14ac:dyDescent="0.2">
      <c r="A6" s="11" t="s">
        <v>3</v>
      </c>
      <c r="B6" s="13" t="s">
        <v>40</v>
      </c>
    </row>
    <row r="7" spans="1:7" x14ac:dyDescent="0.2">
      <c r="A7" s="11" t="s">
        <v>18</v>
      </c>
      <c r="B7" s="13">
        <v>0</v>
      </c>
    </row>
    <row r="8" spans="1:7" x14ac:dyDescent="0.2">
      <c r="A8" s="11" t="s">
        <v>34</v>
      </c>
      <c r="B8" s="13">
        <v>0</v>
      </c>
    </row>
    <row r="10" spans="1:7" ht="15.75" x14ac:dyDescent="0.25">
      <c r="A10" s="10" t="s">
        <v>6</v>
      </c>
    </row>
    <row r="11" spans="1:7" ht="13.5" customHeight="1" x14ac:dyDescent="0.2">
      <c r="A11" s="11" t="s">
        <v>14</v>
      </c>
      <c r="B11" s="13" t="s">
        <v>45</v>
      </c>
    </row>
    <row r="12" spans="1:7" ht="13.5" customHeight="1" x14ac:dyDescent="0.2">
      <c r="A12" s="11" t="s">
        <v>15</v>
      </c>
      <c r="B12" s="13" t="s">
        <v>64</v>
      </c>
      <c r="C12" s="106" t="s">
        <v>66</v>
      </c>
      <c r="D12" s="106" t="s">
        <v>67</v>
      </c>
      <c r="E12" s="106" t="s">
        <v>67</v>
      </c>
      <c r="F12" s="106" t="s">
        <v>68</v>
      </c>
      <c r="G12" s="106"/>
    </row>
    <row r="13" spans="1:7" x14ac:dyDescent="0.2">
      <c r="A13" s="11" t="s">
        <v>9</v>
      </c>
      <c r="B13" s="13" t="str">
        <f ca="1">_xll.DBR(Server&amp;"z_Admin_Param","MONTH_CORPORATE","STR_VAR1")</f>
        <v>2013.03</v>
      </c>
      <c r="C13" s="107" t="str">
        <f ca="1">RIGHT($B$13,2)</f>
        <v>03</v>
      </c>
      <c r="D13" s="108">
        <f ca="1">IF($C$13="01","1",$C$13-1)</f>
        <v>2</v>
      </c>
      <c r="E13" s="9" t="str">
        <f ca="1">IF(OR($D$13= 10,$D$13= 11,$D$13= 12),$D$13,"0"&amp;D13)</f>
        <v>02</v>
      </c>
      <c r="F13" s="9" t="str">
        <f ca="1">LEFT($B$13,5)&amp;$E$13&amp;"_YTD"</f>
        <v>2013.02_YTD</v>
      </c>
    </row>
    <row r="14" spans="1:7" x14ac:dyDescent="0.2">
      <c r="A14" s="11" t="s">
        <v>19</v>
      </c>
      <c r="B14" s="13" t="str">
        <f ca="1">_xll.DBR(Server&amp;"z_Admin_Param","BUDGET_VERSION_BUDGET_FORECAST","STR_VAR1")</f>
        <v>VC</v>
      </c>
    </row>
    <row r="15" spans="1:7" x14ac:dyDescent="0.2">
      <c r="A15" s="11" t="s">
        <v>20</v>
      </c>
      <c r="B15" s="13" t="str">
        <f ca="1">_xll.DBR(Server&amp;"z_Admin_Param","FORECAST_1_VERSION_BUDGET_FORECAST","STR_VAR1")</f>
        <v>VC</v>
      </c>
    </row>
    <row r="16" spans="1:7" x14ac:dyDescent="0.2">
      <c r="A16" s="11" t="s">
        <v>41</v>
      </c>
      <c r="B16" s="13" t="str">
        <f ca="1">_xll.DBR(Server&amp;"z_Admin_Param","FORECAST_2_VERSION_BUDGET_FORECAST","STR_VAR1")</f>
        <v>VC</v>
      </c>
    </row>
    <row r="17" spans="1:6" x14ac:dyDescent="0.2">
      <c r="A17" s="11" t="s">
        <v>2</v>
      </c>
      <c r="B17" s="14" t="str">
        <f ca="1">_xll.DBR(Server&amp;"z_Client_Properties","Language",_xll.TM1USER(xServer))</f>
        <v>English</v>
      </c>
      <c r="C17" s="9" t="str">
        <f ca="1">IF(LocalLanguage="French","Français",LocalLanguage)</f>
        <v>English</v>
      </c>
    </row>
    <row r="18" spans="1:6" x14ac:dyDescent="0.2">
      <c r="A18" s="224" t="s">
        <v>28</v>
      </c>
      <c r="B18" s="28" t="s">
        <v>1</v>
      </c>
    </row>
    <row r="19" spans="1:6" x14ac:dyDescent="0.2">
      <c r="A19" s="224"/>
      <c r="B19" s="28" t="s">
        <v>46</v>
      </c>
    </row>
    <row r="20" spans="1:6" x14ac:dyDescent="0.2">
      <c r="A20" s="224"/>
      <c r="B20" s="28" t="s">
        <v>11</v>
      </c>
    </row>
    <row r="21" spans="1:6" x14ac:dyDescent="0.2">
      <c r="A21" s="224"/>
      <c r="B21" s="28" t="s">
        <v>12</v>
      </c>
    </row>
    <row r="22" spans="1:6" x14ac:dyDescent="0.2">
      <c r="A22" s="224"/>
      <c r="B22" s="28" t="s">
        <v>13</v>
      </c>
    </row>
    <row r="23" spans="1:6" x14ac:dyDescent="0.2">
      <c r="A23" s="224" t="s">
        <v>29</v>
      </c>
      <c r="B23" s="28" t="s">
        <v>25</v>
      </c>
    </row>
    <row r="24" spans="1:6" x14ac:dyDescent="0.2">
      <c r="A24" s="224"/>
      <c r="B24" s="28" t="s">
        <v>26</v>
      </c>
    </row>
    <row r="25" spans="1:6" x14ac:dyDescent="0.2">
      <c r="A25" s="224"/>
      <c r="B25" s="28" t="s">
        <v>27</v>
      </c>
    </row>
    <row r="27" spans="1:6" ht="15.75" x14ac:dyDescent="0.25">
      <c r="A27" s="10" t="s">
        <v>21</v>
      </c>
      <c r="F27" s="9" t="s">
        <v>8</v>
      </c>
    </row>
    <row r="28" spans="1:6" ht="13.5" customHeight="1" x14ac:dyDescent="0.25">
      <c r="A28" s="9" t="s">
        <v>22</v>
      </c>
      <c r="B28" s="25"/>
    </row>
    <row r="29" spans="1:6" x14ac:dyDescent="0.2">
      <c r="A29" s="9" t="s">
        <v>23</v>
      </c>
      <c r="B29" s="26"/>
    </row>
    <row r="30" spans="1:6" x14ac:dyDescent="0.2">
      <c r="A30" s="9" t="s">
        <v>24</v>
      </c>
      <c r="B30" s="27"/>
    </row>
    <row r="31" spans="1:6" x14ac:dyDescent="0.2">
      <c r="A31" s="9" t="s">
        <v>44</v>
      </c>
      <c r="B31" s="56"/>
    </row>
  </sheetData>
  <sheetProtection sheet="1" objects="1" scenarios="1" formatColumns="0" formatRows="0"/>
  <mergeCells count="2">
    <mergeCell ref="A18:A22"/>
    <mergeCell ref="A23:A25"/>
  </mergeCells>
  <phoneticPr fontId="4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BK160"/>
  <sheetViews>
    <sheetView showGridLines="0" tabSelected="1" topLeftCell="E16" zoomScale="50" zoomScaleNormal="50" zoomScaleSheetLayoutView="70" workbookViewId="0">
      <selection activeCell="L27" sqref="L27"/>
    </sheetView>
  </sheetViews>
  <sheetFormatPr baseColWidth="10" defaultColWidth="11.42578125" defaultRowHeight="18" customHeight="1" outlineLevelRow="1" x14ac:dyDescent="0.2"/>
  <cols>
    <col min="1" max="1" width="20.42578125" style="2" hidden="1" customWidth="1"/>
    <col min="2" max="2" width="8.140625" style="15" hidden="1" customWidth="1"/>
    <col min="3" max="3" width="25.140625" style="15" hidden="1" customWidth="1"/>
    <col min="4" max="4" width="29" style="15" hidden="1" customWidth="1"/>
    <col min="5" max="5" width="3.42578125" style="29" customWidth="1"/>
    <col min="6" max="6" width="42.28515625" style="15" customWidth="1"/>
    <col min="7" max="7" width="37.42578125" style="29" customWidth="1"/>
    <col min="8" max="8" width="5.7109375" style="29" customWidth="1"/>
    <col min="9" max="11" width="18.7109375" style="29" customWidth="1"/>
    <col min="12" max="12" width="2.7109375" style="29" customWidth="1"/>
    <col min="13" max="13" width="18.7109375" style="29" customWidth="1"/>
    <col min="14" max="15" width="18.7109375" style="29" hidden="1" customWidth="1"/>
    <col min="16" max="16" width="18.7109375" style="29" customWidth="1"/>
    <col min="17" max="18" width="15.42578125" style="29" hidden="1" customWidth="1"/>
    <col min="19" max="19" width="2.7109375" style="29" customWidth="1"/>
    <col min="20" max="22" width="18.7109375" style="29" customWidth="1"/>
    <col min="23" max="23" width="2.7109375" style="29" customWidth="1"/>
    <col min="24" max="24" width="18.7109375" style="29" customWidth="1"/>
    <col min="25" max="26" width="15.42578125" style="29" hidden="1" customWidth="1"/>
    <col min="27" max="27" width="18.7109375" style="29" customWidth="1"/>
    <col min="28" max="28" width="15.42578125" style="29" hidden="1" customWidth="1"/>
    <col min="29" max="29" width="15.7109375" style="29" hidden="1" customWidth="1"/>
    <col min="30" max="30" width="13.5703125" style="29" customWidth="1"/>
    <col min="31" max="31" width="29.140625" style="3" hidden="1" customWidth="1"/>
    <col min="32" max="32" width="22.7109375" style="3" hidden="1" customWidth="1"/>
    <col min="33" max="33" width="12.85546875" style="3" hidden="1" customWidth="1"/>
    <col min="34" max="34" width="20.85546875" style="3" hidden="1" customWidth="1"/>
    <col min="35" max="35" width="14.28515625" style="15" hidden="1" customWidth="1"/>
    <col min="36" max="36" width="6.42578125" style="15" hidden="1" customWidth="1"/>
    <col min="37" max="41" width="9" style="15" hidden="1" customWidth="1"/>
    <col min="42" max="42" width="25.140625" style="15" hidden="1" customWidth="1"/>
    <col min="43" max="43" width="10.5703125" style="15" hidden="1" customWidth="1"/>
    <col min="44" max="44" width="11.5703125" style="15" hidden="1" customWidth="1"/>
    <col min="45" max="45" width="18.85546875" style="15" hidden="1" customWidth="1"/>
    <col min="46" max="46" width="16.28515625" style="15" hidden="1" customWidth="1"/>
    <col min="47" max="47" width="6.140625" style="15" hidden="1" customWidth="1"/>
    <col min="48" max="48" width="6.5703125" style="15" hidden="1" customWidth="1"/>
    <col min="49" max="55" width="6.5703125" style="2" hidden="1" customWidth="1"/>
    <col min="56" max="57" width="6.42578125" style="2" hidden="1" customWidth="1"/>
    <col min="58" max="63" width="11.42578125" style="2" hidden="1" customWidth="1"/>
    <col min="64" max="16384" width="11.42578125" style="2"/>
  </cols>
  <sheetData>
    <row r="1" spans="1:47" customFormat="1" ht="18" hidden="1" customHeight="1" x14ac:dyDescent="0.2">
      <c r="A1" t="s">
        <v>55</v>
      </c>
      <c r="H1" s="150"/>
      <c r="I1" s="150"/>
      <c r="J1" s="150"/>
      <c r="K1" s="150"/>
      <c r="L1" s="150"/>
      <c r="M1" s="150"/>
      <c r="N1" s="155"/>
      <c r="AE1" s="87"/>
      <c r="AF1" s="87"/>
      <c r="AG1" s="87"/>
      <c r="AH1" s="87"/>
    </row>
    <row r="2" spans="1:47" customFormat="1" ht="27" hidden="1" customHeight="1" x14ac:dyDescent="0.2">
      <c r="A2">
        <f ca="1">0</f>
        <v>0</v>
      </c>
      <c r="F2" s="189"/>
      <c r="G2" s="190"/>
      <c r="H2" s="162"/>
      <c r="I2" s="178"/>
      <c r="J2" s="178"/>
      <c r="K2" s="178"/>
      <c r="L2" s="185"/>
      <c r="M2" s="203"/>
      <c r="N2" s="204"/>
      <c r="O2" s="205"/>
      <c r="P2" s="203"/>
      <c r="Q2" s="179"/>
      <c r="R2" s="139"/>
      <c r="S2" s="180"/>
      <c r="T2" s="178"/>
      <c r="U2" s="178"/>
      <c r="V2" s="178"/>
      <c r="W2" s="181"/>
      <c r="X2" s="203"/>
      <c r="Y2" s="204"/>
      <c r="Z2" s="205"/>
      <c r="AA2" s="203"/>
      <c r="AB2" s="159"/>
      <c r="AC2" s="139"/>
      <c r="AE2" s="85"/>
      <c r="AF2" s="85"/>
      <c r="AG2" s="85"/>
      <c r="AH2" s="84"/>
    </row>
    <row r="3" spans="1:47" customFormat="1" ht="27" hidden="1" customHeight="1" x14ac:dyDescent="0.2">
      <c r="A3">
        <f ca="1">1</f>
        <v>1</v>
      </c>
      <c r="F3" s="191"/>
      <c r="G3" s="192"/>
      <c r="H3" s="162"/>
      <c r="I3" s="186"/>
      <c r="J3" s="186"/>
      <c r="K3" s="186"/>
      <c r="L3" s="185"/>
      <c r="M3" s="206"/>
      <c r="N3" s="207"/>
      <c r="O3" s="208"/>
      <c r="P3" s="206"/>
      <c r="Q3" s="179"/>
      <c r="R3" s="139"/>
      <c r="S3" s="180"/>
      <c r="T3" s="186"/>
      <c r="U3" s="186"/>
      <c r="V3" s="186"/>
      <c r="W3" s="181"/>
      <c r="X3" s="206"/>
      <c r="Y3" s="207"/>
      <c r="Z3" s="208"/>
      <c r="AA3" s="206"/>
      <c r="AB3" s="159"/>
      <c r="AC3" s="139"/>
      <c r="AE3" s="85"/>
      <c r="AF3" s="85"/>
      <c r="AG3" s="85"/>
      <c r="AH3" s="84"/>
    </row>
    <row r="4" spans="1:47" customFormat="1" ht="27" hidden="1" customHeight="1" x14ac:dyDescent="0.2">
      <c r="A4">
        <f ca="1">2</f>
        <v>2</v>
      </c>
      <c r="F4" s="193"/>
      <c r="G4" s="194"/>
      <c r="H4" s="162"/>
      <c r="I4" s="187"/>
      <c r="J4" s="187"/>
      <c r="K4" s="187"/>
      <c r="L4" s="185"/>
      <c r="M4" s="209"/>
      <c r="N4" s="210"/>
      <c r="O4" s="211"/>
      <c r="P4" s="209"/>
      <c r="Q4" s="179"/>
      <c r="R4" s="139"/>
      <c r="S4" s="180"/>
      <c r="T4" s="187"/>
      <c r="U4" s="187"/>
      <c r="V4" s="187"/>
      <c r="W4" s="181"/>
      <c r="X4" s="209"/>
      <c r="Y4" s="210"/>
      <c r="Z4" s="211"/>
      <c r="AA4" s="209"/>
      <c r="AB4" s="159"/>
      <c r="AC4" s="139"/>
      <c r="AE4" s="85"/>
      <c r="AF4" s="85"/>
      <c r="AG4" s="85"/>
      <c r="AH4" s="84"/>
    </row>
    <row r="5" spans="1:47" customFormat="1" ht="27" hidden="1" customHeight="1" x14ac:dyDescent="0.2">
      <c r="A5">
        <f ca="1">3</f>
        <v>3</v>
      </c>
      <c r="F5" s="195"/>
      <c r="G5" s="196"/>
      <c r="H5" s="162"/>
      <c r="I5" s="188"/>
      <c r="J5" s="188"/>
      <c r="K5" s="188"/>
      <c r="L5" s="185"/>
      <c r="M5" s="212"/>
      <c r="N5" s="213"/>
      <c r="O5" s="214"/>
      <c r="P5" s="212"/>
      <c r="Q5" s="179"/>
      <c r="R5" s="139"/>
      <c r="S5" s="180"/>
      <c r="T5" s="188"/>
      <c r="U5" s="188"/>
      <c r="V5" s="188"/>
      <c r="W5" s="181"/>
      <c r="X5" s="212"/>
      <c r="Y5" s="213"/>
      <c r="Z5" s="214"/>
      <c r="AA5" s="212"/>
      <c r="AB5" s="159"/>
      <c r="AC5" s="139"/>
      <c r="AE5" s="85"/>
      <c r="AF5" s="85"/>
      <c r="AG5" s="85"/>
      <c r="AH5" s="84"/>
    </row>
    <row r="6" spans="1:47" customFormat="1" ht="27" hidden="1" customHeight="1" x14ac:dyDescent="0.2">
      <c r="A6" t="s">
        <v>53</v>
      </c>
      <c r="F6" s="197"/>
      <c r="G6" s="198"/>
      <c r="H6" s="162"/>
      <c r="I6" s="182"/>
      <c r="J6" s="182"/>
      <c r="K6" s="182"/>
      <c r="L6" s="158"/>
      <c r="M6" s="182"/>
      <c r="N6" s="215"/>
      <c r="O6" s="216"/>
      <c r="P6" s="182"/>
      <c r="Q6" s="183"/>
      <c r="R6" s="139"/>
      <c r="S6" s="184"/>
      <c r="T6" s="182"/>
      <c r="U6" s="182"/>
      <c r="V6" s="182"/>
      <c r="W6" s="182"/>
      <c r="X6" s="182"/>
      <c r="Y6" s="215"/>
      <c r="Z6" s="216"/>
      <c r="AA6" s="182"/>
      <c r="AB6" s="159"/>
      <c r="AC6" s="139"/>
      <c r="AE6" s="85"/>
      <c r="AF6" s="85"/>
      <c r="AG6" s="85"/>
      <c r="AH6" s="84"/>
    </row>
    <row r="7" spans="1:47" customFormat="1" ht="27" hidden="1" customHeight="1" x14ac:dyDescent="0.2">
      <c r="A7" t="s">
        <v>54</v>
      </c>
      <c r="F7" s="197"/>
      <c r="G7" s="198"/>
      <c r="H7" s="162"/>
      <c r="I7" s="157"/>
      <c r="J7" s="157"/>
      <c r="K7" s="157"/>
      <c r="L7" s="158"/>
      <c r="M7" s="157"/>
      <c r="N7" s="217"/>
      <c r="O7" s="216"/>
      <c r="P7" s="157"/>
      <c r="Q7" s="159"/>
      <c r="R7" s="139"/>
      <c r="S7" s="92"/>
      <c r="T7" s="157"/>
      <c r="U7" s="157"/>
      <c r="V7" s="157"/>
      <c r="W7" s="157"/>
      <c r="X7" s="157"/>
      <c r="Y7" s="217"/>
      <c r="Z7" s="216"/>
      <c r="AA7" s="157"/>
      <c r="AB7" s="159"/>
      <c r="AC7" s="139"/>
      <c r="AE7" s="85"/>
      <c r="AF7" s="85"/>
      <c r="AG7" s="85"/>
      <c r="AH7" s="88"/>
    </row>
    <row r="8" spans="1:47" customFormat="1" ht="18" hidden="1" customHeight="1" x14ac:dyDescent="0.25">
      <c r="A8" t="s">
        <v>56</v>
      </c>
      <c r="H8" s="150"/>
      <c r="I8" s="150"/>
      <c r="J8" s="150"/>
      <c r="K8" s="150"/>
      <c r="L8" s="150"/>
      <c r="M8" s="163"/>
      <c r="N8" s="148"/>
      <c r="AE8" s="87"/>
      <c r="AF8" s="87"/>
      <c r="AG8" s="87"/>
      <c r="AH8" s="87"/>
    </row>
    <row r="9" spans="1:47" customFormat="1" ht="18" hidden="1" customHeight="1" x14ac:dyDescent="0.2">
      <c r="AE9" s="87"/>
      <c r="AF9" s="87"/>
      <c r="AG9" s="87"/>
      <c r="AH9" s="87"/>
    </row>
    <row r="10" spans="1:47" customFormat="1" ht="18" hidden="1" customHeight="1" x14ac:dyDescent="0.2">
      <c r="AE10" s="87"/>
      <c r="AF10" s="87"/>
      <c r="AG10" s="87"/>
      <c r="AH10" s="87"/>
    </row>
    <row r="11" spans="1:47" ht="22.5" hidden="1" customHeight="1" x14ac:dyDescent="0.25">
      <c r="B11" s="40"/>
      <c r="C11" s="40"/>
      <c r="D11" s="40"/>
      <c r="E11" s="40"/>
      <c r="F11" s="25"/>
      <c r="G11" s="25" t="s">
        <v>98</v>
      </c>
      <c r="H11" s="53" t="s">
        <v>0</v>
      </c>
      <c r="I11" s="67" t="s">
        <v>62</v>
      </c>
      <c r="J11" s="68" t="str">
        <f ca="1">IF($F$14=$AP$33,"BUDG_TOT",IF($F$14=$AP$34,"FC_1_TOT","FC_2_TOT"))</f>
        <v>BUDG_TOT</v>
      </c>
      <c r="K11" s="68" t="s">
        <v>62</v>
      </c>
      <c r="L11" s="54"/>
      <c r="M11" s="120" t="s">
        <v>85</v>
      </c>
      <c r="N11" s="120"/>
      <c r="O11" s="93" t="str">
        <f ca="1">IF($F$14=$AP$33,"BUDG",IF($F$14=$AP$34,"FC_1","FC_2"))</f>
        <v>BUDG</v>
      </c>
      <c r="P11" s="54"/>
      <c r="Q11" s="54"/>
      <c r="R11" s="54"/>
      <c r="S11" s="54"/>
      <c r="T11" s="67" t="s">
        <v>62</v>
      </c>
      <c r="U11" s="68" t="str">
        <f ca="1">IF($F$14=$AP$33,"BUDG_TOT",IF($F$14=$AP$34,"FC_1_TOT","FC_2_TOT"))</f>
        <v>BUDG_TOT</v>
      </c>
      <c r="V11" s="67" t="s">
        <v>62</v>
      </c>
      <c r="W11" s="54"/>
      <c r="X11" s="54"/>
      <c r="Y11" s="54"/>
      <c r="Z11" s="54"/>
      <c r="AA11" s="48"/>
      <c r="AB11" s="48"/>
      <c r="AC11" s="55"/>
      <c r="AD11" s="40"/>
      <c r="AE11" s="86"/>
      <c r="AF11" s="86"/>
      <c r="AG11" s="86"/>
    </row>
    <row r="12" spans="1:47" ht="22.5" hidden="1" customHeight="1" x14ac:dyDescent="0.25">
      <c r="B12" s="40"/>
      <c r="C12" s="40"/>
      <c r="D12" s="40"/>
      <c r="E12" s="40"/>
      <c r="F12" s="40"/>
      <c r="G12" s="49"/>
      <c r="H12" s="50" t="s">
        <v>43</v>
      </c>
      <c r="I12" s="51" t="str">
        <f ca="1">_xll.DBRA(Server&amp;$H$12,$H$13,"Prior Year")</f>
        <v>2012.03_YTD</v>
      </c>
      <c r="J12" s="51" t="str">
        <f ca="1">$H$13</f>
        <v>2013.03_YTD</v>
      </c>
      <c r="K12" s="51" t="str">
        <f ca="1">$H$13</f>
        <v>2013.03_YTD</v>
      </c>
      <c r="L12" s="40"/>
      <c r="M12" s="145" t="s">
        <v>100</v>
      </c>
      <c r="N12" s="144"/>
      <c r="O12" s="144" t="s">
        <v>70</v>
      </c>
      <c r="P12" s="51"/>
      <c r="Q12" s="51"/>
      <c r="R12" s="51"/>
      <c r="S12" s="51"/>
      <c r="T12" s="51" t="str">
        <f ca="1">_xll.DBRA(Server&amp;$H$12,$H$13,"Prior Year")</f>
        <v>2012.03_YTD</v>
      </c>
      <c r="U12" s="51" t="str">
        <f ca="1">$H$13</f>
        <v>2013.03_YTD</v>
      </c>
      <c r="V12" s="51" t="str">
        <f ca="1">$H$13</f>
        <v>2013.03_YTD</v>
      </c>
      <c r="W12" s="51"/>
      <c r="X12" s="51"/>
      <c r="Y12" s="51"/>
      <c r="Z12" s="51"/>
      <c r="AA12" s="48"/>
      <c r="AB12" s="40"/>
      <c r="AC12" s="40"/>
      <c r="AD12" s="40"/>
      <c r="AE12" s="76"/>
      <c r="AF12" s="78"/>
      <c r="AG12" s="78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</row>
    <row r="13" spans="1:47" ht="22.5" hidden="1" customHeight="1" x14ac:dyDescent="0.2">
      <c r="B13" s="40"/>
      <c r="C13" s="40"/>
      <c r="D13" s="40"/>
      <c r="E13" s="40"/>
      <c r="F13" s="147" t="s">
        <v>101</v>
      </c>
      <c r="G13" s="40"/>
      <c r="H13" s="69" t="str">
        <f ca="1">_xll.SUBNM(Server&amp;"Period","",$G$27,"")</f>
        <v>2013.03_YTD</v>
      </c>
      <c r="I13" s="48"/>
      <c r="J13" s="48"/>
      <c r="K13" s="48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8"/>
      <c r="AB13" s="40"/>
      <c r="AC13" s="40"/>
      <c r="AD13" s="40"/>
      <c r="AE13" s="76"/>
      <c r="AF13" s="76"/>
      <c r="AG13" s="76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</row>
    <row r="14" spans="1:47" ht="22.5" hidden="1" customHeight="1" x14ac:dyDescent="0.25">
      <c r="B14" s="40"/>
      <c r="C14" s="40"/>
      <c r="D14" s="40"/>
      <c r="E14" s="40"/>
      <c r="F14" s="146" t="str">
        <f ca="1">_xll.SUBNM(Server&amp;"z_translate_report","",G33,"")</f>
        <v>Budget</v>
      </c>
      <c r="G14" s="48"/>
      <c r="H14" s="53" t="s">
        <v>51</v>
      </c>
      <c r="I14" s="109" t="s">
        <v>71</v>
      </c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109" t="s">
        <v>70</v>
      </c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76"/>
      <c r="AF14" s="76"/>
      <c r="AG14" s="76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</row>
    <row r="15" spans="1:47" ht="22.5" hidden="1" customHeight="1" thickBot="1" x14ac:dyDescent="0.25">
      <c r="B15" s="40"/>
      <c r="C15" s="40"/>
      <c r="D15" s="40"/>
      <c r="E15" s="82"/>
      <c r="F15" s="52"/>
      <c r="G15" s="141"/>
      <c r="H15" s="142"/>
      <c r="I15" s="143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82"/>
      <c r="V15" s="82"/>
      <c r="W15" s="82"/>
      <c r="X15" s="52"/>
      <c r="Y15" s="82"/>
      <c r="Z15" s="82"/>
      <c r="AA15" s="52"/>
      <c r="AB15" s="52"/>
      <c r="AC15" s="52"/>
      <c r="AD15" s="48"/>
      <c r="AE15" s="76"/>
      <c r="AF15" s="76"/>
      <c r="AG15" s="76"/>
      <c r="AH15" s="76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</row>
    <row r="16" spans="1:47" ht="30" customHeight="1" x14ac:dyDescent="0.2">
      <c r="B16" s="40"/>
      <c r="C16" s="40"/>
      <c r="D16" s="41"/>
      <c r="E16" s="7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76"/>
      <c r="AF16" s="76"/>
      <c r="AG16" s="76"/>
      <c r="AH16" s="76"/>
    </row>
    <row r="17" spans="2:49" ht="30" hidden="1" customHeight="1" x14ac:dyDescent="0.2">
      <c r="B17" s="40"/>
      <c r="C17" s="40"/>
      <c r="D17" s="41"/>
      <c r="E17" s="7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76"/>
      <c r="AF17" s="76"/>
      <c r="AG17" s="76"/>
      <c r="AH17" s="76"/>
    </row>
    <row r="18" spans="2:49" ht="30" customHeight="1" x14ac:dyDescent="0.25">
      <c r="B18" s="40"/>
      <c r="C18" s="71" t="s">
        <v>63</v>
      </c>
      <c r="D18" s="42"/>
      <c r="E18" s="76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16"/>
      <c r="AR18" s="58" t="s">
        <v>57</v>
      </c>
      <c r="AS18" s="15" t="str">
        <f ca="1">IF($G$25="Français","French","English")</f>
        <v>French</v>
      </c>
    </row>
    <row r="19" spans="2:49" ht="30" customHeight="1" thickBot="1" x14ac:dyDescent="0.3">
      <c r="B19" s="40"/>
      <c r="C19" s="70" t="s">
        <v>52</v>
      </c>
      <c r="D19" s="72" t="s">
        <v>78</v>
      </c>
      <c r="E19" s="77"/>
      <c r="F19" s="244"/>
      <c r="G19" s="245" t="str">
        <f ca="1">_xll.DBRA(Server&amp;$AP$21,$AP$37,$AS$18)</f>
        <v>Coûts bruts - Coûts nets (analyse du réalisé)</v>
      </c>
      <c r="H19" s="245"/>
      <c r="I19" s="245"/>
      <c r="J19" s="245"/>
      <c r="K19" s="245"/>
      <c r="L19" s="245"/>
      <c r="M19" s="245"/>
      <c r="N19" s="245"/>
      <c r="O19" s="245"/>
      <c r="P19" s="245"/>
      <c r="Q19" s="245"/>
      <c r="R19" s="245"/>
      <c r="S19" s="245"/>
      <c r="T19" s="245"/>
      <c r="U19" s="245"/>
      <c r="V19" s="235" t="str">
        <f ca="1">_xll.DBRA(Server&amp;$AP$21,$AP$43,$AS$18)</f>
        <v>Restitution</v>
      </c>
      <c r="W19" s="235"/>
      <c r="X19" s="1"/>
      <c r="Y19" s="1"/>
      <c r="Z19" s="1"/>
      <c r="AA19" s="1"/>
      <c r="AC19" s="17"/>
      <c r="AD19" s="16"/>
      <c r="AE19" s="89"/>
      <c r="AF19" s="89"/>
      <c r="AG19" s="89"/>
      <c r="AH19" s="89"/>
      <c r="AR19" s="29"/>
    </row>
    <row r="20" spans="2:49" ht="30" customHeight="1" thickBot="1" x14ac:dyDescent="0.3">
      <c r="B20" s="40"/>
      <c r="C20" s="70" t="s">
        <v>49</v>
      </c>
      <c r="D20" s="72" t="s">
        <v>79</v>
      </c>
      <c r="E20" s="77"/>
      <c r="F20" s="244"/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  <c r="U20" s="245"/>
      <c r="V20" s="235"/>
      <c r="W20" s="235"/>
      <c r="X20" s="1"/>
      <c r="Y20" s="1"/>
      <c r="Z20" s="1"/>
      <c r="AA20" s="1"/>
      <c r="AC20" s="17"/>
      <c r="AD20" s="16"/>
      <c r="AE20" s="89"/>
      <c r="AF20" s="89"/>
      <c r="AG20" s="89"/>
      <c r="AH20" s="89"/>
      <c r="AQ20" s="39" t="s">
        <v>42</v>
      </c>
      <c r="AR20" s="29"/>
    </row>
    <row r="21" spans="2:49" ht="30" customHeight="1" thickBot="1" x14ac:dyDescent="0.3">
      <c r="B21" s="40"/>
      <c r="C21" s="70"/>
      <c r="D21" s="72"/>
      <c r="E21" s="77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16"/>
      <c r="AE21" s="2"/>
      <c r="AF21" s="2"/>
      <c r="AG21" s="2"/>
      <c r="AH21" s="2"/>
      <c r="AP21" s="36" t="s">
        <v>38</v>
      </c>
      <c r="AQ21" s="59" t="s">
        <v>0</v>
      </c>
      <c r="AR21" s="29"/>
    </row>
    <row r="22" spans="2:49" ht="30" customHeight="1" thickBot="1" x14ac:dyDescent="0.3">
      <c r="B22" s="40"/>
      <c r="C22" s="70"/>
      <c r="D22" s="72"/>
      <c r="E22" s="77"/>
      <c r="F22" s="19" t="str">
        <f ca="1">_xll.DBRA(Server&amp;$AP$21,$AP$22,$AS$18)</f>
        <v>Sélection du contexte</v>
      </c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16"/>
      <c r="AE22" s="31"/>
      <c r="AF22" s="31"/>
      <c r="AG22" s="31"/>
      <c r="AH22" s="31"/>
      <c r="AP22" s="37" t="s">
        <v>35</v>
      </c>
      <c r="AQ22" s="38" t="str">
        <f ca="1">_xll.DBRA(Server&amp;$AP$21,$AP$33,$AS$18)</f>
        <v>Budget</v>
      </c>
      <c r="AR22" s="29"/>
    </row>
    <row r="23" spans="2:49" ht="30" hidden="1" customHeight="1" outlineLevel="1" x14ac:dyDescent="0.25">
      <c r="B23" s="40"/>
      <c r="C23" s="70"/>
      <c r="D23" s="72"/>
      <c r="E23" s="77"/>
      <c r="F23" s="20" t="str">
        <f ca="1">_xll.DBRA(Server&amp;$AP$21,$AP$28,$AS$18)</f>
        <v>Gaap</v>
      </c>
      <c r="G23" s="33" t="str">
        <f ca="1">_xll.SUBNM(Server&amp;"GAAP","Corp_FR","Local_Gaap",$AS$18)</f>
        <v>Gaap local</v>
      </c>
      <c r="H23" s="33"/>
      <c r="I23" s="3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6"/>
      <c r="AE23" s="22"/>
      <c r="AF23" s="33"/>
      <c r="AG23" s="33"/>
      <c r="AI23" s="29"/>
      <c r="AJ23" s="29"/>
      <c r="AK23" s="29"/>
      <c r="AL23" s="29"/>
      <c r="AM23" s="29"/>
      <c r="AN23" s="29"/>
      <c r="AO23" s="29"/>
      <c r="AP23" s="35" t="s">
        <v>43</v>
      </c>
      <c r="AQ23" s="63" t="str">
        <f ca="1">_xll.DBRA(Server&amp;$AP$21,$AP$34,$AS$18)</f>
        <v>Estimé 1</v>
      </c>
      <c r="AR23" s="29"/>
      <c r="AS23" s="29"/>
      <c r="AT23" s="29"/>
      <c r="AU23" s="29"/>
      <c r="AV23" s="29"/>
    </row>
    <row r="24" spans="2:49" ht="30" hidden="1" customHeight="1" outlineLevel="1" thickBot="1" x14ac:dyDescent="0.3">
      <c r="B24" s="40"/>
      <c r="C24" s="70"/>
      <c r="D24" s="72"/>
      <c r="E24" s="77"/>
      <c r="F24" s="20" t="str">
        <f ca="1">_xll.DBRA(Server&amp;$AP$21,$AP$29,$AS$18)</f>
        <v>Taux d'intégration</v>
      </c>
      <c r="G24" s="33" t="str">
        <f ca="1">_xll.SUBNM(Server&amp;"Integration_Rate","Corp_FR","NO_APP",$AS$18)</f>
        <v>Données de liasse (Tx d'intégration No-APP)</v>
      </c>
      <c r="H24" s="33"/>
      <c r="I24" s="3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6"/>
      <c r="AE24" s="22"/>
      <c r="AF24" s="33"/>
      <c r="AG24" s="33"/>
      <c r="AP24" s="38" t="s">
        <v>36</v>
      </c>
      <c r="AQ24" s="64" t="str">
        <f ca="1">_xll.DBRA(Server&amp;$AP$21,$AP$35,$AS$18)</f>
        <v>Estimé 2</v>
      </c>
      <c r="AR24" s="29"/>
    </row>
    <row r="25" spans="2:49" ht="30" hidden="1" customHeight="1" outlineLevel="1" x14ac:dyDescent="0.35">
      <c r="B25" s="40"/>
      <c r="C25" s="70"/>
      <c r="D25" s="104"/>
      <c r="E25" s="77"/>
      <c r="F25" s="20" t="str">
        <f ca="1">_xll.DBRA(Server&amp;$AP$21,$AP$30,$AS$18)</f>
        <v>Langue</v>
      </c>
      <c r="G25" s="33" t="s">
        <v>46</v>
      </c>
      <c r="H25" s="33"/>
      <c r="I25" s="3"/>
      <c r="L25" s="18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18"/>
      <c r="AC25" s="21"/>
      <c r="AD25" s="16"/>
      <c r="AE25" s="22"/>
      <c r="AF25" s="33"/>
      <c r="AG25" s="33"/>
      <c r="AI25" s="29"/>
      <c r="AJ25" s="29"/>
      <c r="AK25" s="29"/>
      <c r="AL25" s="29"/>
      <c r="AM25" s="29"/>
      <c r="AN25" s="29"/>
      <c r="AO25" s="29"/>
      <c r="AP25" s="105" t="s">
        <v>48</v>
      </c>
      <c r="AQ25" s="103"/>
      <c r="AR25" s="29"/>
      <c r="AS25" s="29"/>
      <c r="AT25" s="29"/>
      <c r="AU25" s="29"/>
      <c r="AV25" s="29"/>
    </row>
    <row r="26" spans="2:49" ht="30" hidden="1" customHeight="1" outlineLevel="1" x14ac:dyDescent="0.35">
      <c r="B26" s="40"/>
      <c r="C26" s="70"/>
      <c r="D26" s="104"/>
      <c r="E26" s="77"/>
      <c r="F26" s="20" t="str">
        <f ca="1">_xll.DBRA(Server&amp;$AP$21,$AP$27,$AS$18)</f>
        <v>Organisation légale</v>
      </c>
      <c r="G26" s="32" t="str">
        <f ca="1">_xll.SUBNM(Server&amp;"Legal_Organization_Corp","Corp_FR",_xll.DBR(Server&amp;"z_Client_Properties","Default_Legal_Organization_Corp",_xll.TM1USER(xServer)),$G$25)</f>
        <v>VTD</v>
      </c>
      <c r="H26" s="33"/>
      <c r="I26" s="3"/>
      <c r="L26" s="18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18"/>
      <c r="AC26" s="21"/>
      <c r="AD26" s="16"/>
      <c r="AE26" s="22"/>
      <c r="AF26" s="33"/>
      <c r="AG26" s="33"/>
      <c r="AI26" s="29"/>
      <c r="AJ26" s="29"/>
      <c r="AK26" s="29"/>
      <c r="AL26" s="29"/>
      <c r="AM26" s="29"/>
      <c r="AN26" s="29"/>
      <c r="AO26" s="29"/>
      <c r="AP26" s="38" t="s">
        <v>16</v>
      </c>
      <c r="AQ26" s="103"/>
      <c r="AR26" s="29"/>
      <c r="AS26" s="29"/>
      <c r="AT26" s="29"/>
      <c r="AU26" s="29"/>
      <c r="AV26" s="29"/>
    </row>
    <row r="27" spans="2:49" ht="30" customHeight="1" collapsed="1" x14ac:dyDescent="0.35">
      <c r="B27" s="40"/>
      <c r="C27" s="70"/>
      <c r="D27" s="104"/>
      <c r="E27" s="77"/>
      <c r="F27" s="20" t="str">
        <f ca="1">_xll.DBRA(Server&amp;$AP$21,$AP$23,$AS$18)</f>
        <v>Période</v>
      </c>
      <c r="G27" s="32" t="str">
        <f ca="1">_xll.SUBNM(Server&amp;"Period","Corp_FR",ActualMonth&amp;"_YTD",$AS$18)</f>
        <v>Cumul Mars 2013</v>
      </c>
      <c r="H27" s="33"/>
      <c r="I27" s="3"/>
      <c r="L27" s="18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18"/>
      <c r="AC27" s="21"/>
      <c r="AD27" s="16"/>
      <c r="AE27" s="22"/>
      <c r="AF27" s="33"/>
      <c r="AG27" s="33"/>
      <c r="AI27" s="29"/>
      <c r="AJ27" s="29"/>
      <c r="AK27" s="29"/>
      <c r="AL27" s="29"/>
      <c r="AM27" s="29"/>
      <c r="AN27" s="29"/>
      <c r="AO27" s="29"/>
      <c r="AP27" s="38" t="s">
        <v>37</v>
      </c>
      <c r="AQ27" s="103"/>
      <c r="AR27" s="29"/>
      <c r="AS27" s="29"/>
      <c r="AT27" s="29"/>
      <c r="AU27" s="29"/>
      <c r="AV27" s="29"/>
    </row>
    <row r="28" spans="2:49" ht="30" customHeight="1" x14ac:dyDescent="0.35">
      <c r="B28" s="40"/>
      <c r="C28" s="70"/>
      <c r="D28" s="72"/>
      <c r="E28" s="77"/>
      <c r="F28" s="20" t="str">
        <f ca="1">_xll.DBRA(Server&amp;$AP$21,$AP$24,$AS$18)</f>
        <v>Organisation managériale</v>
      </c>
      <c r="G28" s="32" t="str">
        <f ca="1">_xll.SUBNM(Server&amp;"Management_Organization_Corp","Corp_FR",_xll.DBR(Server&amp;"z_Client_Properties","Default_Management_Organization_Corp",_xll.TM1USER(xServer)),$G$25)</f>
        <v>VTD</v>
      </c>
      <c r="H28" s="33"/>
      <c r="I28" s="3"/>
      <c r="L28" s="18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18"/>
      <c r="AC28" s="21"/>
      <c r="AD28" s="16"/>
      <c r="AE28" s="22"/>
      <c r="AF28" s="33"/>
      <c r="AG28" s="33"/>
      <c r="AI28" s="29"/>
      <c r="AJ28" s="29"/>
      <c r="AK28" s="29"/>
      <c r="AL28" s="29"/>
      <c r="AM28" s="29"/>
      <c r="AN28" s="29"/>
      <c r="AO28" s="29"/>
      <c r="AP28" s="38" t="s">
        <v>17</v>
      </c>
      <c r="AQ28" s="103"/>
      <c r="AR28" s="29"/>
      <c r="AS28" s="29"/>
      <c r="AT28" s="29"/>
      <c r="AU28" s="29"/>
      <c r="AV28" s="29"/>
    </row>
    <row r="29" spans="2:49" ht="30" customHeight="1" thickBot="1" x14ac:dyDescent="0.4">
      <c r="B29" s="40"/>
      <c r="C29" s="70"/>
      <c r="D29" s="72"/>
      <c r="E29" s="77"/>
      <c r="F29" s="20" t="str">
        <f ca="1">_xll.DBRA(Server&amp;$AP$21,$AP$25,$AS$18)</f>
        <v>Projets</v>
      </c>
      <c r="G29" s="33" t="str">
        <f ca="1">_xll.SUBNM(Server&amp;"Projets","Corp_FR","Tot_proj",$G$25)</f>
        <v>Total Projets</v>
      </c>
      <c r="H29" s="33"/>
      <c r="I29" s="3"/>
      <c r="L29" s="18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18"/>
      <c r="AC29" s="21"/>
      <c r="AD29" s="16"/>
      <c r="AE29" s="22"/>
      <c r="AF29" s="33"/>
      <c r="AG29" s="33"/>
      <c r="AI29" s="29"/>
      <c r="AJ29" s="29"/>
      <c r="AK29" s="29"/>
      <c r="AL29" s="29"/>
      <c r="AM29" s="29"/>
      <c r="AN29" s="29"/>
      <c r="AO29" s="29"/>
      <c r="AP29" s="38" t="s">
        <v>65</v>
      </c>
      <c r="AQ29" s="103"/>
      <c r="AR29" s="29"/>
      <c r="AS29" s="29"/>
      <c r="AT29" s="29"/>
      <c r="AU29" s="29"/>
      <c r="AV29" s="29"/>
    </row>
    <row r="30" spans="2:49" ht="30" customHeight="1" thickBot="1" x14ac:dyDescent="0.3">
      <c r="B30" s="40"/>
      <c r="C30" s="40"/>
      <c r="D30" s="42"/>
      <c r="E30" s="76"/>
      <c r="F30" s="20" t="str">
        <f ca="1">_xll.DBRA(Server&amp;$AP$21,$AP$26,$AS$18)</f>
        <v>Devise</v>
      </c>
      <c r="G30" s="33" t="str">
        <f ca="1">_xll.SUBNM(Server&amp;"Currency","Corp_FR","KEUR",$AS$18)</f>
        <v>K€</v>
      </c>
      <c r="H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168"/>
      <c r="AC30" s="168"/>
      <c r="AD30" s="16"/>
      <c r="AE30" s="22"/>
      <c r="AF30" s="33"/>
      <c r="AG30" s="33"/>
      <c r="AH30" s="239"/>
      <c r="AP30" s="60" t="s">
        <v>39</v>
      </c>
      <c r="AQ30" s="34"/>
      <c r="AR30" s="29"/>
      <c r="AU30" s="236" t="s">
        <v>80</v>
      </c>
      <c r="AV30" s="237"/>
      <c r="AW30" s="238"/>
    </row>
    <row r="31" spans="2:49" ht="30" customHeight="1" thickBot="1" x14ac:dyDescent="0.3">
      <c r="B31" s="40"/>
      <c r="C31" s="40"/>
      <c r="D31" s="167"/>
      <c r="E31" s="76"/>
      <c r="G31" s="18"/>
      <c r="H31" s="33"/>
      <c r="I31" s="241" t="str">
        <f ca="1">_xll.DBRA(Server&amp;$AP$21,$AP$39,$AS$18)</f>
        <v>RESOP</v>
      </c>
      <c r="J31" s="241"/>
      <c r="K31" s="241"/>
      <c r="L31" s="18"/>
      <c r="M31" s="241" t="str">
        <f ca="1">_xll.DBRA(Server&amp;$AP$21,$AP$40,$AS$18)</f>
        <v>Variances</v>
      </c>
      <c r="N31" s="241"/>
      <c r="O31" s="241"/>
      <c r="P31" s="241"/>
      <c r="Q31" s="168"/>
      <c r="R31" s="168"/>
      <c r="S31" s="65"/>
      <c r="T31" s="241" t="str">
        <f ca="1">_xll.DBRA(Server&amp;$AP$21,$AP$42,$AS$18)</f>
        <v>Coûts bruts</v>
      </c>
      <c r="U31" s="241"/>
      <c r="V31" s="241"/>
      <c r="W31" s="65"/>
      <c r="X31" s="241" t="str">
        <f ca="1">_xll.DBRA(Server&amp;$AP$21,$AP$40,$AS$18)</f>
        <v>Variances</v>
      </c>
      <c r="Y31" s="241"/>
      <c r="Z31" s="241"/>
      <c r="AA31" s="241"/>
      <c r="AB31" s="168"/>
      <c r="AC31" s="168"/>
      <c r="AD31" s="16"/>
      <c r="AE31" s="22"/>
      <c r="AF31" s="33"/>
      <c r="AG31" s="33"/>
      <c r="AH31" s="239"/>
      <c r="AI31" s="29"/>
      <c r="AJ31" s="29"/>
      <c r="AK31" s="29"/>
      <c r="AL31" s="29"/>
      <c r="AM31" s="29"/>
      <c r="AN31" s="29"/>
      <c r="AO31" s="29"/>
      <c r="AP31" s="35"/>
      <c r="AQ31" s="103"/>
      <c r="AR31" s="29"/>
      <c r="AS31" s="29"/>
      <c r="AT31" s="29"/>
      <c r="AU31" s="164"/>
      <c r="AV31" s="165"/>
      <c r="AW31" s="166"/>
    </row>
    <row r="32" spans="2:49" ht="30" customHeight="1" thickBot="1" x14ac:dyDescent="0.35">
      <c r="B32" s="40"/>
      <c r="C32" s="43"/>
      <c r="D32" s="42"/>
      <c r="E32" s="76"/>
      <c r="F32" s="3"/>
      <c r="G32" s="3"/>
      <c r="H32" s="3"/>
      <c r="I32" s="242"/>
      <c r="J32" s="242"/>
      <c r="K32" s="242"/>
      <c r="L32" s="18"/>
      <c r="M32" s="242"/>
      <c r="N32" s="242"/>
      <c r="O32" s="242"/>
      <c r="P32" s="242"/>
      <c r="Q32" s="169"/>
      <c r="R32" s="169"/>
      <c r="S32" s="113"/>
      <c r="T32" s="242"/>
      <c r="U32" s="242"/>
      <c r="V32" s="242"/>
      <c r="W32" s="113"/>
      <c r="X32" s="242"/>
      <c r="Y32" s="242"/>
      <c r="Z32" s="242"/>
      <c r="AA32" s="242"/>
      <c r="AB32" s="169"/>
      <c r="AC32" s="169"/>
      <c r="AD32" s="16"/>
      <c r="AH32" s="239"/>
      <c r="AP32" s="35" t="s">
        <v>0</v>
      </c>
      <c r="AQ32" s="34"/>
      <c r="AR32" s="29"/>
      <c r="AU32" s="116" t="s">
        <v>81</v>
      </c>
      <c r="AV32" s="116" t="s">
        <v>82</v>
      </c>
      <c r="AW32" s="116" t="s">
        <v>83</v>
      </c>
    </row>
    <row r="33" spans="2:56" ht="40.5" customHeight="1" thickTop="1" x14ac:dyDescent="0.2">
      <c r="B33" s="40"/>
      <c r="C33" s="40"/>
      <c r="D33" s="44"/>
      <c r="E33" s="2"/>
      <c r="F33" s="110" t="str">
        <f ca="1">_xll.DBRA(Server&amp;$AP$21,$AP$32,$AS$18)</f>
        <v>Phase</v>
      </c>
      <c r="G33" s="33" t="s">
        <v>58</v>
      </c>
      <c r="H33" s="22"/>
      <c r="I33" s="219" t="str">
        <f ca="1">_xll.DBRA(Server&amp;$AP$21,$AP$38,$AS$18)</f>
        <v>Réalisé N-1</v>
      </c>
      <c r="J33" s="220" t="str">
        <f ca="1">_xll.DBRA(Server&amp;"Phase",$J$11,$AS$18)</f>
        <v>Budget</v>
      </c>
      <c r="K33" s="221" t="str">
        <f ca="1">_xll.DBRA(Server&amp;"Phase",$K$11,$AS$18)</f>
        <v>Réalisé</v>
      </c>
      <c r="L33" s="18"/>
      <c r="M33" s="231" t="str">
        <f ca="1">$K$33&amp;" / "&amp;$I$33</f>
        <v>Réalisé / Réalisé N-1</v>
      </c>
      <c r="N33" s="232"/>
      <c r="O33" s="111" t="str">
        <f ca="1">_xll.DBRA(Server&amp;$AP$21,$AP$41,$AS$18)</f>
        <v>Variance</v>
      </c>
      <c r="P33" s="233" t="str">
        <f ca="1">$K$33&amp;" / "&amp;$J$33</f>
        <v>Réalisé / Budget</v>
      </c>
      <c r="Q33" s="232"/>
      <c r="R33" s="115" t="str">
        <f ca="1">_xll.DBRA(Server&amp;$AP$21,$AP$41,$AS$18)</f>
        <v>Variance</v>
      </c>
      <c r="S33" s="140" t="str">
        <f ca="1">_xll.DBRA(Server&amp;"Period",S$12,$AS$18)</f>
        <v/>
      </c>
      <c r="T33" s="218" t="str">
        <f ca="1">_xll.DBRA(Server&amp;$AP$21,$AP$38,$AS$18)</f>
        <v>Réalisé N-1</v>
      </c>
      <c r="U33" s="223" t="str">
        <f ca="1">_xll.DBRA(Server&amp;"Phase",$U$11,$AS$18)</f>
        <v>Budget</v>
      </c>
      <c r="V33" s="222" t="str">
        <f ca="1">_xll.DBRA(Server&amp;"Phase",$V$11,$AS$18)</f>
        <v>Réalisé</v>
      </c>
      <c r="W33" s="140"/>
      <c r="X33" s="231" t="str">
        <f ca="1">$V$33&amp;" / "&amp;$T$33</f>
        <v>Réalisé / Réalisé N-1</v>
      </c>
      <c r="Y33" s="232"/>
      <c r="Z33" s="111" t="str">
        <f ca="1">_xll.DBRA(Server&amp;$AP$21,$AP$41,$AS$18)</f>
        <v>Variance</v>
      </c>
      <c r="AA33" s="233" t="str">
        <f ca="1">$V$33&amp;" / "&amp;$U$33</f>
        <v>Réalisé / Budget</v>
      </c>
      <c r="AB33" s="232"/>
      <c r="AC33" s="115" t="str">
        <f ca="1">_xll.DBRA(Server&amp;$AP$21,$AP$41,$AS$18)</f>
        <v>Variance</v>
      </c>
      <c r="AD33" s="16"/>
      <c r="AE33" s="22"/>
      <c r="AF33" s="22"/>
      <c r="AG33" s="22"/>
      <c r="AH33" s="102"/>
      <c r="AP33" s="61" t="s">
        <v>58</v>
      </c>
      <c r="AQ33" s="34"/>
      <c r="AR33" s="29"/>
      <c r="AW33" s="4"/>
      <c r="AX33" s="4"/>
      <c r="AY33" s="4"/>
      <c r="AZ33" s="4"/>
      <c r="BA33" s="4"/>
      <c r="BB33" s="4"/>
      <c r="BC33" s="4"/>
      <c r="BD33" s="4"/>
    </row>
    <row r="34" spans="2:56" s="5" customFormat="1" ht="18.75" customHeight="1" x14ac:dyDescent="0.25">
      <c r="B34" s="40"/>
      <c r="C34" s="73"/>
      <c r="D34" s="45"/>
      <c r="E34" s="78"/>
      <c r="F34" s="22"/>
      <c r="G34" s="22"/>
      <c r="H34" s="22"/>
      <c r="J34" s="117"/>
      <c r="K34" s="66"/>
      <c r="L34" s="102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2"/>
      <c r="AE34" s="22"/>
      <c r="AF34" s="22"/>
      <c r="AG34" s="22"/>
      <c r="AH34" s="2"/>
      <c r="AI34" s="29"/>
      <c r="AJ34" s="29"/>
      <c r="AK34" s="29"/>
      <c r="AL34" s="29"/>
      <c r="AM34" s="29"/>
      <c r="AN34" s="29"/>
      <c r="AO34" s="29"/>
      <c r="AP34" s="61" t="s">
        <v>59</v>
      </c>
      <c r="AQ34" s="29"/>
      <c r="AR34" s="29"/>
      <c r="AS34" s="29"/>
      <c r="AT34" s="29"/>
      <c r="AU34" s="29"/>
      <c r="AV34" s="29"/>
    </row>
    <row r="35" spans="2:56" s="5" customFormat="1" ht="30" customHeight="1" thickBot="1" x14ac:dyDescent="0.3">
      <c r="B35" s="40"/>
      <c r="C35" s="40"/>
      <c r="D35" s="94"/>
      <c r="E35" s="79"/>
      <c r="F35" s="234" t="str">
        <f ca="1">G28</f>
        <v>VTD</v>
      </c>
      <c r="G35" s="234"/>
      <c r="H35" s="199"/>
      <c r="I35" s="200">
        <f ca="1">_xll.DBRW(Server&amp;Cube1,$G$30,$G$23,$G$24,$G$29,$D$20,$G$26,$G$28,$D$19,I$12,I$11,$I$14)</f>
        <v>3824.8083400000005</v>
      </c>
      <c r="J35" s="200">
        <f ca="1">_xll.DBRW(Server&amp;Cube1,$G$30,$G$23,$G$24,$G$29,$D$20,$G$26,$G$28,$D$19,J$12,J$11,$I$14)</f>
        <v>-564.91212500000029</v>
      </c>
      <c r="K35" s="200">
        <f ca="1">_xll.DBRW(Server&amp;Cube1,$G$30,$G$23,$G$24,$G$29,$D$20,$G$26,$G$28,$D$19,K$12,K$11,$I$14)</f>
        <v>1244.8271700000023</v>
      </c>
      <c r="L35" s="201"/>
      <c r="M35" s="202">
        <f ca="1">$K$35-$I$35</f>
        <v>-2579.9811699999982</v>
      </c>
      <c r="N35" s="170">
        <f ca="1">IF($I$35=0,0,IF($I$35&lt;0,$M$35/-$I$35,$M$35/$I$35))</f>
        <v>-0.67453868028325781</v>
      </c>
      <c r="O35" s="171" t="str">
        <f ca="1">IF(N35&gt;0.01,$AU$32,IF(N35&lt;-0.01,$AV$32,$AW$32))</f>
        <v>î</v>
      </c>
      <c r="P35" s="202">
        <f ca="1">$K$35-$J$35</f>
        <v>1809.7392950000026</v>
      </c>
      <c r="Q35" s="153">
        <f ca="1">IF($J$35=0,0,IF($J$35&lt;0,$P$35/-$J$35,$P$35/$J$35))</f>
        <v>3.2035766536255559</v>
      </c>
      <c r="R35" s="118" t="str">
        <f ca="1">IF(Q35&gt;0.01,$AU$32,IF(Q35&lt;-0.01,$AV$32,$AW$32))</f>
        <v>ì</v>
      </c>
      <c r="S35" s="114"/>
      <c r="T35" s="200">
        <f ca="1">_xll.DBRW(Server&amp;Cube1,$G$30,$G$23,$G$24,$G$29,$D$20,$G$26,$G$28,$D$19,T$12,T$11,$T$14)</f>
        <v>-23282.873549999993</v>
      </c>
      <c r="U35" s="200">
        <f ca="1">_xll.DBRW(Server&amp;Cube1,$G$30,$G$23,$G$24,$G$29,$D$20,$G$26,$G$28,$D$19,U$12,U$11,$T$14)</f>
        <v>-22119.716625000001</v>
      </c>
      <c r="V35" s="200">
        <f ca="1">_xll.DBRW(Server&amp;Cube1,$G$30,$G$23,$G$24,$G$29,$D$20,$G$26,$G$28,$D$19,V$12,V$11,$T$14)</f>
        <v>-12028.108880000002</v>
      </c>
      <c r="W35" s="152"/>
      <c r="X35" s="202">
        <f ca="1">$V$35-$T$35</f>
        <v>11254.764669999991</v>
      </c>
      <c r="Y35" s="170">
        <f ca="1">IF($T$35=0,0,IF($T$35&lt;0,$X$35/-$T$35,$X$35/$T$35))</f>
        <v>0.48339242344079109</v>
      </c>
      <c r="Z35" s="171" t="str">
        <f ca="1">IF(Y35&gt;0.01,$AU$32,IF(Y35&lt;-0.01,$AV$32,$AW$32))</f>
        <v>ì</v>
      </c>
      <c r="AA35" s="202">
        <f ca="1">$V$35-$U$35</f>
        <v>10091.607744999999</v>
      </c>
      <c r="AB35" s="153">
        <f ca="1">IF($U$35=0,0,IF($U$35&lt;0,$AA$35/-$U$35,$AA$35/$U$35))</f>
        <v>0.45622680959639095</v>
      </c>
      <c r="AC35" s="118" t="str">
        <f ca="1">IF(AB35&gt;0.01,$AU$32,IF(AB35&lt;-0.01,$AV$32,$AW$32))</f>
        <v>ì</v>
      </c>
      <c r="AD35" s="2"/>
      <c r="AE35" s="240"/>
      <c r="AF35" s="240"/>
      <c r="AG35" s="90"/>
      <c r="AH35" s="91"/>
      <c r="AI35" s="29"/>
      <c r="AJ35" s="29"/>
      <c r="AK35" s="29"/>
      <c r="AL35" s="29"/>
      <c r="AM35" s="29"/>
      <c r="AN35" s="29"/>
      <c r="AO35" s="29"/>
      <c r="AP35" s="62" t="s">
        <v>60</v>
      </c>
      <c r="AQ35" s="29"/>
      <c r="AR35" s="29"/>
      <c r="AS35" s="29"/>
      <c r="AT35" s="29"/>
      <c r="AU35" s="29"/>
      <c r="AV35" s="29"/>
    </row>
    <row r="36" spans="2:56" s="5" customFormat="1" ht="17.25" hidden="1" customHeight="1" x14ac:dyDescent="0.25">
      <c r="B36" s="40"/>
      <c r="C36" s="40"/>
      <c r="D36" s="46"/>
      <c r="E36" s="80"/>
      <c r="F36" s="74" t="str">
        <f ca="1">"[Management_Organization_Corp].["&amp;$G$28&amp;"].Children"</f>
        <v>[Management_Organization_Corp].[VTD].Children</v>
      </c>
      <c r="G36" s="2"/>
      <c r="H36" s="2"/>
      <c r="I36" s="149"/>
      <c r="J36" s="149"/>
      <c r="K36" s="149"/>
      <c r="L36" s="149"/>
      <c r="M36" s="149"/>
      <c r="N36" s="154"/>
      <c r="O36" s="2"/>
      <c r="P36" s="149"/>
      <c r="Q36" s="154"/>
      <c r="R36" s="2"/>
      <c r="S36" s="2"/>
      <c r="T36" s="149"/>
      <c r="U36" s="149"/>
      <c r="V36" s="149"/>
      <c r="W36" s="149"/>
      <c r="X36" s="149"/>
      <c r="Y36" s="154"/>
      <c r="Z36" s="2"/>
      <c r="AA36" s="149"/>
      <c r="AB36" s="154"/>
      <c r="AC36" s="2"/>
      <c r="AD36" s="2"/>
      <c r="AE36" s="2"/>
      <c r="AF36" s="2"/>
      <c r="AG36" s="2"/>
      <c r="AH36" s="2"/>
      <c r="AI36" s="29"/>
      <c r="AJ36" s="29"/>
      <c r="AK36" s="29"/>
      <c r="AL36" s="29"/>
      <c r="AM36" s="29"/>
      <c r="AN36" s="29"/>
      <c r="AO36" s="29"/>
      <c r="AP36" s="61" t="s">
        <v>61</v>
      </c>
      <c r="AQ36" s="29"/>
      <c r="AR36" s="29"/>
      <c r="AS36" s="29"/>
      <c r="AT36" s="29"/>
      <c r="AU36" s="29"/>
      <c r="AV36" s="29"/>
    </row>
    <row r="37" spans="2:56" s="5" customFormat="1" ht="17.25" hidden="1" customHeight="1" x14ac:dyDescent="0.25">
      <c r="B37" s="40"/>
      <c r="C37" s="40"/>
      <c r="D37" s="46"/>
      <c r="E37" s="80"/>
      <c r="F37" s="2"/>
      <c r="G37" s="2"/>
      <c r="H37" s="2"/>
      <c r="I37" s="149"/>
      <c r="J37" s="149"/>
      <c r="K37" s="149"/>
      <c r="L37" s="149"/>
      <c r="M37" s="149"/>
      <c r="N37" s="154"/>
      <c r="O37" s="2"/>
      <c r="P37" s="149"/>
      <c r="Q37" s="154"/>
      <c r="R37" s="2"/>
      <c r="S37" s="2"/>
      <c r="T37" s="149"/>
      <c r="U37" s="149"/>
      <c r="V37" s="149"/>
      <c r="W37" s="149"/>
      <c r="X37" s="149"/>
      <c r="Y37" s="154"/>
      <c r="Z37" s="2"/>
      <c r="AA37" s="149"/>
      <c r="AB37" s="154"/>
      <c r="AC37" s="2"/>
      <c r="AD37" s="2"/>
      <c r="AE37" s="2"/>
      <c r="AF37" s="2"/>
      <c r="AG37" s="2"/>
      <c r="AH37" s="2"/>
      <c r="AI37" s="29"/>
      <c r="AJ37" s="29"/>
      <c r="AK37" s="29"/>
      <c r="AL37" s="29"/>
      <c r="AM37" s="29"/>
      <c r="AN37" s="29"/>
      <c r="AO37" s="29"/>
      <c r="AP37" s="61" t="s">
        <v>73</v>
      </c>
      <c r="AQ37" s="29"/>
      <c r="AR37" s="29"/>
      <c r="AS37" s="29"/>
      <c r="AT37" s="29"/>
      <c r="AU37" s="29"/>
      <c r="AV37" s="29"/>
    </row>
    <row r="38" spans="2:56" customFormat="1" ht="17.25" hidden="1" customHeight="1" x14ac:dyDescent="0.25">
      <c r="E38" s="81"/>
      <c r="F38" s="83" t="str">
        <f ca="1">_xll.TM1RPTVIEW(Server&amp;"RP_PL_Corp:ARPT3", 0, _xll.TM1RPTTITLE(Server&amp;"Currency",$G$40), _xll.TM1RPTTITLE(Server&amp;"Gaap",$G$41), _xll.TM1RPTTITLE(Server&amp;"Integration_Rate",$G$42), _xll.TM1RPTTITLE(Server&amp;"Projets",$G$43), _xll.TM1RPTTITLE(Server&amp;"Matricules",$G$44), _xll.TM1RPTTITLE(Server&amp;"Legal_Organization_Corp",$G$45), _xll.TM1RPTTITLE(Server&amp;"Tiers",$G$46), TM1RPTFMTRNG,TM1RPTFMTIDCOL)</f>
        <v>tango_core_model:RP_PL_Corp:ARPT3</v>
      </c>
      <c r="I38" s="150"/>
      <c r="J38" s="150"/>
      <c r="K38" s="150"/>
      <c r="L38" s="150"/>
      <c r="M38" s="150"/>
      <c r="N38" s="155"/>
      <c r="P38" s="150"/>
      <c r="Q38" s="155"/>
      <c r="T38" s="150"/>
      <c r="U38" s="150"/>
      <c r="V38" s="150"/>
      <c r="W38" s="150"/>
      <c r="X38" s="150"/>
      <c r="Y38" s="155"/>
      <c r="AA38" s="150"/>
      <c r="AB38" s="155"/>
      <c r="AP38" t="s">
        <v>69</v>
      </c>
    </row>
    <row r="39" spans="2:56" customFormat="1" ht="17.25" hidden="1" customHeight="1" x14ac:dyDescent="0.2">
      <c r="E39" s="81"/>
      <c r="I39" s="150"/>
      <c r="J39" s="150"/>
      <c r="K39" s="150"/>
      <c r="L39" s="150"/>
      <c r="M39" s="150"/>
      <c r="N39" s="155"/>
      <c r="P39" s="150"/>
      <c r="Q39" s="155"/>
      <c r="T39" s="150"/>
      <c r="U39" s="150"/>
      <c r="V39" s="150"/>
      <c r="W39" s="150"/>
      <c r="X39" s="150"/>
      <c r="Y39" s="155"/>
      <c r="AA39" s="150"/>
      <c r="AB39" s="155"/>
      <c r="AP39" s="101" t="s">
        <v>72</v>
      </c>
    </row>
    <row r="40" spans="2:56" customFormat="1" ht="17.25" hidden="1" customHeight="1" x14ac:dyDescent="0.25">
      <c r="E40" s="81"/>
      <c r="F40" s="75" t="s">
        <v>16</v>
      </c>
      <c r="G40" t="str">
        <f ca="1">_xll.SUBNM(Server&amp;"Currency","",$G$30)</f>
        <v>KEUR</v>
      </c>
      <c r="H40" s="57"/>
      <c r="I40" s="151"/>
      <c r="J40" s="151"/>
      <c r="K40" s="151"/>
      <c r="L40" s="151"/>
      <c r="M40" s="151"/>
      <c r="N40" s="156"/>
      <c r="O40" s="57"/>
      <c r="P40" s="151"/>
      <c r="Q40" s="156"/>
      <c r="R40" s="57"/>
      <c r="S40" s="57"/>
      <c r="T40" s="151"/>
      <c r="U40" s="151"/>
      <c r="V40" s="151"/>
      <c r="W40" s="151"/>
      <c r="X40" s="151"/>
      <c r="Y40" s="156"/>
      <c r="Z40" s="57"/>
      <c r="AA40" s="151"/>
      <c r="AB40" s="156"/>
      <c r="AC40" s="57"/>
      <c r="AD40" s="57"/>
      <c r="AE40" s="3"/>
      <c r="AP40" s="112" t="s">
        <v>74</v>
      </c>
    </row>
    <row r="41" spans="2:56" customFormat="1" ht="17.25" hidden="1" customHeight="1" x14ac:dyDescent="0.25">
      <c r="E41" s="81"/>
      <c r="F41" s="75" t="s">
        <v>17</v>
      </c>
      <c r="G41" t="str">
        <f ca="1">_xll.SUBNM(Server&amp;"Gaap","",$G$23)</f>
        <v>Local_Gaap</v>
      </c>
      <c r="H41" s="57"/>
      <c r="I41" s="151"/>
      <c r="J41" s="151"/>
      <c r="K41" s="151"/>
      <c r="L41" s="151"/>
      <c r="M41" s="151"/>
      <c r="N41" s="156"/>
      <c r="O41" s="57"/>
      <c r="P41" s="151"/>
      <c r="Q41" s="156"/>
      <c r="R41" s="57"/>
      <c r="S41" s="57"/>
      <c r="T41" s="151"/>
      <c r="U41" s="151"/>
      <c r="V41" s="151"/>
      <c r="W41" s="151"/>
      <c r="X41" s="151"/>
      <c r="Y41" s="156"/>
      <c r="Z41" s="57"/>
      <c r="AA41" s="151"/>
      <c r="AB41" s="156"/>
      <c r="AC41" s="57"/>
      <c r="AD41" s="57"/>
      <c r="AE41" s="3"/>
      <c r="AP41" s="112" t="s">
        <v>75</v>
      </c>
    </row>
    <row r="42" spans="2:56" customFormat="1" ht="17.25" hidden="1" customHeight="1" x14ac:dyDescent="0.25">
      <c r="E42" s="81"/>
      <c r="F42" s="75" t="s">
        <v>47</v>
      </c>
      <c r="G42" t="str">
        <f ca="1">_xll.SUBNM(Server&amp;"Integration_Rate","",$G$24)</f>
        <v>NO_APP</v>
      </c>
      <c r="H42" s="57"/>
      <c r="I42" s="151"/>
      <c r="J42" s="151"/>
      <c r="K42" s="151"/>
      <c r="L42" s="151"/>
      <c r="M42" s="151"/>
      <c r="N42" s="156"/>
      <c r="O42" s="57"/>
      <c r="P42" s="151"/>
      <c r="Q42" s="156"/>
      <c r="R42" s="57"/>
      <c r="S42" s="57"/>
      <c r="T42" s="151"/>
      <c r="U42" s="151"/>
      <c r="V42" s="151"/>
      <c r="W42" s="151"/>
      <c r="X42" s="151"/>
      <c r="Y42" s="156"/>
      <c r="Z42" s="57"/>
      <c r="AA42" s="151"/>
      <c r="AB42" s="156"/>
      <c r="AC42" s="57"/>
      <c r="AD42" s="57"/>
      <c r="AE42" s="3"/>
      <c r="AP42" t="s">
        <v>76</v>
      </c>
    </row>
    <row r="43" spans="2:56" customFormat="1" ht="17.25" hidden="1" customHeight="1" x14ac:dyDescent="0.25">
      <c r="E43" s="81"/>
      <c r="F43" s="75" t="s">
        <v>48</v>
      </c>
      <c r="G43" t="str">
        <f ca="1">_xll.SUBNM(Server&amp;"Projets","",$G$29)</f>
        <v>Tot_proj</v>
      </c>
      <c r="H43" s="57"/>
      <c r="I43" s="151"/>
      <c r="J43" s="151"/>
      <c r="K43" s="151"/>
      <c r="L43" s="151"/>
      <c r="M43" s="151"/>
      <c r="N43" s="156"/>
      <c r="O43" s="57"/>
      <c r="P43" s="151"/>
      <c r="Q43" s="156"/>
      <c r="R43" s="57"/>
      <c r="S43" s="57"/>
      <c r="T43" s="151"/>
      <c r="U43" s="151"/>
      <c r="V43" s="151"/>
      <c r="W43" s="151"/>
      <c r="X43" s="151"/>
      <c r="Y43" s="156"/>
      <c r="Z43" s="57"/>
      <c r="AA43" s="151"/>
      <c r="AB43" s="156"/>
      <c r="AC43" s="57"/>
      <c r="AD43" s="57"/>
      <c r="AE43" s="3"/>
      <c r="AP43" t="s">
        <v>77</v>
      </c>
    </row>
    <row r="44" spans="2:56" customFormat="1" ht="17.25" hidden="1" customHeight="1" x14ac:dyDescent="0.25">
      <c r="E44" s="81"/>
      <c r="F44" s="75" t="s">
        <v>49</v>
      </c>
      <c r="G44" t="str">
        <f ca="1">_xll.SUBNM(Server&amp;"Matricules","",$D$20)</f>
        <v>VTD</v>
      </c>
      <c r="H44" s="57"/>
      <c r="I44" s="151"/>
      <c r="J44" s="151"/>
      <c r="K44" s="151"/>
      <c r="L44" s="151"/>
      <c r="M44" s="151"/>
      <c r="N44" s="156"/>
      <c r="O44" s="57"/>
      <c r="P44" s="151"/>
      <c r="Q44" s="156"/>
      <c r="R44" s="57"/>
      <c r="S44" s="57"/>
      <c r="T44" s="151"/>
      <c r="U44" s="151"/>
      <c r="V44" s="151"/>
      <c r="W44" s="151"/>
      <c r="X44" s="151"/>
      <c r="Y44" s="156"/>
      <c r="Z44" s="57"/>
      <c r="AA44" s="151"/>
      <c r="AB44" s="156"/>
      <c r="AC44" s="57"/>
      <c r="AD44" s="57"/>
      <c r="AE44" s="3"/>
      <c r="AP44" t="s">
        <v>87</v>
      </c>
    </row>
    <row r="45" spans="2:56" customFormat="1" ht="17.25" hidden="1" customHeight="1" x14ac:dyDescent="0.25">
      <c r="E45" s="81"/>
      <c r="F45" s="75" t="s">
        <v>50</v>
      </c>
      <c r="G45" t="str">
        <f ca="1">_xll.SUBNM(Server&amp;"Legal_Organization_Corp","",$G$26)</f>
        <v>VTD</v>
      </c>
      <c r="H45" s="57"/>
      <c r="I45" s="151"/>
      <c r="J45" s="151"/>
      <c r="K45" s="151"/>
      <c r="L45" s="151"/>
      <c r="M45" s="151"/>
      <c r="N45" s="156"/>
      <c r="O45" s="57"/>
      <c r="P45" s="151"/>
      <c r="Q45" s="156"/>
      <c r="R45" s="57"/>
      <c r="S45" s="57"/>
      <c r="T45" s="151"/>
      <c r="U45" s="151"/>
      <c r="V45" s="151"/>
      <c r="W45" s="151"/>
      <c r="X45" s="151"/>
      <c r="Y45" s="156"/>
      <c r="Z45" s="57"/>
      <c r="AA45" s="151"/>
      <c r="AB45" s="156"/>
      <c r="AC45" s="57"/>
      <c r="AD45" s="57"/>
      <c r="AE45" s="3"/>
    </row>
    <row r="46" spans="2:56" customFormat="1" ht="17.25" hidden="1" customHeight="1" x14ac:dyDescent="0.25">
      <c r="E46" s="81"/>
      <c r="F46" s="75" t="s">
        <v>52</v>
      </c>
      <c r="G46" t="str">
        <f ca="1">_xll.SUBNM(Server&amp;"Tiers","",$D$19)</f>
        <v>Tot_tiers</v>
      </c>
      <c r="H46" s="57"/>
      <c r="I46" s="151"/>
      <c r="J46" s="151"/>
      <c r="K46" s="151"/>
      <c r="L46" s="151"/>
      <c r="M46" s="151"/>
      <c r="N46" s="156"/>
      <c r="O46" s="57"/>
      <c r="P46" s="151"/>
      <c r="Q46" s="156"/>
      <c r="R46" s="57"/>
      <c r="S46" s="57"/>
      <c r="T46" s="151"/>
      <c r="U46" s="151"/>
      <c r="V46" s="151"/>
      <c r="W46" s="151"/>
      <c r="X46" s="151"/>
      <c r="Y46" s="156"/>
      <c r="Z46" s="57"/>
      <c r="AA46" s="151"/>
      <c r="AB46" s="156"/>
      <c r="AC46" s="57"/>
      <c r="AD46" s="57"/>
      <c r="AE46" s="3"/>
    </row>
    <row r="47" spans="2:56" customFormat="1" ht="17.25" hidden="1" customHeight="1" x14ac:dyDescent="0.2">
      <c r="E47" s="81"/>
      <c r="F47" s="15"/>
      <c r="G47" s="29"/>
      <c r="H47" s="57"/>
      <c r="I47" s="151"/>
      <c r="J47" s="151"/>
      <c r="K47" s="151"/>
      <c r="L47" s="151"/>
      <c r="M47" s="151"/>
      <c r="N47" s="156"/>
      <c r="O47" s="57"/>
      <c r="P47" s="151"/>
      <c r="Q47" s="156"/>
      <c r="R47" s="57"/>
      <c r="S47" s="57"/>
      <c r="T47" s="151"/>
      <c r="U47" s="151"/>
      <c r="V47" s="151"/>
      <c r="W47" s="151"/>
      <c r="X47" s="151"/>
      <c r="Y47" s="156"/>
      <c r="Z47" s="57"/>
      <c r="AA47" s="151"/>
      <c r="AB47" s="156"/>
      <c r="AC47" s="57"/>
      <c r="AD47" s="57"/>
      <c r="AE47" s="3"/>
    </row>
    <row r="48" spans="2:56" customFormat="1" ht="17.25" hidden="1" customHeight="1" x14ac:dyDescent="0.25">
      <c r="E48" s="81"/>
      <c r="F48" s="75"/>
      <c r="H48" s="57"/>
      <c r="I48" s="151"/>
      <c r="J48" s="151"/>
      <c r="K48" s="151"/>
      <c r="L48" s="151"/>
      <c r="M48" s="151"/>
      <c r="N48" s="156"/>
      <c r="O48" s="57"/>
      <c r="P48" s="151"/>
      <c r="Q48" s="156"/>
      <c r="R48" s="57"/>
      <c r="S48" s="57"/>
      <c r="T48" s="151"/>
      <c r="U48" s="151"/>
      <c r="V48" s="151"/>
      <c r="W48" s="151"/>
      <c r="X48" s="151"/>
      <c r="Y48" s="156"/>
      <c r="Z48" s="57"/>
      <c r="AA48" s="151"/>
      <c r="AB48" s="156"/>
      <c r="AC48" s="57"/>
      <c r="AD48" s="57"/>
      <c r="AE48" s="3"/>
    </row>
    <row r="49" spans="1:48" customFormat="1" ht="17.25" hidden="1" customHeight="1" x14ac:dyDescent="0.2">
      <c r="E49" s="81"/>
      <c r="I49" s="150"/>
      <c r="J49" s="150"/>
      <c r="K49" s="150"/>
      <c r="L49" s="150"/>
      <c r="M49" s="150"/>
      <c r="N49" s="155"/>
      <c r="P49" s="150"/>
      <c r="Q49" s="155"/>
      <c r="T49" s="150"/>
      <c r="U49" s="150"/>
      <c r="V49" s="150"/>
      <c r="W49" s="150"/>
      <c r="X49" s="150"/>
      <c r="Y49" s="155"/>
      <c r="AA49" s="150"/>
      <c r="AB49" s="155"/>
    </row>
    <row r="50" spans="1:48" customFormat="1" ht="17.25" hidden="1" customHeight="1" x14ac:dyDescent="0.2">
      <c r="E50" s="81"/>
      <c r="I50" s="150"/>
      <c r="J50" s="150"/>
      <c r="K50" s="150"/>
      <c r="L50" s="150"/>
      <c r="M50" s="150"/>
      <c r="N50" s="155"/>
      <c r="P50" s="150"/>
      <c r="Q50" s="155"/>
      <c r="T50" s="150"/>
      <c r="U50" s="150"/>
      <c r="V50" s="150"/>
      <c r="W50" s="150"/>
      <c r="X50" s="150"/>
      <c r="Y50" s="155"/>
      <c r="AA50" s="150"/>
      <c r="AB50" s="155"/>
    </row>
    <row r="51" spans="1:48" customFormat="1" ht="17.25" hidden="1" customHeight="1" x14ac:dyDescent="0.2">
      <c r="E51" s="81"/>
      <c r="I51" s="150"/>
      <c r="J51" s="150"/>
      <c r="K51" s="150"/>
      <c r="L51" s="150"/>
      <c r="M51" s="150"/>
      <c r="N51" s="155"/>
      <c r="P51" s="150"/>
      <c r="Q51" s="155"/>
      <c r="T51" s="150"/>
      <c r="U51" s="150"/>
      <c r="V51" s="150"/>
      <c r="W51" s="150"/>
      <c r="X51" s="150"/>
      <c r="Y51" s="155"/>
      <c r="AA51" s="150"/>
      <c r="AB51" s="155"/>
    </row>
    <row r="52" spans="1:48" customFormat="1" ht="27" customHeight="1" x14ac:dyDescent="0.2">
      <c r="A52">
        <f ca="1">IF(_xll.TM1RPTELISCONSOLIDATED($F$52,$F52),IF(_xll.TM1RPTELLEV($F$52,$F52)&lt;=3,_xll.TM1RPTELLEV($F$52,$F52),"D"),"N")</f>
        <v>0</v>
      </c>
      <c r="F52" s="243" t="str">
        <f ca="1">_xll.TM1RPTROW($F$38,Server&amp;"Management_Organization_Corp","","",$G$25,0,$F$36,,1)</f>
        <v>Fonctions centrales</v>
      </c>
      <c r="G52" s="190"/>
      <c r="H52" s="162"/>
      <c r="I52" s="178">
        <f ca="1">_xll.DBRW(Server&amp;Cube1,$G$30,$G$23,$G$24,$G$29,$D$20,$G$26,$F52,$D$19,I$12,I$11,$I$14)</f>
        <v>-7164.3635786573032</v>
      </c>
      <c r="J52" s="178">
        <f ca="1">_xll.DBRW(Server&amp;Cube1,$G$30,$G$23,$G$24,$G$29,$D$20,$G$26,$F52,$D$19,J$12,J$11,$I$14)</f>
        <v>-9579.6520663715128</v>
      </c>
      <c r="K52" s="178">
        <f ca="1">_xll.DBRW(Server&amp;Cube1,$G$30,$G$23,$G$24,$G$29,$D$20,$G$26,$F52,$D$19,K$12,K$11,$I$14)</f>
        <v>-5182.9820298715103</v>
      </c>
      <c r="L52" s="185"/>
      <c r="M52" s="203">
        <f ca="1">$K52-$I52</f>
        <v>1981.3815487857928</v>
      </c>
      <c r="N52" s="204">
        <f ca="1">IF($I52=0,0,IF($I52&lt;0,$M52/-$I52,$M52/$I52))</f>
        <v>0.27656071987864272</v>
      </c>
      <c r="O52" s="205" t="str">
        <f ca="1">IF(N52&gt;0.01,$AU$32,IF(N52&lt;-0.01,$AV$32,$AW$32))</f>
        <v>ì</v>
      </c>
      <c r="P52" s="203">
        <f ca="1">$K52-$J52</f>
        <v>4396.6700365000024</v>
      </c>
      <c r="Q52" s="179">
        <f ca="1">IF($J52=0,0,IF($J52&lt;0,$P52/-$J52,$P52/$J52))</f>
        <v>0.45895926136337539</v>
      </c>
      <c r="R52" s="139" t="str">
        <f ca="1">IF(Q52&gt;0.01,$AU$32,IF(Q52&lt;-0.01,$AV$32,$AW$32))</f>
        <v>ì</v>
      </c>
      <c r="S52" s="180"/>
      <c r="T52" s="178">
        <f ca="1">_xll.DBRW(Server&amp;Cube1,$G$30,$G$23,$G$24,$G$29,$D$20,$G$26,$F52,$D$19,T$12,T$11,$T$14)</f>
        <v>-8754.3635786573032</v>
      </c>
      <c r="U52" s="178">
        <f ca="1">_xll.DBRW(Server&amp;Cube1,$G$30,$G$23,$G$24,$G$29,$D$20,$G$26,$F52,$D$19,U$12,U$11,$T$14)</f>
        <v>-10549.959566371512</v>
      </c>
      <c r="V52" s="178">
        <f ca="1">_xll.DBRW(Server&amp;Cube1,$G$30,$G$23,$G$24,$G$29,$D$20,$G$26,$F52,$D$19,V$12,V$11,$T$14)</f>
        <v>-5445.381699871511</v>
      </c>
      <c r="W52" s="181"/>
      <c r="X52" s="203">
        <f ca="1">$V52-$T52</f>
        <v>3308.9818787857921</v>
      </c>
      <c r="Y52" s="204">
        <f ca="1">IF($T52=0,0,IF($T52&lt;0,$X52/-$T52,$X52/$T52))</f>
        <v>0.37798086052227975</v>
      </c>
      <c r="Z52" s="205" t="str">
        <f ca="1">IF(Y52&gt;0.01,$AU$32,IF(Y52&lt;-0.01,$AV$32,$AW$32))</f>
        <v>ì</v>
      </c>
      <c r="AA52" s="203">
        <f ca="1">$V52-$U52</f>
        <v>5104.5778665000007</v>
      </c>
      <c r="AB52" s="159">
        <f ca="1">IF($U52=0,0,IF($U52&lt;0,$AA52/-$U52,$AA52/$U52))</f>
        <v>0.48384809765253328</v>
      </c>
      <c r="AC52" s="139" t="str">
        <f ca="1">IF(AB52&gt;0.01,$AU$32,IF(AB52&lt;-0.01,$AV$32,$AW$32))</f>
        <v>ì</v>
      </c>
      <c r="AE52" s="160">
        <f ca="1">_xll.DBRW($F$38,$G$40,$G$41,$G$42,$G$43,$G$44,$G$45,$F52,$G$46,$K$12,$K$11,$I$14)</f>
        <v>-5182.9820298715103</v>
      </c>
      <c r="AF52" s="160">
        <f ca="1">_xll.DBRW($F$38,$G$40,$G$41,$G$42,$G$43,$G$44,$G$45,$F52,$G$46,$J$12,J$11,$I$14)</f>
        <v>-9579.6520663715128</v>
      </c>
      <c r="AG52" s="160">
        <f ca="1">_xll.DBRW($F$38,$G$40,$G$41,$G$42,$G$43,$G$44,$G$45,$F52,$G$46,$V$12,$V$11,$T$14)</f>
        <v>-5445.381699871511</v>
      </c>
      <c r="AH52" s="161">
        <f ca="1">_xll.DBRW($F$38,$G$40,$G$41,$G$42,$G$43,$G$44,$G$45,$F52,$G$46,$U$12,$U$11,$T$14)</f>
        <v>-10549.959566371512</v>
      </c>
      <c r="AP52" s="101"/>
    </row>
    <row r="53" spans="1:48" customFormat="1" ht="27" customHeight="1" x14ac:dyDescent="0.2">
      <c r="A53">
        <f ca="1">IF(_xll.TM1RPTELISCONSOLIDATED($F$52,$F53),IF(_xll.TM1RPTELLEV($F$52,$F53)&lt;=3,_xll.TM1RPTELLEV($F$52,$F53),"D"),"N")</f>
        <v>0</v>
      </c>
      <c r="F53" s="243" t="s">
        <v>103</v>
      </c>
      <c r="G53" s="190"/>
      <c r="H53" s="162"/>
      <c r="I53" s="178">
        <f ca="1">_xll.DBRW(Server&amp;Cube1,$G$30,$G$23,$G$24,$G$29,$D$20,$G$26,$F53,$D$19,I$12,I$11,$I$14)</f>
        <v>-4072.8387170174174</v>
      </c>
      <c r="J53" s="178">
        <f ca="1">_xll.DBRW(Server&amp;Cube1,$G$30,$G$23,$G$24,$G$29,$D$20,$G$26,$F53,$D$19,J$12,J$11,$I$14)</f>
        <v>-6032.8779556267045</v>
      </c>
      <c r="K53" s="178">
        <f ca="1">_xll.DBRW(Server&amp;Cube1,$G$30,$G$23,$G$24,$G$29,$D$20,$G$26,$F53,$D$19,K$12,K$11,$I$14)</f>
        <v>-2640.6421271267041</v>
      </c>
      <c r="L53" s="185"/>
      <c r="M53" s="203">
        <f t="shared" ref="M53:M54" ca="1" si="0">$K53-$I53</f>
        <v>1432.1965898907133</v>
      </c>
      <c r="N53" s="204">
        <f t="shared" ref="N53:N54" ca="1" si="1">IF($I53=0,0,IF($I53&lt;0,$M53/-$I53,$M53/$I53))</f>
        <v>0.35164579041802224</v>
      </c>
      <c r="O53" s="205" t="str">
        <f t="shared" ref="O53:O54" ca="1" si="2">IF(N53&gt;0.01,$AU$32,IF(N53&lt;-0.01,$AV$32,$AW$32))</f>
        <v>ì</v>
      </c>
      <c r="P53" s="203">
        <f t="shared" ref="P53:P54" ca="1" si="3">$K53-$J53</f>
        <v>3392.2358285000005</v>
      </c>
      <c r="Q53" s="179">
        <f t="shared" ref="Q53:Q54" ca="1" si="4">IF($J53=0,0,IF($J53&lt;0,$P53/-$J53,$P53/$J53))</f>
        <v>0.5622914724035073</v>
      </c>
      <c r="R53" s="139" t="str">
        <f t="shared" ref="R53:R54" ca="1" si="5">IF(Q53&gt;0.01,$AU$32,IF(Q53&lt;-0.01,$AV$32,$AW$32))</f>
        <v>ì</v>
      </c>
      <c r="S53" s="180"/>
      <c r="T53" s="178">
        <f ca="1">_xll.DBRW(Server&amp;Cube1,$G$30,$G$23,$G$24,$G$29,$D$20,$G$26,$F53,$D$19,T$12,T$11,$T$14)</f>
        <v>-4159.6137270174167</v>
      </c>
      <c r="U53" s="178">
        <f ca="1">_xll.DBRW(Server&amp;Cube1,$G$30,$G$23,$G$24,$G$29,$D$20,$G$26,$F53,$D$19,U$12,U$11,$T$14)</f>
        <v>-6375.9679556267047</v>
      </c>
      <c r="V53" s="178">
        <f ca="1">_xll.DBRW(Server&amp;Cube1,$G$30,$G$23,$G$24,$G$29,$D$20,$G$26,$F53,$D$19,V$12,V$11,$T$14)</f>
        <v>-2765.2587871267042</v>
      </c>
      <c r="W53" s="181"/>
      <c r="X53" s="203">
        <f t="shared" ref="X53:X54" ca="1" si="6">$V53-$T53</f>
        <v>1394.3549398907126</v>
      </c>
      <c r="Y53" s="204">
        <f t="shared" ref="Y53:Y54" ca="1" si="7">IF($T53=0,0,IF($T53&lt;0,$X53/-$T53,$X53/$T53))</f>
        <v>0.33521260179379975</v>
      </c>
      <c r="Z53" s="205" t="str">
        <f t="shared" ref="Z53:Z54" ca="1" si="8">IF(Y53&gt;0.01,$AU$32,IF(Y53&lt;-0.01,$AV$32,$AW$32))</f>
        <v>ì</v>
      </c>
      <c r="AA53" s="203">
        <f t="shared" ref="AA53:AA54" ca="1" si="9">$V53-$U53</f>
        <v>3610.7091685000005</v>
      </c>
      <c r="AB53" s="159">
        <f t="shared" ref="AB53:AB54" ca="1" si="10">IF($U53=0,0,IF($U53&lt;0,$AA53/-$U53,$AA53/$U53))</f>
        <v>0.56629976713004004</v>
      </c>
      <c r="AC53" s="139" t="str">
        <f t="shared" ref="AC53:AC54" ca="1" si="11">IF(AB53&gt;0.01,$AU$32,IF(AB53&lt;-0.01,$AV$32,$AW$32))</f>
        <v>ì</v>
      </c>
      <c r="AE53" s="160">
        <f ca="1">_xll.DBRW($F$38,$G$40,$G$41,$G$42,$G$43,$G$44,$G$45,$F53,$G$46,$K$12,$K$11,$I$14)</f>
        <v>-2640.6421271267041</v>
      </c>
      <c r="AF53" s="160">
        <f ca="1">_xll.DBRW($F$38,$G$40,$G$41,$G$42,$G$43,$G$44,$G$45,$F53,$G$46,$J$12,J$11,$I$14)</f>
        <v>-6032.8779556267045</v>
      </c>
      <c r="AG53" s="160">
        <f ca="1">_xll.DBRW($F$38,$G$40,$G$41,$G$42,$G$43,$G$44,$G$45,$F53,$G$46,$V$12,$V$11,$T$14)</f>
        <v>-2765.2587871267042</v>
      </c>
      <c r="AH53" s="161">
        <f ca="1">_xll.DBRW($F$38,$G$40,$G$41,$G$42,$G$43,$G$44,$G$45,$F53,$G$46,$U$12,$U$11,$T$14)</f>
        <v>-6375.9679556267047</v>
      </c>
      <c r="AP53" s="101"/>
    </row>
    <row r="54" spans="1:48" customFormat="1" ht="27" customHeight="1" x14ac:dyDescent="0.2">
      <c r="A54">
        <f ca="1">IF(_xll.TM1RPTELISCONSOLIDATED($F$52,$F54),IF(_xll.TM1RPTELLEV($F$52,$F54)&lt;=3,_xll.TM1RPTELLEV($F$52,$F54),"D"),"N")</f>
        <v>0</v>
      </c>
      <c r="F54" s="243" t="s">
        <v>104</v>
      </c>
      <c r="G54" s="190"/>
      <c r="H54" s="162"/>
      <c r="I54" s="178">
        <f ca="1">_xll.DBRW(Server&amp;Cube1,$G$30,$G$23,$G$24,$G$29,$D$20,$G$26,$F54,$D$19,I$12,I$11,$I$14)</f>
        <v>15062.01063567472</v>
      </c>
      <c r="J54" s="178">
        <f ca="1">_xll.DBRW(Server&amp;Cube1,$G$30,$G$23,$G$24,$G$29,$D$20,$G$26,$F54,$D$19,J$12,J$11,$I$14)</f>
        <v>15047.617896998216</v>
      </c>
      <c r="K54" s="178">
        <f ca="1">_xll.DBRW(Server&amp;Cube1,$G$30,$G$23,$G$24,$G$29,$D$20,$G$26,$F54,$D$19,K$12,K$11,$I$14)</f>
        <v>9068.4513269982162</v>
      </c>
      <c r="L54" s="185"/>
      <c r="M54" s="203">
        <f t="shared" ca="1" si="0"/>
        <v>-5993.5593086765039</v>
      </c>
      <c r="N54" s="204">
        <f t="shared" ca="1" si="1"/>
        <v>-0.39792557936990297</v>
      </c>
      <c r="O54" s="205" t="str">
        <f t="shared" ca="1" si="2"/>
        <v>î</v>
      </c>
      <c r="P54" s="203">
        <f t="shared" ca="1" si="3"/>
        <v>-5979.1665699999994</v>
      </c>
      <c r="Q54" s="179">
        <f t="shared" ca="1" si="4"/>
        <v>-0.39734970750372106</v>
      </c>
      <c r="R54" s="139" t="str">
        <f t="shared" ca="1" si="5"/>
        <v>î</v>
      </c>
      <c r="S54" s="180"/>
      <c r="T54" s="178">
        <f ca="1">_xll.DBRW(Server&amp;Cube1,$G$30,$G$23,$G$24,$G$29,$D$20,$G$26,$F54,$D$19,T$12,T$11,$T$14)</f>
        <v>-10368.896244325282</v>
      </c>
      <c r="U54" s="178">
        <f ca="1">_xll.DBRW(Server&amp;Cube1,$G$30,$G$23,$G$24,$G$29,$D$20,$G$26,$F54,$D$19,U$12,U$11,$T$14)</f>
        <v>-5193.7891030017845</v>
      </c>
      <c r="V54" s="178">
        <f ca="1">_xll.DBRW(Server&amp;Cube1,$G$30,$G$23,$G$24,$G$29,$D$20,$G$26,$F54,$D$19,V$12,V$11,$T$14)</f>
        <v>-3817.468393001785</v>
      </c>
      <c r="W54" s="181"/>
      <c r="X54" s="203">
        <f t="shared" ca="1" si="6"/>
        <v>6551.4278513234967</v>
      </c>
      <c r="Y54" s="204">
        <f t="shared" ca="1" si="7"/>
        <v>0.63183464246823573</v>
      </c>
      <c r="Z54" s="205" t="str">
        <f t="shared" ca="1" si="8"/>
        <v>ì</v>
      </c>
      <c r="AA54" s="203">
        <f t="shared" ca="1" si="9"/>
        <v>1376.3207099999995</v>
      </c>
      <c r="AB54" s="159">
        <f t="shared" ca="1" si="10"/>
        <v>0.26499356880019365</v>
      </c>
      <c r="AC54" s="139" t="str">
        <f t="shared" ca="1" si="11"/>
        <v>ì</v>
      </c>
      <c r="AE54" s="160">
        <f ca="1">_xll.DBRW($F$38,$G$40,$G$41,$G$42,$G$43,$G$44,$G$45,$F54,$G$46,$K$12,$K$11,$I$14)</f>
        <v>9068.4513269982162</v>
      </c>
      <c r="AF54" s="160">
        <f ca="1">_xll.DBRW($F$38,$G$40,$G$41,$G$42,$G$43,$G$44,$G$45,$F54,$G$46,$J$12,J$11,$I$14)</f>
        <v>15047.617896998216</v>
      </c>
      <c r="AG54" s="160">
        <f ca="1">_xll.DBRW($F$38,$G$40,$G$41,$G$42,$G$43,$G$44,$G$45,$F54,$G$46,$V$12,$V$11,$T$14)</f>
        <v>-3817.468393001785</v>
      </c>
      <c r="AH54" s="161">
        <f ca="1">_xll.DBRW($F$38,$G$40,$G$41,$G$42,$G$43,$G$44,$G$45,$F54,$G$46,$U$12,$U$11,$T$14)</f>
        <v>-5193.7891030017845</v>
      </c>
      <c r="AP54" s="101"/>
    </row>
    <row r="55" spans="1:48" s="5" customFormat="1" ht="17.25" hidden="1" customHeight="1" x14ac:dyDescent="0.25">
      <c r="B55" s="40"/>
      <c r="C55" s="40"/>
      <c r="D55" s="46"/>
      <c r="E55" s="80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149"/>
      <c r="AB55" s="2"/>
      <c r="AC55" s="2"/>
      <c r="AD55" s="2"/>
      <c r="AI55" s="29"/>
      <c r="AJ55" s="29"/>
      <c r="AK55" s="29"/>
      <c r="AL55" s="29"/>
      <c r="AM55" s="29"/>
      <c r="AN55" s="29"/>
      <c r="AO55" s="29"/>
      <c r="AP55" s="16"/>
      <c r="AQ55" s="29"/>
      <c r="AR55" s="29"/>
      <c r="AS55" s="29"/>
      <c r="AT55" s="29"/>
      <c r="AU55" s="29"/>
      <c r="AV55" s="29"/>
    </row>
    <row r="56" spans="1:48" s="5" customFormat="1" ht="17.25" hidden="1" customHeight="1" x14ac:dyDescent="0.25">
      <c r="B56" s="40"/>
      <c r="C56" s="40"/>
      <c r="D56" s="46"/>
      <c r="E56" s="80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149"/>
      <c r="AB56" s="2"/>
      <c r="AC56" s="2"/>
      <c r="AD56" s="2"/>
      <c r="AI56" s="29"/>
      <c r="AJ56" s="29"/>
      <c r="AK56" s="29"/>
      <c r="AL56" s="29"/>
      <c r="AM56" s="29"/>
      <c r="AN56" s="29"/>
      <c r="AO56" s="29"/>
      <c r="AP56" s="16"/>
      <c r="AQ56" s="29"/>
      <c r="AR56" s="29"/>
      <c r="AS56" s="29"/>
      <c r="AT56" s="29"/>
      <c r="AU56" s="29"/>
      <c r="AV56" s="29"/>
    </row>
    <row r="57" spans="1:48" s="5" customFormat="1" ht="27" customHeight="1" x14ac:dyDescent="0.25">
      <c r="B57" s="40"/>
      <c r="C57" s="40"/>
      <c r="D57" s="119" t="s">
        <v>84</v>
      </c>
      <c r="E57" s="80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I57" s="29"/>
      <c r="AJ57" s="29"/>
      <c r="AK57" s="29"/>
      <c r="AL57" s="29"/>
      <c r="AM57" s="29"/>
      <c r="AN57" s="29"/>
      <c r="AO57" s="29"/>
      <c r="AP57" s="16"/>
      <c r="AQ57" s="29"/>
      <c r="AR57" s="29"/>
      <c r="AS57" s="29"/>
      <c r="AT57" s="29"/>
      <c r="AU57" s="29"/>
      <c r="AV57" s="29"/>
    </row>
    <row r="58" spans="1:48" s="5" customFormat="1" ht="27" customHeight="1" thickBot="1" x14ac:dyDescent="0.35">
      <c r="B58" s="40"/>
      <c r="C58" s="40"/>
      <c r="D58" s="41" t="s">
        <v>10</v>
      </c>
      <c r="E58" s="80"/>
      <c r="F58" s="6" t="str">
        <f ca="1">_xll.DBRA(Server&amp;$AP$21,$D$58,$AS$18)</f>
        <v>Commentaires</v>
      </c>
      <c r="G58" s="95"/>
      <c r="H58" s="95"/>
      <c r="I58" s="95"/>
      <c r="J58" s="95"/>
      <c r="K58" s="96"/>
      <c r="L58" s="97"/>
      <c r="M58" s="97"/>
      <c r="N58" s="98"/>
      <c r="O58" s="99"/>
      <c r="P58" s="99"/>
      <c r="Q58" s="99"/>
      <c r="R58" s="100"/>
      <c r="S58" s="100"/>
      <c r="T58" s="96"/>
      <c r="U58" s="96"/>
      <c r="V58" s="96"/>
      <c r="W58" s="96"/>
      <c r="X58" s="96"/>
      <c r="Y58" s="96"/>
      <c r="Z58" s="96"/>
      <c r="AA58" s="96"/>
      <c r="AB58" s="96"/>
      <c r="AC58" s="96"/>
      <c r="AD58" s="2"/>
      <c r="AI58" s="29"/>
      <c r="AJ58" s="29"/>
      <c r="AK58" s="29"/>
      <c r="AL58" s="29"/>
      <c r="AM58" s="29"/>
      <c r="AN58" s="29"/>
      <c r="AO58" s="29"/>
      <c r="AP58" s="16"/>
      <c r="AQ58" s="29"/>
      <c r="AR58" s="29"/>
      <c r="AS58" s="29"/>
      <c r="AT58" s="29"/>
      <c r="AU58" s="29"/>
      <c r="AV58" s="29"/>
    </row>
    <row r="59" spans="1:48" s="5" customFormat="1" ht="27" customHeight="1" x14ac:dyDescent="0.25">
      <c r="B59" s="40"/>
      <c r="C59" s="40"/>
      <c r="D59" s="41" t="s">
        <v>30</v>
      </c>
      <c r="E59" s="80"/>
      <c r="F59" s="229" t="str">
        <f ca="1">_xll.DBRW(Server&amp;Cube2,$G$23,$G$24,$G$29,$G$26,$G$28,$D$19,$G$27,$O$11,$O$12,$D$57,$D$59)</f>
        <v/>
      </c>
      <c r="G59" s="230"/>
      <c r="H59" s="230"/>
      <c r="I59" s="230"/>
      <c r="J59" s="230"/>
      <c r="K59" s="230"/>
      <c r="L59" s="230"/>
      <c r="M59" s="230"/>
      <c r="N59" s="230"/>
      <c r="O59" s="230"/>
      <c r="P59" s="230"/>
      <c r="Q59" s="230"/>
      <c r="R59" s="230"/>
      <c r="S59" s="230"/>
      <c r="T59" s="230"/>
      <c r="U59" s="230"/>
      <c r="V59" s="230"/>
      <c r="W59" s="230"/>
      <c r="X59" s="230"/>
      <c r="Y59" s="230"/>
      <c r="Z59" s="230"/>
      <c r="AA59" s="230"/>
      <c r="AB59" s="172"/>
      <c r="AC59" s="173"/>
      <c r="AD59" s="2"/>
      <c r="AI59" s="29"/>
      <c r="AJ59" s="29"/>
      <c r="AK59" s="29"/>
      <c r="AL59" s="29"/>
      <c r="AM59" s="29"/>
      <c r="AN59" s="29"/>
      <c r="AO59" s="29"/>
      <c r="AP59" s="16"/>
      <c r="AQ59" s="29"/>
      <c r="AR59" s="29"/>
      <c r="AS59" s="29"/>
      <c r="AT59" s="29"/>
      <c r="AU59" s="29"/>
      <c r="AV59" s="29"/>
    </row>
    <row r="60" spans="1:48" s="5" customFormat="1" ht="27" customHeight="1" x14ac:dyDescent="0.25">
      <c r="B60" s="40"/>
      <c r="C60" s="40"/>
      <c r="D60" s="41" t="s">
        <v>31</v>
      </c>
      <c r="E60" s="80"/>
      <c r="F60" s="225" t="str">
        <f ca="1">_xll.DBRW(Server&amp;Cube2,$G$23,$G$24,$G$29,$G$26,$G$28,$D$19,$G$27,$O$11,$O$12,$D$57,$D$60)</f>
        <v/>
      </c>
      <c r="G60" s="226"/>
      <c r="H60" s="226"/>
      <c r="I60" s="226"/>
      <c r="J60" s="226"/>
      <c r="K60" s="226"/>
      <c r="L60" s="226"/>
      <c r="M60" s="226"/>
      <c r="N60" s="226"/>
      <c r="O60" s="226"/>
      <c r="P60" s="226"/>
      <c r="Q60" s="226"/>
      <c r="R60" s="226"/>
      <c r="S60" s="226"/>
      <c r="T60" s="226"/>
      <c r="U60" s="226"/>
      <c r="V60" s="226"/>
      <c r="W60" s="226"/>
      <c r="X60" s="226"/>
      <c r="Y60" s="226"/>
      <c r="Z60" s="226"/>
      <c r="AA60" s="226"/>
      <c r="AB60" s="174"/>
      <c r="AC60" s="175"/>
      <c r="AD60" s="2"/>
      <c r="AI60" s="29"/>
      <c r="AJ60" s="29"/>
      <c r="AK60" s="29"/>
      <c r="AL60" s="29"/>
      <c r="AM60" s="29"/>
      <c r="AN60" s="29"/>
      <c r="AO60" s="29"/>
      <c r="AP60" s="16"/>
      <c r="AQ60" s="29"/>
      <c r="AR60" s="29"/>
      <c r="AS60" s="29"/>
      <c r="AT60" s="29"/>
      <c r="AU60" s="29"/>
      <c r="AV60" s="29"/>
    </row>
    <row r="61" spans="1:48" s="5" customFormat="1" ht="27" customHeight="1" x14ac:dyDescent="0.25">
      <c r="B61" s="40"/>
      <c r="C61" s="40"/>
      <c r="D61" s="41" t="s">
        <v>32</v>
      </c>
      <c r="E61" s="80"/>
      <c r="F61" s="225" t="str">
        <f ca="1">_xll.DBRW(Server&amp;Cube2,$G$23,$G$24,$G$29,$G$26,$G$28,$D$19,$G$27,$O$11,$O$12,$D$57,$D$61)</f>
        <v/>
      </c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6"/>
      <c r="S61" s="226"/>
      <c r="T61" s="226"/>
      <c r="U61" s="226"/>
      <c r="V61" s="226"/>
      <c r="W61" s="226"/>
      <c r="X61" s="226"/>
      <c r="Y61" s="226"/>
      <c r="Z61" s="226"/>
      <c r="AA61" s="226"/>
      <c r="AB61" s="174"/>
      <c r="AC61" s="175"/>
      <c r="AD61" s="2"/>
      <c r="AI61" s="29"/>
      <c r="AJ61" s="29"/>
      <c r="AK61" s="29"/>
      <c r="AL61" s="29"/>
      <c r="AM61" s="29"/>
      <c r="AN61" s="29"/>
      <c r="AO61" s="29"/>
      <c r="AP61" s="16"/>
      <c r="AQ61" s="29"/>
      <c r="AR61" s="29"/>
      <c r="AS61" s="29"/>
      <c r="AT61" s="29"/>
      <c r="AU61" s="29"/>
      <c r="AV61" s="29"/>
    </row>
    <row r="62" spans="1:48" s="5" customFormat="1" ht="27" customHeight="1" thickBot="1" x14ac:dyDescent="0.3">
      <c r="B62" s="40"/>
      <c r="C62" s="40"/>
      <c r="D62" s="41" t="s">
        <v>33</v>
      </c>
      <c r="E62" s="80"/>
      <c r="F62" s="227" t="str">
        <f ca="1">_xll.DBRW(Server&amp;Cube2,$G$23,$G$24,$G$29,$G$26,$G$28,$D$19,$G$27,$O$11,$O$12,$D$57,$D$62)</f>
        <v/>
      </c>
      <c r="G62" s="228"/>
      <c r="H62" s="228"/>
      <c r="I62" s="228"/>
      <c r="J62" s="228"/>
      <c r="K62" s="228"/>
      <c r="L62" s="228"/>
      <c r="M62" s="228"/>
      <c r="N62" s="228"/>
      <c r="O62" s="228"/>
      <c r="P62" s="228"/>
      <c r="Q62" s="228"/>
      <c r="R62" s="228"/>
      <c r="S62" s="228"/>
      <c r="T62" s="228"/>
      <c r="U62" s="228"/>
      <c r="V62" s="228"/>
      <c r="W62" s="228"/>
      <c r="X62" s="228"/>
      <c r="Y62" s="228"/>
      <c r="Z62" s="228"/>
      <c r="AA62" s="228"/>
      <c r="AB62" s="176"/>
      <c r="AC62" s="177"/>
      <c r="AD62" s="2"/>
      <c r="AI62" s="29"/>
      <c r="AJ62" s="29"/>
      <c r="AK62" s="29"/>
      <c r="AL62" s="29"/>
      <c r="AM62" s="29"/>
      <c r="AN62" s="29"/>
      <c r="AO62" s="29"/>
      <c r="AP62" s="16"/>
      <c r="AQ62" s="29"/>
      <c r="AR62" s="29"/>
      <c r="AS62" s="29"/>
      <c r="AT62" s="29"/>
      <c r="AU62" s="29"/>
      <c r="AV62" s="29"/>
    </row>
    <row r="63" spans="1:48" s="5" customFormat="1" ht="17.25" customHeight="1" x14ac:dyDescent="0.25">
      <c r="B63" s="40"/>
      <c r="C63" s="40"/>
      <c r="D63" s="46"/>
      <c r="E63" s="80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I63" s="29"/>
      <c r="AJ63" s="29"/>
      <c r="AK63" s="29"/>
      <c r="AL63" s="29"/>
      <c r="AM63" s="29"/>
      <c r="AN63" s="29"/>
      <c r="AO63" s="29"/>
      <c r="AP63" s="16"/>
      <c r="AQ63" s="29"/>
      <c r="AR63" s="130" t="s">
        <v>86</v>
      </c>
      <c r="AS63" s="96"/>
      <c r="AT63" s="131" t="str">
        <f ca="1">IF(RIGHT(_xll.SUBNM(Server&amp;"Period","",$G$27,""),3)="YTD","Yes","No")</f>
        <v>Yes</v>
      </c>
      <c r="AU63" s="29"/>
      <c r="AV63" s="29"/>
    </row>
    <row r="64" spans="1:48" s="5" customFormat="1" ht="17.25" customHeight="1" x14ac:dyDescent="0.25">
      <c r="B64" s="40"/>
      <c r="C64" s="40"/>
      <c r="D64" s="46"/>
      <c r="E64" s="80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I64" s="29"/>
      <c r="AJ64" s="29"/>
      <c r="AK64" s="29"/>
      <c r="AL64" s="29"/>
      <c r="AM64" s="29"/>
      <c r="AN64" s="29"/>
      <c r="AO64" s="29"/>
      <c r="AP64" s="16"/>
      <c r="AQ64" s="29"/>
      <c r="AR64" s="29"/>
      <c r="AT64" s="29"/>
      <c r="AU64" s="29"/>
      <c r="AV64" s="29"/>
    </row>
    <row r="65" spans="1:55" s="5" customFormat="1" ht="17.25" customHeight="1" x14ac:dyDescent="0.25">
      <c r="B65" s="40"/>
      <c r="C65" s="40"/>
      <c r="D65" s="46"/>
      <c r="E65" s="80"/>
      <c r="F65" s="121"/>
      <c r="G65" s="121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2"/>
      <c r="AI65" s="29"/>
      <c r="AJ65" s="29"/>
      <c r="AK65" s="29"/>
      <c r="AL65" s="29"/>
      <c r="AM65" s="29"/>
      <c r="AN65" s="29"/>
      <c r="AO65" s="29"/>
      <c r="AP65" s="16"/>
      <c r="AQ65" s="29"/>
      <c r="AR65" s="29"/>
      <c r="AS65" s="134" t="s">
        <v>97</v>
      </c>
      <c r="AT65" s="29"/>
      <c r="AU65" s="29"/>
      <c r="AV65" s="29"/>
    </row>
    <row r="66" spans="1:55" s="5" customFormat="1" ht="17.25" customHeight="1" x14ac:dyDescent="0.25">
      <c r="B66" s="40"/>
      <c r="C66" s="40"/>
      <c r="D66" s="46"/>
      <c r="E66" s="80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2"/>
      <c r="AI66" s="29"/>
      <c r="AJ66" s="29"/>
      <c r="AK66" s="29"/>
      <c r="AL66" s="29"/>
      <c r="AM66" s="29"/>
      <c r="AN66" s="29"/>
      <c r="AO66" s="29"/>
      <c r="AP66" s="16"/>
      <c r="AQ66" s="126" t="str">
        <f ca="1">IF($AT$63="No",_xll.DBRA(Server&amp;$AP$21,$AP$39,$AS$18),_xll.DBRA(Server&amp;$AP$21,$AP$39,$AS$18)&amp; " ("&amp;_xll.DBRA(Server&amp;$AP$21,$AP$44,$AS$18)&amp;")")</f>
        <v>RESOP (Cumulé)</v>
      </c>
      <c r="AR66" s="29"/>
      <c r="AS66" s="132" t="str">
        <f ca="1">_xll.DBRA(Server&amp;$AS$65,AS$67,$G$25)</f>
        <v>Direction Générale</v>
      </c>
      <c r="AT66" s="132" t="str">
        <f ca="1">_xll.DBRA(Server&amp;$AS$65,AT$67,$G$25)</f>
        <v>Direction Performance et Commerciale</v>
      </c>
      <c r="AU66" s="132" t="str">
        <f ca="1">_xll.DBRA(Server&amp;$AS$65,AU$67,$G$25)</f>
        <v>Direction Financière</v>
      </c>
      <c r="AV66" s="132" t="str">
        <f ca="1">_xll.DBRA(Server&amp;$AS$65,AV$67,$G$25)</f>
        <v>Direction Système d'information</v>
      </c>
      <c r="AW66" s="132" t="str">
        <f ca="1">_xll.DBRA(Server&amp;$AS$65,AW$67,$G$25)</f>
        <v>Direction Ressources Humaines</v>
      </c>
      <c r="AX66" s="132" t="str">
        <f ca="1">_xll.DBRA(Server&amp;$AS$65,AX$67,$G$25)</f>
        <v>Direction Juridique</v>
      </c>
      <c r="AY66" s="132" t="str">
        <f ca="1">_xll.DBRA(Server&amp;$AS$65,AY$67,$G$25)</f>
        <v>SG - Communication</v>
      </c>
      <c r="AZ66" s="132" t="str">
        <f ca="1">_xll.DBRA(Server&amp;$AS$65,AZ$67,$G$25)</f>
        <v>Direction Innovation et Stratégie</v>
      </c>
      <c r="BA66" s="132" t="str">
        <f ca="1">_xll.DBRA(Server&amp;$AS$65,BA$67,$G$25)</f>
        <v>Direction Déléguée Rail - Grand Paris</v>
      </c>
    </row>
    <row r="67" spans="1:55" s="5" customFormat="1" ht="17.25" customHeight="1" x14ac:dyDescent="0.25">
      <c r="B67" s="40"/>
      <c r="C67" s="40"/>
      <c r="D67" s="46"/>
      <c r="E67" s="80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2"/>
      <c r="AI67" s="29"/>
      <c r="AJ67" s="29"/>
      <c r="AK67" s="29"/>
      <c r="AL67" s="29"/>
      <c r="AM67" s="29"/>
      <c r="AN67" s="29"/>
      <c r="AO67" s="29"/>
      <c r="AP67" s="29"/>
      <c r="AQ67" s="126" t="str">
        <f ca="1">IF($AT$63="No",_xll.DBRA(Server&amp;$H$14,$AR67,$G$25),_xll.DBRA(Server&amp;$H$14,$AR67,$G$25)&amp; " ("&amp;_xll.DBRA(Server&amp;$AP$21,$AP$44,$AS$18)&amp;")")</f>
        <v>RESULTAT OPERATIONNEL APRES MF (Cumulé)</v>
      </c>
      <c r="AR67" s="127" t="s">
        <v>71</v>
      </c>
      <c r="AS67" s="30" t="s">
        <v>89</v>
      </c>
      <c r="AT67" s="30" t="s">
        <v>90</v>
      </c>
      <c r="AU67" s="30" t="s">
        <v>91</v>
      </c>
      <c r="AV67" s="30" t="s">
        <v>92</v>
      </c>
      <c r="AW67" s="5" t="s">
        <v>93</v>
      </c>
      <c r="AX67" s="5" t="s">
        <v>94</v>
      </c>
      <c r="AY67" s="5" t="str">
        <f ca="1">"4310"</f>
        <v>4310</v>
      </c>
      <c r="AZ67" s="5" t="s">
        <v>95</v>
      </c>
      <c r="BA67" s="5" t="s">
        <v>96</v>
      </c>
      <c r="BB67" s="133"/>
      <c r="BC67" s="133"/>
    </row>
    <row r="68" spans="1:55" s="5" customFormat="1" ht="17.25" customHeight="1" x14ac:dyDescent="0.25">
      <c r="B68" s="40"/>
      <c r="C68" s="40"/>
      <c r="D68" s="46"/>
      <c r="E68" s="80"/>
      <c r="F68" s="124"/>
      <c r="G68" s="124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2"/>
      <c r="AI68" s="29"/>
      <c r="AJ68" s="29"/>
      <c r="AK68" s="29"/>
      <c r="AL68" s="29"/>
      <c r="AM68" s="29"/>
      <c r="AN68" s="29"/>
      <c r="AO68" s="29"/>
      <c r="AP68" s="29"/>
      <c r="AQ68" s="128" t="str">
        <f ca="1">_xll.DBRA(Server&amp;$H$11,$AR$68,$AS$18)</f>
        <v>Réalisé</v>
      </c>
      <c r="AR68" s="3" t="s">
        <v>62</v>
      </c>
      <c r="AS68" s="135">
        <f ca="1">_xll.DBRW(Server&amp;Cube1,$G$30,$G$23,$G$24,$G$29,$D$20,$G$26,AS$67,$D$19,$K$12,$AR68,$AR$67)</f>
        <v>-241.52604910878381</v>
      </c>
      <c r="AT68" s="135">
        <f ca="1">_xll.DBRW(Server&amp;Cube1,$G$30,$G$23,$G$24,$G$29,$D$20,$G$26,AT$67,$D$19,$K$12,$AR68,$AR$67)</f>
        <v>-1240.8081652852932</v>
      </c>
      <c r="AU68" s="135">
        <f ca="1">_xll.DBRW(Server&amp;Cube1,$G$30,$G$23,$G$24,$G$29,$D$20,$G$26,AU$67,$D$19,$K$12,$AR68,$AR$67)</f>
        <v>-1813.3822600544597</v>
      </c>
      <c r="AV68" s="135">
        <f ca="1">_xll.DBRW(Server&amp;Cube1,$G$30,$G$23,$G$24,$G$29,$D$20,$G$26,AV$67,$D$19,$K$12,$AR68,$AR$67)</f>
        <v>-75.914268886813687</v>
      </c>
      <c r="AW68" s="135">
        <f ca="1">_xll.DBRW(Server&amp;Cube1,$G$30,$G$23,$G$24,$G$29,$D$20,$G$26,AW$67,$D$19,$K$12,$AR68,$AR$67)</f>
        <v>-957.0932868382306</v>
      </c>
      <c r="AX68" s="135">
        <f ca="1">_xll.DBRW(Server&amp;Cube1,$G$30,$G$23,$G$24,$G$29,$D$20,$G$26,AX$67,$D$19,$K$12,$AR68,$AR$67)</f>
        <v>-733.0464127028954</v>
      </c>
      <c r="AY68" s="135">
        <f ca="1">_xll.DBRW(Server&amp;Cube1,$G$30,$G$23,$G$24,$G$29,$D$20,$G$26,AY$67,$D$19,$K$12,$AR68,$AR$67)</f>
        <v>-557.66695418498477</v>
      </c>
      <c r="AZ68" s="135">
        <f ca="1">_xll.DBRW(Server&amp;Cube1,$G$30,$G$23,$G$24,$G$29,$D$20,$G$26,AZ$67,$D$19,$K$12,$AR68,$AR$67)</f>
        <v>-407.32865584804409</v>
      </c>
      <c r="BA68" s="135">
        <f ca="1">_xll.DBRW(Server&amp;Cube1,$G$30,$G$23,$G$24,$G$29,$D$20,$G$26,BA$67,$D$19,$K$12,$AR68,$AR$67)</f>
        <v>-362.83087721432861</v>
      </c>
    </row>
    <row r="69" spans="1:55" s="5" customFormat="1" ht="17.25" customHeight="1" x14ac:dyDescent="0.25">
      <c r="B69" s="40"/>
      <c r="C69" s="40"/>
      <c r="D69" s="46"/>
      <c r="E69" s="80"/>
      <c r="F69" s="121"/>
      <c r="G69" s="121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2"/>
      <c r="AI69" s="29"/>
      <c r="AJ69" s="29"/>
      <c r="AK69" s="29"/>
      <c r="AL69" s="29"/>
      <c r="AM69" s="29"/>
      <c r="AN69" s="29"/>
      <c r="AO69" s="29"/>
      <c r="AP69" s="29"/>
      <c r="AQ69" s="128" t="str">
        <f ca="1">_xll.DBRA(Server&amp;$AP$21,$AP$38,$AS$18)</f>
        <v>Réalisé N-1</v>
      </c>
      <c r="AR69" s="3" t="s">
        <v>62</v>
      </c>
      <c r="AS69" s="135">
        <f ca="1">_xll.DBRW(Server&amp;Cube1,$G$30,$G$23,$G$24,$G$29,$D$20,$G$26,AS$67,$D$19,$I$12,$AR69,$AR$67)</f>
        <v>-911.38848352293962</v>
      </c>
      <c r="AT69" s="135">
        <f ca="1">_xll.DBRW(Server&amp;Cube1,$G$30,$G$23,$G$24,$G$29,$D$20,$G$26,AT$67,$D$19,$I$12,$AR69,$AR$67)</f>
        <v>-1810.3155868020665</v>
      </c>
      <c r="AU69" s="135">
        <f ca="1">_xll.DBRW(Server&amp;Cube1,$G$30,$G$23,$G$24,$G$29,$D$20,$G$26,AU$67,$D$19,$I$12,$AR69,$AR$67)</f>
        <v>-2478.3354593528788</v>
      </c>
      <c r="AV69" s="135">
        <f ca="1">_xll.DBRW(Server&amp;Cube1,$G$30,$G$23,$G$24,$G$29,$D$20,$G$26,AV$67,$D$19,$I$12,$AR69,$AR$67)</f>
        <v>-324.39689033552594</v>
      </c>
      <c r="AW69" s="135">
        <f ca="1">_xll.DBRW(Server&amp;Cube1,$G$30,$G$23,$G$24,$G$29,$D$20,$G$26,AW$67,$D$19,$I$12,$AR69,$AR$67)</f>
        <v>-1065.298234280109</v>
      </c>
      <c r="AX69" s="135">
        <f ca="1">_xll.DBRW(Server&amp;Cube1,$G$30,$G$23,$G$24,$G$29,$D$20,$G$26,AX$67,$D$19,$I$12,$AR69,$AR$67)</f>
        <v>-706.20003505483703</v>
      </c>
      <c r="AY69" s="135">
        <f ca="1">_xll.DBRW(Server&amp;Cube1,$G$30,$G$23,$G$24,$G$29,$D$20,$G$26,AY$67,$D$19,$I$12,$AR69,$AR$67)</f>
        <v>-415.24946840876589</v>
      </c>
      <c r="AZ69" s="135">
        <f ca="1">_xll.DBRW(Server&amp;Cube1,$G$30,$G$23,$G$24,$G$29,$D$20,$G$26,AZ$67,$D$19,$I$12,$AR69,$AR$67)</f>
        <v>-614.59722084439375</v>
      </c>
      <c r="BA69" s="135">
        <f ca="1">_xll.DBRW(Server&amp;Cube1,$G$30,$G$23,$G$24,$G$29,$D$20,$G$26,BA$67,$D$19,$I$12,$AR69,$AR$67)</f>
        <v>-509.96367957441322</v>
      </c>
    </row>
    <row r="70" spans="1:55" ht="22.5" customHeight="1" x14ac:dyDescent="0.25">
      <c r="B70" s="40"/>
      <c r="C70" s="47"/>
      <c r="D70" s="46"/>
      <c r="E70" s="78"/>
      <c r="F70" s="121"/>
      <c r="G70" s="121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6"/>
      <c r="AE70" s="5"/>
      <c r="AF70" s="5"/>
      <c r="AG70" s="5"/>
      <c r="AH70" s="5"/>
      <c r="AI70" s="29"/>
      <c r="AJ70" s="29"/>
      <c r="AK70" s="29"/>
      <c r="AL70" s="29"/>
      <c r="AM70" s="29"/>
      <c r="AN70" s="29"/>
      <c r="AO70" s="29"/>
      <c r="AP70" s="29"/>
      <c r="AQ70" s="128" t="str">
        <f ca="1">_xll.DBRA(Server&amp;$H$11,$AR$70,$AS$18)</f>
        <v>Budget</v>
      </c>
      <c r="AR70" s="3" t="str">
        <f ca="1">$J$11</f>
        <v>BUDG_TOT</v>
      </c>
      <c r="AS70" s="135">
        <f ca="1">_xll.DBRW(Server&amp;Cube1,$G$30,$G$23,$G$24,$G$29,$D$20,$G$26,AS$67,$D$19,$K$12,$AR70,$AR$67)</f>
        <v>-910.92988410878377</v>
      </c>
      <c r="AT70" s="135">
        <f ca="1">_xll.DBRW(Server&amp;Cube1,$G$30,$G$23,$G$24,$G$29,$D$20,$G$26,AT$67,$D$19,$K$12,$AR70,$AR$67)</f>
        <v>-2106.2755612852934</v>
      </c>
      <c r="AU70" s="135">
        <f ca="1">_xll.DBRW(Server&amp;Cube1,$G$30,$G$23,$G$24,$G$29,$D$20,$G$26,AU$67,$D$19,$K$12,$AR70,$AR$67)</f>
        <v>-2745.0257090544601</v>
      </c>
      <c r="AV70" s="135">
        <f ca="1">_xll.DBRW(Server&amp;Cube1,$G$30,$G$23,$G$24,$G$29,$D$20,$G$26,AV$67,$D$19,$K$12,$AR70,$AR$67)</f>
        <v>-791.43149088681378</v>
      </c>
      <c r="AW70" s="135">
        <f ca="1">_xll.DBRW(Server&amp;Cube1,$G$30,$G$23,$G$24,$G$29,$D$20,$G$26,AW$67,$D$19,$K$12,$AR70,$AR$67)</f>
        <v>-1746.6429058382305</v>
      </c>
      <c r="AX70" s="135">
        <f ca="1">_xll.DBRW(Server&amp;Cube1,$G$30,$G$23,$G$24,$G$29,$D$20,$G$26,AX$67,$D$19,$K$12,$AR70,$AR$67)</f>
        <v>-986.49109520289562</v>
      </c>
      <c r="AY70" s="135">
        <f ca="1">_xll.DBRW(Server&amp;Cube1,$G$30,$G$23,$G$24,$G$29,$D$20,$G$26,AY$67,$D$19,$K$12,$AR70,$AR$67)</f>
        <v>-941.62236218498469</v>
      </c>
      <c r="AZ70" s="135">
        <f ca="1">_xll.DBRW(Server&amp;Cube1,$G$30,$G$23,$G$24,$G$29,$D$20,$G$26,AZ$67,$D$19,$K$12,$AR70,$AR$67)</f>
        <v>-646.44690484804403</v>
      </c>
      <c r="BA70" s="135">
        <f ca="1">_xll.DBRW(Server&amp;Cube1,$G$30,$G$23,$G$24,$G$29,$D$20,$G$26,BA$67,$D$19,$K$12,$AR70,$AR$67)</f>
        <v>-502.75196321432861</v>
      </c>
    </row>
    <row r="71" spans="1:55" s="24" customFormat="1" ht="20.25" customHeight="1" x14ac:dyDescent="0.25">
      <c r="B71" s="40"/>
      <c r="C71" s="40"/>
      <c r="D71" s="46"/>
      <c r="E71" s="76"/>
      <c r="F71" s="121"/>
      <c r="G71" s="121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23"/>
      <c r="AE71" s="5"/>
      <c r="AF71" s="5"/>
      <c r="AG71" s="5"/>
      <c r="AH71" s="5"/>
      <c r="AI71" s="29"/>
      <c r="AJ71" s="29"/>
      <c r="AK71" s="15"/>
      <c r="AL71" s="15"/>
      <c r="AM71" s="15"/>
      <c r="AN71" s="15"/>
      <c r="AO71" s="15"/>
      <c r="AP71" s="29"/>
      <c r="AQ71" s="126" t="str">
        <f ca="1">IF($AT$63="No",_xll.DBRA(Server&amp;$H$14,$AR71,$G$25),_xll.DBRA(Server&amp;$H$14,$AR71,$G$25)&amp; " ("&amp;_xll.DBRA(Server&amp;$AP$21,$AP$44,$AS$18)&amp;")")</f>
        <v>CHARGES OPERATIONNELLES (Cumulé)</v>
      </c>
      <c r="AR71" s="127" t="s">
        <v>70</v>
      </c>
      <c r="AS71" s="136"/>
      <c r="AT71" s="136"/>
      <c r="AU71" s="136"/>
      <c r="AV71" s="136"/>
      <c r="AW71" s="136"/>
      <c r="AX71" s="136"/>
      <c r="AY71" s="137"/>
      <c r="AZ71" s="137"/>
      <c r="BA71" s="137"/>
    </row>
    <row r="72" spans="1:55" s="24" customFormat="1" ht="23.25" customHeight="1" x14ac:dyDescent="0.25">
      <c r="B72" s="40"/>
      <c r="C72" s="40"/>
      <c r="D72" s="46"/>
      <c r="E72" s="76"/>
      <c r="F72" s="121"/>
      <c r="G72" s="121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23"/>
      <c r="AE72" s="5"/>
      <c r="AF72" s="5"/>
      <c r="AG72" s="5"/>
      <c r="AH72" s="5"/>
      <c r="AI72" s="29"/>
      <c r="AJ72" s="29"/>
      <c r="AK72" s="15"/>
      <c r="AL72" s="15"/>
      <c r="AM72" s="15"/>
      <c r="AN72" s="15"/>
      <c r="AO72" s="15"/>
      <c r="AP72" s="129"/>
      <c r="AQ72" s="128" t="str">
        <f ca="1">_xll.DBRA(Server&amp;$H$11,$AR$68,$AS$18)</f>
        <v>Réalisé</v>
      </c>
      <c r="AR72" s="3" t="s">
        <v>62</v>
      </c>
      <c r="AS72" s="135">
        <f ca="1">_xll.DBRW(Server&amp;Cube1,$G$30,$G$23,$G$24,$G$29,$D$20,$G$26,AS$67,$D$19,$K$12,$AR72,$AR$71)</f>
        <v>-241.52604910878381</v>
      </c>
      <c r="AT72" s="135">
        <f ca="1">_xll.DBRW(Server&amp;Cube1,$G$30,$G$23,$G$24,$G$29,$D$20,$G$26,AT$67,$D$19,$K$12,$AR72,$AR$71)</f>
        <v>-1240.8081652852932</v>
      </c>
      <c r="AU72" s="135">
        <f ca="1">_xll.DBRW(Server&amp;Cube1,$G$30,$G$23,$G$24,$G$29,$D$20,$G$26,AU$67,$D$19,$K$12,$AR72,$AR$71)</f>
        <v>-1845.9962600544598</v>
      </c>
      <c r="AV72" s="135">
        <f ca="1">_xll.DBRW(Server&amp;Cube1,$G$30,$G$23,$G$24,$G$29,$D$20,$G$26,AV$67,$D$19,$K$12,$AR72,$AR$71)</f>
        <v>-147.31926888681369</v>
      </c>
      <c r="AW72" s="135">
        <f ca="1">_xll.DBRW(Server&amp;Cube1,$G$30,$G$23,$G$24,$G$29,$D$20,$G$26,AW$67,$D$19,$K$12,$AR72,$AR$71)</f>
        <v>-957.0932868382306</v>
      </c>
      <c r="AX72" s="135">
        <f ca="1">_xll.DBRW(Server&amp;Cube1,$G$30,$G$23,$G$24,$G$29,$D$20,$G$26,AX$67,$D$19,$K$12,$AR72,$AR$71)</f>
        <v>-891.4270827028954</v>
      </c>
      <c r="AY72" s="135">
        <f ca="1">_xll.DBRW(Server&amp;Cube1,$G$30,$G$23,$G$24,$G$29,$D$20,$G$26,AY$67,$D$19,$K$12,$AR72,$AR$71)</f>
        <v>-557.66695418498477</v>
      </c>
      <c r="AZ72" s="135">
        <f ca="1">_xll.DBRW(Server&amp;Cube1,$G$30,$G$23,$G$24,$G$29,$D$20,$G$26,AZ$67,$D$19,$K$12,$AR72,$AR$71)</f>
        <v>-407.32865584804409</v>
      </c>
      <c r="BA72" s="135">
        <f ca="1">_xll.DBRW(Server&amp;Cube1,$G$30,$G$23,$G$24,$G$29,$D$20,$G$26,BA$67,$D$19,$K$12,$AR72,$AR$71)</f>
        <v>-391.06087721432863</v>
      </c>
    </row>
    <row r="73" spans="1:55" s="24" customFormat="1" ht="23.25" customHeight="1" x14ac:dyDescent="0.25">
      <c r="B73" s="40"/>
      <c r="C73" s="40"/>
      <c r="D73" s="46"/>
      <c r="E73" s="76"/>
      <c r="F73" s="121"/>
      <c r="G73" s="121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23"/>
      <c r="AE73" s="5"/>
      <c r="AF73" s="5"/>
      <c r="AG73" s="5"/>
      <c r="AH73" s="5"/>
      <c r="AI73" s="29"/>
      <c r="AJ73" s="29"/>
      <c r="AK73" s="15"/>
      <c r="AL73" s="15"/>
      <c r="AM73" s="15"/>
      <c r="AN73" s="15"/>
      <c r="AO73" s="15"/>
      <c r="AP73" s="129"/>
      <c r="AQ73" s="128" t="str">
        <f ca="1">_xll.DBRA(Server&amp;$AP$21,$AP$38,$AS$18)</f>
        <v>Réalisé N-1</v>
      </c>
      <c r="AR73" s="3" t="s">
        <v>62</v>
      </c>
      <c r="AS73" s="135">
        <f ca="1">_xll.DBRW(Server&amp;Cube1,$G$30,$G$23,$G$24,$G$29,$D$20,$G$26,AS$67,$D$19,$I$12,$AR73,$AR$71)</f>
        <v>-911.38848352293962</v>
      </c>
      <c r="AT73" s="135">
        <f ca="1">_xll.DBRW(Server&amp;Cube1,$G$30,$G$23,$G$24,$G$29,$D$20,$G$26,AT$67,$D$19,$I$12,$AR73,$AR$71)</f>
        <v>-1897.0905968020666</v>
      </c>
      <c r="AU73" s="135">
        <f ca="1">_xll.DBRW(Server&amp;Cube1,$G$30,$G$23,$G$24,$G$29,$D$20,$G$26,AU$67,$D$19,$I$12,$AR73,$AR$71)</f>
        <v>-2478.3354593528788</v>
      </c>
      <c r="AV73" s="135">
        <f ca="1">_xll.DBRW(Server&amp;Cube1,$G$30,$G$23,$G$24,$G$29,$D$20,$G$26,AV$67,$D$19,$I$12,$AR73,$AR$71)</f>
        <v>-1676.8968903355262</v>
      </c>
      <c r="AW73" s="135">
        <f ca="1">_xll.DBRW(Server&amp;Cube1,$G$30,$G$23,$G$24,$G$29,$D$20,$G$26,AW$67,$D$19,$I$12,$AR73,$AR$71)</f>
        <v>-1065.298234280109</v>
      </c>
      <c r="AX73" s="135">
        <f ca="1">_xll.DBRW(Server&amp;Cube1,$G$30,$G$23,$G$24,$G$29,$D$20,$G$26,AX$67,$D$19,$I$12,$AR73,$AR$71)</f>
        <v>-943.70003505483703</v>
      </c>
      <c r="AY73" s="135">
        <f ca="1">_xll.DBRW(Server&amp;Cube1,$G$30,$G$23,$G$24,$G$29,$D$20,$G$26,AY$67,$D$19,$I$12,$AR73,$AR$71)</f>
        <v>-415.24946840876589</v>
      </c>
      <c r="AZ73" s="135">
        <f ca="1">_xll.DBRW(Server&amp;Cube1,$G$30,$G$23,$G$24,$G$29,$D$20,$G$26,AZ$67,$D$19,$I$12,$AR73,$AR$71)</f>
        <v>-614.59722084439375</v>
      </c>
      <c r="BA73" s="135">
        <f ca="1">_xll.DBRW(Server&amp;Cube1,$G$30,$G$23,$G$24,$G$29,$D$20,$G$26,BA$67,$D$19,$I$12,$AR73,$AR$71)</f>
        <v>-509.96367957441322</v>
      </c>
    </row>
    <row r="74" spans="1:55" s="24" customFormat="1" ht="23.25" customHeight="1" x14ac:dyDescent="0.25">
      <c r="B74" s="40"/>
      <c r="C74" s="40"/>
      <c r="D74" s="46"/>
      <c r="E74" s="76"/>
      <c r="F74" s="121"/>
      <c r="G74" s="121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23"/>
      <c r="AE74" s="5"/>
      <c r="AF74" s="5"/>
      <c r="AG74" s="5"/>
      <c r="AH74" s="5"/>
      <c r="AI74" s="29"/>
      <c r="AJ74" s="29"/>
      <c r="AK74" s="15"/>
      <c r="AL74" s="15"/>
      <c r="AM74" s="15"/>
      <c r="AN74" s="15"/>
      <c r="AO74" s="15"/>
      <c r="AP74" s="29"/>
      <c r="AQ74" s="128" t="str">
        <f ca="1">_xll.DBRA(Server&amp;$H$11,$AR$70,$AS$18)</f>
        <v>Budget</v>
      </c>
      <c r="AR74" s="3" t="str">
        <f ca="1">$J$11</f>
        <v>BUDG_TOT</v>
      </c>
      <c r="AS74" s="135">
        <f ca="1">_xll.DBRW(Server&amp;Cube1,$G$30,$G$23,$G$24,$G$29,$D$20,$G$26,AS$67,$D$19,$K$12,$AR74,$AR$71)</f>
        <v>-910.92988410878377</v>
      </c>
      <c r="AT74" s="135">
        <f ca="1">_xll.DBRW(Server&amp;Cube1,$G$30,$G$23,$G$24,$G$29,$D$20,$G$26,AT$67,$D$19,$K$12,$AR74,$AR$71)</f>
        <v>-2131.2755612852934</v>
      </c>
      <c r="AU74" s="135">
        <f ca="1">_xll.DBRW(Server&amp;Cube1,$G$30,$G$23,$G$24,$G$29,$D$20,$G$26,AU$67,$D$19,$K$12,$AR74,$AR$71)</f>
        <v>-2745.0257090544601</v>
      </c>
      <c r="AV74" s="135">
        <f ca="1">_xll.DBRW(Server&amp;Cube1,$G$30,$G$23,$G$24,$G$29,$D$20,$G$26,AV$67,$D$19,$K$12,$AR74,$AR$71)</f>
        <v>-1514.4179908868139</v>
      </c>
      <c r="AW74" s="135">
        <f ca="1">_xll.DBRW(Server&amp;Cube1,$G$30,$G$23,$G$24,$G$29,$D$20,$G$26,AW$67,$D$19,$K$12,$AR74,$AR$71)</f>
        <v>-1756.3929058382305</v>
      </c>
      <c r="AX74" s="135">
        <f ca="1">_xll.DBRW(Server&amp;Cube1,$G$30,$G$23,$G$24,$G$29,$D$20,$G$26,AX$67,$D$19,$K$12,$AR74,$AR$71)</f>
        <v>-1224.0620952028955</v>
      </c>
      <c r="AY74" s="135">
        <f ca="1">_xll.DBRW(Server&amp;Cube1,$G$30,$G$23,$G$24,$G$29,$D$20,$G$26,AY$67,$D$19,$K$12,$AR74,$AR$71)</f>
        <v>-941.62236218498469</v>
      </c>
      <c r="AZ74" s="135">
        <f ca="1">_xll.DBRW(Server&amp;Cube1,$G$30,$G$23,$G$24,$G$29,$D$20,$G$26,AZ$67,$D$19,$K$12,$AR74,$AR$71)</f>
        <v>-646.44690484804403</v>
      </c>
      <c r="BA74" s="135">
        <f ca="1">_xll.DBRW(Server&amp;Cube1,$G$30,$G$23,$G$24,$G$29,$D$20,$G$26,BA$67,$D$19,$K$12,$AR74,$AR$71)</f>
        <v>-670.98121321432859</v>
      </c>
    </row>
    <row r="75" spans="1:55" s="24" customFormat="1" ht="23.25" customHeight="1" x14ac:dyDescent="0.25">
      <c r="B75" s="40"/>
      <c r="C75" s="40"/>
      <c r="D75" s="46"/>
      <c r="E75" s="76"/>
      <c r="F75" s="121"/>
      <c r="G75" s="121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23"/>
      <c r="AE75" s="5"/>
      <c r="AF75" s="5"/>
      <c r="AG75" s="5"/>
      <c r="AH75" s="5"/>
      <c r="AI75" s="29"/>
      <c r="AJ75" s="29"/>
      <c r="AK75" s="15"/>
      <c r="AL75" s="15"/>
      <c r="AM75" s="15"/>
      <c r="AN75" s="15"/>
      <c r="AO75" s="15"/>
      <c r="AP75" s="29"/>
      <c r="AQ75" s="126" t="str">
        <f ca="1">IF($AT$63="No",_xll.DBRA(Server&amp;$H$14,$AR75,$G$25),_xll.DBRA(Server&amp;$H$14,$AR75,$G$25)&amp; " ("&amp;_xll.DBRA(Server&amp;$AP$21,$AP$44,$AS$18)&amp;")")</f>
        <v>PRODUITS OPERATIONNELS (Cumulé)</v>
      </c>
      <c r="AR75" s="127" t="s">
        <v>88</v>
      </c>
      <c r="AS75" s="138"/>
      <c r="AT75" s="138"/>
      <c r="AU75" s="138"/>
      <c r="AV75" s="138"/>
      <c r="AW75" s="138"/>
      <c r="AX75" s="138"/>
      <c r="AY75" s="137"/>
      <c r="AZ75" s="137"/>
      <c r="BA75" s="137"/>
    </row>
    <row r="76" spans="1:55" s="24" customFormat="1" ht="15.75" x14ac:dyDescent="0.25">
      <c r="B76" s="40"/>
      <c r="C76" s="40"/>
      <c r="D76" s="46"/>
      <c r="E76" s="76"/>
      <c r="F76" s="121"/>
      <c r="G76" s="121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23"/>
      <c r="AI76" s="15"/>
      <c r="AJ76" s="15"/>
      <c r="AK76" s="15"/>
      <c r="AL76" s="15"/>
      <c r="AM76" s="15"/>
      <c r="AN76" s="15"/>
      <c r="AO76" s="15"/>
      <c r="AP76" s="29"/>
      <c r="AQ76" s="128" t="str">
        <f ca="1">_xll.DBRA(Server&amp;$H$11,$AR$68,$AS$18)</f>
        <v>Réalisé</v>
      </c>
      <c r="AR76" s="3" t="s">
        <v>62</v>
      </c>
      <c r="AS76" s="135">
        <f ca="1">_xll.DBRW(Server&amp;Cube1,$G$30,$G$23,$G$24,$G$29,$D$20,$G$26,AS$67,$D$19,$K$12,$AR76,$AR$75)</f>
        <v>0</v>
      </c>
      <c r="AT76" s="135">
        <f ca="1">_xll.DBRW(Server&amp;Cube1,$G$30,$G$23,$G$24,$G$29,$D$20,$G$26,AT$67,$D$19,$K$12,$AR76,$AR$75)</f>
        <v>0</v>
      </c>
      <c r="AU76" s="135">
        <f ca="1">_xll.DBRW(Server&amp;Cube1,$G$30,$G$23,$G$24,$G$29,$D$20,$G$26,AU$67,$D$19,$K$12,$AR76,$AR$75)</f>
        <v>32.613999999999997</v>
      </c>
      <c r="AV76" s="135">
        <f ca="1">_xll.DBRW(Server&amp;Cube1,$G$30,$G$23,$G$24,$G$29,$D$20,$G$26,AV$67,$D$19,$K$12,$AR76,$AR$75)</f>
        <v>71.405000000000001</v>
      </c>
      <c r="AW76" s="135">
        <f ca="1">_xll.DBRW(Server&amp;Cube1,$G$30,$G$23,$G$24,$G$29,$D$20,$G$26,AW$67,$D$19,$K$12,$AR76,$AR$75)</f>
        <v>0</v>
      </c>
      <c r="AX76" s="135">
        <f ca="1">_xll.DBRW(Server&amp;Cube1,$G$30,$G$23,$G$24,$G$29,$D$20,$G$26,AX$67,$D$19,$K$12,$AR76,$AR$75)</f>
        <v>158.38066999999998</v>
      </c>
      <c r="AY76" s="135">
        <f ca="1">_xll.DBRW(Server&amp;Cube1,$G$30,$G$23,$G$24,$G$29,$D$20,$G$26,AY$67,$D$19,$K$12,$AR76,$AR$75)</f>
        <v>0</v>
      </c>
      <c r="AZ76" s="135">
        <f ca="1">_xll.DBRW(Server&amp;Cube1,$G$30,$G$23,$G$24,$G$29,$D$20,$G$26,AZ$67,$D$19,$K$12,$AR76,$AR$75)</f>
        <v>0</v>
      </c>
      <c r="BA76" s="135">
        <f ca="1">_xll.DBRW(Server&amp;Cube1,$G$30,$G$23,$G$24,$G$29,$D$20,$G$26,BA$67,$D$19,$K$12,$AR76,$AR$75)</f>
        <v>28.23</v>
      </c>
    </row>
    <row r="77" spans="1:55" s="24" customFormat="1" ht="15.75" x14ac:dyDescent="0.2">
      <c r="B77" s="40"/>
      <c r="C77" s="40"/>
      <c r="D77" s="41"/>
      <c r="E77" s="76"/>
      <c r="F77" s="121"/>
      <c r="G77" s="121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23"/>
      <c r="AI77" s="15"/>
      <c r="AJ77" s="15"/>
      <c r="AK77" s="15"/>
      <c r="AL77" s="15"/>
      <c r="AM77" s="15"/>
      <c r="AN77" s="15"/>
      <c r="AO77" s="15"/>
      <c r="AP77" s="29"/>
      <c r="AQ77" s="128" t="str">
        <f ca="1">_xll.DBRA(Server&amp;$AP$21,$AP$38,$AS$18)</f>
        <v>Réalisé N-1</v>
      </c>
      <c r="AR77" s="3" t="s">
        <v>62</v>
      </c>
      <c r="AS77" s="135">
        <f ca="1">_xll.DBRW(Server&amp;Cube1,$G$30,$G$23,$G$24,$G$29,$D$20,$G$26,AS$67,$D$19,$I$12,$AR77,$AR$75)</f>
        <v>0</v>
      </c>
      <c r="AT77" s="135">
        <f ca="1">_xll.DBRW(Server&amp;Cube1,$G$30,$G$23,$G$24,$G$29,$D$20,$G$26,AT$67,$D$19,$I$12,$AR77,$AR$75)</f>
        <v>86.775010000000009</v>
      </c>
      <c r="AU77" s="135">
        <f ca="1">_xll.DBRW(Server&amp;Cube1,$G$30,$G$23,$G$24,$G$29,$D$20,$G$26,AU$67,$D$19,$I$12,$AR77,$AR$75)</f>
        <v>0</v>
      </c>
      <c r="AV77" s="135">
        <f ca="1">_xll.DBRW(Server&amp;Cube1,$G$30,$G$23,$G$24,$G$29,$D$20,$G$26,AV$67,$D$19,$I$12,$AR77,$AR$75)</f>
        <v>1352.5</v>
      </c>
      <c r="AW77" s="135">
        <f ca="1">_xll.DBRW(Server&amp;Cube1,$G$30,$G$23,$G$24,$G$29,$D$20,$G$26,AW$67,$D$19,$I$12,$AR77,$AR$75)</f>
        <v>0</v>
      </c>
      <c r="AX77" s="135">
        <f ca="1">_xll.DBRW(Server&amp;Cube1,$G$30,$G$23,$G$24,$G$29,$D$20,$G$26,AX$67,$D$19,$I$12,$AR77,$AR$75)</f>
        <v>237.5</v>
      </c>
      <c r="AY77" s="135">
        <f ca="1">_xll.DBRW(Server&amp;Cube1,$G$30,$G$23,$G$24,$G$29,$D$20,$G$26,AY$67,$D$19,$I$12,$AR77,$AR$75)</f>
        <v>0</v>
      </c>
      <c r="AZ77" s="135">
        <f ca="1">_xll.DBRW(Server&amp;Cube1,$G$30,$G$23,$G$24,$G$29,$D$20,$G$26,AZ$67,$D$19,$I$12,$AR77,$AR$75)</f>
        <v>0</v>
      </c>
      <c r="BA77" s="135">
        <f ca="1">_xll.DBRW(Server&amp;Cube1,$G$30,$G$23,$G$24,$G$29,$D$20,$G$26,BA$67,$D$19,$I$12,$AR77,$AR$75)</f>
        <v>0</v>
      </c>
    </row>
    <row r="78" spans="1:55" s="24" customFormat="1" ht="15.75" x14ac:dyDescent="0.2">
      <c r="B78" s="40"/>
      <c r="C78" s="40"/>
      <c r="D78" s="41"/>
      <c r="E78" s="76"/>
      <c r="F78" s="121"/>
      <c r="G78" s="121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23"/>
      <c r="AI78" s="15"/>
      <c r="AJ78" s="15"/>
      <c r="AK78" s="15"/>
      <c r="AL78" s="15"/>
      <c r="AM78" s="15"/>
      <c r="AN78" s="15"/>
      <c r="AO78" s="15"/>
      <c r="AP78" s="29"/>
      <c r="AQ78" s="128" t="str">
        <f ca="1">_xll.DBRA(Server&amp;$H$11,$AR$70,$AS$18)</f>
        <v>Budget</v>
      </c>
      <c r="AR78" s="3" t="str">
        <f ca="1">$J$11</f>
        <v>BUDG_TOT</v>
      </c>
      <c r="AS78" s="135">
        <f ca="1">_xll.DBRW(Server&amp;Cube1,$G$30,$G$23,$G$24,$G$29,$D$20,$G$26,AS$67,$D$19,$K$12,$AR78,$AR$75)</f>
        <v>0</v>
      </c>
      <c r="AT78" s="135">
        <f ca="1">_xll.DBRW(Server&amp;Cube1,$G$30,$G$23,$G$24,$G$29,$D$20,$G$26,AT$67,$D$19,$K$12,$AR78,$AR$75)</f>
        <v>25</v>
      </c>
      <c r="AU78" s="135">
        <f ca="1">_xll.DBRW(Server&amp;Cube1,$G$30,$G$23,$G$24,$G$29,$D$20,$G$26,AU$67,$D$19,$K$12,$AR78,$AR$75)</f>
        <v>0</v>
      </c>
      <c r="AV78" s="135">
        <f ca="1">_xll.DBRW(Server&amp;Cube1,$G$30,$G$23,$G$24,$G$29,$D$20,$G$26,AV$67,$D$19,$K$12,$AR78,$AR$75)</f>
        <v>722.98649999999998</v>
      </c>
      <c r="AW78" s="135">
        <f ca="1">_xll.DBRW(Server&amp;Cube1,$G$30,$G$23,$G$24,$G$29,$D$20,$G$26,AW$67,$D$19,$K$12,$AR78,$AR$75)</f>
        <v>9.75</v>
      </c>
      <c r="AX78" s="135">
        <f ca="1">_xll.DBRW(Server&amp;Cube1,$G$30,$G$23,$G$24,$G$29,$D$20,$G$26,AX$67,$D$19,$K$12,$AR78,$AR$75)</f>
        <v>237.571</v>
      </c>
      <c r="AY78" s="135">
        <f ca="1">_xll.DBRW(Server&amp;Cube1,$G$30,$G$23,$G$24,$G$29,$D$20,$G$26,AY$67,$D$19,$K$12,$AR78,$AR$75)</f>
        <v>0</v>
      </c>
      <c r="AZ78" s="135">
        <f ca="1">_xll.DBRW(Server&amp;Cube1,$G$30,$G$23,$G$24,$G$29,$D$20,$G$26,AZ$67,$D$19,$K$12,$AR78,$AR$75)</f>
        <v>0</v>
      </c>
      <c r="BA78" s="135">
        <f ca="1">_xll.DBRW(Server&amp;Cube1,$G$30,$G$23,$G$24,$G$29,$D$20,$G$26,BA$67,$D$19,$K$12,$AR78,$AR$75)</f>
        <v>168.22925000000001</v>
      </c>
    </row>
    <row r="79" spans="1:55" s="15" customFormat="1" ht="12.75" x14ac:dyDescent="0.2">
      <c r="A79" s="29"/>
      <c r="B79" s="40"/>
      <c r="C79" s="40"/>
      <c r="D79" s="41"/>
      <c r="E79" s="76"/>
      <c r="F79" s="121"/>
      <c r="G79" s="121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6"/>
      <c r="AF79" s="29"/>
      <c r="AG79" s="29"/>
      <c r="AH79" s="29"/>
    </row>
    <row r="80" spans="1:55" s="15" customFormat="1" ht="18" customHeight="1" x14ac:dyDescent="0.2">
      <c r="A80" s="29"/>
      <c r="B80" s="40"/>
      <c r="C80" s="40"/>
      <c r="D80" s="41"/>
      <c r="E80" s="76"/>
      <c r="F80" s="121"/>
      <c r="G80" s="121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6"/>
      <c r="AF80" s="29"/>
      <c r="AG80" s="29"/>
      <c r="AH80" s="29"/>
    </row>
    <row r="81" spans="1:45" s="15" customFormat="1" ht="18" customHeight="1" x14ac:dyDescent="0.2">
      <c r="A81" s="29"/>
      <c r="B81" s="40"/>
      <c r="C81" s="40"/>
      <c r="D81" s="41"/>
      <c r="E81" s="76"/>
      <c r="F81" s="121"/>
      <c r="G81" s="121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29"/>
      <c r="AE81" s="30"/>
      <c r="AF81" s="30"/>
      <c r="AG81" s="30"/>
      <c r="AH81" s="30"/>
      <c r="AJ81" s="16"/>
      <c r="AK81" s="16"/>
      <c r="AL81" s="16"/>
      <c r="AM81" s="16"/>
      <c r="AN81" s="16"/>
      <c r="AO81" s="16"/>
      <c r="AP81" s="16"/>
      <c r="AQ81" s="16"/>
      <c r="AR81" s="16"/>
      <c r="AS81" s="16"/>
    </row>
    <row r="82" spans="1:45" s="15" customFormat="1" ht="18" customHeight="1" x14ac:dyDescent="0.2">
      <c r="A82" s="29"/>
      <c r="B82" s="40"/>
      <c r="C82" s="40"/>
      <c r="D82" s="41"/>
      <c r="E82" s="76"/>
      <c r="F82" s="121"/>
      <c r="G82" s="121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29"/>
      <c r="AE82" s="30"/>
      <c r="AF82" s="30"/>
      <c r="AG82" s="30"/>
      <c r="AH82" s="30"/>
    </row>
    <row r="83" spans="1:45" s="15" customFormat="1" ht="18" customHeight="1" x14ac:dyDescent="0.2">
      <c r="A83" s="29"/>
      <c r="B83" s="40"/>
      <c r="C83" s="40"/>
      <c r="D83" s="41"/>
      <c r="E83" s="76"/>
      <c r="F83" s="121"/>
      <c r="G83" s="121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29"/>
      <c r="AF83" s="29"/>
      <c r="AG83" s="29"/>
      <c r="AH83" s="29"/>
    </row>
    <row r="84" spans="1:45" s="15" customFormat="1" ht="18" customHeight="1" x14ac:dyDescent="0.2">
      <c r="A84" s="29"/>
      <c r="B84" s="40"/>
      <c r="C84" s="40"/>
      <c r="D84" s="41"/>
      <c r="E84" s="76"/>
      <c r="F84" s="121"/>
      <c r="G84" s="121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29"/>
      <c r="AF84" s="29"/>
      <c r="AG84" s="29"/>
      <c r="AH84" s="29"/>
    </row>
    <row r="85" spans="1:45" s="15" customFormat="1" ht="18" customHeight="1" x14ac:dyDescent="0.2">
      <c r="A85" s="29"/>
      <c r="E85" s="29"/>
      <c r="F85" s="121"/>
      <c r="G85" s="121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29"/>
      <c r="AF85" s="29"/>
      <c r="AG85" s="29"/>
      <c r="AH85" s="29"/>
    </row>
    <row r="86" spans="1:45" s="15" customFormat="1" ht="18" customHeight="1" x14ac:dyDescent="0.2">
      <c r="A86" s="29"/>
      <c r="E86" s="29"/>
      <c r="F86" s="125"/>
      <c r="G86" s="121"/>
      <c r="H86" s="121"/>
      <c r="I86" s="122"/>
      <c r="J86" s="121"/>
      <c r="K86" s="121"/>
      <c r="L86" s="122"/>
      <c r="M86" s="122"/>
      <c r="N86" s="122"/>
      <c r="O86" s="122"/>
      <c r="P86" s="122"/>
      <c r="Q86" s="122"/>
      <c r="R86" s="122"/>
      <c r="S86" s="121"/>
      <c r="T86" s="121"/>
      <c r="U86" s="122"/>
      <c r="V86" s="122"/>
      <c r="W86" s="122"/>
      <c r="X86" s="122"/>
      <c r="Y86" s="122"/>
      <c r="Z86" s="122"/>
      <c r="AA86" s="122"/>
      <c r="AB86" s="122"/>
      <c r="AC86" s="122"/>
      <c r="AD86" s="29"/>
      <c r="AF86" s="29"/>
      <c r="AG86" s="29"/>
      <c r="AH86" s="29"/>
    </row>
    <row r="87" spans="1:45" s="15" customFormat="1" ht="18" customHeight="1" x14ac:dyDescent="0.2">
      <c r="A87" s="29"/>
      <c r="E87" s="29"/>
      <c r="F87" s="125"/>
      <c r="G87" s="121"/>
      <c r="H87" s="121"/>
      <c r="I87" s="122"/>
      <c r="J87" s="121"/>
      <c r="K87" s="121"/>
      <c r="L87" s="122"/>
      <c r="M87" s="122"/>
      <c r="N87" s="122"/>
      <c r="O87" s="122"/>
      <c r="P87" s="122"/>
      <c r="Q87" s="122"/>
      <c r="R87" s="122"/>
      <c r="S87" s="121"/>
      <c r="T87" s="121"/>
      <c r="U87" s="122"/>
      <c r="V87" s="122"/>
      <c r="W87" s="122"/>
      <c r="X87" s="122"/>
      <c r="Y87" s="122"/>
      <c r="Z87" s="122"/>
      <c r="AA87" s="122"/>
      <c r="AB87" s="122"/>
      <c r="AC87" s="122"/>
      <c r="AD87" s="29"/>
      <c r="AF87" s="29"/>
      <c r="AG87" s="29"/>
      <c r="AH87" s="29"/>
    </row>
    <row r="88" spans="1:45" s="29" customFormat="1" ht="18" customHeight="1" x14ac:dyDescent="0.2">
      <c r="F88" s="125"/>
      <c r="G88" s="121"/>
      <c r="H88" s="121"/>
      <c r="I88" s="122"/>
      <c r="J88" s="121"/>
      <c r="K88" s="121"/>
      <c r="L88" s="122"/>
      <c r="M88" s="122"/>
      <c r="N88" s="122"/>
      <c r="O88" s="122"/>
      <c r="P88" s="122"/>
      <c r="Q88" s="122"/>
      <c r="R88" s="122"/>
      <c r="S88" s="121"/>
      <c r="T88" s="121"/>
      <c r="U88" s="122"/>
      <c r="V88" s="122"/>
      <c r="W88" s="122"/>
      <c r="X88" s="122"/>
      <c r="Y88" s="122"/>
      <c r="Z88" s="122"/>
      <c r="AA88" s="122"/>
      <c r="AB88" s="122"/>
      <c r="AC88" s="122"/>
    </row>
    <row r="89" spans="1:45" s="29" customFormat="1" ht="18" customHeight="1" x14ac:dyDescent="0.2">
      <c r="F89" s="125"/>
      <c r="G89" s="121"/>
      <c r="H89" s="121"/>
      <c r="I89" s="122"/>
      <c r="J89" s="121"/>
      <c r="K89" s="121"/>
      <c r="L89" s="122"/>
      <c r="M89" s="122"/>
      <c r="N89" s="122"/>
      <c r="O89" s="122"/>
      <c r="P89" s="122"/>
      <c r="Q89" s="122"/>
      <c r="R89" s="122"/>
      <c r="S89" s="121"/>
      <c r="T89" s="121"/>
      <c r="U89" s="122"/>
      <c r="V89" s="122"/>
      <c r="W89" s="122"/>
      <c r="X89" s="122"/>
      <c r="Y89" s="122"/>
      <c r="Z89" s="122"/>
      <c r="AA89" s="122"/>
      <c r="AB89" s="122"/>
      <c r="AC89" s="122"/>
    </row>
    <row r="90" spans="1:45" s="15" customFormat="1" ht="18" customHeight="1" x14ac:dyDescent="0.2">
      <c r="A90" s="29"/>
      <c r="E90" s="29"/>
      <c r="F90" s="125"/>
      <c r="G90" s="121"/>
      <c r="H90" s="121"/>
      <c r="I90" s="122"/>
      <c r="J90" s="121"/>
      <c r="K90" s="121"/>
      <c r="L90" s="122"/>
      <c r="M90" s="122"/>
      <c r="N90" s="122"/>
      <c r="O90" s="122"/>
      <c r="P90" s="122"/>
      <c r="Q90" s="122"/>
      <c r="R90" s="122"/>
      <c r="S90" s="121"/>
      <c r="T90" s="121"/>
      <c r="U90" s="122"/>
      <c r="V90" s="122"/>
      <c r="W90" s="122"/>
      <c r="X90" s="122"/>
      <c r="Y90" s="122"/>
      <c r="Z90" s="122"/>
      <c r="AA90" s="122"/>
      <c r="AB90" s="122"/>
      <c r="AC90" s="122"/>
      <c r="AD90" s="29"/>
      <c r="AF90" s="29"/>
      <c r="AG90" s="29"/>
      <c r="AH90" s="29"/>
    </row>
    <row r="91" spans="1:45" s="15" customFormat="1" ht="18" customHeight="1" x14ac:dyDescent="0.2">
      <c r="A91" s="29"/>
      <c r="E91" s="29"/>
      <c r="F91" s="125"/>
      <c r="G91" s="121"/>
      <c r="H91" s="121"/>
      <c r="I91" s="122"/>
      <c r="J91" s="121"/>
      <c r="K91" s="121"/>
      <c r="L91" s="122"/>
      <c r="M91" s="122"/>
      <c r="N91" s="122"/>
      <c r="O91" s="122"/>
      <c r="P91" s="122"/>
      <c r="Q91" s="122"/>
      <c r="R91" s="122"/>
      <c r="S91" s="121"/>
      <c r="T91" s="121"/>
      <c r="U91" s="122"/>
      <c r="V91" s="122"/>
      <c r="W91" s="122"/>
      <c r="X91" s="122"/>
      <c r="Y91" s="122"/>
      <c r="Z91" s="122"/>
      <c r="AA91" s="122"/>
      <c r="AB91" s="122"/>
      <c r="AC91" s="122"/>
      <c r="AD91" s="29"/>
      <c r="AF91" s="29"/>
      <c r="AG91" s="29"/>
      <c r="AH91" s="29"/>
    </row>
    <row r="92" spans="1:45" s="15" customFormat="1" ht="18" customHeight="1" x14ac:dyDescent="0.2">
      <c r="A92" s="29"/>
      <c r="E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F92" s="29"/>
      <c r="AG92" s="29"/>
      <c r="AH92" s="29"/>
    </row>
    <row r="93" spans="1:45" s="15" customFormat="1" ht="18" customHeight="1" x14ac:dyDescent="0.2">
      <c r="A93" s="29"/>
      <c r="E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F93" s="29"/>
      <c r="AG93" s="29"/>
      <c r="AH93" s="29"/>
    </row>
    <row r="94" spans="1:45" s="15" customFormat="1" ht="18" customHeight="1" x14ac:dyDescent="0.2">
      <c r="A94" s="29"/>
      <c r="E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F94" s="29"/>
      <c r="AG94" s="29"/>
      <c r="AH94" s="29"/>
    </row>
    <row r="95" spans="1:45" s="15" customFormat="1" ht="18" customHeight="1" x14ac:dyDescent="0.2">
      <c r="A95" s="29"/>
      <c r="E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F95" s="29"/>
      <c r="AG95" s="29"/>
      <c r="AH95" s="29"/>
    </row>
    <row r="96" spans="1:45" s="15" customFormat="1" ht="18" customHeight="1" x14ac:dyDescent="0.2">
      <c r="A96" s="29"/>
      <c r="E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F96" s="29"/>
      <c r="AG96" s="29"/>
      <c r="AH96" s="29"/>
    </row>
    <row r="97" spans="1:34" s="15" customFormat="1" ht="18" customHeight="1" x14ac:dyDescent="0.2">
      <c r="A97" s="29"/>
      <c r="E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F97" s="29"/>
      <c r="AG97" s="29"/>
      <c r="AH97" s="29"/>
    </row>
    <row r="98" spans="1:34" s="15" customFormat="1" ht="18" customHeight="1" x14ac:dyDescent="0.2">
      <c r="A98" s="29"/>
      <c r="D98" s="30"/>
      <c r="E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F98" s="29"/>
      <c r="AG98" s="29"/>
      <c r="AH98" s="29"/>
    </row>
    <row r="99" spans="1:34" s="15" customFormat="1" ht="18" customHeight="1" x14ac:dyDescent="0.2">
      <c r="A99" s="29"/>
      <c r="E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F99" s="29"/>
      <c r="AG99" s="29"/>
      <c r="AH99" s="29"/>
    </row>
    <row r="100" spans="1:34" s="15" customFormat="1" ht="18" customHeight="1" x14ac:dyDescent="0.2">
      <c r="A100" s="29"/>
      <c r="E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F100" s="29"/>
      <c r="AG100" s="29"/>
      <c r="AH100" s="29"/>
    </row>
    <row r="101" spans="1:34" s="15" customFormat="1" ht="18" customHeight="1" x14ac:dyDescent="0.2">
      <c r="A101" s="29"/>
      <c r="E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F101" s="29"/>
      <c r="AG101" s="29"/>
      <c r="AH101" s="29"/>
    </row>
    <row r="102" spans="1:34" s="15" customFormat="1" ht="18" customHeight="1" x14ac:dyDescent="0.2">
      <c r="A102" s="29"/>
      <c r="E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F102" s="29"/>
      <c r="AG102" s="29"/>
      <c r="AH102" s="29"/>
    </row>
    <row r="103" spans="1:34" s="15" customFormat="1" ht="18" customHeight="1" x14ac:dyDescent="0.2">
      <c r="A103" s="29"/>
      <c r="E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F103" s="29"/>
      <c r="AG103" s="29"/>
      <c r="AH103" s="29"/>
    </row>
    <row r="104" spans="1:34" s="15" customFormat="1" ht="18" customHeight="1" x14ac:dyDescent="0.2">
      <c r="A104" s="29"/>
      <c r="E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F104" s="29"/>
      <c r="AG104" s="29"/>
      <c r="AH104" s="29"/>
    </row>
    <row r="105" spans="1:34" s="15" customFormat="1" ht="18" customHeight="1" x14ac:dyDescent="0.2">
      <c r="A105" s="29"/>
      <c r="E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F105" s="29"/>
      <c r="AG105" s="29"/>
      <c r="AH105" s="29"/>
    </row>
    <row r="106" spans="1:34" s="15" customFormat="1" ht="18" customHeight="1" x14ac:dyDescent="0.2">
      <c r="A106" s="29"/>
      <c r="E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F106" s="29"/>
      <c r="AG106" s="29"/>
      <c r="AH106" s="29"/>
    </row>
    <row r="107" spans="1:34" s="15" customFormat="1" ht="18" customHeight="1" x14ac:dyDescent="0.2">
      <c r="A107" s="29"/>
      <c r="E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F107" s="29"/>
      <c r="AG107" s="29"/>
      <c r="AH107" s="29"/>
    </row>
    <row r="108" spans="1:34" s="15" customFormat="1" ht="18" customHeight="1" x14ac:dyDescent="0.2">
      <c r="A108" s="29"/>
      <c r="E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F108" s="29"/>
      <c r="AG108" s="29"/>
      <c r="AH108" s="29"/>
    </row>
    <row r="109" spans="1:34" s="15" customFormat="1" ht="18" customHeight="1" x14ac:dyDescent="0.2">
      <c r="A109" s="29"/>
      <c r="E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F109" s="29"/>
      <c r="AG109" s="29"/>
      <c r="AH109" s="29"/>
    </row>
    <row r="110" spans="1:34" s="15" customFormat="1" ht="18" customHeight="1" x14ac:dyDescent="0.2">
      <c r="A110" s="29"/>
      <c r="E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F110" s="29"/>
      <c r="AG110" s="29"/>
      <c r="AH110" s="29"/>
    </row>
    <row r="111" spans="1:34" s="15" customFormat="1" ht="18" customHeight="1" x14ac:dyDescent="0.2">
      <c r="A111" s="29"/>
      <c r="E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F111" s="29"/>
      <c r="AG111" s="29"/>
      <c r="AH111" s="29"/>
    </row>
    <row r="112" spans="1:34" s="15" customFormat="1" ht="18" customHeight="1" x14ac:dyDescent="0.2">
      <c r="A112" s="29"/>
      <c r="E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F112" s="29"/>
      <c r="AG112" s="29"/>
      <c r="AH112" s="29"/>
    </row>
    <row r="113" spans="1:34" s="15" customFormat="1" ht="18" customHeight="1" x14ac:dyDescent="0.2">
      <c r="A113" s="29"/>
      <c r="E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F113" s="29"/>
      <c r="AG113" s="29"/>
      <c r="AH113" s="29"/>
    </row>
    <row r="114" spans="1:34" s="15" customFormat="1" ht="18" customHeight="1" x14ac:dyDescent="0.2">
      <c r="A114" s="29"/>
      <c r="E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F114" s="29"/>
      <c r="AG114" s="29"/>
      <c r="AH114" s="29"/>
    </row>
    <row r="115" spans="1:34" s="15" customFormat="1" ht="18" customHeight="1" x14ac:dyDescent="0.2">
      <c r="A115" s="29"/>
      <c r="E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F115" s="29"/>
      <c r="AG115" s="29"/>
      <c r="AH115" s="29"/>
    </row>
    <row r="116" spans="1:34" s="15" customFormat="1" ht="18" customHeight="1" x14ac:dyDescent="0.2">
      <c r="A116" s="29"/>
      <c r="E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F116" s="29"/>
      <c r="AG116" s="29"/>
      <c r="AH116" s="29"/>
    </row>
    <row r="117" spans="1:34" s="15" customFormat="1" ht="18" customHeight="1" x14ac:dyDescent="0.2">
      <c r="A117" s="29"/>
      <c r="E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F117" s="29"/>
      <c r="AG117" s="29"/>
      <c r="AH117" s="29"/>
    </row>
    <row r="118" spans="1:34" s="15" customFormat="1" ht="18" customHeight="1" x14ac:dyDescent="0.2">
      <c r="A118" s="29"/>
      <c r="E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F118" s="29"/>
      <c r="AG118" s="29"/>
      <c r="AH118" s="29"/>
    </row>
    <row r="119" spans="1:34" s="15" customFormat="1" ht="18" customHeight="1" x14ac:dyDescent="0.2">
      <c r="A119" s="29"/>
      <c r="E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F119" s="29"/>
      <c r="AG119" s="29"/>
      <c r="AH119" s="29"/>
    </row>
    <row r="120" spans="1:34" s="15" customFormat="1" ht="18" customHeight="1" x14ac:dyDescent="0.2">
      <c r="A120" s="29"/>
      <c r="E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F120" s="29"/>
      <c r="AG120" s="29"/>
      <c r="AH120" s="29"/>
    </row>
    <row r="121" spans="1:34" s="15" customFormat="1" ht="18" customHeight="1" x14ac:dyDescent="0.2">
      <c r="A121" s="29"/>
      <c r="E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F121" s="29"/>
      <c r="AG121" s="29"/>
      <c r="AH121" s="29"/>
    </row>
    <row r="122" spans="1:34" s="15" customFormat="1" ht="18" customHeight="1" x14ac:dyDescent="0.2">
      <c r="A122" s="29"/>
      <c r="E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F122" s="29"/>
      <c r="AG122" s="29"/>
      <c r="AH122" s="29"/>
    </row>
    <row r="123" spans="1:34" s="15" customFormat="1" ht="18" customHeight="1" x14ac:dyDescent="0.2">
      <c r="A123" s="29"/>
      <c r="E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F123" s="29"/>
      <c r="AG123" s="29"/>
      <c r="AH123" s="29"/>
    </row>
    <row r="124" spans="1:34" s="15" customFormat="1" ht="18" customHeight="1" x14ac:dyDescent="0.2">
      <c r="A124" s="29"/>
      <c r="E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F124" s="29"/>
      <c r="AG124" s="29"/>
      <c r="AH124" s="29"/>
    </row>
    <row r="125" spans="1:34" s="15" customFormat="1" ht="18" customHeight="1" x14ac:dyDescent="0.2">
      <c r="A125" s="29"/>
      <c r="E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F125" s="29"/>
      <c r="AG125" s="29"/>
      <c r="AH125" s="29"/>
    </row>
    <row r="126" spans="1:34" s="15" customFormat="1" ht="18" customHeight="1" x14ac:dyDescent="0.2">
      <c r="A126" s="29"/>
      <c r="E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F126" s="29"/>
      <c r="AG126" s="29"/>
      <c r="AH126" s="29"/>
    </row>
    <row r="127" spans="1:34" s="15" customFormat="1" ht="18" customHeight="1" x14ac:dyDescent="0.2">
      <c r="A127" s="29"/>
      <c r="E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F127" s="29"/>
      <c r="AG127" s="29"/>
      <c r="AH127" s="29"/>
    </row>
    <row r="128" spans="1:34" s="15" customFormat="1" ht="18" customHeight="1" x14ac:dyDescent="0.2">
      <c r="A128" s="29"/>
      <c r="E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F128" s="29"/>
      <c r="AG128" s="29"/>
      <c r="AH128" s="29"/>
    </row>
    <row r="129" spans="1:34" s="15" customFormat="1" ht="18" customHeight="1" x14ac:dyDescent="0.2">
      <c r="A129" s="29"/>
      <c r="E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F129" s="29"/>
      <c r="AG129" s="29"/>
      <c r="AH129" s="29"/>
    </row>
    <row r="130" spans="1:34" s="15" customFormat="1" ht="18" customHeight="1" x14ac:dyDescent="0.2">
      <c r="A130" s="29"/>
      <c r="E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F130" s="29"/>
      <c r="AG130" s="29"/>
      <c r="AH130" s="29"/>
    </row>
    <row r="131" spans="1:34" s="15" customFormat="1" ht="18" customHeight="1" x14ac:dyDescent="0.2">
      <c r="A131" s="29"/>
      <c r="E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F131" s="29"/>
      <c r="AG131" s="29"/>
      <c r="AH131" s="29"/>
    </row>
    <row r="132" spans="1:34" s="15" customFormat="1" ht="18" customHeight="1" x14ac:dyDescent="0.2">
      <c r="A132" s="29"/>
      <c r="E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F132" s="29"/>
      <c r="AG132" s="29"/>
      <c r="AH132" s="29"/>
    </row>
    <row r="133" spans="1:34" s="15" customFormat="1" ht="18" customHeight="1" x14ac:dyDescent="0.2">
      <c r="A133" s="29"/>
      <c r="E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F133" s="29"/>
      <c r="AG133" s="29"/>
      <c r="AH133" s="29"/>
    </row>
    <row r="134" spans="1:34" s="15" customFormat="1" ht="18" customHeight="1" x14ac:dyDescent="0.2">
      <c r="A134" s="29"/>
      <c r="E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F134" s="29"/>
      <c r="AG134" s="29"/>
      <c r="AH134" s="29"/>
    </row>
    <row r="135" spans="1:34" s="15" customFormat="1" ht="18" customHeight="1" x14ac:dyDescent="0.2">
      <c r="A135" s="29"/>
      <c r="E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F135" s="29"/>
      <c r="AG135" s="29"/>
      <c r="AH135" s="29"/>
    </row>
    <row r="136" spans="1:34" s="15" customFormat="1" ht="18" customHeight="1" x14ac:dyDescent="0.2">
      <c r="A136" s="29"/>
      <c r="E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F136" s="29"/>
      <c r="AG136" s="29"/>
      <c r="AH136" s="29"/>
    </row>
    <row r="137" spans="1:34" s="15" customFormat="1" ht="18" customHeight="1" x14ac:dyDescent="0.2">
      <c r="A137" s="29"/>
      <c r="E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F137" s="29"/>
      <c r="AG137" s="29"/>
      <c r="AH137" s="29"/>
    </row>
    <row r="138" spans="1:34" s="15" customFormat="1" ht="18" customHeight="1" x14ac:dyDescent="0.2">
      <c r="A138" s="29"/>
      <c r="E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F138" s="29"/>
      <c r="AG138" s="29"/>
      <c r="AH138" s="29"/>
    </row>
    <row r="139" spans="1:34" s="15" customFormat="1" ht="18" customHeight="1" x14ac:dyDescent="0.2">
      <c r="A139" s="29"/>
      <c r="E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F139" s="29"/>
      <c r="AG139" s="29"/>
      <c r="AH139" s="29"/>
    </row>
    <row r="140" spans="1:34" s="15" customFormat="1" ht="18" customHeight="1" x14ac:dyDescent="0.2">
      <c r="A140" s="29"/>
      <c r="E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F140" s="29"/>
      <c r="AG140" s="29"/>
      <c r="AH140" s="29"/>
    </row>
    <row r="141" spans="1:34" s="15" customFormat="1" ht="18" customHeight="1" x14ac:dyDescent="0.2">
      <c r="A141" s="29"/>
      <c r="E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F141" s="29"/>
      <c r="AG141" s="29"/>
      <c r="AH141" s="29"/>
    </row>
    <row r="142" spans="1:34" s="15" customFormat="1" ht="18" customHeight="1" x14ac:dyDescent="0.2">
      <c r="A142" s="29"/>
      <c r="E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F142" s="29"/>
      <c r="AG142" s="29"/>
      <c r="AH142" s="29"/>
    </row>
    <row r="143" spans="1:34" s="15" customFormat="1" ht="18" customHeight="1" x14ac:dyDescent="0.2">
      <c r="A143" s="29"/>
      <c r="E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F143" s="29"/>
      <c r="AG143" s="29"/>
      <c r="AH143" s="29"/>
    </row>
    <row r="144" spans="1:34" s="15" customFormat="1" ht="18" customHeight="1" x14ac:dyDescent="0.2">
      <c r="A144" s="29"/>
      <c r="E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F144" s="29"/>
      <c r="AG144" s="29"/>
      <c r="AH144" s="29"/>
    </row>
    <row r="145" spans="1:34" s="15" customFormat="1" ht="18" customHeight="1" x14ac:dyDescent="0.2">
      <c r="A145" s="29"/>
      <c r="E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F145" s="29"/>
      <c r="AG145" s="29"/>
      <c r="AH145" s="29"/>
    </row>
    <row r="146" spans="1:34" s="15" customFormat="1" ht="18" customHeight="1" x14ac:dyDescent="0.2">
      <c r="A146" s="29"/>
      <c r="E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F146" s="29"/>
      <c r="AG146" s="29"/>
      <c r="AH146" s="29"/>
    </row>
    <row r="147" spans="1:34" s="15" customFormat="1" ht="18" customHeight="1" x14ac:dyDescent="0.2">
      <c r="A147" s="29"/>
      <c r="E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F147" s="29"/>
      <c r="AG147" s="29"/>
      <c r="AH147" s="29"/>
    </row>
    <row r="148" spans="1:34" s="15" customFormat="1" ht="18" customHeight="1" x14ac:dyDescent="0.2">
      <c r="A148" s="29"/>
      <c r="E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F148" s="29"/>
      <c r="AG148" s="29"/>
      <c r="AH148" s="29"/>
    </row>
    <row r="149" spans="1:34" s="15" customFormat="1" ht="18" customHeight="1" x14ac:dyDescent="0.2">
      <c r="A149" s="29"/>
      <c r="E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F149" s="29"/>
      <c r="AG149" s="29"/>
      <c r="AH149" s="29"/>
    </row>
    <row r="150" spans="1:34" s="15" customFormat="1" ht="18" customHeight="1" x14ac:dyDescent="0.2">
      <c r="A150" s="29"/>
      <c r="E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F150" s="29"/>
      <c r="AG150" s="29"/>
      <c r="AH150" s="29"/>
    </row>
    <row r="151" spans="1:34" s="15" customFormat="1" ht="18" customHeight="1" x14ac:dyDescent="0.2">
      <c r="A151" s="29"/>
      <c r="E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F151" s="29"/>
      <c r="AG151" s="29"/>
      <c r="AH151" s="29"/>
    </row>
    <row r="152" spans="1:34" s="15" customFormat="1" ht="18" customHeight="1" x14ac:dyDescent="0.2">
      <c r="A152" s="29"/>
      <c r="E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F152" s="29"/>
      <c r="AG152" s="29"/>
      <c r="AH152" s="29"/>
    </row>
    <row r="153" spans="1:34" s="15" customFormat="1" ht="18" customHeight="1" x14ac:dyDescent="0.2">
      <c r="A153" s="29"/>
      <c r="E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F153" s="29"/>
      <c r="AG153" s="29"/>
      <c r="AH153" s="29"/>
    </row>
    <row r="154" spans="1:34" s="15" customFormat="1" ht="18" customHeight="1" x14ac:dyDescent="0.2">
      <c r="A154" s="29"/>
      <c r="E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F154" s="29"/>
      <c r="AG154" s="29"/>
      <c r="AH154" s="29"/>
    </row>
    <row r="155" spans="1:34" s="15" customFormat="1" ht="18" customHeight="1" x14ac:dyDescent="0.2">
      <c r="A155" s="29"/>
      <c r="E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F155" s="29"/>
      <c r="AG155" s="29"/>
      <c r="AH155" s="29"/>
    </row>
    <row r="156" spans="1:34" s="15" customFormat="1" ht="18" customHeight="1" x14ac:dyDescent="0.2">
      <c r="A156" s="29"/>
      <c r="E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F156" s="29"/>
      <c r="AG156" s="29"/>
      <c r="AH156" s="29"/>
    </row>
    <row r="157" spans="1:34" s="15" customFormat="1" ht="18" customHeight="1" x14ac:dyDescent="0.2">
      <c r="A157" s="29"/>
      <c r="E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F157" s="29"/>
      <c r="AG157" s="29"/>
      <c r="AH157" s="29"/>
    </row>
    <row r="158" spans="1:34" s="15" customFormat="1" ht="18" customHeight="1" x14ac:dyDescent="0.2">
      <c r="A158" s="29"/>
      <c r="E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F158" s="29"/>
      <c r="AG158" s="29"/>
      <c r="AH158" s="29"/>
    </row>
    <row r="159" spans="1:34" s="15" customFormat="1" ht="18" customHeight="1" x14ac:dyDescent="0.2">
      <c r="A159" s="29"/>
      <c r="E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F159" s="29"/>
      <c r="AG159" s="29"/>
      <c r="AH159" s="29"/>
    </row>
    <row r="160" spans="1:34" s="15" customFormat="1" ht="18" customHeight="1" x14ac:dyDescent="0.2">
      <c r="A160" s="29"/>
      <c r="E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F160" s="29"/>
      <c r="AG160" s="29"/>
      <c r="AH160" s="29"/>
    </row>
  </sheetData>
  <sheetProtection sheet="1" objects="1" scenarios="1" formatColumns="0" formatRows="0"/>
  <protectedRanges>
    <protectedRange sqref="G59:W61" name="Commentaires"/>
  </protectedRanges>
  <mergeCells count="18">
    <mergeCell ref="V19:W20"/>
    <mergeCell ref="G19:U20"/>
    <mergeCell ref="AU30:AW30"/>
    <mergeCell ref="AH30:AH32"/>
    <mergeCell ref="AE35:AF35"/>
    <mergeCell ref="I31:K32"/>
    <mergeCell ref="M31:P32"/>
    <mergeCell ref="T31:V32"/>
    <mergeCell ref="X31:AA32"/>
    <mergeCell ref="F61:AA61"/>
    <mergeCell ref="F62:AA62"/>
    <mergeCell ref="F59:AA59"/>
    <mergeCell ref="F60:AA60"/>
    <mergeCell ref="M33:N33"/>
    <mergeCell ref="P33:Q33"/>
    <mergeCell ref="X33:Y33"/>
    <mergeCell ref="AA33:AB33"/>
    <mergeCell ref="F35:G35"/>
  </mergeCells>
  <phoneticPr fontId="0" type="noConversion"/>
  <conditionalFormatting sqref="O35">
    <cfRule type="cellIs" dxfId="83" priority="6825" operator="equal">
      <formula>$AU$32</formula>
    </cfRule>
  </conditionalFormatting>
  <conditionalFormatting sqref="O35">
    <cfRule type="cellIs" dxfId="82" priority="6824" operator="equal">
      <formula>$AV$32</formula>
    </cfRule>
  </conditionalFormatting>
  <conditionalFormatting sqref="O35">
    <cfRule type="cellIs" dxfId="81" priority="6823" operator="equal">
      <formula>$AW$32</formula>
    </cfRule>
  </conditionalFormatting>
  <conditionalFormatting sqref="R35">
    <cfRule type="cellIs" dxfId="80" priority="6822" operator="equal">
      <formula>$AU$32</formula>
    </cfRule>
  </conditionalFormatting>
  <conditionalFormatting sqref="R35">
    <cfRule type="cellIs" dxfId="79" priority="6821" operator="equal">
      <formula>$AV$32</formula>
    </cfRule>
  </conditionalFormatting>
  <conditionalFormatting sqref="R35">
    <cfRule type="cellIs" dxfId="78" priority="6820" operator="equal">
      <formula>$AW$32</formula>
    </cfRule>
  </conditionalFormatting>
  <conditionalFormatting sqref="Z35">
    <cfRule type="cellIs" dxfId="77" priority="6819" operator="equal">
      <formula>$AU$32</formula>
    </cfRule>
  </conditionalFormatting>
  <conditionalFormatting sqref="Z35">
    <cfRule type="cellIs" dxfId="76" priority="6818" operator="equal">
      <formula>$AV$32</formula>
    </cfRule>
  </conditionalFormatting>
  <conditionalFormatting sqref="Z35">
    <cfRule type="cellIs" dxfId="75" priority="6817" operator="equal">
      <formula>$AW$32</formula>
    </cfRule>
  </conditionalFormatting>
  <conditionalFormatting sqref="AC35">
    <cfRule type="cellIs" dxfId="74" priority="6816" operator="equal">
      <formula>$AU$32</formula>
    </cfRule>
  </conditionalFormatting>
  <conditionalFormatting sqref="AC35">
    <cfRule type="cellIs" dxfId="73" priority="6815" operator="equal">
      <formula>$AV$32</formula>
    </cfRule>
  </conditionalFormatting>
  <conditionalFormatting sqref="AC35">
    <cfRule type="cellIs" dxfId="72" priority="6814" operator="equal">
      <formula>$AW$32</formula>
    </cfRule>
  </conditionalFormatting>
  <conditionalFormatting sqref="O2:O7">
    <cfRule type="cellIs" dxfId="71" priority="6801" operator="equal">
      <formula>$AU$32</formula>
    </cfRule>
  </conditionalFormatting>
  <conditionalFormatting sqref="O2:O7">
    <cfRule type="cellIs" dxfId="70" priority="6800" operator="equal">
      <formula>$AV$32</formula>
    </cfRule>
  </conditionalFormatting>
  <conditionalFormatting sqref="O2:O7">
    <cfRule type="cellIs" dxfId="69" priority="6799" operator="equal">
      <formula>$AW$32</formula>
    </cfRule>
  </conditionalFormatting>
  <conditionalFormatting sqref="R2:R7">
    <cfRule type="cellIs" dxfId="68" priority="6789" operator="equal">
      <formula>$AU$32</formula>
    </cfRule>
  </conditionalFormatting>
  <conditionalFormatting sqref="R2:R7">
    <cfRule type="cellIs" dxfId="67" priority="6788" operator="equal">
      <formula>$AV$32</formula>
    </cfRule>
  </conditionalFormatting>
  <conditionalFormatting sqref="R2:R7">
    <cfRule type="cellIs" dxfId="66" priority="6787" operator="equal">
      <formula>$AW$32</formula>
    </cfRule>
  </conditionalFormatting>
  <conditionalFormatting sqref="Z2:Z7">
    <cfRule type="cellIs" dxfId="65" priority="6714" operator="equal">
      <formula>$AU$32</formula>
    </cfRule>
  </conditionalFormatting>
  <conditionalFormatting sqref="Z2:Z7">
    <cfRule type="cellIs" dxfId="64" priority="6713" operator="equal">
      <formula>$AV$32</formula>
    </cfRule>
  </conditionalFormatting>
  <conditionalFormatting sqref="Z2:Z7">
    <cfRule type="cellIs" dxfId="63" priority="6712" operator="equal">
      <formula>$AW$32</formula>
    </cfRule>
  </conditionalFormatting>
  <conditionalFormatting sqref="AC2:AC7">
    <cfRule type="cellIs" dxfId="62" priority="6711" operator="equal">
      <formula>$AU$32</formula>
    </cfRule>
  </conditionalFormatting>
  <conditionalFormatting sqref="AC2:AC7">
    <cfRule type="cellIs" dxfId="61" priority="6710" operator="equal">
      <formula>$AV$32</formula>
    </cfRule>
  </conditionalFormatting>
  <conditionalFormatting sqref="AC2:AC7">
    <cfRule type="cellIs" dxfId="60" priority="6709" operator="equal">
      <formula>$AW$32</formula>
    </cfRule>
  </conditionalFormatting>
  <conditionalFormatting sqref="O52:O54">
    <cfRule type="cellIs" dxfId="11" priority="12" operator="equal">
      <formula>$AU$32</formula>
    </cfRule>
  </conditionalFormatting>
  <conditionalFormatting sqref="O52:O54">
    <cfRule type="cellIs" dxfId="10" priority="11" operator="equal">
      <formula>$AV$32</formula>
    </cfRule>
  </conditionalFormatting>
  <conditionalFormatting sqref="O52:O54">
    <cfRule type="cellIs" dxfId="9" priority="10" operator="equal">
      <formula>$AW$32</formula>
    </cfRule>
  </conditionalFormatting>
  <conditionalFormatting sqref="R52:R54">
    <cfRule type="cellIs" dxfId="8" priority="9" operator="equal">
      <formula>$AU$32</formula>
    </cfRule>
  </conditionalFormatting>
  <conditionalFormatting sqref="R52:R54">
    <cfRule type="cellIs" dxfId="7" priority="8" operator="equal">
      <formula>$AV$32</formula>
    </cfRule>
  </conditionalFormatting>
  <conditionalFormatting sqref="R52:R54">
    <cfRule type="cellIs" dxfId="6" priority="7" operator="equal">
      <formula>$AW$32</formula>
    </cfRule>
  </conditionalFormatting>
  <conditionalFormatting sqref="Z52:Z54">
    <cfRule type="cellIs" dxfId="5" priority="6" operator="equal">
      <formula>$AU$32</formula>
    </cfRule>
  </conditionalFormatting>
  <conditionalFormatting sqref="Z52:Z54">
    <cfRule type="cellIs" dxfId="4" priority="5" operator="equal">
      <formula>$AV$32</formula>
    </cfRule>
  </conditionalFormatting>
  <conditionalFormatting sqref="Z52:Z54">
    <cfRule type="cellIs" dxfId="3" priority="4" operator="equal">
      <formula>$AW$32</formula>
    </cfRule>
  </conditionalFormatting>
  <conditionalFormatting sqref="AC52:AC54">
    <cfRule type="cellIs" dxfId="2" priority="3" operator="equal">
      <formula>$AU$32</formula>
    </cfRule>
  </conditionalFormatting>
  <conditionalFormatting sqref="AC52:AC54">
    <cfRule type="cellIs" dxfId="1" priority="2" operator="equal">
      <formula>$AV$32</formula>
    </cfRule>
  </conditionalFormatting>
  <conditionalFormatting sqref="AC52:AC54">
    <cfRule type="cellIs" dxfId="0" priority="1" operator="equal">
      <formula>$AW$32</formula>
    </cfRule>
  </conditionalFormatting>
  <dataValidations count="2">
    <dataValidation type="list" allowBlank="1" showInputMessage="1" showErrorMessage="1" sqref="AF30:AG31 G25 H31">
      <formula1>Language</formula1>
    </dataValidation>
    <dataValidation type="list" allowBlank="1" showInputMessage="1" showErrorMessage="1" sqref="G33 AF33">
      <formula1>$AQ$22:$AQ$24</formula1>
    </dataValidation>
  </dataValidations>
  <printOptions horizontalCentered="1"/>
  <pageMargins left="0" right="0" top="0" bottom="0" header="0.35433070866141736" footer="0.15748031496062992"/>
  <pageSetup paperSize="9" scale="47" orientation="landscape" r:id="rId1"/>
  <headerFooter alignWithMargins="0">
    <oddFooter>&amp;LConfidentiel&amp;C&amp;D&amp;RPage &amp;P</oddFooter>
  </headerFooter>
  <rowBreaks count="1" manualBreakCount="1">
    <brk id="64" max="16383" man="1"/>
  </rowBreaks>
  <drawing r:id="rId2"/>
  <legacyDrawing r:id="rId3"/>
  <controls>
    <mc:AlternateContent xmlns:mc="http://schemas.openxmlformats.org/markup-compatibility/2006">
      <mc:Choice Requires="x14">
        <control shapeId="160787" r:id="rId4" name="Refresh_Report">
          <controlPr defaultSize="0" print="0" autoLine="0" r:id="rId5">
            <anchor moveWithCells="1">
              <from>
                <xdr:col>5</xdr:col>
                <xdr:colOff>38100</xdr:colOff>
                <xdr:row>15</xdr:row>
                <xdr:rowOff>85725</xdr:rowOff>
              </from>
              <to>
                <xdr:col>5</xdr:col>
                <xdr:colOff>2286000</xdr:colOff>
                <xdr:row>17</xdr:row>
                <xdr:rowOff>142875</xdr:rowOff>
              </to>
            </anchor>
          </controlPr>
        </control>
      </mc:Choice>
      <mc:Fallback>
        <control shapeId="160787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30</vt:i4>
      </vt:variant>
    </vt:vector>
  </HeadingPairs>
  <TitlesOfParts>
    <vt:vector size="32" baseType="lpstr">
      <vt:lpstr>Context</vt:lpstr>
      <vt:lpstr>Couts_bruts_Couts_net</vt:lpstr>
      <vt:lpstr>ActualBudgetAdmin</vt:lpstr>
      <vt:lpstr>ActualForecast1Admin</vt:lpstr>
      <vt:lpstr>ActualForecast2Admin</vt:lpstr>
      <vt:lpstr>ActualMonth</vt:lpstr>
      <vt:lpstr>ActualMonthYTD</vt:lpstr>
      <vt:lpstr>AutoFit</vt:lpstr>
      <vt:lpstr>Autofit1</vt:lpstr>
      <vt:lpstr>Autofit2</vt:lpstr>
      <vt:lpstr>Autofit3</vt:lpstr>
      <vt:lpstr>Autofit4</vt:lpstr>
      <vt:lpstr>Autofit5</vt:lpstr>
      <vt:lpstr>Autofit6</vt:lpstr>
      <vt:lpstr>AutoRefresh_Couts_bruts_Couts_net</vt:lpstr>
      <vt:lpstr>AutoRefresh_Input_PL</vt:lpstr>
      <vt:lpstr>Cube1</vt:lpstr>
      <vt:lpstr>Cube2</vt:lpstr>
      <vt:lpstr>Flag_Send_Comment</vt:lpstr>
      <vt:lpstr>Flag_Send_Data</vt:lpstr>
      <vt:lpstr>Couts_bruts_Couts_net!Impression_des_titres</vt:lpstr>
      <vt:lpstr>Language</vt:lpstr>
      <vt:lpstr>LocalLanguage</vt:lpstr>
      <vt:lpstr>LocalLanguage2</vt:lpstr>
      <vt:lpstr>Note</vt:lpstr>
      <vt:lpstr>Server</vt:lpstr>
      <vt:lpstr>Couts_bruts_Couts_net!TM1RPTDATARNGARPT3</vt:lpstr>
      <vt:lpstr>Couts_bruts_Couts_net!TM1RPTFMTIDCOL</vt:lpstr>
      <vt:lpstr>Couts_bruts_Couts_net!TM1RPTFMTRNG</vt:lpstr>
      <vt:lpstr>xHost</vt:lpstr>
      <vt:lpstr>xServer</vt:lpstr>
      <vt:lpstr>Couts_bruts_Couts_net!Zone_d_impression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2012-06-25T09:36:28Z</cp:lastPrinted>
  <dcterms:created xsi:type="dcterms:W3CDTF">2011-06-21T16:52:24Z</dcterms:created>
  <dcterms:modified xsi:type="dcterms:W3CDTF">2013-04-18T14:00:32Z</dcterms:modified>
</cp:coreProperties>
</file>