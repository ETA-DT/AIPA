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-375" yWindow="-30" windowWidth="19320" windowHeight="9090" activeTab="1"/>
  </bookViews>
  <sheets>
    <sheet name="Context" sheetId="4" r:id="rId1"/>
    <sheet name="Contract" sheetId="1" r:id="rId2"/>
    <sheet name="Contract_DBS" sheetId="2" r:id="rId3"/>
  </sheets>
  <functionGroups builtInGroupCount="17"/>
  <definedNames>
    <definedName name="Cube1">Context!$B$11</definedName>
    <definedName name="Cube2">Context!$B$12</definedName>
    <definedName name="Flag_Send_Comment">Context!$B$8</definedName>
    <definedName name="Flag_Send_Data">Context!$B$7</definedName>
    <definedName name="LocalLanguage">Context!$B$15</definedName>
    <definedName name="Server">Context!$B$4</definedName>
    <definedName name="Test">Contract!$E$15</definedName>
    <definedName name="TM1REBUILDOPTION">1</definedName>
    <definedName name="TM1RPTDATARNGPendingContractList" localSheetId="1">Contract!$23:$23</definedName>
    <definedName name="TM1RPTFMTIDCOL" localSheetId="1">Contract!$A$1:$A$8</definedName>
    <definedName name="TM1RPTFMTRNG" localSheetId="1">Contract!$B$1:$W$8</definedName>
    <definedName name="xDBS_template">Contract_DBS!$E$14</definedName>
    <definedName name="xFormEnd">Contract!$B$24</definedName>
    <definedName name="xFormInit">Contract!$B$23</definedName>
    <definedName name="xHost">Context!$B$6</definedName>
    <definedName name="xServer">Context!$B$5</definedName>
    <definedName name="xTM1User">Context!$B$13</definedName>
    <definedName name="xValidation">Context!$E$2:$E$3</definedName>
    <definedName name="_xlnm.Print_Area" localSheetId="1">Contract!$A$1:$W$48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P22" i="1" l="1"/>
  <c r="B10" i="1"/>
  <c r="B23" i="1"/>
  <c r="R23" i="1"/>
  <c r="Q23" i="1"/>
  <c r="P23" i="1"/>
  <c r="E27" i="2"/>
  <c r="E26" i="2"/>
  <c r="E25" i="2"/>
  <c r="E24" i="2"/>
  <c r="E23" i="2"/>
  <c r="B9" i="1"/>
  <c r="B5" i="4"/>
  <c r="B13" i="4"/>
  <c r="B15" i="4"/>
  <c r="E2" i="4"/>
  <c r="E3" i="4"/>
  <c r="W23" i="1"/>
  <c r="V23" i="1"/>
  <c r="U23" i="1"/>
  <c r="T23" i="1"/>
  <c r="S23" i="1"/>
  <c r="O23" i="1"/>
  <c r="N23" i="1"/>
  <c r="H23" i="1"/>
  <c r="E14" i="2"/>
  <c r="F16" i="1"/>
  <c r="C23" i="1"/>
  <c r="W16" i="1"/>
  <c r="E22" i="1"/>
  <c r="W22" i="1"/>
  <c r="F23" i="1"/>
  <c r="I23" i="1"/>
  <c r="J23" i="1"/>
  <c r="K23" i="1"/>
  <c r="L23" i="1"/>
  <c r="M23" i="1"/>
  <c r="G23" i="1"/>
  <c r="A23" i="1"/>
  <c r="A5" i="1"/>
  <c r="A4" i="1"/>
  <c r="A3" i="1"/>
  <c r="A2" i="1"/>
  <c r="K22" i="1"/>
  <c r="L22" i="1"/>
  <c r="M22" i="1"/>
  <c r="N22" i="1"/>
  <c r="O22" i="1"/>
  <c r="S22" i="1"/>
  <c r="T22" i="1"/>
  <c r="U22" i="1"/>
  <c r="V22" i="1"/>
  <c r="S21" i="1"/>
  <c r="M21" i="1"/>
  <c r="K21" i="1"/>
  <c r="G22" i="1"/>
  <c r="H22" i="1"/>
  <c r="I22" i="1"/>
  <c r="J22" i="1"/>
  <c r="F22" i="1"/>
  <c r="F21" i="1"/>
  <c r="B14" i="4"/>
</calcChain>
</file>

<file path=xl/sharedStrings.xml><?xml version="1.0" encoding="utf-8"?>
<sst xmlns="http://schemas.openxmlformats.org/spreadsheetml/2006/main" count="80" uniqueCount="76">
  <si>
    <t>Sub-Activity</t>
  </si>
  <si>
    <t>User :</t>
  </si>
  <si>
    <t>Organization :</t>
  </si>
  <si>
    <t>Server Name :</t>
  </si>
  <si>
    <t>Administration Generic Context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</si>
  <si>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</si>
  <si>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</si>
  <si>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</si>
  <si>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</si>
  <si>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</si>
  <si>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</si>
  <si>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</si>
  <si>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Language List :</t>
  </si>
  <si>
    <t>English</t>
  </si>
  <si>
    <t>French</t>
  </si>
  <si>
    <t>Dutch</t>
  </si>
  <si>
    <t>German</t>
  </si>
  <si>
    <t>Portugese</t>
  </si>
  <si>
    <t>Management unit form Context :</t>
  </si>
  <si>
    <t>z_Contract_Pending_Approval</t>
  </si>
  <si>
    <t>z_Comments_Contract</t>
  </si>
  <si>
    <t>Local language :</t>
  </si>
  <si>
    <t>z_Translate_Report</t>
  </si>
  <si>
    <t>area</t>
  </si>
  <si>
    <t>type</t>
  </si>
  <si>
    <t>country_region</t>
  </si>
  <si>
    <t>management_unit_detail</t>
  </si>
  <si>
    <t>tango_management_unit_code</t>
  </si>
  <si>
    <t>local_management_unit_code</t>
  </si>
  <si>
    <t>contract_name</t>
  </si>
  <si>
    <t>cost_center</t>
  </si>
  <si>
    <t>line_of_business</t>
  </si>
  <si>
    <t>management_unit_other_details</t>
  </si>
  <si>
    <t>start_date</t>
  </si>
  <si>
    <t>end_date</t>
  </si>
  <si>
    <t>management_unit_status</t>
  </si>
  <si>
    <t>option_years</t>
  </si>
  <si>
    <t>comments</t>
  </si>
  <si>
    <t>management_unit_parameters</t>
  </si>
  <si>
    <t>legal_entity</t>
  </si>
  <si>
    <t>sub_activity</t>
  </si>
  <si>
    <t>economic_model</t>
  </si>
  <si>
    <t>Comment_1</t>
  </si>
  <si>
    <t>Comment_2</t>
  </si>
  <si>
    <t>Comment_3</t>
  </si>
  <si>
    <t>Comment_4</t>
  </si>
  <si>
    <t>Type</t>
  </si>
  <si>
    <t>Country_Region</t>
  </si>
  <si>
    <t>Local_Management_Unit_Code</t>
  </si>
  <si>
    <t>Management_Unit_Name</t>
  </si>
  <si>
    <t>Cost_center</t>
  </si>
  <si>
    <t>Line_of_business</t>
  </si>
  <si>
    <t>Start_Date</t>
  </si>
  <si>
    <t>End_Date</t>
  </si>
  <si>
    <t>Management_unit_status</t>
  </si>
  <si>
    <t>Option_years</t>
  </si>
  <si>
    <t>Legal_entity</t>
  </si>
  <si>
    <t>Type_of_client</t>
  </si>
  <si>
    <t>Economic_model</t>
  </si>
  <si>
    <t>type_of_client</t>
  </si>
  <si>
    <t>validation_management_unit_form</t>
  </si>
  <si>
    <t>output</t>
  </si>
  <si>
    <t>Validation</t>
  </si>
  <si>
    <t>D</t>
  </si>
  <si>
    <t>N</t>
  </si>
  <si>
    <t>[Begin Format Range]</t>
  </si>
  <si>
    <t>[End Format Range]</t>
  </si>
  <si>
    <t>validated</t>
  </si>
  <si>
    <t>rejected</t>
  </si>
  <si>
    <t>template</t>
  </si>
  <si>
    <t>Sub Activity</t>
  </si>
  <si>
    <t>Business Model</t>
  </si>
  <si>
    <t>business_model</t>
  </si>
  <si>
    <t>Business_model</t>
  </si>
  <si>
    <t>tango_core_model:</t>
  </si>
  <si>
    <t>TFR-AP019271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</si>
</sst>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name val="Calibri"/>
      <family val="2"/>
    </font>
    <font>
      <b/>
      <sz val="14"/>
      <color rgb="FF7E408F"/>
      <name val="Calibri"/>
      <family val="2"/>
    </font>
    <font>
      <b/>
      <sz val="22"/>
      <color indexed="9"/>
      <name val="Calibri"/>
      <family val="2"/>
    </font>
    <font>
      <sz val="10"/>
      <name val="Arial"/>
      <family val="2"/>
    </font>
    <font>
      <b/>
      <sz val="12"/>
      <color indexed="45"/>
      <name val="Arial"/>
      <family val="2"/>
    </font>
    <font>
      <b/>
      <sz val="10"/>
      <color indexed="9"/>
      <name val="Arial"/>
      <family val="2"/>
    </font>
    <font>
      <b/>
      <sz val="14"/>
      <color rgb="FF7E408F"/>
      <name val="Arial"/>
      <family val="2"/>
    </font>
    <font>
      <b/>
      <sz val="10"/>
      <color rgb="FF7E408F"/>
      <name val="Arial"/>
      <family val="2"/>
    </font>
    <font>
      <b/>
      <sz val="11"/>
      <color rgb="FFFF0000"/>
      <name val="Calibri"/>
      <family val="2"/>
      <scheme val="minor"/>
    </font>
    <font>
      <b/>
      <i/>
      <sz val="16"/>
      <color indexed="9"/>
      <name val="Calibri"/>
      <family val="2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</font>
    <font>
      <b/>
      <sz val="12"/>
      <color theme="0"/>
      <name val="Calibri"/>
      <family val="2"/>
    </font>
    <font>
      <sz val="11"/>
      <color rgb="FF000000"/>
      <name val="Calibri"/>
      <family val="2"/>
    </font>
    <font>
      <b/>
      <sz val="14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F707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thin">
        <color rgb="FFD0C2A4"/>
      </top>
      <bottom style="thin">
        <color rgb="FFD0C2A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rgb="FF7E408F"/>
      </right>
      <top style="thin">
        <color rgb="FF7E408F"/>
      </top>
      <bottom style="thin">
        <color rgb="FF7E408F"/>
      </bottom>
      <diagonal/>
    </border>
    <border>
      <left style="thin">
        <color indexed="36"/>
      </left>
      <right style="thin">
        <color rgb="FF7E408F"/>
      </right>
      <top style="thin">
        <color rgb="FF7E408F"/>
      </top>
      <bottom style="thin">
        <color rgb="FF7E408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medium">
        <color auto="1"/>
      </bottom>
      <diagonal/>
    </border>
    <border>
      <left style="thick">
        <color indexed="9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9"/>
      </right>
      <top/>
      <bottom style="thick">
        <color indexed="9"/>
      </bottom>
      <diagonal/>
    </border>
    <border>
      <left style="thick">
        <color indexed="9"/>
      </left>
      <right style="thick">
        <color indexed="9"/>
      </right>
      <top style="thick">
        <color indexed="9"/>
      </top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9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0" fillId="0" borderId="4" xfId="0" applyBorder="1"/>
    <xf numFmtId="0" fontId="2" fillId="0" borderId="0" xfId="0" applyFont="1" applyBorder="1" applyAlignment="1">
      <alignment vertical="center"/>
    </xf>
    <xf numFmtId="0" fontId="1" fillId="0" borderId="0" xfId="0" applyFont="1" applyAlignment="1">
      <alignment horizontal="center"/>
    </xf>
    <xf numFmtId="0" fontId="5" fillId="0" borderId="0" xfId="0" applyFont="1" applyProtection="1">
      <protection locked="0"/>
    </xf>
    <xf numFmtId="0" fontId="0" fillId="0" borderId="0" xfId="0" applyProtection="1">
      <protection locked="0"/>
    </xf>
    <xf numFmtId="0" fontId="8" fillId="0" borderId="0" xfId="0" applyFont="1" applyFill="1" applyProtection="1">
      <protection locked="0"/>
    </xf>
    <xf numFmtId="0" fontId="6" fillId="3" borderId="6" xfId="0" applyFont="1" applyFill="1" applyBorder="1" applyAlignment="1" applyProtection="1">
      <alignment horizontal="left"/>
      <protection locked="0"/>
    </xf>
    <xf numFmtId="0" fontId="7" fillId="3" borderId="7" xfId="0" applyFont="1" applyFill="1" applyBorder="1" applyProtection="1">
      <protection locked="0"/>
    </xf>
    <xf numFmtId="0" fontId="9" fillId="2" borderId="9" xfId="0" applyFont="1" applyFill="1" applyBorder="1" applyProtection="1">
      <protection locked="0"/>
    </xf>
    <xf numFmtId="0" fontId="9" fillId="0" borderId="9" xfId="0" applyFont="1" applyBorder="1" applyProtection="1">
      <protection locked="0"/>
    </xf>
    <xf numFmtId="0" fontId="9" fillId="0" borderId="9" xfId="0" applyNumberFormat="1" applyFont="1" applyBorder="1" applyProtection="1">
      <protection locked="0"/>
    </xf>
    <xf numFmtId="0" fontId="9" fillId="0" borderId="8" xfId="0" applyFont="1" applyBorder="1" applyProtection="1">
      <protection locked="0"/>
    </xf>
    <xf numFmtId="0" fontId="10" fillId="0" borderId="0" xfId="0" applyFont="1"/>
    <xf numFmtId="0" fontId="0" fillId="0" borderId="0" xfId="0" applyFont="1"/>
    <xf numFmtId="0" fontId="0" fillId="0" borderId="0" xfId="0" applyBorder="1" applyProtection="1"/>
    <xf numFmtId="0" fontId="0" fillId="0" borderId="13" xfId="0" applyBorder="1"/>
    <xf numFmtId="0" fontId="0" fillId="0" borderId="0" xfId="0" applyFill="1"/>
    <xf numFmtId="0" fontId="12" fillId="0" borderId="0" xfId="0" applyNumberFormat="1" applyFont="1" applyFill="1"/>
    <xf numFmtId="0" fontId="0" fillId="0" borderId="4" xfId="0" applyFill="1" applyBorder="1"/>
    <xf numFmtId="49" fontId="0" fillId="0" borderId="0" xfId="0" applyNumberFormat="1" applyFill="1" applyAlignment="1"/>
    <xf numFmtId="0" fontId="13" fillId="0" borderId="0" xfId="0" applyFont="1" applyFill="1" applyAlignment="1">
      <alignment horizontal="left"/>
    </xf>
    <xf numFmtId="0" fontId="15" fillId="4" borderId="17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/>
    <xf numFmtId="0" fontId="14" fillId="0" borderId="5" xfId="0" applyNumberFormat="1" applyFont="1" applyBorder="1" applyAlignment="1">
      <alignment wrapText="1"/>
    </xf>
    <xf numFmtId="0" fontId="11" fillId="0" borderId="0" xfId="0" applyFont="1" applyFill="1" applyBorder="1" applyAlignment="1">
      <alignment vertical="center"/>
    </xf>
    <xf numFmtId="0" fontId="14" fillId="5" borderId="5" xfId="0" applyNumberFormat="1" applyFont="1" applyFill="1" applyBorder="1" applyProtection="1">
      <protection locked="0"/>
    </xf>
    <xf numFmtId="0" fontId="0" fillId="6" borderId="0" xfId="0" applyFill="1"/>
    <xf numFmtId="0" fontId="4" fillId="9" borderId="0" xfId="0" applyFont="1" applyFill="1" applyBorder="1" applyAlignment="1">
      <alignment vertical="center"/>
    </xf>
    <xf numFmtId="0" fontId="7" fillId="3" borderId="10" xfId="0" applyFont="1" applyFill="1" applyBorder="1" applyAlignment="1" applyProtection="1">
      <alignment horizontal="left" vertical="center"/>
      <protection locked="0"/>
    </xf>
    <xf numFmtId="0" fontId="7" fillId="3" borderId="11" xfId="0" applyFont="1" applyFill="1" applyBorder="1" applyAlignment="1" applyProtection="1">
      <alignment horizontal="left" vertical="center"/>
      <protection locked="0"/>
    </xf>
    <xf numFmtId="0" fontId="7" fillId="3" borderId="12" xfId="0" applyFont="1" applyFill="1" applyBorder="1" applyAlignment="1" applyProtection="1">
      <alignment horizontal="left" vertical="center"/>
      <protection locked="0"/>
    </xf>
    <xf numFmtId="0" fontId="17" fillId="10" borderId="18" xfId="0" applyFont="1" applyFill="1" applyBorder="1" applyAlignment="1">
      <alignment horizontal="center"/>
    </xf>
    <xf numFmtId="0" fontId="17" fillId="10" borderId="0" xfId="0" applyFont="1" applyFill="1" applyBorder="1" applyAlignment="1">
      <alignment horizontal="center"/>
    </xf>
    <xf numFmtId="0" fontId="17" fillId="10" borderId="19" xfId="0" applyFont="1" applyFill="1" applyBorder="1" applyAlignment="1">
      <alignment horizontal="center"/>
    </xf>
    <xf numFmtId="0" fontId="17" fillId="10" borderId="14" xfId="0" applyFont="1" applyFill="1" applyBorder="1" applyAlignment="1">
      <alignment horizontal="center"/>
    </xf>
    <xf numFmtId="0" fontId="17" fillId="10" borderId="15" xfId="0" applyFont="1" applyFill="1" applyBorder="1" applyAlignment="1">
      <alignment horizontal="center"/>
    </xf>
    <xf numFmtId="0" fontId="17" fillId="10" borderId="16" xfId="0" applyFont="1" applyFill="1" applyBorder="1" applyAlignment="1">
      <alignment horizontal="center"/>
    </xf>
    <xf numFmtId="0" fontId="11" fillId="7" borderId="0" xfId="0" applyFont="1" applyFill="1" applyBorder="1" applyAlignment="1">
      <alignment horizontal="left" vertical="center" indent="32"/>
    </xf>
    <xf numFmtId="0" fontId="4" fillId="8" borderId="0" xfId="0" applyNumberFormat="1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A6A6A6"/>
      <color rgb="FFD3D3D3"/>
      <color rgb="FFFFFF99"/>
      <color rgb="FFD0C2A4"/>
      <color rgb="FF6F7072"/>
      <color rgb="FF7E408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723900</xdr:colOff>
      <xdr:row>23</xdr:row>
      <xdr:rowOff>0</xdr:rowOff>
    </xdr:from>
    <xdr:to>
      <xdr:col>11</xdr:col>
      <xdr:colOff>743272</xdr:colOff>
      <xdr:row>24</xdr:row>
      <xdr:rowOff>172140</xdr:rowOff>
    </xdr:to>
    <xdr:sp macro="" textlink="">
      <xdr:nvSpPr>
        <xdr:cNvPr id="9" name="CommandButton1" hidden="1">
          <a:extLst>
            <a:ext uri="{63B3BB69-23CF-44E3-9099-C40C66FF867C}">
              <a14:compatExt xmlns:a14="http://schemas.microsoft.com/office/drawing/2010/main" spid="_x0000_s102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22</xdr:col>
      <xdr:colOff>3938865</xdr:colOff>
      <xdr:row>15</xdr:row>
      <xdr:rowOff>58429</xdr:rowOff>
    </xdr:from>
    <xdr:to>
      <xdr:col>22</xdr:col>
      <xdr:colOff>4612019</xdr:colOff>
      <xdr:row>16</xdr:row>
      <xdr:rowOff>325210</xdr:rowOff>
    </xdr:to>
    <xdr:pic>
      <xdr:nvPicPr>
        <xdr:cNvPr id="12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40277" y="2983164"/>
          <a:ext cx="673154" cy="5133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17</xdr:row>
          <xdr:rowOff>200025</xdr:rowOff>
        </xdr:from>
        <xdr:to>
          <xdr:col>5</xdr:col>
          <xdr:colOff>1409700</xdr:colOff>
          <xdr:row>19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the management units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408213</xdr:colOff>
      <xdr:row>15</xdr:row>
      <xdr:rowOff>81643</xdr:rowOff>
    </xdr:from>
    <xdr:to>
      <xdr:col>5</xdr:col>
      <xdr:colOff>954900</xdr:colOff>
      <xdr:row>16</xdr:row>
      <xdr:rowOff>314826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60"/>
        <a:stretch/>
      </xdr:blipFill>
      <xdr:spPr>
        <a:xfrm>
          <a:off x="938892" y="326572"/>
          <a:ext cx="1322294" cy="478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ext">
    <tabColor rgb="FFFF0000"/>
  </sheetPr>
  <dimension ref="A1:F20"/>
  <sheetViews>
    <sheetView workbookViewId="0"/>
  </sheetViews>
  <sheetFormatPr baseColWidth="10" defaultColWidth="9.140625" defaultRowHeight="15" x14ac:dyDescent="0.25"/>
  <cols>
    <col min="1" max="1" width="43.85546875" customWidth="1"/>
    <col min="2" max="2" width="29.42578125" customWidth="1"/>
    <col min="5" max="5" width="13.28515625" customWidth="1"/>
  </cols>
  <sheetData>
    <row r="1" spans="1:6" ht="18" customHeight="1" x14ac:dyDescent="0.25">
      <c r="A1" s="10" t="s">
        <v>18</v>
      </c>
      <c r="B1" s="8"/>
      <c r="E1" s="7" t="s">
        <v>62</v>
      </c>
    </row>
    <row r="2" spans="1:6" x14ac:dyDescent="0.25">
      <c r="A2" s="8"/>
      <c r="B2" s="8"/>
      <c r="D2" t="s">
        <v>67</v>
      </c>
      <c r="E2" t="str">
        <f ca="1">_xll.DBRA(Server&amp;"z_Translate_Report",D2,LocalLanguage)</f>
        <v>validated</v>
      </c>
      <c r="F2">
        <v>1</v>
      </c>
    </row>
    <row r="3" spans="1:6" ht="15.75" x14ac:dyDescent="0.25">
      <c r="A3" s="11" t="s">
        <v>4</v>
      </c>
      <c r="B3" s="8"/>
      <c r="D3" t="s">
        <v>68</v>
      </c>
      <c r="E3" t="str">
        <f ca="1">_xll.DBRA(Server&amp;"z_Translate_Report",D3,LocalLanguage)</f>
        <v>rejected</v>
      </c>
      <c r="F3">
        <v>2</v>
      </c>
    </row>
    <row r="4" spans="1:6" x14ac:dyDescent="0.25">
      <c r="A4" s="12" t="s">
        <v>3</v>
      </c>
      <c r="B4" s="13" t="s">
        <v>74</v>
      </c>
    </row>
    <row r="5" spans="1:6" ht="15" customHeight="1" x14ac:dyDescent="0.25">
      <c r="A5" s="12" t="s">
        <v>5</v>
      </c>
      <c r="B5" s="14" t="str">
        <f ca="1">LEFT(Server,LEN(Server)-1)</f>
        <v>tango_core_model</v>
      </c>
    </row>
    <row r="6" spans="1:6" x14ac:dyDescent="0.25">
      <c r="A6" s="12" t="s">
        <v>6</v>
      </c>
      <c r="B6" s="14" t="s">
        <v>75</v>
      </c>
    </row>
    <row r="7" spans="1:6" x14ac:dyDescent="0.25">
      <c r="A7" s="12" t="s">
        <v>7</v>
      </c>
      <c r="B7" s="14">
        <v>0</v>
      </c>
    </row>
    <row r="8" spans="1:6" x14ac:dyDescent="0.25">
      <c r="A8" s="12" t="s">
        <v>8</v>
      </c>
      <c r="B8" s="14">
        <v>0</v>
      </c>
    </row>
    <row r="9" spans="1:6" ht="15" customHeight="1" x14ac:dyDescent="0.25">
      <c r="A9" s="9"/>
      <c r="B9" s="9"/>
    </row>
    <row r="10" spans="1:6" ht="15.75" x14ac:dyDescent="0.25">
      <c r="A10" s="11" t="s">
        <v>9</v>
      </c>
      <c r="B10" s="9"/>
    </row>
    <row r="11" spans="1:6" x14ac:dyDescent="0.25">
      <c r="A11" s="12" t="s">
        <v>10</v>
      </c>
      <c r="B11" s="14" t="s">
        <v>19</v>
      </c>
    </row>
    <row r="12" spans="1:6" x14ac:dyDescent="0.25">
      <c r="A12" s="12" t="s">
        <v>11</v>
      </c>
      <c r="B12" s="14" t="s">
        <v>20</v>
      </c>
    </row>
    <row r="13" spans="1:6" x14ac:dyDescent="0.25">
      <c r="A13" s="12" t="s">
        <v>1</v>
      </c>
      <c r="B13" s="14" t="str">
        <f ca="1">_xll.TM1USER(xServer)</f>
        <v>MIGUEL.FERNANDES</v>
      </c>
    </row>
    <row r="14" spans="1:6" x14ac:dyDescent="0.25">
      <c r="A14" s="12" t="s">
        <v>2</v>
      </c>
      <c r="B14" s="14" t="str">
        <f ca="1">_xll.DBRW(Server&amp;"z_Client_Properties","Default_Legal_Organization",xTM1User)</f>
        <v>VTD_corp</v>
      </c>
    </row>
    <row r="15" spans="1:6" x14ac:dyDescent="0.25">
      <c r="A15" s="12" t="s">
        <v>21</v>
      </c>
      <c r="B15" s="15" t="str">
        <f ca="1">_xll.DBR(Server&amp;"z_Client_Properties","Language",xTM1User)</f>
        <v>English</v>
      </c>
    </row>
    <row r="16" spans="1:6" x14ac:dyDescent="0.25">
      <c r="A16" s="33" t="s">
        <v>12</v>
      </c>
      <c r="B16" s="16" t="s">
        <v>13</v>
      </c>
    </row>
    <row r="17" spans="1:2" x14ac:dyDescent="0.25">
      <c r="A17" s="34"/>
      <c r="B17" s="16" t="s">
        <v>14</v>
      </c>
    </row>
    <row r="18" spans="1:2" x14ac:dyDescent="0.25">
      <c r="A18" s="34"/>
      <c r="B18" s="16" t="s">
        <v>15</v>
      </c>
    </row>
    <row r="19" spans="1:2" x14ac:dyDescent="0.25">
      <c r="A19" s="34"/>
      <c r="B19" s="16" t="s">
        <v>16</v>
      </c>
    </row>
    <row r="20" spans="1:2" x14ac:dyDescent="0.25">
      <c r="A20" s="35"/>
      <c r="B20" s="16" t="s">
        <v>17</v>
      </c>
    </row>
  </sheetData>
  <mergeCells count="1">
    <mergeCell ref="A16:A20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tract">
    <tabColor rgb="FFFF0000"/>
  </sheetPr>
  <dimension ref="A1:Z25"/>
  <sheetViews>
    <sheetView showGridLines="0" tabSelected="1" topLeftCell="D15" zoomScale="70" zoomScaleNormal="70" workbookViewId="0">
      <selection activeCell="E23" sqref="E23"/>
    </sheetView>
  </sheetViews>
  <sheetFormatPr baseColWidth="10" defaultColWidth="9.140625" defaultRowHeight="15" x14ac:dyDescent="0.25"/>
  <cols>
    <col min="1" max="1" width="7" hidden="1" customWidth="1"/>
    <col min="2" max="2" width="16.5703125" hidden="1" customWidth="1"/>
    <col min="3" max="3" width="10.5703125" hidden="1" customWidth="1"/>
    <col min="4" max="4" width="7.85546875" customWidth="1"/>
    <col min="5" max="5" width="11.7109375" customWidth="1"/>
    <col min="6" max="6" width="22.7109375" customWidth="1"/>
    <col min="7" max="7" width="20.85546875" customWidth="1"/>
    <col min="8" max="8" width="21.140625" customWidth="1"/>
    <col min="9" max="9" width="18.7109375" customWidth="1"/>
    <col min="10" max="10" width="18.85546875" customWidth="1"/>
    <col min="11" max="11" width="14.5703125" customWidth="1"/>
    <col min="12" max="12" width="21" customWidth="1"/>
    <col min="13" max="13" width="14" customWidth="1"/>
    <col min="14" max="14" width="20.42578125" customWidth="1"/>
    <col min="15" max="17" width="15.7109375" customWidth="1"/>
    <col min="18" max="18" width="21.5703125" customWidth="1"/>
    <col min="19" max="19" width="18.7109375" customWidth="1"/>
    <col min="20" max="20" width="18.42578125" customWidth="1"/>
    <col min="21" max="21" width="16.42578125" bestFit="1" customWidth="1"/>
    <col min="22" max="22" width="20.28515625" bestFit="1" customWidth="1"/>
    <col min="23" max="23" width="70.140625" customWidth="1"/>
  </cols>
  <sheetData>
    <row r="1" spans="1:26" hidden="1" x14ac:dyDescent="0.25">
      <c r="A1" t="s">
        <v>65</v>
      </c>
    </row>
    <row r="2" spans="1:26" hidden="1" x14ac:dyDescent="0.25">
      <c r="A2">
        <f ca="1">0</f>
        <v>0</v>
      </c>
      <c r="B2" s="21"/>
      <c r="C2" s="21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1"/>
      <c r="V2" s="21"/>
    </row>
    <row r="3" spans="1:26" hidden="1" x14ac:dyDescent="0.25">
      <c r="A3">
        <f ca="1">1</f>
        <v>1</v>
      </c>
      <c r="B3" s="21"/>
      <c r="C3" s="21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1"/>
      <c r="V3" s="21"/>
    </row>
    <row r="4" spans="1:26" hidden="1" x14ac:dyDescent="0.25">
      <c r="A4">
        <f ca="1">2</f>
        <v>2</v>
      </c>
      <c r="B4" s="21"/>
      <c r="C4" s="21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1"/>
      <c r="V4" s="21"/>
    </row>
    <row r="5" spans="1:26" hidden="1" x14ac:dyDescent="0.25">
      <c r="A5">
        <f ca="1">3</f>
        <v>3</v>
      </c>
      <c r="B5" s="21"/>
      <c r="C5" s="2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1"/>
      <c r="V5" s="21"/>
    </row>
    <row r="6" spans="1:26" hidden="1" x14ac:dyDescent="0.25">
      <c r="A6" t="s">
        <v>63</v>
      </c>
      <c r="B6" s="21"/>
      <c r="C6" s="21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1"/>
      <c r="V6" s="21"/>
    </row>
    <row r="7" spans="1:26" hidden="1" x14ac:dyDescent="0.25">
      <c r="A7" t="s">
        <v>64</v>
      </c>
      <c r="B7" s="21"/>
      <c r="C7" s="23"/>
      <c r="D7" s="22"/>
      <c r="E7" s="30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</row>
    <row r="8" spans="1:26" hidden="1" x14ac:dyDescent="0.25">
      <c r="A8" t="s">
        <v>66</v>
      </c>
    </row>
    <row r="9" spans="1:26" hidden="1" x14ac:dyDescent="0.25">
      <c r="B9" t="str">
        <f ca="1">Server&amp;"z_Comments_Contract"</f>
        <v>tango_core_model:z_Comments_Contract</v>
      </c>
    </row>
    <row r="10" spans="1:26" hidden="1" x14ac:dyDescent="0.25">
      <c r="B10" t="str">
        <f ca="1">_xll.TM1RPTVIEW(Server&amp;"z_Contract_Pending_Approval:PendingContractList", 0,TM1RPTFMTRNG,TM1RPTFMTIDCOL)</f>
        <v>tango_core_model:z_Contract_Pending_Approval:PendingContractList</v>
      </c>
    </row>
    <row r="11" spans="1:26" hidden="1" x14ac:dyDescent="0.25">
      <c r="B11" s="17" t="s">
        <v>22</v>
      </c>
      <c r="C11" s="17"/>
      <c r="F11" t="s">
        <v>26</v>
      </c>
      <c r="K11" t="s">
        <v>23</v>
      </c>
      <c r="M11" t="s">
        <v>32</v>
      </c>
      <c r="S11" s="18" t="s">
        <v>38</v>
      </c>
      <c r="W11" t="s">
        <v>37</v>
      </c>
    </row>
    <row r="12" spans="1:26" hidden="1" x14ac:dyDescent="0.25">
      <c r="F12" t="s">
        <v>27</v>
      </c>
      <c r="G12" t="s">
        <v>28</v>
      </c>
      <c r="H12" t="s">
        <v>29</v>
      </c>
      <c r="I12" t="s">
        <v>30</v>
      </c>
      <c r="J12" t="s">
        <v>31</v>
      </c>
      <c r="K12" t="s">
        <v>24</v>
      </c>
      <c r="L12" t="s">
        <v>25</v>
      </c>
      <c r="M12" t="s">
        <v>33</v>
      </c>
      <c r="N12" t="s">
        <v>35</v>
      </c>
      <c r="O12" t="s">
        <v>34</v>
      </c>
      <c r="P12" t="s">
        <v>36</v>
      </c>
      <c r="Q12" t="s">
        <v>40</v>
      </c>
      <c r="R12" t="s">
        <v>72</v>
      </c>
      <c r="S12" t="s">
        <v>39</v>
      </c>
      <c r="T12" t="s">
        <v>40</v>
      </c>
      <c r="U12" t="s">
        <v>59</v>
      </c>
      <c r="V12" t="s">
        <v>41</v>
      </c>
    </row>
    <row r="13" spans="1:26" hidden="1" x14ac:dyDescent="0.25">
      <c r="B13" s="17" t="s">
        <v>19</v>
      </c>
      <c r="E13" s="25" t="s">
        <v>62</v>
      </c>
      <c r="G13" s="25" t="s">
        <v>48</v>
      </c>
      <c r="H13" s="25" t="s">
        <v>49</v>
      </c>
      <c r="I13" s="25" t="s">
        <v>50</v>
      </c>
      <c r="J13" s="25" t="s">
        <v>51</v>
      </c>
      <c r="K13" s="25" t="s">
        <v>46</v>
      </c>
      <c r="L13" s="25" t="s">
        <v>47</v>
      </c>
      <c r="M13" s="25" t="s">
        <v>52</v>
      </c>
      <c r="N13" s="25" t="s">
        <v>54</v>
      </c>
      <c r="O13" s="25" t="s">
        <v>53</v>
      </c>
      <c r="P13" s="25" t="s">
        <v>55</v>
      </c>
      <c r="Q13" s="25" t="s">
        <v>0</v>
      </c>
      <c r="R13" s="25" t="s">
        <v>73</v>
      </c>
      <c r="S13" s="25" t="s">
        <v>56</v>
      </c>
      <c r="T13" s="25" t="s">
        <v>0</v>
      </c>
      <c r="U13" s="25" t="s">
        <v>57</v>
      </c>
      <c r="V13" s="25" t="s">
        <v>58</v>
      </c>
      <c r="W13" s="19" t="s">
        <v>42</v>
      </c>
      <c r="X13" s="19" t="s">
        <v>43</v>
      </c>
      <c r="Y13" s="19" t="s">
        <v>44</v>
      </c>
      <c r="Z13" s="19" t="s">
        <v>45</v>
      </c>
    </row>
    <row r="14" spans="1:26" ht="15.75" hidden="1" thickBot="1" x14ac:dyDescent="0.3"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6" ht="19.5" customHeight="1" x14ac:dyDescent="0.25">
      <c r="D15" s="3"/>
      <c r="E15" s="2"/>
      <c r="F15" s="2"/>
      <c r="G15" s="2"/>
      <c r="H15" s="2"/>
      <c r="I15" s="2"/>
      <c r="J15" s="2"/>
      <c r="K15" s="1"/>
    </row>
    <row r="16" spans="1:26" ht="19.5" customHeight="1" x14ac:dyDescent="0.25">
      <c r="B16" t="s">
        <v>60</v>
      </c>
      <c r="D16" s="4"/>
      <c r="E16" s="32"/>
      <c r="F16" s="43" t="str">
        <f ca="1">_xll.DBRA(Server&amp;$B$11,B16,LocalLanguage)</f>
        <v>Validation management unit form</v>
      </c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2" t="str">
        <f ca="1">_xll.DBRA(Server&amp;$B$11,B17,LocalLanguage)</f>
        <v>Output</v>
      </c>
      <c r="X16" s="29"/>
      <c r="Y16" s="29"/>
      <c r="Z16" s="29"/>
    </row>
    <row r="17" spans="1:26" ht="28.5" x14ac:dyDescent="0.25">
      <c r="B17" t="s">
        <v>61</v>
      </c>
      <c r="D17" s="4"/>
      <c r="E17" s="32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2"/>
      <c r="X17" s="29"/>
      <c r="Y17" s="29"/>
      <c r="Z17" s="29"/>
    </row>
    <row r="18" spans="1:26" ht="19.5" x14ac:dyDescent="0.25">
      <c r="D18" s="4"/>
      <c r="E18" s="6"/>
      <c r="F18" s="6"/>
      <c r="G18" s="6"/>
      <c r="H18" s="6"/>
      <c r="I18" s="6"/>
      <c r="J18" s="6"/>
      <c r="K18" s="1"/>
    </row>
    <row r="19" spans="1:26" ht="19.5" x14ac:dyDescent="0.25">
      <c r="D19" s="4"/>
      <c r="E19" s="6"/>
      <c r="F19" s="6"/>
      <c r="G19" s="6"/>
      <c r="H19" s="6"/>
      <c r="I19" s="6"/>
      <c r="J19" s="6"/>
      <c r="K19" s="1"/>
    </row>
    <row r="20" spans="1:26" ht="19.5" x14ac:dyDescent="0.25">
      <c r="D20" s="4"/>
      <c r="E20" s="6"/>
      <c r="F20" s="6"/>
      <c r="G20" s="6"/>
      <c r="H20" s="6"/>
      <c r="I20" s="6"/>
      <c r="J20" s="6"/>
      <c r="K20" s="6"/>
    </row>
    <row r="21" spans="1:26" ht="20.25" thickBot="1" x14ac:dyDescent="0.35">
      <c r="C21" s="5"/>
      <c r="D21" s="6"/>
      <c r="E21" s="6"/>
      <c r="F21" s="39" t="str">
        <f ca="1">_xll.DBRA(Server&amp;$B$11,F11,LocalLanguage)</f>
        <v>Management unit details</v>
      </c>
      <c r="G21" s="40"/>
      <c r="H21" s="40"/>
      <c r="I21" s="40"/>
      <c r="J21" s="41"/>
      <c r="K21" s="36" t="str">
        <f ca="1">_xll.DBRA(Server&amp;$B$11,K11,LocalLanguage)</f>
        <v>Area</v>
      </c>
      <c r="L21" s="38"/>
      <c r="M21" s="36" t="str">
        <f ca="1">_xll.DBRA(Server&amp;$B$11,M11,LocalLanguage)</f>
        <v>Mangement unit other details</v>
      </c>
      <c r="N21" s="37"/>
      <c r="O21" s="37"/>
      <c r="P21" s="37"/>
      <c r="Q21" s="37"/>
      <c r="R21" s="38"/>
      <c r="S21" s="36" t="str">
        <f ca="1">_xll.DBRA(Server&amp;$B$11,S11,LocalLanguage)</f>
        <v>Management unit parameters</v>
      </c>
      <c r="T21" s="37"/>
      <c r="U21" s="37"/>
      <c r="V21" s="37"/>
      <c r="X21" s="27"/>
      <c r="Y21" s="27"/>
      <c r="Z21" s="27"/>
    </row>
    <row r="22" spans="1:26" ht="42.75" customHeight="1" thickTop="1" x14ac:dyDescent="0.25">
      <c r="C22" s="5"/>
      <c r="D22" s="6"/>
      <c r="E22" s="26" t="str">
        <f ca="1">_xll.DBRA(Server&amp;$B$11,E13,LocalLanguage)</f>
        <v>Validation</v>
      </c>
      <c r="F22" s="26" t="str">
        <f ca="1">_xll.DBRA(Server&amp;$B$11,F12,LocalLanguage)</f>
        <v>Tango management unit code</v>
      </c>
      <c r="G22" s="26" t="str">
        <f ca="1">_xll.DBRA(Server&amp;$B$11,G12,LocalLanguage)</f>
        <v>Local management unit code</v>
      </c>
      <c r="H22" s="26" t="str">
        <f ca="1">_xll.DBRA(Server&amp;$B$11,H12,LocalLanguage)</f>
        <v>Contract Name</v>
      </c>
      <c r="I22" s="26" t="str">
        <f ca="1">_xll.DBRA(Server&amp;$B$11,I12,LocalLanguage)</f>
        <v>Cost Center</v>
      </c>
      <c r="J22" s="26" t="str">
        <f ca="1">_xll.DBRA(Server&amp;$B$11,J12,LocalLanguage)</f>
        <v>Business line</v>
      </c>
      <c r="K22" s="26" t="str">
        <f ca="1">_xll.DBRA(Server&amp;$B$11,K12,LocalLanguage)</f>
        <v>Type</v>
      </c>
      <c r="L22" s="26" t="str">
        <f ca="1">_xll.DBRA(Server&amp;$B$11,L12,LocalLanguage)</f>
        <v>Country / Region</v>
      </c>
      <c r="M22" s="26" t="str">
        <f ca="1">_xll.DBRA(Server&amp;$B$11,M12,LocalLanguage)</f>
        <v>Start Date</v>
      </c>
      <c r="N22" s="26" t="str">
        <f ca="1">_xll.DBRA(Server&amp;$B$11,N12,LocalLanguage)</f>
        <v>Management unit status</v>
      </c>
      <c r="O22" s="26" t="str">
        <f ca="1">_xll.DBRA(Server&amp;$B$11,O12,LocalLanguage)</f>
        <v>End date without option</v>
      </c>
      <c r="P22" s="26" t="str">
        <f ca="1">_xll.DBRA(Server&amp;$B$11,P12,LocalLanguage)</f>
        <v>End date with option</v>
      </c>
      <c r="Q22" s="26" t="s">
        <v>70</v>
      </c>
      <c r="R22" s="26" t="s">
        <v>71</v>
      </c>
      <c r="S22" s="26" t="str">
        <f ca="1">_xll.DBRA(Server&amp;$B$11,S12,LocalLanguage)</f>
        <v>Legal Entity</v>
      </c>
      <c r="T22" s="26" t="str">
        <f ca="1">_xll.DBRA(Server&amp;$B$11,T12,LocalLanguage)</f>
        <v>Sub-Activity</v>
      </c>
      <c r="U22" s="26" t="str">
        <f ca="1">_xll.DBRA(Server&amp;$B$11,U12,LocalLanguage)</f>
        <v>Type of client</v>
      </c>
      <c r="V22" s="26" t="str">
        <f ca="1">_xll.DBRA(Server&amp;$B$11,V12,LocalLanguage)</f>
        <v>Economic Model</v>
      </c>
      <c r="W22" s="26" t="str">
        <f ca="1">_xll.DBRA(Server&amp;$B$11,W11,LocalLanguage)</f>
        <v>Comments</v>
      </c>
    </row>
    <row r="23" spans="1:26" ht="45.75" x14ac:dyDescent="0.25">
      <c r="A23" t="str">
        <f ca="1">IF(_xll.TM1RPTELISCONSOLIDATED($B$23,$B23),IF(_xll.TM1RPTELLEV($B$23,$B23)&lt;=3,_xll.TM1RPTELLEV($B$23,$B23),"D"),"N")</f>
        <v>N</v>
      </c>
      <c r="B23" s="24" t="str">
        <f ca="1">_xll.TM1RPTROW($B$10,Server&amp;"z_Contract_Pending_Approval","","","",0,"{EXCEPT( {TM1SUBSETALL([z_Contract_Pending_Approval])}, {[z_Contract_Pending_Approval].[INIT]} )}")</f>
        <v/>
      </c>
      <c r="C23" s="23">
        <f ca="1">IF(ISNA(VLOOKUP(E23,Context!$E$2:$F$3,2,FALSE)),0,VLOOKUP(E23,Context!$E$2:$F$3,2,FALSE))</f>
        <v>0</v>
      </c>
      <c r="D23" s="22"/>
      <c r="E23" s="30"/>
      <c r="F23" s="28" t="str">
        <f ca="1">B23</f>
        <v/>
      </c>
      <c r="G23" s="28" t="str">
        <f ca="1">_xll.DBRW($B$10,$B23,G$13)</f>
        <v/>
      </c>
      <c r="H23" s="28" t="str">
        <f ca="1">_xll.DBRW($B$10,$B23,H$13)</f>
        <v/>
      </c>
      <c r="I23" s="28" t="str">
        <f ca="1">_xll.DBRW($B$10,$B23,I$13)</f>
        <v/>
      </c>
      <c r="J23" s="28" t="str">
        <f ca="1">_xll.DBRW($B$10,$B23,J$13)</f>
        <v/>
      </c>
      <c r="K23" s="28" t="str">
        <f ca="1">_xll.DBRW($B$10,$B23,K$13)</f>
        <v/>
      </c>
      <c r="L23" s="28" t="str">
        <f ca="1">_xll.DBRW($B$10,$B23,L$13)</f>
        <v/>
      </c>
      <c r="M23" s="28" t="str">
        <f ca="1">_xll.DBRW($B$10,$B23,M$13)</f>
        <v/>
      </c>
      <c r="N23" s="28" t="str">
        <f ca="1">_xll.DBRW($B$10,$B23,N$13)</f>
        <v/>
      </c>
      <c r="O23" s="28" t="str">
        <f ca="1">_xll.DBRW($B$10,$B23,O$13)</f>
        <v/>
      </c>
      <c r="P23" s="28" t="str">
        <f ca="1">_xll.DBRW($B$10,$B23,P$13)</f>
        <v/>
      </c>
      <c r="Q23" s="28" t="str">
        <f ca="1">_xll.DBRW($B$10,$B23,Q$13)</f>
        <v/>
      </c>
      <c r="R23" s="28" t="str">
        <f ca="1">_xll.DBRW($B$10,$B23,R$13)</f>
        <v/>
      </c>
      <c r="S23" s="28" t="str">
        <f ca="1">_xll.DBRW($B$10,$B23,S$13)</f>
        <v/>
      </c>
      <c r="T23" s="28" t="str">
        <f ca="1">_xll.DBRW($B$10,$B23,T$13)</f>
        <v/>
      </c>
      <c r="U23" s="28" t="str">
        <f ca="1">_xll.DBRW($B$10,$B23,U$13)</f>
        <v/>
      </c>
      <c r="V23" s="28" t="str">
        <f ca="1">_xll.DBRW($B$10,$B23,V$13)</f>
        <v/>
      </c>
      <c r="W23" s="28" t="str">
        <f ca="1">_xll.DBRW($B$9,$B23,W$13) &amp; CHAR(10) &amp; _xll.DBRW($B$9,$B23,X$13) &amp; CHAR(10) &amp; _xll.DBRW($B$9,$B23,Y$13) &amp; CHAR(10) &amp; _xll.DBRW($B$9,$B23,Z$13)</f>
        <v xml:space="preserve">
</v>
      </c>
    </row>
    <row r="24" spans="1:26" ht="19.5" x14ac:dyDescent="0.25">
      <c r="D24" s="4"/>
      <c r="E24" s="6"/>
      <c r="F24" s="6"/>
      <c r="G24" s="6"/>
      <c r="H24" s="6"/>
      <c r="I24" s="6"/>
      <c r="J24" s="6"/>
      <c r="K24" s="1"/>
    </row>
    <row r="25" spans="1:26" ht="19.5" x14ac:dyDescent="0.25">
      <c r="D25" s="4"/>
      <c r="E25" s="6"/>
      <c r="F25" s="6"/>
      <c r="G25" s="6"/>
      <c r="H25" s="6"/>
      <c r="I25" s="6"/>
      <c r="J25" s="6"/>
      <c r="K25" s="1"/>
    </row>
  </sheetData>
  <mergeCells count="6">
    <mergeCell ref="M21:R21"/>
    <mergeCell ref="S21:V21"/>
    <mergeCell ref="F21:J21"/>
    <mergeCell ref="K21:L21"/>
    <mergeCell ref="W16:W17"/>
    <mergeCell ref="F16:V17"/>
  </mergeCells>
  <dataValidations count="1">
    <dataValidation type="list" allowBlank="1" showInputMessage="1" showErrorMessage="1" sqref="E7 E23">
      <formula1>xValidation</formula1>
    </dataValidation>
  </dataValidations>
  <pageMargins left="0.7" right="0.7" top="0.75" bottom="0.75" header="0.3" footer="0.3"/>
  <pageSetup paperSize="9" scale="2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ontract.ValidatePendingContractsClick">
                <anchor moveWithCells="1" sizeWithCells="1">
                  <from>
                    <xdr:col>4</xdr:col>
                    <xdr:colOff>28575</xdr:colOff>
                    <xdr:row>17</xdr:row>
                    <xdr:rowOff>200025</xdr:rowOff>
                  </from>
                  <to>
                    <xdr:col>5</xdr:col>
                    <xdr:colOff>1409700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act_DBS">
    <tabColor rgb="FFFF0000"/>
  </sheetPr>
  <dimension ref="C5:I27"/>
  <sheetViews>
    <sheetView showGridLines="0" topLeftCell="A4" zoomScale="85" zoomScaleNormal="85" workbookViewId="0"/>
  </sheetViews>
  <sheetFormatPr baseColWidth="10" defaultColWidth="9.140625" defaultRowHeight="15" x14ac:dyDescent="0.25"/>
  <cols>
    <col min="1" max="1" width="3.42578125" customWidth="1"/>
    <col min="2" max="2" width="10.42578125" customWidth="1"/>
    <col min="3" max="3" width="20.5703125" customWidth="1"/>
    <col min="4" max="4" width="12.7109375" customWidth="1"/>
    <col min="5" max="5" width="42.7109375" customWidth="1"/>
    <col min="6" max="6" width="26.140625" customWidth="1"/>
    <col min="7" max="7" width="16.85546875" customWidth="1"/>
    <col min="8" max="8" width="28.140625" customWidth="1"/>
    <col min="9" max="9" width="34.7109375" customWidth="1"/>
  </cols>
  <sheetData>
    <row r="5" spans="3:9" ht="15.75" thickBot="1" x14ac:dyDescent="0.3"/>
    <row r="6" spans="3:9" ht="19.5" x14ac:dyDescent="0.25">
      <c r="D6" s="3"/>
      <c r="E6" s="2"/>
      <c r="F6" s="2"/>
      <c r="G6" s="2"/>
      <c r="H6" s="2"/>
      <c r="I6" s="2"/>
    </row>
    <row r="7" spans="3:9" x14ac:dyDescent="0.25">
      <c r="C7" s="5"/>
    </row>
    <row r="8" spans="3:9" x14ac:dyDescent="0.25">
      <c r="C8" s="5"/>
    </row>
    <row r="9" spans="3:9" x14ac:dyDescent="0.25">
      <c r="C9" s="5"/>
    </row>
    <row r="10" spans="3:9" x14ac:dyDescent="0.25">
      <c r="C10" s="5"/>
    </row>
    <row r="11" spans="3:9" x14ac:dyDescent="0.25">
      <c r="C11" s="5"/>
    </row>
    <row r="12" spans="3:9" x14ac:dyDescent="0.25">
      <c r="C12" s="5"/>
    </row>
    <row r="13" spans="3:9" x14ac:dyDescent="0.25">
      <c r="C13" s="5"/>
    </row>
    <row r="14" spans="3:9" x14ac:dyDescent="0.25">
      <c r="C14" s="5"/>
      <c r="D14" t="s">
        <v>69</v>
      </c>
      <c r="E14" s="31" t="str">
        <f ca="1">IF(Flag_Send_Data=1,_xll.DBSW(Contract!C14,Server&amp;Cube1,Contract!B14,Contract!$E$13),"")</f>
        <v/>
      </c>
    </row>
    <row r="15" spans="3:9" x14ac:dyDescent="0.25">
      <c r="C15" s="5"/>
    </row>
    <row r="16" spans="3:9" x14ac:dyDescent="0.25">
      <c r="C16" s="5"/>
    </row>
    <row r="17" spans="3:5" x14ac:dyDescent="0.25">
      <c r="C17" s="5"/>
    </row>
    <row r="18" spans="3:5" x14ac:dyDescent="0.25">
      <c r="C18" s="5"/>
    </row>
    <row r="19" spans="3:5" x14ac:dyDescent="0.25">
      <c r="C19" s="5"/>
    </row>
    <row r="20" spans="3:5" x14ac:dyDescent="0.25">
      <c r="C20" s="5"/>
    </row>
    <row r="21" spans="3:5" x14ac:dyDescent="0.25">
      <c r="C21" s="5"/>
    </row>
    <row r="22" spans="3:5" x14ac:dyDescent="0.25">
      <c r="C22" s="5"/>
    </row>
    <row r="23" spans="3:5" x14ac:dyDescent="0.25">
      <c r="C23" s="5"/>
      <c r="E23" s="31" t="str">
        <f ca="1">IF(Flag_Send_Data=1,_xll.DBSW(Contract!C23,Server&amp;Cube1,Contract!B23,Contract!$E$13),"")</f>
        <v/>
      </c>
    </row>
    <row r="24" spans="3:5" x14ac:dyDescent="0.25">
      <c r="E24" s="31" t="str">
        <f ca="1">IF(Flag_Send_Data=1,_xll.DBSW(Contract!#REF!,Server&amp;Cube1,Contract!#REF!,Contract!$E$13),"")</f>
        <v/>
      </c>
    </row>
    <row r="25" spans="3:5" x14ac:dyDescent="0.25">
      <c r="E25" s="31" t="str">
        <f ca="1">IF(Flag_Send_Data=1,_xll.DBSW(Contract!#REF!,Server&amp;Cube1,Contract!#REF!,Contract!$E$13),"")</f>
        <v/>
      </c>
    </row>
    <row r="26" spans="3:5" x14ac:dyDescent="0.25">
      <c r="E26" s="31" t="str">
        <f ca="1">IF(Flag_Send_Data=1,_xll.DBSW(Contract!#REF!,Server&amp;Cube1,Contract!#REF!,Contract!$E$13),"")</f>
        <v/>
      </c>
    </row>
    <row r="27" spans="3:5" x14ac:dyDescent="0.25">
      <c r="E27" s="31" t="str">
        <f ca="1">IF(Flag_Send_Data=1,_xll.DBSW(Contract!#REF!,Server&amp;Cube1,Contract!#REF!,Contract!$E$13),"")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18</vt:i4>
      </vt:variant>
    </vt:vector>
  </HeadingPairs>
  <TitlesOfParts>
    <vt:vector size="21" baseType="lpstr">
      <vt:lpstr>Context</vt:lpstr>
      <vt:lpstr>Contract</vt:lpstr>
      <vt:lpstr>Contract_DBS</vt:lpstr>
      <vt:lpstr>Cube1</vt:lpstr>
      <vt:lpstr>Cube2</vt:lpstr>
      <vt:lpstr>Flag_Send_Comment</vt:lpstr>
      <vt:lpstr>Flag_Send_Data</vt:lpstr>
      <vt:lpstr>LocalLanguage</vt:lpstr>
      <vt:lpstr>Server</vt:lpstr>
      <vt:lpstr>Test</vt:lpstr>
      <vt:lpstr>Contract!TM1RPTDATARNGPendingContractList</vt:lpstr>
      <vt:lpstr>Contract!TM1RPTFMTIDCOL</vt:lpstr>
      <vt:lpstr>Contract!TM1RPTFMTRNG</vt:lpstr>
      <vt:lpstr>xDBS_template</vt:lpstr>
      <vt:lpstr>xFormEnd</vt:lpstr>
      <vt:lpstr>xFormInit</vt:lpstr>
      <vt:lpstr>xHost</vt:lpstr>
      <vt:lpstr>xServer</vt:lpstr>
      <vt:lpstr>xTM1User</vt:lpstr>
      <vt:lpstr>xValidation</vt:lpstr>
      <vt:lpstr>Contract!Zone_d_impression</vt:lpstr>
    </vt:vector>
  </TitlesOfParts>
  <Company>Groupe VE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REDOUIN, Matthieu</dc:creator>
  <cp:lastModifiedBy>FERNANDES, Miguel</cp:lastModifiedBy>
  <dcterms:created xsi:type="dcterms:W3CDTF">2011-09-13T14:54:44Z</dcterms:created>
  <dcterms:modified xsi:type="dcterms:W3CDTF">2015-09-30T08:27:17Z</dcterms:modified>
</cp:coreProperties>
</file>