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atatiltfr-my.sharepoint.com/personal/erwan_tang_datatilt_fr/Documents/Documents/Transdev/Applications et Plans/"/>
    </mc:Choice>
  </mc:AlternateContent>
  <xr:revisionPtr revIDLastSave="0" documentId="8_{1F1BD76C-BD87-42E2-BCA2-CC0F156FC86B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"562f4938-686a-40d9-abb6-797985f7b868"</definedName>
    <definedName name="ID" localSheetId="2" hidden="1">"12445885-a043-4566-9212-dce68608acb6"</definedName>
    <definedName name="ID" localSheetId="1" hidden="1">"1a1eb2fb-f71d-4cd9-b3ea-a7fad195a3d2"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B14" i="33"/>
  <c r="B13" i="33"/>
  <c r="B15" i="33"/>
  <c r="D15" i="41"/>
  <c r="G68" i="41"/>
  <c r="G47" i="41"/>
  <c r="G21" i="41"/>
  <c r="G56" i="41"/>
  <c r="G24" i="41"/>
  <c r="G62" i="41"/>
  <c r="G70" i="41"/>
  <c r="G28" i="41"/>
  <c r="G37" i="41"/>
  <c r="G48" i="41"/>
  <c r="G35" i="41"/>
  <c r="G41" i="41"/>
  <c r="G53" i="41"/>
  <c r="G30" i="41"/>
  <c r="G61" i="41"/>
  <c r="G38" i="41"/>
  <c r="F60" i="41"/>
  <c r="F28" i="41"/>
  <c r="F49" i="41"/>
  <c r="A38" i="41"/>
  <c r="A57" i="41"/>
  <c r="A25" i="41"/>
  <c r="A46" i="41"/>
  <c r="A35" i="41"/>
  <c r="F31" i="41"/>
  <c r="A34" i="41"/>
  <c r="F34" i="41"/>
  <c r="A42" i="41"/>
  <c r="U14" i="32"/>
  <c r="A70" i="41"/>
  <c r="G64" i="32"/>
  <c r="G24" i="32"/>
  <c r="G100" i="32"/>
  <c r="G35" i="32"/>
  <c r="G39" i="32"/>
  <c r="G96" i="32"/>
  <c r="AM29" i="32"/>
  <c r="G93" i="32"/>
  <c r="AN87" i="32"/>
  <c r="G44" i="32"/>
  <c r="G30" i="32"/>
  <c r="F52" i="41"/>
  <c r="F35" i="41"/>
  <c r="A59" i="41"/>
  <c r="A71" i="41"/>
  <c r="G43" i="32"/>
  <c r="A55" i="41"/>
  <c r="A23" i="41"/>
  <c r="A44" i="41"/>
  <c r="A30" i="41"/>
  <c r="F54" i="41"/>
  <c r="F22" i="41"/>
  <c r="F64" i="41"/>
  <c r="F32" i="41"/>
  <c r="F23" i="41"/>
  <c r="A61" i="41"/>
  <c r="A29" i="41"/>
  <c r="AN28" i="32"/>
  <c r="A68" i="41"/>
  <c r="F68" i="41"/>
  <c r="G55" i="32"/>
  <c r="AM89" i="32"/>
  <c r="G89" i="32"/>
  <c r="G99" i="32"/>
  <c r="G68" i="32"/>
  <c r="G60" i="32"/>
  <c r="G67" i="32"/>
  <c r="AM87" i="32"/>
  <c r="G63" i="32"/>
  <c r="G80" i="32"/>
  <c r="G29" i="32"/>
  <c r="A47" i="41"/>
  <c r="F51" i="41"/>
  <c r="A36" i="41"/>
  <c r="A22" i="41"/>
  <c r="F46" i="41"/>
  <c r="A32" i="41"/>
  <c r="F56" i="41"/>
  <c r="F24" i="41"/>
  <c r="F61" i="41"/>
  <c r="A53" i="41"/>
  <c r="F63" i="41"/>
  <c r="F71" i="41"/>
  <c r="A67" i="41"/>
  <c r="G78" i="32"/>
  <c r="G16" i="32"/>
  <c r="G87" i="32"/>
  <c r="G41" i="32"/>
  <c r="G70" i="32"/>
  <c r="AN88" i="32"/>
  <c r="G48" i="32"/>
  <c r="G36" i="32"/>
  <c r="G65" i="32"/>
  <c r="AM86" i="32"/>
  <c r="G32" i="32"/>
  <c r="G97" i="32"/>
  <c r="G14" i="32"/>
  <c r="G13" i="32"/>
  <c r="G51" i="32"/>
  <c r="G105" i="32"/>
  <c r="G72" i="32"/>
  <c r="F44" i="41"/>
  <c r="F65" i="41"/>
  <c r="F33" i="41"/>
  <c r="A24" i="41"/>
  <c r="A41" i="41"/>
  <c r="F21" i="41"/>
  <c r="A51" i="41"/>
  <c r="A48" i="41"/>
  <c r="A56" i="41"/>
  <c r="F50" i="41"/>
  <c r="A58" i="41"/>
  <c r="F67" i="41"/>
  <c r="F69" i="41"/>
  <c r="AM28" i="32"/>
  <c r="G71" i="32"/>
  <c r="H5" i="32"/>
  <c r="G17" i="32"/>
  <c r="G62" i="32"/>
  <c r="E20" i="41"/>
  <c r="F20" i="41" s="1"/>
  <c r="G50" i="32"/>
  <c r="G79" i="32"/>
  <c r="G21" i="32"/>
  <c r="G92" i="32"/>
  <c r="G104" i="32"/>
  <c r="G75" i="32"/>
  <c r="G31" i="32"/>
  <c r="S14" i="32"/>
  <c r="F41" i="41"/>
  <c r="H12" i="32"/>
  <c r="A39" i="41"/>
  <c r="A60" i="41"/>
  <c r="A28" i="41"/>
  <c r="A26" i="41"/>
  <c r="F38" i="41"/>
  <c r="F39" i="41"/>
  <c r="F48" i="41"/>
  <c r="F37" i="41"/>
  <c r="F53" i="41"/>
  <c r="A45" i="41"/>
  <c r="F55" i="41"/>
  <c r="A69" i="41"/>
  <c r="A66" i="41"/>
  <c r="G101" i="32"/>
  <c r="G54" i="32"/>
  <c r="AM41" i="32"/>
  <c r="G18" i="32"/>
  <c r="G40" i="32"/>
  <c r="G52" i="32"/>
  <c r="G15" i="32"/>
  <c r="A20" i="41"/>
  <c r="G83" i="32"/>
  <c r="G66" i="32"/>
  <c r="G103" i="32"/>
  <c r="G28" i="32"/>
  <c r="G102" i="32"/>
  <c r="G82" i="32"/>
  <c r="F25" i="41"/>
  <c r="A27" i="41"/>
  <c r="F58" i="41"/>
  <c r="G112" i="32"/>
  <c r="G110" i="32"/>
  <c r="G26" i="32"/>
  <c r="F36" i="41"/>
  <c r="F57" i="41"/>
  <c r="A54" i="41"/>
  <c r="A65" i="41"/>
  <c r="A33" i="41"/>
  <c r="A62" i="41"/>
  <c r="A43" i="41"/>
  <c r="F29" i="41"/>
  <c r="F45" i="41"/>
  <c r="F42" i="41"/>
  <c r="A50" i="41"/>
  <c r="F70" i="41"/>
  <c r="H14" i="32"/>
  <c r="G90" i="32"/>
  <c r="G25" i="32"/>
  <c r="G111" i="32"/>
  <c r="G106" i="32"/>
  <c r="G98" i="32"/>
  <c r="G38" i="32"/>
  <c r="G94" i="32"/>
  <c r="G77" i="32"/>
  <c r="G45" i="32"/>
  <c r="G58" i="32"/>
  <c r="G12" i="32"/>
  <c r="S12" i="32"/>
  <c r="G81" i="32"/>
  <c r="S15" i="32"/>
  <c r="A49" i="41"/>
  <c r="F26" i="41"/>
  <c r="H17" i="32"/>
  <c r="G69" i="32"/>
  <c r="G85" i="32"/>
  <c r="G33" i="32"/>
  <c r="A63" i="41"/>
  <c r="A31" i="41"/>
  <c r="A52" i="41"/>
  <c r="F43" i="41"/>
  <c r="F62" i="41"/>
  <c r="F30" i="41"/>
  <c r="F59" i="41"/>
  <c r="F40" i="41"/>
  <c r="A21" i="41"/>
  <c r="A40" i="41"/>
  <c r="A37" i="41"/>
  <c r="F47" i="41"/>
  <c r="F66" i="41"/>
  <c r="H1" i="32"/>
  <c r="U12" i="32"/>
  <c r="G74" i="32"/>
  <c r="G53" i="32"/>
  <c r="G61" i="32"/>
  <c r="G84" i="32"/>
  <c r="G95" i="32"/>
  <c r="AM88" i="32"/>
  <c r="AN86" i="32"/>
  <c r="G59" i="32"/>
  <c r="G91" i="32"/>
  <c r="G56" i="32"/>
  <c r="R1" i="32"/>
  <c r="G42" i="32"/>
  <c r="S16" i="32"/>
  <c r="G57" i="32"/>
  <c r="G73" i="32"/>
  <c r="S13" i="32"/>
  <c r="F27" i="41"/>
  <c r="A64" i="41"/>
  <c r="F18" i="41"/>
  <c r="G124" i="32"/>
  <c r="G57" i="41"/>
  <c r="G52" i="41"/>
  <c r="G40" i="41"/>
  <c r="G51" i="41"/>
  <c r="G42" i="41"/>
  <c r="G49" i="41"/>
  <c r="G43" i="41"/>
  <c r="G71" i="41"/>
  <c r="G22" i="41"/>
  <c r="G23" i="41"/>
  <c r="G33" i="41"/>
  <c r="G27" i="41"/>
  <c r="G63" i="41"/>
  <c r="G67" i="41"/>
  <c r="G25" i="41"/>
  <c r="G64" i="41"/>
  <c r="G29" i="41"/>
  <c r="G55" i="41"/>
  <c r="G69" i="41"/>
  <c r="G54" i="41"/>
  <c r="G34" i="41"/>
  <c r="G32" i="41"/>
  <c r="G58" i="41"/>
  <c r="G39" i="41"/>
  <c r="G65" i="41"/>
  <c r="G46" i="41"/>
  <c r="G59" i="41"/>
  <c r="G36" i="41"/>
  <c r="G50" i="41"/>
  <c r="G31" i="41"/>
  <c r="G60" i="41"/>
  <c r="G26" i="41"/>
  <c r="G45" i="41"/>
  <c r="G44" i="41"/>
  <c r="G66" i="41"/>
  <c r="R2" i="32" l="1"/>
  <c r="G76" i="32"/>
  <c r="D16" i="41"/>
  <c r="S20" i="32"/>
  <c r="H2" i="32"/>
  <c r="H124" i="32"/>
  <c r="I20" i="32"/>
  <c r="AN29" i="32"/>
  <c r="AN41" i="32"/>
  <c r="AN89" i="32"/>
  <c r="U13" i="32"/>
  <c r="U16" i="32"/>
  <c r="H16" i="32"/>
  <c r="H13" i="32"/>
  <c r="D20" i="41"/>
  <c r="G9" i="32" l="1"/>
  <c r="G8" i="32"/>
  <c r="G3" i="32"/>
  <c r="T2" i="32"/>
  <c r="T3" i="32"/>
  <c r="J2" i="32"/>
  <c r="J3" i="32"/>
  <c r="AB20" i="32"/>
  <c r="G10" i="32"/>
  <c r="J22" i="32" l="1"/>
  <c r="T22" i="32"/>
  <c r="G20" i="41"/>
  <c r="I2" i="32"/>
  <c r="T92" i="32"/>
  <c r="T89" i="32"/>
  <c r="J43" i="32"/>
  <c r="J51" i="32"/>
  <c r="I75" i="32"/>
  <c r="J26" i="32"/>
  <c r="I78" i="32"/>
  <c r="T83" i="32"/>
  <c r="I54" i="32"/>
  <c r="T91" i="32"/>
  <c r="J50" i="32"/>
  <c r="T73" i="32"/>
  <c r="T90" i="32"/>
  <c r="J110" i="32"/>
  <c r="I52" i="32"/>
  <c r="I90" i="32"/>
  <c r="I43" i="32"/>
  <c r="I76" i="32"/>
  <c r="J72" i="32"/>
  <c r="T59" i="32"/>
  <c r="I44" i="32"/>
  <c r="I68" i="32"/>
  <c r="I56" i="32"/>
  <c r="J97" i="32"/>
  <c r="J105" i="32"/>
  <c r="J30" i="32"/>
  <c r="K2" i="32"/>
  <c r="L2" i="32"/>
  <c r="M2" i="32"/>
  <c r="I29" i="32"/>
  <c r="J80" i="32"/>
  <c r="J98" i="32"/>
  <c r="K69" i="32"/>
  <c r="I32" i="32"/>
  <c r="L81" i="32"/>
  <c r="T93" i="32"/>
  <c r="T94" i="32"/>
  <c r="I24" i="32"/>
  <c r="K60" i="32"/>
  <c r="T40" i="32"/>
  <c r="L93" i="32"/>
  <c r="M74" i="32"/>
  <c r="I92" i="32"/>
  <c r="K33" i="32"/>
  <c r="J89" i="32"/>
  <c r="J32" i="32"/>
  <c r="K38" i="32"/>
  <c r="L24" i="32"/>
  <c r="L110" i="32"/>
  <c r="M95" i="32"/>
  <c r="J28" i="32"/>
  <c r="T4" i="32"/>
  <c r="AC21" i="32"/>
  <c r="J54" i="32"/>
  <c r="K61" i="32"/>
  <c r="K32" i="32"/>
  <c r="L92" i="32"/>
  <c r="T84" i="32"/>
  <c r="J82" i="32"/>
  <c r="J93" i="32"/>
  <c r="J55" i="32"/>
  <c r="K42" i="32"/>
  <c r="L101" i="32"/>
  <c r="M82" i="32"/>
  <c r="T71" i="32"/>
  <c r="T45" i="32"/>
  <c r="T85" i="32"/>
  <c r="I82" i="32"/>
  <c r="I100" i="32"/>
  <c r="K24" i="32"/>
  <c r="L42" i="32"/>
  <c r="M103" i="32"/>
  <c r="I70" i="32"/>
  <c r="I97" i="32"/>
  <c r="T52" i="32"/>
  <c r="T63" i="32"/>
  <c r="K80" i="32"/>
  <c r="J56" i="32"/>
  <c r="L70" i="32"/>
  <c r="M44" i="32"/>
  <c r="K28" i="32"/>
  <c r="T64" i="32"/>
  <c r="T96" i="32"/>
  <c r="J81" i="32"/>
  <c r="K41" i="32"/>
  <c r="K54" i="32"/>
  <c r="K97" i="32"/>
  <c r="L40" i="32"/>
  <c r="K94" i="32"/>
  <c r="L33" i="32"/>
  <c r="U2" i="32"/>
  <c r="I3" i="32"/>
  <c r="AB21" i="32"/>
  <c r="I31" i="32"/>
  <c r="T78" i="32"/>
  <c r="U92" i="32"/>
  <c r="I102" i="32"/>
  <c r="T112" i="32"/>
  <c r="I50" i="32"/>
  <c r="I55" i="32"/>
  <c r="L50" i="32"/>
  <c r="U74" i="32"/>
  <c r="T65" i="32"/>
  <c r="U62" i="32"/>
  <c r="I85" i="32"/>
  <c r="K103" i="32"/>
  <c r="J76" i="32"/>
  <c r="L38" i="32"/>
  <c r="M101" i="32"/>
  <c r="I58" i="32"/>
  <c r="I84" i="32"/>
  <c r="T80" i="32"/>
  <c r="T60" i="32"/>
  <c r="T50" i="32"/>
  <c r="I45" i="32"/>
  <c r="K93" i="32"/>
  <c r="J66" i="32"/>
  <c r="L68" i="32"/>
  <c r="M42" i="32"/>
  <c r="U24" i="32"/>
  <c r="T102" i="32"/>
  <c r="I39" i="32"/>
  <c r="K92" i="32"/>
  <c r="J65" i="32"/>
  <c r="U79" i="32"/>
  <c r="U60" i="32"/>
  <c r="U89" i="32"/>
  <c r="I59" i="32"/>
  <c r="K64" i="32"/>
  <c r="J40" i="32"/>
  <c r="L89" i="32"/>
  <c r="M70" i="32"/>
  <c r="U57" i="32"/>
  <c r="J99" i="32"/>
  <c r="I72" i="32"/>
  <c r="K98" i="32"/>
  <c r="T35" i="32"/>
  <c r="J75" i="32"/>
  <c r="L71" i="32"/>
  <c r="M51" i="32"/>
  <c r="J71" i="32"/>
  <c r="L72" i="32"/>
  <c r="M35" i="32"/>
  <c r="T58" i="32"/>
  <c r="K44" i="32"/>
  <c r="L59" i="32"/>
  <c r="M98" i="32"/>
  <c r="J41" i="32"/>
  <c r="U69" i="32"/>
  <c r="J67" i="32"/>
  <c r="L77" i="32"/>
  <c r="K67" i="32"/>
  <c r="J96" i="32"/>
  <c r="J25" i="32"/>
  <c r="L102" i="32"/>
  <c r="M55" i="32"/>
  <c r="S3" i="32"/>
  <c r="U4" i="32"/>
  <c r="U66" i="32"/>
  <c r="T69" i="32"/>
  <c r="I89" i="32"/>
  <c r="K104" i="32"/>
  <c r="J77" i="32"/>
  <c r="L36" i="32"/>
  <c r="U82" i="32"/>
  <c r="U63" i="32"/>
  <c r="I60" i="32"/>
  <c r="K95" i="32"/>
  <c r="J68" i="32"/>
  <c r="L58" i="32"/>
  <c r="M41" i="32"/>
  <c r="M40" i="32"/>
  <c r="T29" i="32"/>
  <c r="U111" i="32"/>
  <c r="T72" i="32"/>
  <c r="I26" i="32"/>
  <c r="J101" i="32"/>
  <c r="K82" i="32"/>
  <c r="J58" i="32"/>
  <c r="L76" i="32"/>
  <c r="M60" i="32"/>
  <c r="T66" i="32"/>
  <c r="U64" i="32"/>
  <c r="K55" i="32"/>
  <c r="K81" i="32"/>
  <c r="J57" i="32"/>
  <c r="U97" i="32"/>
  <c r="U43" i="32"/>
  <c r="J112" i="32"/>
  <c r="J104" i="32"/>
  <c r="T39" i="32"/>
  <c r="K56" i="32"/>
  <c r="L54" i="32"/>
  <c r="M78" i="32"/>
  <c r="U44" i="32"/>
  <c r="T44" i="32"/>
  <c r="I99" i="32"/>
  <c r="K51" i="32"/>
  <c r="K90" i="32"/>
  <c r="U30" i="32"/>
  <c r="J44" i="32"/>
  <c r="L90" i="32"/>
  <c r="M59" i="32"/>
  <c r="U103" i="32"/>
  <c r="J39" i="32"/>
  <c r="L91" i="32"/>
  <c r="M61" i="32"/>
  <c r="J70" i="32"/>
  <c r="L75" i="32"/>
  <c r="M36" i="32"/>
  <c r="K102" i="32"/>
  <c r="U50" i="32"/>
  <c r="I30" i="32"/>
  <c r="L96" i="32"/>
  <c r="M30" i="32"/>
  <c r="L31" i="32"/>
  <c r="J45" i="32"/>
  <c r="T55" i="32"/>
  <c r="L100" i="32"/>
  <c r="M43" i="32"/>
  <c r="M32" i="32"/>
  <c r="U29" i="32"/>
  <c r="U3" i="32"/>
  <c r="V2" i="32"/>
  <c r="W2" i="32"/>
  <c r="T24" i="32"/>
  <c r="T70" i="32"/>
  <c r="I64" i="32"/>
  <c r="K96" i="32"/>
  <c r="J69" i="32"/>
  <c r="V100" i="32"/>
  <c r="L57" i="32"/>
  <c r="U81" i="32"/>
  <c r="U61" i="32"/>
  <c r="T25" i="32"/>
  <c r="I61" i="32"/>
  <c r="J111" i="32"/>
  <c r="K84" i="32"/>
  <c r="J60" i="32"/>
  <c r="V55" i="32"/>
  <c r="L66" i="32"/>
  <c r="W74" i="32"/>
  <c r="M38" i="32"/>
  <c r="U93" i="32"/>
  <c r="T30" i="32"/>
  <c r="T75" i="32"/>
  <c r="T32" i="32"/>
  <c r="I103" i="32"/>
  <c r="U94" i="32"/>
  <c r="U90" i="32"/>
  <c r="K74" i="32"/>
  <c r="J38" i="32"/>
  <c r="V82" i="32"/>
  <c r="L84" i="32"/>
  <c r="W102" i="32"/>
  <c r="M68" i="32"/>
  <c r="T26" i="32"/>
  <c r="I73" i="32"/>
  <c r="I98" i="32"/>
  <c r="K112" i="32"/>
  <c r="K73" i="32"/>
  <c r="J36" i="32"/>
  <c r="J31" i="32"/>
  <c r="U65" i="32"/>
  <c r="T100" i="32"/>
  <c r="J83" i="32"/>
  <c r="I41" i="32"/>
  <c r="K35" i="32"/>
  <c r="V41" i="32"/>
  <c r="L30" i="32"/>
  <c r="L55" i="32"/>
  <c r="W73" i="32"/>
  <c r="M89" i="32"/>
  <c r="U42" i="32"/>
  <c r="T101" i="32"/>
  <c r="U56" i="32"/>
  <c r="U58" i="32"/>
  <c r="K79" i="32"/>
  <c r="U71" i="32"/>
  <c r="V92" i="32"/>
  <c r="L29" i="32"/>
  <c r="M72" i="32"/>
  <c r="T62" i="32"/>
  <c r="V101" i="32"/>
  <c r="L104" i="32"/>
  <c r="M73" i="32"/>
  <c r="I42" i="32"/>
  <c r="K52" i="32"/>
  <c r="L94" i="32"/>
  <c r="M63" i="32"/>
  <c r="J78" i="32"/>
  <c r="I36" i="32"/>
  <c r="V50" i="32"/>
  <c r="L41" i="32"/>
  <c r="M39" i="32"/>
  <c r="M56" i="32"/>
  <c r="J4" i="32"/>
  <c r="V3" i="32"/>
  <c r="W3" i="32"/>
  <c r="M4" i="32"/>
  <c r="T43" i="32"/>
  <c r="T79" i="32"/>
  <c r="U26" i="32"/>
  <c r="I69" i="32"/>
  <c r="T110" i="32"/>
  <c r="K85" i="32"/>
  <c r="J61" i="32"/>
  <c r="V52" i="32"/>
  <c r="L65" i="32"/>
  <c r="U91" i="32"/>
  <c r="T104" i="32"/>
  <c r="U99" i="32"/>
  <c r="K76" i="32"/>
  <c r="J42" i="32"/>
  <c r="V43" i="32"/>
  <c r="L74" i="32"/>
  <c r="W90" i="32"/>
  <c r="M58" i="32"/>
  <c r="T38" i="32"/>
  <c r="J103" i="32"/>
  <c r="U96" i="32"/>
  <c r="U83" i="32"/>
  <c r="U68" i="32"/>
  <c r="T41" i="32"/>
  <c r="I67" i="32"/>
  <c r="K66" i="32"/>
  <c r="J24" i="32"/>
  <c r="V44" i="32"/>
  <c r="L95" i="32"/>
  <c r="W78" i="32"/>
  <c r="M76" i="32"/>
  <c r="T82" i="32"/>
  <c r="T67" i="32"/>
  <c r="U54" i="32"/>
  <c r="I63" i="32"/>
  <c r="K65" i="32"/>
  <c r="T111" i="32"/>
  <c r="T33" i="32"/>
  <c r="T77" i="32"/>
  <c r="I62" i="32"/>
  <c r="I95" i="32"/>
  <c r="K111" i="32"/>
  <c r="V99" i="32"/>
  <c r="L26" i="32"/>
  <c r="L28" i="32"/>
  <c r="W25" i="32"/>
  <c r="M97" i="32"/>
  <c r="T76" i="32"/>
  <c r="I74" i="32"/>
  <c r="I57" i="32"/>
  <c r="J90" i="32"/>
  <c r="I105" i="32"/>
  <c r="K71" i="32"/>
  <c r="T103" i="32"/>
  <c r="V102" i="32"/>
  <c r="W52" i="32"/>
  <c r="M85" i="32"/>
  <c r="U110" i="32"/>
  <c r="V78" i="32"/>
  <c r="W98" i="32"/>
  <c r="M90" i="32"/>
  <c r="S2" i="32"/>
  <c r="U85" i="32"/>
  <c r="T74" i="32"/>
  <c r="L97" i="32"/>
  <c r="T36" i="32"/>
  <c r="W100" i="32"/>
  <c r="S59" i="32"/>
  <c r="T98" i="32"/>
  <c r="S54" i="32"/>
  <c r="K91" i="32"/>
  <c r="W55" i="32"/>
  <c r="I94" i="32"/>
  <c r="I40" i="32"/>
  <c r="W38" i="32"/>
  <c r="K30" i="32"/>
  <c r="K89" i="32"/>
  <c r="W84" i="32"/>
  <c r="M24" i="32"/>
  <c r="T61" i="32"/>
  <c r="K39" i="32"/>
  <c r="W50" i="32"/>
  <c r="S111" i="32"/>
  <c r="W77" i="32"/>
  <c r="T99" i="32"/>
  <c r="M67" i="32"/>
  <c r="U39" i="32"/>
  <c r="L67" i="32"/>
  <c r="K3" i="32"/>
  <c r="J92" i="32"/>
  <c r="U33" i="32"/>
  <c r="W44" i="32"/>
  <c r="U101" i="32"/>
  <c r="M25" i="32"/>
  <c r="U35" i="32"/>
  <c r="K100" i="32"/>
  <c r="U55" i="32"/>
  <c r="K72" i="32"/>
  <c r="W54" i="32"/>
  <c r="S76" i="32"/>
  <c r="K110" i="32"/>
  <c r="W61" i="32"/>
  <c r="K59" i="32"/>
  <c r="V90" i="32"/>
  <c r="M75" i="32"/>
  <c r="V64" i="32"/>
  <c r="V89" i="32"/>
  <c r="M64" i="32"/>
  <c r="U32" i="32"/>
  <c r="L52" i="32"/>
  <c r="M65" i="32"/>
  <c r="I71" i="32"/>
  <c r="I104" i="32"/>
  <c r="V74" i="32"/>
  <c r="W111" i="32"/>
  <c r="M80" i="32"/>
  <c r="I101" i="32"/>
  <c r="V59" i="32"/>
  <c r="M81" i="32"/>
  <c r="L85" i="32"/>
  <c r="M57" i="32"/>
  <c r="M99" i="32"/>
  <c r="M71" i="32"/>
  <c r="W24" i="32"/>
  <c r="I81" i="32"/>
  <c r="I80" i="32"/>
  <c r="I65" i="32"/>
  <c r="J35" i="32"/>
  <c r="U72" i="32"/>
  <c r="S50" i="32"/>
  <c r="L56" i="32"/>
  <c r="W43" i="32"/>
  <c r="M110" i="32"/>
  <c r="S72" i="32"/>
  <c r="T57" i="32"/>
  <c r="L79" i="32"/>
  <c r="AD21" i="32"/>
  <c r="J95" i="32"/>
  <c r="I96" i="32"/>
  <c r="M93" i="32"/>
  <c r="T54" i="32"/>
  <c r="M52" i="32"/>
  <c r="T68" i="32"/>
  <c r="K36" i="32"/>
  <c r="U45" i="32"/>
  <c r="J64" i="32"/>
  <c r="M33" i="32"/>
  <c r="T42" i="32"/>
  <c r="K45" i="32"/>
  <c r="M31" i="32"/>
  <c r="V73" i="32"/>
  <c r="V110" i="32"/>
  <c r="M104" i="32"/>
  <c r="W91" i="32"/>
  <c r="V60" i="32"/>
  <c r="M92" i="32"/>
  <c r="J79" i="32"/>
  <c r="L63" i="32"/>
  <c r="M79" i="32"/>
  <c r="V40" i="32"/>
  <c r="T97" i="32"/>
  <c r="V33" i="32"/>
  <c r="W80" i="32"/>
  <c r="M96" i="32"/>
  <c r="K105" i="32"/>
  <c r="L39" i="32"/>
  <c r="M29" i="32"/>
  <c r="I110" i="32"/>
  <c r="J73" i="32"/>
  <c r="M62" i="32"/>
  <c r="V38" i="32"/>
  <c r="L25" i="32"/>
  <c r="L105" i="32"/>
  <c r="W30" i="32"/>
  <c r="K70" i="32"/>
  <c r="K29" i="32"/>
  <c r="M111" i="32"/>
  <c r="S69" i="32"/>
  <c r="K43" i="32"/>
  <c r="J33" i="32"/>
  <c r="S36" i="32"/>
  <c r="K101" i="32"/>
  <c r="T105" i="32"/>
  <c r="V57" i="32"/>
  <c r="T95" i="32"/>
  <c r="V81" i="32"/>
  <c r="M54" i="32"/>
  <c r="J102" i="32"/>
  <c r="I38" i="32"/>
  <c r="W57" i="32"/>
  <c r="L51" i="32"/>
  <c r="S79" i="32"/>
  <c r="L61" i="32"/>
  <c r="I83" i="32"/>
  <c r="K78" i="32"/>
  <c r="W94" i="32"/>
  <c r="W70" i="32"/>
  <c r="K75" i="32"/>
  <c r="L64" i="32"/>
  <c r="W29" i="32"/>
  <c r="S67" i="32"/>
  <c r="U41" i="32"/>
  <c r="L83" i="32"/>
  <c r="M83" i="32"/>
  <c r="V80" i="32"/>
  <c r="S38" i="32"/>
  <c r="W103" i="32"/>
  <c r="M112" i="32"/>
  <c r="W35" i="32"/>
  <c r="V54" i="32"/>
  <c r="K26" i="32"/>
  <c r="S66" i="32"/>
  <c r="J74" i="32"/>
  <c r="T51" i="32"/>
  <c r="V62" i="32"/>
  <c r="J94" i="32"/>
  <c r="V63" i="32"/>
  <c r="I33" i="32"/>
  <c r="K62" i="32"/>
  <c r="W75" i="32"/>
  <c r="I77" i="32"/>
  <c r="L99" i="32"/>
  <c r="J91" i="32"/>
  <c r="W41" i="32"/>
  <c r="V75" i="32"/>
  <c r="J29" i="32"/>
  <c r="W59" i="32"/>
  <c r="I28" i="32"/>
  <c r="K25" i="32"/>
  <c r="L80" i="32"/>
  <c r="W68" i="32"/>
  <c r="U67" i="32"/>
  <c r="J59" i="32"/>
  <c r="L112" i="32"/>
  <c r="U70" i="32"/>
  <c r="W110" i="32"/>
  <c r="M69" i="32"/>
  <c r="W96" i="32"/>
  <c r="V32" i="32"/>
  <c r="L35" i="32"/>
  <c r="V103" i="32"/>
  <c r="V93" i="32"/>
  <c r="S52" i="32"/>
  <c r="V51" i="32"/>
  <c r="J85" i="32"/>
  <c r="S82" i="32"/>
  <c r="I35" i="32"/>
  <c r="L62" i="32"/>
  <c r="J100" i="32"/>
  <c r="V35" i="32"/>
  <c r="M28" i="32"/>
  <c r="I25" i="32"/>
  <c r="W89" i="32"/>
  <c r="I51" i="32"/>
  <c r="W64" i="32"/>
  <c r="L69" i="32"/>
  <c r="J63" i="32"/>
  <c r="W81" i="32"/>
  <c r="W101" i="32"/>
  <c r="T56" i="32"/>
  <c r="J62" i="32"/>
  <c r="L98" i="32"/>
  <c r="M50" i="32"/>
  <c r="J52" i="32"/>
  <c r="V56" i="32"/>
  <c r="I91" i="32"/>
  <c r="V26" i="32"/>
  <c r="S99" i="32"/>
  <c r="K31" i="32"/>
  <c r="L32" i="32"/>
  <c r="I66" i="32"/>
  <c r="L60" i="32"/>
  <c r="S78" i="32"/>
  <c r="I79" i="32"/>
  <c r="T81" i="32"/>
  <c r="I111" i="32"/>
  <c r="L78" i="32"/>
  <c r="S100" i="32"/>
  <c r="I93" i="32"/>
  <c r="L45" i="32"/>
  <c r="S70" i="32"/>
  <c r="K40" i="32"/>
  <c r="W71" i="32"/>
  <c r="W95" i="32"/>
  <c r="K83" i="32"/>
  <c r="W82" i="32"/>
  <c r="M26" i="32"/>
  <c r="V36" i="32"/>
  <c r="W56" i="32"/>
  <c r="W85" i="32"/>
  <c r="I112" i="32"/>
  <c r="K50" i="32"/>
  <c r="L103" i="32"/>
  <c r="M45" i="32"/>
  <c r="J84" i="32"/>
  <c r="V104" i="32"/>
  <c r="W36" i="32"/>
  <c r="S96" i="32"/>
  <c r="K63" i="32"/>
  <c r="K99" i="32"/>
  <c r="K57" i="32"/>
  <c r="K58" i="32"/>
  <c r="K68" i="32"/>
  <c r="K77" i="32"/>
  <c r="K4" i="32"/>
  <c r="L43" i="32"/>
  <c r="L44" i="32"/>
  <c r="L111" i="32"/>
  <c r="L82" i="32"/>
  <c r="L73" i="32"/>
  <c r="L4" i="32"/>
  <c r="M94" i="32"/>
  <c r="M77" i="32"/>
  <c r="M91" i="32"/>
  <c r="M102" i="32"/>
  <c r="M100" i="32"/>
  <c r="M105" i="32"/>
  <c r="M84" i="32"/>
  <c r="M66" i="32"/>
  <c r="N2" i="32"/>
  <c r="U36" i="32"/>
  <c r="U98" i="32"/>
  <c r="U40" i="32"/>
  <c r="U80" i="32"/>
  <c r="U52" i="32"/>
  <c r="U95" i="32"/>
  <c r="U105" i="32"/>
  <c r="U59" i="32"/>
  <c r="U75" i="32"/>
  <c r="U25" i="32"/>
  <c r="U100" i="32"/>
  <c r="U104" i="32"/>
  <c r="U73" i="32"/>
  <c r="U102" i="32"/>
  <c r="U78" i="32"/>
  <c r="U112" i="32"/>
  <c r="U77" i="32"/>
  <c r="U76" i="32"/>
  <c r="U38" i="32"/>
  <c r="U51" i="32"/>
  <c r="U84" i="32"/>
  <c r="V58" i="32"/>
  <c r="V77" i="32"/>
  <c r="V111" i="32"/>
  <c r="V61" i="32"/>
  <c r="V45" i="32"/>
  <c r="V105" i="32"/>
  <c r="V72" i="32"/>
  <c r="V4" i="32"/>
  <c r="V79" i="32"/>
  <c r="V71" i="32"/>
  <c r="V112" i="32"/>
  <c r="V95" i="32"/>
  <c r="V66" i="32"/>
  <c r="V68" i="32"/>
  <c r="V94" i="32"/>
  <c r="V65" i="32"/>
  <c r="V24" i="32"/>
  <c r="V91" i="32"/>
  <c r="V30" i="32"/>
  <c r="V97" i="32"/>
  <c r="V84" i="32"/>
  <c r="V25" i="32"/>
  <c r="V42" i="32"/>
  <c r="V67" i="32"/>
  <c r="V96" i="32"/>
  <c r="V76" i="32"/>
  <c r="V85" i="32"/>
  <c r="V70" i="32"/>
  <c r="V98" i="32"/>
  <c r="V83" i="32"/>
  <c r="V39" i="32"/>
  <c r="V69" i="32"/>
  <c r="V29" i="32"/>
  <c r="W32" i="32"/>
  <c r="W104" i="32"/>
  <c r="W60" i="32"/>
  <c r="X2" i="32"/>
  <c r="W62" i="32"/>
  <c r="W33" i="32"/>
  <c r="W83" i="32"/>
  <c r="W67" i="32"/>
  <c r="W79" i="32"/>
  <c r="W93" i="32"/>
  <c r="W4" i="32"/>
  <c r="W45" i="32"/>
  <c r="W63" i="32"/>
  <c r="W97" i="32"/>
  <c r="W69" i="32"/>
  <c r="W39" i="32"/>
  <c r="W65" i="32"/>
  <c r="W42" i="32"/>
  <c r="W51" i="32"/>
  <c r="W72" i="32"/>
  <c r="W58" i="32"/>
  <c r="W92" i="32"/>
  <c r="W112" i="32"/>
  <c r="W99" i="32"/>
  <c r="W66" i="32"/>
  <c r="W105" i="32"/>
  <c r="W40" i="32"/>
  <c r="W26" i="32"/>
  <c r="W76" i="32"/>
  <c r="X3" i="32"/>
  <c r="S41" i="32"/>
  <c r="S85" i="32"/>
  <c r="S101" i="32"/>
  <c r="S102" i="32"/>
  <c r="S51" i="32"/>
  <c r="S93" i="32"/>
  <c r="S74" i="32"/>
  <c r="S26" i="32"/>
  <c r="S55" i="32"/>
  <c r="S62" i="32"/>
  <c r="S64" i="32"/>
  <c r="S84" i="32"/>
  <c r="S43" i="32"/>
  <c r="S63" i="32"/>
  <c r="S95" i="32"/>
  <c r="S73" i="32"/>
  <c r="S104" i="32"/>
  <c r="S91" i="32"/>
  <c r="S81" i="32"/>
  <c r="S56" i="32"/>
  <c r="S75" i="32"/>
  <c r="S58" i="32"/>
  <c r="S35" i="32"/>
  <c r="S65" i="32"/>
  <c r="S80" i="32"/>
  <c r="S105" i="32"/>
  <c r="S24" i="32"/>
  <c r="S45" i="32"/>
  <c r="S94" i="32"/>
  <c r="S33" i="32"/>
  <c r="S57" i="32"/>
  <c r="S25" i="32"/>
  <c r="S98" i="32"/>
  <c r="S83" i="32"/>
  <c r="S71" i="32"/>
  <c r="S89" i="32"/>
  <c r="S103" i="32"/>
  <c r="S40" i="32"/>
  <c r="S97" i="32"/>
  <c r="S60" i="32"/>
  <c r="S90" i="32"/>
  <c r="S61" i="32"/>
  <c r="S68" i="32"/>
  <c r="S110" i="32"/>
  <c r="S112" i="32"/>
  <c r="S29" i="32"/>
  <c r="S30" i="32"/>
  <c r="S32" i="32"/>
  <c r="S92" i="32"/>
  <c r="S39" i="32"/>
  <c r="S77" i="32"/>
  <c r="S42" i="32"/>
  <c r="S44" i="32"/>
  <c r="L3" i="32"/>
  <c r="N99" i="32"/>
  <c r="N25" i="32"/>
  <c r="N44" i="32"/>
  <c r="N62" i="32"/>
  <c r="N28" i="32"/>
  <c r="N103" i="32"/>
  <c r="N33" i="32"/>
  <c r="N24" i="32"/>
  <c r="N43" i="32"/>
  <c r="N64" i="32"/>
  <c r="N51" i="32"/>
  <c r="N105" i="32"/>
  <c r="N68" i="32"/>
  <c r="N78" i="32"/>
  <c r="N96" i="32"/>
  <c r="N69" i="32"/>
  <c r="N83" i="32"/>
  <c r="N59" i="32"/>
  <c r="N111" i="32"/>
  <c r="N75" i="32"/>
  <c r="N90" i="32"/>
  <c r="N39" i="32"/>
  <c r="N98" i="32"/>
  <c r="N65" i="32"/>
  <c r="N50" i="32"/>
  <c r="N31" i="32"/>
  <c r="N56" i="32"/>
  <c r="N67" i="32"/>
  <c r="N94" i="32"/>
  <c r="N79" i="32"/>
  <c r="N26" i="32"/>
  <c r="N73" i="32"/>
  <c r="N57" i="32"/>
  <c r="N110" i="32"/>
  <c r="N70" i="32"/>
  <c r="N36" i="32"/>
  <c r="N63" i="32"/>
  <c r="N71" i="32"/>
  <c r="N42" i="32"/>
  <c r="N97" i="32"/>
  <c r="N89" i="32"/>
  <c r="N58" i="32"/>
  <c r="N40" i="32"/>
  <c r="O2" i="32"/>
  <c r="N77" i="32"/>
  <c r="N95" i="32"/>
  <c r="N85" i="32"/>
  <c r="N81" i="32"/>
  <c r="N38" i="32"/>
  <c r="N4" i="32"/>
  <c r="N104" i="32"/>
  <c r="N112" i="32"/>
  <c r="N54" i="32"/>
  <c r="N32" i="32"/>
  <c r="N102" i="32"/>
  <c r="N93" i="32"/>
  <c r="N30" i="32"/>
  <c r="N101" i="32"/>
  <c r="N72" i="32"/>
  <c r="N100" i="32"/>
  <c r="N84" i="32"/>
  <c r="N82" i="32"/>
  <c r="N80" i="32"/>
  <c r="N91" i="32"/>
  <c r="N61" i="32"/>
  <c r="N60" i="32"/>
  <c r="N92" i="32"/>
  <c r="N74" i="32"/>
  <c r="N41" i="32"/>
  <c r="N45" i="32"/>
  <c r="N76" i="32"/>
  <c r="N55" i="32"/>
  <c r="N29" i="32"/>
  <c r="N52" i="32"/>
  <c r="N66" i="32"/>
  <c r="N35" i="32"/>
  <c r="X24" i="32"/>
  <c r="X110" i="32"/>
  <c r="X71" i="32"/>
  <c r="X73" i="32"/>
  <c r="X44" i="32"/>
  <c r="X63" i="32"/>
  <c r="X39" i="32"/>
  <c r="X100" i="32"/>
  <c r="X52" i="32"/>
  <c r="X103" i="32"/>
  <c r="X102" i="32"/>
  <c r="X26" i="32"/>
  <c r="X33" i="32"/>
  <c r="X95" i="32"/>
  <c r="X67" i="32"/>
  <c r="X93" i="32"/>
  <c r="X111" i="32"/>
  <c r="X112" i="32"/>
  <c r="X92" i="32"/>
  <c r="X4" i="32"/>
  <c r="X84" i="32"/>
  <c r="X55" i="32"/>
  <c r="X57" i="32"/>
  <c r="X76" i="32"/>
  <c r="X43" i="32"/>
  <c r="X45" i="32"/>
  <c r="X78" i="32"/>
  <c r="X68" i="32"/>
  <c r="X64" i="32"/>
  <c r="X75" i="32"/>
  <c r="X35" i="32"/>
  <c r="X70" i="32"/>
  <c r="X58" i="32"/>
  <c r="X91" i="32"/>
  <c r="X81" i="32"/>
  <c r="X82" i="32"/>
  <c r="X80" i="32"/>
  <c r="X50" i="32"/>
  <c r="X42" i="32"/>
  <c r="X74" i="32"/>
  <c r="X89" i="32"/>
  <c r="X30" i="32"/>
  <c r="X105" i="32"/>
  <c r="X77" i="32"/>
  <c r="X99" i="32"/>
  <c r="X40" i="32"/>
  <c r="X65" i="32"/>
  <c r="X38" i="32"/>
  <c r="X83" i="32"/>
  <c r="X60" i="32"/>
  <c r="X54" i="32"/>
  <c r="X90" i="32"/>
  <c r="X104" i="32"/>
  <c r="X61" i="32"/>
  <c r="X66" i="32"/>
  <c r="X97" i="32"/>
  <c r="X101" i="32"/>
  <c r="X62" i="32"/>
  <c r="X29" i="32"/>
  <c r="X56" i="32"/>
  <c r="X72" i="32"/>
  <c r="Y2" i="32"/>
  <c r="X96" i="32"/>
  <c r="X41" i="32"/>
  <c r="X98" i="32"/>
  <c r="X51" i="32"/>
  <c r="X85" i="32"/>
  <c r="X36" i="32"/>
  <c r="X94" i="32"/>
  <c r="X25" i="32"/>
  <c r="X59" i="32"/>
  <c r="X32" i="32"/>
  <c r="X79" i="32"/>
  <c r="X69" i="32"/>
  <c r="Y3" i="32"/>
  <c r="AE21" i="32"/>
  <c r="M3" i="32"/>
  <c r="O104" i="32"/>
  <c r="O82" i="32"/>
  <c r="O68" i="32"/>
  <c r="O94" i="32"/>
  <c r="O93" i="32"/>
  <c r="O83" i="32"/>
  <c r="O45" i="32"/>
  <c r="O89" i="32"/>
  <c r="O35" i="32"/>
  <c r="O28" i="32"/>
  <c r="O71" i="32"/>
  <c r="O67" i="32"/>
  <c r="O58" i="32"/>
  <c r="O64" i="32"/>
  <c r="O57" i="32"/>
  <c r="O39" i="32"/>
  <c r="O44" i="32"/>
  <c r="O105" i="32"/>
  <c r="O26" i="32"/>
  <c r="O41" i="32"/>
  <c r="O90" i="32"/>
  <c r="O76" i="32"/>
  <c r="O33" i="32"/>
  <c r="O110" i="32"/>
  <c r="O92" i="32"/>
  <c r="O80" i="32"/>
  <c r="O69" i="32"/>
  <c r="O43" i="32"/>
  <c r="O55" i="32"/>
  <c r="O72" i="32"/>
  <c r="O30" i="32"/>
  <c r="O29" i="32"/>
  <c r="O112" i="32"/>
  <c r="O25" i="32"/>
  <c r="O103" i="32"/>
  <c r="O75" i="32"/>
  <c r="O59" i="32"/>
  <c r="O70" i="32"/>
  <c r="O32" i="32"/>
  <c r="O84" i="32"/>
  <c r="O52" i="32"/>
  <c r="O50" i="32"/>
  <c r="O73" i="32"/>
  <c r="O61" i="32"/>
  <c r="O98" i="32"/>
  <c r="O95" i="32"/>
  <c r="O60" i="32"/>
  <c r="O65" i="32"/>
  <c r="O54" i="32"/>
  <c r="O97" i="32"/>
  <c r="O79" i="32"/>
  <c r="O100" i="32"/>
  <c r="O51" i="32"/>
  <c r="P2" i="32"/>
  <c r="O62" i="32"/>
  <c r="O77" i="32"/>
  <c r="O101" i="32"/>
  <c r="O36" i="32"/>
  <c r="O91" i="32"/>
  <c r="O42" i="32"/>
  <c r="O81" i="32"/>
  <c r="O4" i="32"/>
  <c r="O111" i="32"/>
  <c r="O96" i="32"/>
  <c r="O38" i="32"/>
  <c r="O31" i="32"/>
  <c r="O74" i="32"/>
  <c r="O85" i="32"/>
  <c r="O66" i="32"/>
  <c r="O56" i="32"/>
  <c r="O102" i="32"/>
  <c r="O78" i="32"/>
  <c r="O99" i="32"/>
  <c r="O40" i="32"/>
  <c r="O63" i="32"/>
  <c r="O24" i="32"/>
  <c r="Y97" i="32"/>
  <c r="Y78" i="32"/>
  <c r="Y65" i="32"/>
  <c r="Y26" i="32"/>
  <c r="Y72" i="32"/>
  <c r="Y92" i="32"/>
  <c r="Y74" i="32"/>
  <c r="Y30" i="32"/>
  <c r="Y83" i="32"/>
  <c r="Y54" i="32"/>
  <c r="Y64" i="32"/>
  <c r="Y71" i="32"/>
  <c r="Y38" i="32"/>
  <c r="Y77" i="32"/>
  <c r="Y70" i="32"/>
  <c r="Y45" i="32"/>
  <c r="Y105" i="32"/>
  <c r="Y32" i="32"/>
  <c r="Y66" i="32"/>
  <c r="Y85" i="32"/>
  <c r="Z2" i="32"/>
  <c r="Y94" i="32"/>
  <c r="Y90" i="32"/>
  <c r="Y24" i="32"/>
  <c r="Y61" i="32"/>
  <c r="Y29" i="32"/>
  <c r="Y99" i="32"/>
  <c r="Y63" i="32"/>
  <c r="Y69" i="32"/>
  <c r="Y68" i="32"/>
  <c r="Y76" i="32"/>
  <c r="Y40" i="32"/>
  <c r="Y67" i="32"/>
  <c r="Y93" i="32"/>
  <c r="Y44" i="32"/>
  <c r="Y101" i="32"/>
  <c r="Y102" i="32"/>
  <c r="Y75" i="32"/>
  <c r="Y104" i="32"/>
  <c r="Y91" i="32"/>
  <c r="Y81" i="32"/>
  <c r="Y58" i="32"/>
  <c r="Y96" i="32"/>
  <c r="Y42" i="32"/>
  <c r="Y39" i="32"/>
  <c r="Y41" i="32"/>
  <c r="Y55" i="32"/>
  <c r="Y57" i="32"/>
  <c r="Y52" i="32"/>
  <c r="Y56" i="32"/>
  <c r="Y35" i="32"/>
  <c r="Y50" i="32"/>
  <c r="Y51" i="32"/>
  <c r="Y33" i="32"/>
  <c r="Y89" i="32"/>
  <c r="Y73" i="32"/>
  <c r="Y36" i="32"/>
  <c r="Y79" i="32"/>
  <c r="Y43" i="32"/>
  <c r="Y59" i="32"/>
  <c r="Y25" i="32"/>
  <c r="Y84" i="32"/>
  <c r="Y110" i="32"/>
  <c r="Y103" i="32"/>
  <c r="Y80" i="32"/>
  <c r="Y4" i="32"/>
  <c r="Y60" i="32"/>
  <c r="Y111" i="32"/>
  <c r="Y100" i="32"/>
  <c r="Y82" i="32"/>
  <c r="Y98" i="32"/>
  <c r="Y95" i="32"/>
  <c r="Y112" i="32"/>
  <c r="Y62" i="32"/>
  <c r="Z3" i="32"/>
  <c r="N3" i="32"/>
  <c r="AF21" i="32"/>
  <c r="P91" i="32"/>
  <c r="P50" i="32"/>
  <c r="P32" i="32"/>
  <c r="P43" i="32"/>
  <c r="P30" i="32"/>
  <c r="P75" i="32"/>
  <c r="P84" i="32"/>
  <c r="P59" i="32"/>
  <c r="P80" i="32"/>
  <c r="P81" i="32"/>
  <c r="P104" i="32"/>
  <c r="P25" i="32"/>
  <c r="P76" i="32"/>
  <c r="P56" i="32"/>
  <c r="P40" i="32"/>
  <c r="P100" i="32"/>
  <c r="P74" i="32"/>
  <c r="P92" i="32"/>
  <c r="P54" i="32"/>
  <c r="P83" i="32"/>
  <c r="P65" i="32"/>
  <c r="P72" i="32"/>
  <c r="P98" i="32"/>
  <c r="P105" i="32"/>
  <c r="P95" i="32"/>
  <c r="P94" i="32"/>
  <c r="P82" i="32"/>
  <c r="P52" i="32"/>
  <c r="P93" i="32"/>
  <c r="P58" i="32"/>
  <c r="P64" i="32"/>
  <c r="P63" i="32"/>
  <c r="P90" i="32"/>
  <c r="P97" i="32"/>
  <c r="P68" i="32"/>
  <c r="P31" i="32"/>
  <c r="P39" i="32"/>
  <c r="P45" i="32"/>
  <c r="P62" i="32"/>
  <c r="P51" i="32"/>
  <c r="P112" i="32"/>
  <c r="P35" i="32"/>
  <c r="P29" i="32"/>
  <c r="P26" i="32"/>
  <c r="P101" i="32"/>
  <c r="P42" i="32"/>
  <c r="P110" i="32"/>
  <c r="P38" i="32"/>
  <c r="P102" i="32"/>
  <c r="P66" i="32"/>
  <c r="P67" i="32"/>
  <c r="P28" i="32"/>
  <c r="P41" i="32"/>
  <c r="P57" i="32"/>
  <c r="P89" i="32"/>
  <c r="P96" i="32"/>
  <c r="P55" i="32"/>
  <c r="P61" i="32"/>
  <c r="P78" i="32"/>
  <c r="P85" i="32"/>
  <c r="P70" i="32"/>
  <c r="H125" i="32"/>
  <c r="P77" i="32"/>
  <c r="P103" i="32"/>
  <c r="P44" i="32"/>
  <c r="P99" i="32"/>
  <c r="P69" i="32"/>
  <c r="P60" i="32"/>
  <c r="P4" i="32"/>
  <c r="P79" i="32"/>
  <c r="P73" i="32"/>
  <c r="P111" i="32"/>
  <c r="P36" i="32"/>
  <c r="P71" i="32"/>
  <c r="P33" i="32"/>
  <c r="P24" i="32"/>
  <c r="Z74" i="32"/>
  <c r="Z104" i="32"/>
  <c r="Z77" i="32"/>
  <c r="Z40" i="32"/>
  <c r="Z25" i="32"/>
  <c r="Z50" i="32"/>
  <c r="Z94" i="32"/>
  <c r="Z90" i="32"/>
  <c r="Z29" i="32"/>
  <c r="Z26" i="32"/>
  <c r="Z76" i="32"/>
  <c r="Z38" i="32"/>
  <c r="Z60" i="32"/>
  <c r="Z92" i="32"/>
  <c r="Z35" i="32"/>
  <c r="Z44" i="32"/>
  <c r="Z56" i="32"/>
  <c r="Z71" i="32"/>
  <c r="Z105" i="32"/>
  <c r="Z54" i="32"/>
  <c r="Z33" i="32"/>
  <c r="Z61" i="32"/>
  <c r="Z70" i="32"/>
  <c r="Z24" i="32"/>
  <c r="Z45" i="32"/>
  <c r="Z97" i="32"/>
  <c r="Z72" i="32"/>
  <c r="Z102" i="32"/>
  <c r="Z100" i="32"/>
  <c r="Z67" i="32"/>
  <c r="Z58" i="32"/>
  <c r="Z55" i="32"/>
  <c r="Z80" i="32"/>
  <c r="Z95" i="32"/>
  <c r="Z93" i="32"/>
  <c r="Z73" i="32"/>
  <c r="Z65" i="32"/>
  <c r="Z52" i="32"/>
  <c r="Z59" i="32"/>
  <c r="Z110" i="32"/>
  <c r="Z63" i="32"/>
  <c r="Z91" i="32"/>
  <c r="Z103" i="32"/>
  <c r="Z89" i="32"/>
  <c r="Z36" i="32"/>
  <c r="Z79" i="32"/>
  <c r="Z81" i="32"/>
  <c r="Z64" i="32"/>
  <c r="Z83" i="32"/>
  <c r="Z112" i="32"/>
  <c r="Z32" i="32"/>
  <c r="Z96" i="32"/>
  <c r="Z66" i="32"/>
  <c r="Z78" i="32"/>
  <c r="Z43" i="32"/>
  <c r="Z84" i="32"/>
  <c r="Z30" i="32"/>
  <c r="Z68" i="32"/>
  <c r="Z99" i="32"/>
  <c r="Z75" i="32"/>
  <c r="Z85" i="32"/>
  <c r="Z111" i="32"/>
  <c r="Z39" i="32"/>
  <c r="Z69" i="32"/>
  <c r="Z62" i="32"/>
  <c r="Z4" i="32"/>
  <c r="Z101" i="32"/>
  <c r="Z51" i="32"/>
  <c r="Z42" i="32"/>
  <c r="Z82" i="32"/>
  <c r="Z98" i="32"/>
  <c r="Z57" i="32"/>
  <c r="Z41" i="32"/>
  <c r="O3" i="32"/>
  <c r="AG21" i="32"/>
  <c r="AH21" i="32"/>
  <c r="P3" i="32"/>
  <c r="AI21" i="32"/>
  <c r="P22" i="32" l="1"/>
  <c r="O22" i="32"/>
  <c r="Z120" i="32"/>
  <c r="AG41" i="32"/>
  <c r="AG57" i="32"/>
  <c r="AG98" i="32"/>
  <c r="AG82" i="32"/>
  <c r="AG42" i="32"/>
  <c r="AG51" i="32"/>
  <c r="Z117" i="32"/>
  <c r="AG101" i="32"/>
  <c r="Z21" i="32"/>
  <c r="Z87" i="32" s="1"/>
  <c r="AG62" i="32"/>
  <c r="AG69" i="32"/>
  <c r="AG39" i="32"/>
  <c r="AG111" i="32"/>
  <c r="AG85" i="32"/>
  <c r="AG75" i="32"/>
  <c r="AG99" i="32"/>
  <c r="AG68" i="32"/>
  <c r="AG30" i="32"/>
  <c r="AG84" i="32"/>
  <c r="AG43" i="32"/>
  <c r="AG78" i="32"/>
  <c r="AG66" i="32"/>
  <c r="Z106" i="32"/>
  <c r="AG96" i="32"/>
  <c r="AG32" i="32"/>
  <c r="AG112" i="32"/>
  <c r="AG83" i="32"/>
  <c r="AG64" i="32"/>
  <c r="AG81" i="32"/>
  <c r="AG79" i="32"/>
  <c r="AG36" i="32"/>
  <c r="Z37" i="32"/>
  <c r="AG89" i="32"/>
  <c r="AG103" i="32"/>
  <c r="AG91" i="32"/>
  <c r="AG63" i="32"/>
  <c r="Z113" i="32"/>
  <c r="AG110" i="32"/>
  <c r="AG59" i="32"/>
  <c r="AG52" i="32"/>
  <c r="AG65" i="32"/>
  <c r="AG73" i="32"/>
  <c r="AG93" i="32"/>
  <c r="AG95" i="32"/>
  <c r="AG80" i="32"/>
  <c r="Z53" i="32"/>
  <c r="AG55" i="32"/>
  <c r="AG58" i="32"/>
  <c r="AG67" i="32"/>
  <c r="AG100" i="32"/>
  <c r="AG102" i="32"/>
  <c r="AG72" i="32"/>
  <c r="AG97" i="32"/>
  <c r="Z46" i="32"/>
  <c r="AG45" i="32"/>
  <c r="AG24" i="32"/>
  <c r="Z128" i="32"/>
  <c r="AG70" i="32"/>
  <c r="AG61" i="32"/>
  <c r="Z127" i="32"/>
  <c r="Z129" i="32" s="1"/>
  <c r="Z130" i="32" s="1"/>
  <c r="Z131" i="32" s="1"/>
  <c r="Z132" i="32" s="1"/>
  <c r="Z118" i="32" s="1"/>
  <c r="Z27" i="32"/>
  <c r="AG33" i="32"/>
  <c r="Z34" i="32"/>
  <c r="AG54" i="32"/>
  <c r="AG105" i="32"/>
  <c r="AG71" i="32"/>
  <c r="AG56" i="32"/>
  <c r="AG44" i="32"/>
  <c r="AG35" i="32"/>
  <c r="AG92" i="32"/>
  <c r="AG60" i="32"/>
  <c r="AG38" i="32"/>
  <c r="Z119" i="32"/>
  <c r="AG76" i="32"/>
  <c r="AG26" i="32"/>
  <c r="AG29" i="32"/>
  <c r="AG90" i="32"/>
  <c r="AG94" i="32"/>
  <c r="AG50" i="32"/>
  <c r="AG25" i="32"/>
  <c r="AG40" i="32"/>
  <c r="AG77" i="32"/>
  <c r="AG104" i="32"/>
  <c r="AG74" i="32"/>
  <c r="P128" i="32"/>
  <c r="P27" i="32"/>
  <c r="P127" i="32"/>
  <c r="P129" i="32" s="1"/>
  <c r="P34" i="32"/>
  <c r="P37" i="32"/>
  <c r="P21" i="32"/>
  <c r="P48" i="32" s="1"/>
  <c r="AI48" i="32" s="1"/>
  <c r="P53" i="32"/>
  <c r="P106" i="32"/>
  <c r="P120" i="32"/>
  <c r="P119" i="32"/>
  <c r="P113" i="32"/>
  <c r="P117" i="32"/>
  <c r="P46" i="32"/>
  <c r="N22" i="32"/>
  <c r="Z22" i="32"/>
  <c r="AF62" i="32"/>
  <c r="AF112" i="32"/>
  <c r="AF95" i="32"/>
  <c r="AF98" i="32"/>
  <c r="AF82" i="32"/>
  <c r="AF100" i="32"/>
  <c r="AF111" i="32"/>
  <c r="AF60" i="32"/>
  <c r="Y21" i="32"/>
  <c r="Y87" i="32" s="1"/>
  <c r="AF80" i="32"/>
  <c r="AF103" i="32"/>
  <c r="Y113" i="32"/>
  <c r="AF110" i="32"/>
  <c r="AF84" i="32"/>
  <c r="AF25" i="32"/>
  <c r="AF59" i="32"/>
  <c r="AF43" i="32"/>
  <c r="AF79" i="32"/>
  <c r="AF36" i="32"/>
  <c r="Y37" i="32"/>
  <c r="AF73" i="32"/>
  <c r="AF89" i="32"/>
  <c r="AF33" i="32"/>
  <c r="Y127" i="32"/>
  <c r="Y129" i="32" s="1"/>
  <c r="Y34" i="32"/>
  <c r="Y27" i="32"/>
  <c r="AF51" i="32"/>
  <c r="Y117" i="32"/>
  <c r="AF50" i="32"/>
  <c r="AF35" i="32"/>
  <c r="AF56" i="32"/>
  <c r="AF52" i="32"/>
  <c r="AF57" i="32"/>
  <c r="AF55" i="32"/>
  <c r="Y53" i="32"/>
  <c r="AF41" i="32"/>
  <c r="Y120" i="32"/>
  <c r="AF39" i="32"/>
  <c r="AF42" i="32"/>
  <c r="Y106" i="32"/>
  <c r="AF96" i="32"/>
  <c r="AF58" i="32"/>
  <c r="AF81" i="32"/>
  <c r="AF91" i="32"/>
  <c r="AF104" i="32"/>
  <c r="AF75" i="32"/>
  <c r="AF102" i="32"/>
  <c r="AF101" i="32"/>
  <c r="AF44" i="32"/>
  <c r="AF93" i="32"/>
  <c r="AF67" i="32"/>
  <c r="AF40" i="32"/>
  <c r="AF76" i="32"/>
  <c r="AF68" i="32"/>
  <c r="AF69" i="32"/>
  <c r="AF63" i="32"/>
  <c r="AF99" i="32"/>
  <c r="AF29" i="32"/>
  <c r="AF61" i="32"/>
  <c r="AF24" i="32"/>
  <c r="Y128" i="32"/>
  <c r="AF90" i="32"/>
  <c r="AF94" i="32"/>
  <c r="AF85" i="32"/>
  <c r="AF66" i="32"/>
  <c r="AF32" i="32"/>
  <c r="AF105" i="32"/>
  <c r="AF45" i="32"/>
  <c r="Y46" i="32"/>
  <c r="AF70" i="32"/>
  <c r="AF77" i="32"/>
  <c r="AF38" i="32"/>
  <c r="Y119" i="32"/>
  <c r="AF71" i="32"/>
  <c r="AF64" i="32"/>
  <c r="AF54" i="32"/>
  <c r="AF83" i="32"/>
  <c r="AF30" i="32"/>
  <c r="AF74" i="32"/>
  <c r="AF92" i="32"/>
  <c r="AF72" i="32"/>
  <c r="AF26" i="32"/>
  <c r="AF65" i="32"/>
  <c r="AF78" i="32"/>
  <c r="AF97" i="32"/>
  <c r="O128" i="32"/>
  <c r="AH24" i="32"/>
  <c r="AH63" i="32"/>
  <c r="AH78" i="32"/>
  <c r="AH102" i="32"/>
  <c r="AH56" i="32"/>
  <c r="AH66" i="32"/>
  <c r="AH31" i="32"/>
  <c r="AH38" i="32"/>
  <c r="O119" i="32"/>
  <c r="O106" i="32"/>
  <c r="AH106" i="32" s="1"/>
  <c r="AH111" i="32"/>
  <c r="O21" i="32"/>
  <c r="AH81" i="32"/>
  <c r="AH42" i="32"/>
  <c r="AH91" i="32"/>
  <c r="O37" i="32"/>
  <c r="AH37" i="32" s="1"/>
  <c r="AH101" i="32"/>
  <c r="AH77" i="32"/>
  <c r="AH62" i="32"/>
  <c r="AH51" i="32"/>
  <c r="O117" i="32"/>
  <c r="AH100" i="32"/>
  <c r="AH79" i="32"/>
  <c r="AH97" i="32"/>
  <c r="AH54" i="32"/>
  <c r="AH65" i="32"/>
  <c r="AH60" i="32"/>
  <c r="AH95" i="32"/>
  <c r="AH98" i="32"/>
  <c r="AH73" i="32"/>
  <c r="AH52" i="32"/>
  <c r="AH84" i="32"/>
  <c r="AH32" i="32"/>
  <c r="AH70" i="32"/>
  <c r="AH59" i="32"/>
  <c r="AH103" i="32"/>
  <c r="AH25" i="32"/>
  <c r="AH112" i="32"/>
  <c r="AH29" i="32"/>
  <c r="AH30" i="32"/>
  <c r="AH72" i="32"/>
  <c r="O53" i="32"/>
  <c r="AH53" i="32" s="1"/>
  <c r="AH69" i="32"/>
  <c r="AH80" i="32"/>
  <c r="AH92" i="32"/>
  <c r="AH110" i="32"/>
  <c r="O113" i="32"/>
  <c r="AH113" i="32" s="1"/>
  <c r="O34" i="32"/>
  <c r="AH34" i="32" s="1"/>
  <c r="O127" i="32"/>
  <c r="O129" i="32" s="1"/>
  <c r="O130" i="32" s="1"/>
  <c r="O131" i="32" s="1"/>
  <c r="O132" i="32" s="1"/>
  <c r="O118" i="32" s="1"/>
  <c r="O27" i="32"/>
  <c r="AH76" i="32"/>
  <c r="AH90" i="32"/>
  <c r="AH41" i="32"/>
  <c r="O120" i="32"/>
  <c r="AH44" i="32"/>
  <c r="AH39" i="32"/>
  <c r="AH57" i="32"/>
  <c r="AH64" i="32"/>
  <c r="AH67" i="32"/>
  <c r="AH71" i="32"/>
  <c r="AH28" i="32"/>
  <c r="AH35" i="32"/>
  <c r="AH89" i="32"/>
  <c r="O46" i="32"/>
  <c r="AH46" i="32" s="1"/>
  <c r="AH93" i="32"/>
  <c r="AH68" i="32"/>
  <c r="AH82" i="32"/>
  <c r="AH104" i="32"/>
  <c r="M22" i="32"/>
  <c r="Y22" i="32"/>
  <c r="AE69" i="32"/>
  <c r="AE79" i="32"/>
  <c r="AE32" i="32"/>
  <c r="AE59" i="32"/>
  <c r="AE25" i="32"/>
  <c r="AE94" i="32"/>
  <c r="AE36" i="32"/>
  <c r="X37" i="32"/>
  <c r="AE85" i="32"/>
  <c r="AE51" i="32"/>
  <c r="X117" i="32"/>
  <c r="AE98" i="32"/>
  <c r="AE41" i="32"/>
  <c r="X120" i="32"/>
  <c r="AE96" i="32"/>
  <c r="X106" i="32"/>
  <c r="AE72" i="32"/>
  <c r="AE56" i="32"/>
  <c r="AE29" i="32"/>
  <c r="AE62" i="32"/>
  <c r="AE101" i="32"/>
  <c r="AE97" i="32"/>
  <c r="AE66" i="32"/>
  <c r="AE61" i="32"/>
  <c r="AE104" i="32"/>
  <c r="AE90" i="32"/>
  <c r="AE54" i="32"/>
  <c r="AE60" i="32"/>
  <c r="AE83" i="32"/>
  <c r="AE38" i="32"/>
  <c r="X119" i="32"/>
  <c r="AE65" i="32"/>
  <c r="AE40" i="32"/>
  <c r="AE99" i="32"/>
  <c r="AE77" i="32"/>
  <c r="AE105" i="32"/>
  <c r="AE30" i="32"/>
  <c r="AE89" i="32"/>
  <c r="AE74" i="32"/>
  <c r="AE42" i="32"/>
  <c r="AE50" i="32"/>
  <c r="AE80" i="32"/>
  <c r="AE82" i="32"/>
  <c r="AE81" i="32"/>
  <c r="AE91" i="32"/>
  <c r="AE58" i="32"/>
  <c r="AE70" i="32"/>
  <c r="AE35" i="32"/>
  <c r="AE75" i="32"/>
  <c r="AE64" i="32"/>
  <c r="AE68" i="32"/>
  <c r="AE78" i="32"/>
  <c r="AE45" i="32"/>
  <c r="X46" i="32"/>
  <c r="AE43" i="32"/>
  <c r="AE76" i="32"/>
  <c r="AE57" i="32"/>
  <c r="X53" i="32"/>
  <c r="AE55" i="32"/>
  <c r="AE84" i="32"/>
  <c r="X21" i="32"/>
  <c r="X87" i="32" s="1"/>
  <c r="AE92" i="32"/>
  <c r="AE112" i="32"/>
  <c r="AE111" i="32"/>
  <c r="AE93" i="32"/>
  <c r="AE67" i="32"/>
  <c r="AE95" i="32"/>
  <c r="AE33" i="32"/>
  <c r="X27" i="32"/>
  <c r="X127" i="32"/>
  <c r="X129" i="32" s="1"/>
  <c r="X34" i="32"/>
  <c r="AE26" i="32"/>
  <c r="AE102" i="32"/>
  <c r="AE103" i="32"/>
  <c r="AE52" i="32"/>
  <c r="AE100" i="32"/>
  <c r="AE39" i="32"/>
  <c r="AE63" i="32"/>
  <c r="AE44" i="32"/>
  <c r="AE73" i="32"/>
  <c r="AE71" i="32"/>
  <c r="AE110" i="32"/>
  <c r="X113" i="32"/>
  <c r="X128" i="32"/>
  <c r="AE24" i="32"/>
  <c r="N53" i="32"/>
  <c r="N46" i="32"/>
  <c r="N120" i="32"/>
  <c r="N21" i="32"/>
  <c r="N87" i="32" s="1"/>
  <c r="AG87" i="32" s="1"/>
  <c r="N119" i="32"/>
  <c r="N37" i="32"/>
  <c r="N113" i="32"/>
  <c r="AG113" i="32" s="1"/>
  <c r="N106" i="32"/>
  <c r="N117" i="32"/>
  <c r="N128" i="32"/>
  <c r="N127" i="32"/>
  <c r="N129" i="32" s="1"/>
  <c r="N130" i="32" s="1"/>
  <c r="N131" i="32" s="1"/>
  <c r="N132" i="32" s="1"/>
  <c r="N118" i="32" s="1"/>
  <c r="N27" i="32"/>
  <c r="N34" i="32"/>
  <c r="L22" i="32"/>
  <c r="S113" i="32"/>
  <c r="AA61" i="32"/>
  <c r="AH61" i="32" s="1"/>
  <c r="AA40" i="32"/>
  <c r="AH40" i="32" s="1"/>
  <c r="AA83" i="32"/>
  <c r="AH83" i="32" s="1"/>
  <c r="S27" i="32"/>
  <c r="AA33" i="32" s="1"/>
  <c r="AH33" i="32" s="1"/>
  <c r="S34" i="32"/>
  <c r="S127" i="32"/>
  <c r="S129" i="32" s="1"/>
  <c r="S130" i="32" s="1"/>
  <c r="S131" i="32" s="1"/>
  <c r="AA94" i="32"/>
  <c r="AH94" i="32" s="1"/>
  <c r="S46" i="32"/>
  <c r="AA45" i="32"/>
  <c r="AH45" i="32" s="1"/>
  <c r="S128" i="32"/>
  <c r="AA105" i="32"/>
  <c r="AH105" i="32" s="1"/>
  <c r="AA58" i="32"/>
  <c r="AH58" i="32" s="1"/>
  <c r="AA75" i="32"/>
  <c r="AH75" i="32" s="1"/>
  <c r="AA43" i="32"/>
  <c r="AH43" i="32" s="1"/>
  <c r="S53" i="32"/>
  <c r="AA26" i="32"/>
  <c r="AH26" i="32" s="1"/>
  <c r="AA74" i="32"/>
  <c r="AH74" i="32" s="1"/>
  <c r="S117" i="32"/>
  <c r="AA85" i="32"/>
  <c r="AH85" i="32" s="1"/>
  <c r="S120" i="32"/>
  <c r="X22" i="32"/>
  <c r="AD76" i="32"/>
  <c r="AD26" i="32"/>
  <c r="AD40" i="32"/>
  <c r="AD105" i="32"/>
  <c r="AD66" i="32"/>
  <c r="AD99" i="32"/>
  <c r="AD112" i="32"/>
  <c r="AD92" i="32"/>
  <c r="AD58" i="32"/>
  <c r="AD72" i="32"/>
  <c r="AD51" i="32"/>
  <c r="W117" i="32"/>
  <c r="AD42" i="32"/>
  <c r="AD65" i="32"/>
  <c r="AD39" i="32"/>
  <c r="AD69" i="32"/>
  <c r="AD97" i="32"/>
  <c r="AD63" i="32"/>
  <c r="AD45" i="32"/>
  <c r="W46" i="32"/>
  <c r="W21" i="32"/>
  <c r="W87" i="32" s="1"/>
  <c r="AD93" i="32"/>
  <c r="AD79" i="32"/>
  <c r="AD67" i="32"/>
  <c r="AD83" i="32"/>
  <c r="W127" i="32"/>
  <c r="W129" i="32" s="1"/>
  <c r="W130" i="32" s="1"/>
  <c r="W131" i="32" s="1"/>
  <c r="W132" i="32" s="1"/>
  <c r="W118" i="32" s="1"/>
  <c r="AD33" i="32"/>
  <c r="W34" i="32"/>
  <c r="W27" i="32"/>
  <c r="AD62" i="32"/>
  <c r="AD60" i="32"/>
  <c r="AD104" i="32"/>
  <c r="AD32" i="32"/>
  <c r="AC29" i="32"/>
  <c r="AC69" i="32"/>
  <c r="AC39" i="32"/>
  <c r="AC83" i="32"/>
  <c r="AC98" i="32"/>
  <c r="AC70" i="32"/>
  <c r="AC85" i="32"/>
  <c r="AC76" i="32"/>
  <c r="V106" i="32"/>
  <c r="AC96" i="32"/>
  <c r="AC67" i="32"/>
  <c r="AC42" i="32"/>
  <c r="AC25" i="32"/>
  <c r="AC84" i="32"/>
  <c r="AC97" i="32"/>
  <c r="AC30" i="32"/>
  <c r="AC91" i="32"/>
  <c r="AC24" i="32"/>
  <c r="V128" i="32"/>
  <c r="AC65" i="32"/>
  <c r="AC94" i="32"/>
  <c r="AC68" i="32"/>
  <c r="AC66" i="32"/>
  <c r="AC95" i="32"/>
  <c r="AC112" i="32"/>
  <c r="AC71" i="32"/>
  <c r="AC79" i="32"/>
  <c r="V21" i="32"/>
  <c r="V115" i="32" s="1"/>
  <c r="AC72" i="32"/>
  <c r="AC105" i="32"/>
  <c r="AC45" i="32"/>
  <c r="V46" i="32"/>
  <c r="AC61" i="32"/>
  <c r="AC111" i="32"/>
  <c r="AC77" i="32"/>
  <c r="AC58" i="32"/>
  <c r="AB84" i="32"/>
  <c r="AI84" i="32" s="1"/>
  <c r="AB51" i="32"/>
  <c r="AI51" i="32" s="1"/>
  <c r="U117" i="32"/>
  <c r="AB38" i="32"/>
  <c r="AI38" i="32" s="1"/>
  <c r="U119" i="32"/>
  <c r="AB76" i="32"/>
  <c r="AI76" i="32" s="1"/>
  <c r="AB77" i="32"/>
  <c r="AI77" i="32" s="1"/>
  <c r="AB112" i="32"/>
  <c r="AI112" i="32" s="1"/>
  <c r="AB78" i="32"/>
  <c r="AI78" i="32" s="1"/>
  <c r="AB102" i="32"/>
  <c r="AI102" i="32" s="1"/>
  <c r="AB73" i="32"/>
  <c r="AI73" i="32" s="1"/>
  <c r="AB104" i="32"/>
  <c r="AI104" i="32" s="1"/>
  <c r="AB100" i="32"/>
  <c r="AI100" i="32" s="1"/>
  <c r="AB25" i="32"/>
  <c r="AI25" i="32" s="1"/>
  <c r="AB75" i="32"/>
  <c r="AI75" i="32" s="1"/>
  <c r="AB59" i="32"/>
  <c r="AI59" i="32" s="1"/>
  <c r="AB105" i="32"/>
  <c r="AI105" i="32" s="1"/>
  <c r="AB95" i="32"/>
  <c r="AI95" i="32" s="1"/>
  <c r="AB52" i="32"/>
  <c r="AI52" i="32" s="1"/>
  <c r="AB80" i="32"/>
  <c r="AI80" i="32" s="1"/>
  <c r="AB40" i="32"/>
  <c r="AI40" i="32" s="1"/>
  <c r="AB98" i="32"/>
  <c r="AI98" i="32" s="1"/>
  <c r="AB36" i="32"/>
  <c r="AI36" i="32" s="1"/>
  <c r="U37" i="32"/>
  <c r="L21" i="32"/>
  <c r="K21" i="32"/>
  <c r="K115" i="32" s="1"/>
  <c r="S106" i="32"/>
  <c r="AA96" i="32"/>
  <c r="AH96" i="32" s="1"/>
  <c r="W37" i="32"/>
  <c r="AD36" i="32"/>
  <c r="AC104" i="32"/>
  <c r="M46" i="32"/>
  <c r="AD85" i="32"/>
  <c r="AD56" i="32"/>
  <c r="AC36" i="32"/>
  <c r="V37" i="32"/>
  <c r="AD82" i="32"/>
  <c r="AD95" i="32"/>
  <c r="AD71" i="32"/>
  <c r="L46" i="32"/>
  <c r="AA99" i="32"/>
  <c r="AH99" i="32" s="1"/>
  <c r="AC26" i="32"/>
  <c r="AC56" i="32"/>
  <c r="AD101" i="32"/>
  <c r="AD81" i="32"/>
  <c r="AD64" i="32"/>
  <c r="I117" i="32"/>
  <c r="AD89" i="32"/>
  <c r="AC35" i="32"/>
  <c r="AC51" i="32"/>
  <c r="V117" i="32"/>
  <c r="AC93" i="32"/>
  <c r="AC103" i="32"/>
  <c r="AC32" i="32"/>
  <c r="AD96" i="32"/>
  <c r="W106" i="32"/>
  <c r="AD110" i="32"/>
  <c r="W113" i="32"/>
  <c r="AB70" i="32"/>
  <c r="AI70" i="32" s="1"/>
  <c r="AB67" i="32"/>
  <c r="AI67" i="32" s="1"/>
  <c r="AD68" i="32"/>
  <c r="AD59" i="32"/>
  <c r="AC75" i="32"/>
  <c r="AD41" i="32"/>
  <c r="W120" i="32"/>
  <c r="AD75" i="32"/>
  <c r="I127" i="32"/>
  <c r="I129" i="32" s="1"/>
  <c r="I130" i="32" s="1"/>
  <c r="I131" i="32" s="1"/>
  <c r="I34" i="32"/>
  <c r="I27" i="32"/>
  <c r="Q33" i="32" s="1"/>
  <c r="AC63" i="32"/>
  <c r="AC62" i="32"/>
  <c r="T117" i="32"/>
  <c r="AC54" i="32"/>
  <c r="AD35" i="32"/>
  <c r="AD103" i="32"/>
  <c r="AC80" i="32"/>
  <c r="AB41" i="32"/>
  <c r="AI41" i="32" s="1"/>
  <c r="U120" i="32"/>
  <c r="AD29" i="32"/>
  <c r="AD70" i="32"/>
  <c r="AD94" i="32"/>
  <c r="Q83" i="32"/>
  <c r="L117" i="32"/>
  <c r="AD57" i="32"/>
  <c r="AC81" i="32"/>
  <c r="AC57" i="32"/>
  <c r="AA36" i="32"/>
  <c r="AH36" i="32" s="1"/>
  <c r="S37" i="32"/>
  <c r="J34" i="32"/>
  <c r="J27" i="32"/>
  <c r="J127" i="32"/>
  <c r="J129" i="32" s="1"/>
  <c r="J130" i="32" s="1"/>
  <c r="J131" i="32" s="1"/>
  <c r="J132" i="32" s="1"/>
  <c r="J118" i="32" s="1"/>
  <c r="AD30" i="32"/>
  <c r="AC38" i="32"/>
  <c r="V119" i="32"/>
  <c r="I113" i="32"/>
  <c r="M106" i="32"/>
  <c r="AD80" i="32"/>
  <c r="AC33" i="32"/>
  <c r="V34" i="32"/>
  <c r="V27" i="32"/>
  <c r="V127" i="32"/>
  <c r="V129" i="32" s="1"/>
  <c r="V130" i="32" s="1"/>
  <c r="V131" i="32" s="1"/>
  <c r="V132" i="32" s="1"/>
  <c r="V118" i="32" s="1"/>
  <c r="AC40" i="32"/>
  <c r="AC60" i="32"/>
  <c r="AD91" i="32"/>
  <c r="V113" i="32"/>
  <c r="AC110" i="32"/>
  <c r="AC73" i="32"/>
  <c r="K46" i="32"/>
  <c r="M27" i="32"/>
  <c r="M127" i="32"/>
  <c r="M129" i="32" s="1"/>
  <c r="M34" i="32"/>
  <c r="AB45" i="32"/>
  <c r="AI45" i="32" s="1"/>
  <c r="U46" i="32"/>
  <c r="K37" i="32"/>
  <c r="I106" i="32"/>
  <c r="Q96" i="32"/>
  <c r="M113" i="32"/>
  <c r="AF113" i="32" s="1"/>
  <c r="AD43" i="32"/>
  <c r="AA50" i="32"/>
  <c r="AH50" i="32" s="1"/>
  <c r="AB72" i="32"/>
  <c r="AI72" i="32" s="1"/>
  <c r="AD24" i="32"/>
  <c r="W128" i="32"/>
  <c r="AC59" i="32"/>
  <c r="AD111" i="32"/>
  <c r="AC74" i="32"/>
  <c r="AB32" i="32"/>
  <c r="AI32" i="32" s="1"/>
  <c r="AC89" i="32"/>
  <c r="AC64" i="32"/>
  <c r="AC90" i="32"/>
  <c r="AD61" i="32"/>
  <c r="K113" i="32"/>
  <c r="AD54" i="32"/>
  <c r="AB55" i="32"/>
  <c r="AI55" i="32" s="1"/>
  <c r="U53" i="32"/>
  <c r="AB35" i="32"/>
  <c r="AI35" i="32" s="1"/>
  <c r="AB101" i="32"/>
  <c r="AI101" i="32" s="1"/>
  <c r="AD44" i="32"/>
  <c r="AB33" i="32"/>
  <c r="AI33" i="32" s="1"/>
  <c r="U27" i="32"/>
  <c r="U127" i="32"/>
  <c r="U129" i="32" s="1"/>
  <c r="U130" i="32" s="1"/>
  <c r="U131" i="32" s="1"/>
  <c r="U132" i="32" s="1"/>
  <c r="U118" i="32" s="1"/>
  <c r="U34" i="32"/>
  <c r="K22" i="32"/>
  <c r="AB39" i="32"/>
  <c r="AI39" i="32" s="1"/>
  <c r="AD77" i="32"/>
  <c r="AD50" i="32"/>
  <c r="M128" i="32"/>
  <c r="AD84" i="32"/>
  <c r="AD38" i="32"/>
  <c r="W119" i="32"/>
  <c r="Q40" i="32"/>
  <c r="Q94" i="32"/>
  <c r="AD55" i="32"/>
  <c r="W53" i="32"/>
  <c r="AD100" i="32"/>
  <c r="T37" i="32"/>
  <c r="AB85" i="32"/>
  <c r="AI85" i="32" s="1"/>
  <c r="AD98" i="32"/>
  <c r="AC78" i="32"/>
  <c r="AB110" i="32"/>
  <c r="AI110" i="32" s="1"/>
  <c r="U113" i="32"/>
  <c r="AD52" i="32"/>
  <c r="AC102" i="32"/>
  <c r="Q105" i="32"/>
  <c r="Q74" i="32"/>
  <c r="AD25" i="32"/>
  <c r="AC99" i="32"/>
  <c r="T27" i="32"/>
  <c r="T34" i="32"/>
  <c r="T127" i="32"/>
  <c r="T129" i="32" s="1"/>
  <c r="T130" i="32" s="1"/>
  <c r="T131" i="32" s="1"/>
  <c r="T132" i="32" s="1"/>
  <c r="T118" i="32" s="1"/>
  <c r="AB54" i="32"/>
  <c r="AI54" i="32" s="1"/>
  <c r="AD78" i="32"/>
  <c r="AC44" i="32"/>
  <c r="J128" i="32"/>
  <c r="T120" i="32"/>
  <c r="AB68" i="32"/>
  <c r="AI68" i="32" s="1"/>
  <c r="AB83" i="32"/>
  <c r="AI83" i="32" s="1"/>
  <c r="AB96" i="32"/>
  <c r="AI96" i="32" s="1"/>
  <c r="U106" i="32"/>
  <c r="T119" i="32"/>
  <c r="AD90" i="32"/>
  <c r="AC43" i="32"/>
  <c r="AB99" i="32"/>
  <c r="AI99" i="32" s="1"/>
  <c r="AB91" i="32"/>
  <c r="AI91" i="32" s="1"/>
  <c r="AC52" i="32"/>
  <c r="T113" i="32"/>
  <c r="AB26" i="32"/>
  <c r="AI26" i="32" s="1"/>
  <c r="M21" i="32"/>
  <c r="M108" i="32" s="1"/>
  <c r="AF108" i="32" s="1"/>
  <c r="W22" i="32"/>
  <c r="V22" i="32"/>
  <c r="J21" i="32"/>
  <c r="J48" i="32" s="1"/>
  <c r="AC48" i="32" s="1"/>
  <c r="L120" i="32"/>
  <c r="AC50" i="32"/>
  <c r="I37" i="32"/>
  <c r="Q36" i="32"/>
  <c r="AC101" i="32"/>
  <c r="AC92" i="32"/>
  <c r="AB71" i="32"/>
  <c r="AI71" i="32" s="1"/>
  <c r="AB58" i="32"/>
  <c r="AI58" i="32" s="1"/>
  <c r="AB56" i="32"/>
  <c r="AI56" i="32" s="1"/>
  <c r="AB42" i="32"/>
  <c r="AI42" i="32" s="1"/>
  <c r="AD73" i="32"/>
  <c r="L53" i="32"/>
  <c r="AC41" i="32"/>
  <c r="V120" i="32"/>
  <c r="I120" i="32"/>
  <c r="AB65" i="32"/>
  <c r="AI65" i="32" s="1"/>
  <c r="J37" i="32"/>
  <c r="AC37" i="32" s="1"/>
  <c r="AD102" i="32"/>
  <c r="AC82" i="32"/>
  <c r="J119" i="32"/>
  <c r="AB90" i="32"/>
  <c r="AI90" i="32" s="1"/>
  <c r="AB94" i="32"/>
  <c r="AI94" i="32" s="1"/>
  <c r="AB93" i="32"/>
  <c r="AI93" i="32" s="1"/>
  <c r="M119" i="32"/>
  <c r="AD74" i="32"/>
  <c r="AC55" i="32"/>
  <c r="V53" i="32"/>
  <c r="Q61" i="32"/>
  <c r="AB61" i="32"/>
  <c r="AI61" i="32" s="1"/>
  <c r="AB81" i="32"/>
  <c r="AI81" i="32" s="1"/>
  <c r="AC100" i="32"/>
  <c r="K106" i="32"/>
  <c r="T128" i="32"/>
  <c r="U22" i="32"/>
  <c r="AB29" i="32"/>
  <c r="AI29" i="32" s="1"/>
  <c r="T53" i="32"/>
  <c r="J46" i="32"/>
  <c r="L106" i="32"/>
  <c r="AB50" i="32"/>
  <c r="AI50" i="32" s="1"/>
  <c r="M37" i="32"/>
  <c r="AB103" i="32"/>
  <c r="AI103" i="32" s="1"/>
  <c r="AB30" i="32"/>
  <c r="AI30" i="32" s="1"/>
  <c r="K117" i="32"/>
  <c r="Q99" i="32"/>
  <c r="AB44" i="32"/>
  <c r="AI44" i="32" s="1"/>
  <c r="AB43" i="32"/>
  <c r="AI43" i="32" s="1"/>
  <c r="AB97" i="32"/>
  <c r="AI97" i="32" s="1"/>
  <c r="K53" i="32"/>
  <c r="AB64" i="32"/>
  <c r="AI64" i="32" s="1"/>
  <c r="Q26" i="32"/>
  <c r="AB111" i="32"/>
  <c r="AI111" i="32" s="1"/>
  <c r="M120" i="32"/>
  <c r="AB63" i="32"/>
  <c r="AI63" i="32" s="1"/>
  <c r="AB82" i="32"/>
  <c r="AI82" i="32" s="1"/>
  <c r="L37" i="32"/>
  <c r="AB66" i="32"/>
  <c r="AI66" i="32" s="1"/>
  <c r="U21" i="32"/>
  <c r="U108" i="32" s="1"/>
  <c r="S22" i="32"/>
  <c r="M53" i="32"/>
  <c r="AF53" i="32" s="1"/>
  <c r="J106" i="32"/>
  <c r="AB69" i="32"/>
  <c r="AI69" i="32" s="1"/>
  <c r="J120" i="32"/>
  <c r="M117" i="32"/>
  <c r="AB57" i="32"/>
  <c r="AI57" i="32" s="1"/>
  <c r="AB89" i="32"/>
  <c r="AI89" i="32" s="1"/>
  <c r="AB60" i="32"/>
  <c r="AI60" i="32" s="1"/>
  <c r="AB79" i="32"/>
  <c r="AI79" i="32" s="1"/>
  <c r="AB24" i="32"/>
  <c r="AI24" i="32" s="1"/>
  <c r="U128" i="32"/>
  <c r="I46" i="32"/>
  <c r="Q45" i="32"/>
  <c r="Q58" i="32"/>
  <c r="L119" i="32"/>
  <c r="Q85" i="32"/>
  <c r="AB62" i="32"/>
  <c r="AI62" i="32" s="1"/>
  <c r="AB74" i="32"/>
  <c r="AI74" i="32" s="1"/>
  <c r="I53" i="32"/>
  <c r="AB53" i="32" s="1"/>
  <c r="AI53" i="32" s="1"/>
  <c r="Q50" i="32"/>
  <c r="AB92" i="32"/>
  <c r="AI92" i="32" s="1"/>
  <c r="I22" i="32"/>
  <c r="L127" i="32"/>
  <c r="L129" i="32" s="1"/>
  <c r="L130" i="32" s="1"/>
  <c r="L131" i="32" s="1"/>
  <c r="L132" i="32" s="1"/>
  <c r="L118" i="32" s="1"/>
  <c r="L27" i="32"/>
  <c r="L34" i="32"/>
  <c r="K120" i="32"/>
  <c r="T106" i="32"/>
  <c r="K128" i="32"/>
  <c r="T46" i="32"/>
  <c r="J53" i="32"/>
  <c r="T21" i="32"/>
  <c r="T108" i="32" s="1"/>
  <c r="L113" i="32"/>
  <c r="AE113" i="32" s="1"/>
  <c r="L128" i="32"/>
  <c r="K119" i="32"/>
  <c r="K34" i="32"/>
  <c r="AD34" i="32" s="1"/>
  <c r="K27" i="32"/>
  <c r="K127" i="32"/>
  <c r="K129" i="32" s="1"/>
  <c r="K130" i="32" s="1"/>
  <c r="K131" i="32" s="1"/>
  <c r="K132" i="32" s="1"/>
  <c r="K118" i="32" s="1"/>
  <c r="I128" i="32"/>
  <c r="Q43" i="32"/>
  <c r="J113" i="32"/>
  <c r="Q75" i="32"/>
  <c r="J117" i="32"/>
  <c r="AG53" i="32"/>
  <c r="AC113" i="32"/>
  <c r="AG27" i="32"/>
  <c r="AA55" i="32"/>
  <c r="AH55" i="32" s="1"/>
  <c r="Q55" i="32"/>
  <c r="X130" i="32"/>
  <c r="X131" i="32" s="1"/>
  <c r="X132" i="32" s="1"/>
  <c r="X118" i="32" s="1"/>
  <c r="N115" i="32"/>
  <c r="N108" i="32"/>
  <c r="AG108" i="32" s="1"/>
  <c r="P130" i="32"/>
  <c r="P131" i="32" s="1"/>
  <c r="P132" i="32" s="1"/>
  <c r="P118" i="32" s="1"/>
  <c r="L48" i="32"/>
  <c r="AE48" i="32" s="1"/>
  <c r="L87" i="32"/>
  <c r="AE87" i="32" s="1"/>
  <c r="L108" i="32"/>
  <c r="AE108" i="32" s="1"/>
  <c r="L115" i="32"/>
  <c r="U87" i="32"/>
  <c r="Z48" i="32"/>
  <c r="M130" i="32"/>
  <c r="M131" i="32" s="1"/>
  <c r="M132" i="32" s="1"/>
  <c r="M118" i="32" s="1"/>
  <c r="K87" i="32"/>
  <c r="AD87" i="32" s="1"/>
  <c r="K48" i="32"/>
  <c r="AD48" i="32" s="1"/>
  <c r="Y130" i="32"/>
  <c r="Y131" i="32" s="1"/>
  <c r="Y132" i="32" s="1"/>
  <c r="Y118" i="32" s="1"/>
  <c r="O48" i="32"/>
  <c r="AH48" i="32" s="1"/>
  <c r="O108" i="32"/>
  <c r="AH108" i="32" s="1"/>
  <c r="O87" i="32"/>
  <c r="AH87" i="32" s="1"/>
  <c r="O115" i="32"/>
  <c r="W48" i="32"/>
  <c r="P87" i="32"/>
  <c r="AI87" i="32" s="1"/>
  <c r="P108" i="32"/>
  <c r="AI108" i="32" s="1"/>
  <c r="P115" i="32"/>
  <c r="Y31" i="32"/>
  <c r="V31" i="32"/>
  <c r="T31" i="32"/>
  <c r="S31" i="32"/>
  <c r="X28" i="32"/>
  <c r="Z31" i="32"/>
  <c r="W28" i="32"/>
  <c r="U31" i="32"/>
  <c r="Y28" i="32"/>
  <c r="T28" i="32"/>
  <c r="U28" i="32"/>
  <c r="X31" i="32"/>
  <c r="S28" i="32"/>
  <c r="W31" i="32"/>
  <c r="Z28" i="32"/>
  <c r="I4" i="32"/>
  <c r="S4" i="32"/>
  <c r="V28" i="32"/>
  <c r="AE28" i="32" l="1"/>
  <c r="AC31" i="32"/>
  <c r="AF31" i="32"/>
  <c r="AB37" i="32"/>
  <c r="AI37" i="32" s="1"/>
  <c r="K108" i="32"/>
  <c r="AD108" i="32" s="1"/>
  <c r="AD27" i="32"/>
  <c r="X108" i="32"/>
  <c r="W115" i="32"/>
  <c r="V108" i="32"/>
  <c r="V48" i="32"/>
  <c r="U115" i="32"/>
  <c r="AB46" i="32"/>
  <c r="AI46" i="32" s="1"/>
  <c r="X48" i="32"/>
  <c r="T115" i="32"/>
  <c r="X115" i="32"/>
  <c r="Y115" i="32"/>
  <c r="Y48" i="32"/>
  <c r="Q27" i="32"/>
  <c r="Y108" i="32"/>
  <c r="AE27" i="32"/>
  <c r="AF34" i="32"/>
  <c r="AD46" i="32"/>
  <c r="AB106" i="32"/>
  <c r="AI106" i="32" s="1"/>
  <c r="J87" i="32"/>
  <c r="AC87" i="32" s="1"/>
  <c r="AC34" i="32"/>
  <c r="J115" i="32"/>
  <c r="AE46" i="32"/>
  <c r="AG106" i="32"/>
  <c r="M115" i="32"/>
  <c r="U48" i="32"/>
  <c r="AF106" i="32"/>
  <c r="T87" i="32"/>
  <c r="AB27" i="32"/>
  <c r="AI27" i="32" s="1"/>
  <c r="AC46" i="32"/>
  <c r="AG37" i="32"/>
  <c r="AG46" i="32"/>
  <c r="M87" i="32"/>
  <c r="AF87" i="32" s="1"/>
  <c r="Z115" i="32"/>
  <c r="W108" i="32"/>
  <c r="M48" i="32"/>
  <c r="AF48" i="32" s="1"/>
  <c r="Z108" i="32"/>
  <c r="V87" i="32"/>
  <c r="AC53" i="32"/>
  <c r="AD53" i="32"/>
  <c r="AF37" i="32"/>
  <c r="AD106" i="32"/>
  <c r="N48" i="32"/>
  <c r="AG48" i="32" s="1"/>
  <c r="AB113" i="32"/>
  <c r="AI113" i="32" s="1"/>
  <c r="AB34" i="32"/>
  <c r="AI34" i="32" s="1"/>
  <c r="AC28" i="32"/>
  <c r="S21" i="32"/>
  <c r="I21" i="32"/>
  <c r="AG28" i="32"/>
  <c r="AD31" i="32"/>
  <c r="AA27" i="32"/>
  <c r="AH27" i="32" s="1"/>
  <c r="AE31" i="32"/>
  <c r="AB28" i="32"/>
  <c r="AI28" i="32" s="1"/>
  <c r="AF28" i="32"/>
  <c r="AB31" i="32"/>
  <c r="AI31" i="32" s="1"/>
  <c r="AD28" i="32"/>
  <c r="AG31" i="32"/>
  <c r="T48" i="32"/>
  <c r="J108" i="32"/>
  <c r="AC108" i="32" s="1"/>
  <c r="AD37" i="32"/>
  <c r="AF27" i="32"/>
  <c r="AC27" i="32"/>
  <c r="AC106" i="32"/>
  <c r="AD113" i="32"/>
  <c r="AE53" i="32"/>
  <c r="AF46" i="32"/>
  <c r="AE106" i="32"/>
  <c r="AE37" i="32"/>
  <c r="AG34" i="32"/>
  <c r="AE34" i="32"/>
  <c r="S108" i="32" l="1"/>
  <c r="S87" i="32"/>
  <c r="S48" i="32"/>
  <c r="S115" i="32"/>
  <c r="I115" i="32"/>
  <c r="I48" i="32"/>
  <c r="AB48" i="32" s="1"/>
  <c r="I87" i="32"/>
  <c r="AB87" i="32" s="1"/>
  <c r="I108" i="32"/>
  <c r="AB108" i="32" s="1"/>
</calcChain>
</file>

<file path=xl/sharedStrings.xml><?xml version="1.0" encoding="utf-8"?>
<sst xmlns="http://schemas.openxmlformats.org/spreadsheetml/2006/main" count="353" uniqueCount="170">
  <si>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</si>
  <si>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</si>
  <si>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</si>
  <si>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</si>
  <si>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</si>
  <si>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</si>
  <si>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</si>
  <si>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</si>
  <si>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</si>
  <si>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</si>
  <si>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</si>
  <si>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</si>
  <si>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</si>
  <si>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</si>
  <si>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</si>
  <si>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</si>
  <si>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</si>
  <si>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</si>
  <si>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</si>
  <si>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</si>
  <si>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</si>
  <si>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</si>
  <si>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</si>
  <si>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</si>
  <si>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</si>
  <si>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</si>
  <si>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</si>
  <si>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</si>
  <si>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</si>
  <si>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</si>
  <si>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</si>
  <si>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</si>
  <si>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</si>
  <si>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</si>
  <si>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</si>
  <si>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</si>
  <si>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</si>
  <si>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</si>
  <si>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</si>
  <si>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</si>
  <si>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</si>
  <si>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</si>
  <si>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</si>
  <si>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</si>
  <si>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</si>
  <si>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</si>
  <si>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</si>
  <si>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</si>
  <si>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</si>
  <si>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</si>
  <si>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</si>
  <si>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</si>
  <si>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</si>
  <si>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</si>
  <si>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</si>
  <si>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</si>
  <si>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</si>
  <si>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</si>
  <si>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</si>
  <si>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</si>
  <si>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</si>
  <si>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</si>
  <si>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</si>
  <si>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</si>
  <si>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</si>
  <si>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</si>
  <si>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</si>
  <si>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</si>
  <si>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</si>
  <si>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</si>
  <si>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</si>
  <si>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</si>
  <si>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</si>
  <si>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</si>
  <si>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</si>
  <si>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</si>
  <si>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</si>
  <si>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</si>
  <si>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</si>
  <si>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</si>
  <si>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</si>
  <si>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</si>
  <si>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</si>
  <si>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</si>
  <si>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</si>
  <si>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</si>
  <si>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</si>
  <si>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</si>
  <si>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</si>
  <si>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</si>
  <si>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</si>
  <si>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</si>
  <si>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</si>
  <si>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</si>
  <si>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</si>
  <si>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</si>
  <si>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</si>
  <si>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</si>
  <si>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</si>
  <si>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</si>
  <si>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</si>
  <si>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</si>
  <si>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</si>
  <si>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</si>
  <si>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</si>
  <si>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</si>
  <si>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</si>
  <si>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</si>
  <si>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</si>
  <si>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</si>
  <si>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</si>
  <si>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</si>
  <si>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</si>
  <si>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</si>
  <si>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</si>
  <si>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</si>
  <si>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</si>
  <si>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</si>
  <si>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</si>
  <si>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</si>
  <si>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</si>
  <si>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</si>
  <si>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</si>
  <si>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</si>
  <si>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</si>
  <si>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</si>
  <si>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</si>
  <si>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</si>
  <si>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</si>
  <si>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</si>
  <si>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</si>
  <si>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</si>
  <si>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</si>
  <si>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</si>
  <si>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</si>
  <si>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</si>
  <si>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</si>
  <si>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</si>
  <si>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</si>
  <si>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</si>
  <si>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</si>
  <si>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</si>
  <si>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</si>
  <si>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</si>
  <si>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</si>
  <si>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</si>
  <si>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</si>
  <si>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</si>
  <si>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</si>
  <si>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</si>
  <si>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</si>
  <si>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</si>
  <si>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</si>
  <si>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</si>
  <si>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</si>
  <si>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</si>
  <si>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</si>
  <si>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</si>
  <si>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</si>
  <si>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</si>
  <si>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</si>
  <si>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</si>
  <si>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</si>
  <si>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</si>
  <si>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</si>
  <si>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</si>
  <si>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</si>
  <si>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</si>
  <si>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</si>
  <si>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pending__2 - Plan Output Comparison (light plus).xlsm:Control:TM1RPTDATARNG:ARPT1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</si>
</sst>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-* #,##0.00\ [$€]_-;\-* #,##0.00\ [$€]_-;_-* &quot;-&quot;??\ [$€]_-;_-@_-"/>
    <numFmt numFmtId="181" formatCode="_(* #,##0.0_%_);_(* \(#,##0.0_%\);_(* &quot; - &quot;_%_);_(@_)"/>
    <numFmt numFmtId="182" formatCode="_(\ #,##0.0_%_);_(\ \(#,##0.0_%\);_(\ &quot; - &quot;_%_);_(@_)"/>
    <numFmt numFmtId="183" formatCode="_(* #,##0.0%_);_(* \(#,##0.0%\);_(* &quot; - &quot;\%_);_(@_)"/>
    <numFmt numFmtId="184" formatCode="_(\ #,##0.0%_);_(\ \(#,##0.0%\);_(\ &quot; - &quot;\%_);_(@_)"/>
    <numFmt numFmtId="185" formatCode="_(* #,##0_);_(* \(#,##0\);_(* &quot; - &quot;_);_(@_)"/>
    <numFmt numFmtId="186" formatCode="#,##0_);\(#,##0\);&quot; - &quot;_);@_)"/>
    <numFmt numFmtId="187" formatCode="_(* #,##0.0_);_(* \(#,##0.0\);_(* &quot; - &quot;_);_(@_)"/>
    <numFmt numFmtId="188" formatCode="\ #,##0.0_);\(#,##0.0\);&quot; - &quot;_);@_)"/>
    <numFmt numFmtId="189" formatCode="_(* #,##0.00_);_(* \(#,##0.00\);_(* &quot; - &quot;_);_(@_)"/>
    <numFmt numFmtId="190" formatCode="\ #,##0.00_);\(#,##0.00\);&quot; - &quot;_);@_)"/>
    <numFmt numFmtId="191" formatCode="_(* #,##0.000_);_(* \(#,##0.000\);_(* &quot; - &quot;_);_(@_)"/>
    <numFmt numFmtId="192" formatCode="\ #,##0.000_);\(#,##0.000\);&quot; - &quot;_);@_)"/>
    <numFmt numFmtId="193" formatCode="#,##0;\(#,##0\);&quot;-&quot;"/>
    <numFmt numFmtId="194" formatCode="d\ mmmm\ yyyy"/>
    <numFmt numFmtId="195" formatCode="#,##0;[Red]\(#,##0\);0"/>
    <numFmt numFmtId="196" formatCode="#,##0.00;\(#,##0.00\)"/>
    <numFmt numFmtId="197" formatCode="###0.0%;\(###0.0%\)"/>
    <numFmt numFmtId="198" formatCode="#,##0.0_)\x;\(#,##0.0\)\x;#,##0.0_)\x;@_)_x"/>
    <numFmt numFmtId="199" formatCode="_ * #,##0_)\ [$€-1]_ ;_ * \(#,##0\)\ [$€-1]_ ;_ * &quot;-&quot;??_)\ [$€-1]_ "/>
    <numFmt numFmtId="200" formatCode="[$-409]d/m/yy\ h:mm\ AM/PM;@"/>
    <numFmt numFmtId="201" formatCode="0.00;[Red]0.00"/>
    <numFmt numFmtId="202" formatCode="_(* #,##0_);_(* \(#,##0\);_(* &quot;-&quot;_);@_)"/>
    <numFmt numFmtId="203" formatCode="0%_);\(0%\)"/>
    <numFmt numFmtId="204" formatCode="#,##0.0&quot; &quot;;\(#,##0.0\)&quot;&quot;;&quot;- &quot;"/>
    <numFmt numFmtId="205" formatCode="\+\ @"/>
    <numFmt numFmtId="206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8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1" fontId="59" fillId="0" borderId="0">
      <alignment horizontal="right" vertical="top"/>
    </xf>
    <xf numFmtId="182" fontId="60" fillId="0" borderId="0" applyBorder="0">
      <alignment horizontal="right" vertical="top"/>
    </xf>
    <xf numFmtId="183" fontId="61" fillId="0" borderId="0">
      <alignment horizontal="right" vertical="top"/>
    </xf>
    <xf numFmtId="184" fontId="58" fillId="0" borderId="0" applyBorder="0">
      <alignment horizontal="right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 applyFill="0" applyBorder="0">
      <alignment horizontal="right" vertical="top"/>
    </xf>
    <xf numFmtId="186" fontId="58" fillId="0" borderId="0" applyFill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3" fontId="64" fillId="0" borderId="43">
      <alignment horizontal="left"/>
    </xf>
    <xf numFmtId="0" fontId="65" fillId="0" borderId="0">
      <alignment vertical="center"/>
    </xf>
    <xf numFmtId="194" fontId="65" fillId="0" borderId="0">
      <alignment horizontal="left" vertical="center"/>
    </xf>
    <xf numFmtId="195" fontId="66" fillId="0" borderId="0">
      <alignment vertical="center"/>
    </xf>
    <xf numFmtId="0" fontId="67" fillId="0" borderId="0">
      <alignment vertical="center"/>
    </xf>
    <xf numFmtId="193" fontId="64" fillId="0" borderId="43">
      <alignment horizontal="left"/>
    </xf>
    <xf numFmtId="193" fontId="68" fillId="0" borderId="0" applyFill="0" applyBorder="0">
      <alignment vertical="top"/>
    </xf>
    <xf numFmtId="193" fontId="69" fillId="0" borderId="0" applyFill="0" applyBorder="0" applyProtection="0">
      <alignment vertical="top"/>
    </xf>
    <xf numFmtId="193" fontId="70" fillId="0" borderId="0">
      <alignment vertical="top"/>
    </xf>
    <xf numFmtId="193" fontId="58" fillId="0" borderId="0">
      <alignment horizontal="center"/>
    </xf>
    <xf numFmtId="193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3" fontId="43" fillId="0" borderId="0"/>
    <xf numFmtId="193" fontId="72" fillId="0" borderId="0"/>
    <xf numFmtId="193" fontId="73" fillId="0" borderId="0"/>
    <xf numFmtId="193" fontId="1" fillId="0" borderId="0"/>
    <xf numFmtId="193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6" fontId="78" fillId="0" borderId="0"/>
    <xf numFmtId="197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79" fontId="88" fillId="0" borderId="0" applyFont="0" applyFill="0" applyBorder="0" applyAlignment="0" applyProtection="0"/>
    <xf numFmtId="198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99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1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2" fontId="102" fillId="0" borderId="0" applyNumberFormat="0" applyFill="0" applyBorder="0" applyAlignment="0" applyProtection="0"/>
    <xf numFmtId="202" fontId="103" fillId="50" borderId="0" applyNumberFormat="0" applyFont="0" applyBorder="0" applyAlignment="0" applyProtection="0"/>
    <xf numFmtId="0" fontId="103" fillId="0" borderId="0" applyFill="0" applyBorder="0" applyProtection="0"/>
    <xf numFmtId="202" fontId="103" fillId="31" borderId="0" applyNumberFormat="0" applyFont="0" applyBorder="0" applyAlignment="0" applyProtection="0"/>
    <xf numFmtId="203" fontId="103" fillId="0" borderId="0" applyFill="0" applyBorder="0" applyAlignment="0" applyProtection="0"/>
    <xf numFmtId="202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2" fontId="106" fillId="0" borderId="48" applyNumberFormat="0" applyFill="0" applyAlignment="0" applyProtection="0"/>
    <xf numFmtId="0" fontId="107" fillId="0" borderId="0" applyAlignment="0" applyProtection="0"/>
    <xf numFmtId="202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4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11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205" fontId="10" fillId="12" borderId="20" xfId="0" applyNumberFormat="1" applyFont="1" applyFill="1" applyBorder="1"/>
    <xf numFmtId="205" fontId="0" fillId="12" borderId="20" xfId="0" applyNumberFormat="1" applyFill="1" applyBorder="1"/>
    <xf numFmtId="206" fontId="0" fillId="12" borderId="0" xfId="0" applyNumberFormat="1" applyFill="1"/>
    <xf numFmtId="206" fontId="0" fillId="8" borderId="0" xfId="0" applyNumberFormat="1" applyFill="1" applyAlignment="1">
      <alignment horizontal="left" indent="1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ABIEN~1.CAU\AppData\Local\Temp\19\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168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154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1" t="s">
        <v>99</v>
      </c>
      <c r="B16" s="15" t="s">
        <v>100</v>
      </c>
    </row>
    <row r="17" spans="1:2" ht="13">
      <c r="A17" s="182"/>
      <c r="B17" s="15" t="s">
        <v>101</v>
      </c>
    </row>
    <row r="18" spans="1:2" ht="13">
      <c r="A18" s="182"/>
      <c r="B18" s="15"/>
    </row>
    <row r="19" spans="1:2" ht="13">
      <c r="A19" s="182"/>
      <c r="B19" s="15"/>
    </row>
    <row r="20" spans="1:2" ht="13">
      <c r="A20" s="183"/>
      <c r="B20" s="15"/>
    </row>
    <row r="21" spans="1:2" ht="13">
      <c r="A21" s="181" t="s">
        <v>102</v>
      </c>
      <c r="B21" s="15" t="s">
        <v>103</v>
      </c>
    </row>
    <row r="22" spans="1:2" ht="13">
      <c r="A22" s="182"/>
      <c r="B22" s="15" t="s">
        <v>104</v>
      </c>
    </row>
    <row r="23" spans="1:2" ht="13">
      <c r="A23" s="183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AW139"/>
  <sheetViews>
    <sheetView showGridLines="0" tabSelected="1" topLeftCell="A7" zoomScale="25" zoomScaleNormal="25" zoomScalePageLayoutView="60" workbookViewId="0">
      <pane xSplit="8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0" defaultRowHeight="18" customHeight="1" zeroHeight="1" outlineLevelRow="1" outlineLevelCol="1"/>
  <cols>
    <col min="1" max="1" width="23.54296875" style="48" hidden="1" customWidth="1" outlineLevel="1"/>
    <col min="2" max="2" width="21" style="48" hidden="1" customWidth="1" outlineLevel="1"/>
    <col min="3" max="3" width="35.81640625" style="48" hidden="1" customWidth="1" outlineLevel="1"/>
    <col min="4" max="4" width="11" style="48" hidden="1" customWidth="1" outlineLevel="1"/>
    <col min="5" max="5" width="5.453125" style="22" hidden="1" customWidth="1" outlineLevel="1"/>
    <col min="6" max="6" width="5.7265625" style="45" customWidth="1" collapsed="1"/>
    <col min="7" max="7" width="42.453125" style="42" customWidth="1"/>
    <col min="8" max="8" width="52.54296875" style="42" customWidth="1"/>
    <col min="9" max="9" width="30.54296875" style="43" bestFit="1" customWidth="1"/>
    <col min="10" max="10" width="29.81640625" style="43" bestFit="1" customWidth="1"/>
    <col min="11" max="16" width="30.54296875" style="43" bestFit="1" customWidth="1"/>
    <col min="17" max="17" width="11.26953125" style="82" bestFit="1" customWidth="1"/>
    <col min="18" max="18" width="0.36328125" style="82" hidden="1" customWidth="1"/>
    <col min="19" max="20" width="29.81640625" style="43" bestFit="1" customWidth="1"/>
    <col min="21" max="21" width="39.453125" style="43" bestFit="1" customWidth="1"/>
    <col min="22" max="22" width="29.81640625" style="43" bestFit="1" customWidth="1"/>
    <col min="23" max="26" width="30.54296875" style="43" bestFit="1" customWidth="1"/>
    <col min="27" max="27" width="6" style="82" customWidth="1"/>
    <col min="28" max="28" width="23" style="82" bestFit="1" customWidth="1"/>
    <col min="29" max="29" width="15.81640625" style="82" bestFit="1" customWidth="1"/>
    <col min="30" max="30" width="24.1796875" style="82" bestFit="1" customWidth="1"/>
    <col min="31" max="33" width="17.7265625" style="82" bestFit="1" customWidth="1"/>
    <col min="34" max="35" width="19.453125" style="43" bestFit="1" customWidth="1"/>
    <col min="36" max="36" width="5.7265625" style="44" customWidth="1"/>
    <col min="37" max="37" width="11.26953125" style="44" hidden="1" customWidth="1"/>
    <col min="38" max="38" width="33.1796875" style="44" hidden="1" customWidth="1"/>
    <col min="39" max="39" width="30" style="44" hidden="1" customWidth="1"/>
    <col min="40" max="40" width="28.1796875" style="44" hidden="1" customWidth="1"/>
    <col min="41" max="41" width="29.7265625" style="44" hidden="1" customWidth="1"/>
    <col min="42" max="42" width="27.1796875" style="44" hidden="1" customWidth="1"/>
    <col min="43" max="43" width="21.1796875" style="44" hidden="1" customWidth="1"/>
    <col min="44" max="44" width="9" style="44" hidden="1" customWidth="1"/>
    <col min="45" max="49" width="11.453125" style="43" hidden="1"/>
    <col min="50" max="16384" width="0" style="43" hidden="1"/>
  </cols>
  <sheetData>
    <row r="1" spans="1:44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e">
        <f>_xll.SUBNM(Server&amp;"Phase","",$H$12,"")</f>
        <v>#VALUE!</v>
      </c>
      <c r="Q1" s="79"/>
      <c r="R1" s="25" t="e">
        <f>_xll.SUBNM(Server&amp;"Phase","",$U$12,"")</f>
        <v>#VALUE!</v>
      </c>
      <c r="AA1" s="79"/>
      <c r="AB1" s="79"/>
      <c r="AC1" s="79"/>
      <c r="AD1" s="79"/>
      <c r="AE1" s="79"/>
      <c r="AF1" s="79"/>
      <c r="AG1" s="79"/>
      <c r="AJ1" s="44"/>
      <c r="AK1" s="27"/>
      <c r="AL1" s="27"/>
      <c r="AM1" s="27"/>
      <c r="AN1" s="27"/>
      <c r="AO1" s="27"/>
      <c r="AP1" s="27"/>
      <c r="AQ1" s="27"/>
      <c r="AR1" s="27"/>
    </row>
    <row r="2" spans="1:44" s="26" customFormat="1" ht="23.5" hidden="1">
      <c r="A2" s="22"/>
      <c r="B2" s="22"/>
      <c r="C2" s="22"/>
      <c r="D2" s="22"/>
      <c r="E2" s="22"/>
      <c r="F2" s="23"/>
      <c r="G2" s="24" t="s">
        <v>58</v>
      </c>
      <c r="H2" s="28" t="e">
        <f>MID(H1,5,4)</f>
        <v>#VALUE!</v>
      </c>
      <c r="I2" s="29" t="e">
        <f>_xll.DBRA(Server&amp;$G$2,$J2,"Prior Year")</f>
        <v>#VALUE!</v>
      </c>
      <c r="J2" s="29" t="e">
        <f>"F_year_"&amp;$H$2</f>
        <v>#VALUE!</v>
      </c>
      <c r="K2" s="29" t="e">
        <f>_xll.DBRA(Server&amp;$G$2,J2,"Next Year")</f>
        <v>#VALUE!</v>
      </c>
      <c r="L2" s="29" t="e">
        <f>_xll.DBRA(Server&amp;$G$2,K2,"Next Year")</f>
        <v>#VALUE!</v>
      </c>
      <c r="M2" s="29" t="e">
        <f>_xll.DBRA(Server&amp;$G$2,L2,"Next Year")</f>
        <v>#VALUE!</v>
      </c>
      <c r="N2" s="29" t="e">
        <f>_xll.DBRA(Server&amp;$G$2,M2,"Next Year")</f>
        <v>#VALUE!</v>
      </c>
      <c r="O2" s="29" t="e">
        <f>_xll.DBRA(Server&amp;$G$2,N2,"Next Year")</f>
        <v>#VALUE!</v>
      </c>
      <c r="P2" s="29" t="e">
        <f>_xll.DBRA(Server&amp;$G$2,O2,"Next Year")</f>
        <v>#VALUE!</v>
      </c>
      <c r="Q2" s="80"/>
      <c r="R2" s="28" t="e">
        <f>MID(R1,5,4)</f>
        <v>#VALUE!</v>
      </c>
      <c r="S2" s="29" t="e">
        <f>_xll.DBRA(Server&amp;$G$2,$T2,"Prior Year")</f>
        <v>#VALUE!</v>
      </c>
      <c r="T2" s="29" t="e">
        <f>"F_year_"&amp;$R$2</f>
        <v>#VALUE!</v>
      </c>
      <c r="U2" s="29" t="e">
        <f>_xll.DBRA(Server&amp;$G$2,T2,"Next Year")</f>
        <v>#VALUE!</v>
      </c>
      <c r="V2" s="29" t="e">
        <f>_xll.DBRA(Server&amp;$G$2,U2,"Next Year")</f>
        <v>#VALUE!</v>
      </c>
      <c r="W2" s="29" t="e">
        <f>_xll.DBRA(Server&amp;$G$2,V2,"Next Year")</f>
        <v>#VALUE!</v>
      </c>
      <c r="X2" s="29" t="e">
        <f>_xll.DBRA(Server&amp;$G$2,W2,"Next Year")</f>
        <v>#VALUE!</v>
      </c>
      <c r="Y2" s="29" t="e">
        <f>_xll.DBRA(Server&amp;$G$2,X2,"Next Year")</f>
        <v>#VALUE!</v>
      </c>
      <c r="Z2" s="29" t="e">
        <f>_xll.DBRA(Server&amp;$G$2,Y2,"Next Year")</f>
        <v>#VALUE!</v>
      </c>
      <c r="AA2" s="80"/>
      <c r="AB2" s="80"/>
      <c r="AC2" s="80"/>
      <c r="AD2" s="80"/>
      <c r="AE2" s="80"/>
      <c r="AF2" s="80"/>
      <c r="AG2" s="80"/>
      <c r="AH2" s="30"/>
      <c r="AI2" s="30"/>
      <c r="AJ2" s="86"/>
      <c r="AK2" s="27"/>
      <c r="AL2" s="27"/>
      <c r="AM2" s="27"/>
      <c r="AN2" s="27"/>
      <c r="AO2" s="27"/>
      <c r="AP2" s="27"/>
      <c r="AQ2" s="27"/>
      <c r="AR2" s="27"/>
    </row>
    <row r="3" spans="1:44" s="26" customFormat="1" ht="23.5" hidden="1">
      <c r="A3" s="22"/>
      <c r="B3" s="22"/>
      <c r="C3" s="22"/>
      <c r="D3" s="22"/>
      <c r="E3" s="22"/>
      <c r="F3" s="23"/>
      <c r="G3" s="31" t="e">
        <f>_xll.VIEW(Server&amp;Cube1,ctx_activity_Context,$H$17,$H$13,$H$16,ctx_legal_Context,"!",$H$12,"!")</f>
        <v>#VALUE!</v>
      </c>
      <c r="H3" s="32" t="s">
        <v>122</v>
      </c>
      <c r="I3" s="33" t="e">
        <f>_xll.DBRA(Server&amp;$G$2,$J3,"Prior Year")</f>
        <v>#VALUE!</v>
      </c>
      <c r="J3" s="33" t="e">
        <f>$H$2</f>
        <v>#VALUE!</v>
      </c>
      <c r="K3" s="33" t="e">
        <f>_xll.DBRA(Server&amp;$G$2,J3,"Next Year")</f>
        <v>#VALUE!</v>
      </c>
      <c r="L3" s="33" t="e">
        <f>_xll.DBRA(Server&amp;$G$2,K3,"Next Year")</f>
        <v>#VALUE!</v>
      </c>
      <c r="M3" s="33" t="e">
        <f>_xll.DBRA(Server&amp;$G$2,L3,"Next Year")</f>
        <v>#VALUE!</v>
      </c>
      <c r="N3" s="33" t="e">
        <f>_xll.DBRA(Server&amp;$G$2,M3,"Next Year")</f>
        <v>#VALUE!</v>
      </c>
      <c r="O3" s="33" t="e">
        <f>_xll.DBRA(Server&amp;$G$2,N3,"Next Year")</f>
        <v>#VALUE!</v>
      </c>
      <c r="P3" s="33" t="e">
        <f>_xll.DBRA(Server&amp;$G$2,O3,"Next Year")</f>
        <v>#VALUE!</v>
      </c>
      <c r="Q3" s="80"/>
      <c r="R3" s="80"/>
      <c r="S3" s="33" t="e">
        <f>_xll.DBRA(Server&amp;$G$2,$T3,"Prior Year")</f>
        <v>#VALUE!</v>
      </c>
      <c r="T3" s="33" t="e">
        <f>$R$2</f>
        <v>#VALUE!</v>
      </c>
      <c r="U3" s="33" t="e">
        <f>_xll.DBRA(Server&amp;$G$2,T3,"Next Year")</f>
        <v>#VALUE!</v>
      </c>
      <c r="V3" s="33" t="e">
        <f>_xll.DBRA(Server&amp;$G$2,U3,"Next Year")</f>
        <v>#VALUE!</v>
      </c>
      <c r="W3" s="33" t="e">
        <f>_xll.DBRA(Server&amp;$G$2,V3,"Next Year")</f>
        <v>#VALUE!</v>
      </c>
      <c r="X3" s="33" t="e">
        <f>_xll.DBRA(Server&amp;$G$2,W3,"Next Year")</f>
        <v>#VALUE!</v>
      </c>
      <c r="Y3" s="33" t="e">
        <f>_xll.DBRA(Server&amp;$G$2,X3,"Next Year")</f>
        <v>#VALUE!</v>
      </c>
      <c r="Z3" s="33" t="e">
        <f>_xll.DBRA(Server&amp;$G$2,Y3,"Next Year")</f>
        <v>#VALUE!</v>
      </c>
      <c r="AA3" s="80"/>
      <c r="AB3" s="80"/>
      <c r="AC3" s="80"/>
      <c r="AD3" s="80"/>
      <c r="AE3" s="80"/>
      <c r="AF3" s="80"/>
      <c r="AG3" s="80"/>
      <c r="AH3" s="30"/>
      <c r="AI3" s="30"/>
      <c r="AJ3" s="86"/>
      <c r="AK3" s="27"/>
      <c r="AL3" s="27"/>
      <c r="AM3" s="27"/>
      <c r="AN3" s="27"/>
      <c r="AO3" s="27"/>
      <c r="AP3" s="27"/>
      <c r="AQ3" s="27"/>
      <c r="AR3" s="27"/>
    </row>
    <row r="4" spans="1:44" s="26" customFormat="1" ht="23.25" hidden="1" customHeight="1">
      <c r="A4" s="22"/>
      <c r="B4" s="22"/>
      <c r="C4" s="22"/>
      <c r="D4" s="22"/>
      <c r="E4" s="22"/>
      <c r="F4" s="23"/>
      <c r="G4" s="34"/>
      <c r="H4" s="31"/>
      <c r="I4" s="35" t="e">
        <f>_xll.DBRW("tango_core_model:TC_LTP_Version_Annee_Ouverture",$H$12,I$2,"STR_VAR1")</f>
        <v>#VALUE!</v>
      </c>
      <c r="J4" s="35" t="e">
        <f>_xll.DBRW("tango_core_model:TC_LTP_Version_Annee_Ouverture",$H$12,J$2,"STR_VAR1")</f>
        <v>#VALUE!</v>
      </c>
      <c r="K4" s="35" t="e">
        <f>_xll.DBRW("tango_core_model:TC_LTP_Version_Annee_Ouverture",$H$12,K$2,"STR_VAR1")</f>
        <v>#VALUE!</v>
      </c>
      <c r="L4" s="35" t="e">
        <f>_xll.DBRW("tango_core_model:TC_LTP_Version_Annee_Ouverture",$H$12,L$2,"STR_VAR1")</f>
        <v>#VALUE!</v>
      </c>
      <c r="M4" s="35" t="e">
        <f>_xll.DBRW("tango_core_model:TC_LTP_Version_Annee_Ouverture",$H$12,M$2,"STR_VAR1")</f>
        <v>#VALUE!</v>
      </c>
      <c r="N4" s="35" t="e">
        <f>_xll.DBRW("tango_core_model:TC_LTP_Version_Annee_Ouverture",$H$12,N$2,"STR_VAR1")</f>
        <v>#VALUE!</v>
      </c>
      <c r="O4" s="35" t="e">
        <f>_xll.DBRW("tango_core_model:TC_LTP_Version_Annee_Ouverture",$H$12,O$2,"STR_VAR1")</f>
        <v>#VALUE!</v>
      </c>
      <c r="P4" s="35" t="e">
        <f>_xll.DBRW("tango_core_model:TC_LTP_Version_Annee_Ouverture",$H$12,P$2,"STR_VAR1")</f>
        <v>#VALUE!</v>
      </c>
      <c r="Q4" s="81"/>
      <c r="R4" s="81"/>
      <c r="S4" s="35" t="e">
        <f>_xll.DBRW("tango_core_model:TC_LTP_Version_Annee_Ouverture",$U$12,S$2,"STR_VAR1")</f>
        <v>#VALUE!</v>
      </c>
      <c r="T4" s="35" t="e">
        <f>_xll.DBRW("tango_core_model:TC_LTP_Version_Annee_Ouverture",$U$12,T$2,"STR_VAR1")</f>
        <v>#VALUE!</v>
      </c>
      <c r="U4" s="35" t="e">
        <f>_xll.DBRW("tango_core_model:TC_LTP_Version_Annee_Ouverture",$U$12,U$2,"STR_VAR1")</f>
        <v>#VALUE!</v>
      </c>
      <c r="V4" s="35" t="e">
        <f>_xll.DBRW("tango_core_model:TC_LTP_Version_Annee_Ouverture",$U$12,V$2,"STR_VAR1")</f>
        <v>#VALUE!</v>
      </c>
      <c r="W4" s="35" t="e">
        <f>_xll.DBRW("tango_core_model:TC_LTP_Version_Annee_Ouverture",$U$12,W$2,"STR_VAR1")</f>
        <v>#VALUE!</v>
      </c>
      <c r="X4" s="35" t="e">
        <f>_xll.DBRW("tango_core_model:TC_LTP_Version_Annee_Ouverture",$U$12,X$2,"STR_VAR1")</f>
        <v>#VALUE!</v>
      </c>
      <c r="Y4" s="35" t="e">
        <f>_xll.DBRW("tango_core_model:TC_LTP_Version_Annee_Ouverture",$U$12,Y$2,"STR_VAR1")</f>
        <v>#VALUE!</v>
      </c>
      <c r="Z4" s="35" t="e">
        <f>_xll.DBRW("tango_core_model:TC_LTP_Version_Annee_Ouverture",$U$12,Z$2,"STR_VAR1")</f>
        <v>#VALUE!</v>
      </c>
      <c r="AA4" s="81"/>
      <c r="AB4" s="81"/>
      <c r="AC4" s="81"/>
      <c r="AD4" s="81"/>
      <c r="AE4" s="81"/>
      <c r="AF4" s="81"/>
      <c r="AG4" s="81"/>
      <c r="AH4" s="37"/>
      <c r="AI4" s="37"/>
      <c r="AJ4" s="44"/>
      <c r="AK4" s="27"/>
      <c r="AL4" s="27"/>
      <c r="AM4" s="27"/>
      <c r="AN4" s="27"/>
      <c r="AO4" s="27"/>
      <c r="AP4" s="27"/>
      <c r="AQ4" s="27"/>
      <c r="AR4" s="27"/>
    </row>
    <row r="5" spans="1:44" s="26" customFormat="1" ht="14.25" hidden="1" customHeight="1" outlineLevel="1">
      <c r="A5" s="22"/>
      <c r="B5" s="22"/>
      <c r="C5" s="22"/>
      <c r="D5" s="22"/>
      <c r="E5" s="22"/>
      <c r="F5" s="23"/>
      <c r="G5" s="34"/>
      <c r="H5" s="31" t="str">
        <f>_xll.DBR(Server&amp;"z_Admin_Param","PHASE_LTP","STR_VAR1")</f>
        <v>LTP_2025_VC</v>
      </c>
      <c r="I5" s="35"/>
      <c r="J5" s="36"/>
      <c r="K5" s="37"/>
      <c r="L5" s="37"/>
      <c r="M5" s="37"/>
      <c r="N5" s="37"/>
      <c r="O5" s="37"/>
      <c r="P5" s="37"/>
      <c r="Q5" s="81"/>
      <c r="R5" s="81"/>
      <c r="S5" s="35"/>
      <c r="T5" s="36"/>
      <c r="U5" s="37"/>
      <c r="V5" s="37"/>
      <c r="W5" s="37"/>
      <c r="X5" s="37"/>
      <c r="Y5" s="37"/>
      <c r="Z5" s="37"/>
      <c r="AA5" s="81"/>
      <c r="AB5" s="81"/>
      <c r="AC5" s="81"/>
      <c r="AD5" s="81"/>
      <c r="AE5" s="81"/>
      <c r="AF5" s="81"/>
      <c r="AG5" s="81"/>
      <c r="AH5" s="37"/>
      <c r="AI5" s="37"/>
      <c r="AJ5" s="44"/>
      <c r="AK5" s="27"/>
      <c r="AL5" s="27"/>
      <c r="AM5" s="27"/>
      <c r="AN5" s="27"/>
      <c r="AO5" s="27"/>
      <c r="AP5" s="27"/>
      <c r="AQ5" s="27"/>
      <c r="AR5" s="27"/>
    </row>
    <row r="6" spans="1:44" s="26" customFormat="1" ht="9.75" hidden="1" customHeight="1" outlineLevel="1">
      <c r="A6" s="22"/>
      <c r="B6" s="22"/>
      <c r="C6" s="22"/>
      <c r="D6" s="22"/>
      <c r="E6" s="22"/>
      <c r="F6" s="23"/>
      <c r="G6" s="34"/>
      <c r="H6" s="31"/>
      <c r="I6" s="35"/>
      <c r="J6" s="36"/>
      <c r="K6" s="37"/>
      <c r="L6" s="37"/>
      <c r="M6" s="37"/>
      <c r="N6" s="37"/>
      <c r="O6" s="37"/>
      <c r="P6" s="37"/>
      <c r="Q6" s="81"/>
      <c r="R6" s="81"/>
      <c r="S6" s="35"/>
      <c r="T6" s="36"/>
      <c r="U6" s="37"/>
      <c r="V6" s="37"/>
      <c r="W6" s="37"/>
      <c r="X6" s="37"/>
      <c r="Y6" s="37"/>
      <c r="Z6" s="37"/>
      <c r="AA6" s="81"/>
      <c r="AB6" s="81"/>
      <c r="AC6" s="81"/>
      <c r="AD6" s="81"/>
      <c r="AE6" s="81"/>
      <c r="AF6" s="81"/>
      <c r="AG6" s="81"/>
      <c r="AH6" s="37"/>
      <c r="AI6" s="37"/>
      <c r="AJ6" s="44"/>
      <c r="AK6" s="27"/>
      <c r="AL6" s="27"/>
      <c r="AM6" s="27"/>
      <c r="AN6" s="27"/>
      <c r="AO6" s="27"/>
      <c r="AP6" s="27"/>
      <c r="AQ6" s="27"/>
      <c r="AR6" s="27"/>
    </row>
    <row r="7" spans="1:44" s="26" customFormat="1" ht="23.5" collapsed="1">
      <c r="A7" s="22"/>
      <c r="B7" s="22"/>
      <c r="C7" s="22"/>
      <c r="D7" s="22"/>
      <c r="E7" s="22"/>
      <c r="F7" s="23"/>
      <c r="G7" s="34"/>
      <c r="H7" s="31"/>
      <c r="I7" s="35"/>
      <c r="J7" s="36"/>
      <c r="K7" s="37"/>
      <c r="L7" s="37"/>
      <c r="M7" s="37"/>
      <c r="N7" s="37"/>
      <c r="O7" s="37"/>
      <c r="P7" s="37"/>
      <c r="Q7" s="81"/>
      <c r="R7" s="81"/>
      <c r="S7" s="35"/>
      <c r="T7" s="36"/>
      <c r="U7" s="37"/>
      <c r="V7" s="37"/>
      <c r="W7" s="37"/>
      <c r="X7" s="37"/>
      <c r="Y7" s="37"/>
      <c r="Z7" s="37"/>
      <c r="AA7" s="81"/>
      <c r="AB7" s="81"/>
      <c r="AC7" s="81"/>
      <c r="AD7" s="81"/>
      <c r="AE7" s="81"/>
      <c r="AF7" s="81"/>
      <c r="AG7" s="81"/>
      <c r="AH7" s="37"/>
      <c r="AI7" s="37"/>
      <c r="AJ7" s="44"/>
      <c r="AK7" s="27"/>
      <c r="AL7" s="27"/>
      <c r="AM7" s="27"/>
      <c r="AN7" s="27"/>
      <c r="AO7" s="27"/>
      <c r="AP7" s="27"/>
      <c r="AQ7" s="27"/>
      <c r="AR7" s="27"/>
    </row>
    <row r="8" spans="1:44" s="26" customFormat="1" ht="39.75" customHeight="1">
      <c r="A8" s="22"/>
      <c r="B8" s="22"/>
      <c r="C8" s="22"/>
      <c r="D8" s="22"/>
      <c r="E8" s="22"/>
      <c r="F8" s="23"/>
      <c r="G8" s="204" t="e">
        <f>H13</f>
        <v>#VALUE!</v>
      </c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44"/>
      <c r="AK8" s="27"/>
      <c r="AL8" s="27"/>
      <c r="AM8" s="27"/>
      <c r="AN8" s="27"/>
      <c r="AO8" s="27"/>
      <c r="AP8" s="27"/>
      <c r="AQ8" s="27"/>
      <c r="AR8" s="27"/>
    </row>
    <row r="9" spans="1:44" s="26" customFormat="1" ht="39.75" customHeight="1">
      <c r="A9" s="22"/>
      <c r="B9" s="22"/>
      <c r="C9" s="22"/>
      <c r="D9" s="22"/>
      <c r="E9" s="22"/>
      <c r="F9" s="23"/>
      <c r="G9" s="205" t="e">
        <f>$H$14&amp;" - "&amp;$H$15&amp;" - "&amp;$H$16&amp;" - "&amp;$H$17</f>
        <v>#VALUE!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44"/>
      <c r="AK9" s="27"/>
      <c r="AL9" s="27"/>
      <c r="AM9" s="27"/>
      <c r="AN9" s="27"/>
      <c r="AO9" s="27"/>
      <c r="AP9" s="27"/>
      <c r="AQ9" s="27"/>
      <c r="AR9" s="27"/>
    </row>
    <row r="10" spans="1:44" s="26" customFormat="1" ht="39.75" customHeight="1">
      <c r="A10" s="22"/>
      <c r="B10" s="22"/>
      <c r="C10" s="22"/>
      <c r="D10" s="22"/>
      <c r="E10" s="22"/>
      <c r="F10" s="23"/>
      <c r="G10" s="206" t="str">
        <f>I20&amp;"  vs  "&amp;S20</f>
        <v>LTP_2021_VC  vs  LTP_2019_V9_V14_V3</v>
      </c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44"/>
      <c r="AK10" s="27"/>
      <c r="AL10" s="27"/>
      <c r="AM10" s="27"/>
      <c r="AN10" s="27"/>
      <c r="AO10" s="27"/>
      <c r="AP10" s="27"/>
      <c r="AQ10" s="27"/>
      <c r="AR10" s="27"/>
    </row>
    <row r="11" spans="1:44" s="26" customFormat="1" ht="21" customHeight="1">
      <c r="A11" s="22"/>
      <c r="B11" s="22"/>
      <c r="C11" s="22"/>
      <c r="D11" s="22"/>
      <c r="E11" s="22"/>
      <c r="F11" s="23"/>
      <c r="G11" s="34"/>
      <c r="H11" s="31"/>
      <c r="I11" s="35"/>
      <c r="J11" s="36"/>
      <c r="K11" s="37"/>
      <c r="L11" s="37"/>
      <c r="M11" s="37"/>
      <c r="N11" s="37"/>
      <c r="O11" s="37"/>
      <c r="P11" s="37"/>
      <c r="Q11" s="81"/>
      <c r="R11" s="81"/>
      <c r="S11" s="35"/>
      <c r="T11" s="36"/>
      <c r="U11" s="37"/>
      <c r="V11" s="37"/>
      <c r="W11" s="37"/>
      <c r="X11" s="37"/>
      <c r="Y11" s="37"/>
      <c r="Z11" s="37"/>
      <c r="AA11" s="81"/>
      <c r="AB11" s="81"/>
      <c r="AC11" s="81"/>
      <c r="AD11" s="81"/>
      <c r="AE11" s="81"/>
      <c r="AF11" s="81"/>
      <c r="AG11" s="81"/>
      <c r="AH11" s="37"/>
      <c r="AI11" s="37"/>
      <c r="AJ11" s="44"/>
      <c r="AK11" s="27"/>
      <c r="AL11" s="27"/>
      <c r="AM11" s="27"/>
      <c r="AN11" s="27"/>
      <c r="AO11" s="27"/>
      <c r="AP11" s="27"/>
      <c r="AQ11" s="27"/>
      <c r="AR11" s="27"/>
    </row>
    <row r="12" spans="1:44" s="26" customFormat="1" ht="21" customHeight="1">
      <c r="A12" s="22"/>
      <c r="B12" s="22"/>
      <c r="C12" s="22"/>
      <c r="D12" s="22"/>
      <c r="E12" s="22"/>
      <c r="F12" s="23"/>
      <c r="G12" s="38" t="str">
        <f>_xll.DBRA(Server&amp;$AL$25,$AL29,$H$18)</f>
        <v>Phase</v>
      </c>
      <c r="H12" s="39" t="str">
        <f>_xll.SUBNM(Server&amp;"Phase","LTP_Current","LTP_2021_VC")</f>
        <v>LTP_2021_VC</v>
      </c>
      <c r="I12" s="35"/>
      <c r="J12" s="36"/>
      <c r="K12" s="37"/>
      <c r="L12" s="37"/>
      <c r="M12" s="37"/>
      <c r="N12" s="37"/>
      <c r="O12" s="37"/>
      <c r="P12" s="37"/>
      <c r="Q12" s="81"/>
      <c r="R12" s="81"/>
      <c r="S12" s="207" t="str">
        <f>_xll.DBRA(Server&amp;$AL$25,$AL29,$H$18)</f>
        <v>Phase</v>
      </c>
      <c r="T12" s="208"/>
      <c r="U12" s="209" t="str">
        <f>_xll.SUBNM(Server&amp;"Phase","LTP_Phase_LAST_YEAR","LTP_2019_V9_V14_V3")</f>
        <v>LTP_2019_V9_V14_V3</v>
      </c>
      <c r="V12" s="210"/>
      <c r="W12" s="37"/>
      <c r="X12" s="37"/>
      <c r="Y12" s="37"/>
      <c r="Z12" s="37"/>
      <c r="AA12" s="81"/>
      <c r="AB12" s="81"/>
      <c r="AC12" s="81"/>
      <c r="AD12" s="81"/>
      <c r="AE12" s="81"/>
      <c r="AF12" s="81"/>
      <c r="AG12" s="81"/>
      <c r="AH12" s="37"/>
      <c r="AI12" s="37"/>
      <c r="AJ12" s="44"/>
      <c r="AK12" s="27"/>
      <c r="AL12" s="27"/>
      <c r="AM12" s="27"/>
      <c r="AN12" s="27"/>
      <c r="AO12" s="27"/>
      <c r="AP12" s="27"/>
      <c r="AQ12" s="27"/>
      <c r="AR12" s="27"/>
    </row>
    <row r="13" spans="1:44" s="26" customFormat="1" ht="23.5">
      <c r="A13" s="22"/>
      <c r="B13" s="22"/>
      <c r="C13" s="22"/>
      <c r="D13" s="22"/>
      <c r="E13" s="22"/>
      <c r="F13" s="23"/>
      <c r="G13" s="38" t="str">
        <f>_xll.DBRA(Server&amp;$AL$25,$AL30,$H$18)</f>
        <v>LTP component</v>
      </c>
      <c r="H13" s="39" t="e">
        <f>_xll.SUBNM(Server&amp;"LTP_Components","",$AN$29,$H$18)</f>
        <v>#VALUE!</v>
      </c>
      <c r="I13" s="36"/>
      <c r="J13" s="36"/>
      <c r="K13" s="37"/>
      <c r="L13" s="170"/>
      <c r="M13" s="36"/>
      <c r="N13" s="37"/>
      <c r="O13" s="37"/>
      <c r="P13" s="37"/>
      <c r="Q13" s="81"/>
      <c r="R13" s="81"/>
      <c r="S13" s="207" t="str">
        <f>_xll.DBRA(Server&amp;$AL$25,$AL30,$H$18)</f>
        <v>LTP component</v>
      </c>
      <c r="T13" s="208"/>
      <c r="U13" s="209" t="e">
        <f>_xll.SUBNM(Server&amp;"LTP_Components","",$AN$29,$H$18)</f>
        <v>#VALUE!</v>
      </c>
      <c r="V13" s="210"/>
      <c r="W13" s="36"/>
      <c r="X13" s="37"/>
      <c r="Y13" s="37"/>
      <c r="Z13" s="37"/>
      <c r="AA13" s="81"/>
      <c r="AB13" s="81"/>
      <c r="AC13" s="81"/>
      <c r="AD13" s="81"/>
      <c r="AE13" s="81"/>
      <c r="AF13" s="81"/>
      <c r="AG13" s="81"/>
      <c r="AH13" s="37"/>
      <c r="AI13" s="37"/>
      <c r="AJ13" s="44"/>
      <c r="AK13" s="27"/>
      <c r="AL13" s="27"/>
      <c r="AM13" s="27"/>
      <c r="AN13" s="27"/>
      <c r="AO13" s="27"/>
      <c r="AP13" s="27"/>
      <c r="AQ13" s="27"/>
      <c r="AR13" s="27"/>
    </row>
    <row r="14" spans="1:44" s="26" customFormat="1" ht="23.5">
      <c r="A14" s="22"/>
      <c r="B14" s="22"/>
      <c r="C14" s="22"/>
      <c r="D14" s="22"/>
      <c r="E14" s="22"/>
      <c r="F14" s="23"/>
      <c r="G14" s="38" t="str">
        <f>_xll.DBRA(Server&amp;$AL$25,$AL$31,$H$18)</f>
        <v>Legal organization</v>
      </c>
      <c r="H14" s="39" t="e">
        <f>_xll.SUBNM(Server&amp;"Legal_Organization","",_xll.DBR(Server&amp;"z_Client_Properties","Default_Legal_Organization",_xll.TM1USER(xServer)),"Code_Name")</f>
        <v>#VALUE!</v>
      </c>
      <c r="I14" s="36"/>
      <c r="J14" s="36"/>
      <c r="K14" s="37"/>
      <c r="L14" s="171"/>
      <c r="M14" s="84" t="s">
        <v>8</v>
      </c>
      <c r="N14" s="37"/>
      <c r="O14" s="37"/>
      <c r="P14" s="37"/>
      <c r="Q14" s="81"/>
      <c r="R14" s="81"/>
      <c r="S14" s="207" t="str">
        <f>_xll.DBRA(Server&amp;$AL$25,$AL$31,$H$18)</f>
        <v>Legal organization</v>
      </c>
      <c r="T14" s="208"/>
      <c r="U14" s="39" t="e">
        <f>_xll.SUBNM(Server&amp;"Legal_Organization","",_xll.DBR(Server&amp;"z_Client_Properties","Default_Legal_Organization",_xll.TM1USER(xServer)),"Code_Name")</f>
        <v>#VALUE!</v>
      </c>
      <c r="V14" s="171"/>
      <c r="W14" s="84" t="s">
        <v>8</v>
      </c>
      <c r="X14" s="37"/>
      <c r="Y14" s="37"/>
      <c r="Z14" s="37"/>
      <c r="AA14" s="81"/>
      <c r="AB14" s="81"/>
      <c r="AC14" s="81"/>
      <c r="AD14" s="176"/>
      <c r="AE14" s="81"/>
      <c r="AF14" s="81"/>
      <c r="AG14" s="81"/>
      <c r="AH14" s="37"/>
      <c r="AI14" s="37"/>
      <c r="AJ14" s="44"/>
      <c r="AK14" s="27"/>
      <c r="AL14" s="27"/>
      <c r="AM14" s="27"/>
      <c r="AN14" s="27"/>
      <c r="AO14" s="27"/>
      <c r="AP14" s="27"/>
      <c r="AQ14" s="27"/>
      <c r="AR14" s="27"/>
    </row>
    <row r="15" spans="1:44" s="26" customFormat="1" ht="23.5">
      <c r="A15" s="22"/>
      <c r="B15" s="22"/>
      <c r="C15" s="22"/>
      <c r="D15" s="22"/>
      <c r="E15" s="22"/>
      <c r="F15" s="23"/>
      <c r="G15" s="38" t="str">
        <f>_xll.DBRA(Server&amp;$AL$25,$AL$36,$H$18)</f>
        <v>Activity</v>
      </c>
      <c r="H15" s="39" t="s">
        <v>124</v>
      </c>
      <c r="I15" s="36"/>
      <c r="J15" s="36"/>
      <c r="K15" s="37"/>
      <c r="L15" s="171"/>
      <c r="M15" s="37"/>
      <c r="N15" s="37"/>
      <c r="O15" s="37"/>
      <c r="P15" s="37"/>
      <c r="Q15" s="81"/>
      <c r="R15" s="81"/>
      <c r="S15" s="207" t="str">
        <f>_xll.DBRA(Server&amp;$AL$25,$AL$36,$H$18)</f>
        <v>Activity</v>
      </c>
      <c r="T15" s="208"/>
      <c r="U15" s="39" t="s">
        <v>124</v>
      </c>
      <c r="V15" s="171"/>
      <c r="W15" s="37"/>
      <c r="X15" s="37"/>
      <c r="Y15" s="37"/>
      <c r="Z15" s="37"/>
      <c r="AA15" s="81"/>
      <c r="AB15" s="81"/>
      <c r="AC15" s="81"/>
      <c r="AD15" s="81"/>
      <c r="AE15" s="81"/>
      <c r="AF15" s="81"/>
      <c r="AG15" s="81"/>
      <c r="AH15" s="37"/>
      <c r="AI15" s="37"/>
      <c r="AJ15" s="44"/>
      <c r="AK15" s="27"/>
      <c r="AL15" s="27"/>
      <c r="AM15" s="27"/>
      <c r="AN15" s="27"/>
      <c r="AO15" s="27"/>
      <c r="AP15" s="27"/>
      <c r="AQ15" s="27"/>
      <c r="AR15" s="27"/>
    </row>
    <row r="16" spans="1:44" s="26" customFormat="1" ht="23.5">
      <c r="A16" s="22"/>
      <c r="B16" s="22"/>
      <c r="C16" s="22"/>
      <c r="D16" s="22"/>
      <c r="E16" s="22"/>
      <c r="F16" s="23"/>
      <c r="G16" s="38" t="str">
        <f>_xll.DBRA(Server&amp;$AL$25,$AL$32,$H$18)</f>
        <v>Weighting</v>
      </c>
      <c r="H16" s="39" t="str">
        <f>IF(MID(H12,5,4)&gt;"2020",_xll.SUBNM(Server&amp;"Weighting","","W_APP"),_xll.SUBNM(Server&amp;"Weighting","","W_NO_APP"))</f>
        <v>W_APP</v>
      </c>
      <c r="I16" s="35"/>
      <c r="J16" s="36"/>
      <c r="K16" s="37"/>
      <c r="L16" s="170"/>
      <c r="M16" s="36"/>
      <c r="N16" s="37"/>
      <c r="O16" s="37"/>
      <c r="P16" s="37"/>
      <c r="Q16" s="81"/>
      <c r="R16" s="81"/>
      <c r="S16" s="207" t="str">
        <f>_xll.DBRA(Server&amp;$AL$25,$AL$32,$H$18)</f>
        <v>Weighting</v>
      </c>
      <c r="T16" s="208"/>
      <c r="U16" s="39" t="e">
        <f>IF(MID(U12,5,4)&gt;"2020",_xll.SUBNM(Server&amp;"Weighting","","W_APP"),_xll.SUBNM(Server&amp;"Weighting","","W_NO_APP"))</f>
        <v>#VALUE!</v>
      </c>
      <c r="V16" s="170"/>
      <c r="W16" s="36"/>
      <c r="X16" s="37"/>
      <c r="Y16" s="37"/>
      <c r="Z16" s="37"/>
      <c r="AA16" s="81"/>
      <c r="AB16" s="81"/>
      <c r="AC16" s="81"/>
      <c r="AD16" s="81"/>
      <c r="AE16" s="81"/>
      <c r="AF16" s="81"/>
      <c r="AG16" s="81"/>
      <c r="AH16" s="37"/>
      <c r="AI16" s="37"/>
      <c r="AJ16" s="44"/>
      <c r="AK16" s="27"/>
      <c r="AL16" s="27"/>
      <c r="AM16" s="27"/>
      <c r="AN16" s="27"/>
      <c r="AO16" s="27"/>
      <c r="AP16" s="27"/>
      <c r="AQ16" s="27"/>
      <c r="AR16" s="27"/>
    </row>
    <row r="17" spans="1:44" s="26" customFormat="1" ht="23.5">
      <c r="A17" s="22"/>
      <c r="B17" s="22"/>
      <c r="C17" s="22"/>
      <c r="D17" s="22"/>
      <c r="E17" s="22"/>
      <c r="F17" s="23"/>
      <c r="G17" s="38" t="str">
        <f>_xll.DBRA(Server&amp;$AL$25,$AL37,$H$18)</f>
        <v>Currency</v>
      </c>
      <c r="H17" s="39" t="str">
        <f>_xll.SUBNM(Server&amp;"Currency","","MEUR")</f>
        <v>MEUR</v>
      </c>
      <c r="I17" s="35"/>
      <c r="J17" s="36"/>
      <c r="K17" s="37"/>
      <c r="L17" s="37"/>
      <c r="M17" s="37"/>
      <c r="N17" s="37"/>
      <c r="O17" s="37"/>
      <c r="P17" s="37"/>
      <c r="Q17" s="81"/>
      <c r="R17" s="81"/>
      <c r="S17" s="35"/>
      <c r="U17" s="36"/>
      <c r="V17" s="37"/>
      <c r="W17" s="37"/>
      <c r="X17" s="37"/>
      <c r="Y17" s="37"/>
      <c r="Z17" s="37"/>
      <c r="AA17" s="81"/>
      <c r="AB17" s="81"/>
      <c r="AC17" s="81"/>
      <c r="AD17" s="81"/>
      <c r="AE17" s="81"/>
      <c r="AF17" s="81"/>
      <c r="AG17" s="81"/>
      <c r="AH17" s="37"/>
      <c r="AI17" s="37"/>
      <c r="AJ17" s="44"/>
      <c r="AK17" s="27"/>
      <c r="AL17" s="27"/>
      <c r="AM17" s="27"/>
      <c r="AN17" s="27"/>
      <c r="AO17" s="27"/>
      <c r="AP17" s="27"/>
      <c r="AQ17" s="27"/>
      <c r="AR17" s="27"/>
    </row>
    <row r="18" spans="1:44" s="26" customFormat="1" ht="23.5">
      <c r="A18" s="22"/>
      <c r="B18" s="22"/>
      <c r="C18" s="22"/>
      <c r="D18" s="22"/>
      <c r="E18" s="22"/>
      <c r="F18" s="23"/>
      <c r="G18" s="38" t="str">
        <f>_xll.DBRA(Server&amp;$AL$25,$AL$38,$H$18)</f>
        <v>Language</v>
      </c>
      <c r="H18" s="40" t="s">
        <v>100</v>
      </c>
      <c r="I18" s="35"/>
      <c r="J18" s="36"/>
      <c r="K18" s="37"/>
      <c r="L18" s="37"/>
      <c r="M18" s="37"/>
      <c r="N18" s="37"/>
      <c r="O18" s="37"/>
      <c r="P18" s="37"/>
      <c r="Q18" s="81"/>
      <c r="R18" s="81"/>
      <c r="S18" s="35"/>
      <c r="T18" s="36"/>
      <c r="U18" s="37"/>
      <c r="V18" s="37"/>
      <c r="W18" s="37"/>
      <c r="X18" s="37"/>
      <c r="Y18" s="37"/>
      <c r="Z18" s="37"/>
      <c r="AA18" s="81"/>
      <c r="AB18" s="81"/>
      <c r="AC18" s="81"/>
      <c r="AD18" s="81"/>
      <c r="AE18" s="81"/>
      <c r="AF18" s="81"/>
      <c r="AG18" s="81"/>
      <c r="AH18" s="37"/>
      <c r="AI18" s="37"/>
      <c r="AJ18" s="44"/>
      <c r="AK18" s="27"/>
      <c r="AL18" s="27"/>
      <c r="AM18" s="27"/>
      <c r="AN18" s="27"/>
      <c r="AO18" s="27"/>
      <c r="AP18" s="27"/>
      <c r="AQ18" s="27"/>
      <c r="AR18" s="27"/>
    </row>
    <row r="19" spans="1:44" ht="29.25" customHeight="1">
      <c r="A19" s="41"/>
      <c r="B19" s="41"/>
      <c r="C19" s="41"/>
      <c r="D19" s="41"/>
      <c r="F19" s="23"/>
    </row>
    <row r="20" spans="1:44" ht="34.5" customHeight="1">
      <c r="A20" s="41"/>
      <c r="B20" s="41"/>
      <c r="C20" s="41"/>
      <c r="D20" s="41"/>
      <c r="G20" s="174"/>
      <c r="H20" s="174"/>
      <c r="I20" s="201" t="str">
        <f>H12</f>
        <v>LTP_2021_VC</v>
      </c>
      <c r="J20" s="201"/>
      <c r="K20" s="201"/>
      <c r="L20" s="201"/>
      <c r="M20" s="201"/>
      <c r="N20" s="201"/>
      <c r="O20" s="201"/>
      <c r="P20" s="201"/>
      <c r="Q20" s="83"/>
      <c r="R20" s="83"/>
      <c r="S20" s="201" t="str">
        <f>U12</f>
        <v>LTP_2019_V9_V14_V3</v>
      </c>
      <c r="T20" s="201"/>
      <c r="U20" s="201"/>
      <c r="V20" s="201"/>
      <c r="W20" s="201"/>
      <c r="X20" s="201"/>
      <c r="Y20" s="201"/>
      <c r="Z20" s="201"/>
      <c r="AA20" s="83"/>
      <c r="AB20" s="201" t="str">
        <f>I20&amp;"  vs  "&amp;S20</f>
        <v>LTP_2021_VC  vs  LTP_2019_V9_V14_V3</v>
      </c>
      <c r="AC20" s="201"/>
      <c r="AD20" s="201"/>
      <c r="AE20" s="201"/>
      <c r="AF20" s="201"/>
      <c r="AG20" s="201"/>
      <c r="AH20" s="201"/>
      <c r="AI20" s="201"/>
    </row>
    <row r="21" spans="1:44" s="119" customFormat="1" ht="27.75" customHeight="1">
      <c r="A21" s="115" t="s">
        <v>59</v>
      </c>
      <c r="B21" s="115"/>
      <c r="C21" s="115"/>
      <c r="D21" s="115">
        <v>1</v>
      </c>
      <c r="E21" s="116"/>
      <c r="F21" s="117"/>
      <c r="G21" s="187" t="str">
        <f>_xll.DBRA(Server&amp;$AL$25,$AL$50,$H$18)</f>
        <v>I - P&amp;L INDICATORS</v>
      </c>
      <c r="H21" s="187"/>
      <c r="I21" s="121" t="e">
        <f t="shared" ref="I21:P21" si="0">I4&amp;" "&amp;I3</f>
        <v>#VALUE!</v>
      </c>
      <c r="J21" s="121" t="e">
        <f t="shared" si="0"/>
        <v>#VALUE!</v>
      </c>
      <c r="K21" s="121" t="e">
        <f t="shared" si="0"/>
        <v>#VALUE!</v>
      </c>
      <c r="L21" s="121" t="e">
        <f t="shared" si="0"/>
        <v>#VALUE!</v>
      </c>
      <c r="M21" s="121" t="e">
        <f t="shared" si="0"/>
        <v>#VALUE!</v>
      </c>
      <c r="N21" s="121" t="e">
        <f t="shared" si="0"/>
        <v>#VALUE!</v>
      </c>
      <c r="O21" s="121" t="e">
        <f t="shared" si="0"/>
        <v>#VALUE!</v>
      </c>
      <c r="P21" s="121" t="e">
        <f t="shared" si="0"/>
        <v>#VALUE!</v>
      </c>
      <c r="Q21" s="122"/>
      <c r="R21" s="122"/>
      <c r="S21" s="121" t="e">
        <f t="shared" ref="S21:Z21" si="1">S4&amp;" "&amp;S3</f>
        <v>#VALUE!</v>
      </c>
      <c r="T21" s="121" t="e">
        <f t="shared" si="1"/>
        <v>#VALUE!</v>
      </c>
      <c r="U21" s="121" t="e">
        <f t="shared" si="1"/>
        <v>#VALUE!</v>
      </c>
      <c r="V21" s="121" t="e">
        <f t="shared" si="1"/>
        <v>#VALUE!</v>
      </c>
      <c r="W21" s="121" t="e">
        <f t="shared" si="1"/>
        <v>#VALUE!</v>
      </c>
      <c r="X21" s="121" t="e">
        <f t="shared" si="1"/>
        <v>#VALUE!</v>
      </c>
      <c r="Y21" s="121" t="e">
        <f t="shared" si="1"/>
        <v>#VALUE!</v>
      </c>
      <c r="Z21" s="121" t="e">
        <f t="shared" si="1"/>
        <v>#VALUE!</v>
      </c>
      <c r="AA21" s="122"/>
      <c r="AB21" s="121" t="e">
        <f>_xll.DBRA(Server&amp;$G$2,I$3,$H$18)</f>
        <v>#VALUE!</v>
      </c>
      <c r="AC21" s="121" t="e">
        <f>_xll.DBRA(Server&amp;$G$2,J$3,$H$18)</f>
        <v>#VALUE!</v>
      </c>
      <c r="AD21" s="121" t="e">
        <f>_xll.DBRA(Server&amp;$G$2,K$3,$H$18)</f>
        <v>#VALUE!</v>
      </c>
      <c r="AE21" s="121" t="e">
        <f>_xll.DBRA(Server&amp;$G$2,L$3,$H$18)</f>
        <v>#VALUE!</v>
      </c>
      <c r="AF21" s="121" t="e">
        <f>_xll.DBRA(Server&amp;$G$2,M$3,$H$18)</f>
        <v>#VALUE!</v>
      </c>
      <c r="AG21" s="121" t="e">
        <f>_xll.DBRA(Server&amp;$G$2,N$3,$H$18)</f>
        <v>#VALUE!</v>
      </c>
      <c r="AH21" s="121" t="e">
        <f>_xll.DBRA(Server&amp;$G$2,O$3,$H$18)</f>
        <v>#VALUE!</v>
      </c>
      <c r="AI21" s="121" t="e">
        <f>_xll.DBRA(Server&amp;$G$2,P$3,$H$18)</f>
        <v>#VALUE!</v>
      </c>
      <c r="AK21" s="161"/>
      <c r="AL21" s="161"/>
      <c r="AM21" s="161"/>
      <c r="AN21" s="161"/>
      <c r="AO21" s="161"/>
      <c r="AP21" s="161"/>
      <c r="AQ21" s="161"/>
      <c r="AR21" s="161"/>
    </row>
    <row r="22" spans="1:44" s="119" customFormat="1" ht="27.75" hidden="1" customHeight="1">
      <c r="A22" s="115"/>
      <c r="B22" s="115"/>
      <c r="C22" s="115"/>
      <c r="D22" s="115"/>
      <c r="E22" s="116"/>
      <c r="F22" s="117"/>
      <c r="G22" s="172"/>
      <c r="H22" s="172"/>
      <c r="I22" s="121" t="e">
        <f>I3</f>
        <v>#VALUE!</v>
      </c>
      <c r="J22" s="121" t="e">
        <f t="shared" ref="J22:P22" si="2">J3</f>
        <v>#VALUE!</v>
      </c>
      <c r="K22" s="121" t="e">
        <f t="shared" si="2"/>
        <v>#VALUE!</v>
      </c>
      <c r="L22" s="121" t="e">
        <f t="shared" si="2"/>
        <v>#VALUE!</v>
      </c>
      <c r="M22" s="121" t="e">
        <f t="shared" si="2"/>
        <v>#VALUE!</v>
      </c>
      <c r="N22" s="121" t="e">
        <f t="shared" si="2"/>
        <v>#VALUE!</v>
      </c>
      <c r="O22" s="121" t="e">
        <f t="shared" si="2"/>
        <v>#VALUE!</v>
      </c>
      <c r="P22" s="121" t="e">
        <f t="shared" si="2"/>
        <v>#VALUE!</v>
      </c>
      <c r="Q22" s="122"/>
      <c r="R22" s="122"/>
      <c r="S22" s="121" t="e">
        <f>S3</f>
        <v>#VALUE!</v>
      </c>
      <c r="T22" s="121" t="e">
        <f t="shared" ref="T22:Z22" si="3">T3</f>
        <v>#VALUE!</v>
      </c>
      <c r="U22" s="121" t="e">
        <f t="shared" si="3"/>
        <v>#VALUE!</v>
      </c>
      <c r="V22" s="121" t="e">
        <f t="shared" si="3"/>
        <v>#VALUE!</v>
      </c>
      <c r="W22" s="121" t="e">
        <f t="shared" si="3"/>
        <v>#VALUE!</v>
      </c>
      <c r="X22" s="121" t="e">
        <f t="shared" si="3"/>
        <v>#VALUE!</v>
      </c>
      <c r="Y22" s="121" t="e">
        <f t="shared" si="3"/>
        <v>#VALUE!</v>
      </c>
      <c r="Z22" s="121" t="e">
        <f t="shared" si="3"/>
        <v>#VALUE!</v>
      </c>
      <c r="AA22" s="122"/>
      <c r="AB22" s="121"/>
      <c r="AC22" s="121"/>
      <c r="AD22" s="121"/>
      <c r="AE22" s="121"/>
      <c r="AF22" s="121"/>
      <c r="AG22" s="121"/>
      <c r="AH22" s="121"/>
      <c r="AI22" s="121"/>
      <c r="AK22" s="161"/>
      <c r="AL22" s="161"/>
      <c r="AM22" s="161"/>
      <c r="AN22" s="161"/>
      <c r="AO22" s="161"/>
      <c r="AP22" s="161"/>
      <c r="AQ22" s="161"/>
      <c r="AR22" s="161"/>
    </row>
    <row r="23" spans="1:44" ht="8.25" customHeight="1" thickBot="1">
      <c r="B23" s="41"/>
      <c r="C23" s="41"/>
      <c r="D23" s="41">
        <v>2</v>
      </c>
      <c r="G23" s="123"/>
      <c r="H23" s="124"/>
      <c r="I23" s="125"/>
      <c r="J23" s="125"/>
      <c r="K23" s="125"/>
      <c r="L23" s="125"/>
      <c r="M23" s="125"/>
      <c r="N23" s="125"/>
      <c r="O23" s="125"/>
      <c r="P23" s="125"/>
      <c r="Q23" s="122"/>
      <c r="R23" s="122"/>
      <c r="S23" s="125"/>
      <c r="T23" s="125"/>
      <c r="U23" s="125"/>
      <c r="V23" s="125"/>
      <c r="W23" s="125"/>
      <c r="X23" s="125"/>
      <c r="Y23" s="125"/>
      <c r="Z23" s="125"/>
      <c r="AA23" s="122"/>
      <c r="AB23" s="125"/>
      <c r="AC23" s="125"/>
      <c r="AD23" s="125"/>
      <c r="AE23" s="125"/>
      <c r="AF23" s="125"/>
      <c r="AG23" s="125"/>
      <c r="AH23" s="125"/>
      <c r="AI23" s="125"/>
      <c r="AJ23" s="43"/>
      <c r="AK23" s="47"/>
      <c r="AL23" s="49"/>
      <c r="AM23" s="47"/>
      <c r="AN23" s="47"/>
      <c r="AO23" s="47"/>
      <c r="AP23" s="47"/>
      <c r="AQ23" s="47"/>
      <c r="AR23" s="47"/>
    </row>
    <row r="24" spans="1:44" ht="21.75" customHeight="1" thickBot="1">
      <c r="A24" s="50" t="s">
        <v>0</v>
      </c>
      <c r="B24" s="41"/>
      <c r="C24" s="41"/>
      <c r="D24" s="41">
        <v>3</v>
      </c>
      <c r="G24" s="185" t="str">
        <f>_xll.DBRA(Server&amp;$A$21,$A24,$H$18)</f>
        <v>Sales of goods and services</v>
      </c>
      <c r="H24" s="186"/>
      <c r="I24" s="126" t="e">
        <f>_xll.DBRW($G$3,$H$15,$H$17,$H$13,$H$16,$H$14,I$2,$H$12,$A24)</f>
        <v>#VALUE!</v>
      </c>
      <c r="J24" s="127" t="e">
        <f>_xll.DBRW($G$3,$H$15,$H$17,$H$13,$H$16,$H$14,J$2,$H$12,$A24)</f>
        <v>#VALUE!</v>
      </c>
      <c r="K24" s="127" t="e">
        <f>_xll.DBRW($G$3,$H$15,$H$17,$H$13,$H$16,$H$14,K$2,$H$12,$A24)</f>
        <v>#VALUE!</v>
      </c>
      <c r="L24" s="127" t="e">
        <f>_xll.DBRW($G$3,$H$15,$H$17,$H$13,$H$16,$H$14,L$2,$H$12,$A24)</f>
        <v>#VALUE!</v>
      </c>
      <c r="M24" s="127" t="e">
        <f>_xll.DBRW($G$3,$H$15,$H$17,$H$13,$H$16,$H$14,M$2,$H$12,$A24)</f>
        <v>#VALUE!</v>
      </c>
      <c r="N24" s="127" t="e">
        <f>_xll.DBRW($G$3,$H$15,$H$17,$H$13,$H$16,$H$14,N$2,$H$12,$A24)</f>
        <v>#VALUE!</v>
      </c>
      <c r="O24" s="127" t="e">
        <f>_xll.DBRW($G$3,$H$15,$H$17,$H$13,$H$16,$H$14,O$2,$H$12,$A24)</f>
        <v>#VALUE!</v>
      </c>
      <c r="P24" s="128" t="e">
        <f>_xll.DBRW($G$3,$H$15,$H$17,$H$13,$H$16,$H$14,P$2,$H$12,$A24)</f>
        <v>#VALUE!</v>
      </c>
      <c r="Q24" s="129"/>
      <c r="R24" s="129"/>
      <c r="S24" s="126" t="e">
        <f>_xll.DBRW($G$3,$U$15,$H$17,$U$13,$U$16,$U$14,S$2,$U$12,$A24)</f>
        <v>#VALUE!</v>
      </c>
      <c r="T24" s="127" t="e">
        <f>_xll.DBRW($G$3,$U$15,$H$17,$U$13,$U$16,$U$14,T$2,$U$12,$A24)</f>
        <v>#VALUE!</v>
      </c>
      <c r="U24" s="127" t="e">
        <f>_xll.DBRW($G$3,$U$15,$H$17,$U$13,$U$16,$U$14,U$2,$U$12,$A24)</f>
        <v>#VALUE!</v>
      </c>
      <c r="V24" s="127" t="e">
        <f>_xll.DBRW($G$3,$U$15,$H$17,$U$13,$U$16,$U$14,V$2,$U$12,$A24)</f>
        <v>#VALUE!</v>
      </c>
      <c r="W24" s="127" t="e">
        <f>_xll.DBRW($G$3,$U$15,$H$17,$U$13,$U$16,$U$14,W$2,$U$12,$A24)</f>
        <v>#VALUE!</v>
      </c>
      <c r="X24" s="127" t="e">
        <f>_xll.DBRW($G$3,$U$15,$H$17,$U$13,$U$16,$U$14,X$2,$U$12,$A24)</f>
        <v>#VALUE!</v>
      </c>
      <c r="Y24" s="127" t="e">
        <f>_xll.DBRW($G$3,$U$15,$H$17,$U$13,$U$16,$U$14,Y$2,$U$12,$A24)</f>
        <v>#VALUE!</v>
      </c>
      <c r="Z24" s="128" t="e">
        <f>_xll.DBRW($G$3,$U$15,$H$17,$U$13,$U$16,$U$14,Z$2,$U$12,$A24)</f>
        <v>#VALUE!</v>
      </c>
      <c r="AA24" s="129"/>
      <c r="AB24" s="126" t="e">
        <f>U24-I24</f>
        <v>#VALUE!</v>
      </c>
      <c r="AC24" s="126" t="e">
        <f t="shared" ref="AC24:AI24" si="4">V24-J24</f>
        <v>#VALUE!</v>
      </c>
      <c r="AD24" s="126" t="e">
        <f t="shared" si="4"/>
        <v>#VALUE!</v>
      </c>
      <c r="AE24" s="126" t="e">
        <f t="shared" si="4"/>
        <v>#VALUE!</v>
      </c>
      <c r="AF24" s="126" t="e">
        <f t="shared" si="4"/>
        <v>#VALUE!</v>
      </c>
      <c r="AG24" s="126" t="e">
        <f t="shared" si="4"/>
        <v>#VALUE!</v>
      </c>
      <c r="AH24" s="126" t="e">
        <f t="shared" si="4"/>
        <v>#VALUE!</v>
      </c>
      <c r="AI24" s="126" t="e">
        <f t="shared" si="4"/>
        <v>#VALUE!</v>
      </c>
      <c r="AJ24" s="43"/>
      <c r="AK24" s="47"/>
      <c r="AL24" s="47"/>
      <c r="AM24" s="47"/>
      <c r="AN24" s="47"/>
      <c r="AO24" s="47"/>
      <c r="AP24" s="47"/>
      <c r="AQ24" s="47"/>
      <c r="AR24" s="47"/>
    </row>
    <row r="25" spans="1:44" ht="21.75" customHeight="1" thickBot="1">
      <c r="A25" s="50" t="s">
        <v>1</v>
      </c>
      <c r="B25" s="41"/>
      <c r="C25" s="41"/>
      <c r="D25" s="41">
        <v>4</v>
      </c>
      <c r="G25" s="185" t="str">
        <f>_xll.DBRA(Server&amp;$A$21,$A25,$H$18)</f>
        <v>Revenues from operating financial assets (IFRIC12)</v>
      </c>
      <c r="H25" s="186"/>
      <c r="I25" s="126" t="e">
        <f>_xll.DBRW($G$3,$H$15,$H$17,$H$13,$H$16,$H$14,I$2,$H$12,$A25)</f>
        <v>#VALUE!</v>
      </c>
      <c r="J25" s="127" t="e">
        <f>_xll.DBRW($G$3,$H$15,$H$17,$H$13,$H$16,$H$14,J$2,$H$12,$A25)</f>
        <v>#VALUE!</v>
      </c>
      <c r="K25" s="127" t="e">
        <f>_xll.DBRW($G$3,$H$15,$H$17,$H$13,$H$16,$H$14,K$2,$H$12,$A25)</f>
        <v>#VALUE!</v>
      </c>
      <c r="L25" s="127" t="e">
        <f>_xll.DBRW($G$3,$H$15,$H$17,$H$13,$H$16,$H$14,L$2,$H$12,$A25)</f>
        <v>#VALUE!</v>
      </c>
      <c r="M25" s="127" t="e">
        <f>_xll.DBRW($G$3,$H$15,$H$17,$H$13,$H$16,$H$14,M$2,$H$12,$A25)</f>
        <v>#VALUE!</v>
      </c>
      <c r="N25" s="127" t="e">
        <f>_xll.DBRW($G$3,$H$15,$H$17,$H$13,$H$16,$H$14,N$2,$H$12,$A25)</f>
        <v>#VALUE!</v>
      </c>
      <c r="O25" s="127" t="e">
        <f>_xll.DBRW($G$3,$H$15,$H$17,$H$13,$H$16,$H$14,O$2,$H$12,$A25)</f>
        <v>#VALUE!</v>
      </c>
      <c r="P25" s="128" t="e">
        <f>_xll.DBRW($G$3,$H$15,$H$17,$H$13,$H$16,$H$14,P$2,$H$12,$A25)</f>
        <v>#VALUE!</v>
      </c>
      <c r="Q25" s="129"/>
      <c r="R25" s="129"/>
      <c r="S25" s="126" t="e">
        <f>_xll.DBRW($G$3,$U$15,$H$17,$U$13,$U$16,$U$14,S$2,$U$12,$A25)</f>
        <v>#VALUE!</v>
      </c>
      <c r="T25" s="127" t="e">
        <f>_xll.DBRW($G$3,$U$15,$H$17,$U$13,$U$16,$U$14,T$2,$U$12,$A25)</f>
        <v>#VALUE!</v>
      </c>
      <c r="U25" s="127" t="e">
        <f>_xll.DBRW($G$3,$U$15,$H$17,$U$13,$U$16,$U$14,U$2,$U$12,$A25)</f>
        <v>#VALUE!</v>
      </c>
      <c r="V25" s="127" t="e">
        <f>_xll.DBRW($G$3,$U$15,$H$17,$U$13,$U$16,$U$14,V$2,$U$12,$A25)</f>
        <v>#VALUE!</v>
      </c>
      <c r="W25" s="127" t="e">
        <f>_xll.DBRW($G$3,$U$15,$H$17,$U$13,$U$16,$U$14,W$2,$U$12,$A25)</f>
        <v>#VALUE!</v>
      </c>
      <c r="X25" s="127" t="e">
        <f>_xll.DBRW($G$3,$U$15,$H$17,$U$13,$U$16,$U$14,X$2,$U$12,$A25)</f>
        <v>#VALUE!</v>
      </c>
      <c r="Y25" s="127" t="e">
        <f>_xll.DBRW($G$3,$U$15,$H$17,$U$13,$U$16,$U$14,Y$2,$U$12,$A25)</f>
        <v>#VALUE!</v>
      </c>
      <c r="Z25" s="128" t="e">
        <f>_xll.DBRW($G$3,$U$15,$H$17,$U$13,$U$16,$U$14,Z$2,$U$12,$A25)</f>
        <v>#VALUE!</v>
      </c>
      <c r="AA25" s="129"/>
      <c r="AB25" s="126" t="e">
        <f>U25-I25</f>
        <v>#VALUE!</v>
      </c>
      <c r="AC25" s="126" t="e">
        <f t="shared" ref="AC25" si="5">V25-J25</f>
        <v>#VALUE!</v>
      </c>
      <c r="AD25" s="126" t="e">
        <f t="shared" ref="AD25" si="6">W25-K25</f>
        <v>#VALUE!</v>
      </c>
      <c r="AE25" s="126" t="e">
        <f t="shared" ref="AE25" si="7">X25-L25</f>
        <v>#VALUE!</v>
      </c>
      <c r="AF25" s="126" t="e">
        <f t="shared" ref="AF25" si="8">Y25-M25</f>
        <v>#VALUE!</v>
      </c>
      <c r="AG25" s="126" t="e">
        <f t="shared" ref="AG25" si="9">Z25-N25</f>
        <v>#VALUE!</v>
      </c>
      <c r="AH25" s="126" t="e">
        <f t="shared" ref="AH25" si="10">AA25-O25</f>
        <v>#VALUE!</v>
      </c>
      <c r="AI25" s="126" t="e">
        <f t="shared" ref="AI25" si="11">AB25-P25</f>
        <v>#VALUE!</v>
      </c>
      <c r="AJ25" s="43"/>
      <c r="AK25" s="47"/>
      <c r="AL25" s="52" t="s">
        <v>54</v>
      </c>
      <c r="AM25" s="47"/>
      <c r="AN25" s="47"/>
      <c r="AO25" s="47"/>
      <c r="AP25" s="53" t="s">
        <v>54</v>
      </c>
      <c r="AQ25" s="54" t="s">
        <v>60</v>
      </c>
      <c r="AR25" s="47"/>
    </row>
    <row r="26" spans="1:44" ht="21.75" customHeight="1" thickBot="1">
      <c r="A26" s="50" t="s">
        <v>49</v>
      </c>
      <c r="B26" s="41"/>
      <c r="C26" s="41"/>
      <c r="D26" s="41">
        <v>5</v>
      </c>
      <c r="G26" s="197" t="str">
        <f>_xll.DBRA(Server&amp;$A$21,$A26,$H$18)</f>
        <v>Revenue from ordinary activities</v>
      </c>
      <c r="H26" s="198"/>
      <c r="I26" s="130" t="e">
        <f>_xll.DBRW($G$3,$H$15,$H$17,$H$13,$H$16,$H$14,I$2,$H$12,$A26)</f>
        <v>#VALUE!</v>
      </c>
      <c r="J26" s="130" t="e">
        <f>_xll.DBRW($G$3,$H$15,$H$17,$H$13,$H$16,$H$14,J$2,$H$12,$A26)</f>
        <v>#VALUE!</v>
      </c>
      <c r="K26" s="130" t="e">
        <f>_xll.DBRW($G$3,$H$15,$H$17,$H$13,$H$16,$H$14,K$2,$H$12,$A26)</f>
        <v>#VALUE!</v>
      </c>
      <c r="L26" s="130" t="e">
        <f>_xll.DBRW($G$3,$H$15,$H$17,$H$13,$H$16,$H$14,L$2,$H$12,$A26)</f>
        <v>#VALUE!</v>
      </c>
      <c r="M26" s="130" t="e">
        <f>_xll.DBRW($G$3,$H$15,$H$17,$H$13,$H$16,$H$14,M$2,$H$12,$A26)</f>
        <v>#VALUE!</v>
      </c>
      <c r="N26" s="130" t="e">
        <f>_xll.DBRW($G$3,$H$15,$H$17,$H$13,$H$16,$H$14,N$2,$H$12,$A26)</f>
        <v>#VALUE!</v>
      </c>
      <c r="O26" s="130" t="e">
        <f>_xll.DBRW($G$3,$H$15,$H$17,$H$13,$H$16,$H$14,O$2,$H$12,$A26)</f>
        <v>#VALUE!</v>
      </c>
      <c r="P26" s="130" t="e">
        <f>_xll.DBRW($G$3,$H$15,$H$17,$H$13,$H$16,$H$14,P$2,$H$12,$A26)</f>
        <v>#VALUE!</v>
      </c>
      <c r="Q26" s="131" t="e">
        <f>SUM(I26:P26)-SUM(I24:P25)</f>
        <v>#VALUE!</v>
      </c>
      <c r="R26" s="131"/>
      <c r="S26" s="130" t="e">
        <f>_xll.DBRW($G$3,$U$15,$H$17,$U$13,$U$16,$U$14,S$2,$U$12,$A26)</f>
        <v>#VALUE!</v>
      </c>
      <c r="T26" s="130" t="e">
        <f>_xll.DBRW($G$3,$U$15,$H$17,$U$13,$U$16,$U$14,T$2,$U$12,$A26)</f>
        <v>#VALUE!</v>
      </c>
      <c r="U26" s="130" t="e">
        <f>_xll.DBRW($G$3,$U$15,$H$17,$U$13,$U$16,$U$14,U$2,$U$12,$A26)</f>
        <v>#VALUE!</v>
      </c>
      <c r="V26" s="130" t="e">
        <f>_xll.DBRW($G$3,$U$15,$H$17,$U$13,$U$16,$U$14,V$2,$U$12,$A26)</f>
        <v>#VALUE!</v>
      </c>
      <c r="W26" s="130" t="e">
        <f>_xll.DBRW($G$3,$U$15,$H$17,$U$13,$U$16,$U$14,W$2,$U$12,$A26)</f>
        <v>#VALUE!</v>
      </c>
      <c r="X26" s="130" t="e">
        <f>_xll.DBRW($G$3,$U$15,$H$17,$U$13,$U$16,$U$14,X$2,$U$12,$A26)</f>
        <v>#VALUE!</v>
      </c>
      <c r="Y26" s="130" t="e">
        <f>_xll.DBRW($G$3,$U$15,$H$17,$U$13,$U$16,$U$14,Y$2,$U$12,$A26)</f>
        <v>#VALUE!</v>
      </c>
      <c r="Z26" s="130" t="e">
        <f>_xll.DBRW($G$3,$U$15,$H$17,$U$13,$U$16,$U$14,Z$2,$U$12,$A26)</f>
        <v>#VALUE!</v>
      </c>
      <c r="AA26" s="131" t="e">
        <f>SUM(S26:Z26)-SUM(S24:Z25)</f>
        <v>#VALUE!</v>
      </c>
      <c r="AB26" s="130" t="e">
        <f>U26-I26</f>
        <v>#VALUE!</v>
      </c>
      <c r="AC26" s="130" t="e">
        <f t="shared" ref="AC26:AC46" si="12">V26-J26</f>
        <v>#VALUE!</v>
      </c>
      <c r="AD26" s="130" t="e">
        <f t="shared" ref="AD26:AD46" si="13">W26-K26</f>
        <v>#VALUE!</v>
      </c>
      <c r="AE26" s="130" t="e">
        <f t="shared" ref="AE26:AE46" si="14">X26-L26</f>
        <v>#VALUE!</v>
      </c>
      <c r="AF26" s="130" t="e">
        <f t="shared" ref="AF26:AF46" si="15">Y26-M26</f>
        <v>#VALUE!</v>
      </c>
      <c r="AG26" s="130" t="e">
        <f t="shared" ref="AG26:AG46" si="16">Z26-N26</f>
        <v>#VALUE!</v>
      </c>
      <c r="AH26" s="130" t="e">
        <f t="shared" ref="AH26:AH46" si="17">AA26-O26</f>
        <v>#VALUE!</v>
      </c>
      <c r="AI26" s="130" t="e">
        <f t="shared" ref="AI26:AI46" si="18">AB26-P26</f>
        <v>#VALUE!</v>
      </c>
      <c r="AJ26" s="43"/>
      <c r="AK26" s="47"/>
      <c r="AL26" s="55" t="s">
        <v>55</v>
      </c>
      <c r="AM26" s="56" t="s">
        <v>111</v>
      </c>
      <c r="AN26" s="56" t="s">
        <v>112</v>
      </c>
      <c r="AO26" s="47"/>
      <c r="AP26" s="57" t="s">
        <v>55</v>
      </c>
      <c r="AQ26" s="58" t="s">
        <v>62</v>
      </c>
      <c r="AR26" s="47"/>
    </row>
    <row r="27" spans="1:44" ht="21.75" customHeight="1">
      <c r="A27" s="85" t="s">
        <v>157</v>
      </c>
      <c r="B27" s="41"/>
      <c r="C27" s="41"/>
      <c r="D27" s="41">
        <v>6</v>
      </c>
      <c r="G27" s="185" t="str">
        <f>IF($H$18="English","Total operating costs excluding MF","Total coûts opérationnels hors MF")</f>
        <v>Total operating costs excluding MF</v>
      </c>
      <c r="H27" s="186"/>
      <c r="I27" s="126" t="e">
        <f t="shared" ref="I27:P27" si="19">I33-I26-I32</f>
        <v>#VALUE!</v>
      </c>
      <c r="J27" s="126" t="e">
        <f t="shared" si="19"/>
        <v>#VALUE!</v>
      </c>
      <c r="K27" s="126" t="e">
        <f t="shared" si="19"/>
        <v>#VALUE!</v>
      </c>
      <c r="L27" s="126" t="e">
        <f t="shared" si="19"/>
        <v>#VALUE!</v>
      </c>
      <c r="M27" s="126" t="e">
        <f t="shared" si="19"/>
        <v>#VALUE!</v>
      </c>
      <c r="N27" s="126" t="e">
        <f t="shared" si="19"/>
        <v>#VALUE!</v>
      </c>
      <c r="O27" s="126" t="e">
        <f t="shared" si="19"/>
        <v>#VALUE!</v>
      </c>
      <c r="P27" s="126" t="e">
        <f t="shared" si="19"/>
        <v>#VALUE!</v>
      </c>
      <c r="Q27" s="129" t="e">
        <f>SUM(I28:P31)-SUM(I27:P27)</f>
        <v>#VALUE!</v>
      </c>
      <c r="R27" s="129"/>
      <c r="S27" s="126" t="e">
        <f t="shared" ref="S27:Z27" si="20">S33-S26-S32</f>
        <v>#VALUE!</v>
      </c>
      <c r="T27" s="126" t="e">
        <f t="shared" si="20"/>
        <v>#VALUE!</v>
      </c>
      <c r="U27" s="126" t="e">
        <f t="shared" si="20"/>
        <v>#VALUE!</v>
      </c>
      <c r="V27" s="126" t="e">
        <f t="shared" si="20"/>
        <v>#VALUE!</v>
      </c>
      <c r="W27" s="126" t="e">
        <f t="shared" si="20"/>
        <v>#VALUE!</v>
      </c>
      <c r="X27" s="126" t="e">
        <f t="shared" si="20"/>
        <v>#VALUE!</v>
      </c>
      <c r="Y27" s="126" t="e">
        <f t="shared" si="20"/>
        <v>#VALUE!</v>
      </c>
      <c r="Z27" s="126" t="e">
        <f t="shared" si="20"/>
        <v>#VALUE!</v>
      </c>
      <c r="AA27" s="129" t="e">
        <f>SUM(S28:Z31)-SUM(S27:Z27)</f>
        <v>#VALUE!</v>
      </c>
      <c r="AB27" s="126" t="e">
        <f t="shared" ref="AB27:AB46" si="21">U27-I27</f>
        <v>#VALUE!</v>
      </c>
      <c r="AC27" s="126" t="e">
        <f t="shared" si="12"/>
        <v>#VALUE!</v>
      </c>
      <c r="AD27" s="126" t="e">
        <f t="shared" si="13"/>
        <v>#VALUE!</v>
      </c>
      <c r="AE27" s="126" t="e">
        <f t="shared" si="14"/>
        <v>#VALUE!</v>
      </c>
      <c r="AF27" s="126" t="e">
        <f t="shared" si="15"/>
        <v>#VALUE!</v>
      </c>
      <c r="AG27" s="126" t="e">
        <f t="shared" si="16"/>
        <v>#VALUE!</v>
      </c>
      <c r="AH27" s="126" t="e">
        <f t="shared" si="17"/>
        <v>#VALUE!</v>
      </c>
      <c r="AI27" s="126" t="e">
        <f t="shared" si="18"/>
        <v>#VALUE!</v>
      </c>
      <c r="AJ27" s="43"/>
      <c r="AK27" s="59"/>
      <c r="AL27" s="60"/>
      <c r="AM27" s="61"/>
      <c r="AN27" s="61"/>
      <c r="AO27" s="47"/>
      <c r="AP27" s="62"/>
      <c r="AQ27" s="62"/>
      <c r="AR27" s="47"/>
    </row>
    <row r="28" spans="1:44" ht="21.75" hidden="1" customHeight="1" outlineLevel="1" thickBot="1">
      <c r="A28" s="50" t="s">
        <v>139</v>
      </c>
      <c r="B28" s="85" t="s">
        <v>157</v>
      </c>
      <c r="C28" s="41"/>
      <c r="D28" s="41">
        <v>7</v>
      </c>
      <c r="G28" s="199" t="str">
        <f>_xll.DBRA(Server&amp;$A$21,$A28,$H$18)</f>
        <v>Operating costs excl.MF &amp; non cash items</v>
      </c>
      <c r="H28" s="200"/>
      <c r="I28" s="126" t="e">
        <f>IF(MID($H$12,5,4)&gt;"2019",_xll.DBRW($G$3,$H$15,$H$17,$H$13,$H$16,$H$14,I$2,$H$12,$A28),I27-SUM(I29:I31))</f>
        <v>#VALUE!</v>
      </c>
      <c r="J28" s="126" t="e">
        <f>IF(MID($H$12,5,4)&gt;"2019",_xll.DBRW($G$3,$H$15,$H$17,$H$13,$H$16,$H$14,J$2,$H$12,$A28),J27-SUM(J29:J31))</f>
        <v>#VALUE!</v>
      </c>
      <c r="K28" s="126" t="e">
        <f>IF(MID($H$12,5,4)&gt;"2019",_xll.DBRW($G$3,$H$15,$H$17,$H$13,$H$16,$H$14,K$2,$H$12,$A28),K27-SUM(K29:K31))</f>
        <v>#VALUE!</v>
      </c>
      <c r="L28" s="126" t="e">
        <f>IF(MID($H$12,5,4)&gt;"2019",_xll.DBRW($G$3,$H$15,$H$17,$H$13,$H$16,$H$14,L$2,$H$12,$A28),L27-SUM(L29:L31))</f>
        <v>#VALUE!</v>
      </c>
      <c r="M28" s="126" t="e">
        <f>IF(MID($H$12,5,4)&gt;"2019",_xll.DBRW($G$3,$H$15,$H$17,$H$13,$H$16,$H$14,M$2,$H$12,$A28),M27-SUM(M29:M31))</f>
        <v>#VALUE!</v>
      </c>
      <c r="N28" s="126" t="e">
        <f>IF(MID($H$12,5,4)&gt;"2019",_xll.DBRW($G$3,$H$15,$H$17,$H$13,$H$16,$H$14,N$2,$H$12,$A28),N27-SUM(N29:N31))</f>
        <v>#VALUE!</v>
      </c>
      <c r="O28" s="126" t="e">
        <f>IF(MID($H$12,5,4)&gt;"2019",_xll.DBRW($G$3,$H$15,$H$17,$H$13,$H$16,$H$14,O$2,$H$12,$A28),O27-SUM(O29:O31))</f>
        <v>#VALUE!</v>
      </c>
      <c r="P28" s="126" t="e">
        <f>IF(MID($H$12,5,4)&gt;"2019",_xll.DBRW($G$3,$H$15,$H$17,$H$13,$H$16,$H$14,P$2,$H$12,$A28),P27-SUM(P29:P31))</f>
        <v>#VALUE!</v>
      </c>
      <c r="Q28" s="129"/>
      <c r="R28" s="129"/>
      <c r="S28" s="126" t="e">
        <f>IF(MID($U$12,5,4)&gt;"2019",_xll.DBRW($G$3,$U$15,$H$17,$U$13,$U$16,$U$14,S$2,$U$12,$A28),S27-SUM(S29:S31))</f>
        <v>#VALUE!</v>
      </c>
      <c r="T28" s="126" t="e">
        <f>IF(MID($U$12,5,4)&gt;"2019",_xll.DBRW($G$3,$U$15,$H$17,$U$13,$U$16,$U$14,T$2,$U$12,$A28),T27-SUM(T29:T31))</f>
        <v>#VALUE!</v>
      </c>
      <c r="U28" s="126" t="e">
        <f>IF(MID($U$12,5,4)&gt;"2019",_xll.DBRW($G$3,$U$15,$H$17,$U$13,$U$16,$U$14,U$2,$U$12,$A28),U27-SUM(U29:U31))</f>
        <v>#VALUE!</v>
      </c>
      <c r="V28" s="126" t="e">
        <f>IF(MID($U$12,5,4)&gt;"2019",_xll.DBRW($G$3,$U$15,$H$17,$U$13,$U$16,$U$14,V$2,$U$12,$A28),V27-SUM(V29:V31))</f>
        <v>#VALUE!</v>
      </c>
      <c r="W28" s="126" t="e">
        <f>IF(MID($U$12,5,4)&gt;"2019",_xll.DBRW($G$3,$U$15,$H$17,$U$13,$U$16,$U$14,W$2,$U$12,$A28),W27-SUM(W29:W31))</f>
        <v>#VALUE!</v>
      </c>
      <c r="X28" s="126" t="e">
        <f>IF(MID($U$12,5,4)&gt;"2019",_xll.DBRW($G$3,$U$15,$H$17,$U$13,$U$16,$U$14,X$2,$U$12,$A28),X27-SUM(X29:X31))</f>
        <v>#VALUE!</v>
      </c>
      <c r="Y28" s="126" t="e">
        <f>IF(MID($U$12,5,4)&gt;"2019",_xll.DBRW($G$3,$U$15,$H$17,$U$13,$U$16,$U$14,Y$2,$U$12,$A28),Y27-SUM(Y29:Y31))</f>
        <v>#VALUE!</v>
      </c>
      <c r="Z28" s="126" t="e">
        <f>IF(MID($U$12,5,4)&gt;"2019",_xll.DBRW($G$3,$U$15,$H$17,$U$13,$U$16,$U$14,Z$2,$U$12,$A28),Z27-SUM(Z29:Z31))</f>
        <v>#VALUE!</v>
      </c>
      <c r="AA28" s="129"/>
      <c r="AB28" s="126" t="e">
        <f t="shared" si="21"/>
        <v>#VALUE!</v>
      </c>
      <c r="AC28" s="126" t="e">
        <f t="shared" si="12"/>
        <v>#VALUE!</v>
      </c>
      <c r="AD28" s="126" t="e">
        <f t="shared" si="13"/>
        <v>#VALUE!</v>
      </c>
      <c r="AE28" s="126" t="e">
        <f t="shared" si="14"/>
        <v>#VALUE!</v>
      </c>
      <c r="AF28" s="126" t="e">
        <f t="shared" si="15"/>
        <v>#VALUE!</v>
      </c>
      <c r="AG28" s="126" t="e">
        <f t="shared" si="16"/>
        <v>#VALUE!</v>
      </c>
      <c r="AH28" s="126" t="e">
        <f t="shared" si="17"/>
        <v>#VALUE!</v>
      </c>
      <c r="AI28" s="126" t="e">
        <f t="shared" si="18"/>
        <v>#VALUE!</v>
      </c>
      <c r="AJ28" s="43"/>
      <c r="AK28" s="59"/>
      <c r="AL28" s="60" t="s">
        <v>113</v>
      </c>
      <c r="AM28" s="61" t="str">
        <f>_xll.DBRA(Server&amp;"LTP_Components",$AL40,$H$18)</f>
        <v>Total - Long Term Plan</v>
      </c>
      <c r="AN28" s="61" t="e">
        <f>_xll.DBR(Server&amp;"z_Client_Properties","LTP_Corp_Security",_xll.TM1USER(xServer))</f>
        <v>#VALUE!</v>
      </c>
      <c r="AO28" s="47"/>
      <c r="AP28" s="62" t="s">
        <v>56</v>
      </c>
      <c r="AQ28" s="62" t="s">
        <v>63</v>
      </c>
      <c r="AR28" s="47"/>
    </row>
    <row r="29" spans="1:44" ht="21.75" hidden="1" customHeight="1" outlineLevel="1">
      <c r="A29" s="50" t="s">
        <v>134</v>
      </c>
      <c r="B29" s="41" t="s">
        <v>140</v>
      </c>
      <c r="C29" s="41"/>
      <c r="D29" s="41">
        <v>8</v>
      </c>
      <c r="G29" s="199" t="str">
        <f>_xll.DBRA(Server&amp;$A$21,$A29,$H$18)</f>
        <v>Amortization</v>
      </c>
      <c r="H29" s="200"/>
      <c r="I29" s="126" t="e">
        <f>-_xll.DBRW($G$3,$H$15,$H$17,$H$13,$H$16,$H$14,I$2,$H$12,$B29)+_xll.DBRW($G$3,$H$15,$H$17,$H$13,$H$16,$H$14,I$2,$H$12,$A29)</f>
        <v>#VALUE!</v>
      </c>
      <c r="J29" s="126" t="e">
        <f>-_xll.DBRW($G$3,$H$15,$H$17,$H$13,$H$16,$H$14,J$2,$H$12,$B29)+_xll.DBRW($G$3,$H$15,$H$17,$H$13,$H$16,$H$14,J$2,$H$12,$A29)</f>
        <v>#VALUE!</v>
      </c>
      <c r="K29" s="126" t="e">
        <f>-_xll.DBRW($G$3,$H$15,$H$17,$H$13,$H$16,$H$14,K$2,$H$12,$B29)+_xll.DBRW($G$3,$H$15,$H$17,$H$13,$H$16,$H$14,K$2,$H$12,$A29)</f>
        <v>#VALUE!</v>
      </c>
      <c r="L29" s="126" t="e">
        <f>-_xll.DBRW($G$3,$H$15,$H$17,$H$13,$H$16,$H$14,L$2,$H$12,$B29)+_xll.DBRW($G$3,$H$15,$H$17,$H$13,$H$16,$H$14,L$2,$H$12,$A29)</f>
        <v>#VALUE!</v>
      </c>
      <c r="M29" s="126" t="e">
        <f>-_xll.DBRW($G$3,$H$15,$H$17,$H$13,$H$16,$H$14,M$2,$H$12,$B29)+_xll.DBRW($G$3,$H$15,$H$17,$H$13,$H$16,$H$14,M$2,$H$12,$A29)</f>
        <v>#VALUE!</v>
      </c>
      <c r="N29" s="126" t="e">
        <f>-_xll.DBRW($G$3,$H$15,$H$17,$H$13,$H$16,$H$14,N$2,$H$12,$B29)+_xll.DBRW($G$3,$H$15,$H$17,$H$13,$H$16,$H$14,N$2,$H$12,$A29)</f>
        <v>#VALUE!</v>
      </c>
      <c r="O29" s="126" t="e">
        <f>-_xll.DBRW($G$3,$H$15,$H$17,$H$13,$H$16,$H$14,O$2,$H$12,$B29)+_xll.DBRW($G$3,$H$15,$H$17,$H$13,$H$16,$H$14,O$2,$H$12,$A29)</f>
        <v>#VALUE!</v>
      </c>
      <c r="P29" s="126" t="e">
        <f>-_xll.DBRW($G$3,$H$15,$H$17,$H$13,$H$16,$H$14,P$2,$H$12,$B29)+_xll.DBRW($G$3,$H$15,$H$17,$H$13,$H$16,$H$14,P$2,$H$12,$A29)</f>
        <v>#VALUE!</v>
      </c>
      <c r="Q29" s="129"/>
      <c r="R29" s="129"/>
      <c r="S29" s="126" t="e">
        <f>-_xll.DBRW($G$3,$U$15,$H$17,$U$13,$U$16,$U$14,S$2,$U$12,$B29)+_xll.DBRW($G$3,$U$15,$H$17,$U$13,$U$16,$U$14,S$2,$U$12,$A29)</f>
        <v>#VALUE!</v>
      </c>
      <c r="T29" s="126" t="e">
        <f>-_xll.DBRW($G$3,$U$15,$H$17,$U$13,$U$16,$U$14,T$2,$U$12,$B29)+_xll.DBRW($G$3,$U$15,$H$17,$U$13,$U$16,$U$14,T$2,$U$12,$A29)</f>
        <v>#VALUE!</v>
      </c>
      <c r="U29" s="126" t="e">
        <f>-_xll.DBRW($G$3,$U$15,$H$17,$U$13,$U$16,$U$14,U$2,$U$12,$B29)+_xll.DBRW($G$3,$U$15,$H$17,$U$13,$U$16,$U$14,U$2,$U$12,$A29)</f>
        <v>#VALUE!</v>
      </c>
      <c r="V29" s="126" t="e">
        <f>-_xll.DBRW($G$3,$U$15,$H$17,$U$13,$U$16,$U$14,V$2,$U$12,$B29)+_xll.DBRW($G$3,$U$15,$H$17,$U$13,$U$16,$U$14,V$2,$U$12,$A29)</f>
        <v>#VALUE!</v>
      </c>
      <c r="W29" s="126" t="e">
        <f>-_xll.DBRW($G$3,$U$15,$H$17,$U$13,$U$16,$U$14,W$2,$U$12,$B29)+_xll.DBRW($G$3,$U$15,$H$17,$U$13,$U$16,$U$14,W$2,$U$12,$A29)</f>
        <v>#VALUE!</v>
      </c>
      <c r="X29" s="126" t="e">
        <f>-_xll.DBRW($G$3,$U$15,$H$17,$U$13,$U$16,$U$14,X$2,$U$12,$B29)+_xll.DBRW($G$3,$U$15,$H$17,$U$13,$U$16,$U$14,X$2,$U$12,$A29)</f>
        <v>#VALUE!</v>
      </c>
      <c r="Y29" s="126" t="e">
        <f>-_xll.DBRW($G$3,$U$15,$H$17,$U$13,$U$16,$U$14,Y$2,$U$12,$B29)+_xll.DBRW($G$3,$U$15,$H$17,$U$13,$U$16,$U$14,Y$2,$U$12,$A29)</f>
        <v>#VALUE!</v>
      </c>
      <c r="Z29" s="126" t="e">
        <f>-_xll.DBRW($G$3,$U$15,$H$17,$U$13,$U$16,$U$14,Z$2,$U$12,$B29)+_xll.DBRW($G$3,$U$15,$H$17,$U$13,$U$16,$U$14,Z$2,$U$12,$A29)</f>
        <v>#VALUE!</v>
      </c>
      <c r="AA29" s="129"/>
      <c r="AB29" s="126" t="e">
        <f t="shared" si="21"/>
        <v>#VALUE!</v>
      </c>
      <c r="AC29" s="126" t="e">
        <f t="shared" si="12"/>
        <v>#VALUE!</v>
      </c>
      <c r="AD29" s="126" t="e">
        <f t="shared" si="13"/>
        <v>#VALUE!</v>
      </c>
      <c r="AE29" s="126" t="e">
        <f t="shared" si="14"/>
        <v>#VALUE!</v>
      </c>
      <c r="AF29" s="126" t="e">
        <f t="shared" si="15"/>
        <v>#VALUE!</v>
      </c>
      <c r="AG29" s="126" t="e">
        <f t="shared" si="16"/>
        <v>#VALUE!</v>
      </c>
      <c r="AH29" s="126" t="e">
        <f t="shared" si="17"/>
        <v>#VALUE!</v>
      </c>
      <c r="AI29" s="126" t="e">
        <f t="shared" si="18"/>
        <v>#VALUE!</v>
      </c>
      <c r="AJ29" s="43"/>
      <c r="AK29" s="59"/>
      <c r="AL29" s="60" t="s">
        <v>53</v>
      </c>
      <c r="AM29" s="63" t="str">
        <f>_xll.DBRA(Server&amp;"LTP_Components",$AL44,$H$18)</f>
        <v>Long Term Plan - Country</v>
      </c>
      <c r="AN29" s="61" t="e">
        <f>IF($AN$28 = "1",$AM$28,$AM$29)</f>
        <v>#VALUE!</v>
      </c>
      <c r="AO29" s="47"/>
      <c r="AP29" s="62" t="s">
        <v>57</v>
      </c>
      <c r="AQ29" s="62" t="s">
        <v>64</v>
      </c>
      <c r="AR29" s="47"/>
    </row>
    <row r="30" spans="1:44" ht="21.75" hidden="1" customHeight="1" outlineLevel="1" thickBot="1">
      <c r="A30" s="50" t="s">
        <v>135</v>
      </c>
      <c r="B30" s="41" t="s">
        <v>141</v>
      </c>
      <c r="C30" s="41"/>
      <c r="D30" s="41">
        <v>9</v>
      </c>
      <c r="G30" s="199" t="str">
        <f>_xll.DBRA(Server&amp;$A$21,$A30,$H$18)</f>
        <v>Provisions</v>
      </c>
      <c r="H30" s="200"/>
      <c r="I30" s="126" t="e">
        <f>-_xll.DBRW($G$3,$H$15,$H$17,$H$13,$H$16,$H$14,I$2,$H$12,$B30)+_xll.DBRW($G$3,$H$15,$H$17,$H$13,$H$16,$H$14,I$2,$H$12,$A30)</f>
        <v>#VALUE!</v>
      </c>
      <c r="J30" s="126" t="e">
        <f>-_xll.DBRW($G$3,$H$15,$H$17,$H$13,$H$16,$H$14,J$2,$H$12,$B30)+_xll.DBRW($G$3,$H$15,$H$17,$H$13,$H$16,$H$14,J$2,$H$12,$A30)</f>
        <v>#VALUE!</v>
      </c>
      <c r="K30" s="126" t="e">
        <f>-_xll.DBRW($G$3,$H$15,$H$17,$H$13,$H$16,$H$14,K$2,$H$12,$B30)+_xll.DBRW($G$3,$H$15,$H$17,$H$13,$H$16,$H$14,K$2,$H$12,$A30)</f>
        <v>#VALUE!</v>
      </c>
      <c r="L30" s="126" t="e">
        <f>-_xll.DBRW($G$3,$H$15,$H$17,$H$13,$H$16,$H$14,L$2,$H$12,$B30)+_xll.DBRW($G$3,$H$15,$H$17,$H$13,$H$16,$H$14,L$2,$H$12,$A30)</f>
        <v>#VALUE!</v>
      </c>
      <c r="M30" s="126" t="e">
        <f>-_xll.DBRW($G$3,$H$15,$H$17,$H$13,$H$16,$H$14,M$2,$H$12,$B30)+_xll.DBRW($G$3,$H$15,$H$17,$H$13,$H$16,$H$14,M$2,$H$12,$A30)</f>
        <v>#VALUE!</v>
      </c>
      <c r="N30" s="126" t="e">
        <f>-_xll.DBRW($G$3,$H$15,$H$17,$H$13,$H$16,$H$14,N$2,$H$12,$B30)+_xll.DBRW($G$3,$H$15,$H$17,$H$13,$H$16,$H$14,N$2,$H$12,$A30)</f>
        <v>#VALUE!</v>
      </c>
      <c r="O30" s="126" t="e">
        <f>-_xll.DBRW($G$3,$H$15,$H$17,$H$13,$H$16,$H$14,O$2,$H$12,$B30)+_xll.DBRW($G$3,$H$15,$H$17,$H$13,$H$16,$H$14,O$2,$H$12,$A30)</f>
        <v>#VALUE!</v>
      </c>
      <c r="P30" s="126" t="e">
        <f>-_xll.DBRW($G$3,$H$15,$H$17,$H$13,$H$16,$H$14,P$2,$H$12,$B30)+_xll.DBRW($G$3,$H$15,$H$17,$H$13,$H$16,$H$14,P$2,$H$12,$A30)</f>
        <v>#VALUE!</v>
      </c>
      <c r="Q30" s="129"/>
      <c r="R30" s="129"/>
      <c r="S30" s="126" t="e">
        <f>-_xll.DBRW($G$3,$U$15,$H$17,$U$13,$U$16,$U$14,S$2,$U$12,$B30)+_xll.DBRW($G$3,$U$15,$H$17,$U$13,$U$16,$U$14,S$2,$U$12,$A30)</f>
        <v>#VALUE!</v>
      </c>
      <c r="T30" s="126" t="e">
        <f>-_xll.DBRW($G$3,$U$15,$H$17,$U$13,$U$16,$U$14,T$2,$U$12,$B30)+_xll.DBRW($G$3,$U$15,$H$17,$U$13,$U$16,$U$14,T$2,$U$12,$A30)</f>
        <v>#VALUE!</v>
      </c>
      <c r="U30" s="126" t="e">
        <f>-_xll.DBRW($G$3,$U$15,$H$17,$U$13,$U$16,$U$14,U$2,$U$12,$B30)+_xll.DBRW($G$3,$U$15,$H$17,$U$13,$U$16,$U$14,U$2,$U$12,$A30)</f>
        <v>#VALUE!</v>
      </c>
      <c r="V30" s="126" t="e">
        <f>-_xll.DBRW($G$3,$U$15,$H$17,$U$13,$U$16,$U$14,V$2,$U$12,$B30)+_xll.DBRW($G$3,$U$15,$H$17,$U$13,$U$16,$U$14,V$2,$U$12,$A30)</f>
        <v>#VALUE!</v>
      </c>
      <c r="W30" s="126" t="e">
        <f>-_xll.DBRW($G$3,$U$15,$H$17,$U$13,$U$16,$U$14,W$2,$U$12,$B30)+_xll.DBRW($G$3,$U$15,$H$17,$U$13,$U$16,$U$14,W$2,$U$12,$A30)</f>
        <v>#VALUE!</v>
      </c>
      <c r="X30" s="126" t="e">
        <f>-_xll.DBRW($G$3,$U$15,$H$17,$U$13,$U$16,$U$14,X$2,$U$12,$B30)+_xll.DBRW($G$3,$U$15,$H$17,$U$13,$U$16,$U$14,X$2,$U$12,$A30)</f>
        <v>#VALUE!</v>
      </c>
      <c r="Y30" s="126" t="e">
        <f>-_xll.DBRW($G$3,$U$15,$H$17,$U$13,$U$16,$U$14,Y$2,$U$12,$B30)+_xll.DBRW($G$3,$U$15,$H$17,$U$13,$U$16,$U$14,Y$2,$U$12,$A30)</f>
        <v>#VALUE!</v>
      </c>
      <c r="Z30" s="126" t="e">
        <f>-_xll.DBRW($G$3,$U$15,$H$17,$U$13,$U$16,$U$14,Z$2,$U$12,$B30)+_xll.DBRW($G$3,$U$15,$H$17,$U$13,$U$16,$U$14,Z$2,$U$12,$A30)</f>
        <v>#VALUE!</v>
      </c>
      <c r="AA30" s="129"/>
      <c r="AB30" s="126" t="e">
        <f t="shared" si="21"/>
        <v>#VALUE!</v>
      </c>
      <c r="AC30" s="126" t="e">
        <f t="shared" si="12"/>
        <v>#VALUE!</v>
      </c>
      <c r="AD30" s="126" t="e">
        <f t="shared" si="13"/>
        <v>#VALUE!</v>
      </c>
      <c r="AE30" s="126" t="e">
        <f t="shared" si="14"/>
        <v>#VALUE!</v>
      </c>
      <c r="AF30" s="126" t="e">
        <f t="shared" si="15"/>
        <v>#VALUE!</v>
      </c>
      <c r="AG30" s="126" t="e">
        <f t="shared" si="16"/>
        <v>#VALUE!</v>
      </c>
      <c r="AH30" s="126" t="e">
        <f t="shared" si="17"/>
        <v>#VALUE!</v>
      </c>
      <c r="AI30" s="126" t="e">
        <f t="shared" si="18"/>
        <v>#VALUE!</v>
      </c>
      <c r="AJ30" s="43"/>
      <c r="AK30" s="59"/>
      <c r="AL30" s="65" t="s">
        <v>83</v>
      </c>
      <c r="AM30" s="47"/>
      <c r="AN30" s="47"/>
      <c r="AO30" s="47"/>
      <c r="AP30" s="62" t="s">
        <v>75</v>
      </c>
      <c r="AQ30" s="62" t="s">
        <v>65</v>
      </c>
      <c r="AR30" s="47"/>
    </row>
    <row r="31" spans="1:44" ht="21.75" hidden="1" customHeight="1" outlineLevel="1">
      <c r="A31" s="77" t="s">
        <v>136</v>
      </c>
      <c r="B31" s="85" t="s">
        <v>157</v>
      </c>
      <c r="C31" s="41"/>
      <c r="D31" s="41">
        <v>10</v>
      </c>
      <c r="G31" s="199" t="str">
        <f>_xll.DBRA(Server&amp;$A$21,$A31,$H$18)</f>
        <v>Other non cash items (Gain or loss on sales, Impairment)</v>
      </c>
      <c r="H31" s="200"/>
      <c r="I31" s="126" t="e">
        <f>IF(MID($H$12,5,4)&gt;"2019",_xll.DBRW($G$3,$H$15,$H$17,$H$13,$H$16,$H$14,I$2,$H$12,$A31),-I53)</f>
        <v>#VALUE!</v>
      </c>
      <c r="J31" s="126" t="e">
        <f>IF(MID($H$12,5,4)&gt;"2019",_xll.DBRW($G$3,$H$15,$H$17,$H$13,$H$16,$H$14,J$2,$H$12,$A31),-J53)</f>
        <v>#VALUE!</v>
      </c>
      <c r="K31" s="126" t="e">
        <f>IF(MID($H$12,5,4)&gt;"2019",_xll.DBRW($G$3,$H$15,$H$17,$H$13,$H$16,$H$14,K$2,$H$12,$A31),-K53)</f>
        <v>#VALUE!</v>
      </c>
      <c r="L31" s="126" t="e">
        <f>IF(MID($H$12,5,4)&gt;"2019",_xll.DBRW($G$3,$H$15,$H$17,$H$13,$H$16,$H$14,L$2,$H$12,$A31),-L53)</f>
        <v>#VALUE!</v>
      </c>
      <c r="M31" s="126" t="e">
        <f>IF(MID($H$12,5,4)&gt;"2019",_xll.DBRW($G$3,$H$15,$H$17,$H$13,$H$16,$H$14,M$2,$H$12,$A31),-M53)</f>
        <v>#VALUE!</v>
      </c>
      <c r="N31" s="126" t="e">
        <f>IF(MID($H$12,5,4)&gt;"2019",_xll.DBRW($G$3,$H$15,$H$17,$H$13,$H$16,$H$14,N$2,$H$12,$A31),-N53)</f>
        <v>#VALUE!</v>
      </c>
      <c r="O31" s="126" t="e">
        <f>IF(MID($H$12,5,4)&gt;"2019",_xll.DBRW($G$3,$H$15,$H$17,$H$13,$H$16,$H$14,O$2,$H$12,$A31),-O53)</f>
        <v>#VALUE!</v>
      </c>
      <c r="P31" s="126" t="e">
        <f>IF(MID($H$12,5,4)&gt;"2019",_xll.DBRW($G$3,$H$15,$H$17,$H$13,$H$16,$H$14,P$2,$H$12,$A31),-P53)</f>
        <v>#VALUE!</v>
      </c>
      <c r="Q31" s="129"/>
      <c r="R31" s="129"/>
      <c r="S31" s="126" t="e">
        <f>IF(MID($U$12,5,4)&gt;"2019",_xll.DBRW($G$3,$U$15,$H$17,$U$13,$U$16,$U$14,S$2,$U$12,$A31),-S53)</f>
        <v>#VALUE!</v>
      </c>
      <c r="T31" s="126" t="e">
        <f>IF(MID($U$12,5,4)&gt;"2019",_xll.DBRW($G$3,$U$15,$H$17,$U$13,$U$16,$U$14,T$2,$U$12,$A31),-T53)</f>
        <v>#VALUE!</v>
      </c>
      <c r="U31" s="126" t="e">
        <f>IF(MID($U$12,5,4)&gt;"2019",_xll.DBRW($G$3,$U$15,$H$17,$U$13,$U$16,$U$14,U$2,$U$12,$A31),-U53)</f>
        <v>#VALUE!</v>
      </c>
      <c r="V31" s="126" t="e">
        <f>IF(MID($U$12,5,4)&gt;"2019",_xll.DBRW($G$3,$U$15,$H$17,$U$13,$U$16,$U$14,V$2,$U$12,$A31),-V53)</f>
        <v>#VALUE!</v>
      </c>
      <c r="W31" s="126" t="e">
        <f>IF(MID($U$12,5,4)&gt;"2019",_xll.DBRW($G$3,$U$15,$H$17,$U$13,$U$16,$U$14,W$2,$U$12,$A31),-W53)</f>
        <v>#VALUE!</v>
      </c>
      <c r="X31" s="126" t="e">
        <f>IF(MID($U$12,5,4)&gt;"2019",_xll.DBRW($G$3,$U$15,$H$17,$U$13,$U$16,$U$14,X$2,$U$12,$A31),-X53)</f>
        <v>#VALUE!</v>
      </c>
      <c r="Y31" s="126" t="e">
        <f>IF(MID($U$12,5,4)&gt;"2019",_xll.DBRW($G$3,$U$15,$H$17,$U$13,$U$16,$U$14,Y$2,$U$12,$A31),-Y53)</f>
        <v>#VALUE!</v>
      </c>
      <c r="Z31" s="126" t="e">
        <f>IF(MID($U$12,5,4)&gt;"2019",_xll.DBRW($G$3,$U$15,$H$17,$U$13,$U$16,$U$14,Z$2,$U$12,$A31),-Z53)</f>
        <v>#VALUE!</v>
      </c>
      <c r="AA31" s="129"/>
      <c r="AB31" s="126" t="e">
        <f t="shared" si="21"/>
        <v>#VALUE!</v>
      </c>
      <c r="AC31" s="126" t="e">
        <f t="shared" si="12"/>
        <v>#VALUE!</v>
      </c>
      <c r="AD31" s="126" t="e">
        <f t="shared" si="13"/>
        <v>#VALUE!</v>
      </c>
      <c r="AE31" s="126" t="e">
        <f t="shared" si="14"/>
        <v>#VALUE!</v>
      </c>
      <c r="AF31" s="126" t="e">
        <f t="shared" si="15"/>
        <v>#VALUE!</v>
      </c>
      <c r="AG31" s="126" t="e">
        <f t="shared" si="16"/>
        <v>#VALUE!</v>
      </c>
      <c r="AH31" s="126" t="e">
        <f t="shared" si="17"/>
        <v>#VALUE!</v>
      </c>
      <c r="AI31" s="126" t="e">
        <f t="shared" si="18"/>
        <v>#VALUE!</v>
      </c>
      <c r="AJ31" s="43"/>
      <c r="AK31" s="59"/>
      <c r="AL31" s="49" t="s">
        <v>84</v>
      </c>
      <c r="AM31" s="66" t="s">
        <v>116</v>
      </c>
      <c r="AN31" s="47"/>
      <c r="AO31" s="47"/>
      <c r="AP31" s="62"/>
      <c r="AQ31" s="62"/>
      <c r="AR31" s="47"/>
    </row>
    <row r="32" spans="1:44" ht="21.75" customHeight="1" collapsed="1" thickBot="1">
      <c r="A32" s="50" t="s">
        <v>137</v>
      </c>
      <c r="B32" s="64" t="s">
        <v>142</v>
      </c>
      <c r="C32" s="41"/>
      <c r="D32" s="41">
        <v>11</v>
      </c>
      <c r="G32" s="185" t="str">
        <f>_xll.DBRA(Server&amp;$A$21,$A32,$H$18)</f>
        <v>Profit or loss of associates &amp; JV</v>
      </c>
      <c r="H32" s="186"/>
      <c r="I32" s="126" t="e">
        <f>_xll.DBRW($G$3,$H$15,$H$17,$H$13,$H$16,$H$14,I$2,$H$12,$B32)+_xll.DBRW($G$3,$H$15,$H$17,$H$13,$H$16,$H$14,I$2,$H$12,$A32)</f>
        <v>#VALUE!</v>
      </c>
      <c r="J32" s="126" t="e">
        <f>_xll.DBRW($G$3,$H$15,$H$17,$H$13,$H$16,$H$14,J$2,$H$12,$B32)+_xll.DBRW($G$3,$H$15,$H$17,$H$13,$H$16,$H$14,J$2,$H$12,$A32)</f>
        <v>#VALUE!</v>
      </c>
      <c r="K32" s="126" t="e">
        <f>_xll.DBRW($G$3,$H$15,$H$17,$H$13,$H$16,$H$14,K$2,$H$12,$B32)+_xll.DBRW($G$3,$H$15,$H$17,$H$13,$H$16,$H$14,K$2,$H$12,$A32)</f>
        <v>#VALUE!</v>
      </c>
      <c r="L32" s="126" t="e">
        <f>_xll.DBRW($G$3,$H$15,$H$17,$H$13,$H$16,$H$14,L$2,$H$12,$B32)+_xll.DBRW($G$3,$H$15,$H$17,$H$13,$H$16,$H$14,L$2,$H$12,$A32)</f>
        <v>#VALUE!</v>
      </c>
      <c r="M32" s="126" t="e">
        <f>_xll.DBRW($G$3,$H$15,$H$17,$H$13,$H$16,$H$14,M$2,$H$12,$B32)+_xll.DBRW($G$3,$H$15,$H$17,$H$13,$H$16,$H$14,M$2,$H$12,$A32)</f>
        <v>#VALUE!</v>
      </c>
      <c r="N32" s="126" t="e">
        <f>_xll.DBRW($G$3,$H$15,$H$17,$H$13,$H$16,$H$14,N$2,$H$12,$B32)+_xll.DBRW($G$3,$H$15,$H$17,$H$13,$H$16,$H$14,N$2,$H$12,$A32)</f>
        <v>#VALUE!</v>
      </c>
      <c r="O32" s="126" t="e">
        <f>_xll.DBRW($G$3,$H$15,$H$17,$H$13,$H$16,$H$14,O$2,$H$12,$B32)+_xll.DBRW($G$3,$H$15,$H$17,$H$13,$H$16,$H$14,O$2,$H$12,$A32)</f>
        <v>#VALUE!</v>
      </c>
      <c r="P32" s="126" t="e">
        <f>_xll.DBRW($G$3,$H$15,$H$17,$H$13,$H$16,$H$14,P$2,$H$12,$B32)+_xll.DBRW($G$3,$H$15,$H$17,$H$13,$H$16,$H$14,P$2,$H$12,$A32)</f>
        <v>#VALUE!</v>
      </c>
      <c r="Q32" s="129"/>
      <c r="R32" s="129"/>
      <c r="S32" s="126" t="e">
        <f>_xll.DBRW($G$3,$U$15,$H$17,$U$13,$U$16,$U$14,S$2,$U$12,$B32)+_xll.DBRW($G$3,$U$15,$H$17,$U$13,$U$16,$U$14,S$2,$U$12,$A32)</f>
        <v>#VALUE!</v>
      </c>
      <c r="T32" s="126" t="e">
        <f>_xll.DBRW($G$3,$U$15,$H$17,$U$13,$U$16,$U$14,T$2,$U$12,$B32)+_xll.DBRW($G$3,$U$15,$H$17,$U$13,$U$16,$U$14,T$2,$U$12,$A32)</f>
        <v>#VALUE!</v>
      </c>
      <c r="U32" s="126" t="e">
        <f>_xll.DBRW($G$3,$U$15,$H$17,$U$13,$U$16,$U$14,U$2,$U$12,$B32)+_xll.DBRW($G$3,$U$15,$H$17,$U$13,$U$16,$U$14,U$2,$U$12,$A32)</f>
        <v>#VALUE!</v>
      </c>
      <c r="V32" s="126" t="e">
        <f>_xll.DBRW($G$3,$U$15,$H$17,$U$13,$U$16,$U$14,V$2,$U$12,$B32)+_xll.DBRW($G$3,$U$15,$H$17,$U$13,$U$16,$U$14,V$2,$U$12,$A32)</f>
        <v>#VALUE!</v>
      </c>
      <c r="W32" s="126" t="e">
        <f>_xll.DBRW($G$3,$U$15,$H$17,$U$13,$U$16,$U$14,W$2,$U$12,$B32)+_xll.DBRW($G$3,$U$15,$H$17,$U$13,$U$16,$U$14,W$2,$U$12,$A32)</f>
        <v>#VALUE!</v>
      </c>
      <c r="X32" s="126" t="e">
        <f>_xll.DBRW($G$3,$U$15,$H$17,$U$13,$U$16,$U$14,X$2,$U$12,$B32)+_xll.DBRW($G$3,$U$15,$H$17,$U$13,$U$16,$U$14,X$2,$U$12,$A32)</f>
        <v>#VALUE!</v>
      </c>
      <c r="Y32" s="126" t="e">
        <f>_xll.DBRW($G$3,$U$15,$H$17,$U$13,$U$16,$U$14,Y$2,$U$12,$B32)+_xll.DBRW($G$3,$U$15,$H$17,$U$13,$U$16,$U$14,Y$2,$U$12,$A32)</f>
        <v>#VALUE!</v>
      </c>
      <c r="Z32" s="126" t="e">
        <f>_xll.DBRW($G$3,$U$15,$H$17,$U$13,$U$16,$U$14,Z$2,$U$12,$B32)+_xll.DBRW($G$3,$U$15,$H$17,$U$13,$U$16,$U$14,Z$2,$U$12,$A32)</f>
        <v>#VALUE!</v>
      </c>
      <c r="AA32" s="129"/>
      <c r="AB32" s="126" t="e">
        <f t="shared" si="21"/>
        <v>#VALUE!</v>
      </c>
      <c r="AC32" s="126" t="e">
        <f t="shared" si="12"/>
        <v>#VALUE!</v>
      </c>
      <c r="AD32" s="126" t="e">
        <f t="shared" si="13"/>
        <v>#VALUE!</v>
      </c>
      <c r="AE32" s="126" t="e">
        <f t="shared" si="14"/>
        <v>#VALUE!</v>
      </c>
      <c r="AF32" s="126" t="e">
        <f t="shared" si="15"/>
        <v>#VALUE!</v>
      </c>
      <c r="AG32" s="126" t="e">
        <f t="shared" si="16"/>
        <v>#VALUE!</v>
      </c>
      <c r="AH32" s="126" t="e">
        <f t="shared" si="17"/>
        <v>#VALUE!</v>
      </c>
      <c r="AI32" s="126" t="e">
        <f t="shared" si="18"/>
        <v>#VALUE!</v>
      </c>
      <c r="AJ32" s="43"/>
      <c r="AK32" s="59"/>
      <c r="AL32" s="60" t="s">
        <v>47</v>
      </c>
      <c r="AM32" s="63" t="s">
        <v>117</v>
      </c>
      <c r="AN32" s="47"/>
      <c r="AO32" s="47"/>
      <c r="AP32" s="62"/>
      <c r="AQ32" s="62"/>
      <c r="AR32" s="47"/>
    </row>
    <row r="33" spans="1:44" ht="21.75" customHeight="1" thickBot="1">
      <c r="A33" s="50" t="s">
        <v>156</v>
      </c>
      <c r="B33" s="64"/>
      <c r="C33" s="41"/>
      <c r="D33" s="41">
        <v>12</v>
      </c>
      <c r="G33" s="191" t="str">
        <f>_xll.DBRA(Server&amp;$A$21,$A33,$H$18)</f>
        <v>RESOP before Management fees</v>
      </c>
      <c r="H33" s="191"/>
      <c r="I33" s="130" t="e">
        <f>_xll.DBRW($G$3,$H$15,$H$17,$H$13,$H$16,$H$14,I$2,$H$12,$A33)</f>
        <v>#VALUE!</v>
      </c>
      <c r="J33" s="130" t="e">
        <f>_xll.DBRW($G$3,$H$15,$H$17,$H$13,$H$16,$H$14,J$2,$H$12,$A33)</f>
        <v>#VALUE!</v>
      </c>
      <c r="K33" s="130" t="e">
        <f>_xll.DBRW($G$3,$H$15,$H$17,$H$13,$H$16,$H$14,K$2,$H$12,$A33)</f>
        <v>#VALUE!</v>
      </c>
      <c r="L33" s="130" t="e">
        <f>_xll.DBRW($G$3,$H$15,$H$17,$H$13,$H$16,$H$14,L$2,$H$12,$A33)</f>
        <v>#VALUE!</v>
      </c>
      <c r="M33" s="130" t="e">
        <f>_xll.DBRW($G$3,$H$15,$H$17,$H$13,$H$16,$H$14,M$2,$H$12,$A33)</f>
        <v>#VALUE!</v>
      </c>
      <c r="N33" s="130" t="e">
        <f>_xll.DBRW($G$3,$H$15,$H$17,$H$13,$H$16,$H$14,N$2,$H$12,$A33)</f>
        <v>#VALUE!</v>
      </c>
      <c r="O33" s="130" t="e">
        <f>_xll.DBRW($G$3,$H$15,$H$17,$H$13,$H$16,$H$14,O$2,$H$12,$A33)</f>
        <v>#VALUE!</v>
      </c>
      <c r="P33" s="130" t="e">
        <f>_xll.DBRW($G$3,$H$15,$H$17,$H$13,$H$16,$H$14,P$2,$H$12,$A33)</f>
        <v>#VALUE!</v>
      </c>
      <c r="Q33" s="131" t="e">
        <f>SUM(I26:P26)+SUM(I27:P27)+SUM(I32:P32)-SUM(I33:P33)</f>
        <v>#VALUE!</v>
      </c>
      <c r="R33" s="131"/>
      <c r="S33" s="130" t="e">
        <f>_xll.DBRW($G$3,$U$15,$H$17,$U$13,$U$16,$U$14,S$2,$U$12,$A33)</f>
        <v>#VALUE!</v>
      </c>
      <c r="T33" s="130" t="e">
        <f>_xll.DBRW($G$3,$U$15,$H$17,$U$13,$U$16,$U$14,T$2,$U$12,$A33)</f>
        <v>#VALUE!</v>
      </c>
      <c r="U33" s="130" t="e">
        <f>_xll.DBRW($G$3,$U$15,$H$17,$U$13,$U$16,$U$14,U$2,$U$12,$A33)</f>
        <v>#VALUE!</v>
      </c>
      <c r="V33" s="130" t="e">
        <f>_xll.DBRW($G$3,$U$15,$H$17,$U$13,$U$16,$U$14,V$2,$U$12,$A33)</f>
        <v>#VALUE!</v>
      </c>
      <c r="W33" s="130" t="e">
        <f>_xll.DBRW($G$3,$U$15,$H$17,$U$13,$U$16,$U$14,W$2,$U$12,$A33)</f>
        <v>#VALUE!</v>
      </c>
      <c r="X33" s="130" t="e">
        <f>_xll.DBRW($G$3,$U$15,$H$17,$U$13,$U$16,$U$14,X$2,$U$12,$A33)</f>
        <v>#VALUE!</v>
      </c>
      <c r="Y33" s="130" t="e">
        <f>_xll.DBRW($G$3,$U$15,$H$17,$U$13,$U$16,$U$14,Y$2,$U$12,$A33)</f>
        <v>#VALUE!</v>
      </c>
      <c r="Z33" s="130" t="e">
        <f>_xll.DBRW($G$3,$U$15,$H$17,$U$13,$U$16,$U$14,Z$2,$U$12,$A33)</f>
        <v>#VALUE!</v>
      </c>
      <c r="AA33" s="131" t="e">
        <f>SUM(S26:Z26)+SUM(S27:Z27)+SUM(S32:Z32)-SUM(S33:Z33)</f>
        <v>#VALUE!</v>
      </c>
      <c r="AB33" s="130" t="e">
        <f t="shared" si="21"/>
        <v>#VALUE!</v>
      </c>
      <c r="AC33" s="130" t="e">
        <f t="shared" si="12"/>
        <v>#VALUE!</v>
      </c>
      <c r="AD33" s="130" t="e">
        <f t="shared" si="13"/>
        <v>#VALUE!</v>
      </c>
      <c r="AE33" s="130" t="e">
        <f t="shared" si="14"/>
        <v>#VALUE!</v>
      </c>
      <c r="AF33" s="130" t="e">
        <f t="shared" si="15"/>
        <v>#VALUE!</v>
      </c>
      <c r="AG33" s="130" t="e">
        <f t="shared" si="16"/>
        <v>#VALUE!</v>
      </c>
      <c r="AH33" s="130" t="e">
        <f t="shared" si="17"/>
        <v>#VALUE!</v>
      </c>
      <c r="AI33" s="130" t="e">
        <f t="shared" si="18"/>
        <v>#VALUE!</v>
      </c>
      <c r="AJ33" s="43"/>
      <c r="AK33" s="59"/>
      <c r="AL33" s="60"/>
      <c r="AM33" s="46"/>
      <c r="AN33" s="47"/>
      <c r="AO33" s="47"/>
      <c r="AP33" s="62"/>
      <c r="AQ33" s="62"/>
      <c r="AR33" s="47"/>
    </row>
    <row r="34" spans="1:44" s="94" customFormat="1" ht="21.75" customHeight="1">
      <c r="A34" s="89" t="s">
        <v>157</v>
      </c>
      <c r="B34" s="90"/>
      <c r="C34" s="91"/>
      <c r="D34" s="41">
        <v>13</v>
      </c>
      <c r="E34" s="92"/>
      <c r="F34" s="93"/>
      <c r="G34" s="132" t="str">
        <f>IF($H$18="English","        EBIT bef. MF margin (% ROA)","        Marge RESOP av. FS (%PAO)")</f>
        <v xml:space="preserve">        EBIT bef. MF margin (% ROA)</v>
      </c>
      <c r="H34" s="132"/>
      <c r="I34" s="133">
        <f t="shared" ref="I34:Z34" si="22">IF(ISERROR(+I$33/I$26)=TRUE,0,+I$33/I$26)</f>
        <v>0</v>
      </c>
      <c r="J34" s="133">
        <f t="shared" si="22"/>
        <v>0</v>
      </c>
      <c r="K34" s="133">
        <f t="shared" si="22"/>
        <v>0</v>
      </c>
      <c r="L34" s="133">
        <f t="shared" si="22"/>
        <v>0</v>
      </c>
      <c r="M34" s="133">
        <f t="shared" si="22"/>
        <v>0</v>
      </c>
      <c r="N34" s="133">
        <f t="shared" si="22"/>
        <v>0</v>
      </c>
      <c r="O34" s="133">
        <f t="shared" si="22"/>
        <v>0</v>
      </c>
      <c r="P34" s="133">
        <f t="shared" si="22"/>
        <v>0</v>
      </c>
      <c r="Q34" s="131"/>
      <c r="R34" s="131"/>
      <c r="S34" s="133">
        <f t="shared" si="22"/>
        <v>0</v>
      </c>
      <c r="T34" s="133">
        <f t="shared" si="22"/>
        <v>0</v>
      </c>
      <c r="U34" s="133">
        <f t="shared" si="22"/>
        <v>0</v>
      </c>
      <c r="V34" s="133">
        <f t="shared" si="22"/>
        <v>0</v>
      </c>
      <c r="W34" s="133">
        <f t="shared" si="22"/>
        <v>0</v>
      </c>
      <c r="X34" s="133">
        <f t="shared" si="22"/>
        <v>0</v>
      </c>
      <c r="Y34" s="133">
        <f t="shared" si="22"/>
        <v>0</v>
      </c>
      <c r="Z34" s="133">
        <f t="shared" si="22"/>
        <v>0</v>
      </c>
      <c r="AA34" s="131"/>
      <c r="AB34" s="133">
        <f t="shared" si="21"/>
        <v>0</v>
      </c>
      <c r="AC34" s="133">
        <f t="shared" si="12"/>
        <v>0</v>
      </c>
      <c r="AD34" s="133">
        <f t="shared" si="13"/>
        <v>0</v>
      </c>
      <c r="AE34" s="133">
        <f t="shared" si="14"/>
        <v>0</v>
      </c>
      <c r="AF34" s="133">
        <f t="shared" si="15"/>
        <v>0</v>
      </c>
      <c r="AG34" s="133">
        <f t="shared" si="16"/>
        <v>0</v>
      </c>
      <c r="AH34" s="133">
        <f t="shared" si="17"/>
        <v>0</v>
      </c>
      <c r="AI34" s="133">
        <f t="shared" si="18"/>
        <v>0</v>
      </c>
      <c r="AK34" s="95"/>
      <c r="AL34" s="96"/>
      <c r="AM34" s="97"/>
      <c r="AN34" s="98"/>
      <c r="AO34" s="98"/>
      <c r="AP34" s="99"/>
      <c r="AQ34" s="99"/>
      <c r="AR34" s="98"/>
    </row>
    <row r="35" spans="1:44" ht="21.75" customHeight="1" thickBot="1">
      <c r="A35" s="50" t="s">
        <v>78</v>
      </c>
      <c r="B35" s="41"/>
      <c r="C35" s="41"/>
      <c r="D35" s="41">
        <v>14</v>
      </c>
      <c r="G35" s="185" t="str">
        <f>_xll.DBRA(Server&amp;$A$21,$A35,$H$18)</f>
        <v>Management fees</v>
      </c>
      <c r="H35" s="186"/>
      <c r="I35" s="126" t="e">
        <f>_xll.DBRW($G$3,$H$15,$H$17,$H$13,$H$16,$H$14,I$2,$H$12,$A35)</f>
        <v>#VALUE!</v>
      </c>
      <c r="J35" s="127" t="e">
        <f>_xll.DBRW($G$3,$H$15,$H$17,$H$13,$H$16,$H$14,J$2,$H$12,$A35)</f>
        <v>#VALUE!</v>
      </c>
      <c r="K35" s="127" t="e">
        <f>_xll.DBRW($G$3,$H$15,$H$17,$H$13,$H$16,$H$14,K$2,$H$12,$A35)</f>
        <v>#VALUE!</v>
      </c>
      <c r="L35" s="127" t="e">
        <f>_xll.DBRW($G$3,$H$15,$H$17,$H$13,$H$16,$H$14,L$2,$H$12,$A35)</f>
        <v>#VALUE!</v>
      </c>
      <c r="M35" s="127" t="e">
        <f>_xll.DBRW($G$3,$H$15,$H$17,$H$13,$H$16,$H$14,M$2,$H$12,$A35)</f>
        <v>#VALUE!</v>
      </c>
      <c r="N35" s="127" t="e">
        <f>_xll.DBRW($G$3,$H$15,$H$17,$H$13,$H$16,$H$14,N$2,$H$12,$A35)</f>
        <v>#VALUE!</v>
      </c>
      <c r="O35" s="127" t="e">
        <f>_xll.DBRW($G$3,$H$15,$H$17,$H$13,$H$16,$H$14,O$2,$H$12,$A35)</f>
        <v>#VALUE!</v>
      </c>
      <c r="P35" s="128" t="e">
        <f>_xll.DBRW($G$3,$H$15,$H$17,$H$13,$H$16,$H$14,P$2,$H$12,$A35)</f>
        <v>#VALUE!</v>
      </c>
      <c r="Q35" s="129"/>
      <c r="R35" s="129"/>
      <c r="S35" s="126" t="e">
        <f>_xll.DBRW($G$3,$U$15,$H$17,$U$13,$U$16,$U$14,S$2,$U$12,$A35)</f>
        <v>#VALUE!</v>
      </c>
      <c r="T35" s="127" t="e">
        <f>_xll.DBRW($G$3,$U$15,$H$17,$U$13,$U$16,$U$14,T$2,$U$12,$A35)</f>
        <v>#VALUE!</v>
      </c>
      <c r="U35" s="127" t="e">
        <f>_xll.DBRW($G$3,$U$15,$H$17,$U$13,$U$16,$U$14,U$2,$U$12,$A35)</f>
        <v>#VALUE!</v>
      </c>
      <c r="V35" s="127" t="e">
        <f>_xll.DBRW($G$3,$U$15,$H$17,$U$13,$U$16,$U$14,V$2,$U$12,$A35)</f>
        <v>#VALUE!</v>
      </c>
      <c r="W35" s="127" t="e">
        <f>_xll.DBRW($G$3,$U$15,$H$17,$U$13,$U$16,$U$14,W$2,$U$12,$A35)</f>
        <v>#VALUE!</v>
      </c>
      <c r="X35" s="127" t="e">
        <f>_xll.DBRW($G$3,$U$15,$H$17,$U$13,$U$16,$U$14,X$2,$U$12,$A35)</f>
        <v>#VALUE!</v>
      </c>
      <c r="Y35" s="127" t="e">
        <f>_xll.DBRW($G$3,$U$15,$H$17,$U$13,$U$16,$U$14,Y$2,$U$12,$A35)</f>
        <v>#VALUE!</v>
      </c>
      <c r="Z35" s="128" t="e">
        <f>_xll.DBRW($G$3,$U$15,$H$17,$U$13,$U$16,$U$14,Z$2,$U$12,$A35)</f>
        <v>#VALUE!</v>
      </c>
      <c r="AA35" s="129"/>
      <c r="AB35" s="126" t="e">
        <f t="shared" si="21"/>
        <v>#VALUE!</v>
      </c>
      <c r="AC35" s="127" t="e">
        <f t="shared" si="12"/>
        <v>#VALUE!</v>
      </c>
      <c r="AD35" s="127" t="e">
        <f t="shared" si="13"/>
        <v>#VALUE!</v>
      </c>
      <c r="AE35" s="127" t="e">
        <f t="shared" si="14"/>
        <v>#VALUE!</v>
      </c>
      <c r="AF35" s="127" t="e">
        <f t="shared" si="15"/>
        <v>#VALUE!</v>
      </c>
      <c r="AG35" s="127" t="e">
        <f t="shared" si="16"/>
        <v>#VALUE!</v>
      </c>
      <c r="AH35" s="127" t="e">
        <f t="shared" si="17"/>
        <v>#VALUE!</v>
      </c>
      <c r="AI35" s="128" t="e">
        <f t="shared" si="18"/>
        <v>#VALUE!</v>
      </c>
      <c r="AJ35" s="43"/>
      <c r="AK35" s="59"/>
      <c r="AL35" s="60"/>
      <c r="AM35" s="46"/>
      <c r="AN35" s="47"/>
      <c r="AO35" s="47"/>
      <c r="AP35" s="62"/>
      <c r="AQ35" s="62"/>
      <c r="AR35" s="47"/>
    </row>
    <row r="36" spans="1:44" ht="21.75" customHeight="1" thickBot="1">
      <c r="A36" s="50" t="s">
        <v>50</v>
      </c>
      <c r="B36" s="64"/>
      <c r="C36" s="41"/>
      <c r="D36" s="41">
        <v>15</v>
      </c>
      <c r="G36" s="190" t="str">
        <f>_xll.DBRA(Server&amp;$A$21,$A36,$H$18)</f>
        <v>OPERATING PROFIT</v>
      </c>
      <c r="H36" s="190"/>
      <c r="I36" s="130" t="e">
        <f>_xll.DBRW($G$3,$H$15,$H$17,$H$13,$H$16,$H$14,I$2,$H$12,$A36)</f>
        <v>#VALUE!</v>
      </c>
      <c r="J36" s="130" t="e">
        <f>_xll.DBRW($G$3,$H$15,$H$17,$H$13,$H$16,$H$14,J$2,$H$12,$A36)</f>
        <v>#VALUE!</v>
      </c>
      <c r="K36" s="130" t="e">
        <f>_xll.DBRW($G$3,$H$15,$H$17,$H$13,$H$16,$H$14,K$2,$H$12,$A36)</f>
        <v>#VALUE!</v>
      </c>
      <c r="L36" s="130" t="e">
        <f>_xll.DBRW($G$3,$H$15,$H$17,$H$13,$H$16,$H$14,L$2,$H$12,$A36)</f>
        <v>#VALUE!</v>
      </c>
      <c r="M36" s="130" t="e">
        <f>_xll.DBRW($G$3,$H$15,$H$17,$H$13,$H$16,$H$14,M$2,$H$12,$A36)</f>
        <v>#VALUE!</v>
      </c>
      <c r="N36" s="130" t="e">
        <f>_xll.DBRW($G$3,$H$15,$H$17,$H$13,$H$16,$H$14,N$2,$H$12,$A36)</f>
        <v>#VALUE!</v>
      </c>
      <c r="O36" s="130" t="e">
        <f>_xll.DBRW($G$3,$H$15,$H$17,$H$13,$H$16,$H$14,O$2,$H$12,$A36)</f>
        <v>#VALUE!</v>
      </c>
      <c r="P36" s="130" t="e">
        <f>_xll.DBRW($G$3,$H$15,$H$17,$H$13,$H$16,$H$14,P$2,$H$12,$A36)</f>
        <v>#VALUE!</v>
      </c>
      <c r="Q36" s="131" t="e">
        <f>SUM(I36:P36)-SUM(I33:P33)-SUM(I35:P35)</f>
        <v>#VALUE!</v>
      </c>
      <c r="R36" s="131"/>
      <c r="S36" s="130" t="e">
        <f>_xll.DBRW($G$3,$U$15,$H$17,$U$13,$U$16,$U$14,S$2,$U$12,$A36)</f>
        <v>#VALUE!</v>
      </c>
      <c r="T36" s="130" t="e">
        <f>_xll.DBRW($G$3,$U$15,$H$17,$U$13,$U$16,$U$14,T$2,$U$12,$A36)</f>
        <v>#VALUE!</v>
      </c>
      <c r="U36" s="130" t="e">
        <f>_xll.DBRW($G$3,$U$15,$H$17,$U$13,$U$16,$U$14,U$2,$U$12,$A36)</f>
        <v>#VALUE!</v>
      </c>
      <c r="V36" s="130" t="e">
        <f>_xll.DBRW($G$3,$U$15,$H$17,$U$13,$U$16,$U$14,V$2,$U$12,$A36)</f>
        <v>#VALUE!</v>
      </c>
      <c r="W36" s="130" t="e">
        <f>_xll.DBRW($G$3,$U$15,$H$17,$U$13,$U$16,$U$14,W$2,$U$12,$A36)</f>
        <v>#VALUE!</v>
      </c>
      <c r="X36" s="130" t="e">
        <f>_xll.DBRW($G$3,$U$15,$H$17,$U$13,$U$16,$U$14,X$2,$U$12,$A36)</f>
        <v>#VALUE!</v>
      </c>
      <c r="Y36" s="130" t="e">
        <f>_xll.DBRW($G$3,$U$15,$H$17,$U$13,$U$16,$U$14,Y$2,$U$12,$A36)</f>
        <v>#VALUE!</v>
      </c>
      <c r="Z36" s="130" t="e">
        <f>_xll.DBRW($G$3,$U$15,$H$17,$U$13,$U$16,$U$14,Z$2,$U$12,$A36)</f>
        <v>#VALUE!</v>
      </c>
      <c r="AA36" s="131" t="e">
        <f>SUM(S36:Z36)-SUM(S33:Z33)-SUM(S35:Z35)</f>
        <v>#VALUE!</v>
      </c>
      <c r="AB36" s="130" t="e">
        <f t="shared" si="21"/>
        <v>#VALUE!</v>
      </c>
      <c r="AC36" s="130" t="e">
        <f t="shared" si="12"/>
        <v>#VALUE!</v>
      </c>
      <c r="AD36" s="130" t="e">
        <f t="shared" si="13"/>
        <v>#VALUE!</v>
      </c>
      <c r="AE36" s="130" t="e">
        <f t="shared" si="14"/>
        <v>#VALUE!</v>
      </c>
      <c r="AF36" s="130" t="e">
        <f t="shared" si="15"/>
        <v>#VALUE!</v>
      </c>
      <c r="AG36" s="130" t="e">
        <f t="shared" si="16"/>
        <v>#VALUE!</v>
      </c>
      <c r="AH36" s="130" t="e">
        <f t="shared" si="17"/>
        <v>#VALUE!</v>
      </c>
      <c r="AI36" s="130" t="e">
        <f t="shared" si="18"/>
        <v>#VALUE!</v>
      </c>
      <c r="AJ36" s="43"/>
      <c r="AK36" s="47"/>
      <c r="AL36" s="49" t="s">
        <v>48</v>
      </c>
      <c r="AM36" s="47"/>
      <c r="AN36" s="47"/>
      <c r="AO36" s="47"/>
      <c r="AP36" s="62" t="s">
        <v>76</v>
      </c>
      <c r="AQ36" s="62" t="s">
        <v>66</v>
      </c>
      <c r="AR36" s="47"/>
    </row>
    <row r="37" spans="1:44" s="94" customFormat="1" ht="21.75" customHeight="1">
      <c r="A37" s="89" t="s">
        <v>157</v>
      </c>
      <c r="B37" s="90"/>
      <c r="C37" s="91"/>
      <c r="D37" s="41">
        <v>16</v>
      </c>
      <c r="E37" s="92"/>
      <c r="F37" s="93"/>
      <c r="G37" s="132" t="str">
        <f>IF(H18="English","        EBIT margin (% ROA)","        Marge RESOP (%PAO)")</f>
        <v xml:space="preserve">        EBIT margin (% ROA)</v>
      </c>
      <c r="H37" s="132"/>
      <c r="I37" s="133">
        <f t="shared" ref="I37:Z37" si="23">IF(ISERROR(+I$36/I$26)=TRUE,0,+I$36/I$26)</f>
        <v>0</v>
      </c>
      <c r="J37" s="133">
        <f t="shared" si="23"/>
        <v>0</v>
      </c>
      <c r="K37" s="133">
        <f t="shared" si="23"/>
        <v>0</v>
      </c>
      <c r="L37" s="133">
        <f t="shared" si="23"/>
        <v>0</v>
      </c>
      <c r="M37" s="133">
        <f t="shared" si="23"/>
        <v>0</v>
      </c>
      <c r="N37" s="133">
        <f t="shared" si="23"/>
        <v>0</v>
      </c>
      <c r="O37" s="133">
        <f t="shared" si="23"/>
        <v>0</v>
      </c>
      <c r="P37" s="133">
        <f t="shared" si="23"/>
        <v>0</v>
      </c>
      <c r="Q37" s="129"/>
      <c r="R37" s="129"/>
      <c r="S37" s="133">
        <f t="shared" si="23"/>
        <v>0</v>
      </c>
      <c r="T37" s="133">
        <f t="shared" si="23"/>
        <v>0</v>
      </c>
      <c r="U37" s="133">
        <f t="shared" si="23"/>
        <v>0</v>
      </c>
      <c r="V37" s="133">
        <f t="shared" si="23"/>
        <v>0</v>
      </c>
      <c r="W37" s="133">
        <f t="shared" si="23"/>
        <v>0</v>
      </c>
      <c r="X37" s="133">
        <f t="shared" si="23"/>
        <v>0</v>
      </c>
      <c r="Y37" s="133">
        <f t="shared" si="23"/>
        <v>0</v>
      </c>
      <c r="Z37" s="133">
        <f t="shared" si="23"/>
        <v>0</v>
      </c>
      <c r="AA37" s="129"/>
      <c r="AB37" s="133">
        <f t="shared" si="21"/>
        <v>0</v>
      </c>
      <c r="AC37" s="133">
        <f t="shared" si="12"/>
        <v>0</v>
      </c>
      <c r="AD37" s="133">
        <f t="shared" si="13"/>
        <v>0</v>
      </c>
      <c r="AE37" s="133">
        <f t="shared" si="14"/>
        <v>0</v>
      </c>
      <c r="AF37" s="133">
        <f t="shared" si="15"/>
        <v>0</v>
      </c>
      <c r="AG37" s="133">
        <f t="shared" si="16"/>
        <v>0</v>
      </c>
      <c r="AH37" s="133">
        <f t="shared" si="17"/>
        <v>0</v>
      </c>
      <c r="AI37" s="133">
        <f t="shared" si="18"/>
        <v>0</v>
      </c>
      <c r="AK37" s="98"/>
      <c r="AL37" s="100" t="s">
        <v>45</v>
      </c>
      <c r="AM37" s="98"/>
      <c r="AN37" s="98"/>
      <c r="AO37" s="98"/>
      <c r="AP37" s="99" t="s">
        <v>77</v>
      </c>
      <c r="AQ37" s="99" t="s">
        <v>67</v>
      </c>
      <c r="AR37" s="98"/>
    </row>
    <row r="38" spans="1:44" ht="21.75" customHeight="1">
      <c r="A38" s="50" t="s">
        <v>143</v>
      </c>
      <c r="B38" s="64"/>
      <c r="C38" s="41"/>
      <c r="D38" s="41">
        <v>17</v>
      </c>
      <c r="G38" s="185" t="str">
        <f>_xll.DBRA(Server&amp;$A$21,$A38,$H$18)</f>
        <v>Cost of net financial debt (total)</v>
      </c>
      <c r="H38" s="186"/>
      <c r="I38" s="126" t="e">
        <f>_xll.DBRW($G$3,$H$15,$H$17,$H$13,$H$16,$H$14,I$2,$H$12,$A38)</f>
        <v>#VALUE!</v>
      </c>
      <c r="J38" s="127" t="e">
        <f>_xll.DBRW($G$3,$H$15,$H$17,$H$13,$H$16,$H$14,J$2,$H$12,$A38)</f>
        <v>#VALUE!</v>
      </c>
      <c r="K38" s="127" t="e">
        <f>_xll.DBRW($G$3,$H$15,$H$17,$H$13,$H$16,$H$14,K$2,$H$12,$A38)</f>
        <v>#VALUE!</v>
      </c>
      <c r="L38" s="127" t="e">
        <f>_xll.DBRW($G$3,$H$15,$H$17,$H$13,$H$16,$H$14,L$2,$H$12,$A38)</f>
        <v>#VALUE!</v>
      </c>
      <c r="M38" s="127" t="e">
        <f>_xll.DBRW($G$3,$H$15,$H$17,$H$13,$H$16,$H$14,M$2,$H$12,$A38)</f>
        <v>#VALUE!</v>
      </c>
      <c r="N38" s="127" t="e">
        <f>_xll.DBRW($G$3,$H$15,$H$17,$H$13,$H$16,$H$14,N$2,$H$12,$A38)</f>
        <v>#VALUE!</v>
      </c>
      <c r="O38" s="127" t="e">
        <f>_xll.DBRW($G$3,$H$15,$H$17,$H$13,$H$16,$H$14,O$2,$H$12,$A38)</f>
        <v>#VALUE!</v>
      </c>
      <c r="P38" s="128" t="e">
        <f>_xll.DBRW($G$3,$H$15,$H$17,$H$13,$H$16,$H$14,P$2,$H$12,$A38)</f>
        <v>#VALUE!</v>
      </c>
      <c r="Q38" s="122"/>
      <c r="R38" s="122"/>
      <c r="S38" s="126" t="e">
        <f>_xll.DBRW($G$3,$U$15,$H$17,$U$13,$U$16,$U$14,S$2,$U$12,$A38)</f>
        <v>#VALUE!</v>
      </c>
      <c r="T38" s="127" t="e">
        <f>_xll.DBRW($G$3,$U$15,$H$17,$U$13,$U$16,$U$14,T$2,$U$12,$A38)</f>
        <v>#VALUE!</v>
      </c>
      <c r="U38" s="127" t="e">
        <f>_xll.DBRW($G$3,$U$15,$H$17,$U$13,$U$16,$U$14,U$2,$U$12,$A38)</f>
        <v>#VALUE!</v>
      </c>
      <c r="V38" s="127" t="e">
        <f>_xll.DBRW($G$3,$U$15,$H$17,$U$13,$U$16,$U$14,V$2,$U$12,$A38)</f>
        <v>#VALUE!</v>
      </c>
      <c r="W38" s="127" t="e">
        <f>_xll.DBRW($G$3,$U$15,$H$17,$U$13,$U$16,$U$14,W$2,$U$12,$A38)</f>
        <v>#VALUE!</v>
      </c>
      <c r="X38" s="127" t="e">
        <f>_xll.DBRW($G$3,$U$15,$H$17,$U$13,$U$16,$U$14,X$2,$U$12,$A38)</f>
        <v>#VALUE!</v>
      </c>
      <c r="Y38" s="127" t="e">
        <f>_xll.DBRW($G$3,$U$15,$H$17,$U$13,$U$16,$U$14,Y$2,$U$12,$A38)</f>
        <v>#VALUE!</v>
      </c>
      <c r="Z38" s="128" t="e">
        <f>_xll.DBRW($G$3,$U$15,$H$17,$U$13,$U$16,$U$14,Z$2,$U$12,$A38)</f>
        <v>#VALUE!</v>
      </c>
      <c r="AA38" s="122"/>
      <c r="AB38" s="126" t="e">
        <f t="shared" si="21"/>
        <v>#VALUE!</v>
      </c>
      <c r="AC38" s="127" t="e">
        <f t="shared" si="12"/>
        <v>#VALUE!</v>
      </c>
      <c r="AD38" s="127" t="e">
        <f t="shared" si="13"/>
        <v>#VALUE!</v>
      </c>
      <c r="AE38" s="127" t="e">
        <f t="shared" si="14"/>
        <v>#VALUE!</v>
      </c>
      <c r="AF38" s="127" t="e">
        <f t="shared" si="15"/>
        <v>#VALUE!</v>
      </c>
      <c r="AG38" s="127" t="e">
        <f t="shared" si="16"/>
        <v>#VALUE!</v>
      </c>
      <c r="AH38" s="127" t="e">
        <f t="shared" si="17"/>
        <v>#VALUE!</v>
      </c>
      <c r="AI38" s="128" t="e">
        <f t="shared" si="18"/>
        <v>#VALUE!</v>
      </c>
      <c r="AJ38" s="43"/>
      <c r="AK38" s="47"/>
      <c r="AL38" s="49" t="s">
        <v>85</v>
      </c>
      <c r="AM38" s="47"/>
      <c r="AN38" s="47"/>
      <c r="AO38" s="47"/>
      <c r="AP38" s="67"/>
      <c r="AQ38" s="67"/>
      <c r="AR38" s="47"/>
    </row>
    <row r="39" spans="1:44" ht="21.75" customHeight="1" thickBot="1">
      <c r="A39" s="50" t="s">
        <v>2</v>
      </c>
      <c r="B39" s="41"/>
      <c r="C39" s="41"/>
      <c r="D39" s="41">
        <v>18</v>
      </c>
      <c r="G39" s="185" t="str">
        <f>_xll.DBRA(Server&amp;$A$21,$A39,$H$18)</f>
        <v>Other financial result</v>
      </c>
      <c r="H39" s="186"/>
      <c r="I39" s="126" t="e">
        <f>_xll.DBRW($G$3,$H$15,$H$17,$H$13,$H$16,$H$14,I$2,$H$12,$A39)</f>
        <v>#VALUE!</v>
      </c>
      <c r="J39" s="127" t="e">
        <f>_xll.DBRW($G$3,$H$15,$H$17,$H$13,$H$16,$H$14,J$2,$H$12,$A39)</f>
        <v>#VALUE!</v>
      </c>
      <c r="K39" s="127" t="e">
        <f>_xll.DBRW($G$3,$H$15,$H$17,$H$13,$H$16,$H$14,K$2,$H$12,$A39)</f>
        <v>#VALUE!</v>
      </c>
      <c r="L39" s="127" t="e">
        <f>_xll.DBRW($G$3,$H$15,$H$17,$H$13,$H$16,$H$14,L$2,$H$12,$A39)</f>
        <v>#VALUE!</v>
      </c>
      <c r="M39" s="127" t="e">
        <f>_xll.DBRW($G$3,$H$15,$H$17,$H$13,$H$16,$H$14,M$2,$H$12,$A39)</f>
        <v>#VALUE!</v>
      </c>
      <c r="N39" s="127" t="e">
        <f>_xll.DBRW($G$3,$H$15,$H$17,$H$13,$H$16,$H$14,N$2,$H$12,$A39)</f>
        <v>#VALUE!</v>
      </c>
      <c r="O39" s="127" t="e">
        <f>_xll.DBRW($G$3,$H$15,$H$17,$H$13,$H$16,$H$14,O$2,$H$12,$A39)</f>
        <v>#VALUE!</v>
      </c>
      <c r="P39" s="128" t="e">
        <f>_xll.DBRW($G$3,$H$15,$H$17,$H$13,$H$16,$H$14,P$2,$H$12,$A39)</f>
        <v>#VALUE!</v>
      </c>
      <c r="Q39" s="122"/>
      <c r="R39" s="122"/>
      <c r="S39" s="126" t="e">
        <f>_xll.DBRW($G$3,$U$15,$H$17,$U$13,$U$16,$U$14,S$2,$U$12,$A39)</f>
        <v>#VALUE!</v>
      </c>
      <c r="T39" s="127" t="e">
        <f>_xll.DBRW($G$3,$U$15,$H$17,$U$13,$U$16,$U$14,T$2,$U$12,$A39)</f>
        <v>#VALUE!</v>
      </c>
      <c r="U39" s="127" t="e">
        <f>_xll.DBRW($G$3,$U$15,$H$17,$U$13,$U$16,$U$14,U$2,$U$12,$A39)</f>
        <v>#VALUE!</v>
      </c>
      <c r="V39" s="127" t="e">
        <f>_xll.DBRW($G$3,$U$15,$H$17,$U$13,$U$16,$U$14,V$2,$U$12,$A39)</f>
        <v>#VALUE!</v>
      </c>
      <c r="W39" s="127" t="e">
        <f>_xll.DBRW($G$3,$U$15,$H$17,$U$13,$U$16,$U$14,W$2,$U$12,$A39)</f>
        <v>#VALUE!</v>
      </c>
      <c r="X39" s="127" t="e">
        <f>_xll.DBRW($G$3,$U$15,$H$17,$U$13,$U$16,$U$14,X$2,$U$12,$A39)</f>
        <v>#VALUE!</v>
      </c>
      <c r="Y39" s="127" t="e">
        <f>_xll.DBRW($G$3,$U$15,$H$17,$U$13,$U$16,$U$14,Y$2,$U$12,$A39)</f>
        <v>#VALUE!</v>
      </c>
      <c r="Z39" s="128" t="e">
        <f>_xll.DBRW($G$3,$U$15,$H$17,$U$13,$U$16,$U$14,Z$2,$U$12,$A39)</f>
        <v>#VALUE!</v>
      </c>
      <c r="AA39" s="122"/>
      <c r="AB39" s="126" t="e">
        <f t="shared" si="21"/>
        <v>#VALUE!</v>
      </c>
      <c r="AC39" s="127" t="e">
        <f t="shared" si="12"/>
        <v>#VALUE!</v>
      </c>
      <c r="AD39" s="127" t="e">
        <f t="shared" si="13"/>
        <v>#VALUE!</v>
      </c>
      <c r="AE39" s="127" t="e">
        <f t="shared" si="14"/>
        <v>#VALUE!</v>
      </c>
      <c r="AF39" s="127" t="e">
        <f t="shared" si="15"/>
        <v>#VALUE!</v>
      </c>
      <c r="AG39" s="127" t="e">
        <f t="shared" si="16"/>
        <v>#VALUE!</v>
      </c>
      <c r="AH39" s="127" t="e">
        <f t="shared" si="17"/>
        <v>#VALUE!</v>
      </c>
      <c r="AI39" s="128" t="e">
        <f t="shared" si="18"/>
        <v>#VALUE!</v>
      </c>
      <c r="AJ39" s="43"/>
      <c r="AK39" s="47"/>
      <c r="AL39" s="49"/>
      <c r="AM39" s="47"/>
      <c r="AN39" s="47"/>
      <c r="AO39" s="47"/>
      <c r="AP39" s="67"/>
      <c r="AQ39" s="67"/>
      <c r="AR39" s="47"/>
    </row>
    <row r="40" spans="1:44" ht="21.75" customHeight="1" thickBot="1">
      <c r="A40" s="50" t="s">
        <v>3</v>
      </c>
      <c r="B40" s="64"/>
      <c r="C40" s="41"/>
      <c r="D40" s="41">
        <v>19</v>
      </c>
      <c r="G40" s="192" t="str">
        <f>_xll.DBRA(Server&amp;$A$21,$A40,$H$18)</f>
        <v>PROFIT OR LOSS before Tax</v>
      </c>
      <c r="H40" s="193"/>
      <c r="I40" s="130" t="e">
        <f>_xll.DBRW($G$3,$H$15,$H$17,$H$13,$H$16,$H$14,I$2,$H$12,$A40)</f>
        <v>#VALUE!</v>
      </c>
      <c r="J40" s="130" t="e">
        <f>_xll.DBRW($G$3,$H$15,$H$17,$H$13,$H$16,$H$14,J$2,$H$12,$A40)</f>
        <v>#VALUE!</v>
      </c>
      <c r="K40" s="130" t="e">
        <f>_xll.DBRW($G$3,$H$15,$H$17,$H$13,$H$16,$H$14,K$2,$H$12,$A40)</f>
        <v>#VALUE!</v>
      </c>
      <c r="L40" s="130" t="e">
        <f>_xll.DBRW($G$3,$H$15,$H$17,$H$13,$H$16,$H$14,L$2,$H$12,$A40)</f>
        <v>#VALUE!</v>
      </c>
      <c r="M40" s="130" t="e">
        <f>_xll.DBRW($G$3,$H$15,$H$17,$H$13,$H$16,$H$14,M$2,$H$12,$A40)</f>
        <v>#VALUE!</v>
      </c>
      <c r="N40" s="130" t="e">
        <f>_xll.DBRW($G$3,$H$15,$H$17,$H$13,$H$16,$H$14,N$2,$H$12,$A40)</f>
        <v>#VALUE!</v>
      </c>
      <c r="O40" s="130" t="e">
        <f>_xll.DBRW($G$3,$H$15,$H$17,$H$13,$H$16,$H$14,O$2,$H$12,$A40)</f>
        <v>#VALUE!</v>
      </c>
      <c r="P40" s="130" t="e">
        <f>_xll.DBRW($G$3,$H$15,$H$17,$H$13,$H$16,$H$14,P$2,$H$12,$A40)</f>
        <v>#VALUE!</v>
      </c>
      <c r="Q40" s="131" t="e">
        <f>SUM(I40:P40)-SUM(I36:P36)-SUM(I38:P39)</f>
        <v>#VALUE!</v>
      </c>
      <c r="R40" s="131"/>
      <c r="S40" s="130" t="e">
        <f>_xll.DBRW($G$3,$U$15,$H$17,$U$13,$U$16,$U$14,S$2,$U$12,$A40)</f>
        <v>#VALUE!</v>
      </c>
      <c r="T40" s="130" t="e">
        <f>_xll.DBRW($G$3,$U$15,$H$17,$U$13,$U$16,$U$14,T$2,$U$12,$A40)</f>
        <v>#VALUE!</v>
      </c>
      <c r="U40" s="130" t="e">
        <f>_xll.DBRW($G$3,$U$15,$H$17,$U$13,$U$16,$U$14,U$2,$U$12,$A40)</f>
        <v>#VALUE!</v>
      </c>
      <c r="V40" s="130" t="e">
        <f>_xll.DBRW($G$3,$U$15,$H$17,$U$13,$U$16,$U$14,V$2,$U$12,$A40)</f>
        <v>#VALUE!</v>
      </c>
      <c r="W40" s="130" t="e">
        <f>_xll.DBRW($G$3,$U$15,$H$17,$U$13,$U$16,$U$14,W$2,$U$12,$A40)</f>
        <v>#VALUE!</v>
      </c>
      <c r="X40" s="130" t="e">
        <f>_xll.DBRW($G$3,$U$15,$H$17,$U$13,$U$16,$U$14,X$2,$U$12,$A40)</f>
        <v>#VALUE!</v>
      </c>
      <c r="Y40" s="130" t="e">
        <f>_xll.DBRW($G$3,$U$15,$H$17,$U$13,$U$16,$U$14,Y$2,$U$12,$A40)</f>
        <v>#VALUE!</v>
      </c>
      <c r="Z40" s="130" t="e">
        <f>_xll.DBRW($G$3,$U$15,$H$17,$U$13,$U$16,$U$14,Z$2,$U$12,$A40)</f>
        <v>#VALUE!</v>
      </c>
      <c r="AA40" s="131" t="e">
        <f>SUM(S40:Z40)-SUM(S36:Z36)-SUM(S38:Z39)</f>
        <v>#VALUE!</v>
      </c>
      <c r="AB40" s="130" t="e">
        <f t="shared" si="21"/>
        <v>#VALUE!</v>
      </c>
      <c r="AC40" s="130" t="e">
        <f t="shared" si="12"/>
        <v>#VALUE!</v>
      </c>
      <c r="AD40" s="130" t="e">
        <f t="shared" si="13"/>
        <v>#VALUE!</v>
      </c>
      <c r="AE40" s="130" t="e">
        <f t="shared" si="14"/>
        <v>#VALUE!</v>
      </c>
      <c r="AF40" s="130" t="e">
        <f t="shared" si="15"/>
        <v>#VALUE!</v>
      </c>
      <c r="AG40" s="130" t="e">
        <f t="shared" si="16"/>
        <v>#VALUE!</v>
      </c>
      <c r="AH40" s="130" t="e">
        <f t="shared" si="17"/>
        <v>#VALUE!</v>
      </c>
      <c r="AI40" s="130" t="e">
        <f t="shared" si="18"/>
        <v>#VALUE!</v>
      </c>
      <c r="AJ40" s="43"/>
      <c r="AK40" s="47"/>
      <c r="AL40" s="49" t="s">
        <v>120</v>
      </c>
      <c r="AM40" s="47"/>
      <c r="AN40" s="47"/>
      <c r="AO40" s="47"/>
      <c r="AP40" s="62" t="s">
        <v>46</v>
      </c>
      <c r="AQ40" s="67" t="s">
        <v>80</v>
      </c>
      <c r="AR40" s="47"/>
    </row>
    <row r="41" spans="1:44" ht="21.75" customHeight="1" thickBot="1">
      <c r="A41" s="50" t="s">
        <v>4</v>
      </c>
      <c r="B41" s="78"/>
      <c r="C41" s="41"/>
      <c r="D41" s="41">
        <v>20</v>
      </c>
      <c r="G41" s="185" t="str">
        <f>_xll.DBRA(Server&amp;$A$21,$A41,$H$18)</f>
        <v>Income tax expense</v>
      </c>
      <c r="H41" s="186"/>
      <c r="I41" s="126" t="e">
        <f>_xll.DBRW($G$3,$H$15,$H$17,$H$13,$H$16,$H$14,I$2,$H$12,$A41)</f>
        <v>#VALUE!</v>
      </c>
      <c r="J41" s="127" t="e">
        <f>_xll.DBRW($G$3,$H$15,$H$17,$H$13,$H$16,$H$14,J$2,$H$12,$A41)</f>
        <v>#VALUE!</v>
      </c>
      <c r="K41" s="127" t="e">
        <f>_xll.DBRW($G$3,$H$15,$H$17,$H$13,$H$16,$H$14,K$2,$H$12,$A41)</f>
        <v>#VALUE!</v>
      </c>
      <c r="L41" s="127" t="e">
        <f>_xll.DBRW($G$3,$H$15,$H$17,$H$13,$H$16,$H$14,L$2,$H$12,$A41)</f>
        <v>#VALUE!</v>
      </c>
      <c r="M41" s="127" t="e">
        <f>_xll.DBRW($G$3,$H$15,$H$17,$H$13,$H$16,$H$14,M$2,$H$12,$A41)</f>
        <v>#VALUE!</v>
      </c>
      <c r="N41" s="127" t="e">
        <f>_xll.DBRW($G$3,$H$15,$H$17,$H$13,$H$16,$H$14,N$2,$H$12,$A41)</f>
        <v>#VALUE!</v>
      </c>
      <c r="O41" s="127" t="e">
        <f>_xll.DBRW($G$3,$H$15,$H$17,$H$13,$H$16,$H$14,O$2,$H$12,$A41)</f>
        <v>#VALUE!</v>
      </c>
      <c r="P41" s="128" t="e">
        <f>_xll.DBRW($G$3,$H$15,$H$17,$H$13,$H$16,$H$14,P$2,$H$12,$A41)</f>
        <v>#VALUE!</v>
      </c>
      <c r="Q41" s="131"/>
      <c r="R41" s="131"/>
      <c r="S41" s="126" t="e">
        <f>_xll.DBRW($G$3,$U$15,$H$17,$U$13,$U$16,$U$14,S$2,$U$12,$A41)</f>
        <v>#VALUE!</v>
      </c>
      <c r="T41" s="127" t="e">
        <f>_xll.DBRW($G$3,$U$15,$H$17,$U$13,$U$16,$U$14,T$2,$U$12,$A41)</f>
        <v>#VALUE!</v>
      </c>
      <c r="U41" s="127" t="e">
        <f>_xll.DBRW($G$3,$U$15,$H$17,$U$13,$U$16,$U$14,U$2,$U$12,$A41)</f>
        <v>#VALUE!</v>
      </c>
      <c r="V41" s="127" t="e">
        <f>_xll.DBRW($G$3,$U$15,$H$17,$U$13,$U$16,$U$14,V$2,$U$12,$A41)</f>
        <v>#VALUE!</v>
      </c>
      <c r="W41" s="127" t="e">
        <f>_xll.DBRW($G$3,$U$15,$H$17,$U$13,$U$16,$U$14,W$2,$U$12,$A41)</f>
        <v>#VALUE!</v>
      </c>
      <c r="X41" s="127" t="e">
        <f>_xll.DBRW($G$3,$U$15,$H$17,$U$13,$U$16,$U$14,X$2,$U$12,$A41)</f>
        <v>#VALUE!</v>
      </c>
      <c r="Y41" s="127" t="e">
        <f>_xll.DBRW($G$3,$U$15,$H$17,$U$13,$U$16,$U$14,Y$2,$U$12,$A41)</f>
        <v>#VALUE!</v>
      </c>
      <c r="Z41" s="128" t="e">
        <f>_xll.DBRW($G$3,$U$15,$H$17,$U$13,$U$16,$U$14,Z$2,$U$12,$A41)</f>
        <v>#VALUE!</v>
      </c>
      <c r="AA41" s="131"/>
      <c r="AB41" s="126" t="e">
        <f t="shared" si="21"/>
        <v>#VALUE!</v>
      </c>
      <c r="AC41" s="127" t="e">
        <f t="shared" si="12"/>
        <v>#VALUE!</v>
      </c>
      <c r="AD41" s="127" t="e">
        <f t="shared" si="13"/>
        <v>#VALUE!</v>
      </c>
      <c r="AE41" s="127" t="e">
        <f t="shared" si="14"/>
        <v>#VALUE!</v>
      </c>
      <c r="AF41" s="127" t="e">
        <f t="shared" si="15"/>
        <v>#VALUE!</v>
      </c>
      <c r="AG41" s="127" t="e">
        <f t="shared" si="16"/>
        <v>#VALUE!</v>
      </c>
      <c r="AH41" s="127" t="e">
        <f t="shared" si="17"/>
        <v>#VALUE!</v>
      </c>
      <c r="AI41" s="128" t="e">
        <f t="shared" si="18"/>
        <v>#VALUE!</v>
      </c>
      <c r="AJ41" s="43"/>
      <c r="AK41" s="59"/>
      <c r="AL41" s="60" t="s">
        <v>53</v>
      </c>
      <c r="AM41" s="63" t="str">
        <f>_xll.DBRA(Server&amp;"LTP_Components",$AL54,$H$18)</f>
        <v/>
      </c>
      <c r="AN41" s="61" t="e">
        <f>IF($AN$28 = "1",$AM$28,$AM$29)</f>
        <v>#VALUE!</v>
      </c>
      <c r="AO41" s="47"/>
      <c r="AP41" s="62" t="s">
        <v>57</v>
      </c>
      <c r="AQ41" s="62" t="s">
        <v>64</v>
      </c>
      <c r="AR41" s="47"/>
    </row>
    <row r="42" spans="1:44" ht="21.75" hidden="1" customHeight="1" outlineLevel="1" thickBot="1">
      <c r="A42" s="50" t="s">
        <v>144</v>
      </c>
      <c r="B42" s="78"/>
      <c r="C42" s="41"/>
      <c r="D42" s="41">
        <v>21</v>
      </c>
      <c r="G42" s="185" t="str">
        <f>_xll.DBRA(Server&amp;$A$21,$A42,$H$18)</f>
        <v>Profit or loss from discontinued activities</v>
      </c>
      <c r="H42" s="186"/>
      <c r="I42" s="126" t="e">
        <f>_xll.DBRW($G$3,$H$15,$H$17,$H$13,$H$16,$H$14,I$2,$H$12,$A42)</f>
        <v>#VALUE!</v>
      </c>
      <c r="J42" s="127" t="e">
        <f>_xll.DBRW($G$3,$H$15,$H$17,$H$13,$H$16,$H$14,J$2,$H$12,$A42)</f>
        <v>#VALUE!</v>
      </c>
      <c r="K42" s="127" t="e">
        <f>_xll.DBRW($G$3,$H$15,$H$17,$H$13,$H$16,$H$14,K$2,$H$12,$A42)</f>
        <v>#VALUE!</v>
      </c>
      <c r="L42" s="127" t="e">
        <f>_xll.DBRW($G$3,$H$15,$H$17,$H$13,$H$16,$H$14,L$2,$H$12,$A42)</f>
        <v>#VALUE!</v>
      </c>
      <c r="M42" s="127" t="e">
        <f>_xll.DBRW($G$3,$H$15,$H$17,$H$13,$H$16,$H$14,M$2,$H$12,$A42)</f>
        <v>#VALUE!</v>
      </c>
      <c r="N42" s="127" t="e">
        <f>_xll.DBRW($G$3,$H$15,$H$17,$H$13,$H$16,$H$14,N$2,$H$12,$A42)</f>
        <v>#VALUE!</v>
      </c>
      <c r="O42" s="127" t="e">
        <f>_xll.DBRW($G$3,$H$15,$H$17,$H$13,$H$16,$H$14,O$2,$H$12,$A42)</f>
        <v>#VALUE!</v>
      </c>
      <c r="P42" s="128" t="e">
        <f>_xll.DBRW($G$3,$H$15,$H$17,$H$13,$H$16,$H$14,P$2,$H$12,$A42)</f>
        <v>#VALUE!</v>
      </c>
      <c r="Q42" s="131"/>
      <c r="R42" s="131"/>
      <c r="S42" s="126" t="e">
        <f>_xll.DBRW($G$3,$U$15,$H$17,$U$13,$U$16,$U$14,S$2,$U$12,$A42)</f>
        <v>#VALUE!</v>
      </c>
      <c r="T42" s="127" t="e">
        <f>_xll.DBRW($G$3,$U$15,$H$17,$U$13,$U$16,$U$14,T$2,$U$12,$A42)</f>
        <v>#VALUE!</v>
      </c>
      <c r="U42" s="127" t="e">
        <f>_xll.DBRW($G$3,$U$15,$H$17,$U$13,$U$16,$U$14,U$2,$U$12,$A42)</f>
        <v>#VALUE!</v>
      </c>
      <c r="V42" s="127" t="e">
        <f>_xll.DBRW($G$3,$U$15,$H$17,$U$13,$U$16,$U$14,V$2,$U$12,$A42)</f>
        <v>#VALUE!</v>
      </c>
      <c r="W42" s="127" t="e">
        <f>_xll.DBRW($G$3,$U$15,$H$17,$U$13,$U$16,$U$14,W$2,$U$12,$A42)</f>
        <v>#VALUE!</v>
      </c>
      <c r="X42" s="127" t="e">
        <f>_xll.DBRW($G$3,$U$15,$H$17,$U$13,$U$16,$U$14,X$2,$U$12,$A42)</f>
        <v>#VALUE!</v>
      </c>
      <c r="Y42" s="127" t="e">
        <f>_xll.DBRW($G$3,$U$15,$H$17,$U$13,$U$16,$U$14,Y$2,$U$12,$A42)</f>
        <v>#VALUE!</v>
      </c>
      <c r="Z42" s="128" t="e">
        <f>_xll.DBRW($G$3,$U$15,$H$17,$U$13,$U$16,$U$14,Z$2,$U$12,$A42)</f>
        <v>#VALUE!</v>
      </c>
      <c r="AA42" s="131"/>
      <c r="AB42" s="126" t="e">
        <f t="shared" si="21"/>
        <v>#VALUE!</v>
      </c>
      <c r="AC42" s="127" t="e">
        <f t="shared" si="12"/>
        <v>#VALUE!</v>
      </c>
      <c r="AD42" s="127" t="e">
        <f t="shared" si="13"/>
        <v>#VALUE!</v>
      </c>
      <c r="AE42" s="127" t="e">
        <f t="shared" si="14"/>
        <v>#VALUE!</v>
      </c>
      <c r="AF42" s="127" t="e">
        <f t="shared" si="15"/>
        <v>#VALUE!</v>
      </c>
      <c r="AG42" s="127" t="e">
        <f t="shared" si="16"/>
        <v>#VALUE!</v>
      </c>
      <c r="AH42" s="127" t="e">
        <f t="shared" si="17"/>
        <v>#VALUE!</v>
      </c>
      <c r="AI42" s="128" t="e">
        <f t="shared" si="18"/>
        <v>#VALUE!</v>
      </c>
      <c r="AJ42" s="43"/>
      <c r="AK42" s="47"/>
      <c r="AL42" s="49"/>
      <c r="AM42" s="47"/>
      <c r="AN42" s="47"/>
      <c r="AO42" s="47"/>
      <c r="AP42" s="67"/>
      <c r="AQ42" s="67"/>
      <c r="AR42" s="47"/>
    </row>
    <row r="43" spans="1:44" ht="21.75" customHeight="1" collapsed="1" thickBot="1">
      <c r="A43" s="50" t="s">
        <v>5</v>
      </c>
      <c r="B43" s="64"/>
      <c r="C43" s="41"/>
      <c r="D43" s="41">
        <v>22</v>
      </c>
      <c r="G43" s="192" t="str">
        <f>_xll.DBRA(Server&amp;$A$21,$A43,$H$18)</f>
        <v>NET PROFIT OR LOSS</v>
      </c>
      <c r="H43" s="193"/>
      <c r="I43" s="134" t="e">
        <f>_xll.DBRW($G$3,$H$15,$H$17,$H$13,$H$16,$H$14,I$2,$H$12,$A43)</f>
        <v>#VALUE!</v>
      </c>
      <c r="J43" s="134" t="e">
        <f>_xll.DBRW($G$3,$H$15,$H$17,$H$13,$H$16,$H$14,J$2,$H$12,$A43)</f>
        <v>#VALUE!</v>
      </c>
      <c r="K43" s="134" t="e">
        <f>_xll.DBRW($G$3,$H$15,$H$17,$H$13,$H$16,$H$14,K$2,$H$12,$A43)</f>
        <v>#VALUE!</v>
      </c>
      <c r="L43" s="134" t="e">
        <f>_xll.DBRW($G$3,$H$15,$H$17,$H$13,$H$16,$H$14,L$2,$H$12,$A43)</f>
        <v>#VALUE!</v>
      </c>
      <c r="M43" s="134" t="e">
        <f>_xll.DBRW($G$3,$H$15,$H$17,$H$13,$H$16,$H$14,M$2,$H$12,$A43)</f>
        <v>#VALUE!</v>
      </c>
      <c r="N43" s="134" t="e">
        <f>_xll.DBRW($G$3,$H$15,$H$17,$H$13,$H$16,$H$14,N$2,$H$12,$A43)</f>
        <v>#VALUE!</v>
      </c>
      <c r="O43" s="134" t="e">
        <f>_xll.DBRW($G$3,$H$15,$H$17,$H$13,$H$16,$H$14,O$2,$H$12,$A43)</f>
        <v>#VALUE!</v>
      </c>
      <c r="P43" s="134" t="e">
        <f>_xll.DBRW($G$3,$H$15,$H$17,$H$13,$H$16,$H$14,P$2,$H$12,$A43)</f>
        <v>#VALUE!</v>
      </c>
      <c r="Q43" s="131" t="e">
        <f>SUM(I43:P43)-SUM(I40:P42)</f>
        <v>#VALUE!</v>
      </c>
      <c r="R43" s="131"/>
      <c r="S43" s="134" t="e">
        <f>_xll.DBRW($G$3,$U$15,$H$17,$U$13,$U$16,$U$14,S$2,$U$12,$A43)</f>
        <v>#VALUE!</v>
      </c>
      <c r="T43" s="134" t="e">
        <f>_xll.DBRW($G$3,$U$15,$H$17,$U$13,$U$16,$U$14,T$2,$U$12,$A43)</f>
        <v>#VALUE!</v>
      </c>
      <c r="U43" s="134" t="e">
        <f>_xll.DBRW($G$3,$U$15,$H$17,$U$13,$U$16,$U$14,U$2,$U$12,$A43)</f>
        <v>#VALUE!</v>
      </c>
      <c r="V43" s="134" t="e">
        <f>_xll.DBRW($G$3,$U$15,$H$17,$U$13,$U$16,$U$14,V$2,$U$12,$A43)</f>
        <v>#VALUE!</v>
      </c>
      <c r="W43" s="134" t="e">
        <f>_xll.DBRW($G$3,$U$15,$H$17,$U$13,$U$16,$U$14,W$2,$U$12,$A43)</f>
        <v>#VALUE!</v>
      </c>
      <c r="X43" s="134" t="e">
        <f>_xll.DBRW($G$3,$U$15,$H$17,$U$13,$U$16,$U$14,X$2,$U$12,$A43)</f>
        <v>#VALUE!</v>
      </c>
      <c r="Y43" s="134" t="e">
        <f>_xll.DBRW($G$3,$U$15,$H$17,$U$13,$U$16,$U$14,Y$2,$U$12,$A43)</f>
        <v>#VALUE!</v>
      </c>
      <c r="Z43" s="134" t="e">
        <f>_xll.DBRW($G$3,$U$15,$H$17,$U$13,$U$16,$U$14,Z$2,$U$12,$A43)</f>
        <v>#VALUE!</v>
      </c>
      <c r="AA43" s="131" t="e">
        <f>SUM(S43:Z43)-SUM(S40:Z42)</f>
        <v>#VALUE!</v>
      </c>
      <c r="AB43" s="134" t="e">
        <f t="shared" si="21"/>
        <v>#VALUE!</v>
      </c>
      <c r="AC43" s="134" t="e">
        <f t="shared" si="12"/>
        <v>#VALUE!</v>
      </c>
      <c r="AD43" s="134" t="e">
        <f t="shared" si="13"/>
        <v>#VALUE!</v>
      </c>
      <c r="AE43" s="134" t="e">
        <f t="shared" si="14"/>
        <v>#VALUE!</v>
      </c>
      <c r="AF43" s="134" t="e">
        <f t="shared" si="15"/>
        <v>#VALUE!</v>
      </c>
      <c r="AG43" s="134" t="e">
        <f t="shared" si="16"/>
        <v>#VALUE!</v>
      </c>
      <c r="AH43" s="134" t="e">
        <f t="shared" si="17"/>
        <v>#VALUE!</v>
      </c>
      <c r="AI43" s="134" t="e">
        <f t="shared" si="18"/>
        <v>#VALUE!</v>
      </c>
      <c r="AJ43" s="43"/>
      <c r="AK43" s="47"/>
      <c r="AL43" s="49"/>
      <c r="AM43" s="47"/>
      <c r="AN43" s="47"/>
      <c r="AO43" s="47"/>
      <c r="AP43" s="67"/>
      <c r="AQ43" s="67"/>
      <c r="AR43" s="47"/>
    </row>
    <row r="44" spans="1:44" ht="21.75" customHeight="1" thickBot="1">
      <c r="A44" s="50" t="s">
        <v>6</v>
      </c>
      <c r="B44" s="41"/>
      <c r="C44" s="41"/>
      <c r="D44" s="41">
        <v>23</v>
      </c>
      <c r="G44" s="185" t="str">
        <f>_xll.DBRA(Server&amp;$A$21,$A44,$H$18)</f>
        <v>Non controlling Interest</v>
      </c>
      <c r="H44" s="186"/>
      <c r="I44" s="126" t="e">
        <f>_xll.DBRW($G$3,$H$15,$H$17,$H$13,$H$16,$H$14,I$2,$H$12,$A44)</f>
        <v>#VALUE!</v>
      </c>
      <c r="J44" s="127" t="e">
        <f>_xll.DBRW($G$3,$H$15,$H$17,$H$13,$H$16,$H$14,J$2,$H$12,$A44)</f>
        <v>#VALUE!</v>
      </c>
      <c r="K44" s="127" t="e">
        <f>_xll.DBRW($G$3,$H$15,$H$17,$H$13,$H$16,$H$14,K$2,$H$12,$A44)</f>
        <v>#VALUE!</v>
      </c>
      <c r="L44" s="127" t="e">
        <f>_xll.DBRW($G$3,$H$15,$H$17,$H$13,$H$16,$H$14,L$2,$H$12,$A44)</f>
        <v>#VALUE!</v>
      </c>
      <c r="M44" s="127" t="e">
        <f>_xll.DBRW($G$3,$H$15,$H$17,$H$13,$H$16,$H$14,M$2,$H$12,$A44)</f>
        <v>#VALUE!</v>
      </c>
      <c r="N44" s="127" t="e">
        <f>_xll.DBRW($G$3,$H$15,$H$17,$H$13,$H$16,$H$14,N$2,$H$12,$A44)</f>
        <v>#VALUE!</v>
      </c>
      <c r="O44" s="127" t="e">
        <f>_xll.DBRW($G$3,$H$15,$H$17,$H$13,$H$16,$H$14,O$2,$H$12,$A44)</f>
        <v>#VALUE!</v>
      </c>
      <c r="P44" s="128" t="e">
        <f>_xll.DBRW($G$3,$H$15,$H$17,$H$13,$H$16,$H$14,P$2,$H$12,$A44)</f>
        <v>#VALUE!</v>
      </c>
      <c r="Q44" s="131"/>
      <c r="R44" s="131"/>
      <c r="S44" s="126" t="e">
        <f>_xll.DBRW($G$3,$U$15,$H$17,$U$13,$U$16,$U$14,S$2,$U$12,$A44)</f>
        <v>#VALUE!</v>
      </c>
      <c r="T44" s="127" t="e">
        <f>_xll.DBRW($G$3,$U$15,$H$17,$U$13,$U$16,$U$14,T$2,$U$12,$A44)</f>
        <v>#VALUE!</v>
      </c>
      <c r="U44" s="127" t="e">
        <f>_xll.DBRW($G$3,$U$15,$H$17,$U$13,$U$16,$U$14,U$2,$U$12,$A44)</f>
        <v>#VALUE!</v>
      </c>
      <c r="V44" s="127" t="e">
        <f>_xll.DBRW($G$3,$U$15,$H$17,$U$13,$U$16,$U$14,V$2,$U$12,$A44)</f>
        <v>#VALUE!</v>
      </c>
      <c r="W44" s="127" t="e">
        <f>_xll.DBRW($G$3,$U$15,$H$17,$U$13,$U$16,$U$14,W$2,$U$12,$A44)</f>
        <v>#VALUE!</v>
      </c>
      <c r="X44" s="127" t="e">
        <f>_xll.DBRW($G$3,$U$15,$H$17,$U$13,$U$16,$U$14,X$2,$U$12,$A44)</f>
        <v>#VALUE!</v>
      </c>
      <c r="Y44" s="127" t="e">
        <f>_xll.DBRW($G$3,$U$15,$H$17,$U$13,$U$16,$U$14,Y$2,$U$12,$A44)</f>
        <v>#VALUE!</v>
      </c>
      <c r="Z44" s="128" t="e">
        <f>_xll.DBRW($G$3,$U$15,$H$17,$U$13,$U$16,$U$14,Z$2,$U$12,$A44)</f>
        <v>#VALUE!</v>
      </c>
      <c r="AA44" s="131"/>
      <c r="AB44" s="126" t="e">
        <f t="shared" si="21"/>
        <v>#VALUE!</v>
      </c>
      <c r="AC44" s="127" t="e">
        <f t="shared" si="12"/>
        <v>#VALUE!</v>
      </c>
      <c r="AD44" s="127" t="e">
        <f t="shared" si="13"/>
        <v>#VALUE!</v>
      </c>
      <c r="AE44" s="127" t="e">
        <f t="shared" si="14"/>
        <v>#VALUE!</v>
      </c>
      <c r="AF44" s="127" t="e">
        <f t="shared" si="15"/>
        <v>#VALUE!</v>
      </c>
      <c r="AG44" s="127" t="e">
        <f t="shared" si="16"/>
        <v>#VALUE!</v>
      </c>
      <c r="AH44" s="127" t="e">
        <f t="shared" si="17"/>
        <v>#VALUE!</v>
      </c>
      <c r="AI44" s="128" t="e">
        <f t="shared" si="18"/>
        <v>#VALUE!</v>
      </c>
      <c r="AJ44" s="43"/>
      <c r="AK44" s="47"/>
      <c r="AL44" s="49" t="s">
        <v>121</v>
      </c>
      <c r="AM44" s="47"/>
      <c r="AN44" s="47"/>
      <c r="AO44" s="47"/>
      <c r="AP44" s="47" t="s">
        <v>44</v>
      </c>
      <c r="AQ44" s="47"/>
      <c r="AR44" s="47"/>
    </row>
    <row r="45" spans="1:44" ht="21.75" customHeight="1" thickBot="1">
      <c r="A45" s="50" t="s">
        <v>7</v>
      </c>
      <c r="B45" s="64"/>
      <c r="C45" s="41"/>
      <c r="D45" s="41">
        <v>24</v>
      </c>
      <c r="G45" s="192" t="str">
        <f>_xll.DBRA(Server&amp;$A$21,$A45,$H$18)</f>
        <v>NET PROFIT OR LOSS ATTRIBUTABLE TO GROUP</v>
      </c>
      <c r="H45" s="193"/>
      <c r="I45" s="134" t="e">
        <f>_xll.DBRW($G$3,$H$15,$H$17,$H$13,$H$16,$H$14,I$2,$H$12,$A45)</f>
        <v>#VALUE!</v>
      </c>
      <c r="J45" s="134" t="e">
        <f>_xll.DBRW($G$3,$H$15,$H$17,$H$13,$H$16,$H$14,J$2,$H$12,$A45)</f>
        <v>#VALUE!</v>
      </c>
      <c r="K45" s="134" t="e">
        <f>_xll.DBRW($G$3,$H$15,$H$17,$H$13,$H$16,$H$14,K$2,$H$12,$A45)</f>
        <v>#VALUE!</v>
      </c>
      <c r="L45" s="134" t="e">
        <f>_xll.DBRW($G$3,$H$15,$H$17,$H$13,$H$16,$H$14,L$2,$H$12,$A45)</f>
        <v>#VALUE!</v>
      </c>
      <c r="M45" s="134" t="e">
        <f>_xll.DBRW($G$3,$H$15,$H$17,$H$13,$H$16,$H$14,M$2,$H$12,$A45)</f>
        <v>#VALUE!</v>
      </c>
      <c r="N45" s="134" t="e">
        <f>_xll.DBRW($G$3,$H$15,$H$17,$H$13,$H$16,$H$14,N$2,$H$12,$A45)</f>
        <v>#VALUE!</v>
      </c>
      <c r="O45" s="134" t="e">
        <f>_xll.DBRW($G$3,$H$15,$H$17,$H$13,$H$16,$H$14,O$2,$H$12,$A45)</f>
        <v>#VALUE!</v>
      </c>
      <c r="P45" s="134" t="e">
        <f>_xll.DBRW($G$3,$H$15,$H$17,$H$13,$H$16,$H$14,P$2,$H$12,$A45)</f>
        <v>#VALUE!</v>
      </c>
      <c r="Q45" s="131" t="e">
        <f>SUM(I45:P45)-SUM(I43:P44)</f>
        <v>#VALUE!</v>
      </c>
      <c r="R45" s="131"/>
      <c r="S45" s="134" t="e">
        <f>_xll.DBRW($G$3,$U$15,$H$17,$U$13,$U$16,$U$14,S$2,$U$12,$A45)</f>
        <v>#VALUE!</v>
      </c>
      <c r="T45" s="134" t="e">
        <f>_xll.DBRW($G$3,$U$15,$H$17,$U$13,$U$16,$U$14,T$2,$U$12,$A45)</f>
        <v>#VALUE!</v>
      </c>
      <c r="U45" s="134" t="e">
        <f>_xll.DBRW($G$3,$U$15,$H$17,$U$13,$U$16,$U$14,U$2,$U$12,$A45)</f>
        <v>#VALUE!</v>
      </c>
      <c r="V45" s="134" t="e">
        <f>_xll.DBRW($G$3,$U$15,$H$17,$U$13,$U$16,$U$14,V$2,$U$12,$A45)</f>
        <v>#VALUE!</v>
      </c>
      <c r="W45" s="134" t="e">
        <f>_xll.DBRW($G$3,$U$15,$H$17,$U$13,$U$16,$U$14,W$2,$U$12,$A45)</f>
        <v>#VALUE!</v>
      </c>
      <c r="X45" s="134" t="e">
        <f>_xll.DBRW($G$3,$U$15,$H$17,$U$13,$U$16,$U$14,X$2,$U$12,$A45)</f>
        <v>#VALUE!</v>
      </c>
      <c r="Y45" s="134" t="e">
        <f>_xll.DBRW($G$3,$U$15,$H$17,$U$13,$U$16,$U$14,Y$2,$U$12,$A45)</f>
        <v>#VALUE!</v>
      </c>
      <c r="Z45" s="134" t="e">
        <f>_xll.DBRW($G$3,$U$15,$H$17,$U$13,$U$16,$U$14,Z$2,$U$12,$A45)</f>
        <v>#VALUE!</v>
      </c>
      <c r="AA45" s="131" t="e">
        <f>SUM(S45:Z45)-SUM(S43:Z44)</f>
        <v>#VALUE!</v>
      </c>
      <c r="AB45" s="134" t="e">
        <f t="shared" si="21"/>
        <v>#VALUE!</v>
      </c>
      <c r="AC45" s="134" t="e">
        <f t="shared" si="12"/>
        <v>#VALUE!</v>
      </c>
      <c r="AD45" s="134" t="e">
        <f t="shared" si="13"/>
        <v>#VALUE!</v>
      </c>
      <c r="AE45" s="134" t="e">
        <f t="shared" si="14"/>
        <v>#VALUE!</v>
      </c>
      <c r="AF45" s="134" t="e">
        <f t="shared" si="15"/>
        <v>#VALUE!</v>
      </c>
      <c r="AG45" s="134" t="e">
        <f t="shared" si="16"/>
        <v>#VALUE!</v>
      </c>
      <c r="AH45" s="134" t="e">
        <f t="shared" si="17"/>
        <v>#VALUE!</v>
      </c>
      <c r="AI45" s="134" t="e">
        <f t="shared" si="18"/>
        <v>#VALUE!</v>
      </c>
      <c r="AJ45" s="43"/>
      <c r="AK45" s="47"/>
      <c r="AL45" s="49"/>
      <c r="AM45" s="47"/>
      <c r="AN45" s="47"/>
      <c r="AO45" s="47"/>
      <c r="AP45" s="47"/>
      <c r="AQ45" s="47"/>
      <c r="AR45" s="47"/>
    </row>
    <row r="46" spans="1:44" s="94" customFormat="1" ht="21.75" customHeight="1">
      <c r="A46" s="89" t="s">
        <v>157</v>
      </c>
      <c r="B46" s="90"/>
      <c r="C46" s="91"/>
      <c r="D46" s="41">
        <v>25</v>
      </c>
      <c r="E46" s="92"/>
      <c r="F46" s="93"/>
      <c r="G46" s="132" t="str">
        <f>IF(H18="English","        Net profit GS margin (% ROA)","        Marge RNPG (%PAO)")</f>
        <v xml:space="preserve">        Net profit GS margin (% ROA)</v>
      </c>
      <c r="H46" s="132"/>
      <c r="I46" s="133">
        <f t="shared" ref="I46:Z46" si="24">IF(ISERROR(+I$45/I$26)=TRUE,0,+I$45/I$26)</f>
        <v>0</v>
      </c>
      <c r="J46" s="133">
        <f t="shared" si="24"/>
        <v>0</v>
      </c>
      <c r="K46" s="133">
        <f t="shared" si="24"/>
        <v>0</v>
      </c>
      <c r="L46" s="133">
        <f t="shared" si="24"/>
        <v>0</v>
      </c>
      <c r="M46" s="133">
        <f t="shared" si="24"/>
        <v>0</v>
      </c>
      <c r="N46" s="133">
        <f t="shared" si="24"/>
        <v>0</v>
      </c>
      <c r="O46" s="133">
        <f t="shared" si="24"/>
        <v>0</v>
      </c>
      <c r="P46" s="133">
        <f t="shared" si="24"/>
        <v>0</v>
      </c>
      <c r="Q46" s="131"/>
      <c r="R46" s="131"/>
      <c r="S46" s="133">
        <f t="shared" si="24"/>
        <v>0</v>
      </c>
      <c r="T46" s="133">
        <f t="shared" si="24"/>
        <v>0</v>
      </c>
      <c r="U46" s="133">
        <f t="shared" si="24"/>
        <v>0</v>
      </c>
      <c r="V46" s="133">
        <f t="shared" si="24"/>
        <v>0</v>
      </c>
      <c r="W46" s="133">
        <f t="shared" si="24"/>
        <v>0</v>
      </c>
      <c r="X46" s="133">
        <f t="shared" si="24"/>
        <v>0</v>
      </c>
      <c r="Y46" s="133">
        <f t="shared" si="24"/>
        <v>0</v>
      </c>
      <c r="Z46" s="133">
        <f t="shared" si="24"/>
        <v>0</v>
      </c>
      <c r="AA46" s="131"/>
      <c r="AB46" s="133">
        <f t="shared" si="21"/>
        <v>0</v>
      </c>
      <c r="AC46" s="133">
        <f t="shared" si="12"/>
        <v>0</v>
      </c>
      <c r="AD46" s="133">
        <f t="shared" si="13"/>
        <v>0</v>
      </c>
      <c r="AE46" s="133">
        <f t="shared" si="14"/>
        <v>0</v>
      </c>
      <c r="AF46" s="133">
        <f t="shared" si="15"/>
        <v>0</v>
      </c>
      <c r="AG46" s="133">
        <f t="shared" si="16"/>
        <v>0</v>
      </c>
      <c r="AH46" s="133">
        <f t="shared" si="17"/>
        <v>0</v>
      </c>
      <c r="AI46" s="133">
        <f t="shared" si="18"/>
        <v>0</v>
      </c>
      <c r="AK46" s="98"/>
      <c r="AL46" s="100" t="s">
        <v>82</v>
      </c>
      <c r="AM46" s="98"/>
      <c r="AN46" s="98"/>
      <c r="AO46" s="98"/>
      <c r="AP46" s="101"/>
      <c r="AQ46" s="101"/>
      <c r="AR46" s="98"/>
    </row>
    <row r="47" spans="1:44" ht="24.75" customHeight="1">
      <c r="A47" s="41"/>
      <c r="B47" s="41"/>
      <c r="C47" s="41"/>
      <c r="D47" s="41">
        <v>26</v>
      </c>
      <c r="G47" s="135"/>
      <c r="H47" s="136" t="s">
        <v>8</v>
      </c>
      <c r="I47" s="137"/>
      <c r="J47" s="137"/>
      <c r="K47" s="137"/>
      <c r="L47" s="137"/>
      <c r="M47" s="137"/>
      <c r="N47" s="137"/>
      <c r="O47" s="137"/>
      <c r="P47" s="137"/>
      <c r="Q47" s="131"/>
      <c r="R47" s="131"/>
      <c r="S47" s="137"/>
      <c r="T47" s="137"/>
      <c r="U47" s="137"/>
      <c r="V47" s="137"/>
      <c r="W47" s="137"/>
      <c r="X47" s="137"/>
      <c r="Y47" s="137"/>
      <c r="Z47" s="137"/>
      <c r="AA47" s="131"/>
      <c r="AB47" s="137"/>
      <c r="AC47" s="137"/>
      <c r="AD47" s="137"/>
      <c r="AE47" s="137"/>
      <c r="AF47" s="137"/>
      <c r="AG47" s="137"/>
      <c r="AH47" s="137"/>
      <c r="AI47" s="137"/>
      <c r="AJ47" s="43"/>
      <c r="AK47" s="47"/>
      <c r="AL47" s="49"/>
      <c r="AM47" s="47"/>
      <c r="AN47" s="47"/>
      <c r="AO47" s="47"/>
      <c r="AP47" s="67" t="s">
        <v>82</v>
      </c>
      <c r="AQ47" s="47"/>
      <c r="AR47" s="47"/>
    </row>
    <row r="48" spans="1:44" s="119" customFormat="1" ht="27.75" customHeight="1">
      <c r="A48" s="115"/>
      <c r="B48" s="115"/>
      <c r="C48" s="115"/>
      <c r="D48" s="115">
        <v>27</v>
      </c>
      <c r="E48" s="116"/>
      <c r="F48" s="117"/>
      <c r="G48" s="187" t="str">
        <f>_xll.DBRA(Server&amp;$AL$25,$AL$51,$H$18)</f>
        <v>II - CASH FLOW STATEMENT</v>
      </c>
      <c r="H48" s="187"/>
      <c r="I48" s="121" t="e">
        <f>I$21</f>
        <v>#VALUE!</v>
      </c>
      <c r="J48" s="121" t="e">
        <f t="shared" ref="J48:P48" si="25">J$21</f>
        <v>#VALUE!</v>
      </c>
      <c r="K48" s="121" t="e">
        <f t="shared" si="25"/>
        <v>#VALUE!</v>
      </c>
      <c r="L48" s="121" t="e">
        <f t="shared" si="25"/>
        <v>#VALUE!</v>
      </c>
      <c r="M48" s="121" t="e">
        <f t="shared" si="25"/>
        <v>#VALUE!</v>
      </c>
      <c r="N48" s="121" t="e">
        <f t="shared" si="25"/>
        <v>#VALUE!</v>
      </c>
      <c r="O48" s="121" t="e">
        <f t="shared" si="25"/>
        <v>#VALUE!</v>
      </c>
      <c r="P48" s="121" t="e">
        <f t="shared" si="25"/>
        <v>#VALUE!</v>
      </c>
      <c r="Q48" s="131"/>
      <c r="R48" s="131"/>
      <c r="S48" s="121" t="e">
        <f>S$21</f>
        <v>#VALUE!</v>
      </c>
      <c r="T48" s="121" t="e">
        <f t="shared" ref="T48:Z48" si="26">T$21</f>
        <v>#VALUE!</v>
      </c>
      <c r="U48" s="121" t="e">
        <f t="shared" si="26"/>
        <v>#VALUE!</v>
      </c>
      <c r="V48" s="121" t="e">
        <f t="shared" si="26"/>
        <v>#VALUE!</v>
      </c>
      <c r="W48" s="121" t="e">
        <f t="shared" si="26"/>
        <v>#VALUE!</v>
      </c>
      <c r="X48" s="121" t="e">
        <f t="shared" si="26"/>
        <v>#VALUE!</v>
      </c>
      <c r="Y48" s="121" t="e">
        <f t="shared" si="26"/>
        <v>#VALUE!</v>
      </c>
      <c r="Z48" s="121" t="e">
        <f t="shared" si="26"/>
        <v>#VALUE!</v>
      </c>
      <c r="AA48" s="131"/>
      <c r="AB48" s="121" t="e">
        <f>I48</f>
        <v>#VALUE!</v>
      </c>
      <c r="AC48" s="121" t="e">
        <f t="shared" ref="AC48:AI48" si="27">J48</f>
        <v>#VALUE!</v>
      </c>
      <c r="AD48" s="121" t="e">
        <f t="shared" si="27"/>
        <v>#VALUE!</v>
      </c>
      <c r="AE48" s="121" t="e">
        <f t="shared" si="27"/>
        <v>#VALUE!</v>
      </c>
      <c r="AF48" s="121" t="e">
        <f t="shared" si="27"/>
        <v>#VALUE!</v>
      </c>
      <c r="AG48" s="121" t="e">
        <f t="shared" si="27"/>
        <v>#VALUE!</v>
      </c>
      <c r="AH48" s="121" t="e">
        <f t="shared" si="27"/>
        <v>#VALUE!</v>
      </c>
      <c r="AI48" s="121" t="e">
        <f t="shared" si="27"/>
        <v>#VALUE!</v>
      </c>
      <c r="AK48" s="161"/>
      <c r="AL48" s="162"/>
      <c r="AM48" s="161"/>
      <c r="AN48" s="161"/>
      <c r="AO48" s="161"/>
      <c r="AP48" s="163" t="s">
        <v>82</v>
      </c>
      <c r="AQ48" s="161"/>
      <c r="AR48" s="161"/>
    </row>
    <row r="49" spans="1:44" ht="6.75" customHeight="1" thickBot="1">
      <c r="A49" s="41"/>
      <c r="B49" s="41"/>
      <c r="C49" s="41"/>
      <c r="D49" s="41">
        <v>28</v>
      </c>
      <c r="G49" s="123"/>
      <c r="H49" s="124"/>
      <c r="I49" s="125"/>
      <c r="J49" s="125"/>
      <c r="K49" s="125"/>
      <c r="L49" s="125"/>
      <c r="M49" s="125"/>
      <c r="N49" s="125"/>
      <c r="O49" s="125"/>
      <c r="P49" s="125"/>
      <c r="Q49" s="131"/>
      <c r="R49" s="131"/>
      <c r="S49" s="125"/>
      <c r="T49" s="125"/>
      <c r="U49" s="125"/>
      <c r="V49" s="125"/>
      <c r="W49" s="125"/>
      <c r="X49" s="125"/>
      <c r="Y49" s="125"/>
      <c r="Z49" s="125"/>
      <c r="AA49" s="131"/>
      <c r="AB49" s="125"/>
      <c r="AC49" s="125"/>
      <c r="AD49" s="125"/>
      <c r="AE49" s="125"/>
      <c r="AF49" s="125"/>
      <c r="AG49" s="125"/>
      <c r="AH49" s="125"/>
      <c r="AI49" s="125"/>
      <c r="AJ49" s="43"/>
      <c r="AK49" s="47"/>
      <c r="AL49" s="49" t="s">
        <v>62</v>
      </c>
      <c r="AM49" s="43"/>
      <c r="AN49" s="47"/>
      <c r="AO49" s="47"/>
      <c r="AP49" s="47"/>
      <c r="AQ49" s="47"/>
      <c r="AR49" s="47"/>
    </row>
    <row r="50" spans="1:44" ht="21.75" customHeight="1" thickBot="1">
      <c r="A50" s="50" t="s">
        <v>50</v>
      </c>
      <c r="B50" s="64"/>
      <c r="C50" s="41"/>
      <c r="D50" s="41">
        <v>29</v>
      </c>
      <c r="G50" s="194" t="str">
        <f>_xll.DBRA(Server&amp;$A$21,$A50,$H$18)</f>
        <v>OPERATING PROFIT</v>
      </c>
      <c r="H50" s="194"/>
      <c r="I50" s="138" t="e">
        <f>_xll.DBRW($G$3,$H$15,$H$17,$H$13,$H$16,$H$14,I$2,$H$12,$A50)</f>
        <v>#VALUE!</v>
      </c>
      <c r="J50" s="138" t="e">
        <f>_xll.DBRW($G$3,$H$15,$H$17,$H$13,$H$16,$H$14,J$2,$H$12,$A50)</f>
        <v>#VALUE!</v>
      </c>
      <c r="K50" s="138" t="e">
        <f>_xll.DBRW($G$3,$H$15,$H$17,$H$13,$H$16,$H$14,K$2,$H$12,$A50)</f>
        <v>#VALUE!</v>
      </c>
      <c r="L50" s="138" t="e">
        <f>_xll.DBRW($G$3,$H$15,$H$17,$H$13,$H$16,$H$14,L$2,$H$12,$A50)</f>
        <v>#VALUE!</v>
      </c>
      <c r="M50" s="138" t="e">
        <f>_xll.DBRW($G$3,$H$15,$H$17,$H$13,$H$16,$H$14,M$2,$H$12,$A50)</f>
        <v>#VALUE!</v>
      </c>
      <c r="N50" s="138" t="e">
        <f>_xll.DBRW($G$3,$H$15,$H$17,$H$13,$H$16,$H$14,N$2,$H$12,$A50)</f>
        <v>#VALUE!</v>
      </c>
      <c r="O50" s="138" t="e">
        <f>_xll.DBRW($G$3,$H$15,$H$17,$H$13,$H$16,$H$14,O$2,$H$12,$A50)</f>
        <v>#VALUE!</v>
      </c>
      <c r="P50" s="138" t="e">
        <f>_xll.DBRW($G$3,$H$15,$H$17,$H$13,$H$16,$H$14,P$2,$H$12,$A50)</f>
        <v>#VALUE!</v>
      </c>
      <c r="Q50" s="131" t="e">
        <f>SUM(I50:P50)-SUM(I36:P36)</f>
        <v>#VALUE!</v>
      </c>
      <c r="R50" s="131"/>
      <c r="S50" s="138" t="e">
        <f>_xll.DBRW($G$3,$U$15,$H$17,$U$13,$U$16,$U$14,S$2,$U$12,$A50)</f>
        <v>#VALUE!</v>
      </c>
      <c r="T50" s="138" t="e">
        <f>_xll.DBRW($G$3,$U$15,$H$17,$U$13,$U$16,$U$14,T$2,$U$12,$A50)</f>
        <v>#VALUE!</v>
      </c>
      <c r="U50" s="138" t="e">
        <f>_xll.DBRW($G$3,$U$15,$H$17,$U$13,$U$16,$U$14,U$2,$U$12,$A50)</f>
        <v>#VALUE!</v>
      </c>
      <c r="V50" s="138" t="e">
        <f>_xll.DBRW($G$3,$U$15,$H$17,$U$13,$U$16,$U$14,V$2,$U$12,$A50)</f>
        <v>#VALUE!</v>
      </c>
      <c r="W50" s="138" t="e">
        <f>_xll.DBRW($G$3,$U$15,$H$17,$U$13,$U$16,$U$14,W$2,$U$12,$A50)</f>
        <v>#VALUE!</v>
      </c>
      <c r="X50" s="138" t="e">
        <f>_xll.DBRW($G$3,$U$15,$H$17,$U$13,$U$16,$U$14,X$2,$U$12,$A50)</f>
        <v>#VALUE!</v>
      </c>
      <c r="Y50" s="138" t="e">
        <f>_xll.DBRW($G$3,$U$15,$H$17,$U$13,$U$16,$U$14,Y$2,$U$12,$A50)</f>
        <v>#VALUE!</v>
      </c>
      <c r="Z50" s="138" t="e">
        <f>_xll.DBRW($G$3,$U$15,$H$17,$U$13,$U$16,$U$14,Z$2,$U$12,$A50)</f>
        <v>#VALUE!</v>
      </c>
      <c r="AA50" s="131" t="e">
        <f>SUM(S50:Z50)-SUM(S36:Z36)</f>
        <v>#VALUE!</v>
      </c>
      <c r="AB50" s="134" t="e">
        <f t="shared" ref="AB50:AB85" si="28">U50-I50</f>
        <v>#VALUE!</v>
      </c>
      <c r="AC50" s="134" t="e">
        <f t="shared" ref="AC50:AC85" si="29">V50-J50</f>
        <v>#VALUE!</v>
      </c>
      <c r="AD50" s="134" t="e">
        <f t="shared" ref="AD50:AD85" si="30">W50-K50</f>
        <v>#VALUE!</v>
      </c>
      <c r="AE50" s="134" t="e">
        <f t="shared" ref="AE50:AE85" si="31">X50-L50</f>
        <v>#VALUE!</v>
      </c>
      <c r="AF50" s="134" t="e">
        <f t="shared" ref="AF50:AF85" si="32">Y50-M50</f>
        <v>#VALUE!</v>
      </c>
      <c r="AG50" s="134" t="e">
        <f t="shared" ref="AG50:AG85" si="33">Z50-N50</f>
        <v>#VALUE!</v>
      </c>
      <c r="AH50" s="134" t="e">
        <f t="shared" ref="AH50:AH85" si="34">AA50-O50</f>
        <v>#VALUE!</v>
      </c>
      <c r="AI50" s="134" t="e">
        <f t="shared" ref="AI50:AI85" si="35">AB50-P50</f>
        <v>#VALUE!</v>
      </c>
      <c r="AJ50" s="43"/>
      <c r="AK50" s="47"/>
      <c r="AL50" s="49" t="s">
        <v>63</v>
      </c>
      <c r="AM50" s="43"/>
      <c r="AN50" s="68"/>
      <c r="AO50" s="68"/>
      <c r="AP50" s="47"/>
      <c r="AQ50" s="47"/>
      <c r="AR50" s="47"/>
    </row>
    <row r="51" spans="1:44" ht="21.75" customHeight="1">
      <c r="A51" s="50" t="s">
        <v>134</v>
      </c>
      <c r="B51" s="41" t="s">
        <v>140</v>
      </c>
      <c r="C51" s="41"/>
      <c r="D51" s="41">
        <v>30</v>
      </c>
      <c r="G51" s="203" t="str">
        <f>_xll.DBRA(Server&amp;$A$21,$A51,$H$18)</f>
        <v>Amortization</v>
      </c>
      <c r="H51" s="203"/>
      <c r="I51" s="139" t="e">
        <f>_xll.DBRW($G$3,$H$15,$H$17,$H$13,$H$16,$H$14,I$2,$H$12,$B51)-_xll.DBRW($G$3,$H$15,$H$17,$H$13,$H$16,$H$14,I$2,$H$12,$A51)</f>
        <v>#VALUE!</v>
      </c>
      <c r="J51" s="139" t="e">
        <f>_xll.DBRW($G$3,$H$15,$H$17,$H$13,$H$16,$H$14,J$2,$H$12,$B51)-_xll.DBRW($G$3,$H$15,$H$17,$H$13,$H$16,$H$14,J$2,$H$12,$A51)</f>
        <v>#VALUE!</v>
      </c>
      <c r="K51" s="139" t="e">
        <f>_xll.DBRW($G$3,$H$15,$H$17,$H$13,$H$16,$H$14,K$2,$H$12,$B51)-_xll.DBRW($G$3,$H$15,$H$17,$H$13,$H$16,$H$14,K$2,$H$12,$A51)</f>
        <v>#VALUE!</v>
      </c>
      <c r="L51" s="139" t="e">
        <f>_xll.DBRW($G$3,$H$15,$H$17,$H$13,$H$16,$H$14,L$2,$H$12,$B51)-_xll.DBRW($G$3,$H$15,$H$17,$H$13,$H$16,$H$14,L$2,$H$12,$A51)</f>
        <v>#VALUE!</v>
      </c>
      <c r="M51" s="139" t="e">
        <f>_xll.DBRW($G$3,$H$15,$H$17,$H$13,$H$16,$H$14,M$2,$H$12,$B51)-_xll.DBRW($G$3,$H$15,$H$17,$H$13,$H$16,$H$14,M$2,$H$12,$A51)</f>
        <v>#VALUE!</v>
      </c>
      <c r="N51" s="139" t="e">
        <f>_xll.DBRW($G$3,$H$15,$H$17,$H$13,$H$16,$H$14,N$2,$H$12,$B51)-_xll.DBRW($G$3,$H$15,$H$17,$H$13,$H$16,$H$14,N$2,$H$12,$A51)</f>
        <v>#VALUE!</v>
      </c>
      <c r="O51" s="139" t="e">
        <f>_xll.DBRW($G$3,$H$15,$H$17,$H$13,$H$16,$H$14,O$2,$H$12,$B51)-_xll.DBRW($G$3,$H$15,$H$17,$H$13,$H$16,$H$14,O$2,$H$12,$A51)</f>
        <v>#VALUE!</v>
      </c>
      <c r="P51" s="139" t="e">
        <f>_xll.DBRW($G$3,$H$15,$H$17,$H$13,$H$16,$H$14,P$2,$H$12,$B51)-_xll.DBRW($G$3,$H$15,$H$17,$H$13,$H$16,$H$14,P$2,$H$12,$A51)</f>
        <v>#VALUE!</v>
      </c>
      <c r="Q51" s="131"/>
      <c r="R51" s="131"/>
      <c r="S51" s="139" t="e">
        <f>_xll.DBRW($G$3,$U$15,$H$17,$U$13,$U$16,$U$14,S$2,$U$12,$B51)-_xll.DBRW($G$3,$U$15,$H$17,$U$13,$U$16,$U$14,S$2,$U$12,$A51)</f>
        <v>#VALUE!</v>
      </c>
      <c r="T51" s="139" t="e">
        <f>_xll.DBRW($G$3,$U$15,$H$17,$U$13,$U$16,$U$14,T$2,$U$12,$B51)-_xll.DBRW($G$3,$U$15,$H$17,$U$13,$U$16,$U$14,T$2,$U$12,$A51)</f>
        <v>#VALUE!</v>
      </c>
      <c r="U51" s="139" t="e">
        <f>_xll.DBRW($G$3,$U$15,$H$17,$U$13,$U$16,$U$14,U$2,$U$12,$B51)-_xll.DBRW($G$3,$U$15,$H$17,$U$13,$U$16,$U$14,U$2,$U$12,$A51)</f>
        <v>#VALUE!</v>
      </c>
      <c r="V51" s="139" t="e">
        <f>_xll.DBRW($G$3,$U$15,$H$17,$U$13,$U$16,$U$14,V$2,$U$12,$B51)-_xll.DBRW($G$3,$U$15,$H$17,$U$13,$U$16,$U$14,V$2,$U$12,$A51)</f>
        <v>#VALUE!</v>
      </c>
      <c r="W51" s="139" t="e">
        <f>_xll.DBRW($G$3,$U$15,$H$17,$U$13,$U$16,$U$14,W$2,$U$12,$B51)-_xll.DBRW($G$3,$U$15,$H$17,$U$13,$U$16,$U$14,W$2,$U$12,$A51)</f>
        <v>#VALUE!</v>
      </c>
      <c r="X51" s="139" t="e">
        <f>_xll.DBRW($G$3,$U$15,$H$17,$U$13,$U$16,$U$14,X$2,$U$12,$B51)-_xll.DBRW($G$3,$U$15,$H$17,$U$13,$U$16,$U$14,X$2,$U$12,$A51)</f>
        <v>#VALUE!</v>
      </c>
      <c r="Y51" s="139" t="e">
        <f>_xll.DBRW($G$3,$U$15,$H$17,$U$13,$U$16,$U$14,Y$2,$U$12,$B51)-_xll.DBRW($G$3,$U$15,$H$17,$U$13,$U$16,$U$14,Y$2,$U$12,$A51)</f>
        <v>#VALUE!</v>
      </c>
      <c r="Z51" s="139" t="e">
        <f>_xll.DBRW($G$3,$U$15,$H$17,$U$13,$U$16,$U$14,Z$2,$U$12,$B51)-_xll.DBRW($G$3,$U$15,$H$17,$U$13,$U$16,$U$14,Z$2,$U$12,$A51)</f>
        <v>#VALUE!</v>
      </c>
      <c r="AA51" s="131"/>
      <c r="AB51" s="139" t="e">
        <f t="shared" si="28"/>
        <v>#VALUE!</v>
      </c>
      <c r="AC51" s="139" t="e">
        <f t="shared" si="29"/>
        <v>#VALUE!</v>
      </c>
      <c r="AD51" s="139" t="e">
        <f t="shared" si="30"/>
        <v>#VALUE!</v>
      </c>
      <c r="AE51" s="139" t="e">
        <f t="shared" si="31"/>
        <v>#VALUE!</v>
      </c>
      <c r="AF51" s="139" t="e">
        <f t="shared" si="32"/>
        <v>#VALUE!</v>
      </c>
      <c r="AG51" s="139" t="e">
        <f t="shared" si="33"/>
        <v>#VALUE!</v>
      </c>
      <c r="AH51" s="139" t="e">
        <f t="shared" si="34"/>
        <v>#VALUE!</v>
      </c>
      <c r="AI51" s="139" t="e">
        <f t="shared" si="35"/>
        <v>#VALUE!</v>
      </c>
      <c r="AJ51" s="43"/>
      <c r="AK51" s="47"/>
      <c r="AL51" s="49" t="s">
        <v>64</v>
      </c>
      <c r="AM51" s="43"/>
      <c r="AN51" s="69"/>
      <c r="AO51" s="69"/>
      <c r="AP51" s="47"/>
      <c r="AQ51" s="47"/>
      <c r="AR51" s="47"/>
    </row>
    <row r="52" spans="1:44" ht="21.75" customHeight="1">
      <c r="A52" s="50" t="s">
        <v>135</v>
      </c>
      <c r="B52" s="41" t="s">
        <v>141</v>
      </c>
      <c r="C52" s="41"/>
      <c r="D52" s="41">
        <v>31</v>
      </c>
      <c r="G52" s="185" t="str">
        <f>_xll.DBRA(Server&amp;$A$21,$A52,$H$18)</f>
        <v>Provisions</v>
      </c>
      <c r="H52" s="186"/>
      <c r="I52" s="126" t="e">
        <f>_xll.DBRW($G$3,$H$15,$H$17,$H$13,$H$16,$H$14,I$2,$H$12,$B52)-_xll.DBRW($G$3,$H$15,$H$17,$H$13,$H$16,$H$14,I$2,$H$12,$A52)</f>
        <v>#VALUE!</v>
      </c>
      <c r="J52" s="126" t="e">
        <f>_xll.DBRW($G$3,$H$15,$H$17,$H$13,$H$16,$H$14,J$2,$H$12,$B52)-_xll.DBRW($G$3,$H$15,$H$17,$H$13,$H$16,$H$14,J$2,$H$12,$A52)</f>
        <v>#VALUE!</v>
      </c>
      <c r="K52" s="126" t="e">
        <f>_xll.DBRW($G$3,$H$15,$H$17,$H$13,$H$16,$H$14,K$2,$H$12,$B52)-_xll.DBRW($G$3,$H$15,$H$17,$H$13,$H$16,$H$14,K$2,$H$12,$A52)</f>
        <v>#VALUE!</v>
      </c>
      <c r="L52" s="126" t="e">
        <f>_xll.DBRW($G$3,$H$15,$H$17,$H$13,$H$16,$H$14,L$2,$H$12,$B52)-_xll.DBRW($G$3,$H$15,$H$17,$H$13,$H$16,$H$14,L$2,$H$12,$A52)</f>
        <v>#VALUE!</v>
      </c>
      <c r="M52" s="126" t="e">
        <f>_xll.DBRW($G$3,$H$15,$H$17,$H$13,$H$16,$H$14,M$2,$H$12,$B52)-_xll.DBRW($G$3,$H$15,$H$17,$H$13,$H$16,$H$14,M$2,$H$12,$A52)</f>
        <v>#VALUE!</v>
      </c>
      <c r="N52" s="126" t="e">
        <f>_xll.DBRW($G$3,$H$15,$H$17,$H$13,$H$16,$H$14,N$2,$H$12,$B52)-_xll.DBRW($G$3,$H$15,$H$17,$H$13,$H$16,$H$14,N$2,$H$12,$A52)</f>
        <v>#VALUE!</v>
      </c>
      <c r="O52" s="126" t="e">
        <f>_xll.DBRW($G$3,$H$15,$H$17,$H$13,$H$16,$H$14,O$2,$H$12,$B52)-_xll.DBRW($G$3,$H$15,$H$17,$H$13,$H$16,$H$14,O$2,$H$12,$A52)</f>
        <v>#VALUE!</v>
      </c>
      <c r="P52" s="126" t="e">
        <f>_xll.DBRW($G$3,$H$15,$H$17,$H$13,$H$16,$H$14,P$2,$H$12,$B52)-_xll.DBRW($G$3,$H$15,$H$17,$H$13,$H$16,$H$14,P$2,$H$12,$A52)</f>
        <v>#VALUE!</v>
      </c>
      <c r="Q52" s="131"/>
      <c r="R52" s="131"/>
      <c r="S52" s="126" t="e">
        <f>_xll.DBRW($G$3,$U$15,$H$17,$U$13,$U$16,$U$14,S$2,$U$12,$B52)-_xll.DBRW($G$3,$U$15,$H$17,$U$13,$U$16,$U$14,S$2,$U$12,$A52)</f>
        <v>#VALUE!</v>
      </c>
      <c r="T52" s="126" t="e">
        <f>_xll.DBRW($G$3,$U$15,$H$17,$U$13,$U$16,$U$14,T$2,$U$12,$B52)-_xll.DBRW($G$3,$U$15,$H$17,$U$13,$U$16,$U$14,T$2,$U$12,$A52)</f>
        <v>#VALUE!</v>
      </c>
      <c r="U52" s="126" t="e">
        <f>_xll.DBRW($G$3,$U$15,$H$17,$U$13,$U$16,$U$14,U$2,$U$12,$B52)-_xll.DBRW($G$3,$U$15,$H$17,$U$13,$U$16,$U$14,U$2,$U$12,$A52)</f>
        <v>#VALUE!</v>
      </c>
      <c r="V52" s="126" t="e">
        <f>_xll.DBRW($G$3,$U$15,$H$17,$U$13,$U$16,$U$14,V$2,$U$12,$B52)-_xll.DBRW($G$3,$U$15,$H$17,$U$13,$U$16,$U$14,V$2,$U$12,$A52)</f>
        <v>#VALUE!</v>
      </c>
      <c r="W52" s="126" t="e">
        <f>_xll.DBRW($G$3,$U$15,$H$17,$U$13,$U$16,$U$14,W$2,$U$12,$B52)-_xll.DBRW($G$3,$U$15,$H$17,$U$13,$U$16,$U$14,W$2,$U$12,$A52)</f>
        <v>#VALUE!</v>
      </c>
      <c r="X52" s="126" t="e">
        <f>_xll.DBRW($G$3,$U$15,$H$17,$U$13,$U$16,$U$14,X$2,$U$12,$B52)-_xll.DBRW($G$3,$U$15,$H$17,$U$13,$U$16,$U$14,X$2,$U$12,$A52)</f>
        <v>#VALUE!</v>
      </c>
      <c r="Y52" s="126" t="e">
        <f>_xll.DBRW($G$3,$U$15,$H$17,$U$13,$U$16,$U$14,Y$2,$U$12,$B52)-_xll.DBRW($G$3,$U$15,$H$17,$U$13,$U$16,$U$14,Y$2,$U$12,$A52)</f>
        <v>#VALUE!</v>
      </c>
      <c r="Z52" s="126" t="e">
        <f>_xll.DBRW($G$3,$U$15,$H$17,$U$13,$U$16,$U$14,Z$2,$U$12,$B52)-_xll.DBRW($G$3,$U$15,$H$17,$U$13,$U$16,$U$14,Z$2,$U$12,$A52)</f>
        <v>#VALUE!</v>
      </c>
      <c r="AA52" s="131"/>
      <c r="AB52" s="126" t="e">
        <f t="shared" si="28"/>
        <v>#VALUE!</v>
      </c>
      <c r="AC52" s="126" t="e">
        <f t="shared" si="29"/>
        <v>#VALUE!</v>
      </c>
      <c r="AD52" s="126" t="e">
        <f t="shared" si="30"/>
        <v>#VALUE!</v>
      </c>
      <c r="AE52" s="126" t="e">
        <f t="shared" si="31"/>
        <v>#VALUE!</v>
      </c>
      <c r="AF52" s="126" t="e">
        <f t="shared" si="32"/>
        <v>#VALUE!</v>
      </c>
      <c r="AG52" s="126" t="e">
        <f t="shared" si="33"/>
        <v>#VALUE!</v>
      </c>
      <c r="AH52" s="126" t="e">
        <f t="shared" si="34"/>
        <v>#VALUE!</v>
      </c>
      <c r="AI52" s="126" t="e">
        <f t="shared" si="35"/>
        <v>#VALUE!</v>
      </c>
      <c r="AJ52" s="43"/>
      <c r="AK52" s="47"/>
      <c r="AL52" s="49" t="s">
        <v>65</v>
      </c>
      <c r="AM52" s="70"/>
      <c r="AN52" s="70"/>
      <c r="AO52" s="70"/>
      <c r="AP52" s="47"/>
      <c r="AQ52" s="47"/>
      <c r="AR52" s="47"/>
    </row>
    <row r="53" spans="1:44" ht="21.75" customHeight="1">
      <c r="A53" s="50" t="s">
        <v>136</v>
      </c>
      <c r="B53" s="85" t="s">
        <v>157</v>
      </c>
      <c r="C53" s="41"/>
      <c r="D53" s="41">
        <v>32</v>
      </c>
      <c r="G53" s="185" t="str">
        <f>_xll.DBRA(Server&amp;$A$21,$A53,$H$18)</f>
        <v>Other non cash items (Gain or loss on sales, Impairment)</v>
      </c>
      <c r="H53" s="186"/>
      <c r="I53" s="126" t="e">
        <f>I55-I50-I51-I52-I54</f>
        <v>#VALUE!</v>
      </c>
      <c r="J53" s="126" t="e">
        <f t="shared" ref="J53:P53" si="36">J55-J50-J51-J52-J54</f>
        <v>#VALUE!</v>
      </c>
      <c r="K53" s="126" t="e">
        <f t="shared" si="36"/>
        <v>#VALUE!</v>
      </c>
      <c r="L53" s="126" t="e">
        <f t="shared" si="36"/>
        <v>#VALUE!</v>
      </c>
      <c r="M53" s="126" t="e">
        <f t="shared" si="36"/>
        <v>#VALUE!</v>
      </c>
      <c r="N53" s="126" t="e">
        <f t="shared" si="36"/>
        <v>#VALUE!</v>
      </c>
      <c r="O53" s="126" t="e">
        <f t="shared" si="36"/>
        <v>#VALUE!</v>
      </c>
      <c r="P53" s="126" t="e">
        <f t="shared" si="36"/>
        <v>#VALUE!</v>
      </c>
      <c r="Q53" s="131"/>
      <c r="R53" s="131"/>
      <c r="S53" s="126" t="e">
        <f>S55-S50-S51-S52-S54</f>
        <v>#VALUE!</v>
      </c>
      <c r="T53" s="126" t="e">
        <f t="shared" ref="T53:Z53" si="37">T55-T50-T51-T52-T54</f>
        <v>#VALUE!</v>
      </c>
      <c r="U53" s="126" t="e">
        <f t="shared" si="37"/>
        <v>#VALUE!</v>
      </c>
      <c r="V53" s="126" t="e">
        <f t="shared" si="37"/>
        <v>#VALUE!</v>
      </c>
      <c r="W53" s="126" t="e">
        <f t="shared" si="37"/>
        <v>#VALUE!</v>
      </c>
      <c r="X53" s="126" t="e">
        <f t="shared" si="37"/>
        <v>#VALUE!</v>
      </c>
      <c r="Y53" s="126" t="e">
        <f t="shared" si="37"/>
        <v>#VALUE!</v>
      </c>
      <c r="Z53" s="126" t="e">
        <f t="shared" si="37"/>
        <v>#VALUE!</v>
      </c>
      <c r="AA53" s="131"/>
      <c r="AB53" s="126" t="e">
        <f t="shared" si="28"/>
        <v>#VALUE!</v>
      </c>
      <c r="AC53" s="126" t="e">
        <f t="shared" si="29"/>
        <v>#VALUE!</v>
      </c>
      <c r="AD53" s="126" t="e">
        <f t="shared" si="30"/>
        <v>#VALUE!</v>
      </c>
      <c r="AE53" s="126" t="e">
        <f t="shared" si="31"/>
        <v>#VALUE!</v>
      </c>
      <c r="AF53" s="126" t="e">
        <f t="shared" si="32"/>
        <v>#VALUE!</v>
      </c>
      <c r="AG53" s="126" t="e">
        <f t="shared" si="33"/>
        <v>#VALUE!</v>
      </c>
      <c r="AH53" s="126" t="e">
        <f t="shared" si="34"/>
        <v>#VALUE!</v>
      </c>
      <c r="AI53" s="126" t="e">
        <f t="shared" si="35"/>
        <v>#VALUE!</v>
      </c>
      <c r="AJ53" s="43"/>
      <c r="AK53" s="47"/>
      <c r="AL53" s="49" t="s">
        <v>66</v>
      </c>
      <c r="AM53" s="47"/>
      <c r="AN53" s="47"/>
      <c r="AO53" s="47"/>
      <c r="AP53" s="47"/>
      <c r="AQ53" s="47"/>
      <c r="AR53" s="47"/>
    </row>
    <row r="54" spans="1:44" ht="21.75" customHeight="1" thickBot="1">
      <c r="A54" s="50" t="s">
        <v>137</v>
      </c>
      <c r="B54" s="64" t="s">
        <v>142</v>
      </c>
      <c r="C54" s="41"/>
      <c r="D54" s="41">
        <v>33</v>
      </c>
      <c r="G54" s="185" t="str">
        <f>_xll.DBRA(Server&amp;$A$21,$A54,$H$18)</f>
        <v>Profit or loss of associates &amp; JV</v>
      </c>
      <c r="H54" s="186"/>
      <c r="I54" s="126" t="e">
        <f>-_xll.DBRW($G$3,$H$15,$H$17,$H$13,$H$16,$H$14,I$2,$H$12,$B54)-_xll.DBRW($G$3,$H$15,$H$17,$H$13,$H$16,$H$14,I$2,$H$12,$A54)</f>
        <v>#VALUE!</v>
      </c>
      <c r="J54" s="126" t="e">
        <f>-_xll.DBRW($G$3,$H$15,$H$17,$H$13,$H$16,$H$14,J$2,$H$12,$B54)-_xll.DBRW($G$3,$H$15,$H$17,$H$13,$H$16,$H$14,J$2,$H$12,$A54)</f>
        <v>#VALUE!</v>
      </c>
      <c r="K54" s="126" t="e">
        <f>-_xll.DBRW($G$3,$H$15,$H$17,$H$13,$H$16,$H$14,K$2,$H$12,$B54)-_xll.DBRW($G$3,$H$15,$H$17,$H$13,$H$16,$H$14,K$2,$H$12,$A54)</f>
        <v>#VALUE!</v>
      </c>
      <c r="L54" s="126" t="e">
        <f>-_xll.DBRW($G$3,$H$15,$H$17,$H$13,$H$16,$H$14,L$2,$H$12,$B54)-_xll.DBRW($G$3,$H$15,$H$17,$H$13,$H$16,$H$14,L$2,$H$12,$A54)</f>
        <v>#VALUE!</v>
      </c>
      <c r="M54" s="126" t="e">
        <f>-_xll.DBRW($G$3,$H$15,$H$17,$H$13,$H$16,$H$14,M$2,$H$12,$B54)-_xll.DBRW($G$3,$H$15,$H$17,$H$13,$H$16,$H$14,M$2,$H$12,$A54)</f>
        <v>#VALUE!</v>
      </c>
      <c r="N54" s="126" t="e">
        <f>-_xll.DBRW($G$3,$H$15,$H$17,$H$13,$H$16,$H$14,N$2,$H$12,$B54)-_xll.DBRW($G$3,$H$15,$H$17,$H$13,$H$16,$H$14,N$2,$H$12,$A54)</f>
        <v>#VALUE!</v>
      </c>
      <c r="O54" s="126" t="e">
        <f>-_xll.DBRW($G$3,$H$15,$H$17,$H$13,$H$16,$H$14,O$2,$H$12,$B54)-_xll.DBRW($G$3,$H$15,$H$17,$H$13,$H$16,$H$14,O$2,$H$12,$A54)</f>
        <v>#VALUE!</v>
      </c>
      <c r="P54" s="126" t="e">
        <f>-_xll.DBRW($G$3,$H$15,$H$17,$H$13,$H$16,$H$14,P$2,$H$12,$B54)-_xll.DBRW($G$3,$H$15,$H$17,$H$13,$H$16,$H$14,P$2,$H$12,$A54)</f>
        <v>#VALUE!</v>
      </c>
      <c r="Q54" s="131"/>
      <c r="R54" s="131"/>
      <c r="S54" s="126" t="e">
        <f>-_xll.DBRW($G$3,$U$15,$H$17,$U$13,$U$16,$U$14,S$2,$U$12,$B54)-_xll.DBRW($G$3,$U$15,$H$17,$U$13,$U$16,$U$14,S$2,$U$12,$A54)</f>
        <v>#VALUE!</v>
      </c>
      <c r="T54" s="126" t="e">
        <f>-_xll.DBRW($G$3,$U$15,$H$17,$U$13,$U$16,$U$14,T$2,$U$12,$B54)-_xll.DBRW($G$3,$U$15,$H$17,$U$13,$U$16,$U$14,T$2,$U$12,$A54)</f>
        <v>#VALUE!</v>
      </c>
      <c r="U54" s="126" t="e">
        <f>-_xll.DBRW($G$3,$U$15,$H$17,$U$13,$U$16,$U$14,U$2,$U$12,$B54)-_xll.DBRW($G$3,$U$15,$H$17,$U$13,$U$16,$U$14,U$2,$U$12,$A54)</f>
        <v>#VALUE!</v>
      </c>
      <c r="V54" s="126" t="e">
        <f>-_xll.DBRW($G$3,$U$15,$H$17,$U$13,$U$16,$U$14,V$2,$U$12,$B54)-_xll.DBRW($G$3,$U$15,$H$17,$U$13,$U$16,$U$14,V$2,$U$12,$A54)</f>
        <v>#VALUE!</v>
      </c>
      <c r="W54" s="126" t="e">
        <f>-_xll.DBRW($G$3,$U$15,$H$17,$U$13,$U$16,$U$14,W$2,$U$12,$B54)-_xll.DBRW($G$3,$U$15,$H$17,$U$13,$U$16,$U$14,W$2,$U$12,$A54)</f>
        <v>#VALUE!</v>
      </c>
      <c r="X54" s="126" t="e">
        <f>-_xll.DBRW($G$3,$U$15,$H$17,$U$13,$U$16,$U$14,X$2,$U$12,$B54)-_xll.DBRW($G$3,$U$15,$H$17,$U$13,$U$16,$U$14,X$2,$U$12,$A54)</f>
        <v>#VALUE!</v>
      </c>
      <c r="Y54" s="126" t="e">
        <f>-_xll.DBRW($G$3,$U$15,$H$17,$U$13,$U$16,$U$14,Y$2,$U$12,$B54)-_xll.DBRW($G$3,$U$15,$H$17,$U$13,$U$16,$U$14,Y$2,$U$12,$A54)</f>
        <v>#VALUE!</v>
      </c>
      <c r="Z54" s="126" t="e">
        <f>-_xll.DBRW($G$3,$U$15,$H$17,$U$13,$U$16,$U$14,Z$2,$U$12,$B54)-_xll.DBRW($G$3,$U$15,$H$17,$U$13,$U$16,$U$14,Z$2,$U$12,$A54)</f>
        <v>#VALUE!</v>
      </c>
      <c r="AA54" s="131"/>
      <c r="AB54" s="126" t="e">
        <f t="shared" si="28"/>
        <v>#VALUE!</v>
      </c>
      <c r="AC54" s="126" t="e">
        <f t="shared" si="29"/>
        <v>#VALUE!</v>
      </c>
      <c r="AD54" s="126" t="e">
        <f t="shared" si="30"/>
        <v>#VALUE!</v>
      </c>
      <c r="AE54" s="126" t="e">
        <f t="shared" si="31"/>
        <v>#VALUE!</v>
      </c>
      <c r="AF54" s="126" t="e">
        <f t="shared" si="32"/>
        <v>#VALUE!</v>
      </c>
      <c r="AG54" s="126" t="e">
        <f t="shared" si="33"/>
        <v>#VALUE!</v>
      </c>
      <c r="AH54" s="126" t="e">
        <f t="shared" si="34"/>
        <v>#VALUE!</v>
      </c>
      <c r="AI54" s="126" t="e">
        <f t="shared" si="35"/>
        <v>#VALUE!</v>
      </c>
      <c r="AJ54" s="43"/>
      <c r="AK54" s="47"/>
      <c r="AL54" s="49" t="s">
        <v>67</v>
      </c>
      <c r="AM54" s="47"/>
      <c r="AN54" s="47"/>
      <c r="AO54" s="47"/>
      <c r="AP54" s="47"/>
      <c r="AQ54" s="47"/>
      <c r="AR54" s="47"/>
    </row>
    <row r="55" spans="1:44" ht="23.25" customHeight="1" thickBot="1">
      <c r="A55" s="50" t="s">
        <v>9</v>
      </c>
      <c r="B55" s="64"/>
      <c r="C55" s="41"/>
      <c r="D55" s="41">
        <v>34</v>
      </c>
      <c r="G55" s="184" t="str">
        <f>_xll.DBRA(Server&amp;$A$21,$A55,$H$18)</f>
        <v>OPERATING CASH FLOW (EBITDA)</v>
      </c>
      <c r="H55" s="184"/>
      <c r="I55" s="134" t="e">
        <f>_xll.DBRW($G$3,$H$15,$H$17,$H$13,$H$16,$H$14,I$2,$H$12,$A55)</f>
        <v>#VALUE!</v>
      </c>
      <c r="J55" s="134" t="e">
        <f>_xll.DBRW($G$3,$H$15,$H$17,$H$13,$H$16,$H$14,J$2,$H$12,$A55)</f>
        <v>#VALUE!</v>
      </c>
      <c r="K55" s="134" t="e">
        <f>_xll.DBRW($G$3,$H$15,$H$17,$H$13,$H$16,$H$14,K$2,$H$12,$A55)</f>
        <v>#VALUE!</v>
      </c>
      <c r="L55" s="134" t="e">
        <f>_xll.DBRW($G$3,$H$15,$H$17,$H$13,$H$16,$H$14,L$2,$H$12,$A55)</f>
        <v>#VALUE!</v>
      </c>
      <c r="M55" s="134" t="e">
        <f>_xll.DBRW($G$3,$H$15,$H$17,$H$13,$H$16,$H$14,M$2,$H$12,$A55)</f>
        <v>#VALUE!</v>
      </c>
      <c r="N55" s="134" t="e">
        <f>_xll.DBRW($G$3,$H$15,$H$17,$H$13,$H$16,$H$14,N$2,$H$12,$A55)</f>
        <v>#VALUE!</v>
      </c>
      <c r="O55" s="134" t="e">
        <f>_xll.DBRW($G$3,$H$15,$H$17,$H$13,$H$16,$H$14,O$2,$H$12,$A55)</f>
        <v>#VALUE!</v>
      </c>
      <c r="P55" s="134" t="e">
        <f>_xll.DBRW($G$3,$H$15,$H$17,$H$13,$H$16,$H$14,P$2,$H$12,$A55)</f>
        <v>#VALUE!</v>
      </c>
      <c r="Q55" s="131" t="e">
        <f>SUM(I55:P55)-SUM(I50:P54)</f>
        <v>#VALUE!</v>
      </c>
      <c r="R55" s="131"/>
      <c r="S55" s="134" t="e">
        <f>_xll.DBRW($G$3,$U$15,$H$17,$U$13,$U$16,$U$14,S$2,$U$12,$A55)</f>
        <v>#VALUE!</v>
      </c>
      <c r="T55" s="134" t="e">
        <f>_xll.DBRW($G$3,$U$15,$H$17,$U$13,$U$16,$U$14,T$2,$U$12,$A55)</f>
        <v>#VALUE!</v>
      </c>
      <c r="U55" s="134" t="e">
        <f>_xll.DBRW($G$3,$U$15,$H$17,$U$13,$U$16,$U$14,U$2,$U$12,$A55)</f>
        <v>#VALUE!</v>
      </c>
      <c r="V55" s="134" t="e">
        <f>_xll.DBRW($G$3,$U$15,$H$17,$U$13,$U$16,$U$14,V$2,$U$12,$A55)</f>
        <v>#VALUE!</v>
      </c>
      <c r="W55" s="134" t="e">
        <f>_xll.DBRW($G$3,$U$15,$H$17,$U$13,$U$16,$U$14,W$2,$U$12,$A55)</f>
        <v>#VALUE!</v>
      </c>
      <c r="X55" s="134" t="e">
        <f>_xll.DBRW($G$3,$U$15,$H$17,$U$13,$U$16,$U$14,X$2,$U$12,$A55)</f>
        <v>#VALUE!</v>
      </c>
      <c r="Y55" s="134" t="e">
        <f>_xll.DBRW($G$3,$U$15,$H$17,$U$13,$U$16,$U$14,Y$2,$U$12,$A55)</f>
        <v>#VALUE!</v>
      </c>
      <c r="Z55" s="134" t="e">
        <f>_xll.DBRW($G$3,$U$15,$H$17,$U$13,$U$16,$U$14,Z$2,$U$12,$A55)</f>
        <v>#VALUE!</v>
      </c>
      <c r="AA55" s="131" t="e">
        <f>SUM(S55:Z55)-SUM(S50:Z54)</f>
        <v>#VALUE!</v>
      </c>
      <c r="AB55" s="134" t="e">
        <f t="shared" si="28"/>
        <v>#VALUE!</v>
      </c>
      <c r="AC55" s="134" t="e">
        <f t="shared" si="29"/>
        <v>#VALUE!</v>
      </c>
      <c r="AD55" s="134" t="e">
        <f t="shared" si="30"/>
        <v>#VALUE!</v>
      </c>
      <c r="AE55" s="134" t="e">
        <f t="shared" si="31"/>
        <v>#VALUE!</v>
      </c>
      <c r="AF55" s="134" t="e">
        <f t="shared" si="32"/>
        <v>#VALUE!</v>
      </c>
      <c r="AG55" s="134" t="e">
        <f t="shared" si="33"/>
        <v>#VALUE!</v>
      </c>
      <c r="AH55" s="134" t="e">
        <f t="shared" si="34"/>
        <v>#VALUE!</v>
      </c>
      <c r="AI55" s="134" t="e">
        <f t="shared" si="35"/>
        <v>#VALUE!</v>
      </c>
      <c r="AJ55" s="43"/>
      <c r="AK55" s="47"/>
      <c r="AL55" s="49" t="s">
        <v>114</v>
      </c>
      <c r="AM55" s="47"/>
      <c r="AN55" s="47"/>
      <c r="AO55" s="47"/>
      <c r="AP55" s="47"/>
      <c r="AQ55" s="47"/>
      <c r="AR55" s="47"/>
    </row>
    <row r="56" spans="1:44" ht="21.75" customHeight="1" thickBot="1">
      <c r="A56" s="50" t="s">
        <v>10</v>
      </c>
      <c r="B56" s="41"/>
      <c r="C56" s="41"/>
      <c r="D56" s="41">
        <v>35</v>
      </c>
      <c r="G56" s="185" t="str">
        <f>_xll.DBRA(Server&amp;$A$21,$A56,$H$18)</f>
        <v>Other financial income and expenses (cash)</v>
      </c>
      <c r="H56" s="186"/>
      <c r="I56" s="126" t="e">
        <f>_xll.DBRW($G$3,$H$15,$H$17,$H$13,$H$16,$H$14,I$2,$H$12,$A56)</f>
        <v>#VALUE!</v>
      </c>
      <c r="J56" s="126" t="e">
        <f>_xll.DBRW($G$3,$H$15,$H$17,$H$13,$H$16,$H$14,J$2,$H$12,$A56)</f>
        <v>#VALUE!</v>
      </c>
      <c r="K56" s="126" t="e">
        <f>_xll.DBRW($G$3,$H$15,$H$17,$H$13,$H$16,$H$14,K$2,$H$12,$A56)</f>
        <v>#VALUE!</v>
      </c>
      <c r="L56" s="126" t="e">
        <f>_xll.DBRW($G$3,$H$15,$H$17,$H$13,$H$16,$H$14,L$2,$H$12,$A56)</f>
        <v>#VALUE!</v>
      </c>
      <c r="M56" s="126" t="e">
        <f>_xll.DBRW($G$3,$H$15,$H$17,$H$13,$H$16,$H$14,M$2,$H$12,$A56)</f>
        <v>#VALUE!</v>
      </c>
      <c r="N56" s="126" t="e">
        <f>_xll.DBRW($G$3,$H$15,$H$17,$H$13,$H$16,$H$14,N$2,$H$12,$A56)</f>
        <v>#VALUE!</v>
      </c>
      <c r="O56" s="126" t="e">
        <f>_xll.DBRW($G$3,$H$15,$H$17,$H$13,$H$16,$H$14,O$2,$H$12,$A56)</f>
        <v>#VALUE!</v>
      </c>
      <c r="P56" s="126" t="e">
        <f>_xll.DBRW($G$3,$H$15,$H$17,$H$13,$H$16,$H$14,P$2,$H$12,$A56)</f>
        <v>#VALUE!</v>
      </c>
      <c r="Q56" s="131"/>
      <c r="R56" s="131"/>
      <c r="S56" s="126" t="e">
        <f>_xll.DBRW($G$3,$U$15,$H$17,$U$13,$U$16,$U$14,S$2,$U$12,$A56)</f>
        <v>#VALUE!</v>
      </c>
      <c r="T56" s="126" t="e">
        <f>_xll.DBRW($G$3,$U$15,$H$17,$U$13,$U$16,$U$14,T$2,$U$12,$A56)</f>
        <v>#VALUE!</v>
      </c>
      <c r="U56" s="126" t="e">
        <f>_xll.DBRW($G$3,$U$15,$H$17,$U$13,$U$16,$U$14,U$2,$U$12,$A56)</f>
        <v>#VALUE!</v>
      </c>
      <c r="V56" s="126" t="e">
        <f>_xll.DBRW($G$3,$U$15,$H$17,$U$13,$U$16,$U$14,V$2,$U$12,$A56)</f>
        <v>#VALUE!</v>
      </c>
      <c r="W56" s="126" t="e">
        <f>_xll.DBRW($G$3,$U$15,$H$17,$U$13,$U$16,$U$14,W$2,$U$12,$A56)</f>
        <v>#VALUE!</v>
      </c>
      <c r="X56" s="126" t="e">
        <f>_xll.DBRW($G$3,$U$15,$H$17,$U$13,$U$16,$U$14,X$2,$U$12,$A56)</f>
        <v>#VALUE!</v>
      </c>
      <c r="Y56" s="126" t="e">
        <f>_xll.DBRW($G$3,$U$15,$H$17,$U$13,$U$16,$U$14,Y$2,$U$12,$A56)</f>
        <v>#VALUE!</v>
      </c>
      <c r="Z56" s="126" t="e">
        <f>_xll.DBRW($G$3,$U$15,$H$17,$U$13,$U$16,$U$14,Z$2,$U$12,$A56)</f>
        <v>#VALUE!</v>
      </c>
      <c r="AA56" s="131"/>
      <c r="AB56" s="126" t="e">
        <f t="shared" si="28"/>
        <v>#VALUE!</v>
      </c>
      <c r="AC56" s="126" t="e">
        <f t="shared" si="29"/>
        <v>#VALUE!</v>
      </c>
      <c r="AD56" s="126" t="e">
        <f t="shared" si="30"/>
        <v>#VALUE!</v>
      </c>
      <c r="AE56" s="126" t="e">
        <f t="shared" si="31"/>
        <v>#VALUE!</v>
      </c>
      <c r="AF56" s="126" t="e">
        <f t="shared" si="32"/>
        <v>#VALUE!</v>
      </c>
      <c r="AG56" s="126" t="e">
        <f t="shared" si="33"/>
        <v>#VALUE!</v>
      </c>
      <c r="AH56" s="126" t="e">
        <f t="shared" si="34"/>
        <v>#VALUE!</v>
      </c>
      <c r="AI56" s="126" t="e">
        <f t="shared" si="35"/>
        <v>#VALUE!</v>
      </c>
      <c r="AJ56" s="43"/>
      <c r="AK56" s="47"/>
      <c r="AL56" s="49" t="s">
        <v>115</v>
      </c>
      <c r="AM56" s="47"/>
      <c r="AN56" s="47"/>
      <c r="AO56" s="47"/>
      <c r="AP56" s="47"/>
      <c r="AQ56" s="47"/>
      <c r="AR56" s="47"/>
    </row>
    <row r="57" spans="1:44" ht="21.75" hidden="1" customHeight="1" outlineLevel="1" thickBot="1">
      <c r="A57" s="50" t="s">
        <v>147</v>
      </c>
      <c r="B57" s="41"/>
      <c r="C57" s="41"/>
      <c r="D57" s="41">
        <v>36</v>
      </c>
      <c r="G57" s="185" t="str">
        <f>_xll.DBRA(Server&amp;$A$21,$A57,$H$18)</f>
        <v>Operating cash flow from discontinued activities</v>
      </c>
      <c r="H57" s="186"/>
      <c r="I57" s="126" t="e">
        <f>_xll.DBRW($G$3,$H$15,$H$17,$H$13,$H$16,$H$14,I$2,$H$12,$A57)</f>
        <v>#VALUE!</v>
      </c>
      <c r="J57" s="126" t="e">
        <f>_xll.DBRW($G$3,$H$15,$H$17,$H$13,$H$16,$H$14,J$2,$H$12,$A57)</f>
        <v>#VALUE!</v>
      </c>
      <c r="K57" s="126" t="e">
        <f>_xll.DBRW($G$3,$H$15,$H$17,$H$13,$H$16,$H$14,K$2,$H$12,$A57)</f>
        <v>#VALUE!</v>
      </c>
      <c r="L57" s="126" t="e">
        <f>_xll.DBRW($G$3,$H$15,$H$17,$H$13,$H$16,$H$14,L$2,$H$12,$A57)</f>
        <v>#VALUE!</v>
      </c>
      <c r="M57" s="126" t="e">
        <f>_xll.DBRW($G$3,$H$15,$H$17,$H$13,$H$16,$H$14,M$2,$H$12,$A57)</f>
        <v>#VALUE!</v>
      </c>
      <c r="N57" s="126" t="e">
        <f>_xll.DBRW($G$3,$H$15,$H$17,$H$13,$H$16,$H$14,N$2,$H$12,$A57)</f>
        <v>#VALUE!</v>
      </c>
      <c r="O57" s="126" t="e">
        <f>_xll.DBRW($G$3,$H$15,$H$17,$H$13,$H$16,$H$14,O$2,$H$12,$A57)</f>
        <v>#VALUE!</v>
      </c>
      <c r="P57" s="126" t="e">
        <f>_xll.DBRW($G$3,$H$15,$H$17,$H$13,$H$16,$H$14,P$2,$H$12,$A57)</f>
        <v>#VALUE!</v>
      </c>
      <c r="Q57" s="131"/>
      <c r="R57" s="131"/>
      <c r="S57" s="126" t="e">
        <f>_xll.DBRW($G$3,$U$15,$H$17,$U$13,$U$16,$U$14,S$2,$U$12,$A57)</f>
        <v>#VALUE!</v>
      </c>
      <c r="T57" s="126" t="e">
        <f>_xll.DBRW($G$3,$U$15,$H$17,$U$13,$U$16,$U$14,T$2,$U$12,$A57)</f>
        <v>#VALUE!</v>
      </c>
      <c r="U57" s="126" t="e">
        <f>_xll.DBRW($G$3,$U$15,$H$17,$U$13,$U$16,$U$14,U$2,$U$12,$A57)</f>
        <v>#VALUE!</v>
      </c>
      <c r="V57" s="126" t="e">
        <f>_xll.DBRW($G$3,$U$15,$H$17,$U$13,$U$16,$U$14,V$2,$U$12,$A57)</f>
        <v>#VALUE!</v>
      </c>
      <c r="W57" s="126" t="e">
        <f>_xll.DBRW($G$3,$U$15,$H$17,$U$13,$U$16,$U$14,W$2,$U$12,$A57)</f>
        <v>#VALUE!</v>
      </c>
      <c r="X57" s="126" t="e">
        <f>_xll.DBRW($G$3,$U$15,$H$17,$U$13,$U$16,$U$14,X$2,$U$12,$A57)</f>
        <v>#VALUE!</v>
      </c>
      <c r="Y57" s="126" t="e">
        <f>_xll.DBRW($G$3,$U$15,$H$17,$U$13,$U$16,$U$14,Y$2,$U$12,$A57)</f>
        <v>#VALUE!</v>
      </c>
      <c r="Z57" s="126" t="e">
        <f>_xll.DBRW($G$3,$U$15,$H$17,$U$13,$U$16,$U$14,Z$2,$U$12,$A57)</f>
        <v>#VALUE!</v>
      </c>
      <c r="AA57" s="131"/>
      <c r="AB57" s="126" t="e">
        <f t="shared" si="28"/>
        <v>#VALUE!</v>
      </c>
      <c r="AC57" s="126" t="e">
        <f t="shared" si="29"/>
        <v>#VALUE!</v>
      </c>
      <c r="AD57" s="126" t="e">
        <f t="shared" si="30"/>
        <v>#VALUE!</v>
      </c>
      <c r="AE57" s="126" t="e">
        <f t="shared" si="31"/>
        <v>#VALUE!</v>
      </c>
      <c r="AF57" s="126" t="e">
        <f t="shared" si="32"/>
        <v>#VALUE!</v>
      </c>
      <c r="AG57" s="126" t="e">
        <f t="shared" si="33"/>
        <v>#VALUE!</v>
      </c>
      <c r="AH57" s="126" t="e">
        <f t="shared" si="34"/>
        <v>#VALUE!</v>
      </c>
      <c r="AI57" s="126" t="e">
        <f t="shared" si="35"/>
        <v>#VALUE!</v>
      </c>
      <c r="AJ57" s="43"/>
      <c r="AK57" s="47"/>
      <c r="AL57" s="49" t="s">
        <v>68</v>
      </c>
      <c r="AM57" s="47"/>
      <c r="AN57" s="47"/>
      <c r="AO57" s="47"/>
      <c r="AP57" s="47"/>
      <c r="AQ57" s="47"/>
      <c r="AR57" s="47"/>
    </row>
    <row r="58" spans="1:44" ht="21.75" customHeight="1" collapsed="1" thickBot="1">
      <c r="A58" s="50" t="s">
        <v>11</v>
      </c>
      <c r="B58" s="64"/>
      <c r="C58" s="41"/>
      <c r="D58" s="41">
        <v>37</v>
      </c>
      <c r="G58" s="184" t="str">
        <f>_xll.DBRA(Server&amp;$A$21,$A58,$H$18)</f>
        <v>CASH FLOW FROM OPERATION ACTIVITIES before WC &amp; Tax</v>
      </c>
      <c r="H58" s="184"/>
      <c r="I58" s="134" t="e">
        <f>_xll.DBRW($G$3,$H$15,$H$17,$H$13,$H$16,$H$14,I$2,$H$12,$A58)</f>
        <v>#VALUE!</v>
      </c>
      <c r="J58" s="134" t="e">
        <f>_xll.DBRW($G$3,$H$15,$H$17,$H$13,$H$16,$H$14,J$2,$H$12,$A58)</f>
        <v>#VALUE!</v>
      </c>
      <c r="K58" s="134" t="e">
        <f>_xll.DBRW($G$3,$H$15,$H$17,$H$13,$H$16,$H$14,K$2,$H$12,$A58)</f>
        <v>#VALUE!</v>
      </c>
      <c r="L58" s="134" t="e">
        <f>_xll.DBRW($G$3,$H$15,$H$17,$H$13,$H$16,$H$14,L$2,$H$12,$A58)</f>
        <v>#VALUE!</v>
      </c>
      <c r="M58" s="134" t="e">
        <f>_xll.DBRW($G$3,$H$15,$H$17,$H$13,$H$16,$H$14,M$2,$H$12,$A58)</f>
        <v>#VALUE!</v>
      </c>
      <c r="N58" s="134" t="e">
        <f>_xll.DBRW($G$3,$H$15,$H$17,$H$13,$H$16,$H$14,N$2,$H$12,$A58)</f>
        <v>#VALUE!</v>
      </c>
      <c r="O58" s="134" t="e">
        <f>_xll.DBRW($G$3,$H$15,$H$17,$H$13,$H$16,$H$14,O$2,$H$12,$A58)</f>
        <v>#VALUE!</v>
      </c>
      <c r="P58" s="134" t="e">
        <f>_xll.DBRW($G$3,$H$15,$H$17,$H$13,$H$16,$H$14,P$2,$H$12,$A58)</f>
        <v>#VALUE!</v>
      </c>
      <c r="Q58" s="131" t="e">
        <f>SUM(I58:P58)-SUM(I55:P57)</f>
        <v>#VALUE!</v>
      </c>
      <c r="R58" s="131"/>
      <c r="S58" s="134" t="e">
        <f>_xll.DBRW($G$3,$U$15,$H$17,$U$13,$U$16,$U$14,S$2,$U$12,$A58)</f>
        <v>#VALUE!</v>
      </c>
      <c r="T58" s="134" t="e">
        <f>_xll.DBRW($G$3,$U$15,$H$17,$U$13,$U$16,$U$14,T$2,$U$12,$A58)</f>
        <v>#VALUE!</v>
      </c>
      <c r="U58" s="134" t="e">
        <f>_xll.DBRW($G$3,$U$15,$H$17,$U$13,$U$16,$U$14,U$2,$U$12,$A58)</f>
        <v>#VALUE!</v>
      </c>
      <c r="V58" s="134" t="e">
        <f>_xll.DBRW($G$3,$U$15,$H$17,$U$13,$U$16,$U$14,V$2,$U$12,$A58)</f>
        <v>#VALUE!</v>
      </c>
      <c r="W58" s="134" t="e">
        <f>_xll.DBRW($G$3,$U$15,$H$17,$U$13,$U$16,$U$14,W$2,$U$12,$A58)</f>
        <v>#VALUE!</v>
      </c>
      <c r="X58" s="134" t="e">
        <f>_xll.DBRW($G$3,$U$15,$H$17,$U$13,$U$16,$U$14,X$2,$U$12,$A58)</f>
        <v>#VALUE!</v>
      </c>
      <c r="Y58" s="134" t="e">
        <f>_xll.DBRW($G$3,$U$15,$H$17,$U$13,$U$16,$U$14,Y$2,$U$12,$A58)</f>
        <v>#VALUE!</v>
      </c>
      <c r="Z58" s="134" t="e">
        <f>_xll.DBRW($G$3,$U$15,$H$17,$U$13,$U$16,$U$14,Z$2,$U$12,$A58)</f>
        <v>#VALUE!</v>
      </c>
      <c r="AA58" s="131" t="e">
        <f>SUM(S58:Z58)-SUM(S55:Z57)</f>
        <v>#VALUE!</v>
      </c>
      <c r="AB58" s="134" t="e">
        <f t="shared" si="28"/>
        <v>#VALUE!</v>
      </c>
      <c r="AC58" s="134" t="e">
        <f t="shared" si="29"/>
        <v>#VALUE!</v>
      </c>
      <c r="AD58" s="134" t="e">
        <f t="shared" si="30"/>
        <v>#VALUE!</v>
      </c>
      <c r="AE58" s="134" t="e">
        <f t="shared" si="31"/>
        <v>#VALUE!</v>
      </c>
      <c r="AF58" s="134" t="e">
        <f t="shared" si="32"/>
        <v>#VALUE!</v>
      </c>
      <c r="AG58" s="134" t="e">
        <f t="shared" si="33"/>
        <v>#VALUE!</v>
      </c>
      <c r="AH58" s="134" t="e">
        <f t="shared" si="34"/>
        <v>#VALUE!</v>
      </c>
      <c r="AI58" s="134" t="e">
        <f t="shared" si="35"/>
        <v>#VALUE!</v>
      </c>
      <c r="AJ58" s="43"/>
      <c r="AK58" s="47"/>
      <c r="AL58" s="49" t="s">
        <v>61</v>
      </c>
      <c r="AM58" s="47"/>
      <c r="AN58" s="47"/>
      <c r="AO58" s="47"/>
      <c r="AP58" s="47"/>
      <c r="AQ58" s="47"/>
      <c r="AR58" s="47"/>
    </row>
    <row r="59" spans="1:44" ht="21.75" customHeight="1">
      <c r="A59" s="50" t="s">
        <v>12</v>
      </c>
      <c r="B59" s="41"/>
      <c r="C59" s="41"/>
      <c r="D59" s="41">
        <v>38</v>
      </c>
      <c r="G59" s="185" t="str">
        <f>_xll.DBRA(Server&amp;$A$21,$A59,$H$18)</f>
        <v>Income tax paid &amp; tax working capital</v>
      </c>
      <c r="H59" s="186"/>
      <c r="I59" s="126" t="e">
        <f>_xll.DBRW($G$3,$H$15,$H$17,$H$13,$H$16,$H$14,I$2,$H$12,$A59)</f>
        <v>#VALUE!</v>
      </c>
      <c r="J59" s="127" t="e">
        <f>_xll.DBRW($G$3,$H$15,$H$17,$H$13,$H$16,$H$14,J$2,$H$12,$A59)</f>
        <v>#VALUE!</v>
      </c>
      <c r="K59" s="127" t="e">
        <f>_xll.DBRW($G$3,$H$15,$H$17,$H$13,$H$16,$H$14,K$2,$H$12,$A59)</f>
        <v>#VALUE!</v>
      </c>
      <c r="L59" s="127" t="e">
        <f>_xll.DBRW($G$3,$H$15,$H$17,$H$13,$H$16,$H$14,L$2,$H$12,$A59)</f>
        <v>#VALUE!</v>
      </c>
      <c r="M59" s="127" t="e">
        <f>_xll.DBRW($G$3,$H$15,$H$17,$H$13,$H$16,$H$14,M$2,$H$12,$A59)</f>
        <v>#VALUE!</v>
      </c>
      <c r="N59" s="127" t="e">
        <f>_xll.DBRW($G$3,$H$15,$H$17,$H$13,$H$16,$H$14,N$2,$H$12,$A59)</f>
        <v>#VALUE!</v>
      </c>
      <c r="O59" s="127" t="e">
        <f>_xll.DBRW($G$3,$H$15,$H$17,$H$13,$H$16,$H$14,O$2,$H$12,$A59)</f>
        <v>#VALUE!</v>
      </c>
      <c r="P59" s="128" t="e">
        <f>_xll.DBRW($G$3,$H$15,$H$17,$H$13,$H$16,$H$14,P$2,$H$12,$A59)</f>
        <v>#VALUE!</v>
      </c>
      <c r="Q59" s="131"/>
      <c r="R59" s="131"/>
      <c r="S59" s="126" t="e">
        <f>_xll.DBRW($G$3,$U$15,$H$17,$U$13,$U$16,$U$14,S$2,$U$12,$A59)</f>
        <v>#VALUE!</v>
      </c>
      <c r="T59" s="127" t="e">
        <f>_xll.DBRW($G$3,$U$15,$H$17,$U$13,$U$16,$U$14,T$2,$U$12,$A59)</f>
        <v>#VALUE!</v>
      </c>
      <c r="U59" s="127" t="e">
        <f>_xll.DBRW($G$3,$U$15,$H$17,$U$13,$U$16,$U$14,U$2,$U$12,$A59)</f>
        <v>#VALUE!</v>
      </c>
      <c r="V59" s="127" t="e">
        <f>_xll.DBRW($G$3,$U$15,$H$17,$U$13,$U$16,$U$14,V$2,$U$12,$A59)</f>
        <v>#VALUE!</v>
      </c>
      <c r="W59" s="127" t="e">
        <f>_xll.DBRW($G$3,$U$15,$H$17,$U$13,$U$16,$U$14,W$2,$U$12,$A59)</f>
        <v>#VALUE!</v>
      </c>
      <c r="X59" s="127" t="e">
        <f>_xll.DBRW($G$3,$U$15,$H$17,$U$13,$U$16,$U$14,X$2,$U$12,$A59)</f>
        <v>#VALUE!</v>
      </c>
      <c r="Y59" s="127" t="e">
        <f>_xll.DBRW($G$3,$U$15,$H$17,$U$13,$U$16,$U$14,Y$2,$U$12,$A59)</f>
        <v>#VALUE!</v>
      </c>
      <c r="Z59" s="128" t="e">
        <f>_xll.DBRW($G$3,$U$15,$H$17,$U$13,$U$16,$U$14,Z$2,$U$12,$A59)</f>
        <v>#VALUE!</v>
      </c>
      <c r="AA59" s="131"/>
      <c r="AB59" s="126" t="e">
        <f t="shared" si="28"/>
        <v>#VALUE!</v>
      </c>
      <c r="AC59" s="127" t="e">
        <f t="shared" si="29"/>
        <v>#VALUE!</v>
      </c>
      <c r="AD59" s="127" t="e">
        <f t="shared" si="30"/>
        <v>#VALUE!</v>
      </c>
      <c r="AE59" s="127" t="e">
        <f t="shared" si="31"/>
        <v>#VALUE!</v>
      </c>
      <c r="AF59" s="127" t="e">
        <f t="shared" si="32"/>
        <v>#VALUE!</v>
      </c>
      <c r="AG59" s="127" t="e">
        <f t="shared" si="33"/>
        <v>#VALUE!</v>
      </c>
      <c r="AH59" s="127" t="e">
        <f t="shared" si="34"/>
        <v>#VALUE!</v>
      </c>
      <c r="AI59" s="128" t="e">
        <f t="shared" si="35"/>
        <v>#VALUE!</v>
      </c>
      <c r="AJ59" s="43"/>
      <c r="AK59" s="47"/>
      <c r="AL59" s="49" t="s">
        <v>118</v>
      </c>
      <c r="AM59" s="47"/>
      <c r="AN59" s="47"/>
      <c r="AO59" s="47"/>
      <c r="AP59" s="47"/>
      <c r="AQ59" s="47"/>
      <c r="AR59" s="47"/>
    </row>
    <row r="60" spans="1:44" ht="21.75" customHeight="1" thickBot="1">
      <c r="A60" s="50" t="s">
        <v>13</v>
      </c>
      <c r="B60" s="41"/>
      <c r="C60" s="41"/>
      <c r="D60" s="41">
        <v>39</v>
      </c>
      <c r="G60" s="185" t="str">
        <f>_xll.DBRA(Server&amp;$A$21,$A60,$H$18)</f>
        <v>Change in operating working capital</v>
      </c>
      <c r="H60" s="186"/>
      <c r="I60" s="126" t="e">
        <f>_xll.DBRW($G$3,$H$15,$H$17,$H$13,$H$16,$H$14,I$2,$H$12,$A60)</f>
        <v>#VALUE!</v>
      </c>
      <c r="J60" s="127" t="e">
        <f>_xll.DBRW($G$3,$H$15,$H$17,$H$13,$H$16,$H$14,J$2,$H$12,$A60)</f>
        <v>#VALUE!</v>
      </c>
      <c r="K60" s="127" t="e">
        <f>_xll.DBRW($G$3,$H$15,$H$17,$H$13,$H$16,$H$14,K$2,$H$12,$A60)</f>
        <v>#VALUE!</v>
      </c>
      <c r="L60" s="127" t="e">
        <f>_xll.DBRW($G$3,$H$15,$H$17,$H$13,$H$16,$H$14,L$2,$H$12,$A60)</f>
        <v>#VALUE!</v>
      </c>
      <c r="M60" s="127" t="e">
        <f>_xll.DBRW($G$3,$H$15,$H$17,$H$13,$H$16,$H$14,M$2,$H$12,$A60)</f>
        <v>#VALUE!</v>
      </c>
      <c r="N60" s="127" t="e">
        <f>_xll.DBRW($G$3,$H$15,$H$17,$H$13,$H$16,$H$14,N$2,$H$12,$A60)</f>
        <v>#VALUE!</v>
      </c>
      <c r="O60" s="127" t="e">
        <f>_xll.DBRW($G$3,$H$15,$H$17,$H$13,$H$16,$H$14,O$2,$H$12,$A60)</f>
        <v>#VALUE!</v>
      </c>
      <c r="P60" s="128" t="e">
        <f>_xll.DBRW($G$3,$H$15,$H$17,$H$13,$H$16,$H$14,P$2,$H$12,$A60)</f>
        <v>#VALUE!</v>
      </c>
      <c r="Q60" s="131"/>
      <c r="R60" s="131"/>
      <c r="S60" s="126" t="e">
        <f>_xll.DBRW($G$3,$U$15,$H$17,$U$13,$U$16,$U$14,S$2,$U$12,$A60)</f>
        <v>#VALUE!</v>
      </c>
      <c r="T60" s="127" t="e">
        <f>_xll.DBRW($G$3,$U$15,$H$17,$U$13,$U$16,$U$14,T$2,$U$12,$A60)</f>
        <v>#VALUE!</v>
      </c>
      <c r="U60" s="127" t="e">
        <f>_xll.DBRW($G$3,$U$15,$H$17,$U$13,$U$16,$U$14,U$2,$U$12,$A60)</f>
        <v>#VALUE!</v>
      </c>
      <c r="V60" s="127" t="e">
        <f>_xll.DBRW($G$3,$U$15,$H$17,$U$13,$U$16,$U$14,V$2,$U$12,$A60)</f>
        <v>#VALUE!</v>
      </c>
      <c r="W60" s="127" t="e">
        <f>_xll.DBRW($G$3,$U$15,$H$17,$U$13,$U$16,$U$14,W$2,$U$12,$A60)</f>
        <v>#VALUE!</v>
      </c>
      <c r="X60" s="127" t="e">
        <f>_xll.DBRW($G$3,$U$15,$H$17,$U$13,$U$16,$U$14,X$2,$U$12,$A60)</f>
        <v>#VALUE!</v>
      </c>
      <c r="Y60" s="127" t="e">
        <f>_xll.DBRW($G$3,$U$15,$H$17,$U$13,$U$16,$U$14,Y$2,$U$12,$A60)</f>
        <v>#VALUE!</v>
      </c>
      <c r="Z60" s="128" t="e">
        <f>_xll.DBRW($G$3,$U$15,$H$17,$U$13,$U$16,$U$14,Z$2,$U$12,$A60)</f>
        <v>#VALUE!</v>
      </c>
      <c r="AA60" s="131"/>
      <c r="AB60" s="126" t="e">
        <f t="shared" si="28"/>
        <v>#VALUE!</v>
      </c>
      <c r="AC60" s="127" t="e">
        <f t="shared" si="29"/>
        <v>#VALUE!</v>
      </c>
      <c r="AD60" s="127" t="e">
        <f t="shared" si="30"/>
        <v>#VALUE!</v>
      </c>
      <c r="AE60" s="127" t="e">
        <f t="shared" si="31"/>
        <v>#VALUE!</v>
      </c>
      <c r="AF60" s="127" t="e">
        <f t="shared" si="32"/>
        <v>#VALUE!</v>
      </c>
      <c r="AG60" s="127" t="e">
        <f t="shared" si="33"/>
        <v>#VALUE!</v>
      </c>
      <c r="AH60" s="127" t="e">
        <f t="shared" si="34"/>
        <v>#VALUE!</v>
      </c>
      <c r="AI60" s="128" t="e">
        <f t="shared" si="35"/>
        <v>#VALUE!</v>
      </c>
      <c r="AJ60" s="43"/>
      <c r="AK60" s="47"/>
      <c r="AL60" s="49" t="s">
        <v>44</v>
      </c>
      <c r="AM60" s="47"/>
      <c r="AN60" s="47"/>
      <c r="AO60" s="47"/>
      <c r="AP60" s="47"/>
      <c r="AQ60" s="47"/>
      <c r="AR60" s="47"/>
    </row>
    <row r="61" spans="1:44" ht="21.75" customHeight="1" thickBot="1">
      <c r="A61" s="50" t="s">
        <v>14</v>
      </c>
      <c r="B61" s="64"/>
      <c r="C61" s="41"/>
      <c r="D61" s="41">
        <v>40</v>
      </c>
      <c r="G61" s="184" t="str">
        <f>_xll.DBRA(Server&amp;$A$21,$A61,$H$18)</f>
        <v>NET CASH FLOW FROM OPERATIONS</v>
      </c>
      <c r="H61" s="184"/>
      <c r="I61" s="134" t="e">
        <f>_xll.DBRW($G$3,$H$15,$H$17,$H$13,$H$16,$H$14,I$2,$H$12,$A61)</f>
        <v>#VALUE!</v>
      </c>
      <c r="J61" s="134" t="e">
        <f>_xll.DBRW($G$3,$H$15,$H$17,$H$13,$H$16,$H$14,J$2,$H$12,$A61)</f>
        <v>#VALUE!</v>
      </c>
      <c r="K61" s="134" t="e">
        <f>_xll.DBRW($G$3,$H$15,$H$17,$H$13,$H$16,$H$14,K$2,$H$12,$A61)</f>
        <v>#VALUE!</v>
      </c>
      <c r="L61" s="134" t="e">
        <f>_xll.DBRW($G$3,$H$15,$H$17,$H$13,$H$16,$H$14,L$2,$H$12,$A61)</f>
        <v>#VALUE!</v>
      </c>
      <c r="M61" s="134" t="e">
        <f>_xll.DBRW($G$3,$H$15,$H$17,$H$13,$H$16,$H$14,M$2,$H$12,$A61)</f>
        <v>#VALUE!</v>
      </c>
      <c r="N61" s="134" t="e">
        <f>_xll.DBRW($G$3,$H$15,$H$17,$H$13,$H$16,$H$14,N$2,$H$12,$A61)</f>
        <v>#VALUE!</v>
      </c>
      <c r="O61" s="134" t="e">
        <f>_xll.DBRW($G$3,$H$15,$H$17,$H$13,$H$16,$H$14,O$2,$H$12,$A61)</f>
        <v>#VALUE!</v>
      </c>
      <c r="P61" s="134" t="e">
        <f>_xll.DBRW($G$3,$H$15,$H$17,$H$13,$H$16,$H$14,P$2,$H$12,$A61)</f>
        <v>#VALUE!</v>
      </c>
      <c r="Q61" s="131" t="e">
        <f>SUM(I61:P61)-SUM(I58:P60)</f>
        <v>#VALUE!</v>
      </c>
      <c r="R61" s="131"/>
      <c r="S61" s="134" t="e">
        <f>_xll.DBRW($G$3,$U$15,$H$17,$U$13,$U$16,$U$14,S$2,$U$12,$A61)</f>
        <v>#VALUE!</v>
      </c>
      <c r="T61" s="134" t="e">
        <f>_xll.DBRW($G$3,$U$15,$H$17,$U$13,$U$16,$U$14,T$2,$U$12,$A61)</f>
        <v>#VALUE!</v>
      </c>
      <c r="U61" s="134" t="e">
        <f>_xll.DBRW($G$3,$U$15,$H$17,$U$13,$U$16,$U$14,U$2,$U$12,$A61)</f>
        <v>#VALUE!</v>
      </c>
      <c r="V61" s="134" t="e">
        <f>_xll.DBRW($G$3,$U$15,$H$17,$U$13,$U$16,$U$14,V$2,$U$12,$A61)</f>
        <v>#VALUE!</v>
      </c>
      <c r="W61" s="134" t="e">
        <f>_xll.DBRW($G$3,$U$15,$H$17,$U$13,$U$16,$U$14,W$2,$U$12,$A61)</f>
        <v>#VALUE!</v>
      </c>
      <c r="X61" s="134" t="e">
        <f>_xll.DBRW($G$3,$U$15,$H$17,$U$13,$U$16,$U$14,X$2,$U$12,$A61)</f>
        <v>#VALUE!</v>
      </c>
      <c r="Y61" s="134" t="e">
        <f>_xll.DBRW($G$3,$U$15,$H$17,$U$13,$U$16,$U$14,Y$2,$U$12,$A61)</f>
        <v>#VALUE!</v>
      </c>
      <c r="Z61" s="134" t="e">
        <f>_xll.DBRW($G$3,$U$15,$H$17,$U$13,$U$16,$U$14,Z$2,$U$12,$A61)</f>
        <v>#VALUE!</v>
      </c>
      <c r="AA61" s="131" t="e">
        <f>SUM(S61:Z61)-SUM(S58:Z60)</f>
        <v>#VALUE!</v>
      </c>
      <c r="AB61" s="134" t="e">
        <f t="shared" si="28"/>
        <v>#VALUE!</v>
      </c>
      <c r="AC61" s="134" t="e">
        <f t="shared" si="29"/>
        <v>#VALUE!</v>
      </c>
      <c r="AD61" s="134" t="e">
        <f t="shared" si="30"/>
        <v>#VALUE!</v>
      </c>
      <c r="AE61" s="134" t="e">
        <f t="shared" si="31"/>
        <v>#VALUE!</v>
      </c>
      <c r="AF61" s="134" t="e">
        <f t="shared" si="32"/>
        <v>#VALUE!</v>
      </c>
      <c r="AG61" s="134" t="e">
        <f t="shared" si="33"/>
        <v>#VALUE!</v>
      </c>
      <c r="AH61" s="134" t="e">
        <f t="shared" si="34"/>
        <v>#VALUE!</v>
      </c>
      <c r="AI61" s="134" t="e">
        <f t="shared" si="35"/>
        <v>#VALUE!</v>
      </c>
      <c r="AJ61" s="43"/>
      <c r="AK61" s="47"/>
      <c r="AL61" s="49" t="s">
        <v>119</v>
      </c>
      <c r="AM61" s="47"/>
      <c r="AN61" s="47"/>
      <c r="AO61" s="47"/>
      <c r="AP61" s="47"/>
      <c r="AQ61" s="47"/>
      <c r="AR61" s="47"/>
    </row>
    <row r="62" spans="1:44" ht="21.75" customHeight="1">
      <c r="A62" s="50" t="s">
        <v>126</v>
      </c>
      <c r="B62" s="41" t="s">
        <v>145</v>
      </c>
      <c r="C62" s="41" t="s">
        <v>146</v>
      </c>
      <c r="D62" s="41">
        <v>41</v>
      </c>
      <c r="G62" s="185" t="str">
        <f>_xll.DBRA(Server&amp;$A$21,$A62,$H$18)</f>
        <v>CAPEX - All financing mode (excl. IFRIC 12)</v>
      </c>
      <c r="H62" s="186"/>
      <c r="I62" s="126" t="e">
        <f>_xll.DBRW($G$3,$H$15,$H$17,$H$13,$H$16,$H$14,I$2,$H$12,$B62)+_xll.DBRW($G$3,$H$15,$H$17,$H$13,$H$16,$H$14,I$2,$H$12,$C62)+_xll.DBRW($G$3,$H$15,$H$17,$H$13,$H$16,$H$14,I$2,$H$12,$A62)</f>
        <v>#VALUE!</v>
      </c>
      <c r="J62" s="126" t="e">
        <f>_xll.DBRW($G$3,$H$15,$H$17,$H$13,$H$16,$H$14,J$2,$H$12,$B62)+_xll.DBRW($G$3,$H$15,$H$17,$H$13,$H$16,$H$14,J$2,$H$12,$C62)+_xll.DBRW($G$3,$H$15,$H$17,$H$13,$H$16,$H$14,J$2,$H$12,$A62)</f>
        <v>#VALUE!</v>
      </c>
      <c r="K62" s="126" t="e">
        <f>_xll.DBRW($G$3,$H$15,$H$17,$H$13,$H$16,$H$14,K$2,$H$12,$B62)+_xll.DBRW($G$3,$H$15,$H$17,$H$13,$H$16,$H$14,K$2,$H$12,$C62)+_xll.DBRW($G$3,$H$15,$H$17,$H$13,$H$16,$H$14,K$2,$H$12,$A62)</f>
        <v>#VALUE!</v>
      </c>
      <c r="L62" s="126" t="e">
        <f>_xll.DBRW($G$3,$H$15,$H$17,$H$13,$H$16,$H$14,L$2,$H$12,$B62)+_xll.DBRW($G$3,$H$15,$H$17,$H$13,$H$16,$H$14,L$2,$H$12,$C62)+_xll.DBRW($G$3,$H$15,$H$17,$H$13,$H$16,$H$14,L$2,$H$12,$A62)</f>
        <v>#VALUE!</v>
      </c>
      <c r="M62" s="126" t="e">
        <f>_xll.DBRW($G$3,$H$15,$H$17,$H$13,$H$16,$H$14,M$2,$H$12,$B62)+_xll.DBRW($G$3,$H$15,$H$17,$H$13,$H$16,$H$14,M$2,$H$12,$C62)+_xll.DBRW($G$3,$H$15,$H$17,$H$13,$H$16,$H$14,M$2,$H$12,$A62)</f>
        <v>#VALUE!</v>
      </c>
      <c r="N62" s="126" t="e">
        <f>_xll.DBRW($G$3,$H$15,$H$17,$H$13,$H$16,$H$14,N$2,$H$12,$B62)+_xll.DBRW($G$3,$H$15,$H$17,$H$13,$H$16,$H$14,N$2,$H$12,$C62)+_xll.DBRW($G$3,$H$15,$H$17,$H$13,$H$16,$H$14,N$2,$H$12,$A62)</f>
        <v>#VALUE!</v>
      </c>
      <c r="O62" s="126" t="e">
        <f>_xll.DBRW($G$3,$H$15,$H$17,$H$13,$H$16,$H$14,O$2,$H$12,$B62)+_xll.DBRW($G$3,$H$15,$H$17,$H$13,$H$16,$H$14,O$2,$H$12,$C62)+_xll.DBRW($G$3,$H$15,$H$17,$H$13,$H$16,$H$14,O$2,$H$12,$A62)</f>
        <v>#VALUE!</v>
      </c>
      <c r="P62" s="126" t="e">
        <f>_xll.DBRW($G$3,$H$15,$H$17,$H$13,$H$16,$H$14,P$2,$H$12,$B62)+_xll.DBRW($G$3,$H$15,$H$17,$H$13,$H$16,$H$14,P$2,$H$12,$C62)+_xll.DBRW($G$3,$H$15,$H$17,$H$13,$H$16,$H$14,P$2,$H$12,$A62)</f>
        <v>#VALUE!</v>
      </c>
      <c r="Q62" s="131"/>
      <c r="R62" s="131"/>
      <c r="S62" s="126" t="e">
        <f>_xll.DBRW($G$3,$U$15,$H$17,$U$13,$U$16,$U$14,S$2,$U$12,$B62)+_xll.DBRW($G$3,$U$15,$H$17,$U$13,$U$16,$U$14,S$2,$U$12,$C62)+_xll.DBRW($G$3,$U$15,$H$17,$U$13,$U$16,$U$14,S$2,$U$12,$A62)</f>
        <v>#VALUE!</v>
      </c>
      <c r="T62" s="126" t="e">
        <f>_xll.DBRW($G$3,$U$15,$H$17,$U$13,$U$16,$U$14,T$2,$U$12,$B62)+_xll.DBRW($G$3,$U$15,$H$17,$U$13,$U$16,$U$14,T$2,$U$12,$C62)+_xll.DBRW($G$3,$U$15,$H$17,$U$13,$U$16,$U$14,T$2,$U$12,$A62)</f>
        <v>#VALUE!</v>
      </c>
      <c r="U62" s="126" t="e">
        <f>_xll.DBRW($G$3,$U$15,$H$17,$U$13,$U$16,$U$14,U$2,$U$12,$B62)+_xll.DBRW($G$3,$U$15,$H$17,$U$13,$U$16,$U$14,U$2,$U$12,$C62)+_xll.DBRW($G$3,$U$15,$H$17,$U$13,$U$16,$U$14,U$2,$U$12,$A62)</f>
        <v>#VALUE!</v>
      </c>
      <c r="V62" s="126" t="e">
        <f>_xll.DBRW($G$3,$U$15,$H$17,$U$13,$U$16,$U$14,V$2,$U$12,$B62)+_xll.DBRW($G$3,$U$15,$H$17,$U$13,$U$16,$U$14,V$2,$U$12,$C62)+_xll.DBRW($G$3,$U$15,$H$17,$U$13,$U$16,$U$14,V$2,$U$12,$A62)</f>
        <v>#VALUE!</v>
      </c>
      <c r="W62" s="126" t="e">
        <f>_xll.DBRW($G$3,$U$15,$H$17,$U$13,$U$16,$U$14,W$2,$U$12,$B62)+_xll.DBRW($G$3,$U$15,$H$17,$U$13,$U$16,$U$14,W$2,$U$12,$C62)+_xll.DBRW($G$3,$U$15,$H$17,$U$13,$U$16,$U$14,W$2,$U$12,$A62)</f>
        <v>#VALUE!</v>
      </c>
      <c r="X62" s="126" t="e">
        <f>_xll.DBRW($G$3,$U$15,$H$17,$U$13,$U$16,$U$14,X$2,$U$12,$B62)+_xll.DBRW($G$3,$U$15,$H$17,$U$13,$U$16,$U$14,X$2,$U$12,$C62)+_xll.DBRW($G$3,$U$15,$H$17,$U$13,$U$16,$U$14,X$2,$U$12,$A62)</f>
        <v>#VALUE!</v>
      </c>
      <c r="Y62" s="126" t="e">
        <f>_xll.DBRW($G$3,$U$15,$H$17,$U$13,$U$16,$U$14,Y$2,$U$12,$B62)+_xll.DBRW($G$3,$U$15,$H$17,$U$13,$U$16,$U$14,Y$2,$U$12,$C62)+_xll.DBRW($G$3,$U$15,$H$17,$U$13,$U$16,$U$14,Y$2,$U$12,$A62)</f>
        <v>#VALUE!</v>
      </c>
      <c r="Z62" s="126" t="e">
        <f>_xll.DBRW($G$3,$U$15,$H$17,$U$13,$U$16,$U$14,Z$2,$U$12,$B62)+_xll.DBRW($G$3,$U$15,$H$17,$U$13,$U$16,$U$14,Z$2,$U$12,$C62)+_xll.DBRW($G$3,$U$15,$H$17,$U$13,$U$16,$U$14,Z$2,$U$12,$A62)</f>
        <v>#VALUE!</v>
      </c>
      <c r="AA62" s="131"/>
      <c r="AB62" s="126" t="e">
        <f t="shared" si="28"/>
        <v>#VALUE!</v>
      </c>
      <c r="AC62" s="126" t="e">
        <f t="shared" si="29"/>
        <v>#VALUE!</v>
      </c>
      <c r="AD62" s="126" t="e">
        <f t="shared" si="30"/>
        <v>#VALUE!</v>
      </c>
      <c r="AE62" s="126" t="e">
        <f t="shared" si="31"/>
        <v>#VALUE!</v>
      </c>
      <c r="AF62" s="126" t="e">
        <f t="shared" si="32"/>
        <v>#VALUE!</v>
      </c>
      <c r="AG62" s="126" t="e">
        <f t="shared" si="33"/>
        <v>#VALUE!</v>
      </c>
      <c r="AH62" s="126" t="e">
        <f t="shared" si="34"/>
        <v>#VALUE!</v>
      </c>
      <c r="AI62" s="126" t="e">
        <f t="shared" si="35"/>
        <v>#VALUE!</v>
      </c>
      <c r="AJ62" s="43"/>
      <c r="AK62" s="47"/>
      <c r="AL62" s="49"/>
      <c r="AM62" s="47"/>
      <c r="AN62" s="47"/>
      <c r="AO62" s="47"/>
      <c r="AP62" s="47"/>
      <c r="AQ62" s="47"/>
      <c r="AR62" s="47"/>
    </row>
    <row r="63" spans="1:44" ht="21.75" customHeight="1">
      <c r="A63" s="50" t="s">
        <v>15</v>
      </c>
      <c r="B63" s="41"/>
      <c r="C63" s="41"/>
      <c r="D63" s="41">
        <v>42</v>
      </c>
      <c r="G63" s="185" t="str">
        <f>_xll.DBRA(Server&amp;$A$21,$A63,$H$18)</f>
        <v>New Operating financial assets - IFRIC 12 impacting NFD</v>
      </c>
      <c r="H63" s="186"/>
      <c r="I63" s="126" t="e">
        <f>_xll.DBRW($G$3,$H$15,$H$17,$H$13,$H$16,$H$14,I$2,$H$12,$A63)</f>
        <v>#VALUE!</v>
      </c>
      <c r="J63" s="127" t="e">
        <f>_xll.DBRW($G$3,$H$15,$H$17,$H$13,$H$16,$H$14,J$2,$H$12,$A63)</f>
        <v>#VALUE!</v>
      </c>
      <c r="K63" s="127" t="e">
        <f>_xll.DBRW($G$3,$H$15,$H$17,$H$13,$H$16,$H$14,K$2,$H$12,$A63)</f>
        <v>#VALUE!</v>
      </c>
      <c r="L63" s="127" t="e">
        <f>_xll.DBRW($G$3,$H$15,$H$17,$H$13,$H$16,$H$14,L$2,$H$12,$A63)</f>
        <v>#VALUE!</v>
      </c>
      <c r="M63" s="127" t="e">
        <f>_xll.DBRW($G$3,$H$15,$H$17,$H$13,$H$16,$H$14,M$2,$H$12,$A63)</f>
        <v>#VALUE!</v>
      </c>
      <c r="N63" s="127" t="e">
        <f>_xll.DBRW($G$3,$H$15,$H$17,$H$13,$H$16,$H$14,N$2,$H$12,$A63)</f>
        <v>#VALUE!</v>
      </c>
      <c r="O63" s="127" t="e">
        <f>_xll.DBRW($G$3,$H$15,$H$17,$H$13,$H$16,$H$14,O$2,$H$12,$A63)</f>
        <v>#VALUE!</v>
      </c>
      <c r="P63" s="128" t="e">
        <f>_xll.DBRW($G$3,$H$15,$H$17,$H$13,$H$16,$H$14,P$2,$H$12,$A63)</f>
        <v>#VALUE!</v>
      </c>
      <c r="Q63" s="131"/>
      <c r="R63" s="131"/>
      <c r="S63" s="126" t="e">
        <f>_xll.DBRW($G$3,$U$15,$H$17,$U$13,$U$16,$U$14,S$2,$U$12,$A63)</f>
        <v>#VALUE!</v>
      </c>
      <c r="T63" s="127" t="e">
        <f>_xll.DBRW($G$3,$U$15,$H$17,$U$13,$U$16,$U$14,T$2,$U$12,$A63)</f>
        <v>#VALUE!</v>
      </c>
      <c r="U63" s="127" t="e">
        <f>_xll.DBRW($G$3,$U$15,$H$17,$U$13,$U$16,$U$14,U$2,$U$12,$A63)</f>
        <v>#VALUE!</v>
      </c>
      <c r="V63" s="127" t="e">
        <f>_xll.DBRW($G$3,$U$15,$H$17,$U$13,$U$16,$U$14,V$2,$U$12,$A63)</f>
        <v>#VALUE!</v>
      </c>
      <c r="W63" s="127" t="e">
        <f>_xll.DBRW($G$3,$U$15,$H$17,$U$13,$U$16,$U$14,W$2,$U$12,$A63)</f>
        <v>#VALUE!</v>
      </c>
      <c r="X63" s="127" t="e">
        <f>_xll.DBRW($G$3,$U$15,$H$17,$U$13,$U$16,$U$14,X$2,$U$12,$A63)</f>
        <v>#VALUE!</v>
      </c>
      <c r="Y63" s="127" t="e">
        <f>_xll.DBRW($G$3,$U$15,$H$17,$U$13,$U$16,$U$14,Y$2,$U$12,$A63)</f>
        <v>#VALUE!</v>
      </c>
      <c r="Z63" s="128" t="e">
        <f>_xll.DBRW($G$3,$U$15,$H$17,$U$13,$U$16,$U$14,Z$2,$U$12,$A63)</f>
        <v>#VALUE!</v>
      </c>
      <c r="AA63" s="131"/>
      <c r="AB63" s="126" t="e">
        <f t="shared" si="28"/>
        <v>#VALUE!</v>
      </c>
      <c r="AC63" s="127" t="e">
        <f t="shared" si="29"/>
        <v>#VALUE!</v>
      </c>
      <c r="AD63" s="127" t="e">
        <f t="shared" si="30"/>
        <v>#VALUE!</v>
      </c>
      <c r="AE63" s="127" t="e">
        <f t="shared" si="31"/>
        <v>#VALUE!</v>
      </c>
      <c r="AF63" s="127" t="e">
        <f t="shared" si="32"/>
        <v>#VALUE!</v>
      </c>
      <c r="AG63" s="127" t="e">
        <f t="shared" si="33"/>
        <v>#VALUE!</v>
      </c>
      <c r="AH63" s="127" t="e">
        <f t="shared" si="34"/>
        <v>#VALUE!</v>
      </c>
      <c r="AI63" s="128" t="e">
        <f t="shared" si="35"/>
        <v>#VALUE!</v>
      </c>
      <c r="AJ63" s="43"/>
      <c r="AK63" s="47"/>
      <c r="AL63" s="49"/>
      <c r="AM63" s="47"/>
      <c r="AN63" s="47"/>
      <c r="AO63" s="47"/>
      <c r="AP63" s="47"/>
      <c r="AQ63" s="47"/>
      <c r="AR63" s="47"/>
    </row>
    <row r="64" spans="1:44" ht="21.75" customHeight="1">
      <c r="A64" s="50" t="s">
        <v>16</v>
      </c>
      <c r="B64" s="41" t="s">
        <v>148</v>
      </c>
      <c r="C64" s="41"/>
      <c r="D64" s="41">
        <v>43</v>
      </c>
      <c r="G64" s="185" t="str">
        <f>_xll.DBRA(Server&amp;$A$21,$A64,$H$18)</f>
        <v>Financial investments (incl. Net debt of acquired entities)</v>
      </c>
      <c r="H64" s="186"/>
      <c r="I64" s="126" t="e">
        <f>_xll.DBRW($G$3,$H$15,$H$17,$H$13,$H$16,$H$14,I$2,$H$12,$B64)+_xll.DBRW($G$3,$H$15,$H$17,$H$13,$H$16,$H$14,I$2,$H$12,$A64)</f>
        <v>#VALUE!</v>
      </c>
      <c r="J64" s="126" t="e">
        <f>_xll.DBRW($G$3,$H$15,$H$17,$H$13,$H$16,$H$14,J$2,$H$12,$B64)+_xll.DBRW($G$3,$H$15,$H$17,$H$13,$H$16,$H$14,J$2,$H$12,$A64)</f>
        <v>#VALUE!</v>
      </c>
      <c r="K64" s="126" t="e">
        <f>_xll.DBRW($G$3,$H$15,$H$17,$H$13,$H$16,$H$14,K$2,$H$12,$B64)+_xll.DBRW($G$3,$H$15,$H$17,$H$13,$H$16,$H$14,K$2,$H$12,$A64)</f>
        <v>#VALUE!</v>
      </c>
      <c r="L64" s="126" t="e">
        <f>_xll.DBRW($G$3,$H$15,$H$17,$H$13,$H$16,$H$14,L$2,$H$12,$B64)+_xll.DBRW($G$3,$H$15,$H$17,$H$13,$H$16,$H$14,L$2,$H$12,$A64)</f>
        <v>#VALUE!</v>
      </c>
      <c r="M64" s="126" t="e">
        <f>_xll.DBRW($G$3,$H$15,$H$17,$H$13,$H$16,$H$14,M$2,$H$12,$B64)+_xll.DBRW($G$3,$H$15,$H$17,$H$13,$H$16,$H$14,M$2,$H$12,$A64)</f>
        <v>#VALUE!</v>
      </c>
      <c r="N64" s="126" t="e">
        <f>_xll.DBRW($G$3,$H$15,$H$17,$H$13,$H$16,$H$14,N$2,$H$12,$B64)+_xll.DBRW($G$3,$H$15,$H$17,$H$13,$H$16,$H$14,N$2,$H$12,$A64)</f>
        <v>#VALUE!</v>
      </c>
      <c r="O64" s="126" t="e">
        <f>_xll.DBRW($G$3,$H$15,$H$17,$H$13,$H$16,$H$14,O$2,$H$12,$B64)+_xll.DBRW($G$3,$H$15,$H$17,$H$13,$H$16,$H$14,O$2,$H$12,$A64)</f>
        <v>#VALUE!</v>
      </c>
      <c r="P64" s="126" t="e">
        <f>_xll.DBRW($G$3,$H$15,$H$17,$H$13,$H$16,$H$14,P$2,$H$12,$B64)+_xll.DBRW($G$3,$H$15,$H$17,$H$13,$H$16,$H$14,P$2,$H$12,$A64)</f>
        <v>#VALUE!</v>
      </c>
      <c r="Q64" s="131"/>
      <c r="R64" s="131"/>
      <c r="S64" s="126" t="e">
        <f>_xll.DBRW($G$3,$U$15,$H$17,$U$13,$U$16,$U$14,S$2,$U$12,$B64)+_xll.DBRW($G$3,$U$15,$H$17,$U$13,$U$16,$U$14,S$2,$U$12,$A64)</f>
        <v>#VALUE!</v>
      </c>
      <c r="T64" s="126" t="e">
        <f>_xll.DBRW($G$3,$U$15,$H$17,$U$13,$U$16,$U$14,T$2,$U$12,$B64)+_xll.DBRW($G$3,$U$15,$H$17,$U$13,$U$16,$U$14,T$2,$U$12,$A64)</f>
        <v>#VALUE!</v>
      </c>
      <c r="U64" s="126" t="e">
        <f>_xll.DBRW($G$3,$U$15,$H$17,$U$13,$U$16,$U$14,U$2,$U$12,$B64)+_xll.DBRW($G$3,$U$15,$H$17,$U$13,$U$16,$U$14,U$2,$U$12,$A64)</f>
        <v>#VALUE!</v>
      </c>
      <c r="V64" s="126" t="e">
        <f>_xll.DBRW($G$3,$U$15,$H$17,$U$13,$U$16,$U$14,V$2,$U$12,$B64)+_xll.DBRW($G$3,$U$15,$H$17,$U$13,$U$16,$U$14,V$2,$U$12,$A64)</f>
        <v>#VALUE!</v>
      </c>
      <c r="W64" s="126" t="e">
        <f>_xll.DBRW($G$3,$U$15,$H$17,$U$13,$U$16,$U$14,W$2,$U$12,$B64)+_xll.DBRW($G$3,$U$15,$H$17,$U$13,$U$16,$U$14,W$2,$U$12,$A64)</f>
        <v>#VALUE!</v>
      </c>
      <c r="X64" s="126" t="e">
        <f>_xll.DBRW($G$3,$U$15,$H$17,$U$13,$U$16,$U$14,X$2,$U$12,$B64)+_xll.DBRW($G$3,$U$15,$H$17,$U$13,$U$16,$U$14,X$2,$U$12,$A64)</f>
        <v>#VALUE!</v>
      </c>
      <c r="Y64" s="126" t="e">
        <f>_xll.DBRW($G$3,$U$15,$H$17,$U$13,$U$16,$U$14,Y$2,$U$12,$B64)+_xll.DBRW($G$3,$U$15,$H$17,$U$13,$U$16,$U$14,Y$2,$U$12,$A64)</f>
        <v>#VALUE!</v>
      </c>
      <c r="Z64" s="126" t="e">
        <f>_xll.DBRW($G$3,$U$15,$H$17,$U$13,$U$16,$U$14,Z$2,$U$12,$B64)+_xll.DBRW($G$3,$U$15,$H$17,$U$13,$U$16,$U$14,Z$2,$U$12,$A64)</f>
        <v>#VALUE!</v>
      </c>
      <c r="AA64" s="131"/>
      <c r="AB64" s="126" t="e">
        <f t="shared" si="28"/>
        <v>#VALUE!</v>
      </c>
      <c r="AC64" s="126" t="e">
        <f t="shared" si="29"/>
        <v>#VALUE!</v>
      </c>
      <c r="AD64" s="126" t="e">
        <f t="shared" si="30"/>
        <v>#VALUE!</v>
      </c>
      <c r="AE64" s="126" t="e">
        <f t="shared" si="31"/>
        <v>#VALUE!</v>
      </c>
      <c r="AF64" s="126" t="e">
        <f t="shared" si="32"/>
        <v>#VALUE!</v>
      </c>
      <c r="AG64" s="126" t="e">
        <f t="shared" si="33"/>
        <v>#VALUE!</v>
      </c>
      <c r="AH64" s="126" t="e">
        <f t="shared" si="34"/>
        <v>#VALUE!</v>
      </c>
      <c r="AI64" s="126" t="e">
        <f t="shared" si="35"/>
        <v>#VALUE!</v>
      </c>
      <c r="AJ64" s="43"/>
      <c r="AK64" s="47"/>
      <c r="AL64" s="49" t="s">
        <v>125</v>
      </c>
      <c r="AM64" s="47"/>
      <c r="AN64" s="47"/>
      <c r="AO64" s="47"/>
      <c r="AP64" s="47"/>
      <c r="AQ64" s="47"/>
      <c r="AR64" s="47"/>
    </row>
    <row r="65" spans="1:44" ht="21.75" customHeight="1">
      <c r="A65" s="50" t="s">
        <v>17</v>
      </c>
      <c r="B65" s="41"/>
      <c r="C65" s="41"/>
      <c r="D65" s="41">
        <v>44</v>
      </c>
      <c r="G65" s="185" t="str">
        <f>_xll.DBRA(Server&amp;$A$21,$A65,$H$18)</f>
        <v>Industrial disposal</v>
      </c>
      <c r="H65" s="186"/>
      <c r="I65" s="126" t="e">
        <f>_xll.DBRW($G$3,$H$15,$H$17,$H$13,$H$16,$H$14,I$2,$H$12,$A65)</f>
        <v>#VALUE!</v>
      </c>
      <c r="J65" s="127" t="e">
        <f>_xll.DBRW($G$3,$H$15,$H$17,$H$13,$H$16,$H$14,J$2,$H$12,$A65)</f>
        <v>#VALUE!</v>
      </c>
      <c r="K65" s="127" t="e">
        <f>_xll.DBRW($G$3,$H$15,$H$17,$H$13,$H$16,$H$14,K$2,$H$12,$A65)</f>
        <v>#VALUE!</v>
      </c>
      <c r="L65" s="127" t="e">
        <f>_xll.DBRW($G$3,$H$15,$H$17,$H$13,$H$16,$H$14,L$2,$H$12,$A65)</f>
        <v>#VALUE!</v>
      </c>
      <c r="M65" s="127" t="e">
        <f>_xll.DBRW($G$3,$H$15,$H$17,$H$13,$H$16,$H$14,M$2,$H$12,$A65)</f>
        <v>#VALUE!</v>
      </c>
      <c r="N65" s="127" t="e">
        <f>_xll.DBRW($G$3,$H$15,$H$17,$H$13,$H$16,$H$14,N$2,$H$12,$A65)</f>
        <v>#VALUE!</v>
      </c>
      <c r="O65" s="127" t="e">
        <f>_xll.DBRW($G$3,$H$15,$H$17,$H$13,$H$16,$H$14,O$2,$H$12,$A65)</f>
        <v>#VALUE!</v>
      </c>
      <c r="P65" s="128" t="e">
        <f>_xll.DBRW($G$3,$H$15,$H$17,$H$13,$H$16,$H$14,P$2,$H$12,$A65)</f>
        <v>#VALUE!</v>
      </c>
      <c r="Q65" s="131"/>
      <c r="R65" s="131"/>
      <c r="S65" s="126" t="e">
        <f>_xll.DBRW($G$3,$U$15,$H$17,$U$13,$U$16,$U$14,S$2,$U$12,$A65)</f>
        <v>#VALUE!</v>
      </c>
      <c r="T65" s="127" t="e">
        <f>_xll.DBRW($G$3,$U$15,$H$17,$U$13,$U$16,$U$14,T$2,$U$12,$A65)</f>
        <v>#VALUE!</v>
      </c>
      <c r="U65" s="127" t="e">
        <f>_xll.DBRW($G$3,$U$15,$H$17,$U$13,$U$16,$U$14,U$2,$U$12,$A65)</f>
        <v>#VALUE!</v>
      </c>
      <c r="V65" s="127" t="e">
        <f>_xll.DBRW($G$3,$U$15,$H$17,$U$13,$U$16,$U$14,V$2,$U$12,$A65)</f>
        <v>#VALUE!</v>
      </c>
      <c r="W65" s="127" t="e">
        <f>_xll.DBRW($G$3,$U$15,$H$17,$U$13,$U$16,$U$14,W$2,$U$12,$A65)</f>
        <v>#VALUE!</v>
      </c>
      <c r="X65" s="127" t="e">
        <f>_xll.DBRW($G$3,$U$15,$H$17,$U$13,$U$16,$U$14,X$2,$U$12,$A65)</f>
        <v>#VALUE!</v>
      </c>
      <c r="Y65" s="127" t="e">
        <f>_xll.DBRW($G$3,$U$15,$H$17,$U$13,$U$16,$U$14,Y$2,$U$12,$A65)</f>
        <v>#VALUE!</v>
      </c>
      <c r="Z65" s="128" t="e">
        <f>_xll.DBRW($G$3,$U$15,$H$17,$U$13,$U$16,$U$14,Z$2,$U$12,$A65)</f>
        <v>#VALUE!</v>
      </c>
      <c r="AA65" s="131"/>
      <c r="AB65" s="126" t="e">
        <f t="shared" si="28"/>
        <v>#VALUE!</v>
      </c>
      <c r="AC65" s="127" t="e">
        <f t="shared" si="29"/>
        <v>#VALUE!</v>
      </c>
      <c r="AD65" s="127" t="e">
        <f t="shared" si="30"/>
        <v>#VALUE!</v>
      </c>
      <c r="AE65" s="127" t="e">
        <f t="shared" si="31"/>
        <v>#VALUE!</v>
      </c>
      <c r="AF65" s="127" t="e">
        <f t="shared" si="32"/>
        <v>#VALUE!</v>
      </c>
      <c r="AG65" s="127" t="e">
        <f t="shared" si="33"/>
        <v>#VALUE!</v>
      </c>
      <c r="AH65" s="127" t="e">
        <f t="shared" si="34"/>
        <v>#VALUE!</v>
      </c>
      <c r="AI65" s="128" t="e">
        <f t="shared" si="35"/>
        <v>#VALUE!</v>
      </c>
      <c r="AJ65" s="43"/>
      <c r="AK65" s="47"/>
      <c r="AL65" s="47"/>
      <c r="AM65" s="47"/>
      <c r="AN65" s="47"/>
      <c r="AO65" s="47"/>
      <c r="AP65" s="47"/>
      <c r="AQ65" s="47"/>
      <c r="AR65" s="47"/>
    </row>
    <row r="66" spans="1:44" ht="21.75" customHeight="1">
      <c r="A66" s="50" t="s">
        <v>18</v>
      </c>
      <c r="B66" s="41"/>
      <c r="C66" s="41"/>
      <c r="D66" s="41">
        <v>45</v>
      </c>
      <c r="G66" s="185" t="str">
        <f>_xll.DBRA(Server&amp;$A$21,$A66,$H$18)</f>
        <v>Repayments on operating financial assets  - IFRIC 12 impacting NFD</v>
      </c>
      <c r="H66" s="186"/>
      <c r="I66" s="126" t="e">
        <f>_xll.DBRW($G$3,$H$15,$H$17,$H$13,$H$16,$H$14,I$2,$H$12,$A66)</f>
        <v>#VALUE!</v>
      </c>
      <c r="J66" s="126" t="e">
        <f>_xll.DBRW($G$3,$H$15,$H$17,$H$13,$H$16,$H$14,J$2,$H$12,$A66)</f>
        <v>#VALUE!</v>
      </c>
      <c r="K66" s="126" t="e">
        <f>_xll.DBRW($G$3,$H$15,$H$17,$H$13,$H$16,$H$14,K$2,$H$12,$A66)</f>
        <v>#VALUE!</v>
      </c>
      <c r="L66" s="126" t="e">
        <f>_xll.DBRW($G$3,$H$15,$H$17,$H$13,$H$16,$H$14,L$2,$H$12,$A66)</f>
        <v>#VALUE!</v>
      </c>
      <c r="M66" s="126" t="e">
        <f>_xll.DBRW($G$3,$H$15,$H$17,$H$13,$H$16,$H$14,M$2,$H$12,$A66)</f>
        <v>#VALUE!</v>
      </c>
      <c r="N66" s="126" t="e">
        <f>_xll.DBRW($G$3,$H$15,$H$17,$H$13,$H$16,$H$14,N$2,$H$12,$A66)</f>
        <v>#VALUE!</v>
      </c>
      <c r="O66" s="126" t="e">
        <f>_xll.DBRW($G$3,$H$15,$H$17,$H$13,$H$16,$H$14,O$2,$H$12,$A66)</f>
        <v>#VALUE!</v>
      </c>
      <c r="P66" s="126" t="e">
        <f>_xll.DBRW($G$3,$H$15,$H$17,$H$13,$H$16,$H$14,P$2,$H$12,$A66)</f>
        <v>#VALUE!</v>
      </c>
      <c r="Q66" s="131"/>
      <c r="R66" s="131"/>
      <c r="S66" s="126" t="e">
        <f>_xll.DBRW($G$3,$U$15,$H$17,$U$13,$U$16,$U$14,S$2,$U$12,$A66)</f>
        <v>#VALUE!</v>
      </c>
      <c r="T66" s="126" t="e">
        <f>_xll.DBRW($G$3,$U$15,$H$17,$U$13,$U$16,$U$14,T$2,$U$12,$A66)</f>
        <v>#VALUE!</v>
      </c>
      <c r="U66" s="126" t="e">
        <f>_xll.DBRW($G$3,$U$15,$H$17,$U$13,$U$16,$U$14,U$2,$U$12,$A66)</f>
        <v>#VALUE!</v>
      </c>
      <c r="V66" s="126" t="e">
        <f>_xll.DBRW($G$3,$U$15,$H$17,$U$13,$U$16,$U$14,V$2,$U$12,$A66)</f>
        <v>#VALUE!</v>
      </c>
      <c r="W66" s="126" t="e">
        <f>_xll.DBRW($G$3,$U$15,$H$17,$U$13,$U$16,$U$14,W$2,$U$12,$A66)</f>
        <v>#VALUE!</v>
      </c>
      <c r="X66" s="126" t="e">
        <f>_xll.DBRW($G$3,$U$15,$H$17,$U$13,$U$16,$U$14,X$2,$U$12,$A66)</f>
        <v>#VALUE!</v>
      </c>
      <c r="Y66" s="126" t="e">
        <f>_xll.DBRW($G$3,$U$15,$H$17,$U$13,$U$16,$U$14,Y$2,$U$12,$A66)</f>
        <v>#VALUE!</v>
      </c>
      <c r="Z66" s="126" t="e">
        <f>_xll.DBRW($G$3,$U$15,$H$17,$U$13,$U$16,$U$14,Z$2,$U$12,$A66)</f>
        <v>#VALUE!</v>
      </c>
      <c r="AA66" s="131"/>
      <c r="AB66" s="126" t="e">
        <f t="shared" si="28"/>
        <v>#VALUE!</v>
      </c>
      <c r="AC66" s="126" t="e">
        <f t="shared" si="29"/>
        <v>#VALUE!</v>
      </c>
      <c r="AD66" s="126" t="e">
        <f t="shared" si="30"/>
        <v>#VALUE!</v>
      </c>
      <c r="AE66" s="126" t="e">
        <f t="shared" si="31"/>
        <v>#VALUE!</v>
      </c>
      <c r="AF66" s="126" t="e">
        <f t="shared" si="32"/>
        <v>#VALUE!</v>
      </c>
      <c r="AG66" s="126" t="e">
        <f t="shared" si="33"/>
        <v>#VALUE!</v>
      </c>
      <c r="AH66" s="126" t="e">
        <f t="shared" si="34"/>
        <v>#VALUE!</v>
      </c>
      <c r="AI66" s="126" t="e">
        <f t="shared" si="35"/>
        <v>#VALUE!</v>
      </c>
      <c r="AJ66" s="43"/>
      <c r="AK66" s="47"/>
      <c r="AL66" s="47"/>
      <c r="AM66" s="47"/>
      <c r="AN66" s="47"/>
      <c r="AO66" s="47"/>
      <c r="AP66" s="47"/>
      <c r="AQ66" s="47"/>
      <c r="AR66" s="47"/>
    </row>
    <row r="67" spans="1:44" ht="21.75" customHeight="1">
      <c r="A67" s="50" t="s">
        <v>19</v>
      </c>
      <c r="B67" s="41" t="s">
        <v>149</v>
      </c>
      <c r="C67" s="41"/>
      <c r="D67" s="41">
        <v>46</v>
      </c>
      <c r="G67" s="185" t="str">
        <f>_xll.DBRA(Server&amp;$A$21,$A67,$H$18)</f>
        <v>Financial disposals (Incl. Net debt of sold entities)</v>
      </c>
      <c r="H67" s="186"/>
      <c r="I67" s="126" t="e">
        <f>_xll.DBRW($G$3,$H$15,$H$17,$H$13,$H$16,$H$14,I$2,$H$12,$B67)+_xll.DBRW($G$3,$H$15,$H$17,$H$13,$H$16,$H$14,I$2,$H$12,$A67)</f>
        <v>#VALUE!</v>
      </c>
      <c r="J67" s="126" t="e">
        <f>_xll.DBRW($G$3,$H$15,$H$17,$H$13,$H$16,$H$14,J$2,$H$12,$B67)+_xll.DBRW($G$3,$H$15,$H$17,$H$13,$H$16,$H$14,J$2,$H$12,$A67)</f>
        <v>#VALUE!</v>
      </c>
      <c r="K67" s="126" t="e">
        <f>_xll.DBRW($G$3,$H$15,$H$17,$H$13,$H$16,$H$14,K$2,$H$12,$B67)+_xll.DBRW($G$3,$H$15,$H$17,$H$13,$H$16,$H$14,K$2,$H$12,$A67)</f>
        <v>#VALUE!</v>
      </c>
      <c r="L67" s="126" t="e">
        <f>_xll.DBRW($G$3,$H$15,$H$17,$H$13,$H$16,$H$14,L$2,$H$12,$B67)+_xll.DBRW($G$3,$H$15,$H$17,$H$13,$H$16,$H$14,L$2,$H$12,$A67)</f>
        <v>#VALUE!</v>
      </c>
      <c r="M67" s="126" t="e">
        <f>_xll.DBRW($G$3,$H$15,$H$17,$H$13,$H$16,$H$14,M$2,$H$12,$B67)+_xll.DBRW($G$3,$H$15,$H$17,$H$13,$H$16,$H$14,M$2,$H$12,$A67)</f>
        <v>#VALUE!</v>
      </c>
      <c r="N67" s="126" t="e">
        <f>_xll.DBRW($G$3,$H$15,$H$17,$H$13,$H$16,$H$14,N$2,$H$12,$B67)+_xll.DBRW($G$3,$H$15,$H$17,$H$13,$H$16,$H$14,N$2,$H$12,$A67)</f>
        <v>#VALUE!</v>
      </c>
      <c r="O67" s="126" t="e">
        <f>_xll.DBRW($G$3,$H$15,$H$17,$H$13,$H$16,$H$14,O$2,$H$12,$B67)+_xll.DBRW($G$3,$H$15,$H$17,$H$13,$H$16,$H$14,O$2,$H$12,$A67)</f>
        <v>#VALUE!</v>
      </c>
      <c r="P67" s="126" t="e">
        <f>_xll.DBRW($G$3,$H$15,$H$17,$H$13,$H$16,$H$14,P$2,$H$12,$B67)+_xll.DBRW($G$3,$H$15,$H$17,$H$13,$H$16,$H$14,P$2,$H$12,$A67)</f>
        <v>#VALUE!</v>
      </c>
      <c r="Q67" s="131"/>
      <c r="R67" s="131"/>
      <c r="S67" s="126" t="e">
        <f>_xll.DBRW($G$3,$U$15,$H$17,$U$13,$U$16,$U$14,S$2,$U$12,$B67)+_xll.DBRW($G$3,$U$15,$H$17,$U$13,$U$16,$U$14,S$2,$U$12,$A67)</f>
        <v>#VALUE!</v>
      </c>
      <c r="T67" s="126" t="e">
        <f>_xll.DBRW($G$3,$U$15,$H$17,$U$13,$U$16,$U$14,T$2,$U$12,$B67)+_xll.DBRW($G$3,$U$15,$H$17,$U$13,$U$16,$U$14,T$2,$U$12,$A67)</f>
        <v>#VALUE!</v>
      </c>
      <c r="U67" s="126" t="e">
        <f>_xll.DBRW($G$3,$U$15,$H$17,$U$13,$U$16,$U$14,U$2,$U$12,$B67)+_xll.DBRW($G$3,$U$15,$H$17,$U$13,$U$16,$U$14,U$2,$U$12,$A67)</f>
        <v>#VALUE!</v>
      </c>
      <c r="V67" s="126" t="e">
        <f>_xll.DBRW($G$3,$U$15,$H$17,$U$13,$U$16,$U$14,V$2,$U$12,$B67)+_xll.DBRW($G$3,$U$15,$H$17,$U$13,$U$16,$U$14,V$2,$U$12,$A67)</f>
        <v>#VALUE!</v>
      </c>
      <c r="W67" s="126" t="e">
        <f>_xll.DBRW($G$3,$U$15,$H$17,$U$13,$U$16,$U$14,W$2,$U$12,$B67)+_xll.DBRW($G$3,$U$15,$H$17,$U$13,$U$16,$U$14,W$2,$U$12,$A67)</f>
        <v>#VALUE!</v>
      </c>
      <c r="X67" s="126" t="e">
        <f>_xll.DBRW($G$3,$U$15,$H$17,$U$13,$U$16,$U$14,X$2,$U$12,$B67)+_xll.DBRW($G$3,$U$15,$H$17,$U$13,$U$16,$U$14,X$2,$U$12,$A67)</f>
        <v>#VALUE!</v>
      </c>
      <c r="Y67" s="126" t="e">
        <f>_xll.DBRW($G$3,$U$15,$H$17,$U$13,$U$16,$U$14,Y$2,$U$12,$B67)+_xll.DBRW($G$3,$U$15,$H$17,$U$13,$U$16,$U$14,Y$2,$U$12,$A67)</f>
        <v>#VALUE!</v>
      </c>
      <c r="Z67" s="126" t="e">
        <f>_xll.DBRW($G$3,$U$15,$H$17,$U$13,$U$16,$U$14,Z$2,$U$12,$B67)+_xll.DBRW($G$3,$U$15,$H$17,$U$13,$U$16,$U$14,Z$2,$U$12,$A67)</f>
        <v>#VALUE!</v>
      </c>
      <c r="AA67" s="131"/>
      <c r="AB67" s="126" t="e">
        <f t="shared" si="28"/>
        <v>#VALUE!</v>
      </c>
      <c r="AC67" s="126" t="e">
        <f t="shared" si="29"/>
        <v>#VALUE!</v>
      </c>
      <c r="AD67" s="126" t="e">
        <f t="shared" si="30"/>
        <v>#VALUE!</v>
      </c>
      <c r="AE67" s="126" t="e">
        <f t="shared" si="31"/>
        <v>#VALUE!</v>
      </c>
      <c r="AF67" s="126" t="e">
        <f t="shared" si="32"/>
        <v>#VALUE!</v>
      </c>
      <c r="AG67" s="126" t="e">
        <f t="shared" si="33"/>
        <v>#VALUE!</v>
      </c>
      <c r="AH67" s="126" t="e">
        <f t="shared" si="34"/>
        <v>#VALUE!</v>
      </c>
      <c r="AI67" s="126" t="e">
        <f t="shared" si="35"/>
        <v>#VALUE!</v>
      </c>
      <c r="AJ67" s="43"/>
      <c r="AK67" s="47"/>
      <c r="AL67" s="47"/>
      <c r="AM67" s="47"/>
      <c r="AN67" s="47"/>
      <c r="AO67" s="47"/>
      <c r="AP67" s="47"/>
      <c r="AQ67" s="47"/>
      <c r="AR67" s="47"/>
    </row>
    <row r="68" spans="1:44" ht="21.75" customHeight="1">
      <c r="A68" s="50" t="s">
        <v>20</v>
      </c>
      <c r="B68" s="41"/>
      <c r="C68" s="41"/>
      <c r="D68" s="41">
        <v>47</v>
      </c>
      <c r="G68" s="185" t="str">
        <f>_xll.DBRA(Server&amp;$A$21,$A68,$H$18)</f>
        <v>Change in other financial assets</v>
      </c>
      <c r="H68" s="186"/>
      <c r="I68" s="126" t="e">
        <f>_xll.DBRW($G$3,$H$15,$H$17,$H$13,$H$16,$H$14,I$2,$H$12,$A68)</f>
        <v>#VALUE!</v>
      </c>
      <c r="J68" s="127" t="e">
        <f>_xll.DBRW($G$3,$H$15,$H$17,$H$13,$H$16,$H$14,J$2,$H$12,$A68)</f>
        <v>#VALUE!</v>
      </c>
      <c r="K68" s="127" t="e">
        <f>_xll.DBRW($G$3,$H$15,$H$17,$H$13,$H$16,$H$14,K$2,$H$12,$A68)</f>
        <v>#VALUE!</v>
      </c>
      <c r="L68" s="127" t="e">
        <f>_xll.DBRW($G$3,$H$15,$H$17,$H$13,$H$16,$H$14,L$2,$H$12,$A68)</f>
        <v>#VALUE!</v>
      </c>
      <c r="M68" s="127" t="e">
        <f>_xll.DBRW($G$3,$H$15,$H$17,$H$13,$H$16,$H$14,M$2,$H$12,$A68)</f>
        <v>#VALUE!</v>
      </c>
      <c r="N68" s="127" t="e">
        <f>_xll.DBRW($G$3,$H$15,$H$17,$H$13,$H$16,$H$14,N$2,$H$12,$A68)</f>
        <v>#VALUE!</v>
      </c>
      <c r="O68" s="127" t="e">
        <f>_xll.DBRW($G$3,$H$15,$H$17,$H$13,$H$16,$H$14,O$2,$H$12,$A68)</f>
        <v>#VALUE!</v>
      </c>
      <c r="P68" s="128" t="e">
        <f>_xll.DBRW($G$3,$H$15,$H$17,$H$13,$H$16,$H$14,P$2,$H$12,$A68)</f>
        <v>#VALUE!</v>
      </c>
      <c r="Q68" s="131"/>
      <c r="R68" s="131"/>
      <c r="S68" s="126" t="e">
        <f>_xll.DBRW($G$3,$U$15,$H$17,$U$13,$U$16,$U$14,S$2,$U$12,$A68)</f>
        <v>#VALUE!</v>
      </c>
      <c r="T68" s="127" t="e">
        <f>_xll.DBRW($G$3,$U$15,$H$17,$U$13,$U$16,$U$14,T$2,$U$12,$A68)</f>
        <v>#VALUE!</v>
      </c>
      <c r="U68" s="127" t="e">
        <f>_xll.DBRW($G$3,$U$15,$H$17,$U$13,$U$16,$U$14,U$2,$U$12,$A68)</f>
        <v>#VALUE!</v>
      </c>
      <c r="V68" s="127" t="e">
        <f>_xll.DBRW($G$3,$U$15,$H$17,$U$13,$U$16,$U$14,V$2,$U$12,$A68)</f>
        <v>#VALUE!</v>
      </c>
      <c r="W68" s="127" t="e">
        <f>_xll.DBRW($G$3,$U$15,$H$17,$U$13,$U$16,$U$14,W$2,$U$12,$A68)</f>
        <v>#VALUE!</v>
      </c>
      <c r="X68" s="127" t="e">
        <f>_xll.DBRW($G$3,$U$15,$H$17,$U$13,$U$16,$U$14,X$2,$U$12,$A68)</f>
        <v>#VALUE!</v>
      </c>
      <c r="Y68" s="127" t="e">
        <f>_xll.DBRW($G$3,$U$15,$H$17,$U$13,$U$16,$U$14,Y$2,$U$12,$A68)</f>
        <v>#VALUE!</v>
      </c>
      <c r="Z68" s="128" t="e">
        <f>_xll.DBRW($G$3,$U$15,$H$17,$U$13,$U$16,$U$14,Z$2,$U$12,$A68)</f>
        <v>#VALUE!</v>
      </c>
      <c r="AA68" s="131"/>
      <c r="AB68" s="126" t="e">
        <f t="shared" si="28"/>
        <v>#VALUE!</v>
      </c>
      <c r="AC68" s="127" t="e">
        <f t="shared" si="29"/>
        <v>#VALUE!</v>
      </c>
      <c r="AD68" s="127" t="e">
        <f t="shared" si="30"/>
        <v>#VALUE!</v>
      </c>
      <c r="AE68" s="127" t="e">
        <f t="shared" si="31"/>
        <v>#VALUE!</v>
      </c>
      <c r="AF68" s="127" t="e">
        <f t="shared" si="32"/>
        <v>#VALUE!</v>
      </c>
      <c r="AG68" s="127" t="e">
        <f t="shared" si="33"/>
        <v>#VALUE!</v>
      </c>
      <c r="AH68" s="127" t="e">
        <f t="shared" si="34"/>
        <v>#VALUE!</v>
      </c>
      <c r="AI68" s="128" t="e">
        <f t="shared" si="35"/>
        <v>#VALUE!</v>
      </c>
      <c r="AJ68" s="43"/>
      <c r="AK68" s="47"/>
      <c r="AL68" s="47"/>
      <c r="AM68" s="47"/>
      <c r="AN68" s="47"/>
      <c r="AO68" s="47"/>
      <c r="AP68" s="47"/>
      <c r="AQ68" s="47"/>
      <c r="AR68" s="47"/>
    </row>
    <row r="69" spans="1:44" ht="21.75" customHeight="1">
      <c r="A69" s="50" t="s">
        <v>21</v>
      </c>
      <c r="B69" s="41"/>
      <c r="C69" s="41"/>
      <c r="D69" s="41">
        <v>48</v>
      </c>
      <c r="G69" s="185" t="str">
        <f>_xll.DBRA(Server&amp;$A$21,$A69,$H$18)</f>
        <v>Dividends from investments in associates</v>
      </c>
      <c r="H69" s="186"/>
      <c r="I69" s="126" t="e">
        <f>_xll.DBRW($G$3,$H$15,$H$17,$H$13,$H$16,$H$14,I$2,$H$12,$A69)</f>
        <v>#VALUE!</v>
      </c>
      <c r="J69" s="127" t="e">
        <f>_xll.DBRW($G$3,$H$15,$H$17,$H$13,$H$16,$H$14,J$2,$H$12,$A69)</f>
        <v>#VALUE!</v>
      </c>
      <c r="K69" s="127" t="e">
        <f>_xll.DBRW($G$3,$H$15,$H$17,$H$13,$H$16,$H$14,K$2,$H$12,$A69)</f>
        <v>#VALUE!</v>
      </c>
      <c r="L69" s="127" t="e">
        <f>_xll.DBRW($G$3,$H$15,$H$17,$H$13,$H$16,$H$14,L$2,$H$12,$A69)</f>
        <v>#VALUE!</v>
      </c>
      <c r="M69" s="127" t="e">
        <f>_xll.DBRW($G$3,$H$15,$H$17,$H$13,$H$16,$H$14,M$2,$H$12,$A69)</f>
        <v>#VALUE!</v>
      </c>
      <c r="N69" s="127" t="e">
        <f>_xll.DBRW($G$3,$H$15,$H$17,$H$13,$H$16,$H$14,N$2,$H$12,$A69)</f>
        <v>#VALUE!</v>
      </c>
      <c r="O69" s="127" t="e">
        <f>_xll.DBRW($G$3,$H$15,$H$17,$H$13,$H$16,$H$14,O$2,$H$12,$A69)</f>
        <v>#VALUE!</v>
      </c>
      <c r="P69" s="128" t="e">
        <f>_xll.DBRW($G$3,$H$15,$H$17,$H$13,$H$16,$H$14,P$2,$H$12,$A69)</f>
        <v>#VALUE!</v>
      </c>
      <c r="Q69" s="131"/>
      <c r="R69" s="131"/>
      <c r="S69" s="126" t="e">
        <f>_xll.DBRW($G$3,$U$15,$H$17,$U$13,$U$16,$U$14,S$2,$U$12,$A69)</f>
        <v>#VALUE!</v>
      </c>
      <c r="T69" s="127" t="e">
        <f>_xll.DBRW($G$3,$U$15,$H$17,$U$13,$U$16,$U$14,T$2,$U$12,$A69)</f>
        <v>#VALUE!</v>
      </c>
      <c r="U69" s="127" t="e">
        <f>_xll.DBRW($G$3,$U$15,$H$17,$U$13,$U$16,$U$14,U$2,$U$12,$A69)</f>
        <v>#VALUE!</v>
      </c>
      <c r="V69" s="127" t="e">
        <f>_xll.DBRW($G$3,$U$15,$H$17,$U$13,$U$16,$U$14,V$2,$U$12,$A69)</f>
        <v>#VALUE!</v>
      </c>
      <c r="W69" s="127" t="e">
        <f>_xll.DBRW($G$3,$U$15,$H$17,$U$13,$U$16,$U$14,W$2,$U$12,$A69)</f>
        <v>#VALUE!</v>
      </c>
      <c r="X69" s="127" t="e">
        <f>_xll.DBRW($G$3,$U$15,$H$17,$U$13,$U$16,$U$14,X$2,$U$12,$A69)</f>
        <v>#VALUE!</v>
      </c>
      <c r="Y69" s="127" t="e">
        <f>_xll.DBRW($G$3,$U$15,$H$17,$U$13,$U$16,$U$14,Y$2,$U$12,$A69)</f>
        <v>#VALUE!</v>
      </c>
      <c r="Z69" s="128" t="e">
        <f>_xll.DBRW($G$3,$U$15,$H$17,$U$13,$U$16,$U$14,Z$2,$U$12,$A69)</f>
        <v>#VALUE!</v>
      </c>
      <c r="AA69" s="131"/>
      <c r="AB69" s="126" t="e">
        <f t="shared" si="28"/>
        <v>#VALUE!</v>
      </c>
      <c r="AC69" s="127" t="e">
        <f t="shared" si="29"/>
        <v>#VALUE!</v>
      </c>
      <c r="AD69" s="127" t="e">
        <f t="shared" si="30"/>
        <v>#VALUE!</v>
      </c>
      <c r="AE69" s="127" t="e">
        <f t="shared" si="31"/>
        <v>#VALUE!</v>
      </c>
      <c r="AF69" s="127" t="e">
        <f t="shared" si="32"/>
        <v>#VALUE!</v>
      </c>
      <c r="AG69" s="127" t="e">
        <f t="shared" si="33"/>
        <v>#VALUE!</v>
      </c>
      <c r="AH69" s="127" t="e">
        <f t="shared" si="34"/>
        <v>#VALUE!</v>
      </c>
      <c r="AI69" s="128" t="e">
        <f t="shared" si="35"/>
        <v>#VALUE!</v>
      </c>
      <c r="AJ69" s="43"/>
      <c r="AK69" s="47"/>
      <c r="AL69" s="47"/>
      <c r="AM69" s="47"/>
      <c r="AN69" s="47"/>
      <c r="AO69" s="47"/>
      <c r="AP69" s="47"/>
      <c r="AQ69" s="47"/>
      <c r="AR69" s="47"/>
    </row>
    <row r="70" spans="1:44" ht="21.75" customHeight="1">
      <c r="A70" s="50" t="s">
        <v>22</v>
      </c>
      <c r="B70" s="41"/>
      <c r="C70" s="41"/>
      <c r="D70" s="41">
        <v>49</v>
      </c>
      <c r="G70" s="185" t="str">
        <f>_xll.DBRA(Server&amp;$A$21,$A70,$H$18)</f>
        <v>Final and interim dividends</v>
      </c>
      <c r="H70" s="186"/>
      <c r="I70" s="126" t="e">
        <f>_xll.DBRW($G$3,$H$15,$H$17,$H$13,$H$16,$H$14,I$2,$H$12,$A70)</f>
        <v>#VALUE!</v>
      </c>
      <c r="J70" s="127" t="e">
        <f>_xll.DBRW($G$3,$H$15,$H$17,$H$13,$H$16,$H$14,J$2,$H$12,$A70)</f>
        <v>#VALUE!</v>
      </c>
      <c r="K70" s="127" t="e">
        <f>_xll.DBRW($G$3,$H$15,$H$17,$H$13,$H$16,$H$14,K$2,$H$12,$A70)</f>
        <v>#VALUE!</v>
      </c>
      <c r="L70" s="127" t="e">
        <f>_xll.DBRW($G$3,$H$15,$H$17,$H$13,$H$16,$H$14,L$2,$H$12,$A70)</f>
        <v>#VALUE!</v>
      </c>
      <c r="M70" s="127" t="e">
        <f>_xll.DBRW($G$3,$H$15,$H$17,$H$13,$H$16,$H$14,M$2,$H$12,$A70)</f>
        <v>#VALUE!</v>
      </c>
      <c r="N70" s="127" t="e">
        <f>_xll.DBRW($G$3,$H$15,$H$17,$H$13,$H$16,$H$14,N$2,$H$12,$A70)</f>
        <v>#VALUE!</v>
      </c>
      <c r="O70" s="127" t="e">
        <f>_xll.DBRW($G$3,$H$15,$H$17,$H$13,$H$16,$H$14,O$2,$H$12,$A70)</f>
        <v>#VALUE!</v>
      </c>
      <c r="P70" s="128" t="e">
        <f>_xll.DBRW($G$3,$H$15,$H$17,$H$13,$H$16,$H$14,P$2,$H$12,$A70)</f>
        <v>#VALUE!</v>
      </c>
      <c r="Q70" s="131"/>
      <c r="R70" s="131"/>
      <c r="S70" s="126" t="e">
        <f>_xll.DBRW($G$3,$U$15,$H$17,$U$13,$U$16,$U$14,S$2,$U$12,$A70)</f>
        <v>#VALUE!</v>
      </c>
      <c r="T70" s="127" t="e">
        <f>_xll.DBRW($G$3,$U$15,$H$17,$U$13,$U$16,$U$14,T$2,$U$12,$A70)</f>
        <v>#VALUE!</v>
      </c>
      <c r="U70" s="127" t="e">
        <f>_xll.DBRW($G$3,$U$15,$H$17,$U$13,$U$16,$U$14,U$2,$U$12,$A70)</f>
        <v>#VALUE!</v>
      </c>
      <c r="V70" s="127" t="e">
        <f>_xll.DBRW($G$3,$U$15,$H$17,$U$13,$U$16,$U$14,V$2,$U$12,$A70)</f>
        <v>#VALUE!</v>
      </c>
      <c r="W70" s="127" t="e">
        <f>_xll.DBRW($G$3,$U$15,$H$17,$U$13,$U$16,$U$14,W$2,$U$12,$A70)</f>
        <v>#VALUE!</v>
      </c>
      <c r="X70" s="127" t="e">
        <f>_xll.DBRW($G$3,$U$15,$H$17,$U$13,$U$16,$U$14,X$2,$U$12,$A70)</f>
        <v>#VALUE!</v>
      </c>
      <c r="Y70" s="127" t="e">
        <f>_xll.DBRW($G$3,$U$15,$H$17,$U$13,$U$16,$U$14,Y$2,$U$12,$A70)</f>
        <v>#VALUE!</v>
      </c>
      <c r="Z70" s="128" t="e">
        <f>_xll.DBRW($G$3,$U$15,$H$17,$U$13,$U$16,$U$14,Z$2,$U$12,$A70)</f>
        <v>#VALUE!</v>
      </c>
      <c r="AA70" s="131"/>
      <c r="AB70" s="126" t="e">
        <f t="shared" si="28"/>
        <v>#VALUE!</v>
      </c>
      <c r="AC70" s="127" t="e">
        <f t="shared" si="29"/>
        <v>#VALUE!</v>
      </c>
      <c r="AD70" s="127" t="e">
        <f t="shared" si="30"/>
        <v>#VALUE!</v>
      </c>
      <c r="AE70" s="127" t="e">
        <f t="shared" si="31"/>
        <v>#VALUE!</v>
      </c>
      <c r="AF70" s="127" t="e">
        <f t="shared" si="32"/>
        <v>#VALUE!</v>
      </c>
      <c r="AG70" s="127" t="e">
        <f t="shared" si="33"/>
        <v>#VALUE!</v>
      </c>
      <c r="AH70" s="127" t="e">
        <f t="shared" si="34"/>
        <v>#VALUE!</v>
      </c>
      <c r="AI70" s="128" t="e">
        <f t="shared" si="35"/>
        <v>#VALUE!</v>
      </c>
      <c r="AJ70" s="43"/>
      <c r="AK70" s="47"/>
      <c r="AL70" s="47"/>
      <c r="AM70" s="47"/>
      <c r="AN70" s="47"/>
      <c r="AO70" s="47"/>
      <c r="AP70" s="47"/>
      <c r="AQ70" s="47"/>
      <c r="AR70" s="47"/>
    </row>
    <row r="71" spans="1:44" ht="21.75" customHeight="1" thickBot="1">
      <c r="A71" s="50" t="s">
        <v>23</v>
      </c>
      <c r="B71" s="41"/>
      <c r="C71" s="41"/>
      <c r="D71" s="41">
        <v>50</v>
      </c>
      <c r="G71" s="185" t="str">
        <f>_xll.DBRA(Server&amp;$A$21,$A71,$H$18)</f>
        <v>Internal Transfers</v>
      </c>
      <c r="H71" s="186"/>
      <c r="I71" s="126" t="e">
        <f>_xll.DBRW($G$3,$H$15,$H$17,$H$13,$H$16,$H$14,I$2,$H$12,$A71)</f>
        <v>#VALUE!</v>
      </c>
      <c r="J71" s="127" t="e">
        <f>_xll.DBRW($G$3,$H$15,$H$17,$H$13,$H$16,$H$14,J$2,$H$12,$A71)</f>
        <v>#VALUE!</v>
      </c>
      <c r="K71" s="127" t="e">
        <f>_xll.DBRW($G$3,$H$15,$H$17,$H$13,$H$16,$H$14,K$2,$H$12,$A71)</f>
        <v>#VALUE!</v>
      </c>
      <c r="L71" s="127" t="e">
        <f>_xll.DBRW($G$3,$H$15,$H$17,$H$13,$H$16,$H$14,L$2,$H$12,$A71)</f>
        <v>#VALUE!</v>
      </c>
      <c r="M71" s="127" t="e">
        <f>_xll.DBRW($G$3,$H$15,$H$17,$H$13,$H$16,$H$14,M$2,$H$12,$A71)</f>
        <v>#VALUE!</v>
      </c>
      <c r="N71" s="127" t="e">
        <f>_xll.DBRW($G$3,$H$15,$H$17,$H$13,$H$16,$H$14,N$2,$H$12,$A71)</f>
        <v>#VALUE!</v>
      </c>
      <c r="O71" s="127" t="e">
        <f>_xll.DBRW($G$3,$H$15,$H$17,$H$13,$H$16,$H$14,O$2,$H$12,$A71)</f>
        <v>#VALUE!</v>
      </c>
      <c r="P71" s="128" t="e">
        <f>_xll.DBRW($G$3,$H$15,$H$17,$H$13,$H$16,$H$14,P$2,$H$12,$A71)</f>
        <v>#VALUE!</v>
      </c>
      <c r="Q71" s="131"/>
      <c r="R71" s="131"/>
      <c r="S71" s="126" t="e">
        <f>_xll.DBRW($G$3,$U$15,$H$17,$U$13,$U$16,$U$14,S$2,$U$12,$A71)</f>
        <v>#VALUE!</v>
      </c>
      <c r="T71" s="127" t="e">
        <f>_xll.DBRW($G$3,$U$15,$H$17,$U$13,$U$16,$U$14,T$2,$U$12,$A71)</f>
        <v>#VALUE!</v>
      </c>
      <c r="U71" s="127" t="e">
        <f>_xll.DBRW($G$3,$U$15,$H$17,$U$13,$U$16,$U$14,U$2,$U$12,$A71)</f>
        <v>#VALUE!</v>
      </c>
      <c r="V71" s="127" t="e">
        <f>_xll.DBRW($G$3,$U$15,$H$17,$U$13,$U$16,$U$14,V$2,$U$12,$A71)</f>
        <v>#VALUE!</v>
      </c>
      <c r="W71" s="127" t="e">
        <f>_xll.DBRW($G$3,$U$15,$H$17,$U$13,$U$16,$U$14,W$2,$U$12,$A71)</f>
        <v>#VALUE!</v>
      </c>
      <c r="X71" s="127" t="e">
        <f>_xll.DBRW($G$3,$U$15,$H$17,$U$13,$U$16,$U$14,X$2,$U$12,$A71)</f>
        <v>#VALUE!</v>
      </c>
      <c r="Y71" s="127" t="e">
        <f>_xll.DBRW($G$3,$U$15,$H$17,$U$13,$U$16,$U$14,Y$2,$U$12,$A71)</f>
        <v>#VALUE!</v>
      </c>
      <c r="Z71" s="128" t="e">
        <f>_xll.DBRW($G$3,$U$15,$H$17,$U$13,$U$16,$U$14,Z$2,$U$12,$A71)</f>
        <v>#VALUE!</v>
      </c>
      <c r="AA71" s="131"/>
      <c r="AB71" s="126" t="e">
        <f t="shared" si="28"/>
        <v>#VALUE!</v>
      </c>
      <c r="AC71" s="127" t="e">
        <f t="shared" si="29"/>
        <v>#VALUE!</v>
      </c>
      <c r="AD71" s="127" t="e">
        <f t="shared" si="30"/>
        <v>#VALUE!</v>
      </c>
      <c r="AE71" s="127" t="e">
        <f t="shared" si="31"/>
        <v>#VALUE!</v>
      </c>
      <c r="AF71" s="127" t="e">
        <f t="shared" si="32"/>
        <v>#VALUE!</v>
      </c>
      <c r="AG71" s="127" t="e">
        <f t="shared" si="33"/>
        <v>#VALUE!</v>
      </c>
      <c r="AH71" s="127" t="e">
        <f t="shared" si="34"/>
        <v>#VALUE!</v>
      </c>
      <c r="AI71" s="128" t="e">
        <f t="shared" si="35"/>
        <v>#VALUE!</v>
      </c>
      <c r="AJ71" s="43"/>
      <c r="AK71" s="47"/>
      <c r="AL71" s="47"/>
      <c r="AM71" s="47"/>
      <c r="AN71" s="47"/>
      <c r="AO71" s="47"/>
      <c r="AP71" s="47"/>
      <c r="AQ71" s="47"/>
      <c r="AR71" s="47"/>
    </row>
    <row r="72" spans="1:44" ht="21.75" hidden="1" customHeight="1" outlineLevel="1">
      <c r="A72" s="71" t="s">
        <v>129</v>
      </c>
      <c r="B72" s="41"/>
      <c r="C72" s="41"/>
      <c r="D72" s="41">
        <v>51</v>
      </c>
      <c r="G72" s="185" t="str">
        <f>_xll.DBRA(Server&amp;$A$21,$A72,$H$18)</f>
        <v>Tech_Lease Liability decrease_Var2</v>
      </c>
      <c r="H72" s="186"/>
      <c r="I72" s="126" t="e">
        <f>_xll.DBRW($G$3,$H$15,$H$17,$H$13,$H$16,$H$14,I$2,$H$12,$A72)</f>
        <v>#VALUE!</v>
      </c>
      <c r="J72" s="127" t="e">
        <f>_xll.DBRW($G$3,$H$15,$H$17,$H$13,$H$16,$H$14,J$2,$H$12,$A72)</f>
        <v>#VALUE!</v>
      </c>
      <c r="K72" s="127" t="e">
        <f>_xll.DBRW($G$3,$H$15,$H$17,$H$13,$H$16,$H$14,K$2,$H$12,$A72)</f>
        <v>#VALUE!</v>
      </c>
      <c r="L72" s="127" t="e">
        <f>_xll.DBRW($G$3,$H$15,$H$17,$H$13,$H$16,$H$14,L$2,$H$12,$A72)</f>
        <v>#VALUE!</v>
      </c>
      <c r="M72" s="127" t="e">
        <f>_xll.DBRW($G$3,$H$15,$H$17,$H$13,$H$16,$H$14,M$2,$H$12,$A72)</f>
        <v>#VALUE!</v>
      </c>
      <c r="N72" s="127" t="e">
        <f>_xll.DBRW($G$3,$H$15,$H$17,$H$13,$H$16,$H$14,N$2,$H$12,$A72)</f>
        <v>#VALUE!</v>
      </c>
      <c r="O72" s="127" t="e">
        <f>_xll.DBRW($G$3,$H$15,$H$17,$H$13,$H$16,$H$14,O$2,$H$12,$A72)</f>
        <v>#VALUE!</v>
      </c>
      <c r="P72" s="128" t="e">
        <f>_xll.DBRW($G$3,$H$15,$H$17,$H$13,$H$16,$H$14,P$2,$H$12,$A72)</f>
        <v>#VALUE!</v>
      </c>
      <c r="Q72" s="131"/>
      <c r="R72" s="131"/>
      <c r="S72" s="126" t="e">
        <f>_xll.DBRW($G$3,$U$15,$H$17,$U$13,$U$16,$U$14,S$2,$U$12,$A72)</f>
        <v>#VALUE!</v>
      </c>
      <c r="T72" s="127" t="e">
        <f>_xll.DBRW($G$3,$U$15,$H$17,$U$13,$U$16,$U$14,T$2,$U$12,$A72)</f>
        <v>#VALUE!</v>
      </c>
      <c r="U72" s="127" t="e">
        <f>_xll.DBRW($G$3,$U$15,$H$17,$U$13,$U$16,$U$14,U$2,$U$12,$A72)</f>
        <v>#VALUE!</v>
      </c>
      <c r="V72" s="127" t="e">
        <f>_xll.DBRW($G$3,$U$15,$H$17,$U$13,$U$16,$U$14,V$2,$U$12,$A72)</f>
        <v>#VALUE!</v>
      </c>
      <c r="W72" s="127" t="e">
        <f>_xll.DBRW($G$3,$U$15,$H$17,$U$13,$U$16,$U$14,W$2,$U$12,$A72)</f>
        <v>#VALUE!</v>
      </c>
      <c r="X72" s="127" t="e">
        <f>_xll.DBRW($G$3,$U$15,$H$17,$U$13,$U$16,$U$14,X$2,$U$12,$A72)</f>
        <v>#VALUE!</v>
      </c>
      <c r="Y72" s="127" t="e">
        <f>_xll.DBRW($G$3,$U$15,$H$17,$U$13,$U$16,$U$14,Y$2,$U$12,$A72)</f>
        <v>#VALUE!</v>
      </c>
      <c r="Z72" s="128" t="e">
        <f>_xll.DBRW($G$3,$U$15,$H$17,$U$13,$U$16,$U$14,Z$2,$U$12,$A72)</f>
        <v>#VALUE!</v>
      </c>
      <c r="AA72" s="131"/>
      <c r="AB72" s="126" t="e">
        <f t="shared" si="28"/>
        <v>#VALUE!</v>
      </c>
      <c r="AC72" s="127" t="e">
        <f t="shared" si="29"/>
        <v>#VALUE!</v>
      </c>
      <c r="AD72" s="127" t="e">
        <f t="shared" si="30"/>
        <v>#VALUE!</v>
      </c>
      <c r="AE72" s="127" t="e">
        <f t="shared" si="31"/>
        <v>#VALUE!</v>
      </c>
      <c r="AF72" s="127" t="e">
        <f t="shared" si="32"/>
        <v>#VALUE!</v>
      </c>
      <c r="AG72" s="127" t="e">
        <f t="shared" si="33"/>
        <v>#VALUE!</v>
      </c>
      <c r="AH72" s="127" t="e">
        <f t="shared" si="34"/>
        <v>#VALUE!</v>
      </c>
      <c r="AI72" s="128" t="e">
        <f t="shared" si="35"/>
        <v>#VALUE!</v>
      </c>
      <c r="AJ72" s="43"/>
      <c r="AK72" s="47"/>
      <c r="AL72" s="47"/>
      <c r="AM72" s="47"/>
      <c r="AN72" s="47"/>
      <c r="AO72" s="47"/>
      <c r="AP72" s="47"/>
      <c r="AQ72" s="47"/>
      <c r="AR72" s="47"/>
    </row>
    <row r="73" spans="1:44" ht="21.75" hidden="1" customHeight="1" outlineLevel="1" thickBot="1">
      <c r="A73" s="71" t="s">
        <v>130</v>
      </c>
      <c r="B73" s="41"/>
      <c r="C73" s="41"/>
      <c r="D73" s="41">
        <v>52</v>
      </c>
      <c r="G73" s="185" t="str">
        <f>_xll.DBRA(Server&amp;$A$21,$A73,$H$18)</f>
        <v>Tech_Lease Liability decrease_Var1</v>
      </c>
      <c r="H73" s="186"/>
      <c r="I73" s="126" t="e">
        <f>_xll.DBRW($G$3,$H$15,$H$17,$H$13,$H$16,$H$14,I$2,$H$12,$A73)</f>
        <v>#VALUE!</v>
      </c>
      <c r="J73" s="127" t="e">
        <f>_xll.DBRW($G$3,$H$15,$H$17,$H$13,$H$16,$H$14,J$2,$H$12,$A73)</f>
        <v>#VALUE!</v>
      </c>
      <c r="K73" s="127" t="e">
        <f>_xll.DBRW($G$3,$H$15,$H$17,$H$13,$H$16,$H$14,K$2,$H$12,$A73)</f>
        <v>#VALUE!</v>
      </c>
      <c r="L73" s="127" t="e">
        <f>_xll.DBRW($G$3,$H$15,$H$17,$H$13,$H$16,$H$14,L$2,$H$12,$A73)</f>
        <v>#VALUE!</v>
      </c>
      <c r="M73" s="127" t="e">
        <f>_xll.DBRW($G$3,$H$15,$H$17,$H$13,$H$16,$H$14,M$2,$H$12,$A73)</f>
        <v>#VALUE!</v>
      </c>
      <c r="N73" s="127" t="e">
        <f>_xll.DBRW($G$3,$H$15,$H$17,$H$13,$H$16,$H$14,N$2,$H$12,$A73)</f>
        <v>#VALUE!</v>
      </c>
      <c r="O73" s="127" t="e">
        <f>_xll.DBRW($G$3,$H$15,$H$17,$H$13,$H$16,$H$14,O$2,$H$12,$A73)</f>
        <v>#VALUE!</v>
      </c>
      <c r="P73" s="128" t="e">
        <f>_xll.DBRW($G$3,$H$15,$H$17,$H$13,$H$16,$H$14,P$2,$H$12,$A73)</f>
        <v>#VALUE!</v>
      </c>
      <c r="Q73" s="131"/>
      <c r="R73" s="131"/>
      <c r="S73" s="126" t="e">
        <f>_xll.DBRW($G$3,$U$15,$H$17,$U$13,$U$16,$U$14,S$2,$U$12,$A73)</f>
        <v>#VALUE!</v>
      </c>
      <c r="T73" s="127" t="e">
        <f>_xll.DBRW($G$3,$U$15,$H$17,$U$13,$U$16,$U$14,T$2,$U$12,$A73)</f>
        <v>#VALUE!</v>
      </c>
      <c r="U73" s="127" t="e">
        <f>_xll.DBRW($G$3,$U$15,$H$17,$U$13,$U$16,$U$14,U$2,$U$12,$A73)</f>
        <v>#VALUE!</v>
      </c>
      <c r="V73" s="127" t="e">
        <f>_xll.DBRW($G$3,$U$15,$H$17,$U$13,$U$16,$U$14,V$2,$U$12,$A73)</f>
        <v>#VALUE!</v>
      </c>
      <c r="W73" s="127" t="e">
        <f>_xll.DBRW($G$3,$U$15,$H$17,$U$13,$U$16,$U$14,W$2,$U$12,$A73)</f>
        <v>#VALUE!</v>
      </c>
      <c r="X73" s="127" t="e">
        <f>_xll.DBRW($G$3,$U$15,$H$17,$U$13,$U$16,$U$14,X$2,$U$12,$A73)</f>
        <v>#VALUE!</v>
      </c>
      <c r="Y73" s="127" t="e">
        <f>_xll.DBRW($G$3,$U$15,$H$17,$U$13,$U$16,$U$14,Y$2,$U$12,$A73)</f>
        <v>#VALUE!</v>
      </c>
      <c r="Z73" s="128" t="e">
        <f>_xll.DBRW($G$3,$U$15,$H$17,$U$13,$U$16,$U$14,Z$2,$U$12,$A73)</f>
        <v>#VALUE!</v>
      </c>
      <c r="AA73" s="131"/>
      <c r="AB73" s="126" t="e">
        <f t="shared" si="28"/>
        <v>#VALUE!</v>
      </c>
      <c r="AC73" s="127" t="e">
        <f t="shared" si="29"/>
        <v>#VALUE!</v>
      </c>
      <c r="AD73" s="127" t="e">
        <f t="shared" si="30"/>
        <v>#VALUE!</v>
      </c>
      <c r="AE73" s="127" t="e">
        <f t="shared" si="31"/>
        <v>#VALUE!</v>
      </c>
      <c r="AF73" s="127" t="e">
        <f t="shared" si="32"/>
        <v>#VALUE!</v>
      </c>
      <c r="AG73" s="127" t="e">
        <f t="shared" si="33"/>
        <v>#VALUE!</v>
      </c>
      <c r="AH73" s="127" t="e">
        <f t="shared" si="34"/>
        <v>#VALUE!</v>
      </c>
      <c r="AI73" s="128" t="e">
        <f t="shared" si="35"/>
        <v>#VALUE!</v>
      </c>
      <c r="AJ73" s="43"/>
      <c r="AK73" s="47"/>
      <c r="AL73" s="47"/>
      <c r="AM73" s="47"/>
      <c r="AN73" s="47"/>
      <c r="AO73" s="47"/>
      <c r="AP73" s="47"/>
      <c r="AQ73" s="47"/>
      <c r="AR73" s="47"/>
    </row>
    <row r="74" spans="1:44" ht="21.75" customHeight="1" collapsed="1" thickBot="1">
      <c r="A74" s="50" t="s">
        <v>24</v>
      </c>
      <c r="B74" s="64"/>
      <c r="C74" s="41"/>
      <c r="D74" s="41">
        <v>53</v>
      </c>
      <c r="G74" s="184" t="str">
        <f>_xll.DBRA(Server&amp;$A$21,$A74,$H$18)</f>
        <v>CASH FLOW FROM INVESTING ACTIVITIES</v>
      </c>
      <c r="H74" s="184"/>
      <c r="I74" s="134" t="e">
        <f>_xll.DBRW($G$3,$H$15,$H$17,$H$13,$H$16,$H$14,I$2,$H$12,$A74)</f>
        <v>#VALUE!</v>
      </c>
      <c r="J74" s="134" t="e">
        <f>_xll.DBRW($G$3,$H$15,$H$17,$H$13,$H$16,$H$14,J$2,$H$12,$A74)</f>
        <v>#VALUE!</v>
      </c>
      <c r="K74" s="134" t="e">
        <f>_xll.DBRW($G$3,$H$15,$H$17,$H$13,$H$16,$H$14,K$2,$H$12,$A74)</f>
        <v>#VALUE!</v>
      </c>
      <c r="L74" s="134" t="e">
        <f>_xll.DBRW($G$3,$H$15,$H$17,$H$13,$H$16,$H$14,L$2,$H$12,$A74)</f>
        <v>#VALUE!</v>
      </c>
      <c r="M74" s="134" t="e">
        <f>_xll.DBRW($G$3,$H$15,$H$17,$H$13,$H$16,$H$14,M$2,$H$12,$A74)</f>
        <v>#VALUE!</v>
      </c>
      <c r="N74" s="134" t="e">
        <f>_xll.DBRW($G$3,$H$15,$H$17,$H$13,$H$16,$H$14,N$2,$H$12,$A74)</f>
        <v>#VALUE!</v>
      </c>
      <c r="O74" s="134" t="e">
        <f>_xll.DBRW($G$3,$H$15,$H$17,$H$13,$H$16,$H$14,O$2,$H$12,$A74)</f>
        <v>#VALUE!</v>
      </c>
      <c r="P74" s="134" t="e">
        <f>_xll.DBRW($G$3,$H$15,$H$17,$H$13,$H$16,$H$14,P$2,$H$12,$A74)</f>
        <v>#VALUE!</v>
      </c>
      <c r="Q74" s="131" t="e">
        <f>SUM(I74:P74)-SUM(I62:P73)</f>
        <v>#VALUE!</v>
      </c>
      <c r="R74" s="131"/>
      <c r="S74" s="134" t="e">
        <f>_xll.DBRW($G$3,$U$15,$H$17,$U$13,$U$16,$U$14,S$2,$U$12,$A74)</f>
        <v>#VALUE!</v>
      </c>
      <c r="T74" s="134" t="e">
        <f>_xll.DBRW($G$3,$U$15,$H$17,$U$13,$U$16,$U$14,T$2,$U$12,$A74)</f>
        <v>#VALUE!</v>
      </c>
      <c r="U74" s="134" t="e">
        <f>_xll.DBRW($G$3,$U$15,$H$17,$U$13,$U$16,$U$14,U$2,$U$12,$A74)</f>
        <v>#VALUE!</v>
      </c>
      <c r="V74" s="134" t="e">
        <f>_xll.DBRW($G$3,$U$15,$H$17,$U$13,$U$16,$U$14,V$2,$U$12,$A74)</f>
        <v>#VALUE!</v>
      </c>
      <c r="W74" s="134" t="e">
        <f>_xll.DBRW($G$3,$U$15,$H$17,$U$13,$U$16,$U$14,W$2,$U$12,$A74)</f>
        <v>#VALUE!</v>
      </c>
      <c r="X74" s="134" t="e">
        <f>_xll.DBRW($G$3,$U$15,$H$17,$U$13,$U$16,$U$14,X$2,$U$12,$A74)</f>
        <v>#VALUE!</v>
      </c>
      <c r="Y74" s="134" t="e">
        <f>_xll.DBRW($G$3,$U$15,$H$17,$U$13,$U$16,$U$14,Y$2,$U$12,$A74)</f>
        <v>#VALUE!</v>
      </c>
      <c r="Z74" s="134" t="e">
        <f>_xll.DBRW($G$3,$U$15,$H$17,$U$13,$U$16,$U$14,Z$2,$U$12,$A74)</f>
        <v>#VALUE!</v>
      </c>
      <c r="AA74" s="131" t="e">
        <f>SUM(S74:Z74)-SUM(S62:Z73)</f>
        <v>#VALUE!</v>
      </c>
      <c r="AB74" s="134" t="e">
        <f t="shared" si="28"/>
        <v>#VALUE!</v>
      </c>
      <c r="AC74" s="134" t="e">
        <f t="shared" si="29"/>
        <v>#VALUE!</v>
      </c>
      <c r="AD74" s="134" t="e">
        <f t="shared" si="30"/>
        <v>#VALUE!</v>
      </c>
      <c r="AE74" s="134" t="e">
        <f t="shared" si="31"/>
        <v>#VALUE!</v>
      </c>
      <c r="AF74" s="134" t="e">
        <f t="shared" si="32"/>
        <v>#VALUE!</v>
      </c>
      <c r="AG74" s="134" t="e">
        <f t="shared" si="33"/>
        <v>#VALUE!</v>
      </c>
      <c r="AH74" s="134" t="e">
        <f t="shared" si="34"/>
        <v>#VALUE!</v>
      </c>
      <c r="AI74" s="134" t="e">
        <f t="shared" si="35"/>
        <v>#VALUE!</v>
      </c>
      <c r="AJ74" s="43"/>
      <c r="AK74" s="47"/>
      <c r="AL74" s="47"/>
      <c r="AM74" s="47"/>
      <c r="AN74" s="47"/>
      <c r="AO74" s="47"/>
      <c r="AP74" s="47" t="s">
        <v>81</v>
      </c>
      <c r="AQ74" s="47" t="s">
        <v>68</v>
      </c>
      <c r="AR74" s="47"/>
    </row>
    <row r="75" spans="1:44" ht="21.75" customHeight="1" thickBot="1">
      <c r="A75" s="50" t="s">
        <v>25</v>
      </c>
      <c r="B75" s="64"/>
      <c r="C75" s="41"/>
      <c r="D75" s="41">
        <v>54</v>
      </c>
      <c r="G75" s="184" t="str">
        <f>_xll.DBRA(Server&amp;$A$21,$A75,$H$18)</f>
        <v>OPERATING FREE CASH FLOW</v>
      </c>
      <c r="H75" s="184"/>
      <c r="I75" s="134" t="e">
        <f>_xll.DBRW($G$3,$H$15,$H$17,$H$13,$H$16,$H$14,I$2,$H$12,$A75)</f>
        <v>#VALUE!</v>
      </c>
      <c r="J75" s="134" t="e">
        <f>_xll.DBRW($G$3,$H$15,$H$17,$H$13,$H$16,$H$14,J$2,$H$12,$A75)</f>
        <v>#VALUE!</v>
      </c>
      <c r="K75" s="134" t="e">
        <f>_xll.DBRW($G$3,$H$15,$H$17,$H$13,$H$16,$H$14,K$2,$H$12,$A75)</f>
        <v>#VALUE!</v>
      </c>
      <c r="L75" s="134" t="e">
        <f>_xll.DBRW($G$3,$H$15,$H$17,$H$13,$H$16,$H$14,L$2,$H$12,$A75)</f>
        <v>#VALUE!</v>
      </c>
      <c r="M75" s="134" t="e">
        <f>_xll.DBRW($G$3,$H$15,$H$17,$H$13,$H$16,$H$14,M$2,$H$12,$A75)</f>
        <v>#VALUE!</v>
      </c>
      <c r="N75" s="134" t="e">
        <f>_xll.DBRW($G$3,$H$15,$H$17,$H$13,$H$16,$H$14,N$2,$H$12,$A75)</f>
        <v>#VALUE!</v>
      </c>
      <c r="O75" s="134" t="e">
        <f>_xll.DBRW($G$3,$H$15,$H$17,$H$13,$H$16,$H$14,O$2,$H$12,$A75)</f>
        <v>#VALUE!</v>
      </c>
      <c r="P75" s="134" t="e">
        <f>_xll.DBRW($G$3,$H$15,$H$17,$H$13,$H$16,$H$14,P$2,$H$12,$A75)</f>
        <v>#VALUE!</v>
      </c>
      <c r="Q75" s="131" t="e">
        <f>SUM(I75:P75)-SUM(I74:P74)-SUM(I61:P61)</f>
        <v>#VALUE!</v>
      </c>
      <c r="R75" s="131"/>
      <c r="S75" s="134" t="e">
        <f>_xll.DBRW($G$3,$U$15,$H$17,$U$13,$U$16,$U$14,S$2,$U$12,$A75)</f>
        <v>#VALUE!</v>
      </c>
      <c r="T75" s="134" t="e">
        <f>_xll.DBRW($G$3,$U$15,$H$17,$U$13,$U$16,$U$14,T$2,$U$12,$A75)</f>
        <v>#VALUE!</v>
      </c>
      <c r="U75" s="134" t="e">
        <f>_xll.DBRW($G$3,$U$15,$H$17,$U$13,$U$16,$U$14,U$2,$U$12,$A75)</f>
        <v>#VALUE!</v>
      </c>
      <c r="V75" s="134" t="e">
        <f>_xll.DBRW($G$3,$U$15,$H$17,$U$13,$U$16,$U$14,V$2,$U$12,$A75)</f>
        <v>#VALUE!</v>
      </c>
      <c r="W75" s="134" t="e">
        <f>_xll.DBRW($G$3,$U$15,$H$17,$U$13,$U$16,$U$14,W$2,$U$12,$A75)</f>
        <v>#VALUE!</v>
      </c>
      <c r="X75" s="134" t="e">
        <f>_xll.DBRW($G$3,$U$15,$H$17,$U$13,$U$16,$U$14,X$2,$U$12,$A75)</f>
        <v>#VALUE!</v>
      </c>
      <c r="Y75" s="134" t="e">
        <f>_xll.DBRW($G$3,$U$15,$H$17,$U$13,$U$16,$U$14,Y$2,$U$12,$A75)</f>
        <v>#VALUE!</v>
      </c>
      <c r="Z75" s="134" t="e">
        <f>_xll.DBRW($G$3,$U$15,$H$17,$U$13,$U$16,$U$14,Z$2,$U$12,$A75)</f>
        <v>#VALUE!</v>
      </c>
      <c r="AA75" s="131" t="e">
        <f>SUM(S75:Z75)-SUM(S74:Z74)-SUM(S61:Z61)</f>
        <v>#VALUE!</v>
      </c>
      <c r="AB75" s="134" t="e">
        <f t="shared" si="28"/>
        <v>#VALUE!</v>
      </c>
      <c r="AC75" s="134" t="e">
        <f t="shared" si="29"/>
        <v>#VALUE!</v>
      </c>
      <c r="AD75" s="134" t="e">
        <f t="shared" si="30"/>
        <v>#VALUE!</v>
      </c>
      <c r="AE75" s="134" t="e">
        <f t="shared" si="31"/>
        <v>#VALUE!</v>
      </c>
      <c r="AF75" s="134" t="e">
        <f t="shared" si="32"/>
        <v>#VALUE!</v>
      </c>
      <c r="AG75" s="134" t="e">
        <f t="shared" si="33"/>
        <v>#VALUE!</v>
      </c>
      <c r="AH75" s="134" t="e">
        <f t="shared" si="34"/>
        <v>#VALUE!</v>
      </c>
      <c r="AI75" s="134" t="e">
        <f t="shared" si="35"/>
        <v>#VALUE!</v>
      </c>
      <c r="AJ75" s="43"/>
      <c r="AK75" s="47"/>
      <c r="AL75" s="47"/>
      <c r="AM75" s="47"/>
      <c r="AN75" s="47"/>
      <c r="AO75" s="47"/>
      <c r="AP75" s="47" t="s">
        <v>61</v>
      </c>
      <c r="AQ75" s="47" t="s">
        <v>69</v>
      </c>
      <c r="AR75" s="47"/>
    </row>
    <row r="76" spans="1:44" ht="21.75" customHeight="1">
      <c r="A76" s="50" t="s">
        <v>153</v>
      </c>
      <c r="B76" s="41" t="s">
        <v>152</v>
      </c>
      <c r="C76" s="41"/>
      <c r="D76" s="41">
        <v>55</v>
      </c>
      <c r="F76" s="23"/>
      <c r="G76" s="195" t="str">
        <f>G38</f>
        <v>Cost of net financial debt (total)</v>
      </c>
      <c r="H76" s="196"/>
      <c r="I76" s="140" t="e">
        <f>_xll.DBRW($G$3,$H$15,$H$17,$H$13,$H$16,$H$14,I$2,$H$12,$B76)+_xll.DBRW($G$3,$H$15,$H$17,$H$13,$H$16,$H$14,I$2,$H$12,$A76)</f>
        <v>#VALUE!</v>
      </c>
      <c r="J76" s="140" t="e">
        <f>_xll.DBRW($G$3,$H$15,$H$17,$H$13,$H$16,$H$14,J$2,$H$12,$B76)+_xll.DBRW($G$3,$H$15,$H$17,$H$13,$H$16,$H$14,J$2,$H$12,$A76)</f>
        <v>#VALUE!</v>
      </c>
      <c r="K76" s="140" t="e">
        <f>_xll.DBRW($G$3,$H$15,$H$17,$H$13,$H$16,$H$14,K$2,$H$12,$B76)+_xll.DBRW($G$3,$H$15,$H$17,$H$13,$H$16,$H$14,K$2,$H$12,$A76)</f>
        <v>#VALUE!</v>
      </c>
      <c r="L76" s="140" t="e">
        <f>_xll.DBRW($G$3,$H$15,$H$17,$H$13,$H$16,$H$14,L$2,$H$12,$B76)+_xll.DBRW($G$3,$H$15,$H$17,$H$13,$H$16,$H$14,L$2,$H$12,$A76)</f>
        <v>#VALUE!</v>
      </c>
      <c r="M76" s="140" t="e">
        <f>_xll.DBRW($G$3,$H$15,$H$17,$H$13,$H$16,$H$14,M$2,$H$12,$B76)+_xll.DBRW($G$3,$H$15,$H$17,$H$13,$H$16,$H$14,M$2,$H$12,$A76)</f>
        <v>#VALUE!</v>
      </c>
      <c r="N76" s="140" t="e">
        <f>_xll.DBRW($G$3,$H$15,$H$17,$H$13,$H$16,$H$14,N$2,$H$12,$B76)+_xll.DBRW($G$3,$H$15,$H$17,$H$13,$H$16,$H$14,N$2,$H$12,$A76)</f>
        <v>#VALUE!</v>
      </c>
      <c r="O76" s="140" t="e">
        <f>_xll.DBRW($G$3,$H$15,$H$17,$H$13,$H$16,$H$14,O$2,$H$12,$B76)+_xll.DBRW($G$3,$H$15,$H$17,$H$13,$H$16,$H$14,O$2,$H$12,$A76)</f>
        <v>#VALUE!</v>
      </c>
      <c r="P76" s="140" t="e">
        <f>_xll.DBRW($G$3,$H$15,$H$17,$H$13,$H$16,$H$14,P$2,$H$12,$B76)+_xll.DBRW($G$3,$H$15,$H$17,$H$13,$H$16,$H$14,P$2,$H$12,$A76)</f>
        <v>#VALUE!</v>
      </c>
      <c r="Q76" s="131"/>
      <c r="R76" s="131"/>
      <c r="S76" s="140" t="e">
        <f>_xll.DBRW($G$3,$U$15,$H$17,$U$13,$U$16,$U$14,S$2,$U$12,$B76)+_xll.DBRW($G$3,$U$15,$H$17,$U$13,$U$16,$U$14,S$2,$U$12,$A76)</f>
        <v>#VALUE!</v>
      </c>
      <c r="T76" s="140" t="e">
        <f>_xll.DBRW($G$3,$U$15,$H$17,$U$13,$U$16,$U$14,T$2,$U$12,$B76)+_xll.DBRW($G$3,$U$15,$H$17,$U$13,$U$16,$U$14,T$2,$U$12,$A76)</f>
        <v>#VALUE!</v>
      </c>
      <c r="U76" s="140" t="e">
        <f>_xll.DBRW($G$3,$U$15,$H$17,$U$13,$U$16,$U$14,U$2,$U$12,$B76)+_xll.DBRW($G$3,$U$15,$H$17,$U$13,$U$16,$U$14,U$2,$U$12,$A76)</f>
        <v>#VALUE!</v>
      </c>
      <c r="V76" s="140" t="e">
        <f>_xll.DBRW($G$3,$U$15,$H$17,$U$13,$U$16,$U$14,V$2,$U$12,$B76)+_xll.DBRW($G$3,$U$15,$H$17,$U$13,$U$16,$U$14,V$2,$U$12,$A76)</f>
        <v>#VALUE!</v>
      </c>
      <c r="W76" s="140" t="e">
        <f>_xll.DBRW($G$3,$U$15,$H$17,$U$13,$U$16,$U$14,W$2,$U$12,$B76)+_xll.DBRW($G$3,$U$15,$H$17,$U$13,$U$16,$U$14,W$2,$U$12,$A76)</f>
        <v>#VALUE!</v>
      </c>
      <c r="X76" s="140" t="e">
        <f>_xll.DBRW($G$3,$U$15,$H$17,$U$13,$U$16,$U$14,X$2,$U$12,$B76)+_xll.DBRW($G$3,$U$15,$H$17,$U$13,$U$16,$U$14,X$2,$U$12,$A76)</f>
        <v>#VALUE!</v>
      </c>
      <c r="Y76" s="140" t="e">
        <f>_xll.DBRW($G$3,$U$15,$H$17,$U$13,$U$16,$U$14,Y$2,$U$12,$B76)+_xll.DBRW($G$3,$U$15,$H$17,$U$13,$U$16,$U$14,Y$2,$U$12,$A76)</f>
        <v>#VALUE!</v>
      </c>
      <c r="Z76" s="140" t="e">
        <f>_xll.DBRW($G$3,$U$15,$H$17,$U$13,$U$16,$U$14,Z$2,$U$12,$B76)+_xll.DBRW($G$3,$U$15,$H$17,$U$13,$U$16,$U$14,Z$2,$U$12,$A76)</f>
        <v>#VALUE!</v>
      </c>
      <c r="AA76" s="131"/>
      <c r="AB76" s="140" t="e">
        <f t="shared" si="28"/>
        <v>#VALUE!</v>
      </c>
      <c r="AC76" s="140" t="e">
        <f t="shared" si="29"/>
        <v>#VALUE!</v>
      </c>
      <c r="AD76" s="140" t="e">
        <f t="shared" si="30"/>
        <v>#VALUE!</v>
      </c>
      <c r="AE76" s="140" t="e">
        <f t="shared" si="31"/>
        <v>#VALUE!</v>
      </c>
      <c r="AF76" s="140" t="e">
        <f t="shared" si="32"/>
        <v>#VALUE!</v>
      </c>
      <c r="AG76" s="140" t="e">
        <f t="shared" si="33"/>
        <v>#VALUE!</v>
      </c>
      <c r="AH76" s="140" t="e">
        <f t="shared" si="34"/>
        <v>#VALUE!</v>
      </c>
      <c r="AI76" s="140" t="e">
        <f t="shared" si="35"/>
        <v>#VALUE!</v>
      </c>
      <c r="AJ76" s="43"/>
      <c r="AK76" s="47"/>
      <c r="AL76" s="47"/>
      <c r="AM76" s="47"/>
      <c r="AN76" s="47"/>
      <c r="AO76" s="47"/>
      <c r="AP76" s="47"/>
      <c r="AQ76" s="47"/>
      <c r="AR76" s="47"/>
    </row>
    <row r="77" spans="1:44" ht="21.75" customHeight="1">
      <c r="A77" s="50" t="s">
        <v>28</v>
      </c>
      <c r="B77" s="41"/>
      <c r="C77" s="41"/>
      <c r="D77" s="41">
        <v>56</v>
      </c>
      <c r="F77" s="23"/>
      <c r="G77" s="195" t="str">
        <f>_xll.DBRA(Server&amp;$A$21,$A77,$H$18)</f>
        <v>Dividend paid to parent</v>
      </c>
      <c r="H77" s="196"/>
      <c r="I77" s="140" t="e">
        <f>_xll.DBRW($G$3,$H$15,$H$17,$H$13,$H$16,$H$14,I$2,$H$12,$A77)</f>
        <v>#VALUE!</v>
      </c>
      <c r="J77" s="141" t="e">
        <f>_xll.DBRW($G$3,$H$15,$H$17,$H$13,$H$16,$H$14,J$2,$H$12,$A77)</f>
        <v>#VALUE!</v>
      </c>
      <c r="K77" s="141" t="e">
        <f>_xll.DBRW($G$3,$H$15,$H$17,$H$13,$H$16,$H$14,K$2,$H$12,$A77)</f>
        <v>#VALUE!</v>
      </c>
      <c r="L77" s="141" t="e">
        <f>_xll.DBRW($G$3,$H$15,$H$17,$H$13,$H$16,$H$14,L$2,$H$12,$A77)</f>
        <v>#VALUE!</v>
      </c>
      <c r="M77" s="141" t="e">
        <f>_xll.DBRW($G$3,$H$15,$H$17,$H$13,$H$16,$H$14,M$2,$H$12,$A77)</f>
        <v>#VALUE!</v>
      </c>
      <c r="N77" s="141" t="e">
        <f>_xll.DBRW($G$3,$H$15,$H$17,$H$13,$H$16,$H$14,N$2,$H$12,$A77)</f>
        <v>#VALUE!</v>
      </c>
      <c r="O77" s="141" t="e">
        <f>_xll.DBRW($G$3,$H$15,$H$17,$H$13,$H$16,$H$14,O$2,$H$12,$A77)</f>
        <v>#VALUE!</v>
      </c>
      <c r="P77" s="142" t="e">
        <f>_xll.DBRW($G$3,$H$15,$H$17,$H$13,$H$16,$H$14,P$2,$H$12,$A77)</f>
        <v>#VALUE!</v>
      </c>
      <c r="Q77" s="131"/>
      <c r="R77" s="131"/>
      <c r="S77" s="140" t="e">
        <f>_xll.DBRW($G$3,$U$15,$H$17,$U$13,$U$16,$U$14,S$2,$U$12,$A77)</f>
        <v>#VALUE!</v>
      </c>
      <c r="T77" s="141" t="e">
        <f>_xll.DBRW($G$3,$U$15,$H$17,$U$13,$U$16,$U$14,T$2,$U$12,$A77)</f>
        <v>#VALUE!</v>
      </c>
      <c r="U77" s="141" t="e">
        <f>_xll.DBRW($G$3,$U$15,$H$17,$U$13,$U$16,$U$14,U$2,$U$12,$A77)</f>
        <v>#VALUE!</v>
      </c>
      <c r="V77" s="141" t="e">
        <f>_xll.DBRW($G$3,$U$15,$H$17,$U$13,$U$16,$U$14,V$2,$U$12,$A77)</f>
        <v>#VALUE!</v>
      </c>
      <c r="W77" s="141" t="e">
        <f>_xll.DBRW($G$3,$U$15,$H$17,$U$13,$U$16,$U$14,W$2,$U$12,$A77)</f>
        <v>#VALUE!</v>
      </c>
      <c r="X77" s="141" t="e">
        <f>_xll.DBRW($G$3,$U$15,$H$17,$U$13,$U$16,$U$14,X$2,$U$12,$A77)</f>
        <v>#VALUE!</v>
      </c>
      <c r="Y77" s="141" t="e">
        <f>_xll.DBRW($G$3,$U$15,$H$17,$U$13,$U$16,$U$14,Y$2,$U$12,$A77)</f>
        <v>#VALUE!</v>
      </c>
      <c r="Z77" s="142" t="e">
        <f>_xll.DBRW($G$3,$U$15,$H$17,$U$13,$U$16,$U$14,Z$2,$U$12,$A77)</f>
        <v>#VALUE!</v>
      </c>
      <c r="AA77" s="131"/>
      <c r="AB77" s="140" t="e">
        <f t="shared" si="28"/>
        <v>#VALUE!</v>
      </c>
      <c r="AC77" s="141" t="e">
        <f t="shared" si="29"/>
        <v>#VALUE!</v>
      </c>
      <c r="AD77" s="141" t="e">
        <f t="shared" si="30"/>
        <v>#VALUE!</v>
      </c>
      <c r="AE77" s="141" t="e">
        <f t="shared" si="31"/>
        <v>#VALUE!</v>
      </c>
      <c r="AF77" s="141" t="e">
        <f t="shared" si="32"/>
        <v>#VALUE!</v>
      </c>
      <c r="AG77" s="141" t="e">
        <f t="shared" si="33"/>
        <v>#VALUE!</v>
      </c>
      <c r="AH77" s="141" t="e">
        <f t="shared" si="34"/>
        <v>#VALUE!</v>
      </c>
      <c r="AI77" s="142" t="e">
        <f t="shared" si="35"/>
        <v>#VALUE!</v>
      </c>
      <c r="AJ77" s="43"/>
      <c r="AK77" s="47"/>
      <c r="AL77" s="47"/>
      <c r="AM77" s="47"/>
      <c r="AN77" s="47"/>
      <c r="AO77" s="47"/>
      <c r="AP77" s="47"/>
      <c r="AQ77" s="47"/>
      <c r="AR77" s="47"/>
    </row>
    <row r="78" spans="1:44" ht="21.75" customHeight="1">
      <c r="A78" s="50" t="s">
        <v>29</v>
      </c>
      <c r="B78" s="41"/>
      <c r="C78" s="41"/>
      <c r="D78" s="41">
        <v>57</v>
      </c>
      <c r="G78" s="195" t="str">
        <f>_xll.DBRA(Server&amp;$A$21,$A78,$H$18)</f>
        <v>Dividend paid to minority interests</v>
      </c>
      <c r="H78" s="196"/>
      <c r="I78" s="140" t="e">
        <f>_xll.DBRW($G$3,$H$15,$H$17,$H$13,$H$16,$H$14,I$2,$H$12,$A78)</f>
        <v>#VALUE!</v>
      </c>
      <c r="J78" s="141" t="e">
        <f>_xll.DBRW($G$3,$H$15,$H$17,$H$13,$H$16,$H$14,J$2,$H$12,$A78)</f>
        <v>#VALUE!</v>
      </c>
      <c r="K78" s="141" t="e">
        <f>_xll.DBRW($G$3,$H$15,$H$17,$H$13,$H$16,$H$14,K$2,$H$12,$A78)</f>
        <v>#VALUE!</v>
      </c>
      <c r="L78" s="141" t="e">
        <f>_xll.DBRW($G$3,$H$15,$H$17,$H$13,$H$16,$H$14,L$2,$H$12,$A78)</f>
        <v>#VALUE!</v>
      </c>
      <c r="M78" s="141" t="e">
        <f>_xll.DBRW($G$3,$H$15,$H$17,$H$13,$H$16,$H$14,M$2,$H$12,$A78)</f>
        <v>#VALUE!</v>
      </c>
      <c r="N78" s="141" t="e">
        <f>_xll.DBRW($G$3,$H$15,$H$17,$H$13,$H$16,$H$14,N$2,$H$12,$A78)</f>
        <v>#VALUE!</v>
      </c>
      <c r="O78" s="141" t="e">
        <f>_xll.DBRW($G$3,$H$15,$H$17,$H$13,$H$16,$H$14,O$2,$H$12,$A78)</f>
        <v>#VALUE!</v>
      </c>
      <c r="P78" s="142" t="e">
        <f>_xll.DBRW($G$3,$H$15,$H$17,$H$13,$H$16,$H$14,P$2,$H$12,$A78)</f>
        <v>#VALUE!</v>
      </c>
      <c r="Q78" s="131"/>
      <c r="R78" s="131"/>
      <c r="S78" s="140" t="e">
        <f>_xll.DBRW($G$3,$U$15,$H$17,$U$13,$U$16,$U$14,S$2,$U$12,$A78)</f>
        <v>#VALUE!</v>
      </c>
      <c r="T78" s="141" t="e">
        <f>_xll.DBRW($G$3,$U$15,$H$17,$U$13,$U$16,$U$14,T$2,$U$12,$A78)</f>
        <v>#VALUE!</v>
      </c>
      <c r="U78" s="141" t="e">
        <f>_xll.DBRW($G$3,$U$15,$H$17,$U$13,$U$16,$U$14,U$2,$U$12,$A78)</f>
        <v>#VALUE!</v>
      </c>
      <c r="V78" s="141" t="e">
        <f>_xll.DBRW($G$3,$U$15,$H$17,$U$13,$U$16,$U$14,V$2,$U$12,$A78)</f>
        <v>#VALUE!</v>
      </c>
      <c r="W78" s="141" t="e">
        <f>_xll.DBRW($G$3,$U$15,$H$17,$U$13,$U$16,$U$14,W$2,$U$12,$A78)</f>
        <v>#VALUE!</v>
      </c>
      <c r="X78" s="141" t="e">
        <f>_xll.DBRW($G$3,$U$15,$H$17,$U$13,$U$16,$U$14,X$2,$U$12,$A78)</f>
        <v>#VALUE!</v>
      </c>
      <c r="Y78" s="141" t="e">
        <f>_xll.DBRW($G$3,$U$15,$H$17,$U$13,$U$16,$U$14,Y$2,$U$12,$A78)</f>
        <v>#VALUE!</v>
      </c>
      <c r="Z78" s="142" t="e">
        <f>_xll.DBRW($G$3,$U$15,$H$17,$U$13,$U$16,$U$14,Z$2,$U$12,$A78)</f>
        <v>#VALUE!</v>
      </c>
      <c r="AA78" s="131"/>
      <c r="AB78" s="140" t="e">
        <f t="shared" si="28"/>
        <v>#VALUE!</v>
      </c>
      <c r="AC78" s="141" t="e">
        <f t="shared" si="29"/>
        <v>#VALUE!</v>
      </c>
      <c r="AD78" s="141" t="e">
        <f t="shared" si="30"/>
        <v>#VALUE!</v>
      </c>
      <c r="AE78" s="141" t="e">
        <f t="shared" si="31"/>
        <v>#VALUE!</v>
      </c>
      <c r="AF78" s="141" t="e">
        <f t="shared" si="32"/>
        <v>#VALUE!</v>
      </c>
      <c r="AG78" s="141" t="e">
        <f t="shared" si="33"/>
        <v>#VALUE!</v>
      </c>
      <c r="AH78" s="141" t="e">
        <f t="shared" si="34"/>
        <v>#VALUE!</v>
      </c>
      <c r="AI78" s="142" t="e">
        <f t="shared" si="35"/>
        <v>#VALUE!</v>
      </c>
      <c r="AJ78" s="43"/>
      <c r="AK78" s="47"/>
      <c r="AL78" s="47"/>
      <c r="AM78" s="47"/>
      <c r="AN78" s="47"/>
      <c r="AO78" s="47"/>
      <c r="AP78" s="47"/>
      <c r="AQ78" s="47"/>
      <c r="AR78" s="47"/>
    </row>
    <row r="79" spans="1:44" ht="21.75" customHeight="1">
      <c r="A79" s="50" t="s">
        <v>27</v>
      </c>
      <c r="B79" s="41"/>
      <c r="C79" s="41"/>
      <c r="D79" s="41">
        <v>58</v>
      </c>
      <c r="G79" s="185" t="str">
        <f>_xll.DBRA(Server&amp;$A$21,$A79,$H$18)</f>
        <v>Group share capital increase and change</v>
      </c>
      <c r="H79" s="186"/>
      <c r="I79" s="126" t="e">
        <f>_xll.DBRW($G$3,$H$15,$H$17,$H$13,$H$16,$H$14,I$2,$H$12,$A79)</f>
        <v>#VALUE!</v>
      </c>
      <c r="J79" s="127" t="e">
        <f>_xll.DBRW($G$3,$H$15,$H$17,$H$13,$H$16,$H$14,J$2,$H$12,$A79)</f>
        <v>#VALUE!</v>
      </c>
      <c r="K79" s="127" t="e">
        <f>_xll.DBRW($G$3,$H$15,$H$17,$H$13,$H$16,$H$14,K$2,$H$12,$A79)</f>
        <v>#VALUE!</v>
      </c>
      <c r="L79" s="127" t="e">
        <f>_xll.DBRW($G$3,$H$15,$H$17,$H$13,$H$16,$H$14,L$2,$H$12,$A79)</f>
        <v>#VALUE!</v>
      </c>
      <c r="M79" s="127" t="e">
        <f>_xll.DBRW($G$3,$H$15,$H$17,$H$13,$H$16,$H$14,M$2,$H$12,$A79)</f>
        <v>#VALUE!</v>
      </c>
      <c r="N79" s="127" t="e">
        <f>_xll.DBRW($G$3,$H$15,$H$17,$H$13,$H$16,$H$14,N$2,$H$12,$A79)</f>
        <v>#VALUE!</v>
      </c>
      <c r="O79" s="127" t="e">
        <f>_xll.DBRW($G$3,$H$15,$H$17,$H$13,$H$16,$H$14,O$2,$H$12,$A79)</f>
        <v>#VALUE!</v>
      </c>
      <c r="P79" s="128" t="e">
        <f>_xll.DBRW($G$3,$H$15,$H$17,$H$13,$H$16,$H$14,P$2,$H$12,$A79)</f>
        <v>#VALUE!</v>
      </c>
      <c r="Q79" s="131"/>
      <c r="R79" s="131"/>
      <c r="S79" s="126" t="e">
        <f>_xll.DBRW($G$3,$U$15,$H$17,$U$13,$U$16,$U$14,S$2,$U$12,$A79)</f>
        <v>#VALUE!</v>
      </c>
      <c r="T79" s="127" t="e">
        <f>_xll.DBRW($G$3,$U$15,$H$17,$U$13,$U$16,$U$14,T$2,$U$12,$A79)</f>
        <v>#VALUE!</v>
      </c>
      <c r="U79" s="127" t="e">
        <f>_xll.DBRW($G$3,$U$15,$H$17,$U$13,$U$16,$U$14,U$2,$U$12,$A79)</f>
        <v>#VALUE!</v>
      </c>
      <c r="V79" s="127" t="e">
        <f>_xll.DBRW($G$3,$U$15,$H$17,$U$13,$U$16,$U$14,V$2,$U$12,$A79)</f>
        <v>#VALUE!</v>
      </c>
      <c r="W79" s="127" t="e">
        <f>_xll.DBRW($G$3,$U$15,$H$17,$U$13,$U$16,$U$14,W$2,$U$12,$A79)</f>
        <v>#VALUE!</v>
      </c>
      <c r="X79" s="127" t="e">
        <f>_xll.DBRW($G$3,$U$15,$H$17,$U$13,$U$16,$U$14,X$2,$U$12,$A79)</f>
        <v>#VALUE!</v>
      </c>
      <c r="Y79" s="127" t="e">
        <f>_xll.DBRW($G$3,$U$15,$H$17,$U$13,$U$16,$U$14,Y$2,$U$12,$A79)</f>
        <v>#VALUE!</v>
      </c>
      <c r="Z79" s="128" t="e">
        <f>_xll.DBRW($G$3,$U$15,$H$17,$U$13,$U$16,$U$14,Z$2,$U$12,$A79)</f>
        <v>#VALUE!</v>
      </c>
      <c r="AA79" s="131"/>
      <c r="AB79" s="126" t="e">
        <f t="shared" si="28"/>
        <v>#VALUE!</v>
      </c>
      <c r="AC79" s="127" t="e">
        <f t="shared" si="29"/>
        <v>#VALUE!</v>
      </c>
      <c r="AD79" s="127" t="e">
        <f t="shared" si="30"/>
        <v>#VALUE!</v>
      </c>
      <c r="AE79" s="127" t="e">
        <f t="shared" si="31"/>
        <v>#VALUE!</v>
      </c>
      <c r="AF79" s="127" t="e">
        <f t="shared" si="32"/>
        <v>#VALUE!</v>
      </c>
      <c r="AG79" s="127" t="e">
        <f t="shared" si="33"/>
        <v>#VALUE!</v>
      </c>
      <c r="AH79" s="127" t="e">
        <f t="shared" si="34"/>
        <v>#VALUE!</v>
      </c>
      <c r="AI79" s="128" t="e">
        <f t="shared" si="35"/>
        <v>#VALUE!</v>
      </c>
      <c r="AJ79" s="43"/>
      <c r="AK79" s="47"/>
      <c r="AL79" s="47"/>
      <c r="AM79" s="47"/>
      <c r="AN79" s="47"/>
      <c r="AO79" s="47"/>
      <c r="AP79" s="47"/>
      <c r="AQ79" s="47"/>
      <c r="AR79" s="47"/>
    </row>
    <row r="80" spans="1:44" ht="21.75" customHeight="1" thickBot="1">
      <c r="A80" s="50" t="s">
        <v>26</v>
      </c>
      <c r="B80" s="41"/>
      <c r="C80" s="41"/>
      <c r="D80" s="41">
        <v>59</v>
      </c>
      <c r="G80" s="185" t="str">
        <f>_xll.DBRA(Server&amp;$A$21,$A80,$H$18)</f>
        <v>Share capital increase (suscribed by minority)</v>
      </c>
      <c r="H80" s="186"/>
      <c r="I80" s="126" t="e">
        <f>_xll.DBRW($G$3,$H$15,$H$17,$H$13,$H$16,$H$14,I$2,$H$12,$A80)</f>
        <v>#VALUE!</v>
      </c>
      <c r="J80" s="127" t="e">
        <f>_xll.DBRW($G$3,$H$15,$H$17,$H$13,$H$16,$H$14,J$2,$H$12,$A80)</f>
        <v>#VALUE!</v>
      </c>
      <c r="K80" s="127" t="e">
        <f>_xll.DBRW($G$3,$H$15,$H$17,$H$13,$H$16,$H$14,K$2,$H$12,$A80)</f>
        <v>#VALUE!</v>
      </c>
      <c r="L80" s="127" t="e">
        <f>_xll.DBRW($G$3,$H$15,$H$17,$H$13,$H$16,$H$14,L$2,$H$12,$A80)</f>
        <v>#VALUE!</v>
      </c>
      <c r="M80" s="127" t="e">
        <f>_xll.DBRW($G$3,$H$15,$H$17,$H$13,$H$16,$H$14,M$2,$H$12,$A80)</f>
        <v>#VALUE!</v>
      </c>
      <c r="N80" s="127" t="e">
        <f>_xll.DBRW($G$3,$H$15,$H$17,$H$13,$H$16,$H$14,N$2,$H$12,$A80)</f>
        <v>#VALUE!</v>
      </c>
      <c r="O80" s="127" t="e">
        <f>_xll.DBRW($G$3,$H$15,$H$17,$H$13,$H$16,$H$14,O$2,$H$12,$A80)</f>
        <v>#VALUE!</v>
      </c>
      <c r="P80" s="128" t="e">
        <f>_xll.DBRW($G$3,$H$15,$H$17,$H$13,$H$16,$H$14,P$2,$H$12,$A80)</f>
        <v>#VALUE!</v>
      </c>
      <c r="Q80" s="131"/>
      <c r="R80" s="131"/>
      <c r="S80" s="126" t="e">
        <f>_xll.DBRW($G$3,$U$15,$H$17,$U$13,$U$16,$U$14,S$2,$U$12,$A80)</f>
        <v>#VALUE!</v>
      </c>
      <c r="T80" s="127" t="e">
        <f>_xll.DBRW($G$3,$U$15,$H$17,$U$13,$U$16,$U$14,T$2,$U$12,$A80)</f>
        <v>#VALUE!</v>
      </c>
      <c r="U80" s="127" t="e">
        <f>_xll.DBRW($G$3,$U$15,$H$17,$U$13,$U$16,$U$14,U$2,$U$12,$A80)</f>
        <v>#VALUE!</v>
      </c>
      <c r="V80" s="127" t="e">
        <f>_xll.DBRW($G$3,$U$15,$H$17,$U$13,$U$16,$U$14,V$2,$U$12,$A80)</f>
        <v>#VALUE!</v>
      </c>
      <c r="W80" s="127" t="e">
        <f>_xll.DBRW($G$3,$U$15,$H$17,$U$13,$U$16,$U$14,W$2,$U$12,$A80)</f>
        <v>#VALUE!</v>
      </c>
      <c r="X80" s="127" t="e">
        <f>_xll.DBRW($G$3,$U$15,$H$17,$U$13,$U$16,$U$14,X$2,$U$12,$A80)</f>
        <v>#VALUE!</v>
      </c>
      <c r="Y80" s="127" t="e">
        <f>_xll.DBRW($G$3,$U$15,$H$17,$U$13,$U$16,$U$14,Y$2,$U$12,$A80)</f>
        <v>#VALUE!</v>
      </c>
      <c r="Z80" s="128" t="e">
        <f>_xll.DBRW($G$3,$U$15,$H$17,$U$13,$U$16,$U$14,Z$2,$U$12,$A80)</f>
        <v>#VALUE!</v>
      </c>
      <c r="AA80" s="131"/>
      <c r="AB80" s="126" t="e">
        <f t="shared" si="28"/>
        <v>#VALUE!</v>
      </c>
      <c r="AC80" s="127" t="e">
        <f t="shared" si="29"/>
        <v>#VALUE!</v>
      </c>
      <c r="AD80" s="127" t="e">
        <f t="shared" si="30"/>
        <v>#VALUE!</v>
      </c>
      <c r="AE80" s="127" t="e">
        <f t="shared" si="31"/>
        <v>#VALUE!</v>
      </c>
      <c r="AF80" s="127" t="e">
        <f t="shared" si="32"/>
        <v>#VALUE!</v>
      </c>
      <c r="AG80" s="127" t="e">
        <f t="shared" si="33"/>
        <v>#VALUE!</v>
      </c>
      <c r="AH80" s="127" t="e">
        <f t="shared" si="34"/>
        <v>#VALUE!</v>
      </c>
      <c r="AI80" s="128" t="e">
        <f t="shared" si="35"/>
        <v>#VALUE!</v>
      </c>
      <c r="AJ80" s="43"/>
      <c r="AK80" s="47"/>
      <c r="AL80" s="47"/>
      <c r="AM80" s="47"/>
      <c r="AN80" s="47"/>
      <c r="AO80" s="47"/>
      <c r="AP80" s="47"/>
      <c r="AQ80" s="47"/>
      <c r="AR80" s="47"/>
    </row>
    <row r="81" spans="1:44" ht="21.75" hidden="1" customHeight="1" outlineLevel="1">
      <c r="A81" s="50" t="s">
        <v>150</v>
      </c>
      <c r="B81" s="41"/>
      <c r="C81" s="41"/>
      <c r="D81" s="41">
        <v>60</v>
      </c>
      <c r="G81" s="185" t="str">
        <f>_xll.DBRA(Server&amp;$A$21,$A81,$H$18)</f>
        <v>Shareholders transactions: Increase in ownership interest</v>
      </c>
      <c r="H81" s="186"/>
      <c r="I81" s="126" t="e">
        <f>_xll.DBRW($G$3,$H$15,$H$17,$H$13,$H$16,$H$14,I$2,$H$12,$A81)</f>
        <v>#VALUE!</v>
      </c>
      <c r="J81" s="127" t="e">
        <f>_xll.DBRW($G$3,$H$15,$H$17,$H$13,$H$16,$H$14,J$2,$H$12,$A81)</f>
        <v>#VALUE!</v>
      </c>
      <c r="K81" s="127" t="e">
        <f>_xll.DBRW($G$3,$H$15,$H$17,$H$13,$H$16,$H$14,K$2,$H$12,$A81)</f>
        <v>#VALUE!</v>
      </c>
      <c r="L81" s="127" t="e">
        <f>_xll.DBRW($G$3,$H$15,$H$17,$H$13,$H$16,$H$14,L$2,$H$12,$A81)</f>
        <v>#VALUE!</v>
      </c>
      <c r="M81" s="127" t="e">
        <f>_xll.DBRW($G$3,$H$15,$H$17,$H$13,$H$16,$H$14,M$2,$H$12,$A81)</f>
        <v>#VALUE!</v>
      </c>
      <c r="N81" s="127" t="e">
        <f>_xll.DBRW($G$3,$H$15,$H$17,$H$13,$H$16,$H$14,N$2,$H$12,$A81)</f>
        <v>#VALUE!</v>
      </c>
      <c r="O81" s="127" t="e">
        <f>_xll.DBRW($G$3,$H$15,$H$17,$H$13,$H$16,$H$14,O$2,$H$12,$A81)</f>
        <v>#VALUE!</v>
      </c>
      <c r="P81" s="128" t="e">
        <f>_xll.DBRW($G$3,$H$15,$H$17,$H$13,$H$16,$H$14,P$2,$H$12,$A81)</f>
        <v>#VALUE!</v>
      </c>
      <c r="Q81" s="131"/>
      <c r="R81" s="131"/>
      <c r="S81" s="126" t="e">
        <f>_xll.DBRW($G$3,$U$15,$H$17,$U$13,$U$16,$U$14,S$2,$U$12,$A81)</f>
        <v>#VALUE!</v>
      </c>
      <c r="T81" s="127" t="e">
        <f>_xll.DBRW($G$3,$U$15,$H$17,$U$13,$U$16,$U$14,T$2,$U$12,$A81)</f>
        <v>#VALUE!</v>
      </c>
      <c r="U81" s="127" t="e">
        <f>_xll.DBRW($G$3,$U$15,$H$17,$U$13,$U$16,$U$14,U$2,$U$12,$A81)</f>
        <v>#VALUE!</v>
      </c>
      <c r="V81" s="127" t="e">
        <f>_xll.DBRW($G$3,$U$15,$H$17,$U$13,$U$16,$U$14,V$2,$U$12,$A81)</f>
        <v>#VALUE!</v>
      </c>
      <c r="W81" s="127" t="e">
        <f>_xll.DBRW($G$3,$U$15,$H$17,$U$13,$U$16,$U$14,W$2,$U$12,$A81)</f>
        <v>#VALUE!</v>
      </c>
      <c r="X81" s="127" t="e">
        <f>_xll.DBRW($G$3,$U$15,$H$17,$U$13,$U$16,$U$14,X$2,$U$12,$A81)</f>
        <v>#VALUE!</v>
      </c>
      <c r="Y81" s="127" t="e">
        <f>_xll.DBRW($G$3,$U$15,$H$17,$U$13,$U$16,$U$14,Y$2,$U$12,$A81)</f>
        <v>#VALUE!</v>
      </c>
      <c r="Z81" s="128" t="e">
        <f>_xll.DBRW($G$3,$U$15,$H$17,$U$13,$U$16,$U$14,Z$2,$U$12,$A81)</f>
        <v>#VALUE!</v>
      </c>
      <c r="AA81" s="131"/>
      <c r="AB81" s="126" t="e">
        <f t="shared" si="28"/>
        <v>#VALUE!</v>
      </c>
      <c r="AC81" s="127" t="e">
        <f t="shared" si="29"/>
        <v>#VALUE!</v>
      </c>
      <c r="AD81" s="127" t="e">
        <f t="shared" si="30"/>
        <v>#VALUE!</v>
      </c>
      <c r="AE81" s="127" t="e">
        <f t="shared" si="31"/>
        <v>#VALUE!</v>
      </c>
      <c r="AF81" s="127" t="e">
        <f t="shared" si="32"/>
        <v>#VALUE!</v>
      </c>
      <c r="AG81" s="127" t="e">
        <f t="shared" si="33"/>
        <v>#VALUE!</v>
      </c>
      <c r="AH81" s="127" t="e">
        <f t="shared" si="34"/>
        <v>#VALUE!</v>
      </c>
      <c r="AI81" s="128" t="e">
        <f t="shared" si="35"/>
        <v>#VALUE!</v>
      </c>
      <c r="AJ81" s="43"/>
      <c r="AK81" s="47"/>
      <c r="AL81" s="47"/>
      <c r="AM81" s="47"/>
      <c r="AN81" s="47"/>
      <c r="AO81" s="47"/>
      <c r="AP81" s="47" t="s">
        <v>81</v>
      </c>
      <c r="AQ81" s="47" t="s">
        <v>68</v>
      </c>
      <c r="AR81" s="47"/>
    </row>
    <row r="82" spans="1:44" ht="21.75" hidden="1" customHeight="1" outlineLevel="1" thickBot="1">
      <c r="A82" s="50" t="s">
        <v>151</v>
      </c>
      <c r="B82" s="41"/>
      <c r="C82" s="41"/>
      <c r="D82" s="41">
        <v>61</v>
      </c>
      <c r="G82" s="185" t="str">
        <f>_xll.DBRA(Server&amp;$A$21,$A82,$H$18)</f>
        <v>Shareholders transactions: Decrease in ownership interest</v>
      </c>
      <c r="H82" s="186"/>
      <c r="I82" s="126" t="e">
        <f>_xll.DBRW($G$3,$H$15,$H$17,$H$13,$H$16,$H$14,I$2,$H$12,$A82)</f>
        <v>#VALUE!</v>
      </c>
      <c r="J82" s="127" t="e">
        <f>_xll.DBRW($G$3,$H$15,$H$17,$H$13,$H$16,$H$14,J$2,$H$12,$A82)</f>
        <v>#VALUE!</v>
      </c>
      <c r="K82" s="127" t="e">
        <f>_xll.DBRW($G$3,$H$15,$H$17,$H$13,$H$16,$H$14,K$2,$H$12,$A82)</f>
        <v>#VALUE!</v>
      </c>
      <c r="L82" s="127" t="e">
        <f>_xll.DBRW($G$3,$H$15,$H$17,$H$13,$H$16,$H$14,L$2,$H$12,$A82)</f>
        <v>#VALUE!</v>
      </c>
      <c r="M82" s="127" t="e">
        <f>_xll.DBRW($G$3,$H$15,$H$17,$H$13,$H$16,$H$14,M$2,$H$12,$A82)</f>
        <v>#VALUE!</v>
      </c>
      <c r="N82" s="127" t="e">
        <f>_xll.DBRW($G$3,$H$15,$H$17,$H$13,$H$16,$H$14,N$2,$H$12,$A82)</f>
        <v>#VALUE!</v>
      </c>
      <c r="O82" s="127" t="e">
        <f>_xll.DBRW($G$3,$H$15,$H$17,$H$13,$H$16,$H$14,O$2,$H$12,$A82)</f>
        <v>#VALUE!</v>
      </c>
      <c r="P82" s="128" t="e">
        <f>_xll.DBRW($G$3,$H$15,$H$17,$H$13,$H$16,$H$14,P$2,$H$12,$A82)</f>
        <v>#VALUE!</v>
      </c>
      <c r="Q82" s="131"/>
      <c r="R82" s="131"/>
      <c r="S82" s="126" t="e">
        <f>_xll.DBRW($G$3,$U$15,$H$17,$U$13,$U$16,$U$14,S$2,$U$12,$A82)</f>
        <v>#VALUE!</v>
      </c>
      <c r="T82" s="127" t="e">
        <f>_xll.DBRW($G$3,$U$15,$H$17,$U$13,$U$16,$U$14,T$2,$U$12,$A82)</f>
        <v>#VALUE!</v>
      </c>
      <c r="U82" s="127" t="e">
        <f>_xll.DBRW($G$3,$U$15,$H$17,$U$13,$U$16,$U$14,U$2,$U$12,$A82)</f>
        <v>#VALUE!</v>
      </c>
      <c r="V82" s="127" t="e">
        <f>_xll.DBRW($G$3,$U$15,$H$17,$U$13,$U$16,$U$14,V$2,$U$12,$A82)</f>
        <v>#VALUE!</v>
      </c>
      <c r="W82" s="127" t="e">
        <f>_xll.DBRW($G$3,$U$15,$H$17,$U$13,$U$16,$U$14,W$2,$U$12,$A82)</f>
        <v>#VALUE!</v>
      </c>
      <c r="X82" s="127" t="e">
        <f>_xll.DBRW($G$3,$U$15,$H$17,$U$13,$U$16,$U$14,X$2,$U$12,$A82)</f>
        <v>#VALUE!</v>
      </c>
      <c r="Y82" s="127" t="e">
        <f>_xll.DBRW($G$3,$U$15,$H$17,$U$13,$U$16,$U$14,Y$2,$U$12,$A82)</f>
        <v>#VALUE!</v>
      </c>
      <c r="Z82" s="128" t="e">
        <f>_xll.DBRW($G$3,$U$15,$H$17,$U$13,$U$16,$U$14,Z$2,$U$12,$A82)</f>
        <v>#VALUE!</v>
      </c>
      <c r="AA82" s="131"/>
      <c r="AB82" s="126" t="e">
        <f t="shared" si="28"/>
        <v>#VALUE!</v>
      </c>
      <c r="AC82" s="127" t="e">
        <f t="shared" si="29"/>
        <v>#VALUE!</v>
      </c>
      <c r="AD82" s="127" t="e">
        <f t="shared" si="30"/>
        <v>#VALUE!</v>
      </c>
      <c r="AE82" s="127" t="e">
        <f t="shared" si="31"/>
        <v>#VALUE!</v>
      </c>
      <c r="AF82" s="127" t="e">
        <f t="shared" si="32"/>
        <v>#VALUE!</v>
      </c>
      <c r="AG82" s="127" t="e">
        <f t="shared" si="33"/>
        <v>#VALUE!</v>
      </c>
      <c r="AH82" s="127" t="e">
        <f t="shared" si="34"/>
        <v>#VALUE!</v>
      </c>
      <c r="AI82" s="128" t="e">
        <f t="shared" si="35"/>
        <v>#VALUE!</v>
      </c>
      <c r="AJ82" s="43"/>
      <c r="AK82" s="47"/>
      <c r="AL82" s="47"/>
      <c r="AM82" s="47"/>
      <c r="AN82" s="47"/>
      <c r="AO82" s="47"/>
      <c r="AP82" s="47" t="s">
        <v>61</v>
      </c>
      <c r="AQ82" s="47" t="s">
        <v>69</v>
      </c>
      <c r="AR82" s="47"/>
    </row>
    <row r="83" spans="1:44" ht="21.75" customHeight="1" collapsed="1" thickBot="1">
      <c r="A83" s="50" t="s">
        <v>30</v>
      </c>
      <c r="B83" s="64"/>
      <c r="C83" s="41"/>
      <c r="D83" s="41">
        <v>62</v>
      </c>
      <c r="G83" s="184" t="str">
        <f>_xll.DBRA(Server&amp;$A$21,$A83,$H$18)</f>
        <v>NET CASH FLOW FROM FINANCING ACTIVITIES</v>
      </c>
      <c r="H83" s="184"/>
      <c r="I83" s="134" t="e">
        <f>_xll.DBRW($G$3,$H$15,$H$17,$H$13,$H$16,$H$14,I$2,$H$12,$A83)</f>
        <v>#VALUE!</v>
      </c>
      <c r="J83" s="134" t="e">
        <f>_xll.DBRW($G$3,$H$15,$H$17,$H$13,$H$16,$H$14,J$2,$H$12,$A83)</f>
        <v>#VALUE!</v>
      </c>
      <c r="K83" s="134" t="e">
        <f>_xll.DBRW($G$3,$H$15,$H$17,$H$13,$H$16,$H$14,K$2,$H$12,$A83)</f>
        <v>#VALUE!</v>
      </c>
      <c r="L83" s="134" t="e">
        <f>_xll.DBRW($G$3,$H$15,$H$17,$H$13,$H$16,$H$14,L$2,$H$12,$A83)</f>
        <v>#VALUE!</v>
      </c>
      <c r="M83" s="134" t="e">
        <f>_xll.DBRW($G$3,$H$15,$H$17,$H$13,$H$16,$H$14,M$2,$H$12,$A83)</f>
        <v>#VALUE!</v>
      </c>
      <c r="N83" s="134" t="e">
        <f>_xll.DBRW($G$3,$H$15,$H$17,$H$13,$H$16,$H$14,N$2,$H$12,$A83)</f>
        <v>#VALUE!</v>
      </c>
      <c r="O83" s="134" t="e">
        <f>_xll.DBRW($G$3,$H$15,$H$17,$H$13,$H$16,$H$14,O$2,$H$12,$A83)</f>
        <v>#VALUE!</v>
      </c>
      <c r="P83" s="134" t="e">
        <f>_xll.DBRW($G$3,$H$15,$H$17,$H$13,$H$16,$H$14,P$2,$H$12,$A83)</f>
        <v>#VALUE!</v>
      </c>
      <c r="Q83" s="131" t="e">
        <f>SUM(I83:P83)-SUM(I76:P82)</f>
        <v>#VALUE!</v>
      </c>
      <c r="R83" s="131"/>
      <c r="S83" s="134" t="e">
        <f>_xll.DBRW($G$3,$U$15,$H$17,$U$13,$U$16,$U$14,S$2,$U$12,$A83)</f>
        <v>#VALUE!</v>
      </c>
      <c r="T83" s="134" t="e">
        <f>_xll.DBRW($G$3,$U$15,$H$17,$U$13,$U$16,$U$14,T$2,$U$12,$A83)</f>
        <v>#VALUE!</v>
      </c>
      <c r="U83" s="134" t="e">
        <f>_xll.DBRW($G$3,$U$15,$H$17,$U$13,$U$16,$U$14,U$2,$U$12,$A83)</f>
        <v>#VALUE!</v>
      </c>
      <c r="V83" s="134" t="e">
        <f>_xll.DBRW($G$3,$U$15,$H$17,$U$13,$U$16,$U$14,V$2,$U$12,$A83)</f>
        <v>#VALUE!</v>
      </c>
      <c r="W83" s="134" t="e">
        <f>_xll.DBRW($G$3,$U$15,$H$17,$U$13,$U$16,$U$14,W$2,$U$12,$A83)</f>
        <v>#VALUE!</v>
      </c>
      <c r="X83" s="134" t="e">
        <f>_xll.DBRW($G$3,$U$15,$H$17,$U$13,$U$16,$U$14,X$2,$U$12,$A83)</f>
        <v>#VALUE!</v>
      </c>
      <c r="Y83" s="134" t="e">
        <f>_xll.DBRW($G$3,$U$15,$H$17,$U$13,$U$16,$U$14,Y$2,$U$12,$A83)</f>
        <v>#VALUE!</v>
      </c>
      <c r="Z83" s="134" t="e">
        <f>_xll.DBRW($G$3,$U$15,$H$17,$U$13,$U$16,$U$14,Z$2,$U$12,$A83)</f>
        <v>#VALUE!</v>
      </c>
      <c r="AA83" s="131" t="e">
        <f>SUM(S83:Z83)-SUM(S76:Z82)</f>
        <v>#VALUE!</v>
      </c>
      <c r="AB83" s="134" t="e">
        <f t="shared" si="28"/>
        <v>#VALUE!</v>
      </c>
      <c r="AC83" s="134" t="e">
        <f t="shared" si="29"/>
        <v>#VALUE!</v>
      </c>
      <c r="AD83" s="134" t="e">
        <f t="shared" si="30"/>
        <v>#VALUE!</v>
      </c>
      <c r="AE83" s="134" t="e">
        <f t="shared" si="31"/>
        <v>#VALUE!</v>
      </c>
      <c r="AF83" s="134" t="e">
        <f t="shared" si="32"/>
        <v>#VALUE!</v>
      </c>
      <c r="AG83" s="134" t="e">
        <f t="shared" si="33"/>
        <v>#VALUE!</v>
      </c>
      <c r="AH83" s="134" t="e">
        <f t="shared" si="34"/>
        <v>#VALUE!</v>
      </c>
      <c r="AI83" s="134" t="e">
        <f t="shared" si="35"/>
        <v>#VALUE!</v>
      </c>
      <c r="AJ83" s="43"/>
      <c r="AK83" s="47"/>
      <c r="AL83" s="47"/>
      <c r="AM83" s="47"/>
      <c r="AN83" s="47"/>
      <c r="AO83" s="47"/>
      <c r="AP83" s="47" t="s">
        <v>61</v>
      </c>
      <c r="AQ83" s="47" t="s">
        <v>69</v>
      </c>
      <c r="AR83" s="47"/>
    </row>
    <row r="84" spans="1:44" ht="21.75" customHeight="1" thickBot="1">
      <c r="A84" s="50" t="s">
        <v>51</v>
      </c>
      <c r="B84" s="64"/>
      <c r="C84" s="41"/>
      <c r="D84" s="41">
        <v>63</v>
      </c>
      <c r="G84" s="188" t="str">
        <f>_xll.DBRA(Server&amp;$A$21,$A84,$H$18)</f>
        <v>OTHER FLOWS (exchange rate, revaluation…)</v>
      </c>
      <c r="H84" s="189"/>
      <c r="I84" s="143" t="e">
        <f>_xll.DBRW($G$3,$H$15,$H$17,$H$13,$H$16,$H$14,I$2,$H$12,$A84)</f>
        <v>#VALUE!</v>
      </c>
      <c r="J84" s="144" t="e">
        <f>_xll.DBRW($G$3,$H$15,$H$17,$H$13,$H$16,$H$14,J$2,$H$12,$A84)</f>
        <v>#VALUE!</v>
      </c>
      <c r="K84" s="144" t="e">
        <f>_xll.DBRW($G$3,$H$15,$H$17,$H$13,$H$16,$H$14,K$2,$H$12,$A84)</f>
        <v>#VALUE!</v>
      </c>
      <c r="L84" s="144" t="e">
        <f>_xll.DBRW($G$3,$H$15,$H$17,$H$13,$H$16,$H$14,L$2,$H$12,$A84)</f>
        <v>#VALUE!</v>
      </c>
      <c r="M84" s="144" t="e">
        <f>_xll.DBRW($G$3,$H$15,$H$17,$H$13,$H$16,$H$14,M$2,$H$12,$A84)</f>
        <v>#VALUE!</v>
      </c>
      <c r="N84" s="144" t="e">
        <f>_xll.DBRW($G$3,$H$15,$H$17,$H$13,$H$16,$H$14,N$2,$H$12,$A84)</f>
        <v>#VALUE!</v>
      </c>
      <c r="O84" s="144" t="e">
        <f>_xll.DBRW($G$3,$H$15,$H$17,$H$13,$H$16,$H$14,O$2,$H$12,$A84)</f>
        <v>#VALUE!</v>
      </c>
      <c r="P84" s="145" t="e">
        <f>_xll.DBRW($G$3,$H$15,$H$17,$H$13,$H$16,$H$14,P$2,$H$12,$A84)</f>
        <v>#VALUE!</v>
      </c>
      <c r="Q84" s="131"/>
      <c r="R84" s="131"/>
      <c r="S84" s="143" t="e">
        <f>_xll.DBRW($G$3,$U$15,$H$17,$U$13,$U$16,$U$14,S$2,$U$12,$A84)</f>
        <v>#VALUE!</v>
      </c>
      <c r="T84" s="144" t="e">
        <f>_xll.DBRW($G$3,$U$15,$H$17,$U$13,$U$16,$U$14,T$2,$U$12,$A84)</f>
        <v>#VALUE!</v>
      </c>
      <c r="U84" s="144" t="e">
        <f>_xll.DBRW($G$3,$U$15,$H$17,$U$13,$U$16,$U$14,U$2,$U$12,$A84)</f>
        <v>#VALUE!</v>
      </c>
      <c r="V84" s="144" t="e">
        <f>_xll.DBRW($G$3,$U$15,$H$17,$U$13,$U$16,$U$14,V$2,$U$12,$A84)</f>
        <v>#VALUE!</v>
      </c>
      <c r="W84" s="144" t="e">
        <f>_xll.DBRW($G$3,$U$15,$H$17,$U$13,$U$16,$U$14,W$2,$U$12,$A84)</f>
        <v>#VALUE!</v>
      </c>
      <c r="X84" s="144" t="e">
        <f>_xll.DBRW($G$3,$U$15,$H$17,$U$13,$U$16,$U$14,X$2,$U$12,$A84)</f>
        <v>#VALUE!</v>
      </c>
      <c r="Y84" s="144" t="e">
        <f>_xll.DBRW($G$3,$U$15,$H$17,$U$13,$U$16,$U$14,Y$2,$U$12,$A84)</f>
        <v>#VALUE!</v>
      </c>
      <c r="Z84" s="145" t="e">
        <f>_xll.DBRW($G$3,$U$15,$H$17,$U$13,$U$16,$U$14,Z$2,$U$12,$A84)</f>
        <v>#VALUE!</v>
      </c>
      <c r="AA84" s="131"/>
      <c r="AB84" s="143" t="e">
        <f t="shared" si="28"/>
        <v>#VALUE!</v>
      </c>
      <c r="AC84" s="144" t="e">
        <f t="shared" si="29"/>
        <v>#VALUE!</v>
      </c>
      <c r="AD84" s="144" t="e">
        <f t="shared" si="30"/>
        <v>#VALUE!</v>
      </c>
      <c r="AE84" s="144" t="e">
        <f t="shared" si="31"/>
        <v>#VALUE!</v>
      </c>
      <c r="AF84" s="144" t="e">
        <f t="shared" si="32"/>
        <v>#VALUE!</v>
      </c>
      <c r="AG84" s="144" t="e">
        <f t="shared" si="33"/>
        <v>#VALUE!</v>
      </c>
      <c r="AH84" s="144" t="e">
        <f t="shared" si="34"/>
        <v>#VALUE!</v>
      </c>
      <c r="AI84" s="145" t="e">
        <f t="shared" si="35"/>
        <v>#VALUE!</v>
      </c>
      <c r="AJ84" s="43"/>
      <c r="AK84" s="47"/>
      <c r="AL84" s="52" t="s">
        <v>54</v>
      </c>
      <c r="AM84" s="47"/>
      <c r="AN84" s="47"/>
      <c r="AO84" s="47"/>
      <c r="AP84" s="53" t="s">
        <v>54</v>
      </c>
      <c r="AQ84" s="54" t="s">
        <v>60</v>
      </c>
      <c r="AR84" s="47"/>
    </row>
    <row r="85" spans="1:44" ht="21.75" customHeight="1" thickBot="1">
      <c r="A85" s="50" t="s">
        <v>31</v>
      </c>
      <c r="B85" s="64"/>
      <c r="C85" s="41"/>
      <c r="D85" s="41">
        <v>64</v>
      </c>
      <c r="G85" s="184" t="str">
        <f>_xll.DBRA(Server&amp;$A$21,$A85,$H$18)</f>
        <v>CHANGE IN NET FINANCIAL DEBT</v>
      </c>
      <c r="H85" s="184"/>
      <c r="I85" s="134" t="e">
        <f>_xll.DBRW($G$3,$H$15,$H$17,$H$13,$H$16,$H$14,I$2,$H$12,$A85)</f>
        <v>#VALUE!</v>
      </c>
      <c r="J85" s="134" t="e">
        <f>_xll.DBRW($G$3,$H$15,$H$17,$H$13,$H$16,$H$14,J$2,$H$12,$A85)</f>
        <v>#VALUE!</v>
      </c>
      <c r="K85" s="134" t="e">
        <f>_xll.DBRW($G$3,$H$15,$H$17,$H$13,$H$16,$H$14,K$2,$H$12,$A85)</f>
        <v>#VALUE!</v>
      </c>
      <c r="L85" s="134" t="e">
        <f>_xll.DBRW($G$3,$H$15,$H$17,$H$13,$H$16,$H$14,L$2,$H$12,$A85)</f>
        <v>#VALUE!</v>
      </c>
      <c r="M85" s="134" t="e">
        <f>_xll.DBRW($G$3,$H$15,$H$17,$H$13,$H$16,$H$14,M$2,$H$12,$A85)</f>
        <v>#VALUE!</v>
      </c>
      <c r="N85" s="134" t="e">
        <f>_xll.DBRW($G$3,$H$15,$H$17,$H$13,$H$16,$H$14,N$2,$H$12,$A85)</f>
        <v>#VALUE!</v>
      </c>
      <c r="O85" s="134" t="e">
        <f>_xll.DBRW($G$3,$H$15,$H$17,$H$13,$H$16,$H$14,O$2,$H$12,$A85)</f>
        <v>#VALUE!</v>
      </c>
      <c r="P85" s="134" t="e">
        <f>_xll.DBRW($G$3,$H$15,$H$17,$H$13,$H$16,$H$14,P$2,$H$12,$A85)</f>
        <v>#VALUE!</v>
      </c>
      <c r="Q85" s="131" t="e">
        <f>SUM(I85:P85)-SUM(I83:P84)-SUM(I75:P75)</f>
        <v>#VALUE!</v>
      </c>
      <c r="R85" s="131"/>
      <c r="S85" s="134" t="e">
        <f>_xll.DBRW($G$3,$U$15,$H$17,$U$13,$U$16,$U$14,S$2,$U$12,$A85)</f>
        <v>#VALUE!</v>
      </c>
      <c r="T85" s="134" t="e">
        <f>_xll.DBRW($G$3,$U$15,$H$17,$U$13,$U$16,$U$14,T$2,$U$12,$A85)</f>
        <v>#VALUE!</v>
      </c>
      <c r="U85" s="134" t="e">
        <f>_xll.DBRW($G$3,$U$15,$H$17,$U$13,$U$16,$U$14,U$2,$U$12,$A85)</f>
        <v>#VALUE!</v>
      </c>
      <c r="V85" s="134" t="e">
        <f>_xll.DBRW($G$3,$U$15,$H$17,$U$13,$U$16,$U$14,V$2,$U$12,$A85)</f>
        <v>#VALUE!</v>
      </c>
      <c r="W85" s="134" t="e">
        <f>_xll.DBRW($G$3,$U$15,$H$17,$U$13,$U$16,$U$14,W$2,$U$12,$A85)</f>
        <v>#VALUE!</v>
      </c>
      <c r="X85" s="134" t="e">
        <f>_xll.DBRW($G$3,$U$15,$H$17,$U$13,$U$16,$U$14,X$2,$U$12,$A85)</f>
        <v>#VALUE!</v>
      </c>
      <c r="Y85" s="134" t="e">
        <f>_xll.DBRW($G$3,$U$15,$H$17,$U$13,$U$16,$U$14,Y$2,$U$12,$A85)</f>
        <v>#VALUE!</v>
      </c>
      <c r="Z85" s="134" t="e">
        <f>_xll.DBRW($G$3,$U$15,$H$17,$U$13,$U$16,$U$14,Z$2,$U$12,$A85)</f>
        <v>#VALUE!</v>
      </c>
      <c r="AA85" s="131" t="e">
        <f>SUM(S85:Z85)-SUM(S83:Z84)-SUM(S75:Z75)</f>
        <v>#VALUE!</v>
      </c>
      <c r="AB85" s="134" t="e">
        <f t="shared" si="28"/>
        <v>#VALUE!</v>
      </c>
      <c r="AC85" s="134" t="e">
        <f t="shared" si="29"/>
        <v>#VALUE!</v>
      </c>
      <c r="AD85" s="134" t="e">
        <f t="shared" si="30"/>
        <v>#VALUE!</v>
      </c>
      <c r="AE85" s="134" t="e">
        <f t="shared" si="31"/>
        <v>#VALUE!</v>
      </c>
      <c r="AF85" s="134" t="e">
        <f t="shared" si="32"/>
        <v>#VALUE!</v>
      </c>
      <c r="AG85" s="134" t="e">
        <f t="shared" si="33"/>
        <v>#VALUE!</v>
      </c>
      <c r="AH85" s="134" t="e">
        <f t="shared" si="34"/>
        <v>#VALUE!</v>
      </c>
      <c r="AI85" s="134" t="e">
        <f t="shared" si="35"/>
        <v>#VALUE!</v>
      </c>
      <c r="AJ85" s="43"/>
      <c r="AK85" s="47"/>
      <c r="AL85" s="55" t="s">
        <v>55</v>
      </c>
      <c r="AM85" s="56" t="s">
        <v>111</v>
      </c>
      <c r="AN85" s="56" t="s">
        <v>112</v>
      </c>
      <c r="AO85" s="47"/>
      <c r="AP85" s="57" t="s">
        <v>55</v>
      </c>
      <c r="AQ85" s="58" t="s">
        <v>62</v>
      </c>
      <c r="AR85" s="47"/>
    </row>
    <row r="86" spans="1:44" ht="24.75" customHeight="1" thickBot="1">
      <c r="A86" s="41"/>
      <c r="B86" s="41"/>
      <c r="C86" s="41"/>
      <c r="D86" s="41">
        <v>65</v>
      </c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31"/>
      <c r="R86" s="131"/>
      <c r="S86" s="119"/>
      <c r="T86" s="119"/>
      <c r="U86" s="119"/>
      <c r="V86" s="119"/>
      <c r="W86" s="119"/>
      <c r="X86" s="119"/>
      <c r="Y86" s="119"/>
      <c r="Z86" s="119"/>
      <c r="AA86" s="131"/>
      <c r="AB86" s="119"/>
      <c r="AC86" s="119"/>
      <c r="AD86" s="119"/>
      <c r="AE86" s="119"/>
      <c r="AF86" s="119"/>
      <c r="AG86" s="119"/>
      <c r="AH86" s="119"/>
      <c r="AI86" s="119"/>
      <c r="AJ86" s="43"/>
      <c r="AK86" s="59"/>
      <c r="AL86" s="60" t="s">
        <v>113</v>
      </c>
      <c r="AM86" s="61" t="str">
        <f>_xll.DBRA(Server&amp;"LTP_Components",$AL92,$H$18)</f>
        <v>Total - Long Term Plan</v>
      </c>
      <c r="AN86" s="61" t="e">
        <f>_xll.DBR(Server&amp;"z_Client_Properties","LTP_Corp_Security",_xll.TM1USER(xServer))</f>
        <v>#VALUE!</v>
      </c>
      <c r="AO86" s="47"/>
      <c r="AP86" s="62" t="s">
        <v>56</v>
      </c>
      <c r="AQ86" s="62" t="s">
        <v>63</v>
      </c>
      <c r="AR86" s="47"/>
    </row>
    <row r="87" spans="1:44" s="119" customFormat="1" ht="27.75" customHeight="1" thickBot="1">
      <c r="A87" s="115"/>
      <c r="B87" s="115"/>
      <c r="C87" s="115"/>
      <c r="D87" s="115">
        <v>66</v>
      </c>
      <c r="E87" s="116"/>
      <c r="F87" s="117"/>
      <c r="G87" s="187" t="str">
        <f>_xll.DBRA(Server&amp;$AL$25,$AL$52,$H$18)</f>
        <v>III - BALANCE SHEET</v>
      </c>
      <c r="H87" s="187"/>
      <c r="I87" s="121" t="e">
        <f>I$21</f>
        <v>#VALUE!</v>
      </c>
      <c r="J87" s="121" t="e">
        <f t="shared" ref="J87:P87" si="38">J$21</f>
        <v>#VALUE!</v>
      </c>
      <c r="K87" s="121" t="e">
        <f t="shared" si="38"/>
        <v>#VALUE!</v>
      </c>
      <c r="L87" s="121" t="e">
        <f t="shared" si="38"/>
        <v>#VALUE!</v>
      </c>
      <c r="M87" s="121" t="e">
        <f t="shared" si="38"/>
        <v>#VALUE!</v>
      </c>
      <c r="N87" s="121" t="e">
        <f t="shared" si="38"/>
        <v>#VALUE!</v>
      </c>
      <c r="O87" s="121" t="e">
        <f t="shared" si="38"/>
        <v>#VALUE!</v>
      </c>
      <c r="P87" s="121" t="e">
        <f t="shared" si="38"/>
        <v>#VALUE!</v>
      </c>
      <c r="Q87" s="131"/>
      <c r="R87" s="131"/>
      <c r="S87" s="121" t="e">
        <f>S$21</f>
        <v>#VALUE!</v>
      </c>
      <c r="T87" s="121" t="e">
        <f t="shared" ref="T87:Z87" si="39">T$21</f>
        <v>#VALUE!</v>
      </c>
      <c r="U87" s="121" t="e">
        <f t="shared" si="39"/>
        <v>#VALUE!</v>
      </c>
      <c r="V87" s="121" t="e">
        <f t="shared" si="39"/>
        <v>#VALUE!</v>
      </c>
      <c r="W87" s="121" t="e">
        <f t="shared" si="39"/>
        <v>#VALUE!</v>
      </c>
      <c r="X87" s="121" t="e">
        <f t="shared" si="39"/>
        <v>#VALUE!</v>
      </c>
      <c r="Y87" s="121" t="e">
        <f t="shared" si="39"/>
        <v>#VALUE!</v>
      </c>
      <c r="Z87" s="121" t="e">
        <f t="shared" si="39"/>
        <v>#VALUE!</v>
      </c>
      <c r="AA87" s="131"/>
      <c r="AB87" s="121" t="e">
        <f>I87</f>
        <v>#VALUE!</v>
      </c>
      <c r="AC87" s="121" t="e">
        <f t="shared" ref="AC87:AI87" si="40">J87</f>
        <v>#VALUE!</v>
      </c>
      <c r="AD87" s="121" t="e">
        <f t="shared" si="40"/>
        <v>#VALUE!</v>
      </c>
      <c r="AE87" s="121" t="e">
        <f t="shared" si="40"/>
        <v>#VALUE!</v>
      </c>
      <c r="AF87" s="121" t="e">
        <f t="shared" si="40"/>
        <v>#VALUE!</v>
      </c>
      <c r="AG87" s="121" t="e">
        <f t="shared" si="40"/>
        <v>#VALUE!</v>
      </c>
      <c r="AH87" s="121" t="e">
        <f t="shared" si="40"/>
        <v>#VALUE!</v>
      </c>
      <c r="AI87" s="121" t="e">
        <f t="shared" si="40"/>
        <v>#VALUE!</v>
      </c>
      <c r="AK87" s="164"/>
      <c r="AL87" s="165" t="s">
        <v>113</v>
      </c>
      <c r="AM87" s="166" t="str">
        <f>_xll.DBRA(Server&amp;"LTP_Components",$AL93,$H$18)</f>
        <v>Long Term Plan - Country</v>
      </c>
      <c r="AN87" s="166" t="e">
        <f>_xll.DBR(Server&amp;"z_Client_Properties","LTP_Corp_Security",_xll.TM1USER(xServer))</f>
        <v>#VALUE!</v>
      </c>
      <c r="AO87" s="161"/>
      <c r="AP87" s="167" t="s">
        <v>56</v>
      </c>
      <c r="AQ87" s="167" t="s">
        <v>63</v>
      </c>
      <c r="AR87" s="161"/>
    </row>
    <row r="88" spans="1:44" ht="3.75" customHeight="1" thickBot="1">
      <c r="B88" s="41"/>
      <c r="C88" s="41"/>
      <c r="D88" s="41">
        <v>67</v>
      </c>
      <c r="G88" s="123"/>
      <c r="H88" s="124"/>
      <c r="I88" s="125"/>
      <c r="J88" s="125"/>
      <c r="K88" s="125"/>
      <c r="L88" s="125"/>
      <c r="M88" s="125"/>
      <c r="N88" s="125"/>
      <c r="O88" s="125"/>
      <c r="P88" s="125"/>
      <c r="Q88" s="131"/>
      <c r="R88" s="131"/>
      <c r="S88" s="125"/>
      <c r="T88" s="125"/>
      <c r="U88" s="125"/>
      <c r="V88" s="125"/>
      <c r="W88" s="125"/>
      <c r="X88" s="125"/>
      <c r="Y88" s="125"/>
      <c r="Z88" s="125"/>
      <c r="AA88" s="131"/>
      <c r="AB88" s="125"/>
      <c r="AC88" s="125"/>
      <c r="AD88" s="125"/>
      <c r="AE88" s="125"/>
      <c r="AF88" s="125"/>
      <c r="AG88" s="125"/>
      <c r="AH88" s="125"/>
      <c r="AI88" s="125"/>
      <c r="AJ88" s="43"/>
      <c r="AK88" s="59"/>
      <c r="AL88" s="60" t="s">
        <v>113</v>
      </c>
      <c r="AM88" s="61" t="e">
        <f>_xll.DBRA(Server&amp;"LTP_Components",$AL94,$H$18)</f>
        <v>#VALUE!</v>
      </c>
      <c r="AN88" s="61" t="e">
        <f>_xll.DBR(Server&amp;"z_Client_Properties","LTP_Corp_Security",_xll.TM1USER(xServer))</f>
        <v>#VALUE!</v>
      </c>
      <c r="AO88" s="47"/>
      <c r="AP88" s="62" t="s">
        <v>56</v>
      </c>
      <c r="AQ88" s="62" t="s">
        <v>63</v>
      </c>
      <c r="AR88" s="47"/>
    </row>
    <row r="89" spans="1:44" ht="21.75" customHeight="1">
      <c r="A89" s="50" t="s">
        <v>131</v>
      </c>
      <c r="B89" s="41"/>
      <c r="C89" s="41"/>
      <c r="D89" s="41">
        <v>68</v>
      </c>
      <c r="G89" s="185" t="str">
        <f>_xll.DBRA(Server&amp;$A$21,$A89,$H$18)</f>
        <v>Goodwill &amp; Tangible &amp; intangible assets &amp; ROU + net WC on investments</v>
      </c>
      <c r="H89" s="186"/>
      <c r="I89" s="126" t="e">
        <f>_xll.DBRW($G$3,$H$15,$H$17,$H$13,$H$16,$H$14,I$2,$H$12,$A89)</f>
        <v>#VALUE!</v>
      </c>
      <c r="J89" s="127" t="e">
        <f>_xll.DBRW($G$3,$H$15,$H$17,$H$13,$H$16,$H$14,J$2,$H$12,$A89)</f>
        <v>#VALUE!</v>
      </c>
      <c r="K89" s="127" t="e">
        <f>_xll.DBRW($G$3,$H$15,$H$17,$H$13,$H$16,$H$14,K$2,$H$12,$A89)</f>
        <v>#VALUE!</v>
      </c>
      <c r="L89" s="127" t="e">
        <f>_xll.DBRW($G$3,$H$15,$H$17,$H$13,$H$16,$H$14,L$2,$H$12,$A89)</f>
        <v>#VALUE!</v>
      </c>
      <c r="M89" s="127" t="e">
        <f>_xll.DBRW($G$3,$H$15,$H$17,$H$13,$H$16,$H$14,M$2,$H$12,$A89)</f>
        <v>#VALUE!</v>
      </c>
      <c r="N89" s="127" t="e">
        <f>_xll.DBRW($G$3,$H$15,$H$17,$H$13,$H$16,$H$14,N$2,$H$12,$A89)</f>
        <v>#VALUE!</v>
      </c>
      <c r="O89" s="127" t="e">
        <f>_xll.DBRW($G$3,$H$15,$H$17,$H$13,$H$16,$H$14,O$2,$H$12,$A89)</f>
        <v>#VALUE!</v>
      </c>
      <c r="P89" s="128" t="e">
        <f>_xll.DBRW($G$3,$H$15,$H$17,$H$13,$H$16,$H$14,P$2,$H$12,$A89)</f>
        <v>#VALUE!</v>
      </c>
      <c r="Q89" s="131"/>
      <c r="R89" s="131"/>
      <c r="S89" s="126" t="e">
        <f>_xll.DBRW($G$3,$U$15,$H$17,$U$13,$U$16,$U$14,S$2,$U$12,$A89)</f>
        <v>#VALUE!</v>
      </c>
      <c r="T89" s="127" t="e">
        <f>_xll.DBRW($G$3,$U$15,$H$17,$U$13,$U$16,$U$14,T$2,$U$12,$A89)</f>
        <v>#VALUE!</v>
      </c>
      <c r="U89" s="127" t="e">
        <f>_xll.DBRW($G$3,$U$15,$H$17,$U$13,$U$16,$U$14,U$2,$U$12,$A89)</f>
        <v>#VALUE!</v>
      </c>
      <c r="V89" s="127" t="e">
        <f>_xll.DBRW($G$3,$U$15,$H$17,$U$13,$U$16,$U$14,V$2,$U$12,$A89)</f>
        <v>#VALUE!</v>
      </c>
      <c r="W89" s="127" t="e">
        <f>_xll.DBRW($G$3,$U$15,$H$17,$U$13,$U$16,$U$14,W$2,$U$12,$A89)</f>
        <v>#VALUE!</v>
      </c>
      <c r="X89" s="127" t="e">
        <f>_xll.DBRW($G$3,$U$15,$H$17,$U$13,$U$16,$U$14,X$2,$U$12,$A89)</f>
        <v>#VALUE!</v>
      </c>
      <c r="Y89" s="127" t="e">
        <f>_xll.DBRW($G$3,$U$15,$H$17,$U$13,$U$16,$U$14,Y$2,$U$12,$A89)</f>
        <v>#VALUE!</v>
      </c>
      <c r="Z89" s="128" t="e">
        <f>_xll.DBRW($G$3,$U$15,$H$17,$U$13,$U$16,$U$14,Z$2,$U$12,$A89)</f>
        <v>#VALUE!</v>
      </c>
      <c r="AA89" s="131"/>
      <c r="AB89" s="140" t="e">
        <f t="shared" ref="AB89:AB106" si="41">U89-I89</f>
        <v>#VALUE!</v>
      </c>
      <c r="AC89" s="141" t="e">
        <f t="shared" ref="AC89:AC106" si="42">V89-J89</f>
        <v>#VALUE!</v>
      </c>
      <c r="AD89" s="141" t="e">
        <f t="shared" ref="AD89:AD106" si="43">W89-K89</f>
        <v>#VALUE!</v>
      </c>
      <c r="AE89" s="141" t="e">
        <f t="shared" ref="AE89:AE106" si="44">X89-L89</f>
        <v>#VALUE!</v>
      </c>
      <c r="AF89" s="141" t="e">
        <f t="shared" ref="AF89:AF106" si="45">Y89-M89</f>
        <v>#VALUE!</v>
      </c>
      <c r="AG89" s="141" t="e">
        <f t="shared" ref="AG89:AG106" si="46">Z89-N89</f>
        <v>#VALUE!</v>
      </c>
      <c r="AH89" s="141" t="e">
        <f t="shared" ref="AH89:AH106" si="47">AA89-O89</f>
        <v>#VALUE!</v>
      </c>
      <c r="AI89" s="142" t="e">
        <f t="shared" ref="AI89:AI106" si="48">AB89-P89</f>
        <v>#VALUE!</v>
      </c>
      <c r="AJ89" s="43"/>
      <c r="AK89" s="59"/>
      <c r="AL89" s="60" t="s">
        <v>53</v>
      </c>
      <c r="AM89" s="63" t="str">
        <f>_xll.DBRA(Server&amp;"LTP_Components",$AL93,$H$18)</f>
        <v>Long Term Plan - Country</v>
      </c>
      <c r="AN89" s="61" t="e">
        <f>IF($AN$28 = "1",$AM$28,$AM$29)</f>
        <v>#VALUE!</v>
      </c>
      <c r="AO89" s="47"/>
      <c r="AP89" s="62" t="s">
        <v>57</v>
      </c>
      <c r="AQ89" s="62" t="s">
        <v>64</v>
      </c>
      <c r="AR89" s="47"/>
    </row>
    <row r="90" spans="1:44" ht="21.75" customHeight="1">
      <c r="A90" s="50" t="s">
        <v>32</v>
      </c>
      <c r="B90" s="41"/>
      <c r="C90" s="41"/>
      <c r="D90" s="41">
        <v>69</v>
      </c>
      <c r="G90" s="185" t="str">
        <f>_xll.DBRA(Server&amp;$A$21,$A90,$H$18)</f>
        <v>Investments in associates</v>
      </c>
      <c r="H90" s="186"/>
      <c r="I90" s="126" t="e">
        <f>_xll.DBRW($G$3,$H$15,$H$17,$H$13,$H$16,$H$14,I$2,$H$12,$A90)</f>
        <v>#VALUE!</v>
      </c>
      <c r="J90" s="127" t="e">
        <f>_xll.DBRW($G$3,$H$15,$H$17,$H$13,$H$16,$H$14,J$2,$H$12,$A90)</f>
        <v>#VALUE!</v>
      </c>
      <c r="K90" s="127" t="e">
        <f>_xll.DBRW($G$3,$H$15,$H$17,$H$13,$H$16,$H$14,K$2,$H$12,$A90)</f>
        <v>#VALUE!</v>
      </c>
      <c r="L90" s="127" t="e">
        <f>_xll.DBRW($G$3,$H$15,$H$17,$H$13,$H$16,$H$14,L$2,$H$12,$A90)</f>
        <v>#VALUE!</v>
      </c>
      <c r="M90" s="127" t="e">
        <f>_xll.DBRW($G$3,$H$15,$H$17,$H$13,$H$16,$H$14,M$2,$H$12,$A90)</f>
        <v>#VALUE!</v>
      </c>
      <c r="N90" s="127" t="e">
        <f>_xll.DBRW($G$3,$H$15,$H$17,$H$13,$H$16,$H$14,N$2,$H$12,$A90)</f>
        <v>#VALUE!</v>
      </c>
      <c r="O90" s="127" t="e">
        <f>_xll.DBRW($G$3,$H$15,$H$17,$H$13,$H$16,$H$14,O$2,$H$12,$A90)</f>
        <v>#VALUE!</v>
      </c>
      <c r="P90" s="128" t="e">
        <f>_xll.DBRW($G$3,$H$15,$H$17,$H$13,$H$16,$H$14,P$2,$H$12,$A90)</f>
        <v>#VALUE!</v>
      </c>
      <c r="Q90" s="131"/>
      <c r="R90" s="131"/>
      <c r="S90" s="126" t="e">
        <f>_xll.DBRW($G$3,$U$15,$H$17,$U$13,$U$16,$U$14,S$2,$U$12,$A90)</f>
        <v>#VALUE!</v>
      </c>
      <c r="T90" s="127" t="e">
        <f>_xll.DBRW($G$3,$U$15,$H$17,$U$13,$U$16,$U$14,T$2,$U$12,$A90)</f>
        <v>#VALUE!</v>
      </c>
      <c r="U90" s="127" t="e">
        <f>_xll.DBRW($G$3,$U$15,$H$17,$U$13,$U$16,$U$14,U$2,$U$12,$A90)</f>
        <v>#VALUE!</v>
      </c>
      <c r="V90" s="127" t="e">
        <f>_xll.DBRW($G$3,$U$15,$H$17,$U$13,$U$16,$U$14,V$2,$U$12,$A90)</f>
        <v>#VALUE!</v>
      </c>
      <c r="W90" s="127" t="e">
        <f>_xll.DBRW($G$3,$U$15,$H$17,$U$13,$U$16,$U$14,W$2,$U$12,$A90)</f>
        <v>#VALUE!</v>
      </c>
      <c r="X90" s="127" t="e">
        <f>_xll.DBRW($G$3,$U$15,$H$17,$U$13,$U$16,$U$14,X$2,$U$12,$A90)</f>
        <v>#VALUE!</v>
      </c>
      <c r="Y90" s="127" t="e">
        <f>_xll.DBRW($G$3,$U$15,$H$17,$U$13,$U$16,$U$14,Y$2,$U$12,$A90)</f>
        <v>#VALUE!</v>
      </c>
      <c r="Z90" s="128" t="e">
        <f>_xll.DBRW($G$3,$U$15,$H$17,$U$13,$U$16,$U$14,Z$2,$U$12,$A90)</f>
        <v>#VALUE!</v>
      </c>
      <c r="AA90" s="131"/>
      <c r="AB90" s="126" t="e">
        <f t="shared" si="41"/>
        <v>#VALUE!</v>
      </c>
      <c r="AC90" s="127" t="e">
        <f t="shared" si="42"/>
        <v>#VALUE!</v>
      </c>
      <c r="AD90" s="127" t="e">
        <f t="shared" si="43"/>
        <v>#VALUE!</v>
      </c>
      <c r="AE90" s="127" t="e">
        <f t="shared" si="44"/>
        <v>#VALUE!</v>
      </c>
      <c r="AF90" s="127" t="e">
        <f t="shared" si="45"/>
        <v>#VALUE!</v>
      </c>
      <c r="AG90" s="127" t="e">
        <f t="shared" si="46"/>
        <v>#VALUE!</v>
      </c>
      <c r="AH90" s="127" t="e">
        <f t="shared" si="47"/>
        <v>#VALUE!</v>
      </c>
      <c r="AI90" s="128" t="e">
        <f t="shared" si="48"/>
        <v>#VALUE!</v>
      </c>
      <c r="AJ90" s="43"/>
      <c r="AK90" s="47"/>
      <c r="AL90" s="49" t="s">
        <v>45</v>
      </c>
      <c r="AM90" s="47"/>
      <c r="AN90" s="47"/>
      <c r="AO90" s="47"/>
      <c r="AP90" s="62" t="s">
        <v>77</v>
      </c>
      <c r="AQ90" s="62" t="s">
        <v>67</v>
      </c>
      <c r="AR90" s="47"/>
    </row>
    <row r="91" spans="1:44" ht="21.75" customHeight="1">
      <c r="A91" s="50" t="s">
        <v>33</v>
      </c>
      <c r="B91" s="41"/>
      <c r="C91" s="41"/>
      <c r="D91" s="41">
        <v>70</v>
      </c>
      <c r="G91" s="185" t="str">
        <f>_xll.DBRA(Server&amp;$A$21,$A91,$H$18)</f>
        <v>Net WC on income tax (payable &amp; differed)</v>
      </c>
      <c r="H91" s="186"/>
      <c r="I91" s="126" t="e">
        <f>_xll.DBRW($G$3,$H$15,$H$17,$H$13,$H$16,$H$14,I$2,$H$12,$A91)</f>
        <v>#VALUE!</v>
      </c>
      <c r="J91" s="127" t="e">
        <f>_xll.DBRW($G$3,$H$15,$H$17,$H$13,$H$16,$H$14,J$2,$H$12,$A91)</f>
        <v>#VALUE!</v>
      </c>
      <c r="K91" s="127" t="e">
        <f>_xll.DBRW($G$3,$H$15,$H$17,$H$13,$H$16,$H$14,K$2,$H$12,$A91)</f>
        <v>#VALUE!</v>
      </c>
      <c r="L91" s="127" t="e">
        <f>_xll.DBRW($G$3,$H$15,$H$17,$H$13,$H$16,$H$14,L$2,$H$12,$A91)</f>
        <v>#VALUE!</v>
      </c>
      <c r="M91" s="127" t="e">
        <f>_xll.DBRW($G$3,$H$15,$H$17,$H$13,$H$16,$H$14,M$2,$H$12,$A91)</f>
        <v>#VALUE!</v>
      </c>
      <c r="N91" s="127" t="e">
        <f>_xll.DBRW($G$3,$H$15,$H$17,$H$13,$H$16,$H$14,N$2,$H$12,$A91)</f>
        <v>#VALUE!</v>
      </c>
      <c r="O91" s="127" t="e">
        <f>_xll.DBRW($G$3,$H$15,$H$17,$H$13,$H$16,$H$14,O$2,$H$12,$A91)</f>
        <v>#VALUE!</v>
      </c>
      <c r="P91" s="128" t="e">
        <f>_xll.DBRW($G$3,$H$15,$H$17,$H$13,$H$16,$H$14,P$2,$H$12,$A91)</f>
        <v>#VALUE!</v>
      </c>
      <c r="Q91" s="131"/>
      <c r="R91" s="131"/>
      <c r="S91" s="126" t="e">
        <f>_xll.DBRW($G$3,$U$15,$H$17,$U$13,$U$16,$U$14,S$2,$U$12,$A91)</f>
        <v>#VALUE!</v>
      </c>
      <c r="T91" s="127" t="e">
        <f>_xll.DBRW($G$3,$U$15,$H$17,$U$13,$U$16,$U$14,T$2,$U$12,$A91)</f>
        <v>#VALUE!</v>
      </c>
      <c r="U91" s="127" t="e">
        <f>_xll.DBRW($G$3,$U$15,$H$17,$U$13,$U$16,$U$14,U$2,$U$12,$A91)</f>
        <v>#VALUE!</v>
      </c>
      <c r="V91" s="127" t="e">
        <f>_xll.DBRW($G$3,$U$15,$H$17,$U$13,$U$16,$U$14,V$2,$U$12,$A91)</f>
        <v>#VALUE!</v>
      </c>
      <c r="W91" s="127" t="e">
        <f>_xll.DBRW($G$3,$U$15,$H$17,$U$13,$U$16,$U$14,W$2,$U$12,$A91)</f>
        <v>#VALUE!</v>
      </c>
      <c r="X91" s="127" t="e">
        <f>_xll.DBRW($G$3,$U$15,$H$17,$U$13,$U$16,$U$14,X$2,$U$12,$A91)</f>
        <v>#VALUE!</v>
      </c>
      <c r="Y91" s="127" t="e">
        <f>_xll.DBRW($G$3,$U$15,$H$17,$U$13,$U$16,$U$14,Y$2,$U$12,$A91)</f>
        <v>#VALUE!</v>
      </c>
      <c r="Z91" s="128" t="e">
        <f>_xll.DBRW($G$3,$U$15,$H$17,$U$13,$U$16,$U$14,Z$2,$U$12,$A91)</f>
        <v>#VALUE!</v>
      </c>
      <c r="AA91" s="131"/>
      <c r="AB91" s="126" t="e">
        <f t="shared" si="41"/>
        <v>#VALUE!</v>
      </c>
      <c r="AC91" s="127" t="e">
        <f t="shared" si="42"/>
        <v>#VALUE!</v>
      </c>
      <c r="AD91" s="127" t="e">
        <f t="shared" si="43"/>
        <v>#VALUE!</v>
      </c>
      <c r="AE91" s="127" t="e">
        <f t="shared" si="44"/>
        <v>#VALUE!</v>
      </c>
      <c r="AF91" s="127" t="e">
        <f t="shared" si="45"/>
        <v>#VALUE!</v>
      </c>
      <c r="AG91" s="127" t="e">
        <f t="shared" si="46"/>
        <v>#VALUE!</v>
      </c>
      <c r="AH91" s="127" t="e">
        <f t="shared" si="47"/>
        <v>#VALUE!</v>
      </c>
      <c r="AI91" s="128" t="e">
        <f t="shared" si="48"/>
        <v>#VALUE!</v>
      </c>
      <c r="AK91" s="47"/>
      <c r="AL91" s="49" t="s">
        <v>85</v>
      </c>
      <c r="AM91" s="47"/>
      <c r="AN91" s="47"/>
      <c r="AO91" s="47"/>
      <c r="AP91" s="67"/>
      <c r="AQ91" s="67"/>
      <c r="AR91" s="47"/>
    </row>
    <row r="92" spans="1:44" ht="21.75" customHeight="1">
      <c r="A92" s="50" t="s">
        <v>34</v>
      </c>
      <c r="B92" s="41"/>
      <c r="C92" s="41"/>
      <c r="D92" s="41">
        <v>71</v>
      </c>
      <c r="G92" s="185" t="str">
        <f>_xll.DBRA(Server&amp;$A$21,$A92,$H$18)</f>
        <v>Net operating WC</v>
      </c>
      <c r="H92" s="186"/>
      <c r="I92" s="126" t="e">
        <f>_xll.DBRW($G$3,$H$15,$H$17,$H$13,$H$16,$H$14,I$2,$H$12,$A92)</f>
        <v>#VALUE!</v>
      </c>
      <c r="J92" s="127" t="e">
        <f>_xll.DBRW($G$3,$H$15,$H$17,$H$13,$H$16,$H$14,J$2,$H$12,$A92)</f>
        <v>#VALUE!</v>
      </c>
      <c r="K92" s="127" t="e">
        <f>_xll.DBRW($G$3,$H$15,$H$17,$H$13,$H$16,$H$14,K$2,$H$12,$A92)</f>
        <v>#VALUE!</v>
      </c>
      <c r="L92" s="127" t="e">
        <f>_xll.DBRW($G$3,$H$15,$H$17,$H$13,$H$16,$H$14,L$2,$H$12,$A92)</f>
        <v>#VALUE!</v>
      </c>
      <c r="M92" s="127" t="e">
        <f>_xll.DBRW($G$3,$H$15,$H$17,$H$13,$H$16,$H$14,M$2,$H$12,$A92)</f>
        <v>#VALUE!</v>
      </c>
      <c r="N92" s="127" t="e">
        <f>_xll.DBRW($G$3,$H$15,$H$17,$H$13,$H$16,$H$14,N$2,$H$12,$A92)</f>
        <v>#VALUE!</v>
      </c>
      <c r="O92" s="127" t="e">
        <f>_xll.DBRW($G$3,$H$15,$H$17,$H$13,$H$16,$H$14,O$2,$H$12,$A92)</f>
        <v>#VALUE!</v>
      </c>
      <c r="P92" s="128" t="e">
        <f>_xll.DBRW($G$3,$H$15,$H$17,$H$13,$H$16,$H$14,P$2,$H$12,$A92)</f>
        <v>#VALUE!</v>
      </c>
      <c r="Q92" s="131"/>
      <c r="R92" s="131"/>
      <c r="S92" s="126" t="e">
        <f>_xll.DBRW($G$3,$U$15,$H$17,$U$13,$U$16,$U$14,S$2,$U$12,$A92)</f>
        <v>#VALUE!</v>
      </c>
      <c r="T92" s="127" t="e">
        <f>_xll.DBRW($G$3,$U$15,$H$17,$U$13,$U$16,$U$14,T$2,$U$12,$A92)</f>
        <v>#VALUE!</v>
      </c>
      <c r="U92" s="127" t="e">
        <f>_xll.DBRW($G$3,$U$15,$H$17,$U$13,$U$16,$U$14,U$2,$U$12,$A92)</f>
        <v>#VALUE!</v>
      </c>
      <c r="V92" s="127" t="e">
        <f>_xll.DBRW($G$3,$U$15,$H$17,$U$13,$U$16,$U$14,V$2,$U$12,$A92)</f>
        <v>#VALUE!</v>
      </c>
      <c r="W92" s="127" t="e">
        <f>_xll.DBRW($G$3,$U$15,$H$17,$U$13,$U$16,$U$14,W$2,$U$12,$A92)</f>
        <v>#VALUE!</v>
      </c>
      <c r="X92" s="127" t="e">
        <f>_xll.DBRW($G$3,$U$15,$H$17,$U$13,$U$16,$U$14,X$2,$U$12,$A92)</f>
        <v>#VALUE!</v>
      </c>
      <c r="Y92" s="127" t="e">
        <f>_xll.DBRW($G$3,$U$15,$H$17,$U$13,$U$16,$U$14,Y$2,$U$12,$A92)</f>
        <v>#VALUE!</v>
      </c>
      <c r="Z92" s="128" t="e">
        <f>_xll.DBRW($G$3,$U$15,$H$17,$U$13,$U$16,$U$14,Z$2,$U$12,$A92)</f>
        <v>#VALUE!</v>
      </c>
      <c r="AA92" s="131"/>
      <c r="AB92" s="126" t="e">
        <f t="shared" si="41"/>
        <v>#VALUE!</v>
      </c>
      <c r="AC92" s="127" t="e">
        <f t="shared" si="42"/>
        <v>#VALUE!</v>
      </c>
      <c r="AD92" s="127" t="e">
        <f t="shared" si="43"/>
        <v>#VALUE!</v>
      </c>
      <c r="AE92" s="127" t="e">
        <f t="shared" si="44"/>
        <v>#VALUE!</v>
      </c>
      <c r="AF92" s="127" t="e">
        <f t="shared" si="45"/>
        <v>#VALUE!</v>
      </c>
      <c r="AG92" s="127" t="e">
        <f t="shared" si="46"/>
        <v>#VALUE!</v>
      </c>
      <c r="AH92" s="127" t="e">
        <f t="shared" si="47"/>
        <v>#VALUE!</v>
      </c>
      <c r="AI92" s="128" t="e">
        <f t="shared" si="48"/>
        <v>#VALUE!</v>
      </c>
      <c r="AJ92" s="43"/>
      <c r="AK92" s="47"/>
      <c r="AL92" s="49" t="s">
        <v>120</v>
      </c>
      <c r="AM92" s="47"/>
      <c r="AN92" s="47"/>
      <c r="AO92" s="47"/>
      <c r="AP92" s="62" t="s">
        <v>46</v>
      </c>
      <c r="AQ92" s="67" t="s">
        <v>80</v>
      </c>
      <c r="AR92" s="47"/>
    </row>
    <row r="93" spans="1:44" ht="21.75" customHeight="1" thickBot="1">
      <c r="A93" s="50" t="s">
        <v>35</v>
      </c>
      <c r="B93" s="41"/>
      <c r="C93" s="41"/>
      <c r="D93" s="41">
        <v>72</v>
      </c>
      <c r="G93" s="185" t="str">
        <f>_xll.DBRA(Server&amp;$A$21,$A93,$H$18)</f>
        <v>Reserves and allowances</v>
      </c>
      <c r="H93" s="186"/>
      <c r="I93" s="126" t="e">
        <f>_xll.DBRW($G$3,$H$15,$H$17,$H$13,$H$16,$H$14,I$2,$H$12,$A93)</f>
        <v>#VALUE!</v>
      </c>
      <c r="J93" s="127" t="e">
        <f>_xll.DBRW($G$3,$H$15,$H$17,$H$13,$H$16,$H$14,J$2,$H$12,$A93)</f>
        <v>#VALUE!</v>
      </c>
      <c r="K93" s="127" t="e">
        <f>_xll.DBRW($G$3,$H$15,$H$17,$H$13,$H$16,$H$14,K$2,$H$12,$A93)</f>
        <v>#VALUE!</v>
      </c>
      <c r="L93" s="127" t="e">
        <f>_xll.DBRW($G$3,$H$15,$H$17,$H$13,$H$16,$H$14,L$2,$H$12,$A93)</f>
        <v>#VALUE!</v>
      </c>
      <c r="M93" s="127" t="e">
        <f>_xll.DBRW($G$3,$H$15,$H$17,$H$13,$H$16,$H$14,M$2,$H$12,$A93)</f>
        <v>#VALUE!</v>
      </c>
      <c r="N93" s="127" t="e">
        <f>_xll.DBRW($G$3,$H$15,$H$17,$H$13,$H$16,$H$14,N$2,$H$12,$A93)</f>
        <v>#VALUE!</v>
      </c>
      <c r="O93" s="127" t="e">
        <f>_xll.DBRW($G$3,$H$15,$H$17,$H$13,$H$16,$H$14,O$2,$H$12,$A93)</f>
        <v>#VALUE!</v>
      </c>
      <c r="P93" s="128" t="e">
        <f>_xll.DBRW($G$3,$H$15,$H$17,$H$13,$H$16,$H$14,P$2,$H$12,$A93)</f>
        <v>#VALUE!</v>
      </c>
      <c r="Q93" s="131"/>
      <c r="R93" s="131"/>
      <c r="S93" s="126" t="e">
        <f>_xll.DBRW($G$3,$U$15,$H$17,$U$13,$U$16,$U$14,S$2,$U$12,$A93)</f>
        <v>#VALUE!</v>
      </c>
      <c r="T93" s="127" t="e">
        <f>_xll.DBRW($G$3,$U$15,$H$17,$U$13,$U$16,$U$14,T$2,$U$12,$A93)</f>
        <v>#VALUE!</v>
      </c>
      <c r="U93" s="127" t="e">
        <f>_xll.DBRW($G$3,$U$15,$H$17,$U$13,$U$16,$U$14,U$2,$U$12,$A93)</f>
        <v>#VALUE!</v>
      </c>
      <c r="V93" s="127" t="e">
        <f>_xll.DBRW($G$3,$U$15,$H$17,$U$13,$U$16,$U$14,V$2,$U$12,$A93)</f>
        <v>#VALUE!</v>
      </c>
      <c r="W93" s="127" t="e">
        <f>_xll.DBRW($G$3,$U$15,$H$17,$U$13,$U$16,$U$14,W$2,$U$12,$A93)</f>
        <v>#VALUE!</v>
      </c>
      <c r="X93" s="127" t="e">
        <f>_xll.DBRW($G$3,$U$15,$H$17,$U$13,$U$16,$U$14,X$2,$U$12,$A93)</f>
        <v>#VALUE!</v>
      </c>
      <c r="Y93" s="127" t="e">
        <f>_xll.DBRW($G$3,$U$15,$H$17,$U$13,$U$16,$U$14,Y$2,$U$12,$A93)</f>
        <v>#VALUE!</v>
      </c>
      <c r="Z93" s="128" t="e">
        <f>_xll.DBRW($G$3,$U$15,$H$17,$U$13,$U$16,$U$14,Z$2,$U$12,$A93)</f>
        <v>#VALUE!</v>
      </c>
      <c r="AA93" s="131"/>
      <c r="AB93" s="126" t="e">
        <f t="shared" si="41"/>
        <v>#VALUE!</v>
      </c>
      <c r="AC93" s="127" t="e">
        <f t="shared" si="42"/>
        <v>#VALUE!</v>
      </c>
      <c r="AD93" s="127" t="e">
        <f t="shared" si="43"/>
        <v>#VALUE!</v>
      </c>
      <c r="AE93" s="127" t="e">
        <f t="shared" si="44"/>
        <v>#VALUE!</v>
      </c>
      <c r="AF93" s="127" t="e">
        <f t="shared" si="45"/>
        <v>#VALUE!</v>
      </c>
      <c r="AG93" s="127" t="e">
        <f t="shared" si="46"/>
        <v>#VALUE!</v>
      </c>
      <c r="AH93" s="127" t="e">
        <f t="shared" si="47"/>
        <v>#VALUE!</v>
      </c>
      <c r="AI93" s="128" t="e">
        <f t="shared" si="48"/>
        <v>#VALUE!</v>
      </c>
      <c r="AJ93" s="43"/>
      <c r="AK93" s="47"/>
      <c r="AL93" s="49" t="s">
        <v>121</v>
      </c>
      <c r="AM93" s="47"/>
      <c r="AN93" s="47"/>
      <c r="AO93" s="47"/>
      <c r="AP93" s="47" t="s">
        <v>44</v>
      </c>
      <c r="AQ93" s="47"/>
      <c r="AR93" s="47"/>
    </row>
    <row r="94" spans="1:44" ht="20.25" customHeight="1" thickBot="1">
      <c r="A94" s="50" t="s">
        <v>138</v>
      </c>
      <c r="B94" s="64"/>
      <c r="C94" s="41"/>
      <c r="D94" s="41">
        <v>73</v>
      </c>
      <c r="G94" s="184" t="str">
        <f>_xll.DBRA(Server&amp;$A$21,$A94,$H$18)</f>
        <v>CAPITAL EMPLOYED</v>
      </c>
      <c r="H94" s="184"/>
      <c r="I94" s="134" t="e">
        <f>_xll.DBRW($G$3,$H$15,$H$17,$H$13,$H$16,$H$14,I$2,$H$12,$A94)</f>
        <v>#VALUE!</v>
      </c>
      <c r="J94" s="134" t="e">
        <f>_xll.DBRW($G$3,$H$15,$H$17,$H$13,$H$16,$H$14,J$2,$H$12,$A94)</f>
        <v>#VALUE!</v>
      </c>
      <c r="K94" s="134" t="e">
        <f>_xll.DBRW($G$3,$H$15,$H$17,$H$13,$H$16,$H$14,K$2,$H$12,$A94)</f>
        <v>#VALUE!</v>
      </c>
      <c r="L94" s="134" t="e">
        <f>_xll.DBRW($G$3,$H$15,$H$17,$H$13,$H$16,$H$14,L$2,$H$12,$A94)</f>
        <v>#VALUE!</v>
      </c>
      <c r="M94" s="134" t="e">
        <f>_xll.DBRW($G$3,$H$15,$H$17,$H$13,$H$16,$H$14,M$2,$H$12,$A94)</f>
        <v>#VALUE!</v>
      </c>
      <c r="N94" s="134" t="e">
        <f>_xll.DBRW($G$3,$H$15,$H$17,$H$13,$H$16,$H$14,N$2,$H$12,$A94)</f>
        <v>#VALUE!</v>
      </c>
      <c r="O94" s="134" t="e">
        <f>_xll.DBRW($G$3,$H$15,$H$17,$H$13,$H$16,$H$14,O$2,$H$12,$A94)</f>
        <v>#VALUE!</v>
      </c>
      <c r="P94" s="134" t="e">
        <f>_xll.DBRW($G$3,$H$15,$H$17,$H$13,$H$16,$H$14,P$2,$H$12,$A94)</f>
        <v>#VALUE!</v>
      </c>
      <c r="Q94" s="131" t="e">
        <f>SUM(I94:P94)-SUM(I89:P93)</f>
        <v>#VALUE!</v>
      </c>
      <c r="R94" s="131"/>
      <c r="S94" s="134" t="e">
        <f>_xll.DBRW($G$3,$U$15,$H$17,$U$13,$U$16,$U$14,S$2,$U$12,$A94)</f>
        <v>#VALUE!</v>
      </c>
      <c r="T94" s="134" t="e">
        <f>_xll.DBRW($G$3,$U$15,$H$17,$U$13,$U$16,$U$14,T$2,$U$12,$A94)</f>
        <v>#VALUE!</v>
      </c>
      <c r="U94" s="134" t="e">
        <f>_xll.DBRW($G$3,$U$15,$H$17,$U$13,$U$16,$U$14,U$2,$U$12,$A94)</f>
        <v>#VALUE!</v>
      </c>
      <c r="V94" s="134" t="e">
        <f>_xll.DBRW($G$3,$U$15,$H$17,$U$13,$U$16,$U$14,V$2,$U$12,$A94)</f>
        <v>#VALUE!</v>
      </c>
      <c r="W94" s="134" t="e">
        <f>_xll.DBRW($G$3,$U$15,$H$17,$U$13,$U$16,$U$14,W$2,$U$12,$A94)</f>
        <v>#VALUE!</v>
      </c>
      <c r="X94" s="134" t="e">
        <f>_xll.DBRW($G$3,$U$15,$H$17,$U$13,$U$16,$U$14,X$2,$U$12,$A94)</f>
        <v>#VALUE!</v>
      </c>
      <c r="Y94" s="134" t="e">
        <f>_xll.DBRW($G$3,$U$15,$H$17,$U$13,$U$16,$U$14,Y$2,$U$12,$A94)</f>
        <v>#VALUE!</v>
      </c>
      <c r="Z94" s="134" t="e">
        <f>_xll.DBRW($G$3,$U$15,$H$17,$U$13,$U$16,$U$14,Z$2,$U$12,$A94)</f>
        <v>#VALUE!</v>
      </c>
      <c r="AA94" s="131" t="e">
        <f>SUM(S94:Z94)-SUM(S89:Z93)</f>
        <v>#VALUE!</v>
      </c>
      <c r="AB94" s="134" t="e">
        <f t="shared" si="41"/>
        <v>#VALUE!</v>
      </c>
      <c r="AC94" s="134" t="e">
        <f t="shared" si="42"/>
        <v>#VALUE!</v>
      </c>
      <c r="AD94" s="134" t="e">
        <f t="shared" si="43"/>
        <v>#VALUE!</v>
      </c>
      <c r="AE94" s="134" t="e">
        <f t="shared" si="44"/>
        <v>#VALUE!</v>
      </c>
      <c r="AF94" s="134" t="e">
        <f t="shared" si="45"/>
        <v>#VALUE!</v>
      </c>
      <c r="AG94" s="134" t="e">
        <f t="shared" si="46"/>
        <v>#VALUE!</v>
      </c>
      <c r="AH94" s="134" t="e">
        <f t="shared" si="47"/>
        <v>#VALUE!</v>
      </c>
      <c r="AI94" s="134" t="e">
        <f t="shared" si="48"/>
        <v>#VALUE!</v>
      </c>
      <c r="AJ94" s="43"/>
      <c r="AK94" s="47"/>
      <c r="AL94" s="49"/>
      <c r="AM94" s="47"/>
      <c r="AN94" s="47"/>
      <c r="AO94" s="47"/>
      <c r="AP94" s="47"/>
      <c r="AQ94" s="47"/>
      <c r="AR94" s="47"/>
    </row>
    <row r="95" spans="1:44" ht="19.5" customHeight="1" thickBot="1">
      <c r="A95" s="50" t="s">
        <v>36</v>
      </c>
      <c r="B95" s="64"/>
      <c r="C95" s="41"/>
      <c r="D95" s="41">
        <v>74</v>
      </c>
      <c r="G95" s="185" t="str">
        <f>_xll.DBRA(Server&amp;$A$21,$A95,$H$18)</f>
        <v>Operating financial asset (Net)</v>
      </c>
      <c r="H95" s="186"/>
      <c r="I95" s="126" t="e">
        <f>_xll.DBRW($G$3,$H$15,$H$17,$H$13,$H$16,$H$14,I$2,$H$12,$A95)</f>
        <v>#VALUE!</v>
      </c>
      <c r="J95" s="127" t="e">
        <f>_xll.DBRW($G$3,$H$15,$H$17,$H$13,$H$16,$H$14,J$2,$H$12,$A95)</f>
        <v>#VALUE!</v>
      </c>
      <c r="K95" s="127" t="e">
        <f>_xll.DBRW($G$3,$H$15,$H$17,$H$13,$H$16,$H$14,K$2,$H$12,$A95)</f>
        <v>#VALUE!</v>
      </c>
      <c r="L95" s="127" t="e">
        <f>_xll.DBRW($G$3,$H$15,$H$17,$H$13,$H$16,$H$14,L$2,$H$12,$A95)</f>
        <v>#VALUE!</v>
      </c>
      <c r="M95" s="127" t="e">
        <f>_xll.DBRW($G$3,$H$15,$H$17,$H$13,$H$16,$H$14,M$2,$H$12,$A95)</f>
        <v>#VALUE!</v>
      </c>
      <c r="N95" s="127" t="e">
        <f>_xll.DBRW($G$3,$H$15,$H$17,$H$13,$H$16,$H$14,N$2,$H$12,$A95)</f>
        <v>#VALUE!</v>
      </c>
      <c r="O95" s="127" t="e">
        <f>_xll.DBRW($G$3,$H$15,$H$17,$H$13,$H$16,$H$14,O$2,$H$12,$A95)</f>
        <v>#VALUE!</v>
      </c>
      <c r="P95" s="128" t="e">
        <f>_xll.DBRW($G$3,$H$15,$H$17,$H$13,$H$16,$H$14,P$2,$H$12,$A95)</f>
        <v>#VALUE!</v>
      </c>
      <c r="Q95" s="131"/>
      <c r="R95" s="131"/>
      <c r="S95" s="126" t="e">
        <f>_xll.DBRW($G$3,$U$15,$H$17,$U$13,$U$16,$U$14,S$2,$U$12,$A95)</f>
        <v>#VALUE!</v>
      </c>
      <c r="T95" s="127" t="e">
        <f>_xll.DBRW($G$3,$U$15,$H$17,$U$13,$U$16,$U$14,T$2,$U$12,$A95)</f>
        <v>#VALUE!</v>
      </c>
      <c r="U95" s="127" t="e">
        <f>_xll.DBRW($G$3,$U$15,$H$17,$U$13,$U$16,$U$14,U$2,$U$12,$A95)</f>
        <v>#VALUE!</v>
      </c>
      <c r="V95" s="127" t="e">
        <f>_xll.DBRW($G$3,$U$15,$H$17,$U$13,$U$16,$U$14,V$2,$U$12,$A95)</f>
        <v>#VALUE!</v>
      </c>
      <c r="W95" s="127" t="e">
        <f>_xll.DBRW($G$3,$U$15,$H$17,$U$13,$U$16,$U$14,W$2,$U$12,$A95)</f>
        <v>#VALUE!</v>
      </c>
      <c r="X95" s="127" t="e">
        <f>_xll.DBRW($G$3,$U$15,$H$17,$U$13,$U$16,$U$14,X$2,$U$12,$A95)</f>
        <v>#VALUE!</v>
      </c>
      <c r="Y95" s="127" t="e">
        <f>_xll.DBRW($G$3,$U$15,$H$17,$U$13,$U$16,$U$14,Y$2,$U$12,$A95)</f>
        <v>#VALUE!</v>
      </c>
      <c r="Z95" s="128" t="e">
        <f>_xll.DBRW($G$3,$U$15,$H$17,$U$13,$U$16,$U$14,Z$2,$U$12,$A95)</f>
        <v>#VALUE!</v>
      </c>
      <c r="AA95" s="131"/>
      <c r="AB95" s="126" t="e">
        <f t="shared" si="41"/>
        <v>#VALUE!</v>
      </c>
      <c r="AC95" s="127" t="e">
        <f t="shared" si="42"/>
        <v>#VALUE!</v>
      </c>
      <c r="AD95" s="127" t="e">
        <f t="shared" si="43"/>
        <v>#VALUE!</v>
      </c>
      <c r="AE95" s="127" t="e">
        <f t="shared" si="44"/>
        <v>#VALUE!</v>
      </c>
      <c r="AF95" s="127" t="e">
        <f t="shared" si="45"/>
        <v>#VALUE!</v>
      </c>
      <c r="AG95" s="127" t="e">
        <f t="shared" si="46"/>
        <v>#VALUE!</v>
      </c>
      <c r="AH95" s="127" t="e">
        <f t="shared" si="47"/>
        <v>#VALUE!</v>
      </c>
      <c r="AI95" s="128" t="e">
        <f t="shared" si="48"/>
        <v>#VALUE!</v>
      </c>
      <c r="AJ95" s="43"/>
      <c r="AK95" s="47"/>
      <c r="AL95" s="49" t="s">
        <v>82</v>
      </c>
      <c r="AM95" s="47"/>
      <c r="AN95" s="47"/>
      <c r="AO95" s="47"/>
      <c r="AP95" s="67"/>
      <c r="AQ95" s="67"/>
      <c r="AR95" s="47"/>
    </row>
    <row r="96" spans="1:44" ht="21.75" customHeight="1" thickBot="1">
      <c r="A96" s="50" t="s">
        <v>127</v>
      </c>
      <c r="B96" s="64"/>
      <c r="C96" s="41"/>
      <c r="D96" s="41">
        <v>75</v>
      </c>
      <c r="G96" s="184" t="str">
        <f>_xll.DBRA(Server&amp;$A$21,$A96,$H$18)</f>
        <v>CAPITAL EMPLOYED incl IFRIC12</v>
      </c>
      <c r="H96" s="184"/>
      <c r="I96" s="134" t="e">
        <f>_xll.DBRW($G$3,$H$15,$H$17,$H$13,$H$16,$H$14,I$2,$H$12,$A96)</f>
        <v>#VALUE!</v>
      </c>
      <c r="J96" s="134" t="e">
        <f>_xll.DBRW($G$3,$H$15,$H$17,$H$13,$H$16,$H$14,J$2,$H$12,$A96)</f>
        <v>#VALUE!</v>
      </c>
      <c r="K96" s="134" t="e">
        <f>_xll.DBRW($G$3,$H$15,$H$17,$H$13,$H$16,$H$14,K$2,$H$12,$A96)</f>
        <v>#VALUE!</v>
      </c>
      <c r="L96" s="134" t="e">
        <f>_xll.DBRW($G$3,$H$15,$H$17,$H$13,$H$16,$H$14,L$2,$H$12,$A96)</f>
        <v>#VALUE!</v>
      </c>
      <c r="M96" s="134" t="e">
        <f>_xll.DBRW($G$3,$H$15,$H$17,$H$13,$H$16,$H$14,M$2,$H$12,$A96)</f>
        <v>#VALUE!</v>
      </c>
      <c r="N96" s="134" t="e">
        <f>_xll.DBRW($G$3,$H$15,$H$17,$H$13,$H$16,$H$14,N$2,$H$12,$A96)</f>
        <v>#VALUE!</v>
      </c>
      <c r="O96" s="134" t="e">
        <f>_xll.DBRW($G$3,$H$15,$H$17,$H$13,$H$16,$H$14,O$2,$H$12,$A96)</f>
        <v>#VALUE!</v>
      </c>
      <c r="P96" s="134" t="e">
        <f>_xll.DBRW($G$3,$H$15,$H$17,$H$13,$H$16,$H$14,P$2,$H$12,$A96)</f>
        <v>#VALUE!</v>
      </c>
      <c r="Q96" s="146" t="e">
        <f>SUM(I96:P96)-SUM(I94:P95)</f>
        <v>#VALUE!</v>
      </c>
      <c r="R96" s="146"/>
      <c r="S96" s="134" t="e">
        <f>_xll.DBRW($G$3,$U$15,$H$17,$U$13,$U$16,$U$14,S$2,$U$12,$A96)</f>
        <v>#VALUE!</v>
      </c>
      <c r="T96" s="134" t="e">
        <f>_xll.DBRW($G$3,$U$15,$H$17,$U$13,$U$16,$U$14,T$2,$U$12,$A96)</f>
        <v>#VALUE!</v>
      </c>
      <c r="U96" s="134" t="e">
        <f>_xll.DBRW($G$3,$U$15,$H$17,$U$13,$U$16,$U$14,U$2,$U$12,$A96)</f>
        <v>#VALUE!</v>
      </c>
      <c r="V96" s="134" t="e">
        <f>_xll.DBRW($G$3,$U$15,$H$17,$U$13,$U$16,$U$14,V$2,$U$12,$A96)</f>
        <v>#VALUE!</v>
      </c>
      <c r="W96" s="134" t="e">
        <f>_xll.DBRW($G$3,$U$15,$H$17,$U$13,$U$16,$U$14,W$2,$U$12,$A96)</f>
        <v>#VALUE!</v>
      </c>
      <c r="X96" s="134" t="e">
        <f>_xll.DBRW($G$3,$U$15,$H$17,$U$13,$U$16,$U$14,X$2,$U$12,$A96)</f>
        <v>#VALUE!</v>
      </c>
      <c r="Y96" s="134" t="e">
        <f>_xll.DBRW($G$3,$U$15,$H$17,$U$13,$U$16,$U$14,Y$2,$U$12,$A96)</f>
        <v>#VALUE!</v>
      </c>
      <c r="Z96" s="134" t="e">
        <f>_xll.DBRW($G$3,$U$15,$H$17,$U$13,$U$16,$U$14,Z$2,$U$12,$A96)</f>
        <v>#VALUE!</v>
      </c>
      <c r="AA96" s="146" t="e">
        <f>SUM(S96:Z96)-SUM(S94:Z95)</f>
        <v>#VALUE!</v>
      </c>
      <c r="AB96" s="134" t="e">
        <f t="shared" si="41"/>
        <v>#VALUE!</v>
      </c>
      <c r="AC96" s="134" t="e">
        <f t="shared" si="42"/>
        <v>#VALUE!</v>
      </c>
      <c r="AD96" s="134" t="e">
        <f t="shared" si="43"/>
        <v>#VALUE!</v>
      </c>
      <c r="AE96" s="134" t="e">
        <f t="shared" si="44"/>
        <v>#VALUE!</v>
      </c>
      <c r="AF96" s="134" t="e">
        <f t="shared" si="45"/>
        <v>#VALUE!</v>
      </c>
      <c r="AG96" s="134" t="e">
        <f t="shared" si="46"/>
        <v>#VALUE!</v>
      </c>
      <c r="AH96" s="134" t="e">
        <f t="shared" si="47"/>
        <v>#VALUE!</v>
      </c>
      <c r="AI96" s="134" t="e">
        <f t="shared" si="48"/>
        <v>#VALUE!</v>
      </c>
      <c r="AJ96" s="43"/>
      <c r="AK96" s="47"/>
      <c r="AL96" s="49"/>
      <c r="AM96" s="47"/>
      <c r="AN96" s="47"/>
      <c r="AO96" s="47"/>
      <c r="AP96" s="67" t="s">
        <v>82</v>
      </c>
      <c r="AQ96" s="47"/>
      <c r="AR96" s="47"/>
    </row>
    <row r="97" spans="1:44" ht="21.75" customHeight="1" thickBot="1">
      <c r="A97" s="50" t="s">
        <v>128</v>
      </c>
      <c r="B97" s="41"/>
      <c r="C97" s="41"/>
      <c r="D97" s="41">
        <v>76</v>
      </c>
      <c r="G97" s="184" t="str">
        <f>_xll.DBRA(Server&amp;$A$21,$A97,$H$18)</f>
        <v>NET FINANCIAL DEBT (NFD)</v>
      </c>
      <c r="H97" s="184"/>
      <c r="I97" s="134" t="e">
        <f>_xll.DBRW($G$3,$H$15,$H$17,$H$13,$H$16,$H$14,I$2,$H$12,$A97)</f>
        <v>#VALUE!</v>
      </c>
      <c r="J97" s="134" t="e">
        <f>_xll.DBRW($G$3,$H$15,$H$17,$H$13,$H$16,$H$14,J$2,$H$12,$A97)</f>
        <v>#VALUE!</v>
      </c>
      <c r="K97" s="134" t="e">
        <f>_xll.DBRW($G$3,$H$15,$H$17,$H$13,$H$16,$H$14,K$2,$H$12,$A97)</f>
        <v>#VALUE!</v>
      </c>
      <c r="L97" s="134" t="e">
        <f>_xll.DBRW($G$3,$H$15,$H$17,$H$13,$H$16,$H$14,L$2,$H$12,$A97)</f>
        <v>#VALUE!</v>
      </c>
      <c r="M97" s="134" t="e">
        <f>_xll.DBRW($G$3,$H$15,$H$17,$H$13,$H$16,$H$14,M$2,$H$12,$A97)</f>
        <v>#VALUE!</v>
      </c>
      <c r="N97" s="134" t="e">
        <f>_xll.DBRW($G$3,$H$15,$H$17,$H$13,$H$16,$H$14,N$2,$H$12,$A97)</f>
        <v>#VALUE!</v>
      </c>
      <c r="O97" s="134" t="e">
        <f>_xll.DBRW($G$3,$H$15,$H$17,$H$13,$H$16,$H$14,O$2,$H$12,$A97)</f>
        <v>#VALUE!</v>
      </c>
      <c r="P97" s="134" t="e">
        <f>_xll.DBRW($G$3,$H$15,$H$17,$H$13,$H$16,$H$14,P$2,$H$12,$A97)</f>
        <v>#VALUE!</v>
      </c>
      <c r="Q97" s="131"/>
      <c r="R97" s="131"/>
      <c r="S97" s="134" t="e">
        <f>_xll.DBRW($G$3,$U$15,$H$17,$U$13,$U$16,$U$14,S$2,$U$12,$A97)</f>
        <v>#VALUE!</v>
      </c>
      <c r="T97" s="134" t="e">
        <f>_xll.DBRW($G$3,$U$15,$H$17,$U$13,$U$16,$U$14,T$2,$U$12,$A97)</f>
        <v>#VALUE!</v>
      </c>
      <c r="U97" s="134" t="e">
        <f>_xll.DBRW($G$3,$U$15,$H$17,$U$13,$U$16,$U$14,U$2,$U$12,$A97)</f>
        <v>#VALUE!</v>
      </c>
      <c r="V97" s="134" t="e">
        <f>_xll.DBRW($G$3,$U$15,$H$17,$U$13,$U$16,$U$14,V$2,$U$12,$A97)</f>
        <v>#VALUE!</v>
      </c>
      <c r="W97" s="134" t="e">
        <f>_xll.DBRW($G$3,$U$15,$H$17,$U$13,$U$16,$U$14,W$2,$U$12,$A97)</f>
        <v>#VALUE!</v>
      </c>
      <c r="X97" s="134" t="e">
        <f>_xll.DBRW($G$3,$U$15,$H$17,$U$13,$U$16,$U$14,X$2,$U$12,$A97)</f>
        <v>#VALUE!</v>
      </c>
      <c r="Y97" s="134" t="e">
        <f>_xll.DBRW($G$3,$U$15,$H$17,$U$13,$U$16,$U$14,Y$2,$U$12,$A97)</f>
        <v>#VALUE!</v>
      </c>
      <c r="Z97" s="134" t="e">
        <f>_xll.DBRW($G$3,$U$15,$H$17,$U$13,$U$16,$U$14,Z$2,$U$12,$A97)</f>
        <v>#VALUE!</v>
      </c>
      <c r="AA97" s="131"/>
      <c r="AB97" s="134" t="e">
        <f t="shared" si="41"/>
        <v>#VALUE!</v>
      </c>
      <c r="AC97" s="134" t="e">
        <f t="shared" si="42"/>
        <v>#VALUE!</v>
      </c>
      <c r="AD97" s="134" t="e">
        <f t="shared" si="43"/>
        <v>#VALUE!</v>
      </c>
      <c r="AE97" s="134" t="e">
        <f t="shared" si="44"/>
        <v>#VALUE!</v>
      </c>
      <c r="AF97" s="134" t="e">
        <f t="shared" si="45"/>
        <v>#VALUE!</v>
      </c>
      <c r="AG97" s="134" t="e">
        <f t="shared" si="46"/>
        <v>#VALUE!</v>
      </c>
      <c r="AH97" s="134" t="e">
        <f t="shared" si="47"/>
        <v>#VALUE!</v>
      </c>
      <c r="AI97" s="134" t="e">
        <f t="shared" si="48"/>
        <v>#VALUE!</v>
      </c>
      <c r="AJ97" s="43"/>
      <c r="AK97" s="47"/>
      <c r="AL97" s="49" t="s">
        <v>62</v>
      </c>
      <c r="AM97" s="43"/>
      <c r="AN97" s="47"/>
      <c r="AO97" s="47"/>
      <c r="AP97" s="47"/>
      <c r="AQ97" s="47"/>
      <c r="AR97" s="47"/>
    </row>
    <row r="98" spans="1:44" ht="21.75" customHeight="1" thickBot="1">
      <c r="A98" s="50" t="s">
        <v>37</v>
      </c>
      <c r="B98" s="41"/>
      <c r="C98" s="41"/>
      <c r="D98" s="41">
        <v>77</v>
      </c>
      <c r="G98" s="185" t="str">
        <f>_xll.DBRA(Server&amp;$A$21,$A98,$H$18)</f>
        <v>Other financial assets</v>
      </c>
      <c r="H98" s="186"/>
      <c r="I98" s="126" t="e">
        <f>_xll.DBRW($G$3,$H$15,$H$17,$H$13,$H$16,$H$14,I$2,$H$12,$A98)</f>
        <v>#VALUE!</v>
      </c>
      <c r="J98" s="127" t="e">
        <f>_xll.DBRW($G$3,$H$15,$H$17,$H$13,$H$16,$H$14,J$2,$H$12,$A98)</f>
        <v>#VALUE!</v>
      </c>
      <c r="K98" s="127" t="e">
        <f>_xll.DBRW($G$3,$H$15,$H$17,$H$13,$H$16,$H$14,K$2,$H$12,$A98)</f>
        <v>#VALUE!</v>
      </c>
      <c r="L98" s="127" t="e">
        <f>_xll.DBRW($G$3,$H$15,$H$17,$H$13,$H$16,$H$14,L$2,$H$12,$A98)</f>
        <v>#VALUE!</v>
      </c>
      <c r="M98" s="127" t="e">
        <f>_xll.DBRW($G$3,$H$15,$H$17,$H$13,$H$16,$H$14,M$2,$H$12,$A98)</f>
        <v>#VALUE!</v>
      </c>
      <c r="N98" s="127" t="e">
        <f>_xll.DBRW($G$3,$H$15,$H$17,$H$13,$H$16,$H$14,N$2,$H$12,$A98)</f>
        <v>#VALUE!</v>
      </c>
      <c r="O98" s="127" t="e">
        <f>_xll.DBRW($G$3,$H$15,$H$17,$H$13,$H$16,$H$14,O$2,$H$12,$A98)</f>
        <v>#VALUE!</v>
      </c>
      <c r="P98" s="128" t="e">
        <f>_xll.DBRW($G$3,$H$15,$H$17,$H$13,$H$16,$H$14,P$2,$H$12,$A98)</f>
        <v>#VALUE!</v>
      </c>
      <c r="Q98" s="131"/>
      <c r="R98" s="131"/>
      <c r="S98" s="126" t="e">
        <f>_xll.DBRW($G$3,$U$15,$H$17,$U$13,$U$16,$U$14,S$2,$U$12,$A98)</f>
        <v>#VALUE!</v>
      </c>
      <c r="T98" s="127" t="e">
        <f>_xll.DBRW($G$3,$U$15,$H$17,$U$13,$U$16,$U$14,T$2,$U$12,$A98)</f>
        <v>#VALUE!</v>
      </c>
      <c r="U98" s="127" t="e">
        <f>_xll.DBRW($G$3,$U$15,$H$17,$U$13,$U$16,$U$14,U$2,$U$12,$A98)</f>
        <v>#VALUE!</v>
      </c>
      <c r="V98" s="127" t="e">
        <f>_xll.DBRW($G$3,$U$15,$H$17,$U$13,$U$16,$U$14,V$2,$U$12,$A98)</f>
        <v>#VALUE!</v>
      </c>
      <c r="W98" s="127" t="e">
        <f>_xll.DBRW($G$3,$U$15,$H$17,$U$13,$U$16,$U$14,W$2,$U$12,$A98)</f>
        <v>#VALUE!</v>
      </c>
      <c r="X98" s="127" t="e">
        <f>_xll.DBRW($G$3,$U$15,$H$17,$U$13,$U$16,$U$14,X$2,$U$12,$A98)</f>
        <v>#VALUE!</v>
      </c>
      <c r="Y98" s="127" t="e">
        <f>_xll.DBRW($G$3,$U$15,$H$17,$U$13,$U$16,$U$14,Y$2,$U$12,$A98)</f>
        <v>#VALUE!</v>
      </c>
      <c r="Z98" s="128" t="e">
        <f>_xll.DBRW($G$3,$U$15,$H$17,$U$13,$U$16,$U$14,Z$2,$U$12,$A98)</f>
        <v>#VALUE!</v>
      </c>
      <c r="AA98" s="131"/>
      <c r="AB98" s="126" t="e">
        <f t="shared" si="41"/>
        <v>#VALUE!</v>
      </c>
      <c r="AC98" s="127" t="e">
        <f t="shared" si="42"/>
        <v>#VALUE!</v>
      </c>
      <c r="AD98" s="127" t="e">
        <f t="shared" si="43"/>
        <v>#VALUE!</v>
      </c>
      <c r="AE98" s="127" t="e">
        <f t="shared" si="44"/>
        <v>#VALUE!</v>
      </c>
      <c r="AF98" s="127" t="e">
        <f t="shared" si="45"/>
        <v>#VALUE!</v>
      </c>
      <c r="AG98" s="127" t="e">
        <f t="shared" si="46"/>
        <v>#VALUE!</v>
      </c>
      <c r="AH98" s="127" t="e">
        <f t="shared" si="47"/>
        <v>#VALUE!</v>
      </c>
      <c r="AI98" s="128" t="e">
        <f t="shared" si="48"/>
        <v>#VALUE!</v>
      </c>
      <c r="AJ98" s="43"/>
      <c r="AK98" s="47"/>
      <c r="AL98" s="49" t="s">
        <v>62</v>
      </c>
      <c r="AM98" s="43"/>
      <c r="AN98" s="47"/>
      <c r="AO98" s="47"/>
      <c r="AP98" s="47"/>
      <c r="AQ98" s="47"/>
      <c r="AR98" s="47"/>
    </row>
    <row r="99" spans="1:44" ht="21.75" customHeight="1" thickBot="1">
      <c r="A99" s="50" t="s">
        <v>38</v>
      </c>
      <c r="B99" s="64"/>
      <c r="C99" s="41"/>
      <c r="D99" s="41">
        <v>78</v>
      </c>
      <c r="G99" s="184" t="str">
        <f>_xll.DBRA(Server&amp;$A$21,$A99,$H$18)</f>
        <v>NET ECONOMICAL DEBT</v>
      </c>
      <c r="H99" s="184"/>
      <c r="I99" s="134" t="e">
        <f>_xll.DBRW($G$3,$H$15,$H$17,$H$13,$H$16,$H$14,I$2,$H$12,$A99)</f>
        <v>#VALUE!</v>
      </c>
      <c r="J99" s="134" t="e">
        <f>_xll.DBRW($G$3,$H$15,$H$17,$H$13,$H$16,$H$14,J$2,$H$12,$A99)</f>
        <v>#VALUE!</v>
      </c>
      <c r="K99" s="134" t="e">
        <f>_xll.DBRW($G$3,$H$15,$H$17,$H$13,$H$16,$H$14,K$2,$H$12,$A99)</f>
        <v>#VALUE!</v>
      </c>
      <c r="L99" s="134" t="e">
        <f>_xll.DBRW($G$3,$H$15,$H$17,$H$13,$H$16,$H$14,L$2,$H$12,$A99)</f>
        <v>#VALUE!</v>
      </c>
      <c r="M99" s="134" t="e">
        <f>_xll.DBRW($G$3,$H$15,$H$17,$H$13,$H$16,$H$14,M$2,$H$12,$A99)</f>
        <v>#VALUE!</v>
      </c>
      <c r="N99" s="134" t="e">
        <f>_xll.DBRW($G$3,$H$15,$H$17,$H$13,$H$16,$H$14,N$2,$H$12,$A99)</f>
        <v>#VALUE!</v>
      </c>
      <c r="O99" s="134" t="e">
        <f>_xll.DBRW($G$3,$H$15,$H$17,$H$13,$H$16,$H$14,O$2,$H$12,$A99)</f>
        <v>#VALUE!</v>
      </c>
      <c r="P99" s="134" t="e">
        <f>_xll.DBRW($G$3,$H$15,$H$17,$H$13,$H$16,$H$14,P$2,$H$12,$A99)</f>
        <v>#VALUE!</v>
      </c>
      <c r="Q99" s="131" t="e">
        <f>SUM(I99:P99)-SUM(I97:P98)</f>
        <v>#VALUE!</v>
      </c>
      <c r="R99" s="131"/>
      <c r="S99" s="134" t="e">
        <f>_xll.DBRW($G$3,$U$15,$H$17,$U$13,$U$16,$U$14,S$2,$U$12,$A99)</f>
        <v>#VALUE!</v>
      </c>
      <c r="T99" s="134" t="e">
        <f>_xll.DBRW($G$3,$U$15,$H$17,$U$13,$U$16,$U$14,T$2,$U$12,$A99)</f>
        <v>#VALUE!</v>
      </c>
      <c r="U99" s="134" t="e">
        <f>_xll.DBRW($G$3,$U$15,$H$17,$U$13,$U$16,$U$14,U$2,$U$12,$A99)</f>
        <v>#VALUE!</v>
      </c>
      <c r="V99" s="134" t="e">
        <f>_xll.DBRW($G$3,$U$15,$H$17,$U$13,$U$16,$U$14,V$2,$U$12,$A99)</f>
        <v>#VALUE!</v>
      </c>
      <c r="W99" s="134" t="e">
        <f>_xll.DBRW($G$3,$U$15,$H$17,$U$13,$U$16,$U$14,W$2,$U$12,$A99)</f>
        <v>#VALUE!</v>
      </c>
      <c r="X99" s="134" t="e">
        <f>_xll.DBRW($G$3,$U$15,$H$17,$U$13,$U$16,$U$14,X$2,$U$12,$A99)</f>
        <v>#VALUE!</v>
      </c>
      <c r="Y99" s="134" t="e">
        <f>_xll.DBRW($G$3,$U$15,$H$17,$U$13,$U$16,$U$14,Y$2,$U$12,$A99)</f>
        <v>#VALUE!</v>
      </c>
      <c r="Z99" s="134" t="e">
        <f>_xll.DBRW($G$3,$U$15,$H$17,$U$13,$U$16,$U$14,Z$2,$U$12,$A99)</f>
        <v>#VALUE!</v>
      </c>
      <c r="AA99" s="131" t="e">
        <f>SUM(S99:Z99)-SUM(S97:Z98)</f>
        <v>#VALUE!</v>
      </c>
      <c r="AB99" s="134" t="e">
        <f t="shared" si="41"/>
        <v>#VALUE!</v>
      </c>
      <c r="AC99" s="134" t="e">
        <f t="shared" si="42"/>
        <v>#VALUE!</v>
      </c>
      <c r="AD99" s="134" t="e">
        <f t="shared" si="43"/>
        <v>#VALUE!</v>
      </c>
      <c r="AE99" s="134" t="e">
        <f t="shared" si="44"/>
        <v>#VALUE!</v>
      </c>
      <c r="AF99" s="134" t="e">
        <f t="shared" si="45"/>
        <v>#VALUE!</v>
      </c>
      <c r="AG99" s="134" t="e">
        <f t="shared" si="46"/>
        <v>#VALUE!</v>
      </c>
      <c r="AH99" s="134" t="e">
        <f t="shared" si="47"/>
        <v>#VALUE!</v>
      </c>
      <c r="AI99" s="134" t="e">
        <f t="shared" si="48"/>
        <v>#VALUE!</v>
      </c>
      <c r="AJ99" s="43"/>
      <c r="AK99" s="47"/>
      <c r="AL99" s="49" t="s">
        <v>62</v>
      </c>
      <c r="AM99" s="43"/>
      <c r="AN99" s="47"/>
      <c r="AO99" s="47"/>
      <c r="AP99" s="47"/>
      <c r="AQ99" s="47"/>
      <c r="AR99" s="47"/>
    </row>
    <row r="100" spans="1:44" ht="21.75" customHeight="1">
      <c r="A100" s="50" t="s">
        <v>39</v>
      </c>
      <c r="B100" s="41"/>
      <c r="C100" s="41"/>
      <c r="D100" s="41">
        <v>79</v>
      </c>
      <c r="G100" s="185" t="str">
        <f>_xll.DBRA(Server&amp;$A$21,$A100,$H$18)</f>
        <v>Net assets of discontinued activities</v>
      </c>
      <c r="H100" s="186"/>
      <c r="I100" s="126" t="e">
        <f>_xll.DBRW($G$3,$H$15,$H$17,$H$13,$H$16,$H$14,I$2,$H$12,$A100)</f>
        <v>#VALUE!</v>
      </c>
      <c r="J100" s="127" t="e">
        <f>_xll.DBRW($G$3,$H$15,$H$17,$H$13,$H$16,$H$14,J$2,$H$12,$A100)</f>
        <v>#VALUE!</v>
      </c>
      <c r="K100" s="127" t="e">
        <f>_xll.DBRW($G$3,$H$15,$H$17,$H$13,$H$16,$H$14,K$2,$H$12,$A100)</f>
        <v>#VALUE!</v>
      </c>
      <c r="L100" s="127" t="e">
        <f>_xll.DBRW($G$3,$H$15,$H$17,$H$13,$H$16,$H$14,L$2,$H$12,$A100)</f>
        <v>#VALUE!</v>
      </c>
      <c r="M100" s="127" t="e">
        <f>_xll.DBRW($G$3,$H$15,$H$17,$H$13,$H$16,$H$14,M$2,$H$12,$A100)</f>
        <v>#VALUE!</v>
      </c>
      <c r="N100" s="127" t="e">
        <f>_xll.DBRW($G$3,$H$15,$H$17,$H$13,$H$16,$H$14,N$2,$H$12,$A100)</f>
        <v>#VALUE!</v>
      </c>
      <c r="O100" s="127" t="e">
        <f>_xll.DBRW($G$3,$H$15,$H$17,$H$13,$H$16,$H$14,O$2,$H$12,$A100)</f>
        <v>#VALUE!</v>
      </c>
      <c r="P100" s="128" t="e">
        <f>_xll.DBRW($G$3,$H$15,$H$17,$H$13,$H$16,$H$14,P$2,$H$12,$A100)</f>
        <v>#VALUE!</v>
      </c>
      <c r="Q100" s="131"/>
      <c r="R100" s="131"/>
      <c r="S100" s="126" t="e">
        <f>_xll.DBRW($G$3,$U$15,$H$17,$U$13,$U$16,$U$14,S$2,$U$12,$A100)</f>
        <v>#VALUE!</v>
      </c>
      <c r="T100" s="127" t="e">
        <f>_xll.DBRW($G$3,$U$15,$H$17,$U$13,$U$16,$U$14,T$2,$U$12,$A100)</f>
        <v>#VALUE!</v>
      </c>
      <c r="U100" s="127" t="e">
        <f>_xll.DBRW($G$3,$U$15,$H$17,$U$13,$U$16,$U$14,U$2,$U$12,$A100)</f>
        <v>#VALUE!</v>
      </c>
      <c r="V100" s="127" t="e">
        <f>_xll.DBRW($G$3,$U$15,$H$17,$U$13,$U$16,$U$14,V$2,$U$12,$A100)</f>
        <v>#VALUE!</v>
      </c>
      <c r="W100" s="127" t="e">
        <f>_xll.DBRW($G$3,$U$15,$H$17,$U$13,$U$16,$U$14,W$2,$U$12,$A100)</f>
        <v>#VALUE!</v>
      </c>
      <c r="X100" s="127" t="e">
        <f>_xll.DBRW($G$3,$U$15,$H$17,$U$13,$U$16,$U$14,X$2,$U$12,$A100)</f>
        <v>#VALUE!</v>
      </c>
      <c r="Y100" s="127" t="e">
        <f>_xll.DBRW($G$3,$U$15,$H$17,$U$13,$U$16,$U$14,Y$2,$U$12,$A100)</f>
        <v>#VALUE!</v>
      </c>
      <c r="Z100" s="128" t="e">
        <f>_xll.DBRW($G$3,$U$15,$H$17,$U$13,$U$16,$U$14,Z$2,$U$12,$A100)</f>
        <v>#VALUE!</v>
      </c>
      <c r="AA100" s="131"/>
      <c r="AB100" s="126" t="e">
        <f t="shared" si="41"/>
        <v>#VALUE!</v>
      </c>
      <c r="AC100" s="127" t="e">
        <f t="shared" si="42"/>
        <v>#VALUE!</v>
      </c>
      <c r="AD100" s="127" t="e">
        <f t="shared" si="43"/>
        <v>#VALUE!</v>
      </c>
      <c r="AE100" s="127" t="e">
        <f t="shared" si="44"/>
        <v>#VALUE!</v>
      </c>
      <c r="AF100" s="127" t="e">
        <f t="shared" si="45"/>
        <v>#VALUE!</v>
      </c>
      <c r="AG100" s="127" t="e">
        <f t="shared" si="46"/>
        <v>#VALUE!</v>
      </c>
      <c r="AH100" s="127" t="e">
        <f t="shared" si="47"/>
        <v>#VALUE!</v>
      </c>
      <c r="AI100" s="128" t="e">
        <f t="shared" si="48"/>
        <v>#VALUE!</v>
      </c>
      <c r="AJ100" s="43"/>
      <c r="AK100" s="47"/>
      <c r="AL100" s="49" t="s">
        <v>62</v>
      </c>
      <c r="AM100" s="43"/>
      <c r="AN100" s="47"/>
      <c r="AO100" s="47"/>
      <c r="AP100" s="47"/>
      <c r="AQ100" s="47"/>
      <c r="AR100" s="47"/>
    </row>
    <row r="101" spans="1:44" ht="21.75" customHeight="1">
      <c r="A101" s="50" t="s">
        <v>40</v>
      </c>
      <c r="B101" s="41"/>
      <c r="C101" s="41"/>
      <c r="D101" s="41">
        <v>80</v>
      </c>
      <c r="G101" s="185" t="str">
        <f>_xll.DBRA(Server&amp;$A$21,$A101,$H$18)</f>
        <v>Investments in subsidiaries</v>
      </c>
      <c r="H101" s="186"/>
      <c r="I101" s="126" t="e">
        <f>_xll.DBRW($G$3,$H$15,$H$17,$H$13,$H$16,$H$14,I$2,$H$12,$A101)</f>
        <v>#VALUE!</v>
      </c>
      <c r="J101" s="127" t="e">
        <f>_xll.DBRW($G$3,$H$15,$H$17,$H$13,$H$16,$H$14,J$2,$H$12,$A101)</f>
        <v>#VALUE!</v>
      </c>
      <c r="K101" s="127" t="e">
        <f>_xll.DBRW($G$3,$H$15,$H$17,$H$13,$H$16,$H$14,K$2,$H$12,$A101)</f>
        <v>#VALUE!</v>
      </c>
      <c r="L101" s="127" t="e">
        <f>_xll.DBRW($G$3,$H$15,$H$17,$H$13,$H$16,$H$14,L$2,$H$12,$A101)</f>
        <v>#VALUE!</v>
      </c>
      <c r="M101" s="127" t="e">
        <f>_xll.DBRW($G$3,$H$15,$H$17,$H$13,$H$16,$H$14,M$2,$H$12,$A101)</f>
        <v>#VALUE!</v>
      </c>
      <c r="N101" s="127" t="e">
        <f>_xll.DBRW($G$3,$H$15,$H$17,$H$13,$H$16,$H$14,N$2,$H$12,$A101)</f>
        <v>#VALUE!</v>
      </c>
      <c r="O101" s="127" t="e">
        <f>_xll.DBRW($G$3,$H$15,$H$17,$H$13,$H$16,$H$14,O$2,$H$12,$A101)</f>
        <v>#VALUE!</v>
      </c>
      <c r="P101" s="128" t="e">
        <f>_xll.DBRW($G$3,$H$15,$H$17,$H$13,$H$16,$H$14,P$2,$H$12,$A101)</f>
        <v>#VALUE!</v>
      </c>
      <c r="Q101" s="131"/>
      <c r="R101" s="131"/>
      <c r="S101" s="126" t="e">
        <f>_xll.DBRW($G$3,$U$15,$H$17,$U$13,$U$16,$U$14,S$2,$U$12,$A101)</f>
        <v>#VALUE!</v>
      </c>
      <c r="T101" s="127" t="e">
        <f>_xll.DBRW($G$3,$U$15,$H$17,$U$13,$U$16,$U$14,T$2,$U$12,$A101)</f>
        <v>#VALUE!</v>
      </c>
      <c r="U101" s="127" t="e">
        <f>_xll.DBRW($G$3,$U$15,$H$17,$U$13,$U$16,$U$14,U$2,$U$12,$A101)</f>
        <v>#VALUE!</v>
      </c>
      <c r="V101" s="127" t="e">
        <f>_xll.DBRW($G$3,$U$15,$H$17,$U$13,$U$16,$U$14,V$2,$U$12,$A101)</f>
        <v>#VALUE!</v>
      </c>
      <c r="W101" s="127" t="e">
        <f>_xll.DBRW($G$3,$U$15,$H$17,$U$13,$U$16,$U$14,W$2,$U$12,$A101)</f>
        <v>#VALUE!</v>
      </c>
      <c r="X101" s="127" t="e">
        <f>_xll.DBRW($G$3,$U$15,$H$17,$U$13,$U$16,$U$14,X$2,$U$12,$A101)</f>
        <v>#VALUE!</v>
      </c>
      <c r="Y101" s="127" t="e">
        <f>_xll.DBRW($G$3,$U$15,$H$17,$U$13,$U$16,$U$14,Y$2,$U$12,$A101)</f>
        <v>#VALUE!</v>
      </c>
      <c r="Z101" s="128" t="e">
        <f>_xll.DBRW($G$3,$U$15,$H$17,$U$13,$U$16,$U$14,Z$2,$U$12,$A101)</f>
        <v>#VALUE!</v>
      </c>
      <c r="AA101" s="131"/>
      <c r="AB101" s="126" t="e">
        <f t="shared" si="41"/>
        <v>#VALUE!</v>
      </c>
      <c r="AC101" s="127" t="e">
        <f t="shared" si="42"/>
        <v>#VALUE!</v>
      </c>
      <c r="AD101" s="127" t="e">
        <f t="shared" si="43"/>
        <v>#VALUE!</v>
      </c>
      <c r="AE101" s="127" t="e">
        <f t="shared" si="44"/>
        <v>#VALUE!</v>
      </c>
      <c r="AF101" s="127" t="e">
        <f t="shared" si="45"/>
        <v>#VALUE!</v>
      </c>
      <c r="AG101" s="127" t="e">
        <f t="shared" si="46"/>
        <v>#VALUE!</v>
      </c>
      <c r="AH101" s="127" t="e">
        <f t="shared" si="47"/>
        <v>#VALUE!</v>
      </c>
      <c r="AI101" s="128" t="e">
        <f t="shared" si="48"/>
        <v>#VALUE!</v>
      </c>
      <c r="AJ101" s="43"/>
      <c r="AK101" s="47"/>
      <c r="AL101" s="49" t="s">
        <v>62</v>
      </c>
      <c r="AM101" s="43"/>
      <c r="AN101" s="47"/>
      <c r="AO101" s="47"/>
      <c r="AP101" s="47"/>
      <c r="AQ101" s="47"/>
      <c r="AR101" s="47"/>
    </row>
    <row r="102" spans="1:44" ht="21.75" hidden="1" customHeight="1" outlineLevel="1">
      <c r="A102" s="50" t="s">
        <v>41</v>
      </c>
      <c r="B102" s="41"/>
      <c r="C102" s="41"/>
      <c r="D102" s="41">
        <v>81</v>
      </c>
      <c r="G102" s="185" t="str">
        <f>_xll.DBRA(Server&amp;$A$21,$A102,$H$18)</f>
        <v>Link a/c Investments</v>
      </c>
      <c r="H102" s="186"/>
      <c r="I102" s="126" t="e">
        <f>_xll.DBRW($G$3,$H$15,$H$17,$H$13,$H$16,$H$14,I$2,$H$12,$A102)</f>
        <v>#VALUE!</v>
      </c>
      <c r="J102" s="127" t="e">
        <f>_xll.DBRW($G$3,$H$15,$H$17,$H$13,$H$16,$H$14,J$2,$H$12,$A102)</f>
        <v>#VALUE!</v>
      </c>
      <c r="K102" s="127" t="e">
        <f>_xll.DBRW($G$3,$H$15,$H$17,$H$13,$H$16,$H$14,K$2,$H$12,$A102)</f>
        <v>#VALUE!</v>
      </c>
      <c r="L102" s="127" t="e">
        <f>_xll.DBRW($G$3,$H$15,$H$17,$H$13,$H$16,$H$14,L$2,$H$12,$A102)</f>
        <v>#VALUE!</v>
      </c>
      <c r="M102" s="127" t="e">
        <f>_xll.DBRW($G$3,$H$15,$H$17,$H$13,$H$16,$H$14,M$2,$H$12,$A102)</f>
        <v>#VALUE!</v>
      </c>
      <c r="N102" s="127" t="e">
        <f>_xll.DBRW($G$3,$H$15,$H$17,$H$13,$H$16,$H$14,N$2,$H$12,$A102)</f>
        <v>#VALUE!</v>
      </c>
      <c r="O102" s="127" t="e">
        <f>_xll.DBRW($G$3,$H$15,$H$17,$H$13,$H$16,$H$14,O$2,$H$12,$A102)</f>
        <v>#VALUE!</v>
      </c>
      <c r="P102" s="128" t="e">
        <f>_xll.DBRW($G$3,$H$15,$H$17,$H$13,$H$16,$H$14,P$2,$H$12,$A102)</f>
        <v>#VALUE!</v>
      </c>
      <c r="Q102" s="131"/>
      <c r="R102" s="131"/>
      <c r="S102" s="126" t="e">
        <f>_xll.DBRW($G$3,$U$15,$H$17,$U$13,$U$16,$U$14,S$2,$U$12,$A102)</f>
        <v>#VALUE!</v>
      </c>
      <c r="T102" s="127" t="e">
        <f>_xll.DBRW($G$3,$U$15,$H$17,$U$13,$U$16,$U$14,T$2,$U$12,$A102)</f>
        <v>#VALUE!</v>
      </c>
      <c r="U102" s="127" t="e">
        <f>_xll.DBRW($G$3,$U$15,$H$17,$U$13,$U$16,$U$14,U$2,$U$12,$A102)</f>
        <v>#VALUE!</v>
      </c>
      <c r="V102" s="127" t="e">
        <f>_xll.DBRW($G$3,$U$15,$H$17,$U$13,$U$16,$U$14,V$2,$U$12,$A102)</f>
        <v>#VALUE!</v>
      </c>
      <c r="W102" s="127" t="e">
        <f>_xll.DBRW($G$3,$U$15,$H$17,$U$13,$U$16,$U$14,W$2,$U$12,$A102)</f>
        <v>#VALUE!</v>
      </c>
      <c r="X102" s="127" t="e">
        <f>_xll.DBRW($G$3,$U$15,$H$17,$U$13,$U$16,$U$14,X$2,$U$12,$A102)</f>
        <v>#VALUE!</v>
      </c>
      <c r="Y102" s="127" t="e">
        <f>_xll.DBRW($G$3,$U$15,$H$17,$U$13,$U$16,$U$14,Y$2,$U$12,$A102)</f>
        <v>#VALUE!</v>
      </c>
      <c r="Z102" s="128" t="e">
        <f>_xll.DBRW($G$3,$U$15,$H$17,$U$13,$U$16,$U$14,Z$2,$U$12,$A102)</f>
        <v>#VALUE!</v>
      </c>
      <c r="AA102" s="131"/>
      <c r="AB102" s="126" t="e">
        <f t="shared" si="41"/>
        <v>#VALUE!</v>
      </c>
      <c r="AC102" s="127" t="e">
        <f t="shared" si="42"/>
        <v>#VALUE!</v>
      </c>
      <c r="AD102" s="127" t="e">
        <f t="shared" si="43"/>
        <v>#VALUE!</v>
      </c>
      <c r="AE102" s="127" t="e">
        <f t="shared" si="44"/>
        <v>#VALUE!</v>
      </c>
      <c r="AF102" s="127" t="e">
        <f t="shared" si="45"/>
        <v>#VALUE!</v>
      </c>
      <c r="AG102" s="127" t="e">
        <f t="shared" si="46"/>
        <v>#VALUE!</v>
      </c>
      <c r="AH102" s="127" t="e">
        <f t="shared" si="47"/>
        <v>#VALUE!</v>
      </c>
      <c r="AI102" s="128" t="e">
        <f t="shared" si="48"/>
        <v>#VALUE!</v>
      </c>
      <c r="AJ102" s="43"/>
      <c r="AK102" s="47"/>
      <c r="AL102" s="47"/>
      <c r="AM102" s="47"/>
      <c r="AN102" s="47"/>
      <c r="AO102" s="47"/>
      <c r="AP102" s="47"/>
      <c r="AQ102" s="47"/>
      <c r="AR102" s="47"/>
    </row>
    <row r="103" spans="1:44" ht="21.75" customHeight="1" collapsed="1">
      <c r="A103" s="50" t="s">
        <v>42</v>
      </c>
      <c r="B103" s="41"/>
      <c r="C103" s="41"/>
      <c r="D103" s="41">
        <v>82</v>
      </c>
      <c r="G103" s="185" t="str">
        <f>_xll.DBRA(Server&amp;$A$21,$A103,$H$18)</f>
        <v>Group shareholder's equity</v>
      </c>
      <c r="H103" s="186"/>
      <c r="I103" s="126" t="e">
        <f>_xll.DBRW($G$3,$H$15,$H$17,$H$13,$H$16,$H$14,I$2,$H$12,$A103)</f>
        <v>#VALUE!</v>
      </c>
      <c r="J103" s="127" t="e">
        <f>_xll.DBRW($G$3,$H$15,$H$17,$H$13,$H$16,$H$14,J$2,$H$12,$A103)</f>
        <v>#VALUE!</v>
      </c>
      <c r="K103" s="127" t="e">
        <f>_xll.DBRW($G$3,$H$15,$H$17,$H$13,$H$16,$H$14,K$2,$H$12,$A103)</f>
        <v>#VALUE!</v>
      </c>
      <c r="L103" s="127" t="e">
        <f>_xll.DBRW($G$3,$H$15,$H$17,$H$13,$H$16,$H$14,L$2,$H$12,$A103)</f>
        <v>#VALUE!</v>
      </c>
      <c r="M103" s="127" t="e">
        <f>_xll.DBRW($G$3,$H$15,$H$17,$H$13,$H$16,$H$14,M$2,$H$12,$A103)</f>
        <v>#VALUE!</v>
      </c>
      <c r="N103" s="127" t="e">
        <f>_xll.DBRW($G$3,$H$15,$H$17,$H$13,$H$16,$H$14,N$2,$H$12,$A103)</f>
        <v>#VALUE!</v>
      </c>
      <c r="O103" s="127" t="e">
        <f>_xll.DBRW($G$3,$H$15,$H$17,$H$13,$H$16,$H$14,O$2,$H$12,$A103)</f>
        <v>#VALUE!</v>
      </c>
      <c r="P103" s="128" t="e">
        <f>_xll.DBRW($G$3,$H$15,$H$17,$H$13,$H$16,$H$14,P$2,$H$12,$A103)</f>
        <v>#VALUE!</v>
      </c>
      <c r="Q103" s="131"/>
      <c r="R103" s="131"/>
      <c r="S103" s="126" t="e">
        <f>_xll.DBRW($G$3,$U$15,$H$17,$U$13,$U$16,$U$14,S$2,$U$12,$A103)</f>
        <v>#VALUE!</v>
      </c>
      <c r="T103" s="127" t="e">
        <f>_xll.DBRW($G$3,$U$15,$H$17,$U$13,$U$16,$U$14,T$2,$U$12,$A103)</f>
        <v>#VALUE!</v>
      </c>
      <c r="U103" s="127" t="e">
        <f>_xll.DBRW($G$3,$U$15,$H$17,$U$13,$U$16,$U$14,U$2,$U$12,$A103)</f>
        <v>#VALUE!</v>
      </c>
      <c r="V103" s="127" t="e">
        <f>_xll.DBRW($G$3,$U$15,$H$17,$U$13,$U$16,$U$14,V$2,$U$12,$A103)</f>
        <v>#VALUE!</v>
      </c>
      <c r="W103" s="127" t="e">
        <f>_xll.DBRW($G$3,$U$15,$H$17,$U$13,$U$16,$U$14,W$2,$U$12,$A103)</f>
        <v>#VALUE!</v>
      </c>
      <c r="X103" s="127" t="e">
        <f>_xll.DBRW($G$3,$U$15,$H$17,$U$13,$U$16,$U$14,X$2,$U$12,$A103)</f>
        <v>#VALUE!</v>
      </c>
      <c r="Y103" s="127" t="e">
        <f>_xll.DBRW($G$3,$U$15,$H$17,$U$13,$U$16,$U$14,Y$2,$U$12,$A103)</f>
        <v>#VALUE!</v>
      </c>
      <c r="Z103" s="128" t="e">
        <f>_xll.DBRW($G$3,$U$15,$H$17,$U$13,$U$16,$U$14,Z$2,$U$12,$A103)</f>
        <v>#VALUE!</v>
      </c>
      <c r="AA103" s="131"/>
      <c r="AB103" s="126" t="e">
        <f t="shared" si="41"/>
        <v>#VALUE!</v>
      </c>
      <c r="AC103" s="127" t="e">
        <f t="shared" si="42"/>
        <v>#VALUE!</v>
      </c>
      <c r="AD103" s="127" t="e">
        <f t="shared" si="43"/>
        <v>#VALUE!</v>
      </c>
      <c r="AE103" s="127" t="e">
        <f t="shared" si="44"/>
        <v>#VALUE!</v>
      </c>
      <c r="AF103" s="127" t="e">
        <f t="shared" si="45"/>
        <v>#VALUE!</v>
      </c>
      <c r="AG103" s="127" t="e">
        <f t="shared" si="46"/>
        <v>#VALUE!</v>
      </c>
      <c r="AH103" s="127" t="e">
        <f t="shared" si="47"/>
        <v>#VALUE!</v>
      </c>
      <c r="AI103" s="128" t="e">
        <f t="shared" si="48"/>
        <v>#VALUE!</v>
      </c>
      <c r="AJ103" s="43"/>
      <c r="AK103" s="47"/>
      <c r="AL103" s="47"/>
      <c r="AM103" s="47"/>
      <c r="AN103" s="47"/>
      <c r="AO103" s="47"/>
      <c r="AP103" s="47"/>
      <c r="AQ103" s="47"/>
      <c r="AR103" s="47"/>
    </row>
    <row r="104" spans="1:44" ht="21.75" customHeight="1" thickBot="1">
      <c r="A104" s="50" t="s">
        <v>43</v>
      </c>
      <c r="B104" s="41"/>
      <c r="C104" s="41"/>
      <c r="D104" s="41">
        <v>83</v>
      </c>
      <c r="G104" s="185" t="str">
        <f>_xll.DBRA(Server&amp;$A$21,$A104,$H$18)</f>
        <v>Shareholder's equity attributable to non controlling Interest</v>
      </c>
      <c r="H104" s="186"/>
      <c r="I104" s="126" t="e">
        <f>_xll.DBRW($G$3,$H$15,$H$17,$H$13,$H$16,$H$14,I$2,$H$12,$A104)</f>
        <v>#VALUE!</v>
      </c>
      <c r="J104" s="127" t="e">
        <f>_xll.DBRW($G$3,$H$15,$H$17,$H$13,$H$16,$H$14,J$2,$H$12,$A104)</f>
        <v>#VALUE!</v>
      </c>
      <c r="K104" s="127" t="e">
        <f>_xll.DBRW($G$3,$H$15,$H$17,$H$13,$H$16,$H$14,K$2,$H$12,$A104)</f>
        <v>#VALUE!</v>
      </c>
      <c r="L104" s="127" t="e">
        <f>_xll.DBRW($G$3,$H$15,$H$17,$H$13,$H$16,$H$14,L$2,$H$12,$A104)</f>
        <v>#VALUE!</v>
      </c>
      <c r="M104" s="127" t="e">
        <f>_xll.DBRW($G$3,$H$15,$H$17,$H$13,$H$16,$H$14,M$2,$H$12,$A104)</f>
        <v>#VALUE!</v>
      </c>
      <c r="N104" s="127" t="e">
        <f>_xll.DBRW($G$3,$H$15,$H$17,$H$13,$H$16,$H$14,N$2,$H$12,$A104)</f>
        <v>#VALUE!</v>
      </c>
      <c r="O104" s="127" t="e">
        <f>_xll.DBRW($G$3,$H$15,$H$17,$H$13,$H$16,$H$14,O$2,$H$12,$A104)</f>
        <v>#VALUE!</v>
      </c>
      <c r="P104" s="128" t="e">
        <f>_xll.DBRW($G$3,$H$15,$H$17,$H$13,$H$16,$H$14,P$2,$H$12,$A104)</f>
        <v>#VALUE!</v>
      </c>
      <c r="Q104" s="131"/>
      <c r="R104" s="131"/>
      <c r="S104" s="126" t="e">
        <f>_xll.DBRW($G$3,$U$15,$H$17,$U$13,$U$16,$U$14,S$2,$U$12,$A104)</f>
        <v>#VALUE!</v>
      </c>
      <c r="T104" s="127" t="e">
        <f>_xll.DBRW($G$3,$U$15,$H$17,$U$13,$U$16,$U$14,T$2,$U$12,$A104)</f>
        <v>#VALUE!</v>
      </c>
      <c r="U104" s="127" t="e">
        <f>_xll.DBRW($G$3,$U$15,$H$17,$U$13,$U$16,$U$14,U$2,$U$12,$A104)</f>
        <v>#VALUE!</v>
      </c>
      <c r="V104" s="127" t="e">
        <f>_xll.DBRW($G$3,$U$15,$H$17,$U$13,$U$16,$U$14,V$2,$U$12,$A104)</f>
        <v>#VALUE!</v>
      </c>
      <c r="W104" s="127" t="e">
        <f>_xll.DBRW($G$3,$U$15,$H$17,$U$13,$U$16,$U$14,W$2,$U$12,$A104)</f>
        <v>#VALUE!</v>
      </c>
      <c r="X104" s="127" t="e">
        <f>_xll.DBRW($G$3,$U$15,$H$17,$U$13,$U$16,$U$14,X$2,$U$12,$A104)</f>
        <v>#VALUE!</v>
      </c>
      <c r="Y104" s="127" t="e">
        <f>_xll.DBRW($G$3,$U$15,$H$17,$U$13,$U$16,$U$14,Y$2,$U$12,$A104)</f>
        <v>#VALUE!</v>
      </c>
      <c r="Z104" s="128" t="e">
        <f>_xll.DBRW($G$3,$U$15,$H$17,$U$13,$U$16,$U$14,Z$2,$U$12,$A104)</f>
        <v>#VALUE!</v>
      </c>
      <c r="AA104" s="131"/>
      <c r="AB104" s="126" t="e">
        <f t="shared" si="41"/>
        <v>#VALUE!</v>
      </c>
      <c r="AC104" s="127" t="e">
        <f t="shared" si="42"/>
        <v>#VALUE!</v>
      </c>
      <c r="AD104" s="127" t="e">
        <f t="shared" si="43"/>
        <v>#VALUE!</v>
      </c>
      <c r="AE104" s="127" t="e">
        <f t="shared" si="44"/>
        <v>#VALUE!</v>
      </c>
      <c r="AF104" s="127" t="e">
        <f t="shared" si="45"/>
        <v>#VALUE!</v>
      </c>
      <c r="AG104" s="127" t="e">
        <f t="shared" si="46"/>
        <v>#VALUE!</v>
      </c>
      <c r="AH104" s="127" t="e">
        <f t="shared" si="47"/>
        <v>#VALUE!</v>
      </c>
      <c r="AI104" s="128" t="e">
        <f t="shared" si="48"/>
        <v>#VALUE!</v>
      </c>
      <c r="AJ104" s="43"/>
      <c r="AK104" s="47"/>
      <c r="AL104" s="47"/>
      <c r="AM104" s="47"/>
      <c r="AN104" s="47"/>
      <c r="AO104" s="47"/>
      <c r="AP104" s="47"/>
      <c r="AQ104" s="47"/>
      <c r="AR104" s="47"/>
    </row>
    <row r="105" spans="1:44" s="26" customFormat="1" ht="21.75" customHeight="1" thickBot="1">
      <c r="A105" s="50" t="s">
        <v>52</v>
      </c>
      <c r="B105" s="64"/>
      <c r="C105" s="41"/>
      <c r="D105" s="41">
        <v>84</v>
      </c>
      <c r="E105" s="22"/>
      <c r="F105" s="45"/>
      <c r="G105" s="184" t="str">
        <f>_xll.DBRA(Server&amp;$A$21,$A105,$H$18)</f>
        <v>TOTAL EQUITY AND INVESTMENTS</v>
      </c>
      <c r="H105" s="184"/>
      <c r="I105" s="134" t="e">
        <f>_xll.DBRW($G$3,$H$15,$H$17,$H$13,$H$16,$H$14,I$2,$H$12,$A105)</f>
        <v>#VALUE!</v>
      </c>
      <c r="J105" s="134" t="e">
        <f>_xll.DBRW($G$3,$H$15,$H$17,$H$13,$H$16,$H$14,J$2,$H$12,$A105)</f>
        <v>#VALUE!</v>
      </c>
      <c r="K105" s="134" t="e">
        <f>_xll.DBRW($G$3,$H$15,$H$17,$H$13,$H$16,$H$14,K$2,$H$12,$A105)</f>
        <v>#VALUE!</v>
      </c>
      <c r="L105" s="134" t="e">
        <f>_xll.DBRW($G$3,$H$15,$H$17,$H$13,$H$16,$H$14,L$2,$H$12,$A105)</f>
        <v>#VALUE!</v>
      </c>
      <c r="M105" s="134" t="e">
        <f>_xll.DBRW($G$3,$H$15,$H$17,$H$13,$H$16,$H$14,M$2,$H$12,$A105)</f>
        <v>#VALUE!</v>
      </c>
      <c r="N105" s="134" t="e">
        <f>_xll.DBRW($G$3,$H$15,$H$17,$H$13,$H$16,$H$14,N$2,$H$12,$A105)</f>
        <v>#VALUE!</v>
      </c>
      <c r="O105" s="134" t="e">
        <f>_xll.DBRW($G$3,$H$15,$H$17,$H$13,$H$16,$H$14,O$2,$H$12,$A105)</f>
        <v>#VALUE!</v>
      </c>
      <c r="P105" s="134" t="e">
        <f>_xll.DBRW($G$3,$H$15,$H$17,$H$13,$H$16,$H$14,P$2,$H$12,$A105)</f>
        <v>#VALUE!</v>
      </c>
      <c r="Q105" s="131" t="e">
        <f>SUM(I105:P105)-SUM(I100:P104)</f>
        <v>#VALUE!</v>
      </c>
      <c r="R105" s="131"/>
      <c r="S105" s="134" t="e">
        <f>_xll.DBRW($G$3,$U$15,$H$17,$U$13,$U$16,$U$14,S$2,$U$12,$A105)</f>
        <v>#VALUE!</v>
      </c>
      <c r="T105" s="134" t="e">
        <f>_xll.DBRW($G$3,$U$15,$H$17,$U$13,$U$16,$U$14,T$2,$U$12,$A105)</f>
        <v>#VALUE!</v>
      </c>
      <c r="U105" s="134" t="e">
        <f>_xll.DBRW($G$3,$U$15,$H$17,$U$13,$U$16,$U$14,U$2,$U$12,$A105)</f>
        <v>#VALUE!</v>
      </c>
      <c r="V105" s="134" t="e">
        <f>_xll.DBRW($G$3,$U$15,$H$17,$U$13,$U$16,$U$14,V$2,$U$12,$A105)</f>
        <v>#VALUE!</v>
      </c>
      <c r="W105" s="134" t="e">
        <f>_xll.DBRW($G$3,$U$15,$H$17,$U$13,$U$16,$U$14,W$2,$U$12,$A105)</f>
        <v>#VALUE!</v>
      </c>
      <c r="X105" s="134" t="e">
        <f>_xll.DBRW($G$3,$U$15,$H$17,$U$13,$U$16,$U$14,X$2,$U$12,$A105)</f>
        <v>#VALUE!</v>
      </c>
      <c r="Y105" s="134" t="e">
        <f>_xll.DBRW($G$3,$U$15,$H$17,$U$13,$U$16,$U$14,Y$2,$U$12,$A105)</f>
        <v>#VALUE!</v>
      </c>
      <c r="Z105" s="134" t="e">
        <f>_xll.DBRW($G$3,$U$15,$H$17,$U$13,$U$16,$U$14,Z$2,$U$12,$A105)</f>
        <v>#VALUE!</v>
      </c>
      <c r="AA105" s="131" t="e">
        <f>SUM(S105:Z105)-SUM(S100:Z104)</f>
        <v>#VALUE!</v>
      </c>
      <c r="AB105" s="134" t="e">
        <f t="shared" si="41"/>
        <v>#VALUE!</v>
      </c>
      <c r="AC105" s="134" t="e">
        <f t="shared" si="42"/>
        <v>#VALUE!</v>
      </c>
      <c r="AD105" s="134" t="e">
        <f t="shared" si="43"/>
        <v>#VALUE!</v>
      </c>
      <c r="AE105" s="134" t="e">
        <f t="shared" si="44"/>
        <v>#VALUE!</v>
      </c>
      <c r="AF105" s="134" t="e">
        <f t="shared" si="45"/>
        <v>#VALUE!</v>
      </c>
      <c r="AG105" s="134" t="e">
        <f t="shared" si="46"/>
        <v>#VALUE!</v>
      </c>
      <c r="AH105" s="134" t="e">
        <f t="shared" si="47"/>
        <v>#VALUE!</v>
      </c>
      <c r="AI105" s="134" t="e">
        <f t="shared" si="48"/>
        <v>#VALUE!</v>
      </c>
      <c r="AJ105" s="43"/>
      <c r="AK105" s="47"/>
      <c r="AL105" s="47"/>
      <c r="AM105" s="47"/>
      <c r="AN105" s="47"/>
      <c r="AO105" s="47"/>
      <c r="AP105" s="47"/>
      <c r="AQ105" s="47"/>
      <c r="AR105" s="47"/>
    </row>
    <row r="106" spans="1:44" ht="21.75" customHeight="1">
      <c r="A106" s="72" t="s">
        <v>79</v>
      </c>
      <c r="B106" s="73"/>
      <c r="C106" s="41"/>
      <c r="D106" s="41">
        <v>85</v>
      </c>
      <c r="E106" s="74"/>
      <c r="F106" s="75"/>
      <c r="G106" s="147" t="str">
        <f>_xll.DBRA(Server&amp;$AL$25,$A106,$H$18)</f>
        <v>Balance sheet control</v>
      </c>
      <c r="H106" s="148"/>
      <c r="I106" s="149" t="e">
        <f t="shared" ref="I106:P106" si="49">I96+I99+I105</f>
        <v>#VALUE!</v>
      </c>
      <c r="J106" s="149" t="e">
        <f t="shared" si="49"/>
        <v>#VALUE!</v>
      </c>
      <c r="K106" s="149" t="e">
        <f t="shared" si="49"/>
        <v>#VALUE!</v>
      </c>
      <c r="L106" s="149" t="e">
        <f t="shared" si="49"/>
        <v>#VALUE!</v>
      </c>
      <c r="M106" s="149" t="e">
        <f t="shared" si="49"/>
        <v>#VALUE!</v>
      </c>
      <c r="N106" s="149" t="e">
        <f t="shared" si="49"/>
        <v>#VALUE!</v>
      </c>
      <c r="O106" s="149" t="e">
        <f t="shared" si="49"/>
        <v>#VALUE!</v>
      </c>
      <c r="P106" s="149" t="e">
        <f t="shared" si="49"/>
        <v>#VALUE!</v>
      </c>
      <c r="Q106" s="131"/>
      <c r="R106" s="131"/>
      <c r="S106" s="149" t="e">
        <f t="shared" ref="S106:Z106" si="50">S96+S99+S105</f>
        <v>#VALUE!</v>
      </c>
      <c r="T106" s="149" t="e">
        <f t="shared" si="50"/>
        <v>#VALUE!</v>
      </c>
      <c r="U106" s="149" t="e">
        <f t="shared" si="50"/>
        <v>#VALUE!</v>
      </c>
      <c r="V106" s="149" t="e">
        <f t="shared" si="50"/>
        <v>#VALUE!</v>
      </c>
      <c r="W106" s="149" t="e">
        <f t="shared" si="50"/>
        <v>#VALUE!</v>
      </c>
      <c r="X106" s="149" t="e">
        <f t="shared" si="50"/>
        <v>#VALUE!</v>
      </c>
      <c r="Y106" s="149" t="e">
        <f t="shared" si="50"/>
        <v>#VALUE!</v>
      </c>
      <c r="Z106" s="149" t="e">
        <f t="shared" si="50"/>
        <v>#VALUE!</v>
      </c>
      <c r="AA106" s="131"/>
      <c r="AB106" s="149" t="e">
        <f t="shared" si="41"/>
        <v>#VALUE!</v>
      </c>
      <c r="AC106" s="149" t="e">
        <f t="shared" si="42"/>
        <v>#VALUE!</v>
      </c>
      <c r="AD106" s="149" t="e">
        <f t="shared" si="43"/>
        <v>#VALUE!</v>
      </c>
      <c r="AE106" s="149" t="e">
        <f t="shared" si="44"/>
        <v>#VALUE!</v>
      </c>
      <c r="AF106" s="149" t="e">
        <f t="shared" si="45"/>
        <v>#VALUE!</v>
      </c>
      <c r="AG106" s="149" t="e">
        <f t="shared" si="46"/>
        <v>#VALUE!</v>
      </c>
      <c r="AH106" s="149" t="e">
        <f t="shared" si="47"/>
        <v>#VALUE!</v>
      </c>
      <c r="AI106" s="149" t="e">
        <f t="shared" si="48"/>
        <v>#VALUE!</v>
      </c>
      <c r="AJ106" s="43"/>
    </row>
    <row r="107" spans="1:44" ht="24.75" customHeight="1">
      <c r="A107" s="50"/>
      <c r="B107" s="41"/>
      <c r="C107" s="41"/>
      <c r="D107" s="41">
        <v>86</v>
      </c>
      <c r="G107" s="150"/>
      <c r="H107" s="150"/>
      <c r="I107" s="151"/>
      <c r="J107" s="120"/>
      <c r="K107" s="120"/>
      <c r="L107" s="152"/>
      <c r="M107" s="120"/>
      <c r="N107" s="119"/>
      <c r="O107" s="119"/>
      <c r="P107" s="119"/>
      <c r="Q107" s="131"/>
      <c r="R107" s="131"/>
      <c r="S107" s="151"/>
      <c r="T107" s="120"/>
      <c r="U107" s="120"/>
      <c r="V107" s="152"/>
      <c r="W107" s="120"/>
      <c r="X107" s="119"/>
      <c r="Y107" s="119"/>
      <c r="Z107" s="119"/>
      <c r="AA107" s="131"/>
      <c r="AB107" s="151"/>
      <c r="AC107" s="120"/>
      <c r="AD107" s="120"/>
      <c r="AE107" s="152"/>
      <c r="AF107" s="120"/>
      <c r="AG107" s="119"/>
      <c r="AH107" s="119"/>
      <c r="AI107" s="119"/>
      <c r="AR107" s="43"/>
    </row>
    <row r="108" spans="1:44" s="119" customFormat="1" ht="27.75" customHeight="1">
      <c r="A108" s="168"/>
      <c r="B108" s="115"/>
      <c r="C108" s="115"/>
      <c r="D108" s="115">
        <v>87</v>
      </c>
      <c r="E108" s="116"/>
      <c r="F108" s="117"/>
      <c r="G108" s="187" t="str">
        <f>IF($H$18="English","IV - OPERATIONAL INVESTMENTS","IV - INVESTISSEMENTS OPERATIONNELS")</f>
        <v>IV - OPERATIONAL INVESTMENTS</v>
      </c>
      <c r="H108" s="187"/>
      <c r="I108" s="121" t="e">
        <f>I$21</f>
        <v>#VALUE!</v>
      </c>
      <c r="J108" s="121" t="e">
        <f t="shared" ref="J108:P108" si="51">J$21</f>
        <v>#VALUE!</v>
      </c>
      <c r="K108" s="121" t="e">
        <f t="shared" si="51"/>
        <v>#VALUE!</v>
      </c>
      <c r="L108" s="121" t="e">
        <f t="shared" si="51"/>
        <v>#VALUE!</v>
      </c>
      <c r="M108" s="121" t="e">
        <f t="shared" si="51"/>
        <v>#VALUE!</v>
      </c>
      <c r="N108" s="121" t="e">
        <f t="shared" si="51"/>
        <v>#VALUE!</v>
      </c>
      <c r="O108" s="121" t="e">
        <f t="shared" si="51"/>
        <v>#VALUE!</v>
      </c>
      <c r="P108" s="121" t="e">
        <f t="shared" si="51"/>
        <v>#VALUE!</v>
      </c>
      <c r="Q108" s="131"/>
      <c r="R108" s="131"/>
      <c r="S108" s="121" t="e">
        <f>S$21</f>
        <v>#VALUE!</v>
      </c>
      <c r="T108" s="121" t="e">
        <f t="shared" ref="T108:Z108" si="52">T$21</f>
        <v>#VALUE!</v>
      </c>
      <c r="U108" s="121" t="e">
        <f t="shared" si="52"/>
        <v>#VALUE!</v>
      </c>
      <c r="V108" s="121" t="e">
        <f t="shared" si="52"/>
        <v>#VALUE!</v>
      </c>
      <c r="W108" s="121" t="e">
        <f t="shared" si="52"/>
        <v>#VALUE!</v>
      </c>
      <c r="X108" s="121" t="e">
        <f t="shared" si="52"/>
        <v>#VALUE!</v>
      </c>
      <c r="Y108" s="121" t="e">
        <f t="shared" si="52"/>
        <v>#VALUE!</v>
      </c>
      <c r="Z108" s="121" t="e">
        <f t="shared" si="52"/>
        <v>#VALUE!</v>
      </c>
      <c r="AA108" s="131"/>
      <c r="AB108" s="121" t="e">
        <f>I108</f>
        <v>#VALUE!</v>
      </c>
      <c r="AC108" s="121" t="e">
        <f t="shared" ref="AC108:AI108" si="53">J108</f>
        <v>#VALUE!</v>
      </c>
      <c r="AD108" s="121" t="e">
        <f t="shared" si="53"/>
        <v>#VALUE!</v>
      </c>
      <c r="AE108" s="121" t="e">
        <f t="shared" si="53"/>
        <v>#VALUE!</v>
      </c>
      <c r="AF108" s="121" t="e">
        <f t="shared" si="53"/>
        <v>#VALUE!</v>
      </c>
      <c r="AG108" s="121" t="e">
        <f t="shared" si="53"/>
        <v>#VALUE!</v>
      </c>
      <c r="AH108" s="121" t="e">
        <f t="shared" si="53"/>
        <v>#VALUE!</v>
      </c>
      <c r="AI108" s="121" t="e">
        <f t="shared" si="53"/>
        <v>#VALUE!</v>
      </c>
      <c r="AJ108" s="118"/>
      <c r="AK108" s="118"/>
      <c r="AL108" s="118"/>
      <c r="AM108" s="118"/>
      <c r="AN108" s="118"/>
      <c r="AO108" s="118"/>
      <c r="AP108" s="118"/>
      <c r="AQ108" s="118"/>
    </row>
    <row r="109" spans="1:44" ht="5.25" customHeight="1" thickBot="1">
      <c r="B109" s="41"/>
      <c r="C109" s="41"/>
      <c r="D109" s="41">
        <v>88</v>
      </c>
      <c r="G109" s="123"/>
      <c r="H109" s="124"/>
      <c r="I109" s="125"/>
      <c r="J109" s="125"/>
      <c r="K109" s="125"/>
      <c r="L109" s="125"/>
      <c r="M109" s="125"/>
      <c r="N109" s="125"/>
      <c r="O109" s="125"/>
      <c r="P109" s="125"/>
      <c r="Q109" s="131"/>
      <c r="R109" s="131"/>
      <c r="S109" s="125"/>
      <c r="T109" s="125"/>
      <c r="U109" s="125"/>
      <c r="V109" s="125"/>
      <c r="W109" s="125"/>
      <c r="X109" s="125"/>
      <c r="Y109" s="125"/>
      <c r="Z109" s="125"/>
      <c r="AA109" s="131"/>
      <c r="AB109" s="125"/>
      <c r="AC109" s="125"/>
      <c r="AD109" s="125"/>
      <c r="AE109" s="125"/>
      <c r="AF109" s="125"/>
      <c r="AG109" s="125"/>
      <c r="AH109" s="125"/>
      <c r="AI109" s="125"/>
      <c r="AR109" s="43"/>
    </row>
    <row r="110" spans="1:44" ht="26">
      <c r="A110" s="50" t="s">
        <v>155</v>
      </c>
      <c r="B110" s="64" t="s">
        <v>146</v>
      </c>
      <c r="C110" s="41"/>
      <c r="D110" s="41">
        <v>89</v>
      </c>
      <c r="G110" s="185" t="str">
        <f>_xll.DBRA(Server&amp;$A$21,$A110,$H$18)</f>
        <v>Gross Industrial CAPEX</v>
      </c>
      <c r="H110" s="186"/>
      <c r="I110" s="126" t="e">
        <f>_xll.DBRW($G$3,$H$15,$H$17,$H$13,$H$16,$H$14,I$2,$H$12,$B110)+_xll.DBRW($G$3,$H$15,$H$17,$H$13,$H$16,$H$14,I$2,$H$12,$A110)</f>
        <v>#VALUE!</v>
      </c>
      <c r="J110" s="126" t="e">
        <f>_xll.DBRW($G$3,$H$15,$H$17,$H$13,$H$16,$H$14,J$2,$H$12,$B110)+_xll.DBRW($G$3,$H$15,$H$17,$H$13,$H$16,$H$14,J$2,$H$12,$A110)</f>
        <v>#VALUE!</v>
      </c>
      <c r="K110" s="126" t="e">
        <f>_xll.DBRW($G$3,$H$15,$H$17,$H$13,$H$16,$H$14,K$2,$H$12,$B110)+_xll.DBRW($G$3,$H$15,$H$17,$H$13,$H$16,$H$14,K$2,$H$12,$A110)</f>
        <v>#VALUE!</v>
      </c>
      <c r="L110" s="126" t="e">
        <f>_xll.DBRW($G$3,$H$15,$H$17,$H$13,$H$16,$H$14,L$2,$H$12,$B110)+_xll.DBRW($G$3,$H$15,$H$17,$H$13,$H$16,$H$14,L$2,$H$12,$A110)</f>
        <v>#VALUE!</v>
      </c>
      <c r="M110" s="126" t="e">
        <f>_xll.DBRW($G$3,$H$15,$H$17,$H$13,$H$16,$H$14,M$2,$H$12,$B110)+_xll.DBRW($G$3,$H$15,$H$17,$H$13,$H$16,$H$14,M$2,$H$12,$A110)</f>
        <v>#VALUE!</v>
      </c>
      <c r="N110" s="126" t="e">
        <f>_xll.DBRW($G$3,$H$15,$H$17,$H$13,$H$16,$H$14,N$2,$H$12,$B110)+_xll.DBRW($G$3,$H$15,$H$17,$H$13,$H$16,$H$14,N$2,$H$12,$A110)</f>
        <v>#VALUE!</v>
      </c>
      <c r="O110" s="126" t="e">
        <f>_xll.DBRW($G$3,$H$15,$H$17,$H$13,$H$16,$H$14,O$2,$H$12,$B110)+_xll.DBRW($G$3,$H$15,$H$17,$H$13,$H$16,$H$14,O$2,$H$12,$A110)</f>
        <v>#VALUE!</v>
      </c>
      <c r="P110" s="126" t="e">
        <f>_xll.DBRW($G$3,$H$15,$H$17,$H$13,$H$16,$H$14,P$2,$H$12,$B110)+_xll.DBRW($G$3,$H$15,$H$17,$H$13,$H$16,$H$14,P$2,$H$12,$A110)</f>
        <v>#VALUE!</v>
      </c>
      <c r="Q110" s="131"/>
      <c r="R110" s="131"/>
      <c r="S110" s="126" t="e">
        <f>_xll.DBRW($G$3,$U$15,$H$17,$U$13,$U$16,$U$14,S$2,$U$12,$B110)+_xll.DBRW($G$3,$U$15,$H$17,$U$13,$U$16,$U$14,S$2,$U$12,$A110)</f>
        <v>#VALUE!</v>
      </c>
      <c r="T110" s="126" t="e">
        <f>_xll.DBRW($G$3,$U$15,$H$17,$U$13,$U$16,$U$14,T$2,$U$12,$B110)+_xll.DBRW($G$3,$U$15,$H$17,$U$13,$U$16,$U$14,T$2,$U$12,$A110)</f>
        <v>#VALUE!</v>
      </c>
      <c r="U110" s="126" t="e">
        <f>_xll.DBRW($G$3,$U$15,$H$17,$U$13,$U$16,$U$14,U$2,$U$12,$B110)+_xll.DBRW($G$3,$U$15,$H$17,$U$13,$U$16,$U$14,U$2,$U$12,$A110)</f>
        <v>#VALUE!</v>
      </c>
      <c r="V110" s="126" t="e">
        <f>_xll.DBRW($G$3,$U$15,$H$17,$U$13,$U$16,$U$14,V$2,$U$12,$B110)+_xll.DBRW($G$3,$U$15,$H$17,$U$13,$U$16,$U$14,V$2,$U$12,$A110)</f>
        <v>#VALUE!</v>
      </c>
      <c r="W110" s="126" t="e">
        <f>_xll.DBRW($G$3,$U$15,$H$17,$U$13,$U$16,$U$14,W$2,$U$12,$B110)+_xll.DBRW($G$3,$U$15,$H$17,$U$13,$U$16,$U$14,W$2,$U$12,$A110)</f>
        <v>#VALUE!</v>
      </c>
      <c r="X110" s="126" t="e">
        <f>_xll.DBRW($G$3,$U$15,$H$17,$U$13,$U$16,$U$14,X$2,$U$12,$B110)+_xll.DBRW($G$3,$U$15,$H$17,$U$13,$U$16,$U$14,X$2,$U$12,$A110)</f>
        <v>#VALUE!</v>
      </c>
      <c r="Y110" s="126" t="e">
        <f>_xll.DBRW($G$3,$U$15,$H$17,$U$13,$U$16,$U$14,Y$2,$U$12,$B110)+_xll.DBRW($G$3,$U$15,$H$17,$U$13,$U$16,$U$14,Y$2,$U$12,$A110)</f>
        <v>#VALUE!</v>
      </c>
      <c r="Z110" s="126" t="e">
        <f>_xll.DBRW($G$3,$U$15,$H$17,$U$13,$U$16,$U$14,Z$2,$U$12,$B110)+_xll.DBRW($G$3,$U$15,$H$17,$U$13,$U$16,$U$14,Z$2,$U$12,$A110)</f>
        <v>#VALUE!</v>
      </c>
      <c r="AA110" s="131"/>
      <c r="AB110" s="126" t="e">
        <f t="shared" ref="AB110:AB113" si="54">U110-I110</f>
        <v>#VALUE!</v>
      </c>
      <c r="AC110" s="127" t="e">
        <f t="shared" ref="AC110:AC113" si="55">V110-J110</f>
        <v>#VALUE!</v>
      </c>
      <c r="AD110" s="127" t="e">
        <f t="shared" ref="AD110:AD113" si="56">W110-K110</f>
        <v>#VALUE!</v>
      </c>
      <c r="AE110" s="127" t="e">
        <f t="shared" ref="AE110:AE113" si="57">X110-L110</f>
        <v>#VALUE!</v>
      </c>
      <c r="AF110" s="127" t="e">
        <f t="shared" ref="AF110:AF113" si="58">Y110-M110</f>
        <v>#VALUE!</v>
      </c>
      <c r="AG110" s="127" t="e">
        <f t="shared" ref="AG110:AG113" si="59">Z110-N110</f>
        <v>#VALUE!</v>
      </c>
      <c r="AH110" s="127" t="e">
        <f t="shared" ref="AH110:AH113" si="60">AA110-O110</f>
        <v>#VALUE!</v>
      </c>
      <c r="AI110" s="128" t="e">
        <f t="shared" ref="AI110:AI113" si="61">AB110-P110</f>
        <v>#VALUE!</v>
      </c>
      <c r="AR110" s="43"/>
    </row>
    <row r="111" spans="1:44" ht="21.75" customHeight="1">
      <c r="A111" s="50" t="s">
        <v>133</v>
      </c>
      <c r="B111" s="64"/>
      <c r="C111" s="41"/>
      <c r="D111" s="41">
        <v>90</v>
      </c>
      <c r="G111" s="185" t="str">
        <f>_xll.DBRA(Server&amp;$A$21,$A111,$H$18)</f>
        <v>New Operating financial assets - IFRIC 12 bifurcated IFRS16</v>
      </c>
      <c r="H111" s="186"/>
      <c r="I111" s="153" t="e">
        <f>_xll.DBRW($G$3,$H$15,$H$17,$H$13,$H$16,$H$14,I$2,$H$12,$A111)</f>
        <v>#VALUE!</v>
      </c>
      <c r="J111" s="153" t="e">
        <f>_xll.DBRW($G$3,$H$15,$H$17,$H$13,$H$16,$H$14,J$2,$H$12,$A111)</f>
        <v>#VALUE!</v>
      </c>
      <c r="K111" s="153" t="e">
        <f>_xll.DBRW($G$3,$H$15,$H$17,$H$13,$H$16,$H$14,K$2,$H$12,$A111)</f>
        <v>#VALUE!</v>
      </c>
      <c r="L111" s="153" t="e">
        <f>_xll.DBRW($G$3,$H$15,$H$17,$H$13,$H$16,$H$14,L$2,$H$12,$A111)</f>
        <v>#VALUE!</v>
      </c>
      <c r="M111" s="153" t="e">
        <f>_xll.DBRW($G$3,$H$15,$H$17,$H$13,$H$16,$H$14,M$2,$H$12,$A111)</f>
        <v>#VALUE!</v>
      </c>
      <c r="N111" s="153" t="e">
        <f>_xll.DBRW($G$3,$H$15,$H$17,$H$13,$H$16,$H$14,N$2,$H$12,$A111)</f>
        <v>#VALUE!</v>
      </c>
      <c r="O111" s="153" t="e">
        <f>_xll.DBRW($G$3,$H$15,$H$17,$H$13,$H$16,$H$14,O$2,$H$12,$A111)</f>
        <v>#VALUE!</v>
      </c>
      <c r="P111" s="153" t="e">
        <f>_xll.DBRW($G$3,$H$15,$H$17,$H$13,$H$16,$H$14,P$2,$H$12,$A111)</f>
        <v>#VALUE!</v>
      </c>
      <c r="Q111" s="131"/>
      <c r="R111" s="131"/>
      <c r="S111" s="153" t="e">
        <f>_xll.DBRW($G$3,$U$15,$H$17,$U$13,$U$16,$U$14,S$2,$U$12,$A111)</f>
        <v>#VALUE!</v>
      </c>
      <c r="T111" s="153" t="e">
        <f>_xll.DBRW($G$3,$U$15,$H$17,$U$13,$U$16,$U$14,T$2,$U$12,$A111)</f>
        <v>#VALUE!</v>
      </c>
      <c r="U111" s="153" t="e">
        <f>_xll.DBRW($G$3,$U$15,$H$17,$U$13,$U$16,$U$14,U$2,$U$12,$A111)</f>
        <v>#VALUE!</v>
      </c>
      <c r="V111" s="153" t="e">
        <f>_xll.DBRW($G$3,$U$15,$H$17,$U$13,$U$16,$U$14,V$2,$U$12,$A111)</f>
        <v>#VALUE!</v>
      </c>
      <c r="W111" s="153" t="e">
        <f>_xll.DBRW($G$3,$U$15,$H$17,$U$13,$U$16,$U$14,W$2,$U$12,$A111)</f>
        <v>#VALUE!</v>
      </c>
      <c r="X111" s="153" t="e">
        <f>_xll.DBRW($G$3,$U$15,$H$17,$U$13,$U$16,$U$14,X$2,$U$12,$A111)</f>
        <v>#VALUE!</v>
      </c>
      <c r="Y111" s="153" t="e">
        <f>_xll.DBRW($G$3,$U$15,$H$17,$U$13,$U$16,$U$14,Y$2,$U$12,$A111)</f>
        <v>#VALUE!</v>
      </c>
      <c r="Z111" s="153" t="e">
        <f>_xll.DBRW($G$3,$U$15,$H$17,$U$13,$U$16,$U$14,Z$2,$U$12,$A111)</f>
        <v>#VALUE!</v>
      </c>
      <c r="AA111" s="131"/>
      <c r="AB111" s="153" t="e">
        <f t="shared" si="54"/>
        <v>#VALUE!</v>
      </c>
      <c r="AC111" s="153" t="e">
        <f t="shared" si="55"/>
        <v>#VALUE!</v>
      </c>
      <c r="AD111" s="153" t="e">
        <f t="shared" si="56"/>
        <v>#VALUE!</v>
      </c>
      <c r="AE111" s="153" t="e">
        <f t="shared" si="57"/>
        <v>#VALUE!</v>
      </c>
      <c r="AF111" s="153" t="e">
        <f t="shared" si="58"/>
        <v>#VALUE!</v>
      </c>
      <c r="AG111" s="153" t="e">
        <f t="shared" si="59"/>
        <v>#VALUE!</v>
      </c>
      <c r="AH111" s="153" t="e">
        <f t="shared" si="60"/>
        <v>#VALUE!</v>
      </c>
      <c r="AI111" s="153" t="e">
        <f t="shared" si="61"/>
        <v>#VALUE!</v>
      </c>
      <c r="AR111" s="43"/>
    </row>
    <row r="112" spans="1:44" ht="21.75" customHeight="1" thickBot="1">
      <c r="A112" s="50" t="s">
        <v>132</v>
      </c>
      <c r="B112" s="64"/>
      <c r="C112" s="41"/>
      <c r="D112" s="41">
        <v>91</v>
      </c>
      <c r="G112" s="185" t="str">
        <f>_xll.DBRA(Server&amp;$A$21,$A112,$H$18)</f>
        <v>New Operating financial assets - IFRIC 12 Off Balance sheet</v>
      </c>
      <c r="H112" s="186"/>
      <c r="I112" s="153" t="e">
        <f>_xll.DBRW($G$3,$H$15,$H$17,$H$13,$H$16,$H$14,I$2,$H$12,$A112)</f>
        <v>#VALUE!</v>
      </c>
      <c r="J112" s="153" t="e">
        <f>_xll.DBRW($G$3,$H$15,$H$17,$H$13,$H$16,$H$14,J$2,$H$12,$A112)</f>
        <v>#VALUE!</v>
      </c>
      <c r="K112" s="153" t="e">
        <f>_xll.DBRW($G$3,$H$15,$H$17,$H$13,$H$16,$H$14,K$2,$H$12,$A112)</f>
        <v>#VALUE!</v>
      </c>
      <c r="L112" s="153" t="e">
        <f>_xll.DBRW($G$3,$H$15,$H$17,$H$13,$H$16,$H$14,L$2,$H$12,$A112)</f>
        <v>#VALUE!</v>
      </c>
      <c r="M112" s="153" t="e">
        <f>_xll.DBRW($G$3,$H$15,$H$17,$H$13,$H$16,$H$14,M$2,$H$12,$A112)</f>
        <v>#VALUE!</v>
      </c>
      <c r="N112" s="153" t="e">
        <f>_xll.DBRW($G$3,$H$15,$H$17,$H$13,$H$16,$H$14,N$2,$H$12,$A112)</f>
        <v>#VALUE!</v>
      </c>
      <c r="O112" s="153" t="e">
        <f>_xll.DBRW($G$3,$H$15,$H$17,$H$13,$H$16,$H$14,O$2,$H$12,$A112)</f>
        <v>#VALUE!</v>
      </c>
      <c r="P112" s="153" t="e">
        <f>_xll.DBRW($G$3,$H$15,$H$17,$H$13,$H$16,$H$14,P$2,$H$12,$A112)</f>
        <v>#VALUE!</v>
      </c>
      <c r="Q112" s="131"/>
      <c r="R112" s="131"/>
      <c r="S112" s="153" t="e">
        <f>_xll.DBRW($G$3,$U$15,$H$17,$U$13,$U$16,$U$14,S$2,$U$12,$A112)</f>
        <v>#VALUE!</v>
      </c>
      <c r="T112" s="153" t="e">
        <f>_xll.DBRW($G$3,$U$15,$H$17,$U$13,$U$16,$U$14,T$2,$U$12,$A112)</f>
        <v>#VALUE!</v>
      </c>
      <c r="U112" s="153" t="e">
        <f>_xll.DBRW($G$3,$U$15,$H$17,$U$13,$U$16,$U$14,U$2,$U$12,$A112)</f>
        <v>#VALUE!</v>
      </c>
      <c r="V112" s="153" t="e">
        <f>_xll.DBRW($G$3,$U$15,$H$17,$U$13,$U$16,$U$14,V$2,$U$12,$A112)</f>
        <v>#VALUE!</v>
      </c>
      <c r="W112" s="153" t="e">
        <f>_xll.DBRW($G$3,$U$15,$H$17,$U$13,$U$16,$U$14,W$2,$U$12,$A112)</f>
        <v>#VALUE!</v>
      </c>
      <c r="X112" s="153" t="e">
        <f>_xll.DBRW($G$3,$U$15,$H$17,$U$13,$U$16,$U$14,X$2,$U$12,$A112)</f>
        <v>#VALUE!</v>
      </c>
      <c r="Y112" s="153" t="e">
        <f>_xll.DBRW($G$3,$U$15,$H$17,$U$13,$U$16,$U$14,Y$2,$U$12,$A112)</f>
        <v>#VALUE!</v>
      </c>
      <c r="Z112" s="153" t="e">
        <f>_xll.DBRW($G$3,$U$15,$H$17,$U$13,$U$16,$U$14,Z$2,$U$12,$A112)</f>
        <v>#VALUE!</v>
      </c>
      <c r="AA112" s="131"/>
      <c r="AB112" s="153" t="e">
        <f t="shared" si="54"/>
        <v>#VALUE!</v>
      </c>
      <c r="AC112" s="153" t="e">
        <f t="shared" si="55"/>
        <v>#VALUE!</v>
      </c>
      <c r="AD112" s="153" t="e">
        <f t="shared" si="56"/>
        <v>#VALUE!</v>
      </c>
      <c r="AE112" s="153" t="e">
        <f t="shared" si="57"/>
        <v>#VALUE!</v>
      </c>
      <c r="AF112" s="153" t="e">
        <f t="shared" si="58"/>
        <v>#VALUE!</v>
      </c>
      <c r="AG112" s="153" t="e">
        <f t="shared" si="59"/>
        <v>#VALUE!</v>
      </c>
      <c r="AH112" s="153" t="e">
        <f t="shared" si="60"/>
        <v>#VALUE!</v>
      </c>
      <c r="AI112" s="153" t="e">
        <f t="shared" si="61"/>
        <v>#VALUE!</v>
      </c>
      <c r="AR112" s="43"/>
    </row>
    <row r="113" spans="1:44" ht="21.75" customHeight="1" thickBot="1">
      <c r="A113" s="50"/>
      <c r="B113" s="64"/>
      <c r="C113" s="41"/>
      <c r="D113" s="41">
        <v>92</v>
      </c>
      <c r="G113" s="184" t="str">
        <f>IF($H$18="English","Total Gross Investments (all financing modes)","Total des Investissements bruts (tout mode de financement)")</f>
        <v>Total Gross Investments (all financing modes)</v>
      </c>
      <c r="H113" s="184"/>
      <c r="I113" s="134" t="e">
        <f t="shared" ref="I113:P113" si="62">SUM(I110:I112)</f>
        <v>#VALUE!</v>
      </c>
      <c r="J113" s="134" t="e">
        <f t="shared" si="62"/>
        <v>#VALUE!</v>
      </c>
      <c r="K113" s="134" t="e">
        <f t="shared" si="62"/>
        <v>#VALUE!</v>
      </c>
      <c r="L113" s="134" t="e">
        <f t="shared" si="62"/>
        <v>#VALUE!</v>
      </c>
      <c r="M113" s="134" t="e">
        <f t="shared" si="62"/>
        <v>#VALUE!</v>
      </c>
      <c r="N113" s="134" t="e">
        <f t="shared" si="62"/>
        <v>#VALUE!</v>
      </c>
      <c r="O113" s="134" t="e">
        <f t="shared" si="62"/>
        <v>#VALUE!</v>
      </c>
      <c r="P113" s="134" t="e">
        <f t="shared" si="62"/>
        <v>#VALUE!</v>
      </c>
      <c r="Q113" s="131"/>
      <c r="R113" s="131"/>
      <c r="S113" s="134" t="e">
        <f t="shared" ref="S113:Z113" si="63">SUM(S110:S112)</f>
        <v>#VALUE!</v>
      </c>
      <c r="T113" s="134" t="e">
        <f t="shared" si="63"/>
        <v>#VALUE!</v>
      </c>
      <c r="U113" s="134" t="e">
        <f t="shared" si="63"/>
        <v>#VALUE!</v>
      </c>
      <c r="V113" s="134" t="e">
        <f t="shared" si="63"/>
        <v>#VALUE!</v>
      </c>
      <c r="W113" s="134" t="e">
        <f t="shared" si="63"/>
        <v>#VALUE!</v>
      </c>
      <c r="X113" s="134" t="e">
        <f t="shared" si="63"/>
        <v>#VALUE!</v>
      </c>
      <c r="Y113" s="134" t="e">
        <f t="shared" si="63"/>
        <v>#VALUE!</v>
      </c>
      <c r="Z113" s="134" t="e">
        <f t="shared" si="63"/>
        <v>#VALUE!</v>
      </c>
      <c r="AA113" s="131"/>
      <c r="AB113" s="134" t="e">
        <f t="shared" si="54"/>
        <v>#VALUE!</v>
      </c>
      <c r="AC113" s="134" t="e">
        <f t="shared" si="55"/>
        <v>#VALUE!</v>
      </c>
      <c r="AD113" s="134" t="e">
        <f t="shared" si="56"/>
        <v>#VALUE!</v>
      </c>
      <c r="AE113" s="134" t="e">
        <f t="shared" si="57"/>
        <v>#VALUE!</v>
      </c>
      <c r="AF113" s="134" t="e">
        <f t="shared" si="58"/>
        <v>#VALUE!</v>
      </c>
      <c r="AG113" s="134" t="e">
        <f t="shared" si="59"/>
        <v>#VALUE!</v>
      </c>
      <c r="AH113" s="134" t="e">
        <f t="shared" si="60"/>
        <v>#VALUE!</v>
      </c>
      <c r="AI113" s="134" t="e">
        <f t="shared" si="61"/>
        <v>#VALUE!</v>
      </c>
      <c r="AR113" s="43"/>
    </row>
    <row r="114" spans="1:44" ht="24.75" customHeight="1">
      <c r="A114" s="50"/>
      <c r="B114" s="64"/>
      <c r="C114" s="41"/>
      <c r="D114" s="41">
        <v>93</v>
      </c>
      <c r="G114" s="154"/>
      <c r="H114" s="155"/>
      <c r="I114" s="153"/>
      <c r="J114" s="153"/>
      <c r="K114" s="153"/>
      <c r="L114" s="153"/>
      <c r="M114" s="153"/>
      <c r="N114" s="153"/>
      <c r="O114" s="153"/>
      <c r="P114" s="153"/>
      <c r="Q114" s="131"/>
      <c r="R114" s="131"/>
      <c r="S114" s="153"/>
      <c r="T114" s="153"/>
      <c r="U114" s="153"/>
      <c r="V114" s="153"/>
      <c r="W114" s="153"/>
      <c r="X114" s="153"/>
      <c r="Y114" s="153"/>
      <c r="Z114" s="153"/>
      <c r="AA114" s="131"/>
      <c r="AB114" s="153"/>
      <c r="AC114" s="153"/>
      <c r="AD114" s="153"/>
      <c r="AE114" s="153"/>
      <c r="AF114" s="153"/>
      <c r="AG114" s="153"/>
      <c r="AH114" s="153"/>
      <c r="AI114" s="153"/>
      <c r="AR114" s="43"/>
    </row>
    <row r="115" spans="1:44" s="119" customFormat="1" ht="27.75" customHeight="1">
      <c r="A115" s="168"/>
      <c r="B115" s="169"/>
      <c r="C115" s="115"/>
      <c r="D115" s="115">
        <v>94</v>
      </c>
      <c r="E115" s="116"/>
      <c r="F115" s="117"/>
      <c r="G115" s="187" t="s">
        <v>158</v>
      </c>
      <c r="H115" s="187"/>
      <c r="I115" s="121" t="e">
        <f>I$21</f>
        <v>#VALUE!</v>
      </c>
      <c r="J115" s="121" t="e">
        <f t="shared" ref="J115:P115" si="64">J$21</f>
        <v>#VALUE!</v>
      </c>
      <c r="K115" s="121" t="e">
        <f t="shared" si="64"/>
        <v>#VALUE!</v>
      </c>
      <c r="L115" s="121" t="e">
        <f t="shared" si="64"/>
        <v>#VALUE!</v>
      </c>
      <c r="M115" s="121" t="e">
        <f t="shared" si="64"/>
        <v>#VALUE!</v>
      </c>
      <c r="N115" s="121" t="e">
        <f t="shared" si="64"/>
        <v>#VALUE!</v>
      </c>
      <c r="O115" s="121" t="e">
        <f t="shared" si="64"/>
        <v>#VALUE!</v>
      </c>
      <c r="P115" s="121" t="e">
        <f t="shared" si="64"/>
        <v>#VALUE!</v>
      </c>
      <c r="Q115" s="131"/>
      <c r="R115" s="131"/>
      <c r="S115" s="121" t="e">
        <f>S$21</f>
        <v>#VALUE!</v>
      </c>
      <c r="T115" s="121" t="e">
        <f t="shared" ref="T115:Z115" si="65">T$21</f>
        <v>#VALUE!</v>
      </c>
      <c r="U115" s="121" t="e">
        <f t="shared" si="65"/>
        <v>#VALUE!</v>
      </c>
      <c r="V115" s="121" t="e">
        <f t="shared" si="65"/>
        <v>#VALUE!</v>
      </c>
      <c r="W115" s="121" t="e">
        <f t="shared" si="65"/>
        <v>#VALUE!</v>
      </c>
      <c r="X115" s="121" t="e">
        <f t="shared" si="65"/>
        <v>#VALUE!</v>
      </c>
      <c r="Y115" s="121" t="e">
        <f t="shared" si="65"/>
        <v>#VALUE!</v>
      </c>
      <c r="Z115" s="121" t="e">
        <f t="shared" si="65"/>
        <v>#VALUE!</v>
      </c>
      <c r="AA115" s="131"/>
      <c r="AB115" s="175"/>
      <c r="AC115" s="175"/>
      <c r="AD115" s="175"/>
      <c r="AE115" s="175"/>
      <c r="AF115" s="175"/>
      <c r="AG115" s="175"/>
      <c r="AH115" s="175"/>
      <c r="AI115" s="175"/>
      <c r="AJ115" s="118"/>
      <c r="AK115" s="118"/>
      <c r="AL115" s="118"/>
      <c r="AM115" s="118"/>
      <c r="AN115" s="118"/>
      <c r="AO115" s="118"/>
      <c r="AP115" s="118"/>
      <c r="AQ115" s="118"/>
    </row>
    <row r="116" spans="1:44" ht="5.25" customHeight="1" thickBot="1">
      <c r="A116" s="50"/>
      <c r="B116" s="64"/>
      <c r="C116" s="41"/>
      <c r="D116" s="41">
        <v>95</v>
      </c>
      <c r="G116" s="123"/>
      <c r="H116" s="124"/>
      <c r="I116" s="125"/>
      <c r="J116" s="125"/>
      <c r="K116" s="125"/>
      <c r="L116" s="125"/>
      <c r="M116" s="125"/>
      <c r="N116" s="125"/>
      <c r="O116" s="125"/>
      <c r="P116" s="125"/>
      <c r="Q116" s="131"/>
      <c r="R116" s="131"/>
      <c r="S116" s="125"/>
      <c r="T116" s="125"/>
      <c r="U116" s="125"/>
      <c r="V116" s="125"/>
      <c r="W116" s="125"/>
      <c r="X116" s="125"/>
      <c r="Y116" s="125"/>
      <c r="Z116" s="125"/>
      <c r="AA116" s="131"/>
      <c r="AB116" s="173"/>
      <c r="AC116" s="173"/>
      <c r="AD116" s="173"/>
      <c r="AE116" s="173"/>
      <c r="AF116" s="173"/>
      <c r="AG116" s="173"/>
      <c r="AH116" s="173"/>
      <c r="AI116" s="173"/>
      <c r="AR116" s="43"/>
    </row>
    <row r="117" spans="1:44" s="94" customFormat="1" ht="21.75" customHeight="1">
      <c r="A117" s="50"/>
      <c r="B117" s="64"/>
      <c r="C117" s="41"/>
      <c r="D117" s="41">
        <v>96</v>
      </c>
      <c r="E117" s="92"/>
      <c r="F117" s="93"/>
      <c r="G117" s="156" t="str">
        <f>IF($H$18="English","Amortization /Revenue","Amortissements / Chiffre d'affaires")</f>
        <v>Amortization /Revenue</v>
      </c>
      <c r="H117" s="156"/>
      <c r="I117" s="157" t="str">
        <f t="shared" ref="I117:P117" si="66">IFERROR(I51/I24,"")</f>
        <v/>
      </c>
      <c r="J117" s="157" t="str">
        <f t="shared" si="66"/>
        <v/>
      </c>
      <c r="K117" s="157" t="str">
        <f t="shared" si="66"/>
        <v/>
      </c>
      <c r="L117" s="157" t="str">
        <f t="shared" si="66"/>
        <v/>
      </c>
      <c r="M117" s="157" t="str">
        <f t="shared" si="66"/>
        <v/>
      </c>
      <c r="N117" s="157" t="str">
        <f t="shared" si="66"/>
        <v/>
      </c>
      <c r="O117" s="157" t="str">
        <f t="shared" si="66"/>
        <v/>
      </c>
      <c r="P117" s="157" t="str">
        <f t="shared" si="66"/>
        <v/>
      </c>
      <c r="Q117" s="131"/>
      <c r="R117" s="131"/>
      <c r="S117" s="157" t="str">
        <f t="shared" ref="S117:Z117" si="67">IFERROR(S51/S24,"")</f>
        <v/>
      </c>
      <c r="T117" s="157" t="str">
        <f t="shared" si="67"/>
        <v/>
      </c>
      <c r="U117" s="157" t="str">
        <f t="shared" si="67"/>
        <v/>
      </c>
      <c r="V117" s="157" t="str">
        <f t="shared" si="67"/>
        <v/>
      </c>
      <c r="W117" s="157" t="str">
        <f t="shared" si="67"/>
        <v/>
      </c>
      <c r="X117" s="157" t="str">
        <f t="shared" si="67"/>
        <v/>
      </c>
      <c r="Y117" s="157" t="str">
        <f t="shared" si="67"/>
        <v/>
      </c>
      <c r="Z117" s="157" t="str">
        <f t="shared" si="67"/>
        <v/>
      </c>
      <c r="AA117" s="131"/>
      <c r="AB117" s="157"/>
      <c r="AC117" s="157"/>
      <c r="AD117" s="157"/>
      <c r="AE117" s="157"/>
      <c r="AF117" s="157"/>
      <c r="AG117" s="157"/>
      <c r="AH117" s="157"/>
      <c r="AI117" s="157"/>
    </row>
    <row r="118" spans="1:44" s="94" customFormat="1" ht="21.75" customHeight="1">
      <c r="A118" s="50"/>
      <c r="B118" s="64"/>
      <c r="C118" s="41"/>
      <c r="D118" s="41">
        <v>97</v>
      </c>
      <c r="E118" s="103"/>
      <c r="F118" s="93"/>
      <c r="G118" s="158" t="str">
        <f>IF($H$18="English","ROCE after theoritical MF &amp; Tax excl. IFRIC12","ROCE après MF et Impot théoriques et avant IFRIC12")</f>
        <v>ROCE after theoritical MF &amp; Tax excl. IFRIC12</v>
      </c>
      <c r="H118" s="159"/>
      <c r="I118" s="160" t="s">
        <v>159</v>
      </c>
      <c r="J118" s="157" t="str">
        <f>IFERROR(J132,"-")</f>
        <v>-</v>
      </c>
      <c r="K118" s="157" t="str">
        <f t="shared" ref="K118:P118" si="68">IFERROR(K132,"-")</f>
        <v>-</v>
      </c>
      <c r="L118" s="157" t="str">
        <f t="shared" si="68"/>
        <v>-</v>
      </c>
      <c r="M118" s="157" t="str">
        <f t="shared" si="68"/>
        <v>-</v>
      </c>
      <c r="N118" s="157" t="str">
        <f t="shared" si="68"/>
        <v>-</v>
      </c>
      <c r="O118" s="157" t="str">
        <f t="shared" si="68"/>
        <v>-</v>
      </c>
      <c r="P118" s="157" t="str">
        <f t="shared" si="68"/>
        <v>-</v>
      </c>
      <c r="Q118" s="122"/>
      <c r="R118" s="122"/>
      <c r="S118" s="160" t="s">
        <v>159</v>
      </c>
      <c r="T118" s="157" t="str">
        <f>IFERROR(T132,"-")</f>
        <v>-</v>
      </c>
      <c r="U118" s="157" t="str">
        <f t="shared" ref="U118:Z118" si="69">IFERROR(U132,"-")</f>
        <v>-</v>
      </c>
      <c r="V118" s="157" t="str">
        <f t="shared" si="69"/>
        <v>-</v>
      </c>
      <c r="W118" s="157" t="str">
        <f t="shared" si="69"/>
        <v>-</v>
      </c>
      <c r="X118" s="157" t="str">
        <f t="shared" si="69"/>
        <v>-</v>
      </c>
      <c r="Y118" s="157" t="str">
        <f t="shared" si="69"/>
        <v>-</v>
      </c>
      <c r="Z118" s="157" t="str">
        <f t="shared" si="69"/>
        <v>-</v>
      </c>
      <c r="AA118" s="122"/>
      <c r="AB118" s="160"/>
      <c r="AC118" s="157"/>
      <c r="AD118" s="157"/>
      <c r="AE118" s="157"/>
      <c r="AF118" s="157"/>
      <c r="AG118" s="157"/>
      <c r="AH118" s="157"/>
      <c r="AI118" s="157"/>
      <c r="AN118" s="113"/>
    </row>
    <row r="119" spans="1:44" s="94" customFormat="1" ht="21.75" customHeight="1">
      <c r="A119" s="50"/>
      <c r="B119" s="64"/>
      <c r="C119" s="41"/>
      <c r="D119" s="41">
        <v>98</v>
      </c>
      <c r="E119" s="103"/>
      <c r="F119" s="93"/>
      <c r="G119" s="158" t="str">
        <f>IF($H$18="English","Implicit interest rate","Taux d'intérêt implicite")</f>
        <v>Implicit interest rate</v>
      </c>
      <c r="H119" s="159"/>
      <c r="I119" s="160" t="s">
        <v>159</v>
      </c>
      <c r="J119" s="157" t="str">
        <f t="shared" ref="J119:K119" si="70">IFERROR(J38/AVERAGE(I97:J97),"-")</f>
        <v>-</v>
      </c>
      <c r="K119" s="157" t="str">
        <f t="shared" si="70"/>
        <v>-</v>
      </c>
      <c r="L119" s="157" t="str">
        <f>IFERROR(L38/AVERAGE(K97:L97),"-")</f>
        <v>-</v>
      </c>
      <c r="M119" s="157" t="str">
        <f t="shared" ref="M119:P119" si="71">IFERROR(M38/AVERAGE(L97:M97),"-")</f>
        <v>-</v>
      </c>
      <c r="N119" s="157" t="str">
        <f t="shared" si="71"/>
        <v>-</v>
      </c>
      <c r="O119" s="157" t="str">
        <f t="shared" si="71"/>
        <v>-</v>
      </c>
      <c r="P119" s="157" t="str">
        <f t="shared" si="71"/>
        <v>-</v>
      </c>
      <c r="Q119" s="122"/>
      <c r="R119" s="122"/>
      <c r="S119" s="160" t="s">
        <v>159</v>
      </c>
      <c r="T119" s="157" t="str">
        <f t="shared" ref="T119" si="72">IFERROR(T38/AVERAGE(S97:T97),"-")</f>
        <v>-</v>
      </c>
      <c r="U119" s="157" t="str">
        <f t="shared" ref="U119" si="73">IFERROR(U38/AVERAGE(T97:U97),"-")</f>
        <v>-</v>
      </c>
      <c r="V119" s="157" t="str">
        <f>IFERROR(V38/AVERAGE(U97:V97),"-")</f>
        <v>-</v>
      </c>
      <c r="W119" s="157" t="str">
        <f t="shared" ref="W119" si="74">IFERROR(W38/AVERAGE(V97:W97),"-")</f>
        <v>-</v>
      </c>
      <c r="X119" s="157" t="str">
        <f t="shared" ref="X119" si="75">IFERROR(X38/AVERAGE(W97:X97),"-")</f>
        <v>-</v>
      </c>
      <c r="Y119" s="157" t="str">
        <f t="shared" ref="Y119" si="76">IFERROR(Y38/AVERAGE(X97:Y97),"-")</f>
        <v>-</v>
      </c>
      <c r="Z119" s="157" t="str">
        <f t="shared" ref="Z119" si="77">IFERROR(Z38/AVERAGE(Y97:Z97),"-")</f>
        <v>-</v>
      </c>
      <c r="AA119" s="122"/>
      <c r="AB119" s="160"/>
      <c r="AC119" s="157"/>
      <c r="AD119" s="157"/>
      <c r="AE119" s="157"/>
      <c r="AF119" s="157"/>
      <c r="AG119" s="157"/>
      <c r="AH119" s="157"/>
      <c r="AI119" s="157"/>
      <c r="AP119" s="113"/>
    </row>
    <row r="120" spans="1:44" s="94" customFormat="1" ht="21.75" customHeight="1">
      <c r="A120" s="50"/>
      <c r="B120" s="64"/>
      <c r="C120" s="41"/>
      <c r="D120" s="41">
        <v>98</v>
      </c>
      <c r="E120" s="103"/>
      <c r="F120" s="93"/>
      <c r="G120" s="158" t="str">
        <f>IF($H$18="English","Effective tax rate","Taux d'impôt effectif")</f>
        <v>Effective tax rate</v>
      </c>
      <c r="H120" s="159"/>
      <c r="I120" s="160" t="str">
        <f>IFERROR(-I41/I40,"-")</f>
        <v>-</v>
      </c>
      <c r="J120" s="160" t="str">
        <f t="shared" ref="J120:P120" si="78">IFERROR(-J41/J40,"-")</f>
        <v>-</v>
      </c>
      <c r="K120" s="160" t="str">
        <f t="shared" si="78"/>
        <v>-</v>
      </c>
      <c r="L120" s="160" t="str">
        <f t="shared" si="78"/>
        <v>-</v>
      </c>
      <c r="M120" s="160" t="str">
        <f t="shared" si="78"/>
        <v>-</v>
      </c>
      <c r="N120" s="160" t="str">
        <f t="shared" si="78"/>
        <v>-</v>
      </c>
      <c r="O120" s="160" t="str">
        <f t="shared" si="78"/>
        <v>-</v>
      </c>
      <c r="P120" s="160" t="str">
        <f t="shared" si="78"/>
        <v>-</v>
      </c>
      <c r="Q120" s="122"/>
      <c r="R120" s="122"/>
      <c r="S120" s="160" t="str">
        <f t="shared" ref="S120:Z120" si="79">IFERROR(-S41/S40,"-")</f>
        <v>-</v>
      </c>
      <c r="T120" s="160" t="str">
        <f t="shared" si="79"/>
        <v>-</v>
      </c>
      <c r="U120" s="160" t="str">
        <f t="shared" si="79"/>
        <v>-</v>
      </c>
      <c r="V120" s="160" t="str">
        <f t="shared" si="79"/>
        <v>-</v>
      </c>
      <c r="W120" s="160" t="str">
        <f t="shared" si="79"/>
        <v>-</v>
      </c>
      <c r="X120" s="160" t="str">
        <f t="shared" si="79"/>
        <v>-</v>
      </c>
      <c r="Y120" s="160" t="str">
        <f t="shared" si="79"/>
        <v>-</v>
      </c>
      <c r="Z120" s="160" t="str">
        <f t="shared" si="79"/>
        <v>-</v>
      </c>
      <c r="AA120" s="122"/>
      <c r="AB120" s="160"/>
      <c r="AC120" s="157"/>
      <c r="AD120" s="157"/>
      <c r="AE120" s="157"/>
      <c r="AF120" s="157"/>
      <c r="AG120" s="157"/>
      <c r="AH120" s="157"/>
      <c r="AI120" s="157"/>
      <c r="AP120" s="113"/>
    </row>
    <row r="121" spans="1:44" ht="21.75" hidden="1" customHeight="1" outlineLevel="1">
      <c r="AB121" s="43"/>
      <c r="AC121" s="43"/>
      <c r="AD121" s="43"/>
      <c r="AE121" s="43"/>
      <c r="AF121" s="43"/>
      <c r="AG121" s="43"/>
      <c r="AJ121" s="43"/>
      <c r="AP121" s="114"/>
    </row>
    <row r="122" spans="1:44" ht="21.75" hidden="1" customHeight="1" outlineLevel="1">
      <c r="Q122" s="79"/>
      <c r="R122" s="79"/>
      <c r="AA122" s="79"/>
      <c r="AB122" s="79"/>
      <c r="AC122" s="79"/>
      <c r="AD122" s="79"/>
      <c r="AE122" s="79"/>
      <c r="AF122" s="79"/>
      <c r="AG122" s="79"/>
      <c r="AJ122" s="43"/>
      <c r="AP122" s="114"/>
    </row>
    <row r="123" spans="1:44" ht="21.75" hidden="1" customHeight="1" outlineLevel="1">
      <c r="G123" s="202" t="s">
        <v>160</v>
      </c>
      <c r="H123" s="202"/>
      <c r="AJ123" s="43"/>
      <c r="AP123" s="114"/>
    </row>
    <row r="124" spans="1:44" ht="21.75" hidden="1" customHeight="1" outlineLevel="1">
      <c r="G124" s="108" t="e">
        <f>IF(_xll.DBRW(xServer&amp;":}ElementAttributes_Legal_Organization",ctx_legal_Context,"Country_Entity")="","Corporate",_xll.DBRW(xServer&amp;":}ElementAttributes_Legal_Organization",ctx_legal_Context,"Country_Entity"))</f>
        <v>#VALUE!</v>
      </c>
      <c r="H124" s="108" t="str">
        <f>IF(MID(H12,5,4)&gt;"2019",H12,"LTP_2021_VC")</f>
        <v>LTP_2021_VC</v>
      </c>
      <c r="AJ124" s="43"/>
    </row>
    <row r="125" spans="1:44" ht="21.75" hidden="1" customHeight="1" outlineLevel="1">
      <c r="G125" s="109" t="s">
        <v>161</v>
      </c>
      <c r="H125" s="110" t="e">
        <f>_xll.DBR("tango_core_model:ST_LTP_TAXES_INTERESTS_RATES",$H$124,$P$2,$G$124,"Theoretical_tax_rate")</f>
        <v>#VALUE!</v>
      </c>
      <c r="I125" s="105"/>
      <c r="J125" s="104"/>
      <c r="K125" s="104"/>
      <c r="L125" s="104"/>
      <c r="M125" s="104"/>
      <c r="N125" s="104"/>
      <c r="O125" s="104"/>
      <c r="S125" s="105"/>
      <c r="T125" s="104"/>
      <c r="U125" s="104"/>
      <c r="V125" s="104"/>
      <c r="W125" s="104"/>
      <c r="X125" s="104"/>
      <c r="Y125" s="104"/>
      <c r="AJ125" s="43"/>
    </row>
    <row r="126" spans="1:44" ht="21.75" hidden="1" customHeight="1" outlineLevel="1">
      <c r="G126" s="109" t="s">
        <v>162</v>
      </c>
      <c r="H126" s="110">
        <v>8.9999999999999993E-3</v>
      </c>
      <c r="I126" s="105"/>
      <c r="J126" s="104"/>
      <c r="K126" s="104"/>
      <c r="L126" s="104"/>
      <c r="M126" s="104"/>
      <c r="N126" s="104"/>
      <c r="O126" s="104"/>
      <c r="S126" s="105"/>
      <c r="T126" s="104"/>
      <c r="U126" s="104"/>
      <c r="V126" s="104"/>
      <c r="W126" s="104"/>
      <c r="X126" s="104"/>
      <c r="Y126" s="104"/>
      <c r="AJ126" s="43"/>
    </row>
    <row r="127" spans="1:44" ht="21.75" hidden="1" customHeight="1" outlineLevel="1">
      <c r="G127" s="42" t="s">
        <v>163</v>
      </c>
      <c r="H127" s="105"/>
      <c r="I127" s="51" t="e">
        <f>(I33-I25)</f>
        <v>#VALUE!</v>
      </c>
      <c r="J127" s="51" t="e">
        <f t="shared" ref="J127:P127" si="80">(J33-J25)</f>
        <v>#VALUE!</v>
      </c>
      <c r="K127" s="51" t="e">
        <f t="shared" si="80"/>
        <v>#VALUE!</v>
      </c>
      <c r="L127" s="51" t="e">
        <f t="shared" si="80"/>
        <v>#VALUE!</v>
      </c>
      <c r="M127" s="51" t="e">
        <f t="shared" si="80"/>
        <v>#VALUE!</v>
      </c>
      <c r="N127" s="51" t="e">
        <f t="shared" si="80"/>
        <v>#VALUE!</v>
      </c>
      <c r="O127" s="51" t="e">
        <f t="shared" si="80"/>
        <v>#VALUE!</v>
      </c>
      <c r="P127" s="51" t="e">
        <f t="shared" si="80"/>
        <v>#VALUE!</v>
      </c>
      <c r="S127" s="51" t="e">
        <f>(S33-S25)</f>
        <v>#VALUE!</v>
      </c>
      <c r="T127" s="51" t="e">
        <f t="shared" ref="T127:Z127" si="81">(T33-T25)</f>
        <v>#VALUE!</v>
      </c>
      <c r="U127" s="51" t="e">
        <f t="shared" si="81"/>
        <v>#VALUE!</v>
      </c>
      <c r="V127" s="51" t="e">
        <f t="shared" si="81"/>
        <v>#VALUE!</v>
      </c>
      <c r="W127" s="51" t="e">
        <f t="shared" si="81"/>
        <v>#VALUE!</v>
      </c>
      <c r="X127" s="51" t="e">
        <f t="shared" si="81"/>
        <v>#VALUE!</v>
      </c>
      <c r="Y127" s="51" t="e">
        <f t="shared" si="81"/>
        <v>#VALUE!</v>
      </c>
      <c r="Z127" s="51" t="e">
        <f t="shared" si="81"/>
        <v>#VALUE!</v>
      </c>
      <c r="AJ127" s="43"/>
    </row>
    <row r="128" spans="1:44" ht="21.75" hidden="1" customHeight="1" outlineLevel="1">
      <c r="G128" s="42" t="s">
        <v>164</v>
      </c>
      <c r="H128" s="105"/>
      <c r="I128" s="51" t="e">
        <f>IF($G$124="Corporate",0,-$H$126*I24)</f>
        <v>#VALUE!</v>
      </c>
      <c r="J128" s="51" t="e">
        <f t="shared" ref="J128:P128" si="82">IF($G$124="Corporate",0,-$H$126*J24)</f>
        <v>#VALUE!</v>
      </c>
      <c r="K128" s="51" t="e">
        <f t="shared" si="82"/>
        <v>#VALUE!</v>
      </c>
      <c r="L128" s="51" t="e">
        <f t="shared" si="82"/>
        <v>#VALUE!</v>
      </c>
      <c r="M128" s="51" t="e">
        <f t="shared" si="82"/>
        <v>#VALUE!</v>
      </c>
      <c r="N128" s="51" t="e">
        <f t="shared" si="82"/>
        <v>#VALUE!</v>
      </c>
      <c r="O128" s="51" t="e">
        <f t="shared" si="82"/>
        <v>#VALUE!</v>
      </c>
      <c r="P128" s="51" t="e">
        <f t="shared" si="82"/>
        <v>#VALUE!</v>
      </c>
      <c r="S128" s="51" t="e">
        <f>IF($G$124="Corporate",0,-$H$126*S24)</f>
        <v>#VALUE!</v>
      </c>
      <c r="T128" s="51" t="e">
        <f t="shared" ref="T128:Z128" si="83">IF($G$124="Corporate",0,-$H$126*T24)</f>
        <v>#VALUE!</v>
      </c>
      <c r="U128" s="51" t="e">
        <f t="shared" si="83"/>
        <v>#VALUE!</v>
      </c>
      <c r="V128" s="51" t="e">
        <f t="shared" si="83"/>
        <v>#VALUE!</v>
      </c>
      <c r="W128" s="51" t="e">
        <f t="shared" si="83"/>
        <v>#VALUE!</v>
      </c>
      <c r="X128" s="51" t="e">
        <f t="shared" si="83"/>
        <v>#VALUE!</v>
      </c>
      <c r="Y128" s="51" t="e">
        <f t="shared" si="83"/>
        <v>#VALUE!</v>
      </c>
      <c r="Z128" s="51" t="e">
        <f t="shared" si="83"/>
        <v>#VALUE!</v>
      </c>
      <c r="AJ128" s="43"/>
    </row>
    <row r="129" spans="7:36" ht="21.75" hidden="1" customHeight="1" outlineLevel="1">
      <c r="G129" s="42" t="s">
        <v>165</v>
      </c>
      <c r="H129" s="106"/>
      <c r="I129" s="51" t="e">
        <f>SUM(I127:I128)</f>
        <v>#VALUE!</v>
      </c>
      <c r="J129" s="51" t="e">
        <f t="shared" ref="J129:P129" si="84">SUM(J127:J128)</f>
        <v>#VALUE!</v>
      </c>
      <c r="K129" s="51" t="e">
        <f t="shared" si="84"/>
        <v>#VALUE!</v>
      </c>
      <c r="L129" s="51" t="e">
        <f t="shared" si="84"/>
        <v>#VALUE!</v>
      </c>
      <c r="M129" s="51" t="e">
        <f t="shared" si="84"/>
        <v>#VALUE!</v>
      </c>
      <c r="N129" s="51" t="e">
        <f t="shared" si="84"/>
        <v>#VALUE!</v>
      </c>
      <c r="O129" s="51" t="e">
        <f t="shared" si="84"/>
        <v>#VALUE!</v>
      </c>
      <c r="P129" s="51" t="e">
        <f t="shared" si="84"/>
        <v>#VALUE!</v>
      </c>
      <c r="S129" s="51" t="e">
        <f>SUM(S127:S128)</f>
        <v>#VALUE!</v>
      </c>
      <c r="T129" s="51" t="e">
        <f t="shared" ref="T129:Z129" si="85">SUM(T127:T128)</f>
        <v>#VALUE!</v>
      </c>
      <c r="U129" s="51" t="e">
        <f t="shared" si="85"/>
        <v>#VALUE!</v>
      </c>
      <c r="V129" s="51" t="e">
        <f t="shared" si="85"/>
        <v>#VALUE!</v>
      </c>
      <c r="W129" s="51" t="e">
        <f t="shared" si="85"/>
        <v>#VALUE!</v>
      </c>
      <c r="X129" s="51" t="e">
        <f t="shared" si="85"/>
        <v>#VALUE!</v>
      </c>
      <c r="Y129" s="51" t="e">
        <f t="shared" si="85"/>
        <v>#VALUE!</v>
      </c>
      <c r="Z129" s="51" t="e">
        <f t="shared" si="85"/>
        <v>#VALUE!</v>
      </c>
      <c r="AJ129" s="43"/>
    </row>
    <row r="130" spans="7:36" ht="21.75" hidden="1" customHeight="1" outlineLevel="1">
      <c r="G130" s="42" t="s">
        <v>161</v>
      </c>
      <c r="H130" s="106"/>
      <c r="I130" s="51" t="e">
        <f>I129*-$H$125</f>
        <v>#VALUE!</v>
      </c>
      <c r="J130" s="51" t="e">
        <f t="shared" ref="J130:P130" si="86">J129*-$H$125</f>
        <v>#VALUE!</v>
      </c>
      <c r="K130" s="51" t="e">
        <f t="shared" si="86"/>
        <v>#VALUE!</v>
      </c>
      <c r="L130" s="51" t="e">
        <f t="shared" si="86"/>
        <v>#VALUE!</v>
      </c>
      <c r="M130" s="51" t="e">
        <f t="shared" si="86"/>
        <v>#VALUE!</v>
      </c>
      <c r="N130" s="51" t="e">
        <f t="shared" si="86"/>
        <v>#VALUE!</v>
      </c>
      <c r="O130" s="51" t="e">
        <f t="shared" si="86"/>
        <v>#VALUE!</v>
      </c>
      <c r="P130" s="51" t="e">
        <f t="shared" si="86"/>
        <v>#VALUE!</v>
      </c>
      <c r="S130" s="51" t="e">
        <f>S129*-$H$125</f>
        <v>#VALUE!</v>
      </c>
      <c r="T130" s="51" t="e">
        <f t="shared" ref="T130:Z130" si="87">T129*-$H$125</f>
        <v>#VALUE!</v>
      </c>
      <c r="U130" s="51" t="e">
        <f t="shared" si="87"/>
        <v>#VALUE!</v>
      </c>
      <c r="V130" s="51" t="e">
        <f t="shared" si="87"/>
        <v>#VALUE!</v>
      </c>
      <c r="W130" s="51" t="e">
        <f t="shared" si="87"/>
        <v>#VALUE!</v>
      </c>
      <c r="X130" s="51" t="e">
        <f t="shared" si="87"/>
        <v>#VALUE!</v>
      </c>
      <c r="Y130" s="51" t="e">
        <f t="shared" si="87"/>
        <v>#VALUE!</v>
      </c>
      <c r="Z130" s="51" t="e">
        <f t="shared" si="87"/>
        <v>#VALUE!</v>
      </c>
      <c r="AJ130" s="43"/>
    </row>
    <row r="131" spans="7:36" ht="21.75" hidden="1" customHeight="1" outlineLevel="1">
      <c r="G131" s="76" t="s">
        <v>166</v>
      </c>
      <c r="H131" s="111"/>
      <c r="I131" s="112" t="e">
        <f>SUM(I129:I130)</f>
        <v>#VALUE!</v>
      </c>
      <c r="J131" s="112" t="e">
        <f t="shared" ref="J131:P131" si="88">SUM(J129:J130)</f>
        <v>#VALUE!</v>
      </c>
      <c r="K131" s="112" t="e">
        <f t="shared" si="88"/>
        <v>#VALUE!</v>
      </c>
      <c r="L131" s="112" t="e">
        <f t="shared" si="88"/>
        <v>#VALUE!</v>
      </c>
      <c r="M131" s="112" t="e">
        <f t="shared" si="88"/>
        <v>#VALUE!</v>
      </c>
      <c r="N131" s="112" t="e">
        <f t="shared" si="88"/>
        <v>#VALUE!</v>
      </c>
      <c r="O131" s="112" t="e">
        <f t="shared" si="88"/>
        <v>#VALUE!</v>
      </c>
      <c r="P131" s="112" t="e">
        <f t="shared" si="88"/>
        <v>#VALUE!</v>
      </c>
      <c r="S131" s="112" t="e">
        <f>SUM(S129:S130)</f>
        <v>#VALUE!</v>
      </c>
      <c r="T131" s="112" t="e">
        <f t="shared" ref="T131:Z131" si="89">SUM(T129:T130)</f>
        <v>#VALUE!</v>
      </c>
      <c r="U131" s="112" t="e">
        <f t="shared" si="89"/>
        <v>#VALUE!</v>
      </c>
      <c r="V131" s="112" t="e">
        <f t="shared" si="89"/>
        <v>#VALUE!</v>
      </c>
      <c r="W131" s="112" t="e">
        <f t="shared" si="89"/>
        <v>#VALUE!</v>
      </c>
      <c r="X131" s="112" t="e">
        <f t="shared" si="89"/>
        <v>#VALUE!</v>
      </c>
      <c r="Y131" s="112" t="e">
        <f t="shared" si="89"/>
        <v>#VALUE!</v>
      </c>
      <c r="Z131" s="112" t="e">
        <f t="shared" si="89"/>
        <v>#VALUE!</v>
      </c>
      <c r="AJ131" s="43"/>
    </row>
    <row r="132" spans="7:36" ht="23.5" hidden="1" outlineLevel="1">
      <c r="G132" s="94" t="s">
        <v>167</v>
      </c>
      <c r="H132" s="94"/>
      <c r="I132" s="102"/>
      <c r="J132" s="102" t="e">
        <f>J131/AVERAGE(I94:J94)</f>
        <v>#VALUE!</v>
      </c>
      <c r="K132" s="102" t="e">
        <f t="shared" ref="K132:P132" si="90">K131/AVERAGE(J94:K94)</f>
        <v>#VALUE!</v>
      </c>
      <c r="L132" s="102" t="e">
        <f t="shared" si="90"/>
        <v>#VALUE!</v>
      </c>
      <c r="M132" s="102" t="e">
        <f t="shared" si="90"/>
        <v>#VALUE!</v>
      </c>
      <c r="N132" s="102" t="e">
        <f t="shared" si="90"/>
        <v>#VALUE!</v>
      </c>
      <c r="O132" s="102" t="e">
        <f t="shared" si="90"/>
        <v>#VALUE!</v>
      </c>
      <c r="P132" s="102" t="e">
        <f t="shared" si="90"/>
        <v>#VALUE!</v>
      </c>
      <c r="S132" s="102"/>
      <c r="T132" s="102" t="e">
        <f>T131/AVERAGE(S94:T94)</f>
        <v>#VALUE!</v>
      </c>
      <c r="U132" s="102" t="e">
        <f t="shared" ref="U132:Z132" si="91">U131/AVERAGE(T94:U94)</f>
        <v>#VALUE!</v>
      </c>
      <c r="V132" s="102" t="e">
        <f t="shared" si="91"/>
        <v>#VALUE!</v>
      </c>
      <c r="W132" s="102" t="e">
        <f t="shared" si="91"/>
        <v>#VALUE!</v>
      </c>
      <c r="X132" s="102" t="e">
        <f t="shared" si="91"/>
        <v>#VALUE!</v>
      </c>
      <c r="Y132" s="102" t="e">
        <f t="shared" si="91"/>
        <v>#VALUE!</v>
      </c>
      <c r="Z132" s="102" t="e">
        <f t="shared" si="91"/>
        <v>#VALUE!</v>
      </c>
    </row>
    <row r="133" spans="7:36" ht="18" hidden="1" customHeight="1" outlineLevel="1">
      <c r="I133" s="107"/>
      <c r="J133" s="107"/>
      <c r="K133" s="107"/>
      <c r="L133" s="107"/>
      <c r="M133" s="107"/>
      <c r="N133" s="107"/>
      <c r="O133" s="107"/>
      <c r="P133" s="107"/>
      <c r="S133" s="107"/>
      <c r="T133" s="107"/>
      <c r="U133" s="107"/>
      <c r="V133" s="107"/>
      <c r="W133" s="107"/>
      <c r="X133" s="107"/>
      <c r="Y133" s="107"/>
      <c r="Z133" s="107"/>
    </row>
    <row r="134" spans="7:36" ht="18" customHeight="1" collapsed="1">
      <c r="J134" s="88"/>
      <c r="K134" s="88"/>
      <c r="L134" s="88"/>
      <c r="M134" s="88"/>
      <c r="N134" s="88"/>
      <c r="O134" s="88"/>
      <c r="P134" s="88"/>
      <c r="T134" s="88"/>
      <c r="U134" s="88"/>
      <c r="V134" s="88"/>
      <c r="W134" s="88"/>
      <c r="X134" s="88"/>
      <c r="Y134" s="88"/>
      <c r="Z134" s="88"/>
    </row>
    <row r="135" spans="7:36" ht="18" customHeight="1"/>
    <row r="136" spans="7:36" ht="18" customHeight="1"/>
    <row r="137" spans="7:36" ht="18" customHeight="1"/>
    <row r="138" spans="7:36" ht="18" customHeight="1"/>
    <row r="139" spans="7:36" ht="18" customHeight="1"/>
  </sheetData>
  <sheetProtection formatColumns="0" formatRows="0"/>
  <protectedRanges>
    <protectedRange sqref="AA26:AG28 AB51:AI51 Q24:R28 AA24:AI25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disablePrompts="1"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e">
        <f>"{[Legal_Organization].["&amp;$F$18&amp;"]}"</f>
        <v>#VALUE!</v>
      </c>
    </row>
    <row r="18" spans="1:7">
      <c r="F18" t="e">
        <f>_xll.SUBNM(Server&amp;"Legal_Organization","",Output!$H$14,Output!$H$18)</f>
        <v>#VALUE!</v>
      </c>
    </row>
    <row r="19" spans="1:7" ht="13">
      <c r="G19" s="2" t="s">
        <v>70</v>
      </c>
    </row>
    <row r="20" spans="1:7" ht="13">
      <c r="A20" t="e">
        <f ca="1">IF(_xll.TM1RPTELISCONSOLIDATED($E$20,$E20),IF(_xll.TM1RPTELLEV($E$20,$E20)&lt;=3,_xll.TM1RPTELLEV($E$20,$E20),"D"),"N")</f>
        <v>#VALUE!</v>
      </c>
      <c r="D20" s="177" t="e">
        <f>_xll.TM1RPTROW($D$15,Server&amp;"Legal_Organization","","",Output!$H$18,0,$D$16,,1)</f>
        <v>#VALUE!</v>
      </c>
      <c r="E20" s="179" t="str">
        <f ca="1">_xll.TM1RPTROW($D$15,Server&amp;"Activity","",,"",0)</f>
        <v>pending__2 - Plan Output Comparison (light plus).xlsm:Control:TM1RPTDATARNG:ARPT1</v>
      </c>
      <c r="F20" s="3" t="e">
        <f ca="1">_xll.DBRA(Server&amp;"Activity",$E20,Output!$H$18)</f>
        <v>#VALUE!</v>
      </c>
      <c r="G20" s="5" t="e">
        <f>_xll.DBRW($D$15,$D20,$E20,G$19)</f>
        <v>#VALUE!</v>
      </c>
    </row>
    <row r="21" spans="1:7">
      <c r="A21" t="e">
        <f ca="1">IF(_xll.TM1RPTELISCONSOLIDATED($E$20,$E21),IF(_xll.TM1RPTELLEV($E$20,$E21)&lt;=3,_xll.TM1RPTELLEV($E$20,$E21),"D"),"N")</f>
        <v>#VALUE!</v>
      </c>
      <c r="D21" s="178" t="s">
        <v>169</v>
      </c>
      <c r="E21" s="180" t="s">
        <v>169</v>
      </c>
      <c r="F21" s="4" t="e">
        <f ca="1">_xll.DBRA(Server&amp;"Activity",$E21,Output!$H$18)</f>
        <v>#VALUE!</v>
      </c>
      <c r="G21" s="6" t="e">
        <f ca="1">_xll.DBRW($D$15,$D21,$E21,G$19)</f>
        <v>#VALUE!</v>
      </c>
    </row>
    <row r="22" spans="1:7">
      <c r="A22" t="e">
        <f ca="1">IF(_xll.TM1RPTELISCONSOLIDATED($E$20,$E22),IF(_xll.TM1RPTELLEV($E$20,$E22)&lt;=3,_xll.TM1RPTELLEV($E$20,$E22),"D"),"N")</f>
        <v>#VALUE!</v>
      </c>
      <c r="D22" s="178" t="s">
        <v>169</v>
      </c>
      <c r="E22" s="87" t="s">
        <v>169</v>
      </c>
      <c r="F22" t="e">
        <f ca="1">_xll.DBRA(Server&amp;"Activity",$E22,Output!$H$18)</f>
        <v>#VALUE!</v>
      </c>
      <c r="G22" s="7" t="e">
        <f ca="1">_xll.DBRW($D$15,$D22,$E22,G$19)</f>
        <v>#VALUE!</v>
      </c>
    </row>
    <row r="23" spans="1:7">
      <c r="A23" t="e">
        <f ca="1">IF(_xll.TM1RPTELISCONSOLIDATED($E$20,$E23),IF(_xll.TM1RPTELLEV($E$20,$E23)&lt;=3,_xll.TM1RPTELLEV($E$20,$E23),"D"),"N")</f>
        <v>#VALUE!</v>
      </c>
      <c r="D23" s="178" t="s">
        <v>169</v>
      </c>
      <c r="E23" s="87" t="s">
        <v>169</v>
      </c>
      <c r="F23" t="e">
        <f ca="1">_xll.DBRA(Server&amp;"Activity",$E23,Output!$H$18)</f>
        <v>#VALUE!</v>
      </c>
      <c r="G23" s="7" t="e">
        <f ca="1">_xll.DBRW($D$15,$D23,$E23,G$19)</f>
        <v>#VALUE!</v>
      </c>
    </row>
    <row r="24" spans="1:7">
      <c r="A24" t="e">
        <f ca="1">IF(_xll.TM1RPTELISCONSOLIDATED($E$20,$E24),IF(_xll.TM1RPTELLEV($E$20,$E24)&lt;=3,_xll.TM1RPTELLEV($E$20,$E24),"D"),"N")</f>
        <v>#VALUE!</v>
      </c>
      <c r="D24" s="178" t="s">
        <v>169</v>
      </c>
      <c r="E24" s="87" t="s">
        <v>169</v>
      </c>
      <c r="F24" t="e">
        <f ca="1">_xll.DBRA(Server&amp;"Activity",$E24,Output!$H$18)</f>
        <v>#VALUE!</v>
      </c>
      <c r="G24" s="7" t="e">
        <f ca="1">_xll.DBRW($D$15,$D24,$E24,G$19)</f>
        <v>#VALUE!</v>
      </c>
    </row>
    <row r="25" spans="1:7">
      <c r="A25" t="e">
        <f ca="1">IF(_xll.TM1RPTELISCONSOLIDATED($E$20,$E25),IF(_xll.TM1RPTELLEV($E$20,$E25)&lt;=3,_xll.TM1RPTELLEV($E$20,$E25),"D"),"N")</f>
        <v>#VALUE!</v>
      </c>
      <c r="D25" s="178" t="s">
        <v>169</v>
      </c>
      <c r="E25" s="87" t="s">
        <v>169</v>
      </c>
      <c r="F25" t="e">
        <f ca="1">_xll.DBRA(Server&amp;"Activity",$E25,Output!$H$18)</f>
        <v>#VALUE!</v>
      </c>
      <c r="G25" s="7" t="e">
        <f ca="1">_xll.DBRW($D$15,$D25,$E25,G$19)</f>
        <v>#VALUE!</v>
      </c>
    </row>
    <row r="26" spans="1:7">
      <c r="A26" t="e">
        <f ca="1">IF(_xll.TM1RPTELISCONSOLIDATED($E$20,$E26),IF(_xll.TM1RPTELLEV($E$20,$E26)&lt;=3,_xll.TM1RPTELLEV($E$20,$E26),"D"),"N")</f>
        <v>#VALUE!</v>
      </c>
      <c r="D26" s="178" t="s">
        <v>169</v>
      </c>
      <c r="E26" s="87" t="s">
        <v>169</v>
      </c>
      <c r="F26" t="e">
        <f ca="1">_xll.DBRA(Server&amp;"Activity",$E26,Output!$H$18)</f>
        <v>#VALUE!</v>
      </c>
      <c r="G26" s="7" t="e">
        <f ca="1">_xll.DBRW($D$15,$D26,$E26,G$19)</f>
        <v>#VALUE!</v>
      </c>
    </row>
    <row r="27" spans="1:7">
      <c r="A27" t="e">
        <f ca="1">IF(_xll.TM1RPTELISCONSOLIDATED($E$20,$E27),IF(_xll.TM1RPTELLEV($E$20,$E27)&lt;=3,_xll.TM1RPTELLEV($E$20,$E27),"D"),"N")</f>
        <v>#VALUE!</v>
      </c>
      <c r="D27" s="178" t="s">
        <v>169</v>
      </c>
      <c r="E27" s="87" t="s">
        <v>169</v>
      </c>
      <c r="F27" t="e">
        <f ca="1">_xll.DBRA(Server&amp;"Activity",$E27,Output!$H$18)</f>
        <v>#VALUE!</v>
      </c>
      <c r="G27" s="7" t="e">
        <f ca="1">_xll.DBRW($D$15,$D27,$E27,G$19)</f>
        <v>#VALUE!</v>
      </c>
    </row>
    <row r="28" spans="1:7">
      <c r="A28" t="e">
        <f ca="1">IF(_xll.TM1RPTELISCONSOLIDATED($E$20,$E28),IF(_xll.TM1RPTELLEV($E$20,$E28)&lt;=3,_xll.TM1RPTELLEV($E$20,$E28),"D"),"N")</f>
        <v>#VALUE!</v>
      </c>
      <c r="D28" s="178" t="s">
        <v>169</v>
      </c>
      <c r="E28" s="87" t="s">
        <v>169</v>
      </c>
      <c r="F28" t="e">
        <f ca="1">_xll.DBRA(Server&amp;"Activity",$E28,Output!$H$18)</f>
        <v>#VALUE!</v>
      </c>
      <c r="G28" s="7" t="e">
        <f ca="1">_xll.DBRW($D$15,$D28,$E28,G$19)</f>
        <v>#VALUE!</v>
      </c>
    </row>
    <row r="29" spans="1:7">
      <c r="A29" t="e">
        <f ca="1">IF(_xll.TM1RPTELISCONSOLIDATED($E$20,$E29),IF(_xll.TM1RPTELLEV($E$20,$E29)&lt;=3,_xll.TM1RPTELLEV($E$20,$E29),"D"),"N")</f>
        <v>#VALUE!</v>
      </c>
      <c r="D29" s="178" t="s">
        <v>169</v>
      </c>
      <c r="E29" s="87" t="s">
        <v>169</v>
      </c>
      <c r="F29" t="e">
        <f ca="1">_xll.DBRA(Server&amp;"Activity",$E29,Output!$H$18)</f>
        <v>#VALUE!</v>
      </c>
      <c r="G29" s="7" t="e">
        <f ca="1">_xll.DBRW($D$15,$D29,$E29,G$19)</f>
        <v>#VALUE!</v>
      </c>
    </row>
    <row r="30" spans="1:7">
      <c r="A30" t="e">
        <f ca="1">IF(_xll.TM1RPTELISCONSOLIDATED($E$20,$E30),IF(_xll.TM1RPTELLEV($E$20,$E30)&lt;=3,_xll.TM1RPTELLEV($E$20,$E30),"D"),"N")</f>
        <v>#VALUE!</v>
      </c>
      <c r="D30" s="178" t="s">
        <v>169</v>
      </c>
      <c r="E30" s="180" t="s">
        <v>169</v>
      </c>
      <c r="F30" s="4" t="e">
        <f ca="1">_xll.DBRA(Server&amp;"Activity",$E30,Output!$H$18)</f>
        <v>#VALUE!</v>
      </c>
      <c r="G30" s="6" t="e">
        <f ca="1">_xll.DBRW($D$15,$D30,$E30,G$19)</f>
        <v>#VALUE!</v>
      </c>
    </row>
    <row r="31" spans="1:7">
      <c r="A31" t="e">
        <f ca="1">IF(_xll.TM1RPTELISCONSOLIDATED($E$20,$E31),IF(_xll.TM1RPTELLEV($E$20,$E31)&lt;=3,_xll.TM1RPTELLEV($E$20,$E31),"D"),"N")</f>
        <v>#VALUE!</v>
      </c>
      <c r="D31" s="178" t="s">
        <v>169</v>
      </c>
      <c r="E31" s="87" t="s">
        <v>169</v>
      </c>
      <c r="F31" t="e">
        <f ca="1">_xll.DBRA(Server&amp;"Activity",$E31,Output!$H$18)</f>
        <v>#VALUE!</v>
      </c>
      <c r="G31" s="7" t="e">
        <f ca="1">_xll.DBRW($D$15,$D31,$E31,G$19)</f>
        <v>#VALUE!</v>
      </c>
    </row>
    <row r="32" spans="1:7">
      <c r="A32" t="e">
        <f ca="1">IF(_xll.TM1RPTELISCONSOLIDATED($E$20,$E32),IF(_xll.TM1RPTELLEV($E$20,$E32)&lt;=3,_xll.TM1RPTELLEV($E$20,$E32),"D"),"N")</f>
        <v>#VALUE!</v>
      </c>
      <c r="D32" s="178" t="s">
        <v>169</v>
      </c>
      <c r="E32" s="87" t="s">
        <v>169</v>
      </c>
      <c r="F32" t="e">
        <f ca="1">_xll.DBRA(Server&amp;"Activity",$E32,Output!$H$18)</f>
        <v>#VALUE!</v>
      </c>
      <c r="G32" s="7" t="e">
        <f ca="1">_xll.DBRW($D$15,$D32,$E32,G$19)</f>
        <v>#VALUE!</v>
      </c>
    </row>
    <row r="33" spans="1:7">
      <c r="A33" t="e">
        <f ca="1">IF(_xll.TM1RPTELISCONSOLIDATED($E$20,$E33),IF(_xll.TM1RPTELLEV($E$20,$E33)&lt;=3,_xll.TM1RPTELLEV($E$20,$E33),"D"),"N")</f>
        <v>#VALUE!</v>
      </c>
      <c r="D33" s="178" t="s">
        <v>169</v>
      </c>
      <c r="E33" s="87" t="s">
        <v>169</v>
      </c>
      <c r="F33" t="e">
        <f ca="1">_xll.DBRA(Server&amp;"Activity",$E33,Output!$H$18)</f>
        <v>#VALUE!</v>
      </c>
      <c r="G33" s="7" t="e">
        <f ca="1">_xll.DBRW($D$15,$D33,$E33,G$19)</f>
        <v>#VALUE!</v>
      </c>
    </row>
    <row r="34" spans="1:7">
      <c r="A34" t="e">
        <f ca="1">IF(_xll.TM1RPTELISCONSOLIDATED($E$20,$E34),IF(_xll.TM1RPTELLEV($E$20,$E34)&lt;=3,_xll.TM1RPTELLEV($E$20,$E34),"D"),"N")</f>
        <v>#VALUE!</v>
      </c>
      <c r="D34" s="178" t="s">
        <v>169</v>
      </c>
      <c r="E34" s="87" t="s">
        <v>169</v>
      </c>
      <c r="F34" t="e">
        <f ca="1">_xll.DBRA(Server&amp;"Activity",$E34,Output!$H$18)</f>
        <v>#VALUE!</v>
      </c>
      <c r="G34" s="7" t="e">
        <f ca="1">_xll.DBRW($D$15,$D34,$E34,G$19)</f>
        <v>#VALUE!</v>
      </c>
    </row>
    <row r="35" spans="1:7">
      <c r="A35" t="e">
        <f ca="1">IF(_xll.TM1RPTELISCONSOLIDATED($E$20,$E35),IF(_xll.TM1RPTELLEV($E$20,$E35)&lt;=3,_xll.TM1RPTELLEV($E$20,$E35),"D"),"N")</f>
        <v>#VALUE!</v>
      </c>
      <c r="D35" s="178" t="s">
        <v>169</v>
      </c>
      <c r="E35" s="180" t="s">
        <v>169</v>
      </c>
      <c r="F35" s="4" t="e">
        <f ca="1">_xll.DBRA(Server&amp;"Activity",$E35,Output!$H$18)</f>
        <v>#VALUE!</v>
      </c>
      <c r="G35" s="6" t="e">
        <f ca="1">_xll.DBRW($D$15,$D35,$E35,G$19)</f>
        <v>#VALUE!</v>
      </c>
    </row>
    <row r="36" spans="1:7">
      <c r="A36" t="e">
        <f ca="1">IF(_xll.TM1RPTELISCONSOLIDATED($E$20,$E36),IF(_xll.TM1RPTELLEV($E$20,$E36)&lt;=3,_xll.TM1RPTELLEV($E$20,$E36),"D"),"N")</f>
        <v>#VALUE!</v>
      </c>
      <c r="D36" s="178" t="s">
        <v>169</v>
      </c>
      <c r="E36" s="87" t="s">
        <v>169</v>
      </c>
      <c r="F36" t="e">
        <f ca="1">_xll.DBRA(Server&amp;"Activity",$E36,Output!$H$18)</f>
        <v>#VALUE!</v>
      </c>
      <c r="G36" s="7" t="e">
        <f ca="1">_xll.DBRW($D$15,$D36,$E36,G$19)</f>
        <v>#VALUE!</v>
      </c>
    </row>
    <row r="37" spans="1:7">
      <c r="A37" t="e">
        <f ca="1">IF(_xll.TM1RPTELISCONSOLIDATED($E$20,$E37),IF(_xll.TM1RPTELLEV($E$20,$E37)&lt;=3,_xll.TM1RPTELLEV($E$20,$E37),"D"),"N")</f>
        <v>#VALUE!</v>
      </c>
      <c r="D37" s="178" t="s">
        <v>169</v>
      </c>
      <c r="E37" s="87" t="s">
        <v>169</v>
      </c>
      <c r="F37" t="e">
        <f ca="1">_xll.DBRA(Server&amp;"Activity",$E37,Output!$H$18)</f>
        <v>#VALUE!</v>
      </c>
      <c r="G37" s="7" t="e">
        <f ca="1">_xll.DBRW($D$15,$D37,$E37,G$19)</f>
        <v>#VALUE!</v>
      </c>
    </row>
    <row r="38" spans="1:7">
      <c r="A38" t="e">
        <f ca="1">IF(_xll.TM1RPTELISCONSOLIDATED($E$20,$E38),IF(_xll.TM1RPTELLEV($E$20,$E38)&lt;=3,_xll.TM1RPTELLEV($E$20,$E38),"D"),"N")</f>
        <v>#VALUE!</v>
      </c>
      <c r="D38" s="178" t="s">
        <v>169</v>
      </c>
      <c r="E38" s="87" t="s">
        <v>169</v>
      </c>
      <c r="F38" t="e">
        <f ca="1">_xll.DBRA(Server&amp;"Activity",$E38,Output!$H$18)</f>
        <v>#VALUE!</v>
      </c>
      <c r="G38" s="7" t="e">
        <f ca="1">_xll.DBRW($D$15,$D38,$E38,G$19)</f>
        <v>#VALUE!</v>
      </c>
    </row>
    <row r="39" spans="1:7">
      <c r="A39" t="e">
        <f ca="1">IF(_xll.TM1RPTELISCONSOLIDATED($E$20,$E39),IF(_xll.TM1RPTELLEV($E$20,$E39)&lt;=3,_xll.TM1RPTELLEV($E$20,$E39),"D"),"N")</f>
        <v>#VALUE!</v>
      </c>
      <c r="D39" s="178" t="s">
        <v>169</v>
      </c>
      <c r="E39" s="180" t="s">
        <v>169</v>
      </c>
      <c r="F39" s="4" t="e">
        <f ca="1">_xll.DBRA(Server&amp;"Activity",$E39,Output!$H$18)</f>
        <v>#VALUE!</v>
      </c>
      <c r="G39" s="6" t="e">
        <f ca="1">_xll.DBRW($D$15,$D39,$E39,G$19)</f>
        <v>#VALUE!</v>
      </c>
    </row>
    <row r="40" spans="1:7">
      <c r="A40" t="e">
        <f ca="1">IF(_xll.TM1RPTELISCONSOLIDATED($E$20,$E40),IF(_xll.TM1RPTELLEV($E$20,$E40)&lt;=3,_xll.TM1RPTELLEV($E$20,$E40),"D"),"N")</f>
        <v>#VALUE!</v>
      </c>
      <c r="D40" s="178" t="s">
        <v>169</v>
      </c>
      <c r="E40" s="87" t="s">
        <v>169</v>
      </c>
      <c r="F40" t="e">
        <f ca="1">_xll.DBRA(Server&amp;"Activity",$E40,Output!$H$18)</f>
        <v>#VALUE!</v>
      </c>
      <c r="G40" s="7" t="e">
        <f ca="1">_xll.DBRW($D$15,$D40,$E40,G$19)</f>
        <v>#VALUE!</v>
      </c>
    </row>
    <row r="41" spans="1:7">
      <c r="A41" t="e">
        <f ca="1">IF(_xll.TM1RPTELISCONSOLIDATED($E$20,$E41),IF(_xll.TM1RPTELLEV($E$20,$E41)&lt;=3,_xll.TM1RPTELLEV($E$20,$E41),"D"),"N")</f>
        <v>#VALUE!</v>
      </c>
      <c r="D41" s="178" t="s">
        <v>169</v>
      </c>
      <c r="E41" s="87" t="s">
        <v>169</v>
      </c>
      <c r="F41" t="e">
        <f ca="1">_xll.DBRA(Server&amp;"Activity",$E41,Output!$H$18)</f>
        <v>#VALUE!</v>
      </c>
      <c r="G41" s="7" t="e">
        <f ca="1">_xll.DBRW($D$15,$D41,$E41,G$19)</f>
        <v>#VALUE!</v>
      </c>
    </row>
    <row r="42" spans="1:7">
      <c r="A42" t="e">
        <f ca="1">IF(_xll.TM1RPTELISCONSOLIDATED($E$20,$E42),IF(_xll.TM1RPTELLEV($E$20,$E42)&lt;=3,_xll.TM1RPTELLEV($E$20,$E42),"D"),"N")</f>
        <v>#VALUE!</v>
      </c>
      <c r="D42" s="178" t="s">
        <v>169</v>
      </c>
      <c r="E42" s="87" t="s">
        <v>169</v>
      </c>
      <c r="F42" t="e">
        <f ca="1">_xll.DBRA(Server&amp;"Activity",$E42,Output!$H$18)</f>
        <v>#VALUE!</v>
      </c>
      <c r="G42" s="7" t="e">
        <f ca="1">_xll.DBRW($D$15,$D42,$E42,G$19)</f>
        <v>#VALUE!</v>
      </c>
    </row>
    <row r="43" spans="1:7">
      <c r="A43" t="e">
        <f ca="1">IF(_xll.TM1RPTELISCONSOLIDATED($E$20,$E43),IF(_xll.TM1RPTELLEV($E$20,$E43)&lt;=3,_xll.TM1RPTELLEV($E$20,$E43),"D"),"N")</f>
        <v>#VALUE!</v>
      </c>
      <c r="D43" s="178" t="s">
        <v>169</v>
      </c>
      <c r="E43" s="87" t="s">
        <v>169</v>
      </c>
      <c r="F43" t="e">
        <f ca="1">_xll.DBRA(Server&amp;"Activity",$E43,Output!$H$18)</f>
        <v>#VALUE!</v>
      </c>
      <c r="G43" s="7" t="e">
        <f ca="1">_xll.DBRW($D$15,$D43,$E43,G$19)</f>
        <v>#VALUE!</v>
      </c>
    </row>
    <row r="44" spans="1:7">
      <c r="A44" t="e">
        <f ca="1">IF(_xll.TM1RPTELISCONSOLIDATED($E$20,$E44),IF(_xll.TM1RPTELLEV($E$20,$E44)&lt;=3,_xll.TM1RPTELLEV($E$20,$E44),"D"),"N")</f>
        <v>#VALUE!</v>
      </c>
      <c r="D44" s="178" t="s">
        <v>169</v>
      </c>
      <c r="E44" s="87" t="s">
        <v>169</v>
      </c>
      <c r="F44" t="e">
        <f ca="1">_xll.DBRA(Server&amp;"Activity",$E44,Output!$H$18)</f>
        <v>#VALUE!</v>
      </c>
      <c r="G44" s="7" t="e">
        <f ca="1">_xll.DBRW($D$15,$D44,$E44,G$19)</f>
        <v>#VALUE!</v>
      </c>
    </row>
    <row r="45" spans="1:7">
      <c r="A45" t="e">
        <f ca="1">IF(_xll.TM1RPTELISCONSOLIDATED($E$20,$E45),IF(_xll.TM1RPTELLEV($E$20,$E45)&lt;=3,_xll.TM1RPTELLEV($E$20,$E45),"D"),"N")</f>
        <v>#VALUE!</v>
      </c>
      <c r="D45" s="178" t="s">
        <v>169</v>
      </c>
      <c r="E45" s="87" t="s">
        <v>169</v>
      </c>
      <c r="F45" t="e">
        <f ca="1">_xll.DBRA(Server&amp;"Activity",$E45,Output!$H$18)</f>
        <v>#VALUE!</v>
      </c>
      <c r="G45" s="7" t="e">
        <f ca="1">_xll.DBRW($D$15,$D45,$E45,G$19)</f>
        <v>#VALUE!</v>
      </c>
    </row>
    <row r="46" spans="1:7">
      <c r="A46" t="e">
        <f ca="1">IF(_xll.TM1RPTELISCONSOLIDATED($E$20,$E46),IF(_xll.TM1RPTELLEV($E$20,$E46)&lt;=3,_xll.TM1RPTELLEV($E$20,$E46),"D"),"N")</f>
        <v>#VALUE!</v>
      </c>
      <c r="D46" s="178" t="s">
        <v>169</v>
      </c>
      <c r="E46" s="87" t="s">
        <v>169</v>
      </c>
      <c r="F46" t="e">
        <f ca="1">_xll.DBRA(Server&amp;"Activity",$E46,Output!$H$18)</f>
        <v>#VALUE!</v>
      </c>
      <c r="G46" s="7" t="e">
        <f ca="1">_xll.DBRW($D$15,$D46,$E46,G$19)</f>
        <v>#VALUE!</v>
      </c>
    </row>
    <row r="47" spans="1:7">
      <c r="A47" t="e">
        <f ca="1">IF(_xll.TM1RPTELISCONSOLIDATED($E$20,$E47),IF(_xll.TM1RPTELLEV($E$20,$E47)&lt;=3,_xll.TM1RPTELLEV($E$20,$E47),"D"),"N")</f>
        <v>#VALUE!</v>
      </c>
      <c r="D47" s="178" t="s">
        <v>169</v>
      </c>
      <c r="E47" s="180" t="s">
        <v>169</v>
      </c>
      <c r="F47" s="4" t="e">
        <f ca="1">_xll.DBRA(Server&amp;"Activity",$E47,Output!$H$18)</f>
        <v>#VALUE!</v>
      </c>
      <c r="G47" s="6" t="e">
        <f ca="1">_xll.DBRW($D$15,$D47,$E47,G$19)</f>
        <v>#VALUE!</v>
      </c>
    </row>
    <row r="48" spans="1:7">
      <c r="A48" t="e">
        <f ca="1">IF(_xll.TM1RPTELISCONSOLIDATED($E$20,$E48),IF(_xll.TM1RPTELLEV($E$20,$E48)&lt;=3,_xll.TM1RPTELLEV($E$20,$E48),"D"),"N")</f>
        <v>#VALUE!</v>
      </c>
      <c r="D48" s="178" t="s">
        <v>169</v>
      </c>
      <c r="E48" s="87" t="s">
        <v>169</v>
      </c>
      <c r="F48" t="e">
        <f ca="1">_xll.DBRA(Server&amp;"Activity",$E48,Output!$H$18)</f>
        <v>#VALUE!</v>
      </c>
      <c r="G48" s="7" t="e">
        <f ca="1">_xll.DBRW($D$15,$D48,$E48,G$19)</f>
        <v>#VALUE!</v>
      </c>
    </row>
    <row r="49" spans="1:7">
      <c r="A49" t="e">
        <f ca="1">IF(_xll.TM1RPTELISCONSOLIDATED($E$20,$E49),IF(_xll.TM1RPTELLEV($E$20,$E49)&lt;=3,_xll.TM1RPTELLEV($E$20,$E49),"D"),"N")</f>
        <v>#VALUE!</v>
      </c>
      <c r="D49" s="178" t="s">
        <v>169</v>
      </c>
      <c r="E49" s="87" t="s">
        <v>169</v>
      </c>
      <c r="F49" t="e">
        <f ca="1">_xll.DBRA(Server&amp;"Activity",$E49,Output!$H$18)</f>
        <v>#VALUE!</v>
      </c>
      <c r="G49" s="7" t="e">
        <f ca="1">_xll.DBRW($D$15,$D49,$E49,G$19)</f>
        <v>#VALUE!</v>
      </c>
    </row>
    <row r="50" spans="1:7">
      <c r="A50" t="e">
        <f ca="1">IF(_xll.TM1RPTELISCONSOLIDATED($E$20,$E50),IF(_xll.TM1RPTELLEV($E$20,$E50)&lt;=3,_xll.TM1RPTELLEV($E$20,$E50),"D"),"N")</f>
        <v>#VALUE!</v>
      </c>
      <c r="D50" s="178" t="s">
        <v>169</v>
      </c>
      <c r="E50" s="87" t="s">
        <v>169</v>
      </c>
      <c r="F50" t="e">
        <f ca="1">_xll.DBRA(Server&amp;"Activity",$E50,Output!$H$18)</f>
        <v>#VALUE!</v>
      </c>
      <c r="G50" s="7" t="e">
        <f ca="1">_xll.DBRW($D$15,$D50,$E50,G$19)</f>
        <v>#VALUE!</v>
      </c>
    </row>
    <row r="51" spans="1:7">
      <c r="A51" t="e">
        <f ca="1">IF(_xll.TM1RPTELISCONSOLIDATED($E$20,$E51),IF(_xll.TM1RPTELLEV($E$20,$E51)&lt;=3,_xll.TM1RPTELLEV($E$20,$E51),"D"),"N")</f>
        <v>#VALUE!</v>
      </c>
      <c r="D51" s="178" t="s">
        <v>169</v>
      </c>
      <c r="E51" s="87" t="s">
        <v>169</v>
      </c>
      <c r="F51" t="e">
        <f ca="1">_xll.DBRA(Server&amp;"Activity",$E51,Output!$H$18)</f>
        <v>#VALUE!</v>
      </c>
      <c r="G51" s="7" t="e">
        <f ca="1">_xll.DBRW($D$15,$D51,$E51,G$19)</f>
        <v>#VALUE!</v>
      </c>
    </row>
    <row r="52" spans="1:7">
      <c r="A52" t="e">
        <f ca="1">IF(_xll.TM1RPTELISCONSOLIDATED($E$20,$E52),IF(_xll.TM1RPTELLEV($E$20,$E52)&lt;=3,_xll.TM1RPTELLEV($E$20,$E52),"D"),"N")</f>
        <v>#VALUE!</v>
      </c>
      <c r="D52" s="178" t="s">
        <v>169</v>
      </c>
      <c r="E52" s="21" t="s">
        <v>169</v>
      </c>
      <c r="F52" t="e">
        <f ca="1">_xll.DBRA(Server&amp;"Activity",$E52,Output!$H$18)</f>
        <v>#VALUE!</v>
      </c>
      <c r="G52" s="7" t="e">
        <f ca="1">_xll.DBRW($D$15,$D52,$E52,G$19)</f>
        <v>#VALUE!</v>
      </c>
    </row>
    <row r="53" spans="1:7">
      <c r="A53" t="e">
        <f ca="1">IF(_xll.TM1RPTELISCONSOLIDATED($E$20,$E53),IF(_xll.TM1RPTELLEV($E$20,$E53)&lt;=3,_xll.TM1RPTELLEV($E$20,$E53),"D"),"N")</f>
        <v>#VALUE!</v>
      </c>
      <c r="D53" s="178" t="s">
        <v>169</v>
      </c>
      <c r="E53" s="180" t="s">
        <v>169</v>
      </c>
      <c r="F53" s="4" t="e">
        <f ca="1">_xll.DBRA(Server&amp;"Activity",$E53,Output!$H$18)</f>
        <v>#VALUE!</v>
      </c>
      <c r="G53" s="6" t="e">
        <f ca="1">_xll.DBRW($D$15,$D53,$E53,G$19)</f>
        <v>#VALUE!</v>
      </c>
    </row>
    <row r="54" spans="1:7">
      <c r="A54" t="e">
        <f ca="1">IF(_xll.TM1RPTELISCONSOLIDATED($E$20,$E54),IF(_xll.TM1RPTELLEV($E$20,$E54)&lt;=3,_xll.TM1RPTELLEV($E$20,$E54),"D"),"N")</f>
        <v>#VALUE!</v>
      </c>
      <c r="D54" s="178" t="s">
        <v>169</v>
      </c>
      <c r="E54" s="87" t="s">
        <v>169</v>
      </c>
      <c r="F54" t="e">
        <f ca="1">_xll.DBRA(Server&amp;"Activity",$E54,Output!$H$18)</f>
        <v>#VALUE!</v>
      </c>
      <c r="G54" s="7" t="e">
        <f ca="1">_xll.DBRW($D$15,$D54,$E54,G$19)</f>
        <v>#VALUE!</v>
      </c>
    </row>
    <row r="55" spans="1:7">
      <c r="A55" t="e">
        <f ca="1">IF(_xll.TM1RPTELISCONSOLIDATED($E$20,$E55),IF(_xll.TM1RPTELLEV($E$20,$E55)&lt;=3,_xll.TM1RPTELLEV($E$20,$E55),"D"),"N")</f>
        <v>#VALUE!</v>
      </c>
      <c r="D55" s="178" t="s">
        <v>169</v>
      </c>
      <c r="E55" s="87" t="s">
        <v>169</v>
      </c>
      <c r="F55" t="e">
        <f ca="1">_xll.DBRA(Server&amp;"Activity",$E55,Output!$H$18)</f>
        <v>#VALUE!</v>
      </c>
      <c r="G55" s="7" t="e">
        <f ca="1">_xll.DBRW($D$15,$D55,$E55,G$19)</f>
        <v>#VALUE!</v>
      </c>
    </row>
    <row r="56" spans="1:7">
      <c r="A56" t="e">
        <f ca="1">IF(_xll.TM1RPTELISCONSOLIDATED($E$20,$E56),IF(_xll.TM1RPTELLEV($E$20,$E56)&lt;=3,_xll.TM1RPTELLEV($E$20,$E56),"D"),"N")</f>
        <v>#VALUE!</v>
      </c>
      <c r="D56" s="178" t="s">
        <v>169</v>
      </c>
      <c r="E56" s="87" t="s">
        <v>169</v>
      </c>
      <c r="F56" t="e">
        <f ca="1">_xll.DBRA(Server&amp;"Activity",$E56,Output!$H$18)</f>
        <v>#VALUE!</v>
      </c>
      <c r="G56" s="7" t="e">
        <f ca="1">_xll.DBRW($D$15,$D56,$E56,G$19)</f>
        <v>#VALUE!</v>
      </c>
    </row>
    <row r="57" spans="1:7">
      <c r="A57" t="e">
        <f ca="1">IF(_xll.TM1RPTELISCONSOLIDATED($E$20,$E57),IF(_xll.TM1RPTELLEV($E$20,$E57)&lt;=3,_xll.TM1RPTELLEV($E$20,$E57),"D"),"N")</f>
        <v>#VALUE!</v>
      </c>
      <c r="D57" s="178" t="s">
        <v>169</v>
      </c>
      <c r="E57" s="180" t="s">
        <v>169</v>
      </c>
      <c r="F57" s="4" t="e">
        <f ca="1">_xll.DBRA(Server&amp;"Activity",$E57,Output!$H$18)</f>
        <v>#VALUE!</v>
      </c>
      <c r="G57" s="6" t="e">
        <f ca="1">_xll.DBRW($D$15,$D57,$E57,G$19)</f>
        <v>#VALUE!</v>
      </c>
    </row>
    <row r="58" spans="1:7">
      <c r="A58" t="e">
        <f ca="1">IF(_xll.TM1RPTELISCONSOLIDATED($E$20,$E58),IF(_xll.TM1RPTELLEV($E$20,$E58)&lt;=3,_xll.TM1RPTELLEV($E$20,$E58),"D"),"N")</f>
        <v>#VALUE!</v>
      </c>
      <c r="D58" s="178" t="s">
        <v>169</v>
      </c>
      <c r="E58" s="87" t="s">
        <v>169</v>
      </c>
      <c r="F58" t="e">
        <f ca="1">_xll.DBRA(Server&amp;"Activity",$E58,Output!$H$18)</f>
        <v>#VALUE!</v>
      </c>
      <c r="G58" s="7" t="e">
        <f ca="1">_xll.DBRW($D$15,$D58,$E58,G$19)</f>
        <v>#VALUE!</v>
      </c>
    </row>
    <row r="59" spans="1:7">
      <c r="A59" t="e">
        <f ca="1">IF(_xll.TM1RPTELISCONSOLIDATED($E$20,$E59),IF(_xll.TM1RPTELLEV($E$20,$E59)&lt;=3,_xll.TM1RPTELLEV($E$20,$E59),"D"),"N")</f>
        <v>#VALUE!</v>
      </c>
      <c r="D59" s="178" t="s">
        <v>169</v>
      </c>
      <c r="E59" s="87" t="s">
        <v>169</v>
      </c>
      <c r="F59" t="e">
        <f ca="1">_xll.DBRA(Server&amp;"Activity",$E59,Output!$H$18)</f>
        <v>#VALUE!</v>
      </c>
      <c r="G59" s="7" t="e">
        <f ca="1">_xll.DBRW($D$15,$D59,$E59,G$19)</f>
        <v>#VALUE!</v>
      </c>
    </row>
    <row r="60" spans="1:7">
      <c r="A60" t="e">
        <f ca="1">IF(_xll.TM1RPTELISCONSOLIDATED($E$20,$E60),IF(_xll.TM1RPTELLEV($E$20,$E60)&lt;=3,_xll.TM1RPTELLEV($E$20,$E60),"D"),"N")</f>
        <v>#VALUE!</v>
      </c>
      <c r="D60" s="178" t="s">
        <v>169</v>
      </c>
      <c r="E60" s="87" t="s">
        <v>169</v>
      </c>
      <c r="F60" t="e">
        <f ca="1">_xll.DBRA(Server&amp;"Activity",$E60,Output!$H$18)</f>
        <v>#VALUE!</v>
      </c>
      <c r="G60" s="7" t="e">
        <f ca="1">_xll.DBRW($D$15,$D60,$E60,G$19)</f>
        <v>#VALUE!</v>
      </c>
    </row>
    <row r="61" spans="1:7">
      <c r="A61" t="e">
        <f ca="1">IF(_xll.TM1RPTELISCONSOLIDATED($E$20,$E61),IF(_xll.TM1RPTELLEV($E$20,$E61)&lt;=3,_xll.TM1RPTELLEV($E$20,$E61),"D"),"N")</f>
        <v>#VALUE!</v>
      </c>
      <c r="D61" s="178" t="s">
        <v>169</v>
      </c>
      <c r="E61" s="87" t="s">
        <v>169</v>
      </c>
      <c r="F61" t="e">
        <f ca="1">_xll.DBRA(Server&amp;"Activity",$E61,Output!$H$18)</f>
        <v>#VALUE!</v>
      </c>
      <c r="G61" s="7" t="e">
        <f ca="1">_xll.DBRW($D$15,$D61,$E61,G$19)</f>
        <v>#VALUE!</v>
      </c>
    </row>
    <row r="62" spans="1:7">
      <c r="A62" t="e">
        <f ca="1">IF(_xll.TM1RPTELISCONSOLIDATED($E$20,$E62),IF(_xll.TM1RPTELLEV($E$20,$E62)&lt;=3,_xll.TM1RPTELLEV($E$20,$E62),"D"),"N")</f>
        <v>#VALUE!</v>
      </c>
      <c r="D62" s="178" t="s">
        <v>169</v>
      </c>
      <c r="E62" s="180" t="s">
        <v>169</v>
      </c>
      <c r="F62" s="4" t="e">
        <f ca="1">_xll.DBRA(Server&amp;"Activity",$E62,Output!$H$18)</f>
        <v>#VALUE!</v>
      </c>
      <c r="G62" s="6" t="e">
        <f ca="1">_xll.DBRW($D$15,$D62,$E62,G$19)</f>
        <v>#VALUE!</v>
      </c>
    </row>
    <row r="63" spans="1:7">
      <c r="A63" t="e">
        <f ca="1">IF(_xll.TM1RPTELISCONSOLIDATED($E$20,$E63),IF(_xll.TM1RPTELLEV($E$20,$E63)&lt;=3,_xll.TM1RPTELLEV($E$20,$E63),"D"),"N")</f>
        <v>#VALUE!</v>
      </c>
      <c r="D63" s="178" t="s">
        <v>169</v>
      </c>
      <c r="E63" s="87" t="s">
        <v>169</v>
      </c>
      <c r="F63" t="e">
        <f ca="1">_xll.DBRA(Server&amp;"Activity",$E63,Output!$H$18)</f>
        <v>#VALUE!</v>
      </c>
      <c r="G63" s="7" t="e">
        <f ca="1">_xll.DBRW($D$15,$D63,$E63,G$19)</f>
        <v>#VALUE!</v>
      </c>
    </row>
    <row r="64" spans="1:7">
      <c r="A64" t="e">
        <f ca="1">IF(_xll.TM1RPTELISCONSOLIDATED($E$20,$E64),IF(_xll.TM1RPTELLEV($E$20,$E64)&lt;=3,_xll.TM1RPTELLEV($E$20,$E64),"D"),"N")</f>
        <v>#VALUE!</v>
      </c>
      <c r="D64" s="178" t="s">
        <v>169</v>
      </c>
      <c r="E64" s="87" t="s">
        <v>169</v>
      </c>
      <c r="F64" t="e">
        <f ca="1">_xll.DBRA(Server&amp;"Activity",$E64,Output!$H$18)</f>
        <v>#VALUE!</v>
      </c>
      <c r="G64" s="7" t="e">
        <f ca="1">_xll.DBRW($D$15,$D64,$E64,G$19)</f>
        <v>#VALUE!</v>
      </c>
    </row>
    <row r="65" spans="1:7">
      <c r="A65" t="e">
        <f ca="1">IF(_xll.TM1RPTELISCONSOLIDATED($E$20,$E65),IF(_xll.TM1RPTELLEV($E$20,$E65)&lt;=3,_xll.TM1RPTELLEV($E$20,$E65),"D"),"N")</f>
        <v>#VALUE!</v>
      </c>
      <c r="D65" s="178" t="s">
        <v>169</v>
      </c>
      <c r="E65" s="87" t="s">
        <v>169</v>
      </c>
      <c r="F65" t="e">
        <f ca="1">_xll.DBRA(Server&amp;"Activity",$E65,Output!$H$18)</f>
        <v>#VALUE!</v>
      </c>
      <c r="G65" s="7" t="e">
        <f ca="1">_xll.DBRW($D$15,$D65,$E65,G$19)</f>
        <v>#VALUE!</v>
      </c>
    </row>
    <row r="66" spans="1:7">
      <c r="A66" t="e">
        <f ca="1">IF(_xll.TM1RPTELISCONSOLIDATED($E$20,$E66),IF(_xll.TM1RPTELLEV($E$20,$E66)&lt;=3,_xll.TM1RPTELLEV($E$20,$E66),"D"),"N")</f>
        <v>#VALUE!</v>
      </c>
      <c r="D66" s="178" t="s">
        <v>169</v>
      </c>
      <c r="E66" s="87" t="s">
        <v>169</v>
      </c>
      <c r="F66" t="e">
        <f ca="1">_xll.DBRA(Server&amp;"Activity",$E66,Output!$H$18)</f>
        <v>#VALUE!</v>
      </c>
      <c r="G66" s="7" t="e">
        <f ca="1">_xll.DBRW($D$15,$D66,$E66,G$19)</f>
        <v>#VALUE!</v>
      </c>
    </row>
    <row r="67" spans="1:7">
      <c r="A67" t="e">
        <f ca="1">IF(_xll.TM1RPTELISCONSOLIDATED($E$20,$E67),IF(_xll.TM1RPTELLEV($E$20,$E67)&lt;=3,_xll.TM1RPTELLEV($E$20,$E67),"D"),"N")</f>
        <v>#VALUE!</v>
      </c>
      <c r="D67" s="178" t="s">
        <v>169</v>
      </c>
      <c r="E67" s="87" t="s">
        <v>169</v>
      </c>
      <c r="F67" t="e">
        <f ca="1">_xll.DBRA(Server&amp;"Activity",$E67,Output!$H$18)</f>
        <v>#VALUE!</v>
      </c>
      <c r="G67" s="7" t="e">
        <f ca="1">_xll.DBRW($D$15,$D67,$E67,G$19)</f>
        <v>#VALUE!</v>
      </c>
    </row>
    <row r="68" spans="1:7">
      <c r="A68" t="e">
        <f ca="1">IF(_xll.TM1RPTELISCONSOLIDATED($E$20,$E68),IF(_xll.TM1RPTELLEV($E$20,$E68)&lt;=3,_xll.TM1RPTELLEV($E$20,$E68),"D"),"N")</f>
        <v>#VALUE!</v>
      </c>
      <c r="D68" s="178" t="s">
        <v>169</v>
      </c>
      <c r="E68" s="87" t="s">
        <v>169</v>
      </c>
      <c r="F68" t="e">
        <f ca="1">_xll.DBRA(Server&amp;"Activity",$E68,Output!$H$18)</f>
        <v>#VALUE!</v>
      </c>
      <c r="G68" s="7" t="e">
        <f ca="1">_xll.DBRW($D$15,$D68,$E68,G$19)</f>
        <v>#VALUE!</v>
      </c>
    </row>
    <row r="69" spans="1:7">
      <c r="A69" t="e">
        <f ca="1">IF(_xll.TM1RPTELISCONSOLIDATED($E$20,$E69),IF(_xll.TM1RPTELLEV($E$20,$E69)&lt;=3,_xll.TM1RPTELLEV($E$20,$E69),"D"),"N")</f>
        <v>#VALUE!</v>
      </c>
      <c r="D69" s="178" t="s">
        <v>169</v>
      </c>
      <c r="E69" s="87" t="s">
        <v>169</v>
      </c>
      <c r="F69" t="e">
        <f ca="1">_xll.DBRA(Server&amp;"Activity",$E69,Output!$H$18)</f>
        <v>#VALUE!</v>
      </c>
      <c r="G69" s="7" t="e">
        <f ca="1">_xll.DBRW($D$15,$D69,$E69,G$19)</f>
        <v>#VALUE!</v>
      </c>
    </row>
    <row r="70" spans="1:7">
      <c r="A70" t="e">
        <f ca="1">IF(_xll.TM1RPTELISCONSOLIDATED($E$20,$E70),IF(_xll.TM1RPTELLEV($E$20,$E70)&lt;=3,_xll.TM1RPTELLEV($E$20,$E70),"D"),"N")</f>
        <v>#VALUE!</v>
      </c>
      <c r="D70" s="178" t="s">
        <v>169</v>
      </c>
      <c r="E70" s="87" t="s">
        <v>169</v>
      </c>
      <c r="F70" t="e">
        <f ca="1">_xll.DBRA(Server&amp;"Activity",$E70,Output!$H$18)</f>
        <v>#VALUE!</v>
      </c>
      <c r="G70" s="7" t="e">
        <f ca="1">_xll.DBRW($D$15,$D70,$E70,G$19)</f>
        <v>#VALUE!</v>
      </c>
    </row>
    <row r="71" spans="1:7">
      <c r="A71" t="e">
        <f ca="1">IF(_xll.TM1RPTELISCONSOLIDATED($E$20,$E71),IF(_xll.TM1RPTELLEV($E$20,$E71)&lt;=3,_xll.TM1RPTELLEV($E$20,$E71),"D"),"N")</f>
        <v>#VALUE!</v>
      </c>
      <c r="D71" s="178" t="s">
        <v>169</v>
      </c>
      <c r="E71" s="21" t="s">
        <v>169</v>
      </c>
      <c r="F71" t="e">
        <f ca="1">_xll.DBRA(Server&amp;"Activity",$E71,Output!$H$18)</f>
        <v>#VALUE!</v>
      </c>
      <c r="G71" s="7" t="e">
        <f ca="1">_xll.DBRW($D$15,$D71,$E71,G$19)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2024-08-22T08:06:22Z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