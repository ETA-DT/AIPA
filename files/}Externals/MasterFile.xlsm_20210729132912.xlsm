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theme/theme1.xml" ContentType="application/vnd.openxmlformats-officedocument.theme+xml"/>
  <Override PartName="/xl/vbaProject.bin" ContentType="application/vnd.ms-office.vbaProject"/>
  <Override PartName="/xl/worksheets/sheet3.xml" ContentType="application/vnd.openxmlformats-officedocument.spreadsheetml.worksheet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xl/activeX/activeX1.bin" ContentType="application/vnd.ms-office.activeX"/>
  <Override PartName="/xl/calcChain.xml" ContentType="application/vnd.openxmlformats-officedocument.spreadsheetml.calcChain+xml"/>
  <Override PartName="/xl/activeX/activeX1.xml" ContentType="application/vnd.ms-office.activeX+xml"/>
  <Override PartName="/docProps/app.xml" ContentType="application/vnd.openxmlformats-officedocument.extended-properties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-105" windowWidth="9450" windowHeight="6600" firstSheet="2" activeTab="2"/>
  </bookViews>
  <sheets>
    <sheet name="Context" sheetId="33" state="hidden" r:id="rId1"/>
    <sheet name="Control" sheetId="41" state="hidden" r:id="rId2"/>
    <sheet name="Output" sheetId="44" r:id="rId3"/>
  </sheets>
  <functionGroups builtInGroupCount="17"/>
  <definedNames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Control!$F$20:$F$21</definedName>
    <definedName name="ActualLTP">Context!$B$14</definedName>
    <definedName name="ActualYear">Context!$B$13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heck_Activity">Control!$F$20</definedName>
    <definedName name="Cube1">Context!$B$11</definedName>
    <definedName name="Cube2">Context!$B$12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Data">Context!$B$7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Context!$B$16:$B$17</definedName>
    <definedName name="LocalLanguage">Context!$B$15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1</definedName>
    <definedName name="TM1RPTDATARNGARPT1" localSheetId="1">Control!$20:$20</definedName>
    <definedName name="TM1RPTDATARNGARPT5" localSheetId="2">Output!$44:$48</definedName>
    <definedName name="TM1RPTFMTIDCOL" localSheetId="1">Control!$A$1:$A$8</definedName>
    <definedName name="TM1RPTFMTIDCOL" localSheetId="2">Output!$A$1:$A$8</definedName>
    <definedName name="TM1RPTFMTRNG" localSheetId="1">Control!$D$1:$G$8</definedName>
    <definedName name="TM1RPTFMTRNG" localSheetId="2">Output!$G$1:$S$8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Host">Context!$B$6</definedName>
    <definedName name="xServer">Context!$B$5</definedName>
  </definedNames>
  <calcPr calcId="145621" calcMode="manual" iterate="1" iterateCount="20" calcCompleted="0" calcOnSave="0" concurrentCalc="0"/>
</workbook>
</file>

<file path=xl/calcChain.xml><?xml version="1.0" encoding="utf-8"?>
<calcChain xmlns="http://schemas.openxmlformats.org/spreadsheetml/2006/main">
  <c r="A48" i="44" l="1"/>
  <c r="A47" i="44"/>
  <c r="A46" i="44"/>
  <c r="A45" i="44"/>
  <c r="G32" i="44"/>
  <c r="H27" i="44"/>
  <c r="H25" i="44"/>
  <c r="H22" i="44"/>
  <c r="H21" i="44"/>
  <c r="H24" i="44"/>
  <c r="J33" i="44"/>
  <c r="J34" i="44"/>
  <c r="J40" i="44"/>
  <c r="K40" i="44"/>
  <c r="L40" i="44"/>
  <c r="M40" i="44"/>
  <c r="N40" i="44"/>
  <c r="O40" i="44"/>
  <c r="P40" i="44"/>
  <c r="H26" i="44"/>
  <c r="P48" i="44"/>
  <c r="J48" i="44"/>
  <c r="S48" i="44"/>
  <c r="M48" i="44"/>
  <c r="R48" i="44"/>
  <c r="O48" i="44"/>
  <c r="N48" i="44"/>
  <c r="L48" i="44"/>
  <c r="K48" i="44"/>
  <c r="I40" i="44"/>
  <c r="I48" i="44"/>
  <c r="P47" i="44"/>
  <c r="J47" i="44"/>
  <c r="S47" i="44"/>
  <c r="M47" i="44"/>
  <c r="R47" i="44"/>
  <c r="O47" i="44"/>
  <c r="N47" i="44"/>
  <c r="L47" i="44"/>
  <c r="K47" i="44"/>
  <c r="I47" i="44"/>
  <c r="P46" i="44"/>
  <c r="J46" i="44"/>
  <c r="S46" i="44"/>
  <c r="M46" i="44"/>
  <c r="R46" i="44"/>
  <c r="O46" i="44"/>
  <c r="N46" i="44"/>
  <c r="L46" i="44"/>
  <c r="K46" i="44"/>
  <c r="I46" i="44"/>
  <c r="P45" i="44"/>
  <c r="J45" i="44"/>
  <c r="S45" i="44"/>
  <c r="M45" i="44"/>
  <c r="R45" i="44"/>
  <c r="O45" i="44"/>
  <c r="N45" i="44"/>
  <c r="L45" i="44"/>
  <c r="K45" i="44"/>
  <c r="I45" i="44"/>
  <c r="H23" i="44"/>
  <c r="B5" i="33"/>
  <c r="B15" i="33"/>
  <c r="P15" i="44"/>
  <c r="H39" i="44"/>
  <c r="L34" i="44"/>
  <c r="G44" i="44"/>
  <c r="AC17" i="44"/>
  <c r="AB17" i="44"/>
  <c r="AC18" i="44"/>
  <c r="AB18" i="44"/>
  <c r="B14" i="33"/>
  <c r="S41" i="44"/>
  <c r="R41" i="44"/>
  <c r="Z2" i="44"/>
  <c r="H44" i="44"/>
  <c r="I44" i="44"/>
  <c r="P44" i="44"/>
  <c r="O44" i="44"/>
  <c r="N44" i="44"/>
  <c r="M44" i="44"/>
  <c r="L44" i="44"/>
  <c r="K44" i="44"/>
  <c r="J44" i="44"/>
  <c r="H38" i="44"/>
  <c r="H37" i="44"/>
  <c r="H36" i="44"/>
  <c r="H35" i="44"/>
  <c r="H34" i="44"/>
  <c r="H103" i="44"/>
  <c r="G103" i="44"/>
  <c r="H102" i="44"/>
  <c r="G102" i="44"/>
  <c r="H101" i="44"/>
  <c r="G101" i="44"/>
  <c r="H100" i="44"/>
  <c r="G100" i="44"/>
  <c r="H99" i="44"/>
  <c r="G99" i="44"/>
  <c r="H98" i="44"/>
  <c r="G98" i="44"/>
  <c r="H97" i="44"/>
  <c r="G97" i="44"/>
  <c r="H96" i="44"/>
  <c r="G96" i="44"/>
  <c r="H95" i="44"/>
  <c r="G95" i="44"/>
  <c r="H94" i="44"/>
  <c r="G94" i="44"/>
  <c r="H93" i="44"/>
  <c r="G93" i="44"/>
  <c r="H92" i="44"/>
  <c r="G92" i="44"/>
  <c r="H91" i="44"/>
  <c r="G91" i="44"/>
  <c r="H90" i="44"/>
  <c r="G90" i="44"/>
  <c r="H89" i="44"/>
  <c r="G89" i="44"/>
  <c r="H88" i="44"/>
  <c r="G88" i="44"/>
  <c r="H87" i="44"/>
  <c r="G87" i="44"/>
  <c r="H86" i="44"/>
  <c r="G86" i="44"/>
  <c r="H85" i="44"/>
  <c r="G85" i="44"/>
  <c r="H84" i="44"/>
  <c r="G84" i="44"/>
  <c r="H83" i="44"/>
  <c r="G83" i="44"/>
  <c r="H82" i="44"/>
  <c r="G82" i="44"/>
  <c r="H81" i="44"/>
  <c r="G81" i="44"/>
  <c r="H80" i="44"/>
  <c r="G80" i="44"/>
  <c r="H79" i="44"/>
  <c r="G79" i="44"/>
  <c r="H78" i="44"/>
  <c r="G78" i="44"/>
  <c r="H77" i="44"/>
  <c r="G77" i="44"/>
  <c r="H76" i="44"/>
  <c r="G76" i="44"/>
  <c r="H75" i="44"/>
  <c r="G75" i="44"/>
  <c r="H74" i="44"/>
  <c r="G74" i="44"/>
  <c r="H73" i="44"/>
  <c r="G73" i="44"/>
  <c r="H72" i="44"/>
  <c r="G72" i="44"/>
  <c r="H71" i="44"/>
  <c r="G71" i="44"/>
  <c r="H70" i="44"/>
  <c r="G70" i="44"/>
  <c r="H69" i="44"/>
  <c r="G69" i="44"/>
  <c r="H68" i="44"/>
  <c r="G68" i="44"/>
  <c r="H67" i="44"/>
  <c r="G67" i="44"/>
  <c r="H66" i="44"/>
  <c r="G66" i="44"/>
  <c r="H65" i="44"/>
  <c r="G65" i="44"/>
  <c r="H64" i="44"/>
  <c r="G64" i="44"/>
  <c r="H63" i="44"/>
  <c r="G63" i="44"/>
  <c r="H62" i="44"/>
  <c r="G62" i="44"/>
  <c r="H61" i="44"/>
  <c r="G61" i="44"/>
  <c r="H60" i="44"/>
  <c r="G60" i="44"/>
  <c r="H59" i="44"/>
  <c r="G59" i="44"/>
  <c r="H58" i="44"/>
  <c r="G58" i="44"/>
  <c r="H57" i="44"/>
  <c r="G57" i="44"/>
  <c r="H56" i="44"/>
  <c r="G56" i="44"/>
  <c r="H55" i="44"/>
  <c r="G55" i="44"/>
  <c r="H54" i="44"/>
  <c r="G54" i="44"/>
  <c r="H53" i="44"/>
  <c r="G53" i="44"/>
  <c r="H52" i="44"/>
  <c r="G52" i="44"/>
  <c r="H51" i="44"/>
  <c r="G51" i="44"/>
  <c r="H50" i="44"/>
  <c r="G41" i="44"/>
  <c r="G21" i="44"/>
  <c r="H16" i="44"/>
  <c r="H15" i="44"/>
  <c r="H17" i="44"/>
  <c r="D15" i="41"/>
  <c r="G27" i="44"/>
  <c r="G26" i="44"/>
  <c r="G25" i="44"/>
  <c r="G24" i="44"/>
  <c r="G23" i="44"/>
  <c r="G22" i="44"/>
  <c r="P103" i="44"/>
  <c r="J103" i="44"/>
  <c r="S103" i="44"/>
  <c r="M103" i="44"/>
  <c r="R103" i="44"/>
  <c r="P102" i="44"/>
  <c r="J102" i="44"/>
  <c r="S102" i="44"/>
  <c r="M102" i="44"/>
  <c r="R102" i="44"/>
  <c r="P101" i="44"/>
  <c r="J101" i="44"/>
  <c r="S101" i="44"/>
  <c r="M101" i="44"/>
  <c r="R101" i="44"/>
  <c r="P100" i="44"/>
  <c r="J100" i="44"/>
  <c r="S100" i="44"/>
  <c r="M100" i="44"/>
  <c r="R100" i="44"/>
  <c r="P99" i="44"/>
  <c r="J99" i="44"/>
  <c r="S99" i="44"/>
  <c r="M99" i="44"/>
  <c r="R99" i="44"/>
  <c r="P98" i="44"/>
  <c r="J98" i="44"/>
  <c r="S98" i="44"/>
  <c r="M98" i="44"/>
  <c r="R98" i="44"/>
  <c r="P97" i="44"/>
  <c r="J97" i="44"/>
  <c r="S97" i="44"/>
  <c r="M97" i="44"/>
  <c r="R97" i="44"/>
  <c r="P96" i="44"/>
  <c r="J96" i="44"/>
  <c r="S96" i="44"/>
  <c r="M96" i="44"/>
  <c r="R96" i="44"/>
  <c r="P95" i="44"/>
  <c r="J95" i="44"/>
  <c r="S95" i="44"/>
  <c r="M95" i="44"/>
  <c r="R95" i="44"/>
  <c r="P94" i="44"/>
  <c r="J94" i="44"/>
  <c r="S94" i="44"/>
  <c r="M94" i="44"/>
  <c r="R94" i="44"/>
  <c r="P93" i="44"/>
  <c r="J93" i="44"/>
  <c r="S93" i="44"/>
  <c r="M93" i="44"/>
  <c r="R93" i="44"/>
  <c r="P92" i="44"/>
  <c r="J92" i="44"/>
  <c r="S92" i="44"/>
  <c r="M92" i="44"/>
  <c r="R92" i="44"/>
  <c r="P91" i="44"/>
  <c r="J91" i="44"/>
  <c r="S91" i="44"/>
  <c r="M91" i="44"/>
  <c r="R91" i="44"/>
  <c r="P90" i="44"/>
  <c r="J90" i="44"/>
  <c r="S90" i="44"/>
  <c r="M90" i="44"/>
  <c r="R90" i="44"/>
  <c r="P89" i="44"/>
  <c r="J89" i="44"/>
  <c r="S89" i="44"/>
  <c r="M89" i="44"/>
  <c r="R89" i="44"/>
  <c r="P88" i="44"/>
  <c r="J88" i="44"/>
  <c r="S88" i="44"/>
  <c r="M88" i="44"/>
  <c r="R88" i="44"/>
  <c r="P87" i="44"/>
  <c r="J87" i="44"/>
  <c r="S87" i="44"/>
  <c r="M87" i="44"/>
  <c r="R87" i="44"/>
  <c r="P86" i="44"/>
  <c r="J86" i="44"/>
  <c r="S86" i="44"/>
  <c r="M86" i="44"/>
  <c r="R86" i="44"/>
  <c r="P85" i="44"/>
  <c r="J85" i="44"/>
  <c r="S85" i="44"/>
  <c r="M85" i="44"/>
  <c r="R85" i="44"/>
  <c r="P84" i="44"/>
  <c r="J84" i="44"/>
  <c r="S84" i="44"/>
  <c r="M84" i="44"/>
  <c r="R84" i="44"/>
  <c r="P83" i="44"/>
  <c r="J83" i="44"/>
  <c r="S83" i="44"/>
  <c r="M83" i="44"/>
  <c r="R83" i="44"/>
  <c r="P82" i="44"/>
  <c r="J82" i="44"/>
  <c r="S82" i="44"/>
  <c r="M82" i="44"/>
  <c r="R82" i="44"/>
  <c r="P81" i="44"/>
  <c r="J81" i="44"/>
  <c r="S81" i="44"/>
  <c r="M81" i="44"/>
  <c r="R81" i="44"/>
  <c r="P80" i="44"/>
  <c r="J80" i="44"/>
  <c r="S80" i="44"/>
  <c r="M80" i="44"/>
  <c r="R80" i="44"/>
  <c r="P79" i="44"/>
  <c r="J79" i="44"/>
  <c r="S79" i="44"/>
  <c r="M79" i="44"/>
  <c r="R79" i="44"/>
  <c r="P78" i="44"/>
  <c r="J78" i="44"/>
  <c r="S78" i="44"/>
  <c r="M78" i="44"/>
  <c r="R78" i="44"/>
  <c r="P77" i="44"/>
  <c r="J77" i="44"/>
  <c r="S77" i="44"/>
  <c r="M77" i="44"/>
  <c r="R77" i="44"/>
  <c r="P76" i="44"/>
  <c r="J76" i="44"/>
  <c r="S76" i="44"/>
  <c r="M76" i="44"/>
  <c r="R76" i="44"/>
  <c r="P75" i="44"/>
  <c r="J75" i="44"/>
  <c r="S75" i="44"/>
  <c r="M75" i="44"/>
  <c r="R75" i="44"/>
  <c r="P74" i="44"/>
  <c r="J74" i="44"/>
  <c r="S74" i="44"/>
  <c r="M74" i="44"/>
  <c r="R74" i="44"/>
  <c r="P73" i="44"/>
  <c r="J73" i="44"/>
  <c r="S73" i="44"/>
  <c r="M73" i="44"/>
  <c r="R73" i="44"/>
  <c r="P72" i="44"/>
  <c r="J72" i="44"/>
  <c r="S72" i="44"/>
  <c r="M72" i="44"/>
  <c r="R72" i="44"/>
  <c r="P71" i="44"/>
  <c r="J71" i="44"/>
  <c r="S71" i="44"/>
  <c r="M71" i="44"/>
  <c r="R71" i="44"/>
  <c r="P70" i="44"/>
  <c r="J70" i="44"/>
  <c r="S70" i="44"/>
  <c r="M70" i="44"/>
  <c r="R70" i="44"/>
  <c r="P69" i="44"/>
  <c r="J69" i="44"/>
  <c r="S69" i="44"/>
  <c r="M69" i="44"/>
  <c r="R69" i="44"/>
  <c r="P68" i="44"/>
  <c r="J68" i="44"/>
  <c r="S68" i="44"/>
  <c r="M68" i="44"/>
  <c r="R68" i="44"/>
  <c r="P67" i="44"/>
  <c r="J67" i="44"/>
  <c r="S67" i="44"/>
  <c r="M67" i="44"/>
  <c r="R67" i="44"/>
  <c r="P66" i="44"/>
  <c r="J66" i="44"/>
  <c r="S66" i="44"/>
  <c r="M66" i="44"/>
  <c r="R66" i="44"/>
  <c r="P65" i="44"/>
  <c r="J65" i="44"/>
  <c r="S65" i="44"/>
  <c r="M65" i="44"/>
  <c r="R65" i="44"/>
  <c r="P64" i="44"/>
  <c r="J64" i="44"/>
  <c r="S64" i="44"/>
  <c r="M64" i="44"/>
  <c r="R64" i="44"/>
  <c r="P63" i="44"/>
  <c r="J63" i="44"/>
  <c r="S63" i="44"/>
  <c r="M63" i="44"/>
  <c r="R63" i="44"/>
  <c r="P62" i="44"/>
  <c r="J62" i="44"/>
  <c r="S62" i="44"/>
  <c r="M62" i="44"/>
  <c r="R62" i="44"/>
  <c r="P61" i="44"/>
  <c r="J61" i="44"/>
  <c r="S61" i="44"/>
  <c r="M61" i="44"/>
  <c r="R61" i="44"/>
  <c r="P60" i="44"/>
  <c r="J60" i="44"/>
  <c r="S60" i="44"/>
  <c r="M60" i="44"/>
  <c r="R60" i="44"/>
  <c r="P59" i="44"/>
  <c r="J59" i="44"/>
  <c r="S59" i="44"/>
  <c r="M59" i="44"/>
  <c r="R59" i="44"/>
  <c r="P58" i="44"/>
  <c r="J58" i="44"/>
  <c r="S58" i="44"/>
  <c r="M58" i="44"/>
  <c r="R58" i="44"/>
  <c r="P57" i="44"/>
  <c r="J57" i="44"/>
  <c r="S57" i="44"/>
  <c r="M57" i="44"/>
  <c r="R57" i="44"/>
  <c r="P56" i="44"/>
  <c r="J56" i="44"/>
  <c r="S56" i="44"/>
  <c r="M56" i="44"/>
  <c r="R56" i="44"/>
  <c r="P55" i="44"/>
  <c r="J55" i="44"/>
  <c r="S55" i="44"/>
  <c r="M55" i="44"/>
  <c r="R55" i="44"/>
  <c r="P54" i="44"/>
  <c r="J54" i="44"/>
  <c r="S54" i="44"/>
  <c r="M54" i="44"/>
  <c r="R54" i="44"/>
  <c r="P53" i="44"/>
  <c r="J53" i="44"/>
  <c r="S53" i="44"/>
  <c r="M53" i="44"/>
  <c r="R53" i="44"/>
  <c r="P52" i="44"/>
  <c r="J52" i="44"/>
  <c r="S52" i="44"/>
  <c r="M52" i="44"/>
  <c r="R52" i="44"/>
  <c r="P51" i="44"/>
  <c r="J51" i="44"/>
  <c r="S51" i="44"/>
  <c r="M51" i="44"/>
  <c r="R51" i="44"/>
  <c r="O103" i="44"/>
  <c r="N103" i="44"/>
  <c r="L103" i="44"/>
  <c r="K103" i="44"/>
  <c r="I103" i="44"/>
  <c r="O102" i="44"/>
  <c r="N102" i="44"/>
  <c r="L102" i="44"/>
  <c r="K102" i="44"/>
  <c r="I102" i="44"/>
  <c r="O101" i="44"/>
  <c r="N101" i="44"/>
  <c r="L101" i="44"/>
  <c r="K101" i="44"/>
  <c r="I101" i="44"/>
  <c r="O100" i="44"/>
  <c r="N100" i="44"/>
  <c r="L100" i="44"/>
  <c r="K100" i="44"/>
  <c r="I100" i="44"/>
  <c r="O99" i="44"/>
  <c r="N99" i="44"/>
  <c r="L99" i="44"/>
  <c r="K99" i="44"/>
  <c r="I99" i="44"/>
  <c r="O98" i="44"/>
  <c r="N98" i="44"/>
  <c r="L98" i="44"/>
  <c r="K98" i="44"/>
  <c r="I98" i="44"/>
  <c r="O97" i="44"/>
  <c r="N97" i="44"/>
  <c r="L97" i="44"/>
  <c r="K97" i="44"/>
  <c r="I97" i="44"/>
  <c r="O96" i="44"/>
  <c r="N96" i="44"/>
  <c r="L96" i="44"/>
  <c r="K96" i="44"/>
  <c r="I96" i="44"/>
  <c r="O95" i="44"/>
  <c r="N95" i="44"/>
  <c r="L95" i="44"/>
  <c r="K95" i="44"/>
  <c r="I95" i="44"/>
  <c r="O94" i="44"/>
  <c r="N94" i="44"/>
  <c r="L94" i="44"/>
  <c r="K94" i="44"/>
  <c r="I94" i="44"/>
  <c r="O93" i="44"/>
  <c r="N93" i="44"/>
  <c r="L93" i="44"/>
  <c r="K93" i="44"/>
  <c r="I93" i="44"/>
  <c r="O92" i="44"/>
  <c r="N92" i="44"/>
  <c r="L92" i="44"/>
  <c r="K92" i="44"/>
  <c r="I92" i="44"/>
  <c r="O91" i="44"/>
  <c r="N91" i="44"/>
  <c r="L91" i="44"/>
  <c r="K91" i="44"/>
  <c r="I91" i="44"/>
  <c r="O90" i="44"/>
  <c r="N90" i="44"/>
  <c r="L90" i="44"/>
  <c r="K90" i="44"/>
  <c r="I90" i="44"/>
  <c r="O89" i="44"/>
  <c r="N89" i="44"/>
  <c r="L89" i="44"/>
  <c r="K89" i="44"/>
  <c r="I89" i="44"/>
  <c r="O88" i="44"/>
  <c r="N88" i="44"/>
  <c r="L88" i="44"/>
  <c r="K88" i="44"/>
  <c r="I88" i="44"/>
  <c r="O87" i="44"/>
  <c r="N87" i="44"/>
  <c r="L87" i="44"/>
  <c r="K87" i="44"/>
  <c r="I87" i="44"/>
  <c r="O86" i="44"/>
  <c r="N86" i="44"/>
  <c r="L86" i="44"/>
  <c r="K86" i="44"/>
  <c r="I86" i="44"/>
  <c r="O85" i="44"/>
  <c r="N85" i="44"/>
  <c r="L85" i="44"/>
  <c r="K85" i="44"/>
  <c r="I85" i="44"/>
  <c r="O84" i="44"/>
  <c r="N84" i="44"/>
  <c r="L84" i="44"/>
  <c r="K84" i="44"/>
  <c r="I84" i="44"/>
  <c r="O83" i="44"/>
  <c r="N83" i="44"/>
  <c r="L83" i="44"/>
  <c r="K83" i="44"/>
  <c r="I83" i="44"/>
  <c r="O82" i="44"/>
  <c r="N82" i="44"/>
  <c r="L82" i="44"/>
  <c r="K82" i="44"/>
  <c r="I82" i="44"/>
  <c r="O81" i="44"/>
  <c r="N81" i="44"/>
  <c r="L81" i="44"/>
  <c r="K81" i="44"/>
  <c r="I81" i="44"/>
  <c r="O80" i="44"/>
  <c r="N80" i="44"/>
  <c r="L80" i="44"/>
  <c r="K80" i="44"/>
  <c r="I80" i="44"/>
  <c r="O79" i="44"/>
  <c r="N79" i="44"/>
  <c r="L79" i="44"/>
  <c r="K79" i="44"/>
  <c r="I79" i="44"/>
  <c r="O78" i="44"/>
  <c r="N78" i="44"/>
  <c r="L78" i="44"/>
  <c r="K78" i="44"/>
  <c r="I78" i="44"/>
  <c r="O77" i="44"/>
  <c r="N77" i="44"/>
  <c r="L77" i="44"/>
  <c r="K77" i="44"/>
  <c r="I77" i="44"/>
  <c r="O76" i="44"/>
  <c r="N76" i="44"/>
  <c r="L76" i="44"/>
  <c r="K76" i="44"/>
  <c r="I76" i="44"/>
  <c r="O75" i="44"/>
  <c r="N75" i="44"/>
  <c r="L75" i="44"/>
  <c r="K75" i="44"/>
  <c r="I75" i="44"/>
  <c r="O74" i="44"/>
  <c r="N74" i="44"/>
  <c r="L74" i="44"/>
  <c r="K74" i="44"/>
  <c r="I74" i="44"/>
  <c r="O73" i="44"/>
  <c r="N73" i="44"/>
  <c r="L73" i="44"/>
  <c r="K73" i="44"/>
  <c r="I73" i="44"/>
  <c r="O72" i="44"/>
  <c r="N72" i="44"/>
  <c r="L72" i="44"/>
  <c r="K72" i="44"/>
  <c r="I72" i="44"/>
  <c r="O71" i="44"/>
  <c r="N71" i="44"/>
  <c r="L71" i="44"/>
  <c r="K71" i="44"/>
  <c r="I71" i="44"/>
  <c r="O70" i="44"/>
  <c r="N70" i="44"/>
  <c r="L70" i="44"/>
  <c r="K70" i="44"/>
  <c r="I70" i="44"/>
  <c r="O69" i="44"/>
  <c r="N69" i="44"/>
  <c r="L69" i="44"/>
  <c r="K69" i="44"/>
  <c r="I69" i="44"/>
  <c r="O68" i="44"/>
  <c r="N68" i="44"/>
  <c r="L68" i="44"/>
  <c r="K68" i="44"/>
  <c r="I68" i="44"/>
  <c r="O67" i="44"/>
  <c r="N67" i="44"/>
  <c r="L67" i="44"/>
  <c r="K67" i="44"/>
  <c r="I67" i="44"/>
  <c r="O66" i="44"/>
  <c r="N66" i="44"/>
  <c r="L66" i="44"/>
  <c r="K66" i="44"/>
  <c r="I66" i="44"/>
  <c r="O65" i="44"/>
  <c r="N65" i="44"/>
  <c r="L65" i="44"/>
  <c r="K65" i="44"/>
  <c r="I65" i="44"/>
  <c r="O64" i="44"/>
  <c r="N64" i="44"/>
  <c r="L64" i="44"/>
  <c r="K64" i="44"/>
  <c r="I64" i="44"/>
  <c r="O63" i="44"/>
  <c r="N63" i="44"/>
  <c r="L63" i="44"/>
  <c r="K63" i="44"/>
  <c r="I63" i="44"/>
  <c r="O62" i="44"/>
  <c r="N62" i="44"/>
  <c r="L62" i="44"/>
  <c r="K62" i="44"/>
  <c r="I62" i="44"/>
  <c r="O61" i="44"/>
  <c r="N61" i="44"/>
  <c r="L61" i="44"/>
  <c r="K61" i="44"/>
  <c r="I61" i="44"/>
  <c r="O60" i="44"/>
  <c r="N60" i="44"/>
  <c r="L60" i="44"/>
  <c r="K60" i="44"/>
  <c r="I60" i="44"/>
  <c r="O59" i="44"/>
  <c r="N59" i="44"/>
  <c r="L59" i="44"/>
  <c r="K59" i="44"/>
  <c r="I59" i="44"/>
  <c r="O58" i="44"/>
  <c r="N58" i="44"/>
  <c r="L58" i="44"/>
  <c r="K58" i="44"/>
  <c r="I58" i="44"/>
  <c r="O57" i="44"/>
  <c r="N57" i="44"/>
  <c r="L57" i="44"/>
  <c r="K57" i="44"/>
  <c r="I57" i="44"/>
  <c r="O56" i="44"/>
  <c r="N56" i="44"/>
  <c r="L56" i="44"/>
  <c r="K56" i="44"/>
  <c r="I56" i="44"/>
  <c r="O55" i="44"/>
  <c r="N55" i="44"/>
  <c r="L55" i="44"/>
  <c r="K55" i="44"/>
  <c r="I55" i="44"/>
  <c r="O54" i="44"/>
  <c r="N54" i="44"/>
  <c r="L54" i="44"/>
  <c r="K54" i="44"/>
  <c r="I54" i="44"/>
  <c r="O53" i="44"/>
  <c r="N53" i="44"/>
  <c r="L53" i="44"/>
  <c r="K53" i="44"/>
  <c r="I53" i="44"/>
  <c r="O52" i="44"/>
  <c r="N52" i="44"/>
  <c r="L52" i="44"/>
  <c r="K52" i="44"/>
  <c r="I52" i="44"/>
  <c r="O51" i="44"/>
  <c r="N51" i="44"/>
  <c r="L51" i="44"/>
  <c r="K51" i="44"/>
  <c r="I51" i="44"/>
  <c r="I50" i="44"/>
  <c r="P50" i="44"/>
  <c r="J50" i="44"/>
  <c r="S50" i="44"/>
  <c r="M50" i="44"/>
  <c r="R50" i="44"/>
  <c r="O50" i="44"/>
  <c r="N50" i="44"/>
  <c r="L50" i="44"/>
  <c r="K50" i="44"/>
  <c r="G50" i="44"/>
  <c r="S44" i="44"/>
  <c r="R44" i="44"/>
  <c r="A44" i="44"/>
  <c r="M41" i="44"/>
  <c r="N41" i="44"/>
  <c r="O41" i="44"/>
  <c r="P41" i="44"/>
  <c r="J41" i="44"/>
  <c r="K41" i="44"/>
  <c r="L41" i="44"/>
  <c r="I41" i="44"/>
  <c r="A5" i="44"/>
  <c r="A4" i="44"/>
  <c r="A3" i="44"/>
  <c r="A2" i="44"/>
  <c r="E20" i="41"/>
  <c r="F20" i="41"/>
  <c r="F18" i="41"/>
  <c r="D16" i="41"/>
  <c r="D20" i="41"/>
  <c r="G20" i="41"/>
  <c r="A20" i="41"/>
  <c r="A5" i="41"/>
  <c r="A4" i="41"/>
  <c r="A3" i="41"/>
  <c r="A2" i="41"/>
  <c r="B13" i="33"/>
</calcChain>
</file>

<file path=xl/sharedStrings.xml><?xml version="1.0" encoding="utf-8"?>
<sst xmlns="http://schemas.openxmlformats.org/spreadsheetml/2006/main" count="152" uniqueCount="139">
  <si>
    <t>Currency</t>
  </si>
  <si>
    <t>Weighting</t>
  </si>
  <si>
    <t>Activity</t>
  </si>
  <si>
    <t>Phase</t>
  </si>
  <si>
    <t>z_Translate_Report</t>
  </si>
  <si>
    <t>Period</t>
  </si>
  <si>
    <t>Indicator_LTP</t>
  </si>
  <si>
    <t>STR_VAR1</t>
  </si>
  <si>
    <t>D</t>
  </si>
  <si>
    <t>N</t>
  </si>
  <si>
    <t>[Begin Format Range]</t>
  </si>
  <si>
    <t>[End Format Range]</t>
  </si>
  <si>
    <t>LTP_component</t>
  </si>
  <si>
    <t>Legal_organization</t>
  </si>
  <si>
    <t>Language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</si>
  <si>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</si>
  <si>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</si>
  <si>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</si>
  <si>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</si>
  <si>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</si>
  <si>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</si>
  <si>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</si>
  <si>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</si>
  <si>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</si>
  <si>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RP_Comments_LTP</t>
  </si>
  <si>
    <t>Actual Year :</t>
  </si>
  <si>
    <t>LTP Version :</t>
  </si>
  <si>
    <t>Local language</t>
  </si>
  <si>
    <t>Language List :</t>
  </si>
  <si>
    <t>English</t>
  </si>
  <si>
    <t>French</t>
  </si>
  <si>
    <t>Note List :</t>
  </si>
  <si>
    <t>A</t>
  </si>
  <si>
    <t>B</t>
  </si>
  <si>
    <t>C</t>
  </si>
  <si>
    <t>Sheets Context Legend :</t>
  </si>
  <si>
    <t>Technical Named Cell for VBA process :</t>
  </si>
  <si>
    <t>Fixed Dimension Context</t>
  </si>
  <si>
    <t>z_Admin_Param Dimension Context</t>
  </si>
  <si>
    <t>Plan Output</t>
  </si>
  <si>
    <t>Output</t>
  </si>
  <si>
    <t>CAGR</t>
  </si>
  <si>
    <t>UR_M</t>
  </si>
  <si>
    <t>UR_CY</t>
  </si>
  <si>
    <t>UR_CA</t>
  </si>
  <si>
    <t>Indicator</t>
  </si>
  <si>
    <t>Selected Legal Organization and coherent Activities</t>
  </si>
  <si>
    <t>Legal_Organization</t>
  </si>
  <si>
    <t>LTP_Components</t>
  </si>
  <si>
    <t>CO</t>
  </si>
  <si>
    <t>NA</t>
  </si>
  <si>
    <t>UR</t>
  </si>
  <si>
    <t>UR_BU</t>
  </si>
  <si>
    <t>UR_LR</t>
  </si>
  <si>
    <t>UR_MM</t>
  </si>
  <si>
    <t>UR_BO</t>
  </si>
  <si>
    <t>SU</t>
  </si>
  <si>
    <t>SU_B</t>
  </si>
  <si>
    <t>SU_H</t>
  </si>
  <si>
    <t>SU_MM</t>
  </si>
  <si>
    <t>SO</t>
  </si>
  <si>
    <t>SD_PA</t>
  </si>
  <si>
    <t>SD_MM</t>
  </si>
  <si>
    <t>RC</t>
  </si>
  <si>
    <t>RC_S</t>
  </si>
  <si>
    <t>RC_RL</t>
  </si>
  <si>
    <t>RC_CH</t>
  </si>
  <si>
    <t>RC_SC</t>
  </si>
  <si>
    <t>RC_SHC</t>
  </si>
  <si>
    <t>HRAIL</t>
  </si>
  <si>
    <t>RH</t>
  </si>
  <si>
    <t>NIH</t>
  </si>
  <si>
    <t>NIC</t>
  </si>
  <si>
    <t>FE</t>
  </si>
  <si>
    <t>CO_SR</t>
  </si>
  <si>
    <t>CO_SHR</t>
  </si>
  <si>
    <t>AT</t>
  </si>
  <si>
    <t>AT_AS</t>
  </si>
  <si>
    <t>AT_LS</t>
  </si>
  <si>
    <t>OS</t>
  </si>
  <si>
    <t>OS_AS</t>
  </si>
  <si>
    <t>OS_MA</t>
  </si>
  <si>
    <t>OS_CO</t>
  </si>
  <si>
    <t>OS_IS</t>
  </si>
  <si>
    <t>OS_DS</t>
  </si>
  <si>
    <t>OS_D</t>
  </si>
  <si>
    <t>OS_CC</t>
  </si>
  <si>
    <t>OS_TA</t>
  </si>
  <si>
    <t>OS_PR</t>
  </si>
  <si>
    <t>HO</t>
  </si>
  <si>
    <t>Reject_Data</t>
  </si>
  <si>
    <t>MDX</t>
  </si>
  <si>
    <t>Legal Organization</t>
  </si>
  <si>
    <t>By_Activity</t>
  </si>
  <si>
    <t>Of_Which</t>
  </si>
  <si>
    <t>UR_input</t>
  </si>
  <si>
    <t>SU_input</t>
  </si>
  <si>
    <t>SO_input</t>
  </si>
  <si>
    <t>RC_input</t>
  </si>
  <si>
    <t>HRAIL_input</t>
  </si>
  <si>
    <t>CO_input</t>
  </si>
  <si>
    <t>AT_input</t>
  </si>
  <si>
    <t>OS_input</t>
  </si>
  <si>
    <t>LTP Color</t>
  </si>
  <si>
    <t>TOT_LTP</t>
  </si>
  <si>
    <t>ZGP&amp;Action&amp;Disp_Plans</t>
  </si>
  <si>
    <t>ZGP&amp;AP_Country</t>
  </si>
  <si>
    <t>ZGP&amp;AP_Corp</t>
  </si>
  <si>
    <t>ZGP&amp;Action_Plans</t>
  </si>
  <si>
    <t>Disp_Plan</t>
  </si>
  <si>
    <t>Transfo_Plan_Disp_Corp</t>
  </si>
  <si>
    <t>Transfo_Plan_Disp_Country</t>
  </si>
  <si>
    <t>Growth_Plan</t>
  </si>
  <si>
    <t>Growth_Plan_Country</t>
  </si>
  <si>
    <t>Growth_Plan_Orga</t>
  </si>
  <si>
    <t>Growth_Plan_Orga_Country</t>
  </si>
  <si>
    <t>Growth_Plan_Orga_Corp</t>
  </si>
  <si>
    <t>Growth_Plan_Ext</t>
  </si>
  <si>
    <t>Growth_Plan_Ext_Country</t>
  </si>
  <si>
    <t>Growth_Plan_Ext_Corp</t>
  </si>
  <si>
    <t>Transfo_Plan_Action</t>
  </si>
  <si>
    <t>Transfo_Plan_Action_Country</t>
  </si>
  <si>
    <t>Transfo_Plan_Action_Corp</t>
  </si>
  <si>
    <t>TOT_LTP_bef_Corp_allocation</t>
  </si>
  <si>
    <t>ZGP_Plan</t>
  </si>
  <si>
    <t>All other</t>
  </si>
  <si>
    <t>ZGP_Country</t>
  </si>
  <si>
    <t>ZGP_Corp</t>
  </si>
  <si>
    <t>LTP Component</t>
  </si>
  <si>
    <t>LTP Component -Flag</t>
  </si>
  <si>
    <t>LTP_Country</t>
  </si>
  <si>
    <t>Report_LTP</t>
  </si>
  <si>
    <t>tango_core_model:</t>
  </si>
  <si>
    <t>Urbain</t>
  </si>
  <si>
    <t>Europe du Nord</t>
  </si>
  <si>
    <t>Total Activités PMM</t>
  </si>
  <si>
    <t>Bus (Urbain)</t>
  </si>
  <si>
    <t>Activités PMM Transit</t>
  </si>
  <si>
    <t>FRSAPP021269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</si>
</sst>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_(* #,##0.00_);_(* \(#,##0.00\);_(* &quot;-&quot;??_);_(@_)"/>
    <numFmt numFmtId="165" formatCode="#,##0.0"/>
    <numFmt numFmtId="166" formatCode="_-* #,##0.00\ _F_-;\-* #,##0.00\ _F_-;_-* &quot;-&quot;??\ _F_-;_-@_-"/>
    <numFmt numFmtId="167" formatCode="#,###,##0.00"/>
    <numFmt numFmtId="168" formatCode="#,###,##0.0"/>
    <numFmt numFmtId="169" formatCode="#,###,##0"/>
    <numFmt numFmtId="170" formatCode="0.00_)"/>
    <numFmt numFmtId="171" formatCode="#,###,##0.000"/>
    <numFmt numFmtId="172" formatCode="&quot;+ &quot;@"/>
    <numFmt numFmtId="173" formatCode="0.0%"/>
    <numFmt numFmtId="174" formatCode="&quot;- &quot;@"/>
  </numFmts>
  <fonts count="65" x14ac:knownFonts="1">
    <font>
      <sz val="10"/>
      <name val="Arial"/>
    </font>
    <font>
      <sz val="10"/>
      <name val="Arial"/>
      <family val="2"/>
    </font>
    <font>
      <sz val="10"/>
      <name val="Calibri"/>
      <family val="2"/>
    </font>
    <font>
      <sz val="10"/>
      <name val="Arial"/>
      <family val="2"/>
    </font>
    <font>
      <sz val="9"/>
      <name val="Arial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sz val="9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1"/>
      <name val="Calibri"/>
      <family val="2"/>
    </font>
    <font>
      <b/>
      <sz val="14"/>
      <color theme="0"/>
      <name val="Calibri"/>
      <family val="2"/>
      <scheme val="minor"/>
    </font>
    <font>
      <b/>
      <sz val="14"/>
      <color rgb="FF7E408F"/>
      <name val="Arial"/>
      <family val="2"/>
    </font>
    <font>
      <b/>
      <sz val="12"/>
      <color indexed="45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24"/>
      <color indexed="9"/>
      <name val="Calibri"/>
      <family val="2"/>
      <scheme val="minor"/>
    </font>
    <font>
      <b/>
      <i/>
      <sz val="16"/>
      <color indexed="9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rgb="FFFF0000"/>
      <name val="Arial"/>
      <family val="2"/>
    </font>
    <font>
      <sz val="12"/>
      <color rgb="FFD9D9D9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i/>
      <sz val="20"/>
      <color indexed="9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2"/>
      <name val="Calibri"/>
      <family val="2"/>
      <scheme val="minor"/>
    </font>
    <font>
      <b/>
      <sz val="22"/>
      <color indexed="9"/>
      <name val="Calibri"/>
      <family val="2"/>
      <scheme val="minor"/>
    </font>
    <font>
      <sz val="12"/>
      <color rgb="FFF2F2F2"/>
      <name val="Calibri"/>
      <family val="2"/>
      <scheme val="minor"/>
    </font>
    <font>
      <b/>
      <sz val="11"/>
      <color rgb="FFFF0000"/>
      <name val="Arial"/>
      <family val="2"/>
    </font>
    <font>
      <sz val="11"/>
      <name val="Arial"/>
      <family val="2"/>
    </font>
    <font>
      <sz val="12"/>
      <color rgb="FF31869B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E408F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99CC0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E2C5FF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FF0000"/>
        <bgColor indexed="64"/>
      </patternFill>
    </fill>
  </fills>
  <borders count="3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hair">
        <color theme="0"/>
      </right>
      <top/>
      <bottom/>
      <diagonal/>
    </border>
    <border>
      <left style="thin">
        <color theme="0"/>
      </left>
      <right style="thin">
        <color indexed="9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310">
    <xf numFmtId="0" fontId="0" fillId="0" borderId="0"/>
    <xf numFmtId="0" fontId="1" fillId="0" borderId="0"/>
    <xf numFmtId="0" fontId="1" fillId="0" borderId="0"/>
    <xf numFmtId="0" fontId="1" fillId="0" borderId="0"/>
    <xf numFmtId="9" fontId="3" fillId="0" borderId="0" applyFont="0" applyFill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7" borderId="0" applyNumberFormat="0" applyBorder="0" applyAlignment="0" applyProtection="0"/>
    <xf numFmtId="0" fontId="6" fillId="8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6" fillId="4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5" fillId="10" borderId="0" applyNumberFormat="0" applyBorder="0" applyAlignment="0" applyProtection="0"/>
    <xf numFmtId="0" fontId="6" fillId="10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5" fillId="11" borderId="0" applyNumberFormat="0" applyBorder="0" applyAlignment="0" applyProtection="0"/>
    <xf numFmtId="0" fontId="6" fillId="6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6" fillId="11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5" fillId="13" borderId="0" applyNumberFormat="0" applyBorder="0" applyAlignment="0" applyProtection="0"/>
    <xf numFmtId="0" fontId="6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5" fillId="14" borderId="0" applyNumberFormat="0" applyBorder="0" applyAlignment="0" applyProtection="0"/>
    <xf numFmtId="0" fontId="6" fillId="15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5" fillId="9" borderId="0" applyNumberFormat="0" applyBorder="0" applyAlignment="0" applyProtection="0"/>
    <xf numFmtId="0" fontId="6" fillId="11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5" fillId="12" borderId="0" applyNumberFormat="0" applyBorder="0" applyAlignment="0" applyProtection="0"/>
    <xf numFmtId="0" fontId="6" fillId="12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5" fillId="16" borderId="0" applyNumberFormat="0" applyBorder="0" applyAlignment="0" applyProtection="0"/>
    <xf numFmtId="0" fontId="6" fillId="6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4" borderId="0" applyNumberFormat="0" applyBorder="0" applyAlignment="0" applyProtection="0"/>
    <xf numFmtId="0" fontId="7" fillId="15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20" borderId="0" applyNumberFormat="0" applyBorder="0" applyAlignment="0" applyProtection="0"/>
    <xf numFmtId="0" fontId="7" fillId="6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23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9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18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7" fillId="24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8" fillId="5" borderId="0" applyNumberFormat="0" applyBorder="0" applyAlignment="0" applyProtection="0"/>
    <xf numFmtId="0" fontId="9" fillId="11" borderId="1" applyNumberFormat="0" applyAlignment="0" applyProtection="0"/>
    <xf numFmtId="0" fontId="9" fillId="11" borderId="1" applyNumberFormat="0" applyAlignment="0" applyProtection="0"/>
    <xf numFmtId="0" fontId="9" fillId="11" borderId="1" applyNumberFormat="0" applyAlignment="0" applyProtection="0"/>
    <xf numFmtId="0" fontId="9" fillId="11" borderId="1" applyNumberFormat="0" applyAlignment="0" applyProtection="0"/>
    <xf numFmtId="0" fontId="9" fillId="11" borderId="1" applyNumberFormat="0" applyAlignment="0" applyProtection="0"/>
    <xf numFmtId="0" fontId="9" fillId="4" borderId="1" applyNumberFormat="0" applyAlignment="0" applyProtection="0"/>
    <xf numFmtId="0" fontId="10" fillId="25" borderId="2" applyNumberFormat="0" applyAlignment="0" applyProtection="0"/>
    <xf numFmtId="0" fontId="10" fillId="25" borderId="2" applyNumberFormat="0" applyAlignment="0" applyProtection="0"/>
    <xf numFmtId="0" fontId="10" fillId="25" borderId="2" applyNumberFormat="0" applyAlignment="0" applyProtection="0"/>
    <xf numFmtId="0" fontId="10" fillId="25" borderId="2" applyNumberFormat="0" applyAlignment="0" applyProtection="0"/>
    <xf numFmtId="0" fontId="10" fillId="25" borderId="2" applyNumberFormat="0" applyAlignment="0" applyProtection="0"/>
    <xf numFmtId="0" fontId="10" fillId="25" borderId="2" applyNumberFormat="0" applyAlignment="0" applyProtection="0"/>
    <xf numFmtId="0" fontId="11" fillId="0" borderId="3">
      <alignment horizontal="left" wrapText="1"/>
    </xf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1" fillId="0" borderId="0" applyFon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3" fillId="7" borderId="0" applyNumberFormat="0" applyBorder="0" applyAlignment="0" applyProtection="0"/>
    <xf numFmtId="0" fontId="14" fillId="0" borderId="4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5" fillId="0" borderId="5" applyNumberFormat="0" applyFill="0" applyAlignment="0" applyProtection="0"/>
    <xf numFmtId="0" fontId="14" fillId="0" borderId="4" applyNumberFormat="0" applyFill="0" applyAlignment="0" applyProtection="0"/>
    <xf numFmtId="0" fontId="16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7" fillId="0" borderId="6" applyNumberFormat="0" applyFill="0" applyAlignment="0" applyProtection="0"/>
    <xf numFmtId="0" fontId="16" fillId="0" borderId="6" applyNumberFormat="0" applyFill="0" applyAlignment="0" applyProtection="0"/>
    <xf numFmtId="0" fontId="18" fillId="0" borderId="7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9" fillId="0" borderId="8" applyNumberFormat="0" applyFill="0" applyAlignment="0" applyProtection="0"/>
    <xf numFmtId="0" fontId="18" fillId="0" borderId="7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9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0" fillId="0" borderId="0" applyNumberFormat="0" applyFill="0" applyBorder="0" applyAlignment="0" applyProtection="0">
      <alignment vertical="top"/>
      <protection locked="0"/>
    </xf>
    <xf numFmtId="0" fontId="21" fillId="0" borderId="0" applyNumberFormat="0" applyFill="0" applyBorder="0" applyAlignment="0" applyProtection="0">
      <alignment vertical="top"/>
      <protection locked="0"/>
    </xf>
    <xf numFmtId="0" fontId="22" fillId="11" borderId="1" applyNumberFormat="0" applyAlignment="0" applyProtection="0"/>
    <xf numFmtId="0" fontId="22" fillId="11" borderId="1" applyNumberFormat="0" applyAlignment="0" applyProtection="0"/>
    <xf numFmtId="0" fontId="22" fillId="11" borderId="1" applyNumberFormat="0" applyAlignment="0" applyProtection="0"/>
    <xf numFmtId="0" fontId="22" fillId="11" borderId="1" applyNumberFormat="0" applyAlignment="0" applyProtection="0"/>
    <xf numFmtId="0" fontId="22" fillId="11" borderId="1" applyNumberFormat="0" applyAlignment="0" applyProtection="0"/>
    <xf numFmtId="0" fontId="22" fillId="6" borderId="1" applyNumberFormat="0" applyAlignment="0" applyProtection="0"/>
    <xf numFmtId="0" fontId="21" fillId="0" borderId="0" applyNumberFormat="0" applyFill="0" applyBorder="0" applyAlignment="0" applyProtection="0">
      <alignment vertical="top"/>
      <protection locked="0"/>
    </xf>
    <xf numFmtId="167" fontId="23" fillId="26" borderId="0" applyNumberFormat="0" applyBorder="0">
      <alignment horizontal="right"/>
      <protection locked="0"/>
    </xf>
    <xf numFmtId="0" fontId="24" fillId="0" borderId="9" applyNumberFormat="0" applyFill="0" applyAlignment="0" applyProtection="0"/>
    <xf numFmtId="0" fontId="24" fillId="0" borderId="9" applyNumberFormat="0" applyFill="0" applyAlignment="0" applyProtection="0"/>
    <xf numFmtId="0" fontId="24" fillId="0" borderId="9" applyNumberFormat="0" applyFill="0" applyAlignment="0" applyProtection="0"/>
    <xf numFmtId="0" fontId="24" fillId="0" borderId="9" applyNumberFormat="0" applyFill="0" applyAlignment="0" applyProtection="0"/>
    <xf numFmtId="0" fontId="24" fillId="0" borderId="9" applyNumberFormat="0" applyFill="0" applyAlignment="0" applyProtection="0"/>
    <xf numFmtId="0" fontId="24" fillId="0" borderId="9" applyNumberFormat="0" applyFill="0" applyAlignment="0" applyProtection="0"/>
    <xf numFmtId="168" fontId="25" fillId="27" borderId="0" applyNumberFormat="0" applyBorder="0">
      <alignment horizontal="right" vertical="center"/>
      <protection locked="0"/>
    </xf>
    <xf numFmtId="169" fontId="25" fillId="28" borderId="0" applyNumberFormat="0" applyBorder="0">
      <alignment horizontal="right" vertical="center"/>
      <protection locked="0"/>
    </xf>
    <xf numFmtId="164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6" fillId="2" borderId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7" fillId="15" borderId="0" applyNumberFormat="0" applyBorder="0" applyAlignment="0" applyProtection="0"/>
    <xf numFmtId="0" fontId="26" fillId="2" borderId="0"/>
    <xf numFmtId="0" fontId="26" fillId="2" borderId="0"/>
    <xf numFmtId="170" fontId="28" fillId="0" borderId="0"/>
    <xf numFmtId="0" fontId="5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" fillId="8" borderId="10" applyNumberFormat="0" applyFont="0" applyAlignment="0" applyProtection="0"/>
    <xf numFmtId="0" fontId="5" fillId="8" borderId="10" applyNumberFormat="0" applyFont="0" applyAlignment="0" applyProtection="0"/>
    <xf numFmtId="0" fontId="5" fillId="8" borderId="10" applyNumberFormat="0" applyFont="0" applyAlignment="0" applyProtection="0"/>
    <xf numFmtId="0" fontId="5" fillId="8" borderId="10" applyNumberFormat="0" applyFont="0" applyAlignment="0" applyProtection="0"/>
    <xf numFmtId="0" fontId="5" fillId="8" borderId="10" applyNumberFormat="0" applyFont="0" applyAlignment="0" applyProtection="0"/>
    <xf numFmtId="0" fontId="1" fillId="8" borderId="10" applyNumberFormat="0" applyFont="0" applyAlignment="0" applyProtection="0"/>
    <xf numFmtId="0" fontId="26" fillId="2" borderId="0"/>
    <xf numFmtId="0" fontId="29" fillId="4" borderId="11" applyNumberFormat="0" applyAlignment="0" applyProtection="0"/>
    <xf numFmtId="0" fontId="29" fillId="11" borderId="11" applyNumberFormat="0" applyAlignment="0" applyProtection="0"/>
    <xf numFmtId="0" fontId="29" fillId="11" borderId="11" applyNumberFormat="0" applyAlignment="0" applyProtection="0"/>
    <xf numFmtId="0" fontId="29" fillId="11" borderId="11" applyNumberFormat="0" applyAlignment="0" applyProtection="0"/>
    <xf numFmtId="0" fontId="29" fillId="11" borderId="11" applyNumberFormat="0" applyAlignment="0" applyProtection="0"/>
    <xf numFmtId="0" fontId="29" fillId="4" borderId="11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171" fontId="32" fillId="29" borderId="0" applyNumberFormat="0" applyBorder="0">
      <alignment horizontal="left" vertical="center"/>
      <protection locked="0"/>
    </xf>
    <xf numFmtId="171" fontId="33" fillId="26" borderId="0" applyNumberFormat="0" applyBorder="0">
      <alignment horizontal="left"/>
      <protection locked="0"/>
    </xf>
    <xf numFmtId="0" fontId="18" fillId="0" borderId="12" applyNumberFormat="0" applyFill="0" applyAlignment="0" applyProtection="0"/>
    <xf numFmtId="0" fontId="18" fillId="0" borderId="12" applyNumberFormat="0" applyFill="0" applyAlignment="0" applyProtection="0"/>
    <xf numFmtId="0" fontId="18" fillId="0" borderId="12" applyNumberFormat="0" applyFill="0" applyAlignment="0" applyProtection="0"/>
    <xf numFmtId="0" fontId="18" fillId="0" borderId="12" applyNumberFormat="0" applyFill="0" applyAlignment="0" applyProtection="0"/>
    <xf numFmtId="0" fontId="18" fillId="0" borderId="12" applyNumberFormat="0" applyFill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4" fillId="0" borderId="0" applyNumberFormat="0" applyFill="0" applyBorder="0" applyAlignment="0" applyProtection="0"/>
    <xf numFmtId="0" fontId="37" fillId="0" borderId="0"/>
  </cellStyleXfs>
  <cellXfs count="164">
    <xf numFmtId="0" fontId="0" fillId="0" borderId="0" xfId="0"/>
    <xf numFmtId="0" fontId="36" fillId="0" borderId="0" xfId="1" applyFont="1" applyFill="1" applyBorder="1" applyAlignment="1" applyProtection="1">
      <alignment vertical="center"/>
    </xf>
    <xf numFmtId="0" fontId="35" fillId="30" borderId="13" xfId="3" applyFont="1" applyFill="1" applyBorder="1" applyAlignment="1">
      <alignment horizontal="left" vertical="center"/>
    </xf>
    <xf numFmtId="0" fontId="36" fillId="0" borderId="0" xfId="1" applyFont="1" applyFill="1" applyAlignment="1" applyProtection="1">
      <alignment vertical="center"/>
    </xf>
    <xf numFmtId="0" fontId="43" fillId="34" borderId="3" xfId="0" applyFont="1" applyFill="1" applyBorder="1" applyAlignment="1" applyProtection="1">
      <alignment horizontal="center"/>
    </xf>
    <xf numFmtId="0" fontId="42" fillId="37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4" fillId="12" borderId="0" xfId="0" applyNumberFormat="1" applyFont="1" applyFill="1"/>
    <xf numFmtId="0" fontId="4" fillId="8" borderId="0" xfId="0" applyNumberFormat="1" applyFont="1" applyFill="1"/>
    <xf numFmtId="0" fontId="4" fillId="0" borderId="0" xfId="0" applyNumberFormat="1" applyFont="1"/>
    <xf numFmtId="0" fontId="39" fillId="0" borderId="0" xfId="0" applyFont="1" applyBorder="1" applyAlignment="1" applyProtection="1">
      <alignment horizontal="left" vertical="center"/>
    </xf>
    <xf numFmtId="0" fontId="39" fillId="0" borderId="0" xfId="0" applyFont="1" applyFill="1" applyBorder="1" applyAlignment="1" applyProtection="1">
      <alignment vertical="center"/>
    </xf>
    <xf numFmtId="3" fontId="39" fillId="0" borderId="0" xfId="0" applyNumberFormat="1" applyFont="1" applyFill="1" applyBorder="1" applyAlignment="1" applyProtection="1">
      <alignment vertical="center"/>
    </xf>
    <xf numFmtId="165" fontId="44" fillId="30" borderId="0" xfId="0" applyNumberFormat="1" applyFont="1" applyFill="1" applyBorder="1" applyAlignment="1" applyProtection="1">
      <alignment horizontal="right" vertical="center" indent="1"/>
    </xf>
    <xf numFmtId="165" fontId="44" fillId="30" borderId="18" xfId="0" applyNumberFormat="1" applyFont="1" applyFill="1" applyBorder="1" applyAlignment="1" applyProtection="1">
      <alignment horizontal="right" vertical="center" indent="1"/>
    </xf>
    <xf numFmtId="165" fontId="44" fillId="38" borderId="18" xfId="0" applyNumberFormat="1" applyFont="1" applyFill="1" applyBorder="1" applyAlignment="1" applyProtection="1">
      <alignment horizontal="right" vertical="center" indent="1"/>
    </xf>
    <xf numFmtId="0" fontId="41" fillId="30" borderId="20" xfId="2" applyFont="1" applyFill="1" applyBorder="1" applyAlignment="1" applyProtection="1">
      <alignment vertical="center"/>
    </xf>
    <xf numFmtId="0" fontId="35" fillId="0" borderId="14" xfId="1" applyFont="1" applyFill="1" applyBorder="1" applyAlignment="1" applyProtection="1">
      <alignment vertical="center"/>
    </xf>
    <xf numFmtId="0" fontId="40" fillId="0" borderId="15" xfId="3" applyFont="1" applyBorder="1"/>
    <xf numFmtId="0" fontId="35" fillId="0" borderId="15" xfId="1" applyFont="1" applyFill="1" applyBorder="1" applyAlignment="1" applyProtection="1">
      <alignment vertical="center"/>
    </xf>
    <xf numFmtId="0" fontId="46" fillId="0" borderId="0" xfId="0" applyFont="1" applyFill="1" applyProtection="1"/>
    <xf numFmtId="0" fontId="1" fillId="0" borderId="0" xfId="0" applyFont="1" applyProtection="1"/>
    <xf numFmtId="0" fontId="47" fillId="39" borderId="22" xfId="0" applyFont="1" applyFill="1" applyBorder="1" applyAlignment="1" applyProtection="1">
      <alignment horizontal="left"/>
    </xf>
    <xf numFmtId="0" fontId="42" fillId="39" borderId="23" xfId="0" applyFont="1" applyFill="1" applyBorder="1" applyProtection="1"/>
    <xf numFmtId="0" fontId="48" fillId="32" borderId="24" xfId="0" applyFont="1" applyFill="1" applyBorder="1" applyProtection="1"/>
    <xf numFmtId="0" fontId="48" fillId="0" borderId="24" xfId="0" applyFont="1" applyBorder="1" applyProtection="1"/>
    <xf numFmtId="0" fontId="0" fillId="0" borderId="0" xfId="0" applyProtection="1"/>
    <xf numFmtId="0" fontId="49" fillId="0" borderId="0" xfId="0" applyFont="1" applyProtection="1"/>
    <xf numFmtId="0" fontId="48" fillId="0" borderId="24" xfId="0" applyNumberFormat="1" applyFont="1" applyBorder="1" applyProtection="1"/>
    <xf numFmtId="0" fontId="48" fillId="0" borderId="26" xfId="0" applyFont="1" applyBorder="1" applyProtection="1"/>
    <xf numFmtId="0" fontId="0" fillId="35" borderId="3" xfId="0" applyFill="1" applyBorder="1" applyProtection="1"/>
    <xf numFmtId="0" fontId="0" fillId="0" borderId="0" xfId="0" applyFill="1" applyProtection="1"/>
    <xf numFmtId="0" fontId="0" fillId="0" borderId="3" xfId="0" applyFill="1" applyBorder="1" applyProtection="1"/>
    <xf numFmtId="0" fontId="36" fillId="0" borderId="0" xfId="3" applyFont="1" applyFill="1"/>
    <xf numFmtId="0" fontId="11" fillId="12" borderId="19" xfId="0" applyFont="1" applyFill="1" applyBorder="1"/>
    <xf numFmtId="0" fontId="0" fillId="12" borderId="19" xfId="0" applyFill="1" applyBorder="1"/>
    <xf numFmtId="173" fontId="44" fillId="30" borderId="21" xfId="0" applyNumberFormat="1" applyFont="1" applyFill="1" applyBorder="1" applyAlignment="1" applyProtection="1">
      <alignment horizontal="right" vertical="center" indent="1"/>
    </xf>
    <xf numFmtId="173" fontId="44" fillId="38" borderId="21" xfId="0" applyNumberFormat="1" applyFont="1" applyFill="1" applyBorder="1" applyAlignment="1" applyProtection="1">
      <alignment horizontal="right" vertical="center" indent="1"/>
    </xf>
    <xf numFmtId="173" fontId="44" fillId="30" borderId="18" xfId="0" applyNumberFormat="1" applyFont="1" applyFill="1" applyBorder="1" applyAlignment="1" applyProtection="1">
      <alignment horizontal="right" vertical="center" indent="1"/>
    </xf>
    <xf numFmtId="0" fontId="35" fillId="0" borderId="0" xfId="1" applyFont="1" applyFill="1" applyBorder="1" applyAlignment="1" applyProtection="1">
      <alignment horizontal="left" vertical="center" indent="1"/>
      <protection locked="0"/>
    </xf>
    <xf numFmtId="0" fontId="35" fillId="36" borderId="16" xfId="1" applyFont="1" applyFill="1" applyBorder="1" applyAlignment="1" applyProtection="1">
      <alignment horizontal="center" vertical="center"/>
    </xf>
    <xf numFmtId="0" fontId="35" fillId="0" borderId="17" xfId="1" applyFont="1" applyFill="1" applyBorder="1" applyAlignment="1" applyProtection="1">
      <alignment vertical="center"/>
    </xf>
    <xf numFmtId="0" fontId="1" fillId="0" borderId="0" xfId="0" applyFont="1"/>
    <xf numFmtId="0" fontId="11" fillId="0" borderId="0" xfId="0" applyFont="1"/>
    <xf numFmtId="0" fontId="11" fillId="40" borderId="0" xfId="0" applyFont="1" applyFill="1"/>
    <xf numFmtId="0" fontId="52" fillId="41" borderId="0" xfId="0" applyFont="1" applyFill="1"/>
    <xf numFmtId="174" fontId="0" fillId="12" borderId="0" xfId="0" applyNumberFormat="1" applyFill="1" applyAlignment="1"/>
    <xf numFmtId="0" fontId="53" fillId="0" borderId="0" xfId="0" applyFont="1" applyAlignment="1">
      <alignment horizontal="center"/>
    </xf>
    <xf numFmtId="0" fontId="1" fillId="42" borderId="0" xfId="0" applyFont="1" applyFill="1"/>
    <xf numFmtId="0" fontId="1" fillId="33" borderId="0" xfId="0" applyFont="1" applyFill="1"/>
    <xf numFmtId="172" fontId="11" fillId="12" borderId="19" xfId="0" applyNumberFormat="1" applyFont="1" applyFill="1" applyBorder="1" applyAlignment="1"/>
    <xf numFmtId="165" fontId="38" fillId="30" borderId="0" xfId="2" applyNumberFormat="1" applyFont="1" applyFill="1" applyBorder="1" applyAlignment="1" applyProtection="1">
      <alignment horizontal="left" vertical="center" indent="1"/>
    </xf>
    <xf numFmtId="165" fontId="38" fillId="38" borderId="0" xfId="2" applyNumberFormat="1" applyFont="1" applyFill="1" applyBorder="1" applyAlignment="1" applyProtection="1">
      <alignment horizontal="left" vertical="center" indent="1"/>
    </xf>
    <xf numFmtId="172" fontId="54" fillId="30" borderId="0" xfId="2" applyNumberFormat="1" applyFont="1" applyFill="1" applyBorder="1" applyAlignment="1" applyProtection="1">
      <alignment horizontal="left" vertical="center"/>
    </xf>
    <xf numFmtId="165" fontId="44" fillId="30" borderId="29" xfId="0" applyNumberFormat="1" applyFont="1" applyFill="1" applyBorder="1" applyAlignment="1" applyProtection="1">
      <alignment horizontal="right" vertical="center" indent="1"/>
    </xf>
    <xf numFmtId="0" fontId="41" fillId="38" borderId="20" xfId="2" applyFont="1" applyFill="1" applyBorder="1" applyAlignment="1" applyProtection="1">
      <alignment vertical="center"/>
    </xf>
    <xf numFmtId="165" fontId="44" fillId="38" borderId="0" xfId="0" applyNumberFormat="1" applyFont="1" applyFill="1" applyBorder="1" applyAlignment="1" applyProtection="1">
      <alignment horizontal="right" vertical="center" indent="1"/>
    </xf>
    <xf numFmtId="165" fontId="44" fillId="38" borderId="29" xfId="0" applyNumberFormat="1" applyFont="1" applyFill="1" applyBorder="1" applyAlignment="1" applyProtection="1">
      <alignment horizontal="right" vertical="center" indent="1"/>
    </xf>
    <xf numFmtId="173" fontId="44" fillId="38" borderId="18" xfId="0" applyNumberFormat="1" applyFont="1" applyFill="1" applyBorder="1" applyAlignment="1" applyProtection="1">
      <alignment horizontal="right" vertical="center" indent="1"/>
    </xf>
    <xf numFmtId="165" fontId="36" fillId="0" borderId="0" xfId="1" applyNumberFormat="1" applyFont="1" applyFill="1" applyBorder="1" applyAlignment="1" applyProtection="1">
      <alignment horizontal="right" vertical="center" indent="1"/>
    </xf>
    <xf numFmtId="0" fontId="53" fillId="0" borderId="0" xfId="0" applyFont="1"/>
    <xf numFmtId="0" fontId="41" fillId="38" borderId="20" xfId="2" applyFont="1" applyFill="1" applyBorder="1" applyAlignment="1" applyProtection="1">
      <alignment horizontal="left" vertical="center" indent="1"/>
    </xf>
    <xf numFmtId="0" fontId="0" fillId="0" borderId="15" xfId="0" applyBorder="1"/>
    <xf numFmtId="0" fontId="1" fillId="0" borderId="17" xfId="0" applyFont="1" applyBorder="1"/>
    <xf numFmtId="0" fontId="35" fillId="0" borderId="0" xfId="1" applyFont="1" applyFill="1" applyBorder="1" applyAlignment="1" applyProtection="1">
      <alignment vertical="center"/>
    </xf>
    <xf numFmtId="0" fontId="0" fillId="0" borderId="0" xfId="0" applyAlignment="1">
      <alignment horizontal="center"/>
    </xf>
    <xf numFmtId="0" fontId="0" fillId="44" borderId="14" xfId="0" applyFill="1" applyBorder="1"/>
    <xf numFmtId="0" fontId="0" fillId="45" borderId="17" xfId="0" applyFill="1" applyBorder="1"/>
    <xf numFmtId="0" fontId="0" fillId="46" borderId="14" xfId="0" applyFill="1" applyBorder="1"/>
    <xf numFmtId="0" fontId="0" fillId="47" borderId="17" xfId="0" applyFill="1" applyBorder="1"/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" fillId="52" borderId="14" xfId="0" applyFont="1" applyFill="1" applyBorder="1"/>
    <xf numFmtId="0" fontId="2" fillId="52" borderId="17" xfId="0" applyFont="1" applyFill="1" applyBorder="1"/>
    <xf numFmtId="0" fontId="0" fillId="0" borderId="3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58" borderId="14" xfId="0" applyFill="1" applyBorder="1"/>
    <xf numFmtId="0" fontId="0" fillId="59" borderId="17" xfId="0" applyFill="1" applyBorder="1"/>
    <xf numFmtId="0" fontId="0" fillId="31" borderId="14" xfId="0" applyFill="1" applyBorder="1"/>
    <xf numFmtId="0" fontId="0" fillId="43" borderId="17" xfId="0" applyFill="1" applyBorder="1"/>
    <xf numFmtId="0" fontId="0" fillId="0" borderId="32" xfId="0" applyBorder="1" applyAlignment="1">
      <alignment horizontal="center" vertical="center"/>
    </xf>
    <xf numFmtId="172" fontId="61" fillId="38" borderId="0" xfId="2" applyNumberFormat="1" applyFont="1" applyFill="1" applyBorder="1" applyAlignment="1" applyProtection="1">
      <alignment horizontal="left" vertical="center"/>
    </xf>
    <xf numFmtId="0" fontId="62" fillId="0" borderId="34" xfId="0" applyFont="1" applyBorder="1" applyAlignment="1" applyProtection="1">
      <alignment horizontal="center"/>
    </xf>
    <xf numFmtId="0" fontId="62" fillId="0" borderId="16" xfId="0" applyFont="1" applyBorder="1" applyAlignment="1" applyProtection="1">
      <alignment horizontal="center"/>
    </xf>
    <xf numFmtId="0" fontId="2" fillId="0" borderId="35" xfId="1" applyFont="1" applyFill="1" applyBorder="1" applyAlignment="1" applyProtection="1">
      <alignment vertical="center"/>
    </xf>
    <xf numFmtId="0" fontId="63" fillId="0" borderId="17" xfId="0" applyFont="1" applyBorder="1" applyProtection="1"/>
    <xf numFmtId="0" fontId="2" fillId="0" borderId="17" xfId="1" applyFont="1" applyFill="1" applyBorder="1" applyAlignment="1" applyProtection="1">
      <alignment vertical="center"/>
    </xf>
    <xf numFmtId="0" fontId="2" fillId="0" borderId="16" xfId="3" applyFont="1" applyBorder="1" applyProtection="1"/>
    <xf numFmtId="0" fontId="1" fillId="0" borderId="14" xfId="0" applyFont="1" applyBorder="1" applyProtection="1"/>
    <xf numFmtId="0" fontId="2" fillId="0" borderId="17" xfId="3" applyFont="1" applyFill="1" applyBorder="1" applyProtection="1"/>
    <xf numFmtId="165" fontId="44" fillId="62" borderId="0" xfId="0" applyNumberFormat="1" applyFont="1" applyFill="1" applyBorder="1" applyAlignment="1" applyProtection="1">
      <alignment horizontal="right" vertical="center" indent="1"/>
    </xf>
    <xf numFmtId="165" fontId="44" fillId="62" borderId="29" xfId="0" applyNumberFormat="1" applyFont="1" applyFill="1" applyBorder="1" applyAlignment="1" applyProtection="1">
      <alignment horizontal="right" vertical="center" indent="1"/>
    </xf>
    <xf numFmtId="173" fontId="44" fillId="62" borderId="18" xfId="0" applyNumberFormat="1" applyFont="1" applyFill="1" applyBorder="1" applyAlignment="1" applyProtection="1">
      <alignment horizontal="right" vertical="center" indent="1"/>
    </xf>
    <xf numFmtId="173" fontId="44" fillId="62" borderId="21" xfId="0" applyNumberFormat="1" applyFont="1" applyFill="1" applyBorder="1" applyAlignment="1" applyProtection="1">
      <alignment horizontal="right" vertical="center" indent="1"/>
    </xf>
    <xf numFmtId="0" fontId="45" fillId="63" borderId="0" xfId="0" applyFont="1" applyFill="1" applyAlignment="1" applyProtection="1">
      <alignment horizontal="center" vertical="center"/>
    </xf>
    <xf numFmtId="0" fontId="56" fillId="63" borderId="28" xfId="0" applyFont="1" applyFill="1" applyBorder="1" applyAlignment="1" applyProtection="1">
      <alignment horizontal="center" vertical="center" wrapText="1"/>
    </xf>
    <xf numFmtId="0" fontId="56" fillId="63" borderId="0" xfId="0" applyFont="1" applyFill="1" applyBorder="1" applyAlignment="1" applyProtection="1">
      <alignment horizontal="center" vertical="center" wrapText="1"/>
    </xf>
    <xf numFmtId="0" fontId="55" fillId="63" borderId="0" xfId="2" applyFont="1" applyFill="1" applyBorder="1" applyAlignment="1" applyProtection="1">
      <alignment horizontal="left" vertical="center" indent="1"/>
    </xf>
    <xf numFmtId="165" fontId="58" fillId="63" borderId="0" xfId="0" applyNumberFormat="1" applyFont="1" applyFill="1" applyBorder="1" applyAlignment="1" applyProtection="1">
      <alignment horizontal="right" vertical="center" indent="1"/>
    </xf>
    <xf numFmtId="165" fontId="58" fillId="63" borderId="33" xfId="0" applyNumberFormat="1" applyFont="1" applyFill="1" applyBorder="1" applyAlignment="1" applyProtection="1">
      <alignment horizontal="right" vertical="center" indent="1"/>
    </xf>
    <xf numFmtId="173" fontId="58" fillId="63" borderId="28" xfId="0" applyNumberFormat="1" applyFont="1" applyFill="1" applyBorder="1" applyAlignment="1" applyProtection="1">
      <alignment horizontal="center" vertical="center" wrapText="1"/>
    </xf>
    <xf numFmtId="173" fontId="58" fillId="63" borderId="0" xfId="0" applyNumberFormat="1" applyFont="1" applyFill="1" applyBorder="1" applyAlignment="1" applyProtection="1">
      <alignment horizontal="center" vertical="center" wrapText="1"/>
    </xf>
    <xf numFmtId="0" fontId="59" fillId="62" borderId="0" xfId="0" applyFont="1" applyFill="1" applyAlignment="1" applyProtection="1">
      <alignment horizontal="right" indent="2"/>
    </xf>
    <xf numFmtId="0" fontId="41" fillId="62" borderId="20" xfId="2" applyFont="1" applyFill="1" applyBorder="1" applyAlignment="1" applyProtection="1">
      <alignment horizontal="left" vertical="center" indent="1"/>
    </xf>
    <xf numFmtId="165" fontId="44" fillId="62" borderId="18" xfId="0" applyNumberFormat="1" applyFont="1" applyFill="1" applyBorder="1" applyAlignment="1" applyProtection="1">
      <alignment horizontal="right" vertical="center" indent="1"/>
    </xf>
    <xf numFmtId="172" fontId="41" fillId="30" borderId="20" xfId="2" applyNumberFormat="1" applyFont="1" applyFill="1" applyBorder="1" applyAlignment="1" applyProtection="1">
      <alignment horizontal="left" vertical="center" indent="1"/>
    </xf>
    <xf numFmtId="174" fontId="41" fillId="30" borderId="20" xfId="2" applyNumberFormat="1" applyFont="1" applyFill="1" applyBorder="1" applyAlignment="1" applyProtection="1">
      <alignment horizontal="left" vertical="center" indent="1"/>
    </xf>
    <xf numFmtId="49" fontId="41" fillId="38" borderId="20" xfId="2" applyNumberFormat="1" applyFont="1" applyFill="1" applyBorder="1" applyAlignment="1" applyProtection="1">
      <alignment horizontal="left" vertical="center" indent="2"/>
    </xf>
    <xf numFmtId="0" fontId="42" fillId="39" borderId="25" xfId="0" applyFont="1" applyFill="1" applyBorder="1" applyAlignment="1" applyProtection="1">
      <alignment horizontal="left" vertical="center"/>
    </xf>
    <xf numFmtId="0" fontId="42" fillId="39" borderId="18" xfId="0" applyFont="1" applyFill="1" applyBorder="1" applyAlignment="1" applyProtection="1">
      <alignment horizontal="left" vertical="center"/>
    </xf>
    <xf numFmtId="0" fontId="42" fillId="39" borderId="27" xfId="0" applyFont="1" applyFill="1" applyBorder="1" applyAlignment="1" applyProtection="1">
      <alignment horizontal="left" vertical="center"/>
    </xf>
    <xf numFmtId="0" fontId="55" fillId="63" borderId="0" xfId="2" applyFont="1" applyFill="1" applyBorder="1" applyAlignment="1" applyProtection="1">
      <alignment horizontal="left" vertical="center" indent="1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49" borderId="15" xfId="0" applyFont="1" applyFill="1" applyBorder="1" applyAlignment="1">
      <alignment horizontal="center"/>
    </xf>
    <xf numFmtId="0" fontId="2" fillId="49" borderId="17" xfId="0" applyFont="1" applyFill="1" applyBorder="1" applyAlignment="1">
      <alignment horizontal="center"/>
    </xf>
    <xf numFmtId="0" fontId="2" fillId="48" borderId="14" xfId="0" applyFont="1" applyFill="1" applyBorder="1" applyAlignment="1">
      <alignment horizontal="center"/>
    </xf>
    <xf numFmtId="0" fontId="2" fillId="48" borderId="15" xfId="0" applyFont="1" applyFill="1" applyBorder="1" applyAlignment="1">
      <alignment horizontal="center"/>
    </xf>
    <xf numFmtId="0" fontId="2" fillId="50" borderId="14" xfId="0" applyFont="1" applyFill="1" applyBorder="1" applyAlignment="1">
      <alignment horizontal="center"/>
    </xf>
    <xf numFmtId="0" fontId="2" fillId="50" borderId="15" xfId="0" applyFont="1" applyFill="1" applyBorder="1" applyAlignment="1">
      <alignment horizontal="center"/>
    </xf>
    <xf numFmtId="0" fontId="2" fillId="51" borderId="15" xfId="0" applyFont="1" applyFill="1" applyBorder="1" applyAlignment="1">
      <alignment horizontal="center"/>
    </xf>
    <xf numFmtId="0" fontId="2" fillId="51" borderId="17" xfId="0" applyFont="1" applyFill="1" applyBorder="1" applyAlignment="1">
      <alignment horizontal="center"/>
    </xf>
    <xf numFmtId="0" fontId="0" fillId="0" borderId="32" xfId="0" applyBorder="1" applyAlignment="1">
      <alignment horizontal="center" vertical="center"/>
    </xf>
    <xf numFmtId="0" fontId="2" fillId="53" borderId="14" xfId="0" applyFont="1" applyFill="1" applyBorder="1" applyAlignment="1">
      <alignment horizontal="center"/>
    </xf>
    <xf numFmtId="0" fontId="2" fillId="53" borderId="15" xfId="0" applyFont="1" applyFill="1" applyBorder="1" applyAlignment="1">
      <alignment horizontal="center"/>
    </xf>
    <xf numFmtId="0" fontId="2" fillId="54" borderId="15" xfId="0" applyFont="1" applyFill="1" applyBorder="1" applyAlignment="1">
      <alignment horizontal="center"/>
    </xf>
    <xf numFmtId="0" fontId="2" fillId="54" borderId="17" xfId="0" applyFont="1" applyFill="1" applyBorder="1" applyAlignment="1">
      <alignment horizontal="center"/>
    </xf>
    <xf numFmtId="0" fontId="2" fillId="55" borderId="14" xfId="0" applyFont="1" applyFill="1" applyBorder="1" applyAlignment="1">
      <alignment horizontal="center"/>
    </xf>
    <xf numFmtId="0" fontId="2" fillId="55" borderId="15" xfId="0" applyFont="1" applyFill="1" applyBorder="1" applyAlignment="1">
      <alignment horizontal="center"/>
    </xf>
    <xf numFmtId="0" fontId="2" fillId="56" borderId="15" xfId="0" applyFont="1" applyFill="1" applyBorder="1" applyAlignment="1">
      <alignment horizontal="center"/>
    </xf>
    <xf numFmtId="0" fontId="2" fillId="56" borderId="17" xfId="0" applyFont="1" applyFill="1" applyBorder="1" applyAlignment="1">
      <alignment horizontal="center"/>
    </xf>
    <xf numFmtId="0" fontId="0" fillId="61" borderId="15" xfId="0" applyFill="1" applyBorder="1" applyAlignment="1">
      <alignment horizontal="center"/>
    </xf>
    <xf numFmtId="0" fontId="0" fillId="61" borderId="17" xfId="0" applyFill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2" fillId="57" borderId="14" xfId="0" applyFont="1" applyFill="1" applyBorder="1" applyAlignment="1">
      <alignment horizontal="center"/>
    </xf>
    <xf numFmtId="0" fontId="2" fillId="57" borderId="15" xfId="0" applyFont="1" applyFill="1" applyBorder="1" applyAlignment="1">
      <alignment horizontal="center"/>
    </xf>
    <xf numFmtId="0" fontId="2" fillId="36" borderId="15" xfId="0" applyFont="1" applyFill="1" applyBorder="1" applyAlignment="1">
      <alignment horizontal="center"/>
    </xf>
    <xf numFmtId="0" fontId="2" fillId="36" borderId="17" xfId="0" applyFont="1" applyFill="1" applyBorder="1" applyAlignment="1">
      <alignment horizontal="center"/>
    </xf>
    <xf numFmtId="0" fontId="0" fillId="60" borderId="14" xfId="0" applyFill="1" applyBorder="1" applyAlignment="1">
      <alignment horizontal="center"/>
    </xf>
    <xf numFmtId="0" fontId="0" fillId="60" borderId="15" xfId="0" applyFill="1" applyBorder="1" applyAlignment="1">
      <alignment horizontal="center"/>
    </xf>
    <xf numFmtId="0" fontId="50" fillId="58" borderId="0" xfId="0" applyFont="1" applyFill="1" applyBorder="1" applyAlignment="1" applyProtection="1">
      <alignment vertical="center" wrapText="1"/>
    </xf>
    <xf numFmtId="0" fontId="51" fillId="58" borderId="0" xfId="0" applyFont="1" applyFill="1" applyBorder="1" applyAlignment="1" applyProtection="1">
      <alignment horizontal="right" vertical="center" wrapText="1"/>
    </xf>
    <xf numFmtId="0" fontId="57" fillId="58" borderId="0" xfId="0" applyFont="1" applyFill="1" applyBorder="1" applyAlignment="1" applyProtection="1">
      <alignment vertical="center" wrapText="1"/>
    </xf>
    <xf numFmtId="0" fontId="50" fillId="58" borderId="0" xfId="0" applyFont="1" applyFill="1" applyBorder="1" applyAlignment="1" applyProtection="1">
      <alignment horizontal="center" vertical="center" wrapText="1"/>
    </xf>
    <xf numFmtId="0" fontId="60" fillId="58" borderId="0" xfId="0" applyFont="1" applyFill="1" applyBorder="1" applyAlignment="1" applyProtection="1">
      <alignment horizontal="center" vertical="center" wrapText="1"/>
    </xf>
    <xf numFmtId="0" fontId="57" fillId="58" borderId="0" xfId="0" applyFont="1" applyFill="1" applyBorder="1" applyAlignment="1" applyProtection="1">
      <alignment horizontal="center" vertical="center" wrapText="1"/>
    </xf>
    <xf numFmtId="165" fontId="38" fillId="58" borderId="0" xfId="0" applyNumberFormat="1" applyFont="1" applyFill="1" applyAlignment="1">
      <alignment horizontal="left" vertical="center" indent="1"/>
    </xf>
    <xf numFmtId="0" fontId="41" fillId="58" borderId="20" xfId="2" applyFont="1" applyFill="1" applyBorder="1" applyAlignment="1" applyProtection="1">
      <alignment vertical="center"/>
    </xf>
    <xf numFmtId="165" fontId="44" fillId="58" borderId="0" xfId="0" applyNumberFormat="1" applyFont="1" applyFill="1" applyBorder="1" applyAlignment="1" applyProtection="1">
      <alignment horizontal="right" vertical="center" indent="1"/>
    </xf>
    <xf numFmtId="165" fontId="44" fillId="58" borderId="29" xfId="0" applyNumberFormat="1" applyFont="1" applyFill="1" applyBorder="1" applyAlignment="1" applyProtection="1">
      <alignment horizontal="right" vertical="center" indent="1"/>
    </xf>
    <xf numFmtId="174" fontId="41" fillId="58" borderId="20" xfId="2" applyNumberFormat="1" applyFont="1" applyFill="1" applyBorder="1" applyAlignment="1" applyProtection="1">
      <alignment vertical="center"/>
    </xf>
    <xf numFmtId="172" fontId="38" fillId="58" borderId="0" xfId="0" applyNumberFormat="1" applyFont="1" applyFill="1" applyAlignment="1">
      <alignment horizontal="left" vertical="center"/>
    </xf>
    <xf numFmtId="172" fontId="64" fillId="58" borderId="0" xfId="0" applyNumberFormat="1" applyFont="1" applyFill="1" applyAlignment="1">
      <alignment horizontal="left" vertical="center"/>
    </xf>
  </cellXfs>
  <cellStyles count="310">
    <cellStyle name="20% - Accent1" xfId="5"/>
    <cellStyle name="20% - Accent1 2" xfId="6"/>
    <cellStyle name="20% - Accent1 3" xfId="7"/>
    <cellStyle name="20% - Accent1 4" xfId="8"/>
    <cellStyle name="20% - Accent1 5" xfId="9"/>
    <cellStyle name="20% - Accent1_Business Review - Saisie" xfId="10"/>
    <cellStyle name="20% - Accent2" xfId="11"/>
    <cellStyle name="20% - Accent2 2" xfId="12"/>
    <cellStyle name="20% - Accent2 3" xfId="13"/>
    <cellStyle name="20% - Accent2 4" xfId="14"/>
    <cellStyle name="20% - Accent2 5" xfId="15"/>
    <cellStyle name="20% - Accent2_Business Review - Saisie" xfId="16"/>
    <cellStyle name="20% - Accent3" xfId="17"/>
    <cellStyle name="20% - Accent3 2" xfId="18"/>
    <cellStyle name="20% - Accent3 3" xfId="19"/>
    <cellStyle name="20% - Accent3 4" xfId="20"/>
    <cellStyle name="20% - Accent3 5" xfId="21"/>
    <cellStyle name="20% - Accent3_Business Review - Saisie" xfId="22"/>
    <cellStyle name="20% - Accent4" xfId="23"/>
    <cellStyle name="20% - Accent4 2" xfId="24"/>
    <cellStyle name="20% - Accent4 3" xfId="25"/>
    <cellStyle name="20% - Accent4 4" xfId="26"/>
    <cellStyle name="20% - Accent4 5" xfId="27"/>
    <cellStyle name="20% - Accent4_Business Review - Saisie" xfId="28"/>
    <cellStyle name="20% - Accent5" xfId="29"/>
    <cellStyle name="20% - Accent5 2" xfId="30"/>
    <cellStyle name="20% - Accent5 3" xfId="31"/>
    <cellStyle name="20% - Accent5 4" xfId="32"/>
    <cellStyle name="20% - Accent5 5" xfId="33"/>
    <cellStyle name="20% - Accent5_Business Review - Saisie" xfId="34"/>
    <cellStyle name="20% - Accent6" xfId="35"/>
    <cellStyle name="20% - Accent6 2" xfId="36"/>
    <cellStyle name="20% - Accent6 3" xfId="37"/>
    <cellStyle name="20% - Accent6 4" xfId="38"/>
    <cellStyle name="20% - Accent6 5" xfId="39"/>
    <cellStyle name="20% - Accent6_Business Review - Saisie" xfId="40"/>
    <cellStyle name="40% - Accent1" xfId="41"/>
    <cellStyle name="40% - Accent1 2" xfId="42"/>
    <cellStyle name="40% - Accent1 3" xfId="43"/>
    <cellStyle name="40% - Accent1 4" xfId="44"/>
    <cellStyle name="40% - Accent1 5" xfId="45"/>
    <cellStyle name="40% - Accent1_Business Review - Saisie" xfId="46"/>
    <cellStyle name="40% - Accent2" xfId="47"/>
    <cellStyle name="40% - Accent2 2" xfId="48"/>
    <cellStyle name="40% - Accent2 3" xfId="49"/>
    <cellStyle name="40% - Accent2 4" xfId="50"/>
    <cellStyle name="40% - Accent2 5" xfId="51"/>
    <cellStyle name="40% - Accent2_Business Review - Saisie" xfId="52"/>
    <cellStyle name="40% - Accent3" xfId="53"/>
    <cellStyle name="40% - Accent3 2" xfId="54"/>
    <cellStyle name="40% - Accent3 3" xfId="55"/>
    <cellStyle name="40% - Accent3 4" xfId="56"/>
    <cellStyle name="40% - Accent3 5" xfId="57"/>
    <cellStyle name="40% - Accent3_Business Review - Saisie" xfId="58"/>
    <cellStyle name="40% - Accent4" xfId="59"/>
    <cellStyle name="40% - Accent4 2" xfId="60"/>
    <cellStyle name="40% - Accent4 3" xfId="61"/>
    <cellStyle name="40% - Accent4 4" xfId="62"/>
    <cellStyle name="40% - Accent4 5" xfId="63"/>
    <cellStyle name="40% - Accent4_Business Review - Saisie" xfId="64"/>
    <cellStyle name="40% - Accent5" xfId="65"/>
    <cellStyle name="40% - Accent5 2" xfId="66"/>
    <cellStyle name="40% - Accent5 3" xfId="67"/>
    <cellStyle name="40% - Accent5 4" xfId="68"/>
    <cellStyle name="40% - Accent5 5" xfId="69"/>
    <cellStyle name="40% - Accent5_Business Review - Saisie" xfId="70"/>
    <cellStyle name="40% - Accent6" xfId="71"/>
    <cellStyle name="40% - Accent6 2" xfId="72"/>
    <cellStyle name="40% - Accent6 3" xfId="73"/>
    <cellStyle name="40% - Accent6 4" xfId="74"/>
    <cellStyle name="40% - Accent6 5" xfId="75"/>
    <cellStyle name="40% - Accent6_Business Review - Saisie" xfId="76"/>
    <cellStyle name="60% - Accent1" xfId="77"/>
    <cellStyle name="60% - Accent1 2" xfId="78"/>
    <cellStyle name="60% - Accent1 3" xfId="79"/>
    <cellStyle name="60% - Accent1 4" xfId="80"/>
    <cellStyle name="60% - Accent1 5" xfId="81"/>
    <cellStyle name="60% - Accent1_Business Review - Saisie" xfId="82"/>
    <cellStyle name="60% - Accent2" xfId="83"/>
    <cellStyle name="60% - Accent2 2" xfId="84"/>
    <cellStyle name="60% - Accent2 3" xfId="85"/>
    <cellStyle name="60% - Accent2 4" xfId="86"/>
    <cellStyle name="60% - Accent2 5" xfId="87"/>
    <cellStyle name="60% - Accent3" xfId="88"/>
    <cellStyle name="60% - Accent3 2" xfId="89"/>
    <cellStyle name="60% - Accent3 3" xfId="90"/>
    <cellStyle name="60% - Accent3 4" xfId="91"/>
    <cellStyle name="60% - Accent3 5" xfId="92"/>
    <cellStyle name="60% - Accent3_Business Review - Saisie" xfId="93"/>
    <cellStyle name="60% - Accent4" xfId="94"/>
    <cellStyle name="60% - Accent4 2" xfId="95"/>
    <cellStyle name="60% - Accent4 3" xfId="96"/>
    <cellStyle name="60% - Accent4 4" xfId="97"/>
    <cellStyle name="60% - Accent4 5" xfId="98"/>
    <cellStyle name="60% - Accent4_Business Review - Saisie" xfId="99"/>
    <cellStyle name="60% - Accent5" xfId="100"/>
    <cellStyle name="60% - Accent5 2" xfId="101"/>
    <cellStyle name="60% - Accent5 3" xfId="102"/>
    <cellStyle name="60% - Accent5 4" xfId="103"/>
    <cellStyle name="60% - Accent5 5" xfId="104"/>
    <cellStyle name="60% - Accent6" xfId="105"/>
    <cellStyle name="60% - Accent6 2" xfId="106"/>
    <cellStyle name="60% - Accent6 3" xfId="107"/>
    <cellStyle name="60% - Accent6 4" xfId="108"/>
    <cellStyle name="60% - Accent6 5" xfId="109"/>
    <cellStyle name="60% - Accent6_Business Review - Saisie" xfId="110"/>
    <cellStyle name="Accent1 2" xfId="111"/>
    <cellStyle name="Accent1 3" xfId="112"/>
    <cellStyle name="Accent1 4" xfId="113"/>
    <cellStyle name="Accent1 5" xfId="114"/>
    <cellStyle name="Accent1 6" xfId="115"/>
    <cellStyle name="Accent2 2" xfId="116"/>
    <cellStyle name="Accent2 3" xfId="117"/>
    <cellStyle name="Accent2 4" xfId="118"/>
    <cellStyle name="Accent2 5" xfId="119"/>
    <cellStyle name="Accent2 6" xfId="120"/>
    <cellStyle name="Accent3 2" xfId="121"/>
    <cellStyle name="Accent3 3" xfId="122"/>
    <cellStyle name="Accent3 4" xfId="123"/>
    <cellStyle name="Accent3 5" xfId="124"/>
    <cellStyle name="Accent3 6" xfId="125"/>
    <cellStyle name="Accent4 2" xfId="126"/>
    <cellStyle name="Accent4 3" xfId="127"/>
    <cellStyle name="Accent4 4" xfId="128"/>
    <cellStyle name="Accent4 5" xfId="129"/>
    <cellStyle name="Accent4 6" xfId="130"/>
    <cellStyle name="Accent5 2" xfId="131"/>
    <cellStyle name="Accent5 3" xfId="132"/>
    <cellStyle name="Accent5 4" xfId="133"/>
    <cellStyle name="Accent5 5" xfId="134"/>
    <cellStyle name="Accent5 6" xfId="135"/>
    <cellStyle name="Accent6 2" xfId="136"/>
    <cellStyle name="Accent6 3" xfId="137"/>
    <cellStyle name="Accent6 4" xfId="138"/>
    <cellStyle name="Accent6 5" xfId="139"/>
    <cellStyle name="Accent6 6" xfId="140"/>
    <cellStyle name="Bad" xfId="141"/>
    <cellStyle name="Bad 2" xfId="142"/>
    <cellStyle name="Bad 3" xfId="143"/>
    <cellStyle name="Bad 4" xfId="144"/>
    <cellStyle name="Bad 5" xfId="145"/>
    <cellStyle name="Bad 6" xfId="146"/>
    <cellStyle name="Calculation" xfId="147"/>
    <cellStyle name="Calculation 2" xfId="148"/>
    <cellStyle name="Calculation 3" xfId="149"/>
    <cellStyle name="Calculation 4" xfId="150"/>
    <cellStyle name="Calculation 5" xfId="151"/>
    <cellStyle name="Calculation_Business Review - Saisie" xfId="152"/>
    <cellStyle name="Check Cell" xfId="153"/>
    <cellStyle name="Check Cell 2" xfId="154"/>
    <cellStyle name="Check Cell 3" xfId="155"/>
    <cellStyle name="Check Cell 4" xfId="156"/>
    <cellStyle name="Check Cell 5" xfId="157"/>
    <cellStyle name="Check Cell 6" xfId="158"/>
    <cellStyle name="ColumnHeading" xfId="159"/>
    <cellStyle name="Comma 2" xfId="160"/>
    <cellStyle name="Comma 3" xfId="161"/>
    <cellStyle name="Comma 4" xfId="162"/>
    <cellStyle name="Comma 5" xfId="163"/>
    <cellStyle name="Comma 6" xfId="164"/>
    <cellStyle name="Comma 7" xfId="165"/>
    <cellStyle name="Comma 8" xfId="166"/>
    <cellStyle name="Euro" xfId="167"/>
    <cellStyle name="Explanatory Text" xfId="168"/>
    <cellStyle name="Explanatory Text 2" xfId="169"/>
    <cellStyle name="Explanatory Text 3" xfId="170"/>
    <cellStyle name="Explanatory Text 4" xfId="171"/>
    <cellStyle name="Explanatory Text 5" xfId="172"/>
    <cellStyle name="Explanatory Text 6" xfId="173"/>
    <cellStyle name="Good" xfId="174"/>
    <cellStyle name="Good 2" xfId="175"/>
    <cellStyle name="Good 3" xfId="176"/>
    <cellStyle name="Good 4" xfId="177"/>
    <cellStyle name="Good 5" xfId="178"/>
    <cellStyle name="Good 6" xfId="179"/>
    <cellStyle name="Heading 1" xfId="180"/>
    <cellStyle name="Heading 1 2" xfId="181"/>
    <cellStyle name="Heading 1 3" xfId="182"/>
    <cellStyle name="Heading 1 4" xfId="183"/>
    <cellStyle name="Heading 1 5" xfId="184"/>
    <cellStyle name="Heading 1 6" xfId="185"/>
    <cellStyle name="Heading 2" xfId="186"/>
    <cellStyle name="Heading 2 2" xfId="187"/>
    <cellStyle name="Heading 2 3" xfId="188"/>
    <cellStyle name="Heading 2 4" xfId="189"/>
    <cellStyle name="Heading 2 5" xfId="190"/>
    <cellStyle name="Heading 2 6" xfId="191"/>
    <cellStyle name="Heading 3" xfId="192"/>
    <cellStyle name="Heading 3 2" xfId="193"/>
    <cellStyle name="Heading 3 3" xfId="194"/>
    <cellStyle name="Heading 3 4" xfId="195"/>
    <cellStyle name="Heading 3 5" xfId="196"/>
    <cellStyle name="Heading 3 6" xfId="197"/>
    <cellStyle name="Heading 4" xfId="198"/>
    <cellStyle name="Heading 4 2" xfId="199"/>
    <cellStyle name="Heading 4 3" xfId="200"/>
    <cellStyle name="Heading 4 4" xfId="201"/>
    <cellStyle name="Heading 4 5" xfId="202"/>
    <cellStyle name="Heading 4 6" xfId="203"/>
    <cellStyle name="Hyperlink 2" xfId="204"/>
    <cellStyle name="Hyperlink 3" xfId="205"/>
    <cellStyle name="Input" xfId="206"/>
    <cellStyle name="Input 2" xfId="207"/>
    <cellStyle name="Input 3" xfId="208"/>
    <cellStyle name="Input 4" xfId="209"/>
    <cellStyle name="Input 5" xfId="210"/>
    <cellStyle name="Input_Business Review - Saisie" xfId="211"/>
    <cellStyle name="Lien hypertexte 3" xfId="212"/>
    <cellStyle name="Ligne détail" xfId="213"/>
    <cellStyle name="Linked Cell" xfId="214"/>
    <cellStyle name="Linked Cell 2" xfId="215"/>
    <cellStyle name="Linked Cell 3" xfId="216"/>
    <cellStyle name="Linked Cell 4" xfId="217"/>
    <cellStyle name="Linked Cell 5" xfId="218"/>
    <cellStyle name="Linked Cell_Business Review - Saisie" xfId="219"/>
    <cellStyle name="MEV4" xfId="220"/>
    <cellStyle name="MEV5" xfId="221"/>
    <cellStyle name="Milliers 2" xfId="222"/>
    <cellStyle name="Milliers 3" xfId="223"/>
    <cellStyle name="Milliers 4" xfId="224"/>
    <cellStyle name="N?rmal_la?oux_larou?" xfId="225"/>
    <cellStyle name="Neutral" xfId="226"/>
    <cellStyle name="Neutral 2" xfId="227"/>
    <cellStyle name="Neutral 3" xfId="228"/>
    <cellStyle name="Neutral 4" xfId="229"/>
    <cellStyle name="Neutral 5" xfId="230"/>
    <cellStyle name="Neutral 6" xfId="231"/>
    <cellStyle name="Norma?_On Hol?" xfId="232"/>
    <cellStyle name="Normaᷬ_On Holᷤ" xfId="233"/>
    <cellStyle name="Normal" xfId="0" builtinId="0"/>
    <cellStyle name="Normal - Style1" xfId="234"/>
    <cellStyle name="Normal 10" xfId="3"/>
    <cellStyle name="Normal 11" xfId="235"/>
    <cellStyle name="Normal 12" xfId="236"/>
    <cellStyle name="Normal 13" xfId="237"/>
    <cellStyle name="Normal 14" xfId="309"/>
    <cellStyle name="Normal 2" xfId="238"/>
    <cellStyle name="Normal 2 2" xfId="239"/>
    <cellStyle name="Normal 2 3" xfId="240"/>
    <cellStyle name="Normal 2 4" xfId="241"/>
    <cellStyle name="Normal 2 5" xfId="242"/>
    <cellStyle name="Normal 2_CRD hybride yc EMB" xfId="243"/>
    <cellStyle name="Normal 3" xfId="244"/>
    <cellStyle name="Normal 3 2" xfId="1"/>
    <cellStyle name="Normal 3 3" xfId="245"/>
    <cellStyle name="Normal 3 4" xfId="246"/>
    <cellStyle name="Normal 3 5" xfId="247"/>
    <cellStyle name="Normal 3 6" xfId="248"/>
    <cellStyle name="Normal 3 7" xfId="249"/>
    <cellStyle name="Normal 3_0. Investissement" xfId="250"/>
    <cellStyle name="Normal 4" xfId="251"/>
    <cellStyle name="Normal 5" xfId="252"/>
    <cellStyle name="Normal 6" xfId="253"/>
    <cellStyle name="Normal 6 2" xfId="254"/>
    <cellStyle name="Normal 6 3" xfId="255"/>
    <cellStyle name="Normal 6 4" xfId="256"/>
    <cellStyle name="Normal 6 5" xfId="257"/>
    <cellStyle name="Normal 6_0. Investissement" xfId="258"/>
    <cellStyle name="Normal 7" xfId="259"/>
    <cellStyle name="Normal 8" xfId="260"/>
    <cellStyle name="Normal 9" xfId="261"/>
    <cellStyle name="Normal_Copie de CRD_CRC_domaine TER_ergo" xfId="2"/>
    <cellStyle name="Note" xfId="262"/>
    <cellStyle name="Note 2" xfId="263"/>
    <cellStyle name="Note 3" xfId="264"/>
    <cellStyle name="Note 4" xfId="265"/>
    <cellStyle name="Note 5" xfId="266"/>
    <cellStyle name="Note_Business Review - Saisie" xfId="267"/>
    <cellStyle name="N䃯rmal_la䇲oux_larou᷸" xfId="268"/>
    <cellStyle name="Output" xfId="269"/>
    <cellStyle name="Output 2" xfId="270"/>
    <cellStyle name="Output 3" xfId="271"/>
    <cellStyle name="Output 4" xfId="272"/>
    <cellStyle name="Output 5" xfId="273"/>
    <cellStyle name="Output 6" xfId="274"/>
    <cellStyle name="Percent 10" xfId="275"/>
    <cellStyle name="Percent 2" xfId="276"/>
    <cellStyle name="Percent 2 2" xfId="277"/>
    <cellStyle name="Percent 3" xfId="278"/>
    <cellStyle name="Percent 4" xfId="279"/>
    <cellStyle name="Percent 5" xfId="280"/>
    <cellStyle name="Percent 5 2" xfId="281"/>
    <cellStyle name="Percent 5 3" xfId="282"/>
    <cellStyle name="Percent 5 4" xfId="283"/>
    <cellStyle name="Percent 5 5" xfId="284"/>
    <cellStyle name="Percent 6" xfId="285"/>
    <cellStyle name="Percent 7" xfId="286"/>
    <cellStyle name="Percent 8" xfId="287"/>
    <cellStyle name="Percent 9" xfId="288"/>
    <cellStyle name="Pourcentage 2" xfId="289"/>
    <cellStyle name="Pourcentage 3" xfId="290"/>
    <cellStyle name="Pourcentage 4" xfId="4"/>
    <cellStyle name="Title" xfId="291"/>
    <cellStyle name="Title 2" xfId="292"/>
    <cellStyle name="Title 3" xfId="293"/>
    <cellStyle name="Title 4" xfId="294"/>
    <cellStyle name="Title 5" xfId="295"/>
    <cellStyle name="Title 6" xfId="296"/>
    <cellStyle name="Titre colonnes" xfId="297"/>
    <cellStyle name="Titre lignes" xfId="298"/>
    <cellStyle name="Total 2" xfId="299"/>
    <cellStyle name="Total 3" xfId="300"/>
    <cellStyle name="Total 4" xfId="301"/>
    <cellStyle name="Total 5" xfId="302"/>
    <cellStyle name="Total 6" xfId="303"/>
    <cellStyle name="Warning Text" xfId="304"/>
    <cellStyle name="Warning Text 2" xfId="305"/>
    <cellStyle name="Warning Text 3" xfId="306"/>
    <cellStyle name="Warning Text 4" xfId="307"/>
    <cellStyle name="Warning Text 5" xfId="308"/>
  </cellStyles>
  <dxfs count="109"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FFCC00"/>
        </patternFill>
      </fill>
    </dxf>
    <dxf>
      <fill>
        <patternFill>
          <bgColor rgb="FFFABF8F"/>
        </patternFill>
      </fill>
    </dxf>
    <dxf>
      <fill>
        <patternFill>
          <bgColor rgb="FF92CDDC"/>
        </patternFill>
      </fill>
    </dxf>
    <dxf>
      <fill>
        <patternFill>
          <bgColor rgb="FFCCFFCC"/>
        </patternFill>
      </fill>
    </dxf>
    <dxf>
      <fill>
        <patternFill>
          <bgColor rgb="FFFFCCFF"/>
        </patternFill>
      </fill>
    </dxf>
    <dxf>
      <fill>
        <patternFill>
          <bgColor rgb="FFCCFFFF"/>
        </patternFill>
      </fill>
    </dxf>
    <dxf>
      <fill>
        <patternFill>
          <bgColor rgb="FFFFCC99"/>
        </patternFill>
      </fill>
    </dxf>
    <dxf>
      <fill>
        <patternFill>
          <bgColor rgb="FFCCCCFF"/>
        </patternFill>
      </fill>
    </dxf>
    <dxf>
      <fill>
        <patternFill>
          <bgColor rgb="FFE2C5FF"/>
        </patternFill>
      </fill>
    </dxf>
    <dxf>
      <fill>
        <patternFill>
          <bgColor rgb="FF99CC00"/>
        </patternFill>
      </fill>
    </dxf>
    <dxf>
      <fill>
        <patternFill>
          <bgColor rgb="FFE26B0A"/>
        </patternFill>
      </fill>
    </dxf>
    <dxf>
      <fill>
        <patternFill>
          <bgColor rgb="FF31869B"/>
        </patternFill>
      </fill>
    </dxf>
    <dxf>
      <fill>
        <patternFill>
          <bgColor rgb="FF99CC00"/>
        </patternFill>
      </fill>
    </dxf>
    <dxf>
      <fill>
        <patternFill>
          <bgColor rgb="FFFF99CC"/>
        </patternFill>
      </fill>
    </dxf>
    <dxf>
      <fill>
        <patternFill>
          <bgColor rgb="FF00FFFF"/>
        </patternFill>
      </fill>
    </dxf>
    <dxf>
      <fill>
        <patternFill>
          <bgColor rgb="FFFFCC00"/>
        </patternFill>
      </fill>
    </dxf>
    <dxf>
      <fill>
        <patternFill>
          <bgColor rgb="FF800000"/>
        </patternFill>
      </fill>
    </dxf>
    <dxf>
      <fill>
        <patternFill>
          <bgColor rgb="FF666699"/>
        </patternFill>
      </fill>
    </dxf>
    <dxf>
      <fill>
        <patternFill>
          <bgColor rgb="FFCC99FF"/>
        </patternFill>
      </fill>
    </dxf>
    <dxf>
      <fill>
        <patternFill>
          <bgColor rgb="FF339966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6C4C6"/>
      <color rgb="FFFABF8F"/>
      <color rgb="FF92CDDC"/>
      <color rgb="FFCCFFCC"/>
      <color rgb="FFFFCCFF"/>
      <color rgb="FFCCFFFF"/>
      <color rgb="FFFFCC00"/>
      <color rgb="FFFFCC99"/>
      <color rgb="FFCCCCFF"/>
      <color rgb="FFE2C5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163287</xdr:colOff>
      <xdr:row>14</xdr:row>
      <xdr:rowOff>326571</xdr:rowOff>
    </xdr:from>
    <xdr:to>
      <xdr:col>18</xdr:col>
      <xdr:colOff>662023</xdr:colOff>
      <xdr:row>16</xdr:row>
      <xdr:rowOff>51026</xdr:rowOff>
    </xdr:to>
    <xdr:pic>
      <xdr:nvPicPr>
        <xdr:cNvPr id="3" name="Picture 2" descr="http://www.iconlib.info/original/Misc_icon_kfilereplace_2700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lum contrast="-10000"/>
        </a:blip>
        <a:srcRect/>
        <a:stretch>
          <a:fillRect/>
        </a:stretch>
      </xdr:blipFill>
      <xdr:spPr bwMode="auto">
        <a:xfrm>
          <a:off x="15825108" y="3211285"/>
          <a:ext cx="498736" cy="50006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285750</xdr:colOff>
          <xdr:row>17</xdr:row>
          <xdr:rowOff>104775</xdr:rowOff>
        </xdr:from>
        <xdr:to>
          <xdr:col>6</xdr:col>
          <xdr:colOff>1990725</xdr:colOff>
          <xdr:row>18</xdr:row>
          <xdr:rowOff>190500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0000"/>
  </sheetPr>
  <dimension ref="A1:M29"/>
  <sheetViews>
    <sheetView showGridLines="0" zoomScale="80" zoomScaleNormal="80" workbookViewId="0">
      <selection activeCell="B16" sqref="B16:B17"/>
    </sheetView>
  </sheetViews>
  <sheetFormatPr baseColWidth="10" defaultColWidth="9.140625" defaultRowHeight="12.75" x14ac:dyDescent="0.2"/>
  <cols>
    <col min="1" max="1" width="35.7109375" customWidth="1"/>
    <col min="2" max="2" width="24.7109375" customWidth="1"/>
    <col min="3" max="3" width="9.140625" customWidth="1"/>
    <col min="5" max="8" width="9.140625" customWidth="1"/>
    <col min="9" max="9" width="10.28515625" customWidth="1"/>
    <col min="10" max="10" width="36.7109375" customWidth="1"/>
    <col min="11" max="13" width="9.140625" customWidth="1"/>
  </cols>
  <sheetData>
    <row r="1" spans="1:13" ht="18" x14ac:dyDescent="0.25">
      <c r="A1" s="21" t="s">
        <v>39</v>
      </c>
      <c r="B1" s="22"/>
    </row>
    <row r="2" spans="1:13" x14ac:dyDescent="0.2">
      <c r="A2" s="22"/>
      <c r="B2" s="22"/>
    </row>
    <row r="3" spans="1:13" ht="15.75" x14ac:dyDescent="0.25">
      <c r="A3" s="23" t="s">
        <v>15</v>
      </c>
      <c r="B3" s="22"/>
    </row>
    <row r="4" spans="1:13" x14ac:dyDescent="0.2">
      <c r="A4" s="24" t="s">
        <v>16</v>
      </c>
      <c r="B4" s="25" t="s">
        <v>132</v>
      </c>
    </row>
    <row r="5" spans="1:13" x14ac:dyDescent="0.2">
      <c r="A5" s="24" t="s">
        <v>17</v>
      </c>
      <c r="B5" s="26" t="str">
        <f ca="1">LEFT(Server,LEN(Server)-1)</f>
        <v>tango_core_model</v>
      </c>
    </row>
    <row r="6" spans="1:13" x14ac:dyDescent="0.2">
      <c r="A6" s="24" t="s">
        <v>18</v>
      </c>
      <c r="B6" s="26" t="s">
        <v>138</v>
      </c>
    </row>
    <row r="7" spans="1:13" ht="15.75" customHeight="1" x14ac:dyDescent="0.2">
      <c r="A7" s="24" t="s">
        <v>19</v>
      </c>
      <c r="B7" s="26">
        <v>0</v>
      </c>
      <c r="M7" s="43"/>
    </row>
    <row r="8" spans="1:13" x14ac:dyDescent="0.2">
      <c r="A8" s="24" t="s">
        <v>20</v>
      </c>
      <c r="B8" s="26">
        <v>0</v>
      </c>
    </row>
    <row r="9" spans="1:13" x14ac:dyDescent="0.2">
      <c r="A9" s="27"/>
      <c r="B9" s="28"/>
    </row>
    <row r="10" spans="1:13" ht="15.75" x14ac:dyDescent="0.25">
      <c r="A10" s="23" t="s">
        <v>21</v>
      </c>
      <c r="B10" s="28"/>
    </row>
    <row r="11" spans="1:13" x14ac:dyDescent="0.2">
      <c r="A11" s="24" t="s">
        <v>22</v>
      </c>
      <c r="B11" s="26" t="s">
        <v>131</v>
      </c>
    </row>
    <row r="12" spans="1:13" x14ac:dyDescent="0.2">
      <c r="A12" s="24" t="s">
        <v>23</v>
      </c>
      <c r="B12" s="26" t="s">
        <v>24</v>
      </c>
    </row>
    <row r="13" spans="1:13" x14ac:dyDescent="0.2">
      <c r="A13" s="24" t="s">
        <v>25</v>
      </c>
      <c r="B13" s="26" t="str">
        <f ca="1">_xll.DBR(Server&amp;"z_Admin_Param","YEAR_LTP","STR_VAR1")</f>
        <v>2021</v>
      </c>
    </row>
    <row r="14" spans="1:13" x14ac:dyDescent="0.2">
      <c r="A14" s="24" t="s">
        <v>26</v>
      </c>
      <c r="B14" s="26" t="str">
        <f ca="1">_xll.DBR(Server&amp;"z_Admin_Param","PHASE_LTP","STR_VAR1")</f>
        <v>LTP_2021_VC</v>
      </c>
    </row>
    <row r="15" spans="1:13" x14ac:dyDescent="0.2">
      <c r="A15" s="24" t="s">
        <v>27</v>
      </c>
      <c r="B15" s="29" t="str">
        <f ca="1">_xll.DBR(Server&amp;"z_Client_Properties","Language",_xll.TM1USER(xServer))</f>
        <v>French</v>
      </c>
    </row>
    <row r="16" spans="1:13" x14ac:dyDescent="0.2">
      <c r="A16" s="113" t="s">
        <v>28</v>
      </c>
      <c r="B16" s="30" t="s">
        <v>29</v>
      </c>
    </row>
    <row r="17" spans="1:2" x14ac:dyDescent="0.2">
      <c r="A17" s="114"/>
      <c r="B17" s="30" t="s">
        <v>30</v>
      </c>
    </row>
    <row r="18" spans="1:2" x14ac:dyDescent="0.2">
      <c r="A18" s="114"/>
      <c r="B18" s="30"/>
    </row>
    <row r="19" spans="1:2" x14ac:dyDescent="0.2">
      <c r="A19" s="114"/>
      <c r="B19" s="30"/>
    </row>
    <row r="20" spans="1:2" x14ac:dyDescent="0.2">
      <c r="A20" s="115"/>
      <c r="B20" s="30"/>
    </row>
    <row r="21" spans="1:2" x14ac:dyDescent="0.2">
      <c r="A21" s="113" t="s">
        <v>31</v>
      </c>
      <c r="B21" s="30" t="s">
        <v>32</v>
      </c>
    </row>
    <row r="22" spans="1:2" x14ac:dyDescent="0.2">
      <c r="A22" s="114"/>
      <c r="B22" s="30" t="s">
        <v>33</v>
      </c>
    </row>
    <row r="23" spans="1:2" x14ac:dyDescent="0.2">
      <c r="A23" s="115"/>
      <c r="B23" s="30" t="s">
        <v>34</v>
      </c>
    </row>
    <row r="24" spans="1:2" x14ac:dyDescent="0.2">
      <c r="A24" s="27"/>
      <c r="B24" s="27"/>
    </row>
    <row r="25" spans="1:2" ht="15.75" x14ac:dyDescent="0.25">
      <c r="A25" s="23" t="s">
        <v>35</v>
      </c>
      <c r="B25" s="27"/>
    </row>
    <row r="26" spans="1:2" ht="15.75" x14ac:dyDescent="0.25">
      <c r="A26" s="27" t="s">
        <v>36</v>
      </c>
      <c r="B26" s="4"/>
    </row>
    <row r="27" spans="1:2" x14ac:dyDescent="0.2">
      <c r="A27" s="27" t="s">
        <v>37</v>
      </c>
      <c r="B27" s="31"/>
    </row>
    <row r="28" spans="1:2" x14ac:dyDescent="0.2">
      <c r="A28" s="32" t="s">
        <v>38</v>
      </c>
      <c r="B28" s="33"/>
    </row>
    <row r="29" spans="1:2" x14ac:dyDescent="0.2">
      <c r="A29" s="34"/>
      <c r="B29" s="34"/>
    </row>
  </sheetData>
  <mergeCells count="2">
    <mergeCell ref="A16:A20"/>
    <mergeCell ref="A21:A2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0000"/>
  </sheetPr>
  <dimension ref="A1:G20"/>
  <sheetViews>
    <sheetView showGridLines="0" topLeftCell="B18" workbookViewId="0"/>
  </sheetViews>
  <sheetFormatPr baseColWidth="10" defaultColWidth="9.140625" defaultRowHeight="12.75" x14ac:dyDescent="0.2"/>
  <cols>
    <col min="1" max="1" width="19.42578125" hidden="1" customWidth="1"/>
    <col min="4" max="4" width="49.5703125" bestFit="1" customWidth="1"/>
    <col min="5" max="5" width="10.5703125" hidden="1" customWidth="1"/>
    <col min="6" max="6" width="10.5703125" customWidth="1"/>
    <col min="7" max="7" width="10.5703125" hidden="1" customWidth="1"/>
    <col min="8" max="8" width="0" hidden="1" customWidth="1"/>
  </cols>
  <sheetData>
    <row r="1" spans="1:7" hidden="1" x14ac:dyDescent="0.2">
      <c r="A1" t="s">
        <v>10</v>
      </c>
    </row>
    <row r="2" spans="1:7" hidden="1" x14ac:dyDescent="0.2">
      <c r="A2">
        <f>0</f>
        <v>0</v>
      </c>
      <c r="D2" s="35"/>
      <c r="E2" s="6"/>
      <c r="F2" s="6"/>
      <c r="G2" s="8"/>
    </row>
    <row r="3" spans="1:7" hidden="1" x14ac:dyDescent="0.2">
      <c r="A3">
        <f>1</f>
        <v>1</v>
      </c>
      <c r="D3" s="36"/>
      <c r="E3" s="7"/>
      <c r="F3" s="7"/>
      <c r="G3" s="9"/>
    </row>
    <row r="4" spans="1:7" hidden="1" x14ac:dyDescent="0.2">
      <c r="A4">
        <f>2</f>
        <v>2</v>
      </c>
      <c r="D4" s="36"/>
      <c r="E4" s="7"/>
      <c r="F4" s="7"/>
      <c r="G4" s="9"/>
    </row>
    <row r="5" spans="1:7" hidden="1" x14ac:dyDescent="0.2">
      <c r="A5">
        <f>3</f>
        <v>3</v>
      </c>
      <c r="D5" s="36"/>
      <c r="E5" s="7"/>
      <c r="F5" s="7"/>
      <c r="G5" s="9"/>
    </row>
    <row r="6" spans="1:7" hidden="1" x14ac:dyDescent="0.2">
      <c r="A6" t="s">
        <v>8</v>
      </c>
      <c r="D6" s="36"/>
      <c r="E6" s="7"/>
      <c r="F6" s="7"/>
      <c r="G6" s="9"/>
    </row>
    <row r="7" spans="1:7" hidden="1" x14ac:dyDescent="0.2">
      <c r="A7" t="s">
        <v>9</v>
      </c>
      <c r="D7" s="36"/>
      <c r="G7" s="10"/>
    </row>
    <row r="8" spans="1:7" hidden="1" x14ac:dyDescent="0.2">
      <c r="A8" t="s">
        <v>11</v>
      </c>
    </row>
    <row r="9" spans="1:7" hidden="1" x14ac:dyDescent="0.2"/>
    <row r="10" spans="1:7" hidden="1" x14ac:dyDescent="0.2"/>
    <row r="11" spans="1:7" hidden="1" x14ac:dyDescent="0.2"/>
    <row r="12" spans="1:7" hidden="1" x14ac:dyDescent="0.2"/>
    <row r="13" spans="1:7" hidden="1" x14ac:dyDescent="0.2"/>
    <row r="14" spans="1:7" hidden="1" x14ac:dyDescent="0.2"/>
    <row r="15" spans="1:7" hidden="1" x14ac:dyDescent="0.2">
      <c r="D15" t="str">
        <f ca="1">_xll.TM1RPTVIEW(Server&amp;"TC_CONTROL_LEGAL_ACTIVITY:ARPT1", 1,TM1RPTFMTRNG,TM1RPTFMTIDCOL)</f>
        <v>tango_core_model:TC_CONTROL_LEGAL_ACTIVITY:ARPT1</v>
      </c>
    </row>
    <row r="16" spans="1:7" hidden="1" x14ac:dyDescent="0.2">
      <c r="D16" t="str">
        <f ca="1">"{[Legal_Organization].["&amp;$F$18&amp;"]}"</f>
        <v>{[Legal_Organization].[]}</v>
      </c>
    </row>
    <row r="17" spans="1:7" hidden="1" x14ac:dyDescent="0.2"/>
    <row r="18" spans="1:7" x14ac:dyDescent="0.2">
      <c r="D18" s="45" t="s">
        <v>46</v>
      </c>
      <c r="F18" s="46" t="str">
        <f ca="1">_xll.SUBNM(Server&amp;"Legal_Organization","",Context!#REF!,Context!#REF!)</f>
        <v/>
      </c>
    </row>
    <row r="19" spans="1:7" x14ac:dyDescent="0.2">
      <c r="G19" s="5" t="s">
        <v>7</v>
      </c>
    </row>
    <row r="20" spans="1:7" x14ac:dyDescent="0.2">
      <c r="A20" t="str">
        <f ca="1">IF(_xll.TM1RPTELISCONSOLIDATED($E$20,$E20),IF(_xll.TM1RPTELLEV($E$20,$E20)&lt;=3,_xll.TM1RPTELLEV($E$20,$E20),"D"),"N")</f>
        <v>N</v>
      </c>
      <c r="D20" s="51" t="str">
        <f ca="1">_xll.TM1RPTROW($D$15,Server&amp;"Legal_Organization","","",Context!#REF!,0,$D$16,,1)</f>
        <v/>
      </c>
      <c r="E20" s="47" t="str">
        <f ca="1">_xll.TM1RPTROW($D$15,Server&amp;"Activity","",,"",0)</f>
        <v/>
      </c>
      <c r="F20" s="6" t="str">
        <f ca="1">_xll.DBRA(Server&amp;"Activity",$E20,Context!#REF!)</f>
        <v/>
      </c>
      <c r="G20" s="8" t="str">
        <f ca="1">_xll.DBRW($D$15,$D20,$E20,G$19)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7E408F"/>
    <pageSetUpPr fitToPage="1"/>
  </sheetPr>
  <dimension ref="A1:AD116"/>
  <sheetViews>
    <sheetView showGridLines="0" tabSelected="1" topLeftCell="F15" zoomScale="70" zoomScaleNormal="70" workbookViewId="0">
      <selection activeCell="AG28" sqref="AG28"/>
    </sheetView>
  </sheetViews>
  <sheetFormatPr baseColWidth="10" defaultColWidth="9.140625" defaultRowHeight="12.75" outlineLevelRow="1" x14ac:dyDescent="0.2"/>
  <cols>
    <col min="1" max="1" width="20.28515625" hidden="1" customWidth="1"/>
    <col min="2" max="2" width="12.140625" hidden="1" customWidth="1"/>
    <col min="3" max="5" width="0" hidden="1" customWidth="1"/>
    <col min="7" max="7" width="38.7109375" customWidth="1"/>
    <col min="8" max="8" width="49.140625" customWidth="1"/>
    <col min="9" max="16" width="21.42578125" customWidth="1"/>
    <col min="17" max="17" width="1.140625" customWidth="1"/>
    <col min="18" max="19" width="10.7109375" bestFit="1" customWidth="1"/>
    <col min="21" max="22" width="9.140625" hidden="1" customWidth="1"/>
    <col min="23" max="23" width="20.140625" hidden="1" customWidth="1"/>
    <col min="24" max="24" width="9.140625" hidden="1" customWidth="1"/>
    <col min="25" max="25" width="10.140625" hidden="1" customWidth="1"/>
    <col min="26" max="26" width="29.140625" hidden="1" customWidth="1"/>
    <col min="27" max="27" width="9.140625" hidden="1" customWidth="1"/>
    <col min="28" max="28" width="23.5703125" hidden="1" customWidth="1"/>
    <col min="29" max="29" width="25.28515625" hidden="1" customWidth="1"/>
    <col min="30" max="30" width="9.140625" hidden="1" customWidth="1"/>
    <col min="31" max="31" width="0" hidden="1" customWidth="1"/>
  </cols>
  <sheetData>
    <row r="1" spans="1:29" hidden="1" x14ac:dyDescent="0.2">
      <c r="A1" t="s">
        <v>10</v>
      </c>
    </row>
    <row r="2" spans="1:29" ht="16.5" hidden="1" thickBot="1" x14ac:dyDescent="0.25">
      <c r="A2">
        <f ca="1">0</f>
        <v>0</v>
      </c>
      <c r="G2" s="157"/>
      <c r="H2" s="158"/>
      <c r="I2" s="159"/>
      <c r="J2" s="160"/>
      <c r="K2" s="159"/>
      <c r="L2" s="160"/>
      <c r="M2" s="159"/>
      <c r="N2" s="160"/>
      <c r="O2" s="159"/>
      <c r="P2" s="160"/>
      <c r="R2" s="97"/>
      <c r="S2" s="98"/>
      <c r="Y2" s="65" t="s">
        <v>103</v>
      </c>
      <c r="Z2" s="66" t="str">
        <f ca="1">_xll.SUBNM(Server&amp;"LTP_Components","",$H$22)</f>
        <v>ZGP&amp;Action&amp;Disp_Plans</v>
      </c>
    </row>
    <row r="3" spans="1:29" ht="15.75" hidden="1" x14ac:dyDescent="0.2">
      <c r="A3">
        <f ca="1">1</f>
        <v>1</v>
      </c>
      <c r="G3" s="52"/>
      <c r="H3" s="17"/>
      <c r="I3" s="14"/>
      <c r="J3" s="55"/>
      <c r="K3" s="15"/>
      <c r="L3" s="15"/>
      <c r="M3" s="15"/>
      <c r="N3" s="15"/>
      <c r="O3" s="15"/>
      <c r="P3" s="15"/>
      <c r="Q3" s="3"/>
      <c r="R3" s="39"/>
      <c r="S3" s="37"/>
      <c r="Y3" s="67"/>
      <c r="Z3" s="117" t="s">
        <v>104</v>
      </c>
    </row>
    <row r="4" spans="1:29" ht="16.5" hidden="1" thickBot="1" x14ac:dyDescent="0.25">
      <c r="A4">
        <f ca="1">2</f>
        <v>2</v>
      </c>
      <c r="G4" s="53"/>
      <c r="H4" s="56"/>
      <c r="I4" s="57"/>
      <c r="J4" s="58"/>
      <c r="K4" s="16"/>
      <c r="L4" s="16"/>
      <c r="M4" s="16"/>
      <c r="N4" s="16"/>
      <c r="O4" s="16"/>
      <c r="P4" s="16"/>
      <c r="Q4" s="3"/>
      <c r="R4" s="59"/>
      <c r="S4" s="38"/>
      <c r="Y4" s="68"/>
      <c r="Z4" s="118"/>
    </row>
    <row r="5" spans="1:29" ht="15.75" hidden="1" x14ac:dyDescent="0.2">
      <c r="A5">
        <f ca="1">3</f>
        <v>3</v>
      </c>
      <c r="G5" s="53"/>
      <c r="H5" s="56"/>
      <c r="I5" s="57"/>
      <c r="J5" s="58"/>
      <c r="K5" s="16"/>
      <c r="L5" s="16"/>
      <c r="M5" s="16"/>
      <c r="N5" s="16"/>
      <c r="O5" s="16"/>
      <c r="P5" s="16"/>
      <c r="Q5" s="3"/>
      <c r="R5" s="59"/>
      <c r="S5" s="38"/>
      <c r="Y5" s="69"/>
      <c r="Z5" s="119" t="s">
        <v>105</v>
      </c>
    </row>
    <row r="6" spans="1:29" ht="16.5" hidden="1" thickBot="1" x14ac:dyDescent="0.25">
      <c r="A6" t="s">
        <v>8</v>
      </c>
      <c r="G6" s="53"/>
      <c r="H6" s="56"/>
      <c r="I6" s="57"/>
      <c r="J6" s="58"/>
      <c r="K6" s="16"/>
      <c r="L6" s="16"/>
      <c r="M6" s="16"/>
      <c r="N6" s="16"/>
      <c r="O6" s="16"/>
      <c r="P6" s="16"/>
      <c r="Q6" s="3"/>
      <c r="R6" s="59"/>
      <c r="S6" s="38"/>
      <c r="Y6" s="70"/>
      <c r="Z6" s="120"/>
    </row>
    <row r="7" spans="1:29" ht="15.75" hidden="1" x14ac:dyDescent="0.2">
      <c r="A7" t="s">
        <v>9</v>
      </c>
      <c r="G7" s="53"/>
      <c r="H7" s="56"/>
      <c r="I7" s="57"/>
      <c r="J7" s="58"/>
      <c r="K7" s="16"/>
      <c r="L7" s="16"/>
      <c r="M7" s="16"/>
      <c r="N7" s="16"/>
      <c r="O7" s="16"/>
      <c r="P7" s="16"/>
      <c r="Q7" s="3"/>
      <c r="R7" s="59"/>
      <c r="S7" s="38"/>
      <c r="Y7" s="125"/>
      <c r="Z7" s="121" t="s">
        <v>106</v>
      </c>
    </row>
    <row r="8" spans="1:29" ht="13.5" hidden="1" thickBot="1" x14ac:dyDescent="0.25">
      <c r="A8" t="s">
        <v>11</v>
      </c>
      <c r="Y8" s="126"/>
      <c r="Z8" s="122"/>
    </row>
    <row r="9" spans="1:29" ht="16.5" hidden="1" thickBot="1" x14ac:dyDescent="0.25">
      <c r="W9" s="41" t="s">
        <v>4</v>
      </c>
      <c r="Y9" s="123"/>
      <c r="Z9" s="74" t="s">
        <v>107</v>
      </c>
    </row>
    <row r="10" spans="1:29" ht="16.5" hidden="1" thickBot="1" x14ac:dyDescent="0.25">
      <c r="W10" s="18" t="s">
        <v>40</v>
      </c>
      <c r="Y10" s="124"/>
      <c r="Z10" s="75" t="s">
        <v>108</v>
      </c>
    </row>
    <row r="11" spans="1:29" ht="13.5" hidden="1" thickBot="1" x14ac:dyDescent="0.25">
      <c r="W11" s="63" t="s">
        <v>41</v>
      </c>
    </row>
    <row r="12" spans="1:29" ht="13.5" hidden="1" thickBot="1" x14ac:dyDescent="0.25">
      <c r="W12" s="64" t="s">
        <v>94</v>
      </c>
      <c r="Y12" s="127"/>
      <c r="Z12" s="73" t="s">
        <v>109</v>
      </c>
    </row>
    <row r="13" spans="1:29" ht="15.75" hidden="1" x14ac:dyDescent="0.2">
      <c r="W13" s="20" t="s">
        <v>3</v>
      </c>
      <c r="Y13" s="128"/>
      <c r="Z13" s="72" t="s">
        <v>110</v>
      </c>
    </row>
    <row r="14" spans="1:29" ht="15.75" hidden="1" x14ac:dyDescent="0.25">
      <c r="W14" s="19" t="s">
        <v>12</v>
      </c>
      <c r="Y14" s="129"/>
      <c r="Z14" s="131" t="s">
        <v>111</v>
      </c>
    </row>
    <row r="15" spans="1:29" ht="32.25" customHeight="1" thickBot="1" x14ac:dyDescent="0.25">
      <c r="G15" s="151"/>
      <c r="H15" s="154" t="str">
        <f ca="1">$H$26 &amp;" (" &amp;$H$25&amp; ")"</f>
        <v>Produit des activités ordinaires (Devise locale)</v>
      </c>
      <c r="I15" s="154"/>
      <c r="J15" s="154"/>
      <c r="K15" s="154"/>
      <c r="L15" s="154"/>
      <c r="M15" s="154"/>
      <c r="N15" s="154"/>
      <c r="O15" s="154"/>
      <c r="P15" s="152" t="str">
        <f ca="1">_xll.DBRA(Server&amp;$W$9,$W$10,$H$27)</f>
        <v>Restitution</v>
      </c>
      <c r="Q15" s="152"/>
      <c r="R15" s="152"/>
      <c r="S15" s="151"/>
      <c r="W15" s="20" t="s">
        <v>13</v>
      </c>
      <c r="Y15" s="130"/>
      <c r="Z15" s="118"/>
    </row>
    <row r="16" spans="1:29" ht="29.25" customHeight="1" thickBot="1" x14ac:dyDescent="0.3">
      <c r="G16" s="153"/>
      <c r="H16" s="155" t="str">
        <f ca="1">$H$22&amp; " - " &amp;$H$23&amp;" " &amp;_xll.DBRA(Server&amp;$W$9,$W$23,$H$27)</f>
        <v>ZGP&amp;Action&amp;Disp_Plans - VTD_corp par activité</v>
      </c>
      <c r="I16" s="155"/>
      <c r="J16" s="155"/>
      <c r="K16" s="155"/>
      <c r="L16" s="155"/>
      <c r="M16" s="155"/>
      <c r="N16" s="155"/>
      <c r="O16" s="155"/>
      <c r="P16" s="152"/>
      <c r="Q16" s="152"/>
      <c r="R16" s="152"/>
      <c r="S16" s="153"/>
      <c r="W16" s="20" t="s">
        <v>2</v>
      </c>
      <c r="Y16" s="77"/>
      <c r="Z16" s="76" t="s">
        <v>112</v>
      </c>
      <c r="AB16" s="87" t="s">
        <v>128</v>
      </c>
      <c r="AC16" s="88" t="s">
        <v>129</v>
      </c>
    </row>
    <row r="17" spans="7:29" ht="27" thickBot="1" x14ac:dyDescent="0.25">
      <c r="G17" s="153"/>
      <c r="H17" s="156" t="str">
        <f ca="1">$H$21</f>
        <v>LTP_2021_VC</v>
      </c>
      <c r="I17" s="156"/>
      <c r="J17" s="156"/>
      <c r="K17" s="156"/>
      <c r="L17" s="156"/>
      <c r="M17" s="156"/>
      <c r="N17" s="156"/>
      <c r="O17" s="156"/>
      <c r="P17" s="152"/>
      <c r="Q17" s="152"/>
      <c r="R17" s="152"/>
      <c r="S17" s="153"/>
      <c r="W17" s="20"/>
      <c r="Y17" s="78"/>
      <c r="Z17" s="71" t="s">
        <v>113</v>
      </c>
      <c r="AB17" s="89" t="str">
        <f ca="1">_xll.DBRA(Server&amp;"LTP_Components",$W$25,$H$27)</f>
        <v>Total - Plan Long Terme</v>
      </c>
      <c r="AC17" s="90" t="str">
        <f ca="1">_xll.DBR(Server&amp;"z_Client_Properties","LTP_Corp_Security",_xll.TM1USER(xServer))</f>
        <v>1</v>
      </c>
    </row>
    <row r="18" spans="7:29" ht="16.5" thickBot="1" x14ac:dyDescent="0.25">
      <c r="W18" s="20" t="s">
        <v>1</v>
      </c>
      <c r="Y18" s="132"/>
      <c r="Z18" s="76" t="s">
        <v>114</v>
      </c>
      <c r="AB18" s="91" t="str">
        <f ca="1">_xll.DBRA(Server&amp;"LTP_Components",$W$24,$H$27)</f>
        <v>Plan Long Terme - Pays</v>
      </c>
      <c r="AC18" s="92" t="str">
        <f ca="1">IF($AC$17="1",$AB$17,$AB$18)</f>
        <v>Total - Plan Long Terme</v>
      </c>
    </row>
    <row r="19" spans="7:29" ht="15.75" x14ac:dyDescent="0.2">
      <c r="W19" s="20"/>
      <c r="Y19" s="133"/>
      <c r="Z19" s="85"/>
    </row>
    <row r="20" spans="7:29" ht="15.75" x14ac:dyDescent="0.2">
      <c r="W20" s="20" t="s">
        <v>0</v>
      </c>
      <c r="Y20" s="133"/>
      <c r="Z20" s="79" t="s">
        <v>115</v>
      </c>
    </row>
    <row r="21" spans="7:29" ht="15.75" hidden="1" outlineLevel="1" x14ac:dyDescent="0.2">
      <c r="G21" s="2" t="str">
        <f ca="1">_xll.DBRA(Server&amp;$W$9,$W$13,$H$27)</f>
        <v>Phase</v>
      </c>
      <c r="H21" s="40" t="str">
        <f ca="1">_xll.SUBNM(Server&amp;"Phase","","LTP_2021_VC")</f>
        <v>LTP_2021_VC</v>
      </c>
      <c r="W21" s="20" t="s">
        <v>45</v>
      </c>
      <c r="Y21" s="134"/>
      <c r="Z21" s="131" t="s">
        <v>116</v>
      </c>
    </row>
    <row r="22" spans="7:29" ht="16.5" hidden="1" outlineLevel="1" thickBot="1" x14ac:dyDescent="0.25">
      <c r="G22" s="2" t="str">
        <f ca="1">_xll.DBRA(Server&amp;$W$9,$W$14,$H$27)</f>
        <v>Composant LTP</v>
      </c>
      <c r="H22" s="40" t="str">
        <f ca="1">_xll.SUBNM(Server&amp;"LTP_Components","","ZGP&amp;Action&amp;Disp_Plans")</f>
        <v>ZGP&amp;Action&amp;Disp_Plans</v>
      </c>
      <c r="W22" s="42" t="s">
        <v>14</v>
      </c>
      <c r="Y22" s="135"/>
      <c r="Z22" s="118"/>
    </row>
    <row r="23" spans="7:29" ht="16.5" hidden="1" outlineLevel="1" thickBot="1" x14ac:dyDescent="0.25">
      <c r="G23" s="2" t="str">
        <f ca="1">_xll.DBRA(Server&amp;$W$9,$W$15,$H$27)</f>
        <v>Organisation légale</v>
      </c>
      <c r="H23" s="40" t="str">
        <f ca="1">_xll.SUBNM(Server&amp;"Legal_Organization","","VTD_corp")</f>
        <v>VTD_corp</v>
      </c>
      <c r="W23" s="20" t="s">
        <v>93</v>
      </c>
      <c r="Y23" s="136"/>
      <c r="Z23" s="76" t="s">
        <v>117</v>
      </c>
    </row>
    <row r="24" spans="7:29" ht="15.75" hidden="1" outlineLevel="1" x14ac:dyDescent="0.2">
      <c r="G24" s="2" t="str">
        <f ca="1">_xll.DBRA(Server&amp;$W$9,$W$18,$H$27)</f>
        <v>Pondération</v>
      </c>
      <c r="H24" s="40" t="str">
        <f ca="1">IF(MID(H21,5,4)&gt;"2020",_xll.SUBNM(Server&amp;"Weighting","","W_APP"),_xll.SUBNM(Server&amp;"Weighting","","W_NO_APP"))</f>
        <v>W_APP</v>
      </c>
      <c r="W24" s="93" t="s">
        <v>130</v>
      </c>
      <c r="Y24" s="137"/>
      <c r="Z24" s="79" t="s">
        <v>118</v>
      </c>
    </row>
    <row r="25" spans="7:29" ht="16.5" hidden="1" outlineLevel="1" thickBot="1" x14ac:dyDescent="0.25">
      <c r="G25" s="2" t="str">
        <f ca="1">_xll.DBRA(Server&amp;$W$9,$W$20,$H$27)</f>
        <v>Devise</v>
      </c>
      <c r="H25" s="40" t="str">
        <f ca="1">_xll.SUBNM(Server&amp;"Currency","","LCL",$H$27)</f>
        <v>Devise locale</v>
      </c>
      <c r="W25" s="94" t="s">
        <v>104</v>
      </c>
      <c r="Y25" s="138"/>
      <c r="Z25" s="131" t="s">
        <v>119</v>
      </c>
    </row>
    <row r="26" spans="7:29" ht="16.5" hidden="1" outlineLevel="1" thickBot="1" x14ac:dyDescent="0.25">
      <c r="G26" s="2" t="str">
        <f ca="1">_xll.DBRA(Server&amp;$W$9,$W$21,$H$27)</f>
        <v>Indicateur</v>
      </c>
      <c r="H26" s="40" t="str">
        <f ca="1">_xll.SUBNM(Server&amp;"Indicator_LTP","","TPL10",$H$27)</f>
        <v>Produit des activités ordinaires</v>
      </c>
      <c r="Y26" s="139"/>
      <c r="Z26" s="118"/>
    </row>
    <row r="27" spans="7:29" ht="15.75" hidden="1" outlineLevel="1" x14ac:dyDescent="0.2">
      <c r="G27" s="2" t="str">
        <f ca="1">_xll.DBRA(Server&amp;$W$9,$W$22,$H$27)</f>
        <v>Langue</v>
      </c>
      <c r="H27" s="40" t="str">
        <f ca="1">LocalLanguage</f>
        <v>French</v>
      </c>
      <c r="Y27" s="145"/>
      <c r="Z27" s="80" t="s">
        <v>120</v>
      </c>
    </row>
    <row r="28" spans="7:29" collapsed="1" x14ac:dyDescent="0.2">
      <c r="Y28" s="146"/>
      <c r="Z28" s="74" t="s">
        <v>121</v>
      </c>
    </row>
    <row r="29" spans="7:29" x14ac:dyDescent="0.2">
      <c r="Y29" s="147"/>
      <c r="Z29" s="120" t="s">
        <v>122</v>
      </c>
    </row>
    <row r="30" spans="7:29" ht="13.5" thickBot="1" x14ac:dyDescent="0.25">
      <c r="Y30" s="148"/>
      <c r="Z30" s="142"/>
    </row>
    <row r="31" spans="7:29" x14ac:dyDescent="0.2">
      <c r="Y31" s="81"/>
      <c r="Z31" s="119" t="s">
        <v>123</v>
      </c>
    </row>
    <row r="32" spans="7:29" ht="13.5" hidden="1" thickBot="1" x14ac:dyDescent="0.25">
      <c r="G32" t="str">
        <f ca="1">_xll.TM1RPTVIEW(Server&amp;"Report_LTP:ARPT5", 1, _xll.TM1RPTTITLE(Server&amp;"Currency",$H$25), _xll.TM1RPTTITLE(Server&amp;"LTP_Components",$H$22), _xll.TM1RPTTITLE(Server&amp;"Weighting",$H$24), _xll.TM1RPTTITLE(Server&amp;"Phase",$H$21), _xll.TM1RPTTITLE(Server&amp;"Indicator_LTP",$H$26),TM1RPTFMTRNG,TM1RPTFMTIDCOL)</f>
        <v>tango_core_model:Report_LTP:ARPT5</v>
      </c>
      <c r="Y32" s="82"/>
      <c r="Z32" s="142"/>
    </row>
    <row r="33" spans="1:26" hidden="1" x14ac:dyDescent="0.2">
      <c r="G33" s="44"/>
      <c r="I33" s="48" t="s">
        <v>3</v>
      </c>
      <c r="J33" t="str">
        <f ca="1">_xll.SUBNM(Server&amp;"Phase","LTP_Phase",$H$21)</f>
        <v>LTP_2021_VC</v>
      </c>
      <c r="K33" s="45" t="s">
        <v>91</v>
      </c>
      <c r="Y33" s="149"/>
      <c r="Z33" s="80" t="s">
        <v>124</v>
      </c>
    </row>
    <row r="34" spans="1:26" hidden="1" x14ac:dyDescent="0.2">
      <c r="G34" s="44" t="s">
        <v>3</v>
      </c>
      <c r="H34" t="str">
        <f ca="1">$H$21</f>
        <v>LTP_2021_VC</v>
      </c>
      <c r="I34" s="48" t="s">
        <v>5</v>
      </c>
      <c r="J34" s="44" t="str">
        <f ca="1">MID($J$33,5,4)</f>
        <v>2021</v>
      </c>
      <c r="K34" s="49" t="s">
        <v>92</v>
      </c>
      <c r="L34" t="str">
        <f ca="1">"{[Legal_Organization].["&amp;$H$39&amp;"].Children}"</f>
        <v>{[Legal_Organization].[VTD_corp].Children}</v>
      </c>
      <c r="Y34" s="150"/>
      <c r="Z34" s="66" t="s">
        <v>126</v>
      </c>
    </row>
    <row r="35" spans="1:26" hidden="1" x14ac:dyDescent="0.2">
      <c r="G35" s="44" t="s">
        <v>0</v>
      </c>
      <c r="H35" t="str">
        <f ca="1">$H$25</f>
        <v>Devise locale</v>
      </c>
      <c r="K35" s="50"/>
      <c r="Y35" s="140"/>
      <c r="Z35" s="120" t="s">
        <v>127</v>
      </c>
    </row>
    <row r="36" spans="1:26" ht="13.5" hidden="1" thickBot="1" x14ac:dyDescent="0.25">
      <c r="G36" s="44" t="s">
        <v>48</v>
      </c>
      <c r="H36" t="str">
        <f ca="1">$H$22</f>
        <v>ZGP&amp;Action&amp;Disp_Plans</v>
      </c>
      <c r="Y36" s="141"/>
      <c r="Z36" s="142"/>
    </row>
    <row r="37" spans="1:26" hidden="1" x14ac:dyDescent="0.2">
      <c r="G37" s="44" t="s">
        <v>1</v>
      </c>
      <c r="H37" t="str">
        <f ca="1">$H$24</f>
        <v>W_APP</v>
      </c>
      <c r="Y37" s="83"/>
      <c r="Z37" s="143" t="s">
        <v>125</v>
      </c>
    </row>
    <row r="38" spans="1:26" ht="13.5" hidden="1" thickBot="1" x14ac:dyDescent="0.25">
      <c r="G38" s="44" t="s">
        <v>6</v>
      </c>
      <c r="H38" t="str">
        <f ca="1">$H$26</f>
        <v>Produit des activités ordinaires</v>
      </c>
      <c r="Y38" s="84"/>
      <c r="Z38" s="144"/>
    </row>
    <row r="39" spans="1:26" hidden="1" x14ac:dyDescent="0.2">
      <c r="G39" s="44" t="s">
        <v>47</v>
      </c>
      <c r="H39" t="str">
        <f ca="1">$H$23</f>
        <v>VTD_corp</v>
      </c>
    </row>
    <row r="40" spans="1:26" hidden="1" x14ac:dyDescent="0.2">
      <c r="I40" t="str">
        <f ca="1">_xll.DBRA(Server&amp;$I$34,$J$40,"Prior Year")</f>
        <v>F_year_2020</v>
      </c>
      <c r="J40" t="str">
        <f ca="1">"F_year_"&amp;$J$34</f>
        <v>F_year_2021</v>
      </c>
      <c r="K40" t="str">
        <f ca="1">_xll.DBRA(Server&amp;$I$34,J$40,"Next Year")</f>
        <v>F_year_2022</v>
      </c>
      <c r="L40" t="str">
        <f ca="1">_xll.DBRA(Server&amp;$I$34,K$40,"Next Year")</f>
        <v>F_year_2023</v>
      </c>
      <c r="M40" t="str">
        <f ca="1">_xll.DBRA(Server&amp;$I$34,L$40,"Next Year")</f>
        <v>F_year_2024</v>
      </c>
      <c r="N40" t="str">
        <f ca="1">_xll.DBRA(Server&amp;$I$34,M$40,"Next Year")</f>
        <v>F_year_2025</v>
      </c>
      <c r="O40" t="str">
        <f ca="1">_xll.DBRA(Server&amp;$I$34,N$40,"Next Year")</f>
        <v>F_year_2026</v>
      </c>
      <c r="P40" t="str">
        <f ca="1">_xll.DBRA(Server&amp;$I$34,O$40,"Next Year")</f>
        <v>F_year_2027</v>
      </c>
    </row>
    <row r="41" spans="1:26" ht="25.5" x14ac:dyDescent="0.2">
      <c r="G41" s="116" t="str">
        <f ca="1">$H$23</f>
        <v>VTD_corp</v>
      </c>
      <c r="H41" s="116"/>
      <c r="I41" s="99" t="str">
        <f ca="1">RIGHT(I$40,4)</f>
        <v>2020</v>
      </c>
      <c r="J41" s="99" t="str">
        <f t="shared" ref="J41:P41" ca="1" si="0">RIGHT(J$40,4)</f>
        <v>2021</v>
      </c>
      <c r="K41" s="99" t="str">
        <f t="shared" ca="1" si="0"/>
        <v>2022</v>
      </c>
      <c r="L41" s="99" t="str">
        <f t="shared" ca="1" si="0"/>
        <v>2023</v>
      </c>
      <c r="M41" s="99" t="str">
        <f t="shared" ca="1" si="0"/>
        <v>2024</v>
      </c>
      <c r="N41" s="99" t="str">
        <f t="shared" ca="1" si="0"/>
        <v>2025</v>
      </c>
      <c r="O41" s="99" t="str">
        <f t="shared" ca="1" si="0"/>
        <v>2026</v>
      </c>
      <c r="P41" s="99" t="str">
        <f t="shared" ca="1" si="0"/>
        <v>2027</v>
      </c>
      <c r="Q41" s="3"/>
      <c r="R41" s="100" t="str">
        <f ca="1">_xll.DBRA(Server&amp;$W$9,$W$11,$H$27)&amp;CHAR(10)&amp;MID($J$40,10,2)&amp;"-"&amp;MID($M$40,10,2)</f>
        <v>CAGR
21-24</v>
      </c>
      <c r="S41" s="101" t="str">
        <f ca="1">_xll.DBRA(Server&amp;$W$9,$W$11,$H$27)&amp;CHAR(10)&amp;MID($J$40,10,2)&amp;"-"&amp;MID($P$40,10,2)</f>
        <v>CAGR
21-27</v>
      </c>
    </row>
    <row r="42" spans="1:26" x14ac:dyDescent="0.2">
      <c r="G42" s="11"/>
      <c r="H42" s="12"/>
      <c r="I42" s="13"/>
      <c r="J42" s="13"/>
      <c r="K42" s="13"/>
      <c r="L42" s="13"/>
      <c r="M42" s="13"/>
      <c r="N42" s="13"/>
      <c r="O42" s="13"/>
      <c r="P42" s="13"/>
      <c r="Q42" s="1"/>
      <c r="R42" s="13"/>
      <c r="S42" s="13"/>
    </row>
    <row r="43" spans="1:26" x14ac:dyDescent="0.2"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1"/>
    </row>
    <row r="44" spans="1:26" ht="15.75" x14ac:dyDescent="0.2">
      <c r="A44">
        <f ca="1">IF(_xll.TM1RPTELISCONSOLIDATED($H$44,$H44),IF(_xll.TM1RPTELLEV($H$44,$H44)&lt;=3,_xll.TM1RPTELLEV($H$44,$H44),"D"),"N")</f>
        <v>0</v>
      </c>
      <c r="G44" s="162" t="str">
        <f ca="1">_xll.TM1RPTROW($G$32,Server&amp;"Legal_Organization","","",$H$27,0,$L$34,,1)</f>
        <v>Europe du Nord</v>
      </c>
      <c r="H44" s="161" t="str">
        <f ca="1">_xll.TM1RPTROW($G$32,Server&amp;"Activity","LTP - Activities","",$H$27,0,,,1)</f>
        <v>Total Activités</v>
      </c>
      <c r="I44" s="159">
        <f ca="1">_xll.DBRW($G$32,$H44,$H$25,$H$22,$H$24,$G44,I$40,$H$21,$H$26)</f>
        <v>0</v>
      </c>
      <c r="J44" s="160">
        <f ca="1">_xll.DBRW($G$32,$H44,$H$25,$H$22,$H$24,$G44,J$40,$H$21,$H$26)</f>
        <v>0</v>
      </c>
      <c r="K44" s="159">
        <f ca="1">_xll.DBRW($G$32,$H44,$H$25,$H$22,$H$24,$G44,K$40,$H$21,$H$26)</f>
        <v>0</v>
      </c>
      <c r="L44" s="160">
        <f ca="1">_xll.DBRW($G$32,$H44,$H$25,$H$22,$H$24,$G44,L$40,$H$21,$H$26)</f>
        <v>100000000</v>
      </c>
      <c r="M44" s="159">
        <f ca="1">_xll.DBRW($G$32,$H44,$H$25,$H$22,$H$24,$G44,M$40,$H$21,$H$26)</f>
        <v>100000000</v>
      </c>
      <c r="N44" s="160">
        <f ca="1">_xll.DBRW($G$32,$H44,$H$25,$H$22,$H$24,$G44,N$40,$H$21,$H$26)</f>
        <v>100000000</v>
      </c>
      <c r="O44" s="159">
        <f ca="1">_xll.DBRW($G$32,$H44,$H$25,$H$22,$H$24,$G44,O$40,$H$21,$H$26)</f>
        <v>100000000</v>
      </c>
      <c r="P44" s="160">
        <f ca="1">_xll.DBRW($G$32,$H44,$H$25,$H$22,$H$24,$G44,P$40,$H$21,$H$26)</f>
        <v>100000000</v>
      </c>
      <c r="R44" s="97" t="str">
        <f ca="1">IF(ISERROR(($M44/$J44)^(1/3)-1),"",($M44/$J44)^(1/3)-1)</f>
        <v/>
      </c>
      <c r="S44" s="98" t="str">
        <f ca="1">IF(ISERROR(($P44/$J44)^(1/3)-1),"",($P44/$J44)^(1/3)-1)</f>
        <v/>
      </c>
    </row>
    <row r="45" spans="1:26" ht="15.75" x14ac:dyDescent="0.2">
      <c r="A45">
        <f ca="1">IF(_xll.TM1RPTELISCONSOLIDATED($H$44,$H45),IF(_xll.TM1RPTELLEV($H$44,$H45)&lt;=3,_xll.TM1RPTELLEV($H$44,$H45),"D"),"N")</f>
        <v>1</v>
      </c>
      <c r="G45" s="54" t="s">
        <v>134</v>
      </c>
      <c r="H45" s="111" t="s">
        <v>133</v>
      </c>
      <c r="I45" s="14">
        <f ca="1">_xll.DBRW($G$32,$H45,$H$25,$H$22,$H$24,$G45,I$40,$H$21,$H$26)</f>
        <v>0</v>
      </c>
      <c r="J45" s="55">
        <f ca="1">_xll.DBRW($G$32,$H45,$H$25,$H$22,$H$24,$G45,J$40,$H$21,$H$26)</f>
        <v>0</v>
      </c>
      <c r="K45" s="15">
        <f ca="1">_xll.DBRW($G$32,$H45,$H$25,$H$22,$H$24,$G45,K$40,$H$21,$H$26)</f>
        <v>0</v>
      </c>
      <c r="L45" s="15">
        <f ca="1">_xll.DBRW($G$32,$H45,$H$25,$H$22,$H$24,$G45,L$40,$H$21,$H$26)</f>
        <v>100000000</v>
      </c>
      <c r="M45" s="15">
        <f ca="1">_xll.DBRW($G$32,$H45,$H$25,$H$22,$H$24,$G45,M$40,$H$21,$H$26)</f>
        <v>100000000</v>
      </c>
      <c r="N45" s="15">
        <f ca="1">_xll.DBRW($G$32,$H45,$H$25,$H$22,$H$24,$G45,N$40,$H$21,$H$26)</f>
        <v>100000000</v>
      </c>
      <c r="O45" s="15">
        <f ca="1">_xll.DBRW($G$32,$H45,$H$25,$H$22,$H$24,$G45,O$40,$H$21,$H$26)</f>
        <v>100000000</v>
      </c>
      <c r="P45" s="15">
        <f ca="1">_xll.DBRW($G$32,$H45,$H$25,$H$22,$H$24,$G45,P$40,$H$21,$H$26)</f>
        <v>100000000</v>
      </c>
      <c r="Q45" s="3"/>
      <c r="R45" s="39" t="str">
        <f t="shared" ref="R45:R48" ca="1" si="1">IF(ISERROR(($M45/$J45)^(1/3)-1),"",($M45/$J45)^(1/3)-1)</f>
        <v/>
      </c>
      <c r="S45" s="37" t="str">
        <f t="shared" ref="S45:S48" ca="1" si="2">IF(ISERROR(($P45/$J45)^(1/3)-1),"",($P45/$J45)^(1/3)-1)</f>
        <v/>
      </c>
    </row>
    <row r="46" spans="1:26" ht="15.75" x14ac:dyDescent="0.2">
      <c r="A46" t="str">
        <f ca="1">IF(_xll.TM1RPTELISCONSOLIDATED($H$44,$H46),IF(_xll.TM1RPTELLEV($H$44,$H46)&lt;=3,_xll.TM1RPTELLEV($H$44,$H46),"D"),"N")</f>
        <v>N</v>
      </c>
      <c r="G46" s="86" t="s">
        <v>134</v>
      </c>
      <c r="H46" s="112" t="s">
        <v>136</v>
      </c>
      <c r="I46" s="57">
        <f ca="1">_xll.DBRW($G$32,$H46,$H$25,$H$22,$H$24,$G46,I$40,$H$21,$H$26)</f>
        <v>0</v>
      </c>
      <c r="J46" s="58">
        <f ca="1">_xll.DBRW($G$32,$H46,$H$25,$H$22,$H$24,$G46,J$40,$H$21,$H$26)</f>
        <v>0</v>
      </c>
      <c r="K46" s="16">
        <f ca="1">_xll.DBRW($G$32,$H46,$H$25,$H$22,$H$24,$G46,K$40,$H$21,$H$26)</f>
        <v>0</v>
      </c>
      <c r="L46" s="16">
        <f ca="1">_xll.DBRW($G$32,$H46,$H$25,$H$22,$H$24,$G46,L$40,$H$21,$H$26)</f>
        <v>100000000</v>
      </c>
      <c r="M46" s="16">
        <f ca="1">_xll.DBRW($G$32,$H46,$H$25,$H$22,$H$24,$G46,M$40,$H$21,$H$26)</f>
        <v>100000000</v>
      </c>
      <c r="N46" s="16">
        <f ca="1">_xll.DBRW($G$32,$H46,$H$25,$H$22,$H$24,$G46,N$40,$H$21,$H$26)</f>
        <v>100000000</v>
      </c>
      <c r="O46" s="16">
        <f ca="1">_xll.DBRW($G$32,$H46,$H$25,$H$22,$H$24,$G46,O$40,$H$21,$H$26)</f>
        <v>100000000</v>
      </c>
      <c r="P46" s="16">
        <f ca="1">_xll.DBRW($G$32,$H46,$H$25,$H$22,$H$24,$G46,P$40,$H$21,$H$26)</f>
        <v>100000000</v>
      </c>
      <c r="Q46" s="3"/>
      <c r="R46" s="59" t="str">
        <f t="shared" ca="1" si="1"/>
        <v/>
      </c>
      <c r="S46" s="38" t="str">
        <f t="shared" ca="1" si="2"/>
        <v/>
      </c>
    </row>
    <row r="47" spans="1:26" ht="15.75" x14ac:dyDescent="0.2">
      <c r="A47">
        <f ca="1">IF(_xll.TM1RPTELISCONSOLIDATED($H$44,$H47),IF(_xll.TM1RPTELLEV($H$44,$H47)&lt;=3,_xll.TM1RPTELLEV($H$44,$H47),"D"),"N")</f>
        <v>0</v>
      </c>
      <c r="G47" s="163" t="s">
        <v>134</v>
      </c>
      <c r="H47" s="161" t="s">
        <v>135</v>
      </c>
      <c r="I47" s="159">
        <f ca="1">_xll.DBRW($G$32,$H47,$H$25,$H$22,$H$24,$G47,I$40,$H$21,$H$26)</f>
        <v>0</v>
      </c>
      <c r="J47" s="160">
        <f ca="1">_xll.DBRW($G$32,$H47,$H$25,$H$22,$H$24,$G47,J$40,$H$21,$H$26)</f>
        <v>0</v>
      </c>
      <c r="K47" s="159">
        <f ca="1">_xll.DBRW($G$32,$H47,$H$25,$H$22,$H$24,$G47,K$40,$H$21,$H$26)</f>
        <v>0</v>
      </c>
      <c r="L47" s="160">
        <f ca="1">_xll.DBRW($G$32,$H47,$H$25,$H$22,$H$24,$G47,L$40,$H$21,$H$26)</f>
        <v>100000000</v>
      </c>
      <c r="M47" s="159">
        <f ca="1">_xll.DBRW($G$32,$H47,$H$25,$H$22,$H$24,$G47,M$40,$H$21,$H$26)</f>
        <v>100000000</v>
      </c>
      <c r="N47" s="160">
        <f ca="1">_xll.DBRW($G$32,$H47,$H$25,$H$22,$H$24,$G47,N$40,$H$21,$H$26)</f>
        <v>100000000</v>
      </c>
      <c r="O47" s="159">
        <f ca="1">_xll.DBRW($G$32,$H47,$H$25,$H$22,$H$24,$G47,O$40,$H$21,$H$26)</f>
        <v>100000000</v>
      </c>
      <c r="P47" s="160">
        <f ca="1">_xll.DBRW($G$32,$H47,$H$25,$H$22,$H$24,$G47,P$40,$H$21,$H$26)</f>
        <v>100000000</v>
      </c>
      <c r="R47" s="97" t="str">
        <f t="shared" ca="1" si="1"/>
        <v/>
      </c>
      <c r="S47" s="98" t="str">
        <f t="shared" ca="1" si="2"/>
        <v/>
      </c>
    </row>
    <row r="48" spans="1:26" ht="15.75" x14ac:dyDescent="0.2">
      <c r="A48">
        <f ca="1">IF(_xll.TM1RPTELISCONSOLIDATED($H$44,$H48),IF(_xll.TM1RPTELLEV($H$44,$H48)&lt;=3,_xll.TM1RPTELLEV($H$44,$H48),"D"),"N")</f>
        <v>1</v>
      </c>
      <c r="G48" s="54" t="s">
        <v>134</v>
      </c>
      <c r="H48" s="110" t="s">
        <v>137</v>
      </c>
      <c r="I48" s="14">
        <f ca="1">_xll.DBRW($G$32,$H48,$H$25,$H$22,$H$24,$G48,I$40,$H$21,$H$26)</f>
        <v>0</v>
      </c>
      <c r="J48" s="55">
        <f ca="1">_xll.DBRW($G$32,$H48,$H$25,$H$22,$H$24,$G48,J$40,$H$21,$H$26)</f>
        <v>0</v>
      </c>
      <c r="K48" s="15">
        <f ca="1">_xll.DBRW($G$32,$H48,$H$25,$H$22,$H$24,$G48,K$40,$H$21,$H$26)</f>
        <v>0</v>
      </c>
      <c r="L48" s="15">
        <f ca="1">_xll.DBRW($G$32,$H48,$H$25,$H$22,$H$24,$G48,L$40,$H$21,$H$26)</f>
        <v>100000000</v>
      </c>
      <c r="M48" s="15">
        <f ca="1">_xll.DBRW($G$32,$H48,$H$25,$H$22,$H$24,$G48,M$40,$H$21,$H$26)</f>
        <v>100000000</v>
      </c>
      <c r="N48" s="15">
        <f ca="1">_xll.DBRW($G$32,$H48,$H$25,$H$22,$H$24,$G48,N$40,$H$21,$H$26)</f>
        <v>100000000</v>
      </c>
      <c r="O48" s="15">
        <f ca="1">_xll.DBRW($G$32,$H48,$H$25,$H$22,$H$24,$G48,O$40,$H$21,$H$26)</f>
        <v>100000000</v>
      </c>
      <c r="P48" s="15">
        <f ca="1">_xll.DBRW($G$32,$H48,$H$25,$H$22,$H$24,$G48,P$40,$H$21,$H$26)</f>
        <v>100000000</v>
      </c>
      <c r="Q48" s="3"/>
      <c r="R48" s="39" t="str">
        <f t="shared" ca="1" si="1"/>
        <v/>
      </c>
      <c r="S48" s="37" t="str">
        <f t="shared" ca="1" si="2"/>
        <v/>
      </c>
    </row>
    <row r="49" spans="2:26" x14ac:dyDescent="0.2"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2:26" ht="21" x14ac:dyDescent="0.2">
      <c r="B50" s="61" t="s">
        <v>2</v>
      </c>
      <c r="E50" s="27"/>
      <c r="F50" s="27"/>
      <c r="G50" s="102" t="str">
        <f ca="1">$H$39</f>
        <v>VTD_corp</v>
      </c>
      <c r="H50" s="102" t="str">
        <f ca="1">_xll.SUBNM(Server&amp;"Activity","","TOT_ACT",$H$27)</f>
        <v>Total Activités</v>
      </c>
      <c r="I50" s="103">
        <f ca="1">_xll.DBRW(Server&amp;Cube1,$H$50,$H$35,$H$36,$H$37,$H$39,I$40,$H$34,$H$38)</f>
        <v>0</v>
      </c>
      <c r="J50" s="103">
        <f ca="1">_xll.DBRW(Server&amp;Cube1,$H$50,$H$35,$H$36,$H$37,$H$39,J$40,$H$34,$H$38)</f>
        <v>0</v>
      </c>
      <c r="K50" s="103">
        <f ca="1">_xll.DBRW(Server&amp;Cube1,$H$50,$H$35,$H$36,$H$37,$H$39,K$40,$H$34,$H$38)</f>
        <v>0</v>
      </c>
      <c r="L50" s="103">
        <f ca="1">_xll.DBRW(Server&amp;Cube1,$H$50,$H$35,$H$36,$H$37,$H$39,L$40,$H$34,$H$38)</f>
        <v>100000000</v>
      </c>
      <c r="M50" s="103">
        <f ca="1">_xll.DBRW(Server&amp;Cube1,$H$50,$H$35,$H$36,$H$37,$H$39,M$40,$H$34,$H$38)</f>
        <v>100000000</v>
      </c>
      <c r="N50" s="103">
        <f ca="1">_xll.DBRW(Server&amp;Cube1,$H$50,$H$35,$H$36,$H$37,$H$39,N$40,$H$34,$H$38)</f>
        <v>100000000</v>
      </c>
      <c r="O50" s="103">
        <f ca="1">_xll.DBRW(Server&amp;Cube1,$H$50,$H$35,$H$36,$H$37,$H$39,O$40,$H$34,$H$38)</f>
        <v>100000000</v>
      </c>
      <c r="P50" s="104">
        <f ca="1">_xll.DBRW(Server&amp;Cube1,$H$50,$H$35,$H$36,$H$37,$H$39,P$40,$H$34,$H$38)</f>
        <v>100000000</v>
      </c>
      <c r="Q50" s="60"/>
      <c r="R50" s="105" t="str">
        <f ca="1">IF(ISERROR(($M50/$J50)^(1/3)-1),"",($M50/$J50)^(1/3)-1)</f>
        <v/>
      </c>
      <c r="S50" s="106" t="str">
        <f ca="1">IF(ISERROR(($P50/$J50)^(1/3)-1),"",($P50/$J50)^(1/3)-1)</f>
        <v/>
      </c>
      <c r="T50" s="27"/>
      <c r="U50" s="27"/>
      <c r="V50" s="27"/>
      <c r="W50" s="27"/>
      <c r="X50" s="27"/>
      <c r="Y50" s="27"/>
      <c r="Z50" s="27"/>
    </row>
    <row r="51" spans="2:26" ht="15.75" x14ac:dyDescent="0.25">
      <c r="B51" t="s">
        <v>51</v>
      </c>
      <c r="E51" s="27"/>
      <c r="F51" s="27"/>
      <c r="G51" s="107" t="str">
        <f ca="1">_xll.DBRA(Server&amp;$W$9,$W$12,$H$27)</f>
        <v>Dont</v>
      </c>
      <c r="H51" s="108" t="str">
        <f ca="1">_xll.DBRA(Server&amp;$B$50,$B51,$H$27)</f>
        <v>Urbain</v>
      </c>
      <c r="I51" s="95">
        <f ca="1">_xll.DBRW(Server&amp;Cube1,$B51,$H$35,$H$36,$H$37,$H$39,I$40,$H$34,$H$38)</f>
        <v>0</v>
      </c>
      <c r="J51" s="96">
        <f ca="1">_xll.DBRW(Server&amp;Cube1,$B51,$H$35,$H$36,$H$37,$H$39,J$40,$H$34,$H$38)</f>
        <v>0</v>
      </c>
      <c r="K51" s="109">
        <f ca="1">_xll.DBRW(Server&amp;Cube1,$B51,$H$35,$H$36,$H$37,$H$39,K$40,$H$34,$H$38)</f>
        <v>0</v>
      </c>
      <c r="L51" s="109">
        <f ca="1">_xll.DBRW(Server&amp;Cube1,$B51,$H$35,$H$36,$H$37,$H$39,L$40,$H$34,$H$38)</f>
        <v>100000000</v>
      </c>
      <c r="M51" s="109">
        <f ca="1">_xll.DBRW(Server&amp;Cube1,$B51,$H$35,$H$36,$H$37,$H$39,M$40,$H$34,$H$38)</f>
        <v>100000000</v>
      </c>
      <c r="N51" s="109">
        <f ca="1">_xll.DBRW(Server&amp;Cube1,$B51,$H$35,$H$36,$H$37,$H$39,N$40,$H$34,$H$38)</f>
        <v>100000000</v>
      </c>
      <c r="O51" s="109">
        <f ca="1">_xll.DBRW(Server&amp;Cube1,$B51,$H$35,$H$36,$H$37,$H$39,O$40,$H$34,$H$38)</f>
        <v>100000000</v>
      </c>
      <c r="P51" s="109">
        <f ca="1">_xll.DBRW(Server&amp;Cube1,$B51,$H$35,$H$36,$H$37,$H$39,P$40,$H$34,$H$38)</f>
        <v>100000000</v>
      </c>
      <c r="Q51" s="3"/>
      <c r="R51" s="97" t="str">
        <f t="shared" ref="R51:R103" ca="1" si="3">IF(ISERROR(($M51/$J51)^(1/3)-1),"",($M51/$J51)^(1/3)-1)</f>
        <v/>
      </c>
      <c r="S51" s="98" t="str">
        <f t="shared" ref="S51:S103" ca="1" si="4">IF(ISERROR(($P51/$J51)^(1/3)-1),"",($P51/$J51)^(1/3)-1)</f>
        <v/>
      </c>
      <c r="T51" s="27"/>
      <c r="U51" s="27"/>
      <c r="V51" s="27"/>
      <c r="W51" s="27"/>
      <c r="X51" s="27"/>
      <c r="Y51" s="27"/>
      <c r="Z51" s="27"/>
    </row>
    <row r="52" spans="2:26" ht="15.75" hidden="1" outlineLevel="1" x14ac:dyDescent="0.25">
      <c r="B52" t="s">
        <v>52</v>
      </c>
      <c r="E52" s="27"/>
      <c r="F52" s="27"/>
      <c r="G52" s="107" t="str">
        <f ca="1">_xll.DBRA(Server&amp;$W$9,$W$12,$H$27)</f>
        <v>Dont</v>
      </c>
      <c r="H52" s="62" t="str">
        <f ca="1">_xll.DBRA(Server&amp;$B$50,$B52,$H$27)</f>
        <v>Bus (Urbain)</v>
      </c>
      <c r="I52" s="57">
        <f ca="1">_xll.DBRW(Server&amp;Cube1,$B52,$H$35,$H$36,$H$37,$H$39,I$40,$H$34,$H$38)</f>
        <v>0</v>
      </c>
      <c r="J52" s="58">
        <f ca="1">_xll.DBRW(Server&amp;Cube1,$B52,$H$35,$H$36,$H$37,$H$39,J$40,$H$34,$H$38)</f>
        <v>0</v>
      </c>
      <c r="K52" s="16">
        <f ca="1">_xll.DBRW(Server&amp;Cube1,$B52,$H$35,$H$36,$H$37,$H$39,K$40,$H$34,$H$38)</f>
        <v>0</v>
      </c>
      <c r="L52" s="16">
        <f ca="1">_xll.DBRW(Server&amp;Cube1,$B52,$H$35,$H$36,$H$37,$H$39,L$40,$H$34,$H$38)</f>
        <v>100000000</v>
      </c>
      <c r="M52" s="16">
        <f ca="1">_xll.DBRW(Server&amp;Cube1,$B52,$H$35,$H$36,$H$37,$H$39,M$40,$H$34,$H$38)</f>
        <v>100000000</v>
      </c>
      <c r="N52" s="16">
        <f ca="1">_xll.DBRW(Server&amp;Cube1,$B52,$H$35,$H$36,$H$37,$H$39,N$40,$H$34,$H$38)</f>
        <v>100000000</v>
      </c>
      <c r="O52" s="16">
        <f ca="1">_xll.DBRW(Server&amp;Cube1,$B52,$H$35,$H$36,$H$37,$H$39,O$40,$H$34,$H$38)</f>
        <v>100000000</v>
      </c>
      <c r="P52" s="16">
        <f ca="1">_xll.DBRW(Server&amp;Cube1,$B52,$H$35,$H$36,$H$37,$H$39,P$40,$H$34,$H$38)</f>
        <v>100000000</v>
      </c>
      <c r="Q52" s="3"/>
      <c r="R52" s="59" t="str">
        <f t="shared" ca="1" si="3"/>
        <v/>
      </c>
      <c r="S52" s="38" t="str">
        <f t="shared" ca="1" si="4"/>
        <v/>
      </c>
      <c r="T52" s="27"/>
      <c r="U52" s="27"/>
      <c r="V52" s="27"/>
      <c r="W52" s="27"/>
      <c r="X52" s="27"/>
      <c r="Y52" s="27"/>
      <c r="Z52" s="27"/>
    </row>
    <row r="53" spans="2:26" ht="15.75" hidden="1" outlineLevel="1" x14ac:dyDescent="0.25">
      <c r="B53" t="s">
        <v>53</v>
      </c>
      <c r="E53" s="27"/>
      <c r="F53" s="27"/>
      <c r="G53" s="107" t="str">
        <f ca="1">_xll.DBRA(Server&amp;$W$9,$W$12,$H$27)</f>
        <v>Dont</v>
      </c>
      <c r="H53" s="62" t="str">
        <f ca="1">_xll.DBRA(Server&amp;$B$50,$B53,$H$27)</f>
        <v>Rail léger</v>
      </c>
      <c r="I53" s="57">
        <f ca="1">_xll.DBRW(Server&amp;Cube1,$B53,$H$35,$H$36,$H$37,$H$39,I$40,$H$34,$H$38)</f>
        <v>0</v>
      </c>
      <c r="J53" s="58">
        <f ca="1">_xll.DBRW(Server&amp;Cube1,$B53,$H$35,$H$36,$H$37,$H$39,J$40,$H$34,$H$38)</f>
        <v>0</v>
      </c>
      <c r="K53" s="16">
        <f ca="1">_xll.DBRW(Server&amp;Cube1,$B53,$H$35,$H$36,$H$37,$H$39,K$40,$H$34,$H$38)</f>
        <v>0</v>
      </c>
      <c r="L53" s="16">
        <f ca="1">_xll.DBRW(Server&amp;Cube1,$B53,$H$35,$H$36,$H$37,$H$39,L$40,$H$34,$H$38)</f>
        <v>0</v>
      </c>
      <c r="M53" s="16">
        <f ca="1">_xll.DBRW(Server&amp;Cube1,$B53,$H$35,$H$36,$H$37,$H$39,M$40,$H$34,$H$38)</f>
        <v>0</v>
      </c>
      <c r="N53" s="16">
        <f ca="1">_xll.DBRW(Server&amp;Cube1,$B53,$H$35,$H$36,$H$37,$H$39,N$40,$H$34,$H$38)</f>
        <v>0</v>
      </c>
      <c r="O53" s="16">
        <f ca="1">_xll.DBRW(Server&amp;Cube1,$B53,$H$35,$H$36,$H$37,$H$39,O$40,$H$34,$H$38)</f>
        <v>0</v>
      </c>
      <c r="P53" s="16">
        <f ca="1">_xll.DBRW(Server&amp;Cube1,$B53,$H$35,$H$36,$H$37,$H$39,P$40,$H$34,$H$38)</f>
        <v>0</v>
      </c>
      <c r="Q53" s="3"/>
      <c r="R53" s="59" t="str">
        <f t="shared" ca="1" si="3"/>
        <v/>
      </c>
      <c r="S53" s="38" t="str">
        <f t="shared" ca="1" si="4"/>
        <v/>
      </c>
      <c r="T53" s="27"/>
      <c r="U53" s="27"/>
      <c r="V53" s="27"/>
      <c r="W53" s="27"/>
      <c r="X53" s="27"/>
      <c r="Y53" s="27"/>
      <c r="Z53" s="27"/>
    </row>
    <row r="54" spans="2:26" ht="15.75" hidden="1" outlineLevel="1" x14ac:dyDescent="0.25">
      <c r="B54" t="s">
        <v>42</v>
      </c>
      <c r="E54" s="27"/>
      <c r="F54" s="27"/>
      <c r="G54" s="107" t="str">
        <f ca="1">_xll.DBRA(Server&amp;$W$9,$W$12,$H$27)</f>
        <v>Dont</v>
      </c>
      <c r="H54" s="62" t="str">
        <f ca="1">_xll.DBRA(Server&amp;$B$50,$B54,$H$27)</f>
        <v>Métro</v>
      </c>
      <c r="I54" s="57">
        <f ca="1">_xll.DBRW(Server&amp;Cube1,$B54,$H$35,$H$36,$H$37,$H$39,I$40,$H$34,$H$38)</f>
        <v>0</v>
      </c>
      <c r="J54" s="58">
        <f ca="1">_xll.DBRW(Server&amp;Cube1,$B54,$H$35,$H$36,$H$37,$H$39,J$40,$H$34,$H$38)</f>
        <v>0</v>
      </c>
      <c r="K54" s="16">
        <f ca="1">_xll.DBRW(Server&amp;Cube1,$B54,$H$35,$H$36,$H$37,$H$39,K$40,$H$34,$H$38)</f>
        <v>0</v>
      </c>
      <c r="L54" s="16">
        <f ca="1">_xll.DBRW(Server&amp;Cube1,$B54,$H$35,$H$36,$H$37,$H$39,L$40,$H$34,$H$38)</f>
        <v>0</v>
      </c>
      <c r="M54" s="16">
        <f ca="1">_xll.DBRW(Server&amp;Cube1,$B54,$H$35,$H$36,$H$37,$H$39,M$40,$H$34,$H$38)</f>
        <v>0</v>
      </c>
      <c r="N54" s="16">
        <f ca="1">_xll.DBRW(Server&amp;Cube1,$B54,$H$35,$H$36,$H$37,$H$39,N$40,$H$34,$H$38)</f>
        <v>0</v>
      </c>
      <c r="O54" s="16">
        <f ca="1">_xll.DBRW(Server&amp;Cube1,$B54,$H$35,$H$36,$H$37,$H$39,O$40,$H$34,$H$38)</f>
        <v>0</v>
      </c>
      <c r="P54" s="16">
        <f ca="1">_xll.DBRW(Server&amp;Cube1,$B54,$H$35,$H$36,$H$37,$H$39,P$40,$H$34,$H$38)</f>
        <v>0</v>
      </c>
      <c r="Q54" s="3"/>
      <c r="R54" s="59" t="str">
        <f t="shared" ca="1" si="3"/>
        <v/>
      </c>
      <c r="S54" s="38" t="str">
        <f t="shared" ca="1" si="4"/>
        <v/>
      </c>
      <c r="T54" s="27"/>
      <c r="U54" s="27"/>
      <c r="V54" s="27"/>
      <c r="W54" s="27"/>
      <c r="X54" s="27"/>
      <c r="Y54" s="27"/>
      <c r="Z54" s="27"/>
    </row>
    <row r="55" spans="2:26" ht="15.75" hidden="1" outlineLevel="1" x14ac:dyDescent="0.25">
      <c r="B55" t="s">
        <v>54</v>
      </c>
      <c r="E55" s="27"/>
      <c r="F55" s="27"/>
      <c r="G55" s="107" t="str">
        <f ca="1">_xll.DBRA(Server&amp;$W$9,$W$12,$H$27)</f>
        <v>Dont</v>
      </c>
      <c r="H55" s="62" t="str">
        <f ca="1">_xll.DBRA(Server&amp;$B$50,$B55,$H$27)</f>
        <v>Multi-modal (Urbain)</v>
      </c>
      <c r="I55" s="57">
        <f ca="1">_xll.DBRW(Server&amp;Cube1,$B55,$H$35,$H$36,$H$37,$H$39,I$40,$H$34,$H$38)</f>
        <v>0</v>
      </c>
      <c r="J55" s="58">
        <f ca="1">_xll.DBRW(Server&amp;Cube1,$B55,$H$35,$H$36,$H$37,$H$39,J$40,$H$34,$H$38)</f>
        <v>0</v>
      </c>
      <c r="K55" s="16">
        <f ca="1">_xll.DBRW(Server&amp;Cube1,$B55,$H$35,$H$36,$H$37,$H$39,K$40,$H$34,$H$38)</f>
        <v>0</v>
      </c>
      <c r="L55" s="16">
        <f ca="1">_xll.DBRW(Server&amp;Cube1,$B55,$H$35,$H$36,$H$37,$H$39,L$40,$H$34,$H$38)</f>
        <v>0</v>
      </c>
      <c r="M55" s="16">
        <f ca="1">_xll.DBRW(Server&amp;Cube1,$B55,$H$35,$H$36,$H$37,$H$39,M$40,$H$34,$H$38)</f>
        <v>0</v>
      </c>
      <c r="N55" s="16">
        <f ca="1">_xll.DBRW(Server&amp;Cube1,$B55,$H$35,$H$36,$H$37,$H$39,N$40,$H$34,$H$38)</f>
        <v>0</v>
      </c>
      <c r="O55" s="16">
        <f ca="1">_xll.DBRW(Server&amp;Cube1,$B55,$H$35,$H$36,$H$37,$H$39,O$40,$H$34,$H$38)</f>
        <v>0</v>
      </c>
      <c r="P55" s="16">
        <f ca="1">_xll.DBRW(Server&amp;Cube1,$B55,$H$35,$H$36,$H$37,$H$39,P$40,$H$34,$H$38)</f>
        <v>0</v>
      </c>
      <c r="Q55" s="3"/>
      <c r="R55" s="59" t="str">
        <f t="shared" ca="1" si="3"/>
        <v/>
      </c>
      <c r="S55" s="38" t="str">
        <f t="shared" ca="1" si="4"/>
        <v/>
      </c>
      <c r="T55" s="27"/>
      <c r="U55" s="27"/>
      <c r="V55" s="27"/>
      <c r="W55" s="27"/>
      <c r="X55" s="27"/>
      <c r="Y55" s="27"/>
      <c r="Z55" s="27"/>
    </row>
    <row r="56" spans="2:26" ht="15.75" hidden="1" outlineLevel="1" x14ac:dyDescent="0.25">
      <c r="B56" t="s">
        <v>43</v>
      </c>
      <c r="E56" s="27"/>
      <c r="F56" s="27"/>
      <c r="G56" s="107" t="str">
        <f ca="1">_xll.DBRA(Server&amp;$W$9,$W$12,$H$27)</f>
        <v>Dont</v>
      </c>
      <c r="H56" s="62" t="str">
        <f ca="1">_xll.DBRA(Server&amp;$B$50,$B56,$H$27)</f>
        <v>Vélopartage</v>
      </c>
      <c r="I56" s="57">
        <f ca="1">_xll.DBRW(Server&amp;Cube1,$B56,$H$35,$H$36,$H$37,$H$39,I$40,$H$34,$H$38)</f>
        <v>0</v>
      </c>
      <c r="J56" s="58">
        <f ca="1">_xll.DBRW(Server&amp;Cube1,$B56,$H$35,$H$36,$H$37,$H$39,J$40,$H$34,$H$38)</f>
        <v>0</v>
      </c>
      <c r="K56" s="16">
        <f ca="1">_xll.DBRW(Server&amp;Cube1,$B56,$H$35,$H$36,$H$37,$H$39,K$40,$H$34,$H$38)</f>
        <v>0</v>
      </c>
      <c r="L56" s="16">
        <f ca="1">_xll.DBRW(Server&amp;Cube1,$B56,$H$35,$H$36,$H$37,$H$39,L$40,$H$34,$H$38)</f>
        <v>0</v>
      </c>
      <c r="M56" s="16">
        <f ca="1">_xll.DBRW(Server&amp;Cube1,$B56,$H$35,$H$36,$H$37,$H$39,M$40,$H$34,$H$38)</f>
        <v>0</v>
      </c>
      <c r="N56" s="16">
        <f ca="1">_xll.DBRW(Server&amp;Cube1,$B56,$H$35,$H$36,$H$37,$H$39,N$40,$H$34,$H$38)</f>
        <v>0</v>
      </c>
      <c r="O56" s="16">
        <f ca="1">_xll.DBRW(Server&amp;Cube1,$B56,$H$35,$H$36,$H$37,$H$39,O$40,$H$34,$H$38)</f>
        <v>0</v>
      </c>
      <c r="P56" s="16">
        <f ca="1">_xll.DBRW(Server&amp;Cube1,$B56,$H$35,$H$36,$H$37,$H$39,P$40,$H$34,$H$38)</f>
        <v>0</v>
      </c>
      <c r="Q56" s="3"/>
      <c r="R56" s="59" t="str">
        <f t="shared" ca="1" si="3"/>
        <v/>
      </c>
      <c r="S56" s="38" t="str">
        <f t="shared" ca="1" si="4"/>
        <v/>
      </c>
      <c r="T56" s="27"/>
      <c r="U56" s="27"/>
      <c r="V56" s="27"/>
      <c r="W56" s="27"/>
      <c r="X56" s="27"/>
      <c r="Y56" s="27"/>
      <c r="Z56" s="27"/>
    </row>
    <row r="57" spans="2:26" ht="15.75" hidden="1" outlineLevel="1" x14ac:dyDescent="0.25">
      <c r="B57" t="s">
        <v>44</v>
      </c>
      <c r="E57" s="27"/>
      <c r="F57" s="27"/>
      <c r="G57" s="107" t="str">
        <f ca="1">_xll.DBRA(Server&amp;$W$9,$W$12,$H$27)</f>
        <v>Dont</v>
      </c>
      <c r="H57" s="62" t="str">
        <f ca="1">_xll.DBRA(Server&amp;$B$50,$B57,$H$27)</f>
        <v>Autopartage</v>
      </c>
      <c r="I57" s="57">
        <f ca="1">_xll.DBRW(Server&amp;Cube1,$B57,$H$35,$H$36,$H$37,$H$39,I$40,$H$34,$H$38)</f>
        <v>0</v>
      </c>
      <c r="J57" s="58">
        <f ca="1">_xll.DBRW(Server&amp;Cube1,$B57,$H$35,$H$36,$H$37,$H$39,J$40,$H$34,$H$38)</f>
        <v>0</v>
      </c>
      <c r="K57" s="16">
        <f ca="1">_xll.DBRW(Server&amp;Cube1,$B57,$H$35,$H$36,$H$37,$H$39,K$40,$H$34,$H$38)</f>
        <v>0</v>
      </c>
      <c r="L57" s="16">
        <f ca="1">_xll.DBRW(Server&amp;Cube1,$B57,$H$35,$H$36,$H$37,$H$39,L$40,$H$34,$H$38)</f>
        <v>0</v>
      </c>
      <c r="M57" s="16">
        <f ca="1">_xll.DBRW(Server&amp;Cube1,$B57,$H$35,$H$36,$H$37,$H$39,M$40,$H$34,$H$38)</f>
        <v>0</v>
      </c>
      <c r="N57" s="16">
        <f ca="1">_xll.DBRW(Server&amp;Cube1,$B57,$H$35,$H$36,$H$37,$H$39,N$40,$H$34,$H$38)</f>
        <v>0</v>
      </c>
      <c r="O57" s="16">
        <f ca="1">_xll.DBRW(Server&amp;Cube1,$B57,$H$35,$H$36,$H$37,$H$39,O$40,$H$34,$H$38)</f>
        <v>0</v>
      </c>
      <c r="P57" s="16">
        <f ca="1">_xll.DBRW(Server&amp;Cube1,$B57,$H$35,$H$36,$H$37,$H$39,P$40,$H$34,$H$38)</f>
        <v>0</v>
      </c>
      <c r="Q57" s="3"/>
      <c r="R57" s="59" t="str">
        <f t="shared" ca="1" si="3"/>
        <v/>
      </c>
      <c r="S57" s="38" t="str">
        <f t="shared" ca="1" si="4"/>
        <v/>
      </c>
      <c r="T57" s="27"/>
      <c r="U57" s="27"/>
      <c r="V57" s="27"/>
      <c r="W57" s="27"/>
      <c r="X57" s="27"/>
      <c r="Y57" s="27"/>
      <c r="Z57" s="27"/>
    </row>
    <row r="58" spans="2:26" ht="15.75" hidden="1" outlineLevel="1" x14ac:dyDescent="0.25">
      <c r="B58" t="s">
        <v>55</v>
      </c>
      <c r="E58" s="27"/>
      <c r="F58" s="27"/>
      <c r="G58" s="107" t="str">
        <f ca="1">_xll.DBRA(Server&amp;$W$9,$W$12,$H$27)</f>
        <v>Dont</v>
      </c>
      <c r="H58" s="62" t="str">
        <f ca="1">_xll.DBRA(Server&amp;$B$50,$B58,$H$27)</f>
        <v>Bateau</v>
      </c>
      <c r="I58" s="57">
        <f ca="1">_xll.DBRW(Server&amp;Cube1,$B58,$H$35,$H$36,$H$37,$H$39,I$40,$H$34,$H$38)</f>
        <v>0</v>
      </c>
      <c r="J58" s="58">
        <f ca="1">_xll.DBRW(Server&amp;Cube1,$B58,$H$35,$H$36,$H$37,$H$39,J$40,$H$34,$H$38)</f>
        <v>0</v>
      </c>
      <c r="K58" s="16">
        <f ca="1">_xll.DBRW(Server&amp;Cube1,$B58,$H$35,$H$36,$H$37,$H$39,K$40,$H$34,$H$38)</f>
        <v>0</v>
      </c>
      <c r="L58" s="16">
        <f ca="1">_xll.DBRW(Server&amp;Cube1,$B58,$H$35,$H$36,$H$37,$H$39,L$40,$H$34,$H$38)</f>
        <v>0</v>
      </c>
      <c r="M58" s="16">
        <f ca="1">_xll.DBRW(Server&amp;Cube1,$B58,$H$35,$H$36,$H$37,$H$39,M$40,$H$34,$H$38)</f>
        <v>0</v>
      </c>
      <c r="N58" s="16">
        <f ca="1">_xll.DBRW(Server&amp;Cube1,$B58,$H$35,$H$36,$H$37,$H$39,N$40,$H$34,$H$38)</f>
        <v>0</v>
      </c>
      <c r="O58" s="16">
        <f ca="1">_xll.DBRW(Server&amp;Cube1,$B58,$H$35,$H$36,$H$37,$H$39,O$40,$H$34,$H$38)</f>
        <v>0</v>
      </c>
      <c r="P58" s="16">
        <f ca="1">_xll.DBRW(Server&amp;Cube1,$B58,$H$35,$H$36,$H$37,$H$39,P$40,$H$34,$H$38)</f>
        <v>0</v>
      </c>
      <c r="Q58" s="3"/>
      <c r="R58" s="59" t="str">
        <f t="shared" ca="1" si="3"/>
        <v/>
      </c>
      <c r="S58" s="38" t="str">
        <f t="shared" ca="1" si="4"/>
        <v/>
      </c>
      <c r="T58" s="27"/>
      <c r="U58" s="27"/>
      <c r="V58" s="27"/>
      <c r="W58" s="27"/>
      <c r="X58" s="27"/>
      <c r="Y58" s="27"/>
      <c r="Z58" s="27"/>
    </row>
    <row r="59" spans="2:26" ht="15.75" hidden="1" outlineLevel="1" x14ac:dyDescent="0.25">
      <c r="B59" t="s">
        <v>95</v>
      </c>
      <c r="E59" s="27"/>
      <c r="F59" s="27"/>
      <c r="G59" s="107" t="str">
        <f ca="1">_xll.DBRA(Server&amp;$W$9,$W$12,$H$27)</f>
        <v>Dont</v>
      </c>
      <c r="H59" s="62" t="str">
        <f ca="1">_xll.DBRA(Server&amp;$B$50,$B59,$H$27)</f>
        <v>Urbain - activité technique de saisie</v>
      </c>
      <c r="I59" s="57">
        <f ca="1">_xll.DBRW(Server&amp;Cube1,$B59,$H$35,$H$36,$H$37,$H$39,I$40,$H$34,$H$38)</f>
        <v>0</v>
      </c>
      <c r="J59" s="58">
        <f ca="1">_xll.DBRW(Server&amp;Cube1,$B59,$H$35,$H$36,$H$37,$H$39,J$40,$H$34,$H$38)</f>
        <v>0</v>
      </c>
      <c r="K59" s="16">
        <f ca="1">_xll.DBRW(Server&amp;Cube1,$B59,$H$35,$H$36,$H$37,$H$39,K$40,$H$34,$H$38)</f>
        <v>0</v>
      </c>
      <c r="L59" s="16">
        <f ca="1">_xll.DBRW(Server&amp;Cube1,$B59,$H$35,$H$36,$H$37,$H$39,L$40,$H$34,$H$38)</f>
        <v>0</v>
      </c>
      <c r="M59" s="16">
        <f ca="1">_xll.DBRW(Server&amp;Cube1,$B59,$H$35,$H$36,$H$37,$H$39,M$40,$H$34,$H$38)</f>
        <v>0</v>
      </c>
      <c r="N59" s="16">
        <f ca="1">_xll.DBRW(Server&amp;Cube1,$B59,$H$35,$H$36,$H$37,$H$39,N$40,$H$34,$H$38)</f>
        <v>0</v>
      </c>
      <c r="O59" s="16">
        <f ca="1">_xll.DBRW(Server&amp;Cube1,$B59,$H$35,$H$36,$H$37,$H$39,O$40,$H$34,$H$38)</f>
        <v>0</v>
      </c>
      <c r="P59" s="16">
        <f ca="1">_xll.DBRW(Server&amp;Cube1,$B59,$H$35,$H$36,$H$37,$H$39,P$40,$H$34,$H$38)</f>
        <v>0</v>
      </c>
      <c r="Q59" s="3"/>
      <c r="R59" s="59" t="str">
        <f t="shared" ca="1" si="3"/>
        <v/>
      </c>
      <c r="S59" s="38" t="str">
        <f t="shared" ca="1" si="4"/>
        <v/>
      </c>
      <c r="T59" s="27"/>
      <c r="U59" s="27"/>
      <c r="V59" s="27"/>
      <c r="W59" s="27"/>
      <c r="X59" s="27"/>
      <c r="Y59" s="27"/>
      <c r="Z59" s="27"/>
    </row>
    <row r="60" spans="2:26" ht="15.75" collapsed="1" x14ac:dyDescent="0.25">
      <c r="B60" t="s">
        <v>56</v>
      </c>
      <c r="E60" s="27"/>
      <c r="F60" s="27"/>
      <c r="G60" s="107" t="str">
        <f ca="1">_xll.DBRA(Server&amp;$W$9,$W$12,$H$27)</f>
        <v>Dont</v>
      </c>
      <c r="H60" s="108" t="str">
        <f ca="1">_xll.DBRA(Server&amp;$B$50,$B60,$H$27)</f>
        <v>Périurbain</v>
      </c>
      <c r="I60" s="95">
        <f ca="1">_xll.DBRW(Server&amp;Cube1,$B60,$H$35,$H$36,$H$37,$H$39,I$40,$H$34,$H$38)</f>
        <v>0</v>
      </c>
      <c r="J60" s="96">
        <f ca="1">_xll.DBRW(Server&amp;Cube1,$B60,$H$35,$H$36,$H$37,$H$39,J$40,$H$34,$H$38)</f>
        <v>0</v>
      </c>
      <c r="K60" s="109">
        <f ca="1">_xll.DBRW(Server&amp;Cube1,$B60,$H$35,$H$36,$H$37,$H$39,K$40,$H$34,$H$38)</f>
        <v>0</v>
      </c>
      <c r="L60" s="109">
        <f ca="1">_xll.DBRW(Server&amp;Cube1,$B60,$H$35,$H$36,$H$37,$H$39,L$40,$H$34,$H$38)</f>
        <v>0</v>
      </c>
      <c r="M60" s="109">
        <f ca="1">_xll.DBRW(Server&amp;Cube1,$B60,$H$35,$H$36,$H$37,$H$39,M$40,$H$34,$H$38)</f>
        <v>0</v>
      </c>
      <c r="N60" s="109">
        <f ca="1">_xll.DBRW(Server&amp;Cube1,$B60,$H$35,$H$36,$H$37,$H$39,N$40,$H$34,$H$38)</f>
        <v>0</v>
      </c>
      <c r="O60" s="109">
        <f ca="1">_xll.DBRW(Server&amp;Cube1,$B60,$H$35,$H$36,$H$37,$H$39,O$40,$H$34,$H$38)</f>
        <v>0</v>
      </c>
      <c r="P60" s="109">
        <f ca="1">_xll.DBRW(Server&amp;Cube1,$B60,$H$35,$H$36,$H$37,$H$39,P$40,$H$34,$H$38)</f>
        <v>0</v>
      </c>
      <c r="Q60" s="3"/>
      <c r="R60" s="97" t="str">
        <f t="shared" ca="1" si="3"/>
        <v/>
      </c>
      <c r="S60" s="98" t="str">
        <f t="shared" ca="1" si="4"/>
        <v/>
      </c>
      <c r="T60" s="27"/>
      <c r="U60" s="27"/>
      <c r="V60" s="27"/>
      <c r="W60" s="27"/>
      <c r="X60" s="27"/>
      <c r="Y60" s="27"/>
      <c r="Z60" s="27"/>
    </row>
    <row r="61" spans="2:26" ht="15.75" hidden="1" outlineLevel="1" x14ac:dyDescent="0.25">
      <c r="B61" t="s">
        <v>57</v>
      </c>
      <c r="E61" s="27"/>
      <c r="F61" s="27"/>
      <c r="G61" s="107" t="str">
        <f ca="1">_xll.DBRA(Server&amp;$W$9,$W$12,$H$27)</f>
        <v>Dont</v>
      </c>
      <c r="H61" s="62" t="str">
        <f ca="1">_xll.DBRA(Server&amp;$B$50,$B61,$H$27)</f>
        <v>Bus/Car (Périurbain)</v>
      </c>
      <c r="I61" s="57">
        <f ca="1">_xll.DBRW(Server&amp;Cube1,$B61,$H$35,$H$36,$H$37,$H$39,I$40,$H$34,$H$38)</f>
        <v>0</v>
      </c>
      <c r="J61" s="58">
        <f ca="1">_xll.DBRW(Server&amp;Cube1,$B61,$H$35,$H$36,$H$37,$H$39,J$40,$H$34,$H$38)</f>
        <v>0</v>
      </c>
      <c r="K61" s="16">
        <f ca="1">_xll.DBRW(Server&amp;Cube1,$B61,$H$35,$H$36,$H$37,$H$39,K$40,$H$34,$H$38)</f>
        <v>0</v>
      </c>
      <c r="L61" s="16">
        <f ca="1">_xll.DBRW(Server&amp;Cube1,$B61,$H$35,$H$36,$H$37,$H$39,L$40,$H$34,$H$38)</f>
        <v>0</v>
      </c>
      <c r="M61" s="16">
        <f ca="1">_xll.DBRW(Server&amp;Cube1,$B61,$H$35,$H$36,$H$37,$H$39,M$40,$H$34,$H$38)</f>
        <v>0</v>
      </c>
      <c r="N61" s="16">
        <f ca="1">_xll.DBRW(Server&amp;Cube1,$B61,$H$35,$H$36,$H$37,$H$39,N$40,$H$34,$H$38)</f>
        <v>0</v>
      </c>
      <c r="O61" s="16">
        <f ca="1">_xll.DBRW(Server&amp;Cube1,$B61,$H$35,$H$36,$H$37,$H$39,O$40,$H$34,$H$38)</f>
        <v>0</v>
      </c>
      <c r="P61" s="16">
        <f ca="1">_xll.DBRW(Server&amp;Cube1,$B61,$H$35,$H$36,$H$37,$H$39,P$40,$H$34,$H$38)</f>
        <v>0</v>
      </c>
      <c r="Q61" s="3"/>
      <c r="R61" s="59" t="str">
        <f t="shared" ca="1" si="3"/>
        <v/>
      </c>
      <c r="S61" s="38" t="str">
        <f t="shared" ca="1" si="4"/>
        <v/>
      </c>
      <c r="T61" s="27"/>
      <c r="U61" s="27"/>
      <c r="V61" s="27"/>
      <c r="W61" s="27"/>
      <c r="X61" s="27"/>
      <c r="Y61" s="27"/>
      <c r="Z61" s="27"/>
    </row>
    <row r="62" spans="2:26" ht="15.75" hidden="1" outlineLevel="1" x14ac:dyDescent="0.25">
      <c r="B62" t="s">
        <v>58</v>
      </c>
      <c r="E62" s="27"/>
      <c r="F62" s="27"/>
      <c r="G62" s="107" t="str">
        <f ca="1">_xll.DBRA(Server&amp;$W$9,$W$12,$H$27)</f>
        <v>Dont</v>
      </c>
      <c r="H62" s="62" t="str">
        <f ca="1">_xll.DBRA(Server&amp;$B$50,$B62,$H$27)</f>
        <v>Rail lourd (Périurbain)</v>
      </c>
      <c r="I62" s="57">
        <f ca="1">_xll.DBRW(Server&amp;Cube1,$B62,$H$35,$H$36,$H$37,$H$39,I$40,$H$34,$H$38)</f>
        <v>0</v>
      </c>
      <c r="J62" s="58">
        <f ca="1">_xll.DBRW(Server&amp;Cube1,$B62,$H$35,$H$36,$H$37,$H$39,J$40,$H$34,$H$38)</f>
        <v>0</v>
      </c>
      <c r="K62" s="16">
        <f ca="1">_xll.DBRW(Server&amp;Cube1,$B62,$H$35,$H$36,$H$37,$H$39,K$40,$H$34,$H$38)</f>
        <v>0</v>
      </c>
      <c r="L62" s="16">
        <f ca="1">_xll.DBRW(Server&amp;Cube1,$B62,$H$35,$H$36,$H$37,$H$39,L$40,$H$34,$H$38)</f>
        <v>0</v>
      </c>
      <c r="M62" s="16">
        <f ca="1">_xll.DBRW(Server&amp;Cube1,$B62,$H$35,$H$36,$H$37,$H$39,M$40,$H$34,$H$38)</f>
        <v>0</v>
      </c>
      <c r="N62" s="16">
        <f ca="1">_xll.DBRW(Server&amp;Cube1,$B62,$H$35,$H$36,$H$37,$H$39,N$40,$H$34,$H$38)</f>
        <v>0</v>
      </c>
      <c r="O62" s="16">
        <f ca="1">_xll.DBRW(Server&amp;Cube1,$B62,$H$35,$H$36,$H$37,$H$39,O$40,$H$34,$H$38)</f>
        <v>0</v>
      </c>
      <c r="P62" s="16">
        <f ca="1">_xll.DBRW(Server&amp;Cube1,$B62,$H$35,$H$36,$H$37,$H$39,P$40,$H$34,$H$38)</f>
        <v>0</v>
      </c>
      <c r="Q62" s="3"/>
      <c r="R62" s="59" t="str">
        <f t="shared" ca="1" si="3"/>
        <v/>
      </c>
      <c r="S62" s="38" t="str">
        <f t="shared" ca="1" si="4"/>
        <v/>
      </c>
      <c r="T62" s="27"/>
      <c r="U62" s="27"/>
      <c r="V62" s="27"/>
      <c r="W62" s="27"/>
      <c r="X62" s="27"/>
      <c r="Y62" s="27"/>
      <c r="Z62" s="27"/>
    </row>
    <row r="63" spans="2:26" ht="15.75" hidden="1" outlineLevel="1" x14ac:dyDescent="0.25">
      <c r="B63" t="s">
        <v>59</v>
      </c>
      <c r="E63" s="27"/>
      <c r="F63" s="27"/>
      <c r="G63" s="107" t="str">
        <f ca="1">_xll.DBRA(Server&amp;$W$9,$W$12,$H$27)</f>
        <v>Dont</v>
      </c>
      <c r="H63" s="62" t="str">
        <f ca="1">_xll.DBRA(Server&amp;$B$50,$B63,$H$27)</f>
        <v>Multi-modal (Périurbain)</v>
      </c>
      <c r="I63" s="57">
        <f ca="1">_xll.DBRW(Server&amp;Cube1,$B63,$H$35,$H$36,$H$37,$H$39,I$40,$H$34,$H$38)</f>
        <v>0</v>
      </c>
      <c r="J63" s="58">
        <f ca="1">_xll.DBRW(Server&amp;Cube1,$B63,$H$35,$H$36,$H$37,$H$39,J$40,$H$34,$H$38)</f>
        <v>0</v>
      </c>
      <c r="K63" s="16">
        <f ca="1">_xll.DBRW(Server&amp;Cube1,$B63,$H$35,$H$36,$H$37,$H$39,K$40,$H$34,$H$38)</f>
        <v>0</v>
      </c>
      <c r="L63" s="16">
        <f ca="1">_xll.DBRW(Server&amp;Cube1,$B63,$H$35,$H$36,$H$37,$H$39,L$40,$H$34,$H$38)</f>
        <v>0</v>
      </c>
      <c r="M63" s="16">
        <f ca="1">_xll.DBRW(Server&amp;Cube1,$B63,$H$35,$H$36,$H$37,$H$39,M$40,$H$34,$H$38)</f>
        <v>0</v>
      </c>
      <c r="N63" s="16">
        <f ca="1">_xll.DBRW(Server&amp;Cube1,$B63,$H$35,$H$36,$H$37,$H$39,N$40,$H$34,$H$38)</f>
        <v>0</v>
      </c>
      <c r="O63" s="16">
        <f ca="1">_xll.DBRW(Server&amp;Cube1,$B63,$H$35,$H$36,$H$37,$H$39,O$40,$H$34,$H$38)</f>
        <v>0</v>
      </c>
      <c r="P63" s="16">
        <f ca="1">_xll.DBRW(Server&amp;Cube1,$B63,$H$35,$H$36,$H$37,$H$39,P$40,$H$34,$H$38)</f>
        <v>0</v>
      </c>
      <c r="Q63" s="3"/>
      <c r="R63" s="59" t="str">
        <f t="shared" ca="1" si="3"/>
        <v/>
      </c>
      <c r="S63" s="38" t="str">
        <f t="shared" ca="1" si="4"/>
        <v/>
      </c>
      <c r="T63" s="27"/>
      <c r="U63" s="27"/>
      <c r="V63" s="27"/>
      <c r="W63" s="27"/>
      <c r="X63" s="27"/>
      <c r="Y63" s="27"/>
      <c r="Z63" s="27"/>
    </row>
    <row r="64" spans="2:26" ht="15.75" hidden="1" outlineLevel="1" x14ac:dyDescent="0.25">
      <c r="B64" t="s">
        <v>96</v>
      </c>
      <c r="E64" s="27"/>
      <c r="F64" s="27"/>
      <c r="G64" s="107" t="str">
        <f ca="1">_xll.DBRA(Server&amp;$W$9,$W$12,$H$27)</f>
        <v>Dont</v>
      </c>
      <c r="H64" s="62" t="str">
        <f ca="1">_xll.DBRA(Server&amp;$B$50,$B64,$H$27)</f>
        <v>Périurbain - Activité technique de saisie</v>
      </c>
      <c r="I64" s="57">
        <f ca="1">_xll.DBRW(Server&amp;Cube1,$B64,$H$35,$H$36,$H$37,$H$39,I$40,$H$34,$H$38)</f>
        <v>0</v>
      </c>
      <c r="J64" s="58">
        <f ca="1">_xll.DBRW(Server&amp;Cube1,$B64,$H$35,$H$36,$H$37,$H$39,J$40,$H$34,$H$38)</f>
        <v>0</v>
      </c>
      <c r="K64" s="16">
        <f ca="1">_xll.DBRW(Server&amp;Cube1,$B64,$H$35,$H$36,$H$37,$H$39,K$40,$H$34,$H$38)</f>
        <v>0</v>
      </c>
      <c r="L64" s="16">
        <f ca="1">_xll.DBRW(Server&amp;Cube1,$B64,$H$35,$H$36,$H$37,$H$39,L$40,$H$34,$H$38)</f>
        <v>0</v>
      </c>
      <c r="M64" s="16">
        <f ca="1">_xll.DBRW(Server&amp;Cube1,$B64,$H$35,$H$36,$H$37,$H$39,M$40,$H$34,$H$38)</f>
        <v>0</v>
      </c>
      <c r="N64" s="16">
        <f ca="1">_xll.DBRW(Server&amp;Cube1,$B64,$H$35,$H$36,$H$37,$H$39,N$40,$H$34,$H$38)</f>
        <v>0</v>
      </c>
      <c r="O64" s="16">
        <f ca="1">_xll.DBRW(Server&amp;Cube1,$B64,$H$35,$H$36,$H$37,$H$39,O$40,$H$34,$H$38)</f>
        <v>0</v>
      </c>
      <c r="P64" s="16">
        <f ca="1">_xll.DBRW(Server&amp;Cube1,$B64,$H$35,$H$36,$H$37,$H$39,P$40,$H$34,$H$38)</f>
        <v>0</v>
      </c>
      <c r="Q64" s="3"/>
      <c r="R64" s="59" t="str">
        <f t="shared" ca="1" si="3"/>
        <v/>
      </c>
      <c r="S64" s="38" t="str">
        <f t="shared" ca="1" si="4"/>
        <v/>
      </c>
      <c r="T64" s="27"/>
      <c r="U64" s="27"/>
      <c r="V64" s="27"/>
      <c r="W64" s="27"/>
      <c r="X64" s="27"/>
      <c r="Y64" s="27"/>
      <c r="Z64" s="27"/>
    </row>
    <row r="65" spans="2:26" ht="15.75" collapsed="1" x14ac:dyDescent="0.25">
      <c r="B65" t="s">
        <v>60</v>
      </c>
      <c r="E65" s="27"/>
      <c r="F65" s="27"/>
      <c r="G65" s="107" t="str">
        <f ca="1">_xll.DBRA(Server&amp;$W$9,$W$12,$H$27)</f>
        <v>Dont</v>
      </c>
      <c r="H65" s="108" t="str">
        <f ca="1">_xll.DBRA(Server&amp;$B$50,$B65,$H$27)</f>
        <v>Transport à la demande subventionné</v>
      </c>
      <c r="I65" s="95">
        <f ca="1">_xll.DBRW(Server&amp;Cube1,$B65,$H$35,$H$36,$H$37,$H$39,I$40,$H$34,$H$38)</f>
        <v>0</v>
      </c>
      <c r="J65" s="96">
        <f ca="1">_xll.DBRW(Server&amp;Cube1,$B65,$H$35,$H$36,$H$37,$H$39,J$40,$H$34,$H$38)</f>
        <v>0</v>
      </c>
      <c r="K65" s="109">
        <f ca="1">_xll.DBRW(Server&amp;Cube1,$B65,$H$35,$H$36,$H$37,$H$39,K$40,$H$34,$H$38)</f>
        <v>0</v>
      </c>
      <c r="L65" s="109">
        <f ca="1">_xll.DBRW(Server&amp;Cube1,$B65,$H$35,$H$36,$H$37,$H$39,L$40,$H$34,$H$38)</f>
        <v>0</v>
      </c>
      <c r="M65" s="109">
        <f ca="1">_xll.DBRW(Server&amp;Cube1,$B65,$H$35,$H$36,$H$37,$H$39,M$40,$H$34,$H$38)</f>
        <v>0</v>
      </c>
      <c r="N65" s="109">
        <f ca="1">_xll.DBRW(Server&amp;Cube1,$B65,$H$35,$H$36,$H$37,$H$39,N$40,$H$34,$H$38)</f>
        <v>0</v>
      </c>
      <c r="O65" s="109">
        <f ca="1">_xll.DBRW(Server&amp;Cube1,$B65,$H$35,$H$36,$H$37,$H$39,O$40,$H$34,$H$38)</f>
        <v>0</v>
      </c>
      <c r="P65" s="109">
        <f ca="1">_xll.DBRW(Server&amp;Cube1,$B65,$H$35,$H$36,$H$37,$H$39,P$40,$H$34,$H$38)</f>
        <v>0</v>
      </c>
      <c r="Q65" s="3"/>
      <c r="R65" s="97" t="str">
        <f t="shared" ca="1" si="3"/>
        <v/>
      </c>
      <c r="S65" s="98" t="str">
        <f t="shared" ca="1" si="4"/>
        <v/>
      </c>
      <c r="T65" s="27"/>
      <c r="U65" s="27"/>
      <c r="V65" s="27"/>
      <c r="W65" s="27"/>
      <c r="X65" s="27"/>
      <c r="Y65" s="27"/>
      <c r="Z65" s="27"/>
    </row>
    <row r="66" spans="2:26" ht="15.75" hidden="1" outlineLevel="1" x14ac:dyDescent="0.25">
      <c r="B66" t="s">
        <v>61</v>
      </c>
      <c r="E66" s="27"/>
      <c r="F66" s="27"/>
      <c r="G66" s="107" t="str">
        <f ca="1">_xll.DBRA(Server&amp;$W$9,$W$12,$H$27)</f>
        <v>Dont</v>
      </c>
      <c r="H66" s="62" t="str">
        <f ca="1">_xll.DBRA(Server&amp;$B$50,$B66,$H$27)</f>
        <v>Paratransit</v>
      </c>
      <c r="I66" s="57">
        <f ca="1">_xll.DBRW(Server&amp;Cube1,$B66,$H$35,$H$36,$H$37,$H$39,I$40,$H$34,$H$38)</f>
        <v>0</v>
      </c>
      <c r="J66" s="58">
        <f ca="1">_xll.DBRW(Server&amp;Cube1,$B66,$H$35,$H$36,$H$37,$H$39,J$40,$H$34,$H$38)</f>
        <v>0</v>
      </c>
      <c r="K66" s="16">
        <f ca="1">_xll.DBRW(Server&amp;Cube1,$B66,$H$35,$H$36,$H$37,$H$39,K$40,$H$34,$H$38)</f>
        <v>0</v>
      </c>
      <c r="L66" s="16">
        <f ca="1">_xll.DBRW(Server&amp;Cube1,$B66,$H$35,$H$36,$H$37,$H$39,L$40,$H$34,$H$38)</f>
        <v>0</v>
      </c>
      <c r="M66" s="16">
        <f ca="1">_xll.DBRW(Server&amp;Cube1,$B66,$H$35,$H$36,$H$37,$H$39,M$40,$H$34,$H$38)</f>
        <v>0</v>
      </c>
      <c r="N66" s="16">
        <f ca="1">_xll.DBRW(Server&amp;Cube1,$B66,$H$35,$H$36,$H$37,$H$39,N$40,$H$34,$H$38)</f>
        <v>0</v>
      </c>
      <c r="O66" s="16">
        <f ca="1">_xll.DBRW(Server&amp;Cube1,$B66,$H$35,$H$36,$H$37,$H$39,O$40,$H$34,$H$38)</f>
        <v>0</v>
      </c>
      <c r="P66" s="16">
        <f ca="1">_xll.DBRW(Server&amp;Cube1,$B66,$H$35,$H$36,$H$37,$H$39,P$40,$H$34,$H$38)</f>
        <v>0</v>
      </c>
      <c r="Q66" s="3"/>
      <c r="R66" s="59" t="str">
        <f t="shared" ca="1" si="3"/>
        <v/>
      </c>
      <c r="S66" s="38" t="str">
        <f t="shared" ca="1" si="4"/>
        <v/>
      </c>
      <c r="T66" s="27"/>
      <c r="U66" s="27"/>
      <c r="V66" s="27"/>
      <c r="W66" s="27"/>
      <c r="X66" s="27"/>
      <c r="Y66" s="27"/>
      <c r="Z66" s="27"/>
    </row>
    <row r="67" spans="2:26" ht="15.75" hidden="1" outlineLevel="1" x14ac:dyDescent="0.25">
      <c r="B67" t="s">
        <v>62</v>
      </c>
      <c r="E67" s="27"/>
      <c r="F67" s="27"/>
      <c r="G67" s="107" t="str">
        <f ca="1">_xll.DBRA(Server&amp;$W$9,$W$12,$H$27)</f>
        <v>Dont</v>
      </c>
      <c r="H67" s="62" t="str">
        <f ca="1">_xll.DBRA(Server&amp;$B$50,$B67,$H$27)</f>
        <v>Ambulance</v>
      </c>
      <c r="I67" s="57">
        <f ca="1">_xll.DBRW(Server&amp;Cube1,$B67,$H$35,$H$36,$H$37,$H$39,I$40,$H$34,$H$38)</f>
        <v>0</v>
      </c>
      <c r="J67" s="58">
        <f ca="1">_xll.DBRW(Server&amp;Cube1,$B67,$H$35,$H$36,$H$37,$H$39,J$40,$H$34,$H$38)</f>
        <v>0</v>
      </c>
      <c r="K67" s="16">
        <f ca="1">_xll.DBRW(Server&amp;Cube1,$B67,$H$35,$H$36,$H$37,$H$39,K$40,$H$34,$H$38)</f>
        <v>0</v>
      </c>
      <c r="L67" s="16">
        <f ca="1">_xll.DBRW(Server&amp;Cube1,$B67,$H$35,$H$36,$H$37,$H$39,L$40,$H$34,$H$38)</f>
        <v>0</v>
      </c>
      <c r="M67" s="16">
        <f ca="1">_xll.DBRW(Server&amp;Cube1,$B67,$H$35,$H$36,$H$37,$H$39,M$40,$H$34,$H$38)</f>
        <v>0</v>
      </c>
      <c r="N67" s="16">
        <f ca="1">_xll.DBRW(Server&amp;Cube1,$B67,$H$35,$H$36,$H$37,$H$39,N$40,$H$34,$H$38)</f>
        <v>0</v>
      </c>
      <c r="O67" s="16">
        <f ca="1">_xll.DBRW(Server&amp;Cube1,$B67,$H$35,$H$36,$H$37,$H$39,O$40,$H$34,$H$38)</f>
        <v>0</v>
      </c>
      <c r="P67" s="16">
        <f ca="1">_xll.DBRW(Server&amp;Cube1,$B67,$H$35,$H$36,$H$37,$H$39,P$40,$H$34,$H$38)</f>
        <v>0</v>
      </c>
      <c r="Q67" s="3"/>
      <c r="R67" s="59" t="str">
        <f t="shared" ca="1" si="3"/>
        <v/>
      </c>
      <c r="S67" s="38" t="str">
        <f t="shared" ca="1" si="4"/>
        <v/>
      </c>
      <c r="T67" s="27"/>
      <c r="U67" s="27"/>
      <c r="V67" s="27"/>
      <c r="W67" s="27"/>
      <c r="X67" s="27"/>
      <c r="Y67" s="27"/>
      <c r="Z67" s="27"/>
    </row>
    <row r="68" spans="2:26" ht="15.75" hidden="1" outlineLevel="1" x14ac:dyDescent="0.25">
      <c r="B68" t="s">
        <v>97</v>
      </c>
      <c r="E68" s="27"/>
      <c r="F68" s="27"/>
      <c r="G68" s="107" t="str">
        <f ca="1">_xll.DBRA(Server&amp;$W$9,$W$12,$H$27)</f>
        <v>Dont</v>
      </c>
      <c r="H68" s="62" t="str">
        <f ca="1">_xll.DBRA(Server&amp;$B$50,$B68,$H$27)</f>
        <v>Transport à la demande subventionné - Activité technique de saisie</v>
      </c>
      <c r="I68" s="57">
        <f ca="1">_xll.DBRW(Server&amp;Cube1,$B68,$H$35,$H$36,$H$37,$H$39,I$40,$H$34,$H$38)</f>
        <v>0</v>
      </c>
      <c r="J68" s="58">
        <f ca="1">_xll.DBRW(Server&amp;Cube1,$B68,$H$35,$H$36,$H$37,$H$39,J$40,$H$34,$H$38)</f>
        <v>0</v>
      </c>
      <c r="K68" s="16">
        <f ca="1">_xll.DBRW(Server&amp;Cube1,$B68,$H$35,$H$36,$H$37,$H$39,K$40,$H$34,$H$38)</f>
        <v>0</v>
      </c>
      <c r="L68" s="16">
        <f ca="1">_xll.DBRW(Server&amp;Cube1,$B68,$H$35,$H$36,$H$37,$H$39,L$40,$H$34,$H$38)</f>
        <v>0</v>
      </c>
      <c r="M68" s="16">
        <f ca="1">_xll.DBRW(Server&amp;Cube1,$B68,$H$35,$H$36,$H$37,$H$39,M$40,$H$34,$H$38)</f>
        <v>0</v>
      </c>
      <c r="N68" s="16">
        <f ca="1">_xll.DBRW(Server&amp;Cube1,$B68,$H$35,$H$36,$H$37,$H$39,N$40,$H$34,$H$38)</f>
        <v>0</v>
      </c>
      <c r="O68" s="16">
        <f ca="1">_xll.DBRW(Server&amp;Cube1,$B68,$H$35,$H$36,$H$37,$H$39,O$40,$H$34,$H$38)</f>
        <v>0</v>
      </c>
      <c r="P68" s="16">
        <f ca="1">_xll.DBRW(Server&amp;Cube1,$B68,$H$35,$H$36,$H$37,$H$39,P$40,$H$34,$H$38)</f>
        <v>0</v>
      </c>
      <c r="Q68" s="3"/>
      <c r="R68" s="59" t="str">
        <f t="shared" ca="1" si="3"/>
        <v/>
      </c>
      <c r="S68" s="38" t="str">
        <f t="shared" ca="1" si="4"/>
        <v/>
      </c>
      <c r="T68" s="27"/>
      <c r="U68" s="27"/>
      <c r="V68" s="27"/>
      <c r="W68" s="27"/>
      <c r="X68" s="27"/>
      <c r="Y68" s="27"/>
      <c r="Z68" s="27"/>
    </row>
    <row r="69" spans="2:26" ht="15.75" collapsed="1" x14ac:dyDescent="0.25">
      <c r="B69" t="s">
        <v>63</v>
      </c>
      <c r="E69" s="27"/>
      <c r="F69" s="27"/>
      <c r="G69" s="107" t="str">
        <f ca="1">_xll.DBRA(Server&amp;$W$9,$W$12,$H$27)</f>
        <v>Dont</v>
      </c>
      <c r="H69" s="108" t="str">
        <f ca="1">_xll.DBRA(Server&amp;$B$50,$B69,$H$27)</f>
        <v>Interurbain</v>
      </c>
      <c r="I69" s="95">
        <f ca="1">_xll.DBRW(Server&amp;Cube1,$B69,$H$35,$H$36,$H$37,$H$39,I$40,$H$34,$H$38)</f>
        <v>0</v>
      </c>
      <c r="J69" s="96">
        <f ca="1">_xll.DBRW(Server&amp;Cube1,$B69,$H$35,$H$36,$H$37,$H$39,J$40,$H$34,$H$38)</f>
        <v>0</v>
      </c>
      <c r="K69" s="109">
        <f ca="1">_xll.DBRW(Server&amp;Cube1,$B69,$H$35,$H$36,$H$37,$H$39,K$40,$H$34,$H$38)</f>
        <v>0</v>
      </c>
      <c r="L69" s="109">
        <f ca="1">_xll.DBRW(Server&amp;Cube1,$B69,$H$35,$H$36,$H$37,$H$39,L$40,$H$34,$H$38)</f>
        <v>0</v>
      </c>
      <c r="M69" s="109">
        <f ca="1">_xll.DBRW(Server&amp;Cube1,$B69,$H$35,$H$36,$H$37,$H$39,M$40,$H$34,$H$38)</f>
        <v>0</v>
      </c>
      <c r="N69" s="109">
        <f ca="1">_xll.DBRW(Server&amp;Cube1,$B69,$H$35,$H$36,$H$37,$H$39,N$40,$H$34,$H$38)</f>
        <v>0</v>
      </c>
      <c r="O69" s="109">
        <f ca="1">_xll.DBRW(Server&amp;Cube1,$B69,$H$35,$H$36,$H$37,$H$39,O$40,$H$34,$H$38)</f>
        <v>0</v>
      </c>
      <c r="P69" s="109">
        <f ca="1">_xll.DBRW(Server&amp;Cube1,$B69,$H$35,$H$36,$H$37,$H$39,P$40,$H$34,$H$38)</f>
        <v>0</v>
      </c>
      <c r="Q69" s="3"/>
      <c r="R69" s="97" t="str">
        <f t="shared" ca="1" si="3"/>
        <v/>
      </c>
      <c r="S69" s="98" t="str">
        <f t="shared" ca="1" si="4"/>
        <v/>
      </c>
      <c r="T69" s="27"/>
      <c r="U69" s="27"/>
      <c r="V69" s="27"/>
      <c r="W69" s="27"/>
      <c r="X69" s="27"/>
      <c r="Y69" s="27"/>
      <c r="Z69" s="27"/>
    </row>
    <row r="70" spans="2:26" ht="15.75" hidden="1" outlineLevel="1" x14ac:dyDescent="0.25">
      <c r="B70" t="s">
        <v>64</v>
      </c>
      <c r="E70" s="27"/>
      <c r="F70" s="27"/>
      <c r="G70" s="107" t="str">
        <f ca="1">_xll.DBRA(Server&amp;$W$9,$W$12,$H$27)</f>
        <v>Dont</v>
      </c>
      <c r="H70" s="62" t="str">
        <f ca="1">_xll.DBRA(Server&amp;$B$50,$B70,$H$27)</f>
        <v>Transport scolaire</v>
      </c>
      <c r="I70" s="57">
        <f ca="1">_xll.DBRW(Server&amp;Cube1,$B70,$H$35,$H$36,$H$37,$H$39,I$40,$H$34,$H$38)</f>
        <v>0</v>
      </c>
      <c r="J70" s="58">
        <f ca="1">_xll.DBRW(Server&amp;Cube1,$B70,$H$35,$H$36,$H$37,$H$39,J$40,$H$34,$H$38)</f>
        <v>0</v>
      </c>
      <c r="K70" s="16">
        <f ca="1">_xll.DBRW(Server&amp;Cube1,$B70,$H$35,$H$36,$H$37,$H$39,K$40,$H$34,$H$38)</f>
        <v>0</v>
      </c>
      <c r="L70" s="16">
        <f ca="1">_xll.DBRW(Server&amp;Cube1,$B70,$H$35,$H$36,$H$37,$H$39,L$40,$H$34,$H$38)</f>
        <v>0</v>
      </c>
      <c r="M70" s="16">
        <f ca="1">_xll.DBRW(Server&amp;Cube1,$B70,$H$35,$H$36,$H$37,$H$39,M$40,$H$34,$H$38)</f>
        <v>0</v>
      </c>
      <c r="N70" s="16">
        <f ca="1">_xll.DBRW(Server&amp;Cube1,$B70,$H$35,$H$36,$H$37,$H$39,N$40,$H$34,$H$38)</f>
        <v>0</v>
      </c>
      <c r="O70" s="16">
        <f ca="1">_xll.DBRW(Server&amp;Cube1,$B70,$H$35,$H$36,$H$37,$H$39,O$40,$H$34,$H$38)</f>
        <v>0</v>
      </c>
      <c r="P70" s="16">
        <f ca="1">_xll.DBRW(Server&amp;Cube1,$B70,$H$35,$H$36,$H$37,$H$39,P$40,$H$34,$H$38)</f>
        <v>0</v>
      </c>
      <c r="Q70" s="3"/>
      <c r="R70" s="59" t="str">
        <f t="shared" ca="1" si="3"/>
        <v/>
      </c>
      <c r="S70" s="38" t="str">
        <f t="shared" ca="1" si="4"/>
        <v/>
      </c>
      <c r="T70" s="27"/>
      <c r="U70" s="27"/>
      <c r="V70" s="27"/>
      <c r="W70" s="27"/>
      <c r="X70" s="27"/>
      <c r="Y70" s="27"/>
      <c r="Z70" s="27"/>
    </row>
    <row r="71" spans="2:26" ht="15.75" hidden="1" outlineLevel="1" x14ac:dyDescent="0.25">
      <c r="B71" t="s">
        <v>65</v>
      </c>
      <c r="E71" s="27"/>
      <c r="F71" s="27"/>
      <c r="G71" s="107" t="str">
        <f ca="1">_xll.DBRA(Server&amp;$W$9,$W$12,$H$27)</f>
        <v>Dont</v>
      </c>
      <c r="H71" s="62" t="str">
        <f ca="1">_xll.DBRA(Server&amp;$B$50,$B71,$H$27)</f>
        <v>Lignes régulières</v>
      </c>
      <c r="I71" s="57">
        <f ca="1">_xll.DBRW(Server&amp;Cube1,$B71,$H$35,$H$36,$H$37,$H$39,I$40,$H$34,$H$38)</f>
        <v>0</v>
      </c>
      <c r="J71" s="58">
        <f ca="1">_xll.DBRW(Server&amp;Cube1,$B71,$H$35,$H$36,$H$37,$H$39,J$40,$H$34,$H$38)</f>
        <v>0</v>
      </c>
      <c r="K71" s="16">
        <f ca="1">_xll.DBRW(Server&amp;Cube1,$B71,$H$35,$H$36,$H$37,$H$39,K$40,$H$34,$H$38)</f>
        <v>0</v>
      </c>
      <c r="L71" s="16">
        <f ca="1">_xll.DBRW(Server&amp;Cube1,$B71,$H$35,$H$36,$H$37,$H$39,L$40,$H$34,$H$38)</f>
        <v>0</v>
      </c>
      <c r="M71" s="16">
        <f ca="1">_xll.DBRW(Server&amp;Cube1,$B71,$H$35,$H$36,$H$37,$H$39,M$40,$H$34,$H$38)</f>
        <v>0</v>
      </c>
      <c r="N71" s="16">
        <f ca="1">_xll.DBRW(Server&amp;Cube1,$B71,$H$35,$H$36,$H$37,$H$39,N$40,$H$34,$H$38)</f>
        <v>0</v>
      </c>
      <c r="O71" s="16">
        <f ca="1">_xll.DBRW(Server&amp;Cube1,$B71,$H$35,$H$36,$H$37,$H$39,O$40,$H$34,$H$38)</f>
        <v>0</v>
      </c>
      <c r="P71" s="16">
        <f ca="1">_xll.DBRW(Server&amp;Cube1,$B71,$H$35,$H$36,$H$37,$H$39,P$40,$H$34,$H$38)</f>
        <v>0</v>
      </c>
      <c r="Q71" s="3"/>
      <c r="R71" s="59" t="str">
        <f t="shared" ca="1" si="3"/>
        <v/>
      </c>
      <c r="S71" s="38" t="str">
        <f t="shared" ca="1" si="4"/>
        <v/>
      </c>
      <c r="T71" s="27"/>
      <c r="U71" s="27"/>
      <c r="V71" s="27"/>
      <c r="W71" s="27"/>
      <c r="X71" s="27"/>
      <c r="Y71" s="27"/>
      <c r="Z71" s="27"/>
    </row>
    <row r="72" spans="2:26" ht="15.75" hidden="1" outlineLevel="1" x14ac:dyDescent="0.25">
      <c r="B72" t="s">
        <v>66</v>
      </c>
      <c r="E72" s="27"/>
      <c r="F72" s="27"/>
      <c r="G72" s="107" t="str">
        <f ca="1">_xll.DBRA(Server&amp;$W$9,$W$12,$H$27)</f>
        <v>Dont</v>
      </c>
      <c r="H72" s="62" t="str">
        <f ca="1">_xll.DBRA(Server&amp;$B$50,$B72,$H$27)</f>
        <v>Charter / occasionnel</v>
      </c>
      <c r="I72" s="57">
        <f ca="1">_xll.DBRW(Server&amp;Cube1,$B72,$H$35,$H$36,$H$37,$H$39,I$40,$H$34,$H$38)</f>
        <v>0</v>
      </c>
      <c r="J72" s="58">
        <f ca="1">_xll.DBRW(Server&amp;Cube1,$B72,$H$35,$H$36,$H$37,$H$39,J$40,$H$34,$H$38)</f>
        <v>0</v>
      </c>
      <c r="K72" s="16">
        <f ca="1">_xll.DBRW(Server&amp;Cube1,$B72,$H$35,$H$36,$H$37,$H$39,K$40,$H$34,$H$38)</f>
        <v>0</v>
      </c>
      <c r="L72" s="16">
        <f ca="1">_xll.DBRW(Server&amp;Cube1,$B72,$H$35,$H$36,$H$37,$H$39,L$40,$H$34,$H$38)</f>
        <v>0</v>
      </c>
      <c r="M72" s="16">
        <f ca="1">_xll.DBRW(Server&amp;Cube1,$B72,$H$35,$H$36,$H$37,$H$39,M$40,$H$34,$H$38)</f>
        <v>0</v>
      </c>
      <c r="N72" s="16">
        <f ca="1">_xll.DBRW(Server&amp;Cube1,$B72,$H$35,$H$36,$H$37,$H$39,N$40,$H$34,$H$38)</f>
        <v>0</v>
      </c>
      <c r="O72" s="16">
        <f ca="1">_xll.DBRW(Server&amp;Cube1,$B72,$H$35,$H$36,$H$37,$H$39,O$40,$H$34,$H$38)</f>
        <v>0</v>
      </c>
      <c r="P72" s="16">
        <f ca="1">_xll.DBRW(Server&amp;Cube1,$B72,$H$35,$H$36,$H$37,$H$39,P$40,$H$34,$H$38)</f>
        <v>0</v>
      </c>
      <c r="Q72" s="3"/>
      <c r="R72" s="59" t="str">
        <f t="shared" ca="1" si="3"/>
        <v/>
      </c>
      <c r="S72" s="38" t="str">
        <f t="shared" ca="1" si="4"/>
        <v/>
      </c>
      <c r="T72" s="27"/>
      <c r="U72" s="27"/>
      <c r="V72" s="27"/>
      <c r="W72" s="27"/>
      <c r="X72" s="27"/>
      <c r="Y72" s="27"/>
      <c r="Z72" s="27"/>
    </row>
    <row r="73" spans="2:26" ht="15.75" hidden="1" outlineLevel="1" x14ac:dyDescent="0.25">
      <c r="B73" t="s">
        <v>67</v>
      </c>
      <c r="E73" s="27"/>
      <c r="F73" s="27"/>
      <c r="G73" s="107" t="str">
        <f ca="1">_xll.DBRA(Server&amp;$W$9,$W$12,$H$27)</f>
        <v>Dont</v>
      </c>
      <c r="H73" s="62" t="str">
        <f ca="1">_xll.DBRA(Server&amp;$B$50,$B73,$H$27)</f>
        <v>Sous-traitance urbaine</v>
      </c>
      <c r="I73" s="57">
        <f ca="1">_xll.DBRW(Server&amp;Cube1,$B73,$H$35,$H$36,$H$37,$H$39,I$40,$H$34,$H$38)</f>
        <v>0</v>
      </c>
      <c r="J73" s="58">
        <f ca="1">_xll.DBRW(Server&amp;Cube1,$B73,$H$35,$H$36,$H$37,$H$39,J$40,$H$34,$H$38)</f>
        <v>0</v>
      </c>
      <c r="K73" s="16">
        <f ca="1">_xll.DBRW(Server&amp;Cube1,$B73,$H$35,$H$36,$H$37,$H$39,K$40,$H$34,$H$38)</f>
        <v>0</v>
      </c>
      <c r="L73" s="16">
        <f ca="1">_xll.DBRW(Server&amp;Cube1,$B73,$H$35,$H$36,$H$37,$H$39,L$40,$H$34,$H$38)</f>
        <v>0</v>
      </c>
      <c r="M73" s="16">
        <f ca="1">_xll.DBRW(Server&amp;Cube1,$B73,$H$35,$H$36,$H$37,$H$39,M$40,$H$34,$H$38)</f>
        <v>0</v>
      </c>
      <c r="N73" s="16">
        <f ca="1">_xll.DBRW(Server&amp;Cube1,$B73,$H$35,$H$36,$H$37,$H$39,N$40,$H$34,$H$38)</f>
        <v>0</v>
      </c>
      <c r="O73" s="16">
        <f ca="1">_xll.DBRW(Server&amp;Cube1,$B73,$H$35,$H$36,$H$37,$H$39,O$40,$H$34,$H$38)</f>
        <v>0</v>
      </c>
      <c r="P73" s="16">
        <f ca="1">_xll.DBRW(Server&amp;Cube1,$B73,$H$35,$H$36,$H$37,$H$39,P$40,$H$34,$H$38)</f>
        <v>0</v>
      </c>
      <c r="Q73" s="3"/>
      <c r="R73" s="59" t="str">
        <f t="shared" ca="1" si="3"/>
        <v/>
      </c>
      <c r="S73" s="38" t="str">
        <f t="shared" ca="1" si="4"/>
        <v/>
      </c>
      <c r="T73" s="27"/>
      <c r="U73" s="27"/>
      <c r="V73" s="27"/>
      <c r="W73" s="27"/>
      <c r="X73" s="27"/>
      <c r="Y73" s="27"/>
      <c r="Z73" s="27"/>
    </row>
    <row r="74" spans="2:26" ht="15.75" hidden="1" outlineLevel="1" x14ac:dyDescent="0.25">
      <c r="B74" t="s">
        <v>68</v>
      </c>
      <c r="E74" s="27"/>
      <c r="F74" s="27"/>
      <c r="G74" s="107" t="str">
        <f ca="1">_xll.DBRA(Server&amp;$W$9,$W$12,$H$27)</f>
        <v>Dont</v>
      </c>
      <c r="H74" s="62" t="str">
        <f ca="1">_xll.DBRA(Server&amp;$B$50,$B74,$H$27)</f>
        <v>Mutualisés (Interurbain)</v>
      </c>
      <c r="I74" s="57">
        <f ca="1">_xll.DBRW(Server&amp;Cube1,$B74,$H$35,$H$36,$H$37,$H$39,I$40,$H$34,$H$38)</f>
        <v>0</v>
      </c>
      <c r="J74" s="58">
        <f ca="1">_xll.DBRW(Server&amp;Cube1,$B74,$H$35,$H$36,$H$37,$H$39,J$40,$H$34,$H$38)</f>
        <v>0</v>
      </c>
      <c r="K74" s="16">
        <f ca="1">_xll.DBRW(Server&amp;Cube1,$B74,$H$35,$H$36,$H$37,$H$39,K$40,$H$34,$H$38)</f>
        <v>0</v>
      </c>
      <c r="L74" s="16">
        <f ca="1">_xll.DBRW(Server&amp;Cube1,$B74,$H$35,$H$36,$H$37,$H$39,L$40,$H$34,$H$38)</f>
        <v>0</v>
      </c>
      <c r="M74" s="16">
        <f ca="1">_xll.DBRW(Server&amp;Cube1,$B74,$H$35,$H$36,$H$37,$H$39,M$40,$H$34,$H$38)</f>
        <v>0</v>
      </c>
      <c r="N74" s="16">
        <f ca="1">_xll.DBRW(Server&amp;Cube1,$B74,$H$35,$H$36,$H$37,$H$39,N$40,$H$34,$H$38)</f>
        <v>0</v>
      </c>
      <c r="O74" s="16">
        <f ca="1">_xll.DBRW(Server&amp;Cube1,$B74,$H$35,$H$36,$H$37,$H$39,O$40,$H$34,$H$38)</f>
        <v>0</v>
      </c>
      <c r="P74" s="16">
        <f ca="1">_xll.DBRW(Server&amp;Cube1,$B74,$H$35,$H$36,$H$37,$H$39,P$40,$H$34,$H$38)</f>
        <v>0</v>
      </c>
      <c r="Q74" s="3"/>
      <c r="R74" s="59" t="str">
        <f t="shared" ca="1" si="3"/>
        <v/>
      </c>
      <c r="S74" s="38" t="str">
        <f t="shared" ca="1" si="4"/>
        <v/>
      </c>
      <c r="T74" s="27"/>
      <c r="U74" s="27"/>
      <c r="V74" s="27"/>
      <c r="W74" s="27"/>
      <c r="X74" s="27"/>
      <c r="Y74" s="27"/>
      <c r="Z74" s="27"/>
    </row>
    <row r="75" spans="2:26" ht="15.75" hidden="1" outlineLevel="1" x14ac:dyDescent="0.25">
      <c r="B75" t="s">
        <v>98</v>
      </c>
      <c r="E75" s="27"/>
      <c r="F75" s="27"/>
      <c r="G75" s="107" t="str">
        <f ca="1">_xll.DBRA(Server&amp;$W$9,$W$12,$H$27)</f>
        <v>Dont</v>
      </c>
      <c r="H75" s="62" t="str">
        <f ca="1">_xll.DBRA(Server&amp;$B$50,$B75,$H$27)</f>
        <v>Interurbain - Activité technique de saisie</v>
      </c>
      <c r="I75" s="57">
        <f ca="1">_xll.DBRW(Server&amp;Cube1,$B75,$H$35,$H$36,$H$37,$H$39,I$40,$H$34,$H$38)</f>
        <v>0</v>
      </c>
      <c r="J75" s="58">
        <f ca="1">_xll.DBRW(Server&amp;Cube1,$B75,$H$35,$H$36,$H$37,$H$39,J$40,$H$34,$H$38)</f>
        <v>0</v>
      </c>
      <c r="K75" s="16">
        <f ca="1">_xll.DBRW(Server&amp;Cube1,$B75,$H$35,$H$36,$H$37,$H$39,K$40,$H$34,$H$38)</f>
        <v>0</v>
      </c>
      <c r="L75" s="16">
        <f ca="1">_xll.DBRW(Server&amp;Cube1,$B75,$H$35,$H$36,$H$37,$H$39,L$40,$H$34,$H$38)</f>
        <v>0</v>
      </c>
      <c r="M75" s="16">
        <f ca="1">_xll.DBRW(Server&amp;Cube1,$B75,$H$35,$H$36,$H$37,$H$39,M$40,$H$34,$H$38)</f>
        <v>0</v>
      </c>
      <c r="N75" s="16">
        <f ca="1">_xll.DBRW(Server&amp;Cube1,$B75,$H$35,$H$36,$H$37,$H$39,N$40,$H$34,$H$38)</f>
        <v>0</v>
      </c>
      <c r="O75" s="16">
        <f ca="1">_xll.DBRW(Server&amp;Cube1,$B75,$H$35,$H$36,$H$37,$H$39,O$40,$H$34,$H$38)</f>
        <v>0</v>
      </c>
      <c r="P75" s="16">
        <f ca="1">_xll.DBRW(Server&amp;Cube1,$B75,$H$35,$H$36,$H$37,$H$39,P$40,$H$34,$H$38)</f>
        <v>0</v>
      </c>
      <c r="Q75" s="3"/>
      <c r="R75" s="59" t="str">
        <f t="shared" ca="1" si="3"/>
        <v/>
      </c>
      <c r="S75" s="38" t="str">
        <f t="shared" ca="1" si="4"/>
        <v/>
      </c>
      <c r="T75" s="27"/>
      <c r="U75" s="27"/>
      <c r="V75" s="27"/>
      <c r="W75" s="27"/>
      <c r="X75" s="27"/>
      <c r="Y75" s="27"/>
      <c r="Z75" s="27"/>
    </row>
    <row r="76" spans="2:26" ht="15.75" collapsed="1" x14ac:dyDescent="0.25">
      <c r="B76" t="s">
        <v>69</v>
      </c>
      <c r="E76" s="27"/>
      <c r="F76" s="27"/>
      <c r="G76" s="107" t="str">
        <f ca="1">_xll.DBRA(Server&amp;$W$9,$W$12,$H$27)</f>
        <v>Dont</v>
      </c>
      <c r="H76" s="108" t="str">
        <f ca="1">_xll.DBRA(Server&amp;$B$50,$B76,$H$27)</f>
        <v>Activités Rail lourd</v>
      </c>
      <c r="I76" s="95">
        <f ca="1">_xll.DBRW(Server&amp;Cube1,$B76,$H$35,$H$36,$H$37,$H$39,I$40,$H$34,$H$38)</f>
        <v>0</v>
      </c>
      <c r="J76" s="96">
        <f ca="1">_xll.DBRW(Server&amp;Cube1,$B76,$H$35,$H$36,$H$37,$H$39,J$40,$H$34,$H$38)</f>
        <v>0</v>
      </c>
      <c r="K76" s="109">
        <f ca="1">_xll.DBRW(Server&amp;Cube1,$B76,$H$35,$H$36,$H$37,$H$39,K$40,$H$34,$H$38)</f>
        <v>0</v>
      </c>
      <c r="L76" s="109">
        <f ca="1">_xll.DBRW(Server&amp;Cube1,$B76,$H$35,$H$36,$H$37,$H$39,L$40,$H$34,$H$38)</f>
        <v>0</v>
      </c>
      <c r="M76" s="109">
        <f ca="1">_xll.DBRW(Server&amp;Cube1,$B76,$H$35,$H$36,$H$37,$H$39,M$40,$H$34,$H$38)</f>
        <v>0</v>
      </c>
      <c r="N76" s="109">
        <f ca="1">_xll.DBRW(Server&amp;Cube1,$B76,$H$35,$H$36,$H$37,$H$39,N$40,$H$34,$H$38)</f>
        <v>0</v>
      </c>
      <c r="O76" s="109">
        <f ca="1">_xll.DBRW(Server&amp;Cube1,$B76,$H$35,$H$36,$H$37,$H$39,O$40,$H$34,$H$38)</f>
        <v>0</v>
      </c>
      <c r="P76" s="109">
        <f ca="1">_xll.DBRW(Server&amp;Cube1,$B76,$H$35,$H$36,$H$37,$H$39,P$40,$H$34,$H$38)</f>
        <v>0</v>
      </c>
      <c r="Q76" s="3"/>
      <c r="R76" s="97" t="str">
        <f t="shared" ca="1" si="3"/>
        <v/>
      </c>
      <c r="S76" s="98" t="str">
        <f t="shared" ca="1" si="4"/>
        <v/>
      </c>
      <c r="T76" s="27"/>
      <c r="U76" s="27"/>
      <c r="V76" s="27"/>
      <c r="W76" s="27"/>
      <c r="X76" s="27"/>
      <c r="Y76" s="27"/>
      <c r="Z76" s="27"/>
    </row>
    <row r="77" spans="2:26" ht="15.75" hidden="1" outlineLevel="1" x14ac:dyDescent="0.25">
      <c r="B77" t="s">
        <v>70</v>
      </c>
      <c r="E77" s="27"/>
      <c r="F77" s="27"/>
      <c r="G77" s="107" t="str">
        <f ca="1">_xll.DBRA(Server&amp;$W$9,$W$12,$H$27)</f>
        <v>Dont</v>
      </c>
      <c r="H77" s="62" t="str">
        <f ca="1">_xll.DBRA(Server&amp;$B$50,$B77,$H$27)</f>
        <v>Rail lourd régional</v>
      </c>
      <c r="I77" s="57">
        <f ca="1">_xll.DBRW(Server&amp;Cube1,$B77,$H$35,$H$36,$H$37,$H$39,I$40,$H$34,$H$38)</f>
        <v>0</v>
      </c>
      <c r="J77" s="58">
        <f ca="1">_xll.DBRW(Server&amp;Cube1,$B77,$H$35,$H$36,$H$37,$H$39,J$40,$H$34,$H$38)</f>
        <v>0</v>
      </c>
      <c r="K77" s="16">
        <f ca="1">_xll.DBRW(Server&amp;Cube1,$B77,$H$35,$H$36,$H$37,$H$39,K$40,$H$34,$H$38)</f>
        <v>0</v>
      </c>
      <c r="L77" s="16">
        <f ca="1">_xll.DBRW(Server&amp;Cube1,$B77,$H$35,$H$36,$H$37,$H$39,L$40,$H$34,$H$38)</f>
        <v>0</v>
      </c>
      <c r="M77" s="16">
        <f ca="1">_xll.DBRW(Server&amp;Cube1,$B77,$H$35,$H$36,$H$37,$H$39,M$40,$H$34,$H$38)</f>
        <v>0</v>
      </c>
      <c r="N77" s="16">
        <f ca="1">_xll.DBRW(Server&amp;Cube1,$B77,$H$35,$H$36,$H$37,$H$39,N$40,$H$34,$H$38)</f>
        <v>0</v>
      </c>
      <c r="O77" s="16">
        <f ca="1">_xll.DBRW(Server&amp;Cube1,$B77,$H$35,$H$36,$H$37,$H$39,O$40,$H$34,$H$38)</f>
        <v>0</v>
      </c>
      <c r="P77" s="16">
        <f ca="1">_xll.DBRW(Server&amp;Cube1,$B77,$H$35,$H$36,$H$37,$H$39,P$40,$H$34,$H$38)</f>
        <v>0</v>
      </c>
      <c r="Q77" s="3"/>
      <c r="R77" s="59" t="str">
        <f t="shared" ca="1" si="3"/>
        <v/>
      </c>
      <c r="S77" s="38" t="str">
        <f t="shared" ca="1" si="4"/>
        <v/>
      </c>
      <c r="T77" s="27"/>
      <c r="U77" s="27"/>
      <c r="V77" s="27"/>
      <c r="W77" s="27"/>
      <c r="X77" s="27"/>
      <c r="Y77" s="27"/>
      <c r="Z77" s="27"/>
    </row>
    <row r="78" spans="2:26" ht="15.75" hidden="1" outlineLevel="1" x14ac:dyDescent="0.25">
      <c r="B78" t="s">
        <v>71</v>
      </c>
      <c r="E78" s="27"/>
      <c r="F78" s="27"/>
      <c r="G78" s="107" t="str">
        <f ca="1">_xll.DBRA(Server&amp;$W$9,$W$12,$H$27)</f>
        <v>Dont</v>
      </c>
      <c r="H78" s="62" t="str">
        <f ca="1">_xll.DBRA(Server&amp;$B$50,$B78,$H$27)</f>
        <v>Rail lourd national / international</v>
      </c>
      <c r="I78" s="57">
        <f ca="1">_xll.DBRW(Server&amp;Cube1,$B78,$H$35,$H$36,$H$37,$H$39,I$40,$H$34,$H$38)</f>
        <v>0</v>
      </c>
      <c r="J78" s="58">
        <f ca="1">_xll.DBRW(Server&amp;Cube1,$B78,$H$35,$H$36,$H$37,$H$39,J$40,$H$34,$H$38)</f>
        <v>0</v>
      </c>
      <c r="K78" s="16">
        <f ca="1">_xll.DBRW(Server&amp;Cube1,$B78,$H$35,$H$36,$H$37,$H$39,K$40,$H$34,$H$38)</f>
        <v>0</v>
      </c>
      <c r="L78" s="16">
        <f ca="1">_xll.DBRW(Server&amp;Cube1,$B78,$H$35,$H$36,$H$37,$H$39,L$40,$H$34,$H$38)</f>
        <v>0</v>
      </c>
      <c r="M78" s="16">
        <f ca="1">_xll.DBRW(Server&amp;Cube1,$B78,$H$35,$H$36,$H$37,$H$39,M$40,$H$34,$H$38)</f>
        <v>0</v>
      </c>
      <c r="N78" s="16">
        <f ca="1">_xll.DBRW(Server&amp;Cube1,$B78,$H$35,$H$36,$H$37,$H$39,N$40,$H$34,$H$38)</f>
        <v>0</v>
      </c>
      <c r="O78" s="16">
        <f ca="1">_xll.DBRW(Server&amp;Cube1,$B78,$H$35,$H$36,$H$37,$H$39,O$40,$H$34,$H$38)</f>
        <v>0</v>
      </c>
      <c r="P78" s="16">
        <f ca="1">_xll.DBRW(Server&amp;Cube1,$B78,$H$35,$H$36,$H$37,$H$39,P$40,$H$34,$H$38)</f>
        <v>0</v>
      </c>
      <c r="Q78" s="3"/>
      <c r="R78" s="59" t="str">
        <f t="shared" ca="1" si="3"/>
        <v/>
      </c>
      <c r="S78" s="38" t="str">
        <f t="shared" ca="1" si="4"/>
        <v/>
      </c>
      <c r="T78" s="27"/>
      <c r="U78" s="27"/>
      <c r="V78" s="27"/>
      <c r="W78" s="27"/>
      <c r="X78" s="27"/>
      <c r="Y78" s="27"/>
      <c r="Z78" s="27"/>
    </row>
    <row r="79" spans="2:26" ht="15.75" hidden="1" outlineLevel="1" x14ac:dyDescent="0.25">
      <c r="B79" t="s">
        <v>99</v>
      </c>
      <c r="E79" s="27"/>
      <c r="F79" s="27"/>
      <c r="G79" s="107" t="str">
        <f ca="1">_xll.DBRA(Server&amp;$W$9,$W$12,$H$27)</f>
        <v>Dont</v>
      </c>
      <c r="H79" s="62" t="str">
        <f ca="1">_xll.DBRA(Server&amp;$B$50,$B79,$H$27)</f>
        <v>Rail lourd - Activité technique de saisie</v>
      </c>
      <c r="I79" s="57">
        <f ca="1">_xll.DBRW(Server&amp;Cube1,$B79,$H$35,$H$36,$H$37,$H$39,I$40,$H$34,$H$38)</f>
        <v>0</v>
      </c>
      <c r="J79" s="58">
        <f ca="1">_xll.DBRW(Server&amp;Cube1,$B79,$H$35,$H$36,$H$37,$H$39,J$40,$H$34,$H$38)</f>
        <v>0</v>
      </c>
      <c r="K79" s="16">
        <f ca="1">_xll.DBRW(Server&amp;Cube1,$B79,$H$35,$H$36,$H$37,$H$39,K$40,$H$34,$H$38)</f>
        <v>0</v>
      </c>
      <c r="L79" s="16">
        <f ca="1">_xll.DBRW(Server&amp;Cube1,$B79,$H$35,$H$36,$H$37,$H$39,L$40,$H$34,$H$38)</f>
        <v>0</v>
      </c>
      <c r="M79" s="16">
        <f ca="1">_xll.DBRW(Server&amp;Cube1,$B79,$H$35,$H$36,$H$37,$H$39,M$40,$H$34,$H$38)</f>
        <v>0</v>
      </c>
      <c r="N79" s="16">
        <f ca="1">_xll.DBRW(Server&amp;Cube1,$B79,$H$35,$H$36,$H$37,$H$39,N$40,$H$34,$H$38)</f>
        <v>0</v>
      </c>
      <c r="O79" s="16">
        <f ca="1">_xll.DBRW(Server&amp;Cube1,$B79,$H$35,$H$36,$H$37,$H$39,O$40,$H$34,$H$38)</f>
        <v>0</v>
      </c>
      <c r="P79" s="16">
        <f ca="1">_xll.DBRW(Server&amp;Cube1,$B79,$H$35,$H$36,$H$37,$H$39,P$40,$H$34,$H$38)</f>
        <v>0</v>
      </c>
      <c r="Q79" s="3"/>
      <c r="R79" s="59" t="str">
        <f t="shared" ca="1" si="3"/>
        <v/>
      </c>
      <c r="S79" s="38" t="str">
        <f t="shared" ca="1" si="4"/>
        <v/>
      </c>
      <c r="T79" s="27"/>
      <c r="U79" s="27"/>
      <c r="V79" s="27"/>
      <c r="W79" s="27"/>
      <c r="X79" s="27"/>
      <c r="Y79" s="27"/>
      <c r="Z79" s="27"/>
    </row>
    <row r="80" spans="2:26" ht="15.75" collapsed="1" x14ac:dyDescent="0.25">
      <c r="B80" t="s">
        <v>72</v>
      </c>
      <c r="E80" s="27"/>
      <c r="F80" s="27"/>
      <c r="G80" s="107" t="str">
        <f ca="1">_xll.DBRA(Server&amp;$W$9,$W$12,$H$27)</f>
        <v>Dont</v>
      </c>
      <c r="H80" s="108" t="str">
        <f ca="1">_xll.DBRA(Server&amp;$B$50,$B80,$H$27)</f>
        <v>Cars longue distance</v>
      </c>
      <c r="I80" s="95">
        <f ca="1">_xll.DBRW(Server&amp;Cube1,$B80,$H$35,$H$36,$H$37,$H$39,I$40,$H$34,$H$38)</f>
        <v>0</v>
      </c>
      <c r="J80" s="96">
        <f ca="1">_xll.DBRW(Server&amp;Cube1,$B80,$H$35,$H$36,$H$37,$H$39,J$40,$H$34,$H$38)</f>
        <v>0</v>
      </c>
      <c r="K80" s="109">
        <f ca="1">_xll.DBRW(Server&amp;Cube1,$B80,$H$35,$H$36,$H$37,$H$39,K$40,$H$34,$H$38)</f>
        <v>0</v>
      </c>
      <c r="L80" s="109">
        <f ca="1">_xll.DBRW(Server&amp;Cube1,$B80,$H$35,$H$36,$H$37,$H$39,L$40,$H$34,$H$38)</f>
        <v>0</v>
      </c>
      <c r="M80" s="109">
        <f ca="1">_xll.DBRW(Server&amp;Cube1,$B80,$H$35,$H$36,$H$37,$H$39,M$40,$H$34,$H$38)</f>
        <v>0</v>
      </c>
      <c r="N80" s="109">
        <f ca="1">_xll.DBRW(Server&amp;Cube1,$B80,$H$35,$H$36,$H$37,$H$39,N$40,$H$34,$H$38)</f>
        <v>0</v>
      </c>
      <c r="O80" s="109">
        <f ca="1">_xll.DBRW(Server&amp;Cube1,$B80,$H$35,$H$36,$H$37,$H$39,O$40,$H$34,$H$38)</f>
        <v>0</v>
      </c>
      <c r="P80" s="109">
        <f ca="1">_xll.DBRW(Server&amp;Cube1,$B80,$H$35,$H$36,$H$37,$H$39,P$40,$H$34,$H$38)</f>
        <v>0</v>
      </c>
      <c r="Q80" s="3"/>
      <c r="R80" s="97" t="str">
        <f t="shared" ca="1" si="3"/>
        <v/>
      </c>
      <c r="S80" s="98" t="str">
        <f t="shared" ca="1" si="4"/>
        <v/>
      </c>
      <c r="T80" s="27"/>
      <c r="U80" s="27"/>
      <c r="V80" s="27"/>
      <c r="W80" s="27"/>
      <c r="X80" s="27"/>
      <c r="Y80" s="27"/>
      <c r="Z80" s="27"/>
    </row>
    <row r="81" spans="2:26" ht="15.75" x14ac:dyDescent="0.25">
      <c r="B81" t="s">
        <v>73</v>
      </c>
      <c r="E81" s="27"/>
      <c r="F81" s="27"/>
      <c r="G81" s="107" t="str">
        <f ca="1">_xll.DBRA(Server&amp;$W$9,$W$12,$H$27)</f>
        <v>Dont</v>
      </c>
      <c r="H81" s="108" t="str">
        <f ca="1">_xll.DBRA(Server&amp;$B$50,$B81,$H$27)</f>
        <v>Ferries</v>
      </c>
      <c r="I81" s="95">
        <f ca="1">_xll.DBRW(Server&amp;Cube1,$B81,$H$35,$H$36,$H$37,$H$39,I$40,$H$34,$H$38)</f>
        <v>0</v>
      </c>
      <c r="J81" s="96">
        <f ca="1">_xll.DBRW(Server&amp;Cube1,$B81,$H$35,$H$36,$H$37,$H$39,J$40,$H$34,$H$38)</f>
        <v>0</v>
      </c>
      <c r="K81" s="109">
        <f ca="1">_xll.DBRW(Server&amp;Cube1,$B81,$H$35,$H$36,$H$37,$H$39,K$40,$H$34,$H$38)</f>
        <v>0</v>
      </c>
      <c r="L81" s="109">
        <f ca="1">_xll.DBRW(Server&amp;Cube1,$B81,$H$35,$H$36,$H$37,$H$39,L$40,$H$34,$H$38)</f>
        <v>0</v>
      </c>
      <c r="M81" s="109">
        <f ca="1">_xll.DBRW(Server&amp;Cube1,$B81,$H$35,$H$36,$H$37,$H$39,M$40,$H$34,$H$38)</f>
        <v>0</v>
      </c>
      <c r="N81" s="109">
        <f ca="1">_xll.DBRW(Server&amp;Cube1,$B81,$H$35,$H$36,$H$37,$H$39,N$40,$H$34,$H$38)</f>
        <v>0</v>
      </c>
      <c r="O81" s="109">
        <f ca="1">_xll.DBRW(Server&amp;Cube1,$B81,$H$35,$H$36,$H$37,$H$39,O$40,$H$34,$H$38)</f>
        <v>0</v>
      </c>
      <c r="P81" s="109">
        <f ca="1">_xll.DBRW(Server&amp;Cube1,$B81,$H$35,$H$36,$H$37,$H$39,P$40,$H$34,$H$38)</f>
        <v>0</v>
      </c>
      <c r="Q81" s="3"/>
      <c r="R81" s="97" t="str">
        <f t="shared" ca="1" si="3"/>
        <v/>
      </c>
      <c r="S81" s="98" t="str">
        <f t="shared" ca="1" si="4"/>
        <v/>
      </c>
      <c r="T81" s="27"/>
      <c r="U81" s="27"/>
      <c r="V81" s="27"/>
      <c r="W81" s="27"/>
      <c r="X81" s="27"/>
      <c r="Y81" s="27"/>
      <c r="Z81" s="27"/>
    </row>
    <row r="82" spans="2:26" ht="15.75" x14ac:dyDescent="0.25">
      <c r="B82" t="s">
        <v>49</v>
      </c>
      <c r="E82" s="27"/>
      <c r="F82" s="27"/>
      <c r="G82" s="107" t="str">
        <f ca="1">_xll.DBRA(Server&amp;$W$9,$W$12,$H$27)</f>
        <v>Dont</v>
      </c>
      <c r="H82" s="108" t="str">
        <f ca="1">_xll.DBRA(Server&amp;$B$50,$B82,$H$27)</f>
        <v>Transport à la demande commercial</v>
      </c>
      <c r="I82" s="95">
        <f ca="1">_xll.DBRW(Server&amp;Cube1,$B82,$H$35,$H$36,$H$37,$H$39,I$40,$H$34,$H$38)</f>
        <v>0</v>
      </c>
      <c r="J82" s="96">
        <f ca="1">_xll.DBRW(Server&amp;Cube1,$B82,$H$35,$H$36,$H$37,$H$39,J$40,$H$34,$H$38)</f>
        <v>0</v>
      </c>
      <c r="K82" s="109">
        <f ca="1">_xll.DBRW(Server&amp;Cube1,$B82,$H$35,$H$36,$H$37,$H$39,K$40,$H$34,$H$38)</f>
        <v>0</v>
      </c>
      <c r="L82" s="109">
        <f ca="1">_xll.DBRW(Server&amp;Cube1,$B82,$H$35,$H$36,$H$37,$H$39,L$40,$H$34,$H$38)</f>
        <v>0</v>
      </c>
      <c r="M82" s="109">
        <f ca="1">_xll.DBRW(Server&amp;Cube1,$B82,$H$35,$H$36,$H$37,$H$39,M$40,$H$34,$H$38)</f>
        <v>0</v>
      </c>
      <c r="N82" s="109">
        <f ca="1">_xll.DBRW(Server&amp;Cube1,$B82,$H$35,$H$36,$H$37,$H$39,N$40,$H$34,$H$38)</f>
        <v>0</v>
      </c>
      <c r="O82" s="109">
        <f ca="1">_xll.DBRW(Server&amp;Cube1,$B82,$H$35,$H$36,$H$37,$H$39,O$40,$H$34,$H$38)</f>
        <v>0</v>
      </c>
      <c r="P82" s="109">
        <f ca="1">_xll.DBRW(Server&amp;Cube1,$B82,$H$35,$H$36,$H$37,$H$39,P$40,$H$34,$H$38)</f>
        <v>0</v>
      </c>
      <c r="Q82" s="3"/>
      <c r="R82" s="97" t="str">
        <f t="shared" ca="1" si="3"/>
        <v/>
      </c>
      <c r="S82" s="98" t="str">
        <f t="shared" ca="1" si="4"/>
        <v/>
      </c>
      <c r="T82" s="27"/>
      <c r="U82" s="27"/>
      <c r="V82" s="27"/>
      <c r="W82" s="27"/>
      <c r="X82" s="27"/>
      <c r="Y82" s="27"/>
      <c r="Z82" s="27"/>
    </row>
    <row r="83" spans="2:26" ht="15.75" hidden="1" outlineLevel="1" x14ac:dyDescent="0.25">
      <c r="B83" t="s">
        <v>74</v>
      </c>
      <c r="E83" s="27"/>
      <c r="F83" s="27"/>
      <c r="G83" s="107" t="str">
        <f ca="1">_xll.DBRA(Server&amp;$W$9,$W$12,$H$27)</f>
        <v>Dont</v>
      </c>
      <c r="H83" s="62" t="str">
        <f ca="1">_xll.DBRA(Server&amp;$B$50,$B83,$H$27)</f>
        <v>Véhicule exclusif</v>
      </c>
      <c r="I83" s="57">
        <f ca="1">_xll.DBRW(Server&amp;Cube1,$B83,$H$35,$H$36,$H$37,$H$39,I$40,$H$34,$H$38)</f>
        <v>0</v>
      </c>
      <c r="J83" s="58">
        <f ca="1">_xll.DBRW(Server&amp;Cube1,$B83,$H$35,$H$36,$H$37,$H$39,J$40,$H$34,$H$38)</f>
        <v>0</v>
      </c>
      <c r="K83" s="16">
        <f ca="1">_xll.DBRW(Server&amp;Cube1,$B83,$H$35,$H$36,$H$37,$H$39,K$40,$H$34,$H$38)</f>
        <v>0</v>
      </c>
      <c r="L83" s="16">
        <f ca="1">_xll.DBRW(Server&amp;Cube1,$B83,$H$35,$H$36,$H$37,$H$39,L$40,$H$34,$H$38)</f>
        <v>0</v>
      </c>
      <c r="M83" s="16">
        <f ca="1">_xll.DBRW(Server&amp;Cube1,$B83,$H$35,$H$36,$H$37,$H$39,M$40,$H$34,$H$38)</f>
        <v>0</v>
      </c>
      <c r="N83" s="16">
        <f ca="1">_xll.DBRW(Server&amp;Cube1,$B83,$H$35,$H$36,$H$37,$H$39,N$40,$H$34,$H$38)</f>
        <v>0</v>
      </c>
      <c r="O83" s="16">
        <f ca="1">_xll.DBRW(Server&amp;Cube1,$B83,$H$35,$H$36,$H$37,$H$39,O$40,$H$34,$H$38)</f>
        <v>0</v>
      </c>
      <c r="P83" s="16">
        <f ca="1">_xll.DBRW(Server&amp;Cube1,$B83,$H$35,$H$36,$H$37,$H$39,P$40,$H$34,$H$38)</f>
        <v>0</v>
      </c>
      <c r="Q83" s="3"/>
      <c r="R83" s="59" t="str">
        <f t="shared" ca="1" si="3"/>
        <v/>
      </c>
      <c r="S83" s="38" t="str">
        <f t="shared" ca="1" si="4"/>
        <v/>
      </c>
      <c r="T83" s="27"/>
      <c r="U83" s="27"/>
      <c r="V83" s="27"/>
      <c r="W83" s="27"/>
      <c r="X83" s="27"/>
      <c r="Y83" s="27"/>
      <c r="Z83" s="27"/>
    </row>
    <row r="84" spans="2:26" ht="15.75" hidden="1" outlineLevel="1" x14ac:dyDescent="0.25">
      <c r="B84" t="s">
        <v>75</v>
      </c>
      <c r="E84" s="27"/>
      <c r="F84" s="27"/>
      <c r="G84" s="107" t="str">
        <f ca="1">_xll.DBRA(Server&amp;$W$9,$W$12,$H$27)</f>
        <v>Dont</v>
      </c>
      <c r="H84" s="62" t="str">
        <f ca="1">_xll.DBRA(Server&amp;$B$50,$B84,$H$27)</f>
        <v>Véhicule partagé</v>
      </c>
      <c r="I84" s="57">
        <f ca="1">_xll.DBRW(Server&amp;Cube1,$B84,$H$35,$H$36,$H$37,$H$39,I$40,$H$34,$H$38)</f>
        <v>0</v>
      </c>
      <c r="J84" s="58">
        <f ca="1">_xll.DBRW(Server&amp;Cube1,$B84,$H$35,$H$36,$H$37,$H$39,J$40,$H$34,$H$38)</f>
        <v>0</v>
      </c>
      <c r="K84" s="16">
        <f ca="1">_xll.DBRW(Server&amp;Cube1,$B84,$H$35,$H$36,$H$37,$H$39,K$40,$H$34,$H$38)</f>
        <v>0</v>
      </c>
      <c r="L84" s="16">
        <f ca="1">_xll.DBRW(Server&amp;Cube1,$B84,$H$35,$H$36,$H$37,$H$39,L$40,$H$34,$H$38)</f>
        <v>0</v>
      </c>
      <c r="M84" s="16">
        <f ca="1">_xll.DBRW(Server&amp;Cube1,$B84,$H$35,$H$36,$H$37,$H$39,M$40,$H$34,$H$38)</f>
        <v>0</v>
      </c>
      <c r="N84" s="16">
        <f ca="1">_xll.DBRW(Server&amp;Cube1,$B84,$H$35,$H$36,$H$37,$H$39,N$40,$H$34,$H$38)</f>
        <v>0</v>
      </c>
      <c r="O84" s="16">
        <f ca="1">_xll.DBRW(Server&amp;Cube1,$B84,$H$35,$H$36,$H$37,$H$39,O$40,$H$34,$H$38)</f>
        <v>0</v>
      </c>
      <c r="P84" s="16">
        <f ca="1">_xll.DBRW(Server&amp;Cube1,$B84,$H$35,$H$36,$H$37,$H$39,P$40,$H$34,$H$38)</f>
        <v>0</v>
      </c>
      <c r="Q84" s="3"/>
      <c r="R84" s="59" t="str">
        <f t="shared" ca="1" si="3"/>
        <v/>
      </c>
      <c r="S84" s="38" t="str">
        <f t="shared" ca="1" si="4"/>
        <v/>
      </c>
      <c r="T84" s="27"/>
      <c r="U84" s="27"/>
      <c r="V84" s="27"/>
      <c r="W84" s="27"/>
      <c r="X84" s="27"/>
      <c r="Y84" s="27"/>
      <c r="Z84" s="27"/>
    </row>
    <row r="85" spans="2:26" ht="15.75" hidden="1" outlineLevel="1" x14ac:dyDescent="0.25">
      <c r="B85" t="s">
        <v>100</v>
      </c>
      <c r="E85" s="27"/>
      <c r="F85" s="27"/>
      <c r="G85" s="107" t="str">
        <f ca="1">_xll.DBRA(Server&amp;$W$9,$W$12,$H$27)</f>
        <v>Dont</v>
      </c>
      <c r="H85" s="62" t="str">
        <f ca="1">_xll.DBRA(Server&amp;$B$50,$B85,$H$27)</f>
        <v>Transport à la demande commercial - Activité technique de saisie</v>
      </c>
      <c r="I85" s="57">
        <f ca="1">_xll.DBRW(Server&amp;Cube1,$B85,$H$35,$H$36,$H$37,$H$39,I$40,$H$34,$H$38)</f>
        <v>0</v>
      </c>
      <c r="J85" s="58">
        <f ca="1">_xll.DBRW(Server&amp;Cube1,$B85,$H$35,$H$36,$H$37,$H$39,J$40,$H$34,$H$38)</f>
        <v>0</v>
      </c>
      <c r="K85" s="16">
        <f ca="1">_xll.DBRW(Server&amp;Cube1,$B85,$H$35,$H$36,$H$37,$H$39,K$40,$H$34,$H$38)</f>
        <v>0</v>
      </c>
      <c r="L85" s="16">
        <f ca="1">_xll.DBRW(Server&amp;Cube1,$B85,$H$35,$H$36,$H$37,$H$39,L$40,$H$34,$H$38)</f>
        <v>0</v>
      </c>
      <c r="M85" s="16">
        <f ca="1">_xll.DBRW(Server&amp;Cube1,$B85,$H$35,$H$36,$H$37,$H$39,M$40,$H$34,$H$38)</f>
        <v>0</v>
      </c>
      <c r="N85" s="16">
        <f ca="1">_xll.DBRW(Server&amp;Cube1,$B85,$H$35,$H$36,$H$37,$H$39,N$40,$H$34,$H$38)</f>
        <v>0</v>
      </c>
      <c r="O85" s="16">
        <f ca="1">_xll.DBRW(Server&amp;Cube1,$B85,$H$35,$H$36,$H$37,$H$39,O$40,$H$34,$H$38)</f>
        <v>0</v>
      </c>
      <c r="P85" s="16">
        <f ca="1">_xll.DBRW(Server&amp;Cube1,$B85,$H$35,$H$36,$H$37,$H$39,P$40,$H$34,$H$38)</f>
        <v>0</v>
      </c>
      <c r="Q85" s="3"/>
      <c r="R85" s="59" t="str">
        <f t="shared" ca="1" si="3"/>
        <v/>
      </c>
      <c r="S85" s="38" t="str">
        <f t="shared" ca="1" si="4"/>
        <v/>
      </c>
      <c r="T85" s="27"/>
      <c r="U85" s="27"/>
      <c r="V85" s="27"/>
      <c r="W85" s="27"/>
      <c r="X85" s="27"/>
      <c r="Y85" s="27"/>
      <c r="Z85" s="27"/>
    </row>
    <row r="86" spans="2:26" ht="15.75" collapsed="1" x14ac:dyDescent="0.25">
      <c r="B86" t="s">
        <v>76</v>
      </c>
      <c r="E86" s="27"/>
      <c r="F86" s="27"/>
      <c r="G86" s="107" t="str">
        <f ca="1">_xll.DBRA(Server&amp;$W$9,$W$12,$H$27)</f>
        <v>Dont</v>
      </c>
      <c r="H86" s="108" t="str">
        <f ca="1">_xll.DBRA(Server&amp;$B$50,$B86,$H$27)</f>
        <v>Transport aéroportuaire</v>
      </c>
      <c r="I86" s="95">
        <f ca="1">_xll.DBRW(Server&amp;Cube1,$B86,$H$35,$H$36,$H$37,$H$39,I$40,$H$34,$H$38)</f>
        <v>0</v>
      </c>
      <c r="J86" s="96">
        <f ca="1">_xll.DBRW(Server&amp;Cube1,$B86,$H$35,$H$36,$H$37,$H$39,J$40,$H$34,$H$38)</f>
        <v>0</v>
      </c>
      <c r="K86" s="109">
        <f ca="1">_xll.DBRW(Server&amp;Cube1,$B86,$H$35,$H$36,$H$37,$H$39,K$40,$H$34,$H$38)</f>
        <v>0</v>
      </c>
      <c r="L86" s="109">
        <f ca="1">_xll.DBRW(Server&amp;Cube1,$B86,$H$35,$H$36,$H$37,$H$39,L$40,$H$34,$H$38)</f>
        <v>0</v>
      </c>
      <c r="M86" s="109">
        <f ca="1">_xll.DBRW(Server&amp;Cube1,$B86,$H$35,$H$36,$H$37,$H$39,M$40,$H$34,$H$38)</f>
        <v>0</v>
      </c>
      <c r="N86" s="109">
        <f ca="1">_xll.DBRW(Server&amp;Cube1,$B86,$H$35,$H$36,$H$37,$H$39,N$40,$H$34,$H$38)</f>
        <v>0</v>
      </c>
      <c r="O86" s="109">
        <f ca="1">_xll.DBRW(Server&amp;Cube1,$B86,$H$35,$H$36,$H$37,$H$39,O$40,$H$34,$H$38)</f>
        <v>0</v>
      </c>
      <c r="P86" s="109">
        <f ca="1">_xll.DBRW(Server&amp;Cube1,$B86,$H$35,$H$36,$H$37,$H$39,P$40,$H$34,$H$38)</f>
        <v>0</v>
      </c>
      <c r="Q86" s="3"/>
      <c r="R86" s="97" t="str">
        <f t="shared" ca="1" si="3"/>
        <v/>
      </c>
      <c r="S86" s="98" t="str">
        <f t="shared" ca="1" si="4"/>
        <v/>
      </c>
      <c r="T86" s="27"/>
      <c r="U86" s="27"/>
      <c r="V86" s="27"/>
      <c r="W86" s="27"/>
      <c r="X86" s="27"/>
      <c r="Y86" s="27"/>
      <c r="Z86" s="27"/>
    </row>
    <row r="87" spans="2:26" ht="15.75" hidden="1" outlineLevel="1" x14ac:dyDescent="0.25">
      <c r="B87" t="s">
        <v>77</v>
      </c>
      <c r="E87" s="27"/>
      <c r="F87" s="27"/>
      <c r="G87" s="107" t="str">
        <f ca="1">_xll.DBRA(Server&amp;$W$9,$W$12,$H$27)</f>
        <v>Dont</v>
      </c>
      <c r="H87" s="62" t="str">
        <f ca="1">_xll.DBRA(Server&amp;$B$50,$B87,$H$27)</f>
        <v>Tarmac</v>
      </c>
      <c r="I87" s="57">
        <f ca="1">_xll.DBRW(Server&amp;Cube1,$B87,$H$35,$H$36,$H$37,$H$39,I$40,$H$34,$H$38)</f>
        <v>0</v>
      </c>
      <c r="J87" s="58">
        <f ca="1">_xll.DBRW(Server&amp;Cube1,$B87,$H$35,$H$36,$H$37,$H$39,J$40,$H$34,$H$38)</f>
        <v>0</v>
      </c>
      <c r="K87" s="16">
        <f ca="1">_xll.DBRW(Server&amp;Cube1,$B87,$H$35,$H$36,$H$37,$H$39,K$40,$H$34,$H$38)</f>
        <v>0</v>
      </c>
      <c r="L87" s="16">
        <f ca="1">_xll.DBRW(Server&amp;Cube1,$B87,$H$35,$H$36,$H$37,$H$39,L$40,$H$34,$H$38)</f>
        <v>0</v>
      </c>
      <c r="M87" s="16">
        <f ca="1">_xll.DBRW(Server&amp;Cube1,$B87,$H$35,$H$36,$H$37,$H$39,M$40,$H$34,$H$38)</f>
        <v>0</v>
      </c>
      <c r="N87" s="16">
        <f ca="1">_xll.DBRW(Server&amp;Cube1,$B87,$H$35,$H$36,$H$37,$H$39,N$40,$H$34,$H$38)</f>
        <v>0</v>
      </c>
      <c r="O87" s="16">
        <f ca="1">_xll.DBRW(Server&amp;Cube1,$B87,$H$35,$H$36,$H$37,$H$39,O$40,$H$34,$H$38)</f>
        <v>0</v>
      </c>
      <c r="P87" s="16">
        <f ca="1">_xll.DBRW(Server&amp;Cube1,$B87,$H$35,$H$36,$H$37,$H$39,P$40,$H$34,$H$38)</f>
        <v>0</v>
      </c>
      <c r="Q87" s="3"/>
      <c r="R87" s="59" t="str">
        <f t="shared" ca="1" si="3"/>
        <v/>
      </c>
      <c r="S87" s="38" t="str">
        <f t="shared" ca="1" si="4"/>
        <v/>
      </c>
      <c r="T87" s="27"/>
      <c r="U87" s="27"/>
      <c r="V87" s="27"/>
      <c r="W87" s="27"/>
      <c r="X87" s="27"/>
      <c r="Y87" s="27"/>
      <c r="Z87" s="27"/>
    </row>
    <row r="88" spans="2:26" ht="15.75" hidden="1" outlineLevel="1" x14ac:dyDescent="0.25">
      <c r="B88" t="s">
        <v>78</v>
      </c>
      <c r="E88" s="27"/>
      <c r="F88" s="27"/>
      <c r="G88" s="107" t="str">
        <f ca="1">_xll.DBRA(Server&amp;$W$9,$W$12,$H$27)</f>
        <v>Dont</v>
      </c>
      <c r="H88" s="62" t="str">
        <f ca="1">_xll.DBRA(Server&amp;$B$50,$B88,$H$27)</f>
        <v>Zone aéroportuaire</v>
      </c>
      <c r="I88" s="57">
        <f ca="1">_xll.DBRW(Server&amp;Cube1,$B88,$H$35,$H$36,$H$37,$H$39,I$40,$H$34,$H$38)</f>
        <v>0</v>
      </c>
      <c r="J88" s="58">
        <f ca="1">_xll.DBRW(Server&amp;Cube1,$B88,$H$35,$H$36,$H$37,$H$39,J$40,$H$34,$H$38)</f>
        <v>0</v>
      </c>
      <c r="K88" s="16">
        <f ca="1">_xll.DBRW(Server&amp;Cube1,$B88,$H$35,$H$36,$H$37,$H$39,K$40,$H$34,$H$38)</f>
        <v>0</v>
      </c>
      <c r="L88" s="16">
        <f ca="1">_xll.DBRW(Server&amp;Cube1,$B88,$H$35,$H$36,$H$37,$H$39,L$40,$H$34,$H$38)</f>
        <v>0</v>
      </c>
      <c r="M88" s="16">
        <f ca="1">_xll.DBRW(Server&amp;Cube1,$B88,$H$35,$H$36,$H$37,$H$39,M$40,$H$34,$H$38)</f>
        <v>0</v>
      </c>
      <c r="N88" s="16">
        <f ca="1">_xll.DBRW(Server&amp;Cube1,$B88,$H$35,$H$36,$H$37,$H$39,N$40,$H$34,$H$38)</f>
        <v>0</v>
      </c>
      <c r="O88" s="16">
        <f ca="1">_xll.DBRW(Server&amp;Cube1,$B88,$H$35,$H$36,$H$37,$H$39,O$40,$H$34,$H$38)</f>
        <v>0</v>
      </c>
      <c r="P88" s="16">
        <f ca="1">_xll.DBRW(Server&amp;Cube1,$B88,$H$35,$H$36,$H$37,$H$39,P$40,$H$34,$H$38)</f>
        <v>0</v>
      </c>
      <c r="Q88" s="3"/>
      <c r="R88" s="59" t="str">
        <f t="shared" ca="1" si="3"/>
        <v/>
      </c>
      <c r="S88" s="38" t="str">
        <f t="shared" ca="1" si="4"/>
        <v/>
      </c>
      <c r="T88" s="27"/>
      <c r="U88" s="27"/>
      <c r="V88" s="27"/>
      <c r="W88" s="27"/>
      <c r="X88" s="27"/>
      <c r="Y88" s="27"/>
      <c r="Z88" s="27"/>
    </row>
    <row r="89" spans="2:26" ht="15.75" hidden="1" outlineLevel="1" x14ac:dyDescent="0.25">
      <c r="B89" t="s">
        <v>101</v>
      </c>
      <c r="E89" s="27"/>
      <c r="F89" s="27"/>
      <c r="G89" s="107" t="str">
        <f ca="1">_xll.DBRA(Server&amp;$W$9,$W$12,$H$27)</f>
        <v>Dont</v>
      </c>
      <c r="H89" s="62" t="str">
        <f ca="1">_xll.DBRA(Server&amp;$B$50,$B89,$H$27)</f>
        <v>Transport aéroportuaire - Activité technique de saisie</v>
      </c>
      <c r="I89" s="57">
        <f ca="1">_xll.DBRW(Server&amp;Cube1,$B89,$H$35,$H$36,$H$37,$H$39,I$40,$H$34,$H$38)</f>
        <v>0</v>
      </c>
      <c r="J89" s="58">
        <f ca="1">_xll.DBRW(Server&amp;Cube1,$B89,$H$35,$H$36,$H$37,$H$39,J$40,$H$34,$H$38)</f>
        <v>0</v>
      </c>
      <c r="K89" s="16">
        <f ca="1">_xll.DBRW(Server&amp;Cube1,$B89,$H$35,$H$36,$H$37,$H$39,K$40,$H$34,$H$38)</f>
        <v>0</v>
      </c>
      <c r="L89" s="16">
        <f ca="1">_xll.DBRW(Server&amp;Cube1,$B89,$H$35,$H$36,$H$37,$H$39,L$40,$H$34,$H$38)</f>
        <v>0</v>
      </c>
      <c r="M89" s="16">
        <f ca="1">_xll.DBRW(Server&amp;Cube1,$B89,$H$35,$H$36,$H$37,$H$39,M$40,$H$34,$H$38)</f>
        <v>0</v>
      </c>
      <c r="N89" s="16">
        <f ca="1">_xll.DBRW(Server&amp;Cube1,$B89,$H$35,$H$36,$H$37,$H$39,N$40,$H$34,$H$38)</f>
        <v>0</v>
      </c>
      <c r="O89" s="16">
        <f ca="1">_xll.DBRW(Server&amp;Cube1,$B89,$H$35,$H$36,$H$37,$H$39,O$40,$H$34,$H$38)</f>
        <v>0</v>
      </c>
      <c r="P89" s="16">
        <f ca="1">_xll.DBRW(Server&amp;Cube1,$B89,$H$35,$H$36,$H$37,$H$39,P$40,$H$34,$H$38)</f>
        <v>0</v>
      </c>
      <c r="Q89" s="3"/>
      <c r="R89" s="59" t="str">
        <f t="shared" ca="1" si="3"/>
        <v/>
      </c>
      <c r="S89" s="38" t="str">
        <f t="shared" ca="1" si="4"/>
        <v/>
      </c>
      <c r="T89" s="27"/>
      <c r="U89" s="27"/>
      <c r="V89" s="27"/>
      <c r="W89" s="27"/>
      <c r="X89" s="27"/>
      <c r="Y89" s="27"/>
      <c r="Z89" s="27"/>
    </row>
    <row r="90" spans="2:26" ht="15.75" collapsed="1" x14ac:dyDescent="0.25">
      <c r="B90" t="s">
        <v>79</v>
      </c>
      <c r="E90" s="27"/>
      <c r="F90" s="27"/>
      <c r="G90" s="107" t="str">
        <f ca="1">_xll.DBRA(Server&amp;$W$9,$W$12,$H$27)</f>
        <v>Dont</v>
      </c>
      <c r="H90" s="108" t="str">
        <f ca="1">_xll.DBRA(Server&amp;$B$50,$B90,$H$27)</f>
        <v>Autres services</v>
      </c>
      <c r="I90" s="95">
        <f ca="1">_xll.DBRW(Server&amp;Cube1,$B90,$H$35,$H$36,$H$37,$H$39,I$40,$H$34,$H$38)</f>
        <v>0</v>
      </c>
      <c r="J90" s="96">
        <f ca="1">_xll.DBRW(Server&amp;Cube1,$B90,$H$35,$H$36,$H$37,$H$39,J$40,$H$34,$H$38)</f>
        <v>0</v>
      </c>
      <c r="K90" s="109">
        <f ca="1">_xll.DBRW(Server&amp;Cube1,$B90,$H$35,$H$36,$H$37,$H$39,K$40,$H$34,$H$38)</f>
        <v>0</v>
      </c>
      <c r="L90" s="109">
        <f ca="1">_xll.DBRW(Server&amp;Cube1,$B90,$H$35,$H$36,$H$37,$H$39,L$40,$H$34,$H$38)</f>
        <v>0</v>
      </c>
      <c r="M90" s="109">
        <f ca="1">_xll.DBRW(Server&amp;Cube1,$B90,$H$35,$H$36,$H$37,$H$39,M$40,$H$34,$H$38)</f>
        <v>0</v>
      </c>
      <c r="N90" s="109">
        <f ca="1">_xll.DBRW(Server&amp;Cube1,$B90,$H$35,$H$36,$H$37,$H$39,N$40,$H$34,$H$38)</f>
        <v>0</v>
      </c>
      <c r="O90" s="109">
        <f ca="1">_xll.DBRW(Server&amp;Cube1,$B90,$H$35,$H$36,$H$37,$H$39,O$40,$H$34,$H$38)</f>
        <v>0</v>
      </c>
      <c r="P90" s="109">
        <f ca="1">_xll.DBRW(Server&amp;Cube1,$B90,$H$35,$H$36,$H$37,$H$39,P$40,$H$34,$H$38)</f>
        <v>0</v>
      </c>
      <c r="Q90" s="3"/>
      <c r="R90" s="97" t="str">
        <f t="shared" ca="1" si="3"/>
        <v/>
      </c>
      <c r="S90" s="98" t="str">
        <f t="shared" ca="1" si="4"/>
        <v/>
      </c>
      <c r="T90" s="27"/>
      <c r="U90" s="27"/>
      <c r="V90" s="27"/>
      <c r="W90" s="27"/>
      <c r="X90" s="27"/>
      <c r="Y90" s="27"/>
      <c r="Z90" s="27"/>
    </row>
    <row r="91" spans="2:26" ht="15.75" hidden="1" outlineLevel="1" x14ac:dyDescent="0.25">
      <c r="B91" t="s">
        <v>80</v>
      </c>
      <c r="E91" s="27"/>
      <c r="F91" s="27"/>
      <c r="G91" s="107" t="str">
        <f ca="1">_xll.DBRA(Server&amp;$W$9,$W$12,$H$27)</f>
        <v>Dont</v>
      </c>
      <c r="H91" s="62" t="str">
        <f ca="1">_xll.DBRA(Server&amp;$B$50,$B91,$H$27)</f>
        <v>Services aéroportuaires</v>
      </c>
      <c r="I91" s="57">
        <f ca="1">_xll.DBRW(Server&amp;Cube1,$B91,$H$35,$H$36,$H$37,$H$39,I$40,$H$34,$H$38)</f>
        <v>0</v>
      </c>
      <c r="J91" s="58">
        <f ca="1">_xll.DBRW(Server&amp;Cube1,$B91,$H$35,$H$36,$H$37,$H$39,J$40,$H$34,$H$38)</f>
        <v>0</v>
      </c>
      <c r="K91" s="16">
        <f ca="1">_xll.DBRW(Server&amp;Cube1,$B91,$H$35,$H$36,$H$37,$H$39,K$40,$H$34,$H$38)</f>
        <v>0</v>
      </c>
      <c r="L91" s="16">
        <f ca="1">_xll.DBRW(Server&amp;Cube1,$B91,$H$35,$H$36,$H$37,$H$39,L$40,$H$34,$H$38)</f>
        <v>0</v>
      </c>
      <c r="M91" s="16">
        <f ca="1">_xll.DBRW(Server&amp;Cube1,$B91,$H$35,$H$36,$H$37,$H$39,M$40,$H$34,$H$38)</f>
        <v>0</v>
      </c>
      <c r="N91" s="16">
        <f ca="1">_xll.DBRW(Server&amp;Cube1,$B91,$H$35,$H$36,$H$37,$H$39,N$40,$H$34,$H$38)</f>
        <v>0</v>
      </c>
      <c r="O91" s="16">
        <f ca="1">_xll.DBRW(Server&amp;Cube1,$B91,$H$35,$H$36,$H$37,$H$39,O$40,$H$34,$H$38)</f>
        <v>0</v>
      </c>
      <c r="P91" s="16">
        <f ca="1">_xll.DBRW(Server&amp;Cube1,$B91,$H$35,$H$36,$H$37,$H$39,P$40,$H$34,$H$38)</f>
        <v>0</v>
      </c>
      <c r="Q91" s="3"/>
      <c r="R91" s="59" t="str">
        <f t="shared" ca="1" si="3"/>
        <v/>
      </c>
      <c r="S91" s="38" t="str">
        <f t="shared" ca="1" si="4"/>
        <v/>
      </c>
      <c r="T91" s="27"/>
      <c r="U91" s="27"/>
      <c r="V91" s="27"/>
      <c r="W91" s="27"/>
      <c r="X91" s="27"/>
      <c r="Y91" s="27"/>
      <c r="Z91" s="27"/>
    </row>
    <row r="92" spans="2:26" ht="15.75" hidden="1" outlineLevel="1" x14ac:dyDescent="0.25">
      <c r="B92" t="s">
        <v>81</v>
      </c>
      <c r="E92" s="27"/>
      <c r="F92" s="27"/>
      <c r="G92" s="107" t="str">
        <f ca="1">_xll.DBRA(Server&amp;$W$9,$W$12,$H$27)</f>
        <v>Dont</v>
      </c>
      <c r="H92" s="62" t="str">
        <f ca="1">_xll.DBRA(Server&amp;$B$50,$B92,$H$27)</f>
        <v>Maintenance Rail</v>
      </c>
      <c r="I92" s="57">
        <f ca="1">_xll.DBRW(Server&amp;Cube1,$B92,$H$35,$H$36,$H$37,$H$39,I$40,$H$34,$H$38)</f>
        <v>0</v>
      </c>
      <c r="J92" s="58">
        <f ca="1">_xll.DBRW(Server&amp;Cube1,$B92,$H$35,$H$36,$H$37,$H$39,J$40,$H$34,$H$38)</f>
        <v>0</v>
      </c>
      <c r="K92" s="16">
        <f ca="1">_xll.DBRW(Server&amp;Cube1,$B92,$H$35,$H$36,$H$37,$H$39,K$40,$H$34,$H$38)</f>
        <v>0</v>
      </c>
      <c r="L92" s="16">
        <f ca="1">_xll.DBRW(Server&amp;Cube1,$B92,$H$35,$H$36,$H$37,$H$39,L$40,$H$34,$H$38)</f>
        <v>0</v>
      </c>
      <c r="M92" s="16">
        <f ca="1">_xll.DBRW(Server&amp;Cube1,$B92,$H$35,$H$36,$H$37,$H$39,M$40,$H$34,$H$38)</f>
        <v>0</v>
      </c>
      <c r="N92" s="16">
        <f ca="1">_xll.DBRW(Server&amp;Cube1,$B92,$H$35,$H$36,$H$37,$H$39,N$40,$H$34,$H$38)</f>
        <v>0</v>
      </c>
      <c r="O92" s="16">
        <f ca="1">_xll.DBRW(Server&amp;Cube1,$B92,$H$35,$H$36,$H$37,$H$39,O$40,$H$34,$H$38)</f>
        <v>0</v>
      </c>
      <c r="P92" s="16">
        <f ca="1">_xll.DBRW(Server&amp;Cube1,$B92,$H$35,$H$36,$H$37,$H$39,P$40,$H$34,$H$38)</f>
        <v>0</v>
      </c>
      <c r="Q92" s="3"/>
      <c r="R92" s="59" t="str">
        <f t="shared" ca="1" si="3"/>
        <v/>
      </c>
      <c r="S92" s="38" t="str">
        <f t="shared" ca="1" si="4"/>
        <v/>
      </c>
      <c r="T92" s="27"/>
      <c r="U92" s="27"/>
      <c r="V92" s="27"/>
      <c r="W92" s="27"/>
      <c r="X92" s="27"/>
      <c r="Y92" s="27"/>
      <c r="Z92" s="27"/>
    </row>
    <row r="93" spans="2:26" ht="15.75" hidden="1" outlineLevel="1" x14ac:dyDescent="0.25">
      <c r="B93" t="s">
        <v>82</v>
      </c>
      <c r="E93" s="27"/>
      <c r="F93" s="27"/>
      <c r="G93" s="107" t="str">
        <f ca="1">_xll.DBRA(Server&amp;$W$9,$W$12,$H$27)</f>
        <v>Dont</v>
      </c>
      <c r="H93" s="62" t="str">
        <f ca="1">_xll.DBRA(Server&amp;$B$50,$B93,$H$27)</f>
        <v>Consulting/AMO</v>
      </c>
      <c r="I93" s="57">
        <f ca="1">_xll.DBRW(Server&amp;Cube1,$B93,$H$35,$H$36,$H$37,$H$39,I$40,$H$34,$H$38)</f>
        <v>0</v>
      </c>
      <c r="J93" s="58">
        <f ca="1">_xll.DBRW(Server&amp;Cube1,$B93,$H$35,$H$36,$H$37,$H$39,J$40,$H$34,$H$38)</f>
        <v>0</v>
      </c>
      <c r="K93" s="16">
        <f ca="1">_xll.DBRW(Server&amp;Cube1,$B93,$H$35,$H$36,$H$37,$H$39,K$40,$H$34,$H$38)</f>
        <v>0</v>
      </c>
      <c r="L93" s="16">
        <f ca="1">_xll.DBRW(Server&amp;Cube1,$B93,$H$35,$H$36,$H$37,$H$39,L$40,$H$34,$H$38)</f>
        <v>0</v>
      </c>
      <c r="M93" s="16">
        <f ca="1">_xll.DBRW(Server&amp;Cube1,$B93,$H$35,$H$36,$H$37,$H$39,M$40,$H$34,$H$38)</f>
        <v>0</v>
      </c>
      <c r="N93" s="16">
        <f ca="1">_xll.DBRW(Server&amp;Cube1,$B93,$H$35,$H$36,$H$37,$H$39,N$40,$H$34,$H$38)</f>
        <v>0</v>
      </c>
      <c r="O93" s="16">
        <f ca="1">_xll.DBRW(Server&amp;Cube1,$B93,$H$35,$H$36,$H$37,$H$39,O$40,$H$34,$H$38)</f>
        <v>0</v>
      </c>
      <c r="P93" s="16">
        <f ca="1">_xll.DBRW(Server&amp;Cube1,$B93,$H$35,$H$36,$H$37,$H$39,P$40,$H$34,$H$38)</f>
        <v>0</v>
      </c>
      <c r="Q93" s="3"/>
      <c r="R93" s="59" t="str">
        <f t="shared" ca="1" si="3"/>
        <v/>
      </c>
      <c r="S93" s="38" t="str">
        <f t="shared" ca="1" si="4"/>
        <v/>
      </c>
      <c r="T93" s="27"/>
      <c r="U93" s="27"/>
      <c r="V93" s="27"/>
      <c r="W93" s="27"/>
      <c r="X93" s="27"/>
      <c r="Y93" s="27"/>
      <c r="Z93" s="27"/>
    </row>
    <row r="94" spans="2:26" ht="15.75" hidden="1" outlineLevel="1" x14ac:dyDescent="0.25">
      <c r="B94" t="s">
        <v>83</v>
      </c>
      <c r="E94" s="27"/>
      <c r="F94" s="27"/>
      <c r="G94" s="107" t="str">
        <f ca="1">_xll.DBRA(Server&amp;$W$9,$W$12,$H$27)</f>
        <v>Dont</v>
      </c>
      <c r="H94" s="62" t="str">
        <f ca="1">_xll.DBRA(Server&amp;$B$50,$B94,$H$27)</f>
        <v>Prestations intermodalité</v>
      </c>
      <c r="I94" s="57">
        <f ca="1">_xll.DBRW(Server&amp;Cube1,$B94,$H$35,$H$36,$H$37,$H$39,I$40,$H$34,$H$38)</f>
        <v>0</v>
      </c>
      <c r="J94" s="58">
        <f ca="1">_xll.DBRW(Server&amp;Cube1,$B94,$H$35,$H$36,$H$37,$H$39,J$40,$H$34,$H$38)</f>
        <v>0</v>
      </c>
      <c r="K94" s="16">
        <f ca="1">_xll.DBRW(Server&amp;Cube1,$B94,$H$35,$H$36,$H$37,$H$39,K$40,$H$34,$H$38)</f>
        <v>0</v>
      </c>
      <c r="L94" s="16">
        <f ca="1">_xll.DBRW(Server&amp;Cube1,$B94,$H$35,$H$36,$H$37,$H$39,L$40,$H$34,$H$38)</f>
        <v>0</v>
      </c>
      <c r="M94" s="16">
        <f ca="1">_xll.DBRW(Server&amp;Cube1,$B94,$H$35,$H$36,$H$37,$H$39,M$40,$H$34,$H$38)</f>
        <v>0</v>
      </c>
      <c r="N94" s="16">
        <f ca="1">_xll.DBRW(Server&amp;Cube1,$B94,$H$35,$H$36,$H$37,$H$39,N$40,$H$34,$H$38)</f>
        <v>0</v>
      </c>
      <c r="O94" s="16">
        <f ca="1">_xll.DBRW(Server&amp;Cube1,$B94,$H$35,$H$36,$H$37,$H$39,O$40,$H$34,$H$38)</f>
        <v>0</v>
      </c>
      <c r="P94" s="16">
        <f ca="1">_xll.DBRW(Server&amp;Cube1,$B94,$H$35,$H$36,$H$37,$H$39,P$40,$H$34,$H$38)</f>
        <v>0</v>
      </c>
      <c r="Q94" s="3"/>
      <c r="R94" s="59" t="str">
        <f t="shared" ca="1" si="3"/>
        <v/>
      </c>
      <c r="S94" s="38" t="str">
        <f t="shared" ca="1" si="4"/>
        <v/>
      </c>
      <c r="T94" s="27"/>
      <c r="U94" s="27"/>
      <c r="V94" s="27"/>
      <c r="W94" s="27"/>
      <c r="X94" s="27"/>
      <c r="Y94" s="27"/>
      <c r="Z94" s="27"/>
    </row>
    <row r="95" spans="2:26" ht="15.75" hidden="1" outlineLevel="1" x14ac:dyDescent="0.25">
      <c r="B95" t="s">
        <v>84</v>
      </c>
      <c r="E95" s="27"/>
      <c r="F95" s="27"/>
      <c r="G95" s="107" t="str">
        <f ca="1">_xll.DBRA(Server&amp;$W$9,$W$12,$H$27)</f>
        <v>Dont</v>
      </c>
      <c r="H95" s="62" t="str">
        <f ca="1">_xll.DBRA(Server&amp;$B$50,$B95,$H$27)</f>
        <v>Services digital (ex: Cityway)</v>
      </c>
      <c r="I95" s="57">
        <f ca="1">_xll.DBRW(Server&amp;Cube1,$B95,$H$35,$H$36,$H$37,$H$39,I$40,$H$34,$H$38)</f>
        <v>0</v>
      </c>
      <c r="J95" s="58">
        <f ca="1">_xll.DBRW(Server&amp;Cube1,$B95,$H$35,$H$36,$H$37,$H$39,J$40,$H$34,$H$38)</f>
        <v>0</v>
      </c>
      <c r="K95" s="16">
        <f ca="1">_xll.DBRW(Server&amp;Cube1,$B95,$H$35,$H$36,$H$37,$H$39,K$40,$H$34,$H$38)</f>
        <v>0</v>
      </c>
      <c r="L95" s="16">
        <f ca="1">_xll.DBRW(Server&amp;Cube1,$B95,$H$35,$H$36,$H$37,$H$39,L$40,$H$34,$H$38)</f>
        <v>0</v>
      </c>
      <c r="M95" s="16">
        <f ca="1">_xll.DBRW(Server&amp;Cube1,$B95,$H$35,$H$36,$H$37,$H$39,M$40,$H$34,$H$38)</f>
        <v>0</v>
      </c>
      <c r="N95" s="16">
        <f ca="1">_xll.DBRW(Server&amp;Cube1,$B95,$H$35,$H$36,$H$37,$H$39,N$40,$H$34,$H$38)</f>
        <v>0</v>
      </c>
      <c r="O95" s="16">
        <f ca="1">_xll.DBRW(Server&amp;Cube1,$B95,$H$35,$H$36,$H$37,$H$39,O$40,$H$34,$H$38)</f>
        <v>0</v>
      </c>
      <c r="P95" s="16">
        <f ca="1">_xll.DBRW(Server&amp;Cube1,$B95,$H$35,$H$36,$H$37,$H$39,P$40,$H$34,$H$38)</f>
        <v>0</v>
      </c>
      <c r="Q95" s="3"/>
      <c r="R95" s="59" t="str">
        <f t="shared" ca="1" si="3"/>
        <v/>
      </c>
      <c r="S95" s="38" t="str">
        <f t="shared" ca="1" si="4"/>
        <v/>
      </c>
      <c r="T95" s="27"/>
      <c r="U95" s="27"/>
      <c r="V95" s="27"/>
      <c r="W95" s="27"/>
      <c r="X95" s="27"/>
      <c r="Y95" s="27"/>
      <c r="Z95" s="27"/>
    </row>
    <row r="96" spans="2:26" ht="15.75" hidden="1" outlineLevel="1" x14ac:dyDescent="0.25">
      <c r="B96" t="s">
        <v>85</v>
      </c>
      <c r="E96" s="27"/>
      <c r="F96" s="27"/>
      <c r="G96" s="107" t="str">
        <f ca="1">_xll.DBRA(Server&amp;$W$9,$W$12,$H$27)</f>
        <v>Dont</v>
      </c>
      <c r="H96" s="62" t="str">
        <f ca="1">_xll.DBRA(Server&amp;$B$50,$B96,$H$27)</f>
        <v>Contrôle technique</v>
      </c>
      <c r="I96" s="57">
        <f ca="1">_xll.DBRW(Server&amp;Cube1,$B96,$H$35,$H$36,$H$37,$H$39,I$40,$H$34,$H$38)</f>
        <v>0</v>
      </c>
      <c r="J96" s="58">
        <f ca="1">_xll.DBRW(Server&amp;Cube1,$B96,$H$35,$H$36,$H$37,$H$39,J$40,$H$34,$H$38)</f>
        <v>0</v>
      </c>
      <c r="K96" s="16">
        <f ca="1">_xll.DBRW(Server&amp;Cube1,$B96,$H$35,$H$36,$H$37,$H$39,K$40,$H$34,$H$38)</f>
        <v>0</v>
      </c>
      <c r="L96" s="16">
        <f ca="1">_xll.DBRW(Server&amp;Cube1,$B96,$H$35,$H$36,$H$37,$H$39,L$40,$H$34,$H$38)</f>
        <v>0</v>
      </c>
      <c r="M96" s="16">
        <f ca="1">_xll.DBRW(Server&amp;Cube1,$B96,$H$35,$H$36,$H$37,$H$39,M$40,$H$34,$H$38)</f>
        <v>0</v>
      </c>
      <c r="N96" s="16">
        <f ca="1">_xll.DBRW(Server&amp;Cube1,$B96,$H$35,$H$36,$H$37,$H$39,N$40,$H$34,$H$38)</f>
        <v>0</v>
      </c>
      <c r="O96" s="16">
        <f ca="1">_xll.DBRW(Server&amp;Cube1,$B96,$H$35,$H$36,$H$37,$H$39,O$40,$H$34,$H$38)</f>
        <v>0</v>
      </c>
      <c r="P96" s="16">
        <f ca="1">_xll.DBRW(Server&amp;Cube1,$B96,$H$35,$H$36,$H$37,$H$39,P$40,$H$34,$H$38)</f>
        <v>0</v>
      </c>
      <c r="Q96" s="3"/>
      <c r="R96" s="59" t="str">
        <f t="shared" ca="1" si="3"/>
        <v/>
      </c>
      <c r="S96" s="38" t="str">
        <f t="shared" ca="1" si="4"/>
        <v/>
      </c>
      <c r="T96" s="27"/>
      <c r="U96" s="27"/>
      <c r="V96" s="27"/>
      <c r="W96" s="27"/>
      <c r="X96" s="27"/>
      <c r="Y96" s="27"/>
      <c r="Z96" s="27"/>
    </row>
    <row r="97" spans="2:26" ht="15.75" hidden="1" outlineLevel="1" x14ac:dyDescent="0.25">
      <c r="B97" t="s">
        <v>86</v>
      </c>
      <c r="E97" s="27"/>
      <c r="F97" s="27"/>
      <c r="G97" s="107" t="str">
        <f ca="1">_xll.DBRA(Server&amp;$W$9,$W$12,$H$27)</f>
        <v>Dont</v>
      </c>
      <c r="H97" s="62" t="str">
        <f ca="1">_xll.DBRA(Server&amp;$B$50,$B97,$H$27)</f>
        <v>Centre d'appels / courtage</v>
      </c>
      <c r="I97" s="57">
        <f ca="1">_xll.DBRW(Server&amp;Cube1,$B97,$H$35,$H$36,$H$37,$H$39,I$40,$H$34,$H$38)</f>
        <v>0</v>
      </c>
      <c r="J97" s="58">
        <f ca="1">_xll.DBRW(Server&amp;Cube1,$B97,$H$35,$H$36,$H$37,$H$39,J$40,$H$34,$H$38)</f>
        <v>0</v>
      </c>
      <c r="K97" s="16">
        <f ca="1">_xll.DBRW(Server&amp;Cube1,$B97,$H$35,$H$36,$H$37,$H$39,K$40,$H$34,$H$38)</f>
        <v>0</v>
      </c>
      <c r="L97" s="16">
        <f ca="1">_xll.DBRW(Server&amp;Cube1,$B97,$H$35,$H$36,$H$37,$H$39,L$40,$H$34,$H$38)</f>
        <v>0</v>
      </c>
      <c r="M97" s="16">
        <f ca="1">_xll.DBRW(Server&amp;Cube1,$B97,$H$35,$H$36,$H$37,$H$39,M$40,$H$34,$H$38)</f>
        <v>0</v>
      </c>
      <c r="N97" s="16">
        <f ca="1">_xll.DBRW(Server&amp;Cube1,$B97,$H$35,$H$36,$H$37,$H$39,N$40,$H$34,$H$38)</f>
        <v>0</v>
      </c>
      <c r="O97" s="16">
        <f ca="1">_xll.DBRW(Server&amp;Cube1,$B97,$H$35,$H$36,$H$37,$H$39,O$40,$H$34,$H$38)</f>
        <v>0</v>
      </c>
      <c r="P97" s="16">
        <f ca="1">_xll.DBRW(Server&amp;Cube1,$B97,$H$35,$H$36,$H$37,$H$39,P$40,$H$34,$H$38)</f>
        <v>0</v>
      </c>
      <c r="Q97" s="3"/>
      <c r="R97" s="59" t="str">
        <f t="shared" ca="1" si="3"/>
        <v/>
      </c>
      <c r="S97" s="38" t="str">
        <f t="shared" ca="1" si="4"/>
        <v/>
      </c>
      <c r="T97" s="27"/>
      <c r="U97" s="27"/>
      <c r="V97" s="27"/>
      <c r="W97" s="27"/>
      <c r="X97" s="27"/>
      <c r="Y97" s="27"/>
      <c r="Z97" s="27"/>
    </row>
    <row r="98" spans="2:26" ht="15.75" hidden="1" outlineLevel="1" x14ac:dyDescent="0.25">
      <c r="B98" t="s">
        <v>87</v>
      </c>
      <c r="E98" s="27"/>
      <c r="F98" s="27"/>
      <c r="G98" s="107" t="str">
        <f ca="1">_xll.DBRA(Server&amp;$W$9,$W$12,$H$27)</f>
        <v>Dont</v>
      </c>
      <c r="H98" s="62" t="str">
        <f ca="1">_xll.DBRA(Server&amp;$B$50,$B98,$H$27)</f>
        <v>Agence de voyage</v>
      </c>
      <c r="I98" s="57">
        <f ca="1">_xll.DBRW(Server&amp;Cube1,$B98,$H$35,$H$36,$H$37,$H$39,I$40,$H$34,$H$38)</f>
        <v>0</v>
      </c>
      <c r="J98" s="58">
        <f ca="1">_xll.DBRW(Server&amp;Cube1,$B98,$H$35,$H$36,$H$37,$H$39,J$40,$H$34,$H$38)</f>
        <v>0</v>
      </c>
      <c r="K98" s="16">
        <f ca="1">_xll.DBRW(Server&amp;Cube1,$B98,$H$35,$H$36,$H$37,$H$39,K$40,$H$34,$H$38)</f>
        <v>0</v>
      </c>
      <c r="L98" s="16">
        <f ca="1">_xll.DBRW(Server&amp;Cube1,$B98,$H$35,$H$36,$H$37,$H$39,L$40,$H$34,$H$38)</f>
        <v>0</v>
      </c>
      <c r="M98" s="16">
        <f ca="1">_xll.DBRW(Server&amp;Cube1,$B98,$H$35,$H$36,$H$37,$H$39,M$40,$H$34,$H$38)</f>
        <v>0</v>
      </c>
      <c r="N98" s="16">
        <f ca="1">_xll.DBRW(Server&amp;Cube1,$B98,$H$35,$H$36,$H$37,$H$39,N$40,$H$34,$H$38)</f>
        <v>0</v>
      </c>
      <c r="O98" s="16">
        <f ca="1">_xll.DBRW(Server&amp;Cube1,$B98,$H$35,$H$36,$H$37,$H$39,O$40,$H$34,$H$38)</f>
        <v>0</v>
      </c>
      <c r="P98" s="16">
        <f ca="1">_xll.DBRW(Server&amp;Cube1,$B98,$H$35,$H$36,$H$37,$H$39,P$40,$H$34,$H$38)</f>
        <v>0</v>
      </c>
      <c r="Q98" s="3"/>
      <c r="R98" s="59" t="str">
        <f t="shared" ca="1" si="3"/>
        <v/>
      </c>
      <c r="S98" s="38" t="str">
        <f t="shared" ca="1" si="4"/>
        <v/>
      </c>
      <c r="T98" s="27"/>
      <c r="U98" s="27"/>
      <c r="V98" s="27"/>
      <c r="W98" s="27"/>
      <c r="X98" s="27"/>
      <c r="Y98" s="27"/>
      <c r="Z98" s="27"/>
    </row>
    <row r="99" spans="2:26" ht="15.75" hidden="1" outlineLevel="1" x14ac:dyDescent="0.25">
      <c r="B99" t="s">
        <v>88</v>
      </c>
      <c r="E99" s="27"/>
      <c r="F99" s="27"/>
      <c r="G99" s="107" t="str">
        <f ca="1">_xll.DBRA(Server&amp;$W$9,$W$12,$H$27)</f>
        <v>Dont</v>
      </c>
      <c r="H99" s="62" t="str">
        <f ca="1">_xll.DBRA(Server&amp;$B$50,$B99,$H$27)</f>
        <v>Achat pour revente</v>
      </c>
      <c r="I99" s="57">
        <f ca="1">_xll.DBRW(Server&amp;Cube1,$B99,$H$35,$H$36,$H$37,$H$39,I$40,$H$34,$H$38)</f>
        <v>0</v>
      </c>
      <c r="J99" s="58">
        <f ca="1">_xll.DBRW(Server&amp;Cube1,$B99,$H$35,$H$36,$H$37,$H$39,J$40,$H$34,$H$38)</f>
        <v>0</v>
      </c>
      <c r="K99" s="16">
        <f ca="1">_xll.DBRW(Server&amp;Cube1,$B99,$H$35,$H$36,$H$37,$H$39,K$40,$H$34,$H$38)</f>
        <v>0</v>
      </c>
      <c r="L99" s="16">
        <f ca="1">_xll.DBRW(Server&amp;Cube1,$B99,$H$35,$H$36,$H$37,$H$39,L$40,$H$34,$H$38)</f>
        <v>0</v>
      </c>
      <c r="M99" s="16">
        <f ca="1">_xll.DBRW(Server&amp;Cube1,$B99,$H$35,$H$36,$H$37,$H$39,M$40,$H$34,$H$38)</f>
        <v>0</v>
      </c>
      <c r="N99" s="16">
        <f ca="1">_xll.DBRW(Server&amp;Cube1,$B99,$H$35,$H$36,$H$37,$H$39,N$40,$H$34,$H$38)</f>
        <v>0</v>
      </c>
      <c r="O99" s="16">
        <f ca="1">_xll.DBRW(Server&amp;Cube1,$B99,$H$35,$H$36,$H$37,$H$39,O$40,$H$34,$H$38)</f>
        <v>0</v>
      </c>
      <c r="P99" s="16">
        <f ca="1">_xll.DBRW(Server&amp;Cube1,$B99,$H$35,$H$36,$H$37,$H$39,P$40,$H$34,$H$38)</f>
        <v>0</v>
      </c>
      <c r="Q99" s="3"/>
      <c r="R99" s="59" t="str">
        <f t="shared" ca="1" si="3"/>
        <v/>
      </c>
      <c r="S99" s="38" t="str">
        <f t="shared" ca="1" si="4"/>
        <v/>
      </c>
      <c r="T99" s="27"/>
      <c r="U99" s="27"/>
      <c r="V99" s="27"/>
      <c r="W99" s="27"/>
      <c r="X99" s="27"/>
      <c r="Y99" s="27"/>
      <c r="Z99" s="27"/>
    </row>
    <row r="100" spans="2:26" ht="15.75" hidden="1" outlineLevel="1" x14ac:dyDescent="0.25">
      <c r="B100" t="s">
        <v>102</v>
      </c>
      <c r="E100" s="27"/>
      <c r="F100" s="27"/>
      <c r="G100" s="107" t="str">
        <f ca="1">_xll.DBRA(Server&amp;$W$9,$W$12,$H$27)</f>
        <v>Dont</v>
      </c>
      <c r="H100" s="62" t="str">
        <f ca="1">_xll.DBRA(Server&amp;$B$50,$B100,$H$27)</f>
        <v>Autres services - Activité technique de saisie</v>
      </c>
      <c r="I100" s="57">
        <f ca="1">_xll.DBRW(Server&amp;Cube1,$B100,$H$35,$H$36,$H$37,$H$39,I$40,$H$34,$H$38)</f>
        <v>0</v>
      </c>
      <c r="J100" s="58">
        <f ca="1">_xll.DBRW(Server&amp;Cube1,$B100,$H$35,$H$36,$H$37,$H$39,J$40,$H$34,$H$38)</f>
        <v>0</v>
      </c>
      <c r="K100" s="16">
        <f ca="1">_xll.DBRW(Server&amp;Cube1,$B100,$H$35,$H$36,$H$37,$H$39,K$40,$H$34,$H$38)</f>
        <v>0</v>
      </c>
      <c r="L100" s="16">
        <f ca="1">_xll.DBRW(Server&amp;Cube1,$B100,$H$35,$H$36,$H$37,$H$39,L$40,$H$34,$H$38)</f>
        <v>0</v>
      </c>
      <c r="M100" s="16">
        <f ca="1">_xll.DBRW(Server&amp;Cube1,$B100,$H$35,$H$36,$H$37,$H$39,M$40,$H$34,$H$38)</f>
        <v>0</v>
      </c>
      <c r="N100" s="16">
        <f ca="1">_xll.DBRW(Server&amp;Cube1,$B100,$H$35,$H$36,$H$37,$H$39,N$40,$H$34,$H$38)</f>
        <v>0</v>
      </c>
      <c r="O100" s="16">
        <f ca="1">_xll.DBRW(Server&amp;Cube1,$B100,$H$35,$H$36,$H$37,$H$39,O$40,$H$34,$H$38)</f>
        <v>0</v>
      </c>
      <c r="P100" s="16">
        <f ca="1">_xll.DBRW(Server&amp;Cube1,$B100,$H$35,$H$36,$H$37,$H$39,P$40,$H$34,$H$38)</f>
        <v>0</v>
      </c>
      <c r="Q100" s="3"/>
      <c r="R100" s="59" t="str">
        <f t="shared" ca="1" si="3"/>
        <v/>
      </c>
      <c r="S100" s="38" t="str">
        <f t="shared" ca="1" si="4"/>
        <v/>
      </c>
      <c r="T100" s="27"/>
      <c r="U100" s="27"/>
      <c r="V100" s="27"/>
      <c r="W100" s="27"/>
      <c r="X100" s="27"/>
      <c r="Y100" s="27"/>
      <c r="Z100" s="27"/>
    </row>
    <row r="101" spans="2:26" ht="15.75" collapsed="1" x14ac:dyDescent="0.25">
      <c r="B101" t="s">
        <v>89</v>
      </c>
      <c r="E101" s="27"/>
      <c r="F101" s="27"/>
      <c r="G101" s="107" t="str">
        <f ca="1">_xll.DBRA(Server&amp;$W$9,$W$12,$H$27)</f>
        <v>Dont</v>
      </c>
      <c r="H101" s="108" t="str">
        <f ca="1">_xll.DBRA(Server&amp;$B$50,$B101,$H$27)</f>
        <v>Holding</v>
      </c>
      <c r="I101" s="95">
        <f ca="1">_xll.DBRW(Server&amp;Cube1,$B101,$H$35,$H$36,$H$37,$H$39,I$40,$H$34,$H$38)</f>
        <v>0</v>
      </c>
      <c r="J101" s="96">
        <f ca="1">_xll.DBRW(Server&amp;Cube1,$B101,$H$35,$H$36,$H$37,$H$39,J$40,$H$34,$H$38)</f>
        <v>0</v>
      </c>
      <c r="K101" s="109">
        <f ca="1">_xll.DBRW(Server&amp;Cube1,$B101,$H$35,$H$36,$H$37,$H$39,K$40,$H$34,$H$38)</f>
        <v>0</v>
      </c>
      <c r="L101" s="109">
        <f ca="1">_xll.DBRW(Server&amp;Cube1,$B101,$H$35,$H$36,$H$37,$H$39,L$40,$H$34,$H$38)</f>
        <v>0</v>
      </c>
      <c r="M101" s="109">
        <f ca="1">_xll.DBRW(Server&amp;Cube1,$B101,$H$35,$H$36,$H$37,$H$39,M$40,$H$34,$H$38)</f>
        <v>0</v>
      </c>
      <c r="N101" s="109">
        <f ca="1">_xll.DBRW(Server&amp;Cube1,$B101,$H$35,$H$36,$H$37,$H$39,N$40,$H$34,$H$38)</f>
        <v>0</v>
      </c>
      <c r="O101" s="109">
        <f ca="1">_xll.DBRW(Server&amp;Cube1,$B101,$H$35,$H$36,$H$37,$H$39,O$40,$H$34,$H$38)</f>
        <v>0</v>
      </c>
      <c r="P101" s="109">
        <f ca="1">_xll.DBRW(Server&amp;Cube1,$B101,$H$35,$H$36,$H$37,$H$39,P$40,$H$34,$H$38)</f>
        <v>0</v>
      </c>
      <c r="Q101" s="3"/>
      <c r="R101" s="97" t="str">
        <f t="shared" ca="1" si="3"/>
        <v/>
      </c>
      <c r="S101" s="98" t="str">
        <f t="shared" ca="1" si="4"/>
        <v/>
      </c>
      <c r="T101" s="27"/>
      <c r="U101" s="27"/>
      <c r="V101" s="27"/>
      <c r="W101" s="27"/>
      <c r="X101" s="27"/>
      <c r="Y101" s="27"/>
      <c r="Z101" s="27"/>
    </row>
    <row r="102" spans="2:26" ht="15.75" x14ac:dyDescent="0.25">
      <c r="B102" t="s">
        <v>50</v>
      </c>
      <c r="E102" s="27"/>
      <c r="F102" s="27"/>
      <c r="G102" s="107" t="str">
        <f ca="1">_xll.DBRA(Server&amp;$W$9,$W$12,$H$27)</f>
        <v>Dont</v>
      </c>
      <c r="H102" s="108" t="str">
        <f ca="1">_xll.DBRA(Server&amp;$B$50,$B102,$H$27)</f>
        <v>Non affecté</v>
      </c>
      <c r="I102" s="95">
        <f ca="1">_xll.DBRW(Server&amp;Cube1,$B102,$H$35,$H$36,$H$37,$H$39,I$40,$H$34,$H$38)</f>
        <v>0</v>
      </c>
      <c r="J102" s="96">
        <f ca="1">_xll.DBRW(Server&amp;Cube1,$B102,$H$35,$H$36,$H$37,$H$39,J$40,$H$34,$H$38)</f>
        <v>0</v>
      </c>
      <c r="K102" s="109">
        <f ca="1">_xll.DBRW(Server&amp;Cube1,$B102,$H$35,$H$36,$H$37,$H$39,K$40,$H$34,$H$38)</f>
        <v>0</v>
      </c>
      <c r="L102" s="109">
        <f ca="1">_xll.DBRW(Server&amp;Cube1,$B102,$H$35,$H$36,$H$37,$H$39,L$40,$H$34,$H$38)</f>
        <v>0</v>
      </c>
      <c r="M102" s="109">
        <f ca="1">_xll.DBRW(Server&amp;Cube1,$B102,$H$35,$H$36,$H$37,$H$39,M$40,$H$34,$H$38)</f>
        <v>0</v>
      </c>
      <c r="N102" s="109">
        <f ca="1">_xll.DBRW(Server&amp;Cube1,$B102,$H$35,$H$36,$H$37,$H$39,N$40,$H$34,$H$38)</f>
        <v>0</v>
      </c>
      <c r="O102" s="109">
        <f ca="1">_xll.DBRW(Server&amp;Cube1,$B102,$H$35,$H$36,$H$37,$H$39,O$40,$H$34,$H$38)</f>
        <v>0</v>
      </c>
      <c r="P102" s="109">
        <f ca="1">_xll.DBRW(Server&amp;Cube1,$B102,$H$35,$H$36,$H$37,$H$39,P$40,$H$34,$H$38)</f>
        <v>0</v>
      </c>
      <c r="Q102" s="3"/>
      <c r="R102" s="97" t="str">
        <f t="shared" ca="1" si="3"/>
        <v/>
      </c>
      <c r="S102" s="98" t="str">
        <f t="shared" ca="1" si="4"/>
        <v/>
      </c>
      <c r="T102" s="27"/>
      <c r="U102" s="27"/>
      <c r="V102" s="27"/>
      <c r="W102" s="27"/>
      <c r="X102" s="27"/>
      <c r="Y102" s="27"/>
      <c r="Z102" s="27"/>
    </row>
    <row r="103" spans="2:26" ht="15.75" x14ac:dyDescent="0.25">
      <c r="B103" t="s">
        <v>90</v>
      </c>
      <c r="E103" s="27"/>
      <c r="F103" s="27"/>
      <c r="G103" s="107" t="str">
        <f ca="1">_xll.DBRA(Server&amp;$W$9,$W$12,$H$27)</f>
        <v>Dont</v>
      </c>
      <c r="H103" s="108" t="str">
        <f ca="1">_xll.DBRA(Server&amp;$B$50,$B103,$H$27)</f>
        <v>Rejets</v>
      </c>
      <c r="I103" s="95">
        <f ca="1">_xll.DBRW(Server&amp;Cube1,$B103,$H$35,$H$36,$H$37,$H$39,I$40,$H$34,$H$38)</f>
        <v>0</v>
      </c>
      <c r="J103" s="96">
        <f ca="1">_xll.DBRW(Server&amp;Cube1,$B103,$H$35,$H$36,$H$37,$H$39,J$40,$H$34,$H$38)</f>
        <v>0</v>
      </c>
      <c r="K103" s="109">
        <f ca="1">_xll.DBRW(Server&amp;Cube1,$B103,$H$35,$H$36,$H$37,$H$39,K$40,$H$34,$H$38)</f>
        <v>0</v>
      </c>
      <c r="L103" s="109">
        <f ca="1">_xll.DBRW(Server&amp;Cube1,$B103,$H$35,$H$36,$H$37,$H$39,L$40,$H$34,$H$38)</f>
        <v>0</v>
      </c>
      <c r="M103" s="109">
        <f ca="1">_xll.DBRW(Server&amp;Cube1,$B103,$H$35,$H$36,$H$37,$H$39,M$40,$H$34,$H$38)</f>
        <v>0</v>
      </c>
      <c r="N103" s="109">
        <f ca="1">_xll.DBRW(Server&amp;Cube1,$B103,$H$35,$H$36,$H$37,$H$39,N$40,$H$34,$H$38)</f>
        <v>0</v>
      </c>
      <c r="O103" s="109">
        <f ca="1">_xll.DBRW(Server&amp;Cube1,$B103,$H$35,$H$36,$H$37,$H$39,O$40,$H$34,$H$38)</f>
        <v>0</v>
      </c>
      <c r="P103" s="109">
        <f ca="1">_xll.DBRW(Server&amp;Cube1,$B103,$H$35,$H$36,$H$37,$H$39,P$40,$H$34,$H$38)</f>
        <v>0</v>
      </c>
      <c r="Q103" s="3"/>
      <c r="R103" s="97" t="str">
        <f t="shared" ca="1" si="3"/>
        <v/>
      </c>
      <c r="S103" s="98" t="str">
        <f t="shared" ca="1" si="4"/>
        <v/>
      </c>
      <c r="T103" s="27"/>
      <c r="U103" s="27"/>
      <c r="V103" s="27"/>
      <c r="W103" s="27"/>
      <c r="X103" s="27"/>
      <c r="Y103" s="27"/>
      <c r="Z103" s="27"/>
    </row>
    <row r="104" spans="2:26" x14ac:dyDescent="0.2"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2:26" x14ac:dyDescent="0.2"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2:26" x14ac:dyDescent="0.2"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2:26" x14ac:dyDescent="0.2"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2:26" x14ac:dyDescent="0.2"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2:26" x14ac:dyDescent="0.2"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2:26" x14ac:dyDescent="0.2"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2:26" x14ac:dyDescent="0.2"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2:26" x14ac:dyDescent="0.2"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5:26" x14ac:dyDescent="0.2"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5:26" x14ac:dyDescent="0.2"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5:26" x14ac:dyDescent="0.2"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5:26" x14ac:dyDescent="0.2"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</sheetData>
  <sheetProtection sheet="1" objects="1" scenarios="1" formatColumns="0" formatRows="0"/>
  <mergeCells count="27">
    <mergeCell ref="Z37:Z38"/>
    <mergeCell ref="Y27:Y28"/>
    <mergeCell ref="Y29:Y30"/>
    <mergeCell ref="Z29:Z30"/>
    <mergeCell ref="Z31:Z32"/>
    <mergeCell ref="Y33:Y34"/>
    <mergeCell ref="Y23:Y24"/>
    <mergeCell ref="Y25:Y26"/>
    <mergeCell ref="Z25:Z26"/>
    <mergeCell ref="Y35:Y36"/>
    <mergeCell ref="Z35:Z36"/>
    <mergeCell ref="Y12:Y13"/>
    <mergeCell ref="Y14:Y15"/>
    <mergeCell ref="Z14:Z15"/>
    <mergeCell ref="Y18:Y20"/>
    <mergeCell ref="Y21:Y22"/>
    <mergeCell ref="Z21:Z22"/>
    <mergeCell ref="Z3:Z4"/>
    <mergeCell ref="Z5:Z6"/>
    <mergeCell ref="Z7:Z8"/>
    <mergeCell ref="Y9:Y10"/>
    <mergeCell ref="Y7:Y8"/>
    <mergeCell ref="G41:H41"/>
    <mergeCell ref="H15:O15"/>
    <mergeCell ref="H16:O16"/>
    <mergeCell ref="P15:R17"/>
    <mergeCell ref="H17:O17"/>
  </mergeCells>
  <conditionalFormatting sqref="G16:O16 G41:P41 R41:S41 G50:P50 R50:S50 G15:P15 S15:S17 G17:H17">
    <cfRule type="expression" dxfId="108" priority="2398">
      <formula>$Z$2=$Z$3</formula>
    </cfRule>
  </conditionalFormatting>
  <conditionalFormatting sqref="G16:O16 G41:P41 R41:S41 G50:P50 R50:S50 G15:P15 S15:S17 G17:H17">
    <cfRule type="expression" dxfId="107" priority="2406">
      <formula>$Z$2=$Z$5</formula>
    </cfRule>
  </conditionalFormatting>
  <conditionalFormatting sqref="G16:O16 G41:P41 R41:S41 G50:P50 R50:S50 G15:P15 S15:S17 G17:H17">
    <cfRule type="expression" dxfId="106" priority="2414">
      <formula>OR($Z$2=$Z$7,$Z$2=$Z$9,$Z$2=$Z$10)</formula>
    </cfRule>
  </conditionalFormatting>
  <conditionalFormatting sqref="G16:O16 G41:P41 R41:S41 G50:P50 R50:S50 G15:P15 S15:S17 G17:H17">
    <cfRule type="expression" dxfId="105" priority="2422">
      <formula>OR($Z$2=$Z$12,$Z$2=$Z$13,$Z$2=$Z$14)</formula>
    </cfRule>
  </conditionalFormatting>
  <conditionalFormatting sqref="G16:O16 G41:P41 R41:S41 G50:P50 G15:P15 S15:S17 G17:H17 R2:S2 G51:G103 H101:P103 R101:S103 H90:P90 R90:S90 H86:P86 R86:S86 H80:P82 R80:S82 H76:P76 R76:S76 H69:P69 R69:S69 H65:P65 R65:S65 H60:P60 R60:S60 H51:P51 R50:S51 G2:P2">
    <cfRule type="expression" dxfId="104" priority="2430">
      <formula>OR($Z$2=$Z$16,$Z$2=$Z$17)</formula>
    </cfRule>
  </conditionalFormatting>
  <conditionalFormatting sqref="G16:O16 G41:P41 R41:S41 G50:P50 R50:S50 G15:P15 S15:S17 G17:H17">
    <cfRule type="expression" dxfId="103" priority="2457">
      <formula>OR($Z$2=$Z$18,$Z$2=$Z$20,$Z$2=$Z$21)</formula>
    </cfRule>
  </conditionalFormatting>
  <conditionalFormatting sqref="G16:O16 G41:P41 R41:S41 G50:P50 R50:S50 G15:P15 S15:S17 G17:H17">
    <cfRule type="expression" dxfId="102" priority="2465">
      <formula>OR($Z$2=$Z$23,$Z$2=$Z$24,$Z$2=$Z$25)</formula>
    </cfRule>
  </conditionalFormatting>
  <conditionalFormatting sqref="G16:O16 G41:P41 R41:S41 G50:P50 R50:S50 G15:P15 S15:S17 G17:H17">
    <cfRule type="expression" dxfId="101" priority="2473">
      <formula>OR($Z$2=$Z$27,$Z$2=$Z$28,$Z$2=$Z$29)</formula>
    </cfRule>
  </conditionalFormatting>
  <conditionalFormatting sqref="G16:O16 G41:P41 R41:S41 G50:P50 R50:S50 G15:P15 S15:S17 G17:H17">
    <cfRule type="expression" dxfId="100" priority="2481">
      <formula>$Z$2=$Z$31</formula>
    </cfRule>
  </conditionalFormatting>
  <conditionalFormatting sqref="G16:O16 G41:P41 R41:S41 G50:P50 R50:S50 G15:P15 S15:S17 G17:H17">
    <cfRule type="expression" dxfId="99" priority="2489">
      <formula>OR($Z$2=$Z$33,$Z$2=$Z$34,$Z$2=$Z$35)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8" priority="2497">
      <formula>$Z$2=$Z$3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7" priority="2518">
      <formula>$Z$2=$Z$5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6" priority="2539">
      <formula>OR($Z$2=$Z$7,$Z$2=$Z$9,$Z$2=$Z$10)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5" priority="2560">
      <formula>OR($Z$2=$Z$12,$Z$2=$Z$13,$Z$2=$Z$14)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4" priority="2582">
      <formula>OR($Z$2=$Z$18,$Z$2=$Z$20,$Z$2=$Z$21)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3" priority="2603">
      <formula>OR($Z$2=$Z$23,$Z$2=$Z$24,$Z$2=$Z$25)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2" priority="2624">
      <formula>OR($Z$2=$Z$27,$Z$2=$Z$28,$Z$2=$Z$29)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1" priority="2645">
      <formula>$Z$2=$Z$31</formula>
    </cfRule>
  </conditionalFormatting>
  <conditionalFormatting sqref="G2:P2 R2:S2 G51:G103 H101:P103 R101:S103 H90:P90 R90:S90 H86:P86 R86:S86 H80:P82 R80:S82 H76:P76 R76:S76 H69:P69 R69:S69 H65:P65 R65:S65 H60:P60 R60:S60 H51:P51 R51:S51">
    <cfRule type="expression" dxfId="90" priority="2666">
      <formula>OR($Z$2=$Z$33,$Z$2=$Z$34,$Z$2=$Z$35)</formula>
    </cfRule>
  </conditionalFormatting>
  <conditionalFormatting sqref="R47:S47 G47:P47 R44:S44 G44:P44">
    <cfRule type="expression" dxfId="9" priority="1">
      <formula>OR($Z$2=$Z$16,$Z$2=$Z$17)</formula>
    </cfRule>
  </conditionalFormatting>
  <conditionalFormatting sqref="G47:P47 R47:S47 G44:P44 R44:S44">
    <cfRule type="expression" dxfId="8" priority="2">
      <formula>$Z$2=$Z$3</formula>
    </cfRule>
  </conditionalFormatting>
  <conditionalFormatting sqref="G47:P47 R47:S47 G44:P44 R44:S44">
    <cfRule type="expression" dxfId="7" priority="3">
      <formula>$Z$2=$Z$5</formula>
    </cfRule>
  </conditionalFormatting>
  <conditionalFormatting sqref="G47:P47 R47:S47 G44:P44 R44:S44">
    <cfRule type="expression" dxfId="6" priority="4">
      <formula>OR($Z$2=$Z$7,$Z$2=$Z$9,$Z$2=$Z$10)</formula>
    </cfRule>
  </conditionalFormatting>
  <conditionalFormatting sqref="G47:P47 R47:S47 G44:P44 R44:S44">
    <cfRule type="expression" dxfId="5" priority="5">
      <formula>OR($Z$2=$Z$12,$Z$2=$Z$13,$Z$2=$Z$14)</formula>
    </cfRule>
  </conditionalFormatting>
  <conditionalFormatting sqref="G47:P47 R47:S47 G44:P44 R44:S44">
    <cfRule type="expression" dxfId="4" priority="6">
      <formula>OR($Z$2=$Z$18,$Z$2=$Z$20,$Z$2=$Z$21)</formula>
    </cfRule>
  </conditionalFormatting>
  <conditionalFormatting sqref="G47:P47 R47:S47 G44:P44 R44:S44">
    <cfRule type="expression" dxfId="3" priority="7">
      <formula>OR($Z$2=$Z$23,$Z$2=$Z$24,$Z$2=$Z$25)</formula>
    </cfRule>
  </conditionalFormatting>
  <conditionalFormatting sqref="G47:P47 R47:S47 G44:P44 R44:S44">
    <cfRule type="expression" dxfId="2" priority="8">
      <formula>OR($Z$2=$Z$27,$Z$2=$Z$28,$Z$2=$Z$29)</formula>
    </cfRule>
  </conditionalFormatting>
  <conditionalFormatting sqref="G47:P47 R47:S47 G44:P44 R44:S44">
    <cfRule type="expression" dxfId="1" priority="9">
      <formula>$Z$2=$Z$31</formula>
    </cfRule>
  </conditionalFormatting>
  <conditionalFormatting sqref="G47:P47 R47:S47 G44:P44 R44:S44">
    <cfRule type="expression" dxfId="0" priority="10">
      <formula>OR($Z$2=$Z$33,$Z$2=$Z$34,$Z$2=$Z$35)</formula>
    </cfRule>
  </conditionalFormatting>
  <dataValidations count="1">
    <dataValidation type="list" allowBlank="1" showInputMessage="1" showErrorMessage="1" sqref="H27">
      <formula1>Language</formula1>
    </dataValidation>
  </dataValidations>
  <printOptions horizontalCentered="1"/>
  <pageMargins left="3.937007874015748E-2" right="0.27559055118110237" top="0.15748031496062992" bottom="0.15748031496062992" header="0.11811023622047245" footer="0.11811023622047245"/>
  <pageSetup paperSize="9" scale="42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print="0" autoLine="0" autoPict="0" r:id="rId5">
            <anchor moveWithCells="1">
              <from>
                <xdr:col>6</xdr:col>
                <xdr:colOff>285750</xdr:colOff>
                <xdr:row>17</xdr:row>
                <xdr:rowOff>104775</xdr:rowOff>
              </from>
              <to>
                <xdr:col>6</xdr:col>
                <xdr:colOff>1990725</xdr:colOff>
                <xdr:row>18</xdr:row>
                <xdr:rowOff>190500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F8F41DDFC12A047B89ADFEAFA8CA40C" ma:contentTypeVersion="18" ma:contentTypeDescription="Crée un document." ma:contentTypeScope="" ma:versionID="1f7140a7bbedc0c2710b5bb791715270">
  <xsd:schema xmlns:xsd="http://www.w3.org/2001/XMLSchema" xmlns:xs="http://www.w3.org/2001/XMLSchema" xmlns:p="http://schemas.microsoft.com/office/2006/metadata/properties" xmlns:ns2="37c46d26-95e5-4380-a06b-df42f7fe1bef" xmlns:ns3="7ab32658-e8b5-4d7e-b280-1fb722dd2be1" targetNamespace="http://schemas.microsoft.com/office/2006/metadata/properties" ma:root="true" ma:fieldsID="99e5fd3a55f4560dcbc440286aaed2a9" ns2:_="" ns3:_="">
    <xsd:import namespace="37c46d26-95e5-4380-a06b-df42f7fe1bef"/>
    <xsd:import namespace="7ab32658-e8b5-4d7e-b280-1fb722dd2b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7c46d26-95e5-4380-a06b-df42f7fe1b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ServiceLocation" ma:index="12" nillable="true" ma:displayName="Location" ma:internalName="MediaServiceLocatio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5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6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ab32658-e8b5-4d7e-b280-1fb722dd2be1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b49a2378-73c7-4e4c-bff8-b85a2f404b86" ContentTypeId="0x0101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FC11DBB-0249-4C5A-8F78-EF4FCA293F72}"/>
</file>

<file path=customXml/itemProps2.xml><?xml version="1.0" encoding="utf-8"?>
<ds:datastoreItem xmlns:ds="http://schemas.openxmlformats.org/officeDocument/2006/customXml" ds:itemID="{86C0723E-558E-4AB2-90DB-FD3EE4CF3E26}"/>
</file>

<file path=customXml/itemProps3.xml><?xml version="1.0" encoding="utf-8"?>
<ds:datastoreItem xmlns:ds="http://schemas.openxmlformats.org/officeDocument/2006/customXml" ds:itemID="{8A043381-B832-4FFB-8260-C324A2E22E68}"/>
</file>

<file path=customXml/itemProps4.xml><?xml version="1.0" encoding="utf-8"?>
<ds:datastoreItem xmlns:ds="http://schemas.openxmlformats.org/officeDocument/2006/customXml" ds:itemID="{B1AD1FF2-8F81-4AE8-AB73-88DBE6828FE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19</vt:i4>
      </vt:variant>
    </vt:vector>
  </HeadingPairs>
  <TitlesOfParts>
    <vt:vector size="22" baseType="lpstr">
      <vt:lpstr>Context</vt:lpstr>
      <vt:lpstr>Control</vt:lpstr>
      <vt:lpstr>Output</vt:lpstr>
      <vt:lpstr>ActivityList</vt:lpstr>
      <vt:lpstr>ActualLTP</vt:lpstr>
      <vt:lpstr>ActualYear</vt:lpstr>
      <vt:lpstr>Check_Activity</vt:lpstr>
      <vt:lpstr>Cube1</vt:lpstr>
      <vt:lpstr>Cube2</vt:lpstr>
      <vt:lpstr>Flag_Send_Comment</vt:lpstr>
      <vt:lpstr>Flag_Send_Data</vt:lpstr>
      <vt:lpstr>Language</vt:lpstr>
      <vt:lpstr>LocalLanguage</vt:lpstr>
      <vt:lpstr>Server</vt:lpstr>
      <vt:lpstr>Control!TM1RPTDATARNGARPT1</vt:lpstr>
      <vt:lpstr>Output!TM1RPTDATARNGARPT5</vt:lpstr>
      <vt:lpstr>Control!TM1RPTFMTIDCOL</vt:lpstr>
      <vt:lpstr>Output!TM1RPTFMTIDCOL</vt:lpstr>
      <vt:lpstr>Control!TM1RPTFMTRNG</vt:lpstr>
      <vt:lpstr>Output!TM1RPTFMTRNG</vt:lpstr>
      <vt:lpstr>xHost</vt:lpstr>
      <vt:lpstr>xServer</vt:lpstr>
    </vt:vector>
  </TitlesOfParts>
  <Company>BearingPoint EMEA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CAUSSIDOU, Fabienne</cp:lastModifiedBy>
  <cp:lastPrinted>2012-05-23T16:42:40Z</cp:lastPrinted>
  <dcterms:created xsi:type="dcterms:W3CDTF">2012-01-30T16:11:20Z</dcterms:created>
  <dcterms:modified xsi:type="dcterms:W3CDTF">2021-07-28T13:42:40Z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0x010100CF8F41DDFC12A047B89ADFEAFA8CA40C</vt:lpwstr>
  </property>
</Properties>
</file>