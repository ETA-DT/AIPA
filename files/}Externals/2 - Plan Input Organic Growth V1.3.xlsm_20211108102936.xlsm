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480" windowWidth="13860" windowHeight="6060" tabRatio="818" activeTab="2"/>
  </bookViews>
  <sheets>
    <sheet name="Context" sheetId="4" r:id="rId1"/>
    <sheet name="Control" sheetId="19" state="hidden" r:id="rId2"/>
    <sheet name="Plan Input" sheetId="33" r:id="rId3"/>
    <sheet name="Plan Input_DBS" sheetId="34" state="hidden" r:id="rId4"/>
    <sheet name="IFRS16 Simulation" sheetId="43" r:id="rId5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Control!$D$15:$D$22</definedName>
    <definedName name="ActualLTP">Context!$B$16</definedName>
    <definedName name="ActualMonth">Context!$B$16</definedName>
    <definedName name="ActualYear">Context!$B$15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Area" localSheetId="0">Context!$E$3:$L$30</definedName>
    <definedName name="Print_Area" localSheetId="2">'Plan Input'!$C$3:$M$184</definedName>
    <definedName name="Print_Area" localSheetId="3">'Plan Input_DBS'!$C$3:$M$119</definedName>
    <definedName name="Print_Titles" localSheetId="2">'Plan Input'!$7:$16</definedName>
    <definedName name="Print_Titles" localSheetId="3">'Plan Input_DBS'!$7:$16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Control!$D$15:$D$22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1">Control!$15:$20</definedName>
    <definedName name="TM1RPTFMTIDCOL" localSheetId="1">Control!$A$1:$A$8</definedName>
    <definedName name="TM1RPTFMTRNG" localSheetId="1">Control!$B$1:$E$8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58" i="33" l="1"/>
  <c r="F57" i="33"/>
  <c r="F56" i="33"/>
  <c r="F55" i="33"/>
  <c r="E58" i="33"/>
  <c r="E57" i="33"/>
  <c r="E56" i="33"/>
  <c r="E55" i="33"/>
  <c r="D58" i="33"/>
  <c r="D57" i="33"/>
  <c r="D56" i="33"/>
  <c r="D55" i="33"/>
  <c r="B19" i="4"/>
  <c r="B18" i="4"/>
  <c r="I11" i="4"/>
  <c r="O11" i="4"/>
  <c r="O10" i="4"/>
  <c r="O9" i="4"/>
  <c r="A20" i="19"/>
  <c r="A19" i="19"/>
  <c r="A18" i="19"/>
  <c r="A17" i="19"/>
  <c r="A16" i="19"/>
  <c r="B9" i="19"/>
  <c r="E20" i="19"/>
  <c r="D20" i="19"/>
  <c r="E19" i="19"/>
  <c r="D19" i="19"/>
  <c r="E18" i="19"/>
  <c r="D18" i="19"/>
  <c r="E17" i="19"/>
  <c r="D17" i="19"/>
  <c r="E16" i="19"/>
  <c r="D16" i="19"/>
  <c r="B5" i="4"/>
  <c r="I12" i="4"/>
  <c r="B16" i="4"/>
  <c r="I10" i="4"/>
  <c r="C1" i="33"/>
  <c r="C2" i="33"/>
  <c r="F2" i="33"/>
  <c r="I14" i="4"/>
  <c r="T6" i="4"/>
  <c r="F49" i="33"/>
  <c r="G85" i="33"/>
  <c r="G86" i="33"/>
  <c r="G26" i="33"/>
  <c r="G27" i="33"/>
  <c r="G31" i="33"/>
  <c r="G36" i="33"/>
  <c r="F109" i="33"/>
  <c r="G54" i="33"/>
  <c r="G55" i="33"/>
  <c r="G56" i="33"/>
  <c r="G57" i="33"/>
  <c r="G58" i="33"/>
  <c r="G60" i="33"/>
  <c r="G63" i="33"/>
  <c r="G67" i="33"/>
  <c r="G70" i="33"/>
  <c r="G73" i="33"/>
  <c r="G80" i="33"/>
  <c r="G82" i="33"/>
  <c r="H26" i="33"/>
  <c r="H27" i="33"/>
  <c r="H31" i="33"/>
  <c r="H36" i="33"/>
  <c r="I26" i="33"/>
  <c r="I27" i="33"/>
  <c r="I31" i="33"/>
  <c r="I36" i="33"/>
  <c r="J26" i="33"/>
  <c r="J27" i="33"/>
  <c r="J31" i="33"/>
  <c r="J36" i="33"/>
  <c r="K26" i="33"/>
  <c r="K27" i="33"/>
  <c r="K31" i="33"/>
  <c r="K36" i="33"/>
  <c r="G2" i="33"/>
  <c r="G93" i="33"/>
  <c r="H54" i="33"/>
  <c r="H55" i="33"/>
  <c r="H56" i="33"/>
  <c r="H57" i="33"/>
  <c r="H58" i="33"/>
  <c r="H60" i="33"/>
  <c r="H63" i="33"/>
  <c r="H67" i="33"/>
  <c r="H70" i="33"/>
  <c r="H73" i="33"/>
  <c r="H80" i="33"/>
  <c r="H82" i="33"/>
  <c r="H2" i="33"/>
  <c r="H93" i="33"/>
  <c r="I54" i="33"/>
  <c r="I55" i="33"/>
  <c r="I56" i="33"/>
  <c r="I57" i="33"/>
  <c r="I58" i="33"/>
  <c r="I60" i="33"/>
  <c r="I63" i="33"/>
  <c r="I67" i="33"/>
  <c r="I70" i="33"/>
  <c r="I73" i="33"/>
  <c r="I80" i="33"/>
  <c r="I82" i="33"/>
  <c r="I2" i="33"/>
  <c r="I93" i="33"/>
  <c r="J54" i="33"/>
  <c r="J55" i="33"/>
  <c r="J56" i="33"/>
  <c r="J57" i="33"/>
  <c r="J58" i="33"/>
  <c r="J60" i="33"/>
  <c r="J63" i="33"/>
  <c r="J67" i="33"/>
  <c r="J70" i="33"/>
  <c r="J73" i="33"/>
  <c r="J80" i="33"/>
  <c r="J82" i="33"/>
  <c r="J2" i="33"/>
  <c r="J93" i="33"/>
  <c r="K54" i="33"/>
  <c r="K55" i="33"/>
  <c r="K56" i="33"/>
  <c r="K57" i="33"/>
  <c r="K58" i="33"/>
  <c r="K60" i="33"/>
  <c r="K63" i="33"/>
  <c r="K67" i="33"/>
  <c r="K70" i="33"/>
  <c r="K73" i="33"/>
  <c r="K80" i="33"/>
  <c r="K82" i="33"/>
  <c r="F100" i="33"/>
  <c r="G100" i="33"/>
  <c r="H100" i="33"/>
  <c r="I100" i="33"/>
  <c r="J100" i="33"/>
  <c r="K100" i="33"/>
  <c r="F39" i="33"/>
  <c r="E2" i="33"/>
  <c r="E109" i="33"/>
  <c r="F123" i="33"/>
  <c r="E39" i="33"/>
  <c r="D2" i="33"/>
  <c r="D109" i="33"/>
  <c r="E123" i="33"/>
  <c r="D9" i="33"/>
  <c r="C3" i="33"/>
  <c r="K2" i="33"/>
  <c r="P14" i="4"/>
  <c r="K4" i="33"/>
  <c r="J4" i="33"/>
  <c r="I4" i="33"/>
  <c r="H4" i="33"/>
  <c r="G4" i="33"/>
  <c r="E22" i="33"/>
  <c r="F22" i="33"/>
  <c r="G22" i="33"/>
  <c r="H22" i="33"/>
  <c r="I22" i="33"/>
  <c r="J22" i="33"/>
  <c r="K22" i="33"/>
  <c r="D22" i="33"/>
  <c r="C85" i="33"/>
  <c r="C43" i="33"/>
  <c r="C38" i="33"/>
  <c r="M126" i="33"/>
  <c r="M85" i="33"/>
  <c r="M43" i="33"/>
  <c r="M38" i="33"/>
  <c r="K93" i="33"/>
  <c r="AC38" i="33"/>
  <c r="AC85" i="33"/>
  <c r="AC43" i="33"/>
  <c r="M85" i="34"/>
  <c r="M43" i="34"/>
  <c r="M38" i="34"/>
  <c r="F111" i="33"/>
  <c r="F102" i="33"/>
  <c r="C39" i="33"/>
  <c r="F101" i="33"/>
  <c r="G101" i="33"/>
  <c r="F103" i="33"/>
  <c r="G103" i="33"/>
  <c r="F104" i="33"/>
  <c r="G104" i="33"/>
  <c r="G5" i="33"/>
  <c r="G6" i="33"/>
  <c r="H5" i="33"/>
  <c r="H6" i="33"/>
  <c r="I5" i="33"/>
  <c r="I6" i="33"/>
  <c r="J5" i="33"/>
  <c r="J6" i="33"/>
  <c r="K5" i="33"/>
  <c r="K6" i="33"/>
  <c r="E103" i="33"/>
  <c r="F121" i="33"/>
  <c r="E121" i="33"/>
  <c r="D121" i="33"/>
  <c r="F120" i="33"/>
  <c r="E120" i="33"/>
  <c r="D120" i="33"/>
  <c r="F119" i="33"/>
  <c r="E119" i="33"/>
  <c r="D119" i="33"/>
  <c r="F118" i="33"/>
  <c r="E118" i="33"/>
  <c r="D118" i="33"/>
  <c r="F117" i="33"/>
  <c r="E117" i="33"/>
  <c r="D117" i="33"/>
  <c r="F116" i="33"/>
  <c r="E116" i="33"/>
  <c r="D116" i="33"/>
  <c r="F115" i="33"/>
  <c r="E115" i="33"/>
  <c r="D115" i="33"/>
  <c r="F114" i="33"/>
  <c r="E114" i="33"/>
  <c r="D114" i="33"/>
  <c r="F113" i="33"/>
  <c r="E113" i="33"/>
  <c r="D113" i="33"/>
  <c r="F112" i="33"/>
  <c r="E112" i="33"/>
  <c r="D112" i="33"/>
  <c r="E111" i="33"/>
  <c r="D111" i="33"/>
  <c r="F110" i="33"/>
  <c r="E110" i="33"/>
  <c r="D110" i="33"/>
  <c r="F108" i="33"/>
  <c r="E108" i="33"/>
  <c r="D108" i="33"/>
  <c r="F107" i="33"/>
  <c r="E107" i="33"/>
  <c r="D107" i="33"/>
  <c r="F106" i="33"/>
  <c r="E106" i="33"/>
  <c r="D106" i="33"/>
  <c r="F105" i="33"/>
  <c r="E105" i="33"/>
  <c r="D105" i="33"/>
  <c r="E104" i="33"/>
  <c r="D104" i="33"/>
  <c r="D103" i="33"/>
  <c r="E102" i="33"/>
  <c r="D102" i="33"/>
  <c r="E101" i="33"/>
  <c r="D101" i="33"/>
  <c r="E100" i="33"/>
  <c r="D100" i="33"/>
  <c r="G116" i="33"/>
  <c r="H116" i="33"/>
  <c r="G117" i="33"/>
  <c r="H117" i="33"/>
  <c r="G119" i="33"/>
  <c r="H119" i="33"/>
  <c r="I116" i="33"/>
  <c r="I117" i="33"/>
  <c r="I119" i="33"/>
  <c r="J116" i="33"/>
  <c r="J117" i="33"/>
  <c r="J119" i="33"/>
  <c r="K116" i="33"/>
  <c r="K117" i="33"/>
  <c r="K119" i="33"/>
  <c r="P15" i="4"/>
  <c r="K74" i="34"/>
  <c r="J74" i="34"/>
  <c r="I74" i="34"/>
  <c r="H74" i="34"/>
  <c r="G74" i="34"/>
  <c r="K71" i="34"/>
  <c r="J71" i="34"/>
  <c r="I71" i="34"/>
  <c r="H71" i="34"/>
  <c r="G71" i="34"/>
  <c r="K44" i="34"/>
  <c r="J44" i="34"/>
  <c r="I44" i="34"/>
  <c r="H44" i="34"/>
  <c r="G44" i="34"/>
  <c r="F44" i="33"/>
  <c r="E44" i="33"/>
  <c r="D44" i="33"/>
  <c r="C44" i="33"/>
  <c r="K86" i="34"/>
  <c r="J86" i="34"/>
  <c r="I86" i="34"/>
  <c r="H86" i="34"/>
  <c r="G86" i="34"/>
  <c r="F86" i="33"/>
  <c r="E86" i="33"/>
  <c r="D86" i="33"/>
  <c r="C86" i="33"/>
  <c r="K39" i="34"/>
  <c r="J39" i="34"/>
  <c r="I39" i="34"/>
  <c r="H39" i="34"/>
  <c r="G39" i="34"/>
  <c r="D39" i="33"/>
  <c r="H101" i="33"/>
  <c r="H103" i="33"/>
  <c r="H104" i="33"/>
  <c r="G106" i="33"/>
  <c r="H106" i="33"/>
  <c r="I101" i="33"/>
  <c r="I103" i="33"/>
  <c r="I104" i="33"/>
  <c r="I106" i="33"/>
  <c r="J101" i="33"/>
  <c r="J103" i="33"/>
  <c r="J104" i="33"/>
  <c r="J106" i="33"/>
  <c r="K101" i="33"/>
  <c r="K103" i="33"/>
  <c r="K104" i="33"/>
  <c r="K106" i="33"/>
  <c r="F6" i="33"/>
  <c r="E6" i="33"/>
  <c r="D6" i="33"/>
  <c r="F5" i="33"/>
  <c r="E5" i="33"/>
  <c r="D5" i="33"/>
  <c r="F4" i="33"/>
  <c r="E4" i="33"/>
  <c r="D4" i="33"/>
  <c r="F3" i="33"/>
  <c r="G3" i="33"/>
  <c r="H3" i="33"/>
  <c r="I3" i="33"/>
  <c r="J3" i="33"/>
  <c r="K3" i="33"/>
  <c r="K20" i="33"/>
  <c r="J20" i="33"/>
  <c r="I20" i="33"/>
  <c r="H20" i="33"/>
  <c r="G20" i="33"/>
  <c r="F20" i="33"/>
  <c r="D3" i="33"/>
  <c r="D20" i="33"/>
  <c r="E3" i="33"/>
  <c r="E20" i="33"/>
  <c r="F122" i="33"/>
  <c r="E122" i="33"/>
  <c r="D122" i="33"/>
  <c r="K139" i="34"/>
  <c r="J139" i="34"/>
  <c r="I139" i="34"/>
  <c r="H139" i="34"/>
  <c r="G139" i="34"/>
  <c r="K138" i="34"/>
  <c r="J138" i="34"/>
  <c r="I138" i="34"/>
  <c r="H138" i="34"/>
  <c r="G138" i="34"/>
  <c r="K134" i="34"/>
  <c r="J134" i="34"/>
  <c r="I134" i="34"/>
  <c r="H134" i="34"/>
  <c r="G134" i="34"/>
  <c r="K133" i="34"/>
  <c r="J133" i="34"/>
  <c r="I133" i="34"/>
  <c r="H133" i="34"/>
  <c r="G133" i="34"/>
  <c r="K129" i="34"/>
  <c r="J129" i="34"/>
  <c r="I129" i="34"/>
  <c r="H129" i="34"/>
  <c r="G129" i="34"/>
  <c r="K128" i="34"/>
  <c r="J128" i="34"/>
  <c r="I128" i="34"/>
  <c r="H128" i="34"/>
  <c r="G128" i="34"/>
  <c r="K127" i="34"/>
  <c r="J127" i="34"/>
  <c r="I127" i="34"/>
  <c r="H127" i="34"/>
  <c r="G127" i="34"/>
  <c r="K87" i="34"/>
  <c r="J87" i="34"/>
  <c r="I87" i="34"/>
  <c r="H87" i="34"/>
  <c r="G87" i="34"/>
  <c r="K77" i="34"/>
  <c r="J77" i="34"/>
  <c r="I77" i="34"/>
  <c r="H77" i="34"/>
  <c r="G77" i="34"/>
  <c r="K72" i="34"/>
  <c r="J72" i="34"/>
  <c r="I72" i="34"/>
  <c r="H72" i="34"/>
  <c r="G72" i="34"/>
  <c r="K69" i="34"/>
  <c r="J69" i="34"/>
  <c r="I69" i="34"/>
  <c r="H69" i="34"/>
  <c r="G69" i="34"/>
  <c r="K65" i="34"/>
  <c r="J65" i="34"/>
  <c r="I65" i="34"/>
  <c r="H65" i="34"/>
  <c r="G65" i="34"/>
  <c r="K64" i="34"/>
  <c r="J64" i="34"/>
  <c r="I64" i="34"/>
  <c r="H64" i="34"/>
  <c r="G64" i="34"/>
  <c r="K61" i="34"/>
  <c r="J61" i="34"/>
  <c r="I61" i="34"/>
  <c r="H61" i="34"/>
  <c r="G61" i="34"/>
  <c r="K47" i="34"/>
  <c r="J47" i="34"/>
  <c r="I47" i="34"/>
  <c r="H47" i="34"/>
  <c r="G47" i="34"/>
  <c r="K40" i="34"/>
  <c r="J40" i="34"/>
  <c r="I40" i="34"/>
  <c r="H40" i="34"/>
  <c r="G40" i="34"/>
  <c r="K35" i="34"/>
  <c r="J35" i="34"/>
  <c r="I35" i="34"/>
  <c r="H35" i="34"/>
  <c r="G35" i="34"/>
  <c r="K34" i="34"/>
  <c r="J34" i="34"/>
  <c r="I34" i="34"/>
  <c r="H34" i="34"/>
  <c r="G34" i="34"/>
  <c r="K33" i="34"/>
  <c r="J33" i="34"/>
  <c r="I33" i="34"/>
  <c r="H33" i="34"/>
  <c r="G33" i="34"/>
  <c r="K32" i="34"/>
  <c r="J32" i="34"/>
  <c r="I32" i="34"/>
  <c r="H32" i="34"/>
  <c r="G32" i="34"/>
  <c r="K30" i="34"/>
  <c r="J30" i="34"/>
  <c r="I30" i="34"/>
  <c r="H30" i="34"/>
  <c r="G30" i="34"/>
  <c r="K29" i="34"/>
  <c r="J29" i="34"/>
  <c r="I29" i="34"/>
  <c r="H29" i="34"/>
  <c r="G29" i="34"/>
  <c r="K25" i="34"/>
  <c r="J25" i="34"/>
  <c r="I25" i="34"/>
  <c r="H25" i="34"/>
  <c r="G25" i="34"/>
  <c r="F95" i="33"/>
  <c r="F93" i="33"/>
  <c r="F84" i="33"/>
  <c r="F73" i="33"/>
  <c r="E95" i="33"/>
  <c r="D95" i="33"/>
  <c r="E94" i="33"/>
  <c r="D94" i="33"/>
  <c r="E93" i="33"/>
  <c r="D93" i="33"/>
  <c r="E92" i="33"/>
  <c r="D92" i="33"/>
  <c r="F91" i="33"/>
  <c r="E91" i="33"/>
  <c r="D91" i="33"/>
  <c r="F89" i="33"/>
  <c r="E89" i="33"/>
  <c r="D89" i="33"/>
  <c r="F88" i="33"/>
  <c r="E88" i="33"/>
  <c r="D88" i="33"/>
  <c r="F87" i="33"/>
  <c r="E87" i="33"/>
  <c r="D87" i="33"/>
  <c r="E84" i="33"/>
  <c r="D84" i="33"/>
  <c r="F82" i="33"/>
  <c r="E82" i="33"/>
  <c r="D82" i="33"/>
  <c r="F80" i="33"/>
  <c r="E80" i="33"/>
  <c r="D80" i="33"/>
  <c r="F78" i="33"/>
  <c r="E78" i="33"/>
  <c r="D78" i="33"/>
  <c r="F77" i="33"/>
  <c r="E77" i="33"/>
  <c r="D77" i="33"/>
  <c r="F76" i="33"/>
  <c r="E76" i="33"/>
  <c r="D76" i="33"/>
  <c r="F75" i="33"/>
  <c r="E75" i="33"/>
  <c r="D75" i="33"/>
  <c r="F74" i="33"/>
  <c r="E74" i="33"/>
  <c r="D74" i="33"/>
  <c r="E73" i="33"/>
  <c r="D73" i="33"/>
  <c r="F72" i="33"/>
  <c r="E72" i="33"/>
  <c r="D72" i="33"/>
  <c r="F71" i="33"/>
  <c r="E71" i="33"/>
  <c r="D71" i="33"/>
  <c r="F70" i="33"/>
  <c r="E70" i="33"/>
  <c r="D70" i="33"/>
  <c r="F69" i="33"/>
  <c r="E69" i="33"/>
  <c r="D69" i="33"/>
  <c r="F67" i="33"/>
  <c r="E67" i="33"/>
  <c r="D67" i="33"/>
  <c r="F65" i="33"/>
  <c r="E65" i="33"/>
  <c r="D65" i="33"/>
  <c r="F64" i="33"/>
  <c r="E64" i="33"/>
  <c r="D64" i="33"/>
  <c r="F63" i="33"/>
  <c r="E63" i="33"/>
  <c r="D63" i="33"/>
  <c r="F61" i="33"/>
  <c r="E61" i="33"/>
  <c r="D61" i="33"/>
  <c r="F60" i="33"/>
  <c r="E60" i="33"/>
  <c r="D60" i="33"/>
  <c r="F139" i="33"/>
  <c r="F138" i="33"/>
  <c r="F134" i="33"/>
  <c r="F133" i="33"/>
  <c r="F129" i="33"/>
  <c r="F128" i="33"/>
  <c r="F127" i="33"/>
  <c r="E49" i="33"/>
  <c r="D49" i="33"/>
  <c r="F45" i="33"/>
  <c r="E45" i="33"/>
  <c r="D45" i="33"/>
  <c r="F41" i="33"/>
  <c r="F47" i="33"/>
  <c r="E47" i="33"/>
  <c r="D47" i="33"/>
  <c r="E41" i="33"/>
  <c r="D41" i="33"/>
  <c r="F40" i="33"/>
  <c r="E40" i="33"/>
  <c r="D40" i="33"/>
  <c r="F36" i="33"/>
  <c r="E36" i="33"/>
  <c r="D36" i="33"/>
  <c r="F35" i="33"/>
  <c r="E35" i="33"/>
  <c r="D35" i="33"/>
  <c r="F34" i="33"/>
  <c r="E34" i="33"/>
  <c r="D34" i="33"/>
  <c r="F33" i="33"/>
  <c r="E33" i="33"/>
  <c r="D33" i="33"/>
  <c r="F32" i="33"/>
  <c r="E32" i="33"/>
  <c r="D32" i="33"/>
  <c r="F31" i="33"/>
  <c r="E31" i="33"/>
  <c r="D31" i="33"/>
  <c r="F30" i="33"/>
  <c r="E30" i="33"/>
  <c r="D30" i="33"/>
  <c r="F29" i="33"/>
  <c r="E29" i="33"/>
  <c r="D29" i="33"/>
  <c r="F27" i="33"/>
  <c r="E27" i="33"/>
  <c r="D27" i="33"/>
  <c r="F26" i="33"/>
  <c r="E26" i="33"/>
  <c r="D26" i="33"/>
  <c r="F25" i="33"/>
  <c r="E25" i="33"/>
  <c r="C137" i="33"/>
  <c r="C132" i="33"/>
  <c r="C126" i="33"/>
  <c r="C125" i="33"/>
  <c r="C121" i="33"/>
  <c r="C120" i="33"/>
  <c r="C119" i="33"/>
  <c r="C118" i="33"/>
  <c r="C117" i="33"/>
  <c r="C116" i="33"/>
  <c r="C115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C101" i="33"/>
  <c r="C95" i="33"/>
  <c r="C94" i="33"/>
  <c r="C93" i="33"/>
  <c r="C92" i="33"/>
  <c r="C91" i="33"/>
  <c r="C90" i="33"/>
  <c r="C89" i="33"/>
  <c r="C88" i="33"/>
  <c r="C87" i="33"/>
  <c r="C84" i="33"/>
  <c r="C83" i="33"/>
  <c r="C82" i="33"/>
  <c r="C81" i="33"/>
  <c r="C80" i="33"/>
  <c r="C79" i="33"/>
  <c r="C78" i="33"/>
  <c r="C77" i="33"/>
  <c r="C76" i="33"/>
  <c r="C75" i="33"/>
  <c r="C74" i="33"/>
  <c r="C73" i="33"/>
  <c r="C72" i="33"/>
  <c r="C71" i="33"/>
  <c r="C70" i="33"/>
  <c r="C69" i="33"/>
  <c r="C68" i="33"/>
  <c r="C67" i="33"/>
  <c r="C66" i="33"/>
  <c r="C65" i="33"/>
  <c r="C64" i="33"/>
  <c r="C63" i="33"/>
  <c r="C62" i="33"/>
  <c r="C61" i="33"/>
  <c r="C60" i="33"/>
  <c r="C59" i="33"/>
  <c r="C58" i="33"/>
  <c r="C57" i="33"/>
  <c r="C56" i="33"/>
  <c r="C55" i="33"/>
  <c r="C52" i="33"/>
  <c r="C49" i="33"/>
  <c r="C48" i="33"/>
  <c r="C47" i="33"/>
  <c r="C46" i="33"/>
  <c r="C45" i="33"/>
  <c r="C42" i="33"/>
  <c r="C41" i="33"/>
  <c r="C40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C23" i="33"/>
  <c r="B6" i="4"/>
  <c r="P8" i="4"/>
  <c r="O8" i="4"/>
  <c r="G6" i="43"/>
  <c r="A21" i="19"/>
  <c r="E21" i="19"/>
  <c r="D21" i="19"/>
  <c r="K6" i="43"/>
  <c r="J6" i="43"/>
  <c r="D23" i="43"/>
  <c r="D20" i="43"/>
  <c r="D16" i="43"/>
  <c r="G21" i="4"/>
  <c r="F54" i="33"/>
  <c r="R18" i="4"/>
  <c r="R17" i="4"/>
  <c r="R16" i="4"/>
  <c r="R15" i="4"/>
  <c r="R14" i="4"/>
  <c r="R13" i="4"/>
  <c r="R12" i="4"/>
  <c r="R11" i="4"/>
  <c r="R10" i="4"/>
  <c r="R9" i="4"/>
  <c r="R8" i="4"/>
  <c r="R21" i="4"/>
  <c r="R20" i="4"/>
  <c r="M6" i="43"/>
  <c r="L6" i="43"/>
  <c r="I6" i="43"/>
  <c r="H6" i="43"/>
  <c r="F6" i="43"/>
  <c r="E6" i="43"/>
  <c r="V14" i="4"/>
  <c r="V13" i="4"/>
  <c r="V12" i="4"/>
  <c r="X14" i="4"/>
  <c r="J12" i="4"/>
  <c r="K1" i="43"/>
  <c r="K2" i="43"/>
  <c r="O2" i="43"/>
  <c r="P2" i="43"/>
  <c r="Q2" i="43"/>
  <c r="R2" i="43"/>
  <c r="R3" i="43"/>
  <c r="R12" i="43"/>
  <c r="Q3" i="43"/>
  <c r="Q12" i="43"/>
  <c r="P3" i="43"/>
  <c r="P12" i="43"/>
  <c r="P10" i="43"/>
  <c r="Q10" i="43"/>
  <c r="R10" i="43"/>
  <c r="R11" i="43"/>
  <c r="P9" i="43"/>
  <c r="Q9" i="43"/>
  <c r="R9" i="43"/>
  <c r="L8" i="43"/>
  <c r="P15" i="43"/>
  <c r="Q15" i="43"/>
  <c r="R15" i="43"/>
  <c r="R20" i="43"/>
  <c r="R22" i="43"/>
  <c r="R21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AF2" i="43"/>
  <c r="AG2" i="43"/>
  <c r="AG3" i="43"/>
  <c r="AG12" i="43"/>
  <c r="AF3" i="43"/>
  <c r="AF12" i="43"/>
  <c r="AE3" i="43"/>
  <c r="AE12" i="43"/>
  <c r="AD3" i="43"/>
  <c r="AD12" i="43"/>
  <c r="AC3" i="43"/>
  <c r="AC12" i="43"/>
  <c r="AB3" i="43"/>
  <c r="AB12" i="43"/>
  <c r="AA3" i="43"/>
  <c r="AA12" i="43"/>
  <c r="Z3" i="43"/>
  <c r="Z12" i="43"/>
  <c r="Y3" i="43"/>
  <c r="Y12" i="43"/>
  <c r="X3" i="43"/>
  <c r="X12" i="43"/>
  <c r="W3" i="43"/>
  <c r="W12" i="43"/>
  <c r="V3" i="43"/>
  <c r="V12" i="43"/>
  <c r="U3" i="43"/>
  <c r="U12" i="43"/>
  <c r="T3" i="43"/>
  <c r="T12" i="43"/>
  <c r="S3" i="43"/>
  <c r="S12" i="43"/>
  <c r="P14" i="43"/>
  <c r="E13" i="33"/>
  <c r="D98" i="33"/>
  <c r="K52" i="34"/>
  <c r="J52" i="34"/>
  <c r="I52" i="34"/>
  <c r="H52" i="34"/>
  <c r="G52" i="34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D32" i="43"/>
  <c r="D31" i="43"/>
  <c r="D30" i="43"/>
  <c r="D29" i="43"/>
  <c r="D28" i="43"/>
  <c r="D27" i="43"/>
  <c r="D26" i="43"/>
  <c r="D25" i="43"/>
  <c r="D22" i="43"/>
  <c r="D19" i="43"/>
  <c r="D18" i="43"/>
  <c r="D15" i="43"/>
  <c r="D14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P26" i="43"/>
  <c r="Q14" i="43"/>
  <c r="Q26" i="43"/>
  <c r="R14" i="43"/>
  <c r="R26" i="43"/>
  <c r="S10" i="43"/>
  <c r="S14" i="43"/>
  <c r="S26" i="43"/>
  <c r="T10" i="43"/>
  <c r="T14" i="43"/>
  <c r="T26" i="43"/>
  <c r="U10" i="43"/>
  <c r="U14" i="43"/>
  <c r="U26" i="43"/>
  <c r="V10" i="43"/>
  <c r="V14" i="43"/>
  <c r="V26" i="43"/>
  <c r="W10" i="43"/>
  <c r="W14" i="43"/>
  <c r="W26" i="43"/>
  <c r="X10" i="43"/>
  <c r="X14" i="43"/>
  <c r="X26" i="43"/>
  <c r="Y10" i="43"/>
  <c r="Y14" i="43"/>
  <c r="Y26" i="43"/>
  <c r="Z10" i="43"/>
  <c r="Z14" i="43"/>
  <c r="Z26" i="43"/>
  <c r="AA10" i="43"/>
  <c r="AA14" i="43"/>
  <c r="AA26" i="43"/>
  <c r="AB10" i="43"/>
  <c r="AB14" i="43"/>
  <c r="AB26" i="43"/>
  <c r="AC10" i="43"/>
  <c r="AC14" i="43"/>
  <c r="AC26" i="43"/>
  <c r="AD10" i="43"/>
  <c r="AD14" i="43"/>
  <c r="AD26" i="43"/>
  <c r="AE10" i="43"/>
  <c r="AE14" i="43"/>
  <c r="AE26" i="43"/>
  <c r="AF10" i="43"/>
  <c r="AF14" i="43"/>
  <c r="AF26" i="43"/>
  <c r="AG10" i="43"/>
  <c r="AG14" i="43"/>
  <c r="AG26" i="43"/>
  <c r="AG27" i="43"/>
  <c r="P20" i="43"/>
  <c r="P11" i="43"/>
  <c r="P22" i="43"/>
  <c r="P21" i="43"/>
  <c r="P23" i="43"/>
  <c r="P30" i="43"/>
  <c r="Q20" i="43"/>
  <c r="Q11" i="43"/>
  <c r="Q22" i="43"/>
  <c r="Q21" i="43"/>
  <c r="Q23" i="43"/>
  <c r="Q30" i="43"/>
  <c r="R23" i="43"/>
  <c r="R30" i="43"/>
  <c r="S9" i="43"/>
  <c r="S15" i="43"/>
  <c r="S20" i="43"/>
  <c r="S11" i="43"/>
  <c r="S22" i="43"/>
  <c r="S21" i="43"/>
  <c r="S23" i="43"/>
  <c r="S30" i="43"/>
  <c r="T9" i="43"/>
  <c r="T15" i="43"/>
  <c r="T20" i="43"/>
  <c r="T11" i="43"/>
  <c r="T22" i="43"/>
  <c r="T21" i="43"/>
  <c r="T23" i="43"/>
  <c r="T30" i="43"/>
  <c r="U9" i="43"/>
  <c r="U15" i="43"/>
  <c r="U20" i="43"/>
  <c r="U11" i="43"/>
  <c r="U22" i="43"/>
  <c r="U21" i="43"/>
  <c r="U23" i="43"/>
  <c r="U30" i="43"/>
  <c r="V9" i="43"/>
  <c r="V15" i="43"/>
  <c r="V20" i="43"/>
  <c r="V11" i="43"/>
  <c r="V22" i="43"/>
  <c r="V21" i="43"/>
  <c r="V23" i="43"/>
  <c r="V30" i="43"/>
  <c r="W9" i="43"/>
  <c r="W15" i="43"/>
  <c r="W20" i="43"/>
  <c r="W11" i="43"/>
  <c r="W22" i="43"/>
  <c r="W21" i="43"/>
  <c r="W23" i="43"/>
  <c r="W30" i="43"/>
  <c r="X9" i="43"/>
  <c r="X15" i="43"/>
  <c r="X20" i="43"/>
  <c r="X11" i="43"/>
  <c r="X22" i="43"/>
  <c r="X21" i="43"/>
  <c r="X23" i="43"/>
  <c r="X30" i="43"/>
  <c r="Y9" i="43"/>
  <c r="Y15" i="43"/>
  <c r="Y20" i="43"/>
  <c r="Y11" i="43"/>
  <c r="Y22" i="43"/>
  <c r="Y21" i="43"/>
  <c r="Y23" i="43"/>
  <c r="Y30" i="43"/>
  <c r="Z9" i="43"/>
  <c r="Z15" i="43"/>
  <c r="Z20" i="43"/>
  <c r="Z11" i="43"/>
  <c r="Z22" i="43"/>
  <c r="Z21" i="43"/>
  <c r="Z23" i="43"/>
  <c r="Z30" i="43"/>
  <c r="AA9" i="43"/>
  <c r="AA15" i="43"/>
  <c r="AA20" i="43"/>
  <c r="AA11" i="43"/>
  <c r="AA22" i="43"/>
  <c r="AA21" i="43"/>
  <c r="AA23" i="43"/>
  <c r="AA30" i="43"/>
  <c r="AB9" i="43"/>
  <c r="AB15" i="43"/>
  <c r="AB20" i="43"/>
  <c r="AB11" i="43"/>
  <c r="AB22" i="43"/>
  <c r="AB21" i="43"/>
  <c r="AB23" i="43"/>
  <c r="AB30" i="43"/>
  <c r="AC9" i="43"/>
  <c r="AC15" i="43"/>
  <c r="AC20" i="43"/>
  <c r="AC11" i="43"/>
  <c r="AC22" i="43"/>
  <c r="AC21" i="43"/>
  <c r="AC23" i="43"/>
  <c r="AC30" i="43"/>
  <c r="AD9" i="43"/>
  <c r="AD15" i="43"/>
  <c r="AD20" i="43"/>
  <c r="AD11" i="43"/>
  <c r="AD22" i="43"/>
  <c r="AD21" i="43"/>
  <c r="AD23" i="43"/>
  <c r="AD30" i="43"/>
  <c r="AE9" i="43"/>
  <c r="AE15" i="43"/>
  <c r="AE20" i="43"/>
  <c r="AE11" i="43"/>
  <c r="AE22" i="43"/>
  <c r="AE21" i="43"/>
  <c r="AE23" i="43"/>
  <c r="AE30" i="43"/>
  <c r="AF9" i="43"/>
  <c r="AF15" i="43"/>
  <c r="AF20" i="43"/>
  <c r="AF11" i="43"/>
  <c r="AF22" i="43"/>
  <c r="AF21" i="43"/>
  <c r="AF23" i="43"/>
  <c r="AF30" i="43"/>
  <c r="AG9" i="43"/>
  <c r="AG15" i="43"/>
  <c r="AG20" i="43"/>
  <c r="AG11" i="43"/>
  <c r="AG22" i="43"/>
  <c r="AG21" i="43"/>
  <c r="AG23" i="43"/>
  <c r="AG30" i="43"/>
  <c r="P16" i="43"/>
  <c r="P31" i="43"/>
  <c r="Q16" i="43"/>
  <c r="Q31" i="43"/>
  <c r="R16" i="43"/>
  <c r="R31" i="43"/>
  <c r="S16" i="43"/>
  <c r="S31" i="43"/>
  <c r="T16" i="43"/>
  <c r="T31" i="43"/>
  <c r="U16" i="43"/>
  <c r="U31" i="43"/>
  <c r="V16" i="43"/>
  <c r="V31" i="43"/>
  <c r="W16" i="43"/>
  <c r="W31" i="43"/>
  <c r="X16" i="43"/>
  <c r="X31" i="43"/>
  <c r="Y16" i="43"/>
  <c r="Y31" i="43"/>
  <c r="Z16" i="43"/>
  <c r="Z31" i="43"/>
  <c r="AA16" i="43"/>
  <c r="AA31" i="43"/>
  <c r="AB16" i="43"/>
  <c r="AB31" i="43"/>
  <c r="AC16" i="43"/>
  <c r="AC31" i="43"/>
  <c r="AD16" i="43"/>
  <c r="AD31" i="43"/>
  <c r="AE16" i="43"/>
  <c r="AE31" i="43"/>
  <c r="AF16" i="43"/>
  <c r="AF31" i="43"/>
  <c r="AG16" i="43"/>
  <c r="AG31" i="43"/>
  <c r="AG32" i="43"/>
  <c r="AG33" i="43"/>
  <c r="AF27" i="43"/>
  <c r="AF32" i="43"/>
  <c r="AF33" i="43"/>
  <c r="AE27" i="43"/>
  <c r="AE32" i="43"/>
  <c r="AE33" i="43"/>
  <c r="AD27" i="43"/>
  <c r="AD32" i="43"/>
  <c r="AD33" i="43"/>
  <c r="AC27" i="43"/>
  <c r="AC32" i="43"/>
  <c r="AC33" i="43"/>
  <c r="AB27" i="43"/>
  <c r="AB32" i="43"/>
  <c r="AB33" i="43"/>
  <c r="AA27" i="43"/>
  <c r="AA32" i="43"/>
  <c r="AA33" i="43"/>
  <c r="Z27" i="43"/>
  <c r="Z32" i="43"/>
  <c r="Z33" i="43"/>
  <c r="Y27" i="43"/>
  <c r="Y32" i="43"/>
  <c r="Y33" i="43"/>
  <c r="X27" i="43"/>
  <c r="X32" i="43"/>
  <c r="X33" i="43"/>
  <c r="W27" i="43"/>
  <c r="W32" i="43"/>
  <c r="W33" i="43"/>
  <c r="V27" i="43"/>
  <c r="V32" i="43"/>
  <c r="V33" i="43"/>
  <c r="U27" i="43"/>
  <c r="U32" i="43"/>
  <c r="U33" i="43"/>
  <c r="T27" i="43"/>
  <c r="T32" i="43"/>
  <c r="T33" i="43"/>
  <c r="S27" i="43"/>
  <c r="S32" i="43"/>
  <c r="S33" i="43"/>
  <c r="R27" i="43"/>
  <c r="R32" i="43"/>
  <c r="R33" i="43"/>
  <c r="Q27" i="43"/>
  <c r="Q32" i="43"/>
  <c r="Q33" i="43"/>
  <c r="P27" i="43"/>
  <c r="P32" i="43"/>
  <c r="P33" i="43"/>
  <c r="P29" i="43"/>
  <c r="Q29" i="43"/>
  <c r="R29" i="43"/>
  <c r="S29" i="43"/>
  <c r="T29" i="43"/>
  <c r="U29" i="43"/>
  <c r="V29" i="43"/>
  <c r="W29" i="43"/>
  <c r="X29" i="43"/>
  <c r="Y29" i="43"/>
  <c r="Z29" i="43"/>
  <c r="AA29" i="43"/>
  <c r="AB29" i="43"/>
  <c r="AC29" i="43"/>
  <c r="AD29" i="43"/>
  <c r="AE29" i="43"/>
  <c r="AF29" i="43"/>
  <c r="AG29" i="43"/>
  <c r="P28" i="43"/>
  <c r="Q28" i="43"/>
  <c r="R28" i="43"/>
  <c r="S28" i="43"/>
  <c r="T28" i="43"/>
  <c r="U28" i="43"/>
  <c r="V28" i="43"/>
  <c r="W28" i="43"/>
  <c r="X28" i="43"/>
  <c r="Y28" i="43"/>
  <c r="Z28" i="43"/>
  <c r="AA28" i="43"/>
  <c r="AB28" i="43"/>
  <c r="AC28" i="43"/>
  <c r="AD28" i="43"/>
  <c r="AE28" i="43"/>
  <c r="AF28" i="43"/>
  <c r="AG28" i="43"/>
  <c r="M8" i="43"/>
  <c r="K8" i="43"/>
  <c r="D12" i="19"/>
  <c r="C11" i="19"/>
  <c r="C15" i="19"/>
  <c r="R6" i="4"/>
  <c r="K126" i="34"/>
  <c r="J126" i="34"/>
  <c r="I126" i="34"/>
  <c r="H126" i="34"/>
  <c r="G126" i="34"/>
  <c r="C100" i="33"/>
  <c r="C98" i="33"/>
  <c r="E139" i="33"/>
  <c r="D139" i="33"/>
  <c r="C139" i="33"/>
  <c r="E138" i="33"/>
  <c r="D138" i="33"/>
  <c r="C138" i="33"/>
  <c r="E134" i="33"/>
  <c r="D134" i="33"/>
  <c r="C134" i="33"/>
  <c r="E133" i="33"/>
  <c r="D133" i="33"/>
  <c r="C133" i="33"/>
  <c r="E129" i="33"/>
  <c r="D129" i="33"/>
  <c r="C129" i="33"/>
  <c r="E128" i="33"/>
  <c r="D128" i="33"/>
  <c r="C128" i="33"/>
  <c r="E127" i="33"/>
  <c r="D127" i="33"/>
  <c r="C127" i="33"/>
  <c r="E54" i="33"/>
  <c r="D54" i="33"/>
  <c r="C54" i="33"/>
  <c r="D25" i="33"/>
  <c r="C25" i="33"/>
  <c r="D18" i="33"/>
  <c r="B14" i="33"/>
  <c r="K98" i="33"/>
  <c r="J98" i="33"/>
  <c r="I98" i="33"/>
  <c r="H98" i="33"/>
  <c r="G98" i="33"/>
  <c r="F98" i="33"/>
  <c r="E98" i="33"/>
  <c r="K126" i="33"/>
  <c r="J126" i="33"/>
  <c r="I126" i="33"/>
  <c r="H126" i="33"/>
  <c r="G126" i="33"/>
  <c r="F126" i="33"/>
  <c r="E126" i="33"/>
  <c r="D126" i="33"/>
  <c r="K52" i="33"/>
  <c r="J52" i="33"/>
  <c r="I52" i="33"/>
  <c r="H52" i="33"/>
  <c r="G52" i="33"/>
  <c r="F52" i="33"/>
  <c r="E52" i="33"/>
  <c r="D52" i="33"/>
  <c r="X15" i="4"/>
  <c r="B100" i="4"/>
  <c r="H13" i="4"/>
  <c r="X13" i="4"/>
  <c r="H12" i="4"/>
  <c r="X12" i="4"/>
  <c r="H15" i="4"/>
  <c r="H14" i="4"/>
  <c r="H11" i="4"/>
  <c r="H10" i="4"/>
  <c r="B99" i="4"/>
  <c r="B17" i="4"/>
  <c r="B15" i="4"/>
  <c r="B101" i="4"/>
  <c r="B102" i="4"/>
  <c r="B10" i="19"/>
  <c r="B15" i="19"/>
  <c r="D15" i="19"/>
  <c r="O1" i="4"/>
  <c r="P1" i="4"/>
  <c r="Q1" i="4"/>
  <c r="O3" i="4"/>
  <c r="O4" i="4"/>
  <c r="P3" i="4"/>
  <c r="E15" i="19"/>
  <c r="A15" i="19"/>
  <c r="A5" i="19"/>
  <c r="A4" i="19"/>
  <c r="A3" i="19"/>
  <c r="A2" i="19"/>
  <c r="H4" i="4"/>
  <c r="H8" i="4"/>
  <c r="G8" i="4"/>
  <c r="D131" i="33"/>
  <c r="E131" i="33"/>
  <c r="F131" i="33"/>
  <c r="G131" i="33"/>
  <c r="H131" i="33"/>
  <c r="I131" i="33"/>
  <c r="J131" i="33"/>
  <c r="K131" i="33"/>
  <c r="L131" i="33"/>
  <c r="D132" i="33"/>
  <c r="E132" i="33"/>
  <c r="F132" i="33"/>
  <c r="G132" i="33"/>
  <c r="H132" i="33"/>
  <c r="I132" i="33"/>
  <c r="J132" i="33"/>
  <c r="K132" i="33"/>
  <c r="L132" i="33"/>
  <c r="D135" i="33"/>
  <c r="E135" i="33"/>
  <c r="F135" i="33"/>
  <c r="G135" i="33"/>
  <c r="H135" i="33"/>
  <c r="I135" i="33"/>
  <c r="J135" i="33"/>
  <c r="K135" i="33"/>
  <c r="L135" i="33"/>
  <c r="M135" i="33"/>
  <c r="D136" i="33"/>
  <c r="E136" i="33"/>
  <c r="F136" i="33"/>
  <c r="G136" i="33"/>
  <c r="H136" i="33"/>
  <c r="I136" i="33"/>
  <c r="J136" i="33"/>
  <c r="K136" i="33"/>
  <c r="L136" i="33"/>
  <c r="M136" i="33"/>
  <c r="D137" i="33"/>
  <c r="E137" i="33"/>
  <c r="F137" i="33"/>
  <c r="G137" i="33"/>
  <c r="H137" i="33"/>
  <c r="I137" i="33"/>
  <c r="J137" i="33"/>
  <c r="K137" i="33"/>
  <c r="L137" i="33"/>
  <c r="M137" i="33"/>
  <c r="L130" i="33"/>
  <c r="K130" i="33"/>
  <c r="J130" i="33"/>
  <c r="I130" i="33"/>
  <c r="H130" i="33"/>
  <c r="G130" i="33"/>
  <c r="F130" i="33"/>
  <c r="E130" i="33"/>
  <c r="A130" i="33"/>
  <c r="D130" i="33"/>
  <c r="K123" i="33"/>
  <c r="J123" i="33"/>
  <c r="I123" i="33"/>
  <c r="H123" i="33"/>
  <c r="G123" i="33"/>
  <c r="K122" i="33"/>
  <c r="K107" i="33"/>
  <c r="K105" i="33"/>
  <c r="K102" i="33"/>
  <c r="J122" i="33"/>
  <c r="J107" i="33"/>
  <c r="J102" i="33"/>
  <c r="J105" i="33"/>
  <c r="I122" i="33"/>
  <c r="I107" i="33"/>
  <c r="I102" i="33"/>
  <c r="I105" i="33"/>
  <c r="H122" i="33"/>
  <c r="H107" i="33"/>
  <c r="H102" i="33"/>
  <c r="H105" i="33"/>
  <c r="G122" i="33"/>
  <c r="G107" i="33"/>
  <c r="G102" i="33"/>
  <c r="G105" i="33"/>
  <c r="K121" i="33"/>
  <c r="K118" i="33"/>
  <c r="J118" i="33"/>
  <c r="J121" i="33"/>
  <c r="I118" i="33"/>
  <c r="I121" i="33"/>
  <c r="H118" i="33"/>
  <c r="H121" i="33"/>
  <c r="G118" i="33"/>
  <c r="G121" i="33"/>
  <c r="K113" i="33"/>
  <c r="K109" i="33"/>
  <c r="J113" i="33"/>
  <c r="I113" i="33"/>
  <c r="H113" i="33"/>
  <c r="G113" i="33"/>
  <c r="K111" i="33"/>
  <c r="J111" i="33"/>
  <c r="I111" i="33"/>
  <c r="H111" i="33"/>
  <c r="G111" i="33"/>
  <c r="K95" i="33"/>
  <c r="K91" i="33"/>
  <c r="K86" i="33"/>
  <c r="K85" i="33"/>
  <c r="J49" i="33"/>
  <c r="J45" i="33"/>
  <c r="J95" i="33"/>
  <c r="J91" i="33"/>
  <c r="J86" i="33"/>
  <c r="J85" i="33"/>
  <c r="I49" i="33"/>
  <c r="I45" i="33"/>
  <c r="I95" i="33"/>
  <c r="I91" i="33"/>
  <c r="I86" i="33"/>
  <c r="I85" i="33"/>
  <c r="H49" i="33"/>
  <c r="H45" i="33"/>
  <c r="H95" i="33"/>
  <c r="H91" i="33"/>
  <c r="M86" i="33"/>
  <c r="G45" i="33"/>
  <c r="G49" i="33"/>
  <c r="H85" i="33"/>
  <c r="H86" i="33"/>
  <c r="L86" i="33"/>
  <c r="K84" i="33"/>
  <c r="J84" i="33"/>
  <c r="I84" i="33"/>
  <c r="H84" i="33"/>
  <c r="K49" i="33"/>
  <c r="K45" i="33"/>
  <c r="M44" i="33"/>
  <c r="G41" i="33"/>
  <c r="G43" i="33"/>
  <c r="G44" i="33"/>
  <c r="L44" i="33"/>
  <c r="K44" i="33"/>
  <c r="J109" i="33"/>
  <c r="K38" i="33"/>
  <c r="K39" i="33"/>
  <c r="K41" i="33"/>
  <c r="K43" i="33"/>
  <c r="J44" i="33"/>
  <c r="I109" i="33"/>
  <c r="J38" i="33"/>
  <c r="J39" i="33"/>
  <c r="J41" i="33"/>
  <c r="J43" i="33"/>
  <c r="I44" i="33"/>
  <c r="H109" i="33"/>
  <c r="I38" i="33"/>
  <c r="I39" i="33"/>
  <c r="I41" i="33"/>
  <c r="I43" i="33"/>
  <c r="H44" i="33"/>
  <c r="H38" i="33"/>
  <c r="H39" i="33"/>
  <c r="H41" i="33"/>
  <c r="H43" i="33"/>
  <c r="M39" i="33"/>
  <c r="G84" i="33"/>
  <c r="G91" i="33"/>
  <c r="G95" i="33"/>
  <c r="G109" i="33"/>
  <c r="G38" i="33"/>
  <c r="G39" i="33"/>
  <c r="L39" i="33"/>
</calcChain>
</file>

<file path=xl/sharedStrings.xml><?xml version="1.0" encoding="utf-8"?>
<sst xmlns="http://schemas.openxmlformats.org/spreadsheetml/2006/main" count="442" uniqueCount="259">
  <si>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</si>
  <si>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</si>
  <si>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</si>
  <si>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</si>
  <si>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</si>
  <si>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</si>
  <si>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</si>
  <si>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</si>
  <si>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</si>
  <si>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</si>
  <si>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</si>
  <si>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</si>
  <si>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</si>
  <si>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</si>
  <si>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</si>
  <si>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</si>
  <si>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</si>
  <si>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</si>
  <si>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</si>
  <si>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</si>
  <si>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</si>
  <si>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</si>
  <si>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</si>
  <si>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</si>
  <si>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</si>
  <si>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</si>
  <si>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</si>
  <si>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</si>
  <si>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</si>
  <si>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</si>
  <si>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</si>
  <si>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</si>
  <si>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</si>
  <si>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</si>
  <si>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</si>
  <si>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</si>
  <si>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</si>
  <si>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</si>
  <si>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</si>
  <si>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</si>
  <si>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</si>
  <si>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</si>
  <si>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</si>
  <si>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</si>
  <si>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</si>
  <si>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</si>
  <si>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</si>
  <si>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</si>
  <si>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</si>
  <si>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</si>
  <si>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</si>
  <si>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</si>
  <si>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</si>
  <si>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</si>
  <si>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</si>
  <si>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</si>
  <si>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</si>
  <si>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</si>
  <si>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</si>
  <si>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</si>
  <si>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</si>
  <si>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</si>
  <si>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</si>
  <si>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</si>
  <si>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</si>
  <si>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</si>
  <si>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</si>
  <si>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</si>
  <si>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</si>
  <si>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</si>
  <si>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</si>
  <si>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</si>
  <si>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</si>
  <si>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</si>
  <si>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</si>
  <si>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</si>
  <si>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</si>
  <si>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French</t>
  </si>
  <si>
    <t>Dutch</t>
  </si>
  <si>
    <t>German</t>
  </si>
  <si>
    <t>Portugese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</si>
  <si>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</si>
  <si>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</si>
  <si>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</si>
  <si>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</si>
  <si>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</si>
  <si>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</si>
  <si>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</si>
  <si>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</si>
  <si>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</si>
  <si>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</si>
  <si>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</si>
  <si>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</si>
  <si>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</si>
  <si>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</si>
  <si>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</si>
  <si>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</si>
  <si>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</si>
  <si>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</si>
  <si>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</si>
  <si>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</si>
  <si>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</si>
  <si>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</si>
  <si>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</si>
  <si>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</si>
  <si>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</si>
  <si>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</si>
  <si>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</si>
  <si>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</si>
  <si>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</si>
  <si>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</si>
  <si>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</si>
  <si>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</si>
  <si>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</si>
  <si>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</si>
  <si>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</si>
  <si>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</si>
  <si>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</si>
  <si>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</si>
  <si>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</si>
  <si>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</si>
  <si>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</si>
  <si>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</si>
  <si>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</si>
  <si>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</si>
  <si>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</si>
  <si>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</si>
  <si>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</si>
  <si>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</si>
  <si>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</si>
  <si>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</si>
  <si>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</si>
  <si>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</si>
  <si>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</si>
  <si>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</si>
  <si>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</si>
  <si>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</si>
  <si>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</si>
  <si>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</si>
  <si>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</si>
  <si>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</si>
  <si>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</si>
  <si>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</si>
  <si>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</si>
  <si>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</si>
  <si>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</si>
  <si>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</si>
  <si>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</si>
  <si>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</si>
  <si>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</si>
  <si>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</si>
  <si>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</si>
  <si>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</si>
  <si>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</si>
  <si>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</si>
  <si>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</si>
  <si>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</si>
  <si>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</si>
  <si>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</si>
  <si>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</si>
  <si>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</si>
  <si>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</si>
  <si>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</si>
  <si>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</si>
  <si>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</si>
  <si>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</si>
  <si>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</si>
  <si>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</si>
  <si>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</si>
  <si>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</si>
  <si>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</si>
  <si>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</si>
  <si>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</si>
  <si>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</si>
  <si>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</si>
  <si>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</si>
  <si>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</si>
  <si>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</si>
  <si>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</si>
  <si>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</si>
  <si>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</si>
  <si>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</si>
  <si>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</si>
  <si>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</si>
  <si>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</si>
  <si>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</si>
  <si>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</si>
  <si>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</si>
  <si>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</si>
  <si>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</si>
  <si>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</si>
  <si>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</si>
  <si>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</si>
  <si>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</si>
  <si>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</si>
  <si>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</si>
  <si>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</si>
  <si>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</si>
  <si>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</si>
  <si>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</si>
  <si>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</si>
  <si>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</si>
  <si>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</si>
  <si>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</si>
  <si>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</si>
  <si>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</si>
  <si>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</si>
  <si>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</si>
  <si>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</si>
  <si>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</si>
  <si>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</si>
  <si>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</si>
  <si>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</si>
  <si>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</si>
  <si>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</si>
  <si>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</si>
  <si>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</si>
  <si>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</si>
  <si>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</si>
  <si>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</si>
  <si>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</si>
  <si>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</si>
  <si>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</si>
  <si>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</si>
  <si>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</si>
  <si>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</si>
  <si>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</si>
  <si>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</si>
  <si>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</si>
  <si>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</si>
  <si>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</si>
  <si>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</si>
  <si>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</si>
  <si>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</si>
  <si>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</si>
  <si>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</si>
  <si>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</si>
  <si>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</si>
  <si>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</si>
  <si>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</si>
  <si>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</si>
  <si>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</si>
  <si>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</si>
  <si>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</si>
  <si>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IFRS11</t>
  </si>
  <si>
    <t>Theoretical_tax_rate</t>
  </si>
  <si>
    <t>Interest_placement_rate</t>
  </si>
  <si>
    <t>Interest_borrowing_rate</t>
  </si>
  <si>
    <t>Corporate</t>
  </si>
  <si>
    <t>HRAIL_input</t>
  </si>
  <si>
    <t>Implicit interest rate</t>
  </si>
  <si>
    <t>+</t>
  </si>
  <si>
    <t>(-)</t>
  </si>
  <si>
    <t>Suède - Entité technique de saisie</t>
  </si>
  <si>
    <t>Bus (Urbain)</t>
  </si>
  <si>
    <t>$M$11</t>
  </si>
  <si>
    <t>Growth_Plan_Orga_Corp</t>
  </si>
  <si>
    <t>Growth_Plan_Ext_Corp</t>
  </si>
  <si>
    <t>Growth_Plan_Orga_Country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</si>
</sst>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&quot;$&quot;\ \ \ #,##0;\(&quot;$&quot;\ \ \ #,##0\)"/>
    <numFmt numFmtId="173" formatCode="_-* #,##0.000\ [$€]_-;\-* #,##0.000\ [$€]_-;_-* &quot;-&quot;??\ [$€]_-;_-@_-"/>
    <numFmt numFmtId="174" formatCode="#,##0;\(#,##0\)"/>
    <numFmt numFmtId="175" formatCode="#,##0.0;\(#,##0.0\);\-"/>
    <numFmt numFmtId="176" formatCode="_(&quot;$&quot;* #,##0.00_);_(&quot;$&quot;* \(#,##0.00\);_(&quot;$&quot;* &quot;-&quot;??_);_(@_)"/>
    <numFmt numFmtId="177" formatCode="_(* #,##0_);_(* \(#,##0\);_(* &quot;&quot;\ \-\ &quot;&quot;_);_(@_)"/>
    <numFmt numFmtId="178" formatCode="_(&quot;€&quot;* #,##0.00_);_(&quot;€&quot;* \(#,##0.00\);_(&quot;€&quot;* &quot;-&quot;??_);_(@_)"/>
    <numFmt numFmtId="179" formatCode="_(* #,##0.0_%_);_(* \(#,##0.0_%\);_(* &quot; - &quot;_%_);_(@_)"/>
    <numFmt numFmtId="180" formatCode="_(\ #,##0.0_%_);_(\ \(#,##0.0_%\);_(\ &quot; - &quot;_%_);_(@_)"/>
    <numFmt numFmtId="181" formatCode="_(* #,##0.0%_);_(* \(#,##0.0%\);_(* &quot; - &quot;\%_);_(@_)"/>
    <numFmt numFmtId="182" formatCode="_(\ #,##0.0%_);_(\ \(#,##0.0%\);_(\ &quot; - &quot;\%_);_(@_)"/>
    <numFmt numFmtId="183" formatCode="_(* #,##0_);_(* \(#,##0\);_(* &quot; - &quot;_);_(@_)"/>
    <numFmt numFmtId="184" formatCode="#,##0_);\(#,##0\);&quot; - &quot;_);@_)"/>
    <numFmt numFmtId="185" formatCode="_(* #,##0.0_);_(* \(#,##0.0\);_(* &quot; - &quot;_);_(@_)"/>
    <numFmt numFmtId="186" formatCode="\ #,##0.0_);\(#,##0.0\);&quot; - &quot;_);@_)"/>
    <numFmt numFmtId="187" formatCode="_(* #,##0.00_);_(* \(#,##0.00\);_(* &quot; - &quot;_);_(@_)"/>
    <numFmt numFmtId="188" formatCode="\ #,##0.00_);\(#,##0.00\);&quot; - &quot;_);@_)"/>
    <numFmt numFmtId="189" formatCode="_(* #,##0.000_);_(* \(#,##0.000\);_(* &quot; - &quot;_);_(@_)"/>
    <numFmt numFmtId="190" formatCode="\ #,##0.000_);\(#,##0.000\);&quot; - &quot;_);@_)"/>
    <numFmt numFmtId="191" formatCode="#,##0;\(#,##0\);&quot;-&quot;"/>
    <numFmt numFmtId="192" formatCode="d\ mmmm\ yyyy"/>
    <numFmt numFmtId="193" formatCode="#,##0;[Red]\(#,##0\);0"/>
    <numFmt numFmtId="194" formatCode="_-* #,##0_-;\-* #,##0_-;_-* &quot;-&quot;_-;_-@_-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7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8" fontId="30" fillId="27" borderId="0" applyNumberFormat="0" applyBorder="0">
      <alignment horizontal="right" vertical="center"/>
      <protection locked="0"/>
    </xf>
    <xf numFmtId="169" fontId="30" fillId="28" borderId="0" applyNumberFormat="0" applyBorder="0">
      <alignment horizontal="right" vertical="center"/>
      <protection locked="0"/>
    </xf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0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1" fontId="37" fillId="29" borderId="0" applyNumberFormat="0" applyBorder="0">
      <alignment horizontal="left" vertical="center"/>
      <protection locked="0"/>
    </xf>
    <xf numFmtId="171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2" fontId="107" fillId="0" borderId="0" applyAlignment="0"/>
    <xf numFmtId="10" fontId="108" fillId="0" borderId="0"/>
    <xf numFmtId="9" fontId="109" fillId="0" borderId="0"/>
    <xf numFmtId="173" fontId="109" fillId="0" borderId="0"/>
    <xf numFmtId="10" fontId="109" fillId="0" borderId="0"/>
    <xf numFmtId="173" fontId="109" fillId="0" borderId="0" applyFont="0" applyFill="0" applyBorder="0" applyAlignment="0" applyProtection="0"/>
    <xf numFmtId="173" fontId="109" fillId="0" borderId="0" applyFont="0" applyFill="0" applyBorder="0" applyAlignment="0" applyProtection="0"/>
    <xf numFmtId="174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3" fontId="110" fillId="0" borderId="54" applyFont="0" applyFill="0" applyBorder="0" applyAlignment="0" applyProtection="0"/>
    <xf numFmtId="174" fontId="109" fillId="0" borderId="0"/>
    <xf numFmtId="174" fontId="109" fillId="0" borderId="0"/>
    <xf numFmtId="174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3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3" fontId="38" fillId="0" borderId="0"/>
    <xf numFmtId="9" fontId="108" fillId="0" borderId="0"/>
    <xf numFmtId="173" fontId="108" fillId="0" borderId="0"/>
    <xf numFmtId="173" fontId="108" fillId="0" borderId="0"/>
    <xf numFmtId="173" fontId="38" fillId="0" borderId="0"/>
    <xf numFmtId="173" fontId="38" fillId="0" borderId="0"/>
    <xf numFmtId="173" fontId="38" fillId="0" borderId="0"/>
    <xf numFmtId="173" fontId="38" fillId="0" borderId="0"/>
    <xf numFmtId="173" fontId="108" fillId="0" borderId="0"/>
    <xf numFmtId="173" fontId="108" fillId="0" borderId="0"/>
    <xf numFmtId="173" fontId="4" fillId="0" borderId="0"/>
    <xf numFmtId="173" fontId="109" fillId="0" borderId="0"/>
    <xf numFmtId="38" fontId="113" fillId="0" borderId="0" applyNumberFormat="0" applyFill="0" applyBorder="0" applyAlignment="0" applyProtection="0"/>
    <xf numFmtId="0" fontId="15" fillId="52" borderId="0"/>
    <xf numFmtId="173" fontId="114" fillId="0" borderId="0" applyNumberFormat="0" applyFill="0" applyBorder="0" applyAlignment="0" applyProtection="0"/>
    <xf numFmtId="173" fontId="109" fillId="0" borderId="0"/>
    <xf numFmtId="173" fontId="112" fillId="0" borderId="5" applyNumberFormat="0" applyFill="0" applyAlignment="0" applyProtection="0"/>
    <xf numFmtId="173" fontId="113" fillId="0" borderId="5" applyNumberFormat="0" applyFont="0" applyFill="0" applyAlignment="0" applyProtection="0"/>
    <xf numFmtId="173" fontId="38" fillId="0" borderId="53"/>
    <xf numFmtId="173" fontId="109" fillId="0" borderId="5">
      <alignment horizontal="centerContinuous"/>
    </xf>
    <xf numFmtId="173" fontId="4" fillId="0" borderId="41" applyBorder="0">
      <alignment horizontal="centerContinuous"/>
    </xf>
    <xf numFmtId="173" fontId="109" fillId="0" borderId="0" applyFont="0" applyFill="0" applyBorder="0" applyAlignment="0" applyProtection="0"/>
    <xf numFmtId="173" fontId="115" fillId="0" borderId="0"/>
    <xf numFmtId="173" fontId="115" fillId="0" borderId="0"/>
    <xf numFmtId="173" fontId="115" fillId="0" borderId="0"/>
    <xf numFmtId="173" fontId="108" fillId="0" borderId="0"/>
    <xf numFmtId="173" fontId="115" fillId="0" borderId="0"/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115" fillId="0" borderId="0"/>
    <xf numFmtId="37" fontId="109" fillId="0" borderId="0">
      <alignment horizontal="center"/>
    </xf>
    <xf numFmtId="173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5" fontId="4" fillId="0" borderId="0">
      <alignment horizontal="right" wrapText="1"/>
    </xf>
    <xf numFmtId="173" fontId="109" fillId="0" borderId="0"/>
    <xf numFmtId="173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76" fontId="4" fillId="0" borderId="0" applyFont="0" applyFill="0" applyBorder="0" applyAlignment="0" applyProtection="0"/>
    <xf numFmtId="49" fontId="118" fillId="53" borderId="0">
      <alignment vertical="center"/>
    </xf>
    <xf numFmtId="173" fontId="109" fillId="0" borderId="0" applyFont="0" applyFill="0" applyBorder="0" applyAlignment="0" applyProtection="0"/>
    <xf numFmtId="177" fontId="47" fillId="43" borderId="0">
      <alignment horizontal="right"/>
    </xf>
    <xf numFmtId="164" fontId="4" fillId="0" borderId="0" applyFont="0" applyFill="0" applyBorder="0" applyAlignment="0" applyProtection="0"/>
    <xf numFmtId="0" fontId="27" fillId="6" borderId="55" applyNumberFormat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79" fontId="120" fillId="0" borderId="0">
      <alignment horizontal="right" vertical="top"/>
    </xf>
    <xf numFmtId="180" fontId="121" fillId="0" borderId="0" applyBorder="0">
      <alignment horizontal="right" vertical="top"/>
    </xf>
    <xf numFmtId="181" fontId="122" fillId="0" borderId="0">
      <alignment horizontal="right" vertical="top"/>
    </xf>
    <xf numFmtId="182" fontId="119" fillId="0" borderId="0" applyBorder="0">
      <alignment horizontal="right" vertical="top"/>
    </xf>
    <xf numFmtId="181" fontId="120" fillId="0" borderId="0">
      <alignment horizontal="right" vertical="top"/>
    </xf>
    <xf numFmtId="182" fontId="121" fillId="0" borderId="0" applyBorder="0">
      <alignment horizontal="right" vertical="top"/>
    </xf>
    <xf numFmtId="183" fontId="122" fillId="0" borderId="0" applyFill="0" applyBorder="0">
      <alignment horizontal="right" vertical="top"/>
    </xf>
    <xf numFmtId="184" fontId="119" fillId="0" borderId="0" applyFill="0" applyBorder="0">
      <alignment horizontal="right" vertical="top"/>
    </xf>
    <xf numFmtId="185" fontId="122" fillId="0" borderId="0" applyFill="0" applyBorder="0">
      <alignment horizontal="right" vertical="top"/>
    </xf>
    <xf numFmtId="186" fontId="119" fillId="0" borderId="0" applyFill="0" applyBorder="0">
      <alignment horizontal="right" vertical="top"/>
    </xf>
    <xf numFmtId="187" fontId="122" fillId="0" borderId="0" applyFill="0" applyBorder="0">
      <alignment horizontal="right" vertical="top"/>
    </xf>
    <xf numFmtId="188" fontId="119" fillId="0" borderId="0" applyFill="0" applyBorder="0">
      <alignment horizontal="right" vertical="top"/>
    </xf>
    <xf numFmtId="189" fontId="122" fillId="0" borderId="0" applyFill="0" applyBorder="0">
      <alignment horizontal="right" vertical="top"/>
    </xf>
    <xf numFmtId="190" fontId="119" fillId="0" borderId="0" applyFill="0" applyBorder="0">
      <alignment horizontal="right" vertical="top"/>
    </xf>
    <xf numFmtId="0" fontId="123" fillId="0" borderId="0">
      <alignment horizontal="center" wrapText="1"/>
    </xf>
    <xf numFmtId="173" fontId="124" fillId="0" borderId="57">
      <alignment horizontal="right"/>
    </xf>
    <xf numFmtId="173" fontId="123" fillId="0" borderId="0">
      <alignment horizontal="center" wrapText="1"/>
    </xf>
    <xf numFmtId="191" fontId="125" fillId="0" borderId="57">
      <alignment horizontal="left"/>
    </xf>
    <xf numFmtId="0" fontId="126" fillId="0" borderId="0">
      <alignment vertical="center"/>
    </xf>
    <xf numFmtId="192" fontId="126" fillId="0" borderId="0">
      <alignment horizontal="left" vertical="center"/>
    </xf>
    <xf numFmtId="193" fontId="127" fillId="0" borderId="0">
      <alignment vertical="center"/>
    </xf>
    <xf numFmtId="0" fontId="128" fillId="0" borderId="0">
      <alignment vertical="center"/>
    </xf>
    <xf numFmtId="191" fontId="125" fillId="0" borderId="57">
      <alignment horizontal="left"/>
    </xf>
    <xf numFmtId="191" fontId="129" fillId="0" borderId="0" applyFill="0" applyBorder="0">
      <alignment vertical="top"/>
    </xf>
    <xf numFmtId="191" fontId="130" fillId="0" borderId="0" applyFill="0" applyBorder="0" applyProtection="0">
      <alignment vertical="top"/>
    </xf>
    <xf numFmtId="191" fontId="131" fillId="0" borderId="0">
      <alignment vertical="top"/>
    </xf>
    <xf numFmtId="191" fontId="119" fillId="0" borderId="0">
      <alignment horizontal="center"/>
    </xf>
    <xf numFmtId="191" fontId="132" fillId="0" borderId="57">
      <alignment horizontal="center"/>
    </xf>
    <xf numFmtId="194" fontId="122" fillId="0" borderId="0" applyFill="0" applyBorder="0" applyAlignment="0" applyProtection="0">
      <alignment horizontal="right" vertical="top"/>
    </xf>
    <xf numFmtId="194" fontId="119" fillId="0" borderId="57" applyFill="0" applyBorder="0" applyProtection="0">
      <alignment horizontal="right" vertical="top"/>
    </xf>
    <xf numFmtId="191" fontId="90" fillId="0" borderId="0"/>
    <xf numFmtId="191" fontId="133" fillId="0" borderId="0"/>
    <xf numFmtId="191" fontId="134" fillId="0" borderId="0"/>
    <xf numFmtId="191" fontId="4" fillId="0" borderId="0"/>
    <xf numFmtId="191" fontId="135" fillId="0" borderId="0">
      <alignment horizontal="left" vertical="top"/>
    </xf>
    <xf numFmtId="0" fontId="122" fillId="0" borderId="0" applyFill="0" applyBorder="0">
      <alignment horizontal="left" vertical="top"/>
    </xf>
    <xf numFmtId="173" fontId="119" fillId="0" borderId="0" applyFill="0" applyBorder="0">
      <alignment horizontal="left" vertical="top" wrapText="1"/>
    </xf>
    <xf numFmtId="173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3" fontId="138" fillId="0" borderId="0" applyNumberFormat="0" applyFill="0" applyBorder="0" applyAlignment="0" applyProtection="0"/>
    <xf numFmtId="173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3" fontId="140" fillId="0" borderId="0" applyNumberFormat="0" applyFill="0" applyProtection="0">
      <alignment horizontal="left"/>
    </xf>
    <xf numFmtId="173" fontId="141" fillId="0" borderId="0" applyNumberFormat="0" applyFill="0" applyBorder="0" applyAlignment="0" applyProtection="0"/>
    <xf numFmtId="173" fontId="108" fillId="0" borderId="0" applyNumberFormat="0" applyFill="0" applyBorder="0" applyAlignment="0">
      <protection locked="0"/>
    </xf>
    <xf numFmtId="173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3" fontId="147" fillId="0" borderId="0"/>
    <xf numFmtId="173" fontId="147" fillId="0" borderId="0"/>
    <xf numFmtId="173" fontId="118" fillId="56" borderId="0">
      <alignment horizontal="right" vertical="center"/>
    </xf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3" fontId="38" fillId="0" borderId="0">
      <alignment horizontal="left"/>
    </xf>
    <xf numFmtId="0" fontId="150" fillId="0" borderId="0"/>
    <xf numFmtId="0" fontId="150" fillId="0" borderId="0"/>
    <xf numFmtId="173" fontId="150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10" fillId="0" borderId="0"/>
    <xf numFmtId="0" fontId="4" fillId="0" borderId="0"/>
    <xf numFmtId="173" fontId="4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0" fontId="3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3" fontId="4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3" fontId="38" fillId="0" borderId="0"/>
    <xf numFmtId="173" fontId="154" fillId="0" borderId="0"/>
    <xf numFmtId="9" fontId="113" fillId="0" borderId="0" applyFont="0" applyFill="0" applyBorder="0" applyAlignment="0" applyProtection="0"/>
    <xf numFmtId="173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3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0"/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0"/>
    <xf numFmtId="173" fontId="28" fillId="0" borderId="0"/>
    <xf numFmtId="173" fontId="28" fillId="0" borderId="0"/>
    <xf numFmtId="173" fontId="28" fillId="0" borderId="0"/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3" fontId="160" fillId="55" borderId="0" applyNumberFormat="0" applyFont="0" applyBorder="0" applyAlignment="0" applyProtection="0"/>
    <xf numFmtId="173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3" fontId="4" fillId="0" borderId="0"/>
    <xf numFmtId="0" fontId="4" fillId="0" borderId="0"/>
    <xf numFmtId="0" fontId="159" fillId="0" borderId="0" applyNumberFormat="0" applyBorder="0" applyAlignment="0"/>
    <xf numFmtId="173" fontId="159" fillId="0" borderId="0" applyNumberFormat="0" applyBorder="0" applyAlignment="0"/>
    <xf numFmtId="0" fontId="161" fillId="0" borderId="0" applyNumberFormat="0" applyBorder="0" applyAlignment="0"/>
    <xf numFmtId="173" fontId="161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3" fillId="0" borderId="0" applyNumberFormat="0" applyBorder="0" applyAlignment="0"/>
    <xf numFmtId="173" fontId="163" fillId="0" borderId="0" applyNumberFormat="0" applyBorder="0" applyAlignment="0"/>
    <xf numFmtId="0" fontId="164" fillId="7" borderId="0" applyNumberFormat="0" applyBorder="0" applyAlignment="0"/>
    <xf numFmtId="173" fontId="164" fillId="7" borderId="0" applyNumberFormat="0" applyBorder="0" applyAlignment="0"/>
    <xf numFmtId="0" fontId="165" fillId="7" borderId="0" applyNumberFormat="0" applyBorder="0" applyAlignment="0"/>
    <xf numFmtId="173" fontId="165" fillId="7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"/>
    </xf>
    <xf numFmtId="173" fontId="167" fillId="43" borderId="0"/>
    <xf numFmtId="173" fontId="47" fillId="43" borderId="0">
      <alignment horizontal="left"/>
    </xf>
    <xf numFmtId="173" fontId="47" fillId="43" borderId="0">
      <alignment horizontal="left" indent="1"/>
    </xf>
    <xf numFmtId="173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3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3" fontId="113" fillId="0" borderId="60" applyNumberFormat="0" applyFont="0" applyFill="0" applyAlignment="0" applyProtection="0"/>
    <xf numFmtId="173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3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4" fontId="109" fillId="0" borderId="0"/>
    <xf numFmtId="174" fontId="109" fillId="0" borderId="0"/>
    <xf numFmtId="174" fontId="109" fillId="0" borderId="0"/>
    <xf numFmtId="174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173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173" fontId="108" fillId="0" borderId="0"/>
    <xf numFmtId="0" fontId="108" fillId="0" borderId="0"/>
    <xf numFmtId="173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8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3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164" fontId="10" fillId="0" borderId="0" applyFont="0" applyFill="0" applyBorder="0" applyAlignment="0" applyProtection="0"/>
    <xf numFmtId="178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3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173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0" fontId="158" fillId="0" borderId="0">
      <alignment horizontal="center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48">
    <xf numFmtId="0" fontId="0" fillId="0" borderId="0" xfId="0"/>
    <xf numFmtId="0" fontId="6" fillId="0" borderId="0" xfId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vertical="center"/>
    </xf>
    <xf numFmtId="0" fontId="9" fillId="0" borderId="0" xfId="0" applyFont="1" applyFill="1" applyAlignment="1">
      <alignment horizontal="left" indent="1"/>
    </xf>
    <xf numFmtId="0" fontId="42" fillId="30" borderId="0" xfId="3" applyFont="1" applyFill="1"/>
    <xf numFmtId="0" fontId="42" fillId="30" borderId="0" xfId="3" applyFont="1" applyFill="1" applyBorder="1"/>
    <xf numFmtId="0" fontId="42" fillId="0" borderId="0" xfId="3" applyFont="1"/>
    <xf numFmtId="0" fontId="43" fillId="30" borderId="0" xfId="3" applyFont="1" applyFill="1"/>
    <xf numFmtId="0" fontId="42" fillId="0" borderId="0" xfId="3" applyFont="1" applyFill="1"/>
    <xf numFmtId="0" fontId="42" fillId="0" borderId="0" xfId="3" applyFont="1" applyFill="1" applyBorder="1"/>
    <xf numFmtId="0" fontId="45" fillId="0" borderId="0" xfId="3" applyFont="1" applyFill="1"/>
    <xf numFmtId="0" fontId="45" fillId="0" borderId="0" xfId="3" applyFont="1" applyFill="1" applyBorder="1"/>
    <xf numFmtId="0" fontId="43" fillId="0" borderId="0" xfId="3" applyFont="1"/>
    <xf numFmtId="0" fontId="46" fillId="0" borderId="0" xfId="3" applyFont="1" applyFill="1"/>
    <xf numFmtId="0" fontId="46" fillId="0" borderId="0" xfId="3" applyFont="1" applyFill="1" applyBorder="1"/>
    <xf numFmtId="0" fontId="43" fillId="0" borderId="0" xfId="3" applyFont="1" applyFill="1" applyBorder="1"/>
    <xf numFmtId="0" fontId="6" fillId="0" borderId="0" xfId="3" applyFont="1" applyFill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Fill="1" applyBorder="1" applyAlignment="1" applyProtection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43" fillId="0" borderId="0" xfId="3" applyFont="1" applyBorder="1"/>
    <xf numFmtId="0" fontId="54" fillId="0" borderId="0" xfId="3" applyFont="1" applyFill="1" applyBorder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 applyProtection="1"/>
    <xf numFmtId="0" fontId="0" fillId="0" borderId="0" xfId="0" applyProtection="1"/>
    <xf numFmtId="0" fontId="64" fillId="34" borderId="8" xfId="0" applyFont="1" applyFill="1" applyBorder="1" applyAlignment="1" applyProtection="1">
      <alignment horizontal="center"/>
    </xf>
    <xf numFmtId="0" fontId="0" fillId="35" borderId="8" xfId="0" applyFill="1" applyBorder="1" applyProtection="1"/>
    <xf numFmtId="0" fontId="0" fillId="33" borderId="8" xfId="0" applyFill="1" applyBorder="1" applyProtection="1"/>
    <xf numFmtId="0" fontId="62" fillId="36" borderId="19" xfId="0" applyFont="1" applyFill="1" applyBorder="1" applyAlignment="1" applyProtection="1">
      <alignment horizontal="left"/>
    </xf>
    <xf numFmtId="0" fontId="63" fillId="36" borderId="20" xfId="0" applyFont="1" applyFill="1" applyBorder="1" applyProtection="1"/>
    <xf numFmtId="0" fontId="65" fillId="0" borderId="21" xfId="0" applyFont="1" applyBorder="1" applyProtection="1"/>
    <xf numFmtId="0" fontId="66" fillId="0" borderId="0" xfId="0" applyFont="1" applyProtection="1"/>
    <xf numFmtId="0" fontId="65" fillId="0" borderId="21" xfId="0" applyNumberFormat="1" applyFont="1" applyBorder="1" applyProtection="1"/>
    <xf numFmtId="0" fontId="65" fillId="0" borderId="22" xfId="0" applyFont="1" applyBorder="1" applyProtection="1"/>
    <xf numFmtId="0" fontId="67" fillId="0" borderId="0" xfId="0" applyFont="1" applyFill="1" applyProtection="1"/>
    <xf numFmtId="0" fontId="42" fillId="32" borderId="0" xfId="3" applyFont="1" applyFill="1"/>
    <xf numFmtId="0" fontId="42" fillId="32" borderId="0" xfId="3" applyFont="1" applyFill="1" applyBorder="1"/>
    <xf numFmtId="0" fontId="16" fillId="37" borderId="0" xfId="0" applyFont="1" applyFill="1" applyProtection="1"/>
    <xf numFmtId="0" fontId="49" fillId="32" borderId="0" xfId="3" applyFont="1" applyFill="1"/>
    <xf numFmtId="0" fontId="5" fillId="38" borderId="23" xfId="1" applyFont="1" applyFill="1" applyBorder="1" applyAlignment="1" applyProtection="1">
      <alignment horizontal="center" vertical="center"/>
    </xf>
    <xf numFmtId="0" fontId="6" fillId="0" borderId="24" xfId="1" applyFont="1" applyFill="1" applyBorder="1" applyAlignment="1" applyProtection="1">
      <alignment vertical="center"/>
    </xf>
    <xf numFmtId="0" fontId="6" fillId="0" borderId="25" xfId="1" applyFont="1" applyFill="1" applyBorder="1" applyAlignment="1" applyProtection="1">
      <alignment vertical="center"/>
    </xf>
    <xf numFmtId="0" fontId="42" fillId="0" borderId="25" xfId="3" applyFont="1" applyBorder="1"/>
    <xf numFmtId="0" fontId="6" fillId="0" borderId="27" xfId="1" applyFont="1" applyFill="1" applyBorder="1" applyAlignment="1" applyProtection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Fill="1" applyBorder="1" applyAlignment="1">
      <alignment horizontal="left" indent="2"/>
    </xf>
    <xf numFmtId="0" fontId="69" fillId="0" borderId="26" xfId="0" applyFont="1" applyBorder="1" applyAlignment="1" applyProtection="1">
      <alignment horizontal="center"/>
    </xf>
    <xf numFmtId="0" fontId="70" fillId="0" borderId="26" xfId="0" applyFont="1" applyBorder="1" applyAlignment="1" applyProtection="1">
      <alignment horizontal="center"/>
    </xf>
    <xf numFmtId="0" fontId="71" fillId="0" borderId="24" xfId="0" applyFont="1" applyBorder="1" applyProtection="1"/>
    <xf numFmtId="0" fontId="6" fillId="0" borderId="28" xfId="1" applyFont="1" applyFill="1" applyBorder="1" applyAlignment="1" applyProtection="1">
      <alignment vertical="center"/>
    </xf>
    <xf numFmtId="0" fontId="71" fillId="0" borderId="27" xfId="0" applyFont="1" applyBorder="1" applyProtection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 applyProtection="1">
      <alignment horizontal="center"/>
    </xf>
    <xf numFmtId="0" fontId="77" fillId="0" borderId="26" xfId="0" applyFont="1" applyBorder="1" applyAlignment="1" applyProtection="1">
      <alignment horizontal="center"/>
    </xf>
    <xf numFmtId="0" fontId="42" fillId="0" borderId="26" xfId="3" applyFont="1" applyFill="1" applyBorder="1"/>
    <xf numFmtId="49" fontId="48" fillId="0" borderId="26" xfId="3" applyNumberFormat="1" applyFont="1" applyFill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NumberFormat="1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 applyProtection="1">
      <alignment horizontal="left" vertical="center"/>
    </xf>
    <xf numFmtId="0" fontId="63" fillId="36" borderId="30" xfId="0" applyFont="1" applyFill="1" applyBorder="1" applyAlignment="1" applyProtection="1">
      <alignment horizontal="left" vertical="center"/>
    </xf>
    <xf numFmtId="0" fontId="63" fillId="36" borderId="31" xfId="0" applyFont="1" applyFill="1" applyBorder="1" applyAlignment="1" applyProtection="1">
      <alignment horizontal="left" vertical="center"/>
    </xf>
    <xf numFmtId="0" fontId="5" fillId="40" borderId="0" xfId="1" applyFont="1" applyFill="1" applyBorder="1" applyAlignment="1" applyProtection="1">
      <alignment horizontal="center" vertical="center"/>
    </xf>
    <xf numFmtId="0" fontId="7" fillId="40" borderId="0" xfId="1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left" vertical="center"/>
    </xf>
    <xf numFmtId="0" fontId="9" fillId="0" borderId="0" xfId="0" applyFont="1" applyFill="1" applyAlignment="1" applyProtection="1">
      <alignment horizontal="left" indent="1"/>
    </xf>
    <xf numFmtId="0" fontId="6" fillId="0" borderId="0" xfId="0" applyFont="1" applyFill="1" applyAlignment="1" applyProtection="1">
      <alignment horizontal="left" indent="1"/>
    </xf>
    <xf numFmtId="0" fontId="83" fillId="0" borderId="0" xfId="0" applyFont="1" applyFill="1" applyBorder="1" applyAlignment="1" applyProtection="1"/>
    <xf numFmtId="0" fontId="6" fillId="0" borderId="0" xfId="1" applyFont="1" applyFill="1" applyAlignment="1" applyProtection="1">
      <alignment vertical="center"/>
    </xf>
    <xf numFmtId="0" fontId="85" fillId="0" borderId="0" xfId="3" applyFont="1" applyFill="1" applyBorder="1" applyAlignment="1" applyProtection="1">
      <alignment horizontal="center" vertical="center" wrapText="1"/>
    </xf>
    <xf numFmtId="0" fontId="6" fillId="0" borderId="0" xfId="0" applyFont="1" applyProtection="1"/>
    <xf numFmtId="4" fontId="6" fillId="0" borderId="0" xfId="1" applyNumberFormat="1" applyFont="1" applyFill="1" applyBorder="1" applyAlignment="1" applyProtection="1">
      <alignment vertical="center"/>
    </xf>
    <xf numFmtId="0" fontId="84" fillId="0" borderId="0" xfId="3" applyFont="1" applyFill="1" applyBorder="1" applyAlignment="1" applyProtection="1">
      <alignment horizontal="right" vertical="center"/>
    </xf>
    <xf numFmtId="0" fontId="81" fillId="41" borderId="0" xfId="0" applyFont="1" applyFill="1" applyBorder="1" applyAlignment="1" applyProtection="1">
      <alignment vertical="center" wrapText="1"/>
    </xf>
    <xf numFmtId="0" fontId="82" fillId="41" borderId="0" xfId="0" applyFont="1" applyFill="1" applyBorder="1" applyAlignment="1" applyProtection="1">
      <alignment vertical="center" wrapText="1"/>
    </xf>
    <xf numFmtId="0" fontId="58" fillId="0" borderId="0" xfId="305" applyFont="1"/>
    <xf numFmtId="0" fontId="48" fillId="32" borderId="0" xfId="1" applyFont="1" applyFill="1" applyBorder="1" applyAlignment="1" applyProtection="1">
      <alignment horizontal="center" vertical="center"/>
    </xf>
    <xf numFmtId="0" fontId="59" fillId="0" borderId="0" xfId="305" applyFont="1" applyBorder="1" applyProtection="1"/>
    <xf numFmtId="0" fontId="80" fillId="40" borderId="0" xfId="1" applyFont="1" applyFill="1" applyBorder="1" applyAlignment="1" applyProtection="1">
      <alignment horizontal="right" vertical="center"/>
    </xf>
    <xf numFmtId="0" fontId="86" fillId="0" borderId="0" xfId="0" applyFont="1" applyBorder="1" applyAlignment="1">
      <alignment horizontal="left" vertical="center"/>
    </xf>
    <xf numFmtId="0" fontId="0" fillId="0" borderId="26" xfId="0" applyBorder="1"/>
    <xf numFmtId="0" fontId="50" fillId="0" borderId="0" xfId="0" applyFont="1" applyFill="1" applyAlignment="1" applyProtection="1">
      <alignment horizontal="left" indent="1"/>
    </xf>
    <xf numFmtId="0" fontId="51" fillId="0" borderId="0" xfId="0" applyFont="1" applyFill="1" applyBorder="1" applyAlignment="1" applyProtection="1"/>
    <xf numFmtId="0" fontId="52" fillId="0" borderId="0" xfId="0" applyFont="1" applyBorder="1" applyAlignment="1" applyProtection="1">
      <alignment horizontal="left" vertical="center"/>
    </xf>
    <xf numFmtId="3" fontId="52" fillId="0" borderId="0" xfId="0" applyNumberFormat="1" applyFont="1" applyFill="1" applyBorder="1" applyAlignment="1" applyProtection="1">
      <alignment vertical="center"/>
    </xf>
    <xf numFmtId="0" fontId="72" fillId="32" borderId="0" xfId="1" applyFont="1" applyFill="1" applyBorder="1" applyAlignment="1" applyProtection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Fill="1" applyAlignment="1" applyProtection="1">
      <alignment horizontal="center"/>
    </xf>
    <xf numFmtId="0" fontId="94" fillId="0" borderId="0" xfId="0" applyFont="1" applyFill="1" applyAlignment="1" applyProtection="1">
      <alignment horizontal="center" vertical="center"/>
    </xf>
    <xf numFmtId="0" fontId="52" fillId="0" borderId="47" xfId="0" applyFont="1" applyBorder="1" applyAlignment="1" applyProtection="1">
      <alignment horizontal="left" vertical="center"/>
    </xf>
    <xf numFmtId="0" fontId="94" fillId="0" borderId="47" xfId="0" applyFont="1" applyFill="1" applyBorder="1" applyAlignment="1" applyProtection="1">
      <alignment horizontal="center" vertical="center"/>
    </xf>
    <xf numFmtId="0" fontId="59" fillId="46" borderId="49" xfId="305" applyFont="1" applyFill="1" applyBorder="1" applyAlignment="1" applyProtection="1">
      <alignment horizontal="left"/>
    </xf>
    <xf numFmtId="0" fontId="59" fillId="46" borderId="34" xfId="305" applyFont="1" applyFill="1" applyBorder="1" applyAlignment="1" applyProtection="1">
      <alignment horizontal="left"/>
    </xf>
    <xf numFmtId="0" fontId="59" fillId="46" borderId="0" xfId="305" applyFont="1" applyFill="1" applyBorder="1" applyAlignment="1" applyProtection="1">
      <alignment horizontal="left"/>
    </xf>
    <xf numFmtId="0" fontId="59" fillId="46" borderId="47" xfId="305" applyFont="1" applyFill="1" applyBorder="1" applyAlignment="1" applyProtection="1">
      <alignment horizontal="left"/>
    </xf>
    <xf numFmtId="0" fontId="59" fillId="46" borderId="50" xfId="305" applyFont="1" applyFill="1" applyBorder="1" applyAlignment="1" applyProtection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Fill="1" applyAlignment="1">
      <alignment horizontal="right"/>
    </xf>
    <xf numFmtId="0" fontId="43" fillId="0" borderId="0" xfId="3" applyFont="1" applyFill="1"/>
    <xf numFmtId="0" fontId="52" fillId="0" borderId="0" xfId="3" applyFont="1" applyFill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Fill="1" applyAlignment="1">
      <alignment horizontal="center" vertical="center"/>
    </xf>
    <xf numFmtId="49" fontId="0" fillId="0" borderId="0" xfId="0" applyNumberFormat="1" applyAlignment="1"/>
    <xf numFmtId="0" fontId="75" fillId="0" borderId="0" xfId="0" applyFont="1" applyAlignment="1">
      <alignment wrapText="1"/>
    </xf>
    <xf numFmtId="0" fontId="72" fillId="40" borderId="0" xfId="1" applyFont="1" applyFill="1" applyBorder="1" applyAlignment="1" applyProtection="1">
      <alignment horizontal="right" vertical="center"/>
    </xf>
    <xf numFmtId="0" fontId="7" fillId="32" borderId="0" xfId="1" applyFont="1" applyFill="1" applyBorder="1" applyAlignment="1" applyProtection="1">
      <alignment vertical="center"/>
    </xf>
    <xf numFmtId="0" fontId="6" fillId="32" borderId="0" xfId="1" applyFont="1" applyFill="1" applyBorder="1" applyAlignment="1" applyProtection="1">
      <alignment horizontal="left" vertical="center"/>
    </xf>
    <xf numFmtId="0" fontId="87" fillId="38" borderId="51" xfId="1" applyFont="1" applyFill="1" applyBorder="1" applyAlignment="1" applyProtection="1">
      <alignment horizontal="center" vertical="center"/>
    </xf>
    <xf numFmtId="0" fontId="99" fillId="0" borderId="24" xfId="1" applyFont="1" applyFill="1" applyBorder="1" applyAlignment="1" applyProtection="1">
      <alignment vertical="center"/>
    </xf>
    <xf numFmtId="0" fontId="88" fillId="0" borderId="0" xfId="0" applyFont="1" applyFill="1" applyBorder="1" applyAlignment="1" applyProtection="1">
      <alignment horizontal="center" vertical="center" wrapText="1"/>
    </xf>
    <xf numFmtId="0" fontId="41" fillId="49" borderId="0" xfId="1" applyFont="1" applyFill="1" applyBorder="1" applyAlignment="1" applyProtection="1">
      <alignment horizontal="right" vertical="center"/>
    </xf>
    <xf numFmtId="0" fontId="72" fillId="32" borderId="0" xfId="1" applyFont="1" applyFill="1" applyBorder="1" applyAlignment="1" applyProtection="1">
      <alignment vertical="center"/>
    </xf>
    <xf numFmtId="0" fontId="5" fillId="32" borderId="0" xfId="1" applyFont="1" applyFill="1" applyBorder="1" applyAlignment="1" applyProtection="1">
      <alignment horizontal="center" vertical="center"/>
    </xf>
    <xf numFmtId="0" fontId="100" fillId="0" borderId="25" xfId="3" applyFont="1" applyBorder="1"/>
    <xf numFmtId="0" fontId="99" fillId="0" borderId="25" xfId="1" applyFont="1" applyFill="1" applyBorder="1" applyAlignment="1" applyProtection="1">
      <alignment vertical="center"/>
    </xf>
    <xf numFmtId="0" fontId="99" fillId="0" borderId="27" xfId="1" applyFont="1" applyFill="1" applyBorder="1" applyAlignment="1" applyProtection="1">
      <alignment vertical="center"/>
    </xf>
    <xf numFmtId="0" fontId="7" fillId="0" borderId="25" xfId="1" applyFont="1" applyFill="1" applyBorder="1" applyAlignment="1" applyProtection="1">
      <alignment vertical="center"/>
    </xf>
    <xf numFmtId="0" fontId="7" fillId="0" borderId="27" xfId="1" applyFont="1" applyFill="1" applyBorder="1" applyAlignment="1" applyProtection="1">
      <alignment vertical="center"/>
    </xf>
    <xf numFmtId="3" fontId="86" fillId="0" borderId="0" xfId="0" applyNumberFormat="1" applyFont="1" applyFill="1" applyBorder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Fill="1" applyBorder="1" applyAlignment="1">
      <alignment vertical="center"/>
    </xf>
    <xf numFmtId="0" fontId="83" fillId="0" borderId="0" xfId="0" applyFont="1" applyFill="1" applyBorder="1" applyAlignment="1"/>
    <xf numFmtId="0" fontId="80" fillId="0" borderId="0" xfId="1" applyFont="1" applyFill="1" applyBorder="1" applyAlignment="1" applyProtection="1">
      <alignment horizontal="right" vertical="center"/>
    </xf>
    <xf numFmtId="0" fontId="6" fillId="0" borderId="0" xfId="0" applyFont="1"/>
    <xf numFmtId="17" fontId="7" fillId="0" borderId="0" xfId="1" quotePrefix="1" applyNumberFormat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horizontal="center" vertical="center"/>
    </xf>
    <xf numFmtId="0" fontId="101" fillId="0" borderId="0" xfId="1" applyFont="1" applyFill="1" applyBorder="1" applyAlignment="1" applyProtection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 applyProtection="1">
      <alignment horizontal="left"/>
    </xf>
    <xf numFmtId="0" fontId="59" fillId="46" borderId="62" xfId="305" applyFont="1" applyFill="1" applyBorder="1" applyAlignment="1" applyProtection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 applyProtection="1">
      <alignment vertical="center"/>
    </xf>
    <xf numFmtId="165" fontId="59" fillId="59" borderId="0" xfId="779" applyNumberFormat="1" applyFont="1" applyFill="1" applyBorder="1" applyAlignment="1" applyProtection="1">
      <alignment vertical="center"/>
    </xf>
    <xf numFmtId="0" fontId="89" fillId="0" borderId="0" xfId="0" applyFont="1"/>
    <xf numFmtId="0" fontId="172" fillId="58" borderId="0" xfId="0" applyFont="1" applyFill="1" applyBorder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NumberFormat="1" applyFont="1" applyFill="1" applyBorder="1" applyAlignment="1" applyProtection="1">
      <alignment horizontal="center" vertical="center" wrapText="1"/>
    </xf>
    <xf numFmtId="1" fontId="48" fillId="45" borderId="2" xfId="0" applyNumberFormat="1" applyFont="1" applyFill="1" applyBorder="1" applyAlignment="1" applyProtection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5" fontId="173" fillId="0" borderId="0" xfId="0" applyNumberFormat="1" applyFont="1" applyFill="1" applyBorder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5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5" fontId="173" fillId="0" borderId="49" xfId="0" applyNumberFormat="1" applyFont="1" applyFill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 applyProtection="1">
      <alignment horizontal="right"/>
    </xf>
    <xf numFmtId="1" fontId="59" fillId="46" borderId="47" xfId="305" applyNumberFormat="1" applyFont="1" applyFill="1" applyBorder="1" applyAlignment="1" applyProtection="1">
      <alignment horizontal="right"/>
    </xf>
    <xf numFmtId="1" fontId="59" fillId="46" borderId="0" xfId="305" applyNumberFormat="1" applyFont="1" applyFill="1" applyBorder="1" applyAlignment="1" applyProtection="1">
      <alignment horizontal="right"/>
    </xf>
    <xf numFmtId="1" fontId="59" fillId="46" borderId="50" xfId="305" applyNumberFormat="1" applyFont="1" applyFill="1" applyBorder="1" applyAlignment="1" applyProtection="1">
      <alignment horizontal="right"/>
    </xf>
    <xf numFmtId="0" fontId="72" fillId="64" borderId="0" xfId="781" applyFont="1" applyFill="1" applyBorder="1" applyAlignment="1" applyProtection="1">
      <alignment horizontal="left" vertical="center"/>
    </xf>
    <xf numFmtId="0" fontId="80" fillId="40" borderId="0" xfId="781" applyFont="1" applyFill="1" applyBorder="1" applyAlignment="1" applyProtection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NumberFormat="1" applyFont="1" applyFill="1" applyBorder="1" applyAlignment="1" applyProtection="1">
      <alignment horizontal="center" vertical="center" wrapText="1"/>
    </xf>
    <xf numFmtId="0" fontId="182" fillId="0" borderId="0" xfId="782" applyFont="1" applyFill="1" applyBorder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9" fontId="176" fillId="0" borderId="0" xfId="782" applyNumberFormat="1" applyFont="1" applyFill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175" fillId="0" borderId="0" xfId="782" applyFont="1" applyFill="1"/>
    <xf numFmtId="0" fontId="57" fillId="45" borderId="2" xfId="782" applyNumberFormat="1" applyFont="1" applyFill="1" applyBorder="1" applyAlignment="1" applyProtection="1">
      <alignment horizontal="center" vertical="center" wrapText="1"/>
    </xf>
    <xf numFmtId="0" fontId="48" fillId="60" borderId="2" xfId="782" applyNumberFormat="1" applyFont="1" applyFill="1" applyBorder="1" applyAlignment="1" applyProtection="1">
      <alignment horizontal="center" vertical="center" wrapText="1"/>
    </xf>
    <xf numFmtId="0" fontId="175" fillId="0" borderId="0" xfId="782" applyFont="1" applyBorder="1"/>
    <xf numFmtId="0" fontId="181" fillId="0" borderId="0" xfId="782" applyFont="1"/>
    <xf numFmtId="0" fontId="72" fillId="66" borderId="0" xfId="781" applyFont="1" applyFill="1" applyBorder="1" applyAlignment="1" applyProtection="1">
      <alignment horizontal="left" vertical="center"/>
    </xf>
    <xf numFmtId="0" fontId="95" fillId="0" borderId="0" xfId="3" applyFont="1" applyFill="1" applyBorder="1" applyAlignment="1" applyProtection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5" fontId="173" fillId="62" borderId="0" xfId="0" applyNumberFormat="1" applyFont="1" applyFill="1" applyBorder="1"/>
    <xf numFmtId="3" fontId="176" fillId="0" borderId="0" xfId="0" applyNumberFormat="1" applyFont="1"/>
    <xf numFmtId="0" fontId="192" fillId="0" borderId="0" xfId="0" applyFont="1" applyFill="1" applyBorder="1" applyAlignment="1">
      <alignment horizontal="left" vertical="center" wrapText="1"/>
    </xf>
    <xf numFmtId="165" fontId="52" fillId="0" borderId="0" xfId="779" applyNumberFormat="1" applyFont="1" applyFill="1" applyBorder="1" applyAlignment="1" applyProtection="1">
      <alignment vertical="center"/>
      <protection locked="0"/>
    </xf>
    <xf numFmtId="0" fontId="181" fillId="0" borderId="0" xfId="0" applyFont="1"/>
    <xf numFmtId="165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5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5" fontId="6" fillId="0" borderId="0" xfId="1" applyNumberFormat="1" applyFont="1" applyFill="1" applyBorder="1" applyAlignment="1" applyProtection="1">
      <alignment vertical="center"/>
    </xf>
    <xf numFmtId="0" fontId="194" fillId="32" borderId="0" xfId="3344" applyFont="1" applyFill="1" applyBorder="1" applyAlignment="1">
      <alignment horizontal="center" vertical="center"/>
    </xf>
    <xf numFmtId="0" fontId="195" fillId="32" borderId="0" xfId="3344" applyFont="1" applyFill="1" applyBorder="1" applyAlignment="1">
      <alignment horizontal="center" vertical="center"/>
    </xf>
    <xf numFmtId="0" fontId="196" fillId="32" borderId="0" xfId="3344" applyFont="1" applyFill="1" applyBorder="1" applyAlignment="1">
      <alignment horizontal="center" vertical="center"/>
    </xf>
    <xf numFmtId="0" fontId="7" fillId="40" borderId="0" xfId="1" applyFont="1" applyFill="1" applyBorder="1" applyAlignment="1" applyProtection="1">
      <alignment vertical="center"/>
      <protection locked="0"/>
    </xf>
    <xf numFmtId="205" fontId="193" fillId="30" borderId="32" xfId="0" applyNumberFormat="1" applyFont="1" applyFill="1" applyBorder="1" applyAlignment="1"/>
    <xf numFmtId="0" fontId="59" fillId="46" borderId="0" xfId="2" applyFont="1" applyFill="1" applyBorder="1" applyAlignment="1" applyProtection="1">
      <alignment vertical="center"/>
    </xf>
    <xf numFmtId="0" fontId="59" fillId="46" borderId="0" xfId="2" applyFont="1" applyFill="1" applyAlignment="1">
      <alignment vertical="center"/>
    </xf>
    <xf numFmtId="0" fontId="86" fillId="0" borderId="0" xfId="780" applyFont="1" applyBorder="1" applyAlignment="1" applyProtection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 applyProtection="1">
      <alignment vertical="center"/>
    </xf>
    <xf numFmtId="0" fontId="59" fillId="47" borderId="45" xfId="2" applyFont="1" applyFill="1" applyBorder="1" applyAlignment="1" applyProtection="1">
      <alignment vertical="center"/>
    </xf>
    <xf numFmtId="165" fontId="59" fillId="40" borderId="38" xfId="779" applyNumberFormat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  <protection locked="0"/>
    </xf>
    <xf numFmtId="165" fontId="59" fillId="40" borderId="38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1" xfId="779" applyNumberFormat="1" applyFont="1" applyFill="1" applyBorder="1" applyAlignment="1" applyProtection="1">
      <alignment vertical="center"/>
    </xf>
    <xf numFmtId="3" fontId="59" fillId="0" borderId="0" xfId="779" applyNumberFormat="1" applyFont="1" applyFill="1" applyBorder="1" applyAlignment="1" applyProtection="1">
      <alignment vertical="center"/>
    </xf>
    <xf numFmtId="165" fontId="59" fillId="40" borderId="39" xfId="779" applyNumberFormat="1" applyFont="1" applyFill="1" applyBorder="1" applyAlignment="1" applyProtection="1">
      <alignment vertical="center"/>
      <protection locked="0"/>
    </xf>
    <xf numFmtId="165" fontId="199" fillId="43" borderId="71" xfId="779" applyNumberFormat="1" applyFont="1" applyFill="1" applyBorder="1" applyAlignment="1" applyProtection="1">
      <alignment vertical="center"/>
    </xf>
    <xf numFmtId="165" fontId="80" fillId="43" borderId="33" xfId="779" applyNumberFormat="1" applyFont="1" applyFill="1" applyBorder="1" applyAlignment="1" applyProtection="1">
      <alignment vertical="center"/>
    </xf>
    <xf numFmtId="165" fontId="59" fillId="31" borderId="33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Alignment="1" applyProtection="1">
      <alignment vertical="center"/>
      <protection locked="0"/>
    </xf>
    <xf numFmtId="0" fontId="41" fillId="47" borderId="45" xfId="780" applyFont="1" applyFill="1" applyBorder="1" applyAlignment="1" applyProtection="1">
      <alignment vertical="center"/>
    </xf>
    <xf numFmtId="165" fontId="80" fillId="43" borderId="30" xfId="779" applyNumberFormat="1" applyFont="1" applyFill="1" applyBorder="1" applyAlignment="1" applyProtection="1">
      <alignment vertical="center"/>
    </xf>
    <xf numFmtId="165" fontId="80" fillId="43" borderId="40" xfId="779" applyNumberFormat="1" applyFont="1" applyFill="1" applyBorder="1" applyAlignment="1" applyProtection="1">
      <alignment vertical="center"/>
    </xf>
    <xf numFmtId="0" fontId="6" fillId="46" borderId="0" xfId="2" applyFont="1" applyFill="1" applyBorder="1" applyAlignment="1" applyProtection="1">
      <alignment horizontal="left" vertical="center"/>
    </xf>
    <xf numFmtId="165" fontId="6" fillId="40" borderId="39" xfId="779" applyNumberFormat="1" applyFont="1" applyFill="1" applyBorder="1" applyAlignment="1" applyProtection="1">
      <alignment vertical="center"/>
      <protection locked="0"/>
    </xf>
    <xf numFmtId="165" fontId="6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2" xfId="779" applyNumberFormat="1" applyFont="1" applyFill="1" applyBorder="1" applyAlignment="1" applyProtection="1">
      <alignment vertical="center"/>
    </xf>
    <xf numFmtId="165" fontId="80" fillId="43" borderId="73" xfId="779" applyNumberFormat="1" applyFont="1" applyFill="1" applyBorder="1" applyAlignment="1" applyProtection="1">
      <alignment vertical="center"/>
    </xf>
    <xf numFmtId="0" fontId="52" fillId="0" borderId="0" xfId="780" applyFont="1" applyBorder="1" applyAlignment="1" applyProtection="1">
      <alignment horizontal="left" vertical="center"/>
    </xf>
    <xf numFmtId="0" fontId="56" fillId="47" borderId="45" xfId="780" applyFont="1" applyFill="1" applyBorder="1" applyAlignment="1" applyProtection="1">
      <alignment vertical="center"/>
    </xf>
    <xf numFmtId="0" fontId="56" fillId="47" borderId="48" xfId="780" applyFont="1" applyFill="1" applyBorder="1" applyAlignment="1" applyProtection="1">
      <alignment vertical="center"/>
    </xf>
    <xf numFmtId="0" fontId="86" fillId="0" borderId="46" xfId="78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  <protection locked="0"/>
    </xf>
    <xf numFmtId="165" fontId="59" fillId="40" borderId="0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  <protection locked="0"/>
    </xf>
    <xf numFmtId="165" fontId="80" fillId="43" borderId="76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Border="1" applyAlignment="1" applyProtection="1">
      <alignment horizontal="left" vertical="center"/>
    </xf>
    <xf numFmtId="165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Fill="1" applyBorder="1" applyAlignment="1" applyProtection="1">
      <alignment vertical="center"/>
    </xf>
    <xf numFmtId="165" fontId="74" fillId="31" borderId="80" xfId="779" applyNumberFormat="1" applyFont="1" applyFill="1" applyBorder="1" applyAlignment="1" applyProtection="1">
      <alignment vertical="center"/>
      <protection locked="0"/>
    </xf>
    <xf numFmtId="165" fontId="74" fillId="31" borderId="0" xfId="779" applyNumberFormat="1" applyFont="1" applyFill="1" applyBorder="1" applyAlignment="1" applyProtection="1">
      <alignment vertical="center"/>
      <protection locked="0"/>
    </xf>
    <xf numFmtId="165" fontId="74" fillId="31" borderId="81" xfId="779" applyNumberFormat="1" applyFont="1" applyFill="1" applyBorder="1" applyAlignment="1" applyProtection="1">
      <alignment vertical="center"/>
      <protection locked="0"/>
    </xf>
    <xf numFmtId="165" fontId="59" fillId="40" borderId="82" xfId="779" applyNumberFormat="1" applyFont="1" applyFill="1" applyBorder="1" applyAlignment="1" applyProtection="1">
      <alignment vertical="center"/>
      <protection locked="0"/>
    </xf>
    <xf numFmtId="165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 applyFill="1"/>
    <xf numFmtId="49" fontId="79" fillId="30" borderId="32" xfId="0" applyNumberFormat="1" applyFont="1" applyFill="1" applyBorder="1" applyAlignment="1"/>
    <xf numFmtId="49" fontId="193" fillId="30" borderId="32" xfId="0" applyNumberFormat="1" applyFont="1" applyFill="1" applyBorder="1" applyAlignment="1"/>
    <xf numFmtId="165" fontId="201" fillId="0" borderId="0" xfId="781" applyNumberFormat="1" applyFont="1" applyFill="1" applyBorder="1" applyAlignment="1" applyProtection="1">
      <alignment vertical="center"/>
    </xf>
    <xf numFmtId="0" fontId="59" fillId="0" borderId="0" xfId="781" applyFont="1" applyFill="1" applyBorder="1" applyAlignment="1" applyProtection="1">
      <alignment horizontal="left" vertical="center"/>
    </xf>
    <xf numFmtId="0" fontId="59" fillId="46" borderId="0" xfId="2" applyFont="1" applyFill="1" applyBorder="1" applyAlignment="1" applyProtection="1">
      <alignment horizontal="left" vertical="center"/>
    </xf>
    <xf numFmtId="165" fontId="59" fillId="40" borderId="39" xfId="779" applyNumberFormat="1" applyFont="1" applyFill="1" applyBorder="1" applyAlignment="1" applyProtection="1">
      <alignment vertical="center"/>
    </xf>
    <xf numFmtId="0" fontId="86" fillId="0" borderId="0" xfId="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</xf>
    <xf numFmtId="3" fontId="102" fillId="0" borderId="0" xfId="0" applyNumberFormat="1" applyFont="1" applyFill="1" applyBorder="1" applyAlignment="1" applyProtection="1">
      <alignment vertical="center"/>
    </xf>
    <xf numFmtId="165" fontId="59" fillId="40" borderId="84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</xf>
    <xf numFmtId="165" fontId="59" fillId="40" borderId="78" xfId="779" applyNumberFormat="1" applyFont="1" applyFill="1" applyBorder="1" applyAlignment="1" applyProtection="1">
      <alignment vertical="center"/>
    </xf>
    <xf numFmtId="165" fontId="59" fillId="40" borderId="82" xfId="779" applyNumberFormat="1" applyFont="1" applyFill="1" applyBorder="1" applyAlignment="1" applyProtection="1">
      <alignment vertical="center"/>
    </xf>
    <xf numFmtId="165" fontId="59" fillId="40" borderId="83" xfId="779" applyNumberFormat="1" applyFont="1" applyFill="1" applyBorder="1" applyAlignment="1" applyProtection="1">
      <alignment vertical="center"/>
    </xf>
    <xf numFmtId="165" fontId="59" fillId="30" borderId="0" xfId="779" applyNumberFormat="1" applyFont="1" applyFill="1" applyBorder="1" applyAlignment="1" applyProtection="1">
      <alignment vertical="center"/>
    </xf>
    <xf numFmtId="0" fontId="93" fillId="0" borderId="0" xfId="2" applyFont="1" applyFill="1" applyBorder="1" applyAlignment="1" applyProtection="1">
      <alignment horizontal="left" vertical="center"/>
    </xf>
    <xf numFmtId="0" fontId="54" fillId="0" borderId="0" xfId="2" applyFont="1" applyFill="1" applyBorder="1" applyAlignment="1" applyProtection="1">
      <alignment horizontal="left" vertical="center"/>
    </xf>
    <xf numFmtId="0" fontId="105" fillId="0" borderId="0" xfId="2" applyFont="1" applyFill="1" applyBorder="1" applyAlignment="1" applyProtection="1">
      <alignment horizontal="left" vertical="center"/>
    </xf>
    <xf numFmtId="165" fontId="59" fillId="40" borderId="85" xfId="779" applyNumberFormat="1" applyFont="1" applyFill="1" applyBorder="1" applyAlignment="1" applyProtection="1">
      <alignment vertical="center"/>
    </xf>
    <xf numFmtId="165" fontId="59" fillId="68" borderId="0" xfId="779" applyNumberFormat="1" applyFont="1" applyFill="1" applyBorder="1" applyAlignment="1" applyProtection="1">
      <alignment vertical="center"/>
    </xf>
    <xf numFmtId="0" fontId="202" fillId="0" borderId="0" xfId="1" applyFont="1" applyFill="1" applyBorder="1" applyAlignment="1" applyProtection="1">
      <alignment vertical="center"/>
    </xf>
    <xf numFmtId="165" fontId="59" fillId="40" borderId="0" xfId="779" applyNumberFormat="1" applyFont="1" applyFill="1" applyBorder="1" applyAlignment="1" applyProtection="1">
      <alignment vertical="center"/>
      <protection locked="0"/>
    </xf>
    <xf numFmtId="165" fontId="59" fillId="69" borderId="0" xfId="779" applyNumberFormat="1" applyFont="1" applyFill="1" applyBorder="1" applyAlignment="1" applyProtection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5" fontId="59" fillId="70" borderId="0" xfId="779" applyNumberFormat="1" applyFont="1" applyFill="1" applyBorder="1" applyAlignment="1" applyProtection="1">
      <alignment vertical="center"/>
    </xf>
    <xf numFmtId="165" fontId="59" fillId="70" borderId="0" xfId="779" applyNumberFormat="1" applyFont="1" applyFill="1" applyAlignment="1" applyProtection="1">
      <alignment vertical="center"/>
    </xf>
    <xf numFmtId="0" fontId="203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  <protection locked="0"/>
    </xf>
    <xf numFmtId="0" fontId="204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</xf>
    <xf numFmtId="0" fontId="63" fillId="71" borderId="20" xfId="0" applyFont="1" applyFill="1" applyBorder="1" applyProtection="1"/>
    <xf numFmtId="0" fontId="65" fillId="71" borderId="21" xfId="0" applyFont="1" applyFill="1" applyBorder="1" applyProtection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 applyFill="1" applyBorder="1" applyAlignme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Fill="1" applyBorder="1" applyAlignment="1" applyProtection="1">
      <alignment horizontal="left" vertical="center"/>
      <protection locked="0"/>
    </xf>
    <xf numFmtId="0" fontId="206" fillId="0" borderId="0" xfId="1" applyFont="1" applyFill="1" applyBorder="1" applyAlignment="1" applyProtection="1">
      <alignment horizontal="left" vertical="center"/>
    </xf>
    <xf numFmtId="0" fontId="206" fillId="0" borderId="0" xfId="1" applyFont="1" applyFill="1" applyBorder="1" applyAlignment="1" applyProtection="1">
      <alignment vertical="center"/>
      <protection locked="0"/>
    </xf>
    <xf numFmtId="0" fontId="208" fillId="71" borderId="0" xfId="0" applyFont="1" applyFill="1" applyBorder="1" applyAlignment="1" applyProtection="1">
      <alignment vertical="center" wrapText="1"/>
    </xf>
    <xf numFmtId="0" fontId="211" fillId="0" borderId="0" xfId="781" applyFont="1" applyFill="1" applyBorder="1" applyAlignment="1" applyProtection="1">
      <alignment horizontal="left" vertical="center"/>
    </xf>
    <xf numFmtId="165" fontId="211" fillId="0" borderId="0" xfId="781" applyNumberFormat="1" applyFont="1" applyFill="1" applyBorder="1" applyAlignment="1" applyProtection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Fill="1" applyBorder="1" applyAlignment="1" applyProtection="1">
      <alignment vertical="center"/>
    </xf>
    <xf numFmtId="165" fontId="212" fillId="0" borderId="0" xfId="1" applyNumberFormat="1" applyFont="1" applyFill="1" applyBorder="1" applyAlignment="1" applyProtection="1">
      <alignment vertical="center"/>
    </xf>
    <xf numFmtId="0" fontId="213" fillId="0" borderId="0" xfId="0" applyFont="1" applyFill="1" applyAlignment="1" applyProtection="1">
      <alignment horizontal="left" vertical="center"/>
    </xf>
    <xf numFmtId="0" fontId="214" fillId="0" borderId="0" xfId="1" applyFont="1" applyFill="1" applyBorder="1" applyAlignment="1" applyProtection="1">
      <alignment vertical="center"/>
    </xf>
    <xf numFmtId="0" fontId="215" fillId="0" borderId="0" xfId="1" quotePrefix="1" applyFont="1" applyFill="1" applyBorder="1" applyAlignment="1" applyProtection="1">
      <alignment vertical="center"/>
    </xf>
    <xf numFmtId="0" fontId="215" fillId="0" borderId="0" xfId="1" applyFont="1" applyFill="1" applyBorder="1" applyAlignment="1" applyProtection="1">
      <alignment vertical="center"/>
    </xf>
    <xf numFmtId="3" fontId="215" fillId="0" borderId="0" xfId="779" applyNumberFormat="1" applyFont="1" applyFill="1" applyBorder="1" applyAlignment="1" applyProtection="1">
      <alignment vertical="center"/>
    </xf>
    <xf numFmtId="0" fontId="80" fillId="40" borderId="0" xfId="1" applyFont="1" applyFill="1" applyBorder="1" applyAlignment="1" applyProtection="1">
      <alignment horizontal="center" vertical="center"/>
    </xf>
    <xf numFmtId="0" fontId="59" fillId="0" borderId="0" xfId="0" applyFont="1" applyFill="1" applyAlignment="1" applyProtection="1">
      <alignment horizontal="center"/>
    </xf>
    <xf numFmtId="0" fontId="216" fillId="0" borderId="0" xfId="0" applyFont="1" applyFill="1" applyAlignment="1" applyProtection="1">
      <alignment horizontal="center"/>
    </xf>
    <xf numFmtId="0" fontId="101" fillId="0" borderId="0" xfId="1" applyFont="1" applyFill="1" applyBorder="1" applyAlignment="1" applyProtection="1">
      <alignment horizontal="center" vertical="center"/>
    </xf>
    <xf numFmtId="0" fontId="101" fillId="40" borderId="0" xfId="1" applyFont="1" applyFill="1" applyBorder="1" applyAlignment="1" applyProtection="1">
      <alignment horizontal="center" vertical="center"/>
    </xf>
    <xf numFmtId="0" fontId="59" fillId="0" borderId="2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165" fontId="59" fillId="68" borderId="0" xfId="779" applyNumberFormat="1" applyFont="1" applyFill="1" applyBorder="1" applyAlignment="1" applyProtection="1">
      <alignment vertical="center"/>
      <protection locked="0"/>
    </xf>
    <xf numFmtId="0" fontId="210" fillId="71" borderId="0" xfId="0" applyFont="1" applyFill="1" applyBorder="1" applyAlignment="1" applyProtection="1">
      <alignment horizontal="center" vertical="center" wrapText="1"/>
    </xf>
    <xf numFmtId="0" fontId="7" fillId="40" borderId="0" xfId="1" applyFont="1" applyFill="1" applyBorder="1" applyAlignment="1" applyProtection="1">
      <alignment horizontal="center" vertical="center"/>
    </xf>
    <xf numFmtId="0" fontId="6" fillId="0" borderId="0" xfId="1" applyFont="1" applyFill="1" applyBorder="1" applyAlignment="1" applyProtection="1">
      <alignment horizontal="center" vertical="center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Fill="1" applyBorder="1" applyAlignment="1" applyProtection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Border="1" applyAlignment="1" applyProtection="1">
      <alignment horizontal="center" vertical="center" wrapText="1"/>
    </xf>
    <xf numFmtId="0" fontId="209" fillId="72" borderId="0" xfId="0" applyFont="1" applyFill="1" applyBorder="1" applyAlignment="1" applyProtection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Border="1" applyAlignment="1" applyProtection="1">
      <alignment horizontal="center" vertical="center" wrapText="1"/>
    </xf>
    <xf numFmtId="0" fontId="0" fillId="45" borderId="44" xfId="0" applyFont="1" applyFill="1" applyBorder="1"/>
    <xf numFmtId="0" fontId="53" fillId="45" borderId="2" xfId="0" applyNumberFormat="1" applyFont="1" applyFill="1" applyBorder="1" applyAlignment="1" applyProtection="1">
      <alignment horizontal="center" vertical="center" wrapText="1"/>
    </xf>
    <xf numFmtId="0" fontId="53" fillId="45" borderId="3" xfId="0" applyNumberFormat="1" applyFont="1" applyFill="1" applyBorder="1" applyAlignment="1" applyProtection="1">
      <alignment horizontal="center" vertical="center" wrapText="1"/>
    </xf>
    <xf numFmtId="0" fontId="217" fillId="72" borderId="0" xfId="0" applyFont="1" applyFill="1" applyBorder="1" applyAlignment="1" applyProtection="1">
      <alignment horizontal="center" vertical="center" wrapText="1"/>
    </xf>
    <xf numFmtId="0" fontId="88" fillId="43" borderId="36" xfId="0" applyNumberFormat="1" applyFont="1" applyFill="1" applyBorder="1" applyAlignment="1" applyProtection="1">
      <alignment horizontal="center" vertical="center" wrapText="1"/>
    </xf>
    <xf numFmtId="0" fontId="88" fillId="43" borderId="37" xfId="0" applyNumberFormat="1" applyFont="1" applyFill="1" applyBorder="1" applyAlignment="1" applyProtection="1">
      <alignment horizontal="center" vertical="center" wrapText="1"/>
    </xf>
    <xf numFmtId="0" fontId="81" fillId="41" borderId="0" xfId="0" applyFont="1" applyFill="1" applyBorder="1" applyAlignment="1" applyProtection="1">
      <alignment horizontal="center" vertical="center" wrapText="1"/>
    </xf>
    <xf numFmtId="0" fontId="103" fillId="41" borderId="0" xfId="0" applyFont="1" applyFill="1" applyBorder="1" applyAlignment="1" applyProtection="1">
      <alignment horizontal="right" vertical="center" wrapText="1"/>
    </xf>
    <xf numFmtId="0" fontId="84" fillId="0" borderId="0" xfId="3" applyFont="1" applyFill="1" applyBorder="1" applyAlignment="1" applyProtection="1">
      <alignment horizontal="left" vertical="center"/>
    </xf>
    <xf numFmtId="0" fontId="104" fillId="42" borderId="1" xfId="0" applyFont="1" applyFill="1" applyBorder="1" applyAlignment="1" applyProtection="1">
      <alignment horizontal="center" vertical="center" wrapText="1"/>
    </xf>
    <xf numFmtId="0" fontId="104" fillId="42" borderId="35" xfId="0" applyFont="1" applyFill="1" applyBorder="1" applyAlignment="1" applyProtection="1">
      <alignment horizontal="center" vertical="center" wrapText="1"/>
    </xf>
  </cellXfs>
  <cellStyles count="3472">
    <cellStyle name="_x000a_386grabber=M" xfId="308"/>
    <cellStyle name="_x000a_386grabber=M 2" xfId="309"/>
    <cellStyle name="_x000a_386grabber=M 2 2" xfId="310"/>
    <cellStyle name="$   0,000" xfId="311"/>
    <cellStyle name="%" xfId="312"/>
    <cellStyle name="%0" xfId="313"/>
    <cellStyle name="%1" xfId="314"/>
    <cellStyle name="%2" xfId="315"/>
    <cellStyle name="£ BP" xfId="316"/>
    <cellStyle name="¥ JY" xfId="317"/>
    <cellStyle name="0" xfId="318"/>
    <cellStyle name="0,000" xfId="319"/>
    <cellStyle name="0.00" xfId="320"/>
    <cellStyle name="0.00%" xfId="321"/>
    <cellStyle name="0.00_CAPEM BY COUNTRY" xfId="784"/>
    <cellStyle name="0.0x" xfId="322"/>
    <cellStyle name="0_Actualisation provision contrat déficitaire SNCM 2010 V Def" xfId="323"/>
    <cellStyle name="0_Actualisation provision contrat déficitaire SNCM 2010 V Def_Bridge_Zone_Sud" xfId="785"/>
    <cellStyle name="0_Actualisation provision contrat déficitaire SNCM 2011 V3 30 05 2011" xfId="324"/>
    <cellStyle name="0_Actualisation provision contrat déficitaire SNCM 2011 V3 30 05 2011_Bridge_Zone_Sud" xfId="786"/>
    <cellStyle name="0_Bridge_Zone_Sud" xfId="787"/>
    <cellStyle name="0_PPA SNCM - présentation CAC 28 06 2011" xfId="325"/>
    <cellStyle name="0_PPA SNCM - présentation CAC 28 06 2011_Bridge_Zone_Sud" xfId="788"/>
    <cellStyle name="0_Simul location facturée par Trenitalia" xfId="326"/>
    <cellStyle name="20 % - Accent1 2" xfId="327"/>
    <cellStyle name="20 % - Accent2 2" xfId="328"/>
    <cellStyle name="20 % - Accent2 3" xfId="329"/>
    <cellStyle name="20 % - Accent2 4" xfId="330"/>
    <cellStyle name="20 % - Accent2 5" xfId="331"/>
    <cellStyle name="20 % - Accent2 6" xfId="332"/>
    <cellStyle name="20 % - Accent3 2" xfId="333"/>
    <cellStyle name="20 % - Accent4 2" xfId="334"/>
    <cellStyle name="20 % - Accent5 2" xfId="335"/>
    <cellStyle name="20 % - Accent6 2" xfId="336"/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 % - Accent1 2" xfId="337"/>
    <cellStyle name="40 % - Accent2 2" xfId="338"/>
    <cellStyle name="40 % - Accent3 2" xfId="339"/>
    <cellStyle name="40 % - Accent4 2" xfId="340"/>
    <cellStyle name="40 % - Accent5 2" xfId="341"/>
    <cellStyle name="40 % - Accent6 2" xfId="342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 % - Accent1 2" xfId="343"/>
    <cellStyle name="60 % - Accent2 2" xfId="344"/>
    <cellStyle name="60 % - Accent3 2" xfId="345"/>
    <cellStyle name="60 % - Accent4 2" xfId="346"/>
    <cellStyle name="60 % - Accent5 2" xfId="347"/>
    <cellStyle name="60 % - Accent6 2" xfId="348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2_Feuil1" xfId="349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5_Feuil1" xfId="350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at" xfId="351"/>
    <cellStyle name="Avertissement 2" xfId="352"/>
    <cellStyle name="b" xfId="353"/>
    <cellStyle name="b%0" xfId="354"/>
    <cellStyle name="b%1" xfId="355"/>
    <cellStyle name="b%2" xfId="356"/>
    <cellStyle name="b_Actualisation provision contrat déficitaire SNCM 2010 V Def" xfId="357"/>
    <cellStyle name="b_Actualisation provision contrat déficitaire SNCM 2010 V Def_B14_E2_2210" xfId="789"/>
    <cellStyle name="b_Actualisation provision contrat déficitaire SNCM 2010 V Def_B14_E2_2210_Bridge_Zone_Sud" xfId="790"/>
    <cellStyle name="b_Actualisation provision contrat déficitaire SNCM 2010 V Def_B14_Frais_Pôles" xfId="791"/>
    <cellStyle name="b_Actualisation provision contrat déficitaire SNCM 2010 V Def_B14_Frais_Pôles_Bridge_Zone_Sud" xfId="792"/>
    <cellStyle name="b_Actualisation provision contrat déficitaire SNCM 2010 V Def_Bridge_Zone_Sud" xfId="793"/>
    <cellStyle name="b_Actualisation provision contrat déficitaire SNCM 2010 V Def_CAPEM BY COUNTRY" xfId="794"/>
    <cellStyle name="b_Actualisation provision contrat déficitaire SNCM 2010 V Def_focus par entités CAFOPE2AMF" xfId="795"/>
    <cellStyle name="b_Actualisation provision contrat déficitaire SNCM 2010 V Def_focus par entités CAFOPE2AMF_Bridge_Zone_Sud" xfId="796"/>
    <cellStyle name="b_Actualisation provision contrat déficitaire SNCM 2010 V Def_Maquette PLT" xfId="797"/>
    <cellStyle name="b_Actualisation provision contrat déficitaire SNCM 2010 V Def_Output" xfId="3345"/>
    <cellStyle name="b_Actualisation provision contrat déficitaire SNCM 2010 V Def_PAO-CAF-RESOP_04_13_pro_format_variante T1" xfId="798"/>
    <cellStyle name="b_Actualisation provision contrat déficitaire SNCM 2010 V Def_PAO-CAF-RESOP_04_13_pro_format_variante T1_Bridge_Zone_Sud" xfId="799"/>
    <cellStyle name="b_Actualisation provision contrat déficitaire SNCM 2010 V Def_PAO-CAF-RESOP_06_13" xfId="800"/>
    <cellStyle name="b_Actualisation provision contrat déficitaire SNCM 2010 V Def_PAO-CAF-RESOP_06_13_Bridge_Zone_Sud" xfId="801"/>
    <cellStyle name="b_Actualisation provision contrat déficitaire SNCM 2010 V Def_PAO-CAF-RESOP_08_13" xfId="802"/>
    <cellStyle name="b_Actualisation provision contrat déficitaire SNCM 2010 V Def_PAO-CAF-RESOP_08_13_Bridge_Zone_Sud" xfId="803"/>
    <cellStyle name="b_Actualisation provision contrat déficitaire SNCM 2010 V Def_PAO-CAF-RESOP_09_13" xfId="804"/>
    <cellStyle name="b_Actualisation provision contrat déficitaire SNCM 2010 V Def_PAO-CAF-RESOP_09_13_Bridge_Zone_Sud" xfId="805"/>
    <cellStyle name="b_Actualisation provision contrat déficitaire SNCM 2010 V Def_PAO-CAF-RESOP_09_2013_Zone_IDF (version 2)" xfId="806"/>
    <cellStyle name="b_Actualisation provision contrat déficitaire SNCM 2010 V Def_PAO-CAF-RESOP_10_12" xfId="807"/>
    <cellStyle name="b_Actualisation provision contrat déficitaire SNCM 2010 V Def_PAO-CAF-RESOP_10_12_Bridge_Zone_Sud" xfId="808"/>
    <cellStyle name="b_Actualisation provision contrat déficitaire SNCM 2010 V Def_PAO-CAF-RESOP_10_12_focus par entités CAFOP" xfId="809"/>
    <cellStyle name="b_Actualisation provision contrat déficitaire SNCM 2010 V Def_PAO-CAF-RESOP_10_12_focus par entités CAFOP_Bridge_Zone_Sud" xfId="810"/>
    <cellStyle name="b_Actualisation provision contrat déficitaire SNCM 2010 V Def_PAO-CAF-RESOP_11_13" xfId="811"/>
    <cellStyle name="b_Actualisation provision contrat déficitaire SNCM 2010 V Def_PAO-CAF-RESOP_B13" xfId="812"/>
    <cellStyle name="b_Actualisation provision contrat déficitaire SNCM 2010 V Def_PAO-CAF-RESOP_B13_Bridge_Zone_Sud" xfId="813"/>
    <cellStyle name="b_Actualisation provision contrat déficitaire SNCM 2010 V Def_PAO-CAF-RESOP_B13_focus par entités CAFOP" xfId="814"/>
    <cellStyle name="b_Actualisation provision contrat déficitaire SNCM 2010 V Def_PAO-CAF-RESOP_B13_focus par entités CAFOP_Bridge_Zone_Sud" xfId="815"/>
    <cellStyle name="b_Actualisation provision contrat déficitaire SNCM 2010 V Def_PAO-CAF-RESOP_B2014" xfId="816"/>
    <cellStyle name="b_Actualisation provision contrat déficitaire SNCM 2010 V Def_PAO-CAF-RESOP_B2014_Bridge_Zone_Sud" xfId="817"/>
    <cellStyle name="b_Actualisation provision contrat déficitaire SNCM 2010 V Def_PAO-CAF-RESOP_B2014_v2" xfId="818"/>
    <cellStyle name="b_Actualisation provision contrat déficitaire SNCM 2010 V Def_PAO-CAF-RESOP_E2_13" xfId="819"/>
    <cellStyle name="b_Actualisation provision contrat déficitaire SNCM 2010 V Def_PAO-CAF-RESOP_E2_13_Bridge_Zone_Sud" xfId="820"/>
    <cellStyle name="b_Actualisation provision contrat déficitaire SNCM 2010 V Def_PAO-CAF-RESOP_E2_2013_03_10_19H" xfId="821"/>
    <cellStyle name="b_Actualisation provision contrat déficitaire SNCM 2010 V Def_PAO-CAF-RESOP_E2_2013_03_10_19H_Bridge_Zone_Sud" xfId="822"/>
    <cellStyle name="b_Actualisation provision contrat déficitaire SNCM 2010 V Def_Synthèse_Présentation_conso_retraitée" xfId="823"/>
    <cellStyle name="b_Actualisation provision contrat déficitaire SNCM 2011 V3 30 05 2011" xfId="358"/>
    <cellStyle name="b_Actualisation provision contrat déficitaire SNCM 2011 V3 30 05 2011_B14_E2_2210" xfId="824"/>
    <cellStyle name="b_Actualisation provision contrat déficitaire SNCM 2011 V3 30 05 2011_B14_E2_2210_Bridge_Zone_Sud" xfId="825"/>
    <cellStyle name="b_Actualisation provision contrat déficitaire SNCM 2011 V3 30 05 2011_B14_Frais_Pôles" xfId="826"/>
    <cellStyle name="b_Actualisation provision contrat déficitaire SNCM 2011 V3 30 05 2011_B14_Frais_Pôles_Bridge_Zone_Sud" xfId="827"/>
    <cellStyle name="b_Actualisation provision contrat déficitaire SNCM 2011 V3 30 05 2011_Bridge_Zone_Sud" xfId="828"/>
    <cellStyle name="b_Actualisation provision contrat déficitaire SNCM 2011 V3 30 05 2011_CAPEM BY COUNTRY" xfId="829"/>
    <cellStyle name="b_Actualisation provision contrat déficitaire SNCM 2011 V3 30 05 2011_focus par entités CAFOPE2AMF" xfId="830"/>
    <cellStyle name="b_Actualisation provision contrat déficitaire SNCM 2011 V3 30 05 2011_focus par entités CAFOPE2AMF_Bridge_Zone_Sud" xfId="831"/>
    <cellStyle name="b_Actualisation provision contrat déficitaire SNCM 2011 V3 30 05 2011_Maquette PLT" xfId="832"/>
    <cellStyle name="b_Actualisation provision contrat déficitaire SNCM 2011 V3 30 05 2011_Output" xfId="3346"/>
    <cellStyle name="b_Actualisation provision contrat déficitaire SNCM 2011 V3 30 05 2011_PAO-CAF-RESOP_04_13_pro_format_variante T1" xfId="833"/>
    <cellStyle name="b_Actualisation provision contrat déficitaire SNCM 2011 V3 30 05 2011_PAO-CAF-RESOP_04_13_pro_format_variante T1_Bridge_Zone_Sud" xfId="834"/>
    <cellStyle name="b_Actualisation provision contrat déficitaire SNCM 2011 V3 30 05 2011_PAO-CAF-RESOP_06_13" xfId="835"/>
    <cellStyle name="b_Actualisation provision contrat déficitaire SNCM 2011 V3 30 05 2011_PAO-CAF-RESOP_06_13_Bridge_Zone_Sud" xfId="836"/>
    <cellStyle name="b_Actualisation provision contrat déficitaire SNCM 2011 V3 30 05 2011_PAO-CAF-RESOP_08_13" xfId="837"/>
    <cellStyle name="b_Actualisation provision contrat déficitaire SNCM 2011 V3 30 05 2011_PAO-CAF-RESOP_08_13_Bridge_Zone_Sud" xfId="838"/>
    <cellStyle name="b_Actualisation provision contrat déficitaire SNCM 2011 V3 30 05 2011_PAO-CAF-RESOP_09_13" xfId="839"/>
    <cellStyle name="b_Actualisation provision contrat déficitaire SNCM 2011 V3 30 05 2011_PAO-CAF-RESOP_09_13_Bridge_Zone_Sud" xfId="840"/>
    <cellStyle name="b_Actualisation provision contrat déficitaire SNCM 2011 V3 30 05 2011_PAO-CAF-RESOP_09_2013_Zone_IDF (version 2)" xfId="841"/>
    <cellStyle name="b_Actualisation provision contrat déficitaire SNCM 2011 V3 30 05 2011_PAO-CAF-RESOP_10_12" xfId="842"/>
    <cellStyle name="b_Actualisation provision contrat déficitaire SNCM 2011 V3 30 05 2011_PAO-CAF-RESOP_10_12_Bridge_Zone_Sud" xfId="843"/>
    <cellStyle name="b_Actualisation provision contrat déficitaire SNCM 2011 V3 30 05 2011_PAO-CAF-RESOP_10_12_focus par entités CAFOP" xfId="844"/>
    <cellStyle name="b_Actualisation provision contrat déficitaire SNCM 2011 V3 30 05 2011_PAO-CAF-RESOP_10_12_focus par entités CAFOP_Bridge_Zone_Sud" xfId="845"/>
    <cellStyle name="b_Actualisation provision contrat déficitaire SNCM 2011 V3 30 05 2011_PAO-CAF-RESOP_11_13" xfId="846"/>
    <cellStyle name="b_Actualisation provision contrat déficitaire SNCM 2011 V3 30 05 2011_PAO-CAF-RESOP_B13" xfId="847"/>
    <cellStyle name="b_Actualisation provision contrat déficitaire SNCM 2011 V3 30 05 2011_PAO-CAF-RESOP_B13_Bridge_Zone_Sud" xfId="848"/>
    <cellStyle name="b_Actualisation provision contrat déficitaire SNCM 2011 V3 30 05 2011_PAO-CAF-RESOP_B13_focus par entités CAFOP" xfId="849"/>
    <cellStyle name="b_Actualisation provision contrat déficitaire SNCM 2011 V3 30 05 2011_PAO-CAF-RESOP_B13_focus par entités CAFOP_Bridge_Zone_Sud" xfId="850"/>
    <cellStyle name="b_Actualisation provision contrat déficitaire SNCM 2011 V3 30 05 2011_PAO-CAF-RESOP_B2014" xfId="851"/>
    <cellStyle name="b_Actualisation provision contrat déficitaire SNCM 2011 V3 30 05 2011_PAO-CAF-RESOP_B2014_Bridge_Zone_Sud" xfId="852"/>
    <cellStyle name="b_Actualisation provision contrat déficitaire SNCM 2011 V3 30 05 2011_PAO-CAF-RESOP_B2014_v2" xfId="853"/>
    <cellStyle name="b_Actualisation provision contrat déficitaire SNCM 2011 V3 30 05 2011_PAO-CAF-RESOP_E2_13" xfId="854"/>
    <cellStyle name="b_Actualisation provision contrat déficitaire SNCM 2011 V3 30 05 2011_PAO-CAF-RESOP_E2_13_Bridge_Zone_Sud" xfId="855"/>
    <cellStyle name="b_Actualisation provision contrat déficitaire SNCM 2011 V3 30 05 2011_PAO-CAF-RESOP_E2_2013_03_10_19H" xfId="856"/>
    <cellStyle name="b_Actualisation provision contrat déficitaire SNCM 2011 V3 30 05 2011_PAO-CAF-RESOP_E2_2013_03_10_19H_Bridge_Zone_Sud" xfId="857"/>
    <cellStyle name="b_Actualisation provision contrat déficitaire SNCM 2011 V3 30 05 2011_Synthèse_Présentation_conso_retraitée" xfId="858"/>
    <cellStyle name="b_BFR_TD_2014.02" xfId="859"/>
    <cellStyle name="b_Bridge_Zone_Nord" xfId="860"/>
    <cellStyle name="b_CAPEM BY COUNTRY" xfId="861"/>
    <cellStyle name="b_LI819L_B13" xfId="359"/>
    <cellStyle name="b_LI819L_B13_CAPEM BY COUNTRY" xfId="862"/>
    <cellStyle name="b_LI819L_B13_Maquette PLT" xfId="863"/>
    <cellStyle name="b_LI819L_B13_Output" xfId="3347"/>
    <cellStyle name="b_Maquette PLT" xfId="864"/>
    <cellStyle name="b_Output" xfId="3348"/>
    <cellStyle name="b_PAO-CAF-RESOP_14_01_13 à 20h" xfId="360"/>
    <cellStyle name="b_PAO-CAF-RESOP_14_01_13 à 20h_CAPEM BY COUNTRY" xfId="865"/>
    <cellStyle name="b_PAO-CAF-RESOP_14_01_13 à 20h_Maquette PLT" xfId="866"/>
    <cellStyle name="b_PAO-CAF-RESOP_14_01_13 à 20h_Output" xfId="3349"/>
    <cellStyle name="b_PAO-CAF-RESOP_2014.02" xfId="867"/>
    <cellStyle name="b_PAO-CAF-RESOP_2014.02_Bridge_Zone_Sud" xfId="868"/>
    <cellStyle name="b0" xfId="361"/>
    <cellStyle name="b09" xfId="362"/>
    <cellStyle name="b1" xfId="363"/>
    <cellStyle name="b2" xfId="364"/>
    <cellStyle name="Bad" xfId="141"/>
    <cellStyle name="Bad 2" xfId="142"/>
    <cellStyle name="Bad 3" xfId="143"/>
    <cellStyle name="Bad 4" xfId="144"/>
    <cellStyle name="Bad 5" xfId="145"/>
    <cellStyle name="Bad 6" xfId="146"/>
    <cellStyle name="Bad_Decote croissance organique" xfId="869"/>
    <cellStyle name="Black" xfId="365"/>
    <cellStyle name="blp_column_header" xfId="366"/>
    <cellStyle name="blue" xfId="367"/>
    <cellStyle name="bo" xfId="368"/>
    <cellStyle name="Bold/Border" xfId="369"/>
    <cellStyle name="Bottom" xfId="370"/>
    <cellStyle name="bout" xfId="371"/>
    <cellStyle name="bt" xfId="372"/>
    <cellStyle name="btit" xfId="373"/>
    <cellStyle name="budget" xfId="870"/>
    <cellStyle name="budget1" xfId="871"/>
    <cellStyle name="Bullet" xfId="374"/>
    <cellStyle name="c" xfId="375"/>
    <cellStyle name="c_Actualisation provision contrat déficitaire SNCM 2010 V Def" xfId="376"/>
    <cellStyle name="c_Actualisation provision contrat déficitaire SNCM 2010 V Def_B14_E2_2210" xfId="872"/>
    <cellStyle name="c_Actualisation provision contrat déficitaire SNCM 2010 V Def_B14_E2_2210_Bridge_Zone_Sud" xfId="873"/>
    <cellStyle name="c_Actualisation provision contrat déficitaire SNCM 2010 V Def_B14_Frais_Pôles" xfId="874"/>
    <cellStyle name="c_Actualisation provision contrat déficitaire SNCM 2010 V Def_B14_Frais_Pôles_Bridge_Zone_Sud" xfId="875"/>
    <cellStyle name="c_Actualisation provision contrat déficitaire SNCM 2010 V Def_Bridge_Zone_Sud" xfId="876"/>
    <cellStyle name="c_Actualisation provision contrat déficitaire SNCM 2010 V Def_CAPEM BY COUNTRY" xfId="877"/>
    <cellStyle name="c_Actualisation provision contrat déficitaire SNCM 2010 V Def_focus par entités CAFOPE2AMF" xfId="878"/>
    <cellStyle name="c_Actualisation provision contrat déficitaire SNCM 2010 V Def_focus par entités CAFOPE2AMF_Bridge_Zone_Sud" xfId="879"/>
    <cellStyle name="c_Actualisation provision contrat déficitaire SNCM 2010 V Def_Maquette PLT" xfId="880"/>
    <cellStyle name="c_Actualisation provision contrat déficitaire SNCM 2010 V Def_Output" xfId="3350"/>
    <cellStyle name="c_Actualisation provision contrat déficitaire SNCM 2010 V Def_PAO-CAF-RESOP_04_13_pro_format_variante T1" xfId="881"/>
    <cellStyle name="c_Actualisation provision contrat déficitaire SNCM 2010 V Def_PAO-CAF-RESOP_04_13_pro_format_variante T1_Bridge_Zone_Sud" xfId="882"/>
    <cellStyle name="c_Actualisation provision contrat déficitaire SNCM 2010 V Def_PAO-CAF-RESOP_06_13" xfId="883"/>
    <cellStyle name="c_Actualisation provision contrat déficitaire SNCM 2010 V Def_PAO-CAF-RESOP_06_13_Bridge_Zone_Sud" xfId="884"/>
    <cellStyle name="c_Actualisation provision contrat déficitaire SNCM 2010 V Def_PAO-CAF-RESOP_08_13" xfId="885"/>
    <cellStyle name="c_Actualisation provision contrat déficitaire SNCM 2010 V Def_PAO-CAF-RESOP_08_13_Bridge_Zone_Sud" xfId="886"/>
    <cellStyle name="c_Actualisation provision contrat déficitaire SNCM 2010 V Def_PAO-CAF-RESOP_09_13" xfId="887"/>
    <cellStyle name="c_Actualisation provision contrat déficitaire SNCM 2010 V Def_PAO-CAF-RESOP_09_13_Bridge_Zone_Sud" xfId="888"/>
    <cellStyle name="c_Actualisation provision contrat déficitaire SNCM 2010 V Def_PAO-CAF-RESOP_09_2013_Zone_IDF (version 2)" xfId="889"/>
    <cellStyle name="c_Actualisation provision contrat déficitaire SNCM 2010 V Def_PAO-CAF-RESOP_10_12" xfId="890"/>
    <cellStyle name="c_Actualisation provision contrat déficitaire SNCM 2010 V Def_PAO-CAF-RESOP_10_12_Bridge_Zone_Sud" xfId="891"/>
    <cellStyle name="c_Actualisation provision contrat déficitaire SNCM 2010 V Def_PAO-CAF-RESOP_10_12_focus par entités CAFOP" xfId="892"/>
    <cellStyle name="c_Actualisation provision contrat déficitaire SNCM 2010 V Def_PAO-CAF-RESOP_10_12_focus par entités CAFOP_Bridge_Zone_Sud" xfId="893"/>
    <cellStyle name="c_Actualisation provision contrat déficitaire SNCM 2010 V Def_PAO-CAF-RESOP_11_13" xfId="894"/>
    <cellStyle name="c_Actualisation provision contrat déficitaire SNCM 2010 V Def_PAO-CAF-RESOP_B13" xfId="895"/>
    <cellStyle name="c_Actualisation provision contrat déficitaire SNCM 2010 V Def_PAO-CAF-RESOP_B13_Bridge_Zone_Sud" xfId="896"/>
    <cellStyle name="c_Actualisation provision contrat déficitaire SNCM 2010 V Def_PAO-CAF-RESOP_B13_focus par entités CAFOP" xfId="897"/>
    <cellStyle name="c_Actualisation provision contrat déficitaire SNCM 2010 V Def_PAO-CAF-RESOP_B13_focus par entités CAFOP_Bridge_Zone_Sud" xfId="898"/>
    <cellStyle name="c_Actualisation provision contrat déficitaire SNCM 2010 V Def_PAO-CAF-RESOP_B2014" xfId="899"/>
    <cellStyle name="c_Actualisation provision contrat déficitaire SNCM 2010 V Def_PAO-CAF-RESOP_B2014_Bridge_Zone_Sud" xfId="900"/>
    <cellStyle name="c_Actualisation provision contrat déficitaire SNCM 2010 V Def_PAO-CAF-RESOP_B2014_v2" xfId="901"/>
    <cellStyle name="c_Actualisation provision contrat déficitaire SNCM 2010 V Def_PAO-CAF-RESOP_E2_13" xfId="902"/>
    <cellStyle name="c_Actualisation provision contrat déficitaire SNCM 2010 V Def_PAO-CAF-RESOP_E2_13_Bridge_Zone_Sud" xfId="903"/>
    <cellStyle name="c_Actualisation provision contrat déficitaire SNCM 2010 V Def_PAO-CAF-RESOP_E2_2013_03_10_19H" xfId="904"/>
    <cellStyle name="c_Actualisation provision contrat déficitaire SNCM 2010 V Def_PAO-CAF-RESOP_E2_2013_03_10_19H_Bridge_Zone_Sud" xfId="905"/>
    <cellStyle name="c_Actualisation provision contrat déficitaire SNCM 2010 V Def_Synthèse_Présentation_conso_retraitée" xfId="906"/>
    <cellStyle name="c_Actualisation provision contrat déficitaire SNCM 2011 V3 30 05 2011" xfId="377"/>
    <cellStyle name="c_Actualisation provision contrat déficitaire SNCM 2011 V3 30 05 2011_B14_E2_2210" xfId="907"/>
    <cellStyle name="c_Actualisation provision contrat déficitaire SNCM 2011 V3 30 05 2011_B14_E2_2210_Bridge_Zone_Sud" xfId="908"/>
    <cellStyle name="c_Actualisation provision contrat déficitaire SNCM 2011 V3 30 05 2011_Bridge_Zone_Sud" xfId="909"/>
    <cellStyle name="c_Actualisation provision contrat déficitaire SNCM 2011 V3 30 05 2011_CAPEM BY COUNTRY" xfId="910"/>
    <cellStyle name="c_Actualisation provision contrat déficitaire SNCM 2011 V3 30 05 2011_focus par entités CAFOPE2AMF" xfId="911"/>
    <cellStyle name="c_Actualisation provision contrat déficitaire SNCM 2011 V3 30 05 2011_focus par entités CAFOPE2AMF_Bridge_Zone_Sud" xfId="912"/>
    <cellStyle name="c_Actualisation provision contrat déficitaire SNCM 2011 V3 30 05 2011_Maquette PLT" xfId="913"/>
    <cellStyle name="c_Actualisation provision contrat déficitaire SNCM 2011 V3 30 05 2011_Output" xfId="3351"/>
    <cellStyle name="c_Actualisation provision contrat déficitaire SNCM 2011 V3 30 05 2011_PAO-CAF-RESOP_04_13_pro_format_variante T1" xfId="914"/>
    <cellStyle name="c_Actualisation provision contrat déficitaire SNCM 2011 V3 30 05 2011_PAO-CAF-RESOP_04_13_pro_format_variante T1_Bridge_Zone_Sud" xfId="915"/>
    <cellStyle name="c_Actualisation provision contrat déficitaire SNCM 2011 V3 30 05 2011_PAO-CAF-RESOP_06_13" xfId="916"/>
    <cellStyle name="c_Actualisation provision contrat déficitaire SNCM 2011 V3 30 05 2011_PAO-CAF-RESOP_06_13_Bridge_Zone_Sud" xfId="917"/>
    <cellStyle name="c_Actualisation provision contrat déficitaire SNCM 2011 V3 30 05 2011_PAO-CAF-RESOP_08_13" xfId="918"/>
    <cellStyle name="c_Actualisation provision contrat déficitaire SNCM 2011 V3 30 05 2011_PAO-CAF-RESOP_08_13_Bridge_Zone_Sud" xfId="919"/>
    <cellStyle name="c_Actualisation provision contrat déficitaire SNCM 2011 V3 30 05 2011_PAO-CAF-RESOP_09_13" xfId="920"/>
    <cellStyle name="c_Actualisation provision contrat déficitaire SNCM 2011 V3 30 05 2011_PAO-CAF-RESOP_09_13_Bridge_Zone_Sud" xfId="921"/>
    <cellStyle name="c_Actualisation provision contrat déficitaire SNCM 2011 V3 30 05 2011_PAO-CAF-RESOP_09_2013_Zone_IDF (version 2)" xfId="922"/>
    <cellStyle name="c_Actualisation provision contrat déficitaire SNCM 2011 V3 30 05 2011_PAO-CAF-RESOP_10_12" xfId="923"/>
    <cellStyle name="c_Actualisation provision contrat déficitaire SNCM 2011 V3 30 05 2011_PAO-CAF-RESOP_10_12_Bridge_Zone_Sud" xfId="924"/>
    <cellStyle name="c_Actualisation provision contrat déficitaire SNCM 2011 V3 30 05 2011_PAO-CAF-RESOP_10_12_focus par entités CAFOP" xfId="925"/>
    <cellStyle name="c_Actualisation provision contrat déficitaire SNCM 2011 V3 30 05 2011_PAO-CAF-RESOP_10_12_focus par entités CAFOP_Bridge_Zone_Sud" xfId="926"/>
    <cellStyle name="c_Actualisation provision contrat déficitaire SNCM 2011 V3 30 05 2011_PAO-CAF-RESOP_11_13" xfId="927"/>
    <cellStyle name="c_Actualisation provision contrat déficitaire SNCM 2011 V3 30 05 2011_PAO-CAF-RESOP_B13" xfId="928"/>
    <cellStyle name="c_Actualisation provision contrat déficitaire SNCM 2011 V3 30 05 2011_PAO-CAF-RESOP_B13_Bridge_Zone_Sud" xfId="929"/>
    <cellStyle name="c_Actualisation provision contrat déficitaire SNCM 2011 V3 30 05 2011_PAO-CAF-RESOP_B13_focus par entités CAFOP" xfId="930"/>
    <cellStyle name="c_Actualisation provision contrat déficitaire SNCM 2011 V3 30 05 2011_PAO-CAF-RESOP_B13_focus par entités CAFOP_Bridge_Zone_Sud" xfId="931"/>
    <cellStyle name="c_Actualisation provision contrat déficitaire SNCM 2011 V3 30 05 2011_PAO-CAF-RESOP_B2014" xfId="932"/>
    <cellStyle name="c_Actualisation provision contrat déficitaire SNCM 2011 V3 30 05 2011_PAO-CAF-RESOP_B2014_Bridge_Zone_Sud" xfId="933"/>
    <cellStyle name="c_Actualisation provision contrat déficitaire SNCM 2011 V3 30 05 2011_PAO-CAF-RESOP_B2014_v2" xfId="934"/>
    <cellStyle name="c_Actualisation provision contrat déficitaire SNCM 2011 V3 30 05 2011_PAO-CAF-RESOP_E2_13" xfId="935"/>
    <cellStyle name="c_Actualisation provision contrat déficitaire SNCM 2011 V3 30 05 2011_PAO-CAF-RESOP_E2_13_Bridge_Zone_Sud" xfId="936"/>
    <cellStyle name="c_Actualisation provision contrat déficitaire SNCM 2011 V3 30 05 2011_PAO-CAF-RESOP_E2_2013_03_10_19H" xfId="937"/>
    <cellStyle name="c_Actualisation provision contrat déficitaire SNCM 2011 V3 30 05 2011_PAO-CAF-RESOP_E2_2013_03_10_19H_Bridge_Zone_Sud" xfId="938"/>
    <cellStyle name="c_Actualisation provision contrat déficitaire SNCM 2011 V3 30 05 2011_Synthèse_Présentation_conso_retraitée" xfId="939"/>
    <cellStyle name="c_BFR_TD_2014.02" xfId="940"/>
    <cellStyle name="c_Bridge_Zone_Nord" xfId="941"/>
    <cellStyle name="c_CAPEM BY COUNTRY" xfId="942"/>
    <cellStyle name="c_Grouse+Pelican" xfId="378"/>
    <cellStyle name="c_Grouse+Pelican_CAPEM BY COUNTRY" xfId="943"/>
    <cellStyle name="c_Grouse+Pelican_Maquette PLT" xfId="944"/>
    <cellStyle name="c_Grouse+Pelican_Output" xfId="3352"/>
    <cellStyle name="c_LI819L_B13" xfId="379"/>
    <cellStyle name="c_LI819L_B13_CAPEM BY COUNTRY" xfId="945"/>
    <cellStyle name="c_LI819L_B13_Maquette PLT" xfId="946"/>
    <cellStyle name="c_LI819L_B13_Output" xfId="3353"/>
    <cellStyle name="c_Macros" xfId="380"/>
    <cellStyle name="c_Macros (2)" xfId="381"/>
    <cellStyle name="c_Macros (2)_Actualisation provision contrat déficitaire SNCM 2010 V Def" xfId="382"/>
    <cellStyle name="c_Macros (2)_Actualisation provision contrat déficitaire SNCM 2010 V Def_B14_E2_2210" xfId="947"/>
    <cellStyle name="c_Macros (2)_Actualisation provision contrat déficitaire SNCM 2010 V Def_B14_E2_2210_Bridge_Zone_Sud" xfId="948"/>
    <cellStyle name="c_Macros (2)_Actualisation provision contrat déficitaire SNCM 2010 V Def_Bridge_Zone_Sud" xfId="949"/>
    <cellStyle name="c_Macros (2)_Actualisation provision contrat déficitaire SNCM 2010 V Def_CAPEM BY COUNTRY" xfId="950"/>
    <cellStyle name="c_Macros (2)_Actualisation provision contrat déficitaire SNCM 2010 V Def_focus par entités CAFOPE2AMF" xfId="951"/>
    <cellStyle name="c_Macros (2)_Actualisation provision contrat déficitaire SNCM 2010 V Def_focus par entités CAFOPE2AMF_Bridge_Zone_Sud" xfId="952"/>
    <cellStyle name="c_Macros (2)_Actualisation provision contrat déficitaire SNCM 2010 V Def_Maquette PLT" xfId="953"/>
    <cellStyle name="c_Macros (2)_Actualisation provision contrat déficitaire SNCM 2010 V Def_Output" xfId="3354"/>
    <cellStyle name="c_Macros (2)_Actualisation provision contrat déficitaire SNCM 2010 V Def_PAO-CAF-RESOP_04_13_pro_format_variante T1" xfId="954"/>
    <cellStyle name="c_Macros (2)_Actualisation provision contrat déficitaire SNCM 2010 V Def_PAO-CAF-RESOP_04_13_pro_format_variante T1_Bridge_Zone_Sud" xfId="955"/>
    <cellStyle name="c_Macros (2)_Actualisation provision contrat déficitaire SNCM 2010 V Def_PAO-CAF-RESOP_06_13" xfId="956"/>
    <cellStyle name="c_Macros (2)_Actualisation provision contrat déficitaire SNCM 2010 V Def_PAO-CAF-RESOP_06_13_Bridge_Zone_Sud" xfId="957"/>
    <cellStyle name="c_Macros (2)_Actualisation provision contrat déficitaire SNCM 2010 V Def_PAO-CAF-RESOP_08_13" xfId="958"/>
    <cellStyle name="c_Macros (2)_Actualisation provision contrat déficitaire SNCM 2010 V Def_PAO-CAF-RESOP_08_13_Bridge_Zone_Sud" xfId="959"/>
    <cellStyle name="c_Macros (2)_Actualisation provision contrat déficitaire SNCM 2010 V Def_PAO-CAF-RESOP_09_13" xfId="960"/>
    <cellStyle name="c_Macros (2)_Actualisation provision contrat déficitaire SNCM 2010 V Def_PAO-CAF-RESOP_09_13_Bridge_Zone_Sud" xfId="961"/>
    <cellStyle name="c_Macros (2)_Actualisation provision contrat déficitaire SNCM 2010 V Def_PAO-CAF-RESOP_09_2013_Zone_IDF (version 2)" xfId="962"/>
    <cellStyle name="c_Macros (2)_Actualisation provision contrat déficitaire SNCM 2010 V Def_PAO-CAF-RESOP_10_12" xfId="963"/>
    <cellStyle name="c_Macros (2)_Actualisation provision contrat déficitaire SNCM 2010 V Def_PAO-CAF-RESOP_10_12_Bridge_Zone_Sud" xfId="964"/>
    <cellStyle name="c_Macros (2)_Actualisation provision contrat déficitaire SNCM 2010 V Def_PAO-CAF-RESOP_10_12_focus par entités CAFOP" xfId="965"/>
    <cellStyle name="c_Macros (2)_Actualisation provision contrat déficitaire SNCM 2010 V Def_PAO-CAF-RESOP_10_12_focus par entités CAFOP_Bridge_Zone_Sud" xfId="966"/>
    <cellStyle name="c_Macros (2)_Actualisation provision contrat déficitaire SNCM 2010 V Def_PAO-CAF-RESOP_11_13" xfId="967"/>
    <cellStyle name="c_Macros (2)_Actualisation provision contrat déficitaire SNCM 2010 V Def_PAO-CAF-RESOP_B13" xfId="968"/>
    <cellStyle name="c_Macros (2)_Actualisation provision contrat déficitaire SNCM 2010 V Def_PAO-CAF-RESOP_B13_Bridge_Zone_Sud" xfId="969"/>
    <cellStyle name="c_Macros (2)_Actualisation provision contrat déficitaire SNCM 2010 V Def_PAO-CAF-RESOP_B13_focus par entités CAFOP" xfId="970"/>
    <cellStyle name="c_Macros (2)_Actualisation provision contrat déficitaire SNCM 2010 V Def_PAO-CAF-RESOP_B13_focus par entités CAFOP_Bridge_Zone_Sud" xfId="971"/>
    <cellStyle name="c_Macros (2)_Actualisation provision contrat déficitaire SNCM 2010 V Def_PAO-CAF-RESOP_B2014" xfId="972"/>
    <cellStyle name="c_Macros (2)_Actualisation provision contrat déficitaire SNCM 2010 V Def_PAO-CAF-RESOP_B2014_Bridge_Zone_Sud" xfId="973"/>
    <cellStyle name="c_Macros (2)_Actualisation provision contrat déficitaire SNCM 2010 V Def_PAO-CAF-RESOP_B2014_v2" xfId="974"/>
    <cellStyle name="c_Macros (2)_Actualisation provision contrat déficitaire SNCM 2010 V Def_PAO-CAF-RESOP_E2_13" xfId="975"/>
    <cellStyle name="c_Macros (2)_Actualisation provision contrat déficitaire SNCM 2010 V Def_PAO-CAF-RESOP_E2_13_Bridge_Zone_Sud" xfId="976"/>
    <cellStyle name="c_Macros (2)_Actualisation provision contrat déficitaire SNCM 2010 V Def_PAO-CAF-RESOP_E2_2013_03_10_19H" xfId="977"/>
    <cellStyle name="c_Macros (2)_Actualisation provision contrat déficitaire SNCM 2010 V Def_PAO-CAF-RESOP_E2_2013_03_10_19H_Bridge_Zone_Sud" xfId="978"/>
    <cellStyle name="c_Macros (2)_Actualisation provision contrat déficitaire SNCM 2010 V Def_Synthèse_Présentation_conso_retraitée" xfId="979"/>
    <cellStyle name="c_Macros (2)_Actualisation provision contrat déficitaire SNCM 2011 V3 30 05 2011" xfId="383"/>
    <cellStyle name="c_Macros (2)_Actualisation provision contrat déficitaire SNCM 2011 V3 30 05 2011_B14_E2_2210" xfId="980"/>
    <cellStyle name="c_Macros (2)_Actualisation provision contrat déficitaire SNCM 2011 V3 30 05 2011_B14_E2_2210_Bridge_Zone_Sud" xfId="981"/>
    <cellStyle name="c_Macros (2)_Actualisation provision contrat déficitaire SNCM 2011 V3 30 05 2011_Bridge_Zone_Sud" xfId="982"/>
    <cellStyle name="c_Macros (2)_Actualisation provision contrat déficitaire SNCM 2011 V3 30 05 2011_CAPEM BY COUNTRY" xfId="983"/>
    <cellStyle name="c_Macros (2)_Actualisation provision contrat déficitaire SNCM 2011 V3 30 05 2011_focus par entités CAFOPE2AMF" xfId="984"/>
    <cellStyle name="c_Macros (2)_Actualisation provision contrat déficitaire SNCM 2011 V3 30 05 2011_focus par entités CAFOPE2AMF_Bridge_Zone_Sud" xfId="985"/>
    <cellStyle name="c_Macros (2)_Actualisation provision contrat déficitaire SNCM 2011 V3 30 05 2011_Maquette PLT" xfId="986"/>
    <cellStyle name="c_Macros (2)_Actualisation provision contrat déficitaire SNCM 2011 V3 30 05 2011_Output" xfId="3355"/>
    <cellStyle name="c_Macros (2)_Actualisation provision contrat déficitaire SNCM 2011 V3 30 05 2011_PAO-CAF-RESOP_04_13_pro_format_variante T1" xfId="987"/>
    <cellStyle name="c_Macros (2)_Actualisation provision contrat déficitaire SNCM 2011 V3 30 05 2011_PAO-CAF-RESOP_04_13_pro_format_variante T1_Bridge_Zone_Sud" xfId="988"/>
    <cellStyle name="c_Macros (2)_Actualisation provision contrat déficitaire SNCM 2011 V3 30 05 2011_PAO-CAF-RESOP_06_13" xfId="989"/>
    <cellStyle name="c_Macros (2)_Actualisation provision contrat déficitaire SNCM 2011 V3 30 05 2011_PAO-CAF-RESOP_06_13_Bridge_Zone_Sud" xfId="990"/>
    <cellStyle name="c_Macros (2)_Actualisation provision contrat déficitaire SNCM 2011 V3 30 05 2011_PAO-CAF-RESOP_08_13" xfId="991"/>
    <cellStyle name="c_Macros (2)_Actualisation provision contrat déficitaire SNCM 2011 V3 30 05 2011_PAO-CAF-RESOP_08_13_Bridge_Zone_Sud" xfId="992"/>
    <cellStyle name="c_Macros (2)_Actualisation provision contrat déficitaire SNCM 2011 V3 30 05 2011_PAO-CAF-RESOP_09_13" xfId="993"/>
    <cellStyle name="c_Macros (2)_Actualisation provision contrat déficitaire SNCM 2011 V3 30 05 2011_PAO-CAF-RESOP_09_13_Bridge_Zone_Sud" xfId="994"/>
    <cellStyle name="c_Macros (2)_Actualisation provision contrat déficitaire SNCM 2011 V3 30 05 2011_PAO-CAF-RESOP_09_2013_Zone_IDF (version 2)" xfId="995"/>
    <cellStyle name="c_Macros (2)_Actualisation provision contrat déficitaire SNCM 2011 V3 30 05 2011_PAO-CAF-RESOP_10_12" xfId="996"/>
    <cellStyle name="c_Macros (2)_Actualisation provision contrat déficitaire SNCM 2011 V3 30 05 2011_PAO-CAF-RESOP_10_12_Bridge_Zone_Sud" xfId="997"/>
    <cellStyle name="c_Macros (2)_Actualisation provision contrat déficitaire SNCM 2011 V3 30 05 2011_PAO-CAF-RESOP_10_12_focus par entités CAFOP" xfId="998"/>
    <cellStyle name="c_Macros (2)_Actualisation provision contrat déficitaire SNCM 2011 V3 30 05 2011_PAO-CAF-RESOP_10_12_focus par entités CAFOP_Bridge_Zone_Sud" xfId="999"/>
    <cellStyle name="c_Macros (2)_Actualisation provision contrat déficitaire SNCM 2011 V3 30 05 2011_PAO-CAF-RESOP_11_13" xfId="1000"/>
    <cellStyle name="c_Macros (2)_Actualisation provision contrat déficitaire SNCM 2011 V3 30 05 2011_PAO-CAF-RESOP_B13" xfId="1001"/>
    <cellStyle name="c_Macros (2)_Actualisation provision contrat déficitaire SNCM 2011 V3 30 05 2011_PAO-CAF-RESOP_B13_Bridge_Zone_Sud" xfId="1002"/>
    <cellStyle name="c_Macros (2)_Actualisation provision contrat déficitaire SNCM 2011 V3 30 05 2011_PAO-CAF-RESOP_B13_focus par entités CAFOP" xfId="1003"/>
    <cellStyle name="c_Macros (2)_Actualisation provision contrat déficitaire SNCM 2011 V3 30 05 2011_PAO-CAF-RESOP_B13_focus par entités CAFOP_Bridge_Zone_Sud" xfId="1004"/>
    <cellStyle name="c_Macros (2)_Actualisation provision contrat déficitaire SNCM 2011 V3 30 05 2011_PAO-CAF-RESOP_B2014" xfId="1005"/>
    <cellStyle name="c_Macros (2)_Actualisation provision contrat déficitaire SNCM 2011 V3 30 05 2011_PAO-CAF-RESOP_B2014_Bridge_Zone_Sud" xfId="1006"/>
    <cellStyle name="c_Macros (2)_Actualisation provision contrat déficitaire SNCM 2011 V3 30 05 2011_PAO-CAF-RESOP_B2014_v2" xfId="1007"/>
    <cellStyle name="c_Macros (2)_Actualisation provision contrat déficitaire SNCM 2011 V3 30 05 2011_PAO-CAF-RESOP_E2_13" xfId="1008"/>
    <cellStyle name="c_Macros (2)_Actualisation provision contrat déficitaire SNCM 2011 V3 30 05 2011_PAO-CAF-RESOP_E2_13_Bridge_Zone_Sud" xfId="1009"/>
    <cellStyle name="c_Macros (2)_Actualisation provision contrat déficitaire SNCM 2011 V3 30 05 2011_PAO-CAF-RESOP_E2_2013_03_10_19H" xfId="1010"/>
    <cellStyle name="c_Macros (2)_Actualisation provision contrat déficitaire SNCM 2011 V3 30 05 2011_PAO-CAF-RESOP_E2_2013_03_10_19H_Bridge_Zone_Sud" xfId="1011"/>
    <cellStyle name="c_Macros (2)_Actualisation provision contrat déficitaire SNCM 2011 V3 30 05 2011_Synthèse_Présentation_conso_retraitée" xfId="1012"/>
    <cellStyle name="c_Macros (2)_BFR_TD_2014.02" xfId="1013"/>
    <cellStyle name="c_Macros (2)_Bridge_Zone_Nord" xfId="1014"/>
    <cellStyle name="c_Macros (2)_CAPEM BY COUNTRY" xfId="1015"/>
    <cellStyle name="c_Macros (2)_LI819L_B13" xfId="384"/>
    <cellStyle name="c_Macros (2)_LI819L_B13_CAPEM BY COUNTRY" xfId="1016"/>
    <cellStyle name="c_Macros (2)_LI819L_B13_Maquette PLT" xfId="1017"/>
    <cellStyle name="c_Macros (2)_LI819L_B13_Output" xfId="3356"/>
    <cellStyle name="c_Macros (2)_Maquette PLT" xfId="1018"/>
    <cellStyle name="c_Macros (2)_Output" xfId="3357"/>
    <cellStyle name="c_Macros (2)_PAO-CAF-RESOP_14_01_13 à 20h" xfId="385"/>
    <cellStyle name="c_Macros (2)_PAO-CAF-RESOP_14_01_13 à 20h_CAPEM BY COUNTRY" xfId="1019"/>
    <cellStyle name="c_Macros (2)_PAO-CAF-RESOP_14_01_13 à 20h_Maquette PLT" xfId="1020"/>
    <cellStyle name="c_Macros (2)_PAO-CAF-RESOP_14_01_13 à 20h_Output" xfId="3358"/>
    <cellStyle name="c_Macros (2)_PAO-CAF-RESOP_2014.02" xfId="1021"/>
    <cellStyle name="c_Macros (2)_PAO-CAF-RESOP_2014.02_Bridge_Zone_Sud" xfId="1022"/>
    <cellStyle name="c_Macros_Actualisation provision contrat déficitaire SNCM 2010 V Def" xfId="386"/>
    <cellStyle name="c_Macros_Actualisation provision contrat déficitaire SNCM 2010 V Def_B14_E2_2210" xfId="1023"/>
    <cellStyle name="c_Macros_Actualisation provision contrat déficitaire SNCM 2010 V Def_B14_E2_2210_Bridge_Zone_Sud" xfId="1024"/>
    <cellStyle name="c_Macros_Actualisation provision contrat déficitaire SNCM 2010 V Def_Bridge_Zone_Sud" xfId="1025"/>
    <cellStyle name="c_Macros_Actualisation provision contrat déficitaire SNCM 2010 V Def_CAPEM BY COUNTRY" xfId="1026"/>
    <cellStyle name="c_Macros_Actualisation provision contrat déficitaire SNCM 2010 V Def_focus par entités CAFOPE2AMF" xfId="1027"/>
    <cellStyle name="c_Macros_Actualisation provision contrat déficitaire SNCM 2010 V Def_focus par entités CAFOPE2AMF_Bridge_Zone_Sud" xfId="1028"/>
    <cellStyle name="c_Macros_Actualisation provision contrat déficitaire SNCM 2010 V Def_Maquette PLT" xfId="1029"/>
    <cellStyle name="c_Macros_Actualisation provision contrat déficitaire SNCM 2010 V Def_Output" xfId="3359"/>
    <cellStyle name="c_Macros_Actualisation provision contrat déficitaire SNCM 2010 V Def_PAO-CAF-RESOP_04_13_pro_format_variante T1" xfId="1030"/>
    <cellStyle name="c_Macros_Actualisation provision contrat déficitaire SNCM 2010 V Def_PAO-CAF-RESOP_04_13_pro_format_variante T1_Bridge_Zone_Sud" xfId="1031"/>
    <cellStyle name="c_Macros_Actualisation provision contrat déficitaire SNCM 2010 V Def_PAO-CAF-RESOP_06_13" xfId="1032"/>
    <cellStyle name="c_Macros_Actualisation provision contrat déficitaire SNCM 2010 V Def_PAO-CAF-RESOP_06_13_Bridge_Zone_Sud" xfId="1033"/>
    <cellStyle name="c_Macros_Actualisation provision contrat déficitaire SNCM 2010 V Def_PAO-CAF-RESOP_08_13" xfId="1034"/>
    <cellStyle name="c_Macros_Actualisation provision contrat déficitaire SNCM 2010 V Def_PAO-CAF-RESOP_08_13_Bridge_Zone_Sud" xfId="1035"/>
    <cellStyle name="c_Macros_Actualisation provision contrat déficitaire SNCM 2010 V Def_PAO-CAF-RESOP_09_13" xfId="1036"/>
    <cellStyle name="c_Macros_Actualisation provision contrat déficitaire SNCM 2010 V Def_PAO-CAF-RESOP_09_13_Bridge_Zone_Sud" xfId="1037"/>
    <cellStyle name="c_Macros_Actualisation provision contrat déficitaire SNCM 2010 V Def_PAO-CAF-RESOP_09_2013_Zone_IDF (version 2)" xfId="1038"/>
    <cellStyle name="c_Macros_Actualisation provision contrat déficitaire SNCM 2010 V Def_PAO-CAF-RESOP_10_12" xfId="1039"/>
    <cellStyle name="c_Macros_Actualisation provision contrat déficitaire SNCM 2010 V Def_PAO-CAF-RESOP_10_12_Bridge_Zone_Sud" xfId="1040"/>
    <cellStyle name="c_Macros_Actualisation provision contrat déficitaire SNCM 2010 V Def_PAO-CAF-RESOP_10_12_focus par entités CAFOP" xfId="1041"/>
    <cellStyle name="c_Macros_Actualisation provision contrat déficitaire SNCM 2010 V Def_PAO-CAF-RESOP_10_12_focus par entités CAFOP_Bridge_Zone_Sud" xfId="1042"/>
    <cellStyle name="c_Macros_Actualisation provision contrat déficitaire SNCM 2010 V Def_PAO-CAF-RESOP_11_13" xfId="1043"/>
    <cellStyle name="c_Macros_Actualisation provision contrat déficitaire SNCM 2010 V Def_PAO-CAF-RESOP_B13" xfId="1044"/>
    <cellStyle name="c_Macros_Actualisation provision contrat déficitaire SNCM 2010 V Def_PAO-CAF-RESOP_B13_Bridge_Zone_Sud" xfId="1045"/>
    <cellStyle name="c_Macros_Actualisation provision contrat déficitaire SNCM 2010 V Def_PAO-CAF-RESOP_B13_focus par entités CAFOP" xfId="1046"/>
    <cellStyle name="c_Macros_Actualisation provision contrat déficitaire SNCM 2010 V Def_PAO-CAF-RESOP_B13_focus par entités CAFOP_Bridge_Zone_Sud" xfId="1047"/>
    <cellStyle name="c_Macros_Actualisation provision contrat déficitaire SNCM 2010 V Def_PAO-CAF-RESOP_B2014" xfId="1048"/>
    <cellStyle name="c_Macros_Actualisation provision contrat déficitaire SNCM 2010 V Def_PAO-CAF-RESOP_B2014_Bridge_Zone_Sud" xfId="1049"/>
    <cellStyle name="c_Macros_Actualisation provision contrat déficitaire SNCM 2010 V Def_PAO-CAF-RESOP_B2014_v2" xfId="1050"/>
    <cellStyle name="c_Macros_Actualisation provision contrat déficitaire SNCM 2010 V Def_PAO-CAF-RESOP_E2_13" xfId="1051"/>
    <cellStyle name="c_Macros_Actualisation provision contrat déficitaire SNCM 2010 V Def_PAO-CAF-RESOP_E2_13_Bridge_Zone_Sud" xfId="1052"/>
    <cellStyle name="c_Macros_Actualisation provision contrat déficitaire SNCM 2010 V Def_PAO-CAF-RESOP_E2_2013_03_10_19H" xfId="1053"/>
    <cellStyle name="c_Macros_Actualisation provision contrat déficitaire SNCM 2010 V Def_PAO-CAF-RESOP_E2_2013_03_10_19H_Bridge_Zone_Sud" xfId="1054"/>
    <cellStyle name="c_Macros_Actualisation provision contrat déficitaire SNCM 2010 V Def_Synthèse_Présentation_conso_retraitée" xfId="1055"/>
    <cellStyle name="c_Macros_Actualisation provision contrat déficitaire SNCM 2011 V3 30 05 2011" xfId="387"/>
    <cellStyle name="c_Macros_Actualisation provision contrat déficitaire SNCM 2011 V3 30 05 2011_B14_E2_2210" xfId="1056"/>
    <cellStyle name="c_Macros_Actualisation provision contrat déficitaire SNCM 2011 V3 30 05 2011_B14_E2_2210_Bridge_Zone_Sud" xfId="1057"/>
    <cellStyle name="c_Macros_Actualisation provision contrat déficitaire SNCM 2011 V3 30 05 2011_Bridge_Zone_Sud" xfId="1058"/>
    <cellStyle name="c_Macros_Actualisation provision contrat déficitaire SNCM 2011 V3 30 05 2011_CAPEM BY COUNTRY" xfId="1059"/>
    <cellStyle name="c_Macros_Actualisation provision contrat déficitaire SNCM 2011 V3 30 05 2011_focus par entités CAFOPE2AMF" xfId="1060"/>
    <cellStyle name="c_Macros_Actualisation provision contrat déficitaire SNCM 2011 V3 30 05 2011_focus par entités CAFOPE2AMF_Bridge_Zone_Sud" xfId="1061"/>
    <cellStyle name="c_Macros_Actualisation provision contrat déficitaire SNCM 2011 V3 30 05 2011_Maquette PLT" xfId="1062"/>
    <cellStyle name="c_Macros_Actualisation provision contrat déficitaire SNCM 2011 V3 30 05 2011_Output" xfId="3360"/>
    <cellStyle name="c_Macros_Actualisation provision contrat déficitaire SNCM 2011 V3 30 05 2011_PAO-CAF-RESOP_04_13_pro_format_variante T1" xfId="1063"/>
    <cellStyle name="c_Macros_Actualisation provision contrat déficitaire SNCM 2011 V3 30 05 2011_PAO-CAF-RESOP_04_13_pro_format_variante T1_Bridge_Zone_Sud" xfId="1064"/>
    <cellStyle name="c_Macros_Actualisation provision contrat déficitaire SNCM 2011 V3 30 05 2011_PAO-CAF-RESOP_06_13" xfId="1065"/>
    <cellStyle name="c_Macros_Actualisation provision contrat déficitaire SNCM 2011 V3 30 05 2011_PAO-CAF-RESOP_06_13_Bridge_Zone_Sud" xfId="1066"/>
    <cellStyle name="c_Macros_Actualisation provision contrat déficitaire SNCM 2011 V3 30 05 2011_PAO-CAF-RESOP_08_13" xfId="1067"/>
    <cellStyle name="c_Macros_Actualisation provision contrat déficitaire SNCM 2011 V3 30 05 2011_PAO-CAF-RESOP_08_13_Bridge_Zone_Sud" xfId="1068"/>
    <cellStyle name="c_Macros_Actualisation provision contrat déficitaire SNCM 2011 V3 30 05 2011_PAO-CAF-RESOP_09_13" xfId="1069"/>
    <cellStyle name="c_Macros_Actualisation provision contrat déficitaire SNCM 2011 V3 30 05 2011_PAO-CAF-RESOP_09_13_Bridge_Zone_Sud" xfId="1070"/>
    <cellStyle name="c_Macros_Actualisation provision contrat déficitaire SNCM 2011 V3 30 05 2011_PAO-CAF-RESOP_09_2013_Zone_IDF (version 2)" xfId="1071"/>
    <cellStyle name="c_Macros_Actualisation provision contrat déficitaire SNCM 2011 V3 30 05 2011_PAO-CAF-RESOP_10_12" xfId="1072"/>
    <cellStyle name="c_Macros_Actualisation provision contrat déficitaire SNCM 2011 V3 30 05 2011_PAO-CAF-RESOP_10_12_Bridge_Zone_Sud" xfId="1073"/>
    <cellStyle name="c_Macros_Actualisation provision contrat déficitaire SNCM 2011 V3 30 05 2011_PAO-CAF-RESOP_10_12_focus par entités CAFOP" xfId="1074"/>
    <cellStyle name="c_Macros_Actualisation provision contrat déficitaire SNCM 2011 V3 30 05 2011_PAO-CAF-RESOP_10_12_focus par entités CAFOP_Bridge_Zone_Sud" xfId="1075"/>
    <cellStyle name="c_Macros_Actualisation provision contrat déficitaire SNCM 2011 V3 30 05 2011_PAO-CAF-RESOP_11_13" xfId="1076"/>
    <cellStyle name="c_Macros_Actualisation provision contrat déficitaire SNCM 2011 V3 30 05 2011_PAO-CAF-RESOP_B13" xfId="1077"/>
    <cellStyle name="c_Macros_Actualisation provision contrat déficitaire SNCM 2011 V3 30 05 2011_PAO-CAF-RESOP_B13_Bridge_Zone_Sud" xfId="1078"/>
    <cellStyle name="c_Macros_Actualisation provision contrat déficitaire SNCM 2011 V3 30 05 2011_PAO-CAF-RESOP_B13_focus par entités CAFOP" xfId="1079"/>
    <cellStyle name="c_Macros_Actualisation provision contrat déficitaire SNCM 2011 V3 30 05 2011_PAO-CAF-RESOP_B13_focus par entités CAFOP_Bridge_Zone_Sud" xfId="1080"/>
    <cellStyle name="c_Macros_Actualisation provision contrat déficitaire SNCM 2011 V3 30 05 2011_PAO-CAF-RESOP_B2014" xfId="1081"/>
    <cellStyle name="c_Macros_Actualisation provision contrat déficitaire SNCM 2011 V3 30 05 2011_PAO-CAF-RESOP_B2014_Bridge_Zone_Sud" xfId="1082"/>
    <cellStyle name="c_Macros_Actualisation provision contrat déficitaire SNCM 2011 V3 30 05 2011_PAO-CAF-RESOP_B2014_v2" xfId="1083"/>
    <cellStyle name="c_Macros_Actualisation provision contrat déficitaire SNCM 2011 V3 30 05 2011_PAO-CAF-RESOP_E2_13" xfId="1084"/>
    <cellStyle name="c_Macros_Actualisation provision contrat déficitaire SNCM 2011 V3 30 05 2011_PAO-CAF-RESOP_E2_13_Bridge_Zone_Sud" xfId="1085"/>
    <cellStyle name="c_Macros_Actualisation provision contrat déficitaire SNCM 2011 V3 30 05 2011_PAO-CAF-RESOP_E2_2013_03_10_19H" xfId="1086"/>
    <cellStyle name="c_Macros_Actualisation provision contrat déficitaire SNCM 2011 V3 30 05 2011_PAO-CAF-RESOP_E2_2013_03_10_19H_Bridge_Zone_Sud" xfId="1087"/>
    <cellStyle name="c_Macros_Actualisation provision contrat déficitaire SNCM 2011 V3 30 05 2011_Synthèse_Présentation_conso_retraitée" xfId="1088"/>
    <cellStyle name="c_Macros_BFR_TD_2014.02" xfId="1089"/>
    <cellStyle name="c_Macros_Bridge_Zone_Nord" xfId="1090"/>
    <cellStyle name="c_Macros_CAPEM BY COUNTRY" xfId="1091"/>
    <cellStyle name="c_Macros_LI819L_B13" xfId="388"/>
    <cellStyle name="c_Macros_LI819L_B13_CAPEM BY COUNTRY" xfId="1092"/>
    <cellStyle name="c_Macros_LI819L_B13_Maquette PLT" xfId="1093"/>
    <cellStyle name="c_Macros_LI819L_B13_Output" xfId="3361"/>
    <cellStyle name="c_Macros_Maquette PLT" xfId="1094"/>
    <cellStyle name="c_Macros_Output" xfId="3362"/>
    <cellStyle name="c_Macros_PAO-CAF-RESOP_14_01_13 à 20h" xfId="389"/>
    <cellStyle name="c_Macros_PAO-CAF-RESOP_14_01_13 à 20h_CAPEM BY COUNTRY" xfId="1095"/>
    <cellStyle name="c_Macros_PAO-CAF-RESOP_14_01_13 à 20h_Maquette PLT" xfId="1096"/>
    <cellStyle name="c_Macros_PAO-CAF-RESOP_14_01_13 à 20h_Output" xfId="3363"/>
    <cellStyle name="c_Macros_PAO-CAF-RESOP_2014.02" xfId="1097"/>
    <cellStyle name="c_Macros_PAO-CAF-RESOP_2014.02_Bridge_Zone_Sud" xfId="1098"/>
    <cellStyle name="c_Manager (2)" xfId="390"/>
    <cellStyle name="c_Manager (2)_Actualisation provision contrat déficitaire SNCM 2010 V Def" xfId="391"/>
    <cellStyle name="c_Manager (2)_Actualisation provision contrat déficitaire SNCM 2010 V Def_B14_E2_2210" xfId="1099"/>
    <cellStyle name="c_Manager (2)_Actualisation provision contrat déficitaire SNCM 2010 V Def_B14_E2_2210_Bridge_Zone_Sud" xfId="1100"/>
    <cellStyle name="c_Manager (2)_Actualisation provision contrat déficitaire SNCM 2010 V Def_Bridge_Zone_Sud" xfId="1101"/>
    <cellStyle name="c_Manager (2)_Actualisation provision contrat déficitaire SNCM 2010 V Def_CAPEM BY COUNTRY" xfId="1102"/>
    <cellStyle name="c_Manager (2)_Actualisation provision contrat déficitaire SNCM 2010 V Def_focus par entités CAFOPE2AMF" xfId="1103"/>
    <cellStyle name="c_Manager (2)_Actualisation provision contrat déficitaire SNCM 2010 V Def_focus par entités CAFOPE2AMF_Bridge_Zone_Sud" xfId="1104"/>
    <cellStyle name="c_Manager (2)_Actualisation provision contrat déficitaire SNCM 2010 V Def_Maquette PLT" xfId="1105"/>
    <cellStyle name="c_Manager (2)_Actualisation provision contrat déficitaire SNCM 2010 V Def_Output" xfId="3364"/>
    <cellStyle name="c_Manager (2)_Actualisation provision contrat déficitaire SNCM 2010 V Def_PAO-CAF-RESOP_04_13_pro_format_variante T1" xfId="1106"/>
    <cellStyle name="c_Manager (2)_Actualisation provision contrat déficitaire SNCM 2010 V Def_PAO-CAF-RESOP_04_13_pro_format_variante T1_Bridge_Zone_Sud" xfId="1107"/>
    <cellStyle name="c_Manager (2)_Actualisation provision contrat déficitaire SNCM 2010 V Def_PAO-CAF-RESOP_06_13" xfId="1108"/>
    <cellStyle name="c_Manager (2)_Actualisation provision contrat déficitaire SNCM 2010 V Def_PAO-CAF-RESOP_06_13_Bridge_Zone_Sud" xfId="1109"/>
    <cellStyle name="c_Manager (2)_Actualisation provision contrat déficitaire SNCM 2010 V Def_PAO-CAF-RESOP_08_13" xfId="1110"/>
    <cellStyle name="c_Manager (2)_Actualisation provision contrat déficitaire SNCM 2010 V Def_PAO-CAF-RESOP_08_13_Bridge_Zone_Sud" xfId="1111"/>
    <cellStyle name="c_Manager (2)_Actualisation provision contrat déficitaire SNCM 2010 V Def_PAO-CAF-RESOP_09_13" xfId="1112"/>
    <cellStyle name="c_Manager (2)_Actualisation provision contrat déficitaire SNCM 2010 V Def_PAO-CAF-RESOP_09_13_Bridge_Zone_Sud" xfId="1113"/>
    <cellStyle name="c_Manager (2)_Actualisation provision contrat déficitaire SNCM 2010 V Def_PAO-CAF-RESOP_09_2013_Zone_IDF (version 2)" xfId="1114"/>
    <cellStyle name="c_Manager (2)_Actualisation provision contrat déficitaire SNCM 2010 V Def_PAO-CAF-RESOP_10_12" xfId="1115"/>
    <cellStyle name="c_Manager (2)_Actualisation provision contrat déficitaire SNCM 2010 V Def_PAO-CAF-RESOP_10_12_Bridge_Zone_Sud" xfId="1116"/>
    <cellStyle name="c_Manager (2)_Actualisation provision contrat déficitaire SNCM 2010 V Def_PAO-CAF-RESOP_10_12_focus par entités CAFOP" xfId="1117"/>
    <cellStyle name="c_Manager (2)_Actualisation provision contrat déficitaire SNCM 2010 V Def_PAO-CAF-RESOP_10_12_focus par entités CAFOP_Bridge_Zone_Sud" xfId="1118"/>
    <cellStyle name="c_Manager (2)_Actualisation provision contrat déficitaire SNCM 2010 V Def_PAO-CAF-RESOP_11_13" xfId="1119"/>
    <cellStyle name="c_Manager (2)_Actualisation provision contrat déficitaire SNCM 2010 V Def_PAO-CAF-RESOP_B13" xfId="1120"/>
    <cellStyle name="c_Manager (2)_Actualisation provision contrat déficitaire SNCM 2010 V Def_PAO-CAF-RESOP_B13_Bridge_Zone_Sud" xfId="1121"/>
    <cellStyle name="c_Manager (2)_Actualisation provision contrat déficitaire SNCM 2010 V Def_PAO-CAF-RESOP_B13_focus par entités CAFOP" xfId="1122"/>
    <cellStyle name="c_Manager (2)_Actualisation provision contrat déficitaire SNCM 2010 V Def_PAO-CAF-RESOP_B13_focus par entités CAFOP_Bridge_Zone_Sud" xfId="1123"/>
    <cellStyle name="c_Manager (2)_Actualisation provision contrat déficitaire SNCM 2010 V Def_PAO-CAF-RESOP_B2014" xfId="1124"/>
    <cellStyle name="c_Manager (2)_Actualisation provision contrat déficitaire SNCM 2010 V Def_PAO-CAF-RESOP_B2014_Bridge_Zone_Sud" xfId="1125"/>
    <cellStyle name="c_Manager (2)_Actualisation provision contrat déficitaire SNCM 2010 V Def_PAO-CAF-RESOP_B2014_v2" xfId="1126"/>
    <cellStyle name="c_Manager (2)_Actualisation provision contrat déficitaire SNCM 2010 V Def_PAO-CAF-RESOP_E2_13" xfId="1127"/>
    <cellStyle name="c_Manager (2)_Actualisation provision contrat déficitaire SNCM 2010 V Def_PAO-CAF-RESOP_E2_13_Bridge_Zone_Sud" xfId="1128"/>
    <cellStyle name="c_Manager (2)_Actualisation provision contrat déficitaire SNCM 2010 V Def_PAO-CAF-RESOP_E2_2013_03_10_19H" xfId="1129"/>
    <cellStyle name="c_Manager (2)_Actualisation provision contrat déficitaire SNCM 2010 V Def_PAO-CAF-RESOP_E2_2013_03_10_19H_Bridge_Zone_Sud" xfId="1130"/>
    <cellStyle name="c_Manager (2)_Actualisation provision contrat déficitaire SNCM 2010 V Def_Synthèse_Présentation_conso_retraitée" xfId="1131"/>
    <cellStyle name="c_Manager (2)_Actualisation provision contrat déficitaire SNCM 2011 V3 30 05 2011" xfId="392"/>
    <cellStyle name="c_Manager (2)_Actualisation provision contrat déficitaire SNCM 2011 V3 30 05 2011_B14_E2_2210" xfId="1132"/>
    <cellStyle name="c_Manager (2)_Actualisation provision contrat déficitaire SNCM 2011 V3 30 05 2011_B14_E2_2210_Bridge_Zone_Sud" xfId="1133"/>
    <cellStyle name="c_Manager (2)_Actualisation provision contrat déficitaire SNCM 2011 V3 30 05 2011_Bridge_Zone_Sud" xfId="1134"/>
    <cellStyle name="c_Manager (2)_Actualisation provision contrat déficitaire SNCM 2011 V3 30 05 2011_CAPEM BY COUNTRY" xfId="1135"/>
    <cellStyle name="c_Manager (2)_Actualisation provision contrat déficitaire SNCM 2011 V3 30 05 2011_focus par entités CAFOPE2AMF" xfId="1136"/>
    <cellStyle name="c_Manager (2)_Actualisation provision contrat déficitaire SNCM 2011 V3 30 05 2011_focus par entités CAFOPE2AMF_Bridge_Zone_Sud" xfId="1137"/>
    <cellStyle name="c_Manager (2)_Actualisation provision contrat déficitaire SNCM 2011 V3 30 05 2011_Maquette PLT" xfId="1138"/>
    <cellStyle name="c_Manager (2)_Actualisation provision contrat déficitaire SNCM 2011 V3 30 05 2011_Output" xfId="3365"/>
    <cellStyle name="c_Manager (2)_Actualisation provision contrat déficitaire SNCM 2011 V3 30 05 2011_PAO-CAF-RESOP_04_13_pro_format_variante T1" xfId="1139"/>
    <cellStyle name="c_Manager (2)_Actualisation provision contrat déficitaire SNCM 2011 V3 30 05 2011_PAO-CAF-RESOP_04_13_pro_format_variante T1_Bridge_Zone_Sud" xfId="1140"/>
    <cellStyle name="c_Manager (2)_Actualisation provision contrat déficitaire SNCM 2011 V3 30 05 2011_PAO-CAF-RESOP_06_13" xfId="1141"/>
    <cellStyle name="c_Manager (2)_Actualisation provision contrat déficitaire SNCM 2011 V3 30 05 2011_PAO-CAF-RESOP_06_13_Bridge_Zone_Sud" xfId="1142"/>
    <cellStyle name="c_Manager (2)_Actualisation provision contrat déficitaire SNCM 2011 V3 30 05 2011_PAO-CAF-RESOP_08_13" xfId="1143"/>
    <cellStyle name="c_Manager (2)_Actualisation provision contrat déficitaire SNCM 2011 V3 30 05 2011_PAO-CAF-RESOP_08_13_Bridge_Zone_Sud" xfId="1144"/>
    <cellStyle name="c_Manager (2)_Actualisation provision contrat déficitaire SNCM 2011 V3 30 05 2011_PAO-CAF-RESOP_09_13" xfId="1145"/>
    <cellStyle name="c_Manager (2)_Actualisation provision contrat déficitaire SNCM 2011 V3 30 05 2011_PAO-CAF-RESOP_09_13_Bridge_Zone_Sud" xfId="1146"/>
    <cellStyle name="c_Manager (2)_Actualisation provision contrat déficitaire SNCM 2011 V3 30 05 2011_PAO-CAF-RESOP_09_2013_Zone_IDF (version 2)" xfId="1147"/>
    <cellStyle name="c_Manager (2)_Actualisation provision contrat déficitaire SNCM 2011 V3 30 05 2011_PAO-CAF-RESOP_10_12" xfId="1148"/>
    <cellStyle name="c_Manager (2)_Actualisation provision contrat déficitaire SNCM 2011 V3 30 05 2011_PAO-CAF-RESOP_10_12_Bridge_Zone_Sud" xfId="1149"/>
    <cellStyle name="c_Manager (2)_Actualisation provision contrat déficitaire SNCM 2011 V3 30 05 2011_PAO-CAF-RESOP_10_12_focus par entités CAFOP" xfId="1150"/>
    <cellStyle name="c_Manager (2)_Actualisation provision contrat déficitaire SNCM 2011 V3 30 05 2011_PAO-CAF-RESOP_10_12_focus par entités CAFOP_Bridge_Zone_Sud" xfId="1151"/>
    <cellStyle name="c_Manager (2)_Actualisation provision contrat déficitaire SNCM 2011 V3 30 05 2011_PAO-CAF-RESOP_11_13" xfId="1152"/>
    <cellStyle name="c_Manager (2)_Actualisation provision contrat déficitaire SNCM 2011 V3 30 05 2011_PAO-CAF-RESOP_B13" xfId="1153"/>
    <cellStyle name="c_Manager (2)_Actualisation provision contrat déficitaire SNCM 2011 V3 30 05 2011_PAO-CAF-RESOP_B13_Bridge_Zone_Sud" xfId="1154"/>
    <cellStyle name="c_Manager (2)_Actualisation provision contrat déficitaire SNCM 2011 V3 30 05 2011_PAO-CAF-RESOP_B13_focus par entités CAFOP" xfId="1155"/>
    <cellStyle name="c_Manager (2)_Actualisation provision contrat déficitaire SNCM 2011 V3 30 05 2011_PAO-CAF-RESOP_B13_focus par entités CAFOP_Bridge_Zone_Sud" xfId="1156"/>
    <cellStyle name="c_Manager (2)_Actualisation provision contrat déficitaire SNCM 2011 V3 30 05 2011_PAO-CAF-RESOP_B2014" xfId="1157"/>
    <cellStyle name="c_Manager (2)_Actualisation provision contrat déficitaire SNCM 2011 V3 30 05 2011_PAO-CAF-RESOP_B2014_Bridge_Zone_Sud" xfId="1158"/>
    <cellStyle name="c_Manager (2)_Actualisation provision contrat déficitaire SNCM 2011 V3 30 05 2011_PAO-CAF-RESOP_B2014_v2" xfId="1159"/>
    <cellStyle name="c_Manager (2)_Actualisation provision contrat déficitaire SNCM 2011 V3 30 05 2011_PAO-CAF-RESOP_E2_13" xfId="1160"/>
    <cellStyle name="c_Manager (2)_Actualisation provision contrat déficitaire SNCM 2011 V3 30 05 2011_PAO-CAF-RESOP_E2_13_Bridge_Zone_Sud" xfId="1161"/>
    <cellStyle name="c_Manager (2)_Actualisation provision contrat déficitaire SNCM 2011 V3 30 05 2011_PAO-CAF-RESOP_E2_2013_03_10_19H" xfId="1162"/>
    <cellStyle name="c_Manager (2)_Actualisation provision contrat déficitaire SNCM 2011 V3 30 05 2011_PAO-CAF-RESOP_E2_2013_03_10_19H_Bridge_Zone_Sud" xfId="1163"/>
    <cellStyle name="c_Manager (2)_Actualisation provision contrat déficitaire SNCM 2011 V3 30 05 2011_Synthèse_Présentation_conso_retraitée" xfId="1164"/>
    <cellStyle name="c_Manager (2)_BFR_TD_2014.02" xfId="1165"/>
    <cellStyle name="c_Manager (2)_Bridge_Zone_Nord" xfId="1166"/>
    <cellStyle name="c_Manager (2)_CAPEM BY COUNTRY" xfId="1167"/>
    <cellStyle name="c_Manager (2)_LI819L_B13" xfId="393"/>
    <cellStyle name="c_Manager (2)_LI819L_B13_CAPEM BY COUNTRY" xfId="1168"/>
    <cellStyle name="c_Manager (2)_LI819L_B13_Maquette PLT" xfId="1169"/>
    <cellStyle name="c_Manager (2)_LI819L_B13_Output" xfId="3366"/>
    <cellStyle name="c_Manager (2)_Maquette PLT" xfId="1170"/>
    <cellStyle name="c_Manager (2)_Output" xfId="3367"/>
    <cellStyle name="c_Manager (2)_PAO-CAF-RESOP_14_01_13 à 20h" xfId="394"/>
    <cellStyle name="c_Manager (2)_PAO-CAF-RESOP_14_01_13 à 20h_CAPEM BY COUNTRY" xfId="1171"/>
    <cellStyle name="c_Manager (2)_PAO-CAF-RESOP_14_01_13 à 20h_Maquette PLT" xfId="1172"/>
    <cellStyle name="c_Manager (2)_PAO-CAF-RESOP_14_01_13 à 20h_Output" xfId="3368"/>
    <cellStyle name="c_Manager (2)_PAO-CAF-RESOP_2014.02" xfId="1173"/>
    <cellStyle name="c_Manager (2)_PAO-CAF-RESOP_2014.02_Bridge_Zone_Sud" xfId="1174"/>
    <cellStyle name="c_Maquette PLT" xfId="1175"/>
    <cellStyle name="c_Output" xfId="3369"/>
    <cellStyle name="c_PAO-CAF-RESOP_14_01_13 à 20h" xfId="395"/>
    <cellStyle name="c_PAO-CAF-RESOP_14_01_13 à 20h_CAPEM BY COUNTRY" xfId="1176"/>
    <cellStyle name="c_PAO-CAF-RESOP_14_01_13 à 20h_Maquette PLT" xfId="1177"/>
    <cellStyle name="c_PAO-CAF-RESOP_14_01_13 à 20h_Output" xfId="3370"/>
    <cellStyle name="c_PAO-CAF-RESOP_2014.02" xfId="1178"/>
    <cellStyle name="c_PAO-CAF-RESOP_2014.02_Bridge_Zone_Sud" xfId="1179"/>
    <cellStyle name="c0" xfId="396"/>
    <cellStyle name="cach" xfId="397"/>
    <cellStyle name="Calcul 2" xfId="398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Action Plan" xfId="3327"/>
    <cellStyle name="Cellule liée 2" xfId="399"/>
    <cellStyle name="Check Cell" xfId="152"/>
    <cellStyle name="Check Cell 2" xfId="153"/>
    <cellStyle name="Check Cell 3" xfId="154"/>
    <cellStyle name="Check Cell 4" xfId="155"/>
    <cellStyle name="Check Cell 5" xfId="156"/>
    <cellStyle name="Check Cell 6" xfId="157"/>
    <cellStyle name="Check Cell_Decote croissance organique" xfId="1180"/>
    <cellStyle name="chiffre" xfId="400"/>
    <cellStyle name="co" xfId="401"/>
    <cellStyle name="ColumnHeading" xfId="158"/>
    <cellStyle name="Comma [1]" xfId="402"/>
    <cellStyle name="Comma [2]" xfId="403"/>
    <cellStyle name="Comma 2" xfId="159"/>
    <cellStyle name="Comma 3" xfId="160"/>
    <cellStyle name="Comma 4" xfId="161"/>
    <cellStyle name="Comma 5" xfId="162"/>
    <cellStyle name="Comma 6" xfId="163"/>
    <cellStyle name="Comma 7" xfId="164"/>
    <cellStyle name="Comma 8" xfId="165"/>
    <cellStyle name="Comma_Axmann Utopia toolbox all_in_one" xfId="404"/>
    <cellStyle name="Commentaire 2" xfId="405"/>
    <cellStyle name="Commentaire 3" xfId="406"/>
    <cellStyle name="Commentaire 4" xfId="407"/>
    <cellStyle name="Currency [1]" xfId="408"/>
    <cellStyle name="Currency [2]" xfId="409"/>
    <cellStyle name="Currency_Axmann Utopia toolbox all_in_one" xfId="410"/>
    <cellStyle name="Currency-Denomination" xfId="411"/>
    <cellStyle name="Dash" xfId="412"/>
    <cellStyle name="Decimal_0dp" xfId="413"/>
    <cellStyle name="Dezimal__Utopia Index Index und Guidance (Deutsch)" xfId="414"/>
    <cellStyle name="Entrée 2" xfId="415"/>
    <cellStyle name="Euro" xfId="166"/>
    <cellStyle name="Euro 2" xfId="416"/>
    <cellStyle name="Euro 3" xfId="417"/>
    <cellStyle name="Euro 3 2" xfId="418"/>
    <cellStyle name="Euro 3_IFRIC 12 classique" xfId="1181"/>
    <cellStyle name="Euro_BFR_TD_2014.02" xfId="1182"/>
    <cellStyle name="Explanatory Text" xfId="167"/>
    <cellStyle name="Explanatory Text 2" xfId="168"/>
    <cellStyle name="Explanatory Text 3" xfId="169"/>
    <cellStyle name="Explanatory Text 4" xfId="170"/>
    <cellStyle name="Explanatory Text 5" xfId="171"/>
    <cellStyle name="Explanatory Text 6" xfId="172"/>
    <cellStyle name="Explanatory Text_Decote croissance organique" xfId="1183"/>
    <cellStyle name="EY Narrative text" xfId="419"/>
    <cellStyle name="EY%colcalc" xfId="420"/>
    <cellStyle name="EY%colcalc 2" xfId="421"/>
    <cellStyle name="EY%input" xfId="422"/>
    <cellStyle name="EY%input 2" xfId="423"/>
    <cellStyle name="EY%rowcalc" xfId="424"/>
    <cellStyle name="EY%rowcalc 2" xfId="425"/>
    <cellStyle name="EY0dp" xfId="426"/>
    <cellStyle name="EY0dp 2" xfId="427"/>
    <cellStyle name="EY1dp" xfId="428"/>
    <cellStyle name="EY1dp 2" xfId="429"/>
    <cellStyle name="EY2dp" xfId="430"/>
    <cellStyle name="EY2dp 2" xfId="431"/>
    <cellStyle name="EY3dp" xfId="432"/>
    <cellStyle name="EY3dp 2" xfId="433"/>
    <cellStyle name="EYColumnHeading" xfId="434"/>
    <cellStyle name="EYColumnHeading 2" xfId="435"/>
    <cellStyle name="EYColumnHeading 3" xfId="436"/>
    <cellStyle name="EYColumnHeading_Decote croissance organique" xfId="1184"/>
    <cellStyle name="EYColumnHeadingItalic" xfId="437"/>
    <cellStyle name="EYCoverDatabookName" xfId="438"/>
    <cellStyle name="EYCoverDate" xfId="439"/>
    <cellStyle name="EYCoverDraft" xfId="440"/>
    <cellStyle name="EYCoverProjectName" xfId="441"/>
    <cellStyle name="EYCurrency" xfId="442"/>
    <cellStyle name="EYHeading1" xfId="443"/>
    <cellStyle name="EYheading2" xfId="444"/>
    <cellStyle name="EYheading3" xfId="445"/>
    <cellStyle name="EYNotes" xfId="446"/>
    <cellStyle name="EYNotesHeading" xfId="447"/>
    <cellStyle name="EYnumber" xfId="448"/>
    <cellStyle name="EYnumber 2" xfId="449"/>
    <cellStyle name="EYSectionHeading" xfId="450"/>
    <cellStyle name="EYSheetHeader1" xfId="451"/>
    <cellStyle name="EYSheetHeading" xfId="452"/>
    <cellStyle name="EYsmallheading" xfId="453"/>
    <cellStyle name="EYSource" xfId="454"/>
    <cellStyle name="EYtext" xfId="455"/>
    <cellStyle name="EYtext 2" xfId="456"/>
    <cellStyle name="EYtext 3" xfId="457"/>
    <cellStyle name="EYtext_Decote croissance organique" xfId="1185"/>
    <cellStyle name="EYtextbold" xfId="458"/>
    <cellStyle name="EYtextbolditalic" xfId="459"/>
    <cellStyle name="EYtextitalic" xfId="460"/>
    <cellStyle name="Followed Hyperlink" xfId="461"/>
    <cellStyle name="Forecast Cell Column Heading" xfId="462"/>
    <cellStyle name="FormattingSheetDelimitor" xfId="463"/>
    <cellStyle name="FRxAmtStyle" xfId="464"/>
    <cellStyle name="FRxPcntStyle" xfId="465"/>
    <cellStyle name="Good" xfId="173"/>
    <cellStyle name="Good 2" xfId="174"/>
    <cellStyle name="Good 3" xfId="175"/>
    <cellStyle name="Good 4" xfId="176"/>
    <cellStyle name="Good 5" xfId="177"/>
    <cellStyle name="Good 6" xfId="178"/>
    <cellStyle name="Good_Decote croissance organique" xfId="1186"/>
    <cellStyle name="h" xfId="466"/>
    <cellStyle name="Heading 1" xfId="179"/>
    <cellStyle name="Heading 1 2" xfId="180"/>
    <cellStyle name="Heading 1 3" xfId="181"/>
    <cellStyle name="Heading 1 4" xfId="182"/>
    <cellStyle name="Heading 1 5" xfId="183"/>
    <cellStyle name="Heading 1 6" xfId="184"/>
    <cellStyle name="Heading 1_Decote croissance organique" xfId="1187"/>
    <cellStyle name="Heading 2" xfId="185"/>
    <cellStyle name="Heading 2 2" xfId="186"/>
    <cellStyle name="Heading 2 3" xfId="187"/>
    <cellStyle name="Heading 2 4" xfId="188"/>
    <cellStyle name="Heading 2 5" xfId="189"/>
    <cellStyle name="Heading 2 6" xfId="190"/>
    <cellStyle name="Heading 2_Decote croissance organique" xfId="1188"/>
    <cellStyle name="Heading 3" xfId="191"/>
    <cellStyle name="Heading 3 2" xfId="192"/>
    <cellStyle name="Heading 3 3" xfId="193"/>
    <cellStyle name="Heading 3 4" xfId="194"/>
    <cellStyle name="Heading 3 5" xfId="195"/>
    <cellStyle name="Heading 3 6" xfId="196"/>
    <cellStyle name="Heading 3_Decote croissance organique" xfId="1189"/>
    <cellStyle name="Heading 4" xfId="197"/>
    <cellStyle name="Heading 4 2" xfId="198"/>
    <cellStyle name="Heading 4 3" xfId="199"/>
    <cellStyle name="Heading 4 4" xfId="200"/>
    <cellStyle name="Heading 4 5" xfId="201"/>
    <cellStyle name="Heading 4 6" xfId="202"/>
    <cellStyle name="Heading 4_Decote croissance organique" xfId="1190"/>
    <cellStyle name="Hyperlink" xfId="467"/>
    <cellStyle name="Hyperlink 2" xfId="203"/>
    <cellStyle name="Hyperlink 3" xfId="204"/>
    <cellStyle name="Input" xfId="205"/>
    <cellStyle name="Input 2" xfId="206"/>
    <cellStyle name="Input 3" xfId="207"/>
    <cellStyle name="Input 4" xfId="208"/>
    <cellStyle name="Input 5" xfId="209"/>
    <cellStyle name="Input_Action Plan" xfId="3328"/>
    <cellStyle name="InputBlueFont" xfId="468"/>
    <cellStyle name="InputBlueFontLocked" xfId="469"/>
    <cellStyle name="Insatisfaisant 2" xfId="470"/>
    <cellStyle name="KPMG Heading 1" xfId="471"/>
    <cellStyle name="KPMG Heading 2" xfId="472"/>
    <cellStyle name="KPMG Heading 3" xfId="473"/>
    <cellStyle name="KPMG Heading 4" xfId="474"/>
    <cellStyle name="KPMG Normal" xfId="475"/>
    <cellStyle name="KPMG Normal Text" xfId="476"/>
    <cellStyle name="KPMG Normal_CAPEM BY COUNTRY" xfId="1191"/>
    <cellStyle name="Lien hypertexte" xfId="307" builtinId="8"/>
    <cellStyle name="Lien hypertexte 2" xfId="1192"/>
    <cellStyle name="Lien hypertexte 3" xfId="210"/>
    <cellStyle name="Ligne détail" xfId="211"/>
    <cellStyle name="Linked Cell" xfId="212"/>
    <cellStyle name="Linked Cell 2" xfId="213"/>
    <cellStyle name="Linked Cell 3" xfId="214"/>
    <cellStyle name="Linked Cell 4" xfId="215"/>
    <cellStyle name="Linked Cell 5" xfId="216"/>
    <cellStyle name="Linked Cell_Business Review - Saisie" xfId="217"/>
    <cellStyle name="LTM Cell Column Heading" xfId="477"/>
    <cellStyle name="MEV4" xfId="218"/>
    <cellStyle name="MEV5" xfId="219"/>
    <cellStyle name="Milliers 2" xfId="220"/>
    <cellStyle name="Milliers 2 2" xfId="478"/>
    <cellStyle name="Milliers 2_Decote croissance organique" xfId="1193"/>
    <cellStyle name="Milliers 3" xfId="221"/>
    <cellStyle name="Milliers 4" xfId="222"/>
    <cellStyle name="Milliers 5" xfId="479"/>
    <cellStyle name="Milliers 6" xfId="480"/>
    <cellStyle name="Milliers 7" xfId="1194"/>
    <cellStyle name="Monétaire 2" xfId="1195"/>
    <cellStyle name="Multiple" xfId="481"/>
    <cellStyle name="Multiple Cell Column Heading" xfId="482"/>
    <cellStyle name="N?rmal_la?oux_larou?" xfId="223"/>
    <cellStyle name="Navadno 2" xfId="483"/>
    <cellStyle name="Neutral" xfId="224"/>
    <cellStyle name="Neutral 2" xfId="225"/>
    <cellStyle name="Neutral 3" xfId="226"/>
    <cellStyle name="Neutral 4" xfId="227"/>
    <cellStyle name="Neutral 5" xfId="228"/>
    <cellStyle name="Neutral 6" xfId="229"/>
    <cellStyle name="Neutral_Decote croissance organique" xfId="1196"/>
    <cellStyle name="Neutre 2" xfId="484"/>
    <cellStyle name="no" xfId="485"/>
    <cellStyle name="No-definido" xfId="486"/>
    <cellStyle name="Non d‚fini" xfId="487"/>
    <cellStyle name="Non d‚fini 2" xfId="488"/>
    <cellStyle name="Non d‚fini_Decote croissance organique" xfId="1197"/>
    <cellStyle name="Norma?_On Hol?" xfId="230"/>
    <cellStyle name="Normaᷬ_On Holᷤ" xfId="231"/>
    <cellStyle name="Normaali 2" xfId="1198"/>
    <cellStyle name="Normaali 2 2" xfId="1199"/>
    <cellStyle name="Normaali 2 2 2" xfId="1200"/>
    <cellStyle name="Normaali 2 3" xfId="1201"/>
    <cellStyle name="Normaali 3" xfId="1202"/>
    <cellStyle name="Normaali 3 2" xfId="1203"/>
    <cellStyle name="Normaali 3_Action Plan" xfId="3329"/>
    <cellStyle name="Normaali 4" xfId="1204"/>
    <cellStyle name="Normaali 5" xfId="1205"/>
    <cellStyle name="Normal" xfId="0" builtinId="0"/>
    <cellStyle name="Normal - Style1" xfId="232"/>
    <cellStyle name="Normal - Style2" xfId="489"/>
    <cellStyle name="Normal - Style3" xfId="490"/>
    <cellStyle name="Normal - Style4" xfId="491"/>
    <cellStyle name="Normal - Style5" xfId="492"/>
    <cellStyle name="Normal - Style6" xfId="493"/>
    <cellStyle name="Normal - Style7" xfId="494"/>
    <cellStyle name="Normal - Style8" xfId="495"/>
    <cellStyle name="Normal 10" xfId="3"/>
    <cellStyle name="Normal 10 2" xfId="496"/>
    <cellStyle name="Normal 10 2 2" xfId="497"/>
    <cellStyle name="Normal 10 2 3" xfId="498"/>
    <cellStyle name="Normal 10 2_CAPEM BY COUNTRY" xfId="1206"/>
    <cellStyle name="Normal 10 3" xfId="499"/>
    <cellStyle name="Normal 10 4" xfId="500"/>
    <cellStyle name="Normal 10 5" xfId="779"/>
    <cellStyle name="Normal 10_CAPEX" xfId="1207"/>
    <cellStyle name="Normal 10_Context" xfId="3344"/>
    <cellStyle name="Normal 11" xfId="233"/>
    <cellStyle name="Normal 11 2" xfId="1208"/>
    <cellStyle name="Normal 12" xfId="234"/>
    <cellStyle name="Normal 13" xfId="235"/>
    <cellStyle name="Normal 14" xfId="306"/>
    <cellStyle name="Normal 15" xfId="501"/>
    <cellStyle name="Normal 15 2" xfId="502"/>
    <cellStyle name="Normal 15 2 2" xfId="503"/>
    <cellStyle name="Normal 15 2_Action Plan" xfId="3330"/>
    <cellStyle name="Normal 15_Decote croissance organique" xfId="1209"/>
    <cellStyle name="Normal 16" xfId="504"/>
    <cellStyle name="Normal 17" xfId="505"/>
    <cellStyle name="Normal 18" xfId="506"/>
    <cellStyle name="Normal 19" xfId="507"/>
    <cellStyle name="Normal 2" xfId="236"/>
    <cellStyle name="Normal 2 10" xfId="508"/>
    <cellStyle name="Normal 2 11" xfId="509"/>
    <cellStyle name="Normal 2 12" xfId="510"/>
    <cellStyle name="Normal 2 13" xfId="511"/>
    <cellStyle name="Normal 2 14" xfId="512"/>
    <cellStyle name="Normal 2 15" xfId="513"/>
    <cellStyle name="Normal 2 16" xfId="514"/>
    <cellStyle name="Normal 2 17" xfId="515"/>
    <cellStyle name="Normal 2 18" xfId="516"/>
    <cellStyle name="Normal 2 19" xfId="517"/>
    <cellStyle name="Normal 2 2" xfId="237"/>
    <cellStyle name="Normal 2 2 2" xfId="518"/>
    <cellStyle name="Normal 2 2_CAPEX" xfId="1210"/>
    <cellStyle name="Normal 2 3" xfId="238"/>
    <cellStyle name="Normal 2 4" xfId="239"/>
    <cellStyle name="Normal 2 5" xfId="240"/>
    <cellStyle name="Normal 2 6" xfId="519"/>
    <cellStyle name="Normal 2 7" xfId="520"/>
    <cellStyle name="Normal 2 8" xfId="521"/>
    <cellStyle name="Normal 2 9" xfId="522"/>
    <cellStyle name="Normal 2_B14_E2_2210" xfId="523"/>
    <cellStyle name="Normal 20" xfId="524"/>
    <cellStyle name="Normal 21" xfId="525"/>
    <cellStyle name="Normal 22" xfId="526"/>
    <cellStyle name="Normal 23" xfId="527"/>
    <cellStyle name="Normal 24" xfId="528"/>
    <cellStyle name="Normal 25" xfId="529"/>
    <cellStyle name="Normal 26" xfId="530"/>
    <cellStyle name="Normal 27" xfId="531"/>
    <cellStyle name="Normal 28" xfId="532"/>
    <cellStyle name="Normal 28 2" xfId="533"/>
    <cellStyle name="Normal 28_Action Plan" xfId="3331"/>
    <cellStyle name="Normal 29" xfId="534"/>
    <cellStyle name="Normal 29 2" xfId="535"/>
    <cellStyle name="Normal 29_Action Plan" xfId="3332"/>
    <cellStyle name="Normal 3" xfId="241"/>
    <cellStyle name="Normal 3 10" xfId="536"/>
    <cellStyle name="Normal 3 11" xfId="537"/>
    <cellStyle name="Normal 3 12" xfId="538"/>
    <cellStyle name="Normal 3 13" xfId="539"/>
    <cellStyle name="Normal 3 14" xfId="540"/>
    <cellStyle name="Normal 3 2" xfId="1"/>
    <cellStyle name="Normal 3 2 2" xfId="541"/>
    <cellStyle name="Normal 3 2 3" xfId="781"/>
    <cellStyle name="Normal 3 2_CAPEX" xfId="1211"/>
    <cellStyle name="Normal 3 3" xfId="242"/>
    <cellStyle name="Normal 3 4" xfId="243"/>
    <cellStyle name="Normal 3 5" xfId="244"/>
    <cellStyle name="Normal 3 6" xfId="245"/>
    <cellStyle name="Normal 3 7" xfId="246"/>
    <cellStyle name="Normal 3 8" xfId="542"/>
    <cellStyle name="Normal 3 9" xfId="543"/>
    <cellStyle name="Normal 3_0. Investissement" xfId="247"/>
    <cellStyle name="Normal 30" xfId="544"/>
    <cellStyle name="Normal 30 2" xfId="545"/>
    <cellStyle name="Normal 30 3" xfId="546"/>
    <cellStyle name="Normal 30_Action Plan" xfId="3333"/>
    <cellStyle name="Normal 31" xfId="547"/>
    <cellStyle name="Normal 32" xfId="548"/>
    <cellStyle name="Normal 32 2" xfId="549"/>
    <cellStyle name="Normal 32_Action Plan" xfId="3334"/>
    <cellStyle name="Normal 33" xfId="550"/>
    <cellStyle name="Normal 33 2" xfId="551"/>
    <cellStyle name="Normal 33_Action Plan" xfId="3335"/>
    <cellStyle name="Normal 34" xfId="552"/>
    <cellStyle name="Normal 35" xfId="553"/>
    <cellStyle name="Normal 36" xfId="554"/>
    <cellStyle name="Normal 37" xfId="555"/>
    <cellStyle name="Normal 38" xfId="556"/>
    <cellStyle name="Normal 38 2" xfId="557"/>
    <cellStyle name="Normal 38 2 2" xfId="1212"/>
    <cellStyle name="Normal 38 2_Action Plan" xfId="3337"/>
    <cellStyle name="Normal 38_Action Plan" xfId="3336"/>
    <cellStyle name="Normal 39" xfId="558"/>
    <cellStyle name="Normal 4" xfId="248"/>
    <cellStyle name="Normal 4 2" xfId="559"/>
    <cellStyle name="Normal 4 3" xfId="560"/>
    <cellStyle name="Normal 4 5" xfId="1213"/>
    <cellStyle name="Normal 4_B14_E2_2210" xfId="1214"/>
    <cellStyle name="Normal 40" xfId="561"/>
    <cellStyle name="Normal 41" xfId="562"/>
    <cellStyle name="Normal 42" xfId="563"/>
    <cellStyle name="Normal 42 2" xfId="1215"/>
    <cellStyle name="Normal 42_Action Plan" xfId="3338"/>
    <cellStyle name="Normal 43" xfId="564"/>
    <cellStyle name="Normal 43 2" xfId="1216"/>
    <cellStyle name="Normal 43 3" xfId="1217"/>
    <cellStyle name="Normal 43 4" xfId="1218"/>
    <cellStyle name="Normal 43 5" xfId="1219"/>
    <cellStyle name="Normal 43_Action Plan" xfId="3339"/>
    <cellStyle name="Normal 44" xfId="565"/>
    <cellStyle name="Normal 45" xfId="566"/>
    <cellStyle name="Normal 45 2" xfId="1220"/>
    <cellStyle name="Normal 45_Action Plan" xfId="3340"/>
    <cellStyle name="Normal 46" xfId="567"/>
    <cellStyle name="Normal 46 2" xfId="1221"/>
    <cellStyle name="Normal 46 2 2" xfId="1222"/>
    <cellStyle name="Normal 46_CAPEX" xfId="1223"/>
    <cellStyle name="Normal 47" xfId="782"/>
    <cellStyle name="Normal 48" xfId="1224"/>
    <cellStyle name="Normal 49" xfId="1225"/>
    <cellStyle name="Normal 5" xfId="249"/>
    <cellStyle name="Normal 5 2" xfId="568"/>
    <cellStyle name="Normal 5_CAPEX" xfId="1226"/>
    <cellStyle name="Normal 6" xfId="250"/>
    <cellStyle name="Normal 6 2" xfId="251"/>
    <cellStyle name="Normal 6 2 2" xfId="569"/>
    <cellStyle name="Normal 6 2 3" xfId="570"/>
    <cellStyle name="Normal 6 2_CAPEX" xfId="1227"/>
    <cellStyle name="Normal 6 3" xfId="252"/>
    <cellStyle name="Normal 6 4" xfId="253"/>
    <cellStyle name="Normal 6 5" xfId="254"/>
    <cellStyle name="Normal 6_0. Investissement" xfId="255"/>
    <cellStyle name="Normal 60" xfId="1228"/>
    <cellStyle name="Normal 60 2" xfId="1229"/>
    <cellStyle name="Normal 60_Action Plan" xfId="3341"/>
    <cellStyle name="Normal 62" xfId="1230"/>
    <cellStyle name="Normal 7" xfId="256"/>
    <cellStyle name="Normal 7 2" xfId="571"/>
    <cellStyle name="Normal 7 2 2" xfId="572"/>
    <cellStyle name="Normal 7 2 3" xfId="573"/>
    <cellStyle name="Normal 7 2_CAPEM BY COUNTRY" xfId="1231"/>
    <cellStyle name="Normal 7 3" xfId="574"/>
    <cellStyle name="Normal 7 4" xfId="575"/>
    <cellStyle name="Normal 7 5" xfId="576"/>
    <cellStyle name="Normal 7_CAPEX" xfId="1232"/>
    <cellStyle name="Normal 8" xfId="257"/>
    <cellStyle name="Normal 8 2" xfId="577"/>
    <cellStyle name="Normal 8 2 2" xfId="578"/>
    <cellStyle name="Normal 8 2 3" xfId="579"/>
    <cellStyle name="Normal 8 2_CAPEM BY COUNTRY" xfId="1233"/>
    <cellStyle name="Normal 8 3" xfId="580"/>
    <cellStyle name="Normal 8 4" xfId="581"/>
    <cellStyle name="Normal 8_CAPEX" xfId="1234"/>
    <cellStyle name="Normal 9" xfId="258"/>
    <cellStyle name="Normal 9 2" xfId="582"/>
    <cellStyle name="Normal 9 2 2" xfId="583"/>
    <cellStyle name="Normal 9 2 3" xfId="584"/>
    <cellStyle name="Normal 9 2_CAPEM BY COUNTRY" xfId="1235"/>
    <cellStyle name="Normal 9 3" xfId="585"/>
    <cellStyle name="Normal 9 4" xfId="586"/>
    <cellStyle name="Normal 9_CAPEX" xfId="1236"/>
    <cellStyle name="Normal_Copie de CRD_CRC_domaine TER_ergo" xfId="2"/>
    <cellStyle name="Normal_IFRIC 12 classique" xfId="780"/>
    <cellStyle name="Normal_LTP 2010 - analysis v5" xfId="305"/>
    <cellStyle name="Note" xfId="259"/>
    <cellStyle name="Note 2" xfId="260"/>
    <cellStyle name="Note 3" xfId="261"/>
    <cellStyle name="Note 4" xfId="262"/>
    <cellStyle name="Note 5" xfId="263"/>
    <cellStyle name="Note_Action Plan" xfId="3342"/>
    <cellStyle name="Notes_multi" xfId="587"/>
    <cellStyle name="N䃯rmal_la䇲oux_larou᷸" xfId="264"/>
    <cellStyle name="Output" xfId="265"/>
    <cellStyle name="Output 2" xfId="266"/>
    <cellStyle name="Output 3" xfId="267"/>
    <cellStyle name="Output 4" xfId="268"/>
    <cellStyle name="Output 5" xfId="269"/>
    <cellStyle name="Output 6" xfId="270"/>
    <cellStyle name="Output_Action Plan" xfId="3343"/>
    <cellStyle name="p" xfId="588"/>
    <cellStyle name="p_Actualisation provision contrat déficitaire SNCM 2010 V Def" xfId="589"/>
    <cellStyle name="p_Actualisation provision contrat déficitaire SNCM 2010 V Def_B14_E2_2210" xfId="1237"/>
    <cellStyle name="p_Actualisation provision contrat déficitaire SNCM 2010 V Def_B14_E2_2210_Bridge_Zone_Sud" xfId="1238"/>
    <cellStyle name="p_Actualisation provision contrat déficitaire SNCM 2010 V Def_Bridge_Zone_Sud" xfId="1239"/>
    <cellStyle name="p_Actualisation provision contrat déficitaire SNCM 2011 V3 30 05 2011" xfId="590"/>
    <cellStyle name="p_Actualisation provision contrat déficitaire SNCM 2011 V3 30 05 2011_B14_E2_2210" xfId="1240"/>
    <cellStyle name="p_Actualisation provision contrat déficitaire SNCM 2011 V3 30 05 2011_B14_E2_2210_Bridge_Zone_Sud" xfId="1241"/>
    <cellStyle name="p_Actualisation provision contrat déficitaire SNCM 2011 V3 30 05 2011_Bridge_Zone_Sud" xfId="1242"/>
    <cellStyle name="p_B14_E2_2210" xfId="1243"/>
    <cellStyle name="p_B14_E2_2210_Bridge_Zone_Sud" xfId="1244"/>
    <cellStyle name="p_Bridge_Zone_Sud" xfId="1245"/>
    <cellStyle name="p_PPA SNCM - présentation CAC 28 06 2011" xfId="591"/>
    <cellStyle name="p_PPA SNCM - présentation CAC 28 06 2011_B14_E2_2210" xfId="1246"/>
    <cellStyle name="p_PPA SNCM - présentation CAC 28 06 2011_B14_E2_2210_Bridge_Zone_Sud" xfId="1247"/>
    <cellStyle name="p_PPA SNCM - présentation CAC 28 06 2011_Bridge_Zone_Sud" xfId="1248"/>
    <cellStyle name="pb_page_heading_LS" xfId="592"/>
    <cellStyle name="pe" xfId="593"/>
    <cellStyle name="per" xfId="594"/>
    <cellStyle name="Percent [0]" xfId="595"/>
    <cellStyle name="Percent [1]" xfId="596"/>
    <cellStyle name="Percent [2]" xfId="597"/>
    <cellStyle name="Percent 10" xfId="271"/>
    <cellStyle name="Percent 2" xfId="272"/>
    <cellStyle name="Percent 2 2" xfId="273"/>
    <cellStyle name="Percent 3" xfId="274"/>
    <cellStyle name="Percent 3 2" xfId="1249"/>
    <cellStyle name="Percent 32" xfId="1250"/>
    <cellStyle name="Percent 32 3" xfId="1251"/>
    <cellStyle name="Percent 4" xfId="275"/>
    <cellStyle name="Percent 5" xfId="276"/>
    <cellStyle name="Percent 5 2" xfId="277"/>
    <cellStyle name="Percent 5 3" xfId="278"/>
    <cellStyle name="Percent 5 4" xfId="279"/>
    <cellStyle name="Percent 5 5" xfId="280"/>
    <cellStyle name="Percent 6" xfId="281"/>
    <cellStyle name="Percent 7" xfId="282"/>
    <cellStyle name="Percent 8" xfId="283"/>
    <cellStyle name="Percent 9" xfId="284"/>
    <cellStyle name="Pound" xfId="598"/>
    <cellStyle name="Pound [1]" xfId="599"/>
    <cellStyle name="Pound [2]" xfId="600"/>
    <cellStyle name="Pound_CAPEM BY COUNTRY" xfId="1252"/>
    <cellStyle name="Pourcentage" xfId="778" builtinId="5"/>
    <cellStyle name="Pourcentage 10" xfId="601"/>
    <cellStyle name="Pourcentage 11" xfId="602"/>
    <cellStyle name="Pourcentage 12" xfId="603"/>
    <cellStyle name="Pourcentage 13" xfId="604"/>
    <cellStyle name="Pourcentage 14" xfId="605"/>
    <cellStyle name="Pourcentage 15" xfId="606"/>
    <cellStyle name="Pourcentage 16" xfId="607"/>
    <cellStyle name="Pourcentage 17" xfId="608"/>
    <cellStyle name="Pourcentage 17 2" xfId="1253"/>
    <cellStyle name="Pourcentage 18" xfId="609"/>
    <cellStyle name="Pourcentage 18 2" xfId="1254"/>
    <cellStyle name="Pourcentage 19" xfId="783"/>
    <cellStyle name="Pourcentage 2" xfId="285"/>
    <cellStyle name="Pourcentage 2 2" xfId="610"/>
    <cellStyle name="Pourcentage 2 3" xfId="611"/>
    <cellStyle name="Pourcentage 2 3 2" xfId="1255"/>
    <cellStyle name="Pourcentage 2 4" xfId="612"/>
    <cellStyle name="Pourcentage 2 5" xfId="613"/>
    <cellStyle name="Pourcentage 2 6" xfId="614"/>
    <cellStyle name="Pourcentage 2 7" xfId="615"/>
    <cellStyle name="Pourcentage 2 8" xfId="616"/>
    <cellStyle name="Pourcentage 3" xfId="286"/>
    <cellStyle name="Pourcentage 3 2" xfId="617"/>
    <cellStyle name="Pourcentage 4" xfId="4"/>
    <cellStyle name="Pourcentage 4 2" xfId="618"/>
    <cellStyle name="Pourcentage 5" xfId="619"/>
    <cellStyle name="Pourcentage 5 2" xfId="620"/>
    <cellStyle name="Pourcentage 6" xfId="621"/>
    <cellStyle name="Pourcentage 6 2" xfId="622"/>
    <cellStyle name="Pourcentage 7" xfId="623"/>
    <cellStyle name="Pourcentage 8" xfId="624"/>
    <cellStyle name="Pourcentage 8 2" xfId="625"/>
    <cellStyle name="Pourcentage 9" xfId="626"/>
    <cellStyle name="Prosenttia 10" xfId="1256"/>
    <cellStyle name="Prosenttia 2" xfId="1257"/>
    <cellStyle name="ptit" xfId="627"/>
    <cellStyle name="rat" xfId="628"/>
    <cellStyle name="rate" xfId="629"/>
    <cellStyle name="ratio" xfId="630"/>
    <cellStyle name="s" xfId="631"/>
    <cellStyle name="s_Actualisation provision contrat déficitaire SNCM 2010 V Def" xfId="632"/>
    <cellStyle name="s_Actualisation provision contrat déficitaire SNCM 2010 V Def_B14_E2_2210" xfId="1258"/>
    <cellStyle name="s_Actualisation provision contrat déficitaire SNCM 2010 V Def_B14_E2_2210_Bridge_Zone_Sud" xfId="1259"/>
    <cellStyle name="s_Actualisation provision contrat déficitaire SNCM 2010 V Def_Bridge_Zone_Sud" xfId="1260"/>
    <cellStyle name="s_Actualisation provision contrat déficitaire SNCM 2010 V Def_CAPEM BY COUNTRY" xfId="1261"/>
    <cellStyle name="s_Actualisation provision contrat déficitaire SNCM 2010 V Def_focus par entités CAFOPE2AMF" xfId="1262"/>
    <cellStyle name="s_Actualisation provision contrat déficitaire SNCM 2010 V Def_focus par entités CAFOPE2AMF_Bridge_Zone_Sud" xfId="1263"/>
    <cellStyle name="s_Actualisation provision contrat déficitaire SNCM 2010 V Def_Maquette PLT" xfId="1264"/>
    <cellStyle name="s_Actualisation provision contrat déficitaire SNCM 2010 V Def_Output" xfId="3371"/>
    <cellStyle name="s_Actualisation provision contrat déficitaire SNCM 2010 V Def_PAO-CAF-RESOP_04_13_pro_format_variante T1" xfId="1265"/>
    <cellStyle name="s_Actualisation provision contrat déficitaire SNCM 2010 V Def_PAO-CAF-RESOP_04_13_pro_format_variante T1_B14_E2_2210" xfId="1266"/>
    <cellStyle name="s_Actualisation provision contrat déficitaire SNCM 2010 V Def_PAO-CAF-RESOP_04_13_pro_format_variante T1_B14_E2_2210_Bridge_Zone_Sud" xfId="1267"/>
    <cellStyle name="s_Actualisation provision contrat déficitaire SNCM 2010 V Def_PAO-CAF-RESOP_04_13_pro_format_variante T1_Bridge_Zone_Sud" xfId="1268"/>
    <cellStyle name="s_Actualisation provision contrat déficitaire SNCM 2010 V Def_PAO-CAF-RESOP_06_13" xfId="1269"/>
    <cellStyle name="s_Actualisation provision contrat déficitaire SNCM 2010 V Def_PAO-CAF-RESOP_06_13_B14_E2_2210" xfId="1270"/>
    <cellStyle name="s_Actualisation provision contrat déficitaire SNCM 2010 V Def_PAO-CAF-RESOP_06_13_B14_E2_2210_Bridge_Zone_Sud" xfId="1271"/>
    <cellStyle name="s_Actualisation provision contrat déficitaire SNCM 2010 V Def_PAO-CAF-RESOP_06_13_Bridge_Zone_Sud" xfId="1272"/>
    <cellStyle name="s_Actualisation provision contrat déficitaire SNCM 2010 V Def_PAO-CAF-RESOP_08_13" xfId="1273"/>
    <cellStyle name="s_Actualisation provision contrat déficitaire SNCM 2010 V Def_PAO-CAF-RESOP_08_13_B14_E2_2210" xfId="1274"/>
    <cellStyle name="s_Actualisation provision contrat déficitaire SNCM 2010 V Def_PAO-CAF-RESOP_08_13_B14_E2_2210_Bridge_Zone_Sud" xfId="1275"/>
    <cellStyle name="s_Actualisation provision contrat déficitaire SNCM 2010 V Def_PAO-CAF-RESOP_08_13_Bridge_Zone_Sud" xfId="1276"/>
    <cellStyle name="s_Actualisation provision contrat déficitaire SNCM 2010 V Def_PAO-CAF-RESOP_09_13" xfId="1277"/>
    <cellStyle name="s_Actualisation provision contrat déficitaire SNCM 2010 V Def_PAO-CAF-RESOP_09_13_Bridge_Zone_Sud" xfId="1278"/>
    <cellStyle name="s_Actualisation provision contrat déficitaire SNCM 2010 V Def_PAO-CAF-RESOP_09_2013_Zone_IDF (version 2)" xfId="1279"/>
    <cellStyle name="s_Actualisation provision contrat déficitaire SNCM 2010 V Def_PAO-CAF-RESOP_10_12" xfId="1280"/>
    <cellStyle name="s_Actualisation provision contrat déficitaire SNCM 2010 V Def_PAO-CAF-RESOP_10_12_Bridge_Zone_Sud" xfId="1281"/>
    <cellStyle name="s_Actualisation provision contrat déficitaire SNCM 2010 V Def_PAO-CAF-RESOP_10_12_focus par entités CAFOP" xfId="1282"/>
    <cellStyle name="s_Actualisation provision contrat déficitaire SNCM 2010 V Def_PAO-CAF-RESOP_10_12_focus par entités CAFOP_Bridge_Zone_Sud" xfId="1283"/>
    <cellStyle name="s_Actualisation provision contrat déficitaire SNCM 2010 V Def_PAO-CAF-RESOP_11_13" xfId="1284"/>
    <cellStyle name="s_Actualisation provision contrat déficitaire SNCM 2010 V Def_PAO-CAF-RESOP_B13" xfId="1285"/>
    <cellStyle name="s_Actualisation provision contrat déficitaire SNCM 2010 V Def_PAO-CAF-RESOP_B13_Bridge_Zone_Sud" xfId="1286"/>
    <cellStyle name="s_Actualisation provision contrat déficitaire SNCM 2010 V Def_PAO-CAF-RESOP_B13_focus par entités CAFOP" xfId="1287"/>
    <cellStyle name="s_Actualisation provision contrat déficitaire SNCM 2010 V Def_PAO-CAF-RESOP_B13_focus par entités CAFOP_Bridge_Zone_Sud" xfId="1288"/>
    <cellStyle name="s_Actualisation provision contrat déficitaire SNCM 2010 V Def_PAO-CAF-RESOP_B2014" xfId="1289"/>
    <cellStyle name="s_Actualisation provision contrat déficitaire SNCM 2010 V Def_PAO-CAF-RESOP_B2014_Bridge_Zone_Sud" xfId="1290"/>
    <cellStyle name="s_Actualisation provision contrat déficitaire SNCM 2010 V Def_PAO-CAF-RESOP_B2014_v2" xfId="1291"/>
    <cellStyle name="s_Actualisation provision contrat déficitaire SNCM 2010 V Def_PAO-CAF-RESOP_E2_13" xfId="1292"/>
    <cellStyle name="s_Actualisation provision contrat déficitaire SNCM 2010 V Def_PAO-CAF-RESOP_E2_13_B14_E2_2210" xfId="1293"/>
    <cellStyle name="s_Actualisation provision contrat déficitaire SNCM 2010 V Def_PAO-CAF-RESOP_E2_13_B14_E2_2210_Bridge_Zone_Sud" xfId="1294"/>
    <cellStyle name="s_Actualisation provision contrat déficitaire SNCM 2010 V Def_PAO-CAF-RESOP_E2_13_Bridge_Zone_Sud" xfId="1295"/>
    <cellStyle name="s_Actualisation provision contrat déficitaire SNCM 2010 V Def_PAO-CAF-RESOP_E2_2013_03_10_19H" xfId="1296"/>
    <cellStyle name="s_Actualisation provision contrat déficitaire SNCM 2010 V Def_PAO-CAF-RESOP_E2_2013_03_10_19H_Bridge_Zone_Sud" xfId="1297"/>
    <cellStyle name="s_Actualisation provision contrat déficitaire SNCM 2010 V Def_PPA" xfId="1298"/>
    <cellStyle name="s_Actualisation provision contrat déficitaire SNCM 2010 V Def_RESOP bef CICE&amp;PPA&amp;RepartHO" xfId="1299"/>
    <cellStyle name="s_Actualisation provision contrat déficitaire SNCM 2010 V Def_Synthèse_Présentation_conso_retraitée" xfId="1300"/>
    <cellStyle name="s_Actualisation provision contrat déficitaire SNCM 2011 V3 30 05 2011" xfId="633"/>
    <cellStyle name="s_Actualisation provision contrat déficitaire SNCM 2011 V3 30 05 2011_B14_E2_2210" xfId="1301"/>
    <cellStyle name="s_Actualisation provision contrat déficitaire SNCM 2011 V3 30 05 2011_B14_E2_2210_Bridge_Zone_Sud" xfId="1302"/>
    <cellStyle name="s_Actualisation provision contrat déficitaire SNCM 2011 V3 30 05 2011_Bridge_Zone_Sud" xfId="1303"/>
    <cellStyle name="s_Actualisation provision contrat déficitaire SNCM 2011 V3 30 05 2011_CAPEM BY COUNTRY" xfId="1304"/>
    <cellStyle name="s_Actualisation provision contrat déficitaire SNCM 2011 V3 30 05 2011_focus par entités CAFOPE2AMF" xfId="1305"/>
    <cellStyle name="s_Actualisation provision contrat déficitaire SNCM 2011 V3 30 05 2011_focus par entités CAFOPE2AMF_Bridge_Zone_Sud" xfId="1306"/>
    <cellStyle name="s_Actualisation provision contrat déficitaire SNCM 2011 V3 30 05 2011_Maquette PLT" xfId="1307"/>
    <cellStyle name="s_Actualisation provision contrat déficitaire SNCM 2011 V3 30 05 2011_Output" xfId="3372"/>
    <cellStyle name="s_Actualisation provision contrat déficitaire SNCM 2011 V3 30 05 2011_PAO-CAF-RESOP_04_13_pro_format_variante T1" xfId="1308"/>
    <cellStyle name="s_Actualisation provision contrat déficitaire SNCM 2011 V3 30 05 2011_PAO-CAF-RESOP_04_13_pro_format_variante T1_B14_E2_2210" xfId="1309"/>
    <cellStyle name="s_Actualisation provision contrat déficitaire SNCM 2011 V3 30 05 2011_PAO-CAF-RESOP_04_13_pro_format_variante T1_B14_E2_2210_Bridge_Zone_Sud" xfId="1310"/>
    <cellStyle name="s_Actualisation provision contrat déficitaire SNCM 2011 V3 30 05 2011_PAO-CAF-RESOP_04_13_pro_format_variante T1_Bridge_Zone_Sud" xfId="1311"/>
    <cellStyle name="s_Actualisation provision contrat déficitaire SNCM 2011 V3 30 05 2011_PAO-CAF-RESOP_06_13" xfId="1312"/>
    <cellStyle name="s_Actualisation provision contrat déficitaire SNCM 2011 V3 30 05 2011_PAO-CAF-RESOP_06_13_B14_E2_2210" xfId="1313"/>
    <cellStyle name="s_Actualisation provision contrat déficitaire SNCM 2011 V3 30 05 2011_PAO-CAF-RESOP_06_13_B14_E2_2210_Bridge_Zone_Sud" xfId="1314"/>
    <cellStyle name="s_Actualisation provision contrat déficitaire SNCM 2011 V3 30 05 2011_PAO-CAF-RESOP_06_13_Bridge_Zone_Sud" xfId="1315"/>
    <cellStyle name="s_Actualisation provision contrat déficitaire SNCM 2011 V3 30 05 2011_PAO-CAF-RESOP_08_13" xfId="1316"/>
    <cellStyle name="s_Actualisation provision contrat déficitaire SNCM 2011 V3 30 05 2011_PAO-CAF-RESOP_08_13_B14_E2_2210" xfId="1317"/>
    <cellStyle name="s_Actualisation provision contrat déficitaire SNCM 2011 V3 30 05 2011_PAO-CAF-RESOP_08_13_B14_E2_2210_Bridge_Zone_Sud" xfId="1318"/>
    <cellStyle name="s_Actualisation provision contrat déficitaire SNCM 2011 V3 30 05 2011_PAO-CAF-RESOP_08_13_Bridge_Zone_Sud" xfId="1319"/>
    <cellStyle name="s_Actualisation provision contrat déficitaire SNCM 2011 V3 30 05 2011_PAO-CAF-RESOP_09_13" xfId="1320"/>
    <cellStyle name="s_Actualisation provision contrat déficitaire SNCM 2011 V3 30 05 2011_PAO-CAF-RESOP_09_13_Bridge_Zone_Sud" xfId="1321"/>
    <cellStyle name="s_Actualisation provision contrat déficitaire SNCM 2011 V3 30 05 2011_PAO-CAF-RESOP_09_2013_Zone_IDF (version 2)" xfId="1322"/>
    <cellStyle name="s_Actualisation provision contrat déficitaire SNCM 2011 V3 30 05 2011_PAO-CAF-RESOP_10_12" xfId="1323"/>
    <cellStyle name="s_Actualisation provision contrat déficitaire SNCM 2011 V3 30 05 2011_PAO-CAF-RESOP_10_12_Bridge_Zone_Sud" xfId="1324"/>
    <cellStyle name="s_Actualisation provision contrat déficitaire SNCM 2011 V3 30 05 2011_PAO-CAF-RESOP_10_12_focus par entités CAFOP" xfId="1325"/>
    <cellStyle name="s_Actualisation provision contrat déficitaire SNCM 2011 V3 30 05 2011_PAO-CAF-RESOP_10_12_focus par entités CAFOP_Bridge_Zone_Sud" xfId="1326"/>
    <cellStyle name="s_Actualisation provision contrat déficitaire SNCM 2011 V3 30 05 2011_PAO-CAF-RESOP_11_13" xfId="1327"/>
    <cellStyle name="s_Actualisation provision contrat déficitaire SNCM 2011 V3 30 05 2011_PAO-CAF-RESOP_B13" xfId="1328"/>
    <cellStyle name="s_Actualisation provision contrat déficitaire SNCM 2011 V3 30 05 2011_PAO-CAF-RESOP_B13_Bridge_Zone_Sud" xfId="1329"/>
    <cellStyle name="s_Actualisation provision contrat déficitaire SNCM 2011 V3 30 05 2011_PAO-CAF-RESOP_B13_focus par entités CAFOP" xfId="1330"/>
    <cellStyle name="s_Actualisation provision contrat déficitaire SNCM 2011 V3 30 05 2011_PAO-CAF-RESOP_B13_focus par entités CAFOP_Bridge_Zone_Sud" xfId="1331"/>
    <cellStyle name="s_Actualisation provision contrat déficitaire SNCM 2011 V3 30 05 2011_PAO-CAF-RESOP_B2014" xfId="1332"/>
    <cellStyle name="s_Actualisation provision contrat déficitaire SNCM 2011 V3 30 05 2011_PAO-CAF-RESOP_B2014_Bridge_Zone_Sud" xfId="1333"/>
    <cellStyle name="s_Actualisation provision contrat déficitaire SNCM 2011 V3 30 05 2011_PAO-CAF-RESOP_B2014_v2" xfId="1334"/>
    <cellStyle name="s_Actualisation provision contrat déficitaire SNCM 2011 V3 30 05 2011_PAO-CAF-RESOP_E2_13" xfId="1335"/>
    <cellStyle name="s_Actualisation provision contrat déficitaire SNCM 2011 V3 30 05 2011_PAO-CAF-RESOP_E2_13_B14_E2_2210" xfId="1336"/>
    <cellStyle name="s_Actualisation provision contrat déficitaire SNCM 2011 V3 30 05 2011_PAO-CAF-RESOP_E2_13_B14_E2_2210_Bridge_Zone_Sud" xfId="1337"/>
    <cellStyle name="s_Actualisation provision contrat déficitaire SNCM 2011 V3 30 05 2011_PAO-CAF-RESOP_E2_13_Bridge_Zone_Sud" xfId="1338"/>
    <cellStyle name="s_Actualisation provision contrat déficitaire SNCM 2011 V3 30 05 2011_PAO-CAF-RESOP_E2_2013_03_10_19H" xfId="1339"/>
    <cellStyle name="s_Actualisation provision contrat déficitaire SNCM 2011 V3 30 05 2011_PAO-CAF-RESOP_E2_2013_03_10_19H_Bridge_Zone_Sud" xfId="1340"/>
    <cellStyle name="s_Actualisation provision contrat déficitaire SNCM 2011 V3 30 05 2011_PPA" xfId="1341"/>
    <cellStyle name="s_Actualisation provision contrat déficitaire SNCM 2011 V3 30 05 2011_RESOP bef CICE&amp;PPA&amp;RepartHO" xfId="1342"/>
    <cellStyle name="s_Actualisation provision contrat déficitaire SNCM 2011 V3 30 05 2011_Synthèse_Présentation_conso_retraitée" xfId="1343"/>
    <cellStyle name="s_Assumptions" xfId="634"/>
    <cellStyle name="s_Assumptions_Actualisation provision contrat déficitaire SNCM 2010 V Def" xfId="635"/>
    <cellStyle name="s_Assumptions_Actualisation provision contrat déficitaire SNCM 2010 V Def_B14_E2_2210" xfId="1344"/>
    <cellStyle name="s_Assumptions_Actualisation provision contrat déficitaire SNCM 2010 V Def_B14_E2_2210_Bridge_Zone_Sud" xfId="1345"/>
    <cellStyle name="s_Assumptions_Actualisation provision contrat déficitaire SNCM 2010 V Def_Bridge_Zone_Sud" xfId="1346"/>
    <cellStyle name="s_Assumptions_Actualisation provision contrat déficitaire SNCM 2010 V Def_CAPEM BY COUNTRY" xfId="1347"/>
    <cellStyle name="s_Assumptions_Actualisation provision contrat déficitaire SNCM 2010 V Def_focus par entités CAFOPE2AMF" xfId="1348"/>
    <cellStyle name="s_Assumptions_Actualisation provision contrat déficitaire SNCM 2010 V Def_focus par entités CAFOPE2AMF_Bridge_Zone_Sud" xfId="1349"/>
    <cellStyle name="s_Assumptions_Actualisation provision contrat déficitaire SNCM 2010 V Def_Maquette PLT" xfId="1350"/>
    <cellStyle name="s_Assumptions_Actualisation provision contrat déficitaire SNCM 2010 V Def_Output" xfId="3373"/>
    <cellStyle name="s_Assumptions_Actualisation provision contrat déficitaire SNCM 2010 V Def_PAO-CAF-RESOP_04_13_pro_format_variante T1" xfId="1351"/>
    <cellStyle name="s_Assumptions_Actualisation provision contrat déficitaire SNCM 2010 V Def_PAO-CAF-RESOP_04_13_pro_format_variante T1_B14_E2_2210" xfId="1352"/>
    <cellStyle name="s_Assumptions_Actualisation provision contrat déficitaire SNCM 2010 V Def_PAO-CAF-RESOP_04_13_pro_format_variante T1_B14_E2_2210_Bridge_Zone_Sud" xfId="1353"/>
    <cellStyle name="s_Assumptions_Actualisation provision contrat déficitaire SNCM 2010 V Def_PAO-CAF-RESOP_04_13_pro_format_variante T1_Bridge_Zone_Sud" xfId="1354"/>
    <cellStyle name="s_Assumptions_Actualisation provision contrat déficitaire SNCM 2010 V Def_PAO-CAF-RESOP_06_13" xfId="1355"/>
    <cellStyle name="s_Assumptions_Actualisation provision contrat déficitaire SNCM 2010 V Def_PAO-CAF-RESOP_06_13_B14_E2_2210" xfId="1356"/>
    <cellStyle name="s_Assumptions_Actualisation provision contrat déficitaire SNCM 2010 V Def_PAO-CAF-RESOP_06_13_B14_E2_2210_Bridge_Zone_Sud" xfId="1357"/>
    <cellStyle name="s_Assumptions_Actualisation provision contrat déficitaire SNCM 2010 V Def_PAO-CAF-RESOP_06_13_Bridge_Zone_Sud" xfId="1358"/>
    <cellStyle name="s_Assumptions_Actualisation provision contrat déficitaire SNCM 2010 V Def_PAO-CAF-RESOP_08_13" xfId="1359"/>
    <cellStyle name="s_Assumptions_Actualisation provision contrat déficitaire SNCM 2010 V Def_PAO-CAF-RESOP_08_13_B14_E2_2210" xfId="1360"/>
    <cellStyle name="s_Assumptions_Actualisation provision contrat déficitaire SNCM 2010 V Def_PAO-CAF-RESOP_08_13_B14_E2_2210_Bridge_Zone_Sud" xfId="1361"/>
    <cellStyle name="s_Assumptions_Actualisation provision contrat déficitaire SNCM 2010 V Def_PAO-CAF-RESOP_08_13_Bridge_Zone_Sud" xfId="1362"/>
    <cellStyle name="s_Assumptions_Actualisation provision contrat déficitaire SNCM 2010 V Def_PAO-CAF-RESOP_09_13" xfId="1363"/>
    <cellStyle name="s_Assumptions_Actualisation provision contrat déficitaire SNCM 2010 V Def_PAO-CAF-RESOP_09_13_Bridge_Zone_Sud" xfId="1364"/>
    <cellStyle name="s_Assumptions_Actualisation provision contrat déficitaire SNCM 2010 V Def_PAO-CAF-RESOP_09_2013_Zone_IDF (version 2)" xfId="1365"/>
    <cellStyle name="s_Assumptions_Actualisation provision contrat déficitaire SNCM 2010 V Def_PAO-CAF-RESOP_10_12" xfId="1366"/>
    <cellStyle name="s_Assumptions_Actualisation provision contrat déficitaire SNCM 2010 V Def_PAO-CAF-RESOP_10_12_Bridge_Zone_Sud" xfId="1367"/>
    <cellStyle name="s_Assumptions_Actualisation provision contrat déficitaire SNCM 2010 V Def_PAO-CAF-RESOP_10_12_focus par entités CAFOP" xfId="1368"/>
    <cellStyle name="s_Assumptions_Actualisation provision contrat déficitaire SNCM 2010 V Def_PAO-CAF-RESOP_10_12_focus par entités CAFOP_Bridge_Zone_Sud" xfId="1369"/>
    <cellStyle name="s_Assumptions_Actualisation provision contrat déficitaire SNCM 2010 V Def_PAO-CAF-RESOP_11_13" xfId="1370"/>
    <cellStyle name="s_Assumptions_Actualisation provision contrat déficitaire SNCM 2010 V Def_PAO-CAF-RESOP_B13" xfId="1371"/>
    <cellStyle name="s_Assumptions_Actualisation provision contrat déficitaire SNCM 2010 V Def_PAO-CAF-RESOP_B13_Bridge_Zone_Sud" xfId="1372"/>
    <cellStyle name="s_Assumptions_Actualisation provision contrat déficitaire SNCM 2010 V Def_PAO-CAF-RESOP_B13_focus par entités CAFOP" xfId="1373"/>
    <cellStyle name="s_Assumptions_Actualisation provision contrat déficitaire SNCM 2010 V Def_PAO-CAF-RESOP_B13_focus par entités CAFOP_Bridge_Zone_Sud" xfId="1374"/>
    <cellStyle name="s_Assumptions_Actualisation provision contrat déficitaire SNCM 2010 V Def_PAO-CAF-RESOP_B2014" xfId="1375"/>
    <cellStyle name="s_Assumptions_Actualisation provision contrat déficitaire SNCM 2010 V Def_PAO-CAF-RESOP_B2014_Bridge_Zone_Sud" xfId="1376"/>
    <cellStyle name="s_Assumptions_Actualisation provision contrat déficitaire SNCM 2010 V Def_PAO-CAF-RESOP_B2014_v2" xfId="1377"/>
    <cellStyle name="s_Assumptions_Actualisation provision contrat déficitaire SNCM 2010 V Def_PAO-CAF-RESOP_E2_13" xfId="1378"/>
    <cellStyle name="s_Assumptions_Actualisation provision contrat déficitaire SNCM 2010 V Def_PAO-CAF-RESOP_E2_13_B14_E2_2210" xfId="1379"/>
    <cellStyle name="s_Assumptions_Actualisation provision contrat déficitaire SNCM 2010 V Def_PAO-CAF-RESOP_E2_13_B14_E2_2210_Bridge_Zone_Sud" xfId="1380"/>
    <cellStyle name="s_Assumptions_Actualisation provision contrat déficitaire SNCM 2010 V Def_PAO-CAF-RESOP_E2_13_Bridge_Zone_Sud" xfId="1381"/>
    <cellStyle name="s_Assumptions_Actualisation provision contrat déficitaire SNCM 2010 V Def_PAO-CAF-RESOP_E2_2013_03_10_19H" xfId="1382"/>
    <cellStyle name="s_Assumptions_Actualisation provision contrat déficitaire SNCM 2010 V Def_PAO-CAF-RESOP_E2_2013_03_10_19H_Bridge_Zone_Sud" xfId="1383"/>
    <cellStyle name="s_Assumptions_Actualisation provision contrat déficitaire SNCM 2010 V Def_PPA" xfId="1384"/>
    <cellStyle name="s_Assumptions_Actualisation provision contrat déficitaire SNCM 2010 V Def_RESOP bef CICE&amp;PPA&amp;RepartHO" xfId="1385"/>
    <cellStyle name="s_Assumptions_Actualisation provision contrat déficitaire SNCM 2010 V Def_Synthèse_Présentation_conso_retraitée" xfId="1386"/>
    <cellStyle name="s_Assumptions_Actualisation provision contrat déficitaire SNCM 2011 V3 30 05 2011" xfId="636"/>
    <cellStyle name="s_Assumptions_Actualisation provision contrat déficitaire SNCM 2011 V3 30 05 2011_B14_E2_2210" xfId="1387"/>
    <cellStyle name="s_Assumptions_Actualisation provision contrat déficitaire SNCM 2011 V3 30 05 2011_B14_E2_2210_Bridge_Zone_Sud" xfId="1388"/>
    <cellStyle name="s_Assumptions_Actualisation provision contrat déficitaire SNCM 2011 V3 30 05 2011_Bridge_Zone_Sud" xfId="1389"/>
    <cellStyle name="s_Assumptions_Actualisation provision contrat déficitaire SNCM 2011 V3 30 05 2011_CAPEM BY COUNTRY" xfId="1390"/>
    <cellStyle name="s_Assumptions_Actualisation provision contrat déficitaire SNCM 2011 V3 30 05 2011_focus par entités CAFOPE2AMF" xfId="1391"/>
    <cellStyle name="s_Assumptions_Actualisation provision contrat déficitaire SNCM 2011 V3 30 05 2011_focus par entités CAFOPE2AMF_Bridge_Zone_Sud" xfId="1392"/>
    <cellStyle name="s_Assumptions_Actualisation provision contrat déficitaire SNCM 2011 V3 30 05 2011_Maquette PLT" xfId="1393"/>
    <cellStyle name="s_Assumptions_Actualisation provision contrat déficitaire SNCM 2011 V3 30 05 2011_Output" xfId="3374"/>
    <cellStyle name="s_Assumptions_Actualisation provision contrat déficitaire SNCM 2011 V3 30 05 2011_PAO-CAF-RESOP_04_13_pro_format_variante T1" xfId="1394"/>
    <cellStyle name="s_Assumptions_Actualisation provision contrat déficitaire SNCM 2011 V3 30 05 2011_PAO-CAF-RESOP_04_13_pro_format_variante T1_B14_E2_2210" xfId="1395"/>
    <cellStyle name="s_Assumptions_Actualisation provision contrat déficitaire SNCM 2011 V3 30 05 2011_PAO-CAF-RESOP_04_13_pro_format_variante T1_B14_E2_2210_Bridge_Zone_Sud" xfId="1396"/>
    <cellStyle name="s_Assumptions_Actualisation provision contrat déficitaire SNCM 2011 V3 30 05 2011_PAO-CAF-RESOP_04_13_pro_format_variante T1_Bridge_Zone_Sud" xfId="1397"/>
    <cellStyle name="s_Assumptions_Actualisation provision contrat déficitaire SNCM 2011 V3 30 05 2011_PAO-CAF-RESOP_06_13" xfId="1398"/>
    <cellStyle name="s_Assumptions_Actualisation provision contrat déficitaire SNCM 2011 V3 30 05 2011_PAO-CAF-RESOP_06_13_B14_E2_2210" xfId="1399"/>
    <cellStyle name="s_Assumptions_Actualisation provision contrat déficitaire SNCM 2011 V3 30 05 2011_PAO-CAF-RESOP_06_13_B14_E2_2210_Bridge_Zone_Sud" xfId="1400"/>
    <cellStyle name="s_Assumptions_Actualisation provision contrat déficitaire SNCM 2011 V3 30 05 2011_PAO-CAF-RESOP_06_13_Bridge_Zone_Sud" xfId="1401"/>
    <cellStyle name="s_Assumptions_Actualisation provision contrat déficitaire SNCM 2011 V3 30 05 2011_PAO-CAF-RESOP_08_13" xfId="1402"/>
    <cellStyle name="s_Assumptions_Actualisation provision contrat déficitaire SNCM 2011 V3 30 05 2011_PAO-CAF-RESOP_08_13_B14_E2_2210" xfId="1403"/>
    <cellStyle name="s_Assumptions_Actualisation provision contrat déficitaire SNCM 2011 V3 30 05 2011_PAO-CAF-RESOP_08_13_B14_E2_2210_Bridge_Zone_Sud" xfId="1404"/>
    <cellStyle name="s_Assumptions_Actualisation provision contrat déficitaire SNCM 2011 V3 30 05 2011_PAO-CAF-RESOP_08_13_Bridge_Zone_Sud" xfId="1405"/>
    <cellStyle name="s_Assumptions_Actualisation provision contrat déficitaire SNCM 2011 V3 30 05 2011_PAO-CAF-RESOP_09_13" xfId="1406"/>
    <cellStyle name="s_Assumptions_Actualisation provision contrat déficitaire SNCM 2011 V3 30 05 2011_PAO-CAF-RESOP_09_13_Bridge_Zone_Sud" xfId="1407"/>
    <cellStyle name="s_Assumptions_Actualisation provision contrat déficitaire SNCM 2011 V3 30 05 2011_PAO-CAF-RESOP_09_2013_Zone_IDF (version 2)" xfId="1408"/>
    <cellStyle name="s_Assumptions_Actualisation provision contrat déficitaire SNCM 2011 V3 30 05 2011_PAO-CAF-RESOP_10_12" xfId="1409"/>
    <cellStyle name="s_Assumptions_Actualisation provision contrat déficitaire SNCM 2011 V3 30 05 2011_PAO-CAF-RESOP_10_12_Bridge_Zone_Sud" xfId="1410"/>
    <cellStyle name="s_Assumptions_Actualisation provision contrat déficitaire SNCM 2011 V3 30 05 2011_PAO-CAF-RESOP_10_12_focus par entités CAFOP" xfId="1411"/>
    <cellStyle name="s_Assumptions_Actualisation provision contrat déficitaire SNCM 2011 V3 30 05 2011_PAO-CAF-RESOP_10_12_focus par entités CAFOP_Bridge_Zone_Sud" xfId="1412"/>
    <cellStyle name="s_Assumptions_Actualisation provision contrat déficitaire SNCM 2011 V3 30 05 2011_PAO-CAF-RESOP_11_13" xfId="1413"/>
    <cellStyle name="s_Assumptions_Actualisation provision contrat déficitaire SNCM 2011 V3 30 05 2011_PAO-CAF-RESOP_B13" xfId="1414"/>
    <cellStyle name="s_Assumptions_Actualisation provision contrat déficitaire SNCM 2011 V3 30 05 2011_PAO-CAF-RESOP_B13_Bridge_Zone_Sud" xfId="1415"/>
    <cellStyle name="s_Assumptions_Actualisation provision contrat déficitaire SNCM 2011 V3 30 05 2011_PAO-CAF-RESOP_B13_focus par entités CAFOP" xfId="1416"/>
    <cellStyle name="s_Assumptions_Actualisation provision contrat déficitaire SNCM 2011 V3 30 05 2011_PAO-CAF-RESOP_B13_focus par entités CAFOP_Bridge_Zone_Sud" xfId="1417"/>
    <cellStyle name="s_Assumptions_Actualisation provision contrat déficitaire SNCM 2011 V3 30 05 2011_PAO-CAF-RESOP_B2014" xfId="1418"/>
    <cellStyle name="s_Assumptions_Actualisation provision contrat déficitaire SNCM 2011 V3 30 05 2011_PAO-CAF-RESOP_B2014_Bridge_Zone_Sud" xfId="1419"/>
    <cellStyle name="s_Assumptions_Actualisation provision contrat déficitaire SNCM 2011 V3 30 05 2011_PAO-CAF-RESOP_B2014_v2" xfId="1420"/>
    <cellStyle name="s_Assumptions_Actualisation provision contrat déficitaire SNCM 2011 V3 30 05 2011_PAO-CAF-RESOP_E2_13" xfId="1421"/>
    <cellStyle name="s_Assumptions_Actualisation provision contrat déficitaire SNCM 2011 V3 30 05 2011_PAO-CAF-RESOP_E2_13_B14_E2_2210" xfId="1422"/>
    <cellStyle name="s_Assumptions_Actualisation provision contrat déficitaire SNCM 2011 V3 30 05 2011_PAO-CAF-RESOP_E2_13_B14_E2_2210_Bridge_Zone_Sud" xfId="1423"/>
    <cellStyle name="s_Assumptions_Actualisation provision contrat déficitaire SNCM 2011 V3 30 05 2011_PAO-CAF-RESOP_E2_13_Bridge_Zone_Sud" xfId="1424"/>
    <cellStyle name="s_Assumptions_Actualisation provision contrat déficitaire SNCM 2011 V3 30 05 2011_PAO-CAF-RESOP_E2_2013_03_10_19H" xfId="1425"/>
    <cellStyle name="s_Assumptions_Actualisation provision contrat déficitaire SNCM 2011 V3 30 05 2011_PAO-CAF-RESOP_E2_2013_03_10_19H_Bridge_Zone_Sud" xfId="1426"/>
    <cellStyle name="s_Assumptions_Actualisation provision contrat déficitaire SNCM 2011 V3 30 05 2011_PPA" xfId="1427"/>
    <cellStyle name="s_Assumptions_Actualisation provision contrat déficitaire SNCM 2011 V3 30 05 2011_RESOP bef CICE&amp;PPA&amp;RepartHO" xfId="1428"/>
    <cellStyle name="s_Assumptions_Actualisation provision contrat déficitaire SNCM 2011 V3 30 05 2011_Synthèse_Présentation_conso_retraitée" xfId="1429"/>
    <cellStyle name="s_Assumptions_B14_E2_2210" xfId="1430"/>
    <cellStyle name="s_Assumptions_B14_E2_2210_Bridge_Zone_Sud" xfId="1431"/>
    <cellStyle name="s_Assumptions_BFR_TD_2014.02" xfId="1432"/>
    <cellStyle name="s_Assumptions_Bridge_Zone_Nord" xfId="1433"/>
    <cellStyle name="s_Assumptions_CAPEM BY COUNTRY" xfId="1434"/>
    <cellStyle name="s_Assumptions_LI819L_B13" xfId="637"/>
    <cellStyle name="s_Assumptions_LI819L_B13_CAPEM BY COUNTRY" xfId="1435"/>
    <cellStyle name="s_Assumptions_LI819L_B13_Maquette PLT" xfId="1436"/>
    <cellStyle name="s_Assumptions_LI819L_B13_Output" xfId="3375"/>
    <cellStyle name="s_Assumptions_LI819L_B13_PPA" xfId="1437"/>
    <cellStyle name="s_Assumptions_LI819L_B13_RESOP bef CICE&amp;PPA&amp;RepartHO" xfId="1438"/>
    <cellStyle name="s_Assumptions_Maquette PLT" xfId="1439"/>
    <cellStyle name="s_Assumptions_Output" xfId="3376"/>
    <cellStyle name="s_Assumptions_PAO-CAF-RESOP_14_01_13 à 20h" xfId="638"/>
    <cellStyle name="s_Assumptions_PAO-CAF-RESOP_14_01_13 à 20h_CAPEM BY COUNTRY" xfId="1440"/>
    <cellStyle name="s_Assumptions_PAO-CAF-RESOP_14_01_13 à 20h_Maquette PLT" xfId="1441"/>
    <cellStyle name="s_Assumptions_PAO-CAF-RESOP_14_01_13 à 20h_Output" xfId="3377"/>
    <cellStyle name="s_Assumptions_PAO-CAF-RESOP_14_01_13 à 20h_PPA" xfId="1442"/>
    <cellStyle name="s_Assumptions_PAO-CAF-RESOP_14_01_13 à 20h_RESOP bef CICE&amp;PPA&amp;RepartHO" xfId="1443"/>
    <cellStyle name="s_Assumptions_PAO-CAF-RESOP_2014.02" xfId="1444"/>
    <cellStyle name="s_Assumptions_PAO-CAF-RESOP_2014.02_Bridge_Zone_Sud" xfId="1445"/>
    <cellStyle name="s_Assumptions_PPA" xfId="1446"/>
    <cellStyle name="s_Assumptions_RESOP bef CICE&amp;PPA&amp;RepartHO" xfId="1447"/>
    <cellStyle name="s_B_S_Ratios _B" xfId="639"/>
    <cellStyle name="s_B_S_Ratios _B_Actualisation provision contrat déficitaire SNCM 2010 V Def" xfId="640"/>
    <cellStyle name="s_B_S_Ratios _B_Actualisation provision contrat déficitaire SNCM 2010 V Def_B14_E2_2210" xfId="1448"/>
    <cellStyle name="s_B_S_Ratios _B_Actualisation provision contrat déficitaire SNCM 2010 V Def_B14_E2_2210_Bridge_Zone_Sud" xfId="1449"/>
    <cellStyle name="s_B_S_Ratios _B_Actualisation provision contrat déficitaire SNCM 2010 V Def_Bridge_Zone_Sud" xfId="1450"/>
    <cellStyle name="s_B_S_Ratios _B_Actualisation provision contrat déficitaire SNCM 2010 V Def_CAPEM BY COUNTRY" xfId="1451"/>
    <cellStyle name="s_B_S_Ratios _B_Actualisation provision contrat déficitaire SNCM 2010 V Def_focus par entités CAFOPE2AMF" xfId="1452"/>
    <cellStyle name="s_B_S_Ratios _B_Actualisation provision contrat déficitaire SNCM 2010 V Def_focus par entités CAFOPE2AMF_Bridge_Zone_Sud" xfId="1453"/>
    <cellStyle name="s_B_S_Ratios _B_Actualisation provision contrat déficitaire SNCM 2010 V Def_Maquette PLT" xfId="1454"/>
    <cellStyle name="s_B_S_Ratios _B_Actualisation provision contrat déficitaire SNCM 2010 V Def_Output" xfId="3378"/>
    <cellStyle name="s_B_S_Ratios _B_Actualisation provision contrat déficitaire SNCM 2010 V Def_PAO-CAF-RESOP_04_13_pro_format_variante T1" xfId="1455"/>
    <cellStyle name="s_B_S_Ratios _B_Actualisation provision contrat déficitaire SNCM 2010 V Def_PAO-CAF-RESOP_04_13_pro_format_variante T1_B14_E2_2210" xfId="1456"/>
    <cellStyle name="s_B_S_Ratios _B_Actualisation provision contrat déficitaire SNCM 2010 V Def_PAO-CAF-RESOP_04_13_pro_format_variante T1_B14_E2_2210_Bridge_Zone_Sud" xfId="1457"/>
    <cellStyle name="s_B_S_Ratios _B_Actualisation provision contrat déficitaire SNCM 2010 V Def_PAO-CAF-RESOP_04_13_pro_format_variante T1_Bridge_Zone_Sud" xfId="1458"/>
    <cellStyle name="s_B_S_Ratios _B_Actualisation provision contrat déficitaire SNCM 2010 V Def_PAO-CAF-RESOP_06_13" xfId="1459"/>
    <cellStyle name="s_B_S_Ratios _B_Actualisation provision contrat déficitaire SNCM 2010 V Def_PAO-CAF-RESOP_06_13_B14_E2_2210" xfId="1460"/>
    <cellStyle name="s_B_S_Ratios _B_Actualisation provision contrat déficitaire SNCM 2010 V Def_PAO-CAF-RESOP_06_13_B14_E2_2210_Bridge_Zone_Sud" xfId="1461"/>
    <cellStyle name="s_B_S_Ratios _B_Actualisation provision contrat déficitaire SNCM 2010 V Def_PAO-CAF-RESOP_06_13_Bridge_Zone_Sud" xfId="1462"/>
    <cellStyle name="s_B_S_Ratios _B_Actualisation provision contrat déficitaire SNCM 2010 V Def_PAO-CAF-RESOP_08_13" xfId="1463"/>
    <cellStyle name="s_B_S_Ratios _B_Actualisation provision contrat déficitaire SNCM 2010 V Def_PAO-CAF-RESOP_08_13_B14_E2_2210" xfId="1464"/>
    <cellStyle name="s_B_S_Ratios _B_Actualisation provision contrat déficitaire SNCM 2010 V Def_PAO-CAF-RESOP_08_13_B14_E2_2210_Bridge_Zone_Sud" xfId="1465"/>
    <cellStyle name="s_B_S_Ratios _B_Actualisation provision contrat déficitaire SNCM 2010 V Def_PAO-CAF-RESOP_08_13_Bridge_Zone_Sud" xfId="1466"/>
    <cellStyle name="s_B_S_Ratios _B_Actualisation provision contrat déficitaire SNCM 2010 V Def_PAO-CAF-RESOP_09_13" xfId="1467"/>
    <cellStyle name="s_B_S_Ratios _B_Actualisation provision contrat déficitaire SNCM 2010 V Def_PAO-CAF-RESOP_09_13_Bridge_Zone_Sud" xfId="1468"/>
    <cellStyle name="s_B_S_Ratios _B_Actualisation provision contrat déficitaire SNCM 2010 V Def_PAO-CAF-RESOP_09_2013_Zone_IDF (version 2)" xfId="1469"/>
    <cellStyle name="s_B_S_Ratios _B_Actualisation provision contrat déficitaire SNCM 2010 V Def_PAO-CAF-RESOP_10_12" xfId="1470"/>
    <cellStyle name="s_B_S_Ratios _B_Actualisation provision contrat déficitaire SNCM 2010 V Def_PAO-CAF-RESOP_10_12_Bridge_Zone_Sud" xfId="1471"/>
    <cellStyle name="s_B_S_Ratios _B_Actualisation provision contrat déficitaire SNCM 2010 V Def_PAO-CAF-RESOP_10_12_focus par entités CAFOP" xfId="1472"/>
    <cellStyle name="s_B_S_Ratios _B_Actualisation provision contrat déficitaire SNCM 2010 V Def_PAO-CAF-RESOP_10_12_focus par entités CAFOP_Bridge_Zone_Sud" xfId="1473"/>
    <cellStyle name="s_B_S_Ratios _B_Actualisation provision contrat déficitaire SNCM 2010 V Def_PAO-CAF-RESOP_11_13" xfId="1474"/>
    <cellStyle name="s_B_S_Ratios _B_Actualisation provision contrat déficitaire SNCM 2010 V Def_PAO-CAF-RESOP_B13" xfId="1475"/>
    <cellStyle name="s_B_S_Ratios _B_Actualisation provision contrat déficitaire SNCM 2010 V Def_PAO-CAF-RESOP_B13_Bridge_Zone_Sud" xfId="1476"/>
    <cellStyle name="s_B_S_Ratios _B_Actualisation provision contrat déficitaire SNCM 2010 V Def_PAO-CAF-RESOP_B13_focus par entités CAFOP" xfId="1477"/>
    <cellStyle name="s_B_S_Ratios _B_Actualisation provision contrat déficitaire SNCM 2010 V Def_PAO-CAF-RESOP_B13_focus par entités CAFOP_Bridge_Zone_Sud" xfId="1478"/>
    <cellStyle name="s_B_S_Ratios _B_Actualisation provision contrat déficitaire SNCM 2010 V Def_PAO-CAF-RESOP_B2014" xfId="1479"/>
    <cellStyle name="s_B_S_Ratios _B_Actualisation provision contrat déficitaire SNCM 2010 V Def_PAO-CAF-RESOP_B2014_Bridge_Zone_Sud" xfId="1480"/>
    <cellStyle name="s_B_S_Ratios _B_Actualisation provision contrat déficitaire SNCM 2010 V Def_PAO-CAF-RESOP_B2014_v2" xfId="1481"/>
    <cellStyle name="s_B_S_Ratios _B_Actualisation provision contrat déficitaire SNCM 2010 V Def_PAO-CAF-RESOP_E2_13" xfId="1482"/>
    <cellStyle name="s_B_S_Ratios _B_Actualisation provision contrat déficitaire SNCM 2010 V Def_PAO-CAF-RESOP_E2_13_B14_E2_2210" xfId="1483"/>
    <cellStyle name="s_B_S_Ratios _B_Actualisation provision contrat déficitaire SNCM 2010 V Def_PAO-CAF-RESOP_E2_13_B14_E2_2210_Bridge_Zone_Sud" xfId="1484"/>
    <cellStyle name="s_B_S_Ratios _B_Actualisation provision contrat déficitaire SNCM 2010 V Def_PAO-CAF-RESOP_E2_13_Bridge_Zone_Sud" xfId="1485"/>
    <cellStyle name="s_B_S_Ratios _B_Actualisation provision contrat déficitaire SNCM 2010 V Def_PAO-CAF-RESOP_E2_2013_03_10_19H" xfId="1486"/>
    <cellStyle name="s_B_S_Ratios _B_Actualisation provision contrat déficitaire SNCM 2010 V Def_PAO-CAF-RESOP_E2_2013_03_10_19H_Bridge_Zone_Sud" xfId="1487"/>
    <cellStyle name="s_B_S_Ratios _B_Actualisation provision contrat déficitaire SNCM 2010 V Def_PPA" xfId="1488"/>
    <cellStyle name="s_B_S_Ratios _B_Actualisation provision contrat déficitaire SNCM 2010 V Def_RESOP bef CICE&amp;PPA&amp;RepartHO" xfId="1489"/>
    <cellStyle name="s_B_S_Ratios _B_Actualisation provision contrat déficitaire SNCM 2010 V Def_Synthèse_Présentation_conso_retraitée" xfId="1490"/>
    <cellStyle name="s_B_S_Ratios _B_Actualisation provision contrat déficitaire SNCM 2011 V3 30 05 2011" xfId="641"/>
    <cellStyle name="s_B_S_Ratios _B_Actualisation provision contrat déficitaire SNCM 2011 V3 30 05 2011_B14_E2_2210" xfId="1491"/>
    <cellStyle name="s_B_S_Ratios _B_Actualisation provision contrat déficitaire SNCM 2011 V3 30 05 2011_B14_E2_2210_Bridge_Zone_Sud" xfId="1492"/>
    <cellStyle name="s_B_S_Ratios _B_Actualisation provision contrat déficitaire SNCM 2011 V3 30 05 2011_Bridge_Zone_Sud" xfId="1493"/>
    <cellStyle name="s_B_S_Ratios _B_Actualisation provision contrat déficitaire SNCM 2011 V3 30 05 2011_CAPEM BY COUNTRY" xfId="1494"/>
    <cellStyle name="s_B_S_Ratios _B_Actualisation provision contrat déficitaire SNCM 2011 V3 30 05 2011_focus par entités CAFOPE2AMF" xfId="1495"/>
    <cellStyle name="s_B_S_Ratios _B_Actualisation provision contrat déficitaire SNCM 2011 V3 30 05 2011_focus par entités CAFOPE2AMF_Bridge_Zone_Sud" xfId="1496"/>
    <cellStyle name="s_B_S_Ratios _B_Actualisation provision contrat déficitaire SNCM 2011 V3 30 05 2011_Maquette PLT" xfId="1497"/>
    <cellStyle name="s_B_S_Ratios _B_Actualisation provision contrat déficitaire SNCM 2011 V3 30 05 2011_Output" xfId="3379"/>
    <cellStyle name="s_B_S_Ratios _B_Actualisation provision contrat déficitaire SNCM 2011 V3 30 05 2011_PAO-CAF-RESOP_04_13_pro_format_variante T1" xfId="1498"/>
    <cellStyle name="s_B_S_Ratios _B_Actualisation provision contrat déficitaire SNCM 2011 V3 30 05 2011_PAO-CAF-RESOP_04_13_pro_format_variante T1_B14_E2_2210" xfId="1499"/>
    <cellStyle name="s_B_S_Ratios _B_Actualisation provision contrat déficitaire SNCM 2011 V3 30 05 2011_PAO-CAF-RESOP_04_13_pro_format_variante T1_B14_E2_2210_Bridge_Zone_Sud" xfId="1500"/>
    <cellStyle name="s_B_S_Ratios _B_Actualisation provision contrat déficitaire SNCM 2011 V3 30 05 2011_PAO-CAF-RESOP_04_13_pro_format_variante T1_Bridge_Zone_Sud" xfId="1501"/>
    <cellStyle name="s_B_S_Ratios _B_Actualisation provision contrat déficitaire SNCM 2011 V3 30 05 2011_PAO-CAF-RESOP_06_13" xfId="1502"/>
    <cellStyle name="s_B_S_Ratios _B_Actualisation provision contrat déficitaire SNCM 2011 V3 30 05 2011_PAO-CAF-RESOP_06_13_B14_E2_2210" xfId="1503"/>
    <cellStyle name="s_B_S_Ratios _B_Actualisation provision contrat déficitaire SNCM 2011 V3 30 05 2011_PAO-CAF-RESOP_06_13_B14_E2_2210_Bridge_Zone_Sud" xfId="1504"/>
    <cellStyle name="s_B_S_Ratios _B_Actualisation provision contrat déficitaire SNCM 2011 V3 30 05 2011_PAO-CAF-RESOP_06_13_Bridge_Zone_Sud" xfId="1505"/>
    <cellStyle name="s_B_S_Ratios _B_Actualisation provision contrat déficitaire SNCM 2011 V3 30 05 2011_PAO-CAF-RESOP_08_13" xfId="1506"/>
    <cellStyle name="s_B_S_Ratios _B_Actualisation provision contrat déficitaire SNCM 2011 V3 30 05 2011_PAO-CAF-RESOP_08_13_B14_E2_2210" xfId="1507"/>
    <cellStyle name="s_B_S_Ratios _B_Actualisation provision contrat déficitaire SNCM 2011 V3 30 05 2011_PAO-CAF-RESOP_08_13_B14_E2_2210_Bridge_Zone_Sud" xfId="1508"/>
    <cellStyle name="s_B_S_Ratios _B_Actualisation provision contrat déficitaire SNCM 2011 V3 30 05 2011_PAO-CAF-RESOP_08_13_Bridge_Zone_Sud" xfId="1509"/>
    <cellStyle name="s_B_S_Ratios _B_Actualisation provision contrat déficitaire SNCM 2011 V3 30 05 2011_PAO-CAF-RESOP_09_13" xfId="1510"/>
    <cellStyle name="s_B_S_Ratios _B_Actualisation provision contrat déficitaire SNCM 2011 V3 30 05 2011_PAO-CAF-RESOP_09_13_Bridge_Zone_Sud" xfId="1511"/>
    <cellStyle name="s_B_S_Ratios _B_Actualisation provision contrat déficitaire SNCM 2011 V3 30 05 2011_PAO-CAF-RESOP_09_2013_Zone_IDF (version 2)" xfId="1512"/>
    <cellStyle name="s_B_S_Ratios _B_Actualisation provision contrat déficitaire SNCM 2011 V3 30 05 2011_PAO-CAF-RESOP_10_12" xfId="1513"/>
    <cellStyle name="s_B_S_Ratios _B_Actualisation provision contrat déficitaire SNCM 2011 V3 30 05 2011_PAO-CAF-RESOP_10_12_Bridge_Zone_Sud" xfId="1514"/>
    <cellStyle name="s_B_S_Ratios _B_Actualisation provision contrat déficitaire SNCM 2011 V3 30 05 2011_PAO-CAF-RESOP_10_12_focus par entités CAFOP" xfId="1515"/>
    <cellStyle name="s_B_S_Ratios _B_Actualisation provision contrat déficitaire SNCM 2011 V3 30 05 2011_PAO-CAF-RESOP_10_12_focus par entités CAFOP_Bridge_Zone_Sud" xfId="1516"/>
    <cellStyle name="s_B_S_Ratios _B_Actualisation provision contrat déficitaire SNCM 2011 V3 30 05 2011_PAO-CAF-RESOP_11_13" xfId="1517"/>
    <cellStyle name="s_B_S_Ratios _B_Actualisation provision contrat déficitaire SNCM 2011 V3 30 05 2011_PAO-CAF-RESOP_B13" xfId="1518"/>
    <cellStyle name="s_B_S_Ratios _B_Actualisation provision contrat déficitaire SNCM 2011 V3 30 05 2011_PAO-CAF-RESOP_B13_Bridge_Zone_Sud" xfId="1519"/>
    <cellStyle name="s_B_S_Ratios _B_Actualisation provision contrat déficitaire SNCM 2011 V3 30 05 2011_PAO-CAF-RESOP_B13_focus par entités CAFOP" xfId="1520"/>
    <cellStyle name="s_B_S_Ratios _B_Actualisation provision contrat déficitaire SNCM 2011 V3 30 05 2011_PAO-CAF-RESOP_B13_focus par entités CAFOP_Bridge_Zone_Sud" xfId="1521"/>
    <cellStyle name="s_B_S_Ratios _B_Actualisation provision contrat déficitaire SNCM 2011 V3 30 05 2011_PAO-CAF-RESOP_B2014" xfId="1522"/>
    <cellStyle name="s_B_S_Ratios _B_Actualisation provision contrat déficitaire SNCM 2011 V3 30 05 2011_PAO-CAF-RESOP_B2014_Bridge_Zone_Sud" xfId="1523"/>
    <cellStyle name="s_B_S_Ratios _B_Actualisation provision contrat déficitaire SNCM 2011 V3 30 05 2011_PAO-CAF-RESOP_B2014_v2" xfId="1524"/>
    <cellStyle name="s_B_S_Ratios _B_Actualisation provision contrat déficitaire SNCM 2011 V3 30 05 2011_PAO-CAF-RESOP_E2_13" xfId="1525"/>
    <cellStyle name="s_B_S_Ratios _B_Actualisation provision contrat déficitaire SNCM 2011 V3 30 05 2011_PAO-CAF-RESOP_E2_13_B14_E2_2210" xfId="1526"/>
    <cellStyle name="s_B_S_Ratios _B_Actualisation provision contrat déficitaire SNCM 2011 V3 30 05 2011_PAO-CAF-RESOP_E2_13_B14_E2_2210_Bridge_Zone_Sud" xfId="1527"/>
    <cellStyle name="s_B_S_Ratios _B_Actualisation provision contrat déficitaire SNCM 2011 V3 30 05 2011_PAO-CAF-RESOP_E2_13_Bridge_Zone_Sud" xfId="1528"/>
    <cellStyle name="s_B_S_Ratios _B_Actualisation provision contrat déficitaire SNCM 2011 V3 30 05 2011_PAO-CAF-RESOP_E2_2013_03_10_19H" xfId="1529"/>
    <cellStyle name="s_B_S_Ratios _B_Actualisation provision contrat déficitaire SNCM 2011 V3 30 05 2011_PAO-CAF-RESOP_E2_2013_03_10_19H_Bridge_Zone_Sud" xfId="1530"/>
    <cellStyle name="s_B_S_Ratios _B_Actualisation provision contrat déficitaire SNCM 2011 V3 30 05 2011_PPA" xfId="1531"/>
    <cellStyle name="s_B_S_Ratios _B_Actualisation provision contrat déficitaire SNCM 2011 V3 30 05 2011_RESOP bef CICE&amp;PPA&amp;RepartHO" xfId="1532"/>
    <cellStyle name="s_B_S_Ratios _B_Actualisation provision contrat déficitaire SNCM 2011 V3 30 05 2011_Synthèse_Présentation_conso_retraitée" xfId="1533"/>
    <cellStyle name="s_B_S_Ratios _B_B14_E2_2210" xfId="1534"/>
    <cellStyle name="s_B_S_Ratios _B_B14_E2_2210_Bridge_Zone_Sud" xfId="1535"/>
    <cellStyle name="s_B_S_Ratios _B_BFR_TD_2014.02" xfId="1536"/>
    <cellStyle name="s_B_S_Ratios _B_Bridge_Zone_Nord" xfId="1537"/>
    <cellStyle name="s_B_S_Ratios _B_CAPEM BY COUNTRY" xfId="1538"/>
    <cellStyle name="s_B_S_Ratios _B_LI819L_B13" xfId="642"/>
    <cellStyle name="s_B_S_Ratios _B_LI819L_B13_CAPEM BY COUNTRY" xfId="1539"/>
    <cellStyle name="s_B_S_Ratios _B_LI819L_B13_Maquette PLT" xfId="1540"/>
    <cellStyle name="s_B_S_Ratios _B_LI819L_B13_Output" xfId="3380"/>
    <cellStyle name="s_B_S_Ratios _B_LI819L_B13_PPA" xfId="1541"/>
    <cellStyle name="s_B_S_Ratios _B_LI819L_B13_RESOP bef CICE&amp;PPA&amp;RepartHO" xfId="1542"/>
    <cellStyle name="s_B_S_Ratios _B_Maquette PLT" xfId="1543"/>
    <cellStyle name="s_B_S_Ratios _B_Output" xfId="3381"/>
    <cellStyle name="s_B_S_Ratios _B_PAO-CAF-RESOP_14_01_13 à 20h" xfId="643"/>
    <cellStyle name="s_B_S_Ratios _B_PAO-CAF-RESOP_14_01_13 à 20h_CAPEM BY COUNTRY" xfId="1544"/>
    <cellStyle name="s_B_S_Ratios _B_PAO-CAF-RESOP_14_01_13 à 20h_Maquette PLT" xfId="1545"/>
    <cellStyle name="s_B_S_Ratios _B_PAO-CAF-RESOP_14_01_13 à 20h_Output" xfId="3382"/>
    <cellStyle name="s_B_S_Ratios _B_PAO-CAF-RESOP_14_01_13 à 20h_PPA" xfId="1546"/>
    <cellStyle name="s_B_S_Ratios _B_PAO-CAF-RESOP_14_01_13 à 20h_RESOP bef CICE&amp;PPA&amp;RepartHO" xfId="1547"/>
    <cellStyle name="s_B_S_Ratios _B_PAO-CAF-RESOP_2014.02" xfId="1548"/>
    <cellStyle name="s_B_S_Ratios _B_PAO-CAF-RESOP_2014.02_Bridge_Zone_Sud" xfId="1549"/>
    <cellStyle name="s_B_S_Ratios _B_PPA" xfId="1550"/>
    <cellStyle name="s_B_S_Ratios _B_RESOP bef CICE&amp;PPA&amp;RepartHO" xfId="1551"/>
    <cellStyle name="s_B_S_Ratios_T" xfId="644"/>
    <cellStyle name="s_B_S_Ratios_T_Actualisation provision contrat déficitaire SNCM 2010 V Def" xfId="645"/>
    <cellStyle name="s_B_S_Ratios_T_Actualisation provision contrat déficitaire SNCM 2010 V Def_B14_E2_2210" xfId="1552"/>
    <cellStyle name="s_B_S_Ratios_T_Actualisation provision contrat déficitaire SNCM 2010 V Def_B14_E2_2210_Bridge_Zone_Sud" xfId="1553"/>
    <cellStyle name="s_B_S_Ratios_T_Actualisation provision contrat déficitaire SNCM 2010 V Def_Bridge_Zone_Sud" xfId="1554"/>
    <cellStyle name="s_B_S_Ratios_T_Actualisation provision contrat déficitaire SNCM 2010 V Def_CAPEM BY COUNTRY" xfId="1555"/>
    <cellStyle name="s_B_S_Ratios_T_Actualisation provision contrat déficitaire SNCM 2010 V Def_focus par entités CAFOPE2AMF" xfId="1556"/>
    <cellStyle name="s_B_S_Ratios_T_Actualisation provision contrat déficitaire SNCM 2010 V Def_focus par entités CAFOPE2AMF_Bridge_Zone_Sud" xfId="1557"/>
    <cellStyle name="s_B_S_Ratios_T_Actualisation provision contrat déficitaire SNCM 2010 V Def_Maquette PLT" xfId="1558"/>
    <cellStyle name="s_B_S_Ratios_T_Actualisation provision contrat déficitaire SNCM 2010 V Def_Output" xfId="3383"/>
    <cellStyle name="s_B_S_Ratios_T_Actualisation provision contrat déficitaire SNCM 2010 V Def_PAO-CAF-RESOP_04_13_pro_format_variante T1" xfId="1559"/>
    <cellStyle name="s_B_S_Ratios_T_Actualisation provision contrat déficitaire SNCM 2010 V Def_PAO-CAF-RESOP_04_13_pro_format_variante T1_B14_E2_2210" xfId="1560"/>
    <cellStyle name="s_B_S_Ratios_T_Actualisation provision contrat déficitaire SNCM 2010 V Def_PAO-CAF-RESOP_04_13_pro_format_variante T1_B14_E2_2210_Bridge_Zone_Sud" xfId="1561"/>
    <cellStyle name="s_B_S_Ratios_T_Actualisation provision contrat déficitaire SNCM 2010 V Def_PAO-CAF-RESOP_04_13_pro_format_variante T1_Bridge_Zone_Sud" xfId="1562"/>
    <cellStyle name="s_B_S_Ratios_T_Actualisation provision contrat déficitaire SNCM 2010 V Def_PAO-CAF-RESOP_06_13" xfId="1563"/>
    <cellStyle name="s_B_S_Ratios_T_Actualisation provision contrat déficitaire SNCM 2010 V Def_PAO-CAF-RESOP_06_13_B14_E2_2210" xfId="1564"/>
    <cellStyle name="s_B_S_Ratios_T_Actualisation provision contrat déficitaire SNCM 2010 V Def_PAO-CAF-RESOP_06_13_B14_E2_2210_Bridge_Zone_Sud" xfId="1565"/>
    <cellStyle name="s_B_S_Ratios_T_Actualisation provision contrat déficitaire SNCM 2010 V Def_PAO-CAF-RESOP_06_13_Bridge_Zone_Sud" xfId="1566"/>
    <cellStyle name="s_B_S_Ratios_T_Actualisation provision contrat déficitaire SNCM 2010 V Def_PAO-CAF-RESOP_08_13" xfId="1567"/>
    <cellStyle name="s_B_S_Ratios_T_Actualisation provision contrat déficitaire SNCM 2010 V Def_PAO-CAF-RESOP_08_13_B14_E2_2210" xfId="1568"/>
    <cellStyle name="s_B_S_Ratios_T_Actualisation provision contrat déficitaire SNCM 2010 V Def_PAO-CAF-RESOP_08_13_B14_E2_2210_Bridge_Zone_Sud" xfId="1569"/>
    <cellStyle name="s_B_S_Ratios_T_Actualisation provision contrat déficitaire SNCM 2010 V Def_PAO-CAF-RESOP_08_13_Bridge_Zone_Sud" xfId="1570"/>
    <cellStyle name="s_B_S_Ratios_T_Actualisation provision contrat déficitaire SNCM 2010 V Def_PAO-CAF-RESOP_09_13" xfId="1571"/>
    <cellStyle name="s_B_S_Ratios_T_Actualisation provision contrat déficitaire SNCM 2010 V Def_PAO-CAF-RESOP_09_13_Bridge_Zone_Sud" xfId="1572"/>
    <cellStyle name="s_B_S_Ratios_T_Actualisation provision contrat déficitaire SNCM 2010 V Def_PAO-CAF-RESOP_09_2013_Zone_IDF (version 2)" xfId="1573"/>
    <cellStyle name="s_B_S_Ratios_T_Actualisation provision contrat déficitaire SNCM 2010 V Def_PAO-CAF-RESOP_10_12" xfId="1574"/>
    <cellStyle name="s_B_S_Ratios_T_Actualisation provision contrat déficitaire SNCM 2010 V Def_PAO-CAF-RESOP_10_12_Bridge_Zone_Sud" xfId="1575"/>
    <cellStyle name="s_B_S_Ratios_T_Actualisation provision contrat déficitaire SNCM 2010 V Def_PAO-CAF-RESOP_10_12_focus par entités CAFOP" xfId="1576"/>
    <cellStyle name="s_B_S_Ratios_T_Actualisation provision contrat déficitaire SNCM 2010 V Def_PAO-CAF-RESOP_10_12_focus par entités CAFOP_Bridge_Zone_Sud" xfId="1577"/>
    <cellStyle name="s_B_S_Ratios_T_Actualisation provision contrat déficitaire SNCM 2010 V Def_PAO-CAF-RESOP_11_13" xfId="1578"/>
    <cellStyle name="s_B_S_Ratios_T_Actualisation provision contrat déficitaire SNCM 2010 V Def_PAO-CAF-RESOP_B13" xfId="1579"/>
    <cellStyle name="s_B_S_Ratios_T_Actualisation provision contrat déficitaire SNCM 2010 V Def_PAO-CAF-RESOP_B13_Bridge_Zone_Sud" xfId="1580"/>
    <cellStyle name="s_B_S_Ratios_T_Actualisation provision contrat déficitaire SNCM 2010 V Def_PAO-CAF-RESOP_B13_focus par entités CAFOP" xfId="1581"/>
    <cellStyle name="s_B_S_Ratios_T_Actualisation provision contrat déficitaire SNCM 2010 V Def_PAO-CAF-RESOP_B13_focus par entités CAFOP_Bridge_Zone_Sud" xfId="1582"/>
    <cellStyle name="s_B_S_Ratios_T_Actualisation provision contrat déficitaire SNCM 2010 V Def_PAO-CAF-RESOP_B2014" xfId="1583"/>
    <cellStyle name="s_B_S_Ratios_T_Actualisation provision contrat déficitaire SNCM 2010 V Def_PAO-CAF-RESOP_B2014_Bridge_Zone_Sud" xfId="1584"/>
    <cellStyle name="s_B_S_Ratios_T_Actualisation provision contrat déficitaire SNCM 2010 V Def_PAO-CAF-RESOP_B2014_v2" xfId="1585"/>
    <cellStyle name="s_B_S_Ratios_T_Actualisation provision contrat déficitaire SNCM 2010 V Def_PAO-CAF-RESOP_E2_13" xfId="1586"/>
    <cellStyle name="s_B_S_Ratios_T_Actualisation provision contrat déficitaire SNCM 2010 V Def_PAO-CAF-RESOP_E2_13_B14_E2_2210" xfId="1587"/>
    <cellStyle name="s_B_S_Ratios_T_Actualisation provision contrat déficitaire SNCM 2010 V Def_PAO-CAF-RESOP_E2_13_B14_E2_2210_Bridge_Zone_Sud" xfId="1588"/>
    <cellStyle name="s_B_S_Ratios_T_Actualisation provision contrat déficitaire SNCM 2010 V Def_PAO-CAF-RESOP_E2_13_Bridge_Zone_Sud" xfId="1589"/>
    <cellStyle name="s_B_S_Ratios_T_Actualisation provision contrat déficitaire SNCM 2010 V Def_PAO-CAF-RESOP_E2_2013_03_10_19H" xfId="1590"/>
    <cellStyle name="s_B_S_Ratios_T_Actualisation provision contrat déficitaire SNCM 2010 V Def_PAO-CAF-RESOP_E2_2013_03_10_19H_Bridge_Zone_Sud" xfId="1591"/>
    <cellStyle name="s_B_S_Ratios_T_Actualisation provision contrat déficitaire SNCM 2010 V Def_PPA" xfId="1592"/>
    <cellStyle name="s_B_S_Ratios_T_Actualisation provision contrat déficitaire SNCM 2010 V Def_RESOP bef CICE&amp;PPA&amp;RepartHO" xfId="1593"/>
    <cellStyle name="s_B_S_Ratios_T_Actualisation provision contrat déficitaire SNCM 2010 V Def_Synthèse_Présentation_conso_retraitée" xfId="1594"/>
    <cellStyle name="s_B_S_Ratios_T_Actualisation provision contrat déficitaire SNCM 2011 V3 30 05 2011" xfId="646"/>
    <cellStyle name="s_B_S_Ratios_T_Actualisation provision contrat déficitaire SNCM 2011 V3 30 05 2011_B14_E2_2210" xfId="1595"/>
    <cellStyle name="s_B_S_Ratios_T_Actualisation provision contrat déficitaire SNCM 2011 V3 30 05 2011_B14_E2_2210_Bridge_Zone_Sud" xfId="1596"/>
    <cellStyle name="s_B_S_Ratios_T_Actualisation provision contrat déficitaire SNCM 2011 V3 30 05 2011_Bridge_Zone_Sud" xfId="1597"/>
    <cellStyle name="s_B_S_Ratios_T_Actualisation provision contrat déficitaire SNCM 2011 V3 30 05 2011_CAPEM BY COUNTRY" xfId="1598"/>
    <cellStyle name="s_B_S_Ratios_T_Actualisation provision contrat déficitaire SNCM 2011 V3 30 05 2011_focus par entités CAFOPE2AMF" xfId="1599"/>
    <cellStyle name="s_B_S_Ratios_T_Actualisation provision contrat déficitaire SNCM 2011 V3 30 05 2011_focus par entités CAFOPE2AMF_Bridge_Zone_Sud" xfId="1600"/>
    <cellStyle name="s_B_S_Ratios_T_Actualisation provision contrat déficitaire SNCM 2011 V3 30 05 2011_Maquette PLT" xfId="1601"/>
    <cellStyle name="s_B_S_Ratios_T_Actualisation provision contrat déficitaire SNCM 2011 V3 30 05 2011_Output" xfId="3384"/>
    <cellStyle name="s_B_S_Ratios_T_Actualisation provision contrat déficitaire SNCM 2011 V3 30 05 2011_PAO-CAF-RESOP_04_13_pro_format_variante T1" xfId="1602"/>
    <cellStyle name="s_B_S_Ratios_T_Actualisation provision contrat déficitaire SNCM 2011 V3 30 05 2011_PAO-CAF-RESOP_04_13_pro_format_variante T1_B14_E2_2210" xfId="1603"/>
    <cellStyle name="s_B_S_Ratios_T_Actualisation provision contrat déficitaire SNCM 2011 V3 30 05 2011_PAO-CAF-RESOP_04_13_pro_format_variante T1_B14_E2_2210_Bridge_Zone_Sud" xfId="1604"/>
    <cellStyle name="s_B_S_Ratios_T_Actualisation provision contrat déficitaire SNCM 2011 V3 30 05 2011_PAO-CAF-RESOP_04_13_pro_format_variante T1_Bridge_Zone_Sud" xfId="1605"/>
    <cellStyle name="s_B_S_Ratios_T_Actualisation provision contrat déficitaire SNCM 2011 V3 30 05 2011_PAO-CAF-RESOP_06_13" xfId="1606"/>
    <cellStyle name="s_B_S_Ratios_T_Actualisation provision contrat déficitaire SNCM 2011 V3 30 05 2011_PAO-CAF-RESOP_06_13_B14_E2_2210" xfId="1607"/>
    <cellStyle name="s_B_S_Ratios_T_Actualisation provision contrat déficitaire SNCM 2011 V3 30 05 2011_PAO-CAF-RESOP_06_13_B14_E2_2210_Bridge_Zone_Sud" xfId="1608"/>
    <cellStyle name="s_B_S_Ratios_T_Actualisation provision contrat déficitaire SNCM 2011 V3 30 05 2011_PAO-CAF-RESOP_06_13_Bridge_Zone_Sud" xfId="1609"/>
    <cellStyle name="s_B_S_Ratios_T_Actualisation provision contrat déficitaire SNCM 2011 V3 30 05 2011_PAO-CAF-RESOP_08_13" xfId="1610"/>
    <cellStyle name="s_B_S_Ratios_T_Actualisation provision contrat déficitaire SNCM 2011 V3 30 05 2011_PAO-CAF-RESOP_08_13_B14_E2_2210" xfId="1611"/>
    <cellStyle name="s_B_S_Ratios_T_Actualisation provision contrat déficitaire SNCM 2011 V3 30 05 2011_PAO-CAF-RESOP_08_13_B14_E2_2210_Bridge_Zone_Sud" xfId="1612"/>
    <cellStyle name="s_B_S_Ratios_T_Actualisation provision contrat déficitaire SNCM 2011 V3 30 05 2011_PAO-CAF-RESOP_08_13_Bridge_Zone_Sud" xfId="1613"/>
    <cellStyle name="s_B_S_Ratios_T_Actualisation provision contrat déficitaire SNCM 2011 V3 30 05 2011_PAO-CAF-RESOP_09_13" xfId="1614"/>
    <cellStyle name="s_B_S_Ratios_T_Actualisation provision contrat déficitaire SNCM 2011 V3 30 05 2011_PAO-CAF-RESOP_09_13_Bridge_Zone_Sud" xfId="1615"/>
    <cellStyle name="s_B_S_Ratios_T_Actualisation provision contrat déficitaire SNCM 2011 V3 30 05 2011_PAO-CAF-RESOP_09_2013_Zone_IDF (version 2)" xfId="1616"/>
    <cellStyle name="s_B_S_Ratios_T_Actualisation provision contrat déficitaire SNCM 2011 V3 30 05 2011_PAO-CAF-RESOP_10_12" xfId="1617"/>
    <cellStyle name="s_B_S_Ratios_T_Actualisation provision contrat déficitaire SNCM 2011 V3 30 05 2011_PAO-CAF-RESOP_10_12_Bridge_Zone_Sud" xfId="1618"/>
    <cellStyle name="s_B_S_Ratios_T_Actualisation provision contrat déficitaire SNCM 2011 V3 30 05 2011_PAO-CAF-RESOP_10_12_focus par entités CAFOP" xfId="1619"/>
    <cellStyle name="s_B_S_Ratios_T_Actualisation provision contrat déficitaire SNCM 2011 V3 30 05 2011_PAO-CAF-RESOP_10_12_focus par entités CAFOP_Bridge_Zone_Sud" xfId="1620"/>
    <cellStyle name="s_B_S_Ratios_T_Actualisation provision contrat déficitaire SNCM 2011 V3 30 05 2011_PAO-CAF-RESOP_11_13" xfId="1621"/>
    <cellStyle name="s_B_S_Ratios_T_Actualisation provision contrat déficitaire SNCM 2011 V3 30 05 2011_PAO-CAF-RESOP_B13" xfId="1622"/>
    <cellStyle name="s_B_S_Ratios_T_Actualisation provision contrat déficitaire SNCM 2011 V3 30 05 2011_PAO-CAF-RESOP_B13_Bridge_Zone_Sud" xfId="1623"/>
    <cellStyle name="s_B_S_Ratios_T_Actualisation provision contrat déficitaire SNCM 2011 V3 30 05 2011_PAO-CAF-RESOP_B13_focus par entités CAFOP" xfId="1624"/>
    <cellStyle name="s_B_S_Ratios_T_Actualisation provision contrat déficitaire SNCM 2011 V3 30 05 2011_PAO-CAF-RESOP_B13_focus par entités CAFOP_Bridge_Zone_Sud" xfId="1625"/>
    <cellStyle name="s_B_S_Ratios_T_Actualisation provision contrat déficitaire SNCM 2011 V3 30 05 2011_PAO-CAF-RESOP_B2014" xfId="1626"/>
    <cellStyle name="s_B_S_Ratios_T_Actualisation provision contrat déficitaire SNCM 2011 V3 30 05 2011_PAO-CAF-RESOP_B2014_Bridge_Zone_Sud" xfId="1627"/>
    <cellStyle name="s_B_S_Ratios_T_Actualisation provision contrat déficitaire SNCM 2011 V3 30 05 2011_PAO-CAF-RESOP_B2014_v2" xfId="1628"/>
    <cellStyle name="s_B_S_Ratios_T_Actualisation provision contrat déficitaire SNCM 2011 V3 30 05 2011_PAO-CAF-RESOP_E2_13" xfId="1629"/>
    <cellStyle name="s_B_S_Ratios_T_Actualisation provision contrat déficitaire SNCM 2011 V3 30 05 2011_PAO-CAF-RESOP_E2_13_B14_E2_2210" xfId="1630"/>
    <cellStyle name="s_B_S_Ratios_T_Actualisation provision contrat déficitaire SNCM 2011 V3 30 05 2011_PAO-CAF-RESOP_E2_13_B14_E2_2210_Bridge_Zone_Sud" xfId="1631"/>
    <cellStyle name="s_B_S_Ratios_T_Actualisation provision contrat déficitaire SNCM 2011 V3 30 05 2011_PAO-CAF-RESOP_E2_13_Bridge_Zone_Sud" xfId="1632"/>
    <cellStyle name="s_B_S_Ratios_T_Actualisation provision contrat déficitaire SNCM 2011 V3 30 05 2011_PAO-CAF-RESOP_E2_2013_03_10_19H" xfId="1633"/>
    <cellStyle name="s_B_S_Ratios_T_Actualisation provision contrat déficitaire SNCM 2011 V3 30 05 2011_PAO-CAF-RESOP_E2_2013_03_10_19H_Bridge_Zone_Sud" xfId="1634"/>
    <cellStyle name="s_B_S_Ratios_T_Actualisation provision contrat déficitaire SNCM 2011 V3 30 05 2011_PPA" xfId="1635"/>
    <cellStyle name="s_B_S_Ratios_T_Actualisation provision contrat déficitaire SNCM 2011 V3 30 05 2011_RESOP bef CICE&amp;PPA&amp;RepartHO" xfId="1636"/>
    <cellStyle name="s_B_S_Ratios_T_Actualisation provision contrat déficitaire SNCM 2011 V3 30 05 2011_Synthèse_Présentation_conso_retraitée" xfId="1637"/>
    <cellStyle name="s_B_S_Ratios_T_B14_E2_2210" xfId="1638"/>
    <cellStyle name="s_B_S_Ratios_T_B14_E2_2210_Bridge_Zone_Sud" xfId="1639"/>
    <cellStyle name="s_B_S_Ratios_T_BFR_TD_2014.02" xfId="1640"/>
    <cellStyle name="s_B_S_Ratios_T_Bridge_Zone_Nord" xfId="1641"/>
    <cellStyle name="s_B_S_Ratios_T_CAPEM BY COUNTRY" xfId="1642"/>
    <cellStyle name="s_B_S_Ratios_T_LI819L_B13" xfId="647"/>
    <cellStyle name="s_B_S_Ratios_T_LI819L_B13_CAPEM BY COUNTRY" xfId="1643"/>
    <cellStyle name="s_B_S_Ratios_T_LI819L_B13_Maquette PLT" xfId="1644"/>
    <cellStyle name="s_B_S_Ratios_T_LI819L_B13_Output" xfId="3385"/>
    <cellStyle name="s_B_S_Ratios_T_LI819L_B13_PPA" xfId="1645"/>
    <cellStyle name="s_B_S_Ratios_T_LI819L_B13_RESOP bef CICE&amp;PPA&amp;RepartHO" xfId="1646"/>
    <cellStyle name="s_B_S_Ratios_T_Maquette PLT" xfId="1647"/>
    <cellStyle name="s_B_S_Ratios_T_Output" xfId="3386"/>
    <cellStyle name="s_B_S_Ratios_T_PAO-CAF-RESOP_14_01_13 à 20h" xfId="648"/>
    <cellStyle name="s_B_S_Ratios_T_PAO-CAF-RESOP_14_01_13 à 20h_CAPEM BY COUNTRY" xfId="1648"/>
    <cellStyle name="s_B_S_Ratios_T_PAO-CAF-RESOP_14_01_13 à 20h_Maquette PLT" xfId="1649"/>
    <cellStyle name="s_B_S_Ratios_T_PAO-CAF-RESOP_14_01_13 à 20h_Output" xfId="3387"/>
    <cellStyle name="s_B_S_Ratios_T_PAO-CAF-RESOP_14_01_13 à 20h_PPA" xfId="1650"/>
    <cellStyle name="s_B_S_Ratios_T_PAO-CAF-RESOP_14_01_13 à 20h_RESOP bef CICE&amp;PPA&amp;RepartHO" xfId="1651"/>
    <cellStyle name="s_B_S_Ratios_T_PAO-CAF-RESOP_2014.02" xfId="1652"/>
    <cellStyle name="s_B_S_Ratios_T_PAO-CAF-RESOP_2014.02_Bridge_Zone_Sud" xfId="1653"/>
    <cellStyle name="s_B_S_Ratios_T_PPA" xfId="1654"/>
    <cellStyle name="s_B_S_Ratios_T_RESOP bef CICE&amp;PPA&amp;RepartHO" xfId="1655"/>
    <cellStyle name="s_B14_E2_2210" xfId="1656"/>
    <cellStyle name="s_B14_E2_2210_Bridge_Zone_Sud" xfId="1657"/>
    <cellStyle name="s_BFR_TD_2014.02" xfId="1658"/>
    <cellStyle name="s_Bridge_Zone_Nord" xfId="1659"/>
    <cellStyle name="s_CAPEM BY COUNTRY" xfId="1660"/>
    <cellStyle name="s_DCFLBO Code" xfId="649"/>
    <cellStyle name="s_DCFLBO Code_1" xfId="650"/>
    <cellStyle name="s_DCFLBO Code_1_Actualisation provision contrat déficitaire SNCM 2010 V Def" xfId="651"/>
    <cellStyle name="s_DCFLBO Code_1_Actualisation provision contrat déficitaire SNCM 2010 V Def_B14_E2_2210" xfId="1661"/>
    <cellStyle name="s_DCFLBO Code_1_Actualisation provision contrat déficitaire SNCM 2010 V Def_B14_E2_2210_Bridge_Zone_Sud" xfId="1662"/>
    <cellStyle name="s_DCFLBO Code_1_Actualisation provision contrat déficitaire SNCM 2010 V Def_Bridge_Zone_Sud" xfId="1663"/>
    <cellStyle name="s_DCFLBO Code_1_Actualisation provision contrat déficitaire SNCM 2010 V Def_CAPEM BY COUNTRY" xfId="1664"/>
    <cellStyle name="s_DCFLBO Code_1_Actualisation provision contrat déficitaire SNCM 2010 V Def_focus par entités CAFOPE2AMF" xfId="1665"/>
    <cellStyle name="s_DCFLBO Code_1_Actualisation provision contrat déficitaire SNCM 2010 V Def_focus par entités CAFOPE2AMF_Bridge_Zone_Sud" xfId="1666"/>
    <cellStyle name="s_DCFLBO Code_1_Actualisation provision contrat déficitaire SNCM 2010 V Def_Maquette PLT" xfId="1667"/>
    <cellStyle name="s_DCFLBO Code_1_Actualisation provision contrat déficitaire SNCM 2010 V Def_Output" xfId="3388"/>
    <cellStyle name="s_DCFLBO Code_1_Actualisation provision contrat déficitaire SNCM 2010 V Def_PAO-CAF-RESOP_04_13_pro_format_variante T1" xfId="1668"/>
    <cellStyle name="s_DCFLBO Code_1_Actualisation provision contrat déficitaire SNCM 2010 V Def_PAO-CAF-RESOP_04_13_pro_format_variante T1_B14_E2_2210" xfId="1669"/>
    <cellStyle name="s_DCFLBO Code_1_Actualisation provision contrat déficitaire SNCM 2010 V Def_PAO-CAF-RESOP_04_13_pro_format_variante T1_B14_E2_2210_Bridge_Zone_Sud" xfId="1670"/>
    <cellStyle name="s_DCFLBO Code_1_Actualisation provision contrat déficitaire SNCM 2010 V Def_PAO-CAF-RESOP_04_13_pro_format_variante T1_Bridge_Zone_Sud" xfId="1671"/>
    <cellStyle name="s_DCFLBO Code_1_Actualisation provision contrat déficitaire SNCM 2010 V Def_PAO-CAF-RESOP_06_13" xfId="1672"/>
    <cellStyle name="s_DCFLBO Code_1_Actualisation provision contrat déficitaire SNCM 2010 V Def_PAO-CAF-RESOP_06_13_B14_E2_2210" xfId="1673"/>
    <cellStyle name="s_DCFLBO Code_1_Actualisation provision contrat déficitaire SNCM 2010 V Def_PAO-CAF-RESOP_06_13_B14_E2_2210_Bridge_Zone_Sud" xfId="1674"/>
    <cellStyle name="s_DCFLBO Code_1_Actualisation provision contrat déficitaire SNCM 2010 V Def_PAO-CAF-RESOP_06_13_Bridge_Zone_Sud" xfId="1675"/>
    <cellStyle name="s_DCFLBO Code_1_Actualisation provision contrat déficitaire SNCM 2010 V Def_PAO-CAF-RESOP_08_13" xfId="1676"/>
    <cellStyle name="s_DCFLBO Code_1_Actualisation provision contrat déficitaire SNCM 2010 V Def_PAO-CAF-RESOP_08_13_B14_E2_2210" xfId="1677"/>
    <cellStyle name="s_DCFLBO Code_1_Actualisation provision contrat déficitaire SNCM 2010 V Def_PAO-CAF-RESOP_08_13_B14_E2_2210_Bridge_Zone_Sud" xfId="1678"/>
    <cellStyle name="s_DCFLBO Code_1_Actualisation provision contrat déficitaire SNCM 2010 V Def_PAO-CAF-RESOP_08_13_Bridge_Zone_Sud" xfId="1679"/>
    <cellStyle name="s_DCFLBO Code_1_Actualisation provision contrat déficitaire SNCM 2010 V Def_PAO-CAF-RESOP_09_13" xfId="1680"/>
    <cellStyle name="s_DCFLBO Code_1_Actualisation provision contrat déficitaire SNCM 2010 V Def_PAO-CAF-RESOP_09_13_Bridge_Zone_Sud" xfId="1681"/>
    <cellStyle name="s_DCFLBO Code_1_Actualisation provision contrat déficitaire SNCM 2010 V Def_PAO-CAF-RESOP_09_2013_Zone_IDF (version 2)" xfId="1682"/>
    <cellStyle name="s_DCFLBO Code_1_Actualisation provision contrat déficitaire SNCM 2010 V Def_PAO-CAF-RESOP_10_12" xfId="1683"/>
    <cellStyle name="s_DCFLBO Code_1_Actualisation provision contrat déficitaire SNCM 2010 V Def_PAO-CAF-RESOP_10_12_Bridge_Zone_Sud" xfId="1684"/>
    <cellStyle name="s_DCFLBO Code_1_Actualisation provision contrat déficitaire SNCM 2010 V Def_PAO-CAF-RESOP_10_12_focus par entités CAFOP" xfId="1685"/>
    <cellStyle name="s_DCFLBO Code_1_Actualisation provision contrat déficitaire SNCM 2010 V Def_PAO-CAF-RESOP_10_12_focus par entités CAFOP_Bridge_Zone_Sud" xfId="1686"/>
    <cellStyle name="s_DCFLBO Code_1_Actualisation provision contrat déficitaire SNCM 2010 V Def_PAO-CAF-RESOP_11_13" xfId="1687"/>
    <cellStyle name="s_DCFLBO Code_1_Actualisation provision contrat déficitaire SNCM 2010 V Def_PAO-CAF-RESOP_B13" xfId="1688"/>
    <cellStyle name="s_DCFLBO Code_1_Actualisation provision contrat déficitaire SNCM 2010 V Def_PAO-CAF-RESOP_B13_Bridge_Zone_Sud" xfId="1689"/>
    <cellStyle name="s_DCFLBO Code_1_Actualisation provision contrat déficitaire SNCM 2010 V Def_PAO-CAF-RESOP_B13_focus par entités CAFOP" xfId="1690"/>
    <cellStyle name="s_DCFLBO Code_1_Actualisation provision contrat déficitaire SNCM 2010 V Def_PAO-CAF-RESOP_B13_focus par entités CAFOP_Bridge_Zone_Sud" xfId="1691"/>
    <cellStyle name="s_DCFLBO Code_1_Actualisation provision contrat déficitaire SNCM 2010 V Def_PAO-CAF-RESOP_B2014" xfId="1692"/>
    <cellStyle name="s_DCFLBO Code_1_Actualisation provision contrat déficitaire SNCM 2010 V Def_PAO-CAF-RESOP_B2014_Bridge_Zone_Sud" xfId="1693"/>
    <cellStyle name="s_DCFLBO Code_1_Actualisation provision contrat déficitaire SNCM 2010 V Def_PAO-CAF-RESOP_B2014_v2" xfId="1694"/>
    <cellStyle name="s_DCFLBO Code_1_Actualisation provision contrat déficitaire SNCM 2010 V Def_PAO-CAF-RESOP_E2_13" xfId="1695"/>
    <cellStyle name="s_DCFLBO Code_1_Actualisation provision contrat déficitaire SNCM 2010 V Def_PAO-CAF-RESOP_E2_13_B14_E2_2210" xfId="1696"/>
    <cellStyle name="s_DCFLBO Code_1_Actualisation provision contrat déficitaire SNCM 2010 V Def_PAO-CAF-RESOP_E2_13_B14_E2_2210_Bridge_Zone_Sud" xfId="1697"/>
    <cellStyle name="s_DCFLBO Code_1_Actualisation provision contrat déficitaire SNCM 2010 V Def_PAO-CAF-RESOP_E2_13_Bridge_Zone_Sud" xfId="1698"/>
    <cellStyle name="s_DCFLBO Code_1_Actualisation provision contrat déficitaire SNCM 2010 V Def_PAO-CAF-RESOP_E2_2013_03_10_19H" xfId="1699"/>
    <cellStyle name="s_DCFLBO Code_1_Actualisation provision contrat déficitaire SNCM 2010 V Def_PAO-CAF-RESOP_E2_2013_03_10_19H_Bridge_Zone_Sud" xfId="1700"/>
    <cellStyle name="s_DCFLBO Code_1_Actualisation provision contrat déficitaire SNCM 2010 V Def_PPA" xfId="1701"/>
    <cellStyle name="s_DCFLBO Code_1_Actualisation provision contrat déficitaire SNCM 2010 V Def_RESOP bef CICE&amp;PPA&amp;RepartHO" xfId="1702"/>
    <cellStyle name="s_DCFLBO Code_1_Actualisation provision contrat déficitaire SNCM 2010 V Def_Synthèse_Présentation_conso_retraitée" xfId="1703"/>
    <cellStyle name="s_DCFLBO Code_1_Actualisation provision contrat déficitaire SNCM 2011 V3 30 05 2011" xfId="652"/>
    <cellStyle name="s_DCFLBO Code_1_Actualisation provision contrat déficitaire SNCM 2011 V3 30 05 2011_B14_E2_2210" xfId="1704"/>
    <cellStyle name="s_DCFLBO Code_1_Actualisation provision contrat déficitaire SNCM 2011 V3 30 05 2011_B14_E2_2210_Bridge_Zone_Sud" xfId="1705"/>
    <cellStyle name="s_DCFLBO Code_1_Actualisation provision contrat déficitaire SNCM 2011 V3 30 05 2011_Bridge_Zone_Sud" xfId="1706"/>
    <cellStyle name="s_DCFLBO Code_1_Actualisation provision contrat déficitaire SNCM 2011 V3 30 05 2011_CAPEM BY COUNTRY" xfId="1707"/>
    <cellStyle name="s_DCFLBO Code_1_Actualisation provision contrat déficitaire SNCM 2011 V3 30 05 2011_focus par entités CAFOPE2AMF" xfId="1708"/>
    <cellStyle name="s_DCFLBO Code_1_Actualisation provision contrat déficitaire SNCM 2011 V3 30 05 2011_focus par entités CAFOPE2AMF_Bridge_Zone_Sud" xfId="1709"/>
    <cellStyle name="s_DCFLBO Code_1_Actualisation provision contrat déficitaire SNCM 2011 V3 30 05 2011_Maquette PLT" xfId="1710"/>
    <cellStyle name="s_DCFLBO Code_1_Actualisation provision contrat déficitaire SNCM 2011 V3 30 05 2011_Output" xfId="3389"/>
    <cellStyle name="s_DCFLBO Code_1_Actualisation provision contrat déficitaire SNCM 2011 V3 30 05 2011_PAO-CAF-RESOP_04_13_pro_format_variante T1" xfId="1711"/>
    <cellStyle name="s_DCFLBO Code_1_Actualisation provision contrat déficitaire SNCM 2011 V3 30 05 2011_PAO-CAF-RESOP_04_13_pro_format_variante T1_B14_E2_2210" xfId="1712"/>
    <cellStyle name="s_DCFLBO Code_1_Actualisation provision contrat déficitaire SNCM 2011 V3 30 05 2011_PAO-CAF-RESOP_04_13_pro_format_variante T1_B14_E2_2210_Bridge_Zone_Sud" xfId="1713"/>
    <cellStyle name="s_DCFLBO Code_1_Actualisation provision contrat déficitaire SNCM 2011 V3 30 05 2011_PAO-CAF-RESOP_04_13_pro_format_variante T1_Bridge_Zone_Sud" xfId="1714"/>
    <cellStyle name="s_DCFLBO Code_1_Actualisation provision contrat déficitaire SNCM 2011 V3 30 05 2011_PAO-CAF-RESOP_06_13" xfId="1715"/>
    <cellStyle name="s_DCFLBO Code_1_Actualisation provision contrat déficitaire SNCM 2011 V3 30 05 2011_PAO-CAF-RESOP_06_13_B14_E2_2210" xfId="1716"/>
    <cellStyle name="s_DCFLBO Code_1_Actualisation provision contrat déficitaire SNCM 2011 V3 30 05 2011_PAO-CAF-RESOP_06_13_B14_E2_2210_Bridge_Zone_Sud" xfId="1717"/>
    <cellStyle name="s_DCFLBO Code_1_Actualisation provision contrat déficitaire SNCM 2011 V3 30 05 2011_PAO-CAF-RESOP_06_13_Bridge_Zone_Sud" xfId="1718"/>
    <cellStyle name="s_DCFLBO Code_1_Actualisation provision contrat déficitaire SNCM 2011 V3 30 05 2011_PAO-CAF-RESOP_08_13" xfId="1719"/>
    <cellStyle name="s_DCFLBO Code_1_Actualisation provision contrat déficitaire SNCM 2011 V3 30 05 2011_PAO-CAF-RESOP_08_13_B14_E2_2210" xfId="1720"/>
    <cellStyle name="s_DCFLBO Code_1_Actualisation provision contrat déficitaire SNCM 2011 V3 30 05 2011_PAO-CAF-RESOP_08_13_B14_E2_2210_Bridge_Zone_Sud" xfId="1721"/>
    <cellStyle name="s_DCFLBO Code_1_Actualisation provision contrat déficitaire SNCM 2011 V3 30 05 2011_PAO-CAF-RESOP_08_13_Bridge_Zone_Sud" xfId="1722"/>
    <cellStyle name="s_DCFLBO Code_1_Actualisation provision contrat déficitaire SNCM 2011 V3 30 05 2011_PAO-CAF-RESOP_09_13" xfId="1723"/>
    <cellStyle name="s_DCFLBO Code_1_Actualisation provision contrat déficitaire SNCM 2011 V3 30 05 2011_PAO-CAF-RESOP_09_13_Bridge_Zone_Sud" xfId="1724"/>
    <cellStyle name="s_DCFLBO Code_1_Actualisation provision contrat déficitaire SNCM 2011 V3 30 05 2011_PAO-CAF-RESOP_09_2013_Zone_IDF (version 2)" xfId="1725"/>
    <cellStyle name="s_DCFLBO Code_1_Actualisation provision contrat déficitaire SNCM 2011 V3 30 05 2011_PAO-CAF-RESOP_10_12" xfId="1726"/>
    <cellStyle name="s_DCFLBO Code_1_Actualisation provision contrat déficitaire SNCM 2011 V3 30 05 2011_PAO-CAF-RESOP_10_12_Bridge_Zone_Sud" xfId="1727"/>
    <cellStyle name="s_DCFLBO Code_1_Actualisation provision contrat déficitaire SNCM 2011 V3 30 05 2011_PAO-CAF-RESOP_10_12_focus par entités CAFOP" xfId="1728"/>
    <cellStyle name="s_DCFLBO Code_1_Actualisation provision contrat déficitaire SNCM 2011 V3 30 05 2011_PAO-CAF-RESOP_10_12_focus par entités CAFOP_Bridge_Zone_Sud" xfId="1729"/>
    <cellStyle name="s_DCFLBO Code_1_Actualisation provision contrat déficitaire SNCM 2011 V3 30 05 2011_PAO-CAF-RESOP_11_13" xfId="1730"/>
    <cellStyle name="s_DCFLBO Code_1_Actualisation provision contrat déficitaire SNCM 2011 V3 30 05 2011_PAO-CAF-RESOP_B13" xfId="1731"/>
    <cellStyle name="s_DCFLBO Code_1_Actualisation provision contrat déficitaire SNCM 2011 V3 30 05 2011_PAO-CAF-RESOP_B13_Bridge_Zone_Sud" xfId="1732"/>
    <cellStyle name="s_DCFLBO Code_1_Actualisation provision contrat déficitaire SNCM 2011 V3 30 05 2011_PAO-CAF-RESOP_B13_focus par entités CAFOP" xfId="1733"/>
    <cellStyle name="s_DCFLBO Code_1_Actualisation provision contrat déficitaire SNCM 2011 V3 30 05 2011_PAO-CAF-RESOP_B13_focus par entités CAFOP_Bridge_Zone_Sud" xfId="1734"/>
    <cellStyle name="s_DCFLBO Code_1_Actualisation provision contrat déficitaire SNCM 2011 V3 30 05 2011_PAO-CAF-RESOP_B2014" xfId="1735"/>
    <cellStyle name="s_DCFLBO Code_1_Actualisation provision contrat déficitaire SNCM 2011 V3 30 05 2011_PAO-CAF-RESOP_B2014_Bridge_Zone_Sud" xfId="1736"/>
    <cellStyle name="s_DCFLBO Code_1_Actualisation provision contrat déficitaire SNCM 2011 V3 30 05 2011_PAO-CAF-RESOP_B2014_v2" xfId="1737"/>
    <cellStyle name="s_DCFLBO Code_1_Actualisation provision contrat déficitaire SNCM 2011 V3 30 05 2011_PAO-CAF-RESOP_E2_13" xfId="1738"/>
    <cellStyle name="s_DCFLBO Code_1_Actualisation provision contrat déficitaire SNCM 2011 V3 30 05 2011_PAO-CAF-RESOP_E2_13_B14_E2_2210" xfId="1739"/>
    <cellStyle name="s_DCFLBO Code_1_Actualisation provision contrat déficitaire SNCM 2011 V3 30 05 2011_PAO-CAF-RESOP_E2_13_B14_E2_2210_Bridge_Zone_Sud" xfId="1740"/>
    <cellStyle name="s_DCFLBO Code_1_Actualisation provision contrat déficitaire SNCM 2011 V3 30 05 2011_PAO-CAF-RESOP_E2_13_Bridge_Zone_Sud" xfId="1741"/>
    <cellStyle name="s_DCFLBO Code_1_Actualisation provision contrat déficitaire SNCM 2011 V3 30 05 2011_PAO-CAF-RESOP_E2_2013_03_10_19H" xfId="1742"/>
    <cellStyle name="s_DCFLBO Code_1_Actualisation provision contrat déficitaire SNCM 2011 V3 30 05 2011_PAO-CAF-RESOP_E2_2013_03_10_19H_Bridge_Zone_Sud" xfId="1743"/>
    <cellStyle name="s_DCFLBO Code_1_Actualisation provision contrat déficitaire SNCM 2011 V3 30 05 2011_PPA" xfId="1744"/>
    <cellStyle name="s_DCFLBO Code_1_Actualisation provision contrat déficitaire SNCM 2011 V3 30 05 2011_RESOP bef CICE&amp;PPA&amp;RepartHO" xfId="1745"/>
    <cellStyle name="s_DCFLBO Code_1_Actualisation provision contrat déficitaire SNCM 2011 V3 30 05 2011_Synthèse_Présentation_conso_retraitée" xfId="1746"/>
    <cellStyle name="s_DCFLBO Code_1_B14_E2_2210" xfId="1747"/>
    <cellStyle name="s_DCFLBO Code_1_B14_E2_2210_Bridge_Zone_Sud" xfId="1748"/>
    <cellStyle name="s_DCFLBO Code_1_BFR_TD_2014.02" xfId="1749"/>
    <cellStyle name="s_DCFLBO Code_1_Bridge_Zone_Nord" xfId="1750"/>
    <cellStyle name="s_DCFLBO Code_1_CAPEM BY COUNTRY" xfId="1751"/>
    <cellStyle name="s_DCFLBO Code_1_LI819L_B13" xfId="653"/>
    <cellStyle name="s_DCFLBO Code_1_LI819L_B13_CAPEM BY COUNTRY" xfId="1752"/>
    <cellStyle name="s_DCFLBO Code_1_LI819L_B13_Maquette PLT" xfId="1753"/>
    <cellStyle name="s_DCFLBO Code_1_LI819L_B13_Output" xfId="3390"/>
    <cellStyle name="s_DCFLBO Code_1_LI819L_B13_PPA" xfId="1754"/>
    <cellStyle name="s_DCFLBO Code_1_LI819L_B13_RESOP bef CICE&amp;PPA&amp;RepartHO" xfId="1755"/>
    <cellStyle name="s_DCFLBO Code_1_Maquette PLT" xfId="1756"/>
    <cellStyle name="s_DCFLBO Code_1_Output" xfId="3391"/>
    <cellStyle name="s_DCFLBO Code_1_PAO-CAF-RESOP_14_01_13 à 20h" xfId="654"/>
    <cellStyle name="s_DCFLBO Code_1_PAO-CAF-RESOP_14_01_13 à 20h_CAPEM BY COUNTRY" xfId="1757"/>
    <cellStyle name="s_DCFLBO Code_1_PAO-CAF-RESOP_14_01_13 à 20h_Maquette PLT" xfId="1758"/>
    <cellStyle name="s_DCFLBO Code_1_PAO-CAF-RESOP_14_01_13 à 20h_Output" xfId="3392"/>
    <cellStyle name="s_DCFLBO Code_1_PAO-CAF-RESOP_14_01_13 à 20h_PPA" xfId="1759"/>
    <cellStyle name="s_DCFLBO Code_1_PAO-CAF-RESOP_14_01_13 à 20h_RESOP bef CICE&amp;PPA&amp;RepartHO" xfId="1760"/>
    <cellStyle name="s_DCFLBO Code_1_PAO-CAF-RESOP_2014.02" xfId="1761"/>
    <cellStyle name="s_DCFLBO Code_1_PAO-CAF-RESOP_2014.02_Bridge_Zone_Sud" xfId="1762"/>
    <cellStyle name="s_DCFLBO Code_1_PPA" xfId="1763"/>
    <cellStyle name="s_DCFLBO Code_1_RESOP bef CICE&amp;PPA&amp;RepartHO" xfId="1764"/>
    <cellStyle name="s_DCFLBO Code_Actualisation provision contrat déficitaire SNCM 2010 V Def" xfId="655"/>
    <cellStyle name="s_DCFLBO Code_Actualisation provision contrat déficitaire SNCM 2010 V Def_B14_E2_2210" xfId="1765"/>
    <cellStyle name="s_DCFLBO Code_Actualisation provision contrat déficitaire SNCM 2010 V Def_B14_E2_2210_Bridge_Zone_Sud" xfId="1766"/>
    <cellStyle name="s_DCFLBO Code_Actualisation provision contrat déficitaire SNCM 2010 V Def_Bridge_Zone_Sud" xfId="1767"/>
    <cellStyle name="s_DCFLBO Code_Actualisation provision contrat déficitaire SNCM 2010 V Def_CAPEM BY COUNTRY" xfId="1768"/>
    <cellStyle name="s_DCFLBO Code_Actualisation provision contrat déficitaire SNCM 2010 V Def_focus par entités CAFOPE2AMF" xfId="1769"/>
    <cellStyle name="s_DCFLBO Code_Actualisation provision contrat déficitaire SNCM 2010 V Def_focus par entités CAFOPE2AMF_Bridge_Zone_Sud" xfId="1770"/>
    <cellStyle name="s_DCFLBO Code_Actualisation provision contrat déficitaire SNCM 2010 V Def_Maquette PLT" xfId="1771"/>
    <cellStyle name="s_DCFLBO Code_Actualisation provision contrat déficitaire SNCM 2010 V Def_Output" xfId="3393"/>
    <cellStyle name="s_DCFLBO Code_Actualisation provision contrat déficitaire SNCM 2010 V Def_PAO-CAF-RESOP_04_13_pro_format_variante T1" xfId="1772"/>
    <cellStyle name="s_DCFLBO Code_Actualisation provision contrat déficitaire SNCM 2010 V Def_PAO-CAF-RESOP_04_13_pro_format_variante T1_Bridge_Zone_Sud" xfId="1773"/>
    <cellStyle name="s_DCFLBO Code_Actualisation provision contrat déficitaire SNCM 2010 V Def_PAO-CAF-RESOP_06_13" xfId="1774"/>
    <cellStyle name="s_DCFLBO Code_Actualisation provision contrat déficitaire SNCM 2010 V Def_PAO-CAF-RESOP_06_13_Bridge_Zone_Sud" xfId="1775"/>
    <cellStyle name="s_DCFLBO Code_Actualisation provision contrat déficitaire SNCM 2010 V Def_PAO-CAF-RESOP_08_13" xfId="1776"/>
    <cellStyle name="s_DCFLBO Code_Actualisation provision contrat déficitaire SNCM 2010 V Def_PAO-CAF-RESOP_08_13_Bridge_Zone_Sud" xfId="1777"/>
    <cellStyle name="s_DCFLBO Code_Actualisation provision contrat déficitaire SNCM 2010 V Def_PAO-CAF-RESOP_09_13" xfId="1778"/>
    <cellStyle name="s_DCFLBO Code_Actualisation provision contrat déficitaire SNCM 2010 V Def_PAO-CAF-RESOP_09_13_Bridge_Zone_Sud" xfId="1779"/>
    <cellStyle name="s_DCFLBO Code_Actualisation provision contrat déficitaire SNCM 2010 V Def_PAO-CAF-RESOP_09_2013_Zone_IDF (version 2)" xfId="1780"/>
    <cellStyle name="s_DCFLBO Code_Actualisation provision contrat déficitaire SNCM 2010 V Def_PAO-CAF-RESOP_10_12" xfId="1781"/>
    <cellStyle name="s_DCFLBO Code_Actualisation provision contrat déficitaire SNCM 2010 V Def_PAO-CAF-RESOP_10_12_Bridge_Zone_Sud" xfId="1782"/>
    <cellStyle name="s_DCFLBO Code_Actualisation provision contrat déficitaire SNCM 2010 V Def_PAO-CAF-RESOP_10_12_focus par entités CAFOP" xfId="1783"/>
    <cellStyle name="s_DCFLBO Code_Actualisation provision contrat déficitaire SNCM 2010 V Def_PAO-CAF-RESOP_10_12_focus par entités CAFOP_Bridge_Zone_Sud" xfId="1784"/>
    <cellStyle name="s_DCFLBO Code_Actualisation provision contrat déficitaire SNCM 2010 V Def_PAO-CAF-RESOP_11_13" xfId="1785"/>
    <cellStyle name="s_DCFLBO Code_Actualisation provision contrat déficitaire SNCM 2010 V Def_PAO-CAF-RESOP_B13" xfId="1786"/>
    <cellStyle name="s_DCFLBO Code_Actualisation provision contrat déficitaire SNCM 2010 V Def_PAO-CAF-RESOP_B13_Bridge_Zone_Sud" xfId="1787"/>
    <cellStyle name="s_DCFLBO Code_Actualisation provision contrat déficitaire SNCM 2010 V Def_PAO-CAF-RESOP_B13_focus par entités CAFOP" xfId="1788"/>
    <cellStyle name="s_DCFLBO Code_Actualisation provision contrat déficitaire SNCM 2010 V Def_PAO-CAF-RESOP_B13_focus par entités CAFOP_Bridge_Zone_Sud" xfId="1789"/>
    <cellStyle name="s_DCFLBO Code_Actualisation provision contrat déficitaire SNCM 2010 V Def_PAO-CAF-RESOP_B2014" xfId="1790"/>
    <cellStyle name="s_DCFLBO Code_Actualisation provision contrat déficitaire SNCM 2010 V Def_PAO-CAF-RESOP_B2014_Bridge_Zone_Sud" xfId="1791"/>
    <cellStyle name="s_DCFLBO Code_Actualisation provision contrat déficitaire SNCM 2010 V Def_PAO-CAF-RESOP_B2014_v2" xfId="1792"/>
    <cellStyle name="s_DCFLBO Code_Actualisation provision contrat déficitaire SNCM 2010 V Def_PAO-CAF-RESOP_E2_13" xfId="1793"/>
    <cellStyle name="s_DCFLBO Code_Actualisation provision contrat déficitaire SNCM 2010 V Def_PAO-CAF-RESOP_E2_13_Bridge_Zone_Sud" xfId="1794"/>
    <cellStyle name="s_DCFLBO Code_Actualisation provision contrat déficitaire SNCM 2010 V Def_PAO-CAF-RESOP_E2_2013_03_10_19H" xfId="1795"/>
    <cellStyle name="s_DCFLBO Code_Actualisation provision contrat déficitaire SNCM 2010 V Def_PAO-CAF-RESOP_E2_2013_03_10_19H_Bridge_Zone_Sud" xfId="1796"/>
    <cellStyle name="s_DCFLBO Code_Actualisation provision contrat déficitaire SNCM 2010 V Def_Synthèse_Présentation_conso_retraitée" xfId="1797"/>
    <cellStyle name="s_DCFLBO Code_Actualisation provision contrat déficitaire SNCM 2011 V3 30 05 2011" xfId="656"/>
    <cellStyle name="s_DCFLBO Code_Actualisation provision contrat déficitaire SNCM 2011 V3 30 05 2011_B14_E2_2210" xfId="1798"/>
    <cellStyle name="s_DCFLBO Code_Actualisation provision contrat déficitaire SNCM 2011 V3 30 05 2011_B14_E2_2210_Bridge_Zone_Sud" xfId="1799"/>
    <cellStyle name="s_DCFLBO Code_Actualisation provision contrat déficitaire SNCM 2011 V3 30 05 2011_Bridge_Zone_Sud" xfId="1800"/>
    <cellStyle name="s_DCFLBO Code_Actualisation provision contrat déficitaire SNCM 2011 V3 30 05 2011_CAPEM BY COUNTRY" xfId="1801"/>
    <cellStyle name="s_DCFLBO Code_Actualisation provision contrat déficitaire SNCM 2011 V3 30 05 2011_focus par entités CAFOPE2AMF" xfId="1802"/>
    <cellStyle name="s_DCFLBO Code_Actualisation provision contrat déficitaire SNCM 2011 V3 30 05 2011_focus par entités CAFOPE2AMF_Bridge_Zone_Sud" xfId="1803"/>
    <cellStyle name="s_DCFLBO Code_Actualisation provision contrat déficitaire SNCM 2011 V3 30 05 2011_Maquette PLT" xfId="1804"/>
    <cellStyle name="s_DCFLBO Code_Actualisation provision contrat déficitaire SNCM 2011 V3 30 05 2011_Output" xfId="3394"/>
    <cellStyle name="s_DCFLBO Code_Actualisation provision contrat déficitaire SNCM 2011 V3 30 05 2011_PAO-CAF-RESOP_04_13_pro_format_variante T1" xfId="1805"/>
    <cellStyle name="s_DCFLBO Code_Actualisation provision contrat déficitaire SNCM 2011 V3 30 05 2011_PAO-CAF-RESOP_04_13_pro_format_variante T1_Bridge_Zone_Sud" xfId="1806"/>
    <cellStyle name="s_DCFLBO Code_Actualisation provision contrat déficitaire SNCM 2011 V3 30 05 2011_PAO-CAF-RESOP_06_13" xfId="1807"/>
    <cellStyle name="s_DCFLBO Code_Actualisation provision contrat déficitaire SNCM 2011 V3 30 05 2011_PAO-CAF-RESOP_06_13_Bridge_Zone_Sud" xfId="1808"/>
    <cellStyle name="s_DCFLBO Code_Actualisation provision contrat déficitaire SNCM 2011 V3 30 05 2011_PAO-CAF-RESOP_08_13" xfId="1809"/>
    <cellStyle name="s_DCFLBO Code_Actualisation provision contrat déficitaire SNCM 2011 V3 30 05 2011_PAO-CAF-RESOP_08_13_Bridge_Zone_Sud" xfId="1810"/>
    <cellStyle name="s_DCFLBO Code_Actualisation provision contrat déficitaire SNCM 2011 V3 30 05 2011_PAO-CAF-RESOP_09_13" xfId="1811"/>
    <cellStyle name="s_DCFLBO Code_Actualisation provision contrat déficitaire SNCM 2011 V3 30 05 2011_PAO-CAF-RESOP_09_13_Bridge_Zone_Sud" xfId="1812"/>
    <cellStyle name="s_DCFLBO Code_Actualisation provision contrat déficitaire SNCM 2011 V3 30 05 2011_PAO-CAF-RESOP_09_2013_Zone_IDF (version 2)" xfId="1813"/>
    <cellStyle name="s_DCFLBO Code_Actualisation provision contrat déficitaire SNCM 2011 V3 30 05 2011_PAO-CAF-RESOP_10_12" xfId="1814"/>
    <cellStyle name="s_DCFLBO Code_Actualisation provision contrat déficitaire SNCM 2011 V3 30 05 2011_PAO-CAF-RESOP_10_12_Bridge_Zone_Sud" xfId="1815"/>
    <cellStyle name="s_DCFLBO Code_Actualisation provision contrat déficitaire SNCM 2011 V3 30 05 2011_PAO-CAF-RESOP_10_12_focus par entités CAFOP" xfId="1816"/>
    <cellStyle name="s_DCFLBO Code_Actualisation provision contrat déficitaire SNCM 2011 V3 30 05 2011_PAO-CAF-RESOP_10_12_focus par entités CAFOP_Bridge_Zone_Sud" xfId="1817"/>
    <cellStyle name="s_DCFLBO Code_Actualisation provision contrat déficitaire SNCM 2011 V3 30 05 2011_PAO-CAF-RESOP_11_13" xfId="1818"/>
    <cellStyle name="s_DCFLBO Code_Actualisation provision contrat déficitaire SNCM 2011 V3 30 05 2011_PAO-CAF-RESOP_B13" xfId="1819"/>
    <cellStyle name="s_DCFLBO Code_Actualisation provision contrat déficitaire SNCM 2011 V3 30 05 2011_PAO-CAF-RESOP_B13_Bridge_Zone_Sud" xfId="1820"/>
    <cellStyle name="s_DCFLBO Code_Actualisation provision contrat déficitaire SNCM 2011 V3 30 05 2011_PAO-CAF-RESOP_B13_focus par entités CAFOP" xfId="1821"/>
    <cellStyle name="s_DCFLBO Code_Actualisation provision contrat déficitaire SNCM 2011 V3 30 05 2011_PAO-CAF-RESOP_B13_focus par entités CAFOP_Bridge_Zone_Sud" xfId="1822"/>
    <cellStyle name="s_DCFLBO Code_Actualisation provision contrat déficitaire SNCM 2011 V3 30 05 2011_PAO-CAF-RESOP_B2014" xfId="1823"/>
    <cellStyle name="s_DCFLBO Code_Actualisation provision contrat déficitaire SNCM 2011 V3 30 05 2011_PAO-CAF-RESOP_B2014_Bridge_Zone_Sud" xfId="1824"/>
    <cellStyle name="s_DCFLBO Code_Actualisation provision contrat déficitaire SNCM 2011 V3 30 05 2011_PAO-CAF-RESOP_B2014_v2" xfId="1825"/>
    <cellStyle name="s_DCFLBO Code_Actualisation provision contrat déficitaire SNCM 2011 V3 30 05 2011_PAO-CAF-RESOP_E2_13" xfId="1826"/>
    <cellStyle name="s_DCFLBO Code_Actualisation provision contrat déficitaire SNCM 2011 V3 30 05 2011_PAO-CAF-RESOP_E2_13_Bridge_Zone_Sud" xfId="1827"/>
    <cellStyle name="s_DCFLBO Code_Actualisation provision contrat déficitaire SNCM 2011 V3 30 05 2011_PAO-CAF-RESOP_E2_2013_03_10_19H" xfId="1828"/>
    <cellStyle name="s_DCFLBO Code_Actualisation provision contrat déficitaire SNCM 2011 V3 30 05 2011_PAO-CAF-RESOP_E2_2013_03_10_19H_Bridge_Zone_Sud" xfId="1829"/>
    <cellStyle name="s_DCFLBO Code_Actualisation provision contrat déficitaire SNCM 2011 V3 30 05 2011_Synthèse_Présentation_conso_retraitée" xfId="1830"/>
    <cellStyle name="s_DCFLBO Code_BFR_TD_2014.02" xfId="1831"/>
    <cellStyle name="s_DCFLBO Code_Bridge_Zone_Nord" xfId="1832"/>
    <cellStyle name="s_DCFLBO Code_CAPEM BY COUNTRY" xfId="1833"/>
    <cellStyle name="s_DCFLBO Code_LI819L_B13" xfId="657"/>
    <cellStyle name="s_DCFLBO Code_LI819L_B13_CAPEM BY COUNTRY" xfId="1834"/>
    <cellStyle name="s_DCFLBO Code_LI819L_B13_Maquette PLT" xfId="1835"/>
    <cellStyle name="s_DCFLBO Code_LI819L_B13_Output" xfId="3395"/>
    <cellStyle name="s_DCFLBO Code_Maquette PLT" xfId="1836"/>
    <cellStyle name="s_DCFLBO Code_Output" xfId="3396"/>
    <cellStyle name="s_DCFLBO Code_PAO-CAF-RESOP_14_01_13 à 20h" xfId="658"/>
    <cellStyle name="s_DCFLBO Code_PAO-CAF-RESOP_14_01_13 à 20h_CAPEM BY COUNTRY" xfId="1837"/>
    <cellStyle name="s_DCFLBO Code_PAO-CAF-RESOP_14_01_13 à 20h_Maquette PLT" xfId="1838"/>
    <cellStyle name="s_DCFLBO Code_PAO-CAF-RESOP_14_01_13 à 20h_Output" xfId="3397"/>
    <cellStyle name="s_DCFLBO Code_PAO-CAF-RESOP_2014.02" xfId="1839"/>
    <cellStyle name="s_DCFLBO Code_PAO-CAF-RESOP_2014.02_Bridge_Zone_Sud" xfId="1840"/>
    <cellStyle name="s_Dilution" xfId="659"/>
    <cellStyle name="s_Dilution_Actualisation provision contrat déficitaire SNCM 2010 V Def" xfId="660"/>
    <cellStyle name="s_Dilution_Actualisation provision contrat déficitaire SNCM 2010 V Def_B14_E2_2210" xfId="1841"/>
    <cellStyle name="s_Dilution_Actualisation provision contrat déficitaire SNCM 2010 V Def_B14_E2_2210_Bridge_Zone_Sud" xfId="1842"/>
    <cellStyle name="s_Dilution_Actualisation provision contrat déficitaire SNCM 2010 V Def_Bridge_Zone_Sud" xfId="1843"/>
    <cellStyle name="s_Dilution_Actualisation provision contrat déficitaire SNCM 2010 V Def_CAPEM BY COUNTRY" xfId="1844"/>
    <cellStyle name="s_Dilution_Actualisation provision contrat déficitaire SNCM 2010 V Def_focus par entités CAFOPE2AMF" xfId="1845"/>
    <cellStyle name="s_Dilution_Actualisation provision contrat déficitaire SNCM 2010 V Def_focus par entités CAFOPE2AMF_Bridge_Zone_Sud" xfId="1846"/>
    <cellStyle name="s_Dilution_Actualisation provision contrat déficitaire SNCM 2010 V Def_Maquette PLT" xfId="1847"/>
    <cellStyle name="s_Dilution_Actualisation provision contrat déficitaire SNCM 2010 V Def_Output" xfId="3398"/>
    <cellStyle name="s_Dilution_Actualisation provision contrat déficitaire SNCM 2010 V Def_PAO-CAF-RESOP_04_13_pro_format_variante T1" xfId="1848"/>
    <cellStyle name="s_Dilution_Actualisation provision contrat déficitaire SNCM 2010 V Def_PAO-CAF-RESOP_04_13_pro_format_variante T1_B14_E2_2210" xfId="1849"/>
    <cellStyle name="s_Dilution_Actualisation provision contrat déficitaire SNCM 2010 V Def_PAO-CAF-RESOP_04_13_pro_format_variante T1_B14_E2_2210_Bridge_Zone_Sud" xfId="1850"/>
    <cellStyle name="s_Dilution_Actualisation provision contrat déficitaire SNCM 2010 V Def_PAO-CAF-RESOP_04_13_pro_format_variante T1_Bridge_Zone_Sud" xfId="1851"/>
    <cellStyle name="s_Dilution_Actualisation provision contrat déficitaire SNCM 2010 V Def_PAO-CAF-RESOP_06_13" xfId="1852"/>
    <cellStyle name="s_Dilution_Actualisation provision contrat déficitaire SNCM 2010 V Def_PAO-CAF-RESOP_06_13_B14_E2_2210" xfId="1853"/>
    <cellStyle name="s_Dilution_Actualisation provision contrat déficitaire SNCM 2010 V Def_PAO-CAF-RESOP_06_13_B14_E2_2210_Bridge_Zone_Sud" xfId="1854"/>
    <cellStyle name="s_Dilution_Actualisation provision contrat déficitaire SNCM 2010 V Def_PAO-CAF-RESOP_06_13_Bridge_Zone_Sud" xfId="1855"/>
    <cellStyle name="s_Dilution_Actualisation provision contrat déficitaire SNCM 2010 V Def_PAO-CAF-RESOP_08_13" xfId="1856"/>
    <cellStyle name="s_Dilution_Actualisation provision contrat déficitaire SNCM 2010 V Def_PAO-CAF-RESOP_08_13_B14_E2_2210" xfId="1857"/>
    <cellStyle name="s_Dilution_Actualisation provision contrat déficitaire SNCM 2010 V Def_PAO-CAF-RESOP_08_13_B14_E2_2210_Bridge_Zone_Sud" xfId="1858"/>
    <cellStyle name="s_Dilution_Actualisation provision contrat déficitaire SNCM 2010 V Def_PAO-CAF-RESOP_08_13_Bridge_Zone_Sud" xfId="1859"/>
    <cellStyle name="s_Dilution_Actualisation provision contrat déficitaire SNCM 2010 V Def_PAO-CAF-RESOP_09_13" xfId="1860"/>
    <cellStyle name="s_Dilution_Actualisation provision contrat déficitaire SNCM 2010 V Def_PAO-CAF-RESOP_09_13_Bridge_Zone_Sud" xfId="1861"/>
    <cellStyle name="s_Dilution_Actualisation provision contrat déficitaire SNCM 2010 V Def_PAO-CAF-RESOP_09_2013_Zone_IDF (version 2)" xfId="1862"/>
    <cellStyle name="s_Dilution_Actualisation provision contrat déficitaire SNCM 2010 V Def_PAO-CAF-RESOP_10_12" xfId="1863"/>
    <cellStyle name="s_Dilution_Actualisation provision contrat déficitaire SNCM 2010 V Def_PAO-CAF-RESOP_10_12_Bridge_Zone_Sud" xfId="1864"/>
    <cellStyle name="s_Dilution_Actualisation provision contrat déficitaire SNCM 2010 V Def_PAO-CAF-RESOP_10_12_focus par entités CAFOP" xfId="1865"/>
    <cellStyle name="s_Dilution_Actualisation provision contrat déficitaire SNCM 2010 V Def_PAO-CAF-RESOP_10_12_focus par entités CAFOP_Bridge_Zone_Sud" xfId="1866"/>
    <cellStyle name="s_Dilution_Actualisation provision contrat déficitaire SNCM 2010 V Def_PAO-CAF-RESOP_11_13" xfId="1867"/>
    <cellStyle name="s_Dilution_Actualisation provision contrat déficitaire SNCM 2010 V Def_PAO-CAF-RESOP_B13" xfId="1868"/>
    <cellStyle name="s_Dilution_Actualisation provision contrat déficitaire SNCM 2010 V Def_PAO-CAF-RESOP_B13_Bridge_Zone_Sud" xfId="1869"/>
    <cellStyle name="s_Dilution_Actualisation provision contrat déficitaire SNCM 2010 V Def_PAO-CAF-RESOP_B13_focus par entités CAFOP" xfId="1870"/>
    <cellStyle name="s_Dilution_Actualisation provision contrat déficitaire SNCM 2010 V Def_PAO-CAF-RESOP_B13_focus par entités CAFOP_Bridge_Zone_Sud" xfId="1871"/>
    <cellStyle name="s_Dilution_Actualisation provision contrat déficitaire SNCM 2010 V Def_PAO-CAF-RESOP_B2014" xfId="1872"/>
    <cellStyle name="s_Dilution_Actualisation provision contrat déficitaire SNCM 2010 V Def_PAO-CAF-RESOP_B2014_Bridge_Zone_Sud" xfId="1873"/>
    <cellStyle name="s_Dilution_Actualisation provision contrat déficitaire SNCM 2010 V Def_PAO-CAF-RESOP_B2014_v2" xfId="1874"/>
    <cellStyle name="s_Dilution_Actualisation provision contrat déficitaire SNCM 2010 V Def_PAO-CAF-RESOP_E2_13" xfId="1875"/>
    <cellStyle name="s_Dilution_Actualisation provision contrat déficitaire SNCM 2010 V Def_PAO-CAF-RESOP_E2_13_B14_E2_2210" xfId="1876"/>
    <cellStyle name="s_Dilution_Actualisation provision contrat déficitaire SNCM 2010 V Def_PAO-CAF-RESOP_E2_13_B14_E2_2210_Bridge_Zone_Sud" xfId="1877"/>
    <cellStyle name="s_Dilution_Actualisation provision contrat déficitaire SNCM 2010 V Def_PAO-CAF-RESOP_E2_13_Bridge_Zone_Sud" xfId="1878"/>
    <cellStyle name="s_Dilution_Actualisation provision contrat déficitaire SNCM 2010 V Def_PAO-CAF-RESOP_E2_2013_03_10_19H" xfId="1879"/>
    <cellStyle name="s_Dilution_Actualisation provision contrat déficitaire SNCM 2010 V Def_PAO-CAF-RESOP_E2_2013_03_10_19H_Bridge_Zone_Sud" xfId="1880"/>
    <cellStyle name="s_Dilution_Actualisation provision contrat déficitaire SNCM 2010 V Def_PPA" xfId="1881"/>
    <cellStyle name="s_Dilution_Actualisation provision contrat déficitaire SNCM 2010 V Def_RESOP bef CICE&amp;PPA&amp;RepartHO" xfId="1882"/>
    <cellStyle name="s_Dilution_Actualisation provision contrat déficitaire SNCM 2010 V Def_Synthèse_Présentation_conso_retraitée" xfId="1883"/>
    <cellStyle name="s_Dilution_Actualisation provision contrat déficitaire SNCM 2011 V3 30 05 2011" xfId="661"/>
    <cellStyle name="s_Dilution_Actualisation provision contrat déficitaire SNCM 2011 V3 30 05 2011_B14_E2_2210" xfId="1884"/>
    <cellStyle name="s_Dilution_Actualisation provision contrat déficitaire SNCM 2011 V3 30 05 2011_B14_E2_2210_Bridge_Zone_Sud" xfId="1885"/>
    <cellStyle name="s_Dilution_Actualisation provision contrat déficitaire SNCM 2011 V3 30 05 2011_Bridge_Zone_Sud" xfId="1886"/>
    <cellStyle name="s_Dilution_Actualisation provision contrat déficitaire SNCM 2011 V3 30 05 2011_CAPEM BY COUNTRY" xfId="1887"/>
    <cellStyle name="s_Dilution_Actualisation provision contrat déficitaire SNCM 2011 V3 30 05 2011_focus par entités CAFOPE2AMF" xfId="1888"/>
    <cellStyle name="s_Dilution_Actualisation provision contrat déficitaire SNCM 2011 V3 30 05 2011_focus par entités CAFOPE2AMF_Bridge_Zone_Sud" xfId="1889"/>
    <cellStyle name="s_Dilution_Actualisation provision contrat déficitaire SNCM 2011 V3 30 05 2011_Maquette PLT" xfId="1890"/>
    <cellStyle name="s_Dilution_Actualisation provision contrat déficitaire SNCM 2011 V3 30 05 2011_Output" xfId="3399"/>
    <cellStyle name="s_Dilution_Actualisation provision contrat déficitaire SNCM 2011 V3 30 05 2011_PAO-CAF-RESOP_04_13_pro_format_variante T1" xfId="1891"/>
    <cellStyle name="s_Dilution_Actualisation provision contrat déficitaire SNCM 2011 V3 30 05 2011_PAO-CAF-RESOP_04_13_pro_format_variante T1_B14_E2_2210" xfId="1892"/>
    <cellStyle name="s_Dilution_Actualisation provision contrat déficitaire SNCM 2011 V3 30 05 2011_PAO-CAF-RESOP_04_13_pro_format_variante T1_B14_E2_2210_Bridge_Zone_Sud" xfId="1893"/>
    <cellStyle name="s_Dilution_Actualisation provision contrat déficitaire SNCM 2011 V3 30 05 2011_PAO-CAF-RESOP_04_13_pro_format_variante T1_Bridge_Zone_Sud" xfId="1894"/>
    <cellStyle name="s_Dilution_Actualisation provision contrat déficitaire SNCM 2011 V3 30 05 2011_PAO-CAF-RESOP_06_13" xfId="1895"/>
    <cellStyle name="s_Dilution_Actualisation provision contrat déficitaire SNCM 2011 V3 30 05 2011_PAO-CAF-RESOP_06_13_B14_E2_2210" xfId="1896"/>
    <cellStyle name="s_Dilution_Actualisation provision contrat déficitaire SNCM 2011 V3 30 05 2011_PAO-CAF-RESOP_06_13_B14_E2_2210_Bridge_Zone_Sud" xfId="1897"/>
    <cellStyle name="s_Dilution_Actualisation provision contrat déficitaire SNCM 2011 V3 30 05 2011_PAO-CAF-RESOP_06_13_Bridge_Zone_Sud" xfId="1898"/>
    <cellStyle name="s_Dilution_Actualisation provision contrat déficitaire SNCM 2011 V3 30 05 2011_PAO-CAF-RESOP_08_13" xfId="1899"/>
    <cellStyle name="s_Dilution_Actualisation provision contrat déficitaire SNCM 2011 V3 30 05 2011_PAO-CAF-RESOP_08_13_B14_E2_2210" xfId="1900"/>
    <cellStyle name="s_Dilution_Actualisation provision contrat déficitaire SNCM 2011 V3 30 05 2011_PAO-CAF-RESOP_08_13_B14_E2_2210_Bridge_Zone_Sud" xfId="1901"/>
    <cellStyle name="s_Dilution_Actualisation provision contrat déficitaire SNCM 2011 V3 30 05 2011_PAO-CAF-RESOP_08_13_Bridge_Zone_Sud" xfId="1902"/>
    <cellStyle name="s_Dilution_Actualisation provision contrat déficitaire SNCM 2011 V3 30 05 2011_PAO-CAF-RESOP_09_13" xfId="1903"/>
    <cellStyle name="s_Dilution_Actualisation provision contrat déficitaire SNCM 2011 V3 30 05 2011_PAO-CAF-RESOP_09_13_Bridge_Zone_Sud" xfId="1904"/>
    <cellStyle name="s_Dilution_Actualisation provision contrat déficitaire SNCM 2011 V3 30 05 2011_PAO-CAF-RESOP_09_2013_Zone_IDF (version 2)" xfId="1905"/>
    <cellStyle name="s_Dilution_Actualisation provision contrat déficitaire SNCM 2011 V3 30 05 2011_PAO-CAF-RESOP_10_12" xfId="1906"/>
    <cellStyle name="s_Dilution_Actualisation provision contrat déficitaire SNCM 2011 V3 30 05 2011_PAO-CAF-RESOP_10_12_Bridge_Zone_Sud" xfId="1907"/>
    <cellStyle name="s_Dilution_Actualisation provision contrat déficitaire SNCM 2011 V3 30 05 2011_PAO-CAF-RESOP_10_12_focus par entités CAFOP" xfId="1908"/>
    <cellStyle name="s_Dilution_Actualisation provision contrat déficitaire SNCM 2011 V3 30 05 2011_PAO-CAF-RESOP_10_12_focus par entités CAFOP_Bridge_Zone_Sud" xfId="1909"/>
    <cellStyle name="s_Dilution_Actualisation provision contrat déficitaire SNCM 2011 V3 30 05 2011_PAO-CAF-RESOP_11_13" xfId="1910"/>
    <cellStyle name="s_Dilution_Actualisation provision contrat déficitaire SNCM 2011 V3 30 05 2011_PAO-CAF-RESOP_B13" xfId="1911"/>
    <cellStyle name="s_Dilution_Actualisation provision contrat déficitaire SNCM 2011 V3 30 05 2011_PAO-CAF-RESOP_B13_Bridge_Zone_Sud" xfId="1912"/>
    <cellStyle name="s_Dilution_Actualisation provision contrat déficitaire SNCM 2011 V3 30 05 2011_PAO-CAF-RESOP_B13_focus par entités CAFOP" xfId="1913"/>
    <cellStyle name="s_Dilution_Actualisation provision contrat déficitaire SNCM 2011 V3 30 05 2011_PAO-CAF-RESOP_B13_focus par entités CAFOP_Bridge_Zone_Sud" xfId="1914"/>
    <cellStyle name="s_Dilution_Actualisation provision contrat déficitaire SNCM 2011 V3 30 05 2011_PAO-CAF-RESOP_B2014" xfId="1915"/>
    <cellStyle name="s_Dilution_Actualisation provision contrat déficitaire SNCM 2011 V3 30 05 2011_PAO-CAF-RESOP_B2014_Bridge_Zone_Sud" xfId="1916"/>
    <cellStyle name="s_Dilution_Actualisation provision contrat déficitaire SNCM 2011 V3 30 05 2011_PAO-CAF-RESOP_B2014_v2" xfId="1917"/>
    <cellStyle name="s_Dilution_Actualisation provision contrat déficitaire SNCM 2011 V3 30 05 2011_PAO-CAF-RESOP_E2_13" xfId="1918"/>
    <cellStyle name="s_Dilution_Actualisation provision contrat déficitaire SNCM 2011 V3 30 05 2011_PAO-CAF-RESOP_E2_13_B14_E2_2210" xfId="1919"/>
    <cellStyle name="s_Dilution_Actualisation provision contrat déficitaire SNCM 2011 V3 30 05 2011_PAO-CAF-RESOP_E2_13_B14_E2_2210_Bridge_Zone_Sud" xfId="1920"/>
    <cellStyle name="s_Dilution_Actualisation provision contrat déficitaire SNCM 2011 V3 30 05 2011_PAO-CAF-RESOP_E2_13_Bridge_Zone_Sud" xfId="1921"/>
    <cellStyle name="s_Dilution_Actualisation provision contrat déficitaire SNCM 2011 V3 30 05 2011_PAO-CAF-RESOP_E2_2013_03_10_19H" xfId="1922"/>
    <cellStyle name="s_Dilution_Actualisation provision contrat déficitaire SNCM 2011 V3 30 05 2011_PAO-CAF-RESOP_E2_2013_03_10_19H_Bridge_Zone_Sud" xfId="1923"/>
    <cellStyle name="s_Dilution_Actualisation provision contrat déficitaire SNCM 2011 V3 30 05 2011_PPA" xfId="1924"/>
    <cellStyle name="s_Dilution_Actualisation provision contrat déficitaire SNCM 2011 V3 30 05 2011_RESOP bef CICE&amp;PPA&amp;RepartHO" xfId="1925"/>
    <cellStyle name="s_Dilution_Actualisation provision contrat déficitaire SNCM 2011 V3 30 05 2011_Synthèse_Présentation_conso_retraitée" xfId="1926"/>
    <cellStyle name="s_Dilution_B14_E2_2210" xfId="1927"/>
    <cellStyle name="s_Dilution_B14_E2_2210_Bridge_Zone_Sud" xfId="1928"/>
    <cellStyle name="s_Dilution_BFR_TD_2014.02" xfId="1929"/>
    <cellStyle name="s_Dilution_Bridge_Zone_Nord" xfId="1930"/>
    <cellStyle name="s_Dilution_CAPEM BY COUNTRY" xfId="1931"/>
    <cellStyle name="s_Dilution_LI819L_B13" xfId="662"/>
    <cellStyle name="s_Dilution_LI819L_B13_CAPEM BY COUNTRY" xfId="1932"/>
    <cellStyle name="s_Dilution_LI819L_B13_Maquette PLT" xfId="1933"/>
    <cellStyle name="s_Dilution_LI819L_B13_Output" xfId="3400"/>
    <cellStyle name="s_Dilution_LI819L_B13_PPA" xfId="1934"/>
    <cellStyle name="s_Dilution_LI819L_B13_RESOP bef CICE&amp;PPA&amp;RepartHO" xfId="1935"/>
    <cellStyle name="s_Dilution_Maquette PLT" xfId="1936"/>
    <cellStyle name="s_Dilution_Output" xfId="3401"/>
    <cellStyle name="s_Dilution_PAO-CAF-RESOP_14_01_13 à 20h" xfId="663"/>
    <cellStyle name="s_Dilution_PAO-CAF-RESOP_14_01_13 à 20h_CAPEM BY COUNTRY" xfId="1937"/>
    <cellStyle name="s_Dilution_PAO-CAF-RESOP_14_01_13 à 20h_Maquette PLT" xfId="1938"/>
    <cellStyle name="s_Dilution_PAO-CAF-RESOP_14_01_13 à 20h_Output" xfId="3402"/>
    <cellStyle name="s_Dilution_PAO-CAF-RESOP_14_01_13 à 20h_PPA" xfId="1939"/>
    <cellStyle name="s_Dilution_PAO-CAF-RESOP_14_01_13 à 20h_RESOP bef CICE&amp;PPA&amp;RepartHO" xfId="1940"/>
    <cellStyle name="s_Dilution_PAO-CAF-RESOP_2014.02" xfId="1941"/>
    <cellStyle name="s_Dilution_PAO-CAF-RESOP_2014.02_Bridge_Zone_Sud" xfId="1942"/>
    <cellStyle name="s_Dilution_PPA" xfId="1943"/>
    <cellStyle name="s_Dilution_RESOP bef CICE&amp;PPA&amp;RepartHO" xfId="1944"/>
    <cellStyle name="s_Financials_B" xfId="664"/>
    <cellStyle name="s_Financials_B_Actualisation provision contrat déficitaire SNCM 2010 V Def" xfId="665"/>
    <cellStyle name="s_Financials_B_Actualisation provision contrat déficitaire SNCM 2010 V Def_B14_E2_2210" xfId="1945"/>
    <cellStyle name="s_Financials_B_Actualisation provision contrat déficitaire SNCM 2010 V Def_B14_E2_2210_Bridge_Zone_Sud" xfId="1946"/>
    <cellStyle name="s_Financials_B_Actualisation provision contrat déficitaire SNCM 2010 V Def_Bridge_Zone_Sud" xfId="1947"/>
    <cellStyle name="s_Financials_B_Actualisation provision contrat déficitaire SNCM 2010 V Def_CAPEM BY COUNTRY" xfId="1948"/>
    <cellStyle name="s_Financials_B_Actualisation provision contrat déficitaire SNCM 2010 V Def_focus par entités CAFOPE2AMF" xfId="1949"/>
    <cellStyle name="s_Financials_B_Actualisation provision contrat déficitaire SNCM 2010 V Def_focus par entités CAFOPE2AMF_Bridge_Zone_Sud" xfId="1950"/>
    <cellStyle name="s_Financials_B_Actualisation provision contrat déficitaire SNCM 2010 V Def_Maquette PLT" xfId="1951"/>
    <cellStyle name="s_Financials_B_Actualisation provision contrat déficitaire SNCM 2010 V Def_Output" xfId="3403"/>
    <cellStyle name="s_Financials_B_Actualisation provision contrat déficitaire SNCM 2010 V Def_PAO-CAF-RESOP_04_13_pro_format_variante T1" xfId="1952"/>
    <cellStyle name="s_Financials_B_Actualisation provision contrat déficitaire SNCM 2010 V Def_PAO-CAF-RESOP_04_13_pro_format_variante T1_B14_E2_2210" xfId="1953"/>
    <cellStyle name="s_Financials_B_Actualisation provision contrat déficitaire SNCM 2010 V Def_PAO-CAF-RESOP_04_13_pro_format_variante T1_B14_E2_2210_Bridge_Zone_Sud" xfId="1954"/>
    <cellStyle name="s_Financials_B_Actualisation provision contrat déficitaire SNCM 2010 V Def_PAO-CAF-RESOP_04_13_pro_format_variante T1_Bridge_Zone_Sud" xfId="1955"/>
    <cellStyle name="s_Financials_B_Actualisation provision contrat déficitaire SNCM 2010 V Def_PAO-CAF-RESOP_06_13" xfId="1956"/>
    <cellStyle name="s_Financials_B_Actualisation provision contrat déficitaire SNCM 2010 V Def_PAO-CAF-RESOP_06_13_B14_E2_2210" xfId="1957"/>
    <cellStyle name="s_Financials_B_Actualisation provision contrat déficitaire SNCM 2010 V Def_PAO-CAF-RESOP_06_13_B14_E2_2210_Bridge_Zone_Sud" xfId="1958"/>
    <cellStyle name="s_Financials_B_Actualisation provision contrat déficitaire SNCM 2010 V Def_PAO-CAF-RESOP_06_13_Bridge_Zone_Sud" xfId="1959"/>
    <cellStyle name="s_Financials_B_Actualisation provision contrat déficitaire SNCM 2010 V Def_PAO-CAF-RESOP_08_13" xfId="1960"/>
    <cellStyle name="s_Financials_B_Actualisation provision contrat déficitaire SNCM 2010 V Def_PAO-CAF-RESOP_08_13_B14_E2_2210" xfId="1961"/>
    <cellStyle name="s_Financials_B_Actualisation provision contrat déficitaire SNCM 2010 V Def_PAO-CAF-RESOP_08_13_B14_E2_2210_Bridge_Zone_Sud" xfId="1962"/>
    <cellStyle name="s_Financials_B_Actualisation provision contrat déficitaire SNCM 2010 V Def_PAO-CAF-RESOP_08_13_Bridge_Zone_Sud" xfId="1963"/>
    <cellStyle name="s_Financials_B_Actualisation provision contrat déficitaire SNCM 2010 V Def_PAO-CAF-RESOP_09_13" xfId="1964"/>
    <cellStyle name="s_Financials_B_Actualisation provision contrat déficitaire SNCM 2010 V Def_PAO-CAF-RESOP_09_13_Bridge_Zone_Sud" xfId="1965"/>
    <cellStyle name="s_Financials_B_Actualisation provision contrat déficitaire SNCM 2010 V Def_PAO-CAF-RESOP_09_2013_Zone_IDF (version 2)" xfId="1966"/>
    <cellStyle name="s_Financials_B_Actualisation provision contrat déficitaire SNCM 2010 V Def_PAO-CAF-RESOP_10_12" xfId="1967"/>
    <cellStyle name="s_Financials_B_Actualisation provision contrat déficitaire SNCM 2010 V Def_PAO-CAF-RESOP_10_12_Bridge_Zone_Sud" xfId="1968"/>
    <cellStyle name="s_Financials_B_Actualisation provision contrat déficitaire SNCM 2010 V Def_PAO-CAF-RESOP_10_12_focus par entités CAFOP" xfId="1969"/>
    <cellStyle name="s_Financials_B_Actualisation provision contrat déficitaire SNCM 2010 V Def_PAO-CAF-RESOP_10_12_focus par entités CAFOP_Bridge_Zone_Sud" xfId="1970"/>
    <cellStyle name="s_Financials_B_Actualisation provision contrat déficitaire SNCM 2010 V Def_PAO-CAF-RESOP_11_13" xfId="1971"/>
    <cellStyle name="s_Financials_B_Actualisation provision contrat déficitaire SNCM 2010 V Def_PAO-CAF-RESOP_B13" xfId="1972"/>
    <cellStyle name="s_Financials_B_Actualisation provision contrat déficitaire SNCM 2010 V Def_PAO-CAF-RESOP_B13_Bridge_Zone_Sud" xfId="1973"/>
    <cellStyle name="s_Financials_B_Actualisation provision contrat déficitaire SNCM 2010 V Def_PAO-CAF-RESOP_B13_focus par entités CAFOP" xfId="1974"/>
    <cellStyle name="s_Financials_B_Actualisation provision contrat déficitaire SNCM 2010 V Def_PAO-CAF-RESOP_B13_focus par entités CAFOP_Bridge_Zone_Sud" xfId="1975"/>
    <cellStyle name="s_Financials_B_Actualisation provision contrat déficitaire SNCM 2010 V Def_PAO-CAF-RESOP_B2014" xfId="1976"/>
    <cellStyle name="s_Financials_B_Actualisation provision contrat déficitaire SNCM 2010 V Def_PAO-CAF-RESOP_B2014_Bridge_Zone_Sud" xfId="1977"/>
    <cellStyle name="s_Financials_B_Actualisation provision contrat déficitaire SNCM 2010 V Def_PAO-CAF-RESOP_B2014_v2" xfId="1978"/>
    <cellStyle name="s_Financials_B_Actualisation provision contrat déficitaire SNCM 2010 V Def_PAO-CAF-RESOP_E2_13" xfId="1979"/>
    <cellStyle name="s_Financials_B_Actualisation provision contrat déficitaire SNCM 2010 V Def_PAO-CAF-RESOP_E2_13_B14_E2_2210" xfId="1980"/>
    <cellStyle name="s_Financials_B_Actualisation provision contrat déficitaire SNCM 2010 V Def_PAO-CAF-RESOP_E2_13_B14_E2_2210_Bridge_Zone_Sud" xfId="1981"/>
    <cellStyle name="s_Financials_B_Actualisation provision contrat déficitaire SNCM 2010 V Def_PAO-CAF-RESOP_E2_13_Bridge_Zone_Sud" xfId="1982"/>
    <cellStyle name="s_Financials_B_Actualisation provision contrat déficitaire SNCM 2010 V Def_PAO-CAF-RESOP_E2_2013_03_10_19H" xfId="1983"/>
    <cellStyle name="s_Financials_B_Actualisation provision contrat déficitaire SNCM 2010 V Def_PAO-CAF-RESOP_E2_2013_03_10_19H_Bridge_Zone_Sud" xfId="1984"/>
    <cellStyle name="s_Financials_B_Actualisation provision contrat déficitaire SNCM 2010 V Def_PPA" xfId="1985"/>
    <cellStyle name="s_Financials_B_Actualisation provision contrat déficitaire SNCM 2010 V Def_RESOP bef CICE&amp;PPA&amp;RepartHO" xfId="1986"/>
    <cellStyle name="s_Financials_B_Actualisation provision contrat déficitaire SNCM 2010 V Def_Synthèse_Présentation_conso_retraitée" xfId="1987"/>
    <cellStyle name="s_Financials_B_Actualisation provision contrat déficitaire SNCM 2011 V3 30 05 2011" xfId="666"/>
    <cellStyle name="s_Financials_B_Actualisation provision contrat déficitaire SNCM 2011 V3 30 05 2011_B14_E2_2210" xfId="1988"/>
    <cellStyle name="s_Financials_B_Actualisation provision contrat déficitaire SNCM 2011 V3 30 05 2011_B14_E2_2210_Bridge_Zone_Sud" xfId="1989"/>
    <cellStyle name="s_Financials_B_Actualisation provision contrat déficitaire SNCM 2011 V3 30 05 2011_Bridge_Zone_Sud" xfId="1990"/>
    <cellStyle name="s_Financials_B_Actualisation provision contrat déficitaire SNCM 2011 V3 30 05 2011_CAPEM BY COUNTRY" xfId="1991"/>
    <cellStyle name="s_Financials_B_Actualisation provision contrat déficitaire SNCM 2011 V3 30 05 2011_focus par entités CAFOPE2AMF" xfId="1992"/>
    <cellStyle name="s_Financials_B_Actualisation provision contrat déficitaire SNCM 2011 V3 30 05 2011_focus par entités CAFOPE2AMF_Bridge_Zone_Sud" xfId="1993"/>
    <cellStyle name="s_Financials_B_Actualisation provision contrat déficitaire SNCM 2011 V3 30 05 2011_Maquette PLT" xfId="1994"/>
    <cellStyle name="s_Financials_B_Actualisation provision contrat déficitaire SNCM 2011 V3 30 05 2011_Output" xfId="3404"/>
    <cellStyle name="s_Financials_B_Actualisation provision contrat déficitaire SNCM 2011 V3 30 05 2011_PAO-CAF-RESOP_04_13_pro_format_variante T1" xfId="1995"/>
    <cellStyle name="s_Financials_B_Actualisation provision contrat déficitaire SNCM 2011 V3 30 05 2011_PAO-CAF-RESOP_04_13_pro_format_variante T1_B14_E2_2210" xfId="1996"/>
    <cellStyle name="s_Financials_B_Actualisation provision contrat déficitaire SNCM 2011 V3 30 05 2011_PAO-CAF-RESOP_04_13_pro_format_variante T1_B14_E2_2210_Bridge_Zone_Sud" xfId="1997"/>
    <cellStyle name="s_Financials_B_Actualisation provision contrat déficitaire SNCM 2011 V3 30 05 2011_PAO-CAF-RESOP_04_13_pro_format_variante T1_Bridge_Zone_Sud" xfId="1998"/>
    <cellStyle name="s_Financials_B_Actualisation provision contrat déficitaire SNCM 2011 V3 30 05 2011_PAO-CAF-RESOP_06_13" xfId="1999"/>
    <cellStyle name="s_Financials_B_Actualisation provision contrat déficitaire SNCM 2011 V3 30 05 2011_PAO-CAF-RESOP_06_13_B14_E2_2210" xfId="2000"/>
    <cellStyle name="s_Financials_B_Actualisation provision contrat déficitaire SNCM 2011 V3 30 05 2011_PAO-CAF-RESOP_06_13_B14_E2_2210_Bridge_Zone_Sud" xfId="2001"/>
    <cellStyle name="s_Financials_B_Actualisation provision contrat déficitaire SNCM 2011 V3 30 05 2011_PAO-CAF-RESOP_06_13_Bridge_Zone_Sud" xfId="2002"/>
    <cellStyle name="s_Financials_B_Actualisation provision contrat déficitaire SNCM 2011 V3 30 05 2011_PAO-CAF-RESOP_08_13" xfId="2003"/>
    <cellStyle name="s_Financials_B_Actualisation provision contrat déficitaire SNCM 2011 V3 30 05 2011_PAO-CAF-RESOP_08_13_B14_E2_2210" xfId="2004"/>
    <cellStyle name="s_Financials_B_Actualisation provision contrat déficitaire SNCM 2011 V3 30 05 2011_PAO-CAF-RESOP_08_13_B14_E2_2210_Bridge_Zone_Sud" xfId="2005"/>
    <cellStyle name="s_Financials_B_Actualisation provision contrat déficitaire SNCM 2011 V3 30 05 2011_PAO-CAF-RESOP_08_13_Bridge_Zone_Sud" xfId="2006"/>
    <cellStyle name="s_Financials_B_Actualisation provision contrat déficitaire SNCM 2011 V3 30 05 2011_PAO-CAF-RESOP_09_13" xfId="2007"/>
    <cellStyle name="s_Financials_B_Actualisation provision contrat déficitaire SNCM 2011 V3 30 05 2011_PAO-CAF-RESOP_09_13_Bridge_Zone_Sud" xfId="2008"/>
    <cellStyle name="s_Financials_B_Actualisation provision contrat déficitaire SNCM 2011 V3 30 05 2011_PAO-CAF-RESOP_09_2013_Zone_IDF (version 2)" xfId="2009"/>
    <cellStyle name="s_Financials_B_Actualisation provision contrat déficitaire SNCM 2011 V3 30 05 2011_PAO-CAF-RESOP_10_12" xfId="2010"/>
    <cellStyle name="s_Financials_B_Actualisation provision contrat déficitaire SNCM 2011 V3 30 05 2011_PAO-CAF-RESOP_10_12_Bridge_Zone_Sud" xfId="2011"/>
    <cellStyle name="s_Financials_B_Actualisation provision contrat déficitaire SNCM 2011 V3 30 05 2011_PAO-CAF-RESOP_10_12_focus par entités CAFOP" xfId="2012"/>
    <cellStyle name="s_Financials_B_Actualisation provision contrat déficitaire SNCM 2011 V3 30 05 2011_PAO-CAF-RESOP_10_12_focus par entités CAFOP_Bridge_Zone_Sud" xfId="2013"/>
    <cellStyle name="s_Financials_B_Actualisation provision contrat déficitaire SNCM 2011 V3 30 05 2011_PAO-CAF-RESOP_11_13" xfId="2014"/>
    <cellStyle name="s_Financials_B_Actualisation provision contrat déficitaire SNCM 2011 V3 30 05 2011_PAO-CAF-RESOP_B13" xfId="2015"/>
    <cellStyle name="s_Financials_B_Actualisation provision contrat déficitaire SNCM 2011 V3 30 05 2011_PAO-CAF-RESOP_B13_Bridge_Zone_Sud" xfId="2016"/>
    <cellStyle name="s_Financials_B_Actualisation provision contrat déficitaire SNCM 2011 V3 30 05 2011_PAO-CAF-RESOP_B13_focus par entités CAFOP" xfId="2017"/>
    <cellStyle name="s_Financials_B_Actualisation provision contrat déficitaire SNCM 2011 V3 30 05 2011_PAO-CAF-RESOP_B13_focus par entités CAFOP_Bridge_Zone_Sud" xfId="2018"/>
    <cellStyle name="s_Financials_B_Actualisation provision contrat déficitaire SNCM 2011 V3 30 05 2011_PAO-CAF-RESOP_B2014" xfId="2019"/>
    <cellStyle name="s_Financials_B_Actualisation provision contrat déficitaire SNCM 2011 V3 30 05 2011_PAO-CAF-RESOP_B2014_Bridge_Zone_Sud" xfId="2020"/>
    <cellStyle name="s_Financials_B_Actualisation provision contrat déficitaire SNCM 2011 V3 30 05 2011_PAO-CAF-RESOP_B2014_v2" xfId="2021"/>
    <cellStyle name="s_Financials_B_Actualisation provision contrat déficitaire SNCM 2011 V3 30 05 2011_PAO-CAF-RESOP_E2_13" xfId="2022"/>
    <cellStyle name="s_Financials_B_Actualisation provision contrat déficitaire SNCM 2011 V3 30 05 2011_PAO-CAF-RESOP_E2_13_B14_E2_2210" xfId="2023"/>
    <cellStyle name="s_Financials_B_Actualisation provision contrat déficitaire SNCM 2011 V3 30 05 2011_PAO-CAF-RESOP_E2_13_B14_E2_2210_Bridge_Zone_Sud" xfId="2024"/>
    <cellStyle name="s_Financials_B_Actualisation provision contrat déficitaire SNCM 2011 V3 30 05 2011_PAO-CAF-RESOP_E2_13_Bridge_Zone_Sud" xfId="2025"/>
    <cellStyle name="s_Financials_B_Actualisation provision contrat déficitaire SNCM 2011 V3 30 05 2011_PAO-CAF-RESOP_E2_2013_03_10_19H" xfId="2026"/>
    <cellStyle name="s_Financials_B_Actualisation provision contrat déficitaire SNCM 2011 V3 30 05 2011_PAO-CAF-RESOP_E2_2013_03_10_19H_Bridge_Zone_Sud" xfId="2027"/>
    <cellStyle name="s_Financials_B_Actualisation provision contrat déficitaire SNCM 2011 V3 30 05 2011_PPA" xfId="2028"/>
    <cellStyle name="s_Financials_B_Actualisation provision contrat déficitaire SNCM 2011 V3 30 05 2011_RESOP bef CICE&amp;PPA&amp;RepartHO" xfId="2029"/>
    <cellStyle name="s_Financials_B_Actualisation provision contrat déficitaire SNCM 2011 V3 30 05 2011_Synthèse_Présentation_conso_retraitée" xfId="2030"/>
    <cellStyle name="s_Financials_B_B14_E2_2210" xfId="2031"/>
    <cellStyle name="s_Financials_B_B14_E2_2210_Bridge_Zone_Sud" xfId="2032"/>
    <cellStyle name="s_Financials_B_BFR_TD_2014.02" xfId="2033"/>
    <cellStyle name="s_Financials_B_Bridge_Zone_Nord" xfId="2034"/>
    <cellStyle name="s_Financials_B_CAPEM BY COUNTRY" xfId="2035"/>
    <cellStyle name="s_Financials_B_LI819L_B13" xfId="667"/>
    <cellStyle name="s_Financials_B_LI819L_B13_CAPEM BY COUNTRY" xfId="2036"/>
    <cellStyle name="s_Financials_B_LI819L_B13_Maquette PLT" xfId="2037"/>
    <cellStyle name="s_Financials_B_LI819L_B13_Output" xfId="3405"/>
    <cellStyle name="s_Financials_B_LI819L_B13_PPA" xfId="2038"/>
    <cellStyle name="s_Financials_B_LI819L_B13_RESOP bef CICE&amp;PPA&amp;RepartHO" xfId="2039"/>
    <cellStyle name="s_Financials_B_Maquette PLT" xfId="2040"/>
    <cellStyle name="s_Financials_B_Output" xfId="3406"/>
    <cellStyle name="s_Financials_B_PAO-CAF-RESOP_14_01_13 à 20h" xfId="668"/>
    <cellStyle name="s_Financials_B_PAO-CAF-RESOP_14_01_13 à 20h_CAPEM BY COUNTRY" xfId="2041"/>
    <cellStyle name="s_Financials_B_PAO-CAF-RESOP_14_01_13 à 20h_Maquette PLT" xfId="2042"/>
    <cellStyle name="s_Financials_B_PAO-CAF-RESOP_14_01_13 à 20h_Output" xfId="3407"/>
    <cellStyle name="s_Financials_B_PAO-CAF-RESOP_14_01_13 à 20h_PPA" xfId="2043"/>
    <cellStyle name="s_Financials_B_PAO-CAF-RESOP_14_01_13 à 20h_RESOP bef CICE&amp;PPA&amp;RepartHO" xfId="2044"/>
    <cellStyle name="s_Financials_B_PAO-CAF-RESOP_2014.02" xfId="2045"/>
    <cellStyle name="s_Financials_B_PAO-CAF-RESOP_2014.02_Bridge_Zone_Sud" xfId="2046"/>
    <cellStyle name="s_Financials_B_PPA" xfId="2047"/>
    <cellStyle name="s_Financials_B_RESOP bef CICE&amp;PPA&amp;RepartHO" xfId="2048"/>
    <cellStyle name="s_Financials_T" xfId="669"/>
    <cellStyle name="s_Financials_T_Actualisation provision contrat déficitaire SNCM 2010 V Def" xfId="670"/>
    <cellStyle name="s_Financials_T_Actualisation provision contrat déficitaire SNCM 2010 V Def_B14_E2_2210" xfId="2049"/>
    <cellStyle name="s_Financials_T_Actualisation provision contrat déficitaire SNCM 2010 V Def_B14_E2_2210_Bridge_Zone_Sud" xfId="2050"/>
    <cellStyle name="s_Financials_T_Actualisation provision contrat déficitaire SNCM 2010 V Def_Bridge_Zone_Sud" xfId="2051"/>
    <cellStyle name="s_Financials_T_Actualisation provision contrat déficitaire SNCM 2010 V Def_CAPEM BY COUNTRY" xfId="2052"/>
    <cellStyle name="s_Financials_T_Actualisation provision contrat déficitaire SNCM 2010 V Def_focus par entités CAFOPE2AMF" xfId="2053"/>
    <cellStyle name="s_Financials_T_Actualisation provision contrat déficitaire SNCM 2010 V Def_focus par entités CAFOPE2AMF_Bridge_Zone_Sud" xfId="2054"/>
    <cellStyle name="s_Financials_T_Actualisation provision contrat déficitaire SNCM 2010 V Def_Maquette PLT" xfId="2055"/>
    <cellStyle name="s_Financials_T_Actualisation provision contrat déficitaire SNCM 2010 V Def_Output" xfId="3408"/>
    <cellStyle name="s_Financials_T_Actualisation provision contrat déficitaire SNCM 2010 V Def_PAO-CAF-RESOP_04_13_pro_format_variante T1" xfId="2056"/>
    <cellStyle name="s_Financials_T_Actualisation provision contrat déficitaire SNCM 2010 V Def_PAO-CAF-RESOP_04_13_pro_format_variante T1_B14_E2_2210" xfId="2057"/>
    <cellStyle name="s_Financials_T_Actualisation provision contrat déficitaire SNCM 2010 V Def_PAO-CAF-RESOP_04_13_pro_format_variante T1_B14_E2_2210_Bridge_Zone_Sud" xfId="2058"/>
    <cellStyle name="s_Financials_T_Actualisation provision contrat déficitaire SNCM 2010 V Def_PAO-CAF-RESOP_04_13_pro_format_variante T1_Bridge_Zone_Sud" xfId="2059"/>
    <cellStyle name="s_Financials_T_Actualisation provision contrat déficitaire SNCM 2010 V Def_PAO-CAF-RESOP_06_13" xfId="2060"/>
    <cellStyle name="s_Financials_T_Actualisation provision contrat déficitaire SNCM 2010 V Def_PAO-CAF-RESOP_06_13_B14_E2_2210" xfId="2061"/>
    <cellStyle name="s_Financials_T_Actualisation provision contrat déficitaire SNCM 2010 V Def_PAO-CAF-RESOP_06_13_B14_E2_2210_Bridge_Zone_Sud" xfId="2062"/>
    <cellStyle name="s_Financials_T_Actualisation provision contrat déficitaire SNCM 2010 V Def_PAO-CAF-RESOP_06_13_Bridge_Zone_Sud" xfId="2063"/>
    <cellStyle name="s_Financials_T_Actualisation provision contrat déficitaire SNCM 2010 V Def_PAO-CAF-RESOP_08_13" xfId="2064"/>
    <cellStyle name="s_Financials_T_Actualisation provision contrat déficitaire SNCM 2010 V Def_PAO-CAF-RESOP_08_13_B14_E2_2210" xfId="2065"/>
    <cellStyle name="s_Financials_T_Actualisation provision contrat déficitaire SNCM 2010 V Def_PAO-CAF-RESOP_08_13_B14_E2_2210_Bridge_Zone_Sud" xfId="2066"/>
    <cellStyle name="s_Financials_T_Actualisation provision contrat déficitaire SNCM 2010 V Def_PAO-CAF-RESOP_08_13_Bridge_Zone_Sud" xfId="2067"/>
    <cellStyle name="s_Financials_T_Actualisation provision contrat déficitaire SNCM 2010 V Def_PAO-CAF-RESOP_09_13" xfId="2068"/>
    <cellStyle name="s_Financials_T_Actualisation provision contrat déficitaire SNCM 2010 V Def_PAO-CAF-RESOP_09_13_Bridge_Zone_Sud" xfId="2069"/>
    <cellStyle name="s_Financials_T_Actualisation provision contrat déficitaire SNCM 2010 V Def_PAO-CAF-RESOP_09_2013_Zone_IDF (version 2)" xfId="2070"/>
    <cellStyle name="s_Financials_T_Actualisation provision contrat déficitaire SNCM 2010 V Def_PAO-CAF-RESOP_10_12" xfId="2071"/>
    <cellStyle name="s_Financials_T_Actualisation provision contrat déficitaire SNCM 2010 V Def_PAO-CAF-RESOP_10_12_Bridge_Zone_Sud" xfId="2072"/>
    <cellStyle name="s_Financials_T_Actualisation provision contrat déficitaire SNCM 2010 V Def_PAO-CAF-RESOP_10_12_focus par entités CAFOP" xfId="2073"/>
    <cellStyle name="s_Financials_T_Actualisation provision contrat déficitaire SNCM 2010 V Def_PAO-CAF-RESOP_10_12_focus par entités CAFOP_Bridge_Zone_Sud" xfId="2074"/>
    <cellStyle name="s_Financials_T_Actualisation provision contrat déficitaire SNCM 2010 V Def_PAO-CAF-RESOP_11_13" xfId="2075"/>
    <cellStyle name="s_Financials_T_Actualisation provision contrat déficitaire SNCM 2010 V Def_PAO-CAF-RESOP_B13" xfId="2076"/>
    <cellStyle name="s_Financials_T_Actualisation provision contrat déficitaire SNCM 2010 V Def_PAO-CAF-RESOP_B13_Bridge_Zone_Sud" xfId="2077"/>
    <cellStyle name="s_Financials_T_Actualisation provision contrat déficitaire SNCM 2010 V Def_PAO-CAF-RESOP_B13_focus par entités CAFOP" xfId="2078"/>
    <cellStyle name="s_Financials_T_Actualisation provision contrat déficitaire SNCM 2010 V Def_PAO-CAF-RESOP_B13_focus par entités CAFOP_Bridge_Zone_Sud" xfId="2079"/>
    <cellStyle name="s_Financials_T_Actualisation provision contrat déficitaire SNCM 2010 V Def_PAO-CAF-RESOP_B2014" xfId="2080"/>
    <cellStyle name="s_Financials_T_Actualisation provision contrat déficitaire SNCM 2010 V Def_PAO-CAF-RESOP_B2014_Bridge_Zone_Sud" xfId="2081"/>
    <cellStyle name="s_Financials_T_Actualisation provision contrat déficitaire SNCM 2010 V Def_PAO-CAF-RESOP_B2014_v2" xfId="2082"/>
    <cellStyle name="s_Financials_T_Actualisation provision contrat déficitaire SNCM 2010 V Def_PAO-CAF-RESOP_E2_13" xfId="2083"/>
    <cellStyle name="s_Financials_T_Actualisation provision contrat déficitaire SNCM 2010 V Def_PAO-CAF-RESOP_E2_13_B14_E2_2210" xfId="2084"/>
    <cellStyle name="s_Financials_T_Actualisation provision contrat déficitaire SNCM 2010 V Def_PAO-CAF-RESOP_E2_13_B14_E2_2210_Bridge_Zone_Sud" xfId="2085"/>
    <cellStyle name="s_Financials_T_Actualisation provision contrat déficitaire SNCM 2010 V Def_PAO-CAF-RESOP_E2_13_Bridge_Zone_Sud" xfId="2086"/>
    <cellStyle name="s_Financials_T_Actualisation provision contrat déficitaire SNCM 2010 V Def_PAO-CAF-RESOP_E2_2013_03_10_19H" xfId="2087"/>
    <cellStyle name="s_Financials_T_Actualisation provision contrat déficitaire SNCM 2010 V Def_PAO-CAF-RESOP_E2_2013_03_10_19H_Bridge_Zone_Sud" xfId="2088"/>
    <cellStyle name="s_Financials_T_Actualisation provision contrat déficitaire SNCM 2010 V Def_PPA" xfId="2089"/>
    <cellStyle name="s_Financials_T_Actualisation provision contrat déficitaire SNCM 2010 V Def_RESOP bef CICE&amp;PPA&amp;RepartHO" xfId="2090"/>
    <cellStyle name="s_Financials_T_Actualisation provision contrat déficitaire SNCM 2010 V Def_Synthèse_Présentation_conso_retraitée" xfId="2091"/>
    <cellStyle name="s_Financials_T_Actualisation provision contrat déficitaire SNCM 2011 V3 30 05 2011" xfId="671"/>
    <cellStyle name="s_Financials_T_Actualisation provision contrat déficitaire SNCM 2011 V3 30 05 2011_B14_E2_2210" xfId="2092"/>
    <cellStyle name="s_Financials_T_Actualisation provision contrat déficitaire SNCM 2011 V3 30 05 2011_B14_E2_2210_Bridge_Zone_Sud" xfId="2093"/>
    <cellStyle name="s_Financials_T_Actualisation provision contrat déficitaire SNCM 2011 V3 30 05 2011_Bridge_Zone_Sud" xfId="2094"/>
    <cellStyle name="s_Financials_T_Actualisation provision contrat déficitaire SNCM 2011 V3 30 05 2011_CAPEM BY COUNTRY" xfId="2095"/>
    <cellStyle name="s_Financials_T_Actualisation provision contrat déficitaire SNCM 2011 V3 30 05 2011_focus par entités CAFOPE2AMF" xfId="2096"/>
    <cellStyle name="s_Financials_T_Actualisation provision contrat déficitaire SNCM 2011 V3 30 05 2011_focus par entités CAFOPE2AMF_Bridge_Zone_Sud" xfId="2097"/>
    <cellStyle name="s_Financials_T_Actualisation provision contrat déficitaire SNCM 2011 V3 30 05 2011_Maquette PLT" xfId="2098"/>
    <cellStyle name="s_Financials_T_Actualisation provision contrat déficitaire SNCM 2011 V3 30 05 2011_Output" xfId="3409"/>
    <cellStyle name="s_Financials_T_Actualisation provision contrat déficitaire SNCM 2011 V3 30 05 2011_PAO-CAF-RESOP_04_13_pro_format_variante T1" xfId="2099"/>
    <cellStyle name="s_Financials_T_Actualisation provision contrat déficitaire SNCM 2011 V3 30 05 2011_PAO-CAF-RESOP_04_13_pro_format_variante T1_B14_E2_2210" xfId="2100"/>
    <cellStyle name="s_Financials_T_Actualisation provision contrat déficitaire SNCM 2011 V3 30 05 2011_PAO-CAF-RESOP_04_13_pro_format_variante T1_B14_E2_2210_Bridge_Zone_Sud" xfId="2101"/>
    <cellStyle name="s_Financials_T_Actualisation provision contrat déficitaire SNCM 2011 V3 30 05 2011_PAO-CAF-RESOP_04_13_pro_format_variante T1_Bridge_Zone_Sud" xfId="2102"/>
    <cellStyle name="s_Financials_T_Actualisation provision contrat déficitaire SNCM 2011 V3 30 05 2011_PAO-CAF-RESOP_06_13" xfId="2103"/>
    <cellStyle name="s_Financials_T_Actualisation provision contrat déficitaire SNCM 2011 V3 30 05 2011_PAO-CAF-RESOP_06_13_B14_E2_2210" xfId="2104"/>
    <cellStyle name="s_Financials_T_Actualisation provision contrat déficitaire SNCM 2011 V3 30 05 2011_PAO-CAF-RESOP_06_13_B14_E2_2210_Bridge_Zone_Sud" xfId="2105"/>
    <cellStyle name="s_Financials_T_Actualisation provision contrat déficitaire SNCM 2011 V3 30 05 2011_PAO-CAF-RESOP_06_13_Bridge_Zone_Sud" xfId="2106"/>
    <cellStyle name="s_Financials_T_Actualisation provision contrat déficitaire SNCM 2011 V3 30 05 2011_PAO-CAF-RESOP_08_13" xfId="2107"/>
    <cellStyle name="s_Financials_T_Actualisation provision contrat déficitaire SNCM 2011 V3 30 05 2011_PAO-CAF-RESOP_08_13_B14_E2_2210" xfId="2108"/>
    <cellStyle name="s_Financials_T_Actualisation provision contrat déficitaire SNCM 2011 V3 30 05 2011_PAO-CAF-RESOP_08_13_B14_E2_2210_Bridge_Zone_Sud" xfId="2109"/>
    <cellStyle name="s_Financials_T_Actualisation provision contrat déficitaire SNCM 2011 V3 30 05 2011_PAO-CAF-RESOP_08_13_Bridge_Zone_Sud" xfId="2110"/>
    <cellStyle name="s_Financials_T_Actualisation provision contrat déficitaire SNCM 2011 V3 30 05 2011_PAO-CAF-RESOP_09_13" xfId="2111"/>
    <cellStyle name="s_Financials_T_Actualisation provision contrat déficitaire SNCM 2011 V3 30 05 2011_PAO-CAF-RESOP_09_13_Bridge_Zone_Sud" xfId="2112"/>
    <cellStyle name="s_Financials_T_Actualisation provision contrat déficitaire SNCM 2011 V3 30 05 2011_PAO-CAF-RESOP_09_2013_Zone_IDF (version 2)" xfId="2113"/>
    <cellStyle name="s_Financials_T_Actualisation provision contrat déficitaire SNCM 2011 V3 30 05 2011_PAO-CAF-RESOP_10_12" xfId="2114"/>
    <cellStyle name="s_Financials_T_Actualisation provision contrat déficitaire SNCM 2011 V3 30 05 2011_PAO-CAF-RESOP_10_12_Bridge_Zone_Sud" xfId="2115"/>
    <cellStyle name="s_Financials_T_Actualisation provision contrat déficitaire SNCM 2011 V3 30 05 2011_PAO-CAF-RESOP_10_12_focus par entités CAFOP" xfId="2116"/>
    <cellStyle name="s_Financials_T_Actualisation provision contrat déficitaire SNCM 2011 V3 30 05 2011_PAO-CAF-RESOP_10_12_focus par entités CAFOP_Bridge_Zone_Sud" xfId="2117"/>
    <cellStyle name="s_Financials_T_Actualisation provision contrat déficitaire SNCM 2011 V3 30 05 2011_PAO-CAF-RESOP_11_13" xfId="2118"/>
    <cellStyle name="s_Financials_T_Actualisation provision contrat déficitaire SNCM 2011 V3 30 05 2011_PAO-CAF-RESOP_B13" xfId="2119"/>
    <cellStyle name="s_Financials_T_Actualisation provision contrat déficitaire SNCM 2011 V3 30 05 2011_PAO-CAF-RESOP_B13_Bridge_Zone_Sud" xfId="2120"/>
    <cellStyle name="s_Financials_T_Actualisation provision contrat déficitaire SNCM 2011 V3 30 05 2011_PAO-CAF-RESOP_B13_focus par entités CAFOP" xfId="2121"/>
    <cellStyle name="s_Financials_T_Actualisation provision contrat déficitaire SNCM 2011 V3 30 05 2011_PAO-CAF-RESOP_B13_focus par entités CAFOP_Bridge_Zone_Sud" xfId="2122"/>
    <cellStyle name="s_Financials_T_Actualisation provision contrat déficitaire SNCM 2011 V3 30 05 2011_PAO-CAF-RESOP_B2014" xfId="2123"/>
    <cellStyle name="s_Financials_T_Actualisation provision contrat déficitaire SNCM 2011 V3 30 05 2011_PAO-CAF-RESOP_B2014_Bridge_Zone_Sud" xfId="2124"/>
    <cellStyle name="s_Financials_T_Actualisation provision contrat déficitaire SNCM 2011 V3 30 05 2011_PAO-CAF-RESOP_B2014_v2" xfId="2125"/>
    <cellStyle name="s_Financials_T_Actualisation provision contrat déficitaire SNCM 2011 V3 30 05 2011_PAO-CAF-RESOP_E2_13" xfId="2126"/>
    <cellStyle name="s_Financials_T_Actualisation provision contrat déficitaire SNCM 2011 V3 30 05 2011_PAO-CAF-RESOP_E2_13_B14_E2_2210" xfId="2127"/>
    <cellStyle name="s_Financials_T_Actualisation provision contrat déficitaire SNCM 2011 V3 30 05 2011_PAO-CAF-RESOP_E2_13_B14_E2_2210_Bridge_Zone_Sud" xfId="2128"/>
    <cellStyle name="s_Financials_T_Actualisation provision contrat déficitaire SNCM 2011 V3 30 05 2011_PAO-CAF-RESOP_E2_13_Bridge_Zone_Sud" xfId="2129"/>
    <cellStyle name="s_Financials_T_Actualisation provision contrat déficitaire SNCM 2011 V3 30 05 2011_PAO-CAF-RESOP_E2_2013_03_10_19H" xfId="2130"/>
    <cellStyle name="s_Financials_T_Actualisation provision contrat déficitaire SNCM 2011 V3 30 05 2011_PAO-CAF-RESOP_E2_2013_03_10_19H_Bridge_Zone_Sud" xfId="2131"/>
    <cellStyle name="s_Financials_T_Actualisation provision contrat déficitaire SNCM 2011 V3 30 05 2011_PPA" xfId="2132"/>
    <cellStyle name="s_Financials_T_Actualisation provision contrat déficitaire SNCM 2011 V3 30 05 2011_RESOP bef CICE&amp;PPA&amp;RepartHO" xfId="2133"/>
    <cellStyle name="s_Financials_T_Actualisation provision contrat déficitaire SNCM 2011 V3 30 05 2011_Synthèse_Présentation_conso_retraitée" xfId="2134"/>
    <cellStyle name="s_Financials_T_B14_E2_2210" xfId="2135"/>
    <cellStyle name="s_Financials_T_B14_E2_2210_Bridge_Zone_Sud" xfId="2136"/>
    <cellStyle name="s_Financials_T_BFR_TD_2014.02" xfId="2137"/>
    <cellStyle name="s_Financials_T_Bridge_Zone_Nord" xfId="2138"/>
    <cellStyle name="s_Financials_T_CAPEM BY COUNTRY" xfId="2139"/>
    <cellStyle name="s_Financials_T_LI819L_B13" xfId="672"/>
    <cellStyle name="s_Financials_T_LI819L_B13_CAPEM BY COUNTRY" xfId="2140"/>
    <cellStyle name="s_Financials_T_LI819L_B13_Maquette PLT" xfId="2141"/>
    <cellStyle name="s_Financials_T_LI819L_B13_Output" xfId="3410"/>
    <cellStyle name="s_Financials_T_LI819L_B13_PPA" xfId="2142"/>
    <cellStyle name="s_Financials_T_LI819L_B13_RESOP bef CICE&amp;PPA&amp;RepartHO" xfId="2143"/>
    <cellStyle name="s_Financials_T_Maquette PLT" xfId="2144"/>
    <cellStyle name="s_Financials_T_Output" xfId="3411"/>
    <cellStyle name="s_Financials_T_PAO-CAF-RESOP_14_01_13 à 20h" xfId="673"/>
    <cellStyle name="s_Financials_T_PAO-CAF-RESOP_14_01_13 à 20h_CAPEM BY COUNTRY" xfId="2145"/>
    <cellStyle name="s_Financials_T_PAO-CAF-RESOP_14_01_13 à 20h_Maquette PLT" xfId="2146"/>
    <cellStyle name="s_Financials_T_PAO-CAF-RESOP_14_01_13 à 20h_Output" xfId="3412"/>
    <cellStyle name="s_Financials_T_PAO-CAF-RESOP_14_01_13 à 20h_PPA" xfId="2147"/>
    <cellStyle name="s_Financials_T_PAO-CAF-RESOP_14_01_13 à 20h_RESOP bef CICE&amp;PPA&amp;RepartHO" xfId="2148"/>
    <cellStyle name="s_Financials_T_PAO-CAF-RESOP_2014.02" xfId="2149"/>
    <cellStyle name="s_Financials_T_PAO-CAF-RESOP_2014.02_Bridge_Zone_Sud" xfId="2150"/>
    <cellStyle name="s_Financials_T_PPA" xfId="2151"/>
    <cellStyle name="s_Financials_T_RESOP bef CICE&amp;PPA&amp;RepartHO" xfId="2152"/>
    <cellStyle name="s_Grouse+Pelican" xfId="674"/>
    <cellStyle name="s_Grouse+Pelican_CAPEM BY COUNTRY" xfId="2153"/>
    <cellStyle name="s_Grouse+Pelican_Maquette PLT" xfId="2154"/>
    <cellStyle name="s_Grouse+Pelican_Output" xfId="3413"/>
    <cellStyle name="s_LI819L_B13" xfId="675"/>
    <cellStyle name="s_LI819L_B13_CAPEM BY COUNTRY" xfId="2155"/>
    <cellStyle name="s_LI819L_B13_Maquette PLT" xfId="2156"/>
    <cellStyle name="s_LI819L_B13_Output" xfId="3414"/>
    <cellStyle name="s_LI819L_B13_PPA" xfId="2157"/>
    <cellStyle name="s_LI819L_B13_RESOP bef CICE&amp;PPA&amp;RepartHO" xfId="2158"/>
    <cellStyle name="s_Maquette PLT" xfId="2159"/>
    <cellStyle name="s_Matrix_B" xfId="676"/>
    <cellStyle name="s_Matrix_B_Actualisation provision contrat déficitaire SNCM 2010 V Def" xfId="677"/>
    <cellStyle name="s_Matrix_B_Actualisation provision contrat déficitaire SNCM 2010 V Def_B14_E2_2210" xfId="2160"/>
    <cellStyle name="s_Matrix_B_Actualisation provision contrat déficitaire SNCM 2010 V Def_B14_E2_2210_Bridge_Zone_Sud" xfId="2161"/>
    <cellStyle name="s_Matrix_B_Actualisation provision contrat déficitaire SNCM 2010 V Def_Bridge_Zone_Sud" xfId="2162"/>
    <cellStyle name="s_Matrix_B_Actualisation provision contrat déficitaire SNCM 2010 V Def_CAPEM BY COUNTRY" xfId="2163"/>
    <cellStyle name="s_Matrix_B_Actualisation provision contrat déficitaire SNCM 2010 V Def_focus par entités CAFOPE2AMF" xfId="2164"/>
    <cellStyle name="s_Matrix_B_Actualisation provision contrat déficitaire SNCM 2010 V Def_focus par entités CAFOPE2AMF_Bridge_Zone_Sud" xfId="2165"/>
    <cellStyle name="s_Matrix_B_Actualisation provision contrat déficitaire SNCM 2010 V Def_Maquette PLT" xfId="2166"/>
    <cellStyle name="s_Matrix_B_Actualisation provision contrat déficitaire SNCM 2010 V Def_Output" xfId="3415"/>
    <cellStyle name="s_Matrix_B_Actualisation provision contrat déficitaire SNCM 2010 V Def_PAO-CAF-RESOP_04_13_pro_format_variante T1" xfId="2167"/>
    <cellStyle name="s_Matrix_B_Actualisation provision contrat déficitaire SNCM 2010 V Def_PAO-CAF-RESOP_04_13_pro_format_variante T1_B14_E2_2210" xfId="2168"/>
    <cellStyle name="s_Matrix_B_Actualisation provision contrat déficitaire SNCM 2010 V Def_PAO-CAF-RESOP_04_13_pro_format_variante T1_B14_E2_2210_Bridge_Zone_Sud" xfId="2169"/>
    <cellStyle name="s_Matrix_B_Actualisation provision contrat déficitaire SNCM 2010 V Def_PAO-CAF-RESOP_04_13_pro_format_variante T1_Bridge_Zone_Sud" xfId="2170"/>
    <cellStyle name="s_Matrix_B_Actualisation provision contrat déficitaire SNCM 2010 V Def_PAO-CAF-RESOP_06_13" xfId="2171"/>
    <cellStyle name="s_Matrix_B_Actualisation provision contrat déficitaire SNCM 2010 V Def_PAO-CAF-RESOP_06_13_B14_E2_2210" xfId="2172"/>
    <cellStyle name="s_Matrix_B_Actualisation provision contrat déficitaire SNCM 2010 V Def_PAO-CAF-RESOP_06_13_B14_E2_2210_Bridge_Zone_Sud" xfId="2173"/>
    <cellStyle name="s_Matrix_B_Actualisation provision contrat déficitaire SNCM 2010 V Def_PAO-CAF-RESOP_06_13_Bridge_Zone_Sud" xfId="2174"/>
    <cellStyle name="s_Matrix_B_Actualisation provision contrat déficitaire SNCM 2010 V Def_PAO-CAF-RESOP_08_13" xfId="2175"/>
    <cellStyle name="s_Matrix_B_Actualisation provision contrat déficitaire SNCM 2010 V Def_PAO-CAF-RESOP_08_13_B14_E2_2210" xfId="2176"/>
    <cellStyle name="s_Matrix_B_Actualisation provision contrat déficitaire SNCM 2010 V Def_PAO-CAF-RESOP_08_13_B14_E2_2210_Bridge_Zone_Sud" xfId="2177"/>
    <cellStyle name="s_Matrix_B_Actualisation provision contrat déficitaire SNCM 2010 V Def_PAO-CAF-RESOP_08_13_Bridge_Zone_Sud" xfId="2178"/>
    <cellStyle name="s_Matrix_B_Actualisation provision contrat déficitaire SNCM 2010 V Def_PAO-CAF-RESOP_09_13" xfId="2179"/>
    <cellStyle name="s_Matrix_B_Actualisation provision contrat déficitaire SNCM 2010 V Def_PAO-CAF-RESOP_09_13_Bridge_Zone_Sud" xfId="2180"/>
    <cellStyle name="s_Matrix_B_Actualisation provision contrat déficitaire SNCM 2010 V Def_PAO-CAF-RESOP_09_2013_Zone_IDF (version 2)" xfId="2181"/>
    <cellStyle name="s_Matrix_B_Actualisation provision contrat déficitaire SNCM 2010 V Def_PAO-CAF-RESOP_10_12" xfId="2182"/>
    <cellStyle name="s_Matrix_B_Actualisation provision contrat déficitaire SNCM 2010 V Def_PAO-CAF-RESOP_10_12_Bridge_Zone_Sud" xfId="2183"/>
    <cellStyle name="s_Matrix_B_Actualisation provision contrat déficitaire SNCM 2010 V Def_PAO-CAF-RESOP_10_12_focus par entités CAFOP" xfId="2184"/>
    <cellStyle name="s_Matrix_B_Actualisation provision contrat déficitaire SNCM 2010 V Def_PAO-CAF-RESOP_10_12_focus par entités CAFOP_Bridge_Zone_Sud" xfId="2185"/>
    <cellStyle name="s_Matrix_B_Actualisation provision contrat déficitaire SNCM 2010 V Def_PAO-CAF-RESOP_11_13" xfId="2186"/>
    <cellStyle name="s_Matrix_B_Actualisation provision contrat déficitaire SNCM 2010 V Def_PAO-CAF-RESOP_B13" xfId="2187"/>
    <cellStyle name="s_Matrix_B_Actualisation provision contrat déficitaire SNCM 2010 V Def_PAO-CAF-RESOP_B13_Bridge_Zone_Sud" xfId="2188"/>
    <cellStyle name="s_Matrix_B_Actualisation provision contrat déficitaire SNCM 2010 V Def_PAO-CAF-RESOP_B13_focus par entités CAFOP" xfId="2189"/>
    <cellStyle name="s_Matrix_B_Actualisation provision contrat déficitaire SNCM 2010 V Def_PAO-CAF-RESOP_B13_focus par entités CAFOP_Bridge_Zone_Sud" xfId="2190"/>
    <cellStyle name="s_Matrix_B_Actualisation provision contrat déficitaire SNCM 2010 V Def_PAO-CAF-RESOP_B2014" xfId="2191"/>
    <cellStyle name="s_Matrix_B_Actualisation provision contrat déficitaire SNCM 2010 V Def_PAO-CAF-RESOP_B2014_Bridge_Zone_Sud" xfId="2192"/>
    <cellStyle name="s_Matrix_B_Actualisation provision contrat déficitaire SNCM 2010 V Def_PAO-CAF-RESOP_B2014_v2" xfId="2193"/>
    <cellStyle name="s_Matrix_B_Actualisation provision contrat déficitaire SNCM 2010 V Def_PAO-CAF-RESOP_E2_13" xfId="2194"/>
    <cellStyle name="s_Matrix_B_Actualisation provision contrat déficitaire SNCM 2010 V Def_PAO-CAF-RESOP_E2_13_B14_E2_2210" xfId="2195"/>
    <cellStyle name="s_Matrix_B_Actualisation provision contrat déficitaire SNCM 2010 V Def_PAO-CAF-RESOP_E2_13_B14_E2_2210_Bridge_Zone_Sud" xfId="2196"/>
    <cellStyle name="s_Matrix_B_Actualisation provision contrat déficitaire SNCM 2010 V Def_PAO-CAF-RESOP_E2_13_Bridge_Zone_Sud" xfId="2197"/>
    <cellStyle name="s_Matrix_B_Actualisation provision contrat déficitaire SNCM 2010 V Def_PAO-CAF-RESOP_E2_2013_03_10_19H" xfId="2198"/>
    <cellStyle name="s_Matrix_B_Actualisation provision contrat déficitaire SNCM 2010 V Def_PAO-CAF-RESOP_E2_2013_03_10_19H_Bridge_Zone_Sud" xfId="2199"/>
    <cellStyle name="s_Matrix_B_Actualisation provision contrat déficitaire SNCM 2010 V Def_PPA" xfId="2200"/>
    <cellStyle name="s_Matrix_B_Actualisation provision contrat déficitaire SNCM 2010 V Def_RESOP bef CICE&amp;PPA&amp;RepartHO" xfId="2201"/>
    <cellStyle name="s_Matrix_B_Actualisation provision contrat déficitaire SNCM 2010 V Def_Synthèse_Présentation_conso_retraitée" xfId="2202"/>
    <cellStyle name="s_Matrix_B_Actualisation provision contrat déficitaire SNCM 2011 V3 30 05 2011" xfId="678"/>
    <cellStyle name="s_Matrix_B_Actualisation provision contrat déficitaire SNCM 2011 V3 30 05 2011_B14_E2_2210" xfId="2203"/>
    <cellStyle name="s_Matrix_B_Actualisation provision contrat déficitaire SNCM 2011 V3 30 05 2011_B14_E2_2210_Bridge_Zone_Sud" xfId="2204"/>
    <cellStyle name="s_Matrix_B_Actualisation provision contrat déficitaire SNCM 2011 V3 30 05 2011_Bridge_Zone_Sud" xfId="2205"/>
    <cellStyle name="s_Matrix_B_Actualisation provision contrat déficitaire SNCM 2011 V3 30 05 2011_CAPEM BY COUNTRY" xfId="2206"/>
    <cellStyle name="s_Matrix_B_Actualisation provision contrat déficitaire SNCM 2011 V3 30 05 2011_focus par entités CAFOPE2AMF" xfId="2207"/>
    <cellStyle name="s_Matrix_B_Actualisation provision contrat déficitaire SNCM 2011 V3 30 05 2011_focus par entités CAFOPE2AMF_Bridge_Zone_Sud" xfId="2208"/>
    <cellStyle name="s_Matrix_B_Actualisation provision contrat déficitaire SNCM 2011 V3 30 05 2011_Maquette PLT" xfId="2209"/>
    <cellStyle name="s_Matrix_B_Actualisation provision contrat déficitaire SNCM 2011 V3 30 05 2011_Output" xfId="3416"/>
    <cellStyle name="s_Matrix_B_Actualisation provision contrat déficitaire SNCM 2011 V3 30 05 2011_PAO-CAF-RESOP_04_13_pro_format_variante T1" xfId="2210"/>
    <cellStyle name="s_Matrix_B_Actualisation provision contrat déficitaire SNCM 2011 V3 30 05 2011_PAO-CAF-RESOP_04_13_pro_format_variante T1_B14_E2_2210" xfId="2211"/>
    <cellStyle name="s_Matrix_B_Actualisation provision contrat déficitaire SNCM 2011 V3 30 05 2011_PAO-CAF-RESOP_04_13_pro_format_variante T1_B14_E2_2210_Bridge_Zone_Sud" xfId="2212"/>
    <cellStyle name="s_Matrix_B_Actualisation provision contrat déficitaire SNCM 2011 V3 30 05 2011_PAO-CAF-RESOP_04_13_pro_format_variante T1_Bridge_Zone_Sud" xfId="2213"/>
    <cellStyle name="s_Matrix_B_Actualisation provision contrat déficitaire SNCM 2011 V3 30 05 2011_PAO-CAF-RESOP_06_13" xfId="2214"/>
    <cellStyle name="s_Matrix_B_Actualisation provision contrat déficitaire SNCM 2011 V3 30 05 2011_PAO-CAF-RESOP_06_13_B14_E2_2210" xfId="2215"/>
    <cellStyle name="s_Matrix_B_Actualisation provision contrat déficitaire SNCM 2011 V3 30 05 2011_PAO-CAF-RESOP_06_13_B14_E2_2210_Bridge_Zone_Sud" xfId="2216"/>
    <cellStyle name="s_Matrix_B_Actualisation provision contrat déficitaire SNCM 2011 V3 30 05 2011_PAO-CAF-RESOP_06_13_Bridge_Zone_Sud" xfId="2217"/>
    <cellStyle name="s_Matrix_B_Actualisation provision contrat déficitaire SNCM 2011 V3 30 05 2011_PAO-CAF-RESOP_08_13" xfId="2218"/>
    <cellStyle name="s_Matrix_B_Actualisation provision contrat déficitaire SNCM 2011 V3 30 05 2011_PAO-CAF-RESOP_08_13_B14_E2_2210" xfId="2219"/>
    <cellStyle name="s_Matrix_B_Actualisation provision contrat déficitaire SNCM 2011 V3 30 05 2011_PAO-CAF-RESOP_08_13_B14_E2_2210_Bridge_Zone_Sud" xfId="2220"/>
    <cellStyle name="s_Matrix_B_Actualisation provision contrat déficitaire SNCM 2011 V3 30 05 2011_PAO-CAF-RESOP_08_13_Bridge_Zone_Sud" xfId="2221"/>
    <cellStyle name="s_Matrix_B_Actualisation provision contrat déficitaire SNCM 2011 V3 30 05 2011_PAO-CAF-RESOP_09_13" xfId="2222"/>
    <cellStyle name="s_Matrix_B_Actualisation provision contrat déficitaire SNCM 2011 V3 30 05 2011_PAO-CAF-RESOP_09_13_Bridge_Zone_Sud" xfId="2223"/>
    <cellStyle name="s_Matrix_B_Actualisation provision contrat déficitaire SNCM 2011 V3 30 05 2011_PAO-CAF-RESOP_09_2013_Zone_IDF (version 2)" xfId="2224"/>
    <cellStyle name="s_Matrix_B_Actualisation provision contrat déficitaire SNCM 2011 V3 30 05 2011_PAO-CAF-RESOP_10_12" xfId="2225"/>
    <cellStyle name="s_Matrix_B_Actualisation provision contrat déficitaire SNCM 2011 V3 30 05 2011_PAO-CAF-RESOP_10_12_Bridge_Zone_Sud" xfId="2226"/>
    <cellStyle name="s_Matrix_B_Actualisation provision contrat déficitaire SNCM 2011 V3 30 05 2011_PAO-CAF-RESOP_10_12_focus par entités CAFOP" xfId="2227"/>
    <cellStyle name="s_Matrix_B_Actualisation provision contrat déficitaire SNCM 2011 V3 30 05 2011_PAO-CAF-RESOP_10_12_focus par entités CAFOP_Bridge_Zone_Sud" xfId="2228"/>
    <cellStyle name="s_Matrix_B_Actualisation provision contrat déficitaire SNCM 2011 V3 30 05 2011_PAO-CAF-RESOP_11_13" xfId="2229"/>
    <cellStyle name="s_Matrix_B_Actualisation provision contrat déficitaire SNCM 2011 V3 30 05 2011_PAO-CAF-RESOP_B13" xfId="2230"/>
    <cellStyle name="s_Matrix_B_Actualisation provision contrat déficitaire SNCM 2011 V3 30 05 2011_PAO-CAF-RESOP_B13_Bridge_Zone_Sud" xfId="2231"/>
    <cellStyle name="s_Matrix_B_Actualisation provision contrat déficitaire SNCM 2011 V3 30 05 2011_PAO-CAF-RESOP_B13_focus par entités CAFOP" xfId="2232"/>
    <cellStyle name="s_Matrix_B_Actualisation provision contrat déficitaire SNCM 2011 V3 30 05 2011_PAO-CAF-RESOP_B13_focus par entités CAFOP_Bridge_Zone_Sud" xfId="2233"/>
    <cellStyle name="s_Matrix_B_Actualisation provision contrat déficitaire SNCM 2011 V3 30 05 2011_PAO-CAF-RESOP_B2014" xfId="2234"/>
    <cellStyle name="s_Matrix_B_Actualisation provision contrat déficitaire SNCM 2011 V3 30 05 2011_PAO-CAF-RESOP_B2014_Bridge_Zone_Sud" xfId="2235"/>
    <cellStyle name="s_Matrix_B_Actualisation provision contrat déficitaire SNCM 2011 V3 30 05 2011_PAO-CAF-RESOP_B2014_v2" xfId="2236"/>
    <cellStyle name="s_Matrix_B_Actualisation provision contrat déficitaire SNCM 2011 V3 30 05 2011_PAO-CAF-RESOP_E2_13" xfId="2237"/>
    <cellStyle name="s_Matrix_B_Actualisation provision contrat déficitaire SNCM 2011 V3 30 05 2011_PAO-CAF-RESOP_E2_13_B14_E2_2210" xfId="2238"/>
    <cellStyle name="s_Matrix_B_Actualisation provision contrat déficitaire SNCM 2011 V3 30 05 2011_PAO-CAF-RESOP_E2_13_B14_E2_2210_Bridge_Zone_Sud" xfId="2239"/>
    <cellStyle name="s_Matrix_B_Actualisation provision contrat déficitaire SNCM 2011 V3 30 05 2011_PAO-CAF-RESOP_E2_13_Bridge_Zone_Sud" xfId="2240"/>
    <cellStyle name="s_Matrix_B_Actualisation provision contrat déficitaire SNCM 2011 V3 30 05 2011_PAO-CAF-RESOP_E2_2013_03_10_19H" xfId="2241"/>
    <cellStyle name="s_Matrix_B_Actualisation provision contrat déficitaire SNCM 2011 V3 30 05 2011_PAO-CAF-RESOP_E2_2013_03_10_19H_Bridge_Zone_Sud" xfId="2242"/>
    <cellStyle name="s_Matrix_B_Actualisation provision contrat déficitaire SNCM 2011 V3 30 05 2011_PPA" xfId="2243"/>
    <cellStyle name="s_Matrix_B_Actualisation provision contrat déficitaire SNCM 2011 V3 30 05 2011_RESOP bef CICE&amp;PPA&amp;RepartHO" xfId="2244"/>
    <cellStyle name="s_Matrix_B_Actualisation provision contrat déficitaire SNCM 2011 V3 30 05 2011_Synthèse_Présentation_conso_retraitée" xfId="2245"/>
    <cellStyle name="s_Matrix_B_B14_E2_2210" xfId="2246"/>
    <cellStyle name="s_Matrix_B_B14_E2_2210_Bridge_Zone_Sud" xfId="2247"/>
    <cellStyle name="s_Matrix_B_BFR_TD_2014.02" xfId="2248"/>
    <cellStyle name="s_Matrix_B_Bridge_Zone_Nord" xfId="2249"/>
    <cellStyle name="s_Matrix_B_CAPEM BY COUNTRY" xfId="2250"/>
    <cellStyle name="s_Matrix_B_LI819L_B13" xfId="679"/>
    <cellStyle name="s_Matrix_B_LI819L_B13_CAPEM BY COUNTRY" xfId="2251"/>
    <cellStyle name="s_Matrix_B_LI819L_B13_Maquette PLT" xfId="2252"/>
    <cellStyle name="s_Matrix_B_LI819L_B13_Output" xfId="3417"/>
    <cellStyle name="s_Matrix_B_LI819L_B13_PPA" xfId="2253"/>
    <cellStyle name="s_Matrix_B_LI819L_B13_RESOP bef CICE&amp;PPA&amp;RepartHO" xfId="2254"/>
    <cellStyle name="s_Matrix_B_Maquette PLT" xfId="2255"/>
    <cellStyle name="s_Matrix_B_Output" xfId="3418"/>
    <cellStyle name="s_Matrix_B_PAO-CAF-RESOP_14_01_13 à 20h" xfId="680"/>
    <cellStyle name="s_Matrix_B_PAO-CAF-RESOP_14_01_13 à 20h_CAPEM BY COUNTRY" xfId="2256"/>
    <cellStyle name="s_Matrix_B_PAO-CAF-RESOP_14_01_13 à 20h_Maquette PLT" xfId="2257"/>
    <cellStyle name="s_Matrix_B_PAO-CAF-RESOP_14_01_13 à 20h_Output" xfId="3419"/>
    <cellStyle name="s_Matrix_B_PAO-CAF-RESOP_14_01_13 à 20h_PPA" xfId="2258"/>
    <cellStyle name="s_Matrix_B_PAO-CAF-RESOP_14_01_13 à 20h_RESOP bef CICE&amp;PPA&amp;RepartHO" xfId="2259"/>
    <cellStyle name="s_Matrix_B_PAO-CAF-RESOP_2014.02" xfId="2260"/>
    <cellStyle name="s_Matrix_B_PAO-CAF-RESOP_2014.02_Bridge_Zone_Sud" xfId="2261"/>
    <cellStyle name="s_Matrix_B_PPA" xfId="2262"/>
    <cellStyle name="s_Matrix_B_RESOP bef CICE&amp;PPA&amp;RepartHO" xfId="2263"/>
    <cellStyle name="s_Matrix_T" xfId="681"/>
    <cellStyle name="s_Matrix_T_Actualisation provision contrat déficitaire SNCM 2010 V Def" xfId="682"/>
    <cellStyle name="s_Matrix_T_Actualisation provision contrat déficitaire SNCM 2010 V Def_B14_E2_2210" xfId="2264"/>
    <cellStyle name="s_Matrix_T_Actualisation provision contrat déficitaire SNCM 2010 V Def_B14_E2_2210_Bridge_Zone_Sud" xfId="2265"/>
    <cellStyle name="s_Matrix_T_Actualisation provision contrat déficitaire SNCM 2010 V Def_Bridge_Zone_Sud" xfId="2266"/>
    <cellStyle name="s_Matrix_T_Actualisation provision contrat déficitaire SNCM 2010 V Def_CAPEM BY COUNTRY" xfId="2267"/>
    <cellStyle name="s_Matrix_T_Actualisation provision contrat déficitaire SNCM 2010 V Def_focus par entités CAFOPE2AMF" xfId="2268"/>
    <cellStyle name="s_Matrix_T_Actualisation provision contrat déficitaire SNCM 2010 V Def_focus par entités CAFOPE2AMF_Bridge_Zone_Sud" xfId="2269"/>
    <cellStyle name="s_Matrix_T_Actualisation provision contrat déficitaire SNCM 2010 V Def_Maquette PLT" xfId="2270"/>
    <cellStyle name="s_Matrix_T_Actualisation provision contrat déficitaire SNCM 2010 V Def_Output" xfId="3420"/>
    <cellStyle name="s_Matrix_T_Actualisation provision contrat déficitaire SNCM 2010 V Def_PAO-CAF-RESOP_04_13_pro_format_variante T1" xfId="2271"/>
    <cellStyle name="s_Matrix_T_Actualisation provision contrat déficitaire SNCM 2010 V Def_PAO-CAF-RESOP_04_13_pro_format_variante T1_B14_E2_2210" xfId="2272"/>
    <cellStyle name="s_Matrix_T_Actualisation provision contrat déficitaire SNCM 2010 V Def_PAO-CAF-RESOP_04_13_pro_format_variante T1_B14_E2_2210_Bridge_Zone_Sud" xfId="2273"/>
    <cellStyle name="s_Matrix_T_Actualisation provision contrat déficitaire SNCM 2010 V Def_PAO-CAF-RESOP_04_13_pro_format_variante T1_Bridge_Zone_Sud" xfId="2274"/>
    <cellStyle name="s_Matrix_T_Actualisation provision contrat déficitaire SNCM 2010 V Def_PAO-CAF-RESOP_06_13" xfId="2275"/>
    <cellStyle name="s_Matrix_T_Actualisation provision contrat déficitaire SNCM 2010 V Def_PAO-CAF-RESOP_06_13_B14_E2_2210" xfId="2276"/>
    <cellStyle name="s_Matrix_T_Actualisation provision contrat déficitaire SNCM 2010 V Def_PAO-CAF-RESOP_06_13_B14_E2_2210_Bridge_Zone_Sud" xfId="2277"/>
    <cellStyle name="s_Matrix_T_Actualisation provision contrat déficitaire SNCM 2010 V Def_PAO-CAF-RESOP_06_13_Bridge_Zone_Sud" xfId="2278"/>
    <cellStyle name="s_Matrix_T_Actualisation provision contrat déficitaire SNCM 2010 V Def_PAO-CAF-RESOP_08_13" xfId="2279"/>
    <cellStyle name="s_Matrix_T_Actualisation provision contrat déficitaire SNCM 2010 V Def_PAO-CAF-RESOP_08_13_B14_E2_2210" xfId="2280"/>
    <cellStyle name="s_Matrix_T_Actualisation provision contrat déficitaire SNCM 2010 V Def_PAO-CAF-RESOP_08_13_B14_E2_2210_Bridge_Zone_Sud" xfId="2281"/>
    <cellStyle name="s_Matrix_T_Actualisation provision contrat déficitaire SNCM 2010 V Def_PAO-CAF-RESOP_08_13_Bridge_Zone_Sud" xfId="2282"/>
    <cellStyle name="s_Matrix_T_Actualisation provision contrat déficitaire SNCM 2010 V Def_PAO-CAF-RESOP_09_13" xfId="2283"/>
    <cellStyle name="s_Matrix_T_Actualisation provision contrat déficitaire SNCM 2010 V Def_PAO-CAF-RESOP_09_13_Bridge_Zone_Sud" xfId="2284"/>
    <cellStyle name="s_Matrix_T_Actualisation provision contrat déficitaire SNCM 2010 V Def_PAO-CAF-RESOP_09_2013_Zone_IDF (version 2)" xfId="2285"/>
    <cellStyle name="s_Matrix_T_Actualisation provision contrat déficitaire SNCM 2010 V Def_PAO-CAF-RESOP_10_12" xfId="2286"/>
    <cellStyle name="s_Matrix_T_Actualisation provision contrat déficitaire SNCM 2010 V Def_PAO-CAF-RESOP_10_12_Bridge_Zone_Sud" xfId="2287"/>
    <cellStyle name="s_Matrix_T_Actualisation provision contrat déficitaire SNCM 2010 V Def_PAO-CAF-RESOP_10_12_focus par entités CAFOP" xfId="2288"/>
    <cellStyle name="s_Matrix_T_Actualisation provision contrat déficitaire SNCM 2010 V Def_PAO-CAF-RESOP_10_12_focus par entités CAFOP_Bridge_Zone_Sud" xfId="2289"/>
    <cellStyle name="s_Matrix_T_Actualisation provision contrat déficitaire SNCM 2010 V Def_PAO-CAF-RESOP_11_13" xfId="2290"/>
    <cellStyle name="s_Matrix_T_Actualisation provision contrat déficitaire SNCM 2010 V Def_PAO-CAF-RESOP_B13" xfId="2291"/>
    <cellStyle name="s_Matrix_T_Actualisation provision contrat déficitaire SNCM 2010 V Def_PAO-CAF-RESOP_B13_Bridge_Zone_Sud" xfId="2292"/>
    <cellStyle name="s_Matrix_T_Actualisation provision contrat déficitaire SNCM 2010 V Def_PAO-CAF-RESOP_B13_focus par entités CAFOP" xfId="2293"/>
    <cellStyle name="s_Matrix_T_Actualisation provision contrat déficitaire SNCM 2010 V Def_PAO-CAF-RESOP_B13_focus par entités CAFOP_Bridge_Zone_Sud" xfId="2294"/>
    <cellStyle name="s_Matrix_T_Actualisation provision contrat déficitaire SNCM 2010 V Def_PAO-CAF-RESOP_B2014" xfId="2295"/>
    <cellStyle name="s_Matrix_T_Actualisation provision contrat déficitaire SNCM 2010 V Def_PAO-CAF-RESOP_B2014_Bridge_Zone_Sud" xfId="2296"/>
    <cellStyle name="s_Matrix_T_Actualisation provision contrat déficitaire SNCM 2010 V Def_PAO-CAF-RESOP_B2014_v2" xfId="2297"/>
    <cellStyle name="s_Matrix_T_Actualisation provision contrat déficitaire SNCM 2010 V Def_PAO-CAF-RESOP_E2_13" xfId="2298"/>
    <cellStyle name="s_Matrix_T_Actualisation provision contrat déficitaire SNCM 2010 V Def_PAO-CAF-RESOP_E2_13_B14_E2_2210" xfId="2299"/>
    <cellStyle name="s_Matrix_T_Actualisation provision contrat déficitaire SNCM 2010 V Def_PAO-CAF-RESOP_E2_13_B14_E2_2210_Bridge_Zone_Sud" xfId="2300"/>
    <cellStyle name="s_Matrix_T_Actualisation provision contrat déficitaire SNCM 2010 V Def_PAO-CAF-RESOP_E2_13_Bridge_Zone_Sud" xfId="2301"/>
    <cellStyle name="s_Matrix_T_Actualisation provision contrat déficitaire SNCM 2010 V Def_PAO-CAF-RESOP_E2_2013_03_10_19H" xfId="2302"/>
    <cellStyle name="s_Matrix_T_Actualisation provision contrat déficitaire SNCM 2010 V Def_PAO-CAF-RESOP_E2_2013_03_10_19H_Bridge_Zone_Sud" xfId="2303"/>
    <cellStyle name="s_Matrix_T_Actualisation provision contrat déficitaire SNCM 2010 V Def_PPA" xfId="2304"/>
    <cellStyle name="s_Matrix_T_Actualisation provision contrat déficitaire SNCM 2010 V Def_RESOP bef CICE&amp;PPA&amp;RepartHO" xfId="2305"/>
    <cellStyle name="s_Matrix_T_Actualisation provision contrat déficitaire SNCM 2010 V Def_Synthèse_Présentation_conso_retraitée" xfId="2306"/>
    <cellStyle name="s_Matrix_T_Actualisation provision contrat déficitaire SNCM 2011 V3 30 05 2011" xfId="683"/>
    <cellStyle name="s_Matrix_T_Actualisation provision contrat déficitaire SNCM 2011 V3 30 05 2011_B14_E2_2210" xfId="2307"/>
    <cellStyle name="s_Matrix_T_Actualisation provision contrat déficitaire SNCM 2011 V3 30 05 2011_B14_E2_2210_Bridge_Zone_Sud" xfId="2308"/>
    <cellStyle name="s_Matrix_T_Actualisation provision contrat déficitaire SNCM 2011 V3 30 05 2011_Bridge_Zone_Sud" xfId="2309"/>
    <cellStyle name="s_Matrix_T_Actualisation provision contrat déficitaire SNCM 2011 V3 30 05 2011_CAPEM BY COUNTRY" xfId="2310"/>
    <cellStyle name="s_Matrix_T_Actualisation provision contrat déficitaire SNCM 2011 V3 30 05 2011_focus par entités CAFOPE2AMF" xfId="2311"/>
    <cellStyle name="s_Matrix_T_Actualisation provision contrat déficitaire SNCM 2011 V3 30 05 2011_focus par entités CAFOPE2AMF_Bridge_Zone_Sud" xfId="2312"/>
    <cellStyle name="s_Matrix_T_Actualisation provision contrat déficitaire SNCM 2011 V3 30 05 2011_Maquette PLT" xfId="2313"/>
    <cellStyle name="s_Matrix_T_Actualisation provision contrat déficitaire SNCM 2011 V3 30 05 2011_Output" xfId="3421"/>
    <cellStyle name="s_Matrix_T_Actualisation provision contrat déficitaire SNCM 2011 V3 30 05 2011_PAO-CAF-RESOP_04_13_pro_format_variante T1" xfId="2314"/>
    <cellStyle name="s_Matrix_T_Actualisation provision contrat déficitaire SNCM 2011 V3 30 05 2011_PAO-CAF-RESOP_04_13_pro_format_variante T1_B14_E2_2210" xfId="2315"/>
    <cellStyle name="s_Matrix_T_Actualisation provision contrat déficitaire SNCM 2011 V3 30 05 2011_PAO-CAF-RESOP_04_13_pro_format_variante T1_B14_E2_2210_Bridge_Zone_Sud" xfId="2316"/>
    <cellStyle name="s_Matrix_T_Actualisation provision contrat déficitaire SNCM 2011 V3 30 05 2011_PAO-CAF-RESOP_04_13_pro_format_variante T1_Bridge_Zone_Sud" xfId="2317"/>
    <cellStyle name="s_Matrix_T_Actualisation provision contrat déficitaire SNCM 2011 V3 30 05 2011_PAO-CAF-RESOP_06_13" xfId="2318"/>
    <cellStyle name="s_Matrix_T_Actualisation provision contrat déficitaire SNCM 2011 V3 30 05 2011_PAO-CAF-RESOP_06_13_B14_E2_2210" xfId="2319"/>
    <cellStyle name="s_Matrix_T_Actualisation provision contrat déficitaire SNCM 2011 V3 30 05 2011_PAO-CAF-RESOP_06_13_B14_E2_2210_Bridge_Zone_Sud" xfId="2320"/>
    <cellStyle name="s_Matrix_T_Actualisation provision contrat déficitaire SNCM 2011 V3 30 05 2011_PAO-CAF-RESOP_06_13_Bridge_Zone_Sud" xfId="2321"/>
    <cellStyle name="s_Matrix_T_Actualisation provision contrat déficitaire SNCM 2011 V3 30 05 2011_PAO-CAF-RESOP_08_13" xfId="2322"/>
    <cellStyle name="s_Matrix_T_Actualisation provision contrat déficitaire SNCM 2011 V3 30 05 2011_PAO-CAF-RESOP_08_13_B14_E2_2210" xfId="2323"/>
    <cellStyle name="s_Matrix_T_Actualisation provision contrat déficitaire SNCM 2011 V3 30 05 2011_PAO-CAF-RESOP_08_13_B14_E2_2210_Bridge_Zone_Sud" xfId="2324"/>
    <cellStyle name="s_Matrix_T_Actualisation provision contrat déficitaire SNCM 2011 V3 30 05 2011_PAO-CAF-RESOP_08_13_Bridge_Zone_Sud" xfId="2325"/>
    <cellStyle name="s_Matrix_T_Actualisation provision contrat déficitaire SNCM 2011 V3 30 05 2011_PAO-CAF-RESOP_09_13" xfId="2326"/>
    <cellStyle name="s_Matrix_T_Actualisation provision contrat déficitaire SNCM 2011 V3 30 05 2011_PAO-CAF-RESOP_09_13_Bridge_Zone_Sud" xfId="2327"/>
    <cellStyle name="s_Matrix_T_Actualisation provision contrat déficitaire SNCM 2011 V3 30 05 2011_PAO-CAF-RESOP_09_2013_Zone_IDF (version 2)" xfId="2328"/>
    <cellStyle name="s_Matrix_T_Actualisation provision contrat déficitaire SNCM 2011 V3 30 05 2011_PAO-CAF-RESOP_10_12" xfId="2329"/>
    <cellStyle name="s_Matrix_T_Actualisation provision contrat déficitaire SNCM 2011 V3 30 05 2011_PAO-CAF-RESOP_10_12_Bridge_Zone_Sud" xfId="2330"/>
    <cellStyle name="s_Matrix_T_Actualisation provision contrat déficitaire SNCM 2011 V3 30 05 2011_PAO-CAF-RESOP_10_12_focus par entités CAFOP" xfId="2331"/>
    <cellStyle name="s_Matrix_T_Actualisation provision contrat déficitaire SNCM 2011 V3 30 05 2011_PAO-CAF-RESOP_10_12_focus par entités CAFOP_Bridge_Zone_Sud" xfId="2332"/>
    <cellStyle name="s_Matrix_T_Actualisation provision contrat déficitaire SNCM 2011 V3 30 05 2011_PAO-CAF-RESOP_11_13" xfId="2333"/>
    <cellStyle name="s_Matrix_T_Actualisation provision contrat déficitaire SNCM 2011 V3 30 05 2011_PAO-CAF-RESOP_B13" xfId="2334"/>
    <cellStyle name="s_Matrix_T_Actualisation provision contrat déficitaire SNCM 2011 V3 30 05 2011_PAO-CAF-RESOP_B13_Bridge_Zone_Sud" xfId="2335"/>
    <cellStyle name="s_Matrix_T_Actualisation provision contrat déficitaire SNCM 2011 V3 30 05 2011_PAO-CAF-RESOP_B13_focus par entités CAFOP" xfId="2336"/>
    <cellStyle name="s_Matrix_T_Actualisation provision contrat déficitaire SNCM 2011 V3 30 05 2011_PAO-CAF-RESOP_B13_focus par entités CAFOP_Bridge_Zone_Sud" xfId="2337"/>
    <cellStyle name="s_Matrix_T_Actualisation provision contrat déficitaire SNCM 2011 V3 30 05 2011_PAO-CAF-RESOP_B2014" xfId="2338"/>
    <cellStyle name="s_Matrix_T_Actualisation provision contrat déficitaire SNCM 2011 V3 30 05 2011_PAO-CAF-RESOP_B2014_Bridge_Zone_Sud" xfId="2339"/>
    <cellStyle name="s_Matrix_T_Actualisation provision contrat déficitaire SNCM 2011 V3 30 05 2011_PAO-CAF-RESOP_B2014_v2" xfId="2340"/>
    <cellStyle name="s_Matrix_T_Actualisation provision contrat déficitaire SNCM 2011 V3 30 05 2011_PAO-CAF-RESOP_E2_13" xfId="2341"/>
    <cellStyle name="s_Matrix_T_Actualisation provision contrat déficitaire SNCM 2011 V3 30 05 2011_PAO-CAF-RESOP_E2_13_B14_E2_2210" xfId="2342"/>
    <cellStyle name="s_Matrix_T_Actualisation provision contrat déficitaire SNCM 2011 V3 30 05 2011_PAO-CAF-RESOP_E2_13_B14_E2_2210_Bridge_Zone_Sud" xfId="2343"/>
    <cellStyle name="s_Matrix_T_Actualisation provision contrat déficitaire SNCM 2011 V3 30 05 2011_PAO-CAF-RESOP_E2_13_Bridge_Zone_Sud" xfId="2344"/>
    <cellStyle name="s_Matrix_T_Actualisation provision contrat déficitaire SNCM 2011 V3 30 05 2011_PAO-CAF-RESOP_E2_2013_03_10_19H" xfId="2345"/>
    <cellStyle name="s_Matrix_T_Actualisation provision contrat déficitaire SNCM 2011 V3 30 05 2011_PAO-CAF-RESOP_E2_2013_03_10_19H_Bridge_Zone_Sud" xfId="2346"/>
    <cellStyle name="s_Matrix_T_Actualisation provision contrat déficitaire SNCM 2011 V3 30 05 2011_PPA" xfId="2347"/>
    <cellStyle name="s_Matrix_T_Actualisation provision contrat déficitaire SNCM 2011 V3 30 05 2011_RESOP bef CICE&amp;PPA&amp;RepartHO" xfId="2348"/>
    <cellStyle name="s_Matrix_T_Actualisation provision contrat déficitaire SNCM 2011 V3 30 05 2011_Synthèse_Présentation_conso_retraitée" xfId="2349"/>
    <cellStyle name="s_Matrix_T_B14_E2_2210" xfId="2350"/>
    <cellStyle name="s_Matrix_T_B14_E2_2210_Bridge_Zone_Sud" xfId="2351"/>
    <cellStyle name="s_Matrix_T_BFR_TD_2014.02" xfId="2352"/>
    <cellStyle name="s_Matrix_T_Bridge_Zone_Nord" xfId="2353"/>
    <cellStyle name="s_Matrix_T_CAPEM BY COUNTRY" xfId="2354"/>
    <cellStyle name="s_Matrix_T_LI819L_B13" xfId="684"/>
    <cellStyle name="s_Matrix_T_LI819L_B13_CAPEM BY COUNTRY" xfId="2355"/>
    <cellStyle name="s_Matrix_T_LI819L_B13_Maquette PLT" xfId="2356"/>
    <cellStyle name="s_Matrix_T_LI819L_B13_Output" xfId="3422"/>
    <cellStyle name="s_Matrix_T_LI819L_B13_PPA" xfId="2357"/>
    <cellStyle name="s_Matrix_T_LI819L_B13_RESOP bef CICE&amp;PPA&amp;RepartHO" xfId="2358"/>
    <cellStyle name="s_Matrix_T_Maquette PLT" xfId="2359"/>
    <cellStyle name="s_Matrix_T_Output" xfId="3423"/>
    <cellStyle name="s_Matrix_T_PAO-CAF-RESOP_14_01_13 à 20h" xfId="685"/>
    <cellStyle name="s_Matrix_T_PAO-CAF-RESOP_14_01_13 à 20h_CAPEM BY COUNTRY" xfId="2360"/>
    <cellStyle name="s_Matrix_T_PAO-CAF-RESOP_14_01_13 à 20h_Maquette PLT" xfId="2361"/>
    <cellStyle name="s_Matrix_T_PAO-CAF-RESOP_14_01_13 à 20h_Output" xfId="3424"/>
    <cellStyle name="s_Matrix_T_PAO-CAF-RESOP_14_01_13 à 20h_PPA" xfId="2362"/>
    <cellStyle name="s_Matrix_T_PAO-CAF-RESOP_14_01_13 à 20h_RESOP bef CICE&amp;PPA&amp;RepartHO" xfId="2363"/>
    <cellStyle name="s_Matrix_T_PAO-CAF-RESOP_2014.02" xfId="2364"/>
    <cellStyle name="s_Matrix_T_PAO-CAF-RESOP_2014.02_Bridge_Zone_Sud" xfId="2365"/>
    <cellStyle name="s_Matrix_T_PPA" xfId="2366"/>
    <cellStyle name="s_Matrix_T_RESOP bef CICE&amp;PPA&amp;RepartHO" xfId="2367"/>
    <cellStyle name="s_Merger" xfId="686"/>
    <cellStyle name="s_Merger_Actualisation provision contrat déficitaire SNCM 2010 V Def" xfId="687"/>
    <cellStyle name="s_Merger_Actualisation provision contrat déficitaire SNCM 2010 V Def_B14_E2_2210" xfId="2368"/>
    <cellStyle name="s_Merger_Actualisation provision contrat déficitaire SNCM 2010 V Def_B14_E2_2210_Bridge_Zone_Sud" xfId="2369"/>
    <cellStyle name="s_Merger_Actualisation provision contrat déficitaire SNCM 2010 V Def_Bridge_Zone_Sud" xfId="2370"/>
    <cellStyle name="s_Merger_Actualisation provision contrat déficitaire SNCM 2010 V Def_CAPEM BY COUNTRY" xfId="2371"/>
    <cellStyle name="s_Merger_Actualisation provision contrat déficitaire SNCM 2010 V Def_focus par entités CAFOPE2AMF" xfId="2372"/>
    <cellStyle name="s_Merger_Actualisation provision contrat déficitaire SNCM 2010 V Def_focus par entités CAFOPE2AMF_Bridge_Zone_Sud" xfId="2373"/>
    <cellStyle name="s_Merger_Actualisation provision contrat déficitaire SNCM 2010 V Def_Maquette PLT" xfId="2374"/>
    <cellStyle name="s_Merger_Actualisation provision contrat déficitaire SNCM 2010 V Def_Output" xfId="3425"/>
    <cellStyle name="s_Merger_Actualisation provision contrat déficitaire SNCM 2010 V Def_PAO-CAF-RESOP_04_13_pro_format_variante T1" xfId="2375"/>
    <cellStyle name="s_Merger_Actualisation provision contrat déficitaire SNCM 2010 V Def_PAO-CAF-RESOP_04_13_pro_format_variante T1_B14_E2_2210" xfId="2376"/>
    <cellStyle name="s_Merger_Actualisation provision contrat déficitaire SNCM 2010 V Def_PAO-CAF-RESOP_04_13_pro_format_variante T1_B14_E2_2210_Bridge_Zone_Sud" xfId="2377"/>
    <cellStyle name="s_Merger_Actualisation provision contrat déficitaire SNCM 2010 V Def_PAO-CAF-RESOP_04_13_pro_format_variante T1_Bridge_Zone_Sud" xfId="2378"/>
    <cellStyle name="s_Merger_Actualisation provision contrat déficitaire SNCM 2010 V Def_PAO-CAF-RESOP_06_13" xfId="2379"/>
    <cellStyle name="s_Merger_Actualisation provision contrat déficitaire SNCM 2010 V Def_PAO-CAF-RESOP_06_13_B14_E2_2210" xfId="2380"/>
    <cellStyle name="s_Merger_Actualisation provision contrat déficitaire SNCM 2010 V Def_PAO-CAF-RESOP_06_13_B14_E2_2210_Bridge_Zone_Sud" xfId="2381"/>
    <cellStyle name="s_Merger_Actualisation provision contrat déficitaire SNCM 2010 V Def_PAO-CAF-RESOP_06_13_Bridge_Zone_Sud" xfId="2382"/>
    <cellStyle name="s_Merger_Actualisation provision contrat déficitaire SNCM 2010 V Def_PAO-CAF-RESOP_08_13" xfId="2383"/>
    <cellStyle name="s_Merger_Actualisation provision contrat déficitaire SNCM 2010 V Def_PAO-CAF-RESOP_08_13_B14_E2_2210" xfId="2384"/>
    <cellStyle name="s_Merger_Actualisation provision contrat déficitaire SNCM 2010 V Def_PAO-CAF-RESOP_08_13_B14_E2_2210_Bridge_Zone_Sud" xfId="2385"/>
    <cellStyle name="s_Merger_Actualisation provision contrat déficitaire SNCM 2010 V Def_PAO-CAF-RESOP_08_13_Bridge_Zone_Sud" xfId="2386"/>
    <cellStyle name="s_Merger_Actualisation provision contrat déficitaire SNCM 2010 V Def_PAO-CAF-RESOP_09_13" xfId="2387"/>
    <cellStyle name="s_Merger_Actualisation provision contrat déficitaire SNCM 2010 V Def_PAO-CAF-RESOP_09_13_Bridge_Zone_Sud" xfId="2388"/>
    <cellStyle name="s_Merger_Actualisation provision contrat déficitaire SNCM 2010 V Def_PAO-CAF-RESOP_09_2013_Zone_IDF (version 2)" xfId="2389"/>
    <cellStyle name="s_Merger_Actualisation provision contrat déficitaire SNCM 2010 V Def_PAO-CAF-RESOP_10_12" xfId="2390"/>
    <cellStyle name="s_Merger_Actualisation provision contrat déficitaire SNCM 2010 V Def_PAO-CAF-RESOP_10_12_Bridge_Zone_Sud" xfId="2391"/>
    <cellStyle name="s_Merger_Actualisation provision contrat déficitaire SNCM 2010 V Def_PAO-CAF-RESOP_10_12_focus par entités CAFOP" xfId="2392"/>
    <cellStyle name="s_Merger_Actualisation provision contrat déficitaire SNCM 2010 V Def_PAO-CAF-RESOP_10_12_focus par entités CAFOP_Bridge_Zone_Sud" xfId="2393"/>
    <cellStyle name="s_Merger_Actualisation provision contrat déficitaire SNCM 2010 V Def_PAO-CAF-RESOP_11_13" xfId="2394"/>
    <cellStyle name="s_Merger_Actualisation provision contrat déficitaire SNCM 2010 V Def_PAO-CAF-RESOP_B13" xfId="2395"/>
    <cellStyle name="s_Merger_Actualisation provision contrat déficitaire SNCM 2010 V Def_PAO-CAF-RESOP_B13_Bridge_Zone_Sud" xfId="2396"/>
    <cellStyle name="s_Merger_Actualisation provision contrat déficitaire SNCM 2010 V Def_PAO-CAF-RESOP_B13_focus par entités CAFOP" xfId="2397"/>
    <cellStyle name="s_Merger_Actualisation provision contrat déficitaire SNCM 2010 V Def_PAO-CAF-RESOP_B13_focus par entités CAFOP_Bridge_Zone_Sud" xfId="2398"/>
    <cellStyle name="s_Merger_Actualisation provision contrat déficitaire SNCM 2010 V Def_PAO-CAF-RESOP_B2014" xfId="2399"/>
    <cellStyle name="s_Merger_Actualisation provision contrat déficitaire SNCM 2010 V Def_PAO-CAF-RESOP_B2014_Bridge_Zone_Sud" xfId="2400"/>
    <cellStyle name="s_Merger_Actualisation provision contrat déficitaire SNCM 2010 V Def_PAO-CAF-RESOP_B2014_v2" xfId="2401"/>
    <cellStyle name="s_Merger_Actualisation provision contrat déficitaire SNCM 2010 V Def_PAO-CAF-RESOP_E2_13" xfId="2402"/>
    <cellStyle name="s_Merger_Actualisation provision contrat déficitaire SNCM 2010 V Def_PAO-CAF-RESOP_E2_13_B14_E2_2210" xfId="2403"/>
    <cellStyle name="s_Merger_Actualisation provision contrat déficitaire SNCM 2010 V Def_PAO-CAF-RESOP_E2_13_B14_E2_2210_Bridge_Zone_Sud" xfId="2404"/>
    <cellStyle name="s_Merger_Actualisation provision contrat déficitaire SNCM 2010 V Def_PAO-CAF-RESOP_E2_13_Bridge_Zone_Sud" xfId="2405"/>
    <cellStyle name="s_Merger_Actualisation provision contrat déficitaire SNCM 2010 V Def_PAO-CAF-RESOP_E2_2013_03_10_19H" xfId="2406"/>
    <cellStyle name="s_Merger_Actualisation provision contrat déficitaire SNCM 2010 V Def_PAO-CAF-RESOP_E2_2013_03_10_19H_Bridge_Zone_Sud" xfId="2407"/>
    <cellStyle name="s_Merger_Actualisation provision contrat déficitaire SNCM 2010 V Def_PPA" xfId="2408"/>
    <cellStyle name="s_Merger_Actualisation provision contrat déficitaire SNCM 2010 V Def_RESOP bef CICE&amp;PPA&amp;RepartHO" xfId="2409"/>
    <cellStyle name="s_Merger_Actualisation provision contrat déficitaire SNCM 2010 V Def_Synthèse_Présentation_conso_retraitée" xfId="2410"/>
    <cellStyle name="s_Merger_Actualisation provision contrat déficitaire SNCM 2011 V3 30 05 2011" xfId="688"/>
    <cellStyle name="s_Merger_Actualisation provision contrat déficitaire SNCM 2011 V3 30 05 2011_B14_E2_2210" xfId="2411"/>
    <cellStyle name="s_Merger_Actualisation provision contrat déficitaire SNCM 2011 V3 30 05 2011_B14_E2_2210_Bridge_Zone_Sud" xfId="2412"/>
    <cellStyle name="s_Merger_Actualisation provision contrat déficitaire SNCM 2011 V3 30 05 2011_Bridge_Zone_Sud" xfId="2413"/>
    <cellStyle name="s_Merger_Actualisation provision contrat déficitaire SNCM 2011 V3 30 05 2011_CAPEM BY COUNTRY" xfId="2414"/>
    <cellStyle name="s_Merger_Actualisation provision contrat déficitaire SNCM 2011 V3 30 05 2011_focus par entités CAFOPE2AMF" xfId="2415"/>
    <cellStyle name="s_Merger_Actualisation provision contrat déficitaire SNCM 2011 V3 30 05 2011_focus par entités CAFOPE2AMF_Bridge_Zone_Sud" xfId="2416"/>
    <cellStyle name="s_Merger_Actualisation provision contrat déficitaire SNCM 2011 V3 30 05 2011_Maquette PLT" xfId="2417"/>
    <cellStyle name="s_Merger_Actualisation provision contrat déficitaire SNCM 2011 V3 30 05 2011_Output" xfId="3426"/>
    <cellStyle name="s_Merger_Actualisation provision contrat déficitaire SNCM 2011 V3 30 05 2011_PAO-CAF-RESOP_04_13_pro_format_variante T1" xfId="2418"/>
    <cellStyle name="s_Merger_Actualisation provision contrat déficitaire SNCM 2011 V3 30 05 2011_PAO-CAF-RESOP_04_13_pro_format_variante T1_B14_E2_2210" xfId="2419"/>
    <cellStyle name="s_Merger_Actualisation provision contrat déficitaire SNCM 2011 V3 30 05 2011_PAO-CAF-RESOP_04_13_pro_format_variante T1_B14_E2_2210_Bridge_Zone_Sud" xfId="2420"/>
    <cellStyle name="s_Merger_Actualisation provision contrat déficitaire SNCM 2011 V3 30 05 2011_PAO-CAF-RESOP_04_13_pro_format_variante T1_Bridge_Zone_Sud" xfId="2421"/>
    <cellStyle name="s_Merger_Actualisation provision contrat déficitaire SNCM 2011 V3 30 05 2011_PAO-CAF-RESOP_06_13" xfId="2422"/>
    <cellStyle name="s_Merger_Actualisation provision contrat déficitaire SNCM 2011 V3 30 05 2011_PAO-CAF-RESOP_06_13_B14_E2_2210" xfId="2423"/>
    <cellStyle name="s_Merger_Actualisation provision contrat déficitaire SNCM 2011 V3 30 05 2011_PAO-CAF-RESOP_06_13_B14_E2_2210_Bridge_Zone_Sud" xfId="2424"/>
    <cellStyle name="s_Merger_Actualisation provision contrat déficitaire SNCM 2011 V3 30 05 2011_PAO-CAF-RESOP_06_13_Bridge_Zone_Sud" xfId="2425"/>
    <cellStyle name="s_Merger_Actualisation provision contrat déficitaire SNCM 2011 V3 30 05 2011_PAO-CAF-RESOP_08_13" xfId="2426"/>
    <cellStyle name="s_Merger_Actualisation provision contrat déficitaire SNCM 2011 V3 30 05 2011_PAO-CAF-RESOP_08_13_B14_E2_2210" xfId="2427"/>
    <cellStyle name="s_Merger_Actualisation provision contrat déficitaire SNCM 2011 V3 30 05 2011_PAO-CAF-RESOP_08_13_B14_E2_2210_Bridge_Zone_Sud" xfId="2428"/>
    <cellStyle name="s_Merger_Actualisation provision contrat déficitaire SNCM 2011 V3 30 05 2011_PAO-CAF-RESOP_08_13_Bridge_Zone_Sud" xfId="2429"/>
    <cellStyle name="s_Merger_Actualisation provision contrat déficitaire SNCM 2011 V3 30 05 2011_PAO-CAF-RESOP_09_13" xfId="2430"/>
    <cellStyle name="s_Merger_Actualisation provision contrat déficitaire SNCM 2011 V3 30 05 2011_PAO-CAF-RESOP_09_13_Bridge_Zone_Sud" xfId="2431"/>
    <cellStyle name="s_Merger_Actualisation provision contrat déficitaire SNCM 2011 V3 30 05 2011_PAO-CAF-RESOP_09_2013_Zone_IDF (version 2)" xfId="2432"/>
    <cellStyle name="s_Merger_Actualisation provision contrat déficitaire SNCM 2011 V3 30 05 2011_PAO-CAF-RESOP_10_12" xfId="2433"/>
    <cellStyle name="s_Merger_Actualisation provision contrat déficitaire SNCM 2011 V3 30 05 2011_PAO-CAF-RESOP_10_12_Bridge_Zone_Sud" xfId="2434"/>
    <cellStyle name="s_Merger_Actualisation provision contrat déficitaire SNCM 2011 V3 30 05 2011_PAO-CAF-RESOP_10_12_focus par entités CAFOP" xfId="2435"/>
    <cellStyle name="s_Merger_Actualisation provision contrat déficitaire SNCM 2011 V3 30 05 2011_PAO-CAF-RESOP_10_12_focus par entités CAFOP_Bridge_Zone_Sud" xfId="2436"/>
    <cellStyle name="s_Merger_Actualisation provision contrat déficitaire SNCM 2011 V3 30 05 2011_PAO-CAF-RESOP_11_13" xfId="2437"/>
    <cellStyle name="s_Merger_Actualisation provision contrat déficitaire SNCM 2011 V3 30 05 2011_PAO-CAF-RESOP_B13" xfId="2438"/>
    <cellStyle name="s_Merger_Actualisation provision contrat déficitaire SNCM 2011 V3 30 05 2011_PAO-CAF-RESOP_B13_Bridge_Zone_Sud" xfId="2439"/>
    <cellStyle name="s_Merger_Actualisation provision contrat déficitaire SNCM 2011 V3 30 05 2011_PAO-CAF-RESOP_B13_focus par entités CAFOP" xfId="2440"/>
    <cellStyle name="s_Merger_Actualisation provision contrat déficitaire SNCM 2011 V3 30 05 2011_PAO-CAF-RESOP_B13_focus par entités CAFOP_Bridge_Zone_Sud" xfId="2441"/>
    <cellStyle name="s_Merger_Actualisation provision contrat déficitaire SNCM 2011 V3 30 05 2011_PAO-CAF-RESOP_B2014" xfId="2442"/>
    <cellStyle name="s_Merger_Actualisation provision contrat déficitaire SNCM 2011 V3 30 05 2011_PAO-CAF-RESOP_B2014_Bridge_Zone_Sud" xfId="2443"/>
    <cellStyle name="s_Merger_Actualisation provision contrat déficitaire SNCM 2011 V3 30 05 2011_PAO-CAF-RESOP_B2014_v2" xfId="2444"/>
    <cellStyle name="s_Merger_Actualisation provision contrat déficitaire SNCM 2011 V3 30 05 2011_PAO-CAF-RESOP_E2_13" xfId="2445"/>
    <cellStyle name="s_Merger_Actualisation provision contrat déficitaire SNCM 2011 V3 30 05 2011_PAO-CAF-RESOP_E2_13_B14_E2_2210" xfId="2446"/>
    <cellStyle name="s_Merger_Actualisation provision contrat déficitaire SNCM 2011 V3 30 05 2011_PAO-CAF-RESOP_E2_13_B14_E2_2210_Bridge_Zone_Sud" xfId="2447"/>
    <cellStyle name="s_Merger_Actualisation provision contrat déficitaire SNCM 2011 V3 30 05 2011_PAO-CAF-RESOP_E2_13_Bridge_Zone_Sud" xfId="2448"/>
    <cellStyle name="s_Merger_Actualisation provision contrat déficitaire SNCM 2011 V3 30 05 2011_PAO-CAF-RESOP_E2_2013_03_10_19H" xfId="2449"/>
    <cellStyle name="s_Merger_Actualisation provision contrat déficitaire SNCM 2011 V3 30 05 2011_PAO-CAF-RESOP_E2_2013_03_10_19H_Bridge_Zone_Sud" xfId="2450"/>
    <cellStyle name="s_Merger_Actualisation provision contrat déficitaire SNCM 2011 V3 30 05 2011_PPA" xfId="2451"/>
    <cellStyle name="s_Merger_Actualisation provision contrat déficitaire SNCM 2011 V3 30 05 2011_RESOP bef CICE&amp;PPA&amp;RepartHO" xfId="2452"/>
    <cellStyle name="s_Merger_Actualisation provision contrat déficitaire SNCM 2011 V3 30 05 2011_Synthèse_Présentation_conso_retraitée" xfId="2453"/>
    <cellStyle name="s_Merger_B14_E2_2210" xfId="2454"/>
    <cellStyle name="s_Merger_B14_E2_2210_Bridge_Zone_Sud" xfId="2455"/>
    <cellStyle name="s_Merger_BFR_TD_2014.02" xfId="2456"/>
    <cellStyle name="s_Merger_Bridge_Zone_Nord" xfId="2457"/>
    <cellStyle name="s_Merger_CAPEM BY COUNTRY" xfId="2458"/>
    <cellStyle name="s_Merger_LI819L_B13" xfId="689"/>
    <cellStyle name="s_Merger_LI819L_B13_CAPEM BY COUNTRY" xfId="2459"/>
    <cellStyle name="s_Merger_LI819L_B13_Maquette PLT" xfId="2460"/>
    <cellStyle name="s_Merger_LI819L_B13_Output" xfId="3427"/>
    <cellStyle name="s_Merger_LI819L_B13_PPA" xfId="2461"/>
    <cellStyle name="s_Merger_LI819L_B13_RESOP bef CICE&amp;PPA&amp;RepartHO" xfId="2462"/>
    <cellStyle name="s_Merger_Maquette PLT" xfId="2463"/>
    <cellStyle name="s_Merger_Output" xfId="3428"/>
    <cellStyle name="s_Merger_PAO-CAF-RESOP_14_01_13 à 20h" xfId="690"/>
    <cellStyle name="s_Merger_PAO-CAF-RESOP_14_01_13 à 20h_CAPEM BY COUNTRY" xfId="2464"/>
    <cellStyle name="s_Merger_PAO-CAF-RESOP_14_01_13 à 20h_Maquette PLT" xfId="2465"/>
    <cellStyle name="s_Merger_PAO-CAF-RESOP_14_01_13 à 20h_Output" xfId="3429"/>
    <cellStyle name="s_Merger_PAO-CAF-RESOP_14_01_13 à 20h_PPA" xfId="2466"/>
    <cellStyle name="s_Merger_PAO-CAF-RESOP_14_01_13 à 20h_RESOP bef CICE&amp;PPA&amp;RepartHO" xfId="2467"/>
    <cellStyle name="s_Merger_PAO-CAF-RESOP_2014.02" xfId="2468"/>
    <cellStyle name="s_Merger_PAO-CAF-RESOP_2014.02_Bridge_Zone_Sud" xfId="2469"/>
    <cellStyle name="s_Merger_PPA" xfId="2470"/>
    <cellStyle name="s_Merger_RESOP bef CICE&amp;PPA&amp;RepartHO" xfId="2471"/>
    <cellStyle name="s_model2" xfId="691"/>
    <cellStyle name="s_model2_Actualisation provision contrat déficitaire SNCM 2010 V Def" xfId="692"/>
    <cellStyle name="s_model2_Actualisation provision contrat déficitaire SNCM 2010 V Def_B14_E2_2210" xfId="2472"/>
    <cellStyle name="s_model2_Actualisation provision contrat déficitaire SNCM 2010 V Def_B14_E2_2210_Bridge_Zone_Sud" xfId="2473"/>
    <cellStyle name="s_model2_Actualisation provision contrat déficitaire SNCM 2010 V Def_Bridge_Zone_Sud" xfId="2474"/>
    <cellStyle name="s_model2_Actualisation provision contrat déficitaire SNCM 2010 V Def_CAPEM BY COUNTRY" xfId="2475"/>
    <cellStyle name="s_model2_Actualisation provision contrat déficitaire SNCM 2010 V Def_focus par entités CAFOPE2AMF" xfId="2476"/>
    <cellStyle name="s_model2_Actualisation provision contrat déficitaire SNCM 2010 V Def_focus par entités CAFOPE2AMF_Bridge_Zone_Sud" xfId="2477"/>
    <cellStyle name="s_model2_Actualisation provision contrat déficitaire SNCM 2010 V Def_Maquette PLT" xfId="2478"/>
    <cellStyle name="s_model2_Actualisation provision contrat déficitaire SNCM 2010 V Def_Output" xfId="3430"/>
    <cellStyle name="s_model2_Actualisation provision contrat déficitaire SNCM 2010 V Def_PAO-CAF-RESOP_04_13_pro_format_variante T1" xfId="2479"/>
    <cellStyle name="s_model2_Actualisation provision contrat déficitaire SNCM 2010 V Def_PAO-CAF-RESOP_04_13_pro_format_variante T1_B14_E2_2210" xfId="2480"/>
    <cellStyle name="s_model2_Actualisation provision contrat déficitaire SNCM 2010 V Def_PAO-CAF-RESOP_04_13_pro_format_variante T1_B14_E2_2210_Bridge_Zone_Sud" xfId="2481"/>
    <cellStyle name="s_model2_Actualisation provision contrat déficitaire SNCM 2010 V Def_PAO-CAF-RESOP_04_13_pro_format_variante T1_Bridge_Zone_Sud" xfId="2482"/>
    <cellStyle name="s_model2_Actualisation provision contrat déficitaire SNCM 2010 V Def_PAO-CAF-RESOP_06_13" xfId="2483"/>
    <cellStyle name="s_model2_Actualisation provision contrat déficitaire SNCM 2010 V Def_PAO-CAF-RESOP_06_13_B14_E2_2210" xfId="2484"/>
    <cellStyle name="s_model2_Actualisation provision contrat déficitaire SNCM 2010 V Def_PAO-CAF-RESOP_06_13_B14_E2_2210_Bridge_Zone_Sud" xfId="2485"/>
    <cellStyle name="s_model2_Actualisation provision contrat déficitaire SNCM 2010 V Def_PAO-CAF-RESOP_06_13_Bridge_Zone_Sud" xfId="2486"/>
    <cellStyle name="s_model2_Actualisation provision contrat déficitaire SNCM 2010 V Def_PAO-CAF-RESOP_08_13" xfId="2487"/>
    <cellStyle name="s_model2_Actualisation provision contrat déficitaire SNCM 2010 V Def_PAO-CAF-RESOP_08_13_B14_E2_2210" xfId="2488"/>
    <cellStyle name="s_model2_Actualisation provision contrat déficitaire SNCM 2010 V Def_PAO-CAF-RESOP_08_13_B14_E2_2210_Bridge_Zone_Sud" xfId="2489"/>
    <cellStyle name="s_model2_Actualisation provision contrat déficitaire SNCM 2010 V Def_PAO-CAF-RESOP_08_13_Bridge_Zone_Sud" xfId="2490"/>
    <cellStyle name="s_model2_Actualisation provision contrat déficitaire SNCM 2010 V Def_PAO-CAF-RESOP_09_13" xfId="2491"/>
    <cellStyle name="s_model2_Actualisation provision contrat déficitaire SNCM 2010 V Def_PAO-CAF-RESOP_09_13_Bridge_Zone_Sud" xfId="2492"/>
    <cellStyle name="s_model2_Actualisation provision contrat déficitaire SNCM 2010 V Def_PAO-CAF-RESOP_09_2013_Zone_IDF (version 2)" xfId="2493"/>
    <cellStyle name="s_model2_Actualisation provision contrat déficitaire SNCM 2010 V Def_PAO-CAF-RESOP_10_12" xfId="2494"/>
    <cellStyle name="s_model2_Actualisation provision contrat déficitaire SNCM 2010 V Def_PAO-CAF-RESOP_10_12_Bridge_Zone_Sud" xfId="2495"/>
    <cellStyle name="s_model2_Actualisation provision contrat déficitaire SNCM 2010 V Def_PAO-CAF-RESOP_10_12_focus par entités CAFOP" xfId="2496"/>
    <cellStyle name="s_model2_Actualisation provision contrat déficitaire SNCM 2010 V Def_PAO-CAF-RESOP_10_12_focus par entités CAFOP_Bridge_Zone_Sud" xfId="2497"/>
    <cellStyle name="s_model2_Actualisation provision contrat déficitaire SNCM 2010 V Def_PAO-CAF-RESOP_11_13" xfId="2498"/>
    <cellStyle name="s_model2_Actualisation provision contrat déficitaire SNCM 2010 V Def_PAO-CAF-RESOP_B13" xfId="2499"/>
    <cellStyle name="s_model2_Actualisation provision contrat déficitaire SNCM 2010 V Def_PAO-CAF-RESOP_B13_Bridge_Zone_Sud" xfId="2500"/>
    <cellStyle name="s_model2_Actualisation provision contrat déficitaire SNCM 2010 V Def_PAO-CAF-RESOP_B13_focus par entités CAFOP" xfId="2501"/>
    <cellStyle name="s_model2_Actualisation provision contrat déficitaire SNCM 2010 V Def_PAO-CAF-RESOP_B13_focus par entités CAFOP_Bridge_Zone_Sud" xfId="2502"/>
    <cellStyle name="s_model2_Actualisation provision contrat déficitaire SNCM 2010 V Def_PAO-CAF-RESOP_B2014" xfId="2503"/>
    <cellStyle name="s_model2_Actualisation provision contrat déficitaire SNCM 2010 V Def_PAO-CAF-RESOP_B2014_Bridge_Zone_Sud" xfId="2504"/>
    <cellStyle name="s_model2_Actualisation provision contrat déficitaire SNCM 2010 V Def_PAO-CAF-RESOP_B2014_v2" xfId="2505"/>
    <cellStyle name="s_model2_Actualisation provision contrat déficitaire SNCM 2010 V Def_PAO-CAF-RESOP_E2_13" xfId="2506"/>
    <cellStyle name="s_model2_Actualisation provision contrat déficitaire SNCM 2010 V Def_PAO-CAF-RESOP_E2_13_B14_E2_2210" xfId="2507"/>
    <cellStyle name="s_model2_Actualisation provision contrat déficitaire SNCM 2010 V Def_PAO-CAF-RESOP_E2_13_B14_E2_2210_Bridge_Zone_Sud" xfId="2508"/>
    <cellStyle name="s_model2_Actualisation provision contrat déficitaire SNCM 2010 V Def_PAO-CAF-RESOP_E2_13_Bridge_Zone_Sud" xfId="2509"/>
    <cellStyle name="s_model2_Actualisation provision contrat déficitaire SNCM 2010 V Def_PAO-CAF-RESOP_E2_2013_03_10_19H" xfId="2510"/>
    <cellStyle name="s_model2_Actualisation provision contrat déficitaire SNCM 2010 V Def_PAO-CAF-RESOP_E2_2013_03_10_19H_Bridge_Zone_Sud" xfId="2511"/>
    <cellStyle name="s_model2_Actualisation provision contrat déficitaire SNCM 2010 V Def_PPA" xfId="2512"/>
    <cellStyle name="s_model2_Actualisation provision contrat déficitaire SNCM 2010 V Def_RESOP bef CICE&amp;PPA&amp;RepartHO" xfId="2513"/>
    <cellStyle name="s_model2_Actualisation provision contrat déficitaire SNCM 2010 V Def_Synthèse_Présentation_conso_retraitée" xfId="2514"/>
    <cellStyle name="s_model2_Actualisation provision contrat déficitaire SNCM 2011 V3 30 05 2011" xfId="693"/>
    <cellStyle name="s_model2_Actualisation provision contrat déficitaire SNCM 2011 V3 30 05 2011_B14_E2_2210" xfId="2515"/>
    <cellStyle name="s_model2_Actualisation provision contrat déficitaire SNCM 2011 V3 30 05 2011_B14_E2_2210_Bridge_Zone_Sud" xfId="2516"/>
    <cellStyle name="s_model2_Actualisation provision contrat déficitaire SNCM 2011 V3 30 05 2011_Bridge_Zone_Sud" xfId="2517"/>
    <cellStyle name="s_model2_Actualisation provision contrat déficitaire SNCM 2011 V3 30 05 2011_CAPEM BY COUNTRY" xfId="2518"/>
    <cellStyle name="s_model2_Actualisation provision contrat déficitaire SNCM 2011 V3 30 05 2011_focus par entités CAFOPE2AMF" xfId="2519"/>
    <cellStyle name="s_model2_Actualisation provision contrat déficitaire SNCM 2011 V3 30 05 2011_focus par entités CAFOPE2AMF_Bridge_Zone_Sud" xfId="2520"/>
    <cellStyle name="s_model2_Actualisation provision contrat déficitaire SNCM 2011 V3 30 05 2011_Maquette PLT" xfId="2521"/>
    <cellStyle name="s_model2_Actualisation provision contrat déficitaire SNCM 2011 V3 30 05 2011_Output" xfId="3431"/>
    <cellStyle name="s_model2_Actualisation provision contrat déficitaire SNCM 2011 V3 30 05 2011_PAO-CAF-RESOP_04_13_pro_format_variante T1" xfId="2522"/>
    <cellStyle name="s_model2_Actualisation provision contrat déficitaire SNCM 2011 V3 30 05 2011_PAO-CAF-RESOP_04_13_pro_format_variante T1_B14_E2_2210" xfId="2523"/>
    <cellStyle name="s_model2_Actualisation provision contrat déficitaire SNCM 2011 V3 30 05 2011_PAO-CAF-RESOP_04_13_pro_format_variante T1_B14_E2_2210_Bridge_Zone_Sud" xfId="2524"/>
    <cellStyle name="s_model2_Actualisation provision contrat déficitaire SNCM 2011 V3 30 05 2011_PAO-CAF-RESOP_04_13_pro_format_variante T1_Bridge_Zone_Sud" xfId="2525"/>
    <cellStyle name="s_model2_Actualisation provision contrat déficitaire SNCM 2011 V3 30 05 2011_PAO-CAF-RESOP_06_13" xfId="2526"/>
    <cellStyle name="s_model2_Actualisation provision contrat déficitaire SNCM 2011 V3 30 05 2011_PAO-CAF-RESOP_06_13_B14_E2_2210" xfId="2527"/>
    <cellStyle name="s_model2_Actualisation provision contrat déficitaire SNCM 2011 V3 30 05 2011_PAO-CAF-RESOP_06_13_B14_E2_2210_Bridge_Zone_Sud" xfId="2528"/>
    <cellStyle name="s_model2_Actualisation provision contrat déficitaire SNCM 2011 V3 30 05 2011_PAO-CAF-RESOP_06_13_Bridge_Zone_Sud" xfId="2529"/>
    <cellStyle name="s_model2_Actualisation provision contrat déficitaire SNCM 2011 V3 30 05 2011_PAO-CAF-RESOP_08_13" xfId="2530"/>
    <cellStyle name="s_model2_Actualisation provision contrat déficitaire SNCM 2011 V3 30 05 2011_PAO-CAF-RESOP_08_13_B14_E2_2210" xfId="2531"/>
    <cellStyle name="s_model2_Actualisation provision contrat déficitaire SNCM 2011 V3 30 05 2011_PAO-CAF-RESOP_08_13_B14_E2_2210_Bridge_Zone_Sud" xfId="2532"/>
    <cellStyle name="s_model2_Actualisation provision contrat déficitaire SNCM 2011 V3 30 05 2011_PAO-CAF-RESOP_08_13_Bridge_Zone_Sud" xfId="2533"/>
    <cellStyle name="s_model2_Actualisation provision contrat déficitaire SNCM 2011 V3 30 05 2011_PAO-CAF-RESOP_09_13" xfId="2534"/>
    <cellStyle name="s_model2_Actualisation provision contrat déficitaire SNCM 2011 V3 30 05 2011_PAO-CAF-RESOP_09_13_Bridge_Zone_Sud" xfId="2535"/>
    <cellStyle name="s_model2_Actualisation provision contrat déficitaire SNCM 2011 V3 30 05 2011_PAO-CAF-RESOP_09_2013_Zone_IDF (version 2)" xfId="2536"/>
    <cellStyle name="s_model2_Actualisation provision contrat déficitaire SNCM 2011 V3 30 05 2011_PAO-CAF-RESOP_10_12" xfId="2537"/>
    <cellStyle name="s_model2_Actualisation provision contrat déficitaire SNCM 2011 V3 30 05 2011_PAO-CAF-RESOP_10_12_Bridge_Zone_Sud" xfId="2538"/>
    <cellStyle name="s_model2_Actualisation provision contrat déficitaire SNCM 2011 V3 30 05 2011_PAO-CAF-RESOP_10_12_focus par entités CAFOP" xfId="2539"/>
    <cellStyle name="s_model2_Actualisation provision contrat déficitaire SNCM 2011 V3 30 05 2011_PAO-CAF-RESOP_10_12_focus par entités CAFOP_Bridge_Zone_Sud" xfId="2540"/>
    <cellStyle name="s_model2_Actualisation provision contrat déficitaire SNCM 2011 V3 30 05 2011_PAO-CAF-RESOP_11_13" xfId="2541"/>
    <cellStyle name="s_model2_Actualisation provision contrat déficitaire SNCM 2011 V3 30 05 2011_PAO-CAF-RESOP_B13" xfId="2542"/>
    <cellStyle name="s_model2_Actualisation provision contrat déficitaire SNCM 2011 V3 30 05 2011_PAO-CAF-RESOP_B13_Bridge_Zone_Sud" xfId="2543"/>
    <cellStyle name="s_model2_Actualisation provision contrat déficitaire SNCM 2011 V3 30 05 2011_PAO-CAF-RESOP_B13_focus par entités CAFOP" xfId="2544"/>
    <cellStyle name="s_model2_Actualisation provision contrat déficitaire SNCM 2011 V3 30 05 2011_PAO-CAF-RESOP_B13_focus par entités CAFOP_Bridge_Zone_Sud" xfId="2545"/>
    <cellStyle name="s_model2_Actualisation provision contrat déficitaire SNCM 2011 V3 30 05 2011_PAO-CAF-RESOP_B2014" xfId="2546"/>
    <cellStyle name="s_model2_Actualisation provision contrat déficitaire SNCM 2011 V3 30 05 2011_PAO-CAF-RESOP_B2014_Bridge_Zone_Sud" xfId="2547"/>
    <cellStyle name="s_model2_Actualisation provision contrat déficitaire SNCM 2011 V3 30 05 2011_PAO-CAF-RESOP_B2014_v2" xfId="2548"/>
    <cellStyle name="s_model2_Actualisation provision contrat déficitaire SNCM 2011 V3 30 05 2011_PAO-CAF-RESOP_E2_13" xfId="2549"/>
    <cellStyle name="s_model2_Actualisation provision contrat déficitaire SNCM 2011 V3 30 05 2011_PAO-CAF-RESOP_E2_13_B14_E2_2210" xfId="2550"/>
    <cellStyle name="s_model2_Actualisation provision contrat déficitaire SNCM 2011 V3 30 05 2011_PAO-CAF-RESOP_E2_13_B14_E2_2210_Bridge_Zone_Sud" xfId="2551"/>
    <cellStyle name="s_model2_Actualisation provision contrat déficitaire SNCM 2011 V3 30 05 2011_PAO-CAF-RESOP_E2_13_Bridge_Zone_Sud" xfId="2552"/>
    <cellStyle name="s_model2_Actualisation provision contrat déficitaire SNCM 2011 V3 30 05 2011_PAO-CAF-RESOP_E2_2013_03_10_19H" xfId="2553"/>
    <cellStyle name="s_model2_Actualisation provision contrat déficitaire SNCM 2011 V3 30 05 2011_PAO-CAF-RESOP_E2_2013_03_10_19H_Bridge_Zone_Sud" xfId="2554"/>
    <cellStyle name="s_model2_Actualisation provision contrat déficitaire SNCM 2011 V3 30 05 2011_PPA" xfId="2555"/>
    <cellStyle name="s_model2_Actualisation provision contrat déficitaire SNCM 2011 V3 30 05 2011_RESOP bef CICE&amp;PPA&amp;RepartHO" xfId="2556"/>
    <cellStyle name="s_model2_Actualisation provision contrat déficitaire SNCM 2011 V3 30 05 2011_Synthèse_Présentation_conso_retraitée" xfId="2557"/>
    <cellStyle name="s_model2_B14_E2_2210" xfId="2558"/>
    <cellStyle name="s_model2_B14_E2_2210_Bridge_Zone_Sud" xfId="2559"/>
    <cellStyle name="s_model2_BFR_TD_2014.02" xfId="2560"/>
    <cellStyle name="s_model2_Bridge_Zone_Nord" xfId="2561"/>
    <cellStyle name="s_model2_CAPEM BY COUNTRY" xfId="2562"/>
    <cellStyle name="s_model2_LI819L_B13" xfId="694"/>
    <cellStyle name="s_model2_LI819L_B13_CAPEM BY COUNTRY" xfId="2563"/>
    <cellStyle name="s_model2_LI819L_B13_Maquette PLT" xfId="2564"/>
    <cellStyle name="s_model2_LI819L_B13_Output" xfId="3432"/>
    <cellStyle name="s_model2_LI819L_B13_PPA" xfId="2565"/>
    <cellStyle name="s_model2_LI819L_B13_RESOP bef CICE&amp;PPA&amp;RepartHO" xfId="2566"/>
    <cellStyle name="s_model2_Maquette PLT" xfId="2567"/>
    <cellStyle name="s_model2_Output" xfId="3433"/>
    <cellStyle name="s_model2_PAO-CAF-RESOP_14_01_13 à 20h" xfId="695"/>
    <cellStyle name="s_model2_PAO-CAF-RESOP_14_01_13 à 20h_CAPEM BY COUNTRY" xfId="2568"/>
    <cellStyle name="s_model2_PAO-CAF-RESOP_14_01_13 à 20h_Maquette PLT" xfId="2569"/>
    <cellStyle name="s_model2_PAO-CAF-RESOP_14_01_13 à 20h_Output" xfId="3434"/>
    <cellStyle name="s_model2_PAO-CAF-RESOP_14_01_13 à 20h_PPA" xfId="2570"/>
    <cellStyle name="s_model2_PAO-CAF-RESOP_14_01_13 à 20h_RESOP bef CICE&amp;PPA&amp;RepartHO" xfId="2571"/>
    <cellStyle name="s_model2_PAO-CAF-RESOP_2014.02" xfId="2572"/>
    <cellStyle name="s_model2_PAO-CAF-RESOP_2014.02_Bridge_Zone_Sud" xfId="2573"/>
    <cellStyle name="s_model2_PPA" xfId="2574"/>
    <cellStyle name="s_model2_RESOP bef CICE&amp;PPA&amp;RepartHO" xfId="2575"/>
    <cellStyle name="s_Output" xfId="3435"/>
    <cellStyle name="s_P_L_Ratios" xfId="696"/>
    <cellStyle name="s_P_L_Ratios_Actualisation provision contrat déficitaire SNCM 2010 V Def" xfId="697"/>
    <cellStyle name="s_P_L_Ratios_Actualisation provision contrat déficitaire SNCM 2010 V Def_B14_E2_2210" xfId="2576"/>
    <cellStyle name="s_P_L_Ratios_Actualisation provision contrat déficitaire SNCM 2010 V Def_B14_E2_2210_Bridge_Zone_Sud" xfId="2577"/>
    <cellStyle name="s_P_L_Ratios_Actualisation provision contrat déficitaire SNCM 2010 V Def_Bridge_Zone_Sud" xfId="2578"/>
    <cellStyle name="s_P_L_Ratios_Actualisation provision contrat déficitaire SNCM 2010 V Def_CAPEM BY COUNTRY" xfId="2579"/>
    <cellStyle name="s_P_L_Ratios_Actualisation provision contrat déficitaire SNCM 2010 V Def_focus par entités CAFOPE2AMF" xfId="2580"/>
    <cellStyle name="s_P_L_Ratios_Actualisation provision contrat déficitaire SNCM 2010 V Def_focus par entités CAFOPE2AMF_Bridge_Zone_Sud" xfId="2581"/>
    <cellStyle name="s_P_L_Ratios_Actualisation provision contrat déficitaire SNCM 2010 V Def_Maquette PLT" xfId="2582"/>
    <cellStyle name="s_P_L_Ratios_Actualisation provision contrat déficitaire SNCM 2010 V Def_Output" xfId="3436"/>
    <cellStyle name="s_P_L_Ratios_Actualisation provision contrat déficitaire SNCM 2010 V Def_PAO-CAF-RESOP_04_13_pro_format_variante T1" xfId="2583"/>
    <cellStyle name="s_P_L_Ratios_Actualisation provision contrat déficitaire SNCM 2010 V Def_PAO-CAF-RESOP_04_13_pro_format_variante T1_B14_E2_2210" xfId="2584"/>
    <cellStyle name="s_P_L_Ratios_Actualisation provision contrat déficitaire SNCM 2010 V Def_PAO-CAF-RESOP_04_13_pro_format_variante T1_B14_E2_2210_Bridge_Zone_Sud" xfId="2585"/>
    <cellStyle name="s_P_L_Ratios_Actualisation provision contrat déficitaire SNCM 2010 V Def_PAO-CAF-RESOP_04_13_pro_format_variante T1_Bridge_Zone_Sud" xfId="2586"/>
    <cellStyle name="s_P_L_Ratios_Actualisation provision contrat déficitaire SNCM 2010 V Def_PAO-CAF-RESOP_06_13" xfId="2587"/>
    <cellStyle name="s_P_L_Ratios_Actualisation provision contrat déficitaire SNCM 2010 V Def_PAO-CAF-RESOP_06_13_B14_E2_2210" xfId="2588"/>
    <cellStyle name="s_P_L_Ratios_Actualisation provision contrat déficitaire SNCM 2010 V Def_PAO-CAF-RESOP_06_13_B14_E2_2210_Bridge_Zone_Sud" xfId="2589"/>
    <cellStyle name="s_P_L_Ratios_Actualisation provision contrat déficitaire SNCM 2010 V Def_PAO-CAF-RESOP_06_13_Bridge_Zone_Sud" xfId="2590"/>
    <cellStyle name="s_P_L_Ratios_Actualisation provision contrat déficitaire SNCM 2010 V Def_PAO-CAF-RESOP_08_13" xfId="2591"/>
    <cellStyle name="s_P_L_Ratios_Actualisation provision contrat déficitaire SNCM 2010 V Def_PAO-CAF-RESOP_08_13_B14_E2_2210" xfId="2592"/>
    <cellStyle name="s_P_L_Ratios_Actualisation provision contrat déficitaire SNCM 2010 V Def_PAO-CAF-RESOP_08_13_B14_E2_2210_Bridge_Zone_Sud" xfId="2593"/>
    <cellStyle name="s_P_L_Ratios_Actualisation provision contrat déficitaire SNCM 2010 V Def_PAO-CAF-RESOP_08_13_Bridge_Zone_Sud" xfId="2594"/>
    <cellStyle name="s_P_L_Ratios_Actualisation provision contrat déficitaire SNCM 2010 V Def_PAO-CAF-RESOP_09_13" xfId="2595"/>
    <cellStyle name="s_P_L_Ratios_Actualisation provision contrat déficitaire SNCM 2010 V Def_PAO-CAF-RESOP_09_13_Bridge_Zone_Sud" xfId="2596"/>
    <cellStyle name="s_P_L_Ratios_Actualisation provision contrat déficitaire SNCM 2010 V Def_PAO-CAF-RESOP_09_2013_Zone_IDF (version 2)" xfId="2597"/>
    <cellStyle name="s_P_L_Ratios_Actualisation provision contrat déficitaire SNCM 2010 V Def_PAO-CAF-RESOP_10_12" xfId="2598"/>
    <cellStyle name="s_P_L_Ratios_Actualisation provision contrat déficitaire SNCM 2010 V Def_PAO-CAF-RESOP_10_12_Bridge_Zone_Sud" xfId="2599"/>
    <cellStyle name="s_P_L_Ratios_Actualisation provision contrat déficitaire SNCM 2010 V Def_PAO-CAF-RESOP_10_12_focus par entités CAFOP" xfId="2600"/>
    <cellStyle name="s_P_L_Ratios_Actualisation provision contrat déficitaire SNCM 2010 V Def_PAO-CAF-RESOP_10_12_focus par entités CAFOP_Bridge_Zone_Sud" xfId="2601"/>
    <cellStyle name="s_P_L_Ratios_Actualisation provision contrat déficitaire SNCM 2010 V Def_PAO-CAF-RESOP_11_13" xfId="2602"/>
    <cellStyle name="s_P_L_Ratios_Actualisation provision contrat déficitaire SNCM 2010 V Def_PAO-CAF-RESOP_B13" xfId="2603"/>
    <cellStyle name="s_P_L_Ratios_Actualisation provision contrat déficitaire SNCM 2010 V Def_PAO-CAF-RESOP_B13_Bridge_Zone_Sud" xfId="2604"/>
    <cellStyle name="s_P_L_Ratios_Actualisation provision contrat déficitaire SNCM 2010 V Def_PAO-CAF-RESOP_B13_focus par entités CAFOP" xfId="2605"/>
    <cellStyle name="s_P_L_Ratios_Actualisation provision contrat déficitaire SNCM 2010 V Def_PAO-CAF-RESOP_B13_focus par entités CAFOP_Bridge_Zone_Sud" xfId="2606"/>
    <cellStyle name="s_P_L_Ratios_Actualisation provision contrat déficitaire SNCM 2010 V Def_PAO-CAF-RESOP_B2014" xfId="2607"/>
    <cellStyle name="s_P_L_Ratios_Actualisation provision contrat déficitaire SNCM 2010 V Def_PAO-CAF-RESOP_B2014_Bridge_Zone_Sud" xfId="2608"/>
    <cellStyle name="s_P_L_Ratios_Actualisation provision contrat déficitaire SNCM 2010 V Def_PAO-CAF-RESOP_B2014_v2" xfId="2609"/>
    <cellStyle name="s_P_L_Ratios_Actualisation provision contrat déficitaire SNCM 2010 V Def_PAO-CAF-RESOP_E2_13" xfId="2610"/>
    <cellStyle name="s_P_L_Ratios_Actualisation provision contrat déficitaire SNCM 2010 V Def_PAO-CAF-RESOP_E2_13_B14_E2_2210" xfId="2611"/>
    <cellStyle name="s_P_L_Ratios_Actualisation provision contrat déficitaire SNCM 2010 V Def_PAO-CAF-RESOP_E2_13_B14_E2_2210_Bridge_Zone_Sud" xfId="2612"/>
    <cellStyle name="s_P_L_Ratios_Actualisation provision contrat déficitaire SNCM 2010 V Def_PAO-CAF-RESOP_E2_13_Bridge_Zone_Sud" xfId="2613"/>
    <cellStyle name="s_P_L_Ratios_Actualisation provision contrat déficitaire SNCM 2010 V Def_PAO-CAF-RESOP_E2_2013_03_10_19H" xfId="2614"/>
    <cellStyle name="s_P_L_Ratios_Actualisation provision contrat déficitaire SNCM 2010 V Def_PAO-CAF-RESOP_E2_2013_03_10_19H_Bridge_Zone_Sud" xfId="2615"/>
    <cellStyle name="s_P_L_Ratios_Actualisation provision contrat déficitaire SNCM 2010 V Def_PPA" xfId="2616"/>
    <cellStyle name="s_P_L_Ratios_Actualisation provision contrat déficitaire SNCM 2010 V Def_RESOP bef CICE&amp;PPA&amp;RepartHO" xfId="2617"/>
    <cellStyle name="s_P_L_Ratios_Actualisation provision contrat déficitaire SNCM 2010 V Def_Synthèse_Présentation_conso_retraitée" xfId="2618"/>
    <cellStyle name="s_P_L_Ratios_Actualisation provision contrat déficitaire SNCM 2011 V3 30 05 2011" xfId="698"/>
    <cellStyle name="s_P_L_Ratios_Actualisation provision contrat déficitaire SNCM 2011 V3 30 05 2011_B14_E2_2210" xfId="2619"/>
    <cellStyle name="s_P_L_Ratios_Actualisation provision contrat déficitaire SNCM 2011 V3 30 05 2011_B14_E2_2210_Bridge_Zone_Sud" xfId="2620"/>
    <cellStyle name="s_P_L_Ratios_Actualisation provision contrat déficitaire SNCM 2011 V3 30 05 2011_Bridge_Zone_Sud" xfId="2621"/>
    <cellStyle name="s_P_L_Ratios_Actualisation provision contrat déficitaire SNCM 2011 V3 30 05 2011_CAPEM BY COUNTRY" xfId="2622"/>
    <cellStyle name="s_P_L_Ratios_Actualisation provision contrat déficitaire SNCM 2011 V3 30 05 2011_focus par entités CAFOPE2AMF" xfId="2623"/>
    <cellStyle name="s_P_L_Ratios_Actualisation provision contrat déficitaire SNCM 2011 V3 30 05 2011_focus par entités CAFOPE2AMF_Bridge_Zone_Sud" xfId="2624"/>
    <cellStyle name="s_P_L_Ratios_Actualisation provision contrat déficitaire SNCM 2011 V3 30 05 2011_Maquette PLT" xfId="2625"/>
    <cellStyle name="s_P_L_Ratios_Actualisation provision contrat déficitaire SNCM 2011 V3 30 05 2011_Output" xfId="3437"/>
    <cellStyle name="s_P_L_Ratios_Actualisation provision contrat déficitaire SNCM 2011 V3 30 05 2011_PAO-CAF-RESOP_04_13_pro_format_variante T1" xfId="2626"/>
    <cellStyle name="s_P_L_Ratios_Actualisation provision contrat déficitaire SNCM 2011 V3 30 05 2011_PAO-CAF-RESOP_04_13_pro_format_variante T1_B14_E2_2210" xfId="2627"/>
    <cellStyle name="s_P_L_Ratios_Actualisation provision contrat déficitaire SNCM 2011 V3 30 05 2011_PAO-CAF-RESOP_04_13_pro_format_variante T1_B14_E2_2210_Bridge_Zone_Sud" xfId="2628"/>
    <cellStyle name="s_P_L_Ratios_Actualisation provision contrat déficitaire SNCM 2011 V3 30 05 2011_PAO-CAF-RESOP_04_13_pro_format_variante T1_Bridge_Zone_Sud" xfId="2629"/>
    <cellStyle name="s_P_L_Ratios_Actualisation provision contrat déficitaire SNCM 2011 V3 30 05 2011_PAO-CAF-RESOP_06_13" xfId="2630"/>
    <cellStyle name="s_P_L_Ratios_Actualisation provision contrat déficitaire SNCM 2011 V3 30 05 2011_PAO-CAF-RESOP_06_13_B14_E2_2210" xfId="2631"/>
    <cellStyle name="s_P_L_Ratios_Actualisation provision contrat déficitaire SNCM 2011 V3 30 05 2011_PAO-CAF-RESOP_06_13_B14_E2_2210_Bridge_Zone_Sud" xfId="2632"/>
    <cellStyle name="s_P_L_Ratios_Actualisation provision contrat déficitaire SNCM 2011 V3 30 05 2011_PAO-CAF-RESOP_06_13_Bridge_Zone_Sud" xfId="2633"/>
    <cellStyle name="s_P_L_Ratios_Actualisation provision contrat déficitaire SNCM 2011 V3 30 05 2011_PAO-CAF-RESOP_08_13" xfId="2634"/>
    <cellStyle name="s_P_L_Ratios_Actualisation provision contrat déficitaire SNCM 2011 V3 30 05 2011_PAO-CAF-RESOP_08_13_B14_E2_2210" xfId="2635"/>
    <cellStyle name="s_P_L_Ratios_Actualisation provision contrat déficitaire SNCM 2011 V3 30 05 2011_PAO-CAF-RESOP_08_13_B14_E2_2210_Bridge_Zone_Sud" xfId="2636"/>
    <cellStyle name="s_P_L_Ratios_Actualisation provision contrat déficitaire SNCM 2011 V3 30 05 2011_PAO-CAF-RESOP_08_13_Bridge_Zone_Sud" xfId="2637"/>
    <cellStyle name="s_P_L_Ratios_Actualisation provision contrat déficitaire SNCM 2011 V3 30 05 2011_PAO-CAF-RESOP_09_13" xfId="2638"/>
    <cellStyle name="s_P_L_Ratios_Actualisation provision contrat déficitaire SNCM 2011 V3 30 05 2011_PAO-CAF-RESOP_09_13_Bridge_Zone_Sud" xfId="2639"/>
    <cellStyle name="s_P_L_Ratios_Actualisation provision contrat déficitaire SNCM 2011 V3 30 05 2011_PAO-CAF-RESOP_09_2013_Zone_IDF (version 2)" xfId="2640"/>
    <cellStyle name="s_P_L_Ratios_Actualisation provision contrat déficitaire SNCM 2011 V3 30 05 2011_PAO-CAF-RESOP_10_12" xfId="2641"/>
    <cellStyle name="s_P_L_Ratios_Actualisation provision contrat déficitaire SNCM 2011 V3 30 05 2011_PAO-CAF-RESOP_10_12_Bridge_Zone_Sud" xfId="2642"/>
    <cellStyle name="s_P_L_Ratios_Actualisation provision contrat déficitaire SNCM 2011 V3 30 05 2011_PAO-CAF-RESOP_10_12_focus par entités CAFOP" xfId="2643"/>
    <cellStyle name="s_P_L_Ratios_Actualisation provision contrat déficitaire SNCM 2011 V3 30 05 2011_PAO-CAF-RESOP_10_12_focus par entités CAFOP_Bridge_Zone_Sud" xfId="2644"/>
    <cellStyle name="s_P_L_Ratios_Actualisation provision contrat déficitaire SNCM 2011 V3 30 05 2011_PAO-CAF-RESOP_11_13" xfId="2645"/>
    <cellStyle name="s_P_L_Ratios_Actualisation provision contrat déficitaire SNCM 2011 V3 30 05 2011_PAO-CAF-RESOP_B13" xfId="2646"/>
    <cellStyle name="s_P_L_Ratios_Actualisation provision contrat déficitaire SNCM 2011 V3 30 05 2011_PAO-CAF-RESOP_B13_Bridge_Zone_Sud" xfId="2647"/>
    <cellStyle name="s_P_L_Ratios_Actualisation provision contrat déficitaire SNCM 2011 V3 30 05 2011_PAO-CAF-RESOP_B13_focus par entités CAFOP" xfId="2648"/>
    <cellStyle name="s_P_L_Ratios_Actualisation provision contrat déficitaire SNCM 2011 V3 30 05 2011_PAO-CAF-RESOP_B13_focus par entités CAFOP_Bridge_Zone_Sud" xfId="2649"/>
    <cellStyle name="s_P_L_Ratios_Actualisation provision contrat déficitaire SNCM 2011 V3 30 05 2011_PAO-CAF-RESOP_B2014" xfId="2650"/>
    <cellStyle name="s_P_L_Ratios_Actualisation provision contrat déficitaire SNCM 2011 V3 30 05 2011_PAO-CAF-RESOP_B2014_Bridge_Zone_Sud" xfId="2651"/>
    <cellStyle name="s_P_L_Ratios_Actualisation provision contrat déficitaire SNCM 2011 V3 30 05 2011_PAO-CAF-RESOP_B2014_v2" xfId="2652"/>
    <cellStyle name="s_P_L_Ratios_Actualisation provision contrat déficitaire SNCM 2011 V3 30 05 2011_PAO-CAF-RESOP_E2_13" xfId="2653"/>
    <cellStyle name="s_P_L_Ratios_Actualisation provision contrat déficitaire SNCM 2011 V3 30 05 2011_PAO-CAF-RESOP_E2_13_B14_E2_2210" xfId="2654"/>
    <cellStyle name="s_P_L_Ratios_Actualisation provision contrat déficitaire SNCM 2011 V3 30 05 2011_PAO-CAF-RESOP_E2_13_B14_E2_2210_Bridge_Zone_Sud" xfId="2655"/>
    <cellStyle name="s_P_L_Ratios_Actualisation provision contrat déficitaire SNCM 2011 V3 30 05 2011_PAO-CAF-RESOP_E2_13_Bridge_Zone_Sud" xfId="2656"/>
    <cellStyle name="s_P_L_Ratios_Actualisation provision contrat déficitaire SNCM 2011 V3 30 05 2011_PAO-CAF-RESOP_E2_2013_03_10_19H" xfId="2657"/>
    <cellStyle name="s_P_L_Ratios_Actualisation provision contrat déficitaire SNCM 2011 V3 30 05 2011_PAO-CAF-RESOP_E2_2013_03_10_19H_Bridge_Zone_Sud" xfId="2658"/>
    <cellStyle name="s_P_L_Ratios_Actualisation provision contrat déficitaire SNCM 2011 V3 30 05 2011_PPA" xfId="2659"/>
    <cellStyle name="s_P_L_Ratios_Actualisation provision contrat déficitaire SNCM 2011 V3 30 05 2011_RESOP bef CICE&amp;PPA&amp;RepartHO" xfId="2660"/>
    <cellStyle name="s_P_L_Ratios_Actualisation provision contrat déficitaire SNCM 2011 V3 30 05 2011_Synthèse_Présentation_conso_retraitée" xfId="2661"/>
    <cellStyle name="s_P_L_Ratios_B" xfId="699"/>
    <cellStyle name="s_P_L_Ratios_B_Actualisation provision contrat déficitaire SNCM 2010 V Def" xfId="700"/>
    <cellStyle name="s_P_L_Ratios_B_Actualisation provision contrat déficitaire SNCM 2010 V Def_B14_E2_2210" xfId="2662"/>
    <cellStyle name="s_P_L_Ratios_B_Actualisation provision contrat déficitaire SNCM 2010 V Def_B14_E2_2210_Bridge_Zone_Sud" xfId="2663"/>
    <cellStyle name="s_P_L_Ratios_B_Actualisation provision contrat déficitaire SNCM 2010 V Def_Bridge_Zone_Sud" xfId="2664"/>
    <cellStyle name="s_P_L_Ratios_B_Actualisation provision contrat déficitaire SNCM 2010 V Def_CAPEM BY COUNTRY" xfId="2665"/>
    <cellStyle name="s_P_L_Ratios_B_Actualisation provision contrat déficitaire SNCM 2010 V Def_focus par entités CAFOPE2AMF" xfId="2666"/>
    <cellStyle name="s_P_L_Ratios_B_Actualisation provision contrat déficitaire SNCM 2010 V Def_focus par entités CAFOPE2AMF_Bridge_Zone_Sud" xfId="2667"/>
    <cellStyle name="s_P_L_Ratios_B_Actualisation provision contrat déficitaire SNCM 2010 V Def_Maquette PLT" xfId="2668"/>
    <cellStyle name="s_P_L_Ratios_B_Actualisation provision contrat déficitaire SNCM 2010 V Def_Output" xfId="3438"/>
    <cellStyle name="s_P_L_Ratios_B_Actualisation provision contrat déficitaire SNCM 2010 V Def_PAO-CAF-RESOP_04_13_pro_format_variante T1" xfId="2669"/>
    <cellStyle name="s_P_L_Ratios_B_Actualisation provision contrat déficitaire SNCM 2010 V Def_PAO-CAF-RESOP_04_13_pro_format_variante T1_B14_E2_2210" xfId="2670"/>
    <cellStyle name="s_P_L_Ratios_B_Actualisation provision contrat déficitaire SNCM 2010 V Def_PAO-CAF-RESOP_04_13_pro_format_variante T1_B14_E2_2210_Bridge_Zone_Sud" xfId="2671"/>
    <cellStyle name="s_P_L_Ratios_B_Actualisation provision contrat déficitaire SNCM 2010 V Def_PAO-CAF-RESOP_04_13_pro_format_variante T1_Bridge_Zone_Sud" xfId="2672"/>
    <cellStyle name="s_P_L_Ratios_B_Actualisation provision contrat déficitaire SNCM 2010 V Def_PAO-CAF-RESOP_06_13" xfId="2673"/>
    <cellStyle name="s_P_L_Ratios_B_Actualisation provision contrat déficitaire SNCM 2010 V Def_PAO-CAF-RESOP_06_13_B14_E2_2210" xfId="2674"/>
    <cellStyle name="s_P_L_Ratios_B_Actualisation provision contrat déficitaire SNCM 2010 V Def_PAO-CAF-RESOP_06_13_B14_E2_2210_Bridge_Zone_Sud" xfId="2675"/>
    <cellStyle name="s_P_L_Ratios_B_Actualisation provision contrat déficitaire SNCM 2010 V Def_PAO-CAF-RESOP_06_13_Bridge_Zone_Sud" xfId="2676"/>
    <cellStyle name="s_P_L_Ratios_B_Actualisation provision contrat déficitaire SNCM 2010 V Def_PAO-CAF-RESOP_08_13" xfId="2677"/>
    <cellStyle name="s_P_L_Ratios_B_Actualisation provision contrat déficitaire SNCM 2010 V Def_PAO-CAF-RESOP_08_13_B14_E2_2210" xfId="2678"/>
    <cellStyle name="s_P_L_Ratios_B_Actualisation provision contrat déficitaire SNCM 2010 V Def_PAO-CAF-RESOP_08_13_B14_E2_2210_Bridge_Zone_Sud" xfId="2679"/>
    <cellStyle name="s_P_L_Ratios_B_Actualisation provision contrat déficitaire SNCM 2010 V Def_PAO-CAF-RESOP_08_13_Bridge_Zone_Sud" xfId="2680"/>
    <cellStyle name="s_P_L_Ratios_B_Actualisation provision contrat déficitaire SNCM 2010 V Def_PAO-CAF-RESOP_09_13" xfId="2681"/>
    <cellStyle name="s_P_L_Ratios_B_Actualisation provision contrat déficitaire SNCM 2010 V Def_PAO-CAF-RESOP_09_13_Bridge_Zone_Sud" xfId="2682"/>
    <cellStyle name="s_P_L_Ratios_B_Actualisation provision contrat déficitaire SNCM 2010 V Def_PAO-CAF-RESOP_09_2013_Zone_IDF (version 2)" xfId="2683"/>
    <cellStyle name="s_P_L_Ratios_B_Actualisation provision contrat déficitaire SNCM 2010 V Def_PAO-CAF-RESOP_10_12" xfId="2684"/>
    <cellStyle name="s_P_L_Ratios_B_Actualisation provision contrat déficitaire SNCM 2010 V Def_PAO-CAF-RESOP_10_12_Bridge_Zone_Sud" xfId="2685"/>
    <cellStyle name="s_P_L_Ratios_B_Actualisation provision contrat déficitaire SNCM 2010 V Def_PAO-CAF-RESOP_10_12_focus par entités CAFOP" xfId="2686"/>
    <cellStyle name="s_P_L_Ratios_B_Actualisation provision contrat déficitaire SNCM 2010 V Def_PAO-CAF-RESOP_10_12_focus par entités CAFOP_Bridge_Zone_Sud" xfId="2687"/>
    <cellStyle name="s_P_L_Ratios_B_Actualisation provision contrat déficitaire SNCM 2010 V Def_PAO-CAF-RESOP_11_13" xfId="2688"/>
    <cellStyle name="s_P_L_Ratios_B_Actualisation provision contrat déficitaire SNCM 2010 V Def_PAO-CAF-RESOP_B13" xfId="2689"/>
    <cellStyle name="s_P_L_Ratios_B_Actualisation provision contrat déficitaire SNCM 2010 V Def_PAO-CAF-RESOP_B13_Bridge_Zone_Sud" xfId="2690"/>
    <cellStyle name="s_P_L_Ratios_B_Actualisation provision contrat déficitaire SNCM 2010 V Def_PAO-CAF-RESOP_B13_focus par entités CAFOP" xfId="2691"/>
    <cellStyle name="s_P_L_Ratios_B_Actualisation provision contrat déficitaire SNCM 2010 V Def_PAO-CAF-RESOP_B13_focus par entités CAFOP_Bridge_Zone_Sud" xfId="2692"/>
    <cellStyle name="s_P_L_Ratios_B_Actualisation provision contrat déficitaire SNCM 2010 V Def_PAO-CAF-RESOP_B2014" xfId="2693"/>
    <cellStyle name="s_P_L_Ratios_B_Actualisation provision contrat déficitaire SNCM 2010 V Def_PAO-CAF-RESOP_B2014_Bridge_Zone_Sud" xfId="2694"/>
    <cellStyle name="s_P_L_Ratios_B_Actualisation provision contrat déficitaire SNCM 2010 V Def_PAO-CAF-RESOP_B2014_v2" xfId="2695"/>
    <cellStyle name="s_P_L_Ratios_B_Actualisation provision contrat déficitaire SNCM 2010 V Def_PAO-CAF-RESOP_E2_13" xfId="2696"/>
    <cellStyle name="s_P_L_Ratios_B_Actualisation provision contrat déficitaire SNCM 2010 V Def_PAO-CAF-RESOP_E2_13_B14_E2_2210" xfId="2697"/>
    <cellStyle name="s_P_L_Ratios_B_Actualisation provision contrat déficitaire SNCM 2010 V Def_PAO-CAF-RESOP_E2_13_B14_E2_2210_Bridge_Zone_Sud" xfId="2698"/>
    <cellStyle name="s_P_L_Ratios_B_Actualisation provision contrat déficitaire SNCM 2010 V Def_PAO-CAF-RESOP_E2_13_Bridge_Zone_Sud" xfId="2699"/>
    <cellStyle name="s_P_L_Ratios_B_Actualisation provision contrat déficitaire SNCM 2010 V Def_PAO-CAF-RESOP_E2_2013_03_10_19H" xfId="2700"/>
    <cellStyle name="s_P_L_Ratios_B_Actualisation provision contrat déficitaire SNCM 2010 V Def_PAO-CAF-RESOP_E2_2013_03_10_19H_Bridge_Zone_Sud" xfId="2701"/>
    <cellStyle name="s_P_L_Ratios_B_Actualisation provision contrat déficitaire SNCM 2010 V Def_PPA" xfId="2702"/>
    <cellStyle name="s_P_L_Ratios_B_Actualisation provision contrat déficitaire SNCM 2010 V Def_RESOP bef CICE&amp;PPA&amp;RepartHO" xfId="2703"/>
    <cellStyle name="s_P_L_Ratios_B_Actualisation provision contrat déficitaire SNCM 2010 V Def_Synthèse_Présentation_conso_retraitée" xfId="2704"/>
    <cellStyle name="s_P_L_Ratios_B_Actualisation provision contrat déficitaire SNCM 2011 V3 30 05 2011" xfId="701"/>
    <cellStyle name="s_P_L_Ratios_B_Actualisation provision contrat déficitaire SNCM 2011 V3 30 05 2011_B14_E2_2210" xfId="2705"/>
    <cellStyle name="s_P_L_Ratios_B_Actualisation provision contrat déficitaire SNCM 2011 V3 30 05 2011_B14_E2_2210_Bridge_Zone_Sud" xfId="2706"/>
    <cellStyle name="s_P_L_Ratios_B_Actualisation provision contrat déficitaire SNCM 2011 V3 30 05 2011_Bridge_Zone_Sud" xfId="2707"/>
    <cellStyle name="s_P_L_Ratios_B_Actualisation provision contrat déficitaire SNCM 2011 V3 30 05 2011_CAPEM BY COUNTRY" xfId="2708"/>
    <cellStyle name="s_P_L_Ratios_B_Actualisation provision contrat déficitaire SNCM 2011 V3 30 05 2011_focus par entités CAFOPE2AMF" xfId="2709"/>
    <cellStyle name="s_P_L_Ratios_B_Actualisation provision contrat déficitaire SNCM 2011 V3 30 05 2011_focus par entités CAFOPE2AMF_Bridge_Zone_Sud" xfId="2710"/>
    <cellStyle name="s_P_L_Ratios_B_Actualisation provision contrat déficitaire SNCM 2011 V3 30 05 2011_Maquette PLT" xfId="2711"/>
    <cellStyle name="s_P_L_Ratios_B_Actualisation provision contrat déficitaire SNCM 2011 V3 30 05 2011_Output" xfId="3439"/>
    <cellStyle name="s_P_L_Ratios_B_Actualisation provision contrat déficitaire SNCM 2011 V3 30 05 2011_PAO-CAF-RESOP_04_13_pro_format_variante T1" xfId="2712"/>
    <cellStyle name="s_P_L_Ratios_B_Actualisation provision contrat déficitaire SNCM 2011 V3 30 05 2011_PAO-CAF-RESOP_04_13_pro_format_variante T1_B14_E2_2210" xfId="2713"/>
    <cellStyle name="s_P_L_Ratios_B_Actualisation provision contrat déficitaire SNCM 2011 V3 30 05 2011_PAO-CAF-RESOP_04_13_pro_format_variante T1_B14_E2_2210_Bridge_Zone_Sud" xfId="2714"/>
    <cellStyle name="s_P_L_Ratios_B_Actualisation provision contrat déficitaire SNCM 2011 V3 30 05 2011_PAO-CAF-RESOP_04_13_pro_format_variante T1_Bridge_Zone_Sud" xfId="2715"/>
    <cellStyle name="s_P_L_Ratios_B_Actualisation provision contrat déficitaire SNCM 2011 V3 30 05 2011_PAO-CAF-RESOP_06_13" xfId="2716"/>
    <cellStyle name="s_P_L_Ratios_B_Actualisation provision contrat déficitaire SNCM 2011 V3 30 05 2011_PAO-CAF-RESOP_06_13_B14_E2_2210" xfId="2717"/>
    <cellStyle name="s_P_L_Ratios_B_Actualisation provision contrat déficitaire SNCM 2011 V3 30 05 2011_PAO-CAF-RESOP_06_13_B14_E2_2210_Bridge_Zone_Sud" xfId="2718"/>
    <cellStyle name="s_P_L_Ratios_B_Actualisation provision contrat déficitaire SNCM 2011 V3 30 05 2011_PAO-CAF-RESOP_06_13_Bridge_Zone_Sud" xfId="2719"/>
    <cellStyle name="s_P_L_Ratios_B_Actualisation provision contrat déficitaire SNCM 2011 V3 30 05 2011_PAO-CAF-RESOP_08_13" xfId="2720"/>
    <cellStyle name="s_P_L_Ratios_B_Actualisation provision contrat déficitaire SNCM 2011 V3 30 05 2011_PAO-CAF-RESOP_08_13_B14_E2_2210" xfId="2721"/>
    <cellStyle name="s_P_L_Ratios_B_Actualisation provision contrat déficitaire SNCM 2011 V3 30 05 2011_PAO-CAF-RESOP_08_13_B14_E2_2210_Bridge_Zone_Sud" xfId="2722"/>
    <cellStyle name="s_P_L_Ratios_B_Actualisation provision contrat déficitaire SNCM 2011 V3 30 05 2011_PAO-CAF-RESOP_08_13_Bridge_Zone_Sud" xfId="2723"/>
    <cellStyle name="s_P_L_Ratios_B_Actualisation provision contrat déficitaire SNCM 2011 V3 30 05 2011_PAO-CAF-RESOP_09_13" xfId="2724"/>
    <cellStyle name="s_P_L_Ratios_B_Actualisation provision contrat déficitaire SNCM 2011 V3 30 05 2011_PAO-CAF-RESOP_09_13_Bridge_Zone_Sud" xfId="2725"/>
    <cellStyle name="s_P_L_Ratios_B_Actualisation provision contrat déficitaire SNCM 2011 V3 30 05 2011_PAO-CAF-RESOP_09_2013_Zone_IDF (version 2)" xfId="2726"/>
    <cellStyle name="s_P_L_Ratios_B_Actualisation provision contrat déficitaire SNCM 2011 V3 30 05 2011_PAO-CAF-RESOP_10_12" xfId="2727"/>
    <cellStyle name="s_P_L_Ratios_B_Actualisation provision contrat déficitaire SNCM 2011 V3 30 05 2011_PAO-CAF-RESOP_10_12_Bridge_Zone_Sud" xfId="2728"/>
    <cellStyle name="s_P_L_Ratios_B_Actualisation provision contrat déficitaire SNCM 2011 V3 30 05 2011_PAO-CAF-RESOP_10_12_focus par entités CAFOP" xfId="2729"/>
    <cellStyle name="s_P_L_Ratios_B_Actualisation provision contrat déficitaire SNCM 2011 V3 30 05 2011_PAO-CAF-RESOP_10_12_focus par entités CAFOP_Bridge_Zone_Sud" xfId="2730"/>
    <cellStyle name="s_P_L_Ratios_B_Actualisation provision contrat déficitaire SNCM 2011 V3 30 05 2011_PAO-CAF-RESOP_11_13" xfId="2731"/>
    <cellStyle name="s_P_L_Ratios_B_Actualisation provision contrat déficitaire SNCM 2011 V3 30 05 2011_PAO-CAF-RESOP_B13" xfId="2732"/>
    <cellStyle name="s_P_L_Ratios_B_Actualisation provision contrat déficitaire SNCM 2011 V3 30 05 2011_PAO-CAF-RESOP_B13_Bridge_Zone_Sud" xfId="2733"/>
    <cellStyle name="s_P_L_Ratios_B_Actualisation provision contrat déficitaire SNCM 2011 V3 30 05 2011_PAO-CAF-RESOP_B13_focus par entités CAFOP" xfId="2734"/>
    <cellStyle name="s_P_L_Ratios_B_Actualisation provision contrat déficitaire SNCM 2011 V3 30 05 2011_PAO-CAF-RESOP_B13_focus par entités CAFOP_Bridge_Zone_Sud" xfId="2735"/>
    <cellStyle name="s_P_L_Ratios_B_Actualisation provision contrat déficitaire SNCM 2011 V3 30 05 2011_PAO-CAF-RESOP_B2014" xfId="2736"/>
    <cellStyle name="s_P_L_Ratios_B_Actualisation provision contrat déficitaire SNCM 2011 V3 30 05 2011_PAO-CAF-RESOP_B2014_Bridge_Zone_Sud" xfId="2737"/>
    <cellStyle name="s_P_L_Ratios_B_Actualisation provision contrat déficitaire SNCM 2011 V3 30 05 2011_PAO-CAF-RESOP_B2014_v2" xfId="2738"/>
    <cellStyle name="s_P_L_Ratios_B_Actualisation provision contrat déficitaire SNCM 2011 V3 30 05 2011_PAO-CAF-RESOP_E2_13" xfId="2739"/>
    <cellStyle name="s_P_L_Ratios_B_Actualisation provision contrat déficitaire SNCM 2011 V3 30 05 2011_PAO-CAF-RESOP_E2_13_B14_E2_2210" xfId="2740"/>
    <cellStyle name="s_P_L_Ratios_B_Actualisation provision contrat déficitaire SNCM 2011 V3 30 05 2011_PAO-CAF-RESOP_E2_13_B14_E2_2210_Bridge_Zone_Sud" xfId="2741"/>
    <cellStyle name="s_P_L_Ratios_B_Actualisation provision contrat déficitaire SNCM 2011 V3 30 05 2011_PAO-CAF-RESOP_E2_13_Bridge_Zone_Sud" xfId="2742"/>
    <cellStyle name="s_P_L_Ratios_B_Actualisation provision contrat déficitaire SNCM 2011 V3 30 05 2011_PAO-CAF-RESOP_E2_2013_03_10_19H" xfId="2743"/>
    <cellStyle name="s_P_L_Ratios_B_Actualisation provision contrat déficitaire SNCM 2011 V3 30 05 2011_PAO-CAF-RESOP_E2_2013_03_10_19H_Bridge_Zone_Sud" xfId="2744"/>
    <cellStyle name="s_P_L_Ratios_B_Actualisation provision contrat déficitaire SNCM 2011 V3 30 05 2011_PPA" xfId="2745"/>
    <cellStyle name="s_P_L_Ratios_B_Actualisation provision contrat déficitaire SNCM 2011 V3 30 05 2011_RESOP bef CICE&amp;PPA&amp;RepartHO" xfId="2746"/>
    <cellStyle name="s_P_L_Ratios_B_Actualisation provision contrat déficitaire SNCM 2011 V3 30 05 2011_Synthèse_Présentation_conso_retraitée" xfId="2747"/>
    <cellStyle name="s_P_L_Ratios_B_B14_E2_2210" xfId="2748"/>
    <cellStyle name="s_P_L_Ratios_B_B14_E2_2210_Bridge_Zone_Sud" xfId="2749"/>
    <cellStyle name="s_P_L_Ratios_B_BFR_TD_2014.02" xfId="2750"/>
    <cellStyle name="s_P_L_Ratios_B_Bridge_Zone_Nord" xfId="2751"/>
    <cellStyle name="s_P_L_Ratios_B_CAPEM BY COUNTRY" xfId="2752"/>
    <cellStyle name="s_P_L_Ratios_B_LI819L_B13" xfId="702"/>
    <cellStyle name="s_P_L_Ratios_B_LI819L_B13_CAPEM BY COUNTRY" xfId="2753"/>
    <cellStyle name="s_P_L_Ratios_B_LI819L_B13_Maquette PLT" xfId="2754"/>
    <cellStyle name="s_P_L_Ratios_B_LI819L_B13_Output" xfId="3440"/>
    <cellStyle name="s_P_L_Ratios_B_LI819L_B13_PPA" xfId="2755"/>
    <cellStyle name="s_P_L_Ratios_B_LI819L_B13_RESOP bef CICE&amp;PPA&amp;RepartHO" xfId="2756"/>
    <cellStyle name="s_P_L_Ratios_B_Maquette PLT" xfId="2757"/>
    <cellStyle name="s_P_L_Ratios_B_Output" xfId="3441"/>
    <cellStyle name="s_P_L_Ratios_B_PAO-CAF-RESOP_14_01_13 à 20h" xfId="703"/>
    <cellStyle name="s_P_L_Ratios_B_PAO-CAF-RESOP_14_01_13 à 20h_CAPEM BY COUNTRY" xfId="2758"/>
    <cellStyle name="s_P_L_Ratios_B_PAO-CAF-RESOP_14_01_13 à 20h_Maquette PLT" xfId="2759"/>
    <cellStyle name="s_P_L_Ratios_B_PAO-CAF-RESOP_14_01_13 à 20h_Output" xfId="3442"/>
    <cellStyle name="s_P_L_Ratios_B_PAO-CAF-RESOP_14_01_13 à 20h_PPA" xfId="2760"/>
    <cellStyle name="s_P_L_Ratios_B_PAO-CAF-RESOP_14_01_13 à 20h_RESOP bef CICE&amp;PPA&amp;RepartHO" xfId="2761"/>
    <cellStyle name="s_P_L_Ratios_B_PAO-CAF-RESOP_2014.02" xfId="2762"/>
    <cellStyle name="s_P_L_Ratios_B_PAO-CAF-RESOP_2014.02_Bridge_Zone_Sud" xfId="2763"/>
    <cellStyle name="s_P_L_Ratios_B_PPA" xfId="2764"/>
    <cellStyle name="s_P_L_Ratios_B_RESOP bef CICE&amp;PPA&amp;RepartHO" xfId="2765"/>
    <cellStyle name="s_P_L_Ratios_B14_E2_2210" xfId="2766"/>
    <cellStyle name="s_P_L_Ratios_B14_E2_2210_Bridge_Zone_Sud" xfId="2767"/>
    <cellStyle name="s_P_L_Ratios_BFR_TD_2014.02" xfId="2768"/>
    <cellStyle name="s_P_L_Ratios_Bridge_Zone_Nord" xfId="2769"/>
    <cellStyle name="s_P_L_Ratios_CAPEM BY COUNTRY" xfId="2770"/>
    <cellStyle name="s_P_L_Ratios_LI819L_B13" xfId="704"/>
    <cellStyle name="s_P_L_Ratios_LI819L_B13_CAPEM BY COUNTRY" xfId="2771"/>
    <cellStyle name="s_P_L_Ratios_LI819L_B13_Maquette PLT" xfId="2772"/>
    <cellStyle name="s_P_L_Ratios_LI819L_B13_Output" xfId="3443"/>
    <cellStyle name="s_P_L_Ratios_LI819L_B13_PPA" xfId="2773"/>
    <cellStyle name="s_P_L_Ratios_LI819L_B13_RESOP bef CICE&amp;PPA&amp;RepartHO" xfId="2774"/>
    <cellStyle name="s_P_L_Ratios_Maquette PLT" xfId="2775"/>
    <cellStyle name="s_P_L_Ratios_Output" xfId="3444"/>
    <cellStyle name="s_P_L_Ratios_PAO-CAF-RESOP_14_01_13 à 20h" xfId="705"/>
    <cellStyle name="s_P_L_Ratios_PAO-CAF-RESOP_14_01_13 à 20h_CAPEM BY COUNTRY" xfId="2776"/>
    <cellStyle name="s_P_L_Ratios_PAO-CAF-RESOP_14_01_13 à 20h_Maquette PLT" xfId="2777"/>
    <cellStyle name="s_P_L_Ratios_PAO-CAF-RESOP_14_01_13 à 20h_Output" xfId="3445"/>
    <cellStyle name="s_P_L_Ratios_PAO-CAF-RESOP_14_01_13 à 20h_PPA" xfId="2778"/>
    <cellStyle name="s_P_L_Ratios_PAO-CAF-RESOP_14_01_13 à 20h_RESOP bef CICE&amp;PPA&amp;RepartHO" xfId="2779"/>
    <cellStyle name="s_P_L_Ratios_PAO-CAF-RESOP_2014.02" xfId="2780"/>
    <cellStyle name="s_P_L_Ratios_PAO-CAF-RESOP_2014.02_Bridge_Zone_Sud" xfId="2781"/>
    <cellStyle name="s_P_L_Ratios_PPA" xfId="2782"/>
    <cellStyle name="s_P_L_Ratios_RESOP bef CICE&amp;PPA&amp;RepartHO" xfId="2783"/>
    <cellStyle name="s_PAO-CAF-RESOP_14_01_13 à 20h" xfId="706"/>
    <cellStyle name="s_PAO-CAF-RESOP_14_01_13 à 20h_CAPEM BY COUNTRY" xfId="2784"/>
    <cellStyle name="s_PAO-CAF-RESOP_14_01_13 à 20h_Maquette PLT" xfId="2785"/>
    <cellStyle name="s_PAO-CAF-RESOP_14_01_13 à 20h_Output" xfId="3446"/>
    <cellStyle name="s_PAO-CAF-RESOP_14_01_13 à 20h_PPA" xfId="2786"/>
    <cellStyle name="s_PAO-CAF-RESOP_14_01_13 à 20h_RESOP bef CICE&amp;PPA&amp;RepartHO" xfId="2787"/>
    <cellStyle name="s_PAO-CAF-RESOP_2014.02" xfId="2788"/>
    <cellStyle name="s_PAO-CAF-RESOP_2014.02_Bridge_Zone_Sud" xfId="2789"/>
    <cellStyle name="s_PPA" xfId="2790"/>
    <cellStyle name="s_RESOP bef CICE&amp;PPA&amp;RepartHO" xfId="2791"/>
    <cellStyle name="s_S_By_S" xfId="707"/>
    <cellStyle name="s_S_By_S_Actualisation provision contrat déficitaire SNCM 2010 V Def" xfId="708"/>
    <cellStyle name="s_S_By_S_Actualisation provision contrat déficitaire SNCM 2010 V Def_B14_E2_2210" xfId="2792"/>
    <cellStyle name="s_S_By_S_Actualisation provision contrat déficitaire SNCM 2010 V Def_B14_E2_2210_Bridge_Zone_Sud" xfId="2793"/>
    <cellStyle name="s_S_By_S_Actualisation provision contrat déficitaire SNCM 2010 V Def_Bridge_Zone_Sud" xfId="2794"/>
    <cellStyle name="s_S_By_S_Actualisation provision contrat déficitaire SNCM 2010 V Def_CAPEM BY COUNTRY" xfId="2795"/>
    <cellStyle name="s_S_By_S_Actualisation provision contrat déficitaire SNCM 2010 V Def_focus par entités CAFOPE2AMF" xfId="2796"/>
    <cellStyle name="s_S_By_S_Actualisation provision contrat déficitaire SNCM 2010 V Def_focus par entités CAFOPE2AMF_Bridge_Zone_Sud" xfId="2797"/>
    <cellStyle name="s_S_By_S_Actualisation provision contrat déficitaire SNCM 2010 V Def_Maquette PLT" xfId="2798"/>
    <cellStyle name="s_S_By_S_Actualisation provision contrat déficitaire SNCM 2010 V Def_Output" xfId="3447"/>
    <cellStyle name="s_S_By_S_Actualisation provision contrat déficitaire SNCM 2010 V Def_PAO-CAF-RESOP_04_13_pro_format_variante T1" xfId="2799"/>
    <cellStyle name="s_S_By_S_Actualisation provision contrat déficitaire SNCM 2010 V Def_PAO-CAF-RESOP_04_13_pro_format_variante T1_B14_E2_2210" xfId="2800"/>
    <cellStyle name="s_S_By_S_Actualisation provision contrat déficitaire SNCM 2010 V Def_PAO-CAF-RESOP_04_13_pro_format_variante T1_B14_E2_2210_Bridge_Zone_Sud" xfId="2801"/>
    <cellStyle name="s_S_By_S_Actualisation provision contrat déficitaire SNCM 2010 V Def_PAO-CAF-RESOP_04_13_pro_format_variante T1_Bridge_Zone_Sud" xfId="2802"/>
    <cellStyle name="s_S_By_S_Actualisation provision contrat déficitaire SNCM 2010 V Def_PAO-CAF-RESOP_06_13" xfId="2803"/>
    <cellStyle name="s_S_By_S_Actualisation provision contrat déficitaire SNCM 2010 V Def_PAO-CAF-RESOP_06_13_B14_E2_2210" xfId="2804"/>
    <cellStyle name="s_S_By_S_Actualisation provision contrat déficitaire SNCM 2010 V Def_PAO-CAF-RESOP_06_13_B14_E2_2210_Bridge_Zone_Sud" xfId="2805"/>
    <cellStyle name="s_S_By_S_Actualisation provision contrat déficitaire SNCM 2010 V Def_PAO-CAF-RESOP_06_13_Bridge_Zone_Sud" xfId="2806"/>
    <cellStyle name="s_S_By_S_Actualisation provision contrat déficitaire SNCM 2010 V Def_PAO-CAF-RESOP_08_13" xfId="2807"/>
    <cellStyle name="s_S_By_S_Actualisation provision contrat déficitaire SNCM 2010 V Def_PAO-CAF-RESOP_08_13_B14_E2_2210" xfId="2808"/>
    <cellStyle name="s_S_By_S_Actualisation provision contrat déficitaire SNCM 2010 V Def_PAO-CAF-RESOP_08_13_B14_E2_2210_Bridge_Zone_Sud" xfId="2809"/>
    <cellStyle name="s_S_By_S_Actualisation provision contrat déficitaire SNCM 2010 V Def_PAO-CAF-RESOP_08_13_Bridge_Zone_Sud" xfId="2810"/>
    <cellStyle name="s_S_By_S_Actualisation provision contrat déficitaire SNCM 2010 V Def_PAO-CAF-RESOP_09_13" xfId="2811"/>
    <cellStyle name="s_S_By_S_Actualisation provision contrat déficitaire SNCM 2010 V Def_PAO-CAF-RESOP_09_13_Bridge_Zone_Sud" xfId="2812"/>
    <cellStyle name="s_S_By_S_Actualisation provision contrat déficitaire SNCM 2010 V Def_PAO-CAF-RESOP_09_2013_Zone_IDF (version 2)" xfId="2813"/>
    <cellStyle name="s_S_By_S_Actualisation provision contrat déficitaire SNCM 2010 V Def_PAO-CAF-RESOP_10_12" xfId="2814"/>
    <cellStyle name="s_S_By_S_Actualisation provision contrat déficitaire SNCM 2010 V Def_PAO-CAF-RESOP_10_12_Bridge_Zone_Sud" xfId="2815"/>
    <cellStyle name="s_S_By_S_Actualisation provision contrat déficitaire SNCM 2010 V Def_PAO-CAF-RESOP_10_12_focus par entités CAFOP" xfId="2816"/>
    <cellStyle name="s_S_By_S_Actualisation provision contrat déficitaire SNCM 2010 V Def_PAO-CAF-RESOP_10_12_focus par entités CAFOP_Bridge_Zone_Sud" xfId="2817"/>
    <cellStyle name="s_S_By_S_Actualisation provision contrat déficitaire SNCM 2010 V Def_PAO-CAF-RESOP_11_13" xfId="2818"/>
    <cellStyle name="s_S_By_S_Actualisation provision contrat déficitaire SNCM 2010 V Def_PAO-CAF-RESOP_B13" xfId="2819"/>
    <cellStyle name="s_S_By_S_Actualisation provision contrat déficitaire SNCM 2010 V Def_PAO-CAF-RESOP_B13_Bridge_Zone_Sud" xfId="2820"/>
    <cellStyle name="s_S_By_S_Actualisation provision contrat déficitaire SNCM 2010 V Def_PAO-CAF-RESOP_B13_focus par entités CAFOP" xfId="2821"/>
    <cellStyle name="s_S_By_S_Actualisation provision contrat déficitaire SNCM 2010 V Def_PAO-CAF-RESOP_B13_focus par entités CAFOP_Bridge_Zone_Sud" xfId="2822"/>
    <cellStyle name="s_S_By_S_Actualisation provision contrat déficitaire SNCM 2010 V Def_PAO-CAF-RESOP_B2014" xfId="2823"/>
    <cellStyle name="s_S_By_S_Actualisation provision contrat déficitaire SNCM 2010 V Def_PAO-CAF-RESOP_B2014_Bridge_Zone_Sud" xfId="2824"/>
    <cellStyle name="s_S_By_S_Actualisation provision contrat déficitaire SNCM 2010 V Def_PAO-CAF-RESOP_B2014_v2" xfId="2825"/>
    <cellStyle name="s_S_By_S_Actualisation provision contrat déficitaire SNCM 2010 V Def_PAO-CAF-RESOP_E2_13" xfId="2826"/>
    <cellStyle name="s_S_By_S_Actualisation provision contrat déficitaire SNCM 2010 V Def_PAO-CAF-RESOP_E2_13_B14_E2_2210" xfId="2827"/>
    <cellStyle name="s_S_By_S_Actualisation provision contrat déficitaire SNCM 2010 V Def_PAO-CAF-RESOP_E2_13_B14_E2_2210_Bridge_Zone_Sud" xfId="2828"/>
    <cellStyle name="s_S_By_S_Actualisation provision contrat déficitaire SNCM 2010 V Def_PAO-CAF-RESOP_E2_13_Bridge_Zone_Sud" xfId="2829"/>
    <cellStyle name="s_S_By_S_Actualisation provision contrat déficitaire SNCM 2010 V Def_PAO-CAF-RESOP_E2_2013_03_10_19H" xfId="2830"/>
    <cellStyle name="s_S_By_S_Actualisation provision contrat déficitaire SNCM 2010 V Def_PAO-CAF-RESOP_E2_2013_03_10_19H_Bridge_Zone_Sud" xfId="2831"/>
    <cellStyle name="s_S_By_S_Actualisation provision contrat déficitaire SNCM 2010 V Def_PPA" xfId="2832"/>
    <cellStyle name="s_S_By_S_Actualisation provision contrat déficitaire SNCM 2010 V Def_RESOP bef CICE&amp;PPA&amp;RepartHO" xfId="2833"/>
    <cellStyle name="s_S_By_S_Actualisation provision contrat déficitaire SNCM 2010 V Def_Synthèse_Présentation_conso_retraitée" xfId="2834"/>
    <cellStyle name="s_S_By_S_Actualisation provision contrat déficitaire SNCM 2011 V3 30 05 2011" xfId="709"/>
    <cellStyle name="s_S_By_S_Actualisation provision contrat déficitaire SNCM 2011 V3 30 05 2011_B14_E2_2210" xfId="2835"/>
    <cellStyle name="s_S_By_S_Actualisation provision contrat déficitaire SNCM 2011 V3 30 05 2011_B14_E2_2210_Bridge_Zone_Sud" xfId="2836"/>
    <cellStyle name="s_S_By_S_Actualisation provision contrat déficitaire SNCM 2011 V3 30 05 2011_Bridge_Zone_Sud" xfId="2837"/>
    <cellStyle name="s_S_By_S_Actualisation provision contrat déficitaire SNCM 2011 V3 30 05 2011_CAPEM BY COUNTRY" xfId="2838"/>
    <cellStyle name="s_S_By_S_Actualisation provision contrat déficitaire SNCM 2011 V3 30 05 2011_focus par entités CAFOPE2AMF" xfId="2839"/>
    <cellStyle name="s_S_By_S_Actualisation provision contrat déficitaire SNCM 2011 V3 30 05 2011_focus par entités CAFOPE2AMF_Bridge_Zone_Sud" xfId="2840"/>
    <cellStyle name="s_S_By_S_Actualisation provision contrat déficitaire SNCM 2011 V3 30 05 2011_Maquette PLT" xfId="2841"/>
    <cellStyle name="s_S_By_S_Actualisation provision contrat déficitaire SNCM 2011 V3 30 05 2011_Output" xfId="3448"/>
    <cellStyle name="s_S_By_S_Actualisation provision contrat déficitaire SNCM 2011 V3 30 05 2011_PAO-CAF-RESOP_04_13_pro_format_variante T1" xfId="2842"/>
    <cellStyle name="s_S_By_S_Actualisation provision contrat déficitaire SNCM 2011 V3 30 05 2011_PAO-CAF-RESOP_04_13_pro_format_variante T1_B14_E2_2210" xfId="2843"/>
    <cellStyle name="s_S_By_S_Actualisation provision contrat déficitaire SNCM 2011 V3 30 05 2011_PAO-CAF-RESOP_04_13_pro_format_variante T1_B14_E2_2210_Bridge_Zone_Sud" xfId="2844"/>
    <cellStyle name="s_S_By_S_Actualisation provision contrat déficitaire SNCM 2011 V3 30 05 2011_PAO-CAF-RESOP_04_13_pro_format_variante T1_Bridge_Zone_Sud" xfId="2845"/>
    <cellStyle name="s_S_By_S_Actualisation provision contrat déficitaire SNCM 2011 V3 30 05 2011_PAO-CAF-RESOP_06_13" xfId="2846"/>
    <cellStyle name="s_S_By_S_Actualisation provision contrat déficitaire SNCM 2011 V3 30 05 2011_PAO-CAF-RESOP_06_13_B14_E2_2210" xfId="2847"/>
    <cellStyle name="s_S_By_S_Actualisation provision contrat déficitaire SNCM 2011 V3 30 05 2011_PAO-CAF-RESOP_06_13_B14_E2_2210_Bridge_Zone_Sud" xfId="2848"/>
    <cellStyle name="s_S_By_S_Actualisation provision contrat déficitaire SNCM 2011 V3 30 05 2011_PAO-CAF-RESOP_06_13_Bridge_Zone_Sud" xfId="2849"/>
    <cellStyle name="s_S_By_S_Actualisation provision contrat déficitaire SNCM 2011 V3 30 05 2011_PAO-CAF-RESOP_08_13" xfId="2850"/>
    <cellStyle name="s_S_By_S_Actualisation provision contrat déficitaire SNCM 2011 V3 30 05 2011_PAO-CAF-RESOP_08_13_B14_E2_2210" xfId="2851"/>
    <cellStyle name="s_S_By_S_Actualisation provision contrat déficitaire SNCM 2011 V3 30 05 2011_PAO-CAF-RESOP_08_13_B14_E2_2210_Bridge_Zone_Sud" xfId="2852"/>
    <cellStyle name="s_S_By_S_Actualisation provision contrat déficitaire SNCM 2011 V3 30 05 2011_PAO-CAF-RESOP_08_13_Bridge_Zone_Sud" xfId="2853"/>
    <cellStyle name="s_S_By_S_Actualisation provision contrat déficitaire SNCM 2011 V3 30 05 2011_PAO-CAF-RESOP_09_13" xfId="2854"/>
    <cellStyle name="s_S_By_S_Actualisation provision contrat déficitaire SNCM 2011 V3 30 05 2011_PAO-CAF-RESOP_09_13_Bridge_Zone_Sud" xfId="2855"/>
    <cellStyle name="s_S_By_S_Actualisation provision contrat déficitaire SNCM 2011 V3 30 05 2011_PAO-CAF-RESOP_09_2013_Zone_IDF (version 2)" xfId="2856"/>
    <cellStyle name="s_S_By_S_Actualisation provision contrat déficitaire SNCM 2011 V3 30 05 2011_PAO-CAF-RESOP_10_12" xfId="2857"/>
    <cellStyle name="s_S_By_S_Actualisation provision contrat déficitaire SNCM 2011 V3 30 05 2011_PAO-CAF-RESOP_10_12_Bridge_Zone_Sud" xfId="2858"/>
    <cellStyle name="s_S_By_S_Actualisation provision contrat déficitaire SNCM 2011 V3 30 05 2011_PAO-CAF-RESOP_10_12_focus par entités CAFOP" xfId="2859"/>
    <cellStyle name="s_S_By_S_Actualisation provision contrat déficitaire SNCM 2011 V3 30 05 2011_PAO-CAF-RESOP_10_12_focus par entités CAFOP_Bridge_Zone_Sud" xfId="2860"/>
    <cellStyle name="s_S_By_S_Actualisation provision contrat déficitaire SNCM 2011 V3 30 05 2011_PAO-CAF-RESOP_11_13" xfId="2861"/>
    <cellStyle name="s_S_By_S_Actualisation provision contrat déficitaire SNCM 2011 V3 30 05 2011_PAO-CAF-RESOP_B13" xfId="2862"/>
    <cellStyle name="s_S_By_S_Actualisation provision contrat déficitaire SNCM 2011 V3 30 05 2011_PAO-CAF-RESOP_B13_Bridge_Zone_Sud" xfId="2863"/>
    <cellStyle name="s_S_By_S_Actualisation provision contrat déficitaire SNCM 2011 V3 30 05 2011_PAO-CAF-RESOP_B13_focus par entités CAFOP" xfId="2864"/>
    <cellStyle name="s_S_By_S_Actualisation provision contrat déficitaire SNCM 2011 V3 30 05 2011_PAO-CAF-RESOP_B13_focus par entités CAFOP_Bridge_Zone_Sud" xfId="2865"/>
    <cellStyle name="s_S_By_S_Actualisation provision contrat déficitaire SNCM 2011 V3 30 05 2011_PAO-CAF-RESOP_B2014" xfId="2866"/>
    <cellStyle name="s_S_By_S_Actualisation provision contrat déficitaire SNCM 2011 V3 30 05 2011_PAO-CAF-RESOP_B2014_Bridge_Zone_Sud" xfId="2867"/>
    <cellStyle name="s_S_By_S_Actualisation provision contrat déficitaire SNCM 2011 V3 30 05 2011_PAO-CAF-RESOP_B2014_v2" xfId="2868"/>
    <cellStyle name="s_S_By_S_Actualisation provision contrat déficitaire SNCM 2011 V3 30 05 2011_PAO-CAF-RESOP_E2_13" xfId="2869"/>
    <cellStyle name="s_S_By_S_Actualisation provision contrat déficitaire SNCM 2011 V3 30 05 2011_PAO-CAF-RESOP_E2_13_B14_E2_2210" xfId="2870"/>
    <cellStyle name="s_S_By_S_Actualisation provision contrat déficitaire SNCM 2011 V3 30 05 2011_PAO-CAF-RESOP_E2_13_B14_E2_2210_Bridge_Zone_Sud" xfId="2871"/>
    <cellStyle name="s_S_By_S_Actualisation provision contrat déficitaire SNCM 2011 V3 30 05 2011_PAO-CAF-RESOP_E2_13_Bridge_Zone_Sud" xfId="2872"/>
    <cellStyle name="s_S_By_S_Actualisation provision contrat déficitaire SNCM 2011 V3 30 05 2011_PAO-CAF-RESOP_E2_2013_03_10_19H" xfId="2873"/>
    <cellStyle name="s_S_By_S_Actualisation provision contrat déficitaire SNCM 2011 V3 30 05 2011_PAO-CAF-RESOP_E2_2013_03_10_19H_Bridge_Zone_Sud" xfId="2874"/>
    <cellStyle name="s_S_By_S_Actualisation provision contrat déficitaire SNCM 2011 V3 30 05 2011_PPA" xfId="2875"/>
    <cellStyle name="s_S_By_S_Actualisation provision contrat déficitaire SNCM 2011 V3 30 05 2011_RESOP bef CICE&amp;PPA&amp;RepartHO" xfId="2876"/>
    <cellStyle name="s_S_By_S_Actualisation provision contrat déficitaire SNCM 2011 V3 30 05 2011_Synthèse_Présentation_conso_retraitée" xfId="2877"/>
    <cellStyle name="s_S_By_S_B14_E2_2210" xfId="2878"/>
    <cellStyle name="s_S_By_S_B14_E2_2210_Bridge_Zone_Sud" xfId="2879"/>
    <cellStyle name="s_S_By_S_BFR_TD_2014.02" xfId="2880"/>
    <cellStyle name="s_S_By_S_Bridge_Zone_Nord" xfId="2881"/>
    <cellStyle name="s_S_By_S_CAPEM BY COUNTRY" xfId="2882"/>
    <cellStyle name="s_S_By_S_LI819L_B13" xfId="710"/>
    <cellStyle name="s_S_By_S_LI819L_B13_CAPEM BY COUNTRY" xfId="2883"/>
    <cellStyle name="s_S_By_S_LI819L_B13_Maquette PLT" xfId="2884"/>
    <cellStyle name="s_S_By_S_LI819L_B13_Output" xfId="3449"/>
    <cellStyle name="s_S_By_S_LI819L_B13_PPA" xfId="2885"/>
    <cellStyle name="s_S_By_S_LI819L_B13_RESOP bef CICE&amp;PPA&amp;RepartHO" xfId="2886"/>
    <cellStyle name="s_S_By_S_Maquette PLT" xfId="2887"/>
    <cellStyle name="s_S_By_S_Output" xfId="3450"/>
    <cellStyle name="s_S_By_S_PAO-CAF-RESOP_14_01_13 à 20h" xfId="711"/>
    <cellStyle name="s_S_By_S_PAO-CAF-RESOP_14_01_13 à 20h_CAPEM BY COUNTRY" xfId="2888"/>
    <cellStyle name="s_S_By_S_PAO-CAF-RESOP_14_01_13 à 20h_Maquette PLT" xfId="2889"/>
    <cellStyle name="s_S_By_S_PAO-CAF-RESOP_14_01_13 à 20h_Output" xfId="3451"/>
    <cellStyle name="s_S_By_S_PAO-CAF-RESOP_14_01_13 à 20h_PPA" xfId="2890"/>
    <cellStyle name="s_S_By_S_PAO-CAF-RESOP_14_01_13 à 20h_RESOP bef CICE&amp;PPA&amp;RepartHO" xfId="2891"/>
    <cellStyle name="s_S_By_S_PAO-CAF-RESOP_2014.02" xfId="2892"/>
    <cellStyle name="s_S_By_S_PAO-CAF-RESOP_2014.02_Bridge_Zone_Sud" xfId="2893"/>
    <cellStyle name="s_S_By_S_PPA" xfId="2894"/>
    <cellStyle name="s_S_By_S_RESOP bef CICE&amp;PPA&amp;RepartHO" xfId="2895"/>
    <cellStyle name="s_Sheet5" xfId="712"/>
    <cellStyle name="s_Sheet5_Actualisation provision contrat déficitaire SNCM 2010 V Def" xfId="713"/>
    <cellStyle name="s_Sheet5_Actualisation provision contrat déficitaire SNCM 2010 V Def_B14_E2_2210" xfId="2896"/>
    <cellStyle name="s_Sheet5_Actualisation provision contrat déficitaire SNCM 2010 V Def_B14_E2_2210_Bridge_Zone_Sud" xfId="2897"/>
    <cellStyle name="s_Sheet5_Actualisation provision contrat déficitaire SNCM 2010 V Def_Bridge_Zone_Sud" xfId="2898"/>
    <cellStyle name="s_Sheet5_Actualisation provision contrat déficitaire SNCM 2010 V Def_CAPEM BY COUNTRY" xfId="2899"/>
    <cellStyle name="s_Sheet5_Actualisation provision contrat déficitaire SNCM 2010 V Def_focus par entités CAFOPE2AMF" xfId="2900"/>
    <cellStyle name="s_Sheet5_Actualisation provision contrat déficitaire SNCM 2010 V Def_focus par entités CAFOPE2AMF_Bridge_Zone_Sud" xfId="2901"/>
    <cellStyle name="s_Sheet5_Actualisation provision contrat déficitaire SNCM 2010 V Def_Maquette PLT" xfId="2902"/>
    <cellStyle name="s_Sheet5_Actualisation provision contrat déficitaire SNCM 2010 V Def_Output" xfId="3452"/>
    <cellStyle name="s_Sheet5_Actualisation provision contrat déficitaire SNCM 2010 V Def_PAO-CAF-RESOP_04_13_pro_format_variante T1" xfId="2903"/>
    <cellStyle name="s_Sheet5_Actualisation provision contrat déficitaire SNCM 2010 V Def_PAO-CAF-RESOP_04_13_pro_format_variante T1_B14_E2_2210" xfId="2904"/>
    <cellStyle name="s_Sheet5_Actualisation provision contrat déficitaire SNCM 2010 V Def_PAO-CAF-RESOP_04_13_pro_format_variante T1_B14_E2_2210_Bridge_Zone_Sud" xfId="2905"/>
    <cellStyle name="s_Sheet5_Actualisation provision contrat déficitaire SNCM 2010 V Def_PAO-CAF-RESOP_04_13_pro_format_variante T1_Bridge_Zone_Sud" xfId="2906"/>
    <cellStyle name="s_Sheet5_Actualisation provision contrat déficitaire SNCM 2010 V Def_PAO-CAF-RESOP_06_13" xfId="2907"/>
    <cellStyle name="s_Sheet5_Actualisation provision contrat déficitaire SNCM 2010 V Def_PAO-CAF-RESOP_06_13_B14_E2_2210" xfId="2908"/>
    <cellStyle name="s_Sheet5_Actualisation provision contrat déficitaire SNCM 2010 V Def_PAO-CAF-RESOP_06_13_B14_E2_2210_Bridge_Zone_Sud" xfId="2909"/>
    <cellStyle name="s_Sheet5_Actualisation provision contrat déficitaire SNCM 2010 V Def_PAO-CAF-RESOP_06_13_Bridge_Zone_Sud" xfId="2910"/>
    <cellStyle name="s_Sheet5_Actualisation provision contrat déficitaire SNCM 2010 V Def_PAO-CAF-RESOP_08_13" xfId="2911"/>
    <cellStyle name="s_Sheet5_Actualisation provision contrat déficitaire SNCM 2010 V Def_PAO-CAF-RESOP_08_13_B14_E2_2210" xfId="2912"/>
    <cellStyle name="s_Sheet5_Actualisation provision contrat déficitaire SNCM 2010 V Def_PAO-CAF-RESOP_08_13_B14_E2_2210_Bridge_Zone_Sud" xfId="2913"/>
    <cellStyle name="s_Sheet5_Actualisation provision contrat déficitaire SNCM 2010 V Def_PAO-CAF-RESOP_08_13_Bridge_Zone_Sud" xfId="2914"/>
    <cellStyle name="s_Sheet5_Actualisation provision contrat déficitaire SNCM 2010 V Def_PAO-CAF-RESOP_09_13" xfId="2915"/>
    <cellStyle name="s_Sheet5_Actualisation provision contrat déficitaire SNCM 2010 V Def_PAO-CAF-RESOP_09_13_Bridge_Zone_Sud" xfId="2916"/>
    <cellStyle name="s_Sheet5_Actualisation provision contrat déficitaire SNCM 2010 V Def_PAO-CAF-RESOP_09_2013_Zone_IDF (version 2)" xfId="2917"/>
    <cellStyle name="s_Sheet5_Actualisation provision contrat déficitaire SNCM 2010 V Def_PAO-CAF-RESOP_10_12" xfId="2918"/>
    <cellStyle name="s_Sheet5_Actualisation provision contrat déficitaire SNCM 2010 V Def_PAO-CAF-RESOP_10_12_Bridge_Zone_Sud" xfId="2919"/>
    <cellStyle name="s_Sheet5_Actualisation provision contrat déficitaire SNCM 2010 V Def_PAO-CAF-RESOP_10_12_focus par entités CAFOP" xfId="2920"/>
    <cellStyle name="s_Sheet5_Actualisation provision contrat déficitaire SNCM 2010 V Def_PAO-CAF-RESOP_10_12_focus par entités CAFOP_Bridge_Zone_Sud" xfId="2921"/>
    <cellStyle name="s_Sheet5_Actualisation provision contrat déficitaire SNCM 2010 V Def_PAO-CAF-RESOP_11_13" xfId="2922"/>
    <cellStyle name="s_Sheet5_Actualisation provision contrat déficitaire SNCM 2010 V Def_PAO-CAF-RESOP_B13" xfId="2923"/>
    <cellStyle name="s_Sheet5_Actualisation provision contrat déficitaire SNCM 2010 V Def_PAO-CAF-RESOP_B13_Bridge_Zone_Sud" xfId="2924"/>
    <cellStyle name="s_Sheet5_Actualisation provision contrat déficitaire SNCM 2010 V Def_PAO-CAF-RESOP_B13_focus par entités CAFOP" xfId="2925"/>
    <cellStyle name="s_Sheet5_Actualisation provision contrat déficitaire SNCM 2010 V Def_PAO-CAF-RESOP_B13_focus par entités CAFOP_Bridge_Zone_Sud" xfId="2926"/>
    <cellStyle name="s_Sheet5_Actualisation provision contrat déficitaire SNCM 2010 V Def_PAO-CAF-RESOP_B2014" xfId="2927"/>
    <cellStyle name="s_Sheet5_Actualisation provision contrat déficitaire SNCM 2010 V Def_PAO-CAF-RESOP_B2014_Bridge_Zone_Sud" xfId="2928"/>
    <cellStyle name="s_Sheet5_Actualisation provision contrat déficitaire SNCM 2010 V Def_PAO-CAF-RESOP_B2014_v2" xfId="2929"/>
    <cellStyle name="s_Sheet5_Actualisation provision contrat déficitaire SNCM 2010 V Def_PAO-CAF-RESOP_E2_13" xfId="2930"/>
    <cellStyle name="s_Sheet5_Actualisation provision contrat déficitaire SNCM 2010 V Def_PAO-CAF-RESOP_E2_13_B14_E2_2210" xfId="2931"/>
    <cellStyle name="s_Sheet5_Actualisation provision contrat déficitaire SNCM 2010 V Def_PAO-CAF-RESOP_E2_13_B14_E2_2210_Bridge_Zone_Sud" xfId="2932"/>
    <cellStyle name="s_Sheet5_Actualisation provision contrat déficitaire SNCM 2010 V Def_PAO-CAF-RESOP_E2_13_Bridge_Zone_Sud" xfId="2933"/>
    <cellStyle name="s_Sheet5_Actualisation provision contrat déficitaire SNCM 2010 V Def_PAO-CAF-RESOP_E2_2013_03_10_19H" xfId="2934"/>
    <cellStyle name="s_Sheet5_Actualisation provision contrat déficitaire SNCM 2010 V Def_PAO-CAF-RESOP_E2_2013_03_10_19H_Bridge_Zone_Sud" xfId="2935"/>
    <cellStyle name="s_Sheet5_Actualisation provision contrat déficitaire SNCM 2010 V Def_PPA" xfId="2936"/>
    <cellStyle name="s_Sheet5_Actualisation provision contrat déficitaire SNCM 2010 V Def_RESOP bef CICE&amp;PPA&amp;RepartHO" xfId="2937"/>
    <cellStyle name="s_Sheet5_Actualisation provision contrat déficitaire SNCM 2010 V Def_Synthèse_Présentation_conso_retraitée" xfId="2938"/>
    <cellStyle name="s_Sheet5_Actualisation provision contrat déficitaire SNCM 2011 V3 30 05 2011" xfId="714"/>
    <cellStyle name="s_Sheet5_Actualisation provision contrat déficitaire SNCM 2011 V3 30 05 2011_B14_E2_2210" xfId="2939"/>
    <cellStyle name="s_Sheet5_Actualisation provision contrat déficitaire SNCM 2011 V3 30 05 2011_B14_E2_2210_Bridge_Zone_Sud" xfId="2940"/>
    <cellStyle name="s_Sheet5_Actualisation provision contrat déficitaire SNCM 2011 V3 30 05 2011_Bridge_Zone_Sud" xfId="2941"/>
    <cellStyle name="s_Sheet5_Actualisation provision contrat déficitaire SNCM 2011 V3 30 05 2011_CAPEM BY COUNTRY" xfId="2942"/>
    <cellStyle name="s_Sheet5_Actualisation provision contrat déficitaire SNCM 2011 V3 30 05 2011_focus par entités CAFOPE2AMF" xfId="2943"/>
    <cellStyle name="s_Sheet5_Actualisation provision contrat déficitaire SNCM 2011 V3 30 05 2011_focus par entités CAFOPE2AMF_Bridge_Zone_Sud" xfId="2944"/>
    <cellStyle name="s_Sheet5_Actualisation provision contrat déficitaire SNCM 2011 V3 30 05 2011_Maquette PLT" xfId="2945"/>
    <cellStyle name="s_Sheet5_Actualisation provision contrat déficitaire SNCM 2011 V3 30 05 2011_Output" xfId="3453"/>
    <cellStyle name="s_Sheet5_Actualisation provision contrat déficitaire SNCM 2011 V3 30 05 2011_PAO-CAF-RESOP_04_13_pro_format_variante T1" xfId="2946"/>
    <cellStyle name="s_Sheet5_Actualisation provision contrat déficitaire SNCM 2011 V3 30 05 2011_PAO-CAF-RESOP_04_13_pro_format_variante T1_B14_E2_2210" xfId="2947"/>
    <cellStyle name="s_Sheet5_Actualisation provision contrat déficitaire SNCM 2011 V3 30 05 2011_PAO-CAF-RESOP_04_13_pro_format_variante T1_B14_E2_2210_Bridge_Zone_Sud" xfId="2948"/>
    <cellStyle name="s_Sheet5_Actualisation provision contrat déficitaire SNCM 2011 V3 30 05 2011_PAO-CAF-RESOP_04_13_pro_format_variante T1_Bridge_Zone_Sud" xfId="2949"/>
    <cellStyle name="s_Sheet5_Actualisation provision contrat déficitaire SNCM 2011 V3 30 05 2011_PAO-CAF-RESOP_06_13" xfId="2950"/>
    <cellStyle name="s_Sheet5_Actualisation provision contrat déficitaire SNCM 2011 V3 30 05 2011_PAO-CAF-RESOP_06_13_B14_E2_2210" xfId="2951"/>
    <cellStyle name="s_Sheet5_Actualisation provision contrat déficitaire SNCM 2011 V3 30 05 2011_PAO-CAF-RESOP_06_13_B14_E2_2210_Bridge_Zone_Sud" xfId="2952"/>
    <cellStyle name="s_Sheet5_Actualisation provision contrat déficitaire SNCM 2011 V3 30 05 2011_PAO-CAF-RESOP_06_13_Bridge_Zone_Sud" xfId="2953"/>
    <cellStyle name="s_Sheet5_Actualisation provision contrat déficitaire SNCM 2011 V3 30 05 2011_PAO-CAF-RESOP_08_13" xfId="2954"/>
    <cellStyle name="s_Sheet5_Actualisation provision contrat déficitaire SNCM 2011 V3 30 05 2011_PAO-CAF-RESOP_08_13_B14_E2_2210" xfId="2955"/>
    <cellStyle name="s_Sheet5_Actualisation provision contrat déficitaire SNCM 2011 V3 30 05 2011_PAO-CAF-RESOP_08_13_B14_E2_2210_Bridge_Zone_Sud" xfId="2956"/>
    <cellStyle name="s_Sheet5_Actualisation provision contrat déficitaire SNCM 2011 V3 30 05 2011_PAO-CAF-RESOP_08_13_Bridge_Zone_Sud" xfId="2957"/>
    <cellStyle name="s_Sheet5_Actualisation provision contrat déficitaire SNCM 2011 V3 30 05 2011_PAO-CAF-RESOP_09_13" xfId="2958"/>
    <cellStyle name="s_Sheet5_Actualisation provision contrat déficitaire SNCM 2011 V3 30 05 2011_PAO-CAF-RESOP_09_13_Bridge_Zone_Sud" xfId="2959"/>
    <cellStyle name="s_Sheet5_Actualisation provision contrat déficitaire SNCM 2011 V3 30 05 2011_PAO-CAF-RESOP_09_2013_Zone_IDF (version 2)" xfId="2960"/>
    <cellStyle name="s_Sheet5_Actualisation provision contrat déficitaire SNCM 2011 V3 30 05 2011_PAO-CAF-RESOP_10_12" xfId="2961"/>
    <cellStyle name="s_Sheet5_Actualisation provision contrat déficitaire SNCM 2011 V3 30 05 2011_PAO-CAF-RESOP_10_12_Bridge_Zone_Sud" xfId="2962"/>
    <cellStyle name="s_Sheet5_Actualisation provision contrat déficitaire SNCM 2011 V3 30 05 2011_PAO-CAF-RESOP_10_12_focus par entités CAFOP" xfId="2963"/>
    <cellStyle name="s_Sheet5_Actualisation provision contrat déficitaire SNCM 2011 V3 30 05 2011_PAO-CAF-RESOP_10_12_focus par entités CAFOP_Bridge_Zone_Sud" xfId="2964"/>
    <cellStyle name="s_Sheet5_Actualisation provision contrat déficitaire SNCM 2011 V3 30 05 2011_PAO-CAF-RESOP_11_13" xfId="2965"/>
    <cellStyle name="s_Sheet5_Actualisation provision contrat déficitaire SNCM 2011 V3 30 05 2011_PAO-CAF-RESOP_B13" xfId="2966"/>
    <cellStyle name="s_Sheet5_Actualisation provision contrat déficitaire SNCM 2011 V3 30 05 2011_PAO-CAF-RESOP_B13_Bridge_Zone_Sud" xfId="2967"/>
    <cellStyle name="s_Sheet5_Actualisation provision contrat déficitaire SNCM 2011 V3 30 05 2011_PAO-CAF-RESOP_B13_focus par entités CAFOP" xfId="2968"/>
    <cellStyle name="s_Sheet5_Actualisation provision contrat déficitaire SNCM 2011 V3 30 05 2011_PAO-CAF-RESOP_B13_focus par entités CAFOP_Bridge_Zone_Sud" xfId="2969"/>
    <cellStyle name="s_Sheet5_Actualisation provision contrat déficitaire SNCM 2011 V3 30 05 2011_PAO-CAF-RESOP_B2014" xfId="2970"/>
    <cellStyle name="s_Sheet5_Actualisation provision contrat déficitaire SNCM 2011 V3 30 05 2011_PAO-CAF-RESOP_B2014_Bridge_Zone_Sud" xfId="2971"/>
    <cellStyle name="s_Sheet5_Actualisation provision contrat déficitaire SNCM 2011 V3 30 05 2011_PAO-CAF-RESOP_B2014_v2" xfId="2972"/>
    <cellStyle name="s_Sheet5_Actualisation provision contrat déficitaire SNCM 2011 V3 30 05 2011_PAO-CAF-RESOP_E2_13" xfId="2973"/>
    <cellStyle name="s_Sheet5_Actualisation provision contrat déficitaire SNCM 2011 V3 30 05 2011_PAO-CAF-RESOP_E2_13_B14_E2_2210" xfId="2974"/>
    <cellStyle name="s_Sheet5_Actualisation provision contrat déficitaire SNCM 2011 V3 30 05 2011_PAO-CAF-RESOP_E2_13_B14_E2_2210_Bridge_Zone_Sud" xfId="2975"/>
    <cellStyle name="s_Sheet5_Actualisation provision contrat déficitaire SNCM 2011 V3 30 05 2011_PAO-CAF-RESOP_E2_13_Bridge_Zone_Sud" xfId="2976"/>
    <cellStyle name="s_Sheet5_Actualisation provision contrat déficitaire SNCM 2011 V3 30 05 2011_PAO-CAF-RESOP_E2_2013_03_10_19H" xfId="2977"/>
    <cellStyle name="s_Sheet5_Actualisation provision contrat déficitaire SNCM 2011 V3 30 05 2011_PAO-CAF-RESOP_E2_2013_03_10_19H_Bridge_Zone_Sud" xfId="2978"/>
    <cellStyle name="s_Sheet5_Actualisation provision contrat déficitaire SNCM 2011 V3 30 05 2011_PPA" xfId="2979"/>
    <cellStyle name="s_Sheet5_Actualisation provision contrat déficitaire SNCM 2011 V3 30 05 2011_RESOP bef CICE&amp;PPA&amp;RepartHO" xfId="2980"/>
    <cellStyle name="s_Sheet5_Actualisation provision contrat déficitaire SNCM 2011 V3 30 05 2011_Synthèse_Présentation_conso_retraitée" xfId="2981"/>
    <cellStyle name="s_Sheet5_B14_E2_2210" xfId="2982"/>
    <cellStyle name="s_Sheet5_B14_E2_2210_Bridge_Zone_Sud" xfId="2983"/>
    <cellStyle name="s_Sheet5_BFR_TD_2014.02" xfId="2984"/>
    <cellStyle name="s_Sheet5_Bridge_Zone_Nord" xfId="2985"/>
    <cellStyle name="s_Sheet5_CAPEM BY COUNTRY" xfId="2986"/>
    <cellStyle name="s_Sheet5_LI819L_B13" xfId="715"/>
    <cellStyle name="s_Sheet5_LI819L_B13_CAPEM BY COUNTRY" xfId="2987"/>
    <cellStyle name="s_Sheet5_LI819L_B13_Maquette PLT" xfId="2988"/>
    <cellStyle name="s_Sheet5_LI819L_B13_Output" xfId="3454"/>
    <cellStyle name="s_Sheet5_LI819L_B13_PPA" xfId="2989"/>
    <cellStyle name="s_Sheet5_LI819L_B13_RESOP bef CICE&amp;PPA&amp;RepartHO" xfId="2990"/>
    <cellStyle name="s_Sheet5_Maquette PLT" xfId="2991"/>
    <cellStyle name="s_Sheet5_Output" xfId="3455"/>
    <cellStyle name="s_Sheet5_PAO-CAF-RESOP_14_01_13 à 20h" xfId="716"/>
    <cellStyle name="s_Sheet5_PAO-CAF-RESOP_14_01_13 à 20h_CAPEM BY COUNTRY" xfId="2992"/>
    <cellStyle name="s_Sheet5_PAO-CAF-RESOP_14_01_13 à 20h_Maquette PLT" xfId="2993"/>
    <cellStyle name="s_Sheet5_PAO-CAF-RESOP_14_01_13 à 20h_Output" xfId="3456"/>
    <cellStyle name="s_Sheet5_PAO-CAF-RESOP_14_01_13 à 20h_PPA" xfId="2994"/>
    <cellStyle name="s_Sheet5_PAO-CAF-RESOP_14_01_13 à 20h_RESOP bef CICE&amp;PPA&amp;RepartHO" xfId="2995"/>
    <cellStyle name="s_Sheet5_PAO-CAF-RESOP_2014.02" xfId="2996"/>
    <cellStyle name="s_Sheet5_PAO-CAF-RESOP_2014.02_Bridge_Zone_Sud" xfId="2997"/>
    <cellStyle name="s_Sheet5_PPA" xfId="2998"/>
    <cellStyle name="s_Sheet5_RESOP bef CICE&amp;PPA&amp;RepartHO" xfId="2999"/>
    <cellStyle name="s_Valuation " xfId="717"/>
    <cellStyle name="s_Valuation _Actualisation provision contrat déficitaire SNCM 2010 V Def" xfId="718"/>
    <cellStyle name="s_Valuation _Actualisation provision contrat déficitaire SNCM 2010 V Def_B14_E2_2210" xfId="3000"/>
    <cellStyle name="s_Valuation _Actualisation provision contrat déficitaire SNCM 2010 V Def_B14_E2_2210_Bridge_Zone_Sud" xfId="3001"/>
    <cellStyle name="s_Valuation _Actualisation provision contrat déficitaire SNCM 2010 V Def_Bridge_Zone_Sud" xfId="3002"/>
    <cellStyle name="s_Valuation _Actualisation provision contrat déficitaire SNCM 2010 V Def_CAPEM BY COUNTRY" xfId="3003"/>
    <cellStyle name="s_Valuation _Actualisation provision contrat déficitaire SNCM 2010 V Def_focus par entités CAFOPE2AMF" xfId="3004"/>
    <cellStyle name="s_Valuation _Actualisation provision contrat déficitaire SNCM 2010 V Def_focus par entités CAFOPE2AMF_Bridge_Zone_Sud" xfId="3005"/>
    <cellStyle name="s_Valuation _Actualisation provision contrat déficitaire SNCM 2010 V Def_Maquette PLT" xfId="3006"/>
    <cellStyle name="s_Valuation _Actualisation provision contrat déficitaire SNCM 2010 V Def_Output" xfId="3457"/>
    <cellStyle name="s_Valuation _Actualisation provision contrat déficitaire SNCM 2010 V Def_PAO-CAF-RESOP_04_13_pro_format_variante T1" xfId="3007"/>
    <cellStyle name="s_Valuation _Actualisation provision contrat déficitaire SNCM 2010 V Def_PAO-CAF-RESOP_04_13_pro_format_variante T1_B14_E2_2210" xfId="3008"/>
    <cellStyle name="s_Valuation _Actualisation provision contrat déficitaire SNCM 2010 V Def_PAO-CAF-RESOP_04_13_pro_format_variante T1_B14_E2_2210_Bridge_Zone_Sud" xfId="3009"/>
    <cellStyle name="s_Valuation _Actualisation provision contrat déficitaire SNCM 2010 V Def_PAO-CAF-RESOP_04_13_pro_format_variante T1_Bridge_Zone_Sud" xfId="3010"/>
    <cellStyle name="s_Valuation _Actualisation provision contrat déficitaire SNCM 2010 V Def_PAO-CAF-RESOP_06_13" xfId="3011"/>
    <cellStyle name="s_Valuation _Actualisation provision contrat déficitaire SNCM 2010 V Def_PAO-CAF-RESOP_06_13_B14_E2_2210" xfId="3012"/>
    <cellStyle name="s_Valuation _Actualisation provision contrat déficitaire SNCM 2010 V Def_PAO-CAF-RESOP_06_13_B14_E2_2210_Bridge_Zone_Sud" xfId="3013"/>
    <cellStyle name="s_Valuation _Actualisation provision contrat déficitaire SNCM 2010 V Def_PAO-CAF-RESOP_06_13_Bridge_Zone_Sud" xfId="3014"/>
    <cellStyle name="s_Valuation _Actualisation provision contrat déficitaire SNCM 2010 V Def_PAO-CAF-RESOP_08_13" xfId="3015"/>
    <cellStyle name="s_Valuation _Actualisation provision contrat déficitaire SNCM 2010 V Def_PAO-CAF-RESOP_08_13_B14_E2_2210" xfId="3016"/>
    <cellStyle name="s_Valuation _Actualisation provision contrat déficitaire SNCM 2010 V Def_PAO-CAF-RESOP_08_13_B14_E2_2210_Bridge_Zone_Sud" xfId="3017"/>
    <cellStyle name="s_Valuation _Actualisation provision contrat déficitaire SNCM 2010 V Def_PAO-CAF-RESOP_08_13_Bridge_Zone_Sud" xfId="3018"/>
    <cellStyle name="s_Valuation _Actualisation provision contrat déficitaire SNCM 2010 V Def_PAO-CAF-RESOP_09_13" xfId="3019"/>
    <cellStyle name="s_Valuation _Actualisation provision contrat déficitaire SNCM 2010 V Def_PAO-CAF-RESOP_09_13_Bridge_Zone_Sud" xfId="3020"/>
    <cellStyle name="s_Valuation _Actualisation provision contrat déficitaire SNCM 2010 V Def_PAO-CAF-RESOP_09_2013_Zone_IDF (version 2)" xfId="3021"/>
    <cellStyle name="s_Valuation _Actualisation provision contrat déficitaire SNCM 2010 V Def_PAO-CAF-RESOP_10_12" xfId="3022"/>
    <cellStyle name="s_Valuation _Actualisation provision contrat déficitaire SNCM 2010 V Def_PAO-CAF-RESOP_10_12_Bridge_Zone_Sud" xfId="3023"/>
    <cellStyle name="s_Valuation _Actualisation provision contrat déficitaire SNCM 2010 V Def_PAO-CAF-RESOP_10_12_focus par entités CAFOP" xfId="3024"/>
    <cellStyle name="s_Valuation _Actualisation provision contrat déficitaire SNCM 2010 V Def_PAO-CAF-RESOP_10_12_focus par entités CAFOP_Bridge_Zone_Sud" xfId="3025"/>
    <cellStyle name="s_Valuation _Actualisation provision contrat déficitaire SNCM 2010 V Def_PAO-CAF-RESOP_11_13" xfId="3026"/>
    <cellStyle name="s_Valuation _Actualisation provision contrat déficitaire SNCM 2010 V Def_PAO-CAF-RESOP_B13" xfId="3027"/>
    <cellStyle name="s_Valuation _Actualisation provision contrat déficitaire SNCM 2010 V Def_PAO-CAF-RESOP_B13_Bridge_Zone_Sud" xfId="3028"/>
    <cellStyle name="s_Valuation _Actualisation provision contrat déficitaire SNCM 2010 V Def_PAO-CAF-RESOP_B13_focus par entités CAFOP" xfId="3029"/>
    <cellStyle name="s_Valuation _Actualisation provision contrat déficitaire SNCM 2010 V Def_PAO-CAF-RESOP_B13_focus par entités CAFOP_Bridge_Zone_Sud" xfId="3030"/>
    <cellStyle name="s_Valuation _Actualisation provision contrat déficitaire SNCM 2010 V Def_PAO-CAF-RESOP_B2014" xfId="3031"/>
    <cellStyle name="s_Valuation _Actualisation provision contrat déficitaire SNCM 2010 V Def_PAO-CAF-RESOP_B2014_Bridge_Zone_Sud" xfId="3032"/>
    <cellStyle name="s_Valuation _Actualisation provision contrat déficitaire SNCM 2010 V Def_PAO-CAF-RESOP_B2014_v2" xfId="3033"/>
    <cellStyle name="s_Valuation _Actualisation provision contrat déficitaire SNCM 2010 V Def_PAO-CAF-RESOP_E2_13" xfId="3034"/>
    <cellStyle name="s_Valuation _Actualisation provision contrat déficitaire SNCM 2010 V Def_PAO-CAF-RESOP_E2_13_B14_E2_2210" xfId="3035"/>
    <cellStyle name="s_Valuation _Actualisation provision contrat déficitaire SNCM 2010 V Def_PAO-CAF-RESOP_E2_13_B14_E2_2210_Bridge_Zone_Sud" xfId="3036"/>
    <cellStyle name="s_Valuation _Actualisation provision contrat déficitaire SNCM 2010 V Def_PAO-CAF-RESOP_E2_13_Bridge_Zone_Sud" xfId="3037"/>
    <cellStyle name="s_Valuation _Actualisation provision contrat déficitaire SNCM 2010 V Def_PAO-CAF-RESOP_E2_2013_03_10_19H" xfId="3038"/>
    <cellStyle name="s_Valuation _Actualisation provision contrat déficitaire SNCM 2010 V Def_PAO-CAF-RESOP_E2_2013_03_10_19H_Bridge_Zone_Sud" xfId="3039"/>
    <cellStyle name="s_Valuation _Actualisation provision contrat déficitaire SNCM 2010 V Def_PPA" xfId="3040"/>
    <cellStyle name="s_Valuation _Actualisation provision contrat déficitaire SNCM 2010 V Def_RESOP bef CICE&amp;PPA&amp;RepartHO" xfId="3041"/>
    <cellStyle name="s_Valuation _Actualisation provision contrat déficitaire SNCM 2010 V Def_Synthèse_Présentation_conso_retraitée" xfId="3042"/>
    <cellStyle name="s_Valuation _Actualisation provision contrat déficitaire SNCM 2011 V3 30 05 2011" xfId="719"/>
    <cellStyle name="s_Valuation _Actualisation provision contrat déficitaire SNCM 2011 V3 30 05 2011_B14_E2_2210" xfId="3043"/>
    <cellStyle name="s_Valuation _Actualisation provision contrat déficitaire SNCM 2011 V3 30 05 2011_B14_E2_2210_Bridge_Zone_Sud" xfId="3044"/>
    <cellStyle name="s_Valuation _Actualisation provision contrat déficitaire SNCM 2011 V3 30 05 2011_Bridge_Zone_Sud" xfId="3045"/>
    <cellStyle name="s_Valuation _Actualisation provision contrat déficitaire SNCM 2011 V3 30 05 2011_CAPEM BY COUNTRY" xfId="3046"/>
    <cellStyle name="s_Valuation _Actualisation provision contrat déficitaire SNCM 2011 V3 30 05 2011_focus par entités CAFOPE2AMF" xfId="3047"/>
    <cellStyle name="s_Valuation _Actualisation provision contrat déficitaire SNCM 2011 V3 30 05 2011_focus par entités CAFOPE2AMF_Bridge_Zone_Sud" xfId="3048"/>
    <cellStyle name="s_Valuation _Actualisation provision contrat déficitaire SNCM 2011 V3 30 05 2011_Maquette PLT" xfId="3049"/>
    <cellStyle name="s_Valuation _Actualisation provision contrat déficitaire SNCM 2011 V3 30 05 2011_Output" xfId="3458"/>
    <cellStyle name="s_Valuation _Actualisation provision contrat déficitaire SNCM 2011 V3 30 05 2011_PAO-CAF-RESOP_04_13_pro_format_variante T1" xfId="3050"/>
    <cellStyle name="s_Valuation _Actualisation provision contrat déficitaire SNCM 2011 V3 30 05 2011_PAO-CAF-RESOP_04_13_pro_format_variante T1_B14_E2_2210" xfId="3051"/>
    <cellStyle name="s_Valuation _Actualisation provision contrat déficitaire SNCM 2011 V3 30 05 2011_PAO-CAF-RESOP_04_13_pro_format_variante T1_B14_E2_2210_Bridge_Zone_Sud" xfId="3052"/>
    <cellStyle name="s_Valuation _Actualisation provision contrat déficitaire SNCM 2011 V3 30 05 2011_PAO-CAF-RESOP_04_13_pro_format_variante T1_Bridge_Zone_Sud" xfId="3053"/>
    <cellStyle name="s_Valuation _Actualisation provision contrat déficitaire SNCM 2011 V3 30 05 2011_PAO-CAF-RESOP_06_13" xfId="3054"/>
    <cellStyle name="s_Valuation _Actualisation provision contrat déficitaire SNCM 2011 V3 30 05 2011_PAO-CAF-RESOP_06_13_B14_E2_2210" xfId="3055"/>
    <cellStyle name="s_Valuation _Actualisation provision contrat déficitaire SNCM 2011 V3 30 05 2011_PAO-CAF-RESOP_06_13_B14_E2_2210_Bridge_Zone_Sud" xfId="3056"/>
    <cellStyle name="s_Valuation _Actualisation provision contrat déficitaire SNCM 2011 V3 30 05 2011_PAO-CAF-RESOP_06_13_Bridge_Zone_Sud" xfId="3057"/>
    <cellStyle name="s_Valuation _Actualisation provision contrat déficitaire SNCM 2011 V3 30 05 2011_PAO-CAF-RESOP_08_13" xfId="3058"/>
    <cellStyle name="s_Valuation _Actualisation provision contrat déficitaire SNCM 2011 V3 30 05 2011_PAO-CAF-RESOP_08_13_B14_E2_2210" xfId="3059"/>
    <cellStyle name="s_Valuation _Actualisation provision contrat déficitaire SNCM 2011 V3 30 05 2011_PAO-CAF-RESOP_08_13_B14_E2_2210_Bridge_Zone_Sud" xfId="3060"/>
    <cellStyle name="s_Valuation _Actualisation provision contrat déficitaire SNCM 2011 V3 30 05 2011_PAO-CAF-RESOP_08_13_Bridge_Zone_Sud" xfId="3061"/>
    <cellStyle name="s_Valuation _Actualisation provision contrat déficitaire SNCM 2011 V3 30 05 2011_PAO-CAF-RESOP_09_13" xfId="3062"/>
    <cellStyle name="s_Valuation _Actualisation provision contrat déficitaire SNCM 2011 V3 30 05 2011_PAO-CAF-RESOP_09_13_Bridge_Zone_Sud" xfId="3063"/>
    <cellStyle name="s_Valuation _Actualisation provision contrat déficitaire SNCM 2011 V3 30 05 2011_PAO-CAF-RESOP_09_2013_Zone_IDF (version 2)" xfId="3064"/>
    <cellStyle name="s_Valuation _Actualisation provision contrat déficitaire SNCM 2011 V3 30 05 2011_PAO-CAF-RESOP_10_12" xfId="3065"/>
    <cellStyle name="s_Valuation _Actualisation provision contrat déficitaire SNCM 2011 V3 30 05 2011_PAO-CAF-RESOP_10_12_Bridge_Zone_Sud" xfId="3066"/>
    <cellStyle name="s_Valuation _Actualisation provision contrat déficitaire SNCM 2011 V3 30 05 2011_PAO-CAF-RESOP_10_12_focus par entités CAFOP" xfId="3067"/>
    <cellStyle name="s_Valuation _Actualisation provision contrat déficitaire SNCM 2011 V3 30 05 2011_PAO-CAF-RESOP_10_12_focus par entités CAFOP_Bridge_Zone_Sud" xfId="3068"/>
    <cellStyle name="s_Valuation _Actualisation provision contrat déficitaire SNCM 2011 V3 30 05 2011_PAO-CAF-RESOP_11_13" xfId="3069"/>
    <cellStyle name="s_Valuation _Actualisation provision contrat déficitaire SNCM 2011 V3 30 05 2011_PAO-CAF-RESOP_B13" xfId="3070"/>
    <cellStyle name="s_Valuation _Actualisation provision contrat déficitaire SNCM 2011 V3 30 05 2011_PAO-CAF-RESOP_B13_Bridge_Zone_Sud" xfId="3071"/>
    <cellStyle name="s_Valuation _Actualisation provision contrat déficitaire SNCM 2011 V3 30 05 2011_PAO-CAF-RESOP_B13_focus par entités CAFOP" xfId="3072"/>
    <cellStyle name="s_Valuation _Actualisation provision contrat déficitaire SNCM 2011 V3 30 05 2011_PAO-CAF-RESOP_B13_focus par entités CAFOP_Bridge_Zone_Sud" xfId="3073"/>
    <cellStyle name="s_Valuation _Actualisation provision contrat déficitaire SNCM 2011 V3 30 05 2011_PAO-CAF-RESOP_B2014" xfId="3074"/>
    <cellStyle name="s_Valuation _Actualisation provision contrat déficitaire SNCM 2011 V3 30 05 2011_PAO-CAF-RESOP_B2014_Bridge_Zone_Sud" xfId="3075"/>
    <cellStyle name="s_Valuation _Actualisation provision contrat déficitaire SNCM 2011 V3 30 05 2011_PAO-CAF-RESOP_B2014_v2" xfId="3076"/>
    <cellStyle name="s_Valuation _Actualisation provision contrat déficitaire SNCM 2011 V3 30 05 2011_PAO-CAF-RESOP_E2_13" xfId="3077"/>
    <cellStyle name="s_Valuation _Actualisation provision contrat déficitaire SNCM 2011 V3 30 05 2011_PAO-CAF-RESOP_E2_13_B14_E2_2210" xfId="3078"/>
    <cellStyle name="s_Valuation _Actualisation provision contrat déficitaire SNCM 2011 V3 30 05 2011_PAO-CAF-RESOP_E2_13_B14_E2_2210_Bridge_Zone_Sud" xfId="3079"/>
    <cellStyle name="s_Valuation _Actualisation provision contrat déficitaire SNCM 2011 V3 30 05 2011_PAO-CAF-RESOP_E2_13_Bridge_Zone_Sud" xfId="3080"/>
    <cellStyle name="s_Valuation _Actualisation provision contrat déficitaire SNCM 2011 V3 30 05 2011_PAO-CAF-RESOP_E2_2013_03_10_19H" xfId="3081"/>
    <cellStyle name="s_Valuation _Actualisation provision contrat déficitaire SNCM 2011 V3 30 05 2011_PAO-CAF-RESOP_E2_2013_03_10_19H_Bridge_Zone_Sud" xfId="3082"/>
    <cellStyle name="s_Valuation _Actualisation provision contrat déficitaire SNCM 2011 V3 30 05 2011_PPA" xfId="3083"/>
    <cellStyle name="s_Valuation _Actualisation provision contrat déficitaire SNCM 2011 V3 30 05 2011_RESOP bef CICE&amp;PPA&amp;RepartHO" xfId="3084"/>
    <cellStyle name="s_Valuation _Actualisation provision contrat déficitaire SNCM 2011 V3 30 05 2011_Synthèse_Présentation_conso_retraitée" xfId="3085"/>
    <cellStyle name="s_Valuation _B14_E2_2210" xfId="3086"/>
    <cellStyle name="s_Valuation _B14_E2_2210_Bridge_Zone_Sud" xfId="3087"/>
    <cellStyle name="s_Valuation _BFR_TD_2014.02" xfId="3088"/>
    <cellStyle name="s_Valuation _Bridge_Zone_Nord" xfId="3089"/>
    <cellStyle name="s_Valuation _CAPEM BY COUNTRY" xfId="3090"/>
    <cellStyle name="s_Valuation _LI819L_B13" xfId="720"/>
    <cellStyle name="s_Valuation _LI819L_B13_CAPEM BY COUNTRY" xfId="3091"/>
    <cellStyle name="s_Valuation _LI819L_B13_Maquette PLT" xfId="3092"/>
    <cellStyle name="s_Valuation _LI819L_B13_Output" xfId="3459"/>
    <cellStyle name="s_Valuation _LI819L_B13_PPA" xfId="3093"/>
    <cellStyle name="s_Valuation _LI819L_B13_RESOP bef CICE&amp;PPA&amp;RepartHO" xfId="3094"/>
    <cellStyle name="s_Valuation _Maquette PLT" xfId="3095"/>
    <cellStyle name="s_Valuation _Output" xfId="3460"/>
    <cellStyle name="s_Valuation _PAO-CAF-RESOP_14_01_13 à 20h" xfId="721"/>
    <cellStyle name="s_Valuation _PAO-CAF-RESOP_14_01_13 à 20h_CAPEM BY COUNTRY" xfId="3096"/>
    <cellStyle name="s_Valuation _PAO-CAF-RESOP_14_01_13 à 20h_Maquette PLT" xfId="3097"/>
    <cellStyle name="s_Valuation _PAO-CAF-RESOP_14_01_13 à 20h_Output" xfId="3461"/>
    <cellStyle name="s_Valuation _PAO-CAF-RESOP_14_01_13 à 20h_PPA" xfId="3098"/>
    <cellStyle name="s_Valuation _PAO-CAF-RESOP_14_01_13 à 20h_RESOP bef CICE&amp;PPA&amp;RepartHO" xfId="3099"/>
    <cellStyle name="s_Valuation _PAO-CAF-RESOP_2014.02" xfId="3100"/>
    <cellStyle name="s_Valuation _PAO-CAF-RESOP_2014.02_Bridge_Zone_Sud" xfId="3101"/>
    <cellStyle name="s_Valuation _PPA" xfId="3102"/>
    <cellStyle name="s_Valuation _RESOP bef CICE&amp;PPA&amp;RepartHO" xfId="3103"/>
    <cellStyle name="SAPBEXHLevel1" xfId="722"/>
    <cellStyle name="SAPBEXstdData" xfId="723"/>
    <cellStyle name="Satisfaisant 2" xfId="724"/>
    <cellStyle name="Shading" xfId="725"/>
    <cellStyle name="Single Cell Column Heading" xfId="726"/>
    <cellStyle name="Smart Bold" xfId="3104"/>
    <cellStyle name="Smart Forecast" xfId="3105"/>
    <cellStyle name="Smart General" xfId="3106"/>
    <cellStyle name="Smart Highlight" xfId="3107"/>
    <cellStyle name="Smart Percent" xfId="3108"/>
    <cellStyle name="Smart Source" xfId="3109"/>
    <cellStyle name="Smart Subtitle 1" xfId="3110"/>
    <cellStyle name="Smart Subtitle 2" xfId="3111"/>
    <cellStyle name="Smart Subtotal" xfId="3112"/>
    <cellStyle name="Smart Title" xfId="3113"/>
    <cellStyle name="Smart Total" xfId="3114"/>
    <cellStyle name="Sortie 2" xfId="727"/>
    <cellStyle name="Standaard 2" xfId="728"/>
    <cellStyle name="Standaard 2 2 10" xfId="3115"/>
    <cellStyle name="Standaard 2 2 10 2" xfId="3116"/>
    <cellStyle name="Standaard 2_CAPEX" xfId="3117"/>
    <cellStyle name="Standaard_Blad1" xfId="729"/>
    <cellStyle name="Standard__Utopia Index Index und Guidance (Deutsch)" xfId="730"/>
    <cellStyle name="Style 1" xfId="731"/>
    <cellStyle name="STYLE1" xfId="732"/>
    <cellStyle name="STYLE1 2" xfId="733"/>
    <cellStyle name="STYLE2" xfId="734"/>
    <cellStyle name="STYLE2 2" xfId="735"/>
    <cellStyle name="STYLE3" xfId="736"/>
    <cellStyle name="STYLE3 2" xfId="737"/>
    <cellStyle name="STYLE4" xfId="738"/>
    <cellStyle name="STYLE4 2" xfId="739"/>
    <cellStyle name="STYLE5" xfId="740"/>
    <cellStyle name="STYLE5 2" xfId="741"/>
    <cellStyle name="STYLE6" xfId="742"/>
    <cellStyle name="STYLE6 2" xfId="743"/>
    <cellStyle name="STYLE7" xfId="744"/>
    <cellStyle name="STYLE7 2" xfId="745"/>
    <cellStyle name="STYLE8" xfId="746"/>
    <cellStyle name="STYLE8 2" xfId="747"/>
    <cellStyle name="STYLE9" xfId="748"/>
    <cellStyle name="STYLE9 2" xfId="749"/>
    <cellStyle name="t" xfId="750"/>
    <cellStyle name="t_Actualisation provision contrat déficitaire SNCM 2010 V Def" xfId="751"/>
    <cellStyle name="t_Actualisation provision contrat déficitaire SNCM 2010 V Def_B14_E2_2210" xfId="3118"/>
    <cellStyle name="t_Actualisation provision contrat déficitaire SNCM 2010 V Def_B14_E2_2210_Bridge_Zone_Sud" xfId="3119"/>
    <cellStyle name="t_Actualisation provision contrat déficitaire SNCM 2010 V Def_Bridge_Zone_Sud" xfId="3120"/>
    <cellStyle name="t_Actualisation provision contrat déficitaire SNCM 2010 V Def_CAPEM BY COUNTRY" xfId="3121"/>
    <cellStyle name="t_Actualisation provision contrat déficitaire SNCM 2010 V Def_focus par entités CAFOPE2AMF" xfId="3122"/>
    <cellStyle name="t_Actualisation provision contrat déficitaire SNCM 2010 V Def_focus par entités CAFOPE2AMF_Bridge_Zone_Sud" xfId="3123"/>
    <cellStyle name="t_Actualisation provision contrat déficitaire SNCM 2010 V Def_Maquette PLT" xfId="3124"/>
    <cellStyle name="t_Actualisation provision contrat déficitaire SNCM 2010 V Def_Output" xfId="3462"/>
    <cellStyle name="t_Actualisation provision contrat déficitaire SNCM 2010 V Def_PAO-CAF-RESOP_04_13_pro_format_variante T1" xfId="3125"/>
    <cellStyle name="t_Actualisation provision contrat déficitaire SNCM 2010 V Def_PAO-CAF-RESOP_04_13_pro_format_variante T1_B14_E2_2210" xfId="3126"/>
    <cellStyle name="t_Actualisation provision contrat déficitaire SNCM 2010 V Def_PAO-CAF-RESOP_04_13_pro_format_variante T1_B14_E2_2210_Bridge_Zone_Sud" xfId="3127"/>
    <cellStyle name="t_Actualisation provision contrat déficitaire SNCM 2010 V Def_PAO-CAF-RESOP_04_13_pro_format_variante T1_Bridge_Zone_Sud" xfId="3128"/>
    <cellStyle name="t_Actualisation provision contrat déficitaire SNCM 2010 V Def_PAO-CAF-RESOP_06_13" xfId="3129"/>
    <cellStyle name="t_Actualisation provision contrat déficitaire SNCM 2010 V Def_PAO-CAF-RESOP_06_13_B14_E2_2210" xfId="3130"/>
    <cellStyle name="t_Actualisation provision contrat déficitaire SNCM 2010 V Def_PAO-CAF-RESOP_06_13_B14_E2_2210_Bridge_Zone_Sud" xfId="3131"/>
    <cellStyle name="t_Actualisation provision contrat déficitaire SNCM 2010 V Def_PAO-CAF-RESOP_06_13_Bridge_Zone_Sud" xfId="3132"/>
    <cellStyle name="t_Actualisation provision contrat déficitaire SNCM 2010 V Def_PAO-CAF-RESOP_08_13" xfId="3133"/>
    <cellStyle name="t_Actualisation provision contrat déficitaire SNCM 2010 V Def_PAO-CAF-RESOP_08_13_B14_E2_2210" xfId="3134"/>
    <cellStyle name="t_Actualisation provision contrat déficitaire SNCM 2010 V Def_PAO-CAF-RESOP_08_13_B14_E2_2210_Bridge_Zone_Sud" xfId="3135"/>
    <cellStyle name="t_Actualisation provision contrat déficitaire SNCM 2010 V Def_PAO-CAF-RESOP_08_13_Bridge_Zone_Sud" xfId="3136"/>
    <cellStyle name="t_Actualisation provision contrat déficitaire SNCM 2010 V Def_PAO-CAF-RESOP_09_13" xfId="3137"/>
    <cellStyle name="t_Actualisation provision contrat déficitaire SNCM 2010 V Def_PAO-CAF-RESOP_09_13_Bridge_Zone_Sud" xfId="3138"/>
    <cellStyle name="t_Actualisation provision contrat déficitaire SNCM 2010 V Def_PAO-CAF-RESOP_09_2013_Zone_IDF (version 2)" xfId="3139"/>
    <cellStyle name="t_Actualisation provision contrat déficitaire SNCM 2010 V Def_PAO-CAF-RESOP_10_12" xfId="3140"/>
    <cellStyle name="t_Actualisation provision contrat déficitaire SNCM 2010 V Def_PAO-CAF-RESOP_10_12_Bridge_Zone_Sud" xfId="3141"/>
    <cellStyle name="t_Actualisation provision contrat déficitaire SNCM 2010 V Def_PAO-CAF-RESOP_10_12_focus par entités CAFOP" xfId="3142"/>
    <cellStyle name="t_Actualisation provision contrat déficitaire SNCM 2010 V Def_PAO-CAF-RESOP_10_12_focus par entités CAFOP_Bridge_Zone_Sud" xfId="3143"/>
    <cellStyle name="t_Actualisation provision contrat déficitaire SNCM 2010 V Def_PAO-CAF-RESOP_11_13" xfId="3144"/>
    <cellStyle name="t_Actualisation provision contrat déficitaire SNCM 2010 V Def_PAO-CAF-RESOP_B13" xfId="3145"/>
    <cellStyle name="t_Actualisation provision contrat déficitaire SNCM 2010 V Def_PAO-CAF-RESOP_B13_Bridge_Zone_Sud" xfId="3146"/>
    <cellStyle name="t_Actualisation provision contrat déficitaire SNCM 2010 V Def_PAO-CAF-RESOP_B13_focus par entités CAFOP" xfId="3147"/>
    <cellStyle name="t_Actualisation provision contrat déficitaire SNCM 2010 V Def_PAO-CAF-RESOP_B13_focus par entités CAFOP_Bridge_Zone_Sud" xfId="3148"/>
    <cellStyle name="t_Actualisation provision contrat déficitaire SNCM 2010 V Def_PAO-CAF-RESOP_B2014" xfId="3149"/>
    <cellStyle name="t_Actualisation provision contrat déficitaire SNCM 2010 V Def_PAO-CAF-RESOP_B2014_Bridge_Zone_Sud" xfId="3150"/>
    <cellStyle name="t_Actualisation provision contrat déficitaire SNCM 2010 V Def_PAO-CAF-RESOP_B2014_v2" xfId="3151"/>
    <cellStyle name="t_Actualisation provision contrat déficitaire SNCM 2010 V Def_PAO-CAF-RESOP_E2_13" xfId="3152"/>
    <cellStyle name="t_Actualisation provision contrat déficitaire SNCM 2010 V Def_PAO-CAF-RESOP_E2_13_B14_E2_2210" xfId="3153"/>
    <cellStyle name="t_Actualisation provision contrat déficitaire SNCM 2010 V Def_PAO-CAF-RESOP_E2_13_B14_E2_2210_Bridge_Zone_Sud" xfId="3154"/>
    <cellStyle name="t_Actualisation provision contrat déficitaire SNCM 2010 V Def_PAO-CAF-RESOP_E2_13_Bridge_Zone_Sud" xfId="3155"/>
    <cellStyle name="t_Actualisation provision contrat déficitaire SNCM 2010 V Def_PAO-CAF-RESOP_E2_2013_03_10_19H" xfId="3156"/>
    <cellStyle name="t_Actualisation provision contrat déficitaire SNCM 2010 V Def_PAO-CAF-RESOP_E2_2013_03_10_19H_Bridge_Zone_Sud" xfId="3157"/>
    <cellStyle name="t_Actualisation provision contrat déficitaire SNCM 2010 V Def_PPA" xfId="3158"/>
    <cellStyle name="t_Actualisation provision contrat déficitaire SNCM 2010 V Def_RESOP bef CICE&amp;PPA&amp;RepartHO" xfId="3159"/>
    <cellStyle name="t_Actualisation provision contrat déficitaire SNCM 2010 V Def_Synthèse_Présentation_conso_retraitée" xfId="3160"/>
    <cellStyle name="t_Actualisation provision contrat déficitaire SNCM 2011 V3 30 05 2011" xfId="752"/>
    <cellStyle name="t_Actualisation provision contrat déficitaire SNCM 2011 V3 30 05 2011_B14_E2_2210" xfId="3161"/>
    <cellStyle name="t_Actualisation provision contrat déficitaire SNCM 2011 V3 30 05 2011_B14_E2_2210_Bridge_Zone_Sud" xfId="3162"/>
    <cellStyle name="t_Actualisation provision contrat déficitaire SNCM 2011 V3 30 05 2011_Bridge_Zone_Sud" xfId="3163"/>
    <cellStyle name="t_Actualisation provision contrat déficitaire SNCM 2011 V3 30 05 2011_CAPEM BY COUNTRY" xfId="3164"/>
    <cellStyle name="t_Actualisation provision contrat déficitaire SNCM 2011 V3 30 05 2011_focus par entités CAFOPE2AMF" xfId="3165"/>
    <cellStyle name="t_Actualisation provision contrat déficitaire SNCM 2011 V3 30 05 2011_focus par entités CAFOPE2AMF_Bridge_Zone_Sud" xfId="3166"/>
    <cellStyle name="t_Actualisation provision contrat déficitaire SNCM 2011 V3 30 05 2011_Maquette PLT" xfId="3167"/>
    <cellStyle name="t_Actualisation provision contrat déficitaire SNCM 2011 V3 30 05 2011_Output" xfId="3463"/>
    <cellStyle name="t_Actualisation provision contrat déficitaire SNCM 2011 V3 30 05 2011_PAO-CAF-RESOP_04_13_pro_format_variante T1" xfId="3168"/>
    <cellStyle name="t_Actualisation provision contrat déficitaire SNCM 2011 V3 30 05 2011_PAO-CAF-RESOP_04_13_pro_format_variante T1_B14_E2_2210" xfId="3169"/>
    <cellStyle name="t_Actualisation provision contrat déficitaire SNCM 2011 V3 30 05 2011_PAO-CAF-RESOP_04_13_pro_format_variante T1_B14_E2_2210_Bridge_Zone_Sud" xfId="3170"/>
    <cellStyle name="t_Actualisation provision contrat déficitaire SNCM 2011 V3 30 05 2011_PAO-CAF-RESOP_04_13_pro_format_variante T1_Bridge_Zone_Sud" xfId="3171"/>
    <cellStyle name="t_Actualisation provision contrat déficitaire SNCM 2011 V3 30 05 2011_PAO-CAF-RESOP_06_13" xfId="3172"/>
    <cellStyle name="t_Actualisation provision contrat déficitaire SNCM 2011 V3 30 05 2011_PAO-CAF-RESOP_06_13_B14_E2_2210" xfId="3173"/>
    <cellStyle name="t_Actualisation provision contrat déficitaire SNCM 2011 V3 30 05 2011_PAO-CAF-RESOP_06_13_B14_E2_2210_Bridge_Zone_Sud" xfId="3174"/>
    <cellStyle name="t_Actualisation provision contrat déficitaire SNCM 2011 V3 30 05 2011_PAO-CAF-RESOP_06_13_Bridge_Zone_Sud" xfId="3175"/>
    <cellStyle name="t_Actualisation provision contrat déficitaire SNCM 2011 V3 30 05 2011_PAO-CAF-RESOP_08_13" xfId="3176"/>
    <cellStyle name="t_Actualisation provision contrat déficitaire SNCM 2011 V3 30 05 2011_PAO-CAF-RESOP_08_13_B14_E2_2210" xfId="3177"/>
    <cellStyle name="t_Actualisation provision contrat déficitaire SNCM 2011 V3 30 05 2011_PAO-CAF-RESOP_08_13_B14_E2_2210_Bridge_Zone_Sud" xfId="3178"/>
    <cellStyle name="t_Actualisation provision contrat déficitaire SNCM 2011 V3 30 05 2011_PAO-CAF-RESOP_08_13_Bridge_Zone_Sud" xfId="3179"/>
    <cellStyle name="t_Actualisation provision contrat déficitaire SNCM 2011 V3 30 05 2011_PAO-CAF-RESOP_09_13" xfId="3180"/>
    <cellStyle name="t_Actualisation provision contrat déficitaire SNCM 2011 V3 30 05 2011_PAO-CAF-RESOP_09_13_Bridge_Zone_Sud" xfId="3181"/>
    <cellStyle name="t_Actualisation provision contrat déficitaire SNCM 2011 V3 30 05 2011_PAO-CAF-RESOP_09_2013_Zone_IDF (version 2)" xfId="3182"/>
    <cellStyle name="t_Actualisation provision contrat déficitaire SNCM 2011 V3 30 05 2011_PAO-CAF-RESOP_10_12" xfId="3183"/>
    <cellStyle name="t_Actualisation provision contrat déficitaire SNCM 2011 V3 30 05 2011_PAO-CAF-RESOP_10_12_Bridge_Zone_Sud" xfId="3184"/>
    <cellStyle name="t_Actualisation provision contrat déficitaire SNCM 2011 V3 30 05 2011_PAO-CAF-RESOP_10_12_focus par entités CAFOP" xfId="3185"/>
    <cellStyle name="t_Actualisation provision contrat déficitaire SNCM 2011 V3 30 05 2011_PAO-CAF-RESOP_10_12_focus par entités CAFOP_Bridge_Zone_Sud" xfId="3186"/>
    <cellStyle name="t_Actualisation provision contrat déficitaire SNCM 2011 V3 30 05 2011_PAO-CAF-RESOP_11_13" xfId="3187"/>
    <cellStyle name="t_Actualisation provision contrat déficitaire SNCM 2011 V3 30 05 2011_PAO-CAF-RESOP_B13" xfId="3188"/>
    <cellStyle name="t_Actualisation provision contrat déficitaire SNCM 2011 V3 30 05 2011_PAO-CAF-RESOP_B13_Bridge_Zone_Sud" xfId="3189"/>
    <cellStyle name="t_Actualisation provision contrat déficitaire SNCM 2011 V3 30 05 2011_PAO-CAF-RESOP_B13_focus par entités CAFOP" xfId="3190"/>
    <cellStyle name="t_Actualisation provision contrat déficitaire SNCM 2011 V3 30 05 2011_PAO-CAF-RESOP_B13_focus par entités CAFOP_Bridge_Zone_Sud" xfId="3191"/>
    <cellStyle name="t_Actualisation provision contrat déficitaire SNCM 2011 V3 30 05 2011_PAO-CAF-RESOP_B2014" xfId="3192"/>
    <cellStyle name="t_Actualisation provision contrat déficitaire SNCM 2011 V3 30 05 2011_PAO-CAF-RESOP_B2014_Bridge_Zone_Sud" xfId="3193"/>
    <cellStyle name="t_Actualisation provision contrat déficitaire SNCM 2011 V3 30 05 2011_PAO-CAF-RESOP_B2014_v2" xfId="3194"/>
    <cellStyle name="t_Actualisation provision contrat déficitaire SNCM 2011 V3 30 05 2011_PAO-CAF-RESOP_E2_13" xfId="3195"/>
    <cellStyle name="t_Actualisation provision contrat déficitaire SNCM 2011 V3 30 05 2011_PAO-CAF-RESOP_E2_13_B14_E2_2210" xfId="3196"/>
    <cellStyle name="t_Actualisation provision contrat déficitaire SNCM 2011 V3 30 05 2011_PAO-CAF-RESOP_E2_13_B14_E2_2210_Bridge_Zone_Sud" xfId="3197"/>
    <cellStyle name="t_Actualisation provision contrat déficitaire SNCM 2011 V3 30 05 2011_PAO-CAF-RESOP_E2_13_Bridge_Zone_Sud" xfId="3198"/>
    <cellStyle name="t_Actualisation provision contrat déficitaire SNCM 2011 V3 30 05 2011_PAO-CAF-RESOP_E2_2013_03_10_19H" xfId="3199"/>
    <cellStyle name="t_Actualisation provision contrat déficitaire SNCM 2011 V3 30 05 2011_PAO-CAF-RESOP_E2_2013_03_10_19H_Bridge_Zone_Sud" xfId="3200"/>
    <cellStyle name="t_Actualisation provision contrat déficitaire SNCM 2011 V3 30 05 2011_PPA" xfId="3201"/>
    <cellStyle name="t_Actualisation provision contrat déficitaire SNCM 2011 V3 30 05 2011_RESOP bef CICE&amp;PPA&amp;RepartHO" xfId="3202"/>
    <cellStyle name="t_Actualisation provision contrat déficitaire SNCM 2011 V3 30 05 2011_Synthèse_Présentation_conso_retraitée" xfId="3203"/>
    <cellStyle name="t_B14_E2_2210" xfId="3204"/>
    <cellStyle name="t_B14_E2_2210_Bridge_Zone_Sud" xfId="3205"/>
    <cellStyle name="t_BFR_TD_2014.02" xfId="3206"/>
    <cellStyle name="t_Bridge_Zone_Nord" xfId="3207"/>
    <cellStyle name="t_CAPEM BY COUNTRY" xfId="3208"/>
    <cellStyle name="t_LI819L_B13" xfId="753"/>
    <cellStyle name="t_LI819L_B13_CAPEM BY COUNTRY" xfId="3209"/>
    <cellStyle name="t_LI819L_B13_Maquette PLT" xfId="3210"/>
    <cellStyle name="t_LI819L_B13_Output" xfId="3464"/>
    <cellStyle name="t_LI819L_B13_PPA" xfId="3211"/>
    <cellStyle name="t_LI819L_B13_RESOP bef CICE&amp;PPA&amp;RepartHO" xfId="3212"/>
    <cellStyle name="t_Manager" xfId="754"/>
    <cellStyle name="t_Manager_Actualisation provision contrat déficitaire SNCM 2010 V Def" xfId="755"/>
    <cellStyle name="t_Manager_Actualisation provision contrat déficitaire SNCM 2010 V Def_B14_E2_2210" xfId="3213"/>
    <cellStyle name="t_Manager_Actualisation provision contrat déficitaire SNCM 2010 V Def_B14_E2_2210_Bridge_Zone_Sud" xfId="3214"/>
    <cellStyle name="t_Manager_Actualisation provision contrat déficitaire SNCM 2010 V Def_Bridge_Zone_Sud" xfId="3215"/>
    <cellStyle name="t_Manager_Actualisation provision contrat déficitaire SNCM 2010 V Def_CAPEM BY COUNTRY" xfId="3216"/>
    <cellStyle name="t_Manager_Actualisation provision contrat déficitaire SNCM 2010 V Def_focus par entités CAFOPE2AMF" xfId="3217"/>
    <cellStyle name="t_Manager_Actualisation provision contrat déficitaire SNCM 2010 V Def_focus par entités CAFOPE2AMF_Bridge_Zone_Sud" xfId="3218"/>
    <cellStyle name="t_Manager_Actualisation provision contrat déficitaire SNCM 2010 V Def_Maquette PLT" xfId="3219"/>
    <cellStyle name="t_Manager_Actualisation provision contrat déficitaire SNCM 2010 V Def_Output" xfId="3465"/>
    <cellStyle name="t_Manager_Actualisation provision contrat déficitaire SNCM 2010 V Def_PAO-CAF-RESOP_04_13_pro_format_variante T1" xfId="3220"/>
    <cellStyle name="t_Manager_Actualisation provision contrat déficitaire SNCM 2010 V Def_PAO-CAF-RESOP_04_13_pro_format_variante T1_B14_E2_2210" xfId="3221"/>
    <cellStyle name="t_Manager_Actualisation provision contrat déficitaire SNCM 2010 V Def_PAO-CAF-RESOP_04_13_pro_format_variante T1_B14_E2_2210_Bridge_Zone_Sud" xfId="3222"/>
    <cellStyle name="t_Manager_Actualisation provision contrat déficitaire SNCM 2010 V Def_PAO-CAF-RESOP_04_13_pro_format_variante T1_Bridge_Zone_Sud" xfId="3223"/>
    <cellStyle name="t_Manager_Actualisation provision contrat déficitaire SNCM 2010 V Def_PAO-CAF-RESOP_06_13" xfId="3224"/>
    <cellStyle name="t_Manager_Actualisation provision contrat déficitaire SNCM 2010 V Def_PAO-CAF-RESOP_06_13_B14_E2_2210" xfId="3225"/>
    <cellStyle name="t_Manager_Actualisation provision contrat déficitaire SNCM 2010 V Def_PAO-CAF-RESOP_06_13_B14_E2_2210_Bridge_Zone_Sud" xfId="3226"/>
    <cellStyle name="t_Manager_Actualisation provision contrat déficitaire SNCM 2010 V Def_PAO-CAF-RESOP_06_13_Bridge_Zone_Sud" xfId="3227"/>
    <cellStyle name="t_Manager_Actualisation provision contrat déficitaire SNCM 2010 V Def_PAO-CAF-RESOP_08_13" xfId="3228"/>
    <cellStyle name="t_Manager_Actualisation provision contrat déficitaire SNCM 2010 V Def_PAO-CAF-RESOP_08_13_B14_E2_2210" xfId="3229"/>
    <cellStyle name="t_Manager_Actualisation provision contrat déficitaire SNCM 2010 V Def_PAO-CAF-RESOP_08_13_B14_E2_2210_Bridge_Zone_Sud" xfId="3230"/>
    <cellStyle name="t_Manager_Actualisation provision contrat déficitaire SNCM 2010 V Def_PAO-CAF-RESOP_08_13_Bridge_Zone_Sud" xfId="3231"/>
    <cellStyle name="t_Manager_Actualisation provision contrat déficitaire SNCM 2010 V Def_PAO-CAF-RESOP_09_13" xfId="3232"/>
    <cellStyle name="t_Manager_Actualisation provision contrat déficitaire SNCM 2010 V Def_PAO-CAF-RESOP_09_13_Bridge_Zone_Sud" xfId="3233"/>
    <cellStyle name="t_Manager_Actualisation provision contrat déficitaire SNCM 2010 V Def_PAO-CAF-RESOP_09_2013_Zone_IDF (version 2)" xfId="3234"/>
    <cellStyle name="t_Manager_Actualisation provision contrat déficitaire SNCM 2010 V Def_PAO-CAF-RESOP_10_12" xfId="3235"/>
    <cellStyle name="t_Manager_Actualisation provision contrat déficitaire SNCM 2010 V Def_PAO-CAF-RESOP_10_12_Bridge_Zone_Sud" xfId="3236"/>
    <cellStyle name="t_Manager_Actualisation provision contrat déficitaire SNCM 2010 V Def_PAO-CAF-RESOP_10_12_focus par entités CAFOP" xfId="3237"/>
    <cellStyle name="t_Manager_Actualisation provision contrat déficitaire SNCM 2010 V Def_PAO-CAF-RESOP_10_12_focus par entités CAFOP_Bridge_Zone_Sud" xfId="3238"/>
    <cellStyle name="t_Manager_Actualisation provision contrat déficitaire SNCM 2010 V Def_PAO-CAF-RESOP_11_13" xfId="3239"/>
    <cellStyle name="t_Manager_Actualisation provision contrat déficitaire SNCM 2010 V Def_PAO-CAF-RESOP_B13" xfId="3240"/>
    <cellStyle name="t_Manager_Actualisation provision contrat déficitaire SNCM 2010 V Def_PAO-CAF-RESOP_B13_Bridge_Zone_Sud" xfId="3241"/>
    <cellStyle name="t_Manager_Actualisation provision contrat déficitaire SNCM 2010 V Def_PAO-CAF-RESOP_B13_focus par entités CAFOP" xfId="3242"/>
    <cellStyle name="t_Manager_Actualisation provision contrat déficitaire SNCM 2010 V Def_PAO-CAF-RESOP_B13_focus par entités CAFOP_Bridge_Zone_Sud" xfId="3243"/>
    <cellStyle name="t_Manager_Actualisation provision contrat déficitaire SNCM 2010 V Def_PAO-CAF-RESOP_B2014" xfId="3244"/>
    <cellStyle name="t_Manager_Actualisation provision contrat déficitaire SNCM 2010 V Def_PAO-CAF-RESOP_B2014_Bridge_Zone_Sud" xfId="3245"/>
    <cellStyle name="t_Manager_Actualisation provision contrat déficitaire SNCM 2010 V Def_PAO-CAF-RESOP_B2014_v2" xfId="3246"/>
    <cellStyle name="t_Manager_Actualisation provision contrat déficitaire SNCM 2010 V Def_PAO-CAF-RESOP_E2_13" xfId="3247"/>
    <cellStyle name="t_Manager_Actualisation provision contrat déficitaire SNCM 2010 V Def_PAO-CAF-RESOP_E2_13_B14_E2_2210" xfId="3248"/>
    <cellStyle name="t_Manager_Actualisation provision contrat déficitaire SNCM 2010 V Def_PAO-CAF-RESOP_E2_13_B14_E2_2210_Bridge_Zone_Sud" xfId="3249"/>
    <cellStyle name="t_Manager_Actualisation provision contrat déficitaire SNCM 2010 V Def_PAO-CAF-RESOP_E2_13_Bridge_Zone_Sud" xfId="3250"/>
    <cellStyle name="t_Manager_Actualisation provision contrat déficitaire SNCM 2010 V Def_PAO-CAF-RESOP_E2_2013_03_10_19H" xfId="3251"/>
    <cellStyle name="t_Manager_Actualisation provision contrat déficitaire SNCM 2010 V Def_PAO-CAF-RESOP_E2_2013_03_10_19H_Bridge_Zone_Sud" xfId="3252"/>
    <cellStyle name="t_Manager_Actualisation provision contrat déficitaire SNCM 2010 V Def_PPA" xfId="3253"/>
    <cellStyle name="t_Manager_Actualisation provision contrat déficitaire SNCM 2010 V Def_RESOP bef CICE&amp;PPA&amp;RepartHO" xfId="3254"/>
    <cellStyle name="t_Manager_Actualisation provision contrat déficitaire SNCM 2010 V Def_Synthèse_Présentation_conso_retraitée" xfId="3255"/>
    <cellStyle name="t_Manager_Actualisation provision contrat déficitaire SNCM 2011 V3 30 05 2011" xfId="756"/>
    <cellStyle name="t_Manager_Actualisation provision contrat déficitaire SNCM 2011 V3 30 05 2011_B14_E2_2210" xfId="3256"/>
    <cellStyle name="t_Manager_Actualisation provision contrat déficitaire SNCM 2011 V3 30 05 2011_B14_E2_2210_Bridge_Zone_Sud" xfId="3257"/>
    <cellStyle name="t_Manager_Actualisation provision contrat déficitaire SNCM 2011 V3 30 05 2011_Bridge_Zone_Sud" xfId="3258"/>
    <cellStyle name="t_Manager_Actualisation provision contrat déficitaire SNCM 2011 V3 30 05 2011_CAPEM BY COUNTRY" xfId="3259"/>
    <cellStyle name="t_Manager_Actualisation provision contrat déficitaire SNCM 2011 V3 30 05 2011_focus par entités CAFOPE2AMF" xfId="3260"/>
    <cellStyle name="t_Manager_Actualisation provision contrat déficitaire SNCM 2011 V3 30 05 2011_focus par entités CAFOPE2AMF_Bridge_Zone_Sud" xfId="3261"/>
    <cellStyle name="t_Manager_Actualisation provision contrat déficitaire SNCM 2011 V3 30 05 2011_Maquette PLT" xfId="3262"/>
    <cellStyle name="t_Manager_Actualisation provision contrat déficitaire SNCM 2011 V3 30 05 2011_Output" xfId="3466"/>
    <cellStyle name="t_Manager_Actualisation provision contrat déficitaire SNCM 2011 V3 30 05 2011_PAO-CAF-RESOP_04_13_pro_format_variante T1" xfId="3263"/>
    <cellStyle name="t_Manager_Actualisation provision contrat déficitaire SNCM 2011 V3 30 05 2011_PAO-CAF-RESOP_04_13_pro_format_variante T1_B14_E2_2210" xfId="3264"/>
    <cellStyle name="t_Manager_Actualisation provision contrat déficitaire SNCM 2011 V3 30 05 2011_PAO-CAF-RESOP_04_13_pro_format_variante T1_B14_E2_2210_Bridge_Zone_Sud" xfId="3265"/>
    <cellStyle name="t_Manager_Actualisation provision contrat déficitaire SNCM 2011 V3 30 05 2011_PAO-CAF-RESOP_04_13_pro_format_variante T1_Bridge_Zone_Sud" xfId="3266"/>
    <cellStyle name="t_Manager_Actualisation provision contrat déficitaire SNCM 2011 V3 30 05 2011_PAO-CAF-RESOP_06_13" xfId="3267"/>
    <cellStyle name="t_Manager_Actualisation provision contrat déficitaire SNCM 2011 V3 30 05 2011_PAO-CAF-RESOP_06_13_B14_E2_2210" xfId="3268"/>
    <cellStyle name="t_Manager_Actualisation provision contrat déficitaire SNCM 2011 V3 30 05 2011_PAO-CAF-RESOP_06_13_B14_E2_2210_Bridge_Zone_Sud" xfId="3269"/>
    <cellStyle name="t_Manager_Actualisation provision contrat déficitaire SNCM 2011 V3 30 05 2011_PAO-CAF-RESOP_06_13_Bridge_Zone_Sud" xfId="3270"/>
    <cellStyle name="t_Manager_Actualisation provision contrat déficitaire SNCM 2011 V3 30 05 2011_PAO-CAF-RESOP_08_13" xfId="3271"/>
    <cellStyle name="t_Manager_Actualisation provision contrat déficitaire SNCM 2011 V3 30 05 2011_PAO-CAF-RESOP_08_13_B14_E2_2210" xfId="3272"/>
    <cellStyle name="t_Manager_Actualisation provision contrat déficitaire SNCM 2011 V3 30 05 2011_PAO-CAF-RESOP_08_13_B14_E2_2210_Bridge_Zone_Sud" xfId="3273"/>
    <cellStyle name="t_Manager_Actualisation provision contrat déficitaire SNCM 2011 V3 30 05 2011_PAO-CAF-RESOP_08_13_Bridge_Zone_Sud" xfId="3274"/>
    <cellStyle name="t_Manager_Actualisation provision contrat déficitaire SNCM 2011 V3 30 05 2011_PAO-CAF-RESOP_09_13" xfId="3275"/>
    <cellStyle name="t_Manager_Actualisation provision contrat déficitaire SNCM 2011 V3 30 05 2011_PAO-CAF-RESOP_09_13_Bridge_Zone_Sud" xfId="3276"/>
    <cellStyle name="t_Manager_Actualisation provision contrat déficitaire SNCM 2011 V3 30 05 2011_PAO-CAF-RESOP_09_2013_Zone_IDF (version 2)" xfId="3277"/>
    <cellStyle name="t_Manager_Actualisation provision contrat déficitaire SNCM 2011 V3 30 05 2011_PAO-CAF-RESOP_10_12" xfId="3278"/>
    <cellStyle name="t_Manager_Actualisation provision contrat déficitaire SNCM 2011 V3 30 05 2011_PAO-CAF-RESOP_10_12_Bridge_Zone_Sud" xfId="3279"/>
    <cellStyle name="t_Manager_Actualisation provision contrat déficitaire SNCM 2011 V3 30 05 2011_PAO-CAF-RESOP_10_12_focus par entités CAFOP" xfId="3280"/>
    <cellStyle name="t_Manager_Actualisation provision contrat déficitaire SNCM 2011 V3 30 05 2011_PAO-CAF-RESOP_10_12_focus par entités CAFOP_Bridge_Zone_Sud" xfId="3281"/>
    <cellStyle name="t_Manager_Actualisation provision contrat déficitaire SNCM 2011 V3 30 05 2011_PAO-CAF-RESOP_11_13" xfId="3282"/>
    <cellStyle name="t_Manager_Actualisation provision contrat déficitaire SNCM 2011 V3 30 05 2011_PAO-CAF-RESOP_B13" xfId="3283"/>
    <cellStyle name="t_Manager_Actualisation provision contrat déficitaire SNCM 2011 V3 30 05 2011_PAO-CAF-RESOP_B13_Bridge_Zone_Sud" xfId="3284"/>
    <cellStyle name="t_Manager_Actualisation provision contrat déficitaire SNCM 2011 V3 30 05 2011_PAO-CAF-RESOP_B13_focus par entités CAFOP" xfId="3285"/>
    <cellStyle name="t_Manager_Actualisation provision contrat déficitaire SNCM 2011 V3 30 05 2011_PAO-CAF-RESOP_B13_focus par entités CAFOP_Bridge_Zone_Sud" xfId="3286"/>
    <cellStyle name="t_Manager_Actualisation provision contrat déficitaire SNCM 2011 V3 30 05 2011_PAO-CAF-RESOP_B2014" xfId="3287"/>
    <cellStyle name="t_Manager_Actualisation provision contrat déficitaire SNCM 2011 V3 30 05 2011_PAO-CAF-RESOP_B2014_Bridge_Zone_Sud" xfId="3288"/>
    <cellStyle name="t_Manager_Actualisation provision contrat déficitaire SNCM 2011 V3 30 05 2011_PAO-CAF-RESOP_B2014_v2" xfId="3289"/>
    <cellStyle name="t_Manager_Actualisation provision contrat déficitaire SNCM 2011 V3 30 05 2011_PAO-CAF-RESOP_E2_13" xfId="3290"/>
    <cellStyle name="t_Manager_Actualisation provision contrat déficitaire SNCM 2011 V3 30 05 2011_PAO-CAF-RESOP_E2_13_B14_E2_2210" xfId="3291"/>
    <cellStyle name="t_Manager_Actualisation provision contrat déficitaire SNCM 2011 V3 30 05 2011_PAO-CAF-RESOP_E2_13_B14_E2_2210_Bridge_Zone_Sud" xfId="3292"/>
    <cellStyle name="t_Manager_Actualisation provision contrat déficitaire SNCM 2011 V3 30 05 2011_PAO-CAF-RESOP_E2_13_Bridge_Zone_Sud" xfId="3293"/>
    <cellStyle name="t_Manager_Actualisation provision contrat déficitaire SNCM 2011 V3 30 05 2011_PAO-CAF-RESOP_E2_2013_03_10_19H" xfId="3294"/>
    <cellStyle name="t_Manager_Actualisation provision contrat déficitaire SNCM 2011 V3 30 05 2011_PAO-CAF-RESOP_E2_2013_03_10_19H_Bridge_Zone_Sud" xfId="3295"/>
    <cellStyle name="t_Manager_Actualisation provision contrat déficitaire SNCM 2011 V3 30 05 2011_PPA" xfId="3296"/>
    <cellStyle name="t_Manager_Actualisation provision contrat déficitaire SNCM 2011 V3 30 05 2011_RESOP bef CICE&amp;PPA&amp;RepartHO" xfId="3297"/>
    <cellStyle name="t_Manager_Actualisation provision contrat déficitaire SNCM 2011 V3 30 05 2011_Synthèse_Présentation_conso_retraitée" xfId="3298"/>
    <cellStyle name="t_Manager_B14_E2_2210" xfId="3299"/>
    <cellStyle name="t_Manager_B14_E2_2210_Bridge_Zone_Sud" xfId="3300"/>
    <cellStyle name="t_Manager_BFR_TD_2014.02" xfId="3301"/>
    <cellStyle name="t_Manager_Bridge_Zone_Nord" xfId="3302"/>
    <cellStyle name="t_Manager_CAPEM BY COUNTRY" xfId="3303"/>
    <cellStyle name="t_Manager_LI819L_B13" xfId="757"/>
    <cellStyle name="t_Manager_LI819L_B13_CAPEM BY COUNTRY" xfId="3304"/>
    <cellStyle name="t_Manager_LI819L_B13_Maquette PLT" xfId="3305"/>
    <cellStyle name="t_Manager_LI819L_B13_Output" xfId="3467"/>
    <cellStyle name="t_Manager_LI819L_B13_PPA" xfId="3306"/>
    <cellStyle name="t_Manager_LI819L_B13_RESOP bef CICE&amp;PPA&amp;RepartHO" xfId="3307"/>
    <cellStyle name="t_Manager_Maquette PLT" xfId="3308"/>
    <cellStyle name="t_Manager_Output" xfId="3468"/>
    <cellStyle name="t_Manager_PAO-CAF-RESOP_14_01_13 à 20h" xfId="758"/>
    <cellStyle name="t_Manager_PAO-CAF-RESOP_14_01_13 à 20h_CAPEM BY COUNTRY" xfId="3309"/>
    <cellStyle name="t_Manager_PAO-CAF-RESOP_14_01_13 à 20h_Maquette PLT" xfId="3310"/>
    <cellStyle name="t_Manager_PAO-CAF-RESOP_14_01_13 à 20h_Output" xfId="3469"/>
    <cellStyle name="t_Manager_PAO-CAF-RESOP_14_01_13 à 20h_PPA" xfId="3311"/>
    <cellStyle name="t_Manager_PAO-CAF-RESOP_14_01_13 à 20h_RESOP bef CICE&amp;PPA&amp;RepartHO" xfId="3312"/>
    <cellStyle name="t_Manager_PAO-CAF-RESOP_2014.02" xfId="3313"/>
    <cellStyle name="t_Manager_PAO-CAF-RESOP_2014.02_Bridge_Zone_Sud" xfId="3314"/>
    <cellStyle name="t_Manager_PPA" xfId="3315"/>
    <cellStyle name="t_Manager_RESOP bef CICE&amp;PPA&amp;RepartHO" xfId="3316"/>
    <cellStyle name="t_Maquette PLT" xfId="3317"/>
    <cellStyle name="t_Output" xfId="3470"/>
    <cellStyle name="t_PAO-CAF-RESOP_14_01_13 à 20h" xfId="759"/>
    <cellStyle name="t_PAO-CAF-RESOP_14_01_13 à 20h_CAPEM BY COUNTRY" xfId="3318"/>
    <cellStyle name="t_PAO-CAF-RESOP_14_01_13 à 20h_Maquette PLT" xfId="3319"/>
    <cellStyle name="t_PAO-CAF-RESOP_14_01_13 à 20h_Output" xfId="3471"/>
    <cellStyle name="t_PAO-CAF-RESOP_14_01_13 à 20h_PPA" xfId="3320"/>
    <cellStyle name="t_PAO-CAF-RESOP_14_01_13 à 20h_RESOP bef CICE&amp;PPA&amp;RepartHO" xfId="3321"/>
    <cellStyle name="t_PAO-CAF-RESOP_2014.02" xfId="3322"/>
    <cellStyle name="t_PAO-CAF-RESOP_2014.02_Bridge_Zone_Sud" xfId="3323"/>
    <cellStyle name="t_PPA" xfId="3324"/>
    <cellStyle name="t_RESOP bef CICE&amp;PPA&amp;RepartHO" xfId="3325"/>
    <cellStyle name="Text Level 1" xfId="760"/>
    <cellStyle name="Text Level 2" xfId="761"/>
    <cellStyle name="Text Level 3" xfId="762"/>
    <cellStyle name="Text Level 4" xfId="763"/>
    <cellStyle name="Texte explicatif 2" xfId="764"/>
    <cellStyle name="Title" xfId="287"/>
    <cellStyle name="Title 2" xfId="288"/>
    <cellStyle name="Title 3" xfId="289"/>
    <cellStyle name="Title 4" xfId="290"/>
    <cellStyle name="Title 5" xfId="291"/>
    <cellStyle name="Title 6" xfId="292"/>
    <cellStyle name="Title_Decote croissance organique" xfId="3326"/>
    <cellStyle name="Titles" xfId="765"/>
    <cellStyle name="Titre 2" xfId="766"/>
    <cellStyle name="Titre colonnes" xfId="293"/>
    <cellStyle name="Titre lignes" xfId="294"/>
    <cellStyle name="Titre 1 2" xfId="767"/>
    <cellStyle name="Titre 2 2" xfId="768"/>
    <cellStyle name="Titre 3 2" xfId="769"/>
    <cellStyle name="Titre 4 2" xfId="770"/>
    <cellStyle name="Top_Double_Bottom" xfId="771"/>
    <cellStyle name="Total 2" xfId="295"/>
    <cellStyle name="Total 3" xfId="296"/>
    <cellStyle name="Total 4" xfId="297"/>
    <cellStyle name="Total 5" xfId="298"/>
    <cellStyle name="Total 6" xfId="299"/>
    <cellStyle name="UNDERRUBRIK" xfId="772"/>
    <cellStyle name="Vérification 2" xfId="773"/>
    <cellStyle name="Warning Text" xfId="300"/>
    <cellStyle name="Warning Text 2" xfId="301"/>
    <cellStyle name="Warning Text 3" xfId="302"/>
    <cellStyle name="Warning Text 4" xfId="303"/>
    <cellStyle name="Warning Text 5" xfId="304"/>
    <cellStyle name="Warning Text_Feuil1" xfId="774"/>
    <cellStyle name="Year" xfId="775"/>
    <cellStyle name="zoe" xfId="776"/>
    <cellStyle name="常规_Sheet1_Sub-consolidation Scope 2008 12 SX432 Lanzhou" xfId="777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checked="Checked" fmlaLink="$AD$38" noThreeD="1"/>
</file>

<file path=xl/ctrlProps/ctrlProp2.xml><?xml version="1.0" encoding="utf-8"?>
<formControlPr xmlns="http://schemas.microsoft.com/office/spreadsheetml/2009/9/main" objectType="CheckBox" checked="Checked" fmlaLink="$AD$43" noThreeD="1"/>
</file>

<file path=xl/ctrlProps/ctrlProp3.xml><?xml version="1.0" encoding="utf-8"?>
<formControlPr xmlns="http://schemas.microsoft.com/office/spreadsheetml/2009/9/main" objectType="CheckBox" checked="Checked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xt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539750" y="1140731"/>
          <a:ext cx="1376589" cy="5622018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=""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9</xdr:col>
      <xdr:colOff>1129392</xdr:colOff>
      <xdr:row>6</xdr:row>
      <xdr:rowOff>367393</xdr:rowOff>
    </xdr:from>
    <xdr:to>
      <xdr:col>27</xdr:col>
      <xdr:colOff>113250</xdr:colOff>
      <xdr:row>6</xdr:row>
      <xdr:rowOff>774526</xdr:rowOff>
    </xdr:to>
    <xdr:sp macro="[0]!Refresh_Activity_List_Click" textlink="">
      <xdr:nvSpPr>
        <xdr:cNvPr id="11" name="Rectangle 10"/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9</xdr:col>
      <xdr:colOff>1129392</xdr:colOff>
      <xdr:row>7</xdr:row>
      <xdr:rowOff>231321</xdr:rowOff>
    </xdr:from>
    <xdr:to>
      <xdr:col>27</xdr:col>
      <xdr:colOff>113250</xdr:colOff>
      <xdr:row>9</xdr:row>
      <xdr:rowOff>175811</xdr:rowOff>
    </xdr:to>
    <xdr:sp macro="[0]!Refresh_report_Click" textlink="">
      <xdr:nvSpPr>
        <xdr:cNvPr id="12" name="Rectangle 11"/>
        <xdr:cNvSpPr/>
      </xdr:nvSpPr>
      <xdr:spPr>
        <a:xfrm>
          <a:off x="8137071" y="19322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35</xdr:row>
          <xdr:rowOff>219075</xdr:rowOff>
        </xdr:from>
        <xdr:to>
          <xdr:col>12</xdr:col>
          <xdr:colOff>19050</xdr:colOff>
          <xdr:row>38</xdr:row>
          <xdr:rowOff>66675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41</xdr:row>
          <xdr:rowOff>9525</xdr:rowOff>
        </xdr:from>
        <xdr:to>
          <xdr:col>12</xdr:col>
          <xdr:colOff>19050</xdr:colOff>
          <xdr:row>43</xdr:row>
          <xdr:rowOff>85725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83</xdr:row>
          <xdr:rowOff>114300</xdr:rowOff>
        </xdr:from>
        <xdr:to>
          <xdr:col>12</xdr:col>
          <xdr:colOff>19050</xdr:colOff>
          <xdr:row>85</xdr:row>
          <xdr:rowOff>66675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163964</xdr:rowOff>
    </xdr:from>
    <xdr:to>
      <xdr:col>2</xdr:col>
      <xdr:colOff>4043362</xdr:colOff>
      <xdr:row>18</xdr:row>
      <xdr:rowOff>7481</xdr:rowOff>
    </xdr:to>
    <xdr:sp macro="[0]!SaveData" textlink="">
      <xdr:nvSpPr>
        <xdr:cNvPr id="9" name="Rectangle 8"/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82207</xdr:rowOff>
    </xdr:from>
    <xdr:to>
      <xdr:col>2</xdr:col>
      <xdr:colOff>4043362</xdr:colOff>
      <xdr:row>21</xdr:row>
      <xdr:rowOff>16038</xdr:rowOff>
    </xdr:to>
    <xdr:sp macro="[0]!RetrieveData" textlink="">
      <xdr:nvSpPr>
        <xdr:cNvPr id="10" name="Rectangle 9"/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386844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pSpPr>
          <a:grpSpLocks/>
        </xdr:cNvGrpSpPr>
      </xdr:nvGrpSpPr>
      <xdr:grpSpPr bwMode="auto">
        <a:xfrm>
          <a:off x="17817811" y="2847109"/>
          <a:ext cx="981075" cy="710046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="" xmlns:a16="http://schemas.microsoft.com/office/drawing/2014/main" id="{00000000-0008-0000-0E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="" xmlns:a16="http://schemas.microsoft.com/office/drawing/2014/main" id="{00000000-0008-0000-0E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752475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A102"/>
  <sheetViews>
    <sheetView showGridLines="0" topLeftCell="F4" zoomScale="70" zoomScaleNormal="70" workbookViewId="0">
      <selection activeCell="I7" sqref="I7"/>
    </sheetView>
  </sheetViews>
  <sheetFormatPr baseColWidth="10" defaultColWidth="11.42578125" defaultRowHeight="12.75" outlineLevelCol="1"/>
  <cols>
    <col min="1" max="1" width="39.140625" style="6" hidden="1" customWidth="1"/>
    <col min="2" max="2" width="34.28515625" style="6" hidden="1" customWidth="1"/>
    <col min="3" max="3" width="18.85546875" style="6" hidden="1" customWidth="1"/>
    <col min="4" max="4" width="7.5703125" style="6" hidden="1" customWidth="1"/>
    <col min="5" max="5" width="2.7109375" style="6" hidden="1" customWidth="1"/>
    <col min="6" max="6" width="24.7109375" style="6" customWidth="1"/>
    <col min="7" max="7" width="21.42578125" style="6" bestFit="1" customWidth="1"/>
    <col min="8" max="8" width="34" style="6" bestFit="1" customWidth="1"/>
    <col min="9" max="9" width="24.85546875" style="6" bestFit="1" customWidth="1"/>
    <col min="10" max="10" width="18.85546875" style="8" customWidth="1"/>
    <col min="11" max="11" width="13.5703125" style="8" customWidth="1"/>
    <col min="12" max="12" width="6" style="9" customWidth="1"/>
    <col min="13" max="13" width="11.42578125" style="6" hidden="1" customWidth="1" outlineLevel="1"/>
    <col min="14" max="14" width="27.140625" style="6" hidden="1" customWidth="1" outlineLevel="1"/>
    <col min="15" max="15" width="40.140625" style="6" hidden="1" customWidth="1" outlineLevel="1"/>
    <col min="16" max="16" width="26.85546875" style="6" hidden="1" customWidth="1" outlineLevel="1"/>
    <col min="17" max="17" width="40.140625" style="6" hidden="1" customWidth="1" outlineLevel="1"/>
    <col min="18" max="18" width="37.140625" style="8" hidden="1" customWidth="1" outlineLevel="1"/>
    <col min="19" max="19" width="11.42578125" style="8" hidden="1" customWidth="1" outlineLevel="1"/>
    <col min="20" max="20" width="14.42578125" style="8" hidden="1" customWidth="1" outlineLevel="1"/>
    <col min="21" max="21" width="11.42578125" style="8" hidden="1" customWidth="1" outlineLevel="1"/>
    <col min="22" max="22" width="4.28515625" style="8" hidden="1" customWidth="1" outlineLevel="1"/>
    <col min="23" max="23" width="6.28515625" style="8" hidden="1" customWidth="1" outlineLevel="1"/>
    <col min="24" max="24" width="68.42578125" style="8" hidden="1" customWidth="1" outlineLevel="1"/>
    <col min="25" max="26" width="11.42578125" style="8" hidden="1" customWidth="1" outlineLevel="1"/>
    <col min="27" max="27" width="11.42578125" style="8" customWidth="1" collapsed="1"/>
    <col min="28" max="32" width="11.42578125" style="6" customWidth="1"/>
    <col min="33" max="16384" width="11.42578125" style="6"/>
  </cols>
  <sheetData>
    <row r="1" spans="1:27" ht="15.75" hidden="1" customHeight="1" thickBot="1">
      <c r="A1" s="38" t="s">
        <v>137</v>
      </c>
      <c r="B1" s="27"/>
      <c r="D1" s="39"/>
      <c r="E1" s="39"/>
      <c r="F1" s="39"/>
      <c r="I1" s="41" t="s">
        <v>86</v>
      </c>
      <c r="J1" s="39"/>
      <c r="K1" s="39"/>
      <c r="L1" s="40"/>
      <c r="M1" s="4"/>
      <c r="N1" s="70" t="s">
        <v>134</v>
      </c>
      <c r="O1" s="70">
        <f ca="1">DAY(TODAY())</f>
        <v>27</v>
      </c>
      <c r="P1" s="70" t="str">
        <f ca="1">IF(MONTH(TODAY())&lt;10,"0"&amp;MONTH(TODAY()),MONTH(TODAY()))</f>
        <v>09</v>
      </c>
      <c r="Q1" s="70">
        <f ca="1">YEAR(TODAY())</f>
        <v>2021</v>
      </c>
    </row>
    <row r="2" spans="1:27" ht="19.5" hidden="1" customHeight="1" thickBot="1">
      <c r="A2" s="27"/>
      <c r="B2" s="27"/>
      <c r="D2" s="39"/>
      <c r="E2" s="39"/>
      <c r="F2" s="39"/>
      <c r="G2" s="39"/>
      <c r="H2" s="42"/>
      <c r="I2" s="39"/>
      <c r="J2" s="39"/>
      <c r="K2" s="39"/>
      <c r="L2" s="40"/>
      <c r="M2" s="4"/>
      <c r="N2" s="66" t="s">
        <v>131</v>
      </c>
      <c r="O2" s="67">
        <v>0</v>
      </c>
      <c r="P2" s="66" t="s">
        <v>133</v>
      </c>
      <c r="Q2" s="67" t="s">
        <v>236</v>
      </c>
    </row>
    <row r="3" spans="1:27" ht="16.5" hidden="1" thickBot="1">
      <c r="A3" s="32" t="s">
        <v>65</v>
      </c>
      <c r="B3" s="27"/>
      <c r="D3" s="7"/>
      <c r="M3" s="4"/>
      <c r="N3" s="66" t="s">
        <v>130</v>
      </c>
      <c r="O3" s="69" t="str">
        <f ca="1">$O$1&amp;"/"&amp;$P$1&amp;"/"&amp;$Q$1</f>
        <v>27/09/2021</v>
      </c>
      <c r="P3" s="68" t="str">
        <f ca="1">IF(Flag_Send_Date=1,_xll.DBSS($O$3,Server&amp;"}Z_Update_LTP",$I$13,$I$10,$I$12,$I$11,$O$4,ReportName,"STR_VAR1"),"")</f>
        <v/>
      </c>
      <c r="Q3" s="4"/>
    </row>
    <row r="4" spans="1:27" ht="20.25" customHeight="1" thickBot="1">
      <c r="A4" s="293" t="s">
        <v>66</v>
      </c>
      <c r="B4" s="294" t="s">
        <v>184</v>
      </c>
      <c r="C4" s="295"/>
      <c r="D4" s="296"/>
      <c r="E4" s="295"/>
      <c r="F4" s="297"/>
      <c r="G4" s="297"/>
      <c r="H4" s="325" t="str">
        <f ca="1">_xll.DBRA(Server&amp;$N$6,$N7,$I$15)</f>
        <v>Sélection du contexte</v>
      </c>
      <c r="I4" s="325"/>
      <c r="J4" s="326"/>
      <c r="K4" s="297"/>
      <c r="L4" s="8"/>
      <c r="M4" s="4"/>
      <c r="N4" s="66" t="s">
        <v>132</v>
      </c>
      <c r="O4" s="67" t="str">
        <f ca="1">_xll.TM1USER(xServer)</f>
        <v>rozenn.decrevecoeur</v>
      </c>
      <c r="P4" s="4"/>
      <c r="Q4" s="4"/>
    </row>
    <row r="5" spans="1:27" ht="12.75" customHeight="1" thickBot="1">
      <c r="A5" s="293" t="s">
        <v>67</v>
      </c>
      <c r="B5" s="294" t="str">
        <f>LEFT(Server,LEN(Server)-1)</f>
        <v>tango_core_model</v>
      </c>
      <c r="C5" s="295"/>
      <c r="D5" s="295"/>
      <c r="E5" s="295"/>
      <c r="F5" s="297"/>
      <c r="G5" s="297"/>
      <c r="H5" s="325"/>
      <c r="I5" s="325"/>
      <c r="J5" s="326"/>
      <c r="K5" s="297"/>
      <c r="L5" s="8"/>
      <c r="M5" s="4"/>
      <c r="N5" s="4"/>
      <c r="O5" s="4"/>
      <c r="P5" s="4"/>
      <c r="Q5" s="4"/>
      <c r="R5" s="129" t="s">
        <v>145</v>
      </c>
      <c r="T5" s="129" t="s">
        <v>145</v>
      </c>
    </row>
    <row r="6" spans="1:27" ht="27.75" customHeight="1" thickBot="1">
      <c r="A6" s="293" t="s">
        <v>68</v>
      </c>
      <c r="B6" s="294" t="str">
        <f ca="1">_xll.DBRW("tango_core_model:z_Admin_Param","SERVER_NAME","STR_VAR1")</f>
        <v>FRSAPP021269</v>
      </c>
      <c r="C6" s="295"/>
      <c r="D6" s="296"/>
      <c r="E6" s="295"/>
      <c r="F6" s="297"/>
      <c r="G6" s="297"/>
      <c r="H6" s="325"/>
      <c r="I6" s="325"/>
      <c r="J6" s="326"/>
      <c r="K6" s="297"/>
      <c r="L6" s="8"/>
      <c r="M6" s="4"/>
      <c r="N6" s="43" t="s">
        <v>88</v>
      </c>
      <c r="O6" s="52" t="s">
        <v>111</v>
      </c>
      <c r="P6" s="4"/>
      <c r="Q6" s="4"/>
      <c r="R6" s="8" t="str">
        <f ca="1">$I$14</f>
        <v>K Devise locale</v>
      </c>
      <c r="T6" s="8" t="str">
        <f ca="1">$I$14</f>
        <v>K Devise locale</v>
      </c>
    </row>
    <row r="7" spans="1:27" ht="72.75" customHeight="1" thickBot="1">
      <c r="A7" s="33" t="s">
        <v>69</v>
      </c>
      <c r="B7" s="34">
        <v>0</v>
      </c>
      <c r="D7" s="7"/>
      <c r="F7" s="10"/>
      <c r="G7" s="10"/>
      <c r="H7" s="10"/>
      <c r="I7" s="10"/>
      <c r="J7" s="10"/>
      <c r="K7" s="10"/>
      <c r="L7" s="11"/>
      <c r="M7" s="4"/>
      <c r="N7" s="44" t="s">
        <v>89</v>
      </c>
      <c r="O7" s="53" t="s">
        <v>96</v>
      </c>
      <c r="P7" s="53" t="s">
        <v>110</v>
      </c>
      <c r="Q7" s="4"/>
    </row>
    <row r="8" spans="1:27" ht="26.25">
      <c r="A8" s="33" t="s">
        <v>70</v>
      </c>
      <c r="B8" s="34">
        <v>0</v>
      </c>
      <c r="D8" s="7"/>
      <c r="G8" s="51" t="str">
        <f ca="1">_xll.DBRA(Server&amp;$N$6,$N15,$I$15)</f>
        <v>Etape 0 -</v>
      </c>
      <c r="H8" s="298" t="str">
        <f ca="1">_xll.DBRA(Server&amp;$N$6,$N7,$I$15)</f>
        <v>Sélection du contexte</v>
      </c>
      <c r="I8" s="16"/>
      <c r="K8" s="10"/>
      <c r="L8" s="11"/>
      <c r="M8" s="4"/>
      <c r="N8" s="55" t="s">
        <v>91</v>
      </c>
      <c r="O8" s="54" t="str">
        <f ca="1">IF($P$8="1",_xll.DBRA(Server&amp;"LTP_Components",$N22,$I$15),$O$9)</f>
        <v>CORG - Aju. Corp.</v>
      </c>
      <c r="P8" s="54" t="str">
        <f ca="1">_xll.DBR(Server&amp;"z_Client_Properties","LTP_Corp_Security",_xll.TM1USER(xServer))</f>
        <v>1</v>
      </c>
      <c r="Q8" s="4" t="s">
        <v>223</v>
      </c>
      <c r="R8" s="8" t="str">
        <f ca="1">IF($P$8="1",_xll.DBRA(Server&amp;"LTP_Components",$Q8,$I$15),$Q8)</f>
        <v>Plan d'Action - Ajustements Corp.</v>
      </c>
    </row>
    <row r="9" spans="1:27" ht="9.75" customHeight="1" thickBot="1">
      <c r="A9" s="28"/>
      <c r="B9" s="35"/>
      <c r="D9" s="7"/>
      <c r="G9" s="23"/>
      <c r="I9" s="16"/>
      <c r="K9" s="10"/>
      <c r="L9" s="11"/>
      <c r="M9" s="4"/>
      <c r="N9" s="55" t="s">
        <v>87</v>
      </c>
      <c r="O9" s="56" t="str">
        <f ca="1">_xll.DBRA(Server&amp;"LTP_Components",$N23,$I$15)</f>
        <v>CORG - Pays</v>
      </c>
      <c r="P9" s="4"/>
      <c r="Q9" s="4" t="s">
        <v>197</v>
      </c>
      <c r="R9" s="8" t="str">
        <f ca="1">IF($P$8="1",_xll.DBRA(Server&amp;"LTP_Components",$Q9,$I$15),$Q9)</f>
        <v>Plan d'Action - Pays</v>
      </c>
    </row>
    <row r="10" spans="1:27" ht="25.5" customHeight="1" thickBot="1">
      <c r="A10" s="32" t="s">
        <v>71</v>
      </c>
      <c r="B10" s="35"/>
      <c r="D10" s="7"/>
      <c r="G10" s="24"/>
      <c r="H10" s="299" t="str">
        <f ca="1">_xll.DBRA(Server&amp;$N$6,$N9,$I$15)</f>
        <v>Phase</v>
      </c>
      <c r="I10" s="300" t="str">
        <f ca="1">_xll.SUBNM(Server&amp;"Phase","LTP_Current",ActualLTP)</f>
        <v>LTP_2021_VC</v>
      </c>
      <c r="K10" s="10"/>
      <c r="L10" s="11"/>
      <c r="M10" s="4"/>
      <c r="N10" s="46" t="s">
        <v>92</v>
      </c>
      <c r="O10" s="56" t="str">
        <f ca="1">_xll.DBRA(Server&amp;"LTP_Components",$N24,$I$15)</f>
        <v>CORG - Pays</v>
      </c>
      <c r="P10" s="4"/>
      <c r="Q10" s="4" t="s">
        <v>224</v>
      </c>
      <c r="R10" s="8" t="str">
        <f ca="1">IF($P$8="1",_xll.DBRA(Server&amp;"LTP_Components",$Q10,$I$15),$Q10)</f>
        <v>Ventilation UGT Corporate</v>
      </c>
    </row>
    <row r="11" spans="1:27" ht="25.5" customHeight="1" thickBot="1">
      <c r="A11" s="33" t="s">
        <v>72</v>
      </c>
      <c r="B11" s="34" t="s">
        <v>97</v>
      </c>
      <c r="D11" s="7"/>
      <c r="G11" s="117"/>
      <c r="H11" s="299" t="str">
        <f ca="1">_xll.DBRA(Server&amp;$N$6,$N10,$I$15)</f>
        <v>Composant LTP</v>
      </c>
      <c r="I11" s="300" t="str">
        <f ca="1">OFFSET(Context!$O$8,1-Context!$P$8,0,1,1)</f>
        <v>CORG - Aju. Corp.</v>
      </c>
      <c r="K11" s="10"/>
      <c r="L11" s="11"/>
      <c r="M11" s="4"/>
      <c r="N11" s="45" t="s">
        <v>90</v>
      </c>
      <c r="O11" s="56" t="str">
        <f ca="1">_xll.DBRA(Server&amp;"LTP_Components",$N25,$I$15)</f>
        <v>CEXT - Aju. Corp.</v>
      </c>
      <c r="Q11" s="4" t="s">
        <v>225</v>
      </c>
      <c r="R11" s="8" t="str">
        <f ca="1">IF($P$8="1",_xll.DBRA(Server&amp;"LTP_Components",$Q11,$I$15),$Q11)</f>
        <v>Plan de cession - Ajustements Corp.</v>
      </c>
    </row>
    <row r="12" spans="1:27" ht="25.5" customHeight="1">
      <c r="A12" s="33" t="s">
        <v>73</v>
      </c>
      <c r="B12" s="34" t="s">
        <v>98</v>
      </c>
      <c r="D12" s="7"/>
      <c r="H12" s="299" t="str">
        <f ca="1">_xll.DBRA(Server&amp;$N$6,$N11,$I$15)</f>
        <v>Organisation légale</v>
      </c>
      <c r="I12" s="300" t="str">
        <f ca="1">_xll.SUBNM(Server&amp;"Legal_Organization","",_xll.DBR(Server&amp;"z_Client_Properties","Default_Legal_Organization",_xll.TM1USER(xServer)),"Code_Name")</f>
        <v>TRANSDEV All</v>
      </c>
      <c r="J12" s="328" t="str">
        <f ca="1">X14</f>
        <v>Incorrect Context! Save date will be impossible!</v>
      </c>
      <c r="K12" s="328"/>
      <c r="L12" s="11"/>
      <c r="M12" s="4"/>
      <c r="N12" s="45" t="s">
        <v>57</v>
      </c>
      <c r="O12" s="90" t="s">
        <v>144</v>
      </c>
      <c r="P12" s="91" t="s">
        <v>145</v>
      </c>
      <c r="Q12" s="4" t="s">
        <v>226</v>
      </c>
      <c r="R12" s="8" t="str">
        <f ca="1">IF($P$8="1",_xll.DBRA(Server&amp;"LTP_Components",$Q12,$I$15),$Q12)</f>
        <v>Plan de cession - Pays</v>
      </c>
      <c r="V12" s="118">
        <f ca="1">_xll.ELLEV(Server&amp;"Legal_Organization",ctx_legal_Context)</f>
        <v>6</v>
      </c>
      <c r="W12" s="113" t="s">
        <v>185</v>
      </c>
      <c r="X12" s="11" t="str">
        <f ca="1">IF(V12&lt;&gt;0,"Selected "&amp;H12&amp;" is a consolidated element; Input and save data are not possible","OK")</f>
        <v>Selected Organisation légale is a consolidated element; Input and save data are not possible</v>
      </c>
    </row>
    <row r="13" spans="1:27" s="12" customFormat="1" ht="25.5" customHeight="1">
      <c r="A13" s="33" t="s">
        <v>138</v>
      </c>
      <c r="B13" s="34" t="s">
        <v>140</v>
      </c>
      <c r="D13" s="7"/>
      <c r="H13" s="299" t="str">
        <f ca="1">_xll.DBRA(Server&amp;$N$6,$N12,$I$15)</f>
        <v>Activité</v>
      </c>
      <c r="I13" s="300" t="s">
        <v>254</v>
      </c>
      <c r="J13" s="328"/>
      <c r="K13" s="328"/>
      <c r="L13" s="14"/>
      <c r="M13" s="4"/>
      <c r="N13" s="45" t="s">
        <v>54</v>
      </c>
      <c r="O13" s="90" t="s">
        <v>146</v>
      </c>
      <c r="P13" s="91" t="s">
        <v>118</v>
      </c>
      <c r="Q13" s="4" t="s">
        <v>227</v>
      </c>
      <c r="R13" s="8" t="str">
        <f ca="1">IF($P$8="1",_xll.DBRA(Server&amp;"LTP_Components",$Q13,$I$15),$Q13)</f>
        <v>CEXT - Aju. Corp.</v>
      </c>
      <c r="S13" s="114"/>
      <c r="T13" s="114"/>
      <c r="U13" s="114"/>
      <c r="V13" s="118">
        <f ca="1">_xll.ELLEV(Server&amp;"Activity",ctx_activity_Context)</f>
        <v>0</v>
      </c>
      <c r="W13" s="113" t="s">
        <v>185</v>
      </c>
      <c r="X13" s="11" t="str">
        <f ca="1">IF(V13&lt;&gt;0,"Selected "&amp;H13&amp;" is a consolidated element; Input and save data are not possible","OK")</f>
        <v>OK</v>
      </c>
      <c r="Y13" s="114"/>
      <c r="Z13" s="114"/>
      <c r="AA13" s="114"/>
    </row>
    <row r="14" spans="1:27" s="12" customFormat="1" ht="25.5" customHeight="1" thickBot="1">
      <c r="A14" s="33" t="s">
        <v>139</v>
      </c>
      <c r="B14" s="34" t="s">
        <v>141</v>
      </c>
      <c r="D14" s="7"/>
      <c r="G14" s="116"/>
      <c r="H14" s="299" t="str">
        <f ca="1">_xll.DBRA(Server&amp;$N$6,$N13,$I$15)</f>
        <v>Devise</v>
      </c>
      <c r="I14" s="301" t="str">
        <f ca="1">_xll.DBRA(Server&amp;"Currency","KLCL",I15)</f>
        <v>K Devise locale</v>
      </c>
      <c r="J14" s="328"/>
      <c r="K14" s="328"/>
      <c r="L14" s="14"/>
      <c r="M14" s="4"/>
      <c r="N14" s="47" t="s">
        <v>55</v>
      </c>
      <c r="O14" s="4" t="s">
        <v>243</v>
      </c>
      <c r="P14" s="4" t="str">
        <f ca="1">_xll.DBRW(xServer&amp;":}ElementAttributes_Legal_Organization",ctx_legal_Context,"Country_Entity")</f>
        <v/>
      </c>
      <c r="Q14" s="4" t="s">
        <v>228</v>
      </c>
      <c r="R14" s="8" t="str">
        <f ca="1">IF($P$8="1",_xll.DBRA(Server&amp;"LTP_Components",$Q14,$I$15),$Q14)</f>
        <v>CEXT - Pays</v>
      </c>
      <c r="S14" s="114"/>
      <c r="T14" s="114"/>
      <c r="U14" s="114"/>
      <c r="V14" s="115" t="str">
        <f ca="1">_xll.DBRW(Server&amp;"TC_CONTROL_LEGAL_ACTIVITY",ctx_legal_Context,ctx_activity_Context,"STR_VAR1")</f>
        <v>x</v>
      </c>
      <c r="W14" s="113" t="s">
        <v>186</v>
      </c>
      <c r="X14" s="11" t="str">
        <f ca="1">IF(AND(V14="1",V13=0,V12=0),"Your selection is correct, you can input and save your data","Incorrect Context! Save date will be impossible!")</f>
        <v>Incorrect Context! Save date will be impossible!</v>
      </c>
      <c r="Y14" s="114"/>
      <c r="Z14" s="114"/>
      <c r="AA14" s="114"/>
    </row>
    <row r="15" spans="1:27" s="12" customFormat="1" ht="25.5" customHeight="1">
      <c r="A15" s="33" t="s">
        <v>74</v>
      </c>
      <c r="B15" s="34" t="str">
        <f ca="1">_xll.DBR(Server&amp;"z_Admin_Param","YEAR_LTP","STR_VAR1")</f>
        <v>2021</v>
      </c>
      <c r="D15" s="7"/>
      <c r="G15" s="24"/>
      <c r="H15" s="299" t="str">
        <f ca="1">_xll.DBRA(Server&amp;$N$6,$N14,$I$15)</f>
        <v>Langue</v>
      </c>
      <c r="I15" s="302" t="s">
        <v>77</v>
      </c>
      <c r="K15" s="13"/>
      <c r="L15" s="14"/>
      <c r="M15" s="4"/>
      <c r="N15" s="48" t="s">
        <v>93</v>
      </c>
      <c r="O15" s="4" t="s">
        <v>248</v>
      </c>
      <c r="P15" s="285">
        <f ca="1">IFERROR(IF(SEARCH("Corp",I11,1)&lt;&gt;0,1,0),0)</f>
        <v>0</v>
      </c>
      <c r="Q15" s="4" t="s">
        <v>229</v>
      </c>
      <c r="R15" s="8" t="str">
        <f ca="1">IF($P$8="1",_xll.DBRA(Server&amp;"LTP_Components",$Q15,$I$15),$Q15)</f>
        <v>CORG - Aju. Corp.</v>
      </c>
      <c r="S15" s="114"/>
      <c r="T15" s="114"/>
      <c r="U15" s="114"/>
      <c r="V15" s="114"/>
      <c r="W15" s="114"/>
      <c r="X15" s="114" t="str">
        <f ca="1">IF(AND(V14="1",V13=0,V12=0),"OK","KO")</f>
        <v>KO</v>
      </c>
      <c r="Y15" s="114"/>
      <c r="Z15" s="114"/>
      <c r="AA15" s="114"/>
    </row>
    <row r="16" spans="1:27" ht="23.25">
      <c r="A16" s="33" t="s">
        <v>109</v>
      </c>
      <c r="B16" s="34" t="str">
        <f ca="1">_xll.DBR(Server&amp;"z_Admin_Param","PHASE_LTP","STR_VAR1")</f>
        <v>LTP_2021_VC</v>
      </c>
      <c r="D16" s="4"/>
      <c r="E16" s="12"/>
      <c r="F16" s="12"/>
      <c r="G16" s="24"/>
      <c r="H16" s="12"/>
      <c r="I16" s="12"/>
      <c r="J16" s="26"/>
      <c r="K16" s="26"/>
      <c r="L16" s="15"/>
      <c r="M16" s="4"/>
      <c r="N16" s="49" t="s">
        <v>94</v>
      </c>
      <c r="O16" s="4"/>
      <c r="P16" s="4"/>
      <c r="Q16" s="4" t="s">
        <v>230</v>
      </c>
      <c r="R16" s="8" t="str">
        <f ca="1">IF($P$8="1",_xll.DBRA(Server&amp;"LTP_Components",$Q16,$I$15),$Q16)</f>
        <v>CORG - Pays</v>
      </c>
    </row>
    <row r="17" spans="1:18" ht="23.25">
      <c r="A17" s="33" t="s">
        <v>75</v>
      </c>
      <c r="B17" s="36" t="str">
        <f ca="1">_xll.DBR(Server&amp;"z_Client_Properties","Language",_xll.TM1USER(xServer))</f>
        <v>French</v>
      </c>
      <c r="D17" s="4"/>
      <c r="E17" s="12"/>
      <c r="F17" s="12"/>
      <c r="G17" s="23"/>
      <c r="J17" s="26"/>
      <c r="K17" s="26"/>
      <c r="L17" s="15"/>
      <c r="M17" s="4"/>
      <c r="N17" s="49" t="s">
        <v>95</v>
      </c>
      <c r="O17" s="4"/>
      <c r="P17" s="4"/>
      <c r="Q17" s="4" t="s">
        <v>231</v>
      </c>
      <c r="R17" s="8" t="str">
        <f ca="1">IF($P$8="1",_xll.DBRA(Server&amp;"LTP_Components",$Q17,$I$15),$Q17)</f>
        <v>PBZ &amp; Plan d'Action - Ajustements Corp.</v>
      </c>
    </row>
    <row r="18" spans="1:18" ht="26.25" customHeight="1">
      <c r="A18" s="74" t="s">
        <v>76</v>
      </c>
      <c r="B18" s="37" t="str">
        <f ca="1">_xll.DBR(Server&amp;"z_Client_Properties","Language",_xll.TM1USER(xServer))</f>
        <v>French</v>
      </c>
      <c r="D18" s="4"/>
      <c r="E18" s="12"/>
      <c r="F18" s="12"/>
      <c r="G18" s="57"/>
      <c r="H18" s="112"/>
      <c r="I18" s="26"/>
      <c r="J18" s="26"/>
      <c r="K18" s="26"/>
      <c r="L18" s="15"/>
      <c r="M18" s="4"/>
      <c r="N18" s="49" t="s">
        <v>142</v>
      </c>
      <c r="O18" s="4"/>
      <c r="P18" s="4"/>
      <c r="Q18" s="4" t="s">
        <v>232</v>
      </c>
      <c r="R18" s="8" t="str">
        <f ca="1">IF($P$8="1",_xll.DBRA(Server&amp;"LTP_Components",$Q18,$I$15),$Q18)</f>
        <v>PBZ &amp; Plan d'Action - Pays</v>
      </c>
    </row>
    <row r="19" spans="1:18" ht="23.25" customHeight="1">
      <c r="A19" s="75"/>
      <c r="B19" s="37" t="str">
        <f ca="1">IF(B18="English","French","English")</f>
        <v>English</v>
      </c>
      <c r="D19" s="4"/>
      <c r="E19" s="12"/>
      <c r="F19" s="12"/>
      <c r="G19" s="23"/>
      <c r="J19" s="22"/>
      <c r="K19"/>
      <c r="L19" s="15"/>
      <c r="M19" s="4"/>
      <c r="N19" s="49" t="s">
        <v>147</v>
      </c>
      <c r="O19" s="4"/>
      <c r="P19" s="4"/>
      <c r="Q19" s="4"/>
    </row>
    <row r="20" spans="1:18" ht="23.25" customHeight="1">
      <c r="A20" s="75"/>
      <c r="B20" s="37" t="s">
        <v>78</v>
      </c>
      <c r="D20" s="4"/>
      <c r="E20" s="12"/>
      <c r="F20" s="12"/>
      <c r="G20" s="23"/>
      <c r="J20" s="22"/>
      <c r="K20"/>
      <c r="L20" s="15"/>
      <c r="M20" s="4"/>
      <c r="N20" s="49" t="s">
        <v>143</v>
      </c>
      <c r="O20" s="4"/>
      <c r="P20" s="4"/>
      <c r="Q20" s="4"/>
      <c r="R20" s="8" t="str">
        <f ca="1">IF($P$8="1",_xll.DBRA(Server&amp;"LTP_Components",$Q20,$I$15),$Q20)</f>
        <v/>
      </c>
    </row>
    <row r="21" spans="1:18" ht="26.25" customHeight="1">
      <c r="A21" s="75"/>
      <c r="B21" s="37" t="s">
        <v>79</v>
      </c>
      <c r="D21" s="4"/>
      <c r="E21" s="12"/>
      <c r="F21" s="12"/>
      <c r="G21" s="197" t="str">
        <f>IF(xLanguage="English","Step 1 - ","Etape 1 - ")</f>
        <v xml:space="preserve">Etape 1 - </v>
      </c>
      <c r="H21" s="298" t="s">
        <v>222</v>
      </c>
      <c r="I21" s="26"/>
      <c r="J21" s="26"/>
      <c r="K21" s="12"/>
      <c r="L21" s="15"/>
      <c r="M21" s="4"/>
      <c r="N21" s="49" t="s">
        <v>189</v>
      </c>
      <c r="P21" s="4"/>
      <c r="Q21" s="4"/>
      <c r="R21" s="8" t="str">
        <f ca="1">IF($P$8="1",_xll.DBRA(Server&amp;"LTP_Components",$Q21,$I$15),$Q21)</f>
        <v/>
      </c>
    </row>
    <row r="22" spans="1:18" ht="23.25" customHeight="1">
      <c r="A22" s="76"/>
      <c r="B22" s="37" t="s">
        <v>80</v>
      </c>
      <c r="D22" s="4"/>
      <c r="E22" s="12"/>
      <c r="F22" s="12"/>
      <c r="G22" s="23"/>
      <c r="I22" s="26"/>
      <c r="J22" s="26"/>
      <c r="K22" s="12"/>
      <c r="L22" s="15"/>
      <c r="M22" s="4"/>
      <c r="N22" s="49" t="s">
        <v>256</v>
      </c>
      <c r="P22" s="4"/>
      <c r="Q22" s="4"/>
    </row>
    <row r="23" spans="1:18" ht="31.5" customHeight="1">
      <c r="A23" s="75"/>
      <c r="B23" s="37"/>
      <c r="D23" s="4"/>
      <c r="E23" s="12"/>
      <c r="F23" s="12"/>
      <c r="G23" s="23"/>
      <c r="H23" s="212"/>
      <c r="I23" s="26"/>
      <c r="J23" s="26"/>
      <c r="K23" s="12"/>
      <c r="L23" s="15"/>
      <c r="M23" s="4"/>
      <c r="N23" s="49" t="s">
        <v>258</v>
      </c>
      <c r="O23" s="49"/>
      <c r="P23" s="4"/>
      <c r="Q23" s="4"/>
    </row>
    <row r="24" spans="1:18" ht="31.5" customHeight="1">
      <c r="A24" s="75"/>
      <c r="B24" s="37"/>
      <c r="D24" s="4"/>
      <c r="E24" s="12"/>
      <c r="F24" s="12"/>
      <c r="G24" s="57"/>
      <c r="H24" s="213"/>
      <c r="I24" s="26"/>
      <c r="J24" s="26"/>
      <c r="K24" s="12"/>
      <c r="L24" s="15"/>
      <c r="M24" s="4"/>
      <c r="N24" s="49" t="s">
        <v>258</v>
      </c>
      <c r="P24" s="4"/>
      <c r="Q24" s="4"/>
    </row>
    <row r="25" spans="1:18" ht="31.5" customHeight="1">
      <c r="A25" s="75"/>
      <c r="B25" s="37"/>
      <c r="D25" s="4"/>
      <c r="E25" s="12"/>
      <c r="F25" s="12"/>
      <c r="G25" s="23"/>
      <c r="H25" s="214"/>
      <c r="I25" s="26"/>
      <c r="J25" s="26"/>
      <c r="K25" s="12"/>
      <c r="L25" s="15"/>
      <c r="M25" s="4"/>
      <c r="N25" s="49" t="s">
        <v>257</v>
      </c>
      <c r="P25" s="4"/>
      <c r="Q25" s="4"/>
    </row>
    <row r="26" spans="1:18" ht="23.25" customHeight="1" thickBot="1">
      <c r="A26" s="74"/>
      <c r="B26" s="37"/>
      <c r="D26" s="4"/>
      <c r="E26" s="12"/>
      <c r="F26" s="12"/>
      <c r="G26" s="23"/>
      <c r="H26" s="199"/>
      <c r="J26" s="22"/>
      <c r="K26" s="12"/>
      <c r="L26" s="15"/>
      <c r="M26" s="4"/>
      <c r="N26" s="50"/>
      <c r="P26" s="4"/>
      <c r="Q26" s="4"/>
    </row>
    <row r="27" spans="1:18" ht="26.25">
      <c r="A27" s="75"/>
      <c r="B27" s="37"/>
      <c r="D27" s="4"/>
      <c r="E27" s="12"/>
      <c r="F27" s="12"/>
      <c r="G27" s="57"/>
      <c r="H27" s="198"/>
      <c r="I27" s="26"/>
      <c r="J27" s="22"/>
      <c r="K27" s="12"/>
      <c r="L27" s="15"/>
      <c r="M27" s="4"/>
      <c r="N27" s="4"/>
      <c r="P27" s="4"/>
      <c r="Q27" s="4"/>
    </row>
    <row r="28" spans="1:18">
      <c r="A28" s="76"/>
      <c r="B28" s="37" t="s">
        <v>81</v>
      </c>
      <c r="D28" s="4"/>
      <c r="E28" s="12"/>
      <c r="F28" s="12"/>
      <c r="G28" s="22"/>
      <c r="H28" s="22"/>
      <c r="I28" s="22"/>
      <c r="J28" s="22"/>
      <c r="K28" s="12"/>
      <c r="L28" s="15"/>
      <c r="M28" s="4"/>
      <c r="N28" s="4"/>
      <c r="P28" s="4"/>
      <c r="Q28" s="4"/>
    </row>
    <row r="29" spans="1:18">
      <c r="A29" s="28"/>
      <c r="B29" s="28"/>
      <c r="D29" s="4"/>
      <c r="E29" s="12"/>
      <c r="F29" s="12"/>
      <c r="G29" s="12"/>
      <c r="H29" s="12"/>
      <c r="I29" s="12"/>
      <c r="J29" s="12"/>
      <c r="K29" s="12"/>
      <c r="L29" s="15"/>
      <c r="M29" s="4"/>
      <c r="N29" s="4"/>
      <c r="P29" s="4"/>
      <c r="Q29" s="4"/>
    </row>
    <row r="30" spans="1:18" ht="15.75">
      <c r="A30" s="32" t="s">
        <v>82</v>
      </c>
      <c r="B30" s="28"/>
      <c r="D30" s="4"/>
      <c r="E30" s="12"/>
      <c r="F30" s="12"/>
      <c r="G30" s="12"/>
      <c r="H30" s="12"/>
      <c r="I30" s="12"/>
      <c r="J30" s="12"/>
      <c r="K30" s="12"/>
      <c r="L30" s="15"/>
      <c r="M30" s="4"/>
      <c r="N30" s="4"/>
      <c r="P30" s="4"/>
      <c r="Q30" s="4"/>
    </row>
    <row r="31" spans="1:18" ht="15.75">
      <c r="A31" s="28" t="s">
        <v>83</v>
      </c>
      <c r="B31" s="29"/>
      <c r="D31" s="4"/>
      <c r="E31" s="12"/>
      <c r="F31" s="12"/>
      <c r="G31" s="12"/>
      <c r="H31" s="12"/>
      <c r="I31" s="12"/>
      <c r="J31" s="12"/>
      <c r="K31" s="12"/>
      <c r="L31" s="15"/>
      <c r="M31" s="4"/>
      <c r="N31" s="4"/>
      <c r="P31" s="4"/>
      <c r="Q31" s="4"/>
    </row>
    <row r="32" spans="1:18">
      <c r="A32" s="28" t="s">
        <v>84</v>
      </c>
      <c r="B32" s="30"/>
      <c r="D32" s="4"/>
      <c r="E32" s="12"/>
      <c r="F32" s="12"/>
      <c r="G32" s="12"/>
      <c r="H32" s="12"/>
      <c r="I32" s="12"/>
      <c r="J32" s="12"/>
      <c r="K32" s="12"/>
      <c r="L32" s="15"/>
      <c r="M32" s="4"/>
      <c r="N32" s="4"/>
      <c r="O32" s="4"/>
      <c r="P32" s="4"/>
      <c r="Q32" s="4"/>
    </row>
    <row r="33" spans="1:17">
      <c r="A33" s="28" t="s">
        <v>85</v>
      </c>
      <c r="B33" s="31"/>
      <c r="D33" s="4"/>
      <c r="E33" s="12"/>
      <c r="F33" s="12"/>
      <c r="G33" s="12"/>
      <c r="H33" s="12"/>
      <c r="I33" s="12"/>
      <c r="J33" s="12"/>
      <c r="K33" s="12"/>
      <c r="L33" s="15"/>
      <c r="M33" s="4"/>
      <c r="N33" s="4"/>
      <c r="O33" s="4"/>
      <c r="P33" s="4"/>
      <c r="Q33" s="4"/>
    </row>
    <row r="34" spans="1:17">
      <c r="A34" s="28"/>
      <c r="B34" s="28"/>
      <c r="D34" s="4"/>
      <c r="E34" s="12"/>
      <c r="F34" s="12"/>
      <c r="G34" s="12"/>
      <c r="H34" s="12"/>
      <c r="I34" s="12"/>
      <c r="J34" s="12"/>
      <c r="K34" s="12"/>
      <c r="L34" s="15"/>
      <c r="M34" s="4"/>
      <c r="N34" s="4"/>
      <c r="O34" s="4"/>
      <c r="P34" s="4"/>
      <c r="Q34" s="4"/>
    </row>
    <row r="35" spans="1:17" hidden="1">
      <c r="A35" s="28"/>
      <c r="B35" s="28"/>
      <c r="D35" s="4"/>
      <c r="E35" s="4"/>
      <c r="F35" s="4"/>
      <c r="G35" s="4"/>
      <c r="H35" s="4"/>
      <c r="I35" s="4"/>
      <c r="J35" s="4"/>
      <c r="K35" s="4"/>
      <c r="L35" s="5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5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5"/>
      <c r="M37" s="4"/>
      <c r="N37" s="4"/>
      <c r="O37" s="4"/>
      <c r="P37" s="4"/>
      <c r="Q37" s="4"/>
    </row>
    <row r="38" spans="1:17" hidden="1">
      <c r="D38" s="4"/>
      <c r="E38" s="4"/>
      <c r="F38" s="21"/>
      <c r="G38" s="4"/>
      <c r="H38" s="4"/>
      <c r="I38" s="4"/>
      <c r="J38" s="4"/>
      <c r="K38" s="4"/>
      <c r="L38" s="5"/>
      <c r="M38" s="4"/>
      <c r="N38" s="4"/>
      <c r="O38" s="4"/>
      <c r="P38" s="4"/>
      <c r="Q38" s="4"/>
    </row>
    <row r="39" spans="1:17" ht="18" hidden="1" customHeight="1">
      <c r="D39" s="4"/>
      <c r="E39" s="4"/>
      <c r="F39" s="21"/>
      <c r="G39" s="4"/>
      <c r="H39" s="4"/>
      <c r="I39" s="4"/>
      <c r="J39" s="4"/>
      <c r="K39" s="4"/>
      <c r="L39" s="5"/>
      <c r="M39" s="4"/>
      <c r="N39" s="4"/>
      <c r="O39" s="4"/>
      <c r="P39" s="4"/>
      <c r="Q39" s="4"/>
    </row>
    <row r="40" spans="1:17" hidden="1">
      <c r="D40" s="4"/>
      <c r="E40" s="4"/>
      <c r="F40" s="17"/>
      <c r="G40" s="4"/>
      <c r="H40" s="4"/>
      <c r="I40" s="4"/>
      <c r="J40" s="4"/>
      <c r="K40" s="4"/>
      <c r="L40" s="5"/>
      <c r="M40" s="4"/>
      <c r="N40" s="4"/>
      <c r="O40" s="4"/>
      <c r="P40" s="4"/>
      <c r="Q40" s="4"/>
    </row>
    <row r="41" spans="1:17" hidden="1">
      <c r="D41" s="4"/>
      <c r="E41" s="4"/>
      <c r="F41" s="25"/>
      <c r="G41" s="4"/>
      <c r="H41" s="4"/>
      <c r="I41" s="4"/>
      <c r="J41" s="4"/>
      <c r="K41" s="4"/>
      <c r="L41" s="5"/>
      <c r="M41" s="4"/>
      <c r="N41" s="4"/>
      <c r="O41" s="4"/>
      <c r="P41" s="4"/>
      <c r="Q41" s="4"/>
    </row>
    <row r="42" spans="1:17" hidden="1">
      <c r="D42" s="4"/>
      <c r="E42" s="4"/>
      <c r="F42" s="17"/>
      <c r="G42" s="4"/>
      <c r="H42" s="4"/>
      <c r="I42" s="4"/>
      <c r="J42" s="4"/>
      <c r="K42" s="4"/>
      <c r="L42" s="5"/>
      <c r="M42" s="4"/>
      <c r="N42" s="4"/>
      <c r="O42" s="4"/>
      <c r="P42" s="4"/>
      <c r="Q42" s="4"/>
    </row>
    <row r="43" spans="1:17" hidden="1">
      <c r="D43" s="4"/>
      <c r="E43" s="4"/>
      <c r="F43" s="17"/>
      <c r="G43" s="4"/>
      <c r="H43" s="4"/>
      <c r="I43" s="4"/>
      <c r="J43" s="4"/>
      <c r="K43" s="4"/>
      <c r="L43" s="5"/>
      <c r="M43" s="4"/>
      <c r="N43" s="4"/>
      <c r="O43" s="4"/>
      <c r="P43" s="4"/>
      <c r="Q43" s="4"/>
    </row>
    <row r="44" spans="1:17" hidden="1">
      <c r="D44" s="4"/>
      <c r="E44" s="4"/>
      <c r="F44" s="17"/>
      <c r="G44" s="4"/>
      <c r="H44" s="4"/>
      <c r="I44" s="4"/>
      <c r="J44" s="4"/>
      <c r="K44" s="4"/>
      <c r="L44" s="5"/>
      <c r="M44" s="4"/>
      <c r="N44" s="4"/>
      <c r="O44" s="4"/>
      <c r="P44" s="4"/>
      <c r="Q44" s="4"/>
    </row>
    <row r="45" spans="1:17" hidden="1">
      <c r="D45" s="4"/>
      <c r="E45" s="4"/>
      <c r="F45" s="17"/>
      <c r="G45" s="4"/>
      <c r="H45" s="4"/>
      <c r="I45" s="4"/>
      <c r="J45" s="4"/>
      <c r="K45" s="4"/>
      <c r="L45" s="5"/>
      <c r="M45" s="4"/>
      <c r="N45" s="4"/>
      <c r="O45" s="4"/>
      <c r="P45" s="4"/>
      <c r="Q45" s="4"/>
    </row>
    <row r="46" spans="1:17" hidden="1">
      <c r="D46" s="4"/>
      <c r="E46" s="4"/>
      <c r="F46" s="17"/>
      <c r="G46" s="4"/>
      <c r="H46" s="4"/>
      <c r="I46" s="4"/>
      <c r="J46" s="4"/>
      <c r="K46" s="4"/>
      <c r="L46" s="5"/>
      <c r="M46" s="4"/>
      <c r="N46" s="4"/>
      <c r="O46" s="4"/>
      <c r="P46" s="4"/>
      <c r="Q46" s="4"/>
    </row>
    <row r="47" spans="1:17" hidden="1">
      <c r="D47" s="4"/>
      <c r="E47" s="4"/>
      <c r="F47" s="17"/>
      <c r="G47" s="4"/>
      <c r="H47" s="4"/>
      <c r="I47" s="4"/>
      <c r="J47" s="4"/>
      <c r="K47" s="4"/>
      <c r="L47" s="5"/>
      <c r="M47" s="4"/>
      <c r="N47" s="4"/>
      <c r="O47" s="4"/>
      <c r="P47" s="4"/>
      <c r="Q47" s="4"/>
    </row>
    <row r="48" spans="1:17" hidden="1">
      <c r="D48" s="4"/>
      <c r="E48" s="4"/>
      <c r="F48" s="17"/>
      <c r="G48" s="4"/>
      <c r="H48" s="4"/>
      <c r="I48" s="4"/>
      <c r="J48" s="4"/>
      <c r="K48" s="4"/>
      <c r="L48" s="5"/>
      <c r="M48" s="4"/>
      <c r="N48" s="4"/>
      <c r="O48" s="4"/>
      <c r="P48" s="4"/>
      <c r="Q48" s="4"/>
    </row>
    <row r="49" spans="4:17" hidden="1">
      <c r="D49" s="4"/>
      <c r="E49" s="4"/>
      <c r="F49" s="17"/>
      <c r="G49" s="4"/>
      <c r="H49" s="4"/>
      <c r="I49" s="4"/>
      <c r="J49" s="4"/>
      <c r="K49" s="4"/>
      <c r="L49" s="5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5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5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5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5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5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5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5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5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5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5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5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5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5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5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5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5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5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5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5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5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5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5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5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5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5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5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5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5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5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5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5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5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5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5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5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5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5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5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5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5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5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5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5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27" t="s">
        <v>181</v>
      </c>
      <c r="B98" s="327"/>
    </row>
    <row r="99" spans="1:2">
      <c r="A99" s="101" t="s">
        <v>87</v>
      </c>
      <c r="B99" s="102" t="str">
        <f ca="1">_xll.SUBNM(Server&amp;"Phase","",$I$10,"")</f>
        <v>LTP_2021_VC</v>
      </c>
    </row>
    <row r="100" spans="1:2">
      <c r="A100" s="101" t="s">
        <v>182</v>
      </c>
      <c r="B100" s="102" t="str">
        <f ca="1">_xll.SUBNM(Server&amp;"Legal_Organization","",$I$12,"")</f>
        <v>VTD_corp</v>
      </c>
    </row>
    <row r="101" spans="1:2">
      <c r="A101" s="101" t="s">
        <v>57</v>
      </c>
      <c r="B101" s="102" t="str">
        <f ca="1">_xll.SUBNM(Server&amp;"Activity","",$I$13,"")</f>
        <v>UR_BU</v>
      </c>
    </row>
    <row r="102" spans="1:2">
      <c r="A102" s="101" t="s">
        <v>183</v>
      </c>
      <c r="B102" s="102" t="str">
        <f ca="1">_xll.SUBNM(Server&amp;"LTP_Components","",$I$11,"")</f>
        <v>Growth_Plan_Orga_Country</v>
      </c>
    </row>
  </sheetData>
  <sheetProtection formatColumns="0" formatRows="0"/>
  <mergeCells count="4">
    <mergeCell ref="H4:I6"/>
    <mergeCell ref="J4:J6"/>
    <mergeCell ref="A98:B98"/>
    <mergeCell ref="J12:K14"/>
  </mergeCells>
  <conditionalFormatting sqref="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2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V13:V14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V13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>
      <formula1>Language</formula1>
    </dataValidation>
    <dataValidation type="list" allowBlank="1" showInputMessage="1" showErrorMessage="1" sqref="I13">
      <formula1>ActivityList</formula1>
    </dataValidation>
    <dataValidation type="list" allowBlank="1" showInputMessage="1" showErrorMessage="1" sqref="I11">
      <formula1>xListLTPComponents</formula1>
    </dataValidation>
  </dataValidations>
  <hyperlinks>
    <hyperlink ref="H21" location="'Plan Input'!A1" display="Plan Input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D0C2A4"/>
  </sheetPr>
  <dimension ref="A1:E21"/>
  <sheetViews>
    <sheetView showGridLines="0" topLeftCell="B1" workbookViewId="0">
      <selection activeCell="C15" sqref="C15"/>
    </sheetView>
  </sheetViews>
  <sheetFormatPr baseColWidth="10" defaultColWidth="9.140625" defaultRowHeight="12.75"/>
  <cols>
    <col min="1" max="1" width="19.42578125" hidden="1" customWidth="1"/>
    <col min="2" max="2" width="46.85546875" bestFit="1" customWidth="1"/>
    <col min="3" max="3" width="73" customWidth="1"/>
    <col min="4" max="4" width="20.7109375" customWidth="1"/>
    <col min="5" max="5" width="10.5703125" customWidth="1"/>
  </cols>
  <sheetData>
    <row r="1" spans="1:5">
      <c r="A1" t="s">
        <v>127</v>
      </c>
    </row>
    <row r="2" spans="1:5">
      <c r="A2">
        <f>0</f>
        <v>0</v>
      </c>
      <c r="B2" s="72"/>
      <c r="C2" s="62"/>
      <c r="D2" s="73"/>
      <c r="E2" s="71"/>
    </row>
    <row r="3" spans="1:5">
      <c r="A3">
        <f>1</f>
        <v>1</v>
      </c>
      <c r="B3" s="72"/>
      <c r="C3" s="63"/>
      <c r="D3" s="73"/>
      <c r="E3" s="71"/>
    </row>
    <row r="4" spans="1:5">
      <c r="A4">
        <f>2</f>
        <v>2</v>
      </c>
      <c r="B4" s="72"/>
      <c r="C4" s="63"/>
      <c r="D4" s="73"/>
      <c r="E4" s="71"/>
    </row>
    <row r="5" spans="1:5">
      <c r="A5">
        <f>3</f>
        <v>3</v>
      </c>
      <c r="B5" s="72"/>
      <c r="C5" s="63"/>
      <c r="D5" s="73"/>
      <c r="E5" s="71"/>
    </row>
    <row r="6" spans="1:5">
      <c r="A6" t="s">
        <v>125</v>
      </c>
      <c r="B6" s="72"/>
      <c r="C6" s="63"/>
      <c r="D6" s="73"/>
      <c r="E6" s="71"/>
    </row>
    <row r="7" spans="1:5">
      <c r="A7" t="s">
        <v>126</v>
      </c>
      <c r="B7" s="72"/>
      <c r="D7" s="73"/>
      <c r="E7" s="71"/>
    </row>
    <row r="8" spans="1:5">
      <c r="A8" t="s">
        <v>128</v>
      </c>
    </row>
    <row r="9" spans="1:5">
      <c r="B9" t="str">
        <f ca="1">_xll.TM1RPTVIEW(Server&amp;"TC_CONTROL_LEGAL_ACTIVITY:ARPT1", 1,TM1RPTFMTRNG,TM1RPTFMTIDCOL)</f>
        <v>tango_core_model:TC_CONTROL_LEGAL_ACTIVITY:ARPT1</v>
      </c>
    </row>
    <row r="10" spans="1:5">
      <c r="B10" s="64" t="str">
        <f ca="1">"{[Legal_Organization].["&amp;$D$12&amp;"]}"</f>
        <v>{[Legal_Organization].[TRANSDEV All]}</v>
      </c>
    </row>
    <row r="11" spans="1:5" ht="120" customHeight="1">
      <c r="B11" s="120"/>
      <c r="C11" s="144" t="str">
        <f ca="1"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[TC_CONTROL_LEGAL_ACTIVITY].([Legal_Organization].[TRANSDEV All],[z_Str_Var].[STR_VAR1])='1'
)}</v>
      </c>
      <c r="D11" s="64" t="s">
        <v>187</v>
      </c>
    </row>
    <row r="12" spans="1:5">
      <c r="B12" s="65" t="s">
        <v>129</v>
      </c>
      <c r="D12" s="60" t="str">
        <f ca="1">_xll.SUBNM(Server&amp;"Legal_Organization","",Context!$I$12,Context!$I$15)</f>
        <v>TRANSDEV All</v>
      </c>
    </row>
    <row r="13" spans="1:5">
      <c r="B13" s="60"/>
      <c r="D13" s="60"/>
    </row>
    <row r="14" spans="1:5">
      <c r="E14" s="61" t="s">
        <v>124</v>
      </c>
    </row>
    <row r="15" spans="1:5">
      <c r="A15" t="str">
        <f ca="1">IF(_xll.TM1RPTELISCONSOLIDATED($C$15,$C15),IF(_xll.TM1RPTELLEV($C$15,$C15)&lt;=3,_xll.TM1RPTELLEV($C$15,$C15),"D"),"N")</f>
        <v>N</v>
      </c>
      <c r="B15" s="260" t="str">
        <f ca="1">_xll.TM1RPTROW($B$9,Server&amp;"Legal_Organization","","",Context!$I$15,0,$B$10,,1)</f>
        <v/>
      </c>
      <c r="C15" s="119" t="str">
        <f ca="1">_xll.TM1RPTROW($B$9,Server&amp;"Activity","",,"",0,$C$11)</f>
        <v/>
      </c>
      <c r="D15" s="73" t="str">
        <f ca="1">_xll.DBRA(Server&amp;"Activity",$C15,Context!$I$15)</f>
        <v/>
      </c>
      <c r="E15" s="71" t="str">
        <f ca="1">_xll.DBRW($B$9,$B15,$C15,E$14)</f>
        <v/>
      </c>
    </row>
    <row r="16" spans="1:5">
      <c r="A16" t="str">
        <f ca="1">IF(_xll.TM1RPTELISCONSOLIDATED($C$15,$C16),IF(_xll.TM1RPTELLEV($C$15,$C16)&lt;=3,_xll.TM1RPTELLEV($C$15,$C16),"D"),"N")</f>
        <v>N</v>
      </c>
      <c r="B16" s="261" t="s">
        <v>253</v>
      </c>
      <c r="C16" s="119" t="s">
        <v>249</v>
      </c>
      <c r="D16" s="73" t="str">
        <f ca="1">_xll.DBRA(Server&amp;"Activity",$C16,Context!$I$15)</f>
        <v>Rail lourd - Activité technique de saisie</v>
      </c>
      <c r="E16" s="71" t="str">
        <f ca="1">_xll.DBRW($B$9,$B16,$C16,E$14)</f>
        <v>*KEY_ERR</v>
      </c>
    </row>
    <row r="17" spans="1:5">
      <c r="A17" t="str">
        <f ca="1">IF(_xll.TM1RPTELISCONSOLIDATED($C$15,$C17),IF(_xll.TM1RPTELLEV($C$15,$C17)&lt;=3,_xll.TM1RPTELLEV($C$15,$C17),"D"),"N")</f>
        <v>N</v>
      </c>
      <c r="B17" s="261" t="s">
        <v>253</v>
      </c>
      <c r="C17" s="119"/>
      <c r="D17" s="73" t="str">
        <f ca="1">_xll.DBRA(Server&amp;"Activity",$C17,Context!$I$15)</f>
        <v>Ferries</v>
      </c>
      <c r="E17" s="71" t="str">
        <f ca="1">_xll.DBRW($B$9,$B17,$C17,E$14)</f>
        <v>*KEY_ERR</v>
      </c>
    </row>
    <row r="18" spans="1:5">
      <c r="A18" t="str">
        <f ca="1">IF(_xll.TM1RPTELISCONSOLIDATED($C$15,$C18),IF(_xll.TM1RPTELLEV($C$15,$C18)&lt;=3,_xll.TM1RPTELLEV($C$15,$C18),"D"),"N")</f>
        <v>N</v>
      </c>
      <c r="B18" s="261" t="s">
        <v>253</v>
      </c>
      <c r="C18" s="119"/>
      <c r="D18" s="73" t="str">
        <f ca="1">_xll.DBRA(Server&amp;"Activity",$C18,Context!$I$15)</f>
        <v>Transport aéroportuaire - Activité technique de saisie</v>
      </c>
      <c r="E18" s="71" t="str">
        <f ca="1">_xll.DBRW($B$9,$B18,$C18,E$14)</f>
        <v>*KEY_ERR</v>
      </c>
    </row>
    <row r="19" spans="1:5">
      <c r="A19" t="str">
        <f ca="1">IF(_xll.TM1RPTELISCONSOLIDATED($C$15,$C19),IF(_xll.TM1RPTELLEV($C$15,$C19)&lt;=3,_xll.TM1RPTELLEV($C$15,$C19),"D"),"N")</f>
        <v>N</v>
      </c>
      <c r="B19" s="261" t="s">
        <v>253</v>
      </c>
      <c r="C19" s="119"/>
      <c r="D19" s="73" t="str">
        <f ca="1">_xll.DBRA(Server&amp;"Activity",$C19,Context!$I$15)</f>
        <v>MaaS</v>
      </c>
      <c r="E19" s="71" t="str">
        <f ca="1">_xll.DBRW($B$9,$B19,$C19,E$14)</f>
        <v>*KEY_ERR</v>
      </c>
    </row>
    <row r="20" spans="1:5">
      <c r="A20" t="str">
        <f ca="1">IF(_xll.TM1RPTELISCONSOLIDATED($C$15,$C20),IF(_xll.TM1RPTELLEV($C$15,$C20)&lt;=3,_xll.TM1RPTELLEV($C$15,$C20),"D"),"N")</f>
        <v>N</v>
      </c>
      <c r="B20" s="261" t="s">
        <v>253</v>
      </c>
      <c r="C20" s="119"/>
      <c r="D20" s="73" t="str">
        <f ca="1">_xll.DBRA(Server&amp;"Activity",$C20,Context!$I$15)</f>
        <v>Holding</v>
      </c>
      <c r="E20" s="71" t="str">
        <f ca="1">_xll.DBRW($B$9,$B20,$C20,E$14)</f>
        <v>*KEY_ERR</v>
      </c>
    </row>
    <row r="21" spans="1:5">
      <c r="A21" t="str">
        <f ca="1">IF(_xll.TM1RPTELISCONSOLIDATED($C$15,$C21),IF(_xll.TM1RPTELLEV($C$15,$C21)&lt;=3,_xll.TM1RPTELLEV($C$15,$C21),"D"),"N")</f>
        <v>N</v>
      </c>
      <c r="B21" s="216" t="s">
        <v>235</v>
      </c>
      <c r="C21" s="119"/>
      <c r="D21" s="73" t="str">
        <f ca="1">_xll.DBRA(Server&amp;"Activity",$C21,Context!$I$15)</f>
        <v>Rail lourd national / international</v>
      </c>
      <c r="E21" s="71" t="str">
        <f ca="1">_xll.DBRW($B$9,$B21,$C21,E$14)</f>
        <v>*KEY_ERR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0000"/>
  </sheetPr>
  <dimension ref="A1:AH184"/>
  <sheetViews>
    <sheetView showGridLines="0" tabSelected="1" zoomScale="70" zoomScaleNormal="70" zoomScalePageLayoutView="40" workbookViewId="0">
      <pane xSplit="3" ySplit="22" topLeftCell="D41" activePane="bottomRight" state="frozen"/>
      <selection activeCell="D4" sqref="D4"/>
      <selection pane="topRight" activeCell="D4" sqref="D4"/>
      <selection pane="bottomLeft" activeCell="D4" sqref="D4"/>
      <selection pane="bottomRight" activeCell="F57" sqref="F56:F57"/>
    </sheetView>
  </sheetViews>
  <sheetFormatPr baseColWidth="10" defaultColWidth="11.42578125" defaultRowHeight="18" customHeight="1" outlineLevelRow="1" outlineLevelCol="1"/>
  <cols>
    <col min="1" max="1" width="34" style="139" hidden="1" customWidth="1" outlineLevel="1"/>
    <col min="2" max="2" width="15.7109375" style="139" hidden="1" customWidth="1" outlineLevel="1"/>
    <col min="3" max="3" width="80.42578125" style="79" customWidth="1" collapsed="1"/>
    <col min="4" max="4" width="11.7109375" style="1" bestFit="1" customWidth="1"/>
    <col min="5" max="5" width="12.140625" style="1" bestFit="1" customWidth="1"/>
    <col min="6" max="6" width="11.7109375" style="1" bestFit="1" customWidth="1"/>
    <col min="7" max="11" width="12.140625" style="1" bestFit="1" customWidth="1"/>
    <col min="12" max="12" width="8" style="2" customWidth="1"/>
    <col min="13" max="13" width="63.7109375" style="2" bestFit="1" customWidth="1"/>
    <col min="14" max="14" width="16.42578125" style="2" hidden="1" customWidth="1"/>
    <col min="15" max="15" width="3.5703125" style="2" hidden="1" customWidth="1"/>
    <col min="16" max="16" width="5.140625" style="2" hidden="1" customWidth="1"/>
    <col min="17" max="17" width="3.5703125" style="2" hidden="1" customWidth="1"/>
    <col min="18" max="18" width="3.85546875" style="2" hidden="1" customWidth="1"/>
    <col min="19" max="19" width="60.42578125" style="2" hidden="1" customWidth="1"/>
    <col min="20" max="28" width="9" style="2" hidden="1" customWidth="1"/>
    <col min="29" max="29" width="6.5703125" style="1" hidden="1" customWidth="1"/>
    <col min="30" max="30" width="10.140625" style="1" hidden="1" customWidth="1"/>
    <col min="31" max="31" width="6.5703125" style="1" customWidth="1"/>
    <col min="32" max="16384" width="11.42578125" style="1"/>
  </cols>
  <sheetData>
    <row r="1" spans="1:34" ht="15.75" hidden="1">
      <c r="A1" s="121"/>
      <c r="B1" s="93"/>
      <c r="C1" s="19" t="str">
        <f ca="1">_xll.SUBNM(Server&amp;"Phase","",Context!I10,"")</f>
        <v>LTP_2021_VC</v>
      </c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34" ht="15.75" hidden="1">
      <c r="A2" s="93"/>
      <c r="B2" s="93"/>
      <c r="C2" s="19" t="str">
        <f ca="1">MID(C1,5,4)</f>
        <v>2021</v>
      </c>
      <c r="D2" s="20" t="str">
        <f ca="1">"F_year_"&amp;$C$2-1</f>
        <v>F_year_2020</v>
      </c>
      <c r="E2" s="20" t="str">
        <f ca="1">"F_year_"&amp;$C$2</f>
        <v>F_year_2021</v>
      </c>
      <c r="F2" s="20" t="str">
        <f ca="1">"F_year_"&amp;$C$2+1</f>
        <v>F_year_2022</v>
      </c>
      <c r="G2" s="20" t="str">
        <f ca="1">"F_year_"&amp;$C$2+2</f>
        <v>F_year_2023</v>
      </c>
      <c r="H2" s="20" t="str">
        <f ca="1">"F_year_"&amp;$C$2+3</f>
        <v>F_year_2024</v>
      </c>
      <c r="I2" s="20" t="str">
        <f ca="1">"F_year_"&amp;$C$2+4</f>
        <v>F_year_2025</v>
      </c>
      <c r="J2" s="20" t="str">
        <f ca="1">"F_year_"&amp;$C$2+5</f>
        <v>F_year_2026</v>
      </c>
      <c r="K2" s="20" t="str">
        <f ca="1">"F_year_"&amp;$C$2+6</f>
        <v>F_year_2027</v>
      </c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34" ht="15.75" hidden="1">
      <c r="A3" s="93"/>
      <c r="B3" s="93"/>
      <c r="C3" t="str">
        <f ca="1">_xll.VIEW(xServer&amp;":ST_LTP_TAXES_INTERESTS_RATES",Context!$I$10,"!",xCountryEntity,"!")</f>
        <v>tango_core_model:ST_LTP_TAXES_INTERESTS_RATES</v>
      </c>
      <c r="D3" s="20" t="str">
        <f ca="1">_xll.DBRA(Server&amp;"Period",$C$2,"Prior Year")</f>
        <v>2020</v>
      </c>
      <c r="E3" s="20" t="str">
        <f ca="1">$C$2</f>
        <v>2021</v>
      </c>
      <c r="F3" s="20" t="str">
        <f ca="1">_xll.DBRA(Server&amp;"Period",C$2,"Next Year")</f>
        <v>2022</v>
      </c>
      <c r="G3" s="20" t="str">
        <f ca="1">_xll.DBRA(Server&amp;"Period",F$3,"Next Year")</f>
        <v>2023</v>
      </c>
      <c r="H3" s="20" t="str">
        <f ca="1">_xll.DBRA(Server&amp;"Period",G$3,"Next Year")</f>
        <v>2024</v>
      </c>
      <c r="I3" s="20" t="str">
        <f ca="1">_xll.DBRA(Server&amp;"Period",H$3,"Next Year")</f>
        <v>2025</v>
      </c>
      <c r="J3" s="20" t="str">
        <f ca="1">_xll.DBRA(Server&amp;"Period",I$3,"Next Year")</f>
        <v>2026</v>
      </c>
      <c r="K3" s="20" t="str">
        <f ca="1">_xll.DBRA(Server&amp;"Period",J$3,"Next Year")</f>
        <v>2027</v>
      </c>
      <c r="L3" s="123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34" ht="15.75" hidden="1">
      <c r="A4" s="93"/>
      <c r="B4" s="93"/>
      <c r="C4" s="19" t="s">
        <v>245</v>
      </c>
      <c r="D4" s="284" t="str">
        <f ca="1">_xll.DBRW($C$3,Context!$I$10,D$2,xCountryEntity,$C4)</f>
        <v/>
      </c>
      <c r="E4" s="284" t="str">
        <f ca="1">_xll.DBRW($C$3,Context!$I$10,E$2,xCountryEntity,$C4)</f>
        <v/>
      </c>
      <c r="F4" s="284" t="str">
        <f ca="1">_xll.DBRW($C$3,Context!$I$10,F$2,xCountryEntity,$C4)</f>
        <v/>
      </c>
      <c r="G4" s="284" t="str">
        <f ca="1">_xll.DBRW($C$3,Context!$I$10,G$2,xCountryEntity,$C4)</f>
        <v/>
      </c>
      <c r="H4" s="284" t="str">
        <f ca="1">_xll.DBRW($C$3,Context!$I$10,H$2,xCountryEntity,$C4)</f>
        <v/>
      </c>
      <c r="I4" s="284" t="str">
        <f ca="1">_xll.DBRW($C$3,Context!$I$10,I$2,xCountryEntity,$C4)</f>
        <v/>
      </c>
      <c r="J4" s="284" t="str">
        <f ca="1">_xll.DBRW($C$3,Context!$I$10,J$2,xCountryEntity,$C4)</f>
        <v/>
      </c>
      <c r="K4" s="284" t="str">
        <f ca="1">_xll.DBRW($C$3,Context!$I$10,K$2,xCountryEntity,$C4)</f>
        <v/>
      </c>
      <c r="L4" s="123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34" ht="15.75" hidden="1">
      <c r="A5" s="93"/>
      <c r="B5" s="93"/>
      <c r="C5" s="19" t="s">
        <v>246</v>
      </c>
      <c r="D5" s="284" t="str">
        <f ca="1">_xll.DBRW($C$3,Context!$I$10,D$2,xCountryEntity,$C5)</f>
        <v/>
      </c>
      <c r="E5" s="284" t="str">
        <f ca="1">_xll.DBRW($C$3,Context!$I$10,E$2,xCountryEntity,$C5)</f>
        <v/>
      </c>
      <c r="F5" s="284" t="str">
        <f ca="1">_xll.DBRW($C$3,Context!$I$10,F$2,xCountryEntity,$C5)</f>
        <v/>
      </c>
      <c r="G5" s="284" t="str">
        <f ca="1">_xll.DBRW($C$3,Context!$I$10,G$2,xCountryEntity,$C5)</f>
        <v/>
      </c>
      <c r="H5" s="284" t="str">
        <f ca="1">_xll.DBRW($C$3,Context!$I$10,H$2,xCountryEntity,$C5)</f>
        <v/>
      </c>
      <c r="I5" s="284" t="str">
        <f ca="1">_xll.DBRW($C$3,Context!$I$10,I$2,xCountryEntity,$C5)</f>
        <v/>
      </c>
      <c r="J5" s="284" t="str">
        <f ca="1">_xll.DBRW($C$3,Context!$I$10,J$2,xCountryEntity,$C5)</f>
        <v/>
      </c>
      <c r="K5" s="284" t="str">
        <f ca="1">_xll.DBRW($C$3,Context!$I$10,K$2,xCountryEntity,$C5)</f>
        <v/>
      </c>
      <c r="L5" s="123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34" ht="15.75" hidden="1">
      <c r="A6" s="93"/>
      <c r="B6" s="93"/>
      <c r="C6" s="19" t="s">
        <v>247</v>
      </c>
      <c r="D6" s="284" t="str">
        <f ca="1">_xll.DBRW($C$3,Context!$I$10,D$2,xCountryEntity,$C6)</f>
        <v/>
      </c>
      <c r="E6" s="284" t="str">
        <f ca="1">_xll.DBRW($C$3,Context!$I$10,E$2,xCountryEntity,$C6)</f>
        <v/>
      </c>
      <c r="F6" s="284" t="str">
        <f ca="1">_xll.DBRW($C$3,Context!$I$10,F$2,xCountryEntity,$C6)</f>
        <v/>
      </c>
      <c r="G6" s="284" t="str">
        <f ca="1">_xll.DBRW($C$3,Context!$I$10,G$2,xCountryEntity,$C6)</f>
        <v/>
      </c>
      <c r="H6" s="284" t="str">
        <f ca="1">_xll.DBRW($C$3,Context!$I$10,H$2,xCountryEntity,$C6)</f>
        <v/>
      </c>
      <c r="I6" s="284" t="str">
        <f ca="1">_xll.DBRW($C$3,Context!$I$10,I$2,xCountryEntity,$C6)</f>
        <v/>
      </c>
      <c r="J6" s="284" t="str">
        <f ca="1">_xll.DBRW($C$3,Context!$I$10,J$2,xCountryEntity,$C6)</f>
        <v/>
      </c>
      <c r="K6" s="284" t="str">
        <f ca="1">_xll.DBRW($C$3,Context!$I$10,K$2,xCountryEntity,$C6)</f>
        <v/>
      </c>
      <c r="L6" s="123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34" ht="15.75" hidden="1">
      <c r="A7" s="93"/>
      <c r="B7" s="93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34" ht="36">
      <c r="A8" s="93"/>
      <c r="B8" s="93"/>
      <c r="C8" s="303"/>
      <c r="D8" s="329" t="s">
        <v>222</v>
      </c>
      <c r="E8" s="330"/>
      <c r="F8" s="330"/>
      <c r="G8" s="330"/>
      <c r="H8" s="330"/>
      <c r="I8" s="330"/>
      <c r="J8" s="330"/>
      <c r="K8" s="303"/>
      <c r="N8" s="78"/>
      <c r="O8" s="78"/>
      <c r="P8" s="78"/>
      <c r="Q8" s="78"/>
      <c r="R8" s="78"/>
      <c r="S8" s="215" t="s">
        <v>255</v>
      </c>
      <c r="T8" s="78"/>
      <c r="U8" s="78"/>
      <c r="V8" s="78"/>
      <c r="W8" s="78"/>
      <c r="X8" s="78"/>
      <c r="Y8" s="78"/>
      <c r="Z8" s="78"/>
      <c r="AA8" s="78"/>
      <c r="AB8" s="78"/>
    </row>
    <row r="9" spans="1:34" s="324" customFormat="1" ht="49.5" customHeight="1" thickBot="1">
      <c r="A9" s="314"/>
      <c r="B9" s="314"/>
      <c r="C9" s="322"/>
      <c r="D9" s="340" t="str">
        <f ca="1">Context!I11&amp;" - "&amp;Context!I12&amp;" - "&amp;ctx_activity_Context</f>
        <v>CORG - Pays - TRANSDEV All - Bus (Urbain)</v>
      </c>
      <c r="E9" s="340"/>
      <c r="F9" s="340"/>
      <c r="G9" s="340"/>
      <c r="H9" s="340"/>
      <c r="I9" s="340"/>
      <c r="J9" s="340"/>
      <c r="K9" s="340"/>
      <c r="L9" s="142"/>
      <c r="M9" s="142"/>
      <c r="N9" s="323"/>
      <c r="O9" s="323"/>
      <c r="P9" s="323"/>
      <c r="Q9" s="323"/>
      <c r="R9" s="323"/>
      <c r="S9" s="124" t="s">
        <v>88</v>
      </c>
      <c r="T9" s="323"/>
      <c r="U9" s="323"/>
      <c r="V9" s="323"/>
      <c r="W9" s="323"/>
      <c r="X9" s="323"/>
      <c r="Y9" s="323"/>
      <c r="Z9" s="323"/>
      <c r="AA9" s="323"/>
      <c r="AB9" s="323"/>
    </row>
    <row r="10" spans="1:34" ht="42.75" hidden="1" thickBo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N10" s="78"/>
      <c r="O10" s="78"/>
      <c r="P10" s="78"/>
      <c r="Q10" s="78"/>
      <c r="R10" s="78"/>
      <c r="S10" s="125" t="s">
        <v>147</v>
      </c>
      <c r="T10" s="78"/>
      <c r="U10" s="78"/>
      <c r="V10" s="78"/>
      <c r="W10" s="78"/>
      <c r="X10" s="78"/>
      <c r="Y10" s="78"/>
      <c r="Z10" s="78"/>
      <c r="AA10" s="78"/>
      <c r="AB10" s="78"/>
    </row>
    <row r="11" spans="1:34" s="83" customFormat="1" ht="10.5" customHeight="1">
      <c r="A11" s="93"/>
      <c r="B11" s="93"/>
      <c r="D11" s="84"/>
      <c r="L11" s="126"/>
      <c r="M11" s="2"/>
      <c r="N11" s="78"/>
      <c r="O11" s="78"/>
      <c r="P11" s="78"/>
      <c r="Q11" s="78"/>
      <c r="R11" s="78"/>
      <c r="S11" s="125" t="s">
        <v>108</v>
      </c>
      <c r="T11" s="78"/>
      <c r="U11" s="78"/>
      <c r="V11" s="78"/>
      <c r="W11" s="78"/>
      <c r="X11" s="78"/>
      <c r="Y11" s="78"/>
      <c r="Z11" s="78"/>
      <c r="AA11" s="78"/>
      <c r="AB11" s="78"/>
    </row>
    <row r="12" spans="1:34" ht="42" hidden="1">
      <c r="A12" s="100" t="s">
        <v>56</v>
      </c>
      <c r="B12" s="127" t="s">
        <v>99</v>
      </c>
      <c r="C12" s="81"/>
      <c r="D12" s="80"/>
      <c r="E12" s="82"/>
      <c r="F12" s="82"/>
      <c r="G12" s="82"/>
      <c r="H12" s="82"/>
      <c r="I12" s="82"/>
      <c r="J12" s="82"/>
      <c r="K12" s="82"/>
      <c r="M12" s="92"/>
      <c r="N12" s="78"/>
      <c r="O12" s="78"/>
      <c r="P12" s="78"/>
      <c r="Q12" s="78"/>
      <c r="R12" s="78"/>
      <c r="S12" s="125" t="s">
        <v>188</v>
      </c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</row>
    <row r="13" spans="1:34" ht="13.5" customHeight="1">
      <c r="A13" s="128" t="s">
        <v>144</v>
      </c>
      <c r="B13" s="129" t="s">
        <v>145</v>
      </c>
      <c r="C13" s="196"/>
      <c r="D13" s="196"/>
      <c r="E13" s="331" t="str">
        <f ca="1">Context!$J$12</f>
        <v>Incorrect Context! Save date will be impossible!</v>
      </c>
      <c r="F13" s="331"/>
      <c r="G13" s="82"/>
      <c r="H13" s="82"/>
      <c r="M13" s="92"/>
      <c r="N13" s="78"/>
      <c r="O13" s="78"/>
      <c r="P13" s="78"/>
      <c r="Q13" s="78"/>
      <c r="R13" s="78"/>
      <c r="S13" s="130" t="s">
        <v>189</v>
      </c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</row>
    <row r="14" spans="1:34" ht="13.5" customHeight="1">
      <c r="A14" s="128" t="s">
        <v>146</v>
      </c>
      <c r="B14" s="129" t="str">
        <f ca="1">_xll.SUBNM(Server&amp;"Currency","",Context!$I$14,"")</f>
        <v>KLCL</v>
      </c>
      <c r="C14" s="196"/>
      <c r="D14" s="196"/>
      <c r="E14" s="331" t="s">
        <v>190</v>
      </c>
      <c r="F14" s="331"/>
      <c r="G14" s="82"/>
      <c r="H14" s="82"/>
      <c r="M14" s="92"/>
      <c r="N14" s="78"/>
      <c r="O14" s="78"/>
      <c r="P14" s="78"/>
      <c r="Q14" s="78"/>
      <c r="R14" s="78"/>
      <c r="S14" s="130" t="s">
        <v>119</v>
      </c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H14"/>
    </row>
    <row r="15" spans="1:34" ht="26.25" customHeight="1">
      <c r="A15" s="93"/>
      <c r="B15" s="93"/>
      <c r="C15" s="139"/>
      <c r="D15" s="196"/>
      <c r="E15" s="331"/>
      <c r="F15" s="331"/>
      <c r="G15" s="82"/>
      <c r="H15" s="82"/>
      <c r="J15" s="82"/>
      <c r="M15" s="92"/>
      <c r="N15" s="78"/>
      <c r="O15" s="78"/>
      <c r="P15" s="78"/>
      <c r="Q15" s="78"/>
      <c r="R15" s="78"/>
      <c r="S15" s="130" t="s">
        <v>120</v>
      </c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</row>
    <row r="16" spans="1:34" s="83" customFormat="1" ht="26.25" hidden="1" customHeight="1">
      <c r="A16" s="93"/>
      <c r="B16" s="93"/>
      <c r="C16" s="196"/>
      <c r="D16" s="196"/>
      <c r="L16" s="126"/>
      <c r="M16" s="2"/>
      <c r="N16" s="78"/>
      <c r="O16" s="78"/>
      <c r="P16" s="78"/>
      <c r="Q16" s="78"/>
      <c r="R16" s="78"/>
      <c r="S16" s="131" t="s">
        <v>121</v>
      </c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9.75" customHeight="1" thickBot="1">
      <c r="A17" s="93"/>
      <c r="B17" s="93"/>
      <c r="C17" s="196"/>
      <c r="D17" s="196"/>
      <c r="L17" s="126"/>
      <c r="M17" s="2"/>
      <c r="N17" s="78"/>
      <c r="O17" s="78"/>
      <c r="P17" s="78"/>
      <c r="Q17" s="78"/>
      <c r="R17" s="78"/>
      <c r="S17" s="132" t="s">
        <v>122</v>
      </c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8.25" customHeight="1">
      <c r="A18" s="93"/>
      <c r="B18" s="93"/>
      <c r="D18" s="332" t="str">
        <f ca="1">Context!I10</f>
        <v>LTP_2021_VC</v>
      </c>
      <c r="E18" s="333"/>
      <c r="F18" s="333"/>
      <c r="G18" s="333"/>
      <c r="H18" s="333"/>
      <c r="I18" s="333"/>
      <c r="J18" s="333"/>
      <c r="K18" s="333"/>
      <c r="L18" s="126"/>
      <c r="M18" s="2"/>
      <c r="N18" s="78"/>
      <c r="O18" s="78"/>
      <c r="P18" s="78"/>
      <c r="Q18" s="78"/>
      <c r="R18" s="78"/>
      <c r="S18" t="s">
        <v>180</v>
      </c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 thickBot="1">
      <c r="A19" s="93"/>
      <c r="B19" s="93"/>
      <c r="D19" s="334"/>
      <c r="E19" s="335"/>
      <c r="F19" s="335"/>
      <c r="G19" s="335"/>
      <c r="H19" s="335"/>
      <c r="I19" s="335"/>
      <c r="J19" s="335"/>
      <c r="K19" s="335"/>
      <c r="L19" s="126"/>
      <c r="M19" s="2"/>
      <c r="N19" s="78"/>
      <c r="O19" s="78"/>
      <c r="P19" s="78"/>
      <c r="Q19" s="78"/>
      <c r="R19" s="78"/>
      <c r="S19" s="130" t="s">
        <v>123</v>
      </c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 thickTop="1">
      <c r="A20" s="93"/>
      <c r="B20" s="93"/>
      <c r="D20" s="336" t="str">
        <f ca="1">_xll.DBRA(Server&amp;"Period",D$3,Context!$I$15)</f>
        <v>2020</v>
      </c>
      <c r="E20" s="338" t="str">
        <f ca="1">_xll.DBRA(Server&amp;"Period",E$3,Context!$I$15)</f>
        <v>2021</v>
      </c>
      <c r="F20" s="338" t="str">
        <f ca="1">_xll.DBRA(Server&amp;"Period",F$3,Context!$I$15)</f>
        <v>2022</v>
      </c>
      <c r="G20" s="338" t="str">
        <f ca="1">_xll.DBRA(Server&amp;"Period",G$3,Context!$I$15)</f>
        <v>2023</v>
      </c>
      <c r="H20" s="338" t="str">
        <f ca="1">_xll.DBRA(Server&amp;"Period",H$3,Context!$I$15)</f>
        <v>2024</v>
      </c>
      <c r="I20" s="338" t="str">
        <f ca="1">_xll.DBRA(Server&amp;"Period",I$3,Context!$I$15)</f>
        <v>2025</v>
      </c>
      <c r="J20" s="338" t="str">
        <f ca="1">_xll.DBRA(Server&amp;"Period",J$3,Context!$I$15)</f>
        <v>2026</v>
      </c>
      <c r="K20" s="338" t="str">
        <f ca="1">_xll.DBRA(Server&amp;"Period",K$3,Context!$I$15)</f>
        <v>2027</v>
      </c>
      <c r="L20" s="126"/>
      <c r="M20" s="2"/>
      <c r="N20" s="78"/>
      <c r="O20" s="78"/>
      <c r="P20" s="78"/>
      <c r="Q20" s="78"/>
      <c r="R20" s="78"/>
      <c r="S20" s="130" t="s">
        <v>177</v>
      </c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37"/>
      <c r="E21" s="339"/>
      <c r="F21" s="339"/>
      <c r="G21" s="339"/>
      <c r="H21" s="339"/>
      <c r="I21" s="339"/>
      <c r="J21" s="339"/>
      <c r="K21" s="339"/>
      <c r="L21" s="126"/>
      <c r="M21" s="2"/>
      <c r="N21" s="78"/>
      <c r="O21" s="78"/>
      <c r="P21" s="78"/>
      <c r="Q21" s="78"/>
      <c r="R21" s="78"/>
      <c r="S21" s="45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s="320" customFormat="1" ht="15" customHeight="1" thickTop="1">
      <c r="A22" s="314"/>
      <c r="B22" s="314"/>
      <c r="C22" s="315"/>
      <c r="D22" s="316" t="str">
        <f ca="1">_xll.DBRW("tango_core_model:TC_LTP_Version_Annee_Ouverture",$C$1,D$2,"STR_VAR1")</f>
        <v>Actual</v>
      </c>
      <c r="E22" s="316" t="str">
        <f ca="1">_xll.DBRW("tango_core_model:TC_LTP_Version_Annee_Ouverture",$C$1,E$2,"STR_VAR1")</f>
        <v>F2</v>
      </c>
      <c r="F22" s="316" t="str">
        <f ca="1">_xll.DBRW("tango_core_model:TC_LTP_Version_Annee_Ouverture",$C$1,F$2,"STR_VAR1")</f>
        <v>Budget</v>
      </c>
      <c r="G22" s="316" t="str">
        <f ca="1">_xll.DBRW("tango_core_model:TC_LTP_Version_Annee_Ouverture",$C$1,G$2,"STR_VAR1")</f>
        <v>LTP</v>
      </c>
      <c r="H22" s="316" t="str">
        <f ca="1">_xll.DBRW("tango_core_model:TC_LTP_Version_Annee_Ouverture",$C$1,H$2,"STR_VAR1")</f>
        <v>LTP</v>
      </c>
      <c r="I22" s="316" t="str">
        <f ca="1">_xll.DBRW("tango_core_model:TC_LTP_Version_Annee_Ouverture",$C$1,I$2,"STR_VAR1")</f>
        <v>LTP</v>
      </c>
      <c r="J22" s="316" t="str">
        <f ca="1">_xll.DBRW("tango_core_model:TC_LTP_Version_Annee_Ouverture",$C$1,J$2,"STR_VAR1")</f>
        <v>LTP</v>
      </c>
      <c r="K22" s="316" t="str">
        <f ca="1">_xll.DBRW("tango_core_model:TC_LTP_Version_Annee_Ouverture",$C$1,K$2,"STR_VAR1")</f>
        <v>LTP</v>
      </c>
      <c r="L22" s="317"/>
      <c r="M22" s="317"/>
      <c r="N22" s="318"/>
      <c r="O22" s="318"/>
      <c r="P22" s="318"/>
      <c r="Q22" s="318"/>
      <c r="R22" s="318"/>
      <c r="S22" s="319" t="s">
        <v>178</v>
      </c>
      <c r="T22" s="318"/>
      <c r="U22" s="318"/>
      <c r="V22" s="318"/>
      <c r="W22" s="318"/>
      <c r="X22" s="318"/>
      <c r="Y22" s="318"/>
      <c r="Z22" s="318"/>
      <c r="AA22" s="318"/>
      <c r="AB22" s="318"/>
    </row>
    <row r="23" spans="1:28" ht="23.25" customHeight="1">
      <c r="A23" s="93"/>
      <c r="B23" s="121" t="s">
        <v>107</v>
      </c>
      <c r="C23" s="276" t="str">
        <f ca="1">_xll.DBRA(Server&amp;$S$9,$S$15,Context!$I$15)&amp;" " &amp;_xll.DBRA(Server&amp;$S$9,$T$100,Context!$I$15)</f>
        <v>II - INDICATEURS P&amp;L (KLCL)</v>
      </c>
      <c r="D23" s="96"/>
      <c r="E23" s="97"/>
      <c r="F23" s="97"/>
      <c r="G23" s="97"/>
      <c r="H23" s="97"/>
      <c r="I23" s="97"/>
      <c r="J23" s="97"/>
      <c r="K23" s="97"/>
      <c r="L23" s="1"/>
      <c r="N23" s="78"/>
      <c r="O23" s="78"/>
      <c r="P23" s="78"/>
      <c r="Q23" s="78"/>
      <c r="R23" s="78"/>
      <c r="S23" s="133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6.75" customHeight="1" thickBot="1">
      <c r="A24" s="93"/>
      <c r="B24" s="93"/>
      <c r="C24" s="98"/>
      <c r="D24" s="99"/>
      <c r="E24" s="99"/>
      <c r="F24" s="99"/>
      <c r="G24" s="99"/>
      <c r="H24" s="99"/>
      <c r="I24" s="99"/>
      <c r="J24" s="99"/>
      <c r="K24" s="99"/>
      <c r="L24" s="1"/>
      <c r="N24" s="78"/>
      <c r="O24" s="78"/>
      <c r="P24" s="78"/>
      <c r="Q24" s="78"/>
      <c r="R24" s="78"/>
      <c r="S24" s="134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178" t="s">
        <v>148</v>
      </c>
      <c r="B25" s="178" t="s">
        <v>148</v>
      </c>
      <c r="C25" s="217" t="str">
        <f ca="1">_xll.DBRA(Server&amp;$B$23,$B25,Context!$I$15)</f>
        <v>Revenus des activités contractuelles</v>
      </c>
      <c r="D25" s="223">
        <f ca="1">_xll.DBRW(Server&amp;Cube1,Context!$I$13,Context!$T$6,Context!$I$11,'Plan Input'!$B$12,Context!$I$12,'Plan Input'!D$2,Context!$I$10,'Plan Input'!$A25)</f>
        <v>0</v>
      </c>
      <c r="E25" s="223">
        <f ca="1">_xll.DBRW(Server&amp;Cube1,Context!$I$13,Context!$T$6,Context!$I$11,'Plan Input'!$B$12,Context!$I$12,'Plan Input'!E$2,Context!$I$10,'Plan Input'!$A25)</f>
        <v>0</v>
      </c>
      <c r="F25" s="223">
        <f ca="1">_xll.DBRW(Server&amp;Cube1,Context!$I$13,Context!$T$6,Context!$I$11,'Plan Input'!$B$12,Context!$I$12,'Plan Input'!F$2,Context!$I$10,'Plan Input'!$A25)</f>
        <v>0</v>
      </c>
      <c r="G25" s="224">
        <v>10000</v>
      </c>
      <c r="H25" s="224">
        <v>10000</v>
      </c>
      <c r="I25" s="224">
        <v>10000</v>
      </c>
      <c r="J25" s="224">
        <v>10000</v>
      </c>
      <c r="K25" s="224">
        <v>10000</v>
      </c>
      <c r="L25" s="1"/>
      <c r="N25" s="78"/>
      <c r="O25" s="78"/>
      <c r="P25" s="78"/>
      <c r="Q25" s="78"/>
      <c r="R25" s="78"/>
      <c r="S25" s="125" t="s">
        <v>63</v>
      </c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178" t="s">
        <v>0</v>
      </c>
      <c r="B26" s="178" t="s">
        <v>0</v>
      </c>
      <c r="C26" s="218" t="str">
        <f ca="1">_xll.DBRA(Server&amp;$B$23,$B26,Context!$I$15)</f>
        <v>Produit des activités de fin. pour autrui (IFRIC12)</v>
      </c>
      <c r="D26" s="223">
        <f ca="1">_xll.DBRW(Server&amp;Cube1,Context!$I$13,Context!$T$6,Context!$I$11,'Plan Input'!$B$12,Context!$I$12,'Plan Input'!D$2,Context!$I$10,'Plan Input'!$A26)</f>
        <v>0</v>
      </c>
      <c r="E26" s="223">
        <f ca="1">_xll.DBRW(Server&amp;Cube1,Context!$I$13,Context!$T$6,Context!$I$11,'Plan Input'!$B$12,Context!$I$12,'Plan Input'!E$2,Context!$I$10,'Plan Input'!$A26)</f>
        <v>0</v>
      </c>
      <c r="F26" s="223">
        <f ca="1">_xll.DBRW(Server&amp;Cube1,Context!$I$13,Context!$T$6,Context!$I$11,'Plan Input'!$B$12,Context!$I$12,'Plan Input'!F$2,Context!$I$10,'Plan Input'!$A26)</f>
        <v>0</v>
      </c>
      <c r="G26" s="275">
        <f>G127</f>
        <v>10000</v>
      </c>
      <c r="H26" s="275">
        <f t="shared" ref="H26:K26" si="0">H127</f>
        <v>10000</v>
      </c>
      <c r="I26" s="275">
        <f t="shared" si="0"/>
        <v>10000</v>
      </c>
      <c r="J26" s="275">
        <f t="shared" si="0"/>
        <v>10000</v>
      </c>
      <c r="K26" s="275">
        <f t="shared" si="0"/>
        <v>10000</v>
      </c>
      <c r="L26" s="1"/>
      <c r="N26" s="78"/>
      <c r="O26" s="78"/>
      <c r="P26" s="78"/>
      <c r="Q26" s="78"/>
      <c r="R26" s="78"/>
      <c r="S26" s="131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178" t="s">
        <v>59</v>
      </c>
      <c r="B27" s="178" t="s">
        <v>59</v>
      </c>
      <c r="C27" s="148" t="str">
        <f ca="1">_xll.DBRA(Server&amp;$B$23,$B27,Context!$I$15)</f>
        <v>Produit des activités ordinaires</v>
      </c>
      <c r="D27" s="227">
        <f ca="1">_xll.DBRW(Server&amp;Cube1,Context!$I$13,Context!$T$6,Context!$I$11,'Plan Input'!$B$12,Context!$I$12,'Plan Input'!D$2,Context!$I$10,'Plan Input'!$A27)</f>
        <v>0</v>
      </c>
      <c r="E27" s="227">
        <f ca="1">_xll.DBRW(Server&amp;Cube1,Context!$I$13,Context!$T$6,Context!$I$11,'Plan Input'!$B$12,Context!$I$12,'Plan Input'!E$2,Context!$I$10,'Plan Input'!$A27)</f>
        <v>0</v>
      </c>
      <c r="F27" s="227">
        <f ca="1">_xll.DBRW(Server&amp;Cube1,Context!$I$13,Context!$T$6,Context!$I$11,'Plan Input'!$B$12,Context!$I$12,'Plan Input'!F$2,Context!$I$10,'Plan Input'!$A27)</f>
        <v>0</v>
      </c>
      <c r="G27" s="227">
        <f>G25+G26</f>
        <v>20000</v>
      </c>
      <c r="H27" s="227">
        <f t="shared" ref="H27:K27" si="1">H25+H26</f>
        <v>20000</v>
      </c>
      <c r="I27" s="227">
        <f t="shared" si="1"/>
        <v>20000</v>
      </c>
      <c r="J27" s="227">
        <f t="shared" si="1"/>
        <v>20000</v>
      </c>
      <c r="K27" s="227">
        <f t="shared" si="1"/>
        <v>20000</v>
      </c>
      <c r="L27" s="1"/>
      <c r="M27" s="290"/>
      <c r="N27" s="78"/>
      <c r="O27" s="78"/>
      <c r="P27" s="78"/>
      <c r="Q27" s="78"/>
      <c r="R27" s="78"/>
      <c r="S27" s="131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8.25" customHeight="1">
      <c r="A28" s="178"/>
      <c r="B28" s="178"/>
      <c r="C28" s="219" t="str">
        <f ca="1">_xll.DBRA(Server&amp;$B$23,$B28,Context!$I$15)</f>
        <v/>
      </c>
      <c r="D28" s="228"/>
      <c r="E28" s="228"/>
      <c r="F28" s="228"/>
      <c r="G28" s="228"/>
      <c r="H28" s="228"/>
      <c r="I28" s="228"/>
      <c r="J28" s="228"/>
      <c r="K28" s="228"/>
      <c r="L28" s="1"/>
      <c r="N28" s="78"/>
      <c r="O28" s="78"/>
      <c r="P28" s="78"/>
      <c r="Q28" s="78"/>
      <c r="R28" s="78"/>
      <c r="S28" s="131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.75">
      <c r="A29" s="178" t="s">
        <v>241</v>
      </c>
      <c r="B29" s="178" t="s">
        <v>241</v>
      </c>
      <c r="C29" s="220" t="str">
        <f ca="1">_xll.DBRA(Server&amp;$B$23,$B29,Context!$I$15)</f>
        <v>Coûts opérationnels excl. FS &amp; éléments non cash</v>
      </c>
      <c r="D29" s="265">
        <f ca="1">_xll.DBRW(Server&amp;Cube1,Context!$I$13,Context!$T$6,Context!$I$11,'Plan Input'!$B$12,Context!$I$12,'Plan Input'!D$2,Context!$I$10,'Plan Input'!$A29)</f>
        <v>0</v>
      </c>
      <c r="E29" s="265">
        <f ca="1">_xll.DBRW(Server&amp;Cube1,Context!$I$13,Context!$T$6,Context!$I$11,'Plan Input'!$B$12,Context!$I$12,'Plan Input'!E$2,Context!$I$10,'Plan Input'!$A29)</f>
        <v>0</v>
      </c>
      <c r="F29" s="265">
        <f ca="1">_xll.DBRW(Server&amp;Cube1,Context!$I$13,Context!$T$6,Context!$I$11,'Plan Input'!$B$12,Context!$I$12,'Plan Input'!F$2,Context!$I$10,'Plan Input'!$A29)</f>
        <v>0</v>
      </c>
      <c r="G29" s="224">
        <v>-5000</v>
      </c>
      <c r="H29" s="224">
        <v>-5000</v>
      </c>
      <c r="I29" s="224">
        <v>-5000</v>
      </c>
      <c r="J29" s="224">
        <v>-5000</v>
      </c>
      <c r="K29" s="224">
        <v>-5000</v>
      </c>
      <c r="L29" s="1"/>
      <c r="N29" s="78"/>
      <c r="O29" s="78"/>
      <c r="P29" s="78"/>
      <c r="Q29" s="78"/>
      <c r="R29" s="78"/>
      <c r="S29" s="131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178" t="s">
        <v>150</v>
      </c>
      <c r="B30" s="178" t="s">
        <v>150</v>
      </c>
      <c r="C30" s="220" t="str">
        <f ca="1">_xll.DBRA(Server&amp;$B$23,$B30,Context!$I$15)</f>
        <v>Management fees</v>
      </c>
      <c r="D30" s="265">
        <f ca="1">_xll.DBRW(Server&amp;Cube1,Context!$I$13,Context!$T$6,Context!$I$11,'Plan Input'!$B$12,Context!$I$12,'Plan Input'!D$2,Context!$I$10,'Plan Input'!$A30)</f>
        <v>0</v>
      </c>
      <c r="E30" s="265">
        <f ca="1">_xll.DBRW(Server&amp;Cube1,Context!$I$13,Context!$T$6,Context!$I$11,'Plan Input'!$B$12,Context!$I$12,'Plan Input'!E$2,Context!$I$10,'Plan Input'!$A30)</f>
        <v>0</v>
      </c>
      <c r="F30" s="265">
        <f ca="1">_xll.DBRW(Server&amp;Cube1,Context!$I$13,Context!$T$6,Context!$I$11,'Plan Input'!$B$12,Context!$I$12,'Plan Input'!F$2,Context!$I$10,'Plan Input'!$A30)</f>
        <v>0</v>
      </c>
      <c r="G30" s="224">
        <v>-30</v>
      </c>
      <c r="H30" s="224">
        <v>-30</v>
      </c>
      <c r="I30" s="224">
        <v>-30</v>
      </c>
      <c r="J30" s="224">
        <v>-30</v>
      </c>
      <c r="K30" s="224">
        <v>-30</v>
      </c>
      <c r="L30" s="1"/>
      <c r="N30" s="78"/>
      <c r="O30" s="78"/>
      <c r="P30" s="78"/>
      <c r="Q30" s="78"/>
      <c r="R30" s="78"/>
      <c r="S30" s="131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178" t="s">
        <v>8</v>
      </c>
      <c r="B31" s="178" t="s">
        <v>8</v>
      </c>
      <c r="C31" s="148" t="str">
        <f ca="1">_xll.DBRA(Server&amp;$B$23,$B31,Context!$I$15)</f>
        <v>CAF OPERATIONNELLE</v>
      </c>
      <c r="D31" s="227">
        <f ca="1">_xll.DBRW(Server&amp;Cube1,Context!$I$13,Context!$T$6,Context!$I$11,'Plan Input'!$B$12,Context!$I$12,'Plan Input'!D$2,Context!$I$10,'Plan Input'!$A31)</f>
        <v>0</v>
      </c>
      <c r="E31" s="227">
        <f ca="1">_xll.DBRW(Server&amp;Cube1,Context!$I$13,Context!$T$6,Context!$I$11,'Plan Input'!$B$12,Context!$I$12,'Plan Input'!E$2,Context!$I$10,'Plan Input'!$A31)</f>
        <v>0</v>
      </c>
      <c r="F31" s="227">
        <f ca="1">_xll.DBRW(Server&amp;Cube1,Context!$I$13,Context!$T$6,Context!$I$11,'Plan Input'!$B$12,Context!$I$12,'Plan Input'!F$2,Context!$I$10,'Plan Input'!$A31)</f>
        <v>0</v>
      </c>
      <c r="G31" s="227">
        <f>G27+G29+G30</f>
        <v>14970</v>
      </c>
      <c r="H31" s="227">
        <f t="shared" ref="H31:K31" si="2">H27+H29+H30</f>
        <v>14970</v>
      </c>
      <c r="I31" s="227">
        <f t="shared" si="2"/>
        <v>14970</v>
      </c>
      <c r="J31" s="227">
        <f t="shared" si="2"/>
        <v>14970</v>
      </c>
      <c r="K31" s="227">
        <f t="shared" si="2"/>
        <v>14970</v>
      </c>
      <c r="L31" s="1"/>
      <c r="N31" s="78"/>
      <c r="O31" s="78"/>
      <c r="P31" s="78"/>
      <c r="Q31" s="78"/>
      <c r="R31" s="78"/>
      <c r="S31" s="131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.75">
      <c r="A32" s="178" t="s">
        <v>238</v>
      </c>
      <c r="B32" s="178" t="s">
        <v>238</v>
      </c>
      <c r="C32" s="220" t="str">
        <f ca="1">_xll.DBRA(Server&amp;$B$23,$B32,Context!$I$15)</f>
        <v>Amortissements</v>
      </c>
      <c r="D32" s="265">
        <f ca="1">_xll.DBRW(Server&amp;Cube1,Context!$I$13,Context!$T$6,Context!$I$11,'Plan Input'!$B$12,Context!$I$12,'Plan Input'!D$2,Context!$I$10,'Plan Input'!$A32)</f>
        <v>0</v>
      </c>
      <c r="E32" s="265">
        <f ca="1">_xll.DBRW(Server&amp;Cube1,Context!$I$13,Context!$T$6,Context!$I$11,'Plan Input'!$B$12,Context!$I$12,'Plan Input'!E$2,Context!$I$10,'Plan Input'!$A32)</f>
        <v>0</v>
      </c>
      <c r="F32" s="265">
        <f ca="1">_xll.DBRW(Server&amp;Cube1,Context!$I$13,Context!$T$6,Context!$I$11,'Plan Input'!$B$12,Context!$I$12,'Plan Input'!F$2,Context!$I$10,'Plan Input'!$A32)</f>
        <v>0</v>
      </c>
      <c r="G32" s="224">
        <v>-2000</v>
      </c>
      <c r="H32" s="224">
        <v>-2000</v>
      </c>
      <c r="I32" s="224">
        <v>-2000</v>
      </c>
      <c r="J32" s="224">
        <v>-2000</v>
      </c>
      <c r="K32" s="224">
        <v>-2000</v>
      </c>
      <c r="L32" s="1"/>
      <c r="N32" s="78"/>
      <c r="O32" s="78"/>
      <c r="P32" s="78"/>
      <c r="Q32" s="78"/>
      <c r="R32" s="78"/>
      <c r="S32" s="131"/>
      <c r="T32" s="78"/>
      <c r="U32" s="78"/>
      <c r="V32" s="78"/>
      <c r="W32" s="78"/>
      <c r="X32" s="78"/>
      <c r="Y32" s="78"/>
      <c r="Z32" s="78"/>
      <c r="AA32" s="78"/>
      <c r="AB32" s="78"/>
    </row>
    <row r="33" spans="1:30" ht="18.75">
      <c r="A33" s="178" t="s">
        <v>239</v>
      </c>
      <c r="B33" s="178" t="s">
        <v>239</v>
      </c>
      <c r="C33" s="220" t="str">
        <f ca="1">_xll.DBRA(Server&amp;$B$23,$B33,Context!$I$15)</f>
        <v>Provisions</v>
      </c>
      <c r="D33" s="265">
        <f ca="1">_xll.DBRW(Server&amp;Cube1,Context!$I$13,Context!$T$6,Context!$I$11,'Plan Input'!$B$12,Context!$I$12,'Plan Input'!D$2,Context!$I$10,'Plan Input'!$A33)</f>
        <v>0</v>
      </c>
      <c r="E33" s="265">
        <f ca="1">_xll.DBRW(Server&amp;Cube1,Context!$I$13,Context!$T$6,Context!$I$11,'Plan Input'!$B$12,Context!$I$12,'Plan Input'!E$2,Context!$I$10,'Plan Input'!$A33)</f>
        <v>0</v>
      </c>
      <c r="F33" s="265">
        <f ca="1">_xll.DBRW(Server&amp;Cube1,Context!$I$13,Context!$T$6,Context!$I$11,'Plan Input'!$B$12,Context!$I$12,'Plan Input'!F$2,Context!$I$10,'Plan Input'!$A33)</f>
        <v>0</v>
      </c>
      <c r="G33" s="224">
        <v>-500</v>
      </c>
      <c r="H33" s="224">
        <v>-500</v>
      </c>
      <c r="I33" s="224">
        <v>-500</v>
      </c>
      <c r="J33" s="224">
        <v>-500</v>
      </c>
      <c r="K33" s="224">
        <v>-500</v>
      </c>
      <c r="L33" s="1"/>
      <c r="N33" s="78"/>
      <c r="O33" s="78"/>
      <c r="P33" s="78"/>
      <c r="Q33" s="78"/>
      <c r="R33" s="78"/>
      <c r="S33" s="131"/>
      <c r="T33" s="78"/>
      <c r="U33" s="78"/>
      <c r="V33" s="78"/>
      <c r="W33" s="78"/>
      <c r="X33" s="78"/>
      <c r="Y33" s="78"/>
      <c r="Z33" s="78"/>
      <c r="AA33" s="78"/>
      <c r="AB33" s="78"/>
    </row>
    <row r="34" spans="1:30" ht="19.5" thickBot="1">
      <c r="A34" s="178" t="s">
        <v>240</v>
      </c>
      <c r="B34" s="178" t="s">
        <v>240</v>
      </c>
      <c r="C34" s="220" t="str">
        <f ca="1">_xll.DBRA(Server&amp;$B$23,$B34,Context!$I$15)</f>
        <v>Autres éléments non cash (gain ou perte sur cession, dépréciation)</v>
      </c>
      <c r="D34" s="265">
        <f ca="1">_xll.DBRW(Server&amp;Cube1,Context!$I$13,Context!$T$6,Context!$I$11,'Plan Input'!$B$12,Context!$I$12,'Plan Input'!D$2,Context!$I$10,'Plan Input'!$A34)</f>
        <v>0</v>
      </c>
      <c r="E34" s="265">
        <f ca="1">_xll.DBRW(Server&amp;Cube1,Context!$I$13,Context!$T$6,Context!$I$11,'Plan Input'!$B$12,Context!$I$12,'Plan Input'!E$2,Context!$I$10,'Plan Input'!$A34)</f>
        <v>0</v>
      </c>
      <c r="F34" s="265">
        <f ca="1">_xll.DBRW(Server&amp;Cube1,Context!$I$13,Context!$T$6,Context!$I$11,'Plan Input'!$B$12,Context!$I$12,'Plan Input'!F$2,Context!$I$10,'Plan Input'!$A34)</f>
        <v>0</v>
      </c>
      <c r="G34" s="224">
        <v>300</v>
      </c>
      <c r="H34" s="224">
        <v>300</v>
      </c>
      <c r="I34" s="224">
        <v>300</v>
      </c>
      <c r="J34" s="224">
        <v>300</v>
      </c>
      <c r="K34" s="224">
        <v>300</v>
      </c>
      <c r="L34" s="1"/>
      <c r="N34" s="78"/>
      <c r="O34" s="78"/>
      <c r="P34" s="78"/>
      <c r="Q34" s="78"/>
      <c r="R34" s="78"/>
      <c r="S34" s="131"/>
      <c r="T34" s="78"/>
      <c r="U34" s="78"/>
      <c r="V34" s="78"/>
      <c r="W34" s="78"/>
      <c r="X34" s="78"/>
      <c r="Y34" s="78"/>
      <c r="Z34" s="78"/>
      <c r="AA34" s="78"/>
      <c r="AB34" s="78"/>
    </row>
    <row r="35" spans="1:30" ht="18" customHeight="1" thickBot="1">
      <c r="A35" s="178" t="s">
        <v>244</v>
      </c>
      <c r="B35" s="178" t="s">
        <v>244</v>
      </c>
      <c r="C35" s="222" t="str">
        <f ca="1">_xll.DBRA(Server&amp;$B$23,$B35,Context!$I$15)</f>
        <v>Résultat entreprises. assoc. et co-entr.</v>
      </c>
      <c r="D35" s="231">
        <f ca="1">_xll.DBRW(Server&amp;Cube1,Context!$I$13,Context!$T$6,Context!$I$11,'Plan Input'!$B$12,Context!$I$12,'Plan Input'!D$2,Context!$I$10,'Plan Input'!$A35)</f>
        <v>0</v>
      </c>
      <c r="E35" s="231">
        <f ca="1">_xll.DBRW(Server&amp;Cube1,Context!$I$13,Context!$T$6,Context!$I$11,'Plan Input'!$B$12,Context!$I$12,'Plan Input'!E$2,Context!$I$10,'Plan Input'!$A35)</f>
        <v>0</v>
      </c>
      <c r="F35" s="231">
        <f ca="1">_xll.DBRW(Server&amp;Cube1,Context!$I$13,Context!$T$6,Context!$I$11,'Plan Input'!$B$12,Context!$I$12,'Plan Input'!F$2,Context!$I$10,'Plan Input'!$A35)</f>
        <v>0</v>
      </c>
      <c r="G35" s="232">
        <v>50</v>
      </c>
      <c r="H35" s="232">
        <v>50</v>
      </c>
      <c r="I35" s="232">
        <v>50</v>
      </c>
      <c r="J35" s="232">
        <v>50</v>
      </c>
      <c r="K35" s="232">
        <v>50</v>
      </c>
      <c r="L35" s="1"/>
      <c r="N35" s="78"/>
      <c r="O35" s="78"/>
      <c r="P35" s="78"/>
      <c r="Q35" s="78"/>
      <c r="R35" s="78"/>
      <c r="S35" s="131"/>
      <c r="T35" s="78"/>
      <c r="U35" s="78"/>
      <c r="V35" s="78"/>
      <c r="W35" s="78"/>
      <c r="X35" s="78"/>
      <c r="Y35" s="78"/>
      <c r="Z35" s="78"/>
      <c r="AA35" s="78"/>
      <c r="AB35" s="78"/>
    </row>
    <row r="36" spans="1:30" ht="18" customHeight="1" thickBot="1">
      <c r="A36" s="178" t="s">
        <v>60</v>
      </c>
      <c r="B36" s="178" t="s">
        <v>60</v>
      </c>
      <c r="C36" s="148" t="str">
        <f ca="1">_xll.DBRA(Server&amp;$B$23,$B36,Context!$I$15)</f>
        <v>RESULTAT OPERATIONNEL</v>
      </c>
      <c r="D36" s="227">
        <f ca="1">_xll.DBRW(Server&amp;Cube1,Context!$I$13,Context!$T$6,Context!$I$11,'Plan Input'!$B$12,Context!$I$12,'Plan Input'!D$2,Context!$I$10,'Plan Input'!$A36)</f>
        <v>0</v>
      </c>
      <c r="E36" s="227">
        <f ca="1">_xll.DBRW(Server&amp;Cube1,Context!$I$13,Context!$T$6,Context!$I$11,'Plan Input'!$B$12,Context!$I$12,'Plan Input'!E$2,Context!$I$10,'Plan Input'!$A36)</f>
        <v>0</v>
      </c>
      <c r="F36" s="227">
        <f ca="1">_xll.DBRW(Server&amp;Cube1,Context!$I$13,Context!$T$6,Context!$I$11,'Plan Input'!$B$12,Context!$I$12,'Plan Input'!F$2,Context!$I$10,'Plan Input'!$A36)</f>
        <v>0</v>
      </c>
      <c r="G36" s="227">
        <f>G31+SUM(G32:G34)+G35</f>
        <v>12820</v>
      </c>
      <c r="H36" s="227">
        <f t="shared" ref="H36:K36" si="3">H31+SUM(H32:H34)+H35</f>
        <v>12820</v>
      </c>
      <c r="I36" s="227">
        <f t="shared" si="3"/>
        <v>12820</v>
      </c>
      <c r="J36" s="227">
        <f t="shared" si="3"/>
        <v>12820</v>
      </c>
      <c r="K36" s="227">
        <f t="shared" si="3"/>
        <v>12820</v>
      </c>
      <c r="L36" s="1"/>
      <c r="N36" s="78"/>
      <c r="O36" s="78"/>
      <c r="P36" s="78"/>
      <c r="Q36" s="78"/>
      <c r="R36" s="78"/>
      <c r="S36" s="131"/>
      <c r="T36" s="78"/>
      <c r="U36" s="78"/>
      <c r="V36" s="78"/>
      <c r="W36" s="78"/>
      <c r="X36" s="78"/>
      <c r="Y36" s="78"/>
      <c r="Z36" s="78"/>
      <c r="AA36" s="78"/>
      <c r="AB36" s="78"/>
    </row>
    <row r="37" spans="1:30" ht="8.25" customHeight="1">
      <c r="A37" s="178"/>
      <c r="B37" s="178"/>
      <c r="C37" s="219" t="str">
        <f ca="1">_xll.DBRA(Server&amp;$B$23,$B37,Context!$I$15)</f>
        <v/>
      </c>
      <c r="D37" s="228"/>
      <c r="E37" s="228"/>
      <c r="F37" s="228"/>
      <c r="G37" s="228"/>
      <c r="H37" s="228"/>
      <c r="I37" s="228"/>
      <c r="J37" s="228"/>
      <c r="K37" s="228"/>
      <c r="L37" s="1"/>
      <c r="N37" s="78"/>
      <c r="O37" s="78"/>
      <c r="P37" s="78"/>
      <c r="Q37" s="78"/>
      <c r="R37" s="78"/>
      <c r="S37" s="131"/>
      <c r="T37" s="78"/>
      <c r="U37" s="78"/>
      <c r="V37" s="78"/>
      <c r="W37" s="78"/>
      <c r="X37" s="78"/>
      <c r="Y37" s="78"/>
      <c r="Z37" s="78"/>
      <c r="AA37" s="78"/>
      <c r="AB37" s="78"/>
    </row>
    <row r="38" spans="1:30" ht="18" customHeight="1">
      <c r="A38" s="178" t="s">
        <v>1</v>
      </c>
      <c r="B38" s="178" t="s">
        <v>1</v>
      </c>
      <c r="C38" s="218" t="str">
        <f ca="1">_xll.DBRA(Server&amp;$B$23,$B38,Context!$I$15)&amp;IF(xLanguage="French"," : Proposition de calcul"," : Calculation proposal")</f>
        <v>Coût de l'endettement financier net : Proposition de calcul</v>
      </c>
      <c r="D38" s="265"/>
      <c r="E38" s="265"/>
      <c r="F38" s="265"/>
      <c r="G38" s="286">
        <f ca="1">IFERROR(IF(AVERAGE(F109:G109)&lt;0,AVERAGE(F109:G109)*G$6,AVERAGE(F109:G109)*G$5),0)</f>
        <v>0.86043021510755746</v>
      </c>
      <c r="H38" s="286">
        <f ca="1">IFERROR(IF(AVERAGE(G109:H109)&lt;0,AVERAGE(G109:H109)*H$6,AVERAGE(G109:H109)*H$5),0)</f>
        <v>-72.220657186025804</v>
      </c>
      <c r="I38" s="286">
        <f ca="1">IFERROR(IF(AVERAGE(H109:I109)&lt;0,AVERAGE(H109:I109)*I$6,AVERAGE(H109:I109)*I$5),0)</f>
        <v>-319.21186648615623</v>
      </c>
      <c r="J38" s="286">
        <f ca="1">IFERROR(IF(AVERAGE(I109:J109)&lt;0,AVERAGE(I109:J109)*J$6,AVERAGE(I109:J109)*J$5),0)</f>
        <v>-569.73199787434578</v>
      </c>
      <c r="K38" s="286">
        <f ca="1">IFERROR(IF(AVERAGE(J109:K109)&lt;0,AVERAGE(J109:K109)*K$6,AVERAGE(J109:K109)*K$5),0)</f>
        <v>-821.81198288497342</v>
      </c>
      <c r="L38" s="281"/>
      <c r="M38" s="288" t="str">
        <f>IF(xLanguage="French", "Utilisation du calcul automatique pour les intérêts","Use automatic calculation for interests")</f>
        <v>Utilisation du calcul automatique pour les intérêts</v>
      </c>
      <c r="N38" s="78"/>
      <c r="O38" s="78"/>
      <c r="P38" s="78"/>
      <c r="Q38" s="78"/>
      <c r="R38" s="78"/>
      <c r="S38" s="131"/>
      <c r="T38" s="78"/>
      <c r="U38" s="78"/>
      <c r="V38" s="78"/>
      <c r="W38" s="78"/>
      <c r="X38" s="78"/>
      <c r="Y38" s="78"/>
      <c r="Z38" s="78"/>
      <c r="AA38" s="78"/>
      <c r="AB38" s="78"/>
      <c r="AC38" s="1" t="str">
        <f ca="1">_xll.DBRW(Server&amp;Cube1,Context!$I$13,Context!$T$5,Context!$I$11,'Plan Input'!$B$12,Context!$I$12,'Plan Input'!G$2,Context!$I$10,"TPL21_checkbox_Tech")</f>
        <v/>
      </c>
      <c r="AD38" s="289" t="b">
        <v>1</v>
      </c>
    </row>
    <row r="39" spans="1:30" ht="18" customHeight="1">
      <c r="A39" s="178" t="s">
        <v>1</v>
      </c>
      <c r="B39" s="178" t="s">
        <v>1</v>
      </c>
      <c r="C39" s="218" t="str">
        <f ca="1">_xll.DBRA(Server&amp;$B$23,$B39,Context!$I$15)</f>
        <v>Coût de l'endettement financier net</v>
      </c>
      <c r="D39" s="265">
        <f ca="1">_xll.DBRW(Server&amp;Cube1,Context!$I$13,Context!$T$6,Context!$I$11,'Plan Input'!$B$12,Context!$I$12,'Plan Input'!D$2,Context!$I$10,'Plan Input'!$A39)</f>
        <v>0</v>
      </c>
      <c r="E39" s="265">
        <f ca="1">_xll.DBRW(Server&amp;Cube1,Context!$I$13,Context!$T$6,Context!$I$11,'Plan Input'!$B$12,Context!$I$12,'Plan Input'!E$2,Context!$I$10,'Plan Input'!$A39)</f>
        <v>0</v>
      </c>
      <c r="F39" s="265">
        <f ca="1">_xll.DBRW(Server&amp;Cube1,Context!$I$13,Context!$T$6,Context!$I$11,'Plan Input'!$B$12,Context!$I$12,'Plan Input'!F$2,Context!$I$10,'Plan Input'!$A39)</f>
        <v>0</v>
      </c>
      <c r="G39" s="292">
        <f ca="1">G38</f>
        <v>0.86043021510755746</v>
      </c>
      <c r="H39" s="292">
        <f ca="1">H38</f>
        <v>-72.220657186025804</v>
      </c>
      <c r="I39" s="292">
        <f ca="1">I38</f>
        <v>-319.21186648615623</v>
      </c>
      <c r="J39" s="292">
        <f ca="1">J38</f>
        <v>-569.73199787434578</v>
      </c>
      <c r="K39" s="292">
        <f ca="1">K38</f>
        <v>-821.81198288497342</v>
      </c>
      <c r="L39" s="308">
        <f ca="1">SUM(G39:K39)</f>
        <v>-1782.1160742163938</v>
      </c>
      <c r="M39" s="307" t="str">
        <f ca="1">IF(L39=0,IF(xLanguage="French","Attention les intérêts n'ont pas été renseignés!","Warning: Interests have not been filled in!"),"")</f>
        <v/>
      </c>
      <c r="N39" s="78"/>
      <c r="O39" s="78"/>
      <c r="P39" s="78"/>
      <c r="Q39" s="78"/>
      <c r="R39" s="78"/>
      <c r="S39" s="131"/>
      <c r="T39" s="78"/>
      <c r="U39" s="78"/>
      <c r="V39" s="78"/>
      <c r="W39" s="78"/>
      <c r="X39" s="78"/>
      <c r="Y39" s="78"/>
      <c r="Z39" s="78"/>
      <c r="AA39" s="78"/>
      <c r="AB39" s="78"/>
    </row>
    <row r="40" spans="1:30" ht="18" customHeight="1" thickBot="1">
      <c r="A40" s="178" t="s">
        <v>2</v>
      </c>
      <c r="B40" s="178" t="s">
        <v>2</v>
      </c>
      <c r="C40" s="218" t="str">
        <f ca="1">_xll.DBRA(Server&amp;$B$23,$B40,Context!$I$15)</f>
        <v>Autres résultats financiers</v>
      </c>
      <c r="D40" s="265">
        <f ca="1">_xll.DBRW(Server&amp;Cube1,Context!$I$13,Context!$T$6,Context!$I$11,'Plan Input'!$B$12,Context!$I$12,'Plan Input'!D$2,Context!$I$10,'Plan Input'!$A40)</f>
        <v>0</v>
      </c>
      <c r="E40" s="265">
        <f ca="1">_xll.DBRW(Server&amp;Cube1,Context!$I$13,Context!$T$6,Context!$I$11,'Plan Input'!$B$12,Context!$I$12,'Plan Input'!E$2,Context!$I$10,'Plan Input'!$A40)</f>
        <v>0</v>
      </c>
      <c r="F40" s="265">
        <f ca="1">_xll.DBRW(Server&amp;Cube1,Context!$I$13,Context!$T$6,Context!$I$11,'Plan Input'!$B$12,Context!$I$12,'Plan Input'!F$2,Context!$I$10,'Plan Input'!$A40)</f>
        <v>0</v>
      </c>
      <c r="G40" s="224">
        <v>-12</v>
      </c>
      <c r="H40" s="224">
        <v>-12</v>
      </c>
      <c r="I40" s="224">
        <v>-12</v>
      </c>
      <c r="J40" s="224">
        <v>-12</v>
      </c>
      <c r="K40" s="224">
        <v>-12</v>
      </c>
      <c r="L40" s="1"/>
      <c r="N40" s="78"/>
      <c r="O40" s="78"/>
      <c r="P40" s="78"/>
      <c r="Q40" s="78"/>
      <c r="R40" s="78"/>
      <c r="S40" s="131"/>
      <c r="T40" s="78"/>
      <c r="U40" s="78"/>
      <c r="V40" s="78"/>
      <c r="W40" s="78"/>
      <c r="X40" s="78"/>
      <c r="Y40" s="78"/>
      <c r="Z40" s="78"/>
      <c r="AA40" s="78"/>
      <c r="AB40" s="78"/>
    </row>
    <row r="41" spans="1:30" ht="18" customHeight="1" thickBot="1">
      <c r="A41" s="178" t="s">
        <v>3</v>
      </c>
      <c r="B41" s="178" t="s">
        <v>3</v>
      </c>
      <c r="C41" s="148" t="str">
        <f ca="1">_xll.DBRA(Server&amp;$B$23,$B41,Context!$I$15)</f>
        <v>RESULTAT avant Impôts</v>
      </c>
      <c r="D41" s="227">
        <f ca="1">_xll.DBRW(Server&amp;Cube1,Context!$I$13,Context!$T$6,Context!$I$11,'Plan Input'!$B$12,Context!$I$12,'Plan Input'!D$2,Context!$I$10,'Plan Input'!$A41)</f>
        <v>0</v>
      </c>
      <c r="E41" s="227">
        <f ca="1">_xll.DBRW(Server&amp;Cube1,Context!$I$13,Context!$T$6,Context!$I$11,'Plan Input'!$B$12,Context!$I$12,'Plan Input'!E$2,Context!$I$10,'Plan Input'!$A41)</f>
        <v>0</v>
      </c>
      <c r="F41" s="227">
        <f ca="1">_xll.DBRW(Server&amp;Cube1,Context!$I$13,Context!$T$6,Context!$I$11,'Plan Input'!$B$12,Context!$I$12,'Plan Input'!F$2,Context!$I$10,'Plan Input'!$A41)</f>
        <v>0</v>
      </c>
      <c r="G41" s="227">
        <f ca="1">G36+SUM(G39:G40)</f>
        <v>12808.860430215107</v>
      </c>
      <c r="H41" s="227">
        <f t="shared" ref="H41:K41" ca="1" si="4">H36+SUM(H39:H40)</f>
        <v>12735.779342813974</v>
      </c>
      <c r="I41" s="227">
        <f t="shared" ca="1" si="4"/>
        <v>12488.788133513845</v>
      </c>
      <c r="J41" s="227">
        <f t="shared" ca="1" si="4"/>
        <v>12238.268002125655</v>
      </c>
      <c r="K41" s="227">
        <f t="shared" ca="1" si="4"/>
        <v>11986.188017115026</v>
      </c>
      <c r="L41" s="1"/>
      <c r="N41" s="78"/>
      <c r="O41" s="78"/>
      <c r="P41" s="78"/>
      <c r="Q41" s="78"/>
      <c r="R41" s="78"/>
      <c r="S41" s="131"/>
      <c r="T41" s="78"/>
      <c r="U41" s="78"/>
      <c r="V41" s="78"/>
      <c r="W41" s="78"/>
      <c r="X41" s="78"/>
      <c r="Y41" s="78"/>
      <c r="Z41" s="78"/>
      <c r="AA41" s="78"/>
      <c r="AB41" s="78"/>
    </row>
    <row r="42" spans="1:30" ht="8.25" customHeight="1">
      <c r="A42" s="178"/>
      <c r="B42" s="178"/>
      <c r="C42" s="219" t="str">
        <f ca="1">_xll.DBRA(Server&amp;$B$23,$B42,Context!$I$15)</f>
        <v/>
      </c>
      <c r="D42" s="228"/>
      <c r="E42" s="228"/>
      <c r="F42" s="228"/>
      <c r="G42" s="228"/>
      <c r="H42" s="228"/>
      <c r="I42" s="228"/>
      <c r="J42" s="228"/>
      <c r="K42" s="228"/>
      <c r="L42" s="1"/>
      <c r="N42" s="78"/>
      <c r="O42" s="78"/>
      <c r="P42" s="78"/>
      <c r="Q42" s="78"/>
      <c r="R42" s="78"/>
      <c r="S42" s="131"/>
      <c r="T42" s="78"/>
      <c r="U42" s="78"/>
      <c r="V42" s="78"/>
      <c r="W42" s="78"/>
      <c r="X42" s="78"/>
      <c r="Y42" s="78"/>
      <c r="Z42" s="78"/>
      <c r="AA42" s="78"/>
      <c r="AB42" s="78"/>
    </row>
    <row r="43" spans="1:30" ht="18" customHeight="1">
      <c r="A43" s="178" t="s">
        <v>4</v>
      </c>
      <c r="B43" s="178" t="s">
        <v>4</v>
      </c>
      <c r="C43" s="218" t="str">
        <f ca="1">_xll.DBRA(Server&amp;$B$23,$B43,Context!$I$15)&amp;IF(xLanguage="French"," : Proposition de calcul"," : Calculation proposal")</f>
        <v>Charges d'impôts sur les sociétés : Proposition de calcul</v>
      </c>
      <c r="D43" s="265"/>
      <c r="E43" s="265"/>
      <c r="F43" s="265"/>
      <c r="G43" s="287">
        <f ca="1">IF(G41&gt;0,-G41*G$4,0)</f>
        <v>-2638.625248624312</v>
      </c>
      <c r="H43" s="287">
        <f t="shared" ref="H43:J43" ca="1" si="5">IF(H41&gt;0,-H41*H$4,0)</f>
        <v>-2623.5705446196785</v>
      </c>
      <c r="I43" s="287">
        <f ca="1">IF(I41&gt;0,-I41*I$4,0)</f>
        <v>-2572.6903555038516</v>
      </c>
      <c r="J43" s="287">
        <f t="shared" ca="1" si="5"/>
        <v>-2521.0832084378849</v>
      </c>
      <c r="K43" s="287">
        <f ca="1">IF(K41&gt;0,-K41*K$4,0)</f>
        <v>-2469.1547315256953</v>
      </c>
      <c r="L43" s="1"/>
      <c r="M43" s="288" t="str">
        <f>IF(xLanguage="French", "Utilisation du calcul automatique pour le calcul de l'impôt","Use automatic calculation for income tax")</f>
        <v>Utilisation du calcul automatique pour le calcul de l'impôt</v>
      </c>
      <c r="N43" s="78"/>
      <c r="O43" s="78"/>
      <c r="P43" s="78"/>
      <c r="Q43" s="78"/>
      <c r="R43" s="78"/>
      <c r="S43" s="131"/>
      <c r="T43" s="78"/>
      <c r="U43" s="78"/>
      <c r="V43" s="78"/>
      <c r="W43" s="78"/>
      <c r="X43" s="78"/>
      <c r="Y43" s="78"/>
      <c r="Z43" s="78"/>
      <c r="AA43" s="78"/>
      <c r="AB43" s="78"/>
      <c r="AC43" s="1" t="str">
        <f ca="1">_xll.DBRW(Server&amp;Cube1,Context!$I$13,Context!$T$5,Context!$I$11,'Plan Input'!$B$12,Context!$I$12,'Plan Input'!G$2,Context!$I$10,"TPL4_checkbox_Tech")</f>
        <v/>
      </c>
      <c r="AD43" s="289" t="b">
        <v>1</v>
      </c>
    </row>
    <row r="44" spans="1:30" ht="18" customHeight="1" thickBot="1">
      <c r="A44" s="178" t="s">
        <v>4</v>
      </c>
      <c r="B44" s="178" t="s">
        <v>4</v>
      </c>
      <c r="C44" s="218" t="str">
        <f ca="1">_xll.DBRA(Server&amp;$B$23,$B44,Context!$I$15)</f>
        <v>Charges d'impôts sur les sociétés</v>
      </c>
      <c r="D44" s="265">
        <f ca="1">_xll.DBRW(Server&amp;Cube1,Context!$I$13,Context!$T$6,Context!$I$11,'Plan Input'!$B$12,Context!$I$12,'Plan Input'!D$2,Context!$I$10,'Plan Input'!$A44)</f>
        <v>0</v>
      </c>
      <c r="E44" s="265">
        <f ca="1">_xll.DBRW(Server&amp;Cube1,Context!$I$13,Context!$T$6,Context!$I$11,'Plan Input'!$B$12,Context!$I$12,'Plan Input'!E$2,Context!$I$10,'Plan Input'!$A44)</f>
        <v>0</v>
      </c>
      <c r="F44" s="265">
        <f ca="1">_xll.DBRW(Server&amp;Cube1,Context!$I$13,Context!$T$6,Context!$I$11,'Plan Input'!$B$12,Context!$I$12,'Plan Input'!F$2,Context!$I$10,'Plan Input'!$A44)</f>
        <v>0</v>
      </c>
      <c r="G44" s="292">
        <f ca="1">G43</f>
        <v>-2638.625248624312</v>
      </c>
      <c r="H44" s="292">
        <f ca="1">H43</f>
        <v>-2623.5705446196785</v>
      </c>
      <c r="I44" s="292">
        <f ca="1">I43</f>
        <v>-2572.6903555038516</v>
      </c>
      <c r="J44" s="292">
        <f ca="1">J43</f>
        <v>-2521.0832084378849</v>
      </c>
      <c r="K44" s="292">
        <f ca="1">K43</f>
        <v>-2469.1547315256953</v>
      </c>
      <c r="L44" s="308">
        <f ca="1">SUM(G44:K44)</f>
        <v>-12825.124088711424</v>
      </c>
      <c r="M44" s="307" t="str">
        <f ca="1">IF(L44=0,IF(xLanguage="French","Attention l'impôt n'a pas été renseigné!","Warning: Income tax has not been filled in!"),"")</f>
        <v/>
      </c>
      <c r="N44" s="78"/>
      <c r="O44" s="78"/>
      <c r="P44" s="78"/>
      <c r="Q44" s="78"/>
      <c r="R44" s="78"/>
      <c r="S44" s="131"/>
      <c r="T44" s="78"/>
      <c r="U44" s="78"/>
      <c r="V44" s="78"/>
      <c r="W44" s="78"/>
      <c r="X44" s="78"/>
      <c r="Y44" s="78"/>
      <c r="Z44" s="78"/>
      <c r="AA44" s="78"/>
      <c r="AB44" s="78"/>
    </row>
    <row r="45" spans="1:30" ht="18" customHeight="1" thickBot="1">
      <c r="A45" s="178" t="s">
        <v>5</v>
      </c>
      <c r="B45" s="178" t="s">
        <v>5</v>
      </c>
      <c r="C45" s="148" t="str">
        <f ca="1">_xll.DBRA(Server&amp;$B$23,$B45,Context!$I$15)</f>
        <v>RESULTAT NET</v>
      </c>
      <c r="D45" s="227">
        <f ca="1">_xll.DBRW(Server&amp;Cube1,Context!$I$13,Context!$T$6,Context!$I$11,'Plan Input'!$B$12,Context!$I$12,'Plan Input'!D$2,Context!$I$10,'Plan Input'!$A45)</f>
        <v>0</v>
      </c>
      <c r="E45" s="227">
        <f ca="1">_xll.DBRW(Server&amp;Cube1,Context!$I$13,Context!$T$6,Context!$I$11,'Plan Input'!$B$12,Context!$I$12,'Plan Input'!E$2,Context!$I$10,'Plan Input'!$A45)</f>
        <v>0</v>
      </c>
      <c r="F45" s="227">
        <f ca="1">_xll.DBRW(Server&amp;Cube1,Context!$I$13,Context!$T$6,Context!$I$11,'Plan Input'!$B$12,Context!$I$12,'Plan Input'!F$2,Context!$I$10,'Plan Input'!$A45)</f>
        <v>0</v>
      </c>
      <c r="G45" s="227">
        <f ca="1">G41+SUM(G44)</f>
        <v>10170.235181590795</v>
      </c>
      <c r="H45" s="227">
        <f ca="1">H41+SUM(H44)</f>
        <v>10112.208798194295</v>
      </c>
      <c r="I45" s="227">
        <f t="shared" ref="I45:K45" ca="1" si="6">I41+SUM(I44)</f>
        <v>9916.0977780099929</v>
      </c>
      <c r="J45" s="227">
        <f t="shared" ca="1" si="6"/>
        <v>9717.1847936877693</v>
      </c>
      <c r="K45" s="227">
        <f t="shared" ca="1" si="6"/>
        <v>9517.0332855893303</v>
      </c>
      <c r="L45" s="1"/>
      <c r="N45" s="78"/>
      <c r="O45" s="78"/>
      <c r="P45" s="78"/>
      <c r="Q45" s="78"/>
      <c r="R45" s="78"/>
      <c r="S45" s="131"/>
      <c r="T45" s="78"/>
      <c r="U45" s="78"/>
      <c r="V45" s="78"/>
      <c r="W45" s="78"/>
      <c r="X45" s="78"/>
      <c r="Y45" s="78"/>
      <c r="Z45" s="78"/>
      <c r="AA45" s="78"/>
      <c r="AB45" s="78"/>
    </row>
    <row r="46" spans="1:30" ht="8.25" customHeight="1">
      <c r="A46" s="178"/>
      <c r="B46" s="178"/>
      <c r="C46" s="219" t="str">
        <f ca="1">_xll.DBRA(Server&amp;$B$23,$B46,Context!$I$15)</f>
        <v/>
      </c>
      <c r="D46" s="228"/>
      <c r="E46" s="228"/>
      <c r="F46" s="228"/>
      <c r="G46" s="228"/>
      <c r="H46" s="228"/>
      <c r="I46" s="228"/>
      <c r="J46" s="228"/>
      <c r="K46" s="228"/>
      <c r="L46" s="1"/>
      <c r="N46" s="78"/>
      <c r="O46" s="78"/>
      <c r="P46" s="78"/>
      <c r="Q46" s="78"/>
      <c r="R46" s="78"/>
      <c r="S46" s="131"/>
      <c r="T46" s="78"/>
      <c r="U46" s="78"/>
      <c r="V46" s="78"/>
      <c r="W46" s="78"/>
      <c r="X46" s="78"/>
      <c r="Y46" s="78"/>
      <c r="Z46" s="78"/>
      <c r="AA46" s="78"/>
      <c r="AB46" s="78"/>
    </row>
    <row r="47" spans="1:30" ht="18" customHeight="1">
      <c r="A47" s="178" t="s">
        <v>6</v>
      </c>
      <c r="B47" s="178" t="s">
        <v>6</v>
      </c>
      <c r="C47" s="217" t="str">
        <f ca="1">_xll.DBRA(Server&amp;$B$23,$B47,Context!$I$15)</f>
        <v>Participation ne donnant pas le contrôle</v>
      </c>
      <c r="D47" s="265">
        <f ca="1">_xll.DBRW(Server&amp;Cube1,Context!$I$13,Context!$T$6,Context!$I$11,'Plan Input'!$B$12,Context!$I$12,'Plan Input'!D$2,Context!$I$10,'Plan Input'!$A47)</f>
        <v>0</v>
      </c>
      <c r="E47" s="265">
        <f ca="1">_xll.DBRW(Server&amp;Cube1,Context!$I$13,Context!$T$6,Context!$I$11,'Plan Input'!$B$12,Context!$I$12,'Plan Input'!E$2,Context!$I$10,'Plan Input'!$A47)</f>
        <v>0</v>
      </c>
      <c r="F47" s="265">
        <f ca="1">_xll.DBRW(Server&amp;Cube1,Context!$I$13,Context!$T$6,Context!$I$11,'Plan Input'!$B$12,Context!$I$12,'Plan Input'!F$2,Context!$I$10,'Plan Input'!$A47)</f>
        <v>0</v>
      </c>
      <c r="G47" s="224">
        <v>-100</v>
      </c>
      <c r="H47" s="224">
        <v>-100</v>
      </c>
      <c r="I47" s="224">
        <v>-100</v>
      </c>
      <c r="J47" s="224">
        <v>-100</v>
      </c>
      <c r="K47" s="224">
        <v>-100</v>
      </c>
      <c r="L47" s="1"/>
      <c r="N47" s="78"/>
      <c r="O47" s="78"/>
      <c r="P47" s="78"/>
      <c r="Q47" s="78"/>
      <c r="R47" s="78"/>
      <c r="S47" s="131"/>
      <c r="T47" s="78"/>
      <c r="U47" s="78"/>
      <c r="V47" s="78"/>
      <c r="W47" s="78"/>
      <c r="X47" s="78"/>
      <c r="Y47" s="78"/>
      <c r="Z47" s="78"/>
      <c r="AA47" s="78"/>
      <c r="AB47" s="78"/>
    </row>
    <row r="48" spans="1:30" ht="8.25" customHeight="1" thickBot="1">
      <c r="A48" s="178"/>
      <c r="B48" s="178"/>
      <c r="C48" s="219" t="str">
        <f ca="1">_xll.DBRA(Server&amp;$B$23,$B48,Context!$I$15)</f>
        <v/>
      </c>
      <c r="D48" s="228"/>
      <c r="E48" s="228"/>
      <c r="F48" s="228"/>
      <c r="G48" s="228"/>
      <c r="H48" s="228"/>
      <c r="I48" s="228"/>
      <c r="J48" s="228"/>
      <c r="K48" s="228"/>
      <c r="L48" s="1"/>
      <c r="N48" s="78"/>
      <c r="O48" s="78"/>
      <c r="P48" s="78"/>
      <c r="Q48" s="78"/>
      <c r="R48" s="78"/>
      <c r="S48" s="131"/>
      <c r="T48" s="78"/>
      <c r="U48" s="78"/>
      <c r="V48" s="78"/>
      <c r="W48" s="78"/>
      <c r="X48" s="78"/>
      <c r="Y48" s="78"/>
      <c r="Z48" s="78"/>
      <c r="AA48" s="78"/>
      <c r="AB48" s="78"/>
    </row>
    <row r="49" spans="1:28" ht="18" customHeight="1" thickBot="1">
      <c r="A49" s="178" t="s">
        <v>7</v>
      </c>
      <c r="B49" s="178" t="s">
        <v>7</v>
      </c>
      <c r="C49" s="148" t="str">
        <f ca="1">_xll.DBRA(Server&amp;$B$23,$B49,Context!$I$15)</f>
        <v>RESULTAT NET PART DU GROUPE</v>
      </c>
      <c r="D49" s="227">
        <f ca="1">_xll.DBRW(Server&amp;Cube1,Context!$I$13,Context!$T$6,Context!$I$11,'Plan Input'!$B$12,Context!$I$12,'Plan Input'!D$2,Context!$I$10,'Plan Input'!$A49)</f>
        <v>0</v>
      </c>
      <c r="E49" s="227">
        <f ca="1">_xll.DBRW(Server&amp;Cube1,Context!$I$13,Context!$T$6,Context!$I$11,'Plan Input'!$B$12,Context!$I$12,'Plan Input'!E$2,Context!$I$10,'Plan Input'!$A49)</f>
        <v>0</v>
      </c>
      <c r="F49" s="227">
        <f ca="1">_xll.DBRW(Server&amp;Cube1,Context!$I$13,Context!$T$6,Context!$I$11,'Plan Input'!$B$12,Context!$I$12,'Plan Input'!F$2,Context!$I$10,'Plan Input'!$A49)</f>
        <v>0</v>
      </c>
      <c r="G49" s="227">
        <f ca="1">G45+G47</f>
        <v>10070.235181590795</v>
      </c>
      <c r="H49" s="227">
        <f t="shared" ref="H49:K49" ca="1" si="7">H45+H47</f>
        <v>10012.208798194295</v>
      </c>
      <c r="I49" s="227">
        <f t="shared" ca="1" si="7"/>
        <v>9816.0977780099929</v>
      </c>
      <c r="J49" s="227">
        <f t="shared" ca="1" si="7"/>
        <v>9617.1847936877693</v>
      </c>
      <c r="K49" s="227">
        <f t="shared" ca="1" si="7"/>
        <v>9417.0332855893303</v>
      </c>
      <c r="L49" s="1"/>
      <c r="N49" s="78"/>
      <c r="O49" s="78"/>
      <c r="P49" s="78"/>
      <c r="Q49" s="78"/>
      <c r="R49" s="78"/>
      <c r="S49" s="131"/>
      <c r="T49" s="78"/>
      <c r="U49" s="78"/>
      <c r="V49" s="78"/>
      <c r="W49" s="78"/>
      <c r="X49" s="78"/>
      <c r="Y49" s="78"/>
      <c r="Z49" s="78"/>
      <c r="AA49" s="78"/>
      <c r="AB49" s="78"/>
    </row>
    <row r="50" spans="1:28" ht="18" customHeight="1">
      <c r="A50" s="93"/>
      <c r="B50" s="93"/>
      <c r="C50" s="94"/>
      <c r="D50" s="266"/>
      <c r="E50" s="266"/>
      <c r="F50" s="266"/>
      <c r="G50" s="94"/>
      <c r="H50" s="94"/>
      <c r="I50" s="94"/>
      <c r="J50" s="94"/>
      <c r="K50" s="94"/>
      <c r="L50" s="1"/>
      <c r="N50" s="78"/>
      <c r="O50" s="78"/>
      <c r="P50" s="78"/>
      <c r="Q50" s="78"/>
      <c r="R50" s="78"/>
      <c r="S50" s="131" t="s">
        <v>64</v>
      </c>
      <c r="T50" s="78"/>
      <c r="U50" s="78"/>
      <c r="V50" s="78"/>
      <c r="W50" s="78"/>
      <c r="X50" s="78"/>
      <c r="Y50" s="78"/>
      <c r="Z50" s="78"/>
      <c r="AA50" s="78"/>
      <c r="AB50" s="78"/>
    </row>
    <row r="51" spans="1:28" ht="18.75">
      <c r="A51" s="93"/>
      <c r="B51" s="93"/>
      <c r="C51" s="94"/>
      <c r="D51" s="266"/>
      <c r="E51" s="266"/>
      <c r="F51" s="266"/>
      <c r="G51" s="94"/>
      <c r="H51" s="94"/>
      <c r="I51" s="94"/>
      <c r="J51" s="94"/>
      <c r="K51" s="94"/>
      <c r="L51" s="1"/>
      <c r="N51" s="78"/>
      <c r="O51" s="78"/>
      <c r="P51" s="78"/>
      <c r="Q51" s="78"/>
      <c r="R51" s="78"/>
      <c r="S51" s="131" t="s">
        <v>191</v>
      </c>
      <c r="T51" s="78"/>
      <c r="U51" s="78"/>
      <c r="V51" s="78"/>
      <c r="W51" s="78"/>
      <c r="X51" s="78"/>
      <c r="Y51" s="78"/>
      <c r="Z51" s="78"/>
      <c r="AA51" s="78"/>
      <c r="AB51" s="78"/>
    </row>
    <row r="52" spans="1:28" ht="23.25" customHeight="1">
      <c r="A52" s="93"/>
      <c r="B52" s="93"/>
      <c r="C52" s="276" t="str">
        <f ca="1">_xll.DBRA(Server&amp;$S$9,$S$16,Context!$I$15)&amp;" " &amp;_xll.DBRA(Server&amp;$S$9,$T$100,Context!$I$15)</f>
        <v>III - TABLEAU DE FINANCEMENT (KLCL)</v>
      </c>
      <c r="D52" s="104" t="str">
        <f ca="1">D$3</f>
        <v>2020</v>
      </c>
      <c r="E52" s="104" t="str">
        <f t="shared" ref="E52:K52" ca="1" si="8">E$3</f>
        <v>2021</v>
      </c>
      <c r="F52" s="104" t="str">
        <f t="shared" ca="1" si="8"/>
        <v>2022</v>
      </c>
      <c r="G52" s="104" t="str">
        <f t="shared" ca="1" si="8"/>
        <v>2023</v>
      </c>
      <c r="H52" s="104" t="str">
        <f t="shared" ca="1" si="8"/>
        <v>2024</v>
      </c>
      <c r="I52" s="104" t="str">
        <f t="shared" ca="1" si="8"/>
        <v>2025</v>
      </c>
      <c r="J52" s="104" t="str">
        <f t="shared" ca="1" si="8"/>
        <v>2026</v>
      </c>
      <c r="K52" s="104" t="str">
        <f t="shared" ca="1" si="8"/>
        <v>2027</v>
      </c>
      <c r="L52" s="1"/>
      <c r="N52" s="78"/>
      <c r="O52" s="78"/>
      <c r="P52" s="78"/>
      <c r="Q52" s="78"/>
      <c r="R52" s="78"/>
      <c r="S52" s="131" t="s">
        <v>112</v>
      </c>
      <c r="T52" s="78"/>
      <c r="U52" s="78"/>
      <c r="V52" s="78"/>
      <c r="W52" s="78"/>
      <c r="X52" s="78"/>
      <c r="Y52" s="78"/>
      <c r="Z52" s="78"/>
      <c r="AA52" s="78"/>
      <c r="AB52" s="78"/>
    </row>
    <row r="53" spans="1:28" ht="14.25" customHeight="1" thickBot="1">
      <c r="A53" s="93"/>
      <c r="B53" s="93"/>
      <c r="C53" s="277"/>
      <c r="L53" s="1"/>
      <c r="N53" s="78"/>
      <c r="O53" s="78"/>
      <c r="P53" s="78"/>
      <c r="Q53" s="78"/>
      <c r="R53" s="78"/>
      <c r="S53" s="131" t="s">
        <v>113</v>
      </c>
      <c r="T53" s="78"/>
      <c r="U53" s="78"/>
      <c r="V53" s="78"/>
      <c r="W53" s="78"/>
      <c r="X53" s="78"/>
      <c r="Y53" s="78"/>
      <c r="Z53" s="78"/>
      <c r="AA53" s="78"/>
      <c r="AB53" s="78"/>
    </row>
    <row r="54" spans="1:28" ht="16.5" customHeight="1">
      <c r="A54" s="93" t="s">
        <v>60</v>
      </c>
      <c r="B54" s="93"/>
      <c r="C54" s="234" t="str">
        <f ca="1">_xll.DBRA(Server&amp;$B$23,$A54,Context!$I$15)</f>
        <v>RESULTAT OPERATIONNEL</v>
      </c>
      <c r="D54" s="235">
        <f ca="1">_xll.DBRW(Server&amp;Cube1,Context!$I$13,Context!$T$6,Context!$I$11,'Plan Input'!$B$12,Context!$I$12,'Plan Input'!D$2,Context!$I$10,'Plan Input'!$A54)</f>
        <v>0</v>
      </c>
      <c r="E54" s="235">
        <f ca="1">_xll.DBRW(Server&amp;Cube1,Context!$I$13,Context!$T$6,Context!$I$11,'Plan Input'!$B$12,Context!$I$12,'Plan Input'!E$2,Context!$I$10,'Plan Input'!$A54)</f>
        <v>0</v>
      </c>
      <c r="F54" s="235">
        <f ca="1">_xll.DBRW(Server&amp;Cube1,Context!$I$13,Context!$T$6,Context!$I$11,'Plan Input'!$B$12,Context!$I$12,'Plan Input'!F$2,Context!$I$10,'Plan Input'!$A54)</f>
        <v>0</v>
      </c>
      <c r="G54" s="235">
        <f>G36</f>
        <v>12820</v>
      </c>
      <c r="H54" s="235">
        <f t="shared" ref="H54:K54" si="9">H36</f>
        <v>12820</v>
      </c>
      <c r="I54" s="235">
        <f t="shared" si="9"/>
        <v>12820</v>
      </c>
      <c r="J54" s="235">
        <f t="shared" si="9"/>
        <v>12820</v>
      </c>
      <c r="K54" s="235">
        <f t="shared" si="9"/>
        <v>12820</v>
      </c>
      <c r="L54" s="1"/>
      <c r="N54" s="78"/>
      <c r="O54" s="78"/>
      <c r="P54" s="78"/>
      <c r="Q54" s="78"/>
      <c r="R54" s="78"/>
      <c r="S54" s="131" t="s">
        <v>114</v>
      </c>
      <c r="T54" s="78"/>
      <c r="U54" s="78"/>
      <c r="V54" s="78"/>
      <c r="W54" s="78"/>
      <c r="X54" s="78"/>
      <c r="Y54" s="78"/>
      <c r="Z54" s="78"/>
      <c r="AA54" s="78"/>
      <c r="AB54" s="78"/>
    </row>
    <row r="55" spans="1:28" ht="18" customHeight="1">
      <c r="A55" s="93" t="s">
        <v>238</v>
      </c>
      <c r="B55" s="93"/>
      <c r="C55" s="264" t="str">
        <f ca="1">_xll.DBRA(Server&amp;$B$23,$A55,Context!$I$15)</f>
        <v>Amortissements</v>
      </c>
      <c r="D55" s="265">
        <f ca="1">-_xll.DBRW(Server&amp;Cube1,Context!$I$13,Context!$T$6,Context!$I$11,'Plan Input'!$B$12,Context!$I$12,'Plan Input'!D$2,Context!$I$10,'Plan Input'!$A55)</f>
        <v>0</v>
      </c>
      <c r="E55" s="265">
        <f ca="1">-_xll.DBRW(Server&amp;Cube1,Context!$I$13,Context!$T$6,Context!$I$11,'Plan Input'!$B$12,Context!$I$12,'Plan Input'!E$2,Context!$I$10,'Plan Input'!$A55)</f>
        <v>0</v>
      </c>
      <c r="F55" s="265">
        <f ca="1">-_xll.DBRW(Server&amp;Cube1,Context!$I$13,Context!$T$6,Context!$I$11,'Plan Input'!$B$12,Context!$I$12,'Plan Input'!F$2,Context!$I$10,'Plan Input'!$A55)</f>
        <v>0</v>
      </c>
      <c r="G55" s="275">
        <f>-G32</f>
        <v>2000</v>
      </c>
      <c r="H55" s="275">
        <f t="shared" ref="H55:K55" si="10">-H32</f>
        <v>2000</v>
      </c>
      <c r="I55" s="275">
        <f t="shared" si="10"/>
        <v>2000</v>
      </c>
      <c r="J55" s="275">
        <f t="shared" si="10"/>
        <v>2000</v>
      </c>
      <c r="K55" s="275">
        <f t="shared" si="10"/>
        <v>2000</v>
      </c>
      <c r="L55" s="1"/>
      <c r="N55" s="78"/>
      <c r="O55" s="78"/>
      <c r="P55" s="78"/>
      <c r="Q55" s="78"/>
      <c r="R55" s="78"/>
      <c r="S55" s="131" t="s">
        <v>115</v>
      </c>
      <c r="T55" s="78"/>
      <c r="U55" s="78"/>
      <c r="V55" s="78"/>
      <c r="W55" s="78"/>
      <c r="X55" s="78"/>
      <c r="Y55" s="78"/>
      <c r="Z55" s="78"/>
      <c r="AA55" s="78"/>
      <c r="AB55" s="78"/>
    </row>
    <row r="56" spans="1:28" ht="18" customHeight="1">
      <c r="A56" s="93" t="s">
        <v>239</v>
      </c>
      <c r="B56" s="93"/>
      <c r="C56" s="264" t="str">
        <f ca="1">_xll.DBRA(Server&amp;$B$23,$A56,Context!$I$15)</f>
        <v>Provisions</v>
      </c>
      <c r="D56" s="265">
        <f ca="1">-_xll.DBRW(Server&amp;Cube1,Context!$I$13,Context!$T$6,Context!$I$11,'Plan Input'!$B$12,Context!$I$12,'Plan Input'!D$2,Context!$I$10,'Plan Input'!$A56)</f>
        <v>0</v>
      </c>
      <c r="E56" s="265">
        <f ca="1">-_xll.DBRW(Server&amp;Cube1,Context!$I$13,Context!$T$6,Context!$I$11,'Plan Input'!$B$12,Context!$I$12,'Plan Input'!E$2,Context!$I$10,'Plan Input'!$A56)</f>
        <v>0</v>
      </c>
      <c r="F56" s="265">
        <f ca="1">-_xll.DBRW(Server&amp;Cube1,Context!$I$13,Context!$T$6,Context!$I$11,'Plan Input'!$B$12,Context!$I$12,'Plan Input'!F$2,Context!$I$10,'Plan Input'!$A56)</f>
        <v>0</v>
      </c>
      <c r="G56" s="275">
        <f>-G33</f>
        <v>500</v>
      </c>
      <c r="H56" s="275">
        <f t="shared" ref="H56:K56" si="11">-H33</f>
        <v>500</v>
      </c>
      <c r="I56" s="275">
        <f t="shared" si="11"/>
        <v>500</v>
      </c>
      <c r="J56" s="275">
        <f t="shared" si="11"/>
        <v>500</v>
      </c>
      <c r="K56" s="275">
        <f t="shared" si="11"/>
        <v>500</v>
      </c>
      <c r="L56" s="1"/>
      <c r="N56" s="78"/>
      <c r="O56" s="78"/>
      <c r="P56" s="78"/>
      <c r="Q56" s="78"/>
      <c r="R56" s="78"/>
      <c r="S56" s="131"/>
      <c r="T56" s="78"/>
      <c r="U56" s="78"/>
      <c r="V56" s="78"/>
      <c r="W56" s="78"/>
      <c r="X56" s="78"/>
      <c r="Y56" s="78"/>
      <c r="Z56" s="78"/>
      <c r="AA56" s="78"/>
      <c r="AB56" s="78"/>
    </row>
    <row r="57" spans="1:28" ht="18" customHeight="1">
      <c r="A57" s="93" t="s">
        <v>240</v>
      </c>
      <c r="B57" s="93"/>
      <c r="C57" s="264" t="str">
        <f ca="1">_xll.DBRA(Server&amp;$B$23,$A57,Context!$I$15)</f>
        <v>Autres éléments non cash (gain ou perte sur cession, dépréciation)</v>
      </c>
      <c r="D57" s="265">
        <f ca="1">-_xll.DBRW(Server&amp;Cube1,Context!$I$13,Context!$T$6,Context!$I$11,'Plan Input'!$B$12,Context!$I$12,'Plan Input'!D$2,Context!$I$10,'Plan Input'!$A57)</f>
        <v>0</v>
      </c>
      <c r="E57" s="265">
        <f ca="1">-_xll.DBRW(Server&amp;Cube1,Context!$I$13,Context!$T$6,Context!$I$11,'Plan Input'!$B$12,Context!$I$12,'Plan Input'!E$2,Context!$I$10,'Plan Input'!$A57)</f>
        <v>0</v>
      </c>
      <c r="F57" s="265">
        <f ca="1">-_xll.DBRW(Server&amp;Cube1,Context!$I$13,Context!$T$6,Context!$I$11,'Plan Input'!$B$12,Context!$I$12,'Plan Input'!F$2,Context!$I$10,'Plan Input'!$A57)</f>
        <v>0</v>
      </c>
      <c r="G57" s="275">
        <f>-G34</f>
        <v>-300</v>
      </c>
      <c r="H57" s="275">
        <f t="shared" ref="H57:K57" si="12">-H34</f>
        <v>-300</v>
      </c>
      <c r="I57" s="275">
        <f t="shared" si="12"/>
        <v>-300</v>
      </c>
      <c r="J57" s="275">
        <f t="shared" si="12"/>
        <v>-300</v>
      </c>
      <c r="K57" s="275">
        <f t="shared" si="12"/>
        <v>-300</v>
      </c>
      <c r="L57" s="1"/>
      <c r="N57" s="78"/>
      <c r="O57" s="78"/>
      <c r="P57" s="78"/>
      <c r="Q57" s="78"/>
      <c r="R57" s="78"/>
      <c r="S57" s="131"/>
      <c r="T57" s="78"/>
      <c r="U57" s="78"/>
      <c r="V57" s="78"/>
      <c r="W57" s="78"/>
      <c r="X57" s="78"/>
      <c r="Y57" s="78"/>
      <c r="Z57" s="78"/>
      <c r="AA57" s="78"/>
      <c r="AB57" s="78"/>
    </row>
    <row r="58" spans="1:28" ht="18" customHeight="1">
      <c r="A58" s="93" t="s">
        <v>244</v>
      </c>
      <c r="B58" s="93"/>
      <c r="C58" s="264" t="str">
        <f ca="1">_xll.DBRA(Server&amp;$B$23,$A58,Context!$I$15)</f>
        <v>Résultat entreprises. assoc. et co-entr.</v>
      </c>
      <c r="D58" s="265">
        <f ca="1">-_xll.DBRW(Server&amp;Cube1,Context!$I$13,Context!$T$6,Context!$I$11,'Plan Input'!$B$12,Context!$I$12,'Plan Input'!D$2,Context!$I$10,'Plan Input'!$A58)</f>
        <v>0</v>
      </c>
      <c r="E58" s="265">
        <f ca="1">-_xll.DBRW(Server&amp;Cube1,Context!$I$13,Context!$T$6,Context!$I$11,'Plan Input'!$B$12,Context!$I$12,'Plan Input'!E$2,Context!$I$10,'Plan Input'!$A58)</f>
        <v>0</v>
      </c>
      <c r="F58" s="265">
        <f ca="1">-_xll.DBRW(Server&amp;Cube1,Context!$I$13,Context!$T$6,Context!$I$11,'Plan Input'!$B$12,Context!$I$12,'Plan Input'!F$2,Context!$I$10,'Plan Input'!$A58)</f>
        <v>0</v>
      </c>
      <c r="G58" s="275">
        <f>-G35</f>
        <v>-50</v>
      </c>
      <c r="H58" s="275">
        <f t="shared" ref="H58:K58" si="13">-H35</f>
        <v>-50</v>
      </c>
      <c r="I58" s="275">
        <f t="shared" si="13"/>
        <v>-50</v>
      </c>
      <c r="J58" s="275">
        <f t="shared" si="13"/>
        <v>-50</v>
      </c>
      <c r="K58" s="275">
        <f t="shared" si="13"/>
        <v>-50</v>
      </c>
      <c r="L58" s="1"/>
      <c r="N58" s="78"/>
      <c r="O58" s="78"/>
      <c r="P58" s="78"/>
      <c r="Q58" s="78"/>
      <c r="R58" s="78"/>
      <c r="S58" s="131"/>
      <c r="T58" s="78"/>
      <c r="U58" s="78"/>
      <c r="V58" s="78"/>
      <c r="W58" s="78"/>
      <c r="X58" s="78"/>
      <c r="Y58" s="78"/>
      <c r="Z58" s="78"/>
      <c r="AA58" s="78"/>
      <c r="AB58" s="78"/>
    </row>
    <row r="59" spans="1:28" ht="6" customHeight="1" thickBot="1">
      <c r="A59" s="93"/>
      <c r="B59" s="93"/>
      <c r="C59" s="219" t="str">
        <f ca="1">_xll.DBRA(Server&amp;$B$23,$A59,Context!$I$15)</f>
        <v/>
      </c>
      <c r="D59" s="228"/>
      <c r="E59" s="228"/>
      <c r="F59" s="228"/>
      <c r="G59" s="228"/>
      <c r="H59" s="228"/>
      <c r="I59" s="228"/>
      <c r="J59" s="228"/>
      <c r="K59" s="228"/>
      <c r="L59" s="1"/>
      <c r="N59" s="78"/>
      <c r="O59" s="78"/>
      <c r="P59" s="78"/>
      <c r="Q59" s="78"/>
      <c r="R59" s="78"/>
      <c r="S59" s="131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8" customHeight="1">
      <c r="A60" s="93" t="s">
        <v>8</v>
      </c>
      <c r="B60" s="93"/>
      <c r="C60" s="234" t="str">
        <f ca="1">_xll.DBRA(Server&amp;$B$23,$A60,Context!$I$15)</f>
        <v>CAF OPERATIONNELLE</v>
      </c>
      <c r="D60" s="240">
        <f ca="1">_xll.DBRW(Server&amp;Cube1,Context!$I$13,Context!$T$6,Context!$I$11,'Plan Input'!$B$12,Context!$I$12,'Plan Input'!D$2,Context!$I$10,'Plan Input'!$A60)</f>
        <v>0</v>
      </c>
      <c r="E60" s="240">
        <f ca="1">_xll.DBRW(Server&amp;Cube1,Context!$I$13,Context!$T$6,Context!$I$11,'Plan Input'!$B$12,Context!$I$12,'Plan Input'!E$2,Context!$I$10,'Plan Input'!$A60)</f>
        <v>0</v>
      </c>
      <c r="F60" s="240">
        <f ca="1">_xll.DBRW(Server&amp;Cube1,Context!$I$13,Context!$T$6,Context!$I$11,'Plan Input'!$B$12,Context!$I$12,'Plan Input'!F$2,Context!$I$10,'Plan Input'!$A60)</f>
        <v>0</v>
      </c>
      <c r="G60" s="240">
        <f>SUM(G54:G58)</f>
        <v>14970</v>
      </c>
      <c r="H60" s="240">
        <f t="shared" ref="H60:K60" si="14">SUM(H54:H58)</f>
        <v>14970</v>
      </c>
      <c r="I60" s="240">
        <f t="shared" si="14"/>
        <v>14970</v>
      </c>
      <c r="J60" s="240">
        <f t="shared" si="14"/>
        <v>14970</v>
      </c>
      <c r="K60" s="240">
        <f t="shared" si="14"/>
        <v>14970</v>
      </c>
      <c r="L60" s="1"/>
      <c r="N60" s="78"/>
      <c r="O60" s="78"/>
      <c r="P60" s="78"/>
      <c r="Q60" s="78"/>
      <c r="R60" s="78"/>
      <c r="S60" s="131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8" customHeight="1">
      <c r="A61" s="93" t="s">
        <v>9</v>
      </c>
      <c r="B61" s="93"/>
      <c r="C61" s="217" t="str">
        <f ca="1">_xll.DBRA(Server&amp;$B$23,$A61,Context!$I$15)</f>
        <v>CAF financière</v>
      </c>
      <c r="D61" s="265">
        <f ca="1">_xll.DBRW(Server&amp;Cube1,Context!$I$13,Context!$T$6,Context!$I$11,'Plan Input'!$B$12,Context!$I$12,'Plan Input'!D$2,Context!$I$10,'Plan Input'!$A61)</f>
        <v>0</v>
      </c>
      <c r="E61" s="265">
        <f ca="1">_xll.DBRW(Server&amp;Cube1,Context!$I$13,Context!$T$6,Context!$I$11,'Plan Input'!$B$12,Context!$I$12,'Plan Input'!E$2,Context!$I$10,'Plan Input'!$A61)</f>
        <v>0</v>
      </c>
      <c r="F61" s="265">
        <f ca="1">_xll.DBRW(Server&amp;Cube1,Context!$I$13,Context!$T$6,Context!$I$11,'Plan Input'!$B$12,Context!$I$12,'Plan Input'!F$2,Context!$I$10,'Plan Input'!$A61)</f>
        <v>0</v>
      </c>
      <c r="G61" s="224">
        <v>-200</v>
      </c>
      <c r="H61" s="224">
        <v>-200</v>
      </c>
      <c r="I61" s="224">
        <v>-200</v>
      </c>
      <c r="J61" s="224">
        <v>-200</v>
      </c>
      <c r="K61" s="224">
        <v>-200</v>
      </c>
      <c r="L61" s="1"/>
      <c r="N61" s="78"/>
      <c r="O61" s="78"/>
      <c r="P61" s="78"/>
      <c r="Q61" s="78"/>
      <c r="R61" s="78"/>
      <c r="S61" s="131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6" customHeight="1" thickBot="1">
      <c r="A62" s="93"/>
      <c r="B62" s="93"/>
      <c r="C62" s="219" t="str">
        <f ca="1">_xll.DBRA(Server&amp;$B$23,$A62,Context!$I$15)</f>
        <v/>
      </c>
      <c r="D62" s="228"/>
      <c r="E62" s="228"/>
      <c r="F62" s="228"/>
      <c r="G62" s="228"/>
      <c r="H62" s="228"/>
      <c r="I62" s="228"/>
      <c r="J62" s="228"/>
      <c r="K62" s="228"/>
      <c r="L62" s="1"/>
      <c r="N62" s="78"/>
      <c r="O62" s="78"/>
      <c r="P62" s="78"/>
      <c r="Q62" s="78"/>
      <c r="R62" s="78"/>
      <c r="S62" s="131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ht="18" customHeight="1">
      <c r="A63" s="93" t="s">
        <v>11</v>
      </c>
      <c r="B63" s="93"/>
      <c r="C63" s="234" t="str">
        <f ca="1">_xll.DBRA(Server&amp;$B$23,$A63,Context!$I$15)</f>
        <v>CAPACITE D'AUTOFINANCEMENT</v>
      </c>
      <c r="D63" s="240">
        <f ca="1">_xll.DBRW(Server&amp;Cube1,Context!$I$13,Context!$T$6,Context!$I$11,'Plan Input'!$B$12,Context!$I$12,'Plan Input'!D$2,Context!$I$10,'Plan Input'!$A63)</f>
        <v>0</v>
      </c>
      <c r="E63" s="240">
        <f ca="1">_xll.DBRW(Server&amp;Cube1,Context!$I$13,Context!$T$6,Context!$I$11,'Plan Input'!$B$12,Context!$I$12,'Plan Input'!E$2,Context!$I$10,'Plan Input'!$A63)</f>
        <v>0</v>
      </c>
      <c r="F63" s="240">
        <f ca="1">_xll.DBRW(Server&amp;Cube1,Context!$I$13,Context!$T$6,Context!$I$11,'Plan Input'!$B$12,Context!$I$12,'Plan Input'!F$2,Context!$I$10,'Plan Input'!$A63)</f>
        <v>0</v>
      </c>
      <c r="G63" s="240">
        <f>SUM(G60:G61)</f>
        <v>14770</v>
      </c>
      <c r="H63" s="240">
        <f t="shared" ref="H63:K63" si="15">SUM(H60:H61)</f>
        <v>14770</v>
      </c>
      <c r="I63" s="240">
        <f t="shared" si="15"/>
        <v>14770</v>
      </c>
      <c r="J63" s="240">
        <f t="shared" si="15"/>
        <v>14770</v>
      </c>
      <c r="K63" s="240">
        <f t="shared" si="15"/>
        <v>14770</v>
      </c>
      <c r="L63" s="1"/>
      <c r="N63" s="78"/>
      <c r="O63" s="78"/>
      <c r="P63" s="78"/>
      <c r="Q63" s="78"/>
      <c r="R63" s="78"/>
      <c r="S63" s="131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ht="18" customHeight="1">
      <c r="A64" s="93" t="s">
        <v>12</v>
      </c>
      <c r="B64" s="93"/>
      <c r="C64" s="217" t="str">
        <f ca="1">_xll.DBRA(Server&amp;$B$23,$A64,Context!$I$15)</f>
        <v>Impôts versés &amp; BFR fiscal</v>
      </c>
      <c r="D64" s="265">
        <f ca="1">_xll.DBRW(Server&amp;Cube1,Context!$I$13,Context!$T$6,Context!$I$11,'Plan Input'!$B$12,Context!$I$12,'Plan Input'!D$2,Context!$I$10,'Plan Input'!$A64)</f>
        <v>0</v>
      </c>
      <c r="E64" s="265">
        <f ca="1">_xll.DBRW(Server&amp;Cube1,Context!$I$13,Context!$T$6,Context!$I$11,'Plan Input'!$B$12,Context!$I$12,'Plan Input'!E$2,Context!$I$10,'Plan Input'!$A64)</f>
        <v>0</v>
      </c>
      <c r="F64" s="265">
        <f ca="1">_xll.DBRW(Server&amp;Cube1,Context!$I$13,Context!$T$6,Context!$I$11,'Plan Input'!$B$12,Context!$I$12,'Plan Input'!F$2,Context!$I$10,'Plan Input'!$A64)</f>
        <v>0</v>
      </c>
      <c r="G64" s="224">
        <v>-100</v>
      </c>
      <c r="H64" s="224">
        <v>-100</v>
      </c>
      <c r="I64" s="224">
        <v>-100</v>
      </c>
      <c r="J64" s="224">
        <v>-100</v>
      </c>
      <c r="K64" s="224">
        <v>-100</v>
      </c>
      <c r="L64" s="1"/>
      <c r="N64" s="78"/>
      <c r="O64" s="78"/>
      <c r="P64" s="78"/>
      <c r="Q64" s="78"/>
      <c r="R64" s="78"/>
      <c r="S64" s="131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8" customHeight="1">
      <c r="A65" s="93" t="s">
        <v>13</v>
      </c>
      <c r="B65" s="93"/>
      <c r="C65" s="217" t="str">
        <f ca="1">_xll.DBRA(Server&amp;$B$23,$A65,Context!$I$15)</f>
        <v>Variation / BFR opérationnel</v>
      </c>
      <c r="D65" s="265">
        <f ca="1">_xll.DBRW(Server&amp;Cube1,Context!$I$13,Context!$T$6,Context!$I$11,'Plan Input'!$B$12,Context!$I$12,'Plan Input'!D$2,Context!$I$10,'Plan Input'!$A65)</f>
        <v>0</v>
      </c>
      <c r="E65" s="265">
        <f ca="1">_xll.DBRW(Server&amp;Cube1,Context!$I$13,Context!$T$6,Context!$I$11,'Plan Input'!$B$12,Context!$I$12,'Plan Input'!E$2,Context!$I$10,'Plan Input'!$A65)</f>
        <v>0</v>
      </c>
      <c r="F65" s="265">
        <f ca="1">_xll.DBRW(Server&amp;Cube1,Context!$I$13,Context!$T$6,Context!$I$11,'Plan Input'!$B$12,Context!$I$12,'Plan Input'!F$2,Context!$I$10,'Plan Input'!$A65)</f>
        <v>0</v>
      </c>
      <c r="G65" s="224">
        <v>350</v>
      </c>
      <c r="H65" s="224">
        <v>350</v>
      </c>
      <c r="I65" s="224">
        <v>350</v>
      </c>
      <c r="J65" s="224">
        <v>350</v>
      </c>
      <c r="K65" s="224">
        <v>350</v>
      </c>
      <c r="L65" s="1"/>
      <c r="N65" s="78"/>
      <c r="O65" s="78"/>
      <c r="P65" s="78"/>
      <c r="Q65" s="78"/>
      <c r="R65" s="78"/>
      <c r="S65" s="131"/>
      <c r="T65" s="78"/>
      <c r="U65" s="78"/>
      <c r="V65" s="78"/>
      <c r="W65" s="78"/>
      <c r="X65" s="78"/>
      <c r="Y65" s="78"/>
      <c r="Z65" s="78"/>
      <c r="AA65" s="78"/>
      <c r="AB65" s="78"/>
    </row>
    <row r="66" spans="1:28" ht="6" customHeight="1" thickBot="1">
      <c r="A66" s="93"/>
      <c r="B66" s="93"/>
      <c r="C66" s="219" t="str">
        <f ca="1">_xll.DBRA(Server&amp;$B$23,$A66,Context!$I$15)</f>
        <v/>
      </c>
      <c r="D66" s="228"/>
      <c r="E66" s="228"/>
      <c r="F66" s="228"/>
      <c r="G66" s="228"/>
      <c r="H66" s="228"/>
      <c r="I66" s="228"/>
      <c r="J66" s="228"/>
      <c r="K66" s="228"/>
      <c r="L66" s="1"/>
      <c r="N66" s="78"/>
      <c r="O66" s="78"/>
      <c r="P66" s="78"/>
      <c r="Q66" s="78"/>
      <c r="R66" s="78"/>
      <c r="S66" s="131"/>
      <c r="T66" s="78"/>
      <c r="U66" s="78"/>
      <c r="V66" s="78"/>
      <c r="W66" s="78"/>
      <c r="X66" s="78"/>
      <c r="Y66" s="78"/>
      <c r="Z66" s="78"/>
      <c r="AA66" s="78"/>
      <c r="AB66" s="78"/>
    </row>
    <row r="67" spans="1:28" ht="18" customHeight="1">
      <c r="A67" s="93" t="s">
        <v>14</v>
      </c>
      <c r="B67" s="93"/>
      <c r="C67" s="234" t="str">
        <f ca="1">_xll.DBRA(Server&amp;$B$23,$A67,Context!$I$15)</f>
        <v>FLUX NETS SUR ACTIVITES OPERATIONNELLES</v>
      </c>
      <c r="D67" s="240">
        <f ca="1">_xll.DBRW(Server&amp;Cube1,Context!$I$13,Context!$T$6,Context!$I$11,'Plan Input'!$B$12,Context!$I$12,'Plan Input'!D$2,Context!$I$10,'Plan Input'!$A67)</f>
        <v>0</v>
      </c>
      <c r="E67" s="240">
        <f ca="1">_xll.DBRW(Server&amp;Cube1,Context!$I$13,Context!$T$6,Context!$I$11,'Plan Input'!$B$12,Context!$I$12,'Plan Input'!E$2,Context!$I$10,'Plan Input'!$A67)</f>
        <v>0</v>
      </c>
      <c r="F67" s="240">
        <f ca="1">_xll.DBRW(Server&amp;Cube1,Context!$I$13,Context!$T$6,Context!$I$11,'Plan Input'!$B$12,Context!$I$12,'Plan Input'!F$2,Context!$I$10,'Plan Input'!$A67)</f>
        <v>0</v>
      </c>
      <c r="G67" s="240">
        <f>SUM(G63:G65)</f>
        <v>15020</v>
      </c>
      <c r="H67" s="240">
        <f t="shared" ref="H67:K67" si="16">SUM(H63:H65)</f>
        <v>15020</v>
      </c>
      <c r="I67" s="240">
        <f t="shared" si="16"/>
        <v>15020</v>
      </c>
      <c r="J67" s="240">
        <f t="shared" si="16"/>
        <v>15020</v>
      </c>
      <c r="K67" s="240">
        <f t="shared" si="16"/>
        <v>15020</v>
      </c>
      <c r="L67" s="1"/>
      <c r="N67" s="78"/>
      <c r="O67" s="78"/>
      <c r="P67" s="78"/>
      <c r="Q67" s="78"/>
      <c r="R67" s="78"/>
      <c r="S67" s="131"/>
      <c r="T67" s="78"/>
      <c r="U67" s="78"/>
      <c r="V67" s="78"/>
      <c r="W67" s="78"/>
      <c r="X67" s="78"/>
      <c r="Y67" s="78"/>
      <c r="Z67" s="78"/>
      <c r="AA67" s="78"/>
      <c r="AB67" s="78"/>
    </row>
    <row r="68" spans="1:28" ht="6" customHeight="1">
      <c r="A68" s="93"/>
      <c r="B68" s="93"/>
      <c r="C68" s="242" t="str">
        <f ca="1">_xll.DBRA(Server&amp;$B$23,$A68,Context!$I$15)</f>
        <v/>
      </c>
      <c r="D68" s="228"/>
      <c r="E68" s="228"/>
      <c r="F68" s="228"/>
      <c r="G68" s="228"/>
      <c r="H68" s="228"/>
      <c r="I68" s="228"/>
      <c r="J68" s="228"/>
      <c r="K68" s="228"/>
      <c r="L68" s="1"/>
      <c r="N68" s="78"/>
      <c r="O68" s="78"/>
      <c r="P68" s="78"/>
      <c r="Q68" s="78"/>
      <c r="R68" s="78"/>
      <c r="S68" s="131"/>
      <c r="T68" s="78"/>
      <c r="U68" s="78"/>
      <c r="V68" s="78"/>
      <c r="W68" s="78"/>
      <c r="X68" s="78"/>
      <c r="Y68" s="78"/>
      <c r="Z68" s="78"/>
      <c r="AA68" s="78"/>
      <c r="AB68" s="78"/>
    </row>
    <row r="69" spans="1:28" ht="18" customHeight="1">
      <c r="A69" s="93" t="s">
        <v>237</v>
      </c>
      <c r="B69" s="93"/>
      <c r="C69" s="217" t="str">
        <f ca="1">_xll.DBRA(Server&amp;$B$23,$A69,Context!$I$15)</f>
        <v>CAPEX - Tout mode de financement (excl. IFRIC12)</v>
      </c>
      <c r="D69" s="265">
        <f ca="1">_xll.DBRW(Server&amp;Cube1,Context!$I$13,Context!$T$6,Context!$I$11,'Plan Input'!$B$12,Context!$I$12,'Plan Input'!D$2,Context!$I$10,'Plan Input'!$A69)</f>
        <v>0</v>
      </c>
      <c r="E69" s="265">
        <f ca="1">_xll.DBRW(Server&amp;Cube1,Context!$I$13,Context!$T$6,Context!$I$11,'Plan Input'!$B$12,Context!$I$12,'Plan Input'!E$2,Context!$I$10,'Plan Input'!$A69)</f>
        <v>0</v>
      </c>
      <c r="F69" s="265">
        <f ca="1">_xll.DBRW(Server&amp;Cube1,Context!$I$13,Context!$T$6,Context!$I$11,'Plan Input'!$B$12,Context!$I$12,'Plan Input'!F$2,Context!$I$10,'Plan Input'!$A69)</f>
        <v>0</v>
      </c>
      <c r="G69" s="224">
        <v>-10000</v>
      </c>
      <c r="H69" s="224">
        <v>-10000</v>
      </c>
      <c r="I69" s="224">
        <v>-10000</v>
      </c>
      <c r="J69" s="224">
        <v>-10000</v>
      </c>
      <c r="K69" s="224">
        <v>-10000</v>
      </c>
      <c r="L69" s="1"/>
      <c r="N69" s="78"/>
      <c r="O69" s="78"/>
      <c r="P69" s="78"/>
      <c r="Q69" s="78"/>
      <c r="R69" s="78"/>
      <c r="S69" s="131"/>
      <c r="T69" s="78"/>
      <c r="U69" s="78"/>
      <c r="V69" s="78"/>
      <c r="W69" s="78"/>
      <c r="X69" s="78"/>
      <c r="Y69" s="78"/>
      <c r="Z69" s="78"/>
      <c r="AA69" s="78"/>
      <c r="AB69" s="78"/>
    </row>
    <row r="70" spans="1:28" ht="18" customHeight="1">
      <c r="A70" s="93" t="s">
        <v>15</v>
      </c>
      <c r="B70" s="93"/>
      <c r="C70" s="217" t="str">
        <f ca="1">_xll.DBRA(Server&amp;$B$23,$A70,Context!$I$15)</f>
        <v>Nouveaux Actifs Financiers Opérationnels - IFRIC 12 impact EFN</v>
      </c>
      <c r="D70" s="265">
        <f ca="1">_xll.DBRW(Server&amp;Cube1,Context!$I$13,Context!$T$6,Context!$I$11,'Plan Input'!$B$12,Context!$I$12,'Plan Input'!D$2,Context!$I$10,'Plan Input'!$A70)</f>
        <v>0</v>
      </c>
      <c r="E70" s="265">
        <f ca="1">_xll.DBRW(Server&amp;Cube1,Context!$I$13,Context!$T$6,Context!$I$11,'Plan Input'!$B$12,Context!$I$12,'Plan Input'!E$2,Context!$I$10,'Plan Input'!$A70)</f>
        <v>0</v>
      </c>
      <c r="F70" s="265">
        <f ca="1">_xll.DBRW(Server&amp;Cube1,Context!$I$13,Context!$T$6,Context!$I$11,'Plan Input'!$B$12,Context!$I$12,'Plan Input'!F$2,Context!$I$10,'Plan Input'!$A70)</f>
        <v>0</v>
      </c>
      <c r="G70" s="275">
        <f>G128</f>
        <v>-5000</v>
      </c>
      <c r="H70" s="275">
        <f t="shared" ref="H70:K70" si="17">H128</f>
        <v>-5000</v>
      </c>
      <c r="I70" s="275">
        <f t="shared" si="17"/>
        <v>-5000</v>
      </c>
      <c r="J70" s="275">
        <f t="shared" si="17"/>
        <v>-5000</v>
      </c>
      <c r="K70" s="275">
        <f t="shared" si="17"/>
        <v>-5000</v>
      </c>
      <c r="L70" s="1"/>
      <c r="N70" s="78"/>
      <c r="O70" s="78"/>
      <c r="P70" s="78"/>
      <c r="Q70" s="78"/>
      <c r="R70" s="78"/>
      <c r="S70" s="131"/>
      <c r="T70" s="78"/>
      <c r="U70" s="78"/>
      <c r="V70" s="78"/>
      <c r="W70" s="78"/>
      <c r="X70" s="78"/>
      <c r="Y70" s="78"/>
      <c r="Z70" s="78"/>
      <c r="AA70" s="78"/>
      <c r="AB70" s="78"/>
    </row>
    <row r="71" spans="1:28" ht="18" customHeight="1">
      <c r="A71" s="93" t="s">
        <v>16</v>
      </c>
      <c r="B71" s="93"/>
      <c r="C71" s="217" t="str">
        <f ca="1">_xll.DBRA(Server&amp;$B$23,$A71,Context!$I$15)</f>
        <v>Investissements financiers (y.c. EFN stés acquises)</v>
      </c>
      <c r="D71" s="265">
        <f ca="1">_xll.DBRW(Server&amp;Cube1,Context!$I$13,Context!$T$6,Context!$I$11,'Plan Input'!$B$12,Context!$I$12,'Plan Input'!D$2,Context!$I$10,'Plan Input'!$A71)</f>
        <v>0</v>
      </c>
      <c r="E71" s="265">
        <f ca="1">_xll.DBRW(Server&amp;Cube1,Context!$I$13,Context!$T$6,Context!$I$11,'Plan Input'!$B$12,Context!$I$12,'Plan Input'!E$2,Context!$I$10,'Plan Input'!$A71)</f>
        <v>0</v>
      </c>
      <c r="F71" s="265">
        <f ca="1">_xll.DBRW(Server&amp;Cube1,Context!$I$13,Context!$T$6,Context!$I$11,'Plan Input'!$B$12,Context!$I$12,'Plan Input'!F$2,Context!$I$10,'Plan Input'!$A71)</f>
        <v>0</v>
      </c>
      <c r="G71" s="321">
        <v>-7000</v>
      </c>
      <c r="H71" s="321">
        <v>-7000</v>
      </c>
      <c r="I71" s="321">
        <v>-7000</v>
      </c>
      <c r="J71" s="321">
        <v>-7000</v>
      </c>
      <c r="K71" s="321">
        <v>-7000</v>
      </c>
      <c r="L71" s="1"/>
      <c r="N71" s="78"/>
      <c r="O71" s="78"/>
      <c r="P71" s="78"/>
      <c r="Q71" s="78"/>
      <c r="R71" s="78"/>
      <c r="S71" s="131"/>
      <c r="T71" s="78"/>
      <c r="U71" s="78"/>
      <c r="V71" s="78"/>
      <c r="W71" s="78"/>
      <c r="X71" s="78"/>
      <c r="Y71" s="78"/>
      <c r="Z71" s="78"/>
      <c r="AA71" s="78"/>
      <c r="AB71" s="78"/>
    </row>
    <row r="72" spans="1:28" ht="18" customHeight="1">
      <c r="A72" s="93" t="s">
        <v>18</v>
      </c>
      <c r="B72" s="93"/>
      <c r="C72" s="217" t="str">
        <f ca="1">_xll.DBRA(Server&amp;$B$23,$A72,Context!$I$15)</f>
        <v>Cessions d'actifs industriels</v>
      </c>
      <c r="D72" s="265">
        <f ca="1">_xll.DBRW(Server&amp;Cube1,Context!$I$13,Context!$T$6,Context!$I$11,'Plan Input'!$B$12,Context!$I$12,'Plan Input'!D$2,Context!$I$10,'Plan Input'!$A72)</f>
        <v>0</v>
      </c>
      <c r="E72" s="265">
        <f ca="1">_xll.DBRW(Server&amp;Cube1,Context!$I$13,Context!$T$6,Context!$I$11,'Plan Input'!$B$12,Context!$I$12,'Plan Input'!E$2,Context!$I$10,'Plan Input'!$A72)</f>
        <v>0</v>
      </c>
      <c r="F72" s="265">
        <f ca="1">_xll.DBRW(Server&amp;Cube1,Context!$I$13,Context!$T$6,Context!$I$11,'Plan Input'!$B$12,Context!$I$12,'Plan Input'!F$2,Context!$I$10,'Plan Input'!$A72)</f>
        <v>0</v>
      </c>
      <c r="G72" s="224">
        <v>5000</v>
      </c>
      <c r="H72" s="224">
        <v>5000</v>
      </c>
      <c r="I72" s="224">
        <v>5000</v>
      </c>
      <c r="J72" s="224">
        <v>5000</v>
      </c>
      <c r="K72" s="224">
        <v>5000</v>
      </c>
      <c r="L72" s="1"/>
      <c r="N72" s="78"/>
      <c r="O72" s="78"/>
      <c r="P72" s="78"/>
      <c r="Q72" s="78"/>
      <c r="R72" s="78"/>
      <c r="S72" s="131"/>
      <c r="T72" s="78"/>
      <c r="U72" s="78"/>
      <c r="V72" s="78"/>
      <c r="W72" s="78"/>
      <c r="X72" s="78"/>
      <c r="Y72" s="78"/>
      <c r="Z72" s="78"/>
      <c r="AA72" s="78"/>
      <c r="AB72" s="78"/>
    </row>
    <row r="73" spans="1:28" ht="18" customHeight="1">
      <c r="A73" s="93" t="s">
        <v>19</v>
      </c>
      <c r="B73" s="93"/>
      <c r="C73" s="217" t="str">
        <f ca="1">_xll.DBRA(Server&amp;$B$23,$A73,Context!$I$15)</f>
        <v>Remboursement Actifs Financiers Opérationnels - IFRIC 12 impact EFN</v>
      </c>
      <c r="D73" s="265">
        <f ca="1">_xll.DBRW(Server&amp;Cube1,Context!$I$13,Context!$T$6,Context!$I$11,'Plan Input'!$B$12,Context!$I$12,'Plan Input'!D$2,Context!$I$10,'Plan Input'!$A73)</f>
        <v>0</v>
      </c>
      <c r="E73" s="265">
        <f ca="1">_xll.DBRW(Server&amp;Cube1,Context!$I$13,Context!$T$6,Context!$I$11,'Plan Input'!$B$12,Context!$I$12,'Plan Input'!E$2,Context!$I$10,'Plan Input'!$A73)</f>
        <v>0</v>
      </c>
      <c r="F73" s="265">
        <f ca="1">_xll.DBRW(Server&amp;Cube1,Context!$I$13,Context!$T$6,Context!$I$11,'Plan Input'!$B$12,Context!$I$12,'Plan Input'!F$2,Context!$I$10,'Plan Input'!$A73)</f>
        <v>0</v>
      </c>
      <c r="G73" s="275">
        <f>G129</f>
        <v>200</v>
      </c>
      <c r="H73" s="275">
        <f t="shared" ref="H73:K73" si="18">H129</f>
        <v>200</v>
      </c>
      <c r="I73" s="275">
        <f t="shared" si="18"/>
        <v>200</v>
      </c>
      <c r="J73" s="275">
        <f t="shared" si="18"/>
        <v>200</v>
      </c>
      <c r="K73" s="275">
        <f t="shared" si="18"/>
        <v>200</v>
      </c>
      <c r="L73" s="1"/>
      <c r="N73" s="78"/>
      <c r="O73" s="78"/>
      <c r="P73" s="78"/>
      <c r="Q73" s="78"/>
      <c r="R73" s="78"/>
      <c r="S73" s="131"/>
      <c r="T73" s="78"/>
      <c r="U73" s="78"/>
      <c r="V73" s="78"/>
      <c r="W73" s="78"/>
      <c r="X73" s="78"/>
      <c r="Y73" s="78"/>
      <c r="Z73" s="78"/>
      <c r="AA73" s="78"/>
      <c r="AB73" s="78"/>
    </row>
    <row r="74" spans="1:28" ht="18" customHeight="1">
      <c r="A74" s="93" t="s">
        <v>20</v>
      </c>
      <c r="B74" s="93"/>
      <c r="C74" s="217" t="str">
        <f ca="1">_xll.DBRA(Server&amp;$B$23,$A74,Context!$I$15)</f>
        <v>Cessions d'immos financières (y.c. EFN stés cédées)</v>
      </c>
      <c r="D74" s="265">
        <f ca="1">_xll.DBRW(Server&amp;Cube1,Context!$I$13,Context!$T$6,Context!$I$11,'Plan Input'!$B$12,Context!$I$12,'Plan Input'!D$2,Context!$I$10,'Plan Input'!$A74)</f>
        <v>0</v>
      </c>
      <c r="E74" s="265">
        <f ca="1">_xll.DBRW(Server&amp;Cube1,Context!$I$13,Context!$T$6,Context!$I$11,'Plan Input'!$B$12,Context!$I$12,'Plan Input'!E$2,Context!$I$10,'Plan Input'!$A74)</f>
        <v>0</v>
      </c>
      <c r="F74" s="265">
        <f ca="1">_xll.DBRW(Server&amp;Cube1,Context!$I$13,Context!$T$6,Context!$I$11,'Plan Input'!$B$12,Context!$I$12,'Plan Input'!F$2,Context!$I$10,'Plan Input'!$A74)</f>
        <v>0</v>
      </c>
      <c r="G74" s="321">
        <v>3500</v>
      </c>
      <c r="H74" s="321">
        <v>3500</v>
      </c>
      <c r="I74" s="321">
        <v>3500</v>
      </c>
      <c r="J74" s="321">
        <v>3500</v>
      </c>
      <c r="K74" s="321">
        <v>3500</v>
      </c>
      <c r="L74" s="1"/>
      <c r="N74" s="78"/>
      <c r="O74" s="78"/>
      <c r="P74" s="78"/>
      <c r="Q74" s="78"/>
      <c r="R74" s="78"/>
      <c r="S74" s="131"/>
      <c r="T74" s="78"/>
      <c r="U74" s="78"/>
      <c r="V74" s="78"/>
      <c r="W74" s="78"/>
      <c r="X74" s="78"/>
      <c r="Y74" s="78"/>
      <c r="Z74" s="78"/>
      <c r="AA74" s="78"/>
      <c r="AB74" s="78"/>
    </row>
    <row r="75" spans="1:28" ht="18" hidden="1" customHeight="1" outlineLevel="1">
      <c r="A75" s="93" t="s">
        <v>22</v>
      </c>
      <c r="B75" s="93"/>
      <c r="C75" s="217" t="str">
        <f ca="1">_xll.DBRA(Server&amp;$B$23,$A75,Context!$I$15)</f>
        <v>Variation des autres actifs financiers</v>
      </c>
      <c r="D75" s="265">
        <f ca="1">_xll.DBRW(Server&amp;Cube1,Context!$I$13,Context!$T$6,Context!$I$11,'Plan Input'!$B$12,Context!$I$12,'Plan Input'!D$2,Context!$I$10,'Plan Input'!$A75)</f>
        <v>0</v>
      </c>
      <c r="E75" s="265">
        <f ca="1">_xll.DBRW(Server&amp;Cube1,Context!$I$13,Context!$T$6,Context!$I$11,'Plan Input'!$B$12,Context!$I$12,'Plan Input'!E$2,Context!$I$10,'Plan Input'!$A75)</f>
        <v>0</v>
      </c>
      <c r="F75" s="265">
        <f ca="1">_xll.DBRW(Server&amp;Cube1,Context!$I$13,Context!$T$6,Context!$I$11,'Plan Input'!$B$12,Context!$I$12,'Plan Input'!F$2,Context!$I$10,'Plan Input'!$A75)</f>
        <v>0</v>
      </c>
      <c r="G75" s="283"/>
      <c r="H75" s="283"/>
      <c r="I75" s="283"/>
      <c r="J75" s="283"/>
      <c r="K75" s="283"/>
      <c r="L75" s="1"/>
      <c r="N75" s="78"/>
      <c r="O75" s="78"/>
      <c r="P75" s="78"/>
      <c r="Q75" s="78"/>
      <c r="R75" s="78"/>
      <c r="S75" s="131"/>
      <c r="T75" s="78"/>
      <c r="U75" s="78"/>
      <c r="V75" s="78"/>
      <c r="W75" s="78"/>
      <c r="X75" s="78"/>
      <c r="Y75" s="78"/>
      <c r="Z75" s="78"/>
      <c r="AA75" s="78"/>
      <c r="AB75" s="78"/>
    </row>
    <row r="76" spans="1:28" ht="18" hidden="1" customHeight="1" outlineLevel="1">
      <c r="A76" s="93" t="s">
        <v>23</v>
      </c>
      <c r="B76" s="93"/>
      <c r="C76" s="217" t="str">
        <f ca="1">_xll.DBRA(Server&amp;$B$23,$A76,Context!$I$15)</f>
        <v>Dividendes reçus des ent. associées (ME)</v>
      </c>
      <c r="D76" s="265">
        <f ca="1">_xll.DBRW(Server&amp;Cube1,Context!$I$13,Context!$T$6,Context!$I$11,'Plan Input'!$B$12,Context!$I$12,'Plan Input'!D$2,Context!$I$10,'Plan Input'!$A76)</f>
        <v>0</v>
      </c>
      <c r="E76" s="265">
        <f ca="1">_xll.DBRW(Server&amp;Cube1,Context!$I$13,Context!$T$6,Context!$I$11,'Plan Input'!$B$12,Context!$I$12,'Plan Input'!E$2,Context!$I$10,'Plan Input'!$A76)</f>
        <v>0</v>
      </c>
      <c r="F76" s="265">
        <f ca="1">_xll.DBRW(Server&amp;Cube1,Context!$I$13,Context!$T$6,Context!$I$11,'Plan Input'!$B$12,Context!$I$12,'Plan Input'!F$2,Context!$I$10,'Plan Input'!$A76)</f>
        <v>0</v>
      </c>
      <c r="G76" s="283"/>
      <c r="H76" s="283"/>
      <c r="I76" s="283"/>
      <c r="J76" s="283"/>
      <c r="K76" s="283"/>
      <c r="L76" s="1"/>
      <c r="N76" s="78"/>
      <c r="O76" s="78"/>
      <c r="P76" s="78"/>
      <c r="Q76" s="78"/>
      <c r="R76" s="78"/>
      <c r="S76" s="131"/>
      <c r="T76" s="78"/>
      <c r="U76" s="78"/>
      <c r="V76" s="78"/>
      <c r="W76" s="78"/>
      <c r="X76" s="78"/>
      <c r="Y76" s="78"/>
      <c r="Z76" s="78"/>
      <c r="AA76" s="78"/>
      <c r="AB76" s="78"/>
    </row>
    <row r="77" spans="1:28" ht="18" customHeight="1" collapsed="1">
      <c r="A77" s="93" t="s">
        <v>24</v>
      </c>
      <c r="B77" s="93"/>
      <c r="C77" s="217" t="str">
        <f ca="1">_xll.DBRA(Server&amp;$B$23,$A77,Context!$I$15)</f>
        <v>Dividendes reçus des titres Non Consolidés</v>
      </c>
      <c r="D77" s="265">
        <f ca="1">_xll.DBRW(Server&amp;Cube1,Context!$I$13,Context!$T$6,Context!$I$11,'Plan Input'!$B$12,Context!$I$12,'Plan Input'!D$2,Context!$I$10,'Plan Input'!$A77)</f>
        <v>0</v>
      </c>
      <c r="E77" s="265">
        <f ca="1">_xll.DBRW(Server&amp;Cube1,Context!$I$13,Context!$T$6,Context!$I$11,'Plan Input'!$B$12,Context!$I$12,'Plan Input'!E$2,Context!$I$10,'Plan Input'!$A77)</f>
        <v>0</v>
      </c>
      <c r="F77" s="265">
        <f ca="1">_xll.DBRW(Server&amp;Cube1,Context!$I$13,Context!$T$6,Context!$I$11,'Plan Input'!$B$12,Context!$I$12,'Plan Input'!F$2,Context!$I$10,'Plan Input'!$A77)</f>
        <v>0</v>
      </c>
      <c r="G77" s="224">
        <v>200</v>
      </c>
      <c r="H77" s="224">
        <v>200</v>
      </c>
      <c r="I77" s="224">
        <v>200</v>
      </c>
      <c r="J77" s="224">
        <v>200</v>
      </c>
      <c r="K77" s="224">
        <v>200</v>
      </c>
      <c r="L77" s="1"/>
      <c r="N77" s="78"/>
      <c r="O77" s="78"/>
      <c r="P77" s="78"/>
      <c r="Q77" s="78"/>
      <c r="R77" s="78"/>
      <c r="S77" s="131"/>
      <c r="T77" s="78"/>
      <c r="U77" s="78"/>
      <c r="V77" s="78"/>
      <c r="W77" s="78"/>
      <c r="X77" s="78"/>
      <c r="Y77" s="78"/>
      <c r="Z77" s="78"/>
      <c r="AA77" s="78"/>
      <c r="AB77" s="78"/>
    </row>
    <row r="78" spans="1:28" ht="18" hidden="1" customHeight="1" outlineLevel="1">
      <c r="A78" s="93" t="s">
        <v>25</v>
      </c>
      <c r="B78" s="93"/>
      <c r="C78" s="217" t="str">
        <f ca="1">_xll.DBRA(Server&amp;$B$23,$A78,Context!$I$15)</f>
        <v>Transferts internes</v>
      </c>
      <c r="D78" s="265">
        <f ca="1">_xll.DBRW(Server&amp;Cube1,Context!$I$13,Context!$T$6,Context!$I$11,'Plan Input'!$B$12,Context!$I$12,'Plan Input'!D$2,Context!$I$10,'Plan Input'!$A78)</f>
        <v>0</v>
      </c>
      <c r="E78" s="265">
        <f ca="1">_xll.DBRW(Server&amp;Cube1,Context!$I$13,Context!$T$6,Context!$I$11,'Plan Input'!$B$12,Context!$I$12,'Plan Input'!E$2,Context!$I$10,'Plan Input'!$A78)</f>
        <v>0</v>
      </c>
      <c r="F78" s="265">
        <f ca="1">_xll.DBRW(Server&amp;Cube1,Context!$I$13,Context!$T$6,Context!$I$11,'Plan Input'!$B$12,Context!$I$12,'Plan Input'!F$2,Context!$I$10,'Plan Input'!$A78)</f>
        <v>0</v>
      </c>
      <c r="G78" s="283"/>
      <c r="H78" s="283"/>
      <c r="I78" s="283"/>
      <c r="J78" s="283"/>
      <c r="K78" s="283"/>
      <c r="L78" s="1"/>
      <c r="N78" s="78"/>
      <c r="O78" s="78"/>
      <c r="P78" s="78"/>
      <c r="Q78" s="78"/>
      <c r="R78" s="78"/>
      <c r="S78" s="131"/>
      <c r="T78" s="78"/>
      <c r="U78" s="78"/>
      <c r="V78" s="78"/>
      <c r="W78" s="78"/>
      <c r="X78" s="78"/>
      <c r="Y78" s="78"/>
      <c r="Z78" s="78"/>
      <c r="AA78" s="78"/>
      <c r="AB78" s="78"/>
    </row>
    <row r="79" spans="1:28" ht="13.5" customHeight="1" collapsed="1" thickBot="1">
      <c r="A79" s="93"/>
      <c r="B79" s="93"/>
      <c r="C79" s="242" t="str">
        <f ca="1">_xll.DBRA(Server&amp;$B$23,$A79,Context!$I$15)</f>
        <v/>
      </c>
      <c r="D79" s="228"/>
      <c r="E79" s="228"/>
      <c r="F79" s="228"/>
      <c r="G79" s="228"/>
      <c r="H79" s="228"/>
      <c r="I79" s="228"/>
      <c r="J79" s="228"/>
      <c r="K79" s="228"/>
      <c r="L79" s="1"/>
      <c r="N79" s="78"/>
      <c r="O79" s="78"/>
      <c r="P79" s="78"/>
      <c r="Q79" s="78"/>
      <c r="R79" s="78"/>
      <c r="S79" s="131"/>
      <c r="T79" s="78"/>
      <c r="U79" s="78"/>
      <c r="V79" s="78"/>
      <c r="W79" s="78"/>
      <c r="X79" s="78"/>
      <c r="Y79" s="78"/>
      <c r="Z79" s="78"/>
      <c r="AA79" s="78"/>
      <c r="AB79" s="78"/>
    </row>
    <row r="80" spans="1:28" ht="18" customHeight="1">
      <c r="A80" s="93" t="s">
        <v>26</v>
      </c>
      <c r="B80" s="93"/>
      <c r="C80" s="243" t="str">
        <f ca="1">_xll.DBRA(Server&amp;$B$23,$A80,Context!$I$15)</f>
        <v>FLUX NET D'INVESTISSEMENTS</v>
      </c>
      <c r="D80" s="240">
        <f ca="1">_xll.DBRW(Server&amp;Cube1,Context!$I$13,Context!$T$6,Context!$I$11,'Plan Input'!$B$12,Context!$I$12,'Plan Input'!D$2,Context!$I$10,'Plan Input'!$A80)</f>
        <v>0</v>
      </c>
      <c r="E80" s="240">
        <f ca="1">_xll.DBRW(Server&amp;Cube1,Context!$I$13,Context!$T$6,Context!$I$11,'Plan Input'!$B$12,Context!$I$12,'Plan Input'!E$2,Context!$I$10,'Plan Input'!$A80)</f>
        <v>0</v>
      </c>
      <c r="F80" s="240">
        <f ca="1">_xll.DBRW(Server&amp;Cube1,Context!$I$13,Context!$T$6,Context!$I$11,'Plan Input'!$B$12,Context!$I$12,'Plan Input'!F$2,Context!$I$10,'Plan Input'!$A80)</f>
        <v>0</v>
      </c>
      <c r="G80" s="240">
        <f>SUM(G69:G78)</f>
        <v>-13100</v>
      </c>
      <c r="H80" s="240">
        <f t="shared" ref="H80:K80" si="19">SUM(H69:H78)</f>
        <v>-13100</v>
      </c>
      <c r="I80" s="240">
        <f t="shared" si="19"/>
        <v>-13100</v>
      </c>
      <c r="J80" s="240">
        <f t="shared" si="19"/>
        <v>-13100</v>
      </c>
      <c r="K80" s="240">
        <f t="shared" si="19"/>
        <v>-13100</v>
      </c>
      <c r="L80" s="1"/>
      <c r="N80" s="78"/>
      <c r="O80" s="78"/>
      <c r="P80" s="78"/>
      <c r="Q80" s="78"/>
      <c r="R80" s="78"/>
      <c r="S80" s="131"/>
      <c r="T80" s="78"/>
      <c r="U80" s="78"/>
      <c r="V80" s="78"/>
      <c r="W80" s="78"/>
      <c r="X80" s="78"/>
      <c r="Y80" s="78"/>
      <c r="Z80" s="78"/>
      <c r="AA80" s="78"/>
      <c r="AB80" s="78"/>
    </row>
    <row r="81" spans="1:30" ht="8.25" customHeight="1" thickBot="1">
      <c r="A81" s="93"/>
      <c r="B81" s="93"/>
      <c r="C81" s="242" t="str">
        <f ca="1">_xll.DBRA(Server&amp;$B$23,$A81,Context!$I$15)</f>
        <v/>
      </c>
      <c r="D81" s="228"/>
      <c r="E81" s="228"/>
      <c r="F81" s="228"/>
      <c r="G81" s="228"/>
      <c r="H81" s="228"/>
      <c r="I81" s="228"/>
      <c r="J81" s="228"/>
      <c r="K81" s="228"/>
      <c r="L81" s="1"/>
      <c r="N81" s="78"/>
      <c r="O81" s="78"/>
      <c r="P81" s="78"/>
      <c r="Q81" s="78"/>
      <c r="R81" s="78"/>
      <c r="S81" s="131"/>
      <c r="T81" s="78"/>
      <c r="U81" s="78"/>
      <c r="V81" s="78"/>
      <c r="W81" s="78"/>
      <c r="X81" s="78"/>
      <c r="Y81" s="78"/>
      <c r="Z81" s="78"/>
      <c r="AA81" s="78"/>
      <c r="AB81" s="78"/>
    </row>
    <row r="82" spans="1:30" ht="18" customHeight="1" thickBot="1">
      <c r="A82" s="93" t="s">
        <v>27</v>
      </c>
      <c r="B82" s="93"/>
      <c r="C82" s="244" t="str">
        <f ca="1">_xll.DBRA(Server&amp;$B$23,$A82,Context!$I$15)</f>
        <v>FREE CASH FLOW OPERATIONNEL</v>
      </c>
      <c r="D82" s="240">
        <f ca="1">_xll.DBRW(Server&amp;Cube1,Context!$I$13,Context!$T$6,Context!$I$11,'Plan Input'!$B$12,Context!$I$12,'Plan Input'!D$2,Context!$I$10,'Plan Input'!$A82)</f>
        <v>0</v>
      </c>
      <c r="E82" s="240">
        <f ca="1">_xll.DBRW(Server&amp;Cube1,Context!$I$13,Context!$T$6,Context!$I$11,'Plan Input'!$B$12,Context!$I$12,'Plan Input'!E$2,Context!$I$10,'Plan Input'!$A82)</f>
        <v>0</v>
      </c>
      <c r="F82" s="240">
        <f ca="1">_xll.DBRW(Server&amp;Cube1,Context!$I$13,Context!$T$6,Context!$I$11,'Plan Input'!$B$12,Context!$I$12,'Plan Input'!F$2,Context!$I$10,'Plan Input'!$A82)</f>
        <v>0</v>
      </c>
      <c r="G82" s="240">
        <f>G67+G80</f>
        <v>1920</v>
      </c>
      <c r="H82" s="240">
        <f t="shared" ref="H82:K82" si="20">H67+H80</f>
        <v>1920</v>
      </c>
      <c r="I82" s="240">
        <f t="shared" si="20"/>
        <v>1920</v>
      </c>
      <c r="J82" s="240">
        <f t="shared" si="20"/>
        <v>1920</v>
      </c>
      <c r="K82" s="240">
        <f t="shared" si="20"/>
        <v>1920</v>
      </c>
      <c r="L82" s="1"/>
      <c r="N82" s="78"/>
      <c r="O82" s="78"/>
      <c r="P82" s="78"/>
      <c r="Q82" s="78"/>
      <c r="R82" s="78"/>
      <c r="S82" s="131"/>
      <c r="T82" s="78"/>
      <c r="U82" s="78"/>
      <c r="V82" s="78"/>
      <c r="W82" s="78"/>
      <c r="X82" s="78"/>
      <c r="Y82" s="78"/>
      <c r="Z82" s="78"/>
      <c r="AA82" s="78"/>
      <c r="AB82" s="78"/>
    </row>
    <row r="83" spans="1:30" ht="6.75" customHeight="1">
      <c r="A83" s="93"/>
      <c r="B83" s="93"/>
      <c r="C83" s="242" t="str">
        <f ca="1">_xll.DBRA(Server&amp;$B$23,$A83,Context!$I$15)</f>
        <v/>
      </c>
      <c r="D83" s="228"/>
      <c r="E83" s="228"/>
      <c r="F83" s="228"/>
      <c r="G83" s="228"/>
      <c r="H83" s="228"/>
      <c r="I83" s="228"/>
      <c r="J83" s="228"/>
      <c r="K83" s="228"/>
      <c r="L83" s="1"/>
      <c r="N83" s="78"/>
      <c r="O83" s="78"/>
      <c r="P83" s="78"/>
      <c r="Q83" s="78"/>
      <c r="R83" s="78"/>
      <c r="S83" s="131"/>
      <c r="T83" s="78"/>
      <c r="U83" s="78"/>
      <c r="V83" s="78"/>
      <c r="W83" s="78"/>
      <c r="X83" s="78"/>
      <c r="Y83" s="78"/>
      <c r="Z83" s="78"/>
      <c r="AA83" s="78"/>
      <c r="AB83" s="78"/>
    </row>
    <row r="84" spans="1:30" ht="18" customHeight="1">
      <c r="A84" s="93" t="s">
        <v>1</v>
      </c>
      <c r="B84" s="93"/>
      <c r="C84" s="218" t="str">
        <f ca="1">_xll.DBRA(Server&amp;$B$23,$A84,Context!$I$15)</f>
        <v>Coût de l'endettement financier net</v>
      </c>
      <c r="D84" s="265">
        <f ca="1">_xll.DBRW(Server&amp;Cube1,Context!$I$13,Context!$T$6,Context!$I$11,'Plan Input'!$B$12,Context!$I$12,'Plan Input'!D$2,Context!$I$10,'Plan Input'!$A84)</f>
        <v>0</v>
      </c>
      <c r="E84" s="265">
        <f ca="1">_xll.DBRW(Server&amp;Cube1,Context!$I$13,Context!$T$6,Context!$I$11,'Plan Input'!$B$12,Context!$I$12,'Plan Input'!E$2,Context!$I$10,'Plan Input'!$A84)</f>
        <v>0</v>
      </c>
      <c r="F84" s="265">
        <f ca="1">_xll.DBRW(Server&amp;Cube1,Context!$I$13,Context!$T$6,Context!$I$11,'Plan Input'!$B$12,Context!$I$12,'Plan Input'!F$2,Context!$I$10,'Plan Input'!$A84)</f>
        <v>0</v>
      </c>
      <c r="G84" s="275">
        <f ca="1">G39</f>
        <v>0.86043021510755746</v>
      </c>
      <c r="H84" s="275">
        <f t="shared" ref="H84:K84" ca="1" si="21">H39</f>
        <v>-72.220657186025804</v>
      </c>
      <c r="I84" s="275">
        <f t="shared" ca="1" si="21"/>
        <v>-319.21186648615623</v>
      </c>
      <c r="J84" s="275">
        <f t="shared" ca="1" si="21"/>
        <v>-569.73199787434578</v>
      </c>
      <c r="K84" s="275">
        <f t="shared" ca="1" si="21"/>
        <v>-821.81198288497342</v>
      </c>
      <c r="L84" s="1"/>
      <c r="N84" s="78"/>
      <c r="O84" s="78"/>
      <c r="P84" s="78"/>
      <c r="Q84" s="78"/>
      <c r="R84" s="78"/>
      <c r="S84" s="131"/>
      <c r="T84" s="78"/>
      <c r="U84" s="78"/>
      <c r="V84" s="78"/>
      <c r="W84" s="78"/>
      <c r="X84" s="78"/>
      <c r="Y84" s="78"/>
      <c r="Z84" s="78"/>
      <c r="AA84" s="78"/>
      <c r="AB84" s="78"/>
    </row>
    <row r="85" spans="1:30" ht="18" customHeight="1">
      <c r="A85" s="93" t="s">
        <v>33</v>
      </c>
      <c r="B85" s="93"/>
      <c r="C85" s="217" t="str">
        <f ca="1">_xll.DBRA(Server&amp;$B$23,$A85,Context!$I$15)&amp;IF(xLanguage="French"," : Proposition de calcul"," : Calculation proposal")</f>
        <v>Dividendes reçus-versés du/au groupe nets : Proposition de calcul</v>
      </c>
      <c r="D85" s="265"/>
      <c r="E85" s="265"/>
      <c r="F85" s="265"/>
      <c r="G85" s="286">
        <f ca="1">IF(F49&gt;0,-F49,0)</f>
        <v>0</v>
      </c>
      <c r="H85" s="286">
        <f t="shared" ref="H85:J85" ca="1" si="22">IF(G49&gt;0,-G49,0)</f>
        <v>-10070.235181590795</v>
      </c>
      <c r="I85" s="286">
        <f t="shared" ca="1" si="22"/>
        <v>-10012.208798194295</v>
      </c>
      <c r="J85" s="286">
        <f t="shared" ca="1" si="22"/>
        <v>-9816.0977780099929</v>
      </c>
      <c r="K85" s="286">
        <f ca="1">IF(J49&gt;0,-J49,0)</f>
        <v>-9617.1847936877693</v>
      </c>
      <c r="L85" s="1"/>
      <c r="M85" s="288" t="str">
        <f>IF(xLanguage="French", "Utilisation du calcul automatique pour le calcul des dividendes","Use automatic calculation for dividends")</f>
        <v>Utilisation du calcul automatique pour le calcul des dividendes</v>
      </c>
      <c r="N85" s="78"/>
      <c r="O85" s="78"/>
      <c r="P85" s="78"/>
      <c r="Q85" s="78"/>
      <c r="R85" s="78"/>
      <c r="S85" s="131"/>
      <c r="T85" s="78"/>
      <c r="U85" s="78"/>
      <c r="V85" s="78"/>
      <c r="W85" s="78"/>
      <c r="X85" s="78"/>
      <c r="Y85" s="78"/>
      <c r="Z85" s="78"/>
      <c r="AA85" s="78"/>
      <c r="AB85" s="78"/>
      <c r="AC85" s="1" t="str">
        <f ca="1">_xll.DBRW(Server&amp;Cube1,Context!$I$13,Context!$T$5,Context!$I$11,'Plan Input'!$B$12,Context!$I$12,'Plan Input'!G$2,Context!$I$10,"NFI4401_checkbox_Tech")</f>
        <v/>
      </c>
      <c r="AD85" s="289" t="b">
        <v>1</v>
      </c>
    </row>
    <row r="86" spans="1:30" ht="18" customHeight="1">
      <c r="A86" s="93" t="s">
        <v>33</v>
      </c>
      <c r="B86" s="93"/>
      <c r="C86" s="217" t="str">
        <f ca="1">_xll.DBRA(Server&amp;$B$23,$A86,Context!$I$15)</f>
        <v>Dividendes reçus-versés du/au groupe nets</v>
      </c>
      <c r="D86" s="265">
        <f ca="1">_xll.DBRW(Server&amp;Cube1,Context!$I$13,Context!$T$6,Context!$I$11,'Plan Input'!$B$12,Context!$I$12,'Plan Input'!D$2,Context!$I$10,'Plan Input'!$A86)</f>
        <v>0</v>
      </c>
      <c r="E86" s="265">
        <f ca="1">_xll.DBRW(Server&amp;Cube1,Context!$I$13,Context!$T$6,Context!$I$11,'Plan Input'!$B$12,Context!$I$12,'Plan Input'!E$2,Context!$I$10,'Plan Input'!$A86)</f>
        <v>0</v>
      </c>
      <c r="F86" s="265">
        <f ca="1">_xll.DBRW(Server&amp;Cube1,Context!$I$13,Context!$T$6,Context!$I$11,'Plan Input'!$B$12,Context!$I$12,'Plan Input'!F$2,Context!$I$10,'Plan Input'!$A86)</f>
        <v>0</v>
      </c>
      <c r="G86" s="292">
        <f ca="1">G85</f>
        <v>0</v>
      </c>
      <c r="H86" s="292">
        <f ca="1">H85</f>
        <v>-10070.235181590795</v>
      </c>
      <c r="I86" s="292">
        <f ca="1">I85</f>
        <v>-10012.208798194295</v>
      </c>
      <c r="J86" s="292">
        <f ca="1">J85</f>
        <v>-9816.0977780099929</v>
      </c>
      <c r="K86" s="292">
        <f ca="1">K85</f>
        <v>-9617.1847936877693</v>
      </c>
      <c r="L86" s="308">
        <f ca="1">SUM(G86:K86)</f>
        <v>-39515.726551482854</v>
      </c>
      <c r="M86" s="307" t="str">
        <f ca="1">IF(L86=0,IF(xLanguage="French","Attention les dividendes n'ont pas été renseignés!","Warning: Dividends have not been filled in!"),"")</f>
        <v/>
      </c>
      <c r="N86" s="78"/>
      <c r="O86" s="78"/>
      <c r="P86" s="78"/>
      <c r="Q86" s="78"/>
      <c r="R86" s="78"/>
      <c r="S86" s="131"/>
      <c r="T86" s="78"/>
      <c r="U86" s="78"/>
      <c r="V86" s="78"/>
      <c r="W86" s="78"/>
      <c r="X86" s="78"/>
      <c r="Y86" s="78"/>
      <c r="Z86" s="78"/>
      <c r="AA86" s="78"/>
      <c r="AB86" s="78"/>
    </row>
    <row r="87" spans="1:30" ht="18" customHeight="1">
      <c r="A87" s="93" t="s">
        <v>34</v>
      </c>
      <c r="B87" s="93"/>
      <c r="C87" s="217" t="str">
        <f ca="1">_xll.DBRA(Server&amp;$B$23,$A87,Context!$I$15)</f>
        <v>Dividendes versés hors groupe</v>
      </c>
      <c r="D87" s="265">
        <f ca="1">_xll.DBRW(Server&amp;Cube1,Context!$I$13,Context!$T$6,Context!$I$11,'Plan Input'!$B$12,Context!$I$12,'Plan Input'!D$2,Context!$I$10,'Plan Input'!$A87)</f>
        <v>0</v>
      </c>
      <c r="E87" s="265">
        <f ca="1">_xll.DBRW(Server&amp;Cube1,Context!$I$13,Context!$T$6,Context!$I$11,'Plan Input'!$B$12,Context!$I$12,'Plan Input'!E$2,Context!$I$10,'Plan Input'!$A87)</f>
        <v>0</v>
      </c>
      <c r="F87" s="265">
        <f ca="1">_xll.DBRW(Server&amp;Cube1,Context!$I$13,Context!$T$6,Context!$I$11,'Plan Input'!$B$12,Context!$I$12,'Plan Input'!F$2,Context!$I$10,'Plan Input'!$A87)</f>
        <v>0</v>
      </c>
      <c r="G87" s="224">
        <v>-200</v>
      </c>
      <c r="H87" s="224">
        <v>-200</v>
      </c>
      <c r="I87" s="224">
        <v>-200</v>
      </c>
      <c r="J87" s="224">
        <v>-200</v>
      </c>
      <c r="K87" s="224">
        <v>-200</v>
      </c>
      <c r="L87" s="1"/>
      <c r="N87" s="78"/>
      <c r="O87" s="78"/>
      <c r="P87" s="78"/>
      <c r="Q87" s="78"/>
      <c r="R87" s="78"/>
      <c r="S87" s="131"/>
      <c r="T87" s="78"/>
      <c r="U87" s="78"/>
      <c r="V87" s="78"/>
      <c r="W87" s="78"/>
      <c r="X87" s="78"/>
      <c r="Y87" s="78"/>
      <c r="Z87" s="78"/>
      <c r="AA87" s="78"/>
      <c r="AB87" s="78"/>
    </row>
    <row r="88" spans="1:30" ht="18" hidden="1" customHeight="1" outlineLevel="1">
      <c r="A88" s="93" t="s">
        <v>32</v>
      </c>
      <c r="B88" s="93"/>
      <c r="C88" s="217" t="str">
        <f ca="1">_xll.DBRA(Server&amp;$B$23,$A88,Context!$I$15)</f>
        <v>Augmentation Capital et Autocontrôle</v>
      </c>
      <c r="D88" s="265">
        <f ca="1">_xll.DBRW(Server&amp;Cube1,Context!$I$13,Context!$T$6,Context!$I$11,'Plan Input'!$B$12,Context!$I$12,'Plan Input'!D$2,Context!$I$10,'Plan Input'!$A88)</f>
        <v>0</v>
      </c>
      <c r="E88" s="265">
        <f ca="1">_xll.DBRW(Server&amp;Cube1,Context!$I$13,Context!$T$6,Context!$I$11,'Plan Input'!$B$12,Context!$I$12,'Plan Input'!E$2,Context!$I$10,'Plan Input'!$A88)</f>
        <v>0</v>
      </c>
      <c r="F88" s="265">
        <f ca="1">_xll.DBRW(Server&amp;Cube1,Context!$I$13,Context!$T$6,Context!$I$11,'Plan Input'!$B$12,Context!$I$12,'Plan Input'!F$2,Context!$I$10,'Plan Input'!$A88)</f>
        <v>0</v>
      </c>
      <c r="G88" s="149"/>
      <c r="H88" s="149"/>
      <c r="I88" s="149"/>
      <c r="J88" s="149"/>
      <c r="K88" s="149"/>
      <c r="L88" s="1"/>
      <c r="N88" s="78"/>
      <c r="O88" s="78"/>
      <c r="P88" s="78"/>
      <c r="Q88" s="78"/>
      <c r="R88" s="78"/>
      <c r="S88" s="131"/>
      <c r="T88" s="78"/>
      <c r="U88" s="78"/>
      <c r="V88" s="78"/>
      <c r="W88" s="78"/>
      <c r="X88" s="78"/>
      <c r="Y88" s="78"/>
      <c r="Z88" s="78"/>
      <c r="AA88" s="78"/>
      <c r="AB88" s="78"/>
    </row>
    <row r="89" spans="1:30" ht="18" hidden="1" customHeight="1" outlineLevel="1">
      <c r="A89" s="93" t="s">
        <v>31</v>
      </c>
      <c r="B89" s="93"/>
      <c r="C89" s="217" t="str">
        <f ca="1">_xll.DBRA(Server&amp;$B$23,$A89,Context!$I$15)</f>
        <v>Variation du capital souscrit par les minoritaires</v>
      </c>
      <c r="D89" s="265">
        <f ca="1">_xll.DBRW(Server&amp;Cube1,Context!$I$13,Context!$T$6,Context!$I$11,'Plan Input'!$B$12,Context!$I$12,'Plan Input'!D$2,Context!$I$10,'Plan Input'!$A89)</f>
        <v>0</v>
      </c>
      <c r="E89" s="265">
        <f ca="1">_xll.DBRW(Server&amp;Cube1,Context!$I$13,Context!$T$6,Context!$I$11,'Plan Input'!$B$12,Context!$I$12,'Plan Input'!E$2,Context!$I$10,'Plan Input'!$A89)</f>
        <v>0</v>
      </c>
      <c r="F89" s="265">
        <f ca="1">_xll.DBRW(Server&amp;Cube1,Context!$I$13,Context!$T$6,Context!$I$11,'Plan Input'!$B$12,Context!$I$12,'Plan Input'!F$2,Context!$I$10,'Plan Input'!$A89)</f>
        <v>0</v>
      </c>
      <c r="G89" s="149"/>
      <c r="H89" s="149"/>
      <c r="I89" s="149"/>
      <c r="J89" s="149"/>
      <c r="K89" s="149"/>
      <c r="L89" s="1"/>
      <c r="N89" s="78"/>
      <c r="O89" s="78"/>
      <c r="P89" s="78"/>
      <c r="Q89" s="78"/>
      <c r="R89" s="78"/>
      <c r="S89" s="131"/>
      <c r="T89" s="78"/>
      <c r="U89" s="78"/>
      <c r="V89" s="78"/>
      <c r="W89" s="78"/>
      <c r="X89" s="78"/>
      <c r="Y89" s="78"/>
      <c r="Z89" s="78"/>
      <c r="AA89" s="78"/>
      <c r="AB89" s="78"/>
    </row>
    <row r="90" spans="1:30" ht="14.25" customHeight="1" collapsed="1" thickBot="1">
      <c r="A90" s="93"/>
      <c r="B90" s="93"/>
      <c r="C90" s="219" t="str">
        <f ca="1">_xll.DBRA(Server&amp;$B$23,$A90,Context!$I$15)</f>
        <v/>
      </c>
      <c r="D90" s="228"/>
      <c r="E90" s="228"/>
      <c r="F90" s="228"/>
      <c r="G90" s="228"/>
      <c r="H90" s="228"/>
      <c r="I90" s="228"/>
      <c r="J90" s="228"/>
      <c r="K90" s="228"/>
      <c r="L90" s="1"/>
      <c r="N90" s="78"/>
      <c r="O90" s="78"/>
      <c r="P90" s="78"/>
      <c r="Q90" s="78"/>
      <c r="R90" s="78"/>
      <c r="S90" s="131"/>
      <c r="T90" s="78"/>
      <c r="U90" s="78"/>
      <c r="V90" s="78"/>
      <c r="W90" s="78"/>
      <c r="X90" s="78"/>
      <c r="Y90" s="78"/>
      <c r="Z90" s="78"/>
      <c r="AA90" s="78"/>
      <c r="AB90" s="78"/>
    </row>
    <row r="91" spans="1:30" ht="18" customHeight="1">
      <c r="A91" s="93" t="s">
        <v>35</v>
      </c>
      <c r="B91" s="93"/>
      <c r="C91" s="234" t="str">
        <f ca="1">_xll.DBRA(Server&amp;$B$23,$A91,Context!$I$15)</f>
        <v>FLUX NETS SUR ACTIVITES DE FINANCEMENT</v>
      </c>
      <c r="D91" s="240">
        <f ca="1">_xll.DBRW(Server&amp;Cube1,Context!$I$13,Context!$T$6,Context!$I$11,'Plan Input'!$B$12,Context!$I$12,'Plan Input'!D$2,Context!$I$10,'Plan Input'!$A91)</f>
        <v>0</v>
      </c>
      <c r="E91" s="240">
        <f ca="1">_xll.DBRW(Server&amp;Cube1,Context!$I$13,Context!$T$6,Context!$I$11,'Plan Input'!$B$12,Context!$I$12,'Plan Input'!E$2,Context!$I$10,'Plan Input'!$A91)</f>
        <v>0</v>
      </c>
      <c r="F91" s="240">
        <f ca="1">_xll.DBRW(Server&amp;Cube1,Context!$I$13,Context!$T$6,Context!$I$11,'Plan Input'!$B$12,Context!$I$12,'Plan Input'!F$2,Context!$I$10,'Plan Input'!$A91)</f>
        <v>0</v>
      </c>
      <c r="G91" s="240">
        <f ca="1">SUM(G86:G89)+G84</f>
        <v>-199.13956978489244</v>
      </c>
      <c r="H91" s="240">
        <f t="shared" ref="H91:K91" ca="1" si="23">SUM(H86:H89)+H84</f>
        <v>-10342.455838776821</v>
      </c>
      <c r="I91" s="240">
        <f t="shared" ca="1" si="23"/>
        <v>-10531.42066468045</v>
      </c>
      <c r="J91" s="240">
        <f t="shared" ca="1" si="23"/>
        <v>-10585.829775884338</v>
      </c>
      <c r="K91" s="240">
        <f t="shared" ca="1" si="23"/>
        <v>-10638.996776572743</v>
      </c>
      <c r="L91" s="1"/>
      <c r="N91" s="78"/>
      <c r="O91" s="78"/>
      <c r="P91" s="78"/>
      <c r="Q91" s="78"/>
      <c r="R91" s="78"/>
      <c r="S91" s="131"/>
      <c r="T91" s="78"/>
      <c r="U91" s="78"/>
      <c r="V91" s="78"/>
      <c r="W91" s="78"/>
      <c r="X91" s="78"/>
      <c r="Y91" s="78"/>
      <c r="Z91" s="78"/>
      <c r="AA91" s="78"/>
      <c r="AB91" s="78"/>
    </row>
    <row r="92" spans="1:30" ht="8.25" customHeight="1" thickBot="1">
      <c r="A92" s="93"/>
      <c r="B92" s="93"/>
      <c r="C92" s="245" t="str">
        <f ca="1">_xll.DBRA(Server&amp;$B$23,$A92,Context!$I$15)</f>
        <v/>
      </c>
      <c r="D92" s="228" t="str">
        <f ca="1">_xll.DBRW(Server&amp;Cube1,Context!$I$13,Context!$T$6,Context!$I$11,'Plan Input'!$B$12,Context!$I$12,'Plan Input'!D$2,Context!$I$10,'Plan Input'!$A92)</f>
        <v/>
      </c>
      <c r="E92" s="228" t="str">
        <f ca="1">_xll.DBRW(Server&amp;Cube1,Context!$I$13,Context!$T$6,Context!$I$11,'Plan Input'!$B$12,Context!$I$12,'Plan Input'!E$2,Context!$I$10,'Plan Input'!$A92)</f>
        <v/>
      </c>
      <c r="F92" s="228"/>
      <c r="G92" s="228"/>
      <c r="H92" s="228"/>
      <c r="I92" s="228"/>
      <c r="J92" s="228"/>
      <c r="K92" s="228"/>
      <c r="L92" s="1"/>
      <c r="N92" s="78"/>
      <c r="O92" s="78"/>
      <c r="P92" s="78"/>
      <c r="Q92" s="78"/>
      <c r="R92" s="78"/>
      <c r="S92" s="131"/>
      <c r="T92" s="78"/>
      <c r="U92" s="78"/>
      <c r="V92" s="78"/>
      <c r="W92" s="78"/>
      <c r="X92" s="78"/>
      <c r="Y92" s="78"/>
      <c r="Z92" s="78"/>
      <c r="AA92" s="78"/>
      <c r="AB92" s="78"/>
    </row>
    <row r="93" spans="1:30" ht="18" customHeight="1">
      <c r="A93" s="93" t="s">
        <v>61</v>
      </c>
      <c r="B93" s="93"/>
      <c r="C93" s="234" t="str">
        <f ca="1">_xll.DBRA(Server&amp;$B$23,$A93,Context!$I$15)</f>
        <v>AUTRES FLUX (change/ juste valeur/reclast…)</v>
      </c>
      <c r="D93" s="267">
        <f ca="1">_xll.DBRW(Server&amp;Cube1,Context!$I$13,Context!$T$6,Context!$I$11,'Plan Input'!$B$12,Context!$I$12,'Plan Input'!D$2,Context!$I$10,'Plan Input'!$A93)</f>
        <v>0</v>
      </c>
      <c r="E93" s="267">
        <f ca="1">_xll.DBRW(Server&amp;Cube1,Context!$I$13,Context!$T$6,Context!$I$11,'Plan Input'!$B$12,Context!$I$12,'Plan Input'!E$2,Context!$I$10,'Plan Input'!$A93)</f>
        <v>0</v>
      </c>
      <c r="F93" s="267">
        <f ca="1">_xll.DBRW(Server&amp;Cube1,Context!$I$13,Context!$T$6,Context!$I$11,'Plan Input'!$B$12,Context!$I$12,'Plan Input'!F$2,Context!$I$10,'Plan Input'!$A93)</f>
        <v>0</v>
      </c>
      <c r="G93" s="240">
        <f ca="1">_xll.DBRW(Server&amp;Cube1,Context!$I$13,Context!$T$6,Context!$I$11,'Plan Input'!$B$12,Context!$I$12,'Plan Input'!G$2,Context!$I$10,'Plan Input'!$A93)</f>
        <v>0</v>
      </c>
      <c r="H93" s="240">
        <f ca="1">_xll.DBRW(Server&amp;Cube1,Context!$I$13,Context!$T$6,Context!$I$11,'Plan Input'!$B$12,Context!$I$12,'Plan Input'!H$2,Context!$I$10,'Plan Input'!$A93)</f>
        <v>0</v>
      </c>
      <c r="I93" s="240">
        <f ca="1">_xll.DBRW(Server&amp;Cube1,Context!$I$13,Context!$T$6,Context!$I$11,'Plan Input'!$B$12,Context!$I$12,'Plan Input'!I$2,Context!$I$10,'Plan Input'!$A93)</f>
        <v>0</v>
      </c>
      <c r="J93" s="240">
        <f ca="1">_xll.DBRW(Server&amp;Cube1,Context!$I$13,Context!$T$6,Context!$I$11,'Plan Input'!$B$12,Context!$I$12,'Plan Input'!J$2,Context!$I$10,'Plan Input'!$A93)</f>
        <v>0</v>
      </c>
      <c r="K93" s="241">
        <f ca="1">_xll.DBRW(Server&amp;Cube1,Context!$I$13,Context!$T$6,Context!$I$11,'Plan Input'!$B$12,Context!$I$12,'Plan Input'!K$2,Context!$I$10,'Plan Input'!$A93)</f>
        <v>0</v>
      </c>
      <c r="L93" s="1"/>
      <c r="N93" s="78"/>
      <c r="O93" s="78"/>
      <c r="P93" s="78"/>
      <c r="Q93" s="78"/>
      <c r="R93" s="78"/>
      <c r="S93" s="131"/>
      <c r="T93" s="78"/>
      <c r="U93" s="78"/>
      <c r="V93" s="78"/>
      <c r="W93" s="78"/>
      <c r="X93" s="78"/>
      <c r="Y93" s="78"/>
      <c r="Z93" s="78"/>
      <c r="AA93" s="78"/>
      <c r="AB93" s="78"/>
    </row>
    <row r="94" spans="1:30" ht="8.25" customHeight="1" thickBot="1">
      <c r="A94" s="93"/>
      <c r="B94" s="93"/>
      <c r="C94" s="219" t="str">
        <f ca="1">_xll.DBRA(Server&amp;$B$23,$A94,Context!$I$15)</f>
        <v/>
      </c>
      <c r="D94" s="228" t="str">
        <f ca="1">_xll.DBRW(Server&amp;Cube1,Context!$I$13,Context!$T$6,Context!$I$11,'Plan Input'!$B$12,Context!$I$12,'Plan Input'!D$2,Context!$I$10,'Plan Input'!$A94)</f>
        <v/>
      </c>
      <c r="E94" s="228" t="str">
        <f ca="1">_xll.DBRW(Server&amp;Cube1,Context!$I$13,Context!$T$6,Context!$I$11,'Plan Input'!$B$12,Context!$I$12,'Plan Input'!E$2,Context!$I$10,'Plan Input'!$A94)</f>
        <v/>
      </c>
      <c r="F94" s="228"/>
      <c r="G94" s="228"/>
      <c r="H94" s="228"/>
      <c r="I94" s="228"/>
      <c r="J94" s="228"/>
      <c r="K94" s="228"/>
      <c r="L94" s="1"/>
      <c r="N94" s="78"/>
      <c r="O94" s="78"/>
      <c r="P94" s="78"/>
      <c r="Q94" s="78"/>
      <c r="R94" s="78"/>
      <c r="S94" s="131"/>
      <c r="T94" s="78"/>
      <c r="U94" s="78"/>
      <c r="V94" s="78"/>
      <c r="W94" s="78"/>
      <c r="X94" s="78"/>
      <c r="Y94" s="78"/>
      <c r="Z94" s="78"/>
      <c r="AA94" s="78"/>
      <c r="AB94" s="78"/>
    </row>
    <row r="95" spans="1:30" ht="18" customHeight="1">
      <c r="A95" s="93" t="s">
        <v>36</v>
      </c>
      <c r="B95" s="93"/>
      <c r="C95" s="234" t="str">
        <f ca="1">_xll.DBRA(Server&amp;$B$23,$A95,Context!$I$15)</f>
        <v>FLUX NET DE VARIATION EFN</v>
      </c>
      <c r="D95" s="240">
        <f ca="1">_xll.DBRW(Server&amp;Cube1,Context!$I$13,Context!$T$6,Context!$I$11,'Plan Input'!$B$12,Context!$I$12,'Plan Input'!D$2,Context!$I$10,'Plan Input'!$A95)</f>
        <v>0</v>
      </c>
      <c r="E95" s="240">
        <f ca="1">_xll.DBRW(Server&amp;Cube1,Context!$I$13,Context!$T$6,Context!$I$11,'Plan Input'!$B$12,Context!$I$12,'Plan Input'!E$2,Context!$I$10,'Plan Input'!$A95)</f>
        <v>0</v>
      </c>
      <c r="F95" s="240">
        <f ca="1">_xll.DBRW(Server&amp;Cube1,Context!$I$13,Context!$T$6,Context!$I$11,'Plan Input'!$B$12,Context!$I$12,'Plan Input'!F$2,Context!$I$10,'Plan Input'!$A95)</f>
        <v>0</v>
      </c>
      <c r="G95" s="240">
        <f ca="1">G82+G91+G93</f>
        <v>1720.8604302151075</v>
      </c>
      <c r="H95" s="240">
        <f t="shared" ref="H95:K95" ca="1" si="24">H82+H91+H93</f>
        <v>-8422.4558387768211</v>
      </c>
      <c r="I95" s="240">
        <f t="shared" ca="1" si="24"/>
        <v>-8611.4206646804505</v>
      </c>
      <c r="J95" s="240">
        <f t="shared" ca="1" si="24"/>
        <v>-8665.8297758843382</v>
      </c>
      <c r="K95" s="240">
        <f t="shared" ca="1" si="24"/>
        <v>-8718.9967765727433</v>
      </c>
      <c r="L95" s="1"/>
      <c r="N95" s="78"/>
      <c r="O95" s="78"/>
      <c r="P95" s="78"/>
      <c r="Q95" s="78"/>
      <c r="R95" s="78"/>
      <c r="S95" s="131"/>
      <c r="T95" s="78"/>
      <c r="U95" s="78"/>
      <c r="V95" s="78"/>
      <c r="W95" s="78"/>
      <c r="X95" s="78"/>
      <c r="Y95" s="78"/>
      <c r="Z95" s="78"/>
      <c r="AA95" s="78"/>
      <c r="AB95" s="78"/>
    </row>
    <row r="96" spans="1:30" ht="18.75">
      <c r="A96" s="93"/>
      <c r="B96" s="93"/>
      <c r="C96" s="137"/>
      <c r="D96" s="268"/>
      <c r="E96" s="268"/>
      <c r="F96" s="268"/>
      <c r="G96" s="137"/>
      <c r="H96" s="137"/>
      <c r="I96" s="137"/>
      <c r="J96" s="137"/>
      <c r="K96" s="137"/>
      <c r="L96" s="1"/>
      <c r="N96" s="78"/>
      <c r="O96" s="78"/>
      <c r="P96" s="78"/>
      <c r="Q96" s="78"/>
      <c r="R96" s="78"/>
      <c r="S96" s="131"/>
      <c r="T96" s="78"/>
      <c r="U96" s="78"/>
      <c r="V96" s="78"/>
      <c r="W96" s="78"/>
      <c r="X96" s="78"/>
      <c r="Y96" s="78"/>
      <c r="Z96" s="78"/>
      <c r="AA96" s="78"/>
      <c r="AB96" s="78"/>
    </row>
    <row r="97" spans="1:28" ht="15.75">
      <c r="A97" s="93"/>
      <c r="B97" s="93"/>
      <c r="C97" s="137"/>
      <c r="D97" s="268"/>
      <c r="E97" s="268"/>
      <c r="F97" s="268"/>
      <c r="G97" s="137"/>
      <c r="H97" s="137"/>
      <c r="I97" s="137"/>
      <c r="J97" s="137"/>
      <c r="K97" s="137"/>
      <c r="L97" s="137"/>
      <c r="M97" s="137"/>
      <c r="N97" s="78"/>
      <c r="O97" s="78"/>
      <c r="P97" s="78"/>
      <c r="Q97" s="78"/>
      <c r="R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23.25" customHeight="1">
      <c r="A98" s="93"/>
      <c r="B98" s="93"/>
      <c r="C98" s="276" t="str">
        <f ca="1">_xll.DBRA(Server&amp;$S$9,$S$17,Context!$I$15)&amp;" " &amp;_xll.DBRA(Server&amp;$S$9,$T$100,Context!$I$15)</f>
        <v>IV - BILAN (KLCL)</v>
      </c>
      <c r="D98" s="106" t="str">
        <f ca="1">D$3</f>
        <v>2020</v>
      </c>
      <c r="E98" s="106" t="str">
        <f t="shared" ref="E98:K98" ca="1" si="25">E$3</f>
        <v>2021</v>
      </c>
      <c r="F98" s="106" t="str">
        <f t="shared" ca="1" si="25"/>
        <v>2022</v>
      </c>
      <c r="G98" s="106" t="str">
        <f t="shared" ca="1" si="25"/>
        <v>2023</v>
      </c>
      <c r="H98" s="106" t="str">
        <f t="shared" ca="1" si="25"/>
        <v>2024</v>
      </c>
      <c r="I98" s="106" t="str">
        <f t="shared" ca="1" si="25"/>
        <v>2025</v>
      </c>
      <c r="J98" s="106" t="str">
        <f t="shared" ca="1" si="25"/>
        <v>2026</v>
      </c>
      <c r="K98" s="106" t="str">
        <f t="shared" ca="1" si="25"/>
        <v>2027</v>
      </c>
      <c r="L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18.75">
      <c r="A99" s="93"/>
      <c r="B99" s="93"/>
      <c r="C99" s="105"/>
      <c r="L99" s="1"/>
      <c r="N99" s="78"/>
      <c r="O99" s="78"/>
      <c r="P99" s="78"/>
      <c r="Q99" s="78"/>
      <c r="R99" s="78"/>
      <c r="S99" s="78"/>
      <c r="T99" s="131" t="s">
        <v>112</v>
      </c>
      <c r="U99" s="78"/>
      <c r="V99" s="78"/>
      <c r="W99" s="78"/>
      <c r="X99" s="78"/>
      <c r="Y99" s="78"/>
      <c r="Z99" s="78"/>
      <c r="AA99" s="78"/>
      <c r="AB99" s="78"/>
    </row>
    <row r="100" spans="1:28" ht="18.75">
      <c r="A100" s="178" t="s">
        <v>234</v>
      </c>
      <c r="B100" s="178" t="s">
        <v>234</v>
      </c>
      <c r="C100" s="217" t="str">
        <f ca="1">_xll.DBRA(Server&amp;$B$23,$A100,Context!$I$15)</f>
        <v>Goodwill &amp; Immo. Corp. et incorp. Nettes &amp; droits d'utilisation + BFR /investissement net</v>
      </c>
      <c r="D100" s="269">
        <f ca="1">_xll.DBRW(Server&amp;Cube1,Context!$I$13,Context!$T$6,Context!$I$11,'Plan Input'!$B$12,Context!$I$12,'Plan Input'!D$2,Context!$I$10,'Plan Input'!$A100)</f>
        <v>0</v>
      </c>
      <c r="E100" s="269">
        <f ca="1">_xll.DBRW(Server&amp;Cube1,Context!$I$13,Context!$T$6,Context!$I$11,'Plan Input'!$B$12,Context!$I$12,'Plan Input'!E$2,Context!$I$10,'Plan Input'!$A100)</f>
        <v>0</v>
      </c>
      <c r="F100" s="273">
        <f ca="1">_xll.DBRW(Server&amp;Cube1,Context!$I$13,Context!$T$6,Context!$I$11,'Plan Input'!$B$12,Context!$I$12,'Plan Input'!F$2,Context!$I$10,'Plan Input'!$A100)</f>
        <v>0</v>
      </c>
      <c r="G100" s="279">
        <f ca="1">F100+G32-G69-G71-G72+G34-G74</f>
        <v>6800</v>
      </c>
      <c r="H100" s="279">
        <f t="shared" ref="H100:K100" ca="1" si="26">G100+H32-H69-H71-H72+H34-H74</f>
        <v>13600</v>
      </c>
      <c r="I100" s="279">
        <f t="shared" ca="1" si="26"/>
        <v>20400</v>
      </c>
      <c r="J100" s="279">
        <f t="shared" ca="1" si="26"/>
        <v>27200</v>
      </c>
      <c r="K100" s="279">
        <f t="shared" ca="1" si="26"/>
        <v>34000</v>
      </c>
      <c r="L100" s="1"/>
      <c r="N100" s="78"/>
      <c r="O100" s="78"/>
      <c r="P100" s="78"/>
      <c r="Q100" s="78"/>
      <c r="R100" s="78"/>
      <c r="S100" s="78"/>
      <c r="T100" s="131" t="s">
        <v>118</v>
      </c>
      <c r="U100" s="78"/>
      <c r="V100" s="78"/>
      <c r="W100" s="78"/>
      <c r="X100" s="78"/>
      <c r="Y100" s="78"/>
      <c r="Z100" s="78"/>
      <c r="AA100" s="78"/>
      <c r="AB100" s="78"/>
    </row>
    <row r="101" spans="1:28" ht="18.75">
      <c r="A101" s="178" t="s">
        <v>37</v>
      </c>
      <c r="B101" s="178" t="s">
        <v>37</v>
      </c>
      <c r="C101" s="217" t="str">
        <f ca="1">_xll.DBRA(Server&amp;$B$23,$A101,Context!$I$15)</f>
        <v>Participations dans les entreprises associées (ME)</v>
      </c>
      <c r="D101" s="223">
        <f ca="1">_xll.DBRW(Server&amp;Cube1,Context!$I$13,Context!$T$6,Context!$I$11,'Plan Input'!$B$12,Context!$I$12,'Plan Input'!D$2,Context!$I$10,'Plan Input'!$A101)</f>
        <v>0</v>
      </c>
      <c r="E101" s="223">
        <f ca="1">_xll.DBRW(Server&amp;Cube1,Context!$I$13,Context!$T$6,Context!$I$11,'Plan Input'!$B$12,Context!$I$12,'Plan Input'!E$2,Context!$I$10,'Plan Input'!$A101)</f>
        <v>0</v>
      </c>
      <c r="F101" s="270">
        <f ca="1">_xll.DBRW(Server&amp;Cube1,Context!$I$13,Context!$T$6,Context!$I$11,'Plan Input'!$B$12,Context!$I$12,'Plan Input'!F$2,Context!$I$10,'Plan Input'!$A101)</f>
        <v>0</v>
      </c>
      <c r="G101" s="247">
        <f ca="1">G35+F101-G76</f>
        <v>50</v>
      </c>
      <c r="H101" s="247">
        <f ca="1">H35+G101-H76</f>
        <v>100</v>
      </c>
      <c r="I101" s="247">
        <f ca="1">I35+H101-I76</f>
        <v>150</v>
      </c>
      <c r="J101" s="247">
        <f ca="1">J35+I101-J76</f>
        <v>200</v>
      </c>
      <c r="K101" s="247">
        <f ca="1">K35+J101-K76</f>
        <v>250</v>
      </c>
      <c r="L101" s="1"/>
      <c r="N101" s="78"/>
      <c r="O101" s="78"/>
      <c r="P101" s="78"/>
      <c r="Q101" s="78"/>
      <c r="R101" s="78"/>
      <c r="S101" s="78"/>
      <c r="T101" s="131" t="s">
        <v>116</v>
      </c>
      <c r="U101" s="78"/>
      <c r="V101" s="78"/>
      <c r="W101" s="78"/>
      <c r="X101" s="78"/>
      <c r="Y101" s="78"/>
      <c r="Z101" s="78"/>
      <c r="AA101" s="78"/>
      <c r="AB101" s="78"/>
    </row>
    <row r="102" spans="1:28" ht="19.5" thickBot="1">
      <c r="A102" s="178" t="s">
        <v>38</v>
      </c>
      <c r="B102" s="178" t="s">
        <v>38</v>
      </c>
      <c r="C102" s="217" t="str">
        <f ca="1">_xll.DBRA(Server&amp;$B$23,$A102,Context!$I$15)</f>
        <v>BFR net / impôts sur les bénéfices et différés</v>
      </c>
      <c r="D102" s="223">
        <f ca="1">_xll.DBRW(Server&amp;Cube1,Context!$I$13,Context!$T$6,Context!$I$11,'Plan Input'!$B$12,Context!$I$12,'Plan Input'!D$2,Context!$I$10,'Plan Input'!$A102)</f>
        <v>0</v>
      </c>
      <c r="E102" s="223">
        <f ca="1">_xll.DBRW(Server&amp;Cube1,Context!$I$13,Context!$T$6,Context!$I$11,'Plan Input'!$B$12,Context!$I$12,'Plan Input'!E$2,Context!$I$10,'Plan Input'!$A102)</f>
        <v>0</v>
      </c>
      <c r="F102" s="270">
        <f ca="1">_xll.DBRW(Server&amp;Cube1,Context!$I$13,Context!$T$6,Context!$I$11,'Plan Input'!$B$12,Context!$I$12,'Plan Input'!F$2,Context!$I$10,'Plan Input'!$A102)</f>
        <v>0</v>
      </c>
      <c r="G102" s="247">
        <f ca="1">+F102+G44-G64</f>
        <v>-2538.625248624312</v>
      </c>
      <c r="H102" s="247">
        <f t="shared" ref="H102:K102" ca="1" si="27">+G102+H44-H64</f>
        <v>-5062.1957932439909</v>
      </c>
      <c r="I102" s="247">
        <f t="shared" ca="1" si="27"/>
        <v>-7534.8861487478425</v>
      </c>
      <c r="J102" s="247">
        <f t="shared" ca="1" si="27"/>
        <v>-9955.9693571857279</v>
      </c>
      <c r="K102" s="247">
        <f t="shared" ca="1" si="27"/>
        <v>-12325.124088711424</v>
      </c>
      <c r="L102" s="1"/>
      <c r="N102" s="78"/>
      <c r="O102" s="78"/>
      <c r="P102" s="78"/>
      <c r="Q102" s="78"/>
      <c r="R102" s="78"/>
      <c r="S102" s="78"/>
      <c r="T102" s="132" t="s">
        <v>117</v>
      </c>
      <c r="U102" s="78"/>
      <c r="V102" s="78"/>
      <c r="W102" s="78"/>
      <c r="X102" s="78"/>
      <c r="Y102" s="78"/>
      <c r="Z102" s="78"/>
      <c r="AA102" s="78"/>
      <c r="AB102" s="78"/>
    </row>
    <row r="103" spans="1:28" ht="15.75">
      <c r="A103" s="178" t="s">
        <v>39</v>
      </c>
      <c r="B103" s="178" t="s">
        <v>39</v>
      </c>
      <c r="C103" s="217" t="str">
        <f ca="1">_xll.DBRA(Server&amp;$B$23,$A103,Context!$I$15)</f>
        <v>BFR opérationnel net</v>
      </c>
      <c r="D103" s="223">
        <f ca="1">_xll.DBRW(Server&amp;Cube1,Context!$I$13,Context!$T$6,Context!$I$11,'Plan Input'!$B$12,Context!$I$12,'Plan Input'!D$2,Context!$I$10,'Plan Input'!$A103)</f>
        <v>0</v>
      </c>
      <c r="E103" s="223">
        <f ca="1">_xll.DBRW(Server&amp;Cube1,Context!$I$13,Context!$T$6,Context!$I$11,'Plan Input'!$B$12,Context!$I$12,'Plan Input'!E$2,Context!$I$10,'Plan Input'!$A103)</f>
        <v>0</v>
      </c>
      <c r="F103" s="270">
        <f ca="1">_xll.DBRW(Server&amp;Cube1,Context!$I$13,Context!$T$6,Context!$I$11,'Plan Input'!$B$12,Context!$I$12,'Plan Input'!F$2,Context!$I$10,'Plan Input'!$A103)</f>
        <v>0</v>
      </c>
      <c r="G103" s="247">
        <f ca="1">+F103-G65-G93</f>
        <v>-350</v>
      </c>
      <c r="H103" s="247">
        <f ca="1">+G103-H65-H93</f>
        <v>-700</v>
      </c>
      <c r="I103" s="247">
        <f ca="1">+H103-I65-I93</f>
        <v>-1050</v>
      </c>
      <c r="J103" s="247">
        <f ca="1">+I103-J65-J93</f>
        <v>-1400</v>
      </c>
      <c r="K103" s="247">
        <f ca="1">+J103-K65-K93</f>
        <v>-1750</v>
      </c>
      <c r="L103" s="1"/>
      <c r="N103" s="78"/>
      <c r="O103" s="78"/>
      <c r="P103" s="78"/>
      <c r="Q103" s="78"/>
      <c r="R103" s="78"/>
      <c r="S103" s="78"/>
      <c r="T103" s="49" t="s">
        <v>94</v>
      </c>
      <c r="U103" s="78"/>
      <c r="V103" s="78"/>
      <c r="W103" s="78"/>
      <c r="X103" s="78"/>
      <c r="Y103" s="78"/>
      <c r="Z103" s="78"/>
      <c r="AA103" s="78"/>
      <c r="AB103" s="78"/>
    </row>
    <row r="104" spans="1:28" ht="16.5" thickBot="1">
      <c r="A104" s="178" t="s">
        <v>40</v>
      </c>
      <c r="B104" s="178" t="s">
        <v>40</v>
      </c>
      <c r="C104" s="217" t="str">
        <f ca="1">_xll.DBRA(Server&amp;$B$23,$A104,Context!$I$15)</f>
        <v>Provisions pour risques et charges</v>
      </c>
      <c r="D104" s="223">
        <f ca="1">_xll.DBRW(Server&amp;Cube1,Context!$I$13,Context!$T$6,Context!$I$11,'Plan Input'!$B$12,Context!$I$12,'Plan Input'!D$2,Context!$I$10,'Plan Input'!$A104)</f>
        <v>0</v>
      </c>
      <c r="E104" s="223">
        <f ca="1">_xll.DBRW(Server&amp;Cube1,Context!$I$13,Context!$T$6,Context!$I$11,'Plan Input'!$B$12,Context!$I$12,'Plan Input'!E$2,Context!$I$10,'Plan Input'!$A104)</f>
        <v>0</v>
      </c>
      <c r="F104" s="270">
        <f ca="1">_xll.DBRW(Server&amp;Cube1,Context!$I$13,Context!$T$6,Context!$I$11,'Plan Input'!$B$12,Context!$I$12,'Plan Input'!F$2,Context!$I$10,'Plan Input'!$A104)</f>
        <v>0</v>
      </c>
      <c r="G104" s="247">
        <f ca="1">+F104-G56</f>
        <v>-500</v>
      </c>
      <c r="H104" s="247">
        <f ca="1">+G104-H56</f>
        <v>-1000</v>
      </c>
      <c r="I104" s="247">
        <f ca="1">+H104-I56</f>
        <v>-1500</v>
      </c>
      <c r="J104" s="247">
        <f ca="1">+I104-J56</f>
        <v>-2000</v>
      </c>
      <c r="K104" s="247">
        <f ca="1">+J104-K56</f>
        <v>-2500</v>
      </c>
      <c r="L104" s="1"/>
      <c r="N104" s="78"/>
      <c r="O104" s="78"/>
      <c r="P104" s="78"/>
      <c r="Q104" s="78"/>
      <c r="R104" s="78"/>
      <c r="S104" s="78"/>
      <c r="T104" s="49" t="s">
        <v>95</v>
      </c>
      <c r="U104" s="78"/>
      <c r="V104" s="78"/>
      <c r="W104" s="78"/>
      <c r="X104" s="78"/>
      <c r="Y104" s="78"/>
      <c r="Z104" s="78"/>
      <c r="AA104" s="78"/>
      <c r="AB104" s="78"/>
    </row>
    <row r="105" spans="1:28" ht="16.5" thickBot="1">
      <c r="A105" s="178" t="s">
        <v>42</v>
      </c>
      <c r="B105" s="178" t="s">
        <v>42</v>
      </c>
      <c r="C105" s="234" t="str">
        <f ca="1">_xll.DBRA(Server&amp;$B$23,$A105,Context!$I$15)</f>
        <v>TOTAL CAPITAUX EMPLOYES</v>
      </c>
      <c r="D105" s="240">
        <f ca="1">_xll.DBRW(Server&amp;Cube1,Context!$I$13,Context!$T$6,Context!$I$11,'Plan Input'!$B$12,Context!$I$12,'Plan Input'!D$2,Context!$I$10,'Plan Input'!$A105)</f>
        <v>0</v>
      </c>
      <c r="E105" s="240">
        <f ca="1">_xll.DBRW(Server&amp;Cube1,Context!$I$13,Context!$T$6,Context!$I$11,'Plan Input'!$B$12,Context!$I$12,'Plan Input'!E$2,Context!$I$10,'Plan Input'!$A105)</f>
        <v>0</v>
      </c>
      <c r="F105" s="240">
        <f ca="1">_xll.DBRW(Server&amp;Cube1,Context!$I$13,Context!$T$6,Context!$I$11,'Plan Input'!$B$12,Context!$I$12,'Plan Input'!F$2,Context!$I$10,'Plan Input'!$A105)</f>
        <v>0</v>
      </c>
      <c r="G105" s="249">
        <f ca="1">SUM(G100:G104)</f>
        <v>3461.374751375688</v>
      </c>
      <c r="H105" s="249">
        <f t="shared" ref="H105:K105" ca="1" si="28">SUM(H100:H104)</f>
        <v>6937.8042067560091</v>
      </c>
      <c r="I105" s="249">
        <f t="shared" ca="1" si="28"/>
        <v>10465.113851252157</v>
      </c>
      <c r="J105" s="249">
        <f t="shared" ca="1" si="28"/>
        <v>14044.030642814272</v>
      </c>
      <c r="K105" s="249">
        <f t="shared" ca="1" si="28"/>
        <v>17674.875911288575</v>
      </c>
      <c r="L105" s="1"/>
      <c r="N105" s="78"/>
      <c r="O105" s="78"/>
      <c r="P105" s="78"/>
      <c r="Q105" s="78"/>
      <c r="R105" s="78"/>
      <c r="S105" s="78"/>
      <c r="T105" s="49" t="s">
        <v>142</v>
      </c>
      <c r="U105" s="78"/>
      <c r="V105" s="78"/>
      <c r="W105" s="78"/>
      <c r="X105" s="78"/>
      <c r="Y105" s="78"/>
      <c r="Z105" s="78"/>
      <c r="AA105" s="78"/>
      <c r="AB105" s="78"/>
    </row>
    <row r="106" spans="1:28" ht="16.5" thickBot="1">
      <c r="A106" s="178" t="s">
        <v>44</v>
      </c>
      <c r="B106" s="178" t="s">
        <v>44</v>
      </c>
      <c r="C106" s="217" t="str">
        <f ca="1">_xll.DBRA(Server&amp;$B$23,$A106,Context!$I$15)</f>
        <v>Actifs financiers opérationnels (Net)</v>
      </c>
      <c r="D106" s="223">
        <f ca="1">_xll.DBRW(Server&amp;Cube1,Context!$I$13,Context!$T$6,Context!$I$11,'Plan Input'!$B$12,Context!$I$12,'Plan Input'!D$2,Context!$I$10,'Plan Input'!$A106)</f>
        <v>0</v>
      </c>
      <c r="E106" s="223">
        <f ca="1">_xll.DBRW(Server&amp;Cube1,Context!$I$13,Context!$T$6,Context!$I$11,'Plan Input'!$B$12,Context!$I$12,'Plan Input'!E$2,Context!$I$10,'Plan Input'!$A106)</f>
        <v>0</v>
      </c>
      <c r="F106" s="271">
        <f ca="1">_xll.DBRW(Server&amp;Cube1,Context!$I$13,Context!$T$6,Context!$I$11,'Plan Input'!$B$12,Context!$I$12,'Plan Input'!F$2,Context!$I$10,'Plan Input'!$A106)</f>
        <v>0</v>
      </c>
      <c r="G106" s="247">
        <f ca="1">+F106-G70-G73</f>
        <v>4800</v>
      </c>
      <c r="H106" s="247">
        <f ca="1">+G106-H70-H73</f>
        <v>9600</v>
      </c>
      <c r="I106" s="247">
        <f ca="1">+H106-I70-I73</f>
        <v>14400</v>
      </c>
      <c r="J106" s="247">
        <f ca="1">+I106-J70-J73</f>
        <v>19200</v>
      </c>
      <c r="K106" s="247">
        <f ca="1">+J106-K70-K73</f>
        <v>24000</v>
      </c>
      <c r="L106" s="1"/>
      <c r="N106" s="78"/>
      <c r="O106" s="78"/>
      <c r="P106" s="78"/>
      <c r="Q106" s="78"/>
      <c r="R106" s="78"/>
      <c r="S106" s="78"/>
      <c r="T106" s="48" t="s">
        <v>192</v>
      </c>
      <c r="U106" s="78"/>
      <c r="V106" s="78"/>
      <c r="W106" s="78"/>
      <c r="X106" s="78"/>
      <c r="Y106" s="78"/>
      <c r="Z106" s="78"/>
      <c r="AA106" s="78"/>
      <c r="AB106" s="78"/>
    </row>
    <row r="107" spans="1:28" ht="15.75">
      <c r="A107" s="178" t="s">
        <v>221</v>
      </c>
      <c r="B107" s="178" t="s">
        <v>221</v>
      </c>
      <c r="C107" s="234" t="str">
        <f ca="1">_xll.DBRA(Server&amp;$B$23,$A107,Context!$I$15)</f>
        <v>Capitaux Employés (y.c IFRIC12)</v>
      </c>
      <c r="D107" s="240">
        <f ca="1">_xll.DBRW(Server&amp;Cube1,Context!$I$13,Context!$T$6,Context!$I$11,'Plan Input'!$B$12,Context!$I$12,'Plan Input'!D$2,Context!$I$10,'Plan Input'!$A107)</f>
        <v>0</v>
      </c>
      <c r="E107" s="240">
        <f ca="1">_xll.DBRW(Server&amp;Cube1,Context!$I$13,Context!$T$6,Context!$I$11,'Plan Input'!$B$12,Context!$I$12,'Plan Input'!E$2,Context!$I$10,'Plan Input'!$A107)</f>
        <v>0</v>
      </c>
      <c r="F107" s="240">
        <f ca="1">_xll.DBRW(Server&amp;Cube1,Context!$I$13,Context!$T$6,Context!$I$11,'Plan Input'!$B$12,Context!$I$12,'Plan Input'!F$2,Context!$I$10,'Plan Input'!$A107)</f>
        <v>0</v>
      </c>
      <c r="G107" s="249">
        <f ca="1">G105+G106</f>
        <v>8261.374751375688</v>
      </c>
      <c r="H107" s="249">
        <f t="shared" ref="H107:K107" ca="1" si="29">H105+H106</f>
        <v>16537.804206756009</v>
      </c>
      <c r="I107" s="249">
        <f t="shared" ca="1" si="29"/>
        <v>24865.113851252157</v>
      </c>
      <c r="J107" s="249">
        <f t="shared" ca="1" si="29"/>
        <v>33244.030642814272</v>
      </c>
      <c r="K107" s="249">
        <f t="shared" ca="1" si="29"/>
        <v>41674.875911288575</v>
      </c>
      <c r="L107" s="1"/>
      <c r="N107" s="78"/>
      <c r="O107" s="78"/>
      <c r="P107" s="78"/>
      <c r="Q107" s="78"/>
      <c r="R107" s="78"/>
      <c r="S107" s="78"/>
      <c r="T107" s="49" t="s">
        <v>193</v>
      </c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178"/>
      <c r="B108" s="178"/>
      <c r="C108" s="251" t="str">
        <f ca="1">_xll.DBRA(Server&amp;$B$23,$A108,Context!$I$15)</f>
        <v/>
      </c>
      <c r="D108" s="228" t="str">
        <f ca="1">_xll.DBRW(Server&amp;Cube1,Context!$I$13,Context!$T$6,Context!$I$11,'Plan Input'!$B$12,Context!$I$12,'Plan Input'!D$2,Context!$I$10,'Plan Input'!$A108)</f>
        <v/>
      </c>
      <c r="E108" s="228" t="str">
        <f ca="1">_xll.DBRW(Server&amp;Cube1,Context!$I$13,Context!$T$6,Context!$I$11,'Plan Input'!$B$12,Context!$I$12,'Plan Input'!E$2,Context!$I$10,'Plan Input'!$A108)</f>
        <v/>
      </c>
      <c r="F108" s="228" t="str">
        <f ca="1">_xll.DBRW(Server&amp;Cube1,Context!$I$13,Context!$T$6,Context!$I$11,'Plan Input'!$B$12,Context!$I$12,'Plan Input'!F$2,Context!$I$10,'Plan Input'!$A108)</f>
        <v/>
      </c>
      <c r="G108" s="228"/>
      <c r="H108" s="228"/>
      <c r="I108" s="228"/>
      <c r="J108" s="228"/>
      <c r="K108" s="228"/>
      <c r="L108" s="1"/>
      <c r="N108" s="78"/>
      <c r="O108" s="78"/>
      <c r="P108" s="78"/>
      <c r="Q108" s="78"/>
      <c r="R108" s="78"/>
      <c r="S108" s="78"/>
      <c r="T108" s="50" t="s">
        <v>194</v>
      </c>
      <c r="U108" s="78"/>
      <c r="V108" s="78"/>
      <c r="W108" s="78"/>
      <c r="X108" s="78"/>
      <c r="Y108" s="78"/>
      <c r="Z108" s="78"/>
      <c r="AA108" s="78"/>
      <c r="AB108" s="78"/>
    </row>
    <row r="109" spans="1:28" ht="15.75">
      <c r="A109" s="178" t="s">
        <v>43</v>
      </c>
      <c r="B109" s="178" t="s">
        <v>43</v>
      </c>
      <c r="C109" s="234" t="str">
        <f ca="1">_xll.DBRA(Server&amp;$B$23,$A109,Context!$I$15)</f>
        <v>ENDETTEMENT FINANCIER NET</v>
      </c>
      <c r="D109" s="240">
        <f ca="1">_xll.DBRW(Server&amp;Cube1,Context!$I$13,Context!$T$6,Context!$I$11,'Plan Input'!$B$12,Context!$I$12,'Plan Input'!D$2,Context!$I$10,'Plan Input'!$A109)</f>
        <v>0</v>
      </c>
      <c r="E109" s="240">
        <f ca="1">_xll.DBRW(Server&amp;Cube1,Context!$I$13,Context!$T$6,Context!$I$11,'Plan Input'!$B$12,Context!$I$12,'Plan Input'!E$2,Context!$I$10,'Plan Input'!$A109)</f>
        <v>0</v>
      </c>
      <c r="F109" s="240">
        <f ca="1">_xll.DBRW(Server&amp;Cube1,Context!$I$13,Context!$T$6,Context!$I$11,'Plan Input'!$B$12,Context!$I$12,'Plan Input'!F$2,Context!$I$10,'Plan Input'!$A109)</f>
        <v>0</v>
      </c>
      <c r="G109" s="249">
        <f ca="1">F109+G95</f>
        <v>1720.8604302151075</v>
      </c>
      <c r="H109" s="249">
        <f ca="1">G109+H95</f>
        <v>-6701.5954085617141</v>
      </c>
      <c r="I109" s="249">
        <f ca="1">H109+I95</f>
        <v>-15313.016073242165</v>
      </c>
      <c r="J109" s="249">
        <f ca="1">I109+J95</f>
        <v>-23978.845849126505</v>
      </c>
      <c r="K109" s="249">
        <f ca="1">J109+K95</f>
        <v>-32697.842625699246</v>
      </c>
      <c r="L109" s="1"/>
      <c r="N109" s="78"/>
      <c r="O109" s="78"/>
      <c r="P109" s="78"/>
      <c r="Q109" s="78"/>
      <c r="R109" s="78"/>
      <c r="S109" s="78"/>
      <c r="T109" s="49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>
      <c r="A110" s="178"/>
      <c r="B110" s="178"/>
      <c r="C110" s="219" t="str">
        <f ca="1">_xll.DBRA(Server&amp;$B$23,$A110,Context!$I$15)</f>
        <v/>
      </c>
      <c r="D110" s="228" t="str">
        <f ca="1">_xll.DBRW(Server&amp;Cube1,Context!$I$13,Context!$T$6,Context!$I$11,'Plan Input'!$B$12,Context!$I$12,'Plan Input'!D$2,Context!$I$10,'Plan Input'!$A110)</f>
        <v/>
      </c>
      <c r="E110" s="228" t="str">
        <f ca="1">_xll.DBRW(Server&amp;Cube1,Context!$I$13,Context!$T$6,Context!$I$11,'Plan Input'!$B$12,Context!$I$12,'Plan Input'!E$2,Context!$I$10,'Plan Input'!$A110)</f>
        <v/>
      </c>
      <c r="F110" s="228" t="str">
        <f ca="1">_xll.DBRW(Server&amp;Cube1,Context!$I$13,Context!$T$6,Context!$I$11,'Plan Input'!$B$12,Context!$I$12,'Plan Input'!F$2,Context!$I$10,'Plan Input'!$A110)</f>
        <v/>
      </c>
      <c r="G110" s="228"/>
      <c r="H110" s="228"/>
      <c r="I110" s="228"/>
      <c r="J110" s="228"/>
      <c r="K110" s="228"/>
      <c r="L110" s="1"/>
      <c r="N110" s="78"/>
      <c r="O110" s="78"/>
      <c r="P110" s="78"/>
      <c r="Q110" s="78"/>
      <c r="R110" s="78"/>
      <c r="S110" s="78"/>
      <c r="T110" s="49" t="s">
        <v>101</v>
      </c>
      <c r="U110" s="78"/>
      <c r="V110" s="78"/>
      <c r="W110" s="78"/>
      <c r="X110" s="78"/>
      <c r="Y110" s="78"/>
      <c r="Z110" s="78"/>
      <c r="AA110" s="78"/>
      <c r="AB110" s="78"/>
    </row>
    <row r="111" spans="1:28" ht="15.75">
      <c r="A111" s="178" t="s">
        <v>45</v>
      </c>
      <c r="B111" s="178" t="s">
        <v>45</v>
      </c>
      <c r="C111" s="217" t="str">
        <f ca="1">_xll.DBRA(Server&amp;$B$23,$A111,Context!$I$15)</f>
        <v>Autres actifs financiers</v>
      </c>
      <c r="D111" s="223">
        <f ca="1">_xll.DBRW(Server&amp;Cube1,Context!$I$13,Context!$T$6,Context!$I$11,'Plan Input'!$B$12,Context!$I$12,'Plan Input'!D$2,Context!$I$10,'Plan Input'!$A111)</f>
        <v>0</v>
      </c>
      <c r="E111" s="223">
        <f ca="1">_xll.DBRW(Server&amp;Cube1,Context!$I$13,Context!$T$6,Context!$I$11,'Plan Input'!$B$12,Context!$I$12,'Plan Input'!E$2,Context!$I$10,'Plan Input'!$A111)</f>
        <v>0</v>
      </c>
      <c r="F111" s="270">
        <f ca="1">_xll.DBRW(Server&amp;Cube1,Context!$I$13,Context!$T$6,Context!$I$11,'Plan Input'!$B$12,Context!$I$12,'Plan Input'!F$2,Context!$I$10,'Plan Input'!$A111)</f>
        <v>0</v>
      </c>
      <c r="G111" s="247">
        <f ca="1">F111+G39+G40-G61-G75-G84</f>
        <v>188</v>
      </c>
      <c r="H111" s="247">
        <f t="shared" ref="H111:K111" ca="1" si="30">G111+H39+H40-H61-H75-H84</f>
        <v>376</v>
      </c>
      <c r="I111" s="247">
        <f t="shared" ca="1" si="30"/>
        <v>564</v>
      </c>
      <c r="J111" s="247">
        <f t="shared" ca="1" si="30"/>
        <v>752</v>
      </c>
      <c r="K111" s="247">
        <f t="shared" ca="1" si="30"/>
        <v>940</v>
      </c>
      <c r="L111" s="1"/>
      <c r="N111" s="78"/>
      <c r="O111" s="78"/>
      <c r="P111" s="78"/>
      <c r="Q111" s="78"/>
      <c r="R111" s="78"/>
      <c r="S111" s="78"/>
      <c r="T111" s="49" t="s">
        <v>101</v>
      </c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 thickBot="1">
      <c r="A112" s="178"/>
      <c r="B112" s="178"/>
      <c r="C112" s="219" t="str">
        <f ca="1">_xll.DBRA(Server&amp;$B$23,$A112,Context!$I$15)</f>
        <v/>
      </c>
      <c r="D112" s="228" t="str">
        <f ca="1">_xll.DBRW(Server&amp;Cube1,Context!$I$13,Context!$T$6,Context!$I$11,'Plan Input'!$B$12,Context!$I$12,'Plan Input'!D$2,Context!$I$10,'Plan Input'!$A112)</f>
        <v/>
      </c>
      <c r="E112" s="228" t="str">
        <f ca="1">_xll.DBRW(Server&amp;Cube1,Context!$I$13,Context!$T$6,Context!$I$11,'Plan Input'!$B$12,Context!$I$12,'Plan Input'!E$2,Context!$I$10,'Plan Input'!$A112)</f>
        <v/>
      </c>
      <c r="F112" s="228" t="str">
        <f ca="1">_xll.DBRW(Server&amp;Cube1,Context!$I$13,Context!$T$6,Context!$I$11,'Plan Input'!$B$12,Context!$I$12,'Plan Input'!F$2,Context!$I$10,'Plan Input'!$A112)</f>
        <v/>
      </c>
      <c r="G112" s="228"/>
      <c r="H112" s="228"/>
      <c r="I112" s="228"/>
      <c r="J112" s="228"/>
      <c r="K112" s="228"/>
      <c r="L112" s="1"/>
      <c r="N112" s="78"/>
      <c r="O112" s="78"/>
      <c r="P112" s="78"/>
      <c r="Q112" s="78"/>
      <c r="R112" s="78"/>
      <c r="S112" s="78"/>
      <c r="T112" s="49" t="s">
        <v>102</v>
      </c>
      <c r="U112" s="78"/>
      <c r="V112" s="78"/>
      <c r="W112" s="78"/>
      <c r="X112" s="78"/>
      <c r="Y112" s="78"/>
      <c r="Z112" s="78"/>
      <c r="AA112" s="78"/>
      <c r="AB112" s="78"/>
    </row>
    <row r="113" spans="1:32" ht="15.75">
      <c r="A113" s="178" t="s">
        <v>46</v>
      </c>
      <c r="B113" s="178" t="s">
        <v>46</v>
      </c>
      <c r="C113" s="234" t="str">
        <f ca="1">_xll.DBRA(Server&amp;$B$23,$A113,Context!$I$15)</f>
        <v>DETTE NETTE ECONOMIQUE</v>
      </c>
      <c r="D113" s="240">
        <f ca="1">_xll.DBRW(Server&amp;Cube1,Context!$I$13,Context!$T$6,Context!$I$11,'Plan Input'!$B$12,Context!$I$12,'Plan Input'!D$2,Context!$I$10,'Plan Input'!$A113)</f>
        <v>0</v>
      </c>
      <c r="E113" s="240">
        <f ca="1">_xll.DBRW(Server&amp;Cube1,Context!$I$13,Context!$T$6,Context!$I$11,'Plan Input'!$B$12,Context!$I$12,'Plan Input'!E$2,Context!$I$10,'Plan Input'!$A113)</f>
        <v>0</v>
      </c>
      <c r="F113" s="240">
        <f ca="1">_xll.DBRW(Server&amp;Cube1,Context!$I$13,Context!$T$6,Context!$I$11,'Plan Input'!$B$12,Context!$I$12,'Plan Input'!F$2,Context!$I$10,'Plan Input'!$A113)</f>
        <v>0</v>
      </c>
      <c r="G113" s="249">
        <f ca="1">SUM(G109:G111)</f>
        <v>1908.8604302151075</v>
      </c>
      <c r="H113" s="249">
        <f t="shared" ref="H113:K113" ca="1" si="31">SUM(H109:H111)</f>
        <v>-6325.5954085617141</v>
      </c>
      <c r="I113" s="249">
        <f t="shared" ca="1" si="31"/>
        <v>-14749.016073242165</v>
      </c>
      <c r="J113" s="249">
        <f t="shared" ca="1" si="31"/>
        <v>-23226.845849126505</v>
      </c>
      <c r="K113" s="249">
        <f t="shared" ca="1" si="31"/>
        <v>-31757.842625699246</v>
      </c>
      <c r="L113" s="1"/>
      <c r="N113" s="78"/>
      <c r="O113" s="78"/>
      <c r="P113" s="78"/>
      <c r="Q113" s="78"/>
      <c r="R113" s="78"/>
      <c r="S113" s="78"/>
      <c r="T113" s="49" t="s">
        <v>103</v>
      </c>
      <c r="U113" s="78"/>
      <c r="V113" s="78"/>
      <c r="W113" s="78"/>
      <c r="X113" s="78"/>
      <c r="Y113" s="78"/>
      <c r="Z113" s="78"/>
      <c r="AA113" s="78"/>
      <c r="AB113" s="78"/>
    </row>
    <row r="114" spans="1:32" ht="4.5" customHeight="1">
      <c r="A114" s="178"/>
      <c r="B114" s="178"/>
      <c r="C114" s="219" t="str">
        <f ca="1">_xll.DBRA(Server&amp;$B$23,$A114,Context!$I$15)</f>
        <v/>
      </c>
      <c r="D114" s="228" t="str">
        <f ca="1">_xll.DBRW(Server&amp;Cube1,Context!$I$13,Context!$T$6,Context!$I$11,'Plan Input'!$B$12,Context!$I$12,'Plan Input'!D$2,Context!$I$10,'Plan Input'!$A114)</f>
        <v/>
      </c>
      <c r="E114" s="228" t="str">
        <f ca="1">_xll.DBRW(Server&amp;Cube1,Context!$I$13,Context!$T$6,Context!$I$11,'Plan Input'!$B$12,Context!$I$12,'Plan Input'!E$2,Context!$I$10,'Plan Input'!$A114)</f>
        <v/>
      </c>
      <c r="F114" s="228" t="str">
        <f ca="1">_xll.DBRW(Server&amp;Cube1,Context!$I$13,Context!$T$6,Context!$I$11,'Plan Input'!$B$12,Context!$I$12,'Plan Input'!F$2,Context!$I$10,'Plan Input'!$A114)</f>
        <v/>
      </c>
      <c r="G114" s="228"/>
      <c r="H114" s="228"/>
      <c r="I114" s="228"/>
      <c r="J114" s="228"/>
      <c r="K114" s="228"/>
      <c r="L114" s="1"/>
      <c r="N114" s="78"/>
      <c r="O114" s="78"/>
      <c r="P114" s="78"/>
      <c r="Q114" s="78"/>
      <c r="R114" s="78"/>
      <c r="S114" s="78"/>
      <c r="T114" s="49" t="s">
        <v>104</v>
      </c>
      <c r="U114" s="78"/>
      <c r="V114" s="78"/>
      <c r="W114" s="78"/>
      <c r="X114" s="78"/>
      <c r="Y114" s="78"/>
      <c r="Z114" s="78"/>
      <c r="AA114" s="78"/>
      <c r="AB114" s="78"/>
    </row>
    <row r="115" spans="1:32" ht="15.75">
      <c r="A115" s="178" t="s">
        <v>47</v>
      </c>
      <c r="B115" s="178" t="s">
        <v>47</v>
      </c>
      <c r="C115" s="217" t="str">
        <f ca="1">_xll.DBRA(Server&amp;$B$23,$A115,Context!$I$15)</f>
        <v>Actifs/passifs des activités non poursuivies nets</v>
      </c>
      <c r="D115" s="223">
        <f ca="1">_xll.DBRW(Server&amp;Cube1,Context!$I$13,Context!$T$6,Context!$I$11,'Plan Input'!$B$12,Context!$I$12,'Plan Input'!D$2,Context!$I$10,'Plan Input'!$A115)</f>
        <v>0</v>
      </c>
      <c r="E115" s="223">
        <f ca="1">_xll.DBRW(Server&amp;Cube1,Context!$I$13,Context!$T$6,Context!$I$11,'Plan Input'!$B$12,Context!$I$12,'Plan Input'!E$2,Context!$I$10,'Plan Input'!$A115)</f>
        <v>0</v>
      </c>
      <c r="F115" s="272">
        <f ca="1">_xll.DBRW(Server&amp;Cube1,Context!$I$13,Context!$T$6,Context!$I$11,'Plan Input'!$B$12,Context!$I$12,'Plan Input'!F$2,Context!$I$10,'Plan Input'!$A115)</f>
        <v>0</v>
      </c>
      <c r="G115" s="247">
        <v>0</v>
      </c>
      <c r="H115" s="247">
        <v>0</v>
      </c>
      <c r="I115" s="247">
        <v>0</v>
      </c>
      <c r="J115" s="247">
        <v>0</v>
      </c>
      <c r="K115" s="247">
        <v>0</v>
      </c>
      <c r="L115" s="211"/>
      <c r="M115" s="211"/>
      <c r="N115" s="78"/>
      <c r="O115" s="78"/>
      <c r="P115" s="78"/>
      <c r="Q115" s="78"/>
      <c r="R115" s="78"/>
      <c r="S115" s="78"/>
      <c r="T115" s="49" t="s">
        <v>105</v>
      </c>
      <c r="U115" s="78"/>
      <c r="V115" s="78"/>
      <c r="W115" s="78"/>
      <c r="X115" s="78"/>
      <c r="Y115" s="78"/>
      <c r="Z115" s="78"/>
      <c r="AA115" s="78"/>
      <c r="AB115" s="78"/>
      <c r="AC115" s="211"/>
      <c r="AD115" s="211"/>
      <c r="AE115" s="211"/>
      <c r="AF115" s="211"/>
    </row>
    <row r="116" spans="1:32" ht="16.5" thickBot="1">
      <c r="A116" s="178" t="s">
        <v>48</v>
      </c>
      <c r="B116" s="178" t="s">
        <v>48</v>
      </c>
      <c r="C116" s="217" t="str">
        <f ca="1">_xll.DBRA(Server&amp;$B$23,$A116,Context!$I$15)</f>
        <v>Titres de participation nets</v>
      </c>
      <c r="D116" s="223">
        <f ca="1">_xll.DBRW(Server&amp;Cube1,Context!$I$13,Context!$T$6,Context!$I$11,'Plan Input'!$B$12,Context!$I$12,'Plan Input'!D$2,Context!$I$10,'Plan Input'!$A116)</f>
        <v>0</v>
      </c>
      <c r="E116" s="223">
        <f ca="1">_xll.DBRW(Server&amp;Cube1,Context!$I$13,Context!$T$6,Context!$I$11,'Plan Input'!$B$12,Context!$I$12,'Plan Input'!E$2,Context!$I$10,'Plan Input'!$A116)</f>
        <v>0</v>
      </c>
      <c r="F116" s="272">
        <f ca="1">_xll.DBRW(Server&amp;Cube1,Context!$I$13,Context!$T$6,Context!$I$11,'Plan Input'!$B$12,Context!$I$12,'Plan Input'!F$2,Context!$I$10,'Plan Input'!$A116)</f>
        <v>0</v>
      </c>
      <c r="G116" s="247">
        <f ca="1">F116-G77-G78</f>
        <v>-200</v>
      </c>
      <c r="H116" s="247">
        <f ca="1">G116-H77-H78</f>
        <v>-400</v>
      </c>
      <c r="I116" s="247">
        <f ca="1">H116-I77-I78</f>
        <v>-600</v>
      </c>
      <c r="J116" s="247">
        <f ca="1">I116-J77-J78</f>
        <v>-800</v>
      </c>
      <c r="K116" s="247">
        <f ca="1">J116-K77-K78</f>
        <v>-1000</v>
      </c>
      <c r="L116" s="1"/>
      <c r="N116" s="78"/>
      <c r="O116" s="78"/>
      <c r="P116" s="78"/>
      <c r="Q116" s="78"/>
      <c r="R116" s="78"/>
      <c r="S116" s="78"/>
      <c r="T116" s="50" t="s">
        <v>106</v>
      </c>
      <c r="U116" s="78"/>
      <c r="V116" s="78"/>
      <c r="W116" s="78"/>
      <c r="X116" s="78"/>
      <c r="Y116" s="78"/>
      <c r="Z116" s="78"/>
      <c r="AA116" s="78"/>
      <c r="AB116" s="78"/>
    </row>
    <row r="117" spans="1:32" ht="16.5" thickBot="1">
      <c r="A117" s="178" t="s">
        <v>49</v>
      </c>
      <c r="B117" s="178" t="s">
        <v>49</v>
      </c>
      <c r="C117" s="217" t="str">
        <f ca="1">_xll.DBRA(Server&amp;$B$23,$A117,Context!$I$15)</f>
        <v>Comptes de liaison élimination titres/snette</v>
      </c>
      <c r="D117" s="223">
        <f ca="1">_xll.DBRW(Server&amp;Cube1,Context!$I$13,Context!$T$6,Context!$I$11,'Plan Input'!$B$12,Context!$I$12,'Plan Input'!D$2,Context!$I$10,'Plan Input'!$A117)</f>
        <v>0</v>
      </c>
      <c r="E117" s="223">
        <f ca="1">_xll.DBRW(Server&amp;Cube1,Context!$I$13,Context!$T$6,Context!$I$11,'Plan Input'!$B$12,Context!$I$12,'Plan Input'!E$2,Context!$I$10,'Plan Input'!$A117)</f>
        <v>0</v>
      </c>
      <c r="F117" s="272">
        <f ca="1">_xll.DBRW(Server&amp;Cube1,Context!$I$13,Context!$T$6,Context!$I$11,'Plan Input'!$B$12,Context!$I$12,'Plan Input'!F$2,Context!$I$10,'Plan Input'!$A117)</f>
        <v>0</v>
      </c>
      <c r="G117" s="247">
        <f ca="1">F117</f>
        <v>0</v>
      </c>
      <c r="H117" s="247">
        <f t="shared" ref="H117:K117" ca="1" si="32">G117</f>
        <v>0</v>
      </c>
      <c r="I117" s="247">
        <f t="shared" ca="1" si="32"/>
        <v>0</v>
      </c>
      <c r="J117" s="247">
        <f t="shared" ca="1" si="32"/>
        <v>0</v>
      </c>
      <c r="K117" s="247">
        <f t="shared" ca="1" si="32"/>
        <v>0</v>
      </c>
      <c r="L117" s="1"/>
      <c r="N117" s="78"/>
      <c r="O117" s="78"/>
      <c r="P117" s="78"/>
      <c r="Q117" s="78"/>
      <c r="R117" s="78"/>
      <c r="S117" s="78"/>
      <c r="T117" s="136" t="s">
        <v>56</v>
      </c>
      <c r="U117" s="78"/>
      <c r="V117" s="78"/>
      <c r="W117" s="78"/>
      <c r="X117" s="78"/>
      <c r="Y117" s="78"/>
      <c r="Z117" s="78"/>
      <c r="AA117" s="78"/>
      <c r="AB117" s="78"/>
    </row>
    <row r="118" spans="1:32" ht="15.75">
      <c r="A118" s="178" t="s">
        <v>50</v>
      </c>
      <c r="B118" s="178" t="s">
        <v>50</v>
      </c>
      <c r="C118" s="217" t="str">
        <f ca="1">_xll.DBRA(Server&amp;$B$23,$A118,Context!$I$15)</f>
        <v>Capitaux propres Groupe</v>
      </c>
      <c r="D118" s="223">
        <f ca="1">_xll.DBRW(Server&amp;Cube1,Context!$I$13,Context!$T$6,Context!$I$11,'Plan Input'!$B$12,Context!$I$12,'Plan Input'!D$2,Context!$I$10,'Plan Input'!$A118)</f>
        <v>0</v>
      </c>
      <c r="E118" s="223">
        <f ca="1">_xll.DBRW(Server&amp;Cube1,Context!$I$13,Context!$T$6,Context!$I$11,'Plan Input'!$B$12,Context!$I$12,'Plan Input'!E$2,Context!$I$10,'Plan Input'!$A118)</f>
        <v>0</v>
      </c>
      <c r="F118" s="272">
        <f ca="1">_xll.DBRW(Server&amp;Cube1,Context!$I$13,Context!$T$6,Context!$I$11,'Plan Input'!$B$12,Context!$I$12,'Plan Input'!F$2,Context!$I$10,'Plan Input'!$A118)</f>
        <v>0</v>
      </c>
      <c r="G118" s="247">
        <f ca="1">F118-(G49+G86)-G89-G88</f>
        <v>-10070.235181590795</v>
      </c>
      <c r="H118" s="247">
        <f ca="1">G118-(H49+H86)-H89-H88</f>
        <v>-10012.208798194295</v>
      </c>
      <c r="I118" s="247">
        <f ca="1">H118-(I49+I86)-I89-I88</f>
        <v>-9816.0977780099929</v>
      </c>
      <c r="J118" s="247">
        <f ca="1">I118-(J49+J86)-J89-J88</f>
        <v>-9617.1847936877693</v>
      </c>
      <c r="K118" s="247">
        <f ca="1">J118-(K49+K86)-K89-K88</f>
        <v>-9417.0332855893303</v>
      </c>
      <c r="L118" s="1"/>
      <c r="N118" s="78"/>
      <c r="O118" s="78"/>
      <c r="P118" s="78"/>
      <c r="Q118" s="78"/>
      <c r="R118" s="78"/>
      <c r="S118" s="78"/>
      <c r="T118" s="48" t="s">
        <v>151</v>
      </c>
      <c r="U118" s="78"/>
      <c r="V118" s="78"/>
      <c r="W118" s="78"/>
      <c r="X118" s="78"/>
      <c r="Y118" s="78"/>
      <c r="Z118" s="78"/>
      <c r="AA118" s="78"/>
      <c r="AB118" s="78"/>
    </row>
    <row r="119" spans="1:32" ht="15.75">
      <c r="A119" s="178" t="s">
        <v>51</v>
      </c>
      <c r="B119" s="178" t="s">
        <v>51</v>
      </c>
      <c r="C119" s="217" t="str">
        <f ca="1">_xll.DBRA(Server&amp;$B$23,$A119,Context!$I$15)</f>
        <v>Capitaux propres attribuables aux participations ne donnant pas le contrôle</v>
      </c>
      <c r="D119" s="223">
        <f ca="1">_xll.DBRW(Server&amp;Cube1,Context!$I$13,Context!$T$6,Context!$I$11,'Plan Input'!$B$12,Context!$I$12,'Plan Input'!D$2,Context!$I$10,'Plan Input'!$A119)</f>
        <v>0</v>
      </c>
      <c r="E119" s="223">
        <f ca="1">_xll.DBRW(Server&amp;Cube1,Context!$I$13,Context!$T$6,Context!$I$11,'Plan Input'!$B$12,Context!$I$12,'Plan Input'!E$2,Context!$I$10,'Plan Input'!$A119)</f>
        <v>0</v>
      </c>
      <c r="F119" s="272">
        <f ca="1">_xll.DBRW(Server&amp;Cube1,Context!$I$13,Context!$T$6,Context!$I$11,'Plan Input'!$B$12,Context!$I$12,'Plan Input'!F$2,Context!$I$10,'Plan Input'!$A119)</f>
        <v>0</v>
      </c>
      <c r="G119" s="247">
        <f ca="1">+F119+G47-(+G87)</f>
        <v>100</v>
      </c>
      <c r="H119" s="247">
        <f ca="1">+G119+H47-(+H87)</f>
        <v>200</v>
      </c>
      <c r="I119" s="247">
        <f ca="1">+H119+I47-(+I87)</f>
        <v>300</v>
      </c>
      <c r="J119" s="247">
        <f ca="1">+I119+J47-(+J87)</f>
        <v>400</v>
      </c>
      <c r="K119" s="247">
        <f ca="1">+J119+K47-(+K87)</f>
        <v>500</v>
      </c>
      <c r="L119" s="1"/>
      <c r="N119" s="78"/>
      <c r="O119" s="78"/>
      <c r="P119" s="78"/>
      <c r="Q119" s="78"/>
      <c r="R119" s="78"/>
      <c r="S119" s="78"/>
      <c r="T119" s="49" t="s">
        <v>152</v>
      </c>
      <c r="U119" s="78"/>
      <c r="V119" s="78"/>
      <c r="W119" s="78"/>
      <c r="X119" s="78"/>
      <c r="Y119" s="78"/>
      <c r="Z119" s="78"/>
      <c r="AA119" s="78"/>
      <c r="AB119" s="78"/>
    </row>
    <row r="120" spans="1:32" ht="4.5" customHeight="1" thickBot="1">
      <c r="A120" s="178"/>
      <c r="B120" s="178"/>
      <c r="C120" s="219" t="str">
        <f ca="1">_xll.DBRA(Server&amp;$B$23,$A120,Context!$I$15)</f>
        <v/>
      </c>
      <c r="D120" s="228" t="str">
        <f ca="1">_xll.DBRW(Server&amp;Cube1,Context!$I$13,Context!$T$6,Context!$I$11,'Plan Input'!$B$12,Context!$I$12,'Plan Input'!D$2,Context!$I$10,'Plan Input'!$A120)</f>
        <v/>
      </c>
      <c r="E120" s="228" t="str">
        <f ca="1">_xll.DBRW(Server&amp;Cube1,Context!$I$13,Context!$T$6,Context!$I$11,'Plan Input'!$B$12,Context!$I$12,'Plan Input'!E$2,Context!$I$10,'Plan Input'!$A120)</f>
        <v/>
      </c>
      <c r="F120" s="253" t="str">
        <f ca="1">_xll.DBRW(Server&amp;Cube1,Context!$I$13,Context!$T$6,Context!$I$11,'Plan Input'!$B$12,Context!$I$12,'Plan Input'!F$2,Context!$I$10,'Plan Input'!$A120)</f>
        <v/>
      </c>
      <c r="G120" s="228"/>
      <c r="H120" s="228"/>
      <c r="I120" s="228"/>
      <c r="J120" s="228"/>
      <c r="K120" s="228"/>
      <c r="L120" s="1"/>
      <c r="N120" s="78"/>
      <c r="O120" s="78"/>
      <c r="P120" s="78"/>
      <c r="Q120" s="78"/>
      <c r="R120" s="78"/>
      <c r="S120" s="78"/>
      <c r="T120" s="49" t="s">
        <v>152</v>
      </c>
      <c r="U120" s="78"/>
      <c r="V120" s="78"/>
      <c r="W120" s="78"/>
      <c r="X120" s="78"/>
      <c r="Y120" s="78"/>
      <c r="Z120" s="78"/>
      <c r="AA120" s="78"/>
      <c r="AB120" s="78"/>
    </row>
    <row r="121" spans="1:32" ht="15.75">
      <c r="A121" s="178" t="s">
        <v>62</v>
      </c>
      <c r="B121" s="178" t="s">
        <v>62</v>
      </c>
      <c r="C121" s="234" t="str">
        <f ca="1">_xll.DBRA(Server&amp;$B$23,$A121,Context!$I$15)</f>
        <v>CAPITAUX PROPRES &amp; TITRES</v>
      </c>
      <c r="D121" s="240">
        <f ca="1">_xll.DBRW(Server&amp;Cube1,Context!$I$13,Context!$T$6,Context!$I$11,'Plan Input'!$B$12,Context!$I$12,'Plan Input'!D$2,Context!$I$10,'Plan Input'!$A121)</f>
        <v>0</v>
      </c>
      <c r="E121" s="240">
        <f ca="1">_xll.DBRW(Server&amp;Cube1,Context!$I$13,Context!$T$6,Context!$I$11,'Plan Input'!$B$12,Context!$I$12,'Plan Input'!E$2,Context!$I$10,'Plan Input'!$A121)</f>
        <v>0</v>
      </c>
      <c r="F121" s="240">
        <f ca="1">_xll.DBRW(Server&amp;Cube1,Context!$I$13,Context!$T$6,Context!$I$11,'Plan Input'!$B$12,Context!$I$12,'Plan Input'!F$2,Context!$I$10,'Plan Input'!$A121)</f>
        <v>0</v>
      </c>
      <c r="G121" s="240">
        <f ca="1">SUM(G115:G119)</f>
        <v>-10170.235181590795</v>
      </c>
      <c r="H121" s="240">
        <f t="shared" ref="H121:K121" ca="1" si="33">SUM(H115:H119)</f>
        <v>-10212.208798194295</v>
      </c>
      <c r="I121" s="240">
        <f t="shared" ca="1" si="33"/>
        <v>-10116.097778009993</v>
      </c>
      <c r="J121" s="240">
        <f t="shared" ca="1" si="33"/>
        <v>-10017.184793687769</v>
      </c>
      <c r="K121" s="240">
        <f t="shared" ca="1" si="33"/>
        <v>-9917.0332855893303</v>
      </c>
      <c r="L121" s="1"/>
      <c r="N121" s="78"/>
      <c r="O121" s="78"/>
      <c r="P121" s="78"/>
      <c r="Q121" s="78"/>
      <c r="R121" s="78"/>
      <c r="S121" s="78"/>
      <c r="T121" s="49" t="s">
        <v>153</v>
      </c>
      <c r="U121" s="78"/>
      <c r="V121" s="78"/>
      <c r="W121" s="78"/>
      <c r="X121" s="78"/>
      <c r="Y121" s="78"/>
      <c r="Z121" s="78"/>
      <c r="AA121" s="78"/>
      <c r="AB121" s="78"/>
    </row>
    <row r="122" spans="1:32" ht="15.75">
      <c r="A122" s="93"/>
      <c r="B122" s="93"/>
      <c r="C122" s="263" t="s">
        <v>242</v>
      </c>
      <c r="D122" s="262">
        <f ca="1">D107+D113+D121</f>
        <v>0</v>
      </c>
      <c r="E122" s="262">
        <f t="shared" ref="E122:K122" ca="1" si="34">E107+E113+E121</f>
        <v>0</v>
      </c>
      <c r="F122" s="262">
        <f t="shared" ca="1" si="34"/>
        <v>0</v>
      </c>
      <c r="G122" s="262">
        <f t="shared" ca="1" si="34"/>
        <v>0</v>
      </c>
      <c r="H122" s="262">
        <f t="shared" ca="1" si="34"/>
        <v>0</v>
      </c>
      <c r="I122" s="262">
        <f t="shared" ca="1" si="34"/>
        <v>0</v>
      </c>
      <c r="J122" s="262">
        <f t="shared" ca="1" si="34"/>
        <v>0</v>
      </c>
      <c r="K122" s="262">
        <f t="shared" ca="1" si="34"/>
        <v>0</v>
      </c>
      <c r="L122" s="1"/>
      <c r="N122" s="78"/>
      <c r="O122" s="78"/>
      <c r="P122" s="78"/>
      <c r="Q122" s="78"/>
      <c r="R122" s="78"/>
      <c r="S122" s="78"/>
      <c r="T122" s="49" t="s">
        <v>154</v>
      </c>
      <c r="U122" s="78"/>
      <c r="V122" s="78"/>
      <c r="W122" s="78"/>
      <c r="X122" s="78"/>
      <c r="Y122" s="78"/>
      <c r="Z122" s="78"/>
      <c r="AA122" s="78"/>
      <c r="AB122" s="78"/>
    </row>
    <row r="123" spans="1:32" ht="17.25" customHeight="1">
      <c r="A123" s="93"/>
      <c r="B123" s="93"/>
      <c r="C123" s="304" t="s">
        <v>250</v>
      </c>
      <c r="D123" s="305"/>
      <c r="E123" s="306" t="str">
        <f ca="1">IFERROR(E39/AVERAGE(D109:E109),"-")</f>
        <v>-</v>
      </c>
      <c r="F123" s="306" t="str">
        <f t="shared" ref="F123:K123" ca="1" si="35">IFERROR(F39/AVERAGE(E109:F109),"-")</f>
        <v>-</v>
      </c>
      <c r="G123" s="306">
        <f t="shared" ca="1" si="35"/>
        <v>1.0000000000000044E-3</v>
      </c>
      <c r="H123" s="306">
        <f t="shared" ca="1" si="35"/>
        <v>2.9000000000000001E-2</v>
      </c>
      <c r="I123" s="306">
        <f t="shared" ca="1" si="35"/>
        <v>2.9000000000000001E-2</v>
      </c>
      <c r="J123" s="306">
        <f t="shared" ca="1" si="35"/>
        <v>2.9000000000000005E-2</v>
      </c>
      <c r="K123" s="306">
        <f t="shared" ca="1" si="35"/>
        <v>2.9000000000000001E-2</v>
      </c>
      <c r="L123" s="1"/>
      <c r="N123" s="78"/>
      <c r="O123" s="78"/>
      <c r="P123" s="78"/>
      <c r="Q123" s="78"/>
      <c r="R123" s="78"/>
      <c r="S123" s="78"/>
      <c r="T123" s="49" t="s">
        <v>153</v>
      </c>
      <c r="U123" s="78"/>
      <c r="V123" s="78"/>
      <c r="W123" s="78"/>
      <c r="X123" s="78"/>
      <c r="Y123" s="78"/>
      <c r="Z123" s="78"/>
      <c r="AA123" s="78"/>
      <c r="AB123" s="78"/>
    </row>
    <row r="124" spans="1:32" ht="15.75">
      <c r="A124" s="93"/>
      <c r="B124" s="93"/>
      <c r="C124" s="263"/>
      <c r="D124" s="262"/>
      <c r="E124" s="262"/>
      <c r="F124" s="262"/>
      <c r="G124" s="262"/>
      <c r="H124" s="262"/>
      <c r="I124" s="262"/>
      <c r="J124" s="262"/>
      <c r="K124" s="262"/>
      <c r="L124" s="1"/>
      <c r="N124" s="78"/>
      <c r="O124" s="78"/>
      <c r="P124" s="78"/>
      <c r="Q124" s="78"/>
      <c r="R124" s="78"/>
      <c r="S124" s="78"/>
      <c r="T124" s="49" t="s">
        <v>154</v>
      </c>
      <c r="U124" s="78"/>
      <c r="V124" s="78"/>
      <c r="W124" s="78"/>
      <c r="X124" s="78"/>
      <c r="Y124" s="78"/>
      <c r="Z124" s="78"/>
      <c r="AA124" s="78"/>
      <c r="AB124" s="78"/>
    </row>
    <row r="125" spans="1:32" ht="23.25" customHeight="1">
      <c r="A125" s="93"/>
      <c r="B125" s="93"/>
      <c r="C125" s="276" t="str">
        <f ca="1">_xll.DBRA(Server&amp;$S$9,"IFRIC12",Context!$I$15)&amp;" " &amp;_xll.DBRA(Server&amp;$S$9,$T$100,Context!$I$15)</f>
        <v xml:space="preserve"> (KLCL)</v>
      </c>
      <c r="D125" s="18"/>
      <c r="E125" s="18"/>
      <c r="F125" s="18"/>
      <c r="G125" s="18"/>
      <c r="H125" s="18"/>
      <c r="I125" s="18"/>
      <c r="J125" s="18"/>
      <c r="K125" s="18"/>
      <c r="L125" s="1"/>
      <c r="N125" s="78"/>
      <c r="O125" s="78"/>
      <c r="P125" s="78"/>
      <c r="Q125" s="78"/>
      <c r="R125" s="78"/>
      <c r="S125" s="49" t="s">
        <v>175</v>
      </c>
      <c r="T125" s="49" t="s">
        <v>155</v>
      </c>
      <c r="U125" s="78"/>
      <c r="V125" s="78"/>
      <c r="W125" s="78"/>
      <c r="X125" s="78"/>
      <c r="Y125" s="78"/>
      <c r="Z125" s="78"/>
      <c r="AA125" s="78"/>
      <c r="AB125" s="78"/>
    </row>
    <row r="126" spans="1:32" ht="18" customHeight="1">
      <c r="A126" s="93"/>
      <c r="B126" s="93"/>
      <c r="C126" s="259" t="str">
        <f ca="1">_xll.DBRA(Server&amp;$S$9,"IFRIC12_1",Context!$I$15)</f>
        <v/>
      </c>
      <c r="D126" s="104" t="str">
        <f ca="1">D$3</f>
        <v>2020</v>
      </c>
      <c r="E126" s="104" t="str">
        <f t="shared" ref="E126:K126" ca="1" si="36">E$3</f>
        <v>2021</v>
      </c>
      <c r="F126" s="104" t="str">
        <f t="shared" ca="1" si="36"/>
        <v>2022</v>
      </c>
      <c r="G126" s="104" t="str">
        <f t="shared" ca="1" si="36"/>
        <v>2023</v>
      </c>
      <c r="H126" s="104" t="str">
        <f t="shared" ca="1" si="36"/>
        <v>2024</v>
      </c>
      <c r="I126" s="104" t="str">
        <f t="shared" ca="1" si="36"/>
        <v>2025</v>
      </c>
      <c r="J126" s="104" t="str">
        <f t="shared" ca="1" si="36"/>
        <v>2026</v>
      </c>
      <c r="K126" s="104" t="str">
        <f t="shared" ca="1" si="36"/>
        <v>2027</v>
      </c>
      <c r="L126" s="1"/>
      <c r="M126" s="309" t="str">
        <f>IF(xLanguage="French", "Convention de signe","Sign Convention")</f>
        <v>Convention de signe</v>
      </c>
      <c r="N126" s="78"/>
      <c r="O126" s="78"/>
      <c r="P126" s="78"/>
      <c r="Q126" s="78"/>
      <c r="R126" s="78"/>
      <c r="S126" s="49" t="s">
        <v>176</v>
      </c>
      <c r="T126" s="49" t="s">
        <v>156</v>
      </c>
      <c r="U126" s="78"/>
      <c r="V126" s="78"/>
      <c r="W126" s="78"/>
      <c r="X126" s="78"/>
      <c r="Y126" s="78"/>
      <c r="Z126" s="78"/>
      <c r="AA126" s="78"/>
      <c r="AB126" s="78"/>
    </row>
    <row r="127" spans="1:32" ht="18" customHeight="1">
      <c r="A127" s="93" t="s">
        <v>0</v>
      </c>
      <c r="B127" s="93"/>
      <c r="C127" s="145" t="str">
        <f ca="1">_xll.DBRA(Server&amp;$B$23,$A127,Context!$I$15)</f>
        <v>Produit des activités de fin. pour autrui (IFRIC12)</v>
      </c>
      <c r="D127" s="273">
        <f ca="1">_xll.DBRW(Server&amp;Cube1,Context!$I$13,Context!$T$6,Context!$I$11,'Plan Input'!$B$12,Context!$I$12,'Plan Input'!D$2,Context!$I$10,'Plan Input'!$A127)</f>
        <v>0</v>
      </c>
      <c r="E127" s="273">
        <f ca="1">_xll.DBRW(Server&amp;Cube1,Context!$I$13,Context!$T$6,Context!$I$11,'Plan Input'!$B$12,Context!$I$12,'Plan Input'!E$2,Context!$I$10,'Plan Input'!$A127)</f>
        <v>0</v>
      </c>
      <c r="F127" s="273">
        <f ca="1">_xll.DBRW(Server&amp;Cube1,Context!$I$13,Context!$T$6,Context!$I$11,'Plan Input'!$B$12,Context!$I$12,'Plan Input'!F$2,Context!$I$10,'Plan Input'!$A127)</f>
        <v>0</v>
      </c>
      <c r="G127" s="254">
        <v>10000</v>
      </c>
      <c r="H127" s="254">
        <v>10000</v>
      </c>
      <c r="I127" s="254">
        <v>10000</v>
      </c>
      <c r="J127" s="254">
        <v>10000</v>
      </c>
      <c r="K127" s="254">
        <v>10000</v>
      </c>
      <c r="L127" s="1"/>
      <c r="M127" s="311" t="s">
        <v>251</v>
      </c>
      <c r="N127" s="78"/>
      <c r="O127" s="78"/>
      <c r="P127" s="78"/>
      <c r="Q127" s="78"/>
      <c r="R127" s="78"/>
      <c r="S127" s="49" t="s">
        <v>195</v>
      </c>
      <c r="T127" s="49" t="s">
        <v>157</v>
      </c>
      <c r="U127" s="78"/>
      <c r="V127" s="78"/>
      <c r="W127" s="78"/>
      <c r="X127" s="78"/>
      <c r="Y127" s="78"/>
      <c r="Z127" s="78"/>
      <c r="AA127" s="78"/>
      <c r="AB127" s="78"/>
    </row>
    <row r="128" spans="1:32" ht="18" customHeight="1" thickBot="1">
      <c r="A128" s="93" t="s">
        <v>15</v>
      </c>
      <c r="B128" s="93"/>
      <c r="C128" s="108" t="str">
        <f ca="1">_xll.DBRA(Server&amp;$B$23,$A128,Context!$I$15)</f>
        <v>Nouveaux Actifs Financiers Opérationnels - IFRIC 12 impact EFN</v>
      </c>
      <c r="D128" s="223">
        <f ca="1">_xll.DBRW(Server&amp;Cube1,Context!$I$13,Context!$T$6,Context!$I$11,'Plan Input'!$B$12,Context!$I$12,'Plan Input'!D$2,Context!$I$10,'Plan Input'!$A128)</f>
        <v>0</v>
      </c>
      <c r="E128" s="223">
        <f ca="1">_xll.DBRW(Server&amp;Cube1,Context!$I$13,Context!$T$6,Context!$I$11,'Plan Input'!$B$12,Context!$I$12,'Plan Input'!E$2,Context!$I$10,'Plan Input'!$A128)</f>
        <v>0</v>
      </c>
      <c r="F128" s="223">
        <f ca="1">_xll.DBRW(Server&amp;Cube1,Context!$I$13,Context!$T$6,Context!$I$11,'Plan Input'!$B$12,Context!$I$12,'Plan Input'!F$2,Context!$I$10,'Plan Input'!$A128)</f>
        <v>0</v>
      </c>
      <c r="G128" s="255">
        <v>-5000</v>
      </c>
      <c r="H128" s="255">
        <v>-5000</v>
      </c>
      <c r="I128" s="255">
        <v>-5000</v>
      </c>
      <c r="J128" s="255">
        <v>-5000</v>
      </c>
      <c r="K128" s="255">
        <v>-5000</v>
      </c>
      <c r="L128" s="1"/>
      <c r="M128" s="311" t="s">
        <v>252</v>
      </c>
      <c r="N128" s="78"/>
      <c r="O128" s="78"/>
      <c r="P128" s="78"/>
      <c r="Q128" s="78"/>
      <c r="R128" s="78"/>
      <c r="S128" s="50" t="s">
        <v>196</v>
      </c>
      <c r="T128" s="49" t="s">
        <v>158</v>
      </c>
      <c r="U128" s="78"/>
      <c r="V128" s="78"/>
      <c r="W128" s="78"/>
      <c r="X128" s="78"/>
      <c r="Y128" s="78"/>
      <c r="Z128" s="78"/>
      <c r="AA128" s="78"/>
      <c r="AB128" s="78"/>
    </row>
    <row r="129" spans="1:28" ht="18" customHeight="1" thickBot="1">
      <c r="A129" s="93" t="s">
        <v>19</v>
      </c>
      <c r="B129" s="93"/>
      <c r="C129" s="146" t="str">
        <f ca="1">_xll.DBRA(Server&amp;$B$23,$A129,Context!$I$15)</f>
        <v>Remboursement Actifs Financiers Opérationnels - IFRIC 12 impact EFN</v>
      </c>
      <c r="D129" s="274">
        <f ca="1">_xll.DBRW(Server&amp;Cube1,Context!$I$13,Context!$T$6,Context!$I$11,'Plan Input'!$B$12,Context!$I$12,'Plan Input'!D$2,Context!$I$10,'Plan Input'!$A129)</f>
        <v>0</v>
      </c>
      <c r="E129" s="274">
        <f ca="1">_xll.DBRW(Server&amp;Cube1,Context!$I$13,Context!$T$6,Context!$I$11,'Plan Input'!$B$12,Context!$I$12,'Plan Input'!E$2,Context!$I$10,'Plan Input'!$A129)</f>
        <v>0</v>
      </c>
      <c r="F129" s="274">
        <f ca="1">_xll.DBRW(Server&amp;Cube1,Context!$I$13,Context!$T$6,Context!$I$11,'Plan Input'!$B$12,Context!$I$12,'Plan Input'!F$2,Context!$I$10,'Plan Input'!$A129)</f>
        <v>0</v>
      </c>
      <c r="G129" s="256">
        <v>200</v>
      </c>
      <c r="H129" s="256">
        <v>200</v>
      </c>
      <c r="I129" s="256">
        <v>200</v>
      </c>
      <c r="J129" s="256">
        <v>200</v>
      </c>
      <c r="K129" s="256">
        <v>200</v>
      </c>
      <c r="L129" s="1"/>
      <c r="M129" s="311" t="s">
        <v>251</v>
      </c>
      <c r="N129" s="78"/>
      <c r="O129" s="78"/>
      <c r="P129" s="78"/>
      <c r="Q129" s="78"/>
      <c r="R129" s="78"/>
      <c r="S129" s="95" t="s">
        <v>53</v>
      </c>
      <c r="T129" s="49" t="s">
        <v>159</v>
      </c>
      <c r="U129" s="78"/>
      <c r="V129" s="78"/>
      <c r="W129" s="78"/>
      <c r="X129" s="78"/>
      <c r="Y129" s="78"/>
      <c r="Z129" s="78"/>
      <c r="AA129" s="78"/>
      <c r="AB129" s="78"/>
    </row>
    <row r="130" spans="1:28" ht="4.5" customHeight="1">
      <c r="A130" s="228" t="str">
        <f ca="1">_xll.DBRW(Server&amp;Cube1,Context!$I$13,Context!$T$6,Context!$I$11,'Plan Input'!$B$12,Context!$I$12,'Plan Input'!A$2,Context!$I$10,'Plan Input'!$A130)</f>
        <v/>
      </c>
      <c r="B130" s="228"/>
      <c r="C130" s="228"/>
      <c r="D130" s="228" t="str">
        <f ca="1">_xll.DBRW(Server&amp;Cube1,Context!$I$13,Context!$T$6,Context!$I$11,'Plan Input'!$B$12,Context!$I$12,'Plan Input'!D$2,Context!$I$10,'Plan Input'!$A130)</f>
        <v/>
      </c>
      <c r="E130" s="228" t="str">
        <f ca="1">_xll.DBRW(Server&amp;Cube1,Context!$I$13,Context!$T$6,Context!$I$11,'Plan Input'!$B$12,Context!$I$12,'Plan Input'!E$2,Context!$I$10,'Plan Input'!$A130)</f>
        <v/>
      </c>
      <c r="F130" s="228" t="str">
        <f ca="1">_xll.DBRW(Server&amp;Cube1,Context!$I$13,Context!$T$6,Context!$I$11,'Plan Input'!$B$12,Context!$I$12,'Plan Input'!F$2,Context!$I$10,'Plan Input'!$A130)</f>
        <v/>
      </c>
      <c r="G130" s="228" t="str">
        <f ca="1">_xll.DBRW(Server&amp;Cube1,Context!$I$13,Context!$T$6,Context!$I$11,'Plan Input'!$B$12,Context!$I$12,'Plan Input'!G$2,Context!$I$10,'Plan Input'!$A130)</f>
        <v/>
      </c>
      <c r="H130" s="228" t="str">
        <f ca="1">_xll.DBRW(Server&amp;Cube1,Context!$I$13,Context!$T$6,Context!$I$11,'Plan Input'!$B$12,Context!$I$12,'Plan Input'!H$2,Context!$I$10,'Plan Input'!$A130)</f>
        <v/>
      </c>
      <c r="I130" s="228" t="str">
        <f ca="1">_xll.DBRW(Server&amp;Cube1,Context!$I$13,Context!$T$6,Context!$I$11,'Plan Input'!$B$12,Context!$I$12,'Plan Input'!I$2,Context!$I$10,'Plan Input'!$A130)</f>
        <v/>
      </c>
      <c r="J130" s="228" t="str">
        <f ca="1">_xll.DBRW(Server&amp;Cube1,Context!$I$13,Context!$T$6,Context!$I$11,'Plan Input'!$B$12,Context!$I$12,'Plan Input'!J$2,Context!$I$10,'Plan Input'!$A130)</f>
        <v/>
      </c>
      <c r="K130" s="228" t="str">
        <f ca="1">_xll.DBRW(Server&amp;Cube1,Context!$I$13,Context!$T$6,Context!$I$11,'Plan Input'!$B$12,Context!$I$12,'Plan Input'!K$2,Context!$I$10,'Plan Input'!$A130)</f>
        <v/>
      </c>
      <c r="L130" s="228" t="str">
        <f ca="1">_xll.DBRW(Server&amp;Cube1,Context!$I$13,Context!$T$6,Context!$I$11,'Plan Input'!$B$12,Context!$I$12,'Plan Input'!L$2,Context!$I$10,'Plan Input'!$A130)</f>
        <v/>
      </c>
      <c r="M130" s="312"/>
      <c r="N130" s="78"/>
      <c r="O130" s="78"/>
      <c r="P130" s="78"/>
      <c r="Q130" s="78"/>
      <c r="R130" s="78"/>
      <c r="S130" s="78"/>
      <c r="T130" s="49" t="s">
        <v>160</v>
      </c>
      <c r="U130" s="78"/>
      <c r="V130" s="78"/>
      <c r="W130" s="78"/>
      <c r="X130" s="78"/>
      <c r="Y130" s="78"/>
      <c r="Z130" s="78"/>
      <c r="AA130" s="78"/>
      <c r="AB130" s="78"/>
    </row>
    <row r="131" spans="1:28" ht="9" customHeight="1">
      <c r="A131" s="228"/>
      <c r="B131" s="228"/>
      <c r="C131" s="228"/>
      <c r="D131" s="228" t="str">
        <f ca="1">_xll.DBRW(Server&amp;Cube1,Context!$I$13,Context!$T$6,Context!$I$11,'Plan Input'!$B$12,Context!$I$12,'Plan Input'!D$2,Context!$I$10,'Plan Input'!$A131)</f>
        <v/>
      </c>
      <c r="E131" s="228" t="str">
        <f ca="1">_xll.DBRW(Server&amp;Cube1,Context!$I$13,Context!$T$6,Context!$I$11,'Plan Input'!$B$12,Context!$I$12,'Plan Input'!E$2,Context!$I$10,'Plan Input'!$A131)</f>
        <v/>
      </c>
      <c r="F131" s="228" t="str">
        <f ca="1">_xll.DBRW(Server&amp;Cube1,Context!$I$13,Context!$T$6,Context!$I$11,'Plan Input'!$B$12,Context!$I$12,'Plan Input'!F$2,Context!$I$10,'Plan Input'!$A131)</f>
        <v/>
      </c>
      <c r="G131" s="228" t="str">
        <f ca="1">_xll.DBRW(Server&amp;Cube1,Context!$I$13,Context!$T$6,Context!$I$11,'Plan Input'!$B$12,Context!$I$12,'Plan Input'!G$2,Context!$I$10,'Plan Input'!$A131)</f>
        <v/>
      </c>
      <c r="H131" s="228" t="str">
        <f ca="1">_xll.DBRW(Server&amp;Cube1,Context!$I$13,Context!$T$6,Context!$I$11,'Plan Input'!$B$12,Context!$I$12,'Plan Input'!H$2,Context!$I$10,'Plan Input'!$A131)</f>
        <v/>
      </c>
      <c r="I131" s="228" t="str">
        <f ca="1">_xll.DBRW(Server&amp;Cube1,Context!$I$13,Context!$T$6,Context!$I$11,'Plan Input'!$B$12,Context!$I$12,'Plan Input'!I$2,Context!$I$10,'Plan Input'!$A131)</f>
        <v/>
      </c>
      <c r="J131" s="228" t="str">
        <f ca="1">_xll.DBRW(Server&amp;Cube1,Context!$I$13,Context!$T$6,Context!$I$11,'Plan Input'!$B$12,Context!$I$12,'Plan Input'!J$2,Context!$I$10,'Plan Input'!$A131)</f>
        <v/>
      </c>
      <c r="K131" s="228" t="str">
        <f ca="1">_xll.DBRW(Server&amp;Cube1,Context!$I$13,Context!$T$6,Context!$I$11,'Plan Input'!$B$12,Context!$I$12,'Plan Input'!K$2,Context!$I$10,'Plan Input'!$A131)</f>
        <v/>
      </c>
      <c r="L131" s="228" t="str">
        <f ca="1">_xll.DBRW(Server&amp;Cube1,Context!$I$13,Context!$T$6,Context!$I$11,'Plan Input'!$B$12,Context!$I$12,'Plan Input'!L$2,Context!$I$10,'Plan Input'!$A131)</f>
        <v/>
      </c>
      <c r="M131" s="312"/>
      <c r="N131" s="78"/>
      <c r="O131" s="78"/>
      <c r="P131" s="78"/>
      <c r="Q131" s="78"/>
      <c r="R131" s="78"/>
      <c r="S131" s="78"/>
      <c r="T131" s="49" t="s">
        <v>160</v>
      </c>
      <c r="U131" s="78"/>
      <c r="V131" s="78"/>
      <c r="W131" s="78"/>
      <c r="X131" s="78"/>
      <c r="Y131" s="78"/>
      <c r="Z131" s="78"/>
      <c r="AA131" s="78"/>
      <c r="AB131" s="78"/>
    </row>
    <row r="132" spans="1:28" ht="18" customHeight="1">
      <c r="A132" s="228"/>
      <c r="B132" s="228"/>
      <c r="C132" s="259" t="str">
        <f ca="1">_xll.DBRA(Server&amp;$S$9,"IFRIC12_2",Context!$I$15)</f>
        <v/>
      </c>
      <c r="D132" s="228" t="str">
        <f ca="1">_xll.DBRW(Server&amp;Cube1,Context!$I$13,Context!$T$6,Context!$I$11,'Plan Input'!$B$12,Context!$I$12,'Plan Input'!D$2,Context!$I$10,'Plan Input'!$A132)</f>
        <v/>
      </c>
      <c r="E132" s="228" t="str">
        <f ca="1">_xll.DBRW(Server&amp;Cube1,Context!$I$13,Context!$T$6,Context!$I$11,'Plan Input'!$B$12,Context!$I$12,'Plan Input'!E$2,Context!$I$10,'Plan Input'!$A132)</f>
        <v/>
      </c>
      <c r="F132" s="228" t="str">
        <f ca="1">_xll.DBRW(Server&amp;Cube1,Context!$I$13,Context!$T$6,Context!$I$11,'Plan Input'!$B$12,Context!$I$12,'Plan Input'!F$2,Context!$I$10,'Plan Input'!$A132)</f>
        <v/>
      </c>
      <c r="G132" s="228" t="str">
        <f ca="1">_xll.DBRW(Server&amp;Cube1,Context!$I$13,Context!$T$6,Context!$I$11,'Plan Input'!$B$12,Context!$I$12,'Plan Input'!G$2,Context!$I$10,'Plan Input'!$A132)</f>
        <v/>
      </c>
      <c r="H132" s="228" t="str">
        <f ca="1">_xll.DBRW(Server&amp;Cube1,Context!$I$13,Context!$T$6,Context!$I$11,'Plan Input'!$B$12,Context!$I$12,'Plan Input'!H$2,Context!$I$10,'Plan Input'!$A132)</f>
        <v/>
      </c>
      <c r="I132" s="228" t="str">
        <f ca="1">_xll.DBRW(Server&amp;Cube1,Context!$I$13,Context!$T$6,Context!$I$11,'Plan Input'!$B$12,Context!$I$12,'Plan Input'!I$2,Context!$I$10,'Plan Input'!$A132)</f>
        <v/>
      </c>
      <c r="J132" s="228" t="str">
        <f ca="1">_xll.DBRW(Server&amp;Cube1,Context!$I$13,Context!$T$6,Context!$I$11,'Plan Input'!$B$12,Context!$I$12,'Plan Input'!J$2,Context!$I$10,'Plan Input'!$A132)</f>
        <v/>
      </c>
      <c r="K132" s="228" t="str">
        <f ca="1">_xll.DBRW(Server&amp;Cube1,Context!$I$13,Context!$T$6,Context!$I$11,'Plan Input'!$B$12,Context!$I$12,'Plan Input'!K$2,Context!$I$10,'Plan Input'!$A132)</f>
        <v/>
      </c>
      <c r="L132" s="228" t="str">
        <f ca="1">_xll.DBRW(Server&amp;Cube1,Context!$I$13,Context!$T$6,Context!$I$11,'Plan Input'!$B$12,Context!$I$12,'Plan Input'!L$2,Context!$I$10,'Plan Input'!$A132)</f>
        <v/>
      </c>
      <c r="M132" s="312"/>
      <c r="N132" s="78"/>
      <c r="O132" s="78"/>
      <c r="P132" s="78"/>
      <c r="Q132" s="78"/>
      <c r="R132" s="78"/>
      <c r="S132" s="78"/>
      <c r="T132" s="49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198</v>
      </c>
      <c r="B133" s="93"/>
      <c r="C133" s="145" t="str">
        <f ca="1">_xll.DBRA(Server&amp;$B$23,$A133,Context!$I$15)</f>
        <v>Nouveaux Actifs Financiers Opérationnels - IFRIC 12 bifurqué IFRS16</v>
      </c>
      <c r="D133" s="273">
        <f ca="1">_xll.DBRW(Server&amp;Cube1,Context!$I$13,Context!$T$6,Context!$I$11,'Plan Input'!$B$12,Context!$I$12,'Plan Input'!D$2,Context!$I$10,'Plan Input'!$A133)</f>
        <v>0</v>
      </c>
      <c r="E133" s="273">
        <f ca="1">_xll.DBRW(Server&amp;Cube1,Context!$I$13,Context!$T$6,Context!$I$11,'Plan Input'!$B$12,Context!$I$12,'Plan Input'!E$2,Context!$I$10,'Plan Input'!$A133)</f>
        <v>0</v>
      </c>
      <c r="F133" s="273">
        <f ca="1">_xll.DBRW(Server&amp;Cube1,Context!$I$13,Context!$T$6,Context!$I$11,'Plan Input'!$B$12,Context!$I$12,'Plan Input'!F$2,Context!$I$10,'Plan Input'!$A133)</f>
        <v>0</v>
      </c>
      <c r="G133" s="254">
        <v>-4000</v>
      </c>
      <c r="H133" s="254">
        <v>-4000</v>
      </c>
      <c r="I133" s="254">
        <v>-4000</v>
      </c>
      <c r="J133" s="254">
        <v>-4000</v>
      </c>
      <c r="K133" s="254">
        <v>-4000</v>
      </c>
      <c r="L133" s="1"/>
      <c r="M133" s="311" t="s">
        <v>252</v>
      </c>
      <c r="N133" s="78"/>
      <c r="O133" s="78"/>
      <c r="P133" s="78"/>
      <c r="Q133" s="78"/>
      <c r="R133" s="78"/>
      <c r="S133" s="78"/>
      <c r="T133" s="49" t="s">
        <v>161</v>
      </c>
      <c r="U133" s="78"/>
      <c r="V133" s="78"/>
      <c r="W133" s="78"/>
      <c r="X133" s="78"/>
      <c r="Y133" s="78"/>
      <c r="Z133" s="78"/>
      <c r="AA133" s="78"/>
      <c r="AB133" s="78"/>
    </row>
    <row r="134" spans="1:28" ht="18" customHeight="1">
      <c r="A134" s="93" t="s">
        <v>199</v>
      </c>
      <c r="B134" s="93"/>
      <c r="C134" s="146" t="str">
        <f ca="1">_xll.DBRA(Server&amp;$B$23,$A134,Context!$I$15)</f>
        <v>Remboursement Actifs Financiers Opérationnels - IFRIC 12 bifurqué IFRS16</v>
      </c>
      <c r="D134" s="274">
        <f ca="1">_xll.DBRW(Server&amp;Cube1,Context!$I$13,Context!$T$6,Context!$I$11,'Plan Input'!$B$12,Context!$I$12,'Plan Input'!D$2,Context!$I$10,'Plan Input'!$A134)</f>
        <v>0</v>
      </c>
      <c r="E134" s="274">
        <f ca="1">_xll.DBRW(Server&amp;Cube1,Context!$I$13,Context!$T$6,Context!$I$11,'Plan Input'!$B$12,Context!$I$12,'Plan Input'!E$2,Context!$I$10,'Plan Input'!$A134)</f>
        <v>0</v>
      </c>
      <c r="F134" s="274">
        <f ca="1">_xll.DBRW(Server&amp;Cube1,Context!$I$13,Context!$T$6,Context!$I$11,'Plan Input'!$B$12,Context!$I$12,'Plan Input'!F$2,Context!$I$10,'Plan Input'!$A134)</f>
        <v>0</v>
      </c>
      <c r="G134" s="256">
        <v>300</v>
      </c>
      <c r="H134" s="256">
        <v>300</v>
      </c>
      <c r="I134" s="256">
        <v>300</v>
      </c>
      <c r="J134" s="256">
        <v>300</v>
      </c>
      <c r="K134" s="256">
        <v>300</v>
      </c>
      <c r="L134" s="1"/>
      <c r="M134" s="311" t="s">
        <v>251</v>
      </c>
      <c r="N134" s="78"/>
      <c r="O134" s="78"/>
      <c r="P134" s="78"/>
      <c r="Q134" s="78"/>
      <c r="R134" s="78"/>
      <c r="S134" s="78"/>
      <c r="T134" s="49" t="s">
        <v>162</v>
      </c>
      <c r="U134" s="78"/>
      <c r="V134" s="78"/>
      <c r="W134" s="78"/>
      <c r="X134" s="78"/>
      <c r="Y134" s="78"/>
      <c r="Z134" s="78"/>
      <c r="AA134" s="78"/>
      <c r="AB134" s="78"/>
    </row>
    <row r="135" spans="1:28" ht="4.5" customHeight="1">
      <c r="A135" s="228"/>
      <c r="B135" s="228"/>
      <c r="C135" s="228"/>
      <c r="D135" s="228" t="str">
        <f ca="1">_xll.DBRW(Server&amp;Cube1,Context!$I$13,Context!$T$6,Context!$I$11,'Plan Input'!$B$12,Context!$I$12,'Plan Input'!D$2,Context!$I$10,'Plan Input'!$A135)</f>
        <v/>
      </c>
      <c r="E135" s="228" t="str">
        <f ca="1">_xll.DBRW(Server&amp;Cube1,Context!$I$13,Context!$T$6,Context!$I$11,'Plan Input'!$B$12,Context!$I$12,'Plan Input'!E$2,Context!$I$10,'Plan Input'!$A135)</f>
        <v/>
      </c>
      <c r="F135" s="228" t="str">
        <f ca="1">_xll.DBRW(Server&amp;Cube1,Context!$I$13,Context!$T$6,Context!$I$11,'Plan Input'!$B$12,Context!$I$12,'Plan Input'!F$2,Context!$I$10,'Plan Input'!$A135)</f>
        <v/>
      </c>
      <c r="G135" s="228" t="str">
        <f ca="1">_xll.DBRW(Server&amp;Cube1,Context!$I$13,Context!$T$6,Context!$I$11,'Plan Input'!$B$12,Context!$I$12,'Plan Input'!G$2,Context!$I$10,'Plan Input'!$A135)</f>
        <v/>
      </c>
      <c r="H135" s="228" t="str">
        <f ca="1">_xll.DBRW(Server&amp;Cube1,Context!$I$13,Context!$T$6,Context!$I$11,'Plan Input'!$B$12,Context!$I$12,'Plan Input'!H$2,Context!$I$10,'Plan Input'!$A135)</f>
        <v/>
      </c>
      <c r="I135" s="228" t="str">
        <f ca="1">_xll.DBRW(Server&amp;Cube1,Context!$I$13,Context!$T$6,Context!$I$11,'Plan Input'!$B$12,Context!$I$12,'Plan Input'!I$2,Context!$I$10,'Plan Input'!$A135)</f>
        <v/>
      </c>
      <c r="J135" s="228" t="str">
        <f ca="1">_xll.DBRW(Server&amp;Cube1,Context!$I$13,Context!$T$6,Context!$I$11,'Plan Input'!$B$12,Context!$I$12,'Plan Input'!J$2,Context!$I$10,'Plan Input'!$A135)</f>
        <v/>
      </c>
      <c r="K135" s="228" t="str">
        <f ca="1">_xll.DBRW(Server&amp;Cube1,Context!$I$13,Context!$T$6,Context!$I$11,'Plan Input'!$B$12,Context!$I$12,'Plan Input'!K$2,Context!$I$10,'Plan Input'!$A135)</f>
        <v/>
      </c>
      <c r="L135" s="228" t="str">
        <f ca="1">_xll.DBRW(Server&amp;Cube1,Context!$I$13,Context!$T$6,Context!$I$11,'Plan Input'!$B$12,Context!$I$12,'Plan Input'!L$2,Context!$I$10,'Plan Input'!$A135)</f>
        <v/>
      </c>
      <c r="M135" s="313" t="str">
        <f ca="1">_xll.DBRW(Server&amp;Cube1,Context!$I$13,Context!$T$6,Context!$I$11,'Plan Input'!$B$12,Context!$I$12,'Plan Input'!M$2,Context!$I$10,'Plan Input'!$A135)</f>
        <v/>
      </c>
      <c r="N135" s="78"/>
      <c r="O135" s="78"/>
      <c r="P135" s="78"/>
      <c r="Q135" s="78"/>
      <c r="R135" s="78"/>
      <c r="S135" s="78"/>
      <c r="T135" s="59" t="s">
        <v>163</v>
      </c>
      <c r="U135" s="78"/>
      <c r="V135" s="78"/>
      <c r="W135" s="78"/>
      <c r="X135" s="78"/>
      <c r="Y135" s="78"/>
      <c r="Z135" s="78"/>
      <c r="AA135" s="78"/>
      <c r="AB135" s="78"/>
    </row>
    <row r="136" spans="1:28" ht="9" customHeight="1">
      <c r="A136" s="228"/>
      <c r="B136" s="228"/>
      <c r="C136" s="228"/>
      <c r="D136" s="228" t="str">
        <f ca="1">_xll.DBRW(Server&amp;Cube1,Context!$I$13,Context!$T$6,Context!$I$11,'Plan Input'!$B$12,Context!$I$12,'Plan Input'!D$2,Context!$I$10,'Plan Input'!$A136)</f>
        <v/>
      </c>
      <c r="E136" s="228" t="str">
        <f ca="1">_xll.DBRW(Server&amp;Cube1,Context!$I$13,Context!$T$6,Context!$I$11,'Plan Input'!$B$12,Context!$I$12,'Plan Input'!E$2,Context!$I$10,'Plan Input'!$A136)</f>
        <v/>
      </c>
      <c r="F136" s="228" t="str">
        <f ca="1">_xll.DBRW(Server&amp;Cube1,Context!$I$13,Context!$T$6,Context!$I$11,'Plan Input'!$B$12,Context!$I$12,'Plan Input'!F$2,Context!$I$10,'Plan Input'!$A136)</f>
        <v/>
      </c>
      <c r="G136" s="228" t="str">
        <f ca="1">_xll.DBRW(Server&amp;Cube1,Context!$I$13,Context!$T$6,Context!$I$11,'Plan Input'!$B$12,Context!$I$12,'Plan Input'!G$2,Context!$I$10,'Plan Input'!$A136)</f>
        <v/>
      </c>
      <c r="H136" s="228" t="str">
        <f ca="1">_xll.DBRW(Server&amp;Cube1,Context!$I$13,Context!$T$6,Context!$I$11,'Plan Input'!$B$12,Context!$I$12,'Plan Input'!H$2,Context!$I$10,'Plan Input'!$A136)</f>
        <v/>
      </c>
      <c r="I136" s="228" t="str">
        <f ca="1">_xll.DBRW(Server&amp;Cube1,Context!$I$13,Context!$T$6,Context!$I$11,'Plan Input'!$B$12,Context!$I$12,'Plan Input'!I$2,Context!$I$10,'Plan Input'!$A136)</f>
        <v/>
      </c>
      <c r="J136" s="228" t="str">
        <f ca="1">_xll.DBRW(Server&amp;Cube1,Context!$I$13,Context!$T$6,Context!$I$11,'Plan Input'!$B$12,Context!$I$12,'Plan Input'!J$2,Context!$I$10,'Plan Input'!$A136)</f>
        <v/>
      </c>
      <c r="K136" s="228" t="str">
        <f ca="1">_xll.DBRW(Server&amp;Cube1,Context!$I$13,Context!$T$6,Context!$I$11,'Plan Input'!$B$12,Context!$I$12,'Plan Input'!K$2,Context!$I$10,'Plan Input'!$A136)</f>
        <v/>
      </c>
      <c r="L136" s="228" t="str">
        <f ca="1">_xll.DBRW(Server&amp;Cube1,Context!$I$13,Context!$T$6,Context!$I$11,'Plan Input'!$B$12,Context!$I$12,'Plan Input'!L$2,Context!$I$10,'Plan Input'!$A136)</f>
        <v/>
      </c>
      <c r="M136" s="313" t="str">
        <f ca="1">_xll.DBRW(Server&amp;Cube1,Context!$I$13,Context!$T$6,Context!$I$11,'Plan Input'!$B$12,Context!$I$12,'Plan Input'!M$2,Context!$I$10,'Plan Input'!$A136)</f>
        <v/>
      </c>
      <c r="N136" s="78"/>
      <c r="O136" s="78"/>
      <c r="P136" s="78"/>
      <c r="Q136" s="78"/>
      <c r="R136" s="78"/>
      <c r="S136" s="78"/>
      <c r="T136" s="49" t="s">
        <v>164</v>
      </c>
      <c r="U136" s="78"/>
      <c r="V136" s="78"/>
      <c r="W136" s="78"/>
      <c r="X136" s="78"/>
      <c r="Y136" s="78"/>
      <c r="Z136" s="78"/>
      <c r="AA136" s="78"/>
      <c r="AB136" s="78"/>
    </row>
    <row r="137" spans="1:28" ht="18" customHeight="1">
      <c r="A137" s="228"/>
      <c r="B137" s="228"/>
      <c r="C137" s="259" t="str">
        <f ca="1">_xll.DBRA(Server&amp;$S$9,"IFRIC12_3",Context!$I$15)</f>
        <v/>
      </c>
      <c r="D137" s="228" t="str">
        <f ca="1">_xll.DBRW(Server&amp;Cube1,Context!$I$13,Context!$T$6,Context!$I$11,'Plan Input'!$B$12,Context!$I$12,'Plan Input'!D$2,Context!$I$10,'Plan Input'!$A137)</f>
        <v/>
      </c>
      <c r="E137" s="228" t="str">
        <f ca="1">_xll.DBRW(Server&amp;Cube1,Context!$I$13,Context!$T$6,Context!$I$11,'Plan Input'!$B$12,Context!$I$12,'Plan Input'!E$2,Context!$I$10,'Plan Input'!$A137)</f>
        <v/>
      </c>
      <c r="F137" s="228" t="str">
        <f ca="1">_xll.DBRW(Server&amp;Cube1,Context!$I$13,Context!$T$6,Context!$I$11,'Plan Input'!$B$12,Context!$I$12,'Plan Input'!F$2,Context!$I$10,'Plan Input'!$A137)</f>
        <v/>
      </c>
      <c r="G137" s="228" t="str">
        <f ca="1">_xll.DBRW(Server&amp;Cube1,Context!$I$13,Context!$T$6,Context!$I$11,'Plan Input'!$B$12,Context!$I$12,'Plan Input'!G$2,Context!$I$10,'Plan Input'!$A137)</f>
        <v/>
      </c>
      <c r="H137" s="228" t="str">
        <f ca="1">_xll.DBRW(Server&amp;Cube1,Context!$I$13,Context!$T$6,Context!$I$11,'Plan Input'!$B$12,Context!$I$12,'Plan Input'!H$2,Context!$I$10,'Plan Input'!$A137)</f>
        <v/>
      </c>
      <c r="I137" s="228" t="str">
        <f ca="1">_xll.DBRW(Server&amp;Cube1,Context!$I$13,Context!$T$6,Context!$I$11,'Plan Input'!$B$12,Context!$I$12,'Plan Input'!I$2,Context!$I$10,'Plan Input'!$A137)</f>
        <v/>
      </c>
      <c r="J137" s="228" t="str">
        <f ca="1">_xll.DBRW(Server&amp;Cube1,Context!$I$13,Context!$T$6,Context!$I$11,'Plan Input'!$B$12,Context!$I$12,'Plan Input'!J$2,Context!$I$10,'Plan Input'!$A137)</f>
        <v/>
      </c>
      <c r="K137" s="228" t="str">
        <f ca="1">_xll.DBRW(Server&amp;Cube1,Context!$I$13,Context!$T$6,Context!$I$11,'Plan Input'!$B$12,Context!$I$12,'Plan Input'!K$2,Context!$I$10,'Plan Input'!$A137)</f>
        <v/>
      </c>
      <c r="L137" s="228" t="str">
        <f ca="1">_xll.DBRW(Server&amp;Cube1,Context!$I$13,Context!$T$6,Context!$I$11,'Plan Input'!$B$12,Context!$I$12,'Plan Input'!L$2,Context!$I$10,'Plan Input'!$A137)</f>
        <v/>
      </c>
      <c r="M137" s="313" t="str">
        <f ca="1">_xll.DBRW(Server&amp;Cube1,Context!$I$13,Context!$T$6,Context!$I$11,'Plan Input'!$B$12,Context!$I$12,'Plan Input'!M$2,Context!$I$10,'Plan Input'!$A137)</f>
        <v/>
      </c>
      <c r="N137" s="78"/>
      <c r="O137" s="78"/>
      <c r="P137" s="78"/>
      <c r="Q137" s="78"/>
      <c r="R137" s="78"/>
      <c r="S137" s="78"/>
      <c r="T137" s="49" t="s">
        <v>165</v>
      </c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200</v>
      </c>
      <c r="B138" s="93"/>
      <c r="C138" s="145" t="str">
        <f ca="1">_xll.DBRA(Server&amp;$B$23,$A138,Context!$I$15)</f>
        <v>Nouveaux Actifs Financiers Opérationnels - IFRIC 12 Hors Bilan</v>
      </c>
      <c r="D138" s="273">
        <f ca="1">_xll.DBRW(Server&amp;Cube1,Context!$I$13,Context!$T$6,Context!$I$11,'Plan Input'!$B$12,Context!$I$12,'Plan Input'!D$2,Context!$I$10,'Plan Input'!$A138)</f>
        <v>0</v>
      </c>
      <c r="E138" s="273">
        <f ca="1">_xll.DBRW(Server&amp;Cube1,Context!$I$13,Context!$T$6,Context!$I$11,'Plan Input'!$B$12,Context!$I$12,'Plan Input'!E$2,Context!$I$10,'Plan Input'!$A138)</f>
        <v>0</v>
      </c>
      <c r="F138" s="273">
        <f ca="1">_xll.DBRW(Server&amp;Cube1,Context!$I$13,Context!$T$6,Context!$I$11,'Plan Input'!$B$12,Context!$I$12,'Plan Input'!F$2,Context!$I$10,'Plan Input'!$A138)</f>
        <v>0</v>
      </c>
      <c r="G138" s="254">
        <v>-6000</v>
      </c>
      <c r="H138" s="254">
        <v>-6000</v>
      </c>
      <c r="I138" s="254">
        <v>-6000</v>
      </c>
      <c r="J138" s="254">
        <v>-6000</v>
      </c>
      <c r="K138" s="254">
        <v>-6000</v>
      </c>
      <c r="L138" s="1"/>
      <c r="M138" s="311" t="s">
        <v>252</v>
      </c>
      <c r="N138" s="78"/>
      <c r="O138" s="78"/>
      <c r="P138" s="78"/>
      <c r="Q138" s="78"/>
      <c r="R138" s="78"/>
      <c r="S138" s="78"/>
      <c r="T138" s="49" t="s">
        <v>166</v>
      </c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201</v>
      </c>
      <c r="B139" s="93"/>
      <c r="C139" s="146" t="str">
        <f ca="1">_xll.DBRA(Server&amp;$B$23,$A139,Context!$I$15)</f>
        <v>Remboursement Actifs Financiers Opérationnels - IFRIC 12 Hors bilan</v>
      </c>
      <c r="D139" s="274">
        <f ca="1">_xll.DBRW(Server&amp;Cube1,Context!$I$13,Context!$T$6,Context!$I$11,'Plan Input'!$B$12,Context!$I$12,'Plan Input'!D$2,Context!$I$10,'Plan Input'!$A139)</f>
        <v>0</v>
      </c>
      <c r="E139" s="274">
        <f ca="1">_xll.DBRW(Server&amp;Cube1,Context!$I$13,Context!$T$6,Context!$I$11,'Plan Input'!$B$12,Context!$I$12,'Plan Input'!E$2,Context!$I$10,'Plan Input'!$A139)</f>
        <v>0</v>
      </c>
      <c r="F139" s="274">
        <f ca="1">_xll.DBRW(Server&amp;Cube1,Context!$I$13,Context!$T$6,Context!$I$11,'Plan Input'!$B$12,Context!$I$12,'Plan Input'!F$2,Context!$I$10,'Plan Input'!$A139)</f>
        <v>0</v>
      </c>
      <c r="G139" s="256">
        <v>400</v>
      </c>
      <c r="H139" s="256">
        <v>400</v>
      </c>
      <c r="I139" s="256">
        <v>400</v>
      </c>
      <c r="J139" s="256">
        <v>400</v>
      </c>
      <c r="K139" s="256">
        <v>400</v>
      </c>
      <c r="L139" s="1"/>
      <c r="M139" s="311" t="s">
        <v>251</v>
      </c>
      <c r="N139" s="78"/>
      <c r="O139" s="78"/>
      <c r="P139" s="78"/>
      <c r="Q139" s="78"/>
      <c r="R139" s="78"/>
      <c r="S139" s="78"/>
      <c r="T139" s="49" t="s">
        <v>52</v>
      </c>
      <c r="U139" s="78"/>
      <c r="V139" s="78"/>
      <c r="W139" s="78"/>
      <c r="X139" s="78"/>
      <c r="Y139" s="78"/>
      <c r="Z139" s="78"/>
      <c r="AA139" s="78"/>
      <c r="AB139" s="78"/>
    </row>
    <row r="140" spans="1:28" ht="6" customHeight="1">
      <c r="A140" s="228"/>
      <c r="B140" s="228"/>
      <c r="C140" s="228"/>
      <c r="D140" s="228"/>
      <c r="E140" s="228"/>
      <c r="F140" s="228"/>
      <c r="G140" s="228"/>
      <c r="H140" s="228"/>
      <c r="I140" s="228"/>
      <c r="J140" s="228"/>
      <c r="K140" s="228"/>
      <c r="L140" s="228"/>
      <c r="M140" s="310"/>
      <c r="N140" s="78"/>
      <c r="O140" s="78"/>
      <c r="P140" s="78"/>
      <c r="Q140" s="78"/>
      <c r="R140" s="78"/>
      <c r="S140" s="78"/>
      <c r="T140" s="49" t="s">
        <v>167</v>
      </c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228"/>
      <c r="B141" s="228"/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49" t="s">
        <v>168</v>
      </c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228"/>
      <c r="B142" s="228"/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49" t="s">
        <v>169</v>
      </c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228"/>
      <c r="B143" s="228"/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49" t="s">
        <v>170</v>
      </c>
      <c r="U143" s="78"/>
      <c r="V143" s="78"/>
      <c r="W143" s="78"/>
      <c r="X143" s="78"/>
      <c r="Y143" s="78"/>
      <c r="Z143" s="78"/>
      <c r="AA143" s="78"/>
      <c r="AB143" s="78"/>
    </row>
    <row r="144" spans="1:28" ht="6" customHeight="1">
      <c r="A144" s="228"/>
      <c r="B144" s="228"/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49" t="s">
        <v>171</v>
      </c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>
      <c r="A145" s="228"/>
      <c r="B145" s="228"/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49" t="s">
        <v>172</v>
      </c>
      <c r="U145" s="78"/>
      <c r="V145" s="78"/>
      <c r="W145" s="78"/>
      <c r="X145" s="78"/>
      <c r="Y145" s="78"/>
      <c r="Z145" s="78"/>
      <c r="AA145" s="78"/>
      <c r="AB145" s="78"/>
    </row>
    <row r="146" spans="1:28" ht="6" customHeight="1">
      <c r="A146" s="228"/>
      <c r="B146" s="228"/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49" t="s">
        <v>173</v>
      </c>
      <c r="U146" s="78"/>
      <c r="V146" s="78"/>
      <c r="W146" s="78"/>
      <c r="X146" s="78"/>
      <c r="Y146" s="78"/>
      <c r="Z146" s="78"/>
      <c r="AA146" s="78"/>
      <c r="AB146" s="78"/>
    </row>
    <row r="147" spans="1:28" ht="15.75">
      <c r="A147" s="228"/>
      <c r="B147" s="228"/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49" t="s">
        <v>174</v>
      </c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228"/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228"/>
      <c r="B149" s="228"/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8" customHeight="1">
      <c r="A150" s="228"/>
      <c r="B150" s="228"/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8" customHeight="1">
      <c r="A151" s="228"/>
      <c r="B151" s="228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228"/>
      <c r="B152" s="228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18" customHeight="1">
      <c r="A153" s="228"/>
      <c r="B153" s="228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228"/>
      <c r="B154" s="228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18" customHeight="1">
      <c r="A155" s="228"/>
      <c r="B155" s="228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8" customHeight="1">
      <c r="A156" s="228"/>
      <c r="B156" s="228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 collapsed="1">
      <c r="A157" s="228"/>
      <c r="B157" s="228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228"/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228"/>
      <c r="B159" s="228"/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5.75">
      <c r="A160" s="228"/>
      <c r="B160" s="228"/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5.75" hidden="1" customHeight="1" outlineLevel="1">
      <c r="A161" s="228"/>
      <c r="B161" s="228"/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5.75" hidden="1" customHeight="1" outlineLevel="1">
      <c r="A162" s="228"/>
      <c r="B162" s="228"/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1.25" customHeight="1" collapsed="1">
      <c r="A163" s="228"/>
      <c r="B163" s="228"/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228"/>
      <c r="B164" s="228"/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6" customHeight="1">
      <c r="A165" s="228"/>
      <c r="B165" s="228"/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18" customHeight="1">
      <c r="A166" s="228"/>
      <c r="B166" s="228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6" customHeight="1">
      <c r="A167" s="228"/>
      <c r="B167" s="228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15.75">
      <c r="A168" s="228"/>
      <c r="B168" s="228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hidden="1" customHeight="1">
      <c r="A169" s="228"/>
      <c r="B169" s="228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18" hidden="1" customHeight="1">
      <c r="A170" s="228"/>
      <c r="B170" s="228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228"/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18" customHeight="1">
      <c r="A172" s="228"/>
      <c r="B172" s="228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18" customHeight="1">
      <c r="A173" s="228"/>
      <c r="B173" s="228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18" customHeight="1" collapsed="1">
      <c r="A174" s="228"/>
      <c r="B174" s="228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228"/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228"/>
      <c r="B176" s="228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8" ht="18" customHeight="1">
      <c r="A177" s="228"/>
      <c r="B177" s="228"/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8" ht="6" customHeight="1">
      <c r="A178" s="228"/>
      <c r="B178" s="228"/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8" ht="18" customHeight="1">
      <c r="A179" s="228"/>
      <c r="B179" s="228"/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8" ht="6" customHeight="1">
      <c r="A180" s="228"/>
      <c r="B180" s="228"/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8" ht="18" customHeight="1">
      <c r="A181" s="228"/>
      <c r="B181" s="228"/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8" ht="6" customHeight="1">
      <c r="A182" s="228"/>
      <c r="B182" s="228"/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8" ht="18" customHeight="1">
      <c r="A183" s="228"/>
      <c r="B183" s="228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8" ht="52.5" customHeight="1">
      <c r="A184" s="228"/>
      <c r="B184" s="228"/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</sheetData>
  <sheetProtection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/>
    <hyperlink ref="G20" location="'Operating Lease'!A1" display="'Operating Lease'!A1"/>
    <hyperlink ref="I11" location="Capex!A1" display="Capex"/>
    <hyperlink ref="H12" location="'Operating Lease'!A1" display="'Operating Lease'!A1"/>
    <hyperlink ref="G12" location="'Operating Lease'!A1" display="'Operating Lease'!A1"/>
    <hyperlink ref="I10" location="Context!A1" display="Context!A1"/>
    <hyperlink ref="H11" location="Capex!A1" display="Capex"/>
    <hyperlink ref="G11" location="'Operating Lease'!A1" display="'Operating Lease'!A1"/>
    <hyperlink ref="G18" location="'Operating Lease'!A1" display="'Operating Lease'!A1"/>
    <hyperlink ref="H10" location="Context!A1" display="Context!A1"/>
    <hyperlink ref="G10" location="'Operating Lease'!A1" display="'Operating Lease'!A1"/>
    <hyperlink ref="G17" location="'Operating Lease'!A1" display="'Operating Lease'!A1"/>
    <hyperlink ref="H7" location="Context!A1" display="Context!A1"/>
    <hyperlink ref="I7" location="Context!A1" display="Context!A1"/>
    <hyperlink ref="I6" location="Context!A1" display="Context!A1"/>
    <hyperlink ref="H6" location="Context!A1" display="Context!A1"/>
    <hyperlink ref="G16" location="'Operating Lease'!A1" display="'Operating Lease'!A1"/>
    <hyperlink ref="J7" location="Capex!A1" display="Capex"/>
    <hyperlink ref="J3" location="Context!A1" display="Context!A1"/>
    <hyperlink ref="I3" location="Context!A1" display="Context!A1"/>
    <hyperlink ref="H16" location="'Operating Lease'!A1" display="'Operating Lease'!A1"/>
    <hyperlink ref="C2" location="Context!A1" display="Context!A1"/>
    <hyperlink ref="C7" location="'Operating Lease'!A1" display="'Operating Lease'!A1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4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123825</xdr:colOff>
                    <xdr:row>35</xdr:row>
                    <xdr:rowOff>219075</xdr:rowOff>
                  </from>
                  <to>
                    <xdr:col>12</xdr:col>
                    <xdr:colOff>19050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5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123825</xdr:colOff>
                    <xdr:row>41</xdr:row>
                    <xdr:rowOff>9525</xdr:rowOff>
                  </from>
                  <to>
                    <xdr:col>12</xdr:col>
                    <xdr:colOff>19050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6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123825</xdr:colOff>
                    <xdr:row>83</xdr:row>
                    <xdr:rowOff>114300</xdr:rowOff>
                  </from>
                  <to>
                    <xdr:col>12</xdr:col>
                    <xdr:colOff>19050</xdr:colOff>
                    <xdr:row>85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AT216"/>
  <sheetViews>
    <sheetView showGridLines="0" topLeftCell="E25" zoomScale="55" zoomScaleNormal="55" zoomScalePageLayoutView="40" workbookViewId="0">
      <selection activeCell="M38" sqref="M38"/>
    </sheetView>
  </sheetViews>
  <sheetFormatPr baseColWidth="10" defaultColWidth="11.42578125" defaultRowHeight="18" customHeight="1"/>
  <cols>
    <col min="1" max="1" width="34" style="139" customWidth="1"/>
    <col min="2" max="2" width="52.42578125" style="139" customWidth="1"/>
    <col min="3" max="3" width="34" style="79" customWidth="1"/>
    <col min="4" max="11" width="20" style="1" customWidth="1"/>
    <col min="12" max="12" width="16.140625" style="2" customWidth="1"/>
    <col min="13" max="13" width="46" style="2" customWidth="1"/>
    <col min="14" max="14" width="16.42578125" style="2" customWidth="1"/>
    <col min="15" max="15" width="3.5703125" style="2" customWidth="1"/>
    <col min="16" max="16" width="5.140625" style="2" customWidth="1"/>
    <col min="17" max="17" width="3.5703125" style="2" customWidth="1"/>
    <col min="18" max="18" width="3.85546875" style="2" customWidth="1"/>
    <col min="19" max="19" width="60.42578125" style="2" customWidth="1"/>
    <col min="20" max="28" width="9" style="2" customWidth="1"/>
    <col min="29" max="30" width="10.140625" style="1" customWidth="1"/>
    <col min="31" max="40" width="6.5703125" style="1" customWidth="1"/>
    <col min="41" max="41" width="6.42578125" style="1" customWidth="1"/>
    <col min="42" max="42" width="6.42578125" style="85" customWidth="1"/>
    <col min="43" max="16384" width="11.42578125" style="1"/>
  </cols>
  <sheetData>
    <row r="1" spans="1:46" ht="28.5" customHeight="1">
      <c r="A1" s="93"/>
      <c r="B1" s="93"/>
      <c r="C1" s="19"/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46" ht="25.5" customHeight="1">
      <c r="A2" s="93"/>
      <c r="B2" s="93"/>
      <c r="C2" s="19"/>
      <c r="D2" s="20"/>
      <c r="E2" s="20"/>
      <c r="F2" s="20"/>
      <c r="G2" s="20"/>
      <c r="H2" s="20"/>
      <c r="I2" s="20"/>
      <c r="J2" s="20"/>
      <c r="K2" s="20"/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46" ht="33" customHeight="1">
      <c r="A3" s="93"/>
      <c r="B3" s="93"/>
      <c r="C3" s="19"/>
      <c r="D3" s="20"/>
      <c r="E3" s="20"/>
      <c r="F3" s="20"/>
      <c r="G3" s="20"/>
      <c r="H3" s="20"/>
      <c r="I3" s="20"/>
      <c r="J3" s="20"/>
      <c r="K3" s="20"/>
      <c r="L3" s="1"/>
      <c r="M3" s="1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46" ht="33" customHeight="1">
      <c r="A4" s="93"/>
      <c r="B4" s="93"/>
      <c r="C4" s="19"/>
      <c r="D4" s="20"/>
      <c r="E4" s="20"/>
      <c r="F4" s="20"/>
      <c r="G4" s="20"/>
      <c r="H4" s="20"/>
      <c r="I4" s="20"/>
      <c r="J4" s="20"/>
      <c r="K4" s="20"/>
      <c r="L4" s="1"/>
      <c r="M4" s="1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46" ht="33" customHeight="1">
      <c r="A5" s="93"/>
      <c r="B5" s="93"/>
      <c r="C5" s="19"/>
      <c r="D5" s="20"/>
      <c r="E5" s="20"/>
      <c r="F5" s="20"/>
      <c r="G5" s="20"/>
      <c r="H5" s="20"/>
      <c r="I5" s="20"/>
      <c r="J5" s="20"/>
      <c r="K5" s="20"/>
      <c r="L5" s="1"/>
      <c r="M5" s="1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46" ht="33" customHeight="1">
      <c r="A6" s="93"/>
      <c r="B6" s="93"/>
      <c r="C6" s="19"/>
      <c r="D6" s="20"/>
      <c r="E6" s="20"/>
      <c r="F6" s="20"/>
      <c r="G6" s="20"/>
      <c r="H6" s="20"/>
      <c r="I6" s="20"/>
      <c r="J6" s="20"/>
      <c r="K6" s="20"/>
      <c r="L6" s="1"/>
      <c r="M6" s="1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46" ht="18" customHeight="1">
      <c r="A7" s="93"/>
      <c r="B7" s="93"/>
      <c r="L7" s="1"/>
      <c r="M7" s="1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46" ht="56.25" customHeight="1">
      <c r="A8" s="93"/>
      <c r="B8" s="93"/>
      <c r="C8" s="88"/>
      <c r="D8" s="343"/>
      <c r="E8" s="343"/>
      <c r="F8" s="343"/>
      <c r="G8" s="88"/>
      <c r="H8" s="88"/>
      <c r="I8" s="344"/>
      <c r="J8" s="344"/>
      <c r="K8" s="88"/>
      <c r="L8" s="1"/>
      <c r="M8" s="1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46" ht="35.25" customHeight="1">
      <c r="A9" s="93"/>
      <c r="B9" s="93"/>
      <c r="C9" s="89"/>
      <c r="D9" s="89"/>
      <c r="E9" s="89"/>
      <c r="F9" s="89"/>
      <c r="G9" s="89"/>
      <c r="H9" s="89"/>
      <c r="I9" s="344"/>
      <c r="J9" s="344"/>
      <c r="K9" s="89"/>
      <c r="L9" s="1"/>
      <c r="M9" s="1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46" ht="18" customHeigh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L10" s="1"/>
      <c r="M10" s="1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</row>
    <row r="11" spans="1:46" s="83" customFormat="1" ht="18.75" customHeight="1">
      <c r="A11" s="93"/>
      <c r="B11" s="93"/>
      <c r="D11" s="84"/>
      <c r="L11" s="1"/>
      <c r="M11" s="1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</row>
    <row r="12" spans="1:46" ht="18" customHeight="1">
      <c r="A12" s="121" t="s">
        <v>56</v>
      </c>
      <c r="B12" s="127" t="s">
        <v>99</v>
      </c>
      <c r="C12" s="81"/>
      <c r="D12" s="80"/>
      <c r="E12" s="82"/>
      <c r="F12" s="82"/>
      <c r="G12" s="82"/>
      <c r="H12" s="82"/>
      <c r="I12" s="82"/>
      <c r="J12" s="82"/>
      <c r="K12" s="82"/>
      <c r="L12" s="1"/>
      <c r="M12" s="1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</row>
    <row r="13" spans="1:46" ht="25.5" customHeight="1">
      <c r="A13" s="93"/>
      <c r="B13" s="93"/>
      <c r="C13" s="81"/>
      <c r="D13" s="80"/>
      <c r="E13" s="82"/>
      <c r="F13" s="82"/>
      <c r="G13" s="82"/>
      <c r="H13" s="82"/>
      <c r="I13" s="87"/>
      <c r="J13" s="345"/>
      <c r="K13" s="345"/>
      <c r="L13" s="1"/>
      <c r="M13" s="1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</row>
    <row r="14" spans="1:46" ht="25.5" customHeight="1">
      <c r="A14" s="93"/>
      <c r="B14" s="93"/>
      <c r="C14" s="81"/>
      <c r="D14" s="80"/>
      <c r="E14" s="82"/>
      <c r="F14" s="82"/>
      <c r="G14" s="82"/>
      <c r="H14" s="82"/>
      <c r="I14" s="87"/>
      <c r="J14" s="345"/>
      <c r="K14" s="345"/>
      <c r="L14" s="1"/>
      <c r="M14" s="1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</row>
    <row r="15" spans="1:46" ht="25.5" customHeight="1">
      <c r="A15" s="93"/>
      <c r="B15" s="93"/>
      <c r="C15" s="81"/>
      <c r="D15" s="80"/>
      <c r="E15" s="82"/>
      <c r="F15" s="82"/>
      <c r="G15" s="82"/>
      <c r="H15" s="82"/>
      <c r="J15" s="82"/>
      <c r="L15" s="1"/>
      <c r="M15" s="1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</row>
    <row r="16" spans="1:46" s="83" customFormat="1" ht="18.75" customHeight="1">
      <c r="A16" s="93"/>
      <c r="B16" s="93"/>
      <c r="D16" s="84"/>
      <c r="L16" s="1"/>
      <c r="M16" s="1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18.75" customHeight="1" thickBot="1">
      <c r="A17" s="93"/>
      <c r="B17" s="93"/>
      <c r="D17" s="84"/>
      <c r="L17" s="1"/>
      <c r="M17" s="1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15.75">
      <c r="A18" s="93"/>
      <c r="B18" s="93"/>
      <c r="D18" s="346"/>
      <c r="E18" s="346"/>
      <c r="F18" s="346"/>
      <c r="G18" s="346"/>
      <c r="H18" s="346"/>
      <c r="I18" s="346"/>
      <c r="J18" s="346"/>
      <c r="K18" s="346"/>
      <c r="L18" s="1"/>
      <c r="M18" s="1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>
      <c r="A19" s="93"/>
      <c r="B19" s="93"/>
      <c r="D19" s="347"/>
      <c r="E19" s="347"/>
      <c r="F19" s="347"/>
      <c r="G19" s="347"/>
      <c r="H19" s="347"/>
      <c r="I19" s="347"/>
      <c r="J19" s="347"/>
      <c r="K19" s="347"/>
      <c r="L19" s="1"/>
      <c r="M19" s="1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>
      <c r="A20" s="93"/>
      <c r="B20" s="93"/>
      <c r="D20" s="341"/>
      <c r="E20" s="341"/>
      <c r="F20" s="341"/>
      <c r="G20" s="341"/>
      <c r="H20" s="341"/>
      <c r="I20" s="341"/>
      <c r="J20" s="341"/>
      <c r="K20" s="341"/>
      <c r="L20" s="1"/>
      <c r="M20" s="1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42"/>
      <c r="E21" s="342"/>
      <c r="F21" s="342"/>
      <c r="G21" s="342"/>
      <c r="H21" s="342"/>
      <c r="I21" s="342"/>
      <c r="J21" s="342"/>
      <c r="K21" s="342"/>
      <c r="L21" s="1"/>
      <c r="M21" s="1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ht="21" customHeight="1" thickTop="1">
      <c r="A22" s="93"/>
      <c r="B22" s="93"/>
      <c r="C22" s="81"/>
      <c r="D22" s="80"/>
      <c r="E22" s="82"/>
      <c r="F22" s="82"/>
      <c r="G22" s="82"/>
      <c r="H22" s="82"/>
      <c r="I22" s="82"/>
      <c r="J22" s="82"/>
      <c r="K22" s="82"/>
      <c r="L22" s="1"/>
      <c r="M22" s="1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</row>
    <row r="23" spans="1:28" ht="23.25" customHeight="1">
      <c r="A23" s="93"/>
      <c r="B23" s="121" t="s">
        <v>107</v>
      </c>
      <c r="C23" s="278"/>
      <c r="D23" s="3"/>
      <c r="E23" s="138"/>
      <c r="F23" s="138"/>
      <c r="G23" s="138"/>
      <c r="H23" s="138"/>
      <c r="I23" s="138"/>
      <c r="J23" s="138"/>
      <c r="K23" s="138"/>
      <c r="L23" s="1"/>
      <c r="M23" s="1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9" customHeight="1">
      <c r="A24" s="93"/>
      <c r="B24" s="93"/>
      <c r="C24" s="94"/>
      <c r="D24" s="135"/>
      <c r="E24" s="135"/>
      <c r="F24" s="135"/>
      <c r="G24" s="135"/>
      <c r="H24" s="135"/>
      <c r="I24" s="135"/>
      <c r="J24" s="135"/>
      <c r="K24" s="135"/>
      <c r="L24" s="1"/>
      <c r="M24" s="1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93" t="s">
        <v>58</v>
      </c>
      <c r="B25" s="93" t="s">
        <v>58</v>
      </c>
      <c r="C25" s="217"/>
      <c r="D25" s="223"/>
      <c r="E25" s="223"/>
      <c r="F25" s="223"/>
      <c r="G25" s="224" t="str">
        <f ca="1">IF(Flag_Send_Data=1,_xll.DBSW('Plan Input'!G25*1000,Server&amp;Cube1,Context!$I$13,Context!$T$5,Context!$I$11,'Plan Input'!$B$12,Context!$I$12,'Plan Input'!G$2,Context!$I$10,'Plan Input'!$A25),"")</f>
        <v/>
      </c>
      <c r="H25" s="224" t="str">
        <f ca="1">IF(Flag_Send_Data=1,_xll.DBSW('Plan Input'!H25*1000,Server&amp;Cube1,Context!$I$13,Context!$T$5,Context!$I$11,'Plan Input'!$B$12,Context!$I$12,'Plan Input'!H$2,Context!$I$10,'Plan Input'!$A25),"")</f>
        <v/>
      </c>
      <c r="I25" s="224" t="str">
        <f ca="1">IF(Flag_Send_Data=1,_xll.DBSW('Plan Input'!I25*1000,Server&amp;Cube1,Context!$I$13,Context!$T$5,Context!$I$11,'Plan Input'!$B$12,Context!$I$12,'Plan Input'!I$2,Context!$I$10,'Plan Input'!$A25),"")</f>
        <v/>
      </c>
      <c r="J25" s="224" t="str">
        <f ca="1">IF(Flag_Send_Data=1,_xll.DBSW('Plan Input'!J25*1000,Server&amp;Cube1,Context!$I$13,Context!$T$5,Context!$I$11,'Plan Input'!$B$12,Context!$I$12,'Plan Input'!J$2,Context!$I$10,'Plan Input'!$A25),"")</f>
        <v/>
      </c>
      <c r="K25" s="224" t="str">
        <f ca="1"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93"/>
      <c r="B26" s="93"/>
      <c r="C26" s="218"/>
      <c r="D26" s="225"/>
      <c r="E26" s="225"/>
      <c r="F26" s="225"/>
      <c r="G26" s="226"/>
      <c r="H26" s="226"/>
      <c r="I26" s="226"/>
      <c r="J26" s="226"/>
      <c r="K26" s="226"/>
      <c r="L26" s="1"/>
      <c r="M26" s="1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93"/>
      <c r="B27" s="93"/>
      <c r="C27" s="148"/>
      <c r="D27" s="227"/>
      <c r="E27" s="227"/>
      <c r="F27" s="227"/>
      <c r="G27" s="227"/>
      <c r="H27" s="227"/>
      <c r="I27" s="227"/>
      <c r="J27" s="227"/>
      <c r="K27" s="227"/>
      <c r="L27" s="1"/>
      <c r="M27" s="1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18" customHeight="1">
      <c r="A28" s="93"/>
      <c r="B28" s="93"/>
      <c r="C28" s="219"/>
      <c r="D28" s="228"/>
      <c r="E28" s="228"/>
      <c r="F28" s="228"/>
      <c r="G28" s="228"/>
      <c r="H28" s="228"/>
      <c r="I28" s="228"/>
      <c r="J28" s="228"/>
      <c r="K28" s="228"/>
      <c r="L28" s="1"/>
      <c r="M28" s="1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" customHeight="1">
      <c r="A29" s="93"/>
      <c r="B29" s="93"/>
      <c r="C29" s="220"/>
      <c r="D29" s="229"/>
      <c r="E29" s="229"/>
      <c r="F29" s="229"/>
      <c r="G29" s="224" t="str">
        <f ca="1">IF(Flag_Send_Data=1,_xll.DBSW('Plan Input'!G29*1000,Server&amp;Cube1,Context!$I$13,Context!$T$5,Context!$I$11,'Plan Input'!$B$12,Context!$I$12,'Plan Input'!G$2,Context!$I$10,'Plan Input'!$A29),"")</f>
        <v/>
      </c>
      <c r="H29" s="224" t="str">
        <f ca="1">IF(Flag_Send_Data=1,_xll.DBSW('Plan Input'!H29*1000,Server&amp;Cube1,Context!$I$13,Context!$T$5,Context!$I$11,'Plan Input'!$B$12,Context!$I$12,'Plan Input'!H$2,Context!$I$10,'Plan Input'!$A29),"")</f>
        <v/>
      </c>
      <c r="I29" s="224" t="str">
        <f ca="1">IF(Flag_Send_Data=1,_xll.DBSW('Plan Input'!I29*1000,Server&amp;Cube1,Context!$I$13,Context!$T$5,Context!$I$11,'Plan Input'!$B$12,Context!$I$12,'Plan Input'!I$2,Context!$I$10,'Plan Input'!$A29),"")</f>
        <v/>
      </c>
      <c r="J29" s="224" t="str">
        <f ca="1">IF(Flag_Send_Data=1,_xll.DBSW('Plan Input'!J29*1000,Server&amp;Cube1,Context!$I$13,Context!$T$5,Context!$I$11,'Plan Input'!$B$12,Context!$I$12,'Plan Input'!J$2,Context!$I$10,'Plan Input'!$A29),"")</f>
        <v/>
      </c>
      <c r="K29" s="224" t="str">
        <f ca="1"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93"/>
      <c r="B30" s="93"/>
      <c r="C30" s="220"/>
      <c r="D30" s="229"/>
      <c r="E30" s="229"/>
      <c r="F30" s="229"/>
      <c r="G30" s="224" t="str">
        <f ca="1">IF(Flag_Send_Data=1,_xll.DBSW('Plan Input'!G30*1000,Server&amp;Cube1,Context!$I$13,Context!$T$5,Context!$I$11,'Plan Input'!$B$12,Context!$I$12,'Plan Input'!G$2,Context!$I$10,'Plan Input'!$A30),"")</f>
        <v/>
      </c>
      <c r="H30" s="224" t="str">
        <f ca="1">IF(Flag_Send_Data=1,_xll.DBSW('Plan Input'!H30*1000,Server&amp;Cube1,Context!$I$13,Context!$T$5,Context!$I$11,'Plan Input'!$B$12,Context!$I$12,'Plan Input'!H$2,Context!$I$10,'Plan Input'!$A30),"")</f>
        <v/>
      </c>
      <c r="I30" s="224" t="str">
        <f ca="1">IF(Flag_Send_Data=1,_xll.DBSW('Plan Input'!I30*1000,Server&amp;Cube1,Context!$I$13,Context!$T$5,Context!$I$11,'Plan Input'!$B$12,Context!$I$12,'Plan Input'!I$2,Context!$I$10,'Plan Input'!$A30),"")</f>
        <v/>
      </c>
      <c r="J30" s="224" t="str">
        <f ca="1">IF(Flag_Send_Data=1,_xll.DBSW('Plan Input'!J30*1000,Server&amp;Cube1,Context!$I$13,Context!$T$5,Context!$I$11,'Plan Input'!$B$12,Context!$I$12,'Plan Input'!J$2,Context!$I$10,'Plan Input'!$A30),"")</f>
        <v/>
      </c>
      <c r="K30" s="224" t="str">
        <f ca="1"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93"/>
      <c r="B31" s="93"/>
      <c r="C31" s="221"/>
      <c r="D31" s="230"/>
      <c r="E31" s="230"/>
      <c r="F31" s="230"/>
      <c r="G31" s="230"/>
      <c r="H31" s="230"/>
      <c r="I31" s="230"/>
      <c r="J31" s="230"/>
      <c r="K31" s="230"/>
      <c r="L31" s="1"/>
      <c r="M31" s="1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" customHeight="1">
      <c r="A32" s="93"/>
      <c r="B32" s="93"/>
      <c r="C32" s="220"/>
      <c r="D32" s="229"/>
      <c r="E32" s="229"/>
      <c r="F32" s="229"/>
      <c r="G32" s="224" t="str">
        <f ca="1">IF(Flag_Send_Data=1,_xll.DBSW('Plan Input'!G32*1000,Server&amp;Cube1,Context!$I$13,Context!$T$5,Context!$I$11,'Plan Input'!$B$12,Context!$I$12,'Plan Input'!G$2,Context!$I$10,'Plan Input'!$A32),"")</f>
        <v/>
      </c>
      <c r="H32" s="224" t="str">
        <f ca="1">IF(Flag_Send_Data=1,_xll.DBSW('Plan Input'!H32*1000,Server&amp;Cube1,Context!$I$13,Context!$T$5,Context!$I$11,'Plan Input'!$B$12,Context!$I$12,'Plan Input'!H$2,Context!$I$10,'Plan Input'!$A32),"")</f>
        <v/>
      </c>
      <c r="I32" s="224" t="str">
        <f ca="1">IF(Flag_Send_Data=1,_xll.DBSW('Plan Input'!I32*1000,Server&amp;Cube1,Context!$I$13,Context!$T$5,Context!$I$11,'Plan Input'!$B$12,Context!$I$12,'Plan Input'!I$2,Context!$I$10,'Plan Input'!$A32),"")</f>
        <v/>
      </c>
      <c r="J32" s="224" t="str">
        <f ca="1">IF(Flag_Send_Data=1,_xll.DBSW('Plan Input'!J32*1000,Server&amp;Cube1,Context!$I$13,Context!$T$5,Context!$I$11,'Plan Input'!$B$12,Context!$I$12,'Plan Input'!J$2,Context!$I$10,'Plan Input'!$A32),"")</f>
        <v/>
      </c>
      <c r="K32" s="224" t="str">
        <f ca="1"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</row>
    <row r="33" spans="1:28" ht="18" customHeight="1">
      <c r="A33" s="93"/>
      <c r="B33" s="93"/>
      <c r="C33" s="220"/>
      <c r="D33" s="229"/>
      <c r="E33" s="229"/>
      <c r="F33" s="229"/>
      <c r="G33" s="224" t="str">
        <f ca="1">IF(Flag_Send_Data=1,_xll.DBSW('Plan Input'!G33*1000,Server&amp;Cube1,Context!$I$13,Context!$T$5,Context!$I$11,'Plan Input'!$B$12,Context!$I$12,'Plan Input'!G$2,Context!$I$10,'Plan Input'!$A33),"")</f>
        <v/>
      </c>
      <c r="H33" s="224" t="str">
        <f ca="1">IF(Flag_Send_Data=1,_xll.DBSW('Plan Input'!H33*1000,Server&amp;Cube1,Context!$I$13,Context!$T$5,Context!$I$11,'Plan Input'!$B$12,Context!$I$12,'Plan Input'!H$2,Context!$I$10,'Plan Input'!$A33),"")</f>
        <v/>
      </c>
      <c r="I33" s="224" t="str">
        <f ca="1">IF(Flag_Send_Data=1,_xll.DBSW('Plan Input'!I33*1000,Server&amp;Cube1,Context!$I$13,Context!$T$5,Context!$I$11,'Plan Input'!$B$12,Context!$I$12,'Plan Input'!I$2,Context!$I$10,'Plan Input'!$A33),"")</f>
        <v/>
      </c>
      <c r="J33" s="224" t="str">
        <f ca="1">IF(Flag_Send_Data=1,_xll.DBSW('Plan Input'!J33*1000,Server&amp;Cube1,Context!$I$13,Context!$T$5,Context!$I$11,'Plan Input'!$B$12,Context!$I$12,'Plan Input'!J$2,Context!$I$10,'Plan Input'!$A33),"")</f>
        <v/>
      </c>
      <c r="K33" s="224" t="str">
        <f ca="1"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</row>
    <row r="34" spans="1:28" ht="18" customHeight="1" thickBot="1">
      <c r="A34" s="93"/>
      <c r="B34" s="93"/>
      <c r="C34" s="220"/>
      <c r="D34" s="229"/>
      <c r="E34" s="229"/>
      <c r="F34" s="229"/>
      <c r="G34" s="224" t="str">
        <f ca="1">IF(Flag_Send_Data=1,_xll.DBSW('Plan Input'!G34*1000,Server&amp;Cube1,Context!$I$13,Context!$T$5,Context!$I$11,'Plan Input'!$B$12,Context!$I$12,'Plan Input'!G$2,Context!$I$10,'Plan Input'!$A34),"")</f>
        <v/>
      </c>
      <c r="H34" s="224" t="str">
        <f ca="1">IF(Flag_Send_Data=1,_xll.DBSW('Plan Input'!H34*1000,Server&amp;Cube1,Context!$I$13,Context!$T$5,Context!$I$11,'Plan Input'!$B$12,Context!$I$12,'Plan Input'!H$2,Context!$I$10,'Plan Input'!$A34),"")</f>
        <v/>
      </c>
      <c r="I34" s="224" t="str">
        <f ca="1">IF(Flag_Send_Data=1,_xll.DBSW('Plan Input'!I34*1000,Server&amp;Cube1,Context!$I$13,Context!$T$5,Context!$I$11,'Plan Input'!$B$12,Context!$I$12,'Plan Input'!I$2,Context!$I$10,'Plan Input'!$A34),"")</f>
        <v/>
      </c>
      <c r="J34" s="224" t="str">
        <f ca="1">IF(Flag_Send_Data=1,_xll.DBSW('Plan Input'!J34*1000,Server&amp;Cube1,Context!$I$13,Context!$T$5,Context!$I$11,'Plan Input'!$B$12,Context!$I$12,'Plan Input'!J$2,Context!$I$10,'Plan Input'!$A34),"")</f>
        <v/>
      </c>
      <c r="K34" s="224" t="str">
        <f ca="1"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</row>
    <row r="35" spans="1:28" ht="18" customHeight="1" thickBot="1">
      <c r="A35" s="93"/>
      <c r="B35" s="93"/>
      <c r="C35" s="222"/>
      <c r="D35" s="231"/>
      <c r="E35" s="231"/>
      <c r="F35" s="231"/>
      <c r="G35" s="232" t="str">
        <f ca="1">IF(Flag_Send_Data=1,_xll.DBSW('Plan Input'!G35*1000,Server&amp;Cube1,Context!$I$13,Context!$T$5,Context!$I$11,'Plan Input'!$B$12,Context!$I$12,'Plan Input'!G$2,Context!$I$10,'Plan Input'!$A35),"")</f>
        <v/>
      </c>
      <c r="H35" s="232" t="str">
        <f ca="1">IF(Flag_Send_Data=1,_xll.DBSW('Plan Input'!H35*1000,Server&amp;Cube1,Context!$I$13,Context!$T$5,Context!$I$11,'Plan Input'!$B$12,Context!$I$12,'Plan Input'!H$2,Context!$I$10,'Plan Input'!$A35),"")</f>
        <v/>
      </c>
      <c r="I35" s="232" t="str">
        <f ca="1">IF(Flag_Send_Data=1,_xll.DBSW('Plan Input'!I35*1000,Server&amp;Cube1,Context!$I$13,Context!$T$5,Context!$I$11,'Plan Input'!$B$12,Context!$I$12,'Plan Input'!I$2,Context!$I$10,'Plan Input'!$A35),"")</f>
        <v/>
      </c>
      <c r="J35" s="232" t="str">
        <f ca="1">IF(Flag_Send_Data=1,_xll.DBSW('Plan Input'!J35*1000,Server&amp;Cube1,Context!$I$13,Context!$T$5,Context!$I$11,'Plan Input'!$B$12,Context!$I$12,'Plan Input'!J$2,Context!$I$10,'Plan Input'!$A35),"")</f>
        <v/>
      </c>
      <c r="K35" s="232" t="str">
        <f ca="1"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</row>
    <row r="36" spans="1:28" ht="18" customHeight="1" thickBot="1">
      <c r="A36" s="93"/>
      <c r="B36" s="93"/>
      <c r="C36" s="148"/>
      <c r="D36" s="227"/>
      <c r="E36" s="227"/>
      <c r="F36" s="227"/>
      <c r="G36" s="227"/>
      <c r="H36" s="227"/>
      <c r="I36" s="227"/>
      <c r="J36" s="227"/>
      <c r="K36" s="227"/>
      <c r="L36" s="1"/>
      <c r="M36" s="1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</row>
    <row r="37" spans="1:28" ht="18" customHeight="1">
      <c r="A37" s="93"/>
      <c r="B37" s="93"/>
      <c r="C37" s="219"/>
      <c r="D37" s="228"/>
      <c r="E37" s="228"/>
      <c r="F37" s="228"/>
      <c r="G37" s="228"/>
      <c r="H37" s="228"/>
      <c r="I37" s="228"/>
      <c r="J37" s="228"/>
      <c r="K37" s="228"/>
      <c r="L37" s="1"/>
      <c r="M37" s="1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</row>
    <row r="38" spans="1:28" ht="18" customHeight="1">
      <c r="A38" s="93"/>
      <c r="B38" s="93"/>
      <c r="C38" s="218"/>
      <c r="D38" s="229"/>
      <c r="E38" s="229"/>
      <c r="F38" s="229"/>
      <c r="G38" s="226"/>
      <c r="H38" s="226"/>
      <c r="I38" s="226"/>
      <c r="J38" s="226"/>
      <c r="K38" s="226"/>
      <c r="L38" s="1"/>
      <c r="M38" s="291" t="str">
        <f ca="1">IF(Flag_Send_Data=1,_xll.DBSW(IF(xTPL21=TRUE,"1","0"),Server&amp;Cube1,Context!$I$13,Context!$T$5,Context!$I$11,'Plan Input'!$B$12,Context!$I$12,'Plan Input'!G$2,Context!$I$10,"TPL21_checkbox_Tech"),"")</f>
        <v/>
      </c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</row>
    <row r="39" spans="1:28" ht="18" customHeight="1">
      <c r="A39" s="93"/>
      <c r="B39" s="93"/>
      <c r="C39" s="218"/>
      <c r="D39" s="229"/>
      <c r="E39" s="229"/>
      <c r="F39" s="229"/>
      <c r="G39" s="224" t="str">
        <f ca="1">IF(Flag_Send_Data=1,_xll.DBSW('Plan Input'!G39*1000,Server&amp;Cube1,Context!$I$13,Context!$T$5,Context!$I$11,'Plan Input'!$B$12,Context!$I$12,'Plan Input'!G$2,Context!$I$10,'Plan Input'!$A39),"")</f>
        <v/>
      </c>
      <c r="H39" s="224" t="str">
        <f ca="1">IF(Flag_Send_Data=1,_xll.DBSW('Plan Input'!H39*1000,Server&amp;Cube1,Context!$I$13,Context!$T$5,Context!$I$11,'Plan Input'!$B$12,Context!$I$12,'Plan Input'!H$2,Context!$I$10,'Plan Input'!$A39),"")</f>
        <v/>
      </c>
      <c r="I39" s="224" t="str">
        <f ca="1">IF(Flag_Send_Data=1,_xll.DBSW('Plan Input'!I39*1000,Server&amp;Cube1,Context!$I$13,Context!$T$5,Context!$I$11,'Plan Input'!$B$12,Context!$I$12,'Plan Input'!I$2,Context!$I$10,'Plan Input'!$A39),"")</f>
        <v/>
      </c>
      <c r="J39" s="224" t="str">
        <f ca="1">IF(Flag_Send_Data=1,_xll.DBSW('Plan Input'!J39*1000,Server&amp;Cube1,Context!$I$13,Context!$T$5,Context!$I$11,'Plan Input'!$B$12,Context!$I$12,'Plan Input'!J$2,Context!$I$10,'Plan Input'!$A39),"")</f>
        <v/>
      </c>
      <c r="K39" s="224" t="str">
        <f ca="1"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</row>
    <row r="40" spans="1:28" ht="18" customHeight="1" thickBot="1">
      <c r="A40" s="93"/>
      <c r="B40" s="93"/>
      <c r="C40" s="218"/>
      <c r="D40" s="229"/>
      <c r="E40" s="229"/>
      <c r="F40" s="229"/>
      <c r="G40" s="224" t="str">
        <f ca="1">IF(Flag_Send_Data=1,_xll.DBSW('Plan Input'!G40*1000,Server&amp;Cube1,Context!$I$13,Context!$T$5,Context!$I$11,'Plan Input'!$B$12,Context!$I$12,'Plan Input'!G$2,Context!$I$10,'Plan Input'!$A40),"")</f>
        <v/>
      </c>
      <c r="H40" s="224" t="str">
        <f ca="1">IF(Flag_Send_Data=1,_xll.DBSW('Plan Input'!H40*1000,Server&amp;Cube1,Context!$I$13,Context!$T$5,Context!$I$11,'Plan Input'!$B$12,Context!$I$12,'Plan Input'!H$2,Context!$I$10,'Plan Input'!$A40),"")</f>
        <v/>
      </c>
      <c r="I40" s="224" t="str">
        <f ca="1">IF(Flag_Send_Data=1,_xll.DBSW('Plan Input'!I40*1000,Server&amp;Cube1,Context!$I$13,Context!$T$5,Context!$I$11,'Plan Input'!$B$12,Context!$I$12,'Plan Input'!I$2,Context!$I$10,'Plan Input'!$A40),"")</f>
        <v/>
      </c>
      <c r="J40" s="224" t="str">
        <f ca="1">IF(Flag_Send_Data=1,_xll.DBSW('Plan Input'!J40*1000,Server&amp;Cube1,Context!$I$13,Context!$T$5,Context!$I$11,'Plan Input'!$B$12,Context!$I$12,'Plan Input'!J$2,Context!$I$10,'Plan Input'!$A40),"")</f>
        <v/>
      </c>
      <c r="K40" s="224" t="str">
        <f ca="1"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</row>
    <row r="41" spans="1:28" ht="18" customHeight="1" thickBot="1">
      <c r="A41" s="93"/>
      <c r="B41" s="93"/>
      <c r="C41" s="148"/>
      <c r="D41" s="227"/>
      <c r="E41" s="227"/>
      <c r="F41" s="227"/>
      <c r="G41" s="227"/>
      <c r="H41" s="227"/>
      <c r="I41" s="227"/>
      <c r="J41" s="227"/>
      <c r="K41" s="227"/>
      <c r="L41" s="1"/>
      <c r="M41" s="1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</row>
    <row r="42" spans="1:28" ht="18" customHeight="1">
      <c r="A42" s="93"/>
      <c r="B42" s="93"/>
      <c r="C42" s="219"/>
      <c r="D42" s="228"/>
      <c r="E42" s="228"/>
      <c r="F42" s="228"/>
      <c r="G42" s="228"/>
      <c r="H42" s="228"/>
      <c r="I42" s="228"/>
      <c r="J42" s="228"/>
      <c r="K42" s="228"/>
      <c r="L42" s="1"/>
      <c r="M42" s="1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</row>
    <row r="43" spans="1:28" ht="18" customHeight="1">
      <c r="A43" s="93"/>
      <c r="B43" s="93"/>
      <c r="C43" s="218"/>
      <c r="D43" s="229"/>
      <c r="E43" s="229"/>
      <c r="F43" s="229"/>
      <c r="G43" s="233"/>
      <c r="H43" s="233"/>
      <c r="I43" s="233"/>
      <c r="J43" s="233"/>
      <c r="K43" s="233"/>
      <c r="L43" s="1"/>
      <c r="M43" s="291" t="str">
        <f ca="1">IF(Flag_Send_Data=1,_xll.DBSW(IF(xTPL4=TRUE,"1","0"),Server&amp;Cube1,Context!$I$13,Context!$T$5,Context!$I$11,'Plan Input'!$B$12,Context!$I$12,'Plan Input'!G$2,Context!$I$10,"TPL4_checkbox_Tech"),"")</f>
        <v/>
      </c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</row>
    <row r="44" spans="1:28" ht="18" customHeight="1" thickBot="1">
      <c r="A44" s="93"/>
      <c r="B44" s="93"/>
      <c r="C44" s="218"/>
      <c r="D44" s="282"/>
      <c r="E44" s="282"/>
      <c r="F44" s="282"/>
      <c r="G44" s="224" t="str">
        <f ca="1">IF(Flag_Send_Data=1,_xll.DBSW('Plan Input'!G44*1000,Server&amp;Cube1,Context!$I$13,Context!$T$5,Context!$I$11,'Plan Input'!$B$12,Context!$I$12,'Plan Input'!G$2,Context!$I$10,'Plan Input'!$A44),"")</f>
        <v/>
      </c>
      <c r="H44" s="224" t="str">
        <f ca="1">IF(Flag_Send_Data=1,_xll.DBSW('Plan Input'!H44*1000,Server&amp;Cube1,Context!$I$13,Context!$T$5,Context!$I$11,'Plan Input'!$B$12,Context!$I$12,'Plan Input'!H$2,Context!$I$10,'Plan Input'!$A44),"")</f>
        <v/>
      </c>
      <c r="I44" s="224" t="str">
        <f ca="1">IF(Flag_Send_Data=1,_xll.DBSW('Plan Input'!I44*1000,Server&amp;Cube1,Context!$I$13,Context!$T$5,Context!$I$11,'Plan Input'!$B$12,Context!$I$12,'Plan Input'!I$2,Context!$I$10,'Plan Input'!$A44),"")</f>
        <v/>
      </c>
      <c r="J44" s="224" t="str">
        <f ca="1">IF(Flag_Send_Data=1,_xll.DBSW('Plan Input'!J44*1000,Server&amp;Cube1,Context!$I$13,Context!$T$5,Context!$I$11,'Plan Input'!$B$12,Context!$I$12,'Plan Input'!J$2,Context!$I$10,'Plan Input'!$A44),"")</f>
        <v/>
      </c>
      <c r="K44" s="224" t="str">
        <f ca="1"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</row>
    <row r="45" spans="1:28" ht="18" customHeight="1" thickBot="1">
      <c r="A45" s="93"/>
      <c r="B45" s="93"/>
      <c r="C45" s="148"/>
      <c r="D45" s="227"/>
      <c r="E45" s="227"/>
      <c r="F45" s="227"/>
      <c r="G45" s="227"/>
      <c r="H45" s="227"/>
      <c r="I45" s="227"/>
      <c r="J45" s="227"/>
      <c r="K45" s="227"/>
      <c r="L45" s="1"/>
      <c r="M45" s="1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</row>
    <row r="46" spans="1:28" ht="18" customHeight="1">
      <c r="A46" s="93"/>
      <c r="B46" s="93"/>
      <c r="C46" s="219"/>
      <c r="D46" s="228"/>
      <c r="E46" s="228"/>
      <c r="F46" s="228"/>
      <c r="G46" s="228"/>
      <c r="H46" s="228"/>
      <c r="I46" s="228"/>
      <c r="J46" s="228"/>
      <c r="K46" s="228"/>
      <c r="L46" s="1"/>
      <c r="M46" s="1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</row>
    <row r="47" spans="1:28" ht="18" customHeight="1">
      <c r="A47" s="93"/>
      <c r="B47" s="93"/>
      <c r="C47" s="217"/>
      <c r="D47" s="229"/>
      <c r="E47" s="229"/>
      <c r="F47" s="229"/>
      <c r="G47" s="224" t="str">
        <f ca="1">IF(Flag_Send_Data=1,_xll.DBSW('Plan Input'!G47*1000,Server&amp;Cube1,Context!$I$13,Context!$T$5,Context!$I$11,'Plan Input'!$B$12,Context!$I$12,'Plan Input'!G$2,Context!$I$10,'Plan Input'!$A47),"")</f>
        <v/>
      </c>
      <c r="H47" s="224" t="str">
        <f ca="1">IF(Flag_Send_Data=1,_xll.DBSW('Plan Input'!H47*1000,Server&amp;Cube1,Context!$I$13,Context!$T$5,Context!$I$11,'Plan Input'!$B$12,Context!$I$12,'Plan Input'!H$2,Context!$I$10,'Plan Input'!$A47),"")</f>
        <v/>
      </c>
      <c r="I47" s="224" t="str">
        <f ca="1">IF(Flag_Send_Data=1,_xll.DBSW('Plan Input'!I47*1000,Server&amp;Cube1,Context!$I$13,Context!$T$5,Context!$I$11,'Plan Input'!$B$12,Context!$I$12,'Plan Input'!I$2,Context!$I$10,'Plan Input'!$A47),"")</f>
        <v/>
      </c>
      <c r="J47" s="224" t="str">
        <f ca="1">IF(Flag_Send_Data=1,_xll.DBSW('Plan Input'!J47*1000,Server&amp;Cube1,Context!$I$13,Context!$T$5,Context!$I$11,'Plan Input'!$B$12,Context!$I$12,'Plan Input'!J$2,Context!$I$10,'Plan Input'!$A47),"")</f>
        <v/>
      </c>
      <c r="K47" s="224" t="str">
        <f ca="1"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</row>
    <row r="48" spans="1:28" ht="18" customHeight="1" thickBot="1">
      <c r="A48" s="93"/>
      <c r="B48" s="93"/>
      <c r="C48" s="219"/>
      <c r="D48" s="228"/>
      <c r="E48" s="228"/>
      <c r="F48" s="228"/>
      <c r="G48" s="228"/>
      <c r="H48" s="228"/>
      <c r="I48" s="228"/>
      <c r="J48" s="228"/>
      <c r="K48" s="228"/>
      <c r="L48" s="1"/>
      <c r="M48" s="1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</row>
    <row r="49" spans="1:42" ht="18" customHeight="1" thickBot="1">
      <c r="A49" s="93"/>
      <c r="B49" s="93"/>
      <c r="C49" s="148"/>
      <c r="D49" s="227"/>
      <c r="E49" s="227"/>
      <c r="F49" s="227"/>
      <c r="G49" s="227"/>
      <c r="H49" s="227"/>
      <c r="I49" s="227"/>
      <c r="J49" s="227"/>
      <c r="K49" s="227"/>
      <c r="L49" s="1"/>
      <c r="M49" s="1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42" ht="18" customHeight="1">
      <c r="A50" s="93"/>
      <c r="B50" s="93"/>
      <c r="C50" s="94"/>
      <c r="D50" s="94"/>
      <c r="E50" s="94"/>
      <c r="F50" s="94"/>
      <c r="G50" s="94"/>
      <c r="H50" s="94"/>
      <c r="I50" s="94"/>
      <c r="J50" s="94"/>
      <c r="K50" s="94"/>
      <c r="L50" s="1"/>
      <c r="M50" s="1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P50" s="140"/>
    </row>
    <row r="51" spans="1:42" ht="18" customHeight="1">
      <c r="A51" s="93"/>
      <c r="B51" s="93"/>
      <c r="C51" s="94"/>
      <c r="D51" s="94"/>
      <c r="E51" s="94"/>
      <c r="F51" s="94"/>
      <c r="G51" s="94"/>
      <c r="H51" s="94"/>
      <c r="I51" s="94"/>
      <c r="J51" s="94"/>
      <c r="K51" s="94"/>
      <c r="L51" s="1"/>
      <c r="M51" s="1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P51" s="140"/>
    </row>
    <row r="52" spans="1:42" ht="18" customHeight="1">
      <c r="A52" s="93" t="s">
        <v>135</v>
      </c>
      <c r="B52" s="93"/>
      <c r="C52" s="276"/>
      <c r="D52" s="103"/>
      <c r="E52" s="103"/>
      <c r="F52" s="103"/>
      <c r="G52" s="103" t="str">
        <f ca="1">IF(Flag_Send_Data=1,_xll.DBSW('Plan Input'!#REF!*1000,Server&amp;Cube1,Context!$I$13,Context!$T$5,Context!$I$11,'Plan Input'!$B$12,Context!$I$12,'Plan Input'!G$2,Context!$I$10,'Plan Input'!#REF!),"")</f>
        <v/>
      </c>
      <c r="H52" s="103" t="str">
        <f ca="1">IF(Flag_Send_Data=1,_xll.DBSW('Plan Input'!#REF!*1000,Server&amp;Cube1,Context!$I$13,Context!$T$5,Context!$I$11,'Plan Input'!$B$12,Context!$I$12,'Plan Input'!H$2,Context!$I$10,'Plan Input'!#REF!),"")</f>
        <v/>
      </c>
      <c r="I52" s="103" t="str">
        <f ca="1">IF(Flag_Send_Data=1,_xll.DBSW('Plan Input'!#REF!*1000,Server&amp;Cube1,Context!$I$13,Context!$T$5,Context!$I$11,'Plan Input'!$B$12,Context!$I$12,'Plan Input'!I$2,Context!$I$10,'Plan Input'!#REF!),"")</f>
        <v/>
      </c>
      <c r="J52" s="103" t="str">
        <f ca="1">IF(Flag_Send_Data=1,_xll.DBSW('Plan Input'!#REF!*1000,Server&amp;Cube1,Context!$I$13,Context!$T$5,Context!$I$11,'Plan Input'!$B$12,Context!$I$12,'Plan Input'!J$2,Context!$I$10,'Plan Input'!#REF!),"")</f>
        <v/>
      </c>
      <c r="K52" s="103" t="str">
        <f ca="1"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P52" s="140"/>
    </row>
    <row r="53" spans="1:42" ht="18" customHeight="1" thickBot="1">
      <c r="A53" s="93"/>
      <c r="B53" s="93"/>
      <c r="C53" s="277"/>
      <c r="D53" s="104"/>
      <c r="E53" s="104"/>
      <c r="F53" s="104"/>
      <c r="G53" s="104"/>
      <c r="H53" s="104"/>
      <c r="I53" s="104"/>
      <c r="J53" s="104"/>
      <c r="K53" s="104"/>
      <c r="L53" s="1"/>
      <c r="M53" s="1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P53" s="140"/>
    </row>
    <row r="54" spans="1:42" ht="18" customHeight="1">
      <c r="A54" s="93" t="s">
        <v>149</v>
      </c>
      <c r="B54" s="93" t="s">
        <v>149</v>
      </c>
      <c r="C54" s="234"/>
      <c r="D54" s="235"/>
      <c r="E54" s="235"/>
      <c r="F54" s="235"/>
      <c r="G54" s="235"/>
      <c r="H54" s="235"/>
      <c r="I54" s="235"/>
      <c r="J54" s="235"/>
      <c r="K54" s="236"/>
      <c r="L54" s="1"/>
      <c r="M54" s="1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P54" s="140"/>
    </row>
    <row r="55" spans="1:42" ht="18" customHeight="1">
      <c r="A55" s="93" t="s">
        <v>136</v>
      </c>
      <c r="B55" s="93"/>
      <c r="C55" s="237"/>
      <c r="D55" s="238"/>
      <c r="E55" s="238"/>
      <c r="F55" s="238"/>
      <c r="G55" s="239"/>
      <c r="H55" s="239"/>
      <c r="I55" s="239"/>
      <c r="J55" s="239"/>
      <c r="K55" s="239"/>
      <c r="L55" s="1"/>
      <c r="M55" s="1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P55" s="140"/>
    </row>
    <row r="56" spans="1:42" ht="18" customHeight="1">
      <c r="A56" s="93"/>
      <c r="B56" s="93"/>
      <c r="C56" s="237"/>
      <c r="D56" s="238"/>
      <c r="E56" s="238"/>
      <c r="F56" s="238"/>
      <c r="G56" s="239"/>
      <c r="H56" s="239"/>
      <c r="I56" s="239"/>
      <c r="J56" s="239"/>
      <c r="K56" s="239"/>
      <c r="L56" s="1"/>
      <c r="M56" s="1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P56" s="140"/>
    </row>
    <row r="57" spans="1:42" ht="18" customHeight="1">
      <c r="A57" s="93"/>
      <c r="B57" s="93"/>
      <c r="C57" s="237"/>
      <c r="D57" s="238"/>
      <c r="E57" s="238"/>
      <c r="F57" s="238"/>
      <c r="G57" s="239"/>
      <c r="H57" s="239"/>
      <c r="I57" s="239"/>
      <c r="J57" s="239"/>
      <c r="K57" s="239"/>
      <c r="L57" s="1"/>
      <c r="M57" s="1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P57" s="140"/>
    </row>
    <row r="58" spans="1:42" ht="18" customHeight="1">
      <c r="A58" s="93"/>
      <c r="B58" s="93"/>
      <c r="C58" s="237"/>
      <c r="D58" s="238"/>
      <c r="E58" s="238"/>
      <c r="F58" s="238"/>
      <c r="G58" s="239"/>
      <c r="H58" s="239"/>
      <c r="I58" s="239"/>
      <c r="J58" s="239"/>
      <c r="K58" s="239"/>
      <c r="L58" s="1"/>
      <c r="M58" s="1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P58" s="140"/>
    </row>
    <row r="59" spans="1:42" ht="18" customHeight="1" thickBot="1">
      <c r="A59" s="93"/>
      <c r="B59" s="93"/>
      <c r="C59" s="219"/>
      <c r="D59" s="228"/>
      <c r="E59" s="228"/>
      <c r="F59" s="228"/>
      <c r="G59" s="228"/>
      <c r="H59" s="228"/>
      <c r="I59" s="228"/>
      <c r="J59" s="228"/>
      <c r="K59" s="228"/>
      <c r="L59" s="1"/>
      <c r="M59" s="1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P59" s="140"/>
    </row>
    <row r="60" spans="1:42" ht="18" customHeight="1">
      <c r="A60" s="93"/>
      <c r="B60" s="93"/>
      <c r="C60" s="234"/>
      <c r="D60" s="240"/>
      <c r="E60" s="240"/>
      <c r="F60" s="240"/>
      <c r="G60" s="240"/>
      <c r="H60" s="240"/>
      <c r="I60" s="240"/>
      <c r="J60" s="240"/>
      <c r="K60" s="240"/>
      <c r="L60" s="1"/>
      <c r="M60" s="1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P60" s="140"/>
    </row>
    <row r="61" spans="1:42" ht="18" customHeight="1">
      <c r="A61" s="93"/>
      <c r="B61" s="93"/>
      <c r="C61" s="217"/>
      <c r="D61" s="229"/>
      <c r="E61" s="229"/>
      <c r="F61" s="229"/>
      <c r="G61" s="224" t="str">
        <f ca="1">IF(Flag_Send_Data=1,_xll.DBSW('Plan Input'!G61*1000,Server&amp;Cube1,Context!$I$13,Context!$T$5,Context!$I$11,'Plan Input'!$B$12,Context!$I$12,'Plan Input'!G$2,Context!$I$10,'Plan Input'!$A61),"")</f>
        <v/>
      </c>
      <c r="H61" s="224" t="str">
        <f ca="1">IF(Flag_Send_Data=1,_xll.DBSW('Plan Input'!H61*1000,Server&amp;Cube1,Context!$I$13,Context!$T$5,Context!$I$11,'Plan Input'!$B$12,Context!$I$12,'Plan Input'!H$2,Context!$I$10,'Plan Input'!$A61),"")</f>
        <v/>
      </c>
      <c r="I61" s="224" t="str">
        <f ca="1">IF(Flag_Send_Data=1,_xll.DBSW('Plan Input'!I61*1000,Server&amp;Cube1,Context!$I$13,Context!$T$5,Context!$I$11,'Plan Input'!$B$12,Context!$I$12,'Plan Input'!I$2,Context!$I$10,'Plan Input'!$A61),"")</f>
        <v/>
      </c>
      <c r="J61" s="224" t="str">
        <f ca="1">IF(Flag_Send_Data=1,_xll.DBSW('Plan Input'!J61*1000,Server&amp;Cube1,Context!$I$13,Context!$T$5,Context!$I$11,'Plan Input'!$B$12,Context!$I$12,'Plan Input'!J$2,Context!$I$10,'Plan Input'!$A61),"")</f>
        <v/>
      </c>
      <c r="K61" s="224" t="str">
        <f ca="1"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P61" s="140"/>
    </row>
    <row r="62" spans="1:42" ht="18" customHeight="1" thickBot="1">
      <c r="A62" s="93"/>
      <c r="B62" s="93"/>
      <c r="C62" s="219"/>
      <c r="D62" s="228"/>
      <c r="E62" s="228"/>
      <c r="F62" s="228"/>
      <c r="G62" s="228"/>
      <c r="H62" s="228"/>
      <c r="I62" s="228"/>
      <c r="J62" s="228"/>
      <c r="K62" s="228"/>
      <c r="L62" s="1"/>
      <c r="M62" s="1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P62" s="140"/>
    </row>
    <row r="63" spans="1:42" ht="18" customHeight="1">
      <c r="A63" s="93"/>
      <c r="B63" s="93"/>
      <c r="C63" s="234"/>
      <c r="D63" s="240"/>
      <c r="E63" s="240"/>
      <c r="F63" s="240"/>
      <c r="G63" s="240"/>
      <c r="H63" s="240"/>
      <c r="I63" s="240"/>
      <c r="J63" s="240"/>
      <c r="K63" s="241"/>
      <c r="L63" s="1"/>
      <c r="M63" s="1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P63" s="140"/>
    </row>
    <row r="64" spans="1:42" ht="18" customHeight="1">
      <c r="A64" s="93"/>
      <c r="B64" s="93"/>
      <c r="C64" s="217"/>
      <c r="D64" s="229"/>
      <c r="E64" s="229"/>
      <c r="F64" s="229"/>
      <c r="G64" s="224" t="str">
        <f ca="1">IF(Flag_Send_Data=1,_xll.DBSW('Plan Input'!G64*1000,Server&amp;Cube1,Context!$I$13,Context!$T$5,Context!$I$11,'Plan Input'!$B$12,Context!$I$12,'Plan Input'!G$2,Context!$I$10,'Plan Input'!$A64),"")</f>
        <v/>
      </c>
      <c r="H64" s="224" t="str">
        <f ca="1">IF(Flag_Send_Data=1,_xll.DBSW('Plan Input'!H64*1000,Server&amp;Cube1,Context!$I$13,Context!$T$5,Context!$I$11,'Plan Input'!$B$12,Context!$I$12,'Plan Input'!H$2,Context!$I$10,'Plan Input'!$A64),"")</f>
        <v/>
      </c>
      <c r="I64" s="224" t="str">
        <f ca="1">IF(Flag_Send_Data=1,_xll.DBSW('Plan Input'!I64*1000,Server&amp;Cube1,Context!$I$13,Context!$T$5,Context!$I$11,'Plan Input'!$B$12,Context!$I$12,'Plan Input'!I$2,Context!$I$10,'Plan Input'!$A64),"")</f>
        <v/>
      </c>
      <c r="J64" s="224" t="str">
        <f ca="1">IF(Flag_Send_Data=1,_xll.DBSW('Plan Input'!J64*1000,Server&amp;Cube1,Context!$I$13,Context!$T$5,Context!$I$11,'Plan Input'!$B$12,Context!$I$12,'Plan Input'!J$2,Context!$I$10,'Plan Input'!$A64),"")</f>
        <v/>
      </c>
      <c r="K64" s="224" t="str">
        <f ca="1"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P64" s="140"/>
    </row>
    <row r="65" spans="1:42" ht="18" customHeight="1">
      <c r="A65" s="93"/>
      <c r="B65" s="93"/>
      <c r="C65" s="217"/>
      <c r="D65" s="229"/>
      <c r="E65" s="229"/>
      <c r="F65" s="229"/>
      <c r="G65" s="224" t="str">
        <f ca="1">IF(Flag_Send_Data=1,_xll.DBSW('Plan Input'!G65*1000,Server&amp;Cube1,Context!$I$13,Context!$T$5,Context!$I$11,'Plan Input'!$B$12,Context!$I$12,'Plan Input'!G$2,Context!$I$10,'Plan Input'!$A65),"")</f>
        <v/>
      </c>
      <c r="H65" s="224" t="str">
        <f ca="1">IF(Flag_Send_Data=1,_xll.DBSW('Plan Input'!H65*1000,Server&amp;Cube1,Context!$I$13,Context!$T$5,Context!$I$11,'Plan Input'!$B$12,Context!$I$12,'Plan Input'!H$2,Context!$I$10,'Plan Input'!$A65),"")</f>
        <v/>
      </c>
      <c r="I65" s="224" t="str">
        <f ca="1">IF(Flag_Send_Data=1,_xll.DBSW('Plan Input'!I65*1000,Server&amp;Cube1,Context!$I$13,Context!$T$5,Context!$I$11,'Plan Input'!$B$12,Context!$I$12,'Plan Input'!I$2,Context!$I$10,'Plan Input'!$A65),"")</f>
        <v/>
      </c>
      <c r="J65" s="224" t="str">
        <f ca="1">IF(Flag_Send_Data=1,_xll.DBSW('Plan Input'!J65*1000,Server&amp;Cube1,Context!$I$13,Context!$T$5,Context!$I$11,'Plan Input'!$B$12,Context!$I$12,'Plan Input'!J$2,Context!$I$10,'Plan Input'!$A65),"")</f>
        <v/>
      </c>
      <c r="K65" s="224" t="str">
        <f ca="1"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P65" s="140"/>
    </row>
    <row r="66" spans="1:42" ht="18" customHeight="1" thickBot="1">
      <c r="A66" s="93"/>
      <c r="B66" s="93"/>
      <c r="C66" s="219"/>
      <c r="D66" s="228"/>
      <c r="E66" s="228"/>
      <c r="F66" s="228"/>
      <c r="G66" s="228"/>
      <c r="H66" s="228"/>
      <c r="I66" s="228"/>
      <c r="J66" s="228"/>
      <c r="K66" s="228"/>
      <c r="L66" s="1"/>
      <c r="M66" s="1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P66" s="140"/>
    </row>
    <row r="67" spans="1:42" ht="18" customHeight="1">
      <c r="A67" s="93"/>
      <c r="B67" s="93"/>
      <c r="C67" s="234"/>
      <c r="D67" s="240"/>
      <c r="E67" s="240"/>
      <c r="F67" s="240"/>
      <c r="G67" s="240"/>
      <c r="H67" s="240"/>
      <c r="I67" s="240"/>
      <c r="J67" s="240"/>
      <c r="K67" s="241"/>
      <c r="L67" s="1"/>
      <c r="M67" s="1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P67" s="140"/>
    </row>
    <row r="68" spans="1:42" ht="18" customHeight="1">
      <c r="A68" s="93"/>
      <c r="B68" s="93"/>
      <c r="C68" s="242"/>
      <c r="D68" s="228"/>
      <c r="E68" s="228"/>
      <c r="F68" s="228"/>
      <c r="G68" s="228"/>
      <c r="H68" s="228"/>
      <c r="I68" s="228"/>
      <c r="J68" s="228"/>
      <c r="K68" s="228"/>
      <c r="L68" s="1"/>
      <c r="M68" s="1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P68" s="140"/>
    </row>
    <row r="69" spans="1:42" ht="18" customHeight="1">
      <c r="A69" s="93"/>
      <c r="B69" s="93"/>
      <c r="C69" s="217"/>
      <c r="D69" s="229"/>
      <c r="E69" s="229"/>
      <c r="F69" s="229"/>
      <c r="G69" s="224" t="str">
        <f ca="1">IF(Flag_Send_Data=1,_xll.DBSW('Plan Input'!G69*1000,Server&amp;Cube1,Context!$I$13,Context!$T$5,Context!$I$11,'Plan Input'!$B$12,Context!$I$12,'Plan Input'!G$2,Context!$I$10,'Plan Input'!$A69),"")</f>
        <v/>
      </c>
      <c r="H69" s="224" t="str">
        <f ca="1">IF(Flag_Send_Data=1,_xll.DBSW('Plan Input'!H69*1000,Server&amp;Cube1,Context!$I$13,Context!$T$5,Context!$I$11,'Plan Input'!$B$12,Context!$I$12,'Plan Input'!H$2,Context!$I$10,'Plan Input'!$A69),"")</f>
        <v/>
      </c>
      <c r="I69" s="224" t="str">
        <f ca="1">IF(Flag_Send_Data=1,_xll.DBSW('Plan Input'!I69*1000,Server&amp;Cube1,Context!$I$13,Context!$T$5,Context!$I$11,'Plan Input'!$B$12,Context!$I$12,'Plan Input'!I$2,Context!$I$10,'Plan Input'!$A69),"")</f>
        <v/>
      </c>
      <c r="J69" s="224" t="str">
        <f ca="1">IF(Flag_Send_Data=1,_xll.DBSW('Plan Input'!J69*1000,Server&amp;Cube1,Context!$I$13,Context!$T$5,Context!$I$11,'Plan Input'!$B$12,Context!$I$12,'Plan Input'!J$2,Context!$I$10,'Plan Input'!$A69),"")</f>
        <v/>
      </c>
      <c r="K69" s="224" t="str">
        <f ca="1"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P69" s="140"/>
    </row>
    <row r="70" spans="1:42" ht="18" customHeight="1">
      <c r="A70" s="93"/>
      <c r="B70" s="93"/>
      <c r="C70" s="217"/>
      <c r="D70" s="229"/>
      <c r="E70" s="229"/>
      <c r="F70" s="229"/>
      <c r="G70" s="226"/>
      <c r="H70" s="226"/>
      <c r="I70" s="226"/>
      <c r="J70" s="226"/>
      <c r="K70" s="226"/>
      <c r="L70" s="1"/>
      <c r="M70" s="1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P70" s="140"/>
    </row>
    <row r="71" spans="1:42" ht="18" customHeight="1">
      <c r="A71" s="93"/>
      <c r="B71" s="93"/>
      <c r="C71" s="217"/>
      <c r="D71" s="229"/>
      <c r="E71" s="229"/>
      <c r="F71" s="229"/>
      <c r="G71" s="280" t="str">
        <f ca="1">IF(Flag_Send_Data=1,_xll.DBSW('Plan Input'!G71*1000,Server&amp;Cube1,Context!$I$13,Context!$T$5,Context!$I$11,'Plan Input'!$B$12,Context!$I$12,'Plan Input'!G$2,Context!$I$10,'Plan Input'!$A71),"")</f>
        <v/>
      </c>
      <c r="H71" s="280" t="str">
        <f ca="1">IF(Flag_Send_Data=1,_xll.DBSW('Plan Input'!H71*1000,Server&amp;Cube1,Context!$I$13,Context!$T$5,Context!$I$11,'Plan Input'!$B$12,Context!$I$12,'Plan Input'!H$2,Context!$I$10,'Plan Input'!$A71),"")</f>
        <v/>
      </c>
      <c r="I71" s="280" t="str">
        <f ca="1">IF(Flag_Send_Data=1,_xll.DBSW('Plan Input'!I71*1000,Server&amp;Cube1,Context!$I$13,Context!$T$5,Context!$I$11,'Plan Input'!$B$12,Context!$I$12,'Plan Input'!I$2,Context!$I$10,'Plan Input'!$A71),"")</f>
        <v/>
      </c>
      <c r="J71" s="280" t="str">
        <f ca="1">IF(Flag_Send_Data=1,_xll.DBSW('Plan Input'!J71*1000,Server&amp;Cube1,Context!$I$13,Context!$T$5,Context!$I$11,'Plan Input'!$B$12,Context!$I$12,'Plan Input'!J$2,Context!$I$10,'Plan Input'!$A71),"")</f>
        <v/>
      </c>
      <c r="K71" s="280" t="str">
        <f ca="1"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P71" s="140"/>
    </row>
    <row r="72" spans="1:42" ht="18" customHeight="1">
      <c r="A72" s="93"/>
      <c r="B72" s="93"/>
      <c r="C72" s="217"/>
      <c r="D72" s="229"/>
      <c r="E72" s="229"/>
      <c r="F72" s="229"/>
      <c r="G72" s="224" t="str">
        <f ca="1">IF(Flag_Send_Data=1,_xll.DBSW('Plan Input'!G72*1000,Server&amp;Cube1,Context!$I$13,Context!$T$5,Context!$I$11,'Plan Input'!$B$12,Context!$I$12,'Plan Input'!G$2,Context!$I$10,'Plan Input'!$A72),"")</f>
        <v/>
      </c>
      <c r="H72" s="224" t="str">
        <f ca="1">IF(Flag_Send_Data=1,_xll.DBSW('Plan Input'!H72*1000,Server&amp;Cube1,Context!$I$13,Context!$T$5,Context!$I$11,'Plan Input'!$B$12,Context!$I$12,'Plan Input'!H$2,Context!$I$10,'Plan Input'!$A72),"")</f>
        <v/>
      </c>
      <c r="I72" s="224" t="str">
        <f ca="1">IF(Flag_Send_Data=1,_xll.DBSW('Plan Input'!I72*1000,Server&amp;Cube1,Context!$I$13,Context!$T$5,Context!$I$11,'Plan Input'!$B$12,Context!$I$12,'Plan Input'!I$2,Context!$I$10,'Plan Input'!$A72),"")</f>
        <v/>
      </c>
      <c r="J72" s="224" t="str">
        <f ca="1">IF(Flag_Send_Data=1,_xll.DBSW('Plan Input'!J72*1000,Server&amp;Cube1,Context!$I$13,Context!$T$5,Context!$I$11,'Plan Input'!$B$12,Context!$I$12,'Plan Input'!J$2,Context!$I$10,'Plan Input'!$A72),"")</f>
        <v/>
      </c>
      <c r="K72" s="224" t="str">
        <f ca="1"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P72" s="140"/>
    </row>
    <row r="73" spans="1:42" ht="18" customHeight="1">
      <c r="A73" s="93"/>
      <c r="B73" s="93"/>
      <c r="C73" s="217"/>
      <c r="D73" s="229"/>
      <c r="E73" s="229"/>
      <c r="F73" s="229"/>
      <c r="G73" s="226"/>
      <c r="H73" s="226"/>
      <c r="I73" s="226"/>
      <c r="J73" s="226"/>
      <c r="K73" s="226"/>
      <c r="L73" s="1"/>
      <c r="M73" s="1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P73" s="140"/>
    </row>
    <row r="74" spans="1:42" ht="18" customHeight="1">
      <c r="A74" s="93"/>
      <c r="B74" s="93"/>
      <c r="C74" s="217"/>
      <c r="D74" s="229"/>
      <c r="E74" s="229"/>
      <c r="F74" s="229"/>
      <c r="G74" s="280" t="str">
        <f ca="1">IF(Flag_Send_Data=1,_xll.DBSW('Plan Input'!G74*1000,Server&amp;Cube1,Context!$I$13,Context!$T$5,Context!$I$11,'Plan Input'!$B$12,Context!$I$12,'Plan Input'!G$2,Context!$I$10,'Plan Input'!$A74),"")</f>
        <v/>
      </c>
      <c r="H74" s="280" t="str">
        <f ca="1">IF(Flag_Send_Data=1,_xll.DBSW('Plan Input'!H74*1000,Server&amp;Cube1,Context!$I$13,Context!$T$5,Context!$I$11,'Plan Input'!$B$12,Context!$I$12,'Plan Input'!H$2,Context!$I$10,'Plan Input'!$A74),"")</f>
        <v/>
      </c>
      <c r="I74" s="280" t="str">
        <f ca="1">IF(Flag_Send_Data=1,_xll.DBSW('Plan Input'!I74*1000,Server&amp;Cube1,Context!$I$13,Context!$T$5,Context!$I$11,'Plan Input'!$B$12,Context!$I$12,'Plan Input'!I$2,Context!$I$10,'Plan Input'!$A74),"")</f>
        <v/>
      </c>
      <c r="J74" s="280" t="str">
        <f ca="1">IF(Flag_Send_Data=1,_xll.DBSW('Plan Input'!J74*1000,Server&amp;Cube1,Context!$I$13,Context!$T$5,Context!$I$11,'Plan Input'!$B$12,Context!$I$12,'Plan Input'!J$2,Context!$I$10,'Plan Input'!$A74),"")</f>
        <v/>
      </c>
      <c r="K74" s="280" t="str">
        <f ca="1"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P74" s="140"/>
    </row>
    <row r="75" spans="1:42" ht="18" customHeight="1">
      <c r="A75" s="93"/>
      <c r="B75" s="93"/>
      <c r="C75" s="217"/>
      <c r="D75" s="229"/>
      <c r="E75" s="229"/>
      <c r="F75" s="229"/>
      <c r="G75" s="149"/>
      <c r="H75" s="149"/>
      <c r="I75" s="149"/>
      <c r="J75" s="149"/>
      <c r="K75" s="149"/>
      <c r="L75" s="1"/>
      <c r="M75" s="1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P75" s="140"/>
    </row>
    <row r="76" spans="1:42" ht="18" customHeight="1">
      <c r="A76" s="93"/>
      <c r="B76" s="93"/>
      <c r="C76" s="217"/>
      <c r="D76" s="229"/>
      <c r="E76" s="229"/>
      <c r="F76" s="229"/>
      <c r="G76" s="149"/>
      <c r="H76" s="149"/>
      <c r="I76" s="149"/>
      <c r="J76" s="149"/>
      <c r="K76" s="149"/>
      <c r="L76" s="1"/>
      <c r="M76" s="1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P76" s="140"/>
    </row>
    <row r="77" spans="1:42" ht="18" customHeight="1">
      <c r="A77" s="93"/>
      <c r="B77" s="93"/>
      <c r="C77" s="217"/>
      <c r="D77" s="229"/>
      <c r="E77" s="229"/>
      <c r="F77" s="229"/>
      <c r="G77" s="224" t="str">
        <f ca="1">IF(Flag_Send_Data=1,_xll.DBSW('Plan Input'!G77*1000,Server&amp;Cube1,Context!$I$13,Context!$T$5,Context!$I$11,'Plan Input'!$B$12,Context!$I$12,'Plan Input'!G$2,Context!$I$10,'Plan Input'!$A77),"")</f>
        <v/>
      </c>
      <c r="H77" s="224" t="str">
        <f ca="1">IF(Flag_Send_Data=1,_xll.DBSW('Plan Input'!H77*1000,Server&amp;Cube1,Context!$I$13,Context!$T$5,Context!$I$11,'Plan Input'!$B$12,Context!$I$12,'Plan Input'!H$2,Context!$I$10,'Plan Input'!$A77),"")</f>
        <v/>
      </c>
      <c r="I77" s="224" t="str">
        <f ca="1">IF(Flag_Send_Data=1,_xll.DBSW('Plan Input'!I77*1000,Server&amp;Cube1,Context!$I$13,Context!$T$5,Context!$I$11,'Plan Input'!$B$12,Context!$I$12,'Plan Input'!I$2,Context!$I$10,'Plan Input'!$A77),"")</f>
        <v/>
      </c>
      <c r="J77" s="224" t="str">
        <f ca="1">IF(Flag_Send_Data=1,_xll.DBSW('Plan Input'!J77*1000,Server&amp;Cube1,Context!$I$13,Context!$T$5,Context!$I$11,'Plan Input'!$B$12,Context!$I$12,'Plan Input'!J$2,Context!$I$10,'Plan Input'!$A77),"")</f>
        <v/>
      </c>
      <c r="K77" s="224" t="str">
        <f ca="1"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P77" s="140"/>
    </row>
    <row r="78" spans="1:42" ht="18" customHeight="1">
      <c r="A78" s="93"/>
      <c r="B78" s="93"/>
      <c r="C78" s="217"/>
      <c r="D78" s="229"/>
      <c r="E78" s="229"/>
      <c r="F78" s="229"/>
      <c r="G78" s="149"/>
      <c r="H78" s="149"/>
      <c r="I78" s="149"/>
      <c r="J78" s="149"/>
      <c r="K78" s="149"/>
      <c r="L78" s="1"/>
      <c r="M78" s="1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P78" s="140"/>
    </row>
    <row r="79" spans="1:42" ht="18" customHeight="1" thickBot="1">
      <c r="A79" s="93"/>
      <c r="B79" s="93"/>
      <c r="C79" s="242"/>
      <c r="D79" s="228"/>
      <c r="E79" s="228"/>
      <c r="F79" s="228"/>
      <c r="G79" s="228"/>
      <c r="H79" s="228"/>
      <c r="I79" s="228"/>
      <c r="J79" s="228"/>
      <c r="K79" s="228"/>
      <c r="L79" s="1"/>
      <c r="M79" s="1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P79" s="140"/>
    </row>
    <row r="80" spans="1:42" ht="18" customHeight="1">
      <c r="A80" s="93"/>
      <c r="B80" s="93"/>
      <c r="C80" s="243"/>
      <c r="D80" s="240"/>
      <c r="E80" s="240"/>
      <c r="F80" s="240"/>
      <c r="G80" s="240"/>
      <c r="H80" s="240"/>
      <c r="I80" s="240"/>
      <c r="J80" s="240"/>
      <c r="K80" s="240"/>
      <c r="L80" s="1"/>
      <c r="M80" s="1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P80" s="140"/>
    </row>
    <row r="81" spans="1:42" ht="18" customHeight="1" thickBot="1">
      <c r="A81" s="93"/>
      <c r="B81" s="93"/>
      <c r="C81" s="242"/>
      <c r="D81" s="228"/>
      <c r="E81" s="228"/>
      <c r="F81" s="228"/>
      <c r="G81" s="228"/>
      <c r="H81" s="228"/>
      <c r="I81" s="228"/>
      <c r="J81" s="228"/>
      <c r="K81" s="228"/>
      <c r="L81" s="1"/>
      <c r="M81" s="1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P81" s="140"/>
    </row>
    <row r="82" spans="1:42" ht="18" customHeight="1" thickBot="1">
      <c r="A82" s="93"/>
      <c r="B82" s="93"/>
      <c r="C82" s="244"/>
      <c r="D82" s="240"/>
      <c r="E82" s="240"/>
      <c r="F82" s="240"/>
      <c r="G82" s="240"/>
      <c r="H82" s="240"/>
      <c r="I82" s="240"/>
      <c r="J82" s="240"/>
      <c r="K82" s="241"/>
      <c r="L82" s="1"/>
      <c r="M82" s="1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P82" s="140"/>
    </row>
    <row r="83" spans="1:42" ht="18" customHeight="1">
      <c r="A83" s="93"/>
      <c r="B83" s="93"/>
      <c r="C83" s="242"/>
      <c r="D83" s="228"/>
      <c r="E83" s="228"/>
      <c r="F83" s="228"/>
      <c r="G83" s="228"/>
      <c r="H83" s="228"/>
      <c r="I83" s="228"/>
      <c r="J83" s="228"/>
      <c r="K83" s="228"/>
      <c r="L83" s="1"/>
      <c r="M83" s="1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P83" s="140"/>
    </row>
    <row r="84" spans="1:42" ht="18" customHeight="1">
      <c r="A84" s="93"/>
      <c r="B84" s="93"/>
      <c r="C84" s="218"/>
      <c r="D84" s="229"/>
      <c r="E84" s="229"/>
      <c r="F84" s="229"/>
      <c r="G84" s="226"/>
      <c r="H84" s="226"/>
      <c r="I84" s="226"/>
      <c r="J84" s="226"/>
      <c r="K84" s="226"/>
      <c r="L84" s="1"/>
      <c r="M84" s="1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P84" s="140"/>
    </row>
    <row r="85" spans="1:42" ht="18" customHeight="1">
      <c r="A85" s="93"/>
      <c r="B85" s="93"/>
      <c r="C85" s="217"/>
      <c r="D85" s="229"/>
      <c r="E85" s="229"/>
      <c r="F85" s="229"/>
      <c r="G85" s="226"/>
      <c r="H85" s="226"/>
      <c r="I85" s="226"/>
      <c r="J85" s="226"/>
      <c r="K85" s="226"/>
      <c r="L85" s="1"/>
      <c r="M85" s="291" t="str">
        <f ca="1">IF(Flag_Send_Data=1,_xll.DBSW(IF(xNFI4401=TRUE,"1","0"),Server&amp;Cube1,Context!$I$13,Context!$T$5,Context!$I$11,'Plan Input'!$B$12,Context!$I$12,'Plan Input'!G$2,Context!$I$10,"NFI4401_checkbox_Tech"),"")</f>
        <v/>
      </c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P85" s="140"/>
    </row>
    <row r="86" spans="1:42" ht="18" customHeight="1">
      <c r="A86" s="93"/>
      <c r="B86" s="93"/>
      <c r="C86" s="217"/>
      <c r="D86" s="229"/>
      <c r="E86" s="229"/>
      <c r="F86" s="229"/>
      <c r="G86" s="224" t="str">
        <f ca="1">IF(Flag_Send_Data=1,_xll.DBSW('Plan Input'!G86*1000,Server&amp;Cube1,Context!$I$13,Context!$T$5,Context!$I$11,'Plan Input'!$B$12,Context!$I$12,'Plan Input'!G$2,Context!$I$10,'Plan Input'!$A86),"")</f>
        <v/>
      </c>
      <c r="H86" s="224" t="str">
        <f ca="1">IF(Flag_Send_Data=1,_xll.DBSW('Plan Input'!H86*1000,Server&amp;Cube1,Context!$I$13,Context!$T$5,Context!$I$11,'Plan Input'!$B$12,Context!$I$12,'Plan Input'!H$2,Context!$I$10,'Plan Input'!$A86),"")</f>
        <v/>
      </c>
      <c r="I86" s="224" t="str">
        <f ca="1">IF(Flag_Send_Data=1,_xll.DBSW('Plan Input'!I86*1000,Server&amp;Cube1,Context!$I$13,Context!$T$5,Context!$I$11,'Plan Input'!$B$12,Context!$I$12,'Plan Input'!I$2,Context!$I$10,'Plan Input'!$A86),"")</f>
        <v/>
      </c>
      <c r="J86" s="224" t="str">
        <f ca="1">IF(Flag_Send_Data=1,_xll.DBSW('Plan Input'!J86*1000,Server&amp;Cube1,Context!$I$13,Context!$T$5,Context!$I$11,'Plan Input'!$B$12,Context!$I$12,'Plan Input'!J$2,Context!$I$10,'Plan Input'!$A86),"")</f>
        <v/>
      </c>
      <c r="K86" s="224" t="str">
        <f ca="1"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P86" s="140"/>
    </row>
    <row r="87" spans="1:42" ht="18" customHeight="1">
      <c r="A87" s="93"/>
      <c r="B87" s="93"/>
      <c r="C87" s="217"/>
      <c r="D87" s="229"/>
      <c r="E87" s="229"/>
      <c r="F87" s="229"/>
      <c r="G87" s="224" t="str">
        <f ca="1">IF(Flag_Send_Data=1,_xll.DBSW('Plan Input'!G87*1000,Server&amp;Cube1,Context!$I$13,Context!$T$5,Context!$I$11,'Plan Input'!$B$12,Context!$I$12,'Plan Input'!G$2,Context!$I$10,'Plan Input'!$A87),"")</f>
        <v/>
      </c>
      <c r="H87" s="224" t="str">
        <f ca="1">IF(Flag_Send_Data=1,_xll.DBSW('Plan Input'!H87*1000,Server&amp;Cube1,Context!$I$13,Context!$T$5,Context!$I$11,'Plan Input'!$B$12,Context!$I$12,'Plan Input'!H$2,Context!$I$10,'Plan Input'!$A87),"")</f>
        <v/>
      </c>
      <c r="I87" s="224" t="str">
        <f ca="1">IF(Flag_Send_Data=1,_xll.DBSW('Plan Input'!I87*1000,Server&amp;Cube1,Context!$I$13,Context!$T$5,Context!$I$11,'Plan Input'!$B$12,Context!$I$12,'Plan Input'!I$2,Context!$I$10,'Plan Input'!$A87),"")</f>
        <v/>
      </c>
      <c r="J87" s="224" t="str">
        <f ca="1">IF(Flag_Send_Data=1,_xll.DBSW('Plan Input'!J87*1000,Server&amp;Cube1,Context!$I$13,Context!$T$5,Context!$I$11,'Plan Input'!$B$12,Context!$I$12,'Plan Input'!J$2,Context!$I$10,'Plan Input'!$A87),"")</f>
        <v/>
      </c>
      <c r="K87" s="224" t="str">
        <f ca="1"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P87" s="140"/>
    </row>
    <row r="88" spans="1:42" ht="18" customHeight="1">
      <c r="A88" s="93"/>
      <c r="B88" s="93"/>
      <c r="C88" s="217"/>
      <c r="D88" s="229"/>
      <c r="E88" s="229"/>
      <c r="F88" s="229"/>
      <c r="G88" s="149"/>
      <c r="H88" s="149"/>
      <c r="I88" s="149"/>
      <c r="J88" s="149"/>
      <c r="K88" s="149"/>
      <c r="L88" s="1"/>
      <c r="M88" s="1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P88" s="140"/>
    </row>
    <row r="89" spans="1:42" ht="18" customHeight="1">
      <c r="A89" s="93"/>
      <c r="B89" s="93"/>
      <c r="C89" s="217"/>
      <c r="D89" s="229"/>
      <c r="E89" s="229"/>
      <c r="F89" s="229"/>
      <c r="G89" s="149"/>
      <c r="H89" s="149"/>
      <c r="I89" s="149"/>
      <c r="J89" s="149"/>
      <c r="K89" s="149"/>
      <c r="L89" s="1"/>
      <c r="M89" s="1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P89" s="140"/>
    </row>
    <row r="90" spans="1:42" ht="18" customHeight="1" thickBot="1">
      <c r="A90" s="93"/>
      <c r="B90" s="93"/>
      <c r="C90" s="219"/>
      <c r="D90" s="228"/>
      <c r="E90" s="228"/>
      <c r="F90" s="228"/>
      <c r="G90" s="228"/>
      <c r="H90" s="228"/>
      <c r="I90" s="228"/>
      <c r="J90" s="228"/>
      <c r="K90" s="228"/>
      <c r="L90" s="1"/>
      <c r="M90" s="1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P90" s="140"/>
    </row>
    <row r="91" spans="1:42" ht="18" customHeight="1">
      <c r="A91" s="93"/>
      <c r="B91" s="93"/>
      <c r="C91" s="234"/>
      <c r="D91" s="240"/>
      <c r="E91" s="240"/>
      <c r="F91" s="240"/>
      <c r="G91" s="240"/>
      <c r="H91" s="240"/>
      <c r="I91" s="240"/>
      <c r="J91" s="240"/>
      <c r="K91" s="240"/>
      <c r="L91" s="1"/>
      <c r="M91" s="1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P91" s="140"/>
    </row>
    <row r="92" spans="1:42" ht="18" customHeight="1" thickBot="1">
      <c r="A92" s="93"/>
      <c r="B92" s="93"/>
      <c r="C92" s="245"/>
      <c r="D92" s="228"/>
      <c r="E92" s="228"/>
      <c r="F92" s="228"/>
      <c r="G92" s="228"/>
      <c r="H92" s="228"/>
      <c r="I92" s="228"/>
      <c r="J92" s="228"/>
      <c r="K92" s="228"/>
      <c r="L92" s="1"/>
      <c r="M92" s="1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P92" s="140"/>
    </row>
    <row r="93" spans="1:42" ht="18" customHeight="1">
      <c r="A93" s="93"/>
      <c r="B93" s="93"/>
      <c r="C93" s="234"/>
      <c r="D93" s="246"/>
      <c r="E93" s="246"/>
      <c r="F93" s="246"/>
      <c r="G93" s="240"/>
      <c r="H93" s="240"/>
      <c r="I93" s="240"/>
      <c r="J93" s="240"/>
      <c r="K93" s="241"/>
      <c r="L93" s="1"/>
      <c r="M93" s="1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P93" s="140"/>
    </row>
    <row r="94" spans="1:42" ht="18" customHeight="1" thickBot="1">
      <c r="A94" s="93"/>
      <c r="B94" s="93"/>
      <c r="C94" s="219"/>
      <c r="D94" s="228"/>
      <c r="E94" s="228"/>
      <c r="F94" s="228"/>
      <c r="G94" s="228"/>
      <c r="H94" s="228"/>
      <c r="I94" s="228"/>
      <c r="J94" s="228"/>
      <c r="K94" s="228"/>
      <c r="L94" s="1"/>
      <c r="M94" s="1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P94" s="140"/>
    </row>
    <row r="95" spans="1:42" ht="18" customHeight="1">
      <c r="A95" s="93"/>
      <c r="B95" s="93"/>
      <c r="C95" s="234"/>
      <c r="D95" s="240"/>
      <c r="E95" s="240"/>
      <c r="F95" s="240"/>
      <c r="G95" s="240"/>
      <c r="H95" s="240"/>
      <c r="I95" s="240"/>
      <c r="J95" s="240"/>
      <c r="K95" s="241"/>
      <c r="L95" s="1"/>
      <c r="M95" s="1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P95" s="140"/>
    </row>
    <row r="96" spans="1:42" ht="15.75">
      <c r="A96" s="93"/>
      <c r="B96" s="93"/>
      <c r="C96" s="137"/>
      <c r="D96" s="137"/>
      <c r="E96" s="137"/>
      <c r="F96" s="137"/>
      <c r="G96" s="137"/>
      <c r="H96" s="137"/>
      <c r="I96" s="137"/>
      <c r="J96" s="137"/>
      <c r="K96" s="137"/>
      <c r="L96" s="1"/>
      <c r="M96" s="1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P96" s="140"/>
    </row>
    <row r="97" spans="1:28" ht="15.75">
      <c r="A97" s="93"/>
      <c r="B97" s="93"/>
      <c r="C97" s="137"/>
      <c r="D97" s="137"/>
      <c r="E97" s="137"/>
      <c r="F97" s="137"/>
      <c r="G97" s="137"/>
      <c r="H97" s="137"/>
      <c r="I97" s="137"/>
      <c r="J97" s="137"/>
      <c r="K97" s="137"/>
      <c r="L97" s="1"/>
      <c r="M97" s="1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18" customHeight="1">
      <c r="A98" s="178" t="s">
        <v>44</v>
      </c>
      <c r="B98" s="178" t="s">
        <v>44</v>
      </c>
      <c r="C98" s="276"/>
      <c r="D98" s="106"/>
      <c r="E98" s="106"/>
      <c r="F98" s="106"/>
      <c r="G98" s="106"/>
      <c r="H98" s="106"/>
      <c r="I98" s="106"/>
      <c r="J98" s="106"/>
      <c r="K98" s="106"/>
      <c r="L98" s="1"/>
      <c r="M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6" customHeight="1">
      <c r="A99" s="93"/>
      <c r="B99" s="93"/>
      <c r="C99" s="105"/>
      <c r="L99" s="1"/>
      <c r="M99" s="1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</row>
    <row r="100" spans="1:28" ht="18" customHeight="1">
      <c r="A100" s="177" t="s">
        <v>221</v>
      </c>
      <c r="B100" s="177" t="s">
        <v>221</v>
      </c>
      <c r="C100" s="217"/>
      <c r="D100" s="225"/>
      <c r="E100" s="225"/>
      <c r="F100" s="225"/>
      <c r="G100" s="247"/>
      <c r="H100" s="247"/>
      <c r="I100" s="247"/>
      <c r="J100" s="247"/>
      <c r="K100" s="247"/>
      <c r="L100" s="1"/>
      <c r="M100" s="1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</row>
    <row r="101" spans="1:28" ht="6" customHeight="1">
      <c r="A101" s="195"/>
      <c r="B101" s="195"/>
      <c r="C101" s="217"/>
      <c r="D101" s="225"/>
      <c r="E101" s="225"/>
      <c r="F101" s="225"/>
      <c r="G101" s="247"/>
      <c r="H101" s="247"/>
      <c r="I101" s="247"/>
      <c r="J101" s="247"/>
      <c r="K101" s="247"/>
      <c r="L101" s="1"/>
      <c r="M101" s="1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</row>
    <row r="102" spans="1:28" ht="18" customHeight="1">
      <c r="A102" s="177" t="s">
        <v>203</v>
      </c>
      <c r="B102" s="177" t="s">
        <v>203</v>
      </c>
      <c r="C102" s="217"/>
      <c r="D102" s="225"/>
      <c r="E102" s="225"/>
      <c r="F102" s="225"/>
      <c r="G102" s="247"/>
      <c r="H102" s="247"/>
      <c r="I102" s="247"/>
      <c r="J102" s="247"/>
      <c r="K102" s="247"/>
      <c r="L102" s="1"/>
      <c r="M102" s="1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</row>
    <row r="103" spans="1:28" ht="18" customHeight="1">
      <c r="A103" s="177" t="s">
        <v>204</v>
      </c>
      <c r="B103" s="177" t="s">
        <v>204</v>
      </c>
      <c r="C103" s="217"/>
      <c r="D103" s="225"/>
      <c r="E103" s="225"/>
      <c r="F103" s="248"/>
      <c r="G103" s="247"/>
      <c r="H103" s="247"/>
      <c r="I103" s="247"/>
      <c r="J103" s="247"/>
      <c r="K103" s="247"/>
      <c r="L103" s="1"/>
      <c r="M103" s="1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</row>
    <row r="104" spans="1:28" ht="6" customHeight="1">
      <c r="A104" s="93"/>
      <c r="B104" s="93"/>
      <c r="C104" s="217"/>
      <c r="D104" s="225"/>
      <c r="E104" s="225"/>
      <c r="F104" s="248"/>
      <c r="G104" s="247"/>
      <c r="H104" s="247"/>
      <c r="I104" s="247"/>
      <c r="J104" s="247"/>
      <c r="K104" s="247"/>
      <c r="L104" s="1"/>
      <c r="M104" s="1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</row>
    <row r="105" spans="1:28" ht="18" customHeight="1">
      <c r="A105" s="93" t="s">
        <v>43</v>
      </c>
      <c r="B105" s="93" t="s">
        <v>43</v>
      </c>
      <c r="C105" s="217"/>
      <c r="D105" s="225"/>
      <c r="E105" s="225"/>
      <c r="F105" s="248"/>
      <c r="G105" s="247"/>
      <c r="H105" s="247"/>
      <c r="I105" s="247"/>
      <c r="J105" s="247"/>
      <c r="K105" s="247"/>
      <c r="L105" s="1"/>
      <c r="M105" s="1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</row>
    <row r="106" spans="1:28" ht="6" customHeight="1" thickBot="1">
      <c r="A106" s="93"/>
      <c r="B106" s="93"/>
      <c r="C106" s="219"/>
      <c r="D106" s="228"/>
      <c r="E106" s="228"/>
      <c r="F106" s="228"/>
      <c r="G106" s="228"/>
      <c r="H106" s="228"/>
      <c r="I106" s="228"/>
      <c r="J106" s="228"/>
      <c r="K106" s="228"/>
      <c r="L106" s="1"/>
      <c r="M106" s="1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</row>
    <row r="107" spans="1:28" ht="18" customHeight="1">
      <c r="A107" s="93" t="s">
        <v>44</v>
      </c>
      <c r="B107" s="93" t="s">
        <v>44</v>
      </c>
      <c r="C107" s="234"/>
      <c r="D107" s="240"/>
      <c r="E107" s="240"/>
      <c r="F107" s="240"/>
      <c r="G107" s="249"/>
      <c r="H107" s="240"/>
      <c r="I107" s="240"/>
      <c r="J107" s="240"/>
      <c r="K107" s="241"/>
      <c r="L107" s="1"/>
      <c r="M107" s="1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93" t="s">
        <v>45</v>
      </c>
      <c r="B108" s="93" t="s">
        <v>45</v>
      </c>
      <c r="C108" s="217"/>
      <c r="D108" s="225"/>
      <c r="E108" s="225"/>
      <c r="F108" s="250"/>
      <c r="G108" s="247"/>
      <c r="H108" s="247"/>
      <c r="I108" s="247"/>
      <c r="J108" s="247"/>
      <c r="K108" s="247"/>
      <c r="L108" s="1"/>
      <c r="M108" s="1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</row>
    <row r="109" spans="1:28" ht="6" customHeight="1">
      <c r="A109" s="93"/>
      <c r="B109" s="93"/>
      <c r="C109" s="234"/>
      <c r="D109" s="240"/>
      <c r="E109" s="240"/>
      <c r="F109" s="240"/>
      <c r="G109" s="249"/>
      <c r="H109" s="240"/>
      <c r="I109" s="240"/>
      <c r="J109" s="240"/>
      <c r="K109" s="240"/>
      <c r="L109" s="1"/>
      <c r="M109" s="1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 thickBot="1">
      <c r="A110" s="93" t="s">
        <v>46</v>
      </c>
      <c r="B110" s="93"/>
      <c r="C110" s="251"/>
      <c r="D110" s="228"/>
      <c r="E110" s="228"/>
      <c r="F110" s="228"/>
      <c r="G110" s="228"/>
      <c r="H110" s="228"/>
      <c r="I110" s="228"/>
      <c r="J110" s="228"/>
      <c r="K110" s="228"/>
      <c r="L110" s="1"/>
      <c r="M110" s="1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</row>
    <row r="111" spans="1:28" ht="6" customHeight="1">
      <c r="A111" s="93"/>
      <c r="B111" s="93"/>
      <c r="C111" s="234"/>
      <c r="D111" s="240"/>
      <c r="E111" s="240"/>
      <c r="F111" s="240"/>
      <c r="G111" s="249"/>
      <c r="H111" s="240"/>
      <c r="I111" s="240"/>
      <c r="J111" s="240"/>
      <c r="K111" s="241"/>
      <c r="L111" s="1"/>
      <c r="M111" s="1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>
      <c r="A112" s="93" t="s">
        <v>47</v>
      </c>
      <c r="B112" s="93" t="s">
        <v>47</v>
      </c>
      <c r="C112" s="219"/>
      <c r="D112" s="228"/>
      <c r="E112" s="228"/>
      <c r="F112" s="228"/>
      <c r="G112" s="228"/>
      <c r="H112" s="228"/>
      <c r="I112" s="228"/>
      <c r="J112" s="228"/>
      <c r="K112" s="228"/>
      <c r="L112" s="1"/>
      <c r="M112" s="1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</row>
    <row r="113" spans="1:29" ht="18" customHeight="1">
      <c r="A113" s="93" t="s">
        <v>48</v>
      </c>
      <c r="B113" s="93" t="s">
        <v>48</v>
      </c>
      <c r="C113" s="217"/>
      <c r="D113" s="225"/>
      <c r="E113" s="225"/>
      <c r="F113" s="248"/>
      <c r="G113" s="247"/>
      <c r="H113" s="247"/>
      <c r="I113" s="247"/>
      <c r="J113" s="247"/>
      <c r="K113" s="247"/>
      <c r="L113" s="1"/>
      <c r="M113" s="1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</row>
    <row r="114" spans="1:29" ht="4.5" customHeight="1" thickBot="1">
      <c r="A114" s="93" t="s">
        <v>49</v>
      </c>
      <c r="B114" s="93" t="s">
        <v>49</v>
      </c>
      <c r="C114" s="219"/>
      <c r="D114" s="228"/>
      <c r="E114" s="228"/>
      <c r="F114" s="228"/>
      <c r="G114" s="228"/>
      <c r="H114" s="228"/>
      <c r="I114" s="228"/>
      <c r="J114" s="228"/>
      <c r="K114" s="228"/>
      <c r="L114" s="1"/>
      <c r="M114" s="1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</row>
    <row r="115" spans="1:29" ht="18" customHeight="1">
      <c r="A115" s="93" t="s">
        <v>50</v>
      </c>
      <c r="B115" s="93" t="s">
        <v>50</v>
      </c>
      <c r="C115" s="234"/>
      <c r="D115" s="240"/>
      <c r="E115" s="240"/>
      <c r="F115" s="240"/>
      <c r="G115" s="249"/>
      <c r="H115" s="240"/>
      <c r="I115" s="240"/>
      <c r="J115" s="240"/>
      <c r="K115" s="241"/>
      <c r="L115" s="1"/>
      <c r="M115" s="1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</row>
    <row r="116" spans="1:29" ht="18" customHeight="1">
      <c r="A116" s="93" t="s">
        <v>51</v>
      </c>
      <c r="B116" s="93" t="s">
        <v>51</v>
      </c>
      <c r="C116" s="219"/>
      <c r="D116" s="228"/>
      <c r="E116" s="228"/>
      <c r="F116" s="228"/>
      <c r="G116" s="228"/>
      <c r="H116" s="228"/>
      <c r="I116" s="228"/>
      <c r="J116" s="228"/>
      <c r="K116" s="228"/>
      <c r="L116" s="1"/>
      <c r="M116" s="1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</row>
    <row r="117" spans="1:29" ht="6" customHeight="1">
      <c r="A117" s="93"/>
      <c r="B117" s="93"/>
      <c r="C117" s="217"/>
      <c r="D117" s="225"/>
      <c r="E117" s="225"/>
      <c r="F117" s="252"/>
      <c r="G117" s="247"/>
      <c r="H117" s="247"/>
      <c r="I117" s="247"/>
      <c r="J117" s="247"/>
      <c r="K117" s="247"/>
      <c r="L117" s="1"/>
      <c r="M117" s="1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</row>
    <row r="118" spans="1:29" ht="18" customHeight="1">
      <c r="A118" s="93" t="s">
        <v>62</v>
      </c>
      <c r="B118" s="93"/>
      <c r="C118" s="217"/>
      <c r="D118" s="225"/>
      <c r="E118" s="225"/>
      <c r="F118" s="252"/>
      <c r="G118" s="247"/>
      <c r="H118" s="247"/>
      <c r="I118" s="247"/>
      <c r="J118" s="247"/>
      <c r="K118" s="247"/>
      <c r="L118" s="1"/>
      <c r="M118" s="1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</row>
    <row r="119" spans="1:29" ht="52.5" customHeight="1">
      <c r="A119" s="93"/>
      <c r="B119" s="93"/>
      <c r="C119" s="217"/>
      <c r="D119" s="225"/>
      <c r="E119" s="225"/>
      <c r="F119" s="252"/>
      <c r="G119" s="247"/>
      <c r="H119" s="247"/>
      <c r="I119" s="247"/>
      <c r="J119" s="247"/>
      <c r="K119" s="247"/>
      <c r="L119" s="1"/>
      <c r="M119" s="1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</row>
    <row r="120" spans="1:29" ht="4.5" customHeight="1">
      <c r="A120" s="93"/>
      <c r="B120" s="93"/>
      <c r="C120" s="217"/>
      <c r="D120" s="225"/>
      <c r="E120" s="225"/>
      <c r="F120" s="252"/>
      <c r="G120" s="247"/>
      <c r="H120" s="247"/>
      <c r="I120" s="247"/>
      <c r="J120" s="247"/>
      <c r="K120" s="247"/>
      <c r="L120" s="1"/>
      <c r="M120" s="1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7"/>
      <c r="Z120" s="77"/>
      <c r="AA120" s="77"/>
      <c r="AB120" s="77"/>
      <c r="AC120" s="86"/>
    </row>
    <row r="121" spans="1:29" ht="18" customHeight="1">
      <c r="A121" s="93"/>
      <c r="B121" s="93"/>
      <c r="C121" s="217"/>
      <c r="D121" s="225"/>
      <c r="E121" s="225"/>
      <c r="F121" s="252"/>
      <c r="G121" s="247"/>
      <c r="H121" s="247"/>
      <c r="I121" s="247"/>
      <c r="J121" s="247"/>
      <c r="K121" s="247"/>
      <c r="L121" s="1"/>
      <c r="M121" s="1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7"/>
      <c r="Z121" s="77"/>
      <c r="AA121" s="77"/>
      <c r="AB121" s="77"/>
      <c r="AC121" s="86"/>
    </row>
    <row r="122" spans="1:29" ht="18" customHeight="1" thickBot="1">
      <c r="A122" s="93"/>
      <c r="B122" s="93"/>
      <c r="C122" s="219"/>
      <c r="D122" s="228"/>
      <c r="E122" s="228"/>
      <c r="F122" s="253"/>
      <c r="G122" s="228"/>
      <c r="H122" s="228"/>
      <c r="I122" s="228"/>
      <c r="J122" s="228"/>
      <c r="K122" s="228"/>
      <c r="L122" s="1"/>
      <c r="M122" s="1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7"/>
      <c r="Z122" s="77"/>
      <c r="AA122" s="77"/>
      <c r="AB122" s="77"/>
      <c r="AC122" s="86"/>
    </row>
    <row r="123" spans="1:29" ht="18" customHeight="1">
      <c r="A123" s="93"/>
      <c r="B123" s="93"/>
      <c r="C123" s="219"/>
      <c r="D123" s="228"/>
      <c r="E123" s="228"/>
      <c r="F123" s="228"/>
      <c r="G123" s="228"/>
      <c r="H123" s="228"/>
      <c r="I123" s="228"/>
      <c r="J123" s="228"/>
      <c r="K123" s="228"/>
      <c r="L123" s="1"/>
      <c r="M123" s="1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7"/>
      <c r="Z123" s="77"/>
      <c r="AA123" s="77"/>
      <c r="AB123" s="77"/>
      <c r="AC123" s="86"/>
    </row>
    <row r="124" spans="1:29" ht="18" customHeight="1">
      <c r="A124" s="93"/>
      <c r="B124" s="93"/>
      <c r="C124" s="219"/>
      <c r="D124" s="228"/>
      <c r="E124" s="228"/>
      <c r="F124" s="228"/>
      <c r="G124" s="228"/>
      <c r="H124" s="228"/>
      <c r="I124" s="228"/>
      <c r="J124" s="228"/>
      <c r="K124" s="228"/>
      <c r="L124" s="1"/>
      <c r="M124" s="1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7"/>
      <c r="Z124" s="77"/>
      <c r="AA124" s="77"/>
      <c r="AB124" s="77"/>
      <c r="AC124" s="86"/>
    </row>
    <row r="125" spans="1:29" ht="18" customHeight="1">
      <c r="A125" s="93" t="s">
        <v>8</v>
      </c>
      <c r="B125" s="93"/>
      <c r="C125" s="276"/>
      <c r="D125" s="18"/>
      <c r="E125" s="18"/>
      <c r="F125" s="18"/>
      <c r="G125" s="18"/>
      <c r="H125" s="18"/>
      <c r="I125" s="18"/>
      <c r="J125" s="18"/>
      <c r="K125" s="18"/>
      <c r="L125" s="1"/>
      <c r="M125" s="1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</row>
    <row r="126" spans="1:29" ht="18" customHeight="1">
      <c r="A126" s="93" t="s">
        <v>9</v>
      </c>
      <c r="B126" s="93" t="s">
        <v>9</v>
      </c>
      <c r="C126" s="259"/>
      <c r="D126" s="104"/>
      <c r="E126" s="104"/>
      <c r="F126" s="104"/>
      <c r="G126" s="104" t="str">
        <f ca="1">IF(Flag_Send_Data=1,_xll.DBSW('Plan Input'!G138*1000,Server&amp;Cube1,Context!$I$13,Context!$T$5,Context!$I$11,'Plan Input'!$B$12,Context!$I$12,'Plan Input'!G$2,Context!$I$10,'Plan Input'!$A138),"")</f>
        <v/>
      </c>
      <c r="H126" s="104" t="str">
        <f ca="1">IF(Flag_Send_Data=1,_xll.DBSW('Plan Input'!H138*1000,Server&amp;Cube1,Context!$I$13,Context!$T$5,Context!$I$11,'Plan Input'!$B$12,Context!$I$12,'Plan Input'!H$2,Context!$I$10,'Plan Input'!$A138),"")</f>
        <v/>
      </c>
      <c r="I126" s="104" t="str">
        <f ca="1">IF(Flag_Send_Data=1,_xll.DBSW('Plan Input'!I138*1000,Server&amp;Cube1,Context!$I$13,Context!$T$5,Context!$I$11,'Plan Input'!$B$12,Context!$I$12,'Plan Input'!I$2,Context!$I$10,'Plan Input'!$A138),"")</f>
        <v/>
      </c>
      <c r="J126" s="104" t="str">
        <f ca="1">IF(Flag_Send_Data=1,_xll.DBSW('Plan Input'!J138*1000,Server&amp;Cube1,Context!$I$13,Context!$T$5,Context!$I$11,'Plan Input'!$B$12,Context!$I$12,'Plan Input'!J$2,Context!$I$10,'Plan Input'!$A138),"")</f>
        <v/>
      </c>
      <c r="K126" s="104" t="str">
        <f ca="1">IF(Flag_Send_Data=1,_xll.DBSW('Plan Input'!K138*1000,Server&amp;Cube1,Context!$I$13,Context!$T$5,Context!$I$11,'Plan Input'!$B$12,Context!$I$12,'Plan Input'!K$2,Context!$I$10,'Plan Input'!$A138),"")</f>
        <v/>
      </c>
      <c r="L126" s="1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</row>
    <row r="127" spans="1:29" ht="15.75">
      <c r="A127" s="93" t="s">
        <v>10</v>
      </c>
      <c r="B127" s="93" t="s">
        <v>10</v>
      </c>
      <c r="C127" s="145"/>
      <c r="D127" s="257"/>
      <c r="E127" s="257"/>
      <c r="F127" s="257"/>
      <c r="G127" s="254" t="str">
        <f ca="1">IF(Flag_Send_Data=1,_xll.DBSW('Plan Input'!G127*1000,Server&amp;Cube1,Context!$I$13,Context!$T$5,Context!$I$11,'Plan Input'!$B$12,Context!$I$12,'Plan Input'!G$2,Context!$I$10,'Plan Input'!$A127),"")</f>
        <v/>
      </c>
      <c r="H127" s="254" t="str">
        <f ca="1">IF(Flag_Send_Data=1,_xll.DBSW('Plan Input'!H127*1000,Server&amp;Cube1,Context!$I$13,Context!$T$5,Context!$I$11,'Plan Input'!$B$12,Context!$I$12,'Plan Input'!H$2,Context!$I$10,'Plan Input'!$A127),"")</f>
        <v/>
      </c>
      <c r="I127" s="254" t="str">
        <f ca="1">IF(Flag_Send_Data=1,_xll.DBSW('Plan Input'!I127*1000,Server&amp;Cube1,Context!$I$13,Context!$T$5,Context!$I$11,'Plan Input'!$B$12,Context!$I$12,'Plan Input'!I$2,Context!$I$10,'Plan Input'!$A127),"")</f>
        <v/>
      </c>
      <c r="J127" s="254" t="str">
        <f ca="1">IF(Flag_Send_Data=1,_xll.DBSW('Plan Input'!J127*1000,Server&amp;Cube1,Context!$I$13,Context!$T$5,Context!$I$11,'Plan Input'!$B$12,Context!$I$12,'Plan Input'!J$2,Context!$I$10,'Plan Input'!$A127),"")</f>
        <v/>
      </c>
      <c r="K127" s="254" t="str">
        <f ca="1">IF(Flag_Send_Data=1,_xll.DBSW('Plan Input'!K127*1000,Server&amp;Cube1,Context!$I$13,Context!$T$5,Context!$I$11,'Plan Input'!$B$12,Context!$I$12,'Plan Input'!K$2,Context!$I$10,'Plan Input'!$A127),"")</f>
        <v/>
      </c>
      <c r="L127" s="1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</row>
    <row r="128" spans="1:29" ht="15.75">
      <c r="A128" s="93"/>
      <c r="B128" s="93"/>
      <c r="C128" s="108"/>
      <c r="D128" s="225"/>
      <c r="E128" s="225"/>
      <c r="F128" s="225"/>
      <c r="G128" s="255" t="str">
        <f ca="1">IF(Flag_Send_Data=1,_xll.DBSW('Plan Input'!G128*1000,Server&amp;Cube1,Context!$I$13,Context!$T$5,Context!$I$11,'Plan Input'!$B$12,Context!$I$12,'Plan Input'!G$2,Context!$I$10,'Plan Input'!$A128),"")</f>
        <v/>
      </c>
      <c r="H128" s="255" t="str">
        <f ca="1">IF(Flag_Send_Data=1,_xll.DBSW('Plan Input'!H128*1000,Server&amp;Cube1,Context!$I$13,Context!$T$5,Context!$I$11,'Plan Input'!$B$12,Context!$I$12,'Plan Input'!H$2,Context!$I$10,'Plan Input'!$A128),"")</f>
        <v/>
      </c>
      <c r="I128" s="255" t="str">
        <f ca="1">IF(Flag_Send_Data=1,_xll.DBSW('Plan Input'!I128*1000,Server&amp;Cube1,Context!$I$13,Context!$T$5,Context!$I$11,'Plan Input'!$B$12,Context!$I$12,'Plan Input'!I$2,Context!$I$10,'Plan Input'!$A128),"")</f>
        <v/>
      </c>
      <c r="J128" s="255" t="str">
        <f ca="1">IF(Flag_Send_Data=1,_xll.DBSW('Plan Input'!J128*1000,Server&amp;Cube1,Context!$I$13,Context!$T$5,Context!$I$11,'Plan Input'!$B$12,Context!$I$12,'Plan Input'!J$2,Context!$I$10,'Plan Input'!$A128),"")</f>
        <v/>
      </c>
      <c r="K128" s="255" t="str">
        <f ca="1">IF(Flag_Send_Data=1,_xll.DBSW('Plan Input'!K128*1000,Server&amp;Cube1,Context!$I$13,Context!$T$5,Context!$I$11,'Plan Input'!$B$12,Context!$I$12,'Plan Input'!K$2,Context!$I$10,'Plan Input'!$A128),"")</f>
        <v/>
      </c>
      <c r="L128" s="1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</row>
    <row r="129" spans="1:28" ht="15.75">
      <c r="A129" s="93" t="s">
        <v>11</v>
      </c>
      <c r="B129" s="93"/>
      <c r="C129" s="146"/>
      <c r="D129" s="258"/>
      <c r="E129" s="258"/>
      <c r="F129" s="258"/>
      <c r="G129" s="256" t="str">
        <f ca="1">IF(Flag_Send_Data=1,_xll.DBSW('Plan Input'!G129*1000,Server&amp;Cube1,Context!$I$13,Context!$T$5,Context!$I$11,'Plan Input'!$B$12,Context!$I$12,'Plan Input'!G$2,Context!$I$10,'Plan Input'!$A129),"")</f>
        <v/>
      </c>
      <c r="H129" s="256" t="str">
        <f ca="1">IF(Flag_Send_Data=1,_xll.DBSW('Plan Input'!H129*1000,Server&amp;Cube1,Context!$I$13,Context!$T$5,Context!$I$11,'Plan Input'!$B$12,Context!$I$12,'Plan Input'!H$2,Context!$I$10,'Plan Input'!$A129),"")</f>
        <v/>
      </c>
      <c r="I129" s="256" t="str">
        <f ca="1">IF(Flag_Send_Data=1,_xll.DBSW('Plan Input'!I129*1000,Server&amp;Cube1,Context!$I$13,Context!$T$5,Context!$I$11,'Plan Input'!$B$12,Context!$I$12,'Plan Input'!I$2,Context!$I$10,'Plan Input'!$A129),"")</f>
        <v/>
      </c>
      <c r="J129" s="256" t="str">
        <f ca="1">IF(Flag_Send_Data=1,_xll.DBSW('Plan Input'!J129*1000,Server&amp;Cube1,Context!$I$13,Context!$T$5,Context!$I$11,'Plan Input'!$B$12,Context!$I$12,'Plan Input'!J$2,Context!$I$10,'Plan Input'!$A129),"")</f>
        <v/>
      </c>
      <c r="K129" s="256" t="str">
        <f ca="1">IF(Flag_Send_Data=1,_xll.DBSW('Plan Input'!K129*1000,Server&amp;Cube1,Context!$I$13,Context!$T$5,Context!$I$11,'Plan Input'!$B$12,Context!$I$12,'Plan Input'!K$2,Context!$I$10,'Plan Input'!$A129),"")</f>
        <v/>
      </c>
      <c r="L129" s="1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</row>
    <row r="130" spans="1:28" ht="18" customHeight="1">
      <c r="A130" s="93" t="s">
        <v>12</v>
      </c>
      <c r="B130" s="93" t="s">
        <v>12</v>
      </c>
      <c r="C130" s="228"/>
      <c r="D130" s="228"/>
      <c r="E130" s="228"/>
      <c r="F130" s="228"/>
      <c r="G130" s="228"/>
      <c r="H130" s="228"/>
      <c r="I130" s="228"/>
      <c r="J130" s="228"/>
      <c r="K130" s="228"/>
      <c r="L130" s="1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</row>
    <row r="131" spans="1:28" ht="18" customHeight="1">
      <c r="A131" s="93" t="s">
        <v>13</v>
      </c>
      <c r="B131" s="93" t="s">
        <v>13</v>
      </c>
      <c r="C131" s="228"/>
      <c r="D131" s="228"/>
      <c r="E131" s="228"/>
      <c r="F131" s="228"/>
      <c r="G131" s="228"/>
      <c r="H131" s="228"/>
      <c r="I131" s="228"/>
      <c r="J131" s="228"/>
      <c r="K131" s="228"/>
      <c r="L131" s="1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</row>
    <row r="132" spans="1:28" ht="6" customHeight="1">
      <c r="A132" s="93"/>
      <c r="B132" s="93"/>
      <c r="C132" s="259"/>
      <c r="D132" s="228"/>
      <c r="E132" s="228"/>
      <c r="F132" s="228"/>
      <c r="G132" s="228"/>
      <c r="H132" s="228"/>
      <c r="I132" s="228"/>
      <c r="J132" s="228"/>
      <c r="K132" s="228"/>
      <c r="L132" s="1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14</v>
      </c>
      <c r="B133" s="93"/>
      <c r="C133" s="145"/>
      <c r="D133" s="257"/>
      <c r="E133" s="257"/>
      <c r="F133" s="257"/>
      <c r="G133" s="254" t="str">
        <f ca="1">IF(Flag_Send_Data=1,_xll.DBSW('Plan Input'!G133*1000,Server&amp;Cube1,Context!$I$13,Context!$T$5,Context!$I$11,'Plan Input'!$B$12,Context!$I$12,'Plan Input'!G$2,Context!$I$10,'Plan Input'!$A133),"")</f>
        <v/>
      </c>
      <c r="H133" s="254" t="str">
        <f ca="1">IF(Flag_Send_Data=1,_xll.DBSW('Plan Input'!H133*1000,Server&amp;Cube1,Context!$I$13,Context!$T$5,Context!$I$11,'Plan Input'!$B$12,Context!$I$12,'Plan Input'!H$2,Context!$I$10,'Plan Input'!$A133),"")</f>
        <v/>
      </c>
      <c r="I133" s="254" t="str">
        <f ca="1">IF(Flag_Send_Data=1,_xll.DBSW('Plan Input'!I133*1000,Server&amp;Cube1,Context!$I$13,Context!$T$5,Context!$I$11,'Plan Input'!$B$12,Context!$I$12,'Plan Input'!I$2,Context!$I$10,'Plan Input'!$A133),"")</f>
        <v/>
      </c>
      <c r="J133" s="254" t="str">
        <f ca="1">IF(Flag_Send_Data=1,_xll.DBSW('Plan Input'!J133*1000,Server&amp;Cube1,Context!$I$13,Context!$T$5,Context!$I$11,'Plan Input'!$B$12,Context!$I$12,'Plan Input'!J$2,Context!$I$10,'Plan Input'!$A133),"")</f>
        <v/>
      </c>
      <c r="K133" s="254" t="str">
        <f ca="1">IF(Flag_Send_Data=1,_xll.DBSW('Plan Input'!K133*1000,Server&amp;Cube1,Context!$I$13,Context!$T$5,Context!$I$11,'Plan Input'!$B$12,Context!$I$12,'Plan Input'!K$2,Context!$I$10,'Plan Input'!$A133),"")</f>
        <v/>
      </c>
      <c r="L133" s="1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</row>
    <row r="134" spans="1:28" ht="6" customHeight="1">
      <c r="A134" s="93"/>
      <c r="B134" s="93"/>
      <c r="C134" s="146"/>
      <c r="D134" s="258"/>
      <c r="E134" s="258"/>
      <c r="F134" s="258"/>
      <c r="G134" s="256" t="str">
        <f ca="1">IF(Flag_Send_Data=1,_xll.DBSW('Plan Input'!G134*1000,Server&amp;Cube1,Context!$I$13,Context!$T$5,Context!$I$11,'Plan Input'!$B$12,Context!$I$12,'Plan Input'!G$2,Context!$I$10,'Plan Input'!$A134),"")</f>
        <v/>
      </c>
      <c r="H134" s="256" t="str">
        <f ca="1">IF(Flag_Send_Data=1,_xll.DBSW('Plan Input'!H134*1000,Server&amp;Cube1,Context!$I$13,Context!$T$5,Context!$I$11,'Plan Input'!$B$12,Context!$I$12,'Plan Input'!H$2,Context!$I$10,'Plan Input'!$A134),"")</f>
        <v/>
      </c>
      <c r="I134" s="256" t="str">
        <f ca="1">IF(Flag_Send_Data=1,_xll.DBSW('Plan Input'!I134*1000,Server&amp;Cube1,Context!$I$13,Context!$T$5,Context!$I$11,'Plan Input'!$B$12,Context!$I$12,'Plan Input'!I$2,Context!$I$10,'Plan Input'!$A134),"")</f>
        <v/>
      </c>
      <c r="J134" s="256" t="str">
        <f ca="1">IF(Flag_Send_Data=1,_xll.DBSW('Plan Input'!J134*1000,Server&amp;Cube1,Context!$I$13,Context!$T$5,Context!$I$11,'Plan Input'!$B$12,Context!$I$12,'Plan Input'!J$2,Context!$I$10,'Plan Input'!$A134),"")</f>
        <v/>
      </c>
      <c r="K134" s="256" t="str">
        <f ca="1">IF(Flag_Send_Data=1,_xll.DBSW('Plan Input'!K134*1000,Server&amp;Cube1,Context!$I$13,Context!$T$5,Context!$I$11,'Plan Input'!$B$12,Context!$I$12,'Plan Input'!K$2,Context!$I$10,'Plan Input'!$A134),"")</f>
        <v/>
      </c>
      <c r="L134" s="1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</row>
    <row r="135" spans="1:28" ht="15.75">
      <c r="A135" s="93"/>
      <c r="B135" s="93"/>
      <c r="C135" s="228"/>
      <c r="D135" s="228"/>
      <c r="E135" s="228"/>
      <c r="F135" s="228"/>
      <c r="G135" s="228"/>
      <c r="H135" s="228"/>
      <c r="I135" s="228"/>
      <c r="J135" s="228"/>
      <c r="K135" s="228"/>
      <c r="L135" s="1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</row>
    <row r="136" spans="1:28" ht="15.75">
      <c r="A136" s="93"/>
      <c r="B136" s="93"/>
      <c r="C136" s="228"/>
      <c r="D136" s="228"/>
      <c r="E136" s="228"/>
      <c r="F136" s="228"/>
      <c r="G136" s="228"/>
      <c r="H136" s="228"/>
      <c r="I136" s="228"/>
      <c r="J136" s="228"/>
      <c r="K136" s="228"/>
      <c r="L136" s="1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</row>
    <row r="137" spans="1:28" ht="15.75">
      <c r="A137" s="93"/>
      <c r="B137" s="93"/>
      <c r="C137" s="259"/>
      <c r="D137" s="228"/>
      <c r="E137" s="228"/>
      <c r="F137" s="228"/>
      <c r="G137" s="228"/>
      <c r="H137" s="228"/>
      <c r="I137" s="228"/>
      <c r="J137" s="228"/>
      <c r="K137" s="228"/>
      <c r="L137" s="1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15</v>
      </c>
      <c r="B138" s="93" t="s">
        <v>15</v>
      </c>
      <c r="C138" s="145"/>
      <c r="D138" s="257"/>
      <c r="E138" s="257"/>
      <c r="F138" s="257"/>
      <c r="G138" s="254" t="str">
        <f ca="1">IF(Flag_Send_Data=1,_xll.DBSW('Plan Input'!G138*1000,Server&amp;Cube1,Context!$I$13,Context!$T$5,Context!$I$11,'Plan Input'!$B$12,Context!$I$12,'Plan Input'!G$2,Context!$I$10,'Plan Input'!$A138),"")</f>
        <v/>
      </c>
      <c r="H138" s="254" t="str">
        <f ca="1">IF(Flag_Send_Data=1,_xll.DBSW('Plan Input'!H138*1000,Server&amp;Cube1,Context!$I$13,Context!$T$5,Context!$I$11,'Plan Input'!$B$12,Context!$I$12,'Plan Input'!H$2,Context!$I$10,'Plan Input'!$A138),"")</f>
        <v/>
      </c>
      <c r="I138" s="254" t="str">
        <f ca="1">IF(Flag_Send_Data=1,_xll.DBSW('Plan Input'!I138*1000,Server&amp;Cube1,Context!$I$13,Context!$T$5,Context!$I$11,'Plan Input'!$B$12,Context!$I$12,'Plan Input'!I$2,Context!$I$10,'Plan Input'!$A138),"")</f>
        <v/>
      </c>
      <c r="J138" s="254" t="str">
        <f ca="1">IF(Flag_Send_Data=1,_xll.DBSW('Plan Input'!J138*1000,Server&amp;Cube1,Context!$I$13,Context!$T$5,Context!$I$11,'Plan Input'!$B$12,Context!$I$12,'Plan Input'!J$2,Context!$I$10,'Plan Input'!$A138),"")</f>
        <v/>
      </c>
      <c r="K138" s="254" t="str">
        <f ca="1">IF(Flag_Send_Data=1,_xll.DBSW('Plan Input'!K138*1000,Server&amp;Cube1,Context!$I$13,Context!$T$5,Context!$I$11,'Plan Input'!$B$12,Context!$I$12,'Plan Input'!K$2,Context!$I$10,'Plan Input'!$A138),"")</f>
        <v/>
      </c>
      <c r="L138" s="1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16</v>
      </c>
      <c r="B139" s="93" t="s">
        <v>16</v>
      </c>
      <c r="C139" s="146"/>
      <c r="D139" s="258"/>
      <c r="E139" s="258"/>
      <c r="F139" s="258"/>
      <c r="G139" s="256" t="str">
        <f ca="1">IF(Flag_Send_Data=1,_xll.DBSW('Plan Input'!G139*1000,Server&amp;Cube1,Context!$I$13,Context!$T$5,Context!$I$11,'Plan Input'!$B$12,Context!$I$12,'Plan Input'!G$2,Context!$I$10,'Plan Input'!$A139),"")</f>
        <v/>
      </c>
      <c r="H139" s="256" t="str">
        <f ca="1">IF(Flag_Send_Data=1,_xll.DBSW('Plan Input'!H139*1000,Server&amp;Cube1,Context!$I$13,Context!$T$5,Context!$I$11,'Plan Input'!$B$12,Context!$I$12,'Plan Input'!H$2,Context!$I$10,'Plan Input'!$A139),"")</f>
        <v/>
      </c>
      <c r="I139" s="256" t="str">
        <f ca="1">IF(Flag_Send_Data=1,_xll.DBSW('Plan Input'!I139*1000,Server&amp;Cube1,Context!$I$13,Context!$T$5,Context!$I$11,'Plan Input'!$B$12,Context!$I$12,'Plan Input'!I$2,Context!$I$10,'Plan Input'!$A139),"")</f>
        <v/>
      </c>
      <c r="J139" s="256" t="str">
        <f ca="1">IF(Flag_Send_Data=1,_xll.DBSW('Plan Input'!J139*1000,Server&amp;Cube1,Context!$I$13,Context!$T$5,Context!$I$11,'Plan Input'!$B$12,Context!$I$12,'Plan Input'!J$2,Context!$I$10,'Plan Input'!$A139),"")</f>
        <v/>
      </c>
      <c r="K139" s="256" t="str">
        <f ca="1">IF(Flag_Send_Data=1,_xll.DBSW('Plan Input'!K139*1000,Server&amp;Cube1,Context!$I$13,Context!$T$5,Context!$I$11,'Plan Input'!$B$12,Context!$I$12,'Plan Input'!K$2,Context!$I$10,'Plan Input'!$A139),"")</f>
        <v/>
      </c>
      <c r="L139" s="1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</row>
    <row r="140" spans="1:28" ht="18" customHeight="1">
      <c r="A140" s="93" t="s">
        <v>17</v>
      </c>
      <c r="B140" s="93" t="s">
        <v>17</v>
      </c>
      <c r="C140" s="228"/>
      <c r="D140" s="228"/>
      <c r="E140" s="228"/>
      <c r="F140" s="228"/>
      <c r="G140" s="228"/>
      <c r="H140" s="228"/>
      <c r="I140" s="228"/>
      <c r="J140" s="228"/>
      <c r="K140" s="228"/>
      <c r="L140" s="1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93" t="s">
        <v>18</v>
      </c>
      <c r="B141" s="93" t="s">
        <v>18</v>
      </c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93" t="s">
        <v>19</v>
      </c>
      <c r="B142" s="93" t="s">
        <v>19</v>
      </c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93" t="s">
        <v>20</v>
      </c>
      <c r="B143" s="93" t="s">
        <v>20</v>
      </c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</row>
    <row r="144" spans="1:28" ht="18" customHeight="1">
      <c r="A144" s="93" t="s">
        <v>21</v>
      </c>
      <c r="B144" s="93" t="s">
        <v>21</v>
      </c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 collapsed="1">
      <c r="A145" s="93" t="s">
        <v>22</v>
      </c>
      <c r="B145" s="93" t="s">
        <v>22</v>
      </c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</row>
    <row r="146" spans="1:28" ht="18" customHeight="1">
      <c r="A146" s="93" t="s">
        <v>23</v>
      </c>
      <c r="B146" s="93" t="s">
        <v>23</v>
      </c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</row>
    <row r="147" spans="1:28" ht="18" customHeight="1">
      <c r="A147" s="93" t="s">
        <v>24</v>
      </c>
      <c r="B147" s="93" t="s">
        <v>24</v>
      </c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93" t="s">
        <v>25</v>
      </c>
      <c r="B148" s="93" t="s">
        <v>25</v>
      </c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177" t="s">
        <v>220</v>
      </c>
      <c r="B149" s="177" t="s">
        <v>220</v>
      </c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5.75">
      <c r="A150" s="177" t="s">
        <v>219</v>
      </c>
      <c r="B150" s="177" t="s">
        <v>219</v>
      </c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1.25" customHeight="1">
      <c r="A151" s="93"/>
      <c r="B151" s="93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93" t="s">
        <v>26</v>
      </c>
      <c r="B152" s="93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6" customHeight="1">
      <c r="A153" s="93"/>
      <c r="B153" s="93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93" t="s">
        <v>27</v>
      </c>
      <c r="B154" s="93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6" customHeight="1">
      <c r="A155" s="93"/>
      <c r="B155" s="93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5.75">
      <c r="A156" s="93"/>
      <c r="B156" s="93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>
      <c r="A157" s="93" t="s">
        <v>28</v>
      </c>
      <c r="B157" s="93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93" t="s">
        <v>179</v>
      </c>
      <c r="B158" s="93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177" t="s">
        <v>218</v>
      </c>
      <c r="B159" s="177" t="s">
        <v>218</v>
      </c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8" customHeight="1">
      <c r="A160" s="93" t="s">
        <v>29</v>
      </c>
      <c r="B160" s="93" t="s">
        <v>29</v>
      </c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8" customHeight="1">
      <c r="A161" s="93" t="s">
        <v>30</v>
      </c>
      <c r="B161" s="93" t="s">
        <v>30</v>
      </c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8" customHeight="1" collapsed="1">
      <c r="A162" s="93" t="s">
        <v>31</v>
      </c>
      <c r="B162" s="93" t="s">
        <v>31</v>
      </c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8" customHeight="1">
      <c r="A163" s="93" t="s">
        <v>32</v>
      </c>
      <c r="B163" s="93" t="s">
        <v>32</v>
      </c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93" t="s">
        <v>33</v>
      </c>
      <c r="B164" s="93" t="s">
        <v>33</v>
      </c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18" customHeight="1">
      <c r="A165" s="93" t="s">
        <v>34</v>
      </c>
      <c r="B165" s="93" t="s">
        <v>34</v>
      </c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6" customHeight="1">
      <c r="A166" s="93"/>
      <c r="B166" s="93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18" customHeight="1">
      <c r="A167" s="93" t="s">
        <v>35</v>
      </c>
      <c r="B167" s="93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6" customHeight="1">
      <c r="A168" s="93"/>
      <c r="B168" s="93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customHeight="1">
      <c r="A169" s="93" t="s">
        <v>61</v>
      </c>
      <c r="B169" s="93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6" customHeight="1">
      <c r="A170" s="93"/>
      <c r="B170" s="93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93" t="s">
        <v>36</v>
      </c>
      <c r="B171" s="93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52.5" customHeight="1">
      <c r="A172" s="93"/>
      <c r="B172" s="93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23.25" customHeight="1">
      <c r="A173" s="93"/>
      <c r="B173" s="93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9" customHeight="1">
      <c r="A174" s="93"/>
      <c r="B174" s="93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93" t="s">
        <v>234</v>
      </c>
      <c r="B175" s="93" t="s">
        <v>234</v>
      </c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93"/>
      <c r="B176" s="93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9" ht="18" customHeight="1">
      <c r="A177" s="177" t="s">
        <v>202</v>
      </c>
      <c r="B177" s="177" t="s">
        <v>202</v>
      </c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9" ht="18" customHeight="1">
      <c r="A178" s="93" t="s">
        <v>37</v>
      </c>
      <c r="B178" s="93" t="s">
        <v>37</v>
      </c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9" ht="18" customHeight="1">
      <c r="A179" s="93" t="s">
        <v>38</v>
      </c>
      <c r="B179" s="93" t="s">
        <v>38</v>
      </c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9" ht="18" customHeight="1">
      <c r="A180" s="93" t="s">
        <v>39</v>
      </c>
      <c r="B180" s="93" t="s">
        <v>39</v>
      </c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9" ht="18" customHeight="1">
      <c r="A181" s="93" t="s">
        <v>40</v>
      </c>
      <c r="B181" s="93" t="s">
        <v>40</v>
      </c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9" ht="18" customHeight="1">
      <c r="A182" s="93" t="s">
        <v>41</v>
      </c>
      <c r="B182" s="93" t="s">
        <v>41</v>
      </c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9" ht="6" customHeight="1">
      <c r="A183" s="93"/>
      <c r="B183" s="93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9" ht="18" customHeight="1">
      <c r="A184" s="93" t="s">
        <v>233</v>
      </c>
      <c r="B184" s="93" t="s">
        <v>233</v>
      </c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  <row r="185" spans="1:29" ht="18" customHeight="1">
      <c r="A185" s="93"/>
      <c r="B185" s="93"/>
      <c r="C185" s="228"/>
      <c r="D185" s="228"/>
      <c r="E185" s="228"/>
      <c r="F185" s="228"/>
      <c r="G185" s="228"/>
      <c r="H185" s="228"/>
      <c r="I185" s="228"/>
      <c r="J185" s="228"/>
      <c r="K185" s="228"/>
      <c r="L185" s="228"/>
      <c r="M185" s="77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7"/>
      <c r="Y185" s="77"/>
      <c r="Z185" s="77"/>
      <c r="AA185" s="77"/>
      <c r="AB185" s="77"/>
      <c r="AC185" s="86"/>
    </row>
    <row r="186" spans="1:29" ht="18" customHeight="1">
      <c r="A186" s="93"/>
      <c r="B186" s="93"/>
      <c r="C186" s="228"/>
      <c r="D186" s="228"/>
      <c r="E186" s="228"/>
      <c r="F186" s="228"/>
      <c r="G186" s="228"/>
      <c r="H186" s="228"/>
      <c r="I186" s="228"/>
      <c r="J186" s="228"/>
      <c r="K186" s="228"/>
      <c r="L186" s="228"/>
      <c r="M186" s="77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7"/>
      <c r="Y186" s="77"/>
      <c r="Z186" s="77"/>
      <c r="AA186" s="77"/>
      <c r="AB186" s="77"/>
      <c r="AC186" s="86"/>
    </row>
    <row r="187" spans="1:29" ht="18" customHeight="1">
      <c r="A187" s="93"/>
      <c r="B187" s="93"/>
      <c r="C187" s="228"/>
      <c r="D187" s="228"/>
      <c r="E187" s="228"/>
      <c r="F187" s="228"/>
      <c r="G187" s="228"/>
      <c r="H187" s="228"/>
      <c r="I187" s="228"/>
      <c r="J187" s="228"/>
      <c r="K187" s="228"/>
      <c r="L187" s="228"/>
      <c r="M187" s="77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7"/>
      <c r="Y187" s="77"/>
      <c r="Z187" s="77"/>
      <c r="AA187" s="77"/>
      <c r="AB187" s="77"/>
      <c r="AC187" s="86"/>
    </row>
    <row r="188" spans="1:29" ht="18" customHeight="1">
      <c r="A188" s="93"/>
      <c r="B188" s="93"/>
      <c r="C188" s="228"/>
      <c r="D188" s="228"/>
      <c r="E188" s="228"/>
      <c r="F188" s="228"/>
      <c r="G188" s="228"/>
      <c r="H188" s="228"/>
      <c r="I188" s="228"/>
      <c r="J188" s="228"/>
      <c r="K188" s="228"/>
      <c r="L188" s="22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86"/>
    </row>
    <row r="189" spans="1:29" ht="18" customHeight="1">
      <c r="A189" s="93"/>
      <c r="B189" s="93"/>
      <c r="C189" s="228"/>
      <c r="D189" s="228"/>
      <c r="E189" s="228"/>
      <c r="F189" s="228"/>
      <c r="G189" s="228"/>
      <c r="H189" s="228"/>
      <c r="I189" s="228"/>
      <c r="J189" s="228"/>
      <c r="K189" s="228"/>
      <c r="L189" s="22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86"/>
    </row>
    <row r="190" spans="1:29" ht="18" customHeight="1">
      <c r="A190" s="93"/>
      <c r="B190" s="93"/>
      <c r="C190" s="228"/>
      <c r="D190" s="228"/>
      <c r="E190" s="228"/>
      <c r="F190" s="228"/>
      <c r="G190" s="228"/>
      <c r="H190" s="228"/>
      <c r="I190" s="228"/>
      <c r="J190" s="228"/>
      <c r="K190" s="228"/>
      <c r="L190" s="22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86"/>
    </row>
    <row r="191" spans="1:29" ht="18" customHeight="1">
      <c r="A191" s="93"/>
      <c r="B191" s="93"/>
      <c r="C191" s="228"/>
      <c r="D191" s="228"/>
      <c r="E191" s="228"/>
      <c r="F191" s="228"/>
      <c r="G191" s="228"/>
      <c r="H191" s="228"/>
      <c r="I191" s="228"/>
      <c r="J191" s="228"/>
      <c r="K191" s="228"/>
      <c r="L191" s="22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86"/>
    </row>
    <row r="192" spans="1:29" ht="18" customHeight="1">
      <c r="A192" s="93"/>
      <c r="B192" s="93"/>
      <c r="C192" s="228"/>
      <c r="D192" s="228"/>
      <c r="E192" s="228"/>
      <c r="F192" s="228"/>
      <c r="G192" s="228"/>
      <c r="H192" s="228"/>
      <c r="I192" s="228"/>
      <c r="J192" s="228"/>
      <c r="K192" s="228"/>
      <c r="L192" s="22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86"/>
    </row>
    <row r="193" spans="1:29" ht="18" customHeight="1">
      <c r="A193" s="93"/>
      <c r="B193" s="93"/>
      <c r="C193" s="228"/>
      <c r="D193" s="228"/>
      <c r="E193" s="228"/>
      <c r="F193" s="228"/>
      <c r="G193" s="228"/>
      <c r="H193" s="228"/>
      <c r="I193" s="228"/>
      <c r="J193" s="228"/>
      <c r="K193" s="228"/>
      <c r="L193" s="22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86"/>
    </row>
    <row r="194" spans="1:29" ht="18" customHeight="1">
      <c r="A194" s="93"/>
      <c r="B194" s="93"/>
      <c r="C194" s="228"/>
      <c r="D194" s="228"/>
      <c r="E194" s="228"/>
      <c r="F194" s="228"/>
      <c r="G194" s="228"/>
      <c r="H194" s="228"/>
      <c r="I194" s="228"/>
      <c r="J194" s="228"/>
      <c r="K194" s="228"/>
      <c r="L194" s="22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86"/>
    </row>
    <row r="195" spans="1:29" ht="18" customHeight="1">
      <c r="A195" s="93"/>
      <c r="B195" s="93"/>
      <c r="C195" s="228"/>
      <c r="D195" s="228"/>
      <c r="E195" s="228"/>
      <c r="F195" s="228"/>
      <c r="G195" s="228"/>
      <c r="H195" s="228"/>
      <c r="I195" s="228"/>
      <c r="J195" s="228"/>
      <c r="K195" s="228"/>
      <c r="L195" s="22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86"/>
    </row>
    <row r="196" spans="1:29" ht="18" customHeight="1"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</row>
    <row r="197" spans="1:29" ht="18" customHeight="1"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</row>
    <row r="198" spans="1:29" ht="18" customHeight="1"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</row>
    <row r="199" spans="1:29" ht="18" customHeight="1"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P199" s="141"/>
      <c r="Q199" s="142"/>
    </row>
    <row r="200" spans="1:29" ht="18" customHeight="1"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P200" s="141"/>
      <c r="Q200" s="142"/>
    </row>
    <row r="201" spans="1:29" ht="18" customHeight="1">
      <c r="C201" s="228"/>
      <c r="D201" s="228"/>
      <c r="E201" s="228"/>
      <c r="F201" s="228"/>
      <c r="G201" s="228"/>
      <c r="H201" s="228"/>
      <c r="I201" s="228"/>
      <c r="J201" s="228"/>
      <c r="K201" s="228"/>
      <c r="L201" s="228"/>
      <c r="P201" s="141"/>
      <c r="Q201" s="142"/>
    </row>
    <row r="202" spans="1:29" ht="18" customHeight="1">
      <c r="C202" s="228"/>
      <c r="D202" s="228"/>
      <c r="E202" s="228"/>
      <c r="F202" s="228"/>
      <c r="G202" s="228"/>
      <c r="H202" s="228"/>
      <c r="I202" s="228"/>
      <c r="J202" s="228"/>
      <c r="K202" s="228"/>
      <c r="L202" s="228"/>
      <c r="P202" s="141"/>
      <c r="Q202" s="142"/>
    </row>
    <row r="203" spans="1:29" ht="18" customHeight="1"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P203" s="141"/>
      <c r="Q203" s="142"/>
    </row>
    <row r="204" spans="1:29" ht="18" customHeight="1">
      <c r="C204" s="228"/>
      <c r="D204" s="228"/>
      <c r="E204" s="228"/>
      <c r="F204" s="228"/>
      <c r="G204" s="228"/>
      <c r="H204" s="228"/>
      <c r="I204" s="228"/>
      <c r="J204" s="228"/>
      <c r="K204" s="228"/>
      <c r="L204" s="228"/>
      <c r="P204" s="141"/>
      <c r="Q204" s="142"/>
    </row>
    <row r="205" spans="1:29" ht="18" customHeight="1">
      <c r="C205" s="228"/>
      <c r="D205" s="228"/>
      <c r="E205" s="228"/>
      <c r="F205" s="228"/>
      <c r="G205" s="228"/>
      <c r="H205" s="228"/>
      <c r="I205" s="228"/>
      <c r="J205" s="228"/>
      <c r="K205" s="228"/>
      <c r="L205" s="228"/>
      <c r="P205" s="141"/>
      <c r="Q205" s="142"/>
    </row>
    <row r="206" spans="1:29" ht="18" customHeight="1">
      <c r="C206" s="228"/>
      <c r="D206" s="228"/>
      <c r="E206" s="228"/>
      <c r="F206" s="228"/>
      <c r="G206" s="228"/>
      <c r="H206" s="228"/>
      <c r="I206" s="228"/>
      <c r="J206" s="228"/>
      <c r="K206" s="228"/>
      <c r="L206" s="228"/>
      <c r="P206" s="141"/>
      <c r="Q206" s="142"/>
    </row>
    <row r="207" spans="1:29" ht="18" customHeight="1">
      <c r="A207" s="143"/>
      <c r="B207" s="143"/>
      <c r="C207" s="228"/>
      <c r="D207" s="228"/>
      <c r="E207" s="228"/>
      <c r="F207" s="228"/>
      <c r="G207" s="228"/>
      <c r="H207" s="228"/>
      <c r="I207" s="228"/>
      <c r="J207" s="228"/>
      <c r="K207" s="228"/>
      <c r="L207" s="228"/>
      <c r="M207" s="1"/>
      <c r="N207" s="1"/>
      <c r="O207" s="1"/>
      <c r="P207" s="141"/>
      <c r="Q207" s="142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43"/>
      <c r="B208" s="143"/>
      <c r="C208" s="1"/>
      <c r="L208" s="1"/>
      <c r="M208" s="1"/>
      <c r="N208" s="1"/>
      <c r="O208" s="1"/>
      <c r="P208" s="141"/>
      <c r="Q208" s="142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43"/>
      <c r="B209" s="143"/>
      <c r="C209" s="1"/>
      <c r="L209" s="1"/>
      <c r="M209" s="1"/>
      <c r="N209" s="1"/>
      <c r="O209" s="1"/>
      <c r="P209" s="141"/>
      <c r="Q209" s="142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43"/>
      <c r="B210" s="143"/>
      <c r="C210" s="1"/>
      <c r="L210" s="1"/>
      <c r="M210" s="1"/>
      <c r="N210" s="1"/>
      <c r="O210" s="1"/>
      <c r="P210" s="141"/>
      <c r="Q210" s="142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43"/>
      <c r="B211" s="143"/>
      <c r="C211" s="1"/>
      <c r="L211" s="1"/>
      <c r="M211" s="1"/>
      <c r="N211" s="1"/>
      <c r="O211" s="1"/>
      <c r="Q211" s="142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43"/>
      <c r="B212" s="143"/>
      <c r="C212" s="1"/>
      <c r="L212" s="1"/>
      <c r="M212" s="1"/>
      <c r="N212" s="1"/>
      <c r="O212" s="1"/>
      <c r="Q212" s="142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43"/>
      <c r="B213" s="143"/>
      <c r="C213" s="1"/>
      <c r="L213" s="1"/>
      <c r="M213" s="1"/>
      <c r="N213" s="1"/>
      <c r="O213" s="1"/>
      <c r="Q213" s="142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43"/>
      <c r="B214" s="143"/>
      <c r="C214" s="1"/>
      <c r="L214" s="1"/>
      <c r="M214" s="1"/>
      <c r="N214" s="1"/>
      <c r="O214" s="1"/>
      <c r="Q214" s="142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43"/>
      <c r="B215" s="143"/>
      <c r="C215" s="1"/>
      <c r="L215" s="1"/>
      <c r="M215" s="1"/>
      <c r="N215" s="1"/>
      <c r="O215" s="1"/>
      <c r="Q215" s="142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43"/>
      <c r="B216" s="143"/>
      <c r="C216" s="1"/>
      <c r="L216" s="1"/>
      <c r="M216" s="1"/>
      <c r="N216" s="1"/>
      <c r="O216" s="1"/>
      <c r="Q216" s="142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D8:F8"/>
    <mergeCell ref="I8:J9"/>
    <mergeCell ref="J13:K13"/>
    <mergeCell ref="J14:K14"/>
    <mergeCell ref="D18:K19"/>
    <mergeCell ref="K20:K21"/>
    <mergeCell ref="D20:D21"/>
    <mergeCell ref="E20:E21"/>
    <mergeCell ref="F20:F21"/>
    <mergeCell ref="G20:G21"/>
    <mergeCell ref="H20:H21"/>
    <mergeCell ref="I20:I21"/>
    <mergeCell ref="J20:J21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FRS16Simulation">
    <tabColor rgb="FFF2B999"/>
  </sheetPr>
  <dimension ref="A1:AH35"/>
  <sheetViews>
    <sheetView showGridLines="0" topLeftCell="C5" zoomScale="80" zoomScaleNormal="80" workbookViewId="0">
      <selection activeCell="M44" sqref="M44"/>
    </sheetView>
  </sheetViews>
  <sheetFormatPr baseColWidth="10" defaultColWidth="9.140625" defaultRowHeight="12" outlineLevelRow="1" outlineLevelCol="1"/>
  <cols>
    <col min="1" max="2" width="9.140625" style="182" hidden="1" customWidth="1" outlineLevel="1"/>
    <col min="3" max="3" width="4.28515625" style="182" customWidth="1" collapsed="1"/>
    <col min="4" max="6" width="10.42578125" style="182" customWidth="1"/>
    <col min="7" max="7" width="11.140625" style="182" customWidth="1"/>
    <col min="8" max="8" width="14.85546875" style="182" customWidth="1"/>
    <col min="9" max="13" width="10.42578125" style="182" customWidth="1"/>
    <col min="14" max="14" width="2.140625" style="182" customWidth="1"/>
    <col min="15" max="15" width="9" style="182" hidden="1" customWidth="1" outlineLevel="1"/>
    <col min="16" max="16" width="14.140625" style="182" customWidth="1" collapsed="1"/>
    <col min="17" max="21" width="14.140625" style="182" customWidth="1"/>
    <col min="22" max="26" width="14.140625" style="183" hidden="1" customWidth="1" outlineLevel="1"/>
    <col min="27" max="33" width="14.140625" style="182" hidden="1" customWidth="1" outlineLevel="1"/>
    <col min="34" max="34" width="9.140625" style="182" collapsed="1"/>
    <col min="35" max="16384" width="9.140625" style="182"/>
  </cols>
  <sheetData>
    <row r="1" spans="1:33" ht="15.75" hidden="1" outlineLevel="1">
      <c r="J1" s="58" t="s">
        <v>87</v>
      </c>
      <c r="K1" s="19" t="str">
        <f ca="1">_xll.SUBNM(Server&amp;"Phase","",Context!$I$10,"")</f>
        <v>LTP_2021_VC</v>
      </c>
      <c r="O1" s="20" t="str">
        <f ca="1">"F_year_"&amp;$K$2</f>
        <v>F_year_2021</v>
      </c>
      <c r="P1" s="20" t="str">
        <f ca="1">_xll.DBRA(Server&amp;$J$2,O1,"Next Year")</f>
        <v>F_year_2022</v>
      </c>
      <c r="Q1" s="20" t="str">
        <f ca="1">_xll.DBRA(Server&amp;$J$2,P1,"Next Year")</f>
        <v>F_year_2023</v>
      </c>
      <c r="R1" s="20" t="str">
        <f ca="1">_xll.DBRA(Server&amp;$J$2,Q1,"Next Year")</f>
        <v>F_year_2024</v>
      </c>
      <c r="S1" s="20" t="str">
        <f ca="1">_xll.DBRA(Server&amp;$J$2,R1,"Next Year")</f>
        <v>F_year_2025</v>
      </c>
      <c r="T1" s="20" t="str">
        <f ca="1">_xll.DBRA(Server&amp;$J$2,S1,"Next Year")</f>
        <v>F_year_2026</v>
      </c>
      <c r="U1" s="20" t="str">
        <f ca="1">_xll.DBRA(Server&amp;$J$2,T1,"Next Year")</f>
        <v>F_year_2027</v>
      </c>
      <c r="V1" s="20" t="str">
        <f ca="1">_xll.DBRA(Server&amp;$J$2,U1,"Next Year")</f>
        <v>F_year_2028</v>
      </c>
      <c r="W1" s="20" t="str">
        <f ca="1">_xll.DBRA(Server&amp;$J$2,V1,"Next Year")</f>
        <v>F_year_2029</v>
      </c>
      <c r="X1" s="20" t="str">
        <f ca="1">_xll.DBRA(Server&amp;$J$2,W1,"Next Year")</f>
        <v>F_year_2030</v>
      </c>
      <c r="Y1" s="20" t="str">
        <f ca="1">_xll.DBRA(Server&amp;$J$2,X1,"Next Year")</f>
        <v>F_year_2031</v>
      </c>
      <c r="Z1" s="20" t="str">
        <f ca="1">_xll.DBRA(Server&amp;$J$2,Y1,"Next Year")</f>
        <v>F_year_2032</v>
      </c>
      <c r="AA1" s="20" t="str">
        <f ca="1">_xll.DBRA(Server&amp;$J$2,Z1,"Next Year")</f>
        <v>F_year_2033</v>
      </c>
      <c r="AB1" s="20" t="str">
        <f ca="1">_xll.DBRA(Server&amp;$J$2,AA1,"Next Year")</f>
        <v>F_year_2034</v>
      </c>
      <c r="AC1" s="20" t="str">
        <f ca="1">_xll.DBRA(Server&amp;$J$2,AB1,"Next Year")</f>
        <v>F_year_2035</v>
      </c>
      <c r="AD1" s="20" t="str">
        <f ca="1">_xll.DBRA(Server&amp;$J$2,AC1,"Next Year")</f>
        <v>F_year_2036</v>
      </c>
      <c r="AE1" s="20" t="str">
        <f ca="1">_xll.DBRA(Server&amp;$J$2,AD1,"Next Year")</f>
        <v>F_year_2037</v>
      </c>
      <c r="AF1" s="20" t="str">
        <f ca="1">_xll.DBRA(Server&amp;$J$2,AE1,"Next Year")</f>
        <v>F_year_2038</v>
      </c>
      <c r="AG1" s="20" t="str">
        <f ca="1">_xll.DBRA(Server&amp;$J$2,AF1,"Next Year")</f>
        <v>F_year_2039</v>
      </c>
    </row>
    <row r="2" spans="1:33" ht="15.75" hidden="1" outlineLevel="1">
      <c r="J2" s="58" t="s">
        <v>100</v>
      </c>
      <c r="K2" s="19" t="str">
        <f ca="1">MID(K1,5,4)</f>
        <v>2021</v>
      </c>
      <c r="O2" s="20" t="str">
        <f ca="1">K2</f>
        <v>2021</v>
      </c>
      <c r="P2" s="20" t="str">
        <f ca="1">_xll.DBRA(Server&amp;$J$2,O2,"Next Year")</f>
        <v>2022</v>
      </c>
      <c r="Q2" s="20" t="str">
        <f ca="1">_xll.DBRA(Server&amp;$J$2,P2,"Next Year")</f>
        <v>2023</v>
      </c>
      <c r="R2" s="20" t="str">
        <f ca="1">_xll.DBRA(Server&amp;$J$2,Q2,"Next Year")</f>
        <v>2024</v>
      </c>
      <c r="S2" s="20" t="str">
        <f ca="1">_xll.DBRA(Server&amp;$J$2,R2,"Next Year")</f>
        <v>2025</v>
      </c>
      <c r="T2" s="20" t="str">
        <f ca="1">_xll.DBRA(Server&amp;$J$2,S2,"Next Year")</f>
        <v>2026</v>
      </c>
      <c r="U2" s="20" t="str">
        <f ca="1">_xll.DBRA(Server&amp;$J$2,T2,"Next Year")</f>
        <v>2027</v>
      </c>
      <c r="V2" s="20" t="str">
        <f ca="1">_xll.DBRA(Server&amp;$J$2,U2,"Next Year")</f>
        <v>2028</v>
      </c>
      <c r="W2" s="20" t="str">
        <f ca="1">_xll.DBRA(Server&amp;$J$2,V2,"Next Year")</f>
        <v>2029</v>
      </c>
      <c r="X2" s="20" t="str">
        <f ca="1">_xll.DBRA(Server&amp;$J$2,W2,"Next Year")</f>
        <v>2030</v>
      </c>
      <c r="Y2" s="20" t="str">
        <f ca="1">_xll.DBRA(Server&amp;$J$2,X2,"Next Year")</f>
        <v>2031</v>
      </c>
      <c r="Z2" s="20" t="str">
        <f ca="1">_xll.DBRA(Server&amp;$J$2,Y2,"Next Year")</f>
        <v>2032</v>
      </c>
      <c r="AA2" s="20" t="str">
        <f ca="1">_xll.DBRA(Server&amp;$J$2,Z2,"Next Year")</f>
        <v>2033</v>
      </c>
      <c r="AB2" s="20" t="str">
        <f ca="1">_xll.DBRA(Server&amp;$J$2,AA2,"Next Year")</f>
        <v>2034</v>
      </c>
      <c r="AC2" s="20" t="str">
        <f ca="1">_xll.DBRA(Server&amp;$J$2,AB2,"Next Year")</f>
        <v>2035</v>
      </c>
      <c r="AD2" s="20" t="str">
        <f ca="1">_xll.DBRA(Server&amp;$J$2,AC2,"Next Year")</f>
        <v>2036</v>
      </c>
      <c r="AE2" s="20" t="str">
        <f ca="1">_xll.DBRA(Server&amp;$J$2,AD2,"Next Year")</f>
        <v>2037</v>
      </c>
      <c r="AF2" s="20" t="str">
        <f ca="1">_xll.DBRA(Server&amp;$J$2,AE2,"Next Year")</f>
        <v>2038</v>
      </c>
      <c r="AG2" s="20" t="str">
        <f ca="1">_xll.DBRA(Server&amp;$J$2,AF2,"Next Year")</f>
        <v>2039</v>
      </c>
    </row>
    <row r="3" spans="1:33" hidden="1" outlineLevel="1">
      <c r="P3" s="182">
        <f ca="1">VALUE(P2)</f>
        <v>2022</v>
      </c>
      <c r="Q3" s="182">
        <f t="shared" ref="Q3:AG3" ca="1" si="0">VALUE(Q2)</f>
        <v>2023</v>
      </c>
      <c r="R3" s="182">
        <f t="shared" ca="1" si="0"/>
        <v>2024</v>
      </c>
      <c r="S3" s="182">
        <f t="shared" ca="1" si="0"/>
        <v>2025</v>
      </c>
      <c r="T3" s="182">
        <f t="shared" ca="1" si="0"/>
        <v>2026</v>
      </c>
      <c r="U3" s="182">
        <f t="shared" ca="1" si="0"/>
        <v>2027</v>
      </c>
      <c r="V3" s="182">
        <f t="shared" ca="1" si="0"/>
        <v>2028</v>
      </c>
      <c r="W3" s="182">
        <f t="shared" ca="1" si="0"/>
        <v>2029</v>
      </c>
      <c r="X3" s="182">
        <f t="shared" ca="1" si="0"/>
        <v>2030</v>
      </c>
      <c r="Y3" s="182">
        <f t="shared" ca="1" si="0"/>
        <v>2031</v>
      </c>
      <c r="Z3" s="182">
        <f t="shared" ca="1" si="0"/>
        <v>2032</v>
      </c>
      <c r="AA3" s="182">
        <f t="shared" ca="1" si="0"/>
        <v>2033</v>
      </c>
      <c r="AB3" s="182">
        <f t="shared" ca="1" si="0"/>
        <v>2034</v>
      </c>
      <c r="AC3" s="182">
        <f t="shared" ca="1" si="0"/>
        <v>2035</v>
      </c>
      <c r="AD3" s="182">
        <f t="shared" ca="1" si="0"/>
        <v>2036</v>
      </c>
      <c r="AE3" s="182">
        <f t="shared" ca="1" si="0"/>
        <v>2037</v>
      </c>
      <c r="AF3" s="182">
        <f t="shared" ca="1" si="0"/>
        <v>2038</v>
      </c>
      <c r="AG3" s="182">
        <f t="shared" ca="1" si="0"/>
        <v>2039</v>
      </c>
    </row>
    <row r="4" spans="1:33" hidden="1" outlineLevel="1"/>
    <row r="5" spans="1:33" ht="12.75" collapsed="1">
      <c r="P5"/>
      <c r="V5" s="182"/>
      <c r="W5" s="182"/>
      <c r="X5" s="182"/>
      <c r="Y5" s="182"/>
      <c r="Z5" s="182"/>
    </row>
    <row r="6" spans="1:33" ht="51" customHeight="1">
      <c r="D6" s="180" t="s">
        <v>118</v>
      </c>
      <c r="E6" s="156" t="str">
        <f>IF(xLanguage="English","Lease Duration","Durée du lease")</f>
        <v>Durée du lease</v>
      </c>
      <c r="F6" s="156" t="str">
        <f>IF(xLanguage="English","Asset value","Valeur de l'actif")</f>
        <v>Valeur de l'actif</v>
      </c>
      <c r="G6" s="156" t="str">
        <f>IF(xLanguage="English","Annual lease cost (-)","Loyer annuel (-)")</f>
        <v>Loyer annuel (-)</v>
      </c>
      <c r="H6" s="156" t="str">
        <f>IF(xLanguage="English","Number of months  for the 1st year","Nb de mois pour la 1ère année")</f>
        <v>Nb de mois pour la 1ère année</v>
      </c>
      <c r="I6" s="157" t="str">
        <f>IF(xLanguage="English","Start Up year","Année de démarrage")</f>
        <v>Année de démarrage</v>
      </c>
      <c r="J6" s="158" t="str">
        <f>IF(xLanguage="English","Implicit interest rate","Taux d'intérêt implicite")</f>
        <v>Taux d'intérêt implicite</v>
      </c>
      <c r="K6" s="156" t="str">
        <f>IF(xLanguage="English","Monthly lease factor","lease factor mensuel")</f>
        <v>lease factor mensuel</v>
      </c>
      <c r="L6" s="156" t="str">
        <f>IF(xLanguage="English","Right of use","Droits d'utilisation")</f>
        <v>Droits d'utilisation</v>
      </c>
      <c r="M6" s="156" t="str">
        <f>IF(xLanguage="English","Right of use / asset value","Droits d'utilisation / Valeur de l'actif")</f>
        <v>Droits d'utilisation / Valeur de l'actif</v>
      </c>
      <c r="N6" s="181"/>
      <c r="O6" s="181"/>
      <c r="P6"/>
      <c r="V6" s="182"/>
      <c r="W6" s="182"/>
      <c r="X6" s="182"/>
      <c r="Y6" s="182"/>
      <c r="Z6" s="182"/>
    </row>
    <row r="7" spans="1:33" s="183" customFormat="1" ht="12.75" customHeight="1">
      <c r="G7" s="184"/>
      <c r="I7" s="184"/>
      <c r="J7" s="185"/>
      <c r="K7" s="185"/>
      <c r="L7" s="185"/>
      <c r="M7" s="185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</row>
    <row r="8" spans="1:33" s="183" customFormat="1" ht="12.75" customHeight="1" thickBot="1">
      <c r="E8" s="166">
        <v>10</v>
      </c>
      <c r="F8" s="166">
        <v>500</v>
      </c>
      <c r="G8" s="166">
        <v>-50</v>
      </c>
      <c r="H8" s="166">
        <v>10</v>
      </c>
      <c r="I8" s="179">
        <v>2020</v>
      </c>
      <c r="J8" s="167">
        <v>9.4999999999999998E-3</v>
      </c>
      <c r="K8" s="168">
        <f>-G8/F8/12</f>
        <v>8.3333333333333332E-3</v>
      </c>
      <c r="L8" s="169">
        <f>-PV(J8/12,E8*12,-G8/12,0)*(1+J8/12)^1</f>
        <v>477.18213728436751</v>
      </c>
      <c r="M8" s="168">
        <f>-L8/F8</f>
        <v>-0.95436427456873507</v>
      </c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</row>
    <row r="9" spans="1:33" s="183" customFormat="1" ht="12.75" hidden="1" customHeight="1" outlineLevel="1">
      <c r="G9" s="184"/>
      <c r="I9" s="184"/>
      <c r="J9" s="185"/>
      <c r="K9" s="186" t="s">
        <v>211</v>
      </c>
      <c r="L9" s="185"/>
      <c r="M9" s="185"/>
      <c r="O9" s="149"/>
      <c r="P9" s="187">
        <f t="shared" ref="P9:AG9" ca="1" si="1">IF($I$8=P12,$H$8+1,IF($I$8&gt;P12,0,IF(O9+12&lt;12*$E$8,O9+12,12*$E$8)))</f>
        <v>12</v>
      </c>
      <c r="Q9" s="187">
        <f t="shared" ca="1" si="1"/>
        <v>24</v>
      </c>
      <c r="R9" s="187">
        <f t="shared" ca="1" si="1"/>
        <v>36</v>
      </c>
      <c r="S9" s="187">
        <f t="shared" ca="1" si="1"/>
        <v>48</v>
      </c>
      <c r="T9" s="187">
        <f t="shared" ca="1" si="1"/>
        <v>60</v>
      </c>
      <c r="U9" s="187">
        <f t="shared" ca="1" si="1"/>
        <v>72</v>
      </c>
      <c r="V9" s="187">
        <f t="shared" ca="1" si="1"/>
        <v>84</v>
      </c>
      <c r="W9" s="187">
        <f t="shared" ca="1" si="1"/>
        <v>96</v>
      </c>
      <c r="X9" s="187">
        <f t="shared" ca="1" si="1"/>
        <v>108</v>
      </c>
      <c r="Y9" s="187">
        <f t="shared" ca="1" si="1"/>
        <v>120</v>
      </c>
      <c r="Z9" s="187">
        <f t="shared" ca="1" si="1"/>
        <v>120</v>
      </c>
      <c r="AA9" s="187">
        <f t="shared" ca="1" si="1"/>
        <v>120</v>
      </c>
      <c r="AB9" s="187">
        <f t="shared" ca="1" si="1"/>
        <v>120</v>
      </c>
      <c r="AC9" s="187">
        <f t="shared" ca="1" si="1"/>
        <v>120</v>
      </c>
      <c r="AD9" s="187">
        <f t="shared" ca="1" si="1"/>
        <v>120</v>
      </c>
      <c r="AE9" s="187">
        <f t="shared" ca="1" si="1"/>
        <v>120</v>
      </c>
      <c r="AF9" s="187">
        <f t="shared" ca="1" si="1"/>
        <v>120</v>
      </c>
      <c r="AG9" s="187">
        <f t="shared" ca="1" si="1"/>
        <v>120</v>
      </c>
    </row>
    <row r="10" spans="1:33" s="183" customFormat="1" ht="12.75" hidden="1" customHeight="1" outlineLevel="1">
      <c r="G10" s="184"/>
      <c r="I10" s="184"/>
      <c r="J10" s="185"/>
      <c r="K10" s="186" t="s">
        <v>212</v>
      </c>
      <c r="L10" s="185"/>
      <c r="M10" s="185"/>
      <c r="O10" s="149"/>
      <c r="P10" s="188">
        <f t="shared" ref="P10:AG10" ca="1" si="2">IF($I$8=P12,$H$8,IF($I$8&gt;P12,0,IF(O10+12&lt;12*$E$8,O10+12,12*$E$8)))</f>
        <v>12</v>
      </c>
      <c r="Q10" s="188">
        <f t="shared" ca="1" si="2"/>
        <v>24</v>
      </c>
      <c r="R10" s="188">
        <f t="shared" ca="1" si="2"/>
        <v>36</v>
      </c>
      <c r="S10" s="188">
        <f t="shared" ca="1" si="2"/>
        <v>48</v>
      </c>
      <c r="T10" s="188">
        <f t="shared" ca="1" si="2"/>
        <v>60</v>
      </c>
      <c r="U10" s="188">
        <f t="shared" ca="1" si="2"/>
        <v>72</v>
      </c>
      <c r="V10" s="188">
        <f t="shared" ca="1" si="2"/>
        <v>84</v>
      </c>
      <c r="W10" s="188">
        <f t="shared" ca="1" si="2"/>
        <v>96</v>
      </c>
      <c r="X10" s="188">
        <f t="shared" ca="1" si="2"/>
        <v>108</v>
      </c>
      <c r="Y10" s="188">
        <f t="shared" ca="1" si="2"/>
        <v>120</v>
      </c>
      <c r="Z10" s="188">
        <f t="shared" ca="1" si="2"/>
        <v>120</v>
      </c>
      <c r="AA10" s="188">
        <f t="shared" ca="1" si="2"/>
        <v>120</v>
      </c>
      <c r="AB10" s="188">
        <f t="shared" ca="1" si="2"/>
        <v>120</v>
      </c>
      <c r="AC10" s="188">
        <f t="shared" ca="1" si="2"/>
        <v>120</v>
      </c>
      <c r="AD10" s="188">
        <f t="shared" ca="1" si="2"/>
        <v>120</v>
      </c>
      <c r="AE10" s="188">
        <f t="shared" ca="1" si="2"/>
        <v>120</v>
      </c>
      <c r="AF10" s="188">
        <f t="shared" ca="1" si="2"/>
        <v>120</v>
      </c>
      <c r="AG10" s="188">
        <f t="shared" ca="1" si="2"/>
        <v>120</v>
      </c>
    </row>
    <row r="11" spans="1:33" ht="15.75" hidden="1" outlineLevel="1">
      <c r="K11" s="186" t="s">
        <v>210</v>
      </c>
      <c r="O11" s="149"/>
      <c r="P11" s="188">
        <f t="shared" ref="P11:AG11" ca="1" si="3">$G$8*(P10-O10)/12</f>
        <v>-50</v>
      </c>
      <c r="Q11" s="188">
        <f t="shared" ca="1" si="3"/>
        <v>-50</v>
      </c>
      <c r="R11" s="188">
        <f t="shared" ca="1" si="3"/>
        <v>-50</v>
      </c>
      <c r="S11" s="188">
        <f t="shared" ca="1" si="3"/>
        <v>-50</v>
      </c>
      <c r="T11" s="188">
        <f t="shared" ca="1" si="3"/>
        <v>-50</v>
      </c>
      <c r="U11" s="188">
        <f t="shared" ca="1" si="3"/>
        <v>-50</v>
      </c>
      <c r="V11" s="188">
        <f t="shared" ca="1" si="3"/>
        <v>-50</v>
      </c>
      <c r="W11" s="188">
        <f t="shared" ca="1" si="3"/>
        <v>-50</v>
      </c>
      <c r="X11" s="188">
        <f t="shared" ca="1" si="3"/>
        <v>-50</v>
      </c>
      <c r="Y11" s="188">
        <f t="shared" ca="1" si="3"/>
        <v>-50</v>
      </c>
      <c r="Z11" s="188">
        <f t="shared" ca="1" si="3"/>
        <v>0</v>
      </c>
      <c r="AA11" s="188">
        <f t="shared" ca="1" si="3"/>
        <v>0</v>
      </c>
      <c r="AB11" s="188">
        <f t="shared" ca="1" si="3"/>
        <v>0</v>
      </c>
      <c r="AC11" s="188">
        <f t="shared" ca="1" si="3"/>
        <v>0</v>
      </c>
      <c r="AD11" s="188">
        <f t="shared" ca="1" si="3"/>
        <v>0</v>
      </c>
      <c r="AE11" s="188">
        <f t="shared" ca="1" si="3"/>
        <v>0</v>
      </c>
      <c r="AF11" s="188">
        <f t="shared" ca="1" si="3"/>
        <v>0</v>
      </c>
      <c r="AG11" s="188">
        <f t="shared" ca="1" si="3"/>
        <v>0</v>
      </c>
    </row>
    <row r="12" spans="1:33" ht="21.75" customHeight="1" collapsed="1">
      <c r="L12" s="189"/>
      <c r="N12" s="190"/>
      <c r="O12" s="190"/>
      <c r="P12" s="191">
        <f ca="1">P3</f>
        <v>2022</v>
      </c>
      <c r="Q12" s="191">
        <f t="shared" ref="Q12:AG12" ca="1" si="4">Q3</f>
        <v>2023</v>
      </c>
      <c r="R12" s="191">
        <f t="shared" ca="1" si="4"/>
        <v>2024</v>
      </c>
      <c r="S12" s="191">
        <f t="shared" ca="1" si="4"/>
        <v>2025</v>
      </c>
      <c r="T12" s="191">
        <f t="shared" ca="1" si="4"/>
        <v>2026</v>
      </c>
      <c r="U12" s="191">
        <f t="shared" ca="1" si="4"/>
        <v>2027</v>
      </c>
      <c r="V12" s="192">
        <f t="shared" ca="1" si="4"/>
        <v>2028</v>
      </c>
      <c r="W12" s="192">
        <f t="shared" ca="1" si="4"/>
        <v>2029</v>
      </c>
      <c r="X12" s="192">
        <f t="shared" ca="1" si="4"/>
        <v>2030</v>
      </c>
      <c r="Y12" s="192">
        <f t="shared" ca="1" si="4"/>
        <v>2031</v>
      </c>
      <c r="Z12" s="192">
        <f t="shared" ca="1" si="4"/>
        <v>2032</v>
      </c>
      <c r="AA12" s="192">
        <f t="shared" ca="1" si="4"/>
        <v>2033</v>
      </c>
      <c r="AB12" s="192">
        <f t="shared" ca="1" si="4"/>
        <v>2034</v>
      </c>
      <c r="AC12" s="192">
        <f t="shared" ca="1" si="4"/>
        <v>2035</v>
      </c>
      <c r="AD12" s="192">
        <f t="shared" ca="1" si="4"/>
        <v>2036</v>
      </c>
      <c r="AE12" s="192">
        <f t="shared" ca="1" si="4"/>
        <v>2037</v>
      </c>
      <c r="AF12" s="192">
        <f t="shared" ca="1" si="4"/>
        <v>2038</v>
      </c>
      <c r="AG12" s="192">
        <f t="shared" ca="1" si="4"/>
        <v>2039</v>
      </c>
    </row>
    <row r="13" spans="1:33" ht="18.75">
      <c r="D13" s="150" t="s">
        <v>206</v>
      </c>
      <c r="E13" s="150"/>
      <c r="F13" s="150"/>
      <c r="G13" s="150"/>
      <c r="H13" s="150"/>
      <c r="I13" s="150"/>
      <c r="J13" s="150"/>
      <c r="K13" s="150"/>
      <c r="L13" s="150"/>
      <c r="M13" s="150"/>
      <c r="N13" s="190"/>
      <c r="O13" s="15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</row>
    <row r="14" spans="1:33" s="193" customFormat="1" ht="15.75">
      <c r="A14" s="161" t="s">
        <v>213</v>
      </c>
      <c r="D14" s="107" t="str">
        <f ca="1">_xll.DBRA(xServer&amp;":Indicator_LTP",$A14,xLanguage)</f>
        <v>IFRS16-Nouveaux  Autres Lease - Amortissement</v>
      </c>
      <c r="E14" s="107"/>
      <c r="F14" s="107"/>
      <c r="G14" s="107"/>
      <c r="H14" s="107"/>
      <c r="I14" s="173"/>
      <c r="J14" s="107"/>
      <c r="K14" s="107"/>
      <c r="L14" s="107"/>
      <c r="M14" s="107"/>
      <c r="N14" s="190"/>
      <c r="O14" s="107"/>
      <c r="P14" s="205">
        <f ca="1">-$L$8/$E$8/12*P10</f>
        <v>-47.718213728436751</v>
      </c>
      <c r="Q14" s="205">
        <f t="shared" ref="Q14:AG14" ca="1" si="5">-$L$8/$E$8*(Q10-P10)/12</f>
        <v>-47.718213728436751</v>
      </c>
      <c r="R14" s="205">
        <f t="shared" ca="1" si="5"/>
        <v>-47.718213728436751</v>
      </c>
      <c r="S14" s="205">
        <f t="shared" ca="1" si="5"/>
        <v>-47.718213728436751</v>
      </c>
      <c r="T14" s="205">
        <f t="shared" ca="1" si="5"/>
        <v>-47.718213728436751</v>
      </c>
      <c r="U14" s="205">
        <f t="shared" ca="1" si="5"/>
        <v>-47.718213728436751</v>
      </c>
      <c r="V14" s="170">
        <f t="shared" ca="1" si="5"/>
        <v>-47.718213728436751</v>
      </c>
      <c r="W14" s="170">
        <f t="shared" ca="1" si="5"/>
        <v>-47.718213728436751</v>
      </c>
      <c r="X14" s="170">
        <f t="shared" ca="1" si="5"/>
        <v>-47.718213728436751</v>
      </c>
      <c r="Y14" s="170">
        <f t="shared" ca="1" si="5"/>
        <v>-47.718213728436751</v>
      </c>
      <c r="Z14" s="170">
        <f t="shared" ca="1" si="5"/>
        <v>0</v>
      </c>
      <c r="AA14" s="170">
        <f t="shared" ca="1" si="5"/>
        <v>0</v>
      </c>
      <c r="AB14" s="170">
        <f t="shared" ca="1" si="5"/>
        <v>0</v>
      </c>
      <c r="AC14" s="170">
        <f t="shared" ca="1" si="5"/>
        <v>0</v>
      </c>
      <c r="AD14" s="170">
        <f t="shared" ca="1" si="5"/>
        <v>0</v>
      </c>
      <c r="AE14" s="170">
        <f t="shared" ca="1" si="5"/>
        <v>0</v>
      </c>
      <c r="AF14" s="170">
        <f t="shared" ca="1" si="5"/>
        <v>0</v>
      </c>
      <c r="AG14" s="205">
        <f t="shared" ca="1" si="5"/>
        <v>0</v>
      </c>
    </row>
    <row r="15" spans="1:33" s="193" customFormat="1" ht="15.75">
      <c r="A15" s="161" t="s">
        <v>214</v>
      </c>
      <c r="D15" s="110" t="str">
        <f ca="1">_xll.DBRA(xServer&amp;":Indicator_LTP",$A15,xLanguage)</f>
        <v>IFRS16-Nouveaux  Autres Lease - Charge d'intérêt</v>
      </c>
      <c r="E15" s="110"/>
      <c r="F15" s="110"/>
      <c r="G15" s="110"/>
      <c r="H15" s="110"/>
      <c r="I15" s="174"/>
      <c r="J15" s="110"/>
      <c r="K15" s="110"/>
      <c r="L15" s="110"/>
      <c r="M15" s="110"/>
      <c r="N15" s="190"/>
      <c r="O15" s="110"/>
      <c r="P15" s="200">
        <f ca="1">IF(P9=0,0,CUMIPMT($J$8/12,$E$8*12,$L$8,1,P9,1))-SUM($M$15:M15)</f>
        <v>-3.9536650739309067</v>
      </c>
      <c r="Q15" s="200">
        <f ca="1">IF(Q9=0,0,CUMIPMT($J$8/12,$E$8*12,$L$8,1,Q9,1))-SUM($M$15:P15)</f>
        <v>-3.895387154379705</v>
      </c>
      <c r="R15" s="200">
        <f ca="1">IF(R9=0,0,CUMIPMT($J$8/12,$E$8*12,$L$8,1,R9,1))-SUM($M$15:Q15)</f>
        <v>-3.4554811926504527</v>
      </c>
      <c r="S15" s="200">
        <f ca="1">IF(S9=0,0,CUMIPMT($J$8/12,$E$8*12,$L$8,1,S9,1))-SUM($M$15:R15)</f>
        <v>-3.011377879653736</v>
      </c>
      <c r="T15" s="200">
        <f ca="1">IF(T9=0,0,CUMIPMT($J$8/12,$E$8*12,$L$8,1,T9,1))-SUM($M$15:S15)</f>
        <v>-2.5630371664719007</v>
      </c>
      <c r="U15" s="200">
        <f ca="1">IF(U9=0,0,CUMIPMT($J$8/12,$E$8*12,$L$8,1,U9,1))-SUM($M$15:T15)</f>
        <v>-2.1104186220613599</v>
      </c>
      <c r="V15" s="159">
        <f ca="1">IF(V9=0,0,CUMIPMT($J$8/12,$E$8*12,$L$8,1,V9,1))-SUM($M$15:U15)</f>
        <v>-1.6534814296070408</v>
      </c>
      <c r="W15" s="159">
        <f ca="1">IF(W9=0,0,CUMIPMT($J$8/12,$E$8*12,$L$8,1,W9,1))-SUM($M$15:V15)</f>
        <v>-1.1921843828411625</v>
      </c>
      <c r="X15" s="159">
        <f ca="1">IF(X9=0,0,CUMIPMT($J$8/12,$E$8*12,$L$8,1,X9,1))-SUM($M$15:W15)</f>
        <v>-0.72648588232749489</v>
      </c>
      <c r="Y15" s="159">
        <f ca="1">IF(Y9=0,0,CUMIPMT($J$8/12,$E$8*12,$L$8,1,Y9,1))-SUM($M$15:X15)</f>
        <v>-0.25634393170980729</v>
      </c>
      <c r="Z15" s="159">
        <f ca="1">IF(Z9=0,0,CUMIPMT($J$8/12,$E$8*12,$L$8,1,Z9,1))-SUM($M$15:Y15)</f>
        <v>0</v>
      </c>
      <c r="AA15" s="159">
        <f ca="1">IF(AA9=0,0,CUMIPMT($J$8/12,$E$8*12,$L$8,1,AA9,1))-SUM($M$15:Z15)</f>
        <v>0</v>
      </c>
      <c r="AB15" s="159">
        <f ca="1">IF(AB9=0,0,CUMIPMT($J$8/12,$E$8*12,$L$8,1,AB9,1))-SUM($M$15:AA15)</f>
        <v>0</v>
      </c>
      <c r="AC15" s="159">
        <f ca="1">IF(AC9=0,0,CUMIPMT($J$8/12,$E$8*12,$L$8,1,AC9,1))-SUM($M$15:AB15)</f>
        <v>0</v>
      </c>
      <c r="AD15" s="159">
        <f ca="1">IF(AD9=0,0,CUMIPMT($J$8/12,$E$8*12,$L$8,1,AD9,1))-SUM($M$15:AC15)</f>
        <v>0</v>
      </c>
      <c r="AE15" s="159">
        <f ca="1">IF(AE9=0,0,CUMIPMT($J$8/12,$E$8*12,$L$8,1,AE9,1))-SUM($M$15:AD15)</f>
        <v>0</v>
      </c>
      <c r="AF15" s="159">
        <f ca="1">IF(AF9=0,0,CUMIPMT($J$8/12,$E$8*12,$L$8,1,AF9,1))-SUM($M$15:AE15)</f>
        <v>0</v>
      </c>
      <c r="AG15" s="159">
        <f ca="1">IF(AG9=0,0,CUMIPMT($J$8/12,$E$8*12,$L$8,1,AG9,1))-SUM($M$15:AF15)</f>
        <v>0</v>
      </c>
    </row>
    <row r="16" spans="1:33" s="193" customFormat="1" ht="15.75">
      <c r="A16" s="151" t="s">
        <v>207</v>
      </c>
      <c r="D16" s="206" t="str">
        <f>IF(xLanguage="English","PROFIT OR LOSS before Tax Impact","Impact sur le résultat avant impôts")</f>
        <v>Impact sur le résultat avant impôts</v>
      </c>
      <c r="E16" s="206"/>
      <c r="F16" s="206"/>
      <c r="G16" s="206"/>
      <c r="H16" s="206"/>
      <c r="I16" s="207"/>
      <c r="J16" s="206"/>
      <c r="K16" s="206"/>
      <c r="L16" s="206"/>
      <c r="M16" s="206"/>
      <c r="N16" s="190"/>
      <c r="O16" s="206"/>
      <c r="P16" s="208">
        <f t="shared" ref="P16:AG16" ca="1" si="6">SUM(P14:P15)</f>
        <v>-51.671878802367658</v>
      </c>
      <c r="Q16" s="208">
        <f t="shared" ca="1" si="6"/>
        <v>-51.613600882816456</v>
      </c>
      <c r="R16" s="208">
        <f t="shared" ca="1" si="6"/>
        <v>-51.173694921087204</v>
      </c>
      <c r="S16" s="208">
        <f t="shared" ca="1" si="6"/>
        <v>-50.729591608090487</v>
      </c>
      <c r="T16" s="208">
        <f t="shared" ca="1" si="6"/>
        <v>-50.281250894908652</v>
      </c>
      <c r="U16" s="208">
        <f t="shared" ca="1" si="6"/>
        <v>-49.828632350498111</v>
      </c>
      <c r="V16" s="208">
        <f t="shared" ca="1" si="6"/>
        <v>-49.371695158043792</v>
      </c>
      <c r="W16" s="208">
        <f t="shared" ca="1" si="6"/>
        <v>-48.910398111277914</v>
      </c>
      <c r="X16" s="208">
        <f t="shared" ca="1" si="6"/>
        <v>-48.444699610764246</v>
      </c>
      <c r="Y16" s="208">
        <f t="shared" ca="1" si="6"/>
        <v>-47.974557660146559</v>
      </c>
      <c r="Z16" s="208">
        <f t="shared" ca="1" si="6"/>
        <v>0</v>
      </c>
      <c r="AA16" s="208">
        <f t="shared" ca="1" si="6"/>
        <v>0</v>
      </c>
      <c r="AB16" s="208">
        <f t="shared" ca="1" si="6"/>
        <v>0</v>
      </c>
      <c r="AC16" s="208">
        <f t="shared" ca="1" si="6"/>
        <v>0</v>
      </c>
      <c r="AD16" s="208">
        <f t="shared" ca="1" si="6"/>
        <v>0</v>
      </c>
      <c r="AE16" s="208">
        <f t="shared" ca="1" si="6"/>
        <v>0</v>
      </c>
      <c r="AF16" s="208">
        <f t="shared" ca="1" si="6"/>
        <v>0</v>
      </c>
      <c r="AG16" s="208">
        <f t="shared" ca="1" si="6"/>
        <v>0</v>
      </c>
    </row>
    <row r="17" spans="1:33" ht="12.75">
      <c r="A17" s="152"/>
      <c r="D17" s="152"/>
      <c r="E17" s="152"/>
      <c r="F17" s="152"/>
      <c r="G17" s="152"/>
      <c r="H17" s="152"/>
      <c r="I17" s="171"/>
      <c r="J17" s="153"/>
      <c r="K17" s="152"/>
      <c r="L17" s="152"/>
      <c r="M17" s="152"/>
      <c r="N17" s="190"/>
      <c r="O17" s="152"/>
      <c r="P17" s="160"/>
      <c r="Q17" s="160"/>
      <c r="R17" s="160"/>
      <c r="S17" s="160"/>
      <c r="T17" s="160"/>
      <c r="U17" s="160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</row>
    <row r="18" spans="1:33" ht="18.75">
      <c r="A18" s="152"/>
      <c r="D18" s="150" t="str">
        <f>IF(xLanguage="English","Change of NFD","Variation de l'EFN")</f>
        <v>Variation de l'EFN</v>
      </c>
      <c r="E18" s="150"/>
      <c r="F18" s="150"/>
      <c r="G18" s="150"/>
      <c r="H18" s="150"/>
      <c r="I18" s="172"/>
      <c r="J18" s="150"/>
      <c r="K18" s="150"/>
      <c r="L18" s="150"/>
      <c r="M18" s="150"/>
      <c r="N18" s="190"/>
      <c r="O18" s="150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</row>
    <row r="19" spans="1:33" s="193" customFormat="1" ht="15.75">
      <c r="A19" s="161" t="s">
        <v>215</v>
      </c>
      <c r="D19" s="107" t="str">
        <f ca="1">_xll.DBRA(xServer&amp;":Indicator_LTP",$A19,xLanguage)</f>
        <v>IFRS16- CAPEX - Autres</v>
      </c>
      <c r="E19" s="107"/>
      <c r="F19" s="107"/>
      <c r="G19" s="107"/>
      <c r="H19" s="107"/>
      <c r="I19" s="173"/>
      <c r="J19" s="107"/>
      <c r="K19" s="107"/>
      <c r="L19" s="107"/>
      <c r="M19" s="107"/>
      <c r="N19" s="190"/>
      <c r="O19" s="107"/>
      <c r="P19" s="205">
        <f t="shared" ref="P19:AG19" ca="1" si="7">IF($I$8=P12,-$L$8,0)</f>
        <v>0</v>
      </c>
      <c r="Q19" s="205">
        <f t="shared" ca="1" si="7"/>
        <v>0</v>
      </c>
      <c r="R19" s="205">
        <f t="shared" ca="1" si="7"/>
        <v>0</v>
      </c>
      <c r="S19" s="205">
        <f t="shared" ca="1" si="7"/>
        <v>0</v>
      </c>
      <c r="T19" s="205">
        <f t="shared" ca="1" si="7"/>
        <v>0</v>
      </c>
      <c r="U19" s="205">
        <f t="shared" ca="1" si="7"/>
        <v>0</v>
      </c>
      <c r="V19" s="170">
        <f t="shared" ca="1" si="7"/>
        <v>0</v>
      </c>
      <c r="W19" s="170">
        <f t="shared" ca="1" si="7"/>
        <v>0</v>
      </c>
      <c r="X19" s="170">
        <f t="shared" ca="1" si="7"/>
        <v>0</v>
      </c>
      <c r="Y19" s="170">
        <f t="shared" ca="1" si="7"/>
        <v>0</v>
      </c>
      <c r="Z19" s="170">
        <f t="shared" ca="1" si="7"/>
        <v>0</v>
      </c>
      <c r="AA19" s="170">
        <f t="shared" ca="1" si="7"/>
        <v>0</v>
      </c>
      <c r="AB19" s="170">
        <f t="shared" ca="1" si="7"/>
        <v>0</v>
      </c>
      <c r="AC19" s="170">
        <f t="shared" ca="1" si="7"/>
        <v>0</v>
      </c>
      <c r="AD19" s="170">
        <f t="shared" ca="1" si="7"/>
        <v>0</v>
      </c>
      <c r="AE19" s="170">
        <f t="shared" ca="1" si="7"/>
        <v>0</v>
      </c>
      <c r="AF19" s="170">
        <f t="shared" ca="1" si="7"/>
        <v>0</v>
      </c>
      <c r="AG19" s="205">
        <f t="shared" ca="1" si="7"/>
        <v>0</v>
      </c>
    </row>
    <row r="20" spans="1:33" s="193" customFormat="1" ht="15.75">
      <c r="A20" s="151" t="s">
        <v>205</v>
      </c>
      <c r="D20" s="109" t="str">
        <f ca="1">_xll.DBRA(xServer&amp;":Indicator_LTP",$A20,xLanguage)</f>
        <v>IFRS16-Existing Lease - Charge d'intérêt</v>
      </c>
      <c r="E20" s="109"/>
      <c r="F20" s="109"/>
      <c r="G20" s="109"/>
      <c r="H20" s="109"/>
      <c r="I20" s="175"/>
      <c r="J20" s="109"/>
      <c r="K20" s="109"/>
      <c r="L20" s="109"/>
      <c r="M20" s="109"/>
      <c r="N20" s="190"/>
      <c r="O20" s="109"/>
      <c r="P20" s="200">
        <f t="shared" ref="P20:AG20" ca="1" si="8">P15</f>
        <v>-3.9536650739309067</v>
      </c>
      <c r="Q20" s="200">
        <f t="shared" ca="1" si="8"/>
        <v>-3.895387154379705</v>
      </c>
      <c r="R20" s="200">
        <f t="shared" ca="1" si="8"/>
        <v>-3.4554811926504527</v>
      </c>
      <c r="S20" s="200">
        <f t="shared" ca="1" si="8"/>
        <v>-3.011377879653736</v>
      </c>
      <c r="T20" s="200">
        <f t="shared" ca="1" si="8"/>
        <v>-2.5630371664719007</v>
      </c>
      <c r="U20" s="200">
        <f t="shared" ca="1" si="8"/>
        <v>-2.1104186220613599</v>
      </c>
      <c r="V20" s="159">
        <f t="shared" ca="1" si="8"/>
        <v>-1.6534814296070408</v>
      </c>
      <c r="W20" s="159">
        <f t="shared" ca="1" si="8"/>
        <v>-1.1921843828411625</v>
      </c>
      <c r="X20" s="159">
        <f t="shared" ca="1" si="8"/>
        <v>-0.72648588232749489</v>
      </c>
      <c r="Y20" s="159">
        <f t="shared" ca="1" si="8"/>
        <v>-0.25634393170980729</v>
      </c>
      <c r="Z20" s="159">
        <f t="shared" ca="1" si="8"/>
        <v>0</v>
      </c>
      <c r="AA20" s="159">
        <f t="shared" ca="1" si="8"/>
        <v>0</v>
      </c>
      <c r="AB20" s="159">
        <f t="shared" ca="1" si="8"/>
        <v>0</v>
      </c>
      <c r="AC20" s="159">
        <f t="shared" ca="1" si="8"/>
        <v>0</v>
      </c>
      <c r="AD20" s="159">
        <f t="shared" ca="1" si="8"/>
        <v>0</v>
      </c>
      <c r="AE20" s="159">
        <f t="shared" ca="1" si="8"/>
        <v>0</v>
      </c>
      <c r="AF20" s="159">
        <f t="shared" ca="1" si="8"/>
        <v>0</v>
      </c>
      <c r="AG20" s="159">
        <f t="shared" ca="1" si="8"/>
        <v>0</v>
      </c>
    </row>
    <row r="21" spans="1:33" s="193" customFormat="1" ht="15.75" hidden="1" outlineLevel="1">
      <c r="A21" s="151" t="s">
        <v>207</v>
      </c>
      <c r="D21" s="109" t="s">
        <v>208</v>
      </c>
      <c r="E21" s="109"/>
      <c r="F21" s="109"/>
      <c r="G21" s="109"/>
      <c r="H21" s="109"/>
      <c r="I21" s="175"/>
      <c r="J21" s="109"/>
      <c r="K21" s="109"/>
      <c r="L21" s="109"/>
      <c r="M21" s="109"/>
      <c r="N21" s="190"/>
      <c r="O21" s="109"/>
      <c r="P21" s="200">
        <f t="shared" ref="P21:AG21" ca="1" si="9">-P22</f>
        <v>-46.046334926069093</v>
      </c>
      <c r="Q21" s="200">
        <f t="shared" ca="1" si="9"/>
        <v>-46.104612845620295</v>
      </c>
      <c r="R21" s="200">
        <f ca="1">-R22</f>
        <v>-46.544518807349547</v>
      </c>
      <c r="S21" s="200">
        <f t="shared" ca="1" si="9"/>
        <v>-46.988622120346264</v>
      </c>
      <c r="T21" s="200">
        <f t="shared" ca="1" si="9"/>
        <v>-47.436962833528099</v>
      </c>
      <c r="U21" s="200">
        <f t="shared" ca="1" si="9"/>
        <v>-47.88958137793864</v>
      </c>
      <c r="V21" s="159">
        <f t="shared" ca="1" si="9"/>
        <v>-48.346518570392959</v>
      </c>
      <c r="W21" s="159">
        <f t="shared" ca="1" si="9"/>
        <v>-48.807815617158838</v>
      </c>
      <c r="X21" s="159">
        <f t="shared" ca="1" si="9"/>
        <v>-49.273514117672505</v>
      </c>
      <c r="Y21" s="159">
        <f t="shared" ca="1" si="9"/>
        <v>-49.743656068290193</v>
      </c>
      <c r="Z21" s="159">
        <f t="shared" ca="1" si="9"/>
        <v>0</v>
      </c>
      <c r="AA21" s="159">
        <f t="shared" ca="1" si="9"/>
        <v>0</v>
      </c>
      <c r="AB21" s="159">
        <f t="shared" ca="1" si="9"/>
        <v>0</v>
      </c>
      <c r="AC21" s="159">
        <f t="shared" ca="1" si="9"/>
        <v>0</v>
      </c>
      <c r="AD21" s="159">
        <f t="shared" ca="1" si="9"/>
        <v>0</v>
      </c>
      <c r="AE21" s="159">
        <f t="shared" ca="1" si="9"/>
        <v>0</v>
      </c>
      <c r="AF21" s="159">
        <f t="shared" ca="1" si="9"/>
        <v>0</v>
      </c>
      <c r="AG21" s="159">
        <f t="shared" ca="1" si="9"/>
        <v>0</v>
      </c>
    </row>
    <row r="22" spans="1:33" s="193" customFormat="1" ht="15.75" hidden="1" outlineLevel="1">
      <c r="A22" s="161" t="s">
        <v>216</v>
      </c>
      <c r="D22" s="109" t="str">
        <f ca="1">_xll.DBRA(xServer&amp;":Indicator_LTP",$A22,xLanguage)</f>
        <v>IFRS16-Nouveaux  Autres Lease_Tech_Decroissance_Dette_IFRS16_Var1</v>
      </c>
      <c r="E22" s="109"/>
      <c r="F22" s="109"/>
      <c r="G22" s="109"/>
      <c r="H22" s="109"/>
      <c r="I22" s="175"/>
      <c r="J22" s="109"/>
      <c r="K22" s="109"/>
      <c r="L22" s="109"/>
      <c r="M22" s="109"/>
      <c r="N22" s="190"/>
      <c r="O22" s="109"/>
      <c r="P22" s="200">
        <f t="shared" ref="P22:AG22" ca="1" si="10">-(P11-P20)</f>
        <v>46.046334926069093</v>
      </c>
      <c r="Q22" s="200">
        <f t="shared" ca="1" si="10"/>
        <v>46.104612845620295</v>
      </c>
      <c r="R22" s="200">
        <f t="shared" ca="1" si="10"/>
        <v>46.544518807349547</v>
      </c>
      <c r="S22" s="200">
        <f t="shared" ca="1" si="10"/>
        <v>46.988622120346264</v>
      </c>
      <c r="T22" s="200">
        <f t="shared" ca="1" si="10"/>
        <v>47.436962833528099</v>
      </c>
      <c r="U22" s="200">
        <f t="shared" ca="1" si="10"/>
        <v>47.88958137793864</v>
      </c>
      <c r="V22" s="159">
        <f t="shared" ca="1" si="10"/>
        <v>48.346518570392959</v>
      </c>
      <c r="W22" s="159">
        <f t="shared" ca="1" si="10"/>
        <v>48.807815617158838</v>
      </c>
      <c r="X22" s="159">
        <f t="shared" ca="1" si="10"/>
        <v>49.273514117672505</v>
      </c>
      <c r="Y22" s="159">
        <f t="shared" ca="1" si="10"/>
        <v>49.743656068290193</v>
      </c>
      <c r="Z22" s="159">
        <f t="shared" ca="1" si="10"/>
        <v>0</v>
      </c>
      <c r="AA22" s="159">
        <f t="shared" ca="1" si="10"/>
        <v>0</v>
      </c>
      <c r="AB22" s="159">
        <f t="shared" ca="1" si="10"/>
        <v>0</v>
      </c>
      <c r="AC22" s="159">
        <f t="shared" ca="1" si="10"/>
        <v>0</v>
      </c>
      <c r="AD22" s="159">
        <f t="shared" ca="1" si="10"/>
        <v>0</v>
      </c>
      <c r="AE22" s="159">
        <f t="shared" ca="1" si="10"/>
        <v>0</v>
      </c>
      <c r="AF22" s="159">
        <f t="shared" ca="1" si="10"/>
        <v>0</v>
      </c>
      <c r="AG22" s="159">
        <f t="shared" ca="1" si="10"/>
        <v>0</v>
      </c>
    </row>
    <row r="23" spans="1:33" s="193" customFormat="1" ht="15.75" collapsed="1">
      <c r="A23" s="147" t="s">
        <v>36</v>
      </c>
      <c r="D23" s="209" t="str">
        <f ca="1">_xll.DBRA(xServer&amp;":Indicator_LTP",$A23,xLanguage)</f>
        <v>FLUX NET DE VARIATION EFN</v>
      </c>
      <c r="E23" s="209"/>
      <c r="F23" s="209"/>
      <c r="G23" s="209"/>
      <c r="H23" s="209"/>
      <c r="I23" s="210"/>
      <c r="J23" s="209"/>
      <c r="K23" s="209"/>
      <c r="L23" s="209"/>
      <c r="M23" s="209"/>
      <c r="N23" s="190"/>
      <c r="O23" s="206"/>
      <c r="P23" s="208">
        <f ca="1">SUM(P19:P22)</f>
        <v>-3.9536650739309067</v>
      </c>
      <c r="Q23" s="208">
        <f t="shared" ref="Q23:AG23" ca="1" si="11">SUM(Q19:Q22)</f>
        <v>-3.895387154379705</v>
      </c>
      <c r="R23" s="208">
        <f t="shared" ca="1" si="11"/>
        <v>-3.4554811926504527</v>
      </c>
      <c r="S23" s="208">
        <f t="shared" ca="1" si="11"/>
        <v>-3.011377879653736</v>
      </c>
      <c r="T23" s="208">
        <f t="shared" ca="1" si="11"/>
        <v>-2.5630371664719007</v>
      </c>
      <c r="U23" s="208">
        <f t="shared" ca="1" si="11"/>
        <v>-2.1104186220613599</v>
      </c>
      <c r="V23" s="208">
        <f t="shared" ca="1" si="11"/>
        <v>-1.6534814296070408</v>
      </c>
      <c r="W23" s="208">
        <f t="shared" ca="1" si="11"/>
        <v>-1.1921843828411625</v>
      </c>
      <c r="X23" s="208">
        <f t="shared" ca="1" si="11"/>
        <v>-0.72648588232749489</v>
      </c>
      <c r="Y23" s="208">
        <f t="shared" ca="1" si="11"/>
        <v>-0.25634393170980729</v>
      </c>
      <c r="Z23" s="208">
        <f t="shared" ca="1" si="11"/>
        <v>0</v>
      </c>
      <c r="AA23" s="208">
        <f t="shared" ca="1" si="11"/>
        <v>0</v>
      </c>
      <c r="AB23" s="208">
        <f t="shared" ca="1" si="11"/>
        <v>0</v>
      </c>
      <c r="AC23" s="208">
        <f t="shared" ca="1" si="11"/>
        <v>0</v>
      </c>
      <c r="AD23" s="208">
        <f t="shared" ca="1" si="11"/>
        <v>0</v>
      </c>
      <c r="AE23" s="208">
        <f t="shared" ca="1" si="11"/>
        <v>0</v>
      </c>
      <c r="AF23" s="208">
        <f t="shared" ca="1" si="11"/>
        <v>0</v>
      </c>
      <c r="AG23" s="208">
        <f t="shared" ca="1" si="11"/>
        <v>0</v>
      </c>
    </row>
    <row r="24" spans="1:33" ht="12.75">
      <c r="A24" s="152"/>
      <c r="D24" s="152"/>
      <c r="E24" s="152"/>
      <c r="F24" s="152"/>
      <c r="G24" s="152"/>
      <c r="H24" s="152"/>
      <c r="I24" s="171"/>
      <c r="J24" s="153"/>
      <c r="K24" s="152"/>
      <c r="L24" s="152"/>
      <c r="M24" s="152"/>
      <c r="N24" s="190"/>
      <c r="O24" s="152"/>
      <c r="P24" s="154"/>
      <c r="Q24" s="154"/>
      <c r="R24" s="154"/>
      <c r="S24" s="154"/>
      <c r="T24" s="154"/>
      <c r="U24" s="154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</row>
    <row r="25" spans="1:33" ht="18.75">
      <c r="A25" s="152"/>
      <c r="D25" s="150" t="str">
        <f>IF(xLanguage="English","Balance sheet","Bilan")</f>
        <v>Bilan</v>
      </c>
      <c r="E25" s="150"/>
      <c r="F25" s="150"/>
      <c r="G25" s="150"/>
      <c r="H25" s="150"/>
      <c r="I25" s="172"/>
      <c r="J25" s="150"/>
      <c r="K25" s="150"/>
      <c r="L25" s="150"/>
      <c r="M25" s="150"/>
      <c r="N25" s="190"/>
      <c r="O25" s="150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</row>
    <row r="26" spans="1:33" ht="15.75">
      <c r="A26" s="177" t="s">
        <v>202</v>
      </c>
      <c r="D26" s="107" t="str">
        <f ca="1">_xll.DBRA(xServer&amp;":Indicator_LTP",$A26,xLanguage)</f>
        <v>Droits d'utilisation (Net)</v>
      </c>
      <c r="E26" s="107"/>
      <c r="F26" s="107"/>
      <c r="G26" s="107"/>
      <c r="H26" s="107"/>
      <c r="I26" s="173"/>
      <c r="J26" s="107"/>
      <c r="K26" s="107"/>
      <c r="L26" s="107"/>
      <c r="M26" s="107"/>
      <c r="N26" s="190"/>
      <c r="O26" s="206"/>
      <c r="P26" s="208">
        <f ca="1">-P19+M26+P14</f>
        <v>-47.718213728436751</v>
      </c>
      <c r="Q26" s="208">
        <f t="shared" ref="Q26:AG26" ca="1" si="12">-Q19+P26+Q14</f>
        <v>-95.436427456873503</v>
      </c>
      <c r="R26" s="208">
        <f t="shared" ca="1" si="12"/>
        <v>-143.15464118531025</v>
      </c>
      <c r="S26" s="208">
        <f t="shared" ca="1" si="12"/>
        <v>-190.87285491374701</v>
      </c>
      <c r="T26" s="208">
        <f t="shared" ca="1" si="12"/>
        <v>-238.59106864218376</v>
      </c>
      <c r="U26" s="208">
        <f t="shared" ca="1" si="12"/>
        <v>-286.30928237062051</v>
      </c>
      <c r="V26" s="208">
        <f t="shared" ca="1" si="12"/>
        <v>-334.02749609905726</v>
      </c>
      <c r="W26" s="208">
        <f t="shared" ca="1" si="12"/>
        <v>-381.74570982749401</v>
      </c>
      <c r="X26" s="208">
        <f t="shared" ca="1" si="12"/>
        <v>-429.46392355593076</v>
      </c>
      <c r="Y26" s="208">
        <f t="shared" ca="1" si="12"/>
        <v>-477.18213728436751</v>
      </c>
      <c r="Z26" s="208">
        <f t="shared" ca="1" si="12"/>
        <v>-477.18213728436751</v>
      </c>
      <c r="AA26" s="208">
        <f t="shared" ca="1" si="12"/>
        <v>-477.18213728436751</v>
      </c>
      <c r="AB26" s="208">
        <f t="shared" ca="1" si="12"/>
        <v>-477.18213728436751</v>
      </c>
      <c r="AC26" s="208">
        <f t="shared" ca="1" si="12"/>
        <v>-477.18213728436751</v>
      </c>
      <c r="AD26" s="208">
        <f t="shared" ca="1" si="12"/>
        <v>-477.18213728436751</v>
      </c>
      <c r="AE26" s="208">
        <f t="shared" ca="1" si="12"/>
        <v>-477.18213728436751</v>
      </c>
      <c r="AF26" s="208">
        <f t="shared" ca="1" si="12"/>
        <v>-477.18213728436751</v>
      </c>
      <c r="AG26" s="208">
        <f t="shared" ca="1" si="12"/>
        <v>-477.18213728436751</v>
      </c>
    </row>
    <row r="27" spans="1:33" ht="15.75">
      <c r="A27" s="178" t="s">
        <v>42</v>
      </c>
      <c r="D27" s="209" t="str">
        <f ca="1">_xll.DBRA(xServer&amp;":Indicator_LTP",$A27,xLanguage)</f>
        <v>TOTAL CAPITAUX EMPLOYES</v>
      </c>
      <c r="E27" s="209"/>
      <c r="F27" s="209"/>
      <c r="G27" s="209"/>
      <c r="H27" s="209"/>
      <c r="I27" s="210"/>
      <c r="J27" s="209"/>
      <c r="K27" s="209"/>
      <c r="L27" s="209"/>
      <c r="M27" s="209"/>
      <c r="N27" s="190"/>
      <c r="O27" s="206"/>
      <c r="P27" s="208">
        <f t="shared" ref="P27:Z27" ca="1" si="13">SUM(P26:P26)</f>
        <v>-47.718213728436751</v>
      </c>
      <c r="Q27" s="208">
        <f t="shared" ca="1" si="13"/>
        <v>-95.436427456873503</v>
      </c>
      <c r="R27" s="208">
        <f t="shared" ca="1" si="13"/>
        <v>-143.15464118531025</v>
      </c>
      <c r="S27" s="208">
        <f t="shared" ca="1" si="13"/>
        <v>-190.87285491374701</v>
      </c>
      <c r="T27" s="208">
        <f t="shared" ca="1" si="13"/>
        <v>-238.59106864218376</v>
      </c>
      <c r="U27" s="208">
        <f t="shared" ca="1" si="13"/>
        <v>-286.30928237062051</v>
      </c>
      <c r="V27" s="208">
        <f t="shared" ca="1" si="13"/>
        <v>-334.02749609905726</v>
      </c>
      <c r="W27" s="208">
        <f t="shared" ca="1" si="13"/>
        <v>-381.74570982749401</v>
      </c>
      <c r="X27" s="208">
        <f t="shared" ca="1" si="13"/>
        <v>-429.46392355593076</v>
      </c>
      <c r="Y27" s="208">
        <f t="shared" ca="1" si="13"/>
        <v>-477.18213728436751</v>
      </c>
      <c r="Z27" s="208">
        <f t="shared" ca="1" si="13"/>
        <v>-477.18213728436751</v>
      </c>
      <c r="AA27" s="208">
        <f t="shared" ref="AA27:AG27" ca="1" si="14">SUM(AA26:AA26)</f>
        <v>-477.18213728436751</v>
      </c>
      <c r="AB27" s="208">
        <f t="shared" ca="1" si="14"/>
        <v>-477.18213728436751</v>
      </c>
      <c r="AC27" s="208">
        <f t="shared" ca="1" si="14"/>
        <v>-477.18213728436751</v>
      </c>
      <c r="AD27" s="208">
        <f t="shared" ca="1" si="14"/>
        <v>-477.18213728436751</v>
      </c>
      <c r="AE27" s="208">
        <f t="shared" ca="1" si="14"/>
        <v>-477.18213728436751</v>
      </c>
      <c r="AF27" s="208">
        <f t="shared" ca="1" si="14"/>
        <v>-477.18213728436751</v>
      </c>
      <c r="AG27" s="208">
        <f t="shared" ca="1" si="14"/>
        <v>-477.18213728436751</v>
      </c>
    </row>
    <row r="28" spans="1:33" ht="15.75">
      <c r="A28" s="177" t="s">
        <v>203</v>
      </c>
      <c r="D28" s="109" t="str">
        <f ca="1">_xll.DBRA(xServer&amp;":Indicator_LTP",$A28,xLanguage)</f>
        <v>IFRS16 Dette de Location</v>
      </c>
      <c r="E28" s="109"/>
      <c r="F28" s="109"/>
      <c r="G28" s="109"/>
      <c r="H28" s="109"/>
      <c r="I28" s="175"/>
      <c r="J28" s="109"/>
      <c r="K28" s="109"/>
      <c r="L28" s="109"/>
      <c r="M28" s="109"/>
      <c r="N28" s="190"/>
      <c r="O28" s="109"/>
      <c r="P28" s="205">
        <f ca="1">M28+SUM(P19,P22)</f>
        <v>46.046334926069093</v>
      </c>
      <c r="Q28" s="205">
        <f t="shared" ref="Q28:AG28" ca="1" si="15">P28+SUM(Q19,Q22)</f>
        <v>92.150947771689388</v>
      </c>
      <c r="R28" s="205">
        <f t="shared" ca="1" si="15"/>
        <v>138.69546657903894</v>
      </c>
      <c r="S28" s="205">
        <f t="shared" ca="1" si="15"/>
        <v>185.6840886993852</v>
      </c>
      <c r="T28" s="205">
        <f t="shared" ca="1" si="15"/>
        <v>233.1210515329133</v>
      </c>
      <c r="U28" s="205">
        <f t="shared" ca="1" si="15"/>
        <v>281.01063291085194</v>
      </c>
      <c r="V28" s="203">
        <f t="shared" ca="1" si="15"/>
        <v>329.3571514812449</v>
      </c>
      <c r="W28" s="203">
        <f t="shared" ca="1" si="15"/>
        <v>378.16496709840374</v>
      </c>
      <c r="X28" s="203">
        <f t="shared" ca="1" si="15"/>
        <v>427.43848121607624</v>
      </c>
      <c r="Y28" s="203">
        <f t="shared" ca="1" si="15"/>
        <v>477.18213728436643</v>
      </c>
      <c r="Z28" s="203">
        <f t="shared" ca="1" si="15"/>
        <v>477.18213728436643</v>
      </c>
      <c r="AA28" s="203">
        <f t="shared" ca="1" si="15"/>
        <v>477.18213728436643</v>
      </c>
      <c r="AB28" s="203">
        <f t="shared" ca="1" si="15"/>
        <v>477.18213728436643</v>
      </c>
      <c r="AC28" s="203">
        <f t="shared" ca="1" si="15"/>
        <v>477.18213728436643</v>
      </c>
      <c r="AD28" s="203">
        <f t="shared" ca="1" si="15"/>
        <v>477.18213728436643</v>
      </c>
      <c r="AE28" s="203">
        <f t="shared" ca="1" si="15"/>
        <v>477.18213728436643</v>
      </c>
      <c r="AF28" s="203">
        <f t="shared" ca="1" si="15"/>
        <v>477.18213728436643</v>
      </c>
      <c r="AG28" s="203">
        <f t="shared" ca="1" si="15"/>
        <v>477.18213728436643</v>
      </c>
    </row>
    <row r="29" spans="1:33" ht="15.75">
      <c r="A29" s="177" t="s">
        <v>204</v>
      </c>
      <c r="D29" s="109" t="str">
        <f ca="1">_xll.DBRA(xServer&amp;":Indicator_LTP",$A29,xLanguage)</f>
        <v>Autre Dette</v>
      </c>
      <c r="E29" s="109"/>
      <c r="F29" s="109"/>
      <c r="G29" s="109"/>
      <c r="H29" s="109"/>
      <c r="I29" s="175"/>
      <c r="J29" s="109"/>
      <c r="K29" s="109"/>
      <c r="L29" s="109"/>
      <c r="M29" s="109"/>
      <c r="N29" s="190"/>
      <c r="O29" s="109"/>
      <c r="P29" s="200">
        <f ca="1">M29+SUM(P20,P21)</f>
        <v>-50</v>
      </c>
      <c r="Q29" s="200">
        <f t="shared" ref="Q29:AG29" ca="1" si="16">P29+SUM(Q20,Q21)</f>
        <v>-100</v>
      </c>
      <c r="R29" s="200">
        <f t="shared" ca="1" si="16"/>
        <v>-150</v>
      </c>
      <c r="S29" s="200">
        <f t="shared" ca="1" si="16"/>
        <v>-200</v>
      </c>
      <c r="T29" s="200">
        <f t="shared" ca="1" si="16"/>
        <v>-250</v>
      </c>
      <c r="U29" s="200">
        <f t="shared" ca="1" si="16"/>
        <v>-300</v>
      </c>
      <c r="V29" s="203">
        <f t="shared" ca="1" si="16"/>
        <v>-350</v>
      </c>
      <c r="W29" s="203">
        <f t="shared" ca="1" si="16"/>
        <v>-400</v>
      </c>
      <c r="X29" s="203">
        <f t="shared" ca="1" si="16"/>
        <v>-450</v>
      </c>
      <c r="Y29" s="203">
        <f t="shared" ca="1" si="16"/>
        <v>-500</v>
      </c>
      <c r="Z29" s="203">
        <f t="shared" ca="1" si="16"/>
        <v>-500</v>
      </c>
      <c r="AA29" s="203">
        <f t="shared" ca="1" si="16"/>
        <v>-500</v>
      </c>
      <c r="AB29" s="203">
        <f t="shared" ca="1" si="16"/>
        <v>-500</v>
      </c>
      <c r="AC29" s="203">
        <f t="shared" ca="1" si="16"/>
        <v>-500</v>
      </c>
      <c r="AD29" s="203">
        <f t="shared" ca="1" si="16"/>
        <v>-500</v>
      </c>
      <c r="AE29" s="203">
        <f t="shared" ca="1" si="16"/>
        <v>-500</v>
      </c>
      <c r="AF29" s="203">
        <f t="shared" ca="1" si="16"/>
        <v>-500</v>
      </c>
      <c r="AG29" s="203">
        <f t="shared" ca="1" si="16"/>
        <v>-500</v>
      </c>
    </row>
    <row r="30" spans="1:33" ht="15.75">
      <c r="A30" s="147" t="s">
        <v>217</v>
      </c>
      <c r="D30" s="209" t="str">
        <f ca="1">_xll.DBRA(xServer&amp;":Indicator_LTP",$A30,xLanguage)</f>
        <v>ENDETTEMENT FINANCIER NET (EFN)</v>
      </c>
      <c r="E30" s="209"/>
      <c r="F30" s="209"/>
      <c r="G30" s="209"/>
      <c r="H30" s="209"/>
      <c r="I30" s="210"/>
      <c r="J30" s="209"/>
      <c r="K30" s="209"/>
      <c r="L30" s="209"/>
      <c r="M30" s="209"/>
      <c r="N30" s="190"/>
      <c r="O30" s="206"/>
      <c r="P30" s="208">
        <f ca="1">P23</f>
        <v>-3.9536650739309067</v>
      </c>
      <c r="Q30" s="208">
        <f ca="1">P30+Q23</f>
        <v>-7.8490522283106117</v>
      </c>
      <c r="R30" s="208">
        <f ca="1">Q30+R23</f>
        <v>-11.304533420961064</v>
      </c>
      <c r="S30" s="208">
        <f ca="1">R30+S23</f>
        <v>-14.3159113006148</v>
      </c>
      <c r="T30" s="208">
        <f ca="1">S30+T23</f>
        <v>-16.878948467086701</v>
      </c>
      <c r="U30" s="208">
        <f ca="1">T30+U23</f>
        <v>-18.989367089148061</v>
      </c>
      <c r="V30" s="208">
        <f t="shared" ref="V30:AG30" ca="1" si="17">U30+V23</f>
        <v>-20.642848518755102</v>
      </c>
      <c r="W30" s="208">
        <f t="shared" ca="1" si="17"/>
        <v>-21.835032901596264</v>
      </c>
      <c r="X30" s="208">
        <f t="shared" ca="1" si="17"/>
        <v>-22.561518783923759</v>
      </c>
      <c r="Y30" s="208">
        <f t="shared" ca="1" si="17"/>
        <v>-22.817862715633566</v>
      </c>
      <c r="Z30" s="208">
        <f t="shared" ca="1" si="17"/>
        <v>-22.817862715633566</v>
      </c>
      <c r="AA30" s="208">
        <f t="shared" ca="1" si="17"/>
        <v>-22.817862715633566</v>
      </c>
      <c r="AB30" s="208">
        <f t="shared" ca="1" si="17"/>
        <v>-22.817862715633566</v>
      </c>
      <c r="AC30" s="208">
        <f t="shared" ca="1" si="17"/>
        <v>-22.817862715633566</v>
      </c>
      <c r="AD30" s="208">
        <f t="shared" ca="1" si="17"/>
        <v>-22.817862715633566</v>
      </c>
      <c r="AE30" s="208">
        <f t="shared" ca="1" si="17"/>
        <v>-22.817862715633566</v>
      </c>
      <c r="AF30" s="208">
        <f t="shared" ca="1" si="17"/>
        <v>-22.817862715633566</v>
      </c>
      <c r="AG30" s="208">
        <f t="shared" ca="1" si="17"/>
        <v>-22.817862715633566</v>
      </c>
    </row>
    <row r="31" spans="1:33" ht="15.75">
      <c r="A31" s="178" t="s">
        <v>50</v>
      </c>
      <c r="D31" s="111" t="str">
        <f ca="1">_xll.DBRA(xServer&amp;":Indicator_LTP",$A31,xLanguage)</f>
        <v>Capitaux propres Groupe</v>
      </c>
      <c r="E31" s="111"/>
      <c r="F31" s="111"/>
      <c r="G31" s="111"/>
      <c r="H31" s="111"/>
      <c r="I31" s="176"/>
      <c r="J31" s="111"/>
      <c r="K31" s="111"/>
      <c r="L31" s="111"/>
      <c r="M31" s="111"/>
      <c r="N31" s="190"/>
      <c r="O31" s="111"/>
      <c r="P31" s="205">
        <f ca="1">-P16</f>
        <v>51.671878802367658</v>
      </c>
      <c r="Q31" s="205">
        <f t="shared" ref="Q31:AG31" ca="1" si="18">P31-Q16</f>
        <v>103.28547968518411</v>
      </c>
      <c r="R31" s="205">
        <f t="shared" ca="1" si="18"/>
        <v>154.45917460627132</v>
      </c>
      <c r="S31" s="205">
        <f t="shared" ca="1" si="18"/>
        <v>205.18876621436181</v>
      </c>
      <c r="T31" s="205">
        <f t="shared" ca="1" si="18"/>
        <v>255.47001710927046</v>
      </c>
      <c r="U31" s="205">
        <f t="shared" ca="1" si="18"/>
        <v>305.29864945976857</v>
      </c>
      <c r="V31" s="203">
        <f t="shared" ca="1" si="18"/>
        <v>354.67034461781236</v>
      </c>
      <c r="W31" s="203">
        <f t="shared" ca="1" si="18"/>
        <v>403.58074272909028</v>
      </c>
      <c r="X31" s="203">
        <f t="shared" ca="1" si="18"/>
        <v>452.02544233985452</v>
      </c>
      <c r="Y31" s="203">
        <f t="shared" ca="1" si="18"/>
        <v>500.00000000000108</v>
      </c>
      <c r="Z31" s="203">
        <f t="shared" ca="1" si="18"/>
        <v>500.00000000000108</v>
      </c>
      <c r="AA31" s="203">
        <f t="shared" ca="1" si="18"/>
        <v>500.00000000000108</v>
      </c>
      <c r="AB31" s="203">
        <f t="shared" ca="1" si="18"/>
        <v>500.00000000000108</v>
      </c>
      <c r="AC31" s="203">
        <f t="shared" ca="1" si="18"/>
        <v>500.00000000000108</v>
      </c>
      <c r="AD31" s="203">
        <f t="shared" ca="1" si="18"/>
        <v>500.00000000000108</v>
      </c>
      <c r="AE31" s="203">
        <f t="shared" ca="1" si="18"/>
        <v>500.00000000000108</v>
      </c>
      <c r="AF31" s="203">
        <f t="shared" ca="1" si="18"/>
        <v>500.00000000000108</v>
      </c>
      <c r="AG31" s="203">
        <f t="shared" ca="1" si="18"/>
        <v>500.00000000000108</v>
      </c>
    </row>
    <row r="32" spans="1:33" ht="15.75">
      <c r="A32" s="178" t="s">
        <v>62</v>
      </c>
      <c r="D32" s="206" t="str">
        <f ca="1">_xll.DBRA(xServer&amp;":Indicator_LTP",$A32,xLanguage)</f>
        <v>CAPITAUX PROPRES &amp; TITRES</v>
      </c>
      <c r="E32" s="206"/>
      <c r="F32" s="206"/>
      <c r="G32" s="206"/>
      <c r="H32" s="206"/>
      <c r="I32" s="207"/>
      <c r="J32" s="206"/>
      <c r="K32" s="206"/>
      <c r="L32" s="206"/>
      <c r="M32" s="206"/>
      <c r="N32" s="190"/>
      <c r="O32" s="206"/>
      <c r="P32" s="208">
        <f t="shared" ref="P32:AG32" ca="1" si="19">P31</f>
        <v>51.671878802367658</v>
      </c>
      <c r="Q32" s="208">
        <f t="shared" ca="1" si="19"/>
        <v>103.28547968518411</v>
      </c>
      <c r="R32" s="208">
        <f t="shared" ca="1" si="19"/>
        <v>154.45917460627132</v>
      </c>
      <c r="S32" s="208">
        <f t="shared" ca="1" si="19"/>
        <v>205.18876621436181</v>
      </c>
      <c r="T32" s="208">
        <f t="shared" ca="1" si="19"/>
        <v>255.47001710927046</v>
      </c>
      <c r="U32" s="208">
        <f t="shared" ca="1" si="19"/>
        <v>305.29864945976857</v>
      </c>
      <c r="V32" s="208">
        <f t="shared" ca="1" si="19"/>
        <v>354.67034461781236</v>
      </c>
      <c r="W32" s="208">
        <f t="shared" ca="1" si="19"/>
        <v>403.58074272909028</v>
      </c>
      <c r="X32" s="208">
        <f t="shared" ca="1" si="19"/>
        <v>452.02544233985452</v>
      </c>
      <c r="Y32" s="208">
        <f t="shared" ca="1" si="19"/>
        <v>500.00000000000108</v>
      </c>
      <c r="Z32" s="208">
        <f t="shared" ca="1" si="19"/>
        <v>500.00000000000108</v>
      </c>
      <c r="AA32" s="208">
        <f t="shared" ca="1" si="19"/>
        <v>500.00000000000108</v>
      </c>
      <c r="AB32" s="208">
        <f t="shared" ca="1" si="19"/>
        <v>500.00000000000108</v>
      </c>
      <c r="AC32" s="208">
        <f t="shared" ca="1" si="19"/>
        <v>500.00000000000108</v>
      </c>
      <c r="AD32" s="208">
        <f t="shared" ca="1" si="19"/>
        <v>500.00000000000108</v>
      </c>
      <c r="AE32" s="208">
        <f t="shared" ca="1" si="19"/>
        <v>500.00000000000108</v>
      </c>
      <c r="AF32" s="208">
        <f t="shared" ca="1" si="19"/>
        <v>500.00000000000108</v>
      </c>
      <c r="AG32" s="208">
        <f t="shared" ca="1" si="19"/>
        <v>500.00000000000108</v>
      </c>
    </row>
    <row r="33" spans="4:33" s="194" customFormat="1" ht="12.75">
      <c r="D33" s="162" t="s">
        <v>209</v>
      </c>
      <c r="E33" s="162"/>
      <c r="F33" s="162"/>
      <c r="G33" s="162"/>
      <c r="H33" s="162"/>
      <c r="I33" s="162"/>
      <c r="J33" s="163"/>
      <c r="K33" s="162"/>
      <c r="L33" s="162"/>
      <c r="M33" s="162"/>
      <c r="N33" s="190"/>
      <c r="O33" s="164"/>
      <c r="P33" s="164">
        <f t="shared" ref="P33:AG33" ca="1" si="20">P27+P30+P32</f>
        <v>0</v>
      </c>
      <c r="Q33" s="162">
        <f t="shared" ca="1" si="20"/>
        <v>0</v>
      </c>
      <c r="R33" s="165">
        <f t="shared" ca="1" si="20"/>
        <v>0</v>
      </c>
      <c r="S33" s="165">
        <f t="shared" ca="1" si="20"/>
        <v>0</v>
      </c>
      <c r="T33" s="165">
        <f t="shared" ca="1" si="20"/>
        <v>0</v>
      </c>
      <c r="U33" s="165">
        <f t="shared" ca="1" si="20"/>
        <v>0</v>
      </c>
      <c r="V33" s="165">
        <f t="shared" ca="1" si="20"/>
        <v>0</v>
      </c>
      <c r="W33" s="165">
        <f t="shared" ca="1" si="20"/>
        <v>0</v>
      </c>
      <c r="X33" s="204">
        <f t="shared" ca="1" si="20"/>
        <v>0</v>
      </c>
      <c r="Y33" s="204">
        <f t="shared" ca="1" si="20"/>
        <v>0</v>
      </c>
      <c r="Z33" s="204">
        <f t="shared" ca="1" si="20"/>
        <v>0</v>
      </c>
      <c r="AA33" s="204">
        <f t="shared" ca="1" si="20"/>
        <v>0</v>
      </c>
      <c r="AB33" s="204">
        <f t="shared" ca="1" si="20"/>
        <v>0</v>
      </c>
      <c r="AC33" s="204">
        <f t="shared" ca="1" si="20"/>
        <v>0</v>
      </c>
      <c r="AD33" s="204">
        <f t="shared" ca="1" si="20"/>
        <v>0</v>
      </c>
      <c r="AE33" s="204">
        <f t="shared" ca="1" si="20"/>
        <v>0</v>
      </c>
      <c r="AF33" s="204">
        <f t="shared" ca="1" si="20"/>
        <v>0</v>
      </c>
      <c r="AG33" s="204">
        <f t="shared" ca="1" si="20"/>
        <v>0</v>
      </c>
    </row>
    <row r="34" spans="4:33">
      <c r="N34" s="190"/>
    </row>
    <row r="35" spans="4:33">
      <c r="N35" s="190"/>
    </row>
  </sheetData>
  <sheetProtection password="D70F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752475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D2CF8C8-23D5-4FD7-A414-2B7267F8476B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f2833bd4-76a4-4301-b3d7-e03c8129f24a"/>
  </ds:schemaRefs>
</ds:datastoreItem>
</file>

<file path=customXml/itemProps2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75</vt:i4>
      </vt:variant>
    </vt:vector>
  </HeadingPairs>
  <TitlesOfParts>
    <vt:vector size="80" baseType="lpstr">
      <vt:lpstr>Context</vt:lpstr>
      <vt:lpstr>Control</vt:lpstr>
      <vt:lpstr>Plan Input</vt:lpstr>
      <vt:lpstr>Plan Input_DBS</vt:lpstr>
      <vt:lpstr>IFRS16 Simulation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Context!Print_Area</vt:lpstr>
      <vt:lpstr>'Plan Input'!Print_Area</vt:lpstr>
      <vt:lpstr>'Plan Input_DBS'!Print_Area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</vt:vector>
  </TitlesOfParts>
  <Company>BearingPoint EMEA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SAINT JOHN de CREVECOEUR, Rozenn</cp:lastModifiedBy>
  <cp:lastPrinted>2013-04-05T12:01:44Z</cp:lastPrinted>
  <dcterms:created xsi:type="dcterms:W3CDTF">2012-01-30T16:11:20Z</dcterms:created>
  <dcterms:modified xsi:type="dcterms:W3CDTF">2021-11-08T10:24:23Z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