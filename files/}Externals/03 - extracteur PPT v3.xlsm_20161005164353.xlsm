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drawings/drawing14.xml" ContentType="application/vnd.openxmlformats-officedocument.drawing+xml"/>
  <Override PartName="/xl/ctrlProps/ctrlProp13.xml" ContentType="application/vnd.ms-excel.controlproperties+xml"/>
  <Override PartName="/xl/drawings/drawing15.xml" ContentType="application/vnd.openxmlformats-officedocument.drawing+xml"/>
  <Override PartName="/xl/ctrlProps/ctrlProp14.xml" ContentType="application/vnd.ms-excel.controlproperties+xml"/>
  <Override PartName="/xl/drawings/drawing16.xml" ContentType="application/vnd.openxmlformats-officedocument.drawing+xml"/>
  <Override PartName="/xl/ctrlProps/ctrlProp15.xml" ContentType="application/vnd.ms-excel.controlproperties+xml"/>
  <Override PartName="/xl/drawings/drawing17.xml" ContentType="application/vnd.openxmlformats-officedocument.drawing+xml"/>
  <Override PartName="/xl/ctrlProps/ctrlProp16.xml" ContentType="application/vnd.ms-excel.controlproperties+xml"/>
  <Override PartName="/xl/drawings/drawing18.xml" ContentType="application/vnd.openxmlformats-officedocument.drawing+xml"/>
  <Override PartName="/xl/ctrlProps/ctrlProp17.xml" ContentType="application/vnd.ms-excel.controlproperties+xml"/>
  <Override PartName="/xl/drawings/drawing19.xml" ContentType="application/vnd.openxmlformats-officedocument.drawing+xml"/>
  <Override PartName="/xl/ctrlProps/ctrlProp18.xml" ContentType="application/vnd.ms-excel.controlproperties+xml"/>
  <Override PartName="/xl/drawings/drawing20.xml" ContentType="application/vnd.openxmlformats-officedocument.drawing+xml"/>
  <Override PartName="/xl/ctrlProps/ctrlProp19.xml" ContentType="application/vnd.ms-excel.controlproperties+xml"/>
  <Override PartName="/xl/drawings/drawing21.xml" ContentType="application/vnd.openxmlformats-officedocument.drawing+xml"/>
  <Override PartName="/xl/ctrlProps/ctrlProp20.xml" ContentType="application/vnd.ms-excel.controlproperties+xml"/>
  <Override PartName="/xl/drawings/drawing22.xml" ContentType="application/vnd.openxmlformats-officedocument.drawing+xml"/>
  <Override PartName="/xl/ctrlProps/ctrlProp21.xml" ContentType="application/vnd.ms-excel.controlproperties+xml"/>
  <Override PartName="/xl/drawings/drawing23.xml" ContentType="application/vnd.openxmlformats-officedocument.drawing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5045" windowHeight="5925" tabRatio="909"/>
  </bookViews>
  <sheets>
    <sheet name="Index" sheetId="1" r:id="rId1"/>
    <sheet name="EXPORT_TITLE" sheetId="2" r:id="rId2"/>
    <sheet name="EXPORT_GM_BUD" sheetId="10" r:id="rId3"/>
    <sheet name="EXPORT_GM_N-1" sheetId="11" r:id="rId4"/>
    <sheet name="EXPORT_WORST_1_TITLE" sheetId="13" r:id="rId5"/>
    <sheet name="EXPORT_WORST_1" sheetId="14" r:id="rId6"/>
    <sheet name="EXPORT_WORST_2_TITLE" sheetId="17" r:id="rId7"/>
    <sheet name="EXPORT_WORST_2" sheetId="18" r:id="rId8"/>
    <sheet name="EXPORT_WORST_3_TITLE" sheetId="19" r:id="rId9"/>
    <sheet name="EXPORT_WORST_3" sheetId="20" r:id="rId10"/>
    <sheet name="EXPORT_WORST_4_TITLE" sheetId="21" r:id="rId11"/>
    <sheet name="EXPORT_WORST_4" sheetId="22" r:id="rId12"/>
    <sheet name="EXPORT_WORST_5_TITLE" sheetId="23" r:id="rId13"/>
    <sheet name="EXPORT_WORST_5" sheetId="24" r:id="rId14"/>
    <sheet name="EXPORT_BEST_1_TITLE" sheetId="26" r:id="rId15"/>
    <sheet name="EXPORT_BEST_1" sheetId="25" r:id="rId16"/>
    <sheet name="EXPORT_BEST_2_TITLE" sheetId="27" r:id="rId17"/>
    <sheet name="EXPORT_BEST_2" sheetId="28" r:id="rId18"/>
    <sheet name="EXPORT_BEST_3_TITLE" sheetId="29" r:id="rId19"/>
    <sheet name="EXPORT_BEST_3" sheetId="30" r:id="rId20"/>
    <sheet name="EXPORT_BEST_4_TITLE" sheetId="31" r:id="rId21"/>
    <sheet name="EXPORT_BEST_4" sheetId="32" r:id="rId22"/>
    <sheet name="EXPORT_BEST_5_TITLE" sheetId="33" r:id="rId23"/>
    <sheet name="EXPORT_BEST_5" sheetId="34" r:id="rId24"/>
    <sheet name="DATA_01" sheetId="8" state="hidden" r:id="rId25"/>
    <sheet name="{PL}PickLst" sheetId="37" state="hidden" r:id="rId26"/>
  </sheets>
  <functionGroups builtInGroupCount="17"/>
  <definedNames>
    <definedName name="ActualMonth">Index!$B$8</definedName>
    <definedName name="ActualYear">Index!$B$7</definedName>
    <definedName name="EXPORT_RANGE" localSheetId="15">EXPORT_BEST_1!$F$13:$Q$22</definedName>
    <definedName name="EXPORT_RANGE" localSheetId="14">EXPORT_BEST_1_TITLE!$I$11</definedName>
    <definedName name="EXPORT_RANGE" localSheetId="17">EXPORT_BEST_2!$F$13:$Q$22</definedName>
    <definedName name="EXPORT_RANGE" localSheetId="16">EXPORT_BEST_2_TITLE!$I$11</definedName>
    <definedName name="EXPORT_RANGE" localSheetId="19">EXPORT_BEST_3!$F$13:$Q$22</definedName>
    <definedName name="EXPORT_RANGE" localSheetId="18">EXPORT_BEST_3_TITLE!$I$11</definedName>
    <definedName name="EXPORT_RANGE" localSheetId="21">EXPORT_BEST_4!$F$13:$Q$22</definedName>
    <definedName name="EXPORT_RANGE" localSheetId="20">EXPORT_BEST_4_TITLE!$I$11</definedName>
    <definedName name="EXPORT_RANGE" localSheetId="23">EXPORT_BEST_5!$F$13:$Q$22</definedName>
    <definedName name="EXPORT_RANGE" localSheetId="22">EXPORT_BEST_5_TITLE!$I$11</definedName>
    <definedName name="EXPORT_RANGE" localSheetId="2">EXPORT_GM_BUD!$C$13:$M$30</definedName>
    <definedName name="EXPORT_RANGE" localSheetId="3">'EXPORT_GM_N-1'!$C$13:$M$30</definedName>
    <definedName name="EXPORT_RANGE" localSheetId="1">EXPORT_TITLE!$C$9:$C$10</definedName>
    <definedName name="EXPORT_RANGE" localSheetId="5">EXPORT_WORST_1!$F$13:$Q$22</definedName>
    <definedName name="EXPORT_RANGE" localSheetId="4">EXPORT_WORST_1_TITLE!$I$11</definedName>
    <definedName name="EXPORT_RANGE" localSheetId="7">EXPORT_WORST_2!$F$13:$Q$22</definedName>
    <definedName name="EXPORT_RANGE" localSheetId="6">EXPORT_WORST_2_TITLE!$I$11</definedName>
    <definedName name="EXPORT_RANGE" localSheetId="9">EXPORT_WORST_3!$F$13:$Q$22</definedName>
    <definedName name="EXPORT_RANGE" localSheetId="8">EXPORT_WORST_3_TITLE!$I$11</definedName>
    <definedName name="EXPORT_RANGE" localSheetId="11">EXPORT_WORST_4!$F$13:$Q$22</definedName>
    <definedName name="EXPORT_RANGE" localSheetId="10">EXPORT_WORST_4_TITLE!$I$11</definedName>
    <definedName name="EXPORT_RANGE" localSheetId="13">EXPORT_WORST_5!$F$13:$Q$22</definedName>
    <definedName name="EXPORT_RANGE" localSheetId="12">EXPORT_WORST_5_TITLE!$I$11</definedName>
    <definedName name="IDX_ACTIVITY">Index!$O$10</definedName>
    <definedName name="IDX_CURRENCY">Index!$O$11</definedName>
    <definedName name="IDX_DATE">Index!$O$16</definedName>
    <definedName name="IDX_DEFAULT_LANG">Index!$E$4</definedName>
    <definedName name="IDX_LANG">Index!$E$5</definedName>
    <definedName name="IDX_LANG_CHOICE">Index!$O$4</definedName>
    <definedName name="IDX_MAN_ORG">Index!$O$9</definedName>
    <definedName name="IDX_PERIOD">Index!$O$12</definedName>
    <definedName name="IDX_PERIOD_COMP_N_1">Index!$Q$14</definedName>
    <definedName name="IDX_PERIOD_COMP_N_2">Index!$Q$15</definedName>
    <definedName name="IDX_PERIOD_COMP1">Index!$D$17</definedName>
    <definedName name="IDX_PERIOD_COMP2">Index!$D$18</definedName>
    <definedName name="IDX_PHASE">Index!$F$9</definedName>
    <definedName name="IDX_PHASE_COMP1">Index!$O$14</definedName>
    <definedName name="IDX_PHASE_COMP2">Index!$O$15</definedName>
    <definedName name="IDX_SORT">Index!$O$13</definedName>
    <definedName name="LIST_PHASES">Index!$D$9:$D$12</definedName>
    <definedName name="LIST_YEARS">Index!$D$13:$D$15</definedName>
    <definedName name="Print_Area" localSheetId="0">Index!$I$3:$R$56</definedName>
    <definedName name="Server">Index!$B$4</definedName>
    <definedName name="TM1REBUILDOPTION">0</definedName>
    <definedName name="TM1RPTDATARNG1" localSheetId="24">DATA_01!$36:$50</definedName>
    <definedName name="TM1RPTFMTIDCOL" localSheetId="24">DATA_01!$A$3:$A$5</definedName>
    <definedName name="TM1RPTFMTRNG" localSheetId="24">DATA_01!$B$3:$M$5</definedName>
    <definedName name="xServer">Index!$B$5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O9" i="1" l="1"/>
  <c r="B5" i="11"/>
  <c r="B5" i="10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B6" i="8"/>
  <c r="O10" i="1"/>
  <c r="C9" i="8"/>
  <c r="C10" i="8"/>
  <c r="C11" i="8"/>
  <c r="C12" i="8"/>
  <c r="C13" i="8"/>
  <c r="O12" i="1"/>
  <c r="C31" i="8"/>
  <c r="C32" i="8"/>
  <c r="L50" i="8"/>
  <c r="C50" i="8"/>
  <c r="G13" i="1"/>
  <c r="D18" i="1"/>
  <c r="AS31" i="8"/>
  <c r="D9" i="1"/>
  <c r="G10" i="1"/>
  <c r="O15" i="1"/>
  <c r="AS32" i="8"/>
  <c r="AS50" i="8"/>
  <c r="BB50" i="8"/>
  <c r="BC50" i="8"/>
  <c r="CO50" i="8"/>
  <c r="CP50" i="8"/>
  <c r="J50" i="8"/>
  <c r="AZ50" i="8"/>
  <c r="BA50" i="8"/>
  <c r="CM50" i="8"/>
  <c r="CN50" i="8"/>
  <c r="H50" i="8"/>
  <c r="AX50" i="8"/>
  <c r="AY50" i="8"/>
  <c r="CK50" i="8"/>
  <c r="CL50" i="8"/>
  <c r="F50" i="8"/>
  <c r="AV50" i="8"/>
  <c r="AW50" i="8"/>
  <c r="CI50" i="8"/>
  <c r="CJ50" i="8"/>
  <c r="D50" i="8"/>
  <c r="AT50" i="8"/>
  <c r="AU50" i="8"/>
  <c r="CG50" i="8"/>
  <c r="CH50" i="8"/>
  <c r="G14" i="1"/>
  <c r="D17" i="1"/>
  <c r="Q31" i="8"/>
  <c r="B10" i="1"/>
  <c r="C10" i="1"/>
  <c r="D10" i="1"/>
  <c r="F10" i="1"/>
  <c r="O14" i="1"/>
  <c r="Q32" i="8"/>
  <c r="Q50" i="8"/>
  <c r="Z50" i="8"/>
  <c r="AA50" i="8"/>
  <c r="CD50" i="8"/>
  <c r="CE50" i="8"/>
  <c r="X50" i="8"/>
  <c r="Y50" i="8"/>
  <c r="CB50" i="8"/>
  <c r="CC50" i="8"/>
  <c r="V50" i="8"/>
  <c r="W50" i="8"/>
  <c r="BZ50" i="8"/>
  <c r="CA50" i="8"/>
  <c r="T50" i="8"/>
  <c r="U50" i="8"/>
  <c r="BX50" i="8"/>
  <c r="BY50" i="8"/>
  <c r="R50" i="8"/>
  <c r="S50" i="8"/>
  <c r="BV50" i="8"/>
  <c r="BW50" i="8"/>
  <c r="BT50" i="8"/>
  <c r="BD50" i="8"/>
  <c r="BE50" i="8"/>
  <c r="N50" i="8"/>
  <c r="O50" i="8"/>
  <c r="BS50" i="8"/>
  <c r="BR50" i="8"/>
  <c r="M50" i="8"/>
  <c r="BQ50" i="8"/>
  <c r="BP50" i="8"/>
  <c r="K50" i="8"/>
  <c r="BO50" i="8"/>
  <c r="BN50" i="8"/>
  <c r="I50" i="8"/>
  <c r="BM50" i="8"/>
  <c r="BL50" i="8"/>
  <c r="G50" i="8"/>
  <c r="BK50" i="8"/>
  <c r="BJ50" i="8"/>
  <c r="E50" i="8"/>
  <c r="BI50" i="8"/>
  <c r="BH50" i="8"/>
  <c r="BG50" i="8"/>
  <c r="AB50" i="8"/>
  <c r="AC50" i="8"/>
  <c r="AQ50" i="8"/>
  <c r="AP50" i="8"/>
  <c r="AO50" i="8"/>
  <c r="AN50" i="8"/>
  <c r="AM50" i="8"/>
  <c r="AL50" i="8"/>
  <c r="AK50" i="8"/>
  <c r="AJ50" i="8"/>
  <c r="AI50" i="8"/>
  <c r="AH50" i="8"/>
  <c r="AG50" i="8"/>
  <c r="AF50" i="8"/>
  <c r="AE50" i="8"/>
  <c r="L49" i="8"/>
  <c r="C49" i="8"/>
  <c r="AS49" i="8"/>
  <c r="BB49" i="8"/>
  <c r="BC49" i="8"/>
  <c r="CO49" i="8"/>
  <c r="CP49" i="8"/>
  <c r="J49" i="8"/>
  <c r="AZ49" i="8"/>
  <c r="BA49" i="8"/>
  <c r="CM49" i="8"/>
  <c r="CN49" i="8"/>
  <c r="H49" i="8"/>
  <c r="AX49" i="8"/>
  <c r="AY49" i="8"/>
  <c r="CK49" i="8"/>
  <c r="CL49" i="8"/>
  <c r="F49" i="8"/>
  <c r="AV49" i="8"/>
  <c r="AW49" i="8"/>
  <c r="CI49" i="8"/>
  <c r="CJ49" i="8"/>
  <c r="D49" i="8"/>
  <c r="AT49" i="8"/>
  <c r="AU49" i="8"/>
  <c r="CG49" i="8"/>
  <c r="CH49" i="8"/>
  <c r="Q49" i="8"/>
  <c r="Z49" i="8"/>
  <c r="AA49" i="8"/>
  <c r="CD49" i="8"/>
  <c r="CE49" i="8"/>
  <c r="X49" i="8"/>
  <c r="Y49" i="8"/>
  <c r="CB49" i="8"/>
  <c r="CC49" i="8"/>
  <c r="V49" i="8"/>
  <c r="W49" i="8"/>
  <c r="BZ49" i="8"/>
  <c r="CA49" i="8"/>
  <c r="T49" i="8"/>
  <c r="U49" i="8"/>
  <c r="BX49" i="8"/>
  <c r="BY49" i="8"/>
  <c r="R49" i="8"/>
  <c r="S49" i="8"/>
  <c r="BV49" i="8"/>
  <c r="BW49" i="8"/>
  <c r="BT49" i="8"/>
  <c r="BD49" i="8"/>
  <c r="BE49" i="8"/>
  <c r="N49" i="8"/>
  <c r="O49" i="8"/>
  <c r="BS49" i="8"/>
  <c r="BR49" i="8"/>
  <c r="M49" i="8"/>
  <c r="BQ49" i="8"/>
  <c r="BP49" i="8"/>
  <c r="K49" i="8"/>
  <c r="BO49" i="8"/>
  <c r="BN49" i="8"/>
  <c r="I49" i="8"/>
  <c r="BM49" i="8"/>
  <c r="BL49" i="8"/>
  <c r="G49" i="8"/>
  <c r="BK49" i="8"/>
  <c r="BJ49" i="8"/>
  <c r="E49" i="8"/>
  <c r="BI49" i="8"/>
  <c r="BH49" i="8"/>
  <c r="BG49" i="8"/>
  <c r="AB49" i="8"/>
  <c r="AC49" i="8"/>
  <c r="AQ49" i="8"/>
  <c r="AP49" i="8"/>
  <c r="AO49" i="8"/>
  <c r="AN49" i="8"/>
  <c r="AM49" i="8"/>
  <c r="AL49" i="8"/>
  <c r="AK49" i="8"/>
  <c r="AJ49" i="8"/>
  <c r="AI49" i="8"/>
  <c r="AH49" i="8"/>
  <c r="AG49" i="8"/>
  <c r="AF49" i="8"/>
  <c r="AE49" i="8"/>
  <c r="L48" i="8"/>
  <c r="C48" i="8"/>
  <c r="AS48" i="8"/>
  <c r="BB48" i="8"/>
  <c r="BC48" i="8"/>
  <c r="CO48" i="8"/>
  <c r="CP48" i="8"/>
  <c r="J48" i="8"/>
  <c r="AZ48" i="8"/>
  <c r="BA48" i="8"/>
  <c r="CM48" i="8"/>
  <c r="CN48" i="8"/>
  <c r="H48" i="8"/>
  <c r="AX48" i="8"/>
  <c r="AY48" i="8"/>
  <c r="CK48" i="8"/>
  <c r="CL48" i="8"/>
  <c r="F48" i="8"/>
  <c r="AV48" i="8"/>
  <c r="AW48" i="8"/>
  <c r="CI48" i="8"/>
  <c r="CJ48" i="8"/>
  <c r="D48" i="8"/>
  <c r="AT48" i="8"/>
  <c r="AU48" i="8"/>
  <c r="CG48" i="8"/>
  <c r="CH48" i="8"/>
  <c r="Q48" i="8"/>
  <c r="Z48" i="8"/>
  <c r="AA48" i="8"/>
  <c r="CD48" i="8"/>
  <c r="CE48" i="8"/>
  <c r="X48" i="8"/>
  <c r="Y48" i="8"/>
  <c r="CB48" i="8"/>
  <c r="CC48" i="8"/>
  <c r="V48" i="8"/>
  <c r="W48" i="8"/>
  <c r="BZ48" i="8"/>
  <c r="CA48" i="8"/>
  <c r="T48" i="8"/>
  <c r="U48" i="8"/>
  <c r="BX48" i="8"/>
  <c r="BY48" i="8"/>
  <c r="R48" i="8"/>
  <c r="S48" i="8"/>
  <c r="BV48" i="8"/>
  <c r="BW48" i="8"/>
  <c r="BT48" i="8"/>
  <c r="BD48" i="8"/>
  <c r="BE48" i="8"/>
  <c r="N48" i="8"/>
  <c r="O48" i="8"/>
  <c r="BS48" i="8"/>
  <c r="BR48" i="8"/>
  <c r="M48" i="8"/>
  <c r="BQ48" i="8"/>
  <c r="BP48" i="8"/>
  <c r="K48" i="8"/>
  <c r="BO48" i="8"/>
  <c r="BN48" i="8"/>
  <c r="I48" i="8"/>
  <c r="BM48" i="8"/>
  <c r="BL48" i="8"/>
  <c r="G48" i="8"/>
  <c r="BK48" i="8"/>
  <c r="BJ48" i="8"/>
  <c r="E48" i="8"/>
  <c r="BI48" i="8"/>
  <c r="BH48" i="8"/>
  <c r="BG48" i="8"/>
  <c r="AB48" i="8"/>
  <c r="AC48" i="8"/>
  <c r="AQ48" i="8"/>
  <c r="AP48" i="8"/>
  <c r="AO48" i="8"/>
  <c r="AN48" i="8"/>
  <c r="AM48" i="8"/>
  <c r="AL48" i="8"/>
  <c r="AK48" i="8"/>
  <c r="AJ48" i="8"/>
  <c r="AI48" i="8"/>
  <c r="AH48" i="8"/>
  <c r="AG48" i="8"/>
  <c r="AF48" i="8"/>
  <c r="AE48" i="8"/>
  <c r="L47" i="8"/>
  <c r="C47" i="8"/>
  <c r="AS47" i="8"/>
  <c r="BB47" i="8"/>
  <c r="BC47" i="8"/>
  <c r="CO47" i="8"/>
  <c r="CP47" i="8"/>
  <c r="J47" i="8"/>
  <c r="AZ47" i="8"/>
  <c r="BA47" i="8"/>
  <c r="CM47" i="8"/>
  <c r="CN47" i="8"/>
  <c r="H47" i="8"/>
  <c r="AX47" i="8"/>
  <c r="AY47" i="8"/>
  <c r="CK47" i="8"/>
  <c r="CL47" i="8"/>
  <c r="F47" i="8"/>
  <c r="AV47" i="8"/>
  <c r="AW47" i="8"/>
  <c r="CI47" i="8"/>
  <c r="CJ47" i="8"/>
  <c r="D47" i="8"/>
  <c r="AT47" i="8"/>
  <c r="AU47" i="8"/>
  <c r="CG47" i="8"/>
  <c r="CH47" i="8"/>
  <c r="Q47" i="8"/>
  <c r="Z47" i="8"/>
  <c r="AA47" i="8"/>
  <c r="CD47" i="8"/>
  <c r="CE47" i="8"/>
  <c r="X47" i="8"/>
  <c r="Y47" i="8"/>
  <c r="CB47" i="8"/>
  <c r="CC47" i="8"/>
  <c r="V47" i="8"/>
  <c r="W47" i="8"/>
  <c r="BZ47" i="8"/>
  <c r="CA47" i="8"/>
  <c r="T47" i="8"/>
  <c r="U47" i="8"/>
  <c r="BX47" i="8"/>
  <c r="BY47" i="8"/>
  <c r="R47" i="8"/>
  <c r="S47" i="8"/>
  <c r="BV47" i="8"/>
  <c r="BW47" i="8"/>
  <c r="BT47" i="8"/>
  <c r="BD47" i="8"/>
  <c r="BE47" i="8"/>
  <c r="N47" i="8"/>
  <c r="O47" i="8"/>
  <c r="BS47" i="8"/>
  <c r="BR47" i="8"/>
  <c r="M47" i="8"/>
  <c r="BQ47" i="8"/>
  <c r="BP47" i="8"/>
  <c r="K47" i="8"/>
  <c r="BO47" i="8"/>
  <c r="BN47" i="8"/>
  <c r="I47" i="8"/>
  <c r="BM47" i="8"/>
  <c r="BL47" i="8"/>
  <c r="G47" i="8"/>
  <c r="BK47" i="8"/>
  <c r="BJ47" i="8"/>
  <c r="E47" i="8"/>
  <c r="BI47" i="8"/>
  <c r="BH47" i="8"/>
  <c r="BG47" i="8"/>
  <c r="AB47" i="8"/>
  <c r="AC47" i="8"/>
  <c r="AQ47" i="8"/>
  <c r="AP47" i="8"/>
  <c r="AO47" i="8"/>
  <c r="AN47" i="8"/>
  <c r="AM47" i="8"/>
  <c r="AL47" i="8"/>
  <c r="AK47" i="8"/>
  <c r="AJ47" i="8"/>
  <c r="AI47" i="8"/>
  <c r="AH47" i="8"/>
  <c r="AG47" i="8"/>
  <c r="AF47" i="8"/>
  <c r="AE47" i="8"/>
  <c r="L46" i="8"/>
  <c r="C46" i="8"/>
  <c r="AS46" i="8"/>
  <c r="BB46" i="8"/>
  <c r="BC46" i="8"/>
  <c r="CO46" i="8"/>
  <c r="CP46" i="8"/>
  <c r="J46" i="8"/>
  <c r="AZ46" i="8"/>
  <c r="BA46" i="8"/>
  <c r="CM46" i="8"/>
  <c r="CN46" i="8"/>
  <c r="H46" i="8"/>
  <c r="AX46" i="8"/>
  <c r="AY46" i="8"/>
  <c r="CK46" i="8"/>
  <c r="CL46" i="8"/>
  <c r="F46" i="8"/>
  <c r="AV46" i="8"/>
  <c r="AW46" i="8"/>
  <c r="CI46" i="8"/>
  <c r="CJ46" i="8"/>
  <c r="D46" i="8"/>
  <c r="AT46" i="8"/>
  <c r="AU46" i="8"/>
  <c r="CG46" i="8"/>
  <c r="CH46" i="8"/>
  <c r="Q46" i="8"/>
  <c r="Z46" i="8"/>
  <c r="AA46" i="8"/>
  <c r="CD46" i="8"/>
  <c r="CE46" i="8"/>
  <c r="X46" i="8"/>
  <c r="Y46" i="8"/>
  <c r="CB46" i="8"/>
  <c r="CC46" i="8"/>
  <c r="V46" i="8"/>
  <c r="W46" i="8"/>
  <c r="BZ46" i="8"/>
  <c r="CA46" i="8"/>
  <c r="T46" i="8"/>
  <c r="U46" i="8"/>
  <c r="BX46" i="8"/>
  <c r="BY46" i="8"/>
  <c r="R46" i="8"/>
  <c r="S46" i="8"/>
  <c r="BV46" i="8"/>
  <c r="BW46" i="8"/>
  <c r="BT46" i="8"/>
  <c r="BD46" i="8"/>
  <c r="BE46" i="8"/>
  <c r="N46" i="8"/>
  <c r="O46" i="8"/>
  <c r="BS46" i="8"/>
  <c r="BR46" i="8"/>
  <c r="M46" i="8"/>
  <c r="BQ46" i="8"/>
  <c r="BP46" i="8"/>
  <c r="K46" i="8"/>
  <c r="BO46" i="8"/>
  <c r="BN46" i="8"/>
  <c r="I46" i="8"/>
  <c r="BM46" i="8"/>
  <c r="BL46" i="8"/>
  <c r="G46" i="8"/>
  <c r="BK46" i="8"/>
  <c r="BJ46" i="8"/>
  <c r="E46" i="8"/>
  <c r="BI46" i="8"/>
  <c r="BH46" i="8"/>
  <c r="BG46" i="8"/>
  <c r="AB46" i="8"/>
  <c r="AC46" i="8"/>
  <c r="AQ46" i="8"/>
  <c r="AP46" i="8"/>
  <c r="AO46" i="8"/>
  <c r="AN46" i="8"/>
  <c r="AM46" i="8"/>
  <c r="AL46" i="8"/>
  <c r="AK46" i="8"/>
  <c r="AJ46" i="8"/>
  <c r="AI46" i="8"/>
  <c r="AH46" i="8"/>
  <c r="AG46" i="8"/>
  <c r="AF46" i="8"/>
  <c r="AE46" i="8"/>
  <c r="L45" i="8"/>
  <c r="C45" i="8"/>
  <c r="AS45" i="8"/>
  <c r="BB45" i="8"/>
  <c r="BC45" i="8"/>
  <c r="CO45" i="8"/>
  <c r="CP45" i="8"/>
  <c r="J45" i="8"/>
  <c r="AZ45" i="8"/>
  <c r="BA45" i="8"/>
  <c r="CM45" i="8"/>
  <c r="CN45" i="8"/>
  <c r="H45" i="8"/>
  <c r="AX45" i="8"/>
  <c r="AY45" i="8"/>
  <c r="CK45" i="8"/>
  <c r="CL45" i="8"/>
  <c r="F45" i="8"/>
  <c r="AV45" i="8"/>
  <c r="AW45" i="8"/>
  <c r="CI45" i="8"/>
  <c r="CJ45" i="8"/>
  <c r="D45" i="8"/>
  <c r="AT45" i="8"/>
  <c r="AU45" i="8"/>
  <c r="CG45" i="8"/>
  <c r="CH45" i="8"/>
  <c r="Q45" i="8"/>
  <c r="Z45" i="8"/>
  <c r="AA45" i="8"/>
  <c r="CD45" i="8"/>
  <c r="CE45" i="8"/>
  <c r="X45" i="8"/>
  <c r="Y45" i="8"/>
  <c r="CB45" i="8"/>
  <c r="CC45" i="8"/>
  <c r="V45" i="8"/>
  <c r="W45" i="8"/>
  <c r="BZ45" i="8"/>
  <c r="CA45" i="8"/>
  <c r="T45" i="8"/>
  <c r="U45" i="8"/>
  <c r="BX45" i="8"/>
  <c r="BY45" i="8"/>
  <c r="R45" i="8"/>
  <c r="S45" i="8"/>
  <c r="BV45" i="8"/>
  <c r="BW45" i="8"/>
  <c r="BT45" i="8"/>
  <c r="BD45" i="8"/>
  <c r="BE45" i="8"/>
  <c r="N45" i="8"/>
  <c r="O45" i="8"/>
  <c r="BS45" i="8"/>
  <c r="BR45" i="8"/>
  <c r="M45" i="8"/>
  <c r="BQ45" i="8"/>
  <c r="BP45" i="8"/>
  <c r="K45" i="8"/>
  <c r="BO45" i="8"/>
  <c r="BN45" i="8"/>
  <c r="I45" i="8"/>
  <c r="BM45" i="8"/>
  <c r="BL45" i="8"/>
  <c r="G45" i="8"/>
  <c r="BK45" i="8"/>
  <c r="BJ45" i="8"/>
  <c r="E45" i="8"/>
  <c r="BI45" i="8"/>
  <c r="BH45" i="8"/>
  <c r="BG45" i="8"/>
  <c r="AB45" i="8"/>
  <c r="AC45" i="8"/>
  <c r="AQ45" i="8"/>
  <c r="AP45" i="8"/>
  <c r="AO45" i="8"/>
  <c r="AN45" i="8"/>
  <c r="AM45" i="8"/>
  <c r="AL45" i="8"/>
  <c r="AK45" i="8"/>
  <c r="AJ45" i="8"/>
  <c r="AI45" i="8"/>
  <c r="AH45" i="8"/>
  <c r="AG45" i="8"/>
  <c r="AF45" i="8"/>
  <c r="AE45" i="8"/>
  <c r="L44" i="8"/>
  <c r="C44" i="8"/>
  <c r="AS44" i="8"/>
  <c r="BB44" i="8"/>
  <c r="BC44" i="8"/>
  <c r="CO44" i="8"/>
  <c r="CP44" i="8"/>
  <c r="J44" i="8"/>
  <c r="AZ44" i="8"/>
  <c r="BA44" i="8"/>
  <c r="CM44" i="8"/>
  <c r="CN44" i="8"/>
  <c r="H44" i="8"/>
  <c r="AX44" i="8"/>
  <c r="AY44" i="8"/>
  <c r="CK44" i="8"/>
  <c r="CL44" i="8"/>
  <c r="F44" i="8"/>
  <c r="AV44" i="8"/>
  <c r="AW44" i="8"/>
  <c r="CI44" i="8"/>
  <c r="CJ44" i="8"/>
  <c r="D44" i="8"/>
  <c r="AT44" i="8"/>
  <c r="AU44" i="8"/>
  <c r="CG44" i="8"/>
  <c r="CH44" i="8"/>
  <c r="Q44" i="8"/>
  <c r="Z44" i="8"/>
  <c r="AA44" i="8"/>
  <c r="CD44" i="8"/>
  <c r="CE44" i="8"/>
  <c r="X44" i="8"/>
  <c r="Y44" i="8"/>
  <c r="CB44" i="8"/>
  <c r="CC44" i="8"/>
  <c r="V44" i="8"/>
  <c r="W44" i="8"/>
  <c r="BZ44" i="8"/>
  <c r="CA44" i="8"/>
  <c r="T44" i="8"/>
  <c r="U44" i="8"/>
  <c r="BX44" i="8"/>
  <c r="BY44" i="8"/>
  <c r="R44" i="8"/>
  <c r="S44" i="8"/>
  <c r="BV44" i="8"/>
  <c r="BW44" i="8"/>
  <c r="BT44" i="8"/>
  <c r="BD44" i="8"/>
  <c r="BE44" i="8"/>
  <c r="N44" i="8"/>
  <c r="O44" i="8"/>
  <c r="BS44" i="8"/>
  <c r="BR44" i="8"/>
  <c r="M44" i="8"/>
  <c r="BQ44" i="8"/>
  <c r="BP44" i="8"/>
  <c r="K44" i="8"/>
  <c r="BO44" i="8"/>
  <c r="BN44" i="8"/>
  <c r="I44" i="8"/>
  <c r="BM44" i="8"/>
  <c r="BL44" i="8"/>
  <c r="G44" i="8"/>
  <c r="BK44" i="8"/>
  <c r="BJ44" i="8"/>
  <c r="E44" i="8"/>
  <c r="BI44" i="8"/>
  <c r="BH44" i="8"/>
  <c r="BG44" i="8"/>
  <c r="AB44" i="8"/>
  <c r="AC44" i="8"/>
  <c r="AQ44" i="8"/>
  <c r="AP44" i="8"/>
  <c r="AO44" i="8"/>
  <c r="AN44" i="8"/>
  <c r="AM44" i="8"/>
  <c r="AL44" i="8"/>
  <c r="AK44" i="8"/>
  <c r="AJ44" i="8"/>
  <c r="AI44" i="8"/>
  <c r="AH44" i="8"/>
  <c r="AG44" i="8"/>
  <c r="AF44" i="8"/>
  <c r="AE44" i="8"/>
  <c r="L43" i="8"/>
  <c r="C43" i="8"/>
  <c r="AS43" i="8"/>
  <c r="BC43" i="8"/>
  <c r="CO43" i="8"/>
  <c r="CP43" i="8"/>
  <c r="J43" i="8"/>
  <c r="BA43" i="8"/>
  <c r="CM43" i="8"/>
  <c r="CN43" i="8"/>
  <c r="H43" i="8"/>
  <c r="AY43" i="8"/>
  <c r="CK43" i="8"/>
  <c r="CL43" i="8"/>
  <c r="F43" i="8"/>
  <c r="AW43" i="8"/>
  <c r="CI43" i="8"/>
  <c r="CJ43" i="8"/>
  <c r="D43" i="8"/>
  <c r="AU43" i="8"/>
  <c r="CG43" i="8"/>
  <c r="CH43" i="8"/>
  <c r="Q43" i="8"/>
  <c r="Z43" i="8"/>
  <c r="AA43" i="8"/>
  <c r="CD43" i="8"/>
  <c r="CE43" i="8"/>
  <c r="X43" i="8"/>
  <c r="Y43" i="8"/>
  <c r="CB43" i="8"/>
  <c r="CC43" i="8"/>
  <c r="V43" i="8"/>
  <c r="W43" i="8"/>
  <c r="BZ43" i="8"/>
  <c r="CA43" i="8"/>
  <c r="T43" i="8"/>
  <c r="U43" i="8"/>
  <c r="BX43" i="8"/>
  <c r="BY43" i="8"/>
  <c r="R43" i="8"/>
  <c r="S43" i="8"/>
  <c r="BV43" i="8"/>
  <c r="BW43" i="8"/>
  <c r="BT43" i="8"/>
  <c r="AT43" i="8"/>
  <c r="AV43" i="8"/>
  <c r="AX43" i="8"/>
  <c r="AZ43" i="8"/>
  <c r="BB43" i="8"/>
  <c r="BD43" i="8"/>
  <c r="BE43" i="8"/>
  <c r="N43" i="8"/>
  <c r="O43" i="8"/>
  <c r="BS43" i="8"/>
  <c r="BR43" i="8"/>
  <c r="M43" i="8"/>
  <c r="BQ43" i="8"/>
  <c r="BP43" i="8"/>
  <c r="K43" i="8"/>
  <c r="BO43" i="8"/>
  <c r="BN43" i="8"/>
  <c r="I43" i="8"/>
  <c r="BM43" i="8"/>
  <c r="BL43" i="8"/>
  <c r="G43" i="8"/>
  <c r="BK43" i="8"/>
  <c r="BJ43" i="8"/>
  <c r="E43" i="8"/>
  <c r="BI43" i="8"/>
  <c r="BH43" i="8"/>
  <c r="BG43" i="8"/>
  <c r="AB43" i="8"/>
  <c r="AC43" i="8"/>
  <c r="AQ43" i="8"/>
  <c r="AP43" i="8"/>
  <c r="AO43" i="8"/>
  <c r="AN43" i="8"/>
  <c r="AM43" i="8"/>
  <c r="AL43" i="8"/>
  <c r="AK43" i="8"/>
  <c r="AJ43" i="8"/>
  <c r="AI43" i="8"/>
  <c r="AH43" i="8"/>
  <c r="AG43" i="8"/>
  <c r="AF43" i="8"/>
  <c r="AE43" i="8"/>
  <c r="L42" i="8"/>
  <c r="C42" i="8"/>
  <c r="AS42" i="8"/>
  <c r="BB42" i="8"/>
  <c r="BC42" i="8"/>
  <c r="CO42" i="8"/>
  <c r="CP42" i="8"/>
  <c r="J42" i="8"/>
  <c r="AZ42" i="8"/>
  <c r="BA42" i="8"/>
  <c r="CM42" i="8"/>
  <c r="CN42" i="8"/>
  <c r="H42" i="8"/>
  <c r="AX42" i="8"/>
  <c r="AY42" i="8"/>
  <c r="CK42" i="8"/>
  <c r="CL42" i="8"/>
  <c r="F42" i="8"/>
  <c r="AV42" i="8"/>
  <c r="AW42" i="8"/>
  <c r="CI42" i="8"/>
  <c r="CJ42" i="8"/>
  <c r="D42" i="8"/>
  <c r="AT42" i="8"/>
  <c r="AU42" i="8"/>
  <c r="CG42" i="8"/>
  <c r="CH42" i="8"/>
  <c r="Q42" i="8"/>
  <c r="Z42" i="8"/>
  <c r="AA42" i="8"/>
  <c r="CD42" i="8"/>
  <c r="CE42" i="8"/>
  <c r="X42" i="8"/>
  <c r="Y42" i="8"/>
  <c r="CB42" i="8"/>
  <c r="CC42" i="8"/>
  <c r="V42" i="8"/>
  <c r="W42" i="8"/>
  <c r="BZ42" i="8"/>
  <c r="CA42" i="8"/>
  <c r="T42" i="8"/>
  <c r="U42" i="8"/>
  <c r="BX42" i="8"/>
  <c r="BY42" i="8"/>
  <c r="R42" i="8"/>
  <c r="S42" i="8"/>
  <c r="BV42" i="8"/>
  <c r="BW42" i="8"/>
  <c r="BT42" i="8"/>
  <c r="BD42" i="8"/>
  <c r="BE42" i="8"/>
  <c r="N42" i="8"/>
  <c r="O42" i="8"/>
  <c r="BS42" i="8"/>
  <c r="BR42" i="8"/>
  <c r="M42" i="8"/>
  <c r="BQ42" i="8"/>
  <c r="BP42" i="8"/>
  <c r="K42" i="8"/>
  <c r="BO42" i="8"/>
  <c r="BN42" i="8"/>
  <c r="I42" i="8"/>
  <c r="BM42" i="8"/>
  <c r="BL42" i="8"/>
  <c r="G42" i="8"/>
  <c r="BK42" i="8"/>
  <c r="BJ42" i="8"/>
  <c r="E42" i="8"/>
  <c r="BI42" i="8"/>
  <c r="BH42" i="8"/>
  <c r="BG42" i="8"/>
  <c r="AB42" i="8"/>
  <c r="AC42" i="8"/>
  <c r="AQ42" i="8"/>
  <c r="AP42" i="8"/>
  <c r="AO42" i="8"/>
  <c r="AN42" i="8"/>
  <c r="AM42" i="8"/>
  <c r="AL42" i="8"/>
  <c r="AK42" i="8"/>
  <c r="AJ42" i="8"/>
  <c r="AI42" i="8"/>
  <c r="AH42" i="8"/>
  <c r="AG42" i="8"/>
  <c r="AF42" i="8"/>
  <c r="AE42" i="8"/>
  <c r="L41" i="8"/>
  <c r="C41" i="8"/>
  <c r="AS41" i="8"/>
  <c r="BB41" i="8"/>
  <c r="BC41" i="8"/>
  <c r="CO41" i="8"/>
  <c r="CP41" i="8"/>
  <c r="J41" i="8"/>
  <c r="AZ41" i="8"/>
  <c r="BA41" i="8"/>
  <c r="CM41" i="8"/>
  <c r="CN41" i="8"/>
  <c r="H41" i="8"/>
  <c r="AX41" i="8"/>
  <c r="AY41" i="8"/>
  <c r="CK41" i="8"/>
  <c r="CL41" i="8"/>
  <c r="F41" i="8"/>
  <c r="AV41" i="8"/>
  <c r="AW41" i="8"/>
  <c r="CI41" i="8"/>
  <c r="CJ41" i="8"/>
  <c r="D41" i="8"/>
  <c r="AT41" i="8"/>
  <c r="AU41" i="8"/>
  <c r="CG41" i="8"/>
  <c r="CH41" i="8"/>
  <c r="Q41" i="8"/>
  <c r="Z41" i="8"/>
  <c r="AA41" i="8"/>
  <c r="CD41" i="8"/>
  <c r="CE41" i="8"/>
  <c r="X41" i="8"/>
  <c r="Y41" i="8"/>
  <c r="CB41" i="8"/>
  <c r="CC41" i="8"/>
  <c r="V41" i="8"/>
  <c r="W41" i="8"/>
  <c r="BZ41" i="8"/>
  <c r="CA41" i="8"/>
  <c r="T41" i="8"/>
  <c r="U41" i="8"/>
  <c r="BX41" i="8"/>
  <c r="BY41" i="8"/>
  <c r="R41" i="8"/>
  <c r="S41" i="8"/>
  <c r="BV41" i="8"/>
  <c r="BW41" i="8"/>
  <c r="BT41" i="8"/>
  <c r="BD41" i="8"/>
  <c r="BE41" i="8"/>
  <c r="N41" i="8"/>
  <c r="O41" i="8"/>
  <c r="BS41" i="8"/>
  <c r="BR41" i="8"/>
  <c r="M41" i="8"/>
  <c r="BQ41" i="8"/>
  <c r="BP41" i="8"/>
  <c r="K41" i="8"/>
  <c r="BO41" i="8"/>
  <c r="BN41" i="8"/>
  <c r="I41" i="8"/>
  <c r="BM41" i="8"/>
  <c r="BL41" i="8"/>
  <c r="G41" i="8"/>
  <c r="BK41" i="8"/>
  <c r="BJ41" i="8"/>
  <c r="E41" i="8"/>
  <c r="BI41" i="8"/>
  <c r="BH41" i="8"/>
  <c r="BG41" i="8"/>
  <c r="AB41" i="8"/>
  <c r="AC41" i="8"/>
  <c r="AQ41" i="8"/>
  <c r="AP41" i="8"/>
  <c r="AO41" i="8"/>
  <c r="AN41" i="8"/>
  <c r="AM41" i="8"/>
  <c r="AL41" i="8"/>
  <c r="AK41" i="8"/>
  <c r="AJ41" i="8"/>
  <c r="AI41" i="8"/>
  <c r="AH41" i="8"/>
  <c r="AG41" i="8"/>
  <c r="AF41" i="8"/>
  <c r="AE41" i="8"/>
  <c r="L40" i="8"/>
  <c r="C40" i="8"/>
  <c r="AS40" i="8"/>
  <c r="BB40" i="8"/>
  <c r="BC40" i="8"/>
  <c r="CO40" i="8"/>
  <c r="CP40" i="8"/>
  <c r="J40" i="8"/>
  <c r="AZ40" i="8"/>
  <c r="BA40" i="8"/>
  <c r="CM40" i="8"/>
  <c r="CN40" i="8"/>
  <c r="H40" i="8"/>
  <c r="AX40" i="8"/>
  <c r="AY40" i="8"/>
  <c r="CK40" i="8"/>
  <c r="CL40" i="8"/>
  <c r="F40" i="8"/>
  <c r="AV40" i="8"/>
  <c r="AW40" i="8"/>
  <c r="CI40" i="8"/>
  <c r="CJ40" i="8"/>
  <c r="D40" i="8"/>
  <c r="AT40" i="8"/>
  <c r="AU40" i="8"/>
  <c r="CG40" i="8"/>
  <c r="CH40" i="8"/>
  <c r="Q40" i="8"/>
  <c r="Z40" i="8"/>
  <c r="AA40" i="8"/>
  <c r="CD40" i="8"/>
  <c r="CE40" i="8"/>
  <c r="X40" i="8"/>
  <c r="Y40" i="8"/>
  <c r="CB40" i="8"/>
  <c r="CC40" i="8"/>
  <c r="V40" i="8"/>
  <c r="W40" i="8"/>
  <c r="BZ40" i="8"/>
  <c r="CA40" i="8"/>
  <c r="T40" i="8"/>
  <c r="U40" i="8"/>
  <c r="BX40" i="8"/>
  <c r="BY40" i="8"/>
  <c r="R40" i="8"/>
  <c r="S40" i="8"/>
  <c r="BV40" i="8"/>
  <c r="BW40" i="8"/>
  <c r="BT40" i="8"/>
  <c r="BD40" i="8"/>
  <c r="BE40" i="8"/>
  <c r="N40" i="8"/>
  <c r="O40" i="8"/>
  <c r="BS40" i="8"/>
  <c r="BR40" i="8"/>
  <c r="M40" i="8"/>
  <c r="BQ40" i="8"/>
  <c r="BP40" i="8"/>
  <c r="K40" i="8"/>
  <c r="BO40" i="8"/>
  <c r="BN40" i="8"/>
  <c r="I40" i="8"/>
  <c r="BM40" i="8"/>
  <c r="BL40" i="8"/>
  <c r="G40" i="8"/>
  <c r="BK40" i="8"/>
  <c r="BJ40" i="8"/>
  <c r="E40" i="8"/>
  <c r="BI40" i="8"/>
  <c r="BH40" i="8"/>
  <c r="BG40" i="8"/>
  <c r="AB40" i="8"/>
  <c r="AC40" i="8"/>
  <c r="AQ40" i="8"/>
  <c r="AP40" i="8"/>
  <c r="AO40" i="8"/>
  <c r="AN40" i="8"/>
  <c r="AM40" i="8"/>
  <c r="AL40" i="8"/>
  <c r="AK40" i="8"/>
  <c r="AJ40" i="8"/>
  <c r="AI40" i="8"/>
  <c r="AH40" i="8"/>
  <c r="AG40" i="8"/>
  <c r="AF40" i="8"/>
  <c r="AE40" i="8"/>
  <c r="L39" i="8"/>
  <c r="C39" i="8"/>
  <c r="AS39" i="8"/>
  <c r="BB39" i="8"/>
  <c r="BC39" i="8"/>
  <c r="CO39" i="8"/>
  <c r="CP39" i="8"/>
  <c r="J39" i="8"/>
  <c r="AZ39" i="8"/>
  <c r="BA39" i="8"/>
  <c r="CM39" i="8"/>
  <c r="CN39" i="8"/>
  <c r="H39" i="8"/>
  <c r="AX39" i="8"/>
  <c r="AY39" i="8"/>
  <c r="CK39" i="8"/>
  <c r="CL39" i="8"/>
  <c r="F39" i="8"/>
  <c r="AV39" i="8"/>
  <c r="AW39" i="8"/>
  <c r="CI39" i="8"/>
  <c r="CJ39" i="8"/>
  <c r="D39" i="8"/>
  <c r="AT39" i="8"/>
  <c r="AU39" i="8"/>
  <c r="CG39" i="8"/>
  <c r="CH39" i="8"/>
  <c r="Q39" i="8"/>
  <c r="Z39" i="8"/>
  <c r="AA39" i="8"/>
  <c r="CD39" i="8"/>
  <c r="CE39" i="8"/>
  <c r="X39" i="8"/>
  <c r="Y39" i="8"/>
  <c r="CB39" i="8"/>
  <c r="CC39" i="8"/>
  <c r="V39" i="8"/>
  <c r="W39" i="8"/>
  <c r="BZ39" i="8"/>
  <c r="CA39" i="8"/>
  <c r="T39" i="8"/>
  <c r="U39" i="8"/>
  <c r="BX39" i="8"/>
  <c r="BY39" i="8"/>
  <c r="R39" i="8"/>
  <c r="S39" i="8"/>
  <c r="BV39" i="8"/>
  <c r="BW39" i="8"/>
  <c r="BT39" i="8"/>
  <c r="BD39" i="8"/>
  <c r="BE39" i="8"/>
  <c r="N39" i="8"/>
  <c r="O39" i="8"/>
  <c r="BS39" i="8"/>
  <c r="BR39" i="8"/>
  <c r="M39" i="8"/>
  <c r="BQ39" i="8"/>
  <c r="BP39" i="8"/>
  <c r="K39" i="8"/>
  <c r="BO39" i="8"/>
  <c r="BN39" i="8"/>
  <c r="I39" i="8"/>
  <c r="BM39" i="8"/>
  <c r="BL39" i="8"/>
  <c r="G39" i="8"/>
  <c r="BK39" i="8"/>
  <c r="BJ39" i="8"/>
  <c r="E39" i="8"/>
  <c r="BI39" i="8"/>
  <c r="BH39" i="8"/>
  <c r="BG39" i="8"/>
  <c r="AB39" i="8"/>
  <c r="AC39" i="8"/>
  <c r="AQ39" i="8"/>
  <c r="AP39" i="8"/>
  <c r="AO39" i="8"/>
  <c r="AN39" i="8"/>
  <c r="AM39" i="8"/>
  <c r="AL39" i="8"/>
  <c r="AK39" i="8"/>
  <c r="AJ39" i="8"/>
  <c r="AI39" i="8"/>
  <c r="AH39" i="8"/>
  <c r="AG39" i="8"/>
  <c r="AF39" i="8"/>
  <c r="AE39" i="8"/>
  <c r="L38" i="8"/>
  <c r="C38" i="8"/>
  <c r="AS38" i="8"/>
  <c r="BB38" i="8"/>
  <c r="BC38" i="8"/>
  <c r="CO38" i="8"/>
  <c r="CP38" i="8"/>
  <c r="J38" i="8"/>
  <c r="AZ38" i="8"/>
  <c r="BA38" i="8"/>
  <c r="CM38" i="8"/>
  <c r="CN38" i="8"/>
  <c r="H38" i="8"/>
  <c r="AX38" i="8"/>
  <c r="AY38" i="8"/>
  <c r="CK38" i="8"/>
  <c r="CL38" i="8"/>
  <c r="F38" i="8"/>
  <c r="AV38" i="8"/>
  <c r="AW38" i="8"/>
  <c r="CI38" i="8"/>
  <c r="CJ38" i="8"/>
  <c r="D38" i="8"/>
  <c r="AT38" i="8"/>
  <c r="AU38" i="8"/>
  <c r="CG38" i="8"/>
  <c r="CH38" i="8"/>
  <c r="Q38" i="8"/>
  <c r="Z38" i="8"/>
  <c r="AA38" i="8"/>
  <c r="CD38" i="8"/>
  <c r="CE38" i="8"/>
  <c r="X38" i="8"/>
  <c r="Y38" i="8"/>
  <c r="CB38" i="8"/>
  <c r="CC38" i="8"/>
  <c r="V38" i="8"/>
  <c r="W38" i="8"/>
  <c r="BZ38" i="8"/>
  <c r="CA38" i="8"/>
  <c r="T38" i="8"/>
  <c r="U38" i="8"/>
  <c r="BX38" i="8"/>
  <c r="BY38" i="8"/>
  <c r="R38" i="8"/>
  <c r="S38" i="8"/>
  <c r="BV38" i="8"/>
  <c r="BW38" i="8"/>
  <c r="BT38" i="8"/>
  <c r="BD38" i="8"/>
  <c r="BE38" i="8"/>
  <c r="N38" i="8"/>
  <c r="O38" i="8"/>
  <c r="BS38" i="8"/>
  <c r="BR38" i="8"/>
  <c r="M38" i="8"/>
  <c r="BQ38" i="8"/>
  <c r="BP38" i="8"/>
  <c r="K38" i="8"/>
  <c r="BO38" i="8"/>
  <c r="BN38" i="8"/>
  <c r="I38" i="8"/>
  <c r="BM38" i="8"/>
  <c r="BL38" i="8"/>
  <c r="G38" i="8"/>
  <c r="BK38" i="8"/>
  <c r="BJ38" i="8"/>
  <c r="E38" i="8"/>
  <c r="BI38" i="8"/>
  <c r="BH38" i="8"/>
  <c r="BG38" i="8"/>
  <c r="AB38" i="8"/>
  <c r="AC38" i="8"/>
  <c r="AQ38" i="8"/>
  <c r="AP38" i="8"/>
  <c r="AO38" i="8"/>
  <c r="AN38" i="8"/>
  <c r="AM38" i="8"/>
  <c r="AL38" i="8"/>
  <c r="AK38" i="8"/>
  <c r="AJ38" i="8"/>
  <c r="AI38" i="8"/>
  <c r="AH38" i="8"/>
  <c r="AG38" i="8"/>
  <c r="AF38" i="8"/>
  <c r="AE38" i="8"/>
  <c r="L37" i="8"/>
  <c r="C37" i="8"/>
  <c r="AS37" i="8"/>
  <c r="BB37" i="8"/>
  <c r="BC37" i="8"/>
  <c r="CO37" i="8"/>
  <c r="CP37" i="8"/>
  <c r="J37" i="8"/>
  <c r="AZ37" i="8"/>
  <c r="BA37" i="8"/>
  <c r="CM37" i="8"/>
  <c r="CN37" i="8"/>
  <c r="H37" i="8"/>
  <c r="AX37" i="8"/>
  <c r="AY37" i="8"/>
  <c r="CK37" i="8"/>
  <c r="CL37" i="8"/>
  <c r="F37" i="8"/>
  <c r="AV37" i="8"/>
  <c r="AW37" i="8"/>
  <c r="CI37" i="8"/>
  <c r="CJ37" i="8"/>
  <c r="D37" i="8"/>
  <c r="AT37" i="8"/>
  <c r="AU37" i="8"/>
  <c r="CG37" i="8"/>
  <c r="CH37" i="8"/>
  <c r="Q37" i="8"/>
  <c r="Z37" i="8"/>
  <c r="AA37" i="8"/>
  <c r="CD37" i="8"/>
  <c r="CE37" i="8"/>
  <c r="X37" i="8"/>
  <c r="Y37" i="8"/>
  <c r="CB37" i="8"/>
  <c r="CC37" i="8"/>
  <c r="V37" i="8"/>
  <c r="W37" i="8"/>
  <c r="BZ37" i="8"/>
  <c r="CA37" i="8"/>
  <c r="T37" i="8"/>
  <c r="U37" i="8"/>
  <c r="BX37" i="8"/>
  <c r="BY37" i="8"/>
  <c r="R37" i="8"/>
  <c r="S37" i="8"/>
  <c r="BV37" i="8"/>
  <c r="BW37" i="8"/>
  <c r="BT37" i="8"/>
  <c r="BD37" i="8"/>
  <c r="BE37" i="8"/>
  <c r="N37" i="8"/>
  <c r="O37" i="8"/>
  <c r="BS37" i="8"/>
  <c r="BR37" i="8"/>
  <c r="M37" i="8"/>
  <c r="BQ37" i="8"/>
  <c r="BP37" i="8"/>
  <c r="K37" i="8"/>
  <c r="BO37" i="8"/>
  <c r="BN37" i="8"/>
  <c r="I37" i="8"/>
  <c r="BM37" i="8"/>
  <c r="BL37" i="8"/>
  <c r="G37" i="8"/>
  <c r="BK37" i="8"/>
  <c r="BJ37" i="8"/>
  <c r="E37" i="8"/>
  <c r="BI37" i="8"/>
  <c r="BH37" i="8"/>
  <c r="BG37" i="8"/>
  <c r="AB37" i="8"/>
  <c r="AC37" i="8"/>
  <c r="AQ37" i="8"/>
  <c r="AP37" i="8"/>
  <c r="AO37" i="8"/>
  <c r="AN37" i="8"/>
  <c r="AM37" i="8"/>
  <c r="AL37" i="8"/>
  <c r="AK37" i="8"/>
  <c r="AJ37" i="8"/>
  <c r="AI37" i="8"/>
  <c r="AH37" i="8"/>
  <c r="AG37" i="8"/>
  <c r="AF37" i="8"/>
  <c r="AE37" i="8"/>
  <c r="H17" i="11"/>
  <c r="F17" i="11"/>
  <c r="F25" i="11"/>
  <c r="D14" i="11"/>
  <c r="G9" i="11"/>
  <c r="B36" i="8"/>
  <c r="C36" i="8"/>
  <c r="D36" i="8"/>
  <c r="F36" i="8"/>
  <c r="H36" i="8"/>
  <c r="J36" i="8"/>
  <c r="L36" i="8"/>
  <c r="N36" i="8"/>
  <c r="AS36" i="8"/>
  <c r="AT36" i="8"/>
  <c r="AV36" i="8"/>
  <c r="AX36" i="8"/>
  <c r="AZ36" i="8"/>
  <c r="BB36" i="8"/>
  <c r="BD36" i="8"/>
  <c r="BR36" i="8"/>
  <c r="BR29" i="8"/>
  <c r="D30" i="11"/>
  <c r="F30" i="11"/>
  <c r="BR28" i="8"/>
  <c r="D29" i="11"/>
  <c r="F29" i="11"/>
  <c r="BR27" i="8"/>
  <c r="D28" i="11"/>
  <c r="F28" i="11"/>
  <c r="BR26" i="8"/>
  <c r="D27" i="11"/>
  <c r="F27" i="11"/>
  <c r="BT36" i="8"/>
  <c r="BR25" i="8"/>
  <c r="D26" i="11"/>
  <c r="F26" i="11"/>
  <c r="BR21" i="8"/>
  <c r="D22" i="11"/>
  <c r="F22" i="11"/>
  <c r="BR20" i="8"/>
  <c r="D21" i="11"/>
  <c r="F21" i="11"/>
  <c r="BR19" i="8"/>
  <c r="D20" i="11"/>
  <c r="F20" i="11"/>
  <c r="BR18" i="8"/>
  <c r="D19" i="11"/>
  <c r="F19" i="11"/>
  <c r="BR17" i="8"/>
  <c r="D18" i="11"/>
  <c r="F18" i="11"/>
  <c r="D14" i="10"/>
  <c r="G9" i="10"/>
  <c r="Q36" i="8"/>
  <c r="R36" i="8"/>
  <c r="T36" i="8"/>
  <c r="V36" i="8"/>
  <c r="X36" i="8"/>
  <c r="Z36" i="8"/>
  <c r="AB36" i="8"/>
  <c r="AP36" i="8"/>
  <c r="AP29" i="8"/>
  <c r="D30" i="10"/>
  <c r="F30" i="10"/>
  <c r="AP28" i="8"/>
  <c r="D29" i="10"/>
  <c r="F29" i="10"/>
  <c r="AP27" i="8"/>
  <c r="D28" i="10"/>
  <c r="F28" i="10"/>
  <c r="AP26" i="8"/>
  <c r="D27" i="10"/>
  <c r="F27" i="10"/>
  <c r="AP25" i="8"/>
  <c r="D26" i="10"/>
  <c r="F26" i="10"/>
  <c r="AP21" i="8"/>
  <c r="D22" i="10"/>
  <c r="F22" i="10"/>
  <c r="AP20" i="8"/>
  <c r="D21" i="10"/>
  <c r="F21" i="10"/>
  <c r="AP19" i="8"/>
  <c r="D20" i="10"/>
  <c r="F20" i="10"/>
  <c r="AP18" i="8"/>
  <c r="D19" i="10"/>
  <c r="F19" i="10"/>
  <c r="AP17" i="8"/>
  <c r="D18" i="10"/>
  <c r="F18" i="10"/>
  <c r="F9" i="1"/>
  <c r="E17" i="10"/>
  <c r="E25" i="10"/>
  <c r="F17" i="10"/>
  <c r="F25" i="10"/>
  <c r="C7" i="11"/>
  <c r="C7" i="10"/>
  <c r="E30" i="11"/>
  <c r="E29" i="11"/>
  <c r="E28" i="11"/>
  <c r="E27" i="11"/>
  <c r="E26" i="11"/>
  <c r="E17" i="11"/>
  <c r="E25" i="11"/>
  <c r="E22" i="11"/>
  <c r="E21" i="11"/>
  <c r="E20" i="11"/>
  <c r="E19" i="11"/>
  <c r="E18" i="11"/>
  <c r="E30" i="10"/>
  <c r="E29" i="10"/>
  <c r="E28" i="10"/>
  <c r="E27" i="10"/>
  <c r="E26" i="10"/>
  <c r="E22" i="10"/>
  <c r="E21" i="10"/>
  <c r="E20" i="10"/>
  <c r="E19" i="10"/>
  <c r="E18" i="10"/>
  <c r="E5" i="1"/>
  <c r="E4" i="1"/>
  <c r="B5" i="1"/>
  <c r="BC36" i="8"/>
  <c r="CO36" i="8"/>
  <c r="CP36" i="8"/>
  <c r="BA36" i="8"/>
  <c r="CM36" i="8"/>
  <c r="CN36" i="8"/>
  <c r="AY36" i="8"/>
  <c r="CK36" i="8"/>
  <c r="CL36" i="8"/>
  <c r="AW36" i="8"/>
  <c r="CI36" i="8"/>
  <c r="CJ36" i="8"/>
  <c r="AU36" i="8"/>
  <c r="CG36" i="8"/>
  <c r="CH36" i="8"/>
  <c r="AA36" i="8"/>
  <c r="CD36" i="8"/>
  <c r="CE36" i="8"/>
  <c r="Y36" i="8"/>
  <c r="CB36" i="8"/>
  <c r="CC36" i="8"/>
  <c r="W36" i="8"/>
  <c r="BZ36" i="8"/>
  <c r="CA36" i="8"/>
  <c r="U36" i="8"/>
  <c r="BX36" i="8"/>
  <c r="BY36" i="8"/>
  <c r="S36" i="8"/>
  <c r="BV36" i="8"/>
  <c r="BW36" i="8"/>
  <c r="BE36" i="8"/>
  <c r="O36" i="8"/>
  <c r="BS36" i="8"/>
  <c r="M36" i="8"/>
  <c r="BQ36" i="8"/>
  <c r="BP36" i="8"/>
  <c r="K36" i="8"/>
  <c r="BO36" i="8"/>
  <c r="BN36" i="8"/>
  <c r="I36" i="8"/>
  <c r="BM36" i="8"/>
  <c r="BL36" i="8"/>
  <c r="G36" i="8"/>
  <c r="BK36" i="8"/>
  <c r="BJ36" i="8"/>
  <c r="E36" i="8"/>
  <c r="BI36" i="8"/>
  <c r="BH36" i="8"/>
  <c r="BG36" i="8"/>
  <c r="AC36" i="8"/>
  <c r="AQ36" i="8"/>
  <c r="AO36" i="8"/>
  <c r="AN36" i="8"/>
  <c r="AM36" i="8"/>
  <c r="AL36" i="8"/>
  <c r="AK36" i="8"/>
  <c r="AJ36" i="8"/>
  <c r="AI36" i="8"/>
  <c r="AH36" i="8"/>
  <c r="AG36" i="8"/>
  <c r="AF36" i="8"/>
  <c r="AE36" i="8"/>
  <c r="A36" i="8"/>
  <c r="AS33" i="8"/>
  <c r="Q33" i="8"/>
  <c r="C33" i="8"/>
  <c r="BG32" i="8"/>
  <c r="AE32" i="8"/>
  <c r="BS29" i="8"/>
  <c r="BQ29" i="8"/>
  <c r="BP29" i="8"/>
  <c r="BO29" i="8"/>
  <c r="BN29" i="8"/>
  <c r="BM29" i="8"/>
  <c r="BL29" i="8"/>
  <c r="BK29" i="8"/>
  <c r="BJ29" i="8"/>
  <c r="BI29" i="8"/>
  <c r="BH29" i="8"/>
  <c r="BG29" i="8"/>
  <c r="BE29" i="8"/>
  <c r="BD29" i="8"/>
  <c r="BC29" i="8"/>
  <c r="BB29" i="8"/>
  <c r="BA29" i="8"/>
  <c r="AZ29" i="8"/>
  <c r="AY29" i="8"/>
  <c r="AX29" i="8"/>
  <c r="AW29" i="8"/>
  <c r="AV29" i="8"/>
  <c r="AU29" i="8"/>
  <c r="AT29" i="8"/>
  <c r="AS29" i="8"/>
  <c r="AQ29" i="8"/>
  <c r="AO29" i="8"/>
  <c r="AN29" i="8"/>
  <c r="AM29" i="8"/>
  <c r="AL29" i="8"/>
  <c r="AK29" i="8"/>
  <c r="AJ29" i="8"/>
  <c r="AI29" i="8"/>
  <c r="AH29" i="8"/>
  <c r="AG29" i="8"/>
  <c r="AF29" i="8"/>
  <c r="AE29" i="8"/>
  <c r="AC29" i="8"/>
  <c r="AB29" i="8"/>
  <c r="AA29" i="8"/>
  <c r="Z29" i="8"/>
  <c r="Y29" i="8"/>
  <c r="X29" i="8"/>
  <c r="W29" i="8"/>
  <c r="V29" i="8"/>
  <c r="U29" i="8"/>
  <c r="T29" i="8"/>
  <c r="S29" i="8"/>
  <c r="R29" i="8"/>
  <c r="Q29" i="8"/>
  <c r="O29" i="8"/>
  <c r="N29" i="8"/>
  <c r="M29" i="8"/>
  <c r="L29" i="8"/>
  <c r="K29" i="8"/>
  <c r="J29" i="8"/>
  <c r="I29" i="8"/>
  <c r="H29" i="8"/>
  <c r="G29" i="8"/>
  <c r="F29" i="8"/>
  <c r="E29" i="8"/>
  <c r="D29" i="8"/>
  <c r="C29" i="8"/>
  <c r="BS28" i="8"/>
  <c r="BQ28" i="8"/>
  <c r="BP28" i="8"/>
  <c r="BO28" i="8"/>
  <c r="BN28" i="8"/>
  <c r="BM28" i="8"/>
  <c r="BL28" i="8"/>
  <c r="BK28" i="8"/>
  <c r="BJ28" i="8"/>
  <c r="BI28" i="8"/>
  <c r="BH28" i="8"/>
  <c r="BG28" i="8"/>
  <c r="BE28" i="8"/>
  <c r="BD28" i="8"/>
  <c r="BC28" i="8"/>
  <c r="BB28" i="8"/>
  <c r="BA28" i="8"/>
  <c r="AZ28" i="8"/>
  <c r="AY28" i="8"/>
  <c r="AX28" i="8"/>
  <c r="AW28" i="8"/>
  <c r="AV28" i="8"/>
  <c r="AU28" i="8"/>
  <c r="AT28" i="8"/>
  <c r="AS28" i="8"/>
  <c r="AQ28" i="8"/>
  <c r="AO28" i="8"/>
  <c r="AN28" i="8"/>
  <c r="AM28" i="8"/>
  <c r="AL28" i="8"/>
  <c r="AK28" i="8"/>
  <c r="AJ28" i="8"/>
  <c r="AI28" i="8"/>
  <c r="AH28" i="8"/>
  <c r="AG28" i="8"/>
  <c r="AF28" i="8"/>
  <c r="AE28" i="8"/>
  <c r="AC28" i="8"/>
  <c r="AB28" i="8"/>
  <c r="AA28" i="8"/>
  <c r="Z28" i="8"/>
  <c r="Y28" i="8"/>
  <c r="X28" i="8"/>
  <c r="W28" i="8"/>
  <c r="V28" i="8"/>
  <c r="U28" i="8"/>
  <c r="T28" i="8"/>
  <c r="S28" i="8"/>
  <c r="R28" i="8"/>
  <c r="Q28" i="8"/>
  <c r="O28" i="8"/>
  <c r="N28" i="8"/>
  <c r="M28" i="8"/>
  <c r="L28" i="8"/>
  <c r="K28" i="8"/>
  <c r="J28" i="8"/>
  <c r="I28" i="8"/>
  <c r="H28" i="8"/>
  <c r="G28" i="8"/>
  <c r="F28" i="8"/>
  <c r="E28" i="8"/>
  <c r="D28" i="8"/>
  <c r="C28" i="8"/>
  <c r="BS27" i="8"/>
  <c r="BQ27" i="8"/>
  <c r="BP27" i="8"/>
  <c r="BO27" i="8"/>
  <c r="BN27" i="8"/>
  <c r="BM27" i="8"/>
  <c r="BL27" i="8"/>
  <c r="BK27" i="8"/>
  <c r="BJ27" i="8"/>
  <c r="BI27" i="8"/>
  <c r="BH27" i="8"/>
  <c r="BG27" i="8"/>
  <c r="BE27" i="8"/>
  <c r="BD27" i="8"/>
  <c r="BC27" i="8"/>
  <c r="BB27" i="8"/>
  <c r="BA27" i="8"/>
  <c r="AZ27" i="8"/>
  <c r="AY27" i="8"/>
  <c r="AX27" i="8"/>
  <c r="AW27" i="8"/>
  <c r="AV27" i="8"/>
  <c r="AU27" i="8"/>
  <c r="AT27" i="8"/>
  <c r="AS27" i="8"/>
  <c r="AQ27" i="8"/>
  <c r="AO27" i="8"/>
  <c r="AN27" i="8"/>
  <c r="AM27" i="8"/>
  <c r="AL27" i="8"/>
  <c r="AK27" i="8"/>
  <c r="AJ27" i="8"/>
  <c r="AI27" i="8"/>
  <c r="AH27" i="8"/>
  <c r="AG27" i="8"/>
  <c r="AF27" i="8"/>
  <c r="AE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O27" i="8"/>
  <c r="N27" i="8"/>
  <c r="M27" i="8"/>
  <c r="L27" i="8"/>
  <c r="K27" i="8"/>
  <c r="J27" i="8"/>
  <c r="I27" i="8"/>
  <c r="H27" i="8"/>
  <c r="G27" i="8"/>
  <c r="F27" i="8"/>
  <c r="E27" i="8"/>
  <c r="D27" i="8"/>
  <c r="C27" i="8"/>
  <c r="BS26" i="8"/>
  <c r="BQ26" i="8"/>
  <c r="BP26" i="8"/>
  <c r="BO26" i="8"/>
  <c r="BN26" i="8"/>
  <c r="BM26" i="8"/>
  <c r="BL26" i="8"/>
  <c r="BK26" i="8"/>
  <c r="BJ26" i="8"/>
  <c r="BI26" i="8"/>
  <c r="BH26" i="8"/>
  <c r="BG26" i="8"/>
  <c r="BE26" i="8"/>
  <c r="BD26" i="8"/>
  <c r="BC26" i="8"/>
  <c r="BB26" i="8"/>
  <c r="BA26" i="8"/>
  <c r="AZ26" i="8"/>
  <c r="AY26" i="8"/>
  <c r="AX26" i="8"/>
  <c r="AW26" i="8"/>
  <c r="AV26" i="8"/>
  <c r="AU26" i="8"/>
  <c r="AT26" i="8"/>
  <c r="AS26" i="8"/>
  <c r="AQ26" i="8"/>
  <c r="AO26" i="8"/>
  <c r="AN26" i="8"/>
  <c r="AM26" i="8"/>
  <c r="AL26" i="8"/>
  <c r="AK26" i="8"/>
  <c r="AJ26" i="8"/>
  <c r="AI26" i="8"/>
  <c r="AH26" i="8"/>
  <c r="AG26" i="8"/>
  <c r="AF26" i="8"/>
  <c r="AE26" i="8"/>
  <c r="AC26" i="8"/>
  <c r="AB26" i="8"/>
  <c r="AA26" i="8"/>
  <c r="Z26" i="8"/>
  <c r="Y26" i="8"/>
  <c r="X26" i="8"/>
  <c r="W26" i="8"/>
  <c r="V26" i="8"/>
  <c r="U26" i="8"/>
  <c r="T26" i="8"/>
  <c r="S26" i="8"/>
  <c r="R26" i="8"/>
  <c r="Q26" i="8"/>
  <c r="O26" i="8"/>
  <c r="N26" i="8"/>
  <c r="M26" i="8"/>
  <c r="L26" i="8"/>
  <c r="K26" i="8"/>
  <c r="J26" i="8"/>
  <c r="I26" i="8"/>
  <c r="H26" i="8"/>
  <c r="G26" i="8"/>
  <c r="F26" i="8"/>
  <c r="E26" i="8"/>
  <c r="D26" i="8"/>
  <c r="C26" i="8"/>
  <c r="BS25" i="8"/>
  <c r="BQ25" i="8"/>
  <c r="BP25" i="8"/>
  <c r="BO25" i="8"/>
  <c r="BN25" i="8"/>
  <c r="BM25" i="8"/>
  <c r="BL25" i="8"/>
  <c r="BK25" i="8"/>
  <c r="BJ25" i="8"/>
  <c r="BI25" i="8"/>
  <c r="BH25" i="8"/>
  <c r="BG25" i="8"/>
  <c r="BE25" i="8"/>
  <c r="BD25" i="8"/>
  <c r="BC25" i="8"/>
  <c r="BB25" i="8"/>
  <c r="BA25" i="8"/>
  <c r="AZ25" i="8"/>
  <c r="AY25" i="8"/>
  <c r="AX25" i="8"/>
  <c r="AW25" i="8"/>
  <c r="AV25" i="8"/>
  <c r="AU25" i="8"/>
  <c r="AT25" i="8"/>
  <c r="AS25" i="8"/>
  <c r="AQ25" i="8"/>
  <c r="AO25" i="8"/>
  <c r="AN25" i="8"/>
  <c r="AM25" i="8"/>
  <c r="AL25" i="8"/>
  <c r="AK25" i="8"/>
  <c r="AJ25" i="8"/>
  <c r="AI25" i="8"/>
  <c r="AH25" i="8"/>
  <c r="AG25" i="8"/>
  <c r="AF25" i="8"/>
  <c r="AE25" i="8"/>
  <c r="AC25" i="8"/>
  <c r="AB25" i="8"/>
  <c r="AA25" i="8"/>
  <c r="Z25" i="8"/>
  <c r="Y25" i="8"/>
  <c r="X25" i="8"/>
  <c r="W25" i="8"/>
  <c r="V25" i="8"/>
  <c r="U25" i="8"/>
  <c r="T25" i="8"/>
  <c r="S25" i="8"/>
  <c r="R25" i="8"/>
  <c r="Q25" i="8"/>
  <c r="O25" i="8"/>
  <c r="N25" i="8"/>
  <c r="M25" i="8"/>
  <c r="L25" i="8"/>
  <c r="K25" i="8"/>
  <c r="J25" i="8"/>
  <c r="I25" i="8"/>
  <c r="H25" i="8"/>
  <c r="G25" i="8"/>
  <c r="F25" i="8"/>
  <c r="E25" i="8"/>
  <c r="D25" i="8"/>
  <c r="C25" i="8"/>
  <c r="BS21" i="8"/>
  <c r="BQ21" i="8"/>
  <c r="BP21" i="8"/>
  <c r="BO21" i="8"/>
  <c r="BN21" i="8"/>
  <c r="BM21" i="8"/>
  <c r="BL21" i="8"/>
  <c r="BK21" i="8"/>
  <c r="BJ21" i="8"/>
  <c r="BI21" i="8"/>
  <c r="BH21" i="8"/>
  <c r="BG21" i="8"/>
  <c r="BE21" i="8"/>
  <c r="BD21" i="8"/>
  <c r="BC21" i="8"/>
  <c r="BB21" i="8"/>
  <c r="BA21" i="8"/>
  <c r="AZ21" i="8"/>
  <c r="AY21" i="8"/>
  <c r="AX21" i="8"/>
  <c r="AW21" i="8"/>
  <c r="AV21" i="8"/>
  <c r="AU21" i="8"/>
  <c r="AT21" i="8"/>
  <c r="AS21" i="8"/>
  <c r="AQ21" i="8"/>
  <c r="AO21" i="8"/>
  <c r="AN21" i="8"/>
  <c r="AM21" i="8"/>
  <c r="AL21" i="8"/>
  <c r="AK21" i="8"/>
  <c r="AJ21" i="8"/>
  <c r="AI21" i="8"/>
  <c r="AH21" i="8"/>
  <c r="AG21" i="8"/>
  <c r="AF21" i="8"/>
  <c r="AE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BS20" i="8"/>
  <c r="BQ20" i="8"/>
  <c r="BP20" i="8"/>
  <c r="BO20" i="8"/>
  <c r="BN20" i="8"/>
  <c r="BM20" i="8"/>
  <c r="BL20" i="8"/>
  <c r="BK20" i="8"/>
  <c r="BJ20" i="8"/>
  <c r="BI20" i="8"/>
  <c r="BH20" i="8"/>
  <c r="BG20" i="8"/>
  <c r="BE20" i="8"/>
  <c r="BD20" i="8"/>
  <c r="BC20" i="8"/>
  <c r="BB20" i="8"/>
  <c r="BA20" i="8"/>
  <c r="AZ20" i="8"/>
  <c r="AY20" i="8"/>
  <c r="AX20" i="8"/>
  <c r="AW20" i="8"/>
  <c r="AV20" i="8"/>
  <c r="AU20" i="8"/>
  <c r="AT20" i="8"/>
  <c r="AS20" i="8"/>
  <c r="AQ20" i="8"/>
  <c r="AO20" i="8"/>
  <c r="AN20" i="8"/>
  <c r="AM20" i="8"/>
  <c r="AL20" i="8"/>
  <c r="AK20" i="8"/>
  <c r="AJ20" i="8"/>
  <c r="AI20" i="8"/>
  <c r="AH20" i="8"/>
  <c r="AG20" i="8"/>
  <c r="AF20" i="8"/>
  <c r="AE20" i="8"/>
  <c r="AC20" i="8"/>
  <c r="AB20" i="8"/>
  <c r="AA20" i="8"/>
  <c r="Z20" i="8"/>
  <c r="Y20" i="8"/>
  <c r="X20" i="8"/>
  <c r="W20" i="8"/>
  <c r="V20" i="8"/>
  <c r="U20" i="8"/>
  <c r="T20" i="8"/>
  <c r="S20" i="8"/>
  <c r="R20" i="8"/>
  <c r="Q20" i="8"/>
  <c r="O20" i="8"/>
  <c r="N20" i="8"/>
  <c r="M20" i="8"/>
  <c r="L20" i="8"/>
  <c r="K20" i="8"/>
  <c r="J20" i="8"/>
  <c r="I20" i="8"/>
  <c r="H20" i="8"/>
  <c r="G20" i="8"/>
  <c r="F20" i="8"/>
  <c r="E20" i="8"/>
  <c r="D20" i="8"/>
  <c r="C20" i="8"/>
  <c r="BS19" i="8"/>
  <c r="BQ19" i="8"/>
  <c r="BP19" i="8"/>
  <c r="BO19" i="8"/>
  <c r="BN19" i="8"/>
  <c r="BM19" i="8"/>
  <c r="BL19" i="8"/>
  <c r="BK19" i="8"/>
  <c r="BJ19" i="8"/>
  <c r="BI19" i="8"/>
  <c r="BH19" i="8"/>
  <c r="BG19" i="8"/>
  <c r="BE19" i="8"/>
  <c r="BD19" i="8"/>
  <c r="BC19" i="8"/>
  <c r="BB19" i="8"/>
  <c r="BA19" i="8"/>
  <c r="AZ19" i="8"/>
  <c r="AY19" i="8"/>
  <c r="AX19" i="8"/>
  <c r="AW19" i="8"/>
  <c r="AV19" i="8"/>
  <c r="AU19" i="8"/>
  <c r="AT19" i="8"/>
  <c r="AS19" i="8"/>
  <c r="AQ19" i="8"/>
  <c r="AO19" i="8"/>
  <c r="AN19" i="8"/>
  <c r="AM19" i="8"/>
  <c r="AL19" i="8"/>
  <c r="AK19" i="8"/>
  <c r="AJ19" i="8"/>
  <c r="AI19" i="8"/>
  <c r="AH19" i="8"/>
  <c r="AG19" i="8"/>
  <c r="AF19" i="8"/>
  <c r="AE19" i="8"/>
  <c r="AC19" i="8"/>
  <c r="AB19" i="8"/>
  <c r="AA19" i="8"/>
  <c r="Z19" i="8"/>
  <c r="Y19" i="8"/>
  <c r="X19" i="8"/>
  <c r="W19" i="8"/>
  <c r="V19" i="8"/>
  <c r="U19" i="8"/>
  <c r="T19" i="8"/>
  <c r="S19" i="8"/>
  <c r="R19" i="8"/>
  <c r="Q19" i="8"/>
  <c r="O19" i="8"/>
  <c r="N19" i="8"/>
  <c r="M19" i="8"/>
  <c r="L19" i="8"/>
  <c r="K19" i="8"/>
  <c r="J19" i="8"/>
  <c r="I19" i="8"/>
  <c r="H19" i="8"/>
  <c r="G19" i="8"/>
  <c r="F19" i="8"/>
  <c r="E19" i="8"/>
  <c r="D19" i="8"/>
  <c r="C19" i="8"/>
  <c r="BS18" i="8"/>
  <c r="BQ18" i="8"/>
  <c r="BP18" i="8"/>
  <c r="BO18" i="8"/>
  <c r="BN18" i="8"/>
  <c r="BM18" i="8"/>
  <c r="BL18" i="8"/>
  <c r="BK18" i="8"/>
  <c r="BJ18" i="8"/>
  <c r="BI18" i="8"/>
  <c r="BH18" i="8"/>
  <c r="BG18" i="8"/>
  <c r="BE18" i="8"/>
  <c r="BD18" i="8"/>
  <c r="BC18" i="8"/>
  <c r="BB18" i="8"/>
  <c r="BA18" i="8"/>
  <c r="AZ18" i="8"/>
  <c r="AY18" i="8"/>
  <c r="AX18" i="8"/>
  <c r="AW18" i="8"/>
  <c r="AV18" i="8"/>
  <c r="AU18" i="8"/>
  <c r="AT18" i="8"/>
  <c r="AS18" i="8"/>
  <c r="AQ18" i="8"/>
  <c r="AO18" i="8"/>
  <c r="AN18" i="8"/>
  <c r="AM18" i="8"/>
  <c r="AL18" i="8"/>
  <c r="AK18" i="8"/>
  <c r="AJ18" i="8"/>
  <c r="AI18" i="8"/>
  <c r="AH18" i="8"/>
  <c r="AG18" i="8"/>
  <c r="AF18" i="8"/>
  <c r="AE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BS17" i="8"/>
  <c r="BQ17" i="8"/>
  <c r="BP17" i="8"/>
  <c r="BO17" i="8"/>
  <c r="BN17" i="8"/>
  <c r="BM17" i="8"/>
  <c r="BL17" i="8"/>
  <c r="BK17" i="8"/>
  <c r="BJ17" i="8"/>
  <c r="BI17" i="8"/>
  <c r="BH17" i="8"/>
  <c r="BG17" i="8"/>
  <c r="BE17" i="8"/>
  <c r="BD17" i="8"/>
  <c r="BC17" i="8"/>
  <c r="BB17" i="8"/>
  <c r="BA17" i="8"/>
  <c r="AZ17" i="8"/>
  <c r="AY17" i="8"/>
  <c r="AX17" i="8"/>
  <c r="AW17" i="8"/>
  <c r="AV17" i="8"/>
  <c r="AU17" i="8"/>
  <c r="AT17" i="8"/>
  <c r="AS17" i="8"/>
  <c r="AQ17" i="8"/>
  <c r="AO17" i="8"/>
  <c r="AN17" i="8"/>
  <c r="AM17" i="8"/>
  <c r="AL17" i="8"/>
  <c r="AK17" i="8"/>
  <c r="AJ17" i="8"/>
  <c r="AI17" i="8"/>
  <c r="AH17" i="8"/>
  <c r="AG17" i="8"/>
  <c r="AF17" i="8"/>
  <c r="AE17" i="8"/>
  <c r="AC17" i="8"/>
  <c r="AB17" i="8"/>
  <c r="AA17" i="8"/>
  <c r="Z17" i="8"/>
  <c r="Y17" i="8"/>
  <c r="X17" i="8"/>
  <c r="W17" i="8"/>
  <c r="V17" i="8"/>
  <c r="U17" i="8"/>
  <c r="T17" i="8"/>
  <c r="S17" i="8"/>
  <c r="R17" i="8"/>
  <c r="Q17" i="8"/>
  <c r="O17" i="8"/>
  <c r="N17" i="8"/>
  <c r="M17" i="8"/>
  <c r="L17" i="8"/>
  <c r="K17" i="8"/>
  <c r="J17" i="8"/>
  <c r="I17" i="8"/>
  <c r="H17" i="8"/>
  <c r="G17" i="8"/>
  <c r="F17" i="8"/>
  <c r="E17" i="8"/>
  <c r="D17" i="8"/>
  <c r="C17" i="8"/>
  <c r="G11" i="1"/>
  <c r="F11" i="1"/>
  <c r="Q14" i="1"/>
  <c r="I11" i="33"/>
  <c r="I11" i="31"/>
  <c r="I11" i="29"/>
  <c r="I11" i="27"/>
  <c r="I11" i="26"/>
  <c r="I11" i="23"/>
  <c r="I11" i="21"/>
  <c r="I11" i="19"/>
  <c r="I11" i="17"/>
  <c r="I11" i="13"/>
  <c r="K13" i="11"/>
  <c r="K13" i="10"/>
  <c r="C9" i="2"/>
  <c r="H17" i="10"/>
  <c r="G17" i="11"/>
  <c r="G17" i="10"/>
  <c r="G13" i="10"/>
  <c r="M15" i="30"/>
  <c r="Q15" i="30"/>
  <c r="O14" i="30"/>
  <c r="K14" i="30"/>
  <c r="O13" i="30"/>
  <c r="K13" i="30"/>
  <c r="M15" i="32"/>
  <c r="Q15" i="32"/>
  <c r="O14" i="32"/>
  <c r="K14" i="32"/>
  <c r="O13" i="32"/>
  <c r="K13" i="32"/>
  <c r="M15" i="34"/>
  <c r="Q15" i="34"/>
  <c r="O14" i="34"/>
  <c r="K14" i="34"/>
  <c r="O13" i="34"/>
  <c r="K13" i="34"/>
  <c r="M15" i="28"/>
  <c r="Q15" i="28"/>
  <c r="O14" i="28"/>
  <c r="K14" i="28"/>
  <c r="O13" i="28"/>
  <c r="K13" i="28"/>
  <c r="M15" i="25"/>
  <c r="Q15" i="25"/>
  <c r="O14" i="25"/>
  <c r="K14" i="25"/>
  <c r="O13" i="25"/>
  <c r="K13" i="25"/>
  <c r="M15" i="22"/>
  <c r="Q15" i="22"/>
  <c r="O14" i="22"/>
  <c r="K14" i="22"/>
  <c r="I14" i="22"/>
  <c r="F14" i="22"/>
  <c r="O13" i="22"/>
  <c r="K13" i="22"/>
  <c r="F13" i="22"/>
  <c r="M15" i="24"/>
  <c r="Q15" i="24"/>
  <c r="O14" i="24"/>
  <c r="K14" i="24"/>
  <c r="I14" i="24"/>
  <c r="F14" i="24"/>
  <c r="O13" i="24"/>
  <c r="K13" i="24"/>
  <c r="F13" i="24"/>
  <c r="M15" i="20"/>
  <c r="Q15" i="20"/>
  <c r="O14" i="20"/>
  <c r="K14" i="20"/>
  <c r="I14" i="20"/>
  <c r="F14" i="20"/>
  <c r="O13" i="20"/>
  <c r="K13" i="20"/>
  <c r="F13" i="20"/>
  <c r="M15" i="18"/>
  <c r="Q15" i="18"/>
  <c r="O14" i="18"/>
  <c r="K14" i="18"/>
  <c r="I14" i="18"/>
  <c r="F14" i="18"/>
  <c r="O13" i="18"/>
  <c r="K13" i="18"/>
  <c r="F13" i="18"/>
  <c r="O13" i="14"/>
  <c r="K13" i="14"/>
  <c r="O14" i="14"/>
  <c r="K14" i="14"/>
  <c r="I14" i="14"/>
  <c r="G15" i="1"/>
  <c r="B11" i="1"/>
  <c r="C11" i="1"/>
  <c r="D11" i="1"/>
  <c r="B12" i="1"/>
  <c r="C12" i="1"/>
  <c r="D12" i="1"/>
  <c r="B7" i="1"/>
  <c r="E15" i="1"/>
  <c r="E14" i="1"/>
  <c r="E13" i="1"/>
  <c r="B8" i="1"/>
  <c r="I14" i="34"/>
  <c r="I14" i="32"/>
  <c r="I14" i="30"/>
  <c r="I14" i="28"/>
  <c r="I14" i="25"/>
  <c r="C15" i="1"/>
  <c r="C14" i="1"/>
  <c r="C13" i="1"/>
  <c r="E12" i="1"/>
  <c r="E11" i="1"/>
  <c r="E10" i="1"/>
  <c r="E9" i="1"/>
  <c r="J7" i="1"/>
  <c r="J4" i="1"/>
  <c r="J24" i="1"/>
  <c r="J20" i="1"/>
  <c r="K16" i="1"/>
  <c r="K14" i="1"/>
  <c r="K13" i="1"/>
  <c r="K12" i="1"/>
  <c r="K11" i="1"/>
  <c r="K10" i="1"/>
  <c r="K9" i="1"/>
  <c r="C25" i="11"/>
  <c r="C17" i="11"/>
  <c r="C25" i="10"/>
  <c r="C17" i="10"/>
  <c r="B5" i="20"/>
  <c r="B5" i="22"/>
  <c r="B5" i="24"/>
  <c r="B5" i="25"/>
  <c r="B5" i="28"/>
  <c r="B5" i="30"/>
  <c r="B5" i="32"/>
  <c r="B5" i="34"/>
  <c r="B5" i="18"/>
  <c r="I10" i="34"/>
  <c r="F13" i="34"/>
  <c r="I16" i="34"/>
  <c r="I17" i="34"/>
  <c r="I18" i="34"/>
  <c r="I19" i="34"/>
  <c r="I20" i="34"/>
  <c r="I22" i="34"/>
  <c r="O16" i="34"/>
  <c r="O17" i="34"/>
  <c r="O18" i="34"/>
  <c r="O19" i="34"/>
  <c r="O20" i="34"/>
  <c r="O22" i="34"/>
  <c r="P22" i="34"/>
  <c r="K16" i="34"/>
  <c r="K17" i="34"/>
  <c r="K18" i="34"/>
  <c r="K19" i="34"/>
  <c r="K20" i="34"/>
  <c r="K22" i="34"/>
  <c r="L22" i="34"/>
  <c r="F22" i="34"/>
  <c r="Q20" i="34"/>
  <c r="P20" i="34"/>
  <c r="M20" i="34"/>
  <c r="L20" i="34"/>
  <c r="F20" i="34"/>
  <c r="Q19" i="34"/>
  <c r="P19" i="34"/>
  <c r="M19" i="34"/>
  <c r="L19" i="34"/>
  <c r="F19" i="34"/>
  <c r="Q18" i="34"/>
  <c r="P18" i="34"/>
  <c r="M18" i="34"/>
  <c r="L18" i="34"/>
  <c r="F18" i="34"/>
  <c r="Q17" i="34"/>
  <c r="P17" i="34"/>
  <c r="M17" i="34"/>
  <c r="L17" i="34"/>
  <c r="F17" i="34"/>
  <c r="Q16" i="34"/>
  <c r="P16" i="34"/>
  <c r="M16" i="34"/>
  <c r="L16" i="34"/>
  <c r="F16" i="34"/>
  <c r="F14" i="34"/>
  <c r="C7" i="34"/>
  <c r="B7" i="34"/>
  <c r="H9" i="33"/>
  <c r="C7" i="33"/>
  <c r="B7" i="33"/>
  <c r="I10" i="32"/>
  <c r="F13" i="32"/>
  <c r="I16" i="32"/>
  <c r="I17" i="32"/>
  <c r="I18" i="32"/>
  <c r="I19" i="32"/>
  <c r="I20" i="32"/>
  <c r="I22" i="32"/>
  <c r="O16" i="32"/>
  <c r="O17" i="32"/>
  <c r="O18" i="32"/>
  <c r="O19" i="32"/>
  <c r="O20" i="32"/>
  <c r="O22" i="32"/>
  <c r="P22" i="32"/>
  <c r="K16" i="32"/>
  <c r="K17" i="32"/>
  <c r="K18" i="32"/>
  <c r="K19" i="32"/>
  <c r="K20" i="32"/>
  <c r="K22" i="32"/>
  <c r="L22" i="32"/>
  <c r="F22" i="32"/>
  <c r="Q20" i="32"/>
  <c r="P20" i="32"/>
  <c r="M20" i="32"/>
  <c r="L20" i="32"/>
  <c r="F20" i="32"/>
  <c r="Q19" i="32"/>
  <c r="P19" i="32"/>
  <c r="M19" i="32"/>
  <c r="L19" i="32"/>
  <c r="F19" i="32"/>
  <c r="Q18" i="32"/>
  <c r="P18" i="32"/>
  <c r="M18" i="32"/>
  <c r="L18" i="32"/>
  <c r="F18" i="32"/>
  <c r="Q17" i="32"/>
  <c r="P17" i="32"/>
  <c r="M17" i="32"/>
  <c r="L17" i="32"/>
  <c r="F17" i="32"/>
  <c r="Q16" i="32"/>
  <c r="P16" i="32"/>
  <c r="M16" i="32"/>
  <c r="L16" i="32"/>
  <c r="F16" i="32"/>
  <c r="F14" i="32"/>
  <c r="C7" i="32"/>
  <c r="B7" i="32"/>
  <c r="H9" i="31"/>
  <c r="C7" i="31"/>
  <c r="B7" i="31"/>
  <c r="I10" i="30"/>
  <c r="F13" i="30"/>
  <c r="I16" i="30"/>
  <c r="I17" i="30"/>
  <c r="I18" i="30"/>
  <c r="I19" i="30"/>
  <c r="I20" i="30"/>
  <c r="I22" i="30"/>
  <c r="O16" i="30"/>
  <c r="O17" i="30"/>
  <c r="O18" i="30"/>
  <c r="O19" i="30"/>
  <c r="O20" i="30"/>
  <c r="O22" i="30"/>
  <c r="P22" i="30"/>
  <c r="K16" i="30"/>
  <c r="K17" i="30"/>
  <c r="K18" i="30"/>
  <c r="K19" i="30"/>
  <c r="K20" i="30"/>
  <c r="K22" i="30"/>
  <c r="L22" i="30"/>
  <c r="F22" i="30"/>
  <c r="Q20" i="30"/>
  <c r="P20" i="30"/>
  <c r="M20" i="30"/>
  <c r="L20" i="30"/>
  <c r="F20" i="30"/>
  <c r="Q19" i="30"/>
  <c r="P19" i="30"/>
  <c r="M19" i="30"/>
  <c r="L19" i="30"/>
  <c r="F19" i="30"/>
  <c r="Q18" i="30"/>
  <c r="P18" i="30"/>
  <c r="M18" i="30"/>
  <c r="L18" i="30"/>
  <c r="F18" i="30"/>
  <c r="Q17" i="30"/>
  <c r="P17" i="30"/>
  <c r="M17" i="30"/>
  <c r="L17" i="30"/>
  <c r="F17" i="30"/>
  <c r="Q16" i="30"/>
  <c r="P16" i="30"/>
  <c r="M16" i="30"/>
  <c r="L16" i="30"/>
  <c r="F16" i="30"/>
  <c r="F14" i="30"/>
  <c r="C7" i="30"/>
  <c r="B7" i="30"/>
  <c r="H9" i="29"/>
  <c r="C7" i="29"/>
  <c r="B7" i="29"/>
  <c r="I10" i="28"/>
  <c r="F13" i="28"/>
  <c r="I16" i="28"/>
  <c r="I17" i="28"/>
  <c r="I18" i="28"/>
  <c r="I19" i="28"/>
  <c r="I20" i="28"/>
  <c r="I22" i="28"/>
  <c r="O16" i="28"/>
  <c r="O17" i="28"/>
  <c r="O18" i="28"/>
  <c r="O19" i="28"/>
  <c r="O20" i="28"/>
  <c r="O22" i="28"/>
  <c r="P22" i="28"/>
  <c r="K16" i="28"/>
  <c r="K17" i="28"/>
  <c r="K18" i="28"/>
  <c r="K19" i="28"/>
  <c r="K20" i="28"/>
  <c r="K22" i="28"/>
  <c r="L22" i="28"/>
  <c r="F22" i="28"/>
  <c r="Q20" i="28"/>
  <c r="P20" i="28"/>
  <c r="M20" i="28"/>
  <c r="L20" i="28"/>
  <c r="F20" i="28"/>
  <c r="Q19" i="28"/>
  <c r="P19" i="28"/>
  <c r="M19" i="28"/>
  <c r="L19" i="28"/>
  <c r="F19" i="28"/>
  <c r="Q18" i="28"/>
  <c r="P18" i="28"/>
  <c r="M18" i="28"/>
  <c r="L18" i="28"/>
  <c r="F18" i="28"/>
  <c r="Q17" i="28"/>
  <c r="P17" i="28"/>
  <c r="M17" i="28"/>
  <c r="L17" i="28"/>
  <c r="F17" i="28"/>
  <c r="Q16" i="28"/>
  <c r="P16" i="28"/>
  <c r="M16" i="28"/>
  <c r="L16" i="28"/>
  <c r="F16" i="28"/>
  <c r="F14" i="28"/>
  <c r="C7" i="28"/>
  <c r="B7" i="28"/>
  <c r="H9" i="27"/>
  <c r="C7" i="27"/>
  <c r="B7" i="27"/>
  <c r="H9" i="26"/>
  <c r="I10" i="25"/>
  <c r="F13" i="25"/>
  <c r="C7" i="26"/>
  <c r="B7" i="26"/>
  <c r="I16" i="25"/>
  <c r="I17" i="25"/>
  <c r="I18" i="25"/>
  <c r="I19" i="25"/>
  <c r="I20" i="25"/>
  <c r="I22" i="25"/>
  <c r="O16" i="25"/>
  <c r="O17" i="25"/>
  <c r="O18" i="25"/>
  <c r="O19" i="25"/>
  <c r="O20" i="25"/>
  <c r="O22" i="25"/>
  <c r="P22" i="25"/>
  <c r="K16" i="25"/>
  <c r="K17" i="25"/>
  <c r="K18" i="25"/>
  <c r="K19" i="25"/>
  <c r="K20" i="25"/>
  <c r="K22" i="25"/>
  <c r="L22" i="25"/>
  <c r="F22" i="25"/>
  <c r="Q20" i="25"/>
  <c r="P20" i="25"/>
  <c r="M20" i="25"/>
  <c r="L20" i="25"/>
  <c r="F20" i="25"/>
  <c r="Q19" i="25"/>
  <c r="P19" i="25"/>
  <c r="M19" i="25"/>
  <c r="L19" i="25"/>
  <c r="F19" i="25"/>
  <c r="Q18" i="25"/>
  <c r="P18" i="25"/>
  <c r="M18" i="25"/>
  <c r="L18" i="25"/>
  <c r="F18" i="25"/>
  <c r="Q17" i="25"/>
  <c r="P17" i="25"/>
  <c r="M17" i="25"/>
  <c r="L17" i="25"/>
  <c r="F17" i="25"/>
  <c r="Q16" i="25"/>
  <c r="P16" i="25"/>
  <c r="M16" i="25"/>
  <c r="L16" i="25"/>
  <c r="F16" i="25"/>
  <c r="F14" i="25"/>
  <c r="C7" i="25"/>
  <c r="B7" i="25"/>
  <c r="I10" i="24"/>
  <c r="I16" i="24"/>
  <c r="I17" i="24"/>
  <c r="I18" i="24"/>
  <c r="I19" i="24"/>
  <c r="I20" i="24"/>
  <c r="I22" i="24"/>
  <c r="O16" i="24"/>
  <c r="O17" i="24"/>
  <c r="O18" i="24"/>
  <c r="O19" i="24"/>
  <c r="O20" i="24"/>
  <c r="O22" i="24"/>
  <c r="P22" i="24"/>
  <c r="K16" i="24"/>
  <c r="K17" i="24"/>
  <c r="K18" i="24"/>
  <c r="K19" i="24"/>
  <c r="K20" i="24"/>
  <c r="K22" i="24"/>
  <c r="L22" i="24"/>
  <c r="F22" i="24"/>
  <c r="Q20" i="24"/>
  <c r="P20" i="24"/>
  <c r="M20" i="24"/>
  <c r="L20" i="24"/>
  <c r="F20" i="24"/>
  <c r="Q19" i="24"/>
  <c r="P19" i="24"/>
  <c r="M19" i="24"/>
  <c r="L19" i="24"/>
  <c r="F19" i="24"/>
  <c r="Q18" i="24"/>
  <c r="P18" i="24"/>
  <c r="M18" i="24"/>
  <c r="L18" i="24"/>
  <c r="F18" i="24"/>
  <c r="Q17" i="24"/>
  <c r="P17" i="24"/>
  <c r="M17" i="24"/>
  <c r="L17" i="24"/>
  <c r="F17" i="24"/>
  <c r="Q16" i="24"/>
  <c r="P16" i="24"/>
  <c r="M16" i="24"/>
  <c r="L16" i="24"/>
  <c r="F16" i="24"/>
  <c r="C7" i="24"/>
  <c r="B7" i="24"/>
  <c r="H9" i="23"/>
  <c r="C7" i="23"/>
  <c r="B7" i="23"/>
  <c r="I10" i="22"/>
  <c r="I16" i="22"/>
  <c r="I17" i="22"/>
  <c r="I18" i="22"/>
  <c r="I19" i="22"/>
  <c r="I20" i="22"/>
  <c r="I22" i="22"/>
  <c r="O16" i="22"/>
  <c r="O17" i="22"/>
  <c r="O18" i="22"/>
  <c r="O19" i="22"/>
  <c r="O20" i="22"/>
  <c r="O22" i="22"/>
  <c r="P22" i="22"/>
  <c r="K16" i="22"/>
  <c r="K17" i="22"/>
  <c r="K18" i="22"/>
  <c r="K19" i="22"/>
  <c r="K20" i="22"/>
  <c r="K22" i="22"/>
  <c r="L22" i="22"/>
  <c r="F22" i="22"/>
  <c r="Q20" i="22"/>
  <c r="P20" i="22"/>
  <c r="M20" i="22"/>
  <c r="L20" i="22"/>
  <c r="F20" i="22"/>
  <c r="Q19" i="22"/>
  <c r="P19" i="22"/>
  <c r="M19" i="22"/>
  <c r="L19" i="22"/>
  <c r="F19" i="22"/>
  <c r="Q18" i="22"/>
  <c r="P18" i="22"/>
  <c r="M18" i="22"/>
  <c r="L18" i="22"/>
  <c r="F18" i="22"/>
  <c r="Q17" i="22"/>
  <c r="P17" i="22"/>
  <c r="M17" i="22"/>
  <c r="L17" i="22"/>
  <c r="F17" i="22"/>
  <c r="Q16" i="22"/>
  <c r="P16" i="22"/>
  <c r="M16" i="22"/>
  <c r="L16" i="22"/>
  <c r="F16" i="22"/>
  <c r="C7" i="22"/>
  <c r="B7" i="22"/>
  <c r="H9" i="21"/>
  <c r="C7" i="21"/>
  <c r="B7" i="21"/>
  <c r="I10" i="20"/>
  <c r="I16" i="20"/>
  <c r="I17" i="20"/>
  <c r="I18" i="20"/>
  <c r="I19" i="20"/>
  <c r="I20" i="20"/>
  <c r="I22" i="20"/>
  <c r="O16" i="20"/>
  <c r="O17" i="20"/>
  <c r="O18" i="20"/>
  <c r="O19" i="20"/>
  <c r="O20" i="20"/>
  <c r="O22" i="20"/>
  <c r="P22" i="20"/>
  <c r="K16" i="20"/>
  <c r="K17" i="20"/>
  <c r="K18" i="20"/>
  <c r="K19" i="20"/>
  <c r="K20" i="20"/>
  <c r="K22" i="20"/>
  <c r="L22" i="20"/>
  <c r="F22" i="20"/>
  <c r="Q20" i="20"/>
  <c r="P20" i="20"/>
  <c r="M20" i="20"/>
  <c r="L20" i="20"/>
  <c r="F20" i="20"/>
  <c r="Q19" i="20"/>
  <c r="P19" i="20"/>
  <c r="M19" i="20"/>
  <c r="L19" i="20"/>
  <c r="F19" i="20"/>
  <c r="Q18" i="20"/>
  <c r="P18" i="20"/>
  <c r="M18" i="20"/>
  <c r="L18" i="20"/>
  <c r="F18" i="20"/>
  <c r="Q17" i="20"/>
  <c r="P17" i="20"/>
  <c r="M17" i="20"/>
  <c r="L17" i="20"/>
  <c r="F17" i="20"/>
  <c r="Q16" i="20"/>
  <c r="P16" i="20"/>
  <c r="M16" i="20"/>
  <c r="L16" i="20"/>
  <c r="F16" i="20"/>
  <c r="C7" i="20"/>
  <c r="B7" i="20"/>
  <c r="H9" i="19"/>
  <c r="C7" i="19"/>
  <c r="B7" i="19"/>
  <c r="I10" i="18"/>
  <c r="I16" i="18"/>
  <c r="I17" i="18"/>
  <c r="I18" i="18"/>
  <c r="I19" i="18"/>
  <c r="I20" i="18"/>
  <c r="I22" i="18"/>
  <c r="O16" i="18"/>
  <c r="O17" i="18"/>
  <c r="O18" i="18"/>
  <c r="O19" i="18"/>
  <c r="O20" i="18"/>
  <c r="O22" i="18"/>
  <c r="P22" i="18"/>
  <c r="K16" i="18"/>
  <c r="K17" i="18"/>
  <c r="K18" i="18"/>
  <c r="K19" i="18"/>
  <c r="K20" i="18"/>
  <c r="K22" i="18"/>
  <c r="L22" i="18"/>
  <c r="F22" i="18"/>
  <c r="Q20" i="18"/>
  <c r="P20" i="18"/>
  <c r="M20" i="18"/>
  <c r="L20" i="18"/>
  <c r="F20" i="18"/>
  <c r="Q19" i="18"/>
  <c r="P19" i="18"/>
  <c r="M19" i="18"/>
  <c r="L19" i="18"/>
  <c r="F19" i="18"/>
  <c r="Q18" i="18"/>
  <c r="P18" i="18"/>
  <c r="M18" i="18"/>
  <c r="L18" i="18"/>
  <c r="F18" i="18"/>
  <c r="Q17" i="18"/>
  <c r="P17" i="18"/>
  <c r="M17" i="18"/>
  <c r="L17" i="18"/>
  <c r="F17" i="18"/>
  <c r="Q16" i="18"/>
  <c r="P16" i="18"/>
  <c r="M16" i="18"/>
  <c r="L16" i="18"/>
  <c r="F16" i="18"/>
  <c r="C7" i="18"/>
  <c r="B7" i="18"/>
  <c r="H9" i="17"/>
  <c r="C7" i="17"/>
  <c r="B7" i="17"/>
  <c r="I10" i="14"/>
  <c r="F13" i="14"/>
  <c r="H9" i="13"/>
  <c r="Q20" i="14"/>
  <c r="Q19" i="14"/>
  <c r="Q18" i="14"/>
  <c r="Q17" i="14"/>
  <c r="Q16" i="14"/>
  <c r="O16" i="14"/>
  <c r="O17" i="14"/>
  <c r="O18" i="14"/>
  <c r="O19" i="14"/>
  <c r="O20" i="14"/>
  <c r="O22" i="14"/>
  <c r="M20" i="14"/>
  <c r="M19" i="14"/>
  <c r="M18" i="14"/>
  <c r="M17" i="14"/>
  <c r="K20" i="14"/>
  <c r="I20" i="14"/>
  <c r="K19" i="14"/>
  <c r="I19" i="14"/>
  <c r="K18" i="14"/>
  <c r="I18" i="14"/>
  <c r="K17" i="14"/>
  <c r="I17" i="14"/>
  <c r="M16" i="14"/>
  <c r="K16" i="14"/>
  <c r="I16" i="14"/>
  <c r="M15" i="14"/>
  <c r="K22" i="14"/>
  <c r="F22" i="14"/>
  <c r="I22" i="14"/>
  <c r="F20" i="14"/>
  <c r="F19" i="14"/>
  <c r="F18" i="14"/>
  <c r="F17" i="14"/>
  <c r="F16" i="14"/>
  <c r="F14" i="14"/>
  <c r="Q15" i="14"/>
  <c r="L16" i="14"/>
  <c r="P16" i="14"/>
  <c r="L17" i="14"/>
  <c r="P17" i="14"/>
  <c r="L18" i="14"/>
  <c r="P18" i="14"/>
  <c r="L19" i="14"/>
  <c r="P19" i="14"/>
  <c r="L20" i="14"/>
  <c r="P20" i="14"/>
  <c r="L22" i="14"/>
  <c r="P22" i="14"/>
  <c r="C7" i="14"/>
  <c r="B5" i="14"/>
  <c r="B7" i="14"/>
  <c r="C7" i="13"/>
  <c r="B7" i="13"/>
  <c r="B7" i="11"/>
  <c r="B7" i="10"/>
  <c r="L30" i="11"/>
  <c r="K30" i="11"/>
  <c r="L29" i="11"/>
  <c r="K29" i="11"/>
  <c r="L28" i="11"/>
  <c r="K28" i="11"/>
  <c r="L27" i="11"/>
  <c r="K27" i="11"/>
  <c r="L26" i="11"/>
  <c r="K26" i="11"/>
  <c r="L22" i="11"/>
  <c r="K22" i="11"/>
  <c r="L21" i="11"/>
  <c r="K21" i="11"/>
  <c r="L20" i="11"/>
  <c r="K20" i="11"/>
  <c r="L19" i="11"/>
  <c r="K19" i="11"/>
  <c r="L18" i="11"/>
  <c r="H18" i="11"/>
  <c r="K18" i="11"/>
  <c r="H30" i="11"/>
  <c r="G30" i="11"/>
  <c r="H29" i="11"/>
  <c r="G29" i="11"/>
  <c r="H28" i="11"/>
  <c r="G28" i="11"/>
  <c r="H27" i="11"/>
  <c r="G27" i="11"/>
  <c r="H26" i="11"/>
  <c r="G26" i="11"/>
  <c r="H22" i="11"/>
  <c r="G22" i="11"/>
  <c r="H21" i="11"/>
  <c r="G21" i="11"/>
  <c r="H20" i="11"/>
  <c r="G20" i="11"/>
  <c r="H19" i="11"/>
  <c r="G19" i="11"/>
  <c r="L17" i="10"/>
  <c r="L25" i="10"/>
  <c r="K17" i="10"/>
  <c r="K25" i="10"/>
  <c r="H25" i="10"/>
  <c r="G25" i="10"/>
  <c r="L17" i="11"/>
  <c r="L25" i="11"/>
  <c r="K17" i="11"/>
  <c r="K25" i="11"/>
  <c r="H25" i="11"/>
  <c r="G25" i="11"/>
  <c r="G13" i="11"/>
  <c r="M30" i="11"/>
  <c r="I30" i="11"/>
  <c r="M29" i="11"/>
  <c r="I29" i="11"/>
  <c r="M28" i="11"/>
  <c r="I28" i="11"/>
  <c r="M27" i="11"/>
  <c r="I27" i="11"/>
  <c r="M26" i="11"/>
  <c r="I26" i="11"/>
  <c r="M25" i="11"/>
  <c r="D25" i="11"/>
  <c r="M24" i="11"/>
  <c r="L24" i="11"/>
  <c r="K16" i="11"/>
  <c r="K24" i="11"/>
  <c r="I24" i="11"/>
  <c r="H24" i="11"/>
  <c r="G16" i="11"/>
  <c r="G24" i="11"/>
  <c r="D16" i="11"/>
  <c r="D24" i="11"/>
  <c r="M22" i="11"/>
  <c r="I22" i="11"/>
  <c r="M21" i="11"/>
  <c r="I21" i="11"/>
  <c r="M20" i="11"/>
  <c r="I20" i="11"/>
  <c r="M19" i="11"/>
  <c r="I19" i="11"/>
  <c r="M18" i="11"/>
  <c r="G18" i="11"/>
  <c r="I18" i="11"/>
  <c r="M17" i="11"/>
  <c r="D17" i="11"/>
  <c r="D13" i="11"/>
  <c r="M25" i="10"/>
  <c r="D25" i="10"/>
  <c r="C10" i="2"/>
  <c r="K30" i="10"/>
  <c r="L30" i="10"/>
  <c r="M30" i="10"/>
  <c r="G30" i="10"/>
  <c r="H30" i="10"/>
  <c r="I30" i="10"/>
  <c r="K29" i="10"/>
  <c r="L29" i="10"/>
  <c r="M29" i="10"/>
  <c r="G29" i="10"/>
  <c r="H29" i="10"/>
  <c r="I29" i="10"/>
  <c r="K28" i="10"/>
  <c r="L28" i="10"/>
  <c r="M28" i="10"/>
  <c r="G28" i="10"/>
  <c r="H28" i="10"/>
  <c r="I28" i="10"/>
  <c r="K27" i="10"/>
  <c r="L27" i="10"/>
  <c r="M27" i="10"/>
  <c r="G27" i="10"/>
  <c r="H27" i="10"/>
  <c r="I27" i="10"/>
  <c r="K26" i="10"/>
  <c r="L26" i="10"/>
  <c r="M26" i="10"/>
  <c r="G26" i="10"/>
  <c r="H26" i="10"/>
  <c r="I26" i="10"/>
  <c r="M24" i="10"/>
  <c r="L24" i="10"/>
  <c r="K16" i="10"/>
  <c r="K24" i="10"/>
  <c r="I24" i="10"/>
  <c r="H24" i="10"/>
  <c r="G16" i="10"/>
  <c r="G24" i="10"/>
  <c r="D16" i="10"/>
  <c r="D24" i="10"/>
  <c r="K22" i="10"/>
  <c r="L22" i="10"/>
  <c r="M22" i="10"/>
  <c r="K21" i="10"/>
  <c r="L21" i="10"/>
  <c r="M21" i="10"/>
  <c r="K20" i="10"/>
  <c r="L20" i="10"/>
  <c r="M20" i="10"/>
  <c r="K19" i="10"/>
  <c r="L19" i="10"/>
  <c r="M19" i="10"/>
  <c r="K18" i="10"/>
  <c r="L18" i="10"/>
  <c r="M18" i="10"/>
  <c r="G22" i="10"/>
  <c r="H22" i="10"/>
  <c r="I22" i="10"/>
  <c r="G21" i="10"/>
  <c r="H21" i="10"/>
  <c r="I21" i="10"/>
  <c r="G20" i="10"/>
  <c r="H20" i="10"/>
  <c r="I20" i="10"/>
  <c r="G19" i="10"/>
  <c r="H19" i="10"/>
  <c r="I19" i="10"/>
  <c r="G18" i="10"/>
  <c r="H18" i="10"/>
  <c r="I18" i="10"/>
  <c r="M17" i="10"/>
  <c r="D17" i="10"/>
  <c r="D13" i="10"/>
</calcChain>
</file>

<file path=xl/sharedStrings.xml><?xml version="1.0" encoding="utf-8"?>
<sst xmlns="http://schemas.openxmlformats.org/spreadsheetml/2006/main" count="448" uniqueCount="115">
  <si>
    <t>LCL</t>
  </si>
  <si>
    <t>POSITION in PPT</t>
  </si>
  <si>
    <t>TOP distance</t>
  </si>
  <si>
    <t>LEFT distance</t>
  </si>
  <si>
    <t>HEIGHT</t>
  </si>
  <si>
    <t>WIDTH</t>
  </si>
  <si>
    <t>Currency</t>
  </si>
  <si>
    <t>Gaap</t>
  </si>
  <si>
    <t>Integration_Rate</t>
  </si>
  <si>
    <t>Legal_Organization</t>
  </si>
  <si>
    <t>Activity</t>
  </si>
  <si>
    <t>PL0000_DO</t>
  </si>
  <si>
    <t>N</t>
  </si>
  <si>
    <t>[Begin Format Range]</t>
  </si>
  <si>
    <t>[End Format Range]</t>
  </si>
  <si>
    <t>FLOP</t>
  </si>
  <si>
    <t>TOP</t>
  </si>
  <si>
    <t>Driving %</t>
  </si>
  <si>
    <t>Energy %</t>
  </si>
  <si>
    <t>Maint %</t>
  </si>
  <si>
    <t>Fleet %</t>
  </si>
  <si>
    <t>Gross margin</t>
  </si>
  <si>
    <t>Gross margin %</t>
  </si>
  <si>
    <t>TPL10_dest_nosub</t>
  </si>
  <si>
    <t>PL0000_OT</t>
  </si>
  <si>
    <t>Period</t>
  </si>
  <si>
    <t>Phase</t>
  </si>
  <si>
    <t>Libelle</t>
  </si>
  <si>
    <t>Other %</t>
  </si>
  <si>
    <t>REVENUE FROM ORDINARY ACTIVITIES (ROA) net of subcontracted transport</t>
  </si>
  <si>
    <t>Driving/operating (RESOP)</t>
  </si>
  <si>
    <t>Energy for traction</t>
  </si>
  <si>
    <t>Maintenance &amp; cleaning of fleet (RESOP)</t>
  </si>
  <si>
    <t>Fleet (RESOP)</t>
  </si>
  <si>
    <t>Other Operating cost</t>
  </si>
  <si>
    <t>Variance</t>
  </si>
  <si>
    <t>REEL</t>
  </si>
  <si>
    <t>BUDGET</t>
  </si>
  <si>
    <t>VARIANCE REEL / BUDGET</t>
  </si>
  <si>
    <t>REEL N-1</t>
  </si>
  <si>
    <t>VARIANCE REEL / REEL N-1</t>
  </si>
  <si>
    <t>VAR REEL/BUD</t>
  </si>
  <si>
    <t>VAR REEL / REEL N-1</t>
  </si>
  <si>
    <t>D</t>
  </si>
  <si>
    <t>E</t>
  </si>
  <si>
    <t>M</t>
  </si>
  <si>
    <t>F</t>
  </si>
  <si>
    <t>O</t>
  </si>
  <si>
    <t>GM</t>
  </si>
  <si>
    <t>Rev</t>
  </si>
  <si>
    <t>RATIO</t>
  </si>
  <si>
    <t>%</t>
  </si>
  <si>
    <t>Points</t>
  </si>
  <si>
    <t>Report Type (% or value):</t>
  </si>
  <si>
    <t>Volume effect on driving</t>
  </si>
  <si>
    <t>Driving - volume effect</t>
  </si>
  <si>
    <t>Volume effect on Energy</t>
  </si>
  <si>
    <t>Energy - volume effect</t>
  </si>
  <si>
    <t>Volume effect on maintenance</t>
  </si>
  <si>
    <t>Maintenance - volume effect</t>
  </si>
  <si>
    <t>Volume effect on Fleet</t>
  </si>
  <si>
    <t>Fleet - volume effect</t>
  </si>
  <si>
    <t>Volume effect on Others</t>
  </si>
  <si>
    <t>Others - volume effect</t>
  </si>
  <si>
    <t>Flop</t>
  </si>
  <si>
    <t>in variance (amount)</t>
  </si>
  <si>
    <t>ACT_TOT</t>
  </si>
  <si>
    <t>Phase BUD</t>
  </si>
  <si>
    <t>Phase FC1</t>
  </si>
  <si>
    <t>Phase FC2</t>
  </si>
  <si>
    <t>Years</t>
  </si>
  <si>
    <t>N-1</t>
  </si>
  <si>
    <t>N+1</t>
  </si>
  <si>
    <t>VC</t>
  </si>
  <si>
    <t>V0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</si>
  <si>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</si>
  <si>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</si>
  <si>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</si>
  <si>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</si>
  <si>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</si>
  <si>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</si>
  <si>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</si>
  <si>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</si>
  <si>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</si>
  <si>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VF</t>
  </si>
  <si>
    <t>Server</t>
  </si>
  <si>
    <t>xServer</t>
  </si>
  <si>
    <t>Actual Year</t>
  </si>
  <si>
    <t>Actual Month</t>
  </si>
  <si>
    <t>LANG:</t>
  </si>
  <si>
    <t>prior year</t>
  </si>
  <si>
    <t>next year</t>
  </si>
  <si>
    <t>IDX_PERIOD_COMP1</t>
  </si>
  <si>
    <t>IDX_PERIOD_COMP2</t>
  </si>
  <si>
    <t>Performance Management Model Report</t>
  </si>
  <si>
    <t>DEFAULT LANG:</t>
  </si>
  <si>
    <t>tango_core_model:</t>
  </si>
  <si>
    <t>PL0000_MF</t>
  </si>
  <si>
    <t>PL0000_ET</t>
  </si>
  <si>
    <t>PL0000_FL</t>
  </si>
  <si>
    <t>English</t>
  </si>
  <si>
    <t>Almere</t>
  </si>
  <si>
    <t>Zaanstreek</t>
  </si>
  <si>
    <t>SRE</t>
  </si>
  <si>
    <t>Noord and Midden Zeeland</t>
  </si>
  <si>
    <t>Voorne Putten</t>
  </si>
  <si>
    <t>Parkshuttle</t>
  </si>
  <si>
    <t>Hoekse-Waarde Goeree Overflakkee</t>
  </si>
  <si>
    <t>Haarlem Ijmond</t>
  </si>
  <si>
    <t>Gooi en Vechtstreek</t>
  </si>
  <si>
    <t>Noord Holland Noord</t>
  </si>
  <si>
    <t>Provincie Utrecht</t>
  </si>
  <si>
    <t>SAN</t>
  </si>
  <si>
    <t>Ijsselmond</t>
  </si>
  <si>
    <t>Valleilijn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</si>
</sst>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(* #,##0.00_);_(* \(#,##0.00\);_(* &quot;-&quot;??_);_(@_)"/>
    <numFmt numFmtId="165" formatCode="[$-40C]d\ mmmm\ yyyy;@"/>
    <numFmt numFmtId="166" formatCode="#,##0_ ;[Red]\-#,##0\ "/>
    <numFmt numFmtId="167" formatCode="0.0%"/>
    <numFmt numFmtId="168" formatCode="#,##0.0&quot; pts&quot;"/>
    <numFmt numFmtId="169" formatCode="#,##0.0"/>
    <numFmt numFmtId="170" formatCode="0.0000"/>
    <numFmt numFmtId="171" formatCode="0.0&quot; pts&quot;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0"/>
      <name val="Calibri"/>
      <family val="2"/>
      <scheme val="minor"/>
    </font>
    <font>
      <sz val="16"/>
      <color theme="1"/>
      <name val="Ubuntu"/>
    </font>
    <font>
      <sz val="14"/>
      <color theme="1"/>
      <name val="Ubuntu"/>
    </font>
    <font>
      <b/>
      <sz val="16"/>
      <color theme="1"/>
      <name val="Calibri"/>
      <family val="2"/>
      <scheme val="minor"/>
    </font>
    <font>
      <i/>
      <sz val="9"/>
      <color theme="1"/>
      <name val="ubuntu"/>
    </font>
    <font>
      <i/>
      <sz val="11"/>
      <color theme="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4"/>
      <color rgb="FFD00000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1" tint="0.14999847407452621"/>
      <name val="Calibri"/>
      <family val="2"/>
      <scheme val="minor"/>
    </font>
    <font>
      <sz val="14"/>
      <color theme="1" tint="0.14999847407452621"/>
      <name val="Calibri"/>
      <family val="2"/>
      <scheme val="minor"/>
    </font>
    <font>
      <b/>
      <sz val="14"/>
      <color theme="1" tint="0.249977111117893"/>
      <name val="Calibri"/>
      <family val="2"/>
    </font>
    <font>
      <b/>
      <i/>
      <sz val="14"/>
      <color rgb="FF76933C"/>
      <name val="Calibri"/>
      <family val="2"/>
      <scheme val="minor"/>
    </font>
    <font>
      <sz val="9"/>
      <color theme="1"/>
      <name val="Calibri"/>
      <family val="2"/>
      <scheme val="minor"/>
    </font>
    <font>
      <sz val="24"/>
      <color theme="0"/>
      <name val="Arial"/>
      <family val="2"/>
    </font>
    <font>
      <sz val="18"/>
      <color theme="0"/>
      <name val="Arial"/>
      <family val="2"/>
    </font>
    <font>
      <b/>
      <sz val="14"/>
      <color rgb="FFD0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36"/>
      <color rgb="FFFF0000"/>
      <name val="Calibri"/>
      <family val="2"/>
      <scheme val="minor"/>
    </font>
    <font>
      <b/>
      <sz val="14"/>
      <color indexed="9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 tint="0.249977111117893"/>
      <name val="Calibri"/>
      <family val="2"/>
    </font>
    <font>
      <b/>
      <i/>
      <sz val="14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indexed="9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name val="Calibri"/>
      <family val="2"/>
    </font>
    <font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6"/>
      <color theme="0"/>
      <name val="Calibri"/>
      <family val="2"/>
    </font>
    <font>
      <b/>
      <sz val="14"/>
      <color theme="0"/>
      <name val="Calibri"/>
      <family val="2"/>
    </font>
    <font>
      <b/>
      <sz val="12"/>
      <color theme="0"/>
      <name val="Calibri"/>
      <family val="2"/>
    </font>
    <font>
      <sz val="14"/>
      <color indexed="63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8"/>
      <color indexed="9"/>
      <name val="Calibri"/>
      <family val="2"/>
      <scheme val="minor"/>
    </font>
    <font>
      <b/>
      <sz val="16"/>
      <color theme="1" tint="0.249977111117893"/>
      <name val="Arial"/>
      <family val="2"/>
    </font>
    <font>
      <b/>
      <sz val="16"/>
      <color theme="1" tint="0.499984740745262"/>
      <name val="Calibri"/>
      <family val="2"/>
      <scheme val="minor"/>
    </font>
    <font>
      <b/>
      <sz val="10"/>
      <name val="Calibri"/>
      <family val="2"/>
    </font>
    <font>
      <sz val="10"/>
      <name val="Calibri"/>
      <family val="2"/>
    </font>
    <font>
      <b/>
      <sz val="26"/>
      <color theme="0"/>
      <name val="Ubuntu"/>
    </font>
    <font>
      <b/>
      <i/>
      <sz val="18"/>
      <color theme="1"/>
      <name val="Ubuntu"/>
    </font>
  </fonts>
  <fills count="2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0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1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auto="1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auto="1"/>
      </pattern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4" tint="0.79998168889431442"/>
        <bgColor indexed="64"/>
      </patternFill>
    </fill>
    <fill>
      <gradientFill>
        <stop position="0">
          <color rgb="FFFF0000"/>
        </stop>
        <stop position="1">
          <color theme="0"/>
        </stop>
      </gradientFill>
    </fill>
  </fills>
  <borders count="59">
    <border>
      <left/>
      <right/>
      <top/>
      <bottom/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/>
      <bottom/>
      <diagonal/>
    </border>
    <border>
      <left/>
      <right/>
      <top/>
      <bottom style="thick">
        <color rgb="FFFF0000"/>
      </bottom>
      <diagonal/>
    </border>
    <border>
      <left style="thick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ck">
        <color theme="0"/>
      </left>
      <right/>
      <top style="thick">
        <color theme="0"/>
      </top>
      <bottom style="thin">
        <color theme="0"/>
      </bottom>
      <diagonal/>
    </border>
    <border>
      <left/>
      <right/>
      <top style="thick">
        <color theme="0"/>
      </top>
      <bottom style="thin">
        <color theme="0"/>
      </bottom>
      <diagonal/>
    </border>
    <border>
      <left/>
      <right style="thick">
        <color theme="0"/>
      </right>
      <top style="thick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ck">
        <color theme="0"/>
      </left>
      <right/>
      <top/>
      <bottom/>
      <diagonal/>
    </border>
    <border>
      <left style="thin">
        <color theme="0"/>
      </left>
      <right style="thick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ck">
        <color theme="0"/>
      </left>
      <right style="thick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ck">
        <color theme="0"/>
      </right>
      <top/>
      <bottom style="thick">
        <color theme="0"/>
      </bottom>
      <diagonal/>
    </border>
    <border>
      <left/>
      <right style="thick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0"/>
      </right>
      <top/>
      <bottom/>
      <diagonal/>
    </border>
    <border>
      <left/>
      <right/>
      <top style="thin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n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n">
        <color theme="0"/>
      </left>
      <right/>
      <top style="thick">
        <color theme="0"/>
      </top>
      <bottom style="thick">
        <color theme="0"/>
      </bottom>
      <diagonal/>
    </border>
    <border>
      <left/>
      <right style="thin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n">
        <color theme="0"/>
      </left>
      <right/>
      <top style="thick">
        <color theme="0"/>
      </top>
      <bottom style="thin">
        <color theme="0"/>
      </bottom>
      <diagonal/>
    </border>
    <border>
      <left/>
      <right/>
      <top style="thin">
        <color theme="0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thin">
        <color theme="0"/>
      </right>
      <top style="medium">
        <color theme="0"/>
      </top>
      <bottom style="medium">
        <color theme="0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</cellStyleXfs>
  <cellXfs count="213">
    <xf numFmtId="0" fontId="0" fillId="0" borderId="0" xfId="0"/>
    <xf numFmtId="0" fontId="0" fillId="2" borderId="0" xfId="0" applyFill="1"/>
    <xf numFmtId="0" fontId="0" fillId="3" borderId="4" xfId="0" applyFill="1" applyBorder="1"/>
    <xf numFmtId="0" fontId="0" fillId="3" borderId="0" xfId="0" applyFill="1" applyBorder="1"/>
    <xf numFmtId="0" fontId="3" fillId="3" borderId="0" xfId="0" applyFont="1" applyFill="1" applyBorder="1" applyAlignment="1">
      <alignment vertical="center"/>
    </xf>
    <xf numFmtId="0" fontId="3" fillId="3" borderId="5" xfId="0" applyFont="1" applyFill="1" applyBorder="1" applyAlignment="1">
      <alignment vertical="center"/>
    </xf>
    <xf numFmtId="0" fontId="0" fillId="3" borderId="6" xfId="0" applyFill="1" applyBorder="1"/>
    <xf numFmtId="0" fontId="0" fillId="3" borderId="5" xfId="0" applyFill="1" applyBorder="1"/>
    <xf numFmtId="0" fontId="5" fillId="3" borderId="0" xfId="0" applyFont="1" applyFill="1" applyBorder="1" applyAlignment="1">
      <alignment horizontal="left"/>
    </xf>
    <xf numFmtId="0" fontId="5" fillId="3" borderId="0" xfId="0" applyFont="1" applyFill="1" applyBorder="1" applyAlignment="1">
      <alignment horizontal="left" vertical="center"/>
    </xf>
    <xf numFmtId="0" fontId="7" fillId="3" borderId="0" xfId="0" applyFont="1" applyFill="1" applyBorder="1"/>
    <xf numFmtId="0" fontId="8" fillId="3" borderId="0" xfId="0" applyFont="1" applyFill="1" applyBorder="1" applyAlignment="1">
      <alignment horizontal="right"/>
    </xf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2" borderId="0" xfId="0" applyFill="1" applyAlignment="1"/>
    <xf numFmtId="0" fontId="2" fillId="0" borderId="0" xfId="0" applyFont="1"/>
    <xf numFmtId="0" fontId="10" fillId="0" borderId="0" xfId="0" applyFont="1" applyBorder="1"/>
    <xf numFmtId="0" fontId="11" fillId="5" borderId="0" xfId="0" applyFont="1" applyFill="1" applyBorder="1" applyAlignment="1"/>
    <xf numFmtId="0" fontId="0" fillId="0" borderId="0" xfId="0" applyFont="1" applyBorder="1"/>
    <xf numFmtId="0" fontId="12" fillId="6" borderId="7" xfId="0" applyFont="1" applyFill="1" applyBorder="1" applyAlignment="1">
      <alignment horizontal="center" vertical="center"/>
    </xf>
    <xf numFmtId="0" fontId="13" fillId="0" borderId="0" xfId="0" applyFont="1" applyBorder="1"/>
    <xf numFmtId="0" fontId="15" fillId="5" borderId="8" xfId="0" applyFont="1" applyFill="1" applyBorder="1" applyAlignment="1">
      <alignment horizontal="center" vertical="center" wrapText="1"/>
    </xf>
    <xf numFmtId="0" fontId="15" fillId="5" borderId="13" xfId="0" applyFont="1" applyFill="1" applyBorder="1" applyAlignment="1">
      <alignment horizontal="center" vertical="center" wrapText="1"/>
    </xf>
    <xf numFmtId="0" fontId="15" fillId="5" borderId="14" xfId="0" applyFont="1" applyFill="1" applyBorder="1" applyAlignment="1">
      <alignment horizontal="center" vertical="center" wrapText="1"/>
    </xf>
    <xf numFmtId="0" fontId="16" fillId="0" borderId="0" xfId="0" applyFont="1" applyBorder="1"/>
    <xf numFmtId="0" fontId="15" fillId="5" borderId="7" xfId="0" applyFont="1" applyFill="1" applyBorder="1" applyAlignment="1">
      <alignment horizontal="center" vertical="center" wrapText="1"/>
    </xf>
    <xf numFmtId="0" fontId="15" fillId="5" borderId="15" xfId="0" applyFont="1" applyFill="1" applyBorder="1" applyAlignment="1">
      <alignment horizontal="center" vertical="center" wrapText="1"/>
    </xf>
    <xf numFmtId="0" fontId="17" fillId="4" borderId="0" xfId="0" applyFont="1" applyFill="1" applyBorder="1" applyAlignment="1">
      <alignment horizontal="left" vertical="center" wrapText="1" indent="1"/>
    </xf>
    <xf numFmtId="166" fontId="18" fillId="4" borderId="17" xfId="2" applyNumberFormat="1" applyFont="1" applyFill="1" applyBorder="1" applyAlignment="1">
      <alignment horizontal="center" vertical="center"/>
    </xf>
    <xf numFmtId="167" fontId="18" fillId="4" borderId="19" xfId="2" applyNumberFormat="1" applyFont="1" applyFill="1" applyBorder="1" applyAlignment="1">
      <alignment horizontal="center" vertical="center"/>
    </xf>
    <xf numFmtId="167" fontId="18" fillId="4" borderId="17" xfId="2" applyNumberFormat="1" applyFont="1" applyFill="1" applyBorder="1" applyAlignment="1">
      <alignment horizontal="center" vertical="center"/>
    </xf>
    <xf numFmtId="168" fontId="19" fillId="4" borderId="20" xfId="5" applyNumberFormat="1" applyFont="1" applyFill="1" applyBorder="1" applyAlignment="1">
      <alignment horizontal="right" vertical="center" wrapText="1" indent="1"/>
    </xf>
    <xf numFmtId="0" fontId="17" fillId="3" borderId="0" xfId="0" applyFont="1" applyFill="1" applyBorder="1" applyAlignment="1">
      <alignment horizontal="left" vertical="center" wrapText="1" indent="1"/>
    </xf>
    <xf numFmtId="166" fontId="18" fillId="3" borderId="17" xfId="1" applyNumberFormat="1" applyFont="1" applyFill="1" applyBorder="1" applyAlignment="1">
      <alignment horizontal="center" vertical="center"/>
    </xf>
    <xf numFmtId="167" fontId="18" fillId="3" borderId="19" xfId="2" applyNumberFormat="1" applyFont="1" applyFill="1" applyBorder="1" applyAlignment="1">
      <alignment horizontal="center" vertical="center"/>
    </xf>
    <xf numFmtId="167" fontId="18" fillId="3" borderId="17" xfId="2" applyNumberFormat="1" applyFont="1" applyFill="1" applyBorder="1" applyAlignment="1">
      <alignment horizontal="center" vertical="center"/>
    </xf>
    <xf numFmtId="168" fontId="19" fillId="3" borderId="20" xfId="5" applyNumberFormat="1" applyFont="1" applyFill="1" applyBorder="1" applyAlignment="1">
      <alignment horizontal="right" vertical="center" wrapText="1" indent="1"/>
    </xf>
    <xf numFmtId="166" fontId="18" fillId="4" borderId="23" xfId="2" applyNumberFormat="1" applyFont="1" applyFill="1" applyBorder="1" applyAlignment="1">
      <alignment horizontal="center" vertical="center"/>
    </xf>
    <xf numFmtId="167" fontId="18" fillId="4" borderId="24" xfId="2" applyNumberFormat="1" applyFont="1" applyFill="1" applyBorder="1" applyAlignment="1">
      <alignment horizontal="center" vertical="center"/>
    </xf>
    <xf numFmtId="167" fontId="18" fillId="4" borderId="25" xfId="2" applyNumberFormat="1" applyFont="1" applyFill="1" applyBorder="1" applyAlignment="1">
      <alignment horizontal="center" vertical="center"/>
    </xf>
    <xf numFmtId="168" fontId="19" fillId="4" borderId="26" xfId="5" applyNumberFormat="1" applyFont="1" applyFill="1" applyBorder="1" applyAlignment="1">
      <alignment horizontal="right" vertical="center" wrapText="1" indent="1"/>
    </xf>
    <xf numFmtId="0" fontId="15" fillId="8" borderId="8" xfId="0" applyFont="1" applyFill="1" applyBorder="1" applyAlignment="1">
      <alignment horizontal="center" vertical="center" wrapText="1"/>
    </xf>
    <xf numFmtId="0" fontId="15" fillId="8" borderId="13" xfId="0" applyFont="1" applyFill="1" applyBorder="1" applyAlignment="1">
      <alignment horizontal="center" vertical="center" wrapText="1"/>
    </xf>
    <xf numFmtId="166" fontId="18" fillId="4" borderId="17" xfId="1" applyNumberFormat="1" applyFont="1" applyFill="1" applyBorder="1" applyAlignment="1">
      <alignment horizontal="center" vertical="center"/>
    </xf>
    <xf numFmtId="166" fontId="19" fillId="4" borderId="17" xfId="5" applyNumberFormat="1" applyFont="1" applyFill="1" applyBorder="1" applyAlignment="1">
      <alignment horizontal="left" vertical="center" wrapText="1" indent="2"/>
    </xf>
    <xf numFmtId="167" fontId="18" fillId="4" borderId="0" xfId="2" applyNumberFormat="1" applyFont="1" applyFill="1" applyBorder="1" applyAlignment="1">
      <alignment horizontal="center" vertical="center"/>
    </xf>
    <xf numFmtId="168" fontId="19" fillId="4" borderId="0" xfId="5" applyNumberFormat="1" applyFont="1" applyFill="1" applyBorder="1" applyAlignment="1">
      <alignment horizontal="right" vertical="center" wrapText="1" indent="1"/>
    </xf>
    <xf numFmtId="166" fontId="19" fillId="3" borderId="23" xfId="5" applyNumberFormat="1" applyFont="1" applyFill="1" applyBorder="1" applyAlignment="1">
      <alignment horizontal="left" vertical="center" wrapText="1" indent="2"/>
    </xf>
    <xf numFmtId="167" fontId="18" fillId="3" borderId="0" xfId="2" applyNumberFormat="1" applyFont="1" applyFill="1" applyBorder="1" applyAlignment="1">
      <alignment horizontal="center" vertical="center"/>
    </xf>
    <xf numFmtId="166" fontId="19" fillId="4" borderId="23" xfId="5" applyNumberFormat="1" applyFont="1" applyFill="1" applyBorder="1" applyAlignment="1">
      <alignment horizontal="left" vertical="center" wrapText="1" indent="2"/>
    </xf>
    <xf numFmtId="166" fontId="18" fillId="4" borderId="23" xfId="1" applyNumberFormat="1" applyFont="1" applyFill="1" applyBorder="1" applyAlignment="1">
      <alignment horizontal="center" vertical="center"/>
    </xf>
    <xf numFmtId="167" fontId="18" fillId="4" borderId="23" xfId="2" applyNumberFormat="1" applyFont="1" applyFill="1" applyBorder="1" applyAlignment="1">
      <alignment horizontal="center" vertical="center"/>
    </xf>
    <xf numFmtId="49" fontId="0" fillId="0" borderId="0" xfId="0" applyNumberFormat="1"/>
    <xf numFmtId="0" fontId="0" fillId="0" borderId="28" xfId="0" applyBorder="1"/>
    <xf numFmtId="0" fontId="2" fillId="9" borderId="28" xfId="0" applyFont="1" applyFill="1" applyBorder="1"/>
    <xf numFmtId="49" fontId="0" fillId="0" borderId="0" xfId="0" applyNumberFormat="1" applyAlignment="1"/>
    <xf numFmtId="167" fontId="10" fillId="0" borderId="0" xfId="2" applyNumberFormat="1" applyFont="1"/>
    <xf numFmtId="0" fontId="21" fillId="0" borderId="0" xfId="0" applyNumberFormat="1" applyFont="1"/>
    <xf numFmtId="0" fontId="0" fillId="0" borderId="0" xfId="0" quotePrefix="1"/>
    <xf numFmtId="169" fontId="10" fillId="0" borderId="0" xfId="0" applyNumberFormat="1" applyFont="1"/>
    <xf numFmtId="10" fontId="10" fillId="0" borderId="0" xfId="2" applyNumberFormat="1" applyFont="1"/>
    <xf numFmtId="166" fontId="18" fillId="4" borderId="17" xfId="2" applyNumberFormat="1" applyFont="1" applyFill="1" applyBorder="1" applyAlignment="1">
      <alignment horizontal="right" vertical="center" indent="1"/>
    </xf>
    <xf numFmtId="166" fontId="18" fillId="4" borderId="0" xfId="1" applyNumberFormat="1" applyFont="1" applyFill="1" applyBorder="1" applyAlignment="1">
      <alignment horizontal="right" vertical="center" indent="1"/>
    </xf>
    <xf numFmtId="166" fontId="18" fillId="3" borderId="17" xfId="1" applyNumberFormat="1" applyFont="1" applyFill="1" applyBorder="1" applyAlignment="1">
      <alignment horizontal="right" vertical="center" indent="1"/>
    </xf>
    <xf numFmtId="166" fontId="18" fillId="3" borderId="0" xfId="1" applyNumberFormat="1" applyFont="1" applyFill="1" applyBorder="1" applyAlignment="1">
      <alignment horizontal="right" vertical="center" indent="1"/>
    </xf>
    <xf numFmtId="166" fontId="18" fillId="4" borderId="23" xfId="2" applyNumberFormat="1" applyFont="1" applyFill="1" applyBorder="1" applyAlignment="1">
      <alignment horizontal="right" vertical="center" indent="1"/>
    </xf>
    <xf numFmtId="166" fontId="19" fillId="4" borderId="18" xfId="5" applyNumberFormat="1" applyFont="1" applyFill="1" applyBorder="1" applyAlignment="1">
      <alignment horizontal="right" vertical="center" wrapText="1" indent="1"/>
    </xf>
    <xf numFmtId="166" fontId="19" fillId="3" borderId="21" xfId="5" applyNumberFormat="1" applyFont="1" applyFill="1" applyBorder="1" applyAlignment="1">
      <alignment horizontal="right" vertical="center" wrapText="1" indent="1"/>
    </xf>
    <xf numFmtId="166" fontId="19" fillId="4" borderId="21" xfId="5" applyNumberFormat="1" applyFont="1" applyFill="1" applyBorder="1" applyAlignment="1">
      <alignment horizontal="right" vertical="center" wrapText="1" indent="1"/>
    </xf>
    <xf numFmtId="0" fontId="0" fillId="0" borderId="29" xfId="0" applyFont="1" applyBorder="1"/>
    <xf numFmtId="0" fontId="15" fillId="8" borderId="27" xfId="0" applyFont="1" applyFill="1" applyBorder="1" applyAlignment="1">
      <alignment horizontal="center" vertical="center" wrapText="1"/>
    </xf>
    <xf numFmtId="168" fontId="19" fillId="4" borderId="29" xfId="5" applyNumberFormat="1" applyFont="1" applyFill="1" applyBorder="1" applyAlignment="1">
      <alignment horizontal="right" vertical="center" wrapText="1" indent="1"/>
    </xf>
    <xf numFmtId="168" fontId="19" fillId="3" borderId="29" xfId="5" applyNumberFormat="1" applyFont="1" applyFill="1" applyBorder="1" applyAlignment="1">
      <alignment horizontal="right" vertical="center" wrapText="1" indent="1"/>
    </xf>
    <xf numFmtId="165" fontId="22" fillId="0" borderId="0" xfId="0" applyNumberFormat="1" applyFont="1" applyFill="1" applyBorder="1" applyAlignment="1">
      <alignment horizontal="right"/>
    </xf>
    <xf numFmtId="165" fontId="23" fillId="0" borderId="0" xfId="0" applyNumberFormat="1" applyFont="1" applyFill="1" applyBorder="1" applyAlignment="1">
      <alignment horizontal="right" indent="1"/>
    </xf>
    <xf numFmtId="0" fontId="24" fillId="0" borderId="0" xfId="0" applyFont="1" applyFill="1" applyBorder="1"/>
    <xf numFmtId="0" fontId="13" fillId="0" borderId="0" xfId="0" applyFont="1"/>
    <xf numFmtId="0" fontId="25" fillId="0" borderId="0" xfId="0" applyFont="1"/>
    <xf numFmtId="0" fontId="27" fillId="10" borderId="0" xfId="0" applyFont="1" applyFill="1" applyAlignment="1">
      <alignment horizontal="center"/>
    </xf>
    <xf numFmtId="169" fontId="27" fillId="10" borderId="0" xfId="0" applyNumberFormat="1" applyFont="1" applyFill="1" applyAlignment="1">
      <alignment horizontal="center" vertical="center" wrapText="1"/>
    </xf>
    <xf numFmtId="0" fontId="0" fillId="4" borderId="28" xfId="0" applyFill="1" applyBorder="1"/>
    <xf numFmtId="170" fontId="0" fillId="4" borderId="28" xfId="0" applyNumberFormat="1" applyFill="1" applyBorder="1"/>
    <xf numFmtId="2" fontId="0" fillId="11" borderId="28" xfId="0" applyNumberFormat="1" applyFill="1" applyBorder="1" applyAlignment="1">
      <alignment horizontal="right"/>
    </xf>
    <xf numFmtId="0" fontId="0" fillId="3" borderId="0" xfId="0" applyFill="1"/>
    <xf numFmtId="0" fontId="0" fillId="12" borderId="0" xfId="0" applyFill="1"/>
    <xf numFmtId="167" fontId="34" fillId="4" borderId="35" xfId="2" applyNumberFormat="1" applyFont="1" applyFill="1" applyBorder="1" applyAlignment="1" applyProtection="1">
      <alignment horizontal="center" vertical="center"/>
    </xf>
    <xf numFmtId="167" fontId="35" fillId="4" borderId="36" xfId="2" applyNumberFormat="1" applyFont="1" applyFill="1" applyBorder="1" applyAlignment="1" applyProtection="1">
      <alignment horizontal="center" vertical="center"/>
    </xf>
    <xf numFmtId="167" fontId="13" fillId="12" borderId="0" xfId="0" applyNumberFormat="1" applyFont="1" applyFill="1" applyBorder="1" applyAlignment="1">
      <alignment horizontal="center"/>
    </xf>
    <xf numFmtId="0" fontId="13" fillId="3" borderId="0" xfId="0" applyFont="1" applyFill="1" applyBorder="1"/>
    <xf numFmtId="0" fontId="36" fillId="3" borderId="16" xfId="0" applyFont="1" applyFill="1" applyBorder="1" applyAlignment="1">
      <alignment vertical="center" textRotation="255"/>
    </xf>
    <xf numFmtId="0" fontId="39" fillId="14" borderId="37" xfId="3" applyFont="1" applyFill="1" applyBorder="1" applyAlignment="1">
      <alignment vertical="center"/>
    </xf>
    <xf numFmtId="0" fontId="0" fillId="12" borderId="0" xfId="0" applyFill="1" applyBorder="1"/>
    <xf numFmtId="0" fontId="0" fillId="15" borderId="0" xfId="0" applyFill="1" applyBorder="1"/>
    <xf numFmtId="0" fontId="42" fillId="15" borderId="0" xfId="0" applyFont="1" applyFill="1" applyBorder="1"/>
    <xf numFmtId="169" fontId="43" fillId="10" borderId="0" xfId="0" applyNumberFormat="1" applyFont="1" applyFill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4" fontId="0" fillId="0" borderId="0" xfId="0" applyNumberFormat="1"/>
    <xf numFmtId="4" fontId="21" fillId="0" borderId="0" xfId="0" applyNumberFormat="1" applyFont="1"/>
    <xf numFmtId="167" fontId="34" fillId="16" borderId="35" xfId="3" applyNumberFormat="1" applyFont="1" applyFill="1" applyBorder="1" applyAlignment="1">
      <alignment horizontal="center" vertical="center"/>
    </xf>
    <xf numFmtId="167" fontId="35" fillId="16" borderId="36" xfId="3" applyNumberFormat="1" applyFont="1" applyFill="1" applyBorder="1" applyAlignment="1">
      <alignment horizontal="center" vertical="center"/>
    </xf>
    <xf numFmtId="168" fontId="19" fillId="4" borderId="39" xfId="5" applyNumberFormat="1" applyFont="1" applyFill="1" applyBorder="1" applyAlignment="1">
      <alignment horizontal="right" vertical="center" wrapText="1" indent="1"/>
    </xf>
    <xf numFmtId="0" fontId="13" fillId="3" borderId="37" xfId="0" applyFont="1" applyFill="1" applyBorder="1"/>
    <xf numFmtId="167" fontId="34" fillId="3" borderId="16" xfId="2" applyNumberFormat="1" applyFont="1" applyFill="1" applyBorder="1" applyAlignment="1" applyProtection="1">
      <alignment horizontal="center" vertical="center"/>
    </xf>
    <xf numFmtId="167" fontId="35" fillId="3" borderId="42" xfId="2" applyNumberFormat="1" applyFont="1" applyFill="1" applyBorder="1" applyAlignment="1" applyProtection="1">
      <alignment horizontal="center" vertical="center"/>
    </xf>
    <xf numFmtId="168" fontId="19" fillId="3" borderId="43" xfId="5" applyNumberFormat="1" applyFont="1" applyFill="1" applyBorder="1" applyAlignment="1">
      <alignment horizontal="right" vertical="center" wrapText="1" indent="1"/>
    </xf>
    <xf numFmtId="0" fontId="37" fillId="7" borderId="44" xfId="3" applyFont="1" applyFill="1" applyBorder="1" applyAlignment="1">
      <alignment vertical="center"/>
    </xf>
    <xf numFmtId="3" fontId="12" fillId="3" borderId="44" xfId="3" applyNumberFormat="1" applyFont="1" applyFill="1" applyBorder="1" applyAlignment="1">
      <alignment horizontal="right" vertical="center"/>
    </xf>
    <xf numFmtId="3" fontId="12" fillId="7" borderId="44" xfId="3" applyNumberFormat="1" applyFont="1" applyFill="1" applyBorder="1" applyAlignment="1">
      <alignment vertical="center"/>
    </xf>
    <xf numFmtId="3" fontId="12" fillId="3" borderId="44" xfId="3" applyNumberFormat="1" applyFont="1" applyFill="1" applyBorder="1" applyAlignment="1">
      <alignment horizontal="center" vertical="center"/>
    </xf>
    <xf numFmtId="167" fontId="13" fillId="12" borderId="37" xfId="0" applyNumberFormat="1" applyFont="1" applyFill="1" applyBorder="1" applyAlignment="1">
      <alignment horizontal="center"/>
    </xf>
    <xf numFmtId="0" fontId="37" fillId="7" borderId="0" xfId="3" applyFont="1" applyFill="1" applyBorder="1" applyAlignment="1">
      <alignment vertical="center"/>
    </xf>
    <xf numFmtId="3" fontId="12" fillId="3" borderId="0" xfId="3" applyNumberFormat="1" applyFont="1" applyFill="1" applyBorder="1" applyAlignment="1">
      <alignment horizontal="right" vertical="center"/>
    </xf>
    <xf numFmtId="3" fontId="12" fillId="7" borderId="0" xfId="3" applyNumberFormat="1" applyFont="1" applyFill="1" applyBorder="1" applyAlignment="1">
      <alignment vertical="center"/>
    </xf>
    <xf numFmtId="3" fontId="12" fillId="3" borderId="0" xfId="3" applyNumberFormat="1" applyFont="1" applyFill="1" applyBorder="1" applyAlignment="1">
      <alignment horizontal="center" vertical="center"/>
    </xf>
    <xf numFmtId="0" fontId="0" fillId="0" borderId="37" xfId="0" applyBorder="1"/>
    <xf numFmtId="0" fontId="0" fillId="3" borderId="37" xfId="0" applyFill="1" applyBorder="1"/>
    <xf numFmtId="0" fontId="40" fillId="3" borderId="37" xfId="5" applyFont="1" applyFill="1" applyBorder="1" applyAlignment="1">
      <alignment vertical="center"/>
    </xf>
    <xf numFmtId="0" fontId="11" fillId="3" borderId="34" xfId="0" applyFont="1" applyFill="1" applyBorder="1" applyAlignment="1"/>
    <xf numFmtId="0" fontId="27" fillId="7" borderId="34" xfId="3" applyFont="1" applyFill="1" applyBorder="1" applyAlignment="1">
      <alignment vertical="center" wrapText="1"/>
    </xf>
    <xf numFmtId="0" fontId="15" fillId="12" borderId="10" xfId="0" applyFont="1" applyFill="1" applyBorder="1" applyAlignment="1">
      <alignment horizontal="center" vertical="center" wrapText="1"/>
    </xf>
    <xf numFmtId="0" fontId="33" fillId="3" borderId="10" xfId="0" applyFont="1" applyFill="1" applyBorder="1" applyAlignment="1">
      <alignment horizontal="center" vertical="center" wrapText="1"/>
    </xf>
    <xf numFmtId="0" fontId="33" fillId="3" borderId="34" xfId="0" applyFont="1" applyFill="1" applyBorder="1" applyAlignment="1">
      <alignment horizontal="center" vertical="center"/>
    </xf>
    <xf numFmtId="0" fontId="33" fillId="12" borderId="47" xfId="0" applyFont="1" applyFill="1" applyBorder="1" applyAlignment="1">
      <alignment horizontal="center" vertical="center"/>
    </xf>
    <xf numFmtId="0" fontId="33" fillId="6" borderId="48" xfId="0" applyFont="1" applyFill="1" applyBorder="1" applyAlignment="1">
      <alignment horizontal="center" vertical="center"/>
    </xf>
    <xf numFmtId="0" fontId="33" fillId="3" borderId="47" xfId="0" applyFont="1" applyFill="1" applyBorder="1" applyAlignment="1">
      <alignment horizontal="center" vertical="center"/>
    </xf>
    <xf numFmtId="0" fontId="33" fillId="3" borderId="44" xfId="0" applyFont="1" applyFill="1" applyBorder="1" applyAlignment="1">
      <alignment horizontal="center" vertical="center"/>
    </xf>
    <xf numFmtId="0" fontId="37" fillId="7" borderId="45" xfId="3" applyFont="1" applyFill="1" applyBorder="1" applyAlignment="1">
      <alignment vertical="center"/>
    </xf>
    <xf numFmtId="0" fontId="33" fillId="6" borderId="49" xfId="0" applyFont="1" applyFill="1" applyBorder="1" applyAlignment="1">
      <alignment horizontal="center" vertical="center"/>
    </xf>
    <xf numFmtId="0" fontId="33" fillId="6" borderId="50" xfId="0" applyFont="1" applyFill="1" applyBorder="1" applyAlignment="1">
      <alignment horizontal="center" vertical="center"/>
    </xf>
    <xf numFmtId="0" fontId="37" fillId="7" borderId="16" xfId="3" applyFont="1" applyFill="1" applyBorder="1" applyAlignment="1">
      <alignment vertical="center"/>
    </xf>
    <xf numFmtId="167" fontId="35" fillId="3" borderId="32" xfId="0" applyNumberFormat="1" applyFont="1" applyFill="1" applyBorder="1" applyAlignment="1">
      <alignment horizontal="center"/>
    </xf>
    <xf numFmtId="167" fontId="35" fillId="3" borderId="19" xfId="0" applyNumberFormat="1" applyFont="1" applyFill="1" applyBorder="1" applyAlignment="1">
      <alignment horizontal="center"/>
    </xf>
    <xf numFmtId="0" fontId="33" fillId="6" borderId="51" xfId="0" applyFont="1" applyFill="1" applyBorder="1" applyAlignment="1">
      <alignment horizontal="center" vertical="center"/>
    </xf>
    <xf numFmtId="0" fontId="33" fillId="6" borderId="52" xfId="0" applyFont="1" applyFill="1" applyBorder="1" applyAlignment="1">
      <alignment horizontal="center" vertical="center"/>
    </xf>
    <xf numFmtId="0" fontId="33" fillId="6" borderId="53" xfId="0" applyFont="1" applyFill="1" applyBorder="1" applyAlignment="1">
      <alignment horizontal="center" vertical="center"/>
    </xf>
    <xf numFmtId="3" fontId="19" fillId="4" borderId="54" xfId="5" applyNumberFormat="1" applyFont="1" applyFill="1" applyBorder="1" applyAlignment="1">
      <alignment horizontal="right" vertical="center" wrapText="1" indent="1"/>
    </xf>
    <xf numFmtId="3" fontId="19" fillId="3" borderId="20" xfId="5" applyNumberFormat="1" applyFont="1" applyFill="1" applyBorder="1" applyAlignment="1">
      <alignment horizontal="right" vertical="center" wrapText="1" indent="1"/>
    </xf>
    <xf numFmtId="3" fontId="12" fillId="7" borderId="24" xfId="3" applyNumberFormat="1" applyFont="1" applyFill="1" applyBorder="1" applyAlignment="1">
      <alignment vertical="center"/>
    </xf>
    <xf numFmtId="3" fontId="12" fillId="7" borderId="31" xfId="3" applyNumberFormat="1" applyFont="1" applyFill="1" applyBorder="1" applyAlignment="1">
      <alignment vertical="center"/>
    </xf>
    <xf numFmtId="3" fontId="12" fillId="7" borderId="19" xfId="3" applyNumberFormat="1" applyFont="1" applyFill="1" applyBorder="1" applyAlignment="1">
      <alignment vertical="center"/>
    </xf>
    <xf numFmtId="3" fontId="12" fillId="7" borderId="29" xfId="3" applyNumberFormat="1" applyFont="1" applyFill="1" applyBorder="1" applyAlignment="1">
      <alignment vertical="center"/>
    </xf>
    <xf numFmtId="0" fontId="29" fillId="0" borderId="30" xfId="5" applyFont="1" applyFill="1" applyBorder="1" applyAlignment="1">
      <alignment vertical="center" wrapText="1"/>
    </xf>
    <xf numFmtId="0" fontId="44" fillId="0" borderId="30" xfId="5" applyFont="1" applyFill="1" applyBorder="1" applyAlignment="1">
      <alignment vertical="center" wrapText="1"/>
    </xf>
    <xf numFmtId="165" fontId="6" fillId="3" borderId="0" xfId="0" applyNumberFormat="1" applyFont="1" applyFill="1" applyBorder="1" applyAlignment="1">
      <alignment horizontal="right" indent="5"/>
    </xf>
    <xf numFmtId="0" fontId="4" fillId="3" borderId="5" xfId="0" applyFont="1" applyFill="1" applyBorder="1" applyAlignment="1">
      <alignment horizontal="right" indent="5"/>
    </xf>
    <xf numFmtId="0" fontId="46" fillId="0" borderId="0" xfId="4" applyFont="1" applyFill="1" applyBorder="1" applyAlignment="1" applyProtection="1">
      <alignment horizontal="left" vertical="center"/>
    </xf>
    <xf numFmtId="0" fontId="47" fillId="11" borderId="28" xfId="4" applyFont="1" applyFill="1" applyBorder="1" applyAlignment="1" applyProtection="1">
      <alignment horizontal="left" vertical="center"/>
    </xf>
    <xf numFmtId="0" fontId="47" fillId="11" borderId="0" xfId="4" applyFont="1" applyFill="1" applyBorder="1" applyAlignment="1" applyProtection="1">
      <alignment horizontal="left" vertical="center"/>
    </xf>
    <xf numFmtId="0" fontId="47" fillId="0" borderId="0" xfId="4" applyFont="1" applyFill="1" applyBorder="1" applyAlignment="1" applyProtection="1">
      <alignment horizontal="left" vertical="center"/>
    </xf>
    <xf numFmtId="0" fontId="46" fillId="0" borderId="0" xfId="4" applyFont="1" applyFill="1" applyBorder="1" applyAlignment="1" applyProtection="1">
      <alignment vertical="center"/>
    </xf>
    <xf numFmtId="0" fontId="46" fillId="0" borderId="0" xfId="4" applyFont="1" applyFill="1" applyBorder="1" applyAlignment="1" applyProtection="1">
      <alignment horizontal="center" vertical="center"/>
    </xf>
    <xf numFmtId="0" fontId="46" fillId="0" borderId="28" xfId="4" applyFont="1" applyFill="1" applyBorder="1" applyAlignment="1" applyProtection="1">
      <alignment horizontal="left" vertical="center"/>
    </xf>
    <xf numFmtId="0" fontId="47" fillId="0" borderId="28" xfId="4" applyFont="1" applyFill="1" applyBorder="1" applyAlignment="1" applyProtection="1">
      <alignment horizontal="left" vertical="center"/>
    </xf>
    <xf numFmtId="0" fontId="0" fillId="3" borderId="0" xfId="0" applyFill="1" applyBorder="1" applyAlignment="1">
      <alignment horizontal="right"/>
    </xf>
    <xf numFmtId="0" fontId="49" fillId="3" borderId="6" xfId="0" applyFont="1" applyFill="1" applyBorder="1"/>
    <xf numFmtId="0" fontId="0" fillId="3" borderId="0" xfId="0" applyFill="1" applyBorder="1" applyProtection="1">
      <protection locked="0"/>
    </xf>
    <xf numFmtId="0" fontId="0" fillId="3" borderId="0" xfId="0" applyNumberFormat="1" applyFill="1" applyBorder="1"/>
    <xf numFmtId="0" fontId="26" fillId="0" borderId="0" xfId="0" applyFont="1" applyAlignment="1">
      <alignment horizontal="center" vertical="center"/>
    </xf>
    <xf numFmtId="0" fontId="12" fillId="6" borderId="8" xfId="0" applyFont="1" applyFill="1" applyBorder="1" applyAlignment="1">
      <alignment horizontal="center" vertical="center"/>
    </xf>
    <xf numFmtId="0" fontId="48" fillId="19" borderId="4" xfId="0" applyFont="1" applyFill="1" applyBorder="1" applyAlignment="1">
      <alignment horizontal="center" vertical="center"/>
    </xf>
    <xf numFmtId="0" fontId="48" fillId="19" borderId="0" xfId="0" applyFont="1" applyFill="1" applyBorder="1" applyAlignment="1">
      <alignment horizontal="center" vertical="center"/>
    </xf>
    <xf numFmtId="0" fontId="48" fillId="19" borderId="5" xfId="0" applyFont="1" applyFill="1" applyBorder="1" applyAlignment="1">
      <alignment horizontal="center" vertical="center"/>
    </xf>
    <xf numFmtId="165" fontId="6" fillId="18" borderId="56" xfId="0" applyNumberFormat="1" applyFont="1" applyFill="1" applyBorder="1" applyAlignment="1" applyProtection="1">
      <alignment horizontal="right" indent="5"/>
      <protection locked="0"/>
    </xf>
    <xf numFmtId="165" fontId="6" fillId="18" borderId="57" xfId="0" applyNumberFormat="1" applyFont="1" applyFill="1" applyBorder="1" applyAlignment="1" applyProtection="1">
      <alignment horizontal="right" indent="5"/>
      <protection locked="0"/>
    </xf>
    <xf numFmtId="165" fontId="6" fillId="18" borderId="58" xfId="0" applyNumberFormat="1" applyFont="1" applyFill="1" applyBorder="1" applyAlignment="1" applyProtection="1">
      <alignment horizontal="right" indent="5"/>
      <protection locked="0"/>
    </xf>
    <xf numFmtId="0" fontId="6" fillId="18" borderId="55" xfId="0" applyFont="1" applyFill="1" applyBorder="1" applyAlignment="1" applyProtection="1">
      <alignment horizontal="left" indent="3"/>
      <protection locked="0"/>
    </xf>
    <xf numFmtId="0" fontId="4" fillId="18" borderId="0" xfId="0" applyFont="1" applyFill="1" applyBorder="1" applyAlignment="1" applyProtection="1">
      <alignment horizontal="right" indent="5"/>
      <protection locked="0"/>
    </xf>
    <xf numFmtId="0" fontId="6" fillId="18" borderId="55" xfId="0" applyFont="1" applyFill="1" applyBorder="1" applyAlignment="1" applyProtection="1">
      <alignment horizontal="left" indent="2"/>
      <protection locked="0"/>
    </xf>
    <xf numFmtId="0" fontId="20" fillId="7" borderId="16" xfId="0" applyFont="1" applyFill="1" applyBorder="1" applyAlignment="1">
      <alignment horizontal="center" vertical="center" textRotation="90"/>
    </xf>
    <xf numFmtId="0" fontId="20" fillId="7" borderId="22" xfId="0" applyFont="1" applyFill="1" applyBorder="1" applyAlignment="1">
      <alignment horizontal="center" vertical="center" textRotation="90"/>
    </xf>
    <xf numFmtId="0" fontId="11" fillId="5" borderId="0" xfId="0" applyFont="1" applyFill="1" applyBorder="1" applyAlignment="1">
      <alignment horizontal="left"/>
    </xf>
    <xf numFmtId="0" fontId="45" fillId="0" borderId="0" xfId="0" applyFont="1" applyAlignment="1">
      <alignment horizontal="center" vertical="top" wrapText="1"/>
    </xf>
    <xf numFmtId="17" fontId="12" fillId="6" borderId="8" xfId="0" applyNumberFormat="1" applyFont="1" applyFill="1" applyBorder="1" applyAlignment="1">
      <alignment horizontal="center" vertical="center"/>
    </xf>
    <xf numFmtId="17" fontId="12" fillId="6" borderId="9" xfId="0" applyNumberFormat="1" applyFont="1" applyFill="1" applyBorder="1" applyAlignment="1">
      <alignment horizontal="center" vertical="center"/>
    </xf>
    <xf numFmtId="17" fontId="12" fillId="6" borderId="10" xfId="0" applyNumberFormat="1" applyFont="1" applyFill="1" applyBorder="1" applyAlignment="1">
      <alignment horizontal="center" vertical="center"/>
    </xf>
    <xf numFmtId="17" fontId="12" fillId="6" borderId="11" xfId="0" applyNumberFormat="1" applyFont="1" applyFill="1" applyBorder="1" applyAlignment="1">
      <alignment horizontal="center" vertical="center"/>
    </xf>
    <xf numFmtId="0" fontId="14" fillId="7" borderId="12" xfId="0" applyFont="1" applyFill="1" applyBorder="1" applyAlignment="1">
      <alignment horizontal="center" vertical="center" textRotation="90"/>
    </xf>
    <xf numFmtId="0" fontId="14" fillId="7" borderId="16" xfId="0" applyFont="1" applyFill="1" applyBorder="1" applyAlignment="1">
      <alignment horizontal="center" vertical="center" textRotation="90"/>
    </xf>
    <xf numFmtId="0" fontId="14" fillId="7" borderId="22" xfId="0" applyFont="1" applyFill="1" applyBorder="1" applyAlignment="1">
      <alignment horizontal="center" vertical="center" textRotation="90"/>
    </xf>
    <xf numFmtId="17" fontId="12" fillId="6" borderId="27" xfId="0" applyNumberFormat="1" applyFont="1" applyFill="1" applyBorder="1" applyAlignment="1">
      <alignment horizontal="center" vertical="center"/>
    </xf>
    <xf numFmtId="0" fontId="29" fillId="0" borderId="30" xfId="5" applyFont="1" applyFill="1" applyBorder="1" applyAlignment="1">
      <alignment horizontal="left" vertical="center" wrapText="1" indent="1"/>
    </xf>
    <xf numFmtId="0" fontId="30" fillId="3" borderId="0" xfId="0" applyFont="1" applyFill="1" applyBorder="1" applyAlignment="1">
      <alignment horizontal="left"/>
    </xf>
    <xf numFmtId="171" fontId="41" fillId="17" borderId="38" xfId="3" applyNumberFormat="1" applyFont="1" applyFill="1" applyBorder="1" applyAlignment="1">
      <alignment horizontal="left" vertical="center" indent="2"/>
    </xf>
    <xf numFmtId="171" fontId="41" fillId="17" borderId="33" xfId="3" applyNumberFormat="1" applyFont="1" applyFill="1" applyBorder="1" applyAlignment="1">
      <alignment horizontal="left" vertical="center" indent="2"/>
    </xf>
    <xf numFmtId="0" fontId="33" fillId="6" borderId="46" xfId="0" applyFont="1" applyFill="1" applyBorder="1" applyAlignment="1">
      <alignment horizontal="center" vertical="center"/>
    </xf>
    <xf numFmtId="0" fontId="33" fillId="6" borderId="11" xfId="0" applyFont="1" applyFill="1" applyBorder="1" applyAlignment="1">
      <alignment horizontal="center" vertical="center"/>
    </xf>
    <xf numFmtId="0" fontId="11" fillId="6" borderId="40" xfId="0" applyFont="1" applyFill="1" applyBorder="1" applyAlignment="1">
      <alignment horizontal="center" vertical="center"/>
    </xf>
    <xf numFmtId="0" fontId="11" fillId="6" borderId="41" xfId="0" applyFont="1" applyFill="1" applyBorder="1" applyAlignment="1">
      <alignment horizontal="center" vertical="center"/>
    </xf>
    <xf numFmtId="0" fontId="11" fillId="6" borderId="24" xfId="0" applyFont="1" applyFill="1" applyBorder="1" applyAlignment="1">
      <alignment horizontal="center" vertical="center"/>
    </xf>
    <xf numFmtId="0" fontId="11" fillId="6" borderId="31" xfId="0" applyFont="1" applyFill="1" applyBorder="1" applyAlignment="1">
      <alignment horizontal="center" vertical="center"/>
    </xf>
    <xf numFmtId="0" fontId="32" fillId="13" borderId="32" xfId="3" applyFont="1" applyFill="1" applyBorder="1" applyAlignment="1">
      <alignment horizontal="center" vertical="center" wrapText="1"/>
    </xf>
    <xf numFmtId="0" fontId="32" fillId="13" borderId="37" xfId="3" applyFont="1" applyFill="1" applyBorder="1" applyAlignment="1">
      <alignment horizontal="center" vertical="center" wrapText="1"/>
    </xf>
    <xf numFmtId="0" fontId="32" fillId="13" borderId="33" xfId="3" applyFont="1" applyFill="1" applyBorder="1" applyAlignment="1">
      <alignment horizontal="center" vertical="center" wrapText="1"/>
    </xf>
    <xf numFmtId="0" fontId="31" fillId="13" borderId="32" xfId="0" applyFont="1" applyFill="1" applyBorder="1" applyAlignment="1">
      <alignment horizontal="center" vertical="center" wrapText="1"/>
    </xf>
    <xf numFmtId="0" fontId="31" fillId="13" borderId="37" xfId="0" applyFont="1" applyFill="1" applyBorder="1" applyAlignment="1">
      <alignment horizontal="center" vertical="center" wrapText="1"/>
    </xf>
    <xf numFmtId="0" fontId="31" fillId="13" borderId="33" xfId="0" applyFont="1" applyFill="1" applyBorder="1" applyAlignment="1">
      <alignment horizontal="center" vertical="center" wrapText="1"/>
    </xf>
    <xf numFmtId="0" fontId="17" fillId="4" borderId="32" xfId="0" applyFont="1" applyFill="1" applyBorder="1" applyAlignment="1">
      <alignment horizontal="left" vertical="center" wrapText="1" indent="2"/>
    </xf>
    <xf numFmtId="0" fontId="17" fillId="4" borderId="33" xfId="0" applyFont="1" applyFill="1" applyBorder="1" applyAlignment="1">
      <alignment horizontal="left" vertical="center" wrapText="1" indent="2"/>
    </xf>
    <xf numFmtId="0" fontId="17" fillId="3" borderId="19" xfId="0" applyFont="1" applyFill="1" applyBorder="1" applyAlignment="1">
      <alignment horizontal="left" vertical="center" wrapText="1" indent="2"/>
    </xf>
    <xf numFmtId="0" fontId="17" fillId="3" borderId="29" xfId="0" applyFont="1" applyFill="1" applyBorder="1" applyAlignment="1">
      <alignment horizontal="left" vertical="center" wrapText="1" indent="2"/>
    </xf>
    <xf numFmtId="0" fontId="38" fillId="16" borderId="32" xfId="3" applyFont="1" applyFill="1" applyBorder="1" applyAlignment="1">
      <alignment horizontal="center" vertical="center"/>
    </xf>
    <xf numFmtId="0" fontId="38" fillId="16" borderId="33" xfId="3" applyFont="1" applyFill="1" applyBorder="1" applyAlignment="1">
      <alignment horizontal="center" vertical="center"/>
    </xf>
    <xf numFmtId="0" fontId="31" fillId="8" borderId="32" xfId="0" applyFont="1" applyFill="1" applyBorder="1" applyAlignment="1">
      <alignment horizontal="center" vertical="center" wrapText="1"/>
    </xf>
    <xf numFmtId="0" fontId="31" fillId="8" borderId="37" xfId="0" applyFont="1" applyFill="1" applyBorder="1" applyAlignment="1">
      <alignment horizontal="center" vertical="center" wrapText="1"/>
    </xf>
    <xf numFmtId="0" fontId="31" fillId="8" borderId="33" xfId="0" applyFont="1" applyFill="1" applyBorder="1" applyAlignment="1">
      <alignment horizontal="center" vertical="center" wrapText="1"/>
    </xf>
    <xf numFmtId="0" fontId="32" fillId="8" borderId="32" xfId="3" applyFont="1" applyFill="1" applyBorder="1" applyAlignment="1">
      <alignment horizontal="center" vertical="center" wrapText="1"/>
    </xf>
    <xf numFmtId="0" fontId="32" fillId="8" borderId="37" xfId="3" applyFont="1" applyFill="1" applyBorder="1" applyAlignment="1">
      <alignment horizontal="center" vertical="center" wrapText="1"/>
    </xf>
    <xf numFmtId="0" fontId="32" fillId="8" borderId="33" xfId="3" applyFont="1" applyFill="1" applyBorder="1" applyAlignment="1">
      <alignment horizontal="center" vertical="center" wrapText="1"/>
    </xf>
    <xf numFmtId="171" fontId="41" fillId="17" borderId="38" xfId="3" applyNumberFormat="1" applyFont="1" applyFill="1" applyBorder="1" applyAlignment="1">
      <alignment horizontal="left" vertical="center" indent="3"/>
    </xf>
    <xf numFmtId="171" fontId="41" fillId="17" borderId="33" xfId="3" applyNumberFormat="1" applyFont="1" applyFill="1" applyBorder="1" applyAlignment="1">
      <alignment horizontal="left" vertical="center" indent="3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</cellXfs>
  <cellStyles count="6">
    <cellStyle name="Milliers" xfId="1" builtinId="3"/>
    <cellStyle name="Normal" xfId="0" builtinId="0"/>
    <cellStyle name="Normal 2" xfId="3"/>
    <cellStyle name="Normal 3 2" xfId="4"/>
    <cellStyle name="Normal_Copie de CRD_CRC_domaine TER_ergo" xfId="5"/>
    <cellStyle name="Pourcentage" xfId="2" builtinId="5"/>
  </cellStyles>
  <dxfs count="586"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b/>
        <i val="0"/>
        <color rgb="FF85A644"/>
      </font>
    </dxf>
    <dxf>
      <font>
        <b/>
        <i val="0"/>
        <color rgb="FFFF0000"/>
      </font>
    </dxf>
    <dxf>
      <font>
        <b/>
        <i val="0"/>
        <color rgb="FF85A644"/>
      </font>
    </dxf>
    <dxf>
      <font>
        <b/>
        <i val="0"/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ont>
        <b/>
        <i val="0"/>
        <color rgb="FF85A644"/>
      </font>
    </dxf>
    <dxf>
      <font>
        <b/>
        <i val="0"/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b/>
        <i val="0"/>
        <color rgb="FF85A644"/>
      </font>
    </dxf>
    <dxf>
      <font>
        <b/>
        <i val="0"/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b/>
        <i val="0"/>
        <color rgb="FF85A644"/>
      </font>
    </dxf>
    <dxf>
      <font>
        <b/>
        <i val="0"/>
        <color rgb="FFFF0000"/>
      </font>
    </dxf>
    <dxf>
      <font>
        <b/>
        <i val="0"/>
        <color rgb="FF85A644"/>
      </font>
    </dxf>
    <dxf>
      <font>
        <b/>
        <i val="0"/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b/>
        <i val="0"/>
        <color rgb="FF85A644"/>
      </font>
    </dxf>
    <dxf>
      <font>
        <b/>
        <i val="0"/>
        <color rgb="FFFF0000"/>
      </font>
    </dxf>
    <dxf>
      <font>
        <b/>
        <i val="0"/>
        <color rgb="FF85A644"/>
      </font>
    </dxf>
    <dxf>
      <font>
        <b/>
        <i val="0"/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b/>
        <i val="0"/>
        <color rgb="FF85A644"/>
      </font>
    </dxf>
    <dxf>
      <font>
        <b/>
        <i val="0"/>
        <color rgb="FFFF0000"/>
      </font>
    </dxf>
    <dxf>
      <font>
        <b/>
        <i val="0"/>
        <color rgb="FF85A644"/>
      </font>
    </dxf>
    <dxf>
      <font>
        <b/>
        <i val="0"/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b/>
        <i val="0"/>
        <color rgb="FF85A644"/>
      </font>
    </dxf>
    <dxf>
      <font>
        <b/>
        <i val="0"/>
        <color rgb="FFFF0000"/>
      </font>
    </dxf>
    <dxf>
      <font>
        <b/>
        <i val="0"/>
        <color rgb="FF85A644"/>
      </font>
    </dxf>
    <dxf>
      <font>
        <b/>
        <i val="0"/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b/>
        <i val="0"/>
        <color rgb="FF85A644"/>
      </font>
    </dxf>
    <dxf>
      <font>
        <b/>
        <i val="0"/>
        <color rgb="FFFF0000"/>
      </font>
    </dxf>
    <dxf>
      <font>
        <b/>
        <i val="0"/>
        <color rgb="FF85A644"/>
      </font>
    </dxf>
    <dxf>
      <font>
        <b/>
        <i val="0"/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b/>
        <i val="0"/>
        <color rgb="FF85A644"/>
      </font>
    </dxf>
    <dxf>
      <font>
        <b/>
        <i val="0"/>
        <color rgb="FFFF0000"/>
      </font>
    </dxf>
    <dxf>
      <font>
        <b/>
        <i val="0"/>
        <color rgb="FF85A644"/>
      </font>
    </dxf>
    <dxf>
      <font>
        <b/>
        <i val="0"/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b/>
        <i val="0"/>
        <color rgb="FF85A644"/>
      </font>
    </dxf>
    <dxf>
      <font>
        <b/>
        <i val="0"/>
        <color rgb="FFFF0000"/>
      </font>
    </dxf>
    <dxf>
      <font>
        <b/>
        <i val="0"/>
        <color rgb="FF85A644"/>
      </font>
    </dxf>
    <dxf>
      <font>
        <b/>
        <i val="0"/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b/>
        <i val="0"/>
        <color rgb="FF85A644"/>
      </font>
    </dxf>
    <dxf>
      <font>
        <b/>
        <i val="0"/>
        <color rgb="FFFF0000"/>
      </font>
    </dxf>
    <dxf>
      <font>
        <b/>
        <i val="0"/>
        <color rgb="FF85A644"/>
      </font>
    </dxf>
    <dxf>
      <font>
        <b/>
        <i val="0"/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367396</xdr:rowOff>
    </xdr:from>
    <xdr:to>
      <xdr:col>8</xdr:col>
      <xdr:colOff>13608</xdr:colOff>
      <xdr:row>23</xdr:row>
      <xdr:rowOff>267631</xdr:rowOff>
    </xdr:to>
    <xdr:pic>
      <xdr:nvPicPr>
        <xdr:cNvPr id="2" name="Imag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924" t="9699" r="12060" b="122"/>
        <a:stretch/>
      </xdr:blipFill>
      <xdr:spPr>
        <a:xfrm>
          <a:off x="0" y="1143003"/>
          <a:ext cx="5878287" cy="5275057"/>
        </a:xfrm>
        <a:prstGeom prst="rect">
          <a:avLst/>
        </a:prstGeom>
      </xdr:spPr>
    </xdr:pic>
    <xdr:clientData/>
  </xdr:twoCellAnchor>
  <xdr:twoCellAnchor editAs="oneCell">
    <xdr:from>
      <xdr:col>16</xdr:col>
      <xdr:colOff>252464</xdr:colOff>
      <xdr:row>18</xdr:row>
      <xdr:rowOff>55937</xdr:rowOff>
    </xdr:from>
    <xdr:to>
      <xdr:col>17</xdr:col>
      <xdr:colOff>288167</xdr:colOff>
      <xdr:row>21</xdr:row>
      <xdr:rowOff>119681</xdr:rowOff>
    </xdr:to>
    <xdr:pic macro="[0]!Refresh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49089" y="3637337"/>
          <a:ext cx="797703" cy="759069"/>
        </a:xfrm>
        <a:prstGeom prst="rect">
          <a:avLst/>
        </a:prstGeom>
      </xdr:spPr>
    </xdr:pic>
    <xdr:clientData/>
  </xdr:twoCellAnchor>
  <xdr:twoCellAnchor editAs="oneCell">
    <xdr:from>
      <xdr:col>16</xdr:col>
      <xdr:colOff>293310</xdr:colOff>
      <xdr:row>21</xdr:row>
      <xdr:rowOff>155710</xdr:rowOff>
    </xdr:from>
    <xdr:to>
      <xdr:col>17</xdr:col>
      <xdr:colOff>250701</xdr:colOff>
      <xdr:row>24</xdr:row>
      <xdr:rowOff>173432</xdr:rowOff>
    </xdr:to>
    <xdr:pic macro="[0]!Transfert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389935" y="4432435"/>
          <a:ext cx="719391" cy="7035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1</xdr:row>
          <xdr:rowOff>47625</xdr:rowOff>
        </xdr:from>
        <xdr:to>
          <xdr:col>3</xdr:col>
          <xdr:colOff>1533525</xdr:colOff>
          <xdr:row>3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Refresh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2</xdr:row>
          <xdr:rowOff>47625</xdr:rowOff>
        </xdr:from>
        <xdr:to>
          <xdr:col>3</xdr:col>
          <xdr:colOff>1533525</xdr:colOff>
          <xdr:row>4</xdr:row>
          <xdr:rowOff>57150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Refresh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2</xdr:row>
          <xdr:rowOff>47625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Refresh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2</xdr:row>
          <xdr:rowOff>47625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Refresh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2</xdr:row>
          <xdr:rowOff>47625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Refresh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2</xdr:row>
          <xdr:rowOff>47625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Refresh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2</xdr:row>
          <xdr:rowOff>47625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Refresh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2</xdr:row>
          <xdr:rowOff>47625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Refresh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2</xdr:row>
          <xdr:rowOff>47625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Refresh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2</xdr:row>
          <xdr:rowOff>47625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Refresh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2</xdr:row>
          <xdr:rowOff>47625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Refresh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2</xdr:row>
          <xdr:rowOff>47625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Refresh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2</xdr:row>
          <xdr:rowOff>47625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Refresh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2</xdr:row>
          <xdr:rowOff>47625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Refresh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2</xdr:row>
          <xdr:rowOff>47625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Refresh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2</xdr:row>
          <xdr:rowOff>47625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Refresh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2</xdr:row>
          <xdr:rowOff>47625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Refresh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2</xdr:row>
          <xdr:rowOff>47625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Refresh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2</xdr:row>
          <xdr:rowOff>47625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Refresh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2</xdr:row>
          <xdr:rowOff>47625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Refresh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2</xdr:row>
          <xdr:rowOff>47625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Refresh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2</xdr:row>
          <xdr:rowOff>47625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Refresh size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rgb="FFFF0000"/>
    <pageSetUpPr autoPageBreaks="0"/>
  </sheetPr>
  <dimension ref="A1:U61"/>
  <sheetViews>
    <sheetView tabSelected="1" zoomScale="70" zoomScaleNormal="70" workbookViewId="0">
      <selection activeCell="O9" sqref="O9:R9"/>
    </sheetView>
  </sheetViews>
  <sheetFormatPr baseColWidth="10" defaultRowHeight="15"/>
  <cols>
    <col min="1" max="6" width="11.42578125" style="1"/>
    <col min="7" max="7" width="11.85546875" style="1" customWidth="1"/>
    <col min="8" max="8" width="7.5703125" style="1" customWidth="1"/>
    <col min="9" max="9" width="4.140625" style="1" customWidth="1"/>
    <col min="10" max="10" width="11.42578125" style="1"/>
    <col min="11" max="11" width="13.7109375" style="1" customWidth="1"/>
    <col min="12" max="13" width="11.42578125" style="1"/>
    <col min="14" max="14" width="1.5703125" style="1" customWidth="1"/>
    <col min="15" max="18" width="11.42578125" style="1"/>
    <col min="19" max="19" width="4.28515625" style="1" customWidth="1"/>
    <col min="20" max="16384" width="11.42578125" style="1"/>
  </cols>
  <sheetData>
    <row r="1" spans="1:19" ht="30" customHeight="1">
      <c r="A1" s="160" t="s">
        <v>94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2"/>
    </row>
    <row r="2" spans="1:19" ht="30.75" customHeight="1">
      <c r="A2" s="160"/>
      <c r="B2" s="161"/>
      <c r="C2" s="161"/>
      <c r="D2" s="161"/>
      <c r="E2" s="161"/>
      <c r="F2" s="161"/>
      <c r="G2" s="161"/>
      <c r="H2" s="161"/>
      <c r="I2" s="161"/>
      <c r="J2" s="161"/>
      <c r="K2" s="161"/>
      <c r="L2" s="161"/>
      <c r="M2" s="161"/>
      <c r="N2" s="161"/>
      <c r="O2" s="161"/>
      <c r="P2" s="161"/>
      <c r="Q2" s="161"/>
      <c r="R2" s="161"/>
      <c r="S2" s="162"/>
    </row>
    <row r="3" spans="1:19" ht="31.5">
      <c r="A3" s="2"/>
      <c r="B3" s="3"/>
      <c r="C3" s="3"/>
      <c r="D3" s="3"/>
      <c r="E3" s="3"/>
      <c r="F3" s="3"/>
      <c r="G3" s="3"/>
      <c r="H3" s="3"/>
      <c r="I3" s="3"/>
      <c r="J3" s="3"/>
      <c r="K3" s="3"/>
      <c r="L3" s="4"/>
      <c r="M3" s="4"/>
      <c r="N3" s="4"/>
      <c r="O3" s="4"/>
      <c r="P3" s="4"/>
      <c r="Q3" s="4"/>
      <c r="R3" s="4"/>
      <c r="S3" s="145"/>
    </row>
    <row r="4" spans="1:19" ht="24" thickBot="1">
      <c r="A4" s="2" t="s">
        <v>85</v>
      </c>
      <c r="B4" s="156" t="s">
        <v>96</v>
      </c>
      <c r="C4" s="3"/>
      <c r="D4" s="3" t="s">
        <v>95</v>
      </c>
      <c r="E4" s="157" t="str">
        <f ca="1">_xll.DBR(Server&amp;"z_Client_Properties","Language",_xll.TM1USER(xServer))</f>
        <v>French</v>
      </c>
      <c r="F4" s="3"/>
      <c r="G4" s="3"/>
      <c r="H4" s="3"/>
      <c r="I4" s="3"/>
      <c r="J4" s="155" t="str">
        <f>IF(IDX_LANG="English","I - Select language :","I - Choix de la langue :")</f>
        <v>I - Select language :</v>
      </c>
      <c r="K4" s="6"/>
      <c r="L4" s="6"/>
      <c r="M4" s="6"/>
      <c r="N4" s="3"/>
      <c r="O4" s="167" t="s">
        <v>100</v>
      </c>
      <c r="P4" s="167"/>
      <c r="Q4" s="167"/>
      <c r="R4" s="167"/>
      <c r="S4" s="145"/>
    </row>
    <row r="5" spans="1:19" ht="15" customHeight="1" thickTop="1">
      <c r="A5" s="2" t="s">
        <v>86</v>
      </c>
      <c r="B5" s="3" t="str">
        <f>LEFT(Server,LEN(Server)-1)</f>
        <v>tango_core_model</v>
      </c>
      <c r="C5" s="3"/>
      <c r="D5" s="154" t="s">
        <v>89</v>
      </c>
      <c r="E5" s="3" t="str">
        <f>IF($O$4="English",$O$4,"French")</f>
        <v>English</v>
      </c>
      <c r="F5" s="3"/>
      <c r="G5" s="3"/>
      <c r="H5" s="3"/>
      <c r="I5" s="3"/>
      <c r="J5" s="3"/>
      <c r="K5" s="3"/>
      <c r="L5" s="4"/>
      <c r="M5" s="4"/>
      <c r="N5" s="4"/>
      <c r="O5" s="4"/>
      <c r="P5" s="4"/>
      <c r="Q5" s="4"/>
      <c r="R5" s="4"/>
      <c r="S5" s="5"/>
    </row>
    <row r="6" spans="1:19" ht="15" customHeight="1">
      <c r="A6" s="2"/>
      <c r="B6" s="3"/>
      <c r="C6" s="3"/>
      <c r="D6" s="3"/>
      <c r="E6" s="3"/>
      <c r="F6" s="3"/>
      <c r="G6" s="3"/>
      <c r="H6" s="3"/>
      <c r="I6" s="3"/>
      <c r="J6" s="3"/>
      <c r="K6" s="3"/>
      <c r="L6" s="4"/>
      <c r="M6" s="4"/>
      <c r="N6" s="4"/>
      <c r="O6" s="4"/>
      <c r="P6" s="4"/>
      <c r="Q6" s="4"/>
      <c r="R6" s="4"/>
      <c r="S6" s="5"/>
    </row>
    <row r="7" spans="1:19" ht="24" thickBot="1">
      <c r="A7" s="2" t="s">
        <v>87</v>
      </c>
      <c r="B7" s="3" t="str">
        <f ca="1">_xll.DBR(Server&amp;"z_admin_Param","YEAR_ACTUAL","STR_VAR1")</f>
        <v>2016</v>
      </c>
      <c r="C7" s="3"/>
      <c r="D7" s="3"/>
      <c r="E7" s="3"/>
      <c r="F7" s="3"/>
      <c r="G7" s="3"/>
      <c r="H7" s="3"/>
      <c r="I7" s="3"/>
      <c r="J7" s="155" t="str">
        <f>IF(IDX_LANG="English","II - Select criteria :","II - Choix des critères :")</f>
        <v>II - Select criteria :</v>
      </c>
      <c r="K7" s="6"/>
      <c r="L7" s="6"/>
      <c r="M7" s="6"/>
      <c r="N7" s="3"/>
      <c r="O7" s="3"/>
      <c r="P7" s="3"/>
      <c r="Q7" s="3"/>
      <c r="R7" s="3"/>
      <c r="S7" s="7"/>
    </row>
    <row r="8" spans="1:19" ht="16.5" thickTop="1" thickBot="1">
      <c r="A8" s="2" t="s">
        <v>88</v>
      </c>
      <c r="B8" s="3" t="str">
        <f ca="1">_xll.DBR(Server&amp;"z_admin_Param","MONTH_ACTUAL","STR_VAR1")</f>
        <v>2016.09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7"/>
    </row>
    <row r="9" spans="1:19" ht="21.75" thickBot="1">
      <c r="A9" s="146" t="s">
        <v>26</v>
      </c>
      <c r="B9" s="146"/>
      <c r="C9" s="146" t="s">
        <v>66</v>
      </c>
      <c r="D9" s="147" t="str">
        <f ca="1">_xll.DBRA(Server&amp;"Phase",$C9,IDX_LANG)</f>
        <v>Actual</v>
      </c>
      <c r="E9" s="147" t="str">
        <f>C9</f>
        <v>ACT_TOT</v>
      </c>
      <c r="F9" s="148" t="str">
        <f ca="1">D9</f>
        <v>Actual</v>
      </c>
      <c r="G9" s="149"/>
      <c r="H9" s="3"/>
      <c r="I9" s="3"/>
      <c r="J9" s="3"/>
      <c r="K9" s="8" t="str">
        <f>IF(IDX_LANG="English","Management Organization","Organisation Managériale")</f>
        <v>Management Organization</v>
      </c>
      <c r="L9" s="3"/>
      <c r="M9" s="3"/>
      <c r="N9" s="3"/>
      <c r="O9" s="166" t="str">
        <f ca="1">_xll.SUBNM(Server&amp;"Management_Organization","","")</f>
        <v/>
      </c>
      <c r="P9" s="166"/>
      <c r="Q9" s="166"/>
      <c r="R9" s="166"/>
      <c r="S9" s="7"/>
    </row>
    <row r="10" spans="1:19" ht="21.75" thickBot="1">
      <c r="A10" s="146" t="s">
        <v>67</v>
      </c>
      <c r="B10" s="146" t="str">
        <f ca="1">_xll.DBR(Server&amp;"z_Admin_Param","BUDGET_VERSION_BUDGET_FORECAST","STR_VAR1")</f>
        <v>VF</v>
      </c>
      <c r="C10" s="146" t="str">
        <f ca="1">"BUDG"&amp;IF(B10="VF","","_"&amp;B10)&amp;"_TOT"</f>
        <v>BUDG_TOT</v>
      </c>
      <c r="D10" s="147" t="str">
        <f ca="1">_xll.DBRA(Server&amp;"Phase",$C10,IDX_LANG)</f>
        <v>Budget</v>
      </c>
      <c r="E10" s="147" t="str">
        <f ca="1">C10</f>
        <v>BUDG_TOT</v>
      </c>
      <c r="F10" s="148" t="str">
        <f ca="1">D10</f>
        <v>Budget</v>
      </c>
      <c r="G10" s="148" t="str">
        <f ca="1">D9</f>
        <v>Actual</v>
      </c>
      <c r="H10" s="3"/>
      <c r="I10" s="3"/>
      <c r="J10" s="3"/>
      <c r="K10" s="8" t="str">
        <f>IF(IDX_LANG="English","Activity","Activité")</f>
        <v>Activity</v>
      </c>
      <c r="L10" s="3"/>
      <c r="M10" s="3"/>
      <c r="N10" s="3"/>
      <c r="O10" s="166" t="str">
        <f ca="1">_xll.SUBNM(Server&amp;"Activity","PMM_ACTIVITY","PMM Transit activities",IDX_LANG)</f>
        <v>PMM Transit activities</v>
      </c>
      <c r="P10" s="166"/>
      <c r="Q10" s="166"/>
      <c r="R10" s="166"/>
      <c r="S10" s="7"/>
    </row>
    <row r="11" spans="1:19" ht="21.75" thickBot="1">
      <c r="A11" s="146" t="s">
        <v>68</v>
      </c>
      <c r="B11" s="146" t="str">
        <f ca="1">_xll.DBR(Server&amp;"z_Admin_Param","FORECAST_1_VERSION_BUDGET_FORECAST","STR_VAR1")</f>
        <v>VF</v>
      </c>
      <c r="C11" s="146" t="str">
        <f ca="1">"FC_1"&amp;IF(B11="VF","","_"&amp;B11)&amp;"_TOT"</f>
        <v>FC_1_TOT</v>
      </c>
      <c r="D11" s="147" t="str">
        <f ca="1">_xll.DBRA(Server&amp;"Phase",$C11,IDX_LANG)</f>
        <v>Forecast 1</v>
      </c>
      <c r="E11" s="147" t="str">
        <f ca="1">C11</f>
        <v>FC_1_TOT</v>
      </c>
      <c r="F11" s="148" t="str">
        <f>D14</f>
        <v>N</v>
      </c>
      <c r="G11" s="148" t="str">
        <f>D13</f>
        <v>N-1</v>
      </c>
      <c r="H11" s="3"/>
      <c r="I11" s="3"/>
      <c r="J11" s="3"/>
      <c r="K11" s="9" t="str">
        <f>IF(IDX_LANG="English","Currency","Devise")</f>
        <v>Currency</v>
      </c>
      <c r="L11" s="3"/>
      <c r="M11" s="3"/>
      <c r="N11" s="3"/>
      <c r="O11" s="166" t="s">
        <v>0</v>
      </c>
      <c r="P11" s="166"/>
      <c r="Q11" s="166"/>
      <c r="R11" s="166"/>
      <c r="S11" s="7"/>
    </row>
    <row r="12" spans="1:19" ht="21.75" thickBot="1">
      <c r="A12" s="150" t="s">
        <v>69</v>
      </c>
      <c r="B12" s="146" t="str">
        <f ca="1">_xll.DBR(Server&amp;"z_Admin_Param","FORECAST_2_VERSION_BUDGET_FORECAST","STR_VAR1")</f>
        <v>VC</v>
      </c>
      <c r="C12" s="146" t="str">
        <f ca="1">"FC_2"&amp;IF(B12="VF","","_"&amp;B12)&amp;"_TOT"</f>
        <v>FC_2_VC_TOT</v>
      </c>
      <c r="D12" s="147" t="str">
        <f ca="1">_xll.DBRA(Server&amp;"Phase",$C12,IDX_LANG)</f>
        <v>Forecast 2 V current</v>
      </c>
      <c r="E12" s="147" t="str">
        <f ca="1">C12</f>
        <v>FC_2_VC_TOT</v>
      </c>
      <c r="F12" s="151"/>
      <c r="G12" s="149"/>
      <c r="H12" s="3"/>
      <c r="I12" s="3"/>
      <c r="J12" s="3"/>
      <c r="K12" s="9" t="str">
        <f>IF(IDX_LANG="English","Period","Période")</f>
        <v>Period</v>
      </c>
      <c r="L12" s="3"/>
      <c r="M12" s="3"/>
      <c r="N12" s="3"/>
      <c r="O12" s="166" t="str">
        <f ca="1">_xll.SUBNM(Server&amp;"Period","","2016.08_YTD")</f>
        <v>2016.08_YTD</v>
      </c>
      <c r="P12" s="166"/>
      <c r="Q12" s="166"/>
      <c r="R12" s="166"/>
      <c r="S12" s="7"/>
    </row>
    <row r="13" spans="1:19" ht="21.75" thickBot="1">
      <c r="A13" s="150" t="s">
        <v>70</v>
      </c>
      <c r="B13" s="146"/>
      <c r="C13" s="146" t="str">
        <f ca="1">E13</f>
        <v>2015</v>
      </c>
      <c r="D13" s="152" t="s">
        <v>71</v>
      </c>
      <c r="E13" s="153" t="str">
        <f ca="1">FIXED(ActualYear-1,0,TRUE)</f>
        <v>2015</v>
      </c>
      <c r="F13" s="149" t="s">
        <v>90</v>
      </c>
      <c r="G13" s="149" t="str">
        <f ca="1">_xll.DBRA(Server&amp;"Period",IDX_PERIOD,F13)</f>
        <v>2015.08_YTD</v>
      </c>
      <c r="H13" s="3"/>
      <c r="I13" s="3"/>
      <c r="J13" s="3"/>
      <c r="K13" s="9" t="str">
        <f>IF(IDX_LANG="English","Ranking","Classement")</f>
        <v>Ranking</v>
      </c>
      <c r="L13" s="3"/>
      <c r="M13" s="3"/>
      <c r="N13" s="3"/>
      <c r="O13" s="166" t="s">
        <v>65</v>
      </c>
      <c r="P13" s="166"/>
      <c r="Q13" s="166"/>
      <c r="R13" s="166"/>
      <c r="S13" s="7"/>
    </row>
    <row r="14" spans="1:19" ht="21.75" thickBot="1">
      <c r="A14" s="150"/>
      <c r="B14" s="146"/>
      <c r="C14" s="146" t="str">
        <f ca="1">E14</f>
        <v>2016</v>
      </c>
      <c r="D14" s="152" t="s">
        <v>12</v>
      </c>
      <c r="E14" s="153" t="str">
        <f ca="1">ActualYear</f>
        <v>2016</v>
      </c>
      <c r="F14" s="149"/>
      <c r="G14" s="149" t="str">
        <f ca="1">IDX_PERIOD</f>
        <v>2016.08_YTD</v>
      </c>
      <c r="H14" s="3"/>
      <c r="I14" s="3"/>
      <c r="J14" s="3"/>
      <c r="K14" s="9" t="str">
        <f>IF(IDX_LANG="English","Comparison phases","Phases de comparaison")</f>
        <v>Comparison phases</v>
      </c>
      <c r="L14" s="3"/>
      <c r="M14" s="3"/>
      <c r="N14" s="3"/>
      <c r="O14" s="166" t="str">
        <f ca="1">F10</f>
        <v>Budget</v>
      </c>
      <c r="P14" s="166"/>
      <c r="Q14" s="168" t="str">
        <f>F11</f>
        <v>N</v>
      </c>
      <c r="R14" s="168"/>
      <c r="S14" s="7"/>
    </row>
    <row r="15" spans="1:19" ht="21.75" thickBot="1">
      <c r="A15" s="150"/>
      <c r="B15" s="146"/>
      <c r="C15" s="146" t="str">
        <f ca="1">E15</f>
        <v>2017</v>
      </c>
      <c r="D15" s="152" t="s">
        <v>72</v>
      </c>
      <c r="E15" s="153" t="str">
        <f ca="1">FIXED(ActualYear+1,0,TRUE)</f>
        <v>2017</v>
      </c>
      <c r="F15" s="149" t="s">
        <v>91</v>
      </c>
      <c r="G15" s="149" t="str">
        <f ca="1">_xll.DBRA(Server&amp;"Period",IDX_PERIOD,F15)</f>
        <v>2017.08_YTD</v>
      </c>
      <c r="H15" s="3"/>
      <c r="I15" s="3"/>
      <c r="J15" s="3"/>
      <c r="K15" s="9"/>
      <c r="L15" s="3"/>
      <c r="M15" s="3"/>
      <c r="N15" s="3"/>
      <c r="O15" s="166" t="str">
        <f ca="1">G10</f>
        <v>Actual</v>
      </c>
      <c r="P15" s="166"/>
      <c r="Q15" s="168" t="s">
        <v>71</v>
      </c>
      <c r="R15" s="168"/>
      <c r="S15" s="7"/>
    </row>
    <row r="16" spans="1:19" ht="21.75" thickBot="1">
      <c r="A16" s="2"/>
      <c r="B16" s="3"/>
      <c r="C16" s="3"/>
      <c r="D16" s="3"/>
      <c r="E16" s="3"/>
      <c r="F16" s="3"/>
      <c r="G16" s="3"/>
      <c r="H16" s="3"/>
      <c r="I16" s="3"/>
      <c r="J16" s="3"/>
      <c r="K16" s="9" t="str">
        <f>IF(IDX_LANG="English","Input date","Inscire la date")</f>
        <v>Input date</v>
      </c>
      <c r="L16" s="3"/>
      <c r="M16" s="3"/>
      <c r="N16" s="3"/>
      <c r="O16" s="163">
        <v>42263</v>
      </c>
      <c r="P16" s="164"/>
      <c r="Q16" s="164"/>
      <c r="R16" s="165"/>
      <c r="S16" s="7"/>
    </row>
    <row r="17" spans="1:19" ht="21">
      <c r="A17" s="2"/>
      <c r="B17" s="3"/>
      <c r="C17" s="154" t="s">
        <v>92</v>
      </c>
      <c r="D17" s="3" t="str">
        <f ca="1">VLOOKUP(IDX_PERIOD_COMP_N_1,$D$13:$G$15,4,FALSE)</f>
        <v>2016.08_YTD</v>
      </c>
      <c r="E17" s="3"/>
      <c r="F17" s="3"/>
      <c r="G17" s="3"/>
      <c r="H17" s="3"/>
      <c r="I17" s="3"/>
      <c r="J17" s="3"/>
      <c r="K17" s="9"/>
      <c r="L17" s="3"/>
      <c r="M17" s="3"/>
      <c r="N17" s="3"/>
      <c r="O17" s="144"/>
      <c r="P17" s="144"/>
      <c r="Q17" s="144"/>
      <c r="R17" s="144"/>
      <c r="S17" s="7"/>
    </row>
    <row r="18" spans="1:19" ht="21">
      <c r="A18" s="2"/>
      <c r="B18" s="3"/>
      <c r="C18" s="154" t="s">
        <v>93</v>
      </c>
      <c r="D18" s="3" t="str">
        <f ca="1">VLOOKUP(IDX_PERIOD_COMP_N_2,$D$13:$G$15,4,FALSE)</f>
        <v>2015.08_YTD</v>
      </c>
      <c r="E18" s="3"/>
      <c r="F18" s="3"/>
      <c r="G18" s="3"/>
      <c r="H18" s="3"/>
      <c r="I18" s="3"/>
      <c r="J18" s="3"/>
      <c r="K18" s="9"/>
      <c r="L18" s="3"/>
      <c r="M18" s="3"/>
      <c r="N18" s="3"/>
      <c r="O18" s="144"/>
      <c r="P18" s="144"/>
      <c r="Q18" s="144"/>
      <c r="R18" s="144"/>
      <c r="S18" s="7"/>
    </row>
    <row r="19" spans="1:19">
      <c r="A19" s="2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7"/>
    </row>
    <row r="20" spans="1:19" ht="24" thickBot="1">
      <c r="A20" s="2"/>
      <c r="B20" s="3"/>
      <c r="C20" s="3"/>
      <c r="D20" s="3"/>
      <c r="E20" s="3"/>
      <c r="F20" s="3"/>
      <c r="G20" s="3"/>
      <c r="H20" s="3"/>
      <c r="I20" s="3"/>
      <c r="J20" s="155" t="str">
        <f>IF(IDX_LANG="English","III - Update data :","III - Mise à jour des données :")</f>
        <v>III - Update data :</v>
      </c>
      <c r="K20" s="6"/>
      <c r="L20" s="6"/>
      <c r="M20" s="6"/>
      <c r="N20" s="3"/>
      <c r="O20" s="3"/>
      <c r="P20" s="3"/>
      <c r="Q20" s="3"/>
      <c r="R20" s="3"/>
      <c r="S20" s="7"/>
    </row>
    <row r="21" spans="1:19" ht="15.75" thickTop="1">
      <c r="A21" s="2"/>
      <c r="B21" s="3"/>
      <c r="C21" s="3"/>
      <c r="D21" s="3"/>
      <c r="E21" s="3"/>
      <c r="F21" s="3"/>
      <c r="G21" s="3"/>
      <c r="H21" s="3"/>
      <c r="I21" s="3"/>
      <c r="J21" s="3"/>
      <c r="K21" s="10"/>
      <c r="L21" s="3"/>
      <c r="M21" s="11"/>
      <c r="N21" s="11"/>
      <c r="O21" s="3"/>
      <c r="P21" s="3"/>
      <c r="Q21" s="3"/>
      <c r="R21" s="3"/>
      <c r="S21" s="7"/>
    </row>
    <row r="22" spans="1:19">
      <c r="A22" s="2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7"/>
    </row>
    <row r="23" spans="1:19">
      <c r="A23" s="2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7"/>
    </row>
    <row r="24" spans="1:19" ht="24" thickBot="1">
      <c r="A24" s="2"/>
      <c r="B24" s="3"/>
      <c r="C24" s="3"/>
      <c r="D24" s="3"/>
      <c r="E24" s="3"/>
      <c r="F24" s="3"/>
      <c r="G24" s="3"/>
      <c r="H24" s="3"/>
      <c r="I24" s="3"/>
      <c r="J24" s="155" t="str">
        <f>IF(IDX_LANG="English","IV - Produce PPT :","IV - Production du PPT :")</f>
        <v>IV - Produce PPT :</v>
      </c>
      <c r="K24" s="6"/>
      <c r="L24" s="6"/>
      <c r="M24" s="6"/>
      <c r="N24" s="3"/>
      <c r="O24" s="3"/>
      <c r="P24" s="3"/>
      <c r="Q24" s="3"/>
      <c r="R24" s="3"/>
      <c r="S24" s="7"/>
    </row>
    <row r="25" spans="1:19" ht="15.75" thickTop="1">
      <c r="A25" s="2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7"/>
    </row>
    <row r="26" spans="1:19">
      <c r="A26" s="2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7"/>
    </row>
    <row r="27" spans="1:19" ht="15.75" thickBot="1">
      <c r="A27" s="12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4"/>
    </row>
    <row r="42" spans="8:21"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spans="8:21"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spans="8:21"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8:21"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</row>
    <row r="46" spans="8:21"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spans="8:21"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</row>
    <row r="48" spans="8:21"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spans="8:21"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</row>
    <row r="50" spans="8:21"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</row>
    <row r="51" spans="8:21"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</row>
    <row r="52" spans="8:21"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</row>
    <row r="53" spans="8:21"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spans="8:21"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</row>
    <row r="55" spans="8:21"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</row>
    <row r="56" spans="8:21"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</row>
    <row r="57" spans="8:21"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spans="8:21"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spans="8:21"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spans="8:21"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</row>
    <row r="61" spans="8:21"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</row>
  </sheetData>
  <sheetProtection formatColumns="0" formatRows="0" selectLockedCells="1"/>
  <protectedRanges>
    <protectedRange sqref="O4:S4 O16:R18 O9:R13 S3" name="Plage2"/>
    <protectedRange sqref="O13" name="Plage1"/>
  </protectedRanges>
  <mergeCells count="12">
    <mergeCell ref="A1:S2"/>
    <mergeCell ref="O16:R16"/>
    <mergeCell ref="O10:R10"/>
    <mergeCell ref="O4:R4"/>
    <mergeCell ref="O9:R9"/>
    <mergeCell ref="O11:R11"/>
    <mergeCell ref="O12:R12"/>
    <mergeCell ref="O13:R13"/>
    <mergeCell ref="O14:P14"/>
    <mergeCell ref="Q14:R14"/>
    <mergeCell ref="O15:P15"/>
    <mergeCell ref="Q15:R15"/>
  </mergeCells>
  <dataValidations disablePrompts="1" count="5">
    <dataValidation type="list" allowBlank="1" showInputMessage="1" showErrorMessage="1" sqref="O13">
      <formula1>"in variance (in %),in variance (amount)"</formula1>
    </dataValidation>
    <dataValidation type="list" allowBlank="1" showInputMessage="1" showErrorMessage="1" sqref="O11:R11">
      <formula1>"KLCL,LCL,KEUR,EUR"</formula1>
    </dataValidation>
    <dataValidation type="list" allowBlank="1" showInputMessage="1" showErrorMessage="1" sqref="O4:R4">
      <formula1>"Français,English"</formula1>
    </dataValidation>
    <dataValidation type="list" allowBlank="1" showInputMessage="1" showErrorMessage="1" sqref="O14:P15">
      <formula1>LIST_PHASES</formula1>
    </dataValidation>
    <dataValidation type="list" allowBlank="1" showInputMessage="1" showErrorMessage="1" sqref="Q14:R15">
      <formula1>LIST_YEARS</formula1>
    </dataValidation>
  </dataValidations>
  <pageMargins left="0.7" right="0.7" top="0.75" bottom="0.75" header="0.3" footer="0.3"/>
  <pageSetup paperSize="9" scale="8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C10"/>
  <sheetViews>
    <sheetView showGridLines="0" zoomScaleNormal="100" workbookViewId="0">
      <selection activeCell="C9" sqref="C9"/>
    </sheetView>
  </sheetViews>
  <sheetFormatPr baseColWidth="10" defaultRowHeight="15"/>
  <cols>
    <col min="1" max="1" width="15.42578125" bestFit="1" customWidth="1"/>
    <col min="3" max="3" width="73.85546875" customWidth="1"/>
  </cols>
  <sheetData>
    <row r="1" spans="1:3">
      <c r="A1" s="55" t="s">
        <v>1</v>
      </c>
      <c r="B1" s="54">
        <v>1</v>
      </c>
    </row>
    <row r="2" spans="1:3">
      <c r="A2" s="55" t="s">
        <v>2</v>
      </c>
      <c r="B2" s="54">
        <v>225</v>
      </c>
    </row>
    <row r="3" spans="1:3">
      <c r="A3" s="55" t="s">
        <v>3</v>
      </c>
      <c r="B3" s="54">
        <v>253</v>
      </c>
    </row>
    <row r="4" spans="1:3">
      <c r="A4" s="55" t="s">
        <v>4</v>
      </c>
      <c r="B4" s="54">
        <v>60</v>
      </c>
    </row>
    <row r="5" spans="1:3">
      <c r="A5" s="55" t="s">
        <v>5</v>
      </c>
      <c r="B5" s="54">
        <v>100</v>
      </c>
    </row>
    <row r="9" spans="1:3" ht="30">
      <c r="C9" s="74" t="str">
        <f ca="1">IF(IDX_LANG="English","Presentation ","Présentation ")&amp;[0]!IDX_MAN_ORG</f>
        <v>Presentation NETH_BM01</v>
      </c>
    </row>
    <row r="10" spans="1:3" ht="23.25">
      <c r="C10" s="75">
        <f>IDX_DATE</f>
        <v>42263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M37"/>
  <sheetViews>
    <sheetView showGridLines="0" zoomScale="70" zoomScaleNormal="70" workbookViewId="0">
      <selection activeCell="E18" sqref="E18:F22"/>
    </sheetView>
  </sheetViews>
  <sheetFormatPr baseColWidth="10" defaultRowHeight="15" outlineLevelRow="1"/>
  <cols>
    <col min="1" max="1" width="23.28515625" customWidth="1"/>
    <col min="2" max="2" width="16" customWidth="1"/>
    <col min="3" max="3" width="7.7109375" customWidth="1"/>
    <col min="4" max="4" width="41.28515625" customWidth="1"/>
    <col min="5" max="6" width="25.5703125" customWidth="1"/>
    <col min="7" max="9" width="17" customWidth="1"/>
    <col min="10" max="10" width="1.140625" customWidth="1"/>
    <col min="11" max="13" width="16" customWidth="1"/>
    <col min="14" max="15" width="14.85546875" customWidth="1"/>
    <col min="16" max="17" width="13.140625" customWidth="1"/>
    <col min="18" max="18" width="7.5703125" bestFit="1" customWidth="1"/>
    <col min="19" max="19" width="19.5703125" bestFit="1" customWidth="1"/>
    <col min="20" max="20" width="8.140625" bestFit="1" customWidth="1"/>
    <col min="21" max="21" width="12.42578125" bestFit="1" customWidth="1"/>
    <col min="22" max="22" width="14.42578125" bestFit="1" customWidth="1"/>
  </cols>
  <sheetData>
    <row r="1" spans="1:13">
      <c r="A1" s="55" t="s">
        <v>1</v>
      </c>
      <c r="B1" s="54">
        <v>3</v>
      </c>
    </row>
    <row r="2" spans="1:13">
      <c r="A2" s="55" t="s">
        <v>2</v>
      </c>
      <c r="B2" s="54">
        <v>90</v>
      </c>
    </row>
    <row r="3" spans="1:13">
      <c r="A3" s="55" t="s">
        <v>3</v>
      </c>
      <c r="B3" s="54">
        <v>145</v>
      </c>
    </row>
    <row r="4" spans="1:13">
      <c r="A4" s="55" t="s">
        <v>4</v>
      </c>
      <c r="B4" s="54">
        <v>270</v>
      </c>
      <c r="C4" s="81">
        <v>519.75</v>
      </c>
    </row>
    <row r="5" spans="1:13">
      <c r="A5" s="55" t="s">
        <v>5</v>
      </c>
      <c r="B5" s="83">
        <f ca="1">B4*C7</f>
        <v>476.49350649350652</v>
      </c>
      <c r="C5" s="81">
        <v>1051.5</v>
      </c>
    </row>
    <row r="7" spans="1:13">
      <c r="A7" s="55" t="s">
        <v>50</v>
      </c>
      <c r="B7" s="82">
        <f ca="1">B5/B4</f>
        <v>1.7647907647907648</v>
      </c>
      <c r="C7" s="81">
        <f ca="1">C5/C4</f>
        <v>1.7647907647907648</v>
      </c>
    </row>
    <row r="8" spans="1:13" outlineLevel="1"/>
    <row r="9" spans="1:13" outlineLevel="1">
      <c r="D9" s="3" t="s">
        <v>53</v>
      </c>
      <c r="E9" s="3"/>
      <c r="F9" s="3"/>
      <c r="G9" s="94">
        <f>IF(D14="in variance (in %)",1,0)</f>
        <v>0</v>
      </c>
    </row>
    <row r="10" spans="1:13" outlineLevel="1"/>
    <row r="11" spans="1:13" outlineLevel="1"/>
    <row r="12" spans="1:13" outlineLevel="1"/>
    <row r="13" spans="1:13" ht="21" outlineLevel="1">
      <c r="C13" s="17"/>
      <c r="D13" s="18" t="str">
        <f>IF(IDX_LANG="English","GROSS MARGIN","MARGE BRUTE")</f>
        <v>GROSS MARGIN</v>
      </c>
      <c r="E13" s="18"/>
      <c r="F13" s="18"/>
      <c r="G13" s="171" t="str">
        <f ca="1">IDX_PHASE&amp;" VS "&amp;IDX_PHASE_COMP1&amp;" "&amp;IDX_PERIOD_COMP_N_1&amp;" YTD"</f>
        <v>Actual VS Budget N YTD</v>
      </c>
      <c r="H13" s="171"/>
      <c r="I13" s="171"/>
      <c r="J13" s="17"/>
      <c r="K13" s="172" t="str">
        <f ca="1">_xll.SUBNM(Server&amp;"Legal_Organization","",IDX_MAN_ORG,IDX_LANG)&amp;" - "&amp;IDX_ACTIVITY</f>
        <v xml:space="preserve"> - PMM Transit activities</v>
      </c>
      <c r="L13" s="172"/>
      <c r="M13" s="172"/>
    </row>
    <row r="14" spans="1:13" ht="18" customHeight="1" outlineLevel="1">
      <c r="C14" s="17"/>
      <c r="D14" s="76" t="str">
        <f>IDX_SORT</f>
        <v>in variance (amount)</v>
      </c>
      <c r="E14" s="76"/>
      <c r="F14" s="76"/>
      <c r="G14" s="17"/>
      <c r="I14" s="17"/>
      <c r="J14" s="17"/>
      <c r="K14" s="172"/>
      <c r="L14" s="172"/>
      <c r="M14" s="172"/>
    </row>
    <row r="15" spans="1:13" ht="15.75" outlineLevel="1" thickBot="1"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9"/>
    </row>
    <row r="16" spans="1:13" ht="24.75" customHeight="1" outlineLevel="1" thickTop="1">
      <c r="C16" s="17"/>
      <c r="D16" s="20" t="str">
        <f>IF(IDX_LANG="English","In ","En ")&amp;IDX_CURRENCY</f>
        <v>In LCL</v>
      </c>
      <c r="E16" s="159"/>
      <c r="F16" s="159"/>
      <c r="G16" s="173" t="str">
        <f ca="1">IDX_PERIOD</f>
        <v>2016.08_YTD</v>
      </c>
      <c r="H16" s="173"/>
      <c r="I16" s="173"/>
      <c r="J16" s="21"/>
      <c r="K16" s="174" t="str">
        <f ca="1">IDX_PERIOD</f>
        <v>2016.08_YTD</v>
      </c>
      <c r="L16" s="175"/>
      <c r="M16" s="176"/>
    </row>
    <row r="17" spans="3:13" ht="17.25" outlineLevel="1">
      <c r="C17" s="177" t="str">
        <f>IF(IDX_LANG="English","THE FIVE LEAST PERFORMING","LES CINQ MOINS PERFORMANTS")</f>
        <v>THE FIVE LEAST PERFORMING</v>
      </c>
      <c r="D17" s="22" t="str">
        <f>IF(IDX_LANG="English","Contract","Contrat")</f>
        <v>Contract</v>
      </c>
      <c r="E17" s="23" t="str">
        <f ca="1">"Revenue " &amp; IDX_PHASE&amp;" "&amp;IF(LEFT(IDX_PERIOD,4)="F_YE",RIGHT(IDX_PERIOD,4),LEFT(IDX_PERIOD,4))</f>
        <v>Revenue Actual 2016</v>
      </c>
      <c r="F17" s="23" t="str">
        <f ca="1">"Revenue " &amp; IDX_PHASE_COMP1&amp;" "&amp;IF(LEFT(IDX_PERIOD_COMP1,4)="F_YE",RIGHT(IDX_PERIOD_COMP1,4),LEFT(IDX_PERIOD_COMP1,4))</f>
        <v>Revenue Budget 2016</v>
      </c>
      <c r="G17" s="23" t="str">
        <f ca="1">IDX_PHASE&amp;" "&amp;IF(LEFT(IDX_PERIOD,4)="F_YE",RIGHT(IDX_PERIOD,4),LEFT(IDX_PERIOD,4))</f>
        <v>Actual 2016</v>
      </c>
      <c r="H17" s="23" t="str">
        <f ca="1">IDX_PHASE_COMP1&amp;" "&amp;IF(LEFT(IDX_PERIOD_COMP1,4)="F_YE",RIGHT(IDX_PERIOD_COMP1,4),LEFT(IDX_PERIOD_COMP1,4))</f>
        <v>Budget 2016</v>
      </c>
      <c r="I17" s="24" t="s">
        <v>35</v>
      </c>
      <c r="J17" s="25"/>
      <c r="K17" s="26" t="str">
        <f ca="1">+G17</f>
        <v>Actual 2016</v>
      </c>
      <c r="L17" s="26" t="str">
        <f ca="1">+H17</f>
        <v>Budget 2016</v>
      </c>
      <c r="M17" s="27" t="str">
        <f>+I17</f>
        <v>Variance</v>
      </c>
    </row>
    <row r="18" spans="3:13" ht="37.5" customHeight="1" outlineLevel="1">
      <c r="C18" s="178"/>
      <c r="D18" s="28" t="str">
        <f ca="1">IF($G$9=1,DATA_01!AQ17,DATA_01!AP17)</f>
        <v>SRE</v>
      </c>
      <c r="E18" s="29">
        <f ca="1">VLOOKUP($D18,DATA_01!$B$36:$BS$51,2,0)</f>
        <v>37815519.609999999</v>
      </c>
      <c r="F18" s="29">
        <f ca="1">VLOOKUP($D18,DATA_01!$B$36:$BS$51,16,0)</f>
        <v>35939688.859999999</v>
      </c>
      <c r="G18" s="62">
        <f ca="1">VLOOKUP($D18,DATA_01!$B$36:$BS$51,13,0)</f>
        <v>3569583.0500000017</v>
      </c>
      <c r="H18" s="63">
        <f ca="1">VLOOKUP($D18,DATA_01!$B$36:$BS$51,27,0)</f>
        <v>4609698.3300000029</v>
      </c>
      <c r="I18" s="67">
        <f ca="1">+G18-H18</f>
        <v>-1040115.2800000012</v>
      </c>
      <c r="J18" s="17"/>
      <c r="K18" s="30">
        <f ca="1">VLOOKUP($D18,DATA_01!$B$36:$BS$51,14,0)</f>
        <v>9.4394658246506155E-2</v>
      </c>
      <c r="L18" s="31">
        <f ca="1">VLOOKUP($D18,DATA_01!$B$36:$BS$51,28,0)</f>
        <v>0.1282620544645417</v>
      </c>
      <c r="M18" s="32">
        <f ca="1">IFERROR((+K18-L18)*100,"")</f>
        <v>-3.3867396218035544</v>
      </c>
    </row>
    <row r="19" spans="3:13" ht="37.5" customHeight="1" outlineLevel="1">
      <c r="C19" s="178"/>
      <c r="D19" s="33" t="str">
        <f ca="1">IF($G$9=1,DATA_01!AQ18,DATA_01!AP18)</f>
        <v>SAN</v>
      </c>
      <c r="E19" s="34">
        <f ca="1">VLOOKUP($D19,DATA_01!$B$36:$BS$51,2,0)</f>
        <v>59952351.370000005</v>
      </c>
      <c r="F19" s="34">
        <f ca="1">VLOOKUP($D19,DATA_01!$B$36:$BS$51,16,0)</f>
        <v>55725419.469999999</v>
      </c>
      <c r="G19" s="64">
        <f ca="1">VLOOKUP($D19,DATA_01!$B$36:$BS$51,13,0)</f>
        <v>2459921.4600000046</v>
      </c>
      <c r="H19" s="65">
        <f ca="1">VLOOKUP($D19,DATA_01!$B$36:$BS$51,27,0)</f>
        <v>3355052.9699999951</v>
      </c>
      <c r="I19" s="68">
        <f t="shared" ref="I19:I22" ca="1" si="0">+G19-H19</f>
        <v>-895131.50999999046</v>
      </c>
      <c r="J19" s="17"/>
      <c r="K19" s="35">
        <f ca="1">VLOOKUP($D19,DATA_01!$B$36:$BS$51,14,0)</f>
        <v>4.1031275734598506E-2</v>
      </c>
      <c r="L19" s="36">
        <f ca="1">VLOOKUP($D19,DATA_01!$B$36:$BS$51,28,0)</f>
        <v>6.020686792328591E-2</v>
      </c>
      <c r="M19" s="37">
        <f t="shared" ref="M19:M22" ca="1" si="1">IFERROR((+K19-L19)*100,"")</f>
        <v>-1.9175592188687405</v>
      </c>
    </row>
    <row r="20" spans="3:13" ht="37.5" customHeight="1" outlineLevel="1">
      <c r="C20" s="178"/>
      <c r="D20" s="28" t="str">
        <f ca="1">IF($G$9=1,DATA_01!AQ19,DATA_01!AP19)</f>
        <v>Noord and Midden Zeeland</v>
      </c>
      <c r="E20" s="29">
        <f ca="1">VLOOKUP($D20,DATA_01!$B$36:$BS$51,2,0)</f>
        <v>16245045.390000001</v>
      </c>
      <c r="F20" s="29">
        <f ca="1">VLOOKUP($D20,DATA_01!$B$36:$BS$51,16,0)</f>
        <v>17074072.079999998</v>
      </c>
      <c r="G20" s="62">
        <f ca="1">VLOOKUP($D20,DATA_01!$B$36:$BS$51,13,0)</f>
        <v>1373445.9000000004</v>
      </c>
      <c r="H20" s="63">
        <f ca="1">VLOOKUP($D20,DATA_01!$B$36:$BS$51,27,0)</f>
        <v>1921825.0599999994</v>
      </c>
      <c r="I20" s="69">
        <f t="shared" ca="1" si="0"/>
        <v>-548379.15999999898</v>
      </c>
      <c r="J20" s="17"/>
      <c r="K20" s="30">
        <f ca="1">VLOOKUP($D20,DATA_01!$B$36:$BS$51,14,0)</f>
        <v>8.4545525545004357E-2</v>
      </c>
      <c r="L20" s="31">
        <f ca="1">VLOOKUP($D20,DATA_01!$B$36:$BS$51,28,0)</f>
        <v>0.1125580969200172</v>
      </c>
      <c r="M20" s="32">
        <f t="shared" ca="1" si="1"/>
        <v>-2.8012571375012838</v>
      </c>
    </row>
    <row r="21" spans="3:13" ht="37.5" customHeight="1" outlineLevel="1">
      <c r="C21" s="178"/>
      <c r="D21" s="33" t="str">
        <f ca="1">IF($G$9=1,DATA_01!AQ20,DATA_01!AP20)</f>
        <v>Almere</v>
      </c>
      <c r="E21" s="34">
        <f ca="1">VLOOKUP($D21,DATA_01!$B$36:$BS$51,2,0)</f>
        <v>20241018.910000004</v>
      </c>
      <c r="F21" s="34">
        <f ca="1">VLOOKUP($D21,DATA_01!$B$36:$BS$51,16,0)</f>
        <v>20793483.240000002</v>
      </c>
      <c r="G21" s="64">
        <f ca="1">VLOOKUP($D21,DATA_01!$B$36:$BS$51,13,0)</f>
        <v>624483.39000000525</v>
      </c>
      <c r="H21" s="65">
        <f ca="1">VLOOKUP($D21,DATA_01!$B$36:$BS$51,27,0)</f>
        <v>966130.38000000175</v>
      </c>
      <c r="I21" s="68">
        <f t="shared" ca="1" si="0"/>
        <v>-341646.9899999965</v>
      </c>
      <c r="J21" s="17"/>
      <c r="K21" s="35">
        <f ca="1">VLOOKUP($D21,DATA_01!$B$36:$BS$51,14,0)</f>
        <v>3.08523692792699E-2</v>
      </c>
      <c r="L21" s="36">
        <f ca="1">VLOOKUP($D21,DATA_01!$B$36:$BS$51,28,0)</f>
        <v>4.6463133129204456E-2</v>
      </c>
      <c r="M21" s="37">
        <f t="shared" ca="1" si="1"/>
        <v>-1.5610763849934557</v>
      </c>
    </row>
    <row r="22" spans="3:13" ht="37.5" customHeight="1" outlineLevel="1" thickBot="1">
      <c r="C22" s="179"/>
      <c r="D22" s="28" t="str">
        <f ca="1">IF($G$9=1,DATA_01!AQ21,DATA_01!AP21)</f>
        <v>Ijsselmond</v>
      </c>
      <c r="E22" s="38">
        <f ca="1">VLOOKUP($D22,DATA_01!$B$36:$BS$51,2,0)</f>
        <v>11138973.530000001</v>
      </c>
      <c r="F22" s="38">
        <f ca="1">VLOOKUP($D22,DATA_01!$B$36:$BS$51,16,0)</f>
        <v>11126383.559999999</v>
      </c>
      <c r="G22" s="66">
        <f ca="1">VLOOKUP($D22,DATA_01!$B$36:$BS$51,13,0)</f>
        <v>125785.65000000084</v>
      </c>
      <c r="H22" s="63">
        <f ca="1">VLOOKUP($D22,DATA_01!$B$36:$BS$51,27,0)</f>
        <v>332643.03999999748</v>
      </c>
      <c r="I22" s="69">
        <f t="shared" ca="1" si="0"/>
        <v>-206857.38999999664</v>
      </c>
      <c r="J22" s="17"/>
      <c r="K22" s="39">
        <f ca="1">VLOOKUP($D22,DATA_01!$B$36:$BS$51,14,0)</f>
        <v>1.1292391499201348E-2</v>
      </c>
      <c r="L22" s="40">
        <f ca="1">VLOOKUP($D22,DATA_01!$B$36:$BS$51,28,0)</f>
        <v>2.9896779866179404E-2</v>
      </c>
      <c r="M22" s="41">
        <f t="shared" ca="1" si="1"/>
        <v>-1.860438836697806</v>
      </c>
    </row>
    <row r="23" spans="3:13" ht="15.75" outlineLevel="1" thickTop="1"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70"/>
    </row>
    <row r="24" spans="3:13" ht="18.75" outlineLevel="1">
      <c r="C24" s="17"/>
      <c r="D24" s="20" t="str">
        <f>D16</f>
        <v>In LCL</v>
      </c>
      <c r="E24" s="159"/>
      <c r="F24" s="159"/>
      <c r="G24" s="173" t="str">
        <f t="shared" ref="G24:I24" ca="1" si="2">G16</f>
        <v>2016.08_YTD</v>
      </c>
      <c r="H24" s="173">
        <f t="shared" si="2"/>
        <v>0</v>
      </c>
      <c r="I24" s="173">
        <f t="shared" si="2"/>
        <v>0</v>
      </c>
      <c r="J24" s="17"/>
      <c r="K24" s="173" t="str">
        <f t="shared" ref="K24:M24" ca="1" si="3">K16</f>
        <v>2016.08_YTD</v>
      </c>
      <c r="L24" s="173">
        <f t="shared" si="3"/>
        <v>0</v>
      </c>
      <c r="M24" s="180">
        <f t="shared" si="3"/>
        <v>0</v>
      </c>
    </row>
    <row r="25" spans="3:13" ht="17.25" outlineLevel="1">
      <c r="C25" s="169" t="str">
        <f>IF(IDX_LANG="English","THE FIVE  MOST PERFORMING","LES CINQ MEILLEURS")</f>
        <v>THE FIVE  MOST PERFORMING</v>
      </c>
      <c r="D25" s="42" t="str">
        <f>IF(IDX_LANG="English","Contract","Contrat")</f>
        <v>Contract</v>
      </c>
      <c r="E25" s="43" t="str">
        <f ca="1">E17</f>
        <v>Revenue Actual 2016</v>
      </c>
      <c r="F25" s="43" t="str">
        <f ca="1">F17</f>
        <v>Revenue Budget 2016</v>
      </c>
      <c r="G25" s="43" t="str">
        <f ca="1">G17</f>
        <v>Actual 2016</v>
      </c>
      <c r="H25" s="43" t="str">
        <f ca="1">H17</f>
        <v>Budget 2016</v>
      </c>
      <c r="I25" s="42" t="s">
        <v>35</v>
      </c>
      <c r="J25" s="25"/>
      <c r="K25" s="42" t="str">
        <f ca="1">K17</f>
        <v>Actual 2016</v>
      </c>
      <c r="L25" s="43" t="str">
        <f ca="1">L17</f>
        <v>Budget 2016</v>
      </c>
      <c r="M25" s="71" t="str">
        <f>+I25</f>
        <v>Variance</v>
      </c>
    </row>
    <row r="26" spans="3:13" ht="36.75" customHeight="1" outlineLevel="1">
      <c r="C26" s="169"/>
      <c r="D26" s="28" t="str">
        <f ca="1">IF($G$9=1,DATA_01!AQ25,DATA_01!AP25)</f>
        <v>Amstelland Meerlanden</v>
      </c>
      <c r="E26" s="29">
        <f ca="1">VLOOKUP($D26,DATA_01!$B$36:$BS$51,2,0)</f>
        <v>58936543.899999991</v>
      </c>
      <c r="F26" s="29">
        <f ca="1">VLOOKUP($D26,DATA_01!$B$36:$BS$51,16,0)</f>
        <v>58308292.530000001</v>
      </c>
      <c r="G26" s="29">
        <f ca="1">VLOOKUP($D26,DATA_01!$B$36:$BS$51,13,0)</f>
        <v>14645480.609999992</v>
      </c>
      <c r="H26" s="44">
        <f ca="1">VLOOKUP($D26,DATA_01!$B$36:$BS$51,27,0)</f>
        <v>13541041.02</v>
      </c>
      <c r="I26" s="45">
        <f ca="1">+G26-H26</f>
        <v>1104439.5899999924</v>
      </c>
      <c r="J26" s="21"/>
      <c r="K26" s="46">
        <f ca="1">VLOOKUP($D26,DATA_01!$B$36:$BS$51,14,0)</f>
        <v>0.24849574883199071</v>
      </c>
      <c r="L26" s="31">
        <f ca="1">VLOOKUP($D26,DATA_01!$B$36:$BS$51,28,0)</f>
        <v>0.232231822138044</v>
      </c>
      <c r="M26" s="72">
        <f ca="1">IFERROR((+K26-L26)*100,"")</f>
        <v>1.6263926693946718</v>
      </c>
    </row>
    <row r="27" spans="3:13" ht="36.75" customHeight="1" outlineLevel="1">
      <c r="C27" s="169"/>
      <c r="D27" s="33" t="str">
        <f ca="1">IF($G$9=1,DATA_01!AQ26,DATA_01!AP26)</f>
        <v>Provincie Utrecht</v>
      </c>
      <c r="E27" s="34">
        <f ca="1">VLOOKUP($D27,DATA_01!$B$36:$BS$51,2,0)</f>
        <v>30028864.690000001</v>
      </c>
      <c r="F27" s="34">
        <f ca="1">VLOOKUP($D27,DATA_01!$B$36:$BS$51,16,0)</f>
        <v>29689610.279999997</v>
      </c>
      <c r="G27" s="34">
        <f ca="1">VLOOKUP($D27,DATA_01!$B$36:$BS$51,13,0)</f>
        <v>4023323.2800000031</v>
      </c>
      <c r="H27" s="34">
        <f ca="1">VLOOKUP($D27,DATA_01!$B$36:$BS$51,27,0)</f>
        <v>3088185.1999999974</v>
      </c>
      <c r="I27" s="48">
        <f t="shared" ref="I27:I30" ca="1" si="4">+G27-H27</f>
        <v>935138.08000000566</v>
      </c>
      <c r="J27" s="21"/>
      <c r="K27" s="49">
        <f ca="1">VLOOKUP($D27,DATA_01!$B$36:$BS$51,14,0)</f>
        <v>0.1339818645005191</v>
      </c>
      <c r="L27" s="36">
        <f ca="1">VLOOKUP($D27,DATA_01!$B$36:$BS$51,28,0)</f>
        <v>0.10401568666195364</v>
      </c>
      <c r="M27" s="73">
        <f t="shared" ref="M27:M30" ca="1" si="5">IFERROR((+K27-L27)*100,"")</f>
        <v>2.9966177838565464</v>
      </c>
    </row>
    <row r="28" spans="3:13" ht="36.75" customHeight="1" outlineLevel="1">
      <c r="C28" s="169"/>
      <c r="D28" s="28" t="str">
        <f ca="1">IF($G$9=1,DATA_01!AQ27,DATA_01!AP27)</f>
        <v>Hoekse-Waarde Goeree Overflakkee</v>
      </c>
      <c r="E28" s="29">
        <f ca="1">VLOOKUP($D28,DATA_01!$B$36:$BS$51,2,0)</f>
        <v>11174003.289999999</v>
      </c>
      <c r="F28" s="29">
        <f ca="1">VLOOKUP($D28,DATA_01!$B$36:$BS$51,16,0)</f>
        <v>11148581.700000001</v>
      </c>
      <c r="G28" s="29">
        <f ca="1">VLOOKUP($D28,DATA_01!$B$36:$BS$51,13,0)</f>
        <v>1284433.2299999995</v>
      </c>
      <c r="H28" s="44">
        <f ca="1">VLOOKUP($D28,DATA_01!$B$36:$BS$51,27,0)</f>
        <v>948592.9000000013</v>
      </c>
      <c r="I28" s="50">
        <f t="shared" ca="1" si="4"/>
        <v>335840.32999999821</v>
      </c>
      <c r="J28" s="21"/>
      <c r="K28" s="46">
        <f ca="1">VLOOKUP($D28,DATA_01!$B$36:$BS$51,14,0)</f>
        <v>0.11494834900840624</v>
      </c>
      <c r="L28" s="31">
        <f ca="1">VLOOKUP($D28,DATA_01!$B$36:$BS$51,28,0)</f>
        <v>8.5086419557745291E-2</v>
      </c>
      <c r="M28" s="72">
        <f t="shared" ca="1" si="5"/>
        <v>2.9861929450660947</v>
      </c>
    </row>
    <row r="29" spans="3:13" ht="36.75" customHeight="1" outlineLevel="1">
      <c r="C29" s="169"/>
      <c r="D29" s="33" t="str">
        <f ca="1">IF($G$9=1,DATA_01!AQ28,DATA_01!AP28)</f>
        <v>Zaanstreek</v>
      </c>
      <c r="E29" s="34">
        <f ca="1">VLOOKUP($D29,DATA_01!$B$36:$BS$51,2,0)</f>
        <v>14451009.869999999</v>
      </c>
      <c r="F29" s="34">
        <f ca="1">VLOOKUP($D29,DATA_01!$B$36:$BS$51,16,0)</f>
        <v>14316386.08</v>
      </c>
      <c r="G29" s="34">
        <f ca="1">VLOOKUP($D29,DATA_01!$B$36:$BS$51,13,0)</f>
        <v>3450169.8</v>
      </c>
      <c r="H29" s="34">
        <f ca="1">VLOOKUP($D29,DATA_01!$B$36:$BS$51,27,0)</f>
        <v>3124614.1799999997</v>
      </c>
      <c r="I29" s="48">
        <f t="shared" ca="1" si="4"/>
        <v>325555.62000000011</v>
      </c>
      <c r="J29" s="21"/>
      <c r="K29" s="49">
        <f ca="1">VLOOKUP($D29,DATA_01!$B$36:$BS$51,14,0)</f>
        <v>0.23874939059881772</v>
      </c>
      <c r="L29" s="36">
        <f ca="1">VLOOKUP($D29,DATA_01!$B$36:$BS$51,28,0)</f>
        <v>0.21825439482699391</v>
      </c>
      <c r="M29" s="73">
        <f t="shared" ca="1" si="5"/>
        <v>2.0494995771823814</v>
      </c>
    </row>
    <row r="30" spans="3:13" ht="36.75" customHeight="1" outlineLevel="1">
      <c r="C30" s="170"/>
      <c r="D30" s="28" t="str">
        <f ca="1">IF($G$9=1,DATA_01!AQ29,DATA_01!AP29)</f>
        <v>Noord Holland Noord</v>
      </c>
      <c r="E30" s="38">
        <f ca="1">VLOOKUP($D30,DATA_01!$B$36:$BS$51,2,0)</f>
        <v>20686135.440000001</v>
      </c>
      <c r="F30" s="38">
        <f ca="1">VLOOKUP($D30,DATA_01!$B$36:$BS$51,16,0)</f>
        <v>20789770.07</v>
      </c>
      <c r="G30" s="38">
        <f ca="1">VLOOKUP($D30,DATA_01!$B$36:$BS$51,13,0)</f>
        <v>2820872.4200000023</v>
      </c>
      <c r="H30" s="51">
        <f ca="1">VLOOKUP($D30,DATA_01!$B$36:$BS$51,27,0)</f>
        <v>2686136.8400000003</v>
      </c>
      <c r="I30" s="50">
        <f t="shared" ca="1" si="4"/>
        <v>134735.58000000194</v>
      </c>
      <c r="J30" s="21"/>
      <c r="K30" s="46">
        <f ca="1">VLOOKUP($D30,DATA_01!$B$36:$BS$51,14,0)</f>
        <v>0.1363653654971913</v>
      </c>
      <c r="L30" s="52">
        <f ca="1">VLOOKUP($D30,DATA_01!$B$36:$BS$51,28,0)</f>
        <v>0.12920474016574826</v>
      </c>
      <c r="M30" s="47">
        <f t="shared" ca="1" si="5"/>
        <v>0.71606253314430435</v>
      </c>
    </row>
    <row r="31" spans="3:13" outlineLevel="1"/>
    <row r="32" spans="3:13" outlineLevel="1"/>
    <row r="33" outlineLevel="1"/>
    <row r="34" outlineLevel="1"/>
    <row r="35" outlineLevel="1"/>
    <row r="36" outlineLevel="1"/>
    <row r="37" ht="15.75" customHeight="1" outlineLevel="1"/>
  </sheetData>
  <mergeCells count="8">
    <mergeCell ref="C25:C30"/>
    <mergeCell ref="G13:I13"/>
    <mergeCell ref="K13:M14"/>
    <mergeCell ref="G16:I16"/>
    <mergeCell ref="K16:M16"/>
    <mergeCell ref="C17:C22"/>
    <mergeCell ref="G24:I24"/>
    <mergeCell ref="K24:M24"/>
  </mergeCells>
  <conditionalFormatting sqref="I22">
    <cfRule type="expression" dxfId="585" priority="42">
      <formula>I22&lt;0</formula>
    </cfRule>
    <cfRule type="expression" dxfId="584" priority="43">
      <formula>I22&gt;0</formula>
    </cfRule>
  </conditionalFormatting>
  <conditionalFormatting sqref="I18">
    <cfRule type="expression" dxfId="583" priority="40">
      <formula>I18&lt;0</formula>
    </cfRule>
    <cfRule type="expression" dxfId="582" priority="41">
      <formula>I18&gt;0</formula>
    </cfRule>
  </conditionalFormatting>
  <conditionalFormatting sqref="I20">
    <cfRule type="expression" dxfId="581" priority="36">
      <formula>I20&lt;0</formula>
    </cfRule>
    <cfRule type="expression" dxfId="580" priority="37">
      <formula>I20&gt;0</formula>
    </cfRule>
  </conditionalFormatting>
  <conditionalFormatting sqref="I21">
    <cfRule type="expression" dxfId="579" priority="34">
      <formula>I21&lt;0</formula>
    </cfRule>
    <cfRule type="expression" dxfId="578" priority="35">
      <formula>I21&gt;0</formula>
    </cfRule>
  </conditionalFormatting>
  <conditionalFormatting sqref="I19">
    <cfRule type="expression" dxfId="577" priority="32">
      <formula>I19&lt;0</formula>
    </cfRule>
    <cfRule type="expression" dxfId="576" priority="33">
      <formula>I19&gt;0</formula>
    </cfRule>
  </conditionalFormatting>
  <conditionalFormatting sqref="I30">
    <cfRule type="expression" dxfId="575" priority="30">
      <formula>I30&lt;0</formula>
    </cfRule>
    <cfRule type="expression" dxfId="574" priority="31">
      <formula>I30&gt;0</formula>
    </cfRule>
  </conditionalFormatting>
  <conditionalFormatting sqref="I26">
    <cfRule type="expression" dxfId="573" priority="28">
      <formula>I26&lt;0</formula>
    </cfRule>
    <cfRule type="expression" dxfId="572" priority="29">
      <formula>I26&gt;0</formula>
    </cfRule>
  </conditionalFormatting>
  <conditionalFormatting sqref="I28">
    <cfRule type="expression" dxfId="571" priority="26">
      <formula>I28&lt;0</formula>
    </cfRule>
    <cfRule type="expression" dxfId="570" priority="27">
      <formula>I28&gt;0</formula>
    </cfRule>
  </conditionalFormatting>
  <conditionalFormatting sqref="I29">
    <cfRule type="expression" dxfId="569" priority="24">
      <formula>I29&lt;0</formula>
    </cfRule>
    <cfRule type="expression" dxfId="568" priority="25">
      <formula>I29&gt;0</formula>
    </cfRule>
  </conditionalFormatting>
  <conditionalFormatting sqref="I27">
    <cfRule type="expression" dxfId="567" priority="22">
      <formula>I27&lt;0</formula>
    </cfRule>
    <cfRule type="expression" dxfId="566" priority="23">
      <formula>I27&gt;0</formula>
    </cfRule>
  </conditionalFormatting>
  <conditionalFormatting sqref="M18">
    <cfRule type="expression" dxfId="565" priority="38">
      <formula>M18&gt;0</formula>
    </cfRule>
    <cfRule type="expression" dxfId="564" priority="39">
      <formula>M18&lt;0</formula>
    </cfRule>
  </conditionalFormatting>
  <conditionalFormatting sqref="M19">
    <cfRule type="expression" dxfId="563" priority="20">
      <formula>M19&gt;0</formula>
    </cfRule>
    <cfRule type="expression" dxfId="562" priority="21">
      <formula>M19&lt;0</formula>
    </cfRule>
  </conditionalFormatting>
  <conditionalFormatting sqref="M21">
    <cfRule type="expression" dxfId="561" priority="18">
      <formula>M21&gt;0</formula>
    </cfRule>
    <cfRule type="expression" dxfId="560" priority="19">
      <formula>M21&lt;0</formula>
    </cfRule>
  </conditionalFormatting>
  <conditionalFormatting sqref="M20">
    <cfRule type="expression" dxfId="559" priority="16">
      <formula>M20&gt;0</formula>
    </cfRule>
    <cfRule type="expression" dxfId="558" priority="17">
      <formula>M20&lt;0</formula>
    </cfRule>
  </conditionalFormatting>
  <conditionalFormatting sqref="M22">
    <cfRule type="expression" dxfId="557" priority="14">
      <formula>M22&gt;0</formula>
    </cfRule>
    <cfRule type="expression" dxfId="556" priority="15">
      <formula>M22&lt;0</formula>
    </cfRule>
  </conditionalFormatting>
  <conditionalFormatting sqref="M26">
    <cfRule type="expression" dxfId="555" priority="12">
      <formula>M26&gt;0</formula>
    </cfRule>
    <cfRule type="expression" dxfId="554" priority="13">
      <formula>M26&lt;0</formula>
    </cfRule>
  </conditionalFormatting>
  <conditionalFormatting sqref="M27">
    <cfRule type="expression" dxfId="553" priority="10">
      <formula>M27&gt;0</formula>
    </cfRule>
    <cfRule type="expression" dxfId="552" priority="11">
      <formula>M27&lt;0</formula>
    </cfRule>
  </conditionalFormatting>
  <conditionalFormatting sqref="M29">
    <cfRule type="expression" dxfId="551" priority="8">
      <formula>M29&gt;0</formula>
    </cfRule>
    <cfRule type="expression" dxfId="550" priority="9">
      <formula>M29&lt;0</formula>
    </cfRule>
  </conditionalFormatting>
  <conditionalFormatting sqref="M28">
    <cfRule type="expression" dxfId="549" priority="6">
      <formula>M28&gt;0</formula>
    </cfRule>
    <cfRule type="expression" dxfId="548" priority="7">
      <formula>M28&lt;0</formula>
    </cfRule>
  </conditionalFormatting>
  <conditionalFormatting sqref="M30">
    <cfRule type="expression" dxfId="547" priority="4">
      <formula>M30&gt;0</formula>
    </cfRule>
    <cfRule type="expression" dxfId="546" priority="5">
      <formula>M30&lt;0</formula>
    </cfRule>
  </conditionalFormatting>
  <conditionalFormatting sqref="B7">
    <cfRule type="expression" dxfId="545" priority="1" stopIfTrue="1">
      <formula>ROUND(ABS($B$7-$C$7),4)=0</formula>
    </cfRule>
    <cfRule type="expression" dxfId="544" priority="2">
      <formula>ROUND(ABS($B$7-$C$7),4)&lt;=0.2</formula>
    </cfRule>
    <cfRule type="expression" dxfId="543" priority="3">
      <formula>ROUND(ABS($B$7-$C$7),4)&gt;0.2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size">
                <anchor moveWithCells="1" sizeWithCells="1">
                  <from>
                    <xdr:col>3</xdr:col>
                    <xdr:colOff>142875</xdr:colOff>
                    <xdr:row>1</xdr:row>
                    <xdr:rowOff>47625</xdr:rowOff>
                  </from>
                  <to>
                    <xdr:col>3</xdr:col>
                    <xdr:colOff>1533525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/>
  <dimension ref="A1:M37"/>
  <sheetViews>
    <sheetView showGridLines="0" zoomScale="70" zoomScaleNormal="70" workbookViewId="0">
      <selection activeCell="E18" sqref="E18:F22"/>
    </sheetView>
  </sheetViews>
  <sheetFormatPr baseColWidth="10" defaultRowHeight="15" outlineLevelRow="1"/>
  <cols>
    <col min="1" max="1" width="23.28515625" customWidth="1"/>
    <col min="2" max="2" width="16" customWidth="1"/>
    <col min="3" max="3" width="7.7109375" customWidth="1"/>
    <col min="4" max="4" width="41.28515625" customWidth="1"/>
    <col min="5" max="6" width="27.140625" customWidth="1"/>
    <col min="7" max="9" width="17" customWidth="1"/>
    <col min="10" max="10" width="1.140625" customWidth="1"/>
    <col min="11" max="13" width="16" customWidth="1"/>
    <col min="14" max="15" width="14.85546875" customWidth="1"/>
    <col min="16" max="17" width="13.140625" customWidth="1"/>
    <col min="18" max="18" width="7.5703125" bestFit="1" customWidth="1"/>
    <col min="19" max="19" width="19.5703125" bestFit="1" customWidth="1"/>
    <col min="20" max="20" width="8.140625" bestFit="1" customWidth="1"/>
    <col min="21" max="21" width="12.42578125" bestFit="1" customWidth="1"/>
    <col min="22" max="22" width="14.42578125" bestFit="1" customWidth="1"/>
  </cols>
  <sheetData>
    <row r="1" spans="1:13">
      <c r="A1" s="55" t="s">
        <v>1</v>
      </c>
      <c r="B1" s="54">
        <v>4</v>
      </c>
    </row>
    <row r="2" spans="1:13">
      <c r="A2" s="55" t="s">
        <v>2</v>
      </c>
      <c r="B2" s="54">
        <v>90</v>
      </c>
    </row>
    <row r="3" spans="1:13">
      <c r="A3" s="55" t="s">
        <v>3</v>
      </c>
      <c r="B3" s="54">
        <v>145</v>
      </c>
    </row>
    <row r="4" spans="1:13">
      <c r="A4" s="55" t="s">
        <v>4</v>
      </c>
      <c r="B4" s="54">
        <v>270</v>
      </c>
      <c r="C4" s="81">
        <v>519.75</v>
      </c>
    </row>
    <row r="5" spans="1:13">
      <c r="A5" s="55" t="s">
        <v>5</v>
      </c>
      <c r="B5" s="83">
        <f ca="1">B4*C7</f>
        <v>480.77922077922079</v>
      </c>
      <c r="C5" s="81">
        <v>1068</v>
      </c>
    </row>
    <row r="7" spans="1:13" outlineLevel="1">
      <c r="A7" s="55" t="s">
        <v>50</v>
      </c>
      <c r="B7" s="82">
        <f ca="1">B5/B4</f>
        <v>1.7806637806637806</v>
      </c>
      <c r="C7" s="81">
        <f ca="1">C5/C4</f>
        <v>1.7806637806637806</v>
      </c>
    </row>
    <row r="8" spans="1:13" outlineLevel="1"/>
    <row r="9" spans="1:13" outlineLevel="1">
      <c r="D9" s="3" t="s">
        <v>53</v>
      </c>
      <c r="E9" s="3"/>
      <c r="F9" s="3"/>
      <c r="G9" s="94">
        <f>IF(D14="in variance (in %)",1,0)</f>
        <v>0</v>
      </c>
    </row>
    <row r="10" spans="1:13" outlineLevel="1"/>
    <row r="11" spans="1:13" outlineLevel="1"/>
    <row r="12" spans="1:13" outlineLevel="1"/>
    <row r="13" spans="1:13" ht="21" customHeight="1" outlineLevel="1">
      <c r="C13" s="17"/>
      <c r="D13" s="18" t="str">
        <f>IF(IDX_LANG="English","GROSS MARGIN","MARGE BRUTE")</f>
        <v>GROSS MARGIN</v>
      </c>
      <c r="E13" s="18"/>
      <c r="F13" s="18"/>
      <c r="G13" s="171" t="str">
        <f>IF(IDX_LANG="English","ACTUAL VS N-1 YTD","REALISE VS N-1 YTD")</f>
        <v>ACTUAL VS N-1 YTD</v>
      </c>
      <c r="H13" s="171"/>
      <c r="I13" s="171"/>
      <c r="J13" s="17"/>
      <c r="K13" s="172" t="str">
        <f ca="1">_xll.SUBNM(Server&amp;"Legal_Organization","",IDX_MAN_ORG,IDX_LANG)&amp;" - "&amp;IDX_ACTIVITY</f>
        <v xml:space="preserve"> - PMM Transit activities</v>
      </c>
      <c r="L13" s="172"/>
      <c r="M13" s="172"/>
    </row>
    <row r="14" spans="1:13" ht="18" customHeight="1" outlineLevel="1">
      <c r="C14" s="17"/>
      <c r="D14" s="76" t="str">
        <f>IDX_SORT</f>
        <v>in variance (amount)</v>
      </c>
      <c r="E14" s="76"/>
      <c r="F14" s="76"/>
      <c r="G14" s="17"/>
      <c r="I14" s="17"/>
      <c r="J14" s="17"/>
      <c r="K14" s="172"/>
      <c r="L14" s="172"/>
      <c r="M14" s="172"/>
    </row>
    <row r="15" spans="1:13" ht="15.75" outlineLevel="1" thickBot="1"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9"/>
    </row>
    <row r="16" spans="1:13" ht="24.75" customHeight="1" outlineLevel="1" thickTop="1">
      <c r="C16" s="17"/>
      <c r="D16" s="20" t="str">
        <f>IF(IDX_LANG="English","In ","En ")&amp;IDX_CURRENCY</f>
        <v>In LCL</v>
      </c>
      <c r="E16" s="159"/>
      <c r="F16" s="159"/>
      <c r="G16" s="173" t="str">
        <f ca="1">IDX_PERIOD</f>
        <v>2016.08_YTD</v>
      </c>
      <c r="H16" s="173"/>
      <c r="I16" s="173"/>
      <c r="J16" s="21"/>
      <c r="K16" s="174" t="str">
        <f ca="1">IDX_PERIOD</f>
        <v>2016.08_YTD</v>
      </c>
      <c r="L16" s="175"/>
      <c r="M16" s="176"/>
    </row>
    <row r="17" spans="3:13" ht="17.25" customHeight="1" outlineLevel="1">
      <c r="C17" s="177" t="str">
        <f>IF(IDX_LANG="English","THE FIVE LEAST PERFORMING","LES CINQ MOINS PERFORMANTS")</f>
        <v>THE FIVE LEAST PERFORMING</v>
      </c>
      <c r="D17" s="22" t="str">
        <f>IF(IDX_LANG="English","Contract","Contrat")</f>
        <v>Contract</v>
      </c>
      <c r="E17" s="23" t="str">
        <f ca="1">"Revenue " &amp;IDX_PHASE&amp;" "&amp;IF(LEFT(IDX_PERIOD,4)="F_YE",RIGHT(IDX_PERIOD,4),LEFT(IDX_PERIOD,4))</f>
        <v>Revenue Actual 2016</v>
      </c>
      <c r="F17" s="23" t="str">
        <f ca="1">"Revenue " &amp;H17</f>
        <v>Revenue Actual 2015</v>
      </c>
      <c r="G17" s="23" t="str">
        <f ca="1">IDX_PHASE&amp;" "&amp;IF(LEFT(IDX_PERIOD,4)="F_YE",RIGHT(IDX_PERIOD,4),LEFT(IDX_PERIOD,4))</f>
        <v>Actual 2016</v>
      </c>
      <c r="H17" s="23" t="str">
        <f ca="1">IDX_PHASE_COMP2&amp;" "&amp;IF(LEFT(IDX_PERIOD_COMP2,4)="F_YE",RIGHT(IDX_PERIOD_COMP2,4),LEFT(IDX_PERIOD_COMP2,4))</f>
        <v>Actual 2015</v>
      </c>
      <c r="I17" s="24" t="s">
        <v>35</v>
      </c>
      <c r="J17" s="25"/>
      <c r="K17" s="26" t="str">
        <f ca="1">+G17</f>
        <v>Actual 2016</v>
      </c>
      <c r="L17" s="26" t="str">
        <f ca="1">+H17</f>
        <v>Actual 2015</v>
      </c>
      <c r="M17" s="27" t="str">
        <f>+I17</f>
        <v>Variance</v>
      </c>
    </row>
    <row r="18" spans="3:13" ht="37.5" customHeight="1" outlineLevel="1">
      <c r="C18" s="178"/>
      <c r="D18" s="28" t="str">
        <f ca="1">IF($G$9=1,DATA_01!BS17,DATA_01!BR17)</f>
        <v>SRE</v>
      </c>
      <c r="E18" s="29">
        <f ca="1">VLOOKUP($D18,DATA_01!$B$36:$BS$51,2,0)</f>
        <v>37815519.609999999</v>
      </c>
      <c r="F18" s="29">
        <f ca="1">VLOOKUP($D18,DATA_01!$B$36:$BS$51,44,0)</f>
        <v>37469923.659999996</v>
      </c>
      <c r="G18" s="62">
        <f ca="1">VLOOKUP($D18,DATA_01!$B$36:$BS$51,13,0)</f>
        <v>3569583.0500000017</v>
      </c>
      <c r="H18" s="63">
        <f ca="1">VLOOKUP($D18,DATA_01!$B$36:$BS$51,55,0)</f>
        <v>4415609.4199999953</v>
      </c>
      <c r="I18" s="67">
        <f ca="1">+G18-H18</f>
        <v>-846026.36999999359</v>
      </c>
      <c r="J18" s="17"/>
      <c r="K18" s="30">
        <f ca="1">VLOOKUP($D18,DATA_01!$B$36:$BS$51,14,0)</f>
        <v>9.4394658246506155E-2</v>
      </c>
      <c r="L18" s="31">
        <f ca="1">VLOOKUP($D18,DATA_01!$B$36:$BS$51,56,0)</f>
        <v>0.11784409971226495</v>
      </c>
      <c r="M18" s="32">
        <f ca="1">IFERROR((+K18-L18)*100,"")</f>
        <v>-2.3449441465758794</v>
      </c>
    </row>
    <row r="19" spans="3:13" ht="37.5" customHeight="1" outlineLevel="1">
      <c r="C19" s="178"/>
      <c r="D19" s="33" t="str">
        <f ca="1">IF($G$9=1,DATA_01!BS18,DATA_01!BR18)</f>
        <v>Gooi en Vechtstreek</v>
      </c>
      <c r="E19" s="34">
        <f ca="1">VLOOKUP($D19,DATA_01!$B$36:$BS$51,2,0)</f>
        <v>10490730.91</v>
      </c>
      <c r="F19" s="34">
        <f ca="1">VLOOKUP($D19,DATA_01!$B$36:$BS$51,44,0)</f>
        <v>10884086.699999999</v>
      </c>
      <c r="G19" s="64">
        <f ca="1">VLOOKUP($D19,DATA_01!$B$36:$BS$51,13,0)</f>
        <v>1474775.16</v>
      </c>
      <c r="H19" s="65">
        <f ca="1">VLOOKUP($D19,DATA_01!$B$36:$BS$51,55,0)</f>
        <v>1987577.9999999998</v>
      </c>
      <c r="I19" s="68">
        <f t="shared" ref="I19:I22" ca="1" si="0">+G19-H19</f>
        <v>-512802.83999999985</v>
      </c>
      <c r="J19" s="17"/>
      <c r="K19" s="35">
        <f ca="1">VLOOKUP($D19,DATA_01!$B$36:$BS$51,14,0)</f>
        <v>0.14057887602418734</v>
      </c>
      <c r="L19" s="36">
        <f ca="1">VLOOKUP($D19,DATA_01!$B$36:$BS$51,56,0)</f>
        <v>0.18261320906236442</v>
      </c>
      <c r="M19" s="37">
        <f t="shared" ref="M19:M22" ca="1" si="1">IFERROR((+K19-L19)*100,"")</f>
        <v>-4.2034333038177083</v>
      </c>
    </row>
    <row r="20" spans="3:13" ht="37.5" customHeight="1" outlineLevel="1">
      <c r="C20" s="178"/>
      <c r="D20" s="28" t="str">
        <f ca="1">IF($G$9=1,DATA_01!BS19,DATA_01!BR19)</f>
        <v>Almere</v>
      </c>
      <c r="E20" s="29">
        <f ca="1">VLOOKUP($D20,DATA_01!$B$36:$BS$51,2,0)</f>
        <v>20241018.910000004</v>
      </c>
      <c r="F20" s="29">
        <f ca="1">VLOOKUP($D20,DATA_01!$B$36:$BS$51,44,0)</f>
        <v>20383552.260000002</v>
      </c>
      <c r="G20" s="62">
        <f ca="1">VLOOKUP($D20,DATA_01!$B$36:$BS$51,13,0)</f>
        <v>624483.39000000525</v>
      </c>
      <c r="H20" s="63">
        <f ca="1">VLOOKUP($D20,DATA_01!$B$36:$BS$51,55,0)</f>
        <v>814550.70000000065</v>
      </c>
      <c r="I20" s="69">
        <f t="shared" ca="1" si="0"/>
        <v>-190067.3099999954</v>
      </c>
      <c r="J20" s="17"/>
      <c r="K20" s="30">
        <f ca="1">VLOOKUP($D20,DATA_01!$B$36:$BS$51,14,0)</f>
        <v>3.08523692792699E-2</v>
      </c>
      <c r="L20" s="31">
        <f ca="1">VLOOKUP($D20,DATA_01!$B$36:$BS$51,56,0)</f>
        <v>3.9961175049868396E-2</v>
      </c>
      <c r="M20" s="32">
        <f t="shared" ca="1" si="1"/>
        <v>-0.91088057705984959</v>
      </c>
    </row>
    <row r="21" spans="3:13" ht="37.5" customHeight="1" outlineLevel="1">
      <c r="C21" s="178"/>
      <c r="D21" s="33" t="str">
        <f ca="1">IF($G$9=1,DATA_01!BS20,DATA_01!BR20)</f>
        <v>Valleilijn</v>
      </c>
      <c r="E21" s="34">
        <f ca="1">VLOOKUP($D21,DATA_01!$B$36:$BS$51,2,0)</f>
        <v>5967303.96</v>
      </c>
      <c r="F21" s="34">
        <f ca="1">VLOOKUP($D21,DATA_01!$B$36:$BS$51,44,0)</f>
        <v>5841471.5800000001</v>
      </c>
      <c r="G21" s="64">
        <f ca="1">VLOOKUP($D21,DATA_01!$B$36:$BS$51,13,0)</f>
        <v>1918612.1399999994</v>
      </c>
      <c r="H21" s="65">
        <f ca="1">VLOOKUP($D21,DATA_01!$B$36:$BS$51,55,0)</f>
        <v>2040927.1199999999</v>
      </c>
      <c r="I21" s="68">
        <f t="shared" ca="1" si="0"/>
        <v>-122314.98000000045</v>
      </c>
      <c r="J21" s="17"/>
      <c r="K21" s="35">
        <f ca="1">VLOOKUP($D21,DATA_01!$B$36:$BS$51,14,0)</f>
        <v>0.3215207659708354</v>
      </c>
      <c r="L21" s="36">
        <f ca="1">VLOOKUP($D21,DATA_01!$B$36:$BS$51,56,0)</f>
        <v>0.3493857826832053</v>
      </c>
      <c r="M21" s="37">
        <f t="shared" ca="1" si="1"/>
        <v>-2.7865016712369908</v>
      </c>
    </row>
    <row r="22" spans="3:13" ht="37.5" customHeight="1" outlineLevel="1" thickBot="1">
      <c r="C22" s="179"/>
      <c r="D22" s="28" t="str">
        <f ca="1">IF($G$9=1,DATA_01!BS21,DATA_01!BR21)</f>
        <v>Parkshuttle</v>
      </c>
      <c r="E22" s="38">
        <f ca="1">VLOOKUP($D22,DATA_01!$B$36:$BS$51,2,0)</f>
        <v>499566.41</v>
      </c>
      <c r="F22" s="38">
        <f ca="1">VLOOKUP($D22,DATA_01!$B$36:$BS$51,44,0)</f>
        <v>560441.9</v>
      </c>
      <c r="G22" s="66">
        <f ca="1">VLOOKUP($D22,DATA_01!$B$36:$BS$51,13,0)</f>
        <v>205478.3</v>
      </c>
      <c r="H22" s="63">
        <f ca="1">VLOOKUP($D22,DATA_01!$B$36:$BS$51,55,0)</f>
        <v>296993.42</v>
      </c>
      <c r="I22" s="69">
        <f t="shared" ca="1" si="0"/>
        <v>-91515.12</v>
      </c>
      <c r="J22" s="17"/>
      <c r="K22" s="39">
        <f ca="1">VLOOKUP($D22,DATA_01!$B$36:$BS$51,14,0)</f>
        <v>0.41131328265245054</v>
      </c>
      <c r="L22" s="40">
        <f ca="1">VLOOKUP($D22,DATA_01!$B$36:$BS$51,56,0)</f>
        <v>0.52992722349988464</v>
      </c>
      <c r="M22" s="41">
        <f t="shared" ca="1" si="1"/>
        <v>-11.861394084743409</v>
      </c>
    </row>
    <row r="23" spans="3:13" ht="15.75" outlineLevel="1" thickTop="1"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70"/>
    </row>
    <row r="24" spans="3:13" ht="18.75" outlineLevel="1">
      <c r="C24" s="17"/>
      <c r="D24" s="20" t="str">
        <f>D16</f>
        <v>In LCL</v>
      </c>
      <c r="E24" s="159"/>
      <c r="F24" s="159"/>
      <c r="G24" s="173" t="str">
        <f t="shared" ref="G24:I24" ca="1" si="2">G16</f>
        <v>2016.08_YTD</v>
      </c>
      <c r="H24" s="173">
        <f t="shared" si="2"/>
        <v>0</v>
      </c>
      <c r="I24" s="173">
        <f t="shared" si="2"/>
        <v>0</v>
      </c>
      <c r="J24" s="17"/>
      <c r="K24" s="173" t="str">
        <f t="shared" ref="K24:M24" ca="1" si="3">K16</f>
        <v>2016.08_YTD</v>
      </c>
      <c r="L24" s="173">
        <f t="shared" si="3"/>
        <v>0</v>
      </c>
      <c r="M24" s="180">
        <f t="shared" si="3"/>
        <v>0</v>
      </c>
    </row>
    <row r="25" spans="3:13" ht="17.25" customHeight="1" outlineLevel="1">
      <c r="C25" s="169" t="str">
        <f>IF(IDX_LANG="English","THE FIVE  MOST PERFORMING","LES CINQ MEILLEURS")</f>
        <v>THE FIVE  MOST PERFORMING</v>
      </c>
      <c r="D25" s="42" t="str">
        <f>IF(IDX_LANG="English","Contract","Contrat")</f>
        <v>Contract</v>
      </c>
      <c r="E25" s="43" t="str">
        <f ca="1">E17</f>
        <v>Revenue Actual 2016</v>
      </c>
      <c r="F25" s="43" t="str">
        <f ca="1">F17</f>
        <v>Revenue Actual 2015</v>
      </c>
      <c r="G25" s="43" t="str">
        <f ca="1">G17</f>
        <v>Actual 2016</v>
      </c>
      <c r="H25" s="43" t="str">
        <f ca="1">H17</f>
        <v>Actual 2015</v>
      </c>
      <c r="I25" s="42" t="s">
        <v>35</v>
      </c>
      <c r="J25" s="25"/>
      <c r="K25" s="42" t="str">
        <f ca="1">K17</f>
        <v>Actual 2016</v>
      </c>
      <c r="L25" s="43" t="str">
        <f ca="1">L17</f>
        <v>Actual 2015</v>
      </c>
      <c r="M25" s="71" t="str">
        <f>+I25</f>
        <v>Variance</v>
      </c>
    </row>
    <row r="26" spans="3:13" ht="36.75" customHeight="1" outlineLevel="1">
      <c r="C26" s="169"/>
      <c r="D26" s="28" t="str">
        <f ca="1">IF($G$9=1,DATA_01!BS25,DATA_01!BR25)</f>
        <v>Amstelland Meerlanden</v>
      </c>
      <c r="E26" s="29">
        <f ca="1">VLOOKUP($D26,DATA_01!$B$36:$BS$51,2,0)</f>
        <v>58936543.899999991</v>
      </c>
      <c r="F26" s="29">
        <f ca="1">VLOOKUP($D26,DATA_01!$B$36:$BS$51,44,0)</f>
        <v>57055996.350000001</v>
      </c>
      <c r="G26" s="29">
        <f ca="1">VLOOKUP($D26,DATA_01!$B$36:$BS$51,13,0)</f>
        <v>14645480.609999992</v>
      </c>
      <c r="H26" s="44">
        <f ca="1">VLOOKUP($D26,DATA_01!$B$36:$BS$51,55,0)</f>
        <v>12201170.860000003</v>
      </c>
      <c r="I26" s="45">
        <f ca="1">+G26-H26</f>
        <v>2444309.7499999888</v>
      </c>
      <c r="J26" s="21"/>
      <c r="K26" s="46">
        <f ca="1">VLOOKUP($D26,DATA_01!$B$36:$BS$51,14,0)</f>
        <v>0.24849574883199071</v>
      </c>
      <c r="L26" s="31">
        <f ca="1">VLOOKUP($D26,DATA_01!$B$36:$BS$51,56,0)</f>
        <v>0.21384554894377902</v>
      </c>
      <c r="M26" s="72">
        <f ca="1">IFERROR((+K26-L26)*100,"")</f>
        <v>3.4650199888211692</v>
      </c>
    </row>
    <row r="27" spans="3:13" ht="36.75" customHeight="1" outlineLevel="1">
      <c r="C27" s="169"/>
      <c r="D27" s="33" t="str">
        <f ca="1">IF($G$9=1,DATA_01!BS26,DATA_01!BR26)</f>
        <v>Provincie Utrecht</v>
      </c>
      <c r="E27" s="34">
        <f ca="1">VLOOKUP($D27,DATA_01!$B$36:$BS$51,2,0)</f>
        <v>30028864.690000001</v>
      </c>
      <c r="F27" s="34">
        <f ca="1">VLOOKUP($D27,DATA_01!$B$36:$BS$51,44,0)</f>
        <v>28948095.440000001</v>
      </c>
      <c r="G27" s="34">
        <f ca="1">VLOOKUP($D27,DATA_01!$B$36:$BS$51,13,0)</f>
        <v>4023323.2800000031</v>
      </c>
      <c r="H27" s="34">
        <f ca="1">VLOOKUP($D27,DATA_01!$B$36:$BS$51,55,0)</f>
        <v>2621042.1000000029</v>
      </c>
      <c r="I27" s="48">
        <f t="shared" ref="I27:I30" ca="1" si="4">+G27-H27</f>
        <v>1402281.1800000002</v>
      </c>
      <c r="J27" s="21"/>
      <c r="K27" s="49">
        <f ca="1">VLOOKUP($D27,DATA_01!$B$36:$BS$51,14,0)</f>
        <v>0.1339818645005191</v>
      </c>
      <c r="L27" s="36">
        <f ca="1">VLOOKUP($D27,DATA_01!$B$36:$BS$51,56,0)</f>
        <v>9.0542816726322181E-2</v>
      </c>
      <c r="M27" s="73">
        <f t="shared" ref="M27:M30" ca="1" si="5">IFERROR((+K27-L27)*100,"")</f>
        <v>4.3439047774196924</v>
      </c>
    </row>
    <row r="28" spans="3:13" ht="36.75" customHeight="1" outlineLevel="1">
      <c r="C28" s="169"/>
      <c r="D28" s="28" t="str">
        <f ca="1">IF($G$9=1,DATA_01!BS27,DATA_01!BR27)</f>
        <v>Haarlem Ijmond</v>
      </c>
      <c r="E28" s="29">
        <f ca="1">VLOOKUP($D28,DATA_01!$B$36:$BS$51,2,0)</f>
        <v>22837949.669999994</v>
      </c>
      <c r="F28" s="29">
        <f ca="1">VLOOKUP($D28,DATA_01!$B$36:$BS$51,44,0)</f>
        <v>22403480.570000004</v>
      </c>
      <c r="G28" s="29">
        <f ca="1">VLOOKUP($D28,DATA_01!$B$36:$BS$51,13,0)</f>
        <v>5314359.5499999933</v>
      </c>
      <c r="H28" s="44">
        <f ca="1">VLOOKUP($D28,DATA_01!$B$36:$BS$51,55,0)</f>
        <v>3990548.0600000042</v>
      </c>
      <c r="I28" s="50">
        <f t="shared" ca="1" si="4"/>
        <v>1323811.489999989</v>
      </c>
      <c r="J28" s="21"/>
      <c r="K28" s="46">
        <f ca="1">VLOOKUP($D28,DATA_01!$B$36:$BS$51,14,0)</f>
        <v>0.23269862780111794</v>
      </c>
      <c r="L28" s="31">
        <f ca="1">VLOOKUP($D28,DATA_01!$B$36:$BS$51,56,0)</f>
        <v>0.1781217899393569</v>
      </c>
      <c r="M28" s="72">
        <f t="shared" ca="1" si="5"/>
        <v>5.4576837861761041</v>
      </c>
    </row>
    <row r="29" spans="3:13" ht="36.75" customHeight="1" outlineLevel="1">
      <c r="C29" s="169"/>
      <c r="D29" s="33" t="str">
        <f ca="1">IF($G$9=1,DATA_01!BS28,DATA_01!BR28)</f>
        <v>Noord and Midden Zeeland</v>
      </c>
      <c r="E29" s="34">
        <f ca="1">VLOOKUP($D29,DATA_01!$B$36:$BS$51,2,0)</f>
        <v>16245045.390000001</v>
      </c>
      <c r="F29" s="34">
        <f ca="1">VLOOKUP($D29,DATA_01!$B$36:$BS$51,44,0)</f>
        <v>16302274.48</v>
      </c>
      <c r="G29" s="34">
        <f ca="1">VLOOKUP($D29,DATA_01!$B$36:$BS$51,13,0)</f>
        <v>1373445.9000000004</v>
      </c>
      <c r="H29" s="34">
        <f ca="1">VLOOKUP($D29,DATA_01!$B$36:$BS$51,55,0)</f>
        <v>64786.790000000503</v>
      </c>
      <c r="I29" s="48">
        <f t="shared" ca="1" si="4"/>
        <v>1308659.1099999999</v>
      </c>
      <c r="J29" s="21"/>
      <c r="K29" s="49">
        <f ca="1">VLOOKUP($D29,DATA_01!$B$36:$BS$51,14,0)</f>
        <v>8.4545525545004357E-2</v>
      </c>
      <c r="L29" s="36">
        <f ca="1">VLOOKUP($D29,DATA_01!$B$36:$BS$51,56,0)</f>
        <v>3.9740951533776712E-3</v>
      </c>
      <c r="M29" s="73">
        <f t="shared" ca="1" si="5"/>
        <v>8.0571430391626695</v>
      </c>
    </row>
    <row r="30" spans="3:13" ht="36.75" customHeight="1" outlineLevel="1">
      <c r="C30" s="170"/>
      <c r="D30" s="28" t="str">
        <f ca="1">IF($G$9=1,DATA_01!BS29,DATA_01!BR29)</f>
        <v>Noord Holland Noord</v>
      </c>
      <c r="E30" s="38">
        <f ca="1">VLOOKUP($D30,DATA_01!$B$36:$BS$51,2,0)</f>
        <v>20686135.440000001</v>
      </c>
      <c r="F30" s="38">
        <f ca="1">VLOOKUP($D30,DATA_01!$B$36:$BS$51,44,0)</f>
        <v>19759809.379999999</v>
      </c>
      <c r="G30" s="38">
        <f ca="1">VLOOKUP($D30,DATA_01!$B$36:$BS$51,13,0)</f>
        <v>2820872.4200000023</v>
      </c>
      <c r="H30" s="51">
        <f ca="1">VLOOKUP($D30,DATA_01!$B$36:$BS$51,55,0)</f>
        <v>1529513.5099999998</v>
      </c>
      <c r="I30" s="50">
        <f t="shared" ca="1" si="4"/>
        <v>1291358.9100000025</v>
      </c>
      <c r="J30" s="21"/>
      <c r="K30" s="46">
        <f ca="1">VLOOKUP($D30,DATA_01!$B$36:$BS$51,14,0)</f>
        <v>0.1363653654971913</v>
      </c>
      <c r="L30" s="52">
        <f ca="1">VLOOKUP($D30,DATA_01!$B$36:$BS$51,56,0)</f>
        <v>7.7405276568513121E-2</v>
      </c>
      <c r="M30" s="47">
        <f t="shared" ca="1" si="5"/>
        <v>5.896008892867818</v>
      </c>
    </row>
    <row r="31" spans="3:13" outlineLevel="1"/>
    <row r="32" spans="3:13" outlineLevel="1"/>
    <row r="33" outlineLevel="1"/>
    <row r="34" outlineLevel="1"/>
    <row r="35" outlineLevel="1"/>
    <row r="36" outlineLevel="1"/>
    <row r="37" ht="15.75" customHeight="1" outlineLevel="1"/>
  </sheetData>
  <mergeCells count="8">
    <mergeCell ref="C25:C30"/>
    <mergeCell ref="G13:I13"/>
    <mergeCell ref="K13:M14"/>
    <mergeCell ref="G16:I16"/>
    <mergeCell ref="K16:M16"/>
    <mergeCell ref="C17:C22"/>
    <mergeCell ref="G24:I24"/>
    <mergeCell ref="K24:M24"/>
  </mergeCells>
  <conditionalFormatting sqref="B7">
    <cfRule type="expression" dxfId="542" priority="41" stopIfTrue="1">
      <formula>ROUND(ABS($B$7-$C$7),4)=0</formula>
    </cfRule>
    <cfRule type="expression" dxfId="541" priority="42">
      <formula>ROUND(ABS($B$7-$C$7),4)&lt;=0.2</formula>
    </cfRule>
    <cfRule type="expression" dxfId="540" priority="43">
      <formula>ROUND(ABS($B$7-$C$7),4)&gt;0.2</formula>
    </cfRule>
  </conditionalFormatting>
  <conditionalFormatting sqref="I22">
    <cfRule type="expression" dxfId="539" priority="39">
      <formula>I22&lt;0</formula>
    </cfRule>
    <cfRule type="expression" dxfId="538" priority="40">
      <formula>I22&gt;0</formula>
    </cfRule>
  </conditionalFormatting>
  <conditionalFormatting sqref="I18">
    <cfRule type="expression" dxfId="537" priority="37">
      <formula>I18&lt;0</formula>
    </cfRule>
    <cfRule type="expression" dxfId="536" priority="38">
      <formula>I18&gt;0</formula>
    </cfRule>
  </conditionalFormatting>
  <conditionalFormatting sqref="I20">
    <cfRule type="expression" dxfId="535" priority="33">
      <formula>I20&lt;0</formula>
    </cfRule>
    <cfRule type="expression" dxfId="534" priority="34">
      <formula>I20&gt;0</formula>
    </cfRule>
  </conditionalFormatting>
  <conditionalFormatting sqref="I21">
    <cfRule type="expression" dxfId="533" priority="31">
      <formula>I21&lt;0</formula>
    </cfRule>
    <cfRule type="expression" dxfId="532" priority="32">
      <formula>I21&gt;0</formula>
    </cfRule>
  </conditionalFormatting>
  <conditionalFormatting sqref="I19">
    <cfRule type="expression" dxfId="531" priority="29">
      <formula>I19&lt;0</formula>
    </cfRule>
    <cfRule type="expression" dxfId="530" priority="30">
      <formula>I19&gt;0</formula>
    </cfRule>
  </conditionalFormatting>
  <conditionalFormatting sqref="I30">
    <cfRule type="expression" dxfId="529" priority="27">
      <formula>I30&lt;0</formula>
    </cfRule>
    <cfRule type="expression" dxfId="528" priority="28">
      <formula>I30&gt;0</formula>
    </cfRule>
  </conditionalFormatting>
  <conditionalFormatting sqref="I26">
    <cfRule type="expression" dxfId="527" priority="25">
      <formula>I26&lt;0</formula>
    </cfRule>
    <cfRule type="expression" dxfId="526" priority="26">
      <formula>I26&gt;0</formula>
    </cfRule>
  </conditionalFormatting>
  <conditionalFormatting sqref="I28">
    <cfRule type="expression" dxfId="525" priority="23">
      <formula>I28&lt;0</formula>
    </cfRule>
    <cfRule type="expression" dxfId="524" priority="24">
      <formula>I28&gt;0</formula>
    </cfRule>
  </conditionalFormatting>
  <conditionalFormatting sqref="I29">
    <cfRule type="expression" dxfId="523" priority="21">
      <formula>I29&lt;0</formula>
    </cfRule>
    <cfRule type="expression" dxfId="522" priority="22">
      <formula>I29&gt;0</formula>
    </cfRule>
  </conditionalFormatting>
  <conditionalFormatting sqref="I27">
    <cfRule type="expression" dxfId="521" priority="19">
      <formula>I27&lt;0</formula>
    </cfRule>
    <cfRule type="expression" dxfId="520" priority="20">
      <formula>I27&gt;0</formula>
    </cfRule>
  </conditionalFormatting>
  <conditionalFormatting sqref="M18">
    <cfRule type="expression" dxfId="519" priority="35">
      <formula>M18&gt;0</formula>
    </cfRule>
    <cfRule type="expression" dxfId="518" priority="36">
      <formula>M18&lt;0</formula>
    </cfRule>
  </conditionalFormatting>
  <conditionalFormatting sqref="M19">
    <cfRule type="expression" dxfId="517" priority="17">
      <formula>M19&gt;0</formula>
    </cfRule>
    <cfRule type="expression" dxfId="516" priority="18">
      <formula>M19&lt;0</formula>
    </cfRule>
  </conditionalFormatting>
  <conditionalFormatting sqref="M21">
    <cfRule type="expression" dxfId="515" priority="15">
      <formula>M21&gt;0</formula>
    </cfRule>
    <cfRule type="expression" dxfId="514" priority="16">
      <formula>M21&lt;0</formula>
    </cfRule>
  </conditionalFormatting>
  <conditionalFormatting sqref="M20">
    <cfRule type="expression" dxfId="513" priority="13">
      <formula>M20&gt;0</formula>
    </cfRule>
    <cfRule type="expression" dxfId="512" priority="14">
      <formula>M20&lt;0</formula>
    </cfRule>
  </conditionalFormatting>
  <conditionalFormatting sqref="M22">
    <cfRule type="expression" dxfId="511" priority="11">
      <formula>M22&gt;0</formula>
    </cfRule>
    <cfRule type="expression" dxfId="510" priority="12">
      <formula>M22&lt;0</formula>
    </cfRule>
  </conditionalFormatting>
  <conditionalFormatting sqref="M26">
    <cfRule type="expression" dxfId="509" priority="9">
      <formula>M26&gt;0</formula>
    </cfRule>
    <cfRule type="expression" dxfId="508" priority="10">
      <formula>M26&lt;0</formula>
    </cfRule>
  </conditionalFormatting>
  <conditionalFormatting sqref="M27">
    <cfRule type="expression" dxfId="507" priority="7">
      <formula>M27&gt;0</formula>
    </cfRule>
    <cfRule type="expression" dxfId="506" priority="8">
      <formula>M27&lt;0</formula>
    </cfRule>
  </conditionalFormatting>
  <conditionalFormatting sqref="M29">
    <cfRule type="expression" dxfId="505" priority="5">
      <formula>M29&gt;0</formula>
    </cfRule>
    <cfRule type="expression" dxfId="504" priority="6">
      <formula>M29&lt;0</formula>
    </cfRule>
  </conditionalFormatting>
  <conditionalFormatting sqref="M28">
    <cfRule type="expression" dxfId="503" priority="3">
      <formula>M28&gt;0</formula>
    </cfRule>
    <cfRule type="expression" dxfId="502" priority="4">
      <formula>M28&lt;0</formula>
    </cfRule>
  </conditionalFormatting>
  <conditionalFormatting sqref="M30">
    <cfRule type="expression" dxfId="501" priority="1">
      <formula>M30&gt;0</formula>
    </cfRule>
    <cfRule type="expression" dxfId="500" priority="2">
      <formula>M30&lt;0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et_size">
                <anchor moveWithCells="1" sizeWithCells="1">
                  <from>
                    <xdr:col>3</xdr:col>
                    <xdr:colOff>142875</xdr:colOff>
                    <xdr:row>2</xdr:row>
                    <xdr:rowOff>47625</xdr:rowOff>
                  </from>
                  <to>
                    <xdr:col>3</xdr:col>
                    <xdr:colOff>1533525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C00000"/>
  </sheetPr>
  <dimension ref="A1:R11"/>
  <sheetViews>
    <sheetView showGridLines="0" zoomScale="70" zoomScaleNormal="70" workbookViewId="0">
      <selection activeCell="I11" sqref="I11"/>
    </sheetView>
  </sheetViews>
  <sheetFormatPr baseColWidth="10" defaultRowHeight="15"/>
  <cols>
    <col min="5" max="5" width="9.5703125" style="3" customWidth="1"/>
    <col min="6" max="6" width="6.85546875" style="3" hidden="1" customWidth="1"/>
    <col min="7" max="7" width="35" style="3" customWidth="1"/>
    <col min="8" max="8" width="10.42578125" style="92" customWidth="1"/>
    <col min="9" max="9" width="93.85546875" style="3" customWidth="1"/>
    <col min="10" max="10" width="0.42578125" style="3" customWidth="1"/>
    <col min="11" max="11" width="11" style="3" customWidth="1"/>
    <col min="12" max="12" width="12.5703125" style="3" customWidth="1"/>
    <col min="13" max="13" width="17.140625" style="3" customWidth="1"/>
    <col min="14" max="14" width="0.42578125" style="3" customWidth="1"/>
    <col min="15" max="15" width="11" style="3" customWidth="1"/>
    <col min="16" max="16" width="13.140625" style="3" customWidth="1"/>
    <col min="17" max="17" width="17.140625" style="3" customWidth="1"/>
    <col min="18" max="18" width="4" style="3" customWidth="1"/>
  </cols>
  <sheetData>
    <row r="1" spans="1:18">
      <c r="A1" s="55" t="s">
        <v>1</v>
      </c>
      <c r="B1" s="54">
        <v>5</v>
      </c>
    </row>
    <row r="2" spans="1:18">
      <c r="A2" s="55" t="s">
        <v>2</v>
      </c>
      <c r="B2" s="54">
        <v>50</v>
      </c>
      <c r="R2" s="84"/>
    </row>
    <row r="3" spans="1:18">
      <c r="A3" s="55" t="s">
        <v>3</v>
      </c>
      <c r="B3" s="54">
        <v>30</v>
      </c>
      <c r="R3" s="84"/>
    </row>
    <row r="4" spans="1:18">
      <c r="A4" s="55" t="s">
        <v>4</v>
      </c>
      <c r="B4" s="54">
        <v>20</v>
      </c>
      <c r="C4" s="81">
        <v>21</v>
      </c>
      <c r="R4" s="84"/>
    </row>
    <row r="5" spans="1:18">
      <c r="A5" s="55" t="s">
        <v>5</v>
      </c>
      <c r="B5" s="54">
        <v>250</v>
      </c>
      <c r="C5" s="81">
        <v>57.75</v>
      </c>
      <c r="R5" s="84"/>
    </row>
    <row r="6" spans="1:18">
      <c r="R6" s="84"/>
    </row>
    <row r="7" spans="1:18">
      <c r="A7" s="55" t="s">
        <v>50</v>
      </c>
      <c r="B7" s="82">
        <f>B5/B4</f>
        <v>12.5</v>
      </c>
      <c r="C7" s="81">
        <f>C5/C4</f>
        <v>2.75</v>
      </c>
      <c r="R7" s="84"/>
    </row>
    <row r="8" spans="1:18">
      <c r="G8" s="3" t="s">
        <v>64</v>
      </c>
      <c r="H8" s="93">
        <v>1</v>
      </c>
      <c r="R8" s="84"/>
    </row>
    <row r="9" spans="1:18">
      <c r="G9" s="3" t="s">
        <v>53</v>
      </c>
      <c r="H9" s="93">
        <f>IF(IDX_SORT="in variance (in %)",1,0)</f>
        <v>0</v>
      </c>
      <c r="R9" s="84"/>
    </row>
    <row r="10" spans="1:18">
      <c r="R10" s="84"/>
    </row>
    <row r="11" spans="1:18" ht="21" customHeight="1">
      <c r="E11" s="84"/>
      <c r="F11" s="84"/>
      <c r="G11" s="84"/>
      <c r="H11" s="85"/>
      <c r="I11" s="143" t="str">
        <f ca="1">IDX_MAN_ORG&amp;" - "&amp;IF($H$9=1,OFFSET(DATA_01!AQ16,$H$8,0),OFFSET(DATA_01!AP16,$H$8,0))</f>
        <v>NETH_BM01 - SRE</v>
      </c>
      <c r="J11" s="142"/>
      <c r="K11" s="142"/>
      <c r="L11" s="142"/>
      <c r="M11" s="142"/>
      <c r="N11" s="142"/>
      <c r="O11" s="142"/>
      <c r="P11" s="142"/>
      <c r="Q11" s="142"/>
      <c r="R11" s="84"/>
    </row>
  </sheetData>
  <conditionalFormatting sqref="B7">
    <cfRule type="expression" dxfId="499" priority="309" stopIfTrue="1">
      <formula>ROUND(ABS($B$7-$C$7),4)=0</formula>
    </cfRule>
    <cfRule type="expression" dxfId="498" priority="310">
      <formula>ROUND(ABS($B$7-$C$7),4)&lt;=0.2</formula>
    </cfRule>
    <cfRule type="expression" dxfId="497" priority="311">
      <formula>ROUND(ABS($B$7-$C$7),4)&gt;0.2</formula>
    </cfRule>
  </conditionalFormatting>
  <dataValidations count="1">
    <dataValidation type="list" allowBlank="1" showInputMessage="1" showErrorMessage="1" sqref="H8">
      <formula1>"1,2,3,4,5"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t_size">
                <anchor moveWithCells="1" sizeWithCells="1">
                  <from>
                    <xdr:col>3</xdr:col>
                    <xdr:colOff>142875</xdr:colOff>
                    <xdr:row>2</xdr:row>
                    <xdr:rowOff>47625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C00000"/>
  </sheetPr>
  <dimension ref="A1:R23"/>
  <sheetViews>
    <sheetView showGridLines="0" topLeftCell="A6" zoomScale="70" zoomScaleNormal="70" workbookViewId="0">
      <selection activeCell="M28" sqref="M28"/>
    </sheetView>
  </sheetViews>
  <sheetFormatPr baseColWidth="10" defaultRowHeight="15"/>
  <cols>
    <col min="5" max="5" width="4" style="3" customWidth="1"/>
    <col min="6" max="6" width="6.85546875" style="3" hidden="1" customWidth="1"/>
    <col min="7" max="7" width="35" style="3" customWidth="1"/>
    <col min="8" max="8" width="0.42578125" style="92" customWidth="1"/>
    <col min="9" max="9" width="11" style="3" customWidth="1"/>
    <col min="10" max="10" width="0.42578125" style="3" customWidth="1"/>
    <col min="11" max="11" width="11" style="3" customWidth="1"/>
    <col min="12" max="12" width="12.5703125" style="3" customWidth="1"/>
    <col min="13" max="13" width="17.140625" style="3" customWidth="1"/>
    <col min="14" max="14" width="0.42578125" style="3" customWidth="1"/>
    <col min="15" max="15" width="11" style="3" customWidth="1"/>
    <col min="16" max="16" width="13.140625" style="3" customWidth="1"/>
    <col min="17" max="17" width="17.140625" style="3" customWidth="1"/>
    <col min="18" max="18" width="4" style="3" customWidth="1"/>
  </cols>
  <sheetData>
    <row r="1" spans="1:18">
      <c r="A1" s="55" t="s">
        <v>1</v>
      </c>
      <c r="B1" s="54">
        <v>5</v>
      </c>
    </row>
    <row r="2" spans="1:18">
      <c r="A2" s="55" t="s">
        <v>2</v>
      </c>
      <c r="B2" s="54">
        <v>84.7</v>
      </c>
      <c r="R2" s="84"/>
    </row>
    <row r="3" spans="1:18">
      <c r="A3" s="55" t="s">
        <v>3</v>
      </c>
      <c r="B3" s="54">
        <v>167</v>
      </c>
      <c r="G3" s="3">
        <v>30</v>
      </c>
      <c r="R3" s="84"/>
    </row>
    <row r="4" spans="1:18">
      <c r="A4" s="55" t="s">
        <v>4</v>
      </c>
      <c r="B4" s="54">
        <v>231</v>
      </c>
      <c r="C4" s="81">
        <v>316.5</v>
      </c>
      <c r="R4" s="84"/>
    </row>
    <row r="5" spans="1:18">
      <c r="A5" s="55" t="s">
        <v>5</v>
      </c>
      <c r="B5" s="83">
        <f>B4*C7</f>
        <v>495.39099526066349</v>
      </c>
      <c r="C5" s="81">
        <v>678.75</v>
      </c>
      <c r="R5" s="84"/>
    </row>
    <row r="6" spans="1:18">
      <c r="R6" s="84"/>
    </row>
    <row r="7" spans="1:18">
      <c r="A7" s="55" t="s">
        <v>50</v>
      </c>
      <c r="B7" s="82">
        <f>B5/B4</f>
        <v>2.1445497630331753</v>
      </c>
      <c r="C7" s="81">
        <f>C5/C4</f>
        <v>2.1445497630331753</v>
      </c>
      <c r="R7" s="84"/>
    </row>
    <row r="8" spans="1:18">
      <c r="R8" s="84"/>
    </row>
    <row r="9" spans="1:18">
      <c r="G9" s="3" t="s">
        <v>64</v>
      </c>
      <c r="I9" s="93">
        <v>1</v>
      </c>
      <c r="R9" s="84"/>
    </row>
    <row r="10" spans="1:18">
      <c r="G10" s="3" t="s">
        <v>53</v>
      </c>
      <c r="I10" s="93">
        <f>IF(IDX_SORT="in variance (in %)",1,0)</f>
        <v>0</v>
      </c>
      <c r="R10" s="84"/>
    </row>
    <row r="11" spans="1:18" ht="21">
      <c r="E11" s="84"/>
      <c r="F11" s="84"/>
      <c r="G11" s="84"/>
      <c r="H11" s="85"/>
      <c r="I11" s="181"/>
      <c r="J11" s="181"/>
      <c r="K11" s="181"/>
      <c r="L11" s="181"/>
      <c r="M11" s="181"/>
      <c r="N11" s="181"/>
      <c r="O11" s="181"/>
      <c r="P11" s="181"/>
      <c r="Q11" s="181"/>
      <c r="R11" s="84"/>
    </row>
    <row r="12" spans="1:18" ht="21" customHeight="1" thickBot="1">
      <c r="E12" s="84"/>
      <c r="F12" s="84"/>
      <c r="G12" s="182"/>
      <c r="H12" s="182"/>
      <c r="I12" s="182"/>
      <c r="J12" s="84"/>
      <c r="K12" s="84"/>
      <c r="L12" s="84"/>
      <c r="M12" s="84"/>
      <c r="O12" s="84"/>
      <c r="P12" s="84"/>
      <c r="Q12" s="84"/>
      <c r="R12" s="84"/>
    </row>
    <row r="13" spans="1:18" ht="42.75" customHeight="1" thickTop="1" thickBot="1">
      <c r="E13" s="84"/>
      <c r="F13" s="194" t="str">
        <f ca="1">IF($I$10=1,OFFSET(DATA_01!AQ16,$I$9,0),OFFSET(DATA_01!AP16,$I$9,0))</f>
        <v>SRE</v>
      </c>
      <c r="G13" s="195"/>
      <c r="H13" s="195"/>
      <c r="I13" s="196"/>
      <c r="J13" s="118"/>
      <c r="K13" s="191" t="str">
        <f ca="1">IDX_PHASE&amp;" "&amp;IF(LEFT(IDX_PERIOD,4)="F_YE",RIGHT(IDX_PERIOD,4),LEFT(IDX_PERIOD,4))&amp;" Versus "&amp;IDX_PHASE_COMP1&amp;" "&amp;IDX_PERIOD_COMP_N_1</f>
        <v>Actual 2016 Versus Budget N</v>
      </c>
      <c r="L13" s="192"/>
      <c r="M13" s="193"/>
      <c r="N13" s="119"/>
      <c r="O13" s="191" t="str">
        <f ca="1">IDX_PHASE&amp;" "&amp;IF(LEFT(IDX_PERIOD,4)="F_YE",RIGHT(IDX_PERIOD,4),LEFT(IDX_PERIOD,4))&amp;" Versus "&amp;IDX_PHASE_COMP2&amp;" "&amp;IDX_PERIOD_COMP_N_2</f>
        <v>Actual 2016 Versus Actual N-1</v>
      </c>
      <c r="P13" s="192"/>
      <c r="Q13" s="193"/>
      <c r="R13" s="84"/>
    </row>
    <row r="14" spans="1:18" ht="22.5" customHeight="1" thickTop="1">
      <c r="E14" s="84"/>
      <c r="F14" s="187" t="str">
        <f ca="1">IDX_PERIOD</f>
        <v>2016.08_YTD</v>
      </c>
      <c r="G14" s="188"/>
      <c r="H14" s="120"/>
      <c r="I14" s="128" t="str">
        <f ca="1">IDX_PHASE</f>
        <v>Actual</v>
      </c>
      <c r="J14" s="121"/>
      <c r="K14" s="133" t="str">
        <f ca="1">IDX_PHASE_COMP1&amp;" "&amp;IDX_PERIOD_COMP_N_1</f>
        <v>Budget N</v>
      </c>
      <c r="L14" s="185" t="s">
        <v>35</v>
      </c>
      <c r="M14" s="186"/>
      <c r="N14" s="122"/>
      <c r="O14" s="133" t="str">
        <f ca="1">IDX_PHASE_COMP2&amp;" "&amp;IDX_PERIOD_COMP_N_2</f>
        <v>Actual N-1</v>
      </c>
      <c r="P14" s="185" t="s">
        <v>35</v>
      </c>
      <c r="Q14" s="186"/>
    </row>
    <row r="15" spans="1:18" ht="19.5" customHeight="1" thickBot="1">
      <c r="E15" s="84"/>
      <c r="F15" s="189"/>
      <c r="G15" s="190"/>
      <c r="H15" s="123"/>
      <c r="I15" s="129" t="s">
        <v>51</v>
      </c>
      <c r="J15" s="125"/>
      <c r="K15" s="134" t="s">
        <v>51</v>
      </c>
      <c r="L15" s="124" t="s">
        <v>52</v>
      </c>
      <c r="M15" s="135" t="str">
        <f>IDX_CURRENCY</f>
        <v>LCL</v>
      </c>
      <c r="N15" s="126"/>
      <c r="O15" s="134" t="s">
        <v>51</v>
      </c>
      <c r="P15" s="124" t="s">
        <v>52</v>
      </c>
      <c r="Q15" s="135" t="str">
        <f>M15</f>
        <v>LCL</v>
      </c>
    </row>
    <row r="16" spans="1:18" ht="37.5" customHeight="1" thickTop="1" thickBot="1">
      <c r="E16" s="84"/>
      <c r="F16" s="197" t="str">
        <f>IF(IDX_LANG="English","D - Driving","D - Conduite")</f>
        <v>D - Driving</v>
      </c>
      <c r="G16" s="198"/>
      <c r="H16" s="110"/>
      <c r="I16" s="86">
        <f ca="1">VLOOKUP($F$13,DATA_01!$B$35:$CP$1038,4,0)</f>
        <v>0.46827720635940245</v>
      </c>
      <c r="J16" s="131"/>
      <c r="K16" s="87">
        <f ca="1">VLOOKUP($F$13,DATA_01!$B$35:$CP$1038,18,0)</f>
        <v>0.47985995085211758</v>
      </c>
      <c r="L16" s="101">
        <f ca="1">(K16-I16)*100</f>
        <v>1.1582744492715125</v>
      </c>
      <c r="M16" s="136">
        <f ca="1">VLOOKUP($F$13,DATA_01!$B$35:$CP$1038,73,0)</f>
        <v>438007.50150188804</v>
      </c>
      <c r="N16" s="102"/>
      <c r="O16" s="87">
        <f ca="1">VLOOKUP($F$13,DATA_01!$B$35:$CP$1038,46,0)</f>
        <v>0.46454073213342656</v>
      </c>
      <c r="P16" s="101">
        <f ca="1">IFERROR((O16-I16)*100,0)</f>
        <v>-0.37364742259758943</v>
      </c>
      <c r="Q16" s="136">
        <f ca="1">VLOOKUP($F$13,DATA_01!$B$35:$CP$1038,84,0)</f>
        <v>-141296.71436465159</v>
      </c>
    </row>
    <row r="17" spans="5:17" ht="37.5" customHeight="1" thickTop="1" thickBot="1">
      <c r="E17" s="84"/>
      <c r="F17" s="199" t="str">
        <f>IF(IDX_LANG="English","M - Maintenance","M - Maintenance")</f>
        <v>M - Maintenance</v>
      </c>
      <c r="G17" s="200"/>
      <c r="H17" s="88"/>
      <c r="I17" s="103">
        <f ca="1">VLOOKUP($F$13,DATA_01!$B$35:$CP$1038,6,0)</f>
        <v>0.12967863381422934</v>
      </c>
      <c r="J17" s="132"/>
      <c r="K17" s="104">
        <f ca="1">VLOOKUP($F$13,DATA_01!$B$35:$CP$1038,20,0)</f>
        <v>6.8587574299885018E-2</v>
      </c>
      <c r="L17" s="105">
        <f ca="1">(K17-I17)*100</f>
        <v>-6.1091059514344321</v>
      </c>
      <c r="M17" s="137">
        <f ca="1">VLOOKUP($F$13,DATA_01!$B$35:$CP$1038,75,0)</f>
        <v>-2310190.1590603651</v>
      </c>
      <c r="N17" s="89"/>
      <c r="O17" s="104">
        <f ca="1">VLOOKUP($F$13,DATA_01!$B$35:$CP$1038,48,0)</f>
        <v>0.1135733330714771</v>
      </c>
      <c r="P17" s="105">
        <f ca="1">IFERROR((O17-I17)*100,0)</f>
        <v>-1.6105300742752238</v>
      </c>
      <c r="Q17" s="137">
        <f ca="1">VLOOKUP($F$13,DATA_01!$B$35:$CP$1038,86,0)</f>
        <v>-609030.31606249511</v>
      </c>
    </row>
    <row r="18" spans="5:17" ht="37.5" customHeight="1" thickTop="1" thickBot="1">
      <c r="E18" s="84"/>
      <c r="F18" s="197" t="str">
        <f>IF(IDX_LANG="English","E - Energy","E - Energie")</f>
        <v>E - Energy</v>
      </c>
      <c r="G18" s="198"/>
      <c r="H18" s="110"/>
      <c r="I18" s="86">
        <f ca="1">VLOOKUP($F$13,DATA_01!$B$35:$CP$1038,8,0)</f>
        <v>8.4127473926306318E-2</v>
      </c>
      <c r="J18" s="131"/>
      <c r="K18" s="87">
        <f ca="1">VLOOKUP($F$13,DATA_01!$B$35:$CP$1038,22,0)</f>
        <v>8.9591732208446268E-2</v>
      </c>
      <c r="L18" s="101">
        <f ca="1">(K18-I18)*100</f>
        <v>0.54642582821399499</v>
      </c>
      <c r="M18" s="136">
        <f ca="1">VLOOKUP($F$13,DATA_01!$B$35:$CP$1038,77,0)</f>
        <v>206633.76622236846</v>
      </c>
      <c r="N18" s="102"/>
      <c r="O18" s="87">
        <f ca="1">VLOOKUP($F$13,DATA_01!$B$35:$CP$1038,50,0)</f>
        <v>9.1435423009879724E-2</v>
      </c>
      <c r="P18" s="101">
        <f ca="1">IFERROR((O18-I18)*100,0)</f>
        <v>0.73079490835734062</v>
      </c>
      <c r="Q18" s="136">
        <f ca="1">VLOOKUP($F$13,DATA_01!$B$35:$CP$1038,88,0)</f>
        <v>276353.89187875157</v>
      </c>
    </row>
    <row r="19" spans="5:17" ht="37.5" customHeight="1" thickTop="1" thickBot="1">
      <c r="E19" s="84"/>
      <c r="F19" s="199" t="str">
        <f>IF(IDX_LANG="English","F - Fleet","F - Flotte")</f>
        <v>F - Fleet</v>
      </c>
      <c r="G19" s="200"/>
      <c r="H19" s="88"/>
      <c r="I19" s="103">
        <f ca="1">VLOOKUP($F$13,DATA_01!$B$35:$CP$1038,10,0)</f>
        <v>9.2993590099184148E-2</v>
      </c>
      <c r="J19" s="132"/>
      <c r="K19" s="104">
        <f ca="1">VLOOKUP($F$13,DATA_01!$B$35:$CP$1038,24,0)</f>
        <v>9.9272769274608569E-2</v>
      </c>
      <c r="L19" s="105">
        <f ca="1">(K19-I19)*100</f>
        <v>0.62791791754244208</v>
      </c>
      <c r="M19" s="137">
        <f ca="1">VLOOKUP($F$13,DATA_01!$B$35:$CP$1038,79,0)</f>
        <v>237450.42324296571</v>
      </c>
      <c r="N19" s="89"/>
      <c r="O19" s="104">
        <f ca="1">VLOOKUP($F$13,DATA_01!$B$35:$CP$1038,52,0)</f>
        <v>9.533606586483237E-2</v>
      </c>
      <c r="P19" s="105">
        <f ca="1">IFERROR((O19-I19)*100,0)</f>
        <v>0.2342475765648222</v>
      </c>
      <c r="Q19" s="137">
        <f ca="1">VLOOKUP($F$13,DATA_01!$B$35:$CP$1038,90,0)</f>
        <v>88581.938251819927</v>
      </c>
    </row>
    <row r="20" spans="5:17" ht="37.5" customHeight="1" thickTop="1" thickBot="1">
      <c r="E20" s="84"/>
      <c r="F20" s="197" t="str">
        <f>IF(IDX_LANG="English","O - Others","O - Autres")</f>
        <v>O - Others</v>
      </c>
      <c r="G20" s="198"/>
      <c r="H20" s="110"/>
      <c r="I20" s="86">
        <f ca="1">VLOOKUP($F$13,DATA_01!$B$35:$CP$1038,12,0)</f>
        <v>0.13052843755437163</v>
      </c>
      <c r="J20" s="131"/>
      <c r="K20" s="87">
        <f ca="1">VLOOKUP($F$13,DATA_01!$B$35:$CP$1038,26,0)</f>
        <v>0.13442591890040087</v>
      </c>
      <c r="L20" s="101">
        <f ca="1">(K20-I20)*100</f>
        <v>0.38974813460292412</v>
      </c>
      <c r="M20" s="136">
        <f ca="1">VLOOKUP($F$13,DATA_01!$B$35:$CP$1038,81,0)</f>
        <v>147385.28227037843</v>
      </c>
      <c r="N20" s="102"/>
      <c r="O20" s="87">
        <f ca="1">VLOOKUP($F$13,DATA_01!$B$35:$CP$1038,54,0)</f>
        <v>0.11727034620811931</v>
      </c>
      <c r="P20" s="101">
        <f ca="1">IFERROR((O20-I20)*100,0)</f>
        <v>-1.3258091346252319</v>
      </c>
      <c r="Q20" s="136">
        <f ca="1">VLOOKUP($F$13,DATA_01!$B$35:$CP$1038,92,0)</f>
        <v>-501361.61329537537</v>
      </c>
    </row>
    <row r="21" spans="5:17" ht="6.75" customHeight="1" thickTop="1" thickBot="1">
      <c r="E21" s="84"/>
      <c r="F21" s="90"/>
      <c r="G21" s="127"/>
      <c r="H21" s="106"/>
      <c r="I21" s="127"/>
      <c r="J21" s="107"/>
      <c r="K21" s="138"/>
      <c r="L21" s="108"/>
      <c r="M21" s="139"/>
      <c r="N21" s="109"/>
      <c r="O21" s="138"/>
      <c r="P21" s="108"/>
      <c r="Q21" s="139"/>
    </row>
    <row r="22" spans="5:17" ht="37.5" customHeight="1" thickTop="1" thickBot="1">
      <c r="E22" s="84"/>
      <c r="F22" s="201" t="str">
        <f>IF(IDX_LANG="English","GROSS MARGIN","MARGE BRUTE")</f>
        <v>GROSS MARGIN</v>
      </c>
      <c r="G22" s="202"/>
      <c r="H22" s="91"/>
      <c r="I22" s="99">
        <f ca="1">1-SUM(I16:I20)</f>
        <v>9.4394658246506169E-2</v>
      </c>
      <c r="J22" s="117"/>
      <c r="K22" s="100">
        <f ca="1">1-SUM(K16:K20)</f>
        <v>0.12826205446454164</v>
      </c>
      <c r="L22" s="183">
        <f ca="1">(I22-K22)*100</f>
        <v>-3.3867396218035473</v>
      </c>
      <c r="M22" s="184"/>
      <c r="N22" s="102"/>
      <c r="O22" s="100">
        <f ca="1">1-SUM(O16:O20)</f>
        <v>0.11784409971226495</v>
      </c>
      <c r="P22" s="183">
        <f ca="1">(I22-O22)*100</f>
        <v>-2.344944146575878</v>
      </c>
      <c r="Q22" s="184"/>
    </row>
    <row r="23" spans="5:17" ht="15.75" thickTop="1"/>
  </sheetData>
  <mergeCells count="16">
    <mergeCell ref="I11:Q11"/>
    <mergeCell ref="G12:I12"/>
    <mergeCell ref="L22:M22"/>
    <mergeCell ref="P22:Q22"/>
    <mergeCell ref="P14:Q14"/>
    <mergeCell ref="L14:M14"/>
    <mergeCell ref="F14:G15"/>
    <mergeCell ref="O13:Q13"/>
    <mergeCell ref="K13:M13"/>
    <mergeCell ref="F13:I13"/>
    <mergeCell ref="F16:G16"/>
    <mergeCell ref="F17:G17"/>
    <mergeCell ref="F18:G18"/>
    <mergeCell ref="F19:G19"/>
    <mergeCell ref="F20:G20"/>
    <mergeCell ref="F22:G22"/>
  </mergeCells>
  <conditionalFormatting sqref="B7">
    <cfRule type="expression" dxfId="496" priority="45" stopIfTrue="1">
      <formula>ROUND(ABS($B$7-$C$7),4)=0</formula>
    </cfRule>
    <cfRule type="expression" dxfId="495" priority="46">
      <formula>ROUND(ABS($B$7-$C$7),4)&lt;=0.2</formula>
    </cfRule>
    <cfRule type="expression" dxfId="494" priority="47">
      <formula>ROUND(ABS($B$7-$C$7),4)&gt;0.2</formula>
    </cfRule>
  </conditionalFormatting>
  <conditionalFormatting sqref="L16">
    <cfRule type="expression" dxfId="493" priority="9">
      <formula>L16&gt;0</formula>
    </cfRule>
    <cfRule type="expression" dxfId="492" priority="10">
      <formula>L16&lt;0</formula>
    </cfRule>
  </conditionalFormatting>
  <conditionalFormatting sqref="L18">
    <cfRule type="expression" dxfId="491" priority="7">
      <formula>L18&gt;0</formula>
    </cfRule>
    <cfRule type="expression" dxfId="490" priority="8">
      <formula>L18&lt;0</formula>
    </cfRule>
  </conditionalFormatting>
  <conditionalFormatting sqref="L20">
    <cfRule type="expression" dxfId="489" priority="5">
      <formula>L20&gt;0</formula>
    </cfRule>
    <cfRule type="expression" dxfId="488" priority="6">
      <formula>L20&lt;0</formula>
    </cfRule>
  </conditionalFormatting>
  <conditionalFormatting sqref="L19">
    <cfRule type="expression" dxfId="487" priority="3">
      <formula>L19&gt;0</formula>
    </cfRule>
    <cfRule type="expression" dxfId="486" priority="4">
      <formula>L19&lt;0</formula>
    </cfRule>
  </conditionalFormatting>
  <conditionalFormatting sqref="L17">
    <cfRule type="expression" dxfId="485" priority="1">
      <formula>L17&gt;0</formula>
    </cfRule>
    <cfRule type="expression" dxfId="484" priority="2">
      <formula>L17&lt;0</formula>
    </cfRule>
  </conditionalFormatting>
  <conditionalFormatting sqref="L22">
    <cfRule type="expression" dxfId="483" priority="43">
      <formula>L22&lt;0</formula>
    </cfRule>
    <cfRule type="expression" dxfId="482" priority="44">
      <formula>L22&gt;0</formula>
    </cfRule>
  </conditionalFormatting>
  <conditionalFormatting sqref="P22">
    <cfRule type="expression" dxfId="481" priority="41">
      <formula>P22&lt;0</formula>
    </cfRule>
    <cfRule type="expression" dxfId="480" priority="42">
      <formula>P22&gt;0</formula>
    </cfRule>
  </conditionalFormatting>
  <conditionalFormatting sqref="M16">
    <cfRule type="expression" dxfId="479" priority="29">
      <formula>M16&gt;0</formula>
    </cfRule>
    <cfRule type="expression" dxfId="478" priority="30">
      <formula>M16&lt;0</formula>
    </cfRule>
  </conditionalFormatting>
  <conditionalFormatting sqref="Q16">
    <cfRule type="expression" dxfId="477" priority="39">
      <formula>Q16&gt;0</formula>
    </cfRule>
    <cfRule type="expression" dxfId="476" priority="40">
      <formula>Q16&lt;0</formula>
    </cfRule>
  </conditionalFormatting>
  <conditionalFormatting sqref="Q18">
    <cfRule type="expression" dxfId="475" priority="37">
      <formula>Q18&gt;0</formula>
    </cfRule>
    <cfRule type="expression" dxfId="474" priority="38">
      <formula>Q18&lt;0</formula>
    </cfRule>
  </conditionalFormatting>
  <conditionalFormatting sqref="Q20">
    <cfRule type="expression" dxfId="473" priority="35">
      <formula>Q20&gt;0</formula>
    </cfRule>
    <cfRule type="expression" dxfId="472" priority="36">
      <formula>Q20&lt;0</formula>
    </cfRule>
  </conditionalFormatting>
  <conditionalFormatting sqref="Q19">
    <cfRule type="expression" dxfId="471" priority="33">
      <formula>Q19&gt;0</formula>
    </cfRule>
    <cfRule type="expression" dxfId="470" priority="34">
      <formula>Q19&lt;0</formula>
    </cfRule>
  </conditionalFormatting>
  <conditionalFormatting sqref="Q17">
    <cfRule type="expression" dxfId="469" priority="31">
      <formula>Q17&gt;0</formula>
    </cfRule>
    <cfRule type="expression" dxfId="468" priority="32">
      <formula>Q17&lt;0</formula>
    </cfRule>
  </conditionalFormatting>
  <conditionalFormatting sqref="M18">
    <cfRule type="expression" dxfId="467" priority="27">
      <formula>M18&gt;0</formula>
    </cfRule>
    <cfRule type="expression" dxfId="466" priority="28">
      <formula>M18&lt;0</formula>
    </cfRule>
  </conditionalFormatting>
  <conditionalFormatting sqref="M20">
    <cfRule type="expression" dxfId="465" priority="25">
      <formula>M20&gt;0</formula>
    </cfRule>
    <cfRule type="expression" dxfId="464" priority="26">
      <formula>M20&lt;0</formula>
    </cfRule>
  </conditionalFormatting>
  <conditionalFormatting sqref="M19">
    <cfRule type="expression" dxfId="463" priority="23">
      <formula>M19&gt;0</formula>
    </cfRule>
    <cfRule type="expression" dxfId="462" priority="24">
      <formula>M19&lt;0</formula>
    </cfRule>
  </conditionalFormatting>
  <conditionalFormatting sqref="M17">
    <cfRule type="expression" dxfId="461" priority="21">
      <formula>M17&gt;0</formula>
    </cfRule>
    <cfRule type="expression" dxfId="460" priority="22">
      <formula>M17&lt;0</formula>
    </cfRule>
  </conditionalFormatting>
  <conditionalFormatting sqref="P16">
    <cfRule type="expression" dxfId="459" priority="19">
      <formula>P16&gt;0</formula>
    </cfRule>
    <cfRule type="expression" dxfId="458" priority="20">
      <formula>P16&lt;0</formula>
    </cfRule>
  </conditionalFormatting>
  <conditionalFormatting sqref="P18">
    <cfRule type="expression" dxfId="457" priority="17">
      <formula>P18&gt;0</formula>
    </cfRule>
    <cfRule type="expression" dxfId="456" priority="18">
      <formula>P18&lt;0</formula>
    </cfRule>
  </conditionalFormatting>
  <conditionalFormatting sqref="P20">
    <cfRule type="expression" dxfId="455" priority="15">
      <formula>P20&gt;0</formula>
    </cfRule>
    <cfRule type="expression" dxfId="454" priority="16">
      <formula>P20&lt;0</formula>
    </cfRule>
  </conditionalFormatting>
  <conditionalFormatting sqref="P19">
    <cfRule type="expression" dxfId="453" priority="13">
      <formula>P19&gt;0</formula>
    </cfRule>
    <cfRule type="expression" dxfId="452" priority="14">
      <formula>P19&lt;0</formula>
    </cfRule>
  </conditionalFormatting>
  <conditionalFormatting sqref="P17">
    <cfRule type="expression" dxfId="451" priority="11">
      <formula>P17&gt;0</formula>
    </cfRule>
    <cfRule type="expression" dxfId="450" priority="12">
      <formula>P17&lt;0</formula>
    </cfRule>
  </conditionalFormatting>
  <dataValidations disablePrompts="1" count="1">
    <dataValidation type="list" allowBlank="1" showInputMessage="1" showErrorMessage="1" sqref="I9">
      <formula1>"1,2,3,4,5"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get_size">
                <anchor moveWithCells="1" sizeWithCells="1">
                  <from>
                    <xdr:col>3</xdr:col>
                    <xdr:colOff>142875</xdr:colOff>
                    <xdr:row>2</xdr:row>
                    <xdr:rowOff>47625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rgb="FFC00000"/>
  </sheetPr>
  <dimension ref="A1:R11"/>
  <sheetViews>
    <sheetView showGridLines="0" zoomScale="70" zoomScaleNormal="70" workbookViewId="0"/>
  </sheetViews>
  <sheetFormatPr baseColWidth="10" defaultRowHeight="15"/>
  <cols>
    <col min="5" max="5" width="9.5703125" style="3" customWidth="1"/>
    <col min="6" max="6" width="6.85546875" style="3" hidden="1" customWidth="1"/>
    <col min="7" max="7" width="35" style="3" customWidth="1"/>
    <col min="8" max="8" width="10.42578125" style="92" customWidth="1"/>
    <col min="9" max="9" width="93.85546875" style="3" customWidth="1"/>
    <col min="10" max="10" width="0.42578125" style="3" customWidth="1"/>
    <col min="11" max="11" width="11" style="3" customWidth="1"/>
    <col min="12" max="12" width="12.5703125" style="3" customWidth="1"/>
    <col min="13" max="13" width="17.140625" style="3" customWidth="1"/>
    <col min="14" max="14" width="0.42578125" style="3" customWidth="1"/>
    <col min="15" max="15" width="11" style="3" customWidth="1"/>
    <col min="16" max="16" width="13.140625" style="3" customWidth="1"/>
    <col min="17" max="17" width="17.140625" style="3" customWidth="1"/>
    <col min="18" max="18" width="4" style="3" customWidth="1"/>
  </cols>
  <sheetData>
    <row r="1" spans="1:18">
      <c r="A1" s="55" t="s">
        <v>1</v>
      </c>
      <c r="B1" s="54">
        <v>6</v>
      </c>
    </row>
    <row r="2" spans="1:18">
      <c r="A2" s="55" t="s">
        <v>2</v>
      </c>
      <c r="B2" s="54">
        <v>50</v>
      </c>
      <c r="R2" s="84"/>
    </row>
    <row r="3" spans="1:18">
      <c r="A3" s="55" t="s">
        <v>3</v>
      </c>
      <c r="B3" s="54">
        <v>30</v>
      </c>
      <c r="R3" s="84"/>
    </row>
    <row r="4" spans="1:18">
      <c r="A4" s="55" t="s">
        <v>4</v>
      </c>
      <c r="B4" s="54">
        <v>20</v>
      </c>
      <c r="C4" s="81">
        <v>519.75</v>
      </c>
      <c r="R4" s="84"/>
    </row>
    <row r="5" spans="1:18">
      <c r="A5" s="55" t="s">
        <v>5</v>
      </c>
      <c r="B5" s="54">
        <v>250</v>
      </c>
      <c r="C5" s="81">
        <v>783</v>
      </c>
      <c r="R5" s="84"/>
    </row>
    <row r="6" spans="1:18">
      <c r="R6" s="84"/>
    </row>
    <row r="7" spans="1:18">
      <c r="A7" s="55" t="s">
        <v>50</v>
      </c>
      <c r="B7" s="82">
        <f>B5/B4</f>
        <v>12.5</v>
      </c>
      <c r="C7" s="81">
        <f>C5/C4</f>
        <v>1.5064935064935066</v>
      </c>
      <c r="R7" s="84"/>
    </row>
    <row r="8" spans="1:18">
      <c r="G8" s="3" t="s">
        <v>64</v>
      </c>
      <c r="H8" s="93">
        <v>2</v>
      </c>
      <c r="R8" s="84"/>
    </row>
    <row r="9" spans="1:18">
      <c r="G9" s="3" t="s">
        <v>53</v>
      </c>
      <c r="H9" s="93">
        <f>IF(IDX_SORT="in variance (in %)",1,0)</f>
        <v>0</v>
      </c>
      <c r="R9" s="84"/>
    </row>
    <row r="10" spans="1:18">
      <c r="R10" s="84"/>
    </row>
    <row r="11" spans="1:18" ht="21" customHeight="1">
      <c r="E11" s="84"/>
      <c r="F11" s="84"/>
      <c r="G11" s="84"/>
      <c r="H11" s="85"/>
      <c r="I11" s="143" t="str">
        <f ca="1">IDX_MAN_ORG&amp;" - "&amp;IF($H$9=1,OFFSET(DATA_01!AQ16,$H$8,0),OFFSET(DATA_01!AP16,$H$8,0))</f>
        <v>NETH_BM01 - SAN</v>
      </c>
      <c r="J11" s="142"/>
      <c r="K11" s="142"/>
      <c r="L11" s="142"/>
      <c r="M11" s="142"/>
      <c r="N11" s="142"/>
      <c r="O11" s="142"/>
      <c r="P11" s="142"/>
      <c r="Q11" s="142"/>
      <c r="R11" s="84"/>
    </row>
  </sheetData>
  <conditionalFormatting sqref="B7">
    <cfRule type="expression" dxfId="449" priority="1" stopIfTrue="1">
      <formula>ROUND(ABS($B$7-$C$7),4)=0</formula>
    </cfRule>
    <cfRule type="expression" dxfId="448" priority="2">
      <formula>ROUND(ABS($B$7-$C$7),4)&lt;=0.2</formula>
    </cfRule>
    <cfRule type="expression" dxfId="447" priority="3">
      <formula>ROUND(ABS($B$7-$C$7),4)&gt;0.2</formula>
    </cfRule>
  </conditionalFormatting>
  <dataValidations count="1">
    <dataValidation type="list" allowBlank="1" showInputMessage="1" showErrorMessage="1" sqref="H8">
      <formula1>"1,2,3,4,5"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get_size">
                <anchor moveWithCells="1" sizeWithCells="1">
                  <from>
                    <xdr:col>3</xdr:col>
                    <xdr:colOff>142875</xdr:colOff>
                    <xdr:row>2</xdr:row>
                    <xdr:rowOff>47625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rgb="FFC00000"/>
  </sheetPr>
  <dimension ref="A1:R23"/>
  <sheetViews>
    <sheetView showGridLines="0" zoomScale="70" zoomScaleNormal="70" workbookViewId="0">
      <selection activeCell="F13" sqref="F13:Q15"/>
    </sheetView>
  </sheetViews>
  <sheetFormatPr baseColWidth="10" defaultRowHeight="15"/>
  <cols>
    <col min="5" max="5" width="4" style="3" customWidth="1"/>
    <col min="6" max="6" width="6.85546875" style="3" hidden="1" customWidth="1"/>
    <col min="7" max="7" width="35" style="3" customWidth="1"/>
    <col min="8" max="8" width="0.42578125" style="92" customWidth="1"/>
    <col min="9" max="9" width="11" style="3" customWidth="1"/>
    <col min="10" max="10" width="0.42578125" style="3" customWidth="1"/>
    <col min="11" max="11" width="11" style="3" customWidth="1"/>
    <col min="12" max="12" width="12.5703125" style="3" customWidth="1"/>
    <col min="13" max="13" width="17.140625" style="3" customWidth="1"/>
    <col min="14" max="14" width="0.42578125" style="3" customWidth="1"/>
    <col min="15" max="15" width="11" style="3" customWidth="1"/>
    <col min="16" max="16" width="13.140625" style="3" customWidth="1"/>
    <col min="17" max="17" width="17.140625" style="3" customWidth="1"/>
    <col min="18" max="18" width="4" style="3" customWidth="1"/>
  </cols>
  <sheetData>
    <row r="1" spans="1:18">
      <c r="A1" s="55" t="s">
        <v>1</v>
      </c>
      <c r="B1" s="54">
        <v>6</v>
      </c>
    </row>
    <row r="2" spans="1:18">
      <c r="A2" s="55" t="s">
        <v>2</v>
      </c>
      <c r="B2" s="54">
        <v>84.7</v>
      </c>
      <c r="R2" s="84"/>
    </row>
    <row r="3" spans="1:18">
      <c r="A3" s="55" t="s">
        <v>3</v>
      </c>
      <c r="B3" s="54">
        <v>167</v>
      </c>
      <c r="R3" s="84"/>
    </row>
    <row r="4" spans="1:18">
      <c r="A4" s="55" t="s">
        <v>4</v>
      </c>
      <c r="B4" s="54">
        <v>231</v>
      </c>
      <c r="C4" s="81">
        <v>519.75</v>
      </c>
      <c r="R4" s="84"/>
    </row>
    <row r="5" spans="1:18">
      <c r="A5" s="55" t="s">
        <v>5</v>
      </c>
      <c r="B5" s="83">
        <f>B4*C7</f>
        <v>348</v>
      </c>
      <c r="C5" s="81">
        <v>783</v>
      </c>
      <c r="R5" s="84"/>
    </row>
    <row r="6" spans="1:18">
      <c r="R6" s="84"/>
    </row>
    <row r="7" spans="1:18">
      <c r="A7" s="55" t="s">
        <v>50</v>
      </c>
      <c r="B7" s="82">
        <f>B5/B4</f>
        <v>1.5064935064935066</v>
      </c>
      <c r="C7" s="81">
        <f>C5/C4</f>
        <v>1.5064935064935066</v>
      </c>
      <c r="R7" s="84"/>
    </row>
    <row r="8" spans="1:18">
      <c r="R8" s="84"/>
    </row>
    <row r="9" spans="1:18">
      <c r="G9" s="3" t="s">
        <v>64</v>
      </c>
      <c r="I9" s="93">
        <v>2</v>
      </c>
      <c r="R9" s="84"/>
    </row>
    <row r="10" spans="1:18">
      <c r="G10" s="3" t="s">
        <v>53</v>
      </c>
      <c r="I10" s="93">
        <f>IF(IDX_SORT="in variance (in %)",1,0)</f>
        <v>0</v>
      </c>
      <c r="R10" s="84"/>
    </row>
    <row r="11" spans="1:18" ht="21">
      <c r="E11" s="84"/>
      <c r="F11" s="84"/>
      <c r="G11" s="84"/>
      <c r="H11" s="85"/>
      <c r="I11" s="181"/>
      <c r="J11" s="181"/>
      <c r="K11" s="181"/>
      <c r="L11" s="181"/>
      <c r="M11" s="181"/>
      <c r="N11" s="181"/>
      <c r="O11" s="181"/>
      <c r="P11" s="181"/>
      <c r="Q11" s="181"/>
      <c r="R11" s="84"/>
    </row>
    <row r="12" spans="1:18" ht="21" customHeight="1" thickBot="1">
      <c r="E12" s="84"/>
      <c r="F12" s="84"/>
      <c r="G12" s="182"/>
      <c r="H12" s="182"/>
      <c r="I12" s="182"/>
      <c r="J12" s="84"/>
      <c r="K12" s="84"/>
      <c r="L12" s="84"/>
      <c r="M12" s="84"/>
      <c r="O12" s="84"/>
      <c r="P12" s="84"/>
      <c r="Q12" s="84"/>
      <c r="R12" s="84"/>
    </row>
    <row r="13" spans="1:18" ht="42.75" customHeight="1" thickTop="1" thickBot="1">
      <c r="E13" s="84"/>
      <c r="F13" s="194" t="str">
        <f ca="1">IF($I$10=1,OFFSET(DATA_01!AQ16,$I$9,0),OFFSET(DATA_01!AP16,$I$9,0))</f>
        <v>SAN</v>
      </c>
      <c r="G13" s="195"/>
      <c r="H13" s="195"/>
      <c r="I13" s="196"/>
      <c r="J13" s="118"/>
      <c r="K13" s="191" t="str">
        <f ca="1">IDX_PHASE&amp;" "&amp;IF(LEFT(IDX_PERIOD,4)="F_YE",RIGHT(IDX_PERIOD,4),LEFT(IDX_PERIOD,4))&amp;" Versus "&amp;IDX_PHASE_COMP1&amp;" "&amp;IDX_PERIOD_COMP_N_1</f>
        <v>Actual 2016 Versus Budget N</v>
      </c>
      <c r="L13" s="192"/>
      <c r="M13" s="193"/>
      <c r="N13" s="119"/>
      <c r="O13" s="191" t="str">
        <f ca="1">IDX_PHASE&amp;" "&amp;IF(LEFT(IDX_PERIOD,4)="F_YE",RIGHT(IDX_PERIOD,4),LEFT(IDX_PERIOD,4))&amp;" Versus "&amp;IDX_PHASE_COMP2&amp;" "&amp;IDX_PERIOD_COMP_N_2</f>
        <v>Actual 2016 Versus Actual N-1</v>
      </c>
      <c r="P13" s="192"/>
      <c r="Q13" s="193"/>
      <c r="R13" s="84"/>
    </row>
    <row r="14" spans="1:18" ht="22.5" customHeight="1" thickTop="1">
      <c r="E14" s="84"/>
      <c r="F14" s="187" t="str">
        <f ca="1">IDX_PERIOD</f>
        <v>2016.08_YTD</v>
      </c>
      <c r="G14" s="188"/>
      <c r="H14" s="120"/>
      <c r="I14" s="128" t="str">
        <f ca="1">IDX_PHASE</f>
        <v>Actual</v>
      </c>
      <c r="J14" s="121"/>
      <c r="K14" s="133" t="str">
        <f ca="1">IDX_PHASE_COMP1&amp;" "&amp;IDX_PERIOD_COMP_N_1</f>
        <v>Budget N</v>
      </c>
      <c r="L14" s="185" t="s">
        <v>35</v>
      </c>
      <c r="M14" s="186"/>
      <c r="N14" s="122"/>
      <c r="O14" s="133" t="str">
        <f ca="1">IDX_PHASE_COMP2&amp;" "&amp;IDX_PERIOD_COMP_N_2</f>
        <v>Actual N-1</v>
      </c>
      <c r="P14" s="185" t="s">
        <v>35</v>
      </c>
      <c r="Q14" s="186"/>
    </row>
    <row r="15" spans="1:18" ht="19.5" customHeight="1" thickBot="1">
      <c r="E15" s="84"/>
      <c r="F15" s="189"/>
      <c r="G15" s="190"/>
      <c r="H15" s="123"/>
      <c r="I15" s="129" t="s">
        <v>51</v>
      </c>
      <c r="J15" s="125"/>
      <c r="K15" s="134" t="s">
        <v>51</v>
      </c>
      <c r="L15" s="124" t="s">
        <v>52</v>
      </c>
      <c r="M15" s="135" t="str">
        <f>IDX_CURRENCY</f>
        <v>LCL</v>
      </c>
      <c r="N15" s="126"/>
      <c r="O15" s="134" t="s">
        <v>51</v>
      </c>
      <c r="P15" s="124" t="s">
        <v>52</v>
      </c>
      <c r="Q15" s="135" t="str">
        <f>M15</f>
        <v>LCL</v>
      </c>
    </row>
    <row r="16" spans="1:18" ht="37.5" customHeight="1" thickTop="1" thickBot="1">
      <c r="E16" s="84"/>
      <c r="F16" s="197" t="str">
        <f>IF(IDX_LANG="English","D - Driving","D - Conduite")</f>
        <v>D - Driving</v>
      </c>
      <c r="G16" s="198"/>
      <c r="H16" s="110"/>
      <c r="I16" s="86">
        <f ca="1">VLOOKUP($F$13,DATA_01!$B$35:$CP$1038,4,0)</f>
        <v>0.48540094783608478</v>
      </c>
      <c r="J16" s="131"/>
      <c r="K16" s="87">
        <f ca="1">VLOOKUP($F$13,DATA_01!$B$35:$CP$1038,18,0)</f>
        <v>0.49758660955307121</v>
      </c>
      <c r="L16" s="101">
        <f ca="1">(K16-I16)*100</f>
        <v>1.2185661716986429</v>
      </c>
      <c r="M16" s="136">
        <f ca="1">VLOOKUP($F$13,DATA_01!$B$35:$CP$1038,73,0)</f>
        <v>730559.07293272763</v>
      </c>
      <c r="N16" s="102"/>
      <c r="O16" s="87">
        <f ca="1">VLOOKUP($F$13,DATA_01!$B$35:$CP$1038,46,0)</f>
        <v>0.49005248654970457</v>
      </c>
      <c r="P16" s="101">
        <f ca="1">IFERROR((O16-I16)*100,0)</f>
        <v>0.4651538713619785</v>
      </c>
      <c r="Q16" s="136">
        <f ca="1">VLOOKUP($F$13,DATA_01!$B$35:$CP$1038,84,0)</f>
        <v>278870.68337009102</v>
      </c>
    </row>
    <row r="17" spans="5:17" ht="37.5" customHeight="1" thickTop="1" thickBot="1">
      <c r="E17" s="84"/>
      <c r="F17" s="199" t="str">
        <f>IF(IDX_LANG="English","M - Maintenance","M - Maintenance")</f>
        <v>M - Maintenance</v>
      </c>
      <c r="G17" s="200"/>
      <c r="H17" s="88"/>
      <c r="I17" s="103">
        <f ca="1">VLOOKUP($F$13,DATA_01!$B$35:$CP$1038,6,0)</f>
        <v>0.14630363446243594</v>
      </c>
      <c r="J17" s="132"/>
      <c r="K17" s="104">
        <f ca="1">VLOOKUP($F$13,DATA_01!$B$35:$CP$1038,20,0)</f>
        <v>7.9878789470510192E-2</v>
      </c>
      <c r="L17" s="105">
        <f ca="1">(K17-I17)*100</f>
        <v>-6.6424844991925749</v>
      </c>
      <c r="M17" s="137">
        <f ca="1">VLOOKUP($F$13,DATA_01!$B$35:$CP$1038,75,0)</f>
        <v>-3982325.6466537165</v>
      </c>
      <c r="N17" s="89"/>
      <c r="O17" s="104">
        <f ca="1">VLOOKUP($F$13,DATA_01!$B$35:$CP$1038,48,0)</f>
        <v>0.13734655877614238</v>
      </c>
      <c r="P17" s="105">
        <f ca="1">IFERROR((O17-I17)*100,0)</f>
        <v>-0.89570756862935585</v>
      </c>
      <c r="Q17" s="137">
        <f ca="1">VLOOKUP($F$13,DATA_01!$B$35:$CP$1038,86,0)</f>
        <v>-536997.74879235495</v>
      </c>
    </row>
    <row r="18" spans="5:17" ht="37.5" customHeight="1" thickTop="1" thickBot="1">
      <c r="E18" s="84"/>
      <c r="F18" s="197" t="str">
        <f>IF(IDX_LANG="English","E - Energy","E - Energie")</f>
        <v>E - Energy</v>
      </c>
      <c r="G18" s="198"/>
      <c r="H18" s="110"/>
      <c r="I18" s="86">
        <f ca="1">VLOOKUP($F$13,DATA_01!$B$35:$CP$1038,8,0)</f>
        <v>7.5663117064494217E-2</v>
      </c>
      <c r="J18" s="131"/>
      <c r="K18" s="87">
        <f ca="1">VLOOKUP($F$13,DATA_01!$B$35:$CP$1038,22,0)</f>
        <v>9.1052334253519093E-2</v>
      </c>
      <c r="L18" s="101">
        <f ca="1">(K18-I18)*100</f>
        <v>1.5389217189024875</v>
      </c>
      <c r="M18" s="136">
        <f ca="1">VLOOKUP($F$13,DATA_01!$B$35:$CP$1038,77,0)</f>
        <v>922619.75622566324</v>
      </c>
      <c r="N18" s="102"/>
      <c r="O18" s="87">
        <f ca="1">VLOOKUP($F$13,DATA_01!$B$35:$CP$1038,50,0)</f>
        <v>8.5967316813945788E-2</v>
      </c>
      <c r="P18" s="101">
        <f ca="1">IFERROR((O18-I18)*100,0)</f>
        <v>1.030419974945157</v>
      </c>
      <c r="Q18" s="136">
        <f ca="1">VLOOKUP($F$13,DATA_01!$B$35:$CP$1038,88,0)</f>
        <v>617761.00396578666</v>
      </c>
    </row>
    <row r="19" spans="5:17" ht="37.5" customHeight="1" thickTop="1" thickBot="1">
      <c r="E19" s="84"/>
      <c r="F19" s="199" t="str">
        <f>IF(IDX_LANG="English","F - Fleet","F - Flotte")</f>
        <v>F - Fleet</v>
      </c>
      <c r="G19" s="200"/>
      <c r="H19" s="88"/>
      <c r="I19" s="103">
        <f ca="1">VLOOKUP($F$13,DATA_01!$B$35:$CP$1038,10,0)</f>
        <v>0.12455083327618278</v>
      </c>
      <c r="J19" s="132"/>
      <c r="K19" s="104">
        <f ca="1">VLOOKUP($F$13,DATA_01!$B$35:$CP$1038,24,0)</f>
        <v>0.14134608935945978</v>
      </c>
      <c r="L19" s="105">
        <f ca="1">(K19-I19)*100</f>
        <v>1.679525608327699</v>
      </c>
      <c r="M19" s="137">
        <f ca="1">VLOOKUP($F$13,DATA_01!$B$35:$CP$1038,79,0)</f>
        <v>1006915.0940537518</v>
      </c>
      <c r="N19" s="89"/>
      <c r="O19" s="104">
        <f ca="1">VLOOKUP($F$13,DATA_01!$B$35:$CP$1038,52,0)</f>
        <v>0.12824911706312919</v>
      </c>
      <c r="P19" s="105">
        <f ca="1">IFERROR((O19-I19)*100,0)</f>
        <v>0.36982837869464075</v>
      </c>
      <c r="Q19" s="137">
        <f ca="1">VLOOKUP($F$13,DATA_01!$B$35:$CP$1038,90,0)</f>
        <v>221720.80906098522</v>
      </c>
    </row>
    <row r="20" spans="5:17" ht="37.5" customHeight="1" thickTop="1" thickBot="1">
      <c r="E20" s="84"/>
      <c r="F20" s="197" t="str">
        <f>IF(IDX_LANG="English","O - Others","O - Autres")</f>
        <v>O - Others</v>
      </c>
      <c r="G20" s="198"/>
      <c r="H20" s="110"/>
      <c r="I20" s="86">
        <f ca="1">VLOOKUP($F$13,DATA_01!$B$35:$CP$1038,12,0)</f>
        <v>0.12705019162620376</v>
      </c>
      <c r="J20" s="131"/>
      <c r="K20" s="87">
        <f ca="1">VLOOKUP($F$13,DATA_01!$B$35:$CP$1038,26,0)</f>
        <v>0.12992930944015377</v>
      </c>
      <c r="L20" s="101">
        <f ca="1">(K20-I20)*100</f>
        <v>0.28791178139500051</v>
      </c>
      <c r="M20" s="136">
        <f ca="1">VLOOKUP($F$13,DATA_01!$B$35:$CP$1038,81,0)</f>
        <v>172609.88281755708</v>
      </c>
      <c r="N20" s="102"/>
      <c r="O20" s="87">
        <f ca="1">VLOOKUP($F$13,DATA_01!$B$35:$CP$1038,54,0)</f>
        <v>0.13262096812577634</v>
      </c>
      <c r="P20" s="101">
        <f ca="1">IFERROR((O20-I20)*100,0)</f>
        <v>0.55707764995725773</v>
      </c>
      <c r="Q20" s="136">
        <f ca="1">VLOOKUP($F$13,DATA_01!$B$35:$CP$1038,92,0)</f>
        <v>333981.1501061134</v>
      </c>
    </row>
    <row r="21" spans="5:17" ht="6.75" customHeight="1" thickTop="1" thickBot="1">
      <c r="E21" s="84"/>
      <c r="F21" s="90"/>
      <c r="G21" s="127"/>
      <c r="H21" s="106"/>
      <c r="I21" s="127"/>
      <c r="J21" s="107"/>
      <c r="K21" s="138"/>
      <c r="L21" s="108"/>
      <c r="M21" s="139"/>
      <c r="N21" s="109"/>
      <c r="O21" s="138"/>
      <c r="P21" s="108"/>
      <c r="Q21" s="139"/>
    </row>
    <row r="22" spans="5:17" ht="37.5" customHeight="1" thickTop="1" thickBot="1">
      <c r="E22" s="84"/>
      <c r="F22" s="201" t="str">
        <f>IF(IDX_LANG="English","GROSS MARGIN","MARGE BRUTE")</f>
        <v>GROSS MARGIN</v>
      </c>
      <c r="G22" s="202"/>
      <c r="H22" s="91"/>
      <c r="I22" s="99">
        <f ca="1">1-SUM(I16:I20)</f>
        <v>4.1031275734598416E-2</v>
      </c>
      <c r="J22" s="117"/>
      <c r="K22" s="100">
        <f ca="1">1-SUM(K16:K20)</f>
        <v>6.0206867923285889E-2</v>
      </c>
      <c r="L22" s="183">
        <f ca="1">(I22-K22)*100</f>
        <v>-1.9175592188687474</v>
      </c>
      <c r="M22" s="184"/>
      <c r="N22" s="102"/>
      <c r="O22" s="100">
        <f ca="1">1-SUM(O16:O20)</f>
        <v>2.5763552671301815E-2</v>
      </c>
      <c r="P22" s="183">
        <f ca="1">(I22-O22)*100</f>
        <v>1.5267723063296601</v>
      </c>
      <c r="Q22" s="184"/>
    </row>
    <row r="23" spans="5:17" ht="15.75" thickTop="1"/>
  </sheetData>
  <mergeCells count="16">
    <mergeCell ref="L22:M22"/>
    <mergeCell ref="P22:Q22"/>
    <mergeCell ref="F16:G16"/>
    <mergeCell ref="F17:G17"/>
    <mergeCell ref="F18:G18"/>
    <mergeCell ref="F19:G19"/>
    <mergeCell ref="F20:G20"/>
    <mergeCell ref="F22:G22"/>
    <mergeCell ref="F14:G15"/>
    <mergeCell ref="L14:M14"/>
    <mergeCell ref="P14:Q14"/>
    <mergeCell ref="I11:Q11"/>
    <mergeCell ref="G12:I12"/>
    <mergeCell ref="F13:I13"/>
    <mergeCell ref="K13:M13"/>
    <mergeCell ref="O13:Q13"/>
  </mergeCells>
  <conditionalFormatting sqref="B7">
    <cfRule type="expression" dxfId="446" priority="45" stopIfTrue="1">
      <formula>ROUND(ABS($B$7-$C$7),4)=0</formula>
    </cfRule>
    <cfRule type="expression" dxfId="445" priority="46">
      <formula>ROUND(ABS($B$7-$C$7),4)&lt;=0.2</formula>
    </cfRule>
    <cfRule type="expression" dxfId="444" priority="47">
      <formula>ROUND(ABS($B$7-$C$7),4)&gt;0.2</formula>
    </cfRule>
  </conditionalFormatting>
  <conditionalFormatting sqref="L16">
    <cfRule type="expression" dxfId="443" priority="9">
      <formula>L16&gt;0</formula>
    </cfRule>
    <cfRule type="expression" dxfId="442" priority="10">
      <formula>L16&lt;0</formula>
    </cfRule>
  </conditionalFormatting>
  <conditionalFormatting sqref="L18">
    <cfRule type="expression" dxfId="441" priority="7">
      <formula>L18&gt;0</formula>
    </cfRule>
    <cfRule type="expression" dxfId="440" priority="8">
      <formula>L18&lt;0</formula>
    </cfRule>
  </conditionalFormatting>
  <conditionalFormatting sqref="L20">
    <cfRule type="expression" dxfId="439" priority="5">
      <formula>L20&gt;0</formula>
    </cfRule>
    <cfRule type="expression" dxfId="438" priority="6">
      <formula>L20&lt;0</formula>
    </cfRule>
  </conditionalFormatting>
  <conditionalFormatting sqref="L19">
    <cfRule type="expression" dxfId="437" priority="3">
      <formula>L19&gt;0</formula>
    </cfRule>
    <cfRule type="expression" dxfId="436" priority="4">
      <formula>L19&lt;0</formula>
    </cfRule>
  </conditionalFormatting>
  <conditionalFormatting sqref="L17">
    <cfRule type="expression" dxfId="435" priority="1">
      <formula>L17&gt;0</formula>
    </cfRule>
    <cfRule type="expression" dxfId="434" priority="2">
      <formula>L17&lt;0</formula>
    </cfRule>
  </conditionalFormatting>
  <conditionalFormatting sqref="L22">
    <cfRule type="expression" dxfId="433" priority="43">
      <formula>L22&lt;0</formula>
    </cfRule>
    <cfRule type="expression" dxfId="432" priority="44">
      <formula>L22&gt;0</formula>
    </cfRule>
  </conditionalFormatting>
  <conditionalFormatting sqref="P22">
    <cfRule type="expression" dxfId="431" priority="41">
      <formula>P22&lt;0</formula>
    </cfRule>
    <cfRule type="expression" dxfId="430" priority="42">
      <formula>P22&gt;0</formula>
    </cfRule>
  </conditionalFormatting>
  <conditionalFormatting sqref="M16">
    <cfRule type="expression" dxfId="429" priority="29">
      <formula>M16&gt;0</formula>
    </cfRule>
    <cfRule type="expression" dxfId="428" priority="30">
      <formula>M16&lt;0</formula>
    </cfRule>
  </conditionalFormatting>
  <conditionalFormatting sqref="Q16">
    <cfRule type="expression" dxfId="427" priority="39">
      <formula>Q16&gt;0</formula>
    </cfRule>
    <cfRule type="expression" dxfId="426" priority="40">
      <formula>Q16&lt;0</formula>
    </cfRule>
  </conditionalFormatting>
  <conditionalFormatting sqref="Q18">
    <cfRule type="expression" dxfId="425" priority="37">
      <formula>Q18&gt;0</formula>
    </cfRule>
    <cfRule type="expression" dxfId="424" priority="38">
      <formula>Q18&lt;0</formula>
    </cfRule>
  </conditionalFormatting>
  <conditionalFormatting sqref="Q20">
    <cfRule type="expression" dxfId="423" priority="35">
      <formula>Q20&gt;0</formula>
    </cfRule>
    <cfRule type="expression" dxfId="422" priority="36">
      <formula>Q20&lt;0</formula>
    </cfRule>
  </conditionalFormatting>
  <conditionalFormatting sqref="Q19">
    <cfRule type="expression" dxfId="421" priority="33">
      <formula>Q19&gt;0</formula>
    </cfRule>
    <cfRule type="expression" dxfId="420" priority="34">
      <formula>Q19&lt;0</formula>
    </cfRule>
  </conditionalFormatting>
  <conditionalFormatting sqref="Q17">
    <cfRule type="expression" dxfId="419" priority="31">
      <formula>Q17&gt;0</formula>
    </cfRule>
    <cfRule type="expression" dxfId="418" priority="32">
      <formula>Q17&lt;0</formula>
    </cfRule>
  </conditionalFormatting>
  <conditionalFormatting sqref="M18">
    <cfRule type="expression" dxfId="417" priority="27">
      <formula>M18&gt;0</formula>
    </cfRule>
    <cfRule type="expression" dxfId="416" priority="28">
      <formula>M18&lt;0</formula>
    </cfRule>
  </conditionalFormatting>
  <conditionalFormatting sqref="M20">
    <cfRule type="expression" dxfId="415" priority="25">
      <formula>M20&gt;0</formula>
    </cfRule>
    <cfRule type="expression" dxfId="414" priority="26">
      <formula>M20&lt;0</formula>
    </cfRule>
  </conditionalFormatting>
  <conditionalFormatting sqref="M19">
    <cfRule type="expression" dxfId="413" priority="23">
      <formula>M19&gt;0</formula>
    </cfRule>
    <cfRule type="expression" dxfId="412" priority="24">
      <formula>M19&lt;0</formula>
    </cfRule>
  </conditionalFormatting>
  <conditionalFormatting sqref="M17">
    <cfRule type="expression" dxfId="411" priority="21">
      <formula>M17&gt;0</formula>
    </cfRule>
    <cfRule type="expression" dxfId="410" priority="22">
      <formula>M17&lt;0</formula>
    </cfRule>
  </conditionalFormatting>
  <conditionalFormatting sqref="P16">
    <cfRule type="expression" dxfId="409" priority="19">
      <formula>P16&gt;0</formula>
    </cfRule>
    <cfRule type="expression" dxfId="408" priority="20">
      <formula>P16&lt;0</formula>
    </cfRule>
  </conditionalFormatting>
  <conditionalFormatting sqref="P18">
    <cfRule type="expression" dxfId="407" priority="17">
      <formula>P18&gt;0</formula>
    </cfRule>
    <cfRule type="expression" dxfId="406" priority="18">
      <formula>P18&lt;0</formula>
    </cfRule>
  </conditionalFormatting>
  <conditionalFormatting sqref="P20">
    <cfRule type="expression" dxfId="405" priority="15">
      <formula>P20&gt;0</formula>
    </cfRule>
    <cfRule type="expression" dxfId="404" priority="16">
      <formula>P20&lt;0</formula>
    </cfRule>
  </conditionalFormatting>
  <conditionalFormatting sqref="P19">
    <cfRule type="expression" dxfId="403" priority="13">
      <formula>P19&gt;0</formula>
    </cfRule>
    <cfRule type="expression" dxfId="402" priority="14">
      <formula>P19&lt;0</formula>
    </cfRule>
  </conditionalFormatting>
  <conditionalFormatting sqref="P17">
    <cfRule type="expression" dxfId="401" priority="11">
      <formula>P17&gt;0</formula>
    </cfRule>
    <cfRule type="expression" dxfId="400" priority="12">
      <formula>P17&lt;0</formula>
    </cfRule>
  </conditionalFormatting>
  <dataValidations count="1">
    <dataValidation type="list" allowBlank="1" showInputMessage="1" showErrorMessage="1" sqref="I9">
      <formula1>"1,2,3,4,5"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get_size">
                <anchor moveWithCells="1" sizeWithCells="1">
                  <from>
                    <xdr:col>3</xdr:col>
                    <xdr:colOff>142875</xdr:colOff>
                    <xdr:row>2</xdr:row>
                    <xdr:rowOff>47625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rgb="FFC00000"/>
  </sheetPr>
  <dimension ref="A1:R11"/>
  <sheetViews>
    <sheetView showGridLines="0" zoomScale="70" zoomScaleNormal="70" workbookViewId="0"/>
  </sheetViews>
  <sheetFormatPr baseColWidth="10" defaultRowHeight="15"/>
  <cols>
    <col min="5" max="5" width="9.5703125" style="3" customWidth="1"/>
    <col min="6" max="6" width="6.85546875" style="3" hidden="1" customWidth="1"/>
    <col min="7" max="7" width="35" style="3" customWidth="1"/>
    <col min="8" max="8" width="10.42578125" style="92" customWidth="1"/>
    <col min="9" max="9" width="93.85546875" style="3" customWidth="1"/>
    <col min="10" max="10" width="0.42578125" style="3" customWidth="1"/>
    <col min="11" max="11" width="11" style="3" customWidth="1"/>
    <col min="12" max="12" width="12.5703125" style="3" customWidth="1"/>
    <col min="13" max="13" width="17.140625" style="3" customWidth="1"/>
    <col min="14" max="14" width="0.42578125" style="3" customWidth="1"/>
    <col min="15" max="15" width="11" style="3" customWidth="1"/>
    <col min="16" max="16" width="13.140625" style="3" customWidth="1"/>
    <col min="17" max="17" width="17.140625" style="3" customWidth="1"/>
    <col min="18" max="18" width="4" style="3" customWidth="1"/>
  </cols>
  <sheetData>
    <row r="1" spans="1:18">
      <c r="A1" s="55" t="s">
        <v>1</v>
      </c>
      <c r="B1" s="54">
        <v>7</v>
      </c>
    </row>
    <row r="2" spans="1:18">
      <c r="A2" s="55" t="s">
        <v>2</v>
      </c>
      <c r="B2" s="54">
        <v>50</v>
      </c>
      <c r="R2" s="84"/>
    </row>
    <row r="3" spans="1:18">
      <c r="A3" s="55" t="s">
        <v>3</v>
      </c>
      <c r="B3" s="54">
        <v>30</v>
      </c>
      <c r="R3" s="84"/>
    </row>
    <row r="4" spans="1:18">
      <c r="A4" s="55" t="s">
        <v>4</v>
      </c>
      <c r="B4" s="54">
        <v>20</v>
      </c>
      <c r="C4" s="81">
        <v>519.75</v>
      </c>
      <c r="R4" s="84"/>
    </row>
    <row r="5" spans="1:18">
      <c r="A5" s="55" t="s">
        <v>5</v>
      </c>
      <c r="B5" s="54">
        <v>250</v>
      </c>
      <c r="C5" s="81">
        <v>783</v>
      </c>
      <c r="R5" s="84"/>
    </row>
    <row r="6" spans="1:18">
      <c r="R6" s="84"/>
    </row>
    <row r="7" spans="1:18">
      <c r="A7" s="55" t="s">
        <v>50</v>
      </c>
      <c r="B7" s="82">
        <f>B5/B4</f>
        <v>12.5</v>
      </c>
      <c r="C7" s="81">
        <f>C5/C4</f>
        <v>1.5064935064935066</v>
      </c>
      <c r="R7" s="84"/>
    </row>
    <row r="8" spans="1:18">
      <c r="G8" s="3" t="s">
        <v>64</v>
      </c>
      <c r="H8" s="93">
        <v>3</v>
      </c>
      <c r="R8" s="84"/>
    </row>
    <row r="9" spans="1:18">
      <c r="G9" s="3" t="s">
        <v>53</v>
      </c>
      <c r="H9" s="93">
        <f>IF(IDX_SORT="in variance (in %)",1,0)</f>
        <v>0</v>
      </c>
      <c r="R9" s="84"/>
    </row>
    <row r="10" spans="1:18">
      <c r="R10" s="84"/>
    </row>
    <row r="11" spans="1:18" ht="21" customHeight="1">
      <c r="E11" s="84"/>
      <c r="F11" s="84"/>
      <c r="G11" s="84"/>
      <c r="H11" s="85"/>
      <c r="I11" s="143" t="str">
        <f ca="1">IDX_MAN_ORG&amp;" - "&amp;IF($H$9=1,OFFSET(DATA_01!AQ16,$H$8,0),OFFSET(DATA_01!AP16,$H$8,0))</f>
        <v>NETH_BM01 - Noord and Midden Zeeland</v>
      </c>
      <c r="J11" s="142"/>
      <c r="K11" s="142"/>
      <c r="L11" s="142"/>
      <c r="M11" s="142"/>
      <c r="N11" s="142"/>
      <c r="O11" s="142"/>
      <c r="P11" s="142"/>
      <c r="Q11" s="142"/>
      <c r="R11" s="84"/>
    </row>
  </sheetData>
  <conditionalFormatting sqref="B7">
    <cfRule type="expression" dxfId="399" priority="1" stopIfTrue="1">
      <formula>ROUND(ABS($B$7-$C$7),4)=0</formula>
    </cfRule>
    <cfRule type="expression" dxfId="398" priority="2">
      <formula>ROUND(ABS($B$7-$C$7),4)&lt;=0.2</formula>
    </cfRule>
    <cfRule type="expression" dxfId="397" priority="3">
      <formula>ROUND(ABS($B$7-$C$7),4)&gt;0.2</formula>
    </cfRule>
  </conditionalFormatting>
  <dataValidations count="1">
    <dataValidation type="list" allowBlank="1" showInputMessage="1" showErrorMessage="1" sqref="H8">
      <formula1>"1,2,3,4,5"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get_size">
                <anchor moveWithCells="1" sizeWithCells="1">
                  <from>
                    <xdr:col>3</xdr:col>
                    <xdr:colOff>142875</xdr:colOff>
                    <xdr:row>2</xdr:row>
                    <xdr:rowOff>47625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rgb="FFC00000"/>
  </sheetPr>
  <dimension ref="A1:R23"/>
  <sheetViews>
    <sheetView showGridLines="0" zoomScale="70" zoomScaleNormal="70" workbookViewId="0">
      <selection activeCell="L22" sqref="L22:M22"/>
    </sheetView>
  </sheetViews>
  <sheetFormatPr baseColWidth="10" defaultRowHeight="15"/>
  <cols>
    <col min="5" max="5" width="4" style="3" customWidth="1"/>
    <col min="6" max="6" width="6.85546875" style="3" hidden="1" customWidth="1"/>
    <col min="7" max="7" width="35" style="3" customWidth="1"/>
    <col min="8" max="8" width="0.42578125" style="92" customWidth="1"/>
    <col min="9" max="9" width="11" style="3" customWidth="1"/>
    <col min="10" max="10" width="0.42578125" style="3" customWidth="1"/>
    <col min="11" max="11" width="11" style="3" customWidth="1"/>
    <col min="12" max="12" width="12.5703125" style="3" customWidth="1"/>
    <col min="13" max="13" width="17.140625" style="3" customWidth="1"/>
    <col min="14" max="14" width="0.42578125" style="3" customWidth="1"/>
    <col min="15" max="15" width="11" style="3" customWidth="1"/>
    <col min="16" max="16" width="13.140625" style="3" customWidth="1"/>
    <col min="17" max="17" width="17.140625" style="3" customWidth="1"/>
    <col min="18" max="18" width="4" style="3" customWidth="1"/>
  </cols>
  <sheetData>
    <row r="1" spans="1:18">
      <c r="A1" s="55" t="s">
        <v>1</v>
      </c>
      <c r="B1" s="54">
        <v>7</v>
      </c>
    </row>
    <row r="2" spans="1:18">
      <c r="A2" s="55" t="s">
        <v>2</v>
      </c>
      <c r="B2" s="54">
        <v>84.7</v>
      </c>
      <c r="R2" s="84"/>
    </row>
    <row r="3" spans="1:18">
      <c r="A3" s="55" t="s">
        <v>3</v>
      </c>
      <c r="B3" s="54">
        <v>167</v>
      </c>
      <c r="R3" s="84"/>
    </row>
    <row r="4" spans="1:18">
      <c r="A4" s="55" t="s">
        <v>4</v>
      </c>
      <c r="B4" s="54">
        <v>231</v>
      </c>
      <c r="C4" s="81">
        <v>519.75</v>
      </c>
      <c r="R4" s="84"/>
    </row>
    <row r="5" spans="1:18">
      <c r="A5" s="55" t="s">
        <v>5</v>
      </c>
      <c r="B5" s="83">
        <f>B4*C7</f>
        <v>348</v>
      </c>
      <c r="C5" s="81">
        <v>783</v>
      </c>
      <c r="R5" s="84"/>
    </row>
    <row r="6" spans="1:18">
      <c r="R6" s="84"/>
    </row>
    <row r="7" spans="1:18">
      <c r="A7" s="55" t="s">
        <v>50</v>
      </c>
      <c r="B7" s="82">
        <f>B5/B4</f>
        <v>1.5064935064935066</v>
      </c>
      <c r="C7" s="81">
        <f>C5/C4</f>
        <v>1.5064935064935066</v>
      </c>
      <c r="R7" s="84"/>
    </row>
    <row r="8" spans="1:18">
      <c r="R8" s="84"/>
    </row>
    <row r="9" spans="1:18">
      <c r="G9" s="3" t="s">
        <v>64</v>
      </c>
      <c r="I9" s="93">
        <v>3</v>
      </c>
      <c r="R9" s="84"/>
    </row>
    <row r="10" spans="1:18">
      <c r="G10" s="3" t="s">
        <v>53</v>
      </c>
      <c r="I10" s="93">
        <f>IF(IDX_SORT="in variance (in %)",1,0)</f>
        <v>0</v>
      </c>
      <c r="R10" s="84"/>
    </row>
    <row r="11" spans="1:18" ht="21">
      <c r="E11" s="84"/>
      <c r="F11" s="84"/>
      <c r="G11" s="84"/>
      <c r="H11" s="85"/>
      <c r="I11" s="181"/>
      <c r="J11" s="181"/>
      <c r="K11" s="181"/>
      <c r="L11" s="181"/>
      <c r="M11" s="181"/>
      <c r="N11" s="181"/>
      <c r="O11" s="181"/>
      <c r="P11" s="181"/>
      <c r="Q11" s="181"/>
      <c r="R11" s="84"/>
    </row>
    <row r="12" spans="1:18" ht="21" customHeight="1" thickBot="1">
      <c r="E12" s="84"/>
      <c r="F12" s="84"/>
      <c r="G12" s="182"/>
      <c r="H12" s="182"/>
      <c r="I12" s="182"/>
      <c r="J12" s="84"/>
      <c r="K12" s="84"/>
      <c r="L12" s="84"/>
      <c r="M12" s="84"/>
      <c r="O12" s="84"/>
      <c r="P12" s="84"/>
      <c r="Q12" s="84"/>
      <c r="R12" s="84"/>
    </row>
    <row r="13" spans="1:18" ht="42.75" customHeight="1" thickTop="1" thickBot="1">
      <c r="E13" s="84"/>
      <c r="F13" s="194" t="str">
        <f ca="1">IF($I$10=1,OFFSET(DATA_01!AQ16,$I$9,0),OFFSET(DATA_01!AP16,$I$9,0))</f>
        <v>Noord and Midden Zeeland</v>
      </c>
      <c r="G13" s="195"/>
      <c r="H13" s="195"/>
      <c r="I13" s="196"/>
      <c r="J13" s="118"/>
      <c r="K13" s="191" t="str">
        <f ca="1">IDX_PHASE&amp;" "&amp;IF(LEFT(IDX_PERIOD,4)="F_YE",RIGHT(IDX_PERIOD,4),LEFT(IDX_PERIOD,4))&amp;" Versus "&amp;IDX_PHASE_COMP1&amp;" "&amp;IDX_PERIOD_COMP_N_1</f>
        <v>Actual 2016 Versus Budget N</v>
      </c>
      <c r="L13" s="192"/>
      <c r="M13" s="193"/>
      <c r="N13" s="119"/>
      <c r="O13" s="191" t="str">
        <f ca="1">IDX_PHASE&amp;" "&amp;IF(LEFT(IDX_PERIOD,4)="F_YE",RIGHT(IDX_PERIOD,4),LEFT(IDX_PERIOD,4))&amp;" Versus "&amp;IDX_PHASE_COMP2&amp;" "&amp;IDX_PERIOD_COMP_N_2</f>
        <v>Actual 2016 Versus Actual N-1</v>
      </c>
      <c r="P13" s="192"/>
      <c r="Q13" s="193"/>
      <c r="R13" s="84"/>
    </row>
    <row r="14" spans="1:18" ht="22.5" customHeight="1" thickTop="1">
      <c r="E14" s="84"/>
      <c r="F14" s="187" t="str">
        <f ca="1">IDX_PERIOD</f>
        <v>2016.08_YTD</v>
      </c>
      <c r="G14" s="188"/>
      <c r="H14" s="120"/>
      <c r="I14" s="128" t="str">
        <f ca="1">IDX_PHASE</f>
        <v>Actual</v>
      </c>
      <c r="J14" s="121"/>
      <c r="K14" s="133" t="str">
        <f ca="1">IDX_PHASE_COMP1&amp;" "&amp;IDX_PERIOD_COMP_N_1</f>
        <v>Budget N</v>
      </c>
      <c r="L14" s="185" t="s">
        <v>35</v>
      </c>
      <c r="M14" s="186"/>
      <c r="N14" s="122"/>
      <c r="O14" s="133" t="str">
        <f ca="1">IDX_PHASE_COMP2&amp;" "&amp;IDX_PERIOD_COMP_N_2</f>
        <v>Actual N-1</v>
      </c>
      <c r="P14" s="185" t="s">
        <v>35</v>
      </c>
      <c r="Q14" s="186"/>
    </row>
    <row r="15" spans="1:18" ht="19.5" customHeight="1" thickBot="1">
      <c r="E15" s="84"/>
      <c r="F15" s="189"/>
      <c r="G15" s="190"/>
      <c r="H15" s="123"/>
      <c r="I15" s="129" t="s">
        <v>51</v>
      </c>
      <c r="J15" s="125"/>
      <c r="K15" s="134" t="s">
        <v>51</v>
      </c>
      <c r="L15" s="124" t="s">
        <v>52</v>
      </c>
      <c r="M15" s="135" t="str">
        <f>IDX_CURRENCY</f>
        <v>LCL</v>
      </c>
      <c r="N15" s="126"/>
      <c r="O15" s="134" t="s">
        <v>51</v>
      </c>
      <c r="P15" s="124" t="s">
        <v>52</v>
      </c>
      <c r="Q15" s="135" t="str">
        <f>M15</f>
        <v>LCL</v>
      </c>
    </row>
    <row r="16" spans="1:18" ht="37.5" customHeight="1" thickTop="1" thickBot="1">
      <c r="E16" s="84"/>
      <c r="F16" s="197" t="str">
        <f>IF(IDX_LANG="English","D - Driving","D - Conduite")</f>
        <v>D - Driving</v>
      </c>
      <c r="G16" s="198"/>
      <c r="H16" s="110"/>
      <c r="I16" s="86">
        <f ca="1">VLOOKUP($F$13,DATA_01!$B$35:$CP$1038,4,0)</f>
        <v>0.51063416819422014</v>
      </c>
      <c r="J16" s="131"/>
      <c r="K16" s="87">
        <f ca="1">VLOOKUP($F$13,DATA_01!$B$35:$CP$1038,18,0)</f>
        <v>0.47036198584444544</v>
      </c>
      <c r="L16" s="101">
        <f ca="1">(K16-I16)*100</f>
        <v>-4.0272182349774699</v>
      </c>
      <c r="M16" s="136">
        <f ca="1">VLOOKUP($F$13,DATA_01!$B$35:$CP$1038,73,0)</f>
        <v>-654223.43022644706</v>
      </c>
      <c r="N16" s="102"/>
      <c r="O16" s="87">
        <f ca="1">VLOOKUP($F$13,DATA_01!$B$35:$CP$1038,46,0)</f>
        <v>0.5206303905882953</v>
      </c>
      <c r="P16" s="101">
        <f ca="1">IFERROR((O16-I16)*100,0)</f>
        <v>0.99962223940751604</v>
      </c>
      <c r="Q16" s="136">
        <f ca="1">VLOOKUP($F$13,DATA_01!$B$35:$CP$1038,84,0)</f>
        <v>162389.08652028535</v>
      </c>
    </row>
    <row r="17" spans="5:17" ht="37.5" customHeight="1" thickTop="1" thickBot="1">
      <c r="E17" s="84"/>
      <c r="F17" s="199" t="str">
        <f>IF(IDX_LANG="English","M - Maintenance","M - Maintenance")</f>
        <v>M - Maintenance</v>
      </c>
      <c r="G17" s="200"/>
      <c r="H17" s="88"/>
      <c r="I17" s="103">
        <f ca="1">VLOOKUP($F$13,DATA_01!$B$35:$CP$1038,6,0)</f>
        <v>7.5328986199896364E-2</v>
      </c>
      <c r="J17" s="132"/>
      <c r="K17" s="104">
        <f ca="1">VLOOKUP($F$13,DATA_01!$B$35:$CP$1038,20,0)</f>
        <v>0.10626812347391709</v>
      </c>
      <c r="L17" s="105">
        <f ca="1">(K17-I17)*100</f>
        <v>3.0939137274020729</v>
      </c>
      <c r="M17" s="137">
        <f ca="1">VLOOKUP($F$13,DATA_01!$B$35:$CP$1038,75,0)</f>
        <v>502607.68934390764</v>
      </c>
      <c r="N17" s="89"/>
      <c r="O17" s="104">
        <f ca="1">VLOOKUP($F$13,DATA_01!$B$35:$CP$1038,48,0)</f>
        <v>0.10273224954313247</v>
      </c>
      <c r="P17" s="105">
        <f ca="1">IFERROR((O17-I17)*100,0)</f>
        <v>2.7403263343236102</v>
      </c>
      <c r="Q17" s="137">
        <f ca="1">VLOOKUP($F$13,DATA_01!$B$35:$CP$1038,86,0)</f>
        <v>445167.25684499368</v>
      </c>
    </row>
    <row r="18" spans="5:17" ht="37.5" customHeight="1" thickTop="1" thickBot="1">
      <c r="E18" s="84"/>
      <c r="F18" s="197" t="str">
        <f>IF(IDX_LANG="English","E - Energy","E - Energie")</f>
        <v>E - Energy</v>
      </c>
      <c r="G18" s="198"/>
      <c r="H18" s="110"/>
      <c r="I18" s="86">
        <f ca="1">VLOOKUP($F$13,DATA_01!$B$35:$CP$1038,8,0)</f>
        <v>0.10348317407809962</v>
      </c>
      <c r="J18" s="131"/>
      <c r="K18" s="87">
        <f ca="1">VLOOKUP($F$13,DATA_01!$B$35:$CP$1038,22,0)</f>
        <v>0.11550384997554725</v>
      </c>
      <c r="L18" s="101">
        <f ca="1">(K18-I18)*100</f>
        <v>1.2020675897447624</v>
      </c>
      <c r="M18" s="136">
        <f ca="1">VLOOKUP($F$13,DATA_01!$B$35:$CP$1038,77,0)</f>
        <v>195276.4255725157</v>
      </c>
      <c r="N18" s="102"/>
      <c r="O18" s="87">
        <f ca="1">VLOOKUP($F$13,DATA_01!$B$35:$CP$1038,50,0)</f>
        <v>0.13422756577215966</v>
      </c>
      <c r="P18" s="101">
        <f ca="1">IFERROR((O18-I18)*100,0)</f>
        <v>3.0744391694060043</v>
      </c>
      <c r="Q18" s="136">
        <f ca="1">VLOOKUP($F$13,DATA_01!$B$35:$CP$1038,88,0)</f>
        <v>499444.03855794435</v>
      </c>
    </row>
    <row r="19" spans="5:17" ht="37.5" customHeight="1" thickTop="1" thickBot="1">
      <c r="E19" s="84"/>
      <c r="F19" s="199" t="str">
        <f>IF(IDX_LANG="English","F - Fleet","F - Flotte")</f>
        <v>F - Fleet</v>
      </c>
      <c r="G19" s="200"/>
      <c r="H19" s="88"/>
      <c r="I19" s="103">
        <f ca="1">VLOOKUP($F$13,DATA_01!$B$35:$CP$1038,10,0)</f>
        <v>0.1031488112080923</v>
      </c>
      <c r="J19" s="132"/>
      <c r="K19" s="104">
        <f ca="1">VLOOKUP($F$13,DATA_01!$B$35:$CP$1038,24,0)</f>
        <v>8.5973135940984033E-2</v>
      </c>
      <c r="L19" s="105">
        <f ca="1">(K19-I19)*100</f>
        <v>-1.7175675267108268</v>
      </c>
      <c r="M19" s="137">
        <f ca="1">VLOOKUP($F$13,DATA_01!$B$35:$CP$1038,79,0)</f>
        <v>-279019.62431807397</v>
      </c>
      <c r="N19" s="89"/>
      <c r="O19" s="104">
        <f ca="1">VLOOKUP($F$13,DATA_01!$B$35:$CP$1038,52,0)</f>
        <v>9.1745821224818447E-2</v>
      </c>
      <c r="P19" s="105">
        <f ca="1">IFERROR((O19-I19)*100,0)</f>
        <v>-1.1402989983273852</v>
      </c>
      <c r="Q19" s="137">
        <f ca="1">VLOOKUP($F$13,DATA_01!$B$35:$CP$1038,90,0)</f>
        <v>-185242.08985999902</v>
      </c>
    </row>
    <row r="20" spans="5:17" ht="37.5" customHeight="1" thickTop="1" thickBot="1">
      <c r="E20" s="84"/>
      <c r="F20" s="197" t="str">
        <f>IF(IDX_LANG="English","O - Others","O - Autres")</f>
        <v>O - Others</v>
      </c>
      <c r="G20" s="198"/>
      <c r="H20" s="110"/>
      <c r="I20" s="86">
        <f ca="1">VLOOKUP($F$13,DATA_01!$B$35:$CP$1038,12,0)</f>
        <v>0.12285933477468725</v>
      </c>
      <c r="J20" s="131"/>
      <c r="K20" s="87">
        <f ca="1">VLOOKUP($F$13,DATA_01!$B$35:$CP$1038,26,0)</f>
        <v>0.10933480784508906</v>
      </c>
      <c r="L20" s="101">
        <f ca="1">(K20-I20)*100</f>
        <v>-1.3524526929598184</v>
      </c>
      <c r="M20" s="136">
        <f ca="1">VLOOKUP($F$13,DATA_01!$B$35:$CP$1038,81,0)</f>
        <v>-219706.55384959979</v>
      </c>
      <c r="N20" s="102"/>
      <c r="O20" s="87">
        <f ca="1">VLOOKUP($F$13,DATA_01!$B$35:$CP$1038,54,0)</f>
        <v>0.14668987771821643</v>
      </c>
      <c r="P20" s="101">
        <f ca="1">IFERROR((O20-I20)*100,0)</f>
        <v>2.383054294352918</v>
      </c>
      <c r="Q20" s="136">
        <f ca="1">VLOOKUP($F$13,DATA_01!$B$35:$CP$1038,92,0)</f>
        <v>387128.25178597588</v>
      </c>
    </row>
    <row r="21" spans="5:17" ht="6.75" customHeight="1" thickTop="1" thickBot="1">
      <c r="E21" s="84"/>
      <c r="F21" s="90"/>
      <c r="G21" s="127"/>
      <c r="H21" s="106"/>
      <c r="I21" s="127"/>
      <c r="J21" s="107"/>
      <c r="K21" s="138"/>
      <c r="L21" s="108"/>
      <c r="M21" s="139"/>
      <c r="N21" s="109"/>
      <c r="O21" s="138"/>
      <c r="P21" s="108"/>
      <c r="Q21" s="139"/>
    </row>
    <row r="22" spans="5:17" ht="37.5" customHeight="1" thickTop="1" thickBot="1">
      <c r="E22" s="84"/>
      <c r="F22" s="201" t="str">
        <f>IF(IDX_LANG="English","GROSS MARGIN","MARGE BRUTE")</f>
        <v>GROSS MARGIN</v>
      </c>
      <c r="G22" s="202"/>
      <c r="H22" s="91"/>
      <c r="I22" s="99">
        <f ca="1">1-SUM(I16:I20)</f>
        <v>8.4545525545004385E-2</v>
      </c>
      <c r="J22" s="117"/>
      <c r="K22" s="100">
        <f ca="1">1-SUM(K16:K20)</f>
        <v>0.11255809692001717</v>
      </c>
      <c r="L22" s="183">
        <f ca="1">(I22-K22)*100</f>
        <v>-2.8012571375012785</v>
      </c>
      <c r="M22" s="184"/>
      <c r="N22" s="102"/>
      <c r="O22" s="100">
        <f ca="1">1-SUM(O16:O20)</f>
        <v>3.9740951533777658E-3</v>
      </c>
      <c r="P22" s="183">
        <f ca="1">(I22-O22)*100</f>
        <v>8.0571430391626624</v>
      </c>
      <c r="Q22" s="184"/>
    </row>
    <row r="23" spans="5:17" ht="15.75" thickTop="1"/>
  </sheetData>
  <mergeCells count="16">
    <mergeCell ref="L22:M22"/>
    <mergeCell ref="P22:Q22"/>
    <mergeCell ref="F16:G16"/>
    <mergeCell ref="F17:G17"/>
    <mergeCell ref="F18:G18"/>
    <mergeCell ref="F19:G19"/>
    <mergeCell ref="F20:G20"/>
    <mergeCell ref="F22:G22"/>
    <mergeCell ref="F14:G15"/>
    <mergeCell ref="L14:M14"/>
    <mergeCell ref="P14:Q14"/>
    <mergeCell ref="I11:Q11"/>
    <mergeCell ref="G12:I12"/>
    <mergeCell ref="F13:I13"/>
    <mergeCell ref="K13:M13"/>
    <mergeCell ref="O13:Q13"/>
  </mergeCells>
  <conditionalFormatting sqref="B7">
    <cfRule type="expression" dxfId="396" priority="45" stopIfTrue="1">
      <formula>ROUND(ABS($B$7-$C$7),4)=0</formula>
    </cfRule>
    <cfRule type="expression" dxfId="395" priority="46">
      <formula>ROUND(ABS($B$7-$C$7),4)&lt;=0.2</formula>
    </cfRule>
    <cfRule type="expression" dxfId="394" priority="47">
      <formula>ROUND(ABS($B$7-$C$7),4)&gt;0.2</formula>
    </cfRule>
  </conditionalFormatting>
  <conditionalFormatting sqref="L16">
    <cfRule type="expression" dxfId="393" priority="9">
      <formula>L16&gt;0</formula>
    </cfRule>
    <cfRule type="expression" dxfId="392" priority="10">
      <formula>L16&lt;0</formula>
    </cfRule>
  </conditionalFormatting>
  <conditionalFormatting sqref="L18">
    <cfRule type="expression" dxfId="391" priority="7">
      <formula>L18&gt;0</formula>
    </cfRule>
    <cfRule type="expression" dxfId="390" priority="8">
      <formula>L18&lt;0</formula>
    </cfRule>
  </conditionalFormatting>
  <conditionalFormatting sqref="L20">
    <cfRule type="expression" dxfId="389" priority="5">
      <formula>L20&gt;0</formula>
    </cfRule>
    <cfRule type="expression" dxfId="388" priority="6">
      <formula>L20&lt;0</formula>
    </cfRule>
  </conditionalFormatting>
  <conditionalFormatting sqref="L19">
    <cfRule type="expression" dxfId="387" priority="3">
      <formula>L19&gt;0</formula>
    </cfRule>
    <cfRule type="expression" dxfId="386" priority="4">
      <formula>L19&lt;0</formula>
    </cfRule>
  </conditionalFormatting>
  <conditionalFormatting sqref="L17">
    <cfRule type="expression" dxfId="385" priority="1">
      <formula>L17&gt;0</formula>
    </cfRule>
    <cfRule type="expression" dxfId="384" priority="2">
      <formula>L17&lt;0</formula>
    </cfRule>
  </conditionalFormatting>
  <conditionalFormatting sqref="L22">
    <cfRule type="expression" dxfId="383" priority="43">
      <formula>L22&lt;0</formula>
    </cfRule>
    <cfRule type="expression" dxfId="382" priority="44">
      <formula>L22&gt;0</formula>
    </cfRule>
  </conditionalFormatting>
  <conditionalFormatting sqref="P22">
    <cfRule type="expression" dxfId="381" priority="41">
      <formula>P22&lt;0</formula>
    </cfRule>
    <cfRule type="expression" dxfId="380" priority="42">
      <formula>P22&gt;0</formula>
    </cfRule>
  </conditionalFormatting>
  <conditionalFormatting sqref="M16">
    <cfRule type="expression" dxfId="379" priority="29">
      <formula>M16&gt;0</formula>
    </cfRule>
    <cfRule type="expression" dxfId="378" priority="30">
      <formula>M16&lt;0</formula>
    </cfRule>
  </conditionalFormatting>
  <conditionalFormatting sqref="Q16">
    <cfRule type="expression" dxfId="377" priority="39">
      <formula>Q16&gt;0</formula>
    </cfRule>
    <cfRule type="expression" dxfId="376" priority="40">
      <formula>Q16&lt;0</formula>
    </cfRule>
  </conditionalFormatting>
  <conditionalFormatting sqref="Q18">
    <cfRule type="expression" dxfId="375" priority="37">
      <formula>Q18&gt;0</formula>
    </cfRule>
    <cfRule type="expression" dxfId="374" priority="38">
      <formula>Q18&lt;0</formula>
    </cfRule>
  </conditionalFormatting>
  <conditionalFormatting sqref="Q20">
    <cfRule type="expression" dxfId="373" priority="35">
      <formula>Q20&gt;0</formula>
    </cfRule>
    <cfRule type="expression" dxfId="372" priority="36">
      <formula>Q20&lt;0</formula>
    </cfRule>
  </conditionalFormatting>
  <conditionalFormatting sqref="Q19">
    <cfRule type="expression" dxfId="371" priority="33">
      <formula>Q19&gt;0</formula>
    </cfRule>
    <cfRule type="expression" dxfId="370" priority="34">
      <formula>Q19&lt;0</formula>
    </cfRule>
  </conditionalFormatting>
  <conditionalFormatting sqref="Q17">
    <cfRule type="expression" dxfId="369" priority="31">
      <formula>Q17&gt;0</formula>
    </cfRule>
    <cfRule type="expression" dxfId="368" priority="32">
      <formula>Q17&lt;0</formula>
    </cfRule>
  </conditionalFormatting>
  <conditionalFormatting sqref="M18">
    <cfRule type="expression" dxfId="367" priority="27">
      <formula>M18&gt;0</formula>
    </cfRule>
    <cfRule type="expression" dxfId="366" priority="28">
      <formula>M18&lt;0</formula>
    </cfRule>
  </conditionalFormatting>
  <conditionalFormatting sqref="M20">
    <cfRule type="expression" dxfId="365" priority="25">
      <formula>M20&gt;0</formula>
    </cfRule>
    <cfRule type="expression" dxfId="364" priority="26">
      <formula>M20&lt;0</formula>
    </cfRule>
  </conditionalFormatting>
  <conditionalFormatting sqref="M19">
    <cfRule type="expression" dxfId="363" priority="23">
      <formula>M19&gt;0</formula>
    </cfRule>
    <cfRule type="expression" dxfId="362" priority="24">
      <formula>M19&lt;0</formula>
    </cfRule>
  </conditionalFormatting>
  <conditionalFormatting sqref="M17">
    <cfRule type="expression" dxfId="361" priority="21">
      <formula>M17&gt;0</formula>
    </cfRule>
    <cfRule type="expression" dxfId="360" priority="22">
      <formula>M17&lt;0</formula>
    </cfRule>
  </conditionalFormatting>
  <conditionalFormatting sqref="P16">
    <cfRule type="expression" dxfId="359" priority="19">
      <formula>P16&gt;0</formula>
    </cfRule>
    <cfRule type="expression" dxfId="358" priority="20">
      <formula>P16&lt;0</formula>
    </cfRule>
  </conditionalFormatting>
  <conditionalFormatting sqref="P18">
    <cfRule type="expression" dxfId="357" priority="17">
      <formula>P18&gt;0</formula>
    </cfRule>
    <cfRule type="expression" dxfId="356" priority="18">
      <formula>P18&lt;0</formula>
    </cfRule>
  </conditionalFormatting>
  <conditionalFormatting sqref="P20">
    <cfRule type="expression" dxfId="355" priority="15">
      <formula>P20&gt;0</formula>
    </cfRule>
    <cfRule type="expression" dxfId="354" priority="16">
      <formula>P20&lt;0</formula>
    </cfRule>
  </conditionalFormatting>
  <conditionalFormatting sqref="P19">
    <cfRule type="expression" dxfId="353" priority="13">
      <formula>P19&gt;0</formula>
    </cfRule>
    <cfRule type="expression" dxfId="352" priority="14">
      <formula>P19&lt;0</formula>
    </cfRule>
  </conditionalFormatting>
  <conditionalFormatting sqref="P17">
    <cfRule type="expression" dxfId="351" priority="11">
      <formula>P17&gt;0</formula>
    </cfRule>
    <cfRule type="expression" dxfId="350" priority="12">
      <formula>P17&lt;0</formula>
    </cfRule>
  </conditionalFormatting>
  <dataValidations count="1">
    <dataValidation type="list" allowBlank="1" showInputMessage="1" showErrorMessage="1" sqref="I9">
      <formula1>"1,2,3,4,5"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get_size">
                <anchor moveWithCells="1" sizeWithCells="1">
                  <from>
                    <xdr:col>3</xdr:col>
                    <xdr:colOff>142875</xdr:colOff>
                    <xdr:row>2</xdr:row>
                    <xdr:rowOff>47625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rgb="FFC00000"/>
  </sheetPr>
  <dimension ref="A1:R11"/>
  <sheetViews>
    <sheetView showGridLines="0" zoomScale="70" zoomScaleNormal="70" workbookViewId="0"/>
  </sheetViews>
  <sheetFormatPr baseColWidth="10" defaultRowHeight="15"/>
  <cols>
    <col min="5" max="5" width="9.5703125" style="3" customWidth="1"/>
    <col min="6" max="6" width="6.85546875" style="3" hidden="1" customWidth="1"/>
    <col min="7" max="7" width="35" style="3" customWidth="1"/>
    <col min="8" max="8" width="10.42578125" style="92" customWidth="1"/>
    <col min="9" max="9" width="93.85546875" style="3" customWidth="1"/>
    <col min="10" max="10" width="0.42578125" style="3" customWidth="1"/>
    <col min="11" max="11" width="11" style="3" customWidth="1"/>
    <col min="12" max="12" width="12.5703125" style="3" customWidth="1"/>
    <col min="13" max="13" width="17.140625" style="3" customWidth="1"/>
    <col min="14" max="14" width="0.42578125" style="3" customWidth="1"/>
    <col min="15" max="15" width="11" style="3" customWidth="1"/>
    <col min="16" max="16" width="13.140625" style="3" customWidth="1"/>
    <col min="17" max="17" width="17.140625" style="3" customWidth="1"/>
    <col min="18" max="18" width="4" style="3" customWidth="1"/>
  </cols>
  <sheetData>
    <row r="1" spans="1:18">
      <c r="A1" s="55" t="s">
        <v>1</v>
      </c>
      <c r="B1" s="54">
        <v>8</v>
      </c>
    </row>
    <row r="2" spans="1:18">
      <c r="A2" s="55" t="s">
        <v>2</v>
      </c>
      <c r="B2" s="54">
        <v>50</v>
      </c>
      <c r="R2" s="84"/>
    </row>
    <row r="3" spans="1:18">
      <c r="A3" s="55" t="s">
        <v>3</v>
      </c>
      <c r="B3" s="54">
        <v>30</v>
      </c>
      <c r="R3" s="84"/>
    </row>
    <row r="4" spans="1:18">
      <c r="A4" s="55" t="s">
        <v>4</v>
      </c>
      <c r="B4" s="54">
        <v>20</v>
      </c>
      <c r="C4" s="81">
        <v>519.75</v>
      </c>
      <c r="R4" s="84"/>
    </row>
    <row r="5" spans="1:18">
      <c r="A5" s="55" t="s">
        <v>5</v>
      </c>
      <c r="B5" s="54">
        <v>250</v>
      </c>
      <c r="C5" s="81">
        <v>783</v>
      </c>
      <c r="R5" s="84"/>
    </row>
    <row r="6" spans="1:18">
      <c r="R6" s="84"/>
    </row>
    <row r="7" spans="1:18">
      <c r="A7" s="55" t="s">
        <v>50</v>
      </c>
      <c r="B7" s="82">
        <f>B5/B4</f>
        <v>12.5</v>
      </c>
      <c r="C7" s="81">
        <f>C5/C4</f>
        <v>1.5064935064935066</v>
      </c>
      <c r="R7" s="84"/>
    </row>
    <row r="8" spans="1:18">
      <c r="G8" s="3" t="s">
        <v>64</v>
      </c>
      <c r="H8" s="93">
        <v>4</v>
      </c>
      <c r="R8" s="84"/>
    </row>
    <row r="9" spans="1:18">
      <c r="G9" s="3" t="s">
        <v>53</v>
      </c>
      <c r="H9" s="93">
        <f>IF(IDX_SORT="in variance (in %)",1,0)</f>
        <v>0</v>
      </c>
      <c r="R9" s="84"/>
    </row>
    <row r="10" spans="1:18">
      <c r="R10" s="84"/>
    </row>
    <row r="11" spans="1:18" ht="21" customHeight="1">
      <c r="E11" s="84"/>
      <c r="F11" s="84"/>
      <c r="G11" s="84"/>
      <c r="H11" s="85"/>
      <c r="I11" s="143" t="str">
        <f ca="1">IDX_MAN_ORG&amp;" - "&amp;IF($H$9=1,OFFSET(DATA_01!AQ16,$H$8,0),OFFSET(DATA_01!AP16,$H$8,0))</f>
        <v>NETH_BM01 - Almere</v>
      </c>
      <c r="J11" s="142"/>
      <c r="K11" s="142"/>
      <c r="L11" s="142"/>
      <c r="M11" s="142"/>
      <c r="N11" s="142"/>
      <c r="O11" s="142"/>
      <c r="P11" s="142"/>
      <c r="Q11" s="142"/>
      <c r="R11" s="84"/>
    </row>
  </sheetData>
  <conditionalFormatting sqref="B7">
    <cfRule type="expression" dxfId="349" priority="1" stopIfTrue="1">
      <formula>ROUND(ABS($B$7-$C$7),4)=0</formula>
    </cfRule>
    <cfRule type="expression" dxfId="348" priority="2">
      <formula>ROUND(ABS($B$7-$C$7),4)&lt;=0.2</formula>
    </cfRule>
    <cfRule type="expression" dxfId="347" priority="3">
      <formula>ROUND(ABS($B$7-$C$7),4)&gt;0.2</formula>
    </cfRule>
  </conditionalFormatting>
  <dataValidations count="1">
    <dataValidation type="list" allowBlank="1" showInputMessage="1" showErrorMessage="1" sqref="H8">
      <formula1>"1,2,3,4,5"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get_size">
                <anchor moveWithCells="1" sizeWithCells="1">
                  <from>
                    <xdr:col>3</xdr:col>
                    <xdr:colOff>142875</xdr:colOff>
                    <xdr:row>2</xdr:row>
                    <xdr:rowOff>47625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3">
    <tabColor rgb="FFC00000"/>
  </sheetPr>
  <dimension ref="A1:R23"/>
  <sheetViews>
    <sheetView showGridLines="0" zoomScale="70" zoomScaleNormal="70" workbookViewId="0">
      <selection activeCell="L22" sqref="L22:M22"/>
    </sheetView>
  </sheetViews>
  <sheetFormatPr baseColWidth="10" defaultRowHeight="15"/>
  <cols>
    <col min="5" max="5" width="4" style="3" customWidth="1"/>
    <col min="6" max="6" width="6.85546875" style="3" hidden="1" customWidth="1"/>
    <col min="7" max="7" width="35" style="3" customWidth="1"/>
    <col min="8" max="8" width="0.42578125" style="92" customWidth="1"/>
    <col min="9" max="9" width="11" style="3" customWidth="1"/>
    <col min="10" max="10" width="0.42578125" style="3" customWidth="1"/>
    <col min="11" max="11" width="11" style="3" customWidth="1"/>
    <col min="12" max="12" width="12.5703125" style="3" customWidth="1"/>
    <col min="13" max="13" width="17.140625" style="3" customWidth="1"/>
    <col min="14" max="14" width="0.42578125" style="3" customWidth="1"/>
    <col min="15" max="15" width="11" style="3" customWidth="1"/>
    <col min="16" max="16" width="13.140625" style="3" customWidth="1"/>
    <col min="17" max="17" width="17.140625" style="3" customWidth="1"/>
    <col min="18" max="18" width="4" style="3" customWidth="1"/>
  </cols>
  <sheetData>
    <row r="1" spans="1:18">
      <c r="A1" s="55" t="s">
        <v>1</v>
      </c>
      <c r="B1" s="54">
        <v>8</v>
      </c>
    </row>
    <row r="2" spans="1:18">
      <c r="A2" s="55" t="s">
        <v>2</v>
      </c>
      <c r="B2" s="54">
        <v>84.7</v>
      </c>
      <c r="R2" s="84"/>
    </row>
    <row r="3" spans="1:18">
      <c r="A3" s="55" t="s">
        <v>3</v>
      </c>
      <c r="B3" s="54">
        <v>167</v>
      </c>
      <c r="R3" s="84"/>
    </row>
    <row r="4" spans="1:18">
      <c r="A4" s="55" t="s">
        <v>4</v>
      </c>
      <c r="B4" s="54">
        <v>231</v>
      </c>
      <c r="C4" s="81">
        <v>519.75</v>
      </c>
      <c r="R4" s="84"/>
    </row>
    <row r="5" spans="1:18">
      <c r="A5" s="55" t="s">
        <v>5</v>
      </c>
      <c r="B5" s="83">
        <f>B4*C7</f>
        <v>348</v>
      </c>
      <c r="C5" s="81">
        <v>783</v>
      </c>
      <c r="R5" s="84"/>
    </row>
    <row r="6" spans="1:18">
      <c r="R6" s="84"/>
    </row>
    <row r="7" spans="1:18">
      <c r="A7" s="55" t="s">
        <v>50</v>
      </c>
      <c r="B7" s="82">
        <f>B5/B4</f>
        <v>1.5064935064935066</v>
      </c>
      <c r="C7" s="81">
        <f>C5/C4</f>
        <v>1.5064935064935066</v>
      </c>
      <c r="R7" s="84"/>
    </row>
    <row r="8" spans="1:18">
      <c r="R8" s="84"/>
    </row>
    <row r="9" spans="1:18">
      <c r="G9" s="3" t="s">
        <v>64</v>
      </c>
      <c r="I9" s="93">
        <v>4</v>
      </c>
      <c r="R9" s="84"/>
    </row>
    <row r="10" spans="1:18">
      <c r="G10" s="3" t="s">
        <v>53</v>
      </c>
      <c r="I10" s="93">
        <f>IF(IDX_SORT="in variance (in %)",1,0)</f>
        <v>0</v>
      </c>
      <c r="R10" s="84"/>
    </row>
    <row r="11" spans="1:18" ht="21">
      <c r="E11" s="84"/>
      <c r="F11" s="84"/>
      <c r="G11" s="84"/>
      <c r="H11" s="85"/>
      <c r="I11" s="181"/>
      <c r="J11" s="181"/>
      <c r="K11" s="181"/>
      <c r="L11" s="181"/>
      <c r="M11" s="181"/>
      <c r="N11" s="181"/>
      <c r="O11" s="181"/>
      <c r="P11" s="181"/>
      <c r="Q11" s="181"/>
      <c r="R11" s="84"/>
    </row>
    <row r="12" spans="1:18" ht="21" customHeight="1" thickBot="1">
      <c r="E12" s="84"/>
      <c r="F12" s="84"/>
      <c r="G12" s="182"/>
      <c r="H12" s="182"/>
      <c r="I12" s="182"/>
      <c r="J12" s="84"/>
      <c r="K12" s="84"/>
      <c r="L12" s="84"/>
      <c r="M12" s="84"/>
      <c r="O12" s="84"/>
      <c r="P12" s="84"/>
      <c r="Q12" s="84"/>
      <c r="R12" s="84"/>
    </row>
    <row r="13" spans="1:18" ht="42.75" customHeight="1" thickTop="1" thickBot="1">
      <c r="E13" s="84"/>
      <c r="F13" s="194" t="str">
        <f ca="1">IF($I$10=1,OFFSET(DATA_01!AQ16,$I$9,0),OFFSET(DATA_01!AP16,$I$9,0))</f>
        <v>Almere</v>
      </c>
      <c r="G13" s="195"/>
      <c r="H13" s="195"/>
      <c r="I13" s="196"/>
      <c r="J13" s="118"/>
      <c r="K13" s="191" t="str">
        <f ca="1">IDX_PHASE&amp;" "&amp;IF(LEFT(IDX_PERIOD,4)="F_YE",RIGHT(IDX_PERIOD,4),LEFT(IDX_PERIOD,4))&amp;" Versus "&amp;IDX_PHASE_COMP1&amp;" "&amp;IDX_PERIOD_COMP_N_1</f>
        <v>Actual 2016 Versus Budget N</v>
      </c>
      <c r="L13" s="192"/>
      <c r="M13" s="193"/>
      <c r="N13" s="119"/>
      <c r="O13" s="191" t="str">
        <f ca="1">IDX_PHASE&amp;" "&amp;IF(LEFT(IDX_PERIOD,4)="F_YE",RIGHT(IDX_PERIOD,4),LEFT(IDX_PERIOD,4))&amp;" Versus "&amp;IDX_PHASE_COMP2&amp;" "&amp;IDX_PERIOD_COMP_N_2</f>
        <v>Actual 2016 Versus Actual N-1</v>
      </c>
      <c r="P13" s="192"/>
      <c r="Q13" s="193"/>
      <c r="R13" s="84"/>
    </row>
    <row r="14" spans="1:18" ht="22.5" customHeight="1" thickTop="1">
      <c r="E14" s="84"/>
      <c r="F14" s="187" t="str">
        <f ca="1">IDX_PERIOD</f>
        <v>2016.08_YTD</v>
      </c>
      <c r="G14" s="188"/>
      <c r="H14" s="120"/>
      <c r="I14" s="128" t="str">
        <f ca="1">IDX_PHASE</f>
        <v>Actual</v>
      </c>
      <c r="J14" s="121"/>
      <c r="K14" s="133" t="str">
        <f ca="1">IDX_PHASE_COMP1&amp;" "&amp;IDX_PERIOD_COMP_N_1</f>
        <v>Budget N</v>
      </c>
      <c r="L14" s="185" t="s">
        <v>35</v>
      </c>
      <c r="M14" s="186"/>
      <c r="N14" s="122"/>
      <c r="O14" s="133" t="str">
        <f ca="1">IDX_PHASE_COMP2&amp;" "&amp;IDX_PERIOD_COMP_N_2</f>
        <v>Actual N-1</v>
      </c>
      <c r="P14" s="185" t="s">
        <v>35</v>
      </c>
      <c r="Q14" s="186"/>
    </row>
    <row r="15" spans="1:18" ht="19.5" customHeight="1" thickBot="1">
      <c r="E15" s="84"/>
      <c r="F15" s="189"/>
      <c r="G15" s="190"/>
      <c r="H15" s="123"/>
      <c r="I15" s="129" t="s">
        <v>51</v>
      </c>
      <c r="J15" s="125"/>
      <c r="K15" s="134" t="s">
        <v>51</v>
      </c>
      <c r="L15" s="124" t="s">
        <v>52</v>
      </c>
      <c r="M15" s="135" t="str">
        <f>IDX_CURRENCY</f>
        <v>LCL</v>
      </c>
      <c r="N15" s="126"/>
      <c r="O15" s="134" t="s">
        <v>51</v>
      </c>
      <c r="P15" s="124" t="s">
        <v>52</v>
      </c>
      <c r="Q15" s="135" t="str">
        <f>M15</f>
        <v>LCL</v>
      </c>
    </row>
    <row r="16" spans="1:18" ht="37.5" customHeight="1" thickTop="1" thickBot="1">
      <c r="E16" s="84"/>
      <c r="F16" s="197" t="str">
        <f>IF(IDX_LANG="English","D - Driving","D - Conduite")</f>
        <v>D - Driving</v>
      </c>
      <c r="G16" s="198"/>
      <c r="H16" s="110"/>
      <c r="I16" s="86">
        <f ca="1">VLOOKUP($F$13,DATA_01!$B$35:$CP$1038,4,0)</f>
        <v>0.51447860141345014</v>
      </c>
      <c r="J16" s="131"/>
      <c r="K16" s="87">
        <f ca="1">VLOOKUP($F$13,DATA_01!$B$35:$CP$1038,18,0)</f>
        <v>0.49507253985215416</v>
      </c>
      <c r="L16" s="101">
        <f ca="1">(K16-I16)*100</f>
        <v>-1.9406061561295984</v>
      </c>
      <c r="M16" s="136">
        <f ca="1">VLOOKUP($F$13,DATA_01!$B$35:$CP$1038,73,0)</f>
        <v>-392798.45903081633</v>
      </c>
      <c r="N16" s="102"/>
      <c r="O16" s="87">
        <f ca="1">VLOOKUP($F$13,DATA_01!$B$35:$CP$1038,46,0)</f>
        <v>0.49859150016475096</v>
      </c>
      <c r="P16" s="101">
        <f ca="1">IFERROR((O16-I16)*100,0)</f>
        <v>-1.5887101248699187</v>
      </c>
      <c r="Q16" s="136">
        <f ca="1">VLOOKUP($F$13,DATA_01!$B$35:$CP$1038,84,0)</f>
        <v>-321571.11680000462</v>
      </c>
    </row>
    <row r="17" spans="5:17" ht="37.5" customHeight="1" thickTop="1" thickBot="1">
      <c r="E17" s="84"/>
      <c r="F17" s="199" t="str">
        <f>IF(IDX_LANG="English","M - Maintenance","M - Maintenance")</f>
        <v>M - Maintenance</v>
      </c>
      <c r="G17" s="200"/>
      <c r="H17" s="88"/>
      <c r="I17" s="103">
        <f ca="1">VLOOKUP($F$13,DATA_01!$B$35:$CP$1038,6,0)</f>
        <v>0.1107369658595907</v>
      </c>
      <c r="J17" s="132"/>
      <c r="K17" s="104">
        <f ca="1">VLOOKUP($F$13,DATA_01!$B$35:$CP$1038,20,0)</f>
        <v>0.11489215791437549</v>
      </c>
      <c r="L17" s="105">
        <f ca="1">(K17-I17)*100</f>
        <v>0.41551920547847898</v>
      </c>
      <c r="M17" s="137">
        <f ca="1">VLOOKUP($F$13,DATA_01!$B$35:$CP$1038,75,0)</f>
        <v>84105.320955581032</v>
      </c>
      <c r="N17" s="89"/>
      <c r="O17" s="104">
        <f ca="1">VLOOKUP($F$13,DATA_01!$B$35:$CP$1038,48,0)</f>
        <v>0.1118913681436996</v>
      </c>
      <c r="P17" s="105">
        <f ca="1">IFERROR((O17-I17)*100,0)</f>
        <v>0.11544022841089019</v>
      </c>
      <c r="Q17" s="137">
        <f ca="1">VLOOKUP($F$13,DATA_01!$B$35:$CP$1038,86,0)</f>
        <v>23366.278462395538</v>
      </c>
    </row>
    <row r="18" spans="5:17" ht="37.5" customHeight="1" thickTop="1" thickBot="1">
      <c r="E18" s="84"/>
      <c r="F18" s="197" t="str">
        <f>IF(IDX_LANG="English","E - Energy","E - Energie")</f>
        <v>E - Energy</v>
      </c>
      <c r="G18" s="198"/>
      <c r="H18" s="110"/>
      <c r="I18" s="86">
        <f ca="1">VLOOKUP($F$13,DATA_01!$B$35:$CP$1038,8,0)</f>
        <v>9.6727607869222618E-2</v>
      </c>
      <c r="J18" s="131"/>
      <c r="K18" s="87">
        <f ca="1">VLOOKUP($F$13,DATA_01!$B$35:$CP$1038,22,0)</f>
        <v>0.10164061766882689</v>
      </c>
      <c r="L18" s="101">
        <f ca="1">(K18-I18)*100</f>
        <v>0.49130097996042676</v>
      </c>
      <c r="M18" s="136">
        <f ca="1">VLOOKUP($F$13,DATA_01!$B$35:$CP$1038,77,0)</f>
        <v>99444.324258805253</v>
      </c>
      <c r="N18" s="102"/>
      <c r="O18" s="87">
        <f ca="1">VLOOKUP($F$13,DATA_01!$B$35:$CP$1038,50,0)</f>
        <v>0.10604510599665222</v>
      </c>
      <c r="P18" s="101">
        <f ca="1">IFERROR((O18-I18)*100,0)</f>
        <v>0.9317498127429602</v>
      </c>
      <c r="Q18" s="136">
        <f ca="1">VLOOKUP($F$13,DATA_01!$B$35:$CP$1038,88,0)</f>
        <v>188595.65579119185</v>
      </c>
    </row>
    <row r="19" spans="5:17" ht="37.5" customHeight="1" thickTop="1" thickBot="1">
      <c r="E19" s="84"/>
      <c r="F19" s="199" t="str">
        <f>IF(IDX_LANG="English","F - Fleet","F - Flotte")</f>
        <v>F - Fleet</v>
      </c>
      <c r="G19" s="200"/>
      <c r="H19" s="88"/>
      <c r="I19" s="103">
        <f ca="1">VLOOKUP($F$13,DATA_01!$B$35:$CP$1038,10,0)</f>
        <v>5.2663064776515237E-2</v>
      </c>
      <c r="J19" s="132"/>
      <c r="K19" s="104">
        <f ca="1">VLOOKUP($F$13,DATA_01!$B$35:$CP$1038,24,0)</f>
        <v>5.0887077830448192E-2</v>
      </c>
      <c r="L19" s="105">
        <f ca="1">(K19-I19)*100</f>
        <v>-0.17759869460670444</v>
      </c>
      <c r="M19" s="137">
        <f ca="1">VLOOKUP($F$13,DATA_01!$B$35:$CP$1038,79,0)</f>
        <v>-35947.785359256202</v>
      </c>
      <c r="N19" s="89"/>
      <c r="O19" s="104">
        <f ca="1">VLOOKUP($F$13,DATA_01!$B$35:$CP$1038,52,0)</f>
        <v>5.4446859205099112E-2</v>
      </c>
      <c r="P19" s="105">
        <f ca="1">IFERROR((O19-I19)*100,0)</f>
        <v>0.1783794428583875</v>
      </c>
      <c r="Q19" s="137">
        <f ca="1">VLOOKUP($F$13,DATA_01!$B$35:$CP$1038,90,0)</f>
        <v>36105.816760518821</v>
      </c>
    </row>
    <row r="20" spans="5:17" ht="37.5" customHeight="1" thickTop="1" thickBot="1">
      <c r="E20" s="84"/>
      <c r="F20" s="197" t="str">
        <f>IF(IDX_LANG="English","O - Others","O - Autres")</f>
        <v>O - Others</v>
      </c>
      <c r="G20" s="198"/>
      <c r="H20" s="110"/>
      <c r="I20" s="86">
        <f ca="1">VLOOKUP($F$13,DATA_01!$B$35:$CP$1038,12,0)</f>
        <v>0.19454139080195143</v>
      </c>
      <c r="J20" s="131"/>
      <c r="K20" s="87">
        <f ca="1">VLOOKUP($F$13,DATA_01!$B$35:$CP$1038,26,0)</f>
        <v>0.19104447360499083</v>
      </c>
      <c r="L20" s="101">
        <f ca="1">(K20-I20)*100</f>
        <v>-0.34969171969606028</v>
      </c>
      <c r="M20" s="136">
        <f ca="1">VLOOKUP($F$13,DATA_01!$B$35:$CP$1038,81,0)</f>
        <v>-70781.167110383976</v>
      </c>
      <c r="N20" s="102"/>
      <c r="O20" s="87">
        <f ca="1">VLOOKUP($F$13,DATA_01!$B$35:$CP$1038,54,0)</f>
        <v>0.18906399143992972</v>
      </c>
      <c r="P20" s="101">
        <f ca="1">IFERROR((O20-I20)*100,0)</f>
        <v>-0.54773993620217121</v>
      </c>
      <c r="Q20" s="136">
        <f ca="1">VLOOKUP($F$13,DATA_01!$B$35:$CP$1038,92,0)</f>
        <v>-110868.14406430349</v>
      </c>
    </row>
    <row r="21" spans="5:17" ht="6.75" customHeight="1" thickTop="1" thickBot="1">
      <c r="E21" s="84"/>
      <c r="F21" s="90"/>
      <c r="G21" s="127"/>
      <c r="H21" s="106"/>
      <c r="I21" s="127"/>
      <c r="J21" s="107"/>
      <c r="K21" s="138"/>
      <c r="L21" s="108"/>
      <c r="M21" s="139"/>
      <c r="N21" s="109"/>
      <c r="O21" s="138"/>
      <c r="P21" s="108"/>
      <c r="Q21" s="139"/>
    </row>
    <row r="22" spans="5:17" ht="37.5" customHeight="1" thickTop="1" thickBot="1">
      <c r="E22" s="84"/>
      <c r="F22" s="201" t="str">
        <f>IF(IDX_LANG="English","GROSS MARGIN","MARGE BRUTE")</f>
        <v>GROSS MARGIN</v>
      </c>
      <c r="G22" s="202"/>
      <c r="H22" s="91"/>
      <c r="I22" s="99">
        <f ca="1">1-SUM(I16:I20)</f>
        <v>3.085236927926982E-2</v>
      </c>
      <c r="J22" s="117"/>
      <c r="K22" s="100">
        <f ca="1">1-SUM(K16:K20)</f>
        <v>4.646313312920447E-2</v>
      </c>
      <c r="L22" s="183">
        <f ca="1">(I22-K22)*100</f>
        <v>-1.561076384993465</v>
      </c>
      <c r="M22" s="184"/>
      <c r="N22" s="102"/>
      <c r="O22" s="100">
        <f ca="1">1-SUM(O16:O20)</f>
        <v>3.9961175049868514E-2</v>
      </c>
      <c r="P22" s="183">
        <f ca="1">(I22-O22)*100</f>
        <v>-0.91088057705986936</v>
      </c>
      <c r="Q22" s="184"/>
    </row>
    <row r="23" spans="5:17" ht="15.75" thickTop="1"/>
  </sheetData>
  <mergeCells count="16">
    <mergeCell ref="L22:M22"/>
    <mergeCell ref="P22:Q22"/>
    <mergeCell ref="F16:G16"/>
    <mergeCell ref="F17:G17"/>
    <mergeCell ref="F18:G18"/>
    <mergeCell ref="F19:G19"/>
    <mergeCell ref="F20:G20"/>
    <mergeCell ref="F22:G22"/>
    <mergeCell ref="F14:G15"/>
    <mergeCell ref="L14:M14"/>
    <mergeCell ref="P14:Q14"/>
    <mergeCell ref="I11:Q11"/>
    <mergeCell ref="G12:I12"/>
    <mergeCell ref="F13:I13"/>
    <mergeCell ref="K13:M13"/>
    <mergeCell ref="O13:Q13"/>
  </mergeCells>
  <conditionalFormatting sqref="B7">
    <cfRule type="expression" dxfId="346" priority="45" stopIfTrue="1">
      <formula>ROUND(ABS($B$7-$C$7),4)=0</formula>
    </cfRule>
    <cfRule type="expression" dxfId="345" priority="46">
      <formula>ROUND(ABS($B$7-$C$7),4)&lt;=0.2</formula>
    </cfRule>
    <cfRule type="expression" dxfId="344" priority="47">
      <formula>ROUND(ABS($B$7-$C$7),4)&gt;0.2</formula>
    </cfRule>
  </conditionalFormatting>
  <conditionalFormatting sqref="L16">
    <cfRule type="expression" dxfId="343" priority="9">
      <formula>L16&gt;0</formula>
    </cfRule>
    <cfRule type="expression" dxfId="342" priority="10">
      <formula>L16&lt;0</formula>
    </cfRule>
  </conditionalFormatting>
  <conditionalFormatting sqref="L18">
    <cfRule type="expression" dxfId="341" priority="7">
      <formula>L18&gt;0</formula>
    </cfRule>
    <cfRule type="expression" dxfId="340" priority="8">
      <formula>L18&lt;0</formula>
    </cfRule>
  </conditionalFormatting>
  <conditionalFormatting sqref="L20">
    <cfRule type="expression" dxfId="339" priority="5">
      <formula>L20&gt;0</formula>
    </cfRule>
    <cfRule type="expression" dxfId="338" priority="6">
      <formula>L20&lt;0</formula>
    </cfRule>
  </conditionalFormatting>
  <conditionalFormatting sqref="L19">
    <cfRule type="expression" dxfId="337" priority="3">
      <formula>L19&gt;0</formula>
    </cfRule>
    <cfRule type="expression" dxfId="336" priority="4">
      <formula>L19&lt;0</formula>
    </cfRule>
  </conditionalFormatting>
  <conditionalFormatting sqref="L17">
    <cfRule type="expression" dxfId="335" priority="1">
      <formula>L17&gt;0</formula>
    </cfRule>
    <cfRule type="expression" dxfId="334" priority="2">
      <formula>L17&lt;0</formula>
    </cfRule>
  </conditionalFormatting>
  <conditionalFormatting sqref="L22">
    <cfRule type="expression" dxfId="333" priority="43">
      <formula>L22&lt;0</formula>
    </cfRule>
    <cfRule type="expression" dxfId="332" priority="44">
      <formula>L22&gt;0</formula>
    </cfRule>
  </conditionalFormatting>
  <conditionalFormatting sqref="P22">
    <cfRule type="expression" dxfId="331" priority="41">
      <formula>P22&lt;0</formula>
    </cfRule>
    <cfRule type="expression" dxfId="330" priority="42">
      <formula>P22&gt;0</formula>
    </cfRule>
  </conditionalFormatting>
  <conditionalFormatting sqref="M16">
    <cfRule type="expression" dxfId="329" priority="29">
      <formula>M16&gt;0</formula>
    </cfRule>
    <cfRule type="expression" dxfId="328" priority="30">
      <formula>M16&lt;0</formula>
    </cfRule>
  </conditionalFormatting>
  <conditionalFormatting sqref="Q16">
    <cfRule type="expression" dxfId="327" priority="39">
      <formula>Q16&gt;0</formula>
    </cfRule>
    <cfRule type="expression" dxfId="326" priority="40">
      <formula>Q16&lt;0</formula>
    </cfRule>
  </conditionalFormatting>
  <conditionalFormatting sqref="Q18">
    <cfRule type="expression" dxfId="325" priority="37">
      <formula>Q18&gt;0</formula>
    </cfRule>
    <cfRule type="expression" dxfId="324" priority="38">
      <formula>Q18&lt;0</formula>
    </cfRule>
  </conditionalFormatting>
  <conditionalFormatting sqref="Q20">
    <cfRule type="expression" dxfId="323" priority="35">
      <formula>Q20&gt;0</formula>
    </cfRule>
    <cfRule type="expression" dxfId="322" priority="36">
      <formula>Q20&lt;0</formula>
    </cfRule>
  </conditionalFormatting>
  <conditionalFormatting sqref="Q19">
    <cfRule type="expression" dxfId="321" priority="33">
      <formula>Q19&gt;0</formula>
    </cfRule>
    <cfRule type="expression" dxfId="320" priority="34">
      <formula>Q19&lt;0</formula>
    </cfRule>
  </conditionalFormatting>
  <conditionalFormatting sqref="Q17">
    <cfRule type="expression" dxfId="319" priority="31">
      <formula>Q17&gt;0</formula>
    </cfRule>
    <cfRule type="expression" dxfId="318" priority="32">
      <formula>Q17&lt;0</formula>
    </cfRule>
  </conditionalFormatting>
  <conditionalFormatting sqref="M18">
    <cfRule type="expression" dxfId="317" priority="27">
      <formula>M18&gt;0</formula>
    </cfRule>
    <cfRule type="expression" dxfId="316" priority="28">
      <formula>M18&lt;0</formula>
    </cfRule>
  </conditionalFormatting>
  <conditionalFormatting sqref="M20">
    <cfRule type="expression" dxfId="315" priority="25">
      <formula>M20&gt;0</formula>
    </cfRule>
    <cfRule type="expression" dxfId="314" priority="26">
      <formula>M20&lt;0</formula>
    </cfRule>
  </conditionalFormatting>
  <conditionalFormatting sqref="M19">
    <cfRule type="expression" dxfId="313" priority="23">
      <formula>M19&gt;0</formula>
    </cfRule>
    <cfRule type="expression" dxfId="312" priority="24">
      <formula>M19&lt;0</formula>
    </cfRule>
  </conditionalFormatting>
  <conditionalFormatting sqref="M17">
    <cfRule type="expression" dxfId="311" priority="21">
      <formula>M17&gt;0</formula>
    </cfRule>
    <cfRule type="expression" dxfId="310" priority="22">
      <formula>M17&lt;0</formula>
    </cfRule>
  </conditionalFormatting>
  <conditionalFormatting sqref="P16">
    <cfRule type="expression" dxfId="309" priority="19">
      <formula>P16&gt;0</formula>
    </cfRule>
    <cfRule type="expression" dxfId="308" priority="20">
      <formula>P16&lt;0</formula>
    </cfRule>
  </conditionalFormatting>
  <conditionalFormatting sqref="P18">
    <cfRule type="expression" dxfId="307" priority="17">
      <formula>P18&gt;0</formula>
    </cfRule>
    <cfRule type="expression" dxfId="306" priority="18">
      <formula>P18&lt;0</formula>
    </cfRule>
  </conditionalFormatting>
  <conditionalFormatting sqref="P20">
    <cfRule type="expression" dxfId="305" priority="15">
      <formula>P20&gt;0</formula>
    </cfRule>
    <cfRule type="expression" dxfId="304" priority="16">
      <formula>P20&lt;0</formula>
    </cfRule>
  </conditionalFormatting>
  <conditionalFormatting sqref="P19">
    <cfRule type="expression" dxfId="303" priority="13">
      <formula>P19&gt;0</formula>
    </cfRule>
    <cfRule type="expression" dxfId="302" priority="14">
      <formula>P19&lt;0</formula>
    </cfRule>
  </conditionalFormatting>
  <conditionalFormatting sqref="P17">
    <cfRule type="expression" dxfId="301" priority="11">
      <formula>P17&gt;0</formula>
    </cfRule>
    <cfRule type="expression" dxfId="300" priority="12">
      <formula>P17&lt;0</formula>
    </cfRule>
  </conditionalFormatting>
  <dataValidations count="1">
    <dataValidation type="list" allowBlank="1" showInputMessage="1" showErrorMessage="1" sqref="I9">
      <formula1>"1,2,3,4,5"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get_size">
                <anchor moveWithCells="1" sizeWithCells="1">
                  <from>
                    <xdr:col>3</xdr:col>
                    <xdr:colOff>142875</xdr:colOff>
                    <xdr:row>2</xdr:row>
                    <xdr:rowOff>47625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rgb="FFC00000"/>
  </sheetPr>
  <dimension ref="A1:R11"/>
  <sheetViews>
    <sheetView showGridLines="0" zoomScale="70" zoomScaleNormal="70" workbookViewId="0"/>
  </sheetViews>
  <sheetFormatPr baseColWidth="10" defaultRowHeight="15"/>
  <cols>
    <col min="5" max="5" width="9.5703125" style="3" customWidth="1"/>
    <col min="6" max="6" width="6.85546875" style="3" hidden="1" customWidth="1"/>
    <col min="7" max="7" width="35" style="3" customWidth="1"/>
    <col min="8" max="8" width="10.42578125" style="92" customWidth="1"/>
    <col min="9" max="9" width="93.85546875" style="3" customWidth="1"/>
    <col min="10" max="10" width="0.42578125" style="3" customWidth="1"/>
    <col min="11" max="11" width="11" style="3" customWidth="1"/>
    <col min="12" max="12" width="12.5703125" style="3" customWidth="1"/>
    <col min="13" max="13" width="17.140625" style="3" customWidth="1"/>
    <col min="14" max="14" width="0.42578125" style="3" customWidth="1"/>
    <col min="15" max="15" width="11" style="3" customWidth="1"/>
    <col min="16" max="16" width="13.140625" style="3" customWidth="1"/>
    <col min="17" max="17" width="17.140625" style="3" customWidth="1"/>
    <col min="18" max="18" width="4" style="3" customWidth="1"/>
  </cols>
  <sheetData>
    <row r="1" spans="1:18">
      <c r="A1" s="55" t="s">
        <v>1</v>
      </c>
      <c r="B1" s="54">
        <v>9</v>
      </c>
    </row>
    <row r="2" spans="1:18">
      <c r="A2" s="55" t="s">
        <v>2</v>
      </c>
      <c r="B2" s="54">
        <v>50</v>
      </c>
      <c r="R2" s="84"/>
    </row>
    <row r="3" spans="1:18">
      <c r="A3" s="55" t="s">
        <v>3</v>
      </c>
      <c r="B3" s="54">
        <v>30</v>
      </c>
      <c r="R3" s="84"/>
    </row>
    <row r="4" spans="1:18">
      <c r="A4" s="55" t="s">
        <v>4</v>
      </c>
      <c r="B4" s="54">
        <v>20</v>
      </c>
      <c r="C4" s="81">
        <v>519.75</v>
      </c>
      <c r="R4" s="84"/>
    </row>
    <row r="5" spans="1:18">
      <c r="A5" s="55" t="s">
        <v>5</v>
      </c>
      <c r="B5" s="54">
        <v>250</v>
      </c>
      <c r="C5" s="81">
        <v>783</v>
      </c>
      <c r="R5" s="84"/>
    </row>
    <row r="6" spans="1:18">
      <c r="R6" s="84"/>
    </row>
    <row r="7" spans="1:18">
      <c r="A7" s="55" t="s">
        <v>50</v>
      </c>
      <c r="B7" s="82">
        <f>B5/B4</f>
        <v>12.5</v>
      </c>
      <c r="C7" s="81">
        <f>C5/C4</f>
        <v>1.5064935064935066</v>
      </c>
      <c r="R7" s="84"/>
    </row>
    <row r="8" spans="1:18">
      <c r="G8" s="3" t="s">
        <v>64</v>
      </c>
      <c r="H8" s="93">
        <v>5</v>
      </c>
      <c r="R8" s="84"/>
    </row>
    <row r="9" spans="1:18">
      <c r="G9" s="3" t="s">
        <v>53</v>
      </c>
      <c r="H9" s="93">
        <f>IF(IDX_SORT="in variance (in %)",1,0)</f>
        <v>0</v>
      </c>
      <c r="R9" s="84"/>
    </row>
    <row r="10" spans="1:18">
      <c r="R10" s="84"/>
    </row>
    <row r="11" spans="1:18" ht="21" customHeight="1">
      <c r="E11" s="84"/>
      <c r="F11" s="84"/>
      <c r="G11" s="84"/>
      <c r="H11" s="85"/>
      <c r="I11" s="143" t="str">
        <f ca="1">IDX_MAN_ORG&amp;" - "&amp;IF($H$9=1,OFFSET(DATA_01!AQ16,$H$8,0),OFFSET(DATA_01!AP16,$H$8,0))</f>
        <v>NETH_BM01 - Ijsselmond</v>
      </c>
      <c r="J11" s="142"/>
      <c r="K11" s="142"/>
      <c r="L11" s="142"/>
      <c r="M11" s="142"/>
      <c r="N11" s="142"/>
      <c r="O11" s="142"/>
      <c r="P11" s="142"/>
      <c r="Q11" s="142"/>
      <c r="R11" s="84"/>
    </row>
  </sheetData>
  <conditionalFormatting sqref="B7">
    <cfRule type="expression" dxfId="299" priority="1" stopIfTrue="1">
      <formula>ROUND(ABS($B$7-$C$7),4)=0</formula>
    </cfRule>
    <cfRule type="expression" dxfId="298" priority="2">
      <formula>ROUND(ABS($B$7-$C$7),4)&lt;=0.2</formula>
    </cfRule>
    <cfRule type="expression" dxfId="297" priority="3">
      <formula>ROUND(ABS($B$7-$C$7),4)&gt;0.2</formula>
    </cfRule>
  </conditionalFormatting>
  <dataValidations count="1">
    <dataValidation type="list" allowBlank="1" showInputMessage="1" showErrorMessage="1" sqref="H8">
      <formula1>"1,2,3,4,5"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get_size">
                <anchor moveWithCells="1" sizeWithCells="1">
                  <from>
                    <xdr:col>3</xdr:col>
                    <xdr:colOff>142875</xdr:colOff>
                    <xdr:row>2</xdr:row>
                    <xdr:rowOff>47625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5">
    <tabColor rgb="FFC00000"/>
  </sheetPr>
  <dimension ref="A1:R23"/>
  <sheetViews>
    <sheetView showGridLines="0" zoomScale="70" zoomScaleNormal="70" workbookViewId="0">
      <selection activeCell="K13" sqref="K13:Q15"/>
    </sheetView>
  </sheetViews>
  <sheetFormatPr baseColWidth="10" defaultRowHeight="15"/>
  <cols>
    <col min="5" max="5" width="4" style="3" customWidth="1"/>
    <col min="6" max="6" width="6.85546875" style="3" hidden="1" customWidth="1"/>
    <col min="7" max="7" width="35" style="3" customWidth="1"/>
    <col min="8" max="8" width="0.42578125" style="92" customWidth="1"/>
    <col min="9" max="9" width="11" style="3" customWidth="1"/>
    <col min="10" max="10" width="0.42578125" style="3" customWidth="1"/>
    <col min="11" max="11" width="11" style="3" customWidth="1"/>
    <col min="12" max="12" width="12.5703125" style="3" customWidth="1"/>
    <col min="13" max="13" width="17.140625" style="3" customWidth="1"/>
    <col min="14" max="14" width="0.42578125" style="3" customWidth="1"/>
    <col min="15" max="15" width="11" style="3" customWidth="1"/>
    <col min="16" max="16" width="13.140625" style="3" customWidth="1"/>
    <col min="17" max="17" width="17.140625" style="3" customWidth="1"/>
    <col min="18" max="18" width="4" style="3" customWidth="1"/>
  </cols>
  <sheetData>
    <row r="1" spans="1:18">
      <c r="A1" s="55" t="s">
        <v>1</v>
      </c>
      <c r="B1" s="54">
        <v>9</v>
      </c>
    </row>
    <row r="2" spans="1:18">
      <c r="A2" s="55" t="s">
        <v>2</v>
      </c>
      <c r="B2" s="54">
        <v>84.7</v>
      </c>
      <c r="R2" s="84"/>
    </row>
    <row r="3" spans="1:18">
      <c r="A3" s="55" t="s">
        <v>3</v>
      </c>
      <c r="B3" s="54">
        <v>167</v>
      </c>
      <c r="R3" s="84"/>
    </row>
    <row r="4" spans="1:18">
      <c r="A4" s="55" t="s">
        <v>4</v>
      </c>
      <c r="B4" s="54">
        <v>231</v>
      </c>
      <c r="C4" s="81">
        <v>519.75</v>
      </c>
      <c r="R4" s="84"/>
    </row>
    <row r="5" spans="1:18">
      <c r="A5" s="55" t="s">
        <v>5</v>
      </c>
      <c r="B5" s="83">
        <f>B4*C7</f>
        <v>348</v>
      </c>
      <c r="C5" s="81">
        <v>783</v>
      </c>
      <c r="R5" s="84"/>
    </row>
    <row r="6" spans="1:18">
      <c r="R6" s="84"/>
    </row>
    <row r="7" spans="1:18">
      <c r="A7" s="55" t="s">
        <v>50</v>
      </c>
      <c r="B7" s="82">
        <f>B5/B4</f>
        <v>1.5064935064935066</v>
      </c>
      <c r="C7" s="81">
        <f>C5/C4</f>
        <v>1.5064935064935066</v>
      </c>
      <c r="R7" s="84"/>
    </row>
    <row r="8" spans="1:18">
      <c r="R8" s="84"/>
    </row>
    <row r="9" spans="1:18">
      <c r="G9" s="3" t="s">
        <v>64</v>
      </c>
      <c r="I9" s="93">
        <v>5</v>
      </c>
      <c r="R9" s="84"/>
    </row>
    <row r="10" spans="1:18">
      <c r="G10" s="3" t="s">
        <v>53</v>
      </c>
      <c r="I10" s="93">
        <f>IF(IDX_SORT="in variance (in %)",1,0)</f>
        <v>0</v>
      </c>
      <c r="R10" s="84"/>
    </row>
    <row r="11" spans="1:18" ht="21">
      <c r="E11" s="84"/>
      <c r="F11" s="84"/>
      <c r="G11" s="84"/>
      <c r="H11" s="85"/>
      <c r="I11" s="181"/>
      <c r="J11" s="181"/>
      <c r="K11" s="181"/>
      <c r="L11" s="181"/>
      <c r="M11" s="181"/>
      <c r="N11" s="181"/>
      <c r="O11" s="181"/>
      <c r="P11" s="181"/>
      <c r="Q11" s="181"/>
      <c r="R11" s="84"/>
    </row>
    <row r="12" spans="1:18" ht="21" customHeight="1" thickBot="1">
      <c r="E12" s="84"/>
      <c r="F12" s="84"/>
      <c r="G12" s="182"/>
      <c r="H12" s="182"/>
      <c r="I12" s="182"/>
      <c r="J12" s="84"/>
      <c r="K12" s="84"/>
      <c r="L12" s="84"/>
      <c r="M12" s="84"/>
      <c r="O12" s="84"/>
      <c r="P12" s="84"/>
      <c r="Q12" s="84"/>
      <c r="R12" s="84"/>
    </row>
    <row r="13" spans="1:18" ht="42.75" customHeight="1" thickTop="1" thickBot="1">
      <c r="E13" s="84"/>
      <c r="F13" s="194" t="str">
        <f ca="1">IF($I$10=1,OFFSET(DATA_01!AQ16,$I$9,0),OFFSET(DATA_01!AP16,$I$9,0))</f>
        <v>Ijsselmond</v>
      </c>
      <c r="G13" s="195"/>
      <c r="H13" s="195"/>
      <c r="I13" s="196"/>
      <c r="J13" s="118"/>
      <c r="K13" s="191" t="str">
        <f ca="1">IDX_PHASE&amp;" "&amp;IF(LEFT(IDX_PERIOD,4)="F_YE",RIGHT(IDX_PERIOD,4),LEFT(IDX_PERIOD,4))&amp;" Versus "&amp;IDX_PHASE_COMP1&amp;" "&amp;IDX_PERIOD_COMP_N_1</f>
        <v>Actual 2016 Versus Budget N</v>
      </c>
      <c r="L13" s="192"/>
      <c r="M13" s="193"/>
      <c r="N13" s="119"/>
      <c r="O13" s="191" t="str">
        <f ca="1">IDX_PHASE&amp;" "&amp;IF(LEFT(IDX_PERIOD,4)="F_YE",RIGHT(IDX_PERIOD,4),LEFT(IDX_PERIOD,4))&amp;" Versus "&amp;IDX_PHASE_COMP2&amp;" "&amp;IDX_PERIOD_COMP_N_2</f>
        <v>Actual 2016 Versus Actual N-1</v>
      </c>
      <c r="P13" s="192"/>
      <c r="Q13" s="193"/>
      <c r="R13" s="84"/>
    </row>
    <row r="14" spans="1:18" ht="22.5" customHeight="1" thickTop="1">
      <c r="E14" s="84"/>
      <c r="F14" s="187" t="str">
        <f ca="1">IDX_PERIOD</f>
        <v>2016.08_YTD</v>
      </c>
      <c r="G14" s="188"/>
      <c r="H14" s="120"/>
      <c r="I14" s="128" t="str">
        <f ca="1">IDX_PHASE</f>
        <v>Actual</v>
      </c>
      <c r="J14" s="121"/>
      <c r="K14" s="133" t="str">
        <f ca="1">IDX_PHASE_COMP1&amp;" "&amp;IDX_PERIOD_COMP_N_1</f>
        <v>Budget N</v>
      </c>
      <c r="L14" s="185" t="s">
        <v>35</v>
      </c>
      <c r="M14" s="186"/>
      <c r="N14" s="122"/>
      <c r="O14" s="133" t="str">
        <f ca="1">IDX_PHASE_COMP2&amp;" "&amp;IDX_PERIOD_COMP_N_2</f>
        <v>Actual N-1</v>
      </c>
      <c r="P14" s="185" t="s">
        <v>35</v>
      </c>
      <c r="Q14" s="186"/>
    </row>
    <row r="15" spans="1:18" ht="19.5" customHeight="1" thickBot="1">
      <c r="E15" s="84"/>
      <c r="F15" s="189"/>
      <c r="G15" s="190"/>
      <c r="H15" s="123"/>
      <c r="I15" s="129" t="s">
        <v>51</v>
      </c>
      <c r="J15" s="125"/>
      <c r="K15" s="134" t="s">
        <v>51</v>
      </c>
      <c r="L15" s="124" t="s">
        <v>52</v>
      </c>
      <c r="M15" s="135" t="str">
        <f>IDX_CURRENCY</f>
        <v>LCL</v>
      </c>
      <c r="N15" s="126"/>
      <c r="O15" s="134" t="s">
        <v>51</v>
      </c>
      <c r="P15" s="124" t="s">
        <v>52</v>
      </c>
      <c r="Q15" s="135" t="str">
        <f>M15</f>
        <v>LCL</v>
      </c>
    </row>
    <row r="16" spans="1:18" ht="37.5" customHeight="1" thickTop="1" thickBot="1">
      <c r="E16" s="84"/>
      <c r="F16" s="197" t="str">
        <f>IF(IDX_LANG="English","D - Driving","D - Conduite")</f>
        <v>D - Driving</v>
      </c>
      <c r="G16" s="198"/>
      <c r="H16" s="110"/>
      <c r="I16" s="86">
        <f ca="1">VLOOKUP($F$13,DATA_01!$B$35:$CP$1038,4,0)</f>
        <v>0.5371045647865903</v>
      </c>
      <c r="J16" s="131"/>
      <c r="K16" s="87">
        <f ca="1">VLOOKUP($F$13,DATA_01!$B$35:$CP$1038,18,0)</f>
        <v>0.52029854433671896</v>
      </c>
      <c r="L16" s="101">
        <f ca="1">(K16-I16)*100</f>
        <v>-1.6806020449871339</v>
      </c>
      <c r="M16" s="136">
        <f ca="1">VLOOKUP($F$13,DATA_01!$B$35:$CP$1038,73,0)</f>
        <v>-187201.81693575531</v>
      </c>
      <c r="N16" s="102"/>
      <c r="O16" s="87">
        <f ca="1">VLOOKUP($F$13,DATA_01!$B$35:$CP$1038,46,0)</f>
        <v>0.54469409388965384</v>
      </c>
      <c r="P16" s="101">
        <f ca="1">IFERROR((O16-I16)*100,0)</f>
        <v>0.75895291030635414</v>
      </c>
      <c r="Q16" s="136">
        <f ca="1">VLOOKUP($F$13,DATA_01!$B$35:$CP$1038,84,0)</f>
        <v>84539.563784189522</v>
      </c>
    </row>
    <row r="17" spans="5:17" ht="37.5" customHeight="1" thickTop="1" thickBot="1">
      <c r="E17" s="84"/>
      <c r="F17" s="199" t="str">
        <f>IF(IDX_LANG="English","M - Maintenance","M - Maintenance")</f>
        <v>M - Maintenance</v>
      </c>
      <c r="G17" s="200"/>
      <c r="H17" s="88"/>
      <c r="I17" s="103">
        <f ca="1">VLOOKUP($F$13,DATA_01!$B$35:$CP$1038,6,0)</f>
        <v>0.11080849296173879</v>
      </c>
      <c r="J17" s="132"/>
      <c r="K17" s="104">
        <f ca="1">VLOOKUP($F$13,DATA_01!$B$35:$CP$1038,20,0)</f>
        <v>9.1565885222817181E-2</v>
      </c>
      <c r="L17" s="105">
        <f ca="1">(K17-I17)*100</f>
        <v>-1.9242607738921613</v>
      </c>
      <c r="M17" s="137">
        <f ca="1">VLOOKUP($F$13,DATA_01!$B$35:$CP$1038,75,0)</f>
        <v>-214342.89825202106</v>
      </c>
      <c r="N17" s="89"/>
      <c r="O17" s="104">
        <f ca="1">VLOOKUP($F$13,DATA_01!$B$35:$CP$1038,48,0)</f>
        <v>8.3036560155978698E-2</v>
      </c>
      <c r="P17" s="105">
        <f ca="1">IFERROR((O17-I17)*100,0)</f>
        <v>-2.7771932805760096</v>
      </c>
      <c r="Q17" s="137">
        <f ca="1">VLOOKUP($F$13,DATA_01!$B$35:$CP$1038,86,0)</f>
        <v>-309350.82440030039</v>
      </c>
    </row>
    <row r="18" spans="5:17" ht="37.5" customHeight="1" thickTop="1" thickBot="1">
      <c r="E18" s="84"/>
      <c r="F18" s="197" t="str">
        <f>IF(IDX_LANG="English","E - Energy","E - Energie")</f>
        <v>E - Energy</v>
      </c>
      <c r="G18" s="198"/>
      <c r="H18" s="110"/>
      <c r="I18" s="86">
        <f ca="1">VLOOKUP($F$13,DATA_01!$B$35:$CP$1038,8,0)</f>
        <v>0.10512253187839292</v>
      </c>
      <c r="J18" s="131"/>
      <c r="K18" s="87">
        <f ca="1">VLOOKUP($F$13,DATA_01!$B$35:$CP$1038,22,0)</f>
        <v>0.12098396597070042</v>
      </c>
      <c r="L18" s="101">
        <f ca="1">(K18-I18)*100</f>
        <v>1.5861434092307503</v>
      </c>
      <c r="M18" s="136">
        <f ca="1">VLOOKUP($F$13,DATA_01!$B$35:$CP$1038,77,0)</f>
        <v>176680.09450205276</v>
      </c>
      <c r="N18" s="102"/>
      <c r="O18" s="87">
        <f ca="1">VLOOKUP($F$13,DATA_01!$B$35:$CP$1038,50,0)</f>
        <v>0.12017357292801539</v>
      </c>
      <c r="P18" s="101">
        <f ca="1">IFERROR((O18-I18)*100,0)</f>
        <v>1.5051041049622473</v>
      </c>
      <c r="Q18" s="136">
        <f ca="1">VLOOKUP($F$13,DATA_01!$B$35:$CP$1038,88,0)</f>
        <v>167653.14785068808</v>
      </c>
    </row>
    <row r="19" spans="5:17" ht="37.5" customHeight="1" thickTop="1" thickBot="1">
      <c r="E19" s="84"/>
      <c r="F19" s="199" t="str">
        <f>IF(IDX_LANG="English","F - Fleet","F - Flotte")</f>
        <v>F - Fleet</v>
      </c>
      <c r="G19" s="200"/>
      <c r="H19" s="88"/>
      <c r="I19" s="103">
        <f ca="1">VLOOKUP($F$13,DATA_01!$B$35:$CP$1038,10,0)</f>
        <v>8.4706122827100383E-2</v>
      </c>
      <c r="J19" s="132"/>
      <c r="K19" s="104">
        <f ca="1">VLOOKUP($F$13,DATA_01!$B$35:$CP$1038,24,0)</f>
        <v>9.0242921663218331E-2</v>
      </c>
      <c r="L19" s="105">
        <f ca="1">(K19-I19)*100</f>
        <v>0.55367988361179488</v>
      </c>
      <c r="M19" s="137">
        <f ca="1">VLOOKUP($F$13,DATA_01!$B$35:$CP$1038,79,0)</f>
        <v>61674.255676452653</v>
      </c>
      <c r="N19" s="89"/>
      <c r="O19" s="104">
        <f ca="1">VLOOKUP($F$13,DATA_01!$B$35:$CP$1038,52,0)</f>
        <v>8.4275900746907967E-2</v>
      </c>
      <c r="P19" s="105">
        <f ca="1">IFERROR((O19-I19)*100,0)</f>
        <v>-4.3022208019241615E-2</v>
      </c>
      <c r="Q19" s="137">
        <f ca="1">VLOOKUP($F$13,DATA_01!$B$35:$CP$1038,90,0)</f>
        <v>-4792.2323632847983</v>
      </c>
    </row>
    <row r="20" spans="5:17" ht="37.5" customHeight="1" thickTop="1" thickBot="1">
      <c r="E20" s="84"/>
      <c r="F20" s="197" t="str">
        <f>IF(IDX_LANG="English","O - Others","O - Autres")</f>
        <v>O - Others</v>
      </c>
      <c r="G20" s="198"/>
      <c r="H20" s="110"/>
      <c r="I20" s="86">
        <f ca="1">VLOOKUP($F$13,DATA_01!$B$35:$CP$1038,12,0)</f>
        <v>0.15096589604697622</v>
      </c>
      <c r="J20" s="131"/>
      <c r="K20" s="87">
        <f ca="1">VLOOKUP($F$13,DATA_01!$B$35:$CP$1038,26,0)</f>
        <v>0.1470119029403657</v>
      </c>
      <c r="L20" s="101">
        <f ca="1">(K20-I20)*100</f>
        <v>-0.3953993106610515</v>
      </c>
      <c r="M20" s="136">
        <f ca="1">VLOOKUP($F$13,DATA_01!$B$35:$CP$1038,81,0)</f>
        <v>-44043.424552337034</v>
      </c>
      <c r="N20" s="102"/>
      <c r="O20" s="87">
        <f ca="1">VLOOKUP($F$13,DATA_01!$B$35:$CP$1038,54,0)</f>
        <v>0.15428701899579003</v>
      </c>
      <c r="P20" s="101">
        <f ca="1">IFERROR((O20-I20)*100,0)</f>
        <v>0.3321122948813815</v>
      </c>
      <c r="Q20" s="136">
        <f ca="1">VLOOKUP($F$13,DATA_01!$B$35:$CP$1038,92,0)</f>
        <v>36993.900616712635</v>
      </c>
    </row>
    <row r="21" spans="5:17" ht="6.75" customHeight="1" thickTop="1" thickBot="1">
      <c r="E21" s="84"/>
      <c r="F21" s="90"/>
      <c r="G21" s="127"/>
      <c r="H21" s="106"/>
      <c r="I21" s="127"/>
      <c r="J21" s="107"/>
      <c r="K21" s="138"/>
      <c r="L21" s="108"/>
      <c r="M21" s="139"/>
      <c r="N21" s="109"/>
      <c r="O21" s="138"/>
      <c r="P21" s="108"/>
      <c r="Q21" s="139"/>
    </row>
    <row r="22" spans="5:17" ht="37.5" customHeight="1" thickTop="1" thickBot="1">
      <c r="E22" s="84"/>
      <c r="F22" s="201" t="str">
        <f>IF(IDX_LANG="English","GROSS MARGIN","MARGE BRUTE")</f>
        <v>GROSS MARGIN</v>
      </c>
      <c r="G22" s="202"/>
      <c r="H22" s="91"/>
      <c r="I22" s="99">
        <f ca="1">1-SUM(I16:I20)</f>
        <v>1.129239149920136E-2</v>
      </c>
      <c r="J22" s="117"/>
      <c r="K22" s="100">
        <f ca="1">1-SUM(K16:K20)</f>
        <v>2.9896779866179446E-2</v>
      </c>
      <c r="L22" s="183">
        <f ca="1">(I22-K22)*100</f>
        <v>-1.8604388366978086</v>
      </c>
      <c r="M22" s="184"/>
      <c r="N22" s="102"/>
      <c r="O22" s="100">
        <f ca="1">1-SUM(O16:O20)</f>
        <v>1.3532853283654056E-2</v>
      </c>
      <c r="P22" s="183">
        <f ca="1">(I22-O22)*100</f>
        <v>-0.22404617844526964</v>
      </c>
      <c r="Q22" s="184"/>
    </row>
    <row r="23" spans="5:17" ht="15.75" thickTop="1"/>
  </sheetData>
  <mergeCells count="16">
    <mergeCell ref="L22:M22"/>
    <mergeCell ref="P22:Q22"/>
    <mergeCell ref="F16:G16"/>
    <mergeCell ref="F17:G17"/>
    <mergeCell ref="F18:G18"/>
    <mergeCell ref="F19:G19"/>
    <mergeCell ref="F20:G20"/>
    <mergeCell ref="F22:G22"/>
    <mergeCell ref="F14:G15"/>
    <mergeCell ref="L14:M14"/>
    <mergeCell ref="P14:Q14"/>
    <mergeCell ref="I11:Q11"/>
    <mergeCell ref="G12:I12"/>
    <mergeCell ref="F13:I13"/>
    <mergeCell ref="K13:M13"/>
    <mergeCell ref="O13:Q13"/>
  </mergeCells>
  <conditionalFormatting sqref="B7">
    <cfRule type="expression" dxfId="296" priority="45" stopIfTrue="1">
      <formula>ROUND(ABS($B$7-$C$7),4)=0</formula>
    </cfRule>
    <cfRule type="expression" dxfId="295" priority="46">
      <formula>ROUND(ABS($B$7-$C$7),4)&lt;=0.2</formula>
    </cfRule>
    <cfRule type="expression" dxfId="294" priority="47">
      <formula>ROUND(ABS($B$7-$C$7),4)&gt;0.2</formula>
    </cfRule>
  </conditionalFormatting>
  <conditionalFormatting sqref="L16">
    <cfRule type="expression" dxfId="293" priority="9">
      <formula>L16&gt;0</formula>
    </cfRule>
    <cfRule type="expression" dxfId="292" priority="10">
      <formula>L16&lt;0</formula>
    </cfRule>
  </conditionalFormatting>
  <conditionalFormatting sqref="L18">
    <cfRule type="expression" dxfId="291" priority="7">
      <formula>L18&gt;0</formula>
    </cfRule>
    <cfRule type="expression" dxfId="290" priority="8">
      <formula>L18&lt;0</formula>
    </cfRule>
  </conditionalFormatting>
  <conditionalFormatting sqref="L20">
    <cfRule type="expression" dxfId="289" priority="5">
      <formula>L20&gt;0</formula>
    </cfRule>
    <cfRule type="expression" dxfId="288" priority="6">
      <formula>L20&lt;0</formula>
    </cfRule>
  </conditionalFormatting>
  <conditionalFormatting sqref="L19">
    <cfRule type="expression" dxfId="287" priority="3">
      <formula>L19&gt;0</formula>
    </cfRule>
    <cfRule type="expression" dxfId="286" priority="4">
      <formula>L19&lt;0</formula>
    </cfRule>
  </conditionalFormatting>
  <conditionalFormatting sqref="L17">
    <cfRule type="expression" dxfId="285" priority="1">
      <formula>L17&gt;0</formula>
    </cfRule>
    <cfRule type="expression" dxfId="284" priority="2">
      <formula>L17&lt;0</formula>
    </cfRule>
  </conditionalFormatting>
  <conditionalFormatting sqref="L22">
    <cfRule type="expression" dxfId="283" priority="43">
      <formula>L22&lt;0</formula>
    </cfRule>
    <cfRule type="expression" dxfId="282" priority="44">
      <formula>L22&gt;0</formula>
    </cfRule>
  </conditionalFormatting>
  <conditionalFormatting sqref="P22">
    <cfRule type="expression" dxfId="281" priority="41">
      <formula>P22&lt;0</formula>
    </cfRule>
    <cfRule type="expression" dxfId="280" priority="42">
      <formula>P22&gt;0</formula>
    </cfRule>
  </conditionalFormatting>
  <conditionalFormatting sqref="M16">
    <cfRule type="expression" dxfId="279" priority="29">
      <formula>M16&gt;0</formula>
    </cfRule>
    <cfRule type="expression" dxfId="278" priority="30">
      <formula>M16&lt;0</formula>
    </cfRule>
  </conditionalFormatting>
  <conditionalFormatting sqref="Q16">
    <cfRule type="expression" dxfId="277" priority="39">
      <formula>Q16&gt;0</formula>
    </cfRule>
    <cfRule type="expression" dxfId="276" priority="40">
      <formula>Q16&lt;0</formula>
    </cfRule>
  </conditionalFormatting>
  <conditionalFormatting sqref="Q18">
    <cfRule type="expression" dxfId="275" priority="37">
      <formula>Q18&gt;0</formula>
    </cfRule>
    <cfRule type="expression" dxfId="274" priority="38">
      <formula>Q18&lt;0</formula>
    </cfRule>
  </conditionalFormatting>
  <conditionalFormatting sqref="Q20">
    <cfRule type="expression" dxfId="273" priority="35">
      <formula>Q20&gt;0</formula>
    </cfRule>
    <cfRule type="expression" dxfId="272" priority="36">
      <formula>Q20&lt;0</formula>
    </cfRule>
  </conditionalFormatting>
  <conditionalFormatting sqref="Q19">
    <cfRule type="expression" dxfId="271" priority="33">
      <formula>Q19&gt;0</formula>
    </cfRule>
    <cfRule type="expression" dxfId="270" priority="34">
      <formula>Q19&lt;0</formula>
    </cfRule>
  </conditionalFormatting>
  <conditionalFormatting sqref="Q17">
    <cfRule type="expression" dxfId="269" priority="31">
      <formula>Q17&gt;0</formula>
    </cfRule>
    <cfRule type="expression" dxfId="268" priority="32">
      <formula>Q17&lt;0</formula>
    </cfRule>
  </conditionalFormatting>
  <conditionalFormatting sqref="M18">
    <cfRule type="expression" dxfId="267" priority="27">
      <formula>M18&gt;0</formula>
    </cfRule>
    <cfRule type="expression" dxfId="266" priority="28">
      <formula>M18&lt;0</formula>
    </cfRule>
  </conditionalFormatting>
  <conditionalFormatting sqref="M20">
    <cfRule type="expression" dxfId="265" priority="25">
      <formula>M20&gt;0</formula>
    </cfRule>
    <cfRule type="expression" dxfId="264" priority="26">
      <formula>M20&lt;0</formula>
    </cfRule>
  </conditionalFormatting>
  <conditionalFormatting sqref="M19">
    <cfRule type="expression" dxfId="263" priority="23">
      <formula>M19&gt;0</formula>
    </cfRule>
    <cfRule type="expression" dxfId="262" priority="24">
      <formula>M19&lt;0</formula>
    </cfRule>
  </conditionalFormatting>
  <conditionalFormatting sqref="M17">
    <cfRule type="expression" dxfId="261" priority="21">
      <formula>M17&gt;0</formula>
    </cfRule>
    <cfRule type="expression" dxfId="260" priority="22">
      <formula>M17&lt;0</formula>
    </cfRule>
  </conditionalFormatting>
  <conditionalFormatting sqref="P16">
    <cfRule type="expression" dxfId="259" priority="19">
      <formula>P16&gt;0</formula>
    </cfRule>
    <cfRule type="expression" dxfId="258" priority="20">
      <formula>P16&lt;0</formula>
    </cfRule>
  </conditionalFormatting>
  <conditionalFormatting sqref="P18">
    <cfRule type="expression" dxfId="257" priority="17">
      <formula>P18&gt;0</formula>
    </cfRule>
    <cfRule type="expression" dxfId="256" priority="18">
      <formula>P18&lt;0</formula>
    </cfRule>
  </conditionalFormatting>
  <conditionalFormatting sqref="P20">
    <cfRule type="expression" dxfId="255" priority="15">
      <formula>P20&gt;0</formula>
    </cfRule>
    <cfRule type="expression" dxfId="254" priority="16">
      <formula>P20&lt;0</formula>
    </cfRule>
  </conditionalFormatting>
  <conditionalFormatting sqref="P19">
    <cfRule type="expression" dxfId="253" priority="13">
      <formula>P19&gt;0</formula>
    </cfRule>
    <cfRule type="expression" dxfId="252" priority="14">
      <formula>P19&lt;0</formula>
    </cfRule>
  </conditionalFormatting>
  <conditionalFormatting sqref="P17">
    <cfRule type="expression" dxfId="251" priority="11">
      <formula>P17&gt;0</formula>
    </cfRule>
    <cfRule type="expression" dxfId="250" priority="12">
      <formula>P17&lt;0</formula>
    </cfRule>
  </conditionalFormatting>
  <dataValidations count="1">
    <dataValidation type="list" allowBlank="1" showInputMessage="1" showErrorMessage="1" sqref="I9">
      <formula1>"1,2,3,4,5"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get_size">
                <anchor moveWithCells="1" sizeWithCells="1">
                  <from>
                    <xdr:col>3</xdr:col>
                    <xdr:colOff>142875</xdr:colOff>
                    <xdr:row>2</xdr:row>
                    <xdr:rowOff>47625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6" tint="-0.249977111117893"/>
  </sheetPr>
  <dimension ref="A1:R11"/>
  <sheetViews>
    <sheetView showGridLines="0" zoomScale="70" zoomScaleNormal="70" workbookViewId="0"/>
  </sheetViews>
  <sheetFormatPr baseColWidth="10" defaultRowHeight="15"/>
  <cols>
    <col min="5" max="5" width="9.5703125" style="3" customWidth="1"/>
    <col min="6" max="6" width="6.85546875" style="3" hidden="1" customWidth="1"/>
    <col min="7" max="7" width="35" style="3" customWidth="1"/>
    <col min="8" max="8" width="10.42578125" style="92" customWidth="1"/>
    <col min="9" max="9" width="93.85546875" style="3" customWidth="1"/>
    <col min="10" max="10" width="0.42578125" style="3" customWidth="1"/>
    <col min="11" max="11" width="11" style="3" customWidth="1"/>
    <col min="12" max="12" width="12.5703125" style="3" customWidth="1"/>
    <col min="13" max="13" width="17.140625" style="3" customWidth="1"/>
    <col min="14" max="14" width="0.42578125" style="3" customWidth="1"/>
    <col min="15" max="15" width="11" style="3" customWidth="1"/>
    <col min="16" max="16" width="13.140625" style="3" customWidth="1"/>
    <col min="17" max="17" width="17.140625" style="3" customWidth="1"/>
    <col min="18" max="18" width="4" style="3" customWidth="1"/>
  </cols>
  <sheetData>
    <row r="1" spans="1:18">
      <c r="A1" s="55" t="s">
        <v>1</v>
      </c>
      <c r="B1" s="54">
        <v>10</v>
      </c>
    </row>
    <row r="2" spans="1:18">
      <c r="A2" s="55" t="s">
        <v>2</v>
      </c>
      <c r="B2" s="54">
        <v>50</v>
      </c>
      <c r="R2" s="84"/>
    </row>
    <row r="3" spans="1:18">
      <c r="A3" s="55" t="s">
        <v>3</v>
      </c>
      <c r="B3" s="54">
        <v>30</v>
      </c>
      <c r="R3" s="84"/>
    </row>
    <row r="4" spans="1:18">
      <c r="A4" s="55" t="s">
        <v>4</v>
      </c>
      <c r="B4" s="54">
        <v>20</v>
      </c>
      <c r="C4" s="81">
        <v>519.75</v>
      </c>
      <c r="R4" s="84"/>
    </row>
    <row r="5" spans="1:18">
      <c r="A5" s="55" t="s">
        <v>5</v>
      </c>
      <c r="B5" s="54">
        <v>250</v>
      </c>
      <c r="C5" s="81">
        <v>783</v>
      </c>
      <c r="R5" s="84"/>
    </row>
    <row r="6" spans="1:18">
      <c r="R6" s="84"/>
    </row>
    <row r="7" spans="1:18">
      <c r="A7" s="55" t="s">
        <v>50</v>
      </c>
      <c r="B7" s="82">
        <f>B5/B4</f>
        <v>12.5</v>
      </c>
      <c r="C7" s="81">
        <f>C5/C4</f>
        <v>1.5064935064935066</v>
      </c>
      <c r="R7" s="84"/>
    </row>
    <row r="8" spans="1:18">
      <c r="G8" s="3" t="s">
        <v>64</v>
      </c>
      <c r="H8" s="93">
        <v>1</v>
      </c>
      <c r="R8" s="84"/>
    </row>
    <row r="9" spans="1:18">
      <c r="G9" s="3" t="s">
        <v>53</v>
      </c>
      <c r="H9" s="93">
        <f>IF(IDX_SORT="in variance (in %)",1,0)</f>
        <v>0</v>
      </c>
      <c r="R9" s="84"/>
    </row>
    <row r="10" spans="1:18">
      <c r="R10" s="84"/>
    </row>
    <row r="11" spans="1:18" ht="21" customHeight="1">
      <c r="E11" s="84"/>
      <c r="F11" s="84"/>
      <c r="G11" s="84"/>
      <c r="H11" s="85"/>
      <c r="I11" s="143" t="str">
        <f ca="1">IDX_MAN_ORG&amp;" - "&amp;IF($H$9=1,OFFSET(DATA_01!AQ24,$H$8,0),OFFSET(DATA_01!AP24,$H$8,0))</f>
        <v>NETH_BM01 - Amstelland Meerlanden</v>
      </c>
      <c r="J11" s="142"/>
      <c r="K11" s="142"/>
      <c r="L11" s="142"/>
      <c r="M11" s="142"/>
      <c r="N11" s="142"/>
      <c r="O11" s="142"/>
      <c r="P11" s="142"/>
      <c r="Q11" s="142"/>
      <c r="R11" s="84"/>
    </row>
  </sheetData>
  <conditionalFormatting sqref="B7">
    <cfRule type="expression" dxfId="249" priority="1" stopIfTrue="1">
      <formula>ROUND(ABS($B$7-$C$7),4)=0</formula>
    </cfRule>
    <cfRule type="expression" dxfId="248" priority="2">
      <formula>ROUND(ABS($B$7-$C$7),4)&lt;=0.2</formula>
    </cfRule>
    <cfRule type="expression" dxfId="247" priority="3">
      <formula>ROUND(ABS($B$7-$C$7),4)&gt;0.2</formula>
    </cfRule>
  </conditionalFormatting>
  <dataValidations count="1">
    <dataValidation type="list" allowBlank="1" showInputMessage="1" showErrorMessage="1" sqref="H8">
      <formula1>"1,2,3,4,5"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get_size">
                <anchor moveWithCells="1" sizeWithCells="1">
                  <from>
                    <xdr:col>3</xdr:col>
                    <xdr:colOff>142875</xdr:colOff>
                    <xdr:row>2</xdr:row>
                    <xdr:rowOff>47625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6">
    <tabColor theme="6" tint="-0.249977111117893"/>
  </sheetPr>
  <dimension ref="A1:R23"/>
  <sheetViews>
    <sheetView showGridLines="0" zoomScale="70" zoomScaleNormal="70" workbookViewId="0">
      <selection activeCell="K13" sqref="K13:Q15"/>
    </sheetView>
  </sheetViews>
  <sheetFormatPr baseColWidth="10" defaultRowHeight="15"/>
  <cols>
    <col min="5" max="5" width="4" style="3" customWidth="1"/>
    <col min="6" max="6" width="6.85546875" style="3" hidden="1" customWidth="1"/>
    <col min="7" max="7" width="35" style="3" customWidth="1"/>
    <col min="8" max="8" width="0.42578125" style="92" customWidth="1"/>
    <col min="9" max="9" width="11" style="3" customWidth="1"/>
    <col min="10" max="10" width="0.42578125" style="3" customWidth="1"/>
    <col min="11" max="11" width="11" style="3" customWidth="1"/>
    <col min="12" max="12" width="12.5703125" style="3" customWidth="1"/>
    <col min="13" max="13" width="17.140625" style="3" customWidth="1"/>
    <col min="14" max="14" width="0.42578125" style="3" customWidth="1"/>
    <col min="15" max="15" width="11" style="3" customWidth="1"/>
    <col min="16" max="16" width="13.140625" style="3" customWidth="1"/>
    <col min="17" max="17" width="17.140625" style="3" customWidth="1"/>
    <col min="18" max="18" width="4" style="3" customWidth="1"/>
  </cols>
  <sheetData>
    <row r="1" spans="1:18">
      <c r="A1" s="55" t="s">
        <v>1</v>
      </c>
      <c r="B1" s="54">
        <v>10</v>
      </c>
    </row>
    <row r="2" spans="1:18">
      <c r="A2" s="55" t="s">
        <v>2</v>
      </c>
      <c r="B2" s="54">
        <v>84.7</v>
      </c>
      <c r="R2" s="84"/>
    </row>
    <row r="3" spans="1:18">
      <c r="A3" s="55" t="s">
        <v>3</v>
      </c>
      <c r="B3" s="54">
        <v>167</v>
      </c>
      <c r="R3" s="84"/>
    </row>
    <row r="4" spans="1:18">
      <c r="A4" s="55" t="s">
        <v>4</v>
      </c>
      <c r="B4" s="54">
        <v>231</v>
      </c>
      <c r="C4" s="81">
        <v>519.75</v>
      </c>
      <c r="R4" s="84"/>
    </row>
    <row r="5" spans="1:18">
      <c r="A5" s="55" t="s">
        <v>5</v>
      </c>
      <c r="B5" s="83">
        <f>B4*C7</f>
        <v>348</v>
      </c>
      <c r="C5" s="81">
        <v>783</v>
      </c>
      <c r="R5" s="84"/>
    </row>
    <row r="6" spans="1:18">
      <c r="R6" s="84"/>
    </row>
    <row r="7" spans="1:18">
      <c r="A7" s="55" t="s">
        <v>50</v>
      </c>
      <c r="B7" s="82">
        <f>B5/B4</f>
        <v>1.5064935064935066</v>
      </c>
      <c r="C7" s="81">
        <f>C5/C4</f>
        <v>1.5064935064935066</v>
      </c>
      <c r="R7" s="84"/>
    </row>
    <row r="8" spans="1:18">
      <c r="R8" s="84"/>
    </row>
    <row r="9" spans="1:18">
      <c r="G9" s="3" t="s">
        <v>64</v>
      </c>
      <c r="I9" s="93">
        <v>1</v>
      </c>
      <c r="R9" s="84"/>
    </row>
    <row r="10" spans="1:18">
      <c r="G10" s="3" t="s">
        <v>53</v>
      </c>
      <c r="I10" s="93">
        <f>IF(IDX_SORT="in variance (in %)",1,0)</f>
        <v>0</v>
      </c>
      <c r="R10" s="84"/>
    </row>
    <row r="11" spans="1:18" ht="21">
      <c r="E11" s="84"/>
      <c r="F11" s="84"/>
      <c r="G11" s="84"/>
      <c r="H11" s="85"/>
      <c r="I11" s="181"/>
      <c r="J11" s="181"/>
      <c r="K11" s="181"/>
      <c r="L11" s="181"/>
      <c r="M11" s="181"/>
      <c r="N11" s="181"/>
      <c r="O11" s="181"/>
      <c r="P11" s="181"/>
      <c r="Q11" s="181"/>
      <c r="R11" s="84"/>
    </row>
    <row r="12" spans="1:18" ht="21" customHeight="1" thickBot="1">
      <c r="E12" s="84"/>
      <c r="F12" s="84"/>
      <c r="G12" s="182"/>
      <c r="H12" s="182"/>
      <c r="I12" s="182"/>
      <c r="J12" s="84"/>
      <c r="K12" s="84"/>
      <c r="L12" s="84"/>
      <c r="M12" s="84"/>
      <c r="O12" s="84"/>
      <c r="P12" s="84"/>
      <c r="Q12" s="84"/>
      <c r="R12" s="84"/>
    </row>
    <row r="13" spans="1:18" ht="42.75" customHeight="1" thickTop="1" thickBot="1">
      <c r="E13" s="84"/>
      <c r="F13" s="203" t="str">
        <f ca="1">IF($I$10=1,OFFSET(DATA_01!AQ24,$I$9,0),OFFSET(DATA_01!AP24,$I$9,0))</f>
        <v>Amstelland Meerlanden</v>
      </c>
      <c r="G13" s="204"/>
      <c r="H13" s="204"/>
      <c r="I13" s="205"/>
      <c r="J13" s="118"/>
      <c r="K13" s="206" t="str">
        <f ca="1">IDX_PHASE&amp;" "&amp;IF(LEFT(IDX_PERIOD,4)="F_YE",RIGHT(IDX_PERIOD,4),LEFT(IDX_PERIOD,4))&amp;" Versus "&amp;IDX_PHASE_COMP1&amp;" "&amp;IDX_PERIOD_COMP_N_1</f>
        <v>Actual 2016 Versus Budget N</v>
      </c>
      <c r="L13" s="207"/>
      <c r="M13" s="208"/>
      <c r="N13" s="119"/>
      <c r="O13" s="206" t="str">
        <f ca="1">IDX_PHASE&amp;" "&amp;IF(LEFT(IDX_PERIOD,4)="F_YE",RIGHT(IDX_PERIOD,4),LEFT(IDX_PERIOD,4))&amp;" Versus "&amp;IDX_PHASE_COMP2&amp;" "&amp;IDX_PERIOD_COMP_N_2</f>
        <v>Actual 2016 Versus Actual N-1</v>
      </c>
      <c r="P13" s="207"/>
      <c r="Q13" s="208"/>
      <c r="R13" s="84"/>
    </row>
    <row r="14" spans="1:18" ht="22.5" customHeight="1" thickTop="1">
      <c r="E14" s="84"/>
      <c r="F14" s="187" t="str">
        <f ca="1">IDX_PERIOD</f>
        <v>2016.08_YTD</v>
      </c>
      <c r="G14" s="188"/>
      <c r="H14" s="120"/>
      <c r="I14" s="128" t="str">
        <f ca="1">_xll.DBRA(Server&amp;"Phase","ACT_TOT",IDX_LANG)</f>
        <v>Actual</v>
      </c>
      <c r="J14" s="121"/>
      <c r="K14" s="133" t="str">
        <f ca="1">IDX_PHASE_COMP1&amp;" "&amp;IDX_PERIOD_COMP_N_1</f>
        <v>Budget N</v>
      </c>
      <c r="L14" s="185" t="s">
        <v>35</v>
      </c>
      <c r="M14" s="186"/>
      <c r="N14" s="122"/>
      <c r="O14" s="133" t="str">
        <f ca="1">IDX_PHASE_COMP2&amp;" "&amp;IDX_PERIOD_COMP_N_2</f>
        <v>Actual N-1</v>
      </c>
      <c r="P14" s="185" t="s">
        <v>35</v>
      </c>
      <c r="Q14" s="186"/>
    </row>
    <row r="15" spans="1:18" ht="19.5" customHeight="1" thickBot="1">
      <c r="E15" s="84"/>
      <c r="F15" s="189"/>
      <c r="G15" s="190"/>
      <c r="H15" s="123"/>
      <c r="I15" s="129" t="s">
        <v>51</v>
      </c>
      <c r="J15" s="125"/>
      <c r="K15" s="134" t="s">
        <v>51</v>
      </c>
      <c r="L15" s="124" t="s">
        <v>52</v>
      </c>
      <c r="M15" s="135" t="str">
        <f>IDX_CURRENCY</f>
        <v>LCL</v>
      </c>
      <c r="N15" s="126"/>
      <c r="O15" s="134" t="s">
        <v>51</v>
      </c>
      <c r="P15" s="124" t="s">
        <v>52</v>
      </c>
      <c r="Q15" s="135" t="str">
        <f>M15</f>
        <v>LCL</v>
      </c>
    </row>
    <row r="16" spans="1:18" ht="37.5" customHeight="1" thickTop="1" thickBot="1">
      <c r="E16" s="84"/>
      <c r="F16" s="197" t="str">
        <f>IF(IDX_LANG="English","D - Driving","D - Conduite")</f>
        <v>D - Driving</v>
      </c>
      <c r="G16" s="198"/>
      <c r="H16" s="110"/>
      <c r="I16" s="86">
        <f ca="1">VLOOKUP($F$13,DATA_01!$B$35:$CP$1038,4,0)</f>
        <v>0.42929966309069578</v>
      </c>
      <c r="J16" s="131"/>
      <c r="K16" s="87">
        <f ca="1">VLOOKUP($F$13,DATA_01!$B$35:$CP$1038,18,0)</f>
        <v>0.42495375159976406</v>
      </c>
      <c r="L16" s="101">
        <f ca="1">(K16-I16)*100</f>
        <v>-0.43459114909317198</v>
      </c>
      <c r="M16" s="136">
        <f ca="1">VLOOKUP($F$13,DATA_01!$B$35:$CP$1038,73,0)</f>
        <v>-256133.0033708103</v>
      </c>
      <c r="N16" s="102"/>
      <c r="O16" s="87">
        <f ca="1">VLOOKUP($F$13,DATA_01!$B$35:$CP$1038,46,0)</f>
        <v>0.43312147698565251</v>
      </c>
      <c r="P16" s="101">
        <f ca="1">IFERROR((O16-I16)*100,0)</f>
        <v>0.38218138949567271</v>
      </c>
      <c r="Q16" s="136">
        <f ca="1">VLOOKUP($F$13,DATA_01!$B$35:$CP$1038,84,0)</f>
        <v>225244.50239774585</v>
      </c>
    </row>
    <row r="17" spans="5:17" ht="37.5" customHeight="1" thickTop="1" thickBot="1">
      <c r="E17" s="84"/>
      <c r="F17" s="199" t="str">
        <f>IF(IDX_LANG="English","M - Maintenance","M - Maintenance")</f>
        <v>M - Maintenance</v>
      </c>
      <c r="G17" s="200"/>
      <c r="H17" s="88"/>
      <c r="I17" s="103">
        <f ca="1">VLOOKUP($F$13,DATA_01!$B$35:$CP$1038,6,0)</f>
        <v>7.6983889786587906E-2</v>
      </c>
      <c r="J17" s="132"/>
      <c r="K17" s="104">
        <f ca="1">VLOOKUP($F$13,DATA_01!$B$35:$CP$1038,20,0)</f>
        <v>8.4178568039436977E-2</v>
      </c>
      <c r="L17" s="105">
        <f ca="1">(K17-I17)*100</f>
        <v>0.71946782528490716</v>
      </c>
      <c r="M17" s="137">
        <f ca="1">VLOOKUP($F$13,DATA_01!$B$35:$CP$1038,75,0)</f>
        <v>424029.47069541458</v>
      </c>
      <c r="N17" s="89"/>
      <c r="O17" s="104">
        <f ca="1">VLOOKUP($F$13,DATA_01!$B$35:$CP$1038,48,0)</f>
        <v>7.5091340158500275E-2</v>
      </c>
      <c r="P17" s="105">
        <f ca="1">IFERROR((O17-I17)*100,0)</f>
        <v>-0.18925496280876308</v>
      </c>
      <c r="Q17" s="137">
        <f ca="1">VLOOKUP($F$13,DATA_01!$B$35:$CP$1038,86,0)</f>
        <v>-111540.33423871547</v>
      </c>
    </row>
    <row r="18" spans="5:17" ht="37.5" customHeight="1" thickTop="1" thickBot="1">
      <c r="E18" s="84"/>
      <c r="F18" s="197" t="str">
        <f>IF(IDX_LANG="English","E - Energy","E - Energie")</f>
        <v>E - Energy</v>
      </c>
      <c r="G18" s="198"/>
      <c r="H18" s="110"/>
      <c r="I18" s="86">
        <f ca="1">VLOOKUP($F$13,DATA_01!$B$35:$CP$1038,8,0)</f>
        <v>8.7927682674993096E-2</v>
      </c>
      <c r="J18" s="131"/>
      <c r="K18" s="87">
        <f ca="1">VLOOKUP($F$13,DATA_01!$B$35:$CP$1038,22,0)</f>
        <v>9.2932217440804557E-2</v>
      </c>
      <c r="L18" s="101">
        <f ca="1">(K18-I18)*100</f>
        <v>0.50045347658114614</v>
      </c>
      <c r="M18" s="136">
        <f ca="1">VLOOKUP($F$13,DATA_01!$B$35:$CP$1038,77,0)</f>
        <v>294949.98292432353</v>
      </c>
      <c r="N18" s="102"/>
      <c r="O18" s="87">
        <f ca="1">VLOOKUP($F$13,DATA_01!$B$35:$CP$1038,50,0)</f>
        <v>0.10372992075529675</v>
      </c>
      <c r="P18" s="101">
        <f ca="1">IFERROR((O18-I18)*100,0)</f>
        <v>1.580223808030365</v>
      </c>
      <c r="Q18" s="136">
        <f ca="1">VLOOKUP($F$13,DATA_01!$B$35:$CP$1038,88,0)</f>
        <v>931329.29833806772</v>
      </c>
    </row>
    <row r="19" spans="5:17" ht="37.5" customHeight="1" thickTop="1" thickBot="1">
      <c r="E19" s="84"/>
      <c r="F19" s="199" t="str">
        <f>IF(IDX_LANG="English","F - Fleet","F - Flotte")</f>
        <v>F - Fleet</v>
      </c>
      <c r="G19" s="200"/>
      <c r="H19" s="88"/>
      <c r="I19" s="103">
        <f ca="1">VLOOKUP($F$13,DATA_01!$B$35:$CP$1038,10,0)</f>
        <v>4.4359950159887147E-2</v>
      </c>
      <c r="J19" s="132"/>
      <c r="K19" s="104">
        <f ca="1">VLOOKUP($F$13,DATA_01!$B$35:$CP$1038,24,0)</f>
        <v>4.2410538410598879E-2</v>
      </c>
      <c r="L19" s="105">
        <f ca="1">(K19-I19)*100</f>
        <v>-0.19494117492882684</v>
      </c>
      <c r="M19" s="137">
        <f ca="1">VLOOKUP($F$13,DATA_01!$B$35:$CP$1038,79,0)</f>
        <v>-114891.59114110377</v>
      </c>
      <c r="N19" s="89"/>
      <c r="O19" s="104">
        <f ca="1">VLOOKUP($F$13,DATA_01!$B$35:$CP$1038,52,0)</f>
        <v>4.7316157156196963E-2</v>
      </c>
      <c r="P19" s="105">
        <f ca="1">IFERROR((O19-I19)*100,0)</f>
        <v>0.29562069963098153</v>
      </c>
      <c r="Q19" s="137">
        <f ca="1">VLOOKUP($F$13,DATA_01!$B$35:$CP$1038,90,0)</f>
        <v>174228.62341550086</v>
      </c>
    </row>
    <row r="20" spans="5:17" ht="37.5" customHeight="1" thickTop="1" thickBot="1">
      <c r="E20" s="84"/>
      <c r="F20" s="197" t="str">
        <f>IF(IDX_LANG="English","O - Others","O - Autres")</f>
        <v>O - Others</v>
      </c>
      <c r="G20" s="198"/>
      <c r="H20" s="110"/>
      <c r="I20" s="86">
        <f ca="1">VLOOKUP($F$13,DATA_01!$B$35:$CP$1038,12,0)</f>
        <v>0.11293306545584533</v>
      </c>
      <c r="J20" s="131"/>
      <c r="K20" s="87">
        <f ca="1">VLOOKUP($F$13,DATA_01!$B$35:$CP$1038,26,0)</f>
        <v>0.12329310237135151</v>
      </c>
      <c r="L20" s="101">
        <f ca="1">(K20-I20)*100</f>
        <v>1.0360036915506174</v>
      </c>
      <c r="M20" s="136">
        <f ca="1">VLOOKUP($F$13,DATA_01!$B$35:$CP$1038,81,0)</f>
        <v>610584.77047634963</v>
      </c>
      <c r="N20" s="102"/>
      <c r="O20" s="87">
        <f ca="1">VLOOKUP($F$13,DATA_01!$B$35:$CP$1038,54,0)</f>
        <v>0.12689555600057451</v>
      </c>
      <c r="P20" s="101">
        <f ca="1">IFERROR((O20-I20)*100,0)</f>
        <v>1.3962490544729174</v>
      </c>
      <c r="Q20" s="136">
        <f ca="1">VLOOKUP($F$13,DATA_01!$B$35:$CP$1038,92,0)</f>
        <v>822900.93694276549</v>
      </c>
    </row>
    <row r="21" spans="5:17" ht="6.75" customHeight="1" thickTop="1" thickBot="1">
      <c r="E21" s="84"/>
      <c r="F21" s="90"/>
      <c r="G21" s="127"/>
      <c r="H21" s="106"/>
      <c r="I21" s="127"/>
      <c r="J21" s="107"/>
      <c r="K21" s="138"/>
      <c r="L21" s="108"/>
      <c r="M21" s="139"/>
      <c r="N21" s="109"/>
      <c r="O21" s="138"/>
      <c r="P21" s="108"/>
      <c r="Q21" s="139"/>
    </row>
    <row r="22" spans="5:17" ht="37.5" customHeight="1" thickTop="1" thickBot="1">
      <c r="E22" s="84"/>
      <c r="F22" s="201" t="str">
        <f>IF(IDX_LANG="English","GROSS MARGIN","MARGE BRUTE")</f>
        <v>GROSS MARGIN</v>
      </c>
      <c r="G22" s="202"/>
      <c r="H22" s="91"/>
      <c r="I22" s="99">
        <f ca="1">1-SUM(I16:I20)</f>
        <v>0.24849574883199077</v>
      </c>
      <c r="J22" s="117"/>
      <c r="K22" s="100">
        <f ca="1">1-SUM(K16:K20)</f>
        <v>0.23223182213804405</v>
      </c>
      <c r="L22" s="183">
        <f ca="1">(I22-K22)*100</f>
        <v>1.6263926693946718</v>
      </c>
      <c r="M22" s="184"/>
      <c r="N22" s="102"/>
      <c r="O22" s="100">
        <f ca="1">1-SUM(O16:O20)</f>
        <v>0.21384554894377894</v>
      </c>
      <c r="P22" s="183">
        <f ca="1">(I22-O22)*100</f>
        <v>3.465019988821183</v>
      </c>
      <c r="Q22" s="184"/>
    </row>
    <row r="23" spans="5:17" ht="15.75" thickTop="1"/>
  </sheetData>
  <mergeCells count="16">
    <mergeCell ref="L22:M22"/>
    <mergeCell ref="P22:Q22"/>
    <mergeCell ref="F16:G16"/>
    <mergeCell ref="F17:G17"/>
    <mergeCell ref="F18:G18"/>
    <mergeCell ref="F19:G19"/>
    <mergeCell ref="F20:G20"/>
    <mergeCell ref="F22:G22"/>
    <mergeCell ref="F14:G15"/>
    <mergeCell ref="L14:M14"/>
    <mergeCell ref="P14:Q14"/>
    <mergeCell ref="I11:Q11"/>
    <mergeCell ref="G12:I12"/>
    <mergeCell ref="F13:I13"/>
    <mergeCell ref="K13:M13"/>
    <mergeCell ref="O13:Q13"/>
  </mergeCells>
  <conditionalFormatting sqref="B7">
    <cfRule type="expression" dxfId="246" priority="45" stopIfTrue="1">
      <formula>ROUND(ABS($B$7-$C$7),4)=0</formula>
    </cfRule>
    <cfRule type="expression" dxfId="245" priority="46">
      <formula>ROUND(ABS($B$7-$C$7),4)&lt;=0.2</formula>
    </cfRule>
    <cfRule type="expression" dxfId="244" priority="47">
      <formula>ROUND(ABS($B$7-$C$7),4)&gt;0.2</formula>
    </cfRule>
  </conditionalFormatting>
  <conditionalFormatting sqref="L16">
    <cfRule type="expression" dxfId="243" priority="9">
      <formula>L16&gt;0</formula>
    </cfRule>
    <cfRule type="expression" dxfId="242" priority="10">
      <formula>L16&lt;0</formula>
    </cfRule>
  </conditionalFormatting>
  <conditionalFormatting sqref="L18">
    <cfRule type="expression" dxfId="241" priority="7">
      <formula>L18&gt;0</formula>
    </cfRule>
    <cfRule type="expression" dxfId="240" priority="8">
      <formula>L18&lt;0</formula>
    </cfRule>
  </conditionalFormatting>
  <conditionalFormatting sqref="L20">
    <cfRule type="expression" dxfId="239" priority="5">
      <formula>L20&gt;0</formula>
    </cfRule>
    <cfRule type="expression" dxfId="238" priority="6">
      <formula>L20&lt;0</formula>
    </cfRule>
  </conditionalFormatting>
  <conditionalFormatting sqref="L19">
    <cfRule type="expression" dxfId="237" priority="3">
      <formula>L19&gt;0</formula>
    </cfRule>
    <cfRule type="expression" dxfId="236" priority="4">
      <formula>L19&lt;0</formula>
    </cfRule>
  </conditionalFormatting>
  <conditionalFormatting sqref="L17">
    <cfRule type="expression" dxfId="235" priority="1">
      <formula>L17&gt;0</formula>
    </cfRule>
    <cfRule type="expression" dxfId="234" priority="2">
      <formula>L17&lt;0</formula>
    </cfRule>
  </conditionalFormatting>
  <conditionalFormatting sqref="L22">
    <cfRule type="expression" dxfId="233" priority="43">
      <formula>L22&lt;0</formula>
    </cfRule>
    <cfRule type="expression" dxfId="232" priority="44">
      <formula>L22&gt;0</formula>
    </cfRule>
  </conditionalFormatting>
  <conditionalFormatting sqref="P22">
    <cfRule type="expression" dxfId="231" priority="41">
      <formula>P22&lt;0</formula>
    </cfRule>
    <cfRule type="expression" dxfId="230" priority="42">
      <formula>P22&gt;0</formula>
    </cfRule>
  </conditionalFormatting>
  <conditionalFormatting sqref="M16">
    <cfRule type="expression" dxfId="229" priority="29">
      <formula>M16&gt;0</formula>
    </cfRule>
    <cfRule type="expression" dxfId="228" priority="30">
      <formula>M16&lt;0</formula>
    </cfRule>
  </conditionalFormatting>
  <conditionalFormatting sqref="Q16">
    <cfRule type="expression" dxfId="227" priority="39">
      <formula>Q16&gt;0</formula>
    </cfRule>
    <cfRule type="expression" dxfId="226" priority="40">
      <formula>Q16&lt;0</formula>
    </cfRule>
  </conditionalFormatting>
  <conditionalFormatting sqref="Q18">
    <cfRule type="expression" dxfId="225" priority="37">
      <formula>Q18&gt;0</formula>
    </cfRule>
    <cfRule type="expression" dxfId="224" priority="38">
      <formula>Q18&lt;0</formula>
    </cfRule>
  </conditionalFormatting>
  <conditionalFormatting sqref="Q20">
    <cfRule type="expression" dxfId="223" priority="35">
      <formula>Q20&gt;0</formula>
    </cfRule>
    <cfRule type="expression" dxfId="222" priority="36">
      <formula>Q20&lt;0</formula>
    </cfRule>
  </conditionalFormatting>
  <conditionalFormatting sqref="Q19">
    <cfRule type="expression" dxfId="221" priority="33">
      <formula>Q19&gt;0</formula>
    </cfRule>
    <cfRule type="expression" dxfId="220" priority="34">
      <formula>Q19&lt;0</formula>
    </cfRule>
  </conditionalFormatting>
  <conditionalFormatting sqref="Q17">
    <cfRule type="expression" dxfId="219" priority="31">
      <formula>Q17&gt;0</formula>
    </cfRule>
    <cfRule type="expression" dxfId="218" priority="32">
      <formula>Q17&lt;0</formula>
    </cfRule>
  </conditionalFormatting>
  <conditionalFormatting sqref="M18">
    <cfRule type="expression" dxfId="217" priority="27">
      <formula>M18&gt;0</formula>
    </cfRule>
    <cfRule type="expression" dxfId="216" priority="28">
      <formula>M18&lt;0</formula>
    </cfRule>
  </conditionalFormatting>
  <conditionalFormatting sqref="M20">
    <cfRule type="expression" dxfId="215" priority="25">
      <formula>M20&gt;0</formula>
    </cfRule>
    <cfRule type="expression" dxfId="214" priority="26">
      <formula>M20&lt;0</formula>
    </cfRule>
  </conditionalFormatting>
  <conditionalFormatting sqref="M19">
    <cfRule type="expression" dxfId="213" priority="23">
      <formula>M19&gt;0</formula>
    </cfRule>
    <cfRule type="expression" dxfId="212" priority="24">
      <formula>M19&lt;0</formula>
    </cfRule>
  </conditionalFormatting>
  <conditionalFormatting sqref="M17">
    <cfRule type="expression" dxfId="211" priority="21">
      <formula>M17&gt;0</formula>
    </cfRule>
    <cfRule type="expression" dxfId="210" priority="22">
      <formula>M17&lt;0</formula>
    </cfRule>
  </conditionalFormatting>
  <conditionalFormatting sqref="P16">
    <cfRule type="expression" dxfId="209" priority="19">
      <formula>P16&gt;0</formula>
    </cfRule>
    <cfRule type="expression" dxfId="208" priority="20">
      <formula>P16&lt;0</formula>
    </cfRule>
  </conditionalFormatting>
  <conditionalFormatting sqref="P18">
    <cfRule type="expression" dxfId="207" priority="17">
      <formula>P18&gt;0</formula>
    </cfRule>
    <cfRule type="expression" dxfId="206" priority="18">
      <formula>P18&lt;0</formula>
    </cfRule>
  </conditionalFormatting>
  <conditionalFormatting sqref="P20">
    <cfRule type="expression" dxfId="205" priority="15">
      <formula>P20&gt;0</formula>
    </cfRule>
    <cfRule type="expression" dxfId="204" priority="16">
      <formula>P20&lt;0</formula>
    </cfRule>
  </conditionalFormatting>
  <conditionalFormatting sqref="P19">
    <cfRule type="expression" dxfId="203" priority="13">
      <formula>P19&gt;0</formula>
    </cfRule>
    <cfRule type="expression" dxfId="202" priority="14">
      <formula>P19&lt;0</formula>
    </cfRule>
  </conditionalFormatting>
  <conditionalFormatting sqref="P17">
    <cfRule type="expression" dxfId="201" priority="11">
      <formula>P17&gt;0</formula>
    </cfRule>
    <cfRule type="expression" dxfId="200" priority="12">
      <formula>P17&lt;0</formula>
    </cfRule>
  </conditionalFormatting>
  <dataValidations count="1">
    <dataValidation type="list" allowBlank="1" showInputMessage="1" showErrorMessage="1" sqref="I9">
      <formula1>"1,2,3,4,5"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get_size">
                <anchor moveWithCells="1" sizeWithCells="1">
                  <from>
                    <xdr:col>3</xdr:col>
                    <xdr:colOff>142875</xdr:colOff>
                    <xdr:row>2</xdr:row>
                    <xdr:rowOff>47625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8">
    <tabColor theme="6" tint="-0.249977111117893"/>
  </sheetPr>
  <dimension ref="A1:R11"/>
  <sheetViews>
    <sheetView showGridLines="0" zoomScale="70" zoomScaleNormal="70" workbookViewId="0"/>
  </sheetViews>
  <sheetFormatPr baseColWidth="10" defaultRowHeight="15"/>
  <cols>
    <col min="5" max="5" width="9.5703125" style="3" customWidth="1"/>
    <col min="6" max="6" width="6.85546875" style="3" hidden="1" customWidth="1"/>
    <col min="7" max="7" width="35" style="3" customWidth="1"/>
    <col min="8" max="8" width="10.42578125" style="92" customWidth="1"/>
    <col min="9" max="9" width="93.85546875" style="3" customWidth="1"/>
    <col min="10" max="10" width="0.42578125" style="3" customWidth="1"/>
    <col min="11" max="11" width="11" style="3" customWidth="1"/>
    <col min="12" max="12" width="12.5703125" style="3" customWidth="1"/>
    <col min="13" max="13" width="17.140625" style="3" customWidth="1"/>
    <col min="14" max="14" width="0.42578125" style="3" customWidth="1"/>
    <col min="15" max="15" width="11" style="3" customWidth="1"/>
    <col min="16" max="16" width="13.140625" style="3" customWidth="1"/>
    <col min="17" max="17" width="17.140625" style="3" customWidth="1"/>
    <col min="18" max="18" width="4" style="3" customWidth="1"/>
  </cols>
  <sheetData>
    <row r="1" spans="1:18">
      <c r="A1" s="55" t="s">
        <v>1</v>
      </c>
      <c r="B1" s="54">
        <v>11</v>
      </c>
    </row>
    <row r="2" spans="1:18">
      <c r="A2" s="55" t="s">
        <v>2</v>
      </c>
      <c r="B2" s="54">
        <v>50</v>
      </c>
      <c r="R2" s="84"/>
    </row>
    <row r="3" spans="1:18">
      <c r="A3" s="55" t="s">
        <v>3</v>
      </c>
      <c r="B3" s="54">
        <v>30</v>
      </c>
      <c r="R3" s="84"/>
    </row>
    <row r="4" spans="1:18">
      <c r="A4" s="55" t="s">
        <v>4</v>
      </c>
      <c r="B4" s="54">
        <v>20</v>
      </c>
      <c r="C4" s="81">
        <v>519.75</v>
      </c>
      <c r="R4" s="84"/>
    </row>
    <row r="5" spans="1:18">
      <c r="A5" s="55" t="s">
        <v>5</v>
      </c>
      <c r="B5" s="54">
        <v>250</v>
      </c>
      <c r="C5" s="81">
        <v>783</v>
      </c>
      <c r="R5" s="84"/>
    </row>
    <row r="6" spans="1:18">
      <c r="R6" s="84"/>
    </row>
    <row r="7" spans="1:18">
      <c r="A7" s="55" t="s">
        <v>50</v>
      </c>
      <c r="B7" s="82">
        <f>B5/B4</f>
        <v>12.5</v>
      </c>
      <c r="C7" s="81">
        <f>C5/C4</f>
        <v>1.5064935064935066</v>
      </c>
      <c r="R7" s="84"/>
    </row>
    <row r="8" spans="1:18">
      <c r="G8" s="3" t="s">
        <v>64</v>
      </c>
      <c r="H8" s="93">
        <v>2</v>
      </c>
      <c r="R8" s="84"/>
    </row>
    <row r="9" spans="1:18">
      <c r="G9" s="3" t="s">
        <v>53</v>
      </c>
      <c r="H9" s="93">
        <f>IF(IDX_SORT="in variance (in %)",1,0)</f>
        <v>0</v>
      </c>
      <c r="R9" s="84"/>
    </row>
    <row r="10" spans="1:18">
      <c r="R10" s="84"/>
    </row>
    <row r="11" spans="1:18" ht="21" customHeight="1">
      <c r="E11" s="84"/>
      <c r="F11" s="84"/>
      <c r="G11" s="84"/>
      <c r="H11" s="85"/>
      <c r="I11" s="143" t="str">
        <f ca="1">IDX_MAN_ORG&amp;" - "&amp;IF($H$9=1,OFFSET(DATA_01!AQ24,$H$8,0),OFFSET(DATA_01!AP24,$H$8,0))</f>
        <v>NETH_BM01 - Provincie Utrecht</v>
      </c>
      <c r="J11" s="142"/>
      <c r="K11" s="142"/>
      <c r="L11" s="142"/>
      <c r="M11" s="142"/>
      <c r="N11" s="142"/>
      <c r="O11" s="142"/>
      <c r="P11" s="142"/>
      <c r="Q11" s="142"/>
      <c r="R11" s="84"/>
    </row>
  </sheetData>
  <conditionalFormatting sqref="B7">
    <cfRule type="expression" dxfId="199" priority="1" stopIfTrue="1">
      <formula>ROUND(ABS($B$7-$C$7),4)=0</formula>
    </cfRule>
    <cfRule type="expression" dxfId="198" priority="2">
      <formula>ROUND(ABS($B$7-$C$7),4)&lt;=0.2</formula>
    </cfRule>
    <cfRule type="expression" dxfId="197" priority="3">
      <formula>ROUND(ABS($B$7-$C$7),4)&gt;0.2</formula>
    </cfRule>
  </conditionalFormatting>
  <dataValidations count="1">
    <dataValidation type="list" allowBlank="1" showInputMessage="1" showErrorMessage="1" sqref="H8">
      <formula1>"1,2,3,4,5"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t_size">
                <anchor moveWithCells="1" sizeWithCells="1">
                  <from>
                    <xdr:col>3</xdr:col>
                    <xdr:colOff>142875</xdr:colOff>
                    <xdr:row>2</xdr:row>
                    <xdr:rowOff>47625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6" tint="-0.249977111117893"/>
  </sheetPr>
  <dimension ref="A1:R23"/>
  <sheetViews>
    <sheetView showGridLines="0" zoomScale="70" zoomScaleNormal="70" workbookViewId="0">
      <selection activeCell="M8" sqref="M8"/>
    </sheetView>
  </sheetViews>
  <sheetFormatPr baseColWidth="10" defaultRowHeight="15"/>
  <cols>
    <col min="5" max="5" width="4" style="3" customWidth="1"/>
    <col min="6" max="6" width="6.85546875" style="3" hidden="1" customWidth="1"/>
    <col min="7" max="7" width="35" style="3" customWidth="1"/>
    <col min="8" max="8" width="0.42578125" style="92" customWidth="1"/>
    <col min="9" max="9" width="11" style="3" customWidth="1"/>
    <col min="10" max="10" width="0.42578125" style="3" customWidth="1"/>
    <col min="11" max="11" width="11" style="3" customWidth="1"/>
    <col min="12" max="12" width="12.5703125" style="3" customWidth="1"/>
    <col min="13" max="13" width="17.140625" style="3" customWidth="1"/>
    <col min="14" max="14" width="0.42578125" style="3" customWidth="1"/>
    <col min="15" max="15" width="11" style="3" customWidth="1"/>
    <col min="16" max="16" width="13.140625" style="3" customWidth="1"/>
    <col min="17" max="17" width="17.140625" style="3" customWidth="1"/>
    <col min="18" max="18" width="4" style="3" customWidth="1"/>
  </cols>
  <sheetData>
    <row r="1" spans="1:18">
      <c r="A1" s="55" t="s">
        <v>1</v>
      </c>
      <c r="B1" s="54">
        <v>11</v>
      </c>
    </row>
    <row r="2" spans="1:18">
      <c r="A2" s="55" t="s">
        <v>2</v>
      </c>
      <c r="B2" s="54">
        <v>84.7</v>
      </c>
      <c r="R2" s="84"/>
    </row>
    <row r="3" spans="1:18">
      <c r="A3" s="55" t="s">
        <v>3</v>
      </c>
      <c r="B3" s="54">
        <v>167</v>
      </c>
      <c r="R3" s="84"/>
    </row>
    <row r="4" spans="1:18">
      <c r="A4" s="55" t="s">
        <v>4</v>
      </c>
      <c r="B4" s="54">
        <v>231</v>
      </c>
      <c r="C4" s="81">
        <v>519.75</v>
      </c>
      <c r="R4" s="84"/>
    </row>
    <row r="5" spans="1:18">
      <c r="A5" s="55" t="s">
        <v>5</v>
      </c>
      <c r="B5" s="83">
        <f>B4*C7</f>
        <v>348</v>
      </c>
      <c r="C5" s="81">
        <v>783</v>
      </c>
      <c r="R5" s="84"/>
    </row>
    <row r="6" spans="1:18">
      <c r="R6" s="84"/>
    </row>
    <row r="7" spans="1:18">
      <c r="A7" s="55" t="s">
        <v>50</v>
      </c>
      <c r="B7" s="82">
        <f>B5/B4</f>
        <v>1.5064935064935066</v>
      </c>
      <c r="C7" s="81">
        <f>C5/C4</f>
        <v>1.5064935064935066</v>
      </c>
      <c r="R7" s="84"/>
    </row>
    <row r="8" spans="1:18">
      <c r="R8" s="84"/>
    </row>
    <row r="9" spans="1:18">
      <c r="G9" s="3" t="s">
        <v>64</v>
      </c>
      <c r="I9" s="93">
        <v>2</v>
      </c>
      <c r="R9" s="84"/>
    </row>
    <row r="10" spans="1:18">
      <c r="G10" s="3" t="s">
        <v>53</v>
      </c>
      <c r="I10" s="93">
        <f>IF(IDX_SORT="in variance (in %)",1,0)</f>
        <v>0</v>
      </c>
      <c r="R10" s="84"/>
    </row>
    <row r="11" spans="1:18" ht="21">
      <c r="E11" s="84"/>
      <c r="F11" s="84"/>
      <c r="G11" s="84"/>
      <c r="H11" s="85"/>
      <c r="I11" s="181"/>
      <c r="J11" s="181"/>
      <c r="K11" s="181"/>
      <c r="L11" s="181"/>
      <c r="M11" s="181"/>
      <c r="N11" s="181"/>
      <c r="O11" s="181"/>
      <c r="P11" s="181"/>
      <c r="Q11" s="181"/>
      <c r="R11" s="84"/>
    </row>
    <row r="12" spans="1:18" ht="21" customHeight="1" thickBot="1">
      <c r="E12" s="84"/>
      <c r="F12" s="84"/>
      <c r="G12" s="182"/>
      <c r="H12" s="182"/>
      <c r="I12" s="182"/>
      <c r="J12" s="84"/>
      <c r="K12" s="84"/>
      <c r="L12" s="84"/>
      <c r="M12" s="84"/>
      <c r="O12" s="84"/>
      <c r="P12" s="84"/>
      <c r="Q12" s="84"/>
      <c r="R12" s="84"/>
    </row>
    <row r="13" spans="1:18" ht="42.75" customHeight="1" thickTop="1" thickBot="1">
      <c r="E13" s="84"/>
      <c r="F13" s="203" t="str">
        <f ca="1">IF($I$10=1,OFFSET(DATA_01!AQ24,$I$9,0),OFFSET(DATA_01!AP24,$I$9,0))</f>
        <v>Provincie Utrecht</v>
      </c>
      <c r="G13" s="204"/>
      <c r="H13" s="204"/>
      <c r="I13" s="205"/>
      <c r="J13" s="118"/>
      <c r="K13" s="206" t="str">
        <f ca="1">IDX_PHASE&amp;" "&amp;IF(LEFT(IDX_PERIOD,4)="F_YE",RIGHT(IDX_PERIOD,4),LEFT(IDX_PERIOD,4))&amp;" Versus "&amp;IDX_PHASE_COMP1&amp;" "&amp;IDX_PERIOD_COMP_N_1</f>
        <v>Actual 2016 Versus Budget N</v>
      </c>
      <c r="L13" s="207"/>
      <c r="M13" s="208"/>
      <c r="N13" s="119"/>
      <c r="O13" s="206" t="str">
        <f ca="1">IDX_PHASE&amp;" "&amp;IF(LEFT(IDX_PERIOD,4)="F_YE",RIGHT(IDX_PERIOD,4),LEFT(IDX_PERIOD,4))&amp;" Versus "&amp;IDX_PHASE_COMP2&amp;" "&amp;IDX_PERIOD_COMP_N_2</f>
        <v>Actual 2016 Versus Actual N-1</v>
      </c>
      <c r="P13" s="207"/>
      <c r="Q13" s="208"/>
      <c r="R13" s="84"/>
    </row>
    <row r="14" spans="1:18" ht="22.5" customHeight="1" thickTop="1">
      <c r="E14" s="84"/>
      <c r="F14" s="187" t="str">
        <f ca="1">IDX_PERIOD</f>
        <v>2016.08_YTD</v>
      </c>
      <c r="G14" s="188"/>
      <c r="H14" s="120"/>
      <c r="I14" s="128" t="str">
        <f ca="1">_xll.DBRA(Server&amp;"Phase","ACT_TOT",IDX_LANG)</f>
        <v>Actual</v>
      </c>
      <c r="J14" s="121"/>
      <c r="K14" s="133" t="str">
        <f ca="1">IDX_PHASE_COMP1&amp;" "&amp;IDX_PERIOD_COMP_N_1</f>
        <v>Budget N</v>
      </c>
      <c r="L14" s="185" t="s">
        <v>35</v>
      </c>
      <c r="M14" s="186"/>
      <c r="N14" s="122"/>
      <c r="O14" s="133" t="str">
        <f ca="1">IDX_PHASE_COMP2&amp;" "&amp;IDX_PERIOD_COMP_N_2</f>
        <v>Actual N-1</v>
      </c>
      <c r="P14" s="185" t="s">
        <v>35</v>
      </c>
      <c r="Q14" s="186"/>
    </row>
    <row r="15" spans="1:18" ht="19.5" customHeight="1" thickBot="1">
      <c r="E15" s="84"/>
      <c r="F15" s="189"/>
      <c r="G15" s="190"/>
      <c r="H15" s="123"/>
      <c r="I15" s="129" t="s">
        <v>51</v>
      </c>
      <c r="J15" s="125"/>
      <c r="K15" s="134" t="s">
        <v>51</v>
      </c>
      <c r="L15" s="124" t="s">
        <v>52</v>
      </c>
      <c r="M15" s="135" t="str">
        <f>IDX_CURRENCY</f>
        <v>LCL</v>
      </c>
      <c r="N15" s="126"/>
      <c r="O15" s="134" t="s">
        <v>51</v>
      </c>
      <c r="P15" s="124" t="s">
        <v>52</v>
      </c>
      <c r="Q15" s="135" t="str">
        <f>M15</f>
        <v>LCL</v>
      </c>
    </row>
    <row r="16" spans="1:18" ht="37.5" customHeight="1" thickTop="1" thickBot="1">
      <c r="E16" s="84"/>
      <c r="F16" s="197" t="str">
        <f>IF(IDX_LANG="English","D - Driving","D - Conduite")</f>
        <v>D - Driving</v>
      </c>
      <c r="G16" s="198"/>
      <c r="H16" s="110"/>
      <c r="I16" s="86">
        <f ca="1">VLOOKUP($F$13,DATA_01!$B$35:$CP$1038,4,0)</f>
        <v>0.49993658351657105</v>
      </c>
      <c r="J16" s="131"/>
      <c r="K16" s="87">
        <f ca="1">VLOOKUP($F$13,DATA_01!$B$35:$CP$1038,18,0)</f>
        <v>0.50628017303836437</v>
      </c>
      <c r="L16" s="101">
        <f ca="1">(K16-I16)*100</f>
        <v>0.63435895217933136</v>
      </c>
      <c r="M16" s="136">
        <f ca="1">VLOOKUP($F$13,DATA_01!$B$35:$CP$1038,73,0)</f>
        <v>190490.79139883257</v>
      </c>
      <c r="N16" s="102"/>
      <c r="O16" s="87">
        <f ca="1">VLOOKUP($F$13,DATA_01!$B$35:$CP$1038,46,0)</f>
        <v>0.51941975150542052</v>
      </c>
      <c r="P16" s="101">
        <f ca="1">IFERROR((O16-I16)*100,0)</f>
        <v>1.948316798884947</v>
      </c>
      <c r="Q16" s="136">
        <f ca="1">VLOOKUP($F$13,DATA_01!$B$35:$CP$1038,84,0)</f>
        <v>585057.41526969895</v>
      </c>
    </row>
    <row r="17" spans="5:17" ht="37.5" customHeight="1" thickTop="1" thickBot="1">
      <c r="E17" s="84"/>
      <c r="F17" s="199" t="str">
        <f>IF(IDX_LANG="English","M - Maintenance","M - Maintenance")</f>
        <v>M - Maintenance</v>
      </c>
      <c r="G17" s="200"/>
      <c r="H17" s="88"/>
      <c r="I17" s="103">
        <f ca="1">VLOOKUP($F$13,DATA_01!$B$35:$CP$1038,6,0)</f>
        <v>6.4275920182981783E-2</v>
      </c>
      <c r="J17" s="132"/>
      <c r="K17" s="104">
        <f ca="1">VLOOKUP($F$13,DATA_01!$B$35:$CP$1038,20,0)</f>
        <v>7.622996862052446E-2</v>
      </c>
      <c r="L17" s="105">
        <f ca="1">(K17-I17)*100</f>
        <v>1.1954048437542677</v>
      </c>
      <c r="M17" s="137">
        <f ca="1">VLOOKUP($F$13,DATA_01!$B$35:$CP$1038,75,0)</f>
        <v>358966.50302867522</v>
      </c>
      <c r="N17" s="89"/>
      <c r="O17" s="104">
        <f ca="1">VLOOKUP($F$13,DATA_01!$B$35:$CP$1038,48,0)</f>
        <v>6.4756781111400125E-2</v>
      </c>
      <c r="P17" s="105">
        <f ca="1">IFERROR((O17-I17)*100,0)</f>
        <v>4.8086092841834183E-2</v>
      </c>
      <c r="Q17" s="137">
        <f ca="1">VLOOKUP($F$13,DATA_01!$B$35:$CP$1038,86,0)</f>
        <v>14439.707754182396</v>
      </c>
    </row>
    <row r="18" spans="5:17" ht="37.5" customHeight="1" thickTop="1" thickBot="1">
      <c r="E18" s="84"/>
      <c r="F18" s="197" t="str">
        <f>IF(IDX_LANG="English","E - Energy","E - Energie")</f>
        <v>E - Energy</v>
      </c>
      <c r="G18" s="198"/>
      <c r="H18" s="110"/>
      <c r="I18" s="86">
        <f ca="1">VLOOKUP($F$13,DATA_01!$B$35:$CP$1038,8,0)</f>
        <v>8.7215720508812891E-2</v>
      </c>
      <c r="J18" s="131"/>
      <c r="K18" s="87">
        <f ca="1">VLOOKUP($F$13,DATA_01!$B$35:$CP$1038,22,0)</f>
        <v>9.3411720593322672E-2</v>
      </c>
      <c r="L18" s="101">
        <f ca="1">(K18-I18)*100</f>
        <v>0.61960000845097807</v>
      </c>
      <c r="M18" s="136">
        <f ca="1">VLOOKUP($F$13,DATA_01!$B$35:$CP$1038,77,0)</f>
        <v>186058.84815697279</v>
      </c>
      <c r="N18" s="102"/>
      <c r="O18" s="87">
        <f ca="1">VLOOKUP($F$13,DATA_01!$B$35:$CP$1038,50,0)</f>
        <v>9.7922287353077744E-2</v>
      </c>
      <c r="P18" s="101">
        <f ca="1">IFERROR((O18-I18)*100,0)</f>
        <v>1.0706566844264853</v>
      </c>
      <c r="Q18" s="136">
        <f ca="1">VLOOKUP($F$13,DATA_01!$B$35:$CP$1038,88,0)</f>
        <v>321506.04706086963</v>
      </c>
    </row>
    <row r="19" spans="5:17" ht="37.5" customHeight="1" thickTop="1" thickBot="1">
      <c r="E19" s="84"/>
      <c r="F19" s="199" t="str">
        <f>IF(IDX_LANG="English","F - Fleet","F - Flotte")</f>
        <v>F - Fleet</v>
      </c>
      <c r="G19" s="200"/>
      <c r="H19" s="88"/>
      <c r="I19" s="103">
        <f ca="1">VLOOKUP($F$13,DATA_01!$B$35:$CP$1038,10,0)</f>
        <v>9.2492345570591064E-2</v>
      </c>
      <c r="J19" s="132"/>
      <c r="K19" s="104">
        <f ca="1">VLOOKUP($F$13,DATA_01!$B$35:$CP$1038,24,0)</f>
        <v>8.5283253505879286E-2</v>
      </c>
      <c r="L19" s="105">
        <f ca="1">(K19-I19)*100</f>
        <v>-0.72090920647117773</v>
      </c>
      <c r="M19" s="137">
        <f ca="1">VLOOKUP($F$13,DATA_01!$B$35:$CP$1038,79,0)</f>
        <v>-216480.85014898237</v>
      </c>
      <c r="N19" s="89"/>
      <c r="O19" s="104">
        <f ca="1">VLOOKUP($F$13,DATA_01!$B$35:$CP$1038,52,0)</f>
        <v>9.697490101960228E-2</v>
      </c>
      <c r="P19" s="105">
        <f ca="1">IFERROR((O19-I19)*100,0)</f>
        <v>0.44825554490112163</v>
      </c>
      <c r="Q19" s="137">
        <f ca="1">VLOOKUP($F$13,DATA_01!$B$35:$CP$1038,90,0)</f>
        <v>134606.05104378005</v>
      </c>
    </row>
    <row r="20" spans="5:17" ht="37.5" customHeight="1" thickTop="1" thickBot="1">
      <c r="E20" s="84"/>
      <c r="F20" s="197" t="str">
        <f>IF(IDX_LANG="English","O - Others","O - Autres")</f>
        <v>O - Others</v>
      </c>
      <c r="G20" s="198"/>
      <c r="H20" s="110"/>
      <c r="I20" s="86">
        <f ca="1">VLOOKUP($F$13,DATA_01!$B$35:$CP$1038,12,0)</f>
        <v>0.12209756572052409</v>
      </c>
      <c r="J20" s="131"/>
      <c r="K20" s="87">
        <f ca="1">VLOOKUP($F$13,DATA_01!$B$35:$CP$1038,26,0)</f>
        <v>0.1347791975799556</v>
      </c>
      <c r="L20" s="101">
        <f ca="1">(K20-I20)*100</f>
        <v>1.268163185943151</v>
      </c>
      <c r="M20" s="136">
        <f ca="1">VLOOKUP($F$13,DATA_01!$B$35:$CP$1038,81,0)</f>
        <v>380815.00715526193</v>
      </c>
      <c r="N20" s="102"/>
      <c r="O20" s="87">
        <f ca="1">VLOOKUP($F$13,DATA_01!$B$35:$CP$1038,54,0)</f>
        <v>0.1303834622841771</v>
      </c>
      <c r="P20" s="101">
        <f ca="1">IFERROR((O20-I20)*100,0)</f>
        <v>0.82858965636530146</v>
      </c>
      <c r="Q20" s="136">
        <f ca="1">VLOOKUP($F$13,DATA_01!$B$35:$CP$1038,92,0)</f>
        <v>248816.06674527237</v>
      </c>
    </row>
    <row r="21" spans="5:17" ht="6.75" customHeight="1" thickTop="1" thickBot="1">
      <c r="E21" s="84"/>
      <c r="F21" s="90"/>
      <c r="G21" s="127"/>
      <c r="H21" s="106"/>
      <c r="I21" s="127"/>
      <c r="J21" s="107"/>
      <c r="K21" s="138"/>
      <c r="L21" s="108"/>
      <c r="M21" s="139"/>
      <c r="N21" s="109"/>
      <c r="O21" s="138"/>
      <c r="P21" s="108"/>
      <c r="Q21" s="139"/>
    </row>
    <row r="22" spans="5:17" ht="37.5" customHeight="1" thickTop="1" thickBot="1">
      <c r="E22" s="84"/>
      <c r="F22" s="201" t="str">
        <f>IF(IDX_LANG="English","GROSS MARGIN","MARGE BRUTE")</f>
        <v>GROSS MARGIN</v>
      </c>
      <c r="G22" s="202"/>
      <c r="H22" s="91"/>
      <c r="I22" s="99">
        <f ca="1">1-SUM(I16:I20)</f>
        <v>0.13398186450051908</v>
      </c>
      <c r="J22" s="117"/>
      <c r="K22" s="100">
        <f ca="1">1-SUM(K16:K20)</f>
        <v>0.1040156866619536</v>
      </c>
      <c r="L22" s="183">
        <f ca="1">(I22-K22)*100</f>
        <v>2.9966177838565478</v>
      </c>
      <c r="M22" s="184"/>
      <c r="N22" s="102"/>
      <c r="O22" s="100">
        <f ca="1">1-SUM(O16:O20)</f>
        <v>9.0542816726322251E-2</v>
      </c>
      <c r="P22" s="183">
        <f ca="1">(I22-O22)*100</f>
        <v>4.3439047774196826</v>
      </c>
      <c r="Q22" s="184"/>
    </row>
    <row r="23" spans="5:17" ht="15.75" thickTop="1"/>
  </sheetData>
  <mergeCells count="16">
    <mergeCell ref="L22:M22"/>
    <mergeCell ref="P22:Q22"/>
    <mergeCell ref="F16:G16"/>
    <mergeCell ref="F17:G17"/>
    <mergeCell ref="F18:G18"/>
    <mergeCell ref="F19:G19"/>
    <mergeCell ref="F20:G20"/>
    <mergeCell ref="F22:G22"/>
    <mergeCell ref="F14:G15"/>
    <mergeCell ref="L14:M14"/>
    <mergeCell ref="P14:Q14"/>
    <mergeCell ref="I11:Q11"/>
    <mergeCell ref="G12:I12"/>
    <mergeCell ref="F13:I13"/>
    <mergeCell ref="K13:M13"/>
    <mergeCell ref="O13:Q13"/>
  </mergeCells>
  <conditionalFormatting sqref="B7">
    <cfRule type="expression" dxfId="196" priority="45" stopIfTrue="1">
      <formula>ROUND(ABS($B$7-$C$7),4)=0</formula>
    </cfRule>
    <cfRule type="expression" dxfId="195" priority="46">
      <formula>ROUND(ABS($B$7-$C$7),4)&lt;=0.2</formula>
    </cfRule>
    <cfRule type="expression" dxfId="194" priority="47">
      <formula>ROUND(ABS($B$7-$C$7),4)&gt;0.2</formula>
    </cfRule>
  </conditionalFormatting>
  <conditionalFormatting sqref="L16">
    <cfRule type="expression" dxfId="193" priority="9">
      <formula>L16&gt;0</formula>
    </cfRule>
    <cfRule type="expression" dxfId="192" priority="10">
      <formula>L16&lt;0</formula>
    </cfRule>
  </conditionalFormatting>
  <conditionalFormatting sqref="L18">
    <cfRule type="expression" dxfId="191" priority="7">
      <formula>L18&gt;0</formula>
    </cfRule>
    <cfRule type="expression" dxfId="190" priority="8">
      <formula>L18&lt;0</formula>
    </cfRule>
  </conditionalFormatting>
  <conditionalFormatting sqref="L20">
    <cfRule type="expression" dxfId="189" priority="5">
      <formula>L20&gt;0</formula>
    </cfRule>
    <cfRule type="expression" dxfId="188" priority="6">
      <formula>L20&lt;0</formula>
    </cfRule>
  </conditionalFormatting>
  <conditionalFormatting sqref="L19">
    <cfRule type="expression" dxfId="187" priority="3">
      <formula>L19&gt;0</formula>
    </cfRule>
    <cfRule type="expression" dxfId="186" priority="4">
      <formula>L19&lt;0</formula>
    </cfRule>
  </conditionalFormatting>
  <conditionalFormatting sqref="L17">
    <cfRule type="expression" dxfId="185" priority="1">
      <formula>L17&gt;0</formula>
    </cfRule>
    <cfRule type="expression" dxfId="184" priority="2">
      <formula>L17&lt;0</formula>
    </cfRule>
  </conditionalFormatting>
  <conditionalFormatting sqref="L22">
    <cfRule type="expression" dxfId="183" priority="43">
      <formula>L22&lt;0</formula>
    </cfRule>
    <cfRule type="expression" dxfId="182" priority="44">
      <formula>L22&gt;0</formula>
    </cfRule>
  </conditionalFormatting>
  <conditionalFormatting sqref="P22">
    <cfRule type="expression" dxfId="181" priority="41">
      <formula>P22&lt;0</formula>
    </cfRule>
    <cfRule type="expression" dxfId="180" priority="42">
      <formula>P22&gt;0</formula>
    </cfRule>
  </conditionalFormatting>
  <conditionalFormatting sqref="M16">
    <cfRule type="expression" dxfId="179" priority="29">
      <formula>M16&gt;0</formula>
    </cfRule>
    <cfRule type="expression" dxfId="178" priority="30">
      <formula>M16&lt;0</formula>
    </cfRule>
  </conditionalFormatting>
  <conditionalFormatting sqref="Q16">
    <cfRule type="expression" dxfId="177" priority="39">
      <formula>Q16&gt;0</formula>
    </cfRule>
    <cfRule type="expression" dxfId="176" priority="40">
      <formula>Q16&lt;0</formula>
    </cfRule>
  </conditionalFormatting>
  <conditionalFormatting sqref="Q18">
    <cfRule type="expression" dxfId="175" priority="37">
      <formula>Q18&gt;0</formula>
    </cfRule>
    <cfRule type="expression" dxfId="174" priority="38">
      <formula>Q18&lt;0</formula>
    </cfRule>
  </conditionalFormatting>
  <conditionalFormatting sqref="Q20">
    <cfRule type="expression" dxfId="173" priority="35">
      <formula>Q20&gt;0</formula>
    </cfRule>
    <cfRule type="expression" dxfId="172" priority="36">
      <formula>Q20&lt;0</formula>
    </cfRule>
  </conditionalFormatting>
  <conditionalFormatting sqref="Q19">
    <cfRule type="expression" dxfId="171" priority="33">
      <formula>Q19&gt;0</formula>
    </cfRule>
    <cfRule type="expression" dxfId="170" priority="34">
      <formula>Q19&lt;0</formula>
    </cfRule>
  </conditionalFormatting>
  <conditionalFormatting sqref="Q17">
    <cfRule type="expression" dxfId="169" priority="31">
      <formula>Q17&gt;0</formula>
    </cfRule>
    <cfRule type="expression" dxfId="168" priority="32">
      <formula>Q17&lt;0</formula>
    </cfRule>
  </conditionalFormatting>
  <conditionalFormatting sqref="M18">
    <cfRule type="expression" dxfId="167" priority="27">
      <formula>M18&gt;0</formula>
    </cfRule>
    <cfRule type="expression" dxfId="166" priority="28">
      <formula>M18&lt;0</formula>
    </cfRule>
  </conditionalFormatting>
  <conditionalFormatting sqref="M20">
    <cfRule type="expression" dxfId="165" priority="25">
      <formula>M20&gt;0</formula>
    </cfRule>
    <cfRule type="expression" dxfId="164" priority="26">
      <formula>M20&lt;0</formula>
    </cfRule>
  </conditionalFormatting>
  <conditionalFormatting sqref="M19">
    <cfRule type="expression" dxfId="163" priority="23">
      <formula>M19&gt;0</formula>
    </cfRule>
    <cfRule type="expression" dxfId="162" priority="24">
      <formula>M19&lt;0</formula>
    </cfRule>
  </conditionalFormatting>
  <conditionalFormatting sqref="M17">
    <cfRule type="expression" dxfId="161" priority="21">
      <formula>M17&gt;0</formula>
    </cfRule>
    <cfRule type="expression" dxfId="160" priority="22">
      <formula>M17&lt;0</formula>
    </cfRule>
  </conditionalFormatting>
  <conditionalFormatting sqref="P16">
    <cfRule type="expression" dxfId="159" priority="19">
      <formula>P16&gt;0</formula>
    </cfRule>
    <cfRule type="expression" dxfId="158" priority="20">
      <formula>P16&lt;0</formula>
    </cfRule>
  </conditionalFormatting>
  <conditionalFormatting sqref="P18">
    <cfRule type="expression" dxfId="157" priority="17">
      <formula>P18&gt;0</formula>
    </cfRule>
    <cfRule type="expression" dxfId="156" priority="18">
      <formula>P18&lt;0</formula>
    </cfRule>
  </conditionalFormatting>
  <conditionalFormatting sqref="P20">
    <cfRule type="expression" dxfId="155" priority="15">
      <formula>P20&gt;0</formula>
    </cfRule>
    <cfRule type="expression" dxfId="154" priority="16">
      <formula>P20&lt;0</formula>
    </cfRule>
  </conditionalFormatting>
  <conditionalFormatting sqref="P19">
    <cfRule type="expression" dxfId="153" priority="13">
      <formula>P19&gt;0</formula>
    </cfRule>
    <cfRule type="expression" dxfId="152" priority="14">
      <formula>P19&lt;0</formula>
    </cfRule>
  </conditionalFormatting>
  <conditionalFormatting sqref="P17">
    <cfRule type="expression" dxfId="151" priority="11">
      <formula>P17&gt;0</formula>
    </cfRule>
    <cfRule type="expression" dxfId="150" priority="12">
      <formula>P17&lt;0</formula>
    </cfRule>
  </conditionalFormatting>
  <dataValidations count="1">
    <dataValidation type="list" allowBlank="1" showInputMessage="1" showErrorMessage="1" sqref="I9">
      <formula1>"1,2,3,4,5"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get_size">
                <anchor moveWithCells="1" sizeWithCells="1">
                  <from>
                    <xdr:col>3</xdr:col>
                    <xdr:colOff>142875</xdr:colOff>
                    <xdr:row>2</xdr:row>
                    <xdr:rowOff>47625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0">
    <tabColor theme="6" tint="-0.249977111117893"/>
  </sheetPr>
  <dimension ref="A1:R11"/>
  <sheetViews>
    <sheetView showGridLines="0" zoomScale="70" zoomScaleNormal="70" workbookViewId="0"/>
  </sheetViews>
  <sheetFormatPr baseColWidth="10" defaultRowHeight="15"/>
  <cols>
    <col min="5" max="5" width="9.5703125" style="3" customWidth="1"/>
    <col min="6" max="6" width="6.85546875" style="3" hidden="1" customWidth="1"/>
    <col min="7" max="7" width="35" style="3" customWidth="1"/>
    <col min="8" max="8" width="10.42578125" style="92" customWidth="1"/>
    <col min="9" max="9" width="93.85546875" style="3" customWidth="1"/>
    <col min="10" max="10" width="0.42578125" style="3" customWidth="1"/>
    <col min="11" max="11" width="11" style="3" customWidth="1"/>
    <col min="12" max="12" width="12.5703125" style="3" customWidth="1"/>
    <col min="13" max="13" width="17.140625" style="3" customWidth="1"/>
    <col min="14" max="14" width="0.42578125" style="3" customWidth="1"/>
    <col min="15" max="15" width="11" style="3" customWidth="1"/>
    <col min="16" max="16" width="13.140625" style="3" customWidth="1"/>
    <col min="17" max="17" width="17.140625" style="3" customWidth="1"/>
    <col min="18" max="18" width="4" style="3" customWidth="1"/>
  </cols>
  <sheetData>
    <row r="1" spans="1:18">
      <c r="A1" s="55" t="s">
        <v>1</v>
      </c>
      <c r="B1" s="54">
        <v>12</v>
      </c>
    </row>
    <row r="2" spans="1:18">
      <c r="A2" s="55" t="s">
        <v>2</v>
      </c>
      <c r="B2" s="54">
        <v>50</v>
      </c>
      <c r="R2" s="84"/>
    </row>
    <row r="3" spans="1:18">
      <c r="A3" s="55" t="s">
        <v>3</v>
      </c>
      <c r="B3" s="54">
        <v>30</v>
      </c>
      <c r="R3" s="84"/>
    </row>
    <row r="4" spans="1:18">
      <c r="A4" s="55" t="s">
        <v>4</v>
      </c>
      <c r="B4" s="54">
        <v>20</v>
      </c>
      <c r="C4" s="81">
        <v>519.75</v>
      </c>
      <c r="R4" s="84"/>
    </row>
    <row r="5" spans="1:18">
      <c r="A5" s="55" t="s">
        <v>5</v>
      </c>
      <c r="B5" s="54">
        <v>250</v>
      </c>
      <c r="C5" s="81">
        <v>783</v>
      </c>
      <c r="R5" s="84"/>
    </row>
    <row r="6" spans="1:18">
      <c r="R6" s="84"/>
    </row>
    <row r="7" spans="1:18">
      <c r="A7" s="55" t="s">
        <v>50</v>
      </c>
      <c r="B7" s="82">
        <f>B5/B4</f>
        <v>12.5</v>
      </c>
      <c r="C7" s="81">
        <f>C5/C4</f>
        <v>1.5064935064935066</v>
      </c>
      <c r="R7" s="84"/>
    </row>
    <row r="8" spans="1:18">
      <c r="G8" s="3" t="s">
        <v>64</v>
      </c>
      <c r="H8" s="93">
        <v>3</v>
      </c>
      <c r="R8" s="84"/>
    </row>
    <row r="9" spans="1:18">
      <c r="G9" s="3" t="s">
        <v>53</v>
      </c>
      <c r="H9" s="93">
        <f>IF(IDX_SORT="in variance (in %)",1,0)</f>
        <v>0</v>
      </c>
      <c r="R9" s="84"/>
    </row>
    <row r="10" spans="1:18">
      <c r="R10" s="84"/>
    </row>
    <row r="11" spans="1:18" ht="21" customHeight="1">
      <c r="E11" s="84"/>
      <c r="F11" s="84"/>
      <c r="G11" s="84"/>
      <c r="H11" s="85"/>
      <c r="I11" s="143" t="str">
        <f ca="1">IDX_MAN_ORG&amp;" - "&amp;IF($H$9=1,OFFSET(DATA_01!AQ24,$H$8,0),OFFSET(DATA_01!AP24,$H$8,0))</f>
        <v>NETH_BM01 - Hoekse-Waarde Goeree Overflakkee</v>
      </c>
      <c r="J11" s="142"/>
      <c r="K11" s="142"/>
      <c r="L11" s="142"/>
      <c r="M11" s="142"/>
      <c r="N11" s="142"/>
      <c r="O11" s="142"/>
      <c r="P11" s="142"/>
      <c r="Q11" s="142"/>
      <c r="R11" s="84"/>
    </row>
  </sheetData>
  <conditionalFormatting sqref="B7">
    <cfRule type="expression" dxfId="149" priority="1" stopIfTrue="1">
      <formula>ROUND(ABS($B$7-$C$7),4)=0</formula>
    </cfRule>
    <cfRule type="expression" dxfId="148" priority="2">
      <formula>ROUND(ABS($B$7-$C$7),4)&lt;=0.2</formula>
    </cfRule>
    <cfRule type="expression" dxfId="147" priority="3">
      <formula>ROUND(ABS($B$7-$C$7),4)&gt;0.2</formula>
    </cfRule>
  </conditionalFormatting>
  <dataValidations count="1">
    <dataValidation type="list" allowBlank="1" showInputMessage="1" showErrorMessage="1" sqref="H8">
      <formula1>"1,2,3,4,5"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get_size">
                <anchor moveWithCells="1" sizeWithCells="1">
                  <from>
                    <xdr:col>3</xdr:col>
                    <xdr:colOff>142875</xdr:colOff>
                    <xdr:row>2</xdr:row>
                    <xdr:rowOff>47625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1">
    <tabColor theme="6" tint="-0.249977111117893"/>
  </sheetPr>
  <dimension ref="A1:R23"/>
  <sheetViews>
    <sheetView showGridLines="0" zoomScale="70" zoomScaleNormal="70" workbookViewId="0">
      <selection activeCell="M8" sqref="M8"/>
    </sheetView>
  </sheetViews>
  <sheetFormatPr baseColWidth="10" defaultRowHeight="15"/>
  <cols>
    <col min="5" max="5" width="4" style="3" customWidth="1"/>
    <col min="6" max="6" width="6.85546875" style="3" hidden="1" customWidth="1"/>
    <col min="7" max="7" width="35" style="3" customWidth="1"/>
    <col min="8" max="8" width="0.42578125" style="92" customWidth="1"/>
    <col min="9" max="9" width="11" style="3" customWidth="1"/>
    <col min="10" max="10" width="0.42578125" style="3" customWidth="1"/>
    <col min="11" max="11" width="11" style="3" customWidth="1"/>
    <col min="12" max="12" width="12.5703125" style="3" customWidth="1"/>
    <col min="13" max="13" width="17.140625" style="3" customWidth="1"/>
    <col min="14" max="14" width="0.42578125" style="3" customWidth="1"/>
    <col min="15" max="15" width="11" style="3" customWidth="1"/>
    <col min="16" max="16" width="13.140625" style="3" customWidth="1"/>
    <col min="17" max="17" width="17.140625" style="3" customWidth="1"/>
    <col min="18" max="18" width="4" style="3" customWidth="1"/>
  </cols>
  <sheetData>
    <row r="1" spans="1:18">
      <c r="A1" s="55" t="s">
        <v>1</v>
      </c>
      <c r="B1" s="54">
        <v>12</v>
      </c>
    </row>
    <row r="2" spans="1:18">
      <c r="A2" s="55" t="s">
        <v>2</v>
      </c>
      <c r="B2" s="54">
        <v>84.7</v>
      </c>
      <c r="R2" s="84"/>
    </row>
    <row r="3" spans="1:18">
      <c r="A3" s="55" t="s">
        <v>3</v>
      </c>
      <c r="B3" s="54">
        <v>167</v>
      </c>
      <c r="R3" s="84"/>
    </row>
    <row r="4" spans="1:18">
      <c r="A4" s="55" t="s">
        <v>4</v>
      </c>
      <c r="B4" s="54">
        <v>231</v>
      </c>
      <c r="C4" s="81">
        <v>519.75</v>
      </c>
      <c r="R4" s="84"/>
    </row>
    <row r="5" spans="1:18">
      <c r="A5" s="55" t="s">
        <v>5</v>
      </c>
      <c r="B5" s="83">
        <f>B4*C7</f>
        <v>348</v>
      </c>
      <c r="C5" s="81">
        <v>783</v>
      </c>
      <c r="R5" s="84"/>
    </row>
    <row r="6" spans="1:18">
      <c r="R6" s="84"/>
    </row>
    <row r="7" spans="1:18">
      <c r="A7" s="55" t="s">
        <v>50</v>
      </c>
      <c r="B7" s="82">
        <f>B5/B4</f>
        <v>1.5064935064935066</v>
      </c>
      <c r="C7" s="81">
        <f>C5/C4</f>
        <v>1.5064935064935066</v>
      </c>
      <c r="R7" s="84"/>
    </row>
    <row r="8" spans="1:18">
      <c r="R8" s="84"/>
    </row>
    <row r="9" spans="1:18">
      <c r="G9" s="3" t="s">
        <v>64</v>
      </c>
      <c r="I9" s="93">
        <v>3</v>
      </c>
      <c r="R9" s="84"/>
    </row>
    <row r="10" spans="1:18">
      <c r="G10" s="3" t="s">
        <v>53</v>
      </c>
      <c r="I10" s="93">
        <f>IF(IDX_SORT="in variance (in %)",1,0)</f>
        <v>0</v>
      </c>
      <c r="R10" s="84"/>
    </row>
    <row r="11" spans="1:18" ht="21">
      <c r="E11" s="84"/>
      <c r="F11" s="84"/>
      <c r="G11" s="84"/>
      <c r="H11" s="85"/>
      <c r="I11" s="181"/>
      <c r="J11" s="181"/>
      <c r="K11" s="181"/>
      <c r="L11" s="181"/>
      <c r="M11" s="181"/>
      <c r="N11" s="181"/>
      <c r="O11" s="181"/>
      <c r="P11" s="181"/>
      <c r="Q11" s="181"/>
      <c r="R11" s="84"/>
    </row>
    <row r="12" spans="1:18" ht="21" customHeight="1" thickBot="1">
      <c r="E12" s="84"/>
      <c r="F12" s="84"/>
      <c r="G12" s="182"/>
      <c r="H12" s="182"/>
      <c r="I12" s="182"/>
      <c r="J12" s="84"/>
      <c r="K12" s="84"/>
      <c r="L12" s="84"/>
      <c r="M12" s="84"/>
      <c r="O12" s="84"/>
      <c r="P12" s="84"/>
      <c r="Q12" s="84"/>
      <c r="R12" s="84"/>
    </row>
    <row r="13" spans="1:18" ht="42.75" customHeight="1" thickTop="1" thickBot="1">
      <c r="E13" s="84"/>
      <c r="F13" s="203" t="str">
        <f ca="1">IF($I$10=1,OFFSET(DATA_01!AQ24,$I$9,0),OFFSET(DATA_01!AP24,$I$9,0))</f>
        <v>Hoekse-Waarde Goeree Overflakkee</v>
      </c>
      <c r="G13" s="204"/>
      <c r="H13" s="204"/>
      <c r="I13" s="205"/>
      <c r="J13" s="118"/>
      <c r="K13" s="206" t="str">
        <f ca="1">IDX_PHASE&amp;" "&amp;IF(LEFT(IDX_PERIOD,4)="F_YE",RIGHT(IDX_PERIOD,4),LEFT(IDX_PERIOD,4))&amp;" Versus "&amp;IDX_PHASE_COMP1&amp;" "&amp;IDX_PERIOD_COMP_N_1</f>
        <v>Actual 2016 Versus Budget N</v>
      </c>
      <c r="L13" s="207"/>
      <c r="M13" s="208"/>
      <c r="N13" s="119"/>
      <c r="O13" s="206" t="str">
        <f ca="1">IDX_PHASE&amp;" "&amp;IF(LEFT(IDX_PERIOD,4)="F_YE",RIGHT(IDX_PERIOD,4),LEFT(IDX_PERIOD,4))&amp;" Versus "&amp;IDX_PHASE_COMP2&amp;" "&amp;IDX_PERIOD_COMP_N_2</f>
        <v>Actual 2016 Versus Actual N-1</v>
      </c>
      <c r="P13" s="207"/>
      <c r="Q13" s="208"/>
      <c r="R13" s="84"/>
    </row>
    <row r="14" spans="1:18" ht="22.5" customHeight="1" thickTop="1">
      <c r="E14" s="84"/>
      <c r="F14" s="187" t="str">
        <f ca="1">IDX_PERIOD</f>
        <v>2016.08_YTD</v>
      </c>
      <c r="G14" s="188"/>
      <c r="H14" s="120"/>
      <c r="I14" s="128" t="str">
        <f ca="1">_xll.DBRA(Server&amp;"Phase","ACT_TOT",IDX_LANG)</f>
        <v>Actual</v>
      </c>
      <c r="J14" s="121"/>
      <c r="K14" s="133" t="str">
        <f ca="1">IDX_PHASE_COMP1&amp;" "&amp;IDX_PERIOD_COMP_N_1</f>
        <v>Budget N</v>
      </c>
      <c r="L14" s="185" t="s">
        <v>35</v>
      </c>
      <c r="M14" s="186"/>
      <c r="N14" s="122"/>
      <c r="O14" s="133" t="str">
        <f ca="1">IDX_PHASE_COMP2&amp;" "&amp;IDX_PERIOD_COMP_N_2</f>
        <v>Actual N-1</v>
      </c>
      <c r="P14" s="185" t="s">
        <v>35</v>
      </c>
      <c r="Q14" s="186"/>
    </row>
    <row r="15" spans="1:18" ht="19.5" customHeight="1" thickBot="1">
      <c r="E15" s="84"/>
      <c r="F15" s="189"/>
      <c r="G15" s="190"/>
      <c r="H15" s="123"/>
      <c r="I15" s="129" t="s">
        <v>51</v>
      </c>
      <c r="J15" s="125"/>
      <c r="K15" s="134" t="s">
        <v>51</v>
      </c>
      <c r="L15" s="124" t="s">
        <v>52</v>
      </c>
      <c r="M15" s="135" t="str">
        <f>IDX_CURRENCY</f>
        <v>LCL</v>
      </c>
      <c r="N15" s="126"/>
      <c r="O15" s="134" t="s">
        <v>51</v>
      </c>
      <c r="P15" s="124" t="s">
        <v>52</v>
      </c>
      <c r="Q15" s="135" t="str">
        <f>M15</f>
        <v>LCL</v>
      </c>
    </row>
    <row r="16" spans="1:18" ht="37.5" customHeight="1" thickTop="1" thickBot="1">
      <c r="E16" s="84"/>
      <c r="F16" s="197" t="str">
        <f>IF(IDX_LANG="English","D - Driving","D - Conduite")</f>
        <v>D - Driving</v>
      </c>
      <c r="G16" s="198"/>
      <c r="H16" s="110"/>
      <c r="I16" s="86">
        <f ca="1">VLOOKUP($F$13,DATA_01!$B$35:$CP$1038,4,0)</f>
        <v>0.49442567865934473</v>
      </c>
      <c r="J16" s="131"/>
      <c r="K16" s="87">
        <f ca="1">VLOOKUP($F$13,DATA_01!$B$35:$CP$1038,18,0)</f>
        <v>0.52607747853702314</v>
      </c>
      <c r="L16" s="101">
        <f ca="1">(K16-I16)*100</f>
        <v>3.165179987767841</v>
      </c>
      <c r="M16" s="136">
        <f ca="1">VLOOKUP($F$13,DATA_01!$B$35:$CP$1038,73,0)</f>
        <v>353677.31596759986</v>
      </c>
      <c r="N16" s="102"/>
      <c r="O16" s="87">
        <f ca="1">VLOOKUP($F$13,DATA_01!$B$35:$CP$1038,46,0)</f>
        <v>0</v>
      </c>
      <c r="P16" s="101">
        <f ca="1">IFERROR((O16-I16)*100,0)</f>
        <v>-49.442567865934471</v>
      </c>
      <c r="Q16" s="136">
        <f ca="1">VLOOKUP($F$13,DATA_01!$B$35:$CP$1038,84,0)</f>
        <v>-5524714.1600000001</v>
      </c>
    </row>
    <row r="17" spans="5:17" ht="37.5" customHeight="1" thickTop="1" thickBot="1">
      <c r="E17" s="84"/>
      <c r="F17" s="199" t="str">
        <f>IF(IDX_LANG="English","M - Maintenance","M - Maintenance")</f>
        <v>M - Maintenance</v>
      </c>
      <c r="G17" s="200"/>
      <c r="H17" s="88"/>
      <c r="I17" s="103">
        <f ca="1">VLOOKUP($F$13,DATA_01!$B$35:$CP$1038,6,0)</f>
        <v>7.2233561155502404E-2</v>
      </c>
      <c r="J17" s="132"/>
      <c r="K17" s="104">
        <f ca="1">VLOOKUP($F$13,DATA_01!$B$35:$CP$1038,20,0)</f>
        <v>6.0306706098767697E-2</v>
      </c>
      <c r="L17" s="105">
        <f ca="1">(K17-I17)*100</f>
        <v>-1.1926855056734706</v>
      </c>
      <c r="M17" s="137">
        <f ca="1">VLOOKUP($F$13,DATA_01!$B$35:$CP$1038,75,0)</f>
        <v>-133270.71764330682</v>
      </c>
      <c r="N17" s="89"/>
      <c r="O17" s="104">
        <f ca="1">VLOOKUP($F$13,DATA_01!$B$35:$CP$1038,48,0)</f>
        <v>0</v>
      </c>
      <c r="P17" s="105">
        <f ca="1">IFERROR((O17-I17)*100,0)</f>
        <v>-7.2233561155502404</v>
      </c>
      <c r="Q17" s="137">
        <f ca="1">VLOOKUP($F$13,DATA_01!$B$35:$CP$1038,86,0)</f>
        <v>-807138.05</v>
      </c>
    </row>
    <row r="18" spans="5:17" ht="37.5" customHeight="1" thickTop="1" thickBot="1">
      <c r="E18" s="84"/>
      <c r="F18" s="197" t="str">
        <f>IF(IDX_LANG="English","E - Energy","E - Energie")</f>
        <v>E - Energy</v>
      </c>
      <c r="G18" s="198"/>
      <c r="H18" s="110"/>
      <c r="I18" s="86">
        <f ca="1">VLOOKUP($F$13,DATA_01!$B$35:$CP$1038,8,0)</f>
        <v>8.2791871094929678E-2</v>
      </c>
      <c r="J18" s="131"/>
      <c r="K18" s="87">
        <f ca="1">VLOOKUP($F$13,DATA_01!$B$35:$CP$1038,22,0)</f>
        <v>0.10372927167946394</v>
      </c>
      <c r="L18" s="101">
        <f ca="1">(K18-I18)*100</f>
        <v>2.0937400584534265</v>
      </c>
      <c r="M18" s="136">
        <f ca="1">VLOOKUP($F$13,DATA_01!$B$35:$CP$1038,77,0)</f>
        <v>233954.58301563386</v>
      </c>
      <c r="N18" s="102"/>
      <c r="O18" s="87">
        <f ca="1">VLOOKUP($F$13,DATA_01!$B$35:$CP$1038,50,0)</f>
        <v>0</v>
      </c>
      <c r="P18" s="101">
        <f ca="1">IFERROR((O18-I18)*100,0)</f>
        <v>-8.2791871094929679</v>
      </c>
      <c r="Q18" s="136">
        <f ca="1">VLOOKUP($F$13,DATA_01!$B$35:$CP$1038,88,0)</f>
        <v>-925116.64</v>
      </c>
    </row>
    <row r="19" spans="5:17" ht="37.5" customHeight="1" thickTop="1" thickBot="1">
      <c r="E19" s="84"/>
      <c r="F19" s="199" t="str">
        <f>IF(IDX_LANG="English","F - Fleet","F - Flotte")</f>
        <v>F - Fleet</v>
      </c>
      <c r="G19" s="200"/>
      <c r="H19" s="88"/>
      <c r="I19" s="103">
        <f ca="1">VLOOKUP($F$13,DATA_01!$B$35:$CP$1038,10,0)</f>
        <v>9.9914276112585618E-2</v>
      </c>
      <c r="J19" s="132"/>
      <c r="K19" s="104">
        <f ca="1">VLOOKUP($F$13,DATA_01!$B$35:$CP$1038,24,0)</f>
        <v>8.8610618514819675E-2</v>
      </c>
      <c r="L19" s="105">
        <f ca="1">(K19-I19)*100</f>
        <v>-1.1303657597765944</v>
      </c>
      <c r="M19" s="137">
        <f ca="1">VLOOKUP($F$13,DATA_01!$B$35:$CP$1038,79,0)</f>
        <v>-126307.10718647006</v>
      </c>
      <c r="N19" s="89"/>
      <c r="O19" s="104">
        <f ca="1">VLOOKUP($F$13,DATA_01!$B$35:$CP$1038,52,0)</f>
        <v>0</v>
      </c>
      <c r="P19" s="105">
        <f ca="1">IFERROR((O19-I19)*100,0)</f>
        <v>-9.9914276112585618</v>
      </c>
      <c r="Q19" s="137">
        <f ca="1">VLOOKUP($F$13,DATA_01!$B$35:$CP$1038,90,0)</f>
        <v>-1116442.45</v>
      </c>
    </row>
    <row r="20" spans="5:17" ht="37.5" customHeight="1" thickTop="1" thickBot="1">
      <c r="E20" s="84"/>
      <c r="F20" s="197" t="str">
        <f>IF(IDX_LANG="English","O - Others","O - Autres")</f>
        <v>O - Others</v>
      </c>
      <c r="G20" s="198"/>
      <c r="H20" s="110"/>
      <c r="I20" s="86">
        <f ca="1">VLOOKUP($F$13,DATA_01!$B$35:$CP$1038,12,0)</f>
        <v>0.13568626396923139</v>
      </c>
      <c r="J20" s="131"/>
      <c r="K20" s="87">
        <f ca="1">VLOOKUP($F$13,DATA_01!$B$35:$CP$1038,26,0)</f>
        <v>0.13618950561218024</v>
      </c>
      <c r="L20" s="101">
        <f ca="1">(K20-I20)*100</f>
        <v>5.0324164294884843E-2</v>
      </c>
      <c r="M20" s="136">
        <f ca="1">VLOOKUP($F$13,DATA_01!$B$35:$CP$1038,81,0)</f>
        <v>5623.2237739756238</v>
      </c>
      <c r="N20" s="102"/>
      <c r="O20" s="87">
        <f ca="1">VLOOKUP($F$13,DATA_01!$B$35:$CP$1038,54,0)</f>
        <v>0</v>
      </c>
      <c r="P20" s="101">
        <f ca="1">IFERROR((O20-I20)*100,0)</f>
        <v>-13.56862639692314</v>
      </c>
      <c r="Q20" s="136">
        <f ca="1">VLOOKUP($F$13,DATA_01!$B$35:$CP$1038,92,0)</f>
        <v>-1516158.7599999998</v>
      </c>
    </row>
    <row r="21" spans="5:17" ht="6.75" customHeight="1" thickTop="1" thickBot="1">
      <c r="E21" s="84"/>
      <c r="F21" s="90"/>
      <c r="G21" s="127"/>
      <c r="H21" s="106"/>
      <c r="I21" s="127"/>
      <c r="J21" s="107"/>
      <c r="K21" s="138"/>
      <c r="L21" s="108"/>
      <c r="M21" s="139"/>
      <c r="N21" s="109"/>
      <c r="O21" s="138"/>
      <c r="P21" s="108"/>
      <c r="Q21" s="139"/>
    </row>
    <row r="22" spans="5:17" ht="37.5" customHeight="1" thickTop="1" thickBot="1">
      <c r="E22" s="84"/>
      <c r="F22" s="201" t="str">
        <f>IF(IDX_LANG="English","GROSS MARGIN","MARGE BRUTE")</f>
        <v>GROSS MARGIN</v>
      </c>
      <c r="G22" s="202"/>
      <c r="H22" s="91"/>
      <c r="I22" s="99">
        <f ca="1">1-SUM(I16:I20)</f>
        <v>0.11494834900840623</v>
      </c>
      <c r="J22" s="117"/>
      <c r="K22" s="100">
        <f ca="1">1-SUM(K16:K20)</f>
        <v>8.508641955774543E-2</v>
      </c>
      <c r="L22" s="183">
        <f ca="1">(I22-K22)*100</f>
        <v>2.9861929450660796</v>
      </c>
      <c r="M22" s="184"/>
      <c r="N22" s="102"/>
      <c r="O22" s="100">
        <f ca="1">1-SUM(O16:O20)</f>
        <v>1</v>
      </c>
      <c r="P22" s="183">
        <f ca="1">(I22-O22)*100</f>
        <v>-88.50516509915937</v>
      </c>
      <c r="Q22" s="184"/>
    </row>
    <row r="23" spans="5:17" ht="15.75" thickTop="1"/>
  </sheetData>
  <mergeCells count="16">
    <mergeCell ref="L22:M22"/>
    <mergeCell ref="P22:Q22"/>
    <mergeCell ref="F16:G16"/>
    <mergeCell ref="F17:G17"/>
    <mergeCell ref="F18:G18"/>
    <mergeCell ref="F19:G19"/>
    <mergeCell ref="F20:G20"/>
    <mergeCell ref="F22:G22"/>
    <mergeCell ref="F14:G15"/>
    <mergeCell ref="L14:M14"/>
    <mergeCell ref="P14:Q14"/>
    <mergeCell ref="I11:Q11"/>
    <mergeCell ref="G12:I12"/>
    <mergeCell ref="F13:I13"/>
    <mergeCell ref="K13:M13"/>
    <mergeCell ref="O13:Q13"/>
  </mergeCells>
  <conditionalFormatting sqref="B7">
    <cfRule type="expression" dxfId="146" priority="45" stopIfTrue="1">
      <formula>ROUND(ABS($B$7-$C$7),4)=0</formula>
    </cfRule>
    <cfRule type="expression" dxfId="145" priority="46">
      <formula>ROUND(ABS($B$7-$C$7),4)&lt;=0.2</formula>
    </cfRule>
    <cfRule type="expression" dxfId="144" priority="47">
      <formula>ROUND(ABS($B$7-$C$7),4)&gt;0.2</formula>
    </cfRule>
  </conditionalFormatting>
  <conditionalFormatting sqref="L16">
    <cfRule type="expression" dxfId="143" priority="9">
      <formula>L16&gt;0</formula>
    </cfRule>
    <cfRule type="expression" dxfId="142" priority="10">
      <formula>L16&lt;0</formula>
    </cfRule>
  </conditionalFormatting>
  <conditionalFormatting sqref="L18">
    <cfRule type="expression" dxfId="141" priority="7">
      <formula>L18&gt;0</formula>
    </cfRule>
    <cfRule type="expression" dxfId="140" priority="8">
      <formula>L18&lt;0</formula>
    </cfRule>
  </conditionalFormatting>
  <conditionalFormatting sqref="L20">
    <cfRule type="expression" dxfId="139" priority="5">
      <formula>L20&gt;0</formula>
    </cfRule>
    <cfRule type="expression" dxfId="138" priority="6">
      <formula>L20&lt;0</formula>
    </cfRule>
  </conditionalFormatting>
  <conditionalFormatting sqref="L19">
    <cfRule type="expression" dxfId="137" priority="3">
      <formula>L19&gt;0</formula>
    </cfRule>
    <cfRule type="expression" dxfId="136" priority="4">
      <formula>L19&lt;0</formula>
    </cfRule>
  </conditionalFormatting>
  <conditionalFormatting sqref="L17">
    <cfRule type="expression" dxfId="135" priority="1">
      <formula>L17&gt;0</formula>
    </cfRule>
    <cfRule type="expression" dxfId="134" priority="2">
      <formula>L17&lt;0</formula>
    </cfRule>
  </conditionalFormatting>
  <conditionalFormatting sqref="L22">
    <cfRule type="expression" dxfId="133" priority="43">
      <formula>L22&lt;0</formula>
    </cfRule>
    <cfRule type="expression" dxfId="132" priority="44">
      <formula>L22&gt;0</formula>
    </cfRule>
  </conditionalFormatting>
  <conditionalFormatting sqref="P22">
    <cfRule type="expression" dxfId="131" priority="41">
      <formula>P22&lt;0</formula>
    </cfRule>
    <cfRule type="expression" dxfId="130" priority="42">
      <formula>P22&gt;0</formula>
    </cfRule>
  </conditionalFormatting>
  <conditionalFormatting sqref="M16">
    <cfRule type="expression" dxfId="129" priority="29">
      <formula>M16&gt;0</formula>
    </cfRule>
    <cfRule type="expression" dxfId="128" priority="30">
      <formula>M16&lt;0</formula>
    </cfRule>
  </conditionalFormatting>
  <conditionalFormatting sqref="Q16">
    <cfRule type="expression" dxfId="127" priority="39">
      <formula>Q16&gt;0</formula>
    </cfRule>
    <cfRule type="expression" dxfId="126" priority="40">
      <formula>Q16&lt;0</formula>
    </cfRule>
  </conditionalFormatting>
  <conditionalFormatting sqref="Q18">
    <cfRule type="expression" dxfId="125" priority="37">
      <formula>Q18&gt;0</formula>
    </cfRule>
    <cfRule type="expression" dxfId="124" priority="38">
      <formula>Q18&lt;0</formula>
    </cfRule>
  </conditionalFormatting>
  <conditionalFormatting sqref="Q20">
    <cfRule type="expression" dxfId="123" priority="35">
      <formula>Q20&gt;0</formula>
    </cfRule>
    <cfRule type="expression" dxfId="122" priority="36">
      <formula>Q20&lt;0</formula>
    </cfRule>
  </conditionalFormatting>
  <conditionalFormatting sqref="Q19">
    <cfRule type="expression" dxfId="121" priority="33">
      <formula>Q19&gt;0</formula>
    </cfRule>
    <cfRule type="expression" dxfId="120" priority="34">
      <formula>Q19&lt;0</formula>
    </cfRule>
  </conditionalFormatting>
  <conditionalFormatting sqref="Q17">
    <cfRule type="expression" dxfId="119" priority="31">
      <formula>Q17&gt;0</formula>
    </cfRule>
    <cfRule type="expression" dxfId="118" priority="32">
      <formula>Q17&lt;0</formula>
    </cfRule>
  </conditionalFormatting>
  <conditionalFormatting sqref="M18">
    <cfRule type="expression" dxfId="117" priority="27">
      <formula>M18&gt;0</formula>
    </cfRule>
    <cfRule type="expression" dxfId="116" priority="28">
      <formula>M18&lt;0</formula>
    </cfRule>
  </conditionalFormatting>
  <conditionalFormatting sqref="M20">
    <cfRule type="expression" dxfId="115" priority="25">
      <formula>M20&gt;0</formula>
    </cfRule>
    <cfRule type="expression" dxfId="114" priority="26">
      <formula>M20&lt;0</formula>
    </cfRule>
  </conditionalFormatting>
  <conditionalFormatting sqref="M19">
    <cfRule type="expression" dxfId="113" priority="23">
      <formula>M19&gt;0</formula>
    </cfRule>
    <cfRule type="expression" dxfId="112" priority="24">
      <formula>M19&lt;0</formula>
    </cfRule>
  </conditionalFormatting>
  <conditionalFormatting sqref="M17">
    <cfRule type="expression" dxfId="111" priority="21">
      <formula>M17&gt;0</formula>
    </cfRule>
    <cfRule type="expression" dxfId="110" priority="22">
      <formula>M17&lt;0</formula>
    </cfRule>
  </conditionalFormatting>
  <conditionalFormatting sqref="P16">
    <cfRule type="expression" dxfId="109" priority="19">
      <formula>P16&gt;0</formula>
    </cfRule>
    <cfRule type="expression" dxfId="108" priority="20">
      <formula>P16&lt;0</formula>
    </cfRule>
  </conditionalFormatting>
  <conditionalFormatting sqref="P18">
    <cfRule type="expression" dxfId="107" priority="17">
      <formula>P18&gt;0</formula>
    </cfRule>
    <cfRule type="expression" dxfId="106" priority="18">
      <formula>P18&lt;0</formula>
    </cfRule>
  </conditionalFormatting>
  <conditionalFormatting sqref="P20">
    <cfRule type="expression" dxfId="105" priority="15">
      <formula>P20&gt;0</formula>
    </cfRule>
    <cfRule type="expression" dxfId="104" priority="16">
      <formula>P20&lt;0</formula>
    </cfRule>
  </conditionalFormatting>
  <conditionalFormatting sqref="P19">
    <cfRule type="expression" dxfId="103" priority="13">
      <formula>P19&gt;0</formula>
    </cfRule>
    <cfRule type="expression" dxfId="102" priority="14">
      <formula>P19&lt;0</formula>
    </cfRule>
  </conditionalFormatting>
  <conditionalFormatting sqref="P17">
    <cfRule type="expression" dxfId="101" priority="11">
      <formula>P17&gt;0</formula>
    </cfRule>
    <cfRule type="expression" dxfId="100" priority="12">
      <formula>P17&lt;0</formula>
    </cfRule>
  </conditionalFormatting>
  <dataValidations count="1">
    <dataValidation type="list" allowBlank="1" showInputMessage="1" showErrorMessage="1" sqref="I9">
      <formula1>"1,2,3,4,5"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get_size">
                <anchor moveWithCells="1" sizeWithCells="1">
                  <from>
                    <xdr:col>3</xdr:col>
                    <xdr:colOff>142875</xdr:colOff>
                    <xdr:row>2</xdr:row>
                    <xdr:rowOff>47625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2">
    <tabColor theme="6" tint="-0.249977111117893"/>
  </sheetPr>
  <dimension ref="A1:R11"/>
  <sheetViews>
    <sheetView showGridLines="0" zoomScale="70" zoomScaleNormal="70" workbookViewId="0"/>
  </sheetViews>
  <sheetFormatPr baseColWidth="10" defaultRowHeight="15"/>
  <cols>
    <col min="5" max="5" width="9.5703125" style="3" customWidth="1"/>
    <col min="6" max="6" width="6.85546875" style="3" hidden="1" customWidth="1"/>
    <col min="7" max="7" width="35" style="3" customWidth="1"/>
    <col min="8" max="8" width="10.42578125" style="92" customWidth="1"/>
    <col min="9" max="9" width="93.85546875" style="3" customWidth="1"/>
    <col min="10" max="10" width="0.42578125" style="3" customWidth="1"/>
    <col min="11" max="11" width="11" style="3" customWidth="1"/>
    <col min="12" max="12" width="12.5703125" style="3" customWidth="1"/>
    <col min="13" max="13" width="17.140625" style="3" customWidth="1"/>
    <col min="14" max="14" width="0.42578125" style="3" customWidth="1"/>
    <col min="15" max="15" width="11" style="3" customWidth="1"/>
    <col min="16" max="16" width="13.140625" style="3" customWidth="1"/>
    <col min="17" max="17" width="17.140625" style="3" customWidth="1"/>
    <col min="18" max="18" width="4" style="3" customWidth="1"/>
  </cols>
  <sheetData>
    <row r="1" spans="1:18">
      <c r="A1" s="55" t="s">
        <v>1</v>
      </c>
      <c r="B1" s="54">
        <v>13</v>
      </c>
    </row>
    <row r="2" spans="1:18">
      <c r="A2" s="55" t="s">
        <v>2</v>
      </c>
      <c r="B2" s="54">
        <v>50</v>
      </c>
      <c r="R2" s="84"/>
    </row>
    <row r="3" spans="1:18">
      <c r="A3" s="55" t="s">
        <v>3</v>
      </c>
      <c r="B3" s="54">
        <v>30</v>
      </c>
      <c r="R3" s="84"/>
    </row>
    <row r="4" spans="1:18">
      <c r="A4" s="55" t="s">
        <v>4</v>
      </c>
      <c r="B4" s="54">
        <v>20</v>
      </c>
      <c r="C4" s="81">
        <v>21</v>
      </c>
      <c r="R4" s="84"/>
    </row>
    <row r="5" spans="1:18">
      <c r="A5" s="55" t="s">
        <v>5</v>
      </c>
      <c r="B5" s="54">
        <v>250</v>
      </c>
      <c r="C5" s="81">
        <v>492.75</v>
      </c>
      <c r="R5" s="84"/>
    </row>
    <row r="6" spans="1:18">
      <c r="R6" s="84"/>
    </row>
    <row r="7" spans="1:18">
      <c r="A7" s="55" t="s">
        <v>50</v>
      </c>
      <c r="B7" s="82">
        <f>B5/B4</f>
        <v>12.5</v>
      </c>
      <c r="C7" s="81">
        <f>C5/C4</f>
        <v>23.464285714285715</v>
      </c>
      <c r="R7" s="84"/>
    </row>
    <row r="8" spans="1:18">
      <c r="G8" s="3" t="s">
        <v>64</v>
      </c>
      <c r="H8" s="93">
        <v>4</v>
      </c>
      <c r="R8" s="84"/>
    </row>
    <row r="9" spans="1:18">
      <c r="G9" s="3" t="s">
        <v>53</v>
      </c>
      <c r="H9" s="93">
        <f>IF(IDX_SORT="in variance (in %)",1,0)</f>
        <v>0</v>
      </c>
      <c r="R9" s="84"/>
    </row>
    <row r="10" spans="1:18">
      <c r="R10" s="84"/>
    </row>
    <row r="11" spans="1:18" ht="21" customHeight="1">
      <c r="E11" s="84"/>
      <c r="F11" s="84"/>
      <c r="G11" s="84"/>
      <c r="H11" s="85"/>
      <c r="I11" s="143" t="str">
        <f ca="1">IDX_MAN_ORG&amp;" - "&amp;IF($H$9=1,OFFSET(DATA_01!AQ24,$H$8,0),OFFSET(DATA_01!AP24,$H$8,0))</f>
        <v>NETH_BM01 - Zaanstreek</v>
      </c>
      <c r="J11" s="142"/>
      <c r="K11" s="142"/>
      <c r="L11" s="142"/>
      <c r="M11" s="142"/>
      <c r="N11" s="142"/>
      <c r="O11" s="142"/>
      <c r="P11" s="142"/>
      <c r="Q11" s="142"/>
      <c r="R11" s="84"/>
    </row>
  </sheetData>
  <conditionalFormatting sqref="B7">
    <cfRule type="expression" dxfId="99" priority="1" stopIfTrue="1">
      <formula>ROUND(ABS($B$7-$C$7),4)=0</formula>
    </cfRule>
    <cfRule type="expression" dxfId="98" priority="2">
      <formula>ROUND(ABS($B$7-$C$7),4)&lt;=0.2</formula>
    </cfRule>
    <cfRule type="expression" dxfId="97" priority="3">
      <formula>ROUND(ABS($B$7-$C$7),4)&gt;0.2</formula>
    </cfRule>
  </conditionalFormatting>
  <dataValidations count="1">
    <dataValidation type="list" allowBlank="1" showInputMessage="1" showErrorMessage="1" sqref="H8">
      <formula1>"1,2,3,4,5"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get_size">
                <anchor moveWithCells="1" sizeWithCells="1">
                  <from>
                    <xdr:col>3</xdr:col>
                    <xdr:colOff>142875</xdr:colOff>
                    <xdr:row>2</xdr:row>
                    <xdr:rowOff>47625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3">
    <tabColor theme="6" tint="-0.249977111117893"/>
  </sheetPr>
  <dimension ref="A1:R23"/>
  <sheetViews>
    <sheetView showGridLines="0" zoomScale="70" zoomScaleNormal="70" workbookViewId="0">
      <selection activeCell="M8" sqref="M8"/>
    </sheetView>
  </sheetViews>
  <sheetFormatPr baseColWidth="10" defaultRowHeight="15"/>
  <cols>
    <col min="5" max="5" width="4" style="3" customWidth="1"/>
    <col min="6" max="6" width="6.85546875" style="3" hidden="1" customWidth="1"/>
    <col min="7" max="7" width="35" style="3" customWidth="1"/>
    <col min="8" max="8" width="0.42578125" style="92" customWidth="1"/>
    <col min="9" max="9" width="11" style="3" customWidth="1"/>
    <col min="10" max="10" width="0.42578125" style="3" customWidth="1"/>
    <col min="11" max="11" width="11" style="3" customWidth="1"/>
    <col min="12" max="12" width="12.5703125" style="3" customWidth="1"/>
    <col min="13" max="13" width="17.140625" style="3" customWidth="1"/>
    <col min="14" max="14" width="0.42578125" style="3" customWidth="1"/>
    <col min="15" max="15" width="11" style="3" customWidth="1"/>
    <col min="16" max="16" width="13.140625" style="3" customWidth="1"/>
    <col min="17" max="17" width="17.140625" style="3" customWidth="1"/>
    <col min="18" max="18" width="4" style="3" customWidth="1"/>
  </cols>
  <sheetData>
    <row r="1" spans="1:18">
      <c r="A1" s="55" t="s">
        <v>1</v>
      </c>
      <c r="B1" s="54">
        <v>13</v>
      </c>
    </row>
    <row r="2" spans="1:18">
      <c r="A2" s="55" t="s">
        <v>2</v>
      </c>
      <c r="B2" s="54">
        <v>84.7</v>
      </c>
      <c r="R2" s="84"/>
    </row>
    <row r="3" spans="1:18">
      <c r="A3" s="55" t="s">
        <v>3</v>
      </c>
      <c r="B3" s="54">
        <v>167</v>
      </c>
      <c r="R3" s="84"/>
    </row>
    <row r="4" spans="1:18">
      <c r="A4" s="55" t="s">
        <v>4</v>
      </c>
      <c r="B4" s="54">
        <v>231</v>
      </c>
      <c r="C4" s="81">
        <v>519.75</v>
      </c>
      <c r="R4" s="84"/>
    </row>
    <row r="5" spans="1:18">
      <c r="A5" s="55" t="s">
        <v>5</v>
      </c>
      <c r="B5" s="83">
        <f>B4*C7</f>
        <v>348</v>
      </c>
      <c r="C5" s="81">
        <v>783</v>
      </c>
      <c r="R5" s="84"/>
    </row>
    <row r="6" spans="1:18">
      <c r="R6" s="84"/>
    </row>
    <row r="7" spans="1:18">
      <c r="A7" s="55" t="s">
        <v>50</v>
      </c>
      <c r="B7" s="82">
        <f>B5/B4</f>
        <v>1.5064935064935066</v>
      </c>
      <c r="C7" s="81">
        <f>C5/C4</f>
        <v>1.5064935064935066</v>
      </c>
      <c r="R7" s="84"/>
    </row>
    <row r="8" spans="1:18">
      <c r="R8" s="84"/>
    </row>
    <row r="9" spans="1:18">
      <c r="G9" s="3" t="s">
        <v>64</v>
      </c>
      <c r="I9" s="93">
        <v>4</v>
      </c>
      <c r="R9" s="84"/>
    </row>
    <row r="10" spans="1:18">
      <c r="G10" s="3" t="s">
        <v>53</v>
      </c>
      <c r="I10" s="93">
        <f>IF(IDX_SORT="in variance (in %)",1,0)</f>
        <v>0</v>
      </c>
      <c r="R10" s="84"/>
    </row>
    <row r="11" spans="1:18" ht="21">
      <c r="E11" s="84"/>
      <c r="F11" s="84"/>
      <c r="G11" s="84"/>
      <c r="H11" s="85"/>
      <c r="I11" s="181"/>
      <c r="J11" s="181"/>
      <c r="K11" s="181"/>
      <c r="L11" s="181"/>
      <c r="M11" s="181"/>
      <c r="N11" s="181"/>
      <c r="O11" s="181"/>
      <c r="P11" s="181"/>
      <c r="Q11" s="181"/>
      <c r="R11" s="84"/>
    </row>
    <row r="12" spans="1:18" ht="21" customHeight="1" thickBot="1">
      <c r="E12" s="84"/>
      <c r="F12" s="84"/>
      <c r="G12" s="182"/>
      <c r="H12" s="182"/>
      <c r="I12" s="182"/>
      <c r="J12" s="84"/>
      <c r="K12" s="84"/>
      <c r="L12" s="84"/>
      <c r="M12" s="84"/>
      <c r="O12" s="84"/>
      <c r="P12" s="84"/>
      <c r="Q12" s="84"/>
      <c r="R12" s="84"/>
    </row>
    <row r="13" spans="1:18" ht="42.75" customHeight="1" thickTop="1" thickBot="1">
      <c r="E13" s="84"/>
      <c r="F13" s="203" t="str">
        <f ca="1">IF($I$10=1,OFFSET(DATA_01!AQ24,$I$9,0),OFFSET(DATA_01!AP24,$I$9,0))</f>
        <v>Zaanstreek</v>
      </c>
      <c r="G13" s="204"/>
      <c r="H13" s="204"/>
      <c r="I13" s="205"/>
      <c r="J13" s="118"/>
      <c r="K13" s="206" t="str">
        <f ca="1">IDX_PHASE&amp;" "&amp;IF(LEFT(IDX_PERIOD,4)="F_YE",RIGHT(IDX_PERIOD,4),LEFT(IDX_PERIOD,4))&amp;" Versus "&amp;IDX_PHASE_COMP1&amp;" "&amp;IDX_PERIOD_COMP_N_1</f>
        <v>Actual 2016 Versus Budget N</v>
      </c>
      <c r="L13" s="207"/>
      <c r="M13" s="208"/>
      <c r="N13" s="119"/>
      <c r="O13" s="206" t="str">
        <f ca="1">IDX_PHASE&amp;" "&amp;IF(LEFT(IDX_PERIOD,4)="F_YE",RIGHT(IDX_PERIOD,4),LEFT(IDX_PERIOD,4))&amp;" Versus "&amp;IDX_PHASE_COMP2&amp;" "&amp;IDX_PERIOD_COMP_N_2</f>
        <v>Actual 2016 Versus Actual N-1</v>
      </c>
      <c r="P13" s="207"/>
      <c r="Q13" s="208"/>
      <c r="R13" s="84"/>
    </row>
    <row r="14" spans="1:18" ht="22.5" customHeight="1" thickTop="1">
      <c r="E14" s="84"/>
      <c r="F14" s="187" t="str">
        <f ca="1">IDX_PERIOD</f>
        <v>2016.08_YTD</v>
      </c>
      <c r="G14" s="188"/>
      <c r="H14" s="120"/>
      <c r="I14" s="128" t="str">
        <f ca="1">_xll.DBRA(Server&amp;"Phase","ACT_TOT",IDX_LANG)</f>
        <v>Actual</v>
      </c>
      <c r="J14" s="121"/>
      <c r="K14" s="133" t="str">
        <f ca="1">IDX_PHASE_COMP1&amp;" "&amp;IDX_PERIOD_COMP_N_1</f>
        <v>Budget N</v>
      </c>
      <c r="L14" s="185" t="s">
        <v>35</v>
      </c>
      <c r="M14" s="186"/>
      <c r="N14" s="122"/>
      <c r="O14" s="133" t="str">
        <f ca="1">IDX_PHASE_COMP2&amp;" "&amp;IDX_PERIOD_COMP_N_2</f>
        <v>Actual N-1</v>
      </c>
      <c r="P14" s="185" t="s">
        <v>35</v>
      </c>
      <c r="Q14" s="186"/>
    </row>
    <row r="15" spans="1:18" ht="19.5" customHeight="1" thickBot="1">
      <c r="E15" s="84"/>
      <c r="F15" s="189"/>
      <c r="G15" s="190"/>
      <c r="H15" s="123"/>
      <c r="I15" s="129" t="s">
        <v>51</v>
      </c>
      <c r="J15" s="125"/>
      <c r="K15" s="134" t="s">
        <v>51</v>
      </c>
      <c r="L15" s="124" t="s">
        <v>52</v>
      </c>
      <c r="M15" s="135" t="str">
        <f>IDX_CURRENCY</f>
        <v>LCL</v>
      </c>
      <c r="N15" s="126"/>
      <c r="O15" s="134" t="s">
        <v>51</v>
      </c>
      <c r="P15" s="124" t="s">
        <v>52</v>
      </c>
      <c r="Q15" s="135" t="str">
        <f>M15</f>
        <v>LCL</v>
      </c>
    </row>
    <row r="16" spans="1:18" ht="37.5" customHeight="1" thickTop="1" thickBot="1">
      <c r="E16" s="84"/>
      <c r="F16" s="197" t="str">
        <f>IF(IDX_LANG="English","D - Driving","D - Conduite")</f>
        <v>D - Driving</v>
      </c>
      <c r="G16" s="198"/>
      <c r="H16" s="110"/>
      <c r="I16" s="86">
        <f ca="1">VLOOKUP($F$13,DATA_01!$B$35:$CP$1038,4,0)</f>
        <v>0.43259750399713764</v>
      </c>
      <c r="J16" s="131"/>
      <c r="K16" s="87">
        <f ca="1">VLOOKUP($F$13,DATA_01!$B$35:$CP$1038,18,0)</f>
        <v>0.43775024821068526</v>
      </c>
      <c r="L16" s="101">
        <f ca="1">(K16-I16)*100</f>
        <v>0.51527442135476109</v>
      </c>
      <c r="M16" s="136">
        <f ca="1">VLOOKUP($F$13,DATA_01!$B$35:$CP$1038,73,0)</f>
        <v>74462.357487562113</v>
      </c>
      <c r="N16" s="102"/>
      <c r="O16" s="87">
        <f ca="1">VLOOKUP($F$13,DATA_01!$B$35:$CP$1038,46,0)</f>
        <v>0.43714032481623677</v>
      </c>
      <c r="P16" s="101">
        <f ca="1">IFERROR((O16-I16)*100,0)</f>
        <v>0.45428208190991248</v>
      </c>
      <c r="Q16" s="136">
        <f ca="1">VLOOKUP($F$13,DATA_01!$B$35:$CP$1038,84,0)</f>
        <v>65648.348494443111</v>
      </c>
    </row>
    <row r="17" spans="4:17" ht="37.5" customHeight="1" thickTop="1" thickBot="1">
      <c r="E17" s="84"/>
      <c r="F17" s="199" t="str">
        <f>IF(IDX_LANG="English","M - Maintenance","M - Maintenance")</f>
        <v>M - Maintenance</v>
      </c>
      <c r="G17" s="200"/>
      <c r="H17" s="88"/>
      <c r="I17" s="103">
        <f ca="1">VLOOKUP($F$13,DATA_01!$B$35:$CP$1038,6,0)</f>
        <v>6.7608855629409381E-2</v>
      </c>
      <c r="J17" s="132"/>
      <c r="K17" s="104">
        <f ca="1">VLOOKUP($F$13,DATA_01!$B$35:$CP$1038,20,0)</f>
        <v>6.7115985461045913E-2</v>
      </c>
      <c r="L17" s="105">
        <f ca="1">(K17-I17)*100</f>
        <v>-4.9287016836346842E-2</v>
      </c>
      <c r="M17" s="137">
        <f ca="1">VLOOKUP($F$13,DATA_01!$B$35:$CP$1038,75,0)</f>
        <v>-7122.471667649108</v>
      </c>
      <c r="N17" s="89"/>
      <c r="O17" s="104">
        <f ca="1">VLOOKUP($F$13,DATA_01!$B$35:$CP$1038,48,0)</f>
        <v>6.8448295796316408E-2</v>
      </c>
      <c r="P17" s="105">
        <f ca="1">IFERROR((O17-I17)*100,0)</f>
        <v>8.3944016690702672E-2</v>
      </c>
      <c r="Q17" s="137">
        <f ca="1">VLOOKUP($F$13,DATA_01!$B$35:$CP$1038,86,0)</f>
        <v>12130.758137247874</v>
      </c>
    </row>
    <row r="18" spans="4:17" ht="37.5" customHeight="1" thickTop="1" thickBot="1">
      <c r="E18" s="84"/>
      <c r="F18" s="197" t="str">
        <f>IF(IDX_LANG="English","E - Energy","E - Energie")</f>
        <v>E - Energy</v>
      </c>
      <c r="G18" s="198"/>
      <c r="H18" s="110"/>
      <c r="I18" s="86">
        <f ca="1">VLOOKUP($F$13,DATA_01!$B$35:$CP$1038,8,0)</f>
        <v>6.4362068697417618E-2</v>
      </c>
      <c r="J18" s="131"/>
      <c r="K18" s="87">
        <f ca="1">VLOOKUP($F$13,DATA_01!$B$35:$CP$1038,22,0)</f>
        <v>7.0339964595310778E-2</v>
      </c>
      <c r="L18" s="101">
        <f ca="1">(K18-I18)*100</f>
        <v>0.59778958978931596</v>
      </c>
      <c r="M18" s="136">
        <f ca="1">VLOOKUP($F$13,DATA_01!$B$35:$CP$1038,77,0)</f>
        <v>86386.632622286561</v>
      </c>
      <c r="N18" s="102"/>
      <c r="O18" s="87">
        <f ca="1">VLOOKUP($F$13,DATA_01!$B$35:$CP$1038,50,0)</f>
        <v>7.4861592210717573E-2</v>
      </c>
      <c r="P18" s="101">
        <f ca="1">IFERROR((O18-I18)*100,0)</f>
        <v>1.0499523513299955</v>
      </c>
      <c r="Q18" s="136">
        <f ca="1">VLOOKUP($F$13,DATA_01!$B$35:$CP$1038,88,0)</f>
        <v>151728.71792099474</v>
      </c>
    </row>
    <row r="19" spans="4:17" ht="37.5" customHeight="1" thickTop="1" thickBot="1">
      <c r="E19" s="84"/>
      <c r="F19" s="199" t="str">
        <f>IF(IDX_LANG="English","F - Fleet","F - Flotte")</f>
        <v>F - Fleet</v>
      </c>
      <c r="G19" s="200"/>
      <c r="H19" s="88"/>
      <c r="I19" s="103">
        <f ca="1">VLOOKUP($F$13,DATA_01!$B$35:$CP$1038,10,0)</f>
        <v>8.234416768826136E-2</v>
      </c>
      <c r="J19" s="132"/>
      <c r="K19" s="104">
        <f ca="1">VLOOKUP($F$13,DATA_01!$B$35:$CP$1038,24,0)</f>
        <v>8.2230830701374866E-2</v>
      </c>
      <c r="L19" s="105">
        <f ca="1">(K19-I19)*100</f>
        <v>-1.1333698688649474E-2</v>
      </c>
      <c r="M19" s="137">
        <f ca="1">VLOOKUP($F$13,DATA_01!$B$35:$CP$1038,79,0)</f>
        <v>-1637.833916132804</v>
      </c>
      <c r="N19" s="89"/>
      <c r="O19" s="104">
        <f ca="1">VLOOKUP($F$13,DATA_01!$B$35:$CP$1038,52,0)</f>
        <v>8.5860480086564758E-2</v>
      </c>
      <c r="P19" s="105">
        <f ca="1">IFERROR((O19-I19)*100,0)</f>
        <v>0.35163123983033978</v>
      </c>
      <c r="Q19" s="137">
        <f ca="1">VLOOKUP($F$13,DATA_01!$B$35:$CP$1038,90,0)</f>
        <v>50814.265173885738</v>
      </c>
    </row>
    <row r="20" spans="4:17" ht="37.5" customHeight="1" thickTop="1" thickBot="1">
      <c r="E20" s="84"/>
      <c r="F20" s="197" t="str">
        <f>IF(IDX_LANG="English","O - Others","O - Autres")</f>
        <v>O - Others</v>
      </c>
      <c r="G20" s="198"/>
      <c r="H20" s="110"/>
      <c r="I20" s="86">
        <f ca="1">VLOOKUP($F$13,DATA_01!$B$35:$CP$1038,12,0)</f>
        <v>0.11433801338895631</v>
      </c>
      <c r="J20" s="131"/>
      <c r="K20" s="87">
        <f ca="1">VLOOKUP($F$13,DATA_01!$B$35:$CP$1038,26,0)</f>
        <v>0.1243085762045892</v>
      </c>
      <c r="L20" s="101">
        <f ca="1">(K20-I20)*100</f>
        <v>0.99705628156328829</v>
      </c>
      <c r="M20" s="136">
        <f ca="1">VLOOKUP($F$13,DATA_01!$B$35:$CP$1038,81,0)</f>
        <v>144084.70165816578</v>
      </c>
      <c r="N20" s="102"/>
      <c r="O20" s="87">
        <f ca="1">VLOOKUP($F$13,DATA_01!$B$35:$CP$1038,54,0)</f>
        <v>0.11985492539313015</v>
      </c>
      <c r="P20" s="101">
        <f ca="1">IFERROR((O20-I20)*100,0)</f>
        <v>0.55169120041738406</v>
      </c>
      <c r="Q20" s="136">
        <f ca="1">VLOOKUP($F$13,DATA_01!$B$35:$CP$1038,92,0)</f>
        <v>79724.94982423773</v>
      </c>
    </row>
    <row r="21" spans="4:17" ht="6.75" customHeight="1" thickTop="1" thickBot="1">
      <c r="E21" s="84"/>
      <c r="F21" s="90"/>
      <c r="G21" s="130"/>
      <c r="H21" s="111"/>
      <c r="I21" s="130"/>
      <c r="J21" s="112"/>
      <c r="K21" s="140"/>
      <c r="L21" s="113"/>
      <c r="M21" s="141"/>
      <c r="N21" s="114"/>
      <c r="O21" s="140"/>
      <c r="P21" s="113"/>
      <c r="Q21" s="141"/>
    </row>
    <row r="22" spans="4:17" ht="37.5" customHeight="1" thickTop="1" thickBot="1">
      <c r="D22" s="115"/>
      <c r="E22" s="116"/>
      <c r="F22" s="201" t="str">
        <f>IF(IDX_LANG="English","GROSS MARGIN","MARGE BRUTE")</f>
        <v>GROSS MARGIN</v>
      </c>
      <c r="G22" s="202"/>
      <c r="H22" s="91"/>
      <c r="I22" s="99">
        <f ca="1">1-SUM(I16:I20)</f>
        <v>0.23874939059881761</v>
      </c>
      <c r="J22" s="117"/>
      <c r="K22" s="100">
        <f ca="1">1-SUM(K16:K20)</f>
        <v>0.21825439482699405</v>
      </c>
      <c r="L22" s="209">
        <f ca="1">(I22-K22)*100</f>
        <v>2.0494995771823565</v>
      </c>
      <c r="M22" s="210"/>
      <c r="N22" s="102"/>
      <c r="O22" s="100">
        <f ca="1">1-SUM(O16:O20)</f>
        <v>0.21383438169703439</v>
      </c>
      <c r="P22" s="209">
        <f ca="1">(I22-O22)*100</f>
        <v>2.491500890178322</v>
      </c>
      <c r="Q22" s="210"/>
    </row>
    <row r="23" spans="4:17" ht="15.75" thickTop="1"/>
  </sheetData>
  <mergeCells count="16">
    <mergeCell ref="L22:M22"/>
    <mergeCell ref="P22:Q22"/>
    <mergeCell ref="F16:G16"/>
    <mergeCell ref="F17:G17"/>
    <mergeCell ref="F18:G18"/>
    <mergeCell ref="F19:G19"/>
    <mergeCell ref="F20:G20"/>
    <mergeCell ref="F22:G22"/>
    <mergeCell ref="F14:G15"/>
    <mergeCell ref="L14:M14"/>
    <mergeCell ref="P14:Q14"/>
    <mergeCell ref="I11:Q11"/>
    <mergeCell ref="G12:I12"/>
    <mergeCell ref="F13:I13"/>
    <mergeCell ref="K13:M13"/>
    <mergeCell ref="O13:Q13"/>
  </mergeCells>
  <conditionalFormatting sqref="B7">
    <cfRule type="expression" dxfId="96" priority="47" stopIfTrue="1">
      <formula>ROUND(ABS($B$7-$C$7),4)=0</formula>
    </cfRule>
    <cfRule type="expression" dxfId="95" priority="48">
      <formula>ROUND(ABS($B$7-$C$7),4)&lt;=0.2</formula>
    </cfRule>
    <cfRule type="expression" dxfId="94" priority="49">
      <formula>ROUND(ABS($B$7-$C$7),4)&gt;0.2</formula>
    </cfRule>
  </conditionalFormatting>
  <conditionalFormatting sqref="L16">
    <cfRule type="expression" dxfId="93" priority="11">
      <formula>L16&gt;0</formula>
    </cfRule>
    <cfRule type="expression" dxfId="92" priority="12">
      <formula>L16&lt;0</formula>
    </cfRule>
  </conditionalFormatting>
  <conditionalFormatting sqref="L18">
    <cfRule type="expression" dxfId="91" priority="9">
      <formula>L18&gt;0</formula>
    </cfRule>
    <cfRule type="expression" dxfId="90" priority="10">
      <formula>L18&lt;0</formula>
    </cfRule>
  </conditionalFormatting>
  <conditionalFormatting sqref="L20">
    <cfRule type="expression" dxfId="89" priority="7">
      <formula>L20&gt;0</formula>
    </cfRule>
    <cfRule type="expression" dxfId="88" priority="8">
      <formula>L20&lt;0</formula>
    </cfRule>
  </conditionalFormatting>
  <conditionalFormatting sqref="L19">
    <cfRule type="expression" dxfId="87" priority="5">
      <formula>L19&gt;0</formula>
    </cfRule>
    <cfRule type="expression" dxfId="86" priority="6">
      <formula>L19&lt;0</formula>
    </cfRule>
  </conditionalFormatting>
  <conditionalFormatting sqref="L17">
    <cfRule type="expression" dxfId="85" priority="3">
      <formula>L17&gt;0</formula>
    </cfRule>
    <cfRule type="expression" dxfId="84" priority="4">
      <formula>L17&lt;0</formula>
    </cfRule>
  </conditionalFormatting>
  <conditionalFormatting sqref="L22">
    <cfRule type="expression" dxfId="83" priority="45">
      <formula>L22&lt;0</formula>
    </cfRule>
    <cfRule type="expression" dxfId="82" priority="46">
      <formula>L22&gt;0</formula>
    </cfRule>
  </conditionalFormatting>
  <conditionalFormatting sqref="M16">
    <cfRule type="expression" dxfId="81" priority="31">
      <formula>M16&gt;0</formula>
    </cfRule>
    <cfRule type="expression" dxfId="80" priority="32">
      <formula>M16&lt;0</formula>
    </cfRule>
  </conditionalFormatting>
  <conditionalFormatting sqref="Q16">
    <cfRule type="expression" dxfId="79" priority="41">
      <formula>Q16&gt;0</formula>
    </cfRule>
    <cfRule type="expression" dxfId="78" priority="42">
      <formula>Q16&lt;0</formula>
    </cfRule>
  </conditionalFormatting>
  <conditionalFormatting sqref="Q18">
    <cfRule type="expression" dxfId="77" priority="39">
      <formula>Q18&gt;0</formula>
    </cfRule>
    <cfRule type="expression" dxfId="76" priority="40">
      <formula>Q18&lt;0</formula>
    </cfRule>
  </conditionalFormatting>
  <conditionalFormatting sqref="Q20">
    <cfRule type="expression" dxfId="75" priority="37">
      <formula>Q20&gt;0</formula>
    </cfRule>
    <cfRule type="expression" dxfId="74" priority="38">
      <formula>Q20&lt;0</formula>
    </cfRule>
  </conditionalFormatting>
  <conditionalFormatting sqref="Q19">
    <cfRule type="expression" dxfId="73" priority="35">
      <formula>Q19&gt;0</formula>
    </cfRule>
    <cfRule type="expression" dxfId="72" priority="36">
      <formula>Q19&lt;0</formula>
    </cfRule>
  </conditionalFormatting>
  <conditionalFormatting sqref="Q17">
    <cfRule type="expression" dxfId="71" priority="33">
      <formula>Q17&gt;0</formula>
    </cfRule>
    <cfRule type="expression" dxfId="70" priority="34">
      <formula>Q17&lt;0</formula>
    </cfRule>
  </conditionalFormatting>
  <conditionalFormatting sqref="M18">
    <cfRule type="expression" dxfId="69" priority="29">
      <formula>M18&gt;0</formula>
    </cfRule>
    <cfRule type="expression" dxfId="68" priority="30">
      <formula>M18&lt;0</formula>
    </cfRule>
  </conditionalFormatting>
  <conditionalFormatting sqref="M20">
    <cfRule type="expression" dxfId="67" priority="27">
      <formula>M20&gt;0</formula>
    </cfRule>
    <cfRule type="expression" dxfId="66" priority="28">
      <formula>M20&lt;0</formula>
    </cfRule>
  </conditionalFormatting>
  <conditionalFormatting sqref="M19">
    <cfRule type="expression" dxfId="65" priority="25">
      <formula>M19&gt;0</formula>
    </cfRule>
    <cfRule type="expression" dxfId="64" priority="26">
      <formula>M19&lt;0</formula>
    </cfRule>
  </conditionalFormatting>
  <conditionalFormatting sqref="M17">
    <cfRule type="expression" dxfId="63" priority="23">
      <formula>M17&gt;0</formula>
    </cfRule>
    <cfRule type="expression" dxfId="62" priority="24">
      <formula>M17&lt;0</formula>
    </cfRule>
  </conditionalFormatting>
  <conditionalFormatting sqref="P16">
    <cfRule type="expression" dxfId="61" priority="21">
      <formula>P16&gt;0</formula>
    </cfRule>
    <cfRule type="expression" dxfId="60" priority="22">
      <formula>P16&lt;0</formula>
    </cfRule>
  </conditionalFormatting>
  <conditionalFormatting sqref="P18">
    <cfRule type="expression" dxfId="59" priority="19">
      <formula>P18&gt;0</formula>
    </cfRule>
    <cfRule type="expression" dxfId="58" priority="20">
      <formula>P18&lt;0</formula>
    </cfRule>
  </conditionalFormatting>
  <conditionalFormatting sqref="P20">
    <cfRule type="expression" dxfId="57" priority="17">
      <formula>P20&gt;0</formula>
    </cfRule>
    <cfRule type="expression" dxfId="56" priority="18">
      <formula>P20&lt;0</formula>
    </cfRule>
  </conditionalFormatting>
  <conditionalFormatting sqref="P19">
    <cfRule type="expression" dxfId="55" priority="15">
      <formula>P19&gt;0</formula>
    </cfRule>
    <cfRule type="expression" dxfId="54" priority="16">
      <formula>P19&lt;0</formula>
    </cfRule>
  </conditionalFormatting>
  <conditionalFormatting sqref="P17">
    <cfRule type="expression" dxfId="53" priority="13">
      <formula>P17&gt;0</formula>
    </cfRule>
    <cfRule type="expression" dxfId="52" priority="14">
      <formula>P17&lt;0</formula>
    </cfRule>
  </conditionalFormatting>
  <conditionalFormatting sqref="P22">
    <cfRule type="expression" dxfId="51" priority="1">
      <formula>P22&lt;0</formula>
    </cfRule>
    <cfRule type="expression" dxfId="50" priority="2">
      <formula>P22&gt;0</formula>
    </cfRule>
  </conditionalFormatting>
  <dataValidations disablePrompts="1" count="1">
    <dataValidation type="list" allowBlank="1" showInputMessage="1" showErrorMessage="1" sqref="I9">
      <formula1>"1,2,3,4,5"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get_size">
                <anchor moveWithCells="1" sizeWithCells="1">
                  <from>
                    <xdr:col>3</xdr:col>
                    <xdr:colOff>142875</xdr:colOff>
                    <xdr:row>2</xdr:row>
                    <xdr:rowOff>47625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4">
    <tabColor theme="6" tint="-0.249977111117893"/>
  </sheetPr>
  <dimension ref="A1:R11"/>
  <sheetViews>
    <sheetView showGridLines="0" zoomScale="70" zoomScaleNormal="70" workbookViewId="0"/>
  </sheetViews>
  <sheetFormatPr baseColWidth="10" defaultRowHeight="15"/>
  <cols>
    <col min="5" max="5" width="9.5703125" style="3" customWidth="1"/>
    <col min="6" max="6" width="6.85546875" style="3" hidden="1" customWidth="1"/>
    <col min="7" max="7" width="35" style="3" customWidth="1"/>
    <col min="8" max="8" width="10.42578125" style="92" customWidth="1"/>
    <col min="9" max="9" width="93.85546875" style="3" customWidth="1"/>
    <col min="10" max="10" width="0.42578125" style="3" customWidth="1"/>
    <col min="11" max="11" width="11" style="3" customWidth="1"/>
    <col min="12" max="12" width="12.5703125" style="3" customWidth="1"/>
    <col min="13" max="13" width="17.140625" style="3" customWidth="1"/>
    <col min="14" max="14" width="0.42578125" style="3" customWidth="1"/>
    <col min="15" max="15" width="11" style="3" customWidth="1"/>
    <col min="16" max="16" width="13.140625" style="3" customWidth="1"/>
    <col min="17" max="17" width="17.140625" style="3" customWidth="1"/>
    <col min="18" max="18" width="4" style="3" customWidth="1"/>
  </cols>
  <sheetData>
    <row r="1" spans="1:18">
      <c r="A1" s="55" t="s">
        <v>1</v>
      </c>
      <c r="B1" s="54">
        <v>14</v>
      </c>
    </row>
    <row r="2" spans="1:18">
      <c r="A2" s="55" t="s">
        <v>2</v>
      </c>
      <c r="B2" s="54">
        <v>50</v>
      </c>
      <c r="R2" s="84"/>
    </row>
    <row r="3" spans="1:18">
      <c r="A3" s="55" t="s">
        <v>3</v>
      </c>
      <c r="B3" s="54">
        <v>30</v>
      </c>
      <c r="R3" s="84"/>
    </row>
    <row r="4" spans="1:18">
      <c r="A4" s="55" t="s">
        <v>4</v>
      </c>
      <c r="B4" s="54">
        <v>20</v>
      </c>
      <c r="C4" s="81">
        <v>519.75</v>
      </c>
      <c r="R4" s="84"/>
    </row>
    <row r="5" spans="1:18">
      <c r="A5" s="55" t="s">
        <v>5</v>
      </c>
      <c r="B5" s="54">
        <v>250</v>
      </c>
      <c r="C5" s="81">
        <v>783</v>
      </c>
      <c r="R5" s="84"/>
    </row>
    <row r="6" spans="1:18">
      <c r="R6" s="84"/>
    </row>
    <row r="7" spans="1:18">
      <c r="A7" s="55" t="s">
        <v>50</v>
      </c>
      <c r="B7" s="82">
        <f>B5/B4</f>
        <v>12.5</v>
      </c>
      <c r="C7" s="81">
        <f>C5/C4</f>
        <v>1.5064935064935066</v>
      </c>
      <c r="R7" s="84"/>
    </row>
    <row r="8" spans="1:18">
      <c r="G8" s="3" t="s">
        <v>64</v>
      </c>
      <c r="H8" s="93">
        <v>5</v>
      </c>
      <c r="R8" s="84"/>
    </row>
    <row r="9" spans="1:18">
      <c r="G9" s="3" t="s">
        <v>53</v>
      </c>
      <c r="H9" s="93">
        <f>IF(IDX_SORT="in variance (in %)",1,0)</f>
        <v>0</v>
      </c>
      <c r="R9" s="84"/>
    </row>
    <row r="10" spans="1:18">
      <c r="R10" s="84"/>
    </row>
    <row r="11" spans="1:18" ht="21" customHeight="1">
      <c r="E11" s="84"/>
      <c r="F11" s="84"/>
      <c r="G11" s="84"/>
      <c r="H11" s="85"/>
      <c r="I11" s="143" t="str">
        <f ca="1">IDX_MAN_ORG&amp;" - "&amp;IF($H$9=1,OFFSET(DATA_01!AQ24,$H$8,0),OFFSET(DATA_01!AP24,$H$8,0))</f>
        <v>NETH_BM01 - Noord Holland Noord</v>
      </c>
      <c r="J11" s="142"/>
      <c r="K11" s="142"/>
      <c r="L11" s="142"/>
      <c r="M11" s="142"/>
      <c r="N11" s="142"/>
      <c r="O11" s="142"/>
      <c r="P11" s="142"/>
      <c r="Q11" s="142"/>
      <c r="R11" s="84"/>
    </row>
  </sheetData>
  <conditionalFormatting sqref="B7">
    <cfRule type="expression" dxfId="49" priority="1" stopIfTrue="1">
      <formula>ROUND(ABS($B$7-$C$7),4)=0</formula>
    </cfRule>
    <cfRule type="expression" dxfId="48" priority="2">
      <formula>ROUND(ABS($B$7-$C$7),4)&lt;=0.2</formula>
    </cfRule>
    <cfRule type="expression" dxfId="47" priority="3">
      <formula>ROUND(ABS($B$7-$C$7),4)&gt;0.2</formula>
    </cfRule>
  </conditionalFormatting>
  <dataValidations count="1">
    <dataValidation type="list" allowBlank="1" showInputMessage="1" showErrorMessage="1" sqref="H8">
      <formula1>"1,2,3,4,5"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get_size">
                <anchor moveWithCells="1" sizeWithCells="1">
                  <from>
                    <xdr:col>3</xdr:col>
                    <xdr:colOff>142875</xdr:colOff>
                    <xdr:row>2</xdr:row>
                    <xdr:rowOff>47625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>
    <tabColor theme="6" tint="-0.249977111117893"/>
  </sheetPr>
  <dimension ref="A1:R23"/>
  <sheetViews>
    <sheetView showGridLines="0" zoomScale="70" zoomScaleNormal="70" workbookViewId="0">
      <selection activeCell="M8" sqref="M8"/>
    </sheetView>
  </sheetViews>
  <sheetFormatPr baseColWidth="10" defaultRowHeight="15"/>
  <cols>
    <col min="5" max="5" width="4" style="3" customWidth="1"/>
    <col min="6" max="6" width="6.85546875" style="3" hidden="1" customWidth="1"/>
    <col min="7" max="7" width="35" style="3" customWidth="1"/>
    <col min="8" max="8" width="0.42578125" style="92" customWidth="1"/>
    <col min="9" max="9" width="11" style="3" customWidth="1"/>
    <col min="10" max="10" width="0.42578125" style="3" customWidth="1"/>
    <col min="11" max="11" width="11" style="3" customWidth="1"/>
    <col min="12" max="12" width="12.5703125" style="3" customWidth="1"/>
    <col min="13" max="13" width="17.140625" style="3" customWidth="1"/>
    <col min="14" max="14" width="0.42578125" style="3" customWidth="1"/>
    <col min="15" max="15" width="11" style="3" customWidth="1"/>
    <col min="16" max="16" width="13.140625" style="3" customWidth="1"/>
    <col min="17" max="17" width="17.140625" style="3" customWidth="1"/>
    <col min="18" max="18" width="4" style="3" customWidth="1"/>
  </cols>
  <sheetData>
    <row r="1" spans="1:18">
      <c r="A1" s="55" t="s">
        <v>1</v>
      </c>
      <c r="B1" s="54">
        <v>14</v>
      </c>
    </row>
    <row r="2" spans="1:18">
      <c r="A2" s="55" t="s">
        <v>2</v>
      </c>
      <c r="B2" s="54">
        <v>84.7</v>
      </c>
      <c r="R2" s="84"/>
    </row>
    <row r="3" spans="1:18">
      <c r="A3" s="55" t="s">
        <v>3</v>
      </c>
      <c r="B3" s="54">
        <v>167</v>
      </c>
      <c r="R3" s="84"/>
    </row>
    <row r="4" spans="1:18">
      <c r="A4" s="55" t="s">
        <v>4</v>
      </c>
      <c r="B4" s="54">
        <v>231</v>
      </c>
      <c r="C4" s="81">
        <v>519.75</v>
      </c>
      <c r="R4" s="84"/>
    </row>
    <row r="5" spans="1:18">
      <c r="A5" s="55" t="s">
        <v>5</v>
      </c>
      <c r="B5" s="83">
        <f>B4*C7</f>
        <v>348</v>
      </c>
      <c r="C5" s="81">
        <v>783</v>
      </c>
      <c r="R5" s="84"/>
    </row>
    <row r="6" spans="1:18">
      <c r="R6" s="84"/>
    </row>
    <row r="7" spans="1:18">
      <c r="A7" s="55" t="s">
        <v>50</v>
      </c>
      <c r="B7" s="82">
        <f>B5/B4</f>
        <v>1.5064935064935066</v>
      </c>
      <c r="C7" s="81">
        <f>C5/C4</f>
        <v>1.5064935064935066</v>
      </c>
      <c r="R7" s="84"/>
    </row>
    <row r="8" spans="1:18">
      <c r="R8" s="84"/>
    </row>
    <row r="9" spans="1:18">
      <c r="G9" s="3" t="s">
        <v>64</v>
      </c>
      <c r="I9" s="93">
        <v>5</v>
      </c>
      <c r="R9" s="84"/>
    </row>
    <row r="10" spans="1:18">
      <c r="G10" s="3" t="s">
        <v>53</v>
      </c>
      <c r="I10" s="93">
        <f>IF(IDX_SORT="in variance (in %)",1,0)</f>
        <v>0</v>
      </c>
      <c r="R10" s="84"/>
    </row>
    <row r="11" spans="1:18" ht="21">
      <c r="E11" s="84"/>
      <c r="F11" s="84"/>
      <c r="G11" s="84"/>
      <c r="H11" s="85"/>
      <c r="I11" s="181"/>
      <c r="J11" s="181"/>
      <c r="K11" s="181"/>
      <c r="L11" s="181"/>
      <c r="M11" s="181"/>
      <c r="N11" s="181"/>
      <c r="O11" s="181"/>
      <c r="P11" s="181"/>
      <c r="Q11" s="181"/>
      <c r="R11" s="84"/>
    </row>
    <row r="12" spans="1:18" ht="21" customHeight="1" thickBot="1">
      <c r="E12" s="84"/>
      <c r="F12" s="84"/>
      <c r="G12" s="182"/>
      <c r="H12" s="182"/>
      <c r="I12" s="182"/>
      <c r="J12" s="84"/>
      <c r="K12" s="84"/>
      <c r="L12" s="84"/>
      <c r="M12" s="84"/>
      <c r="O12" s="84"/>
      <c r="P12" s="84"/>
      <c r="Q12" s="84"/>
      <c r="R12" s="84"/>
    </row>
    <row r="13" spans="1:18" ht="42.75" customHeight="1" thickTop="1" thickBot="1">
      <c r="E13" s="84"/>
      <c r="F13" s="203" t="str">
        <f ca="1">IF($I$10=1,OFFSET(DATA_01!AQ24,$I$9,0),OFFSET(DATA_01!AP24,$I$9,0))</f>
        <v>Noord Holland Noord</v>
      </c>
      <c r="G13" s="204"/>
      <c r="H13" s="204"/>
      <c r="I13" s="205"/>
      <c r="J13" s="118"/>
      <c r="K13" s="206" t="str">
        <f ca="1">IDX_PHASE&amp;" "&amp;IF(LEFT(IDX_PERIOD,4)="F_YE",RIGHT(IDX_PERIOD,4),LEFT(IDX_PERIOD,4))&amp;" Versus "&amp;IDX_PHASE_COMP1&amp;" "&amp;IDX_PERIOD_COMP_N_1</f>
        <v>Actual 2016 Versus Budget N</v>
      </c>
      <c r="L13" s="207"/>
      <c r="M13" s="208"/>
      <c r="N13" s="119"/>
      <c r="O13" s="206" t="str">
        <f ca="1">IDX_PHASE&amp;" "&amp;IF(LEFT(IDX_PERIOD,4)="F_YE",RIGHT(IDX_PERIOD,4),LEFT(IDX_PERIOD,4))&amp;" Versus "&amp;IDX_PHASE_COMP2&amp;" "&amp;IDX_PERIOD_COMP_N_2</f>
        <v>Actual 2016 Versus Actual N-1</v>
      </c>
      <c r="P13" s="207"/>
      <c r="Q13" s="208"/>
      <c r="R13" s="84"/>
    </row>
    <row r="14" spans="1:18" ht="22.5" customHeight="1" thickTop="1">
      <c r="E14" s="84"/>
      <c r="F14" s="187" t="str">
        <f ca="1">IDX_PERIOD</f>
        <v>2016.08_YTD</v>
      </c>
      <c r="G14" s="188"/>
      <c r="H14" s="120"/>
      <c r="I14" s="128" t="str">
        <f ca="1">_xll.DBRA(Server&amp;"Phase","ACT_TOT",IDX_LANG)</f>
        <v>Actual</v>
      </c>
      <c r="J14" s="121"/>
      <c r="K14" s="133" t="str">
        <f ca="1">IDX_PHASE_COMP1&amp;" "&amp;IDX_PERIOD_COMP_N_1</f>
        <v>Budget N</v>
      </c>
      <c r="L14" s="185" t="s">
        <v>35</v>
      </c>
      <c r="M14" s="186"/>
      <c r="N14" s="122"/>
      <c r="O14" s="133" t="str">
        <f ca="1">IDX_PHASE_COMP2&amp;" "&amp;IDX_PERIOD_COMP_N_2</f>
        <v>Actual N-1</v>
      </c>
      <c r="P14" s="185" t="s">
        <v>35</v>
      </c>
      <c r="Q14" s="186"/>
    </row>
    <row r="15" spans="1:18" ht="19.5" customHeight="1" thickBot="1">
      <c r="E15" s="84"/>
      <c r="F15" s="189"/>
      <c r="G15" s="190"/>
      <c r="H15" s="123"/>
      <c r="I15" s="129" t="s">
        <v>51</v>
      </c>
      <c r="J15" s="125"/>
      <c r="K15" s="134" t="s">
        <v>51</v>
      </c>
      <c r="L15" s="124" t="s">
        <v>52</v>
      </c>
      <c r="M15" s="135" t="str">
        <f>IDX_CURRENCY</f>
        <v>LCL</v>
      </c>
      <c r="N15" s="126"/>
      <c r="O15" s="134" t="s">
        <v>51</v>
      </c>
      <c r="P15" s="124" t="s">
        <v>52</v>
      </c>
      <c r="Q15" s="135" t="str">
        <f>M15</f>
        <v>LCL</v>
      </c>
    </row>
    <row r="16" spans="1:18" ht="37.5" customHeight="1" thickTop="1" thickBot="1">
      <c r="E16" s="84"/>
      <c r="F16" s="197" t="str">
        <f>IF(IDX_LANG="English","D - Driving","D - Conduite")</f>
        <v>D - Driving</v>
      </c>
      <c r="G16" s="198"/>
      <c r="H16" s="110"/>
      <c r="I16" s="86">
        <f ca="1">VLOOKUP($F$13,DATA_01!$B$35:$CP$1038,4,0)</f>
        <v>0.52626939582679233</v>
      </c>
      <c r="J16" s="131"/>
      <c r="K16" s="87">
        <f ca="1">VLOOKUP($F$13,DATA_01!$B$35:$CP$1038,18,0)</f>
        <v>0.51795453695462634</v>
      </c>
      <c r="L16" s="101">
        <f ca="1">(K16-I16)*100</f>
        <v>-0.83148588721659866</v>
      </c>
      <c r="M16" s="136">
        <f ca="1">VLOOKUP($F$13,DATA_01!$B$35:$CP$1038,73,0)</f>
        <v>-172002.29679411091</v>
      </c>
      <c r="N16" s="102"/>
      <c r="O16" s="87">
        <f ca="1">VLOOKUP($F$13,DATA_01!$B$35:$CP$1038,46,0)</f>
        <v>0.54558879605952959</v>
      </c>
      <c r="P16" s="101">
        <f ca="1">IFERROR((O16-I16)*100,0)</f>
        <v>1.931940023273726</v>
      </c>
      <c r="Q16" s="136">
        <f ca="1">VLOOKUP($F$13,DATA_01!$B$35:$CP$1038,84,0)</f>
        <v>399643.72983396985</v>
      </c>
    </row>
    <row r="17" spans="5:17" ht="37.5" customHeight="1" thickTop="1" thickBot="1">
      <c r="E17" s="84"/>
      <c r="F17" s="199" t="str">
        <f>IF(IDX_LANG="English","M - Maintenance","M - Maintenance")</f>
        <v>M - Maintenance</v>
      </c>
      <c r="G17" s="200"/>
      <c r="H17" s="88"/>
      <c r="I17" s="103">
        <f ca="1">VLOOKUP($F$13,DATA_01!$B$35:$CP$1038,6,0)</f>
        <v>7.4816265439669766E-2</v>
      </c>
      <c r="J17" s="132"/>
      <c r="K17" s="104">
        <f ca="1">VLOOKUP($F$13,DATA_01!$B$35:$CP$1038,20,0)</f>
        <v>8.6295998655073147E-2</v>
      </c>
      <c r="L17" s="105">
        <f ca="1">(K17-I17)*100</f>
        <v>1.1479733215403383</v>
      </c>
      <c r="M17" s="137">
        <f ca="1">VLOOKUP($F$13,DATA_01!$B$35:$CP$1038,75,0)</f>
        <v>237471.31610890105</v>
      </c>
      <c r="N17" s="89"/>
      <c r="O17" s="104">
        <f ca="1">VLOOKUP($F$13,DATA_01!$B$35:$CP$1038,48,0)</f>
        <v>7.6120547575849129E-2</v>
      </c>
      <c r="P17" s="105">
        <f ca="1">IFERROR((O17-I17)*100,0)</f>
        <v>0.13042821361793633</v>
      </c>
      <c r="Q17" s="137">
        <f ca="1">VLOOKUP($F$13,DATA_01!$B$35:$CP$1038,86,0)</f>
        <v>26980.556920978706</v>
      </c>
    </row>
    <row r="18" spans="5:17" ht="37.5" customHeight="1" thickTop="1" thickBot="1">
      <c r="E18" s="84"/>
      <c r="F18" s="197" t="str">
        <f>IF(IDX_LANG="English","E - Energy","E - Energie")</f>
        <v>E - Energy</v>
      </c>
      <c r="G18" s="198"/>
      <c r="H18" s="110"/>
      <c r="I18" s="86">
        <f ca="1">VLOOKUP($F$13,DATA_01!$B$35:$CP$1038,8,0)</f>
        <v>9.3709661025017432E-2</v>
      </c>
      <c r="J18" s="131"/>
      <c r="K18" s="87">
        <f ca="1">VLOOKUP($F$13,DATA_01!$B$35:$CP$1038,22,0)</f>
        <v>9.5406069587185199E-2</v>
      </c>
      <c r="L18" s="101">
        <f ca="1">(K18-I18)*100</f>
        <v>0.16964085621677671</v>
      </c>
      <c r="M18" s="136">
        <f ca="1">VLOOKUP($F$13,DATA_01!$B$35:$CP$1038,77,0)</f>
        <v>35092.137278578011</v>
      </c>
      <c r="N18" s="102"/>
      <c r="O18" s="87">
        <f ca="1">VLOOKUP($F$13,DATA_01!$B$35:$CP$1038,50,0)</f>
        <v>0.1147496449178803</v>
      </c>
      <c r="P18" s="101">
        <f ca="1">IFERROR((O18-I18)*100,0)</f>
        <v>2.1039983892862866</v>
      </c>
      <c r="Q18" s="136">
        <f ca="1">VLOOKUP($F$13,DATA_01!$B$35:$CP$1038,88,0)</f>
        <v>435235.95646317978</v>
      </c>
    </row>
    <row r="19" spans="5:17" ht="37.5" customHeight="1" thickTop="1" thickBot="1">
      <c r="E19" s="84"/>
      <c r="F19" s="199" t="str">
        <f>IF(IDX_LANG="English","F - Fleet","F - Flotte")</f>
        <v>F - Fleet</v>
      </c>
      <c r="G19" s="200"/>
      <c r="H19" s="88"/>
      <c r="I19" s="103">
        <f ca="1">VLOOKUP($F$13,DATA_01!$B$35:$CP$1038,10,0)</f>
        <v>3.4513649592540808E-2</v>
      </c>
      <c r="J19" s="132"/>
      <c r="K19" s="104">
        <f ca="1">VLOOKUP($F$13,DATA_01!$B$35:$CP$1038,24,0)</f>
        <v>3.1208903119917954E-2</v>
      </c>
      <c r="L19" s="105">
        <f ca="1">(K19-I19)*100</f>
        <v>-0.33047464726228548</v>
      </c>
      <c r="M19" s="137">
        <f ca="1">VLOOKUP($F$13,DATA_01!$B$35:$CP$1038,79,0)</f>
        <v>-68362.43312753865</v>
      </c>
      <c r="N19" s="89"/>
      <c r="O19" s="104">
        <f ca="1">VLOOKUP($F$13,DATA_01!$B$35:$CP$1038,52,0)</f>
        <v>4.2475074726657104E-2</v>
      </c>
      <c r="P19" s="105">
        <f ca="1">IFERROR((O19-I19)*100,0)</f>
        <v>0.79614251341162956</v>
      </c>
      <c r="Q19" s="137">
        <f ca="1">VLOOKUP($F$13,DATA_01!$B$35:$CP$1038,90,0)</f>
        <v>164691.1186197499</v>
      </c>
    </row>
    <row r="20" spans="5:17" ht="37.5" customHeight="1" thickTop="1" thickBot="1">
      <c r="E20" s="84"/>
      <c r="F20" s="197" t="str">
        <f>IF(IDX_LANG="English","O - Others","O - Autres")</f>
        <v>O - Others</v>
      </c>
      <c r="G20" s="198"/>
      <c r="H20" s="110"/>
      <c r="I20" s="86">
        <f ca="1">VLOOKUP($F$13,DATA_01!$B$35:$CP$1038,12,0)</f>
        <v>0.13432566261878831</v>
      </c>
      <c r="J20" s="131"/>
      <c r="K20" s="87">
        <f ca="1">VLOOKUP($F$13,DATA_01!$B$35:$CP$1038,26,0)</f>
        <v>0.13992975151744907</v>
      </c>
      <c r="L20" s="101">
        <f ca="1">(K20-I20)*100</f>
        <v>0.5604088898660764</v>
      </c>
      <c r="M20" s="136">
        <f ca="1">VLOOKUP($F$13,DATA_01!$B$35:$CP$1038,81,0)</f>
        <v>115926.94197549718</v>
      </c>
      <c r="N20" s="102"/>
      <c r="O20" s="87">
        <f ca="1">VLOOKUP($F$13,DATA_01!$B$35:$CP$1038,54,0)</f>
        <v>0.14366066015157075</v>
      </c>
      <c r="P20" s="101">
        <f ca="1">IFERROR((O20-I20)*100,0)</f>
        <v>0.93349975327824408</v>
      </c>
      <c r="Q20" s="136">
        <f ca="1">VLOOKUP($F$13,DATA_01!$B$35:$CP$1038,92,0)</f>
        <v>193105.02329520369</v>
      </c>
    </row>
    <row r="21" spans="5:17" ht="6.75" customHeight="1" thickTop="1" thickBot="1">
      <c r="E21" s="84"/>
      <c r="F21" s="90"/>
      <c r="G21" s="127"/>
      <c r="H21" s="106"/>
      <c r="I21" s="127"/>
      <c r="J21" s="107"/>
      <c r="K21" s="138"/>
      <c r="L21" s="108"/>
      <c r="M21" s="139"/>
      <c r="N21" s="109"/>
      <c r="O21" s="138"/>
      <c r="P21" s="108"/>
      <c r="Q21" s="139"/>
    </row>
    <row r="22" spans="5:17" ht="37.5" customHeight="1" thickTop="1" thickBot="1">
      <c r="E22" s="84"/>
      <c r="F22" s="201" t="str">
        <f>IF(IDX_LANG="English","GROSS MARGIN","MARGE BRUTE")</f>
        <v>GROSS MARGIN</v>
      </c>
      <c r="G22" s="202"/>
      <c r="H22" s="91"/>
      <c r="I22" s="99">
        <f ca="1">1-SUM(I16:I20)</f>
        <v>0.13636536549719136</v>
      </c>
      <c r="J22" s="117"/>
      <c r="K22" s="100">
        <f ca="1">1-SUM(K16:K20)</f>
        <v>0.12920474016574834</v>
      </c>
      <c r="L22" s="183">
        <f ca="1">(I22-K22)*100</f>
        <v>0.71606253314430157</v>
      </c>
      <c r="M22" s="184"/>
      <c r="N22" s="102"/>
      <c r="O22" s="100">
        <f ca="1">1-SUM(O16:O20)</f>
        <v>7.7405276568513148E-2</v>
      </c>
      <c r="P22" s="183">
        <f ca="1">(I22-O22)*100</f>
        <v>5.8960088928678207</v>
      </c>
      <c r="Q22" s="184"/>
    </row>
    <row r="23" spans="5:17" ht="15.75" thickTop="1"/>
  </sheetData>
  <mergeCells count="16">
    <mergeCell ref="L22:M22"/>
    <mergeCell ref="P22:Q22"/>
    <mergeCell ref="F16:G16"/>
    <mergeCell ref="F17:G17"/>
    <mergeCell ref="F18:G18"/>
    <mergeCell ref="F19:G19"/>
    <mergeCell ref="F20:G20"/>
    <mergeCell ref="F22:G22"/>
    <mergeCell ref="F14:G15"/>
    <mergeCell ref="L14:M14"/>
    <mergeCell ref="P14:Q14"/>
    <mergeCell ref="I11:Q11"/>
    <mergeCell ref="G12:I12"/>
    <mergeCell ref="F13:I13"/>
    <mergeCell ref="K13:M13"/>
    <mergeCell ref="O13:Q13"/>
  </mergeCells>
  <conditionalFormatting sqref="B7">
    <cfRule type="expression" dxfId="46" priority="45" stopIfTrue="1">
      <formula>ROUND(ABS($B$7-$C$7),4)=0</formula>
    </cfRule>
    <cfRule type="expression" dxfId="45" priority="46">
      <formula>ROUND(ABS($B$7-$C$7),4)&lt;=0.2</formula>
    </cfRule>
    <cfRule type="expression" dxfId="44" priority="47">
      <formula>ROUND(ABS($B$7-$C$7),4)&gt;0.2</formula>
    </cfRule>
  </conditionalFormatting>
  <conditionalFormatting sqref="L16">
    <cfRule type="expression" dxfId="43" priority="9">
      <formula>L16&gt;0</formula>
    </cfRule>
    <cfRule type="expression" dxfId="42" priority="10">
      <formula>L16&lt;0</formula>
    </cfRule>
  </conditionalFormatting>
  <conditionalFormatting sqref="L18">
    <cfRule type="expression" dxfId="41" priority="7">
      <formula>L18&gt;0</formula>
    </cfRule>
    <cfRule type="expression" dxfId="40" priority="8">
      <formula>L18&lt;0</formula>
    </cfRule>
  </conditionalFormatting>
  <conditionalFormatting sqref="L20">
    <cfRule type="expression" dxfId="39" priority="5">
      <formula>L20&gt;0</formula>
    </cfRule>
    <cfRule type="expression" dxfId="38" priority="6">
      <formula>L20&lt;0</formula>
    </cfRule>
  </conditionalFormatting>
  <conditionalFormatting sqref="L19">
    <cfRule type="expression" dxfId="37" priority="3">
      <formula>L19&gt;0</formula>
    </cfRule>
    <cfRule type="expression" dxfId="36" priority="4">
      <formula>L19&lt;0</formula>
    </cfRule>
  </conditionalFormatting>
  <conditionalFormatting sqref="L17">
    <cfRule type="expression" dxfId="35" priority="1">
      <formula>L17&gt;0</formula>
    </cfRule>
    <cfRule type="expression" dxfId="34" priority="2">
      <formula>L17&lt;0</formula>
    </cfRule>
  </conditionalFormatting>
  <conditionalFormatting sqref="L22">
    <cfRule type="expression" dxfId="33" priority="43">
      <formula>L22&lt;0</formula>
    </cfRule>
    <cfRule type="expression" dxfId="32" priority="44">
      <formula>L22&gt;0</formula>
    </cfRule>
  </conditionalFormatting>
  <conditionalFormatting sqref="P22">
    <cfRule type="expression" dxfId="31" priority="41">
      <formula>P22&lt;0</formula>
    </cfRule>
    <cfRule type="expression" dxfId="30" priority="42">
      <formula>P22&gt;0</formula>
    </cfRule>
  </conditionalFormatting>
  <conditionalFormatting sqref="M16">
    <cfRule type="expression" dxfId="29" priority="29">
      <formula>M16&gt;0</formula>
    </cfRule>
    <cfRule type="expression" dxfId="28" priority="30">
      <formula>M16&lt;0</formula>
    </cfRule>
  </conditionalFormatting>
  <conditionalFormatting sqref="Q16">
    <cfRule type="expression" dxfId="27" priority="39">
      <formula>Q16&gt;0</formula>
    </cfRule>
    <cfRule type="expression" dxfId="26" priority="40">
      <formula>Q16&lt;0</formula>
    </cfRule>
  </conditionalFormatting>
  <conditionalFormatting sqref="Q18">
    <cfRule type="expression" dxfId="25" priority="37">
      <formula>Q18&gt;0</formula>
    </cfRule>
    <cfRule type="expression" dxfId="24" priority="38">
      <formula>Q18&lt;0</formula>
    </cfRule>
  </conditionalFormatting>
  <conditionalFormatting sqref="Q20">
    <cfRule type="expression" dxfId="23" priority="35">
      <formula>Q20&gt;0</formula>
    </cfRule>
    <cfRule type="expression" dxfId="22" priority="36">
      <formula>Q20&lt;0</formula>
    </cfRule>
  </conditionalFormatting>
  <conditionalFormatting sqref="Q19">
    <cfRule type="expression" dxfId="21" priority="33">
      <formula>Q19&gt;0</formula>
    </cfRule>
    <cfRule type="expression" dxfId="20" priority="34">
      <formula>Q19&lt;0</formula>
    </cfRule>
  </conditionalFormatting>
  <conditionalFormatting sqref="Q17">
    <cfRule type="expression" dxfId="19" priority="31">
      <formula>Q17&gt;0</formula>
    </cfRule>
    <cfRule type="expression" dxfId="18" priority="32">
      <formula>Q17&lt;0</formula>
    </cfRule>
  </conditionalFormatting>
  <conditionalFormatting sqref="M18">
    <cfRule type="expression" dxfId="17" priority="27">
      <formula>M18&gt;0</formula>
    </cfRule>
    <cfRule type="expression" dxfId="16" priority="28">
      <formula>M18&lt;0</formula>
    </cfRule>
  </conditionalFormatting>
  <conditionalFormatting sqref="M20">
    <cfRule type="expression" dxfId="15" priority="25">
      <formula>M20&gt;0</formula>
    </cfRule>
    <cfRule type="expression" dxfId="14" priority="26">
      <formula>M20&lt;0</formula>
    </cfRule>
  </conditionalFormatting>
  <conditionalFormatting sqref="M19">
    <cfRule type="expression" dxfId="13" priority="23">
      <formula>M19&gt;0</formula>
    </cfRule>
    <cfRule type="expression" dxfId="12" priority="24">
      <formula>M19&lt;0</formula>
    </cfRule>
  </conditionalFormatting>
  <conditionalFormatting sqref="M17">
    <cfRule type="expression" dxfId="11" priority="21">
      <formula>M17&gt;0</formula>
    </cfRule>
    <cfRule type="expression" dxfId="10" priority="22">
      <formula>M17&lt;0</formula>
    </cfRule>
  </conditionalFormatting>
  <conditionalFormatting sqref="P16">
    <cfRule type="expression" dxfId="9" priority="19">
      <formula>P16&gt;0</formula>
    </cfRule>
    <cfRule type="expression" dxfId="8" priority="20">
      <formula>P16&lt;0</formula>
    </cfRule>
  </conditionalFormatting>
  <conditionalFormatting sqref="P18">
    <cfRule type="expression" dxfId="7" priority="17">
      <formula>P18&gt;0</formula>
    </cfRule>
    <cfRule type="expression" dxfId="6" priority="18">
      <formula>P18&lt;0</formula>
    </cfRule>
  </conditionalFormatting>
  <conditionalFormatting sqref="P20">
    <cfRule type="expression" dxfId="5" priority="15">
      <formula>P20&gt;0</formula>
    </cfRule>
    <cfRule type="expression" dxfId="4" priority="16">
      <formula>P20&lt;0</formula>
    </cfRule>
  </conditionalFormatting>
  <conditionalFormatting sqref="P19">
    <cfRule type="expression" dxfId="3" priority="13">
      <formula>P19&gt;0</formula>
    </cfRule>
    <cfRule type="expression" dxfId="2" priority="14">
      <formula>P19&lt;0</formula>
    </cfRule>
  </conditionalFormatting>
  <conditionalFormatting sqref="P17">
    <cfRule type="expression" dxfId="1" priority="11">
      <formula>P17&gt;0</formula>
    </cfRule>
    <cfRule type="expression" dxfId="0" priority="12">
      <formula>P17&lt;0</formula>
    </cfRule>
  </conditionalFormatting>
  <dataValidations count="1">
    <dataValidation type="list" allowBlank="1" showInputMessage="1" showErrorMessage="1" sqref="I9">
      <formula1>"1,2,3,4,5"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get_size">
                <anchor moveWithCells="1" sizeWithCells="1">
                  <from>
                    <xdr:col>3</xdr:col>
                    <xdr:colOff>142875</xdr:colOff>
                    <xdr:row>2</xdr:row>
                    <xdr:rowOff>47625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2:DH50"/>
  <sheetViews>
    <sheetView topLeftCell="AN16" zoomScale="70" zoomScaleNormal="70" workbookViewId="0">
      <selection activeCell="B50" sqref="B50"/>
    </sheetView>
  </sheetViews>
  <sheetFormatPr baseColWidth="10" defaultRowHeight="15" outlineLevelRow="1" outlineLevelCol="1"/>
  <cols>
    <col min="1" max="1" width="13.7109375" customWidth="1"/>
    <col min="2" max="2" width="36.42578125" bestFit="1" customWidth="1"/>
    <col min="3" max="3" width="18.85546875" customWidth="1" outlineLevel="1"/>
    <col min="4" max="15" width="14.7109375" customWidth="1" outlineLevel="1"/>
    <col min="16" max="16" width="14.7109375" customWidth="1"/>
    <col min="17" max="29" width="14.7109375" customWidth="1" outlineLevel="1"/>
    <col min="30" max="30" width="14.7109375" customWidth="1"/>
    <col min="31" max="43" width="14.7109375" customWidth="1" outlineLevel="1"/>
    <col min="44" max="44" width="14.7109375" customWidth="1"/>
    <col min="45" max="57" width="14.7109375" customWidth="1" outlineLevel="1"/>
    <col min="58" max="58" width="14.7109375" customWidth="1"/>
    <col min="59" max="71" width="14.7109375" customWidth="1" outlineLevel="1"/>
    <col min="72" max="72" width="14.7109375" customWidth="1"/>
    <col min="74" max="75" width="16.42578125" bestFit="1" customWidth="1" outlineLevel="1"/>
    <col min="76" max="83" width="11.42578125" outlineLevel="1"/>
    <col min="85" max="86" width="11.42578125" outlineLevel="1"/>
    <col min="87" max="87" width="15.85546875" bestFit="1" customWidth="1" outlineLevel="1"/>
    <col min="88" max="94" width="11.42578125" outlineLevel="1"/>
  </cols>
  <sheetData>
    <row r="2" spans="1:112" ht="23.25">
      <c r="P2" s="78" t="s">
        <v>36</v>
      </c>
      <c r="Q2" s="211" t="s">
        <v>37</v>
      </c>
      <c r="R2" s="211"/>
      <c r="S2" s="211"/>
      <c r="T2" s="211"/>
      <c r="U2" s="211"/>
      <c r="V2" s="211"/>
      <c r="W2" s="211"/>
      <c r="X2" s="211"/>
      <c r="Y2" s="211"/>
      <c r="Z2" s="211"/>
      <c r="AA2" s="211"/>
      <c r="AB2" s="211"/>
      <c r="AC2" s="211"/>
      <c r="AD2" s="78" t="s">
        <v>37</v>
      </c>
      <c r="AE2" s="211" t="s">
        <v>38</v>
      </c>
      <c r="AF2" s="211"/>
      <c r="AG2" s="211"/>
      <c r="AH2" s="211"/>
      <c r="AI2" s="211"/>
      <c r="AJ2" s="211"/>
      <c r="AK2" s="211"/>
      <c r="AL2" s="211"/>
      <c r="AM2" s="211"/>
      <c r="AN2" s="211"/>
      <c r="AO2" s="211"/>
      <c r="AP2" s="211"/>
      <c r="AQ2" s="211"/>
      <c r="AR2" s="78" t="s">
        <v>41</v>
      </c>
      <c r="AS2" s="211" t="s">
        <v>39</v>
      </c>
      <c r="AT2" s="211"/>
      <c r="AU2" s="211"/>
      <c r="AV2" s="211"/>
      <c r="AW2" s="211"/>
      <c r="AX2" s="211"/>
      <c r="AY2" s="211"/>
      <c r="AZ2" s="211"/>
      <c r="BA2" s="211"/>
      <c r="BB2" s="211"/>
      <c r="BC2" s="211"/>
      <c r="BD2" s="211"/>
      <c r="BE2" s="211"/>
      <c r="BF2" s="78" t="s">
        <v>39</v>
      </c>
      <c r="BG2" s="211" t="s">
        <v>40</v>
      </c>
      <c r="BH2" s="211"/>
      <c r="BI2" s="211"/>
      <c r="BJ2" s="211"/>
      <c r="BK2" s="211"/>
      <c r="BL2" s="211"/>
      <c r="BM2" s="211"/>
      <c r="BN2" s="211"/>
      <c r="BO2" s="211"/>
      <c r="BP2" s="211"/>
      <c r="BQ2" s="211"/>
      <c r="BR2" s="211"/>
      <c r="BS2" s="211"/>
      <c r="BT2" s="78" t="s">
        <v>42</v>
      </c>
    </row>
    <row r="3" spans="1:112">
      <c r="A3" t="s">
        <v>13</v>
      </c>
    </row>
    <row r="4" spans="1:112">
      <c r="A4" t="s">
        <v>12</v>
      </c>
      <c r="B4" s="97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97"/>
      <c r="AG4" s="97"/>
      <c r="AH4" s="97"/>
      <c r="AI4" s="97"/>
      <c r="AJ4" s="97"/>
      <c r="AK4" s="97"/>
      <c r="AL4" s="97"/>
      <c r="AM4" s="97"/>
      <c r="AN4" s="97"/>
      <c r="AO4" s="97"/>
      <c r="AP4" s="97"/>
      <c r="AQ4" s="97"/>
      <c r="AR4" s="97"/>
      <c r="AS4" s="97"/>
      <c r="AT4" s="97"/>
      <c r="AU4" s="97"/>
      <c r="AV4" s="97"/>
      <c r="AW4" s="97"/>
      <c r="AX4" s="97"/>
      <c r="AY4" s="97"/>
      <c r="AZ4" s="97"/>
      <c r="BA4" s="97"/>
      <c r="BB4" s="97"/>
      <c r="BC4" s="97"/>
      <c r="BD4" s="97"/>
      <c r="BE4" s="97"/>
      <c r="BF4" s="97"/>
      <c r="BG4" s="97"/>
      <c r="BH4" s="97"/>
      <c r="BI4" s="97"/>
      <c r="BJ4" s="97"/>
      <c r="BK4" s="97"/>
      <c r="BL4" s="97"/>
      <c r="BM4" s="97"/>
      <c r="BN4" s="97"/>
      <c r="BO4" s="97"/>
      <c r="BP4" s="97"/>
      <c r="BQ4" s="97"/>
      <c r="BR4" s="97"/>
      <c r="BS4" s="97"/>
      <c r="BT4" s="97"/>
      <c r="BU4" s="97"/>
      <c r="BV4" s="97"/>
      <c r="BW4" s="97"/>
      <c r="BX4" s="97"/>
      <c r="BY4" s="97"/>
      <c r="BZ4" s="97"/>
      <c r="CA4" s="97"/>
      <c r="CB4" s="97"/>
      <c r="CC4" s="97"/>
      <c r="CD4" s="97"/>
      <c r="CE4" s="97"/>
      <c r="CF4" s="97"/>
      <c r="CG4" s="97"/>
      <c r="CH4" s="97"/>
      <c r="CI4" s="97"/>
      <c r="CJ4" s="97"/>
      <c r="CK4" s="97"/>
      <c r="CL4" s="97"/>
      <c r="CM4" s="97"/>
      <c r="CN4" s="97"/>
      <c r="CO4" s="97"/>
      <c r="CP4" s="97"/>
      <c r="CQ4" s="97"/>
      <c r="CR4" s="97"/>
      <c r="CS4" s="97"/>
      <c r="CT4" s="97"/>
      <c r="CU4" s="97"/>
      <c r="CV4" s="97"/>
      <c r="CW4" s="97"/>
      <c r="CX4" s="97"/>
      <c r="CY4" s="97"/>
      <c r="CZ4" s="97"/>
      <c r="DA4" s="97"/>
      <c r="DB4" s="97"/>
      <c r="DC4" s="97"/>
      <c r="DD4" s="97"/>
      <c r="DE4" s="97"/>
      <c r="DF4" s="97"/>
      <c r="DG4" s="97"/>
      <c r="DH4" s="97"/>
    </row>
    <row r="5" spans="1:112">
      <c r="A5" t="s">
        <v>14</v>
      </c>
    </row>
    <row r="6" spans="1:112">
      <c r="B6" t="str">
        <f ca="1">_xll.TM1RPTVIEW(Server&amp;"REPORT_PL:1", 1, _xll.TM1RPTTITLE(Server&amp;"Activity",$C$9), _xll.TM1RPTTITLE(Server&amp;"Currency",$C$10), _xll.TM1RPTTITLE(Server&amp;"Gaap",$C$11), _xll.TM1RPTTITLE(Server&amp;"Integration_Rate",$C$12), _xll.TM1RPTTITLE(Server&amp;"Legal_Organization",$C$13),TM1RPTFMTRNG,TM1RPTFMTIDCOL)</f>
        <v>tango_core_model:REPORT_PL:1</v>
      </c>
    </row>
    <row r="8" spans="1:112">
      <c r="B8" s="16" t="s">
        <v>25</v>
      </c>
    </row>
    <row r="9" spans="1:112">
      <c r="B9" s="16" t="s">
        <v>10</v>
      </c>
      <c r="C9" t="str">
        <f ca="1">IDX_ACTIVITY</f>
        <v>PMM Transit activities</v>
      </c>
    </row>
    <row r="10" spans="1:112">
      <c r="B10" s="16" t="s">
        <v>6</v>
      </c>
      <c r="C10" t="str">
        <f>IDX_CURRENCY</f>
        <v>LCL</v>
      </c>
    </row>
    <row r="11" spans="1:112">
      <c r="B11" s="16" t="s">
        <v>7</v>
      </c>
      <c r="C11" t="str">
        <f ca="1">_xll.SUBNM(Server&amp;"Gaap","","Local_Gaap_Mgmt_tool")</f>
        <v>Local_Gaap_Mgmt_tool</v>
      </c>
      <c r="E11" s="59"/>
    </row>
    <row r="12" spans="1:112">
      <c r="B12" s="16" t="s">
        <v>8</v>
      </c>
      <c r="C12" t="str">
        <f ca="1">_xll.SUBNM(Server&amp;"Integration_Rate","","NO_APP")</f>
        <v>NO_APP</v>
      </c>
      <c r="E12" s="59"/>
    </row>
    <row r="13" spans="1:112">
      <c r="B13" s="16" t="s">
        <v>9</v>
      </c>
      <c r="C13" t="str">
        <f ca="1">_xll.DBR(Server&amp;"z_Client_Properties","Default_Legal_Organization",_xll.TM1USER(xServer))</f>
        <v>VTD_corp</v>
      </c>
    </row>
    <row r="14" spans="1:112">
      <c r="B14" s="16" t="s">
        <v>26</v>
      </c>
    </row>
    <row r="15" spans="1:112" outlineLevel="1">
      <c r="B15">
        <v>1</v>
      </c>
      <c r="C15">
        <v>2</v>
      </c>
      <c r="D15">
        <v>3</v>
      </c>
      <c r="E15">
        <v>4</v>
      </c>
      <c r="F15">
        <v>5</v>
      </c>
      <c r="G15">
        <v>6</v>
      </c>
      <c r="H15">
        <v>7</v>
      </c>
      <c r="I15">
        <v>8</v>
      </c>
      <c r="J15">
        <v>9</v>
      </c>
      <c r="K15">
        <v>10</v>
      </c>
      <c r="L15">
        <v>11</v>
      </c>
      <c r="M15">
        <v>12</v>
      </c>
      <c r="N15">
        <v>13</v>
      </c>
      <c r="O15">
        <v>14</v>
      </c>
      <c r="P15">
        <v>15</v>
      </c>
      <c r="Q15">
        <v>16</v>
      </c>
      <c r="R15">
        <v>17</v>
      </c>
      <c r="S15">
        <v>18</v>
      </c>
      <c r="T15">
        <v>19</v>
      </c>
      <c r="U15">
        <v>20</v>
      </c>
      <c r="V15">
        <v>21</v>
      </c>
      <c r="W15">
        <v>22</v>
      </c>
      <c r="X15">
        <v>23</v>
      </c>
      <c r="Y15">
        <v>24</v>
      </c>
      <c r="Z15">
        <v>25</v>
      </c>
      <c r="AA15">
        <v>26</v>
      </c>
      <c r="AB15">
        <v>27</v>
      </c>
      <c r="AC15">
        <v>28</v>
      </c>
      <c r="AD15">
        <v>29</v>
      </c>
      <c r="AE15">
        <v>30</v>
      </c>
      <c r="AF15">
        <v>31</v>
      </c>
      <c r="AG15">
        <v>32</v>
      </c>
      <c r="AH15">
        <v>33</v>
      </c>
      <c r="AI15">
        <v>34</v>
      </c>
      <c r="AJ15">
        <v>35</v>
      </c>
      <c r="AK15">
        <v>36</v>
      </c>
      <c r="AL15">
        <v>37</v>
      </c>
      <c r="AM15">
        <v>38</v>
      </c>
      <c r="AN15">
        <v>39</v>
      </c>
      <c r="AO15">
        <v>40</v>
      </c>
      <c r="AP15">
        <v>41</v>
      </c>
      <c r="AQ15">
        <v>42</v>
      </c>
      <c r="AR15">
        <v>43</v>
      </c>
      <c r="AS15">
        <v>44</v>
      </c>
      <c r="AT15">
        <v>45</v>
      </c>
      <c r="AU15">
        <v>46</v>
      </c>
      <c r="AV15">
        <v>47</v>
      </c>
      <c r="AW15">
        <v>48</v>
      </c>
      <c r="AX15">
        <v>49</v>
      </c>
      <c r="AY15">
        <v>50</v>
      </c>
      <c r="AZ15">
        <v>51</v>
      </c>
      <c r="BA15">
        <v>52</v>
      </c>
      <c r="BB15">
        <v>53</v>
      </c>
      <c r="BC15">
        <v>54</v>
      </c>
      <c r="BD15">
        <v>55</v>
      </c>
      <c r="BE15">
        <v>56</v>
      </c>
      <c r="BF15">
        <v>57</v>
      </c>
      <c r="BG15">
        <v>58</v>
      </c>
      <c r="BH15">
        <v>59</v>
      </c>
      <c r="BI15">
        <v>60</v>
      </c>
      <c r="BJ15">
        <v>61</v>
      </c>
      <c r="BK15">
        <v>62</v>
      </c>
      <c r="BL15">
        <v>63</v>
      </c>
      <c r="BM15">
        <v>64</v>
      </c>
      <c r="BN15">
        <v>65</v>
      </c>
      <c r="BO15">
        <v>66</v>
      </c>
      <c r="BP15">
        <v>67</v>
      </c>
      <c r="BQ15">
        <v>68</v>
      </c>
      <c r="BR15">
        <v>69</v>
      </c>
      <c r="BS15">
        <v>70</v>
      </c>
      <c r="BT15">
        <v>71</v>
      </c>
      <c r="BU15">
        <v>72</v>
      </c>
      <c r="BV15">
        <v>73</v>
      </c>
      <c r="BW15">
        <v>74</v>
      </c>
      <c r="BX15">
        <v>75</v>
      </c>
      <c r="BY15">
        <v>76</v>
      </c>
      <c r="BZ15">
        <v>77</v>
      </c>
      <c r="CA15">
        <v>78</v>
      </c>
      <c r="CB15">
        <v>79</v>
      </c>
      <c r="CC15">
        <v>80</v>
      </c>
      <c r="CD15">
        <v>81</v>
      </c>
      <c r="CE15">
        <v>82</v>
      </c>
      <c r="CF15">
        <v>83</v>
      </c>
      <c r="CG15">
        <v>84</v>
      </c>
      <c r="CH15">
        <v>85</v>
      </c>
      <c r="CI15">
        <v>86</v>
      </c>
      <c r="CJ15">
        <v>87</v>
      </c>
      <c r="CK15">
        <v>88</v>
      </c>
      <c r="CL15">
        <v>89</v>
      </c>
      <c r="CM15">
        <v>90</v>
      </c>
      <c r="CN15">
        <v>91</v>
      </c>
      <c r="CO15">
        <v>92</v>
      </c>
      <c r="CP15">
        <v>93</v>
      </c>
      <c r="CQ15">
        <v>94</v>
      </c>
      <c r="CR15">
        <v>95</v>
      </c>
      <c r="CS15">
        <v>96</v>
      </c>
      <c r="CT15">
        <v>97</v>
      </c>
      <c r="CU15">
        <v>98</v>
      </c>
      <c r="CV15">
        <v>99</v>
      </c>
      <c r="CW15">
        <v>100</v>
      </c>
      <c r="CX15">
        <v>101</v>
      </c>
      <c r="CY15">
        <v>102</v>
      </c>
      <c r="CZ15">
        <v>103</v>
      </c>
    </row>
    <row r="16" spans="1:112" outlineLevel="1">
      <c r="B16" t="s">
        <v>15</v>
      </c>
    </row>
    <row r="17" spans="2:71" outlineLevel="1">
      <c r="B17">
        <v>1</v>
      </c>
      <c r="C17" s="57" t="str">
        <f ca="1">VLOOKUP(SMALL(C$36:C$51,$B17),C$36:$BT$51,$BT$15-C$15+1,0)</f>
        <v>Parkshuttle</v>
      </c>
      <c r="D17" s="57" t="str">
        <f ca="1">VLOOKUP(SMALL(D$36:D$51,$B17),D$36:$BT$51,$BT$15-D$15+1,0)</f>
        <v>Parkshuttle</v>
      </c>
      <c r="E17" s="57" t="str">
        <f ca="1">VLOOKUP(SMALL(E$36:E$51,$B17),E$36:$BT$51,$BT$15-E$15+1,0)</f>
        <v>Parkshuttle</v>
      </c>
      <c r="F17" s="57" t="str">
        <f ca="1">VLOOKUP(SMALL(F$36:F$51,$B17),F$36:$BT$51,$BT$15-F$15+1,0)</f>
        <v>Parkshuttle</v>
      </c>
      <c r="G17" s="57" t="str">
        <f ca="1">VLOOKUP(SMALL(G$36:G$51,$B17),G$36:$BT$51,$BT$15-G$15+1,0)</f>
        <v>Haarlem Ijmond</v>
      </c>
      <c r="H17" s="57" t="str">
        <f ca="1">VLOOKUP(SMALL(H$36:H$51,$B17),H$36:$BT$51,$BT$15-H$15+1,0)</f>
        <v>Parkshuttle</v>
      </c>
      <c r="I17" s="57" t="str">
        <f ca="1">VLOOKUP(SMALL(I$36:I$51,$B17),I$36:$BT$51,$BT$15-I$15+1,0)</f>
        <v>Parkshuttle</v>
      </c>
      <c r="J17" s="57" t="str">
        <f ca="1">VLOOKUP(SMALL(J$36:J$51,$B17),J$36:$BT$51,$BT$15-J$15+1,0)</f>
        <v>Parkshuttle</v>
      </c>
      <c r="K17" s="57" t="str">
        <f ca="1">VLOOKUP(SMALL(K$36:K$51,$B17),K$36:$BT$51,$BT$15-K$15+1,0)</f>
        <v>Noord Holland Noord</v>
      </c>
      <c r="L17" s="57" t="str">
        <f ca="1">VLOOKUP(SMALL(L$36:L$51,$B17),L$36:$BT$51,$BT$15-L$15+1,0)</f>
        <v>Parkshuttle</v>
      </c>
      <c r="M17" s="57" t="str">
        <f ca="1">VLOOKUP(SMALL(M$36:M$51,$B17),M$36:$BT$51,$BT$15-M$15+1,0)</f>
        <v>Amstelland Meerlanden</v>
      </c>
      <c r="N17" s="57" t="str">
        <f ca="1">VLOOKUP(SMALL(N$36:N$51,$B17),N$36:$BT$51,$BT$15-N$15+1,0)</f>
        <v>Ijsselmond</v>
      </c>
      <c r="O17" s="57" t="str">
        <f ca="1">VLOOKUP(SMALL(O$36:O$51,$B17),O$36:$BT$51,$BT$15-O$15+1,0)</f>
        <v>Ijsselmond</v>
      </c>
      <c r="P17" s="57"/>
      <c r="Q17" s="57" t="str">
        <f ca="1">VLOOKUP(SMALL(Q$36:Q$51,$B17),Q$36:$BT$51,$BT$15-Q$15+1,0)</f>
        <v>Parkshuttle</v>
      </c>
      <c r="R17" s="57" t="str">
        <f ca="1">VLOOKUP(SMALL(R$36:R$51,$B17),R$36:$BT$51,$BT$15-R$15+1,0)</f>
        <v>Parkshuttle</v>
      </c>
      <c r="S17" s="57" t="str">
        <f ca="1">VLOOKUP(SMALL(S$36:S$51,$B17),S$36:$BT$51,$BT$15-S$15+1,0)</f>
        <v>Parkshuttle</v>
      </c>
      <c r="T17" s="57" t="str">
        <f ca="1">VLOOKUP(SMALL(T$36:T$51,$B17),T$36:$BT$51,$BT$15-T$15+1,0)</f>
        <v>Parkshuttle</v>
      </c>
      <c r="U17" s="57" t="str">
        <f ca="1">VLOOKUP(SMALL(U$36:U$51,$B17),U$36:$BT$51,$BT$15-U$15+1,0)</f>
        <v>Haarlem Ijmond</v>
      </c>
      <c r="V17" s="57" t="str">
        <f ca="1">VLOOKUP(SMALL(V$36:V$51,$B17),V$36:$BT$51,$BT$15-V$15+1,0)</f>
        <v>Parkshuttle</v>
      </c>
      <c r="W17" s="57" t="str">
        <f ca="1">VLOOKUP(SMALL(W$36:W$51,$B17),W$36:$BT$51,$BT$15-W$15+1,0)</f>
        <v>Parkshuttle</v>
      </c>
      <c r="X17" s="57" t="str">
        <f ca="1">VLOOKUP(SMALL(X$36:X$51,$B17),X$36:$BT$51,$BT$15-X$15+1,0)</f>
        <v>Parkshuttle</v>
      </c>
      <c r="Y17" s="57" t="str">
        <f ca="1">VLOOKUP(SMALL(Y$36:Y$51,$B17),Y$36:$BT$51,$BT$15-Y$15+1,0)</f>
        <v>Haarlem Ijmond</v>
      </c>
      <c r="Z17" s="57" t="str">
        <f ca="1">VLOOKUP(SMALL(Z$36:Z$51,$B17),Z$36:$BT$51,$BT$15-Z$15+1,0)</f>
        <v>Parkshuttle</v>
      </c>
      <c r="AA17" s="57" t="str">
        <f ca="1">VLOOKUP(SMALL(AA$36:AA$51,$B17),AA$36:$BT$51,$BT$15-AA$15+1,0)</f>
        <v>Noord and Midden Zeeland</v>
      </c>
      <c r="AB17" s="57" t="str">
        <f ca="1">VLOOKUP(SMALL(AB$36:AB$51,$B17),AB$36:$BT$51,$BT$15-AB$15+1,0)</f>
        <v>Parkshuttle</v>
      </c>
      <c r="AC17" s="57" t="str">
        <f ca="1">VLOOKUP(SMALL(AC$36:AC$51,$B17),AC$36:$BT$51,$BT$15-AC$15+1,0)</f>
        <v>Ijsselmond</v>
      </c>
      <c r="AE17" s="57" t="str">
        <f ca="1">VLOOKUP(SMALL(AE$36:AE$51,$B17),AE$36:$BT$51,$BT$15-AE$15+1,0)</f>
        <v>Noord and Midden Zeeland</v>
      </c>
      <c r="AF17" s="57" t="str">
        <f ca="1">VLOOKUP(SMALL(AF$36:AF$51,$B17),AF$36:$BT$51,$BT$15-AF$15+1,0)</f>
        <v>Hoekse-Waarde Goeree Overflakkee</v>
      </c>
      <c r="AG17" s="57" t="str">
        <f ca="1">VLOOKUP(SMALL(AG$36:AG$51,$B17),AG$36:$BT$51,$BT$15-AG$15+1,0)</f>
        <v>Noord and Midden Zeeland</v>
      </c>
      <c r="AH17" s="57" t="str">
        <f ca="1">VLOOKUP(SMALL(AH$36:AH$51,$B17),AH$36:$BT$51,$BT$15-AH$15+1,0)</f>
        <v>Noord and Midden Zeeland</v>
      </c>
      <c r="AI17" s="57" t="str">
        <f ca="1">VLOOKUP(SMALL(AI$36:AI$51,$B17),AI$36:$BT$51,$BT$15-AI$15+1,0)</f>
        <v>SAN</v>
      </c>
      <c r="AJ17" s="57" t="str">
        <f ca="1">VLOOKUP(SMALL(AJ$36:AJ$51,$B17),AJ$36:$BT$51,$BT$15-AJ$15+1,0)</f>
        <v>SAN</v>
      </c>
      <c r="AK17" s="57" t="str">
        <f ca="1">VLOOKUP(SMALL(AK$36:AK$51,$B17),AK$36:$BT$51,$BT$15-AK$15+1,0)</f>
        <v>Gooi en Vechtstreek</v>
      </c>
      <c r="AL17" s="57" t="str">
        <f ca="1">VLOOKUP(SMALL(AL$36:AL$51,$B17),AL$36:$BT$51,$BT$15-AL$15+1,0)</f>
        <v>SAN</v>
      </c>
      <c r="AM17" s="57" t="str">
        <f ca="1">VLOOKUP(SMALL(AM$36:AM$51,$B17),AM$36:$BT$51,$BT$15-AM$15+1,0)</f>
        <v>Noord and Midden Zeeland</v>
      </c>
      <c r="AN17" s="57" t="str">
        <f ca="1">VLOOKUP(SMALL(AN$36:AN$51,$B17),AN$36:$BT$51,$BT$15-AN$15+1,0)</f>
        <v>Amstelland Meerlanden</v>
      </c>
      <c r="AO17" s="57" t="str">
        <f ca="1">VLOOKUP(SMALL(AO$36:AO$51,$B17),AO$36:$BT$51,$BT$15-AO$15+1,0)</f>
        <v>Parkshuttle</v>
      </c>
      <c r="AP17" s="57" t="str">
        <f ca="1">VLOOKUP(SMALL(AP$36:AP$51,$B17),AP$36:$BT$51,$BT$15-AP$15+1,0)</f>
        <v>SRE</v>
      </c>
      <c r="AQ17" s="57" t="str">
        <f ca="1">VLOOKUP(SMALL(AQ$36:AQ$51,$B17),AQ$36:$BT$51,$BT$15-AQ$15+1,0)</f>
        <v>SRE</v>
      </c>
      <c r="AS17" s="57" t="str">
        <f ca="1">VLOOKUP(SMALL(AS$36:AS$51,$B17),AS$36:$BT$51,$BT$15-AS$15+1,0)</f>
        <v>Hoekse-Waarde Goeree Overflakkee</v>
      </c>
      <c r="AT17" s="57" t="str">
        <f ca="1">VLOOKUP(SMALL(AT$36:AT$51,$B17),AT$36:$BT$51,$BT$15-AT$15+1,0)</f>
        <v>Parkshuttle</v>
      </c>
      <c r="AU17" s="57" t="str">
        <f ca="1">VLOOKUP(SMALL(AU$36:AU$51,$B17),AU$36:$BT$51,$BT$15-AU$15+1,0)</f>
        <v>Parkshuttle</v>
      </c>
      <c r="AV17" s="57" t="str">
        <f ca="1">VLOOKUP(SMALL(AV$36:AV$51,$B17),AV$36:$BT$51,$BT$15-AV$15+1,0)</f>
        <v>Hoekse-Waarde Goeree Overflakkee</v>
      </c>
      <c r="AW17" s="57" t="str">
        <f ca="1">VLOOKUP(SMALL(AW$36:AW$51,$B17),AW$36:$BT$51,$BT$15-AW$15+1,0)</f>
        <v>Hoekse-Waarde Goeree Overflakkee</v>
      </c>
      <c r="AX17" s="57" t="str">
        <f ca="1">VLOOKUP(SMALL(AX$36:AX$51,$B17),AX$36:$BT$51,$BT$15-AX$15+1,0)</f>
        <v>Hoekse-Waarde Goeree Overflakkee</v>
      </c>
      <c r="AY17" s="57" t="str">
        <f ca="1">VLOOKUP(SMALL(AY$36:AY$51,$B17),AY$36:$BT$51,$BT$15-AY$15+1,0)</f>
        <v>Hoekse-Waarde Goeree Overflakkee</v>
      </c>
      <c r="AZ17" s="57" t="str">
        <f ca="1">VLOOKUP(SMALL(AZ$36:AZ$51,$B17),AZ$36:$BT$51,$BT$15-AZ$15+1,0)</f>
        <v>Hoekse-Waarde Goeree Overflakkee</v>
      </c>
      <c r="BA17" s="57" t="str">
        <f ca="1">VLOOKUP(SMALL(BA$36:BA$51,$B17),BA$36:$BT$51,$BT$15-BA$15+1,0)</f>
        <v>Hoekse-Waarde Goeree Overflakkee</v>
      </c>
      <c r="BB17" s="57" t="str">
        <f ca="1">VLOOKUP(SMALL(BB$36:BB$51,$B17),BB$36:$BT$51,$BT$15-BB$15+1,0)</f>
        <v>Hoekse-Waarde Goeree Overflakkee</v>
      </c>
      <c r="BC17" s="57" t="str">
        <f ca="1">VLOOKUP(SMALL(BC$36:BC$51,$B17),BC$36:$BT$51,$BT$15-BC$15+1,0)</f>
        <v>Hoekse-Waarde Goeree Overflakkee</v>
      </c>
      <c r="BD17" s="57" t="str">
        <f ca="1">VLOOKUP(SMALL(BD$36:BD$51,$B17),BD$36:$BT$51,$BT$15-BD$15+1,0)</f>
        <v>Hoekse-Waarde Goeree Overflakkee</v>
      </c>
      <c r="BE17" s="57" t="str">
        <f ca="1">VLOOKUP(SMALL(BE$36:BE$51,$B17),BE$36:$BT$51,$BT$15-BE$15+1,0)</f>
        <v>Hoekse-Waarde Goeree Overflakkee</v>
      </c>
      <c r="BG17" s="57" t="str">
        <f ca="1">VLOOKUP(SMALL(BG$36:BG$51,$B17),BG$36:$BT$51,$BT$15-BG$15+1,0)</f>
        <v>Gooi en Vechtstreek</v>
      </c>
      <c r="BH17" s="57" t="str">
        <f ca="1">VLOOKUP(SMALL(BH$36:BH$51,$B17),BH$36:$BT$51,$BT$15-BH$15+1,0)</f>
        <v>Noord and Midden Zeeland</v>
      </c>
      <c r="BI17" s="57" t="str">
        <f ca="1">VLOOKUP(SMALL(BI$36:BI$51,$B17),BI$36:$BT$51,$BT$15-BI$15+1,0)</f>
        <v>Hoekse-Waarde Goeree Overflakkee</v>
      </c>
      <c r="BJ17" s="57" t="str">
        <f ca="1">VLOOKUP(SMALL(BJ$36:BJ$51,$B17),BJ$36:$BT$51,$BT$15-BJ$15+1,0)</f>
        <v>Noord and Midden Zeeland</v>
      </c>
      <c r="BK17" s="57" t="str">
        <f ca="1">VLOOKUP(SMALL(BK$36:BK$51,$B17),BK$36:$BT$51,$BT$15-BK$15+1,0)</f>
        <v>Hoekse-Waarde Goeree Overflakkee</v>
      </c>
      <c r="BL17" s="57" t="str">
        <f ca="1">VLOOKUP(SMALL(BL$36:BL$51,$B17),BL$36:$BT$51,$BT$15-BL$15+1,0)</f>
        <v>Amstelland Meerlanden</v>
      </c>
      <c r="BM17" s="57" t="str">
        <f ca="1">VLOOKUP(SMALL(BM$36:BM$51,$B17),BM$36:$BT$51,$BT$15-BM$15+1,0)</f>
        <v>Hoekse-Waarde Goeree Overflakkee</v>
      </c>
      <c r="BN17" s="57" t="str">
        <f ca="1">VLOOKUP(SMALL(BN$36:BN$51,$B17),BN$36:$BT$51,$BT$15-BN$15+1,0)</f>
        <v>Haarlem Ijmond</v>
      </c>
      <c r="BO17" s="57" t="str">
        <f ca="1">VLOOKUP(SMALL(BO$36:BO$51,$B17),BO$36:$BT$51,$BT$15-BO$15+1,0)</f>
        <v>Hoekse-Waarde Goeree Overflakkee</v>
      </c>
      <c r="BP17" s="57" t="str">
        <f ca="1">VLOOKUP(SMALL(BP$36:BP$51,$B17),BP$36:$BT$51,$BT$15-BP$15+1,0)</f>
        <v>Amstelland Meerlanden</v>
      </c>
      <c r="BQ17" s="57" t="str">
        <f ca="1">VLOOKUP(SMALL(BQ$36:BQ$51,$B17),BQ$36:$BT$51,$BT$15-BQ$15+1,0)</f>
        <v>Hoekse-Waarde Goeree Overflakkee</v>
      </c>
      <c r="BR17" s="57" t="str">
        <f ca="1">VLOOKUP(SMALL(BR$36:BR$51,$B17),BR$36:$BT$51,$BT$15-BR$15+1,0)</f>
        <v>SRE</v>
      </c>
      <c r="BS17" s="57" t="str">
        <f ca="1">VLOOKUP(SMALL(BS$36:BS$51,$B17),BS$36:$BT$51,$BT$15-BS$15+1,0)</f>
        <v>Parkshuttle</v>
      </c>
    </row>
    <row r="18" spans="2:71" outlineLevel="1">
      <c r="B18">
        <v>2</v>
      </c>
      <c r="C18" s="57" t="str">
        <f ca="1">VLOOKUP(SMALL(C$36:C$51,$B18),C$36:$BT$51,$BT$15-C$15+1,0)</f>
        <v>Valleilijn</v>
      </c>
      <c r="D18" s="57" t="str">
        <f ca="1">VLOOKUP(SMALL(D$36:D$51,$B18),D$36:$BT$51,$BT$15-D$15+1,0)</f>
        <v>Valleilijn</v>
      </c>
      <c r="E18" s="57" t="str">
        <f ca="1">VLOOKUP(SMALL(E$36:E$51,$B18),E$36:$BT$51,$BT$15-E$15+1,0)</f>
        <v>Valleilijn</v>
      </c>
      <c r="F18" s="57" t="str">
        <f ca="1">VLOOKUP(SMALL(F$36:F$51,$B18),F$36:$BT$51,$BT$15-F$15+1,0)</f>
        <v>Gooi en Vechtstreek</v>
      </c>
      <c r="G18" s="57" t="str">
        <f ca="1">VLOOKUP(SMALL(G$36:G$51,$B18),G$36:$BT$51,$BT$15-G$15+1,0)</f>
        <v>Provincie Utrecht</v>
      </c>
      <c r="H18" s="57" t="str">
        <f ca="1">VLOOKUP(SMALL(H$36:H$51,$B18),H$36:$BT$51,$BT$15-H$15+1,0)</f>
        <v>Valleilijn</v>
      </c>
      <c r="I18" s="57" t="str">
        <f ca="1">VLOOKUP(SMALL(I$36:I$51,$B18),I$36:$BT$51,$BT$15-I$15+1,0)</f>
        <v>Valleilijn</v>
      </c>
      <c r="J18" s="57" t="str">
        <f ca="1">VLOOKUP(SMALL(J$36:J$51,$B18),J$36:$BT$51,$BT$15-J$15+1,0)</f>
        <v>Valleilijn</v>
      </c>
      <c r="K18" s="57" t="str">
        <f ca="1">VLOOKUP(SMALL(K$36:K$51,$B18),K$36:$BT$51,$BT$15-K$15+1,0)</f>
        <v>Haarlem Ijmond</v>
      </c>
      <c r="L18" s="57" t="str">
        <f ca="1">VLOOKUP(SMALL(L$36:L$51,$B18),L$36:$BT$51,$BT$15-L$15+1,0)</f>
        <v>Gooi en Vechtstreek</v>
      </c>
      <c r="M18" s="57" t="str">
        <f ca="1">VLOOKUP(SMALL(M$36:M$51,$B18),M$36:$BT$51,$BT$15-M$15+1,0)</f>
        <v>Zaanstreek</v>
      </c>
      <c r="N18" s="57" t="str">
        <f ca="1">VLOOKUP(SMALL(N$36:N$51,$B18),N$36:$BT$51,$BT$15-N$15+1,0)</f>
        <v>Parkshuttle</v>
      </c>
      <c r="O18" s="57" t="str">
        <f ca="1">VLOOKUP(SMALL(O$36:O$51,$B18),O$36:$BT$51,$BT$15-O$15+1,0)</f>
        <v>Almere</v>
      </c>
      <c r="P18" s="57"/>
      <c r="Q18" s="57" t="str">
        <f ca="1">VLOOKUP(SMALL(Q$36:Q$51,$B18),Q$36:$BT$51,$BT$15-Q$15+1,0)</f>
        <v>Valleilijn</v>
      </c>
      <c r="R18" s="57" t="str">
        <f ca="1">VLOOKUP(SMALL(R$36:R$51,$B18),R$36:$BT$51,$BT$15-R$15+1,0)</f>
        <v>Valleilijn</v>
      </c>
      <c r="S18" s="57" t="str">
        <f ca="1">VLOOKUP(SMALL(S$36:S$51,$B18),S$36:$BT$51,$BT$15-S$15+1,0)</f>
        <v>Valleilijn</v>
      </c>
      <c r="T18" s="57" t="str">
        <f ca="1">VLOOKUP(SMALL(T$36:T$51,$B18),T$36:$BT$51,$BT$15-T$15+1,0)</f>
        <v>Hoekse-Waarde Goeree Overflakkee</v>
      </c>
      <c r="U18" s="57" t="str">
        <f ca="1">VLOOKUP(SMALL(U$36:U$51,$B18),U$36:$BT$51,$BT$15-U$15+1,0)</f>
        <v>Hoekse-Waarde Goeree Overflakkee</v>
      </c>
      <c r="V18" s="57" t="str">
        <f ca="1">VLOOKUP(SMALL(V$36:V$51,$B18),V$36:$BT$51,$BT$15-V$15+1,0)</f>
        <v>Valleilijn</v>
      </c>
      <c r="W18" s="57" t="str">
        <f ca="1">VLOOKUP(SMALL(W$36:W$51,$B18),W$36:$BT$51,$BT$15-W$15+1,0)</f>
        <v>Valleilijn</v>
      </c>
      <c r="X18" s="57" t="str">
        <f ca="1">VLOOKUP(SMALL(X$36:X$51,$B18),X$36:$BT$51,$BT$15-X$15+1,0)</f>
        <v>Valleilijn</v>
      </c>
      <c r="Y18" s="57" t="str">
        <f ca="1">VLOOKUP(SMALL(Y$36:Y$51,$B18),Y$36:$BT$51,$BT$15-Y$15+1,0)</f>
        <v>Noord Holland Noord</v>
      </c>
      <c r="Z18" s="57" t="str">
        <f ca="1">VLOOKUP(SMALL(Z$36:Z$51,$B18),Z$36:$BT$51,$BT$15-Z$15+1,0)</f>
        <v>Gooi en Vechtstreek</v>
      </c>
      <c r="AA18" s="57" t="str">
        <f ca="1">VLOOKUP(SMALL(AA$36:AA$51,$B18),AA$36:$BT$51,$BT$15-AA$15+1,0)</f>
        <v>Haarlem Ijmond</v>
      </c>
      <c r="AB18" s="57" t="str">
        <f ca="1">VLOOKUP(SMALL(AB$36:AB$51,$B18),AB$36:$BT$51,$BT$15-AB$15+1,0)</f>
        <v>Ijsselmond</v>
      </c>
      <c r="AC18" s="57" t="str">
        <f ca="1">VLOOKUP(SMALL(AC$36:AC$51,$B18),AC$36:$BT$51,$BT$15-AC$15+1,0)</f>
        <v>Almere</v>
      </c>
      <c r="AE18" s="57" t="str">
        <f ca="1">VLOOKUP(SMALL(AE$36:AE$51,$B18),AE$36:$BT$51,$BT$15-AE$15+1,0)</f>
        <v>Almere</v>
      </c>
      <c r="AF18" s="57" t="str">
        <f ca="1">VLOOKUP(SMALL(AF$36:AF$51,$B18),AF$36:$BT$51,$BT$15-AF$15+1,0)</f>
        <v>Provincie Utrecht</v>
      </c>
      <c r="AG18" s="57" t="str">
        <f ca="1">VLOOKUP(SMALL(AG$36:AG$51,$B18),AG$36:$BT$51,$BT$15-AG$15+1,0)</f>
        <v>Voorne Putten</v>
      </c>
      <c r="AH18" s="57" t="str">
        <f ca="1">VLOOKUP(SMALL(AH$36:AH$51,$B18),AH$36:$BT$51,$BT$15-AH$15+1,0)</f>
        <v>Amstelland Meerlanden</v>
      </c>
      <c r="AI18" s="57" t="str">
        <f ca="1">VLOOKUP(SMALL(AI$36:AI$51,$B18),AI$36:$BT$51,$BT$15-AI$15+1,0)</f>
        <v>SRE</v>
      </c>
      <c r="AJ18" s="57" t="str">
        <f ca="1">VLOOKUP(SMALL(AJ$36:AJ$51,$B18),AJ$36:$BT$51,$BT$15-AJ$15+1,0)</f>
        <v>Noord and Midden Zeeland</v>
      </c>
      <c r="AK18" s="57" t="str">
        <f ca="1">VLOOKUP(SMALL(AK$36:AK$51,$B18),AK$36:$BT$51,$BT$15-AK$15+1,0)</f>
        <v>Noord Holland Noord</v>
      </c>
      <c r="AL18" s="57" t="str">
        <f ca="1">VLOOKUP(SMALL(AL$36:AL$51,$B18),AL$36:$BT$51,$BT$15-AL$15+1,0)</f>
        <v>Ijsselmond</v>
      </c>
      <c r="AM18" s="57" t="str">
        <f ca="1">VLOOKUP(SMALL(AM$36:AM$51,$B18),AM$36:$BT$51,$BT$15-AM$15+1,0)</f>
        <v>Hoekse-Waarde Goeree Overflakkee</v>
      </c>
      <c r="AN18" s="57" t="str">
        <f ca="1">VLOOKUP(SMALL(AN$36:AN$51,$B18),AN$36:$BT$51,$BT$15-AN$15+1,0)</f>
        <v>Provincie Utrecht</v>
      </c>
      <c r="AO18" s="57" t="str">
        <f ca="1">VLOOKUP(SMALL(AO$36:AO$51,$B18),AO$36:$BT$51,$BT$15-AO$15+1,0)</f>
        <v>Noord and Midden Zeeland</v>
      </c>
      <c r="AP18" s="57" t="str">
        <f ca="1">VLOOKUP(SMALL(AP$36:AP$51,$B18),AP$36:$BT$51,$BT$15-AP$15+1,0)</f>
        <v>SAN</v>
      </c>
      <c r="AQ18" s="57" t="str">
        <f ca="1">VLOOKUP(SMALL(AQ$36:AQ$51,$B18),AQ$36:$BT$51,$BT$15-AQ$15+1,0)</f>
        <v>Noord and Midden Zeeland</v>
      </c>
      <c r="AS18" s="57" t="str">
        <f ca="1">VLOOKUP(SMALL(AS$36:AS$51,$B18),AS$36:$BT$51,$BT$15-AS$15+1,0)</f>
        <v>Parkshuttle</v>
      </c>
      <c r="AT18" s="57" t="str">
        <f ca="1">VLOOKUP(SMALL(AT$36:AT$51,$B18),AT$36:$BT$51,$BT$15-AT$15+1,0)</f>
        <v>Hoekse-Waarde Goeree Overflakkee</v>
      </c>
      <c r="AU18" s="57" t="str">
        <f ca="1">VLOOKUP(SMALL(AU$36:AU$51,$B18),AU$36:$BT$51,$BT$15-AU$15+1,0)</f>
        <v>Hoekse-Waarde Goeree Overflakkee</v>
      </c>
      <c r="AV18" s="57" t="str">
        <f ca="1">VLOOKUP(SMALL(AV$36:AV$51,$B18),AV$36:$BT$51,$BT$15-AV$15+1,0)</f>
        <v>Parkshuttle</v>
      </c>
      <c r="AW18" s="57" t="str">
        <f ca="1">VLOOKUP(SMALL(AW$36:AW$51,$B18),AW$36:$BT$51,$BT$15-AW$15+1,0)</f>
        <v>Gooi en Vechtstreek</v>
      </c>
      <c r="AX18" s="57" t="str">
        <f ca="1">VLOOKUP(SMALL(AX$36:AX$51,$B18),AX$36:$BT$51,$BT$15-AX$15+1,0)</f>
        <v>Parkshuttle</v>
      </c>
      <c r="AY18" s="57" t="str">
        <f ca="1">VLOOKUP(SMALL(AY$36:AY$51,$B18),AY$36:$BT$51,$BT$15-AY$15+1,0)</f>
        <v>Parkshuttle</v>
      </c>
      <c r="AZ18" s="57" t="str">
        <f ca="1">VLOOKUP(SMALL(AZ$36:AZ$51,$B18),AZ$36:$BT$51,$BT$15-AZ$15+1,0)</f>
        <v>Parkshuttle</v>
      </c>
      <c r="BA18" s="57" t="str">
        <f ca="1">VLOOKUP(SMALL(BA$36:BA$51,$B18),BA$36:$BT$51,$BT$15-BA$15+1,0)</f>
        <v>Noord Holland Noord</v>
      </c>
      <c r="BB18" s="57" t="str">
        <f ca="1">VLOOKUP(SMALL(BB$36:BB$51,$B18),BB$36:$BT$51,$BT$15-BB$15+1,0)</f>
        <v>Parkshuttle</v>
      </c>
      <c r="BC18" s="57" t="str">
        <f ca="1">VLOOKUP(SMALL(BC$36:BC$51,$B18),BC$36:$BT$51,$BT$15-BC$15+1,0)</f>
        <v>Haarlem Ijmond</v>
      </c>
      <c r="BD18" s="57" t="str">
        <f ca="1">VLOOKUP(SMALL(BD$36:BD$51,$B18),BD$36:$BT$51,$BT$15-BD$15+1,0)</f>
        <v>Noord and Midden Zeeland</v>
      </c>
      <c r="BE18" s="57" t="str">
        <f ca="1">VLOOKUP(SMALL(BE$36:BE$51,$B18),BE$36:$BT$51,$BT$15-BE$15+1,0)</f>
        <v>Noord and Midden Zeeland</v>
      </c>
      <c r="BG18" s="57" t="str">
        <f ca="1">VLOOKUP(SMALL(BG$36:BG$51,$B18),BG$36:$BT$51,$BT$15-BG$15+1,0)</f>
        <v>Almere</v>
      </c>
      <c r="BH18" s="57" t="str">
        <f ca="1">VLOOKUP(SMALL(BH$36:BH$51,$B18),BH$36:$BT$51,$BT$15-BH$15+1,0)</f>
        <v>Haarlem Ijmond</v>
      </c>
      <c r="BI18" s="57" t="str">
        <f ca="1">VLOOKUP(SMALL(BI$36:BI$51,$B18),BI$36:$BT$51,$BT$15-BI$15+1,0)</f>
        <v>Voorne Putten</v>
      </c>
      <c r="BJ18" s="57" t="str">
        <f ca="1">VLOOKUP(SMALL(BJ$36:BJ$51,$B18),BJ$36:$BT$51,$BT$15-BJ$15+1,0)</f>
        <v>Haarlem Ijmond</v>
      </c>
      <c r="BK18" s="57" t="str">
        <f ca="1">VLOOKUP(SMALL(BK$36:BK$51,$B18),BK$36:$BT$51,$BT$15-BK$15+1,0)</f>
        <v>Ijsselmond</v>
      </c>
      <c r="BL18" s="57" t="str">
        <f ca="1">VLOOKUP(SMALL(BL$36:BL$51,$B18),BL$36:$BT$51,$BT$15-BL$15+1,0)</f>
        <v>SAN</v>
      </c>
      <c r="BM18" s="57" t="str">
        <f ca="1">VLOOKUP(SMALL(BM$36:BM$51,$B18),BM$36:$BT$51,$BT$15-BM$15+1,0)</f>
        <v>Haarlem Ijmond</v>
      </c>
      <c r="BN18" s="57" t="str">
        <f ca="1">VLOOKUP(SMALL(BN$36:BN$51,$B18),BN$36:$BT$51,$BT$15-BN$15+1,0)</f>
        <v>SAN</v>
      </c>
      <c r="BO18" s="57" t="str">
        <f ca="1">VLOOKUP(SMALL(BO$36:BO$51,$B18),BO$36:$BT$51,$BT$15-BO$15+1,0)</f>
        <v>Noord and Midden Zeeland</v>
      </c>
      <c r="BP18" s="57" t="str">
        <f ca="1">VLOOKUP(SMALL(BP$36:BP$51,$B18),BP$36:$BT$51,$BT$15-BP$15+1,0)</f>
        <v>Noord and Midden Zeeland</v>
      </c>
      <c r="BQ18" s="57" t="str">
        <f ca="1">VLOOKUP(SMALL(BQ$36:BQ$51,$B18),BQ$36:$BT$51,$BT$15-BQ$15+1,0)</f>
        <v>Parkshuttle</v>
      </c>
      <c r="BR18" s="57" t="str">
        <f ca="1">VLOOKUP(SMALL(BR$36:BR$51,$B18),BR$36:$BT$51,$BT$15-BR$15+1,0)</f>
        <v>Gooi en Vechtstreek</v>
      </c>
      <c r="BS18" s="57" t="str">
        <f ca="1">VLOOKUP(SMALL(BS$36:BS$51,$B18),BS$36:$BT$51,$BT$15-BS$15+1,0)</f>
        <v>Gooi en Vechtstreek</v>
      </c>
    </row>
    <row r="19" spans="2:71" outlineLevel="1">
      <c r="B19">
        <v>3</v>
      </c>
      <c r="C19" s="57" t="str">
        <f ca="1">VLOOKUP(SMALL(C$36:C$51,$B19),C$36:$BT$51,$BT$15-C$15+1,0)</f>
        <v>Gooi en Vechtstreek</v>
      </c>
      <c r="D19" s="57" t="str">
        <f ca="1">VLOOKUP(SMALL(D$36:D$51,$B19),D$36:$BT$51,$BT$15-D$15+1,0)</f>
        <v>Voorne Putten</v>
      </c>
      <c r="E19" s="57" t="str">
        <f ca="1">VLOOKUP(SMALL(E$36:E$51,$B19),E$36:$BT$51,$BT$15-E$15+1,0)</f>
        <v>Amstelland Meerlanden</v>
      </c>
      <c r="F19" s="57" t="str">
        <f ca="1">VLOOKUP(SMALL(F$36:F$51,$B19),F$36:$BT$51,$BT$15-F$15+1,0)</f>
        <v>Voorne Putten</v>
      </c>
      <c r="G19" s="57" t="str">
        <f ca="1">VLOOKUP(SMALL(G$36:G$51,$B19),G$36:$BT$51,$BT$15-G$15+1,0)</f>
        <v>Zaanstreek</v>
      </c>
      <c r="H19" s="57" t="str">
        <f ca="1">VLOOKUP(SMALL(H$36:H$51,$B19),H$36:$BT$51,$BT$15-H$15+1,0)</f>
        <v>Gooi en Vechtstreek</v>
      </c>
      <c r="I19" s="57" t="str">
        <f ca="1">VLOOKUP(SMALL(I$36:I$51,$B19),I$36:$BT$51,$BT$15-I$15+1,0)</f>
        <v>Haarlem Ijmond</v>
      </c>
      <c r="J19" s="57" t="str">
        <f ca="1">VLOOKUP(SMALL(J$36:J$51,$B19),J$36:$BT$51,$BT$15-J$15+1,0)</f>
        <v>Gooi en Vechtstreek</v>
      </c>
      <c r="K19" s="57" t="str">
        <f ca="1">VLOOKUP(SMALL(K$36:K$51,$B19),K$36:$BT$51,$BT$15-K$15+1,0)</f>
        <v>Amstelland Meerlanden</v>
      </c>
      <c r="L19" s="57" t="str">
        <f ca="1">VLOOKUP(SMALL(L$36:L$51,$B19),L$36:$BT$51,$BT$15-L$15+1,0)</f>
        <v>Voorne Putten</v>
      </c>
      <c r="M19" s="57" t="str">
        <f ca="1">VLOOKUP(SMALL(M$36:M$51,$B19),M$36:$BT$51,$BT$15-M$15+1,0)</f>
        <v>Haarlem Ijmond</v>
      </c>
      <c r="N19" s="57" t="str">
        <f ca="1">VLOOKUP(SMALL(N$36:N$51,$B19),N$36:$BT$51,$BT$15-N$15+1,0)</f>
        <v>Almere</v>
      </c>
      <c r="O19" s="57" t="str">
        <f ca="1">VLOOKUP(SMALL(O$36:O$51,$B19),O$36:$BT$51,$BT$15-O$15+1,0)</f>
        <v>SAN</v>
      </c>
      <c r="P19" s="57"/>
      <c r="Q19" s="57" t="str">
        <f ca="1">VLOOKUP(SMALL(Q$36:Q$51,$B19),Q$36:$BT$51,$BT$15-Q$15+1,0)</f>
        <v>Gooi en Vechtstreek</v>
      </c>
      <c r="R19" s="57" t="str">
        <f ca="1">VLOOKUP(SMALL(R$36:R$51,$B19),R$36:$BT$51,$BT$15-R$15+1,0)</f>
        <v>Voorne Putten</v>
      </c>
      <c r="S19" s="57" t="str">
        <f ca="1">VLOOKUP(SMALL(S$36:S$51,$B19),S$36:$BT$51,$BT$15-S$15+1,0)</f>
        <v>Amstelland Meerlanden</v>
      </c>
      <c r="T19" s="57" t="str">
        <f ca="1">VLOOKUP(SMALL(T$36:T$51,$B19),T$36:$BT$51,$BT$15-T$15+1,0)</f>
        <v>Gooi en Vechtstreek</v>
      </c>
      <c r="U19" s="57" t="str">
        <f ca="1">VLOOKUP(SMALL(U$36:U$51,$B19),U$36:$BT$51,$BT$15-U$15+1,0)</f>
        <v>Zaanstreek</v>
      </c>
      <c r="V19" s="57" t="str">
        <f ca="1">VLOOKUP(SMALL(V$36:V$51,$B19),V$36:$BT$51,$BT$15-V$15+1,0)</f>
        <v>Gooi en Vechtstreek</v>
      </c>
      <c r="W19" s="57" t="str">
        <f ca="1">VLOOKUP(SMALL(W$36:W$51,$B19),W$36:$BT$51,$BT$15-W$15+1,0)</f>
        <v>Haarlem Ijmond</v>
      </c>
      <c r="X19" s="57" t="str">
        <f ca="1">VLOOKUP(SMALL(X$36:X$51,$B19),X$36:$BT$51,$BT$15-X$15+1,0)</f>
        <v>Noord Holland Noord</v>
      </c>
      <c r="Y19" s="57" t="str">
        <f ca="1">VLOOKUP(SMALL(Y$36:Y$51,$B19),Y$36:$BT$51,$BT$15-Y$15+1,0)</f>
        <v>Parkshuttle</v>
      </c>
      <c r="Z19" s="57" t="str">
        <f ca="1">VLOOKUP(SMALL(Z$36:Z$51,$B19),Z$36:$BT$51,$BT$15-Z$15+1,0)</f>
        <v>Valleilijn</v>
      </c>
      <c r="AA19" s="57" t="str">
        <f ca="1">VLOOKUP(SMALL(AA$36:AA$51,$B19),AA$36:$BT$51,$BT$15-AA$15+1,0)</f>
        <v>Gooi en Vechtstreek</v>
      </c>
      <c r="AB19" s="57" t="str">
        <f ca="1">VLOOKUP(SMALL(AB$36:AB$51,$B19),AB$36:$BT$51,$BT$15-AB$15+1,0)</f>
        <v>Hoekse-Waarde Goeree Overflakkee</v>
      </c>
      <c r="AC19" s="57" t="str">
        <f ca="1">VLOOKUP(SMALL(AC$36:AC$51,$B19),AC$36:$BT$51,$BT$15-AC$15+1,0)</f>
        <v>SAN</v>
      </c>
      <c r="AE19" s="57" t="str">
        <f ca="1">VLOOKUP(SMALL(AE$36:AE$51,$B19),AE$36:$BT$51,$BT$15-AE$15+1,0)</f>
        <v>Valleilijn</v>
      </c>
      <c r="AF19" s="57" t="str">
        <f ca="1">VLOOKUP(SMALL(AF$36:AF$51,$B19),AF$36:$BT$51,$BT$15-AF$15+1,0)</f>
        <v>Zaanstreek</v>
      </c>
      <c r="AG19" s="57" t="str">
        <f ca="1">VLOOKUP(SMALL(AG$36:AG$51,$B19),AG$36:$BT$51,$BT$15-AG$15+1,0)</f>
        <v>Almere</v>
      </c>
      <c r="AH19" s="57" t="str">
        <f ca="1">VLOOKUP(SMALL(AH$36:AH$51,$B19),AH$36:$BT$51,$BT$15-AH$15+1,0)</f>
        <v>Provincie Utrecht</v>
      </c>
      <c r="AI19" s="57" t="str">
        <f ca="1">VLOOKUP(SMALL(AI$36:AI$51,$B19),AI$36:$BT$51,$BT$15-AI$15+1,0)</f>
        <v>Ijsselmond</v>
      </c>
      <c r="AJ19" s="57" t="str">
        <f ca="1">VLOOKUP(SMALL(AJ$36:AJ$51,$B19),AJ$36:$BT$51,$BT$15-AJ$15+1,0)</f>
        <v>Amstelland Meerlanden</v>
      </c>
      <c r="AK19" s="57" t="str">
        <f ca="1">VLOOKUP(SMALL(AK$36:AK$51,$B19),AK$36:$BT$51,$BT$15-AK$15+1,0)</f>
        <v>Voorne Putten</v>
      </c>
      <c r="AL19" s="57" t="str">
        <f ca="1">VLOOKUP(SMALL(AL$36:AL$51,$B19),AL$36:$BT$51,$BT$15-AL$15+1,0)</f>
        <v>SRE</v>
      </c>
      <c r="AM19" s="57" t="str">
        <f ca="1">VLOOKUP(SMALL(AM$36:AM$51,$B19),AM$36:$BT$51,$BT$15-AM$15+1,0)</f>
        <v>Parkshuttle</v>
      </c>
      <c r="AN19" s="57" t="str">
        <f ca="1">VLOOKUP(SMALL(AN$36:AN$51,$B19),AN$36:$BT$51,$BT$15-AN$15+1,0)</f>
        <v>Voorne Putten</v>
      </c>
      <c r="AO19" s="57" t="str">
        <f ca="1">VLOOKUP(SMALL(AO$36:AO$51,$B19),AO$36:$BT$51,$BT$15-AO$15+1,0)</f>
        <v>Valleilijn</v>
      </c>
      <c r="AP19" s="57" t="str">
        <f ca="1">VLOOKUP(SMALL(AP$36:AP$51,$B19),AP$36:$BT$51,$BT$15-AP$15+1,0)</f>
        <v>Noord and Midden Zeeland</v>
      </c>
      <c r="AQ19" s="57" t="str">
        <f ca="1">VLOOKUP(SMALL(AQ$36:AQ$51,$B19),AQ$36:$BT$51,$BT$15-AQ$15+1,0)</f>
        <v>Parkshuttle</v>
      </c>
      <c r="AS19" s="57" t="str">
        <f ca="1">VLOOKUP(SMALL(AS$36:AS$51,$B19),AS$36:$BT$51,$BT$15-AS$15+1,0)</f>
        <v>Valleilijn</v>
      </c>
      <c r="AT19" s="57" t="str">
        <f ca="1">VLOOKUP(SMALL(AT$36:AT$51,$B19),AT$36:$BT$51,$BT$15-AT$15+1,0)</f>
        <v>Valleilijn</v>
      </c>
      <c r="AU19" s="57" t="str">
        <f ca="1">VLOOKUP(SMALL(AU$36:AU$51,$B19),AU$36:$BT$51,$BT$15-AU$15+1,0)</f>
        <v>Valleilijn</v>
      </c>
      <c r="AV19" s="57" t="str">
        <f ca="1">VLOOKUP(SMALL(AV$36:AV$51,$B19),AV$36:$BT$51,$BT$15-AV$15+1,0)</f>
        <v>Gooi en Vechtstreek</v>
      </c>
      <c r="AW19" s="57" t="str">
        <f ca="1">VLOOKUP(SMALL(AW$36:AW$51,$B19),AW$36:$BT$51,$BT$15-AW$15+1,0)</f>
        <v>Provincie Utrecht</v>
      </c>
      <c r="AX19" s="57" t="str">
        <f ca="1">VLOOKUP(SMALL(AX$36:AX$51,$B19),AX$36:$BT$51,$BT$15-AX$15+1,0)</f>
        <v>Valleilijn</v>
      </c>
      <c r="AY19" s="57" t="str">
        <f ca="1">VLOOKUP(SMALL(AY$36:AY$51,$B19),AY$36:$BT$51,$BT$15-AY$15+1,0)</f>
        <v>Valleilijn</v>
      </c>
      <c r="AZ19" s="57" t="str">
        <f ca="1">VLOOKUP(SMALL(AZ$36:AZ$51,$B19),AZ$36:$BT$51,$BT$15-AZ$15+1,0)</f>
        <v>Valleilijn</v>
      </c>
      <c r="BA19" s="57" t="str">
        <f ca="1">VLOOKUP(SMALL(BA$36:BA$51,$B19),BA$36:$BT$51,$BT$15-BA$15+1,0)</f>
        <v>Parkshuttle</v>
      </c>
      <c r="BB19" s="57" t="str">
        <f ca="1">VLOOKUP(SMALL(BB$36:BB$51,$B19),BB$36:$BT$51,$BT$15-BB$15+1,0)</f>
        <v>Valleilijn</v>
      </c>
      <c r="BC19" s="57" t="str">
        <f ca="1">VLOOKUP(SMALL(BC$36:BC$51,$B19),BC$36:$BT$51,$BT$15-BC$15+1,0)</f>
        <v>SRE</v>
      </c>
      <c r="BD19" s="57" t="str">
        <f ca="1">VLOOKUP(SMALL(BD$36:BD$51,$B19),BD$36:$BT$51,$BT$15-BD$15+1,0)</f>
        <v>Ijsselmond</v>
      </c>
      <c r="BE19" s="57" t="str">
        <f ca="1">VLOOKUP(SMALL(BE$36:BE$51,$B19),BE$36:$BT$51,$BT$15-BE$15+1,0)</f>
        <v>Ijsselmond</v>
      </c>
      <c r="BG19" s="57" t="str">
        <f ca="1">VLOOKUP(SMALL(BG$36:BG$51,$B19),BG$36:$BT$51,$BT$15-BG$15+1,0)</f>
        <v>Parkshuttle</v>
      </c>
      <c r="BH19" s="57" t="str">
        <f ca="1">VLOOKUP(SMALL(BH$36:BH$51,$B19),BH$36:$BT$51,$BT$15-BH$15+1,0)</f>
        <v>SAN</v>
      </c>
      <c r="BI19" s="57" t="str">
        <f ca="1">VLOOKUP(SMALL(BI$36:BI$51,$B19),BI$36:$BT$51,$BT$15-BI$15+1,0)</f>
        <v>Gooi en Vechtstreek</v>
      </c>
      <c r="BJ19" s="57" t="str">
        <f ca="1">VLOOKUP(SMALL(BJ$36:BJ$51,$B19),BJ$36:$BT$51,$BT$15-BJ$15+1,0)</f>
        <v>Voorne Putten</v>
      </c>
      <c r="BK19" s="57" t="str">
        <f ca="1">VLOOKUP(SMALL(BK$36:BK$51,$B19),BK$36:$BT$51,$BT$15-BK$15+1,0)</f>
        <v>Parkshuttle</v>
      </c>
      <c r="BL19" s="57" t="str">
        <f ca="1">VLOOKUP(SMALL(BL$36:BL$51,$B19),BL$36:$BT$51,$BT$15-BL$15+1,0)</f>
        <v>Noord and Midden Zeeland</v>
      </c>
      <c r="BM19" s="57" t="str">
        <f ca="1">VLOOKUP(SMALL(BM$36:BM$51,$B19),BM$36:$BT$51,$BT$15-BM$15+1,0)</f>
        <v>Gooi en Vechtstreek</v>
      </c>
      <c r="BN19" s="57" t="str">
        <f ca="1">VLOOKUP(SMALL(BN$36:BN$51,$B19),BN$36:$BT$51,$BT$15-BN$15+1,0)</f>
        <v>Noord Holland Noord</v>
      </c>
      <c r="BO19" s="57" t="str">
        <f ca="1">VLOOKUP(SMALL(BO$36:BO$51,$B19),BO$36:$BT$51,$BT$15-BO$15+1,0)</f>
        <v>Gooi en Vechtstreek</v>
      </c>
      <c r="BP19" s="57" t="str">
        <f ca="1">VLOOKUP(SMALL(BP$36:BP$51,$B19),BP$36:$BT$51,$BT$15-BP$15+1,0)</f>
        <v>SAN</v>
      </c>
      <c r="BQ19" s="57" t="str">
        <f ca="1">VLOOKUP(SMALL(BQ$36:BQ$51,$B19),BQ$36:$BT$51,$BT$15-BQ$15+1,0)</f>
        <v>Valleilijn</v>
      </c>
      <c r="BR19" s="57" t="str">
        <f ca="1">VLOOKUP(SMALL(BR$36:BR$51,$B19),BR$36:$BT$51,$BT$15-BR$15+1,0)</f>
        <v>Almere</v>
      </c>
      <c r="BS19" s="57" t="str">
        <f ca="1">VLOOKUP(SMALL(BS$36:BS$51,$B19),BS$36:$BT$51,$BT$15-BS$15+1,0)</f>
        <v>Valleilijn</v>
      </c>
    </row>
    <row r="20" spans="2:71" outlineLevel="1">
      <c r="B20">
        <v>4</v>
      </c>
      <c r="C20" s="57" t="str">
        <f ca="1">VLOOKUP(SMALL(C$36:C$51,$B20),C$36:$BT$51,$BT$15-C$15+1,0)</f>
        <v>Ijsselmond</v>
      </c>
      <c r="D20" s="57" t="str">
        <f ca="1">VLOOKUP(SMALL(D$36:D$51,$B20),D$36:$BT$51,$BT$15-D$15+1,0)</f>
        <v>Gooi en Vechtstreek</v>
      </c>
      <c r="E20" s="57" t="str">
        <f ca="1">VLOOKUP(SMALL(E$36:E$51,$B20),E$36:$BT$51,$BT$15-E$15+1,0)</f>
        <v>Zaanstreek</v>
      </c>
      <c r="F20" s="57" t="str">
        <f ca="1">VLOOKUP(SMALL(F$36:F$51,$B20),F$36:$BT$51,$BT$15-F$15+1,0)</f>
        <v>Hoekse-Waarde Goeree Overflakkee</v>
      </c>
      <c r="G20" s="57" t="str">
        <f ca="1">VLOOKUP(SMALL(G$36:G$51,$B20),G$36:$BT$51,$BT$15-G$15+1,0)</f>
        <v>Gooi en Vechtstreek</v>
      </c>
      <c r="H20" s="57" t="str">
        <f ca="1">VLOOKUP(SMALL(H$36:H$51,$B20),H$36:$BT$51,$BT$15-H$15+1,0)</f>
        <v>Hoekse-Waarde Goeree Overflakkee</v>
      </c>
      <c r="I20" s="57" t="str">
        <f ca="1">VLOOKUP(SMALL(I$36:I$51,$B20),I$36:$BT$51,$BT$15-I$15+1,0)</f>
        <v>Zaanstreek</v>
      </c>
      <c r="J20" s="57" t="str">
        <f ca="1">VLOOKUP(SMALL(J$36:J$51,$B20),J$36:$BT$51,$BT$15-J$15+1,0)</f>
        <v>Noord Holland Noord</v>
      </c>
      <c r="K20" s="57" t="str">
        <f ca="1">VLOOKUP(SMALL(K$36:K$51,$B20),K$36:$BT$51,$BT$15-K$15+1,0)</f>
        <v>Parkshuttle</v>
      </c>
      <c r="L20" s="57" t="str">
        <f ca="1">VLOOKUP(SMALL(L$36:L$51,$B20),L$36:$BT$51,$BT$15-L$15+1,0)</f>
        <v>Valleilijn</v>
      </c>
      <c r="M20" s="57" t="str">
        <f ca="1">VLOOKUP(SMALL(M$36:M$51,$B20),M$36:$BT$51,$BT$15-M$15+1,0)</f>
        <v>Voorne Putten</v>
      </c>
      <c r="N20" s="57" t="str">
        <f ca="1">VLOOKUP(SMALL(N$36:N$51,$B20),N$36:$BT$51,$BT$15-N$15+1,0)</f>
        <v>Hoekse-Waarde Goeree Overflakkee</v>
      </c>
      <c r="O20" s="57" t="str">
        <f ca="1">VLOOKUP(SMALL(O$36:O$51,$B20),O$36:$BT$51,$BT$15-O$15+1,0)</f>
        <v>Noord and Midden Zeeland</v>
      </c>
      <c r="P20" s="57"/>
      <c r="Q20" s="57" t="str">
        <f ca="1">VLOOKUP(SMALL(Q$36:Q$51,$B20),Q$36:$BT$51,$BT$15-Q$15+1,0)</f>
        <v>Ijsselmond</v>
      </c>
      <c r="R20" s="57" t="str">
        <f ca="1">VLOOKUP(SMALL(R$36:R$51,$B20),R$36:$BT$51,$BT$15-R$15+1,0)</f>
        <v>Gooi en Vechtstreek</v>
      </c>
      <c r="S20" s="57" t="str">
        <f ca="1">VLOOKUP(SMALL(S$36:S$51,$B20),S$36:$BT$51,$BT$15-S$15+1,0)</f>
        <v>Voorne Putten</v>
      </c>
      <c r="T20" s="57" t="str">
        <f ca="1">VLOOKUP(SMALL(T$36:T$51,$B20),T$36:$BT$51,$BT$15-T$15+1,0)</f>
        <v>Zaanstreek</v>
      </c>
      <c r="U20" s="57" t="str">
        <f ca="1">VLOOKUP(SMALL(U$36:U$51,$B20),U$36:$BT$51,$BT$15-U$15+1,0)</f>
        <v>SRE</v>
      </c>
      <c r="V20" s="57" t="str">
        <f ca="1">VLOOKUP(SMALL(V$36:V$51,$B20),V$36:$BT$51,$BT$15-V$15+1,0)</f>
        <v>Zaanstreek</v>
      </c>
      <c r="W20" s="57" t="str">
        <f ca="1">VLOOKUP(SMALL(W$36:W$51,$B20),W$36:$BT$51,$BT$15-W$15+1,0)</f>
        <v>Zaanstreek</v>
      </c>
      <c r="X20" s="57" t="str">
        <f ca="1">VLOOKUP(SMALL(X$36:X$51,$B20),X$36:$BT$51,$BT$15-X$15+1,0)</f>
        <v>Gooi en Vechtstreek</v>
      </c>
      <c r="Y20" s="57" t="str">
        <f ca="1">VLOOKUP(SMALL(Y$36:Y$51,$B20),Y$36:$BT$51,$BT$15-Y$15+1,0)</f>
        <v>Amstelland Meerlanden</v>
      </c>
      <c r="Z20" s="57" t="str">
        <f ca="1">VLOOKUP(SMALL(Z$36:Z$51,$B20),Z$36:$BT$51,$BT$15-Z$15+1,0)</f>
        <v>Voorne Putten</v>
      </c>
      <c r="AA20" s="57" t="str">
        <f ca="1">VLOOKUP(SMALL(AA$36:AA$51,$B20),AA$36:$BT$51,$BT$15-AA$15+1,0)</f>
        <v>Amstelland Meerlanden</v>
      </c>
      <c r="AB20" s="57" t="str">
        <f ca="1">VLOOKUP(SMALL(AB$36:AB$51,$B20),AB$36:$BT$51,$BT$15-AB$15+1,0)</f>
        <v>Almere</v>
      </c>
      <c r="AC20" s="57" t="str">
        <f ca="1">VLOOKUP(SMALL(AC$36:AC$51,$B20),AC$36:$BT$51,$BT$15-AC$15+1,0)</f>
        <v>Hoekse-Waarde Goeree Overflakkee</v>
      </c>
      <c r="AE20" s="57" t="str">
        <f ca="1">VLOOKUP(SMALL(AE$36:AE$51,$B20),AE$36:$BT$51,$BT$15-AE$15+1,0)</f>
        <v>Gooi en Vechtstreek</v>
      </c>
      <c r="AF20" s="57" t="str">
        <f ca="1">VLOOKUP(SMALL(AF$36:AF$51,$B20),AF$36:$BT$51,$BT$15-AF$15+1,0)</f>
        <v>Gooi en Vechtstreek</v>
      </c>
      <c r="AG20" s="57" t="str">
        <f ca="1">VLOOKUP(SMALL(AG$36:AG$51,$B20),AG$36:$BT$51,$BT$15-AG$15+1,0)</f>
        <v>Ijsselmond</v>
      </c>
      <c r="AH20" s="57" t="str">
        <f ca="1">VLOOKUP(SMALL(AH$36:AH$51,$B20),AH$36:$BT$51,$BT$15-AH$15+1,0)</f>
        <v>Noord Holland Noord</v>
      </c>
      <c r="AI20" s="57" t="str">
        <f ca="1">VLOOKUP(SMALL(AI$36:AI$51,$B20),AI$36:$BT$51,$BT$15-AI$15+1,0)</f>
        <v>Hoekse-Waarde Goeree Overflakkee</v>
      </c>
      <c r="AJ20" s="57" t="str">
        <f ca="1">VLOOKUP(SMALL(AJ$36:AJ$51,$B20),AJ$36:$BT$51,$BT$15-AJ$15+1,0)</f>
        <v>Hoekse-Waarde Goeree Overflakkee</v>
      </c>
      <c r="AK20" s="57" t="str">
        <f ca="1">VLOOKUP(SMALL(AK$36:AK$51,$B20),AK$36:$BT$51,$BT$15-AK$15+1,0)</f>
        <v>Almere</v>
      </c>
      <c r="AL20" s="57" t="str">
        <f ca="1">VLOOKUP(SMALL(AL$36:AL$51,$B20),AL$36:$BT$51,$BT$15-AL$15+1,0)</f>
        <v>Valleilijn</v>
      </c>
      <c r="AM20" s="57" t="str">
        <f ca="1">VLOOKUP(SMALL(AM$36:AM$51,$B20),AM$36:$BT$51,$BT$15-AM$15+1,0)</f>
        <v>Provincie Utrecht</v>
      </c>
      <c r="AN20" s="57" t="str">
        <f ca="1">VLOOKUP(SMALL(AN$36:AN$51,$B20),AN$36:$BT$51,$BT$15-AN$15+1,0)</f>
        <v>Noord Holland Noord</v>
      </c>
      <c r="AO20" s="57" t="str">
        <f ca="1">VLOOKUP(SMALL(AO$36:AO$51,$B20),AO$36:$BT$51,$BT$15-AO$15+1,0)</f>
        <v>Ijsselmond</v>
      </c>
      <c r="AP20" s="57" t="str">
        <f ca="1">VLOOKUP(SMALL(AP$36:AP$51,$B20),AP$36:$BT$51,$BT$15-AP$15+1,0)</f>
        <v>Almere</v>
      </c>
      <c r="AQ20" s="57" t="str">
        <f ca="1">VLOOKUP(SMALL(AQ$36:AQ$51,$B20),AQ$36:$BT$51,$BT$15-AQ$15+1,0)</f>
        <v>SAN</v>
      </c>
      <c r="AS20" s="57" t="str">
        <f ca="1">VLOOKUP(SMALL(AS$36:AS$51,$B20),AS$36:$BT$51,$BT$15-AS$15+1,0)</f>
        <v>Gooi en Vechtstreek</v>
      </c>
      <c r="AT20" s="57" t="str">
        <f ca="1">VLOOKUP(SMALL(AT$36:AT$51,$B20),AT$36:$BT$51,$BT$15-AT$15+1,0)</f>
        <v>Voorne Putten</v>
      </c>
      <c r="AU20" s="57" t="str">
        <f ca="1">VLOOKUP(SMALL(AU$36:AU$51,$B20),AU$36:$BT$51,$BT$15-AU$15+1,0)</f>
        <v>Amstelland Meerlanden</v>
      </c>
      <c r="AV20" s="57" t="str">
        <f ca="1">VLOOKUP(SMALL(AV$36:AV$51,$B20),AV$36:$BT$51,$BT$15-AV$15+1,0)</f>
        <v>Valleilijn</v>
      </c>
      <c r="AW20" s="57" t="str">
        <f ca="1">VLOOKUP(SMALL(AW$36:AW$51,$B20),AW$36:$BT$51,$BT$15-AW$15+1,0)</f>
        <v>Zaanstreek</v>
      </c>
      <c r="AX20" s="57" t="str">
        <f ca="1">VLOOKUP(SMALL(AX$36:AX$51,$B20),AX$36:$BT$51,$BT$15-AX$15+1,0)</f>
        <v>Gooi en Vechtstreek</v>
      </c>
      <c r="AY20" s="57" t="str">
        <f ca="1">VLOOKUP(SMALL(AY$36:AY$51,$B20),AY$36:$BT$51,$BT$15-AY$15+1,0)</f>
        <v>Haarlem Ijmond</v>
      </c>
      <c r="AZ20" s="57" t="str">
        <f ca="1">VLOOKUP(SMALL(AZ$36:AZ$51,$B20),AZ$36:$BT$51,$BT$15-AZ$15+1,0)</f>
        <v>Gooi en Vechtstreek</v>
      </c>
      <c r="BA20" s="57" t="str">
        <f ca="1">VLOOKUP(SMALL(BA$36:BA$51,$B20),BA$36:$BT$51,$BT$15-BA$15+1,0)</f>
        <v>Amstelland Meerlanden</v>
      </c>
      <c r="BB20" s="57" t="str">
        <f ca="1">VLOOKUP(SMALL(BB$36:BB$51,$B20),BB$36:$BT$51,$BT$15-BB$15+1,0)</f>
        <v>Gooi en Vechtstreek</v>
      </c>
      <c r="BC20" s="57" t="str">
        <f ca="1">VLOOKUP(SMALL(BC$36:BC$51,$B20),BC$36:$BT$51,$BT$15-BC$15+1,0)</f>
        <v>Zaanstreek</v>
      </c>
      <c r="BD20" s="57" t="str">
        <f ca="1">VLOOKUP(SMALL(BD$36:BD$51,$B20),BD$36:$BT$51,$BT$15-BD$15+1,0)</f>
        <v>Parkshuttle</v>
      </c>
      <c r="BE20" s="57" t="str">
        <f ca="1">VLOOKUP(SMALL(BE$36:BE$51,$B20),BE$36:$BT$51,$BT$15-BE$15+1,0)</f>
        <v>SAN</v>
      </c>
      <c r="BG20" s="57" t="str">
        <f ca="1">VLOOKUP(SMALL(BG$36:BG$51,$B20),BG$36:$BT$51,$BT$15-BG$15+1,0)</f>
        <v>Noord and Midden Zeeland</v>
      </c>
      <c r="BH20" s="57" t="str">
        <f ca="1">VLOOKUP(SMALL(BH$36:BH$51,$B20),BH$36:$BT$51,$BT$15-BH$15+1,0)</f>
        <v>Ijsselmond</v>
      </c>
      <c r="BI20" s="57" t="str">
        <f ca="1">VLOOKUP(SMALL(BI$36:BI$51,$B20),BI$36:$BT$51,$BT$15-BI$15+1,0)</f>
        <v>Almere</v>
      </c>
      <c r="BJ20" s="57" t="str">
        <f ca="1">VLOOKUP(SMALL(BJ$36:BJ$51,$B20),BJ$36:$BT$51,$BT$15-BJ$15+1,0)</f>
        <v>Almere</v>
      </c>
      <c r="BK20" s="57" t="str">
        <f ca="1">VLOOKUP(SMALL(BK$36:BK$51,$B20),BK$36:$BT$51,$BT$15-BK$15+1,0)</f>
        <v>Gooi en Vechtstreek</v>
      </c>
      <c r="BL20" s="57" t="str">
        <f ca="1">VLOOKUP(SMALL(BL$36:BL$51,$B20),BL$36:$BT$51,$BT$15-BL$15+1,0)</f>
        <v>Noord Holland Noord</v>
      </c>
      <c r="BM20" s="57" t="str">
        <f ca="1">VLOOKUP(SMALL(BM$36:BM$51,$B20),BM$36:$BT$51,$BT$15-BM$15+1,0)</f>
        <v>SRE</v>
      </c>
      <c r="BN20" s="57" t="str">
        <f ca="1">VLOOKUP(SMALL(BN$36:BN$51,$B20),BN$36:$BT$51,$BT$15-BN$15+1,0)</f>
        <v>Amstelland Meerlanden</v>
      </c>
      <c r="BO20" s="57" t="str">
        <f ca="1">VLOOKUP(SMALL(BO$36:BO$51,$B20),BO$36:$BT$51,$BT$15-BO$15+1,0)</f>
        <v>Parkshuttle</v>
      </c>
      <c r="BP20" s="57" t="str">
        <f ca="1">VLOOKUP(SMALL(BP$36:BP$51,$B20),BP$36:$BT$51,$BT$15-BP$15+1,0)</f>
        <v>Provincie Utrecht</v>
      </c>
      <c r="BQ20" s="57" t="str">
        <f ca="1">VLOOKUP(SMALL(BQ$36:BQ$51,$B20),BQ$36:$BT$51,$BT$15-BQ$15+1,0)</f>
        <v>SRE</v>
      </c>
      <c r="BR20" s="57" t="str">
        <f ca="1">VLOOKUP(SMALL(BR$36:BR$51,$B20),BR$36:$BT$51,$BT$15-BR$15+1,0)</f>
        <v>Valleilijn</v>
      </c>
      <c r="BS20" s="57" t="str">
        <f ca="1">VLOOKUP(SMALL(BS$36:BS$51,$B20),BS$36:$BT$51,$BT$15-BS$15+1,0)</f>
        <v>SRE</v>
      </c>
    </row>
    <row r="21" spans="2:71" outlineLevel="1">
      <c r="B21">
        <v>5</v>
      </c>
      <c r="C21" s="57" t="str">
        <f ca="1">VLOOKUP(SMALL(C$36:C$51,$B21),C$36:$BT$51,$BT$15-C$15+1,0)</f>
        <v>Hoekse-Waarde Goeree Overflakkee</v>
      </c>
      <c r="D21" s="57" t="str">
        <f ca="1">VLOOKUP(SMALL(D$36:D$51,$B21),D$36:$BT$51,$BT$15-D$15+1,0)</f>
        <v>Hoekse-Waarde Goeree Overflakkee</v>
      </c>
      <c r="E21" s="57" t="str">
        <f ca="1">VLOOKUP(SMALL(E$36:E$51,$B21),E$36:$BT$51,$BT$15-E$15+1,0)</f>
        <v>SRE</v>
      </c>
      <c r="F21" s="57" t="str">
        <f ca="1">VLOOKUP(SMALL(F$36:F$51,$B21),F$36:$BT$51,$BT$15-F$15+1,0)</f>
        <v>Valleilijn</v>
      </c>
      <c r="G21" s="57" t="str">
        <f ca="1">VLOOKUP(SMALL(G$36:G$51,$B21),G$36:$BT$51,$BT$15-G$15+1,0)</f>
        <v>Voorne Putten</v>
      </c>
      <c r="H21" s="57" t="str">
        <f ca="1">VLOOKUP(SMALL(H$36:H$51,$B21),H$36:$BT$51,$BT$15-H$15+1,0)</f>
        <v>Zaanstreek</v>
      </c>
      <c r="I21" s="57" t="str">
        <f ca="1">VLOOKUP(SMALL(I$36:I$51,$B21),I$36:$BT$51,$BT$15-I$15+1,0)</f>
        <v>SAN</v>
      </c>
      <c r="J21" s="57" t="str">
        <f ca="1">VLOOKUP(SMALL(J$36:J$51,$B21),J$36:$BT$51,$BT$15-J$15+1,0)</f>
        <v>Haarlem Ijmond</v>
      </c>
      <c r="K21" s="57" t="str">
        <f ca="1">VLOOKUP(SMALL(K$36:K$51,$B21),K$36:$BT$51,$BT$15-K$15+1,0)</f>
        <v>Almere</v>
      </c>
      <c r="L21" s="57" t="str">
        <f ca="1">VLOOKUP(SMALL(L$36:L$51,$B21),L$36:$BT$51,$BT$15-L$15+1,0)</f>
        <v>Hoekse-Waarde Goeree Overflakkee</v>
      </c>
      <c r="M21" s="57" t="str">
        <f ca="1">VLOOKUP(SMALL(M$36:M$51,$B21),M$36:$BT$51,$BT$15-M$15+1,0)</f>
        <v>Provincie Utrecht</v>
      </c>
      <c r="N21" s="57" t="str">
        <f ca="1">VLOOKUP(SMALL(N$36:N$51,$B21),N$36:$BT$51,$BT$15-N$15+1,0)</f>
        <v>Noord and Midden Zeeland</v>
      </c>
      <c r="O21" s="57" t="str">
        <f ca="1">VLOOKUP(SMALL(O$36:O$51,$B21),O$36:$BT$51,$BT$15-O$15+1,0)</f>
        <v>SRE</v>
      </c>
      <c r="P21" s="57"/>
      <c r="Q21" s="57" t="str">
        <f ca="1">VLOOKUP(SMALL(Q$36:Q$51,$B21),Q$36:$BT$51,$BT$15-Q$15+1,0)</f>
        <v>Hoekse-Waarde Goeree Overflakkee</v>
      </c>
      <c r="R21" s="57" t="str">
        <f ca="1">VLOOKUP(SMALL(R$36:R$51,$B21),R$36:$BT$51,$BT$15-R$15+1,0)</f>
        <v>Ijsselmond</v>
      </c>
      <c r="S21" s="57" t="str">
        <f ca="1">VLOOKUP(SMALL(S$36:S$51,$B21),S$36:$BT$51,$BT$15-S$15+1,0)</f>
        <v>Zaanstreek</v>
      </c>
      <c r="T21" s="57" t="str">
        <f ca="1">VLOOKUP(SMALL(T$36:T$51,$B21),T$36:$BT$51,$BT$15-T$15+1,0)</f>
        <v>Ijsselmond</v>
      </c>
      <c r="U21" s="57" t="str">
        <f ca="1">VLOOKUP(SMALL(U$36:U$51,$B21),U$36:$BT$51,$BT$15-U$15+1,0)</f>
        <v>Gooi en Vechtstreek</v>
      </c>
      <c r="V21" s="57" t="str">
        <f ca="1">VLOOKUP(SMALL(V$36:V$51,$B21),V$36:$BT$51,$BT$15-V$15+1,0)</f>
        <v>Voorne Putten</v>
      </c>
      <c r="W21" s="57" t="str">
        <f ca="1">VLOOKUP(SMALL(W$36:W$51,$B21),W$36:$BT$51,$BT$15-W$15+1,0)</f>
        <v>Gooi en Vechtstreek</v>
      </c>
      <c r="X21" s="57" t="str">
        <f ca="1">VLOOKUP(SMALL(X$36:X$51,$B21),X$36:$BT$51,$BT$15-X$15+1,0)</f>
        <v>Haarlem Ijmond</v>
      </c>
      <c r="Y21" s="57" t="str">
        <f ca="1">VLOOKUP(SMALL(Y$36:Y$51,$B21),Y$36:$BT$51,$BT$15-Y$15+1,0)</f>
        <v>Almere</v>
      </c>
      <c r="Z21" s="57" t="str">
        <f ca="1">VLOOKUP(SMALL(Z$36:Z$51,$B21),Z$36:$BT$51,$BT$15-Z$15+1,0)</f>
        <v>Hoekse-Waarde Goeree Overflakkee</v>
      </c>
      <c r="AA21" s="57" t="str">
        <f ca="1">VLOOKUP(SMALL(AA$36:AA$51,$B21),AA$36:$BT$51,$BT$15-AA$15+1,0)</f>
        <v>Zaanstreek</v>
      </c>
      <c r="AB21" s="57" t="str">
        <f ca="1">VLOOKUP(SMALL(AB$36:AB$51,$B21),AB$36:$BT$51,$BT$15-AB$15+1,0)</f>
        <v>Gooi en Vechtstreek</v>
      </c>
      <c r="AC21" s="57" t="str">
        <f ca="1">VLOOKUP(SMALL(AC$36:AC$51,$B21),AC$36:$BT$51,$BT$15-AC$15+1,0)</f>
        <v>Provincie Utrecht</v>
      </c>
      <c r="AE21" s="57" t="str">
        <f ca="1">VLOOKUP(SMALL(AE$36:AE$51,$B21),AE$36:$BT$51,$BT$15-AE$15+1,0)</f>
        <v>Voorne Putten</v>
      </c>
      <c r="AF21" s="57" t="str">
        <f ca="1">VLOOKUP(SMALL(AF$36:AF$51,$B21),AF$36:$BT$51,$BT$15-AF$15+1,0)</f>
        <v>Valleilijn</v>
      </c>
      <c r="AG21" s="57" t="str">
        <f ca="1">VLOOKUP(SMALL(AG$36:AG$51,$B21),AG$36:$BT$51,$BT$15-AG$15+1,0)</f>
        <v>Valleilijn</v>
      </c>
      <c r="AH21" s="57" t="str">
        <f ca="1">VLOOKUP(SMALL(AH$36:AH$51,$B21),AH$36:$BT$51,$BT$15-AH$15+1,0)</f>
        <v>Voorne Putten</v>
      </c>
      <c r="AI21" s="57" t="str">
        <f ca="1">VLOOKUP(SMALL(AI$36:AI$51,$B21),AI$36:$BT$51,$BT$15-AI$15+1,0)</f>
        <v>Haarlem Ijmond</v>
      </c>
      <c r="AJ21" s="57" t="str">
        <f ca="1">VLOOKUP(SMALL(AJ$36:AJ$51,$B21),AJ$36:$BT$51,$BT$15-AJ$15+1,0)</f>
        <v>Haarlem Ijmond</v>
      </c>
      <c r="AK21" s="57" t="str">
        <f ca="1">VLOOKUP(SMALL(AK$36:AK$51,$B21),AK$36:$BT$51,$BT$15-AK$15+1,0)</f>
        <v>Amstelland Meerlanden</v>
      </c>
      <c r="AL21" s="57" t="str">
        <f ca="1">VLOOKUP(SMALL(AL$36:AL$51,$B21),AL$36:$BT$51,$BT$15-AL$15+1,0)</f>
        <v>Voorne Putten</v>
      </c>
      <c r="AM21" s="57" t="str">
        <f ca="1">VLOOKUP(SMALL(AM$36:AM$51,$B21),AM$36:$BT$51,$BT$15-AM$15+1,0)</f>
        <v>Haarlem Ijmond</v>
      </c>
      <c r="AN21" s="57" t="str">
        <f ca="1">VLOOKUP(SMALL(AN$36:AN$51,$B21),AN$36:$BT$51,$BT$15-AN$15+1,0)</f>
        <v>Zaanstreek</v>
      </c>
      <c r="AO21" s="57" t="str">
        <f ca="1">VLOOKUP(SMALL(AO$36:AO$51,$B21),AO$36:$BT$51,$BT$15-AO$15+1,0)</f>
        <v>Almere</v>
      </c>
      <c r="AP21" s="57" t="str">
        <f ca="1">VLOOKUP(SMALL(AP$36:AP$51,$B21),AP$36:$BT$51,$BT$15-AP$15+1,0)</f>
        <v>Ijsselmond</v>
      </c>
      <c r="AQ21" s="57" t="str">
        <f ca="1">VLOOKUP(SMALL(AQ$36:AQ$51,$B21),AQ$36:$BT$51,$BT$15-AQ$15+1,0)</f>
        <v>Ijsselmond</v>
      </c>
      <c r="AS21" s="57" t="str">
        <f ca="1">VLOOKUP(SMALL(AS$36:AS$51,$B21),AS$36:$BT$51,$BT$15-AS$15+1,0)</f>
        <v>Voorne Putten</v>
      </c>
      <c r="AT21" s="57" t="str">
        <f ca="1">VLOOKUP(SMALL(AT$36:AT$51,$B21),AT$36:$BT$51,$BT$15-AT$15+1,0)</f>
        <v>Gooi en Vechtstreek</v>
      </c>
      <c r="AU21" s="57" t="str">
        <f ca="1">VLOOKUP(SMALL(AU$36:AU$51,$B21),AU$36:$BT$51,$BT$15-AU$15+1,0)</f>
        <v>Zaanstreek</v>
      </c>
      <c r="AV21" s="57" t="str">
        <f ca="1">VLOOKUP(SMALL(AV$36:AV$51,$B21),AV$36:$BT$51,$BT$15-AV$15+1,0)</f>
        <v>Voorne Putten</v>
      </c>
      <c r="AW21" s="57" t="str">
        <f ca="1">VLOOKUP(SMALL(AW$36:AW$51,$B21),AW$36:$BT$51,$BT$15-AW$15+1,0)</f>
        <v>Haarlem Ijmond</v>
      </c>
      <c r="AX21" s="57" t="str">
        <f ca="1">VLOOKUP(SMALL(AX$36:AX$51,$B21),AX$36:$BT$51,$BT$15-AX$15+1,0)</f>
        <v>Zaanstreek</v>
      </c>
      <c r="AY21" s="57" t="str">
        <f ca="1">VLOOKUP(SMALL(AY$36:AY$51,$B21),AY$36:$BT$51,$BT$15-AY$15+1,0)</f>
        <v>Zaanstreek</v>
      </c>
      <c r="AZ21" s="57" t="str">
        <f ca="1">VLOOKUP(SMALL(AZ$36:AZ$51,$B21),AZ$36:$BT$51,$BT$15-AZ$15+1,0)</f>
        <v>Noord Holland Noord</v>
      </c>
      <c r="BA21" s="57" t="str">
        <f ca="1">VLOOKUP(SMALL(BA$36:BA$51,$B21),BA$36:$BT$51,$BT$15-BA$15+1,0)</f>
        <v>Almere</v>
      </c>
      <c r="BB21" s="57" t="str">
        <f ca="1">VLOOKUP(SMALL(BB$36:BB$51,$B21),BB$36:$BT$51,$BT$15-BB$15+1,0)</f>
        <v>Voorne Putten</v>
      </c>
      <c r="BC21" s="57" t="str">
        <f ca="1">VLOOKUP(SMALL(BC$36:BC$51,$B21),BC$36:$BT$51,$BT$15-BC$15+1,0)</f>
        <v>Gooi en Vechtstreek</v>
      </c>
      <c r="BD21" s="57" t="str">
        <f ca="1">VLOOKUP(SMALL(BD$36:BD$51,$B21),BD$36:$BT$51,$BT$15-BD$15+1,0)</f>
        <v>Almere</v>
      </c>
      <c r="BE21" s="57" t="str">
        <f ca="1">VLOOKUP(SMALL(BE$36:BE$51,$B21),BE$36:$BT$51,$BT$15-BE$15+1,0)</f>
        <v>Almere</v>
      </c>
      <c r="BG21" s="57" t="str">
        <f ca="1">VLOOKUP(SMALL(BG$36:BG$51,$B21),BG$36:$BT$51,$BT$15-BG$15+1,0)</f>
        <v>Hoekse-Waarde Goeree Overflakkee</v>
      </c>
      <c r="BH21" s="57" t="str">
        <f ca="1">VLOOKUP(SMALL(BH$36:BH$51,$B21),BH$36:$BT$51,$BT$15-BH$15+1,0)</f>
        <v>Provincie Utrecht</v>
      </c>
      <c r="BI21" s="57" t="str">
        <f ca="1">VLOOKUP(SMALL(BI$36:BI$51,$B21),BI$36:$BT$51,$BT$15-BI$15+1,0)</f>
        <v>SRE</v>
      </c>
      <c r="BJ21" s="57" t="str">
        <f ca="1">VLOOKUP(SMALL(BJ$36:BJ$51,$B21),BJ$36:$BT$51,$BT$15-BJ$15+1,0)</f>
        <v>Parkshuttle</v>
      </c>
      <c r="BK21" s="57" t="str">
        <f ca="1">VLOOKUP(SMALL(BK$36:BK$51,$B21),BK$36:$BT$51,$BT$15-BK$15+1,0)</f>
        <v>SRE</v>
      </c>
      <c r="BL21" s="57" t="str">
        <f ca="1">VLOOKUP(SMALL(BL$36:BL$51,$B21),BL$36:$BT$51,$BT$15-BL$15+1,0)</f>
        <v>SRE</v>
      </c>
      <c r="BM21" s="57" t="str">
        <f ca="1">VLOOKUP(SMALL(BM$36:BM$51,$B21),BM$36:$BT$51,$BT$15-BM$15+1,0)</f>
        <v>Almere</v>
      </c>
      <c r="BN21" s="57" t="str">
        <f ca="1">VLOOKUP(SMALL(BN$36:BN$51,$B21),BN$36:$BT$51,$BT$15-BN$15+1,0)</f>
        <v>SRE</v>
      </c>
      <c r="BO21" s="57" t="str">
        <f ca="1">VLOOKUP(SMALL(BO$36:BO$51,$B21),BO$36:$BT$51,$BT$15-BO$15+1,0)</f>
        <v>Ijsselmond</v>
      </c>
      <c r="BP21" s="57" t="str">
        <f ca="1">VLOOKUP(SMALL(BP$36:BP$51,$B21),BP$36:$BT$51,$BT$15-BP$15+1,0)</f>
        <v>Noord Holland Noord</v>
      </c>
      <c r="BQ21" s="57" t="str">
        <f ca="1">VLOOKUP(SMALL(BQ$36:BQ$51,$B21),BQ$36:$BT$51,$BT$15-BQ$15+1,0)</f>
        <v>Haarlem Ijmond</v>
      </c>
      <c r="BR21" s="57" t="str">
        <f ca="1">VLOOKUP(SMALL(BR$36:BR$51,$B21),BR$36:$BT$51,$BT$15-BR$15+1,0)</f>
        <v>Parkshuttle</v>
      </c>
      <c r="BS21" s="57" t="str">
        <f ca="1">VLOOKUP(SMALL(BS$36:BS$51,$B21),BS$36:$BT$51,$BT$15-BS$15+1,0)</f>
        <v>Almere</v>
      </c>
    </row>
    <row r="22" spans="2:71" outlineLevel="1"/>
    <row r="23" spans="2:71" outlineLevel="1"/>
    <row r="24" spans="2:71" outlineLevel="1">
      <c r="B24" t="s">
        <v>16</v>
      </c>
    </row>
    <row r="25" spans="2:71" outlineLevel="1">
      <c r="B25">
        <v>1</v>
      </c>
      <c r="C25" s="57" t="str">
        <f ca="1">VLOOKUP(LARGE(C$36:C$51,$B25),C$36:$BT$51,$BT$15-C$15+1,0)</f>
        <v>SAN</v>
      </c>
      <c r="D25" s="57" t="str">
        <f ca="1">VLOOKUP(LARGE(D$36:D$51,$B25),D$36:$BT$51,$BT$15-D$15+1,0)</f>
        <v>SAN</v>
      </c>
      <c r="E25" s="57" t="str">
        <f ca="1">VLOOKUP(LARGE(E$36:E$51,$B25),E$36:$BT$51,$BT$15-E$15+1,0)</f>
        <v>Ijsselmond</v>
      </c>
      <c r="F25" s="57" t="str">
        <f ca="1">VLOOKUP(LARGE(F$36:F$51,$B25),F$36:$BT$51,$BT$15-F$15+1,0)</f>
        <v>SAN</v>
      </c>
      <c r="G25" s="57" t="str">
        <f ca="1">VLOOKUP(LARGE(G$36:G$51,$B25),G$36:$BT$51,$BT$15-G$15+1,0)</f>
        <v>Valleilijn</v>
      </c>
      <c r="H25" s="57" t="str">
        <f ca="1">VLOOKUP(LARGE(H$36:H$51,$B25),H$36:$BT$51,$BT$15-H$15+1,0)</f>
        <v>Amstelland Meerlanden</v>
      </c>
      <c r="I25" s="57" t="str">
        <f ca="1">VLOOKUP(LARGE(I$36:I$51,$B25),I$36:$BT$51,$BT$15-I$15+1,0)</f>
        <v>Ijsselmond</v>
      </c>
      <c r="J25" s="57" t="str">
        <f ca="1">VLOOKUP(LARGE(J$36:J$51,$B25),J$36:$BT$51,$BT$15-J$15+1,0)</f>
        <v>SAN</v>
      </c>
      <c r="K25" s="57" t="str">
        <f ca="1">VLOOKUP(LARGE(K$36:K$51,$B25),K$36:$BT$51,$BT$15-K$15+1,0)</f>
        <v>SAN</v>
      </c>
      <c r="L25" s="57" t="str">
        <f ca="1">VLOOKUP(LARGE(L$36:L$51,$B25),L$36:$BT$51,$BT$15-L$15+1,0)</f>
        <v>SAN</v>
      </c>
      <c r="M25" s="57" t="str">
        <f ca="1">VLOOKUP(LARGE(M$36:M$51,$B25),M$36:$BT$51,$BT$15-M$15+1,0)</f>
        <v>Parkshuttle</v>
      </c>
      <c r="N25" s="57" t="str">
        <f ca="1">VLOOKUP(LARGE(N$36:N$51,$B25),N$36:$BT$51,$BT$15-N$15+1,0)</f>
        <v>Amstelland Meerlanden</v>
      </c>
      <c r="O25" s="57" t="str">
        <f ca="1">VLOOKUP(LARGE(O$36:O$51,$B25),O$36:$BT$51,$BT$15-O$15+1,0)</f>
        <v>Parkshuttle</v>
      </c>
      <c r="P25" s="57"/>
      <c r="Q25" s="57" t="str">
        <f ca="1">VLOOKUP(LARGE(Q$36:Q$51,$B25),Q$36:$BT$51,$BT$15-Q$15+1,0)</f>
        <v>Amstelland Meerlanden</v>
      </c>
      <c r="R25" s="57" t="str">
        <f ca="1">VLOOKUP(LARGE(R$36:R$51,$B25),R$36:$BT$51,$BT$15-R$15+1,0)</f>
        <v>SAN</v>
      </c>
      <c r="S25" s="57" t="str">
        <f ca="1">VLOOKUP(LARGE(S$36:S$51,$B25),S$36:$BT$51,$BT$15-S$15+1,0)</f>
        <v>Hoekse-Waarde Goeree Overflakkee</v>
      </c>
      <c r="T25" s="57" t="str">
        <f ca="1">VLOOKUP(LARGE(T$36:T$51,$B25),T$36:$BT$51,$BT$15-T$15+1,0)</f>
        <v>Amstelland Meerlanden</v>
      </c>
      <c r="U25" s="57" t="str">
        <f ca="1">VLOOKUP(LARGE(U$36:U$51,$B25),U$36:$BT$51,$BT$15-U$15+1,0)</f>
        <v>Valleilijn</v>
      </c>
      <c r="V25" s="57" t="str">
        <f ca="1">VLOOKUP(LARGE(V$36:V$51,$B25),V$36:$BT$51,$BT$15-V$15+1,0)</f>
        <v>Amstelland Meerlanden</v>
      </c>
      <c r="W25" s="57" t="str">
        <f ca="1">VLOOKUP(LARGE(W$36:W$51,$B25),W$36:$BT$51,$BT$15-W$15+1,0)</f>
        <v>Ijsselmond</v>
      </c>
      <c r="X25" s="57" t="str">
        <f ca="1">VLOOKUP(LARGE(X$36:X$51,$B25),X$36:$BT$51,$BT$15-X$15+1,0)</f>
        <v>SAN</v>
      </c>
      <c r="Y25" s="57" t="str">
        <f ca="1">VLOOKUP(LARGE(Y$36:Y$51,$B25),Y$36:$BT$51,$BT$15-Y$15+1,0)</f>
        <v>SAN</v>
      </c>
      <c r="Z25" s="57" t="str">
        <f ca="1">VLOOKUP(LARGE(Z$36:Z$51,$B25),Z$36:$BT$51,$BT$15-Z$15+1,0)</f>
        <v>SAN</v>
      </c>
      <c r="AA25" s="57" t="str">
        <f ca="1">VLOOKUP(LARGE(AA$36:AA$51,$B25),AA$36:$BT$51,$BT$15-AA$15+1,0)</f>
        <v>Parkshuttle</v>
      </c>
      <c r="AB25" s="57" t="str">
        <f ca="1">VLOOKUP(LARGE(AB$36:AB$51,$B25),AB$36:$BT$51,$BT$15-AB$15+1,0)</f>
        <v>Amstelland Meerlanden</v>
      </c>
      <c r="AC25" s="57" t="str">
        <f ca="1">VLOOKUP(LARGE(AC$36:AC$51,$B25),AC$36:$BT$51,$BT$15-AC$15+1,0)</f>
        <v>Parkshuttle</v>
      </c>
      <c r="AE25" s="57" t="str">
        <f ca="1">VLOOKUP(LARGE(AE$36:AE$51,$B25),AE$36:$BT$51,$BT$15-AE$15+1,0)</f>
        <v>SAN</v>
      </c>
      <c r="AF25" s="57" t="str">
        <f ca="1">VLOOKUP(LARGE(AF$36:AF$51,$B25),AF$36:$BT$51,$BT$15-AF$15+1,0)</f>
        <v>SAN</v>
      </c>
      <c r="AG25" s="57" t="str">
        <f ca="1">VLOOKUP(LARGE(AG$36:AG$51,$B25),AG$36:$BT$51,$BT$15-AG$15+1,0)</f>
        <v>Hoekse-Waarde Goeree Overflakkee</v>
      </c>
      <c r="AH25" s="57" t="str">
        <f ca="1">VLOOKUP(LARGE(AH$36:AH$51,$B25),AH$36:$BT$51,$BT$15-AH$15+1,0)</f>
        <v>SAN</v>
      </c>
      <c r="AI25" s="57" t="str">
        <f ca="1">VLOOKUP(LARGE(AI$36:AI$51,$B25),AI$36:$BT$51,$BT$15-AI$15+1,0)</f>
        <v>Noord and Midden Zeeland</v>
      </c>
      <c r="AJ25" s="57" t="str">
        <f ca="1">VLOOKUP(LARGE(AJ$36:AJ$51,$B25),AJ$36:$BT$51,$BT$15-AJ$15+1,0)</f>
        <v>Gooi en Vechtstreek</v>
      </c>
      <c r="AK25" s="57" t="str">
        <f ca="1">VLOOKUP(LARGE(AK$36:AK$51,$B25),AK$36:$BT$51,$BT$15-AK$15+1,0)</f>
        <v>Hoekse-Waarde Goeree Overflakkee</v>
      </c>
      <c r="AL25" s="57" t="str">
        <f ca="1">VLOOKUP(LARGE(AL$36:AL$51,$B25),AL$36:$BT$51,$BT$15-AL$15+1,0)</f>
        <v>Provincie Utrecht</v>
      </c>
      <c r="AM25" s="57" t="str">
        <f ca="1">VLOOKUP(LARGE(AM$36:AM$51,$B25),AM$36:$BT$51,$BT$15-AM$15+1,0)</f>
        <v>SAN</v>
      </c>
      <c r="AN25" s="57" t="str">
        <f ca="1">VLOOKUP(LARGE(AN$36:AN$51,$B25),AN$36:$BT$51,$BT$15-AN$15+1,0)</f>
        <v>SAN</v>
      </c>
      <c r="AO25" s="57" t="str">
        <f ca="1">VLOOKUP(LARGE(AO$36:AO$51,$B25),AO$36:$BT$51,$BT$15-AO$15+1,0)</f>
        <v>Provincie Utrecht</v>
      </c>
      <c r="AP25" s="57" t="str">
        <f ca="1">VLOOKUP(LARGE(AP$36:AP$51,$B25),AP$36:$BT$51,$BT$15-AP$15+1,0)</f>
        <v>Amstelland Meerlanden</v>
      </c>
      <c r="AQ25" s="57" t="str">
        <f ca="1">VLOOKUP(LARGE(AQ$36:AQ$51,$B25),AQ$36:$BT$51,$BT$15-AQ$15+1,0)</f>
        <v>Provincie Utrecht</v>
      </c>
      <c r="AS25" s="57" t="str">
        <f ca="1">VLOOKUP(LARGE(AS$36:AS$51,$B25),AS$36:$BT$51,$BT$15-AS$15+1,0)</f>
        <v>SAN</v>
      </c>
      <c r="AT25" s="57" t="str">
        <f ca="1">VLOOKUP(LARGE(AT$36:AT$51,$B25),AT$36:$BT$51,$BT$15-AT$15+1,0)</f>
        <v>SAN</v>
      </c>
      <c r="AU25" s="57" t="str">
        <f ca="1">VLOOKUP(LARGE(AU$36:AU$51,$B25),AU$36:$BT$51,$BT$15-AU$15+1,0)</f>
        <v>Noord Holland Noord</v>
      </c>
      <c r="AV25" s="57" t="str">
        <f ca="1">VLOOKUP(LARGE(AV$36:AV$51,$B25),AV$36:$BT$51,$BT$15-AV$15+1,0)</f>
        <v>SAN</v>
      </c>
      <c r="AW25" s="57" t="str">
        <f ca="1">VLOOKUP(LARGE(AW$36:AW$51,$B25),AW$36:$BT$51,$BT$15-AW$15+1,0)</f>
        <v>Valleilijn</v>
      </c>
      <c r="AX25" s="57" t="str">
        <f ca="1">VLOOKUP(LARGE(AX$36:AX$51,$B25),AX$36:$BT$51,$BT$15-AX$15+1,0)</f>
        <v>Amstelland Meerlanden</v>
      </c>
      <c r="AY25" s="57" t="str">
        <f ca="1">VLOOKUP(LARGE(AY$36:AY$51,$B25),AY$36:$BT$51,$BT$15-AY$15+1,0)</f>
        <v>Noord and Midden Zeeland</v>
      </c>
      <c r="AZ25" s="57" t="str">
        <f ca="1">VLOOKUP(LARGE(AZ$36:AZ$51,$B25),AZ$36:$BT$51,$BT$15-AZ$15+1,0)</f>
        <v>SAN</v>
      </c>
      <c r="BA25" s="57" t="str">
        <f ca="1">VLOOKUP(LARGE(BA$36:BA$51,$B25),BA$36:$BT$51,$BT$15-BA$15+1,0)</f>
        <v>SAN</v>
      </c>
      <c r="BB25" s="57" t="str">
        <f ca="1">VLOOKUP(LARGE(BB$36:BB$51,$B25),BB$36:$BT$51,$BT$15-BB$15+1,0)</f>
        <v>SAN</v>
      </c>
      <c r="BC25" s="57" t="str">
        <f ca="1">VLOOKUP(LARGE(BC$36:BC$51,$B25),BC$36:$BT$51,$BT$15-BC$15+1,0)</f>
        <v>Parkshuttle</v>
      </c>
      <c r="BD25" s="57" t="str">
        <f ca="1">VLOOKUP(LARGE(BD$36:BD$51,$B25),BD$36:$BT$51,$BT$15-BD$15+1,0)</f>
        <v>Amstelland Meerlanden</v>
      </c>
      <c r="BE25" s="57" t="str">
        <f ca="1">VLOOKUP(LARGE(BE$36:BE$51,$B25),BE$36:$BT$51,$BT$15-BE$15+1,0)</f>
        <v>Parkshuttle</v>
      </c>
      <c r="BG25" s="57" t="str">
        <f ca="1">VLOOKUP(LARGE(BG$36:BG$51,$B25),BG$36:$BT$51,$BT$15-BG$15+1,0)</f>
        <v>Amstelland Meerlanden</v>
      </c>
      <c r="BH25" s="57" t="str">
        <f ca="1">VLOOKUP(LARGE(BH$36:BH$51,$B25),BH$36:$BT$51,$BT$15-BH$15+1,0)</f>
        <v>Amstelland Meerlanden</v>
      </c>
      <c r="BI25" s="57" t="str">
        <f ca="1">VLOOKUP(LARGE(BI$36:BI$51,$B25),BI$36:$BT$51,$BT$15-BI$15+1,0)</f>
        <v>Provincie Utrecht</v>
      </c>
      <c r="BJ25" s="57" t="str">
        <f ca="1">VLOOKUP(LARGE(BJ$36:BJ$51,$B25),BJ$36:$BT$51,$BT$15-BJ$15+1,0)</f>
        <v>SRE</v>
      </c>
      <c r="BK25" s="57" t="str">
        <f ca="1">VLOOKUP(LARGE(BK$36:BK$51,$B25),BK$36:$BT$51,$BT$15-BK$15+1,0)</f>
        <v>Noord and Midden Zeeland</v>
      </c>
      <c r="BL25" s="57" t="str">
        <f ca="1">VLOOKUP(LARGE(BL$36:BL$51,$B25),BL$36:$BT$51,$BT$15-BL$15+1,0)</f>
        <v>Parkshuttle</v>
      </c>
      <c r="BM25" s="57" t="str">
        <f ca="1">VLOOKUP(LARGE(BM$36:BM$51,$B25),BM$36:$BT$51,$BT$15-BM$15+1,0)</f>
        <v>Noord and Midden Zeeland</v>
      </c>
      <c r="BN25" s="57" t="str">
        <f ca="1">VLOOKUP(LARGE(BN$36:BN$51,$B25),BN$36:$BT$51,$BT$15-BN$15+1,0)</f>
        <v>Noord and Midden Zeeland</v>
      </c>
      <c r="BO25" s="57" t="str">
        <f ca="1">VLOOKUP(LARGE(BO$36:BO$51,$B25),BO$36:$BT$51,$BT$15-BO$15+1,0)</f>
        <v>Haarlem Ijmond</v>
      </c>
      <c r="BP25" s="57" t="str">
        <f ca="1">VLOOKUP(LARGE(BP$36:BP$51,$B25),BP$36:$BT$51,$BT$15-BP$15+1,0)</f>
        <v>SRE</v>
      </c>
      <c r="BQ25" s="57" t="str">
        <f ca="1">VLOOKUP(LARGE(BQ$36:BQ$51,$B25),BQ$36:$BT$51,$BT$15-BQ$15+1,0)</f>
        <v>Noord and Midden Zeeland</v>
      </c>
      <c r="BR25" s="57" t="str">
        <f ca="1">VLOOKUP(LARGE(BR$36:BR$51,$B25),BR$36:$BT$51,$BT$15-BR$15+1,0)</f>
        <v>Amstelland Meerlanden</v>
      </c>
      <c r="BS25" s="57" t="str">
        <f ca="1">VLOOKUP(LARGE(BS$36:BS$51,$B25),BS$36:$BT$51,$BT$15-BS$15+1,0)</f>
        <v>Hoekse-Waarde Goeree Overflakkee</v>
      </c>
    </row>
    <row r="26" spans="2:71" outlineLevel="1">
      <c r="B26">
        <v>2</v>
      </c>
      <c r="C26" s="57" t="str">
        <f ca="1">VLOOKUP(LARGE(C$36:C$51,$B26),C$36:$BT$51,$BT$15-C$15+1,0)</f>
        <v>Amstelland Meerlanden</v>
      </c>
      <c r="D26" s="57" t="str">
        <f ca="1">VLOOKUP(LARGE(D$36:D$51,$B26),D$36:$BT$51,$BT$15-D$15+1,0)</f>
        <v>Amstelland Meerlanden</v>
      </c>
      <c r="E26" s="57" t="str">
        <f ca="1">VLOOKUP(LARGE(E$36:E$51,$B26),E$36:$BT$51,$BT$15-E$15+1,0)</f>
        <v>Noord Holland Noord</v>
      </c>
      <c r="F26" s="57" t="str">
        <f ca="1">VLOOKUP(LARGE(F$36:F$51,$B26),F$36:$BT$51,$BT$15-F$15+1,0)</f>
        <v>SRE</v>
      </c>
      <c r="G26" s="57" t="str">
        <f ca="1">VLOOKUP(LARGE(G$36:G$51,$B26),G$36:$BT$51,$BT$15-G$15+1,0)</f>
        <v>SAN</v>
      </c>
      <c r="H26" s="57" t="str">
        <f ca="1">VLOOKUP(LARGE(H$36:H$51,$B26),H$36:$BT$51,$BT$15-H$15+1,0)</f>
        <v>SAN</v>
      </c>
      <c r="I26" s="57" t="str">
        <f ca="1">VLOOKUP(LARGE(I$36:I$51,$B26),I$36:$BT$51,$BT$15-I$15+1,0)</f>
        <v>Noord and Midden Zeeland</v>
      </c>
      <c r="J26" s="57" t="str">
        <f ca="1">VLOOKUP(LARGE(J$36:J$51,$B26),J$36:$BT$51,$BT$15-J$15+1,0)</f>
        <v>SRE</v>
      </c>
      <c r="K26" s="57" t="str">
        <f ca="1">VLOOKUP(LARGE(K$36:K$51,$B26),K$36:$BT$51,$BT$15-K$15+1,0)</f>
        <v>Noord and Midden Zeeland</v>
      </c>
      <c r="L26" s="57" t="str">
        <f ca="1">VLOOKUP(LARGE(L$36:L$51,$B26),L$36:$BT$51,$BT$15-L$15+1,0)</f>
        <v>Amstelland Meerlanden</v>
      </c>
      <c r="M26" s="57" t="str">
        <f ca="1">VLOOKUP(LARGE(M$36:M$51,$B26),M$36:$BT$51,$BT$15-M$15+1,0)</f>
        <v>Valleilijn</v>
      </c>
      <c r="N26" s="57" t="str">
        <f ca="1">VLOOKUP(LARGE(N$36:N$51,$B26),N$36:$BT$51,$BT$15-N$15+1,0)</f>
        <v>Haarlem Ijmond</v>
      </c>
      <c r="O26" s="57" t="str">
        <f ca="1">VLOOKUP(LARGE(O$36:O$51,$B26),O$36:$BT$51,$BT$15-O$15+1,0)</f>
        <v>Valleilijn</v>
      </c>
      <c r="P26" s="57"/>
      <c r="Q26" s="57" t="str">
        <f ca="1">VLOOKUP(LARGE(Q$36:Q$51,$B26),Q$36:$BT$51,$BT$15-Q$15+1,0)</f>
        <v>SAN</v>
      </c>
      <c r="R26" s="57" t="str">
        <f ca="1">VLOOKUP(LARGE(R$36:R$51,$B26),R$36:$BT$51,$BT$15-R$15+1,0)</f>
        <v>Amstelland Meerlanden</v>
      </c>
      <c r="S26" s="57" t="str">
        <f ca="1">VLOOKUP(LARGE(S$36:S$51,$B26),S$36:$BT$51,$BT$15-S$15+1,0)</f>
        <v>Ijsselmond</v>
      </c>
      <c r="T26" s="57" t="str">
        <f ca="1">VLOOKUP(LARGE(T$36:T$51,$B26),T$36:$BT$51,$BT$15-T$15+1,0)</f>
        <v>SAN</v>
      </c>
      <c r="U26" s="57" t="str">
        <f ca="1">VLOOKUP(LARGE(U$36:U$51,$B26),U$36:$BT$51,$BT$15-U$15+1,0)</f>
        <v>Parkshuttle</v>
      </c>
      <c r="V26" s="57" t="str">
        <f ca="1">VLOOKUP(LARGE(V$36:V$51,$B26),V$36:$BT$51,$BT$15-V$15+1,0)</f>
        <v>SAN</v>
      </c>
      <c r="W26" s="57" t="str">
        <f ca="1">VLOOKUP(LARGE(W$36:W$51,$B26),W$36:$BT$51,$BT$15-W$15+1,0)</f>
        <v>Noord and Midden Zeeland</v>
      </c>
      <c r="X26" s="57" t="str">
        <f ca="1">VLOOKUP(LARGE(X$36:X$51,$B26),X$36:$BT$51,$BT$15-X$15+1,0)</f>
        <v>SRE</v>
      </c>
      <c r="Y26" s="57" t="str">
        <f ca="1">VLOOKUP(LARGE(Y$36:Y$51,$B26),Y$36:$BT$51,$BT$15-Y$15+1,0)</f>
        <v>SRE</v>
      </c>
      <c r="Z26" s="57" t="str">
        <f ca="1">VLOOKUP(LARGE(Z$36:Z$51,$B26),Z$36:$BT$51,$BT$15-Z$15+1,0)</f>
        <v>Amstelland Meerlanden</v>
      </c>
      <c r="AA26" s="57" t="str">
        <f ca="1">VLOOKUP(LARGE(AA$36:AA$51,$B26),AA$36:$BT$51,$BT$15-AA$15+1,0)</f>
        <v>Valleilijn</v>
      </c>
      <c r="AB26" s="57" t="str">
        <f ca="1">VLOOKUP(LARGE(AB$36:AB$51,$B26),AB$36:$BT$51,$BT$15-AB$15+1,0)</f>
        <v>Haarlem Ijmond</v>
      </c>
      <c r="AC26" s="57" t="str">
        <f ca="1">VLOOKUP(LARGE(AC$36:AC$51,$B26),AC$36:$BT$51,$BT$15-AC$15+1,0)</f>
        <v>Valleilijn</v>
      </c>
      <c r="AE26" s="57" t="str">
        <f ca="1">VLOOKUP(LARGE(AE$36:AE$51,$B26),AE$36:$BT$51,$BT$15-AE$15+1,0)</f>
        <v>SRE</v>
      </c>
      <c r="AF26" s="57" t="str">
        <f ca="1">VLOOKUP(LARGE(AF$36:AF$51,$B26),AF$36:$BT$51,$BT$15-AF$15+1,0)</f>
        <v>Amstelland Meerlanden</v>
      </c>
      <c r="AG26" s="57" t="str">
        <f ca="1">VLOOKUP(LARGE(AG$36:AG$51,$B26),AG$36:$BT$51,$BT$15-AG$15+1,0)</f>
        <v>SAN</v>
      </c>
      <c r="AH26" s="57" t="str">
        <f ca="1">VLOOKUP(LARGE(AH$36:AH$51,$B26),AH$36:$BT$51,$BT$15-AH$15+1,0)</f>
        <v>SRE</v>
      </c>
      <c r="AI26" s="57" t="str">
        <f ca="1">VLOOKUP(LARGE(AI$36:AI$51,$B26),AI$36:$BT$51,$BT$15-AI$15+1,0)</f>
        <v>Voorne Putten</v>
      </c>
      <c r="AJ26" s="57" t="str">
        <f ca="1">VLOOKUP(LARGE(AJ$36:AJ$51,$B26),AJ$36:$BT$51,$BT$15-AJ$15+1,0)</f>
        <v>SRE</v>
      </c>
      <c r="AK26" s="57" t="str">
        <f ca="1">VLOOKUP(LARGE(AK$36:AK$51,$B26),AK$36:$BT$51,$BT$15-AK$15+1,0)</f>
        <v>Ijsselmond</v>
      </c>
      <c r="AL26" s="57" t="str">
        <f ca="1">VLOOKUP(LARGE(AL$36:AL$51,$B26),AL$36:$BT$51,$BT$15-AL$15+1,0)</f>
        <v>Noord and Midden Zeeland</v>
      </c>
      <c r="AM26" s="57" t="str">
        <f ca="1">VLOOKUP(LARGE(AM$36:AM$51,$B26),AM$36:$BT$51,$BT$15-AM$15+1,0)</f>
        <v>SRE</v>
      </c>
      <c r="AN26" s="57" t="str">
        <f ca="1">VLOOKUP(LARGE(AN$36:AN$51,$B26),AN$36:$BT$51,$BT$15-AN$15+1,0)</f>
        <v>Noord and Midden Zeeland</v>
      </c>
      <c r="AO26" s="57" t="str">
        <f ca="1">VLOOKUP(LARGE(AO$36:AO$51,$B26),AO$36:$BT$51,$BT$15-AO$15+1,0)</f>
        <v>Amstelland Meerlanden</v>
      </c>
      <c r="AP26" s="57" t="str">
        <f ca="1">VLOOKUP(LARGE(AP$36:AP$51,$B26),AP$36:$BT$51,$BT$15-AP$15+1,0)</f>
        <v>Provincie Utrecht</v>
      </c>
      <c r="AQ26" s="57" t="str">
        <f ca="1">VLOOKUP(LARGE(AQ$36:AQ$51,$B26),AQ$36:$BT$51,$BT$15-AQ$15+1,0)</f>
        <v>Hoekse-Waarde Goeree Overflakkee</v>
      </c>
      <c r="AS26" s="57" t="str">
        <f ca="1">VLOOKUP(LARGE(AS$36:AS$51,$B26),AS$36:$BT$51,$BT$15-AS$15+1,0)</f>
        <v>Amstelland Meerlanden</v>
      </c>
      <c r="AT26" s="57" t="str">
        <f ca="1">VLOOKUP(LARGE(AT$36:AT$51,$B26),AT$36:$BT$51,$BT$15-AT$15+1,0)</f>
        <v>Amstelland Meerlanden</v>
      </c>
      <c r="AU26" s="57" t="str">
        <f ca="1">VLOOKUP(LARGE(AU$36:AU$51,$B26),AU$36:$BT$51,$BT$15-AU$15+1,0)</f>
        <v>Ijsselmond</v>
      </c>
      <c r="AV26" s="57" t="str">
        <f ca="1">VLOOKUP(LARGE(AV$36:AV$51,$B26),AV$36:$BT$51,$BT$15-AV$15+1,0)</f>
        <v>Amstelland Meerlanden</v>
      </c>
      <c r="AW26" s="57" t="str">
        <f ca="1">VLOOKUP(LARGE(AW$36:AW$51,$B26),AW$36:$BT$51,$BT$15-AW$15+1,0)</f>
        <v>SAN</v>
      </c>
      <c r="AX26" s="57" t="str">
        <f ca="1">VLOOKUP(LARGE(AX$36:AX$51,$B26),AX$36:$BT$51,$BT$15-AX$15+1,0)</f>
        <v>SAN</v>
      </c>
      <c r="AY26" s="57" t="str">
        <f ca="1">VLOOKUP(LARGE(AY$36:AY$51,$B26),AY$36:$BT$51,$BT$15-AY$15+1,0)</f>
        <v>Ijsselmond</v>
      </c>
      <c r="AZ26" s="57" t="str">
        <f ca="1">VLOOKUP(LARGE(AZ$36:AZ$51,$B26),AZ$36:$BT$51,$BT$15-AZ$15+1,0)</f>
        <v>SRE</v>
      </c>
      <c r="BA26" s="57" t="str">
        <f ca="1">VLOOKUP(LARGE(BA$36:BA$51,$B26),BA$36:$BT$51,$BT$15-BA$15+1,0)</f>
        <v>Provincie Utrecht</v>
      </c>
      <c r="BB26" s="57" t="str">
        <f ca="1">VLOOKUP(LARGE(BB$36:BB$51,$B26),BB$36:$BT$51,$BT$15-BB$15+1,0)</f>
        <v>Amstelland Meerlanden</v>
      </c>
      <c r="BC26" s="57" t="str">
        <f ca="1">VLOOKUP(LARGE(BC$36:BC$51,$B26),BC$36:$BT$51,$BT$15-BC$15+1,0)</f>
        <v>Valleilijn</v>
      </c>
      <c r="BD26" s="57" t="str">
        <f ca="1">VLOOKUP(LARGE(BD$36:BD$51,$B26),BD$36:$BT$51,$BT$15-BD$15+1,0)</f>
        <v>SRE</v>
      </c>
      <c r="BE26" s="57" t="str">
        <f ca="1">VLOOKUP(LARGE(BE$36:BE$51,$B26),BE$36:$BT$51,$BT$15-BE$15+1,0)</f>
        <v>Valleilijn</v>
      </c>
      <c r="BG26" s="57" t="str">
        <f ca="1">VLOOKUP(LARGE(BG$36:BG$51,$B26),BG$36:$BT$51,$BT$15-BG$15+1,0)</f>
        <v>Provincie Utrecht</v>
      </c>
      <c r="BH26" s="57" t="str">
        <f ca="1">VLOOKUP(LARGE(BH$36:BH$51,$B26),BH$36:$BT$51,$BT$15-BH$15+1,0)</f>
        <v>SRE</v>
      </c>
      <c r="BI26" s="57" t="str">
        <f ca="1">VLOOKUP(LARGE(BI$36:BI$51,$B26),BI$36:$BT$51,$BT$15-BI$15+1,0)</f>
        <v>Noord Holland Noord</v>
      </c>
      <c r="BJ26" s="57" t="str">
        <f ca="1">VLOOKUP(LARGE(BJ$36:BJ$51,$B26),BJ$36:$BT$51,$BT$15-BJ$15+1,0)</f>
        <v>SAN</v>
      </c>
      <c r="BK26" s="57" t="str">
        <f ca="1">VLOOKUP(LARGE(BK$36:BK$51,$B26),BK$36:$BT$51,$BT$15-BK$15+1,0)</f>
        <v>Haarlem Ijmond</v>
      </c>
      <c r="BL26" s="57" t="str">
        <f ca="1">VLOOKUP(LARGE(BL$36:BL$51,$B26),BL$36:$BT$51,$BT$15-BL$15+1,0)</f>
        <v>Haarlem Ijmond</v>
      </c>
      <c r="BM26" s="57" t="str">
        <f ca="1">VLOOKUP(LARGE(BM$36:BM$51,$B26),BM$36:$BT$51,$BT$15-BM$15+1,0)</f>
        <v>Noord Holland Noord</v>
      </c>
      <c r="BN26" s="57" t="str">
        <f ca="1">VLOOKUP(LARGE(BN$36:BN$51,$B26),BN$36:$BT$51,$BT$15-BN$15+1,0)</f>
        <v>Ijsselmond</v>
      </c>
      <c r="BO26" s="57" t="str">
        <f ca="1">VLOOKUP(LARGE(BO$36:BO$51,$B26),BO$36:$BT$51,$BT$15-BO$15+1,0)</f>
        <v>Noord Holland Noord</v>
      </c>
      <c r="BP26" s="57" t="str">
        <f ca="1">VLOOKUP(LARGE(BP$36:BP$51,$B26),BP$36:$BT$51,$BT$15-BP$15+1,0)</f>
        <v>Haarlem Ijmond</v>
      </c>
      <c r="BQ26" s="57" t="str">
        <f ca="1">VLOOKUP(LARGE(BQ$36:BQ$51,$B26),BQ$36:$BT$51,$BT$15-BQ$15+1,0)</f>
        <v>Amstelland Meerlanden</v>
      </c>
      <c r="BR26" s="57" t="str">
        <f ca="1">VLOOKUP(LARGE(BR$36:BR$51,$B26),BR$36:$BT$51,$BT$15-BR$15+1,0)</f>
        <v>Provincie Utrecht</v>
      </c>
      <c r="BS26" s="57" t="str">
        <f ca="1">VLOOKUP(LARGE(BS$36:BS$51,$B26),BS$36:$BT$51,$BT$15-BS$15+1,0)</f>
        <v>Noord and Midden Zeeland</v>
      </c>
    </row>
    <row r="27" spans="2:71" outlineLevel="1">
      <c r="B27">
        <v>3</v>
      </c>
      <c r="C27" s="57" t="str">
        <f ca="1">VLOOKUP(LARGE(C$36:C$51,$B27),C$36:$BT$51,$BT$15-C$15+1,0)</f>
        <v>SRE</v>
      </c>
      <c r="D27" s="57" t="str">
        <f ca="1">VLOOKUP(LARGE(D$36:D$51,$B27),D$36:$BT$51,$BT$15-D$15+1,0)</f>
        <v>SRE</v>
      </c>
      <c r="E27" s="57" t="str">
        <f ca="1">VLOOKUP(LARGE(E$36:E$51,$B27),E$36:$BT$51,$BT$15-E$15+1,0)</f>
        <v>Gooi en Vechtstreek</v>
      </c>
      <c r="F27" s="57" t="str">
        <f ca="1">VLOOKUP(LARGE(F$36:F$51,$B27),F$36:$BT$51,$BT$15-F$15+1,0)</f>
        <v>Amstelland Meerlanden</v>
      </c>
      <c r="G27" s="57" t="str">
        <f ca="1">VLOOKUP(LARGE(G$36:G$51,$B27),G$36:$BT$51,$BT$15-G$15+1,0)</f>
        <v>SRE</v>
      </c>
      <c r="H27" s="57" t="str">
        <f ca="1">VLOOKUP(LARGE(H$36:H$51,$B27),H$36:$BT$51,$BT$15-H$15+1,0)</f>
        <v>SRE</v>
      </c>
      <c r="I27" s="57" t="str">
        <f ca="1">VLOOKUP(LARGE(I$36:I$51,$B27),I$36:$BT$51,$BT$15-I$15+1,0)</f>
        <v>Almere</v>
      </c>
      <c r="J27" s="57" t="str">
        <f ca="1">VLOOKUP(LARGE(J$36:J$51,$B27),J$36:$BT$51,$BT$15-J$15+1,0)</f>
        <v>Provincie Utrecht</v>
      </c>
      <c r="K27" s="57" t="str">
        <f ca="1">VLOOKUP(LARGE(K$36:K$51,$B27),K$36:$BT$51,$BT$15-K$15+1,0)</f>
        <v>Hoekse-Waarde Goeree Overflakkee</v>
      </c>
      <c r="L27" s="57" t="str">
        <f ca="1">VLOOKUP(LARGE(L$36:L$51,$B27),L$36:$BT$51,$BT$15-L$15+1,0)</f>
        <v>SRE</v>
      </c>
      <c r="M27" s="57" t="str">
        <f ca="1">VLOOKUP(LARGE(M$36:M$51,$B27),M$36:$BT$51,$BT$15-M$15+1,0)</f>
        <v>Almere</v>
      </c>
      <c r="N27" s="57" t="str">
        <f ca="1">VLOOKUP(LARGE(N$36:N$51,$B27),N$36:$BT$51,$BT$15-N$15+1,0)</f>
        <v>Provincie Utrecht</v>
      </c>
      <c r="O27" s="57" t="str">
        <f ca="1">VLOOKUP(LARGE(O$36:O$51,$B27),O$36:$BT$51,$BT$15-O$15+1,0)</f>
        <v>Amstelland Meerlanden</v>
      </c>
      <c r="P27" s="57"/>
      <c r="Q27" s="57" t="str">
        <f ca="1">VLOOKUP(LARGE(Q$36:Q$51,$B27),Q$36:$BT$51,$BT$15-Q$15+1,0)</f>
        <v>SRE</v>
      </c>
      <c r="R27" s="57" t="str">
        <f ca="1">VLOOKUP(LARGE(R$36:R$51,$B27),R$36:$BT$51,$BT$15-R$15+1,0)</f>
        <v>SRE</v>
      </c>
      <c r="S27" s="57" t="str">
        <f ca="1">VLOOKUP(LARGE(S$36:S$51,$B27),S$36:$BT$51,$BT$15-S$15+1,0)</f>
        <v>Noord Holland Noord</v>
      </c>
      <c r="T27" s="57" t="str">
        <f ca="1">VLOOKUP(LARGE(T$36:T$51,$B27),T$36:$BT$51,$BT$15-T$15+1,0)</f>
        <v>SRE</v>
      </c>
      <c r="U27" s="57" t="str">
        <f ca="1">VLOOKUP(LARGE(U$36:U$51,$B27),U$36:$BT$51,$BT$15-U$15+1,0)</f>
        <v>Almere</v>
      </c>
      <c r="V27" s="57" t="str">
        <f ca="1">VLOOKUP(LARGE(V$36:V$51,$B27),V$36:$BT$51,$BT$15-V$15+1,0)</f>
        <v>SRE</v>
      </c>
      <c r="W27" s="57" t="str">
        <f ca="1">VLOOKUP(LARGE(W$36:W$51,$B27),W$36:$BT$51,$BT$15-W$15+1,0)</f>
        <v>Hoekse-Waarde Goeree Overflakkee</v>
      </c>
      <c r="X27" s="57" t="str">
        <f ca="1">VLOOKUP(LARGE(X$36:X$51,$B27),X$36:$BT$51,$BT$15-X$15+1,0)</f>
        <v>Provincie Utrecht</v>
      </c>
      <c r="Y27" s="57" t="str">
        <f ca="1">VLOOKUP(LARGE(Y$36:Y$51,$B27),Y$36:$BT$51,$BT$15-Y$15+1,0)</f>
        <v>Ijsselmond</v>
      </c>
      <c r="Z27" s="57" t="str">
        <f ca="1">VLOOKUP(LARGE(Z$36:Z$51,$B27),Z$36:$BT$51,$BT$15-Z$15+1,0)</f>
        <v>SRE</v>
      </c>
      <c r="AA27" s="57" t="str">
        <f ca="1">VLOOKUP(LARGE(AA$36:AA$51,$B27),AA$36:$BT$51,$BT$15-AA$15+1,0)</f>
        <v>Almere</v>
      </c>
      <c r="AB27" s="57" t="str">
        <f ca="1">VLOOKUP(LARGE(AB$36:AB$51,$B27),AB$36:$BT$51,$BT$15-AB$15+1,0)</f>
        <v>SRE</v>
      </c>
      <c r="AC27" s="57" t="str">
        <f ca="1">VLOOKUP(LARGE(AC$36:AC$51,$B27),AC$36:$BT$51,$BT$15-AC$15+1,0)</f>
        <v>Amstelland Meerlanden</v>
      </c>
      <c r="AE27" s="57" t="str">
        <f ca="1">VLOOKUP(LARGE(AE$36:AE$51,$B27),AE$36:$BT$51,$BT$15-AE$15+1,0)</f>
        <v>Amstelland Meerlanden</v>
      </c>
      <c r="AF27" s="57" t="str">
        <f ca="1">VLOOKUP(LARGE(AF$36:AF$51,$B27),AF$36:$BT$51,$BT$15-AF$15+1,0)</f>
        <v>SRE</v>
      </c>
      <c r="AG27" s="57" t="str">
        <f ca="1">VLOOKUP(LARGE(AG$36:AG$51,$B27),AG$36:$BT$51,$BT$15-AG$15+1,0)</f>
        <v>SRE</v>
      </c>
      <c r="AH27" s="57" t="str">
        <f ca="1">VLOOKUP(LARGE(AH$36:AH$51,$B27),AH$36:$BT$51,$BT$15-AH$15+1,0)</f>
        <v>Ijsselmond</v>
      </c>
      <c r="AI27" s="57" t="str">
        <f ca="1">VLOOKUP(LARGE(AI$36:AI$51,$B27),AI$36:$BT$51,$BT$15-AI$15+1,0)</f>
        <v>Parkshuttle</v>
      </c>
      <c r="AJ27" s="57" t="str">
        <f ca="1">VLOOKUP(LARGE(AJ$36:AJ$51,$B27),AJ$36:$BT$51,$BT$15-AJ$15+1,0)</f>
        <v>Noord Holland Noord</v>
      </c>
      <c r="AK27" s="57" t="str">
        <f ca="1">VLOOKUP(LARGE(AK$36:AK$51,$B27),AK$36:$BT$51,$BT$15-AK$15+1,0)</f>
        <v>SAN</v>
      </c>
      <c r="AL27" s="57" t="str">
        <f ca="1">VLOOKUP(LARGE(AL$36:AL$51,$B27),AL$36:$BT$51,$BT$15-AL$15+1,0)</f>
        <v>Amstelland Meerlanden</v>
      </c>
      <c r="AM27" s="57" t="str">
        <f ca="1">VLOOKUP(LARGE(AM$36:AM$51,$B27),AM$36:$BT$51,$BT$15-AM$15+1,0)</f>
        <v>Ijsselmond</v>
      </c>
      <c r="AN27" s="57" t="str">
        <f ca="1">VLOOKUP(LARGE(AN$36:AN$51,$B27),AN$36:$BT$51,$BT$15-AN$15+1,0)</f>
        <v>SRE</v>
      </c>
      <c r="AO27" s="57" t="str">
        <f ca="1">VLOOKUP(LARGE(AO$36:AO$51,$B27),AO$36:$BT$51,$BT$15-AO$15+1,0)</f>
        <v>Zaanstreek</v>
      </c>
      <c r="AP27" s="57" t="str">
        <f ca="1">VLOOKUP(LARGE(AP$36:AP$51,$B27),AP$36:$BT$51,$BT$15-AP$15+1,0)</f>
        <v>Hoekse-Waarde Goeree Overflakkee</v>
      </c>
      <c r="AQ27" s="57" t="str">
        <f ca="1">VLOOKUP(LARGE(AQ$36:AQ$51,$B27),AQ$36:$BT$51,$BT$15-AQ$15+1,0)</f>
        <v>Zaanstreek</v>
      </c>
      <c r="AS27" s="57" t="str">
        <f ca="1">VLOOKUP(LARGE(AS$36:AS$51,$B27),AS$36:$BT$51,$BT$15-AS$15+1,0)</f>
        <v>SRE</v>
      </c>
      <c r="AT27" s="57" t="str">
        <f ca="1">VLOOKUP(LARGE(AT$36:AT$51,$B27),AT$36:$BT$51,$BT$15-AT$15+1,0)</f>
        <v>SRE</v>
      </c>
      <c r="AU27" s="57" t="str">
        <f ca="1">VLOOKUP(LARGE(AU$36:AU$51,$B27),AU$36:$BT$51,$BT$15-AU$15+1,0)</f>
        <v>Haarlem Ijmond</v>
      </c>
      <c r="AV27" s="57" t="str">
        <f ca="1">VLOOKUP(LARGE(AV$36:AV$51,$B27),AV$36:$BT$51,$BT$15-AV$15+1,0)</f>
        <v>SRE</v>
      </c>
      <c r="AW27" s="57" t="str">
        <f ca="1">VLOOKUP(LARGE(AW$36:AW$51,$B27),AW$36:$BT$51,$BT$15-AW$15+1,0)</f>
        <v>SRE</v>
      </c>
      <c r="AX27" s="57" t="str">
        <f ca="1">VLOOKUP(LARGE(AX$36:AX$51,$B27),AX$36:$BT$51,$BT$15-AX$15+1,0)</f>
        <v>SRE</v>
      </c>
      <c r="AY27" s="57" t="str">
        <f ca="1">VLOOKUP(LARGE(AY$36:AY$51,$B27),AY$36:$BT$51,$BT$15-AY$15+1,0)</f>
        <v>Noord Holland Noord</v>
      </c>
      <c r="AZ27" s="57" t="str">
        <f ca="1">VLOOKUP(LARGE(AZ$36:AZ$51,$B27),AZ$36:$BT$51,$BT$15-AZ$15+1,0)</f>
        <v>Provincie Utrecht</v>
      </c>
      <c r="BA27" s="57" t="str">
        <f ca="1">VLOOKUP(LARGE(BA$36:BA$51,$B27),BA$36:$BT$51,$BT$15-BA$15+1,0)</f>
        <v>SRE</v>
      </c>
      <c r="BB27" s="57" t="str">
        <f ca="1">VLOOKUP(LARGE(BB$36:BB$51,$B27),BB$36:$BT$51,$BT$15-BB$15+1,0)</f>
        <v>SRE</v>
      </c>
      <c r="BC27" s="57" t="str">
        <f ca="1">VLOOKUP(LARGE(BC$36:BC$51,$B27),BC$36:$BT$51,$BT$15-BC$15+1,0)</f>
        <v>Almere</v>
      </c>
      <c r="BD27" s="57" t="str">
        <f ca="1">VLOOKUP(LARGE(BD$36:BD$51,$B27),BD$36:$BT$51,$BT$15-BD$15+1,0)</f>
        <v>Haarlem Ijmond</v>
      </c>
      <c r="BE27" s="57" t="str">
        <f ca="1">VLOOKUP(LARGE(BE$36:BE$51,$B27),BE$36:$BT$51,$BT$15-BE$15+1,0)</f>
        <v>Amstelland Meerlanden</v>
      </c>
      <c r="BG27" s="57" t="str">
        <f ca="1">VLOOKUP(LARGE(BG$36:BG$51,$B27),BG$36:$BT$51,$BT$15-BG$15+1,0)</f>
        <v>Noord Holland Noord</v>
      </c>
      <c r="BH27" s="57" t="str">
        <f ca="1">VLOOKUP(LARGE(BH$36:BH$51,$B27),BH$36:$BT$51,$BT$15-BH$15+1,0)</f>
        <v>Voorne Putten</v>
      </c>
      <c r="BI27" s="57" t="str">
        <f ca="1">VLOOKUP(LARGE(BI$36:BI$51,$B27),BI$36:$BT$51,$BT$15-BI$15+1,0)</f>
        <v>Haarlem Ijmond</v>
      </c>
      <c r="BJ27" s="57" t="str">
        <f ca="1">VLOOKUP(LARGE(BJ$36:BJ$51,$B27),BJ$36:$BT$51,$BT$15-BJ$15+1,0)</f>
        <v>Ijsselmond</v>
      </c>
      <c r="BK27" s="57" t="str">
        <f ca="1">VLOOKUP(LARGE(BK$36:BK$51,$B27),BK$36:$BT$51,$BT$15-BK$15+1,0)</f>
        <v>Voorne Putten</v>
      </c>
      <c r="BL27" s="57" t="str">
        <f ca="1">VLOOKUP(LARGE(BL$36:BL$51,$B27),BL$36:$BT$51,$BT$15-BL$15+1,0)</f>
        <v>Valleilijn</v>
      </c>
      <c r="BM27" s="57" t="str">
        <f ca="1">VLOOKUP(LARGE(BM$36:BM$51,$B27),BM$36:$BT$51,$BT$15-BM$15+1,0)</f>
        <v>Amstelland Meerlanden</v>
      </c>
      <c r="BN27" s="57" t="str">
        <f ca="1">VLOOKUP(LARGE(BN$36:BN$51,$B27),BN$36:$BT$51,$BT$15-BN$15+1,0)</f>
        <v>Gooi en Vechtstreek</v>
      </c>
      <c r="BO27" s="57" t="str">
        <f ca="1">VLOOKUP(LARGE(BO$36:BO$51,$B27),BO$36:$BT$51,$BT$15-BO$15+1,0)</f>
        <v>Voorne Putten</v>
      </c>
      <c r="BP27" s="57" t="str">
        <f ca="1">VLOOKUP(LARGE(BP$36:BP$51,$B27),BP$36:$BT$51,$BT$15-BP$15+1,0)</f>
        <v>Valleilijn</v>
      </c>
      <c r="BQ27" s="57" t="str">
        <f ca="1">VLOOKUP(LARGE(BQ$36:BQ$51,$B27),BQ$36:$BT$51,$BT$15-BQ$15+1,0)</f>
        <v>Noord Holland Noord</v>
      </c>
      <c r="BR27" s="57" t="str">
        <f ca="1">VLOOKUP(LARGE(BR$36:BR$51,$B27),BR$36:$BT$51,$BT$15-BR$15+1,0)</f>
        <v>Haarlem Ijmond</v>
      </c>
      <c r="BS27" s="57" t="str">
        <f ca="1">VLOOKUP(LARGE(BS$36:BS$51,$B27),BS$36:$BT$51,$BT$15-BS$15+1,0)</f>
        <v>Noord Holland Noord</v>
      </c>
    </row>
    <row r="28" spans="2:71" outlineLevel="1">
      <c r="B28">
        <v>4</v>
      </c>
      <c r="C28" s="57" t="str">
        <f ca="1">VLOOKUP(LARGE(C$36:C$51,$B28),C$36:$BT$51,$BT$15-C$15+1,0)</f>
        <v>Provincie Utrecht</v>
      </c>
      <c r="D28" s="57" t="str">
        <f ca="1">VLOOKUP(LARGE(D$36:D$51,$B28),D$36:$BT$51,$BT$15-D$15+1,0)</f>
        <v>Provincie Utrecht</v>
      </c>
      <c r="E28" s="57" t="str">
        <f ca="1">VLOOKUP(LARGE(E$36:E$51,$B28),E$36:$BT$51,$BT$15-E$15+1,0)</f>
        <v>Almere</v>
      </c>
      <c r="F28" s="57" t="str">
        <f ca="1">VLOOKUP(LARGE(F$36:F$51,$B28),F$36:$BT$51,$BT$15-F$15+1,0)</f>
        <v>Almere</v>
      </c>
      <c r="G28" s="57" t="str">
        <f ca="1">VLOOKUP(LARGE(G$36:G$51,$B28),G$36:$BT$51,$BT$15-G$15+1,0)</f>
        <v>Parkshuttle</v>
      </c>
      <c r="H28" s="57" t="str">
        <f ca="1">VLOOKUP(LARGE(H$36:H$51,$B28),H$36:$BT$51,$BT$15-H$15+1,0)</f>
        <v>Provincie Utrecht</v>
      </c>
      <c r="I28" s="57" t="str">
        <f ca="1">VLOOKUP(LARGE(I$36:I$51,$B28),I$36:$BT$51,$BT$15-I$15+1,0)</f>
        <v>Noord Holland Noord</v>
      </c>
      <c r="J28" s="57" t="str">
        <f ca="1">VLOOKUP(LARGE(J$36:J$51,$B28),J$36:$BT$51,$BT$15-J$15+1,0)</f>
        <v>Amstelland Meerlanden</v>
      </c>
      <c r="K28" s="57" t="str">
        <f ca="1">VLOOKUP(LARGE(K$36:K$51,$B28),K$36:$BT$51,$BT$15-K$15+1,0)</f>
        <v>SRE</v>
      </c>
      <c r="L28" s="57" t="str">
        <f ca="1">VLOOKUP(LARGE(L$36:L$51,$B28),L$36:$BT$51,$BT$15-L$15+1,0)</f>
        <v>Almere</v>
      </c>
      <c r="M28" s="57" t="str">
        <f ca="1">VLOOKUP(LARGE(M$36:M$51,$B28),M$36:$BT$51,$BT$15-M$15+1,0)</f>
        <v>Ijsselmond</v>
      </c>
      <c r="N28" s="57" t="str">
        <f ca="1">VLOOKUP(LARGE(N$36:N$51,$B28),N$36:$BT$51,$BT$15-N$15+1,0)</f>
        <v>SRE</v>
      </c>
      <c r="O28" s="57" t="str">
        <f ca="1">VLOOKUP(LARGE(O$36:O$51,$B28),O$36:$BT$51,$BT$15-O$15+1,0)</f>
        <v>Zaanstreek</v>
      </c>
      <c r="P28" s="57"/>
      <c r="Q28" s="57" t="str">
        <f ca="1">VLOOKUP(LARGE(Q$36:Q$51,$B28),Q$36:$BT$51,$BT$15-Q$15+1,0)</f>
        <v>Provincie Utrecht</v>
      </c>
      <c r="R28" s="57" t="str">
        <f ca="1">VLOOKUP(LARGE(R$36:R$51,$B28),R$36:$BT$51,$BT$15-R$15+1,0)</f>
        <v>Provincie Utrecht</v>
      </c>
      <c r="S28" s="57" t="str">
        <f ca="1">VLOOKUP(LARGE(S$36:S$51,$B28),S$36:$BT$51,$BT$15-S$15+1,0)</f>
        <v>Gooi en Vechtstreek</v>
      </c>
      <c r="T28" s="57" t="str">
        <f ca="1">VLOOKUP(LARGE(T$36:T$51,$B28),T$36:$BT$51,$BT$15-T$15+1,0)</f>
        <v>Almere</v>
      </c>
      <c r="U28" s="57" t="str">
        <f ca="1">VLOOKUP(LARGE(U$36:U$51,$B28),U$36:$BT$51,$BT$15-U$15+1,0)</f>
        <v>Noord and Midden Zeeland</v>
      </c>
      <c r="V28" s="57" t="str">
        <f ca="1">VLOOKUP(LARGE(V$36:V$51,$B28),V$36:$BT$51,$BT$15-V$15+1,0)</f>
        <v>Provincie Utrecht</v>
      </c>
      <c r="W28" s="57" t="str">
        <f ca="1">VLOOKUP(LARGE(W$36:W$51,$B28),W$36:$BT$51,$BT$15-W$15+1,0)</f>
        <v>Almere</v>
      </c>
      <c r="X28" s="57" t="str">
        <f ca="1">VLOOKUP(LARGE(X$36:X$51,$B28),X$36:$BT$51,$BT$15-X$15+1,0)</f>
        <v>Amstelland Meerlanden</v>
      </c>
      <c r="Y28" s="57" t="str">
        <f ca="1">VLOOKUP(LARGE(Y$36:Y$51,$B28),Y$36:$BT$51,$BT$15-Y$15+1,0)</f>
        <v>Hoekse-Waarde Goeree Overflakkee</v>
      </c>
      <c r="Z28" s="57" t="str">
        <f ca="1">VLOOKUP(LARGE(Z$36:Z$51,$B28),Z$36:$BT$51,$BT$15-Z$15+1,0)</f>
        <v>Provincie Utrecht</v>
      </c>
      <c r="AA28" s="57" t="str">
        <f ca="1">VLOOKUP(LARGE(AA$36:AA$51,$B28),AA$36:$BT$51,$BT$15-AA$15+1,0)</f>
        <v>Ijsselmond</v>
      </c>
      <c r="AB28" s="57" t="str">
        <f ca="1">VLOOKUP(LARGE(AB$36:AB$51,$B28),AB$36:$BT$51,$BT$15-AB$15+1,0)</f>
        <v>SAN</v>
      </c>
      <c r="AC28" s="57" t="str">
        <f ca="1">VLOOKUP(LARGE(AC$36:AC$51,$B28),AC$36:$BT$51,$BT$15-AC$15+1,0)</f>
        <v>Haarlem Ijmond</v>
      </c>
      <c r="AE28" s="57" t="str">
        <f ca="1">VLOOKUP(LARGE(AE$36:AE$51,$B28),AE$36:$BT$51,$BT$15-AE$15+1,0)</f>
        <v>Provincie Utrecht</v>
      </c>
      <c r="AF28" s="57" t="str">
        <f ca="1">VLOOKUP(LARGE(AF$36:AF$51,$B28),AF$36:$BT$51,$BT$15-AF$15+1,0)</f>
        <v>Voorne Putten</v>
      </c>
      <c r="AG28" s="57" t="str">
        <f ca="1">VLOOKUP(LARGE(AG$36:AG$51,$B28),AG$36:$BT$51,$BT$15-AG$15+1,0)</f>
        <v>Provincie Utrecht</v>
      </c>
      <c r="AH28" s="57" t="str">
        <f ca="1">VLOOKUP(LARGE(AH$36:AH$51,$B28),AH$36:$BT$51,$BT$15-AH$15+1,0)</f>
        <v>Hoekse-Waarde Goeree Overflakkee</v>
      </c>
      <c r="AI28" s="57" t="str">
        <f ca="1">VLOOKUP(LARGE(AI$36:AI$51,$B28),AI$36:$BT$51,$BT$15-AI$15+1,0)</f>
        <v>Provincie Utrecht</v>
      </c>
      <c r="AJ28" s="57" t="str">
        <f ca="1">VLOOKUP(LARGE(AJ$36:AJ$51,$B28),AJ$36:$BT$51,$BT$15-AJ$15+1,0)</f>
        <v>Valleilijn</v>
      </c>
      <c r="AK28" s="57" t="str">
        <f ca="1">VLOOKUP(LARGE(AK$36:AK$51,$B28),AK$36:$BT$51,$BT$15-AK$15+1,0)</f>
        <v>Noord and Midden Zeeland</v>
      </c>
      <c r="AL28" s="57" t="str">
        <f ca="1">VLOOKUP(LARGE(AL$36:AL$51,$B28),AL$36:$BT$51,$BT$15-AL$15+1,0)</f>
        <v>Haarlem Ijmond</v>
      </c>
      <c r="AM28" s="57" t="str">
        <f ca="1">VLOOKUP(LARGE(AM$36:AM$51,$B28),AM$36:$BT$51,$BT$15-AM$15+1,0)</f>
        <v>Zaanstreek</v>
      </c>
      <c r="AN28" s="57" t="str">
        <f ca="1">VLOOKUP(LARGE(AN$36:AN$51,$B28),AN$36:$BT$51,$BT$15-AN$15+1,0)</f>
        <v>Ijsselmond</v>
      </c>
      <c r="AO28" s="57" t="str">
        <f ca="1">VLOOKUP(LARGE(AO$36:AO$51,$B28),AO$36:$BT$51,$BT$15-AO$15+1,0)</f>
        <v>Voorne Putten</v>
      </c>
      <c r="AP28" s="57" t="str">
        <f ca="1">VLOOKUP(LARGE(AP$36:AP$51,$B28),AP$36:$BT$51,$BT$15-AP$15+1,0)</f>
        <v>Zaanstreek</v>
      </c>
      <c r="AQ28" s="57" t="str">
        <f ca="1">VLOOKUP(LARGE(AQ$36:AQ$51,$B28),AQ$36:$BT$51,$BT$15-AQ$15+1,0)</f>
        <v>Amstelland Meerlanden</v>
      </c>
      <c r="AS28" s="57" t="str">
        <f ca="1">VLOOKUP(LARGE(AS$36:AS$51,$B28),AS$36:$BT$51,$BT$15-AS$15+1,0)</f>
        <v>Provincie Utrecht</v>
      </c>
      <c r="AT28" s="57" t="str">
        <f ca="1">VLOOKUP(LARGE(AT$36:AT$51,$B28),AT$36:$BT$51,$BT$15-AT$15+1,0)</f>
        <v>Provincie Utrecht</v>
      </c>
      <c r="AU28" s="57" t="str">
        <f ca="1">VLOOKUP(LARGE(AU$36:AU$51,$B28),AU$36:$BT$51,$BT$15-AU$15+1,0)</f>
        <v>Noord and Midden Zeeland</v>
      </c>
      <c r="AV28" s="57" t="str">
        <f ca="1">VLOOKUP(LARGE(AV$36:AV$51,$B28),AV$36:$BT$51,$BT$15-AV$15+1,0)</f>
        <v>Almere</v>
      </c>
      <c r="AW28" s="57" t="str">
        <f ca="1">VLOOKUP(LARGE(AW$36:AW$51,$B28),AW$36:$BT$51,$BT$15-AW$15+1,0)</f>
        <v>Almere</v>
      </c>
      <c r="AX28" s="57" t="str">
        <f ca="1">VLOOKUP(LARGE(AX$36:AX$51,$B28),AX$36:$BT$51,$BT$15-AX$15+1,0)</f>
        <v>Provincie Utrecht</v>
      </c>
      <c r="AY28" s="57" t="str">
        <f ca="1">VLOOKUP(LARGE(AY$36:AY$51,$B28),AY$36:$BT$51,$BT$15-AY$15+1,0)</f>
        <v>Almere</v>
      </c>
      <c r="AZ28" s="57" t="str">
        <f ca="1">VLOOKUP(LARGE(AZ$36:AZ$51,$B28),AZ$36:$BT$51,$BT$15-AZ$15+1,0)</f>
        <v>Amstelland Meerlanden</v>
      </c>
      <c r="BA28" s="57" t="str">
        <f ca="1">VLOOKUP(LARGE(BA$36:BA$51,$B28),BA$36:$BT$51,$BT$15-BA$15+1,0)</f>
        <v>Noord and Midden Zeeland</v>
      </c>
      <c r="BB28" s="57" t="str">
        <f ca="1">VLOOKUP(LARGE(BB$36:BB$51,$B28),BB$36:$BT$51,$BT$15-BB$15+1,0)</f>
        <v>Almere</v>
      </c>
      <c r="BC28" s="57" t="str">
        <f ca="1">VLOOKUP(LARGE(BC$36:BC$51,$B28),BC$36:$BT$51,$BT$15-BC$15+1,0)</f>
        <v>Ijsselmond</v>
      </c>
      <c r="BD28" s="57" t="str">
        <f ca="1">VLOOKUP(LARGE(BD$36:BD$51,$B28),BD$36:$BT$51,$BT$15-BD$15+1,0)</f>
        <v>Zaanstreek</v>
      </c>
      <c r="BE28" s="57" t="str">
        <f ca="1">VLOOKUP(LARGE(BE$36:BE$51,$B28),BE$36:$BT$51,$BT$15-BE$15+1,0)</f>
        <v>Zaanstreek</v>
      </c>
      <c r="BG28" s="57" t="str">
        <f ca="1">VLOOKUP(LARGE(BG$36:BG$51,$B28),BG$36:$BT$51,$BT$15-BG$15+1,0)</f>
        <v>Zaanstreek</v>
      </c>
      <c r="BH28" s="57" t="str">
        <f ca="1">VLOOKUP(LARGE(BH$36:BH$51,$B28),BH$36:$BT$51,$BT$15-BH$15+1,0)</f>
        <v>Almere</v>
      </c>
      <c r="BI28" s="57" t="str">
        <f ca="1">VLOOKUP(LARGE(BI$36:BI$51,$B28),BI$36:$BT$51,$BT$15-BI$15+1,0)</f>
        <v>Noord and Midden Zeeland</v>
      </c>
      <c r="BJ28" s="57" t="str">
        <f ca="1">VLOOKUP(LARGE(BJ$36:BJ$51,$B28),BJ$36:$BT$51,$BT$15-BJ$15+1,0)</f>
        <v>Amstelland Meerlanden</v>
      </c>
      <c r="BK28" s="57" t="str">
        <f ca="1">VLOOKUP(LARGE(BK$36:BK$51,$B28),BK$36:$BT$51,$BT$15-BK$15+1,0)</f>
        <v>Noord Holland Noord</v>
      </c>
      <c r="BL28" s="57" t="str">
        <f ca="1">VLOOKUP(LARGE(BL$36:BL$51,$B28),BL$36:$BT$51,$BT$15-BL$15+1,0)</f>
        <v>Gooi en Vechtstreek</v>
      </c>
      <c r="BM28" s="57" t="str">
        <f ca="1">VLOOKUP(LARGE(BM$36:BM$51,$B28),BM$36:$BT$51,$BT$15-BM$15+1,0)</f>
        <v>Ijsselmond</v>
      </c>
      <c r="BN28" s="57" t="str">
        <f ca="1">VLOOKUP(LARGE(BN$36:BN$51,$B28),BN$36:$BT$51,$BT$15-BN$15+1,0)</f>
        <v>Valleilijn</v>
      </c>
      <c r="BO28" s="57" t="str">
        <f ca="1">VLOOKUP(LARGE(BO$36:BO$51,$B28),BO$36:$BT$51,$BT$15-BO$15+1,0)</f>
        <v>Provincie Utrecht</v>
      </c>
      <c r="BP28" s="57" t="str">
        <f ca="1">VLOOKUP(LARGE(BP$36:BP$51,$B28),BP$36:$BT$51,$BT$15-BP$15+1,0)</f>
        <v>Almere</v>
      </c>
      <c r="BQ28" s="57" t="str">
        <f ca="1">VLOOKUP(LARGE(BQ$36:BQ$51,$B28),BQ$36:$BT$51,$BT$15-BQ$15+1,0)</f>
        <v>Provincie Utrecht</v>
      </c>
      <c r="BR28" s="57" t="str">
        <f ca="1">VLOOKUP(LARGE(BR$36:BR$51,$B28),BR$36:$BT$51,$BT$15-BR$15+1,0)</f>
        <v>Noord and Midden Zeeland</v>
      </c>
      <c r="BS28" s="57" t="str">
        <f ca="1">VLOOKUP(LARGE(BS$36:BS$51,$B28),BS$36:$BT$51,$BT$15-BS$15+1,0)</f>
        <v>Haarlem Ijmond</v>
      </c>
    </row>
    <row r="29" spans="2:71" outlineLevel="1">
      <c r="B29">
        <v>5</v>
      </c>
      <c r="C29" s="57" t="str">
        <f ca="1">VLOOKUP(LARGE(C$36:C$51,$B29),C$36:$BT$51,$BT$15-C$15+1,0)</f>
        <v>Haarlem Ijmond</v>
      </c>
      <c r="D29" s="57" t="str">
        <f ca="1">VLOOKUP(LARGE(D$36:D$51,$B29),D$36:$BT$51,$BT$15-D$15+1,0)</f>
        <v>Haarlem Ijmond</v>
      </c>
      <c r="E29" s="57" t="str">
        <f ca="1">VLOOKUP(LARGE(E$36:E$51,$B29),E$36:$BT$51,$BT$15-E$15+1,0)</f>
        <v>Noord and Midden Zeeland</v>
      </c>
      <c r="F29" s="57" t="str">
        <f ca="1">VLOOKUP(LARGE(F$36:F$51,$B29),F$36:$BT$51,$BT$15-F$15+1,0)</f>
        <v>Provincie Utrecht</v>
      </c>
      <c r="G29" s="57" t="str">
        <f ca="1">VLOOKUP(LARGE(G$36:G$51,$B29),G$36:$BT$51,$BT$15-G$15+1,0)</f>
        <v>Ijsselmond</v>
      </c>
      <c r="H29" s="57" t="str">
        <f ca="1">VLOOKUP(LARGE(H$36:H$51,$B29),H$36:$BT$51,$BT$15-H$15+1,0)</f>
        <v>Almere</v>
      </c>
      <c r="I29" s="57" t="str">
        <f ca="1">VLOOKUP(LARGE(I$36:I$51,$B29),I$36:$BT$51,$BT$15-I$15+1,0)</f>
        <v>Amstelland Meerlanden</v>
      </c>
      <c r="J29" s="57" t="str">
        <f ca="1">VLOOKUP(LARGE(J$36:J$51,$B29),J$36:$BT$51,$BT$15-J$15+1,0)</f>
        <v>Noord and Midden Zeeland</v>
      </c>
      <c r="K29" s="57" t="str">
        <f ca="1">VLOOKUP(LARGE(K$36:K$51,$B29),K$36:$BT$51,$BT$15-K$15+1,0)</f>
        <v>Provincie Utrecht</v>
      </c>
      <c r="L29" s="57" t="str">
        <f ca="1">VLOOKUP(LARGE(L$36:L$51,$B29),L$36:$BT$51,$BT$15-L$15+1,0)</f>
        <v>Provincie Utrecht</v>
      </c>
      <c r="M29" s="57" t="str">
        <f ca="1">VLOOKUP(LARGE(M$36:M$51,$B29),M$36:$BT$51,$BT$15-M$15+1,0)</f>
        <v>Hoekse-Waarde Goeree Overflakkee</v>
      </c>
      <c r="N29" s="57" t="str">
        <f ca="1">VLOOKUP(LARGE(N$36:N$51,$B29),N$36:$BT$51,$BT$15-N$15+1,0)</f>
        <v>Zaanstreek</v>
      </c>
      <c r="O29" s="57" t="str">
        <f ca="1">VLOOKUP(LARGE(O$36:O$51,$B29),O$36:$BT$51,$BT$15-O$15+1,0)</f>
        <v>Haarlem Ijmond</v>
      </c>
      <c r="P29" s="57"/>
      <c r="Q29" s="57" t="str">
        <f ca="1">VLOOKUP(LARGE(Q$36:Q$51,$B29),Q$36:$BT$51,$BT$15-Q$15+1,0)</f>
        <v>Haarlem Ijmond</v>
      </c>
      <c r="R29" s="57" t="str">
        <f ca="1">VLOOKUP(LARGE(R$36:R$51,$B29),R$36:$BT$51,$BT$15-R$15+1,0)</f>
        <v>Haarlem Ijmond</v>
      </c>
      <c r="S29" s="57" t="str">
        <f ca="1">VLOOKUP(LARGE(S$36:S$51,$B29),S$36:$BT$51,$BT$15-S$15+1,0)</f>
        <v>Provincie Utrecht</v>
      </c>
      <c r="T29" s="57" t="str">
        <f ca="1">VLOOKUP(LARGE(T$36:T$51,$B29),T$36:$BT$51,$BT$15-T$15+1,0)</f>
        <v>Provincie Utrecht</v>
      </c>
      <c r="U29" s="57" t="str">
        <f ca="1">VLOOKUP(LARGE(U$36:U$51,$B29),U$36:$BT$51,$BT$15-U$15+1,0)</f>
        <v>Ijsselmond</v>
      </c>
      <c r="V29" s="57" t="str">
        <f ca="1">VLOOKUP(LARGE(V$36:V$51,$B29),V$36:$BT$51,$BT$15-V$15+1,0)</f>
        <v>Almere</v>
      </c>
      <c r="W29" s="57" t="str">
        <f ca="1">VLOOKUP(LARGE(W$36:W$51,$B29),W$36:$BT$51,$BT$15-W$15+1,0)</f>
        <v>Noord Holland Noord</v>
      </c>
      <c r="X29" s="57" t="str">
        <f ca="1">VLOOKUP(LARGE(X$36:X$51,$B29),X$36:$BT$51,$BT$15-X$15+1,0)</f>
        <v>Noord and Midden Zeeland</v>
      </c>
      <c r="Y29" s="57" t="str">
        <f ca="1">VLOOKUP(LARGE(Y$36:Y$51,$B29),Y$36:$BT$51,$BT$15-Y$15+1,0)</f>
        <v>Noord and Midden Zeeland</v>
      </c>
      <c r="Z29" s="57" t="str">
        <f ca="1">VLOOKUP(LARGE(Z$36:Z$51,$B29),Z$36:$BT$51,$BT$15-Z$15+1,0)</f>
        <v>Almere</v>
      </c>
      <c r="AA29" s="57" t="str">
        <f ca="1">VLOOKUP(LARGE(AA$36:AA$51,$B29),AA$36:$BT$51,$BT$15-AA$15+1,0)</f>
        <v>Noord Holland Noord</v>
      </c>
      <c r="AB29" s="57" t="str">
        <f ca="1">VLOOKUP(LARGE(AB$36:AB$51,$B29),AB$36:$BT$51,$BT$15-AB$15+1,0)</f>
        <v>Zaanstreek</v>
      </c>
      <c r="AC29" s="57" t="str">
        <f ca="1">VLOOKUP(LARGE(AC$36:AC$51,$B29),AC$36:$BT$51,$BT$15-AC$15+1,0)</f>
        <v>Zaanstreek</v>
      </c>
      <c r="AE29" s="57" t="str">
        <f ca="1">VLOOKUP(LARGE(AE$36:AE$51,$B29),AE$36:$BT$51,$BT$15-AE$15+1,0)</f>
        <v>Haarlem Ijmond</v>
      </c>
      <c r="AF29" s="57" t="str">
        <f ca="1">VLOOKUP(LARGE(AF$36:AF$51,$B29),AF$36:$BT$51,$BT$15-AF$15+1,0)</f>
        <v>Noord and Midden Zeeland</v>
      </c>
      <c r="AG29" s="57" t="str">
        <f ca="1">VLOOKUP(LARGE(AG$36:AG$51,$B29),AG$36:$BT$51,$BT$15-AG$15+1,0)</f>
        <v>Zaanstreek</v>
      </c>
      <c r="AH29" s="57" t="str">
        <f ca="1">VLOOKUP(LARGE(AH$36:AH$51,$B29),AH$36:$BT$51,$BT$15-AH$15+1,0)</f>
        <v>Haarlem Ijmond</v>
      </c>
      <c r="AI29" s="57" t="str">
        <f ca="1">VLOOKUP(LARGE(AI$36:AI$51,$B29),AI$36:$BT$51,$BT$15-AI$15+1,0)</f>
        <v>Valleilijn</v>
      </c>
      <c r="AJ29" s="57" t="str">
        <f ca="1">VLOOKUP(LARGE(AJ$36:AJ$51,$B29),AJ$36:$BT$51,$BT$15-AJ$15+1,0)</f>
        <v>Voorne Putten</v>
      </c>
      <c r="AK29" s="57" t="str">
        <f ca="1">VLOOKUP(LARGE(AK$36:AK$51,$B29),AK$36:$BT$51,$BT$15-AK$15+1,0)</f>
        <v>Haarlem Ijmond</v>
      </c>
      <c r="AL29" s="57" t="str">
        <f ca="1">VLOOKUP(LARGE(AL$36:AL$51,$B29),AL$36:$BT$51,$BT$15-AL$15+1,0)</f>
        <v>Hoekse-Waarde Goeree Overflakkee</v>
      </c>
      <c r="AM29" s="57" t="str">
        <f ca="1">VLOOKUP(LARGE(AM$36:AM$51,$B29),AM$36:$BT$51,$BT$15-AM$15+1,0)</f>
        <v>Voorne Putten</v>
      </c>
      <c r="AN29" s="57" t="str">
        <f ca="1">VLOOKUP(LARGE(AN$36:AN$51,$B29),AN$36:$BT$51,$BT$15-AN$15+1,0)</f>
        <v>Valleilijn</v>
      </c>
      <c r="AO29" s="57" t="str">
        <f ca="1">VLOOKUP(LARGE(AO$36:AO$51,$B29),AO$36:$BT$51,$BT$15-AO$15+1,0)</f>
        <v>Noord Holland Noord</v>
      </c>
      <c r="AP29" s="57" t="str">
        <f ca="1">VLOOKUP(LARGE(AP$36:AP$51,$B29),AP$36:$BT$51,$BT$15-AP$15+1,0)</f>
        <v>Noord Holland Noord</v>
      </c>
      <c r="AQ29" s="57" t="str">
        <f ca="1">VLOOKUP(LARGE(AQ$36:AQ$51,$B29),AQ$36:$BT$51,$BT$15-AQ$15+1,0)</f>
        <v>Noord Holland Noord</v>
      </c>
      <c r="AS29" s="57" t="str">
        <f ca="1">VLOOKUP(LARGE(AS$36:AS$51,$B29),AS$36:$BT$51,$BT$15-AS$15+1,0)</f>
        <v>Haarlem Ijmond</v>
      </c>
      <c r="AT29" s="57" t="str">
        <f ca="1">VLOOKUP(LARGE(AT$36:AT$51,$B29),AT$36:$BT$51,$BT$15-AT$15+1,0)</f>
        <v>Haarlem Ijmond</v>
      </c>
      <c r="AU29" s="57" t="str">
        <f ca="1">VLOOKUP(LARGE(AU$36:AU$51,$B29),AU$36:$BT$51,$BT$15-AU$15+1,0)</f>
        <v>Provincie Utrecht</v>
      </c>
      <c r="AV29" s="57" t="str">
        <f ca="1">VLOOKUP(LARGE(AV$36:AV$51,$B29),AV$36:$BT$51,$BT$15-AV$15+1,0)</f>
        <v>Provincie Utrecht</v>
      </c>
      <c r="AW29" s="57" t="str">
        <f ca="1">VLOOKUP(LARGE(AW$36:AW$51,$B29),AW$36:$BT$51,$BT$15-AW$15+1,0)</f>
        <v>Noord and Midden Zeeland</v>
      </c>
      <c r="AX29" s="57" t="str">
        <f ca="1">VLOOKUP(LARGE(AX$36:AX$51,$B29),AX$36:$BT$51,$BT$15-AX$15+1,0)</f>
        <v>Noord Holland Noord</v>
      </c>
      <c r="AY29" s="57" t="str">
        <f ca="1">VLOOKUP(LARGE(AY$36:AY$51,$B29),AY$36:$BT$51,$BT$15-AY$15+1,0)</f>
        <v>Amstelland Meerlanden</v>
      </c>
      <c r="AZ29" s="57" t="str">
        <f ca="1">VLOOKUP(LARGE(AZ$36:AZ$51,$B29),AZ$36:$BT$51,$BT$15-AZ$15+1,0)</f>
        <v>Noord and Midden Zeeland</v>
      </c>
      <c r="BA29" s="57" t="str">
        <f ca="1">VLOOKUP(LARGE(BA$36:BA$51,$B29),BA$36:$BT$51,$BT$15-BA$15+1,0)</f>
        <v>Zaanstreek</v>
      </c>
      <c r="BB29" s="57" t="str">
        <f ca="1">VLOOKUP(LARGE(BB$36:BB$51,$B29),BB$36:$BT$51,$BT$15-BB$15+1,0)</f>
        <v>Provincie Utrecht</v>
      </c>
      <c r="BC29" s="57" t="str">
        <f ca="1">VLOOKUP(LARGE(BC$36:BC$51,$B29),BC$36:$BT$51,$BT$15-BC$15+1,0)</f>
        <v>Noord and Midden Zeeland</v>
      </c>
      <c r="BD29" s="57" t="str">
        <f ca="1">VLOOKUP(LARGE(BD$36:BD$51,$B29),BD$36:$BT$51,$BT$15-BD$15+1,0)</f>
        <v>Provincie Utrecht</v>
      </c>
      <c r="BE29" s="57" t="str">
        <f ca="1">VLOOKUP(LARGE(BE$36:BE$51,$B29),BE$36:$BT$51,$BT$15-BE$15+1,0)</f>
        <v>Gooi en Vechtstreek</v>
      </c>
      <c r="BG29" s="57" t="str">
        <f ca="1">VLOOKUP(LARGE(BG$36:BG$51,$B29),BG$36:$BT$51,$BT$15-BG$15+1,0)</f>
        <v>Haarlem Ijmond</v>
      </c>
      <c r="BH29" s="57" t="str">
        <f ca="1">VLOOKUP(LARGE(BH$36:BH$51,$B29),BH$36:$BT$51,$BT$15-BH$15+1,0)</f>
        <v>Zaanstreek</v>
      </c>
      <c r="BI29" s="57" t="str">
        <f ca="1">VLOOKUP(LARGE(BI$36:BI$51,$B29),BI$36:$BT$51,$BT$15-BI$15+1,0)</f>
        <v>Ijsselmond</v>
      </c>
      <c r="BJ29" s="57" t="str">
        <f ca="1">VLOOKUP(LARGE(BJ$36:BJ$51,$B29),BJ$36:$BT$51,$BT$15-BJ$15+1,0)</f>
        <v>Gooi en Vechtstreek</v>
      </c>
      <c r="BK29" s="57" t="str">
        <f ca="1">VLOOKUP(LARGE(BK$36:BK$51,$B29),BK$36:$BT$51,$BT$15-BK$15+1,0)</f>
        <v>Almere</v>
      </c>
      <c r="BL29" s="57" t="str">
        <f ca="1">VLOOKUP(LARGE(BL$36:BL$51,$B29),BL$36:$BT$51,$BT$15-BL$15+1,0)</f>
        <v>Voorne Putten</v>
      </c>
      <c r="BM29" s="57" t="str">
        <f ca="1">VLOOKUP(LARGE(BM$36:BM$51,$B29),BM$36:$BT$51,$BT$15-BM$15+1,0)</f>
        <v>Voorne Putten</v>
      </c>
      <c r="BN29" s="57" t="str">
        <f ca="1">VLOOKUP(LARGE(BN$36:BN$51,$B29),BN$36:$BT$51,$BT$15-BN$15+1,0)</f>
        <v>Parkshuttle</v>
      </c>
      <c r="BO29" s="57" t="str">
        <f ca="1">VLOOKUP(LARGE(BO$36:BO$51,$B29),BO$36:$BT$51,$BT$15-BO$15+1,0)</f>
        <v>SAN</v>
      </c>
      <c r="BP29" s="57" t="str">
        <f ca="1">VLOOKUP(LARGE(BP$36:BP$51,$B29),BP$36:$BT$51,$BT$15-BP$15+1,0)</f>
        <v>Parkshuttle</v>
      </c>
      <c r="BQ29" s="57" t="str">
        <f ca="1">VLOOKUP(LARGE(BQ$36:BQ$51,$B29),BQ$36:$BT$51,$BT$15-BQ$15+1,0)</f>
        <v>SAN</v>
      </c>
      <c r="BR29" s="57" t="str">
        <f ca="1">VLOOKUP(LARGE(BR$36:BR$51,$B29),BR$36:$BT$51,$BT$15-BR$15+1,0)</f>
        <v>Noord Holland Noord</v>
      </c>
      <c r="BS29" s="57" t="str">
        <f ca="1">VLOOKUP(LARGE(BS$36:BS$51,$B29),BS$36:$BT$51,$BT$15-BS$15+1,0)</f>
        <v>Provincie Utrecht</v>
      </c>
    </row>
    <row r="31" spans="2:71">
      <c r="C31" t="str">
        <f ca="1">IDX_PERIOD</f>
        <v>2016.08_YTD</v>
      </c>
      <c r="Q31" t="str">
        <f ca="1">IDX_PERIOD_COMP1</f>
        <v>2016.08_YTD</v>
      </c>
      <c r="W31" s="57"/>
      <c r="AS31" s="57" t="str">
        <f ca="1">IDX_PERIOD_COMP2</f>
        <v>2015.08_YTD</v>
      </c>
    </row>
    <row r="32" spans="2:71">
      <c r="C32" t="str">
        <f ca="1">_xll.SUBNM(Server&amp;"Phase","TOUT","ACT_TOT")</f>
        <v>ACT_TOT</v>
      </c>
      <c r="Q32" t="str">
        <f ca="1">IDX_PHASE_COMP1</f>
        <v>Budget</v>
      </c>
      <c r="AE32" s="57" t="str">
        <f ca="1">"Variance "&amp;C32&amp;" / "&amp;Q32</f>
        <v>Variance ACT_TOT / Budget</v>
      </c>
      <c r="AS32" t="str">
        <f ca="1">IDX_PHASE_COMP2</f>
        <v>Actual</v>
      </c>
      <c r="BG32" s="57" t="str">
        <f ca="1">"Variance "&amp;C32&amp;" / "&amp;AS32</f>
        <v>Variance ACT_TOT / Actual</v>
      </c>
    </row>
    <row r="33" spans="1:94" ht="37.5" customHeight="1">
      <c r="C33" s="212" t="str">
        <f ca="1">C32&amp;" "&amp;C31</f>
        <v>ACT_TOT 2016.08_YTD</v>
      </c>
      <c r="D33" s="212"/>
      <c r="E33" s="212"/>
      <c r="F33" s="212"/>
      <c r="G33" s="212"/>
      <c r="H33" s="212"/>
      <c r="I33" s="212"/>
      <c r="J33" s="212"/>
      <c r="K33" s="212"/>
      <c r="L33" s="212"/>
      <c r="M33" s="212"/>
      <c r="N33" s="212"/>
      <c r="O33" s="212"/>
      <c r="Q33" s="212" t="str">
        <f ca="1">Q32&amp;" "&amp;Q31</f>
        <v>Budget 2016.08_YTD</v>
      </c>
      <c r="R33" s="212"/>
      <c r="S33" s="212"/>
      <c r="T33" s="212"/>
      <c r="U33" s="212"/>
      <c r="V33" s="212"/>
      <c r="W33" s="212"/>
      <c r="X33" s="212"/>
      <c r="Y33" s="212"/>
      <c r="Z33" s="212"/>
      <c r="AA33" s="212"/>
      <c r="AB33" s="212"/>
      <c r="AC33" s="212"/>
      <c r="AE33" s="212" t="s">
        <v>38</v>
      </c>
      <c r="AF33" s="212"/>
      <c r="AG33" s="212"/>
      <c r="AH33" s="212"/>
      <c r="AI33" s="212"/>
      <c r="AJ33" s="212"/>
      <c r="AK33" s="212"/>
      <c r="AL33" s="212"/>
      <c r="AM33" s="212"/>
      <c r="AN33" s="212"/>
      <c r="AO33" s="212"/>
      <c r="AP33" s="212"/>
      <c r="AQ33" s="212"/>
      <c r="AS33" s="212" t="str">
        <f ca="1">AS32&amp;" "&amp;AS31</f>
        <v>Actual 2015.08_YTD</v>
      </c>
      <c r="AT33" s="212"/>
      <c r="AU33" s="212"/>
      <c r="AV33" s="212"/>
      <c r="AW33" s="212"/>
      <c r="AX33" s="212"/>
      <c r="AY33" s="212"/>
      <c r="AZ33" s="212"/>
      <c r="BA33" s="212"/>
      <c r="BB33" s="212"/>
      <c r="BC33" s="212"/>
      <c r="BD33" s="212"/>
      <c r="BE33" s="212"/>
      <c r="BG33" s="212" t="s">
        <v>40</v>
      </c>
      <c r="BH33" s="212"/>
      <c r="BI33" s="212"/>
      <c r="BJ33" s="212"/>
      <c r="BK33" s="212"/>
      <c r="BL33" s="212"/>
      <c r="BM33" s="212"/>
      <c r="BN33" s="212"/>
      <c r="BO33" s="212"/>
      <c r="BP33" s="212"/>
      <c r="BQ33" s="212"/>
      <c r="BR33" s="212"/>
      <c r="BS33" s="212"/>
    </row>
    <row r="34" spans="1:94" ht="37.5" customHeight="1">
      <c r="C34" s="158" t="s">
        <v>49</v>
      </c>
      <c r="D34" s="158" t="s">
        <v>43</v>
      </c>
      <c r="E34" s="158"/>
      <c r="F34" s="158" t="s">
        <v>45</v>
      </c>
      <c r="G34" s="158"/>
      <c r="H34" s="158" t="s">
        <v>44</v>
      </c>
      <c r="I34" s="158"/>
      <c r="J34" s="158" t="s">
        <v>46</v>
      </c>
      <c r="K34" s="158"/>
      <c r="L34" s="158" t="s">
        <v>47</v>
      </c>
      <c r="M34" s="158"/>
      <c r="N34" s="158" t="s">
        <v>48</v>
      </c>
      <c r="O34" s="158"/>
      <c r="Q34" s="158" t="s">
        <v>49</v>
      </c>
      <c r="R34" s="158" t="s">
        <v>43</v>
      </c>
      <c r="S34" s="158"/>
      <c r="T34" s="158" t="s">
        <v>45</v>
      </c>
      <c r="U34" s="158"/>
      <c r="V34" s="158" t="s">
        <v>44</v>
      </c>
      <c r="W34" s="158"/>
      <c r="X34" s="158" t="s">
        <v>46</v>
      </c>
      <c r="Y34" s="158"/>
      <c r="Z34" s="158" t="s">
        <v>47</v>
      </c>
      <c r="AA34" s="158"/>
      <c r="AB34" s="158" t="s">
        <v>48</v>
      </c>
      <c r="AC34" s="158"/>
      <c r="AE34" s="158" t="s">
        <v>49</v>
      </c>
      <c r="AF34" s="158" t="s">
        <v>43</v>
      </c>
      <c r="AG34" s="158"/>
      <c r="AH34" s="158" t="s">
        <v>45</v>
      </c>
      <c r="AI34" s="158"/>
      <c r="AJ34" s="158" t="s">
        <v>44</v>
      </c>
      <c r="AK34" s="158"/>
      <c r="AL34" s="158" t="s">
        <v>46</v>
      </c>
      <c r="AM34" s="158"/>
      <c r="AN34" s="158" t="s">
        <v>47</v>
      </c>
      <c r="AO34" s="158"/>
      <c r="AP34" s="158" t="s">
        <v>48</v>
      </c>
      <c r="AQ34" s="158"/>
      <c r="AS34" s="158" t="s">
        <v>49</v>
      </c>
      <c r="AT34" s="158" t="s">
        <v>43</v>
      </c>
      <c r="AU34" s="158"/>
      <c r="AV34" s="158" t="s">
        <v>45</v>
      </c>
      <c r="AW34" s="158"/>
      <c r="AX34" s="158" t="s">
        <v>44</v>
      </c>
      <c r="AY34" s="158"/>
      <c r="AZ34" s="158" t="s">
        <v>46</v>
      </c>
      <c r="BA34" s="158"/>
      <c r="BB34" s="158" t="s">
        <v>47</v>
      </c>
      <c r="BC34" s="158"/>
      <c r="BD34" s="158" t="s">
        <v>48</v>
      </c>
      <c r="BE34" s="158"/>
      <c r="BG34" s="158" t="s">
        <v>49</v>
      </c>
      <c r="BH34" s="158" t="s">
        <v>43</v>
      </c>
      <c r="BI34" s="158"/>
      <c r="BJ34" s="158" t="s">
        <v>45</v>
      </c>
      <c r="BK34" s="158"/>
      <c r="BL34" s="158" t="s">
        <v>44</v>
      </c>
      <c r="BM34" s="158"/>
      <c r="BN34" s="158" t="s">
        <v>46</v>
      </c>
      <c r="BO34" s="158"/>
      <c r="BP34" s="158" t="s">
        <v>47</v>
      </c>
      <c r="BQ34" s="158"/>
      <c r="BR34" s="158" t="s">
        <v>48</v>
      </c>
      <c r="BS34" s="158"/>
    </row>
    <row r="35" spans="1:94" s="77" customFormat="1" ht="56.25" customHeight="1">
      <c r="C35" s="79" t="s">
        <v>23</v>
      </c>
      <c r="D35" s="79" t="s">
        <v>11</v>
      </c>
      <c r="E35" s="79" t="s">
        <v>17</v>
      </c>
      <c r="F35" s="79" t="s">
        <v>97</v>
      </c>
      <c r="G35" s="79" t="s">
        <v>19</v>
      </c>
      <c r="H35" s="79" t="s">
        <v>98</v>
      </c>
      <c r="I35" s="79" t="s">
        <v>18</v>
      </c>
      <c r="J35" s="79" t="s">
        <v>99</v>
      </c>
      <c r="K35" s="79" t="s">
        <v>20</v>
      </c>
      <c r="L35" s="79" t="s">
        <v>24</v>
      </c>
      <c r="M35" s="80" t="s">
        <v>28</v>
      </c>
      <c r="N35" s="80" t="s">
        <v>21</v>
      </c>
      <c r="O35" s="80" t="s">
        <v>22</v>
      </c>
      <c r="Q35" s="79" t="s">
        <v>23</v>
      </c>
      <c r="R35" s="79" t="s">
        <v>11</v>
      </c>
      <c r="S35" s="79" t="s">
        <v>17</v>
      </c>
      <c r="T35" s="79" t="s">
        <v>97</v>
      </c>
      <c r="U35" s="79" t="s">
        <v>19</v>
      </c>
      <c r="V35" s="79" t="s">
        <v>98</v>
      </c>
      <c r="W35" s="79" t="s">
        <v>18</v>
      </c>
      <c r="X35" s="79" t="s">
        <v>99</v>
      </c>
      <c r="Y35" s="79" t="s">
        <v>20</v>
      </c>
      <c r="Z35" s="79" t="s">
        <v>24</v>
      </c>
      <c r="AA35" s="80" t="s">
        <v>28</v>
      </c>
      <c r="AB35" s="80" t="s">
        <v>21</v>
      </c>
      <c r="AC35" s="80" t="s">
        <v>22</v>
      </c>
      <c r="AE35" s="80" t="s">
        <v>29</v>
      </c>
      <c r="AF35" s="80" t="s">
        <v>30</v>
      </c>
      <c r="AG35" s="80" t="s">
        <v>17</v>
      </c>
      <c r="AH35" s="80" t="s">
        <v>32</v>
      </c>
      <c r="AI35" s="80" t="s">
        <v>19</v>
      </c>
      <c r="AJ35" s="80" t="s">
        <v>31</v>
      </c>
      <c r="AK35" s="80" t="s">
        <v>18</v>
      </c>
      <c r="AL35" s="80" t="s">
        <v>33</v>
      </c>
      <c r="AM35" s="80" t="s">
        <v>20</v>
      </c>
      <c r="AN35" s="80" t="s">
        <v>34</v>
      </c>
      <c r="AO35" s="80" t="s">
        <v>28</v>
      </c>
      <c r="AP35" s="80" t="s">
        <v>21</v>
      </c>
      <c r="AQ35" s="80" t="s">
        <v>22</v>
      </c>
      <c r="AS35" s="79" t="s">
        <v>23</v>
      </c>
      <c r="AT35" s="79" t="s">
        <v>11</v>
      </c>
      <c r="AU35" s="79" t="s">
        <v>17</v>
      </c>
      <c r="AV35" s="79" t="s">
        <v>97</v>
      </c>
      <c r="AW35" s="79" t="s">
        <v>19</v>
      </c>
      <c r="AX35" s="79" t="s">
        <v>98</v>
      </c>
      <c r="AY35" s="79" t="s">
        <v>18</v>
      </c>
      <c r="AZ35" s="79" t="s">
        <v>99</v>
      </c>
      <c r="BA35" s="79" t="s">
        <v>20</v>
      </c>
      <c r="BB35" s="79" t="s">
        <v>24</v>
      </c>
      <c r="BC35" s="80" t="s">
        <v>28</v>
      </c>
      <c r="BD35" s="80" t="s">
        <v>21</v>
      </c>
      <c r="BE35" s="80" t="s">
        <v>22</v>
      </c>
      <c r="BG35" s="80" t="s">
        <v>29</v>
      </c>
      <c r="BH35" s="80" t="s">
        <v>30</v>
      </c>
      <c r="BI35" s="80" t="s">
        <v>17</v>
      </c>
      <c r="BJ35" s="80" t="s">
        <v>32</v>
      </c>
      <c r="BK35" s="80" t="s">
        <v>19</v>
      </c>
      <c r="BL35" s="80" t="s">
        <v>31</v>
      </c>
      <c r="BM35" s="80" t="s">
        <v>18</v>
      </c>
      <c r="BN35" s="80" t="s">
        <v>33</v>
      </c>
      <c r="BO35" s="80" t="s">
        <v>20</v>
      </c>
      <c r="BP35" s="80" t="s">
        <v>34</v>
      </c>
      <c r="BQ35" s="80" t="s">
        <v>28</v>
      </c>
      <c r="BR35" s="80" t="s">
        <v>21</v>
      </c>
      <c r="BS35" s="80" t="s">
        <v>22</v>
      </c>
      <c r="BT35" s="79" t="s">
        <v>27</v>
      </c>
      <c r="BV35" s="95" t="s">
        <v>54</v>
      </c>
      <c r="BW35" s="95" t="s">
        <v>55</v>
      </c>
      <c r="BX35" s="95" t="s">
        <v>56</v>
      </c>
      <c r="BY35" s="95" t="s">
        <v>57</v>
      </c>
      <c r="BZ35" s="95" t="s">
        <v>58</v>
      </c>
      <c r="CA35" s="95" t="s">
        <v>59</v>
      </c>
      <c r="CB35" s="95" t="s">
        <v>60</v>
      </c>
      <c r="CC35" s="95" t="s">
        <v>61</v>
      </c>
      <c r="CD35" s="95" t="s">
        <v>62</v>
      </c>
      <c r="CE35" s="95" t="s">
        <v>63</v>
      </c>
      <c r="CF35" s="96"/>
      <c r="CG35" s="95" t="s">
        <v>54</v>
      </c>
      <c r="CH35" s="95" t="s">
        <v>55</v>
      </c>
      <c r="CI35" s="95" t="s">
        <v>56</v>
      </c>
      <c r="CJ35" s="95" t="s">
        <v>57</v>
      </c>
      <c r="CK35" s="95" t="s">
        <v>58</v>
      </c>
      <c r="CL35" s="95" t="s">
        <v>59</v>
      </c>
      <c r="CM35" s="95" t="s">
        <v>60</v>
      </c>
      <c r="CN35" s="95" t="s">
        <v>61</v>
      </c>
      <c r="CO35" s="95" t="s">
        <v>62</v>
      </c>
      <c r="CP35" s="95" t="s">
        <v>63</v>
      </c>
    </row>
    <row r="36" spans="1:94">
      <c r="A36" t="str">
        <f ca="1">IF(_xll.TM1RPTELISCONSOLIDATED($B$6,$B36),IF(_xll.TM1RPTELLEV($B$11,$B36)&lt;=3,_xll.TM1RPTELLEV($B$11,$B36),"D"),"N")</f>
        <v>N</v>
      </c>
      <c r="B36" s="56" t="str">
        <f ca="1">_xll.TM1RPTROW($B$6,Server&amp;"Management_Organization","",,IDX_LANG,0,"{FILTER({TM1FILTERBYLEVEL( {DESCENDANTS( [Management_Organization].["&amp;IDX_MAN_ORG&amp;"] )}, 0)},[Management_organization].[Business_Model]&lt;&gt;'')}")</f>
        <v>Amstelland Meerlanden</v>
      </c>
      <c r="C36" s="98">
        <f ca="1">_xll.DBRW($B$6,$C$9,$C$10,$C$11,$C$12,$C$13,$B36,$C$31,$C$32,C$35)</f>
        <v>58936543.899999991</v>
      </c>
      <c r="D36" s="98">
        <f ca="1">-_xll.DBRW($B$6,$C$9,$C$10,$C$11,$C$12,$C$13,$B36,$C$31,$C$32,D$35)</f>
        <v>25301438.439999998</v>
      </c>
      <c r="E36" s="98">
        <f ca="1">IF(ROUND(C36,0)=0,0,IFERROR(D36/C36,0))</f>
        <v>0.42929966309069578</v>
      </c>
      <c r="F36" s="98">
        <f ca="1">-_xll.DBRW($B$6,$C$9,$C$10,$C$11,$C$12,$C$13,$B36,$C$31,$C$32,F$35)</f>
        <v>4537164.3999999994</v>
      </c>
      <c r="G36" s="98">
        <f ca="1">IF(ROUND(C36,0)=0,0,IFERROR(F36/C36,0))</f>
        <v>7.6983889786587906E-2</v>
      </c>
      <c r="H36" s="98">
        <f ca="1">-_xll.DBRW($B$6,$C$9,$C$10,$C$11,$C$12,$C$13,$B36,$C$31,$C$32,H$35)</f>
        <v>5182153.7299999995</v>
      </c>
      <c r="I36" s="98">
        <f ca="1">IF(ROUND(C36,0)=0,0,IFERROR(H36/C36,0))</f>
        <v>8.7927682674993096E-2</v>
      </c>
      <c r="J36" s="98">
        <f ca="1">-_xll.DBRW($B$6,$C$9,$C$10,$C$11,$C$12,$C$13,$B36,$C$31,$C$32,J$35)</f>
        <v>2614422.1500000004</v>
      </c>
      <c r="K36" s="98">
        <f ca="1">IF(ROUND(C36,0)=0,0,IFERROR(J36/C36,0))</f>
        <v>4.4359950159887147E-2</v>
      </c>
      <c r="L36" s="98">
        <f ca="1">-_xll.DBRW($B$6,$C$9,$C$10,$C$11,$C$12,$C$13,$B36,$C$31,$C$32,L$35)</f>
        <v>6655884.5700000012</v>
      </c>
      <c r="M36" s="98">
        <f ca="1">IF(ROUND(C36,0)=0,0,IFERROR(L36/C36,0))</f>
        <v>0.11293306545584533</v>
      </c>
      <c r="N36" s="60">
        <f ca="1">IF(C36&lt;0,0,IF((C36-D36-F36-H36-J36-L36)&gt;C36,-C36+D36+F36+H36+J36+L36,C36-D36-F36-H36-J36-L36))</f>
        <v>14645480.609999992</v>
      </c>
      <c r="O36" s="57">
        <f ca="1">IF(OR(IFERROR(N36/C36,0)&gt;1,IFERROR(N36/C36,0)&lt;-1),0,IFERROR(N36/C36,0))</f>
        <v>0.24849574883199071</v>
      </c>
      <c r="Q36" s="58">
        <f ca="1">_xll.DBRW($B$6,$C$9,$C$10,$C$11,$C$12,$C$13,$B36,$Q$31,$Q$32,Q$35)</f>
        <v>58308292.530000001</v>
      </c>
      <c r="R36" s="58">
        <f ca="1">-_xll.DBRW($B$6,$C$9,$C$10,$C$11,$C$12,$C$13,$B36,$Q$31,$Q$32,R$35)</f>
        <v>24778327.66</v>
      </c>
      <c r="S36" s="58">
        <f ca="1">IF(ROUND($Q36,0)=0,0,IFERROR(R36/$Q36,0))</f>
        <v>0.42495375159976406</v>
      </c>
      <c r="T36" s="58">
        <f ca="1">-_xll.DBRW($B$6,$C$9,$C$10,$C$11,$C$12,$C$13,$B36,$Q$31,$Q$32,T$35)</f>
        <v>4908308.57</v>
      </c>
      <c r="U36" s="58">
        <f ca="1">IF(ROUND($Q36,0)=0,0,IFERROR(T36/$Q36,0))</f>
        <v>8.4178568039436977E-2</v>
      </c>
      <c r="V36" s="58">
        <f ca="1">-_xll.DBRW($B$6,$C$9,$C$10,$C$11,$C$12,$C$13,$B36,$Q$31,$Q$32,V$35)</f>
        <v>5418718.9199999999</v>
      </c>
      <c r="W36" s="58">
        <f ca="1">IF(ROUND($Q36,0)=0,0,IFERROR(V36/$Q36,0))</f>
        <v>9.2932217440804557E-2</v>
      </c>
      <c r="X36" s="58">
        <f ca="1">-_xll.DBRW($B$6,$C$9,$C$10,$C$11,$C$12,$C$13,$B36,$Q$31,$Q$32,X$35)</f>
        <v>2472886.0800000005</v>
      </c>
      <c r="Y36" s="58">
        <f ca="1">IF(ROUND($Q36,0)=0,0,IFERROR(X36/$Q36,0))</f>
        <v>4.2410538410598879E-2</v>
      </c>
      <c r="Z36" s="58">
        <f ca="1">-_xll.DBRW($B$6,$C$9,$C$10,$C$11,$C$12,$C$13,$B36,$Q$31,$Q$32,Z$35)</f>
        <v>7189010.2800000003</v>
      </c>
      <c r="AA36" s="58">
        <f ca="1">IF(ROUND($Q36,0)=0,0,IFERROR(Z36/$Q36,0))</f>
        <v>0.12329310237135151</v>
      </c>
      <c r="AB36" s="60">
        <f ca="1">IF(Q36&lt;0,0,IF((Q36-R36-T36-V36-X36-Z36)&gt;Q36,-Q36+R36+T36+V36+X36+Z36,Q36-R36-T36-V36-X36-Z36))</f>
        <v>13541041.02</v>
      </c>
      <c r="AC36" s="57">
        <f ca="1">IF(OR(IFERROR(AB36/Q36,0)&gt;1,IFERROR(AB36/Q36,0)&lt;-1),0,IFERROR(AB36/Q36,0))</f>
        <v>0.232231822138044</v>
      </c>
      <c r="AE36" s="60">
        <f ca="1">IF(OR(ROUND(C36,2)=0,ROUND(Q36,2)=0),0,C36-Q36)</f>
        <v>628251.36999998987</v>
      </c>
      <c r="AF36" s="60">
        <f ca="1">IF(OR(ROUND(D36,2)=0,ROUND(R36,2)=0),"",IFERROR(D36-R36,0))</f>
        <v>523110.77999999747</v>
      </c>
      <c r="AG36" s="61">
        <f ca="1">IF(OR(ROUND(S36,2)=0,ROUND(E36,2)=0),"",IFERROR(S36-E36,0))</f>
        <v>-4.3459114909317198E-3</v>
      </c>
      <c r="AH36" s="60">
        <f ca="1">IF(OR(ROUND(F36,2)=0,ROUND(T36,2)=0),"",IFERROR(F36-T36,0))</f>
        <v>-371144.17000000086</v>
      </c>
      <c r="AI36" s="57">
        <f ca="1">IF(OR(ROUND(U36,2)=0,ROUND(G36,2)=0),"",IFERROR(U36-G36,0))</f>
        <v>7.194678252849071E-3</v>
      </c>
      <c r="AJ36" s="60">
        <f ca="1">IF(OR(ROUND(H36,2)=0,ROUND(V36,2)=0),"",IFERROR(H36-V36,0))</f>
        <v>-236565.19000000041</v>
      </c>
      <c r="AK36" s="57">
        <f ca="1">IF(OR(ROUND(W36,2)=0,ROUND(I36,2)=0),"",IFERROR(W36-I36,0))</f>
        <v>5.0045347658114608E-3</v>
      </c>
      <c r="AL36" s="60">
        <f ca="1">IF(OR(ROUND(J36,2)=0,ROUND(X36,2)=0),"",IFERROR(J36-X36,0))</f>
        <v>141536.06999999983</v>
      </c>
      <c r="AM36" s="57">
        <f ca="1">IF(OR(ROUND(Y36,2)=0,ROUND(K36,2)=0),"",IFERROR(Y36-K36,0))</f>
        <v>-1.9494117492882684E-3</v>
      </c>
      <c r="AN36" s="60">
        <f ca="1">IF(OR(ROUND(L36,2)=0,ROUND(Z36,2)=0),"",IFERROR(L36-Z36,0))</f>
        <v>-533125.70999999903</v>
      </c>
      <c r="AO36" s="57">
        <f ca="1">IF(OR(ROUND(AA36,2)=0,ROUND(M36,2)=0),"",IFERROR(AA36-M36,0))</f>
        <v>1.0360036915506174E-2</v>
      </c>
      <c r="AP36" s="60">
        <f ca="1">IF(OR(ROUND(N36,2)=0,ROUND(AB36,2)=0),"",IFERROR(N36-AB36,0))</f>
        <v>1104439.5899999924</v>
      </c>
      <c r="AQ36" s="57">
        <f ca="1">IF(OR(ROUND(O36,2)=0,ROUND(AC36,2)=0),"",IFERROR(O36-AC36,0))</f>
        <v>1.6263926693946718E-2</v>
      </c>
      <c r="AS36" s="58">
        <f ca="1">_xll.DBRW($B$6,$C$9,$C$10,$C$11,$C$12,$C$13,$B36,$AS$31,$AS$32,AS$35)</f>
        <v>57055996.350000001</v>
      </c>
      <c r="AT36" s="58">
        <f ca="1">-_xll.DBRW($B$6,$C$9,$C$10,$C$11,$C$12,$C$13,$B36,$AS$31,$AS$32,AT$35)</f>
        <v>24712177.41</v>
      </c>
      <c r="AU36" s="58">
        <f ca="1">IF(ROUND($AS36,0)=0,0,IFERROR(AT36/$AS36,0))</f>
        <v>0.43312147698565251</v>
      </c>
      <c r="AV36" s="58">
        <f ca="1">-_xll.DBRW($B$6,$C$9,$C$10,$C$11,$C$12,$C$13,$B36,$AS$31,$AS$32,AV$35)</f>
        <v>4284411.2300000004</v>
      </c>
      <c r="AW36" s="58">
        <f ca="1">IF(ROUND($AS36,0)=0,0,IFERROR(AV36/$AS36,0))</f>
        <v>7.5091340158500275E-2</v>
      </c>
      <c r="AX36" s="58">
        <f ca="1">-_xll.DBRW($B$6,$C$9,$C$10,$C$11,$C$12,$C$13,$B36,$AS$31,$AS$32,AX$35)</f>
        <v>5918413.9800000004</v>
      </c>
      <c r="AY36" s="58">
        <f ca="1">IF(ROUND($AS36,0)=0,0,IFERROR(AX36/$AS36,0))</f>
        <v>0.10372992075529675</v>
      </c>
      <c r="AZ36" s="58">
        <f ca="1">-_xll.DBRW($B$6,$C$9,$C$10,$C$11,$C$12,$C$13,$B36,$AS$31,$AS$32,AZ$35)</f>
        <v>2699670.49</v>
      </c>
      <c r="BA36" s="58">
        <f ca="1">IF(ROUND($AS36,0)=0,0,IFERROR(AZ36/$AS36,0))</f>
        <v>4.7316157156196963E-2</v>
      </c>
      <c r="BB36" s="58">
        <f ca="1">-_xll.DBRW($B$6,$C$9,$C$10,$C$11,$C$12,$C$13,$B36,$AS$31,$AS$32,BB$35)</f>
        <v>7240152.3799999999</v>
      </c>
      <c r="BC36" s="58">
        <f ca="1">IF(ROUND($AS36,0)=0,0,IFERROR(BB36/$AS36,0))</f>
        <v>0.12689555600057451</v>
      </c>
      <c r="BD36" s="60">
        <f ca="1">IF(AS36&lt;0,0,IF((AS36-AT36-AV36-AX36-AZ36-BB36)&gt;AS36,-AS36+AT36+AV36+AX36+AZ36+BB36,AS36-AT36-AV36-AX36-AZ36-BB36))</f>
        <v>12201170.860000003</v>
      </c>
      <c r="BE36" s="57">
        <f ca="1">IF(OR(IFERROR(BD36/AS36,0)&gt;1,IFERROR(BD36/AS36,0)&lt;-1),0,IFERROR(BD36/AS36,0))</f>
        <v>0.21384554894377902</v>
      </c>
      <c r="BG36" s="60">
        <f ca="1">IF(OR(ROUND(C36,2)=0,ROUND(AS36,2)=0),0,IFERROR(C36-AS36,0))</f>
        <v>1880547.5499999896</v>
      </c>
      <c r="BH36" s="60">
        <f ca="1">IF(OR(ROUND(D36,2)=0,ROUND(AT36,2)=0),"",IFERROR(D36-AT36,0))</f>
        <v>589261.02999999747</v>
      </c>
      <c r="BI36" s="57">
        <f ca="1">IF(OR(ISBLANK(AU36),ROUND(E36,2)=0),"",IFERROR(AU36-E36,0))</f>
        <v>3.8218138949567271E-3</v>
      </c>
      <c r="BJ36" s="60">
        <f ca="1">IF(OR(ROUND(F36,2)=0,ROUND(AV36,2)=0),"",IFERROR(F36-AV36,0))</f>
        <v>252753.16999999899</v>
      </c>
      <c r="BK36" s="57">
        <f ca="1">IF(OR(ISBLANK(AW36),ROUND(G36,2)=0),"",IFERROR(AW36-G36,0))</f>
        <v>-1.8925496280876308E-3</v>
      </c>
      <c r="BL36" s="60">
        <f ca="1">IF(OR(ROUND(H36,2)=0,ROUND(AX36,2)=0),"",IFERROR(H36-AX36,0))</f>
        <v>-736260.25000000093</v>
      </c>
      <c r="BM36" s="57">
        <f ca="1">IF(OR(ISBLANK(AY36),ROUND(I36,2)=0),"",IFERROR(AY36-I36,0))</f>
        <v>1.5802238080303649E-2</v>
      </c>
      <c r="BN36" s="60">
        <f ca="1">IF(OR(ROUND(J36,2)=0,ROUND(AZ36,2)=0),"",IFERROR(J36-AZ36,0))</f>
        <v>-85248.339999999851</v>
      </c>
      <c r="BO36" s="57">
        <f ca="1">IF(OR(ISBLANK(BA36),ROUND(K36,2)=0),"",IFERROR(BA36-K36,0))</f>
        <v>2.9562069963098153E-3</v>
      </c>
      <c r="BP36" s="60">
        <f ca="1">IF(OR(ROUND(L36,2)=0,ROUND(BB36,2)=0),"",IFERROR(L36-BB36,0))</f>
        <v>-584267.80999999866</v>
      </c>
      <c r="BQ36" s="57">
        <f ca="1">IF(OR(ISBLANK(BC36),ROUND(M36,2)=0),"",IFERROR(BC36-M36,0))</f>
        <v>1.3962490544729173E-2</v>
      </c>
      <c r="BR36" s="60">
        <f ca="1">IF(OR(ROUND(N36,2)=0,ROUND(BD36,2)=0),"",IFERROR(N36-BD36,0))</f>
        <v>2444309.7499999888</v>
      </c>
      <c r="BS36" s="57">
        <f ca="1">IF(OR(ISBLANK(BE36),ROUND(O36,2)=0),"",IFERROR(O36-BE36,0))</f>
        <v>3.4650199888211691E-2</v>
      </c>
      <c r="BT36" s="53" t="str">
        <f ca="1">B36</f>
        <v>Amstelland Meerlanden</v>
      </c>
      <c r="BV36" s="60">
        <f ca="1">IFERROR(($C36*S36)-D36,"")</f>
        <v>-256133.0033708103</v>
      </c>
      <c r="BW36" s="60">
        <f ca="1">IFERROR(D36-BV36,"")</f>
        <v>25557571.443370808</v>
      </c>
      <c r="BX36" s="60">
        <f ca="1">IFERROR(($C36*U36)-F36,"")</f>
        <v>424029.47069541458</v>
      </c>
      <c r="BY36" s="60">
        <f t="shared" ref="BY36" ca="1" si="0">IFERROR(F36-BX36,"")</f>
        <v>4113134.9293045849</v>
      </c>
      <c r="BZ36" s="60">
        <f t="shared" ref="BZ36" ca="1" si="1">IFERROR(($C36*W36)-H36,"")</f>
        <v>294949.98292432353</v>
      </c>
      <c r="CA36" s="60">
        <f t="shared" ref="CA36" ca="1" si="2">IFERROR(H36-BZ36,"")</f>
        <v>4887203.747075676</v>
      </c>
      <c r="CB36" s="60">
        <f t="shared" ref="CB36" ca="1" si="3">IFERROR(($C36*Y36)-J36,"")</f>
        <v>-114891.59114110377</v>
      </c>
      <c r="CC36" s="60">
        <f t="shared" ref="CC36" ca="1" si="4">IFERROR(J36-CB36,"")</f>
        <v>2729313.7411411041</v>
      </c>
      <c r="CD36" s="60">
        <f t="shared" ref="CD36" ca="1" si="5">IFERROR(($C36*AA36)-L36,"")</f>
        <v>610584.77047634963</v>
      </c>
      <c r="CE36" s="60">
        <f t="shared" ref="CE36" ca="1" si="6">IFERROR(L36-CD36,"")</f>
        <v>6045299.7995236516</v>
      </c>
      <c r="CG36" s="60">
        <f ca="1">IF(ISBLANK(AU36),0,IFERROR(($C36*AU36)-D36,""))</f>
        <v>225244.50239774585</v>
      </c>
      <c r="CH36" s="60">
        <f ca="1">IFERROR(D36-CG36,"")</f>
        <v>25076193.937602252</v>
      </c>
      <c r="CI36" s="60">
        <f ca="1">IFERROR(($C36*AW36)-F36,"")</f>
        <v>-111540.33423871547</v>
      </c>
      <c r="CJ36" s="60">
        <f ca="1">IFERROR(F36-CI36,"")</f>
        <v>4648704.7342387149</v>
      </c>
      <c r="CK36" s="60">
        <f ca="1">IFERROR(($C36*AY36)-H36,"")</f>
        <v>931329.29833806772</v>
      </c>
      <c r="CL36" s="60">
        <f t="shared" ref="CL36" ca="1" si="7">IFERROR(H36-CK36,"")</f>
        <v>4250824.4316619318</v>
      </c>
      <c r="CM36" s="60">
        <f t="shared" ref="CM36" ca="1" si="8">IFERROR(($C36*BA36)-J36,"")</f>
        <v>174228.62341550086</v>
      </c>
      <c r="CN36" s="60">
        <f t="shared" ref="CN36" ca="1" si="9">IFERROR(J36-CM36,"")</f>
        <v>2440193.5265844995</v>
      </c>
      <c r="CO36" s="60">
        <f t="shared" ref="CO36" ca="1" si="10">IFERROR(($C36*BC36)-L36,"")</f>
        <v>822900.93694276549</v>
      </c>
      <c r="CP36" s="60">
        <f t="shared" ref="CP36" ca="1" si="11">IFERROR(L36-CO36,"")</f>
        <v>5832983.6330572357</v>
      </c>
    </row>
    <row r="37" spans="1:94">
      <c r="A37" t="str">
        <f ca="1">IF(_xll.TM1RPTELISCONSOLIDATED($B$6,$B37),IF(_xll.TM1RPTELLEV($B$11,$B37)&lt;=3,_xll.TM1RPTELLEV($B$11,$B37),"D"),"N")</f>
        <v>N</v>
      </c>
      <c r="B37" s="56" t="s">
        <v>101</v>
      </c>
      <c r="C37" s="98">
        <f ca="1">_xll.DBRW($B$6,$C$9,$C$10,$C$11,$C$12,$C$13,$B37,$C$31,$C$32,C$35)</f>
        <v>20241018.910000004</v>
      </c>
      <c r="D37" s="98">
        <f ca="1">-_xll.DBRW($B$6,$C$9,$C$10,$C$11,$C$12,$C$13,$B37,$C$31,$C$32,D$35)</f>
        <v>10413571.1</v>
      </c>
      <c r="E37" s="98">
        <f t="shared" ref="E37:E50" ca="1" si="12">IF(ROUND(C37,0)=0,0,IFERROR(D37/C37,0))</f>
        <v>0.51447860141345014</v>
      </c>
      <c r="F37" s="98">
        <f ca="1">-_xll.DBRW($B$6,$C$9,$C$10,$C$11,$C$12,$C$13,$B37,$C$31,$C$32,F$35)</f>
        <v>2241429.02</v>
      </c>
      <c r="G37" s="98">
        <f t="shared" ref="G37:G50" ca="1" si="13">IF(ROUND(C37,0)=0,0,IFERROR(F37/C37,0))</f>
        <v>0.1107369658595907</v>
      </c>
      <c r="H37" s="98">
        <f ca="1">-_xll.DBRW($B$6,$C$9,$C$10,$C$11,$C$12,$C$13,$B37,$C$31,$C$32,H$35)</f>
        <v>1957865.3400000003</v>
      </c>
      <c r="I37" s="98">
        <f t="shared" ref="I37:I50" ca="1" si="14">IF(ROUND(C37,0)=0,0,IFERROR(H37/C37,0))</f>
        <v>9.6727607869222618E-2</v>
      </c>
      <c r="J37" s="98">
        <f ca="1">-_xll.DBRW($B$6,$C$9,$C$10,$C$11,$C$12,$C$13,$B37,$C$31,$C$32,J$35)</f>
        <v>1065954.0900000001</v>
      </c>
      <c r="K37" s="98">
        <f t="shared" ref="K37:K50" ca="1" si="15">IF(ROUND(C37,0)=0,0,IFERROR(J37/C37,0))</f>
        <v>5.2663064776515237E-2</v>
      </c>
      <c r="L37" s="98">
        <f ca="1">-_xll.DBRW($B$6,$C$9,$C$10,$C$11,$C$12,$C$13,$B37,$C$31,$C$32,L$35)</f>
        <v>3937715.9699999997</v>
      </c>
      <c r="M37" s="98">
        <f t="shared" ref="M37:M50" ca="1" si="16">IF(ROUND(C37,0)=0,0,IFERROR(L37/C37,0))</f>
        <v>0.19454139080195143</v>
      </c>
      <c r="N37" s="60">
        <f t="shared" ref="N37:N50" ca="1" si="17">IF(C37&lt;0,0,IF((C37-D37-F37-H37-J37-L37)&gt;C37,-C37+D37+F37+H37+J37+L37,C37-D37-F37-H37-J37-L37))</f>
        <v>624483.39000000525</v>
      </c>
      <c r="O37" s="57">
        <f t="shared" ref="O37:O50" ca="1" si="18">IF(OR(IFERROR(N37/C37,0)&gt;1,IFERROR(N37/C37,0)&lt;-1),0,IFERROR(N37/C37,0))</f>
        <v>3.08523692792699E-2</v>
      </c>
      <c r="Q37" s="58">
        <f ca="1">_xll.DBRW($B$6,$C$9,$C$10,$C$11,$C$12,$C$13,$B37,$Q$31,$Q$32,Q$35)</f>
        <v>20793483.240000002</v>
      </c>
      <c r="R37" s="58">
        <f ca="1">-_xll.DBRW($B$6,$C$9,$C$10,$C$11,$C$12,$C$13,$B37,$Q$31,$Q$32,R$35)</f>
        <v>10294282.560000001</v>
      </c>
      <c r="S37" s="58">
        <f t="shared" ref="S37:S50" ca="1" si="19">IF(ROUND($Q37,0)=0,0,IFERROR(R37/$Q37,0))</f>
        <v>0.49507253985215416</v>
      </c>
      <c r="T37" s="58">
        <f ca="1">-_xll.DBRW($B$6,$C$9,$C$10,$C$11,$C$12,$C$13,$B37,$Q$31,$Q$32,T$35)</f>
        <v>2389008.16</v>
      </c>
      <c r="U37" s="58">
        <f t="shared" ref="U37:U50" ca="1" si="20">IF(ROUND($Q37,0)=0,0,IFERROR(T37/$Q37,0))</f>
        <v>0.11489215791437549</v>
      </c>
      <c r="V37" s="58">
        <f ca="1">-_xll.DBRW($B$6,$C$9,$C$10,$C$11,$C$12,$C$13,$B37,$Q$31,$Q$32,V$35)</f>
        <v>2113462.48</v>
      </c>
      <c r="W37" s="58">
        <f t="shared" ref="W37:W50" ca="1" si="21">IF(ROUND($Q37,0)=0,0,IFERROR(V37/$Q37,0))</f>
        <v>0.10164061766882689</v>
      </c>
      <c r="X37" s="58">
        <f ca="1">-_xll.DBRW($B$6,$C$9,$C$10,$C$11,$C$12,$C$13,$B37,$Q$31,$Q$32,X$35)</f>
        <v>1058119.6000000001</v>
      </c>
      <c r="Y37" s="58">
        <f t="shared" ref="Y37:Y50" ca="1" si="22">IF(ROUND($Q37,0)=0,0,IFERROR(X37/$Q37,0))</f>
        <v>5.0887077830448192E-2</v>
      </c>
      <c r="Z37" s="58">
        <f ca="1">-_xll.DBRW($B$6,$C$9,$C$10,$C$11,$C$12,$C$13,$B37,$Q$31,$Q$32,Z$35)</f>
        <v>3972480.0599999996</v>
      </c>
      <c r="AA37" s="58">
        <f t="shared" ref="AA37:AA50" ca="1" si="23">IF(ROUND($Q37,0)=0,0,IFERROR(Z37/$Q37,0))</f>
        <v>0.19104447360499083</v>
      </c>
      <c r="AB37" s="60">
        <f t="shared" ref="AB37:AB50" ca="1" si="24">IF(Q37&lt;0,0,IF((Q37-R37-T37-V37-X37-Z37)&gt;Q37,-Q37+R37+T37+V37+X37+Z37,Q37-R37-T37-V37-X37-Z37))</f>
        <v>966130.38000000175</v>
      </c>
      <c r="AC37" s="57">
        <f t="shared" ref="AC37:AC50" ca="1" si="25">IF(OR(IFERROR(AB37/Q37,0)&gt;1,IFERROR(AB37/Q37,0)&lt;-1),0,IFERROR(AB37/Q37,0))</f>
        <v>4.6463133129204456E-2</v>
      </c>
      <c r="AE37" s="60">
        <f t="shared" ref="AE37:AE50" ca="1" si="26">IF(OR(ROUND(C37,2)=0,ROUND(Q37,2)=0),0,C37-Q37)</f>
        <v>-552464.32999999821</v>
      </c>
      <c r="AF37" s="60">
        <f t="shared" ref="AF37:AF50" ca="1" si="27">IF(OR(ROUND(D37,2)=0,ROUND(R37,2)=0),"",IFERROR(D37-R37,0))</f>
        <v>119288.53999999911</v>
      </c>
      <c r="AG37" s="61">
        <f t="shared" ref="AG37:AG50" ca="1" si="28">IF(OR(ROUND(S37,2)=0,ROUND(E37,2)=0),"",IFERROR(S37-E37,0))</f>
        <v>-1.9406061561295984E-2</v>
      </c>
      <c r="AH37" s="60">
        <f t="shared" ref="AH37:AH50" ca="1" si="29">IF(OR(ROUND(F37,2)=0,ROUND(T37,2)=0),"",IFERROR(F37-T37,0))</f>
        <v>-147579.14000000013</v>
      </c>
      <c r="AI37" s="57">
        <f t="shared" ref="AI37:AI50" ca="1" si="30">IF(OR(ROUND(U37,2)=0,ROUND(G37,2)=0),"",IFERROR(U37-G37,0))</f>
        <v>4.1551920547847898E-3</v>
      </c>
      <c r="AJ37" s="60">
        <f t="shared" ref="AJ37:AJ50" ca="1" si="31">IF(OR(ROUND(H37,2)=0,ROUND(V37,2)=0),"",IFERROR(H37-V37,0))</f>
        <v>-155597.13999999966</v>
      </c>
      <c r="AK37" s="57">
        <f t="shared" ref="AK37:AK50" ca="1" si="32">IF(OR(ROUND(W37,2)=0,ROUND(I37,2)=0),"",IFERROR(W37-I37,0))</f>
        <v>4.9130097996042676E-3</v>
      </c>
      <c r="AL37" s="60">
        <f t="shared" ref="AL37:AL50" ca="1" si="33">IF(OR(ROUND(J37,2)=0,ROUND(X37,2)=0),"",IFERROR(J37-X37,0))</f>
        <v>7834.4899999999907</v>
      </c>
      <c r="AM37" s="57">
        <f t="shared" ref="AM37:AM50" ca="1" si="34">IF(OR(ROUND(Y37,2)=0,ROUND(K37,2)=0),"",IFERROR(Y37-K37,0))</f>
        <v>-1.7759869460670444E-3</v>
      </c>
      <c r="AN37" s="60">
        <f t="shared" ref="AN37:AN50" ca="1" si="35">IF(OR(ROUND(L37,2)=0,ROUND(Z37,2)=0),"",IFERROR(L37-Z37,0))</f>
        <v>-34764.089999999851</v>
      </c>
      <c r="AO37" s="57">
        <f t="shared" ref="AO37:AO50" ca="1" si="36">IF(OR(ROUND(AA37,2)=0,ROUND(M37,2)=0),"",IFERROR(AA37-M37,0))</f>
        <v>-3.4969171969606028E-3</v>
      </c>
      <c r="AP37" s="60">
        <f t="shared" ref="AP37:AP50" ca="1" si="37">IF(OR(ROUND(N37,2)=0,ROUND(AB37,2)=0),"",IFERROR(N37-AB37,0))</f>
        <v>-341646.9899999965</v>
      </c>
      <c r="AQ37" s="57">
        <f t="shared" ref="AQ37:AQ50" ca="1" si="38">IF(OR(ROUND(O37,2)=0,ROUND(AC37,2)=0),"",IFERROR(O37-AC37,0))</f>
        <v>-1.5610763849934556E-2</v>
      </c>
      <c r="AS37" s="58">
        <f ca="1">_xll.DBRW($B$6,$C$9,$C$10,$C$11,$C$12,$C$13,$B37,$AS$31,$AS$32,AS$35)</f>
        <v>20383552.260000002</v>
      </c>
      <c r="AT37" s="58">
        <f ca="1">-_xll.DBRW($B$6,$C$9,$C$10,$C$11,$C$12,$C$13,$B37,$AS$31,$AS$32,AT$35)</f>
        <v>10163065.9</v>
      </c>
      <c r="AU37" s="58">
        <f t="shared" ref="AU37:AU50" ca="1" si="39">IF(ROUND($AS37,0)=0,0,IFERROR(AT37/$AS37,0))</f>
        <v>0.49859150016475096</v>
      </c>
      <c r="AV37" s="58">
        <f ca="1">-_xll.DBRW($B$6,$C$9,$C$10,$C$11,$C$12,$C$13,$B37,$AS$31,$AS$32,AV$35)</f>
        <v>2280743.5500000003</v>
      </c>
      <c r="AW37" s="58">
        <f t="shared" ref="AW37:AW50" ca="1" si="40">IF(ROUND($AS37,0)=0,0,IFERROR(AV37/$AS37,0))</f>
        <v>0.1118913681436996</v>
      </c>
      <c r="AX37" s="58">
        <f ca="1">-_xll.DBRW($B$6,$C$9,$C$10,$C$11,$C$12,$C$13,$B37,$AS$31,$AS$32,AX$35)</f>
        <v>2161575.96</v>
      </c>
      <c r="AY37" s="58">
        <f t="shared" ref="AY37:AY50" ca="1" si="41">IF(ROUND($AS37,0)=0,0,IFERROR(AX37/$AS37,0))</f>
        <v>0.10604510599665222</v>
      </c>
      <c r="AZ37" s="58">
        <f ca="1">-_xll.DBRW($B$6,$C$9,$C$10,$C$11,$C$12,$C$13,$B37,$AS$31,$AS$32,AZ$35)</f>
        <v>1109820.3999999999</v>
      </c>
      <c r="BA37" s="58">
        <f t="shared" ref="BA37:BA50" ca="1" si="42">IF(ROUND($AS37,0)=0,0,IFERROR(AZ37/$AS37,0))</f>
        <v>5.4446859205099112E-2</v>
      </c>
      <c r="BB37" s="58">
        <f ca="1">-_xll.DBRW($B$6,$C$9,$C$10,$C$11,$C$12,$C$13,$B37,$AS$31,$AS$32,BB$35)</f>
        <v>3853795.7500000005</v>
      </c>
      <c r="BC37" s="58">
        <f t="shared" ref="BC37:BC50" ca="1" si="43">IF(ROUND($AS37,0)=0,0,IFERROR(BB37/$AS37,0))</f>
        <v>0.18906399143992972</v>
      </c>
      <c r="BD37" s="60">
        <f t="shared" ref="BD37:BD50" ca="1" si="44">IF(AS37&lt;0,0,IF((AS37-AT37-AV37-AX37-AZ37-BB37)&gt;AS37,-AS37+AT37+AV37+AX37+AZ37+BB37,AS37-AT37-AV37-AX37-AZ37-BB37))</f>
        <v>814550.70000000065</v>
      </c>
      <c r="BE37" s="57">
        <f t="shared" ref="BE37:BE50" ca="1" si="45">IF(OR(IFERROR(BD37/AS37,0)&gt;1,IFERROR(BD37/AS37,0)&lt;-1),0,IFERROR(BD37/AS37,0))</f>
        <v>3.9961175049868396E-2</v>
      </c>
      <c r="BG37" s="60">
        <f t="shared" ref="BG37:BG50" ca="1" si="46">IF(OR(ROUND(C37,2)=0,ROUND(AS37,2)=0),0,IFERROR(C37-AS37,0))</f>
        <v>-142533.34999999776</v>
      </c>
      <c r="BH37" s="60">
        <f t="shared" ref="BH37:BH50" ca="1" si="47">IF(OR(ROUND(D37,2)=0,ROUND(AT37,2)=0),"",IFERROR(D37-AT37,0))</f>
        <v>250505.19999999925</v>
      </c>
      <c r="BI37" s="57">
        <f t="shared" ref="BI37:BI50" ca="1" si="48">IF(OR(ISBLANK(AU37),ROUND(E37,2)=0),"",IFERROR(AU37-E37,0))</f>
        <v>-1.5887101248699187E-2</v>
      </c>
      <c r="BJ37" s="60">
        <f t="shared" ref="BJ37:BJ50" ca="1" si="49">IF(OR(ROUND(F37,2)=0,ROUND(AV37,2)=0),"",IFERROR(F37-AV37,0))</f>
        <v>-39314.530000000261</v>
      </c>
      <c r="BK37" s="57">
        <f t="shared" ref="BK37:BK50" ca="1" si="50">IF(OR(ISBLANK(AW37),ROUND(G37,2)=0),"",IFERROR(AW37-G37,0))</f>
        <v>1.1544022841089019E-3</v>
      </c>
      <c r="BL37" s="60">
        <f t="shared" ref="BL37:BL50" ca="1" si="51">IF(OR(ROUND(H37,2)=0,ROUND(AX37,2)=0),"",IFERROR(H37-AX37,0))</f>
        <v>-203710.61999999965</v>
      </c>
      <c r="BM37" s="57">
        <f t="shared" ref="BM37:BM50" ca="1" si="52">IF(OR(ISBLANK(AY37),ROUND(I37,2)=0),"",IFERROR(AY37-I37,0))</f>
        <v>9.317498127429602E-3</v>
      </c>
      <c r="BN37" s="60">
        <f t="shared" ref="BN37:BN50" ca="1" si="53">IF(OR(ROUND(J37,2)=0,ROUND(AZ37,2)=0),"",IFERROR(J37-AZ37,0))</f>
        <v>-43866.309999999823</v>
      </c>
      <c r="BO37" s="57">
        <f t="shared" ref="BO37:BO50" ca="1" si="54">IF(OR(ISBLANK(BA37),ROUND(K37,2)=0),"",IFERROR(BA37-K37,0))</f>
        <v>1.783794428583875E-3</v>
      </c>
      <c r="BP37" s="60">
        <f t="shared" ref="BP37:BP50" ca="1" si="55">IF(OR(ROUND(L37,2)=0,ROUND(BB37,2)=0),"",IFERROR(L37-BB37,0))</f>
        <v>83920.219999999274</v>
      </c>
      <c r="BQ37" s="57">
        <f t="shared" ref="BQ37:BQ50" ca="1" si="56">IF(OR(ISBLANK(BC37),ROUND(M37,2)=0),"",IFERROR(BC37-M37,0))</f>
        <v>-5.4773993620217121E-3</v>
      </c>
      <c r="BR37" s="60">
        <f t="shared" ref="BR37:BR50" ca="1" si="57">IF(OR(ROUND(N37,2)=0,ROUND(BD37,2)=0),"",IFERROR(N37-BD37,0))</f>
        <v>-190067.3099999954</v>
      </c>
      <c r="BS37" s="57">
        <f t="shared" ref="BS37:BS50" ca="1" si="58">IF(OR(ISBLANK(BE37),ROUND(O37,2)=0),"",IFERROR(O37-BE37,0))</f>
        <v>-9.1088057705984958E-3</v>
      </c>
      <c r="BT37" s="53" t="str">
        <f t="shared" ref="BT37:BT50" si="59">B37</f>
        <v>Almere</v>
      </c>
      <c r="BV37" s="60">
        <f t="shared" ref="BV37:BV50" ca="1" si="60">IFERROR(($C37*S37)-D37,"")</f>
        <v>-392798.45903081633</v>
      </c>
      <c r="BW37" s="60">
        <f t="shared" ref="BW37:BW50" ca="1" si="61">IFERROR(D37-BV37,"")</f>
        <v>10806369.559030816</v>
      </c>
      <c r="BX37" s="60">
        <f t="shared" ref="BX37:BX50" ca="1" si="62">IFERROR(($C37*U37)-F37,"")</f>
        <v>84105.320955581032</v>
      </c>
      <c r="BY37" s="60">
        <f t="shared" ref="BY37:BY50" ca="1" si="63">IFERROR(F37-BX37,"")</f>
        <v>2157323.699044419</v>
      </c>
      <c r="BZ37" s="60">
        <f t="shared" ref="BZ37:BZ50" ca="1" si="64">IFERROR(($C37*W37)-H37,"")</f>
        <v>99444.324258805253</v>
      </c>
      <c r="CA37" s="60">
        <f t="shared" ref="CA37:CA50" ca="1" si="65">IFERROR(H37-BZ37,"")</f>
        <v>1858421.0157411951</v>
      </c>
      <c r="CB37" s="60">
        <f t="shared" ref="CB37:CB50" ca="1" si="66">IFERROR(($C37*Y37)-J37,"")</f>
        <v>-35947.785359256202</v>
      </c>
      <c r="CC37" s="60">
        <f t="shared" ref="CC37:CC50" ca="1" si="67">IFERROR(J37-CB37,"")</f>
        <v>1101901.8753592563</v>
      </c>
      <c r="CD37" s="60">
        <f t="shared" ref="CD37:CD50" ca="1" si="68">IFERROR(($C37*AA37)-L37,"")</f>
        <v>-70781.167110383976</v>
      </c>
      <c r="CE37" s="60">
        <f t="shared" ref="CE37:CE50" ca="1" si="69">IFERROR(L37-CD37,"")</f>
        <v>4008497.1371103837</v>
      </c>
      <c r="CG37" s="60">
        <f t="shared" ref="CG37:CG50" ca="1" si="70">IF(ISBLANK(AU37),0,IFERROR(($C37*AU37)-D37,""))</f>
        <v>-321571.11680000462</v>
      </c>
      <c r="CH37" s="60">
        <f t="shared" ref="CH37:CH50" ca="1" si="71">IFERROR(D37-CG37,"")</f>
        <v>10735142.216800004</v>
      </c>
      <c r="CI37" s="60">
        <f t="shared" ref="CI37:CI50" ca="1" si="72">IFERROR(($C37*AW37)-F37,"")</f>
        <v>23366.278462395538</v>
      </c>
      <c r="CJ37" s="60">
        <f t="shared" ref="CJ37:CJ50" ca="1" si="73">IFERROR(F37-CI37,"")</f>
        <v>2218062.7415376045</v>
      </c>
      <c r="CK37" s="60">
        <f t="shared" ref="CK37:CK50" ca="1" si="74">IFERROR(($C37*AY37)-H37,"")</f>
        <v>188595.65579119185</v>
      </c>
      <c r="CL37" s="60">
        <f t="shared" ref="CL37:CL50" ca="1" si="75">IFERROR(H37-CK37,"")</f>
        <v>1769269.6842088085</v>
      </c>
      <c r="CM37" s="60">
        <f t="shared" ref="CM37:CM50" ca="1" si="76">IFERROR(($C37*BA37)-J37,"")</f>
        <v>36105.816760518821</v>
      </c>
      <c r="CN37" s="60">
        <f t="shared" ref="CN37:CN50" ca="1" si="77">IFERROR(J37-CM37,"")</f>
        <v>1029848.2732394813</v>
      </c>
      <c r="CO37" s="60">
        <f t="shared" ref="CO37:CO50" ca="1" si="78">IFERROR(($C37*BC37)-L37,"")</f>
        <v>-110868.14406430349</v>
      </c>
      <c r="CP37" s="60">
        <f t="shared" ref="CP37:CP50" ca="1" si="79">IFERROR(L37-CO37,"")</f>
        <v>4048584.1140643032</v>
      </c>
    </row>
    <row r="38" spans="1:94">
      <c r="A38" t="str">
        <f ca="1">IF(_xll.TM1RPTELISCONSOLIDATED($B$6,$B38),IF(_xll.TM1RPTELLEV($B$11,$B38)&lt;=3,_xll.TM1RPTELLEV($B$11,$B38),"D"),"N")</f>
        <v>N</v>
      </c>
      <c r="B38" s="56" t="s">
        <v>102</v>
      </c>
      <c r="C38" s="98">
        <f ca="1">_xll.DBRW($B$6,$C$9,$C$10,$C$11,$C$12,$C$13,$B38,$C$31,$C$32,C$35)</f>
        <v>14451009.869999999</v>
      </c>
      <c r="D38" s="98">
        <f ca="1">-_xll.DBRW($B$6,$C$9,$C$10,$C$11,$C$12,$C$13,$B38,$C$31,$C$32,D$35)</f>
        <v>6251470.7999999998</v>
      </c>
      <c r="E38" s="98">
        <f t="shared" ca="1" si="12"/>
        <v>0.43259750399713764</v>
      </c>
      <c r="F38" s="98">
        <f ca="1">-_xll.DBRW($B$6,$C$9,$C$10,$C$11,$C$12,$C$13,$B38,$C$31,$C$32,F$35)</f>
        <v>977016.24</v>
      </c>
      <c r="G38" s="98">
        <f t="shared" ca="1" si="13"/>
        <v>6.7608855629409381E-2</v>
      </c>
      <c r="H38" s="98">
        <f ca="1">-_xll.DBRW($B$6,$C$9,$C$10,$C$11,$C$12,$C$13,$B38,$C$31,$C$32,H$35)</f>
        <v>930096.89</v>
      </c>
      <c r="I38" s="98">
        <f t="shared" ca="1" si="14"/>
        <v>6.4362068697417618E-2</v>
      </c>
      <c r="J38" s="98">
        <f ca="1">-_xll.DBRW($B$6,$C$9,$C$10,$C$11,$C$12,$C$13,$B38,$C$31,$C$32,J$35)</f>
        <v>1189956.3799999999</v>
      </c>
      <c r="K38" s="98">
        <f t="shared" ca="1" si="15"/>
        <v>8.234416768826136E-2</v>
      </c>
      <c r="L38" s="98">
        <f ca="1">-_xll.DBRW($B$6,$C$9,$C$10,$C$11,$C$12,$C$13,$B38,$C$31,$C$32,L$35)</f>
        <v>1652299.7599999998</v>
      </c>
      <c r="M38" s="98">
        <f t="shared" ca="1" si="16"/>
        <v>0.11433801338895631</v>
      </c>
      <c r="N38" s="60">
        <f t="shared" ca="1" si="17"/>
        <v>3450169.8</v>
      </c>
      <c r="O38" s="57">
        <f t="shared" ca="1" si="18"/>
        <v>0.23874939059881772</v>
      </c>
      <c r="Q38" s="58">
        <f ca="1">_xll.DBRW($B$6,$C$9,$C$10,$C$11,$C$12,$C$13,$B38,$Q$31,$Q$32,Q$35)</f>
        <v>14316386.08</v>
      </c>
      <c r="R38" s="58">
        <f ca="1">-_xll.DBRW($B$6,$C$9,$C$10,$C$11,$C$12,$C$13,$B38,$Q$31,$Q$32,R$35)</f>
        <v>6267001.5599999996</v>
      </c>
      <c r="S38" s="58">
        <f t="shared" ca="1" si="19"/>
        <v>0.43775024821068526</v>
      </c>
      <c r="T38" s="58">
        <f ca="1">-_xll.DBRW($B$6,$C$9,$C$10,$C$11,$C$12,$C$13,$B38,$Q$31,$Q$32,T$35)</f>
        <v>960858.3600000001</v>
      </c>
      <c r="U38" s="58">
        <f t="shared" ca="1" si="20"/>
        <v>6.7115985461045913E-2</v>
      </c>
      <c r="V38" s="58">
        <f ca="1">-_xll.DBRW($B$6,$C$9,$C$10,$C$11,$C$12,$C$13,$B38,$Q$31,$Q$32,V$35)</f>
        <v>1007014.09</v>
      </c>
      <c r="W38" s="58">
        <f t="shared" ca="1" si="21"/>
        <v>7.0339964595310778E-2</v>
      </c>
      <c r="X38" s="58">
        <f ca="1">-_xll.DBRW($B$6,$C$9,$C$10,$C$11,$C$12,$C$13,$B38,$Q$31,$Q$32,X$35)</f>
        <v>1177248.3199999998</v>
      </c>
      <c r="Y38" s="58">
        <f t="shared" ca="1" si="22"/>
        <v>8.2230830701374866E-2</v>
      </c>
      <c r="Z38" s="58">
        <f ca="1">-_xll.DBRW($B$6,$C$9,$C$10,$C$11,$C$12,$C$13,$B38,$Q$31,$Q$32,Z$35)</f>
        <v>1779649.57</v>
      </c>
      <c r="AA38" s="58">
        <f t="shared" ca="1" si="23"/>
        <v>0.1243085762045892</v>
      </c>
      <c r="AB38" s="60">
        <f t="shared" ca="1" si="24"/>
        <v>3124614.1799999997</v>
      </c>
      <c r="AC38" s="57">
        <f t="shared" ca="1" si="25"/>
        <v>0.21825439482699391</v>
      </c>
      <c r="AE38" s="60">
        <f t="shared" ca="1" si="26"/>
        <v>134623.78999999911</v>
      </c>
      <c r="AF38" s="60">
        <f t="shared" ca="1" si="27"/>
        <v>-15530.759999999776</v>
      </c>
      <c r="AG38" s="61">
        <f t="shared" ca="1" si="28"/>
        <v>5.1527442135476109E-3</v>
      </c>
      <c r="AH38" s="60">
        <f t="shared" ca="1" si="29"/>
        <v>16157.879999999888</v>
      </c>
      <c r="AI38" s="57">
        <f t="shared" ca="1" si="30"/>
        <v>-4.9287016836346842E-4</v>
      </c>
      <c r="AJ38" s="60">
        <f t="shared" ca="1" si="31"/>
        <v>-76917.199999999953</v>
      </c>
      <c r="AK38" s="57">
        <f t="shared" ca="1" si="32"/>
        <v>5.9778958978931596E-3</v>
      </c>
      <c r="AL38" s="60">
        <f t="shared" ca="1" si="33"/>
        <v>12708.060000000056</v>
      </c>
      <c r="AM38" s="57">
        <f t="shared" ca="1" si="34"/>
        <v>-1.1333698688649474E-4</v>
      </c>
      <c r="AN38" s="60">
        <f t="shared" ca="1" si="35"/>
        <v>-127349.81000000029</v>
      </c>
      <c r="AO38" s="57">
        <f t="shared" ca="1" si="36"/>
        <v>9.9705628156328829E-3</v>
      </c>
      <c r="AP38" s="60">
        <f t="shared" ca="1" si="37"/>
        <v>325555.62000000011</v>
      </c>
      <c r="AQ38" s="57">
        <f t="shared" ca="1" si="38"/>
        <v>2.0494995771823815E-2</v>
      </c>
      <c r="AS38" s="58">
        <f ca="1">_xll.DBRW($B$6,$C$9,$C$10,$C$11,$C$12,$C$13,$B38,$AS$31,$AS$32,AS$35)</f>
        <v>14002932.999999998</v>
      </c>
      <c r="AT38" s="58">
        <f ca="1">-_xll.DBRW($B$6,$C$9,$C$10,$C$11,$C$12,$C$13,$B38,$AS$31,$AS$32,AT$35)</f>
        <v>6121246.6799999997</v>
      </c>
      <c r="AU38" s="58">
        <f t="shared" ca="1" si="39"/>
        <v>0.43714032481623677</v>
      </c>
      <c r="AV38" s="58">
        <f ca="1">-_xll.DBRW($B$6,$C$9,$C$10,$C$11,$C$12,$C$13,$B38,$AS$31,$AS$32,AV$35)</f>
        <v>958476.90000000014</v>
      </c>
      <c r="AW38" s="58">
        <f t="shared" ca="1" si="40"/>
        <v>6.8448295796316408E-2</v>
      </c>
      <c r="AX38" s="58">
        <f ca="1">-_xll.DBRW($B$6,$C$9,$C$10,$C$11,$C$12,$C$13,$B38,$AS$31,$AS$32,AX$35)</f>
        <v>1048281.86</v>
      </c>
      <c r="AY38" s="58">
        <f t="shared" ca="1" si="41"/>
        <v>7.4861592210717573E-2</v>
      </c>
      <c r="AZ38" s="58">
        <f ca="1">-_xll.DBRW($B$6,$C$9,$C$10,$C$11,$C$12,$C$13,$B38,$AS$31,$AS$32,AZ$35)</f>
        <v>1202298.5500000003</v>
      </c>
      <c r="BA38" s="58">
        <f t="shared" ca="1" si="42"/>
        <v>8.5860480086564758E-2</v>
      </c>
      <c r="BB38" s="58">
        <f ca="1">-_xll.DBRW($B$6,$C$9,$C$10,$C$11,$C$12,$C$13,$B38,$AS$31,$AS$32,BB$35)</f>
        <v>1678320.49</v>
      </c>
      <c r="BC38" s="58">
        <f t="shared" ca="1" si="43"/>
        <v>0.11985492539313015</v>
      </c>
      <c r="BD38" s="60">
        <f t="shared" ca="1" si="44"/>
        <v>2994308.5199999977</v>
      </c>
      <c r="BE38" s="57">
        <f t="shared" ca="1" si="45"/>
        <v>0.21383438169703434</v>
      </c>
      <c r="BG38" s="60">
        <f t="shared" ca="1" si="46"/>
        <v>448076.87000000104</v>
      </c>
      <c r="BH38" s="60">
        <f t="shared" ca="1" si="47"/>
        <v>130224.12000000011</v>
      </c>
      <c r="BI38" s="57">
        <f t="shared" ca="1" si="48"/>
        <v>4.5428208190991248E-3</v>
      </c>
      <c r="BJ38" s="60">
        <f t="shared" ca="1" si="49"/>
        <v>18539.339999999851</v>
      </c>
      <c r="BK38" s="57">
        <f t="shared" ca="1" si="50"/>
        <v>8.3944016690702672E-4</v>
      </c>
      <c r="BL38" s="60">
        <f t="shared" ca="1" si="51"/>
        <v>-118184.96999999997</v>
      </c>
      <c r="BM38" s="57">
        <f t="shared" ca="1" si="52"/>
        <v>1.0499523513299955E-2</v>
      </c>
      <c r="BN38" s="60">
        <f t="shared" ca="1" si="53"/>
        <v>-12342.170000000391</v>
      </c>
      <c r="BO38" s="57">
        <f t="shared" ca="1" si="54"/>
        <v>3.5163123983033978E-3</v>
      </c>
      <c r="BP38" s="60">
        <f t="shared" ca="1" si="55"/>
        <v>-26020.730000000214</v>
      </c>
      <c r="BQ38" s="57">
        <f t="shared" ca="1" si="56"/>
        <v>5.5169120041738406E-3</v>
      </c>
      <c r="BR38" s="60">
        <f t="shared" ca="1" si="57"/>
        <v>455861.28000000212</v>
      </c>
      <c r="BS38" s="57">
        <f t="shared" ca="1" si="58"/>
        <v>2.4915008901783386E-2</v>
      </c>
      <c r="BT38" s="53" t="str">
        <f t="shared" si="59"/>
        <v>Zaanstreek</v>
      </c>
      <c r="BV38" s="60">
        <f t="shared" ca="1" si="60"/>
        <v>74462.357487562113</v>
      </c>
      <c r="BW38" s="60">
        <f t="shared" ca="1" si="61"/>
        <v>6177008.4425124377</v>
      </c>
      <c r="BX38" s="60">
        <f t="shared" ca="1" si="62"/>
        <v>-7122.471667649108</v>
      </c>
      <c r="BY38" s="60">
        <f t="shared" ca="1" si="63"/>
        <v>984138.7116676491</v>
      </c>
      <c r="BZ38" s="60">
        <f t="shared" ca="1" si="64"/>
        <v>86386.632622286561</v>
      </c>
      <c r="CA38" s="60">
        <f t="shared" ca="1" si="65"/>
        <v>843710.25737771345</v>
      </c>
      <c r="CB38" s="60">
        <f t="shared" ca="1" si="66"/>
        <v>-1637.833916132804</v>
      </c>
      <c r="CC38" s="60">
        <f t="shared" ca="1" si="67"/>
        <v>1191594.2139161327</v>
      </c>
      <c r="CD38" s="60">
        <f t="shared" ca="1" si="68"/>
        <v>144084.70165816578</v>
      </c>
      <c r="CE38" s="60">
        <f t="shared" ca="1" si="69"/>
        <v>1508215.058341834</v>
      </c>
      <c r="CG38" s="60">
        <f t="shared" ca="1" si="70"/>
        <v>65648.348494443111</v>
      </c>
      <c r="CH38" s="60">
        <f t="shared" ca="1" si="71"/>
        <v>6185822.4515055567</v>
      </c>
      <c r="CI38" s="60">
        <f t="shared" ca="1" si="72"/>
        <v>12130.758137247874</v>
      </c>
      <c r="CJ38" s="60">
        <f t="shared" ca="1" si="73"/>
        <v>964885.48186275212</v>
      </c>
      <c r="CK38" s="60">
        <f t="shared" ca="1" si="74"/>
        <v>151728.71792099474</v>
      </c>
      <c r="CL38" s="60">
        <f t="shared" ca="1" si="75"/>
        <v>778368.17207900528</v>
      </c>
      <c r="CM38" s="60">
        <f t="shared" ca="1" si="76"/>
        <v>50814.265173885738</v>
      </c>
      <c r="CN38" s="60">
        <f t="shared" ca="1" si="77"/>
        <v>1139142.1148261141</v>
      </c>
      <c r="CO38" s="60">
        <f t="shared" ca="1" si="78"/>
        <v>79724.94982423773</v>
      </c>
      <c r="CP38" s="60">
        <f t="shared" ca="1" si="79"/>
        <v>1572574.810175762</v>
      </c>
    </row>
    <row r="39" spans="1:94">
      <c r="A39" t="str">
        <f ca="1">IF(_xll.TM1RPTELISCONSOLIDATED($B$6,$B39),IF(_xll.TM1RPTELLEV($B$11,$B39)&lt;=3,_xll.TM1RPTELLEV($B$11,$B39),"D"),"N")</f>
        <v>N</v>
      </c>
      <c r="B39" s="56" t="s">
        <v>103</v>
      </c>
      <c r="C39" s="98">
        <f ca="1">_xll.DBRW($B$6,$C$9,$C$10,$C$11,$C$12,$C$13,$B39,$C$31,$C$32,C$35)</f>
        <v>37815519.609999999</v>
      </c>
      <c r="D39" s="98">
        <f ca="1">-_xll.DBRW($B$6,$C$9,$C$10,$C$11,$C$12,$C$13,$B39,$C$31,$C$32,D$35)</f>
        <v>17708145.879999999</v>
      </c>
      <c r="E39" s="98">
        <f t="shared" ca="1" si="12"/>
        <v>0.46827720635940245</v>
      </c>
      <c r="F39" s="98">
        <f ca="1">-_xll.DBRW($B$6,$C$9,$C$10,$C$11,$C$12,$C$13,$B39,$C$31,$C$32,F$35)</f>
        <v>4903864.919999999</v>
      </c>
      <c r="G39" s="98">
        <f t="shared" ca="1" si="13"/>
        <v>0.12967863381422934</v>
      </c>
      <c r="H39" s="98">
        <f ca="1">-_xll.DBRW($B$6,$C$9,$C$10,$C$11,$C$12,$C$13,$B39,$C$31,$C$32,H$35)</f>
        <v>3181324.14</v>
      </c>
      <c r="I39" s="98">
        <f t="shared" ca="1" si="14"/>
        <v>8.4127473926306318E-2</v>
      </c>
      <c r="J39" s="98">
        <f ca="1">-_xll.DBRW($B$6,$C$9,$C$10,$C$11,$C$12,$C$13,$B39,$C$31,$C$32,J$35)</f>
        <v>3516600.93</v>
      </c>
      <c r="K39" s="98">
        <f t="shared" ca="1" si="15"/>
        <v>9.2993590099184148E-2</v>
      </c>
      <c r="L39" s="98">
        <f ca="1">-_xll.DBRW($B$6,$C$9,$C$10,$C$11,$C$12,$C$13,$B39,$C$31,$C$32,L$35)</f>
        <v>4936000.6900000004</v>
      </c>
      <c r="M39" s="98">
        <f t="shared" ca="1" si="16"/>
        <v>0.13052843755437163</v>
      </c>
      <c r="N39" s="60">
        <f t="shared" ca="1" si="17"/>
        <v>3569583.0500000017</v>
      </c>
      <c r="O39" s="57">
        <f t="shared" ca="1" si="18"/>
        <v>9.4394658246506155E-2</v>
      </c>
      <c r="Q39" s="58">
        <f ca="1">_xll.DBRW($B$6,$C$9,$C$10,$C$11,$C$12,$C$13,$B39,$Q$31,$Q$32,Q$35)</f>
        <v>35939688.859999999</v>
      </c>
      <c r="R39" s="58">
        <f ca="1">-_xll.DBRW($B$6,$C$9,$C$10,$C$11,$C$12,$C$13,$B39,$Q$31,$Q$32,R$35)</f>
        <v>17246017.329999998</v>
      </c>
      <c r="S39" s="58">
        <f t="shared" ca="1" si="19"/>
        <v>0.47985995085211758</v>
      </c>
      <c r="T39" s="58">
        <f ca="1">-_xll.DBRW($B$6,$C$9,$C$10,$C$11,$C$12,$C$13,$B39,$Q$31,$Q$32,T$35)</f>
        <v>2465016.08</v>
      </c>
      <c r="U39" s="58">
        <f t="shared" ca="1" si="20"/>
        <v>6.8587574299885018E-2</v>
      </c>
      <c r="V39" s="58">
        <f ca="1">-_xll.DBRW($B$6,$C$9,$C$10,$C$11,$C$12,$C$13,$B39,$Q$31,$Q$32,V$35)</f>
        <v>3219898.9799999995</v>
      </c>
      <c r="W39" s="58">
        <f t="shared" ca="1" si="21"/>
        <v>8.9591732208446268E-2</v>
      </c>
      <c r="X39" s="58">
        <f ca="1">-_xll.DBRW($B$6,$C$9,$C$10,$C$11,$C$12,$C$13,$B39,$Q$31,$Q$32,X$35)</f>
        <v>3567832.44</v>
      </c>
      <c r="Y39" s="58">
        <f t="shared" ca="1" si="22"/>
        <v>9.9272769274608569E-2</v>
      </c>
      <c r="Z39" s="58">
        <f ca="1">-_xll.DBRW($B$6,$C$9,$C$10,$C$11,$C$12,$C$13,$B39,$Q$31,$Q$32,Z$35)</f>
        <v>4831225.7</v>
      </c>
      <c r="AA39" s="58">
        <f t="shared" ca="1" si="23"/>
        <v>0.13442591890040087</v>
      </c>
      <c r="AB39" s="60">
        <f t="shared" ca="1" si="24"/>
        <v>4609698.3300000029</v>
      </c>
      <c r="AC39" s="57">
        <f t="shared" ca="1" si="25"/>
        <v>0.1282620544645417</v>
      </c>
      <c r="AE39" s="60">
        <f t="shared" ca="1" si="26"/>
        <v>1875830.75</v>
      </c>
      <c r="AF39" s="60">
        <f t="shared" ca="1" si="27"/>
        <v>462128.55000000075</v>
      </c>
      <c r="AG39" s="61">
        <f t="shared" ca="1" si="28"/>
        <v>1.1582744492715125E-2</v>
      </c>
      <c r="AH39" s="60">
        <f t="shared" ca="1" si="29"/>
        <v>2438848.8399999989</v>
      </c>
      <c r="AI39" s="57">
        <f t="shared" ca="1" si="30"/>
        <v>-6.109105951434432E-2</v>
      </c>
      <c r="AJ39" s="60">
        <f t="shared" ca="1" si="31"/>
        <v>-38574.839999999385</v>
      </c>
      <c r="AK39" s="57">
        <f t="shared" ca="1" si="32"/>
        <v>5.4642582821399499E-3</v>
      </c>
      <c r="AL39" s="60">
        <f t="shared" ca="1" si="33"/>
        <v>-51231.509999999776</v>
      </c>
      <c r="AM39" s="57">
        <f t="shared" ca="1" si="34"/>
        <v>6.2791791754244208E-3</v>
      </c>
      <c r="AN39" s="60">
        <f t="shared" ca="1" si="35"/>
        <v>104774.99000000022</v>
      </c>
      <c r="AO39" s="57">
        <f t="shared" ca="1" si="36"/>
        <v>3.8974813460292412E-3</v>
      </c>
      <c r="AP39" s="60">
        <f t="shared" ca="1" si="37"/>
        <v>-1040115.2800000012</v>
      </c>
      <c r="AQ39" s="57">
        <f t="shared" ca="1" si="38"/>
        <v>-3.3867396218035542E-2</v>
      </c>
      <c r="AS39" s="58">
        <f ca="1">_xll.DBRW($B$6,$C$9,$C$10,$C$11,$C$12,$C$13,$B39,$AS$31,$AS$32,AS$35)</f>
        <v>37469923.659999996</v>
      </c>
      <c r="AT39" s="58">
        <f ca="1">-_xll.DBRW($B$6,$C$9,$C$10,$C$11,$C$12,$C$13,$B39,$AS$31,$AS$32,AT$35)</f>
        <v>17406305.77</v>
      </c>
      <c r="AU39" s="58">
        <f t="shared" ca="1" si="39"/>
        <v>0.46454073213342656</v>
      </c>
      <c r="AV39" s="58">
        <f ca="1">-_xll.DBRW($B$6,$C$9,$C$10,$C$11,$C$12,$C$13,$B39,$AS$31,$AS$32,AV$35)</f>
        <v>4255584.12</v>
      </c>
      <c r="AW39" s="58">
        <f t="shared" ca="1" si="40"/>
        <v>0.1135733330714771</v>
      </c>
      <c r="AX39" s="58">
        <f ca="1">-_xll.DBRW($B$6,$C$9,$C$10,$C$11,$C$12,$C$13,$B39,$AS$31,$AS$32,AX$35)</f>
        <v>3426078.3200000003</v>
      </c>
      <c r="AY39" s="58">
        <f t="shared" ca="1" si="41"/>
        <v>9.1435423009879724E-2</v>
      </c>
      <c r="AZ39" s="58">
        <f ca="1">-_xll.DBRW($B$6,$C$9,$C$10,$C$11,$C$12,$C$13,$B39,$AS$31,$AS$32,AZ$35)</f>
        <v>3572235.1100000003</v>
      </c>
      <c r="BA39" s="58">
        <f t="shared" ca="1" si="42"/>
        <v>9.533606586483237E-2</v>
      </c>
      <c r="BB39" s="58">
        <f ca="1">-_xll.DBRW($B$6,$C$9,$C$10,$C$11,$C$12,$C$13,$B39,$AS$31,$AS$32,BB$35)</f>
        <v>4394110.9200000009</v>
      </c>
      <c r="BC39" s="58">
        <f t="shared" ca="1" si="43"/>
        <v>0.11727034620811931</v>
      </c>
      <c r="BD39" s="60">
        <f t="shared" ca="1" si="44"/>
        <v>4415609.4199999953</v>
      </c>
      <c r="BE39" s="57">
        <f t="shared" ca="1" si="45"/>
        <v>0.11784409971226495</v>
      </c>
      <c r="BG39" s="60">
        <f t="shared" ca="1" si="46"/>
        <v>345595.95000000298</v>
      </c>
      <c r="BH39" s="60">
        <f t="shared" ca="1" si="47"/>
        <v>301840.1099999994</v>
      </c>
      <c r="BI39" s="57">
        <f t="shared" ca="1" si="48"/>
        <v>-3.7364742259758943E-3</v>
      </c>
      <c r="BJ39" s="60">
        <f t="shared" ca="1" si="49"/>
        <v>648280.79999999888</v>
      </c>
      <c r="BK39" s="57">
        <f t="shared" ca="1" si="50"/>
        <v>-1.6105300742752238E-2</v>
      </c>
      <c r="BL39" s="60">
        <f t="shared" ca="1" si="51"/>
        <v>-244754.18000000017</v>
      </c>
      <c r="BM39" s="57">
        <f t="shared" ca="1" si="52"/>
        <v>7.3079490835734062E-3</v>
      </c>
      <c r="BN39" s="60">
        <f t="shared" ca="1" si="53"/>
        <v>-55634.180000000168</v>
      </c>
      <c r="BO39" s="57">
        <f t="shared" ca="1" si="54"/>
        <v>2.342475765648222E-3</v>
      </c>
      <c r="BP39" s="60">
        <f t="shared" ca="1" si="55"/>
        <v>541889.76999999955</v>
      </c>
      <c r="BQ39" s="57">
        <f t="shared" ca="1" si="56"/>
        <v>-1.3258091346252318E-2</v>
      </c>
      <c r="BR39" s="60">
        <f t="shared" ca="1" si="57"/>
        <v>-846026.36999999359</v>
      </c>
      <c r="BS39" s="57">
        <f t="shared" ca="1" si="58"/>
        <v>-2.3449441465758794E-2</v>
      </c>
      <c r="BT39" s="53" t="str">
        <f t="shared" si="59"/>
        <v>SRE</v>
      </c>
      <c r="BV39" s="60">
        <f t="shared" ca="1" si="60"/>
        <v>438007.50150188804</v>
      </c>
      <c r="BW39" s="60">
        <f t="shared" ca="1" si="61"/>
        <v>17270138.378498111</v>
      </c>
      <c r="BX39" s="60">
        <f t="shared" ca="1" si="62"/>
        <v>-2310190.1590603651</v>
      </c>
      <c r="BY39" s="60">
        <f t="shared" ca="1" si="63"/>
        <v>7214055.0790603645</v>
      </c>
      <c r="BZ39" s="60">
        <f t="shared" ca="1" si="64"/>
        <v>206633.76622236846</v>
      </c>
      <c r="CA39" s="60">
        <f t="shared" ca="1" si="65"/>
        <v>2974690.3737776317</v>
      </c>
      <c r="CB39" s="60">
        <f t="shared" ca="1" si="66"/>
        <v>237450.42324296571</v>
      </c>
      <c r="CC39" s="60">
        <f t="shared" ca="1" si="67"/>
        <v>3279150.5067570345</v>
      </c>
      <c r="CD39" s="60">
        <f t="shared" ca="1" si="68"/>
        <v>147385.28227037843</v>
      </c>
      <c r="CE39" s="60">
        <f t="shared" ca="1" si="69"/>
        <v>4788615.407729622</v>
      </c>
      <c r="CG39" s="60">
        <f t="shared" ca="1" si="70"/>
        <v>-141296.71436465159</v>
      </c>
      <c r="CH39" s="60">
        <f t="shared" ca="1" si="71"/>
        <v>17849442.594364651</v>
      </c>
      <c r="CI39" s="60">
        <f t="shared" ca="1" si="72"/>
        <v>-609030.31606249511</v>
      </c>
      <c r="CJ39" s="60">
        <f t="shared" ca="1" si="73"/>
        <v>5512895.2360624941</v>
      </c>
      <c r="CK39" s="60">
        <f t="shared" ca="1" si="74"/>
        <v>276353.89187875157</v>
      </c>
      <c r="CL39" s="60">
        <f t="shared" ca="1" si="75"/>
        <v>2904970.2481212486</v>
      </c>
      <c r="CM39" s="60">
        <f t="shared" ca="1" si="76"/>
        <v>88581.938251819927</v>
      </c>
      <c r="CN39" s="60">
        <f t="shared" ca="1" si="77"/>
        <v>3428018.9917481802</v>
      </c>
      <c r="CO39" s="60">
        <f t="shared" ca="1" si="78"/>
        <v>-501361.61329537537</v>
      </c>
      <c r="CP39" s="60">
        <f t="shared" ca="1" si="79"/>
        <v>5437362.3032953758</v>
      </c>
    </row>
    <row r="40" spans="1:94">
      <c r="A40" t="str">
        <f ca="1">IF(_xll.TM1RPTELISCONSOLIDATED($B$6,$B40),IF(_xll.TM1RPTELLEV($B$11,$B40)&lt;=3,_xll.TM1RPTELLEV($B$11,$B40),"D"),"N")</f>
        <v>N</v>
      </c>
      <c r="B40" s="56" t="s">
        <v>104</v>
      </c>
      <c r="C40" s="98">
        <f ca="1">_xll.DBRW($B$6,$C$9,$C$10,$C$11,$C$12,$C$13,$B40,$C$31,$C$32,C$35)</f>
        <v>16245045.390000001</v>
      </c>
      <c r="D40" s="98">
        <f ca="1">-_xll.DBRW($B$6,$C$9,$C$10,$C$11,$C$12,$C$13,$B40,$C$31,$C$32,D$35)</f>
        <v>8295275.2400000012</v>
      </c>
      <c r="E40" s="98">
        <f t="shared" ca="1" si="12"/>
        <v>0.51063416819422014</v>
      </c>
      <c r="F40" s="98">
        <f ca="1">-_xll.DBRW($B$6,$C$9,$C$10,$C$11,$C$12,$C$13,$B40,$C$31,$C$32,F$35)</f>
        <v>1223722.8</v>
      </c>
      <c r="G40" s="98">
        <f t="shared" ca="1" si="13"/>
        <v>7.5328986199896364E-2</v>
      </c>
      <c r="H40" s="98">
        <f ca="1">-_xll.DBRW($B$6,$C$9,$C$10,$C$11,$C$12,$C$13,$B40,$C$31,$C$32,H$35)</f>
        <v>1681088.8599999999</v>
      </c>
      <c r="I40" s="98">
        <f t="shared" ca="1" si="14"/>
        <v>0.10348317407809962</v>
      </c>
      <c r="J40" s="98">
        <f ca="1">-_xll.DBRW($B$6,$C$9,$C$10,$C$11,$C$12,$C$13,$B40,$C$31,$C$32,J$35)</f>
        <v>1675657.12</v>
      </c>
      <c r="K40" s="98">
        <f t="shared" ca="1" si="15"/>
        <v>0.1031488112080923</v>
      </c>
      <c r="L40" s="98">
        <f ca="1">-_xll.DBRW($B$6,$C$9,$C$10,$C$11,$C$12,$C$13,$B40,$C$31,$C$32,L$35)</f>
        <v>1995855.4699999997</v>
      </c>
      <c r="M40" s="98">
        <f t="shared" ca="1" si="16"/>
        <v>0.12285933477468725</v>
      </c>
      <c r="N40" s="60">
        <f t="shared" ca="1" si="17"/>
        <v>1373445.9000000004</v>
      </c>
      <c r="O40" s="57">
        <f t="shared" ca="1" si="18"/>
        <v>8.4545525545004357E-2</v>
      </c>
      <c r="Q40" s="58">
        <f ca="1">_xll.DBRW($B$6,$C$9,$C$10,$C$11,$C$12,$C$13,$B40,$Q$31,$Q$32,Q$35)</f>
        <v>17074072.079999998</v>
      </c>
      <c r="R40" s="58">
        <f ca="1">-_xll.DBRW($B$6,$C$9,$C$10,$C$11,$C$12,$C$13,$B40,$Q$31,$Q$32,R$35)</f>
        <v>8030994.4500000002</v>
      </c>
      <c r="S40" s="58">
        <f t="shared" ca="1" si="19"/>
        <v>0.47036198584444544</v>
      </c>
      <c r="T40" s="58">
        <f ca="1">-_xll.DBRW($B$6,$C$9,$C$10,$C$11,$C$12,$C$13,$B40,$Q$31,$Q$32,T$35)</f>
        <v>1814429.6000000003</v>
      </c>
      <c r="U40" s="58">
        <f t="shared" ca="1" si="20"/>
        <v>0.10626812347391709</v>
      </c>
      <c r="V40" s="58">
        <f ca="1">-_xll.DBRW($B$6,$C$9,$C$10,$C$11,$C$12,$C$13,$B40,$Q$31,$Q$32,V$35)</f>
        <v>1972121.0599999998</v>
      </c>
      <c r="W40" s="58">
        <f t="shared" ca="1" si="21"/>
        <v>0.11550384997554725</v>
      </c>
      <c r="X40" s="58">
        <f ca="1">-_xll.DBRW($B$6,$C$9,$C$10,$C$11,$C$12,$C$13,$B40,$Q$31,$Q$32,X$35)</f>
        <v>1467911.5199999998</v>
      </c>
      <c r="Y40" s="58">
        <f t="shared" ca="1" si="22"/>
        <v>8.5973135940984033E-2</v>
      </c>
      <c r="Z40" s="58">
        <f ca="1">-_xll.DBRW($B$6,$C$9,$C$10,$C$11,$C$12,$C$13,$B40,$Q$31,$Q$32,Z$35)</f>
        <v>1866790.39</v>
      </c>
      <c r="AA40" s="58">
        <f t="shared" ca="1" si="23"/>
        <v>0.10933480784508906</v>
      </c>
      <c r="AB40" s="60">
        <f t="shared" ca="1" si="24"/>
        <v>1921825.0599999994</v>
      </c>
      <c r="AC40" s="57">
        <f t="shared" ca="1" si="25"/>
        <v>0.1125580969200172</v>
      </c>
      <c r="AE40" s="60">
        <f t="shared" ca="1" si="26"/>
        <v>-829026.68999999762</v>
      </c>
      <c r="AF40" s="60">
        <f t="shared" ca="1" si="27"/>
        <v>264280.79000000097</v>
      </c>
      <c r="AG40" s="61">
        <f t="shared" ca="1" si="28"/>
        <v>-4.0272182349774699E-2</v>
      </c>
      <c r="AH40" s="60">
        <f t="shared" ca="1" si="29"/>
        <v>-590706.80000000028</v>
      </c>
      <c r="AI40" s="57">
        <f t="shared" ca="1" si="30"/>
        <v>3.0939137274020728E-2</v>
      </c>
      <c r="AJ40" s="60">
        <f t="shared" ca="1" si="31"/>
        <v>-291032.19999999995</v>
      </c>
      <c r="AK40" s="57">
        <f t="shared" ca="1" si="32"/>
        <v>1.2020675897447625E-2</v>
      </c>
      <c r="AL40" s="60">
        <f t="shared" ca="1" si="33"/>
        <v>207745.60000000033</v>
      </c>
      <c r="AM40" s="57">
        <f t="shared" ca="1" si="34"/>
        <v>-1.7175675267108267E-2</v>
      </c>
      <c r="AN40" s="60">
        <f t="shared" ca="1" si="35"/>
        <v>129065.07999999984</v>
      </c>
      <c r="AO40" s="57">
        <f t="shared" ca="1" si="36"/>
        <v>-1.3524526929598185E-2</v>
      </c>
      <c r="AP40" s="60">
        <f t="shared" ca="1" si="37"/>
        <v>-548379.15999999898</v>
      </c>
      <c r="AQ40" s="57">
        <f t="shared" ca="1" si="38"/>
        <v>-2.801257137501284E-2</v>
      </c>
      <c r="AS40" s="58">
        <f ca="1">_xll.DBRW($B$6,$C$9,$C$10,$C$11,$C$12,$C$13,$B40,$AS$31,$AS$32,AS$35)</f>
        <v>16302274.48</v>
      </c>
      <c r="AT40" s="58">
        <f ca="1">-_xll.DBRW($B$6,$C$9,$C$10,$C$11,$C$12,$C$13,$B40,$AS$31,$AS$32,AT$35)</f>
        <v>8487459.5299999993</v>
      </c>
      <c r="AU40" s="58">
        <f t="shared" ca="1" si="39"/>
        <v>0.5206303905882953</v>
      </c>
      <c r="AV40" s="58">
        <f ca="1">-_xll.DBRW($B$6,$C$9,$C$10,$C$11,$C$12,$C$13,$B40,$AS$31,$AS$32,AV$35)</f>
        <v>1674769.33</v>
      </c>
      <c r="AW40" s="58">
        <f t="shared" ca="1" si="40"/>
        <v>0.10273224954313247</v>
      </c>
      <c r="AX40" s="58">
        <f ca="1">-_xll.DBRW($B$6,$C$9,$C$10,$C$11,$C$12,$C$13,$B40,$AS$31,$AS$32,AX$35)</f>
        <v>2188214.62</v>
      </c>
      <c r="AY40" s="58">
        <f t="shared" ca="1" si="41"/>
        <v>0.13422756577215966</v>
      </c>
      <c r="AZ40" s="58">
        <f ca="1">-_xll.DBRW($B$6,$C$9,$C$10,$C$11,$C$12,$C$13,$B40,$AS$31,$AS$32,AZ$35)</f>
        <v>1495665.56</v>
      </c>
      <c r="BA40" s="58">
        <f t="shared" ca="1" si="42"/>
        <v>9.1745821224818447E-2</v>
      </c>
      <c r="BB40" s="58">
        <f ca="1">-_xll.DBRW($B$6,$C$9,$C$10,$C$11,$C$12,$C$13,$B40,$AS$31,$AS$32,BB$35)</f>
        <v>2391378.6500000004</v>
      </c>
      <c r="BC40" s="58">
        <f t="shared" ca="1" si="43"/>
        <v>0.14668987771821643</v>
      </c>
      <c r="BD40" s="60">
        <f t="shared" ca="1" si="44"/>
        <v>64786.790000000503</v>
      </c>
      <c r="BE40" s="57">
        <f t="shared" ca="1" si="45"/>
        <v>3.9740951533776712E-3</v>
      </c>
      <c r="BG40" s="60">
        <f t="shared" ca="1" si="46"/>
        <v>-57229.089999999851</v>
      </c>
      <c r="BH40" s="60">
        <f t="shared" ca="1" si="47"/>
        <v>-192184.28999999817</v>
      </c>
      <c r="BI40" s="57">
        <f t="shared" ca="1" si="48"/>
        <v>9.9962223940751604E-3</v>
      </c>
      <c r="BJ40" s="60">
        <f t="shared" ca="1" si="49"/>
        <v>-451046.53</v>
      </c>
      <c r="BK40" s="57">
        <f t="shared" ca="1" si="50"/>
        <v>2.7403263343236103E-2</v>
      </c>
      <c r="BL40" s="60">
        <f t="shared" ca="1" si="51"/>
        <v>-507125.76000000024</v>
      </c>
      <c r="BM40" s="57">
        <f t="shared" ca="1" si="52"/>
        <v>3.0744391694060041E-2</v>
      </c>
      <c r="BN40" s="60">
        <f t="shared" ca="1" si="53"/>
        <v>179991.56000000006</v>
      </c>
      <c r="BO40" s="57">
        <f t="shared" ca="1" si="54"/>
        <v>-1.1402989983273853E-2</v>
      </c>
      <c r="BP40" s="60">
        <f t="shared" ca="1" si="55"/>
        <v>-395523.18000000063</v>
      </c>
      <c r="BQ40" s="57">
        <f t="shared" ca="1" si="56"/>
        <v>2.3830542943529182E-2</v>
      </c>
      <c r="BR40" s="60">
        <f t="shared" ca="1" si="57"/>
        <v>1308659.1099999999</v>
      </c>
      <c r="BS40" s="57">
        <f t="shared" ca="1" si="58"/>
        <v>8.0571430391626689E-2</v>
      </c>
      <c r="BT40" s="53" t="str">
        <f t="shared" si="59"/>
        <v>Noord and Midden Zeeland</v>
      </c>
      <c r="BV40" s="60">
        <f t="shared" ca="1" si="60"/>
        <v>-654223.43022644706</v>
      </c>
      <c r="BW40" s="60">
        <f t="shared" ca="1" si="61"/>
        <v>8949498.6702264473</v>
      </c>
      <c r="BX40" s="60">
        <f t="shared" ca="1" si="62"/>
        <v>502607.68934390764</v>
      </c>
      <c r="BY40" s="60">
        <f t="shared" ca="1" si="63"/>
        <v>721115.11065609241</v>
      </c>
      <c r="BZ40" s="60">
        <f t="shared" ca="1" si="64"/>
        <v>195276.4255725157</v>
      </c>
      <c r="CA40" s="60">
        <f t="shared" ca="1" si="65"/>
        <v>1485812.4344274842</v>
      </c>
      <c r="CB40" s="60">
        <f t="shared" ca="1" si="66"/>
        <v>-279019.62431807397</v>
      </c>
      <c r="CC40" s="60">
        <f t="shared" ca="1" si="67"/>
        <v>1954676.7443180741</v>
      </c>
      <c r="CD40" s="60">
        <f t="shared" ca="1" si="68"/>
        <v>-219706.55384959979</v>
      </c>
      <c r="CE40" s="60">
        <f t="shared" ca="1" si="69"/>
        <v>2215562.0238495995</v>
      </c>
      <c r="CG40" s="60">
        <f t="shared" ca="1" si="70"/>
        <v>162389.08652028535</v>
      </c>
      <c r="CH40" s="60">
        <f t="shared" ca="1" si="71"/>
        <v>8132886.1534797158</v>
      </c>
      <c r="CI40" s="60">
        <f t="shared" ca="1" si="72"/>
        <v>445167.25684499368</v>
      </c>
      <c r="CJ40" s="60">
        <f t="shared" ca="1" si="73"/>
        <v>778555.54315500637</v>
      </c>
      <c r="CK40" s="60">
        <f t="shared" ca="1" si="74"/>
        <v>499444.03855794435</v>
      </c>
      <c r="CL40" s="60">
        <f t="shared" ca="1" si="75"/>
        <v>1181644.8214420555</v>
      </c>
      <c r="CM40" s="60">
        <f t="shared" ca="1" si="76"/>
        <v>-185242.08985999902</v>
      </c>
      <c r="CN40" s="60">
        <f t="shared" ca="1" si="77"/>
        <v>1860899.2098599991</v>
      </c>
      <c r="CO40" s="60">
        <f t="shared" ca="1" si="78"/>
        <v>387128.25178597588</v>
      </c>
      <c r="CP40" s="60">
        <f t="shared" ca="1" si="79"/>
        <v>1608727.2182140239</v>
      </c>
    </row>
    <row r="41" spans="1:94">
      <c r="A41" t="str">
        <f ca="1">IF(_xll.TM1RPTELISCONSOLIDATED($B$6,$B41),IF(_xll.TM1RPTELLEV($B$11,$B41)&lt;=3,_xll.TM1RPTELLEV($B$11,$B41),"D"),"N")</f>
        <v>N</v>
      </c>
      <c r="B41" s="56" t="s">
        <v>105</v>
      </c>
      <c r="C41" s="98">
        <f ca="1">_xll.DBRW($B$6,$C$9,$C$10,$C$11,$C$12,$C$13,$B41,$C$31,$C$32,C$35)</f>
        <v>11198090.030000001</v>
      </c>
      <c r="D41" s="98">
        <f ca="1">-_xll.DBRW($B$6,$C$9,$C$10,$C$11,$C$12,$C$13,$B41,$C$31,$C$32,D$35)</f>
        <v>5312179.3099999996</v>
      </c>
      <c r="E41" s="98">
        <f t="shared" ca="1" si="12"/>
        <v>0.4743826220157652</v>
      </c>
      <c r="F41" s="98">
        <f ca="1">-_xll.DBRW($B$6,$C$9,$C$10,$C$11,$C$12,$C$13,$B41,$C$31,$C$32,F$35)</f>
        <v>805261.92</v>
      </c>
      <c r="G41" s="98">
        <f t="shared" ca="1" si="13"/>
        <v>7.1910648855535234E-2</v>
      </c>
      <c r="H41" s="98">
        <f ca="1">-_xll.DBRW($B$6,$C$9,$C$10,$C$11,$C$12,$C$13,$B41,$C$31,$C$32,H$35)</f>
        <v>983087.42</v>
      </c>
      <c r="I41" s="98">
        <f t="shared" ca="1" si="14"/>
        <v>8.7790633703272697E-2</v>
      </c>
      <c r="J41" s="98">
        <f ca="1">-_xll.DBRW($B$6,$C$9,$C$10,$C$11,$C$12,$C$13,$B41,$C$31,$C$32,J$35)</f>
        <v>852888.00999999978</v>
      </c>
      <c r="K41" s="98">
        <f t="shared" ca="1" si="15"/>
        <v>7.6163703606158609E-2</v>
      </c>
      <c r="L41" s="98">
        <f ca="1">-_xll.DBRW($B$6,$C$9,$C$10,$C$11,$C$12,$C$13,$B41,$C$31,$C$32,L$35)</f>
        <v>1341260.58</v>
      </c>
      <c r="M41" s="98">
        <f t="shared" ca="1" si="16"/>
        <v>0.11977583466526211</v>
      </c>
      <c r="N41" s="60">
        <f t="shared" ca="1" si="17"/>
        <v>1903412.7900000019</v>
      </c>
      <c r="O41" s="57">
        <f t="shared" ca="1" si="18"/>
        <v>0.16997655715400617</v>
      </c>
      <c r="Q41" s="58">
        <f ca="1">_xll.DBRW($B$6,$C$9,$C$10,$C$11,$C$12,$C$13,$B41,$Q$31,$Q$32,Q$35)</f>
        <v>11360545.559999999</v>
      </c>
      <c r="R41" s="58">
        <f ca="1">-_xll.DBRW($B$6,$C$9,$C$10,$C$11,$C$12,$C$13,$B41,$Q$31,$Q$32,R$35)</f>
        <v>4966231.88</v>
      </c>
      <c r="S41" s="58">
        <f t="shared" ca="1" si="19"/>
        <v>0.43714730545035552</v>
      </c>
      <c r="T41" s="58">
        <f ca="1">-_xll.DBRW($B$6,$C$9,$C$10,$C$11,$C$12,$C$13,$B41,$Q$31,$Q$32,T$35)</f>
        <v>1024505.1399999999</v>
      </c>
      <c r="U41" s="58">
        <f t="shared" ca="1" si="20"/>
        <v>9.0180980709873584E-2</v>
      </c>
      <c r="V41" s="58">
        <f ca="1">-_xll.DBRW($B$6,$C$9,$C$10,$C$11,$C$12,$C$13,$B41,$Q$31,$Q$32,V$35)</f>
        <v>1050091.6700000002</v>
      </c>
      <c r="W41" s="58">
        <f t="shared" ca="1" si="21"/>
        <v>9.2433207934778119E-2</v>
      </c>
      <c r="X41" s="58">
        <f ca="1">-_xll.DBRW($B$6,$C$9,$C$10,$C$11,$C$12,$C$13,$B41,$Q$31,$Q$32,X$35)</f>
        <v>849771.94</v>
      </c>
      <c r="Y41" s="58">
        <f t="shared" ca="1" si="22"/>
        <v>7.4800275700844077E-2</v>
      </c>
      <c r="Z41" s="58">
        <f ca="1">-_xll.DBRW($B$6,$C$9,$C$10,$C$11,$C$12,$C$13,$B41,$Q$31,$Q$32,Z$35)</f>
        <v>1473769.3699999999</v>
      </c>
      <c r="AA41" s="58">
        <f t="shared" ca="1" si="23"/>
        <v>0.12972698909716798</v>
      </c>
      <c r="AB41" s="60">
        <f t="shared" ca="1" si="24"/>
        <v>1996175.5599999994</v>
      </c>
      <c r="AC41" s="57">
        <f t="shared" ca="1" si="25"/>
        <v>0.17571124110698075</v>
      </c>
      <c r="AE41" s="60">
        <f t="shared" ca="1" si="26"/>
        <v>-162455.52999999747</v>
      </c>
      <c r="AF41" s="60">
        <f t="shared" ca="1" si="27"/>
        <v>345947.4299999997</v>
      </c>
      <c r="AG41" s="61">
        <f t="shared" ca="1" si="28"/>
        <v>-3.7235316565409682E-2</v>
      </c>
      <c r="AH41" s="60">
        <f t="shared" ca="1" si="29"/>
        <v>-219243.21999999986</v>
      </c>
      <c r="AI41" s="57">
        <f t="shared" ca="1" si="30"/>
        <v>1.8270331854338351E-2</v>
      </c>
      <c r="AJ41" s="60">
        <f t="shared" ca="1" si="31"/>
        <v>-67004.250000000116</v>
      </c>
      <c r="AK41" s="57">
        <f t="shared" ca="1" si="32"/>
        <v>4.6425742315054225E-3</v>
      </c>
      <c r="AL41" s="60">
        <f t="shared" ca="1" si="33"/>
        <v>3116.0699999998324</v>
      </c>
      <c r="AM41" s="57">
        <f t="shared" ca="1" si="34"/>
        <v>-1.3634279053145321E-3</v>
      </c>
      <c r="AN41" s="60">
        <f t="shared" ca="1" si="35"/>
        <v>-132508.7899999998</v>
      </c>
      <c r="AO41" s="57">
        <f t="shared" ca="1" si="36"/>
        <v>9.9511544319058759E-3</v>
      </c>
      <c r="AP41" s="60">
        <f t="shared" ca="1" si="37"/>
        <v>-92762.769999997457</v>
      </c>
      <c r="AQ41" s="57">
        <f t="shared" ca="1" si="38"/>
        <v>-5.7346839529745786E-3</v>
      </c>
      <c r="AS41" s="58">
        <f ca="1">_xll.DBRW($B$6,$C$9,$C$10,$C$11,$C$12,$C$13,$B41,$AS$31,$AS$32,AS$35)</f>
        <v>11076771.789999999</v>
      </c>
      <c r="AT41" s="58">
        <f ca="1">-_xll.DBRW($B$6,$C$9,$C$10,$C$11,$C$12,$C$13,$B41,$AS$31,$AS$32,AT$35)</f>
        <v>5043282.13</v>
      </c>
      <c r="AU41" s="58">
        <f t="shared" ca="1" si="39"/>
        <v>0.4553025218550612</v>
      </c>
      <c r="AV41" s="58">
        <f ca="1">-_xll.DBRW($B$6,$C$9,$C$10,$C$11,$C$12,$C$13,$B41,$AS$31,$AS$32,AV$35)</f>
        <v>883963.34</v>
      </c>
      <c r="AW41" s="58">
        <f t="shared" ca="1" si="40"/>
        <v>7.9803335913991968E-2</v>
      </c>
      <c r="AX41" s="58">
        <f ca="1">-_xll.DBRW($B$6,$C$9,$C$10,$C$11,$C$12,$C$13,$B41,$AS$31,$AS$32,AX$35)</f>
        <v>1092703.6399999997</v>
      </c>
      <c r="AY41" s="58">
        <f t="shared" ca="1" si="41"/>
        <v>9.8648203710983901E-2</v>
      </c>
      <c r="AZ41" s="58">
        <f ca="1">-_xll.DBRW($B$6,$C$9,$C$10,$C$11,$C$12,$C$13,$B41,$AS$31,$AS$32,AZ$35)</f>
        <v>893710.84</v>
      </c>
      <c r="BA41" s="58">
        <f t="shared" ca="1" si="42"/>
        <v>8.0683330571713438E-2</v>
      </c>
      <c r="BB41" s="58">
        <f ca="1">-_xll.DBRW($B$6,$C$9,$C$10,$C$11,$C$12,$C$13,$B41,$AS$31,$AS$32,BB$35)</f>
        <v>1375495.3099999998</v>
      </c>
      <c r="BC41" s="58">
        <f t="shared" ca="1" si="43"/>
        <v>0.12417835593956927</v>
      </c>
      <c r="BD41" s="60">
        <f t="shared" ca="1" si="44"/>
        <v>1787616.53</v>
      </c>
      <c r="BE41" s="57">
        <f t="shared" ca="1" si="45"/>
        <v>0.16138425200868026</v>
      </c>
      <c r="BG41" s="60">
        <f t="shared" ca="1" si="46"/>
        <v>121318.24000000209</v>
      </c>
      <c r="BH41" s="60">
        <f t="shared" ca="1" si="47"/>
        <v>268897.1799999997</v>
      </c>
      <c r="BI41" s="57">
        <f t="shared" ca="1" si="48"/>
        <v>-1.9080100160703994E-2</v>
      </c>
      <c r="BJ41" s="60">
        <f t="shared" ca="1" si="49"/>
        <v>-78701.419999999925</v>
      </c>
      <c r="BK41" s="57">
        <f t="shared" ca="1" si="50"/>
        <v>7.8926870584567349E-3</v>
      </c>
      <c r="BL41" s="60">
        <f t="shared" ca="1" si="51"/>
        <v>-109616.21999999962</v>
      </c>
      <c r="BM41" s="57">
        <f t="shared" ca="1" si="52"/>
        <v>1.0857570007711204E-2</v>
      </c>
      <c r="BN41" s="60">
        <f t="shared" ca="1" si="53"/>
        <v>-40822.830000000191</v>
      </c>
      <c r="BO41" s="57">
        <f t="shared" ca="1" si="54"/>
        <v>4.5196269655548293E-3</v>
      </c>
      <c r="BP41" s="60">
        <f t="shared" ca="1" si="55"/>
        <v>-34234.729999999749</v>
      </c>
      <c r="BQ41" s="57">
        <f t="shared" ca="1" si="56"/>
        <v>4.4025212743071668E-3</v>
      </c>
      <c r="BR41" s="60">
        <f t="shared" ca="1" si="57"/>
        <v>115796.26000000187</v>
      </c>
      <c r="BS41" s="57">
        <f t="shared" ca="1" si="58"/>
        <v>8.5923051453259125E-3</v>
      </c>
      <c r="BT41" s="53" t="str">
        <f t="shared" si="59"/>
        <v>Voorne Putten</v>
      </c>
      <c r="BV41" s="60">
        <f t="shared" ca="1" si="60"/>
        <v>-416964.42719500791</v>
      </c>
      <c r="BW41" s="60">
        <f t="shared" ca="1" si="61"/>
        <v>5729143.7371950075</v>
      </c>
      <c r="BX41" s="60">
        <f t="shared" ca="1" si="62"/>
        <v>204592.82098285772</v>
      </c>
      <c r="BY41" s="60">
        <f t="shared" ca="1" si="63"/>
        <v>600669.09901714232</v>
      </c>
      <c r="BZ41" s="60">
        <f t="shared" ca="1" si="64"/>
        <v>51987.964215355809</v>
      </c>
      <c r="CA41" s="60">
        <f t="shared" ca="1" si="65"/>
        <v>931099.45578464423</v>
      </c>
      <c r="CB41" s="60">
        <f t="shared" ca="1" si="66"/>
        <v>-15267.788433126407</v>
      </c>
      <c r="CC41" s="60">
        <f t="shared" ca="1" si="67"/>
        <v>868155.79843312618</v>
      </c>
      <c r="CD41" s="60">
        <f t="shared" ca="1" si="68"/>
        <v>111433.92323091556</v>
      </c>
      <c r="CE41" s="60">
        <f t="shared" ca="1" si="69"/>
        <v>1229826.6567690845</v>
      </c>
      <c r="CG41" s="60">
        <f t="shared" ca="1" si="70"/>
        <v>-213660.67938098125</v>
      </c>
      <c r="CH41" s="60">
        <f t="shared" ca="1" si="71"/>
        <v>5525839.9893809808</v>
      </c>
      <c r="CI41" s="60">
        <f t="shared" ca="1" si="72"/>
        <v>88383.020259214449</v>
      </c>
      <c r="CJ41" s="60">
        <f t="shared" ca="1" si="73"/>
        <v>716878.89974078559</v>
      </c>
      <c r="CK41" s="60">
        <f t="shared" ca="1" si="74"/>
        <v>121584.04645337781</v>
      </c>
      <c r="CL41" s="60">
        <f t="shared" ca="1" si="75"/>
        <v>861503.37354662223</v>
      </c>
      <c r="CM41" s="60">
        <f t="shared" ca="1" si="76"/>
        <v>50611.18966229877</v>
      </c>
      <c r="CN41" s="60">
        <f t="shared" ca="1" si="77"/>
        <v>802276.82033770101</v>
      </c>
      <c r="CO41" s="60">
        <f t="shared" ca="1" si="78"/>
        <v>49299.829588681925</v>
      </c>
      <c r="CP41" s="60">
        <f t="shared" ca="1" si="79"/>
        <v>1291960.7504113181</v>
      </c>
    </row>
    <row r="42" spans="1:94">
      <c r="A42" t="str">
        <f ca="1">IF(_xll.TM1RPTELISCONSOLIDATED($B$6,$B42),IF(_xll.TM1RPTELLEV($B$11,$B42)&lt;=3,_xll.TM1RPTELLEV($B$11,$B42),"D"),"N")</f>
        <v>N</v>
      </c>
      <c r="B42" s="56" t="s">
        <v>106</v>
      </c>
      <c r="C42" s="98">
        <f ca="1">_xll.DBRW($B$6,$C$9,$C$10,$C$11,$C$12,$C$13,$B42,$C$31,$C$32,C$35)</f>
        <v>499566.41</v>
      </c>
      <c r="D42" s="98">
        <f ca="1">-_xll.DBRW($B$6,$C$9,$C$10,$C$11,$C$12,$C$13,$B42,$C$31,$C$32,D$35)</f>
        <v>-358.46000000000004</v>
      </c>
      <c r="E42" s="98">
        <f t="shared" ca="1" si="12"/>
        <v>-7.175422382781902E-4</v>
      </c>
      <c r="F42" s="98">
        <f ca="1">-_xll.DBRW($B$6,$C$9,$C$10,$C$11,$C$12,$C$13,$B42,$C$31,$C$32,F$35)</f>
        <v>61153.30000000001</v>
      </c>
      <c r="G42" s="98">
        <f t="shared" ca="1" si="13"/>
        <v>0.12241275389192002</v>
      </c>
      <c r="H42" s="98">
        <f ca="1">-_xll.DBRW($B$6,$C$9,$C$10,$C$11,$C$12,$C$13,$B42,$C$31,$C$32,H$35)</f>
        <v>871.5200000000001</v>
      </c>
      <c r="I42" s="98">
        <f t="shared" ca="1" si="14"/>
        <v>1.7445528413329474E-3</v>
      </c>
      <c r="J42" s="98">
        <f ca="1">-_xll.DBRW($B$6,$C$9,$C$10,$C$11,$C$12,$C$13,$B42,$C$31,$C$32,J$35)</f>
        <v>23835.53</v>
      </c>
      <c r="K42" s="98">
        <f t="shared" ca="1" si="15"/>
        <v>4.7712435269617104E-2</v>
      </c>
      <c r="L42" s="98">
        <f ca="1">-_xll.DBRW($B$6,$C$9,$C$10,$C$11,$C$12,$C$13,$B42,$C$31,$C$32,L$35)</f>
        <v>208586.22000000003</v>
      </c>
      <c r="M42" s="98">
        <f t="shared" ca="1" si="16"/>
        <v>0.41753451758295768</v>
      </c>
      <c r="N42" s="60">
        <f t="shared" ca="1" si="17"/>
        <v>205478.3</v>
      </c>
      <c r="O42" s="57">
        <f t="shared" ca="1" si="18"/>
        <v>0.41131328265245054</v>
      </c>
      <c r="Q42" s="58">
        <f ca="1">_xll.DBRW($B$6,$C$9,$C$10,$C$11,$C$12,$C$13,$B42,$Q$31,$Q$32,Q$35)</f>
        <v>499752</v>
      </c>
      <c r="R42" s="58">
        <f ca="1">-_xll.DBRW($B$6,$C$9,$C$10,$C$11,$C$12,$C$13,$B42,$Q$31,$Q$32,R$35)</f>
        <v>0</v>
      </c>
      <c r="S42" s="58">
        <f t="shared" ca="1" si="19"/>
        <v>0</v>
      </c>
      <c r="T42" s="58">
        <f ca="1">-_xll.DBRW($B$6,$C$9,$C$10,$C$11,$C$12,$C$13,$B42,$Q$31,$Q$32,T$35)</f>
        <v>67840</v>
      </c>
      <c r="U42" s="58">
        <f t="shared" ca="1" si="20"/>
        <v>0.1357473306760153</v>
      </c>
      <c r="V42" s="58">
        <f ca="1">-_xll.DBRW($B$6,$C$9,$C$10,$C$11,$C$12,$C$13,$B42,$Q$31,$Q$32,V$35)</f>
        <v>0</v>
      </c>
      <c r="W42" s="58">
        <f t="shared" ca="1" si="21"/>
        <v>0</v>
      </c>
      <c r="X42" s="58">
        <f ca="1">-_xll.DBRW($B$6,$C$9,$C$10,$C$11,$C$12,$C$13,$B42,$Q$31,$Q$32,X$35)</f>
        <v>19968</v>
      </c>
      <c r="Y42" s="58">
        <f t="shared" ca="1" si="22"/>
        <v>3.9955818085770541E-2</v>
      </c>
      <c r="Z42" s="58">
        <f ca="1">-_xll.DBRW($B$6,$C$9,$C$10,$C$11,$C$12,$C$13,$B42,$Q$31,$Q$32,Z$35)</f>
        <v>192424.65000000002</v>
      </c>
      <c r="AA42" s="58">
        <f t="shared" ca="1" si="23"/>
        <v>0.38504027997886958</v>
      </c>
      <c r="AB42" s="60">
        <f t="shared" ca="1" si="24"/>
        <v>219519.34999999998</v>
      </c>
      <c r="AC42" s="57">
        <f t="shared" ca="1" si="25"/>
        <v>0.43925657125934459</v>
      </c>
      <c r="AE42" s="60">
        <f t="shared" ca="1" si="26"/>
        <v>-185.59000000002561</v>
      </c>
      <c r="AF42" s="60" t="str">
        <f t="shared" ca="1" si="27"/>
        <v/>
      </c>
      <c r="AG42" s="61" t="str">
        <f t="shared" ca="1" si="28"/>
        <v/>
      </c>
      <c r="AH42" s="60">
        <f t="shared" ca="1" si="29"/>
        <v>-6686.6999999999898</v>
      </c>
      <c r="AI42" s="57">
        <f t="shared" ca="1" si="30"/>
        <v>1.3334576784095276E-2</v>
      </c>
      <c r="AJ42" s="60" t="str">
        <f t="shared" ca="1" si="31"/>
        <v/>
      </c>
      <c r="AK42" s="57" t="str">
        <f t="shared" ca="1" si="32"/>
        <v/>
      </c>
      <c r="AL42" s="60">
        <f t="shared" ca="1" si="33"/>
        <v>3867.5299999999988</v>
      </c>
      <c r="AM42" s="57">
        <f t="shared" ca="1" si="34"/>
        <v>-7.7566171838465633E-3</v>
      </c>
      <c r="AN42" s="60">
        <f t="shared" ca="1" si="35"/>
        <v>16161.570000000007</v>
      </c>
      <c r="AO42" s="57">
        <f t="shared" ca="1" si="36"/>
        <v>-3.2494237604088094E-2</v>
      </c>
      <c r="AP42" s="60">
        <f t="shared" ca="1" si="37"/>
        <v>-14041.049999999988</v>
      </c>
      <c r="AQ42" s="57">
        <f t="shared" ca="1" si="38"/>
        <v>-2.7943288606894046E-2</v>
      </c>
      <c r="AS42" s="58">
        <f ca="1">_xll.DBRW($B$6,$C$9,$C$10,$C$11,$C$12,$C$13,$B42,$AS$31,$AS$32,AS$35)</f>
        <v>560441.9</v>
      </c>
      <c r="AT42" s="58">
        <f ca="1">-_xll.DBRW($B$6,$C$9,$C$10,$C$11,$C$12,$C$13,$B42,$AS$31,$AS$32,AT$35)</f>
        <v>-14712.609999999997</v>
      </c>
      <c r="AU42" s="58">
        <f t="shared" ca="1" si="39"/>
        <v>-2.6251802372377932E-2</v>
      </c>
      <c r="AV42" s="58">
        <f ca="1">-_xll.DBRW($B$6,$C$9,$C$10,$C$11,$C$12,$C$13,$B42,$AS$31,$AS$32,AV$35)</f>
        <v>53375.960000000006</v>
      </c>
      <c r="AW42" s="58">
        <f t="shared" ca="1" si="40"/>
        <v>9.5239060462824071E-2</v>
      </c>
      <c r="AX42" s="58">
        <f ca="1">-_xll.DBRW($B$6,$C$9,$C$10,$C$11,$C$12,$C$13,$B42,$AS$31,$AS$32,AX$35)</f>
        <v>995.17</v>
      </c>
      <c r="AY42" s="58">
        <f t="shared" ca="1" si="41"/>
        <v>1.7756880775687898E-3</v>
      </c>
      <c r="AZ42" s="58">
        <f ca="1">-_xll.DBRW($B$6,$C$9,$C$10,$C$11,$C$12,$C$13,$B42,$AS$31,$AS$32,AZ$35)</f>
        <v>25868.559999999998</v>
      </c>
      <c r="BA42" s="58">
        <f t="shared" ca="1" si="42"/>
        <v>4.6157433982005981E-2</v>
      </c>
      <c r="BB42" s="58">
        <f ca="1">-_xll.DBRW($B$6,$C$9,$C$10,$C$11,$C$12,$C$13,$B42,$AS$31,$AS$32,BB$35)</f>
        <v>197921.40000000002</v>
      </c>
      <c r="BC42" s="58">
        <f t="shared" ca="1" si="43"/>
        <v>0.35315239635009449</v>
      </c>
      <c r="BD42" s="60">
        <f t="shared" ca="1" si="44"/>
        <v>296993.42</v>
      </c>
      <c r="BE42" s="57">
        <f t="shared" ca="1" si="45"/>
        <v>0.52992722349988464</v>
      </c>
      <c r="BG42" s="60">
        <f t="shared" ca="1" si="46"/>
        <v>-60875.490000000049</v>
      </c>
      <c r="BH42" s="60">
        <f t="shared" ca="1" si="47"/>
        <v>14354.149999999998</v>
      </c>
      <c r="BI42" s="57" t="str">
        <f t="shared" ca="1" si="48"/>
        <v/>
      </c>
      <c r="BJ42" s="60">
        <f t="shared" ca="1" si="49"/>
        <v>7777.3400000000038</v>
      </c>
      <c r="BK42" s="57">
        <f t="shared" ca="1" si="50"/>
        <v>-2.7173693429095952E-2</v>
      </c>
      <c r="BL42" s="60">
        <f t="shared" ca="1" si="51"/>
        <v>-123.64999999999986</v>
      </c>
      <c r="BM42" s="57" t="str">
        <f t="shared" ca="1" si="52"/>
        <v/>
      </c>
      <c r="BN42" s="60">
        <f t="shared" ca="1" si="53"/>
        <v>-2033.0299999999988</v>
      </c>
      <c r="BO42" s="57">
        <f t="shared" ca="1" si="54"/>
        <v>-1.5550012876111227E-3</v>
      </c>
      <c r="BP42" s="60">
        <f t="shared" ca="1" si="55"/>
        <v>10664.820000000007</v>
      </c>
      <c r="BQ42" s="57">
        <f t="shared" ca="1" si="56"/>
        <v>-6.4382121232863188E-2</v>
      </c>
      <c r="BR42" s="60">
        <f t="shared" ca="1" si="57"/>
        <v>-91515.12</v>
      </c>
      <c r="BS42" s="57">
        <f t="shared" ca="1" si="58"/>
        <v>-0.1186139408474341</v>
      </c>
      <c r="BT42" s="53" t="str">
        <f t="shared" si="59"/>
        <v>Parkshuttle</v>
      </c>
      <c r="BV42" s="60">
        <f t="shared" ca="1" si="60"/>
        <v>358.46000000000004</v>
      </c>
      <c r="BW42" s="60">
        <f t="shared" ca="1" si="61"/>
        <v>-716.92000000000007</v>
      </c>
      <c r="BX42" s="60">
        <f t="shared" ca="1" si="62"/>
        <v>6661.5066528998213</v>
      </c>
      <c r="BY42" s="60">
        <f t="shared" ca="1" si="63"/>
        <v>54491.793347100189</v>
      </c>
      <c r="BZ42" s="60">
        <f t="shared" ca="1" si="64"/>
        <v>-871.5200000000001</v>
      </c>
      <c r="CA42" s="60">
        <f t="shared" ca="1" si="65"/>
        <v>1743.0400000000002</v>
      </c>
      <c r="CB42" s="60">
        <f t="shared" ca="1" si="66"/>
        <v>-3874.9454002785387</v>
      </c>
      <c r="CC42" s="60">
        <f t="shared" ca="1" si="67"/>
        <v>27710.475400278538</v>
      </c>
      <c r="CD42" s="60">
        <f t="shared" ca="1" si="68"/>
        <v>-16233.029625561292</v>
      </c>
      <c r="CE42" s="60">
        <f t="shared" ca="1" si="69"/>
        <v>224819.24962556132</v>
      </c>
      <c r="CG42" s="60">
        <f t="shared" ca="1" si="70"/>
        <v>-12756.058667198326</v>
      </c>
      <c r="CH42" s="60">
        <f t="shared" ca="1" si="71"/>
        <v>12397.598667198326</v>
      </c>
      <c r="CI42" s="60">
        <f t="shared" ca="1" si="72"/>
        <v>-13575.064472814054</v>
      </c>
      <c r="CJ42" s="60">
        <f t="shared" ca="1" si="73"/>
        <v>74728.364472814064</v>
      </c>
      <c r="CK42" s="60">
        <f t="shared" ca="1" si="74"/>
        <v>15.554118190841677</v>
      </c>
      <c r="CL42" s="60">
        <f t="shared" ca="1" si="75"/>
        <v>855.96588180915842</v>
      </c>
      <c r="CM42" s="60">
        <f t="shared" ca="1" si="76"/>
        <v>-776.82641079726818</v>
      </c>
      <c r="CN42" s="60">
        <f t="shared" ca="1" si="77"/>
        <v>24612.356410797267</v>
      </c>
      <c r="CO42" s="60">
        <f t="shared" ca="1" si="78"/>
        <v>-32163.145172486227</v>
      </c>
      <c r="CP42" s="60">
        <f t="shared" ca="1" si="79"/>
        <v>240749.36517248626</v>
      </c>
    </row>
    <row r="43" spans="1:94">
      <c r="A43" t="str">
        <f ca="1">IF(_xll.TM1RPTELISCONSOLIDATED($B$6,$B43),IF(_xll.TM1RPTELLEV($B$11,$B43)&lt;=3,_xll.TM1RPTELLEV($B$11,$B43),"D"),"N")</f>
        <v>N</v>
      </c>
      <c r="B43" s="56" t="s">
        <v>107</v>
      </c>
      <c r="C43" s="98">
        <f ca="1">_xll.DBRW($B$6,$C$9,$C$10,$C$11,$C$12,$C$13,$B43,$C$31,$C$32,C$35)</f>
        <v>11174003.289999999</v>
      </c>
      <c r="D43" s="98">
        <f ca="1">-_xll.DBRW($B$6,$C$9,$C$10,$C$11,$C$12,$C$13,$B43,$C$31,$C$32,D$35)</f>
        <v>5524714.1600000001</v>
      </c>
      <c r="E43" s="98">
        <f t="shared" ca="1" si="12"/>
        <v>0.49442567865934473</v>
      </c>
      <c r="F43" s="98">
        <f ca="1">-_xll.DBRW($B$6,$C$9,$C$10,$C$11,$C$12,$C$13,$B43,$C$31,$C$32,F$35)</f>
        <v>807138.05</v>
      </c>
      <c r="G43" s="98">
        <f t="shared" ca="1" si="13"/>
        <v>7.2233561155502404E-2</v>
      </c>
      <c r="H43" s="98">
        <f ca="1">-_xll.DBRW($B$6,$C$9,$C$10,$C$11,$C$12,$C$13,$B43,$C$31,$C$32,H$35)</f>
        <v>925116.64</v>
      </c>
      <c r="I43" s="98">
        <f t="shared" ca="1" si="14"/>
        <v>8.2791871094929678E-2</v>
      </c>
      <c r="J43" s="98">
        <f ca="1">-_xll.DBRW($B$6,$C$9,$C$10,$C$11,$C$12,$C$13,$B43,$C$31,$C$32,J$35)</f>
        <v>1116442.45</v>
      </c>
      <c r="K43" s="98">
        <f t="shared" ca="1" si="15"/>
        <v>9.9914276112585618E-2</v>
      </c>
      <c r="L43" s="98">
        <f ca="1">-_xll.DBRW($B$6,$C$9,$C$10,$C$11,$C$12,$C$13,$B43,$C$31,$C$32,L$35)</f>
        <v>1516158.7599999998</v>
      </c>
      <c r="M43" s="98">
        <f t="shared" ca="1" si="16"/>
        <v>0.13568626396923139</v>
      </c>
      <c r="N43" s="60">
        <f t="shared" ca="1" si="17"/>
        <v>1284433.2299999995</v>
      </c>
      <c r="O43" s="57">
        <f t="shared" ca="1" si="18"/>
        <v>0.11494834900840624</v>
      </c>
      <c r="Q43" s="58">
        <f ca="1">_xll.DBRW($B$6,$C$9,$C$10,$C$11,$C$12,$C$13,$B43,$Q$31,$Q$32,Q$35)</f>
        <v>11148581.700000001</v>
      </c>
      <c r="R43" s="58">
        <f ca="1">-_xll.DBRW($B$6,$C$9,$C$10,$C$11,$C$12,$C$13,$B43,$Q$31,$Q$32,R$35)</f>
        <v>5865017.75</v>
      </c>
      <c r="S43" s="58">
        <f t="shared" ca="1" si="19"/>
        <v>0.52607747853702314</v>
      </c>
      <c r="T43" s="58">
        <f ca="1">-_xll.DBRW($B$6,$C$9,$C$10,$C$11,$C$12,$C$13,$B43,$Q$31,$Q$32,T$35)</f>
        <v>672334.24</v>
      </c>
      <c r="U43" s="58">
        <f t="shared" ca="1" si="20"/>
        <v>6.0306706098767697E-2</v>
      </c>
      <c r="V43" s="58">
        <f ca="1">-_xll.DBRW($B$6,$C$9,$C$10,$C$11,$C$12,$C$13,$B43,$Q$31,$Q$32,V$35)</f>
        <v>1156434.26</v>
      </c>
      <c r="W43" s="58">
        <f t="shared" ca="1" si="21"/>
        <v>0.10372927167946394</v>
      </c>
      <c r="X43" s="58">
        <f ca="1">-_xll.DBRW($B$6,$C$9,$C$10,$C$11,$C$12,$C$13,$B43,$Q$31,$Q$32,X$35)</f>
        <v>987882.71999999986</v>
      </c>
      <c r="Y43" s="58">
        <f t="shared" ca="1" si="22"/>
        <v>8.8610618514819675E-2</v>
      </c>
      <c r="Z43" s="58">
        <f ca="1">-_xll.DBRW($B$6,$C$9,$C$10,$C$11,$C$12,$C$13,$B43,$Q$31,$Q$32,Z$35)</f>
        <v>1518319.83</v>
      </c>
      <c r="AA43" s="58">
        <f t="shared" ca="1" si="23"/>
        <v>0.13618950561218024</v>
      </c>
      <c r="AB43" s="60">
        <f t="shared" ca="1" si="24"/>
        <v>948592.9000000013</v>
      </c>
      <c r="AC43" s="57">
        <f t="shared" ca="1" si="25"/>
        <v>8.5086419557745291E-2</v>
      </c>
      <c r="AE43" s="60">
        <f t="shared" ca="1" si="26"/>
        <v>25421.589999997988</v>
      </c>
      <c r="AF43" s="60">
        <f t="shared" ca="1" si="27"/>
        <v>-340303.58999999985</v>
      </c>
      <c r="AG43" s="61">
        <f t="shared" ca="1" si="28"/>
        <v>3.165179987767841E-2</v>
      </c>
      <c r="AH43" s="60">
        <f t="shared" ca="1" si="29"/>
        <v>134803.81000000006</v>
      </c>
      <c r="AI43" s="57">
        <f t="shared" ca="1" si="30"/>
        <v>-1.1926855056734707E-2</v>
      </c>
      <c r="AJ43" s="60">
        <f t="shared" ca="1" si="31"/>
        <v>-231317.62</v>
      </c>
      <c r="AK43" s="57">
        <f t="shared" ca="1" si="32"/>
        <v>2.0937400584534263E-2</v>
      </c>
      <c r="AL43" s="60">
        <f t="shared" ca="1" si="33"/>
        <v>128559.7300000001</v>
      </c>
      <c r="AM43" s="57">
        <f t="shared" ca="1" si="34"/>
        <v>-1.1303657597765943E-2</v>
      </c>
      <c r="AN43" s="60">
        <f t="shared" ca="1" si="35"/>
        <v>-2161.070000000298</v>
      </c>
      <c r="AO43" s="57">
        <f t="shared" ca="1" si="36"/>
        <v>5.0324164294884843E-4</v>
      </c>
      <c r="AP43" s="60">
        <f t="shared" ca="1" si="37"/>
        <v>335840.32999999821</v>
      </c>
      <c r="AQ43" s="57">
        <f t="shared" ca="1" si="38"/>
        <v>2.9861929450660948E-2</v>
      </c>
      <c r="AS43" s="58">
        <f ca="1">_xll.DBRW($B$6,$C$9,$C$10,$C$11,$C$12,$C$13,$B43,$AS$31,$AS$32,AS$35)</f>
        <v>0</v>
      </c>
      <c r="AT43" s="58">
        <f ca="1">-_xll.DBRW($B$6,$C$9,$C$10,$C$11,$C$12,$C$13,$B43,$AS$31,$AS$32,AT$35)</f>
        <v>0</v>
      </c>
      <c r="AU43" s="58">
        <f t="shared" ca="1" si="39"/>
        <v>0</v>
      </c>
      <c r="AV43" s="58">
        <f ca="1">-_xll.DBRW($B$6,$C$9,$C$10,$C$11,$C$12,$C$13,$B43,$AS$31,$AS$32,AV$35)</f>
        <v>0</v>
      </c>
      <c r="AW43" s="58">
        <f t="shared" ca="1" si="40"/>
        <v>0</v>
      </c>
      <c r="AX43" s="58">
        <f ca="1">-_xll.DBRW($B$6,$C$9,$C$10,$C$11,$C$12,$C$13,$B43,$AS$31,$AS$32,AX$35)</f>
        <v>0</v>
      </c>
      <c r="AY43" s="58">
        <f t="shared" ca="1" si="41"/>
        <v>0</v>
      </c>
      <c r="AZ43" s="58">
        <f ca="1">-_xll.DBRW($B$6,$C$9,$C$10,$C$11,$C$12,$C$13,$B43,$AS$31,$AS$32,AZ$35)</f>
        <v>0</v>
      </c>
      <c r="BA43" s="58">
        <f t="shared" ca="1" si="42"/>
        <v>0</v>
      </c>
      <c r="BB43" s="58">
        <f ca="1">-_xll.DBRW($B$6,$C$9,$C$10,$C$11,$C$12,$C$13,$B43,$AS$31,$AS$32,BB$35)</f>
        <v>0</v>
      </c>
      <c r="BC43" s="58">
        <f t="shared" ca="1" si="43"/>
        <v>0</v>
      </c>
      <c r="BD43" s="60">
        <f t="shared" ca="1" si="44"/>
        <v>0</v>
      </c>
      <c r="BE43" s="57">
        <f t="shared" ca="1" si="45"/>
        <v>0</v>
      </c>
      <c r="BG43" s="60">
        <f t="shared" ca="1" si="46"/>
        <v>0</v>
      </c>
      <c r="BH43" s="60" t="str">
        <f t="shared" ca="1" si="47"/>
        <v/>
      </c>
      <c r="BI43" s="57">
        <f t="shared" ca="1" si="48"/>
        <v>-0.49442567865934473</v>
      </c>
      <c r="BJ43" s="60" t="str">
        <f t="shared" ca="1" si="49"/>
        <v/>
      </c>
      <c r="BK43" s="57">
        <f t="shared" ca="1" si="50"/>
        <v>-7.2233561155502404E-2</v>
      </c>
      <c r="BL43" s="60" t="str">
        <f t="shared" ca="1" si="51"/>
        <v/>
      </c>
      <c r="BM43" s="57">
        <f t="shared" ca="1" si="52"/>
        <v>-8.2791871094929678E-2</v>
      </c>
      <c r="BN43" s="60" t="str">
        <f t="shared" ca="1" si="53"/>
        <v/>
      </c>
      <c r="BO43" s="57">
        <f t="shared" ca="1" si="54"/>
        <v>-9.9914276112585618E-2</v>
      </c>
      <c r="BP43" s="60" t="str">
        <f t="shared" ca="1" si="55"/>
        <v/>
      </c>
      <c r="BQ43" s="57">
        <f t="shared" ca="1" si="56"/>
        <v>-0.13568626396923139</v>
      </c>
      <c r="BR43" s="60" t="str">
        <f t="shared" ca="1" si="57"/>
        <v/>
      </c>
      <c r="BS43" s="57">
        <f t="shared" ca="1" si="58"/>
        <v>0.11494834900840624</v>
      </c>
      <c r="BT43" s="53" t="str">
        <f t="shared" si="59"/>
        <v>Hoekse-Waarde Goeree Overflakkee</v>
      </c>
      <c r="BV43" s="60">
        <f t="shared" ca="1" si="60"/>
        <v>353677.31596759986</v>
      </c>
      <c r="BW43" s="60">
        <f t="shared" ca="1" si="61"/>
        <v>5171036.8440324003</v>
      </c>
      <c r="BX43" s="60">
        <f t="shared" ca="1" si="62"/>
        <v>-133270.71764330682</v>
      </c>
      <c r="BY43" s="60">
        <f t="shared" ca="1" si="63"/>
        <v>940408.76764330687</v>
      </c>
      <c r="BZ43" s="60">
        <f t="shared" ca="1" si="64"/>
        <v>233954.58301563386</v>
      </c>
      <c r="CA43" s="60">
        <f t="shared" ca="1" si="65"/>
        <v>691162.05698436615</v>
      </c>
      <c r="CB43" s="60">
        <f t="shared" ca="1" si="66"/>
        <v>-126307.10718647006</v>
      </c>
      <c r="CC43" s="60">
        <f t="shared" ca="1" si="67"/>
        <v>1242749.5571864699</v>
      </c>
      <c r="CD43" s="60">
        <f t="shared" ca="1" si="68"/>
        <v>5623.2237739756238</v>
      </c>
      <c r="CE43" s="60">
        <f t="shared" ca="1" si="69"/>
        <v>1510535.5362260242</v>
      </c>
      <c r="CG43" s="60">
        <f t="shared" ca="1" si="70"/>
        <v>-5524714.1600000001</v>
      </c>
      <c r="CH43" s="60">
        <f t="shared" ca="1" si="71"/>
        <v>11049428.32</v>
      </c>
      <c r="CI43" s="60">
        <f t="shared" ca="1" si="72"/>
        <v>-807138.05</v>
      </c>
      <c r="CJ43" s="60">
        <f t="shared" ca="1" si="73"/>
        <v>1614276.1</v>
      </c>
      <c r="CK43" s="60">
        <f t="shared" ca="1" si="74"/>
        <v>-925116.64</v>
      </c>
      <c r="CL43" s="60">
        <f t="shared" ca="1" si="75"/>
        <v>1850233.28</v>
      </c>
      <c r="CM43" s="60">
        <f t="shared" ca="1" si="76"/>
        <v>-1116442.45</v>
      </c>
      <c r="CN43" s="60">
        <f t="shared" ca="1" si="77"/>
        <v>2232884.9</v>
      </c>
      <c r="CO43" s="60">
        <f t="shared" ca="1" si="78"/>
        <v>-1516158.7599999998</v>
      </c>
      <c r="CP43" s="60">
        <f t="shared" ca="1" si="79"/>
        <v>3032317.5199999996</v>
      </c>
    </row>
    <row r="44" spans="1:94">
      <c r="A44" t="str">
        <f ca="1">IF(_xll.TM1RPTELISCONSOLIDATED($B$6,$B44),IF(_xll.TM1RPTELLEV($B$11,$B44)&lt;=3,_xll.TM1RPTELLEV($B$11,$B44),"D"),"N")</f>
        <v>N</v>
      </c>
      <c r="B44" s="56" t="s">
        <v>108</v>
      </c>
      <c r="C44" s="98">
        <f ca="1">_xll.DBRW($B$6,$C$9,$C$10,$C$11,$C$12,$C$13,$B44,$C$31,$C$32,C$35)</f>
        <v>22837949.669999994</v>
      </c>
      <c r="D44" s="98">
        <f ca="1">-_xll.DBRW($B$6,$C$9,$C$10,$C$11,$C$12,$C$13,$B44,$C$31,$C$32,D$35)</f>
        <v>11525958.1</v>
      </c>
      <c r="E44" s="98">
        <f t="shared" ca="1" si="12"/>
        <v>0.50468445138665563</v>
      </c>
      <c r="F44" s="98">
        <f ca="1">-_xll.DBRW($B$6,$C$9,$C$10,$C$11,$C$12,$C$13,$B44,$C$31,$C$32,F$35)</f>
        <v>1350078.27</v>
      </c>
      <c r="G44" s="98">
        <f t="shared" ca="1" si="13"/>
        <v>5.9115563765930669E-2</v>
      </c>
      <c r="H44" s="98">
        <f ca="1">-_xll.DBRW($B$6,$C$9,$C$10,$C$11,$C$12,$C$13,$B44,$C$31,$C$32,H$35)</f>
        <v>1217582.55</v>
      </c>
      <c r="I44" s="98">
        <f t="shared" ca="1" si="14"/>
        <v>5.3314004435320236E-2</v>
      </c>
      <c r="J44" s="98">
        <f ca="1">-_xll.DBRW($B$6,$C$9,$C$10,$C$11,$C$12,$C$13,$B44,$C$31,$C$32,J$35)</f>
        <v>808756.95</v>
      </c>
      <c r="K44" s="98">
        <f t="shared" ca="1" si="15"/>
        <v>3.5412852803611602E-2</v>
      </c>
      <c r="L44" s="98">
        <f ca="1">-_xll.DBRW($B$6,$C$9,$C$10,$C$11,$C$12,$C$13,$B44,$C$31,$C$32,L$35)</f>
        <v>2621214.2500000005</v>
      </c>
      <c r="M44" s="98">
        <f t="shared" ca="1" si="16"/>
        <v>0.11477449980736389</v>
      </c>
      <c r="N44" s="60">
        <f t="shared" ca="1" si="17"/>
        <v>5314359.5499999933</v>
      </c>
      <c r="O44" s="57">
        <f t="shared" ca="1" si="18"/>
        <v>0.23269862780111794</v>
      </c>
      <c r="Q44" s="58">
        <f ca="1">_xll.DBRW($B$6,$C$9,$C$10,$C$11,$C$12,$C$13,$B44,$Q$31,$Q$32,Q$35)</f>
        <v>22613827.16</v>
      </c>
      <c r="R44" s="58">
        <f ca="1">-_xll.DBRW($B$6,$C$9,$C$10,$C$11,$C$12,$C$13,$B44,$Q$31,$Q$32,R$35)</f>
        <v>11311357.16</v>
      </c>
      <c r="S44" s="58">
        <f t="shared" ca="1" si="19"/>
        <v>0.50019649836219937</v>
      </c>
      <c r="T44" s="58">
        <f ca="1">-_xll.DBRW($B$6,$C$9,$C$10,$C$11,$C$12,$C$13,$B44,$Q$31,$Q$32,T$35)</f>
        <v>1321513.3199999998</v>
      </c>
      <c r="U44" s="58">
        <f t="shared" ca="1" si="20"/>
        <v>5.8438286922858032E-2</v>
      </c>
      <c r="V44" s="58">
        <f ca="1">-_xll.DBRW($B$6,$C$9,$C$10,$C$11,$C$12,$C$13,$B44,$Q$31,$Q$32,V$35)</f>
        <v>1443916.9500000002</v>
      </c>
      <c r="W44" s="58">
        <f t="shared" ca="1" si="21"/>
        <v>6.385106509322061E-2</v>
      </c>
      <c r="X44" s="58">
        <f ca="1">-_xll.DBRW($B$6,$C$9,$C$10,$C$11,$C$12,$C$13,$B44,$Q$31,$Q$32,X$35)</f>
        <v>671402</v>
      </c>
      <c r="Y44" s="58">
        <f t="shared" ca="1" si="22"/>
        <v>2.9689888193166859E-2</v>
      </c>
      <c r="Z44" s="58">
        <f ca="1">-_xll.DBRW($B$6,$C$9,$C$10,$C$11,$C$12,$C$13,$B44,$Q$31,$Q$32,Z$35)</f>
        <v>2675117.7700000005</v>
      </c>
      <c r="AA44" s="58">
        <f t="shared" ca="1" si="23"/>
        <v>0.11829566711873642</v>
      </c>
      <c r="AB44" s="60">
        <f t="shared" ca="1" si="24"/>
        <v>5190519.96</v>
      </c>
      <c r="AC44" s="57">
        <f t="shared" ca="1" si="25"/>
        <v>0.22952859430981873</v>
      </c>
      <c r="AE44" s="60">
        <f t="shared" ca="1" si="26"/>
        <v>224122.50999999419</v>
      </c>
      <c r="AF44" s="60">
        <f t="shared" ca="1" si="27"/>
        <v>214600.93999999948</v>
      </c>
      <c r="AG44" s="61">
        <f t="shared" ca="1" si="28"/>
        <v>-4.4879530244562593E-3</v>
      </c>
      <c r="AH44" s="60">
        <f t="shared" ca="1" si="29"/>
        <v>28564.950000000186</v>
      </c>
      <c r="AI44" s="57">
        <f t="shared" ca="1" si="30"/>
        <v>-6.7727684307263697E-4</v>
      </c>
      <c r="AJ44" s="60">
        <f t="shared" ca="1" si="31"/>
        <v>-226334.40000000014</v>
      </c>
      <c r="AK44" s="57">
        <f t="shared" ca="1" si="32"/>
        <v>1.0537060657900374E-2</v>
      </c>
      <c r="AL44" s="60">
        <f t="shared" ca="1" si="33"/>
        <v>137354.94999999995</v>
      </c>
      <c r="AM44" s="57">
        <f t="shared" ca="1" si="34"/>
        <v>-5.7229646104447439E-3</v>
      </c>
      <c r="AN44" s="60">
        <f t="shared" ca="1" si="35"/>
        <v>-53903.520000000019</v>
      </c>
      <c r="AO44" s="57">
        <f t="shared" ca="1" si="36"/>
        <v>3.5211673113725306E-3</v>
      </c>
      <c r="AP44" s="60">
        <f t="shared" ca="1" si="37"/>
        <v>123839.58999999333</v>
      </c>
      <c r="AQ44" s="57">
        <f t="shared" ca="1" si="38"/>
        <v>3.1700334912992123E-3</v>
      </c>
      <c r="AS44" s="58">
        <f ca="1">_xll.DBRW($B$6,$C$9,$C$10,$C$11,$C$12,$C$13,$B44,$AS$31,$AS$32,AS$35)</f>
        <v>22403480.570000004</v>
      </c>
      <c r="AT44" s="58">
        <f ca="1">-_xll.DBRW($B$6,$C$9,$C$10,$C$11,$C$12,$C$13,$B44,$AS$31,$AS$32,AT$35)</f>
        <v>11708222.51</v>
      </c>
      <c r="AU44" s="58">
        <f t="shared" ca="1" si="39"/>
        <v>0.52260730083513085</v>
      </c>
      <c r="AV44" s="58">
        <f ca="1">-_xll.DBRW($B$6,$C$9,$C$10,$C$11,$C$12,$C$13,$B44,$AS$31,$AS$32,AV$35)</f>
        <v>1632339.92</v>
      </c>
      <c r="AW44" s="58">
        <f t="shared" ca="1" si="40"/>
        <v>7.2860996526844565E-2</v>
      </c>
      <c r="AX44" s="58">
        <f ca="1">-_xll.DBRW($B$6,$C$9,$C$10,$C$11,$C$12,$C$13,$B44,$AS$31,$AS$32,AX$35)</f>
        <v>1222768.3399999999</v>
      </c>
      <c r="AY44" s="58">
        <f t="shared" ca="1" si="41"/>
        <v>5.4579391634234788E-2</v>
      </c>
      <c r="AZ44" s="58">
        <f ca="1">-_xll.DBRW($B$6,$C$9,$C$10,$C$11,$C$12,$C$13,$B44,$AS$31,$AS$32,AZ$35)</f>
        <v>1452999.49</v>
      </c>
      <c r="BA44" s="58">
        <f t="shared" ca="1" si="42"/>
        <v>6.4855971171982926E-2</v>
      </c>
      <c r="BB44" s="58">
        <f ca="1">-_xll.DBRW($B$6,$C$9,$C$10,$C$11,$C$12,$C$13,$B44,$AS$31,$AS$32,BB$35)</f>
        <v>2396602.25</v>
      </c>
      <c r="BC44" s="58">
        <f t="shared" ca="1" si="43"/>
        <v>0.10697454989245002</v>
      </c>
      <c r="BD44" s="60">
        <f t="shared" ca="1" si="44"/>
        <v>3990548.0600000042</v>
      </c>
      <c r="BE44" s="57">
        <f t="shared" ca="1" si="45"/>
        <v>0.1781217899393569</v>
      </c>
      <c r="BG44" s="60">
        <f t="shared" ca="1" si="46"/>
        <v>434469.09999999031</v>
      </c>
      <c r="BH44" s="60">
        <f t="shared" ca="1" si="47"/>
        <v>-182264.41000000015</v>
      </c>
      <c r="BI44" s="57">
        <f t="shared" ca="1" si="48"/>
        <v>1.792284944847522E-2</v>
      </c>
      <c r="BJ44" s="60">
        <f t="shared" ca="1" si="49"/>
        <v>-282261.64999999991</v>
      </c>
      <c r="BK44" s="57">
        <f t="shared" ca="1" si="50"/>
        <v>1.3745432760913896E-2</v>
      </c>
      <c r="BL44" s="60">
        <f t="shared" ca="1" si="51"/>
        <v>-5185.7899999998044</v>
      </c>
      <c r="BM44" s="57">
        <f t="shared" ca="1" si="52"/>
        <v>1.2653871989145513E-3</v>
      </c>
      <c r="BN44" s="60">
        <f t="shared" ca="1" si="53"/>
        <v>-644242.54</v>
      </c>
      <c r="BO44" s="57">
        <f t="shared" ca="1" si="54"/>
        <v>2.9443118368371324E-2</v>
      </c>
      <c r="BP44" s="60">
        <f t="shared" ca="1" si="55"/>
        <v>224612.00000000047</v>
      </c>
      <c r="BQ44" s="57">
        <f t="shared" ca="1" si="56"/>
        <v>-7.7999499149138674E-3</v>
      </c>
      <c r="BR44" s="60">
        <f t="shared" ca="1" si="57"/>
        <v>1323811.489999989</v>
      </c>
      <c r="BS44" s="57">
        <f t="shared" ca="1" si="58"/>
        <v>5.4576837861761041E-2</v>
      </c>
      <c r="BT44" s="53" t="str">
        <f t="shared" si="59"/>
        <v>Haarlem Ijmond</v>
      </c>
      <c r="BV44" s="60">
        <f t="shared" ca="1" si="60"/>
        <v>-102495.64529385604</v>
      </c>
      <c r="BW44" s="60">
        <f t="shared" ca="1" si="61"/>
        <v>11628453.745293856</v>
      </c>
      <c r="BX44" s="60">
        <f t="shared" ca="1" si="62"/>
        <v>-15467.614454749506</v>
      </c>
      <c r="BY44" s="60">
        <f t="shared" ca="1" si="63"/>
        <v>1365545.8844547495</v>
      </c>
      <c r="BZ44" s="60">
        <f t="shared" ca="1" si="64"/>
        <v>240644.86097486573</v>
      </c>
      <c r="CA44" s="60">
        <f t="shared" ca="1" si="65"/>
        <v>976937.68902513431</v>
      </c>
      <c r="CB44" s="60">
        <f t="shared" ca="1" si="66"/>
        <v>-130700.77773652819</v>
      </c>
      <c r="CC44" s="60">
        <f t="shared" ca="1" si="67"/>
        <v>939457.72773652815</v>
      </c>
      <c r="CD44" s="60">
        <f t="shared" ca="1" si="68"/>
        <v>80416.241836775094</v>
      </c>
      <c r="CE44" s="60">
        <f t="shared" ca="1" si="69"/>
        <v>2540798.0081632254</v>
      </c>
      <c r="CG44" s="60">
        <f t="shared" ca="1" si="70"/>
        <v>409321.13364726491</v>
      </c>
      <c r="CH44" s="60">
        <f t="shared" ca="1" si="71"/>
        <v>11116636.966352735</v>
      </c>
      <c r="CI44" s="60">
        <f t="shared" ca="1" si="72"/>
        <v>313917.50158612058</v>
      </c>
      <c r="CJ44" s="60">
        <f t="shared" ca="1" si="73"/>
        <v>1036160.7684138794</v>
      </c>
      <c r="CK44" s="60">
        <f t="shared" ca="1" si="74"/>
        <v>28898.849161872873</v>
      </c>
      <c r="CL44" s="60">
        <f t="shared" ca="1" si="75"/>
        <v>1188683.7008381272</v>
      </c>
      <c r="CM44" s="60">
        <f t="shared" ca="1" si="76"/>
        <v>672420.4554247167</v>
      </c>
      <c r="CN44" s="60">
        <f t="shared" ca="1" si="77"/>
        <v>136336.49457528326</v>
      </c>
      <c r="CO44" s="60">
        <f t="shared" ca="1" si="78"/>
        <v>-178134.86358532356</v>
      </c>
      <c r="CP44" s="60">
        <f t="shared" ca="1" si="79"/>
        <v>2799349.113585324</v>
      </c>
    </row>
    <row r="45" spans="1:94">
      <c r="A45" t="str">
        <f ca="1">IF(_xll.TM1RPTELISCONSOLIDATED($B$6,$B45),IF(_xll.TM1RPTELLEV($B$11,$B45)&lt;=3,_xll.TM1RPTELLEV($B$11,$B45),"D"),"N")</f>
        <v>N</v>
      </c>
      <c r="B45" s="56" t="s">
        <v>109</v>
      </c>
      <c r="C45" s="98">
        <f ca="1">_xll.DBRW($B$6,$C$9,$C$10,$C$11,$C$12,$C$13,$B45,$C$31,$C$32,C$35)</f>
        <v>10490730.91</v>
      </c>
      <c r="D45" s="98">
        <f ca="1">-_xll.DBRW($B$6,$C$9,$C$10,$C$11,$C$12,$C$13,$B45,$C$31,$C$32,D$35)</f>
        <v>5483224.0099999998</v>
      </c>
      <c r="E45" s="98">
        <f t="shared" ca="1" si="12"/>
        <v>0.52267321095551766</v>
      </c>
      <c r="F45" s="98">
        <f ca="1">-_xll.DBRW($B$6,$C$9,$C$10,$C$11,$C$12,$C$13,$B45,$C$31,$C$32,F$35)</f>
        <v>710928.1599999998</v>
      </c>
      <c r="G45" s="98">
        <f t="shared" ca="1" si="13"/>
        <v>6.7767266751864466E-2</v>
      </c>
      <c r="H45" s="98">
        <f ca="1">-_xll.DBRW($B$6,$C$9,$C$10,$C$11,$C$12,$C$13,$B45,$C$31,$C$32,H$35)</f>
        <v>811015.13000000012</v>
      </c>
      <c r="I45" s="98">
        <f t="shared" ca="1" si="14"/>
        <v>7.7307781217314644E-2</v>
      </c>
      <c r="J45" s="98">
        <f ca="1">-_xll.DBRW($B$6,$C$9,$C$10,$C$11,$C$12,$C$13,$B45,$C$31,$C$32,J$35)</f>
        <v>700735.07000000007</v>
      </c>
      <c r="K45" s="98">
        <f t="shared" ca="1" si="15"/>
        <v>6.6795638550984443E-2</v>
      </c>
      <c r="L45" s="98">
        <f ca="1">-_xll.DBRW($B$6,$C$9,$C$10,$C$11,$C$12,$C$13,$B45,$C$31,$C$32,L$35)</f>
        <v>1310053.3800000001</v>
      </c>
      <c r="M45" s="98">
        <f t="shared" ca="1" si="16"/>
        <v>0.12487722650013144</v>
      </c>
      <c r="N45" s="60">
        <f t="shared" ca="1" si="17"/>
        <v>1474775.16</v>
      </c>
      <c r="O45" s="57">
        <f t="shared" ca="1" si="18"/>
        <v>0.14057887602418734</v>
      </c>
      <c r="Q45" s="58">
        <f ca="1">_xll.DBRW($B$6,$C$9,$C$10,$C$11,$C$12,$C$13,$B45,$Q$31,$Q$32,Q$35)</f>
        <v>10665852.07</v>
      </c>
      <c r="R45" s="58">
        <f ca="1">-_xll.DBRW($B$6,$C$9,$C$10,$C$11,$C$12,$C$13,$B45,$Q$31,$Q$32,R$35)</f>
        <v>5485385.5800000001</v>
      </c>
      <c r="S45" s="58">
        <f t="shared" ca="1" si="19"/>
        <v>0.51429417396748123</v>
      </c>
      <c r="T45" s="58">
        <f ca="1">-_xll.DBRW($B$6,$C$9,$C$10,$C$11,$C$12,$C$13,$B45,$Q$31,$Q$32,T$35)</f>
        <v>808628.59000000008</v>
      </c>
      <c r="U45" s="58">
        <f t="shared" ca="1" si="20"/>
        <v>7.5814720164218447E-2</v>
      </c>
      <c r="V45" s="58">
        <f ca="1">-_xll.DBRW($B$6,$C$9,$C$10,$C$11,$C$12,$C$13,$B45,$Q$31,$Q$32,V$35)</f>
        <v>832615.65</v>
      </c>
      <c r="W45" s="58">
        <f t="shared" ca="1" si="21"/>
        <v>7.8063678788674595E-2</v>
      </c>
      <c r="X45" s="58">
        <f ca="1">-_xll.DBRW($B$6,$C$9,$C$10,$C$11,$C$12,$C$13,$B45,$Q$31,$Q$32,X$35)</f>
        <v>659483.91999999993</v>
      </c>
      <c r="Y45" s="58">
        <f t="shared" ca="1" si="22"/>
        <v>6.1831339462783297E-2</v>
      </c>
      <c r="Z45" s="58">
        <f ca="1">-_xll.DBRW($B$6,$C$9,$C$10,$C$11,$C$12,$C$13,$B45,$Q$31,$Q$32,Z$35)</f>
        <v>1300348.6399999999</v>
      </c>
      <c r="AA45" s="58">
        <f t="shared" ca="1" si="23"/>
        <v>0.12191699561045945</v>
      </c>
      <c r="AB45" s="60">
        <f t="shared" ca="1" si="24"/>
        <v>1579389.6900000006</v>
      </c>
      <c r="AC45" s="57">
        <f t="shared" ca="1" si="25"/>
        <v>0.148079092006383</v>
      </c>
      <c r="AE45" s="60">
        <f t="shared" ca="1" si="26"/>
        <v>-175121.16000000015</v>
      </c>
      <c r="AF45" s="60">
        <f t="shared" ca="1" si="27"/>
        <v>-2161.570000000298</v>
      </c>
      <c r="AG45" s="61">
        <f t="shared" ca="1" si="28"/>
        <v>-8.3790369880364368E-3</v>
      </c>
      <c r="AH45" s="60">
        <f t="shared" ca="1" si="29"/>
        <v>-97700.430000000284</v>
      </c>
      <c r="AI45" s="57">
        <f t="shared" ca="1" si="30"/>
        <v>8.0474534123539804E-3</v>
      </c>
      <c r="AJ45" s="60">
        <f t="shared" ca="1" si="31"/>
        <v>-21600.519999999902</v>
      </c>
      <c r="AK45" s="57">
        <f t="shared" ca="1" si="32"/>
        <v>7.5589757135995084E-4</v>
      </c>
      <c r="AL45" s="60">
        <f t="shared" ca="1" si="33"/>
        <v>41251.15000000014</v>
      </c>
      <c r="AM45" s="57">
        <f t="shared" ca="1" si="34"/>
        <v>-4.9642990882011462E-3</v>
      </c>
      <c r="AN45" s="60">
        <f t="shared" ca="1" si="35"/>
        <v>9704.7400000002235</v>
      </c>
      <c r="AO45" s="57">
        <f t="shared" ca="1" si="36"/>
        <v>-2.960230889671997E-3</v>
      </c>
      <c r="AP45" s="60">
        <f t="shared" ca="1" si="37"/>
        <v>-104614.53000000073</v>
      </c>
      <c r="AQ45" s="57">
        <f t="shared" ca="1" si="38"/>
        <v>-7.5002159821956627E-3</v>
      </c>
      <c r="AS45" s="58">
        <f ca="1">_xll.DBRW($B$6,$C$9,$C$10,$C$11,$C$12,$C$13,$B45,$AS$31,$AS$32,AS$35)</f>
        <v>10884086.699999999</v>
      </c>
      <c r="AT45" s="58">
        <f ca="1">-_xll.DBRW($B$6,$C$9,$C$10,$C$11,$C$12,$C$13,$B45,$AS$31,$AS$32,AT$35)</f>
        <v>5487207.2999999998</v>
      </c>
      <c r="AU45" s="58">
        <f t="shared" ca="1" si="39"/>
        <v>0.5041495397128728</v>
      </c>
      <c r="AV45" s="58">
        <f ca="1">-_xll.DBRW($B$6,$C$9,$C$10,$C$11,$C$12,$C$13,$B45,$AS$31,$AS$32,AV$35)</f>
        <v>478645.22</v>
      </c>
      <c r="AW45" s="58">
        <f t="shared" ca="1" si="40"/>
        <v>4.3976608528853413E-2</v>
      </c>
      <c r="AX45" s="58">
        <f ca="1">-_xll.DBRW($B$6,$C$9,$C$10,$C$11,$C$12,$C$13,$B45,$AS$31,$AS$32,AX$35)</f>
        <v>899524.54000000015</v>
      </c>
      <c r="AY45" s="58">
        <f t="shared" ca="1" si="41"/>
        <v>8.2645844781813457E-2</v>
      </c>
      <c r="AZ45" s="58">
        <f ca="1">-_xll.DBRW($B$6,$C$9,$C$10,$C$11,$C$12,$C$13,$B45,$AS$31,$AS$32,AZ$35)</f>
        <v>697555.9</v>
      </c>
      <c r="BA45" s="58">
        <f t="shared" ca="1" si="42"/>
        <v>6.4089520712840339E-2</v>
      </c>
      <c r="BB45" s="58">
        <f ca="1">-_xll.DBRW($B$6,$C$9,$C$10,$C$11,$C$12,$C$13,$B45,$AS$31,$AS$32,BB$35)</f>
        <v>1333575.74</v>
      </c>
      <c r="BC45" s="58">
        <f t="shared" ca="1" si="43"/>
        <v>0.12252527720125567</v>
      </c>
      <c r="BD45" s="60">
        <f t="shared" ca="1" si="44"/>
        <v>1987577.9999999998</v>
      </c>
      <c r="BE45" s="57">
        <f t="shared" ca="1" si="45"/>
        <v>0.18261320906236442</v>
      </c>
      <c r="BG45" s="60">
        <f t="shared" ca="1" si="46"/>
        <v>-393355.78999999911</v>
      </c>
      <c r="BH45" s="60">
        <f t="shared" ca="1" si="47"/>
        <v>-3983.2900000000373</v>
      </c>
      <c r="BI45" s="57">
        <f t="shared" ca="1" si="48"/>
        <v>-1.8523671242644868E-2</v>
      </c>
      <c r="BJ45" s="60">
        <f t="shared" ca="1" si="49"/>
        <v>232282.93999999983</v>
      </c>
      <c r="BK45" s="57">
        <f t="shared" ca="1" si="50"/>
        <v>-2.3790658223011053E-2</v>
      </c>
      <c r="BL45" s="60">
        <f t="shared" ca="1" si="51"/>
        <v>-88509.410000000033</v>
      </c>
      <c r="BM45" s="57">
        <f t="shared" ca="1" si="52"/>
        <v>5.3380635644988128E-3</v>
      </c>
      <c r="BN45" s="60">
        <f t="shared" ca="1" si="53"/>
        <v>3179.1700000000419</v>
      </c>
      <c r="BO45" s="57">
        <f t="shared" ca="1" si="54"/>
        <v>-2.7061178381441037E-3</v>
      </c>
      <c r="BP45" s="60">
        <f t="shared" ca="1" si="55"/>
        <v>-23522.35999999987</v>
      </c>
      <c r="BQ45" s="57">
        <f t="shared" ca="1" si="56"/>
        <v>-2.3519492988757773E-3</v>
      </c>
      <c r="BR45" s="60">
        <f t="shared" ca="1" si="57"/>
        <v>-512802.83999999985</v>
      </c>
      <c r="BS45" s="57">
        <f t="shared" ca="1" si="58"/>
        <v>-4.203433303817708E-2</v>
      </c>
      <c r="BT45" s="53" t="str">
        <f t="shared" si="59"/>
        <v>Gooi en Vechtstreek</v>
      </c>
      <c r="BV45" s="60">
        <f t="shared" ca="1" si="60"/>
        <v>-87902.222326426767</v>
      </c>
      <c r="BW45" s="60">
        <f t="shared" ca="1" si="61"/>
        <v>5571126.2323264265</v>
      </c>
      <c r="BX45" s="60">
        <f t="shared" ca="1" si="62"/>
        <v>84423.668259767001</v>
      </c>
      <c r="BY45" s="60">
        <f t="shared" ca="1" si="63"/>
        <v>626504.4917402328</v>
      </c>
      <c r="BZ45" s="60">
        <f t="shared" ca="1" si="64"/>
        <v>7929.9180166597944</v>
      </c>
      <c r="CA45" s="60">
        <f t="shared" ca="1" si="65"/>
        <v>803085.21198334033</v>
      </c>
      <c r="CB45" s="60">
        <f t="shared" ca="1" si="66"/>
        <v>-52079.125891076517</v>
      </c>
      <c r="CC45" s="60">
        <f t="shared" ca="1" si="67"/>
        <v>752814.19589107658</v>
      </c>
      <c r="CD45" s="60">
        <f t="shared" ca="1" si="68"/>
        <v>-31054.985695018899</v>
      </c>
      <c r="CE45" s="60">
        <f t="shared" ca="1" si="69"/>
        <v>1341108.365695019</v>
      </c>
      <c r="CG45" s="60">
        <f t="shared" ca="1" si="70"/>
        <v>-194326.85047189239</v>
      </c>
      <c r="CH45" s="60">
        <f t="shared" ca="1" si="71"/>
        <v>5677550.8604718922</v>
      </c>
      <c r="CI45" s="60">
        <f t="shared" ca="1" si="72"/>
        <v>-249581.39358938765</v>
      </c>
      <c r="CJ45" s="60">
        <f t="shared" ca="1" si="73"/>
        <v>960509.55358938745</v>
      </c>
      <c r="CK45" s="60">
        <f t="shared" ca="1" si="74"/>
        <v>56000.188435632503</v>
      </c>
      <c r="CL45" s="60">
        <f t="shared" ca="1" si="75"/>
        <v>755014.94156436762</v>
      </c>
      <c r="CM45" s="60">
        <f t="shared" ca="1" si="76"/>
        <v>-28389.154050720623</v>
      </c>
      <c r="CN45" s="60">
        <f t="shared" ca="1" si="77"/>
        <v>729124.22405072069</v>
      </c>
      <c r="CO45" s="60">
        <f t="shared" ca="1" si="78"/>
        <v>-24673.667208469007</v>
      </c>
      <c r="CP45" s="60">
        <f t="shared" ca="1" si="79"/>
        <v>1334727.0472084691</v>
      </c>
    </row>
    <row r="46" spans="1:94">
      <c r="A46" t="str">
        <f ca="1">IF(_xll.TM1RPTELISCONSOLIDATED($B$6,$B46),IF(_xll.TM1RPTELLEV($B$11,$B46)&lt;=3,_xll.TM1RPTELLEV($B$11,$B46),"D"),"N")</f>
        <v>N</v>
      </c>
      <c r="B46" s="56" t="s">
        <v>110</v>
      </c>
      <c r="C46" s="98">
        <f ca="1">_xll.DBRW($B$6,$C$9,$C$10,$C$11,$C$12,$C$13,$B46,$C$31,$C$32,C$35)</f>
        <v>20686135.440000001</v>
      </c>
      <c r="D46" s="98">
        <f ca="1">-_xll.DBRW($B$6,$C$9,$C$10,$C$11,$C$12,$C$13,$B46,$C$31,$C$32,D$35)</f>
        <v>10886479.999999998</v>
      </c>
      <c r="E46" s="98">
        <f t="shared" ca="1" si="12"/>
        <v>0.52626939582679233</v>
      </c>
      <c r="F46" s="98">
        <f ca="1">-_xll.DBRW($B$6,$C$9,$C$10,$C$11,$C$12,$C$13,$B46,$C$31,$C$32,F$35)</f>
        <v>1547659.4000000001</v>
      </c>
      <c r="G46" s="98">
        <f t="shared" ca="1" si="13"/>
        <v>7.4816265439669766E-2</v>
      </c>
      <c r="H46" s="98">
        <f ca="1">-_xll.DBRW($B$6,$C$9,$C$10,$C$11,$C$12,$C$13,$B46,$C$31,$C$32,H$35)</f>
        <v>1938490.74</v>
      </c>
      <c r="I46" s="98">
        <f t="shared" ca="1" si="14"/>
        <v>9.3709661025017432E-2</v>
      </c>
      <c r="J46" s="98">
        <f ca="1">-_xll.DBRW($B$6,$C$9,$C$10,$C$11,$C$12,$C$13,$B46,$C$31,$C$32,J$35)</f>
        <v>713954.03</v>
      </c>
      <c r="K46" s="98">
        <f t="shared" ca="1" si="15"/>
        <v>3.4513649592540808E-2</v>
      </c>
      <c r="L46" s="98">
        <f ca="1">-_xll.DBRW($B$6,$C$9,$C$10,$C$11,$C$12,$C$13,$B46,$C$31,$C$32,L$35)</f>
        <v>2778678.85</v>
      </c>
      <c r="M46" s="98">
        <f t="shared" ca="1" si="16"/>
        <v>0.13432566261878831</v>
      </c>
      <c r="N46" s="60">
        <f t="shared" ca="1" si="17"/>
        <v>2820872.4200000023</v>
      </c>
      <c r="O46" s="57">
        <f t="shared" ca="1" si="18"/>
        <v>0.1363653654971913</v>
      </c>
      <c r="Q46" s="58">
        <f ca="1">_xll.DBRW($B$6,$C$9,$C$10,$C$11,$C$12,$C$13,$B46,$Q$31,$Q$32,Q$35)</f>
        <v>20789770.07</v>
      </c>
      <c r="R46" s="58">
        <f ca="1">-_xll.DBRW($B$6,$C$9,$C$10,$C$11,$C$12,$C$13,$B46,$Q$31,$Q$32,R$35)</f>
        <v>10768155.73</v>
      </c>
      <c r="S46" s="58">
        <f t="shared" ca="1" si="19"/>
        <v>0.51795453695462634</v>
      </c>
      <c r="T46" s="58">
        <f ca="1">-_xll.DBRW($B$6,$C$9,$C$10,$C$11,$C$12,$C$13,$B46,$Q$31,$Q$32,T$35)</f>
        <v>1794073.97</v>
      </c>
      <c r="U46" s="58">
        <f t="shared" ca="1" si="20"/>
        <v>8.6295998655073147E-2</v>
      </c>
      <c r="V46" s="58">
        <f ca="1">-_xll.DBRW($B$6,$C$9,$C$10,$C$11,$C$12,$C$13,$B46,$Q$31,$Q$32,V$35)</f>
        <v>1983470.2500000002</v>
      </c>
      <c r="W46" s="58">
        <f t="shared" ca="1" si="21"/>
        <v>9.5406069587185199E-2</v>
      </c>
      <c r="X46" s="58">
        <f ca="1">-_xll.DBRW($B$6,$C$9,$C$10,$C$11,$C$12,$C$13,$B46,$Q$31,$Q$32,X$35)</f>
        <v>648825.91999999993</v>
      </c>
      <c r="Y46" s="58">
        <f t="shared" ca="1" si="22"/>
        <v>3.1208903119917954E-2</v>
      </c>
      <c r="Z46" s="58">
        <f ca="1">-_xll.DBRW($B$6,$C$9,$C$10,$C$11,$C$12,$C$13,$B46,$Q$31,$Q$32,Z$35)</f>
        <v>2909107.36</v>
      </c>
      <c r="AA46" s="58">
        <f t="shared" ca="1" si="23"/>
        <v>0.13992975151744907</v>
      </c>
      <c r="AB46" s="60">
        <f t="shared" ca="1" si="24"/>
        <v>2686136.8400000003</v>
      </c>
      <c r="AC46" s="57">
        <f t="shared" ca="1" si="25"/>
        <v>0.12920474016574826</v>
      </c>
      <c r="AE46" s="60">
        <f t="shared" ca="1" si="26"/>
        <v>-103634.62999999896</v>
      </c>
      <c r="AF46" s="60">
        <f t="shared" ca="1" si="27"/>
        <v>118324.26999999769</v>
      </c>
      <c r="AG46" s="61">
        <f t="shared" ca="1" si="28"/>
        <v>-8.3148588721659866E-3</v>
      </c>
      <c r="AH46" s="60">
        <f t="shared" ca="1" si="29"/>
        <v>-246414.56999999983</v>
      </c>
      <c r="AI46" s="57">
        <f t="shared" ca="1" si="30"/>
        <v>1.1479733215403382E-2</v>
      </c>
      <c r="AJ46" s="60">
        <f t="shared" ca="1" si="31"/>
        <v>-44979.510000000242</v>
      </c>
      <c r="AK46" s="57">
        <f t="shared" ca="1" si="32"/>
        <v>1.6964085621677671E-3</v>
      </c>
      <c r="AL46" s="60">
        <f t="shared" ca="1" si="33"/>
        <v>65128.110000000102</v>
      </c>
      <c r="AM46" s="57">
        <f t="shared" ca="1" si="34"/>
        <v>-3.3047464726228548E-3</v>
      </c>
      <c r="AN46" s="60">
        <f t="shared" ca="1" si="35"/>
        <v>-130428.50999999978</v>
      </c>
      <c r="AO46" s="57">
        <f t="shared" ca="1" si="36"/>
        <v>5.604088898660764E-3</v>
      </c>
      <c r="AP46" s="60">
        <f t="shared" ca="1" si="37"/>
        <v>134735.58000000194</v>
      </c>
      <c r="AQ46" s="57">
        <f t="shared" ca="1" si="38"/>
        <v>7.1606253314430435E-3</v>
      </c>
      <c r="AS46" s="58">
        <f ca="1">_xll.DBRW($B$6,$C$9,$C$10,$C$11,$C$12,$C$13,$B46,$AS$31,$AS$32,AS$35)</f>
        <v>19759809.379999999</v>
      </c>
      <c r="AT46" s="58">
        <f ca="1">-_xll.DBRW($B$6,$C$9,$C$10,$C$11,$C$12,$C$13,$B46,$AS$31,$AS$32,AT$35)</f>
        <v>10780730.609999999</v>
      </c>
      <c r="AU46" s="58">
        <f t="shared" ca="1" si="39"/>
        <v>0.54558879605952959</v>
      </c>
      <c r="AV46" s="58">
        <f ca="1">-_xll.DBRW($B$6,$C$9,$C$10,$C$11,$C$12,$C$13,$B46,$AS$31,$AS$32,AV$35)</f>
        <v>1504127.5099999998</v>
      </c>
      <c r="AW46" s="58">
        <f t="shared" ca="1" si="40"/>
        <v>7.6120547575849129E-2</v>
      </c>
      <c r="AX46" s="58">
        <f ca="1">-_xll.DBRW($B$6,$C$9,$C$10,$C$11,$C$12,$C$13,$B46,$AS$31,$AS$32,AX$35)</f>
        <v>2267431.1100000003</v>
      </c>
      <c r="AY46" s="58">
        <f t="shared" ca="1" si="41"/>
        <v>0.1147496449178803</v>
      </c>
      <c r="AZ46" s="58">
        <f ca="1">-_xll.DBRW($B$6,$C$9,$C$10,$C$11,$C$12,$C$13,$B46,$AS$31,$AS$32,AZ$35)</f>
        <v>839299.38</v>
      </c>
      <c r="BA46" s="58">
        <f t="shared" ca="1" si="42"/>
        <v>4.2475074726657104E-2</v>
      </c>
      <c r="BB46" s="58">
        <f ca="1">-_xll.DBRW($B$6,$C$9,$C$10,$C$11,$C$12,$C$13,$B46,$AS$31,$AS$32,BB$35)</f>
        <v>2838707.26</v>
      </c>
      <c r="BC46" s="58">
        <f t="shared" ca="1" si="43"/>
        <v>0.14366066015157075</v>
      </c>
      <c r="BD46" s="60">
        <f t="shared" ca="1" si="44"/>
        <v>1529513.5099999998</v>
      </c>
      <c r="BE46" s="57">
        <f t="shared" ca="1" si="45"/>
        <v>7.7405276568513121E-2</v>
      </c>
      <c r="BG46" s="60">
        <f t="shared" ca="1" si="46"/>
        <v>926326.06000000238</v>
      </c>
      <c r="BH46" s="60">
        <f t="shared" ca="1" si="47"/>
        <v>105749.38999999873</v>
      </c>
      <c r="BI46" s="57">
        <f t="shared" ca="1" si="48"/>
        <v>1.931940023273726E-2</v>
      </c>
      <c r="BJ46" s="60">
        <f t="shared" ca="1" si="49"/>
        <v>43531.890000000363</v>
      </c>
      <c r="BK46" s="57">
        <f t="shared" ca="1" si="50"/>
        <v>1.3042821361793633E-3</v>
      </c>
      <c r="BL46" s="60">
        <f t="shared" ca="1" si="51"/>
        <v>-328940.37000000034</v>
      </c>
      <c r="BM46" s="57">
        <f t="shared" ca="1" si="52"/>
        <v>2.1039983892862865E-2</v>
      </c>
      <c r="BN46" s="60">
        <f t="shared" ca="1" si="53"/>
        <v>-125345.34999999998</v>
      </c>
      <c r="BO46" s="57">
        <f t="shared" ca="1" si="54"/>
        <v>7.9614251341162956E-3</v>
      </c>
      <c r="BP46" s="60">
        <f t="shared" ca="1" si="55"/>
        <v>-60028.409999999683</v>
      </c>
      <c r="BQ46" s="57">
        <f t="shared" ca="1" si="56"/>
        <v>9.3349975327824408E-3</v>
      </c>
      <c r="BR46" s="60">
        <f t="shared" ca="1" si="57"/>
        <v>1291358.9100000025</v>
      </c>
      <c r="BS46" s="57">
        <f t="shared" ca="1" si="58"/>
        <v>5.8960088928678184E-2</v>
      </c>
      <c r="BT46" s="53" t="str">
        <f t="shared" si="59"/>
        <v>Noord Holland Noord</v>
      </c>
      <c r="BV46" s="60">
        <f t="shared" ca="1" si="60"/>
        <v>-172002.29679411091</v>
      </c>
      <c r="BW46" s="60">
        <f t="shared" ca="1" si="61"/>
        <v>11058482.296794109</v>
      </c>
      <c r="BX46" s="60">
        <f t="shared" ca="1" si="62"/>
        <v>237471.31610890105</v>
      </c>
      <c r="BY46" s="60">
        <f t="shared" ca="1" si="63"/>
        <v>1310188.0838910991</v>
      </c>
      <c r="BZ46" s="60">
        <f t="shared" ca="1" si="64"/>
        <v>35092.137278578011</v>
      </c>
      <c r="CA46" s="60">
        <f t="shared" ca="1" si="65"/>
        <v>1903398.602721422</v>
      </c>
      <c r="CB46" s="60">
        <f t="shared" ca="1" si="66"/>
        <v>-68362.43312753865</v>
      </c>
      <c r="CC46" s="60">
        <f t="shared" ca="1" si="67"/>
        <v>782316.46312753868</v>
      </c>
      <c r="CD46" s="60">
        <f t="shared" ca="1" si="68"/>
        <v>115926.94197549718</v>
      </c>
      <c r="CE46" s="60">
        <f t="shared" ca="1" si="69"/>
        <v>2662751.9080245029</v>
      </c>
      <c r="CG46" s="60">
        <f t="shared" ca="1" si="70"/>
        <v>399643.72983396985</v>
      </c>
      <c r="CH46" s="60">
        <f t="shared" ca="1" si="71"/>
        <v>10486836.270166028</v>
      </c>
      <c r="CI46" s="60">
        <f t="shared" ca="1" si="72"/>
        <v>26980.556920978706</v>
      </c>
      <c r="CJ46" s="60">
        <f t="shared" ca="1" si="73"/>
        <v>1520678.8430790214</v>
      </c>
      <c r="CK46" s="60">
        <f t="shared" ca="1" si="74"/>
        <v>435235.95646317978</v>
      </c>
      <c r="CL46" s="60">
        <f t="shared" ca="1" si="75"/>
        <v>1503254.7835368202</v>
      </c>
      <c r="CM46" s="60">
        <f t="shared" ca="1" si="76"/>
        <v>164691.1186197499</v>
      </c>
      <c r="CN46" s="60">
        <f t="shared" ca="1" si="77"/>
        <v>549262.91138025012</v>
      </c>
      <c r="CO46" s="60">
        <f t="shared" ca="1" si="78"/>
        <v>193105.02329520369</v>
      </c>
      <c r="CP46" s="60">
        <f t="shared" ca="1" si="79"/>
        <v>2585573.8267047964</v>
      </c>
    </row>
    <row r="47" spans="1:94">
      <c r="A47" t="str">
        <f ca="1">IF(_xll.TM1RPTELISCONSOLIDATED($B$6,$B47),IF(_xll.TM1RPTELLEV($B$11,$B47)&lt;=3,_xll.TM1RPTELLEV($B$11,$B47),"D"),"N")</f>
        <v>N</v>
      </c>
      <c r="B47" s="56" t="s">
        <v>111</v>
      </c>
      <c r="C47" s="98">
        <f ca="1">_xll.DBRW($B$6,$C$9,$C$10,$C$11,$C$12,$C$13,$B47,$C$31,$C$32,C$35)</f>
        <v>30028864.690000001</v>
      </c>
      <c r="D47" s="98">
        <f ca="1">-_xll.DBRW($B$6,$C$9,$C$10,$C$11,$C$12,$C$13,$B47,$C$31,$C$32,D$35)</f>
        <v>15012528.019999998</v>
      </c>
      <c r="E47" s="98">
        <f t="shared" ca="1" si="12"/>
        <v>0.49993658351657105</v>
      </c>
      <c r="F47" s="98">
        <f ca="1">-_xll.DBRW($B$6,$C$9,$C$10,$C$11,$C$12,$C$13,$B47,$C$31,$C$32,F$35)</f>
        <v>1930132.91</v>
      </c>
      <c r="G47" s="98">
        <f t="shared" ca="1" si="13"/>
        <v>6.4275920182981783E-2</v>
      </c>
      <c r="H47" s="98">
        <f ca="1">-_xll.DBRW($B$6,$C$9,$C$10,$C$11,$C$12,$C$13,$B47,$C$31,$C$32,H$35)</f>
        <v>2618989.0700000003</v>
      </c>
      <c r="I47" s="98">
        <f t="shared" ca="1" si="14"/>
        <v>8.7215720508812891E-2</v>
      </c>
      <c r="J47" s="98">
        <f ca="1">-_xll.DBRW($B$6,$C$9,$C$10,$C$11,$C$12,$C$13,$B47,$C$31,$C$32,J$35)</f>
        <v>2777440.13</v>
      </c>
      <c r="K47" s="98">
        <f t="shared" ca="1" si="15"/>
        <v>9.2492345570591064E-2</v>
      </c>
      <c r="L47" s="98">
        <f ca="1">-_xll.DBRW($B$6,$C$9,$C$10,$C$11,$C$12,$C$13,$B47,$C$31,$C$32,L$35)</f>
        <v>3666451.2800000003</v>
      </c>
      <c r="M47" s="98">
        <f t="shared" ca="1" si="16"/>
        <v>0.12209756572052409</v>
      </c>
      <c r="N47" s="60">
        <f t="shared" ca="1" si="17"/>
        <v>4023323.2800000031</v>
      </c>
      <c r="O47" s="57">
        <f t="shared" ca="1" si="18"/>
        <v>0.1339818645005191</v>
      </c>
      <c r="Q47" s="58">
        <f ca="1">_xll.DBRW($B$6,$C$9,$C$10,$C$11,$C$12,$C$13,$B47,$Q$31,$Q$32,Q$35)</f>
        <v>29689610.279999997</v>
      </c>
      <c r="R47" s="58">
        <f ca="1">-_xll.DBRW($B$6,$C$9,$C$10,$C$11,$C$12,$C$13,$B47,$Q$31,$Q$32,R$35)</f>
        <v>15031261.029999999</v>
      </c>
      <c r="S47" s="58">
        <f t="shared" ca="1" si="19"/>
        <v>0.50628017303836437</v>
      </c>
      <c r="T47" s="58">
        <f ca="1">-_xll.DBRW($B$6,$C$9,$C$10,$C$11,$C$12,$C$13,$B47,$Q$31,$Q$32,T$35)</f>
        <v>2263238.06</v>
      </c>
      <c r="U47" s="58">
        <f t="shared" ca="1" si="20"/>
        <v>7.622996862052446E-2</v>
      </c>
      <c r="V47" s="58">
        <f ca="1">-_xll.DBRW($B$6,$C$9,$C$10,$C$11,$C$12,$C$13,$B47,$Q$31,$Q$32,V$35)</f>
        <v>2773357.58</v>
      </c>
      <c r="W47" s="58">
        <f t="shared" ca="1" si="21"/>
        <v>9.3411720593322672E-2</v>
      </c>
      <c r="X47" s="58">
        <f ca="1">-_xll.DBRW($B$6,$C$9,$C$10,$C$11,$C$12,$C$13,$B47,$Q$31,$Q$32,X$35)</f>
        <v>2532026.5599999996</v>
      </c>
      <c r="Y47" s="58">
        <f t="shared" ca="1" si="22"/>
        <v>8.5283253505879286E-2</v>
      </c>
      <c r="Z47" s="58">
        <f ca="1">-_xll.DBRW($B$6,$C$9,$C$10,$C$11,$C$12,$C$13,$B47,$Q$31,$Q$32,Z$35)</f>
        <v>4001541.8500000006</v>
      </c>
      <c r="AA47" s="58">
        <f t="shared" ca="1" si="23"/>
        <v>0.1347791975799556</v>
      </c>
      <c r="AB47" s="60">
        <f t="shared" ca="1" si="24"/>
        <v>3088185.1999999974</v>
      </c>
      <c r="AC47" s="57">
        <f t="shared" ca="1" si="25"/>
        <v>0.10401568666195364</v>
      </c>
      <c r="AE47" s="60">
        <f t="shared" ca="1" si="26"/>
        <v>339254.41000000387</v>
      </c>
      <c r="AF47" s="60">
        <f t="shared" ca="1" si="27"/>
        <v>-18733.010000001639</v>
      </c>
      <c r="AG47" s="61">
        <f t="shared" ca="1" si="28"/>
        <v>6.3435895217933136E-3</v>
      </c>
      <c r="AH47" s="60">
        <f t="shared" ca="1" si="29"/>
        <v>-333105.15000000014</v>
      </c>
      <c r="AI47" s="57">
        <f t="shared" ca="1" si="30"/>
        <v>1.1954048437542678E-2</v>
      </c>
      <c r="AJ47" s="60">
        <f t="shared" ca="1" si="31"/>
        <v>-154368.50999999978</v>
      </c>
      <c r="AK47" s="57">
        <f t="shared" ca="1" si="32"/>
        <v>6.1960000845097812E-3</v>
      </c>
      <c r="AL47" s="60">
        <f t="shared" ca="1" si="33"/>
        <v>245413.5700000003</v>
      </c>
      <c r="AM47" s="57">
        <f t="shared" ca="1" si="34"/>
        <v>-7.2090920647117779E-3</v>
      </c>
      <c r="AN47" s="60">
        <f t="shared" ca="1" si="35"/>
        <v>-335090.5700000003</v>
      </c>
      <c r="AO47" s="57">
        <f t="shared" ca="1" si="36"/>
        <v>1.2681631859431511E-2</v>
      </c>
      <c r="AP47" s="60">
        <f t="shared" ca="1" si="37"/>
        <v>935138.08000000566</v>
      </c>
      <c r="AQ47" s="57">
        <f t="shared" ca="1" si="38"/>
        <v>2.9966177838565464E-2</v>
      </c>
      <c r="AS47" s="58">
        <f ca="1">_xll.DBRW($B$6,$C$9,$C$10,$C$11,$C$12,$C$13,$B47,$AS$31,$AS$32,AS$35)</f>
        <v>28948095.440000001</v>
      </c>
      <c r="AT47" s="58">
        <f ca="1">-_xll.DBRW($B$6,$C$9,$C$10,$C$11,$C$12,$C$13,$B47,$AS$31,$AS$32,AT$35)</f>
        <v>15036212.539999999</v>
      </c>
      <c r="AU47" s="58">
        <f t="shared" ca="1" si="39"/>
        <v>0.51941975150542052</v>
      </c>
      <c r="AV47" s="58">
        <f ca="1">-_xll.DBRW($B$6,$C$9,$C$10,$C$11,$C$12,$C$13,$B47,$AS$31,$AS$32,AV$35)</f>
        <v>1874585.48</v>
      </c>
      <c r="AW47" s="58">
        <f t="shared" ca="1" si="40"/>
        <v>6.4756781111400125E-2</v>
      </c>
      <c r="AX47" s="58">
        <f ca="1">-_xll.DBRW($B$6,$C$9,$C$10,$C$11,$C$12,$C$13,$B47,$AS$31,$AS$32,AX$35)</f>
        <v>2834663.7199999997</v>
      </c>
      <c r="AY47" s="58">
        <f t="shared" ca="1" si="41"/>
        <v>9.7922287353077744E-2</v>
      </c>
      <c r="AZ47" s="58">
        <f ca="1">-_xll.DBRW($B$6,$C$9,$C$10,$C$11,$C$12,$C$13,$B47,$AS$31,$AS$32,AZ$35)</f>
        <v>2807238.6900000004</v>
      </c>
      <c r="BA47" s="58">
        <f t="shared" ca="1" si="42"/>
        <v>9.697490101960228E-2</v>
      </c>
      <c r="BB47" s="58">
        <f ca="1">-_xll.DBRW($B$6,$C$9,$C$10,$C$11,$C$12,$C$13,$B47,$AS$31,$AS$32,BB$35)</f>
        <v>3774352.9099999997</v>
      </c>
      <c r="BC47" s="58">
        <f t="shared" ca="1" si="43"/>
        <v>0.1303834622841771</v>
      </c>
      <c r="BD47" s="60">
        <f t="shared" ca="1" si="44"/>
        <v>2621042.1000000029</v>
      </c>
      <c r="BE47" s="57">
        <f t="shared" ca="1" si="45"/>
        <v>9.0542816726322181E-2</v>
      </c>
      <c r="BG47" s="60">
        <f t="shared" ca="1" si="46"/>
        <v>1080769.25</v>
      </c>
      <c r="BH47" s="60">
        <f t="shared" ca="1" si="47"/>
        <v>-23684.520000001416</v>
      </c>
      <c r="BI47" s="57">
        <f t="shared" ca="1" si="48"/>
        <v>1.948316798884947E-2</v>
      </c>
      <c r="BJ47" s="60">
        <f t="shared" ca="1" si="49"/>
        <v>55547.429999999935</v>
      </c>
      <c r="BK47" s="57">
        <f t="shared" ca="1" si="50"/>
        <v>4.8086092841834183E-4</v>
      </c>
      <c r="BL47" s="60">
        <f t="shared" ca="1" si="51"/>
        <v>-215674.64999999944</v>
      </c>
      <c r="BM47" s="57">
        <f t="shared" ca="1" si="52"/>
        <v>1.0706566844264853E-2</v>
      </c>
      <c r="BN47" s="60">
        <f t="shared" ca="1" si="53"/>
        <v>-29798.560000000522</v>
      </c>
      <c r="BO47" s="57">
        <f t="shared" ca="1" si="54"/>
        <v>4.4825554490112163E-3</v>
      </c>
      <c r="BP47" s="60">
        <f t="shared" ca="1" si="55"/>
        <v>-107901.62999999942</v>
      </c>
      <c r="BQ47" s="57">
        <f t="shared" ca="1" si="56"/>
        <v>8.2858965636530141E-3</v>
      </c>
      <c r="BR47" s="60">
        <f t="shared" ca="1" si="57"/>
        <v>1402281.1800000002</v>
      </c>
      <c r="BS47" s="57">
        <f t="shared" ca="1" si="58"/>
        <v>4.3439047774196923E-2</v>
      </c>
      <c r="BT47" s="53" t="str">
        <f t="shared" si="59"/>
        <v>Provincie Utrecht</v>
      </c>
      <c r="BV47" s="60">
        <f t="shared" ca="1" si="60"/>
        <v>190490.79139883257</v>
      </c>
      <c r="BW47" s="60">
        <f t="shared" ca="1" si="61"/>
        <v>14822037.228601165</v>
      </c>
      <c r="BX47" s="60">
        <f t="shared" ca="1" si="62"/>
        <v>358966.50302867522</v>
      </c>
      <c r="BY47" s="60">
        <f t="shared" ca="1" si="63"/>
        <v>1571166.4069713247</v>
      </c>
      <c r="BZ47" s="60">
        <f t="shared" ca="1" si="64"/>
        <v>186058.84815697279</v>
      </c>
      <c r="CA47" s="60">
        <f t="shared" ca="1" si="65"/>
        <v>2432930.2218430275</v>
      </c>
      <c r="CB47" s="60">
        <f t="shared" ca="1" si="66"/>
        <v>-216480.85014898237</v>
      </c>
      <c r="CC47" s="60">
        <f t="shared" ca="1" si="67"/>
        <v>2993920.9801489823</v>
      </c>
      <c r="CD47" s="60">
        <f t="shared" ca="1" si="68"/>
        <v>380815.00715526193</v>
      </c>
      <c r="CE47" s="60">
        <f t="shared" ca="1" si="69"/>
        <v>3285636.2728447383</v>
      </c>
      <c r="CG47" s="60">
        <f t="shared" ca="1" si="70"/>
        <v>585057.41526969895</v>
      </c>
      <c r="CH47" s="60">
        <f t="shared" ca="1" si="71"/>
        <v>14427470.604730299</v>
      </c>
      <c r="CI47" s="60">
        <f t="shared" ca="1" si="72"/>
        <v>14439.707754182396</v>
      </c>
      <c r="CJ47" s="60">
        <f t="shared" ca="1" si="73"/>
        <v>1915693.2022458175</v>
      </c>
      <c r="CK47" s="60">
        <f t="shared" ca="1" si="74"/>
        <v>321506.04706086963</v>
      </c>
      <c r="CL47" s="60">
        <f t="shared" ca="1" si="75"/>
        <v>2297483.0229391307</v>
      </c>
      <c r="CM47" s="60">
        <f t="shared" ca="1" si="76"/>
        <v>134606.05104378005</v>
      </c>
      <c r="CN47" s="60">
        <f t="shared" ca="1" si="77"/>
        <v>2642834.0789562198</v>
      </c>
      <c r="CO47" s="60">
        <f t="shared" ca="1" si="78"/>
        <v>248816.06674527237</v>
      </c>
      <c r="CP47" s="60">
        <f t="shared" ca="1" si="79"/>
        <v>3417635.2132547279</v>
      </c>
    </row>
    <row r="48" spans="1:94">
      <c r="A48" t="str">
        <f ca="1">IF(_xll.TM1RPTELISCONSOLIDATED($B$6,$B48),IF(_xll.TM1RPTELLEV($B$11,$B48)&lt;=3,_xll.TM1RPTELLEV($B$11,$B48),"D"),"N")</f>
        <v>N</v>
      </c>
      <c r="B48" s="56" t="s">
        <v>112</v>
      </c>
      <c r="C48" s="98">
        <f ca="1">_xll.DBRW($B$6,$C$9,$C$10,$C$11,$C$12,$C$13,$B48,$C$31,$C$32,C$35)</f>
        <v>59952351.370000005</v>
      </c>
      <c r="D48" s="98">
        <f ca="1">-_xll.DBRW($B$6,$C$9,$C$10,$C$11,$C$12,$C$13,$B48,$C$31,$C$32,D$35)</f>
        <v>29100928.18</v>
      </c>
      <c r="E48" s="98">
        <f t="shared" ca="1" si="12"/>
        <v>0.48540094783608478</v>
      </c>
      <c r="F48" s="98">
        <f ca="1">-_xll.DBRW($B$6,$C$9,$C$10,$C$11,$C$12,$C$13,$B48,$C$31,$C$32,F$35)</f>
        <v>8771246.9000000004</v>
      </c>
      <c r="G48" s="98">
        <f t="shared" ca="1" si="13"/>
        <v>0.14630363446243594</v>
      </c>
      <c r="H48" s="98">
        <f ca="1">-_xll.DBRW($B$6,$C$9,$C$10,$C$11,$C$12,$C$13,$B48,$C$31,$C$32,H$35)</f>
        <v>4536181.78</v>
      </c>
      <c r="I48" s="98">
        <f t="shared" ca="1" si="14"/>
        <v>7.5663117064494217E-2</v>
      </c>
      <c r="J48" s="98">
        <f ca="1">-_xll.DBRW($B$6,$C$9,$C$10,$C$11,$C$12,$C$13,$B48,$C$31,$C$32,J$35)</f>
        <v>7467115.3199999994</v>
      </c>
      <c r="K48" s="98">
        <f t="shared" ca="1" si="15"/>
        <v>0.12455083327618278</v>
      </c>
      <c r="L48" s="98">
        <f ca="1">-_xll.DBRW($B$6,$C$9,$C$10,$C$11,$C$12,$C$13,$B48,$C$31,$C$32,L$35)</f>
        <v>7616957.7300000004</v>
      </c>
      <c r="M48" s="98">
        <f t="shared" ca="1" si="16"/>
        <v>0.12705019162620376</v>
      </c>
      <c r="N48" s="60">
        <f t="shared" ca="1" si="17"/>
        <v>2459921.4600000046</v>
      </c>
      <c r="O48" s="57">
        <f t="shared" ca="1" si="18"/>
        <v>4.1031275734598506E-2</v>
      </c>
      <c r="Q48" s="58">
        <f ca="1">_xll.DBRW($B$6,$C$9,$C$10,$C$11,$C$12,$C$13,$B48,$Q$31,$Q$32,Q$35)</f>
        <v>55725419.469999999</v>
      </c>
      <c r="R48" s="58">
        <f ca="1">-_xll.DBRW($B$6,$C$9,$C$10,$C$11,$C$12,$C$13,$B48,$Q$31,$Q$32,R$35)</f>
        <v>27728222.540000003</v>
      </c>
      <c r="S48" s="58">
        <f t="shared" ca="1" si="19"/>
        <v>0.49758660955307121</v>
      </c>
      <c r="T48" s="58">
        <f ca="1">-_xll.DBRW($B$6,$C$9,$C$10,$C$11,$C$12,$C$13,$B48,$Q$31,$Q$32,T$35)</f>
        <v>4451279.05</v>
      </c>
      <c r="U48" s="58">
        <f t="shared" ca="1" si="20"/>
        <v>7.9878789470510192E-2</v>
      </c>
      <c r="V48" s="58">
        <f ca="1">-_xll.DBRW($B$6,$C$9,$C$10,$C$11,$C$12,$C$13,$B48,$Q$31,$Q$32,V$35)</f>
        <v>5073929.5200000005</v>
      </c>
      <c r="W48" s="58">
        <f t="shared" ca="1" si="21"/>
        <v>9.1052334253519093E-2</v>
      </c>
      <c r="X48" s="58">
        <f ca="1">-_xll.DBRW($B$6,$C$9,$C$10,$C$11,$C$12,$C$13,$B48,$Q$31,$Q$32,X$35)</f>
        <v>7876570.1200000001</v>
      </c>
      <c r="Y48" s="58">
        <f t="shared" ca="1" si="22"/>
        <v>0.14134608935945978</v>
      </c>
      <c r="Z48" s="58">
        <f ca="1">-_xll.DBRW($B$6,$C$9,$C$10,$C$11,$C$12,$C$13,$B48,$Q$31,$Q$32,Z$35)</f>
        <v>7240365.2699999996</v>
      </c>
      <c r="AA48" s="58">
        <f t="shared" ca="1" si="23"/>
        <v>0.12992930944015377</v>
      </c>
      <c r="AB48" s="60">
        <f t="shared" ca="1" si="24"/>
        <v>3355052.9699999951</v>
      </c>
      <c r="AC48" s="57">
        <f t="shared" ca="1" si="25"/>
        <v>6.020686792328591E-2</v>
      </c>
      <c r="AE48" s="60">
        <f t="shared" ca="1" si="26"/>
        <v>4226931.900000006</v>
      </c>
      <c r="AF48" s="60">
        <f t="shared" ca="1" si="27"/>
        <v>1372705.6399999969</v>
      </c>
      <c r="AG48" s="61">
        <f t="shared" ca="1" si="28"/>
        <v>1.2185661716986429E-2</v>
      </c>
      <c r="AH48" s="60">
        <f t="shared" ca="1" si="29"/>
        <v>4319967.8500000006</v>
      </c>
      <c r="AI48" s="57">
        <f t="shared" ca="1" si="30"/>
        <v>-6.6424844991925747E-2</v>
      </c>
      <c r="AJ48" s="60">
        <f t="shared" ca="1" si="31"/>
        <v>-537747.74000000022</v>
      </c>
      <c r="AK48" s="57">
        <f t="shared" ca="1" si="32"/>
        <v>1.5389217189024876E-2</v>
      </c>
      <c r="AL48" s="60">
        <f t="shared" ca="1" si="33"/>
        <v>-409454.80000000075</v>
      </c>
      <c r="AM48" s="57">
        <f t="shared" ca="1" si="34"/>
        <v>1.6795256083276991E-2</v>
      </c>
      <c r="AN48" s="60">
        <f t="shared" ca="1" si="35"/>
        <v>376592.46000000089</v>
      </c>
      <c r="AO48" s="57">
        <f t="shared" ca="1" si="36"/>
        <v>2.8791178139500051E-3</v>
      </c>
      <c r="AP48" s="60">
        <f t="shared" ca="1" si="37"/>
        <v>-895131.50999999046</v>
      </c>
      <c r="AQ48" s="57">
        <f t="shared" ca="1" si="38"/>
        <v>-1.9175592188687404E-2</v>
      </c>
      <c r="AS48" s="58">
        <f ca="1">_xll.DBRW($B$6,$C$9,$C$10,$C$11,$C$12,$C$13,$B48,$AS$31,$AS$32,AS$35)</f>
        <v>59723171.319999993</v>
      </c>
      <c r="AT48" s="58">
        <f ca="1">-_xll.DBRW($B$6,$C$9,$C$10,$C$11,$C$12,$C$13,$B48,$AS$31,$AS$32,AT$35)</f>
        <v>29267488.609999999</v>
      </c>
      <c r="AU48" s="58">
        <f t="shared" ca="1" si="39"/>
        <v>0.49005248654970457</v>
      </c>
      <c r="AV48" s="58">
        <f ca="1">-_xll.DBRW($B$6,$C$9,$C$10,$C$11,$C$12,$C$13,$B48,$AS$31,$AS$32,AV$35)</f>
        <v>8202772.0600000005</v>
      </c>
      <c r="AW48" s="58">
        <f t="shared" ca="1" si="40"/>
        <v>0.13734655877614238</v>
      </c>
      <c r="AX48" s="58">
        <f ca="1">-_xll.DBRW($B$6,$C$9,$C$10,$C$11,$C$12,$C$13,$B48,$AS$31,$AS$32,AX$35)</f>
        <v>5134240.79</v>
      </c>
      <c r="AY48" s="58">
        <f t="shared" ca="1" si="41"/>
        <v>8.5967316813945788E-2</v>
      </c>
      <c r="AZ48" s="58">
        <f ca="1">-_xll.DBRW($B$6,$C$9,$C$10,$C$11,$C$12,$C$13,$B48,$AS$31,$AS$32,AZ$35)</f>
        <v>7659443.9899999993</v>
      </c>
      <c r="BA48" s="58">
        <f t="shared" ca="1" si="42"/>
        <v>0.12824911706312919</v>
      </c>
      <c r="BB48" s="58">
        <f ca="1">-_xll.DBRW($B$6,$C$9,$C$10,$C$11,$C$12,$C$13,$B48,$AS$31,$AS$32,BB$35)</f>
        <v>7920544.7999999989</v>
      </c>
      <c r="BC48" s="58">
        <f t="shared" ca="1" si="43"/>
        <v>0.13262096812577634</v>
      </c>
      <c r="BD48" s="60">
        <f t="shared" ca="1" si="44"/>
        <v>1538681.0699999947</v>
      </c>
      <c r="BE48" s="57">
        <f t="shared" ca="1" si="45"/>
        <v>2.5763552671301697E-2</v>
      </c>
      <c r="BG48" s="60">
        <f t="shared" ca="1" si="46"/>
        <v>229180.05000001192</v>
      </c>
      <c r="BH48" s="60">
        <f t="shared" ca="1" si="47"/>
        <v>-166560.4299999997</v>
      </c>
      <c r="BI48" s="57">
        <f t="shared" ca="1" si="48"/>
        <v>4.651538713619785E-3</v>
      </c>
      <c r="BJ48" s="60">
        <f t="shared" ca="1" si="49"/>
        <v>568474.83999999985</v>
      </c>
      <c r="BK48" s="57">
        <f t="shared" ca="1" si="50"/>
        <v>-8.9570756862935585E-3</v>
      </c>
      <c r="BL48" s="60">
        <f t="shared" ca="1" si="51"/>
        <v>-598059.00999999978</v>
      </c>
      <c r="BM48" s="57">
        <f t="shared" ca="1" si="52"/>
        <v>1.030419974945157E-2</v>
      </c>
      <c r="BN48" s="60">
        <f t="shared" ca="1" si="53"/>
        <v>-192328.66999999993</v>
      </c>
      <c r="BO48" s="57">
        <f t="shared" ca="1" si="54"/>
        <v>3.6982837869464075E-3</v>
      </c>
      <c r="BP48" s="60">
        <f t="shared" ca="1" si="55"/>
        <v>-303587.06999999844</v>
      </c>
      <c r="BQ48" s="57">
        <f t="shared" ca="1" si="56"/>
        <v>5.5707764995725773E-3</v>
      </c>
      <c r="BR48" s="60">
        <f t="shared" ca="1" si="57"/>
        <v>921240.39000000991</v>
      </c>
      <c r="BS48" s="57">
        <f t="shared" ca="1" si="58"/>
        <v>1.5267723063296809E-2</v>
      </c>
      <c r="BT48" s="53" t="str">
        <f t="shared" si="59"/>
        <v>SAN</v>
      </c>
      <c r="BV48" s="60">
        <f t="shared" ca="1" si="60"/>
        <v>730559.07293272763</v>
      </c>
      <c r="BW48" s="60">
        <f t="shared" ca="1" si="61"/>
        <v>28370369.107067272</v>
      </c>
      <c r="BX48" s="60">
        <f t="shared" ca="1" si="62"/>
        <v>-3982325.6466537165</v>
      </c>
      <c r="BY48" s="60">
        <f t="shared" ca="1" si="63"/>
        <v>12753572.546653718</v>
      </c>
      <c r="BZ48" s="60">
        <f t="shared" ca="1" si="64"/>
        <v>922619.75622566324</v>
      </c>
      <c r="CA48" s="60">
        <f t="shared" ca="1" si="65"/>
        <v>3613562.023774337</v>
      </c>
      <c r="CB48" s="60">
        <f t="shared" ca="1" si="66"/>
        <v>1006915.0940537518</v>
      </c>
      <c r="CC48" s="60">
        <f t="shared" ca="1" si="67"/>
        <v>6460200.2259462476</v>
      </c>
      <c r="CD48" s="60">
        <f t="shared" ca="1" si="68"/>
        <v>172609.88281755708</v>
      </c>
      <c r="CE48" s="60">
        <f t="shared" ca="1" si="69"/>
        <v>7444347.8471824434</v>
      </c>
      <c r="CG48" s="60">
        <f t="shared" ca="1" si="70"/>
        <v>278870.68337009102</v>
      </c>
      <c r="CH48" s="60">
        <f t="shared" ca="1" si="71"/>
        <v>28822057.496629909</v>
      </c>
      <c r="CI48" s="60">
        <f t="shared" ca="1" si="72"/>
        <v>-536997.74879235495</v>
      </c>
      <c r="CJ48" s="60">
        <f t="shared" ca="1" si="73"/>
        <v>9308244.6487923563</v>
      </c>
      <c r="CK48" s="60">
        <f t="shared" ca="1" si="74"/>
        <v>617761.00396578666</v>
      </c>
      <c r="CL48" s="60">
        <f t="shared" ca="1" si="75"/>
        <v>3918420.7760342136</v>
      </c>
      <c r="CM48" s="60">
        <f t="shared" ca="1" si="76"/>
        <v>221720.80906098522</v>
      </c>
      <c r="CN48" s="60">
        <f t="shared" ca="1" si="77"/>
        <v>7245394.5109390141</v>
      </c>
      <c r="CO48" s="60">
        <f t="shared" ca="1" si="78"/>
        <v>333981.1501061134</v>
      </c>
      <c r="CP48" s="60">
        <f t="shared" ca="1" si="79"/>
        <v>7282976.579893887</v>
      </c>
    </row>
    <row r="49" spans="1:94">
      <c r="A49" t="str">
        <f ca="1">IF(_xll.TM1RPTELISCONSOLIDATED($B$6,$B49),IF(_xll.TM1RPTELLEV($B$11,$B49)&lt;=3,_xll.TM1RPTELLEV($B$11,$B49),"D"),"N")</f>
        <v>N</v>
      </c>
      <c r="B49" s="56" t="s">
        <v>113</v>
      </c>
      <c r="C49" s="98">
        <f ca="1">_xll.DBRW($B$6,$C$9,$C$10,$C$11,$C$12,$C$13,$B49,$C$31,$C$32,C$35)</f>
        <v>11138973.530000001</v>
      </c>
      <c r="D49" s="98">
        <f ca="1">-_xll.DBRW($B$6,$C$9,$C$10,$C$11,$C$12,$C$13,$B49,$C$31,$C$32,D$35)</f>
        <v>5982793.5300000003</v>
      </c>
      <c r="E49" s="98">
        <f t="shared" ca="1" si="12"/>
        <v>0.5371045647865903</v>
      </c>
      <c r="F49" s="98">
        <f ca="1">-_xll.DBRW($B$6,$C$9,$C$10,$C$11,$C$12,$C$13,$B49,$C$31,$C$32,F$35)</f>
        <v>1234292.8699999999</v>
      </c>
      <c r="G49" s="98">
        <f t="shared" ca="1" si="13"/>
        <v>0.11080849296173879</v>
      </c>
      <c r="H49" s="98">
        <f ca="1">-_xll.DBRW($B$6,$C$9,$C$10,$C$11,$C$12,$C$13,$B49,$C$31,$C$32,H$35)</f>
        <v>1170957.1000000001</v>
      </c>
      <c r="I49" s="98">
        <f t="shared" ca="1" si="14"/>
        <v>0.10512253187839292</v>
      </c>
      <c r="J49" s="98">
        <f ca="1">-_xll.DBRW($B$6,$C$9,$C$10,$C$11,$C$12,$C$13,$B49,$C$31,$C$32,J$35)</f>
        <v>943539.26</v>
      </c>
      <c r="K49" s="98">
        <f t="shared" ca="1" si="15"/>
        <v>8.4706122827100383E-2</v>
      </c>
      <c r="L49" s="98">
        <f ca="1">-_xll.DBRW($B$6,$C$9,$C$10,$C$11,$C$12,$C$13,$B49,$C$31,$C$32,L$35)</f>
        <v>1681605.1199999999</v>
      </c>
      <c r="M49" s="98">
        <f t="shared" ca="1" si="16"/>
        <v>0.15096589604697622</v>
      </c>
      <c r="N49" s="60">
        <f t="shared" ca="1" si="17"/>
        <v>125785.65000000084</v>
      </c>
      <c r="O49" s="57">
        <f t="shared" ca="1" si="18"/>
        <v>1.1292391499201348E-2</v>
      </c>
      <c r="Q49" s="58">
        <f ca="1">_xll.DBRW($B$6,$C$9,$C$10,$C$11,$C$12,$C$13,$B49,$Q$31,$Q$32,Q$35)</f>
        <v>11126383.559999999</v>
      </c>
      <c r="R49" s="58">
        <f ca="1">-_xll.DBRW($B$6,$C$9,$C$10,$C$11,$C$12,$C$13,$B49,$Q$31,$Q$32,R$35)</f>
        <v>5789041.1699999999</v>
      </c>
      <c r="S49" s="58">
        <f t="shared" ca="1" si="19"/>
        <v>0.52029854433671896</v>
      </c>
      <c r="T49" s="58">
        <f ca="1">-_xll.DBRW($B$6,$C$9,$C$10,$C$11,$C$12,$C$13,$B49,$Q$31,$Q$32,T$35)</f>
        <v>1018797.1599999999</v>
      </c>
      <c r="U49" s="58">
        <f t="shared" ca="1" si="20"/>
        <v>9.1565885222817181E-2</v>
      </c>
      <c r="V49" s="58">
        <f ca="1">-_xll.DBRW($B$6,$C$9,$C$10,$C$11,$C$12,$C$13,$B49,$Q$31,$Q$32,V$35)</f>
        <v>1346114.0100000005</v>
      </c>
      <c r="W49" s="58">
        <f t="shared" ca="1" si="21"/>
        <v>0.12098396597070042</v>
      </c>
      <c r="X49" s="58">
        <f ca="1">-_xll.DBRW($B$6,$C$9,$C$10,$C$11,$C$12,$C$13,$B49,$Q$31,$Q$32,X$35)</f>
        <v>1004077.3600000001</v>
      </c>
      <c r="Y49" s="58">
        <f t="shared" ca="1" si="22"/>
        <v>9.0242921663218331E-2</v>
      </c>
      <c r="Z49" s="58">
        <f ca="1">-_xll.DBRW($B$6,$C$9,$C$10,$C$11,$C$12,$C$13,$B49,$Q$31,$Q$32,Z$35)</f>
        <v>1635710.8200000003</v>
      </c>
      <c r="AA49" s="58">
        <f t="shared" ca="1" si="23"/>
        <v>0.1470119029403657</v>
      </c>
      <c r="AB49" s="60">
        <f t="shared" ca="1" si="24"/>
        <v>332643.03999999748</v>
      </c>
      <c r="AC49" s="57">
        <f t="shared" ca="1" si="25"/>
        <v>2.9896779866179404E-2</v>
      </c>
      <c r="AE49" s="60">
        <f t="shared" ca="1" si="26"/>
        <v>12589.970000002533</v>
      </c>
      <c r="AF49" s="60">
        <f t="shared" ca="1" si="27"/>
        <v>193752.36000000034</v>
      </c>
      <c r="AG49" s="61">
        <f t="shared" ca="1" si="28"/>
        <v>-1.6806020449871339E-2</v>
      </c>
      <c r="AH49" s="60">
        <f t="shared" ca="1" si="29"/>
        <v>215495.70999999996</v>
      </c>
      <c r="AI49" s="57">
        <f t="shared" ca="1" si="30"/>
        <v>-1.9242607738921613E-2</v>
      </c>
      <c r="AJ49" s="60">
        <f t="shared" ca="1" si="31"/>
        <v>-175156.91000000038</v>
      </c>
      <c r="AK49" s="57">
        <f t="shared" ca="1" si="32"/>
        <v>1.5861434092307503E-2</v>
      </c>
      <c r="AL49" s="60">
        <f t="shared" ca="1" si="33"/>
        <v>-60538.100000000093</v>
      </c>
      <c r="AM49" s="57">
        <f t="shared" ca="1" si="34"/>
        <v>5.5367988361179482E-3</v>
      </c>
      <c r="AN49" s="60">
        <f t="shared" ca="1" si="35"/>
        <v>45894.299999999581</v>
      </c>
      <c r="AO49" s="57">
        <f t="shared" ca="1" si="36"/>
        <v>-3.953993106610515E-3</v>
      </c>
      <c r="AP49" s="60">
        <f t="shared" ca="1" si="37"/>
        <v>-206857.38999999664</v>
      </c>
      <c r="AQ49" s="57">
        <f t="shared" ca="1" si="38"/>
        <v>-1.8604388366978059E-2</v>
      </c>
      <c r="AS49" s="58">
        <f ca="1">_xll.DBRW($B$6,$C$9,$C$10,$C$11,$C$12,$C$13,$B49,$AS$31,$AS$32,AS$35)</f>
        <v>11099652.59</v>
      </c>
      <c r="AT49" s="58">
        <f ca="1">-_xll.DBRW($B$6,$C$9,$C$10,$C$11,$C$12,$C$13,$B49,$AS$31,$AS$32,AT$35)</f>
        <v>6045915.21</v>
      </c>
      <c r="AU49" s="58">
        <f t="shared" ca="1" si="39"/>
        <v>0.54469409388965384</v>
      </c>
      <c r="AV49" s="58">
        <f ca="1">-_xll.DBRW($B$6,$C$9,$C$10,$C$11,$C$12,$C$13,$B49,$AS$31,$AS$32,AV$35)</f>
        <v>921676.96999999974</v>
      </c>
      <c r="AW49" s="58">
        <f t="shared" ca="1" si="40"/>
        <v>8.3036560155978698E-2</v>
      </c>
      <c r="AX49" s="58">
        <f ca="1">-_xll.DBRW($B$6,$C$9,$C$10,$C$11,$C$12,$C$13,$B49,$AS$31,$AS$32,AX$35)</f>
        <v>1333884.9099999999</v>
      </c>
      <c r="AY49" s="58">
        <f t="shared" ca="1" si="41"/>
        <v>0.12017357292801539</v>
      </c>
      <c r="AZ49" s="58">
        <f ca="1">-_xll.DBRW($B$6,$C$9,$C$10,$C$11,$C$12,$C$13,$B49,$AS$31,$AS$32,AZ$35)</f>
        <v>935433.22</v>
      </c>
      <c r="BA49" s="58">
        <f t="shared" ca="1" si="42"/>
        <v>8.4275900746907967E-2</v>
      </c>
      <c r="BB49" s="58">
        <f ca="1">-_xll.DBRW($B$6,$C$9,$C$10,$C$11,$C$12,$C$13,$B49,$AS$31,$AS$32,BB$35)</f>
        <v>1712532.31</v>
      </c>
      <c r="BC49" s="58">
        <f t="shared" ca="1" si="43"/>
        <v>0.15428701899579003</v>
      </c>
      <c r="BD49" s="60">
        <f t="shared" ca="1" si="44"/>
        <v>150209.96999999997</v>
      </c>
      <c r="BE49" s="57">
        <f t="shared" ca="1" si="45"/>
        <v>1.3532853283653987E-2</v>
      </c>
      <c r="BG49" s="60">
        <f t="shared" ca="1" si="46"/>
        <v>39320.940000001341</v>
      </c>
      <c r="BH49" s="60">
        <f t="shared" ca="1" si="47"/>
        <v>-63121.679999999702</v>
      </c>
      <c r="BI49" s="57">
        <f t="shared" ca="1" si="48"/>
        <v>7.5895291030635414E-3</v>
      </c>
      <c r="BJ49" s="60">
        <f t="shared" ca="1" si="49"/>
        <v>312615.90000000014</v>
      </c>
      <c r="BK49" s="57">
        <f t="shared" ca="1" si="50"/>
        <v>-2.7771932805760097E-2</v>
      </c>
      <c r="BL49" s="60">
        <f t="shared" ca="1" si="51"/>
        <v>-162927.80999999982</v>
      </c>
      <c r="BM49" s="57">
        <f t="shared" ca="1" si="52"/>
        <v>1.5051041049622474E-2</v>
      </c>
      <c r="BN49" s="60">
        <f t="shared" ca="1" si="53"/>
        <v>8106.0400000000373</v>
      </c>
      <c r="BO49" s="57">
        <f t="shared" ca="1" si="54"/>
        <v>-4.3022208019241615E-4</v>
      </c>
      <c r="BP49" s="60">
        <f t="shared" ca="1" si="55"/>
        <v>-30927.190000000177</v>
      </c>
      <c r="BQ49" s="57">
        <f t="shared" ca="1" si="56"/>
        <v>3.321122948813815E-3</v>
      </c>
      <c r="BR49" s="60">
        <f t="shared" ca="1" si="57"/>
        <v>-24424.319999999134</v>
      </c>
      <c r="BS49" s="57">
        <f t="shared" ca="1" si="58"/>
        <v>-2.2404617844526391E-3</v>
      </c>
      <c r="BT49" s="53" t="str">
        <f t="shared" si="59"/>
        <v>Ijsselmond</v>
      </c>
      <c r="BV49" s="60">
        <f t="shared" ca="1" si="60"/>
        <v>-187201.81693575531</v>
      </c>
      <c r="BW49" s="60">
        <f t="shared" ca="1" si="61"/>
        <v>6169995.3469357556</v>
      </c>
      <c r="BX49" s="60">
        <f t="shared" ca="1" si="62"/>
        <v>-214342.89825202106</v>
      </c>
      <c r="BY49" s="60">
        <f t="shared" ca="1" si="63"/>
        <v>1448635.7682520209</v>
      </c>
      <c r="BZ49" s="60">
        <f t="shared" ca="1" si="64"/>
        <v>176680.09450205276</v>
      </c>
      <c r="CA49" s="60">
        <f t="shared" ca="1" si="65"/>
        <v>994277.00549794734</v>
      </c>
      <c r="CB49" s="60">
        <f t="shared" ca="1" si="66"/>
        <v>61674.255676452653</v>
      </c>
      <c r="CC49" s="60">
        <f t="shared" ca="1" si="67"/>
        <v>881865.00432354736</v>
      </c>
      <c r="CD49" s="60">
        <f t="shared" ca="1" si="68"/>
        <v>-44043.424552337034</v>
      </c>
      <c r="CE49" s="60">
        <f t="shared" ca="1" si="69"/>
        <v>1725648.5445523369</v>
      </c>
      <c r="CG49" s="60">
        <f t="shared" ca="1" si="70"/>
        <v>84539.563784189522</v>
      </c>
      <c r="CH49" s="60">
        <f t="shared" ca="1" si="71"/>
        <v>5898253.9662158107</v>
      </c>
      <c r="CI49" s="60">
        <f t="shared" ca="1" si="72"/>
        <v>-309350.82440030039</v>
      </c>
      <c r="CJ49" s="60">
        <f t="shared" ca="1" si="73"/>
        <v>1543643.6944003003</v>
      </c>
      <c r="CK49" s="60">
        <f t="shared" ca="1" si="74"/>
        <v>167653.14785068808</v>
      </c>
      <c r="CL49" s="60">
        <f t="shared" ca="1" si="75"/>
        <v>1003303.952149312</v>
      </c>
      <c r="CM49" s="60">
        <f t="shared" ca="1" si="76"/>
        <v>-4792.2323632847983</v>
      </c>
      <c r="CN49" s="60">
        <f t="shared" ca="1" si="77"/>
        <v>948331.49236328481</v>
      </c>
      <c r="CO49" s="60">
        <f t="shared" ca="1" si="78"/>
        <v>36993.900616712635</v>
      </c>
      <c r="CP49" s="60">
        <f t="shared" ca="1" si="79"/>
        <v>1644611.2193832872</v>
      </c>
    </row>
    <row r="50" spans="1:94">
      <c r="A50" t="str">
        <f ca="1">IF(_xll.TM1RPTELISCONSOLIDATED($B$6,$B50),IF(_xll.TM1RPTELLEV($B$11,$B50)&lt;=3,_xll.TM1RPTELLEV($B$11,$B50),"D"),"N")</f>
        <v>N</v>
      </c>
      <c r="B50" s="56" t="s">
        <v>114</v>
      </c>
      <c r="C50" s="98">
        <f ca="1">_xll.DBRW($B$6,$C$9,$C$10,$C$11,$C$12,$C$13,$B50,$C$31,$C$32,C$35)</f>
        <v>5967303.96</v>
      </c>
      <c r="D50" s="98">
        <f ca="1">-_xll.DBRW($B$6,$C$9,$C$10,$C$11,$C$12,$C$13,$B50,$C$31,$C$32,D$35)</f>
        <v>1108843.1599999999</v>
      </c>
      <c r="E50" s="98">
        <f t="shared" ca="1" si="12"/>
        <v>0.18581978853981487</v>
      </c>
      <c r="F50" s="98">
        <f ca="1">-_xll.DBRW($B$6,$C$9,$C$10,$C$11,$C$12,$C$13,$B50,$C$31,$C$32,F$35)</f>
        <v>911823.13000000024</v>
      </c>
      <c r="G50" s="98">
        <f t="shared" ca="1" si="13"/>
        <v>0.15280319824700203</v>
      </c>
      <c r="H50" s="98">
        <f ca="1">-_xll.DBRW($B$6,$C$9,$C$10,$C$11,$C$12,$C$13,$B50,$C$31,$C$32,H$35)</f>
        <v>203466.14</v>
      </c>
      <c r="I50" s="98">
        <f t="shared" ca="1" si="14"/>
        <v>3.4096828544996731E-2</v>
      </c>
      <c r="J50" s="98">
        <f ca="1">-_xll.DBRW($B$6,$C$9,$C$10,$C$11,$C$12,$C$13,$B50,$C$31,$C$32,J$35)</f>
        <v>410737.20999999996</v>
      </c>
      <c r="K50" s="98">
        <f t="shared" ca="1" si="15"/>
        <v>6.8831286750809323E-2</v>
      </c>
      <c r="L50" s="98">
        <f ca="1">-_xll.DBRW($B$6,$C$9,$C$10,$C$11,$C$12,$C$13,$B50,$C$31,$C$32,L$35)</f>
        <v>1413822.18</v>
      </c>
      <c r="M50" s="98">
        <f t="shared" ca="1" si="16"/>
        <v>0.23692813194654155</v>
      </c>
      <c r="N50" s="60">
        <f t="shared" ca="1" si="17"/>
        <v>1918612.1399999994</v>
      </c>
      <c r="O50" s="57">
        <f t="shared" ca="1" si="18"/>
        <v>0.3215207659708354</v>
      </c>
      <c r="Q50" s="58">
        <f ca="1">_xll.DBRW($B$6,$C$9,$C$10,$C$11,$C$12,$C$13,$B50,$Q$31,$Q$32,Q$35)</f>
        <v>6224840.5600000005</v>
      </c>
      <c r="R50" s="58">
        <f ca="1">-_xll.DBRW($B$6,$C$9,$C$10,$C$11,$C$12,$C$13,$B50,$Q$31,$Q$32,R$35)</f>
        <v>1093290.1299999997</v>
      </c>
      <c r="S50" s="58">
        <f t="shared" ca="1" si="19"/>
        <v>0.17563343501925768</v>
      </c>
      <c r="T50" s="58">
        <f ca="1">-_xll.DBRW($B$6,$C$9,$C$10,$C$11,$C$12,$C$13,$B50,$Q$31,$Q$32,T$35)</f>
        <v>1024540.9600000001</v>
      </c>
      <c r="U50" s="58">
        <f t="shared" ca="1" si="20"/>
        <v>0.16458910876907665</v>
      </c>
      <c r="V50" s="58">
        <f ca="1">-_xll.DBRW($B$6,$C$9,$C$10,$C$11,$C$12,$C$13,$B50,$Q$31,$Q$32,V$35)</f>
        <v>269965.68</v>
      </c>
      <c r="W50" s="58">
        <f t="shared" ca="1" si="21"/>
        <v>4.336909152898849E-2</v>
      </c>
      <c r="X50" s="58">
        <f ca="1">-_xll.DBRW($B$6,$C$9,$C$10,$C$11,$C$12,$C$13,$B50,$Q$31,$Q$32,X$35)</f>
        <v>410856</v>
      </c>
      <c r="Y50" s="58">
        <f t="shared" ca="1" si="22"/>
        <v>6.600265437160048E-2</v>
      </c>
      <c r="Z50" s="58">
        <f ca="1">-_xll.DBRW($B$6,$C$9,$C$10,$C$11,$C$12,$C$13,$B50,$Q$31,$Q$32,Z$35)</f>
        <v>1390676.97</v>
      </c>
      <c r="AA50" s="58">
        <f t="shared" ca="1" si="23"/>
        <v>0.22340764499838048</v>
      </c>
      <c r="AB50" s="60">
        <f t="shared" ca="1" si="24"/>
        <v>2035510.8200000005</v>
      </c>
      <c r="AC50" s="57">
        <f t="shared" ca="1" si="25"/>
        <v>0.32699806531269621</v>
      </c>
      <c r="AE50" s="60">
        <f t="shared" ca="1" si="26"/>
        <v>-257536.60000000056</v>
      </c>
      <c r="AF50" s="60">
        <f t="shared" ca="1" si="27"/>
        <v>15553.030000000261</v>
      </c>
      <c r="AG50" s="61">
        <f t="shared" ca="1" si="28"/>
        <v>-1.018635352055719E-2</v>
      </c>
      <c r="AH50" s="60">
        <f t="shared" ca="1" si="29"/>
        <v>-112717.82999999984</v>
      </c>
      <c r="AI50" s="57">
        <f t="shared" ca="1" si="30"/>
        <v>1.1785910522074616E-2</v>
      </c>
      <c r="AJ50" s="60">
        <f t="shared" ca="1" si="31"/>
        <v>-66499.539999999979</v>
      </c>
      <c r="AK50" s="57">
        <f t="shared" ca="1" si="32"/>
        <v>9.2722629839917595E-3</v>
      </c>
      <c r="AL50" s="60">
        <f t="shared" ca="1" si="33"/>
        <v>-118.79000000003725</v>
      </c>
      <c r="AM50" s="57">
        <f t="shared" ca="1" si="34"/>
        <v>-2.8286323792088425E-3</v>
      </c>
      <c r="AN50" s="60">
        <f t="shared" ca="1" si="35"/>
        <v>23145.209999999963</v>
      </c>
      <c r="AO50" s="57">
        <f t="shared" ca="1" si="36"/>
        <v>-1.3520486948161076E-2</v>
      </c>
      <c r="AP50" s="60">
        <f t="shared" ca="1" si="37"/>
        <v>-116898.6800000011</v>
      </c>
      <c r="AQ50" s="57">
        <f t="shared" ca="1" si="38"/>
        <v>-5.4772993418608085E-3</v>
      </c>
      <c r="AS50" s="58">
        <f ca="1">_xll.DBRW($B$6,$C$9,$C$10,$C$11,$C$12,$C$13,$B50,$AS$31,$AS$32,AS$35)</f>
        <v>5841471.5800000001</v>
      </c>
      <c r="AT50" s="58">
        <f ca="1">-_xll.DBRW($B$6,$C$9,$C$10,$C$11,$C$12,$C$13,$B50,$AS$31,$AS$32,AT$35)</f>
        <v>1070968.73</v>
      </c>
      <c r="AU50" s="58">
        <f t="shared" ca="1" si="39"/>
        <v>0.18333885825393334</v>
      </c>
      <c r="AV50" s="58">
        <f ca="1">-_xll.DBRW($B$6,$C$9,$C$10,$C$11,$C$12,$C$13,$B50,$AS$31,$AS$32,AV$35)</f>
        <v>817686.27</v>
      </c>
      <c r="AW50" s="58">
        <f t="shared" ca="1" si="40"/>
        <v>0.13997949982322777</v>
      </c>
      <c r="AX50" s="58">
        <f ca="1">-_xll.DBRW($B$6,$C$9,$C$10,$C$11,$C$12,$C$13,$B50,$AS$31,$AS$32,AX$35)</f>
        <v>259133.88</v>
      </c>
      <c r="AY50" s="58">
        <f t="shared" ca="1" si="41"/>
        <v>4.4361061498137087E-2</v>
      </c>
      <c r="AZ50" s="58">
        <f ca="1">-_xll.DBRW($B$6,$C$9,$C$10,$C$11,$C$12,$C$13,$B50,$AS$31,$AS$32,AZ$35)</f>
        <v>410414.07000000007</v>
      </c>
      <c r="BA50" s="58">
        <f t="shared" ca="1" si="42"/>
        <v>7.025867786555251E-2</v>
      </c>
      <c r="BB50" s="58">
        <f ca="1">-_xll.DBRW($B$6,$C$9,$C$10,$C$11,$C$12,$C$13,$B50,$AS$31,$AS$32,BB$35)</f>
        <v>1242341.51</v>
      </c>
      <c r="BC50" s="58">
        <f t="shared" ca="1" si="43"/>
        <v>0.21267611987594401</v>
      </c>
      <c r="BD50" s="60">
        <f t="shared" ca="1" si="44"/>
        <v>2040927.1199999999</v>
      </c>
      <c r="BE50" s="57">
        <f t="shared" ca="1" si="45"/>
        <v>0.3493857826832053</v>
      </c>
      <c r="BG50" s="60">
        <f t="shared" ca="1" si="46"/>
        <v>125832.37999999989</v>
      </c>
      <c r="BH50" s="60">
        <f t="shared" ca="1" si="47"/>
        <v>37874.429999999935</v>
      </c>
      <c r="BI50" s="57">
        <f t="shared" ca="1" si="48"/>
        <v>-2.480930285881533E-3</v>
      </c>
      <c r="BJ50" s="60">
        <f t="shared" ca="1" si="49"/>
        <v>94136.860000000219</v>
      </c>
      <c r="BK50" s="57">
        <f t="shared" ca="1" si="50"/>
        <v>-1.282369842377426E-2</v>
      </c>
      <c r="BL50" s="60">
        <f t="shared" ca="1" si="51"/>
        <v>-55667.739999999991</v>
      </c>
      <c r="BM50" s="57">
        <f t="shared" ca="1" si="52"/>
        <v>1.0264232953140356E-2</v>
      </c>
      <c r="BN50" s="60">
        <f t="shared" ca="1" si="53"/>
        <v>323.13999999989755</v>
      </c>
      <c r="BO50" s="57">
        <f t="shared" ca="1" si="54"/>
        <v>1.4273911147431873E-3</v>
      </c>
      <c r="BP50" s="60">
        <f t="shared" ca="1" si="55"/>
        <v>171480.66999999993</v>
      </c>
      <c r="BQ50" s="57">
        <f t="shared" ca="1" si="56"/>
        <v>-2.4252012070597545E-2</v>
      </c>
      <c r="BR50" s="60">
        <f t="shared" ca="1" si="57"/>
        <v>-122314.98000000045</v>
      </c>
      <c r="BS50" s="57">
        <f t="shared" ca="1" si="58"/>
        <v>-2.7865016712369906E-2</v>
      </c>
      <c r="BT50" s="53" t="str">
        <f t="shared" si="59"/>
        <v>Valleilijn</v>
      </c>
      <c r="BV50" s="60">
        <f t="shared" ca="1" si="60"/>
        <v>-60785.067701180931</v>
      </c>
      <c r="BW50" s="60">
        <f t="shared" ca="1" si="61"/>
        <v>1169628.2277011808</v>
      </c>
      <c r="BX50" s="60">
        <f t="shared" ca="1" si="62"/>
        <v>70330.110530581558</v>
      </c>
      <c r="BY50" s="60">
        <f t="shared" ca="1" si="63"/>
        <v>841493.01946941868</v>
      </c>
      <c r="BZ50" s="60">
        <f t="shared" ca="1" si="64"/>
        <v>55330.411622535466</v>
      </c>
      <c r="CA50" s="60">
        <f t="shared" ca="1" si="65"/>
        <v>148135.72837746455</v>
      </c>
      <c r="CB50" s="60">
        <f t="shared" ca="1" si="66"/>
        <v>-16879.309197837079</v>
      </c>
      <c r="CC50" s="60">
        <f t="shared" ca="1" si="67"/>
        <v>427616.51919783704</v>
      </c>
      <c r="CD50" s="60">
        <f t="shared" ca="1" si="68"/>
        <v>-80680.855306889862</v>
      </c>
      <c r="CE50" s="60">
        <f t="shared" ca="1" si="69"/>
        <v>1494503.0353068898</v>
      </c>
      <c r="CG50" s="60">
        <f t="shared" ca="1" si="70"/>
        <v>-14804.465119424742</v>
      </c>
      <c r="CH50" s="60">
        <f t="shared" ca="1" si="71"/>
        <v>1123647.6251194247</v>
      </c>
      <c r="CI50" s="60">
        <f t="shared" ca="1" si="72"/>
        <v>-76522.906386033865</v>
      </c>
      <c r="CJ50" s="60">
        <f t="shared" ca="1" si="73"/>
        <v>988346.0363860341</v>
      </c>
      <c r="CK50" s="60">
        <f t="shared" ca="1" si="74"/>
        <v>61249.79794763698</v>
      </c>
      <c r="CL50" s="60">
        <f t="shared" ca="1" si="75"/>
        <v>142216.34205236303</v>
      </c>
      <c r="CM50" s="60">
        <f t="shared" ca="1" si="76"/>
        <v>8517.6766514758929</v>
      </c>
      <c r="CN50" s="60">
        <f t="shared" ca="1" si="77"/>
        <v>402219.53334852407</v>
      </c>
      <c r="CO50" s="60">
        <f t="shared" ca="1" si="78"/>
        <v>-144719.12766684452</v>
      </c>
      <c r="CP50" s="60">
        <f t="shared" ca="1" si="79"/>
        <v>1558541.3076668445</v>
      </c>
    </row>
  </sheetData>
  <mergeCells count="9">
    <mergeCell ref="Q2:AC2"/>
    <mergeCell ref="AE2:AQ2"/>
    <mergeCell ref="AS2:BE2"/>
    <mergeCell ref="BG2:BS2"/>
    <mergeCell ref="C33:O33"/>
    <mergeCell ref="Q33:AC33"/>
    <mergeCell ref="AE33:AQ33"/>
    <mergeCell ref="AS33:BE33"/>
    <mergeCell ref="BG33:BS33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A1:A12"/>
  <sheetViews>
    <sheetView workbookViewId="0"/>
  </sheetViews>
  <sheetFormatPr baseColWidth="10" defaultRowHeight="15"/>
  <sheetData>
    <row r="1" spans="1:1">
      <c r="A1" t="s">
        <v>73</v>
      </c>
    </row>
    <row r="2" spans="1:1">
      <c r="A2" t="s">
        <v>74</v>
      </c>
    </row>
    <row r="3" spans="1:1">
      <c r="A3" t="s">
        <v>75</v>
      </c>
    </row>
    <row r="4" spans="1:1">
      <c r="A4" t="s">
        <v>76</v>
      </c>
    </row>
    <row r="5" spans="1:1">
      <c r="A5" t="s">
        <v>77</v>
      </c>
    </row>
    <row r="6" spans="1:1">
      <c r="A6" t="s">
        <v>78</v>
      </c>
    </row>
    <row r="7" spans="1:1">
      <c r="A7" t="s">
        <v>79</v>
      </c>
    </row>
    <row r="8" spans="1:1">
      <c r="A8" t="s">
        <v>80</v>
      </c>
    </row>
    <row r="9" spans="1:1">
      <c r="A9" t="s">
        <v>81</v>
      </c>
    </row>
    <row r="10" spans="1:1">
      <c r="A10" t="s">
        <v>82</v>
      </c>
    </row>
    <row r="11" spans="1:1">
      <c r="A11" t="s">
        <v>83</v>
      </c>
    </row>
    <row r="12" spans="1:1">
      <c r="A12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26</vt:i4>
      </vt:variant>
      <vt:variant>
        <vt:lpstr>Plages nommées</vt:lpstr>
      </vt:variant>
      <vt:variant>
        <vt:i4>49</vt:i4>
      </vt:variant>
    </vt:vector>
  </HeadingPairs>
  <TitlesOfParts>
    <vt:vector size="75" baseType="lpstr">
      <vt:lpstr>Index</vt:lpstr>
      <vt:lpstr>EXPORT_TITLE</vt:lpstr>
      <vt:lpstr>EXPORT_GM_BUD</vt:lpstr>
      <vt:lpstr>EXPORT_GM_N-1</vt:lpstr>
      <vt:lpstr>EXPORT_WORST_1_TITLE</vt:lpstr>
      <vt:lpstr>EXPORT_WORST_1</vt:lpstr>
      <vt:lpstr>EXPORT_WORST_2_TITLE</vt:lpstr>
      <vt:lpstr>EXPORT_WORST_2</vt:lpstr>
      <vt:lpstr>EXPORT_WORST_3_TITLE</vt:lpstr>
      <vt:lpstr>EXPORT_WORST_3</vt:lpstr>
      <vt:lpstr>EXPORT_WORST_4_TITLE</vt:lpstr>
      <vt:lpstr>EXPORT_WORST_4</vt:lpstr>
      <vt:lpstr>EXPORT_WORST_5_TITLE</vt:lpstr>
      <vt:lpstr>EXPORT_WORST_5</vt:lpstr>
      <vt:lpstr>EXPORT_BEST_1_TITLE</vt:lpstr>
      <vt:lpstr>EXPORT_BEST_1</vt:lpstr>
      <vt:lpstr>EXPORT_BEST_2_TITLE</vt:lpstr>
      <vt:lpstr>EXPORT_BEST_2</vt:lpstr>
      <vt:lpstr>EXPORT_BEST_3_TITLE</vt:lpstr>
      <vt:lpstr>EXPORT_BEST_3</vt:lpstr>
      <vt:lpstr>EXPORT_BEST_4_TITLE</vt:lpstr>
      <vt:lpstr>EXPORT_BEST_4</vt:lpstr>
      <vt:lpstr>EXPORT_BEST_5_TITLE</vt:lpstr>
      <vt:lpstr>EXPORT_BEST_5</vt:lpstr>
      <vt:lpstr>DATA_01</vt:lpstr>
      <vt:lpstr>{PL}PickLst</vt:lpstr>
      <vt:lpstr>ActualMonth</vt:lpstr>
      <vt:lpstr>ActualYear</vt:lpstr>
      <vt:lpstr>EXPORT_BEST_1!EXPORT_RANGE</vt:lpstr>
      <vt:lpstr>EXPORT_BEST_1_TITLE!EXPORT_RANGE</vt:lpstr>
      <vt:lpstr>EXPORT_BEST_2!EXPORT_RANGE</vt:lpstr>
      <vt:lpstr>EXPORT_BEST_2_TITLE!EXPORT_RANGE</vt:lpstr>
      <vt:lpstr>EXPORT_BEST_3!EXPORT_RANGE</vt:lpstr>
      <vt:lpstr>EXPORT_BEST_3_TITLE!EXPORT_RANGE</vt:lpstr>
      <vt:lpstr>EXPORT_BEST_4!EXPORT_RANGE</vt:lpstr>
      <vt:lpstr>EXPORT_BEST_4_TITLE!EXPORT_RANGE</vt:lpstr>
      <vt:lpstr>EXPORT_BEST_5!EXPORT_RANGE</vt:lpstr>
      <vt:lpstr>EXPORT_BEST_5_TITLE!EXPORT_RANGE</vt:lpstr>
      <vt:lpstr>EXPORT_GM_BUD!EXPORT_RANGE</vt:lpstr>
      <vt:lpstr>'EXPORT_GM_N-1'!EXPORT_RANGE</vt:lpstr>
      <vt:lpstr>EXPORT_TITLE!EXPORT_RANGE</vt:lpstr>
      <vt:lpstr>EXPORT_WORST_1!EXPORT_RANGE</vt:lpstr>
      <vt:lpstr>EXPORT_WORST_1_TITLE!EXPORT_RANGE</vt:lpstr>
      <vt:lpstr>EXPORT_WORST_2!EXPORT_RANGE</vt:lpstr>
      <vt:lpstr>EXPORT_WORST_2_TITLE!EXPORT_RANGE</vt:lpstr>
      <vt:lpstr>EXPORT_WORST_3!EXPORT_RANGE</vt:lpstr>
      <vt:lpstr>EXPORT_WORST_3_TITLE!EXPORT_RANGE</vt:lpstr>
      <vt:lpstr>EXPORT_WORST_4!EXPORT_RANGE</vt:lpstr>
      <vt:lpstr>EXPORT_WORST_4_TITLE!EXPORT_RANGE</vt:lpstr>
      <vt:lpstr>EXPORT_WORST_5!EXPORT_RANGE</vt:lpstr>
      <vt:lpstr>EXPORT_WORST_5_TITLE!EXPORT_RANGE</vt:lpstr>
      <vt:lpstr>IDX_ACTIVITY</vt:lpstr>
      <vt:lpstr>IDX_CURRENCY</vt:lpstr>
      <vt:lpstr>IDX_DATE</vt:lpstr>
      <vt:lpstr>IDX_DEFAULT_LANG</vt:lpstr>
      <vt:lpstr>IDX_LANG</vt:lpstr>
      <vt:lpstr>IDX_LANG_CHOICE</vt:lpstr>
      <vt:lpstr>IDX_MAN_ORG</vt:lpstr>
      <vt:lpstr>IDX_PERIOD</vt:lpstr>
      <vt:lpstr>IDX_PERIOD_COMP_N_1</vt:lpstr>
      <vt:lpstr>IDX_PERIOD_COMP_N_2</vt:lpstr>
      <vt:lpstr>IDX_PERIOD_COMP1</vt:lpstr>
      <vt:lpstr>IDX_PERIOD_COMP2</vt:lpstr>
      <vt:lpstr>IDX_PHASE</vt:lpstr>
      <vt:lpstr>IDX_PHASE_COMP1</vt:lpstr>
      <vt:lpstr>IDX_PHASE_COMP2</vt:lpstr>
      <vt:lpstr>IDX_SORT</vt:lpstr>
      <vt:lpstr>LIST_PHASES</vt:lpstr>
      <vt:lpstr>LIST_YEARS</vt:lpstr>
      <vt:lpstr>Index!Print_Area</vt:lpstr>
      <vt:lpstr>Server</vt:lpstr>
      <vt:lpstr>DATA_01!TM1RPTDATARNG1</vt:lpstr>
      <vt:lpstr>DATA_01!TM1RPTFMTIDCOL</vt:lpstr>
      <vt:lpstr>DATA_01!TM1RPTFMTRNG</vt:lpstr>
      <vt:lpstr>xServer</vt:lpstr>
    </vt:vector>
  </TitlesOfParts>
  <Company>Veolia Transport - Transdev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FERNANDES, Miguel</dc:creator>
  <cp:lastModifiedBy>TABOUMENT, Bruno</cp:lastModifiedBy>
  <dcterms:created xsi:type="dcterms:W3CDTF">2015-07-27T12:32:29Z</dcterms:created>
  <dcterms:modified xsi:type="dcterms:W3CDTF">2016-10-05T16:42:56Z</dcterms:modified>
</cp:coreProperties>
</file>