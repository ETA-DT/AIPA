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172E4E1F-E5EF-0DF4-AAB5-FFAA808CBF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ntmariotte\Downloads\Fichiers Checks techniques LTP\"/>
    </mc:Choice>
  </mc:AlternateContent>
  <xr:revisionPtr revIDLastSave="0" documentId="8_{464E3F29-861A-4746-A3F0-FC241D7C130F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ontext" sheetId="1" r:id="rId1"/>
    <sheet name="Restitution DIV" sheetId="3" r:id="rId2"/>
    <sheet name="Envoi des données DIV" sheetId="4" r:id="rId3"/>
  </sheets>
  <definedNames>
    <definedName name="_Order1" hidden="1">255</definedName>
    <definedName name="_Order2" hidden="1">255</definedName>
    <definedName name="Activity">Context!$E$7</definedName>
    <definedName name="Cube">Context!$E$5</definedName>
    <definedName name="Currency">Context!$E$9</definedName>
    <definedName name="Current_LTP">Context!$E$18</definedName>
    <definedName name="Flag">'Envoi des données DIV'!$E$3</definedName>
    <definedName name="ID" localSheetId="0" hidden="1">"b0d07ef8-b946-4f91-a8ab-59d5da7b3ba9"</definedName>
    <definedName name="ID" localSheetId="2" hidden="1">"0cf6cbd9-dcef-4c11-a138-93625bad0a51"</definedName>
    <definedName name="ID" localSheetId="1" hidden="1">"1b784097-b63e-4b21-9d47-908bdea6af0f"</definedName>
    <definedName name="Language">Context!$E$13</definedName>
    <definedName name="LTP_Components">Context!$E$11</definedName>
    <definedName name="LY_LTP">Context!$E$23</definedName>
    <definedName name="n">Context!$H$20</definedName>
    <definedName name="TM1REBUILDOPTION">0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C9" i="3"/>
  <c r="D9" i="3" s="1"/>
  <c r="E9" i="3" s="1"/>
  <c r="F9" i="3" s="1"/>
  <c r="G9" i="3" s="1"/>
  <c r="H9" i="3" s="1"/>
  <c r="I9" i="3" s="1"/>
  <c r="L9" i="3"/>
  <c r="M9" i="3" s="1"/>
  <c r="N9" i="3" s="1"/>
  <c r="O9" i="3" s="1"/>
  <c r="P9" i="3" s="1"/>
  <c r="Q9" i="3" s="1"/>
  <c r="R9" i="3" s="1"/>
  <c r="U9" i="3"/>
  <c r="V9" i="3"/>
  <c r="W9" i="3" s="1"/>
  <c r="X9" i="3" s="1"/>
  <c r="Y9" i="3" s="1"/>
  <c r="Z9" i="3" s="1"/>
  <c r="AA9" i="3" s="1"/>
  <c r="AD9" i="3"/>
  <c r="AE9" i="3"/>
  <c r="AF9" i="3" s="1"/>
  <c r="AG9" i="3" s="1"/>
  <c r="AH9" i="3" s="1"/>
  <c r="AI9" i="3" s="1"/>
  <c r="AJ9" i="3" s="1"/>
  <c r="B1" i="4"/>
  <c r="E7" i="1"/>
  <c r="B2" i="4"/>
  <c r="E9" i="1"/>
  <c r="B2" i="3"/>
  <c r="B3" i="3"/>
  <c r="E11" i="1"/>
  <c r="E23" i="1"/>
  <c r="E18" i="1"/>
  <c r="B6" i="3" l="1"/>
  <c r="H20" i="1"/>
  <c r="N20" i="1" s="1"/>
  <c r="N21" i="1" s="1"/>
  <c r="I10" i="3" s="1"/>
  <c r="B6" i="4"/>
  <c r="B5" i="3"/>
  <c r="I37" i="3"/>
  <c r="I36" i="3"/>
  <c r="I21" i="3"/>
  <c r="I20" i="3"/>
  <c r="I35" i="3"/>
  <c r="I14" i="3"/>
  <c r="I13" i="3"/>
  <c r="I26" i="3"/>
  <c r="I25" i="3"/>
  <c r="I24" i="3"/>
  <c r="I39" i="3"/>
  <c r="I23" i="3"/>
  <c r="I29" i="3"/>
  <c r="I38" i="3"/>
  <c r="I22" i="3"/>
  <c r="I40" i="3"/>
  <c r="I18" i="3"/>
  <c r="I19" i="3"/>
  <c r="I17" i="3"/>
  <c r="I32" i="3"/>
  <c r="I34" i="3"/>
  <c r="I33" i="3"/>
  <c r="I16" i="3"/>
  <c r="I31" i="3"/>
  <c r="I15" i="3"/>
  <c r="I42" i="3"/>
  <c r="I30" i="3"/>
  <c r="I28" i="3"/>
  <c r="I12" i="3"/>
  <c r="I52" i="3"/>
  <c r="I27" i="3"/>
  <c r="I11" i="3"/>
  <c r="L20" i="1" l="1"/>
  <c r="L21" i="1" s="1"/>
  <c r="H21" i="1"/>
  <c r="L10" i="3" s="1"/>
  <c r="I20" i="1"/>
  <c r="I21" i="1" s="1"/>
  <c r="M10" i="3" s="1"/>
  <c r="G20" i="1"/>
  <c r="G21" i="1" s="1"/>
  <c r="J20" i="1"/>
  <c r="J21" i="1" s="1"/>
  <c r="K20" i="1"/>
  <c r="K21" i="1" s="1"/>
  <c r="O10" i="3" s="1"/>
  <c r="I55" i="3"/>
  <c r="I46" i="3"/>
  <c r="I48" i="3" s="1"/>
  <c r="I44" i="3"/>
  <c r="R10" i="3"/>
  <c r="G8" i="4" s="1"/>
  <c r="M20" i="1"/>
  <c r="M21" i="1" s="1"/>
  <c r="H10" i="3" s="1"/>
  <c r="K10" i="3"/>
  <c r="B10" i="3"/>
  <c r="E10" i="3"/>
  <c r="N10" i="3"/>
  <c r="D10" i="3"/>
  <c r="C10" i="3"/>
  <c r="P10" i="3"/>
  <c r="G10" i="3"/>
  <c r="G23" i="3"/>
  <c r="G39" i="3"/>
  <c r="G24" i="3"/>
  <c r="G25" i="3"/>
  <c r="G40" i="3"/>
  <c r="G11" i="3"/>
  <c r="G27" i="3"/>
  <c r="G28" i="3"/>
  <c r="G29" i="3"/>
  <c r="G30" i="3"/>
  <c r="G15" i="3"/>
  <c r="G12" i="3"/>
  <c r="G13" i="3"/>
  <c r="G14" i="3"/>
  <c r="G31" i="3"/>
  <c r="G18" i="3"/>
  <c r="G34" i="3"/>
  <c r="G37" i="3"/>
  <c r="G38" i="3"/>
  <c r="G19" i="3"/>
  <c r="G35" i="3"/>
  <c r="G52" i="3"/>
  <c r="G20" i="3"/>
  <c r="G36" i="3"/>
  <c r="G21" i="3"/>
  <c r="G22" i="3"/>
  <c r="G26" i="3"/>
  <c r="G42" i="3"/>
  <c r="G16" i="3"/>
  <c r="G32" i="3"/>
  <c r="G17" i="3"/>
  <c r="G33" i="3"/>
  <c r="G11" i="4"/>
  <c r="G12" i="4"/>
  <c r="G10" i="4"/>
  <c r="K15" i="3"/>
  <c r="K31" i="3"/>
  <c r="K16" i="3"/>
  <c r="K32" i="3"/>
  <c r="K52" i="3"/>
  <c r="K42" i="3"/>
  <c r="K18" i="3"/>
  <c r="K34" i="3"/>
  <c r="K19" i="3"/>
  <c r="K35" i="3"/>
  <c r="K21" i="3"/>
  <c r="K37" i="3"/>
  <c r="K39" i="3"/>
  <c r="K20" i="3"/>
  <c r="K36" i="3"/>
  <c r="K23" i="3"/>
  <c r="K22" i="3"/>
  <c r="K38" i="3"/>
  <c r="K24" i="3"/>
  <c r="K40" i="3"/>
  <c r="K25" i="3"/>
  <c r="K26" i="3"/>
  <c r="K11" i="3"/>
  <c r="K27" i="3"/>
  <c r="K12" i="3"/>
  <c r="K28" i="3"/>
  <c r="K33" i="3"/>
  <c r="K13" i="3"/>
  <c r="K29" i="3"/>
  <c r="K14" i="3"/>
  <c r="K30" i="3"/>
  <c r="K17" i="3"/>
  <c r="E19" i="3"/>
  <c r="E35" i="3"/>
  <c r="E20" i="3"/>
  <c r="E36" i="3"/>
  <c r="E22" i="3"/>
  <c r="E38" i="3"/>
  <c r="E23" i="3"/>
  <c r="E39" i="3"/>
  <c r="E24" i="3"/>
  <c r="E25" i="3"/>
  <c r="E27" i="3"/>
  <c r="E40" i="3"/>
  <c r="E26" i="3"/>
  <c r="E11" i="3"/>
  <c r="E52" i="3"/>
  <c r="E12" i="3"/>
  <c r="E28" i="3"/>
  <c r="E42" i="3"/>
  <c r="E14" i="3"/>
  <c r="E30" i="3"/>
  <c r="E33" i="3"/>
  <c r="E21" i="3"/>
  <c r="E15" i="3"/>
  <c r="E31" i="3"/>
  <c r="E16" i="3"/>
  <c r="E32" i="3"/>
  <c r="E17" i="3"/>
  <c r="E34" i="3"/>
  <c r="E37" i="3"/>
  <c r="E18" i="3"/>
  <c r="E13" i="3"/>
  <c r="E29" i="3"/>
  <c r="N21" i="3"/>
  <c r="N37" i="3"/>
  <c r="N22" i="3"/>
  <c r="N38" i="3"/>
  <c r="N39" i="3"/>
  <c r="N24" i="3"/>
  <c r="N40" i="3"/>
  <c r="N25" i="3"/>
  <c r="N27" i="3"/>
  <c r="N13" i="3"/>
  <c r="N26" i="3"/>
  <c r="N11" i="3"/>
  <c r="N12" i="3"/>
  <c r="N28" i="3"/>
  <c r="N29" i="3"/>
  <c r="N52" i="3"/>
  <c r="N14" i="3"/>
  <c r="N30" i="3"/>
  <c r="N42" i="3"/>
  <c r="N15" i="3"/>
  <c r="N31" i="3"/>
  <c r="N16" i="3"/>
  <c r="N32" i="3"/>
  <c r="N17" i="3"/>
  <c r="N33" i="3"/>
  <c r="N18" i="3"/>
  <c r="N34" i="3"/>
  <c r="N35" i="3"/>
  <c r="N23" i="3"/>
  <c r="N19" i="3"/>
  <c r="N20" i="3"/>
  <c r="N36" i="3"/>
  <c r="D17" i="3"/>
  <c r="D33" i="3"/>
  <c r="D18" i="3"/>
  <c r="D34" i="3"/>
  <c r="D20" i="3"/>
  <c r="D36" i="3"/>
  <c r="D21" i="3"/>
  <c r="D37" i="3"/>
  <c r="D22" i="3"/>
  <c r="D24" i="3"/>
  <c r="D25" i="3"/>
  <c r="D38" i="3"/>
  <c r="D23" i="3"/>
  <c r="D39" i="3"/>
  <c r="D40" i="3"/>
  <c r="D52" i="3"/>
  <c r="D42" i="3"/>
  <c r="D26" i="3"/>
  <c r="D11" i="3"/>
  <c r="D27" i="3"/>
  <c r="D12" i="3"/>
  <c r="D28" i="3"/>
  <c r="D16" i="3"/>
  <c r="D13" i="3"/>
  <c r="D29" i="3"/>
  <c r="D14" i="3"/>
  <c r="D30" i="3"/>
  <c r="D15" i="3"/>
  <c r="D31" i="3"/>
  <c r="D32" i="3"/>
  <c r="D19" i="3"/>
  <c r="D35" i="3"/>
  <c r="M19" i="3"/>
  <c r="M35" i="3"/>
  <c r="M20" i="3"/>
  <c r="M36" i="3"/>
  <c r="M22" i="3"/>
  <c r="M38" i="3"/>
  <c r="M23" i="3"/>
  <c r="M39" i="3"/>
  <c r="M25" i="3"/>
  <c r="M24" i="3"/>
  <c r="M40" i="3"/>
  <c r="M27" i="3"/>
  <c r="M52" i="3"/>
  <c r="M26" i="3"/>
  <c r="M11" i="3"/>
  <c r="M42" i="3"/>
  <c r="M12" i="3"/>
  <c r="M28" i="3"/>
  <c r="M13" i="3"/>
  <c r="M29" i="3"/>
  <c r="M14" i="3"/>
  <c r="M30" i="3"/>
  <c r="M15" i="3"/>
  <c r="M31" i="3"/>
  <c r="M17" i="3"/>
  <c r="M16" i="3"/>
  <c r="M32" i="3"/>
  <c r="M33" i="3"/>
  <c r="M21" i="3"/>
  <c r="M18" i="3"/>
  <c r="M34" i="3"/>
  <c r="M37" i="3"/>
  <c r="L17" i="3"/>
  <c r="L33" i="3"/>
  <c r="L18" i="3"/>
  <c r="L34" i="3"/>
  <c r="L35" i="3"/>
  <c r="L20" i="3"/>
  <c r="L36" i="3"/>
  <c r="L21" i="3"/>
  <c r="L37" i="3"/>
  <c r="L39" i="3"/>
  <c r="L52" i="3"/>
  <c r="L22" i="3"/>
  <c r="L38" i="3"/>
  <c r="L23" i="3"/>
  <c r="L42" i="3"/>
  <c r="L25" i="3"/>
  <c r="L24" i="3"/>
  <c r="L40" i="3"/>
  <c r="L26" i="3"/>
  <c r="L11" i="3"/>
  <c r="L27" i="3"/>
  <c r="L12" i="3"/>
  <c r="L28" i="3"/>
  <c r="L13" i="3"/>
  <c r="L29" i="3"/>
  <c r="L19" i="3"/>
  <c r="L14" i="3"/>
  <c r="L30" i="3"/>
  <c r="L15" i="3"/>
  <c r="L31" i="3"/>
  <c r="L16" i="3"/>
  <c r="L32" i="3"/>
  <c r="O23" i="3"/>
  <c r="O39" i="3"/>
  <c r="O24" i="3"/>
  <c r="O40" i="3"/>
  <c r="O26" i="3"/>
  <c r="O11" i="3"/>
  <c r="O27" i="3"/>
  <c r="O28" i="3"/>
  <c r="O29" i="3"/>
  <c r="O15" i="3"/>
  <c r="O12" i="3"/>
  <c r="O13" i="3"/>
  <c r="O31" i="3"/>
  <c r="O14" i="3"/>
  <c r="O30" i="3"/>
  <c r="O16" i="3"/>
  <c r="O32" i="3"/>
  <c r="O17" i="3"/>
  <c r="O33" i="3"/>
  <c r="O52" i="3"/>
  <c r="O18" i="3"/>
  <c r="O34" i="3"/>
  <c r="O21" i="3"/>
  <c r="O42" i="3"/>
  <c r="O19" i="3"/>
  <c r="O35" i="3"/>
  <c r="O20" i="3"/>
  <c r="O36" i="3"/>
  <c r="O37" i="3"/>
  <c r="O25" i="3"/>
  <c r="O22" i="3"/>
  <c r="O38" i="3"/>
  <c r="R12" i="3"/>
  <c r="R28" i="3"/>
  <c r="R52" i="3"/>
  <c r="R13" i="3"/>
  <c r="R29" i="3"/>
  <c r="R42" i="3"/>
  <c r="R15" i="3"/>
  <c r="R31" i="3"/>
  <c r="R16" i="3"/>
  <c r="R32" i="3"/>
  <c r="R17" i="3"/>
  <c r="R33" i="3"/>
  <c r="R18" i="3"/>
  <c r="R36" i="3"/>
  <c r="R34" i="3"/>
  <c r="R19" i="3"/>
  <c r="R35" i="3"/>
  <c r="R20" i="3"/>
  <c r="R21" i="3"/>
  <c r="R37" i="3"/>
  <c r="R22" i="3"/>
  <c r="R38" i="3"/>
  <c r="R23" i="3"/>
  <c r="R39" i="3"/>
  <c r="R24" i="3"/>
  <c r="R40" i="3"/>
  <c r="R25" i="3"/>
  <c r="R26" i="3"/>
  <c r="R30" i="3"/>
  <c r="R11" i="3"/>
  <c r="R27" i="3"/>
  <c r="R14" i="3"/>
  <c r="C15" i="3"/>
  <c r="C31" i="3"/>
  <c r="C16" i="3"/>
  <c r="C32" i="3"/>
  <c r="C18" i="3"/>
  <c r="C34" i="3"/>
  <c r="C19" i="3"/>
  <c r="C35" i="3"/>
  <c r="C36" i="3"/>
  <c r="C37" i="3"/>
  <c r="C22" i="3"/>
  <c r="C52" i="3"/>
  <c r="C20" i="3"/>
  <c r="C21" i="3"/>
  <c r="C39" i="3"/>
  <c r="C42" i="3"/>
  <c r="C38" i="3"/>
  <c r="C23" i="3"/>
  <c r="C24" i="3"/>
  <c r="C40" i="3"/>
  <c r="C25" i="3"/>
  <c r="C26" i="3"/>
  <c r="C13" i="3"/>
  <c r="C33" i="3"/>
  <c r="C11" i="3"/>
  <c r="C27" i="3"/>
  <c r="C14" i="3"/>
  <c r="C12" i="3"/>
  <c r="C28" i="3"/>
  <c r="C29" i="3"/>
  <c r="C17" i="3"/>
  <c r="C30" i="3"/>
  <c r="B13" i="3"/>
  <c r="B29" i="3"/>
  <c r="B14" i="3"/>
  <c r="B30" i="3"/>
  <c r="B16" i="3"/>
  <c r="B32" i="3"/>
  <c r="B17" i="3"/>
  <c r="B33" i="3"/>
  <c r="B34" i="3"/>
  <c r="B19" i="3"/>
  <c r="B35" i="3"/>
  <c r="B37" i="3"/>
  <c r="B18" i="3"/>
  <c r="B36" i="3"/>
  <c r="B21" i="3"/>
  <c r="B20" i="3"/>
  <c r="B52" i="3"/>
  <c r="B42" i="3"/>
  <c r="B22" i="3"/>
  <c r="B38" i="3"/>
  <c r="B23" i="3"/>
  <c r="B39" i="3"/>
  <c r="B24" i="3"/>
  <c r="B40" i="3"/>
  <c r="B11" i="3"/>
  <c r="B28" i="3"/>
  <c r="B31" i="3"/>
  <c r="B25" i="3"/>
  <c r="B26" i="3"/>
  <c r="B27" i="3"/>
  <c r="B15" i="3"/>
  <c r="B12" i="3"/>
  <c r="P25" i="3"/>
  <c r="P26" i="3"/>
  <c r="P12" i="3"/>
  <c r="P28" i="3"/>
  <c r="P13" i="3"/>
  <c r="P29" i="3"/>
  <c r="P30" i="3"/>
  <c r="P15" i="3"/>
  <c r="P31" i="3"/>
  <c r="P14" i="3"/>
  <c r="P17" i="3"/>
  <c r="P16" i="3"/>
  <c r="P32" i="3"/>
  <c r="P33" i="3"/>
  <c r="P18" i="3"/>
  <c r="P34" i="3"/>
  <c r="P19" i="3"/>
  <c r="P35" i="3"/>
  <c r="P20" i="3"/>
  <c r="P36" i="3"/>
  <c r="P11" i="3"/>
  <c r="P21" i="3"/>
  <c r="P37" i="3"/>
  <c r="P23" i="3"/>
  <c r="P52" i="3"/>
  <c r="P22" i="3"/>
  <c r="P38" i="3"/>
  <c r="P39" i="3"/>
  <c r="P42" i="3"/>
  <c r="P24" i="3"/>
  <c r="P40" i="3"/>
  <c r="P27" i="3"/>
  <c r="H42" i="3"/>
  <c r="H25" i="3"/>
  <c r="H26" i="3"/>
  <c r="H27" i="3"/>
  <c r="H28" i="3"/>
  <c r="H12" i="3"/>
  <c r="H13" i="3"/>
  <c r="H29" i="3"/>
  <c r="H14" i="3"/>
  <c r="H30" i="3"/>
  <c r="H31" i="3"/>
  <c r="H16" i="3"/>
  <c r="H17" i="3"/>
  <c r="H15" i="3"/>
  <c r="H32" i="3"/>
  <c r="H33" i="3"/>
  <c r="H20" i="3"/>
  <c r="H36" i="3"/>
  <c r="H39" i="3"/>
  <c r="H11" i="3"/>
  <c r="H21" i="3"/>
  <c r="H37" i="3"/>
  <c r="H22" i="3"/>
  <c r="H38" i="3"/>
  <c r="H23" i="3"/>
  <c r="H24" i="3"/>
  <c r="H52" i="3"/>
  <c r="H40" i="3"/>
  <c r="H19" i="3"/>
  <c r="H34" i="3"/>
  <c r="H35" i="3"/>
  <c r="H18" i="3"/>
  <c r="Q10" i="3" l="1"/>
  <c r="AA10" i="3"/>
  <c r="F10" i="3"/>
  <c r="H55" i="3"/>
  <c r="H44" i="3"/>
  <c r="H46" i="3"/>
  <c r="H48" i="3" s="1"/>
  <c r="P44" i="3"/>
  <c r="P46" i="3"/>
  <c r="P48" i="3" s="1"/>
  <c r="P55" i="3"/>
  <c r="B48" i="3"/>
  <c r="B44" i="3"/>
  <c r="B55" i="3"/>
  <c r="C48" i="3"/>
  <c r="C44" i="3"/>
  <c r="C55" i="3"/>
  <c r="R44" i="3"/>
  <c r="R46" i="3"/>
  <c r="R48" i="3" s="1"/>
  <c r="R55" i="3"/>
  <c r="O46" i="3"/>
  <c r="O48" i="3" s="1"/>
  <c r="O55" i="3"/>
  <c r="O44" i="3"/>
  <c r="L48" i="3"/>
  <c r="L44" i="3"/>
  <c r="L55" i="3"/>
  <c r="M44" i="3"/>
  <c r="M55" i="3"/>
  <c r="M48" i="3"/>
  <c r="D55" i="3"/>
  <c r="D44" i="3"/>
  <c r="D48" i="3"/>
  <c r="N46" i="3"/>
  <c r="N48" i="3" s="1"/>
  <c r="N55" i="3"/>
  <c r="N44" i="3"/>
  <c r="E46" i="3"/>
  <c r="E48" i="3" s="1"/>
  <c r="E55" i="3"/>
  <c r="E44" i="3"/>
  <c r="K48" i="3"/>
  <c r="K44" i="3"/>
  <c r="K55" i="3"/>
  <c r="G46" i="3"/>
  <c r="G48" i="3" s="1"/>
  <c r="G55" i="3"/>
  <c r="G44" i="3"/>
  <c r="AJ10" i="3"/>
  <c r="U10" i="3"/>
  <c r="T10" i="3"/>
  <c r="V10" i="3"/>
  <c r="B8" i="4"/>
  <c r="Z10" i="3"/>
  <c r="F8" i="4"/>
  <c r="C8" i="4"/>
  <c r="W10" i="3"/>
  <c r="D8" i="4"/>
  <c r="X10" i="3"/>
  <c r="Y10" i="3"/>
  <c r="E8" i="4"/>
  <c r="Q13" i="3"/>
  <c r="Q26" i="3"/>
  <c r="Q52" i="3"/>
  <c r="Q25" i="3"/>
  <c r="Q40" i="3"/>
  <c r="Q24" i="3"/>
  <c r="Q39" i="3"/>
  <c r="Q23" i="3"/>
  <c r="Q29" i="3"/>
  <c r="Q38" i="3"/>
  <c r="Q22" i="3"/>
  <c r="Q37" i="3"/>
  <c r="Q21" i="3"/>
  <c r="Q36" i="3"/>
  <c r="Q20" i="3"/>
  <c r="Q34" i="3"/>
  <c r="Q18" i="3"/>
  <c r="Q35" i="3"/>
  <c r="Q17" i="3"/>
  <c r="Q19" i="3"/>
  <c r="Q33" i="3"/>
  <c r="Q32" i="3"/>
  <c r="Q16" i="3"/>
  <c r="Q31" i="3"/>
  <c r="Q15" i="3"/>
  <c r="Q30" i="3"/>
  <c r="Q14" i="3"/>
  <c r="Q28" i="3"/>
  <c r="Q12" i="3"/>
  <c r="Q27" i="3"/>
  <c r="Q11" i="3"/>
  <c r="Q42" i="3"/>
  <c r="AA32" i="3"/>
  <c r="AA29" i="3"/>
  <c r="AA13" i="3"/>
  <c r="AA28" i="3"/>
  <c r="AA12" i="3"/>
  <c r="AA16" i="3"/>
  <c r="AA27" i="3"/>
  <c r="AA11" i="3"/>
  <c r="AA26" i="3"/>
  <c r="AA25" i="3"/>
  <c r="AA40" i="3"/>
  <c r="AA24" i="3"/>
  <c r="AA39" i="3"/>
  <c r="AA23" i="3"/>
  <c r="AA38" i="3"/>
  <c r="AA37" i="3"/>
  <c r="AA21" i="3"/>
  <c r="AA22" i="3"/>
  <c r="AA36" i="3"/>
  <c r="AA35" i="3"/>
  <c r="AA19" i="3"/>
  <c r="AA20" i="3"/>
  <c r="AA34" i="3"/>
  <c r="AA18" i="3"/>
  <c r="AA42" i="3"/>
  <c r="AA33" i="3"/>
  <c r="AA17" i="3"/>
  <c r="AA52" i="3"/>
  <c r="AA31" i="3"/>
  <c r="AA15" i="3"/>
  <c r="AA30" i="3"/>
  <c r="AA14" i="3"/>
  <c r="F15" i="3"/>
  <c r="F31" i="3"/>
  <c r="F36" i="3"/>
  <c r="F24" i="3"/>
  <c r="F39" i="3"/>
  <c r="F19" i="3"/>
  <c r="F34" i="3"/>
  <c r="F18" i="3"/>
  <c r="F33" i="3"/>
  <c r="F17" i="3"/>
  <c r="F42" i="3"/>
  <c r="F23" i="3"/>
  <c r="F20" i="3"/>
  <c r="F35" i="3"/>
  <c r="F32" i="3"/>
  <c r="F16" i="3"/>
  <c r="F52" i="3"/>
  <c r="F30" i="3"/>
  <c r="F14" i="3"/>
  <c r="F29" i="3"/>
  <c r="F28" i="3"/>
  <c r="F12" i="3"/>
  <c r="F13" i="3"/>
  <c r="F27" i="3"/>
  <c r="F11" i="3"/>
  <c r="F26" i="3"/>
  <c r="F25" i="3"/>
  <c r="F40" i="3"/>
  <c r="F38" i="3"/>
  <c r="F22" i="3"/>
  <c r="F37" i="3"/>
  <c r="F21" i="3"/>
  <c r="W22" i="3"/>
  <c r="W38" i="3"/>
  <c r="W23" i="3"/>
  <c r="W39" i="3"/>
  <c r="W40" i="3"/>
  <c r="W25" i="3"/>
  <c r="W26" i="3"/>
  <c r="W11" i="3"/>
  <c r="W27" i="3"/>
  <c r="W12" i="3"/>
  <c r="W28" i="3"/>
  <c r="W13" i="3"/>
  <c r="W29" i="3"/>
  <c r="W14" i="3"/>
  <c r="W30" i="3"/>
  <c r="W15" i="3"/>
  <c r="W31" i="3"/>
  <c r="W16" i="3"/>
  <c r="W32" i="3"/>
  <c r="W52" i="3"/>
  <c r="W17" i="3"/>
  <c r="W33" i="3"/>
  <c r="W42" i="3"/>
  <c r="W18" i="3"/>
  <c r="W34" i="3"/>
  <c r="W19" i="3"/>
  <c r="W35" i="3"/>
  <c r="W20" i="3"/>
  <c r="W36" i="3"/>
  <c r="W21" i="3"/>
  <c r="W37" i="3"/>
  <c r="W24" i="3"/>
  <c r="F11" i="4"/>
  <c r="F12" i="4"/>
  <c r="F10" i="4"/>
  <c r="D10" i="4"/>
  <c r="D11" i="4"/>
  <c r="D12" i="4"/>
  <c r="C12" i="4"/>
  <c r="C10" i="4"/>
  <c r="C11" i="4"/>
  <c r="X24" i="3"/>
  <c r="X40" i="3"/>
  <c r="X25" i="3"/>
  <c r="X11" i="3"/>
  <c r="X27" i="3"/>
  <c r="X12" i="3"/>
  <c r="X28" i="3"/>
  <c r="X13" i="3"/>
  <c r="X29" i="3"/>
  <c r="X14" i="3"/>
  <c r="X30" i="3"/>
  <c r="X15" i="3"/>
  <c r="X31" i="3"/>
  <c r="X16" i="3"/>
  <c r="X32" i="3"/>
  <c r="X17" i="3"/>
  <c r="X33" i="3"/>
  <c r="X18" i="3"/>
  <c r="X34" i="3"/>
  <c r="X19" i="3"/>
  <c r="X35" i="3"/>
  <c r="X26" i="3"/>
  <c r="X20" i="3"/>
  <c r="X36" i="3"/>
  <c r="X52" i="3"/>
  <c r="X21" i="3"/>
  <c r="X37" i="3"/>
  <c r="X42" i="3"/>
  <c r="X22" i="3"/>
  <c r="X38" i="3"/>
  <c r="X23" i="3"/>
  <c r="X39" i="3"/>
  <c r="Y42" i="3"/>
  <c r="Y26" i="3"/>
  <c r="Y11" i="3"/>
  <c r="Y27" i="3"/>
  <c r="Y13" i="3"/>
  <c r="Y29" i="3"/>
  <c r="Y14" i="3"/>
  <c r="Y30" i="3"/>
  <c r="Y15" i="3"/>
  <c r="Y31" i="3"/>
  <c r="Y16" i="3"/>
  <c r="Y32" i="3"/>
  <c r="Y17" i="3"/>
  <c r="Y33" i="3"/>
  <c r="Y18" i="3"/>
  <c r="Y34" i="3"/>
  <c r="Y19" i="3"/>
  <c r="Y35" i="3"/>
  <c r="Y20" i="3"/>
  <c r="Y36" i="3"/>
  <c r="Y21" i="3"/>
  <c r="Y37" i="3"/>
  <c r="Y12" i="3"/>
  <c r="Y22" i="3"/>
  <c r="Y38" i="3"/>
  <c r="Y23" i="3"/>
  <c r="Y39" i="3"/>
  <c r="Y24" i="3"/>
  <c r="Y40" i="3"/>
  <c r="Y52" i="3"/>
  <c r="Y25" i="3"/>
  <c r="Y28" i="3"/>
  <c r="AJ14" i="3"/>
  <c r="AJ30" i="3"/>
  <c r="AJ15" i="3"/>
  <c r="AJ31" i="3"/>
  <c r="AJ16" i="3"/>
  <c r="AJ32" i="3"/>
  <c r="AJ17" i="3"/>
  <c r="AJ33" i="3"/>
  <c r="AJ18" i="3"/>
  <c r="AJ34" i="3"/>
  <c r="AJ19" i="3"/>
  <c r="AJ35" i="3"/>
  <c r="AJ52" i="3"/>
  <c r="AJ20" i="3"/>
  <c r="AJ36" i="3"/>
  <c r="AJ42" i="3"/>
  <c r="AJ21" i="3"/>
  <c r="AJ37" i="3"/>
  <c r="AJ22" i="3"/>
  <c r="AJ38" i="3"/>
  <c r="AJ23" i="3"/>
  <c r="AJ39" i="3"/>
  <c r="AJ24" i="3"/>
  <c r="AJ40" i="3"/>
  <c r="AJ25" i="3"/>
  <c r="AJ26" i="3"/>
  <c r="AJ11" i="3"/>
  <c r="AJ27" i="3"/>
  <c r="AJ12" i="3"/>
  <c r="AJ28" i="3"/>
  <c r="AJ13" i="3"/>
  <c r="AJ29" i="3"/>
  <c r="U18" i="3"/>
  <c r="U34" i="3"/>
  <c r="U19" i="3"/>
  <c r="U35" i="3"/>
  <c r="U20" i="3"/>
  <c r="U21" i="3"/>
  <c r="U37" i="3"/>
  <c r="U22" i="3"/>
  <c r="U38" i="3"/>
  <c r="U23" i="3"/>
  <c r="U39" i="3"/>
  <c r="U52" i="3"/>
  <c r="U24" i="3"/>
  <c r="U40" i="3"/>
  <c r="U42" i="3"/>
  <c r="U25" i="3"/>
  <c r="U26" i="3"/>
  <c r="U11" i="3"/>
  <c r="U27" i="3"/>
  <c r="U12" i="3"/>
  <c r="U28" i="3"/>
  <c r="U13" i="3"/>
  <c r="U29" i="3"/>
  <c r="U36" i="3"/>
  <c r="U14" i="3"/>
  <c r="U30" i="3"/>
  <c r="U15" i="3"/>
  <c r="U31" i="3"/>
  <c r="U16" i="3"/>
  <c r="U32" i="3"/>
  <c r="U17" i="3"/>
  <c r="U33" i="3"/>
  <c r="E11" i="4"/>
  <c r="E10" i="4"/>
  <c r="E12" i="4"/>
  <c r="T16" i="3"/>
  <c r="T32" i="3"/>
  <c r="T17" i="3"/>
  <c r="T33" i="3"/>
  <c r="T18" i="3"/>
  <c r="T34" i="3"/>
  <c r="T52" i="3"/>
  <c r="T19" i="3"/>
  <c r="T35" i="3"/>
  <c r="T42" i="3"/>
  <c r="T20" i="3"/>
  <c r="T36" i="3"/>
  <c r="T21" i="3"/>
  <c r="T37" i="3"/>
  <c r="T22" i="3"/>
  <c r="T38" i="3"/>
  <c r="T23" i="3"/>
  <c r="T39" i="3"/>
  <c r="T24" i="3"/>
  <c r="T40" i="3"/>
  <c r="T25" i="3"/>
  <c r="T26" i="3"/>
  <c r="T11" i="3"/>
  <c r="T27" i="3"/>
  <c r="T12" i="3"/>
  <c r="T28" i="3"/>
  <c r="T13" i="3"/>
  <c r="T29" i="3"/>
  <c r="T14" i="3"/>
  <c r="T30" i="3"/>
  <c r="T15" i="3"/>
  <c r="T31" i="3"/>
  <c r="V20" i="3"/>
  <c r="V36" i="3"/>
  <c r="V21" i="3"/>
  <c r="V37" i="3"/>
  <c r="V22" i="3"/>
  <c r="V23" i="3"/>
  <c r="V39" i="3"/>
  <c r="V24" i="3"/>
  <c r="V40" i="3"/>
  <c r="V25" i="3"/>
  <c r="V26" i="3"/>
  <c r="V11" i="3"/>
  <c r="V27" i="3"/>
  <c r="V12" i="3"/>
  <c r="V28" i="3"/>
  <c r="V52" i="3"/>
  <c r="V13" i="3"/>
  <c r="V29" i="3"/>
  <c r="V42" i="3"/>
  <c r="V14" i="3"/>
  <c r="V30" i="3"/>
  <c r="V15" i="3"/>
  <c r="V31" i="3"/>
  <c r="V16" i="3"/>
  <c r="V32" i="3"/>
  <c r="V17" i="3"/>
  <c r="V33" i="3"/>
  <c r="V38" i="3"/>
  <c r="V18" i="3"/>
  <c r="V34" i="3"/>
  <c r="V19" i="3"/>
  <c r="V35" i="3"/>
  <c r="Z12" i="3"/>
  <c r="Z28" i="3"/>
  <c r="Z52" i="3"/>
  <c r="Z13" i="3"/>
  <c r="Z29" i="3"/>
  <c r="Z42" i="3"/>
  <c r="Z15" i="3"/>
  <c r="Z31" i="3"/>
  <c r="Z16" i="3"/>
  <c r="Z32" i="3"/>
  <c r="Z18" i="3"/>
  <c r="Z36" i="3"/>
  <c r="Z17" i="3"/>
  <c r="Z33" i="3"/>
  <c r="Z34" i="3"/>
  <c r="Z19" i="3"/>
  <c r="Z35" i="3"/>
  <c r="Z20" i="3"/>
  <c r="Z21" i="3"/>
  <c r="Z37" i="3"/>
  <c r="Z22" i="3"/>
  <c r="Z38" i="3"/>
  <c r="Z23" i="3"/>
  <c r="Z39" i="3"/>
  <c r="Z24" i="3"/>
  <c r="Z40" i="3"/>
  <c r="Z14" i="3"/>
  <c r="Z25" i="3"/>
  <c r="Z26" i="3"/>
  <c r="Z11" i="3"/>
  <c r="Z27" i="3"/>
  <c r="Z30" i="3"/>
  <c r="B12" i="4"/>
  <c r="B11" i="4"/>
  <c r="B10" i="4"/>
  <c r="Q46" i="3" l="1"/>
  <c r="Q48" i="3" s="1"/>
  <c r="Q44" i="3"/>
  <c r="Q55" i="3"/>
  <c r="AA55" i="3"/>
  <c r="AA46" i="3"/>
  <c r="AA48" i="3" s="1"/>
  <c r="AA44" i="3"/>
  <c r="F44" i="3"/>
  <c r="F55" i="3"/>
  <c r="F46" i="3"/>
  <c r="F48" i="3" s="1"/>
  <c r="Z44" i="3"/>
  <c r="Z46" i="3"/>
  <c r="Z48" i="3" s="1"/>
  <c r="Z55" i="3"/>
  <c r="V46" i="3"/>
  <c r="V48" i="3" s="1"/>
  <c r="V55" i="3"/>
  <c r="V44" i="3"/>
  <c r="T48" i="3"/>
  <c r="T44" i="3"/>
  <c r="T55" i="3"/>
  <c r="U48" i="3"/>
  <c r="U44" i="3"/>
  <c r="U55" i="3"/>
  <c r="AJ44" i="3"/>
  <c r="AJ46" i="3"/>
  <c r="AJ48" i="3" s="1"/>
  <c r="AJ55" i="3"/>
  <c r="Y55" i="3"/>
  <c r="Y44" i="3"/>
  <c r="Y46" i="3"/>
  <c r="Y48" i="3" s="1"/>
  <c r="X46" i="3"/>
  <c r="X48" i="3" s="1"/>
  <c r="X55" i="3"/>
  <c r="X44" i="3"/>
  <c r="W46" i="3"/>
  <c r="W48" i="3" s="1"/>
  <c r="W55" i="3"/>
  <c r="W44" i="3"/>
  <c r="AI10" i="3"/>
  <c r="AE10" i="3"/>
  <c r="AC10" i="3"/>
  <c r="AD10" i="3"/>
  <c r="AH10" i="3"/>
  <c r="AG10" i="3"/>
  <c r="AF10" i="3"/>
  <c r="AI12" i="3"/>
  <c r="AI28" i="3"/>
  <c r="AI13" i="3"/>
  <c r="AI29" i="3"/>
  <c r="AI14" i="3"/>
  <c r="AI30" i="3"/>
  <c r="AI15" i="3"/>
  <c r="AI31" i="3"/>
  <c r="AI52" i="3"/>
  <c r="AI16" i="3"/>
  <c r="AI32" i="3"/>
  <c r="AI42" i="3"/>
  <c r="AI17" i="3"/>
  <c r="AI33" i="3"/>
  <c r="AI18" i="3"/>
  <c r="AI34" i="3"/>
  <c r="AI19" i="3"/>
  <c r="AI35" i="3"/>
  <c r="AI20" i="3"/>
  <c r="AI36" i="3"/>
  <c r="AI21" i="3"/>
  <c r="AI37" i="3"/>
  <c r="AI22" i="3"/>
  <c r="AI38" i="3"/>
  <c r="AI23" i="3"/>
  <c r="AI39" i="3"/>
  <c r="AI24" i="3"/>
  <c r="AI40" i="3"/>
  <c r="AI25" i="3"/>
  <c r="AI26" i="3"/>
  <c r="AI11" i="3"/>
  <c r="AI27" i="3"/>
  <c r="AE20" i="3"/>
  <c r="AE36" i="3"/>
  <c r="AE21" i="3"/>
  <c r="AE37" i="3"/>
  <c r="AE22" i="3"/>
  <c r="AE38" i="3"/>
  <c r="AE23" i="3"/>
  <c r="AE39" i="3"/>
  <c r="AE24" i="3"/>
  <c r="AE40" i="3"/>
  <c r="AE25" i="3"/>
  <c r="AE26" i="3"/>
  <c r="AE11" i="3"/>
  <c r="AE27" i="3"/>
  <c r="AE12" i="3"/>
  <c r="AE28" i="3"/>
  <c r="AE13" i="3"/>
  <c r="AE29" i="3"/>
  <c r="AE14" i="3"/>
  <c r="AE30" i="3"/>
  <c r="AE15" i="3"/>
  <c r="AE31" i="3"/>
  <c r="AE52" i="3"/>
  <c r="AE16" i="3"/>
  <c r="AE32" i="3"/>
  <c r="AE42" i="3"/>
  <c r="AE17" i="3"/>
  <c r="AE33" i="3"/>
  <c r="AE18" i="3"/>
  <c r="AE34" i="3"/>
  <c r="AE19" i="3"/>
  <c r="AE35" i="3"/>
  <c r="AC16" i="3"/>
  <c r="AC32" i="3"/>
  <c r="AC17" i="3"/>
  <c r="AC33" i="3"/>
  <c r="AC18" i="3"/>
  <c r="AC34" i="3"/>
  <c r="AC19" i="3"/>
  <c r="AC35" i="3"/>
  <c r="AC20" i="3"/>
  <c r="AC36" i="3"/>
  <c r="AC52" i="3"/>
  <c r="AC21" i="3"/>
  <c r="AC37" i="3"/>
  <c r="AC42" i="3"/>
  <c r="AC22" i="3"/>
  <c r="AC38" i="3"/>
  <c r="AC23" i="3"/>
  <c r="AC39" i="3"/>
  <c r="AC24" i="3"/>
  <c r="AC40" i="3"/>
  <c r="AC25" i="3"/>
  <c r="AC26" i="3"/>
  <c r="AC11" i="3"/>
  <c r="AC27" i="3"/>
  <c r="AC12" i="3"/>
  <c r="AC28" i="3"/>
  <c r="AC13" i="3"/>
  <c r="AC29" i="3"/>
  <c r="AC14" i="3"/>
  <c r="AC30" i="3"/>
  <c r="AC15" i="3"/>
  <c r="AC31" i="3"/>
  <c r="AH26" i="3"/>
  <c r="AH11" i="3"/>
  <c r="AH27" i="3"/>
  <c r="AH52" i="3"/>
  <c r="AH12" i="3"/>
  <c r="AH28" i="3"/>
  <c r="AH42" i="3"/>
  <c r="AH13" i="3"/>
  <c r="AH29" i="3"/>
  <c r="AH14" i="3"/>
  <c r="AH30" i="3"/>
  <c r="AH15" i="3"/>
  <c r="AH31" i="3"/>
  <c r="AH16" i="3"/>
  <c r="AH32" i="3"/>
  <c r="AH17" i="3"/>
  <c r="AH33" i="3"/>
  <c r="AH18" i="3"/>
  <c r="AH34" i="3"/>
  <c r="AH19" i="3"/>
  <c r="AH35" i="3"/>
  <c r="AH20" i="3"/>
  <c r="AH36" i="3"/>
  <c r="AH21" i="3"/>
  <c r="AH37" i="3"/>
  <c r="AH22" i="3"/>
  <c r="AH38" i="3"/>
  <c r="AH23" i="3"/>
  <c r="AH39" i="3"/>
  <c r="AH24" i="3"/>
  <c r="AH40" i="3"/>
  <c r="AH25" i="3"/>
  <c r="AF22" i="3"/>
  <c r="AF38" i="3"/>
  <c r="AF23" i="3"/>
  <c r="AF39" i="3"/>
  <c r="AF24" i="3"/>
  <c r="AF40" i="3"/>
  <c r="AF25" i="3"/>
  <c r="AF26" i="3"/>
  <c r="AF11" i="3"/>
  <c r="AF27" i="3"/>
  <c r="AF12" i="3"/>
  <c r="AF28" i="3"/>
  <c r="AF13" i="3"/>
  <c r="AF29" i="3"/>
  <c r="AF14" i="3"/>
  <c r="AF30" i="3"/>
  <c r="AF15" i="3"/>
  <c r="AF31" i="3"/>
  <c r="AF16" i="3"/>
  <c r="AF32" i="3"/>
  <c r="AF17" i="3"/>
  <c r="AF33" i="3"/>
  <c r="AF18" i="3"/>
  <c r="AF34" i="3"/>
  <c r="AF19" i="3"/>
  <c r="AF35" i="3"/>
  <c r="AF52" i="3"/>
  <c r="AF20" i="3"/>
  <c r="AF36" i="3"/>
  <c r="AF42" i="3"/>
  <c r="AF21" i="3"/>
  <c r="AF37" i="3"/>
  <c r="AD18" i="3"/>
  <c r="AD34" i="3"/>
  <c r="AD19" i="3"/>
  <c r="AD35" i="3"/>
  <c r="AD20" i="3"/>
  <c r="AD36" i="3"/>
  <c r="AD21" i="3"/>
  <c r="AD37" i="3"/>
  <c r="AD22" i="3"/>
  <c r="AD38" i="3"/>
  <c r="AD23" i="3"/>
  <c r="AD39" i="3"/>
  <c r="AD24" i="3"/>
  <c r="AD40" i="3"/>
  <c r="AD25" i="3"/>
  <c r="AD52" i="3"/>
  <c r="AD26" i="3"/>
  <c r="AD42" i="3"/>
  <c r="AD11" i="3"/>
  <c r="AD27" i="3"/>
  <c r="AD12" i="3"/>
  <c r="AD28" i="3"/>
  <c r="AD13" i="3"/>
  <c r="AD29" i="3"/>
  <c r="AD14" i="3"/>
  <c r="AD30" i="3"/>
  <c r="AD15" i="3"/>
  <c r="AD31" i="3"/>
  <c r="AD16" i="3"/>
  <c r="AD32" i="3"/>
  <c r="AD17" i="3"/>
  <c r="AD33" i="3"/>
  <c r="AG52" i="3"/>
  <c r="AG24" i="3"/>
  <c r="AG40" i="3"/>
  <c r="AG42" i="3"/>
  <c r="AG25" i="3"/>
  <c r="AG26" i="3"/>
  <c r="AG11" i="3"/>
  <c r="AG27" i="3"/>
  <c r="AG12" i="3"/>
  <c r="AG28" i="3"/>
  <c r="AG13" i="3"/>
  <c r="AG29" i="3"/>
  <c r="AG14" i="3"/>
  <c r="AG30" i="3"/>
  <c r="AG15" i="3"/>
  <c r="AG31" i="3"/>
  <c r="AG16" i="3"/>
  <c r="AG32" i="3"/>
  <c r="AG17" i="3"/>
  <c r="AG33" i="3"/>
  <c r="AG18" i="3"/>
  <c r="AG34" i="3"/>
  <c r="AG19" i="3"/>
  <c r="AG35" i="3"/>
  <c r="AG20" i="3"/>
  <c r="AG36" i="3"/>
  <c r="AG21" i="3"/>
  <c r="AG37" i="3"/>
  <c r="AG22" i="3"/>
  <c r="AG38" i="3"/>
  <c r="AG23" i="3"/>
  <c r="AG39" i="3"/>
  <c r="AG46" i="3" l="1"/>
  <c r="AG48" i="3" s="1"/>
  <c r="AG44" i="3"/>
  <c r="AG55" i="3"/>
  <c r="AD55" i="3"/>
  <c r="AD48" i="3"/>
  <c r="AD44" i="3"/>
  <c r="AF46" i="3"/>
  <c r="AF48" i="3" s="1"/>
  <c r="AF55" i="3"/>
  <c r="AF44" i="3"/>
  <c r="AH44" i="3"/>
  <c r="AH46" i="3"/>
  <c r="AH48" i="3" s="1"/>
  <c r="AH55" i="3"/>
  <c r="AC48" i="3"/>
  <c r="AC44" i="3"/>
  <c r="AC55" i="3"/>
  <c r="AE46" i="3"/>
  <c r="AE48" i="3" s="1"/>
  <c r="AE55" i="3"/>
  <c r="AE44" i="3"/>
  <c r="AI44" i="3"/>
  <c r="AI46" i="3"/>
  <c r="AI48" i="3" s="1"/>
  <c r="AI55" i="3"/>
</calcChain>
</file>

<file path=xl/sharedStrings.xml><?xml version="1.0" encoding="utf-8"?>
<sst xmlns="http://schemas.openxmlformats.org/spreadsheetml/2006/main" count="97" uniqueCount="85">
  <si>
    <t>Cube</t>
  </si>
  <si>
    <t>English</t>
  </si>
  <si>
    <t>Activity</t>
  </si>
  <si>
    <t>CONTEXT</t>
  </si>
  <si>
    <t>n-1</t>
  </si>
  <si>
    <t>n</t>
  </si>
  <si>
    <t>n+1</t>
  </si>
  <si>
    <t>n+2</t>
  </si>
  <si>
    <t>n+3</t>
  </si>
  <si>
    <t>n+4</t>
  </si>
  <si>
    <t>n+5</t>
  </si>
  <si>
    <t>n+6</t>
  </si>
  <si>
    <t>LTP_Components</t>
  </si>
  <si>
    <t>Currency</t>
  </si>
  <si>
    <t>Phases</t>
  </si>
  <si>
    <t>Periods</t>
  </si>
  <si>
    <t>Actual</t>
  </si>
  <si>
    <t>FC1</t>
  </si>
  <si>
    <t>LTP</t>
  </si>
  <si>
    <t>Language</t>
  </si>
  <si>
    <t>Context selection</t>
  </si>
  <si>
    <t>Refresh Data</t>
  </si>
  <si>
    <t>Current_LTP</t>
  </si>
  <si>
    <t>Last_Year_LTP (LY_LTP)</t>
  </si>
  <si>
    <t>CUBE:</t>
  </si>
  <si>
    <t>Weighting</t>
  </si>
  <si>
    <t>Indicator_LTP</t>
  </si>
  <si>
    <t>Phase</t>
  </si>
  <si>
    <t>Tot_LTP</t>
  </si>
  <si>
    <t>Zero Growth Plan (ZGP)</t>
  </si>
  <si>
    <t>France</t>
  </si>
  <si>
    <t>Canada</t>
  </si>
  <si>
    <t>United States</t>
  </si>
  <si>
    <t>Ireland</t>
  </si>
  <si>
    <t>United Kingdom</t>
  </si>
  <si>
    <t>TOD France</t>
  </si>
  <si>
    <t>Germany</t>
  </si>
  <si>
    <t>Finland</t>
  </si>
  <si>
    <t>Sweden</t>
  </si>
  <si>
    <t>South Korea</t>
  </si>
  <si>
    <t>Australia</t>
  </si>
  <si>
    <t>New Zealand</t>
  </si>
  <si>
    <t>Portugal</t>
  </si>
  <si>
    <t>Spain</t>
  </si>
  <si>
    <t>Chile</t>
  </si>
  <si>
    <t>Israel</t>
  </si>
  <si>
    <t>Morocco</t>
  </si>
  <si>
    <t>TRANSDEV All</t>
  </si>
  <si>
    <t>Ctrl</t>
  </si>
  <si>
    <t>Données à corriger</t>
  </si>
  <si>
    <t>KEUR</t>
  </si>
  <si>
    <t>tango_core_model:RP_LTP</t>
  </si>
  <si>
    <t>Montant à saisir en ajustement</t>
  </si>
  <si>
    <t>Legal</t>
  </si>
  <si>
    <t>LCL</t>
  </si>
  <si>
    <t>HO</t>
  </si>
  <si>
    <t>ZGP&amp;AP_Corp</t>
  </si>
  <si>
    <t>Restit</t>
  </si>
  <si>
    <t>Growth_Plan_Orga_Corp</t>
  </si>
  <si>
    <t>VTD_Corp_TopAdj_Input1</t>
  </si>
  <si>
    <t>Dividendes reçus-versés du/au groupe nets</t>
  </si>
  <si>
    <t>Organic Growth Plan</t>
  </si>
  <si>
    <t>External Growth Plan</t>
  </si>
  <si>
    <t>Growth_Plan_EXT_Corp</t>
  </si>
  <si>
    <t xml:space="preserve">Vérifier que les lignes suivantes sont à ZERO pour l'ensemble des composantes du plana ligne </t>
  </si>
  <si>
    <t>Faire ensuite une copie de RP vers Report</t>
  </si>
  <si>
    <t>Colombie</t>
  </si>
  <si>
    <t>Corporate Asie</t>
  </si>
  <si>
    <t>Faire F9 sur l'onglet Restitution DIV</t>
  </si>
  <si>
    <t>Si ce n'est pas le cas, corriger les données en choisissant ENVOI dans l'onglet "Envoi des données DIV" et lancer la macro</t>
  </si>
  <si>
    <t>Attention enlever la première année lors de la révision du mois de novembre</t>
  </si>
  <si>
    <t>Et la recopier pour la version du mois d'avril</t>
  </si>
  <si>
    <t>Internorte</t>
  </si>
  <si>
    <t>Eurolines</t>
  </si>
  <si>
    <t>Czech Republic</t>
  </si>
  <si>
    <t>The Netherlands</t>
  </si>
  <si>
    <t xml:space="preserve">China </t>
  </si>
  <si>
    <t>Slovakia</t>
  </si>
  <si>
    <t>Poland</t>
  </si>
  <si>
    <t>LATAM Projects</t>
  </si>
  <si>
    <t>AMEA Projects</t>
  </si>
  <si>
    <t>Cityway Corporate</t>
  </si>
  <si>
    <t>TDV Corporate - Top LTP adjustments to be allocated</t>
  </si>
  <si>
    <t>VTD_Corp_TopAdj_Input9</t>
  </si>
  <si>
    <t>Check dividendes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</si>
</sst>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(* #,##0_);_(* \(#,##0\);_(* &quot;-&quot;_);_(@_)"/>
    <numFmt numFmtId="164" formatCode="[$-409]d/m/yy\ h:mm\ AM/PM;@"/>
    <numFmt numFmtId="165" formatCode="#,##0_);\(#,##0\)"/>
    <numFmt numFmtId="166" formatCode="&quot;$&quot;\ \ \ #,##0;\(&quot;$&quot;\ \ \ #,##0\)"/>
    <numFmt numFmtId="167" formatCode="#,##0;\(#,##0\)"/>
    <numFmt numFmtId="168" formatCode="#,##0.0;\(#,##0.0\);\-"/>
    <numFmt numFmtId="169" formatCode="_-* #,##0.00\ _D_i_n_._-;\-* #,##0.00\ _D_i_n_._-;_-* &quot;-&quot;??\ _D_i_n_._-;_-@_-"/>
    <numFmt numFmtId="170" formatCode="_-* #,##0.00\ _F_-;\-* #,##0.00\ _F_-;_-* &quot;-&quot;??\ _F_-;_-@_-"/>
    <numFmt numFmtId="171" formatCode="_(* #,##0.00_);_(* \(#,##0.00\);_(* &quot;-&quot;??_);_(@_)"/>
    <numFmt numFmtId="172" formatCode="_(&quot;$&quot;* #,##0.00_);_(&quot;$&quot;* \(#,##0.00\);_(&quot;$&quot;* &quot;-&quot;??_);_(@_)"/>
    <numFmt numFmtId="173" formatCode="_(* #,##0_);_(* \(#,##0\);_(* &quot;&quot;\ \-\ &quot;&quot;_);_(@_)"/>
    <numFmt numFmtId="174" formatCode="_(&quot;€&quot;* #,##0.00_);_(&quot;€&quot;* \(#,##0.00\);_(&quot;€&quot;* &quot;-&quot;??_);_(@_)"/>
    <numFmt numFmtId="175" formatCode="_(* #,##0.0_%_);_(* \(#,##0.0_%\);_(* &quot; - &quot;_%_);_(@_)"/>
    <numFmt numFmtId="176" formatCode="_(\ #,##0.0_%_);_(\ \(#,##0.0_%\);_(\ &quot; - &quot;_%_);_(@_)"/>
    <numFmt numFmtId="177" formatCode="_(* #,##0.0%_);_(* \(#,##0.0%\);_(* &quot; - &quot;\%_);_(@_)"/>
    <numFmt numFmtId="178" formatCode="_(\ #,##0.0%_);_(\ \(#,##0.0%\);_(\ &quot; - &quot;\%_);_(@_)"/>
    <numFmt numFmtId="179" formatCode="_(* #,##0_);_(* \(#,##0\);_(* &quot; - &quot;_);_(@_)"/>
    <numFmt numFmtId="180" formatCode="#,##0_);\(#,##0\);&quot; - &quot;_);@_)"/>
    <numFmt numFmtId="181" formatCode="_(* #,##0.0_);_(* \(#,##0.0\);_(* &quot; - &quot;_);_(@_)"/>
    <numFmt numFmtId="182" formatCode="\ #,##0.0_);\(#,##0.0\);&quot; - &quot;_);@_)"/>
    <numFmt numFmtId="183" formatCode="_(* #,##0.00_);_(* \(#,##0.00\);_(* &quot; - &quot;_);_(@_)"/>
    <numFmt numFmtId="184" formatCode="\ #,##0.00_);\(#,##0.00\);&quot; - &quot;_);@_)"/>
    <numFmt numFmtId="185" formatCode="_(* #,##0.000_);_(* \(#,##0.000\);_(* &quot; - &quot;_);_(@_)"/>
    <numFmt numFmtId="186" formatCode="\ #,##0.000_);\(#,##0.000\);&quot; - &quot;_);@_)"/>
    <numFmt numFmtId="187" formatCode="#,##0;\(#,##0\);&quot;-&quot;"/>
    <numFmt numFmtId="188" formatCode="d\ mmmm\ yyyy"/>
    <numFmt numFmtId="189" formatCode="#,##0;[Red]\(#,##0\);0"/>
    <numFmt numFmtId="190" formatCode="#,##0.00;\(#,##0.00\)"/>
    <numFmt numFmtId="191" formatCode="###0.0%;\(###0.0%\)"/>
    <numFmt numFmtId="192" formatCode="#,##0.0_)\x;\(#,##0.0\)\x;#,##0.0_)\x;@_)_x"/>
    <numFmt numFmtId="193" formatCode="0.00;[Red]0.00"/>
    <numFmt numFmtId="194" formatCode="#,##0.0&quot; &quot;;\(#,##0.0\)&quot;&quot;;&quot;- &quot;"/>
    <numFmt numFmtId="195" formatCode="#,##0.0"/>
  </numFmts>
  <fonts count="11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5"/>
      <name val="Calibri"/>
      <family val="2"/>
      <scheme val="minor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3"/>
      <name val="Calibri"/>
      <family val="2"/>
      <scheme val="minor"/>
    </font>
    <font>
      <sz val="10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indexed="65"/>
        <bgColor indexed="11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11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449">
    <xf numFmtId="164" fontId="0" fillId="0" borderId="0"/>
    <xf numFmtId="165" fontId="10" fillId="0" borderId="0"/>
    <xf numFmtId="166" fontId="16" fillId="0" borderId="0" applyAlignment="0"/>
    <xf numFmtId="10" fontId="17" fillId="0" borderId="0"/>
    <xf numFmtId="9" fontId="18" fillId="0" borderId="0"/>
    <xf numFmtId="0" fontId="18" fillId="0" borderId="0"/>
    <xf numFmtId="10" fontId="18" fillId="0" borderId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67" fontId="18" fillId="0" borderId="0"/>
    <xf numFmtId="3" fontId="16" fillId="0" borderId="0"/>
    <xf numFmtId="2" fontId="16" fillId="0" borderId="0"/>
    <xf numFmtId="10" fontId="16" fillId="0" borderId="0" applyFont="0" applyBorder="0" applyAlignment="0">
      <alignment horizontal="centerContinuous"/>
    </xf>
    <xf numFmtId="0" fontId="19" fillId="0" borderId="2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" fontId="16" fillId="0" borderId="0" applyFont="0" applyAlignment="0">
      <alignment horizontal="centerContinuous"/>
    </xf>
    <xf numFmtId="164" fontId="20" fillId="5" borderId="0" applyNumberFormat="0" applyBorder="0" applyAlignment="0" applyProtection="0"/>
    <xf numFmtId="164" fontId="20" fillId="6" borderId="0" applyNumberFormat="0" applyBorder="0" applyAlignment="0" applyProtection="0"/>
    <xf numFmtId="164" fontId="20" fillId="7" borderId="0" applyNumberFormat="0" applyBorder="0" applyAlignment="0" applyProtection="0"/>
    <xf numFmtId="164" fontId="20" fillId="8" borderId="0" applyNumberFormat="0" applyBorder="0" applyAlignment="0" applyProtection="0"/>
    <xf numFmtId="164" fontId="20" fillId="9" borderId="0" applyNumberFormat="0" applyBorder="0" applyAlignment="0" applyProtection="0"/>
    <xf numFmtId="164" fontId="20" fillId="10" borderId="0" applyNumberFormat="0" applyBorder="0" applyAlignment="0" applyProtection="0"/>
    <xf numFmtId="164" fontId="20" fillId="11" borderId="0" applyNumberFormat="0" applyBorder="0" applyAlignment="0" applyProtection="0"/>
    <xf numFmtId="164" fontId="20" fillId="12" borderId="0" applyNumberFormat="0" applyBorder="0" applyAlignment="0" applyProtection="0"/>
    <xf numFmtId="164" fontId="20" fillId="13" borderId="0" applyNumberFormat="0" applyBorder="0" applyAlignment="0" applyProtection="0"/>
    <xf numFmtId="164" fontId="20" fillId="8" borderId="0" applyNumberFormat="0" applyBorder="0" applyAlignment="0" applyProtection="0"/>
    <xf numFmtId="164" fontId="20" fillId="11" borderId="0" applyNumberFormat="0" applyBorder="0" applyAlignment="0" applyProtection="0"/>
    <xf numFmtId="164" fontId="20" fillId="14" borderId="0" applyNumberFormat="0" applyBorder="0" applyAlignment="0" applyProtection="0"/>
    <xf numFmtId="164" fontId="21" fillId="15" borderId="0" applyNumberFormat="0" applyBorder="0" applyAlignment="0" applyProtection="0"/>
    <xf numFmtId="164" fontId="21" fillId="12" borderId="0" applyNumberFormat="0" applyBorder="0" applyAlignment="0" applyProtection="0"/>
    <xf numFmtId="164" fontId="21" fillId="13" borderId="0" applyNumberFormat="0" applyBorder="0" applyAlignment="0" applyProtection="0"/>
    <xf numFmtId="164" fontId="21" fillId="16" borderId="0" applyNumberFormat="0" applyBorder="0" applyAlignment="0" applyProtection="0"/>
    <xf numFmtId="164" fontId="21" fillId="17" borderId="0" applyNumberFormat="0" applyBorder="0" applyAlignment="0" applyProtection="0"/>
    <xf numFmtId="164" fontId="21" fillId="18" borderId="0" applyNumberFormat="0" applyBorder="0" applyAlignment="0" applyProtection="0"/>
    <xf numFmtId="0" fontId="22" fillId="0" borderId="3" applyFont="0">
      <alignment horizontal="centerContinuous"/>
    </xf>
    <xf numFmtId="0" fontId="23" fillId="0" borderId="0"/>
    <xf numFmtId="9" fontId="17" fillId="0" borderId="0"/>
    <xf numFmtId="0" fontId="17" fillId="0" borderId="0"/>
    <xf numFmtId="0" fontId="1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7" fillId="0" borderId="0"/>
    <xf numFmtId="0" fontId="17" fillId="0" borderId="0"/>
    <xf numFmtId="0" fontId="4" fillId="0" borderId="0"/>
    <xf numFmtId="0" fontId="18" fillId="0" borderId="0"/>
    <xf numFmtId="164" fontId="24" fillId="6" borderId="0" applyNumberFormat="0" applyBorder="0" applyAlignment="0" applyProtection="0"/>
    <xf numFmtId="38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8" fillId="0" borderId="0"/>
    <xf numFmtId="0" fontId="22" fillId="0" borderId="3" applyNumberFormat="0" applyFill="0" applyAlignment="0" applyProtection="0"/>
    <xf numFmtId="0" fontId="25" fillId="0" borderId="3" applyNumberFormat="0" applyFont="0" applyFill="0" applyAlignment="0" applyProtection="0"/>
    <xf numFmtId="0" fontId="23" fillId="0" borderId="4"/>
    <xf numFmtId="0" fontId="18" fillId="0" borderId="3">
      <alignment horizontal="centerContinuous"/>
    </xf>
    <xf numFmtId="0" fontId="4" fillId="0" borderId="5" applyBorder="0">
      <alignment horizontal="centerContinuous"/>
    </xf>
    <xf numFmtId="0" fontId="18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17" fillId="0" borderId="0"/>
    <xf numFmtId="0" fontId="27" fillId="0" borderId="0"/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3" fillId="0" borderId="0">
      <alignment horizontal="right"/>
    </xf>
    <xf numFmtId="0" fontId="27" fillId="0" borderId="0"/>
    <xf numFmtId="37" fontId="18" fillId="0" borderId="0">
      <alignment horizontal="center"/>
    </xf>
    <xf numFmtId="0" fontId="22" fillId="0" borderId="0"/>
    <xf numFmtId="164" fontId="28" fillId="19" borderId="6" applyNumberFormat="0" applyAlignment="0" applyProtection="0"/>
    <xf numFmtId="164" fontId="29" fillId="20" borderId="7" applyNumberFormat="0" applyAlignment="0" applyProtection="0"/>
    <xf numFmtId="168" fontId="4" fillId="0" borderId="0">
      <alignment horizontal="right" wrapText="1"/>
    </xf>
    <xf numFmtId="0" fontId="18" fillId="0" borderId="0"/>
    <xf numFmtId="0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69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72" fontId="4" fillId="0" borderId="0" applyFont="0" applyFill="0" applyBorder="0" applyAlignment="0" applyProtection="0"/>
    <xf numFmtId="49" fontId="32" fillId="21" borderId="0">
      <alignment vertical="center"/>
    </xf>
    <xf numFmtId="0" fontId="18" fillId="0" borderId="0" applyFont="0" applyFill="0" applyBorder="0" applyAlignment="0" applyProtection="0"/>
    <xf numFmtId="173" fontId="33" fillId="22" borderId="0">
      <alignment horizontal="right"/>
    </xf>
    <xf numFmtId="171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64" fontId="34" fillId="0" borderId="0" applyNumberFormat="0" applyFill="0" applyBorder="0" applyAlignment="0" applyProtection="0"/>
    <xf numFmtId="49" fontId="35" fillId="0" borderId="0" applyNumberFormat="0" applyFill="0" applyBorder="0" applyProtection="0">
      <alignment horizontal="center" vertical="top"/>
    </xf>
    <xf numFmtId="175" fontId="36" fillId="0" borderId="0">
      <alignment horizontal="right" vertical="top"/>
    </xf>
    <xf numFmtId="176" fontId="37" fillId="0" borderId="0" applyBorder="0">
      <alignment horizontal="right" vertical="top"/>
    </xf>
    <xf numFmtId="177" fontId="38" fillId="0" borderId="0">
      <alignment horizontal="right" vertical="top"/>
    </xf>
    <xf numFmtId="178" fontId="35" fillId="0" borderId="0" applyBorder="0">
      <alignment horizontal="right" vertical="top"/>
    </xf>
    <xf numFmtId="177" fontId="36" fillId="0" borderId="0">
      <alignment horizontal="right" vertical="top"/>
    </xf>
    <xf numFmtId="178" fontId="37" fillId="0" borderId="0" applyBorder="0">
      <alignment horizontal="right" vertical="top"/>
    </xf>
    <xf numFmtId="179" fontId="38" fillId="0" borderId="0" applyFill="0" applyBorder="0">
      <alignment horizontal="right" vertical="top"/>
    </xf>
    <xf numFmtId="180" fontId="35" fillId="0" borderId="0" applyFill="0" applyBorder="0">
      <alignment horizontal="right" vertical="top"/>
    </xf>
    <xf numFmtId="181" fontId="38" fillId="0" borderId="0" applyFill="0" applyBorder="0">
      <alignment horizontal="right" vertical="top"/>
    </xf>
    <xf numFmtId="182" fontId="35" fillId="0" borderId="0" applyFill="0" applyBorder="0">
      <alignment horizontal="right" vertical="top"/>
    </xf>
    <xf numFmtId="183" fontId="38" fillId="0" borderId="0" applyFill="0" applyBorder="0">
      <alignment horizontal="right" vertical="top"/>
    </xf>
    <xf numFmtId="184" fontId="35" fillId="0" borderId="0" applyFill="0" applyBorder="0">
      <alignment horizontal="right" vertical="top"/>
    </xf>
    <xf numFmtId="185" fontId="38" fillId="0" borderId="0" applyFill="0" applyBorder="0">
      <alignment horizontal="right" vertical="top"/>
    </xf>
    <xf numFmtId="186" fontId="35" fillId="0" borderId="0" applyFill="0" applyBorder="0">
      <alignment horizontal="right" vertical="top"/>
    </xf>
    <xf numFmtId="164" fontId="39" fillId="0" borderId="0">
      <alignment horizontal="center" wrapText="1"/>
    </xf>
    <xf numFmtId="0" fontId="40" fillId="0" borderId="8">
      <alignment horizontal="right"/>
    </xf>
    <xf numFmtId="0" fontId="39" fillId="0" borderId="0">
      <alignment horizontal="center" wrapText="1"/>
    </xf>
    <xf numFmtId="187" fontId="41" fillId="0" borderId="8">
      <alignment horizontal="left"/>
    </xf>
    <xf numFmtId="0" fontId="42" fillId="0" borderId="0">
      <alignment vertical="center"/>
    </xf>
    <xf numFmtId="188" fontId="42" fillId="0" borderId="0">
      <alignment horizontal="left" vertical="center"/>
    </xf>
    <xf numFmtId="189" fontId="43" fillId="0" borderId="0">
      <alignment vertical="center"/>
    </xf>
    <xf numFmtId="0" fontId="44" fillId="0" borderId="0">
      <alignment vertical="center"/>
    </xf>
    <xf numFmtId="187" fontId="41" fillId="0" borderId="8">
      <alignment horizontal="left"/>
    </xf>
    <xf numFmtId="187" fontId="45" fillId="0" borderId="0" applyFill="0" applyBorder="0">
      <alignment vertical="top"/>
    </xf>
    <xf numFmtId="187" fontId="46" fillId="0" borderId="0" applyFill="0" applyBorder="0" applyProtection="0">
      <alignment vertical="top"/>
    </xf>
    <xf numFmtId="187" fontId="47" fillId="0" borderId="0">
      <alignment vertical="top"/>
    </xf>
    <xf numFmtId="187" fontId="35" fillId="0" borderId="0">
      <alignment horizontal="center"/>
    </xf>
    <xf numFmtId="187" fontId="48" fillId="0" borderId="8">
      <alignment horizontal="center"/>
    </xf>
    <xf numFmtId="41" fontId="38" fillId="0" borderId="0" applyFill="0" applyBorder="0" applyAlignment="0" applyProtection="0">
      <alignment horizontal="right" vertical="top"/>
    </xf>
    <xf numFmtId="41" fontId="35" fillId="0" borderId="8" applyFill="0" applyBorder="0" applyProtection="0">
      <alignment horizontal="right" vertical="top"/>
    </xf>
    <xf numFmtId="187" fontId="49" fillId="0" borderId="0"/>
    <xf numFmtId="187" fontId="50" fillId="0" borderId="0"/>
    <xf numFmtId="187" fontId="51" fillId="0" borderId="0"/>
    <xf numFmtId="187" fontId="4" fillId="0" borderId="0"/>
    <xf numFmtId="187" fontId="52" fillId="0" borderId="0">
      <alignment horizontal="left" vertical="top"/>
    </xf>
    <xf numFmtId="164" fontId="38" fillId="0" borderId="0" applyFill="0" applyBorder="0">
      <alignment horizontal="left" vertical="top"/>
    </xf>
    <xf numFmtId="0" fontId="35" fillId="0" borderId="0" applyFill="0" applyBorder="0">
      <alignment horizontal="left" vertical="top" wrapText="1"/>
    </xf>
    <xf numFmtId="0" fontId="38" fillId="0" borderId="0" applyFill="0" applyBorder="0">
      <alignment horizontal="left" vertical="top"/>
    </xf>
    <xf numFmtId="0" fontId="53" fillId="0" borderId="0">
      <alignment horizontal="left" vertical="top" wrapText="1"/>
    </xf>
    <xf numFmtId="0" fontId="54" fillId="0" borderId="0">
      <alignment horizontal="left" vertical="top" wrapText="1"/>
    </xf>
    <xf numFmtId="0" fontId="37" fillId="0" borderId="0">
      <alignment horizontal="left" vertical="top" wrapText="1"/>
    </xf>
    <xf numFmtId="0" fontId="55" fillId="0" borderId="0" applyNumberFormat="0" applyFill="0" applyBorder="0" applyAlignment="0" applyProtection="0"/>
    <xf numFmtId="0" fontId="32" fillId="23" borderId="0">
      <alignment horizontal="right" vertical="center"/>
    </xf>
    <xf numFmtId="0" fontId="4" fillId="24" borderId="0"/>
    <xf numFmtId="190" fontId="56" fillId="0" borderId="0"/>
    <xf numFmtId="191" fontId="56" fillId="0" borderId="0"/>
    <xf numFmtId="164" fontId="57" fillId="7" borderId="0" applyNumberFormat="0" applyBorder="0" applyAlignment="0" applyProtection="0"/>
    <xf numFmtId="0" fontId="58" fillId="0" borderId="0" applyNumberFormat="0" applyFill="0" applyProtection="0">
      <alignment horizontal="left"/>
    </xf>
    <xf numFmtId="164" fontId="59" fillId="0" borderId="9" applyNumberFormat="0" applyFill="0" applyAlignment="0" applyProtection="0"/>
    <xf numFmtId="164" fontId="60" fillId="0" borderId="10" applyNumberFormat="0" applyFill="0" applyAlignment="0" applyProtection="0"/>
    <xf numFmtId="164" fontId="61" fillId="0" borderId="11" applyNumberFormat="0" applyFill="0" applyAlignment="0" applyProtection="0"/>
    <xf numFmtId="164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64" fontId="63" fillId="10" borderId="6" applyNumberFormat="0" applyAlignment="0" applyProtection="0"/>
    <xf numFmtId="0" fontId="18" fillId="11" borderId="0" applyNumberFormat="0" applyFont="0" applyBorder="0" applyAlignment="0">
      <protection locked="0"/>
    </xf>
    <xf numFmtId="0" fontId="17" fillId="0" borderId="0" applyNumberFormat="0" applyFill="0" applyBorder="0" applyAlignment="0">
      <protection locked="0"/>
    </xf>
    <xf numFmtId="0" fontId="64" fillId="0" borderId="0" applyNumberFormat="0" applyFill="0" applyBorder="0" applyAlignment="0"/>
    <xf numFmtId="38" fontId="65" fillId="0" borderId="0"/>
    <xf numFmtId="38" fontId="66" fillId="0" borderId="0"/>
    <xf numFmtId="38" fontId="67" fillId="0" borderId="0"/>
    <xf numFmtId="38" fontId="68" fillId="0" borderId="0"/>
    <xf numFmtId="0" fontId="69" fillId="0" borderId="0"/>
    <xf numFmtId="0" fontId="69" fillId="0" borderId="0"/>
    <xf numFmtId="164" fontId="70" fillId="0" borderId="12" applyNumberFormat="0" applyFill="0" applyAlignment="0" applyProtection="0"/>
    <xf numFmtId="0" fontId="32" fillId="25" borderId="0">
      <alignment horizontal="right" vertical="center"/>
    </xf>
    <xf numFmtId="171" fontId="2" fillId="0" borderId="0" applyFont="0" applyFill="0" applyBorder="0" applyAlignment="0" applyProtection="0"/>
    <xf numFmtId="192" fontId="4" fillId="0" borderId="0" applyFont="0" applyFill="0" applyBorder="0" applyAlignment="0" applyProtection="0"/>
    <xf numFmtId="49" fontId="71" fillId="21" borderId="0">
      <alignment horizontal="centerContinuous" vertical="center"/>
    </xf>
    <xf numFmtId="0" fontId="72" fillId="0" borderId="0"/>
    <xf numFmtId="164" fontId="73" fillId="26" borderId="0" applyNumberFormat="0" applyBorder="0" applyAlignment="0" applyProtection="0"/>
    <xf numFmtId="0" fontId="23" fillId="0" borderId="0">
      <alignment horizontal="left"/>
    </xf>
    <xf numFmtId="164" fontId="74" fillId="0" borderId="0"/>
    <xf numFmtId="164" fontId="74" fillId="0" borderId="0"/>
    <xf numFmtId="0" fontId="74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4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164" fontId="4" fillId="27" borderId="13" applyNumberFormat="0" applyFont="0" applyAlignment="0" applyProtection="0"/>
    <xf numFmtId="0" fontId="77" fillId="22" borderId="0">
      <alignment horizontal="left" vertical="top" wrapText="1"/>
    </xf>
    <xf numFmtId="164" fontId="78" fillId="19" borderId="14" applyNumberFormat="0" applyAlignment="0" applyProtection="0"/>
    <xf numFmtId="10" fontId="18" fillId="0" borderId="15"/>
    <xf numFmtId="10" fontId="18" fillId="0" borderId="15"/>
    <xf numFmtId="10" fontId="18" fillId="0" borderId="15"/>
    <xf numFmtId="10" fontId="18" fillId="0" borderId="15"/>
    <xf numFmtId="49" fontId="79" fillId="0" borderId="3" applyFill="0" applyProtection="0">
      <alignment vertical="center"/>
    </xf>
    <xf numFmtId="0" fontId="23" fillId="0" borderId="0"/>
    <xf numFmtId="0" fontId="80" fillId="0" borderId="0"/>
    <xf numFmtId="9" fontId="25" fillId="0" borderId="0" applyFont="0" applyFill="0" applyBorder="0" applyAlignment="0" applyProtection="0"/>
    <xf numFmtId="0" fontId="81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2" fillId="0" borderId="0" applyFont="0" applyFill="0" applyBorder="0" applyAlignment="0" applyProtection="0"/>
    <xf numFmtId="0" fontId="83" fillId="0" borderId="0" applyFont="0" applyFill="0" applyBorder="0" applyAlignment="0" applyProtection="0">
      <alignment horizontal="center"/>
    </xf>
    <xf numFmtId="0" fontId="83" fillId="0" borderId="0" applyFont="0" applyFill="0" applyBorder="0" applyAlignment="0" applyProtection="0">
      <alignment horizontal="center"/>
    </xf>
    <xf numFmtId="0" fontId="83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4" fillId="0" borderId="3"/>
    <xf numFmtId="10" fontId="23" fillId="0" borderId="16"/>
    <xf numFmtId="10" fontId="4" fillId="0" borderId="0"/>
    <xf numFmtId="2" fontId="18" fillId="0" borderId="0">
      <alignment horizontal="right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0"/>
    <xf numFmtId="0" fontId="85" fillId="0" borderId="2">
      <protection locked="0"/>
    </xf>
    <xf numFmtId="0" fontId="85" fillId="0" borderId="2">
      <protection locked="0"/>
    </xf>
    <xf numFmtId="0" fontId="85" fillId="0" borderId="2">
      <protection locked="0"/>
    </xf>
    <xf numFmtId="0" fontId="85" fillId="0" borderId="2">
      <protection locked="0"/>
    </xf>
    <xf numFmtId="0" fontId="85" fillId="0" borderId="2">
      <protection locked="0"/>
    </xf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6" fillId="0" borderId="0">
      <alignment horizontal="center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5" fillId="0" borderId="2">
      <alignment horizontal="centerContinuous"/>
    </xf>
    <xf numFmtId="0" fontId="87" fillId="23" borderId="17" applyNumberFormat="0" applyProtection="0">
      <alignment horizontal="left" vertical="center" indent="1"/>
    </xf>
    <xf numFmtId="193" fontId="88" fillId="28" borderId="17" applyProtection="0">
      <alignment horizontal="right" vertical="center"/>
    </xf>
    <xf numFmtId="0" fontId="89" fillId="24" borderId="0" applyNumberFormat="0" applyFont="0" applyBorder="0" applyAlignment="0" applyProtection="0"/>
    <xf numFmtId="0" fontId="32" fillId="21" borderId="0">
      <alignment horizontal="right" vertical="center"/>
    </xf>
    <xf numFmtId="0" fontId="4" fillId="0" borderId="0"/>
    <xf numFmtId="0" fontId="4" fillId="0" borderId="0"/>
    <xf numFmtId="164" fontId="88" fillId="0" borderId="0" applyNumberFormat="0" applyBorder="0" applyAlignment="0"/>
    <xf numFmtId="0" fontId="88" fillId="0" borderId="0" applyNumberFormat="0" applyBorder="0" applyAlignment="0"/>
    <xf numFmtId="164" fontId="90" fillId="0" borderId="0" applyNumberFormat="0" applyBorder="0" applyAlignment="0"/>
    <xf numFmtId="0" fontId="90" fillId="0" borderId="0" applyNumberFormat="0" applyBorder="0" applyAlignment="0"/>
    <xf numFmtId="164" fontId="91" fillId="0" borderId="0" applyNumberFormat="0" applyBorder="0" applyAlignment="0"/>
    <xf numFmtId="0" fontId="91" fillId="0" borderId="0" applyNumberFormat="0" applyBorder="0" applyAlignment="0"/>
    <xf numFmtId="164" fontId="91" fillId="0" borderId="0" applyNumberFormat="0" applyBorder="0" applyAlignment="0"/>
    <xf numFmtId="0" fontId="91" fillId="0" borderId="0" applyNumberFormat="0" applyBorder="0" applyAlignment="0"/>
    <xf numFmtId="164" fontId="92" fillId="0" borderId="0" applyNumberFormat="0" applyBorder="0" applyAlignment="0"/>
    <xf numFmtId="0" fontId="92" fillId="0" borderId="0" applyNumberFormat="0" applyBorder="0" applyAlignment="0"/>
    <xf numFmtId="164" fontId="93" fillId="7" borderId="0" applyNumberFormat="0" applyBorder="0" applyAlignment="0"/>
    <xf numFmtId="0" fontId="93" fillId="7" borderId="0" applyNumberFormat="0" applyBorder="0" applyAlignment="0"/>
    <xf numFmtId="164" fontId="94" fillId="7" borderId="0" applyNumberFormat="0" applyBorder="0" applyAlignment="0"/>
    <xf numFmtId="0" fontId="94" fillId="7" borderId="0" applyNumberFormat="0" applyBorder="0" applyAlignment="0"/>
    <xf numFmtId="164" fontId="95" fillId="0" borderId="0" applyNumberFormat="0" applyBorder="0" applyAlignment="0"/>
    <xf numFmtId="0" fontId="95" fillId="0" borderId="0" applyNumberFormat="0" applyBorder="0" applyAlignment="0"/>
    <xf numFmtId="164" fontId="95" fillId="0" borderId="0" applyNumberFormat="0" applyBorder="0" applyAlignment="0"/>
    <xf numFmtId="0" fontId="95" fillId="0" borderId="0" applyNumberFormat="0" applyBorder="0" applyAlignment="0"/>
    <xf numFmtId="0" fontId="22" fillId="0" borderId="3">
      <alignment horizontal="center"/>
    </xf>
    <xf numFmtId="0" fontId="22" fillId="0" borderId="3">
      <alignment horizontal="center"/>
    </xf>
    <xf numFmtId="0" fontId="22" fillId="0" borderId="3">
      <alignment horizontal="center"/>
    </xf>
    <xf numFmtId="0" fontId="22" fillId="0" borderId="3">
      <alignment horizontal="center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Continuous"/>
    </xf>
    <xf numFmtId="0" fontId="22" fillId="0" borderId="3">
      <alignment horizontal="center"/>
    </xf>
    <xf numFmtId="0" fontId="96" fillId="22" borderId="0"/>
    <xf numFmtId="0" fontId="33" fillId="22" borderId="0">
      <alignment horizontal="left"/>
    </xf>
    <xf numFmtId="0" fontId="33" fillId="22" borderId="0">
      <alignment horizontal="left" indent="1"/>
    </xf>
    <xf numFmtId="0" fontId="33" fillId="22" borderId="0">
      <alignment horizontal="left" vertical="center" indent="2"/>
    </xf>
    <xf numFmtId="164" fontId="97" fillId="0" borderId="0" applyNumberFormat="0" applyFill="0" applyBorder="0" applyAlignment="0" applyProtection="0"/>
    <xf numFmtId="0" fontId="98" fillId="0" borderId="18" applyNumberFormat="0" applyFill="0" applyBorder="0" applyAlignment="0" applyProtection="0">
      <alignment horizontal="left"/>
    </xf>
    <xf numFmtId="0" fontId="25" fillId="0" borderId="19" applyNumberFormat="0" applyFont="0" applyFill="0" applyAlignment="0" applyProtection="0"/>
    <xf numFmtId="0" fontId="99" fillId="0" borderId="0"/>
    <xf numFmtId="164" fontId="100" fillId="0" borderId="0" applyNumberFormat="0" applyFill="0" applyBorder="0" applyAlignment="0" applyProtection="0"/>
    <xf numFmtId="1" fontId="101" fillId="0" borderId="3">
      <alignment horizontal="center"/>
    </xf>
    <xf numFmtId="194" fontId="18" fillId="0" borderId="0" applyFont="0" applyFill="0" applyBorder="0" applyAlignment="0" applyProtection="0">
      <alignment horizontal="right" vertical="center"/>
    </xf>
    <xf numFmtId="0" fontId="4" fillId="0" borderId="0"/>
    <xf numFmtId="0" fontId="4" fillId="0" borderId="0"/>
    <xf numFmtId="0" fontId="1" fillId="0" borderId="0"/>
    <xf numFmtId="164" fontId="4" fillId="0" borderId="0"/>
  </cellStyleXfs>
  <cellXfs count="55">
    <xf numFmtId="164" fontId="0" fillId="0" borderId="0" xfId="0"/>
    <xf numFmtId="164" fontId="5" fillId="2" borderId="0" xfId="0" applyFont="1" applyFill="1" applyAlignment="1">
      <alignment vertical="center"/>
    </xf>
    <xf numFmtId="164" fontId="5" fillId="0" borderId="0" xfId="0" applyFont="1" applyAlignment="1">
      <alignment vertical="center"/>
    </xf>
    <xf numFmtId="164" fontId="7" fillId="2" borderId="0" xfId="0" applyFont="1" applyFill="1" applyAlignment="1">
      <alignment vertical="center"/>
    </xf>
    <xf numFmtId="164" fontId="8" fillId="0" borderId="0" xfId="0" applyFont="1" applyAlignment="1">
      <alignment vertical="center"/>
    </xf>
    <xf numFmtId="164" fontId="7" fillId="0" borderId="0" xfId="0" applyFont="1" applyAlignment="1">
      <alignment vertical="center"/>
    </xf>
    <xf numFmtId="164" fontId="9" fillId="0" borderId="0" xfId="0" applyFont="1"/>
    <xf numFmtId="164" fontId="9" fillId="2" borderId="0" xfId="0" applyFont="1" applyFill="1" applyAlignment="1">
      <alignment vertical="center"/>
    </xf>
    <xf numFmtId="164" fontId="9" fillId="0" borderId="0" xfId="0" applyFont="1" applyAlignment="1">
      <alignment horizontal="right" vertical="center"/>
    </xf>
    <xf numFmtId="164" fontId="9" fillId="0" borderId="0" xfId="0" applyFont="1" applyAlignment="1">
      <alignment vertical="center"/>
    </xf>
    <xf numFmtId="0" fontId="11" fillId="4" borderId="1" xfId="1" applyNumberFormat="1" applyFont="1" applyFill="1" applyBorder="1" applyAlignment="1">
      <alignment horizontal="center" vertical="center"/>
    </xf>
    <xf numFmtId="0" fontId="9" fillId="0" borderId="0" xfId="0" applyNumberFormat="1" applyFont="1" applyAlignment="1">
      <alignment vertical="center"/>
    </xf>
    <xf numFmtId="164" fontId="12" fillId="0" borderId="0" xfId="0" applyFont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64" fontId="15" fillId="0" borderId="0" xfId="0" applyFont="1"/>
    <xf numFmtId="164" fontId="9" fillId="2" borderId="0" xfId="0" applyFont="1" applyFill="1"/>
    <xf numFmtId="164" fontId="13" fillId="2" borderId="0" xfId="0" applyFont="1" applyFill="1" applyAlignment="1">
      <alignment vertical="center"/>
    </xf>
    <xf numFmtId="164" fontId="13" fillId="0" borderId="0" xfId="0" applyFont="1" applyAlignment="1">
      <alignment vertical="center"/>
    </xf>
    <xf numFmtId="0" fontId="11" fillId="29" borderId="0" xfId="1" applyNumberFormat="1" applyFont="1" applyFill="1" applyAlignment="1">
      <alignment horizontal="center" vertical="center"/>
    </xf>
    <xf numFmtId="0" fontId="103" fillId="29" borderId="0" xfId="1" applyNumberFormat="1" applyFont="1" applyFill="1" applyAlignment="1">
      <alignment horizontal="center" vertical="center"/>
    </xf>
    <xf numFmtId="164" fontId="104" fillId="0" borderId="0" xfId="0" applyFont="1" applyAlignment="1">
      <alignment vertical="center"/>
    </xf>
    <xf numFmtId="164" fontId="3" fillId="0" borderId="0" xfId="0" applyFont="1" applyAlignment="1">
      <alignment horizontal="right"/>
    </xf>
    <xf numFmtId="164" fontId="102" fillId="0" borderId="0" xfId="0" applyFont="1" applyAlignment="1">
      <alignment horizontal="right" vertical="center"/>
    </xf>
    <xf numFmtId="164" fontId="105" fillId="0" borderId="0" xfId="0" applyFont="1"/>
    <xf numFmtId="3" fontId="105" fillId="0" borderId="0" xfId="0" applyNumberFormat="1" applyFont="1"/>
    <xf numFmtId="164" fontId="106" fillId="0" borderId="0" xfId="0" applyFont="1"/>
    <xf numFmtId="164" fontId="106" fillId="30" borderId="0" xfId="0" applyFont="1" applyFill="1"/>
    <xf numFmtId="0" fontId="107" fillId="31" borderId="0" xfId="446" applyFont="1" applyFill="1" applyAlignment="1">
      <alignment horizontal="center" vertical="center"/>
    </xf>
    <xf numFmtId="164" fontId="106" fillId="32" borderId="0" xfId="0" applyFont="1" applyFill="1"/>
    <xf numFmtId="164" fontId="105" fillId="33" borderId="0" xfId="0" applyFont="1" applyFill="1"/>
    <xf numFmtId="164" fontId="106" fillId="35" borderId="0" xfId="0" applyFont="1" applyFill="1"/>
    <xf numFmtId="3" fontId="108" fillId="35" borderId="0" xfId="0" applyNumberFormat="1" applyFont="1" applyFill="1"/>
    <xf numFmtId="164" fontId="108" fillId="0" borderId="0" xfId="0" applyFont="1"/>
    <xf numFmtId="195" fontId="108" fillId="36" borderId="20" xfId="446" applyNumberFormat="1" applyFont="1" applyFill="1" applyBorder="1" applyAlignment="1">
      <alignment horizontal="left" vertical="center" indent="1"/>
    </xf>
    <xf numFmtId="195" fontId="108" fillId="36" borderId="20" xfId="446" applyNumberFormat="1" applyFont="1" applyFill="1" applyBorder="1" applyAlignment="1">
      <alignment horizontal="right" vertical="center" indent="1"/>
    </xf>
    <xf numFmtId="195" fontId="108" fillId="33" borderId="20" xfId="446" applyNumberFormat="1" applyFont="1" applyFill="1" applyBorder="1" applyAlignment="1">
      <alignment horizontal="left" vertical="center" indent="1"/>
    </xf>
    <xf numFmtId="195" fontId="108" fillId="33" borderId="20" xfId="446" applyNumberFormat="1" applyFont="1" applyFill="1" applyBorder="1" applyAlignment="1">
      <alignment horizontal="right" vertical="center" indent="1"/>
    </xf>
    <xf numFmtId="164" fontId="106" fillId="37" borderId="0" xfId="0" applyFont="1" applyFill="1"/>
    <xf numFmtId="3" fontId="108" fillId="37" borderId="0" xfId="0" applyNumberFormat="1" applyFont="1" applyFill="1"/>
    <xf numFmtId="0" fontId="1" fillId="0" borderId="0" xfId="447"/>
    <xf numFmtId="0" fontId="110" fillId="0" borderId="0" xfId="447" applyFont="1"/>
    <xf numFmtId="0" fontId="109" fillId="35" borderId="0" xfId="447" applyFont="1" applyFill="1"/>
    <xf numFmtId="3" fontId="109" fillId="33" borderId="0" xfId="448" applyNumberFormat="1" applyFont="1" applyFill="1"/>
    <xf numFmtId="0" fontId="111" fillId="0" borderId="0" xfId="447" applyFont="1"/>
    <xf numFmtId="4" fontId="111" fillId="0" borderId="0" xfId="447" quotePrefix="1" applyNumberFormat="1" applyFont="1"/>
    <xf numFmtId="195" fontId="112" fillId="34" borderId="20" xfId="446" applyNumberFormat="1" applyFont="1" applyFill="1" applyBorder="1" applyAlignment="1">
      <alignment horizontal="left" vertical="center" indent="1"/>
    </xf>
    <xf numFmtId="195" fontId="112" fillId="34" borderId="20" xfId="446" applyNumberFormat="1" applyFont="1" applyFill="1" applyBorder="1" applyAlignment="1">
      <alignment horizontal="right" vertical="center" indent="1"/>
    </xf>
    <xf numFmtId="164" fontId="109" fillId="0" borderId="0" xfId="0" applyFont="1"/>
    <xf numFmtId="0" fontId="113" fillId="0" borderId="0" xfId="1" applyNumberFormat="1" applyFont="1" applyAlignment="1">
      <alignment horizontal="left" vertical="center"/>
    </xf>
    <xf numFmtId="164" fontId="114" fillId="0" borderId="0" xfId="0" applyFont="1"/>
    <xf numFmtId="3" fontId="105" fillId="2" borderId="0" xfId="0" applyNumberFormat="1" applyFont="1" applyFill="1"/>
    <xf numFmtId="164" fontId="105" fillId="2" borderId="0" xfId="0" applyFont="1" applyFill="1"/>
    <xf numFmtId="2" fontId="105" fillId="0" borderId="0" xfId="0" applyNumberFormat="1" applyFont="1"/>
    <xf numFmtId="164" fontId="6" fillId="3" borderId="0" xfId="0" applyFont="1" applyFill="1" applyAlignment="1">
      <alignment horizontal="center" vertical="center"/>
    </xf>
    <xf numFmtId="164" fontId="11" fillId="0" borderId="0" xfId="0" applyFont="1" applyAlignment="1">
      <alignment horizontal="center" vertical="center"/>
    </xf>
  </cellXfs>
  <cellStyles count="449">
    <cellStyle name="$   0,000" xfId="2" xr:uid="{00000000-0005-0000-0000-000000000000}"/>
    <cellStyle name="%" xfId="3" xr:uid="{00000000-0005-0000-0000-000001000000}"/>
    <cellStyle name="%0" xfId="4" xr:uid="{00000000-0005-0000-0000-000002000000}"/>
    <cellStyle name="%1" xfId="5" xr:uid="{00000000-0005-0000-0000-000003000000}"/>
    <cellStyle name="%2" xfId="6" xr:uid="{00000000-0005-0000-0000-000004000000}"/>
    <cellStyle name="£ BP" xfId="7" xr:uid="{00000000-0005-0000-0000-000005000000}"/>
    <cellStyle name="¥ JY" xfId="8" xr:uid="{00000000-0005-0000-0000-000006000000}"/>
    <cellStyle name="0" xfId="9" xr:uid="{00000000-0005-0000-0000-000007000000}"/>
    <cellStyle name="0,000" xfId="10" xr:uid="{00000000-0005-0000-0000-000008000000}"/>
    <cellStyle name="0.00" xfId="11" xr:uid="{00000000-0005-0000-0000-000009000000}"/>
    <cellStyle name="0.00%" xfId="12" xr:uid="{00000000-0005-0000-0000-00000A000000}"/>
    <cellStyle name="0.0x" xfId="13" xr:uid="{00000000-0005-0000-0000-00000B000000}"/>
    <cellStyle name="0_Actualisation provision contrat déficitaire SNCM 2010 V Def" xfId="14" xr:uid="{00000000-0005-0000-0000-00000C000000}"/>
    <cellStyle name="0_Actualisation provision contrat déficitaire SNCM 2011 V3 30 05 2011" xfId="15" xr:uid="{00000000-0005-0000-0000-00000D000000}"/>
    <cellStyle name="0_PPA SNCM - présentation CAC 28 06 2011" xfId="16" xr:uid="{00000000-0005-0000-0000-00000E000000}"/>
    <cellStyle name="0_Simul location facturée par Trenitalia" xfId="17" xr:uid="{00000000-0005-0000-0000-00000F000000}"/>
    <cellStyle name="20% - Accent1" xfId="18" xr:uid="{00000000-0005-0000-0000-000010000000}"/>
    <cellStyle name="20% - Accent2" xfId="19" xr:uid="{00000000-0005-0000-0000-000011000000}"/>
    <cellStyle name="20% - Accent3" xfId="20" xr:uid="{00000000-0005-0000-0000-000012000000}"/>
    <cellStyle name="20% - Accent4" xfId="21" xr:uid="{00000000-0005-0000-0000-000013000000}"/>
    <cellStyle name="20% - Accent5" xfId="22" xr:uid="{00000000-0005-0000-0000-000014000000}"/>
    <cellStyle name="20% - Accent6" xfId="23" xr:uid="{00000000-0005-0000-0000-000015000000}"/>
    <cellStyle name="40% - Accent1" xfId="24" xr:uid="{00000000-0005-0000-0000-000016000000}"/>
    <cellStyle name="40% - Accent2" xfId="25" xr:uid="{00000000-0005-0000-0000-000017000000}"/>
    <cellStyle name="40% - Accent3" xfId="26" xr:uid="{00000000-0005-0000-0000-000018000000}"/>
    <cellStyle name="40% - Accent4" xfId="27" xr:uid="{00000000-0005-0000-0000-000019000000}"/>
    <cellStyle name="40% - Accent5" xfId="28" xr:uid="{00000000-0005-0000-0000-00001A000000}"/>
    <cellStyle name="40% - Accent6" xfId="29" xr:uid="{00000000-0005-0000-0000-00001B000000}"/>
    <cellStyle name="60% - Accent1" xfId="30" xr:uid="{00000000-0005-0000-0000-00001C000000}"/>
    <cellStyle name="60% - Accent2" xfId="31" xr:uid="{00000000-0005-0000-0000-00001D000000}"/>
    <cellStyle name="60% - Accent3" xfId="32" xr:uid="{00000000-0005-0000-0000-00001E000000}"/>
    <cellStyle name="60% - Accent4" xfId="33" xr:uid="{00000000-0005-0000-0000-00001F000000}"/>
    <cellStyle name="60% - Accent5" xfId="34" xr:uid="{00000000-0005-0000-0000-000020000000}"/>
    <cellStyle name="60% - Accent6" xfId="35" xr:uid="{00000000-0005-0000-0000-000021000000}"/>
    <cellStyle name="at" xfId="36" xr:uid="{00000000-0005-0000-0000-000022000000}"/>
    <cellStyle name="b" xfId="37" xr:uid="{00000000-0005-0000-0000-000023000000}"/>
    <cellStyle name="b%0" xfId="38" xr:uid="{00000000-0005-0000-0000-000024000000}"/>
    <cellStyle name="b%1" xfId="39" xr:uid="{00000000-0005-0000-0000-000025000000}"/>
    <cellStyle name="b%2" xfId="40" xr:uid="{00000000-0005-0000-0000-000026000000}"/>
    <cellStyle name="b_Actualisation provision contrat déficitaire SNCM 2010 V Def" xfId="41" xr:uid="{00000000-0005-0000-0000-000027000000}"/>
    <cellStyle name="b_Actualisation provision contrat déficitaire SNCM 2011 V3 30 05 2011" xfId="42" xr:uid="{00000000-0005-0000-0000-000028000000}"/>
    <cellStyle name="b_LI819L_B13" xfId="43" xr:uid="{00000000-0005-0000-0000-000029000000}"/>
    <cellStyle name="b_PAO-CAF-RESOP_14_01_13 à 20h" xfId="44" xr:uid="{00000000-0005-0000-0000-00002A000000}"/>
    <cellStyle name="b0" xfId="45" xr:uid="{00000000-0005-0000-0000-00002B000000}"/>
    <cellStyle name="b09" xfId="46" xr:uid="{00000000-0005-0000-0000-00002C000000}"/>
    <cellStyle name="b1" xfId="47" xr:uid="{00000000-0005-0000-0000-00002D000000}"/>
    <cellStyle name="b2" xfId="48" xr:uid="{00000000-0005-0000-0000-00002E000000}"/>
    <cellStyle name="Bad" xfId="49" xr:uid="{00000000-0005-0000-0000-00002F000000}"/>
    <cellStyle name="Black" xfId="50" xr:uid="{00000000-0005-0000-0000-000030000000}"/>
    <cellStyle name="blue" xfId="51" xr:uid="{00000000-0005-0000-0000-000031000000}"/>
    <cellStyle name="bo" xfId="52" xr:uid="{00000000-0005-0000-0000-000032000000}"/>
    <cellStyle name="Bold/Border" xfId="53" xr:uid="{00000000-0005-0000-0000-000033000000}"/>
    <cellStyle name="Bottom" xfId="54" xr:uid="{00000000-0005-0000-0000-000034000000}"/>
    <cellStyle name="bout" xfId="55" xr:uid="{00000000-0005-0000-0000-000035000000}"/>
    <cellStyle name="bt" xfId="56" xr:uid="{00000000-0005-0000-0000-000036000000}"/>
    <cellStyle name="btit" xfId="57" xr:uid="{00000000-0005-0000-0000-000037000000}"/>
    <cellStyle name="Bullet" xfId="58" xr:uid="{00000000-0005-0000-0000-000038000000}"/>
    <cellStyle name="c" xfId="59" xr:uid="{00000000-0005-0000-0000-000039000000}"/>
    <cellStyle name="c_Actualisation provision contrat déficitaire SNCM 2010 V Def" xfId="60" xr:uid="{00000000-0005-0000-0000-00003A000000}"/>
    <cellStyle name="c_Actualisation provision contrat déficitaire SNCM 2011 V3 30 05 2011" xfId="61" xr:uid="{00000000-0005-0000-0000-00003B000000}"/>
    <cellStyle name="c_Grouse+Pelican" xfId="62" xr:uid="{00000000-0005-0000-0000-00003C000000}"/>
    <cellStyle name="c_LI819L_B13" xfId="63" xr:uid="{00000000-0005-0000-0000-00003D000000}"/>
    <cellStyle name="c_Macros" xfId="64" xr:uid="{00000000-0005-0000-0000-00003E000000}"/>
    <cellStyle name="c_Macros (2)" xfId="65" xr:uid="{00000000-0005-0000-0000-00003F000000}"/>
    <cellStyle name="c_Macros (2)_Actualisation provision contrat déficitaire SNCM 2010 V Def" xfId="66" xr:uid="{00000000-0005-0000-0000-000040000000}"/>
    <cellStyle name="c_Macros (2)_Actualisation provision contrat déficitaire SNCM 2011 V3 30 05 2011" xfId="67" xr:uid="{00000000-0005-0000-0000-000041000000}"/>
    <cellStyle name="c_Macros (2)_LI819L_B13" xfId="68" xr:uid="{00000000-0005-0000-0000-000042000000}"/>
    <cellStyle name="c_Macros (2)_PAO-CAF-RESOP_14_01_13 à 20h" xfId="69" xr:uid="{00000000-0005-0000-0000-000043000000}"/>
    <cellStyle name="c_Macros_Actualisation provision contrat déficitaire SNCM 2010 V Def" xfId="70" xr:uid="{00000000-0005-0000-0000-000044000000}"/>
    <cellStyle name="c_Macros_Actualisation provision contrat déficitaire SNCM 2011 V3 30 05 2011" xfId="71" xr:uid="{00000000-0005-0000-0000-000045000000}"/>
    <cellStyle name="c_Macros_LI819L_B13" xfId="72" xr:uid="{00000000-0005-0000-0000-000046000000}"/>
    <cellStyle name="c_Macros_PAO-CAF-RESOP_14_01_13 à 20h" xfId="73" xr:uid="{00000000-0005-0000-0000-000047000000}"/>
    <cellStyle name="c_Manager (2)" xfId="74" xr:uid="{00000000-0005-0000-0000-000048000000}"/>
    <cellStyle name="c_Manager (2)_Actualisation provision contrat déficitaire SNCM 2010 V Def" xfId="75" xr:uid="{00000000-0005-0000-0000-000049000000}"/>
    <cellStyle name="c_Manager (2)_Actualisation provision contrat déficitaire SNCM 2011 V3 30 05 2011" xfId="76" xr:uid="{00000000-0005-0000-0000-00004A000000}"/>
    <cellStyle name="c_Manager (2)_LI819L_B13" xfId="77" xr:uid="{00000000-0005-0000-0000-00004B000000}"/>
    <cellStyle name="c_Manager (2)_PAO-CAF-RESOP_14_01_13 à 20h" xfId="78" xr:uid="{00000000-0005-0000-0000-00004C000000}"/>
    <cellStyle name="c_PAO-CAF-RESOP_14_01_13 à 20h" xfId="79" xr:uid="{00000000-0005-0000-0000-00004D000000}"/>
    <cellStyle name="c0" xfId="80" xr:uid="{00000000-0005-0000-0000-00004E000000}"/>
    <cellStyle name="cach" xfId="81" xr:uid="{00000000-0005-0000-0000-00004F000000}"/>
    <cellStyle name="Calculation" xfId="82" xr:uid="{00000000-0005-0000-0000-000050000000}"/>
    <cellStyle name="Check Cell" xfId="83" xr:uid="{00000000-0005-0000-0000-000051000000}"/>
    <cellStyle name="chiffre" xfId="84" xr:uid="{00000000-0005-0000-0000-000052000000}"/>
    <cellStyle name="co" xfId="85" xr:uid="{00000000-0005-0000-0000-000053000000}"/>
    <cellStyle name="Comma [1]" xfId="86" xr:uid="{00000000-0005-0000-0000-000054000000}"/>
    <cellStyle name="Comma [2]" xfId="87" xr:uid="{00000000-0005-0000-0000-000055000000}"/>
    <cellStyle name="Comma 4" xfId="88" xr:uid="{00000000-0005-0000-0000-000056000000}"/>
    <cellStyle name="Comma 5" xfId="89" xr:uid="{00000000-0005-0000-0000-000057000000}"/>
    <cellStyle name="Comma_Axmann Utopia toolbox all_in_one" xfId="90" xr:uid="{00000000-0005-0000-0000-000058000000}"/>
    <cellStyle name="Currency [1]" xfId="91" xr:uid="{00000000-0005-0000-0000-000059000000}"/>
    <cellStyle name="Currency [2]" xfId="92" xr:uid="{00000000-0005-0000-0000-00005A000000}"/>
    <cellStyle name="Currency_Axmann Utopia toolbox all_in_one" xfId="93" xr:uid="{00000000-0005-0000-0000-00005B000000}"/>
    <cellStyle name="Currency-Denomination" xfId="94" xr:uid="{00000000-0005-0000-0000-00005C000000}"/>
    <cellStyle name="Dash" xfId="95" xr:uid="{00000000-0005-0000-0000-00005D000000}"/>
    <cellStyle name="Decimal_0dp" xfId="96" xr:uid="{00000000-0005-0000-0000-00005E000000}"/>
    <cellStyle name="Dezimal__Utopia Index Index und Guidance (Deutsch)" xfId="97" xr:uid="{00000000-0005-0000-0000-00005F000000}"/>
    <cellStyle name="Euro" xfId="98" xr:uid="{00000000-0005-0000-0000-000060000000}"/>
    <cellStyle name="Euro 2" xfId="99" xr:uid="{00000000-0005-0000-0000-000061000000}"/>
    <cellStyle name="Explanatory Text" xfId="100" xr:uid="{00000000-0005-0000-0000-000062000000}"/>
    <cellStyle name="EY Narrative text" xfId="101" xr:uid="{00000000-0005-0000-0000-000063000000}"/>
    <cellStyle name="EY%colcalc" xfId="102" xr:uid="{00000000-0005-0000-0000-000064000000}"/>
    <cellStyle name="EY%colcalc 2" xfId="103" xr:uid="{00000000-0005-0000-0000-000065000000}"/>
    <cellStyle name="EY%input" xfId="104" xr:uid="{00000000-0005-0000-0000-000066000000}"/>
    <cellStyle name="EY%input 2" xfId="105" xr:uid="{00000000-0005-0000-0000-000067000000}"/>
    <cellStyle name="EY%rowcalc" xfId="106" xr:uid="{00000000-0005-0000-0000-000068000000}"/>
    <cellStyle name="EY%rowcalc 2" xfId="107" xr:uid="{00000000-0005-0000-0000-000069000000}"/>
    <cellStyle name="EY0dp" xfId="108" xr:uid="{00000000-0005-0000-0000-00006A000000}"/>
    <cellStyle name="EY0dp 2" xfId="109" xr:uid="{00000000-0005-0000-0000-00006B000000}"/>
    <cellStyle name="EY1dp" xfId="110" xr:uid="{00000000-0005-0000-0000-00006C000000}"/>
    <cellStyle name="EY1dp 2" xfId="111" xr:uid="{00000000-0005-0000-0000-00006D000000}"/>
    <cellStyle name="EY2dp" xfId="112" xr:uid="{00000000-0005-0000-0000-00006E000000}"/>
    <cellStyle name="EY2dp 2" xfId="113" xr:uid="{00000000-0005-0000-0000-00006F000000}"/>
    <cellStyle name="EY3dp" xfId="114" xr:uid="{00000000-0005-0000-0000-000070000000}"/>
    <cellStyle name="EY3dp 2" xfId="115" xr:uid="{00000000-0005-0000-0000-000071000000}"/>
    <cellStyle name="EYColumnHeading" xfId="116" xr:uid="{00000000-0005-0000-0000-000072000000}"/>
    <cellStyle name="EYColumnHeading 2" xfId="117" xr:uid="{00000000-0005-0000-0000-000073000000}"/>
    <cellStyle name="EYColumnHeading 3" xfId="118" xr:uid="{00000000-0005-0000-0000-000074000000}"/>
    <cellStyle name="EYColumnHeadingItalic" xfId="119" xr:uid="{00000000-0005-0000-0000-000075000000}"/>
    <cellStyle name="EYCoverDatabookName" xfId="120" xr:uid="{00000000-0005-0000-0000-000076000000}"/>
    <cellStyle name="EYCoverDate" xfId="121" xr:uid="{00000000-0005-0000-0000-000077000000}"/>
    <cellStyle name="EYCoverDraft" xfId="122" xr:uid="{00000000-0005-0000-0000-000078000000}"/>
    <cellStyle name="EYCoverProjectName" xfId="123" xr:uid="{00000000-0005-0000-0000-000079000000}"/>
    <cellStyle name="EYCurrency" xfId="124" xr:uid="{00000000-0005-0000-0000-00007A000000}"/>
    <cellStyle name="EYHeading1" xfId="125" xr:uid="{00000000-0005-0000-0000-00007B000000}"/>
    <cellStyle name="EYheading2" xfId="126" xr:uid="{00000000-0005-0000-0000-00007C000000}"/>
    <cellStyle name="EYheading3" xfId="127" xr:uid="{00000000-0005-0000-0000-00007D000000}"/>
    <cellStyle name="EYNotes" xfId="128" xr:uid="{00000000-0005-0000-0000-00007E000000}"/>
    <cellStyle name="EYNotesHeading" xfId="129" xr:uid="{00000000-0005-0000-0000-00007F000000}"/>
    <cellStyle name="EYnumber" xfId="130" xr:uid="{00000000-0005-0000-0000-000080000000}"/>
    <cellStyle name="EYnumber 2" xfId="131" xr:uid="{00000000-0005-0000-0000-000081000000}"/>
    <cellStyle name="EYSectionHeading" xfId="132" xr:uid="{00000000-0005-0000-0000-000082000000}"/>
    <cellStyle name="EYSheetHeader1" xfId="133" xr:uid="{00000000-0005-0000-0000-000083000000}"/>
    <cellStyle name="EYSheetHeading" xfId="134" xr:uid="{00000000-0005-0000-0000-000084000000}"/>
    <cellStyle name="EYsmallheading" xfId="135" xr:uid="{00000000-0005-0000-0000-000085000000}"/>
    <cellStyle name="EYSource" xfId="136" xr:uid="{00000000-0005-0000-0000-000086000000}"/>
    <cellStyle name="EYtext" xfId="137" xr:uid="{00000000-0005-0000-0000-000087000000}"/>
    <cellStyle name="EYtext 2" xfId="138" xr:uid="{00000000-0005-0000-0000-000088000000}"/>
    <cellStyle name="EYtext 3" xfId="139" xr:uid="{00000000-0005-0000-0000-000089000000}"/>
    <cellStyle name="EYtextbold" xfId="140" xr:uid="{00000000-0005-0000-0000-00008A000000}"/>
    <cellStyle name="EYtextbolditalic" xfId="141" xr:uid="{00000000-0005-0000-0000-00008B000000}"/>
    <cellStyle name="EYtextitalic" xfId="142" xr:uid="{00000000-0005-0000-0000-00008C000000}"/>
    <cellStyle name="Followed Hyperlink" xfId="143" xr:uid="{00000000-0005-0000-0000-00008D000000}"/>
    <cellStyle name="Forecast Cell Column Heading" xfId="144" xr:uid="{00000000-0005-0000-0000-00008E000000}"/>
    <cellStyle name="FormattingSheetDelimitor" xfId="145" xr:uid="{00000000-0005-0000-0000-00008F000000}"/>
    <cellStyle name="FRxAmtStyle" xfId="146" xr:uid="{00000000-0005-0000-0000-000090000000}"/>
    <cellStyle name="FRxPcntStyle" xfId="147" xr:uid="{00000000-0005-0000-0000-000091000000}"/>
    <cellStyle name="Good" xfId="148" xr:uid="{00000000-0005-0000-0000-000092000000}"/>
    <cellStyle name="h" xfId="149" xr:uid="{00000000-0005-0000-0000-000093000000}"/>
    <cellStyle name="Heading 1" xfId="150" xr:uid="{00000000-0005-0000-0000-000094000000}"/>
    <cellStyle name="Heading 2" xfId="151" xr:uid="{00000000-0005-0000-0000-000095000000}"/>
    <cellStyle name="Heading 3" xfId="152" xr:uid="{00000000-0005-0000-0000-000096000000}"/>
    <cellStyle name="Heading 4" xfId="153" xr:uid="{00000000-0005-0000-0000-000097000000}"/>
    <cellStyle name="Hyperlink" xfId="154" xr:uid="{00000000-0005-0000-0000-000098000000}"/>
    <cellStyle name="Input" xfId="155" xr:uid="{00000000-0005-0000-0000-000099000000}"/>
    <cellStyle name="Input 2" xfId="156" xr:uid="{00000000-0005-0000-0000-00009A000000}"/>
    <cellStyle name="InputBlueFont" xfId="157" xr:uid="{00000000-0005-0000-0000-00009B000000}"/>
    <cellStyle name="InputBlueFontLocked" xfId="158" xr:uid="{00000000-0005-0000-0000-00009C000000}"/>
    <cellStyle name="KPMG Heading 1" xfId="159" xr:uid="{00000000-0005-0000-0000-00009D000000}"/>
    <cellStyle name="KPMG Heading 2" xfId="160" xr:uid="{00000000-0005-0000-0000-00009E000000}"/>
    <cellStyle name="KPMG Heading 3" xfId="161" xr:uid="{00000000-0005-0000-0000-00009F000000}"/>
    <cellStyle name="KPMG Heading 4" xfId="162" xr:uid="{00000000-0005-0000-0000-0000A0000000}"/>
    <cellStyle name="KPMG Normal" xfId="163" xr:uid="{00000000-0005-0000-0000-0000A1000000}"/>
    <cellStyle name="KPMG Normal Text" xfId="164" xr:uid="{00000000-0005-0000-0000-0000A2000000}"/>
    <cellStyle name="Linked Cell" xfId="165" xr:uid="{00000000-0005-0000-0000-0000A3000000}"/>
    <cellStyle name="LTM Cell Column Heading" xfId="166" xr:uid="{00000000-0005-0000-0000-0000A4000000}"/>
    <cellStyle name="Milliers 2" xfId="167" xr:uid="{00000000-0005-0000-0000-0000A5000000}"/>
    <cellStyle name="Multiple" xfId="168" xr:uid="{00000000-0005-0000-0000-0000A6000000}"/>
    <cellStyle name="Multiple Cell Column Heading" xfId="169" xr:uid="{00000000-0005-0000-0000-0000A7000000}"/>
    <cellStyle name="Navadno 2" xfId="170" xr:uid="{00000000-0005-0000-0000-0000A8000000}"/>
    <cellStyle name="Neutral" xfId="171" xr:uid="{00000000-0005-0000-0000-0000A9000000}"/>
    <cellStyle name="no" xfId="172" xr:uid="{00000000-0005-0000-0000-0000AA000000}"/>
    <cellStyle name="No-definido" xfId="173" xr:uid="{00000000-0005-0000-0000-0000AB000000}"/>
    <cellStyle name="Non d‚fini" xfId="174" xr:uid="{00000000-0005-0000-0000-0000AC000000}"/>
    <cellStyle name="Non d‚fini 2" xfId="175" xr:uid="{00000000-0005-0000-0000-0000AD000000}"/>
    <cellStyle name="Normal" xfId="0" builtinId="0"/>
    <cellStyle name="Normal - Style1" xfId="176" xr:uid="{00000000-0005-0000-0000-0000AF000000}"/>
    <cellStyle name="Normal - Style2" xfId="177" xr:uid="{00000000-0005-0000-0000-0000B0000000}"/>
    <cellStyle name="Normal - Style3" xfId="178" xr:uid="{00000000-0005-0000-0000-0000B1000000}"/>
    <cellStyle name="Normal - Style4" xfId="179" xr:uid="{00000000-0005-0000-0000-0000B2000000}"/>
    <cellStyle name="Normal - Style5" xfId="180" xr:uid="{00000000-0005-0000-0000-0000B3000000}"/>
    <cellStyle name="Normal - Style6" xfId="181" xr:uid="{00000000-0005-0000-0000-0000B4000000}"/>
    <cellStyle name="Normal - Style7" xfId="182" xr:uid="{00000000-0005-0000-0000-0000B5000000}"/>
    <cellStyle name="Normal - Style8" xfId="183" xr:uid="{00000000-0005-0000-0000-0000B6000000}"/>
    <cellStyle name="Normal 10" xfId="184" xr:uid="{00000000-0005-0000-0000-0000B7000000}"/>
    <cellStyle name="Normal 10 2" xfId="185" xr:uid="{00000000-0005-0000-0000-0000B8000000}"/>
    <cellStyle name="Normal 10 2 2" xfId="186" xr:uid="{00000000-0005-0000-0000-0000B9000000}"/>
    <cellStyle name="Normal 10 2 3" xfId="187" xr:uid="{00000000-0005-0000-0000-0000BA000000}"/>
    <cellStyle name="Normal 10 3" xfId="188" xr:uid="{00000000-0005-0000-0000-0000BB000000}"/>
    <cellStyle name="Normal 10 4" xfId="189" xr:uid="{00000000-0005-0000-0000-0000BC000000}"/>
    <cellStyle name="Normal 10 5" xfId="446" xr:uid="{00000000-0005-0000-0000-0000BD000000}"/>
    <cellStyle name="Normal 11" xfId="190" xr:uid="{00000000-0005-0000-0000-0000BE000000}"/>
    <cellStyle name="Normal 12" xfId="191" xr:uid="{00000000-0005-0000-0000-0000BF000000}"/>
    <cellStyle name="Normal 13" xfId="192" xr:uid="{00000000-0005-0000-0000-0000C0000000}"/>
    <cellStyle name="Normal 14" xfId="193" xr:uid="{00000000-0005-0000-0000-0000C1000000}"/>
    <cellStyle name="Normal 15" xfId="194" xr:uid="{00000000-0005-0000-0000-0000C2000000}"/>
    <cellStyle name="Normal 16" xfId="195" xr:uid="{00000000-0005-0000-0000-0000C3000000}"/>
    <cellStyle name="Normal 17" xfId="196" xr:uid="{00000000-0005-0000-0000-0000C4000000}"/>
    <cellStyle name="Normal 18" xfId="197" xr:uid="{00000000-0005-0000-0000-0000C5000000}"/>
    <cellStyle name="Normal 19" xfId="198" xr:uid="{00000000-0005-0000-0000-0000C6000000}"/>
    <cellStyle name="Normal 2" xfId="199" xr:uid="{00000000-0005-0000-0000-0000C7000000}"/>
    <cellStyle name="Normal 2 10" xfId="200" xr:uid="{00000000-0005-0000-0000-0000C8000000}"/>
    <cellStyle name="Normal 2 11" xfId="201" xr:uid="{00000000-0005-0000-0000-0000C9000000}"/>
    <cellStyle name="Normal 2 12" xfId="202" xr:uid="{00000000-0005-0000-0000-0000CA000000}"/>
    <cellStyle name="Normal 2 13" xfId="203" xr:uid="{00000000-0005-0000-0000-0000CB000000}"/>
    <cellStyle name="Normal 2 14" xfId="204" xr:uid="{00000000-0005-0000-0000-0000CC000000}"/>
    <cellStyle name="Normal 2 15" xfId="205" xr:uid="{00000000-0005-0000-0000-0000CD000000}"/>
    <cellStyle name="Normal 2 16" xfId="206" xr:uid="{00000000-0005-0000-0000-0000CE000000}"/>
    <cellStyle name="Normal 2 17" xfId="207" xr:uid="{00000000-0005-0000-0000-0000CF000000}"/>
    <cellStyle name="Normal 2 2" xfId="208" xr:uid="{00000000-0005-0000-0000-0000D0000000}"/>
    <cellStyle name="Normal 2 3" xfId="209" xr:uid="{00000000-0005-0000-0000-0000D1000000}"/>
    <cellStyle name="Normal 2 4" xfId="210" xr:uid="{00000000-0005-0000-0000-0000D2000000}"/>
    <cellStyle name="Normal 2 5" xfId="211" xr:uid="{00000000-0005-0000-0000-0000D3000000}"/>
    <cellStyle name="Normal 2 6" xfId="212" xr:uid="{00000000-0005-0000-0000-0000D4000000}"/>
    <cellStyle name="Normal 2 7" xfId="213" xr:uid="{00000000-0005-0000-0000-0000D5000000}"/>
    <cellStyle name="Normal 2 8" xfId="214" xr:uid="{00000000-0005-0000-0000-0000D6000000}"/>
    <cellStyle name="Normal 2 9" xfId="215" xr:uid="{00000000-0005-0000-0000-0000D7000000}"/>
    <cellStyle name="Normal 20" xfId="216" xr:uid="{00000000-0005-0000-0000-0000D8000000}"/>
    <cellStyle name="Normal 21" xfId="217" xr:uid="{00000000-0005-0000-0000-0000D9000000}"/>
    <cellStyle name="Normal 22" xfId="218" xr:uid="{00000000-0005-0000-0000-0000DA000000}"/>
    <cellStyle name="Normal 23" xfId="219" xr:uid="{00000000-0005-0000-0000-0000DB000000}"/>
    <cellStyle name="Normal 24" xfId="220" xr:uid="{00000000-0005-0000-0000-0000DC000000}"/>
    <cellStyle name="Normal 25" xfId="221" xr:uid="{00000000-0005-0000-0000-0000DD000000}"/>
    <cellStyle name="Normal 26" xfId="222" xr:uid="{00000000-0005-0000-0000-0000DE000000}"/>
    <cellStyle name="Normal 27" xfId="223" xr:uid="{00000000-0005-0000-0000-0000DF000000}"/>
    <cellStyle name="Normal 28" xfId="224" xr:uid="{00000000-0005-0000-0000-0000E0000000}"/>
    <cellStyle name="Normal 29" xfId="225" xr:uid="{00000000-0005-0000-0000-0000E1000000}"/>
    <cellStyle name="Normal 3" xfId="226" xr:uid="{00000000-0005-0000-0000-0000E2000000}"/>
    <cellStyle name="Normal 3 10" xfId="227" xr:uid="{00000000-0005-0000-0000-0000E3000000}"/>
    <cellStyle name="Normal 3 11" xfId="228" xr:uid="{00000000-0005-0000-0000-0000E4000000}"/>
    <cellStyle name="Normal 3 12" xfId="229" xr:uid="{00000000-0005-0000-0000-0000E5000000}"/>
    <cellStyle name="Normal 3 2" xfId="230" xr:uid="{00000000-0005-0000-0000-0000E6000000}"/>
    <cellStyle name="Normal 3 3" xfId="231" xr:uid="{00000000-0005-0000-0000-0000E7000000}"/>
    <cellStyle name="Normal 3 4" xfId="232" xr:uid="{00000000-0005-0000-0000-0000E8000000}"/>
    <cellStyle name="Normal 3 5" xfId="233" xr:uid="{00000000-0005-0000-0000-0000E9000000}"/>
    <cellStyle name="Normal 3 6" xfId="234" xr:uid="{00000000-0005-0000-0000-0000EA000000}"/>
    <cellStyle name="Normal 3 7" xfId="235" xr:uid="{00000000-0005-0000-0000-0000EB000000}"/>
    <cellStyle name="Normal 3 8" xfId="236" xr:uid="{00000000-0005-0000-0000-0000EC000000}"/>
    <cellStyle name="Normal 3 9" xfId="237" xr:uid="{00000000-0005-0000-0000-0000ED000000}"/>
    <cellStyle name="Normal 30" xfId="238" xr:uid="{00000000-0005-0000-0000-0000EE000000}"/>
    <cellStyle name="Normal 31" xfId="239" xr:uid="{00000000-0005-0000-0000-0000EF000000}"/>
    <cellStyle name="Normal 32" xfId="240" xr:uid="{00000000-0005-0000-0000-0000F0000000}"/>
    <cellStyle name="Normal 32 2" xfId="241" xr:uid="{00000000-0005-0000-0000-0000F1000000}"/>
    <cellStyle name="Normal 33" xfId="242" xr:uid="{00000000-0005-0000-0000-0000F2000000}"/>
    <cellStyle name="Normal 34" xfId="243" xr:uid="{00000000-0005-0000-0000-0000F3000000}"/>
    <cellStyle name="Normal 38" xfId="448" xr:uid="{00000000-0005-0000-0000-0000F4000000}"/>
    <cellStyle name="Normal 4" xfId="244" xr:uid="{00000000-0005-0000-0000-0000F5000000}"/>
    <cellStyle name="Normal 4 2" xfId="245" xr:uid="{00000000-0005-0000-0000-0000F6000000}"/>
    <cellStyle name="Normal 4 3" xfId="246" xr:uid="{00000000-0005-0000-0000-0000F7000000}"/>
    <cellStyle name="Normal 4_NBV" xfId="247" xr:uid="{00000000-0005-0000-0000-0000F8000000}"/>
    <cellStyle name="Normal 46" xfId="447" xr:uid="{00000000-0005-0000-0000-0000F9000000}"/>
    <cellStyle name="Normal 5" xfId="248" xr:uid="{00000000-0005-0000-0000-0000FA000000}"/>
    <cellStyle name="Normal 5 2" xfId="249" xr:uid="{00000000-0005-0000-0000-0000FB000000}"/>
    <cellStyle name="Normal 6" xfId="250" xr:uid="{00000000-0005-0000-0000-0000FC000000}"/>
    <cellStyle name="Normal 6 2" xfId="251" xr:uid="{00000000-0005-0000-0000-0000FD000000}"/>
    <cellStyle name="Normal 6 2 2" xfId="252" xr:uid="{00000000-0005-0000-0000-0000FE000000}"/>
    <cellStyle name="Normal 6 2 3" xfId="253" xr:uid="{00000000-0005-0000-0000-0000FF000000}"/>
    <cellStyle name="Normal 6 3" xfId="254" xr:uid="{00000000-0005-0000-0000-000000010000}"/>
    <cellStyle name="Normal 6 4" xfId="255" xr:uid="{00000000-0005-0000-0000-000001010000}"/>
    <cellStyle name="Normal 6 5" xfId="256" xr:uid="{00000000-0005-0000-0000-000002010000}"/>
    <cellStyle name="Normal 7" xfId="257" xr:uid="{00000000-0005-0000-0000-000003010000}"/>
    <cellStyle name="Normal 7 2" xfId="258" xr:uid="{00000000-0005-0000-0000-000004010000}"/>
    <cellStyle name="Normal 7 2 2" xfId="259" xr:uid="{00000000-0005-0000-0000-000005010000}"/>
    <cellStyle name="Normal 7 2 3" xfId="260" xr:uid="{00000000-0005-0000-0000-000006010000}"/>
    <cellStyle name="Normal 7 3" xfId="261" xr:uid="{00000000-0005-0000-0000-000007010000}"/>
    <cellStyle name="Normal 7 4" xfId="262" xr:uid="{00000000-0005-0000-0000-000008010000}"/>
    <cellStyle name="Normal 7 5" xfId="263" xr:uid="{00000000-0005-0000-0000-000009010000}"/>
    <cellStyle name="Normal 8" xfId="264" xr:uid="{00000000-0005-0000-0000-00000A010000}"/>
    <cellStyle name="Normal 8 2" xfId="265" xr:uid="{00000000-0005-0000-0000-00000B010000}"/>
    <cellStyle name="Normal 8 2 2" xfId="266" xr:uid="{00000000-0005-0000-0000-00000C010000}"/>
    <cellStyle name="Normal 8 2 3" xfId="267" xr:uid="{00000000-0005-0000-0000-00000D010000}"/>
    <cellStyle name="Normal 8 3" xfId="268" xr:uid="{00000000-0005-0000-0000-00000E010000}"/>
    <cellStyle name="Normal 8 4" xfId="269" xr:uid="{00000000-0005-0000-0000-00000F010000}"/>
    <cellStyle name="Normal 9" xfId="270" xr:uid="{00000000-0005-0000-0000-000010010000}"/>
    <cellStyle name="Normal 9 2" xfId="271" xr:uid="{00000000-0005-0000-0000-000011010000}"/>
    <cellStyle name="Normal 9 2 2" xfId="272" xr:uid="{00000000-0005-0000-0000-000012010000}"/>
    <cellStyle name="Normal 9 2 3" xfId="273" xr:uid="{00000000-0005-0000-0000-000013010000}"/>
    <cellStyle name="Normal 9 3" xfId="274" xr:uid="{00000000-0005-0000-0000-000014010000}"/>
    <cellStyle name="Normal 9 4" xfId="275" xr:uid="{00000000-0005-0000-0000-000015010000}"/>
    <cellStyle name="Normal_EBIT_EBITDA  groupe Actual 2003.12" xfId="1" xr:uid="{00000000-0005-0000-0000-000016010000}"/>
    <cellStyle name="Note" xfId="276" xr:uid="{00000000-0005-0000-0000-000017010000}"/>
    <cellStyle name="Notes_multi" xfId="277" xr:uid="{00000000-0005-0000-0000-000018010000}"/>
    <cellStyle name="Output" xfId="278" xr:uid="{00000000-0005-0000-0000-000019010000}"/>
    <cellStyle name="p" xfId="279" xr:uid="{00000000-0005-0000-0000-00001A010000}"/>
    <cellStyle name="p_Actualisation provision contrat déficitaire SNCM 2010 V Def" xfId="280" xr:uid="{00000000-0005-0000-0000-00001B010000}"/>
    <cellStyle name="p_Actualisation provision contrat déficitaire SNCM 2011 V3 30 05 2011" xfId="281" xr:uid="{00000000-0005-0000-0000-00001C010000}"/>
    <cellStyle name="p_PPA SNCM - présentation CAC 28 06 2011" xfId="282" xr:uid="{00000000-0005-0000-0000-00001D010000}"/>
    <cellStyle name="pb_page_heading_LS" xfId="283" xr:uid="{00000000-0005-0000-0000-00001E010000}"/>
    <cellStyle name="pe" xfId="284" xr:uid="{00000000-0005-0000-0000-00001F010000}"/>
    <cellStyle name="per" xfId="285" xr:uid="{00000000-0005-0000-0000-000020010000}"/>
    <cellStyle name="Percent [0]" xfId="286" xr:uid="{00000000-0005-0000-0000-000021010000}"/>
    <cellStyle name="Percent [1]" xfId="287" xr:uid="{00000000-0005-0000-0000-000022010000}"/>
    <cellStyle name="Percent [2]" xfId="288" xr:uid="{00000000-0005-0000-0000-000023010000}"/>
    <cellStyle name="Percent 2" xfId="289" xr:uid="{00000000-0005-0000-0000-000024010000}"/>
    <cellStyle name="Percent 2 2" xfId="290" xr:uid="{00000000-0005-0000-0000-000025010000}"/>
    <cellStyle name="Pound" xfId="291" xr:uid="{00000000-0005-0000-0000-000026010000}"/>
    <cellStyle name="Pound [1]" xfId="292" xr:uid="{00000000-0005-0000-0000-000027010000}"/>
    <cellStyle name="Pound [2]" xfId="293" xr:uid="{00000000-0005-0000-0000-000028010000}"/>
    <cellStyle name="Pourcentage 2" xfId="294" xr:uid="{00000000-0005-0000-0000-000029010000}"/>
    <cellStyle name="Pourcentage 2 2" xfId="295" xr:uid="{00000000-0005-0000-0000-00002A010000}"/>
    <cellStyle name="Pourcentage 2 3" xfId="296" xr:uid="{00000000-0005-0000-0000-00002B010000}"/>
    <cellStyle name="Pourcentage 2 4" xfId="297" xr:uid="{00000000-0005-0000-0000-00002C010000}"/>
    <cellStyle name="Pourcentage 2 5" xfId="298" xr:uid="{00000000-0005-0000-0000-00002D010000}"/>
    <cellStyle name="Pourcentage 2 6" xfId="299" xr:uid="{00000000-0005-0000-0000-00002E010000}"/>
    <cellStyle name="Pourcentage 2 7" xfId="300" xr:uid="{00000000-0005-0000-0000-00002F010000}"/>
    <cellStyle name="Pourcentage 2 8" xfId="301" xr:uid="{00000000-0005-0000-0000-000030010000}"/>
    <cellStyle name="Pourcentage 3" xfId="302" xr:uid="{00000000-0005-0000-0000-000031010000}"/>
    <cellStyle name="Pourcentage 4" xfId="303" xr:uid="{00000000-0005-0000-0000-000032010000}"/>
    <cellStyle name="Pourcentage 5" xfId="304" xr:uid="{00000000-0005-0000-0000-000033010000}"/>
    <cellStyle name="ptit" xfId="305" xr:uid="{00000000-0005-0000-0000-000034010000}"/>
    <cellStyle name="rat" xfId="306" xr:uid="{00000000-0005-0000-0000-000035010000}"/>
    <cellStyle name="rate" xfId="307" xr:uid="{00000000-0005-0000-0000-000036010000}"/>
    <cellStyle name="ratio" xfId="308" xr:uid="{00000000-0005-0000-0000-000037010000}"/>
    <cellStyle name="s" xfId="309" xr:uid="{00000000-0005-0000-0000-000038010000}"/>
    <cellStyle name="s_Actualisation provision contrat déficitaire SNCM 2010 V Def" xfId="310" xr:uid="{00000000-0005-0000-0000-000039010000}"/>
    <cellStyle name="s_Actualisation provision contrat déficitaire SNCM 2011 V3 30 05 2011" xfId="311" xr:uid="{00000000-0005-0000-0000-00003A010000}"/>
    <cellStyle name="s_Assumptions" xfId="312" xr:uid="{00000000-0005-0000-0000-00003B010000}"/>
    <cellStyle name="s_Assumptions_Actualisation provision contrat déficitaire SNCM 2010 V Def" xfId="313" xr:uid="{00000000-0005-0000-0000-00003C010000}"/>
    <cellStyle name="s_Assumptions_Actualisation provision contrat déficitaire SNCM 2011 V3 30 05 2011" xfId="314" xr:uid="{00000000-0005-0000-0000-00003D010000}"/>
    <cellStyle name="s_Assumptions_LI819L_B13" xfId="315" xr:uid="{00000000-0005-0000-0000-00003E010000}"/>
    <cellStyle name="s_Assumptions_PAO-CAF-RESOP_14_01_13 à 20h" xfId="316" xr:uid="{00000000-0005-0000-0000-00003F010000}"/>
    <cellStyle name="s_B_S_Ratios _B" xfId="317" xr:uid="{00000000-0005-0000-0000-000040010000}"/>
    <cellStyle name="s_B_S_Ratios _B_Actualisation provision contrat déficitaire SNCM 2010 V Def" xfId="318" xr:uid="{00000000-0005-0000-0000-000041010000}"/>
    <cellStyle name="s_B_S_Ratios _B_Actualisation provision contrat déficitaire SNCM 2011 V3 30 05 2011" xfId="319" xr:uid="{00000000-0005-0000-0000-000042010000}"/>
    <cellStyle name="s_B_S_Ratios _B_LI819L_B13" xfId="320" xr:uid="{00000000-0005-0000-0000-000043010000}"/>
    <cellStyle name="s_B_S_Ratios _B_PAO-CAF-RESOP_14_01_13 à 20h" xfId="321" xr:uid="{00000000-0005-0000-0000-000044010000}"/>
    <cellStyle name="s_B_S_Ratios_T" xfId="322" xr:uid="{00000000-0005-0000-0000-000045010000}"/>
    <cellStyle name="s_B_S_Ratios_T_Actualisation provision contrat déficitaire SNCM 2010 V Def" xfId="323" xr:uid="{00000000-0005-0000-0000-000046010000}"/>
    <cellStyle name="s_B_S_Ratios_T_Actualisation provision contrat déficitaire SNCM 2011 V3 30 05 2011" xfId="324" xr:uid="{00000000-0005-0000-0000-000047010000}"/>
    <cellStyle name="s_B_S_Ratios_T_LI819L_B13" xfId="325" xr:uid="{00000000-0005-0000-0000-000048010000}"/>
    <cellStyle name="s_B_S_Ratios_T_PAO-CAF-RESOP_14_01_13 à 20h" xfId="326" xr:uid="{00000000-0005-0000-0000-000049010000}"/>
    <cellStyle name="s_DCFLBO Code" xfId="327" xr:uid="{00000000-0005-0000-0000-00004A010000}"/>
    <cellStyle name="s_DCFLBO Code_1" xfId="328" xr:uid="{00000000-0005-0000-0000-00004B010000}"/>
    <cellStyle name="s_DCFLBO Code_1_Actualisation provision contrat déficitaire SNCM 2010 V Def" xfId="329" xr:uid="{00000000-0005-0000-0000-00004C010000}"/>
    <cellStyle name="s_DCFLBO Code_1_Actualisation provision contrat déficitaire SNCM 2011 V3 30 05 2011" xfId="330" xr:uid="{00000000-0005-0000-0000-00004D010000}"/>
    <cellStyle name="s_DCFLBO Code_1_LI819L_B13" xfId="331" xr:uid="{00000000-0005-0000-0000-00004E010000}"/>
    <cellStyle name="s_DCFLBO Code_1_PAO-CAF-RESOP_14_01_13 à 20h" xfId="332" xr:uid="{00000000-0005-0000-0000-00004F010000}"/>
    <cellStyle name="s_DCFLBO Code_Actualisation provision contrat déficitaire SNCM 2010 V Def" xfId="333" xr:uid="{00000000-0005-0000-0000-000050010000}"/>
    <cellStyle name="s_DCFLBO Code_Actualisation provision contrat déficitaire SNCM 2011 V3 30 05 2011" xfId="334" xr:uid="{00000000-0005-0000-0000-000051010000}"/>
    <cellStyle name="s_DCFLBO Code_LI819L_B13" xfId="335" xr:uid="{00000000-0005-0000-0000-000052010000}"/>
    <cellStyle name="s_DCFLBO Code_PAO-CAF-RESOP_14_01_13 à 20h" xfId="336" xr:uid="{00000000-0005-0000-0000-000053010000}"/>
    <cellStyle name="s_Dilution" xfId="337" xr:uid="{00000000-0005-0000-0000-000054010000}"/>
    <cellStyle name="s_Dilution_Actualisation provision contrat déficitaire SNCM 2010 V Def" xfId="338" xr:uid="{00000000-0005-0000-0000-000055010000}"/>
    <cellStyle name="s_Dilution_Actualisation provision contrat déficitaire SNCM 2011 V3 30 05 2011" xfId="339" xr:uid="{00000000-0005-0000-0000-000056010000}"/>
    <cellStyle name="s_Dilution_LI819L_B13" xfId="340" xr:uid="{00000000-0005-0000-0000-000057010000}"/>
    <cellStyle name="s_Dilution_PAO-CAF-RESOP_14_01_13 à 20h" xfId="341" xr:uid="{00000000-0005-0000-0000-000058010000}"/>
    <cellStyle name="s_Financials_B" xfId="342" xr:uid="{00000000-0005-0000-0000-000059010000}"/>
    <cellStyle name="s_Financials_B_Actualisation provision contrat déficitaire SNCM 2010 V Def" xfId="343" xr:uid="{00000000-0005-0000-0000-00005A010000}"/>
    <cellStyle name="s_Financials_B_Actualisation provision contrat déficitaire SNCM 2011 V3 30 05 2011" xfId="344" xr:uid="{00000000-0005-0000-0000-00005B010000}"/>
    <cellStyle name="s_Financials_B_LI819L_B13" xfId="345" xr:uid="{00000000-0005-0000-0000-00005C010000}"/>
    <cellStyle name="s_Financials_B_PAO-CAF-RESOP_14_01_13 à 20h" xfId="346" xr:uid="{00000000-0005-0000-0000-00005D010000}"/>
    <cellStyle name="s_Financials_T" xfId="347" xr:uid="{00000000-0005-0000-0000-00005E010000}"/>
    <cellStyle name="s_Financials_T_Actualisation provision contrat déficitaire SNCM 2010 V Def" xfId="348" xr:uid="{00000000-0005-0000-0000-00005F010000}"/>
    <cellStyle name="s_Financials_T_Actualisation provision contrat déficitaire SNCM 2011 V3 30 05 2011" xfId="349" xr:uid="{00000000-0005-0000-0000-000060010000}"/>
    <cellStyle name="s_Financials_T_LI819L_B13" xfId="350" xr:uid="{00000000-0005-0000-0000-000061010000}"/>
    <cellStyle name="s_Financials_T_PAO-CAF-RESOP_14_01_13 à 20h" xfId="351" xr:uid="{00000000-0005-0000-0000-000062010000}"/>
    <cellStyle name="s_Grouse+Pelican" xfId="352" xr:uid="{00000000-0005-0000-0000-000063010000}"/>
    <cellStyle name="s_LI819L_B13" xfId="353" xr:uid="{00000000-0005-0000-0000-000064010000}"/>
    <cellStyle name="s_Matrix_B" xfId="354" xr:uid="{00000000-0005-0000-0000-000065010000}"/>
    <cellStyle name="s_Matrix_B_Actualisation provision contrat déficitaire SNCM 2010 V Def" xfId="355" xr:uid="{00000000-0005-0000-0000-000066010000}"/>
    <cellStyle name="s_Matrix_B_Actualisation provision contrat déficitaire SNCM 2011 V3 30 05 2011" xfId="356" xr:uid="{00000000-0005-0000-0000-000067010000}"/>
    <cellStyle name="s_Matrix_B_LI819L_B13" xfId="357" xr:uid="{00000000-0005-0000-0000-000068010000}"/>
    <cellStyle name="s_Matrix_B_PAO-CAF-RESOP_14_01_13 à 20h" xfId="358" xr:uid="{00000000-0005-0000-0000-000069010000}"/>
    <cellStyle name="s_Matrix_T" xfId="359" xr:uid="{00000000-0005-0000-0000-00006A010000}"/>
    <cellStyle name="s_Matrix_T_Actualisation provision contrat déficitaire SNCM 2010 V Def" xfId="360" xr:uid="{00000000-0005-0000-0000-00006B010000}"/>
    <cellStyle name="s_Matrix_T_Actualisation provision contrat déficitaire SNCM 2011 V3 30 05 2011" xfId="361" xr:uid="{00000000-0005-0000-0000-00006C010000}"/>
    <cellStyle name="s_Matrix_T_LI819L_B13" xfId="362" xr:uid="{00000000-0005-0000-0000-00006D010000}"/>
    <cellStyle name="s_Matrix_T_PAO-CAF-RESOP_14_01_13 à 20h" xfId="363" xr:uid="{00000000-0005-0000-0000-00006E010000}"/>
    <cellStyle name="s_Merger" xfId="364" xr:uid="{00000000-0005-0000-0000-00006F010000}"/>
    <cellStyle name="s_Merger_Actualisation provision contrat déficitaire SNCM 2010 V Def" xfId="365" xr:uid="{00000000-0005-0000-0000-000070010000}"/>
    <cellStyle name="s_Merger_Actualisation provision contrat déficitaire SNCM 2011 V3 30 05 2011" xfId="366" xr:uid="{00000000-0005-0000-0000-000071010000}"/>
    <cellStyle name="s_Merger_LI819L_B13" xfId="367" xr:uid="{00000000-0005-0000-0000-000072010000}"/>
    <cellStyle name="s_Merger_PAO-CAF-RESOP_14_01_13 à 20h" xfId="368" xr:uid="{00000000-0005-0000-0000-000073010000}"/>
    <cellStyle name="s_model2" xfId="369" xr:uid="{00000000-0005-0000-0000-000074010000}"/>
    <cellStyle name="s_model2_Actualisation provision contrat déficitaire SNCM 2010 V Def" xfId="370" xr:uid="{00000000-0005-0000-0000-000075010000}"/>
    <cellStyle name="s_model2_Actualisation provision contrat déficitaire SNCM 2011 V3 30 05 2011" xfId="371" xr:uid="{00000000-0005-0000-0000-000076010000}"/>
    <cellStyle name="s_model2_LI819L_B13" xfId="372" xr:uid="{00000000-0005-0000-0000-000077010000}"/>
    <cellStyle name="s_model2_PAO-CAF-RESOP_14_01_13 à 20h" xfId="373" xr:uid="{00000000-0005-0000-0000-000078010000}"/>
    <cellStyle name="s_P_L_Ratios" xfId="374" xr:uid="{00000000-0005-0000-0000-000079010000}"/>
    <cellStyle name="s_P_L_Ratios_Actualisation provision contrat déficitaire SNCM 2010 V Def" xfId="375" xr:uid="{00000000-0005-0000-0000-00007A010000}"/>
    <cellStyle name="s_P_L_Ratios_Actualisation provision contrat déficitaire SNCM 2011 V3 30 05 2011" xfId="376" xr:uid="{00000000-0005-0000-0000-00007B010000}"/>
    <cellStyle name="s_P_L_Ratios_B" xfId="377" xr:uid="{00000000-0005-0000-0000-00007C010000}"/>
    <cellStyle name="s_P_L_Ratios_B_Actualisation provision contrat déficitaire SNCM 2010 V Def" xfId="378" xr:uid="{00000000-0005-0000-0000-00007D010000}"/>
    <cellStyle name="s_P_L_Ratios_B_Actualisation provision contrat déficitaire SNCM 2011 V3 30 05 2011" xfId="379" xr:uid="{00000000-0005-0000-0000-00007E010000}"/>
    <cellStyle name="s_P_L_Ratios_B_LI819L_B13" xfId="380" xr:uid="{00000000-0005-0000-0000-00007F010000}"/>
    <cellStyle name="s_P_L_Ratios_B_PAO-CAF-RESOP_14_01_13 à 20h" xfId="381" xr:uid="{00000000-0005-0000-0000-000080010000}"/>
    <cellStyle name="s_P_L_Ratios_LI819L_B13" xfId="382" xr:uid="{00000000-0005-0000-0000-000081010000}"/>
    <cellStyle name="s_P_L_Ratios_PAO-CAF-RESOP_14_01_13 à 20h" xfId="383" xr:uid="{00000000-0005-0000-0000-000082010000}"/>
    <cellStyle name="s_PAO-CAF-RESOP_14_01_13 à 20h" xfId="384" xr:uid="{00000000-0005-0000-0000-000083010000}"/>
    <cellStyle name="s_S_By_S" xfId="385" xr:uid="{00000000-0005-0000-0000-000084010000}"/>
    <cellStyle name="s_S_By_S_Actualisation provision contrat déficitaire SNCM 2010 V Def" xfId="386" xr:uid="{00000000-0005-0000-0000-000085010000}"/>
    <cellStyle name="s_S_By_S_Actualisation provision contrat déficitaire SNCM 2011 V3 30 05 2011" xfId="387" xr:uid="{00000000-0005-0000-0000-000086010000}"/>
    <cellStyle name="s_S_By_S_LI819L_B13" xfId="388" xr:uid="{00000000-0005-0000-0000-000087010000}"/>
    <cellStyle name="s_S_By_S_PAO-CAF-RESOP_14_01_13 à 20h" xfId="389" xr:uid="{00000000-0005-0000-0000-000088010000}"/>
    <cellStyle name="s_Sheet5" xfId="390" xr:uid="{00000000-0005-0000-0000-000089010000}"/>
    <cellStyle name="s_Sheet5_Actualisation provision contrat déficitaire SNCM 2010 V Def" xfId="391" xr:uid="{00000000-0005-0000-0000-00008A010000}"/>
    <cellStyle name="s_Sheet5_Actualisation provision contrat déficitaire SNCM 2011 V3 30 05 2011" xfId="392" xr:uid="{00000000-0005-0000-0000-00008B010000}"/>
    <cellStyle name="s_Sheet5_LI819L_B13" xfId="393" xr:uid="{00000000-0005-0000-0000-00008C010000}"/>
    <cellStyle name="s_Sheet5_PAO-CAF-RESOP_14_01_13 à 20h" xfId="394" xr:uid="{00000000-0005-0000-0000-00008D010000}"/>
    <cellStyle name="s_Valuation " xfId="395" xr:uid="{00000000-0005-0000-0000-00008E010000}"/>
    <cellStyle name="s_Valuation _Actualisation provision contrat déficitaire SNCM 2010 V Def" xfId="396" xr:uid="{00000000-0005-0000-0000-00008F010000}"/>
    <cellStyle name="s_Valuation _Actualisation provision contrat déficitaire SNCM 2011 V3 30 05 2011" xfId="397" xr:uid="{00000000-0005-0000-0000-000090010000}"/>
    <cellStyle name="s_Valuation _LI819L_B13" xfId="398" xr:uid="{00000000-0005-0000-0000-000091010000}"/>
    <cellStyle name="s_Valuation _PAO-CAF-RESOP_14_01_13 à 20h" xfId="399" xr:uid="{00000000-0005-0000-0000-000092010000}"/>
    <cellStyle name="SAPBEXHLevel1" xfId="400" xr:uid="{00000000-0005-0000-0000-000093010000}"/>
    <cellStyle name="SAPBEXstdData" xfId="401" xr:uid="{00000000-0005-0000-0000-000094010000}"/>
    <cellStyle name="Shading" xfId="402" xr:uid="{00000000-0005-0000-0000-000095010000}"/>
    <cellStyle name="Single Cell Column Heading" xfId="403" xr:uid="{00000000-0005-0000-0000-000096010000}"/>
    <cellStyle name="Standard__Utopia Index Index und Guidance (Deutsch)" xfId="404" xr:uid="{00000000-0005-0000-0000-000097010000}"/>
    <cellStyle name="Style 1" xfId="405" xr:uid="{00000000-0005-0000-0000-000098010000}"/>
    <cellStyle name="STYLE1" xfId="406" xr:uid="{00000000-0005-0000-0000-000099010000}"/>
    <cellStyle name="STYLE1 2" xfId="407" xr:uid="{00000000-0005-0000-0000-00009A010000}"/>
    <cellStyle name="STYLE2" xfId="408" xr:uid="{00000000-0005-0000-0000-00009B010000}"/>
    <cellStyle name="STYLE2 2" xfId="409" xr:uid="{00000000-0005-0000-0000-00009C010000}"/>
    <cellStyle name="STYLE3" xfId="410" xr:uid="{00000000-0005-0000-0000-00009D010000}"/>
    <cellStyle name="STYLE3 2" xfId="411" xr:uid="{00000000-0005-0000-0000-00009E010000}"/>
    <cellStyle name="STYLE4" xfId="412" xr:uid="{00000000-0005-0000-0000-00009F010000}"/>
    <cellStyle name="STYLE4 2" xfId="413" xr:uid="{00000000-0005-0000-0000-0000A0010000}"/>
    <cellStyle name="STYLE5" xfId="414" xr:uid="{00000000-0005-0000-0000-0000A1010000}"/>
    <cellStyle name="STYLE5 2" xfId="415" xr:uid="{00000000-0005-0000-0000-0000A2010000}"/>
    <cellStyle name="STYLE6" xfId="416" xr:uid="{00000000-0005-0000-0000-0000A3010000}"/>
    <cellStyle name="STYLE6 2" xfId="417" xr:uid="{00000000-0005-0000-0000-0000A4010000}"/>
    <cellStyle name="STYLE7" xfId="418" xr:uid="{00000000-0005-0000-0000-0000A5010000}"/>
    <cellStyle name="STYLE7 2" xfId="419" xr:uid="{00000000-0005-0000-0000-0000A6010000}"/>
    <cellStyle name="STYLE8" xfId="420" xr:uid="{00000000-0005-0000-0000-0000A7010000}"/>
    <cellStyle name="STYLE8 2" xfId="421" xr:uid="{00000000-0005-0000-0000-0000A8010000}"/>
    <cellStyle name="STYLE9" xfId="422" xr:uid="{00000000-0005-0000-0000-0000A9010000}"/>
    <cellStyle name="STYLE9 2" xfId="423" xr:uid="{00000000-0005-0000-0000-0000AA010000}"/>
    <cellStyle name="t" xfId="424" xr:uid="{00000000-0005-0000-0000-0000AB010000}"/>
    <cellStyle name="t_Actualisation provision contrat déficitaire SNCM 2010 V Def" xfId="425" xr:uid="{00000000-0005-0000-0000-0000AC010000}"/>
    <cellStyle name="t_Actualisation provision contrat déficitaire SNCM 2011 V3 30 05 2011" xfId="426" xr:uid="{00000000-0005-0000-0000-0000AD010000}"/>
    <cellStyle name="t_LI819L_B13" xfId="427" xr:uid="{00000000-0005-0000-0000-0000AE010000}"/>
    <cellStyle name="t_Manager" xfId="428" xr:uid="{00000000-0005-0000-0000-0000AF010000}"/>
    <cellStyle name="t_Manager_Actualisation provision contrat déficitaire SNCM 2010 V Def" xfId="429" xr:uid="{00000000-0005-0000-0000-0000B0010000}"/>
    <cellStyle name="t_Manager_Actualisation provision contrat déficitaire SNCM 2011 V3 30 05 2011" xfId="430" xr:uid="{00000000-0005-0000-0000-0000B1010000}"/>
    <cellStyle name="t_Manager_LI819L_B13" xfId="431" xr:uid="{00000000-0005-0000-0000-0000B2010000}"/>
    <cellStyle name="t_Manager_PAO-CAF-RESOP_14_01_13 à 20h" xfId="432" xr:uid="{00000000-0005-0000-0000-0000B3010000}"/>
    <cellStyle name="t_PAO-CAF-RESOP_14_01_13 à 20h" xfId="433" xr:uid="{00000000-0005-0000-0000-0000B4010000}"/>
    <cellStyle name="Text Level 1" xfId="434" xr:uid="{00000000-0005-0000-0000-0000B5010000}"/>
    <cellStyle name="Text Level 2" xfId="435" xr:uid="{00000000-0005-0000-0000-0000B6010000}"/>
    <cellStyle name="Text Level 3" xfId="436" xr:uid="{00000000-0005-0000-0000-0000B7010000}"/>
    <cellStyle name="Text Level 4" xfId="437" xr:uid="{00000000-0005-0000-0000-0000B8010000}"/>
    <cellStyle name="Title" xfId="438" xr:uid="{00000000-0005-0000-0000-0000B9010000}"/>
    <cellStyle name="Titles" xfId="439" xr:uid="{00000000-0005-0000-0000-0000BA010000}"/>
    <cellStyle name="Top_Double_Bottom" xfId="440" xr:uid="{00000000-0005-0000-0000-0000BB010000}"/>
    <cellStyle name="UNDERRUBRIK" xfId="441" xr:uid="{00000000-0005-0000-0000-0000BC010000}"/>
    <cellStyle name="Warning Text" xfId="442" xr:uid="{00000000-0005-0000-0000-0000BD010000}"/>
    <cellStyle name="Year" xfId="443" xr:uid="{00000000-0005-0000-0000-0000BE010000}"/>
    <cellStyle name="zoe" xfId="444" xr:uid="{00000000-0005-0000-0000-0000BF010000}"/>
    <cellStyle name="常规_Sheet1_Sub-consolidation Scope 2008 12 SX432 Lanzhou" xfId="445" xr:uid="{00000000-0005-0000-0000-0000C0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1</xdr:row>
      <xdr:rowOff>11906</xdr:rowOff>
    </xdr:from>
    <xdr:to>
      <xdr:col>1</xdr:col>
      <xdr:colOff>1615849</xdr:colOff>
      <xdr:row>32</xdr:row>
      <xdr:rowOff>11906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196340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1</xdr:row>
      <xdr:rowOff>122469</xdr:rowOff>
    </xdr:from>
    <xdr:to>
      <xdr:col>1</xdr:col>
      <xdr:colOff>1235960</xdr:colOff>
      <xdr:row>3</xdr:row>
      <xdr:rowOff>127642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24</xdr:row>
      <xdr:rowOff>94571</xdr:rowOff>
    </xdr:from>
    <xdr:to>
      <xdr:col>1</xdr:col>
      <xdr:colOff>1235960</xdr:colOff>
      <xdr:row>26</xdr:row>
      <xdr:rowOff>99745</xdr:rowOff>
    </xdr:to>
    <xdr:sp macro="" textlink="">
      <xdr:nvSpPr>
        <xdr:cNvPr id="4" name="Oval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gray">
        <a:xfrm>
          <a:off x="746603" y="5419046"/>
          <a:ext cx="641757" cy="61477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 editAs="oneCell">
    <xdr:from>
      <xdr:col>10</xdr:col>
      <xdr:colOff>285750</xdr:colOff>
      <xdr:row>0</xdr:row>
      <xdr:rowOff>176893</xdr:rowOff>
    </xdr:from>
    <xdr:to>
      <xdr:col>16</xdr:col>
      <xdr:colOff>456536</xdr:colOff>
      <xdr:row>17</xdr:row>
      <xdr:rowOff>94738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1464" y="176893"/>
          <a:ext cx="5314286" cy="4095238"/>
        </a:xfrm>
        <a:prstGeom prst="rect">
          <a:avLst/>
        </a:prstGeom>
      </xdr:spPr>
    </xdr:pic>
    <xdr:clientData/>
  </xdr:twoCellAnchor>
  <xdr:twoCellAnchor editAs="oneCell">
    <xdr:from>
      <xdr:col>4</xdr:col>
      <xdr:colOff>149677</xdr:colOff>
      <xdr:row>30</xdr:row>
      <xdr:rowOff>0</xdr:rowOff>
    </xdr:from>
    <xdr:to>
      <xdr:col>12</xdr:col>
      <xdr:colOff>352423</xdr:colOff>
      <xdr:row>32</xdr:row>
      <xdr:rowOff>190500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9802" y="7153275"/>
          <a:ext cx="80581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</xdr:row>
      <xdr:rowOff>104775</xdr:rowOff>
    </xdr:from>
    <xdr:to>
      <xdr:col>6</xdr:col>
      <xdr:colOff>171450</xdr:colOff>
      <xdr:row>3</xdr:row>
      <xdr:rowOff>95250</xdr:rowOff>
    </xdr:to>
    <xdr:sp macro="[0]!Envoi" textlink="">
      <xdr:nvSpPr>
        <xdr:cNvPr id="2" name="Flèche droi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24425" y="295275"/>
          <a:ext cx="895350" cy="371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409575</xdr:colOff>
      <xdr:row>12</xdr:row>
      <xdr:rowOff>28575</xdr:rowOff>
    </xdr:from>
    <xdr:to>
      <xdr:col>2</xdr:col>
      <xdr:colOff>342900</xdr:colOff>
      <xdr:row>17</xdr:row>
      <xdr:rowOff>47625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H="1" flipV="1">
          <a:off x="1962150" y="2200275"/>
          <a:ext cx="752475" cy="8286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pageSetUpPr fitToPage="1"/>
  </sheetPr>
  <dimension ref="A1:R46"/>
  <sheetViews>
    <sheetView showGridLines="0" tabSelected="1" zoomScale="70" zoomScaleNormal="70" workbookViewId="0"/>
  </sheetViews>
  <sheetFormatPr baseColWidth="10" defaultColWidth="11.41015625" defaultRowHeight="18" customHeight="1"/>
  <cols>
    <col min="1" max="1" width="2.3515625" style="7" customWidth="1"/>
    <col min="2" max="2" width="24.3515625" style="7" customWidth="1"/>
    <col min="3" max="3" width="31.64453125" style="9" customWidth="1"/>
    <col min="4" max="4" width="13.87890625" style="9" customWidth="1"/>
    <col min="5" max="5" width="30.52734375" style="9" bestFit="1" customWidth="1"/>
    <col min="6" max="6" width="6.64453125" style="9" customWidth="1"/>
    <col min="7" max="14" width="13.41015625" style="9" customWidth="1"/>
    <col min="15" max="19" width="11.52734375" style="9" bestFit="1" customWidth="1"/>
    <col min="20" max="16384" width="11.41015625" style="9"/>
  </cols>
  <sheetData>
    <row r="1" spans="1:10" s="2" customFormat="1" ht="59.25" customHeight="1">
      <c r="A1" s="1"/>
      <c r="B1" s="53" t="s">
        <v>3</v>
      </c>
      <c r="C1" s="53"/>
      <c r="D1" s="53"/>
      <c r="E1" s="53"/>
      <c r="F1" s="53"/>
      <c r="G1" s="53"/>
      <c r="H1" s="53"/>
      <c r="I1" s="53"/>
    </row>
    <row r="3" spans="1:10" s="5" customFormat="1" ht="30" customHeight="1">
      <c r="A3" s="3"/>
      <c r="B3" s="3"/>
      <c r="C3" s="4" t="s">
        <v>20</v>
      </c>
      <c r="D3" s="4"/>
      <c r="E3" s="4"/>
      <c r="F3" s="4"/>
      <c r="G3" s="4"/>
      <c r="H3" s="4"/>
      <c r="I3" s="4"/>
      <c r="J3" s="4"/>
    </row>
    <row r="4" spans="1:10" s="6" customFormat="1" ht="18" customHeight="1" thickBot="1"/>
    <row r="5" spans="1:10" ht="23.25" customHeight="1" thickBot="1">
      <c r="C5" s="21" t="s">
        <v>0</v>
      </c>
      <c r="E5" s="10" t="s">
        <v>51</v>
      </c>
    </row>
    <row r="6" spans="1:10" ht="8.1" customHeight="1" thickBot="1">
      <c r="C6" s="21"/>
      <c r="E6" s="11"/>
    </row>
    <row r="7" spans="1:10" ht="23.25" customHeight="1" thickBot="1">
      <c r="C7" s="21" t="s">
        <v>2</v>
      </c>
      <c r="E7" s="10" t="str">
        <f>_xll.SUBNM("tango_core_model:Activity","","Tot_act")</f>
        <v>Tot_act</v>
      </c>
    </row>
    <row r="8" spans="1:10" ht="8.1" customHeight="1" thickBot="1">
      <c r="C8" s="21"/>
      <c r="E8" s="11"/>
    </row>
    <row r="9" spans="1:10" ht="23.25" customHeight="1" thickBot="1">
      <c r="C9" s="21" t="s">
        <v>13</v>
      </c>
      <c r="E9" s="10" t="str">
        <f>_xll.SUBNM("tango_core_model:Currency","","KEUR")</f>
        <v>KEUR</v>
      </c>
    </row>
    <row r="10" spans="1:10" ht="8.1" customHeight="1" thickBot="1">
      <c r="C10" s="21"/>
      <c r="E10" s="11"/>
    </row>
    <row r="11" spans="1:10" ht="23.25" customHeight="1" thickBot="1">
      <c r="C11" s="21" t="s">
        <v>12</v>
      </c>
      <c r="E11" s="10" t="str">
        <f>_xll.SUBNM("tango_core_model:LTP_Components","","TOT_LTP")</f>
        <v>TOT_LTP</v>
      </c>
    </row>
    <row r="12" spans="1:10" ht="8.1" customHeight="1" thickBot="1">
      <c r="C12" s="21"/>
      <c r="E12" s="11"/>
    </row>
    <row r="13" spans="1:10" ht="23.25" customHeight="1" thickBot="1">
      <c r="C13" s="21" t="s">
        <v>19</v>
      </c>
      <c r="E13" s="10" t="s">
        <v>1</v>
      </c>
    </row>
    <row r="14" spans="1:10" ht="8.1" customHeight="1">
      <c r="C14" s="21"/>
      <c r="E14" s="12"/>
    </row>
    <row r="15" spans="1:10" ht="8.1" customHeight="1">
      <c r="C15" s="21"/>
      <c r="E15" s="12"/>
    </row>
    <row r="16" spans="1:10" s="17" customFormat="1" ht="22.5" customHeight="1">
      <c r="A16" s="16"/>
      <c r="B16" s="16"/>
      <c r="C16" s="21" t="s">
        <v>14</v>
      </c>
    </row>
    <row r="17" spans="1:18" ht="18" customHeight="1" thickBot="1">
      <c r="C17" s="21"/>
      <c r="D17" s="20"/>
      <c r="E17" s="13"/>
    </row>
    <row r="18" spans="1:18" ht="23.25" customHeight="1" thickBot="1">
      <c r="C18" s="21" t="s">
        <v>22</v>
      </c>
      <c r="E18" s="10" t="str">
        <f>_xll.SUBNM("tango_core_model:Phase","LTP_ALL","LTP_2021_VC")</f>
        <v>LTP_2021_VC</v>
      </c>
      <c r="G18" s="54" t="s">
        <v>15</v>
      </c>
      <c r="H18" s="54"/>
      <c r="I18" s="54"/>
      <c r="J18" s="54"/>
      <c r="K18" s="54"/>
      <c r="L18" s="54"/>
      <c r="M18" s="54"/>
      <c r="N18" s="54"/>
    </row>
    <row r="19" spans="1:18" ht="18" customHeight="1" thickBot="1">
      <c r="C19" s="21"/>
      <c r="D19" s="20"/>
      <c r="E19" s="13"/>
      <c r="G19" s="19" t="s">
        <v>4</v>
      </c>
      <c r="H19" s="19" t="s">
        <v>5</v>
      </c>
      <c r="I19" s="19" t="s">
        <v>6</v>
      </c>
      <c r="J19" s="19" t="s">
        <v>7</v>
      </c>
      <c r="K19" s="19" t="s">
        <v>8</v>
      </c>
      <c r="L19" s="19" t="s">
        <v>9</v>
      </c>
      <c r="M19" s="19" t="s">
        <v>10</v>
      </c>
      <c r="N19" s="19" t="s">
        <v>11</v>
      </c>
    </row>
    <row r="20" spans="1:18" ht="18" customHeight="1" thickBot="1">
      <c r="C20" s="21"/>
      <c r="D20" s="20"/>
      <c r="E20" s="13"/>
      <c r="F20" s="8"/>
      <c r="G20" s="18">
        <f>n-1</f>
        <v>2020</v>
      </c>
      <c r="H20" s="10" t="str">
        <f>MID(E18,5,4)</f>
        <v>2021</v>
      </c>
      <c r="I20" s="18">
        <f>n+1</f>
        <v>2022</v>
      </c>
      <c r="J20" s="18">
        <f>n+2</f>
        <v>2023</v>
      </c>
      <c r="K20" s="18">
        <f>n+3</f>
        <v>2024</v>
      </c>
      <c r="L20" s="18">
        <f>n+4</f>
        <v>2025</v>
      </c>
      <c r="M20" s="18">
        <f>n+5</f>
        <v>2026</v>
      </c>
      <c r="N20" s="18">
        <f>n+6</f>
        <v>2027</v>
      </c>
    </row>
    <row r="21" spans="1:18" ht="18" customHeight="1">
      <c r="A21" s="9"/>
      <c r="B21" s="9"/>
      <c r="C21" s="21"/>
      <c r="D21" s="20"/>
      <c r="E21" s="13"/>
      <c r="F21" s="8"/>
      <c r="G21" s="18" t="str">
        <f>"f_year_"&amp;G20</f>
        <v>f_year_2020</v>
      </c>
      <c r="H21" s="18" t="str">
        <f t="shared" ref="H21:N21" si="0">"f_year_"&amp;H20</f>
        <v>f_year_2021</v>
      </c>
      <c r="I21" s="18" t="str">
        <f t="shared" si="0"/>
        <v>f_year_2022</v>
      </c>
      <c r="J21" s="18" t="str">
        <f t="shared" si="0"/>
        <v>f_year_2023</v>
      </c>
      <c r="K21" s="18" t="str">
        <f t="shared" si="0"/>
        <v>f_year_2024</v>
      </c>
      <c r="L21" s="18" t="str">
        <f t="shared" si="0"/>
        <v>f_year_2025</v>
      </c>
      <c r="M21" s="18" t="str">
        <f t="shared" si="0"/>
        <v>f_year_2026</v>
      </c>
      <c r="N21" s="18" t="str">
        <f t="shared" si="0"/>
        <v>f_year_2027</v>
      </c>
    </row>
    <row r="22" spans="1:18" ht="18" customHeight="1" thickBot="1">
      <c r="C22" s="21"/>
      <c r="D22" s="20"/>
      <c r="E22" s="13"/>
      <c r="G22" s="19" t="s">
        <v>16</v>
      </c>
      <c r="H22" s="19" t="s">
        <v>17</v>
      </c>
      <c r="I22" s="19" t="s">
        <v>18</v>
      </c>
      <c r="J22" s="19" t="s">
        <v>18</v>
      </c>
      <c r="K22" s="19" t="s">
        <v>18</v>
      </c>
      <c r="L22" s="19" t="s">
        <v>18</v>
      </c>
      <c r="M22" s="19" t="s">
        <v>18</v>
      </c>
      <c r="N22" s="19" t="s">
        <v>18</v>
      </c>
    </row>
    <row r="23" spans="1:18" ht="23.25" customHeight="1" thickBot="1">
      <c r="C23" s="21" t="s">
        <v>23</v>
      </c>
      <c r="E23" s="10" t="str">
        <f>_xll.SUBNM("tango_core_model:Phase","LTP_LY","LTP_2018_V10")</f>
        <v>LTP_2018_V10</v>
      </c>
    </row>
    <row r="24" spans="1:18" ht="15.7">
      <c r="C24" s="22"/>
      <c r="E24" s="13"/>
    </row>
    <row r="25" spans="1:18" s="6" customFormat="1" ht="18" customHeight="1">
      <c r="Q25" s="9"/>
      <c r="R25" s="9"/>
    </row>
    <row r="26" spans="1:18" s="5" customFormat="1" ht="30" customHeight="1">
      <c r="A26" s="3"/>
      <c r="B26" s="3"/>
      <c r="C26" s="4" t="s">
        <v>21</v>
      </c>
      <c r="D26" s="14"/>
      <c r="E26" s="4"/>
      <c r="F26" s="4"/>
      <c r="G26" s="4"/>
      <c r="H26" s="4"/>
      <c r="I26" s="4"/>
    </row>
    <row r="27" spans="1:18" s="6" customFormat="1" ht="18" customHeight="1">
      <c r="E27" s="5"/>
      <c r="F27" s="4"/>
      <c r="G27" s="4"/>
      <c r="H27" s="4"/>
      <c r="I27" s="4"/>
      <c r="J27" s="4"/>
      <c r="K27" s="5"/>
      <c r="L27" s="5"/>
      <c r="M27" s="5"/>
      <c r="P27" s="9"/>
      <c r="Q27" s="9"/>
    </row>
    <row r="28" spans="1:18" s="6" customFormat="1" ht="18" customHeight="1">
      <c r="E28" s="48" t="s">
        <v>68</v>
      </c>
      <c r="P28" s="9"/>
      <c r="Q28" s="9"/>
    </row>
    <row r="29" spans="1:18" ht="18" customHeight="1">
      <c r="E29" s="48" t="s">
        <v>64</v>
      </c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8" ht="18" customHeight="1">
      <c r="N30" s="6"/>
      <c r="O30" s="6"/>
    </row>
    <row r="31" spans="1:18" ht="18" customHeight="1">
      <c r="N31" s="6"/>
      <c r="O31" s="6"/>
    </row>
    <row r="32" spans="1:18" s="6" customFormat="1" ht="18" customHeight="1">
      <c r="E32" s="9"/>
      <c r="F32" s="9"/>
      <c r="G32" s="9"/>
      <c r="H32" s="9"/>
      <c r="I32" s="9"/>
      <c r="J32" s="9"/>
      <c r="K32" s="9"/>
      <c r="L32" s="9"/>
      <c r="M32" s="9"/>
      <c r="P32" s="9"/>
      <c r="Q32" s="9"/>
    </row>
    <row r="33" spans="1:13" s="6" customFormat="1" ht="18" customHeight="1">
      <c r="A33" s="15"/>
      <c r="B33" s="15"/>
    </row>
    <row r="34" spans="1:13" s="6" customFormat="1" ht="18" customHeight="1">
      <c r="A34" s="15"/>
      <c r="B34" s="15"/>
    </row>
    <row r="35" spans="1:13" s="6" customFormat="1" ht="18" customHeight="1">
      <c r="A35" s="15"/>
      <c r="B35" s="15"/>
      <c r="E35" s="48" t="s">
        <v>69</v>
      </c>
    </row>
    <row r="36" spans="1:13" s="6" customFormat="1" ht="18" customHeight="1">
      <c r="A36" s="15"/>
      <c r="B36" s="15"/>
    </row>
    <row r="37" spans="1:13" s="6" customFormat="1" ht="18" customHeight="1">
      <c r="A37" s="15"/>
      <c r="B37" s="15"/>
    </row>
    <row r="38" spans="1:13" s="6" customFormat="1" ht="18" customHeight="1">
      <c r="A38" s="15"/>
      <c r="B38" s="15"/>
    </row>
    <row r="39" spans="1:13" s="6" customFormat="1" ht="18" customHeight="1">
      <c r="A39" s="15"/>
      <c r="B39" s="15"/>
    </row>
    <row r="40" spans="1:13" s="6" customFormat="1" ht="18" customHeight="1">
      <c r="A40" s="15"/>
      <c r="B40" s="15"/>
    </row>
    <row r="41" spans="1:13" s="6" customFormat="1" ht="18" customHeight="1">
      <c r="A41" s="15"/>
      <c r="B41" s="15"/>
    </row>
    <row r="42" spans="1:13" ht="18" customHeight="1">
      <c r="E42" s="6"/>
      <c r="F42" s="6"/>
      <c r="G42" s="6"/>
      <c r="H42" s="6"/>
      <c r="I42" s="6"/>
      <c r="J42" s="6"/>
      <c r="K42" s="6"/>
      <c r="L42" s="6"/>
      <c r="M42" s="6"/>
    </row>
    <row r="46" spans="1:13" ht="18" customHeight="1">
      <c r="E46" s="48" t="s">
        <v>65</v>
      </c>
    </row>
  </sheetData>
  <mergeCells count="2">
    <mergeCell ref="B1:I1"/>
    <mergeCell ref="G18:N18"/>
  </mergeCells>
  <dataValidations count="4">
    <dataValidation type="list" allowBlank="1" showInputMessage="1" showErrorMessage="1" sqref="E13" xr:uid="{00000000-0002-0000-0000-000000000000}">
      <formula1>"French,English"</formula1>
    </dataValidation>
    <dataValidation type="list" allowBlank="1" showInputMessage="1" showErrorMessage="1" sqref="E6 E8 E10 E12" xr:uid="{00000000-0002-0000-0000-000001000000}">
      <formula1>"tango_core_model:Report_PL,tango_core_model:RP_PL"</formula1>
    </dataValidation>
    <dataValidation type="list" allowBlank="1" showInputMessage="1" showErrorMessage="1" sqref="E5" xr:uid="{00000000-0002-0000-0000-000002000000}">
      <formula1>"tango_core_model:Report_LTP,tango_core_model:RP_LTP"</formula1>
    </dataValidation>
    <dataValidation type="list" allowBlank="1" showInputMessage="1" showErrorMessage="1" sqref="G22:N22" xr:uid="{00000000-0002-0000-0000-000003000000}">
      <formula1>"Actual,FC1,FC2,LTP,-,Budget"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J62"/>
  <sheetViews>
    <sheetView showGridLines="0" zoomScale="80" zoomScaleNormal="80" workbookViewId="0">
      <selection activeCell="A37" sqref="A37"/>
    </sheetView>
  </sheetViews>
  <sheetFormatPr baseColWidth="10" defaultColWidth="11.41015625" defaultRowHeight="13"/>
  <cols>
    <col min="1" max="1" width="25.52734375" style="23" customWidth="1"/>
    <col min="2" max="2" width="15.1171875" style="23" bestFit="1" customWidth="1"/>
    <col min="3" max="8" width="11.41015625" style="23"/>
    <col min="9" max="9" width="16.3515625" style="23" bestFit="1" customWidth="1"/>
    <col min="10" max="10" width="3.64453125" style="23" customWidth="1"/>
    <col min="11" max="18" width="11.41015625" style="23"/>
    <col min="19" max="19" width="3.64453125" style="23" customWidth="1"/>
    <col min="20" max="27" width="11.41015625" style="23"/>
    <col min="28" max="28" width="3.64453125" style="23" customWidth="1"/>
    <col min="29" max="16384" width="11.41015625" style="23"/>
  </cols>
  <sheetData>
    <row r="1" spans="1:36">
      <c r="A1" s="23" t="s">
        <v>24</v>
      </c>
      <c r="B1" s="23" t="str">
        <f>Cube</f>
        <v>tango_core_model:RP_LTP</v>
      </c>
    </row>
    <row r="2" spans="1:36">
      <c r="A2" s="25" t="s">
        <v>25</v>
      </c>
      <c r="B2" s="23" t="str">
        <f>_xll.SUBNM("tango_core_model:Weighting","","W_APP")</f>
        <v>W_APP</v>
      </c>
    </row>
    <row r="3" spans="1:36">
      <c r="A3" s="25" t="s">
        <v>26</v>
      </c>
      <c r="B3" s="29" t="str">
        <f>_xll.SUBNM("tango_core_model:Indicator_LTP","","NFI4401","English")</f>
        <v>Dividend paid to parent</v>
      </c>
    </row>
    <row r="4" spans="1:36">
      <c r="A4" s="25" t="s">
        <v>13</v>
      </c>
      <c r="B4" s="23" t="s">
        <v>50</v>
      </c>
    </row>
    <row r="5" spans="1:36">
      <c r="A5" s="25" t="s">
        <v>2</v>
      </c>
      <c r="B5" s="23" t="str">
        <f>Activity</f>
        <v>Tot_act</v>
      </c>
    </row>
    <row r="6" spans="1:36">
      <c r="A6" s="25" t="s">
        <v>27</v>
      </c>
      <c r="B6" s="23" t="str">
        <f>Current_LTP</f>
        <v>LTP_2021_VC</v>
      </c>
    </row>
    <row r="8" spans="1:36">
      <c r="T8" s="25"/>
      <c r="AC8" s="25"/>
    </row>
    <row r="9" spans="1:36">
      <c r="B9" s="28" t="s">
        <v>28</v>
      </c>
      <c r="C9" s="26" t="str">
        <f>B9</f>
        <v>Tot_LTP</v>
      </c>
      <c r="D9" s="26" t="str">
        <f t="shared" ref="D9:H9" si="0">C9</f>
        <v>Tot_LTP</v>
      </c>
      <c r="E9" s="26" t="str">
        <f t="shared" si="0"/>
        <v>Tot_LTP</v>
      </c>
      <c r="F9" s="26" t="str">
        <f t="shared" si="0"/>
        <v>Tot_LTP</v>
      </c>
      <c r="G9" s="26" t="str">
        <f t="shared" si="0"/>
        <v>Tot_LTP</v>
      </c>
      <c r="H9" s="26" t="str">
        <f t="shared" si="0"/>
        <v>Tot_LTP</v>
      </c>
      <c r="I9" s="26" t="str">
        <f t="shared" ref="I9" si="1">H9</f>
        <v>Tot_LTP</v>
      </c>
      <c r="K9" s="28" t="s">
        <v>29</v>
      </c>
      <c r="L9" s="26" t="str">
        <f>K9</f>
        <v>Zero Growth Plan (ZGP)</v>
      </c>
      <c r="M9" s="26" t="str">
        <f t="shared" ref="M9:R9" si="2">L9</f>
        <v>Zero Growth Plan (ZGP)</v>
      </c>
      <c r="N9" s="26" t="str">
        <f t="shared" si="2"/>
        <v>Zero Growth Plan (ZGP)</v>
      </c>
      <c r="O9" s="26" t="str">
        <f t="shared" si="2"/>
        <v>Zero Growth Plan (ZGP)</v>
      </c>
      <c r="P9" s="26" t="str">
        <f t="shared" si="2"/>
        <v>Zero Growth Plan (ZGP)</v>
      </c>
      <c r="Q9" s="26" t="str">
        <f t="shared" si="2"/>
        <v>Zero Growth Plan (ZGP)</v>
      </c>
      <c r="R9" s="26" t="str">
        <f t="shared" si="2"/>
        <v>Zero Growth Plan (ZGP)</v>
      </c>
      <c r="T9" s="28" t="s">
        <v>61</v>
      </c>
      <c r="U9" s="26" t="str">
        <f>T9</f>
        <v>Organic Growth Plan</v>
      </c>
      <c r="V9" s="26" t="str">
        <f t="shared" ref="V9" si="3">U9</f>
        <v>Organic Growth Plan</v>
      </c>
      <c r="W9" s="26" t="str">
        <f t="shared" ref="W9" si="4">V9</f>
        <v>Organic Growth Plan</v>
      </c>
      <c r="X9" s="26" t="str">
        <f t="shared" ref="X9" si="5">W9</f>
        <v>Organic Growth Plan</v>
      </c>
      <c r="Y9" s="26" t="str">
        <f t="shared" ref="Y9" si="6">X9</f>
        <v>Organic Growth Plan</v>
      </c>
      <c r="Z9" s="26" t="str">
        <f t="shared" ref="Z9" si="7">Y9</f>
        <v>Organic Growth Plan</v>
      </c>
      <c r="AA9" s="26" t="str">
        <f t="shared" ref="AA9" si="8">Z9</f>
        <v>Organic Growth Plan</v>
      </c>
      <c r="AC9" s="28" t="s">
        <v>62</v>
      </c>
      <c r="AD9" s="26" t="str">
        <f>AC9</f>
        <v>External Growth Plan</v>
      </c>
      <c r="AE9" s="26" t="str">
        <f t="shared" ref="AE9" si="9">AD9</f>
        <v>External Growth Plan</v>
      </c>
      <c r="AF9" s="26" t="str">
        <f t="shared" ref="AF9" si="10">AE9</f>
        <v>External Growth Plan</v>
      </c>
      <c r="AG9" s="26" t="str">
        <f t="shared" ref="AG9" si="11">AF9</f>
        <v>External Growth Plan</v>
      </c>
      <c r="AH9" s="26" t="str">
        <f t="shared" ref="AH9" si="12">AG9</f>
        <v>External Growth Plan</v>
      </c>
      <c r="AI9" s="26" t="str">
        <f t="shared" ref="AI9" si="13">AH9</f>
        <v>External Growth Plan</v>
      </c>
      <c r="AJ9" s="26" t="str">
        <f t="shared" ref="AJ9" si="14">AI9</f>
        <v>External Growth Plan</v>
      </c>
    </row>
    <row r="10" spans="1:36">
      <c r="B10" s="27" t="str">
        <f>Context!G21</f>
        <v>f_year_2020</v>
      </c>
      <c r="C10" s="27" t="str">
        <f>Context!H21</f>
        <v>f_year_2021</v>
      </c>
      <c r="D10" s="27" t="str">
        <f>Context!I21</f>
        <v>f_year_2022</v>
      </c>
      <c r="E10" s="27" t="str">
        <f>Context!J21</f>
        <v>f_year_2023</v>
      </c>
      <c r="F10" s="27" t="str">
        <f>Context!K21</f>
        <v>f_year_2024</v>
      </c>
      <c r="G10" s="27" t="str">
        <f>Context!L21</f>
        <v>f_year_2025</v>
      </c>
      <c r="H10" s="27" t="str">
        <f>Context!M21</f>
        <v>f_year_2026</v>
      </c>
      <c r="I10" s="27" t="str">
        <f>Context!N21</f>
        <v>f_year_2027</v>
      </c>
      <c r="K10" s="27" t="str">
        <f>Context!G21</f>
        <v>f_year_2020</v>
      </c>
      <c r="L10" s="27" t="str">
        <f>Context!H21</f>
        <v>f_year_2021</v>
      </c>
      <c r="M10" s="27" t="str">
        <f>Context!I21</f>
        <v>f_year_2022</v>
      </c>
      <c r="N10" s="27" t="str">
        <f>Context!J21</f>
        <v>f_year_2023</v>
      </c>
      <c r="O10" s="27" t="str">
        <f>Context!K21</f>
        <v>f_year_2024</v>
      </c>
      <c r="P10" s="27" t="str">
        <f>Context!L21</f>
        <v>f_year_2025</v>
      </c>
      <c r="Q10" s="27" t="str">
        <f>Context!M21</f>
        <v>f_year_2026</v>
      </c>
      <c r="R10" s="27" t="str">
        <f>Context!N21</f>
        <v>f_year_2027</v>
      </c>
      <c r="T10" s="27" t="str">
        <f>K10</f>
        <v>f_year_2020</v>
      </c>
      <c r="U10" s="27" t="str">
        <f t="shared" ref="U10:AA10" si="15">L10</f>
        <v>f_year_2021</v>
      </c>
      <c r="V10" s="27" t="str">
        <f t="shared" si="15"/>
        <v>f_year_2022</v>
      </c>
      <c r="W10" s="27" t="str">
        <f t="shared" si="15"/>
        <v>f_year_2023</v>
      </c>
      <c r="X10" s="27" t="str">
        <f t="shared" si="15"/>
        <v>f_year_2024</v>
      </c>
      <c r="Y10" s="27" t="str">
        <f t="shared" si="15"/>
        <v>f_year_2025</v>
      </c>
      <c r="Z10" s="27" t="str">
        <f t="shared" si="15"/>
        <v>f_year_2026</v>
      </c>
      <c r="AA10" s="27" t="str">
        <f t="shared" si="15"/>
        <v>f_year_2027</v>
      </c>
      <c r="AC10" s="27" t="str">
        <f>T10</f>
        <v>f_year_2020</v>
      </c>
      <c r="AD10" s="27" t="str">
        <f t="shared" ref="AD10:AJ10" si="16">U10</f>
        <v>f_year_2021</v>
      </c>
      <c r="AE10" s="27" t="str">
        <f t="shared" si="16"/>
        <v>f_year_2022</v>
      </c>
      <c r="AF10" s="27" t="str">
        <f t="shared" si="16"/>
        <v>f_year_2023</v>
      </c>
      <c r="AG10" s="27" t="str">
        <f t="shared" si="16"/>
        <v>f_year_2024</v>
      </c>
      <c r="AH10" s="27" t="str">
        <f t="shared" si="16"/>
        <v>f_year_2025</v>
      </c>
      <c r="AI10" s="27" t="str">
        <f t="shared" si="16"/>
        <v>f_year_2026</v>
      </c>
      <c r="AJ10" s="27" t="str">
        <f t="shared" si="16"/>
        <v>f_year_2027</v>
      </c>
    </row>
    <row r="11" spans="1:36">
      <c r="A11" s="25" t="s">
        <v>30</v>
      </c>
      <c r="B11" s="24">
        <f>_xll.DBRW($B$1,$B$5,$B$4,B$9,$B$2,$A11,B$10,$B$6,$B$3)</f>
        <v>0</v>
      </c>
      <c r="C11" s="24">
        <f>_xll.DBRW($B$1,$B$5,$B$4,C$9,$B$2,$A11,C$10,$B$6,$B$3)</f>
        <v>0</v>
      </c>
      <c r="D11" s="24">
        <f>_xll.DBRW($B$1,$B$5,$B$4,D$9,$B$2,$A11,D$10,$B$6,$B$3)</f>
        <v>0</v>
      </c>
      <c r="E11" s="24">
        <f>_xll.DBRW($B$1,$B$5,$B$4,E$9,$B$2,$A11,E$10,$B$6,$B$3)</f>
        <v>0</v>
      </c>
      <c r="F11" s="24">
        <f>_xll.DBRW($B$1,$B$5,$B$4,F$9,$B$2,$A11,F$10,$B$6,$B$3)</f>
        <v>0</v>
      </c>
      <c r="G11" s="24">
        <f>_xll.DBRW($B$1,$B$5,$B$4,G$9,$B$2,$A11,G$10,$B$6,$B$3)</f>
        <v>0</v>
      </c>
      <c r="H11" s="24">
        <f>_xll.DBRW($B$1,$B$5,$B$4,H$9,$B$2,$A11,H$10,$B$6,$B$3)</f>
        <v>0</v>
      </c>
      <c r="I11" s="24">
        <f>_xll.DBRW($B$1,$B$5,$B$4,I$9,$B$2,$A11,I$10,$B$6,$B$3)</f>
        <v>0</v>
      </c>
      <c r="K11" s="24">
        <f>_xll.DBRW($B$1,$B$5,$B$4,K$9,$B$2,$A11,K$10,$B$6,$B$3)</f>
        <v>0</v>
      </c>
      <c r="L11" s="24">
        <f>_xll.DBRW($B$1,$B$5,$B$4,L$9,$B$2,$A11,L$10,$B$6,$B$3)</f>
        <v>0</v>
      </c>
      <c r="M11" s="24">
        <f>_xll.DBRW($B$1,$B$5,$B$4,M$9,$B$2,$A11,M$10,$B$6,$B$3)</f>
        <v>0</v>
      </c>
      <c r="N11" s="24">
        <f>_xll.DBRW($B$1,$B$5,$B$4,N$9,$B$2,$A11,N$10,$B$6,$B$3)</f>
        <v>0</v>
      </c>
      <c r="O11" s="24">
        <f>_xll.DBRW($B$1,$B$5,$B$4,O$9,$B$2,$A11,O$10,$B$6,$B$3)</f>
        <v>0</v>
      </c>
      <c r="P11" s="24">
        <f>_xll.DBRW($B$1,$B$5,$B$4,P$9,$B$2,$A11,P$10,$B$6,$B$3)</f>
        <v>0</v>
      </c>
      <c r="Q11" s="24">
        <f>_xll.DBRW($B$1,$B$5,$B$4,Q$9,$B$2,$A11,Q$10,$B$6,$B$3)</f>
        <v>0</v>
      </c>
      <c r="R11" s="24">
        <f>_xll.DBRW($B$1,$B$5,$B$4,R$9,$B$2,$A11,R$10,$B$6,$B$3)</f>
        <v>0</v>
      </c>
      <c r="T11" s="24">
        <f>_xll.DBRW($B$1,$B$5,$B$4,T$9,$B$2,$A11,T$10,$B$6,$B$3)</f>
        <v>0</v>
      </c>
      <c r="U11" s="24">
        <f>_xll.DBRW($B$1,$B$5,$B$4,U$9,$B$2,$A11,U$10,$B$6,$B$3)</f>
        <v>0</v>
      </c>
      <c r="V11" s="24">
        <f>_xll.DBRW($B$1,$B$5,$B$4,V$9,$B$2,$A11,V$10,$B$6,$B$3)</f>
        <v>0</v>
      </c>
      <c r="W11" s="24">
        <f>_xll.DBRW($B$1,$B$5,$B$4,W$9,$B$2,$A11,W$10,$B$6,$B$3)</f>
        <v>0</v>
      </c>
      <c r="X11" s="24">
        <f>_xll.DBRW($B$1,$B$5,$B$4,X$9,$B$2,$A11,X$10,$B$6,$B$3)</f>
        <v>0</v>
      </c>
      <c r="Y11" s="24">
        <f>_xll.DBRW($B$1,$B$5,$B$4,Y$9,$B$2,$A11,Y$10,$B$6,$B$3)</f>
        <v>0</v>
      </c>
      <c r="Z11" s="24">
        <f>_xll.DBRW($B$1,$B$5,$B$4,Z$9,$B$2,$A11,Z$10,$B$6,$B$3)</f>
        <v>0</v>
      </c>
      <c r="AA11" s="24">
        <f>_xll.DBRW($B$1,$B$5,$B$4,AA$9,$B$2,$A11,AA$10,$B$6,$B$3)</f>
        <v>0</v>
      </c>
      <c r="AC11" s="24">
        <f>_xll.DBRW($B$1,$B$5,$B$4,AC$9,$B$2,$A11,AC$10,$B$6,$B$3)</f>
        <v>0</v>
      </c>
      <c r="AD11" s="24">
        <f>_xll.DBRW($B$1,$B$5,$B$4,AD$9,$B$2,$A11,AD$10,$B$6,$B$3)</f>
        <v>0</v>
      </c>
      <c r="AE11" s="24">
        <f>_xll.DBRW($B$1,$B$5,$B$4,AE$9,$B$2,$A11,AE$10,$B$6,$B$3)</f>
        <v>0</v>
      </c>
      <c r="AF11" s="24">
        <f>_xll.DBRW($B$1,$B$5,$B$4,AF$9,$B$2,$A11,AF$10,$B$6,$B$3)</f>
        <v>0</v>
      </c>
      <c r="AG11" s="24">
        <f>_xll.DBRW($B$1,$B$5,$B$4,AG$9,$B$2,$A11,AG$10,$B$6,$B$3)</f>
        <v>0</v>
      </c>
      <c r="AH11" s="24">
        <f>_xll.DBRW($B$1,$B$5,$B$4,AH$9,$B$2,$A11,AH$10,$B$6,$B$3)</f>
        <v>0</v>
      </c>
      <c r="AI11" s="24">
        <f>_xll.DBRW($B$1,$B$5,$B$4,AI$9,$B$2,$A11,AI$10,$B$6,$B$3)</f>
        <v>0</v>
      </c>
      <c r="AJ11" s="24">
        <f>_xll.DBRW($B$1,$B$5,$B$4,AJ$9,$B$2,$A11,AJ$10,$B$6,$B$3)</f>
        <v>0</v>
      </c>
    </row>
    <row r="12" spans="1:36">
      <c r="A12" s="25" t="s">
        <v>75</v>
      </c>
      <c r="B12" s="24">
        <f>_xll.DBRW($B$1,$B$5,$B$4,B$9,$B$2,$A12,B$10,$B$6,$B$3)</f>
        <v>0</v>
      </c>
      <c r="C12" s="24">
        <f>_xll.DBRW($B$1,$B$5,$B$4,C$9,$B$2,$A12,C$10,$B$6,$B$3)</f>
        <v>0</v>
      </c>
      <c r="D12" s="24">
        <f>_xll.DBRW($B$1,$B$5,$B$4,D$9,$B$2,$A12,D$10,$B$6,$B$3)</f>
        <v>0</v>
      </c>
      <c r="E12" s="24">
        <f>_xll.DBRW($B$1,$B$5,$B$4,E$9,$B$2,$A12,E$10,$B$6,$B$3)</f>
        <v>0</v>
      </c>
      <c r="F12" s="24">
        <f>_xll.DBRW($B$1,$B$5,$B$4,F$9,$B$2,$A12,F$10,$B$6,$B$3)</f>
        <v>0</v>
      </c>
      <c r="G12" s="24">
        <f>_xll.DBRW($B$1,$B$5,$B$4,G$9,$B$2,$A12,G$10,$B$6,$B$3)</f>
        <v>0</v>
      </c>
      <c r="H12" s="24">
        <f>_xll.DBRW($B$1,$B$5,$B$4,H$9,$B$2,$A12,H$10,$B$6,$B$3)</f>
        <v>0</v>
      </c>
      <c r="I12" s="24">
        <f>_xll.DBRW($B$1,$B$5,$B$4,I$9,$B$2,$A12,I$10,$B$6,$B$3)</f>
        <v>0</v>
      </c>
      <c r="K12" s="24">
        <f>_xll.DBRW($B$1,$B$5,$B$4,K$9,$B$2,$A12,K$10,$B$6,$B$3)</f>
        <v>0</v>
      </c>
      <c r="L12" s="24">
        <f>_xll.DBRW($B$1,$B$5,$B$4,L$9,$B$2,$A12,L$10,$B$6,$B$3)</f>
        <v>0</v>
      </c>
      <c r="M12" s="24">
        <f>_xll.DBRW($B$1,$B$5,$B$4,M$9,$B$2,$A12,M$10,$B$6,$B$3)</f>
        <v>0</v>
      </c>
      <c r="N12" s="24">
        <f>_xll.DBRW($B$1,$B$5,$B$4,N$9,$B$2,$A12,N$10,$B$6,$B$3)</f>
        <v>0</v>
      </c>
      <c r="O12" s="24">
        <f>_xll.DBRW($B$1,$B$5,$B$4,O$9,$B$2,$A12,O$10,$B$6,$B$3)</f>
        <v>0</v>
      </c>
      <c r="P12" s="24">
        <f>_xll.DBRW($B$1,$B$5,$B$4,P$9,$B$2,$A12,P$10,$B$6,$B$3)</f>
        <v>0</v>
      </c>
      <c r="Q12" s="24">
        <f>_xll.DBRW($B$1,$B$5,$B$4,Q$9,$B$2,$A12,Q$10,$B$6,$B$3)</f>
        <v>0</v>
      </c>
      <c r="R12" s="24">
        <f>_xll.DBRW($B$1,$B$5,$B$4,R$9,$B$2,$A12,R$10,$B$6,$B$3)</f>
        <v>0</v>
      </c>
      <c r="T12" s="24">
        <f>_xll.DBRW($B$1,$B$5,$B$4,T$9,$B$2,$A12,T$10,$B$6,$B$3)</f>
        <v>0</v>
      </c>
      <c r="U12" s="24">
        <f>_xll.DBRW($B$1,$B$5,$B$4,U$9,$B$2,$A12,U$10,$B$6,$B$3)</f>
        <v>0</v>
      </c>
      <c r="V12" s="24">
        <f>_xll.DBRW($B$1,$B$5,$B$4,V$9,$B$2,$A12,V$10,$B$6,$B$3)</f>
        <v>0</v>
      </c>
      <c r="W12" s="24">
        <f>_xll.DBRW($B$1,$B$5,$B$4,W$9,$B$2,$A12,W$10,$B$6,$B$3)</f>
        <v>0</v>
      </c>
      <c r="X12" s="24">
        <f>_xll.DBRW($B$1,$B$5,$B$4,X$9,$B$2,$A12,X$10,$B$6,$B$3)</f>
        <v>0</v>
      </c>
      <c r="Y12" s="24">
        <f>_xll.DBRW($B$1,$B$5,$B$4,Y$9,$B$2,$A12,Y$10,$B$6,$B$3)</f>
        <v>0</v>
      </c>
      <c r="Z12" s="24">
        <f>_xll.DBRW($B$1,$B$5,$B$4,Z$9,$B$2,$A12,Z$10,$B$6,$B$3)</f>
        <v>0</v>
      </c>
      <c r="AA12" s="24">
        <f>_xll.DBRW($B$1,$B$5,$B$4,AA$9,$B$2,$A12,AA$10,$B$6,$B$3)</f>
        <v>0</v>
      </c>
      <c r="AC12" s="24">
        <f>_xll.DBRW($B$1,$B$5,$B$4,AC$9,$B$2,$A12,AC$10,$B$6,$B$3)</f>
        <v>0</v>
      </c>
      <c r="AD12" s="24">
        <f>_xll.DBRW($B$1,$B$5,$B$4,AD$9,$B$2,$A12,AD$10,$B$6,$B$3)</f>
        <v>0</v>
      </c>
      <c r="AE12" s="24">
        <f>_xll.DBRW($B$1,$B$5,$B$4,AE$9,$B$2,$A12,AE$10,$B$6,$B$3)</f>
        <v>0</v>
      </c>
      <c r="AF12" s="24">
        <f>_xll.DBRW($B$1,$B$5,$B$4,AF$9,$B$2,$A12,AF$10,$B$6,$B$3)</f>
        <v>0</v>
      </c>
      <c r="AG12" s="24">
        <f>_xll.DBRW($B$1,$B$5,$B$4,AG$9,$B$2,$A12,AG$10,$B$6,$B$3)</f>
        <v>0</v>
      </c>
      <c r="AH12" s="24">
        <f>_xll.DBRW($B$1,$B$5,$B$4,AH$9,$B$2,$A12,AH$10,$B$6,$B$3)</f>
        <v>0</v>
      </c>
      <c r="AI12" s="24">
        <f>_xll.DBRW($B$1,$B$5,$B$4,AI$9,$B$2,$A12,AI$10,$B$6,$B$3)</f>
        <v>0</v>
      </c>
      <c r="AJ12" s="24">
        <f>_xll.DBRW($B$1,$B$5,$B$4,AJ$9,$B$2,$A12,AJ$10,$B$6,$B$3)</f>
        <v>0</v>
      </c>
    </row>
    <row r="13" spans="1:36">
      <c r="A13" s="25" t="s">
        <v>31</v>
      </c>
      <c r="B13" s="24">
        <f>_xll.DBRW($B$1,$B$5,$B$4,B$9,$B$2,$A13,B$10,$B$6,$B$3)</f>
        <v>0</v>
      </c>
      <c r="C13" s="24">
        <f>_xll.DBRW($B$1,$B$5,$B$4,C$9,$B$2,$A13,C$10,$B$6,$B$3)</f>
        <v>0</v>
      </c>
      <c r="D13" s="24">
        <f>_xll.DBRW($B$1,$B$5,$B$4,D$9,$B$2,$A13,D$10,$B$6,$B$3)</f>
        <v>0</v>
      </c>
      <c r="E13" s="24">
        <f>_xll.DBRW($B$1,$B$5,$B$4,E$9,$B$2,$A13,E$10,$B$6,$B$3)</f>
        <v>0</v>
      </c>
      <c r="F13" s="24">
        <f>_xll.DBRW($B$1,$B$5,$B$4,F$9,$B$2,$A13,F$10,$B$6,$B$3)</f>
        <v>0</v>
      </c>
      <c r="G13" s="24">
        <f>_xll.DBRW($B$1,$B$5,$B$4,G$9,$B$2,$A13,G$10,$B$6,$B$3)</f>
        <v>0</v>
      </c>
      <c r="H13" s="24">
        <f>_xll.DBRW($B$1,$B$5,$B$4,H$9,$B$2,$A13,H$10,$B$6,$B$3)</f>
        <v>0</v>
      </c>
      <c r="I13" s="24">
        <f>_xll.DBRW($B$1,$B$5,$B$4,I$9,$B$2,$A13,I$10,$B$6,$B$3)</f>
        <v>0</v>
      </c>
      <c r="K13" s="24">
        <f>_xll.DBRW($B$1,$B$5,$B$4,K$9,$B$2,$A13,K$10,$B$6,$B$3)</f>
        <v>0</v>
      </c>
      <c r="L13" s="24">
        <f>_xll.DBRW($B$1,$B$5,$B$4,L$9,$B$2,$A13,L$10,$B$6,$B$3)</f>
        <v>0</v>
      </c>
      <c r="M13" s="24">
        <f>_xll.DBRW($B$1,$B$5,$B$4,M$9,$B$2,$A13,M$10,$B$6,$B$3)</f>
        <v>0</v>
      </c>
      <c r="N13" s="24">
        <f>_xll.DBRW($B$1,$B$5,$B$4,N$9,$B$2,$A13,N$10,$B$6,$B$3)</f>
        <v>0</v>
      </c>
      <c r="O13" s="24">
        <f>_xll.DBRW($B$1,$B$5,$B$4,O$9,$B$2,$A13,O$10,$B$6,$B$3)</f>
        <v>0</v>
      </c>
      <c r="P13" s="24">
        <f>_xll.DBRW($B$1,$B$5,$B$4,P$9,$B$2,$A13,P$10,$B$6,$B$3)</f>
        <v>0</v>
      </c>
      <c r="Q13" s="24">
        <f>_xll.DBRW($B$1,$B$5,$B$4,Q$9,$B$2,$A13,Q$10,$B$6,$B$3)</f>
        <v>0</v>
      </c>
      <c r="R13" s="24">
        <f>_xll.DBRW($B$1,$B$5,$B$4,R$9,$B$2,$A13,R$10,$B$6,$B$3)</f>
        <v>0</v>
      </c>
      <c r="T13" s="24">
        <f>_xll.DBRW($B$1,$B$5,$B$4,T$9,$B$2,$A13,T$10,$B$6,$B$3)</f>
        <v>0</v>
      </c>
      <c r="U13" s="24">
        <f>_xll.DBRW($B$1,$B$5,$B$4,U$9,$B$2,$A13,U$10,$B$6,$B$3)</f>
        <v>0</v>
      </c>
      <c r="V13" s="24">
        <f>_xll.DBRW($B$1,$B$5,$B$4,V$9,$B$2,$A13,V$10,$B$6,$B$3)</f>
        <v>0</v>
      </c>
      <c r="W13" s="24">
        <f>_xll.DBRW($B$1,$B$5,$B$4,W$9,$B$2,$A13,W$10,$B$6,$B$3)</f>
        <v>0</v>
      </c>
      <c r="X13" s="24">
        <f>_xll.DBRW($B$1,$B$5,$B$4,X$9,$B$2,$A13,X$10,$B$6,$B$3)</f>
        <v>0</v>
      </c>
      <c r="Y13" s="24">
        <f>_xll.DBRW($B$1,$B$5,$B$4,Y$9,$B$2,$A13,Y$10,$B$6,$B$3)</f>
        <v>0</v>
      </c>
      <c r="Z13" s="24">
        <f>_xll.DBRW($B$1,$B$5,$B$4,Z$9,$B$2,$A13,Z$10,$B$6,$B$3)</f>
        <v>0</v>
      </c>
      <c r="AA13" s="24">
        <f>_xll.DBRW($B$1,$B$5,$B$4,AA$9,$B$2,$A13,AA$10,$B$6,$B$3)</f>
        <v>0</v>
      </c>
      <c r="AC13" s="24">
        <f>_xll.DBRW($B$1,$B$5,$B$4,AC$9,$B$2,$A13,AC$10,$B$6,$B$3)</f>
        <v>0</v>
      </c>
      <c r="AD13" s="24">
        <f>_xll.DBRW($B$1,$B$5,$B$4,AD$9,$B$2,$A13,AD$10,$B$6,$B$3)</f>
        <v>0</v>
      </c>
      <c r="AE13" s="24">
        <f>_xll.DBRW($B$1,$B$5,$B$4,AE$9,$B$2,$A13,AE$10,$B$6,$B$3)</f>
        <v>0</v>
      </c>
      <c r="AF13" s="24">
        <f>_xll.DBRW($B$1,$B$5,$B$4,AF$9,$B$2,$A13,AF$10,$B$6,$B$3)</f>
        <v>0</v>
      </c>
      <c r="AG13" s="24">
        <f>_xll.DBRW($B$1,$B$5,$B$4,AG$9,$B$2,$A13,AG$10,$B$6,$B$3)</f>
        <v>0</v>
      </c>
      <c r="AH13" s="24">
        <f>_xll.DBRW($B$1,$B$5,$B$4,AH$9,$B$2,$A13,AH$10,$B$6,$B$3)</f>
        <v>0</v>
      </c>
      <c r="AI13" s="24">
        <f>_xll.DBRW($B$1,$B$5,$B$4,AI$9,$B$2,$A13,AI$10,$B$6,$B$3)</f>
        <v>0</v>
      </c>
      <c r="AJ13" s="24">
        <f>_xll.DBRW($B$1,$B$5,$B$4,AJ$9,$B$2,$A13,AJ$10,$B$6,$B$3)</f>
        <v>0</v>
      </c>
    </row>
    <row r="14" spans="1:36">
      <c r="A14" s="25" t="s">
        <v>32</v>
      </c>
      <c r="B14" s="24">
        <f>_xll.DBRW($B$1,$B$5,$B$4,B$9,$B$2,$A14,B$10,$B$6,$B$3)</f>
        <v>0</v>
      </c>
      <c r="C14" s="24">
        <f>_xll.DBRW($B$1,$B$5,$B$4,C$9,$B$2,$A14,C$10,$B$6,$B$3)</f>
        <v>0</v>
      </c>
      <c r="D14" s="24">
        <f>_xll.DBRW($B$1,$B$5,$B$4,D$9,$B$2,$A14,D$10,$B$6,$B$3)</f>
        <v>0</v>
      </c>
      <c r="E14" s="24">
        <f>_xll.DBRW($B$1,$B$5,$B$4,E$9,$B$2,$A14,E$10,$B$6,$B$3)</f>
        <v>0</v>
      </c>
      <c r="F14" s="24">
        <f>_xll.DBRW($B$1,$B$5,$B$4,F$9,$B$2,$A14,F$10,$B$6,$B$3)</f>
        <v>0</v>
      </c>
      <c r="G14" s="24">
        <f>_xll.DBRW($B$1,$B$5,$B$4,G$9,$B$2,$A14,G$10,$B$6,$B$3)</f>
        <v>0</v>
      </c>
      <c r="H14" s="24">
        <f>_xll.DBRW($B$1,$B$5,$B$4,H$9,$B$2,$A14,H$10,$B$6,$B$3)</f>
        <v>0</v>
      </c>
      <c r="I14" s="24">
        <f>_xll.DBRW($B$1,$B$5,$B$4,I$9,$B$2,$A14,I$10,$B$6,$B$3)</f>
        <v>0</v>
      </c>
      <c r="K14" s="24">
        <f>_xll.DBRW($B$1,$B$5,$B$4,K$9,$B$2,$A14,K$10,$B$6,$B$3)</f>
        <v>0</v>
      </c>
      <c r="L14" s="24">
        <f>_xll.DBRW($B$1,$B$5,$B$4,L$9,$B$2,$A14,L$10,$B$6,$B$3)</f>
        <v>0</v>
      </c>
      <c r="M14" s="24">
        <f>_xll.DBRW($B$1,$B$5,$B$4,M$9,$B$2,$A14,M$10,$B$6,$B$3)</f>
        <v>0</v>
      </c>
      <c r="N14" s="24">
        <f>_xll.DBRW($B$1,$B$5,$B$4,N$9,$B$2,$A14,N$10,$B$6,$B$3)</f>
        <v>0</v>
      </c>
      <c r="O14" s="24">
        <f>_xll.DBRW($B$1,$B$5,$B$4,O$9,$B$2,$A14,O$10,$B$6,$B$3)</f>
        <v>0</v>
      </c>
      <c r="P14" s="24">
        <f>_xll.DBRW($B$1,$B$5,$B$4,P$9,$B$2,$A14,P$10,$B$6,$B$3)</f>
        <v>0</v>
      </c>
      <c r="Q14" s="24">
        <f>_xll.DBRW($B$1,$B$5,$B$4,Q$9,$B$2,$A14,Q$10,$B$6,$B$3)</f>
        <v>0</v>
      </c>
      <c r="R14" s="24">
        <f>_xll.DBRW($B$1,$B$5,$B$4,R$9,$B$2,$A14,R$10,$B$6,$B$3)</f>
        <v>0</v>
      </c>
      <c r="T14" s="24">
        <f>_xll.DBRW($B$1,$B$5,$B$4,T$9,$B$2,$A14,T$10,$B$6,$B$3)</f>
        <v>0</v>
      </c>
      <c r="U14" s="24">
        <f>_xll.DBRW($B$1,$B$5,$B$4,U$9,$B$2,$A14,U$10,$B$6,$B$3)</f>
        <v>0</v>
      </c>
      <c r="V14" s="24">
        <f>_xll.DBRW($B$1,$B$5,$B$4,V$9,$B$2,$A14,V$10,$B$6,$B$3)</f>
        <v>0</v>
      </c>
      <c r="W14" s="24">
        <f>_xll.DBRW($B$1,$B$5,$B$4,W$9,$B$2,$A14,W$10,$B$6,$B$3)</f>
        <v>0</v>
      </c>
      <c r="X14" s="24">
        <f>_xll.DBRW($B$1,$B$5,$B$4,X$9,$B$2,$A14,X$10,$B$6,$B$3)</f>
        <v>0</v>
      </c>
      <c r="Y14" s="24">
        <f>_xll.DBRW($B$1,$B$5,$B$4,Y$9,$B$2,$A14,Y$10,$B$6,$B$3)</f>
        <v>0</v>
      </c>
      <c r="Z14" s="24">
        <f>_xll.DBRW($B$1,$B$5,$B$4,Z$9,$B$2,$A14,Z$10,$B$6,$B$3)</f>
        <v>0</v>
      </c>
      <c r="AA14" s="24">
        <f>_xll.DBRW($B$1,$B$5,$B$4,AA$9,$B$2,$A14,AA$10,$B$6,$B$3)</f>
        <v>0</v>
      </c>
      <c r="AC14" s="24">
        <f>_xll.DBRW($B$1,$B$5,$B$4,AC$9,$B$2,$A14,AC$10,$B$6,$B$3)</f>
        <v>0</v>
      </c>
      <c r="AD14" s="24">
        <f>_xll.DBRW($B$1,$B$5,$B$4,AD$9,$B$2,$A14,AD$10,$B$6,$B$3)</f>
        <v>0</v>
      </c>
      <c r="AE14" s="24">
        <f>_xll.DBRW($B$1,$B$5,$B$4,AE$9,$B$2,$A14,AE$10,$B$6,$B$3)</f>
        <v>0</v>
      </c>
      <c r="AF14" s="24">
        <f>_xll.DBRW($B$1,$B$5,$B$4,AF$9,$B$2,$A14,AF$10,$B$6,$B$3)</f>
        <v>0</v>
      </c>
      <c r="AG14" s="24">
        <f>_xll.DBRW($B$1,$B$5,$B$4,AG$9,$B$2,$A14,AG$10,$B$6,$B$3)</f>
        <v>0</v>
      </c>
      <c r="AH14" s="24">
        <f>_xll.DBRW($B$1,$B$5,$B$4,AH$9,$B$2,$A14,AH$10,$B$6,$B$3)</f>
        <v>0</v>
      </c>
      <c r="AI14" s="24">
        <f>_xll.DBRW($B$1,$B$5,$B$4,AI$9,$B$2,$A14,AI$10,$B$6,$B$3)</f>
        <v>0</v>
      </c>
      <c r="AJ14" s="24">
        <f>_xll.DBRW($B$1,$B$5,$B$4,AJ$9,$B$2,$A14,AJ$10,$B$6,$B$3)</f>
        <v>0</v>
      </c>
    </row>
    <row r="15" spans="1:36">
      <c r="A15" s="25" t="s">
        <v>33</v>
      </c>
      <c r="B15" s="24">
        <f>_xll.DBRW($B$1,$B$5,$B$4,B$9,$B$2,$A15,B$10,$B$6,$B$3)</f>
        <v>0</v>
      </c>
      <c r="C15" s="24">
        <f>_xll.DBRW($B$1,$B$5,$B$4,C$9,$B$2,$A15,C$10,$B$6,$B$3)</f>
        <v>0</v>
      </c>
      <c r="D15" s="24">
        <f>_xll.DBRW($B$1,$B$5,$B$4,D$9,$B$2,$A15,D$10,$B$6,$B$3)</f>
        <v>0</v>
      </c>
      <c r="E15" s="24">
        <f>_xll.DBRW($B$1,$B$5,$B$4,E$9,$B$2,$A15,E$10,$B$6,$B$3)</f>
        <v>0</v>
      </c>
      <c r="F15" s="24">
        <f>_xll.DBRW($B$1,$B$5,$B$4,F$9,$B$2,$A15,F$10,$B$6,$B$3)</f>
        <v>0</v>
      </c>
      <c r="G15" s="24">
        <f>_xll.DBRW($B$1,$B$5,$B$4,G$9,$B$2,$A15,G$10,$B$6,$B$3)</f>
        <v>0</v>
      </c>
      <c r="H15" s="24">
        <f>_xll.DBRW($B$1,$B$5,$B$4,H$9,$B$2,$A15,H$10,$B$6,$B$3)</f>
        <v>0</v>
      </c>
      <c r="I15" s="24">
        <f>_xll.DBRW($B$1,$B$5,$B$4,I$9,$B$2,$A15,I$10,$B$6,$B$3)</f>
        <v>0</v>
      </c>
      <c r="K15" s="24">
        <f>_xll.DBRW($B$1,$B$5,$B$4,K$9,$B$2,$A15,K$10,$B$6,$B$3)</f>
        <v>0</v>
      </c>
      <c r="L15" s="24">
        <f>_xll.DBRW($B$1,$B$5,$B$4,L$9,$B$2,$A15,L$10,$B$6,$B$3)</f>
        <v>0</v>
      </c>
      <c r="M15" s="24">
        <f>_xll.DBRW($B$1,$B$5,$B$4,M$9,$B$2,$A15,M$10,$B$6,$B$3)</f>
        <v>0</v>
      </c>
      <c r="N15" s="24">
        <f>_xll.DBRW($B$1,$B$5,$B$4,N$9,$B$2,$A15,N$10,$B$6,$B$3)</f>
        <v>0</v>
      </c>
      <c r="O15" s="24">
        <f>_xll.DBRW($B$1,$B$5,$B$4,O$9,$B$2,$A15,O$10,$B$6,$B$3)</f>
        <v>0</v>
      </c>
      <c r="P15" s="24">
        <f>_xll.DBRW($B$1,$B$5,$B$4,P$9,$B$2,$A15,P$10,$B$6,$B$3)</f>
        <v>0</v>
      </c>
      <c r="Q15" s="24">
        <f>_xll.DBRW($B$1,$B$5,$B$4,Q$9,$B$2,$A15,Q$10,$B$6,$B$3)</f>
        <v>0</v>
      </c>
      <c r="R15" s="24">
        <f>_xll.DBRW($B$1,$B$5,$B$4,R$9,$B$2,$A15,R$10,$B$6,$B$3)</f>
        <v>0</v>
      </c>
      <c r="T15" s="24">
        <f>_xll.DBRW($B$1,$B$5,$B$4,T$9,$B$2,$A15,T$10,$B$6,$B$3)</f>
        <v>0</v>
      </c>
      <c r="U15" s="24">
        <f>_xll.DBRW($B$1,$B$5,$B$4,U$9,$B$2,$A15,U$10,$B$6,$B$3)</f>
        <v>0</v>
      </c>
      <c r="V15" s="24">
        <f>_xll.DBRW($B$1,$B$5,$B$4,V$9,$B$2,$A15,V$10,$B$6,$B$3)</f>
        <v>0</v>
      </c>
      <c r="W15" s="24">
        <f>_xll.DBRW($B$1,$B$5,$B$4,W$9,$B$2,$A15,W$10,$B$6,$B$3)</f>
        <v>0</v>
      </c>
      <c r="X15" s="24">
        <f>_xll.DBRW($B$1,$B$5,$B$4,X$9,$B$2,$A15,X$10,$B$6,$B$3)</f>
        <v>0</v>
      </c>
      <c r="Y15" s="24">
        <f>_xll.DBRW($B$1,$B$5,$B$4,Y$9,$B$2,$A15,Y$10,$B$6,$B$3)</f>
        <v>0</v>
      </c>
      <c r="Z15" s="24">
        <f>_xll.DBRW($B$1,$B$5,$B$4,Z$9,$B$2,$A15,Z$10,$B$6,$B$3)</f>
        <v>0</v>
      </c>
      <c r="AA15" s="24">
        <f>_xll.DBRW($B$1,$B$5,$B$4,AA$9,$B$2,$A15,AA$10,$B$6,$B$3)</f>
        <v>0</v>
      </c>
      <c r="AC15" s="24">
        <f>_xll.DBRW($B$1,$B$5,$B$4,AC$9,$B$2,$A15,AC$10,$B$6,$B$3)</f>
        <v>0</v>
      </c>
      <c r="AD15" s="24">
        <f>_xll.DBRW($B$1,$B$5,$B$4,AD$9,$B$2,$A15,AD$10,$B$6,$B$3)</f>
        <v>0</v>
      </c>
      <c r="AE15" s="24">
        <f>_xll.DBRW($B$1,$B$5,$B$4,AE$9,$B$2,$A15,AE$10,$B$6,$B$3)</f>
        <v>0</v>
      </c>
      <c r="AF15" s="24">
        <f>_xll.DBRW($B$1,$B$5,$B$4,AF$9,$B$2,$A15,AF$10,$B$6,$B$3)</f>
        <v>0</v>
      </c>
      <c r="AG15" s="24">
        <f>_xll.DBRW($B$1,$B$5,$B$4,AG$9,$B$2,$A15,AG$10,$B$6,$B$3)</f>
        <v>0</v>
      </c>
      <c r="AH15" s="24">
        <f>_xll.DBRW($B$1,$B$5,$B$4,AH$9,$B$2,$A15,AH$10,$B$6,$B$3)</f>
        <v>0</v>
      </c>
      <c r="AI15" s="24">
        <f>_xll.DBRW($B$1,$B$5,$B$4,AI$9,$B$2,$A15,AI$10,$B$6,$B$3)</f>
        <v>0</v>
      </c>
      <c r="AJ15" s="24">
        <f>_xll.DBRW($B$1,$B$5,$B$4,AJ$9,$B$2,$A15,AJ$10,$B$6,$B$3)</f>
        <v>0</v>
      </c>
    </row>
    <row r="16" spans="1:36">
      <c r="A16" s="25" t="s">
        <v>34</v>
      </c>
      <c r="B16" s="24">
        <f>_xll.DBRW($B$1,$B$5,$B$4,B$9,$B$2,$A16,B$10,$B$6,$B$3)</f>
        <v>0</v>
      </c>
      <c r="C16" s="24">
        <f>_xll.DBRW($B$1,$B$5,$B$4,C$9,$B$2,$A16,C$10,$B$6,$B$3)</f>
        <v>0</v>
      </c>
      <c r="D16" s="24">
        <f>_xll.DBRW($B$1,$B$5,$B$4,D$9,$B$2,$A16,D$10,$B$6,$B$3)</f>
        <v>0</v>
      </c>
      <c r="E16" s="24">
        <f>_xll.DBRW($B$1,$B$5,$B$4,E$9,$B$2,$A16,E$10,$B$6,$B$3)</f>
        <v>0</v>
      </c>
      <c r="F16" s="24">
        <f>_xll.DBRW($B$1,$B$5,$B$4,F$9,$B$2,$A16,F$10,$B$6,$B$3)</f>
        <v>0</v>
      </c>
      <c r="G16" s="24">
        <f>_xll.DBRW($B$1,$B$5,$B$4,G$9,$B$2,$A16,G$10,$B$6,$B$3)</f>
        <v>0</v>
      </c>
      <c r="H16" s="24">
        <f>_xll.DBRW($B$1,$B$5,$B$4,H$9,$B$2,$A16,H$10,$B$6,$B$3)</f>
        <v>0</v>
      </c>
      <c r="I16" s="24">
        <f>_xll.DBRW($B$1,$B$5,$B$4,I$9,$B$2,$A16,I$10,$B$6,$B$3)</f>
        <v>0</v>
      </c>
      <c r="K16" s="24">
        <f>_xll.DBRW($B$1,$B$5,$B$4,K$9,$B$2,$A16,K$10,$B$6,$B$3)</f>
        <v>0</v>
      </c>
      <c r="L16" s="24">
        <f>_xll.DBRW($B$1,$B$5,$B$4,L$9,$B$2,$A16,L$10,$B$6,$B$3)</f>
        <v>0</v>
      </c>
      <c r="M16" s="24">
        <f>_xll.DBRW($B$1,$B$5,$B$4,M$9,$B$2,$A16,M$10,$B$6,$B$3)</f>
        <v>0</v>
      </c>
      <c r="N16" s="24">
        <f>_xll.DBRW($B$1,$B$5,$B$4,N$9,$B$2,$A16,N$10,$B$6,$B$3)</f>
        <v>0</v>
      </c>
      <c r="O16" s="24">
        <f>_xll.DBRW($B$1,$B$5,$B$4,O$9,$B$2,$A16,O$10,$B$6,$B$3)</f>
        <v>0</v>
      </c>
      <c r="P16" s="24">
        <f>_xll.DBRW($B$1,$B$5,$B$4,P$9,$B$2,$A16,P$10,$B$6,$B$3)</f>
        <v>0</v>
      </c>
      <c r="Q16" s="24">
        <f>_xll.DBRW($B$1,$B$5,$B$4,Q$9,$B$2,$A16,Q$10,$B$6,$B$3)</f>
        <v>0</v>
      </c>
      <c r="R16" s="24">
        <f>_xll.DBRW($B$1,$B$5,$B$4,R$9,$B$2,$A16,R$10,$B$6,$B$3)</f>
        <v>0</v>
      </c>
      <c r="T16" s="24">
        <f>_xll.DBRW($B$1,$B$5,$B$4,T$9,$B$2,$A16,T$10,$B$6,$B$3)</f>
        <v>0</v>
      </c>
      <c r="U16" s="24">
        <f>_xll.DBRW($B$1,$B$5,$B$4,U$9,$B$2,$A16,U$10,$B$6,$B$3)</f>
        <v>0</v>
      </c>
      <c r="V16" s="24">
        <f>_xll.DBRW($B$1,$B$5,$B$4,V$9,$B$2,$A16,V$10,$B$6,$B$3)</f>
        <v>0</v>
      </c>
      <c r="W16" s="24">
        <f>_xll.DBRW($B$1,$B$5,$B$4,W$9,$B$2,$A16,W$10,$B$6,$B$3)</f>
        <v>0</v>
      </c>
      <c r="X16" s="24">
        <f>_xll.DBRW($B$1,$B$5,$B$4,X$9,$B$2,$A16,X$10,$B$6,$B$3)</f>
        <v>0</v>
      </c>
      <c r="Y16" s="24">
        <f>_xll.DBRW($B$1,$B$5,$B$4,Y$9,$B$2,$A16,Y$10,$B$6,$B$3)</f>
        <v>0</v>
      </c>
      <c r="Z16" s="24">
        <f>_xll.DBRW($B$1,$B$5,$B$4,Z$9,$B$2,$A16,Z$10,$B$6,$B$3)</f>
        <v>0</v>
      </c>
      <c r="AA16" s="24">
        <f>_xll.DBRW($B$1,$B$5,$B$4,AA$9,$B$2,$A16,AA$10,$B$6,$B$3)</f>
        <v>0</v>
      </c>
      <c r="AC16" s="24">
        <f>_xll.DBRW($B$1,$B$5,$B$4,AC$9,$B$2,$A16,AC$10,$B$6,$B$3)</f>
        <v>0</v>
      </c>
      <c r="AD16" s="24">
        <f>_xll.DBRW($B$1,$B$5,$B$4,AD$9,$B$2,$A16,AD$10,$B$6,$B$3)</f>
        <v>0</v>
      </c>
      <c r="AE16" s="24">
        <f>_xll.DBRW($B$1,$B$5,$B$4,AE$9,$B$2,$A16,AE$10,$B$6,$B$3)</f>
        <v>0</v>
      </c>
      <c r="AF16" s="24">
        <f>_xll.DBRW($B$1,$B$5,$B$4,AF$9,$B$2,$A16,AF$10,$B$6,$B$3)</f>
        <v>0</v>
      </c>
      <c r="AG16" s="24">
        <f>_xll.DBRW($B$1,$B$5,$B$4,AG$9,$B$2,$A16,AG$10,$B$6,$B$3)</f>
        <v>0</v>
      </c>
      <c r="AH16" s="24">
        <f>_xll.DBRW($B$1,$B$5,$B$4,AH$9,$B$2,$A16,AH$10,$B$6,$B$3)</f>
        <v>0</v>
      </c>
      <c r="AI16" s="24">
        <f>_xll.DBRW($B$1,$B$5,$B$4,AI$9,$B$2,$A16,AI$10,$B$6,$B$3)</f>
        <v>0</v>
      </c>
      <c r="AJ16" s="24">
        <f>_xll.DBRW($B$1,$B$5,$B$4,AJ$9,$B$2,$A16,AJ$10,$B$6,$B$3)</f>
        <v>0</v>
      </c>
    </row>
    <row r="17" spans="1:36">
      <c r="A17" s="25" t="s">
        <v>35</v>
      </c>
      <c r="B17" s="24">
        <f>_xll.DBRW($B$1,$B$5,$B$4,B$9,$B$2,$A17,B$10,$B$6,$B$3)</f>
        <v>0</v>
      </c>
      <c r="C17" s="24">
        <f>_xll.DBRW($B$1,$B$5,$B$4,C$9,$B$2,$A17,C$10,$B$6,$B$3)</f>
        <v>0</v>
      </c>
      <c r="D17" s="24">
        <f>_xll.DBRW($B$1,$B$5,$B$4,D$9,$B$2,$A17,D$10,$B$6,$B$3)</f>
        <v>0</v>
      </c>
      <c r="E17" s="24">
        <f>_xll.DBRW($B$1,$B$5,$B$4,E$9,$B$2,$A17,E$10,$B$6,$B$3)</f>
        <v>0</v>
      </c>
      <c r="F17" s="24">
        <f>_xll.DBRW($B$1,$B$5,$B$4,F$9,$B$2,$A17,F$10,$B$6,$B$3)</f>
        <v>0</v>
      </c>
      <c r="G17" s="24">
        <f>_xll.DBRW($B$1,$B$5,$B$4,G$9,$B$2,$A17,G$10,$B$6,$B$3)</f>
        <v>0</v>
      </c>
      <c r="H17" s="24">
        <f>_xll.DBRW($B$1,$B$5,$B$4,H$9,$B$2,$A17,H$10,$B$6,$B$3)</f>
        <v>0</v>
      </c>
      <c r="I17" s="24">
        <f>_xll.DBRW($B$1,$B$5,$B$4,I$9,$B$2,$A17,I$10,$B$6,$B$3)</f>
        <v>0</v>
      </c>
      <c r="K17" s="24">
        <f>_xll.DBRW($B$1,$B$5,$B$4,K$9,$B$2,$A17,K$10,$B$6,$B$3)</f>
        <v>0</v>
      </c>
      <c r="L17" s="24">
        <f>_xll.DBRW($B$1,$B$5,$B$4,L$9,$B$2,$A17,L$10,$B$6,$B$3)</f>
        <v>0</v>
      </c>
      <c r="M17" s="24">
        <f>_xll.DBRW($B$1,$B$5,$B$4,M$9,$B$2,$A17,M$10,$B$6,$B$3)</f>
        <v>0</v>
      </c>
      <c r="N17" s="24">
        <f>_xll.DBRW($B$1,$B$5,$B$4,N$9,$B$2,$A17,N$10,$B$6,$B$3)</f>
        <v>0</v>
      </c>
      <c r="O17" s="24">
        <f>_xll.DBRW($B$1,$B$5,$B$4,O$9,$B$2,$A17,O$10,$B$6,$B$3)</f>
        <v>0</v>
      </c>
      <c r="P17" s="24">
        <f>_xll.DBRW($B$1,$B$5,$B$4,P$9,$B$2,$A17,P$10,$B$6,$B$3)</f>
        <v>0</v>
      </c>
      <c r="Q17" s="24">
        <f>_xll.DBRW($B$1,$B$5,$B$4,Q$9,$B$2,$A17,Q$10,$B$6,$B$3)</f>
        <v>0</v>
      </c>
      <c r="R17" s="24">
        <f>_xll.DBRW($B$1,$B$5,$B$4,R$9,$B$2,$A17,R$10,$B$6,$B$3)</f>
        <v>0</v>
      </c>
      <c r="T17" s="24">
        <f>_xll.DBRW($B$1,$B$5,$B$4,T$9,$B$2,$A17,T$10,$B$6,$B$3)</f>
        <v>0</v>
      </c>
      <c r="U17" s="24">
        <f>_xll.DBRW($B$1,$B$5,$B$4,U$9,$B$2,$A17,U$10,$B$6,$B$3)</f>
        <v>0</v>
      </c>
      <c r="V17" s="24">
        <f>_xll.DBRW($B$1,$B$5,$B$4,V$9,$B$2,$A17,V$10,$B$6,$B$3)</f>
        <v>0</v>
      </c>
      <c r="W17" s="24">
        <f>_xll.DBRW($B$1,$B$5,$B$4,W$9,$B$2,$A17,W$10,$B$6,$B$3)</f>
        <v>0</v>
      </c>
      <c r="X17" s="24">
        <f>_xll.DBRW($B$1,$B$5,$B$4,X$9,$B$2,$A17,X$10,$B$6,$B$3)</f>
        <v>0</v>
      </c>
      <c r="Y17" s="24">
        <f>_xll.DBRW($B$1,$B$5,$B$4,Y$9,$B$2,$A17,Y$10,$B$6,$B$3)</f>
        <v>0</v>
      </c>
      <c r="Z17" s="24">
        <f>_xll.DBRW($B$1,$B$5,$B$4,Z$9,$B$2,$A17,Z$10,$B$6,$B$3)</f>
        <v>0</v>
      </c>
      <c r="AA17" s="24">
        <f>_xll.DBRW($B$1,$B$5,$B$4,AA$9,$B$2,$A17,AA$10,$B$6,$B$3)</f>
        <v>0</v>
      </c>
      <c r="AC17" s="24">
        <f>_xll.DBRW($B$1,$B$5,$B$4,AC$9,$B$2,$A17,AC$10,$B$6,$B$3)</f>
        <v>0</v>
      </c>
      <c r="AD17" s="24">
        <f>_xll.DBRW($B$1,$B$5,$B$4,AD$9,$B$2,$A17,AD$10,$B$6,$B$3)</f>
        <v>0</v>
      </c>
      <c r="AE17" s="24">
        <f>_xll.DBRW($B$1,$B$5,$B$4,AE$9,$B$2,$A17,AE$10,$B$6,$B$3)</f>
        <v>0</v>
      </c>
      <c r="AF17" s="24">
        <f>_xll.DBRW($B$1,$B$5,$B$4,AF$9,$B$2,$A17,AF$10,$B$6,$B$3)</f>
        <v>0</v>
      </c>
      <c r="AG17" s="24">
        <f>_xll.DBRW($B$1,$B$5,$B$4,AG$9,$B$2,$A17,AG$10,$B$6,$B$3)</f>
        <v>0</v>
      </c>
      <c r="AH17" s="24">
        <f>_xll.DBRW($B$1,$B$5,$B$4,AH$9,$B$2,$A17,AH$10,$B$6,$B$3)</f>
        <v>0</v>
      </c>
      <c r="AI17" s="24">
        <f>_xll.DBRW($B$1,$B$5,$B$4,AI$9,$B$2,$A17,AI$10,$B$6,$B$3)</f>
        <v>0</v>
      </c>
      <c r="AJ17" s="24">
        <f>_xll.DBRW($B$1,$B$5,$B$4,AJ$9,$B$2,$A17,AJ$10,$B$6,$B$3)</f>
        <v>0</v>
      </c>
    </row>
    <row r="18" spans="1:36">
      <c r="A18" s="25" t="s">
        <v>36</v>
      </c>
      <c r="B18" s="24">
        <f>_xll.DBRW($B$1,$B$5,$B$4,B$9,$B$2,$A18,B$10,$B$6,$B$3)</f>
        <v>0</v>
      </c>
      <c r="C18" s="24">
        <f>_xll.DBRW($B$1,$B$5,$B$4,C$9,$B$2,$A18,C$10,$B$6,$B$3)</f>
        <v>0</v>
      </c>
      <c r="D18" s="24">
        <f>_xll.DBRW($B$1,$B$5,$B$4,D$9,$B$2,$A18,D$10,$B$6,$B$3)</f>
        <v>0</v>
      </c>
      <c r="E18" s="24">
        <f>_xll.DBRW($B$1,$B$5,$B$4,E$9,$B$2,$A18,E$10,$B$6,$B$3)</f>
        <v>0</v>
      </c>
      <c r="F18" s="24">
        <f>_xll.DBRW($B$1,$B$5,$B$4,F$9,$B$2,$A18,F$10,$B$6,$B$3)</f>
        <v>0</v>
      </c>
      <c r="G18" s="24">
        <f>_xll.DBRW($B$1,$B$5,$B$4,G$9,$B$2,$A18,G$10,$B$6,$B$3)</f>
        <v>0</v>
      </c>
      <c r="H18" s="24">
        <f>_xll.DBRW($B$1,$B$5,$B$4,H$9,$B$2,$A18,H$10,$B$6,$B$3)</f>
        <v>0</v>
      </c>
      <c r="I18" s="24">
        <f>_xll.DBRW($B$1,$B$5,$B$4,I$9,$B$2,$A18,I$10,$B$6,$B$3)</f>
        <v>0</v>
      </c>
      <c r="K18" s="24">
        <f>_xll.DBRW($B$1,$B$5,$B$4,K$9,$B$2,$A18,K$10,$B$6,$B$3)</f>
        <v>0</v>
      </c>
      <c r="L18" s="24">
        <f>_xll.DBRW($B$1,$B$5,$B$4,L$9,$B$2,$A18,L$10,$B$6,$B$3)</f>
        <v>0</v>
      </c>
      <c r="M18" s="24">
        <f>_xll.DBRW($B$1,$B$5,$B$4,M$9,$B$2,$A18,M$10,$B$6,$B$3)</f>
        <v>0</v>
      </c>
      <c r="N18" s="24">
        <f>_xll.DBRW($B$1,$B$5,$B$4,N$9,$B$2,$A18,N$10,$B$6,$B$3)</f>
        <v>0</v>
      </c>
      <c r="O18" s="24">
        <f>_xll.DBRW($B$1,$B$5,$B$4,O$9,$B$2,$A18,O$10,$B$6,$B$3)</f>
        <v>0</v>
      </c>
      <c r="P18" s="24">
        <f>_xll.DBRW($B$1,$B$5,$B$4,P$9,$B$2,$A18,P$10,$B$6,$B$3)</f>
        <v>0</v>
      </c>
      <c r="Q18" s="24">
        <f>_xll.DBRW($B$1,$B$5,$B$4,Q$9,$B$2,$A18,Q$10,$B$6,$B$3)</f>
        <v>0</v>
      </c>
      <c r="R18" s="24">
        <f>_xll.DBRW($B$1,$B$5,$B$4,R$9,$B$2,$A18,R$10,$B$6,$B$3)</f>
        <v>0</v>
      </c>
      <c r="T18" s="24">
        <f>_xll.DBRW($B$1,$B$5,$B$4,T$9,$B$2,$A18,T$10,$B$6,$B$3)</f>
        <v>0</v>
      </c>
      <c r="U18" s="24">
        <f>_xll.DBRW($B$1,$B$5,$B$4,U$9,$B$2,$A18,U$10,$B$6,$B$3)</f>
        <v>0</v>
      </c>
      <c r="V18" s="24">
        <f>_xll.DBRW($B$1,$B$5,$B$4,V$9,$B$2,$A18,V$10,$B$6,$B$3)</f>
        <v>0</v>
      </c>
      <c r="W18" s="24">
        <f>_xll.DBRW($B$1,$B$5,$B$4,W$9,$B$2,$A18,W$10,$B$6,$B$3)</f>
        <v>0</v>
      </c>
      <c r="X18" s="24">
        <f>_xll.DBRW($B$1,$B$5,$B$4,X$9,$B$2,$A18,X$10,$B$6,$B$3)</f>
        <v>0</v>
      </c>
      <c r="Y18" s="24">
        <f>_xll.DBRW($B$1,$B$5,$B$4,Y$9,$B$2,$A18,Y$10,$B$6,$B$3)</f>
        <v>0</v>
      </c>
      <c r="Z18" s="24">
        <f>_xll.DBRW($B$1,$B$5,$B$4,Z$9,$B$2,$A18,Z$10,$B$6,$B$3)</f>
        <v>0</v>
      </c>
      <c r="AA18" s="24">
        <f>_xll.DBRW($B$1,$B$5,$B$4,AA$9,$B$2,$A18,AA$10,$B$6,$B$3)</f>
        <v>0</v>
      </c>
      <c r="AC18" s="24">
        <f>_xll.DBRW($B$1,$B$5,$B$4,AC$9,$B$2,$A18,AC$10,$B$6,$B$3)</f>
        <v>0</v>
      </c>
      <c r="AD18" s="24">
        <f>_xll.DBRW($B$1,$B$5,$B$4,AD$9,$B$2,$A18,AD$10,$B$6,$B$3)</f>
        <v>0</v>
      </c>
      <c r="AE18" s="24">
        <f>_xll.DBRW($B$1,$B$5,$B$4,AE$9,$B$2,$A18,AE$10,$B$6,$B$3)</f>
        <v>0</v>
      </c>
      <c r="AF18" s="24">
        <f>_xll.DBRW($B$1,$B$5,$B$4,AF$9,$B$2,$A18,AF$10,$B$6,$B$3)</f>
        <v>0</v>
      </c>
      <c r="AG18" s="24">
        <f>_xll.DBRW($B$1,$B$5,$B$4,AG$9,$B$2,$A18,AG$10,$B$6,$B$3)</f>
        <v>0</v>
      </c>
      <c r="AH18" s="24">
        <f>_xll.DBRW($B$1,$B$5,$B$4,AH$9,$B$2,$A18,AH$10,$B$6,$B$3)</f>
        <v>0</v>
      </c>
      <c r="AI18" s="24">
        <f>_xll.DBRW($B$1,$B$5,$B$4,AI$9,$B$2,$A18,AI$10,$B$6,$B$3)</f>
        <v>0</v>
      </c>
      <c r="AJ18" s="24">
        <f>_xll.DBRW($B$1,$B$5,$B$4,AJ$9,$B$2,$A18,AJ$10,$B$6,$B$3)</f>
        <v>0</v>
      </c>
    </row>
    <row r="19" spans="1:36">
      <c r="A19" s="25" t="s">
        <v>37</v>
      </c>
      <c r="B19" s="24">
        <f>_xll.DBRW($B$1,$B$5,$B$4,B$9,$B$2,$A19,B$10,$B$6,$B$3)</f>
        <v>0</v>
      </c>
      <c r="C19" s="24">
        <f>_xll.DBRW($B$1,$B$5,$B$4,C$9,$B$2,$A19,C$10,$B$6,$B$3)</f>
        <v>0</v>
      </c>
      <c r="D19" s="24">
        <f>_xll.DBRW($B$1,$B$5,$B$4,D$9,$B$2,$A19,D$10,$B$6,$B$3)</f>
        <v>0</v>
      </c>
      <c r="E19" s="24">
        <f>_xll.DBRW($B$1,$B$5,$B$4,E$9,$B$2,$A19,E$10,$B$6,$B$3)</f>
        <v>0</v>
      </c>
      <c r="F19" s="24">
        <f>_xll.DBRW($B$1,$B$5,$B$4,F$9,$B$2,$A19,F$10,$B$6,$B$3)</f>
        <v>0</v>
      </c>
      <c r="G19" s="24">
        <f>_xll.DBRW($B$1,$B$5,$B$4,G$9,$B$2,$A19,G$10,$B$6,$B$3)</f>
        <v>0</v>
      </c>
      <c r="H19" s="24">
        <f>_xll.DBRW($B$1,$B$5,$B$4,H$9,$B$2,$A19,H$10,$B$6,$B$3)</f>
        <v>0</v>
      </c>
      <c r="I19" s="24">
        <f>_xll.DBRW($B$1,$B$5,$B$4,I$9,$B$2,$A19,I$10,$B$6,$B$3)</f>
        <v>0</v>
      </c>
      <c r="K19" s="24">
        <f>_xll.DBRW($B$1,$B$5,$B$4,K$9,$B$2,$A19,K$10,$B$6,$B$3)</f>
        <v>0</v>
      </c>
      <c r="L19" s="24">
        <f>_xll.DBRW($B$1,$B$5,$B$4,L$9,$B$2,$A19,L$10,$B$6,$B$3)</f>
        <v>0</v>
      </c>
      <c r="M19" s="24">
        <f>_xll.DBRW($B$1,$B$5,$B$4,M$9,$B$2,$A19,M$10,$B$6,$B$3)</f>
        <v>0</v>
      </c>
      <c r="N19" s="24">
        <f>_xll.DBRW($B$1,$B$5,$B$4,N$9,$B$2,$A19,N$10,$B$6,$B$3)</f>
        <v>0</v>
      </c>
      <c r="O19" s="24">
        <f>_xll.DBRW($B$1,$B$5,$B$4,O$9,$B$2,$A19,O$10,$B$6,$B$3)</f>
        <v>0</v>
      </c>
      <c r="P19" s="24">
        <f>_xll.DBRW($B$1,$B$5,$B$4,P$9,$B$2,$A19,P$10,$B$6,$B$3)</f>
        <v>0</v>
      </c>
      <c r="Q19" s="24">
        <f>_xll.DBRW($B$1,$B$5,$B$4,Q$9,$B$2,$A19,Q$10,$B$6,$B$3)</f>
        <v>0</v>
      </c>
      <c r="R19" s="24">
        <f>_xll.DBRW($B$1,$B$5,$B$4,R$9,$B$2,$A19,R$10,$B$6,$B$3)</f>
        <v>0</v>
      </c>
      <c r="T19" s="24">
        <f>_xll.DBRW($B$1,$B$5,$B$4,T$9,$B$2,$A19,T$10,$B$6,$B$3)</f>
        <v>0</v>
      </c>
      <c r="U19" s="24">
        <f>_xll.DBRW($B$1,$B$5,$B$4,U$9,$B$2,$A19,U$10,$B$6,$B$3)</f>
        <v>0</v>
      </c>
      <c r="V19" s="24">
        <f>_xll.DBRW($B$1,$B$5,$B$4,V$9,$B$2,$A19,V$10,$B$6,$B$3)</f>
        <v>0</v>
      </c>
      <c r="W19" s="24">
        <f>_xll.DBRW($B$1,$B$5,$B$4,W$9,$B$2,$A19,W$10,$B$6,$B$3)</f>
        <v>0</v>
      </c>
      <c r="X19" s="24">
        <f>_xll.DBRW($B$1,$B$5,$B$4,X$9,$B$2,$A19,X$10,$B$6,$B$3)</f>
        <v>0</v>
      </c>
      <c r="Y19" s="24">
        <f>_xll.DBRW($B$1,$B$5,$B$4,Y$9,$B$2,$A19,Y$10,$B$6,$B$3)</f>
        <v>0</v>
      </c>
      <c r="Z19" s="24">
        <f>_xll.DBRW($B$1,$B$5,$B$4,Z$9,$B$2,$A19,Z$10,$B$6,$B$3)</f>
        <v>0</v>
      </c>
      <c r="AA19" s="24">
        <f>_xll.DBRW($B$1,$B$5,$B$4,AA$9,$B$2,$A19,AA$10,$B$6,$B$3)</f>
        <v>0</v>
      </c>
      <c r="AC19" s="24">
        <f>_xll.DBRW($B$1,$B$5,$B$4,AC$9,$B$2,$A19,AC$10,$B$6,$B$3)</f>
        <v>0</v>
      </c>
      <c r="AD19" s="24">
        <f>_xll.DBRW($B$1,$B$5,$B$4,AD$9,$B$2,$A19,AD$10,$B$6,$B$3)</f>
        <v>0</v>
      </c>
      <c r="AE19" s="24">
        <f>_xll.DBRW($B$1,$B$5,$B$4,AE$9,$B$2,$A19,AE$10,$B$6,$B$3)</f>
        <v>0</v>
      </c>
      <c r="AF19" s="24">
        <f>_xll.DBRW($B$1,$B$5,$B$4,AF$9,$B$2,$A19,AF$10,$B$6,$B$3)</f>
        <v>0</v>
      </c>
      <c r="AG19" s="24">
        <f>_xll.DBRW($B$1,$B$5,$B$4,AG$9,$B$2,$A19,AG$10,$B$6,$B$3)</f>
        <v>0</v>
      </c>
      <c r="AH19" s="24">
        <f>_xll.DBRW($B$1,$B$5,$B$4,AH$9,$B$2,$A19,AH$10,$B$6,$B$3)</f>
        <v>0</v>
      </c>
      <c r="AI19" s="24">
        <f>_xll.DBRW($B$1,$B$5,$B$4,AI$9,$B$2,$A19,AI$10,$B$6,$B$3)</f>
        <v>0</v>
      </c>
      <c r="AJ19" s="24">
        <f>_xll.DBRW($B$1,$B$5,$B$4,AJ$9,$B$2,$A19,AJ$10,$B$6,$B$3)</f>
        <v>0</v>
      </c>
    </row>
    <row r="20" spans="1:36">
      <c r="A20" s="25" t="s">
        <v>38</v>
      </c>
      <c r="B20" s="24">
        <f>_xll.DBRW($B$1,$B$5,$B$4,B$9,$B$2,$A20,B$10,$B$6,$B$3)</f>
        <v>0</v>
      </c>
      <c r="C20" s="24">
        <f>_xll.DBRW($B$1,$B$5,$B$4,C$9,$B$2,$A20,C$10,$B$6,$B$3)</f>
        <v>0</v>
      </c>
      <c r="D20" s="24">
        <f>_xll.DBRW($B$1,$B$5,$B$4,D$9,$B$2,$A20,D$10,$B$6,$B$3)</f>
        <v>0</v>
      </c>
      <c r="E20" s="24">
        <f>_xll.DBRW($B$1,$B$5,$B$4,E$9,$B$2,$A20,E$10,$B$6,$B$3)</f>
        <v>0</v>
      </c>
      <c r="F20" s="24">
        <f>_xll.DBRW($B$1,$B$5,$B$4,F$9,$B$2,$A20,F$10,$B$6,$B$3)</f>
        <v>0</v>
      </c>
      <c r="G20" s="24">
        <f>_xll.DBRW($B$1,$B$5,$B$4,G$9,$B$2,$A20,G$10,$B$6,$B$3)</f>
        <v>0</v>
      </c>
      <c r="H20" s="24">
        <f>_xll.DBRW($B$1,$B$5,$B$4,H$9,$B$2,$A20,H$10,$B$6,$B$3)</f>
        <v>0</v>
      </c>
      <c r="I20" s="24">
        <f>_xll.DBRW($B$1,$B$5,$B$4,I$9,$B$2,$A20,I$10,$B$6,$B$3)</f>
        <v>0</v>
      </c>
      <c r="K20" s="24">
        <f>_xll.DBRW($B$1,$B$5,$B$4,K$9,$B$2,$A20,K$10,$B$6,$B$3)</f>
        <v>0</v>
      </c>
      <c r="L20" s="24">
        <f>_xll.DBRW($B$1,$B$5,$B$4,L$9,$B$2,$A20,L$10,$B$6,$B$3)</f>
        <v>0</v>
      </c>
      <c r="M20" s="24">
        <f>_xll.DBRW($B$1,$B$5,$B$4,M$9,$B$2,$A20,M$10,$B$6,$B$3)</f>
        <v>0</v>
      </c>
      <c r="N20" s="24">
        <f>_xll.DBRW($B$1,$B$5,$B$4,N$9,$B$2,$A20,N$10,$B$6,$B$3)</f>
        <v>0</v>
      </c>
      <c r="O20" s="24">
        <f>_xll.DBRW($B$1,$B$5,$B$4,O$9,$B$2,$A20,O$10,$B$6,$B$3)</f>
        <v>0</v>
      </c>
      <c r="P20" s="24">
        <f>_xll.DBRW($B$1,$B$5,$B$4,P$9,$B$2,$A20,P$10,$B$6,$B$3)</f>
        <v>0</v>
      </c>
      <c r="Q20" s="24">
        <f>_xll.DBRW($B$1,$B$5,$B$4,Q$9,$B$2,$A20,Q$10,$B$6,$B$3)</f>
        <v>0</v>
      </c>
      <c r="R20" s="24">
        <f>_xll.DBRW($B$1,$B$5,$B$4,R$9,$B$2,$A20,R$10,$B$6,$B$3)</f>
        <v>0</v>
      </c>
      <c r="T20" s="24">
        <f>_xll.DBRW($B$1,$B$5,$B$4,T$9,$B$2,$A20,T$10,$B$6,$B$3)</f>
        <v>0</v>
      </c>
      <c r="U20" s="24">
        <f>_xll.DBRW($B$1,$B$5,$B$4,U$9,$B$2,$A20,U$10,$B$6,$B$3)</f>
        <v>0</v>
      </c>
      <c r="V20" s="24">
        <f>_xll.DBRW($B$1,$B$5,$B$4,V$9,$B$2,$A20,V$10,$B$6,$B$3)</f>
        <v>0</v>
      </c>
      <c r="W20" s="24">
        <f>_xll.DBRW($B$1,$B$5,$B$4,W$9,$B$2,$A20,W$10,$B$6,$B$3)</f>
        <v>0</v>
      </c>
      <c r="X20" s="24">
        <f>_xll.DBRW($B$1,$B$5,$B$4,X$9,$B$2,$A20,X$10,$B$6,$B$3)</f>
        <v>0</v>
      </c>
      <c r="Y20" s="24">
        <f>_xll.DBRW($B$1,$B$5,$B$4,Y$9,$B$2,$A20,Y$10,$B$6,$B$3)</f>
        <v>0</v>
      </c>
      <c r="Z20" s="24">
        <f>_xll.DBRW($B$1,$B$5,$B$4,Z$9,$B$2,$A20,Z$10,$B$6,$B$3)</f>
        <v>0</v>
      </c>
      <c r="AA20" s="24">
        <f>_xll.DBRW($B$1,$B$5,$B$4,AA$9,$B$2,$A20,AA$10,$B$6,$B$3)</f>
        <v>0</v>
      </c>
      <c r="AC20" s="24">
        <f>_xll.DBRW($B$1,$B$5,$B$4,AC$9,$B$2,$A20,AC$10,$B$6,$B$3)</f>
        <v>0</v>
      </c>
      <c r="AD20" s="24">
        <f>_xll.DBRW($B$1,$B$5,$B$4,AD$9,$B$2,$A20,AD$10,$B$6,$B$3)</f>
        <v>0</v>
      </c>
      <c r="AE20" s="24">
        <f>_xll.DBRW($B$1,$B$5,$B$4,AE$9,$B$2,$A20,AE$10,$B$6,$B$3)</f>
        <v>0</v>
      </c>
      <c r="AF20" s="24">
        <f>_xll.DBRW($B$1,$B$5,$B$4,AF$9,$B$2,$A20,AF$10,$B$6,$B$3)</f>
        <v>0</v>
      </c>
      <c r="AG20" s="24">
        <f>_xll.DBRW($B$1,$B$5,$B$4,AG$9,$B$2,$A20,AG$10,$B$6,$B$3)</f>
        <v>0</v>
      </c>
      <c r="AH20" s="24">
        <f>_xll.DBRW($B$1,$B$5,$B$4,AH$9,$B$2,$A20,AH$10,$B$6,$B$3)</f>
        <v>0</v>
      </c>
      <c r="AI20" s="24">
        <f>_xll.DBRW($B$1,$B$5,$B$4,AI$9,$B$2,$A20,AI$10,$B$6,$B$3)</f>
        <v>0</v>
      </c>
      <c r="AJ20" s="24">
        <f>_xll.DBRW($B$1,$B$5,$B$4,AJ$9,$B$2,$A20,AJ$10,$B$6,$B$3)</f>
        <v>0</v>
      </c>
    </row>
    <row r="21" spans="1:36">
      <c r="A21" s="25" t="s">
        <v>76</v>
      </c>
      <c r="B21" s="24">
        <f>_xll.DBRW($B$1,$B$5,$B$4,B$9,$B$2,$A21,B$10,$B$6,$B$3)</f>
        <v>0</v>
      </c>
      <c r="C21" s="24">
        <f>_xll.DBRW($B$1,$B$5,$B$4,C$9,$B$2,$A21,C$10,$B$6,$B$3)</f>
        <v>0</v>
      </c>
      <c r="D21" s="24">
        <f>_xll.DBRW($B$1,$B$5,$B$4,D$9,$B$2,$A21,D$10,$B$6,$B$3)</f>
        <v>0</v>
      </c>
      <c r="E21" s="24">
        <f>_xll.DBRW($B$1,$B$5,$B$4,E$9,$B$2,$A21,E$10,$B$6,$B$3)</f>
        <v>0</v>
      </c>
      <c r="F21" s="24">
        <f>_xll.DBRW($B$1,$B$5,$B$4,F$9,$B$2,$A21,F$10,$B$6,$B$3)</f>
        <v>0</v>
      </c>
      <c r="G21" s="24">
        <f>_xll.DBRW($B$1,$B$5,$B$4,G$9,$B$2,$A21,G$10,$B$6,$B$3)</f>
        <v>0</v>
      </c>
      <c r="H21" s="24">
        <f>_xll.DBRW($B$1,$B$5,$B$4,H$9,$B$2,$A21,H$10,$B$6,$B$3)</f>
        <v>0</v>
      </c>
      <c r="I21" s="24">
        <f>_xll.DBRW($B$1,$B$5,$B$4,I$9,$B$2,$A21,I$10,$B$6,$B$3)</f>
        <v>0</v>
      </c>
      <c r="K21" s="24">
        <f>_xll.DBRW($B$1,$B$5,$B$4,K$9,$B$2,$A21,K$10,$B$6,$B$3)</f>
        <v>0</v>
      </c>
      <c r="L21" s="24">
        <f>_xll.DBRW($B$1,$B$5,$B$4,L$9,$B$2,$A21,L$10,$B$6,$B$3)</f>
        <v>0</v>
      </c>
      <c r="M21" s="24">
        <f>_xll.DBRW($B$1,$B$5,$B$4,M$9,$B$2,$A21,M$10,$B$6,$B$3)</f>
        <v>0</v>
      </c>
      <c r="N21" s="24">
        <f>_xll.DBRW($B$1,$B$5,$B$4,N$9,$B$2,$A21,N$10,$B$6,$B$3)</f>
        <v>0</v>
      </c>
      <c r="O21" s="24">
        <f>_xll.DBRW($B$1,$B$5,$B$4,O$9,$B$2,$A21,O$10,$B$6,$B$3)</f>
        <v>0</v>
      </c>
      <c r="P21" s="24">
        <f>_xll.DBRW($B$1,$B$5,$B$4,P$9,$B$2,$A21,P$10,$B$6,$B$3)</f>
        <v>0</v>
      </c>
      <c r="Q21" s="24">
        <f>_xll.DBRW($B$1,$B$5,$B$4,Q$9,$B$2,$A21,Q$10,$B$6,$B$3)</f>
        <v>0</v>
      </c>
      <c r="R21" s="24">
        <f>_xll.DBRW($B$1,$B$5,$B$4,R$9,$B$2,$A21,R$10,$B$6,$B$3)</f>
        <v>0</v>
      </c>
      <c r="T21" s="24">
        <f>_xll.DBRW($B$1,$B$5,$B$4,T$9,$B$2,$A21,T$10,$B$6,$B$3)</f>
        <v>0</v>
      </c>
      <c r="U21" s="24">
        <f>_xll.DBRW($B$1,$B$5,$B$4,U$9,$B$2,$A21,U$10,$B$6,$B$3)</f>
        <v>0</v>
      </c>
      <c r="V21" s="24">
        <f>_xll.DBRW($B$1,$B$5,$B$4,V$9,$B$2,$A21,V$10,$B$6,$B$3)</f>
        <v>0</v>
      </c>
      <c r="W21" s="24">
        <f>_xll.DBRW($B$1,$B$5,$B$4,W$9,$B$2,$A21,W$10,$B$6,$B$3)</f>
        <v>0</v>
      </c>
      <c r="X21" s="24">
        <f>_xll.DBRW($B$1,$B$5,$B$4,X$9,$B$2,$A21,X$10,$B$6,$B$3)</f>
        <v>0</v>
      </c>
      <c r="Y21" s="24">
        <f>_xll.DBRW($B$1,$B$5,$B$4,Y$9,$B$2,$A21,Y$10,$B$6,$B$3)</f>
        <v>0</v>
      </c>
      <c r="Z21" s="24">
        <f>_xll.DBRW($B$1,$B$5,$B$4,Z$9,$B$2,$A21,Z$10,$B$6,$B$3)</f>
        <v>0</v>
      </c>
      <c r="AA21" s="24">
        <f>_xll.DBRW($B$1,$B$5,$B$4,AA$9,$B$2,$A21,AA$10,$B$6,$B$3)</f>
        <v>0</v>
      </c>
      <c r="AC21" s="24">
        <f>_xll.DBRW($B$1,$B$5,$B$4,AC$9,$B$2,$A21,AC$10,$B$6,$B$3)</f>
        <v>0</v>
      </c>
      <c r="AD21" s="24">
        <f>_xll.DBRW($B$1,$B$5,$B$4,AD$9,$B$2,$A21,AD$10,$B$6,$B$3)</f>
        <v>0</v>
      </c>
      <c r="AE21" s="24">
        <f>_xll.DBRW($B$1,$B$5,$B$4,AE$9,$B$2,$A21,AE$10,$B$6,$B$3)</f>
        <v>0</v>
      </c>
      <c r="AF21" s="24">
        <f>_xll.DBRW($B$1,$B$5,$B$4,AF$9,$B$2,$A21,AF$10,$B$6,$B$3)</f>
        <v>0</v>
      </c>
      <c r="AG21" s="24">
        <f>_xll.DBRW($B$1,$B$5,$B$4,AG$9,$B$2,$A21,AG$10,$B$6,$B$3)</f>
        <v>0</v>
      </c>
      <c r="AH21" s="24">
        <f>_xll.DBRW($B$1,$B$5,$B$4,AH$9,$B$2,$A21,AH$10,$B$6,$B$3)</f>
        <v>0</v>
      </c>
      <c r="AI21" s="24">
        <f>_xll.DBRW($B$1,$B$5,$B$4,AI$9,$B$2,$A21,AI$10,$B$6,$B$3)</f>
        <v>0</v>
      </c>
      <c r="AJ21" s="24">
        <f>_xll.DBRW($B$1,$B$5,$B$4,AJ$9,$B$2,$A21,AJ$10,$B$6,$B$3)</f>
        <v>0</v>
      </c>
    </row>
    <row r="22" spans="1:36">
      <c r="A22" s="25" t="s">
        <v>67</v>
      </c>
      <c r="B22" s="24">
        <f>_xll.DBRW($B$1,$B$5,$B$4,B$9,$B$2,$A22,B$10,$B$6,$B$3)</f>
        <v>0</v>
      </c>
      <c r="C22" s="24">
        <f>_xll.DBRW($B$1,$B$5,$B$4,C$9,$B$2,$A22,C$10,$B$6,$B$3)</f>
        <v>0</v>
      </c>
      <c r="D22" s="24">
        <f>_xll.DBRW($B$1,$B$5,$B$4,D$9,$B$2,$A22,D$10,$B$6,$B$3)</f>
        <v>0</v>
      </c>
      <c r="E22" s="24">
        <f>_xll.DBRW($B$1,$B$5,$B$4,E$9,$B$2,$A22,E$10,$B$6,$B$3)</f>
        <v>0</v>
      </c>
      <c r="F22" s="24">
        <f>_xll.DBRW($B$1,$B$5,$B$4,F$9,$B$2,$A22,F$10,$B$6,$B$3)</f>
        <v>0</v>
      </c>
      <c r="G22" s="24">
        <f>_xll.DBRW($B$1,$B$5,$B$4,G$9,$B$2,$A22,G$10,$B$6,$B$3)</f>
        <v>0</v>
      </c>
      <c r="H22" s="24">
        <f>_xll.DBRW($B$1,$B$5,$B$4,H$9,$B$2,$A22,H$10,$B$6,$B$3)</f>
        <v>0</v>
      </c>
      <c r="I22" s="24">
        <f>_xll.DBRW($B$1,$B$5,$B$4,I$9,$B$2,$A22,I$10,$B$6,$B$3)</f>
        <v>0</v>
      </c>
      <c r="K22" s="24">
        <f>_xll.DBRW($B$1,$B$5,$B$4,K$9,$B$2,$A22,K$10,$B$6,$B$3)</f>
        <v>0</v>
      </c>
      <c r="L22" s="24">
        <f>_xll.DBRW($B$1,$B$5,$B$4,L$9,$B$2,$A22,L$10,$B$6,$B$3)</f>
        <v>0</v>
      </c>
      <c r="M22" s="24">
        <f>_xll.DBRW($B$1,$B$5,$B$4,M$9,$B$2,$A22,M$10,$B$6,$B$3)</f>
        <v>0</v>
      </c>
      <c r="N22" s="24">
        <f>_xll.DBRW($B$1,$B$5,$B$4,N$9,$B$2,$A22,N$10,$B$6,$B$3)</f>
        <v>0</v>
      </c>
      <c r="O22" s="24">
        <f>_xll.DBRW($B$1,$B$5,$B$4,O$9,$B$2,$A22,O$10,$B$6,$B$3)</f>
        <v>0</v>
      </c>
      <c r="P22" s="24">
        <f>_xll.DBRW($B$1,$B$5,$B$4,P$9,$B$2,$A22,P$10,$B$6,$B$3)</f>
        <v>0</v>
      </c>
      <c r="Q22" s="24">
        <f>_xll.DBRW($B$1,$B$5,$B$4,Q$9,$B$2,$A22,Q$10,$B$6,$B$3)</f>
        <v>0</v>
      </c>
      <c r="R22" s="24">
        <f>_xll.DBRW($B$1,$B$5,$B$4,R$9,$B$2,$A22,R$10,$B$6,$B$3)</f>
        <v>0</v>
      </c>
      <c r="T22" s="24">
        <f>_xll.DBRW($B$1,$B$5,$B$4,T$9,$B$2,$A22,T$10,$B$6,$B$3)</f>
        <v>0</v>
      </c>
      <c r="U22" s="24">
        <f>_xll.DBRW($B$1,$B$5,$B$4,U$9,$B$2,$A22,U$10,$B$6,$B$3)</f>
        <v>0</v>
      </c>
      <c r="V22" s="24">
        <f>_xll.DBRW($B$1,$B$5,$B$4,V$9,$B$2,$A22,V$10,$B$6,$B$3)</f>
        <v>0</v>
      </c>
      <c r="W22" s="24">
        <f>_xll.DBRW($B$1,$B$5,$B$4,W$9,$B$2,$A22,W$10,$B$6,$B$3)</f>
        <v>0</v>
      </c>
      <c r="X22" s="24">
        <f>_xll.DBRW($B$1,$B$5,$B$4,X$9,$B$2,$A22,X$10,$B$6,$B$3)</f>
        <v>0</v>
      </c>
      <c r="Y22" s="24">
        <f>_xll.DBRW($B$1,$B$5,$B$4,Y$9,$B$2,$A22,Y$10,$B$6,$B$3)</f>
        <v>0</v>
      </c>
      <c r="Z22" s="24">
        <f>_xll.DBRW($B$1,$B$5,$B$4,Z$9,$B$2,$A22,Z$10,$B$6,$B$3)</f>
        <v>0</v>
      </c>
      <c r="AA22" s="24">
        <f>_xll.DBRW($B$1,$B$5,$B$4,AA$9,$B$2,$A22,AA$10,$B$6,$B$3)</f>
        <v>0</v>
      </c>
      <c r="AC22" s="24">
        <f>_xll.DBRW($B$1,$B$5,$B$4,AC$9,$B$2,$A22,AC$10,$B$6,$B$3)</f>
        <v>0</v>
      </c>
      <c r="AD22" s="24">
        <f>_xll.DBRW($B$1,$B$5,$B$4,AD$9,$B$2,$A22,AD$10,$B$6,$B$3)</f>
        <v>0</v>
      </c>
      <c r="AE22" s="24">
        <f>_xll.DBRW($B$1,$B$5,$B$4,AE$9,$B$2,$A22,AE$10,$B$6,$B$3)</f>
        <v>0</v>
      </c>
      <c r="AF22" s="24">
        <f>_xll.DBRW($B$1,$B$5,$B$4,AF$9,$B$2,$A22,AF$10,$B$6,$B$3)</f>
        <v>0</v>
      </c>
      <c r="AG22" s="24">
        <f>_xll.DBRW($B$1,$B$5,$B$4,AG$9,$B$2,$A22,AG$10,$B$6,$B$3)</f>
        <v>0</v>
      </c>
      <c r="AH22" s="24">
        <f>_xll.DBRW($B$1,$B$5,$B$4,AH$9,$B$2,$A22,AH$10,$B$6,$B$3)</f>
        <v>0</v>
      </c>
      <c r="AI22" s="24">
        <f>_xll.DBRW($B$1,$B$5,$B$4,AI$9,$B$2,$A22,AI$10,$B$6,$B$3)</f>
        <v>0</v>
      </c>
      <c r="AJ22" s="24">
        <f>_xll.DBRW($B$1,$B$5,$B$4,AJ$9,$B$2,$A22,AJ$10,$B$6,$B$3)</f>
        <v>0</v>
      </c>
    </row>
    <row r="23" spans="1:36">
      <c r="A23" s="25" t="s">
        <v>79</v>
      </c>
      <c r="B23" s="24">
        <f>_xll.DBRW($B$1,$B$5,$B$4,B$9,$B$2,$A23,B$10,$B$6,$B$3)</f>
        <v>0</v>
      </c>
      <c r="C23" s="24">
        <f>_xll.DBRW($B$1,$B$5,$B$4,C$9,$B$2,$A23,C$10,$B$6,$B$3)</f>
        <v>0</v>
      </c>
      <c r="D23" s="24">
        <f>_xll.DBRW($B$1,$B$5,$B$4,D$9,$B$2,$A23,D$10,$B$6,$B$3)</f>
        <v>0</v>
      </c>
      <c r="E23" s="24">
        <f>_xll.DBRW($B$1,$B$5,$B$4,E$9,$B$2,$A23,E$10,$B$6,$B$3)</f>
        <v>0</v>
      </c>
      <c r="F23" s="24">
        <f>_xll.DBRW($B$1,$B$5,$B$4,F$9,$B$2,$A23,F$10,$B$6,$B$3)</f>
        <v>0</v>
      </c>
      <c r="G23" s="24">
        <f>_xll.DBRW($B$1,$B$5,$B$4,G$9,$B$2,$A23,G$10,$B$6,$B$3)</f>
        <v>0</v>
      </c>
      <c r="H23" s="24">
        <f>_xll.DBRW($B$1,$B$5,$B$4,H$9,$B$2,$A23,H$10,$B$6,$B$3)</f>
        <v>0</v>
      </c>
      <c r="I23" s="24">
        <f>_xll.DBRW($B$1,$B$5,$B$4,I$9,$B$2,$A23,I$10,$B$6,$B$3)</f>
        <v>0</v>
      </c>
      <c r="K23" s="24">
        <f>_xll.DBRW($B$1,$B$5,$B$4,K$9,$B$2,$A23,K$10,$B$6,$B$3)</f>
        <v>0</v>
      </c>
      <c r="L23" s="24">
        <f>_xll.DBRW($B$1,$B$5,$B$4,L$9,$B$2,$A23,L$10,$B$6,$B$3)</f>
        <v>0</v>
      </c>
      <c r="M23" s="24">
        <f>_xll.DBRW($B$1,$B$5,$B$4,M$9,$B$2,$A23,M$10,$B$6,$B$3)</f>
        <v>0</v>
      </c>
      <c r="N23" s="24">
        <f>_xll.DBRW($B$1,$B$5,$B$4,N$9,$B$2,$A23,N$10,$B$6,$B$3)</f>
        <v>0</v>
      </c>
      <c r="O23" s="24">
        <f>_xll.DBRW($B$1,$B$5,$B$4,O$9,$B$2,$A23,O$10,$B$6,$B$3)</f>
        <v>0</v>
      </c>
      <c r="P23" s="24">
        <f>_xll.DBRW($B$1,$B$5,$B$4,P$9,$B$2,$A23,P$10,$B$6,$B$3)</f>
        <v>0</v>
      </c>
      <c r="Q23" s="24">
        <f>_xll.DBRW($B$1,$B$5,$B$4,Q$9,$B$2,$A23,Q$10,$B$6,$B$3)</f>
        <v>0</v>
      </c>
      <c r="R23" s="24">
        <f>_xll.DBRW($B$1,$B$5,$B$4,R$9,$B$2,$A23,R$10,$B$6,$B$3)</f>
        <v>0</v>
      </c>
      <c r="T23" s="24">
        <f>_xll.DBRW($B$1,$B$5,$B$4,T$9,$B$2,$A23,T$10,$B$6,$B$3)</f>
        <v>0</v>
      </c>
      <c r="U23" s="24">
        <f>_xll.DBRW($B$1,$B$5,$B$4,U$9,$B$2,$A23,U$10,$B$6,$B$3)</f>
        <v>0</v>
      </c>
      <c r="V23" s="24">
        <f>_xll.DBRW($B$1,$B$5,$B$4,V$9,$B$2,$A23,V$10,$B$6,$B$3)</f>
        <v>0</v>
      </c>
      <c r="W23" s="24">
        <f>_xll.DBRW($B$1,$B$5,$B$4,W$9,$B$2,$A23,W$10,$B$6,$B$3)</f>
        <v>0</v>
      </c>
      <c r="X23" s="24">
        <f>_xll.DBRW($B$1,$B$5,$B$4,X$9,$B$2,$A23,X$10,$B$6,$B$3)</f>
        <v>0</v>
      </c>
      <c r="Y23" s="24">
        <f>_xll.DBRW($B$1,$B$5,$B$4,Y$9,$B$2,$A23,Y$10,$B$6,$B$3)</f>
        <v>0</v>
      </c>
      <c r="Z23" s="24">
        <f>_xll.DBRW($B$1,$B$5,$B$4,Z$9,$B$2,$A23,Z$10,$B$6,$B$3)</f>
        <v>0</v>
      </c>
      <c r="AA23" s="24">
        <f>_xll.DBRW($B$1,$B$5,$B$4,AA$9,$B$2,$A23,AA$10,$B$6,$B$3)</f>
        <v>0</v>
      </c>
      <c r="AC23" s="24">
        <f>_xll.DBRW($B$1,$B$5,$B$4,AC$9,$B$2,$A23,AC$10,$B$6,$B$3)</f>
        <v>0</v>
      </c>
      <c r="AD23" s="24">
        <f>_xll.DBRW($B$1,$B$5,$B$4,AD$9,$B$2,$A23,AD$10,$B$6,$B$3)</f>
        <v>0</v>
      </c>
      <c r="AE23" s="24">
        <f>_xll.DBRW($B$1,$B$5,$B$4,AE$9,$B$2,$A23,AE$10,$B$6,$B$3)</f>
        <v>0</v>
      </c>
      <c r="AF23" s="24">
        <f>_xll.DBRW($B$1,$B$5,$B$4,AF$9,$B$2,$A23,AF$10,$B$6,$B$3)</f>
        <v>0</v>
      </c>
      <c r="AG23" s="24">
        <f>_xll.DBRW($B$1,$B$5,$B$4,AG$9,$B$2,$A23,AG$10,$B$6,$B$3)</f>
        <v>0</v>
      </c>
      <c r="AH23" s="24">
        <f>_xll.DBRW($B$1,$B$5,$B$4,AH$9,$B$2,$A23,AH$10,$B$6,$B$3)</f>
        <v>0</v>
      </c>
      <c r="AI23" s="24">
        <f>_xll.DBRW($B$1,$B$5,$B$4,AI$9,$B$2,$A23,AI$10,$B$6,$B$3)</f>
        <v>0</v>
      </c>
      <c r="AJ23" s="24">
        <f>_xll.DBRW($B$1,$B$5,$B$4,AJ$9,$B$2,$A23,AJ$10,$B$6,$B$3)</f>
        <v>0</v>
      </c>
    </row>
    <row r="24" spans="1:36">
      <c r="A24" s="25" t="s">
        <v>80</v>
      </c>
      <c r="B24" s="24">
        <f>_xll.DBRW($B$1,$B$5,$B$4,B$9,$B$2,$A24,B$10,$B$6,$B$3)</f>
        <v>0</v>
      </c>
      <c r="C24" s="24">
        <f>_xll.DBRW($B$1,$B$5,$B$4,C$9,$B$2,$A24,C$10,$B$6,$B$3)</f>
        <v>0</v>
      </c>
      <c r="D24" s="24">
        <f>_xll.DBRW($B$1,$B$5,$B$4,D$9,$B$2,$A24,D$10,$B$6,$B$3)</f>
        <v>0</v>
      </c>
      <c r="E24" s="24">
        <f>_xll.DBRW($B$1,$B$5,$B$4,E$9,$B$2,$A24,E$10,$B$6,$B$3)</f>
        <v>0</v>
      </c>
      <c r="F24" s="24">
        <f>_xll.DBRW($B$1,$B$5,$B$4,F$9,$B$2,$A24,F$10,$B$6,$B$3)</f>
        <v>0</v>
      </c>
      <c r="G24" s="24">
        <f>_xll.DBRW($B$1,$B$5,$B$4,G$9,$B$2,$A24,G$10,$B$6,$B$3)</f>
        <v>0</v>
      </c>
      <c r="H24" s="24">
        <f>_xll.DBRW($B$1,$B$5,$B$4,H$9,$B$2,$A24,H$10,$B$6,$B$3)</f>
        <v>0</v>
      </c>
      <c r="I24" s="24">
        <f>_xll.DBRW($B$1,$B$5,$B$4,I$9,$B$2,$A24,I$10,$B$6,$B$3)</f>
        <v>0</v>
      </c>
      <c r="K24" s="24">
        <f>_xll.DBRW($B$1,$B$5,$B$4,K$9,$B$2,$A24,K$10,$B$6,$B$3)</f>
        <v>0</v>
      </c>
      <c r="L24" s="24">
        <f>_xll.DBRW($B$1,$B$5,$B$4,L$9,$B$2,$A24,L$10,$B$6,$B$3)</f>
        <v>0</v>
      </c>
      <c r="M24" s="24">
        <f>_xll.DBRW($B$1,$B$5,$B$4,M$9,$B$2,$A24,M$10,$B$6,$B$3)</f>
        <v>0</v>
      </c>
      <c r="N24" s="24">
        <f>_xll.DBRW($B$1,$B$5,$B$4,N$9,$B$2,$A24,N$10,$B$6,$B$3)</f>
        <v>0</v>
      </c>
      <c r="O24" s="24">
        <f>_xll.DBRW($B$1,$B$5,$B$4,O$9,$B$2,$A24,O$10,$B$6,$B$3)</f>
        <v>0</v>
      </c>
      <c r="P24" s="24">
        <f>_xll.DBRW($B$1,$B$5,$B$4,P$9,$B$2,$A24,P$10,$B$6,$B$3)</f>
        <v>0</v>
      </c>
      <c r="Q24" s="24">
        <f>_xll.DBRW($B$1,$B$5,$B$4,Q$9,$B$2,$A24,Q$10,$B$6,$B$3)</f>
        <v>0</v>
      </c>
      <c r="R24" s="24">
        <f>_xll.DBRW($B$1,$B$5,$B$4,R$9,$B$2,$A24,R$10,$B$6,$B$3)</f>
        <v>0</v>
      </c>
      <c r="T24" s="24">
        <f>_xll.DBRW($B$1,$B$5,$B$4,T$9,$B$2,$A24,T$10,$B$6,$B$3)</f>
        <v>0</v>
      </c>
      <c r="U24" s="24">
        <f>_xll.DBRW($B$1,$B$5,$B$4,U$9,$B$2,$A24,U$10,$B$6,$B$3)</f>
        <v>0</v>
      </c>
      <c r="V24" s="24">
        <f>_xll.DBRW($B$1,$B$5,$B$4,V$9,$B$2,$A24,V$10,$B$6,$B$3)</f>
        <v>0</v>
      </c>
      <c r="W24" s="24">
        <f>_xll.DBRW($B$1,$B$5,$B$4,W$9,$B$2,$A24,W$10,$B$6,$B$3)</f>
        <v>0</v>
      </c>
      <c r="X24" s="24">
        <f>_xll.DBRW($B$1,$B$5,$B$4,X$9,$B$2,$A24,X$10,$B$6,$B$3)</f>
        <v>0</v>
      </c>
      <c r="Y24" s="24">
        <f>_xll.DBRW($B$1,$B$5,$B$4,Y$9,$B$2,$A24,Y$10,$B$6,$B$3)</f>
        <v>0</v>
      </c>
      <c r="Z24" s="24">
        <f>_xll.DBRW($B$1,$B$5,$B$4,Z$9,$B$2,$A24,Z$10,$B$6,$B$3)</f>
        <v>0</v>
      </c>
      <c r="AA24" s="24">
        <f>_xll.DBRW($B$1,$B$5,$B$4,AA$9,$B$2,$A24,AA$10,$B$6,$B$3)</f>
        <v>0</v>
      </c>
      <c r="AC24" s="24">
        <f>_xll.DBRW($B$1,$B$5,$B$4,AC$9,$B$2,$A24,AC$10,$B$6,$B$3)</f>
        <v>0</v>
      </c>
      <c r="AD24" s="24">
        <f>_xll.DBRW($B$1,$B$5,$B$4,AD$9,$B$2,$A24,AD$10,$B$6,$B$3)</f>
        <v>0</v>
      </c>
      <c r="AE24" s="24">
        <f>_xll.DBRW($B$1,$B$5,$B$4,AE$9,$B$2,$A24,AE$10,$B$6,$B$3)</f>
        <v>0</v>
      </c>
      <c r="AF24" s="24">
        <f>_xll.DBRW($B$1,$B$5,$B$4,AF$9,$B$2,$A24,AF$10,$B$6,$B$3)</f>
        <v>0</v>
      </c>
      <c r="AG24" s="24">
        <f>_xll.DBRW($B$1,$B$5,$B$4,AG$9,$B$2,$A24,AG$10,$B$6,$B$3)</f>
        <v>0</v>
      </c>
      <c r="AH24" s="24">
        <f>_xll.DBRW($B$1,$B$5,$B$4,AH$9,$B$2,$A24,AH$10,$B$6,$B$3)</f>
        <v>0</v>
      </c>
      <c r="AI24" s="24">
        <f>_xll.DBRW($B$1,$B$5,$B$4,AI$9,$B$2,$A24,AI$10,$B$6,$B$3)</f>
        <v>0</v>
      </c>
      <c r="AJ24" s="24">
        <f>_xll.DBRW($B$1,$B$5,$B$4,AJ$9,$B$2,$A24,AJ$10,$B$6,$B$3)</f>
        <v>0</v>
      </c>
    </row>
    <row r="25" spans="1:36">
      <c r="A25" s="25" t="s">
        <v>39</v>
      </c>
      <c r="B25" s="24">
        <f>_xll.DBRW($B$1,$B$5,$B$4,B$9,$B$2,$A25,B$10,$B$6,$B$3)</f>
        <v>0</v>
      </c>
      <c r="C25" s="24">
        <f>_xll.DBRW($B$1,$B$5,$B$4,C$9,$B$2,$A25,C$10,$B$6,$B$3)</f>
        <v>0</v>
      </c>
      <c r="D25" s="24">
        <f>_xll.DBRW($B$1,$B$5,$B$4,D$9,$B$2,$A25,D$10,$B$6,$B$3)</f>
        <v>0</v>
      </c>
      <c r="E25" s="24">
        <f>_xll.DBRW($B$1,$B$5,$B$4,E$9,$B$2,$A25,E$10,$B$6,$B$3)</f>
        <v>0</v>
      </c>
      <c r="F25" s="24">
        <f>_xll.DBRW($B$1,$B$5,$B$4,F$9,$B$2,$A25,F$10,$B$6,$B$3)</f>
        <v>0</v>
      </c>
      <c r="G25" s="24">
        <f>_xll.DBRW($B$1,$B$5,$B$4,G$9,$B$2,$A25,G$10,$B$6,$B$3)</f>
        <v>0</v>
      </c>
      <c r="H25" s="24">
        <f>_xll.DBRW($B$1,$B$5,$B$4,H$9,$B$2,$A25,H$10,$B$6,$B$3)</f>
        <v>0</v>
      </c>
      <c r="I25" s="24">
        <f>_xll.DBRW($B$1,$B$5,$B$4,I$9,$B$2,$A25,I$10,$B$6,$B$3)</f>
        <v>0</v>
      </c>
      <c r="K25" s="24">
        <f>_xll.DBRW($B$1,$B$5,$B$4,K$9,$B$2,$A25,K$10,$B$6,$B$3)</f>
        <v>0</v>
      </c>
      <c r="L25" s="24">
        <f>_xll.DBRW($B$1,$B$5,$B$4,L$9,$B$2,$A25,L$10,$B$6,$B$3)</f>
        <v>0</v>
      </c>
      <c r="M25" s="24">
        <f>_xll.DBRW($B$1,$B$5,$B$4,M$9,$B$2,$A25,M$10,$B$6,$B$3)</f>
        <v>0</v>
      </c>
      <c r="N25" s="24">
        <f>_xll.DBRW($B$1,$B$5,$B$4,N$9,$B$2,$A25,N$10,$B$6,$B$3)</f>
        <v>0</v>
      </c>
      <c r="O25" s="24">
        <f>_xll.DBRW($B$1,$B$5,$B$4,O$9,$B$2,$A25,O$10,$B$6,$B$3)</f>
        <v>0</v>
      </c>
      <c r="P25" s="24">
        <f>_xll.DBRW($B$1,$B$5,$B$4,P$9,$B$2,$A25,P$10,$B$6,$B$3)</f>
        <v>0</v>
      </c>
      <c r="Q25" s="24">
        <f>_xll.DBRW($B$1,$B$5,$B$4,Q$9,$B$2,$A25,Q$10,$B$6,$B$3)</f>
        <v>0</v>
      </c>
      <c r="R25" s="24">
        <f>_xll.DBRW($B$1,$B$5,$B$4,R$9,$B$2,$A25,R$10,$B$6,$B$3)</f>
        <v>0</v>
      </c>
      <c r="T25" s="24">
        <f>_xll.DBRW($B$1,$B$5,$B$4,T$9,$B$2,$A25,T$10,$B$6,$B$3)</f>
        <v>0</v>
      </c>
      <c r="U25" s="24">
        <f>_xll.DBRW($B$1,$B$5,$B$4,U$9,$B$2,$A25,U$10,$B$6,$B$3)</f>
        <v>0</v>
      </c>
      <c r="V25" s="24">
        <f>_xll.DBRW($B$1,$B$5,$B$4,V$9,$B$2,$A25,V$10,$B$6,$B$3)</f>
        <v>0</v>
      </c>
      <c r="W25" s="24">
        <f>_xll.DBRW($B$1,$B$5,$B$4,W$9,$B$2,$A25,W$10,$B$6,$B$3)</f>
        <v>0</v>
      </c>
      <c r="X25" s="24">
        <f>_xll.DBRW($B$1,$B$5,$B$4,X$9,$B$2,$A25,X$10,$B$6,$B$3)</f>
        <v>0</v>
      </c>
      <c r="Y25" s="24">
        <f>_xll.DBRW($B$1,$B$5,$B$4,Y$9,$B$2,$A25,Y$10,$B$6,$B$3)</f>
        <v>0</v>
      </c>
      <c r="Z25" s="24">
        <f>_xll.DBRW($B$1,$B$5,$B$4,Z$9,$B$2,$A25,Z$10,$B$6,$B$3)</f>
        <v>0</v>
      </c>
      <c r="AA25" s="24">
        <f>_xll.DBRW($B$1,$B$5,$B$4,AA$9,$B$2,$A25,AA$10,$B$6,$B$3)</f>
        <v>0</v>
      </c>
      <c r="AC25" s="24">
        <f>_xll.DBRW($B$1,$B$5,$B$4,AC$9,$B$2,$A25,AC$10,$B$6,$B$3)</f>
        <v>0</v>
      </c>
      <c r="AD25" s="24">
        <f>_xll.DBRW($B$1,$B$5,$B$4,AD$9,$B$2,$A25,AD$10,$B$6,$B$3)</f>
        <v>0</v>
      </c>
      <c r="AE25" s="24">
        <f>_xll.DBRW($B$1,$B$5,$B$4,AE$9,$B$2,$A25,AE$10,$B$6,$B$3)</f>
        <v>0</v>
      </c>
      <c r="AF25" s="24">
        <f>_xll.DBRW($B$1,$B$5,$B$4,AF$9,$B$2,$A25,AF$10,$B$6,$B$3)</f>
        <v>0</v>
      </c>
      <c r="AG25" s="24">
        <f>_xll.DBRW($B$1,$B$5,$B$4,AG$9,$B$2,$A25,AG$10,$B$6,$B$3)</f>
        <v>0</v>
      </c>
      <c r="AH25" s="24">
        <f>_xll.DBRW($B$1,$B$5,$B$4,AH$9,$B$2,$A25,AH$10,$B$6,$B$3)</f>
        <v>0</v>
      </c>
      <c r="AI25" s="24">
        <f>_xll.DBRW($B$1,$B$5,$B$4,AI$9,$B$2,$A25,AI$10,$B$6,$B$3)</f>
        <v>0</v>
      </c>
      <c r="AJ25" s="24">
        <f>_xll.DBRW($B$1,$B$5,$B$4,AJ$9,$B$2,$A25,AJ$10,$B$6,$B$3)</f>
        <v>0</v>
      </c>
    </row>
    <row r="26" spans="1:36">
      <c r="A26" s="25" t="s">
        <v>40</v>
      </c>
      <c r="B26" s="24">
        <f>_xll.DBRW($B$1,$B$5,$B$4,B$9,$B$2,$A26,B$10,$B$6,$B$3)</f>
        <v>0</v>
      </c>
      <c r="C26" s="24">
        <f>_xll.DBRW($B$1,$B$5,$B$4,C$9,$B$2,$A26,C$10,$B$6,$B$3)</f>
        <v>0</v>
      </c>
      <c r="D26" s="24">
        <f>_xll.DBRW($B$1,$B$5,$B$4,D$9,$B$2,$A26,D$10,$B$6,$B$3)</f>
        <v>0</v>
      </c>
      <c r="E26" s="24">
        <f>_xll.DBRW($B$1,$B$5,$B$4,E$9,$B$2,$A26,E$10,$B$6,$B$3)</f>
        <v>0</v>
      </c>
      <c r="F26" s="24">
        <f>_xll.DBRW($B$1,$B$5,$B$4,F$9,$B$2,$A26,F$10,$B$6,$B$3)</f>
        <v>0</v>
      </c>
      <c r="G26" s="24">
        <f>_xll.DBRW($B$1,$B$5,$B$4,G$9,$B$2,$A26,G$10,$B$6,$B$3)</f>
        <v>0</v>
      </c>
      <c r="H26" s="24">
        <f>_xll.DBRW($B$1,$B$5,$B$4,H$9,$B$2,$A26,H$10,$B$6,$B$3)</f>
        <v>0</v>
      </c>
      <c r="I26" s="24">
        <f>_xll.DBRW($B$1,$B$5,$B$4,I$9,$B$2,$A26,I$10,$B$6,$B$3)</f>
        <v>0</v>
      </c>
      <c r="K26" s="24">
        <f>_xll.DBRW($B$1,$B$5,$B$4,K$9,$B$2,$A26,K$10,$B$6,$B$3)</f>
        <v>0</v>
      </c>
      <c r="L26" s="24">
        <f>_xll.DBRW($B$1,$B$5,$B$4,L$9,$B$2,$A26,L$10,$B$6,$B$3)</f>
        <v>0</v>
      </c>
      <c r="M26" s="24">
        <f>_xll.DBRW($B$1,$B$5,$B$4,M$9,$B$2,$A26,M$10,$B$6,$B$3)</f>
        <v>0</v>
      </c>
      <c r="N26" s="24">
        <f>_xll.DBRW($B$1,$B$5,$B$4,N$9,$B$2,$A26,N$10,$B$6,$B$3)</f>
        <v>0</v>
      </c>
      <c r="O26" s="24">
        <f>_xll.DBRW($B$1,$B$5,$B$4,O$9,$B$2,$A26,O$10,$B$6,$B$3)</f>
        <v>0</v>
      </c>
      <c r="P26" s="24">
        <f>_xll.DBRW($B$1,$B$5,$B$4,P$9,$B$2,$A26,P$10,$B$6,$B$3)</f>
        <v>0</v>
      </c>
      <c r="Q26" s="24">
        <f>_xll.DBRW($B$1,$B$5,$B$4,Q$9,$B$2,$A26,Q$10,$B$6,$B$3)</f>
        <v>0</v>
      </c>
      <c r="R26" s="24">
        <f>_xll.DBRW($B$1,$B$5,$B$4,R$9,$B$2,$A26,R$10,$B$6,$B$3)</f>
        <v>0</v>
      </c>
      <c r="T26" s="24">
        <f>_xll.DBRW($B$1,$B$5,$B$4,T$9,$B$2,$A26,T$10,$B$6,$B$3)</f>
        <v>0</v>
      </c>
      <c r="U26" s="24">
        <f>_xll.DBRW($B$1,$B$5,$B$4,U$9,$B$2,$A26,U$10,$B$6,$B$3)</f>
        <v>0</v>
      </c>
      <c r="V26" s="24">
        <f>_xll.DBRW($B$1,$B$5,$B$4,V$9,$B$2,$A26,V$10,$B$6,$B$3)</f>
        <v>0</v>
      </c>
      <c r="W26" s="24">
        <f>_xll.DBRW($B$1,$B$5,$B$4,W$9,$B$2,$A26,W$10,$B$6,$B$3)</f>
        <v>0</v>
      </c>
      <c r="X26" s="24">
        <f>_xll.DBRW($B$1,$B$5,$B$4,X$9,$B$2,$A26,X$10,$B$6,$B$3)</f>
        <v>0</v>
      </c>
      <c r="Y26" s="24">
        <f>_xll.DBRW($B$1,$B$5,$B$4,Y$9,$B$2,$A26,Y$10,$B$6,$B$3)</f>
        <v>0</v>
      </c>
      <c r="Z26" s="24">
        <f>_xll.DBRW($B$1,$B$5,$B$4,Z$9,$B$2,$A26,Z$10,$B$6,$B$3)</f>
        <v>0</v>
      </c>
      <c r="AA26" s="24">
        <f>_xll.DBRW($B$1,$B$5,$B$4,AA$9,$B$2,$A26,AA$10,$B$6,$B$3)</f>
        <v>0</v>
      </c>
      <c r="AC26" s="24">
        <f>_xll.DBRW($B$1,$B$5,$B$4,AC$9,$B$2,$A26,AC$10,$B$6,$B$3)</f>
        <v>0</v>
      </c>
      <c r="AD26" s="24">
        <f>_xll.DBRW($B$1,$B$5,$B$4,AD$9,$B$2,$A26,AD$10,$B$6,$B$3)</f>
        <v>0</v>
      </c>
      <c r="AE26" s="24">
        <f>_xll.DBRW($B$1,$B$5,$B$4,AE$9,$B$2,$A26,AE$10,$B$6,$B$3)</f>
        <v>0</v>
      </c>
      <c r="AF26" s="24">
        <f>_xll.DBRW($B$1,$B$5,$B$4,AF$9,$B$2,$A26,AF$10,$B$6,$B$3)</f>
        <v>0</v>
      </c>
      <c r="AG26" s="24">
        <f>_xll.DBRW($B$1,$B$5,$B$4,AG$9,$B$2,$A26,AG$10,$B$6,$B$3)</f>
        <v>0</v>
      </c>
      <c r="AH26" s="24">
        <f>_xll.DBRW($B$1,$B$5,$B$4,AH$9,$B$2,$A26,AH$10,$B$6,$B$3)</f>
        <v>0</v>
      </c>
      <c r="AI26" s="24">
        <f>_xll.DBRW($B$1,$B$5,$B$4,AI$9,$B$2,$A26,AI$10,$B$6,$B$3)</f>
        <v>0</v>
      </c>
      <c r="AJ26" s="24">
        <f>_xll.DBRW($B$1,$B$5,$B$4,AJ$9,$B$2,$A26,AJ$10,$B$6,$B$3)</f>
        <v>0</v>
      </c>
    </row>
    <row r="27" spans="1:36">
      <c r="A27" s="25" t="s">
        <v>41</v>
      </c>
      <c r="B27" s="24">
        <f>_xll.DBRW($B$1,$B$5,$B$4,B$9,$B$2,$A27,B$10,$B$6,$B$3)</f>
        <v>0</v>
      </c>
      <c r="C27" s="24">
        <f>_xll.DBRW($B$1,$B$5,$B$4,C$9,$B$2,$A27,C$10,$B$6,$B$3)</f>
        <v>0</v>
      </c>
      <c r="D27" s="24">
        <f>_xll.DBRW($B$1,$B$5,$B$4,D$9,$B$2,$A27,D$10,$B$6,$B$3)</f>
        <v>0</v>
      </c>
      <c r="E27" s="24">
        <f>_xll.DBRW($B$1,$B$5,$B$4,E$9,$B$2,$A27,E$10,$B$6,$B$3)</f>
        <v>0</v>
      </c>
      <c r="F27" s="24">
        <f>_xll.DBRW($B$1,$B$5,$B$4,F$9,$B$2,$A27,F$10,$B$6,$B$3)</f>
        <v>0</v>
      </c>
      <c r="G27" s="24">
        <f>_xll.DBRW($B$1,$B$5,$B$4,G$9,$B$2,$A27,G$10,$B$6,$B$3)</f>
        <v>0</v>
      </c>
      <c r="H27" s="24">
        <f>_xll.DBRW($B$1,$B$5,$B$4,H$9,$B$2,$A27,H$10,$B$6,$B$3)</f>
        <v>0</v>
      </c>
      <c r="I27" s="24">
        <f>_xll.DBRW($B$1,$B$5,$B$4,I$9,$B$2,$A27,I$10,$B$6,$B$3)</f>
        <v>0</v>
      </c>
      <c r="K27" s="24">
        <f>_xll.DBRW($B$1,$B$5,$B$4,K$9,$B$2,$A27,K$10,$B$6,$B$3)</f>
        <v>0</v>
      </c>
      <c r="L27" s="24">
        <f>_xll.DBRW($B$1,$B$5,$B$4,L$9,$B$2,$A27,L$10,$B$6,$B$3)</f>
        <v>0</v>
      </c>
      <c r="M27" s="24">
        <f>_xll.DBRW($B$1,$B$5,$B$4,M$9,$B$2,$A27,M$10,$B$6,$B$3)</f>
        <v>0</v>
      </c>
      <c r="N27" s="24">
        <f>_xll.DBRW($B$1,$B$5,$B$4,N$9,$B$2,$A27,N$10,$B$6,$B$3)</f>
        <v>0</v>
      </c>
      <c r="O27" s="24">
        <f>_xll.DBRW($B$1,$B$5,$B$4,O$9,$B$2,$A27,O$10,$B$6,$B$3)</f>
        <v>0</v>
      </c>
      <c r="P27" s="24">
        <f>_xll.DBRW($B$1,$B$5,$B$4,P$9,$B$2,$A27,P$10,$B$6,$B$3)</f>
        <v>0</v>
      </c>
      <c r="Q27" s="24">
        <f>_xll.DBRW($B$1,$B$5,$B$4,Q$9,$B$2,$A27,Q$10,$B$6,$B$3)</f>
        <v>0</v>
      </c>
      <c r="R27" s="24">
        <f>_xll.DBRW($B$1,$B$5,$B$4,R$9,$B$2,$A27,R$10,$B$6,$B$3)</f>
        <v>0</v>
      </c>
      <c r="T27" s="24">
        <f>_xll.DBRW($B$1,$B$5,$B$4,T$9,$B$2,$A27,T$10,$B$6,$B$3)</f>
        <v>0</v>
      </c>
      <c r="U27" s="24">
        <f>_xll.DBRW($B$1,$B$5,$B$4,U$9,$B$2,$A27,U$10,$B$6,$B$3)</f>
        <v>0</v>
      </c>
      <c r="V27" s="24">
        <f>_xll.DBRW($B$1,$B$5,$B$4,V$9,$B$2,$A27,V$10,$B$6,$B$3)</f>
        <v>0</v>
      </c>
      <c r="W27" s="24">
        <f>_xll.DBRW($B$1,$B$5,$B$4,W$9,$B$2,$A27,W$10,$B$6,$B$3)</f>
        <v>0</v>
      </c>
      <c r="X27" s="24">
        <f>_xll.DBRW($B$1,$B$5,$B$4,X$9,$B$2,$A27,X$10,$B$6,$B$3)</f>
        <v>0</v>
      </c>
      <c r="Y27" s="24">
        <f>_xll.DBRW($B$1,$B$5,$B$4,Y$9,$B$2,$A27,Y$10,$B$6,$B$3)</f>
        <v>0</v>
      </c>
      <c r="Z27" s="24">
        <f>_xll.DBRW($B$1,$B$5,$B$4,Z$9,$B$2,$A27,Z$10,$B$6,$B$3)</f>
        <v>0</v>
      </c>
      <c r="AA27" s="24">
        <f>_xll.DBRW($B$1,$B$5,$B$4,AA$9,$B$2,$A27,AA$10,$B$6,$B$3)</f>
        <v>0</v>
      </c>
      <c r="AC27" s="24">
        <f>_xll.DBRW($B$1,$B$5,$B$4,AC$9,$B$2,$A27,AC$10,$B$6,$B$3)</f>
        <v>0</v>
      </c>
      <c r="AD27" s="24">
        <f>_xll.DBRW($B$1,$B$5,$B$4,AD$9,$B$2,$A27,AD$10,$B$6,$B$3)</f>
        <v>0</v>
      </c>
      <c r="AE27" s="24">
        <f>_xll.DBRW($B$1,$B$5,$B$4,AE$9,$B$2,$A27,AE$10,$B$6,$B$3)</f>
        <v>0</v>
      </c>
      <c r="AF27" s="24">
        <f>_xll.DBRW($B$1,$B$5,$B$4,AF$9,$B$2,$A27,AF$10,$B$6,$B$3)</f>
        <v>0</v>
      </c>
      <c r="AG27" s="24">
        <f>_xll.DBRW($B$1,$B$5,$B$4,AG$9,$B$2,$A27,AG$10,$B$6,$B$3)</f>
        <v>0</v>
      </c>
      <c r="AH27" s="24">
        <f>_xll.DBRW($B$1,$B$5,$B$4,AH$9,$B$2,$A27,AH$10,$B$6,$B$3)</f>
        <v>0</v>
      </c>
      <c r="AI27" s="24">
        <f>_xll.DBRW($B$1,$B$5,$B$4,AI$9,$B$2,$A27,AI$10,$B$6,$B$3)</f>
        <v>0</v>
      </c>
      <c r="AJ27" s="24">
        <f>_xll.DBRW($B$1,$B$5,$B$4,AJ$9,$B$2,$A27,AJ$10,$B$6,$B$3)</f>
        <v>0</v>
      </c>
    </row>
    <row r="28" spans="1:36">
      <c r="A28" s="25" t="s">
        <v>42</v>
      </c>
      <c r="B28" s="24">
        <f>_xll.DBRW($B$1,$B$5,$B$4,B$9,$B$2,$A28,B$10,$B$6,$B$3)</f>
        <v>0</v>
      </c>
      <c r="C28" s="24">
        <f>_xll.DBRW($B$1,$B$5,$B$4,C$9,$B$2,$A28,C$10,$B$6,$B$3)</f>
        <v>0</v>
      </c>
      <c r="D28" s="24">
        <f>_xll.DBRW($B$1,$B$5,$B$4,D$9,$B$2,$A28,D$10,$B$6,$B$3)</f>
        <v>0</v>
      </c>
      <c r="E28" s="24">
        <f>_xll.DBRW($B$1,$B$5,$B$4,E$9,$B$2,$A28,E$10,$B$6,$B$3)</f>
        <v>0</v>
      </c>
      <c r="F28" s="24">
        <f>_xll.DBRW($B$1,$B$5,$B$4,F$9,$B$2,$A28,F$10,$B$6,$B$3)</f>
        <v>0</v>
      </c>
      <c r="G28" s="24">
        <f>_xll.DBRW($B$1,$B$5,$B$4,G$9,$B$2,$A28,G$10,$B$6,$B$3)</f>
        <v>0</v>
      </c>
      <c r="H28" s="24">
        <f>_xll.DBRW($B$1,$B$5,$B$4,H$9,$B$2,$A28,H$10,$B$6,$B$3)</f>
        <v>0</v>
      </c>
      <c r="I28" s="24">
        <f>_xll.DBRW($B$1,$B$5,$B$4,I$9,$B$2,$A28,I$10,$B$6,$B$3)</f>
        <v>0</v>
      </c>
      <c r="K28" s="24">
        <f>_xll.DBRW($B$1,$B$5,$B$4,K$9,$B$2,$A28,K$10,$B$6,$B$3)</f>
        <v>0</v>
      </c>
      <c r="L28" s="24">
        <f>_xll.DBRW($B$1,$B$5,$B$4,L$9,$B$2,$A28,L$10,$B$6,$B$3)</f>
        <v>0</v>
      </c>
      <c r="M28" s="24">
        <f>_xll.DBRW($B$1,$B$5,$B$4,M$9,$B$2,$A28,M$10,$B$6,$B$3)</f>
        <v>0</v>
      </c>
      <c r="N28" s="24">
        <f>_xll.DBRW($B$1,$B$5,$B$4,N$9,$B$2,$A28,N$10,$B$6,$B$3)</f>
        <v>0</v>
      </c>
      <c r="O28" s="24">
        <f>_xll.DBRW($B$1,$B$5,$B$4,O$9,$B$2,$A28,O$10,$B$6,$B$3)</f>
        <v>0</v>
      </c>
      <c r="P28" s="24">
        <f>_xll.DBRW($B$1,$B$5,$B$4,P$9,$B$2,$A28,P$10,$B$6,$B$3)</f>
        <v>0</v>
      </c>
      <c r="Q28" s="24">
        <f>_xll.DBRW($B$1,$B$5,$B$4,Q$9,$B$2,$A28,Q$10,$B$6,$B$3)</f>
        <v>0</v>
      </c>
      <c r="R28" s="24">
        <f>_xll.DBRW($B$1,$B$5,$B$4,R$9,$B$2,$A28,R$10,$B$6,$B$3)</f>
        <v>0</v>
      </c>
      <c r="T28" s="24">
        <f>_xll.DBRW($B$1,$B$5,$B$4,T$9,$B$2,$A28,T$10,$B$6,$B$3)</f>
        <v>0</v>
      </c>
      <c r="U28" s="24">
        <f>_xll.DBRW($B$1,$B$5,$B$4,U$9,$B$2,$A28,U$10,$B$6,$B$3)</f>
        <v>0</v>
      </c>
      <c r="V28" s="24">
        <f>_xll.DBRW($B$1,$B$5,$B$4,V$9,$B$2,$A28,V$10,$B$6,$B$3)</f>
        <v>0</v>
      </c>
      <c r="W28" s="24">
        <f>_xll.DBRW($B$1,$B$5,$B$4,W$9,$B$2,$A28,W$10,$B$6,$B$3)</f>
        <v>0</v>
      </c>
      <c r="X28" s="24">
        <f>_xll.DBRW($B$1,$B$5,$B$4,X$9,$B$2,$A28,X$10,$B$6,$B$3)</f>
        <v>0</v>
      </c>
      <c r="Y28" s="24">
        <f>_xll.DBRW($B$1,$B$5,$B$4,Y$9,$B$2,$A28,Y$10,$B$6,$B$3)</f>
        <v>0</v>
      </c>
      <c r="Z28" s="24">
        <f>_xll.DBRW($B$1,$B$5,$B$4,Z$9,$B$2,$A28,Z$10,$B$6,$B$3)</f>
        <v>0</v>
      </c>
      <c r="AA28" s="24">
        <f>_xll.DBRW($B$1,$B$5,$B$4,AA$9,$B$2,$A28,AA$10,$B$6,$B$3)</f>
        <v>0</v>
      </c>
      <c r="AC28" s="24">
        <f>_xll.DBRW($B$1,$B$5,$B$4,AC$9,$B$2,$A28,AC$10,$B$6,$B$3)</f>
        <v>0</v>
      </c>
      <c r="AD28" s="24">
        <f>_xll.DBRW($B$1,$B$5,$B$4,AD$9,$B$2,$A28,AD$10,$B$6,$B$3)</f>
        <v>0</v>
      </c>
      <c r="AE28" s="24">
        <f>_xll.DBRW($B$1,$B$5,$B$4,AE$9,$B$2,$A28,AE$10,$B$6,$B$3)</f>
        <v>0</v>
      </c>
      <c r="AF28" s="24">
        <f>_xll.DBRW($B$1,$B$5,$B$4,AF$9,$B$2,$A28,AF$10,$B$6,$B$3)</f>
        <v>0</v>
      </c>
      <c r="AG28" s="24">
        <f>_xll.DBRW($B$1,$B$5,$B$4,AG$9,$B$2,$A28,AG$10,$B$6,$B$3)</f>
        <v>0</v>
      </c>
      <c r="AH28" s="24">
        <f>_xll.DBRW($B$1,$B$5,$B$4,AH$9,$B$2,$A28,AH$10,$B$6,$B$3)</f>
        <v>0</v>
      </c>
      <c r="AI28" s="24">
        <f>_xll.DBRW($B$1,$B$5,$B$4,AI$9,$B$2,$A28,AI$10,$B$6,$B$3)</f>
        <v>0</v>
      </c>
      <c r="AJ28" s="24">
        <f>_xll.DBRW($B$1,$B$5,$B$4,AJ$9,$B$2,$A28,AJ$10,$B$6,$B$3)</f>
        <v>0</v>
      </c>
    </row>
    <row r="29" spans="1:36">
      <c r="A29" s="25" t="s">
        <v>43</v>
      </c>
      <c r="B29" s="24">
        <f>_xll.DBRW($B$1,$B$5,$B$4,B$9,$B$2,$A29,B$10,$B$6,$B$3)</f>
        <v>0</v>
      </c>
      <c r="C29" s="24">
        <f>_xll.DBRW($B$1,$B$5,$B$4,C$9,$B$2,$A29,C$10,$B$6,$B$3)</f>
        <v>0</v>
      </c>
      <c r="D29" s="24">
        <f>_xll.DBRW($B$1,$B$5,$B$4,D$9,$B$2,$A29,D$10,$B$6,$B$3)</f>
        <v>0</v>
      </c>
      <c r="E29" s="24">
        <f>_xll.DBRW($B$1,$B$5,$B$4,E$9,$B$2,$A29,E$10,$B$6,$B$3)</f>
        <v>0</v>
      </c>
      <c r="F29" s="24">
        <f>_xll.DBRW($B$1,$B$5,$B$4,F$9,$B$2,$A29,F$10,$B$6,$B$3)</f>
        <v>0</v>
      </c>
      <c r="G29" s="24">
        <f>_xll.DBRW($B$1,$B$5,$B$4,G$9,$B$2,$A29,G$10,$B$6,$B$3)</f>
        <v>0</v>
      </c>
      <c r="H29" s="24">
        <f>_xll.DBRW($B$1,$B$5,$B$4,H$9,$B$2,$A29,H$10,$B$6,$B$3)</f>
        <v>0</v>
      </c>
      <c r="I29" s="24">
        <f>_xll.DBRW($B$1,$B$5,$B$4,I$9,$B$2,$A29,I$10,$B$6,$B$3)</f>
        <v>0</v>
      </c>
      <c r="K29" s="24">
        <f>_xll.DBRW($B$1,$B$5,$B$4,K$9,$B$2,$A29,K$10,$B$6,$B$3)</f>
        <v>0</v>
      </c>
      <c r="L29" s="24">
        <f>_xll.DBRW($B$1,$B$5,$B$4,L$9,$B$2,$A29,L$10,$B$6,$B$3)</f>
        <v>0</v>
      </c>
      <c r="M29" s="24">
        <f>_xll.DBRW($B$1,$B$5,$B$4,M$9,$B$2,$A29,M$10,$B$6,$B$3)</f>
        <v>0</v>
      </c>
      <c r="N29" s="24">
        <f>_xll.DBRW($B$1,$B$5,$B$4,N$9,$B$2,$A29,N$10,$B$6,$B$3)</f>
        <v>0</v>
      </c>
      <c r="O29" s="24">
        <f>_xll.DBRW($B$1,$B$5,$B$4,O$9,$B$2,$A29,O$10,$B$6,$B$3)</f>
        <v>0</v>
      </c>
      <c r="P29" s="24">
        <f>_xll.DBRW($B$1,$B$5,$B$4,P$9,$B$2,$A29,P$10,$B$6,$B$3)</f>
        <v>0</v>
      </c>
      <c r="Q29" s="24">
        <f>_xll.DBRW($B$1,$B$5,$B$4,Q$9,$B$2,$A29,Q$10,$B$6,$B$3)</f>
        <v>0</v>
      </c>
      <c r="R29" s="24">
        <f>_xll.DBRW($B$1,$B$5,$B$4,R$9,$B$2,$A29,R$10,$B$6,$B$3)</f>
        <v>0</v>
      </c>
      <c r="T29" s="24">
        <f>_xll.DBRW($B$1,$B$5,$B$4,T$9,$B$2,$A29,T$10,$B$6,$B$3)</f>
        <v>0</v>
      </c>
      <c r="U29" s="24">
        <f>_xll.DBRW($B$1,$B$5,$B$4,U$9,$B$2,$A29,U$10,$B$6,$B$3)</f>
        <v>0</v>
      </c>
      <c r="V29" s="24">
        <f>_xll.DBRW($B$1,$B$5,$B$4,V$9,$B$2,$A29,V$10,$B$6,$B$3)</f>
        <v>0</v>
      </c>
      <c r="W29" s="24">
        <f>_xll.DBRW($B$1,$B$5,$B$4,W$9,$B$2,$A29,W$10,$B$6,$B$3)</f>
        <v>0</v>
      </c>
      <c r="X29" s="24">
        <f>_xll.DBRW($B$1,$B$5,$B$4,X$9,$B$2,$A29,X$10,$B$6,$B$3)</f>
        <v>0</v>
      </c>
      <c r="Y29" s="24">
        <f>_xll.DBRW($B$1,$B$5,$B$4,Y$9,$B$2,$A29,Y$10,$B$6,$B$3)</f>
        <v>0</v>
      </c>
      <c r="Z29" s="24">
        <f>_xll.DBRW($B$1,$B$5,$B$4,Z$9,$B$2,$A29,Z$10,$B$6,$B$3)</f>
        <v>0</v>
      </c>
      <c r="AA29" s="24">
        <f>_xll.DBRW($B$1,$B$5,$B$4,AA$9,$B$2,$A29,AA$10,$B$6,$B$3)</f>
        <v>0</v>
      </c>
      <c r="AC29" s="24">
        <f>_xll.DBRW($B$1,$B$5,$B$4,AC$9,$B$2,$A29,AC$10,$B$6,$B$3)</f>
        <v>0</v>
      </c>
      <c r="AD29" s="24">
        <f>_xll.DBRW($B$1,$B$5,$B$4,AD$9,$B$2,$A29,AD$10,$B$6,$B$3)</f>
        <v>0</v>
      </c>
      <c r="AE29" s="24">
        <f>_xll.DBRW($B$1,$B$5,$B$4,AE$9,$B$2,$A29,AE$10,$B$6,$B$3)</f>
        <v>0</v>
      </c>
      <c r="AF29" s="24">
        <f>_xll.DBRW($B$1,$B$5,$B$4,AF$9,$B$2,$A29,AF$10,$B$6,$B$3)</f>
        <v>0</v>
      </c>
      <c r="AG29" s="24">
        <f>_xll.DBRW($B$1,$B$5,$B$4,AG$9,$B$2,$A29,AG$10,$B$6,$B$3)</f>
        <v>0</v>
      </c>
      <c r="AH29" s="24">
        <f>_xll.DBRW($B$1,$B$5,$B$4,AH$9,$B$2,$A29,AH$10,$B$6,$B$3)</f>
        <v>0</v>
      </c>
      <c r="AI29" s="24">
        <f>_xll.DBRW($B$1,$B$5,$B$4,AI$9,$B$2,$A29,AI$10,$B$6,$B$3)</f>
        <v>0</v>
      </c>
      <c r="AJ29" s="24">
        <f>_xll.DBRW($B$1,$B$5,$B$4,AJ$9,$B$2,$A29,AJ$10,$B$6,$B$3)</f>
        <v>0</v>
      </c>
    </row>
    <row r="30" spans="1:36">
      <c r="A30" s="25" t="s">
        <v>66</v>
      </c>
      <c r="B30" s="24">
        <f>_xll.DBRW($B$1,$B$5,$B$4,B$9,$B$2,$A30,B$10,$B$6,$B$3)</f>
        <v>0</v>
      </c>
      <c r="C30" s="24">
        <f>_xll.DBRW($B$1,$B$5,$B$4,C$9,$B$2,$A30,C$10,$B$6,$B$3)</f>
        <v>0</v>
      </c>
      <c r="D30" s="24">
        <f>_xll.DBRW($B$1,$B$5,$B$4,D$9,$B$2,$A30,D$10,$B$6,$B$3)</f>
        <v>0</v>
      </c>
      <c r="E30" s="24">
        <f>_xll.DBRW($B$1,$B$5,$B$4,E$9,$B$2,$A30,E$10,$B$6,$B$3)</f>
        <v>0</v>
      </c>
      <c r="F30" s="24">
        <f>_xll.DBRW($B$1,$B$5,$B$4,F$9,$B$2,$A30,F$10,$B$6,$B$3)</f>
        <v>0</v>
      </c>
      <c r="G30" s="24">
        <f>_xll.DBRW($B$1,$B$5,$B$4,G$9,$B$2,$A30,G$10,$B$6,$B$3)</f>
        <v>0</v>
      </c>
      <c r="H30" s="24">
        <f>_xll.DBRW($B$1,$B$5,$B$4,H$9,$B$2,$A30,H$10,$B$6,$B$3)</f>
        <v>0</v>
      </c>
      <c r="I30" s="24">
        <f>_xll.DBRW($B$1,$B$5,$B$4,I$9,$B$2,$A30,I$10,$B$6,$B$3)</f>
        <v>0</v>
      </c>
      <c r="K30" s="24">
        <f>_xll.DBRW($B$1,$B$5,$B$4,K$9,$B$2,$A30,K$10,$B$6,$B$3)</f>
        <v>0</v>
      </c>
      <c r="L30" s="24">
        <f>_xll.DBRW($B$1,$B$5,$B$4,L$9,$B$2,$A30,L$10,$B$6,$B$3)</f>
        <v>0</v>
      </c>
      <c r="M30" s="24">
        <f>_xll.DBRW($B$1,$B$5,$B$4,M$9,$B$2,$A30,M$10,$B$6,$B$3)</f>
        <v>0</v>
      </c>
      <c r="N30" s="24">
        <f>_xll.DBRW($B$1,$B$5,$B$4,N$9,$B$2,$A30,N$10,$B$6,$B$3)</f>
        <v>0</v>
      </c>
      <c r="O30" s="24">
        <f>_xll.DBRW($B$1,$B$5,$B$4,O$9,$B$2,$A30,O$10,$B$6,$B$3)</f>
        <v>0</v>
      </c>
      <c r="P30" s="24">
        <f>_xll.DBRW($B$1,$B$5,$B$4,P$9,$B$2,$A30,P$10,$B$6,$B$3)</f>
        <v>0</v>
      </c>
      <c r="Q30" s="24">
        <f>_xll.DBRW($B$1,$B$5,$B$4,Q$9,$B$2,$A30,Q$10,$B$6,$B$3)</f>
        <v>0</v>
      </c>
      <c r="R30" s="24">
        <f>_xll.DBRW($B$1,$B$5,$B$4,R$9,$B$2,$A30,R$10,$B$6,$B$3)</f>
        <v>0</v>
      </c>
      <c r="T30" s="24">
        <f>_xll.DBRW($B$1,$B$5,$B$4,T$9,$B$2,$A30,T$10,$B$6,$B$3)</f>
        <v>0</v>
      </c>
      <c r="U30" s="24">
        <f>_xll.DBRW($B$1,$B$5,$B$4,U$9,$B$2,$A30,U$10,$B$6,$B$3)</f>
        <v>0</v>
      </c>
      <c r="V30" s="24">
        <f>_xll.DBRW($B$1,$B$5,$B$4,V$9,$B$2,$A30,V$10,$B$6,$B$3)</f>
        <v>0</v>
      </c>
      <c r="W30" s="24">
        <f>_xll.DBRW($B$1,$B$5,$B$4,W$9,$B$2,$A30,W$10,$B$6,$B$3)</f>
        <v>0</v>
      </c>
      <c r="X30" s="24">
        <f>_xll.DBRW($B$1,$B$5,$B$4,X$9,$B$2,$A30,X$10,$B$6,$B$3)</f>
        <v>0</v>
      </c>
      <c r="Y30" s="24">
        <f>_xll.DBRW($B$1,$B$5,$B$4,Y$9,$B$2,$A30,Y$10,$B$6,$B$3)</f>
        <v>0</v>
      </c>
      <c r="Z30" s="24">
        <f>_xll.DBRW($B$1,$B$5,$B$4,Z$9,$B$2,$A30,Z$10,$B$6,$B$3)</f>
        <v>0</v>
      </c>
      <c r="AA30" s="24">
        <f>_xll.DBRW($B$1,$B$5,$B$4,AA$9,$B$2,$A30,AA$10,$B$6,$B$3)</f>
        <v>0</v>
      </c>
      <c r="AC30" s="24">
        <f>_xll.DBRW($B$1,$B$5,$B$4,AC$9,$B$2,$A30,AC$10,$B$6,$B$3)</f>
        <v>0</v>
      </c>
      <c r="AD30" s="24">
        <f>_xll.DBRW($B$1,$B$5,$B$4,AD$9,$B$2,$A30,AD$10,$B$6,$B$3)</f>
        <v>0</v>
      </c>
      <c r="AE30" s="24">
        <f>_xll.DBRW($B$1,$B$5,$B$4,AE$9,$B$2,$A30,AE$10,$B$6,$B$3)</f>
        <v>0</v>
      </c>
      <c r="AF30" s="24">
        <f>_xll.DBRW($B$1,$B$5,$B$4,AF$9,$B$2,$A30,AF$10,$B$6,$B$3)</f>
        <v>0</v>
      </c>
      <c r="AG30" s="24">
        <f>_xll.DBRW($B$1,$B$5,$B$4,AG$9,$B$2,$A30,AG$10,$B$6,$B$3)</f>
        <v>0</v>
      </c>
      <c r="AH30" s="24">
        <f>_xll.DBRW($B$1,$B$5,$B$4,AH$9,$B$2,$A30,AH$10,$B$6,$B$3)</f>
        <v>0</v>
      </c>
      <c r="AI30" s="24">
        <f>_xll.DBRW($B$1,$B$5,$B$4,AI$9,$B$2,$A30,AI$10,$B$6,$B$3)</f>
        <v>0</v>
      </c>
      <c r="AJ30" s="24">
        <f>_xll.DBRW($B$1,$B$5,$B$4,AJ$9,$B$2,$A30,AJ$10,$B$6,$B$3)</f>
        <v>0</v>
      </c>
    </row>
    <row r="31" spans="1:36">
      <c r="A31" s="25" t="s">
        <v>44</v>
      </c>
      <c r="B31" s="24">
        <f>_xll.DBRW($B$1,$B$5,$B$4,B$9,$B$2,$A31,B$10,$B$6,$B$3)</f>
        <v>0</v>
      </c>
      <c r="C31" s="24">
        <f>_xll.DBRW($B$1,$B$5,$B$4,C$9,$B$2,$A31,C$10,$B$6,$B$3)</f>
        <v>0</v>
      </c>
      <c r="D31" s="24">
        <f>_xll.DBRW($B$1,$B$5,$B$4,D$9,$B$2,$A31,D$10,$B$6,$B$3)</f>
        <v>0</v>
      </c>
      <c r="E31" s="24">
        <f>_xll.DBRW($B$1,$B$5,$B$4,E$9,$B$2,$A31,E$10,$B$6,$B$3)</f>
        <v>0</v>
      </c>
      <c r="F31" s="24">
        <f>_xll.DBRW($B$1,$B$5,$B$4,F$9,$B$2,$A31,F$10,$B$6,$B$3)</f>
        <v>0</v>
      </c>
      <c r="G31" s="24">
        <f>_xll.DBRW($B$1,$B$5,$B$4,G$9,$B$2,$A31,G$10,$B$6,$B$3)</f>
        <v>0</v>
      </c>
      <c r="H31" s="24">
        <f>_xll.DBRW($B$1,$B$5,$B$4,H$9,$B$2,$A31,H$10,$B$6,$B$3)</f>
        <v>0</v>
      </c>
      <c r="I31" s="24">
        <f>_xll.DBRW($B$1,$B$5,$B$4,I$9,$B$2,$A31,I$10,$B$6,$B$3)</f>
        <v>0</v>
      </c>
      <c r="K31" s="24">
        <f>_xll.DBRW($B$1,$B$5,$B$4,K$9,$B$2,$A31,K$10,$B$6,$B$3)</f>
        <v>0</v>
      </c>
      <c r="L31" s="24">
        <f>_xll.DBRW($B$1,$B$5,$B$4,L$9,$B$2,$A31,L$10,$B$6,$B$3)</f>
        <v>0</v>
      </c>
      <c r="M31" s="24">
        <f>_xll.DBRW($B$1,$B$5,$B$4,M$9,$B$2,$A31,M$10,$B$6,$B$3)</f>
        <v>0</v>
      </c>
      <c r="N31" s="24">
        <f>_xll.DBRW($B$1,$B$5,$B$4,N$9,$B$2,$A31,N$10,$B$6,$B$3)</f>
        <v>0</v>
      </c>
      <c r="O31" s="24">
        <f>_xll.DBRW($B$1,$B$5,$B$4,O$9,$B$2,$A31,O$10,$B$6,$B$3)</f>
        <v>0</v>
      </c>
      <c r="P31" s="24">
        <f>_xll.DBRW($B$1,$B$5,$B$4,P$9,$B$2,$A31,P$10,$B$6,$B$3)</f>
        <v>0</v>
      </c>
      <c r="Q31" s="24">
        <f>_xll.DBRW($B$1,$B$5,$B$4,Q$9,$B$2,$A31,Q$10,$B$6,$B$3)</f>
        <v>0</v>
      </c>
      <c r="R31" s="24">
        <f>_xll.DBRW($B$1,$B$5,$B$4,R$9,$B$2,$A31,R$10,$B$6,$B$3)</f>
        <v>0</v>
      </c>
      <c r="T31" s="24">
        <f>_xll.DBRW($B$1,$B$5,$B$4,T$9,$B$2,$A31,T$10,$B$6,$B$3)</f>
        <v>0</v>
      </c>
      <c r="U31" s="24">
        <f>_xll.DBRW($B$1,$B$5,$B$4,U$9,$B$2,$A31,U$10,$B$6,$B$3)</f>
        <v>0</v>
      </c>
      <c r="V31" s="24">
        <f>_xll.DBRW($B$1,$B$5,$B$4,V$9,$B$2,$A31,V$10,$B$6,$B$3)</f>
        <v>0</v>
      </c>
      <c r="W31" s="24">
        <f>_xll.DBRW($B$1,$B$5,$B$4,W$9,$B$2,$A31,W$10,$B$6,$B$3)</f>
        <v>0</v>
      </c>
      <c r="X31" s="24">
        <f>_xll.DBRW($B$1,$B$5,$B$4,X$9,$B$2,$A31,X$10,$B$6,$B$3)</f>
        <v>0</v>
      </c>
      <c r="Y31" s="24">
        <f>_xll.DBRW($B$1,$B$5,$B$4,Y$9,$B$2,$A31,Y$10,$B$6,$B$3)</f>
        <v>0</v>
      </c>
      <c r="Z31" s="24">
        <f>_xll.DBRW($B$1,$B$5,$B$4,Z$9,$B$2,$A31,Z$10,$B$6,$B$3)</f>
        <v>0</v>
      </c>
      <c r="AA31" s="24">
        <f>_xll.DBRW($B$1,$B$5,$B$4,AA$9,$B$2,$A31,AA$10,$B$6,$B$3)</f>
        <v>0</v>
      </c>
      <c r="AC31" s="24">
        <f>_xll.DBRW($B$1,$B$5,$B$4,AC$9,$B$2,$A31,AC$10,$B$6,$B$3)</f>
        <v>0</v>
      </c>
      <c r="AD31" s="24">
        <f>_xll.DBRW($B$1,$B$5,$B$4,AD$9,$B$2,$A31,AD$10,$B$6,$B$3)</f>
        <v>0</v>
      </c>
      <c r="AE31" s="24">
        <f>_xll.DBRW($B$1,$B$5,$B$4,AE$9,$B$2,$A31,AE$10,$B$6,$B$3)</f>
        <v>0</v>
      </c>
      <c r="AF31" s="24">
        <f>_xll.DBRW($B$1,$B$5,$B$4,AF$9,$B$2,$A31,AF$10,$B$6,$B$3)</f>
        <v>0</v>
      </c>
      <c r="AG31" s="24">
        <f>_xll.DBRW($B$1,$B$5,$B$4,AG$9,$B$2,$A31,AG$10,$B$6,$B$3)</f>
        <v>0</v>
      </c>
      <c r="AH31" s="24">
        <f>_xll.DBRW($B$1,$B$5,$B$4,AH$9,$B$2,$A31,AH$10,$B$6,$B$3)</f>
        <v>0</v>
      </c>
      <c r="AI31" s="24">
        <f>_xll.DBRW($B$1,$B$5,$B$4,AI$9,$B$2,$A31,AI$10,$B$6,$B$3)</f>
        <v>0</v>
      </c>
      <c r="AJ31" s="24">
        <f>_xll.DBRW($B$1,$B$5,$B$4,AJ$9,$B$2,$A31,AJ$10,$B$6,$B$3)</f>
        <v>0</v>
      </c>
    </row>
    <row r="32" spans="1:36">
      <c r="A32" s="25" t="s">
        <v>45</v>
      </c>
      <c r="B32" s="24">
        <f>_xll.DBRW($B$1,$B$5,$B$4,B$9,$B$2,$A32,B$10,$B$6,$B$3)</f>
        <v>0</v>
      </c>
      <c r="C32" s="24">
        <f>_xll.DBRW($B$1,$B$5,$B$4,C$9,$B$2,$A32,C$10,$B$6,$B$3)</f>
        <v>0</v>
      </c>
      <c r="D32" s="24">
        <f>_xll.DBRW($B$1,$B$5,$B$4,D$9,$B$2,$A32,D$10,$B$6,$B$3)</f>
        <v>0</v>
      </c>
      <c r="E32" s="24">
        <f>_xll.DBRW($B$1,$B$5,$B$4,E$9,$B$2,$A32,E$10,$B$6,$B$3)</f>
        <v>0</v>
      </c>
      <c r="F32" s="24">
        <f>_xll.DBRW($B$1,$B$5,$B$4,F$9,$B$2,$A32,F$10,$B$6,$B$3)</f>
        <v>0</v>
      </c>
      <c r="G32" s="24">
        <f>_xll.DBRW($B$1,$B$5,$B$4,G$9,$B$2,$A32,G$10,$B$6,$B$3)</f>
        <v>0</v>
      </c>
      <c r="H32" s="24">
        <f>_xll.DBRW($B$1,$B$5,$B$4,H$9,$B$2,$A32,H$10,$B$6,$B$3)</f>
        <v>0</v>
      </c>
      <c r="I32" s="24">
        <f>_xll.DBRW($B$1,$B$5,$B$4,I$9,$B$2,$A32,I$10,$B$6,$B$3)</f>
        <v>0</v>
      </c>
      <c r="K32" s="24">
        <f>_xll.DBRW($B$1,$B$5,$B$4,K$9,$B$2,$A32,K$10,$B$6,$B$3)</f>
        <v>0</v>
      </c>
      <c r="L32" s="24">
        <f>_xll.DBRW($B$1,$B$5,$B$4,L$9,$B$2,$A32,L$10,$B$6,$B$3)</f>
        <v>0</v>
      </c>
      <c r="M32" s="24">
        <f>_xll.DBRW($B$1,$B$5,$B$4,M$9,$B$2,$A32,M$10,$B$6,$B$3)</f>
        <v>0</v>
      </c>
      <c r="N32" s="24">
        <f>_xll.DBRW($B$1,$B$5,$B$4,N$9,$B$2,$A32,N$10,$B$6,$B$3)</f>
        <v>0</v>
      </c>
      <c r="O32" s="24">
        <f>_xll.DBRW($B$1,$B$5,$B$4,O$9,$B$2,$A32,O$10,$B$6,$B$3)</f>
        <v>0</v>
      </c>
      <c r="P32" s="24">
        <f>_xll.DBRW($B$1,$B$5,$B$4,P$9,$B$2,$A32,P$10,$B$6,$B$3)</f>
        <v>0</v>
      </c>
      <c r="Q32" s="24">
        <f>_xll.DBRW($B$1,$B$5,$B$4,Q$9,$B$2,$A32,Q$10,$B$6,$B$3)</f>
        <v>0</v>
      </c>
      <c r="R32" s="24">
        <f>_xll.DBRW($B$1,$B$5,$B$4,R$9,$B$2,$A32,R$10,$B$6,$B$3)</f>
        <v>0</v>
      </c>
      <c r="T32" s="24">
        <f>_xll.DBRW($B$1,$B$5,$B$4,T$9,$B$2,$A32,T$10,$B$6,$B$3)</f>
        <v>0</v>
      </c>
      <c r="U32" s="24">
        <f>_xll.DBRW($B$1,$B$5,$B$4,U$9,$B$2,$A32,U$10,$B$6,$B$3)</f>
        <v>0</v>
      </c>
      <c r="V32" s="24">
        <f>_xll.DBRW($B$1,$B$5,$B$4,V$9,$B$2,$A32,V$10,$B$6,$B$3)</f>
        <v>0</v>
      </c>
      <c r="W32" s="24">
        <f>_xll.DBRW($B$1,$B$5,$B$4,W$9,$B$2,$A32,W$10,$B$6,$B$3)</f>
        <v>0</v>
      </c>
      <c r="X32" s="24">
        <f>_xll.DBRW($B$1,$B$5,$B$4,X$9,$B$2,$A32,X$10,$B$6,$B$3)</f>
        <v>0</v>
      </c>
      <c r="Y32" s="24">
        <f>_xll.DBRW($B$1,$B$5,$B$4,Y$9,$B$2,$A32,Y$10,$B$6,$B$3)</f>
        <v>0</v>
      </c>
      <c r="Z32" s="24">
        <f>_xll.DBRW($B$1,$B$5,$B$4,Z$9,$B$2,$A32,Z$10,$B$6,$B$3)</f>
        <v>0</v>
      </c>
      <c r="AA32" s="24">
        <f>_xll.DBRW($B$1,$B$5,$B$4,AA$9,$B$2,$A32,AA$10,$B$6,$B$3)</f>
        <v>0</v>
      </c>
      <c r="AC32" s="24">
        <f>_xll.DBRW($B$1,$B$5,$B$4,AC$9,$B$2,$A32,AC$10,$B$6,$B$3)</f>
        <v>0</v>
      </c>
      <c r="AD32" s="24">
        <f>_xll.DBRW($B$1,$B$5,$B$4,AD$9,$B$2,$A32,AD$10,$B$6,$B$3)</f>
        <v>0</v>
      </c>
      <c r="AE32" s="24">
        <f>_xll.DBRW($B$1,$B$5,$B$4,AE$9,$B$2,$A32,AE$10,$B$6,$B$3)</f>
        <v>0</v>
      </c>
      <c r="AF32" s="24">
        <f>_xll.DBRW($B$1,$B$5,$B$4,AF$9,$B$2,$A32,AF$10,$B$6,$B$3)</f>
        <v>0</v>
      </c>
      <c r="AG32" s="24">
        <f>_xll.DBRW($B$1,$B$5,$B$4,AG$9,$B$2,$A32,AG$10,$B$6,$B$3)</f>
        <v>0</v>
      </c>
      <c r="AH32" s="24">
        <f>_xll.DBRW($B$1,$B$5,$B$4,AH$9,$B$2,$A32,AH$10,$B$6,$B$3)</f>
        <v>0</v>
      </c>
      <c r="AI32" s="24">
        <f>_xll.DBRW($B$1,$B$5,$B$4,AI$9,$B$2,$A32,AI$10,$B$6,$B$3)</f>
        <v>0</v>
      </c>
      <c r="AJ32" s="24">
        <f>_xll.DBRW($B$1,$B$5,$B$4,AJ$9,$B$2,$A32,AJ$10,$B$6,$B$3)</f>
        <v>0</v>
      </c>
    </row>
    <row r="33" spans="1:36">
      <c r="A33" s="25" t="s">
        <v>46</v>
      </c>
      <c r="B33" s="24">
        <f>_xll.DBRW($B$1,$B$5,$B$4,B$9,$B$2,$A33,B$10,$B$6,$B$3)</f>
        <v>0</v>
      </c>
      <c r="C33" s="24">
        <f>_xll.DBRW($B$1,$B$5,$B$4,C$9,$B$2,$A33,C$10,$B$6,$B$3)</f>
        <v>0</v>
      </c>
      <c r="D33" s="24">
        <f>_xll.DBRW($B$1,$B$5,$B$4,D$9,$B$2,$A33,D$10,$B$6,$B$3)</f>
        <v>0</v>
      </c>
      <c r="E33" s="50">
        <f>_xll.DBRW($B$1,$B$5,$B$4,E$9,$B$2,$A33,E$10,$B$6,$B$3)</f>
        <v>0</v>
      </c>
      <c r="F33" s="50">
        <f>_xll.DBRW($B$1,$B$5,$B$4,F$9,$B$2,$A33,F$10,$B$6,$B$3)</f>
        <v>0</v>
      </c>
      <c r="G33" s="50">
        <f>_xll.DBRW($B$1,$B$5,$B$4,G$9,$B$2,$A33,G$10,$B$6,$B$3)</f>
        <v>0</v>
      </c>
      <c r="H33" s="50">
        <f>_xll.DBRW($B$1,$B$5,$B$4,H$9,$B$2,$A33,H$10,$B$6,$B$3)</f>
        <v>0</v>
      </c>
      <c r="I33" s="50">
        <f>_xll.DBRW($B$1,$B$5,$B$4,I$9,$B$2,$A33,I$10,$B$6,$B$3)</f>
        <v>0</v>
      </c>
      <c r="K33" s="24">
        <f>_xll.DBRW($B$1,$B$5,$B$4,K$9,$B$2,$A33,K$10,$B$6,$B$3)</f>
        <v>0</v>
      </c>
      <c r="L33" s="24">
        <f>_xll.DBRW($B$1,$B$5,$B$4,L$9,$B$2,$A33,L$10,$B$6,$B$3)</f>
        <v>0</v>
      </c>
      <c r="M33" s="24">
        <f>_xll.DBRW($B$1,$B$5,$B$4,M$9,$B$2,$A33,M$10,$B$6,$B$3)</f>
        <v>0</v>
      </c>
      <c r="N33" s="24">
        <f>_xll.DBRW($B$1,$B$5,$B$4,N$9,$B$2,$A33,N$10,$B$6,$B$3)</f>
        <v>0</v>
      </c>
      <c r="O33" s="24">
        <f>_xll.DBRW($B$1,$B$5,$B$4,O$9,$B$2,$A33,O$10,$B$6,$B$3)</f>
        <v>0</v>
      </c>
      <c r="P33" s="24">
        <f>_xll.DBRW($B$1,$B$5,$B$4,P$9,$B$2,$A33,P$10,$B$6,$B$3)</f>
        <v>0</v>
      </c>
      <c r="Q33" s="24">
        <f>_xll.DBRW($B$1,$B$5,$B$4,Q$9,$B$2,$A33,Q$10,$B$6,$B$3)</f>
        <v>0</v>
      </c>
      <c r="R33" s="24">
        <f>_xll.DBRW($B$1,$B$5,$B$4,R$9,$B$2,$A33,R$10,$B$6,$B$3)</f>
        <v>0</v>
      </c>
      <c r="T33" s="24">
        <f>_xll.DBRW($B$1,$B$5,$B$4,T$9,$B$2,$A33,T$10,$B$6,$B$3)</f>
        <v>0</v>
      </c>
      <c r="U33" s="24">
        <f>_xll.DBRW($B$1,$B$5,$B$4,U$9,$B$2,$A33,U$10,$B$6,$B$3)</f>
        <v>0</v>
      </c>
      <c r="V33" s="24">
        <f>_xll.DBRW($B$1,$B$5,$B$4,V$9,$B$2,$A33,V$10,$B$6,$B$3)</f>
        <v>0</v>
      </c>
      <c r="W33" s="24">
        <f>_xll.DBRW($B$1,$B$5,$B$4,W$9,$B$2,$A33,W$10,$B$6,$B$3)</f>
        <v>0</v>
      </c>
      <c r="X33" s="24">
        <f>_xll.DBRW($B$1,$B$5,$B$4,X$9,$B$2,$A33,X$10,$B$6,$B$3)</f>
        <v>0</v>
      </c>
      <c r="Y33" s="24">
        <f>_xll.DBRW($B$1,$B$5,$B$4,Y$9,$B$2,$A33,Y$10,$B$6,$B$3)</f>
        <v>0</v>
      </c>
      <c r="Z33" s="24">
        <f>_xll.DBRW($B$1,$B$5,$B$4,Z$9,$B$2,$A33,Z$10,$B$6,$B$3)</f>
        <v>0</v>
      </c>
      <c r="AA33" s="24">
        <f>_xll.DBRW($B$1,$B$5,$B$4,AA$9,$B$2,$A33,AA$10,$B$6,$B$3)</f>
        <v>0</v>
      </c>
      <c r="AC33" s="24">
        <f>_xll.DBRW($B$1,$B$5,$B$4,AC$9,$B$2,$A33,AC$10,$B$6,$B$3)</f>
        <v>0</v>
      </c>
      <c r="AD33" s="24">
        <f>_xll.DBRW($B$1,$B$5,$B$4,AD$9,$B$2,$A33,AD$10,$B$6,$B$3)</f>
        <v>0</v>
      </c>
      <c r="AE33" s="24">
        <f>_xll.DBRW($B$1,$B$5,$B$4,AE$9,$B$2,$A33,AE$10,$B$6,$B$3)</f>
        <v>0</v>
      </c>
      <c r="AF33" s="24">
        <f>_xll.DBRW($B$1,$B$5,$B$4,AF$9,$B$2,$A33,AF$10,$B$6,$B$3)</f>
        <v>0</v>
      </c>
      <c r="AG33" s="24">
        <f>_xll.DBRW($B$1,$B$5,$B$4,AG$9,$B$2,$A33,AG$10,$B$6,$B$3)</f>
        <v>0</v>
      </c>
      <c r="AH33" s="24">
        <f>_xll.DBRW($B$1,$B$5,$B$4,AH$9,$B$2,$A33,AH$10,$B$6,$B$3)</f>
        <v>0</v>
      </c>
      <c r="AI33" s="24">
        <f>_xll.DBRW($B$1,$B$5,$B$4,AI$9,$B$2,$A33,AI$10,$B$6,$B$3)</f>
        <v>0</v>
      </c>
      <c r="AJ33" s="24">
        <f>_xll.DBRW($B$1,$B$5,$B$4,AJ$9,$B$2,$A33,AJ$10,$B$6,$B$3)</f>
        <v>0</v>
      </c>
    </row>
    <row r="34" spans="1:36">
      <c r="A34" s="25" t="s">
        <v>72</v>
      </c>
      <c r="B34" s="24">
        <f>_xll.DBRW($B$1,$B$5,$B$4,B$9,$B$2,$A34,B$10,$B$6,$B$3)</f>
        <v>0</v>
      </c>
      <c r="C34" s="24">
        <f>_xll.DBRW($B$1,$B$5,$B$4,C$9,$B$2,$A34,C$10,$B$6,$B$3)</f>
        <v>0</v>
      </c>
      <c r="D34" s="24">
        <f>_xll.DBRW($B$1,$B$5,$B$4,D$9,$B$2,$A34,D$10,$B$6,$B$3)</f>
        <v>0</v>
      </c>
      <c r="E34" s="24">
        <f>_xll.DBRW($B$1,$B$5,$B$4,E$9,$B$2,$A34,E$10,$B$6,$B$3)</f>
        <v>0</v>
      </c>
      <c r="F34" s="24">
        <f>_xll.DBRW($B$1,$B$5,$B$4,F$9,$B$2,$A34,F$10,$B$6,$B$3)</f>
        <v>0</v>
      </c>
      <c r="G34" s="24">
        <f>_xll.DBRW($B$1,$B$5,$B$4,G$9,$B$2,$A34,G$10,$B$6,$B$3)</f>
        <v>0</v>
      </c>
      <c r="H34" s="24">
        <f>_xll.DBRW($B$1,$B$5,$B$4,H$9,$B$2,$A34,H$10,$B$6,$B$3)</f>
        <v>0</v>
      </c>
      <c r="I34" s="24">
        <f>_xll.DBRW($B$1,$B$5,$B$4,I$9,$B$2,$A34,I$10,$B$6,$B$3)</f>
        <v>0</v>
      </c>
      <c r="K34" s="24">
        <f>_xll.DBRW($B$1,$B$5,$B$4,K$9,$B$2,$A34,K$10,$B$6,$B$3)</f>
        <v>0</v>
      </c>
      <c r="L34" s="24">
        <f>_xll.DBRW($B$1,$B$5,$B$4,L$9,$B$2,$A34,L$10,$B$6,$B$3)</f>
        <v>0</v>
      </c>
      <c r="M34" s="24">
        <f>_xll.DBRW($B$1,$B$5,$B$4,M$9,$B$2,$A34,M$10,$B$6,$B$3)</f>
        <v>0</v>
      </c>
      <c r="N34" s="24">
        <f>_xll.DBRW($B$1,$B$5,$B$4,N$9,$B$2,$A34,N$10,$B$6,$B$3)</f>
        <v>0</v>
      </c>
      <c r="O34" s="24">
        <f>_xll.DBRW($B$1,$B$5,$B$4,O$9,$B$2,$A34,O$10,$B$6,$B$3)</f>
        <v>0</v>
      </c>
      <c r="P34" s="24">
        <f>_xll.DBRW($B$1,$B$5,$B$4,P$9,$B$2,$A34,P$10,$B$6,$B$3)</f>
        <v>0</v>
      </c>
      <c r="Q34" s="24">
        <f>_xll.DBRW($B$1,$B$5,$B$4,Q$9,$B$2,$A34,Q$10,$B$6,$B$3)</f>
        <v>0</v>
      </c>
      <c r="R34" s="24">
        <f>_xll.DBRW($B$1,$B$5,$B$4,R$9,$B$2,$A34,R$10,$B$6,$B$3)</f>
        <v>0</v>
      </c>
      <c r="T34" s="24">
        <f>_xll.DBRW($B$1,$B$5,$B$4,T$9,$B$2,$A34,T$10,$B$6,$B$3)</f>
        <v>0</v>
      </c>
      <c r="U34" s="24">
        <f>_xll.DBRW($B$1,$B$5,$B$4,U$9,$B$2,$A34,U$10,$B$6,$B$3)</f>
        <v>0</v>
      </c>
      <c r="V34" s="24">
        <f>_xll.DBRW($B$1,$B$5,$B$4,V$9,$B$2,$A34,V$10,$B$6,$B$3)</f>
        <v>0</v>
      </c>
      <c r="W34" s="24">
        <f>_xll.DBRW($B$1,$B$5,$B$4,W$9,$B$2,$A34,W$10,$B$6,$B$3)</f>
        <v>0</v>
      </c>
      <c r="X34" s="24">
        <f>_xll.DBRW($B$1,$B$5,$B$4,X$9,$B$2,$A34,X$10,$B$6,$B$3)</f>
        <v>0</v>
      </c>
      <c r="Y34" s="24">
        <f>_xll.DBRW($B$1,$B$5,$B$4,Y$9,$B$2,$A34,Y$10,$B$6,$B$3)</f>
        <v>0</v>
      </c>
      <c r="Z34" s="24">
        <f>_xll.DBRW($B$1,$B$5,$B$4,Z$9,$B$2,$A34,Z$10,$B$6,$B$3)</f>
        <v>0</v>
      </c>
      <c r="AA34" s="24">
        <f>_xll.DBRW($B$1,$B$5,$B$4,AA$9,$B$2,$A34,AA$10,$B$6,$B$3)</f>
        <v>0</v>
      </c>
      <c r="AC34" s="24">
        <f>_xll.DBRW($B$1,$B$5,$B$4,AC$9,$B$2,$A34,AC$10,$B$6,$B$3)</f>
        <v>0</v>
      </c>
      <c r="AD34" s="24">
        <f>_xll.DBRW($B$1,$B$5,$B$4,AD$9,$B$2,$A34,AD$10,$B$6,$B$3)</f>
        <v>0</v>
      </c>
      <c r="AE34" s="24">
        <f>_xll.DBRW($B$1,$B$5,$B$4,AE$9,$B$2,$A34,AE$10,$B$6,$B$3)</f>
        <v>0</v>
      </c>
      <c r="AF34" s="24">
        <f>_xll.DBRW($B$1,$B$5,$B$4,AF$9,$B$2,$A34,AF$10,$B$6,$B$3)</f>
        <v>0</v>
      </c>
      <c r="AG34" s="24">
        <f>_xll.DBRW($B$1,$B$5,$B$4,AG$9,$B$2,$A34,AG$10,$B$6,$B$3)</f>
        <v>0</v>
      </c>
      <c r="AH34" s="24">
        <f>_xll.DBRW($B$1,$B$5,$B$4,AH$9,$B$2,$A34,AH$10,$B$6,$B$3)</f>
        <v>0</v>
      </c>
      <c r="AI34" s="24">
        <f>_xll.DBRW($B$1,$B$5,$B$4,AI$9,$B$2,$A34,AI$10,$B$6,$B$3)</f>
        <v>0</v>
      </c>
      <c r="AJ34" s="24">
        <f>_xll.DBRW($B$1,$B$5,$B$4,AJ$9,$B$2,$A34,AJ$10,$B$6,$B$3)</f>
        <v>0</v>
      </c>
    </row>
    <row r="35" spans="1:36">
      <c r="A35" s="25" t="s">
        <v>73</v>
      </c>
      <c r="B35" s="24">
        <f>_xll.DBRW($B$1,$B$5,$B$4,B$9,$B$2,$A35,B$10,$B$6,$B$3)</f>
        <v>0</v>
      </c>
      <c r="C35" s="24">
        <f>_xll.DBRW($B$1,$B$5,$B$4,C$9,$B$2,$A35,C$10,$B$6,$B$3)</f>
        <v>0</v>
      </c>
      <c r="D35" s="24">
        <f>_xll.DBRW($B$1,$B$5,$B$4,D$9,$B$2,$A35,D$10,$B$6,$B$3)</f>
        <v>0</v>
      </c>
      <c r="E35" s="24">
        <f>_xll.DBRW($B$1,$B$5,$B$4,E$9,$B$2,$A35,E$10,$B$6,$B$3)</f>
        <v>0</v>
      </c>
      <c r="F35" s="24">
        <f>_xll.DBRW($B$1,$B$5,$B$4,F$9,$B$2,$A35,F$10,$B$6,$B$3)</f>
        <v>0</v>
      </c>
      <c r="G35" s="24">
        <f>_xll.DBRW($B$1,$B$5,$B$4,G$9,$B$2,$A35,G$10,$B$6,$B$3)</f>
        <v>0</v>
      </c>
      <c r="H35" s="24">
        <f>_xll.DBRW($B$1,$B$5,$B$4,H$9,$B$2,$A35,H$10,$B$6,$B$3)</f>
        <v>0</v>
      </c>
      <c r="I35" s="24">
        <f>_xll.DBRW($B$1,$B$5,$B$4,I$9,$B$2,$A35,I$10,$B$6,$B$3)</f>
        <v>0</v>
      </c>
      <c r="K35" s="24">
        <f>_xll.DBRW($B$1,$B$5,$B$4,K$9,$B$2,$A35,K$10,$B$6,$B$3)</f>
        <v>0</v>
      </c>
      <c r="L35" s="24">
        <f>_xll.DBRW($B$1,$B$5,$B$4,L$9,$B$2,$A35,L$10,$B$6,$B$3)</f>
        <v>0</v>
      </c>
      <c r="M35" s="24">
        <f>_xll.DBRW($B$1,$B$5,$B$4,M$9,$B$2,$A35,M$10,$B$6,$B$3)</f>
        <v>0</v>
      </c>
      <c r="N35" s="24">
        <f>_xll.DBRW($B$1,$B$5,$B$4,N$9,$B$2,$A35,N$10,$B$6,$B$3)</f>
        <v>0</v>
      </c>
      <c r="O35" s="24">
        <f>_xll.DBRW($B$1,$B$5,$B$4,O$9,$B$2,$A35,O$10,$B$6,$B$3)</f>
        <v>0</v>
      </c>
      <c r="P35" s="24">
        <f>_xll.DBRW($B$1,$B$5,$B$4,P$9,$B$2,$A35,P$10,$B$6,$B$3)</f>
        <v>0</v>
      </c>
      <c r="Q35" s="24">
        <f>_xll.DBRW($B$1,$B$5,$B$4,Q$9,$B$2,$A35,Q$10,$B$6,$B$3)</f>
        <v>0</v>
      </c>
      <c r="R35" s="24">
        <f>_xll.DBRW($B$1,$B$5,$B$4,R$9,$B$2,$A35,R$10,$B$6,$B$3)</f>
        <v>0</v>
      </c>
      <c r="T35" s="24">
        <f>_xll.DBRW($B$1,$B$5,$B$4,T$9,$B$2,$A35,T$10,$B$6,$B$3)</f>
        <v>0</v>
      </c>
      <c r="U35" s="24">
        <f>_xll.DBRW($B$1,$B$5,$B$4,U$9,$B$2,$A35,U$10,$B$6,$B$3)</f>
        <v>0</v>
      </c>
      <c r="V35" s="24">
        <f>_xll.DBRW($B$1,$B$5,$B$4,V$9,$B$2,$A35,V$10,$B$6,$B$3)</f>
        <v>0</v>
      </c>
      <c r="W35" s="24">
        <f>_xll.DBRW($B$1,$B$5,$B$4,W$9,$B$2,$A35,W$10,$B$6,$B$3)</f>
        <v>0</v>
      </c>
      <c r="X35" s="24">
        <f>_xll.DBRW($B$1,$B$5,$B$4,X$9,$B$2,$A35,X$10,$B$6,$B$3)</f>
        <v>0</v>
      </c>
      <c r="Y35" s="24">
        <f>_xll.DBRW($B$1,$B$5,$B$4,Y$9,$B$2,$A35,Y$10,$B$6,$B$3)</f>
        <v>0</v>
      </c>
      <c r="Z35" s="24">
        <f>_xll.DBRW($B$1,$B$5,$B$4,Z$9,$B$2,$A35,Z$10,$B$6,$B$3)</f>
        <v>0</v>
      </c>
      <c r="AA35" s="24">
        <f>_xll.DBRW($B$1,$B$5,$B$4,AA$9,$B$2,$A35,AA$10,$B$6,$B$3)</f>
        <v>0</v>
      </c>
      <c r="AC35" s="24">
        <f>_xll.DBRW($B$1,$B$5,$B$4,AC$9,$B$2,$A35,AC$10,$B$6,$B$3)</f>
        <v>0</v>
      </c>
      <c r="AD35" s="24">
        <f>_xll.DBRW($B$1,$B$5,$B$4,AD$9,$B$2,$A35,AD$10,$B$6,$B$3)</f>
        <v>0</v>
      </c>
      <c r="AE35" s="24">
        <f>_xll.DBRW($B$1,$B$5,$B$4,AE$9,$B$2,$A35,AE$10,$B$6,$B$3)</f>
        <v>0</v>
      </c>
      <c r="AF35" s="24">
        <f>_xll.DBRW($B$1,$B$5,$B$4,AF$9,$B$2,$A35,AF$10,$B$6,$B$3)</f>
        <v>0</v>
      </c>
      <c r="AG35" s="24">
        <f>_xll.DBRW($B$1,$B$5,$B$4,AG$9,$B$2,$A35,AG$10,$B$6,$B$3)</f>
        <v>0</v>
      </c>
      <c r="AH35" s="24">
        <f>_xll.DBRW($B$1,$B$5,$B$4,AH$9,$B$2,$A35,AH$10,$B$6,$B$3)</f>
        <v>0</v>
      </c>
      <c r="AI35" s="24">
        <f>_xll.DBRW($B$1,$B$5,$B$4,AI$9,$B$2,$A35,AI$10,$B$6,$B$3)</f>
        <v>0</v>
      </c>
      <c r="AJ35" s="24">
        <f>_xll.DBRW($B$1,$B$5,$B$4,AJ$9,$B$2,$A35,AJ$10,$B$6,$B$3)</f>
        <v>0</v>
      </c>
    </row>
    <row r="36" spans="1:36">
      <c r="A36" s="25" t="s">
        <v>77</v>
      </c>
      <c r="B36" s="24">
        <f>_xll.DBRW($B$1,$B$5,$B$4,B$9,$B$2,$A36,B$10,$B$6,$B$3)</f>
        <v>0</v>
      </c>
      <c r="C36" s="24">
        <f>_xll.DBRW($B$1,$B$5,$B$4,C$9,$B$2,$A36,C$10,$B$6,$B$3)</f>
        <v>0</v>
      </c>
      <c r="D36" s="24">
        <f>_xll.DBRW($B$1,$B$5,$B$4,D$9,$B$2,$A36,D$10,$B$6,$B$3)</f>
        <v>0</v>
      </c>
      <c r="E36" s="24">
        <f>_xll.DBRW($B$1,$B$5,$B$4,E$9,$B$2,$A36,E$10,$B$6,$B$3)</f>
        <v>0</v>
      </c>
      <c r="F36" s="24">
        <f>_xll.DBRW($B$1,$B$5,$B$4,F$9,$B$2,$A36,F$10,$B$6,$B$3)</f>
        <v>0</v>
      </c>
      <c r="G36" s="24">
        <f>_xll.DBRW($B$1,$B$5,$B$4,G$9,$B$2,$A36,G$10,$B$6,$B$3)</f>
        <v>0</v>
      </c>
      <c r="H36" s="24">
        <f>_xll.DBRW($B$1,$B$5,$B$4,H$9,$B$2,$A36,H$10,$B$6,$B$3)</f>
        <v>0</v>
      </c>
      <c r="I36" s="24">
        <f>_xll.DBRW($B$1,$B$5,$B$4,I$9,$B$2,$A36,I$10,$B$6,$B$3)</f>
        <v>0</v>
      </c>
      <c r="K36" s="24">
        <f>_xll.DBRW($B$1,$B$5,$B$4,K$9,$B$2,$A36,K$10,$B$6,$B$3)</f>
        <v>0</v>
      </c>
      <c r="L36" s="24">
        <f>_xll.DBRW($B$1,$B$5,$B$4,L$9,$B$2,$A36,L$10,$B$6,$B$3)</f>
        <v>0</v>
      </c>
      <c r="M36" s="24">
        <f>_xll.DBRW($B$1,$B$5,$B$4,M$9,$B$2,$A36,M$10,$B$6,$B$3)</f>
        <v>0</v>
      </c>
      <c r="N36" s="24">
        <f>_xll.DBRW($B$1,$B$5,$B$4,N$9,$B$2,$A36,N$10,$B$6,$B$3)</f>
        <v>0</v>
      </c>
      <c r="O36" s="24">
        <f>_xll.DBRW($B$1,$B$5,$B$4,O$9,$B$2,$A36,O$10,$B$6,$B$3)</f>
        <v>0</v>
      </c>
      <c r="P36" s="24">
        <f>_xll.DBRW($B$1,$B$5,$B$4,P$9,$B$2,$A36,P$10,$B$6,$B$3)</f>
        <v>0</v>
      </c>
      <c r="Q36" s="24">
        <f>_xll.DBRW($B$1,$B$5,$B$4,Q$9,$B$2,$A36,Q$10,$B$6,$B$3)</f>
        <v>0</v>
      </c>
      <c r="R36" s="24">
        <f>_xll.DBRW($B$1,$B$5,$B$4,R$9,$B$2,$A36,R$10,$B$6,$B$3)</f>
        <v>0</v>
      </c>
      <c r="T36" s="24">
        <f>_xll.DBRW($B$1,$B$5,$B$4,T$9,$B$2,$A36,T$10,$B$6,$B$3)</f>
        <v>0</v>
      </c>
      <c r="U36" s="24">
        <f>_xll.DBRW($B$1,$B$5,$B$4,U$9,$B$2,$A36,U$10,$B$6,$B$3)</f>
        <v>0</v>
      </c>
      <c r="V36" s="24">
        <f>_xll.DBRW($B$1,$B$5,$B$4,V$9,$B$2,$A36,V$10,$B$6,$B$3)</f>
        <v>0</v>
      </c>
      <c r="W36" s="24">
        <f>_xll.DBRW($B$1,$B$5,$B$4,W$9,$B$2,$A36,W$10,$B$6,$B$3)</f>
        <v>0</v>
      </c>
      <c r="X36" s="24">
        <f>_xll.DBRW($B$1,$B$5,$B$4,X$9,$B$2,$A36,X$10,$B$6,$B$3)</f>
        <v>0</v>
      </c>
      <c r="Y36" s="24">
        <f>_xll.DBRW($B$1,$B$5,$B$4,Y$9,$B$2,$A36,Y$10,$B$6,$B$3)</f>
        <v>0</v>
      </c>
      <c r="Z36" s="24">
        <f>_xll.DBRW($B$1,$B$5,$B$4,Z$9,$B$2,$A36,Z$10,$B$6,$B$3)</f>
        <v>0</v>
      </c>
      <c r="AA36" s="24">
        <f>_xll.DBRW($B$1,$B$5,$B$4,AA$9,$B$2,$A36,AA$10,$B$6,$B$3)</f>
        <v>0</v>
      </c>
      <c r="AC36" s="24">
        <f>_xll.DBRW($B$1,$B$5,$B$4,AC$9,$B$2,$A36,AC$10,$B$6,$B$3)</f>
        <v>0</v>
      </c>
      <c r="AD36" s="24">
        <f>_xll.DBRW($B$1,$B$5,$B$4,AD$9,$B$2,$A36,AD$10,$B$6,$B$3)</f>
        <v>0</v>
      </c>
      <c r="AE36" s="24">
        <f>_xll.DBRW($B$1,$B$5,$B$4,AE$9,$B$2,$A36,AE$10,$B$6,$B$3)</f>
        <v>0</v>
      </c>
      <c r="AF36" s="24">
        <f>_xll.DBRW($B$1,$B$5,$B$4,AF$9,$B$2,$A36,AF$10,$B$6,$B$3)</f>
        <v>0</v>
      </c>
      <c r="AG36" s="24">
        <f>_xll.DBRW($B$1,$B$5,$B$4,AG$9,$B$2,$A36,AG$10,$B$6,$B$3)</f>
        <v>0</v>
      </c>
      <c r="AH36" s="24">
        <f>_xll.DBRW($B$1,$B$5,$B$4,AH$9,$B$2,$A36,AH$10,$B$6,$B$3)</f>
        <v>0</v>
      </c>
      <c r="AI36" s="24">
        <f>_xll.DBRW($B$1,$B$5,$B$4,AI$9,$B$2,$A36,AI$10,$B$6,$B$3)</f>
        <v>0</v>
      </c>
      <c r="AJ36" s="24">
        <f>_xll.DBRW($B$1,$B$5,$B$4,AJ$9,$B$2,$A36,AJ$10,$B$6,$B$3)</f>
        <v>0</v>
      </c>
    </row>
    <row r="37" spans="1:36">
      <c r="A37" s="25" t="s">
        <v>78</v>
      </c>
      <c r="B37" s="24">
        <f>_xll.DBRW($B$1,$B$5,$B$4,B$9,$B$2,$A37,B$10,$B$6,$B$3)</f>
        <v>0</v>
      </c>
      <c r="C37" s="24">
        <f>_xll.DBRW($B$1,$B$5,$B$4,C$9,$B$2,$A37,C$10,$B$6,$B$3)</f>
        <v>0</v>
      </c>
      <c r="D37" s="24">
        <f>_xll.DBRW($B$1,$B$5,$B$4,D$9,$B$2,$A37,D$10,$B$6,$B$3)</f>
        <v>0</v>
      </c>
      <c r="E37" s="24">
        <f>_xll.DBRW($B$1,$B$5,$B$4,E$9,$B$2,$A37,E$10,$B$6,$B$3)</f>
        <v>0</v>
      </c>
      <c r="F37" s="24">
        <f>_xll.DBRW($B$1,$B$5,$B$4,F$9,$B$2,$A37,F$10,$B$6,$B$3)</f>
        <v>0</v>
      </c>
      <c r="G37" s="24">
        <f>_xll.DBRW($B$1,$B$5,$B$4,G$9,$B$2,$A37,G$10,$B$6,$B$3)</f>
        <v>0</v>
      </c>
      <c r="H37" s="24">
        <f>_xll.DBRW($B$1,$B$5,$B$4,H$9,$B$2,$A37,H$10,$B$6,$B$3)</f>
        <v>0</v>
      </c>
      <c r="I37" s="24">
        <f>_xll.DBRW($B$1,$B$5,$B$4,I$9,$B$2,$A37,I$10,$B$6,$B$3)</f>
        <v>0</v>
      </c>
      <c r="K37" s="24">
        <f>_xll.DBRW($B$1,$B$5,$B$4,K$9,$B$2,$A37,K$10,$B$6,$B$3)</f>
        <v>0</v>
      </c>
      <c r="L37" s="24">
        <f>_xll.DBRW($B$1,$B$5,$B$4,L$9,$B$2,$A37,L$10,$B$6,$B$3)</f>
        <v>0</v>
      </c>
      <c r="M37" s="24">
        <f>_xll.DBRW($B$1,$B$5,$B$4,M$9,$B$2,$A37,M$10,$B$6,$B$3)</f>
        <v>0</v>
      </c>
      <c r="N37" s="24">
        <f>_xll.DBRW($B$1,$B$5,$B$4,N$9,$B$2,$A37,N$10,$B$6,$B$3)</f>
        <v>0</v>
      </c>
      <c r="O37" s="24">
        <f>_xll.DBRW($B$1,$B$5,$B$4,O$9,$B$2,$A37,O$10,$B$6,$B$3)</f>
        <v>0</v>
      </c>
      <c r="P37" s="24">
        <f>_xll.DBRW($B$1,$B$5,$B$4,P$9,$B$2,$A37,P$10,$B$6,$B$3)</f>
        <v>0</v>
      </c>
      <c r="Q37" s="24">
        <f>_xll.DBRW($B$1,$B$5,$B$4,Q$9,$B$2,$A37,Q$10,$B$6,$B$3)</f>
        <v>0</v>
      </c>
      <c r="R37" s="24">
        <f>_xll.DBRW($B$1,$B$5,$B$4,R$9,$B$2,$A37,R$10,$B$6,$B$3)</f>
        <v>0</v>
      </c>
      <c r="T37" s="24">
        <f>_xll.DBRW($B$1,$B$5,$B$4,T$9,$B$2,$A37,T$10,$B$6,$B$3)</f>
        <v>0</v>
      </c>
      <c r="U37" s="24">
        <f>_xll.DBRW($B$1,$B$5,$B$4,U$9,$B$2,$A37,U$10,$B$6,$B$3)</f>
        <v>0</v>
      </c>
      <c r="V37" s="24">
        <f>_xll.DBRW($B$1,$B$5,$B$4,V$9,$B$2,$A37,V$10,$B$6,$B$3)</f>
        <v>0</v>
      </c>
      <c r="W37" s="24">
        <f>_xll.DBRW($B$1,$B$5,$B$4,W$9,$B$2,$A37,W$10,$B$6,$B$3)</f>
        <v>0</v>
      </c>
      <c r="X37" s="24">
        <f>_xll.DBRW($B$1,$B$5,$B$4,X$9,$B$2,$A37,X$10,$B$6,$B$3)</f>
        <v>0</v>
      </c>
      <c r="Y37" s="24">
        <f>_xll.DBRW($B$1,$B$5,$B$4,Y$9,$B$2,$A37,Y$10,$B$6,$B$3)</f>
        <v>0</v>
      </c>
      <c r="Z37" s="24">
        <f>_xll.DBRW($B$1,$B$5,$B$4,Z$9,$B$2,$A37,Z$10,$B$6,$B$3)</f>
        <v>0</v>
      </c>
      <c r="AA37" s="24">
        <f>_xll.DBRW($B$1,$B$5,$B$4,AA$9,$B$2,$A37,AA$10,$B$6,$B$3)</f>
        <v>0</v>
      </c>
      <c r="AC37" s="24">
        <f>_xll.DBRW($B$1,$B$5,$B$4,AC$9,$B$2,$A37,AC$10,$B$6,$B$3)</f>
        <v>0</v>
      </c>
      <c r="AD37" s="24">
        <f>_xll.DBRW($B$1,$B$5,$B$4,AD$9,$B$2,$A37,AD$10,$B$6,$B$3)</f>
        <v>0</v>
      </c>
      <c r="AE37" s="24">
        <f>_xll.DBRW($B$1,$B$5,$B$4,AE$9,$B$2,$A37,AE$10,$B$6,$B$3)</f>
        <v>0</v>
      </c>
      <c r="AF37" s="24">
        <f>_xll.DBRW($B$1,$B$5,$B$4,AF$9,$B$2,$A37,AF$10,$B$6,$B$3)</f>
        <v>0</v>
      </c>
      <c r="AG37" s="24">
        <f>_xll.DBRW($B$1,$B$5,$B$4,AG$9,$B$2,$A37,AG$10,$B$6,$B$3)</f>
        <v>0</v>
      </c>
      <c r="AH37" s="24">
        <f>_xll.DBRW($B$1,$B$5,$B$4,AH$9,$B$2,$A37,AH$10,$B$6,$B$3)</f>
        <v>0</v>
      </c>
      <c r="AI37" s="24">
        <f>_xll.DBRW($B$1,$B$5,$B$4,AI$9,$B$2,$A37,AI$10,$B$6,$B$3)</f>
        <v>0</v>
      </c>
      <c r="AJ37" s="24">
        <f>_xll.DBRW($B$1,$B$5,$B$4,AJ$9,$B$2,$A37,AJ$10,$B$6,$B$3)</f>
        <v>0</v>
      </c>
    </row>
    <row r="38" spans="1:36">
      <c r="A38" s="25" t="s">
        <v>74</v>
      </c>
      <c r="B38" s="24">
        <f>_xll.DBRW($B$1,$B$5,$B$4,B$9,$B$2,$A38,B$10,$B$6,$B$3)</f>
        <v>0</v>
      </c>
      <c r="C38" s="24">
        <f>_xll.DBRW($B$1,$B$5,$B$4,C$9,$B$2,$A38,C$10,$B$6,$B$3)</f>
        <v>0</v>
      </c>
      <c r="D38" s="24">
        <f>_xll.DBRW($B$1,$B$5,$B$4,D$9,$B$2,$A38,D$10,$B$6,$B$3)</f>
        <v>0</v>
      </c>
      <c r="E38" s="24">
        <f>_xll.DBRW($B$1,$B$5,$B$4,E$9,$B$2,$A38,E$10,$B$6,$B$3)</f>
        <v>0</v>
      </c>
      <c r="F38" s="24">
        <f>_xll.DBRW($B$1,$B$5,$B$4,F$9,$B$2,$A38,F$10,$B$6,$B$3)</f>
        <v>0</v>
      </c>
      <c r="G38" s="24">
        <f>_xll.DBRW($B$1,$B$5,$B$4,G$9,$B$2,$A38,G$10,$B$6,$B$3)</f>
        <v>0</v>
      </c>
      <c r="H38" s="24">
        <f>_xll.DBRW($B$1,$B$5,$B$4,H$9,$B$2,$A38,H$10,$B$6,$B$3)</f>
        <v>0</v>
      </c>
      <c r="I38" s="24">
        <f>_xll.DBRW($B$1,$B$5,$B$4,I$9,$B$2,$A38,I$10,$B$6,$B$3)</f>
        <v>0</v>
      </c>
      <c r="K38" s="24">
        <f>_xll.DBRW($B$1,$B$5,$B$4,K$9,$B$2,$A38,K$10,$B$6,$B$3)</f>
        <v>0</v>
      </c>
      <c r="L38" s="24">
        <f>_xll.DBRW($B$1,$B$5,$B$4,L$9,$B$2,$A38,L$10,$B$6,$B$3)</f>
        <v>0</v>
      </c>
      <c r="M38" s="24">
        <f>_xll.DBRW($B$1,$B$5,$B$4,M$9,$B$2,$A38,M$10,$B$6,$B$3)</f>
        <v>0</v>
      </c>
      <c r="N38" s="24">
        <f>_xll.DBRW($B$1,$B$5,$B$4,N$9,$B$2,$A38,N$10,$B$6,$B$3)</f>
        <v>0</v>
      </c>
      <c r="O38" s="24">
        <f>_xll.DBRW($B$1,$B$5,$B$4,O$9,$B$2,$A38,O$10,$B$6,$B$3)</f>
        <v>0</v>
      </c>
      <c r="P38" s="24">
        <f>_xll.DBRW($B$1,$B$5,$B$4,P$9,$B$2,$A38,P$10,$B$6,$B$3)</f>
        <v>0</v>
      </c>
      <c r="Q38" s="24">
        <f>_xll.DBRW($B$1,$B$5,$B$4,Q$9,$B$2,$A38,Q$10,$B$6,$B$3)</f>
        <v>0</v>
      </c>
      <c r="R38" s="24">
        <f>_xll.DBRW($B$1,$B$5,$B$4,R$9,$B$2,$A38,R$10,$B$6,$B$3)</f>
        <v>0</v>
      </c>
      <c r="T38" s="24">
        <f>_xll.DBRW($B$1,$B$5,$B$4,T$9,$B$2,$A38,T$10,$B$6,$B$3)</f>
        <v>0</v>
      </c>
      <c r="U38" s="24">
        <f>_xll.DBRW($B$1,$B$5,$B$4,U$9,$B$2,$A38,U$10,$B$6,$B$3)</f>
        <v>0</v>
      </c>
      <c r="V38" s="24">
        <f>_xll.DBRW($B$1,$B$5,$B$4,V$9,$B$2,$A38,V$10,$B$6,$B$3)</f>
        <v>0</v>
      </c>
      <c r="W38" s="24">
        <f>_xll.DBRW($B$1,$B$5,$B$4,W$9,$B$2,$A38,W$10,$B$6,$B$3)</f>
        <v>0</v>
      </c>
      <c r="X38" s="24">
        <f>_xll.DBRW($B$1,$B$5,$B$4,X$9,$B$2,$A38,X$10,$B$6,$B$3)</f>
        <v>0</v>
      </c>
      <c r="Y38" s="24">
        <f>_xll.DBRW($B$1,$B$5,$B$4,Y$9,$B$2,$A38,Y$10,$B$6,$B$3)</f>
        <v>0</v>
      </c>
      <c r="Z38" s="24">
        <f>_xll.DBRW($B$1,$B$5,$B$4,Z$9,$B$2,$A38,Z$10,$B$6,$B$3)</f>
        <v>0</v>
      </c>
      <c r="AA38" s="24">
        <f>_xll.DBRW($B$1,$B$5,$B$4,AA$9,$B$2,$A38,AA$10,$B$6,$B$3)</f>
        <v>0</v>
      </c>
      <c r="AC38" s="24">
        <f>_xll.DBRW($B$1,$B$5,$B$4,AC$9,$B$2,$A38,AC$10,$B$6,$B$3)</f>
        <v>0</v>
      </c>
      <c r="AD38" s="24">
        <f>_xll.DBRW($B$1,$B$5,$B$4,AD$9,$B$2,$A38,AD$10,$B$6,$B$3)</f>
        <v>0</v>
      </c>
      <c r="AE38" s="24">
        <f>_xll.DBRW($B$1,$B$5,$B$4,AE$9,$B$2,$A38,AE$10,$B$6,$B$3)</f>
        <v>0</v>
      </c>
      <c r="AF38" s="24">
        <f>_xll.DBRW($B$1,$B$5,$B$4,AF$9,$B$2,$A38,AF$10,$B$6,$B$3)</f>
        <v>0</v>
      </c>
      <c r="AG38" s="24">
        <f>_xll.DBRW($B$1,$B$5,$B$4,AG$9,$B$2,$A38,AG$10,$B$6,$B$3)</f>
        <v>0</v>
      </c>
      <c r="AH38" s="24">
        <f>_xll.DBRW($B$1,$B$5,$B$4,AH$9,$B$2,$A38,AH$10,$B$6,$B$3)</f>
        <v>0</v>
      </c>
      <c r="AI38" s="24">
        <f>_xll.DBRW($B$1,$B$5,$B$4,AI$9,$B$2,$A38,AI$10,$B$6,$B$3)</f>
        <v>0</v>
      </c>
      <c r="AJ38" s="24">
        <f>_xll.DBRW($B$1,$B$5,$B$4,AJ$9,$B$2,$A38,AJ$10,$B$6,$B$3)</f>
        <v>0</v>
      </c>
    </row>
    <row r="39" spans="1:36">
      <c r="A39" s="25" t="s">
        <v>81</v>
      </c>
      <c r="B39" s="24">
        <f>_xll.DBRW($B$1,$B$5,$B$4,B$9,$B$2,$A39,B$10,$B$6,$B$3)</f>
        <v>0</v>
      </c>
      <c r="C39" s="24">
        <f>_xll.DBRW($B$1,$B$5,$B$4,C$9,$B$2,$A39,C$10,$B$6,$B$3)</f>
        <v>0</v>
      </c>
      <c r="D39" s="24">
        <f>_xll.DBRW($B$1,$B$5,$B$4,D$9,$B$2,$A39,D$10,$B$6,$B$3)</f>
        <v>0</v>
      </c>
      <c r="E39" s="24">
        <f>_xll.DBRW($B$1,$B$5,$B$4,E$9,$B$2,$A39,E$10,$B$6,$B$3)</f>
        <v>0</v>
      </c>
      <c r="F39" s="24">
        <f>_xll.DBRW($B$1,$B$5,$B$4,F$9,$B$2,$A39,F$10,$B$6,$B$3)</f>
        <v>0</v>
      </c>
      <c r="G39" s="24">
        <f>_xll.DBRW($B$1,$B$5,$B$4,G$9,$B$2,$A39,G$10,$B$6,$B$3)</f>
        <v>0</v>
      </c>
      <c r="H39" s="24">
        <f>_xll.DBRW($B$1,$B$5,$B$4,H$9,$B$2,$A39,H$10,$B$6,$B$3)</f>
        <v>0</v>
      </c>
      <c r="I39" s="24">
        <f>_xll.DBRW($B$1,$B$5,$B$4,I$9,$B$2,$A39,I$10,$B$6,$B$3)</f>
        <v>0</v>
      </c>
      <c r="K39" s="24">
        <f>_xll.DBRW($B$1,$B$5,$B$4,K$9,$B$2,$A39,K$10,$B$6,$B$3)</f>
        <v>0</v>
      </c>
      <c r="L39" s="24">
        <f>_xll.DBRW($B$1,$B$5,$B$4,L$9,$B$2,$A39,L$10,$B$6,$B$3)</f>
        <v>0</v>
      </c>
      <c r="M39" s="24">
        <f>_xll.DBRW($B$1,$B$5,$B$4,M$9,$B$2,$A39,M$10,$B$6,$B$3)</f>
        <v>0</v>
      </c>
      <c r="N39" s="24">
        <f>_xll.DBRW($B$1,$B$5,$B$4,N$9,$B$2,$A39,N$10,$B$6,$B$3)</f>
        <v>0</v>
      </c>
      <c r="O39" s="24">
        <f>_xll.DBRW($B$1,$B$5,$B$4,O$9,$B$2,$A39,O$10,$B$6,$B$3)</f>
        <v>0</v>
      </c>
      <c r="P39" s="24">
        <f>_xll.DBRW($B$1,$B$5,$B$4,P$9,$B$2,$A39,P$10,$B$6,$B$3)</f>
        <v>0</v>
      </c>
      <c r="Q39" s="24">
        <f>_xll.DBRW($B$1,$B$5,$B$4,Q$9,$B$2,$A39,Q$10,$B$6,$B$3)</f>
        <v>0</v>
      </c>
      <c r="R39" s="24">
        <f>_xll.DBRW($B$1,$B$5,$B$4,R$9,$B$2,$A39,R$10,$B$6,$B$3)</f>
        <v>0</v>
      </c>
      <c r="T39" s="24">
        <f>_xll.DBRW($B$1,$B$5,$B$4,T$9,$B$2,$A39,T$10,$B$6,$B$3)</f>
        <v>0</v>
      </c>
      <c r="U39" s="24">
        <f>_xll.DBRW($B$1,$B$5,$B$4,U$9,$B$2,$A39,U$10,$B$6,$B$3)</f>
        <v>0</v>
      </c>
      <c r="V39" s="24">
        <f>_xll.DBRW($B$1,$B$5,$B$4,V$9,$B$2,$A39,V$10,$B$6,$B$3)</f>
        <v>0</v>
      </c>
      <c r="W39" s="24">
        <f>_xll.DBRW($B$1,$B$5,$B$4,W$9,$B$2,$A39,W$10,$B$6,$B$3)</f>
        <v>0</v>
      </c>
      <c r="X39" s="24">
        <f>_xll.DBRW($B$1,$B$5,$B$4,X$9,$B$2,$A39,X$10,$B$6,$B$3)</f>
        <v>0</v>
      </c>
      <c r="Y39" s="24">
        <f>_xll.DBRW($B$1,$B$5,$B$4,Y$9,$B$2,$A39,Y$10,$B$6,$B$3)</f>
        <v>0</v>
      </c>
      <c r="Z39" s="24">
        <f>_xll.DBRW($B$1,$B$5,$B$4,Z$9,$B$2,$A39,Z$10,$B$6,$B$3)</f>
        <v>0</v>
      </c>
      <c r="AA39" s="24">
        <f>_xll.DBRW($B$1,$B$5,$B$4,AA$9,$B$2,$A39,AA$10,$B$6,$B$3)</f>
        <v>0</v>
      </c>
      <c r="AC39" s="24">
        <f>_xll.DBRW($B$1,$B$5,$B$4,AC$9,$B$2,$A39,AC$10,$B$6,$B$3)</f>
        <v>0</v>
      </c>
      <c r="AD39" s="24">
        <f>_xll.DBRW($B$1,$B$5,$B$4,AD$9,$B$2,$A39,AD$10,$B$6,$B$3)</f>
        <v>0</v>
      </c>
      <c r="AE39" s="24">
        <f>_xll.DBRW($B$1,$B$5,$B$4,AE$9,$B$2,$A39,AE$10,$B$6,$B$3)</f>
        <v>0</v>
      </c>
      <c r="AF39" s="24">
        <f>_xll.DBRW($B$1,$B$5,$B$4,AF$9,$B$2,$A39,AF$10,$B$6,$B$3)</f>
        <v>0</v>
      </c>
      <c r="AG39" s="24">
        <f>_xll.DBRW($B$1,$B$5,$B$4,AG$9,$B$2,$A39,AG$10,$B$6,$B$3)</f>
        <v>0</v>
      </c>
      <c r="AH39" s="24">
        <f>_xll.DBRW($B$1,$B$5,$B$4,AH$9,$B$2,$A39,AH$10,$B$6,$B$3)</f>
        <v>0</v>
      </c>
      <c r="AI39" s="24">
        <f>_xll.DBRW($B$1,$B$5,$B$4,AI$9,$B$2,$A39,AI$10,$B$6,$B$3)</f>
        <v>0</v>
      </c>
      <c r="AJ39" s="24">
        <f>_xll.DBRW($B$1,$B$5,$B$4,AJ$9,$B$2,$A39,AJ$10,$B$6,$B$3)</f>
        <v>0</v>
      </c>
    </row>
    <row r="40" spans="1:36" s="32" customFormat="1">
      <c r="A40" s="30" t="s">
        <v>82</v>
      </c>
      <c r="B40" s="31">
        <f>_xll.DBRW($B$1,$B$5,$B$4,B$9,$B$2,$A40,B$10,$B$6,$B$3)</f>
        <v>0</v>
      </c>
      <c r="C40" s="31">
        <f>_xll.DBRW($B$1,$B$5,$B$4,C$9,$B$2,$A40,C$10,$B$6,$B$3)</f>
        <v>0</v>
      </c>
      <c r="D40" s="31">
        <f>_xll.DBRW($B$1,$B$5,$B$4,D$9,$B$2,$A40,D$10,$B$6,$B$3)</f>
        <v>0</v>
      </c>
      <c r="E40" s="31">
        <f>_xll.DBRW($B$1,$B$5,$B$4,E$9,$B$2,$A40,E$10,$B$6,$B$3)</f>
        <v>0</v>
      </c>
      <c r="F40" s="31">
        <f>_xll.DBRW($B$1,$B$5,$B$4,F$9,$B$2,$A40,F$10,$B$6,$B$3)</f>
        <v>0</v>
      </c>
      <c r="G40" s="31">
        <f>_xll.DBRW($B$1,$B$5,$B$4,G$9,$B$2,$A40,G$10,$B$6,$B$3)</f>
        <v>0</v>
      </c>
      <c r="H40" s="31">
        <f>_xll.DBRW($B$1,$B$5,$B$4,H$9,$B$2,$A40,H$10,$B$6,$B$3)</f>
        <v>0</v>
      </c>
      <c r="I40" s="31">
        <f>_xll.DBRW($B$1,$B$5,$B$4,I$9,$B$2,$A40,I$10,$B$6,$B$3)</f>
        <v>0</v>
      </c>
      <c r="K40" s="31">
        <f>_xll.DBRW($B$1,$B$5,$B$4,K$9,$B$2,$A40,K$10,$B$6,$B$3)</f>
        <v>0</v>
      </c>
      <c r="L40" s="31">
        <f>_xll.DBRW($B$1,$B$5,$B$4,L$9,$B$2,$A40,L$10,$B$6,$B$3)</f>
        <v>0</v>
      </c>
      <c r="M40" s="31">
        <f>_xll.DBRW($B$1,$B$5,$B$4,M$9,$B$2,$A40,M$10,$B$6,$B$3)</f>
        <v>0</v>
      </c>
      <c r="N40" s="31">
        <f>_xll.DBRW($B$1,$B$5,$B$4,N$9,$B$2,$A40,N$10,$B$6,$B$3)</f>
        <v>0</v>
      </c>
      <c r="O40" s="31">
        <f>_xll.DBRW($B$1,$B$5,$B$4,O$9,$B$2,$A40,O$10,$B$6,$B$3)</f>
        <v>0</v>
      </c>
      <c r="P40" s="31">
        <f>_xll.DBRW($B$1,$B$5,$B$4,P$9,$B$2,$A40,P$10,$B$6,$B$3)</f>
        <v>0</v>
      </c>
      <c r="Q40" s="31">
        <f>_xll.DBRW($B$1,$B$5,$B$4,Q$9,$B$2,$A40,Q$10,$B$6,$B$3)</f>
        <v>0</v>
      </c>
      <c r="R40" s="31">
        <f>_xll.DBRW($B$1,$B$5,$B$4,R$9,$B$2,$A40,R$10,$B$6,$B$3)</f>
        <v>0</v>
      </c>
      <c r="T40" s="31">
        <f>_xll.DBRW($B$1,$B$5,$B$4,T$9,$B$2,$A40,T$10,$B$6,$B$3)</f>
        <v>0</v>
      </c>
      <c r="U40" s="31">
        <f>_xll.DBRW($B$1,$B$5,$B$4,U$9,$B$2,$A40,U$10,$B$6,$B$3)</f>
        <v>0</v>
      </c>
      <c r="V40" s="31">
        <f>_xll.DBRW($B$1,$B$5,$B$4,V$9,$B$2,$A40,V$10,$B$6,$B$3)</f>
        <v>0</v>
      </c>
      <c r="W40" s="31">
        <f>_xll.DBRW($B$1,$B$5,$B$4,W$9,$B$2,$A40,W$10,$B$6,$B$3)</f>
        <v>0</v>
      </c>
      <c r="X40" s="31">
        <f>_xll.DBRW($B$1,$B$5,$B$4,X$9,$B$2,$A40,X$10,$B$6,$B$3)</f>
        <v>0</v>
      </c>
      <c r="Y40" s="31">
        <f>_xll.DBRW($B$1,$B$5,$B$4,Y$9,$B$2,$A40,Y$10,$B$6,$B$3)</f>
        <v>0</v>
      </c>
      <c r="Z40" s="31">
        <f>_xll.DBRW($B$1,$B$5,$B$4,Z$9,$B$2,$A40,Z$10,$B$6,$B$3)</f>
        <v>0</v>
      </c>
      <c r="AA40" s="31">
        <f>_xll.DBRW($B$1,$B$5,$B$4,AA$9,$B$2,$A40,AA$10,$B$6,$B$3)</f>
        <v>0</v>
      </c>
      <c r="AC40" s="31">
        <f>_xll.DBRW($B$1,$B$5,$B$4,AC$9,$B$2,$A40,AC$10,$B$6,$B$3)</f>
        <v>0</v>
      </c>
      <c r="AD40" s="31">
        <f>_xll.DBRW($B$1,$B$5,$B$4,AD$9,$B$2,$A40,AD$10,$B$6,$B$3)</f>
        <v>0</v>
      </c>
      <c r="AE40" s="31">
        <f>_xll.DBRW($B$1,$B$5,$B$4,AE$9,$B$2,$A40,AE$10,$B$6,$B$3)</f>
        <v>0</v>
      </c>
      <c r="AF40" s="31">
        <f>_xll.DBRW($B$1,$B$5,$B$4,AF$9,$B$2,$A40,AF$10,$B$6,$B$3)</f>
        <v>0</v>
      </c>
      <c r="AG40" s="31">
        <f>_xll.DBRW($B$1,$B$5,$B$4,AG$9,$B$2,$A40,AG$10,$B$6,$B$3)</f>
        <v>0</v>
      </c>
      <c r="AH40" s="31">
        <f>_xll.DBRW($B$1,$B$5,$B$4,AH$9,$B$2,$A40,AH$10,$B$6,$B$3)</f>
        <v>0</v>
      </c>
      <c r="AI40" s="31">
        <f>_xll.DBRW($B$1,$B$5,$B$4,AI$9,$B$2,$A40,AI$10,$B$6,$B$3)</f>
        <v>0</v>
      </c>
      <c r="AJ40" s="31">
        <f>_xll.DBRW($B$1,$B$5,$B$4,AJ$9,$B$2,$A40,AJ$10,$B$6,$B$3)</f>
        <v>0</v>
      </c>
    </row>
    <row r="41" spans="1:36" ht="13.35" thickBot="1"/>
    <row r="42" spans="1:36" s="47" customFormat="1" ht="14.7" thickBot="1">
      <c r="A42" s="45" t="s">
        <v>47</v>
      </c>
      <c r="B42" s="46">
        <f>_xll.DBRW($B$1,$B$5,$B$4,B$9,$B$2,$A42,B$10,$B$6,$B$3)</f>
        <v>0</v>
      </c>
      <c r="C42" s="46">
        <f>_xll.DBRW($B$1,$B$5,$B$4,C$9,$B$2,$A42,C$10,$B$6,$B$3)</f>
        <v>0</v>
      </c>
      <c r="D42" s="46">
        <f>_xll.DBRW($B$1,$B$5,$B$4,D$9,$B$2,$A42,D$10,$B$6,$B$3)</f>
        <v>0</v>
      </c>
      <c r="E42" s="46">
        <f>_xll.DBRW($B$1,$B$5,$B$4,E$9,$B$2,$A42,E$10,$B$6,$B$3)</f>
        <v>0</v>
      </c>
      <c r="F42" s="46">
        <f>_xll.DBRW($B$1,$B$5,$B$4,F$9,$B$2,$A42,F$10,$B$6,$B$3)</f>
        <v>0</v>
      </c>
      <c r="G42" s="46">
        <f>_xll.DBRW($B$1,$B$5,$B$4,G$9,$B$2,$A42,G$10,$B$6,$B$3)</f>
        <v>0</v>
      </c>
      <c r="H42" s="46">
        <f>_xll.DBRW($B$1,$B$5,$B$4,H$9,$B$2,$A42,H$10,$B$6,$B$3)</f>
        <v>0</v>
      </c>
      <c r="I42" s="46">
        <f>_xll.DBRW($B$1,$B$5,$B$4,I$9,$B$2,$A42,I$10,$B$6,$B$3)</f>
        <v>0</v>
      </c>
      <c r="K42" s="46">
        <f>_xll.DBRW($B$1,$B$5,$B$4,K$9,$B$2,$A42,K$10,$B$6,$B$3)</f>
        <v>0</v>
      </c>
      <c r="L42" s="46">
        <f>_xll.DBRW($B$1,$B$5,$B$4,L$9,$B$2,$A42,L$10,$B$6,$B$3)</f>
        <v>0</v>
      </c>
      <c r="M42" s="46">
        <f>_xll.DBRW($B$1,$B$5,$B$4,M$9,$B$2,$A42,M$10,$B$6,$B$3)</f>
        <v>0</v>
      </c>
      <c r="N42" s="46">
        <f>_xll.DBRW($B$1,$B$5,$B$4,N$9,$B$2,$A42,N$10,$B$6,$B$3)</f>
        <v>0</v>
      </c>
      <c r="O42" s="46">
        <f>_xll.DBRW($B$1,$B$5,$B$4,O$9,$B$2,$A42,O$10,$B$6,$B$3)</f>
        <v>0</v>
      </c>
      <c r="P42" s="46">
        <f>_xll.DBRW($B$1,$B$5,$B$4,P$9,$B$2,$A42,P$10,$B$6,$B$3)</f>
        <v>0</v>
      </c>
      <c r="Q42" s="46">
        <f>_xll.DBRW($B$1,$B$5,$B$4,Q$9,$B$2,$A42,Q$10,$B$6,$B$3)</f>
        <v>0</v>
      </c>
      <c r="R42" s="46">
        <f>_xll.DBRW($B$1,$B$5,$B$4,R$9,$B$2,$A42,R$10,$B$6,$B$3)</f>
        <v>0</v>
      </c>
      <c r="T42" s="46">
        <f>_xll.DBRW($B$1,$B$5,$B$4,T$9,$B$2,$A42,T$10,$B$6,$B$3)</f>
        <v>0</v>
      </c>
      <c r="U42" s="46">
        <f>_xll.DBRW($B$1,$B$5,$B$4,U$9,$B$2,$A42,U$10,$B$6,$B$3)</f>
        <v>0</v>
      </c>
      <c r="V42" s="46">
        <f>_xll.DBRW($B$1,$B$5,$B$4,V$9,$B$2,$A42,V$10,$B$6,$B$3)</f>
        <v>0</v>
      </c>
      <c r="W42" s="46">
        <f>_xll.DBRW($B$1,$B$5,$B$4,W$9,$B$2,$A42,W$10,$B$6,$B$3)</f>
        <v>0</v>
      </c>
      <c r="X42" s="46">
        <f>_xll.DBRW($B$1,$B$5,$B$4,X$9,$B$2,$A42,X$10,$B$6,$B$3)</f>
        <v>0</v>
      </c>
      <c r="Y42" s="46">
        <f>_xll.DBRW($B$1,$B$5,$B$4,Y$9,$B$2,$A42,Y$10,$B$6,$B$3)</f>
        <v>0</v>
      </c>
      <c r="Z42" s="46">
        <f>_xll.DBRW($B$1,$B$5,$B$4,Z$9,$B$2,$A42,Z$10,$B$6,$B$3)</f>
        <v>0</v>
      </c>
      <c r="AA42" s="46">
        <f>_xll.DBRW($B$1,$B$5,$B$4,AA$9,$B$2,$A42,AA$10,$B$6,$B$3)</f>
        <v>0</v>
      </c>
      <c r="AC42" s="46">
        <f>_xll.DBRW($B$1,$B$5,$B$4,AC$9,$B$2,$A42,AC$10,$B$6,$B$3)</f>
        <v>0</v>
      </c>
      <c r="AD42" s="46">
        <f>_xll.DBRW($B$1,$B$5,$B$4,AD$9,$B$2,$A42,AD$10,$B$6,$B$3)</f>
        <v>0</v>
      </c>
      <c r="AE42" s="46">
        <f>_xll.DBRW($B$1,$B$5,$B$4,AE$9,$B$2,$A42,AE$10,$B$6,$B$3)</f>
        <v>0</v>
      </c>
      <c r="AF42" s="46">
        <f>_xll.DBRW($B$1,$B$5,$B$4,AF$9,$B$2,$A42,AF$10,$B$6,$B$3)</f>
        <v>0</v>
      </c>
      <c r="AG42" s="46">
        <f>_xll.DBRW($B$1,$B$5,$B$4,AG$9,$B$2,$A42,AG$10,$B$6,$B$3)</f>
        <v>0</v>
      </c>
      <c r="AH42" s="46">
        <f>_xll.DBRW($B$1,$B$5,$B$4,AH$9,$B$2,$A42,AH$10,$B$6,$B$3)</f>
        <v>0</v>
      </c>
      <c r="AI42" s="46">
        <f>_xll.DBRW($B$1,$B$5,$B$4,AI$9,$B$2,$A42,AI$10,$B$6,$B$3)</f>
        <v>0</v>
      </c>
      <c r="AJ42" s="46">
        <f>_xll.DBRW($B$1,$B$5,$B$4,AJ$9,$B$2,$A42,AJ$10,$B$6,$B$3)</f>
        <v>0</v>
      </c>
    </row>
    <row r="43" spans="1:36" ht="13.35" thickBot="1"/>
    <row r="44" spans="1:36" ht="18.75" customHeight="1" thickBot="1">
      <c r="A44" s="33" t="s">
        <v>48</v>
      </c>
      <c r="B44" s="34">
        <f t="shared" ref="B44:H44" si="17">SUM(B11:B39)+B40-B42</f>
        <v>0</v>
      </c>
      <c r="C44" s="34">
        <f t="shared" si="17"/>
        <v>0</v>
      </c>
      <c r="D44" s="34">
        <f t="shared" si="17"/>
        <v>0</v>
      </c>
      <c r="E44" s="34">
        <f t="shared" si="17"/>
        <v>0</v>
      </c>
      <c r="F44" s="34">
        <f t="shared" si="17"/>
        <v>0</v>
      </c>
      <c r="G44" s="34">
        <f t="shared" si="17"/>
        <v>0</v>
      </c>
      <c r="H44" s="34">
        <f t="shared" si="17"/>
        <v>0</v>
      </c>
      <c r="I44" s="34">
        <f>SUM(I11:I39)+I40-I42</f>
        <v>0</v>
      </c>
      <c r="K44" s="34">
        <f t="shared" ref="K44:Q44" si="18">SUM(K11:K39)+K40-K42</f>
        <v>0</v>
      </c>
      <c r="L44" s="34">
        <f t="shared" si="18"/>
        <v>0</v>
      </c>
      <c r="M44" s="34">
        <f t="shared" si="18"/>
        <v>0</v>
      </c>
      <c r="N44" s="34">
        <f t="shared" si="18"/>
        <v>0</v>
      </c>
      <c r="O44" s="34">
        <f t="shared" si="18"/>
        <v>0</v>
      </c>
      <c r="P44" s="34">
        <f t="shared" si="18"/>
        <v>0</v>
      </c>
      <c r="Q44" s="34">
        <f t="shared" si="18"/>
        <v>0</v>
      </c>
      <c r="R44" s="34">
        <f>SUM(R11:R39)+R40-R42</f>
        <v>0</v>
      </c>
      <c r="T44" s="34">
        <f t="shared" ref="T44:Z44" si="19">SUM(T11:T39)+T40-T42</f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>SUM(AA11:AA39)+AA40-AA42</f>
        <v>0</v>
      </c>
      <c r="AC44" s="34">
        <f t="shared" ref="AC44:AI44" si="20">SUM(AC11:AC39)+AC40-AC42</f>
        <v>0</v>
      </c>
      <c r="AD44" s="34">
        <f t="shared" si="20"/>
        <v>0</v>
      </c>
      <c r="AE44" s="34">
        <f t="shared" si="20"/>
        <v>0</v>
      </c>
      <c r="AF44" s="34">
        <f t="shared" si="20"/>
        <v>0</v>
      </c>
      <c r="AG44" s="34">
        <f t="shared" si="20"/>
        <v>0</v>
      </c>
      <c r="AH44" s="34">
        <f t="shared" si="20"/>
        <v>0</v>
      </c>
      <c r="AI44" s="34">
        <f t="shared" si="20"/>
        <v>0</v>
      </c>
      <c r="AJ44" s="34">
        <f>SUM(AJ11:AJ39)+AJ40-AJ42</f>
        <v>0</v>
      </c>
    </row>
    <row r="45" spans="1:36" ht="13.35" thickBot="1"/>
    <row r="46" spans="1:36" ht="18.75" customHeight="1" thickBot="1">
      <c r="A46" s="35" t="s">
        <v>49</v>
      </c>
      <c r="B46" s="36"/>
      <c r="C46" s="36"/>
      <c r="D46" s="36"/>
      <c r="E46" s="36">
        <f t="shared" ref="E46:I46" si="21">-E42</f>
        <v>0</v>
      </c>
      <c r="F46" s="36">
        <f t="shared" si="21"/>
        <v>0</v>
      </c>
      <c r="G46" s="36">
        <f t="shared" si="21"/>
        <v>0</v>
      </c>
      <c r="H46" s="36">
        <f t="shared" si="21"/>
        <v>0</v>
      </c>
      <c r="I46" s="36">
        <f t="shared" si="21"/>
        <v>0</v>
      </c>
      <c r="K46" s="36"/>
      <c r="L46" s="36"/>
      <c r="M46" s="36"/>
      <c r="N46" s="36">
        <f t="shared" ref="N46:R46" si="22">-N42</f>
        <v>0</v>
      </c>
      <c r="O46" s="36">
        <f t="shared" si="22"/>
        <v>0</v>
      </c>
      <c r="P46" s="36">
        <f t="shared" si="22"/>
        <v>0</v>
      </c>
      <c r="Q46" s="36">
        <f t="shared" si="22"/>
        <v>0</v>
      </c>
      <c r="R46" s="36">
        <f t="shared" si="22"/>
        <v>0</v>
      </c>
      <c r="T46" s="36"/>
      <c r="U46" s="36"/>
      <c r="V46" s="36">
        <f t="shared" ref="V46:AA46" si="23">-V42</f>
        <v>0</v>
      </c>
      <c r="W46" s="36">
        <f t="shared" si="23"/>
        <v>0</v>
      </c>
      <c r="X46" s="36">
        <f t="shared" si="23"/>
        <v>0</v>
      </c>
      <c r="Y46" s="36">
        <f t="shared" si="23"/>
        <v>0</v>
      </c>
      <c r="Z46" s="36">
        <f t="shared" si="23"/>
        <v>0</v>
      </c>
      <c r="AA46" s="36">
        <f t="shared" si="23"/>
        <v>0</v>
      </c>
      <c r="AC46" s="36"/>
      <c r="AD46" s="36"/>
      <c r="AE46" s="36">
        <f t="shared" ref="AE46:AJ46" si="24">-AE42</f>
        <v>0</v>
      </c>
      <c r="AF46" s="36">
        <f t="shared" si="24"/>
        <v>0</v>
      </c>
      <c r="AG46" s="36">
        <f t="shared" si="24"/>
        <v>0</v>
      </c>
      <c r="AH46" s="36">
        <f t="shared" si="24"/>
        <v>0</v>
      </c>
      <c r="AI46" s="36">
        <f t="shared" si="24"/>
        <v>0</v>
      </c>
      <c r="AJ46" s="36">
        <f t="shared" si="24"/>
        <v>0</v>
      </c>
    </row>
    <row r="48" spans="1:36" s="32" customFormat="1" ht="18.75" customHeight="1">
      <c r="A48" s="37" t="s">
        <v>52</v>
      </c>
      <c r="B48" s="38">
        <f>B40+B46</f>
        <v>0</v>
      </c>
      <c r="C48" s="38">
        <f t="shared" ref="C48:H48" si="25">C40+C46</f>
        <v>0</v>
      </c>
      <c r="D48" s="38">
        <f t="shared" si="25"/>
        <v>0</v>
      </c>
      <c r="E48" s="38">
        <f t="shared" si="25"/>
        <v>0</v>
      </c>
      <c r="F48" s="38">
        <f t="shared" si="25"/>
        <v>0</v>
      </c>
      <c r="G48" s="38">
        <f t="shared" si="25"/>
        <v>0</v>
      </c>
      <c r="H48" s="38">
        <f t="shared" si="25"/>
        <v>0</v>
      </c>
      <c r="I48" s="38">
        <f>I40+I46</f>
        <v>0</v>
      </c>
      <c r="K48" s="38">
        <f t="shared" ref="K48:Q48" si="26">K40+K46</f>
        <v>0</v>
      </c>
      <c r="L48" s="38">
        <f t="shared" si="26"/>
        <v>0</v>
      </c>
      <c r="M48" s="38">
        <f t="shared" si="26"/>
        <v>0</v>
      </c>
      <c r="N48" s="38">
        <f t="shared" si="26"/>
        <v>0</v>
      </c>
      <c r="O48" s="38">
        <f t="shared" si="26"/>
        <v>0</v>
      </c>
      <c r="P48" s="38">
        <f t="shared" si="26"/>
        <v>0</v>
      </c>
      <c r="Q48" s="38">
        <f t="shared" si="26"/>
        <v>0</v>
      </c>
      <c r="R48" s="38">
        <f>R40+R46</f>
        <v>0</v>
      </c>
      <c r="T48" s="38">
        <f t="shared" ref="T48:AA48" si="27">T40+T46</f>
        <v>0</v>
      </c>
      <c r="U48" s="38">
        <f t="shared" si="27"/>
        <v>0</v>
      </c>
      <c r="V48" s="38">
        <f t="shared" si="27"/>
        <v>0</v>
      </c>
      <c r="W48" s="38">
        <f t="shared" si="27"/>
        <v>0</v>
      </c>
      <c r="X48" s="38">
        <f t="shared" si="27"/>
        <v>0</v>
      </c>
      <c r="Y48" s="38">
        <f t="shared" si="27"/>
        <v>0</v>
      </c>
      <c r="Z48" s="38">
        <f t="shared" si="27"/>
        <v>0</v>
      </c>
      <c r="AA48" s="38">
        <f t="shared" si="27"/>
        <v>0</v>
      </c>
      <c r="AC48" s="38">
        <f t="shared" ref="AC48:AJ48" si="28">AC40+AC46</f>
        <v>0</v>
      </c>
      <c r="AD48" s="38">
        <f t="shared" si="28"/>
        <v>0</v>
      </c>
      <c r="AE48" s="38">
        <f t="shared" si="28"/>
        <v>0</v>
      </c>
      <c r="AF48" s="38">
        <f t="shared" si="28"/>
        <v>0</v>
      </c>
      <c r="AG48" s="38">
        <f t="shared" si="28"/>
        <v>0</v>
      </c>
      <c r="AH48" s="38">
        <f t="shared" si="28"/>
        <v>0</v>
      </c>
      <c r="AI48" s="38">
        <f t="shared" si="28"/>
        <v>0</v>
      </c>
      <c r="AJ48" s="38">
        <f t="shared" si="28"/>
        <v>0</v>
      </c>
    </row>
    <row r="50" spans="1:36">
      <c r="D50" s="51"/>
      <c r="E50" s="51"/>
      <c r="F50" s="51"/>
      <c r="G50" s="51"/>
      <c r="H50" s="51"/>
      <c r="I50" s="51"/>
    </row>
    <row r="51" spans="1:36">
      <c r="D51" s="51"/>
      <c r="E51" s="51"/>
      <c r="F51" s="51"/>
      <c r="G51" s="51"/>
      <c r="H51" s="51"/>
      <c r="I51" s="51"/>
    </row>
    <row r="52" spans="1:36" s="32" customFormat="1">
      <c r="A52" s="30" t="s">
        <v>83</v>
      </c>
      <c r="B52" s="31">
        <f>_xll.DBRW($B$1,$B$5,$B$4,B$9,$B$2,$A52,B$10,$B$6,$B$3)</f>
        <v>0</v>
      </c>
      <c r="C52" s="31">
        <f>_xll.DBRW($B$1,$B$5,$B$4,C$9,$B$2,$A52,C$10,$B$6,$B$3)</f>
        <v>0</v>
      </c>
      <c r="D52" s="31">
        <f>_xll.DBRW($B$1,$B$5,$B$4,D$9,$B$2,$A52,D$10,$B$6,$B$3)</f>
        <v>0</v>
      </c>
      <c r="E52" s="31">
        <f>_xll.DBRW($B$1,$B$5,$B$4,E$9,$B$2,$A52,E$10,$B$6,$B$3)</f>
        <v>0</v>
      </c>
      <c r="F52" s="31">
        <f>_xll.DBRW($B$1,$B$5,$B$4,F$9,$B$2,$A52,F$10,$B$6,$B$3)</f>
        <v>0</v>
      </c>
      <c r="G52" s="31">
        <f>_xll.DBRW($B$1,$B$5,$B$4,G$9,$B$2,$A52,G$10,$B$6,$B$3)</f>
        <v>0</v>
      </c>
      <c r="H52" s="31">
        <f>_xll.DBRW($B$1,$B$5,$B$4,H$9,$B$2,$A52,H$10,$B$6,$B$3)</f>
        <v>0</v>
      </c>
      <c r="I52" s="31">
        <f>_xll.DBRW($B$1,$B$5,$B$4,I$9,$B$2,$A52,I$10,$B$6,$B$3)</f>
        <v>0</v>
      </c>
      <c r="K52" s="31">
        <f>_xll.DBRW($B$1,$B$5,$B$4,K$9,$B$2,$A52,K$10,$B$6,$B$3)</f>
        <v>0</v>
      </c>
      <c r="L52" s="31">
        <f>_xll.DBRW($B$1,$B$5,$B$4,L$9,$B$2,$A52,L$10,$B$6,$B$3)</f>
        <v>0</v>
      </c>
      <c r="M52" s="31">
        <f>_xll.DBRW($B$1,$B$5,$B$4,M$9,$B$2,$A52,M$10,$B$6,$B$3)</f>
        <v>0</v>
      </c>
      <c r="N52" s="31">
        <f>_xll.DBRW($B$1,$B$5,$B$4,N$9,$B$2,$A52,N$10,$B$6,$B$3)</f>
        <v>0</v>
      </c>
      <c r="O52" s="31">
        <f>_xll.DBRW($B$1,$B$5,$B$4,O$9,$B$2,$A52,O$10,$B$6,$B$3)</f>
        <v>0</v>
      </c>
      <c r="P52" s="31">
        <f>_xll.DBRW($B$1,$B$5,$B$4,P$9,$B$2,$A52,P$10,$B$6,$B$3)</f>
        <v>0</v>
      </c>
      <c r="Q52" s="31">
        <f>_xll.DBRW($B$1,$B$5,$B$4,Q$9,$B$2,$A52,Q$10,$B$6,$B$3)</f>
        <v>0</v>
      </c>
      <c r="R52" s="31">
        <f>_xll.DBRW($B$1,$B$5,$B$4,R$9,$B$2,$A52,R$10,$B$6,$B$3)</f>
        <v>0</v>
      </c>
      <c r="T52" s="31">
        <f>_xll.DBRW($B$1,$B$5,$B$4,T$9,$B$2,$A52,T$10,$B$6,$B$3)</f>
        <v>0</v>
      </c>
      <c r="U52" s="31">
        <f>_xll.DBRW($B$1,$B$5,$B$4,U$9,$B$2,$A52,U$10,$B$6,$B$3)</f>
        <v>0</v>
      </c>
      <c r="V52" s="31">
        <f>_xll.DBRW($B$1,$B$5,$B$4,V$9,$B$2,$A52,V$10,$B$6,$B$3)</f>
        <v>0</v>
      </c>
      <c r="W52" s="31">
        <f>_xll.DBRW($B$1,$B$5,$B$4,W$9,$B$2,$A52,W$10,$B$6,$B$3)</f>
        <v>0</v>
      </c>
      <c r="X52" s="31">
        <f>_xll.DBRW($B$1,$B$5,$B$4,X$9,$B$2,$A52,X$10,$B$6,$B$3)</f>
        <v>0</v>
      </c>
      <c r="Y52" s="31">
        <f>_xll.DBRW($B$1,$B$5,$B$4,Y$9,$B$2,$A52,Y$10,$B$6,$B$3)</f>
        <v>0</v>
      </c>
      <c r="Z52" s="31">
        <f>_xll.DBRW($B$1,$B$5,$B$4,Z$9,$B$2,$A52,Z$10,$B$6,$B$3)</f>
        <v>0</v>
      </c>
      <c r="AA52" s="31">
        <f>_xll.DBRW($B$1,$B$5,$B$4,AA$9,$B$2,$A52,AA$10,$B$6,$B$3)</f>
        <v>0</v>
      </c>
      <c r="AC52" s="31">
        <f>_xll.DBRW($B$1,$B$5,$B$4,AC$9,$B$2,$A52,AC$10,$B$6,$B$3)</f>
        <v>0</v>
      </c>
      <c r="AD52" s="31">
        <f>_xll.DBRW($B$1,$B$5,$B$4,AD$9,$B$2,$A52,AD$10,$B$6,$B$3)</f>
        <v>0</v>
      </c>
      <c r="AE52" s="31">
        <f>_xll.DBRW($B$1,$B$5,$B$4,AE$9,$B$2,$A52,AE$10,$B$6,$B$3)</f>
        <v>0</v>
      </c>
      <c r="AF52" s="31">
        <f>_xll.DBRW($B$1,$B$5,$B$4,AF$9,$B$2,$A52,AF$10,$B$6,$B$3)</f>
        <v>0</v>
      </c>
      <c r="AG52" s="31">
        <f>_xll.DBRW($B$1,$B$5,$B$4,AG$9,$B$2,$A52,AG$10,$B$6,$B$3)</f>
        <v>0</v>
      </c>
      <c r="AH52" s="31">
        <f>_xll.DBRW($B$1,$B$5,$B$4,AH$9,$B$2,$A52,AH$10,$B$6,$B$3)</f>
        <v>0</v>
      </c>
      <c r="AI52" s="31">
        <f>_xll.DBRW($B$1,$B$5,$B$4,AI$9,$B$2,$A52,AI$10,$B$6,$B$3)</f>
        <v>0</v>
      </c>
      <c r="AJ52" s="31">
        <f>_xll.DBRW($B$1,$B$5,$B$4,AJ$9,$B$2,$A52,AJ$10,$B$6,$B$3)</f>
        <v>0</v>
      </c>
    </row>
    <row r="55" spans="1:36" s="32" customFormat="1">
      <c r="A55" s="30" t="s">
        <v>84</v>
      </c>
      <c r="B55" s="31">
        <f>B52-B42</f>
        <v>0</v>
      </c>
      <c r="C55" s="31">
        <f t="shared" ref="C55:AJ55" si="29">C52-C42</f>
        <v>0</v>
      </c>
      <c r="D55" s="31">
        <f t="shared" si="29"/>
        <v>0</v>
      </c>
      <c r="E55" s="31">
        <f t="shared" si="29"/>
        <v>0</v>
      </c>
      <c r="F55" s="31">
        <f t="shared" si="29"/>
        <v>0</v>
      </c>
      <c r="G55" s="31">
        <f t="shared" si="29"/>
        <v>0</v>
      </c>
      <c r="H55" s="31">
        <f t="shared" si="29"/>
        <v>0</v>
      </c>
      <c r="I55" s="31">
        <f t="shared" si="29"/>
        <v>0</v>
      </c>
      <c r="K55" s="31">
        <f t="shared" si="29"/>
        <v>0</v>
      </c>
      <c r="L55" s="31">
        <f t="shared" si="29"/>
        <v>0</v>
      </c>
      <c r="M55" s="31">
        <f t="shared" si="29"/>
        <v>0</v>
      </c>
      <c r="N55" s="31">
        <f t="shared" si="29"/>
        <v>0</v>
      </c>
      <c r="O55" s="31">
        <f t="shared" si="29"/>
        <v>0</v>
      </c>
      <c r="P55" s="31">
        <f t="shared" si="29"/>
        <v>0</v>
      </c>
      <c r="Q55" s="31">
        <f t="shared" si="29"/>
        <v>0</v>
      </c>
      <c r="R55" s="31">
        <f t="shared" si="29"/>
        <v>0</v>
      </c>
      <c r="T55" s="31">
        <f t="shared" si="29"/>
        <v>0</v>
      </c>
      <c r="U55" s="31">
        <f t="shared" si="29"/>
        <v>0</v>
      </c>
      <c r="V55" s="31">
        <f t="shared" si="29"/>
        <v>0</v>
      </c>
      <c r="W55" s="31">
        <f t="shared" si="29"/>
        <v>0</v>
      </c>
      <c r="X55" s="31">
        <f t="shared" si="29"/>
        <v>0</v>
      </c>
      <c r="Y55" s="31">
        <f t="shared" si="29"/>
        <v>0</v>
      </c>
      <c r="Z55" s="31">
        <f t="shared" si="29"/>
        <v>0</v>
      </c>
      <c r="AA55" s="31">
        <f t="shared" si="29"/>
        <v>0</v>
      </c>
      <c r="AC55" s="31">
        <f t="shared" si="29"/>
        <v>0</v>
      </c>
      <c r="AD55" s="31">
        <f t="shared" si="29"/>
        <v>0</v>
      </c>
      <c r="AE55" s="31">
        <f t="shared" si="29"/>
        <v>0</v>
      </c>
      <c r="AF55" s="31">
        <f t="shared" si="29"/>
        <v>0</v>
      </c>
      <c r="AG55" s="31">
        <f t="shared" si="29"/>
        <v>0</v>
      </c>
      <c r="AH55" s="31">
        <f t="shared" si="29"/>
        <v>0</v>
      </c>
      <c r="AI55" s="31">
        <f t="shared" si="29"/>
        <v>0</v>
      </c>
      <c r="AJ55" s="31">
        <f t="shared" si="29"/>
        <v>0</v>
      </c>
    </row>
    <row r="58" spans="1:36">
      <c r="H58" s="52"/>
      <c r="I58" s="52"/>
    </row>
    <row r="59" spans="1:36">
      <c r="B59" s="52"/>
      <c r="C59" s="52"/>
      <c r="D59" s="52"/>
      <c r="E59" s="52"/>
      <c r="F59" s="52"/>
      <c r="G59" s="52"/>
      <c r="H59" s="52"/>
      <c r="I59" s="52"/>
      <c r="J59" s="52"/>
    </row>
    <row r="60" spans="1:36">
      <c r="B60" s="52"/>
      <c r="C60" s="52"/>
      <c r="D60" s="52"/>
      <c r="E60" s="52"/>
      <c r="F60" s="52"/>
      <c r="G60" s="52"/>
      <c r="H60" s="52"/>
      <c r="I60" s="52"/>
      <c r="J60" s="52"/>
    </row>
    <row r="62" spans="1:36">
      <c r="B62" s="52"/>
      <c r="C62" s="52"/>
      <c r="D62" s="52"/>
      <c r="E62" s="52"/>
      <c r="F62" s="52"/>
      <c r="G62" s="52"/>
      <c r="H62" s="52"/>
      <c r="I62" s="52"/>
      <c r="J62" s="5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G19"/>
  <sheetViews>
    <sheetView workbookViewId="0">
      <selection activeCell="D12" sqref="D12"/>
    </sheetView>
  </sheetViews>
  <sheetFormatPr baseColWidth="10" defaultRowHeight="12.7"/>
  <cols>
    <col min="1" max="1" width="23.3515625" customWidth="1"/>
    <col min="2" max="3" width="12.3515625" customWidth="1"/>
    <col min="4" max="7" width="12.3515625" bestFit="1" customWidth="1"/>
  </cols>
  <sheetData>
    <row r="1" spans="1:7" ht="14.35">
      <c r="A1" s="39" t="s">
        <v>24</v>
      </c>
      <c r="B1" s="39" t="str">
        <f>Cube</f>
        <v>tango_core_model:RP_LTP</v>
      </c>
    </row>
    <row r="2" spans="1:7" ht="14.35">
      <c r="A2" s="40" t="s">
        <v>25</v>
      </c>
      <c r="B2" s="39" t="str">
        <f>_xll.SUBNM("tango_core_model:Weighting","","W_NO_APP")</f>
        <v>W_NO_APP</v>
      </c>
    </row>
    <row r="3" spans="1:7" ht="14.35">
      <c r="A3" s="40" t="s">
        <v>53</v>
      </c>
      <c r="B3" s="28" t="s">
        <v>59</v>
      </c>
      <c r="E3" s="42" t="s">
        <v>57</v>
      </c>
    </row>
    <row r="4" spans="1:7" ht="14.35">
      <c r="A4" s="40" t="s">
        <v>13</v>
      </c>
      <c r="B4" s="28" t="s">
        <v>54</v>
      </c>
    </row>
    <row r="5" spans="1:7" ht="14.35">
      <c r="A5" s="40" t="s">
        <v>2</v>
      </c>
      <c r="B5" s="39" t="s">
        <v>55</v>
      </c>
    </row>
    <row r="6" spans="1:7" ht="14.35">
      <c r="A6" s="40" t="s">
        <v>27</v>
      </c>
      <c r="B6" s="39" t="str">
        <f>Current_LTP</f>
        <v>LTP_2021_VC</v>
      </c>
    </row>
    <row r="7" spans="1:7" ht="14.35">
      <c r="A7" s="39"/>
      <c r="B7" s="39"/>
    </row>
    <row r="8" spans="1:7" ht="14.35">
      <c r="A8" s="41" t="s">
        <v>60</v>
      </c>
      <c r="B8" s="27" t="str">
        <f>'Restitution DIV'!M10</f>
        <v>f_year_2022</v>
      </c>
      <c r="C8" s="27" t="str">
        <f>'Restitution DIV'!N10</f>
        <v>f_year_2023</v>
      </c>
      <c r="D8" s="27" t="str">
        <f>'Restitution DIV'!O10</f>
        <v>f_year_2024</v>
      </c>
      <c r="E8" s="27" t="str">
        <f>'Restitution DIV'!P10</f>
        <v>f_year_2025</v>
      </c>
      <c r="F8" s="27" t="str">
        <f>'Restitution DIV'!Q10</f>
        <v>f_year_2026</v>
      </c>
      <c r="G8" s="27" t="str">
        <f>'Restitution DIV'!R10</f>
        <v>f_year_2027</v>
      </c>
    </row>
    <row r="9" spans="1:7" ht="13">
      <c r="A9" s="43"/>
      <c r="B9" s="43"/>
      <c r="C9" s="43"/>
      <c r="D9" s="43"/>
      <c r="E9" s="43"/>
      <c r="F9" s="43"/>
      <c r="G9" s="43"/>
    </row>
    <row r="10" spans="1:7" ht="13">
      <c r="A10" s="43" t="s">
        <v>56</v>
      </c>
      <c r="B10" s="44">
        <f>IF(Flag="Restit",_xll.DBRW($B$1,$B$5,$B$4,$A10,$B$2,$B$3,B$8,$B$6,$A$8),_xll.DBSW('Restitution DIV'!M48*1000,'Envoi des données DIV'!$B$1,$B$5,$B$4,$A10,$B$2,$B$3,B$8,$B$6,$A$8))</f>
        <v>0</v>
      </c>
      <c r="C10" s="44">
        <f>IF(Flag="Restit",_xll.DBRW($B$1,$B$5,$B$4,$A10,$B$2,$B$3,C$8,$B$6,$A$8),_xll.DBSW('Restitution DIV'!N48*1000,'Envoi des données DIV'!$B$1,$B$5,$B$4,$A10,$B$2,$B$3,C$8,$B$6,$A$8))</f>
        <v>0</v>
      </c>
      <c r="D10" s="44">
        <f>IF(Flag="Restit",_xll.DBRW($B$1,$B$5,$B$4,$A10,$B$2,$B$3,D$8,$B$6,$A$8),_xll.DBSW('Restitution DIV'!O48*1000,'Envoi des données DIV'!$B$1,$B$5,$B$4,$A10,$B$2,$B$3,D$8,$B$6,$A$8))</f>
        <v>0</v>
      </c>
      <c r="E10" s="44">
        <f>IF(Flag="Restit",_xll.DBRW($B$1,$B$5,$B$4,$A10,$B$2,$B$3,E$8,$B$6,$A$8),_xll.DBSW('Restitution DIV'!P48*1000,'Envoi des données DIV'!$B$1,$B$5,$B$4,$A10,$B$2,$B$3,E$8,$B$6,$A$8))</f>
        <v>0</v>
      </c>
      <c r="F10" s="44">
        <f>IF(Flag="Restit",_xll.DBRW($B$1,$B$5,$B$4,$A10,$B$2,$B$3,F$8,$B$6,$A$8),_xll.DBSW('Restitution DIV'!Q48*1000,'Envoi des données DIV'!$B$1,$B$5,$B$4,$A10,$B$2,$B$3,F$8,$B$6,$A$8))</f>
        <v>0</v>
      </c>
      <c r="G10" s="44">
        <f>IF(Flag="Restit",_xll.DBRW($B$1,$B$5,$B$4,$A10,$B$2,$B$3,G$8,$B$6,$A$8),_xll.DBSW('Restitution DIV'!R48*1000,'Envoi des données DIV'!$B$1,$B$5,$B$4,$A10,$B$2,$B$3,G$8,$B$6,$A$8))</f>
        <v>0</v>
      </c>
    </row>
    <row r="11" spans="1:7" ht="13">
      <c r="A11" s="43" t="s">
        <v>58</v>
      </c>
      <c r="B11" s="44">
        <f>IF(Flag="Restit",_xll.DBRW($B$1,$B$5,$B$4,$A11,$B$2,$B$3,B$8,$B$6,$A$8),_xll.DBSW('Restitution DIV'!V48*1000,'Envoi des données DIV'!$B$1,$B$5,$B$4,$A11,$B$2,$B$3,B$8,$B$6,$A$8))</f>
        <v>0</v>
      </c>
      <c r="C11" s="44">
        <f>IF(Flag="Restit",_xll.DBRW($B$1,$B$5,$B$4,$A11,$B$2,$B$3,C$8,$B$6,$A$8),_xll.DBSW('Restitution DIV'!W48*1000,'Envoi des données DIV'!$B$1,$B$5,$B$4,$A11,$B$2,$B$3,C$8,$B$6,$A$8))</f>
        <v>0</v>
      </c>
      <c r="D11" s="44">
        <f>IF(Flag="Restit",_xll.DBRW($B$1,$B$5,$B$4,$A11,$B$2,$B$3,D$8,$B$6,$A$8),_xll.DBSW('Restitution DIV'!X48*1000,'Envoi des données DIV'!$B$1,$B$5,$B$4,$A11,$B$2,$B$3,D$8,$B$6,$A$8))</f>
        <v>0</v>
      </c>
      <c r="E11" s="44">
        <f>IF(Flag="Restit",_xll.DBRW($B$1,$B$5,$B$4,$A11,$B$2,$B$3,E$8,$B$6,$A$8),_xll.DBSW('Restitution DIV'!Y48*1000,'Envoi des données DIV'!$B$1,$B$5,$B$4,$A11,$B$2,$B$3,E$8,$B$6,$A$8))</f>
        <v>0</v>
      </c>
      <c r="F11" s="44">
        <f>IF(Flag="Restit",_xll.DBRW($B$1,$B$5,$B$4,$A11,$B$2,$B$3,F$8,$B$6,$A$8),_xll.DBSW('Restitution DIV'!Z48*1000,'Envoi des données DIV'!$B$1,$B$5,$B$4,$A11,$B$2,$B$3,F$8,$B$6,$A$8))</f>
        <v>0</v>
      </c>
      <c r="G11" s="44">
        <f>IF(Flag="Restit",_xll.DBRW($B$1,$B$5,$B$4,$A11,$B$2,$B$3,G$8,$B$6,$A$8),_xll.DBSW('Restitution DIV'!AA48*1000,'Envoi des données DIV'!$B$1,$B$5,$B$4,$A11,$B$2,$B$3,G$8,$B$6,$A$8))</f>
        <v>0</v>
      </c>
    </row>
    <row r="12" spans="1:7" ht="13">
      <c r="A12" s="43" t="s">
        <v>63</v>
      </c>
      <c r="B12" s="44">
        <f>IF(Flag="Restit",_xll.DBRW($B$1,$B$5,$B$4,$A12,$B$2,$B$3,B$8,$B$6,$A$8),_xll.DBSW('Restitution DIV'!AE48*1000,'Envoi des données DIV'!$B$1,$B$5,$B$4,$A12,$B$2,$B$3,B$8,$B$6,$A$8))</f>
        <v>0</v>
      </c>
      <c r="C12" s="44">
        <f>IF(Flag="Restit",_xll.DBRW($B$1,$B$5,$B$4,$A12,$B$2,$B$3,C$8,$B$6,$A$8),_xll.DBSW('Restitution DIV'!AF48*1000,'Envoi des données DIV'!$B$1,$B$5,$B$4,$A12,$B$2,$B$3,C$8,$B$6,$A$8))</f>
        <v>0</v>
      </c>
      <c r="D12" s="44">
        <f>IF(Flag="Restit",_xll.DBRW($B$1,$B$5,$B$4,$A12,$B$2,$B$3,D$8,$B$6,$A$8),_xll.DBSW('Restitution DIV'!AG48*1000,'Envoi des données DIV'!$B$1,$B$5,$B$4,$A12,$B$2,$B$3,D$8,$B$6,$A$8))</f>
        <v>0</v>
      </c>
      <c r="E12" s="44">
        <f>IF(Flag="Restit",_xll.DBRW($B$1,$B$5,$B$4,$A12,$B$2,$B$3,E$8,$B$6,$A$8),_xll.DBSW('Restitution DIV'!AH48*1000,'Envoi des données DIV'!$B$1,$B$5,$B$4,$A12,$B$2,$B$3,E$8,$B$6,$A$8))</f>
        <v>0</v>
      </c>
      <c r="F12" s="44">
        <f>IF(Flag="Restit",_xll.DBRW($B$1,$B$5,$B$4,$A12,$B$2,$B$3,F$8,$B$6,$A$8),_xll.DBSW('Restitution DIV'!AI48*1000,'Envoi des données DIV'!$B$1,$B$5,$B$4,$A12,$B$2,$B$3,F$8,$B$6,$A$8))</f>
        <v>0</v>
      </c>
      <c r="G12" s="44">
        <f>IF(Flag="Restit",_xll.DBRW($B$1,$B$5,$B$4,$A12,$B$2,$B$3,G$8,$B$6,$A$8),_xll.DBSW('Restitution DIV'!AJ48*1000,'Envoi des données DIV'!$B$1,$B$5,$B$4,$A12,$B$2,$B$3,G$8,$B$6,$A$8))</f>
        <v>0</v>
      </c>
    </row>
    <row r="18" spans="3:3">
      <c r="C18" s="49" t="s">
        <v>70</v>
      </c>
    </row>
    <row r="19" spans="3:3">
      <c r="C19" s="49" t="s">
        <v>71</v>
      </c>
    </row>
  </sheetData>
  <dataValidations count="1">
    <dataValidation type="list" allowBlank="1" showInputMessage="1" showErrorMessage="1" sqref="E3" xr:uid="{00000000-0002-0000-0200-000000000000}">
      <formula1>"Restit,Envoi"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9</vt:i4>
      </vt:variant>
    </vt:vector>
  </HeadingPairs>
  <TitlesOfParts>
    <vt:vector size="12" baseType="lpstr">
      <vt:lpstr>Context</vt:lpstr>
      <vt:lpstr>Restitution DIV</vt:lpstr>
      <vt:lpstr>Envoi des données DIV</vt:lpstr>
      <vt:lpstr>Activity</vt:lpstr>
      <vt:lpstr>Cube</vt:lpstr>
      <vt:lpstr>Currency</vt:lpstr>
      <vt:lpstr>Current_LTP</vt:lpstr>
      <vt:lpstr>Flag</vt:lpstr>
      <vt:lpstr>Language</vt:lpstr>
      <vt:lpstr>LTP_Components</vt:lpstr>
      <vt:lpstr>LY_LTP</vt:lpstr>
      <vt:lpstr>n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CAUSSIDOU, Fabienne</dc:creator>
  <cp:lastModifiedBy>laurent.mariotte</cp:lastModifiedBy>
  <dcterms:created xsi:type="dcterms:W3CDTF">2016-05-23T09:14:12Z</dcterms:created>
  <dcterms:modified xsi:type="dcterms:W3CDTF">2024-08-20T14:11:51Z</dcterms:modified>
</cp:coreProperties>
</file>